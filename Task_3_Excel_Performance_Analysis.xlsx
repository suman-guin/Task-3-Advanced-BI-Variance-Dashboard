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5573d6756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ormance Summary" sheetId="1" r:id="Rc7fbe75dca614657"/>
    <x:sheet xmlns:r="http://schemas.openxmlformats.org/officeDocument/2006/relationships" name="Monthly Variance" sheetId="2" r:id="Re574f7da2fe74ee1"/>
    <x:sheet xmlns:r="http://schemas.openxmlformats.org/officeDocument/2006/relationships" name="Comparison Tables" sheetId="3" r:id="R359ddb60d6bb4b71"/>
    <x:sheet xmlns:r="http://schemas.openxmlformats.org/officeDocument/2006/relationships" name="Source Data" sheetId="4" r:id="Reb1ca4d0c03640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mmm yyyy"/>
    <x:numFmt numFmtId="202" formatCode="$#,##0.00;[Red]-$#,##0.00"/>
    <x:numFmt numFmtId="203" formatCode="#,##0"/>
    <x:numFmt numFmtId="204" formatCode="0.00%;[Red]-0.00%"/>
    <x:numFmt numFmtId="205" formatCode="0%"/>
  </x:numFmts>
  <x:fonts count="7">
    <x:font>
      <x:sz val="11"/>
      <x:name val="Carlito"/>
    </x:font>
    <x:font>
      <x:sz val="10"/>
      <x:color rgb="FF1F2937"/>
      <x:name val="Arial"/>
    </x:font>
    <x:font>
      <x:b/>
      <x:sz val="15"/>
      <x:color rgb="FF163A5F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b/>
      <x:sz val="11"/>
      <x:color rgb="FF163A5F"/>
      <x:name val="Arial"/>
    </x:font>
    <x:font>
      <x:b/>
      <x:sz val="10"/>
      <x:color rgb="FF163A5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AF7"/>
      </x:patternFill>
    </x:fill>
    <x:fill>
      <x:patternFill patternType="solid">
        <x:fgColor rgb="FFEEF5FB"/>
      </x:patternFill>
    </x:fill>
  </x:fills>
  <x:borders count="10">
    <x:border/>
    <x:border>
      <x:bottom style="medium">
        <x:color rgb="FF2F75B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bottom style="thin">
        <x:color rgb="FF2F75B5"/>
      </x:bottom>
    </x:border>
    <x:border>
      <x:bottom style="thin">
        <x:color rgb="FFE7E6E6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4" fontId="1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4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4" fontId="1" fillId="0" borderId="6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4" fontId="1" fillId="0" borderId="7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0" borderId="5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5" fontId="1" fillId="0" borderId="6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205" fontId="1" fillId="0" borderId="7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202" fontId="6" fillId="0" borderId="8" xfId="0" applyNumberFormat="1" applyFont="1" applyFill="1" applyBorder="1" applyAlignment="1">
      <x:alignment vertical="center"/>
    </x:xf>
    <x:xf numFmtId="204" fontId="6" fillId="0" borderId="8" xfId="0" applyNumberFormat="1" applyFont="1" applyFill="1" applyBorder="1" applyAlignment="1">
      <x:alignment vertical="center"/>
    </x:xf>
    <x:xf numFmtId="203" fontId="6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204" fontId="1" fillId="0" borderId="9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B3261E"/>
      </x:font>
      <x:fill>
        <x:patternFill patternType="solid">
          <x:bgColor rgb="FFFBE9E7"/>
        </x:patternFill>
      </x:fill>
    </x:dxf>
    <x:dxf>
      <x:font>
        <x:color rgb="FF2E7D32"/>
      </x:font>
      <x:fill>
        <x:patternFill patternType="solid">
          <x:bgColor rgb="FFE7F4E8"/>
        </x:patternFill>
      </x:fill>
    </x:dxf>
    <x:dxf>
      <x:font>
        <x:color rgb="FFB3261E"/>
      </x:font>
      <x:fill>
        <x:patternFill patternType="solid">
          <x:bgColor rgb="FFFBE9E7"/>
        </x:patternFill>
      </x:fill>
    </x:dxf>
    <x:dxf>
      <x:font>
        <x:b/>
        <x:color rgb="FFB3261E"/>
      </x:font>
      <x:fill>
        <x:patternFill patternType="solid"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fb27297f442dd" /><Relationship Type="http://schemas.openxmlformats.org/officeDocument/2006/relationships/theme" Target="/xl/theme/theme1.xml" Id="Rd4db8efaf9bf4115" /><Relationship Type="http://schemas.openxmlformats.org/officeDocument/2006/relationships/sharedStrings" Target="/xl/sharedStrings.xml" Id="R557df833bb334504" /><Relationship Type="http://schemas.openxmlformats.org/officeDocument/2006/relationships/worksheet" Target="/xl/worksheets/sheet1.xml" Id="Rc7fbe75dca614657" /><Relationship Type="http://schemas.openxmlformats.org/officeDocument/2006/relationships/worksheet" Target="/xl/worksheets/sheet2.xml" Id="Re574f7da2fe74ee1" /><Relationship Type="http://schemas.openxmlformats.org/officeDocument/2006/relationships/worksheet" Target="/xl/worksheets/sheet3.xml" Id="R359ddb60d6bb4b71" /><Relationship Type="http://schemas.openxmlformats.org/officeDocument/2006/relationships/worksheet" Target="/xl/worksheets/sheet4.xml" Id="Reb1ca4d0c03640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3e25a2b2d9498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ed3b913bb40456e" /><Relationship Type="http://schemas.openxmlformats.org/officeDocument/2006/relationships/chart" Target="/xl/drawings/charts/chart3.xml" Id="R92cebfe4e54e43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 Trend (USD)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Current Sales</c:v>
          </c:tx>
          <c:marker>
            <c:symbol val="none"/>
          </c:marker>
          <c:cat>
            <c:strRef>
              <c:f>'Monthly Variance'!$A$5:$A$52</c:f>
              <c:strCache>
                <c:ptCount val="0"/>
              </c:strCache>
            </c:strRef>
          </c:cat>
          <c:val>
            <c:numRef>
              <c:f>'Monthly Variance'!$B$5:$B$52</c:f>
              <c:numCache>
                <c:formatCode>$#,##0.00;[Red]-$#,##0.00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Regional Sales and Profit (USD)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Sales</c:v>
          </c:tx>
          <c:cat>
            <c:strRef>
              <c:f>'Comparison Tables'!$A$5:$A$8</c:f>
              <c:strCache>
                <c:ptCount val="0"/>
              </c:strCache>
            </c:strRef>
          </c:cat>
          <c:val>
            <c:numRef>
              <c:f>'Comparison Tables'!$B$5:$B$8</c:f>
              <c:numCache>
                <c:formatCode>$#,##0.00;[Red]-$#,##0.00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'Comparison Tables'!$A$5:$A$8</c:f>
              <c:strCache>
                <c:ptCount val="0"/>
              </c:strCache>
            </c:strRef>
          </c:cat>
          <c:val>
            <c:numRef>
              <c:f>'Comparison Tables'!$C$5:$C$8</c:f>
              <c:numCache>
                <c:formatCode>$#,##0.00;[Red]-$#,##0.00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Category Sales: 2016 vs 2017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Sales 2016</c:v>
          </c:tx>
          <c:cat>
            <c:strRef>
              <c:f>'Comparison Tables'!$G$5:$G$7</c:f>
              <c:strCache>
                <c:ptCount val="0"/>
              </c:strCache>
            </c:strRef>
          </c:cat>
          <c:val>
            <c:numRef>
              <c:f>'Comparison Tables'!$H$5:$H$7</c:f>
              <c:numCache>
                <c:formatCode>$#,##0.00;[Red]-$#,##0.00</c:formatCode>
                <c:ptCount val="0"/>
              </c:numCache>
            </c:numRef>
          </c:val>
        </c:ser>
        <c:ser>
          <c:idx val="1"/>
          <c:order val="1"/>
          <c:tx>
            <c:v>Sales 2017</c:v>
          </c:tx>
          <c:cat>
            <c:strRef>
              <c:f>'Comparison Tables'!$G$5:$G$7</c:f>
              <c:strCache>
                <c:ptCount val="0"/>
              </c:strCache>
            </c:strRef>
          </c:cat>
          <c:val>
            <c:numRef>
              <c:f>'Comparison Tables'!$I$5:$I$7</c:f>
              <c:numCache>
                <c:formatCode>$#,##0.00;[Red]-$#,##0.00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3e25a2b2d9498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d3b913bb40456e"/>
        </a:graphicData>
      </a:graphic>
    </xdr:graphicFrame>
    <xdr:clientData/>
  </xdr:twoCellAnchor>
  <xdr:twoCellAnchor>
    <xdr:from>
      <xdr:col>14</xdr:col>
      <xdr:colOff>0</xdr:colOff>
      <xdr:row>10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cebfe4e54e434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41761f22eff47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528f126c71b4670" /></Relationships>
</file>

<file path=xl/worksheets/sheet1.xml><?xml version="1.0" encoding="utf-8"?>
<x:worksheet xmlns:x="http://schemas.openxmlformats.org/spreadsheetml/2006/main">
  <x:sheetPr>
    <x:tabColor rgb="FF163A5F"/>
  </x:sheetPr>
  <x:sheetViews>
    <x:sheetView showGridLines="0" workbookViewId="0"/>
  </x:sheetViews>
  <x:sheetFormatPr defaultRowHeight="15"/>
  <x:cols>
    <x:col min="1" max="1" width="23" hidden="0" customWidth="1"/>
    <x:col min="2" max="2" width="52" hidden="0" customWidth="1"/>
    <x:col min="3" max="3" width="20" hidden="0" customWidth="1"/>
    <x:col min="4" max="4" width="17" hidden="0" customWidth="1"/>
    <x:col min="5" max="5" width="18" hidden="0" customWidth="1"/>
    <x:col min="6" max="6" width="17" hidden="0" customWidth="1"/>
    <x:col min="7" max="7" width="19" hidden="0" customWidth="1"/>
    <x:col min="8" max="8" width="14" hidden="0" customWidth="1"/>
    <x:col min="9" max="9" width="15" hidden="0" customWidth="1"/>
    <x:col min="10" max="10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Task 3 Performance Summary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4" customHeight="1">
      <x:c r="A5" s="54" t="str">
        <x:v>Total Sales</x:v>
      </x:c>
      <x:c r="B5" s="55" t="n">
        <x:f>SUM('Source Data'!$I$6:$I$9998)</x:f>
        <x:v>2296919.488299955</x:v>
      </x:c>
      <x:c r="C5" s="55" t="str">
        <x:v>Total Profit</x:v>
      </x:c>
      <x:c r="D5" s="55" t="n">
        <x:f>SUM('Source Data'!$L$6:$L$9998)</x:f>
        <x:v>286409.08050000126</x:v>
      </x:c>
      <x:c r="E5" s="54" t="str">
        <x:v>Profit Margin</x:v>
      </x:c>
      <x:c r="F5" s="56" t="n">
        <x:f>IFERROR(D5/B5,0)</x:f>
        <x:v>0.12469269469779476</x:v>
      </x:c>
      <x:c r="G5" s="54" t="str">
        <x:v>Total Customers</x:v>
      </x:c>
      <x:c r="H5" s="57" t="n">
        <x:v>793</x:v>
      </x:c>
      <x:c r="I5" s="57" t="str">
        <x:v>Total Orders</x:v>
      </x:c>
      <x:c r="J5" s="57" t="n">
        <x:v>5009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41" t="str">
        <x:v>Latest Performance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58" t="str">
        <x:v>Dec 2017 Sales</x:v>
      </x:c>
      <x:c r="B10" s="59" t="n">
        <x:f>'Monthly Variance'!B52</x:f>
        <x:v>83829.3188</x:v>
      </x:c>
      <x:c r="C10" s="59" t="str">
        <x:v>Nov 2017 Sales</x:v>
      </x:c>
      <x:c r="D10" s="59" t="n">
        <x:f>'Monthly Variance'!C52</x:f>
        <x:v>118447.82500000003</x:v>
      </x:c>
      <x:c r="E10" s="59" t="str">
        <x:v>Sales Variance</x:v>
      </x:c>
      <x:c r="F10" s="59" t="n">
        <x:f>'Monthly Variance'!D52</x:f>
        <x:v>-34618.50620000003</x:v>
      </x:c>
      <x:c r="G10" s="58" t="str">
        <x:v>MoM Growth</x:v>
      </x:c>
      <x:c r="H10" s="60" t="n">
        <x:f>'Monthly Variance'!E52</x:f>
        <x:v>-0.2922679770607863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41" t="str">
        <x:v>Management Findings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4" customHeight="1">
      <x:c r="A15" s="62" t="str">
        <x:v>Growth trend</x:v>
      </x:c>
      <x:c r="B15" s="63" t="str">
        <x:v>Annual sales grew 20.36% in 2017, but Dec 2017 fell 29.23% versus Nov.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4" customHeight="1">
      <x:c r="A16" s="64" t="str">
        <x:v>Underperforming region</x:v>
      </x:c>
      <x:c r="B16" s="65" t="str">
        <x:v>Central has the lowest profit margin at 7.92%.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4" customHeight="1">
      <x:c r="A17" s="64" t="str">
        <x:v>Highest category growth</x:v>
      </x:c>
      <x:c r="B17" s="65" t="str">
        <x:v>Office Supplies grew 33.79% in 2017 versus 2016.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4" customHeight="1">
      <x:c r="A18" s="64" t="str">
        <x:v>Discount risk</x:v>
      </x:c>
      <x:c r="B18" s="65" t="str">
        <x:v>Aggregate profit becomes negative at discount levels of 30% and above.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4" customHeight="1">
      <x:c r="A19" s="64" t="str">
        <x:v>Largest segment</x:v>
      </x:c>
      <x:c r="B19" s="65" t="str">
        <x:v>Consumer contributes 50.56% of total revenue.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4" customHeight="1">
      <x:c r="A20" s="66" t="str">
        <x:v>Priority action</x:v>
      </x:c>
      <x:c r="B20" s="67" t="str">
        <x:v>Tighten high-discount approvals and improve Furniture and Central profitability.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conditionalFormatting sqref="H10:H10">
    <x:cfRule type="cellIs" dxfId="3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Monthly Sales and Profit Variance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0" customHeight="1">
      <x:c r="A4" s="14" t="str">
        <x:v>Month</x:v>
      </x:c>
      <x:c r="B4" s="15" t="str">
        <x:v>Current Sales</x:v>
      </x:c>
      <x:c r="C4" s="15" t="str">
        <x:v>Previous Sales</x:v>
      </x:c>
      <x:c r="D4" s="15" t="str">
        <x:v>Sales Variance</x:v>
      </x:c>
      <x:c r="E4" s="15" t="str">
        <x:v>Sales Growth %</x:v>
      </x:c>
      <x:c r="F4" s="15" t="str">
        <x:v>Current Profit</x:v>
      </x:c>
      <x:c r="G4" s="15" t="str">
        <x:v>Previous Profit</x:v>
      </x:c>
      <x:c r="H4" s="16" t="str">
        <x:v>Profit Variance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7" t="n">
        <x:v>41640</x:v>
      </x:c>
      <x:c r="B5" s="28" t="n">
        <x:f>SUMIFS('Source Data'!$I$6:$I$9998,'Source Data'!$N$6:$N$9998,A5)</x:f>
        <x:v>14236.894999999997</x:v>
      </x:c>
      <x:c r="C5" s="28"/>
      <x:c r="D5" s="28"/>
      <x:c r="E5" s="29"/>
      <x:c r="F5" s="28" t="n">
        <x:f>SUMIFS('Source Data'!$L$6:$L$9998,'Source Data'!$N$6:$N$9998,A5)</x:f>
        <x:v>2450.190699999999</x:v>
      </x:c>
      <x:c r="G5" s="28"/>
      <x:c r="H5" s="28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0" t="n">
        <x:v>41671</x:v>
      </x:c>
      <x:c r="B6" s="31" t="n">
        <x:f>SUMIFS('Source Data'!$I$6:$I$9998,'Source Data'!$N$6:$N$9998,A6)</x:f>
        <x:v>4519.892000000001</x:v>
      </x:c>
      <x:c r="C6" s="31" t="n">
        <x:f>IFERROR(INDEX($B$5:$B$52,MATCH(EDATE(A6,-1),$A$5:$A$52,0)),"")</x:f>
        <x:v>14236.894999999997</x:v>
      </x:c>
      <x:c r="D6" s="31" t="n">
        <x:f>IF(C6="","",B6-C6)</x:f>
        <x:v>-9717.002999999997</x:v>
      </x:c>
      <x:c r="E6" s="32" t="n">
        <x:f>IFERROR(D6/C6,"")</x:f>
        <x:v>-0.6825226287052056</x:v>
      </x:c>
      <x:c r="F6" s="31" t="n">
        <x:f>SUMIFS('Source Data'!$L$6:$L$9998,'Source Data'!$N$6:$N$9998,A6)</x:f>
        <x:v>862.3083999999999</x:v>
      </x:c>
      <x:c r="G6" s="31" t="n">
        <x:f>IFERROR(INDEX($F$5:$F$52,MATCH(EDATE(A6,-1),$A$5:$A$52,0)),"")</x:f>
        <x:v>2450.190699999999</x:v>
      </x:c>
      <x:c r="H6" s="31" t="n">
        <x:f>IF(G6="","",F6-G6)</x:f>
        <x:v>-1587.8822999999993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0" t="n">
        <x:v>41699</x:v>
      </x:c>
      <x:c r="B7" s="31" t="n">
        <x:f>SUMIFS('Source Data'!$I$6:$I$9998,'Source Data'!$N$6:$N$9998,A7)</x:f>
        <x:v>55691.00900000003</x:v>
      </x:c>
      <x:c r="C7" s="31" t="n">
        <x:f>IFERROR(INDEX($B$5:$B$52,MATCH(EDATE(A7,-1),$A$5:$A$52,0)),"")</x:f>
        <x:v>4519.892000000001</x:v>
      </x:c>
      <x:c r="D7" s="31" t="n">
        <x:f>IF(C7="","",B7-C7)</x:f>
        <x:v>51171.11700000003</x:v>
      </x:c>
      <x:c r="E7" s="32" t="n">
        <x:f>IFERROR(D7/C7,"")</x:f>
        <x:v>11.321314093345597</x:v>
      </x:c>
      <x:c r="F7" s="31" t="n">
        <x:f>SUMIFS('Source Data'!$L$6:$L$9998,'Source Data'!$N$6:$N$9998,A7)</x:f>
        <x:v>498.7298999999983</x:v>
      </x:c>
      <x:c r="G7" s="31" t="n">
        <x:f>IFERROR(INDEX($F$5:$F$52,MATCH(EDATE(A7,-1),$A$5:$A$52,0)),"")</x:f>
        <x:v>862.3083999999999</x:v>
      </x:c>
      <x:c r="H7" s="31" t="n">
        <x:f>IF(G7="","",F7-G7)</x:f>
        <x:v>-363.5785000000016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0" t="n">
        <x:v>41730</x:v>
      </x:c>
      <x:c r="B8" s="31" t="n">
        <x:f>SUMIFS('Source Data'!$I$6:$I$9998,'Source Data'!$N$6:$N$9998,A8)</x:f>
        <x:v>28013.97299999999</x:v>
      </x:c>
      <x:c r="C8" s="31" t="n">
        <x:f>IFERROR(INDEX($B$5:$B$52,MATCH(EDATE(A8,-1),$A$5:$A$52,0)),"")</x:f>
        <x:v>55691.00900000003</x:v>
      </x:c>
      <x:c r="D8" s="31" t="n">
        <x:f>IF(C8="","",B8-C8)</x:f>
        <x:v>-27677.036000000036</x:v>
      </x:c>
      <x:c r="E8" s="32" t="n">
        <x:f>IFERROR(D8/C8,"")</x:f>
        <x:v>-0.49697494258004954</x:v>
      </x:c>
      <x:c r="F8" s="31" t="n">
        <x:f>SUMIFS('Source Data'!$L$6:$L$9998,'Source Data'!$N$6:$N$9998,A8)</x:f>
        <x:v>3500.8940000000002</x:v>
      </x:c>
      <x:c r="G8" s="31" t="n">
        <x:f>IFERROR(INDEX($F$5:$F$52,MATCH(EDATE(A8,-1),$A$5:$A$52,0)),"")</x:f>
        <x:v>498.7298999999983</x:v>
      </x:c>
      <x:c r="H8" s="31" t="n">
        <x:f>IF(G8="","",F8-G8)</x:f>
        <x:v>3002.164100000002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0" t="n">
        <x:v>41760</x:v>
      </x:c>
      <x:c r="B9" s="31" t="n">
        <x:f>SUMIFS('Source Data'!$I$6:$I$9998,'Source Data'!$N$6:$N$9998,A9)</x:f>
        <x:v>23648.287000000004</x:v>
      </x:c>
      <x:c r="C9" s="31" t="n">
        <x:f>IFERROR(INDEX($B$5:$B$52,MATCH(EDATE(A9,-1),$A$5:$A$52,0)),"")</x:f>
        <x:v>28013.97299999999</x:v>
      </x:c>
      <x:c r="D9" s="31" t="n">
        <x:f>IF(C9="","",B9-C9)</x:f>
        <x:v>-4365.685999999987</x:v>
      </x:c>
      <x:c r="E9" s="32" t="n">
        <x:f>IFERROR(D9/C9,"")</x:f>
        <x:v>-0.15583958762293332</x:v>
      </x:c>
      <x:c r="F9" s="31" t="n">
        <x:f>SUMIFS('Source Data'!$L$6:$L$9998,'Source Data'!$N$6:$N$9998,A9)</x:f>
        <x:v>2738.709599999999</x:v>
      </x:c>
      <x:c r="G9" s="31" t="n">
        <x:f>IFERROR(INDEX($F$5:$F$52,MATCH(EDATE(A9,-1),$A$5:$A$52,0)),"")</x:f>
        <x:v>3500.8940000000002</x:v>
      </x:c>
      <x:c r="H9" s="31" t="n">
        <x:f>IF(G9="","",F9-G9)</x:f>
        <x:v>-762.184400000001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0" t="n">
        <x:v>41791</x:v>
      </x:c>
      <x:c r="B10" s="31" t="n">
        <x:f>SUMIFS('Source Data'!$I$6:$I$9998,'Source Data'!$N$6:$N$9998,A10)</x:f>
        <x:v>34595.127600000036</x:v>
      </x:c>
      <x:c r="C10" s="31" t="n">
        <x:f>IFERROR(INDEX($B$5:$B$52,MATCH(EDATE(A10,-1),$A$5:$A$52,0)),"")</x:f>
        <x:v>23648.287000000004</x:v>
      </x:c>
      <x:c r="D10" s="31" t="n">
        <x:f>IF(C10="","",B10-C10)</x:f>
        <x:v>10946.840600000032</x:v>
      </x:c>
      <x:c r="E10" s="32" t="n">
        <x:f>IFERROR(D10/C10,"")</x:f>
        <x:v>0.4629020529055669</x:v>
      </x:c>
      <x:c r="F10" s="31" t="n">
        <x:f>SUMIFS('Source Data'!$L$6:$L$9998,'Source Data'!$N$6:$N$9998,A10)</x:f>
        <x:v>4976.524399999998</x:v>
      </x:c>
      <x:c r="G10" s="31" t="n">
        <x:f>IFERROR(INDEX($F$5:$F$52,MATCH(EDATE(A10,-1),$A$5:$A$52,0)),"")</x:f>
        <x:v>2738.709599999999</x:v>
      </x:c>
      <x:c r="H10" s="31" t="n">
        <x:f>IF(G10="","",F10-G10)</x:f>
        <x:v>2237.814799999999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0" t="n">
        <x:v>41821</x:v>
      </x:c>
      <x:c r="B11" s="31" t="n">
        <x:f>SUMIFS('Source Data'!$I$6:$I$9998,'Source Data'!$N$6:$N$9998,A11)</x:f>
        <x:v>33946.393</x:v>
      </x:c>
      <x:c r="C11" s="31" t="n">
        <x:f>IFERROR(INDEX($B$5:$B$52,MATCH(EDATE(A11,-1),$A$5:$A$52,0)),"")</x:f>
        <x:v>34595.127600000036</x:v>
      </x:c>
      <x:c r="D11" s="31" t="n">
        <x:f>IF(C11="","",B11-C11)</x:f>
        <x:v>-648.7346000000398</x:v>
      </x:c>
      <x:c r="E11" s="32" t="n">
        <x:f>IFERROR(D11/C11,"")</x:f>
        <x:v>-0.01875219561265729</x:v>
      </x:c>
      <x:c r="F11" s="31" t="n">
        <x:f>SUMIFS('Source Data'!$L$6:$L$9998,'Source Data'!$N$6:$N$9998,A11)</x:f>
        <x:v>-841.4826000000021</x:v>
      </x:c>
      <x:c r="G11" s="31" t="n">
        <x:f>IFERROR(INDEX($F$5:$F$52,MATCH(EDATE(A11,-1),$A$5:$A$52,0)),"")</x:f>
        <x:v>4976.524399999998</x:v>
      </x:c>
      <x:c r="H11" s="31" t="n">
        <x:f>IF(G11="","",F11-G11)</x:f>
        <x:v>-5818.0070000000005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0" t="n">
        <x:v>41852</x:v>
      </x:c>
      <x:c r="B12" s="31" t="n">
        <x:f>SUMIFS('Source Data'!$I$6:$I$9998,'Source Data'!$N$6:$N$9998,A12)</x:f>
        <x:v>27909.46849999999</x:v>
      </x:c>
      <x:c r="C12" s="31" t="n">
        <x:f>IFERROR(INDEX($B$5:$B$52,MATCH(EDATE(A12,-1),$A$5:$A$52,0)),"")</x:f>
        <x:v>33946.393</x:v>
      </x:c>
      <x:c r="D12" s="31" t="n">
        <x:f>IF(C12="","",B12-C12)</x:f>
        <x:v>-6036.924500000005</x:v>
      </x:c>
      <x:c r="E12" s="32" t="n">
        <x:f>IFERROR(D12/C12,"")</x:f>
        <x:v>-0.17783699434576172</x:v>
      </x:c>
      <x:c r="F12" s="31" t="n">
        <x:f>SUMIFS('Source Data'!$L$6:$L$9998,'Source Data'!$N$6:$N$9998,A12)</x:f>
        <x:v>5318.105</x:v>
      </x:c>
      <x:c r="G12" s="31" t="n">
        <x:f>IFERROR(INDEX($F$5:$F$52,MATCH(EDATE(A12,-1),$A$5:$A$52,0)),"")</x:f>
        <x:v>-841.4826000000021</x:v>
      </x:c>
      <x:c r="H12" s="31" t="n">
        <x:f>IF(G12="","",F12-G12)</x:f>
        <x:v>6159.587600000002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0" t="n">
        <x:v>41883</x:v>
      </x:c>
      <x:c r="B13" s="31" t="n">
        <x:f>SUMIFS('Source Data'!$I$6:$I$9998,'Source Data'!$N$6:$N$9998,A13)</x:f>
        <x:v>81777.35079999997</x:v>
      </x:c>
      <x:c r="C13" s="31" t="n">
        <x:f>IFERROR(INDEX($B$5:$B$52,MATCH(EDATE(A13,-1),$A$5:$A$52,0)),"")</x:f>
        <x:v>27909.46849999999</x:v>
      </x:c>
      <x:c r="D13" s="31" t="n">
        <x:f>IF(C13="","",B13-C13)</x:f>
        <x:v>53867.88229999998</x:v>
      </x:c>
      <x:c r="E13" s="32" t="n">
        <x:f>IFERROR(D13/C13,"")</x:f>
        <x:v>1.9300934483936876</x:v>
      </x:c>
      <x:c r="F13" s="31" t="n">
        <x:f>SUMIFS('Source Data'!$L$6:$L$9998,'Source Data'!$N$6:$N$9998,A13)</x:f>
        <x:v>8328.099400000001</x:v>
      </x:c>
      <x:c r="G13" s="31" t="n">
        <x:f>IFERROR(INDEX($F$5:$F$52,MATCH(EDATE(A13,-1),$A$5:$A$52,0)),"")</x:f>
        <x:v>5318.105</x:v>
      </x:c>
      <x:c r="H13" s="31" t="n">
        <x:f>IF(G13="","",F13-G13)</x:f>
        <x:v>3009.9944000000014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0" t="n">
        <x:v>41913</x:v>
      </x:c>
      <x:c r="B14" s="31" t="n">
        <x:f>SUMIFS('Source Data'!$I$6:$I$9998,'Source Data'!$N$6:$N$9998,A14)</x:f>
        <x:v>31453.39299999999</x:v>
      </x:c>
      <x:c r="C14" s="31" t="n">
        <x:f>IFERROR(INDEX($B$5:$B$52,MATCH(EDATE(A14,-1),$A$5:$A$52,0)),"")</x:f>
        <x:v>81777.35079999997</x:v>
      </x:c>
      <x:c r="D14" s="31" t="n">
        <x:f>IF(C14="","",B14-C14)</x:f>
        <x:v>-50323.95779999998</x:v>
      </x:c>
      <x:c r="E14" s="32" t="n">
        <x:f>IFERROR(D14/C14,"")</x:f>
        <x:v>-0.6153776969747472</x:v>
      </x:c>
      <x:c r="F14" s="31" t="n">
        <x:f>SUMIFS('Source Data'!$L$6:$L$9998,'Source Data'!$N$6:$N$9998,A14)</x:f>
        <x:v>3448.257299999998</x:v>
      </x:c>
      <x:c r="G14" s="31" t="n">
        <x:f>IFERROR(INDEX($F$5:$F$52,MATCH(EDATE(A14,-1),$A$5:$A$52,0)),"")</x:f>
        <x:v>8328.099400000001</x:v>
      </x:c>
      <x:c r="H14" s="31" t="n">
        <x:f>IF(G14="","",F14-G14)</x:f>
        <x:v>-4879.8421000000035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0" t="n">
        <x:v>41944</x:v>
      </x:c>
      <x:c r="B15" s="31" t="n">
        <x:f>SUMIFS('Source Data'!$I$6:$I$9998,'Source Data'!$N$6:$N$9998,A15)</x:f>
        <x:v>78628.71669999999</x:v>
      </x:c>
      <x:c r="C15" s="31" t="n">
        <x:f>IFERROR(INDEX($B$5:$B$52,MATCH(EDATE(A15,-1),$A$5:$A$52,0)),"")</x:f>
        <x:v>31453.39299999999</x:v>
      </x:c>
      <x:c r="D15" s="31" t="n">
        <x:f>IF(C15="","",B15-C15)</x:f>
        <x:v>47175.3237</x:v>
      </x:c>
      <x:c r="E15" s="32" t="n">
        <x:f>IFERROR(D15/C15,"")</x:f>
        <x:v>1.499848480575689</x:v>
      </x:c>
      <x:c r="F15" s="31" t="n">
        <x:f>SUMIFS('Source Data'!$L$6:$L$9998,'Source Data'!$N$6:$N$9998,A15)</x:f>
        <x:v>9292.126899999994</x:v>
      </x:c>
      <x:c r="G15" s="31" t="n">
        <x:f>IFERROR(INDEX($F$5:$F$52,MATCH(EDATE(A15,-1),$A$5:$A$52,0)),"")</x:f>
        <x:v>3448.257299999998</x:v>
      </x:c>
      <x:c r="H15" s="31" t="n">
        <x:f>IF(G15="","",F15-G15)</x:f>
        <x:v>5843.869599999996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0" t="n">
        <x:v>41974</x:v>
      </x:c>
      <x:c r="B16" s="31" t="n">
        <x:f>SUMIFS('Source Data'!$I$6:$I$9998,'Source Data'!$N$6:$N$9998,A16)</x:f>
        <x:v>69545.62049999999</x:v>
      </x:c>
      <x:c r="C16" s="31" t="n">
        <x:f>IFERROR(INDEX($B$5:$B$52,MATCH(EDATE(A16,-1),$A$5:$A$52,0)),"")</x:f>
        <x:v>78628.71669999999</x:v>
      </x:c>
      <x:c r="D16" s="31" t="n">
        <x:f>IF(C16="","",B16-C16)</x:f>
        <x:v>-9083.0962</x:v>
      </x:c>
      <x:c r="E16" s="32" t="n">
        <x:f>IFERROR(D16/C16,"")</x:f>
        <x:v>-0.1155188152778284</x:v>
      </x:c>
      <x:c r="F16" s="31" t="n">
        <x:f>SUMIFS('Source Data'!$L$6:$L$9998,'Source Data'!$N$6:$N$9998,A16)</x:f>
        <x:v>8983.569899999999</x:v>
      </x:c>
      <x:c r="G16" s="31" t="n">
        <x:f>IFERROR(INDEX($F$5:$F$52,MATCH(EDATE(A16,-1),$A$5:$A$52,0)),"")</x:f>
        <x:v>9292.126899999994</x:v>
      </x:c>
      <x:c r="H16" s="31" t="n">
        <x:f>IF(G16="","",F16-G16)</x:f>
        <x:v>-308.55699999999524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0" t="n">
        <x:v>42005</x:v>
      </x:c>
      <x:c r="B17" s="31" t="n">
        <x:f>SUMIFS('Source Data'!$I$6:$I$9998,'Source Data'!$N$6:$N$9998,A17)</x:f>
        <x:v>18174.075599999993</x:v>
      </x:c>
      <x:c r="C17" s="31" t="n">
        <x:f>IFERROR(INDEX($B$5:$B$52,MATCH(EDATE(A17,-1),$A$5:$A$52,0)),"")</x:f>
        <x:v>69545.62049999999</x:v>
      </x:c>
      <x:c r="D17" s="31" t="n">
        <x:f>IF(C17="","",B17-C17)</x:f>
        <x:v>-51371.54489999999</x:v>
      </x:c>
      <x:c r="E17" s="32" t="n">
        <x:f>IFERROR(D17/C17,"")</x:f>
        <x:v>-0.73867404634056</x:v>
      </x:c>
      <x:c r="F17" s="31" t="n">
        <x:f>SUMIFS('Source Data'!$L$6:$L$9998,'Source Data'!$N$6:$N$9998,A17)</x:f>
        <x:v>-3281.0070000000014</x:v>
      </x:c>
      <x:c r="G17" s="31" t="n">
        <x:f>IFERROR(INDEX($F$5:$F$52,MATCH(EDATE(A17,-1),$A$5:$A$52,0)),"")</x:f>
        <x:v>8983.569899999999</x:v>
      </x:c>
      <x:c r="H17" s="31" t="n">
        <x:f>IF(G17="","",F17-G17)</x:f>
        <x:v>-12264.5769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0" t="n">
        <x:v>42036</x:v>
      </x:c>
      <x:c r="B18" s="31" t="n">
        <x:f>SUMIFS('Source Data'!$I$6:$I$9998,'Source Data'!$N$6:$N$9998,A18)</x:f>
        <x:v>11951.411</x:v>
      </x:c>
      <x:c r="C18" s="31" t="n">
        <x:f>IFERROR(INDEX($B$5:$B$52,MATCH(EDATE(A18,-1),$A$5:$A$52,0)),"")</x:f>
        <x:v>18174.075599999993</x:v>
      </x:c>
      <x:c r="D18" s="31" t="n">
        <x:f>IF(C18="","",B18-C18)</x:f>
        <x:v>-6222.664599999993</x:v>
      </x:c>
      <x:c r="E18" s="32" t="n">
        <x:f>IFERROR(D18/C18,"")</x:f>
        <x:v>-0.342392358046535</x:v>
      </x:c>
      <x:c r="F18" s="31" t="n">
        <x:f>SUMIFS('Source Data'!$L$6:$L$9998,'Source Data'!$N$6:$N$9998,A18)</x:f>
        <x:v>2813.8508</x:v>
      </x:c>
      <x:c r="G18" s="31" t="n">
        <x:f>IFERROR(INDEX($F$5:$F$52,MATCH(EDATE(A18,-1),$A$5:$A$52,0)),"")</x:f>
        <x:v>-3281.0070000000014</x:v>
      </x:c>
      <x:c r="H18" s="31" t="n">
        <x:f>IF(G18="","",F18-G18)</x:f>
        <x:v>6094.857800000002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30" t="n">
        <x:v>42064</x:v>
      </x:c>
      <x:c r="B19" s="31" t="n">
        <x:f>SUMIFS('Source Data'!$I$6:$I$9998,'Source Data'!$N$6:$N$9998,A19)</x:f>
        <x:v>38726.25199999999</x:v>
      </x:c>
      <x:c r="C19" s="31" t="n">
        <x:f>IFERROR(INDEX($B$5:$B$52,MATCH(EDATE(A19,-1),$A$5:$A$52,0)),"")</x:f>
        <x:v>11951.411</x:v>
      </x:c>
      <x:c r="D19" s="31" t="n">
        <x:f>IF(C19="","",B19-C19)</x:f>
        <x:v>26774.840999999993</x:v>
      </x:c>
      <x:c r="E19" s="32" t="n">
        <x:f>IFERROR(D19/C19,"")</x:f>
        <x:v>2.2403079435557856</x:v>
      </x:c>
      <x:c r="F19" s="31" t="n">
        <x:f>SUMIFS('Source Data'!$L$6:$L$9998,'Source Data'!$N$6:$N$9998,A19)</x:f>
        <x:v>9732.0978</x:v>
      </x:c>
      <x:c r="G19" s="31" t="n">
        <x:f>IFERROR(INDEX($F$5:$F$52,MATCH(EDATE(A19,-1),$A$5:$A$52,0)),"")</x:f>
        <x:v>2813.8508</x:v>
      </x:c>
      <x:c r="H19" s="31" t="n">
        <x:f>IF(G19="","",F19-G19)</x:f>
        <x:v>6918.246999999999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30" t="n">
        <x:v>42095</x:v>
      </x:c>
      <x:c r="B20" s="31" t="n">
        <x:f>SUMIFS('Source Data'!$I$6:$I$9998,'Source Data'!$N$6:$N$9998,A20)</x:f>
        <x:v>34195.20849999999</x:v>
      </x:c>
      <x:c r="C20" s="31" t="n">
        <x:f>IFERROR(INDEX($B$5:$B$52,MATCH(EDATE(A20,-1),$A$5:$A$52,0)),"")</x:f>
        <x:v>38726.25199999999</x:v>
      </x:c>
      <x:c r="D20" s="31" t="n">
        <x:f>IF(C20="","",B20-C20)</x:f>
        <x:v>-4531.0435</x:v>
      </x:c>
      <x:c r="E20" s="32" t="n">
        <x:f>IFERROR(D20/C20,"")</x:f>
        <x:v>-0.1170018596170887</x:v>
      </x:c>
      <x:c r="F20" s="31" t="n">
        <x:f>SUMIFS('Source Data'!$L$6:$L$9998,'Source Data'!$N$6:$N$9998,A20)</x:f>
        <x:v>4187.496199999997</x:v>
      </x:c>
      <x:c r="G20" s="31" t="n">
        <x:f>IFERROR(INDEX($F$5:$F$52,MATCH(EDATE(A20,-1),$A$5:$A$52,0)),"")</x:f>
        <x:v>9732.0978</x:v>
      </x:c>
      <x:c r="H20" s="31" t="n">
        <x:f>IF(G20="","",F20-G20)</x:f>
        <x:v>-5544.601600000003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30" t="n">
        <x:v>42125</x:v>
      </x:c>
      <x:c r="B21" s="31" t="n">
        <x:f>SUMIFS('Source Data'!$I$6:$I$9998,'Source Data'!$N$6:$N$9998,A21)</x:f>
        <x:v>30131.686499999996</x:v>
      </x:c>
      <x:c r="C21" s="31" t="n">
        <x:f>IFERROR(INDEX($B$5:$B$52,MATCH(EDATE(A21,-1),$A$5:$A$52,0)),"")</x:f>
        <x:v>34195.20849999999</x:v>
      </x:c>
      <x:c r="D21" s="31" t="n">
        <x:f>IF(C21="","",B21-C21)</x:f>
        <x:v>-4063.521999999997</x:v>
      </x:c>
      <x:c r="E21" s="32" t="n">
        <x:f>IFERROR(D21/C21,"")</x:f>
        <x:v>-0.118833081541234</x:v>
      </x:c>
      <x:c r="F21" s="31" t="n">
        <x:f>SUMIFS('Source Data'!$L$6:$L$9998,'Source Data'!$N$6:$N$9998,A21)</x:f>
        <x:v>4667.868999999997</x:v>
      </x:c>
      <x:c r="G21" s="31" t="n">
        <x:f>IFERROR(INDEX($F$5:$F$52,MATCH(EDATE(A21,-1),$A$5:$A$52,0)),"")</x:f>
        <x:v>4187.496199999997</x:v>
      </x:c>
      <x:c r="H21" s="31" t="n">
        <x:f>IF(G21="","",F21-G21)</x:f>
        <x:v>480.3728000000001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30" t="n">
        <x:v>42156</x:v>
      </x:c>
      <x:c r="B22" s="31" t="n">
        <x:f>SUMIFS('Source Data'!$I$6:$I$9998,'Source Data'!$N$6:$N$9998,A22)</x:f>
        <x:v>24797.292</x:v>
      </x:c>
      <x:c r="C22" s="31" t="n">
        <x:f>IFERROR(INDEX($B$5:$B$52,MATCH(EDATE(A22,-1),$A$5:$A$52,0)),"")</x:f>
        <x:v>30131.686499999996</x:v>
      </x:c>
      <x:c r="D22" s="31" t="n">
        <x:f>IF(C22="","",B22-C22)</x:f>
        <x:v>-5334.394499999995</x:v>
      </x:c>
      <x:c r="E22" s="32" t="n">
        <x:f>IFERROR(D22/C22,"")</x:f>
        <x:v>-0.17703604144427812</x:v>
      </x:c>
      <x:c r="F22" s="31" t="n">
        <x:f>SUMIFS('Source Data'!$L$6:$L$9998,'Source Data'!$N$6:$N$9998,A22)</x:f>
        <x:v>3335.5571999999997</x:v>
      </x:c>
      <x:c r="G22" s="31" t="n">
        <x:f>IFERROR(INDEX($F$5:$F$52,MATCH(EDATE(A22,-1),$A$5:$A$52,0)),"")</x:f>
        <x:v>4667.868999999997</x:v>
      </x:c>
      <x:c r="H22" s="31" t="n">
        <x:f>IF(G22="","",F22-G22)</x:f>
        <x:v>-1332.3117999999972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30" t="n">
        <x:v>42186</x:v>
      </x:c>
      <x:c r="B23" s="31" t="n">
        <x:f>SUMIFS('Source Data'!$I$6:$I$9998,'Source Data'!$N$6:$N$9998,A23)</x:f>
        <x:v>28765.324999999993</x:v>
      </x:c>
      <x:c r="C23" s="31" t="n">
        <x:f>IFERROR(INDEX($B$5:$B$52,MATCH(EDATE(A23,-1),$A$5:$A$52,0)),"")</x:f>
        <x:v>24797.292</x:v>
      </x:c>
      <x:c r="D23" s="31" t="n">
        <x:f>IF(C23="","",B23-C23)</x:f>
        <x:v>3968.032999999992</x:v>
      </x:c>
      <x:c r="E23" s="32" t="n">
        <x:f>IFERROR(D23/C23,"")</x:f>
        <x:v>0.16001880366614193</x:v>
      </x:c>
      <x:c r="F23" s="31" t="n">
        <x:f>SUMIFS('Source Data'!$L$6:$L$9998,'Source Data'!$N$6:$N$9998,A23)</x:f>
        <x:v>3288.6483000000003</x:v>
      </x:c>
      <x:c r="G23" s="31" t="n">
        <x:f>IFERROR(INDEX($F$5:$F$52,MATCH(EDATE(A23,-1),$A$5:$A$52,0)),"")</x:f>
        <x:v>3335.5571999999997</x:v>
      </x:c>
      <x:c r="H23" s="31" t="n">
        <x:f>IF(G23="","",F23-G23)</x:f>
        <x:v>-46.90889999999945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30" t="n">
        <x:v>42217</x:v>
      </x:c>
      <x:c r="B24" s="31" t="n">
        <x:f>SUMIFS('Source Data'!$I$6:$I$9998,'Source Data'!$N$6:$N$9998,A24)</x:f>
        <x:v>36898.33219999999</x:v>
      </x:c>
      <x:c r="C24" s="31" t="n">
        <x:f>IFERROR(INDEX($B$5:$B$52,MATCH(EDATE(A24,-1),$A$5:$A$52,0)),"")</x:f>
        <x:v>28765.324999999993</x:v>
      </x:c>
      <x:c r="D24" s="31" t="n">
        <x:f>IF(C24="","",B24-C24)</x:f>
        <x:v>8133.007199999996</x:v>
      </x:c>
      <x:c r="E24" s="32" t="n">
        <x:f>IFERROR(D24/C24,"")</x:f>
        <x:v>0.2827364961112033</x:v>
      </x:c>
      <x:c r="F24" s="31" t="n">
        <x:f>SUMIFS('Source Data'!$L$6:$L$9998,'Source Data'!$N$6:$N$9998,A24)</x:f>
        <x:v>5355.8084</x:v>
      </x:c>
      <x:c r="G24" s="31" t="n">
        <x:f>IFERROR(INDEX($F$5:$F$52,MATCH(EDATE(A24,-1),$A$5:$A$52,0)),"")</x:f>
        <x:v>3288.6483000000003</x:v>
      </x:c>
      <x:c r="H24" s="31" t="n">
        <x:f>IF(G24="","",F24-G24)</x:f>
        <x:v>2067.1600999999996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30" t="n">
        <x:v>42248</x:v>
      </x:c>
      <x:c r="B25" s="31" t="n">
        <x:f>SUMIFS('Source Data'!$I$6:$I$9998,'Source Data'!$N$6:$N$9998,A25)</x:f>
        <x:v>64595.91800000004</x:v>
      </x:c>
      <x:c r="C25" s="31" t="n">
        <x:f>IFERROR(INDEX($B$5:$B$52,MATCH(EDATE(A25,-1),$A$5:$A$52,0)),"")</x:f>
        <x:v>36898.33219999999</x:v>
      </x:c>
      <x:c r="D25" s="31" t="n">
        <x:f>IF(C25="","",B25-C25)</x:f>
        <x:v>27697.58580000005</x:v>
      </x:c>
      <x:c r="E25" s="32" t="n">
        <x:f>IFERROR(D25/C25,"")</x:f>
        <x:v>0.7506460088729988</x:v>
      </x:c>
      <x:c r="F25" s="31" t="n">
        <x:f>SUMIFS('Source Data'!$L$6:$L$9998,'Source Data'!$N$6:$N$9998,A25)</x:f>
        <x:v>8209.1627</x:v>
      </x:c>
      <x:c r="G25" s="31" t="n">
        <x:f>IFERROR(INDEX($F$5:$F$52,MATCH(EDATE(A25,-1),$A$5:$A$52,0)),"")</x:f>
        <x:v>5355.8084</x:v>
      </x:c>
      <x:c r="H25" s="31" t="n">
        <x:f>IF(G25="","",F25-G25)</x:f>
        <x:v>2853.354300000001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30" t="n">
        <x:v>42278</x:v>
      </x:c>
      <x:c r="B26" s="31" t="n">
        <x:f>SUMIFS('Source Data'!$I$6:$I$9998,'Source Data'!$N$6:$N$9998,A26)</x:f>
        <x:v>31404.92350000001</x:v>
      </x:c>
      <x:c r="C26" s="31" t="n">
        <x:f>IFERROR(INDEX($B$5:$B$52,MATCH(EDATE(A26,-1),$A$5:$A$52,0)),"")</x:f>
        <x:v>64595.91800000004</x:v>
      </x:c>
      <x:c r="D26" s="31" t="n">
        <x:f>IF(C26="","",B26-C26)</x:f>
        <x:v>-33190.99450000003</x:v>
      </x:c>
      <x:c r="E26" s="32" t="n">
        <x:f>IFERROR(D26/C26,"")</x:f>
        <x:v>-0.5138249525302823</x:v>
      </x:c>
      <x:c r="F26" s="31" t="n">
        <x:f>SUMIFS('Source Data'!$L$6:$L$9998,'Source Data'!$N$6:$N$9998,A26)</x:f>
        <x:v>2817.3659999999986</x:v>
      </x:c>
      <x:c r="G26" s="31" t="n">
        <x:f>IFERROR(INDEX($F$5:$F$52,MATCH(EDATE(A26,-1),$A$5:$A$52,0)),"")</x:f>
        <x:v>8209.1627</x:v>
      </x:c>
      <x:c r="H26" s="31" t="n">
        <x:f>IF(G26="","",F26-G26)</x:f>
        <x:v>-5391.796700000003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30" t="n">
        <x:v>42309</x:v>
      </x:c>
      <x:c r="B27" s="31" t="n">
        <x:f>SUMIFS('Source Data'!$I$6:$I$9998,'Source Data'!$N$6:$N$9998,A27)</x:f>
        <x:v>75972.56350000005</x:v>
      </x:c>
      <x:c r="C27" s="31" t="n">
        <x:f>IFERROR(INDEX($B$5:$B$52,MATCH(EDATE(A27,-1),$A$5:$A$52,0)),"")</x:f>
        <x:v>31404.92350000001</x:v>
      </x:c>
      <x:c r="D27" s="31" t="n">
        <x:f>IF(C27="","",B27-C27)</x:f>
        <x:v>44567.640000000036</x:v>
      </x:c>
      <x:c r="E27" s="32" t="n">
        <x:f>IFERROR(D27/C27,"")</x:f>
        <x:v>1.4191290738218172</x:v>
      </x:c>
      <x:c r="F27" s="31" t="n">
        <x:f>SUMIFS('Source Data'!$L$6:$L$9998,'Source Data'!$N$6:$N$9998,A27)</x:f>
        <x:v>12474.788400000009</x:v>
      </x:c>
      <x:c r="G27" s="31" t="n">
        <x:f>IFERROR(INDEX($F$5:$F$52,MATCH(EDATE(A27,-1),$A$5:$A$52,0)),"")</x:f>
        <x:v>2817.3659999999986</x:v>
      </x:c>
      <x:c r="H27" s="31" t="n">
        <x:f>IF(G27="","",F27-G27)</x:f>
        <x:v>9657.42240000001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30" t="n">
        <x:v>42339</x:v>
      </x:c>
      <x:c r="B28" s="31" t="n">
        <x:f>SUMIFS('Source Data'!$I$6:$I$9998,'Source Data'!$N$6:$N$9998,A28)</x:f>
        <x:v>74919.52120000008</x:v>
      </x:c>
      <x:c r="C28" s="31" t="n">
        <x:f>IFERROR(INDEX($B$5:$B$52,MATCH(EDATE(A28,-1),$A$5:$A$52,0)),"")</x:f>
        <x:v>75972.56350000005</x:v>
      </x:c>
      <x:c r="D28" s="31" t="n">
        <x:f>IF(C28="","",B28-C28)</x:f>
        <x:v>-1053.0422999999719</x:v>
      </x:c>
      <x:c r="E28" s="32" t="n">
        <x:f>IFERROR(D28/C28,"")</x:f>
        <x:v>-0.013860823585345666</x:v>
      </x:c>
      <x:c r="F28" s="31" t="n">
        <x:f>SUMIFS('Source Data'!$L$6:$L$9998,'Source Data'!$N$6:$N$9998,A28)</x:f>
        <x:v>8016.965899999997</x:v>
      </x:c>
      <x:c r="G28" s="31" t="n">
        <x:f>IFERROR(INDEX($F$5:$F$52,MATCH(EDATE(A28,-1),$A$5:$A$52,0)),"")</x:f>
        <x:v>12474.788400000009</x:v>
      </x:c>
      <x:c r="H28" s="31" t="n">
        <x:f>IF(G28="","",F28-G28)</x:f>
        <x:v>-4457.822500000011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30" t="n">
        <x:v>42370</x:v>
      </x:c>
      <x:c r="B29" s="31" t="n">
        <x:f>SUMIFS('Source Data'!$I$6:$I$9998,'Source Data'!$N$6:$N$9998,A29)</x:f>
        <x:v>18542.490999999995</x:v>
      </x:c>
      <x:c r="C29" s="31" t="n">
        <x:f>IFERROR(INDEX($B$5:$B$52,MATCH(EDATE(A29,-1),$A$5:$A$52,0)),"")</x:f>
        <x:v>74919.52120000008</x:v>
      </x:c>
      <x:c r="D29" s="31" t="n">
        <x:f>IF(C29="","",B29-C29)</x:f>
        <x:v>-56377.03020000008</x:v>
      </x:c>
      <x:c r="E29" s="32" t="n">
        <x:f>IFERROR(D29/C29,"")</x:f>
        <x:v>-0.7525012079228294</x:v>
      </x:c>
      <x:c r="F29" s="31" t="n">
        <x:f>SUMIFS('Source Data'!$L$6:$L$9998,'Source Data'!$N$6:$N$9998,A29)</x:f>
        <x:v>2824.8233000000005</x:v>
      </x:c>
      <x:c r="G29" s="31" t="n">
        <x:f>IFERROR(INDEX($F$5:$F$52,MATCH(EDATE(A29,-1),$A$5:$A$52,0)),"")</x:f>
        <x:v>8016.965899999997</x:v>
      </x:c>
      <x:c r="H29" s="31" t="n">
        <x:f>IF(G29="","",F29-G29)</x:f>
        <x:v>-5192.142599999997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30" t="n">
        <x:v>42401</x:v>
      </x:c>
      <x:c r="B30" s="31" t="n">
        <x:f>SUMIFS('Source Data'!$I$6:$I$9998,'Source Data'!$N$6:$N$9998,A30)</x:f>
        <x:v>22978.815000000002</x:v>
      </x:c>
      <x:c r="C30" s="31" t="n">
        <x:f>IFERROR(INDEX($B$5:$B$52,MATCH(EDATE(A30,-1),$A$5:$A$52,0)),"")</x:f>
        <x:v>18542.490999999995</x:v>
      </x:c>
      <x:c r="D30" s="31" t="n">
        <x:f>IF(C30="","",B30-C30)</x:f>
        <x:v>4436.324000000008</x:v>
      </x:c>
      <x:c r="E30" s="32" t="n">
        <x:f>IFERROR(D30/C30,"")</x:f>
        <x:v>0.23925178121968668</x:v>
      </x:c>
      <x:c r="F30" s="31" t="n">
        <x:f>SUMIFS('Source Data'!$L$6:$L$9998,'Source Data'!$N$6:$N$9998,A30)</x:f>
        <x:v>5004.579499999998</x:v>
      </x:c>
      <x:c r="G30" s="31" t="n">
        <x:f>IFERROR(INDEX($F$5:$F$52,MATCH(EDATE(A30,-1),$A$5:$A$52,0)),"")</x:f>
        <x:v>2824.8233000000005</x:v>
      </x:c>
      <x:c r="H30" s="31" t="n">
        <x:f>IF(G30="","",F30-G30)</x:f>
        <x:v>2179.7561999999975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30" t="n">
        <x:v>42430</x:v>
      </x:c>
      <x:c r="B31" s="31" t="n">
        <x:f>SUMIFS('Source Data'!$I$6:$I$9998,'Source Data'!$N$6:$N$9998,A31)</x:f>
        <x:v>51715.87500000002</x:v>
      </x:c>
      <x:c r="C31" s="31" t="n">
        <x:f>IFERROR(INDEX($B$5:$B$52,MATCH(EDATE(A31,-1),$A$5:$A$52,0)),"")</x:f>
        <x:v>22978.815000000002</x:v>
      </x:c>
      <x:c r="D31" s="31" t="n">
        <x:f>IF(C31="","",B31-C31)</x:f>
        <x:v>28737.06000000002</x:v>
      </x:c>
      <x:c r="E31" s="32" t="n">
        <x:f>IFERROR(D31/C31,"")</x:f>
        <x:v>1.2505892927899032</x:v>
      </x:c>
      <x:c r="F31" s="31" t="n">
        <x:f>SUMIFS('Source Data'!$L$6:$L$9998,'Source Data'!$N$6:$N$9998,A31)</x:f>
        <x:v>3611.967999999998</x:v>
      </x:c>
      <x:c r="G31" s="31" t="n">
        <x:f>IFERROR(INDEX($F$5:$F$52,MATCH(EDATE(A31,-1),$A$5:$A$52,0)),"")</x:f>
        <x:v>5004.579499999998</x:v>
      </x:c>
      <x:c r="H31" s="31" t="n">
        <x:f>IF(G31="","",F31-G31)</x:f>
        <x:v>-1392.6115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30" t="n">
        <x:v>42461</x:v>
      </x:c>
      <x:c r="B32" s="31" t="n">
        <x:f>SUMIFS('Source Data'!$I$6:$I$9998,'Source Data'!$N$6:$N$9998,A32)</x:f>
        <x:v>38750.03899999997</x:v>
      </x:c>
      <x:c r="C32" s="31" t="n">
        <x:f>IFERROR(INDEX($B$5:$B$52,MATCH(EDATE(A32,-1),$A$5:$A$52,0)),"")</x:f>
        <x:v>51715.87500000002</x:v>
      </x:c>
      <x:c r="D32" s="31" t="n">
        <x:f>IF(C32="","",B32-C32)</x:f>
        <x:v>-12965.836000000054</x:v>
      </x:c>
      <x:c r="E32" s="32" t="n">
        <x:f>IFERROR(D32/C32,"")</x:f>
        <x:v>-0.25071288071602865</x:v>
      </x:c>
      <x:c r="F32" s="31" t="n">
        <x:f>SUMIFS('Source Data'!$L$6:$L$9998,'Source Data'!$N$6:$N$9998,A32)</x:f>
        <x:v>2977.814899999998</x:v>
      </x:c>
      <x:c r="G32" s="31" t="n">
        <x:f>IFERROR(INDEX($F$5:$F$52,MATCH(EDATE(A32,-1),$A$5:$A$52,0)),"")</x:f>
        <x:v>3611.967999999998</x:v>
      </x:c>
      <x:c r="H32" s="31" t="n">
        <x:f>IF(G32="","",F32-G32)</x:f>
        <x:v>-634.1531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30" t="n">
        <x:v>42491</x:v>
      </x:c>
      <x:c r="B33" s="31" t="n">
        <x:f>SUMIFS('Source Data'!$I$6:$I$9998,'Source Data'!$N$6:$N$9998,A33)</x:f>
        <x:v>56987.72799999999</x:v>
      </x:c>
      <x:c r="C33" s="31" t="n">
        <x:f>IFERROR(INDEX($B$5:$B$52,MATCH(EDATE(A33,-1),$A$5:$A$52,0)),"")</x:f>
        <x:v>38750.03899999997</x:v>
      </x:c>
      <x:c r="D33" s="31" t="n">
        <x:f>IF(C33="","",B33-C33)</x:f>
        <x:v>18237.68900000002</x:v>
      </x:c>
      <x:c r="E33" s="32" t="n">
        <x:f>IFERROR(D33/C33,"")</x:f>
        <x:v>0.4706495650236645</x:v>
      </x:c>
      <x:c r="F33" s="31" t="n">
        <x:f>SUMIFS('Source Data'!$L$6:$L$9998,'Source Data'!$N$6:$N$9998,A33)</x:f>
        <x:v>8662.1464</x:v>
      </x:c>
      <x:c r="G33" s="31" t="n">
        <x:f>IFERROR(INDEX($F$5:$F$52,MATCH(EDATE(A33,-1),$A$5:$A$52,0)),"")</x:f>
        <x:v>2977.814899999998</x:v>
      </x:c>
      <x:c r="H33" s="31" t="n">
        <x:f>IF(G33="","",F33-G33)</x:f>
        <x:v>5684.331500000002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30" t="n">
        <x:v>42522</x:v>
      </x:c>
      <x:c r="B34" s="31" t="n">
        <x:f>SUMIFS('Source Data'!$I$6:$I$9998,'Source Data'!$N$6:$N$9998,A34)</x:f>
        <x:v>40344.533999999985</x:v>
      </x:c>
      <x:c r="C34" s="31" t="n">
        <x:f>IFERROR(INDEX($B$5:$B$52,MATCH(EDATE(A34,-1),$A$5:$A$52,0)),"")</x:f>
        <x:v>56987.72799999999</x:v>
      </x:c>
      <x:c r="D34" s="31" t="n">
        <x:f>IF(C34="","",B34-C34)</x:f>
        <x:v>-16643.194000000003</x:v>
      </x:c>
      <x:c r="E34" s="32" t="n">
        <x:f>IFERROR(D34/C34,"")</x:f>
        <x:v>-0.29204873722988234</x:v>
      </x:c>
      <x:c r="F34" s="31" t="n">
        <x:f>SUMIFS('Source Data'!$L$6:$L$9998,'Source Data'!$N$6:$N$9998,A34)</x:f>
        <x:v>4750.378100000002</x:v>
      </x:c>
      <x:c r="G34" s="31" t="n">
        <x:f>IFERROR(INDEX($F$5:$F$52,MATCH(EDATE(A34,-1),$A$5:$A$52,0)),"")</x:f>
        <x:v>8662.1464</x:v>
      </x:c>
      <x:c r="H34" s="31" t="n">
        <x:f>IF(G34="","",F34-G34)</x:f>
        <x:v>-3911.768299999998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30" t="n">
        <x:v>42552</x:v>
      </x:c>
      <x:c r="B35" s="31" t="n">
        <x:f>SUMIFS('Source Data'!$I$6:$I$9998,'Source Data'!$N$6:$N$9998,A35)</x:f>
        <x:v>39261.962999999974</x:v>
      </x:c>
      <x:c r="C35" s="31" t="n">
        <x:f>IFERROR(INDEX($B$5:$B$52,MATCH(EDATE(A35,-1),$A$5:$A$52,0)),"")</x:f>
        <x:v>40344.533999999985</x:v>
      </x:c>
      <x:c r="D35" s="31" t="n">
        <x:f>IF(C35="","",B35-C35)</x:f>
        <x:v>-1082.5710000000108</x:v>
      </x:c>
      <x:c r="E35" s="32" t="n">
        <x:f>IFERROR(D35/C35,"")</x:f>
        <x:v>-0.026833151673037323</x:v>
      </x:c>
      <x:c r="F35" s="31" t="n">
        <x:f>SUMIFS('Source Data'!$L$6:$L$9998,'Source Data'!$N$6:$N$9998,A35)</x:f>
        <x:v>4432.8778999999995</x:v>
      </x:c>
      <x:c r="G35" s="31" t="n">
        <x:f>IFERROR(INDEX($F$5:$F$52,MATCH(EDATE(A35,-1),$A$5:$A$52,0)),"")</x:f>
        <x:v>4750.378100000002</x:v>
      </x:c>
      <x:c r="H35" s="31" t="n">
        <x:f>IF(G35="","",F35-G35)</x:f>
        <x:v>-317.5002000000022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30" t="n">
        <x:v>42583</x:v>
      </x:c>
      <x:c r="B36" s="31" t="n">
        <x:f>SUMIFS('Source Data'!$I$6:$I$9998,'Source Data'!$N$6:$N$9998,A36)</x:f>
        <x:v>31115.3743</x:v>
      </x:c>
      <x:c r="C36" s="31" t="n">
        <x:f>IFERROR(INDEX($B$5:$B$52,MATCH(EDATE(A36,-1),$A$5:$A$52,0)),"")</x:f>
        <x:v>39261.962999999974</x:v>
      </x:c>
      <x:c r="D36" s="31" t="n">
        <x:f>IF(C36="","",B36-C36)</x:f>
        <x:v>-8146.588699999975</x:v>
      </x:c>
      <x:c r="E36" s="32" t="n">
        <x:f>IFERROR(D36/C36,"")</x:f>
        <x:v>-0.20749315819996011</x:v>
      </x:c>
      <x:c r="F36" s="31" t="n">
        <x:f>SUMIFS('Source Data'!$L$6:$L$9998,'Source Data'!$N$6:$N$9998,A36)</x:f>
        <x:v>2062.0692999999983</x:v>
      </x:c>
      <x:c r="G36" s="31" t="n">
        <x:f>IFERROR(INDEX($F$5:$F$52,MATCH(EDATE(A36,-1),$A$5:$A$52,0)),"")</x:f>
        <x:v>4432.8778999999995</x:v>
      </x:c>
      <x:c r="H36" s="31" t="n">
        <x:f>IF(G36="","",F36-G36)</x:f>
        <x:v>-2370.808600000001</x:v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30" t="n">
        <x:v>42614</x:v>
      </x:c>
      <x:c r="B37" s="31" t="n">
        <x:f>SUMIFS('Source Data'!$I$6:$I$9998,'Source Data'!$N$6:$N$9998,A37)</x:f>
        <x:v>73410.02489999997</x:v>
      </x:c>
      <x:c r="C37" s="31" t="n">
        <x:f>IFERROR(INDEX($B$5:$B$52,MATCH(EDATE(A37,-1),$A$5:$A$52,0)),"")</x:f>
        <x:v>31115.3743</x:v>
      </x:c>
      <x:c r="D37" s="31" t="n">
        <x:f>IF(C37="","",B37-C37)</x:f>
        <x:v>42294.65059999998</x:v>
      </x:c>
      <x:c r="E37" s="32" t="n">
        <x:f>IFERROR(D37/C37,"")</x:f>
        <x:v>1.3592846479111769</x:v>
      </x:c>
      <x:c r="F37" s="31" t="n">
        <x:f>SUMIFS('Source Data'!$L$6:$L$9998,'Source Data'!$N$6:$N$9998,A37)</x:f>
        <x:v>9328.657599999991</x:v>
      </x:c>
      <x:c r="G37" s="31" t="n">
        <x:f>IFERROR(INDEX($F$5:$F$52,MATCH(EDATE(A37,-1),$A$5:$A$52,0)),"")</x:f>
        <x:v>2062.0692999999983</x:v>
      </x:c>
      <x:c r="H37" s="31" t="n">
        <x:f>IF(G37="","",F37-G37)</x:f>
        <x:v>7266.588299999993</x:v>
      </x:c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30" t="n">
        <x:v>42644</x:v>
      </x:c>
      <x:c r="B38" s="31" t="n">
        <x:f>SUMIFS('Source Data'!$I$6:$I$9998,'Source Data'!$N$6:$N$9998,A38)</x:f>
        <x:v>59687.74500000002</x:v>
      </x:c>
      <x:c r="C38" s="31" t="n">
        <x:f>IFERROR(INDEX($B$5:$B$52,MATCH(EDATE(A38,-1),$A$5:$A$52,0)),"")</x:f>
        <x:v>73410.02489999997</x:v>
      </x:c>
      <x:c r="D38" s="31" t="n">
        <x:f>IF(C38="","",B38-C38)</x:f>
        <x:v>-13722.279899999958</x:v>
      </x:c>
      <x:c r="E38" s="32" t="n">
        <x:f>IFERROR(D38/C38,"")</x:f>
        <x:v>-0.18692651199468482</x:v>
      </x:c>
      <x:c r="F38" s="31" t="n">
        <x:f>SUMIFS('Source Data'!$L$6:$L$9998,'Source Data'!$N$6:$N$9998,A38)</x:f>
        <x:v>16243.142500000004</x:v>
      </x:c>
      <x:c r="G38" s="31" t="n">
        <x:f>IFERROR(INDEX($F$5:$F$52,MATCH(EDATE(A38,-1),$A$5:$A$52,0)),"")</x:f>
        <x:v>9328.657599999991</x:v>
      </x:c>
      <x:c r="H38" s="31" t="n">
        <x:f>IF(G38="","",F38-G38)</x:f>
        <x:v>6914.484900000012</x:v>
      </x:c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30" t="n">
        <x:v>42675</x:v>
      </x:c>
      <x:c r="B39" s="31" t="n">
        <x:f>SUMIFS('Source Data'!$I$6:$I$9998,'Source Data'!$N$6:$N$9998,A39)</x:f>
        <x:v>79411.96579999999</x:v>
      </x:c>
      <x:c r="C39" s="31" t="n">
        <x:f>IFERROR(INDEX($B$5:$B$52,MATCH(EDATE(A39,-1),$A$5:$A$52,0)),"")</x:f>
        <x:v>59687.74500000002</x:v>
      </x:c>
      <x:c r="D39" s="31" t="n">
        <x:f>IF(C39="","",B39-C39)</x:f>
        <x:v>19724.220799999974</x:v>
      </x:c>
      <x:c r="E39" s="32" t="n">
        <x:f>IFERROR(D39/C39,"")</x:f>
        <x:v>0.3304567930988173</x:v>
      </x:c>
      <x:c r="F39" s="31" t="n">
        <x:f>SUMIFS('Source Data'!$L$6:$L$9998,'Source Data'!$N$6:$N$9998,A39)</x:f>
        <x:v>4011.407499999998</x:v>
      </x:c>
      <x:c r="G39" s="31" t="n">
        <x:f>IFERROR(INDEX($F$5:$F$52,MATCH(EDATE(A39,-1),$A$5:$A$52,0)),"")</x:f>
        <x:v>16243.142500000004</x:v>
      </x:c>
      <x:c r="H39" s="31" t="n">
        <x:f>IF(G39="","",F39-G39)</x:f>
        <x:v>-12231.735000000006</x:v>
      </x:c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30" t="n">
        <x:v>42705</x:v>
      </x:c>
      <x:c r="B40" s="31" t="n">
        <x:f>SUMIFS('Source Data'!$I$6:$I$9998,'Source Data'!$N$6:$N$9998,A40)</x:f>
        <x:v>96999.04300000002</x:v>
      </x:c>
      <x:c r="C40" s="31" t="n">
        <x:f>IFERROR(INDEX($B$5:$B$52,MATCH(EDATE(A40,-1),$A$5:$A$52,0)),"")</x:f>
        <x:v>79411.96579999999</x:v>
      </x:c>
      <x:c r="D40" s="31" t="n">
        <x:f>IF(C40="","",B40-C40)</x:f>
        <x:v>17587.07720000003</x:v>
      </x:c>
      <x:c r="E40" s="32" t="n">
        <x:f>IFERROR(D40/C40,"")</x:f>
        <x:v>0.22146633725568887</x:v>
      </x:c>
      <x:c r="F40" s="31" t="n">
        <x:f>SUMIFS('Source Data'!$L$6:$L$9998,'Source Data'!$N$6:$N$9998,A40)</x:f>
        <x:v>17885.3093</x:v>
      </x:c>
      <x:c r="G40" s="31" t="n">
        <x:f>IFERROR(INDEX($F$5:$F$52,MATCH(EDATE(A40,-1),$A$5:$A$52,0)),"")</x:f>
        <x:v>4011.407499999998</x:v>
      </x:c>
      <x:c r="H40" s="31" t="n">
        <x:f>IF(G40="","",F40-G40)</x:f>
        <x:v>13873.901800000003</x:v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30" t="n">
        <x:v>42736</x:v>
      </x:c>
      <x:c r="B41" s="31" t="n">
        <x:f>SUMIFS('Source Data'!$I$6:$I$9998,'Source Data'!$N$6:$N$9998,A41)</x:f>
        <x:v>43971.373999999996</x:v>
      </x:c>
      <x:c r="C41" s="31" t="n">
        <x:f>IFERROR(INDEX($B$5:$B$52,MATCH(EDATE(A41,-1),$A$5:$A$52,0)),"")</x:f>
        <x:v>96999.04300000002</x:v>
      </x:c>
      <x:c r="D41" s="31" t="n">
        <x:f>IF(C41="","",B41-C41)</x:f>
        <x:v>-53027.66900000002</x:v>
      </x:c>
      <x:c r="E41" s="32" t="n">
        <x:f>IFERROR(D41/C41,"")</x:f>
        <x:v>-0.5466823935572231</x:v>
      </x:c>
      <x:c r="F41" s="31" t="n">
        <x:f>SUMIFS('Source Data'!$L$6:$L$9998,'Source Data'!$N$6:$N$9998,A41)</x:f>
        <x:v>7140.439099999999</x:v>
      </x:c>
      <x:c r="G41" s="31" t="n">
        <x:f>IFERROR(INDEX($F$5:$F$52,MATCH(EDATE(A41,-1),$A$5:$A$52,0)),"")</x:f>
        <x:v>17885.3093</x:v>
      </x:c>
      <x:c r="H41" s="31" t="n">
        <x:f>IF(G41="","",F41-G41)</x:f>
        <x:v>-10744.870200000001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30" t="n">
        <x:v>42767</x:v>
      </x:c>
      <x:c r="B42" s="31" t="n">
        <x:f>SUMIFS('Source Data'!$I$6:$I$9998,'Source Data'!$N$6:$N$9998,A42)</x:f>
        <x:v>20301.13339999999</x:v>
      </x:c>
      <x:c r="C42" s="31" t="n">
        <x:f>IFERROR(INDEX($B$5:$B$52,MATCH(EDATE(A42,-1),$A$5:$A$52,0)),"")</x:f>
        <x:v>43971.373999999996</x:v>
      </x:c>
      <x:c r="D42" s="31" t="n">
        <x:f>IF(C42="","",B42-C42)</x:f>
        <x:v>-23670.240600000005</x:v>
      </x:c>
      <x:c r="E42" s="32" t="n">
        <x:f>IFERROR(D42/C42,"")</x:f>
        <x:v>-0.5383102333804717</x:v>
      </x:c>
      <x:c r="F42" s="31" t="n">
        <x:f>SUMIFS('Source Data'!$L$6:$L$9998,'Source Data'!$N$6:$N$9998,A42)</x:f>
        <x:v>1613.8719999999985</x:v>
      </x:c>
      <x:c r="G42" s="31" t="n">
        <x:f>IFERROR(INDEX($F$5:$F$52,MATCH(EDATE(A42,-1),$A$5:$A$52,0)),"")</x:f>
        <x:v>7140.439099999999</x:v>
      </x:c>
      <x:c r="H42" s="31" t="n">
        <x:f>IF(G42="","",F42-G42)</x:f>
        <x:v>-5526.5671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30" t="n">
        <x:v>42795</x:v>
      </x:c>
      <x:c r="B43" s="31" t="n">
        <x:f>SUMIFS('Source Data'!$I$6:$I$9998,'Source Data'!$N$6:$N$9998,A43)</x:f>
        <x:v>58872.352799999986</x:v>
      </x:c>
      <x:c r="C43" s="31" t="n">
        <x:f>IFERROR(INDEX($B$5:$B$52,MATCH(EDATE(A43,-1),$A$5:$A$52,0)),"")</x:f>
        <x:v>20301.13339999999</x:v>
      </x:c>
      <x:c r="D43" s="31" t="n">
        <x:f>IF(C43="","",B43-C43)</x:f>
        <x:v>38571.219399999994</x:v>
      </x:c>
      <x:c r="E43" s="32" t="n">
        <x:f>IFERROR(D43/C43,"")</x:f>
        <x:v>1.899953989760986</x:v>
      </x:c>
      <x:c r="F43" s="31" t="n">
        <x:f>SUMIFS('Source Data'!$L$6:$L$9998,'Source Data'!$N$6:$N$9998,A43)</x:f>
        <x:v>14751.8915</x:v>
      </x:c>
      <x:c r="G43" s="31" t="n">
        <x:f>IFERROR(INDEX($F$5:$F$52,MATCH(EDATE(A43,-1),$A$5:$A$52,0)),"")</x:f>
        <x:v>1613.8719999999985</x:v>
      </x:c>
      <x:c r="H43" s="31" t="n">
        <x:f>IF(G43="","",F43-G43)</x:f>
        <x:v>13138.019500000002</x:v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30" t="n">
        <x:v>42826</x:v>
      </x:c>
      <x:c r="B44" s="31" t="n">
        <x:f>SUMIFS('Source Data'!$I$6:$I$9998,'Source Data'!$N$6:$N$9998,A44)</x:f>
        <x:v>36521.536100000005</x:v>
      </x:c>
      <x:c r="C44" s="31" t="n">
        <x:f>IFERROR(INDEX($B$5:$B$52,MATCH(EDATE(A44,-1),$A$5:$A$52,0)),"")</x:f>
        <x:v>58872.352799999986</x:v>
      </x:c>
      <x:c r="D44" s="31" t="n">
        <x:f>IF(C44="","",B44-C44)</x:f>
        <x:v>-22350.81669999998</x:v>
      </x:c>
      <x:c r="E44" s="32" t="n">
        <x:f>IFERROR(D44/C44,"")</x:f>
        <x:v>-0.3796487763268056</x:v>
      </x:c>
      <x:c r="F44" s="31" t="n">
        <x:f>SUMIFS('Source Data'!$L$6:$L$9998,'Source Data'!$N$6:$N$9998,A44)</x:f>
        <x:v>933.2899999999962</x:v>
      </x:c>
      <x:c r="G44" s="31" t="n">
        <x:f>IFERROR(INDEX($F$5:$F$52,MATCH(EDATE(A44,-1),$A$5:$A$52,0)),"")</x:f>
        <x:v>14751.8915</x:v>
      </x:c>
      <x:c r="H44" s="31" t="n">
        <x:f>IF(G44="","",F44-G44)</x:f>
        <x:v>-13818.601500000004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30" t="n">
        <x:v>42856</x:v>
      </x:c>
      <x:c r="B45" s="31" t="n">
        <x:f>SUMIFS('Source Data'!$I$6:$I$9998,'Source Data'!$N$6:$N$9998,A45)</x:f>
        <x:v>44261.110199999996</x:v>
      </x:c>
      <x:c r="C45" s="31" t="n">
        <x:f>IFERROR(INDEX($B$5:$B$52,MATCH(EDATE(A45,-1),$A$5:$A$52,0)),"")</x:f>
        <x:v>36521.536100000005</x:v>
      </x:c>
      <x:c r="D45" s="31" t="n">
        <x:f>IF(C45="","",B45-C45)</x:f>
        <x:v>7739.574099999991</x:v>
      </x:c>
      <x:c r="E45" s="32" t="n">
        <x:f>IFERROR(D45/C45,"")</x:f>
        <x:v>0.2119180879689228</x:v>
      </x:c>
      <x:c r="F45" s="31" t="n">
        <x:f>SUMIFS('Source Data'!$L$6:$L$9998,'Source Data'!$N$6:$N$9998,A45)</x:f>
        <x:v>6342.5827999999965</x:v>
      </x:c>
      <x:c r="G45" s="31" t="n">
        <x:f>IFERROR(INDEX($F$5:$F$52,MATCH(EDATE(A45,-1),$A$5:$A$52,0)),"")</x:f>
        <x:v>933.2899999999962</x:v>
      </x:c>
      <x:c r="H45" s="31" t="n">
        <x:f>IF(G45="","",F45-G45)</x:f>
        <x:v>5409.2928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30" t="n">
        <x:v>42887</x:v>
      </x:c>
      <x:c r="B46" s="31" t="n">
        <x:f>SUMIFS('Source Data'!$I$6:$I$9998,'Source Data'!$N$6:$N$9998,A46)</x:f>
        <x:v>52981.725699999995</x:v>
      </x:c>
      <x:c r="C46" s="31" t="n">
        <x:f>IFERROR(INDEX($B$5:$B$52,MATCH(EDATE(A46,-1),$A$5:$A$52,0)),"")</x:f>
        <x:v>44261.110199999996</x:v>
      </x:c>
      <x:c r="D46" s="31" t="n">
        <x:f>IF(C46="","",B46-C46)</x:f>
        <x:v>8720.6155</x:v>
      </x:c>
      <x:c r="E46" s="32" t="n">
        <x:f>IFERROR(D46/C46,"")</x:f>
        <x:v>0.19702658746232715</x:v>
      </x:c>
      <x:c r="F46" s="31" t="n">
        <x:f>SUMIFS('Source Data'!$L$6:$L$9998,'Source Data'!$N$6:$N$9998,A46)</x:f>
        <x:v>8223.335699999996</x:v>
      </x:c>
      <x:c r="G46" s="31" t="n">
        <x:f>IFERROR(INDEX($F$5:$F$52,MATCH(EDATE(A46,-1),$A$5:$A$52,0)),"")</x:f>
        <x:v>6342.5827999999965</x:v>
      </x:c>
      <x:c r="H46" s="31" t="n">
        <x:f>IF(G46="","",F46-G46)</x:f>
        <x:v>1880.7528999999995</x:v>
      </x:c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30" t="n">
        <x:v>42917</x:v>
      </x:c>
      <x:c r="B47" s="31" t="n">
        <x:f>SUMIFS('Source Data'!$I$6:$I$9998,'Source Data'!$N$6:$N$9998,A47)</x:f>
        <x:v>45264.416000000005</x:v>
      </x:c>
      <x:c r="C47" s="31" t="n">
        <x:f>IFERROR(INDEX($B$5:$B$52,MATCH(EDATE(A47,-1),$A$5:$A$52,0)),"")</x:f>
        <x:v>52981.725699999995</x:v>
      </x:c>
      <x:c r="D47" s="31" t="n">
        <x:f>IF(C47="","",B47-C47)</x:f>
        <x:v>-7717.309699999991</x:v>
      </x:c>
      <x:c r="E47" s="32" t="n">
        <x:f>IFERROR(D47/C47,"")</x:f>
        <x:v>-0.1456598402192096</x:v>
      </x:c>
      <x:c r="F47" s="31" t="n">
        <x:f>SUMIFS('Source Data'!$L$6:$L$9998,'Source Data'!$N$6:$N$9998,A47)</x:f>
        <x:v>6952.621199999999</x:v>
      </x:c>
      <x:c r="G47" s="31" t="n">
        <x:f>IFERROR(INDEX($F$5:$F$52,MATCH(EDATE(A47,-1),$A$5:$A$52,0)),"")</x:f>
        <x:v>8223.335699999996</x:v>
      </x:c>
      <x:c r="H47" s="31" t="n">
        <x:f>IF(G47="","",F47-G47)</x:f>
        <x:v>-1270.7144999999973</x:v>
      </x:c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30" t="n">
        <x:v>42948</x:v>
      </x:c>
      <x:c r="B48" s="31" t="n">
        <x:f>SUMIFS('Source Data'!$I$6:$I$9998,'Source Data'!$N$6:$N$9998,A48)</x:f>
        <x:v>63120.88799999998</x:v>
      </x:c>
      <x:c r="C48" s="31" t="n">
        <x:f>IFERROR(INDEX($B$5:$B$52,MATCH(EDATE(A48,-1),$A$5:$A$52,0)),"")</x:f>
        <x:v>45264.416000000005</x:v>
      </x:c>
      <x:c r="D48" s="31" t="n">
        <x:f>IF(C48="","",B48-C48)</x:f>
        <x:v>17856.471999999972</x:v>
      </x:c>
      <x:c r="E48" s="32" t="n">
        <x:f>IFERROR(D48/C48,"")</x:f>
        <x:v>0.39449248610652504</x:v>
      </x:c>
      <x:c r="F48" s="31" t="n">
        <x:f>SUMIFS('Source Data'!$L$6:$L$9998,'Source Data'!$N$6:$N$9998,A48)</x:f>
        <x:v>9040.955699999997</x:v>
      </x:c>
      <x:c r="G48" s="31" t="n">
        <x:f>IFERROR(INDEX($F$5:$F$52,MATCH(EDATE(A48,-1),$A$5:$A$52,0)),"")</x:f>
        <x:v>6952.621199999999</x:v>
      </x:c>
      <x:c r="H48" s="31" t="n">
        <x:f>IF(G48="","",F48-G48)</x:f>
        <x:v>2088.334499999998</x:v>
      </x:c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30" t="n">
        <x:v>42979</x:v>
      </x:c>
      <x:c r="B49" s="31" t="n">
        <x:f>SUMIFS('Source Data'!$I$6:$I$9998,'Source Data'!$N$6:$N$9998,A49)</x:f>
        <x:v>87866.65200000003</x:v>
      </x:c>
      <x:c r="C49" s="31" t="n">
        <x:f>IFERROR(INDEX($B$5:$B$52,MATCH(EDATE(A49,-1),$A$5:$A$52,0)),"")</x:f>
        <x:v>63120.88799999998</x:v>
      </x:c>
      <x:c r="D49" s="31" t="n">
        <x:f>IF(C49="","",B49-C49)</x:f>
        <x:v>24745.764000000054</x:v>
      </x:c>
      <x:c r="E49" s="32" t="n">
        <x:f>IFERROR(D49/C49,"")</x:f>
        <x:v>0.39203764053509615</x:v>
      </x:c>
      <x:c r="F49" s="31" t="n">
        <x:f>SUMIFS('Source Data'!$L$6:$L$9998,'Source Data'!$N$6:$N$9998,A49)</x:f>
        <x:v>10991.555600000007</x:v>
      </x:c>
      <x:c r="G49" s="31" t="n">
        <x:f>IFERROR(INDEX($F$5:$F$52,MATCH(EDATE(A49,-1),$A$5:$A$52,0)),"")</x:f>
        <x:v>9040.955699999997</x:v>
      </x:c>
      <x:c r="H49" s="31" t="n">
        <x:f>IF(G49="","",F49-G49)</x:f>
        <x:v>1950.5999000000102</x:v>
      </x:c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30" t="n">
        <x:v>43009</x:v>
      </x:c>
      <x:c r="B50" s="31" t="n">
        <x:f>SUMIFS('Source Data'!$I$6:$I$9998,'Source Data'!$N$6:$N$9998,A50)</x:f>
        <x:v>77776.92319999998</x:v>
      </x:c>
      <x:c r="C50" s="31" t="n">
        <x:f>IFERROR(INDEX($B$5:$B$52,MATCH(EDATE(A50,-1),$A$5:$A$52,0)),"")</x:f>
        <x:v>87866.65200000003</x:v>
      </x:c>
      <x:c r="D50" s="31" t="n">
        <x:f>IF(C50="","",B50-C50)</x:f>
        <x:v>-10089.728800000055</x:v>
      </x:c>
      <x:c r="E50" s="32" t="n">
        <x:f>IFERROR(D50/C50,"")</x:f>
        <x:v>-0.11483001309757486</x:v>
      </x:c>
      <x:c r="F50" s="31" t="n">
        <x:f>SUMIFS('Source Data'!$L$6:$L$9998,'Source Data'!$N$6:$N$9998,A50)</x:f>
        <x:v>9275.2755</x:v>
      </x:c>
      <x:c r="G50" s="31" t="n">
        <x:f>IFERROR(INDEX($F$5:$F$52,MATCH(EDATE(A50,-1),$A$5:$A$52,0)),"")</x:f>
        <x:v>10991.555600000007</x:v>
      </x:c>
      <x:c r="H50" s="31" t="n">
        <x:f>IF(G50="","",F50-G50)</x:f>
        <x:v>-1716.2801000000072</x:v>
      </x:c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30" t="n">
        <x:v>43040</x:v>
      </x:c>
      <x:c r="B51" s="31" t="n">
        <x:f>SUMIFS('Source Data'!$I$6:$I$9998,'Source Data'!$N$6:$N$9998,A51)</x:f>
        <x:v>118447.82500000003</x:v>
      </x:c>
      <x:c r="C51" s="31" t="n">
        <x:f>IFERROR(INDEX($B$5:$B$52,MATCH(EDATE(A51,-1),$A$5:$A$52,0)),"")</x:f>
        <x:v>77776.92319999998</x:v>
      </x:c>
      <x:c r="D51" s="31" t="n">
        <x:f>IF(C51="","",B51-C51)</x:f>
        <x:v>40670.90180000005</x:v>
      </x:c>
      <x:c r="E51" s="32" t="n">
        <x:f>IFERROR(D51/C51,"")</x:f>
        <x:v>0.5229173400883523</x:v>
      </x:c>
      <x:c r="F51" s="31" t="n">
        <x:f>SUMIFS('Source Data'!$L$6:$L$9998,'Source Data'!$N$6:$N$9998,A51)</x:f>
        <x:v>9690.103699999994</x:v>
      </x:c>
      <x:c r="G51" s="31" t="n">
        <x:f>IFERROR(INDEX($F$5:$F$52,MATCH(EDATE(A51,-1),$A$5:$A$52,0)),"")</x:f>
        <x:v>9275.2755</x:v>
      </x:c>
      <x:c r="H51" s="31" t="n">
        <x:f>IF(G51="","",F51-G51)</x:f>
        <x:v>414.82819999999447</x:v>
      </x:c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33" t="n">
        <x:v>43070</x:v>
      </x:c>
      <x:c r="B52" s="34" t="n">
        <x:f>SUMIFS('Source Data'!$I$6:$I$9998,'Source Data'!$N$6:$N$9998,A52)</x:f>
        <x:v>83829.3188</x:v>
      </x:c>
      <x:c r="C52" s="34" t="n">
        <x:f>IFERROR(INDEX($B$5:$B$52,MATCH(EDATE(A52,-1),$A$5:$A$52,0)),"")</x:f>
        <x:v>118447.82500000003</x:v>
      </x:c>
      <x:c r="D52" s="34" t="n">
        <x:f>IF(C52="","",B52-C52)</x:f>
        <x:v>-34618.50620000003</x:v>
      </x:c>
      <x:c r="E52" s="35" t="n">
        <x:f>IFERROR(D52/C52,"")</x:f>
        <x:v>-0.2922679770607863</x:v>
      </x:c>
      <x:c r="F52" s="34" t="n">
        <x:f>SUMIFS('Source Data'!$L$6:$L$9998,'Source Data'!$N$6:$N$9998,A52)</x:f>
        <x:v>8483.346799999992</x:v>
      </x:c>
      <x:c r="G52" s="34" t="n">
        <x:f>IFERROR(INDEX($F$5:$F$52,MATCH(EDATE(A52,-1),$A$5:$A$52,0)),"")</x:f>
        <x:v>9690.103699999994</x:v>
      </x:c>
      <x:c r="H52" s="34" t="n">
        <x:f>IF(G52="","",F52-G52)</x:f>
        <x:v>-1206.7569000000021</x:v>
      </x:c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conditionalFormatting sqref="D5:E52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f41761f22eff4713"/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9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" hidden="0" customWidth="1"/>
    <x:col min="14" max="14" width="18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Business Performance Comparison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2"/>
      <x:c r="T3" s="2"/>
      <x:c r="U3" s="2"/>
      <x:c r="V3" s="2"/>
      <x:c r="W3" s="2"/>
      <x:c r="X3" s="2"/>
      <x:c r="Y3" s="2"/>
      <x:c r="Z3" s="2"/>
    </x:row>
    <x:row r="4" ht="30" customHeight="1">
      <x:c r="A4" s="14" t="str">
        <x:v>Region</x:v>
      </x:c>
      <x:c r="B4" s="15" t="str">
        <x:v>Sales</x:v>
      </x:c>
      <x:c r="C4" s="15" t="str">
        <x:v>Profit</x:v>
      </x:c>
      <x:c r="D4" s="15" t="str">
        <x:v>Profit Margin</x:v>
      </x:c>
      <x:c r="E4" s="16" t="str">
        <x:v>Revenue Contribution</x:v>
      </x:c>
      <x:c r="F4" s="2"/>
      <x:c r="G4" s="14" t="str">
        <x:v>Category</x:v>
      </x:c>
      <x:c r="H4" s="15" t="str">
        <x:v>Sales 2016</x:v>
      </x:c>
      <x:c r="I4" s="15" t="str">
        <x:v>Sales 2017</x:v>
      </x:c>
      <x:c r="J4" s="15" t="str">
        <x:v>Variance</x:v>
      </x:c>
      <x:c r="K4" s="15" t="str">
        <x:v>Growth %</x:v>
      </x:c>
      <x:c r="L4" s="16" t="str">
        <x:v>Overall Margin</x:v>
      </x:c>
      <x:c r="M4" s="2"/>
      <x:c r="N4" s="14" t="str">
        <x:v>Segment</x:v>
      </x:c>
      <x:c r="O4" s="15" t="str">
        <x:v>Sales</x:v>
      </x:c>
      <x:c r="P4" s="15" t="str">
        <x:v>Profit</x:v>
      </x:c>
      <x:c r="Q4" s="15" t="str">
        <x:v>Profit Margin</x:v>
      </x:c>
      <x:c r="R4" s="16" t="str">
        <x:v>Revenue Contribution</x:v>
      </x:c>
      <x:c r="S4" s="2"/>
      <x:c r="T4" s="2"/>
      <x:c r="U4" s="2"/>
      <x:c r="V4" s="2"/>
      <x:c r="W4" s="2"/>
      <x:c r="X4" s="2"/>
      <x:c r="Y4" s="2"/>
      <x:c r="Z4" s="2"/>
    </x:row>
    <x:row r="5">
      <x:c r="A5" s="36" t="str">
        <x:v>Central</x:v>
      </x:c>
      <x:c r="B5" s="28" t="n">
        <x:f>SUMIFS('Source Data'!$I$6:$I$9998,'Source Data'!$F$6:$F$9998,A5)</x:f>
        <x:v>501239.8908000005</x:v>
      </x:c>
      <x:c r="C5" s="28" t="n">
        <x:f>SUMIFS('Source Data'!$L$6:$L$9998,'Source Data'!$F$6:$F$9998,A5)</x:f>
        <x:v>39706.36249999997</x:v>
      </x:c>
      <x:c r="D5" s="29" t="n">
        <x:f>IFERROR(C5/B5,0)</x:f>
        <x:v>0.07921628591177549</x:v>
      </x:c>
      <x:c r="E5" s="29" t="n">
        <x:f>IFERROR(B5/SUM('Source Data'!$I$6:$I$9998),0)</x:f>
        <x:v>0.21822266446569655</x:v>
      </x:c>
      <x:c r="F5" s="2"/>
      <x:c r="G5" s="36" t="str">
        <x:v>Furniture</x:v>
      </x:c>
      <x:c r="H5" s="28" t="n">
        <x:f>SUMIFS('Source Data'!$I$6:$I$9998,'Source Data'!$G$6:$G$9998,G5,'Source Data'!$M$6:$M$9998,2016)</x:f>
        <x:v>198901.4360000002</x:v>
      </x:c>
      <x:c r="I5" s="28" t="n">
        <x:f>SUMIFS('Source Data'!$I$6:$I$9998,'Source Data'!$G$6:$G$9998,G5,'Source Data'!$M$6:$M$9998,2017)</x:f>
        <x:v>215387.26920000004</x:v>
      </x:c>
      <x:c r="J5" s="28" t="n">
        <x:f>I5-H5</x:f>
        <x:v>16485.833199999848</x:v>
      </x:c>
      <x:c r="K5" s="29" t="n">
        <x:f>IFERROR(J5/H5,0)</x:f>
        <x:v>0.08288443528381481</x:v>
      </x:c>
      <x:c r="L5" s="29" t="n">
        <x:f>IFERROR(SUMIFS('Source Data'!$L$6:$L$9998,'Source Data'!$G$6:$G$9998,G5)/SUMIFS('Source Data'!$I$6:$I$9998,'Source Data'!$G$6:$G$9998,G5),0)</x:f>
        <x:v>0.02489264257163019</x:v>
      </x:c>
      <x:c r="M5" s="2"/>
      <x:c r="N5" s="36" t="str">
        <x:v>Consumer</x:v>
      </x:c>
      <x:c r="O5" s="28" t="n">
        <x:f>SUMIFS('Source Data'!$I$6:$I$9998,'Source Data'!$E$6:$E$9998,N5)</x:f>
        <x:v>1161401.3449999888</x:v>
      </x:c>
      <x:c r="P5" s="28" t="n">
        <x:f>SUMIFS('Source Data'!$L$6:$L$9998,'Source Data'!$E$6:$E$9998,N5)</x:f>
        <x:v>134119.20919999972</x:v>
      </x:c>
      <x:c r="Q5" s="29" t="n">
        <x:f>IFERROR(P5/O5,0)</x:f>
        <x:v>0.11548050101491919</x:v>
      </x:c>
      <x:c r="R5" s="29" t="n">
        <x:f>IFERROR(O5/SUM('Source Data'!$I$6:$I$9998),0)</x:f>
        <x:v>0.5056343293336719</x:v>
      </x:c>
      <x:c r="S5" s="2"/>
      <x:c r="T5" s="2"/>
      <x:c r="U5" s="2"/>
      <x:c r="V5" s="2"/>
      <x:c r="W5" s="2"/>
      <x:c r="X5" s="2"/>
      <x:c r="Y5" s="2"/>
      <x:c r="Z5" s="2"/>
    </x:row>
    <x:row r="6">
      <x:c r="A6" s="37" t="str">
        <x:v>East</x:v>
      </x:c>
      <x:c r="B6" s="31" t="n">
        <x:f>SUMIFS('Source Data'!$I$6:$I$9998,'Source Data'!$F$6:$F$9998,A6)</x:f>
        <x:v>678499.8679999979</x:v>
      </x:c>
      <x:c r="C6" s="31" t="n">
        <x:f>SUMIFS('Source Data'!$L$6:$L$9998,'Source Data'!$F$6:$F$9998,A6)</x:f>
        <x:v>91534.83880000026</x:v>
      </x:c>
      <x:c r="D6" s="32" t="n">
        <x:f>IFERROR(C6/B6,0)</x:f>
        <x:v>0.13490767370348336</x:v>
      </x:c>
      <x:c r="E6" s="32" t="n">
        <x:f>IFERROR(B6/SUM('Source Data'!$I$6:$I$9998),0)</x:f>
        <x:v>0.29539558154133805</x:v>
      </x:c>
      <x:c r="F6" s="2"/>
      <x:c r="G6" s="37" t="str">
        <x:v>Office Supplies</x:v>
      </x:c>
      <x:c r="H6" s="31" t="n">
        <x:f>SUMIFS('Source Data'!$I$6:$I$9998,'Source Data'!$G$6:$G$9998,G6,'Source Data'!$M$6:$M$9998,2016)</x:f>
        <x:v>183939.98199999996</x:v>
      </x:c>
      <x:c r="I6" s="31" t="n">
        <x:f>SUMIFS('Source Data'!$I$6:$I$9998,'Source Data'!$G$6:$G$9998,G6,'Source Data'!$M$6:$M$9998,2017)</x:f>
        <x:v>246097.17500000025</x:v>
      </x:c>
      <x:c r="J6" s="31" t="n">
        <x:f>I6-H6</x:f>
        <x:v>62157.19300000029</x:v>
      </x:c>
      <x:c r="K6" s="32" t="n">
        <x:f>IFERROR(J6/H6,0)</x:f>
        <x:v>0.3379210562280054</x:v>
      </x:c>
      <x:c r="L6" s="32" t="n">
        <x:f>IFERROR(SUMIFS('Source Data'!$L$6:$L$9998,'Source Data'!$G$6:$G$9998,G6)/SUMIFS('Source Data'!$I$6:$I$9998,'Source Data'!$G$6:$G$9998,G6),0)</x:f>
        <x:v>0.17035158390028596</x:v>
      </x:c>
      <x:c r="M6" s="2"/>
      <x:c r="N6" s="37" t="str">
        <x:v>Corporate</x:v>
      </x:c>
      <x:c r="O6" s="31" t="n">
        <x:f>SUMIFS('Source Data'!$I$6:$I$9998,'Source Data'!$E$6:$E$9998,N6)</x:f>
        <x:v>706146.3668000001</x:v>
      </x:c>
      <x:c r="P6" s="31" t="n">
        <x:f>SUMIFS('Source Data'!$L$6:$L$9998,'Source Data'!$E$6:$E$9998,N6)</x:f>
        <x:v>91979.13400000018</x:v>
      </x:c>
      <x:c r="Q6" s="32" t="n">
        <x:f>IFERROR(P6/O6,0)</x:f>
        <x:v>0.1302550552186742</x:v>
      </x:c>
      <x:c r="R6" s="32" t="n">
        <x:f>IFERROR(O6/SUM('Source Data'!$I$6:$I$9998),0)</x:f>
        <x:v>0.30743191931496394</x:v>
      </x:c>
      <x:c r="S6" s="2"/>
      <x:c r="T6" s="2"/>
      <x:c r="U6" s="2"/>
      <x:c r="V6" s="2"/>
      <x:c r="W6" s="2"/>
      <x:c r="X6" s="2"/>
      <x:c r="Y6" s="2"/>
      <x:c r="Z6" s="2"/>
    </x:row>
    <x:row r="7">
      <x:c r="A7" s="37" t="str">
        <x:v>South</x:v>
      </x:c>
      <x:c r="B7" s="31" t="n">
        <x:f>SUMIFS('Source Data'!$I$6:$I$9998,'Source Data'!$F$6:$F$9998,A7)</x:f>
        <x:v>391721.9050000003</x:v>
      </x:c>
      <x:c r="C7" s="31" t="n">
        <x:f>SUMIFS('Source Data'!$L$6:$L$9998,'Source Data'!$F$6:$F$9998,A7)</x:f>
        <x:v>46749.43030000006</x:v>
      </x:c>
      <x:c r="D7" s="32" t="n">
        <x:f>IFERROR(C7/B7,0)</x:f>
        <x:v>0.11934341609004485</x:v>
      </x:c>
      <x:c r="E7" s="32" t="n">
        <x:f>IFERROR(B7/SUM('Source Data'!$I$6:$I$9998),0)</x:f>
        <x:v>0.17054228804943</x:v>
      </x:c>
      <x:c r="F7" s="2"/>
      <x:c r="G7" s="38" t="str">
        <x:v>Technology</x:v>
      </x:c>
      <x:c r="H7" s="34" t="n">
        <x:f>SUMIFS('Source Data'!$I$6:$I$9998,'Source Data'!$G$6:$G$9998,G7,'Source Data'!$M$6:$M$9998,2016)</x:f>
        <x:v>226364.1800000001</x:v>
      </x:c>
      <x:c r="I7" s="34" t="n">
        <x:f>SUMIFS('Source Data'!$I$6:$I$9998,'Source Data'!$G$6:$G$9998,G7,'Source Data'!$M$6:$M$9998,2017)</x:f>
        <x:v>271730.8110000001</x:v>
      </x:c>
      <x:c r="J7" s="34" t="n">
        <x:f>I7-H7</x:f>
        <x:v>45366.630999999994</x:v>
      </x:c>
      <x:c r="K7" s="35" t="n">
        <x:f>IFERROR(J7/H7,0)</x:f>
        <x:v>0.20041435442657038</x:v>
      </x:c>
      <x:c r="L7" s="35" t="n">
        <x:f>IFERROR(SUMIFS('Source Data'!$L$6:$L$9998,'Source Data'!$G$6:$G$9998,G7)/SUMIFS('Source Data'!$I$6:$I$9998,'Source Data'!$G$6:$G$9998,G7),0)</x:f>
        <x:v>0.17395712076891987</x:v>
      </x:c>
      <x:c r="M7" s="2"/>
      <x:c r="N7" s="38" t="str">
        <x:v>Home Office</x:v>
      </x:c>
      <x:c r="O7" s="34" t="n">
        <x:f>SUMIFS('Source Data'!$I$6:$I$9998,'Source Data'!$E$6:$E$9998,N7)</x:f>
        <x:v>429371.7765000003</x:v>
      </x:c>
      <x:c r="P7" s="34" t="n">
        <x:f>SUMIFS('Source Data'!$L$6:$L$9998,'Source Data'!$E$6:$E$9998,N7)</x:f>
        <x:v>60310.73730000006</x:v>
      </x:c>
      <x:c r="Q7" s="35" t="n">
        <x:f>IFERROR(P7/O7,0)</x:f>
        <x:v>0.14046274254824015</x:v>
      </x:c>
      <x:c r="R7" s="35" t="n">
        <x:f>IFERROR(O7/SUM('Source Data'!$I$6:$I$9998),0)</x:f>
        <x:v>0.18693375135137894</x:v>
      </x:c>
      <x:c r="S7" s="2"/>
      <x:c r="T7" s="2"/>
      <x:c r="U7" s="2"/>
      <x:c r="V7" s="2"/>
      <x:c r="W7" s="2"/>
      <x:c r="X7" s="2"/>
      <x:c r="Y7" s="2"/>
      <x:c r="Z7" s="2"/>
    </x:row>
    <x:row r="8">
      <x:c r="A8" s="38" t="str">
        <x:v>West</x:v>
      </x:c>
      <x:c r="B8" s="34" t="n">
        <x:f>SUMIFS('Source Data'!$I$6:$I$9998,'Source Data'!$F$6:$F$9998,A8)</x:f>
        <x:v>725457.8245000006</x:v>
      </x:c>
      <x:c r="C8" s="34" t="n">
        <x:f>SUMIFS('Source Data'!$L$6:$L$9998,'Source Data'!$F$6:$F$9998,A8)</x:f>
        <x:v>108418.44890000013</x:v>
      </x:c>
      <x:c r="D8" s="35" t="n">
        <x:f>IFERROR(C8/B8,0)</x:f>
        <x:v>0.1494483142072721</x:v>
      </x:c>
      <x:c r="E8" s="35" t="n">
        <x:f>IFERROR(B8/SUM('Source Data'!$I$6:$I$9998),0)</x:f>
        <x:v>0.3158394659435546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41" t="str">
        <x:v>Discount Impact on Profitability</x:v>
      </x:c>
      <x:c r="B11" s="41"/>
      <x:c r="C11" s="41"/>
      <x:c r="D11" s="41"/>
      <x:c r="E11" s="41"/>
      <x:c r="F11" s="41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0" customHeight="1">
      <x:c r="A12" s="14" t="str">
        <x:v>Discount</x:v>
      </x:c>
      <x:c r="B12" s="15" t="str">
        <x:v>Order Lines</x:v>
      </x:c>
      <x:c r="C12" s="15" t="str">
        <x:v>Sales</x:v>
      </x:c>
      <x:c r="D12" s="15" t="str">
        <x:v>Profit</x:v>
      </x:c>
      <x:c r="E12" s="15" t="str">
        <x:v>Profit Margin</x:v>
      </x:c>
      <x:c r="F12" s="16" t="str">
        <x:v>Status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43" t="n">
        <x:v>0</x:v>
      </x:c>
      <x:c r="B13" s="44" t="n">
        <x:f>COUNTIF('Source Data'!$K$6:$K$9998,A13)</x:f>
        <x:v>4798</x:v>
      </x:c>
      <x:c r="C13" s="28" t="n">
        <x:f>SUMIFS('Source Data'!$I$6:$I$9998,'Source Data'!$K$6:$K$9998,A13)</x:f>
        <x:v>1087908.4699999911</x:v>
      </x:c>
      <x:c r="D13" s="28" t="n">
        <x:f>SUMIFS('Source Data'!$L$6:$L$9998,'Source Data'!$K$6:$K$9998,A13)</x:f>
        <x:v>320987.6031999997</x:v>
      </x:c>
      <x:c r="E13" s="29" t="n">
        <x:f>IFERROR(D13/C13,0)</x:f>
        <x:v>0.2950501922280303</x:v>
      </x:c>
      <x:c r="F13" s="36" t="str">
        <x:f>IF(D13&lt;0,"Loss-Making","Profitable")</x:f>
        <x:v>Profitable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45" t="n">
        <x:v>0.1</x:v>
      </x:c>
      <x:c r="B14" s="46" t="n">
        <x:f>COUNTIF('Source Data'!$K$6:$K$9998,A14)</x:f>
        <x:v>94</x:v>
      </x:c>
      <x:c r="C14" s="31" t="n">
        <x:f>SUMIFS('Source Data'!$I$6:$I$9998,'Source Data'!$K$6:$K$9998,A14)</x:f>
        <x:v>54369.35100000001</x:v>
      </x:c>
      <x:c r="D14" s="31" t="n">
        <x:f>SUMIFS('Source Data'!$L$6:$L$9998,'Source Data'!$K$6:$K$9998,A14)</x:f>
        <x:v>9029.176999999996</x:v>
      </x:c>
      <x:c r="E14" s="32" t="n">
        <x:f>IFERROR(D14/C14,0)</x:f>
        <x:v>0.16607108295259942</x:v>
      </x:c>
      <x:c r="F14" s="37" t="str">
        <x:f>IF(D14&lt;0,"Loss-Making","Profitable")</x:f>
        <x:v>Profitable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45" t="n">
        <x:v>0.15</x:v>
      </x:c>
      <x:c r="B15" s="46" t="n">
        <x:f>COUNTIF('Source Data'!$K$6:$K$9998,A15)</x:f>
        <x:v>52</x:v>
      </x:c>
      <x:c r="C15" s="31" t="n">
        <x:f>SUMIFS('Source Data'!$I$6:$I$9998,'Source Data'!$K$6:$K$9998,A15)</x:f>
        <x:v>27558.521500000006</x:v>
      </x:c>
      <x:c r="D15" s="31" t="n">
        <x:f>SUMIFS('Source Data'!$L$6:$L$9998,'Source Data'!$K$6:$K$9998,A15)</x:f>
        <x:v>1418.991499999999</x:v>
      </x:c>
      <x:c r="E15" s="32" t="n">
        <x:f>IFERROR(D15/C15,0)</x:f>
        <x:v>0.051490117131283646</x:v>
      </x:c>
      <x:c r="F15" s="37" t="str">
        <x:f>IF(D15&lt;0,"Loss-Making","Profitable")</x:f>
        <x:v>Profitable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45" t="n">
        <x:v>0.2</x:v>
      </x:c>
      <x:c r="B16" s="46" t="n">
        <x:f>COUNTIF('Source Data'!$K$6:$K$9998,A16)</x:f>
        <x:v>3657</x:v>
      </x:c>
      <x:c r="C16" s="31" t="n">
        <x:f>SUMIFS('Source Data'!$I$6:$I$9998,'Source Data'!$K$6:$K$9998,A16)</x:f>
        <x:v>764594.3680000046</x:v>
      </x:c>
      <x:c r="D16" s="31" t="n">
        <x:f>SUMIFS('Source Data'!$L$6:$L$9998,'Source Data'!$K$6:$K$9998,A16)</x:f>
        <x:v>90337.30600000001</x:v>
      </x:c>
      <x:c r="E16" s="32" t="n">
        <x:f>IFERROR(D16/C16,0)</x:f>
        <x:v>0.11815062964209472</x:v>
      </x:c>
      <x:c r="F16" s="37" t="str">
        <x:f>IF(D16&lt;0,"Loss-Making","Profitable")</x:f>
        <x:v>Profitable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45" t="n">
        <x:v>0.3</x:v>
      </x:c>
      <x:c r="B17" s="46" t="n">
        <x:f>COUNTIF('Source Data'!$K$6:$K$9998,A17)</x:f>
        <x:v>226</x:v>
      </x:c>
      <x:c r="C17" s="31" t="n">
        <x:f>SUMIFS('Source Data'!$I$6:$I$9998,'Source Data'!$K$6:$K$9998,A17)</x:f>
        <x:v>102945.28299999988</x:v>
      </x:c>
      <x:c r="D17" s="31" t="n">
        <x:f>SUMIFS('Source Data'!$L$6:$L$9998,'Source Data'!$K$6:$K$9998,A17)</x:f>
        <x:v>-10357.218599999998</x:v>
      </x:c>
      <x:c r="E17" s="32" t="n">
        <x:f>IFERROR(D17/C17,0)</x:f>
        <x:v>-0.10060896719279513</x:v>
      </x:c>
      <x:c r="F17" s="37" t="str">
        <x:f>IF(D17&lt;0,"Loss-Making","Profitable")</x:f>
        <x:v>Loss-Making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45" t="n">
        <x:v>0.32</x:v>
      </x:c>
      <x:c r="B18" s="46" t="n">
        <x:f>COUNTIF('Source Data'!$K$6:$K$9998,A18)</x:f>
        <x:v>27</x:v>
      </x:c>
      <x:c r="C18" s="31" t="n">
        <x:f>SUMIFS('Source Data'!$I$6:$I$9998,'Source Data'!$K$6:$K$9998,A18)</x:f>
        <x:v>14493.458799999999</x:v>
      </x:c>
      <x:c r="D18" s="31" t="n">
        <x:f>SUMIFS('Source Data'!$L$6:$L$9998,'Source Data'!$K$6:$K$9998,A18)</x:f>
        <x:v>-2391.1377000000007</x:v>
      </x:c>
      <x:c r="E18" s="32" t="n">
        <x:f>IFERROR(D18/C18,0)</x:f>
        <x:v>-0.1649804738120897</x:v>
      </x:c>
      <x:c r="F18" s="37" t="str">
        <x:f>IF(D18&lt;0,"Loss-Making","Profitable")</x:f>
        <x:v>Loss-Making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45" t="n">
        <x:v>0.4</x:v>
      </x:c>
      <x:c r="B19" s="46" t="n">
        <x:f>COUNTIF('Source Data'!$K$6:$K$9998,A19)</x:f>
        <x:v>206</x:v>
      </x:c>
      <x:c r="C19" s="31" t="n">
        <x:f>SUMIFS('Source Data'!$I$6:$I$9998,'Source Data'!$K$6:$K$9998,A19)</x:f>
        <x:v>116417.78400000006</x:v>
      </x:c>
      <x:c r="D19" s="31" t="n">
        <x:f>SUMIFS('Source Data'!$L$6:$L$9998,'Source Data'!$K$6:$K$9998,A19)</x:f>
        <x:v>-23057.05040000002</x:v>
      </x:c>
      <x:c r="E19" s="32" t="n">
        <x:f>IFERROR(D19/C19,0)</x:f>
        <x:v>-0.19805436598930629</x:v>
      </x:c>
      <x:c r="F19" s="37" t="str">
        <x:f>IF(D19&lt;0,"Loss-Making","Profitable")</x:f>
        <x:v>Loss-Making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45" t="n">
        <x:v>0.45</x:v>
      </x:c>
      <x:c r="B20" s="46" t="n">
        <x:f>COUNTIF('Source Data'!$K$6:$K$9998,A20)</x:f>
        <x:v>11</x:v>
      </x:c>
      <x:c r="C20" s="31" t="n">
        <x:f>SUMIFS('Source Data'!$I$6:$I$9998,'Source Data'!$K$6:$K$9998,A20)</x:f>
        <x:v>5484.974000000001</x:v>
      </x:c>
      <x:c r="D20" s="31" t="n">
        <x:f>SUMIFS('Source Data'!$L$6:$L$9998,'Source Data'!$K$6:$K$9998,A20)</x:f>
        <x:v>-2493.1111</x:v>
      </x:c>
      <x:c r="E20" s="32" t="n">
        <x:f>IFERROR(D20/C20,0)</x:f>
        <x:v>-0.4545347161171593</x:v>
      </x:c>
      <x:c r="F20" s="37" t="str">
        <x:f>IF(D20&lt;0,"Loss-Making","Profitable")</x:f>
        <x:v>Loss-Making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45" t="n">
        <x:v>0.5</x:v>
      </x:c>
      <x:c r="B21" s="46" t="n">
        <x:f>COUNTIF('Source Data'!$K$6:$K$9998,A21)</x:f>
        <x:v>66</x:v>
      </x:c>
      <x:c r="C21" s="31" t="n">
        <x:f>SUMIFS('Source Data'!$I$6:$I$9998,'Source Data'!$K$6:$K$9998,A21)</x:f>
        <x:v>58918.53999999998</x:v>
      </x:c>
      <x:c r="D21" s="31" t="n">
        <x:f>SUMIFS('Source Data'!$L$6:$L$9998,'Source Data'!$K$6:$K$9998,A21)</x:f>
        <x:v>-20506.428099999997</x:v>
      </x:c>
      <x:c r="E21" s="32" t="n">
        <x:f>IFERROR(D21/C21,0)</x:f>
        <x:v>-0.3480471189544073</x:v>
      </x:c>
      <x:c r="F21" s="37" t="str">
        <x:f>IF(D21&lt;0,"Loss-Making","Profitable")</x:f>
        <x:v>Loss-Making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45" t="n">
        <x:v>0.6</x:v>
      </x:c>
      <x:c r="B22" s="46" t="n">
        <x:f>COUNTIF('Source Data'!$K$6:$K$9998,A22)</x:f>
        <x:v>138</x:v>
      </x:c>
      <x:c r="C22" s="31" t="n">
        <x:f>SUMIFS('Source Data'!$I$6:$I$9998,'Source Data'!$K$6:$K$9998,A22)</x:f>
        <x:v>6644.700000000003</x:v>
      </x:c>
      <x:c r="D22" s="31" t="n">
        <x:f>SUMIFS('Source Data'!$L$6:$L$9998,'Source Data'!$K$6:$K$9998,A22)</x:f>
        <x:v>-5944.655200000003</x:v>
      </x:c>
      <x:c r="E22" s="32" t="n">
        <x:f>IFERROR(D22/C22,0)</x:f>
        <x:v>-0.8946461390280976</x:v>
      </x:c>
      <x:c r="F22" s="37" t="str">
        <x:f>IF(D22&lt;0,"Loss-Making","Profitable")</x:f>
        <x:v>Loss-Making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45" t="n">
        <x:v>0.7</x:v>
      </x:c>
      <x:c r="B23" s="46" t="n">
        <x:f>COUNTIF('Source Data'!$K$6:$K$9998,A23)</x:f>
        <x:v>418</x:v>
      </x:c>
      <x:c r="C23" s="31" t="n">
        <x:f>SUMIFS('Source Data'!$I$6:$I$9998,'Source Data'!$K$6:$K$9998,A23)</x:f>
        <x:v>40620.282000000065</x:v>
      </x:c>
      <x:c r="D23" s="31" t="n">
        <x:f>SUMIFS('Source Data'!$L$6:$L$9998,'Source Data'!$K$6:$K$9998,A23)</x:f>
        <x:v>-40075.356899999955</x:v>
      </x:c>
      <x:c r="E23" s="32" t="n">
        <x:f>IFERROR(D23/C23,0)</x:f>
        <x:v>-0.9865849011092511</x:v>
      </x:c>
      <x:c r="F23" s="37" t="str">
        <x:f>IF(D23&lt;0,"Loss-Making","Profitable")</x:f>
        <x:v>Loss-Making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47" t="n">
        <x:v>0.8</x:v>
      </x:c>
      <x:c r="B24" s="48" t="n">
        <x:f>COUNTIF('Source Data'!$K$6:$K$9998,A24)</x:f>
        <x:v>300</x:v>
      </x:c>
      <x:c r="C24" s="34" t="n">
        <x:f>SUMIFS('Source Data'!$I$6:$I$9998,'Source Data'!$K$6:$K$9998,A24)</x:f>
        <x:v>16963.755999999987</x:v>
      </x:c>
      <x:c r="D24" s="34" t="n">
        <x:f>SUMIFS('Source Data'!$L$6:$L$9998,'Source Data'!$K$6:$K$9998,A24)</x:f>
        <x:v>-30539.03919999999</x:v>
      </x:c>
      <x:c r="E24" s="35" t="n">
        <x:f>IFERROR(D24/C24,0)</x:f>
        <x:v>-1.8002522082963237</x:v>
      </x:c>
      <x:c r="F24" s="38" t="str">
        <x:f>IF(D24&lt;0,"Loss-Making","Profitable")</x:f>
        <x:v>Loss-Making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conditionalFormatting sqref="D13:F24">
    <x:cfRule type="expression" dxfId="2" priority="1">
      <x:formula>$D13&lt;0</x:formula>
    </x:cfRule>
  </x:conditionalFormatting>
  <x:pageMargins left="0.7" right="0.7" top="0.75" bottom="0.75" header="0.3" footer="0.3"/>
  <x:drawing xmlns:r="http://schemas.openxmlformats.org/officeDocument/2006/relationships" r:id="Ra528f126c71b4670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4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9" hidden="0" customWidth="1"/>
    <x:col min="14" max="14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Source Data - Superstore Orders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 t="str">
        <x:v>Source: sample_-_superstore(4).xlsx, Orders sheet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8" customHeight="1">
      <x:c r="A5" s="14" t="str">
        <x:v>Order ID</x:v>
      </x:c>
      <x:c r="B5" s="15" t="str">
        <x:v>Order Date</x:v>
      </x:c>
      <x:c r="C5" s="15" t="str">
        <x:v>Customer ID</x:v>
      </x:c>
      <x:c r="D5" s="15" t="str">
        <x:v>Customer Name</x:v>
      </x:c>
      <x:c r="E5" s="15" t="str">
        <x:v>Segment</x:v>
      </x:c>
      <x:c r="F5" s="15" t="str">
        <x:v>Region</x:v>
      </x:c>
      <x:c r="G5" s="15" t="str">
        <x:v>Category</x:v>
      </x:c>
      <x:c r="H5" s="15" t="str">
        <x:v>Sub-Category</x:v>
      </x:c>
      <x:c r="I5" s="15" t="str">
        <x:v>Sales</x:v>
      </x:c>
      <x:c r="J5" s="15" t="str">
        <x:v>Quantity</x:v>
      </x:c>
      <x:c r="K5" s="15" t="str">
        <x:v>Discount</x:v>
      </x:c>
      <x:c r="L5" s="15" t="str">
        <x:v>Profit</x:v>
      </x:c>
      <x:c r="M5" s="15" t="str">
        <x:v>Year</x:v>
      </x:c>
      <x:c r="N5" s="16" t="str">
        <x:v>Month Start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8" customHeight="1">
      <x:c r="A6" s="2" t="str">
        <x:v>CA-2016-152156</x:v>
      </x:c>
      <x:c r="B6" s="17" t="n">
        <x:v>42682</x:v>
      </x:c>
      <x:c r="C6" s="2" t="str">
        <x:v>CG-12520</x:v>
      </x:c>
      <x:c r="D6" s="2" t="str">
        <x:v>Claire Gute</x:v>
      </x:c>
      <x:c r="E6" s="2" t="str">
        <x:v>Consumer</x:v>
      </x:c>
      <x:c r="F6" s="2" t="str">
        <x:v>South</x:v>
      </x:c>
      <x:c r="G6" s="2" t="str">
        <x:v>Furniture</x:v>
      </x:c>
      <x:c r="H6" s="2" t="str">
        <x:v>Bookcases</x:v>
      </x:c>
      <x:c r="I6" s="21" t="n">
        <x:v>261.96</x:v>
      </x:c>
      <x:c r="J6" s="23" t="n">
        <x:v>2</x:v>
      </x:c>
      <x:c r="K6" s="25" t="n">
        <x:v>0</x:v>
      </x:c>
      <x:c r="L6" s="21" t="n">
        <x:v>41.9136</x:v>
      </x:c>
      <x:c r="M6" s="2" t="n">
        <x:v>2016</x:v>
      </x:c>
      <x:c r="N6" s="19" t="n">
        <x:v>42675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8" customHeight="1">
      <x:c r="A7" s="2" t="str">
        <x:v>CA-2016-152156</x:v>
      </x:c>
      <x:c r="B7" s="17" t="n">
        <x:v>42682</x:v>
      </x:c>
      <x:c r="C7" s="2" t="str">
        <x:v>CG-12520</x:v>
      </x:c>
      <x:c r="D7" s="2" t="str">
        <x:v>Claire Gute</x:v>
      </x:c>
      <x:c r="E7" s="2" t="str">
        <x:v>Consumer</x:v>
      </x:c>
      <x:c r="F7" s="2" t="str">
        <x:v>South</x:v>
      </x:c>
      <x:c r="G7" s="2" t="str">
        <x:v>Furniture</x:v>
      </x:c>
      <x:c r="H7" s="2" t="str">
        <x:v>Chairs</x:v>
      </x:c>
      <x:c r="I7" s="21" t="n">
        <x:v>731.9399999999999</x:v>
      </x:c>
      <x:c r="J7" s="23" t="n">
        <x:v>3</x:v>
      </x:c>
      <x:c r="K7" s="25" t="n">
        <x:v>0</x:v>
      </x:c>
      <x:c r="L7" s="21" t="n">
        <x:v>219.58199999999997</x:v>
      </x:c>
      <x:c r="M7" s="2" t="n">
        <x:v>2016</x:v>
      </x:c>
      <x:c r="N7" s="19" t="n">
        <x:v>42675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8" customHeight="1">
      <x:c r="A8" s="2" t="str">
        <x:v>CA-2016-138688</x:v>
      </x:c>
      <x:c r="B8" s="17" t="n">
        <x:v>42533</x:v>
      </x:c>
      <x:c r="C8" s="2" t="str">
        <x:v>DV-13045</x:v>
      </x:c>
      <x:c r="D8" s="2" t="str">
        <x:v>Darrin Van Huff</x:v>
      </x:c>
      <x:c r="E8" s="2" t="str">
        <x:v>Corporate</x:v>
      </x:c>
      <x:c r="F8" s="2" t="str">
        <x:v>West</x:v>
      </x:c>
      <x:c r="G8" s="2" t="str">
        <x:v>Office Supplies</x:v>
      </x:c>
      <x:c r="H8" s="2" t="str">
        <x:v>Labels</x:v>
      </x:c>
      <x:c r="I8" s="21" t="n">
        <x:v>14.62</x:v>
      </x:c>
      <x:c r="J8" s="23" t="n">
        <x:v>2</x:v>
      </x:c>
      <x:c r="K8" s="25" t="n">
        <x:v>0</x:v>
      </x:c>
      <x:c r="L8" s="21" t="n">
        <x:v>6.8713999999999995</x:v>
      </x:c>
      <x:c r="M8" s="2" t="n">
        <x:v>2016</x:v>
      </x:c>
      <x:c r="N8" s="19" t="n">
        <x:v>42522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8" customHeight="1">
      <x:c r="A9" s="2" t="str">
        <x:v>US-2015-108966</x:v>
      </x:c>
      <x:c r="B9" s="17" t="n">
        <x:v>42288</x:v>
      </x:c>
      <x:c r="C9" s="2" t="str">
        <x:v>SO-20335</x:v>
      </x:c>
      <x:c r="D9" s="2" t="str">
        <x:v>Sean O'Donnell</x:v>
      </x:c>
      <x:c r="E9" s="2" t="str">
        <x:v>Consumer</x:v>
      </x:c>
      <x:c r="F9" s="2" t="str">
        <x:v>South</x:v>
      </x:c>
      <x:c r="G9" s="2" t="str">
        <x:v>Furniture</x:v>
      </x:c>
      <x:c r="H9" s="2" t="str">
        <x:v>Tables</x:v>
      </x:c>
      <x:c r="I9" s="21" t="n">
        <x:v>957.5775</x:v>
      </x:c>
      <x:c r="J9" s="23" t="n">
        <x:v>5</x:v>
      </x:c>
      <x:c r="K9" s="25" t="n">
        <x:v>0.45</x:v>
      </x:c>
      <x:c r="L9" s="21" t="n">
        <x:v>-383.03100000000006</x:v>
      </x:c>
      <x:c r="M9" s="2" t="n">
        <x:v>2015</x:v>
      </x:c>
      <x:c r="N9" s="19" t="n">
        <x:v>42278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8" customHeight="1">
      <x:c r="A10" s="2" t="str">
        <x:v>US-2015-108966</x:v>
      </x:c>
      <x:c r="B10" s="17" t="n">
        <x:v>42288</x:v>
      </x:c>
      <x:c r="C10" s="2" t="str">
        <x:v>SO-20335</x:v>
      </x:c>
      <x:c r="D10" s="2" t="str">
        <x:v>Sean O'Donnell</x:v>
      </x:c>
      <x:c r="E10" s="2" t="str">
        <x:v>Consumer</x:v>
      </x:c>
      <x:c r="F10" s="2" t="str">
        <x:v>South</x:v>
      </x:c>
      <x:c r="G10" s="2" t="str">
        <x:v>Office Supplies</x:v>
      </x:c>
      <x:c r="H10" s="2" t="str">
        <x:v>Storage</x:v>
      </x:c>
      <x:c r="I10" s="21" t="n">
        <x:v>22.368000000000002</x:v>
      </x:c>
      <x:c r="J10" s="23" t="n">
        <x:v>2</x:v>
      </x:c>
      <x:c r="K10" s="25" t="n">
        <x:v>0.2</x:v>
      </x:c>
      <x:c r="L10" s="21" t="n">
        <x:v>2.516399999999999</x:v>
      </x:c>
      <x:c r="M10" s="2" t="n">
        <x:v>2015</x:v>
      </x:c>
      <x:c r="N10" s="19" t="n">
        <x:v>42278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8" customHeight="1">
      <x:c r="A11" s="2" t="str">
        <x:v>CA-2014-115812</x:v>
      </x:c>
      <x:c r="B11" s="17" t="n">
        <x:v>41799</x:v>
      </x:c>
      <x:c r="C11" s="2" t="str">
        <x:v>BH-11710</x:v>
      </x:c>
      <x:c r="D11" s="2" t="str">
        <x:v>Brosina Hoffman</x:v>
      </x:c>
      <x:c r="E11" s="2" t="str">
        <x:v>Consumer</x:v>
      </x:c>
      <x:c r="F11" s="2" t="str">
        <x:v>West</x:v>
      </x:c>
      <x:c r="G11" s="2" t="str">
        <x:v>Furniture</x:v>
      </x:c>
      <x:c r="H11" s="2" t="str">
        <x:v>Furnishings</x:v>
      </x:c>
      <x:c r="I11" s="21" t="n">
        <x:v>48.86</x:v>
      </x:c>
      <x:c r="J11" s="23" t="n">
        <x:v>7</x:v>
      </x:c>
      <x:c r="K11" s="25" t="n">
        <x:v>0</x:v>
      </x:c>
      <x:c r="L11" s="21" t="n">
        <x:v>14.169399999999996</x:v>
      </x:c>
      <x:c r="M11" s="2" t="n">
        <x:v>2014</x:v>
      </x:c>
      <x:c r="N11" s="19" t="n">
        <x:v>41791</x:v>
      </x:c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8" customHeight="1">
      <x:c r="A12" s="2" t="str">
        <x:v>CA-2014-115812</x:v>
      </x:c>
      <x:c r="B12" s="17" t="n">
        <x:v>41799</x:v>
      </x:c>
      <x:c r="C12" s="2" t="str">
        <x:v>BH-11710</x:v>
      </x:c>
      <x:c r="D12" s="2" t="str">
        <x:v>Brosina Hoffman</x:v>
      </x:c>
      <x:c r="E12" s="2" t="str">
        <x:v>Consumer</x:v>
      </x:c>
      <x:c r="F12" s="2" t="str">
        <x:v>West</x:v>
      </x:c>
      <x:c r="G12" s="2" t="str">
        <x:v>Office Supplies</x:v>
      </x:c>
      <x:c r="H12" s="2" t="str">
        <x:v>Art</x:v>
      </x:c>
      <x:c r="I12" s="21" t="n">
        <x:v>7.28</x:v>
      </x:c>
      <x:c r="J12" s="23" t="n">
        <x:v>4</x:v>
      </x:c>
      <x:c r="K12" s="25" t="n">
        <x:v>0</x:v>
      </x:c>
      <x:c r="L12" s="21" t="n">
        <x:v>1.9656000000000002</x:v>
      </x:c>
      <x:c r="M12" s="2" t="n">
        <x:v>2014</x:v>
      </x:c>
      <x:c r="N12" s="19" t="n">
        <x:v>41791</x:v>
      </x:c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8" customHeight="1">
      <x:c r="A13" s="2" t="str">
        <x:v>CA-2014-115812</x:v>
      </x:c>
      <x:c r="B13" s="17" t="n">
        <x:v>41799</x:v>
      </x:c>
      <x:c r="C13" s="2" t="str">
        <x:v>BH-11710</x:v>
      </x:c>
      <x:c r="D13" s="2" t="str">
        <x:v>Brosina Hoffman</x:v>
      </x:c>
      <x:c r="E13" s="2" t="str">
        <x:v>Consumer</x:v>
      </x:c>
      <x:c r="F13" s="2" t="str">
        <x:v>West</x:v>
      </x:c>
      <x:c r="G13" s="2" t="str">
        <x:v>Technology</x:v>
      </x:c>
      <x:c r="H13" s="2" t="str">
        <x:v>Phones</x:v>
      </x:c>
      <x:c r="I13" s="21" t="n">
        <x:v>907.152</x:v>
      </x:c>
      <x:c r="J13" s="23" t="n">
        <x:v>6</x:v>
      </x:c>
      <x:c r="K13" s="25" t="n">
        <x:v>0.2</x:v>
      </x:c>
      <x:c r="L13" s="21" t="n">
        <x:v>90.71520000000004</x:v>
      </x:c>
      <x:c r="M13" s="2" t="n">
        <x:v>2014</x:v>
      </x:c>
      <x:c r="N13" s="19" t="n">
        <x:v>41791</x:v>
      </x:c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8" customHeight="1">
      <x:c r="A14" s="2" t="str">
        <x:v>CA-2014-115812</x:v>
      </x:c>
      <x:c r="B14" s="17" t="n">
        <x:v>41799</x:v>
      </x:c>
      <x:c r="C14" s="2" t="str">
        <x:v>BH-11710</x:v>
      </x:c>
      <x:c r="D14" s="2" t="str">
        <x:v>Brosina Hoffman</x:v>
      </x:c>
      <x:c r="E14" s="2" t="str">
        <x:v>Consumer</x:v>
      </x:c>
      <x:c r="F14" s="2" t="str">
        <x:v>West</x:v>
      </x:c>
      <x:c r="G14" s="2" t="str">
        <x:v>Office Supplies</x:v>
      </x:c>
      <x:c r="H14" s="2" t="str">
        <x:v>Binders</x:v>
      </x:c>
      <x:c r="I14" s="21" t="n">
        <x:v>18.504</x:v>
      </x:c>
      <x:c r="J14" s="23" t="n">
        <x:v>3</x:v>
      </x:c>
      <x:c r="K14" s="25" t="n">
        <x:v>0.2</x:v>
      </x:c>
      <x:c r="L14" s="21" t="n">
        <x:v>5.7825</x:v>
      </x:c>
      <x:c r="M14" s="2" t="n">
        <x:v>2014</x:v>
      </x:c>
      <x:c r="N14" s="19" t="n">
        <x:v>41791</x:v>
      </x:c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8" customHeight="1">
      <x:c r="A15" s="2" t="str">
        <x:v>CA-2014-115812</x:v>
      </x:c>
      <x:c r="B15" s="17" t="n">
        <x:v>41799</x:v>
      </x:c>
      <x:c r="C15" s="2" t="str">
        <x:v>BH-11710</x:v>
      </x:c>
      <x:c r="D15" s="2" t="str">
        <x:v>Brosina Hoffman</x:v>
      </x:c>
      <x:c r="E15" s="2" t="str">
        <x:v>Consumer</x:v>
      </x:c>
      <x:c r="F15" s="2" t="str">
        <x:v>West</x:v>
      </x:c>
      <x:c r="G15" s="2" t="str">
        <x:v>Office Supplies</x:v>
      </x:c>
      <x:c r="H15" s="2" t="str">
        <x:v>Appliances</x:v>
      </x:c>
      <x:c r="I15" s="21" t="n">
        <x:v>114.9</x:v>
      </x:c>
      <x:c r="J15" s="23" t="n">
        <x:v>5</x:v>
      </x:c>
      <x:c r="K15" s="25" t="n">
        <x:v>0</x:v>
      </x:c>
      <x:c r="L15" s="21" t="n">
        <x:v>34.46999999999999</x:v>
      </x:c>
      <x:c r="M15" s="2" t="n">
        <x:v>2014</x:v>
      </x:c>
      <x:c r="N15" s="19" t="n">
        <x:v>41791</x:v>
      </x:c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8" customHeight="1">
      <x:c r="A16" s="2" t="str">
        <x:v>CA-2014-115812</x:v>
      </x:c>
      <x:c r="B16" s="17" t="n">
        <x:v>41799</x:v>
      </x:c>
      <x:c r="C16" s="2" t="str">
        <x:v>BH-11710</x:v>
      </x:c>
      <x:c r="D16" s="2" t="str">
        <x:v>Brosina Hoffman</x:v>
      </x:c>
      <x:c r="E16" s="2" t="str">
        <x:v>Consumer</x:v>
      </x:c>
      <x:c r="F16" s="2" t="str">
        <x:v>West</x:v>
      </x:c>
      <x:c r="G16" s="2" t="str">
        <x:v>Furniture</x:v>
      </x:c>
      <x:c r="H16" s="2" t="str">
        <x:v>Tables</x:v>
      </x:c>
      <x:c r="I16" s="21" t="n">
        <x:v>1706.1840000000002</x:v>
      </x:c>
      <x:c r="J16" s="23" t="n">
        <x:v>9</x:v>
      </x:c>
      <x:c r="K16" s="25" t="n">
        <x:v>0.2</x:v>
      </x:c>
      <x:c r="L16" s="21" t="n">
        <x:v>85.3091999999998</x:v>
      </x:c>
      <x:c r="M16" s="2" t="n">
        <x:v>2014</x:v>
      </x:c>
      <x:c r="N16" s="19" t="n">
        <x:v>41791</x:v>
      </x:c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8" customHeight="1">
      <x:c r="A17" s="2" t="str">
        <x:v>CA-2014-115812</x:v>
      </x:c>
      <x:c r="B17" s="17" t="n">
        <x:v>41799</x:v>
      </x:c>
      <x:c r="C17" s="2" t="str">
        <x:v>BH-11710</x:v>
      </x:c>
      <x:c r="D17" s="2" t="str">
        <x:v>Brosina Hoffman</x:v>
      </x:c>
      <x:c r="E17" s="2" t="str">
        <x:v>Consumer</x:v>
      </x:c>
      <x:c r="F17" s="2" t="str">
        <x:v>West</x:v>
      </x:c>
      <x:c r="G17" s="2" t="str">
        <x:v>Technology</x:v>
      </x:c>
      <x:c r="H17" s="2" t="str">
        <x:v>Phones</x:v>
      </x:c>
      <x:c r="I17" s="21" t="n">
        <x:v>911.424</x:v>
      </x:c>
      <x:c r="J17" s="23" t="n">
        <x:v>4</x:v>
      </x:c>
      <x:c r="K17" s="25" t="n">
        <x:v>0.2</x:v>
      </x:c>
      <x:c r="L17" s="21" t="n">
        <x:v>68.35680000000002</x:v>
      </x:c>
      <x:c r="M17" s="2" t="n">
        <x:v>2014</x:v>
      </x:c>
      <x:c r="N17" s="19" t="n">
        <x:v>41791</x:v>
      </x:c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8" customHeight="1">
      <x:c r="A18" s="2" t="str">
        <x:v>CA-2017-114412</x:v>
      </x:c>
      <x:c r="B18" s="17" t="n">
        <x:v>42840</x:v>
      </x:c>
      <x:c r="C18" s="2" t="str">
        <x:v>AA-10480</x:v>
      </x:c>
      <x:c r="D18" s="2" t="str">
        <x:v>Andrew Allen</x:v>
      </x:c>
      <x:c r="E18" s="2" t="str">
        <x:v>Consumer</x:v>
      </x:c>
      <x:c r="F18" s="2" t="str">
        <x:v>South</x:v>
      </x:c>
      <x:c r="G18" s="2" t="str">
        <x:v>Office Supplies</x:v>
      </x:c>
      <x:c r="H18" s="2" t="str">
        <x:v>Paper</x:v>
      </x:c>
      <x:c r="I18" s="21" t="n">
        <x:v>15.552000000000003</x:v>
      </x:c>
      <x:c r="J18" s="23" t="n">
        <x:v>3</x:v>
      </x:c>
      <x:c r="K18" s="25" t="n">
        <x:v>0.2</x:v>
      </x:c>
      <x:c r="L18" s="21" t="n">
        <x:v>5.4432</x:v>
      </x:c>
      <x:c r="M18" s="2" t="n">
        <x:v>2017</x:v>
      </x:c>
      <x:c r="N18" s="19" t="n">
        <x:v>42826</x:v>
      </x:c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8" customHeight="1">
      <x:c r="A19" s="2" t="str">
        <x:v>CA-2016-161389</x:v>
      </x:c>
      <x:c r="B19" s="17" t="n">
        <x:v>42709</x:v>
      </x:c>
      <x:c r="C19" s="2" t="str">
        <x:v>IM-15070</x:v>
      </x:c>
      <x:c r="D19" s="2" t="str">
        <x:v>Irene Maddox</x:v>
      </x:c>
      <x:c r="E19" s="2" t="str">
        <x:v>Consumer</x:v>
      </x:c>
      <x:c r="F19" s="2" t="str">
        <x:v>West</x:v>
      </x:c>
      <x:c r="G19" s="2" t="str">
        <x:v>Office Supplies</x:v>
      </x:c>
      <x:c r="H19" s="2" t="str">
        <x:v>Binders</x:v>
      </x:c>
      <x:c r="I19" s="21" t="n">
        <x:v>407.97600000000006</x:v>
      </x:c>
      <x:c r="J19" s="23" t="n">
        <x:v>3</x:v>
      </x:c>
      <x:c r="K19" s="25" t="n">
        <x:v>0.2</x:v>
      </x:c>
      <x:c r="L19" s="21" t="n">
        <x:v>132.59219999999993</x:v>
      </x:c>
      <x:c r="M19" s="2" t="n">
        <x:v>2016</x:v>
      </x:c>
      <x:c r="N19" s="19" t="n">
        <x:v>42705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8" customHeight="1">
      <x:c r="A20" s="2" t="str">
        <x:v>US-2015-118983</x:v>
      </x:c>
      <x:c r="B20" s="17" t="n">
        <x:v>42330</x:v>
      </x:c>
      <x:c r="C20" s="2" t="str">
        <x:v>HP-14815</x:v>
      </x:c>
      <x:c r="D20" s="2" t="str">
        <x:v>Harold Pawlan</x:v>
      </x:c>
      <x:c r="E20" s="2" t="str">
        <x:v>Home Office</x:v>
      </x:c>
      <x:c r="F20" s="2" t="str">
        <x:v>Central</x:v>
      </x:c>
      <x:c r="G20" s="2" t="str">
        <x:v>Office Supplies</x:v>
      </x:c>
      <x:c r="H20" s="2" t="str">
        <x:v>Appliances</x:v>
      </x:c>
      <x:c r="I20" s="21" t="n">
        <x:v>68.80999999999999</x:v>
      </x:c>
      <x:c r="J20" s="23" t="n">
        <x:v>5</x:v>
      </x:c>
      <x:c r="K20" s="25" t="n">
        <x:v>0.8</x:v>
      </x:c>
      <x:c r="L20" s="21" t="n">
        <x:v>-123.858</x:v>
      </x:c>
      <x:c r="M20" s="2" t="n">
        <x:v>2015</x:v>
      </x:c>
      <x:c r="N20" s="19" t="n">
        <x:v>42309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8" customHeight="1">
      <x:c r="A21" s="2" t="str">
        <x:v>US-2015-118983</x:v>
      </x:c>
      <x:c r="B21" s="17" t="n">
        <x:v>42330</x:v>
      </x:c>
      <x:c r="C21" s="2" t="str">
        <x:v>HP-14815</x:v>
      </x:c>
      <x:c r="D21" s="2" t="str">
        <x:v>Harold Pawlan</x:v>
      </x:c>
      <x:c r="E21" s="2" t="str">
        <x:v>Home Office</x:v>
      </x:c>
      <x:c r="F21" s="2" t="str">
        <x:v>Central</x:v>
      </x:c>
      <x:c r="G21" s="2" t="str">
        <x:v>Office Supplies</x:v>
      </x:c>
      <x:c r="H21" s="2" t="str">
        <x:v>Binders</x:v>
      </x:c>
      <x:c r="I21" s="21" t="n">
        <x:v>2.5439999999999996</x:v>
      </x:c>
      <x:c r="J21" s="23" t="n">
        <x:v>3</x:v>
      </x:c>
      <x:c r="K21" s="25" t="n">
        <x:v>0.8</x:v>
      </x:c>
      <x:c r="L21" s="21" t="n">
        <x:v>-3.8160000000000016</x:v>
      </x:c>
      <x:c r="M21" s="2" t="n">
        <x:v>2015</x:v>
      </x:c>
      <x:c r="N21" s="19" t="n">
        <x:v>42309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8" customHeight="1">
      <x:c r="A22" s="2" t="str">
        <x:v>CA-2014-105893</x:v>
      </x:c>
      <x:c r="B22" s="17" t="n">
        <x:v>41954</x:v>
      </x:c>
      <x:c r="C22" s="2" t="str">
        <x:v>PK-19075</x:v>
      </x:c>
      <x:c r="D22" s="2" t="str">
        <x:v>Pete Kriz</x:v>
      </x:c>
      <x:c r="E22" s="2" t="str">
        <x:v>Consumer</x:v>
      </x:c>
      <x:c r="F22" s="2" t="str">
        <x:v>Central</x:v>
      </x:c>
      <x:c r="G22" s="2" t="str">
        <x:v>Office Supplies</x:v>
      </x:c>
      <x:c r="H22" s="2" t="str">
        <x:v>Storage</x:v>
      </x:c>
      <x:c r="I22" s="21" t="n">
        <x:v>665.88</x:v>
      </x:c>
      <x:c r="J22" s="23" t="n">
        <x:v>6</x:v>
      </x:c>
      <x:c r="K22" s="25" t="n">
        <x:v>0</x:v>
      </x:c>
      <x:c r="L22" s="21" t="n">
        <x:v>13.317599999999999</x:v>
      </x:c>
      <x:c r="M22" s="2" t="n">
        <x:v>2014</x:v>
      </x:c>
      <x:c r="N22" s="19" t="n">
        <x:v>41944</x:v>
      </x:c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8" customHeight="1">
      <x:c r="A23" s="2" t="str">
        <x:v>CA-2014-167164</x:v>
      </x:c>
      <x:c r="B23" s="17" t="n">
        <x:v>41772</x:v>
      </x:c>
      <x:c r="C23" s="2" t="str">
        <x:v>AG-10270</x:v>
      </x:c>
      <x:c r="D23" s="2" t="str">
        <x:v>Alejandro Grove</x:v>
      </x:c>
      <x:c r="E23" s="2" t="str">
        <x:v>Consumer</x:v>
      </x:c>
      <x:c r="F23" s="2" t="str">
        <x:v>West</x:v>
      </x:c>
      <x:c r="G23" s="2" t="str">
        <x:v>Office Supplies</x:v>
      </x:c>
      <x:c r="H23" s="2" t="str">
        <x:v>Storage</x:v>
      </x:c>
      <x:c r="I23" s="21" t="n">
        <x:v>55.5</x:v>
      </x:c>
      <x:c r="J23" s="23" t="n">
        <x:v>2</x:v>
      </x:c>
      <x:c r="K23" s="25" t="n">
        <x:v>0</x:v>
      </x:c>
      <x:c r="L23" s="21" t="n">
        <x:v>9.989999999999995</x:v>
      </x:c>
      <x:c r="M23" s="2" t="n">
        <x:v>2014</x:v>
      </x:c>
      <x:c r="N23" s="19" t="n">
        <x:v>41760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8" customHeight="1">
      <x:c r="A24" s="2" t="str">
        <x:v>CA-2014-143336</x:v>
      </x:c>
      <x:c r="B24" s="17" t="n">
        <x:v>41878</x:v>
      </x:c>
      <x:c r="C24" s="2" t="str">
        <x:v>ZD-21925</x:v>
      </x:c>
      <x:c r="D24" s="2" t="str">
        <x:v>Zuschuss Donatelli</x:v>
      </x:c>
      <x:c r="E24" s="2" t="str">
        <x:v>Consumer</x:v>
      </x:c>
      <x:c r="F24" s="2" t="str">
        <x:v>West</x:v>
      </x:c>
      <x:c r="G24" s="2" t="str">
        <x:v>Office Supplies</x:v>
      </x:c>
      <x:c r="H24" s="2" t="str">
        <x:v>Art</x:v>
      </x:c>
      <x:c r="I24" s="21" t="n">
        <x:v>8.56</x:v>
      </x:c>
      <x:c r="J24" s="23" t="n">
        <x:v>2</x:v>
      </x:c>
      <x:c r="K24" s="25" t="n">
        <x:v>0</x:v>
      </x:c>
      <x:c r="L24" s="21" t="n">
        <x:v>2.4823999999999993</x:v>
      </x:c>
      <x:c r="M24" s="2" t="n">
        <x:v>2014</x:v>
      </x:c>
      <x:c r="N24" s="19" t="n">
        <x:v>41852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8" customHeight="1">
      <x:c r="A25" s="2" t="str">
        <x:v>CA-2014-143336</x:v>
      </x:c>
      <x:c r="B25" s="17" t="n">
        <x:v>41878</x:v>
      </x:c>
      <x:c r="C25" s="2" t="str">
        <x:v>ZD-21925</x:v>
      </x:c>
      <x:c r="D25" s="2" t="str">
        <x:v>Zuschuss Donatelli</x:v>
      </x:c>
      <x:c r="E25" s="2" t="str">
        <x:v>Consumer</x:v>
      </x:c>
      <x:c r="F25" s="2" t="str">
        <x:v>West</x:v>
      </x:c>
      <x:c r="G25" s="2" t="str">
        <x:v>Technology</x:v>
      </x:c>
      <x:c r="H25" s="2" t="str">
        <x:v>Phones</x:v>
      </x:c>
      <x:c r="I25" s="21" t="n">
        <x:v>213.48000000000002</x:v>
      </x:c>
      <x:c r="J25" s="23" t="n">
        <x:v>3</x:v>
      </x:c>
      <x:c r="K25" s="25" t="n">
        <x:v>0.2</x:v>
      </x:c>
      <x:c r="L25" s="21" t="n">
        <x:v>16.01099999999998</x:v>
      </x:c>
      <x:c r="M25" s="2" t="n">
        <x:v>2014</x:v>
      </x:c>
      <x:c r="N25" s="19" t="n">
        <x:v>41852</x:v>
      </x:c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8" customHeight="1">
      <x:c r="A26" s="2" t="str">
        <x:v>CA-2014-143336</x:v>
      </x:c>
      <x:c r="B26" s="17" t="n">
        <x:v>41878</x:v>
      </x:c>
      <x:c r="C26" s="2" t="str">
        <x:v>ZD-21925</x:v>
      </x:c>
      <x:c r="D26" s="2" t="str">
        <x:v>Zuschuss Donatelli</x:v>
      </x:c>
      <x:c r="E26" s="2" t="str">
        <x:v>Consumer</x:v>
      </x:c>
      <x:c r="F26" s="2" t="str">
        <x:v>West</x:v>
      </x:c>
      <x:c r="G26" s="2" t="str">
        <x:v>Office Supplies</x:v>
      </x:c>
      <x:c r="H26" s="2" t="str">
        <x:v>Binders</x:v>
      </x:c>
      <x:c r="I26" s="21" t="n">
        <x:v>22.72</x:v>
      </x:c>
      <x:c r="J26" s="23" t="n">
        <x:v>4</x:v>
      </x:c>
      <x:c r="K26" s="25" t="n">
        <x:v>0.2</x:v>
      </x:c>
      <x:c r="L26" s="21" t="n">
        <x:v>7.383999999999999</x:v>
      </x:c>
      <x:c r="M26" s="2" t="n">
        <x:v>2014</x:v>
      </x:c>
      <x:c r="N26" s="19" t="n">
        <x:v>41852</x:v>
      </x:c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8" customHeight="1">
      <x:c r="A27" s="2" t="str">
        <x:v>CA-2016-137330</x:v>
      </x:c>
      <x:c r="B27" s="17" t="n">
        <x:v>42713</x:v>
      </x:c>
      <x:c r="C27" s="2" t="str">
        <x:v>KB-16585</x:v>
      </x:c>
      <x:c r="D27" s="2" t="str">
        <x:v>Ken Black</x:v>
      </x:c>
      <x:c r="E27" s="2" t="str">
        <x:v>Corporate</x:v>
      </x:c>
      <x:c r="F27" s="2" t="str">
        <x:v>Central</x:v>
      </x:c>
      <x:c r="G27" s="2" t="str">
        <x:v>Office Supplies</x:v>
      </x:c>
      <x:c r="H27" s="2" t="str">
        <x:v>Art</x:v>
      </x:c>
      <x:c r="I27" s="21" t="n">
        <x:v>19.459999999999997</x:v>
      </x:c>
      <x:c r="J27" s="23" t="n">
        <x:v>7</x:v>
      </x:c>
      <x:c r="K27" s="25" t="n">
        <x:v>0</x:v>
      </x:c>
      <x:c r="L27" s="21" t="n">
        <x:v>5.0596</x:v>
      </x:c>
      <x:c r="M27" s="2" t="n">
        <x:v>2016</x:v>
      </x:c>
      <x:c r="N27" s="19" t="n">
        <x:v>42705</x:v>
      </x:c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8" customHeight="1">
      <x:c r="A28" s="2" t="str">
        <x:v>CA-2016-137330</x:v>
      </x:c>
      <x:c r="B28" s="17" t="n">
        <x:v>42713</x:v>
      </x:c>
      <x:c r="C28" s="2" t="str">
        <x:v>KB-16585</x:v>
      </x:c>
      <x:c r="D28" s="2" t="str">
        <x:v>Ken Black</x:v>
      </x:c>
      <x:c r="E28" s="2" t="str">
        <x:v>Corporate</x:v>
      </x:c>
      <x:c r="F28" s="2" t="str">
        <x:v>Central</x:v>
      </x:c>
      <x:c r="G28" s="2" t="str">
        <x:v>Office Supplies</x:v>
      </x:c>
      <x:c r="H28" s="2" t="str">
        <x:v>Appliances</x:v>
      </x:c>
      <x:c r="I28" s="21" t="n">
        <x:v>60.339999999999996</x:v>
      </x:c>
      <x:c r="J28" s="23" t="n">
        <x:v>7</x:v>
      </x:c>
      <x:c r="K28" s="25" t="n">
        <x:v>0</x:v>
      </x:c>
      <x:c r="L28" s="21" t="n">
        <x:v>15.688400000000001</x:v>
      </x:c>
      <x:c r="M28" s="2" t="n">
        <x:v>2016</x:v>
      </x:c>
      <x:c r="N28" s="19" t="n">
        <x:v>42705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8" customHeight="1">
      <x:c r="A29" s="2" t="str">
        <x:v>US-2017-156909</x:v>
      </x:c>
      <x:c r="B29" s="17" t="n">
        <x:v>42932</x:v>
      </x:c>
      <x:c r="C29" s="2" t="str">
        <x:v>SF-20065</x:v>
      </x:c>
      <x:c r="D29" s="2" t="str">
        <x:v>Sandra Flanagan</x:v>
      </x:c>
      <x:c r="E29" s="2" t="str">
        <x:v>Consumer</x:v>
      </x:c>
      <x:c r="F29" s="2" t="str">
        <x:v>East</x:v>
      </x:c>
      <x:c r="G29" s="2" t="str">
        <x:v>Furniture</x:v>
      </x:c>
      <x:c r="H29" s="2" t="str">
        <x:v>Chairs</x:v>
      </x:c>
      <x:c r="I29" s="21" t="n">
        <x:v>71.37199999999999</x:v>
      </x:c>
      <x:c r="J29" s="23" t="n">
        <x:v>2</x:v>
      </x:c>
      <x:c r="K29" s="25" t="n">
        <x:v>0.3</x:v>
      </x:c>
      <x:c r="L29" s="21" t="n">
        <x:v>-1.0196000000000005</x:v>
      </x:c>
      <x:c r="M29" s="2" t="n">
        <x:v>2017</x:v>
      </x:c>
      <x:c r="N29" s="19" t="n">
        <x:v>42917</x:v>
      </x:c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8" customHeight="1">
      <x:c r="A30" s="2" t="str">
        <x:v>CA-2015-106320</x:v>
      </x:c>
      <x:c r="B30" s="17" t="n">
        <x:v>42272</x:v>
      </x:c>
      <x:c r="C30" s="2" t="str">
        <x:v>EB-13870</x:v>
      </x:c>
      <x:c r="D30" s="2" t="str">
        <x:v>Emily Burns</x:v>
      </x:c>
      <x:c r="E30" s="2" t="str">
        <x:v>Consumer</x:v>
      </x:c>
      <x:c r="F30" s="2" t="str">
        <x:v>West</x:v>
      </x:c>
      <x:c r="G30" s="2" t="str">
        <x:v>Furniture</x:v>
      </x:c>
      <x:c r="H30" s="2" t="str">
        <x:v>Tables</x:v>
      </x:c>
      <x:c r="I30" s="21" t="n">
        <x:v>1044.6299999999999</x:v>
      </x:c>
      <x:c r="J30" s="23" t="n">
        <x:v>3</x:v>
      </x:c>
      <x:c r="K30" s="25" t="n">
        <x:v>0</x:v>
      </x:c>
      <x:c r="L30" s="21" t="n">
        <x:v>240.2649</x:v>
      </x:c>
      <x:c r="M30" s="2" t="n">
        <x:v>2015</x:v>
      </x:c>
      <x:c r="N30" s="19" t="n">
        <x:v>42248</x:v>
      </x:c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8" customHeight="1">
      <x:c r="A31" s="2" t="str">
        <x:v>CA-2016-121755</x:v>
      </x:c>
      <x:c r="B31" s="17" t="n">
        <x:v>42385</x:v>
      </x:c>
      <x:c r="C31" s="2" t="str">
        <x:v>EH-13945</x:v>
      </x:c>
      <x:c r="D31" s="2" t="str">
        <x:v>Eric Hoffmann</x:v>
      </x:c>
      <x:c r="E31" s="2" t="str">
        <x:v>Consumer</x:v>
      </x:c>
      <x:c r="F31" s="2" t="str">
        <x:v>West</x:v>
      </x:c>
      <x:c r="G31" s="2" t="str">
        <x:v>Office Supplies</x:v>
      </x:c>
      <x:c r="H31" s="2" t="str">
        <x:v>Binders</x:v>
      </x:c>
      <x:c r="I31" s="21" t="n">
        <x:v>11.648000000000001</x:v>
      </x:c>
      <x:c r="J31" s="23" t="n">
        <x:v>2</x:v>
      </x:c>
      <x:c r="K31" s="25" t="n">
        <x:v>0.2</x:v>
      </x:c>
      <x:c r="L31" s="21" t="n">
        <x:v>4.2224</x:v>
      </x:c>
      <x:c r="M31" s="2" t="n">
        <x:v>2016</x:v>
      </x:c>
      <x:c r="N31" s="19" t="n">
        <x:v>42370</x:v>
      </x:c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8" customHeight="1">
      <x:c r="A32" s="2" t="str">
        <x:v>CA-2016-121755</x:v>
      </x:c>
      <x:c r="B32" s="17" t="n">
        <x:v>42385</x:v>
      </x:c>
      <x:c r="C32" s="2" t="str">
        <x:v>EH-13945</x:v>
      </x:c>
      <x:c r="D32" s="2" t="str">
        <x:v>Eric Hoffmann</x:v>
      </x:c>
      <x:c r="E32" s="2" t="str">
        <x:v>Consumer</x:v>
      </x:c>
      <x:c r="F32" s="2" t="str">
        <x:v>West</x:v>
      </x:c>
      <x:c r="G32" s="2" t="str">
        <x:v>Technology</x:v>
      </x:c>
      <x:c r="H32" s="2" t="str">
        <x:v>Accessories</x:v>
      </x:c>
      <x:c r="I32" s="21" t="n">
        <x:v>90.57000000000001</x:v>
      </x:c>
      <x:c r="J32" s="23" t="n">
        <x:v>3</x:v>
      </x:c>
      <x:c r="K32" s="25" t="n">
        <x:v>0</x:v>
      </x:c>
      <x:c r="L32" s="21" t="n">
        <x:v>11.774100000000004</x:v>
      </x:c>
      <x:c r="M32" s="2" t="n">
        <x:v>2016</x:v>
      </x:c>
      <x:c r="N32" s="19" t="n">
        <x:v>42370</x:v>
      </x:c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8" customHeight="1">
      <x:c r="A33" s="2" t="str">
        <x:v>US-2015-150630</x:v>
      </x:c>
      <x:c r="B33" s="17" t="n">
        <x:v>42264</x:v>
      </x:c>
      <x:c r="C33" s="2" t="str">
        <x:v>TB-21520</x:v>
      </x:c>
      <x:c r="D33" s="2" t="str">
        <x:v>Tracy Blumstein</x:v>
      </x:c>
      <x:c r="E33" s="2" t="str">
        <x:v>Consumer</x:v>
      </x:c>
      <x:c r="F33" s="2" t="str">
        <x:v>East</x:v>
      </x:c>
      <x:c r="G33" s="2" t="str">
        <x:v>Furniture</x:v>
      </x:c>
      <x:c r="H33" s="2" t="str">
        <x:v>Bookcases</x:v>
      </x:c>
      <x:c r="I33" s="21" t="n">
        <x:v>3083.4300000000003</x:v>
      </x:c>
      <x:c r="J33" s="23" t="n">
        <x:v>7</x:v>
      </x:c>
      <x:c r="K33" s="25" t="n">
        <x:v>0.5</x:v>
      </x:c>
      <x:c r="L33" s="21" t="n">
        <x:v>-1665.0522</x:v>
      </x:c>
      <x:c r="M33" s="2" t="n">
        <x:v>2015</x:v>
      </x:c>
      <x:c r="N33" s="19" t="n">
        <x:v>42248</x:v>
      </x:c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8" customHeight="1">
      <x:c r="A34" s="2" t="str">
        <x:v>US-2015-150630</x:v>
      </x:c>
      <x:c r="B34" s="17" t="n">
        <x:v>42264</x:v>
      </x:c>
      <x:c r="C34" s="2" t="str">
        <x:v>TB-21520</x:v>
      </x:c>
      <x:c r="D34" s="2" t="str">
        <x:v>Tracy Blumstein</x:v>
      </x:c>
      <x:c r="E34" s="2" t="str">
        <x:v>Consumer</x:v>
      </x:c>
      <x:c r="F34" s="2" t="str">
        <x:v>East</x:v>
      </x:c>
      <x:c r="G34" s="2" t="str">
        <x:v>Office Supplies</x:v>
      </x:c>
      <x:c r="H34" s="2" t="str">
        <x:v>Binders</x:v>
      </x:c>
      <x:c r="I34" s="21" t="n">
        <x:v>9.618000000000002</x:v>
      </x:c>
      <x:c r="J34" s="23" t="n">
        <x:v>2</x:v>
      </x:c>
      <x:c r="K34" s="25" t="n">
        <x:v>0.7</x:v>
      </x:c>
      <x:c r="L34" s="21" t="n">
        <x:v>-7.0532</x:v>
      </x:c>
      <x:c r="M34" s="2" t="n">
        <x:v>2015</x:v>
      </x:c>
      <x:c r="N34" s="19" t="n">
        <x:v>42248</x:v>
      </x:c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8" customHeight="1">
      <x:c r="A35" s="2" t="str">
        <x:v>US-2015-150630</x:v>
      </x:c>
      <x:c r="B35" s="17" t="n">
        <x:v>42264</x:v>
      </x:c>
      <x:c r="C35" s="2" t="str">
        <x:v>TB-21520</x:v>
      </x:c>
      <x:c r="D35" s="2" t="str">
        <x:v>Tracy Blumstein</x:v>
      </x:c>
      <x:c r="E35" s="2" t="str">
        <x:v>Consumer</x:v>
      </x:c>
      <x:c r="F35" s="2" t="str">
        <x:v>East</x:v>
      </x:c>
      <x:c r="G35" s="2" t="str">
        <x:v>Furniture</x:v>
      </x:c>
      <x:c r="H35" s="2" t="str">
        <x:v>Furnishings</x:v>
      </x:c>
      <x:c r="I35" s="21" t="n">
        <x:v>124.20000000000002</x:v>
      </x:c>
      <x:c r="J35" s="23" t="n">
        <x:v>3</x:v>
      </x:c>
      <x:c r="K35" s="25" t="n">
        <x:v>0.2</x:v>
      </x:c>
      <x:c r="L35" s="21" t="n">
        <x:v>15.524999999999991</x:v>
      </x:c>
      <x:c r="M35" s="2" t="n">
        <x:v>2015</x:v>
      </x:c>
      <x:c r="N35" s="19" t="n">
        <x:v>42248</x:v>
      </x:c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8" customHeight="1">
      <x:c r="A36" s="2" t="str">
        <x:v>US-2015-150630</x:v>
      </x:c>
      <x:c r="B36" s="17" t="n">
        <x:v>42264</x:v>
      </x:c>
      <x:c r="C36" s="2" t="str">
        <x:v>TB-21520</x:v>
      </x:c>
      <x:c r="D36" s="2" t="str">
        <x:v>Tracy Blumstein</x:v>
      </x:c>
      <x:c r="E36" s="2" t="str">
        <x:v>Consumer</x:v>
      </x:c>
      <x:c r="F36" s="2" t="str">
        <x:v>East</x:v>
      </x:c>
      <x:c r="G36" s="2" t="str">
        <x:v>Office Supplies</x:v>
      </x:c>
      <x:c r="H36" s="2" t="str">
        <x:v>Envelopes</x:v>
      </x:c>
      <x:c r="I36" s="21" t="n">
        <x:v>3.2640000000000002</x:v>
      </x:c>
      <x:c r="J36" s="23" t="n">
        <x:v>2</x:v>
      </x:c>
      <x:c r="K36" s="25" t="n">
        <x:v>0.2</x:v>
      </x:c>
      <x:c r="L36" s="21" t="n">
        <x:v>1.1015999999999997</x:v>
      </x:c>
      <x:c r="M36" s="2" t="n">
        <x:v>2015</x:v>
      </x:c>
      <x:c r="N36" s="19" t="n">
        <x:v>42248</x:v>
      </x:c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8" customHeight="1">
      <x:c r="A37" s="2" t="str">
        <x:v>US-2015-150630</x:v>
      </x:c>
      <x:c r="B37" s="17" t="n">
        <x:v>42264</x:v>
      </x:c>
      <x:c r="C37" s="2" t="str">
        <x:v>TB-21520</x:v>
      </x:c>
      <x:c r="D37" s="2" t="str">
        <x:v>Tracy Blumstein</x:v>
      </x:c>
      <x:c r="E37" s="2" t="str">
        <x:v>Consumer</x:v>
      </x:c>
      <x:c r="F37" s="2" t="str">
        <x:v>East</x:v>
      </x:c>
      <x:c r="G37" s="2" t="str">
        <x:v>Office Supplies</x:v>
      </x:c>
      <x:c r="H37" s="2" t="str">
        <x:v>Art</x:v>
      </x:c>
      <x:c r="I37" s="21" t="n">
        <x:v>86.304</x:v>
      </x:c>
      <x:c r="J37" s="23" t="n">
        <x:v>6</x:v>
      </x:c>
      <x:c r="K37" s="25" t="n">
        <x:v>0.2</x:v>
      </x:c>
      <x:c r="L37" s="21" t="n">
        <x:v>9.709199999999989</x:v>
      </x:c>
      <x:c r="M37" s="2" t="n">
        <x:v>2015</x:v>
      </x:c>
      <x:c r="N37" s="19" t="n">
        <x:v>42248</x:v>
      </x:c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8" customHeight="1">
      <x:c r="A38" s="2" t="str">
        <x:v>US-2015-150630</x:v>
      </x:c>
      <x:c r="B38" s="17" t="n">
        <x:v>42264</x:v>
      </x:c>
      <x:c r="C38" s="2" t="str">
        <x:v>TB-21520</x:v>
      </x:c>
      <x:c r="D38" s="2" t="str">
        <x:v>Tracy Blumstein</x:v>
      </x:c>
      <x:c r="E38" s="2" t="str">
        <x:v>Consumer</x:v>
      </x:c>
      <x:c r="F38" s="2" t="str">
        <x:v>East</x:v>
      </x:c>
      <x:c r="G38" s="2" t="str">
        <x:v>Office Supplies</x:v>
      </x:c>
      <x:c r="H38" s="2" t="str">
        <x:v>Binders</x:v>
      </x:c>
      <x:c r="I38" s="21" t="n">
        <x:v>6.858000000000001</x:v>
      </x:c>
      <x:c r="J38" s="23" t="n">
        <x:v>6</x:v>
      </x:c>
      <x:c r="K38" s="25" t="n">
        <x:v>0.7</x:v>
      </x:c>
      <x:c r="L38" s="21" t="n">
        <x:v>-5.715</x:v>
      </x:c>
      <x:c r="M38" s="2" t="n">
        <x:v>2015</x:v>
      </x:c>
      <x:c r="N38" s="19" t="n">
        <x:v>42248</x:v>
      </x:c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8" customHeight="1">
      <x:c r="A39" s="2" t="str">
        <x:v>US-2015-150630</x:v>
      </x:c>
      <x:c r="B39" s="17" t="n">
        <x:v>42264</x:v>
      </x:c>
      <x:c r="C39" s="2" t="str">
        <x:v>TB-21520</x:v>
      </x:c>
      <x:c r="D39" s="2" t="str">
        <x:v>Tracy Blumstein</x:v>
      </x:c>
      <x:c r="E39" s="2" t="str">
        <x:v>Consumer</x:v>
      </x:c>
      <x:c r="F39" s="2" t="str">
        <x:v>East</x:v>
      </x:c>
      <x:c r="G39" s="2" t="str">
        <x:v>Office Supplies</x:v>
      </x:c>
      <x:c r="H39" s="2" t="str">
        <x:v>Art</x:v>
      </x:c>
      <x:c r="I39" s="21" t="n">
        <x:v>15.76</x:v>
      </x:c>
      <x:c r="J39" s="23" t="n">
        <x:v>2</x:v>
      </x:c>
      <x:c r="K39" s="25" t="n">
        <x:v>0.2</x:v>
      </x:c>
      <x:c r="L39" s="21" t="n">
        <x:v>3.5460000000000007</x:v>
      </x:c>
      <x:c r="M39" s="2" t="n">
        <x:v>2015</x:v>
      </x:c>
      <x:c r="N39" s="19" t="n">
        <x:v>42248</x:v>
      </x:c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8" customHeight="1">
      <x:c r="A40" s="2" t="str">
        <x:v>CA-2017-107727</x:v>
      </x:c>
      <x:c r="B40" s="17" t="n">
        <x:v>43027</x:v>
      </x:c>
      <x:c r="C40" s="2" t="str">
        <x:v>MA-17560</x:v>
      </x:c>
      <x:c r="D40" s="2" t="str">
        <x:v>Matt Abelman</x:v>
      </x:c>
      <x:c r="E40" s="2" t="str">
        <x:v>Home Office</x:v>
      </x:c>
      <x:c r="F40" s="2" t="str">
        <x:v>Central</x:v>
      </x:c>
      <x:c r="G40" s="2" t="str">
        <x:v>Office Supplies</x:v>
      </x:c>
      <x:c r="H40" s="2" t="str">
        <x:v>Paper</x:v>
      </x:c>
      <x:c r="I40" s="21" t="n">
        <x:v>29.472</x:v>
      </x:c>
      <x:c r="J40" s="23" t="n">
        <x:v>3</x:v>
      </x:c>
      <x:c r="K40" s="25" t="n">
        <x:v>0.2</x:v>
      </x:c>
      <x:c r="L40" s="21" t="n">
        <x:v>9.946799999999998</x:v>
      </x:c>
      <x:c r="M40" s="2" t="n">
        <x:v>2017</x:v>
      </x:c>
      <x:c r="N40" s="19" t="n">
        <x:v>43009</x:v>
      </x:c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8" customHeight="1">
      <x:c r="A41" s="2" t="str">
        <x:v>CA-2016-117590</x:v>
      </x:c>
      <x:c r="B41" s="17" t="n">
        <x:v>42712</x:v>
      </x:c>
      <x:c r="C41" s="2" t="str">
        <x:v>GH-14485</x:v>
      </x:c>
      <x:c r="D41" s="2" t="str">
        <x:v>Gene Hale</x:v>
      </x:c>
      <x:c r="E41" s="2" t="str">
        <x:v>Corporate</x:v>
      </x:c>
      <x:c r="F41" s="2" t="str">
        <x:v>Central</x:v>
      </x:c>
      <x:c r="G41" s="2" t="str">
        <x:v>Technology</x:v>
      </x:c>
      <x:c r="H41" s="2" t="str">
        <x:v>Phones</x:v>
      </x:c>
      <x:c r="I41" s="21" t="n">
        <x:v>1097.5440000000003</x:v>
      </x:c>
      <x:c r="J41" s="23" t="n">
        <x:v>7</x:v>
      </x:c>
      <x:c r="K41" s="25" t="n">
        <x:v>0.2</x:v>
      </x:c>
      <x:c r="L41" s="21" t="n">
        <x:v>123.4736999999999</x:v>
      </x:c>
      <x:c r="M41" s="2" t="n">
        <x:v>2016</x:v>
      </x:c>
      <x:c r="N41" s="19" t="n">
        <x:v>42705</x:v>
      </x:c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8" customHeight="1">
      <x:c r="A42" s="2" t="str">
        <x:v>CA-2016-117590</x:v>
      </x:c>
      <x:c r="B42" s="17" t="n">
        <x:v>42712</x:v>
      </x:c>
      <x:c r="C42" s="2" t="str">
        <x:v>GH-14485</x:v>
      </x:c>
      <x:c r="D42" s="2" t="str">
        <x:v>Gene Hale</x:v>
      </x:c>
      <x:c r="E42" s="2" t="str">
        <x:v>Corporate</x:v>
      </x:c>
      <x:c r="F42" s="2" t="str">
        <x:v>Central</x:v>
      </x:c>
      <x:c r="G42" s="2" t="str">
        <x:v>Furniture</x:v>
      </x:c>
      <x:c r="H42" s="2" t="str">
        <x:v>Furnishings</x:v>
      </x:c>
      <x:c r="I42" s="21" t="n">
        <x:v>190.92</x:v>
      </x:c>
      <x:c r="J42" s="23" t="n">
        <x:v>5</x:v>
      </x:c>
      <x:c r="K42" s="25" t="n">
        <x:v>0.6</x:v>
      </x:c>
      <x:c r="L42" s="21" t="n">
        <x:v>-147.96300000000002</x:v>
      </x:c>
      <x:c r="M42" s="2" t="n">
        <x:v>2016</x:v>
      </x:c>
      <x:c r="N42" s="19" t="n">
        <x:v>42705</x:v>
      </x:c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8" customHeight="1">
      <x:c r="A43" s="2" t="str">
        <x:v>CA-2015-117415</x:v>
      </x:c>
      <x:c r="B43" s="17" t="n">
        <x:v>42365</x:v>
      </x:c>
      <x:c r="C43" s="2" t="str">
        <x:v>SN-20710</x:v>
      </x:c>
      <x:c r="D43" s="2" t="str">
        <x:v>Steve Nguyen</x:v>
      </x:c>
      <x:c r="E43" s="2" t="str">
        <x:v>Home Office</x:v>
      </x:c>
      <x:c r="F43" s="2" t="str">
        <x:v>Central</x:v>
      </x:c>
      <x:c r="G43" s="2" t="str">
        <x:v>Office Supplies</x:v>
      </x:c>
      <x:c r="H43" s="2" t="str">
        <x:v>Envelopes</x:v>
      </x:c>
      <x:c r="I43" s="21" t="n">
        <x:v>113.328</x:v>
      </x:c>
      <x:c r="J43" s="23" t="n">
        <x:v>9</x:v>
      </x:c>
      <x:c r="K43" s="25" t="n">
        <x:v>0.2</x:v>
      </x:c>
      <x:c r="L43" s="21" t="n">
        <x:v>35.415</x:v>
      </x:c>
      <x:c r="M43" s="2" t="n">
        <x:v>2015</x:v>
      </x:c>
      <x:c r="N43" s="19" t="n">
        <x:v>42339</x:v>
      </x:c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8" customHeight="1">
      <x:c r="A44" s="2" t="str">
        <x:v>CA-2015-117415</x:v>
      </x:c>
      <x:c r="B44" s="17" t="n">
        <x:v>42365</x:v>
      </x:c>
      <x:c r="C44" s="2" t="str">
        <x:v>SN-20710</x:v>
      </x:c>
      <x:c r="D44" s="2" t="str">
        <x:v>Steve Nguyen</x:v>
      </x:c>
      <x:c r="E44" s="2" t="str">
        <x:v>Home Office</x:v>
      </x:c>
      <x:c r="F44" s="2" t="str">
        <x:v>Central</x:v>
      </x:c>
      <x:c r="G44" s="2" t="str">
        <x:v>Furniture</x:v>
      </x:c>
      <x:c r="H44" s="2" t="str">
        <x:v>Bookcases</x:v>
      </x:c>
      <x:c r="I44" s="21" t="n">
        <x:v>532.3992</x:v>
      </x:c>
      <x:c r="J44" s="23" t="n">
        <x:v>3</x:v>
      </x:c>
      <x:c r="K44" s="25" t="n">
        <x:v>0.32</x:v>
      </x:c>
      <x:c r="L44" s="21" t="n">
        <x:v>-46.97640000000001</x:v>
      </x:c>
      <x:c r="M44" s="2" t="n">
        <x:v>2015</x:v>
      </x:c>
      <x:c r="N44" s="19" t="n">
        <x:v>42339</x:v>
      </x:c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8" customHeight="1">
      <x:c r="A45" s="2" t="str">
        <x:v>CA-2015-117415</x:v>
      </x:c>
      <x:c r="B45" s="17" t="n">
        <x:v>42365</x:v>
      </x:c>
      <x:c r="C45" s="2" t="str">
        <x:v>SN-20710</x:v>
      </x:c>
      <x:c r="D45" s="2" t="str">
        <x:v>Steve Nguyen</x:v>
      </x:c>
      <x:c r="E45" s="2" t="str">
        <x:v>Home Office</x:v>
      </x:c>
      <x:c r="F45" s="2" t="str">
        <x:v>Central</x:v>
      </x:c>
      <x:c r="G45" s="2" t="str">
        <x:v>Furniture</x:v>
      </x:c>
      <x:c r="H45" s="2" t="str">
        <x:v>Chairs</x:v>
      </x:c>
      <x:c r="I45" s="21" t="n">
        <x:v>212.058</x:v>
      </x:c>
      <x:c r="J45" s="23" t="n">
        <x:v>3</x:v>
      </x:c>
      <x:c r="K45" s="25" t="n">
        <x:v>0.3</x:v>
      </x:c>
      <x:c r="L45" s="21" t="n">
        <x:v>-15.146999999999991</x:v>
      </x:c>
      <x:c r="M45" s="2" t="n">
        <x:v>2015</x:v>
      </x:c>
      <x:c r="N45" s="19" t="n">
        <x:v>42339</x:v>
      </x:c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8" customHeight="1">
      <x:c r="A46" s="2" t="str">
        <x:v>CA-2015-117415</x:v>
      </x:c>
      <x:c r="B46" s="17" t="n">
        <x:v>42365</x:v>
      </x:c>
      <x:c r="C46" s="2" t="str">
        <x:v>SN-20710</x:v>
      </x:c>
      <x:c r="D46" s="2" t="str">
        <x:v>Steve Nguyen</x:v>
      </x:c>
      <x:c r="E46" s="2" t="str">
        <x:v>Home Office</x:v>
      </x:c>
      <x:c r="F46" s="2" t="str">
        <x:v>Central</x:v>
      </x:c>
      <x:c r="G46" s="2" t="str">
        <x:v>Technology</x:v>
      </x:c>
      <x:c r="H46" s="2" t="str">
        <x:v>Phones</x:v>
      </x:c>
      <x:c r="I46" s="21" t="n">
        <x:v>371.168</x:v>
      </x:c>
      <x:c r="J46" s="23" t="n">
        <x:v>4</x:v>
      </x:c>
      <x:c r="K46" s="25" t="n">
        <x:v>0.2</x:v>
      </x:c>
      <x:c r="L46" s="21" t="n">
        <x:v>41.75639999999996</x:v>
      </x:c>
      <x:c r="M46" s="2" t="n">
        <x:v>2015</x:v>
      </x:c>
      <x:c r="N46" s="19" t="n">
        <x:v>42339</x:v>
      </x:c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8" customHeight="1">
      <x:c r="A47" s="2" t="str">
        <x:v>CA-2017-120999</x:v>
      </x:c>
      <x:c r="B47" s="17" t="n">
        <x:v>42988</x:v>
      </x:c>
      <x:c r="C47" s="2" t="str">
        <x:v>LC-16930</x:v>
      </x:c>
      <x:c r="D47" s="2" t="str">
        <x:v>Linda Cazamias</x:v>
      </x:c>
      <x:c r="E47" s="2" t="str">
        <x:v>Corporate</x:v>
      </x:c>
      <x:c r="F47" s="2" t="str">
        <x:v>Central</x:v>
      </x:c>
      <x:c r="G47" s="2" t="str">
        <x:v>Technology</x:v>
      </x:c>
      <x:c r="H47" s="2" t="str">
        <x:v>Phones</x:v>
      </x:c>
      <x:c r="I47" s="21" t="n">
        <x:v>147.168</x:v>
      </x:c>
      <x:c r="J47" s="23" t="n">
        <x:v>4</x:v>
      </x:c>
      <x:c r="K47" s="25" t="n">
        <x:v>0.2</x:v>
      </x:c>
      <x:c r="L47" s="21" t="n">
        <x:v>16.556399999999996</x:v>
      </x:c>
      <x:c r="M47" s="2" t="n">
        <x:v>2017</x:v>
      </x:c>
      <x:c r="N47" s="19" t="n">
        <x:v>42979</x:v>
      </x:c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8" customHeight="1">
      <x:c r="A48" s="2" t="str">
        <x:v>CA-2016-101343</x:v>
      </x:c>
      <x:c r="B48" s="17" t="n">
        <x:v>42568</x:v>
      </x:c>
      <x:c r="C48" s="2" t="str">
        <x:v>RA-19885</x:v>
      </x:c>
      <x:c r="D48" s="2" t="str">
        <x:v>Ruben Ausman</x:v>
      </x:c>
      <x:c r="E48" s="2" t="str">
        <x:v>Corporate</x:v>
      </x:c>
      <x:c r="F48" s="2" t="str">
        <x:v>West</x:v>
      </x:c>
      <x:c r="G48" s="2" t="str">
        <x:v>Office Supplies</x:v>
      </x:c>
      <x:c r="H48" s="2" t="str">
        <x:v>Storage</x:v>
      </x:c>
      <x:c r="I48" s="21" t="n">
        <x:v>77.88</x:v>
      </x:c>
      <x:c r="J48" s="23" t="n">
        <x:v>2</x:v>
      </x:c>
      <x:c r="K48" s="25" t="n">
        <x:v>0</x:v>
      </x:c>
      <x:c r="L48" s="21" t="n">
        <x:v>3.8939999999999912</x:v>
      </x:c>
      <x:c r="M48" s="2" t="n">
        <x:v>2016</x:v>
      </x:c>
      <x:c r="N48" s="19" t="n">
        <x:v>42552</x:v>
      </x:c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8" customHeight="1">
      <x:c r="A49" s="2" t="str">
        <x:v>CA-2017-139619</x:v>
      </x:c>
      <x:c r="B49" s="17" t="n">
        <x:v>42997</x:v>
      </x:c>
      <x:c r="C49" s="2" t="str">
        <x:v>ES-14080</x:v>
      </x:c>
      <x:c r="D49" s="2" t="str">
        <x:v>Erin Smith</x:v>
      </x:c>
      <x:c r="E49" s="2" t="str">
        <x:v>Corporate</x:v>
      </x:c>
      <x:c r="F49" s="2" t="str">
        <x:v>South</x:v>
      </x:c>
      <x:c r="G49" s="2" t="str">
        <x:v>Office Supplies</x:v>
      </x:c>
      <x:c r="H49" s="2" t="str">
        <x:v>Storage</x:v>
      </x:c>
      <x:c r="I49" s="21" t="n">
        <x:v>95.616</x:v>
      </x:c>
      <x:c r="J49" s="23" t="n">
        <x:v>2</x:v>
      </x:c>
      <x:c r="K49" s="25" t="n">
        <x:v>0.2</x:v>
      </x:c>
      <x:c r="L49" s="21" t="n">
        <x:v>9.56160000000001</x:v>
      </x:c>
      <x:c r="M49" s="2" t="n">
        <x:v>2017</x:v>
      </x:c>
      <x:c r="N49" s="19" t="n">
        <x:v>42979</x:v>
      </x:c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8" customHeight="1">
      <x:c r="A50" s="2" t="str">
        <x:v>CA-2016-118255</x:v>
      </x:c>
      <x:c r="B50" s="17" t="n">
        <x:v>42440</x:v>
      </x:c>
      <x:c r="C50" s="2" t="str">
        <x:v>ON-18715</x:v>
      </x:c>
      <x:c r="D50" s="2" t="str">
        <x:v>Odella Nelson</x:v>
      </x:c>
      <x:c r="E50" s="2" t="str">
        <x:v>Corporate</x:v>
      </x:c>
      <x:c r="F50" s="2" t="str">
        <x:v>Central</x:v>
      </x:c>
      <x:c r="G50" s="2" t="str">
        <x:v>Technology</x:v>
      </x:c>
      <x:c r="H50" s="2" t="str">
        <x:v>Accessories</x:v>
      </x:c>
      <x:c r="I50" s="21" t="n">
        <x:v>45.98</x:v>
      </x:c>
      <x:c r="J50" s="23" t="n">
        <x:v>2</x:v>
      </x:c>
      <x:c r="K50" s="25" t="n">
        <x:v>0</x:v>
      </x:c>
      <x:c r="L50" s="21" t="n">
        <x:v>19.7714</x:v>
      </x:c>
      <x:c r="M50" s="2" t="n">
        <x:v>2016</x:v>
      </x:c>
      <x:c r="N50" s="19" t="n">
        <x:v>42430</x:v>
      </x:c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8" customHeight="1">
      <x:c r="A51" s="2" t="str">
        <x:v>CA-2016-118255</x:v>
      </x:c>
      <x:c r="B51" s="17" t="n">
        <x:v>42440</x:v>
      </x:c>
      <x:c r="C51" s="2" t="str">
        <x:v>ON-18715</x:v>
      </x:c>
      <x:c r="D51" s="2" t="str">
        <x:v>Odella Nelson</x:v>
      </x:c>
      <x:c r="E51" s="2" t="str">
        <x:v>Corporate</x:v>
      </x:c>
      <x:c r="F51" s="2" t="str">
        <x:v>Central</x:v>
      </x:c>
      <x:c r="G51" s="2" t="str">
        <x:v>Office Supplies</x:v>
      </x:c>
      <x:c r="H51" s="2" t="str">
        <x:v>Binders</x:v>
      </x:c>
      <x:c r="I51" s="21" t="n">
        <x:v>17.46</x:v>
      </x:c>
      <x:c r="J51" s="23" t="n">
        <x:v>2</x:v>
      </x:c>
      <x:c r="K51" s="25" t="n">
        <x:v>0</x:v>
      </x:c>
      <x:c r="L51" s="21" t="n">
        <x:v>8.206199999999999</x:v>
      </x:c>
      <x:c r="M51" s="2" t="n">
        <x:v>2016</x:v>
      </x:c>
      <x:c r="N51" s="19" t="n">
        <x:v>42430</x:v>
      </x:c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8" customHeight="1">
      <x:c r="A52" s="2" t="str">
        <x:v>CA-2014-146703</x:v>
      </x:c>
      <x:c r="B52" s="17" t="n">
        <x:v>41932</x:v>
      </x:c>
      <x:c r="C52" s="2" t="str">
        <x:v>PO-18865</x:v>
      </x:c>
      <x:c r="D52" s="2" t="str">
        <x:v>Patrick O'Donnell</x:v>
      </x:c>
      <x:c r="E52" s="2" t="str">
        <x:v>Consumer</x:v>
      </x:c>
      <x:c r="F52" s="2" t="str">
        <x:v>Central</x:v>
      </x:c>
      <x:c r="G52" s="2" t="str">
        <x:v>Office Supplies</x:v>
      </x:c>
      <x:c r="H52" s="2" t="str">
        <x:v>Storage</x:v>
      </x:c>
      <x:c r="I52" s="21" t="n">
        <x:v>211.96</x:v>
      </x:c>
      <x:c r="J52" s="23" t="n">
        <x:v>4</x:v>
      </x:c>
      <x:c r="K52" s="25" t="n">
        <x:v>0</x:v>
      </x:c>
      <x:c r="L52" s="21" t="n">
        <x:v>8.478399999999993</x:v>
      </x:c>
      <x:c r="M52" s="2" t="n">
        <x:v>2014</x:v>
      </x:c>
      <x:c r="N52" s="19" t="n">
        <x:v>41913</x:v>
      </x:c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8" customHeight="1">
      <x:c r="A53" s="2" t="str">
        <x:v>CA-2016-169194</x:v>
      </x:c>
      <x:c r="B53" s="17" t="n">
        <x:v>42541</x:v>
      </x:c>
      <x:c r="C53" s="2" t="str">
        <x:v>LH-16900</x:v>
      </x:c>
      <x:c r="D53" s="2" t="str">
        <x:v>Lena Hernandez</x:v>
      </x:c>
      <x:c r="E53" s="2" t="str">
        <x:v>Consumer</x:v>
      </x:c>
      <x:c r="F53" s="2" t="str">
        <x:v>East</x:v>
      </x:c>
      <x:c r="G53" s="2" t="str">
        <x:v>Technology</x:v>
      </x:c>
      <x:c r="H53" s="2" t="str">
        <x:v>Accessories</x:v>
      </x:c>
      <x:c r="I53" s="21" t="n">
        <x:v>45</x:v>
      </x:c>
      <x:c r="J53" s="23" t="n">
        <x:v>3</x:v>
      </x:c>
      <x:c r="K53" s="25" t="n">
        <x:v>0</x:v>
      </x:c>
      <x:c r="L53" s="21" t="n">
        <x:v>4.950000000000001</x:v>
      </x:c>
      <x:c r="M53" s="2" t="n">
        <x:v>2016</x:v>
      </x:c>
      <x:c r="N53" s="19" t="n">
        <x:v>42522</x:v>
      </x:c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8" customHeight="1">
      <x:c r="A54" s="2" t="str">
        <x:v>CA-2016-169194</x:v>
      </x:c>
      <x:c r="B54" s="17" t="n">
        <x:v>42541</x:v>
      </x:c>
      <x:c r="C54" s="2" t="str">
        <x:v>LH-16900</x:v>
      </x:c>
      <x:c r="D54" s="2" t="str">
        <x:v>Lena Hernandez</x:v>
      </x:c>
      <x:c r="E54" s="2" t="str">
        <x:v>Consumer</x:v>
      </x:c>
      <x:c r="F54" s="2" t="str">
        <x:v>East</x:v>
      </x:c>
      <x:c r="G54" s="2" t="str">
        <x:v>Technology</x:v>
      </x:c>
      <x:c r="H54" s="2" t="str">
        <x:v>Phones</x:v>
      </x:c>
      <x:c r="I54" s="21" t="n">
        <x:v>21.8</x:v>
      </x:c>
      <x:c r="J54" s="23" t="n">
        <x:v>2</x:v>
      </x:c>
      <x:c r="K54" s="25" t="n">
        <x:v>0</x:v>
      </x:c>
      <x:c r="L54" s="21" t="n">
        <x:v>6.104000000000001</x:v>
      </x:c>
      <x:c r="M54" s="2" t="n">
        <x:v>2016</x:v>
      </x:c>
      <x:c r="N54" s="19" t="n">
        <x:v>42522</x:v>
      </x:c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8" customHeight="1">
      <x:c r="A55" s="2" t="str">
        <x:v>CA-2015-115742</x:v>
      </x:c>
      <x:c r="B55" s="17" t="n">
        <x:v>42112</x:v>
      </x:c>
      <x:c r="C55" s="2" t="str">
        <x:v>DP-13000</x:v>
      </x:c>
      <x:c r="D55" s="2" t="str">
        <x:v>Darren Powers</x:v>
      </x:c>
      <x:c r="E55" s="2" t="str">
        <x:v>Consumer</x:v>
      </x:c>
      <x:c r="F55" s="2" t="str">
        <x:v>Central</x:v>
      </x:c>
      <x:c r="G55" s="2" t="str">
        <x:v>Office Supplies</x:v>
      </x:c>
      <x:c r="H55" s="2" t="str">
        <x:v>Binders</x:v>
      </x:c>
      <x:c r="I55" s="21" t="n">
        <x:v>38.22</x:v>
      </x:c>
      <x:c r="J55" s="23" t="n">
        <x:v>6</x:v>
      </x:c>
      <x:c r="K55" s="25" t="n">
        <x:v>0</x:v>
      </x:c>
      <x:c r="L55" s="21" t="n">
        <x:v>17.9634</x:v>
      </x:c>
      <x:c r="M55" s="2" t="n">
        <x:v>2015</x:v>
      </x:c>
      <x:c r="N55" s="19" t="n">
        <x:v>42095</x:v>
      </x:c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8" customHeight="1">
      <x:c r="A56" s="2" t="str">
        <x:v>CA-2015-115742</x:v>
      </x:c>
      <x:c r="B56" s="17" t="n">
        <x:v>42112</x:v>
      </x:c>
      <x:c r="C56" s="2" t="str">
        <x:v>DP-13000</x:v>
      </x:c>
      <x:c r="D56" s="2" t="str">
        <x:v>Darren Powers</x:v>
      </x:c>
      <x:c r="E56" s="2" t="str">
        <x:v>Consumer</x:v>
      </x:c>
      <x:c r="F56" s="2" t="str">
        <x:v>Central</x:v>
      </x:c>
      <x:c r="G56" s="2" t="str">
        <x:v>Office Supplies</x:v>
      </x:c>
      <x:c r="H56" s="2" t="str">
        <x:v>Labels</x:v>
      </x:c>
      <x:c r="I56" s="21" t="n">
        <x:v>75.17999999999999</x:v>
      </x:c>
      <x:c r="J56" s="23" t="n">
        <x:v>6</x:v>
      </x:c>
      <x:c r="K56" s="25" t="n">
        <x:v>0</x:v>
      </x:c>
      <x:c r="L56" s="21" t="n">
        <x:v>35.334599999999995</x:v>
      </x:c>
      <x:c r="M56" s="2" t="n">
        <x:v>2015</x:v>
      </x:c>
      <x:c r="N56" s="19" t="n">
        <x:v>42095</x:v>
      </x:c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8" customHeight="1">
      <x:c r="A57" s="2" t="str">
        <x:v>CA-2015-115742</x:v>
      </x:c>
      <x:c r="B57" s="17" t="n">
        <x:v>42112</x:v>
      </x:c>
      <x:c r="C57" s="2" t="str">
        <x:v>DP-13000</x:v>
      </x:c>
      <x:c r="D57" s="2" t="str">
        <x:v>Darren Powers</x:v>
      </x:c>
      <x:c r="E57" s="2" t="str">
        <x:v>Consumer</x:v>
      </x:c>
      <x:c r="F57" s="2" t="str">
        <x:v>Central</x:v>
      </x:c>
      <x:c r="G57" s="2" t="str">
        <x:v>Furniture</x:v>
      </x:c>
      <x:c r="H57" s="2" t="str">
        <x:v>Furnishings</x:v>
      </x:c>
      <x:c r="I57" s="21" t="n">
        <x:v>6.16</x:v>
      </x:c>
      <x:c r="J57" s="23" t="n">
        <x:v>2</x:v>
      </x:c>
      <x:c r="K57" s="25" t="n">
        <x:v>0</x:v>
      </x:c>
      <x:c r="L57" s="21" t="n">
        <x:v>2.9568</x:v>
      </x:c>
      <x:c r="M57" s="2" t="n">
        <x:v>2015</x:v>
      </x:c>
      <x:c r="N57" s="19" t="n">
        <x:v>42095</x:v>
      </x:c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8" customHeight="1">
      <x:c r="A58" s="2" t="str">
        <x:v>CA-2015-115742</x:v>
      </x:c>
      <x:c r="B58" s="17" t="n">
        <x:v>42112</x:v>
      </x:c>
      <x:c r="C58" s="2" t="str">
        <x:v>DP-13000</x:v>
      </x:c>
      <x:c r="D58" s="2" t="str">
        <x:v>Darren Powers</x:v>
      </x:c>
      <x:c r="E58" s="2" t="str">
        <x:v>Consumer</x:v>
      </x:c>
      <x:c r="F58" s="2" t="str">
        <x:v>Central</x:v>
      </x:c>
      <x:c r="G58" s="2" t="str">
        <x:v>Furniture</x:v>
      </x:c>
      <x:c r="H58" s="2" t="str">
        <x:v>Chairs</x:v>
      </x:c>
      <x:c r="I58" s="21" t="n">
        <x:v>89.99</x:v>
      </x:c>
      <x:c r="J58" s="23" t="n">
        <x:v>1</x:v>
      </x:c>
      <x:c r="K58" s="25" t="n">
        <x:v>0</x:v>
      </x:c>
      <x:c r="L58" s="21" t="n">
        <x:v>17.098099999999988</x:v>
      </x:c>
      <x:c r="M58" s="2" t="n">
        <x:v>2015</x:v>
      </x:c>
      <x:c r="N58" s="19" t="n">
        <x:v>42095</x:v>
      </x:c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8" customHeight="1">
      <x:c r="A59" s="2" t="str">
        <x:v>CA-2016-105816</x:v>
      </x:c>
      <x:c r="B59" s="17" t="n">
        <x:v>42715</x:v>
      </x:c>
      <x:c r="C59" s="2" t="str">
        <x:v>JM-15265</x:v>
      </x:c>
      <x:c r="D59" s="2" t="str">
        <x:v>Janet Molinari</x:v>
      </x:c>
      <x:c r="E59" s="2" t="str">
        <x:v>Corporate</x:v>
      </x:c>
      <x:c r="F59" s="2" t="str">
        <x:v>East</x:v>
      </x:c>
      <x:c r="G59" s="2" t="str">
        <x:v>Office Supplies</x:v>
      </x:c>
      <x:c r="H59" s="2" t="str">
        <x:v>Fasteners</x:v>
      </x:c>
      <x:c r="I59" s="21" t="n">
        <x:v>15.260000000000002</x:v>
      </x:c>
      <x:c r="J59" s="23" t="n">
        <x:v>7</x:v>
      </x:c>
      <x:c r="K59" s="25" t="n">
        <x:v>0</x:v>
      </x:c>
      <x:c r="L59" s="21" t="n">
        <x:v>6.256600000000001</x:v>
      </x:c>
      <x:c r="M59" s="2" t="n">
        <x:v>2016</x:v>
      </x:c>
      <x:c r="N59" s="19" t="n">
        <x:v>42705</x:v>
      </x:c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8" customHeight="1">
      <x:c r="A60" s="2" t="str">
        <x:v>CA-2016-105816</x:v>
      </x:c>
      <x:c r="B60" s="17" t="n">
        <x:v>42715</x:v>
      </x:c>
      <x:c r="C60" s="2" t="str">
        <x:v>JM-15265</x:v>
      </x:c>
      <x:c r="D60" s="2" t="str">
        <x:v>Janet Molinari</x:v>
      </x:c>
      <x:c r="E60" s="2" t="str">
        <x:v>Corporate</x:v>
      </x:c>
      <x:c r="F60" s="2" t="str">
        <x:v>East</x:v>
      </x:c>
      <x:c r="G60" s="2" t="str">
        <x:v>Technology</x:v>
      </x:c>
      <x:c r="H60" s="2" t="str">
        <x:v>Phones</x:v>
      </x:c>
      <x:c r="I60" s="21" t="n">
        <x:v>1029.95</x:v>
      </x:c>
      <x:c r="J60" s="23" t="n">
        <x:v>5</x:v>
      </x:c>
      <x:c r="K60" s="25" t="n">
        <x:v>0</x:v>
      </x:c>
      <x:c r="L60" s="21" t="n">
        <x:v>298.6855</x:v>
      </x:c>
      <x:c r="M60" s="2" t="n">
        <x:v>2016</x:v>
      </x:c>
      <x:c r="N60" s="19" t="n">
        <x:v>42705</x:v>
      </x:c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8" customHeight="1">
      <x:c r="A61" s="2" t="str">
        <x:v>CA-2016-111682</x:v>
      </x:c>
      <x:c r="B61" s="17" t="n">
        <x:v>42538</x:v>
      </x:c>
      <x:c r="C61" s="2" t="str">
        <x:v>TB-21055</x:v>
      </x:c>
      <x:c r="D61" s="2" t="str">
        <x:v>Ted Butterfield</x:v>
      </x:c>
      <x:c r="E61" s="2" t="str">
        <x:v>Consumer</x:v>
      </x:c>
      <x:c r="F61" s="2" t="str">
        <x:v>East</x:v>
      </x:c>
      <x:c r="G61" s="2" t="str">
        <x:v>Office Supplies</x:v>
      </x:c>
      <x:c r="H61" s="2" t="str">
        <x:v>Storage</x:v>
      </x:c>
      <x:c r="I61" s="21" t="n">
        <x:v>208.56</x:v>
      </x:c>
      <x:c r="J61" s="23" t="n">
        <x:v>6</x:v>
      </x:c>
      <x:c r="K61" s="25" t="n">
        <x:v>0</x:v>
      </x:c>
      <x:c r="L61" s="21" t="n">
        <x:v>52.139999999999986</x:v>
      </x:c>
      <x:c r="M61" s="2" t="n">
        <x:v>2016</x:v>
      </x:c>
      <x:c r="N61" s="19" t="n">
        <x:v>42522</x:v>
      </x:c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8" customHeight="1">
      <x:c r="A62" s="2" t="str">
        <x:v>CA-2016-111682</x:v>
      </x:c>
      <x:c r="B62" s="17" t="n">
        <x:v>42538</x:v>
      </x:c>
      <x:c r="C62" s="2" t="str">
        <x:v>TB-21055</x:v>
      </x:c>
      <x:c r="D62" s="2" t="str">
        <x:v>Ted Butterfield</x:v>
      </x:c>
      <x:c r="E62" s="2" t="str">
        <x:v>Consumer</x:v>
      </x:c>
      <x:c r="F62" s="2" t="str">
        <x:v>East</x:v>
      </x:c>
      <x:c r="G62" s="2" t="str">
        <x:v>Office Supplies</x:v>
      </x:c>
      <x:c r="H62" s="2" t="str">
        <x:v>Paper</x:v>
      </x:c>
      <x:c r="I62" s="21" t="n">
        <x:v>32.400000000000006</x:v>
      </x:c>
      <x:c r="J62" s="23" t="n">
        <x:v>5</x:v>
      </x:c>
      <x:c r="K62" s="25" t="n">
        <x:v>0</x:v>
      </x:c>
      <x:c r="L62" s="21" t="n">
        <x:v>15.552000000000001</x:v>
      </x:c>
      <x:c r="M62" s="2" t="n">
        <x:v>2016</x:v>
      </x:c>
      <x:c r="N62" s="19" t="n">
        <x:v>42522</x:v>
      </x:c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8" customHeight="1">
      <x:c r="A63" s="2" t="str">
        <x:v>CA-2016-111682</x:v>
      </x:c>
      <x:c r="B63" s="17" t="n">
        <x:v>42538</x:v>
      </x:c>
      <x:c r="C63" s="2" t="str">
        <x:v>TB-21055</x:v>
      </x:c>
      <x:c r="D63" s="2" t="str">
        <x:v>Ted Butterfield</x:v>
      </x:c>
      <x:c r="E63" s="2" t="str">
        <x:v>Consumer</x:v>
      </x:c>
      <x:c r="F63" s="2" t="str">
        <x:v>East</x:v>
      </x:c>
      <x:c r="G63" s="2" t="str">
        <x:v>Furniture</x:v>
      </x:c>
      <x:c r="H63" s="2" t="str">
        <x:v>Chairs</x:v>
      </x:c>
      <x:c r="I63" s="21" t="n">
        <x:v>319.41</x:v>
      </x:c>
      <x:c r="J63" s="23" t="n">
        <x:v>5</x:v>
      </x:c>
      <x:c r="K63" s="25" t="n">
        <x:v>0.1</x:v>
      </x:c>
      <x:c r="L63" s="21" t="n">
        <x:v>7.098000000000006</x:v>
      </x:c>
      <x:c r="M63" s="2" t="n">
        <x:v>2016</x:v>
      </x:c>
      <x:c r="N63" s="19" t="n">
        <x:v>42522</x:v>
      </x:c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8" customHeight="1">
      <x:c r="A64" s="2" t="str">
        <x:v>CA-2016-111682</x:v>
      </x:c>
      <x:c r="B64" s="17" t="n">
        <x:v>42538</x:v>
      </x:c>
      <x:c r="C64" s="2" t="str">
        <x:v>TB-21055</x:v>
      </x:c>
      <x:c r="D64" s="2" t="str">
        <x:v>Ted Butterfield</x:v>
      </x:c>
      <x:c r="E64" s="2" t="str">
        <x:v>Consumer</x:v>
      </x:c>
      <x:c r="F64" s="2" t="str">
        <x:v>East</x:v>
      </x:c>
      <x:c r="G64" s="2" t="str">
        <x:v>Office Supplies</x:v>
      </x:c>
      <x:c r="H64" s="2" t="str">
        <x:v>Paper</x:v>
      </x:c>
      <x:c r="I64" s="21" t="n">
        <x:v>14.56</x:v>
      </x:c>
      <x:c r="J64" s="23" t="n">
        <x:v>2</x:v>
      </x:c>
      <x:c r="K64" s="25" t="n">
        <x:v>0</x:v>
      </x:c>
      <x:c r="L64" s="21" t="n">
        <x:v>6.9888</x:v>
      </x:c>
      <x:c r="M64" s="2" t="n">
        <x:v>2016</x:v>
      </x:c>
      <x:c r="N64" s="19" t="n">
        <x:v>42522</x:v>
      </x:c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8" customHeight="1">
      <x:c r="A65" s="2" t="str">
        <x:v>CA-2016-111682</x:v>
      </x:c>
      <x:c r="B65" s="17" t="n">
        <x:v>42538</x:v>
      </x:c>
      <x:c r="C65" s="2" t="str">
        <x:v>TB-21055</x:v>
      </x:c>
      <x:c r="D65" s="2" t="str">
        <x:v>Ted Butterfield</x:v>
      </x:c>
      <x:c r="E65" s="2" t="str">
        <x:v>Consumer</x:v>
      </x:c>
      <x:c r="F65" s="2" t="str">
        <x:v>East</x:v>
      </x:c>
      <x:c r="G65" s="2" t="str">
        <x:v>Technology</x:v>
      </x:c>
      <x:c r="H65" s="2" t="str">
        <x:v>Accessories</x:v>
      </x:c>
      <x:c r="I65" s="21" t="n">
        <x:v>30</x:v>
      </x:c>
      <x:c r="J65" s="23" t="n">
        <x:v>2</x:v>
      </x:c>
      <x:c r="K65" s="25" t="n">
        <x:v>0</x:v>
      </x:c>
      <x:c r="L65" s="21" t="n">
        <x:v>3.3000000000000007</x:v>
      </x:c>
      <x:c r="M65" s="2" t="n">
        <x:v>2016</x:v>
      </x:c>
      <x:c r="N65" s="19" t="n">
        <x:v>42522</x:v>
      </x:c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8" customHeight="1">
      <x:c r="A66" s="2" t="str">
        <x:v>CA-2016-111682</x:v>
      </x:c>
      <x:c r="B66" s="17" t="n">
        <x:v>42538</x:v>
      </x:c>
      <x:c r="C66" s="2" t="str">
        <x:v>TB-21055</x:v>
      </x:c>
      <x:c r="D66" s="2" t="str">
        <x:v>Ted Butterfield</x:v>
      </x:c>
      <x:c r="E66" s="2" t="str">
        <x:v>Consumer</x:v>
      </x:c>
      <x:c r="F66" s="2" t="str">
        <x:v>East</x:v>
      </x:c>
      <x:c r="G66" s="2" t="str">
        <x:v>Office Supplies</x:v>
      </x:c>
      <x:c r="H66" s="2" t="str">
        <x:v>Binders</x:v>
      </x:c>
      <x:c r="I66" s="21" t="n">
        <x:v>48.480000000000004</x:v>
      </x:c>
      <x:c r="J66" s="23" t="n">
        <x:v>4</x:v>
      </x:c>
      <x:c r="K66" s="25" t="n">
        <x:v>0.2</x:v>
      </x:c>
      <x:c r="L66" s="21" t="n">
        <x:v>16.362</x:v>
      </x:c>
      <x:c r="M66" s="2" t="n">
        <x:v>2016</x:v>
      </x:c>
      <x:c r="N66" s="19" t="n">
        <x:v>42522</x:v>
      </x:c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8" customHeight="1">
      <x:c r="A67" s="2" t="str">
        <x:v>CA-2016-111682</x:v>
      </x:c>
      <x:c r="B67" s="17" t="n">
        <x:v>42538</x:v>
      </x:c>
      <x:c r="C67" s="2" t="str">
        <x:v>TB-21055</x:v>
      </x:c>
      <x:c r="D67" s="2" t="str">
        <x:v>Ted Butterfield</x:v>
      </x:c>
      <x:c r="E67" s="2" t="str">
        <x:v>Consumer</x:v>
      </x:c>
      <x:c r="F67" s="2" t="str">
        <x:v>East</x:v>
      </x:c>
      <x:c r="G67" s="2" t="str">
        <x:v>Office Supplies</x:v>
      </x:c>
      <x:c r="H67" s="2" t="str">
        <x:v>Art</x:v>
      </x:c>
      <x:c r="I67" s="21" t="n">
        <x:v>1.68</x:v>
      </x:c>
      <x:c r="J67" s="23" t="n">
        <x:v>1</x:v>
      </x:c>
      <x:c r="K67" s="25" t="n">
        <x:v>0</x:v>
      </x:c>
      <x:c r="L67" s="21" t="n">
        <x:v>0.84</x:v>
      </x:c>
      <x:c r="M67" s="2" t="n">
        <x:v>2016</x:v>
      </x:c>
      <x:c r="N67" s="19" t="n">
        <x:v>42522</x:v>
      </x:c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8" customHeight="1">
      <x:c r="A68" s="2" t="str">
        <x:v>CA-2015-135545</x:v>
      </x:c>
      <x:c r="B68" s="17" t="n">
        <x:v>42332</x:v>
      </x:c>
      <x:c r="C68" s="2" t="str">
        <x:v>KM-16720</x:v>
      </x:c>
      <x:c r="D68" s="2" t="str">
        <x:v>Kunst Miller</x:v>
      </x:c>
      <x:c r="E68" s="2" t="str">
        <x:v>Consumer</x:v>
      </x:c>
      <x:c r="F68" s="2" t="str">
        <x:v>West</x:v>
      </x:c>
      <x:c r="G68" s="2" t="str">
        <x:v>Technology</x:v>
      </x:c>
      <x:c r="H68" s="2" t="str">
        <x:v>Accessories</x:v>
      </x:c>
      <x:c r="I68" s="21" t="n">
        <x:v>13.98</x:v>
      </x:c>
      <x:c r="J68" s="23" t="n">
        <x:v>2</x:v>
      </x:c>
      <x:c r="K68" s="25" t="n">
        <x:v>0</x:v>
      </x:c>
      <x:c r="L68" s="21" t="n">
        <x:v>6.151200000000001</x:v>
      </x:c>
      <x:c r="M68" s="2" t="n">
        <x:v>2015</x:v>
      </x:c>
      <x:c r="N68" s="19" t="n">
        <x:v>42309</x:v>
      </x:c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8" customHeight="1">
      <x:c r="A69" s="2" t="str">
        <x:v>CA-2015-135545</x:v>
      </x:c>
      <x:c r="B69" s="17" t="n">
        <x:v>42332</x:v>
      </x:c>
      <x:c r="C69" s="2" t="str">
        <x:v>KM-16720</x:v>
      </x:c>
      <x:c r="D69" s="2" t="str">
        <x:v>Kunst Miller</x:v>
      </x:c>
      <x:c r="E69" s="2" t="str">
        <x:v>Consumer</x:v>
      </x:c>
      <x:c r="F69" s="2" t="str">
        <x:v>West</x:v>
      </x:c>
      <x:c r="G69" s="2" t="str">
        <x:v>Office Supplies</x:v>
      </x:c>
      <x:c r="H69" s="2" t="str">
        <x:v>Binders</x:v>
      </x:c>
      <x:c r="I69" s="21" t="n">
        <x:v>25.824</x:v>
      </x:c>
      <x:c r="J69" s="23" t="n">
        <x:v>6</x:v>
      </x:c>
      <x:c r="K69" s="25" t="n">
        <x:v>0.2</x:v>
      </x:c>
      <x:c r="L69" s="21" t="n">
        <x:v>9.3612</x:v>
      </x:c>
      <x:c r="M69" s="2" t="n">
        <x:v>2015</x:v>
      </x:c>
      <x:c r="N69" s="19" t="n">
        <x:v>42309</x:v>
      </x:c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8" customHeight="1">
      <x:c r="A70" s="2" t="str">
        <x:v>CA-2015-135545</x:v>
      </x:c>
      <x:c r="B70" s="17" t="n">
        <x:v>42332</x:v>
      </x:c>
      <x:c r="C70" s="2" t="str">
        <x:v>KM-16720</x:v>
      </x:c>
      <x:c r="D70" s="2" t="str">
        <x:v>Kunst Miller</x:v>
      </x:c>
      <x:c r="E70" s="2" t="str">
        <x:v>Consumer</x:v>
      </x:c>
      <x:c r="F70" s="2" t="str">
        <x:v>West</x:v>
      </x:c>
      <x:c r="G70" s="2" t="str">
        <x:v>Office Supplies</x:v>
      </x:c>
      <x:c r="H70" s="2" t="str">
        <x:v>Paper</x:v>
      </x:c>
      <x:c r="I70" s="21" t="n">
        <x:v>146.73</x:v>
      </x:c>
      <x:c r="J70" s="23" t="n">
        <x:v>3</x:v>
      </x:c>
      <x:c r="K70" s="25" t="n">
        <x:v>0</x:v>
      </x:c>
      <x:c r="L70" s="21" t="n">
        <x:v>68.9631</x:v>
      </x:c>
      <x:c r="M70" s="2" t="n">
        <x:v>2015</x:v>
      </x:c>
      <x:c r="N70" s="19" t="n">
        <x:v>42309</x:v>
      </x:c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8" customHeight="1">
      <x:c r="A71" s="2" t="str">
        <x:v>CA-2015-135545</x:v>
      </x:c>
      <x:c r="B71" s="17" t="n">
        <x:v>42332</x:v>
      </x:c>
      <x:c r="C71" s="2" t="str">
        <x:v>KM-16720</x:v>
      </x:c>
      <x:c r="D71" s="2" t="str">
        <x:v>Kunst Miller</x:v>
      </x:c>
      <x:c r="E71" s="2" t="str">
        <x:v>Consumer</x:v>
      </x:c>
      <x:c r="F71" s="2" t="str">
        <x:v>West</x:v>
      </x:c>
      <x:c r="G71" s="2" t="str">
        <x:v>Furniture</x:v>
      </x:c>
      <x:c r="H71" s="2" t="str">
        <x:v>Furnishings</x:v>
      </x:c>
      <x:c r="I71" s="21" t="n">
        <x:v>79.76</x:v>
      </x:c>
      <x:c r="J71" s="23" t="n">
        <x:v>4</x:v>
      </x:c>
      <x:c r="K71" s="25" t="n">
        <x:v>0</x:v>
      </x:c>
      <x:c r="L71" s="21" t="n">
        <x:v>22.332800000000006</x:v>
      </x:c>
      <x:c r="M71" s="2" t="n">
        <x:v>2015</x:v>
      </x:c>
      <x:c r="N71" s="19" t="n">
        <x:v>42309</x:v>
      </x:c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8" customHeight="1">
      <x:c r="A72" s="2" t="str">
        <x:v>US-2015-164175</x:v>
      </x:c>
      <x:c r="B72" s="17" t="n">
        <x:v>42124</x:v>
      </x:c>
      <x:c r="C72" s="2" t="str">
        <x:v>PS-18970</x:v>
      </x:c>
      <x:c r="D72" s="2" t="str">
        <x:v>Paul Stevenson</x:v>
      </x:c>
      <x:c r="E72" s="2" t="str">
        <x:v>Home Office</x:v>
      </x:c>
      <x:c r="F72" s="2" t="str">
        <x:v>Central</x:v>
      </x:c>
      <x:c r="G72" s="2" t="str">
        <x:v>Furniture</x:v>
      </x:c>
      <x:c r="H72" s="2" t="str">
        <x:v>Chairs</x:v>
      </x:c>
      <x:c r="I72" s="21" t="n">
        <x:v>213.11499999999998</x:v>
      </x:c>
      <x:c r="J72" s="23" t="n">
        <x:v>5</x:v>
      </x:c>
      <x:c r="K72" s="25" t="n">
        <x:v>0.3</x:v>
      </x:c>
      <x:c r="L72" s="21" t="n">
        <x:v>-15.22250000000001</x:v>
      </x:c>
      <x:c r="M72" s="2" t="n">
        <x:v>2015</x:v>
      </x:c>
      <x:c r="N72" s="19" t="n">
        <x:v>42095</x:v>
      </x:c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8" customHeight="1">
      <x:c r="A73" s="2" t="str">
        <x:v>CA-2014-106376</x:v>
      </x:c>
      <x:c r="B73" s="17" t="n">
        <x:v>41978</x:v>
      </x:c>
      <x:c r="C73" s="2" t="str">
        <x:v>BS-11590</x:v>
      </x:c>
      <x:c r="D73" s="2" t="str">
        <x:v>Brendan Sweed</x:v>
      </x:c>
      <x:c r="E73" s="2" t="str">
        <x:v>Corporate</x:v>
      </x:c>
      <x:c r="F73" s="2" t="str">
        <x:v>West</x:v>
      </x:c>
      <x:c r="G73" s="2" t="str">
        <x:v>Office Supplies</x:v>
      </x:c>
      <x:c r="H73" s="2" t="str">
        <x:v>Art</x:v>
      </x:c>
      <x:c r="I73" s="21" t="n">
        <x:v>1113.0240000000001</x:v>
      </x:c>
      <x:c r="J73" s="23" t="n">
        <x:v>8</x:v>
      </x:c>
      <x:c r="K73" s="25" t="n">
        <x:v>0.2</x:v>
      </x:c>
      <x:c r="L73" s="21" t="n">
        <x:v>111.30239999999998</x:v>
      </x:c>
      <x:c r="M73" s="2" t="n">
        <x:v>2014</x:v>
      </x:c>
      <x:c r="N73" s="19" t="n">
        <x:v>41974</x:v>
      </x:c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8" customHeight="1">
      <x:c r="A74" s="2" t="str">
        <x:v>CA-2014-106376</x:v>
      </x:c>
      <x:c r="B74" s="17" t="n">
        <x:v>41978</x:v>
      </x:c>
      <x:c r="C74" s="2" t="str">
        <x:v>BS-11590</x:v>
      </x:c>
      <x:c r="D74" s="2" t="str">
        <x:v>Brendan Sweed</x:v>
      </x:c>
      <x:c r="E74" s="2" t="str">
        <x:v>Corporate</x:v>
      </x:c>
      <x:c r="F74" s="2" t="str">
        <x:v>West</x:v>
      </x:c>
      <x:c r="G74" s="2" t="str">
        <x:v>Technology</x:v>
      </x:c>
      <x:c r="H74" s="2" t="str">
        <x:v>Phones</x:v>
      </x:c>
      <x:c r="I74" s="21" t="n">
        <x:v>167.96800000000002</x:v>
      </x:c>
      <x:c r="J74" s="23" t="n">
        <x:v>4</x:v>
      </x:c>
      <x:c r="K74" s="25" t="n">
        <x:v>0.2</x:v>
      </x:c>
      <x:c r="L74" s="21" t="n">
        <x:v>62.988</x:v>
      </x:c>
      <x:c r="M74" s="2" t="n">
        <x:v>2014</x:v>
      </x:c>
      <x:c r="N74" s="19" t="n">
        <x:v>41974</x:v>
      </x:c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8" customHeight="1">
      <x:c r="A75" s="2" t="str">
        <x:v>CA-2016-119823</x:v>
      </x:c>
      <x:c r="B75" s="17" t="n">
        <x:v>42525</x:v>
      </x:c>
      <x:c r="C75" s="2" t="str">
        <x:v>KD-16270</x:v>
      </x:c>
      <x:c r="D75" s="2" t="str">
        <x:v>Karen Daniels</x:v>
      </x:c>
      <x:c r="E75" s="2" t="str">
        <x:v>Consumer</x:v>
      </x:c>
      <x:c r="F75" s="2" t="str">
        <x:v>South</x:v>
      </x:c>
      <x:c r="G75" s="2" t="str">
        <x:v>Office Supplies</x:v>
      </x:c>
      <x:c r="H75" s="2" t="str">
        <x:v>Paper</x:v>
      </x:c>
      <x:c r="I75" s="21" t="n">
        <x:v>75.88</x:v>
      </x:c>
      <x:c r="J75" s="23" t="n">
        <x:v>2</x:v>
      </x:c>
      <x:c r="K75" s="25" t="n">
        <x:v>0</x:v>
      </x:c>
      <x:c r="L75" s="21" t="n">
        <x:v>35.663599999999995</x:v>
      </x:c>
      <x:c r="M75" s="2" t="n">
        <x:v>2016</x:v>
      </x:c>
      <x:c r="N75" s="19" t="n">
        <x:v>42522</x:v>
      </x:c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8" customHeight="1">
      <x:c r="A76" s="2" t="str">
        <x:v>CA-2016-106075</x:v>
      </x:c>
      <x:c r="B76" s="17" t="n">
        <x:v>42631</x:v>
      </x:c>
      <x:c r="C76" s="2" t="str">
        <x:v>HM-14980</x:v>
      </x:c>
      <x:c r="D76" s="2" t="str">
        <x:v>Henry MacAllister</x:v>
      </x:c>
      <x:c r="E76" s="2" t="str">
        <x:v>Consumer</x:v>
      </x:c>
      <x:c r="F76" s="2" t="str">
        <x:v>East</x:v>
      </x:c>
      <x:c r="G76" s="2" t="str">
        <x:v>Office Supplies</x:v>
      </x:c>
      <x:c r="H76" s="2" t="str">
        <x:v>Binders</x:v>
      </x:c>
      <x:c r="I76" s="21" t="n">
        <x:v>4.616</x:v>
      </x:c>
      <x:c r="J76" s="23" t="n">
        <x:v>1</x:v>
      </x:c>
      <x:c r="K76" s="25" t="n">
        <x:v>0.2</x:v>
      </x:c>
      <x:c r="L76" s="21" t="n">
        <x:v>1.7309999999999999</x:v>
      </x:c>
      <x:c r="M76" s="2" t="n">
        <x:v>2016</x:v>
      </x:c>
      <x:c r="N76" s="19" t="n">
        <x:v>42614</x:v>
      </x:c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8" customHeight="1">
      <x:c r="A77" s="2" t="str">
        <x:v>CA-2017-114440</x:v>
      </x:c>
      <x:c r="B77" s="17" t="n">
        <x:v>42992</x:v>
      </x:c>
      <x:c r="C77" s="2" t="str">
        <x:v>TB-21520</x:v>
      </x:c>
      <x:c r="D77" s="2" t="str">
        <x:v>Tracy Blumstein</x:v>
      </x:c>
      <x:c r="E77" s="2" t="str">
        <x:v>Consumer</x:v>
      </x:c>
      <x:c r="F77" s="2" t="str">
        <x:v>Central</x:v>
      </x:c>
      <x:c r="G77" s="2" t="str">
        <x:v>Office Supplies</x:v>
      </x:c>
      <x:c r="H77" s="2" t="str">
        <x:v>Paper</x:v>
      </x:c>
      <x:c r="I77" s="21" t="n">
        <x:v>19.049999999999997</x:v>
      </x:c>
      <x:c r="J77" s="23" t="n">
        <x:v>3</x:v>
      </x:c>
      <x:c r="K77" s="25" t="n">
        <x:v>0</x:v>
      </x:c>
      <x:c r="L77" s="21" t="n">
        <x:v>8.763</x:v>
      </x:c>
      <x:c r="M77" s="2" t="n">
        <x:v>2017</x:v>
      </x:c>
      <x:c r="N77" s="19" t="n">
        <x:v>42979</x:v>
      </x:c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8" customHeight="1">
      <x:c r="A78" s="2" t="str">
        <x:v>US-2015-134026</x:v>
      </x:c>
      <x:c r="B78" s="17" t="n">
        <x:v>42120</x:v>
      </x:c>
      <x:c r="C78" s="2" t="str">
        <x:v>JE-15745</x:v>
      </x:c>
      <x:c r="D78" s="2" t="str">
        <x:v>Joel Eaton</x:v>
      </x:c>
      <x:c r="E78" s="2" t="str">
        <x:v>Consumer</x:v>
      </x:c>
      <x:c r="F78" s="2" t="str">
        <x:v>South</x:v>
      </x:c>
      <x:c r="G78" s="2" t="str">
        <x:v>Furniture</x:v>
      </x:c>
      <x:c r="H78" s="2" t="str">
        <x:v>Chairs</x:v>
      </x:c>
      <x:c r="I78" s="21" t="n">
        <x:v>831.9360000000001</x:v>
      </x:c>
      <x:c r="J78" s="23" t="n">
        <x:v>8</x:v>
      </x:c>
      <x:c r="K78" s="25" t="n">
        <x:v>0.2</x:v>
      </x:c>
      <x:c r="L78" s="21" t="n">
        <x:v>-114.39120000000003</x:v>
      </x:c>
      <x:c r="M78" s="2" t="n">
        <x:v>2015</x:v>
      </x:c>
      <x:c r="N78" s="19" t="n">
        <x:v>42095</x:v>
      </x:c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8" customHeight="1">
      <x:c r="A79" s="2" t="str">
        <x:v>US-2015-134026</x:v>
      </x:c>
      <x:c r="B79" s="17" t="n">
        <x:v>42120</x:v>
      </x:c>
      <x:c r="C79" s="2" t="str">
        <x:v>JE-15745</x:v>
      </x:c>
      <x:c r="D79" s="2" t="str">
        <x:v>Joel Eaton</x:v>
      </x:c>
      <x:c r="E79" s="2" t="str">
        <x:v>Consumer</x:v>
      </x:c>
      <x:c r="F79" s="2" t="str">
        <x:v>South</x:v>
      </x:c>
      <x:c r="G79" s="2" t="str">
        <x:v>Furniture</x:v>
      </x:c>
      <x:c r="H79" s="2" t="str">
        <x:v>Furnishings</x:v>
      </x:c>
      <x:c r="I79" s="21" t="n">
        <x:v>97.04</x:v>
      </x:c>
      <x:c r="J79" s="23" t="n">
        <x:v>2</x:v>
      </x:c>
      <x:c r="K79" s="25" t="n">
        <x:v>0.2</x:v>
      </x:c>
      <x:c r="L79" s="21" t="n">
        <x:v>1.2129999999999974</x:v>
      </x:c>
      <x:c r="M79" s="2" t="n">
        <x:v>2015</x:v>
      </x:c>
      <x:c r="N79" s="19" t="n">
        <x:v>42095</x:v>
      </x:c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8" customHeight="1">
      <x:c r="A80" s="2" t="str">
        <x:v>US-2015-134026</x:v>
      </x:c>
      <x:c r="B80" s="17" t="n">
        <x:v>42120</x:v>
      </x:c>
      <x:c r="C80" s="2" t="str">
        <x:v>JE-15745</x:v>
      </x:c>
      <x:c r="D80" s="2" t="str">
        <x:v>Joel Eaton</x:v>
      </x:c>
      <x:c r="E80" s="2" t="str">
        <x:v>Consumer</x:v>
      </x:c>
      <x:c r="F80" s="2" t="str">
        <x:v>South</x:v>
      </x:c>
      <x:c r="G80" s="2" t="str">
        <x:v>Office Supplies</x:v>
      </x:c>
      <x:c r="H80" s="2" t="str">
        <x:v>Storage</x:v>
      </x:c>
      <x:c r="I80" s="21" t="n">
        <x:v>72.784</x:v>
      </x:c>
      <x:c r="J80" s="23" t="n">
        <x:v>1</x:v>
      </x:c>
      <x:c r="K80" s="25" t="n">
        <x:v>0.2</x:v>
      </x:c>
      <x:c r="L80" s="21" t="n">
        <x:v>-18.196</x:v>
      </x:c>
      <x:c r="M80" s="2" t="n">
        <x:v>2015</x:v>
      </x:c>
      <x:c r="N80" s="19" t="n">
        <x:v>42095</x:v>
      </x:c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8" customHeight="1">
      <x:c r="A81" s="2" t="str">
        <x:v>US-2017-118038</x:v>
      </x:c>
      <x:c r="B81" s="17" t="n">
        <x:v>43078</x:v>
      </x:c>
      <x:c r="C81" s="2" t="str">
        <x:v>KB-16600</x:v>
      </x:c>
      <x:c r="D81" s="2" t="str">
        <x:v>Ken Brennan</x:v>
      </x:c>
      <x:c r="E81" s="2" t="str">
        <x:v>Corporate</x:v>
      </x:c>
      <x:c r="F81" s="2" t="str">
        <x:v>Central</x:v>
      </x:c>
      <x:c r="G81" s="2" t="str">
        <x:v>Office Supplies</x:v>
      </x:c>
      <x:c r="H81" s="2" t="str">
        <x:v>Binders</x:v>
      </x:c>
      <x:c r="I81" s="21" t="n">
        <x:v>1.2479999999999998</x:v>
      </x:c>
      <x:c r="J81" s="23" t="n">
        <x:v>3</x:v>
      </x:c>
      <x:c r="K81" s="25" t="n">
        <x:v>0.8</x:v>
      </x:c>
      <x:c r="L81" s="21" t="n">
        <x:v>-1.9344000000000006</x:v>
      </x:c>
      <x:c r="M81" s="2" t="n">
        <x:v>2017</x:v>
      </x:c>
      <x:c r="N81" s="19" t="n">
        <x:v>43070</x:v>
      </x:c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8" customHeight="1">
      <x:c r="A82" s="2" t="str">
        <x:v>US-2017-118038</x:v>
      </x:c>
      <x:c r="B82" s="17" t="n">
        <x:v>43078</x:v>
      </x:c>
      <x:c r="C82" s="2" t="str">
        <x:v>KB-16600</x:v>
      </x:c>
      <x:c r="D82" s="2" t="str">
        <x:v>Ken Brennan</x:v>
      </x:c>
      <x:c r="E82" s="2" t="str">
        <x:v>Corporate</x:v>
      </x:c>
      <x:c r="F82" s="2" t="str">
        <x:v>Central</x:v>
      </x:c>
      <x:c r="G82" s="2" t="str">
        <x:v>Furniture</x:v>
      </x:c>
      <x:c r="H82" s="2" t="str">
        <x:v>Furnishings</x:v>
      </x:c>
      <x:c r="I82" s="21" t="n">
        <x:v>9.708</x:v>
      </x:c>
      <x:c r="J82" s="23" t="n">
        <x:v>3</x:v>
      </x:c>
      <x:c r="K82" s="25" t="n">
        <x:v>0.6</x:v>
      </x:c>
      <x:c r="L82" s="21" t="n">
        <x:v>-5.8248000000000015</x:v>
      </x:c>
      <x:c r="M82" s="2" t="n">
        <x:v>2017</x:v>
      </x:c>
      <x:c r="N82" s="19" t="n">
        <x:v>43070</x:v>
      </x:c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8" customHeight="1">
      <x:c r="A83" s="2" t="str">
        <x:v>US-2017-118038</x:v>
      </x:c>
      <x:c r="B83" s="17" t="n">
        <x:v>43078</x:v>
      </x:c>
      <x:c r="C83" s="2" t="str">
        <x:v>KB-16600</x:v>
      </x:c>
      <x:c r="D83" s="2" t="str">
        <x:v>Ken Brennan</x:v>
      </x:c>
      <x:c r="E83" s="2" t="str">
        <x:v>Corporate</x:v>
      </x:c>
      <x:c r="F83" s="2" t="str">
        <x:v>Central</x:v>
      </x:c>
      <x:c r="G83" s="2" t="str">
        <x:v>Office Supplies</x:v>
      </x:c>
      <x:c r="H83" s="2" t="str">
        <x:v>Storage</x:v>
      </x:c>
      <x:c r="I83" s="21" t="n">
        <x:v>27.240000000000002</x:v>
      </x:c>
      <x:c r="J83" s="23" t="n">
        <x:v>3</x:v>
      </x:c>
      <x:c r="K83" s="25" t="n">
        <x:v>0.2</x:v>
      </x:c>
      <x:c r="L83" s="21" t="n">
        <x:v>2.724000000000002</x:v>
      </x:c>
      <x:c r="M83" s="2" t="n">
        <x:v>2017</x:v>
      </x:c>
      <x:c r="N83" s="19" t="n">
        <x:v>43070</x:v>
      </x:c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8" customHeight="1">
      <x:c r="A84" s="2" t="str">
        <x:v>US-2014-147606</x:v>
      </x:c>
      <x:c r="B84" s="17" t="n">
        <x:v>41969</x:v>
      </x:c>
      <x:c r="C84" s="2" t="str">
        <x:v>JE-15745</x:v>
      </x:c>
      <x:c r="D84" s="2" t="str">
        <x:v>Joel Eaton</x:v>
      </x:c>
      <x:c r="E84" s="2" t="str">
        <x:v>Consumer</x:v>
      </x:c>
      <x:c r="F84" s="2" t="str">
        <x:v>Central</x:v>
      </x:c>
      <x:c r="G84" s="2" t="str">
        <x:v>Furniture</x:v>
      </x:c>
      <x:c r="H84" s="2" t="str">
        <x:v>Furnishings</x:v>
      </x:c>
      <x:c r="I84" s="21" t="n">
        <x:v>19.3</x:v>
      </x:c>
      <x:c r="J84" s="23" t="n">
        <x:v>5</x:v>
      </x:c>
      <x:c r="K84" s="25" t="n">
        <x:v>0.6</x:v>
      </x:c>
      <x:c r="L84" s="21" t="n">
        <x:v>-14.475000000000001</x:v>
      </x:c>
      <x:c r="M84" s="2" t="n">
        <x:v>2014</x:v>
      </x:c>
      <x:c r="N84" s="19" t="n">
        <x:v>41944</x:v>
      </x:c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8" customHeight="1">
      <x:c r="A85" s="2" t="str">
        <x:v>CA-2016-127208</x:v>
      </x:c>
      <x:c r="B85" s="17" t="n">
        <x:v>42533</x:v>
      </x:c>
      <x:c r="C85" s="2" t="str">
        <x:v>SC-20770</x:v>
      </x:c>
      <x:c r="D85" s="2" t="str">
        <x:v>Stewart Carmichael</x:v>
      </x:c>
      <x:c r="E85" s="2" t="str">
        <x:v>Corporate</x:v>
      </x:c>
      <x:c r="F85" s="2" t="str">
        <x:v>South</x:v>
      </x:c>
      <x:c r="G85" s="2" t="str">
        <x:v>Office Supplies</x:v>
      </x:c>
      <x:c r="H85" s="2" t="str">
        <x:v>Appliances</x:v>
      </x:c>
      <x:c r="I85" s="21" t="n">
        <x:v>208.16</x:v>
      </x:c>
      <x:c r="J85" s="23" t="n">
        <x:v>1</x:v>
      </x:c>
      <x:c r="K85" s="25" t="n">
        <x:v>0</x:v>
      </x:c>
      <x:c r="L85" s="21" t="n">
        <x:v>56.20320000000001</x:v>
      </x:c>
      <x:c r="M85" s="2" t="n">
        <x:v>2016</x:v>
      </x:c>
      <x:c r="N85" s="19" t="n">
        <x:v>42522</x:v>
      </x:c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8" customHeight="1">
      <x:c r="A86" s="2" t="str">
        <x:v>CA-2016-127208</x:v>
      </x:c>
      <x:c r="B86" s="17" t="n">
        <x:v>42533</x:v>
      </x:c>
      <x:c r="C86" s="2" t="str">
        <x:v>SC-20770</x:v>
      </x:c>
      <x:c r="D86" s="2" t="str">
        <x:v>Stewart Carmichael</x:v>
      </x:c>
      <x:c r="E86" s="2" t="str">
        <x:v>Corporate</x:v>
      </x:c>
      <x:c r="F86" s="2" t="str">
        <x:v>South</x:v>
      </x:c>
      <x:c r="G86" s="2" t="str">
        <x:v>Office Supplies</x:v>
      </x:c>
      <x:c r="H86" s="2" t="str">
        <x:v>Binders</x:v>
      </x:c>
      <x:c r="I86" s="21" t="n">
        <x:v>16.740000000000002</x:v>
      </x:c>
      <x:c r="J86" s="23" t="n">
        <x:v>3</x:v>
      </x:c>
      <x:c r="K86" s="25" t="n">
        <x:v>0</x:v>
      </x:c>
      <x:c r="L86" s="21" t="n">
        <x:v>8.0352</x:v>
      </x:c>
      <x:c r="M86" s="2" t="n">
        <x:v>2016</x:v>
      </x:c>
      <x:c r="N86" s="19" t="n">
        <x:v>42522</x:v>
      </x:c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8" customHeight="1">
      <x:c r="A87" s="2" t="str">
        <x:v>CA-2014-139451</x:v>
      </x:c>
      <x:c r="B87" s="17" t="n">
        <x:v>41924</x:v>
      </x:c>
      <x:c r="C87" s="2" t="str">
        <x:v>DN-13690</x:v>
      </x:c>
      <x:c r="D87" s="2" t="str">
        <x:v>Duane Noonan</x:v>
      </x:c>
      <x:c r="E87" s="2" t="str">
        <x:v>Consumer</x:v>
      </x:c>
      <x:c r="F87" s="2" t="str">
        <x:v>West</x:v>
      </x:c>
      <x:c r="G87" s="2" t="str">
        <x:v>Office Supplies</x:v>
      </x:c>
      <x:c r="H87" s="2" t="str">
        <x:v>Art</x:v>
      </x:c>
      <x:c r="I87" s="21" t="n">
        <x:v>14.9</x:v>
      </x:c>
      <x:c r="J87" s="23" t="n">
        <x:v>5</x:v>
      </x:c>
      <x:c r="K87" s="25" t="n">
        <x:v>0</x:v>
      </x:c>
      <x:c r="L87" s="21" t="n">
        <x:v>4.172000000000001</x:v>
      </x:c>
      <x:c r="M87" s="2" t="n">
        <x:v>2014</x:v>
      </x:c>
      <x:c r="N87" s="19" t="n">
        <x:v>41913</x:v>
      </x:c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8" customHeight="1">
      <x:c r="A88" s="2" t="str">
        <x:v>CA-2014-139451</x:v>
      </x:c>
      <x:c r="B88" s="17" t="n">
        <x:v>41924</x:v>
      </x:c>
      <x:c r="C88" s="2" t="str">
        <x:v>DN-13690</x:v>
      </x:c>
      <x:c r="D88" s="2" t="str">
        <x:v>Duane Noonan</x:v>
      </x:c>
      <x:c r="E88" s="2" t="str">
        <x:v>Consumer</x:v>
      </x:c>
      <x:c r="F88" s="2" t="str">
        <x:v>West</x:v>
      </x:c>
      <x:c r="G88" s="2" t="str">
        <x:v>Office Supplies</x:v>
      </x:c>
      <x:c r="H88" s="2" t="str">
        <x:v>Storage</x:v>
      </x:c>
      <x:c r="I88" s="21" t="n">
        <x:v>21.39</x:v>
      </x:c>
      <x:c r="J88" s="23" t="n">
        <x:v>1</x:v>
      </x:c>
      <x:c r="K88" s="25" t="n">
        <x:v>0</x:v>
      </x:c>
      <x:c r="L88" s="21" t="n">
        <x:v>6.203099999999999</x:v>
      </x:c>
      <x:c r="M88" s="2" t="n">
        <x:v>2014</x:v>
      </x:c>
      <x:c r="N88" s="19" t="n">
        <x:v>41913</x:v>
      </x:c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8" customHeight="1">
      <x:c r="A89" s="2" t="str">
        <x:v>CA-2015-149734</x:v>
      </x:c>
      <x:c r="B89" s="17" t="n">
        <x:v>42250</x:v>
      </x:c>
      <x:c r="C89" s="2" t="str">
        <x:v>JC-16105</x:v>
      </x:c>
      <x:c r="D89" s="2" t="str">
        <x:v>Julie Creighton</x:v>
      </x:c>
      <x:c r="E89" s="2" t="str">
        <x:v>Corporate</x:v>
      </x:c>
      <x:c r="F89" s="2" t="str">
        <x:v>South</x:v>
      </x:c>
      <x:c r="G89" s="2" t="str">
        <x:v>Office Supplies</x:v>
      </x:c>
      <x:c r="H89" s="2" t="str">
        <x:v>Envelopes</x:v>
      </x:c>
      <x:c r="I89" s="21" t="n">
        <x:v>200.98400000000004</x:v>
      </x:c>
      <x:c r="J89" s="23" t="n">
        <x:v>7</x:v>
      </x:c>
      <x:c r="K89" s="25" t="n">
        <x:v>0.2</x:v>
      </x:c>
      <x:c r="L89" s="21" t="n">
        <x:v>62.807499999999976</x:v>
      </x:c>
      <x:c r="M89" s="2" t="n">
        <x:v>2015</x:v>
      </x:c>
      <x:c r="N89" s="19" t="n">
        <x:v>42248</x:v>
      </x:c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8" customHeight="1">
      <x:c r="A90" s="2" t="str">
        <x:v>US-2017-119662</x:v>
      </x:c>
      <x:c r="B90" s="17" t="n">
        <x:v>43052</x:v>
      </x:c>
      <x:c r="C90" s="2" t="str">
        <x:v>CS-12400</x:v>
      </x:c>
      <x:c r="D90" s="2" t="str">
        <x:v>Christopher Schild</x:v>
      </x:c>
      <x:c r="E90" s="2" t="str">
        <x:v>Home Office</x:v>
      </x:c>
      <x:c r="F90" s="2" t="str">
        <x:v>Central</x:v>
      </x:c>
      <x:c r="G90" s="2" t="str">
        <x:v>Office Supplies</x:v>
      </x:c>
      <x:c r="H90" s="2" t="str">
        <x:v>Storage</x:v>
      </x:c>
      <x:c r="I90" s="21" t="n">
        <x:v>230.376</x:v>
      </x:c>
      <x:c r="J90" s="23" t="n">
        <x:v>3</x:v>
      </x:c>
      <x:c r="K90" s="25" t="n">
        <x:v>0.2</x:v>
      </x:c>
      <x:c r="L90" s="21" t="n">
        <x:v>-48.9549</x:v>
      </x:c>
      <x:c r="M90" s="2" t="n">
        <x:v>2017</x:v>
      </x:c>
      <x:c r="N90" s="19" t="n">
        <x:v>43040</x:v>
      </x:c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8" customHeight="1">
      <x:c r="A91" s="2" t="str">
        <x:v>CA-2017-140088</x:v>
      </x:c>
      <x:c r="B91" s="17" t="n">
        <x:v>42883</x:v>
      </x:c>
      <x:c r="C91" s="2" t="str">
        <x:v>PO-18865</x:v>
      </x:c>
      <x:c r="D91" s="2" t="str">
        <x:v>Patrick O'Donnell</x:v>
      </x:c>
      <x:c r="E91" s="2" t="str">
        <x:v>Consumer</x:v>
      </x:c>
      <x:c r="F91" s="2" t="str">
        <x:v>South</x:v>
      </x:c>
      <x:c r="G91" s="2" t="str">
        <x:v>Furniture</x:v>
      </x:c>
      <x:c r="H91" s="2" t="str">
        <x:v>Chairs</x:v>
      </x:c>
      <x:c r="I91" s="21" t="n">
        <x:v>301.96</x:v>
      </x:c>
      <x:c r="J91" s="23" t="n">
        <x:v>2</x:v>
      </x:c>
      <x:c r="K91" s="25" t="n">
        <x:v>0</x:v>
      </x:c>
      <x:c r="L91" s="21" t="n">
        <x:v>33.215599999999995</x:v>
      </x:c>
      <x:c r="M91" s="2" t="n">
        <x:v>2017</x:v>
      </x:c>
      <x:c r="N91" s="19" t="n">
        <x:v>42856</x:v>
      </x:c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8" customHeight="1">
      <x:c r="A92" s="2" t="str">
        <x:v>CA-2017-155558</x:v>
      </x:c>
      <x:c r="B92" s="17" t="n">
        <x:v>43034</x:v>
      </x:c>
      <x:c r="C92" s="2" t="str">
        <x:v>PG-18895</x:v>
      </x:c>
      <x:c r="D92" s="2" t="str">
        <x:v>Paul Gonzalez</x:v>
      </x:c>
      <x:c r="E92" s="2" t="str">
        <x:v>Consumer</x:v>
      </x:c>
      <x:c r="F92" s="2" t="str">
        <x:v>Central</x:v>
      </x:c>
      <x:c r="G92" s="2" t="str">
        <x:v>Technology</x:v>
      </x:c>
      <x:c r="H92" s="2" t="str">
        <x:v>Accessories</x:v>
      </x:c>
      <x:c r="I92" s="21" t="n">
        <x:v>19.99</x:v>
      </x:c>
      <x:c r="J92" s="23" t="n">
        <x:v>1</x:v>
      </x:c>
      <x:c r="K92" s="25" t="n">
        <x:v>0</x:v>
      </x:c>
      <x:c r="L92" s="21" t="n">
        <x:v>6.796599999999998</x:v>
      </x:c>
      <x:c r="M92" s="2" t="n">
        <x:v>2017</x:v>
      </x:c>
      <x:c r="N92" s="19" t="n">
        <x:v>43009</x:v>
      </x:c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8" customHeight="1">
      <x:c r="A93" s="2" t="str">
        <x:v>CA-2017-155558</x:v>
      </x:c>
      <x:c r="B93" s="17" t="n">
        <x:v>43034</x:v>
      </x:c>
      <x:c r="C93" s="2" t="str">
        <x:v>PG-18895</x:v>
      </x:c>
      <x:c r="D93" s="2" t="str">
        <x:v>Paul Gonzalez</x:v>
      </x:c>
      <x:c r="E93" s="2" t="str">
        <x:v>Consumer</x:v>
      </x:c>
      <x:c r="F93" s="2" t="str">
        <x:v>Central</x:v>
      </x:c>
      <x:c r="G93" s="2" t="str">
        <x:v>Office Supplies</x:v>
      </x:c>
      <x:c r="H93" s="2" t="str">
        <x:v>Labels</x:v>
      </x:c>
      <x:c r="I93" s="21" t="n">
        <x:v>6.16</x:v>
      </x:c>
      <x:c r="J93" s="23" t="n">
        <x:v>2</x:v>
      </x:c>
      <x:c r="K93" s="25" t="n">
        <x:v>0</x:v>
      </x:c>
      <x:c r="L93" s="21" t="n">
        <x:v>2.9568</x:v>
      </x:c>
      <x:c r="M93" s="2" t="n">
        <x:v>2017</x:v>
      </x:c>
      <x:c r="N93" s="19" t="n">
        <x:v>43009</x:v>
      </x:c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8" customHeight="1">
      <x:c r="A94" s="2" t="str">
        <x:v>CA-2016-159695</x:v>
      </x:c>
      <x:c r="B94" s="17" t="n">
        <x:v>42465</x:v>
      </x:c>
      <x:c r="C94" s="2" t="str">
        <x:v>GM-14455</x:v>
      </x:c>
      <x:c r="D94" s="2" t="str">
        <x:v>Gary Mitchum</x:v>
      </x:c>
      <x:c r="E94" s="2" t="str">
        <x:v>Home Office</x:v>
      </x:c>
      <x:c r="F94" s="2" t="str">
        <x:v>Central</x:v>
      </x:c>
      <x:c r="G94" s="2" t="str">
        <x:v>Office Supplies</x:v>
      </x:c>
      <x:c r="H94" s="2" t="str">
        <x:v>Storage</x:v>
      </x:c>
      <x:c r="I94" s="21" t="n">
        <x:v>158.36800000000002</x:v>
      </x:c>
      <x:c r="J94" s="23" t="n">
        <x:v>7</x:v>
      </x:c>
      <x:c r="K94" s="25" t="n">
        <x:v>0.2</x:v>
      </x:c>
      <x:c r="L94" s="21" t="n">
        <x:v>13.857199999999999</x:v>
      </x:c>
      <x:c r="M94" s="2" t="n">
        <x:v>2016</x:v>
      </x:c>
      <x:c r="N94" s="19" t="n">
        <x:v>42461</x:v>
      </x:c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8" customHeight="1">
      <x:c r="A95" s="2" t="str">
        <x:v>CA-2016-109806</x:v>
      </x:c>
      <x:c r="B95" s="17" t="n">
        <x:v>42630</x:v>
      </x:c>
      <x:c r="C95" s="2" t="str">
        <x:v>JS-15685</x:v>
      </x:c>
      <x:c r="D95" s="2" t="str">
        <x:v>Jim Sink</x:v>
      </x:c>
      <x:c r="E95" s="2" t="str">
        <x:v>Corporate</x:v>
      </x:c>
      <x:c r="F95" s="2" t="str">
        <x:v>West</x:v>
      </x:c>
      <x:c r="G95" s="2" t="str">
        <x:v>Office Supplies</x:v>
      </x:c>
      <x:c r="H95" s="2" t="str">
        <x:v>Art</x:v>
      </x:c>
      <x:c r="I95" s="21" t="n">
        <x:v>20.1</x:v>
      </x:c>
      <x:c r="J95" s="23" t="n">
        <x:v>3</x:v>
      </x:c>
      <x:c r="K95" s="25" t="n">
        <x:v>0</x:v>
      </x:c>
      <x:c r="L95" s="21" t="n">
        <x:v>6.632999999999998</x:v>
      </x:c>
      <x:c r="M95" s="2" t="n">
        <x:v>2016</x:v>
      </x:c>
      <x:c r="N95" s="19" t="n">
        <x:v>42614</x:v>
      </x:c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8" customHeight="1">
      <x:c r="A96" s="2" t="str">
        <x:v>CA-2016-109806</x:v>
      </x:c>
      <x:c r="B96" s="17" t="n">
        <x:v>42630</x:v>
      </x:c>
      <x:c r="C96" s="2" t="str">
        <x:v>JS-15685</x:v>
      </x:c>
      <x:c r="D96" s="2" t="str">
        <x:v>Jim Sink</x:v>
      </x:c>
      <x:c r="E96" s="2" t="str">
        <x:v>Corporate</x:v>
      </x:c>
      <x:c r="F96" s="2" t="str">
        <x:v>West</x:v>
      </x:c>
      <x:c r="G96" s="2" t="str">
        <x:v>Technology</x:v>
      </x:c>
      <x:c r="H96" s="2" t="str">
        <x:v>Phones</x:v>
      </x:c>
      <x:c r="I96" s="21" t="n">
        <x:v>73.584</x:v>
      </x:c>
      <x:c r="J96" s="23" t="n">
        <x:v>2</x:v>
      </x:c>
      <x:c r="K96" s="25" t="n">
        <x:v>0.2</x:v>
      </x:c>
      <x:c r="L96" s="21" t="n">
        <x:v>8.278199999999998</x:v>
      </x:c>
      <x:c r="M96" s="2" t="n">
        <x:v>2016</x:v>
      </x:c>
      <x:c r="N96" s="19" t="n">
        <x:v>42614</x:v>
      </x:c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8" customHeight="1">
      <x:c r="A97" s="2" t="str">
        <x:v>CA-2016-109806</x:v>
      </x:c>
      <x:c r="B97" s="17" t="n">
        <x:v>42630</x:v>
      </x:c>
      <x:c r="C97" s="2" t="str">
        <x:v>JS-15685</x:v>
      </x:c>
      <x:c r="D97" s="2" t="str">
        <x:v>Jim Sink</x:v>
      </x:c>
      <x:c r="E97" s="2" t="str">
        <x:v>Corporate</x:v>
      </x:c>
      <x:c r="F97" s="2" t="str">
        <x:v>West</x:v>
      </x:c>
      <x:c r="G97" s="2" t="str">
        <x:v>Office Supplies</x:v>
      </x:c>
      <x:c r="H97" s="2" t="str">
        <x:v>Paper</x:v>
      </x:c>
      <x:c r="I97" s="21" t="n">
        <x:v>6.48</x:v>
      </x:c>
      <x:c r="J97" s="23" t="n">
        <x:v>1</x:v>
      </x:c>
      <x:c r="K97" s="25" t="n">
        <x:v>0</x:v>
      </x:c>
      <x:c r="L97" s="21" t="n">
        <x:v>3.1104000000000003</x:v>
      </x:c>
      <x:c r="M97" s="2" t="n">
        <x:v>2016</x:v>
      </x:c>
      <x:c r="N97" s="19" t="n">
        <x:v>42614</x:v>
      </x:c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8" customHeight="1">
      <x:c r="A98" s="2" t="str">
        <x:v>CA-2015-149587</x:v>
      </x:c>
      <x:c r="B98" s="17" t="n">
        <x:v>42035</x:v>
      </x:c>
      <x:c r="C98" s="2" t="str">
        <x:v>KB-16315</x:v>
      </x:c>
      <x:c r="D98" s="2" t="str">
        <x:v>Karl Braun</x:v>
      </x:c>
      <x:c r="E98" s="2" t="str">
        <x:v>Consumer</x:v>
      </x:c>
      <x:c r="F98" s="2" t="str">
        <x:v>Central</x:v>
      </x:c>
      <x:c r="G98" s="2" t="str">
        <x:v>Office Supplies</x:v>
      </x:c>
      <x:c r="H98" s="2" t="str">
        <x:v>Paper</x:v>
      </x:c>
      <x:c r="I98" s="21" t="n">
        <x:v>12.96</x:v>
      </x:c>
      <x:c r="J98" s="23" t="n">
        <x:v>2</x:v>
      </x:c>
      <x:c r="K98" s="25" t="n">
        <x:v>0</x:v>
      </x:c>
      <x:c r="L98" s="21" t="n">
        <x:v>6.2208000000000006</x:v>
      </x:c>
      <x:c r="M98" s="2" t="n">
        <x:v>2015</x:v>
      </x:c>
      <x:c r="N98" s="19" t="n">
        <x:v>42005</x:v>
      </x:c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8" customHeight="1">
      <x:c r="A99" s="2" t="str">
        <x:v>CA-2015-149587</x:v>
      </x:c>
      <x:c r="B99" s="17" t="n">
        <x:v>42035</x:v>
      </x:c>
      <x:c r="C99" s="2" t="str">
        <x:v>KB-16315</x:v>
      </x:c>
      <x:c r="D99" s="2" t="str">
        <x:v>Karl Braun</x:v>
      </x:c>
      <x:c r="E99" s="2" t="str">
        <x:v>Consumer</x:v>
      </x:c>
      <x:c r="F99" s="2" t="str">
        <x:v>Central</x:v>
      </x:c>
      <x:c r="G99" s="2" t="str">
        <x:v>Furniture</x:v>
      </x:c>
      <x:c r="H99" s="2" t="str">
        <x:v>Furnishings</x:v>
      </x:c>
      <x:c r="I99" s="21" t="n">
        <x:v>53.34</x:v>
      </x:c>
      <x:c r="J99" s="23" t="n">
        <x:v>3</x:v>
      </x:c>
      <x:c r="K99" s="25" t="n">
        <x:v>0</x:v>
      </x:c>
      <x:c r="L99" s="21" t="n">
        <x:v>16.535399999999996</x:v>
      </x:c>
      <x:c r="M99" s="2" t="n">
        <x:v>2015</x:v>
      </x:c>
      <x:c r="N99" s="19" t="n">
        <x:v>42005</x:v>
      </x:c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8" customHeight="1">
      <x:c r="A100" s="2" t="str">
        <x:v>CA-2015-149587</x:v>
      </x:c>
      <x:c r="B100" s="17" t="n">
        <x:v>42035</x:v>
      </x:c>
      <x:c r="C100" s="2" t="str">
        <x:v>KB-16315</x:v>
      </x:c>
      <x:c r="D100" s="2" t="str">
        <x:v>Karl Braun</x:v>
      </x:c>
      <x:c r="E100" s="2" t="str">
        <x:v>Consumer</x:v>
      </x:c>
      <x:c r="F100" s="2" t="str">
        <x:v>Central</x:v>
      </x:c>
      <x:c r="G100" s="2" t="str">
        <x:v>Office Supplies</x:v>
      </x:c>
      <x:c r="H100" s="2" t="str">
        <x:v>Binders</x:v>
      </x:c>
      <x:c r="I100" s="21" t="n">
        <x:v>32.96</x:v>
      </x:c>
      <x:c r="J100" s="23" t="n">
        <x:v>2</x:v>
      </x:c>
      <x:c r="K100" s="25" t="n">
        <x:v>0</x:v>
      </x:c>
      <x:c r="L100" s="21" t="n">
        <x:v>16.1504</x:v>
      </x:c>
      <x:c r="M100" s="2" t="n">
        <x:v>2015</x:v>
      </x:c>
      <x:c r="N100" s="19" t="n">
        <x:v>42005</x:v>
      </x:c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8" customHeight="1">
      <x:c r="A101" s="2" t="str">
        <x:v>US-2017-109484</x:v>
      </x:c>
      <x:c r="B101" s="17" t="n">
        <x:v>43045</x:v>
      </x:c>
      <x:c r="C101" s="2" t="str">
        <x:v>RB-19705</x:v>
      </x:c>
      <x:c r="D101" s="2" t="str">
        <x:v>Roger Barcio</x:v>
      </x:c>
      <x:c r="E101" s="2" t="str">
        <x:v>Home Office</x:v>
      </x:c>
      <x:c r="F101" s="2" t="str">
        <x:v>West</x:v>
      </x:c>
      <x:c r="G101" s="2" t="str">
        <x:v>Office Supplies</x:v>
      </x:c>
      <x:c r="H101" s="2" t="str">
        <x:v>Binders</x:v>
      </x:c>
      <x:c r="I101" s="21" t="n">
        <x:v>5.682000000000001</x:v>
      </x:c>
      <x:c r="J101" s="23" t="n">
        <x:v>1</x:v>
      </x:c>
      <x:c r="K101" s="25" t="n">
        <x:v>0.7</x:v>
      </x:c>
      <x:c r="L101" s="21" t="n">
        <x:v>-3.7880000000000003</x:v>
      </x:c>
      <x:c r="M101" s="2" t="n">
        <x:v>2017</x:v>
      </x:c>
      <x:c r="N101" s="19" t="n">
        <x:v>43040</x:v>
      </x:c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8" customHeight="1">
      <x:c r="A102" s="2" t="str">
        <x:v>CA-2017-161018</x:v>
      </x:c>
      <x:c r="B102" s="17" t="n">
        <x:v>43048</x:v>
      </x:c>
      <x:c r="C102" s="2" t="str">
        <x:v>PN-18775</x:v>
      </x:c>
      <x:c r="D102" s="2" t="str">
        <x:v>Parhena Norris</x:v>
      </x:c>
      <x:c r="E102" s="2" t="str">
        <x:v>Home Office</x:v>
      </x:c>
      <x:c r="F102" s="2" t="str">
        <x:v>East</x:v>
      </x:c>
      <x:c r="G102" s="2" t="str">
        <x:v>Furniture</x:v>
      </x:c>
      <x:c r="H102" s="2" t="str">
        <x:v>Furnishings</x:v>
      </x:c>
      <x:c r="I102" s="21" t="n">
        <x:v>96.53</x:v>
      </x:c>
      <x:c r="J102" s="23" t="n">
        <x:v>7</x:v>
      </x:c>
      <x:c r="K102" s="25" t="n">
        <x:v>0</x:v>
      </x:c>
      <x:c r="L102" s="21" t="n">
        <x:v>40.5426</x:v>
      </x:c>
      <x:c r="M102" s="2" t="n">
        <x:v>2017</x:v>
      </x:c>
      <x:c r="N102" s="19" t="n">
        <x:v>43040</x:v>
      </x:c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8" customHeight="1">
      <x:c r="A103" s="2" t="str">
        <x:v>CA-2017-157833</x:v>
      </x:c>
      <x:c r="B103" s="17" t="n">
        <x:v>42903</x:v>
      </x:c>
      <x:c r="C103" s="2" t="str">
        <x:v>KD-16345</x:v>
      </x:c>
      <x:c r="D103" s="2" t="str">
        <x:v>Katherine Ducich</x:v>
      </x:c>
      <x:c r="E103" s="2" t="str">
        <x:v>Consumer</x:v>
      </x:c>
      <x:c r="F103" s="2" t="str">
        <x:v>West</x:v>
      </x:c>
      <x:c r="G103" s="2" t="str">
        <x:v>Office Supplies</x:v>
      </x:c>
      <x:c r="H103" s="2" t="str">
        <x:v>Binders</x:v>
      </x:c>
      <x:c r="I103" s="21" t="n">
        <x:v>51.312</x:v>
      </x:c>
      <x:c r="J103" s="23" t="n">
        <x:v>3</x:v>
      </x:c>
      <x:c r="K103" s="25" t="n">
        <x:v>0.2</x:v>
      </x:c>
      <x:c r="L103" s="21" t="n">
        <x:v>17.9592</x:v>
      </x:c>
      <x:c r="M103" s="2" t="n">
        <x:v>2017</x:v>
      </x:c>
      <x:c r="N103" s="19" t="n">
        <x:v>42887</x:v>
      </x:c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8" customHeight="1">
      <x:c r="A104" s="2" t="str">
        <x:v>CA-2016-149223</x:v>
      </x:c>
      <x:c r="B104" s="17" t="n">
        <x:v>42619</x:v>
      </x:c>
      <x:c r="C104" s="2" t="str">
        <x:v>ER-13855</x:v>
      </x:c>
      <x:c r="D104" s="2" t="str">
        <x:v>Elpida Rittenbach</x:v>
      </x:c>
      <x:c r="E104" s="2" t="str">
        <x:v>Corporate</x:v>
      </x:c>
      <x:c r="F104" s="2" t="str">
        <x:v>Central</x:v>
      </x:c>
      <x:c r="G104" s="2" t="str">
        <x:v>Office Supplies</x:v>
      </x:c>
      <x:c r="H104" s="2" t="str">
        <x:v>Appliances</x:v>
      </x:c>
      <x:c r="I104" s="21" t="n">
        <x:v>77.88</x:v>
      </x:c>
      <x:c r="J104" s="23" t="n">
        <x:v>6</x:v>
      </x:c>
      <x:c r="K104" s="25" t="n">
        <x:v>0</x:v>
      </x:c>
      <x:c r="L104" s="21" t="n">
        <x:v>22.585199999999993</x:v>
      </x:c>
      <x:c r="M104" s="2" t="n">
        <x:v>2016</x:v>
      </x:c>
      <x:c r="N104" s="19" t="n">
        <x:v>42614</x:v>
      </x:c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8" customHeight="1">
      <x:c r="A105" s="2" t="str">
        <x:v>CA-2016-158568</x:v>
      </x:c>
      <x:c r="B105" s="17" t="n">
        <x:v>42611</x:v>
      </x:c>
      <x:c r="C105" s="2" t="str">
        <x:v>RB-19465</x:v>
      </x:c>
      <x:c r="D105" s="2" t="str">
        <x:v>Rick Bensley</x:v>
      </x:c>
      <x:c r="E105" s="2" t="str">
        <x:v>Home Office</x:v>
      </x:c>
      <x:c r="F105" s="2" t="str">
        <x:v>Central</x:v>
      </x:c>
      <x:c r="G105" s="2" t="str">
        <x:v>Office Supplies</x:v>
      </x:c>
      <x:c r="H105" s="2" t="str">
        <x:v>Paper</x:v>
      </x:c>
      <x:c r="I105" s="21" t="n">
        <x:v>64.624</x:v>
      </x:c>
      <x:c r="J105" s="23" t="n">
        <x:v>7</x:v>
      </x:c>
      <x:c r="K105" s="25" t="n">
        <x:v>0.2</x:v>
      </x:c>
      <x:c r="L105" s="21" t="n">
        <x:v>22.618399999999994</x:v>
      </x:c>
      <x:c r="M105" s="2" t="n">
        <x:v>2016</x:v>
      </x:c>
      <x:c r="N105" s="19" t="n">
        <x:v>42583</x:v>
      </x:c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8" customHeight="1">
      <x:c r="A106" s="2" t="str">
        <x:v>CA-2016-158568</x:v>
      </x:c>
      <x:c r="B106" s="17" t="n">
        <x:v>42611</x:v>
      </x:c>
      <x:c r="C106" s="2" t="str">
        <x:v>RB-19465</x:v>
      </x:c>
      <x:c r="D106" s="2" t="str">
        <x:v>Rick Bensley</x:v>
      </x:c>
      <x:c r="E106" s="2" t="str">
        <x:v>Home Office</x:v>
      </x:c>
      <x:c r="F106" s="2" t="str">
        <x:v>Central</x:v>
      </x:c>
      <x:c r="G106" s="2" t="str">
        <x:v>Technology</x:v>
      </x:c>
      <x:c r="H106" s="2" t="str">
        <x:v>Accessories</x:v>
      </x:c>
      <x:c r="I106" s="21" t="n">
        <x:v>95.97600000000001</x:v>
      </x:c>
      <x:c r="J106" s="23" t="n">
        <x:v>3</x:v>
      </x:c>
      <x:c r="K106" s="25" t="n">
        <x:v>0.2</x:v>
      </x:c>
      <x:c r="L106" s="21" t="n">
        <x:v>-10.79730000000001</x:v>
      </x:c>
      <x:c r="M106" s="2" t="n">
        <x:v>2016</x:v>
      </x:c>
      <x:c r="N106" s="19" t="n">
        <x:v>42583</x:v>
      </x:c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8" customHeight="1">
      <x:c r="A107" s="2" t="str">
        <x:v>CA-2016-158568</x:v>
      </x:c>
      <x:c r="B107" s="17" t="n">
        <x:v>42611</x:v>
      </x:c>
      <x:c r="C107" s="2" t="str">
        <x:v>RB-19465</x:v>
      </x:c>
      <x:c r="D107" s="2" t="str">
        <x:v>Rick Bensley</x:v>
      </x:c>
      <x:c r="E107" s="2" t="str">
        <x:v>Home Office</x:v>
      </x:c>
      <x:c r="F107" s="2" t="str">
        <x:v>Central</x:v>
      </x:c>
      <x:c r="G107" s="2" t="str">
        <x:v>Office Supplies</x:v>
      </x:c>
      <x:c r="H107" s="2" t="str">
        <x:v>Binders</x:v>
      </x:c>
      <x:c r="I107" s="21" t="n">
        <x:v>1.7879999999999996</x:v>
      </x:c>
      <x:c r="J107" s="23" t="n">
        <x:v>3</x:v>
      </x:c>
      <x:c r="K107" s="25" t="n">
        <x:v>0.8</x:v>
      </x:c>
      <x:c r="L107" s="21" t="n">
        <x:v>-3.0396</x:v>
      </x:c>
      <x:c r="M107" s="2" t="n">
        <x:v>2016</x:v>
      </x:c>
      <x:c r="N107" s="19" t="n">
        <x:v>42583</x:v>
      </x:c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8" customHeight="1">
      <x:c r="A108" s="2" t="str">
        <x:v>CA-2016-129903</x:v>
      </x:c>
      <x:c r="B108" s="17" t="n">
        <x:v>42705</x:v>
      </x:c>
      <x:c r="C108" s="2" t="str">
        <x:v>GZ-14470</x:v>
      </x:c>
      <x:c r="D108" s="2" t="str">
        <x:v>Gary Zandusky</x:v>
      </x:c>
      <x:c r="E108" s="2" t="str">
        <x:v>Consumer</x:v>
      </x:c>
      <x:c r="F108" s="2" t="str">
        <x:v>Central</x:v>
      </x:c>
      <x:c r="G108" s="2" t="str">
        <x:v>Office Supplies</x:v>
      </x:c>
      <x:c r="H108" s="2" t="str">
        <x:v>Paper</x:v>
      </x:c>
      <x:c r="I108" s="21" t="n">
        <x:v>23.92</x:v>
      </x:c>
      <x:c r="J108" s="23" t="n">
        <x:v>4</x:v>
      </x:c>
      <x:c r="K108" s="25" t="n">
        <x:v>0</x:v>
      </x:c>
      <x:c r="L108" s="21" t="n">
        <x:v>11.7208</x:v>
      </x:c>
      <x:c r="M108" s="2" t="n">
        <x:v>2016</x:v>
      </x:c>
      <x:c r="N108" s="19" t="n">
        <x:v>42705</x:v>
      </x:c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8" customHeight="1">
      <x:c r="A109" s="2" t="str">
        <x:v>US-2015-156867</x:v>
      </x:c>
      <x:c r="B109" s="17" t="n">
        <x:v>42321</x:v>
      </x:c>
      <x:c r="C109" s="2" t="str">
        <x:v>LC-16870</x:v>
      </x:c>
      <x:c r="D109" s="2" t="str">
        <x:v>Lena Cacioppo</x:v>
      </x:c>
      <x:c r="E109" s="2" t="str">
        <x:v>Consumer</x:v>
      </x:c>
      <x:c r="F109" s="2" t="str">
        <x:v>West</x:v>
      </x:c>
      <x:c r="G109" s="2" t="str">
        <x:v>Technology</x:v>
      </x:c>
      <x:c r="H109" s="2" t="str">
        <x:v>Accessories</x:v>
      </x:c>
      <x:c r="I109" s="21" t="n">
        <x:v>238.89600000000002</x:v>
      </x:c>
      <x:c r="J109" s="23" t="n">
        <x:v>6</x:v>
      </x:c>
      <x:c r="K109" s="25" t="n">
        <x:v>0.2</x:v>
      </x:c>
      <x:c r="L109" s="21" t="n">
        <x:v>-26.875800000000012</x:v>
      </x:c>
      <x:c r="M109" s="2" t="n">
        <x:v>2015</x:v>
      </x:c>
      <x:c r="N109" s="19" t="n">
        <x:v>42309</x:v>
      </x:c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8" customHeight="1">
      <x:c r="A110" s="2" t="str">
        <x:v>US-2015-156867</x:v>
      </x:c>
      <x:c r="B110" s="17" t="n">
        <x:v>42321</x:v>
      </x:c>
      <x:c r="C110" s="2" t="str">
        <x:v>LC-16870</x:v>
      </x:c>
      <x:c r="D110" s="2" t="str">
        <x:v>Lena Cacioppo</x:v>
      </x:c>
      <x:c r="E110" s="2" t="str">
        <x:v>Consumer</x:v>
      </x:c>
      <x:c r="F110" s="2" t="str">
        <x:v>West</x:v>
      </x:c>
      <x:c r="G110" s="2" t="str">
        <x:v>Furniture</x:v>
      </x:c>
      <x:c r="H110" s="2" t="str">
        <x:v>Furnishings</x:v>
      </x:c>
      <x:c r="I110" s="21" t="n">
        <x:v>102.35999999999999</x:v>
      </x:c>
      <x:c r="J110" s="23" t="n">
        <x:v>3</x:v>
      </x:c>
      <x:c r="K110" s="25" t="n">
        <x:v>0.2</x:v>
      </x:c>
      <x:c r="L110" s="21" t="n">
        <x:v>-3.8385000000000105</x:v>
      </x:c>
      <x:c r="M110" s="2" t="n">
        <x:v>2015</x:v>
      </x:c>
      <x:c r="N110" s="19" t="n">
        <x:v>42309</x:v>
      </x:c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8" customHeight="1">
      <x:c r="A111" s="2" t="str">
        <x:v>US-2015-156867</x:v>
      </x:c>
      <x:c r="B111" s="17" t="n">
        <x:v>42321</x:v>
      </x:c>
      <x:c r="C111" s="2" t="str">
        <x:v>LC-16870</x:v>
      </x:c>
      <x:c r="D111" s="2" t="str">
        <x:v>Lena Cacioppo</x:v>
      </x:c>
      <x:c r="E111" s="2" t="str">
        <x:v>Consumer</x:v>
      </x:c>
      <x:c r="F111" s="2" t="str">
        <x:v>West</x:v>
      </x:c>
      <x:c r="G111" s="2" t="str">
        <x:v>Office Supplies</x:v>
      </x:c>
      <x:c r="H111" s="2" t="str">
        <x:v>Binders</x:v>
      </x:c>
      <x:c r="I111" s="21" t="n">
        <x:v>36.882000000000005</x:v>
      </x:c>
      <x:c r="J111" s="23" t="n">
        <x:v>3</x:v>
      </x:c>
      <x:c r="K111" s="25" t="n">
        <x:v>0.7</x:v>
      </x:c>
      <x:c r="L111" s="21" t="n">
        <x:v>-25.8174</x:v>
      </x:c>
      <x:c r="M111" s="2" t="n">
        <x:v>2015</x:v>
      </x:c>
      <x:c r="N111" s="19" t="n">
        <x:v>42309</x:v>
      </x:c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8" customHeight="1">
      <x:c r="A112" s="2" t="str">
        <x:v>CA-2017-119004</x:v>
      </x:c>
      <x:c r="B112" s="17" t="n">
        <x:v>43062</x:v>
      </x:c>
      <x:c r="C112" s="2" t="str">
        <x:v>JM-15250</x:v>
      </x:c>
      <x:c r="D112" s="2" t="str">
        <x:v>Janet Martin</x:v>
      </x:c>
      <x:c r="E112" s="2" t="str">
        <x:v>Consumer</x:v>
      </x:c>
      <x:c r="F112" s="2" t="str">
        <x:v>South</x:v>
      </x:c>
      <x:c r="G112" s="2" t="str">
        <x:v>Technology</x:v>
      </x:c>
      <x:c r="H112" s="2" t="str">
        <x:v>Accessories</x:v>
      </x:c>
      <x:c r="I112" s="21" t="n">
        <x:v>74.11200000000001</x:v>
      </x:c>
      <x:c r="J112" s="23" t="n">
        <x:v>8</x:v>
      </x:c>
      <x:c r="K112" s="25" t="n">
        <x:v>0.2</x:v>
      </x:c>
      <x:c r="L112" s="21" t="n">
        <x:v>17.6016</x:v>
      </x:c>
      <x:c r="M112" s="2" t="n">
        <x:v>2017</x:v>
      </x:c>
      <x:c r="N112" s="19" t="n">
        <x:v>43040</x:v>
      </x:c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8" customHeight="1">
      <x:c r="A113" s="2" t="str">
        <x:v>CA-2017-119004</x:v>
      </x:c>
      <x:c r="B113" s="17" t="n">
        <x:v>43062</x:v>
      </x:c>
      <x:c r="C113" s="2" t="str">
        <x:v>JM-15250</x:v>
      </x:c>
      <x:c r="D113" s="2" t="str">
        <x:v>Janet Martin</x:v>
      </x:c>
      <x:c r="E113" s="2" t="str">
        <x:v>Consumer</x:v>
      </x:c>
      <x:c r="F113" s="2" t="str">
        <x:v>South</x:v>
      </x:c>
      <x:c r="G113" s="2" t="str">
        <x:v>Technology</x:v>
      </x:c>
      <x:c r="H113" s="2" t="str">
        <x:v>Phones</x:v>
      </x:c>
      <x:c r="I113" s="21" t="n">
        <x:v>27.992000000000004</x:v>
      </x:c>
      <x:c r="J113" s="23" t="n">
        <x:v>1</x:v>
      </x:c>
      <x:c r="K113" s="25" t="n">
        <x:v>0.2</x:v>
      </x:c>
      <x:c r="L113" s="21" t="n">
        <x:v>2.0993999999999993</x:v>
      </x:c>
      <x:c r="M113" s="2" t="n">
        <x:v>2017</x:v>
      </x:c>
      <x:c r="N113" s="19" t="n">
        <x:v>43040</x:v>
      </x:c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8" customHeight="1">
      <x:c r="A114" s="2" t="str">
        <x:v>CA-2017-119004</x:v>
      </x:c>
      <x:c r="B114" s="17" t="n">
        <x:v>43062</x:v>
      </x:c>
      <x:c r="C114" s="2" t="str">
        <x:v>JM-15250</x:v>
      </x:c>
      <x:c r="D114" s="2" t="str">
        <x:v>Janet Martin</x:v>
      </x:c>
      <x:c r="E114" s="2" t="str">
        <x:v>Consumer</x:v>
      </x:c>
      <x:c r="F114" s="2" t="str">
        <x:v>South</x:v>
      </x:c>
      <x:c r="G114" s="2" t="str">
        <x:v>Office Supplies</x:v>
      </x:c>
      <x:c r="H114" s="2" t="str">
        <x:v>Art</x:v>
      </x:c>
      <x:c r="I114" s="21" t="n">
        <x:v>3.3040000000000003</x:v>
      </x:c>
      <x:c r="J114" s="23" t="n">
        <x:v>1</x:v>
      </x:c>
      <x:c r="K114" s="25" t="n">
        <x:v>0.2</x:v>
      </x:c>
      <x:c r="L114" s="21" t="n">
        <x:v>1.0737999999999999</x:v>
      </x:c>
      <x:c r="M114" s="2" t="n">
        <x:v>2017</x:v>
      </x:c>
      <x:c r="N114" s="19" t="n">
        <x:v>43040</x:v>
      </x:c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8" customHeight="1">
      <x:c r="A115" s="2" t="str">
        <x:v>CA-2015-129476</x:v>
      </x:c>
      <x:c r="B115" s="17" t="n">
        <x:v>42292</x:v>
      </x:c>
      <x:c r="C115" s="2" t="str">
        <x:v>PA-19060</x:v>
      </x:c>
      <x:c r="D115" s="2" t="str">
        <x:v>Pete Armstrong</x:v>
      </x:c>
      <x:c r="E115" s="2" t="str">
        <x:v>Home Office</x:v>
      </x:c>
      <x:c r="F115" s="2" t="str">
        <x:v>Central</x:v>
      </x:c>
      <x:c r="G115" s="2" t="str">
        <x:v>Technology</x:v>
      </x:c>
      <x:c r="H115" s="2" t="str">
        <x:v>Accessories</x:v>
      </x:c>
      <x:c r="I115" s="21" t="n">
        <x:v>339.96000000000004</x:v>
      </x:c>
      <x:c r="J115" s="23" t="n">
        <x:v>5</x:v>
      </x:c>
      <x:c r="K115" s="25" t="n">
        <x:v>0.2</x:v>
      </x:c>
      <x:c r="L115" s="21" t="n">
        <x:v>67.99199999999996</x:v>
      </x:c>
      <x:c r="M115" s="2" t="n">
        <x:v>2015</x:v>
      </x:c>
      <x:c r="N115" s="19" t="n">
        <x:v>42278</x:v>
      </x:c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8" customHeight="1">
      <x:c r="A116" s="2" t="str">
        <x:v>CA-2017-146780</x:v>
      </x:c>
      <x:c r="B116" s="17" t="n">
        <x:v>43094</x:v>
      </x:c>
      <x:c r="C116" s="2" t="str">
        <x:v>CV-12805</x:v>
      </x:c>
      <x:c r="D116" s="2" t="str">
        <x:v>Cynthia Voltz</x:v>
      </x:c>
      <x:c r="E116" s="2" t="str">
        <x:v>Corporate</x:v>
      </x:c>
      <x:c r="F116" s="2" t="str">
        <x:v>East</x:v>
      </x:c>
      <x:c r="G116" s="2" t="str">
        <x:v>Furniture</x:v>
      </x:c>
      <x:c r="H116" s="2" t="str">
        <x:v>Furnishings</x:v>
      </x:c>
      <x:c r="I116" s="21" t="n">
        <x:v>41.96</x:v>
      </x:c>
      <x:c r="J116" s="23" t="n">
        <x:v>2</x:v>
      </x:c>
      <x:c r="K116" s="25" t="n">
        <x:v>0</x:v>
      </x:c>
      <x:c r="L116" s="21" t="n">
        <x:v>10.909600000000001</x:v>
      </x:c>
      <x:c r="M116" s="2" t="n">
        <x:v>2017</x:v>
      </x:c>
      <x:c r="N116" s="19" t="n">
        <x:v>43070</x:v>
      </x:c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8" customHeight="1">
      <x:c r="A117" s="2" t="str">
        <x:v>CA-2016-128867</x:v>
      </x:c>
      <x:c r="B117" s="17" t="n">
        <x:v>42677</x:v>
      </x:c>
      <x:c r="C117" s="2" t="str">
        <x:v>CL-12565</x:v>
      </x:c>
      <x:c r="D117" s="2" t="str">
        <x:v>Clay Ludtke</x:v>
      </x:c>
      <x:c r="E117" s="2" t="str">
        <x:v>Consumer</x:v>
      </x:c>
      <x:c r="F117" s="2" t="str">
        <x:v>Central</x:v>
      </x:c>
      <x:c r="G117" s="2" t="str">
        <x:v>Office Supplies</x:v>
      </x:c>
      <x:c r="H117" s="2" t="str">
        <x:v>Art</x:v>
      </x:c>
      <x:c r="I117" s="21" t="n">
        <x:v>75.96</x:v>
      </x:c>
      <x:c r="J117" s="23" t="n">
        <x:v>2</x:v>
      </x:c>
      <x:c r="K117" s="25" t="n">
        <x:v>0</x:v>
      </x:c>
      <x:c r="L117" s="21" t="n">
        <x:v>22.78799999999999</x:v>
      </x:c>
      <x:c r="M117" s="2" t="n">
        <x:v>2016</x:v>
      </x:c>
      <x:c r="N117" s="19" t="n">
        <x:v>42675</x:v>
      </x:c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8" customHeight="1">
      <x:c r="A118" s="2" t="str">
        <x:v>CA-2016-128867</x:v>
      </x:c>
      <x:c r="B118" s="17" t="n">
        <x:v>42677</x:v>
      </x:c>
      <x:c r="C118" s="2" t="str">
        <x:v>CL-12565</x:v>
      </x:c>
      <x:c r="D118" s="2" t="str">
        <x:v>Clay Ludtke</x:v>
      </x:c>
      <x:c r="E118" s="2" t="str">
        <x:v>Consumer</x:v>
      </x:c>
      <x:c r="F118" s="2" t="str">
        <x:v>Central</x:v>
      </x:c>
      <x:c r="G118" s="2" t="str">
        <x:v>Office Supplies</x:v>
      </x:c>
      <x:c r="H118" s="2" t="str">
        <x:v>Binders</x:v>
      </x:c>
      <x:c r="I118" s="21" t="n">
        <x:v>27.240000000000002</x:v>
      </x:c>
      <x:c r="J118" s="23" t="n">
        <x:v>6</x:v>
      </x:c>
      <x:c r="K118" s="25" t="n">
        <x:v>0</x:v>
      </x:c>
      <x:c r="L118" s="21" t="n">
        <x:v>13.3476</x:v>
      </x:c>
      <x:c r="M118" s="2" t="n">
        <x:v>2016</x:v>
      </x:c>
      <x:c r="N118" s="19" t="n">
        <x:v>42675</x:v>
      </x:c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8" customHeight="1">
      <x:c r="A119" s="2" t="str">
        <x:v>CA-2014-115259</x:v>
      </x:c>
      <x:c r="B119" s="17" t="n">
        <x:v>41876</x:v>
      </x:c>
      <x:c r="C119" s="2" t="str">
        <x:v>RC-19960</x:v>
      </x:c>
      <x:c r="D119" s="2" t="str">
        <x:v>Ryan Crowe</x:v>
      </x:c>
      <x:c r="E119" s="2" t="str">
        <x:v>Consumer</x:v>
      </x:c>
      <x:c r="F119" s="2" t="str">
        <x:v>East</x:v>
      </x:c>
      <x:c r="G119" s="2" t="str">
        <x:v>Office Supplies</x:v>
      </x:c>
      <x:c r="H119" s="2" t="str">
        <x:v>Fasteners</x:v>
      </x:c>
      <x:c r="I119" s="21" t="n">
        <x:v>40.096000000000004</x:v>
      </x:c>
      <x:c r="J119" s="23" t="n">
        <x:v>14</x:v>
      </x:c>
      <x:c r="K119" s="25" t="n">
        <x:v>0.2</x:v>
      </x:c>
      <x:c r="L119" s="21" t="n">
        <x:v>14.534799999999997</x:v>
      </x:c>
      <x:c r="M119" s="2" t="n">
        <x:v>2014</x:v>
      </x:c>
      <x:c r="N119" s="19" t="n">
        <x:v>41852</x:v>
      </x:c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8" customHeight="1">
      <x:c r="A120" s="2" t="str">
        <x:v>CA-2014-115259</x:v>
      </x:c>
      <x:c r="B120" s="17" t="n">
        <x:v>41876</x:v>
      </x:c>
      <x:c r="C120" s="2" t="str">
        <x:v>RC-19960</x:v>
      </x:c>
      <x:c r="D120" s="2" t="str">
        <x:v>Ryan Crowe</x:v>
      </x:c>
      <x:c r="E120" s="2" t="str">
        <x:v>Consumer</x:v>
      </x:c>
      <x:c r="F120" s="2" t="str">
        <x:v>East</x:v>
      </x:c>
      <x:c r="G120" s="2" t="str">
        <x:v>Office Supplies</x:v>
      </x:c>
      <x:c r="H120" s="2" t="str">
        <x:v>Envelopes</x:v>
      </x:c>
      <x:c r="I120" s="21" t="n">
        <x:v>4.720000000000001</x:v>
      </x:c>
      <x:c r="J120" s="23" t="n">
        <x:v>2</x:v>
      </x:c>
      <x:c r="K120" s="25" t="n">
        <x:v>0.2</x:v>
      </x:c>
      <x:c r="L120" s="21" t="n">
        <x:v>1.6519999999999997</x:v>
      </x:c>
      <x:c r="M120" s="2" t="n">
        <x:v>2014</x:v>
      </x:c>
      <x:c r="N120" s="19" t="n">
        <x:v>41852</x:v>
      </x:c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8" customHeight="1">
      <x:c r="A121" t="str">
        <x:v>CA-2014-115259</x:v>
      </x:c>
      <x:c r="B121" s="18" t="n">
        <x:v>41876</x:v>
      </x:c>
      <x:c r="C121" t="str">
        <x:v>RC-19960</x:v>
      </x:c>
      <x:c r="D121" t="str">
        <x:v>Ryan Crowe</x:v>
      </x:c>
      <x:c r="E121" t="str">
        <x:v>Consumer</x:v>
      </x:c>
      <x:c r="F121" t="str">
        <x:v>East</x:v>
      </x:c>
      <x:c r="G121" t="str">
        <x:v>Office Supplies</x:v>
      </x:c>
      <x:c r="H121" t="str">
        <x:v>Paper</x:v>
      </x:c>
      <x:c r="I121" s="22" t="n">
        <x:v>23.976000000000003</x:v>
      </x:c>
      <x:c r="J121" s="24" t="n">
        <x:v>3</x:v>
      </x:c>
      <x:c r="K121" s="26" t="n">
        <x:v>0.2</x:v>
      </x:c>
      <x:c r="L121" s="22" t="n">
        <x:v>7.492499999999999</x:v>
      </x:c>
      <x:c r="M121" t="n">
        <x:v>2014</x:v>
      </x:c>
      <x:c r="N121" s="20" t="n">
        <x:v>41852</x:v>
      </x:c>
    </x:row>
    <x:row r="122" ht="18" customHeight="1">
      <x:c r="A122" t="str">
        <x:v>CA-2014-115259</x:v>
      </x:c>
      <x:c r="B122" s="18" t="n">
        <x:v>41876</x:v>
      </x:c>
      <x:c r="C122" t="str">
        <x:v>RC-19960</x:v>
      </x:c>
      <x:c r="D122" t="str">
        <x:v>Ryan Crowe</x:v>
      </x:c>
      <x:c r="E122" t="str">
        <x:v>Consumer</x:v>
      </x:c>
      <x:c r="F122" t="str">
        <x:v>East</x:v>
      </x:c>
      <x:c r="G122" t="str">
        <x:v>Office Supplies</x:v>
      </x:c>
      <x:c r="H122" t="str">
        <x:v>Envelopes</x:v>
      </x:c>
      <x:c r="I122" s="22" t="n">
        <x:v>130.464</x:v>
      </x:c>
      <x:c r="J122" s="24" t="n">
        <x:v>6</x:v>
      </x:c>
      <x:c r="K122" s="26" t="n">
        <x:v>0.2</x:v>
      </x:c>
      <x:c r="L122" s="22" t="n">
        <x:v>44.0316</x:v>
      </x:c>
      <x:c r="M122" t="n">
        <x:v>2014</x:v>
      </x:c>
      <x:c r="N122" s="20" t="n">
        <x:v>41852</x:v>
      </x:c>
    </x:row>
    <x:row r="123" ht="18" customHeight="1">
      <x:c r="A123" t="str">
        <x:v>CA-2015-110457</x:v>
      </x:c>
      <x:c r="B123" s="18" t="n">
        <x:v>42065</x:v>
      </x:c>
      <x:c r="C123" t="str">
        <x:v>DK-13090</x:v>
      </x:c>
      <x:c r="D123" t="str">
        <x:v>Dave Kipp</x:v>
      </x:c>
      <x:c r="E123" t="str">
        <x:v>Consumer</x:v>
      </x:c>
      <x:c r="F123" t="str">
        <x:v>West</x:v>
      </x:c>
      <x:c r="G123" t="str">
        <x:v>Furniture</x:v>
      </x:c>
      <x:c r="H123" t="str">
        <x:v>Tables</x:v>
      </x:c>
      <x:c r="I123" s="22" t="n">
        <x:v>787.53</x:v>
      </x:c>
      <x:c r="J123" s="24" t="n">
        <x:v>3</x:v>
      </x:c>
      <x:c r="K123" s="26" t="n">
        <x:v>0</x:v>
      </x:c>
      <x:c r="L123" s="22" t="n">
        <x:v>165.38129999999995</x:v>
      </x:c>
      <x:c r="M123" t="n">
        <x:v>2015</x:v>
      </x:c>
      <x:c r="N123" s="20" t="n">
        <x:v>42064</x:v>
      </x:c>
    </x:row>
    <x:row r="124" ht="18" customHeight="1">
      <x:c r="A124" t="str">
        <x:v>US-2015-136476</x:v>
      </x:c>
      <x:c r="B124" s="18" t="n">
        <x:v>42099</x:v>
      </x:c>
      <x:c r="C124" t="str">
        <x:v>GG-14650</x:v>
      </x:c>
      <x:c r="D124" t="str">
        <x:v>Greg Guthrie</x:v>
      </x:c>
      <x:c r="E124" t="str">
        <x:v>Corporate</x:v>
      </x:c>
      <x:c r="F124" t="str">
        <x:v>South</x:v>
      </x:c>
      <x:c r="G124" t="str">
        <x:v>Office Supplies</x:v>
      </x:c>
      <x:c r="H124" t="str">
        <x:v>Binders</x:v>
      </x:c>
      <x:c r="I124" s="22" t="n">
        <x:v>157.79400000000004</x:v>
      </x:c>
      <x:c r="J124" s="24" t="n">
        <x:v>1</x:v>
      </x:c>
      <x:c r="K124" s="26" t="n">
        <x:v>0.7</x:v>
      </x:c>
      <x:c r="L124" s="22" t="n">
        <x:v>-115.7156</x:v>
      </x:c>
      <x:c r="M124" t="n">
        <x:v>2015</x:v>
      </x:c>
      <x:c r="N124" s="20" t="n">
        <x:v>42095</x:v>
      </x:c>
    </x:row>
    <x:row r="125" ht="18" customHeight="1">
      <x:c r="A125" t="str">
        <x:v>CA-2016-103730</x:v>
      </x:c>
      <x:c r="B125" s="18" t="n">
        <x:v>42533</x:v>
      </x:c>
      <x:c r="C125" t="str">
        <x:v>SC-20725</x:v>
      </x:c>
      <x:c r="D125" t="str">
        <x:v>Steven Cartwright</x:v>
      </x:c>
      <x:c r="E125" t="str">
        <x:v>Consumer</x:v>
      </x:c>
      <x:c r="F125" t="str">
        <x:v>East</x:v>
      </x:c>
      <x:c r="G125" t="str">
        <x:v>Furniture</x:v>
      </x:c>
      <x:c r="H125" t="str">
        <x:v>Furnishings</x:v>
      </x:c>
      <x:c r="I125" s="22" t="n">
        <x:v>47.04</x:v>
      </x:c>
      <x:c r="J125" s="24" t="n">
        <x:v>3</x:v>
      </x:c>
      <x:c r="K125" s="26" t="n">
        <x:v>0</x:v>
      </x:c>
      <x:c r="L125" s="22" t="n">
        <x:v>18.345599999999997</x:v>
      </x:c>
      <x:c r="M125" t="n">
        <x:v>2016</x:v>
      </x:c>
      <x:c r="N125" s="20" t="n">
        <x:v>42522</x:v>
      </x:c>
    </x:row>
    <x:row r="126" ht="18" customHeight="1">
      <x:c r="A126" t="str">
        <x:v>CA-2016-103730</x:v>
      </x:c>
      <x:c r="B126" s="18" t="n">
        <x:v>42533</x:v>
      </x:c>
      <x:c r="C126" t="str">
        <x:v>SC-20725</x:v>
      </x:c>
      <x:c r="D126" t="str">
        <x:v>Steven Cartwright</x:v>
      </x:c>
      <x:c r="E126" t="str">
        <x:v>Consumer</x:v>
      </x:c>
      <x:c r="F126" t="str">
        <x:v>East</x:v>
      </x:c>
      <x:c r="G126" t="str">
        <x:v>Office Supplies</x:v>
      </x:c>
      <x:c r="H126" t="str">
        <x:v>Binders</x:v>
      </x:c>
      <x:c r="I126" s="22" t="n">
        <x:v>30.84</x:v>
      </x:c>
      <x:c r="J126" s="24" t="n">
        <x:v>4</x:v>
      </x:c>
      <x:c r="K126" s="26" t="n">
        <x:v>0</x:v>
      </x:c>
      <x:c r="L126" s="22" t="n">
        <x:v>13.878</x:v>
      </x:c>
      <x:c r="M126" t="n">
        <x:v>2016</x:v>
      </x:c>
      <x:c r="N126" s="20" t="n">
        <x:v>42522</x:v>
      </x:c>
    </x:row>
    <x:row r="127" ht="18" customHeight="1">
      <x:c r="A127" t="str">
        <x:v>CA-2016-103730</x:v>
      </x:c>
      <x:c r="B127" s="18" t="n">
        <x:v>42533</x:v>
      </x:c>
      <x:c r="C127" t="str">
        <x:v>SC-20725</x:v>
      </x:c>
      <x:c r="D127" t="str">
        <x:v>Steven Cartwright</x:v>
      </x:c>
      <x:c r="E127" t="str">
        <x:v>Consumer</x:v>
      </x:c>
      <x:c r="F127" t="str">
        <x:v>East</x:v>
      </x:c>
      <x:c r="G127" t="str">
        <x:v>Office Supplies</x:v>
      </x:c>
      <x:c r="H127" t="str">
        <x:v>Storage</x:v>
      </x:c>
      <x:c r="I127" s="22" t="n">
        <x:v>226.56</x:v>
      </x:c>
      <x:c r="J127" s="24" t="n">
        <x:v>6</x:v>
      </x:c>
      <x:c r="K127" s="26" t="n">
        <x:v>0</x:v>
      </x:c>
      <x:c r="L127" s="22" t="n">
        <x:v>63.436800000000005</x:v>
      </x:c>
      <x:c r="M127" t="n">
        <x:v>2016</x:v>
      </x:c>
      <x:c r="N127" s="20" t="n">
        <x:v>42522</x:v>
      </x:c>
    </x:row>
    <x:row r="128" ht="18" customHeight="1">
      <x:c r="A128" t="str">
        <x:v>CA-2016-103730</x:v>
      </x:c>
      <x:c r="B128" s="18" t="n">
        <x:v>42533</x:v>
      </x:c>
      <x:c r="C128" t="str">
        <x:v>SC-20725</x:v>
      </x:c>
      <x:c r="D128" t="str">
        <x:v>Steven Cartwright</x:v>
      </x:c>
      <x:c r="E128" t="str">
        <x:v>Consumer</x:v>
      </x:c>
      <x:c r="F128" t="str">
        <x:v>East</x:v>
      </x:c>
      <x:c r="G128" t="str">
        <x:v>Office Supplies</x:v>
      </x:c>
      <x:c r="H128" t="str">
        <x:v>Envelopes</x:v>
      </x:c>
      <x:c r="I128" s="22" t="n">
        <x:v>115.02</x:v>
      </x:c>
      <x:c r="J128" s="24" t="n">
        <x:v>9</x:v>
      </x:c>
      <x:c r="K128" s="26" t="n">
        <x:v>0</x:v>
      </x:c>
      <x:c r="L128" s="22" t="n">
        <x:v>51.75899999999999</x:v>
      </x:c>
      <x:c r="M128" t="n">
        <x:v>2016</x:v>
      </x:c>
      <x:c r="N128" s="20" t="n">
        <x:v>42522</x:v>
      </x:c>
    </x:row>
    <x:row r="129" ht="18" customHeight="1">
      <x:c r="A129" t="str">
        <x:v>CA-2016-103730</x:v>
      </x:c>
      <x:c r="B129" s="18" t="n">
        <x:v>42533</x:v>
      </x:c>
      <x:c r="C129" t="str">
        <x:v>SC-20725</x:v>
      </x:c>
      <x:c r="D129" t="str">
        <x:v>Steven Cartwright</x:v>
      </x:c>
      <x:c r="E129" t="str">
        <x:v>Consumer</x:v>
      </x:c>
      <x:c r="F129" t="str">
        <x:v>East</x:v>
      </x:c>
      <x:c r="G129" t="str">
        <x:v>Technology</x:v>
      </x:c>
      <x:c r="H129" t="str">
        <x:v>Phones</x:v>
      </x:c>
      <x:c r="I129" s="22" t="n">
        <x:v>68.04</x:v>
      </x:c>
      <x:c r="J129" s="24" t="n">
        <x:v>7</x:v>
      </x:c>
      <x:c r="K129" s="26" t="n">
        <x:v>0</x:v>
      </x:c>
      <x:c r="L129" s="22" t="n">
        <x:v>19.731599999999997</x:v>
      </x:c>
      <x:c r="M129" t="n">
        <x:v>2016</x:v>
      </x:c>
      <x:c r="N129" s="20" t="n">
        <x:v>42522</x:v>
      </x:c>
    </x:row>
    <x:row r="130" ht="18" customHeight="1">
      <x:c r="A130" t="str">
        <x:v>US-2014-152030</x:v>
      </x:c>
      <x:c r="B130" s="18" t="n">
        <x:v>41999</x:v>
      </x:c>
      <x:c r="C130" t="str">
        <x:v>AD-10180</x:v>
      </x:c>
      <x:c r="D130" t="str">
        <x:v>Alan Dominguez</x:v>
      </x:c>
      <x:c r="E130" t="str">
        <x:v>Home Office</x:v>
      </x:c>
      <x:c r="F130" t="str">
        <x:v>Central</x:v>
      </x:c>
      <x:c r="G130" t="str">
        <x:v>Furniture</x:v>
      </x:c>
      <x:c r="H130" t="str">
        <x:v>Chairs</x:v>
      </x:c>
      <x:c r="I130" s="22" t="n">
        <x:v>600.558</x:v>
      </x:c>
      <x:c r="J130" s="24" t="n">
        <x:v>3</x:v>
      </x:c>
      <x:c r="K130" s="26" t="n">
        <x:v>0.3</x:v>
      </x:c>
      <x:c r="L130" s="22" t="n">
        <x:v>-8.579400000000078</x:v>
      </x:c>
      <x:c r="M130" t="n">
        <x:v>2014</x:v>
      </x:c>
      <x:c r="N130" s="20" t="n">
        <x:v>41974</x:v>
      </x:c>
    </x:row>
    <x:row r="131" ht="18" customHeight="1">
      <x:c r="A131" t="str">
        <x:v>US-2014-134614</x:v>
      </x:c>
      <x:c r="B131" s="18" t="n">
        <x:v>41902</x:v>
      </x:c>
      <x:c r="C131" t="str">
        <x:v>PF-19165</x:v>
      </x:c>
      <x:c r="D131" t="str">
        <x:v>Philip Fox</x:v>
      </x:c>
      <x:c r="E131" t="str">
        <x:v>Consumer</x:v>
      </x:c>
      <x:c r="F131" t="str">
        <x:v>Central</x:v>
      </x:c>
      <x:c r="G131" t="str">
        <x:v>Furniture</x:v>
      </x:c>
      <x:c r="H131" t="str">
        <x:v>Tables</x:v>
      </x:c>
      <x:c r="I131" s="22" t="n">
        <x:v>617.7</x:v>
      </x:c>
      <x:c r="J131" s="24" t="n">
        <x:v>6</x:v>
      </x:c>
      <x:c r="K131" s="26" t="n">
        <x:v>0.5</x:v>
      </x:c>
      <x:c r="L131" s="22" t="n">
        <x:v>-407.68200000000013</x:v>
      </x:c>
      <x:c r="M131" t="n">
        <x:v>2014</x:v>
      </x:c>
      <x:c r="N131" s="20" t="n">
        <x:v>41883</x:v>
      </x:c>
    </x:row>
    <x:row r="132" ht="18" customHeight="1">
      <x:c r="A132" t="str">
        <x:v>US-2017-107272</x:v>
      </x:c>
      <x:c r="B132" s="18" t="n">
        <x:v>43044</x:v>
      </x:c>
      <x:c r="C132" t="str">
        <x:v>TS-21610</x:v>
      </x:c>
      <x:c r="D132" t="str">
        <x:v>Troy Staebel</x:v>
      </x:c>
      <x:c r="E132" t="str">
        <x:v>Consumer</x:v>
      </x:c>
      <x:c r="F132" t="str">
        <x:v>West</x:v>
      </x:c>
      <x:c r="G132" t="str">
        <x:v>Office Supplies</x:v>
      </x:c>
      <x:c r="H132" t="str">
        <x:v>Binders</x:v>
      </x:c>
      <x:c r="I132" s="22" t="n">
        <x:v>2.3880000000000003</x:v>
      </x:c>
      <x:c r="J132" s="24" t="n">
        <x:v>2</x:v>
      </x:c>
      <x:c r="K132" s="26" t="n">
        <x:v>0.7</x:v>
      </x:c>
      <x:c r="L132" s="22" t="n">
        <x:v>-1.8308</x:v>
      </x:c>
      <x:c r="M132" t="n">
        <x:v>2017</x:v>
      </x:c>
      <x:c r="N132" s="20" t="n">
        <x:v>43040</x:v>
      </x:c>
    </x:row>
    <x:row r="133" ht="18" customHeight="1">
      <x:c r="A133" t="str">
        <x:v>US-2017-107272</x:v>
      </x:c>
      <x:c r="B133" s="18" t="n">
        <x:v>43044</x:v>
      </x:c>
      <x:c r="C133" t="str">
        <x:v>TS-21610</x:v>
      </x:c>
      <x:c r="D133" t="str">
        <x:v>Troy Staebel</x:v>
      </x:c>
      <x:c r="E133" t="str">
        <x:v>Consumer</x:v>
      </x:c>
      <x:c r="F133" t="str">
        <x:v>West</x:v>
      </x:c>
      <x:c r="G133" t="str">
        <x:v>Office Supplies</x:v>
      </x:c>
      <x:c r="H133" t="str">
        <x:v>Storage</x:v>
      </x:c>
      <x:c r="I133" s="22" t="n">
        <x:v>243.99200000000002</x:v>
      </x:c>
      <x:c r="J133" s="24" t="n">
        <x:v>7</x:v>
      </x:c>
      <x:c r="K133" s="26" t="n">
        <x:v>0.2</x:v>
      </x:c>
      <x:c r="L133" s="22" t="n">
        <x:v>30.49899999999998</x:v>
      </x:c>
      <x:c r="M133" t="n">
        <x:v>2017</x:v>
      </x:c>
      <x:c r="N133" s="20" t="n">
        <x:v>43040</x:v>
      </x:c>
    </x:row>
    <x:row r="134" ht="18" customHeight="1">
      <x:c r="A134" t="str">
        <x:v>US-2016-125969</x:v>
      </x:c>
      <x:c r="B134" s="18" t="n">
        <x:v>42680</x:v>
      </x:c>
      <x:c r="C134" t="str">
        <x:v>LS-16975</x:v>
      </x:c>
      <x:c r="D134" t="str">
        <x:v>Lindsay Shagiari</x:v>
      </x:c>
      <x:c r="E134" t="str">
        <x:v>Home Office</x:v>
      </x:c>
      <x:c r="F134" t="str">
        <x:v>West</x:v>
      </x:c>
      <x:c r="G134" t="str">
        <x:v>Furniture</x:v>
      </x:c>
      <x:c r="H134" t="str">
        <x:v>Chairs</x:v>
      </x:c>
      <x:c r="I134" s="22" t="n">
        <x:v>81.424</x:v>
      </x:c>
      <x:c r="J134" s="24" t="n">
        <x:v>2</x:v>
      </x:c>
      <x:c r="K134" s="26" t="n">
        <x:v>0.2</x:v>
      </x:c>
      <x:c r="L134" s="22" t="n">
        <x:v>-9.160199999999996</x:v>
      </x:c>
      <x:c r="M134" t="n">
        <x:v>2016</x:v>
      </x:c>
      <x:c r="N134" s="20" t="n">
        <x:v>42675</x:v>
      </x:c>
    </x:row>
    <x:row r="135" ht="18" customHeight="1">
      <x:c r="A135" t="str">
        <x:v>US-2016-125969</x:v>
      </x:c>
      <x:c r="B135" s="18" t="n">
        <x:v>42680</x:v>
      </x:c>
      <x:c r="C135" t="str">
        <x:v>LS-16975</x:v>
      </x:c>
      <x:c r="D135" t="str">
        <x:v>Lindsay Shagiari</x:v>
      </x:c>
      <x:c r="E135" t="str">
        <x:v>Home Office</x:v>
      </x:c>
      <x:c r="F135" t="str">
        <x:v>West</x:v>
      </x:c>
      <x:c r="G135" t="str">
        <x:v>Furniture</x:v>
      </x:c>
      <x:c r="H135" t="str">
        <x:v>Furnishings</x:v>
      </x:c>
      <x:c r="I135" s="22" t="n">
        <x:v>238.56</x:v>
      </x:c>
      <x:c r="J135" s="24" t="n">
        <x:v>3</x:v>
      </x:c>
      <x:c r="K135" s="26" t="n">
        <x:v>0</x:v>
      </x:c>
      <x:c r="L135" s="22" t="n">
        <x:v>26.241599999999977</x:v>
      </x:c>
      <x:c r="M135" t="n">
        <x:v>2016</x:v>
      </x:c>
      <x:c r="N135" s="20" t="n">
        <x:v>42675</x:v>
      </x:c>
    </x:row>
    <x:row r="136" ht="18" customHeight="1">
      <x:c r="A136" t="str">
        <x:v>US-2017-164147</x:v>
      </x:c>
      <x:c r="B136" s="18" t="n">
        <x:v>42768</x:v>
      </x:c>
      <x:c r="C136" t="str">
        <x:v>DW-13585</x:v>
      </x:c>
      <x:c r="D136" t="str">
        <x:v>Dorothy Wardle</x:v>
      </x:c>
      <x:c r="E136" t="str">
        <x:v>Corporate</x:v>
      </x:c>
      <x:c r="F136" t="str">
        <x:v>East</x:v>
      </x:c>
      <x:c r="G136" t="str">
        <x:v>Technology</x:v>
      </x:c>
      <x:c r="H136" t="str">
        <x:v>Phones</x:v>
      </x:c>
      <x:c r="I136" s="22" t="n">
        <x:v>59.96999999999999</x:v>
      </x:c>
      <x:c r="J136" s="24" t="n">
        <x:v>5</x:v>
      </x:c>
      <x:c r="K136" s="26" t="n">
        <x:v>0.4</x:v>
      </x:c>
      <x:c r="L136" s="22" t="n">
        <x:v>-11.993999999999993</x:v>
      </x:c>
      <x:c r="M136" t="n">
        <x:v>2017</x:v>
      </x:c>
      <x:c r="N136" s="20" t="n">
        <x:v>42767</x:v>
      </x:c>
    </x:row>
    <x:row r="137" ht="18" customHeight="1">
      <x:c r="A137" t="str">
        <x:v>US-2017-164147</x:v>
      </x:c>
      <x:c r="B137" s="18" t="n">
        <x:v>42768</x:v>
      </x:c>
      <x:c r="C137" t="str">
        <x:v>DW-13585</x:v>
      </x:c>
      <x:c r="D137" t="str">
        <x:v>Dorothy Wardle</x:v>
      </x:c>
      <x:c r="E137" t="str">
        <x:v>Corporate</x:v>
      </x:c>
      <x:c r="F137" t="str">
        <x:v>East</x:v>
      </x:c>
      <x:c r="G137" t="str">
        <x:v>Office Supplies</x:v>
      </x:c>
      <x:c r="H137" t="str">
        <x:v>Paper</x:v>
      </x:c>
      <x:c r="I137" s="22" t="n">
        <x:v>78.304</x:v>
      </x:c>
      <x:c r="J137" s="24" t="n">
        <x:v>2</x:v>
      </x:c>
      <x:c r="K137" s="26" t="n">
        <x:v>0.2</x:v>
      </x:c>
      <x:c r="L137" s="22" t="n">
        <x:v>29.363999999999997</x:v>
      </x:c>
      <x:c r="M137" t="n">
        <x:v>2017</x:v>
      </x:c>
      <x:c r="N137" s="20" t="n">
        <x:v>42767</x:v>
      </x:c>
    </x:row>
    <x:row r="138" ht="18" customHeight="1">
      <x:c r="A138" t="str">
        <x:v>US-2017-164147</x:v>
      </x:c>
      <x:c r="B138" s="18" t="n">
        <x:v>42768</x:v>
      </x:c>
      <x:c r="C138" t="str">
        <x:v>DW-13585</x:v>
      </x:c>
      <x:c r="D138" t="str">
        <x:v>Dorothy Wardle</x:v>
      </x:c>
      <x:c r="E138" t="str">
        <x:v>Corporate</x:v>
      </x:c>
      <x:c r="F138" t="str">
        <x:v>East</x:v>
      </x:c>
      <x:c r="G138" t="str">
        <x:v>Office Supplies</x:v>
      </x:c>
      <x:c r="H138" t="str">
        <x:v>Fasteners</x:v>
      </x:c>
      <x:c r="I138" s="22" t="n">
        <x:v>21.456</x:v>
      </x:c>
      <x:c r="J138" s="24" t="n">
        <x:v>9</x:v>
      </x:c>
      <x:c r="K138" s="26" t="n">
        <x:v>0.2</x:v>
      </x:c>
      <x:c r="L138" s="22" t="n">
        <x:v>6.973199999999998</x:v>
      </x:c>
      <x:c r="M138" t="n">
        <x:v>2017</x:v>
      </x:c>
      <x:c r="N138" s="20" t="n">
        <x:v>42767</x:v>
      </x:c>
    </x:row>
    <x:row r="139" ht="18" customHeight="1">
      <x:c r="A139" t="str">
        <x:v>CA-2016-145583</x:v>
      </x:c>
      <x:c r="B139" s="18" t="n">
        <x:v>42656</x:v>
      </x:c>
      <x:c r="C139" t="str">
        <x:v>LC-16885</x:v>
      </x:c>
      <x:c r="D139" t="str">
        <x:v>Lena Creighton</x:v>
      </x:c>
      <x:c r="E139" t="str">
        <x:v>Consumer</x:v>
      </x:c>
      <x:c r="F139" t="str">
        <x:v>West</x:v>
      </x:c>
      <x:c r="G139" t="str">
        <x:v>Office Supplies</x:v>
      </x:c>
      <x:c r="H139" t="str">
        <x:v>Paper</x:v>
      </x:c>
      <x:c r="I139" s="22" t="n">
        <x:v>20.04</x:v>
      </x:c>
      <x:c r="J139" s="24" t="n">
        <x:v>3</x:v>
      </x:c>
      <x:c r="K139" s="26" t="n">
        <x:v>0</x:v>
      </x:c>
      <x:c r="L139" s="22" t="n">
        <x:v>9.6192</x:v>
      </x:c>
      <x:c r="M139" t="n">
        <x:v>2016</x:v>
      </x:c>
      <x:c r="N139" s="20" t="n">
        <x:v>42644</x:v>
      </x:c>
    </x:row>
    <x:row r="140" ht="18" customHeight="1">
      <x:c r="A140" t="str">
        <x:v>CA-2016-145583</x:v>
      </x:c>
      <x:c r="B140" s="18" t="n">
        <x:v>42656</x:v>
      </x:c>
      <x:c r="C140" t="str">
        <x:v>LC-16885</x:v>
      </x:c>
      <x:c r="D140" t="str">
        <x:v>Lena Creighton</x:v>
      </x:c>
      <x:c r="E140" t="str">
        <x:v>Consumer</x:v>
      </x:c>
      <x:c r="F140" t="str">
        <x:v>West</x:v>
      </x:c>
      <x:c r="G140" t="str">
        <x:v>Office Supplies</x:v>
      </x:c>
      <x:c r="H140" t="str">
        <x:v>Paper</x:v>
      </x:c>
      <x:c r="I140" s="22" t="n">
        <x:v>35.44</x:v>
      </x:c>
      <x:c r="J140" s="24" t="n">
        <x:v>1</x:v>
      </x:c>
      <x:c r="K140" s="26" t="n">
        <x:v>0</x:v>
      </x:c>
      <x:c r="L140" s="22" t="n">
        <x:v>16.656799999999997</x:v>
      </x:c>
      <x:c r="M140" t="n">
        <x:v>2016</x:v>
      </x:c>
      <x:c r="N140" s="20" t="n">
        <x:v>42644</x:v>
      </x:c>
    </x:row>
    <x:row r="141" ht="18" customHeight="1">
      <x:c r="A141" t="str">
        <x:v>CA-2016-145583</x:v>
      </x:c>
      <x:c r="B141" s="18" t="n">
        <x:v>42656</x:v>
      </x:c>
      <x:c r="C141" t="str">
        <x:v>LC-16885</x:v>
      </x:c>
      <x:c r="D141" t="str">
        <x:v>Lena Creighton</x:v>
      </x:c>
      <x:c r="E141" t="str">
        <x:v>Consumer</x:v>
      </x:c>
      <x:c r="F141" t="str">
        <x:v>West</x:v>
      </x:c>
      <x:c r="G141" t="str">
        <x:v>Office Supplies</x:v>
      </x:c>
      <x:c r="H141" t="str">
        <x:v>Art</x:v>
      </x:c>
      <x:c r="I141" s="22" t="n">
        <x:v>11.52</x:v>
      </x:c>
      <x:c r="J141" s="24" t="n">
        <x:v>4</x:v>
      </x:c>
      <x:c r="K141" s="26" t="n">
        <x:v>0</x:v>
      </x:c>
      <x:c r="L141" s="22" t="n">
        <x:v>3.4559999999999995</x:v>
      </x:c>
      <x:c r="M141" t="n">
        <x:v>2016</x:v>
      </x:c>
      <x:c r="N141" s="20" t="n">
        <x:v>42644</x:v>
      </x:c>
    </x:row>
    <x:row r="142" ht="18" customHeight="1">
      <x:c r="A142" t="str">
        <x:v>CA-2016-145583</x:v>
      </x:c>
      <x:c r="B142" s="18" t="n">
        <x:v>42656</x:v>
      </x:c>
      <x:c r="C142" t="str">
        <x:v>LC-16885</x:v>
      </x:c>
      <x:c r="D142" t="str">
        <x:v>Lena Creighton</x:v>
      </x:c>
      <x:c r="E142" t="str">
        <x:v>Consumer</x:v>
      </x:c>
      <x:c r="F142" t="str">
        <x:v>West</x:v>
      </x:c>
      <x:c r="G142" t="str">
        <x:v>Office Supplies</x:v>
      </x:c>
      <x:c r="H142" t="str">
        <x:v>Fasteners</x:v>
      </x:c>
      <x:c r="I142" s="22" t="n">
        <x:v>4.02</x:v>
      </x:c>
      <x:c r="J142" s="24" t="n">
        <x:v>2</x:v>
      </x:c>
      <x:c r="K142" s="26" t="n">
        <x:v>0</x:v>
      </x:c>
      <x:c r="L142" s="22" t="n">
        <x:v>1.9697999999999998</x:v>
      </x:c>
      <x:c r="M142" t="n">
        <x:v>2016</x:v>
      </x:c>
      <x:c r="N142" s="20" t="n">
        <x:v>42644</x:v>
      </x:c>
    </x:row>
    <x:row r="143" ht="18" customHeight="1">
      <x:c r="A143" t="str">
        <x:v>CA-2016-145583</x:v>
      </x:c>
      <x:c r="B143" s="18" t="n">
        <x:v>42656</x:v>
      </x:c>
      <x:c r="C143" t="str">
        <x:v>LC-16885</x:v>
      </x:c>
      <x:c r="D143" t="str">
        <x:v>Lena Creighton</x:v>
      </x:c>
      <x:c r="E143" t="str">
        <x:v>Consumer</x:v>
      </x:c>
      <x:c r="F143" t="str">
        <x:v>West</x:v>
      </x:c>
      <x:c r="G143" t="str">
        <x:v>Office Supplies</x:v>
      </x:c>
      <x:c r="H143" t="str">
        <x:v>Binders</x:v>
      </x:c>
      <x:c r="I143" s="22" t="n">
        <x:v>76.176</x:v>
      </x:c>
      <x:c r="J143" s="24" t="n">
        <x:v>3</x:v>
      </x:c>
      <x:c r="K143" s="26" t="n">
        <x:v>0.2</x:v>
      </x:c>
      <x:c r="L143" s="22" t="n">
        <x:v>26.661599999999996</x:v>
      </x:c>
      <x:c r="M143" t="n">
        <x:v>2016</x:v>
      </x:c>
      <x:c r="N143" s="20" t="n">
        <x:v>42644</x:v>
      </x:c>
    </x:row>
    <x:row r="144" ht="18" customHeight="1">
      <x:c r="A144" t="str">
        <x:v>CA-2016-145583</x:v>
      </x:c>
      <x:c r="B144" s="18" t="n">
        <x:v>42656</x:v>
      </x:c>
      <x:c r="C144" t="str">
        <x:v>LC-16885</x:v>
      </x:c>
      <x:c r="D144" t="str">
        <x:v>Lena Creighton</x:v>
      </x:c>
      <x:c r="E144" t="str">
        <x:v>Consumer</x:v>
      </x:c>
      <x:c r="F144" t="str">
        <x:v>West</x:v>
      </x:c>
      <x:c r="G144" t="str">
        <x:v>Office Supplies</x:v>
      </x:c>
      <x:c r="H144" t="str">
        <x:v>Supplies</x:v>
      </x:c>
      <x:c r="I144" s="22" t="n">
        <x:v>65.88</x:v>
      </x:c>
      <x:c r="J144" s="24" t="n">
        <x:v>6</x:v>
      </x:c>
      <x:c r="K144" s="26" t="n">
        <x:v>0</x:v>
      </x:c>
      <x:c r="L144" s="22" t="n">
        <x:v>18.446400000000004</x:v>
      </x:c>
      <x:c r="M144" t="n">
        <x:v>2016</x:v>
      </x:c>
      <x:c r="N144" s="20" t="n">
        <x:v>42644</x:v>
      </x:c>
    </x:row>
    <x:row r="145" ht="18" customHeight="1">
      <x:c r="A145" t="str">
        <x:v>CA-2016-145583</x:v>
      </x:c>
      <x:c r="B145" s="18" t="n">
        <x:v>42656</x:v>
      </x:c>
      <x:c r="C145" t="str">
        <x:v>LC-16885</x:v>
      </x:c>
      <x:c r="D145" t="str">
        <x:v>Lena Creighton</x:v>
      </x:c>
      <x:c r="E145" t="str">
        <x:v>Consumer</x:v>
      </x:c>
      <x:c r="F145" t="str">
        <x:v>West</x:v>
      </x:c>
      <x:c r="G145" t="str">
        <x:v>Furniture</x:v>
      </x:c>
      <x:c r="H145" t="str">
        <x:v>Furnishings</x:v>
      </x:c>
      <x:c r="I145" s="22" t="n">
        <x:v>43.120000000000005</x:v>
      </x:c>
      <x:c r="J145" s="24" t="n">
        <x:v>14</x:v>
      </x:c>
      <x:c r="K145" s="26" t="n">
        <x:v>0</x:v>
      </x:c>
      <x:c r="L145" s="22" t="n">
        <x:v>20.697599999999998</x:v>
      </x:c>
      <x:c r="M145" t="n">
        <x:v>2016</x:v>
      </x:c>
      <x:c r="N145" s="20" t="n">
        <x:v>42644</x:v>
      </x:c>
    </x:row>
    <x:row r="146" ht="18" customHeight="1">
      <x:c r="A146" t="str">
        <x:v>CA-2016-110366</x:v>
      </x:c>
      <x:c r="B146" s="18" t="n">
        <x:v>42618</x:v>
      </x:c>
      <x:c r="C146" t="str">
        <x:v>JD-15895</x:v>
      </x:c>
      <x:c r="D146" t="str">
        <x:v>Jonathan Doherty</x:v>
      </x:c>
      <x:c r="E146" t="str">
        <x:v>Corporate</x:v>
      </x:c>
      <x:c r="F146" t="str">
        <x:v>East</x:v>
      </x:c>
      <x:c r="G146" t="str">
        <x:v>Furniture</x:v>
      </x:c>
      <x:c r="H146" t="str">
        <x:v>Furnishings</x:v>
      </x:c>
      <x:c r="I146" s="22" t="n">
        <x:v>82.80000000000001</x:v>
      </x:c>
      <x:c r="J146" s="24" t="n">
        <x:v>2</x:v>
      </x:c>
      <x:c r="K146" s="26" t="n">
        <x:v>0.2</x:v>
      </x:c>
      <x:c r="L146" s="22" t="n">
        <x:v>10.349999999999994</x:v>
      </x:c>
      <x:c r="M146" t="n">
        <x:v>2016</x:v>
      </x:c>
      <x:c r="N146" s="20" t="n">
        <x:v>42614</x:v>
      </x:c>
    </x:row>
    <x:row r="147" ht="18" customHeight="1">
      <x:c r="A147" t="str">
        <x:v>CA-2017-106180</x:v>
      </x:c>
      <x:c r="B147" s="18" t="n">
        <x:v>42996</x:v>
      </x:c>
      <x:c r="C147" t="str">
        <x:v>SH-19975</x:v>
      </x:c>
      <x:c r="D147" t="str">
        <x:v>Sally Hughsby</x:v>
      </x:c>
      <x:c r="E147" t="str">
        <x:v>Corporate</x:v>
      </x:c>
      <x:c r="F147" t="str">
        <x:v>West</x:v>
      </x:c>
      <x:c r="G147" t="str">
        <x:v>Office Supplies</x:v>
      </x:c>
      <x:c r="H147" t="str">
        <x:v>Art</x:v>
      </x:c>
      <x:c r="I147" s="22" t="n">
        <x:v>8.82</x:v>
      </x:c>
      <x:c r="J147" s="24" t="n">
        <x:v>3</x:v>
      </x:c>
      <x:c r="K147" s="26" t="n">
        <x:v>0</x:v>
      </x:c>
      <x:c r="L147" s="22" t="n">
        <x:v>2.3814</x:v>
      </x:c>
      <x:c r="M147" t="n">
        <x:v>2017</x:v>
      </x:c>
      <x:c r="N147" s="20" t="n">
        <x:v>42979</x:v>
      </x:c>
    </x:row>
    <x:row r="148" ht="18" customHeight="1">
      <x:c r="A148" t="str">
        <x:v>CA-2017-106180</x:v>
      </x:c>
      <x:c r="B148" s="18" t="n">
        <x:v>42996</x:v>
      </x:c>
      <x:c r="C148" t="str">
        <x:v>SH-19975</x:v>
      </x:c>
      <x:c r="D148" t="str">
        <x:v>Sally Hughsby</x:v>
      </x:c>
      <x:c r="E148" t="str">
        <x:v>Corporate</x:v>
      </x:c>
      <x:c r="F148" t="str">
        <x:v>West</x:v>
      </x:c>
      <x:c r="G148" t="str">
        <x:v>Office Supplies</x:v>
      </x:c>
      <x:c r="H148" t="str">
        <x:v>Envelopes</x:v>
      </x:c>
      <x:c r="I148" s="22" t="n">
        <x:v>10.86</x:v>
      </x:c>
      <x:c r="J148" s="24" t="n">
        <x:v>3</x:v>
      </x:c>
      <x:c r="K148" s="26" t="n">
        <x:v>0</x:v>
      </x:c>
      <x:c r="L148" s="22" t="n">
        <x:v>5.1042000000000005</x:v>
      </x:c>
      <x:c r="M148" t="n">
        <x:v>2017</x:v>
      </x:c>
      <x:c r="N148" s="20" t="n">
        <x:v>42979</x:v>
      </x:c>
    </x:row>
    <x:row r="149" ht="18" customHeight="1">
      <x:c r="A149" t="str">
        <x:v>CA-2017-106180</x:v>
      </x:c>
      <x:c r="B149" s="18" t="n">
        <x:v>42996</x:v>
      </x:c>
      <x:c r="C149" t="str">
        <x:v>SH-19975</x:v>
      </x:c>
      <x:c r="D149" t="str">
        <x:v>Sally Hughsby</x:v>
      </x:c>
      <x:c r="E149" t="str">
        <x:v>Corporate</x:v>
      </x:c>
      <x:c r="F149" t="str">
        <x:v>West</x:v>
      </x:c>
      <x:c r="G149" t="str">
        <x:v>Office Supplies</x:v>
      </x:c>
      <x:c r="H149" t="str">
        <x:v>Paper</x:v>
      </x:c>
      <x:c r="I149" s="22" t="n">
        <x:v>143.7</x:v>
      </x:c>
      <x:c r="J149" s="24" t="n">
        <x:v>3</x:v>
      </x:c>
      <x:c r="K149" s="26" t="n">
        <x:v>0</x:v>
      </x:c>
      <x:c r="L149" s="22" t="n">
        <x:v>68.976</x:v>
      </x:c>
      <x:c r="M149" t="n">
        <x:v>2017</x:v>
      </x:c>
      <x:c r="N149" s="20" t="n">
        <x:v>42979</x:v>
      </x:c>
    </x:row>
    <x:row r="150" ht="18" customHeight="1">
      <x:c r="A150" t="str">
        <x:v>CA-2017-155376</x:v>
      </x:c>
      <x:c r="B150" s="18" t="n">
        <x:v>43091</x:v>
      </x:c>
      <x:c r="C150" t="str">
        <x:v>SG-20080</x:v>
      </x:c>
      <x:c r="D150" t="str">
        <x:v>Sandra Glassco</x:v>
      </x:c>
      <x:c r="E150" t="str">
        <x:v>Consumer</x:v>
      </x:c>
      <x:c r="F150" t="str">
        <x:v>Central</x:v>
      </x:c>
      <x:c r="G150" t="str">
        <x:v>Office Supplies</x:v>
      </x:c>
      <x:c r="H150" t="str">
        <x:v>Appliances</x:v>
      </x:c>
      <x:c r="I150" s="22" t="n">
        <x:v>839.4300000000001</x:v>
      </x:c>
      <x:c r="J150" s="24" t="n">
        <x:v>3</x:v>
      </x:c>
      <x:c r="K150" s="26" t="n">
        <x:v>0</x:v>
      </x:c>
      <x:c r="L150" s="22" t="n">
        <x:v>218.25179999999997</x:v>
      </x:c>
      <x:c r="M150" t="n">
        <x:v>2017</x:v>
      </x:c>
      <x:c r="N150" s="20" t="n">
        <x:v>43070</x:v>
      </x:c>
    </x:row>
    <x:row r="151" ht="18" customHeight="1">
      <x:c r="A151" t="str">
        <x:v>CA-2015-110744</x:v>
      </x:c>
      <x:c r="B151" s="18" t="n">
        <x:v>42254</x:v>
      </x:c>
      <x:c r="C151" t="str">
        <x:v>HA-14920</x:v>
      </x:c>
      <x:c r="D151" t="str">
        <x:v>Helen Andreada</x:v>
      </x:c>
      <x:c r="E151" t="str">
        <x:v>Consumer</x:v>
      </x:c>
      <x:c r="F151" t="str">
        <x:v>West</x:v>
      </x:c>
      <x:c r="G151" t="str">
        <x:v>Office Supplies</x:v>
      </x:c>
      <x:c r="H151" t="str">
        <x:v>Storage</x:v>
      </x:c>
      <x:c r="I151" s="22" t="n">
        <x:v>671.93</x:v>
      </x:c>
      <x:c r="J151" s="24" t="n">
        <x:v>7</x:v>
      </x:c>
      <x:c r="K151" s="26" t="n">
        <x:v>0</x:v>
      </x:c>
      <x:c r="L151" s="22" t="n">
        <x:v>20.157899999999998</x:v>
      </x:c>
      <x:c r="M151" t="n">
        <x:v>2015</x:v>
      </x:c>
      <x:c r="N151" s="20" t="n">
        <x:v>42248</x:v>
      </x:c>
    </x:row>
    <x:row r="152" ht="18" customHeight="1">
      <x:c r="A152" t="str">
        <x:v>CA-2014-110072</x:v>
      </x:c>
      <x:c r="B152" s="18" t="n">
        <x:v>41934</x:v>
      </x:c>
      <x:c r="C152" t="str">
        <x:v>MG-17680</x:v>
      </x:c>
      <x:c r="D152" t="str">
        <x:v>Maureen Gastineau</x:v>
      </x:c>
      <x:c r="E152" t="str">
        <x:v>Home Office</x:v>
      </x:c>
      <x:c r="F152" t="str">
        <x:v>East</x:v>
      </x:c>
      <x:c r="G152" t="str">
        <x:v>Furniture</x:v>
      </x:c>
      <x:c r="H152" t="str">
        <x:v>Furnishings</x:v>
      </x:c>
      <x:c r="I152" s="22" t="n">
        <x:v>93.888</x:v>
      </x:c>
      <x:c r="J152" s="24" t="n">
        <x:v>4</x:v>
      </x:c>
      <x:c r="K152" s="26" t="n">
        <x:v>0.2</x:v>
      </x:c>
      <x:c r="L152" s="22" t="n">
        <x:v>12.90959999999999</x:v>
      </x:c>
      <x:c r="M152" t="n">
        <x:v>2014</x:v>
      </x:c>
      <x:c r="N152" s="20" t="n">
        <x:v>41913</x:v>
      </x:c>
    </x:row>
    <x:row r="153" ht="18" customHeight="1">
      <x:c r="A153" t="str">
        <x:v>CA-2016-114489</x:v>
      </x:c>
      <x:c r="B153" s="18" t="n">
        <x:v>42709</x:v>
      </x:c>
      <x:c r="C153" t="str">
        <x:v>JE-16165</x:v>
      </x:c>
      <x:c r="D153" t="str">
        <x:v>Justin Ellison</x:v>
      </x:c>
      <x:c r="E153" t="str">
        <x:v>Corporate</x:v>
      </x:c>
      <x:c r="F153" t="str">
        <x:v>Central</x:v>
      </x:c>
      <x:c r="G153" t="str">
        <x:v>Technology</x:v>
      </x:c>
      <x:c r="H153" t="str">
        <x:v>Phones</x:v>
      </x:c>
      <x:c r="I153" s="22" t="n">
        <x:v>384.45000000000005</x:v>
      </x:c>
      <x:c r="J153" s="24" t="n">
        <x:v>11</x:v>
      </x:c>
      <x:c r="K153" s="26" t="n">
        <x:v>0</x:v>
      </x:c>
      <x:c r="L153" s="22" t="n">
        <x:v>103.80150000000003</x:v>
      </x:c>
      <x:c r="M153" t="n">
        <x:v>2016</x:v>
      </x:c>
      <x:c r="N153" s="20" t="n">
        <x:v>42705</x:v>
      </x:c>
    </x:row>
    <x:row r="154" ht="18" customHeight="1">
      <x:c r="A154" t="str">
        <x:v>CA-2016-114489</x:v>
      </x:c>
      <x:c r="B154" s="18" t="n">
        <x:v>42709</x:v>
      </x:c>
      <x:c r="C154" t="str">
        <x:v>JE-16165</x:v>
      </x:c>
      <x:c r="D154" t="str">
        <x:v>Justin Ellison</x:v>
      </x:c>
      <x:c r="E154" t="str">
        <x:v>Corporate</x:v>
      </x:c>
      <x:c r="F154" t="str">
        <x:v>Central</x:v>
      </x:c>
      <x:c r="G154" t="str">
        <x:v>Technology</x:v>
      </x:c>
      <x:c r="H154" t="str">
        <x:v>Phones</x:v>
      </x:c>
      <x:c r="I154" s="22" t="n">
        <x:v>149.97</x:v>
      </x:c>
      <x:c r="J154" s="24" t="n">
        <x:v>3</x:v>
      </x:c>
      <x:c r="K154" s="26" t="n">
        <x:v>0</x:v>
      </x:c>
      <x:c r="L154" s="22" t="n">
        <x:v>5.9987999999999815</x:v>
      </x:c>
      <x:c r="M154" t="n">
        <x:v>2016</x:v>
      </x:c>
      <x:c r="N154" s="20" t="n">
        <x:v>42705</x:v>
      </x:c>
    </x:row>
    <x:row r="155" ht="18" customHeight="1">
      <x:c r="A155" t="str">
        <x:v>CA-2016-114489</x:v>
      </x:c>
      <x:c r="B155" s="18" t="n">
        <x:v>42709</x:v>
      </x:c>
      <x:c r="C155" t="str">
        <x:v>JE-16165</x:v>
      </x:c>
      <x:c r="D155" t="str">
        <x:v>Justin Ellison</x:v>
      </x:c>
      <x:c r="E155" t="str">
        <x:v>Corporate</x:v>
      </x:c>
      <x:c r="F155" t="str">
        <x:v>Central</x:v>
      </x:c>
      <x:c r="G155" t="str">
        <x:v>Furniture</x:v>
      </x:c>
      <x:c r="H155" t="str">
        <x:v>Chairs</x:v>
      </x:c>
      <x:c r="I155" s="22" t="n">
        <x:v>1951.84</x:v>
      </x:c>
      <x:c r="J155" s="24" t="n">
        <x:v>8</x:v>
      </x:c>
      <x:c r="K155" s="26" t="n">
        <x:v>0</x:v>
      </x:c>
      <x:c r="L155" s="22" t="n">
        <x:v>585.5519999999999</x:v>
      </x:c>
      <x:c r="M155" t="n">
        <x:v>2016</x:v>
      </x:c>
      <x:c r="N155" s="20" t="n">
        <x:v>42705</x:v>
      </x:c>
    </x:row>
    <x:row r="156" ht="18" customHeight="1">
      <x:c r="A156" t="str">
        <x:v>CA-2016-114489</x:v>
      </x:c>
      <x:c r="B156" s="18" t="n">
        <x:v>42709</x:v>
      </x:c>
      <x:c r="C156" t="str">
        <x:v>JE-16165</x:v>
      </x:c>
      <x:c r="D156" t="str">
        <x:v>Justin Ellison</x:v>
      </x:c>
      <x:c r="E156" t="str">
        <x:v>Corporate</x:v>
      </x:c>
      <x:c r="F156" t="str">
        <x:v>Central</x:v>
      </x:c>
      <x:c r="G156" t="str">
        <x:v>Office Supplies</x:v>
      </x:c>
      <x:c r="H156" t="str">
        <x:v>Binders</x:v>
      </x:c>
      <x:c r="I156" s="22" t="n">
        <x:v>171.55</x:v>
      </x:c>
      <x:c r="J156" s="24" t="n">
        <x:v>5</x:v>
      </x:c>
      <x:c r="K156" s="26" t="n">
        <x:v>0</x:v>
      </x:c>
      <x:c r="L156" s="22" t="n">
        <x:v>80.6285</x:v>
      </x:c>
      <x:c r="M156" t="n">
        <x:v>2016</x:v>
      </x:c>
      <x:c r="N156" s="20" t="n">
        <x:v>42705</x:v>
      </x:c>
    </x:row>
    <x:row r="157" ht="18" customHeight="1">
      <x:c r="A157" t="str">
        <x:v>CA-2016-158834</x:v>
      </x:c>
      <x:c r="B157" s="18" t="n">
        <x:v>42442</x:v>
      </x:c>
      <x:c r="C157" t="str">
        <x:v>TW-21025</x:v>
      </x:c>
      <x:c r="D157" t="str">
        <x:v>Tamara Willingham</x:v>
      </x:c>
      <x:c r="E157" t="str">
        <x:v>Home Office</x:v>
      </x:c>
      <x:c r="F157" t="str">
        <x:v>West</x:v>
      </x:c>
      <x:c r="G157" t="str">
        <x:v>Office Supplies</x:v>
      </x:c>
      <x:c r="H157" t="str">
        <x:v>Appliances</x:v>
      </x:c>
      <x:c r="I157" s="22" t="n">
        <x:v>157.92</x:v>
      </x:c>
      <x:c r="J157" s="24" t="n">
        <x:v>5</x:v>
      </x:c>
      <x:c r="K157" s="26" t="n">
        <x:v>0.2</x:v>
      </x:c>
      <x:c r="L157" s="22" t="n">
        <x:v>17.76599999999999</x:v>
      </x:c>
      <x:c r="M157" t="n">
        <x:v>2016</x:v>
      </x:c>
      <x:c r="N157" s="20" t="n">
        <x:v>42430</x:v>
      </x:c>
    </x:row>
    <x:row r="158" ht="18" customHeight="1">
      <x:c r="A158" t="str">
        <x:v>CA-2016-158834</x:v>
      </x:c>
      <x:c r="B158" s="18" t="n">
        <x:v>42442</x:v>
      </x:c>
      <x:c r="C158" t="str">
        <x:v>TW-21025</x:v>
      </x:c>
      <x:c r="D158" t="str">
        <x:v>Tamara Willingham</x:v>
      </x:c>
      <x:c r="E158" t="str">
        <x:v>Home Office</x:v>
      </x:c>
      <x:c r="F158" t="str">
        <x:v>West</x:v>
      </x:c>
      <x:c r="G158" t="str">
        <x:v>Technology</x:v>
      </x:c>
      <x:c r="H158" t="str">
        <x:v>Phones</x:v>
      </x:c>
      <x:c r="I158" s="22" t="n">
        <x:v>203.184</x:v>
      </x:c>
      <x:c r="J158" s="24" t="n">
        <x:v>2</x:v>
      </x:c>
      <x:c r="K158" s="26" t="n">
        <x:v>0.2</x:v>
      </x:c>
      <x:c r="L158" s="22" t="n">
        <x:v>15.23879999999999</x:v>
      </x:c>
      <x:c r="M158" t="n">
        <x:v>2016</x:v>
      </x:c>
      <x:c r="N158" s="20" t="n">
        <x:v>42430</x:v>
      </x:c>
    </x:row>
    <x:row r="159" ht="18" customHeight="1">
      <x:c r="A159" t="str">
        <x:v>CA-2015-124919</x:v>
      </x:c>
      <x:c r="B159" s="18" t="n">
        <x:v>42155</x:v>
      </x:c>
      <x:c r="C159" t="str">
        <x:v>SP-20650</x:v>
      </x:c>
      <x:c r="D159" t="str">
        <x:v>Stephanie Phelps</x:v>
      </x:c>
      <x:c r="E159" t="str">
        <x:v>Corporate</x:v>
      </x:c>
      <x:c r="F159" t="str">
        <x:v>West</x:v>
      </x:c>
      <x:c r="G159" t="str">
        <x:v>Office Supplies</x:v>
      </x:c>
      <x:c r="H159" t="str">
        <x:v>Paper</x:v>
      </x:c>
      <x:c r="I159" s="22" t="n">
        <x:v>58.379999999999995</x:v>
      </x:c>
      <x:c r="J159" s="24" t="n">
        <x:v>7</x:v>
      </x:c>
      <x:c r="K159" s="26" t="n">
        <x:v>0</x:v>
      </x:c>
      <x:c r="L159" s="22" t="n">
        <x:v>26.270999999999994</x:v>
      </x:c>
      <x:c r="M159" t="n">
        <x:v>2015</x:v>
      </x:c>
      <x:c r="N159" s="20" t="n">
        <x:v>42125</x:v>
      </x:c>
    </x:row>
    <x:row r="160" ht="18" customHeight="1">
      <x:c r="A160" t="str">
        <x:v>CA-2015-124919</x:v>
      </x:c>
      <x:c r="B160" s="18" t="n">
        <x:v>42155</x:v>
      </x:c>
      <x:c r="C160" t="str">
        <x:v>SP-20650</x:v>
      </x:c>
      <x:c r="D160" t="str">
        <x:v>Stephanie Phelps</x:v>
      </x:c>
      <x:c r="E160" t="str">
        <x:v>Corporate</x:v>
      </x:c>
      <x:c r="F160" t="str">
        <x:v>West</x:v>
      </x:c>
      <x:c r="G160" t="str">
        <x:v>Office Supplies</x:v>
      </x:c>
      <x:c r="H160" t="str">
        <x:v>Paper</x:v>
      </x:c>
      <x:c r="I160" s="22" t="n">
        <x:v>105.52</x:v>
      </x:c>
      <x:c r="J160" s="24" t="n">
        <x:v>4</x:v>
      </x:c>
      <x:c r="K160" s="26" t="n">
        <x:v>0</x:v>
      </x:c>
      <x:c r="L160" s="22" t="n">
        <x:v>48.539199999999994</x:v>
      </x:c>
      <x:c r="M160" t="n">
        <x:v>2015</x:v>
      </x:c>
      <x:c r="N160" s="20" t="n">
        <x:v>42125</x:v>
      </x:c>
    </x:row>
    <x:row r="161" ht="18" customHeight="1">
      <x:c r="A161" t="str">
        <x:v>CA-2015-124919</x:v>
      </x:c>
      <x:c r="B161" s="18" t="n">
        <x:v>42155</x:v>
      </x:c>
      <x:c r="C161" t="str">
        <x:v>SP-20650</x:v>
      </x:c>
      <x:c r="D161" t="str">
        <x:v>Stephanie Phelps</x:v>
      </x:c>
      <x:c r="E161" t="str">
        <x:v>Corporate</x:v>
      </x:c>
      <x:c r="F161" t="str">
        <x:v>West</x:v>
      </x:c>
      <x:c r="G161" t="str">
        <x:v>Office Supplies</x:v>
      </x:c>
      <x:c r="H161" t="str">
        <x:v>Storage</x:v>
      </x:c>
      <x:c r="I161" s="22" t="n">
        <x:v>80.88</x:v>
      </x:c>
      <x:c r="J161" s="24" t="n">
        <x:v>6</x:v>
      </x:c>
      <x:c r="K161" s="26" t="n">
        <x:v>0</x:v>
      </x:c>
      <x:c r="L161" s="22" t="n">
        <x:v>21.028799999999997</x:v>
      </x:c>
      <x:c r="M161" t="n">
        <x:v>2015</x:v>
      </x:c>
      <x:c r="N161" s="20" t="n">
        <x:v>42125</x:v>
      </x:c>
    </x:row>
    <x:row r="162" ht="18" customHeight="1">
      <x:c r="A162" t="str">
        <x:v>CA-2015-118948</x:v>
      </x:c>
      <x:c r="B162" s="18" t="n">
        <x:v>42152</x:v>
      </x:c>
      <x:c r="C162" t="str">
        <x:v>NK-18490</x:v>
      </x:c>
      <x:c r="D162" t="str">
        <x:v>Neil Knudson</x:v>
      </x:c>
      <x:c r="E162" t="str">
        <x:v>Home Office</x:v>
      </x:c>
      <x:c r="F162" t="str">
        <x:v>West</x:v>
      </x:c>
      <x:c r="G162" t="str">
        <x:v>Office Supplies</x:v>
      </x:c>
      <x:c r="H162" t="str">
        <x:v>Art</x:v>
      </x:c>
      <x:c r="I162" s="22" t="n">
        <x:v>6.63</x:v>
      </x:c>
      <x:c r="J162" s="24" t="n">
        <x:v>3</x:v>
      </x:c>
      <x:c r="K162" s="26" t="n">
        <x:v>0</x:v>
      </x:c>
      <x:c r="L162" s="22" t="n">
        <x:v>1.7901</x:v>
      </x:c>
      <x:c r="M162" t="n">
        <x:v>2015</x:v>
      </x:c>
      <x:c r="N162" s="20" t="n">
        <x:v>42125</x:v>
      </x:c>
    </x:row>
    <x:row r="163" ht="18" customHeight="1">
      <x:c r="A163" t="str">
        <x:v>CA-2014-104269</x:v>
      </x:c>
      <x:c r="B163" s="18" t="n">
        <x:v>41699</x:v>
      </x:c>
      <x:c r="C163" t="str">
        <x:v>DB-13060</x:v>
      </x:c>
      <x:c r="D163" t="str">
        <x:v>Dave Brooks</x:v>
      </x:c>
      <x:c r="E163" t="str">
        <x:v>Consumer</x:v>
      </x:c>
      <x:c r="F163" t="str">
        <x:v>West</x:v>
      </x:c>
      <x:c r="G163" t="str">
        <x:v>Furniture</x:v>
      </x:c>
      <x:c r="H163" t="str">
        <x:v>Chairs</x:v>
      </x:c>
      <x:c r="I163" s="22" t="n">
        <x:v>457.56800000000004</x:v>
      </x:c>
      <x:c r="J163" s="24" t="n">
        <x:v>2</x:v>
      </x:c>
      <x:c r="K163" s="26" t="n">
        <x:v>0.2</x:v>
      </x:c>
      <x:c r="L163" s="22" t="n">
        <x:v>51.47639999999994</x:v>
      </x:c>
      <x:c r="M163" t="n">
        <x:v>2014</x:v>
      </x:c>
      <x:c r="N163" s="20" t="n">
        <x:v>41699</x:v>
      </x:c>
    </x:row>
    <x:row r="164" ht="18" customHeight="1">
      <x:c r="A164" t="str">
        <x:v>CA-2016-114104</x:v>
      </x:c>
      <x:c r="B164" s="18" t="n">
        <x:v>42694</x:v>
      </x:c>
      <x:c r="C164" t="str">
        <x:v>NP-18670</x:v>
      </x:c>
      <x:c r="D164" t="str">
        <x:v>Nora Paige</x:v>
      </x:c>
      <x:c r="E164" t="str">
        <x:v>Consumer</x:v>
      </x:c>
      <x:c r="F164" t="str">
        <x:v>Central</x:v>
      </x:c>
      <x:c r="G164" t="str">
        <x:v>Office Supplies</x:v>
      </x:c>
      <x:c r="H164" t="str">
        <x:v>Labels</x:v>
      </x:c>
      <x:c r="I164" s="22" t="n">
        <x:v>14.62</x:v>
      </x:c>
      <x:c r="J164" s="24" t="n">
        <x:v>2</x:v>
      </x:c>
      <x:c r="K164" s="26" t="n">
        <x:v>0</x:v>
      </x:c>
      <x:c r="L164" s="22" t="n">
        <x:v>6.8713999999999995</x:v>
      </x:c>
      <x:c r="M164" t="n">
        <x:v>2016</x:v>
      </x:c>
      <x:c r="N164" s="20" t="n">
        <x:v>42675</x:v>
      </x:c>
    </x:row>
    <x:row r="165" ht="18" customHeight="1">
      <x:c r="A165" t="str">
        <x:v>CA-2016-114104</x:v>
      </x:c>
      <x:c r="B165" s="18" t="n">
        <x:v>42694</x:v>
      </x:c>
      <x:c r="C165" t="str">
        <x:v>NP-18670</x:v>
      </x:c>
      <x:c r="D165" t="str">
        <x:v>Nora Paige</x:v>
      </x:c>
      <x:c r="E165" t="str">
        <x:v>Consumer</x:v>
      </x:c>
      <x:c r="F165" t="str">
        <x:v>Central</x:v>
      </x:c>
      <x:c r="G165" t="str">
        <x:v>Technology</x:v>
      </x:c>
      <x:c r="H165" t="str">
        <x:v>Phones</x:v>
      </x:c>
      <x:c r="I165" s="22" t="n">
        <x:v>944.9300000000001</x:v>
      </x:c>
      <x:c r="J165" s="24" t="n">
        <x:v>7</x:v>
      </x:c>
      <x:c r="K165" s="26" t="n">
        <x:v>0</x:v>
      </x:c>
      <x:c r="L165" s="22" t="n">
        <x:v>236.23250000000002</x:v>
      </x:c>
      <x:c r="M165" t="n">
        <x:v>2016</x:v>
      </x:c>
      <x:c r="N165" s="20" t="n">
        <x:v>42675</x:v>
      </x:c>
    </x:row>
    <x:row r="166" ht="18" customHeight="1">
      <x:c r="A166" t="str">
        <x:v>CA-2016-162733</x:v>
      </x:c>
      <x:c r="B166" s="18" t="n">
        <x:v>42501</x:v>
      </x:c>
      <x:c r="C166" t="str">
        <x:v>TT-21070</x:v>
      </x:c>
      <x:c r="D166" t="str">
        <x:v>Ted Trevino</x:v>
      </x:c>
      <x:c r="E166" t="str">
        <x:v>Consumer</x:v>
      </x:c>
      <x:c r="F166" t="str">
        <x:v>West</x:v>
      </x:c>
      <x:c r="G166" t="str">
        <x:v>Office Supplies</x:v>
      </x:c>
      <x:c r="H166" t="str">
        <x:v>Paper</x:v>
      </x:c>
      <x:c r="I166" s="22" t="n">
        <x:v>5.98</x:v>
      </x:c>
      <x:c r="J166" s="24" t="n">
        <x:v>1</x:v>
      </x:c>
      <x:c r="K166" s="26" t="n">
        <x:v>0</x:v>
      </x:c>
      <x:c r="L166" s="22" t="n">
        <x:v>2.691</x:v>
      </x:c>
      <x:c r="M166" t="n">
        <x:v>2016</x:v>
      </x:c>
      <x:c r="N166" s="20" t="n">
        <x:v>42491</x:v>
      </x:c>
    </x:row>
    <x:row r="167" ht="18" customHeight="1">
      <x:c r="A167" t="str">
        <x:v>CA-2015-119697</x:v>
      </x:c>
      <x:c r="B167" s="18" t="n">
        <x:v>42366</x:v>
      </x:c>
      <x:c r="C167" t="str">
        <x:v>EM-13960</x:v>
      </x:c>
      <x:c r="D167" t="str">
        <x:v>Eric Murdock</x:v>
      </x:c>
      <x:c r="E167" t="str">
        <x:v>Consumer</x:v>
      </x:c>
      <x:c r="F167" t="str">
        <x:v>East</x:v>
      </x:c>
      <x:c r="G167" t="str">
        <x:v>Technology</x:v>
      </x:c>
      <x:c r="H167" t="str">
        <x:v>Accessories</x:v>
      </x:c>
      <x:c r="I167" s="22" t="n">
        <x:v>54.38400000000001</x:v>
      </x:c>
      <x:c r="J167" s="24" t="n">
        <x:v>2</x:v>
      </x:c>
      <x:c r="K167" s="26" t="n">
        <x:v>0.2</x:v>
      </x:c>
      <x:c r="L167" s="22" t="n">
        <x:v>1.359599999999995</x:v>
      </x:c>
      <x:c r="M167" t="n">
        <x:v>2015</x:v>
      </x:c>
      <x:c r="N167" s="20" t="n">
        <x:v>42339</x:v>
      </x:c>
    </x:row>
    <x:row r="168" ht="18" customHeight="1">
      <x:c r="A168" t="str">
        <x:v>CA-2016-154508</x:v>
      </x:c>
      <x:c r="B168" s="18" t="n">
        <x:v>42690</x:v>
      </x:c>
      <x:c r="C168" t="str">
        <x:v>RD-19900</x:v>
      </x:c>
      <x:c r="D168" t="str">
        <x:v>Ruben Dartt</x:v>
      </x:c>
      <x:c r="E168" t="str">
        <x:v>Consumer</x:v>
      </x:c>
      <x:c r="F168" t="str">
        <x:v>West</x:v>
      </x:c>
      <x:c r="G168" t="str">
        <x:v>Office Supplies</x:v>
      </x:c>
      <x:c r="H168" t="str">
        <x:v>Envelopes</x:v>
      </x:c>
      <x:c r="I168" s="22" t="n">
        <x:v>28.4</x:v>
      </x:c>
      <x:c r="J168" s="24" t="n">
        <x:v>5</x:v>
      </x:c>
      <x:c r="K168" s="26" t="n">
        <x:v>0</x:v>
      </x:c>
      <x:c r="L168" s="22" t="n">
        <x:v>13.347999999999997</x:v>
      </x:c>
      <x:c r="M168" t="n">
        <x:v>2016</x:v>
      </x:c>
      <x:c r="N168" s="20" t="n">
        <x:v>42675</x:v>
      </x:c>
    </x:row>
    <x:row r="169" ht="18" customHeight="1">
      <x:c r="A169" t="str">
        <x:v>CA-2016-113817</x:v>
      </x:c>
      <x:c r="B169" s="18" t="n">
        <x:v>42681</x:v>
      </x:c>
      <x:c r="C169" t="str">
        <x:v>MJ-17740</x:v>
      </x:c>
      <x:c r="D169" t="str">
        <x:v>Max Jones</x:v>
      </x:c>
      <x:c r="E169" t="str">
        <x:v>Consumer</x:v>
      </x:c>
      <x:c r="F169" t="str">
        <x:v>West</x:v>
      </x:c>
      <x:c r="G169" t="str">
        <x:v>Office Supplies</x:v>
      </x:c>
      <x:c r="H169" t="str">
        <x:v>Binders</x:v>
      </x:c>
      <x:c r="I169" s="22" t="n">
        <x:v>27.680000000000003</x:v>
      </x:c>
      <x:c r="J169" s="24" t="n">
        <x:v>2</x:v>
      </x:c>
      <x:c r="K169" s="26" t="n">
        <x:v>0.2</x:v>
      </x:c>
      <x:c r="L169" s="22" t="n">
        <x:v>9.687999999999999</x:v>
      </x:c>
      <x:c r="M169" t="n">
        <x:v>2016</x:v>
      </x:c>
      <x:c r="N169" s="20" t="n">
        <x:v>42675</x:v>
      </x:c>
    </x:row>
    <x:row r="170" ht="18" customHeight="1">
      <x:c r="A170" t="str">
        <x:v>CA-2014-139892</x:v>
      </x:c>
      <x:c r="B170" s="18" t="n">
        <x:v>41890</x:v>
      </x:c>
      <x:c r="C170" t="str">
        <x:v>BM-11140</x:v>
      </x:c>
      <x:c r="D170" t="str">
        <x:v>Becky Martin</x:v>
      </x:c>
      <x:c r="E170" t="str">
        <x:v>Consumer</x:v>
      </x:c>
      <x:c r="F170" t="str">
        <x:v>Central</x:v>
      </x:c>
      <x:c r="G170" t="str">
        <x:v>Office Supplies</x:v>
      </x:c>
      <x:c r="H170" t="str">
        <x:v>Art</x:v>
      </x:c>
      <x:c r="I170" s="22" t="n">
        <x:v>9.936</x:v>
      </x:c>
      <x:c r="J170" s="24" t="n">
        <x:v>3</x:v>
      </x:c>
      <x:c r="K170" s="26" t="n">
        <x:v>0.2</x:v>
      </x:c>
      <x:c r="L170" s="22" t="n">
        <x:v>2.7324</x:v>
      </x:c>
      <x:c r="M170" t="n">
        <x:v>2014</x:v>
      </x:c>
      <x:c r="N170" s="20" t="n">
        <x:v>41883</x:v>
      </x:c>
    </x:row>
    <x:row r="171" ht="18" customHeight="1">
      <x:c r="A171" t="str">
        <x:v>CA-2014-139892</x:v>
      </x:c>
      <x:c r="B171" s="18" t="n">
        <x:v>41890</x:v>
      </x:c>
      <x:c r="C171" t="str">
        <x:v>BM-11140</x:v>
      </x:c>
      <x:c r="D171" t="str">
        <x:v>Becky Martin</x:v>
      </x:c>
      <x:c r="E171" t="str">
        <x:v>Consumer</x:v>
      </x:c>
      <x:c r="F171" t="str">
        <x:v>Central</x:v>
      </x:c>
      <x:c r="G171" t="str">
        <x:v>Technology</x:v>
      </x:c>
      <x:c r="H171" t="str">
        <x:v>Machines</x:v>
      </x:c>
      <x:c r="I171" s="22" t="n">
        <x:v>8159.951999999999</x:v>
      </x:c>
      <x:c r="J171" s="24" t="n">
        <x:v>8</x:v>
      </x:c>
      <x:c r="K171" s="26" t="n">
        <x:v>0.4</x:v>
      </x:c>
      <x:c r="L171" s="22" t="n">
        <x:v>-1359.992000000002</x:v>
      </x:c>
      <x:c r="M171" t="n">
        <x:v>2014</x:v>
      </x:c>
      <x:c r="N171" s="20" t="n">
        <x:v>41883</x:v>
      </x:c>
    </x:row>
    <x:row r="172" ht="18" customHeight="1">
      <x:c r="A172" t="str">
        <x:v>CA-2014-139892</x:v>
      </x:c>
      <x:c r="B172" s="18" t="n">
        <x:v>41890</x:v>
      </x:c>
      <x:c r="C172" t="str">
        <x:v>BM-11140</x:v>
      </x:c>
      <x:c r="D172" t="str">
        <x:v>Becky Martin</x:v>
      </x:c>
      <x:c r="E172" t="str">
        <x:v>Consumer</x:v>
      </x:c>
      <x:c r="F172" t="str">
        <x:v>Central</x:v>
      </x:c>
      <x:c r="G172" t="str">
        <x:v>Office Supplies</x:v>
      </x:c>
      <x:c r="H172" t="str">
        <x:v>Storage</x:v>
      </x:c>
      <x:c r="I172" s="22" t="n">
        <x:v>275.928</x:v>
      </x:c>
      <x:c r="J172" s="24" t="n">
        <x:v>3</x:v>
      </x:c>
      <x:c r="K172" s="26" t="n">
        <x:v>0.2</x:v>
      </x:c>
      <x:c r="L172" s="22" t="n">
        <x:v>-58.634699999999995</x:v>
      </x:c>
      <x:c r="M172" t="n">
        <x:v>2014</x:v>
      </x:c>
      <x:c r="N172" s="20" t="n">
        <x:v>41883</x:v>
      </x:c>
    </x:row>
    <x:row r="173" ht="18" customHeight="1">
      <x:c r="A173" t="str">
        <x:v>CA-2014-139892</x:v>
      </x:c>
      <x:c r="B173" s="18" t="n">
        <x:v>41890</x:v>
      </x:c>
      <x:c r="C173" t="str">
        <x:v>BM-11140</x:v>
      </x:c>
      <x:c r="D173" t="str">
        <x:v>Becky Martin</x:v>
      </x:c>
      <x:c r="E173" t="str">
        <x:v>Consumer</x:v>
      </x:c>
      <x:c r="F173" t="str">
        <x:v>Central</x:v>
      </x:c>
      <x:c r="G173" t="str">
        <x:v>Furniture</x:v>
      </x:c>
      <x:c r="H173" t="str">
        <x:v>Chairs</x:v>
      </x:c>
      <x:c r="I173" s="22" t="n">
        <x:v>1740.0599999999997</x:v>
      </x:c>
      <x:c r="J173" s="24" t="n">
        <x:v>9</x:v>
      </x:c>
      <x:c r="K173" s="26" t="n">
        <x:v>0.3</x:v>
      </x:c>
      <x:c r="L173" s="22" t="n">
        <x:v>-24.858000000000175</x:v>
      </x:c>
      <x:c r="M173" t="n">
        <x:v>2014</x:v>
      </x:c>
      <x:c r="N173" s="20" t="n">
        <x:v>41883</x:v>
      </x:c>
    </x:row>
    <x:row r="174" ht="18" customHeight="1">
      <x:c r="A174" t="str">
        <x:v>CA-2014-139892</x:v>
      </x:c>
      <x:c r="B174" s="18" t="n">
        <x:v>41890</x:v>
      </x:c>
      <x:c r="C174" t="str">
        <x:v>BM-11140</x:v>
      </x:c>
      <x:c r="D174" t="str">
        <x:v>Becky Martin</x:v>
      </x:c>
      <x:c r="E174" t="str">
        <x:v>Consumer</x:v>
      </x:c>
      <x:c r="F174" t="str">
        <x:v>Central</x:v>
      </x:c>
      <x:c r="G174" t="str">
        <x:v>Office Supplies</x:v>
      </x:c>
      <x:c r="H174" t="str">
        <x:v>Art</x:v>
      </x:c>
      <x:c r="I174" s="22" t="n">
        <x:v>32.064</x:v>
      </x:c>
      <x:c r="J174" s="24" t="n">
        <x:v>6</x:v>
      </x:c>
      <x:c r="K174" s="26" t="n">
        <x:v>0.2</x:v>
      </x:c>
      <x:c r="L174" s="22" t="n">
        <x:v>6.813599999999997</x:v>
      </x:c>
      <x:c r="M174" t="n">
        <x:v>2014</x:v>
      </x:c>
      <x:c r="N174" s="20" t="n">
        <x:v>41883</x:v>
      </x:c>
    </x:row>
    <x:row r="175" ht="18" customHeight="1">
      <x:c r="A175" t="str">
        <x:v>CA-2014-139892</x:v>
      </x:c>
      <x:c r="B175" s="18" t="n">
        <x:v>41890</x:v>
      </x:c>
      <x:c r="C175" t="str">
        <x:v>BM-11140</x:v>
      </x:c>
      <x:c r="D175" t="str">
        <x:v>Becky Martin</x:v>
      </x:c>
      <x:c r="E175" t="str">
        <x:v>Consumer</x:v>
      </x:c>
      <x:c r="F175" t="str">
        <x:v>Central</x:v>
      </x:c>
      <x:c r="G175" t="str">
        <x:v>Office Supplies</x:v>
      </x:c>
      <x:c r="H175" t="str">
        <x:v>Appliances</x:v>
      </x:c>
      <x:c r="I175" s="22" t="n">
        <x:v>177.97999999999996</x:v>
      </x:c>
      <x:c r="J175" s="24" t="n">
        <x:v>5</x:v>
      </x:c>
      <x:c r="K175" s="26" t="n">
        <x:v>0.8</x:v>
      </x:c>
      <x:c r="L175" s="22" t="n">
        <x:v>-453.84900000000005</x:v>
      </x:c>
      <x:c r="M175" t="n">
        <x:v>2014</x:v>
      </x:c>
      <x:c r="N175" s="20" t="n">
        <x:v>41883</x:v>
      </x:c>
    </x:row>
    <x:row r="176" ht="18" customHeight="1">
      <x:c r="A176" t="str">
        <x:v>CA-2014-139892</x:v>
      </x:c>
      <x:c r="B176" s="18" t="n">
        <x:v>41890</x:v>
      </x:c>
      <x:c r="C176" t="str">
        <x:v>BM-11140</x:v>
      </x:c>
      <x:c r="D176" t="str">
        <x:v>Becky Martin</x:v>
      </x:c>
      <x:c r="E176" t="str">
        <x:v>Consumer</x:v>
      </x:c>
      <x:c r="F176" t="str">
        <x:v>Central</x:v>
      </x:c>
      <x:c r="G176" t="str">
        <x:v>Technology</x:v>
      </x:c>
      <x:c r="H176" t="str">
        <x:v>Phones</x:v>
      </x:c>
      <x:c r="I176" s="22" t="n">
        <x:v>143.976</x:v>
      </x:c>
      <x:c r="J176" s="24" t="n">
        <x:v>3</x:v>
      </x:c>
      <x:c r="K176" s="26" t="n">
        <x:v>0.2</x:v>
      </x:c>
      <x:c r="L176" s="22" t="n">
        <x:v>8.998500000000007</x:v>
      </x:c>
      <x:c r="M176" t="n">
        <x:v>2014</x:v>
      </x:c>
      <x:c r="N176" s="20" t="n">
        <x:v>41883</x:v>
      </x:c>
    </x:row>
    <x:row r="177" ht="18" customHeight="1">
      <x:c r="A177" t="str">
        <x:v>CA-2014-118962</x:v>
      </x:c>
      <x:c r="B177" s="18" t="n">
        <x:v>41856</x:v>
      </x:c>
      <x:c r="C177" t="str">
        <x:v>CS-12130</x:v>
      </x:c>
      <x:c r="D177" t="str">
        <x:v>Chad Sievert</x:v>
      </x:c>
      <x:c r="E177" t="str">
        <x:v>Consumer</x:v>
      </x:c>
      <x:c r="F177" t="str">
        <x:v>West</x:v>
      </x:c>
      <x:c r="G177" t="str">
        <x:v>Office Supplies</x:v>
      </x:c>
      <x:c r="H177" t="str">
        <x:v>Paper</x:v>
      </x:c>
      <x:c r="I177" s="22" t="n">
        <x:v>20.94</x:v>
      </x:c>
      <x:c r="J177" s="24" t="n">
        <x:v>3</x:v>
      </x:c>
      <x:c r="K177" s="26" t="n">
        <x:v>0</x:v>
      </x:c>
      <x:c r="L177" s="22" t="n">
        <x:v>9.841800000000001</x:v>
      </x:c>
      <x:c r="M177" t="n">
        <x:v>2014</x:v>
      </x:c>
      <x:c r="N177" s="20" t="n">
        <x:v>41852</x:v>
      </x:c>
    </x:row>
    <x:row r="178" ht="18" customHeight="1">
      <x:c r="A178" t="str">
        <x:v>CA-2014-118962</x:v>
      </x:c>
      <x:c r="B178" s="18" t="n">
        <x:v>41856</x:v>
      </x:c>
      <x:c r="C178" t="str">
        <x:v>CS-12130</x:v>
      </x:c>
      <x:c r="D178" t="str">
        <x:v>Chad Sievert</x:v>
      </x:c>
      <x:c r="E178" t="str">
        <x:v>Consumer</x:v>
      </x:c>
      <x:c r="F178" t="str">
        <x:v>West</x:v>
      </x:c>
      <x:c r="G178" t="str">
        <x:v>Office Supplies</x:v>
      </x:c>
      <x:c r="H178" t="str">
        <x:v>Paper</x:v>
      </x:c>
      <x:c r="I178" s="22" t="n">
        <x:v>110.96</x:v>
      </x:c>
      <x:c r="J178" s="24" t="n">
        <x:v>2</x:v>
      </x:c>
      <x:c r="K178" s="26" t="n">
        <x:v>0</x:v>
      </x:c>
      <x:c r="L178" s="22" t="n">
        <x:v>53.260799999999996</x:v>
      </x:c>
      <x:c r="M178" t="n">
        <x:v>2014</x:v>
      </x:c>
      <x:c r="N178" s="20" t="n">
        <x:v>41852</x:v>
      </x:c>
    </x:row>
    <x:row r="179" ht="18" customHeight="1">
      <x:c r="A179" t="str">
        <x:v>CA-2014-118962</x:v>
      </x:c>
      <x:c r="B179" s="18" t="n">
        <x:v>41856</x:v>
      </x:c>
      <x:c r="C179" t="str">
        <x:v>CS-12130</x:v>
      </x:c>
      <x:c r="D179" t="str">
        <x:v>Chad Sievert</x:v>
      </x:c>
      <x:c r="E179" t="str">
        <x:v>Consumer</x:v>
      </x:c>
      <x:c r="F179" t="str">
        <x:v>West</x:v>
      </x:c>
      <x:c r="G179" t="str">
        <x:v>Furniture</x:v>
      </x:c>
      <x:c r="H179" t="str">
        <x:v>Chairs</x:v>
      </x:c>
      <x:c r="I179" s="22" t="n">
        <x:v>340.14400000000006</x:v>
      </x:c>
      <x:c r="J179" s="24" t="n">
        <x:v>7</x:v>
      </x:c>
      <x:c r="K179" s="26" t="n">
        <x:v>0.2</x:v>
      </x:c>
      <x:c r="L179" s="22" t="n">
        <x:v>21.259</x:v>
      </x:c>
      <x:c r="M179" t="n">
        <x:v>2014</x:v>
      </x:c>
      <x:c r="N179" s="20" t="n">
        <x:v>41852</x:v>
      </x:c>
    </x:row>
    <x:row r="180" ht="18" customHeight="1">
      <x:c r="A180" t="str">
        <x:v>US-2014-100853</x:v>
      </x:c>
      <x:c r="B180" s="18" t="n">
        <x:v>41896</x:v>
      </x:c>
      <x:c r="C180" t="str">
        <x:v>JB-15400</x:v>
      </x:c>
      <x:c r="D180" t="str">
        <x:v>Jennifer Braxton</x:v>
      </x:c>
      <x:c r="E180" t="str">
        <x:v>Corporate</x:v>
      </x:c>
      <x:c r="F180" t="str">
        <x:v>Central</x:v>
      </x:c>
      <x:c r="G180" t="str">
        <x:v>Office Supplies</x:v>
      </x:c>
      <x:c r="H180" t="str">
        <x:v>Appliances</x:v>
      </x:c>
      <x:c r="I180" s="22" t="n">
        <x:v>52.44799999999999</x:v>
      </x:c>
      <x:c r="J180" s="24" t="n">
        <x:v>2</x:v>
      </x:c>
      <x:c r="K180" s="26" t="n">
        <x:v>0.8</x:v>
      </x:c>
      <x:c r="L180" s="22" t="n">
        <x:v>-131.12000000000003</x:v>
      </x:c>
      <x:c r="M180" t="n">
        <x:v>2014</x:v>
      </x:c>
      <x:c r="N180" s="20" t="n">
        <x:v>41883</x:v>
      </x:c>
    </x:row>
    <x:row r="181" ht="18" customHeight="1">
      <x:c r="A181" t="str">
        <x:v>US-2014-100853</x:v>
      </x:c>
      <x:c r="B181" s="18" t="n">
        <x:v>41896</x:v>
      </x:c>
      <x:c r="C181" t="str">
        <x:v>JB-15400</x:v>
      </x:c>
      <x:c r="D181" t="str">
        <x:v>Jennifer Braxton</x:v>
      </x:c>
      <x:c r="E181" t="str">
        <x:v>Corporate</x:v>
      </x:c>
      <x:c r="F181" t="str">
        <x:v>Central</x:v>
      </x:c>
      <x:c r="G181" t="str">
        <x:v>Office Supplies</x:v>
      </x:c>
      <x:c r="H181" t="str">
        <x:v>Labels</x:v>
      </x:c>
      <x:c r="I181" s="22" t="n">
        <x:v>20.16</x:v>
      </x:c>
      <x:c r="J181" s="24" t="n">
        <x:v>4</x:v>
      </x:c>
      <x:c r="K181" s="26" t="n">
        <x:v>0.2</x:v>
      </x:c>
      <x:c r="L181" s="22" t="n">
        <x:v>6.551999999999999</x:v>
      </x:c>
      <x:c r="M181" t="n">
        <x:v>2014</x:v>
      </x:c>
      <x:c r="N181" s="20" t="n">
        <x:v>41883</x:v>
      </x:c>
    </x:row>
    <x:row r="182" ht="18" customHeight="1">
      <x:c r="A182" t="str">
        <x:v>US-2017-152366</x:v>
      </x:c>
      <x:c r="B182" s="18" t="n">
        <x:v>42846</x:v>
      </x:c>
      <x:c r="C182" t="str">
        <x:v>SJ-20500</x:v>
      </x:c>
      <x:c r="D182" t="str">
        <x:v>Shirley Jackson</x:v>
      </x:c>
      <x:c r="E182" t="str">
        <x:v>Consumer</x:v>
      </x:c>
      <x:c r="F182" t="str">
        <x:v>Central</x:v>
      </x:c>
      <x:c r="G182" t="str">
        <x:v>Office Supplies</x:v>
      </x:c>
      <x:c r="H182" t="str">
        <x:v>Appliances</x:v>
      </x:c>
      <x:c r="I182" s="22" t="n">
        <x:v>97.26399999999998</x:v>
      </x:c>
      <x:c r="J182" s="24" t="n">
        <x:v>4</x:v>
      </x:c>
      <x:c r="K182" s="26" t="n">
        <x:v>0.8</x:v>
      </x:c>
      <x:c r="L182" s="22" t="n">
        <x:v>-243.16000000000008</x:v>
      </x:c>
      <x:c r="M182" t="n">
        <x:v>2017</x:v>
      </x:c>
      <x:c r="N182" s="20" t="n">
        <x:v>42826</x:v>
      </x:c>
    </x:row>
    <x:row r="183" ht="18" customHeight="1">
      <x:c r="A183" t="str">
        <x:v>US-2015-101511</x:v>
      </x:c>
      <x:c r="B183" s="18" t="n">
        <x:v>42329</x:v>
      </x:c>
      <x:c r="C183" t="str">
        <x:v>JE-15745</x:v>
      </x:c>
      <x:c r="D183" t="str">
        <x:v>Joel Eaton</x:v>
      </x:c>
      <x:c r="E183" t="str">
        <x:v>Consumer</x:v>
      </x:c>
      <x:c r="F183" t="str">
        <x:v>East</x:v>
      </x:c>
      <x:c r="G183" t="str">
        <x:v>Furniture</x:v>
      </x:c>
      <x:c r="H183" t="str">
        <x:v>Chairs</x:v>
      </x:c>
      <x:c r="I183" s="22" t="n">
        <x:v>396.802</x:v>
      </x:c>
      <x:c r="J183" s="24" t="n">
        <x:v>7</x:v>
      </x:c>
      <x:c r="K183" s="26" t="n">
        <x:v>0.3</x:v>
      </x:c>
      <x:c r="L183" s="22" t="n">
        <x:v>-11.337199999999939</x:v>
      </x:c>
      <x:c r="M183" t="n">
        <x:v>2015</x:v>
      </x:c>
      <x:c r="N183" s="20" t="n">
        <x:v>42309</x:v>
      </x:c>
    </x:row>
    <x:row r="184" ht="18" customHeight="1">
      <x:c r="A184" t="str">
        <x:v>US-2015-101511</x:v>
      </x:c>
      <x:c r="B184" s="18" t="n">
        <x:v>42329</x:v>
      </x:c>
      <x:c r="C184" t="str">
        <x:v>JE-15745</x:v>
      </x:c>
      <x:c r="D184" t="str">
        <x:v>Joel Eaton</x:v>
      </x:c>
      <x:c r="E184" t="str">
        <x:v>Consumer</x:v>
      </x:c>
      <x:c r="F184" t="str">
        <x:v>East</x:v>
      </x:c>
      <x:c r="G184" t="str">
        <x:v>Office Supplies</x:v>
      </x:c>
      <x:c r="H184" t="str">
        <x:v>Supplies</x:v>
      </x:c>
      <x:c r="I184" s="22" t="n">
        <x:v>15.88</x:v>
      </x:c>
      <x:c r="J184" s="24" t="n">
        <x:v>5</x:v>
      </x:c>
      <x:c r="K184" s="26" t="n">
        <x:v>0.2</x:v>
      </x:c>
      <x:c r="L184" s="22" t="n">
        <x:v>-3.771500000000001</x:v>
      </x:c>
      <x:c r="M184" t="n">
        <x:v>2015</x:v>
      </x:c>
      <x:c r="N184" s="20" t="n">
        <x:v>42309</x:v>
      </x:c>
    </x:row>
    <x:row r="185" ht="18" customHeight="1">
      <x:c r="A185" t="str">
        <x:v>CA-2015-137225</x:v>
      </x:c>
      <x:c r="B185" s="18" t="n">
        <x:v>42353</x:v>
      </x:c>
      <x:c r="C185" t="str">
        <x:v>JK-15640</x:v>
      </x:c>
      <x:c r="D185" t="str">
        <x:v>Jim Kriz</x:v>
      </x:c>
      <x:c r="E185" t="str">
        <x:v>Home Office</x:v>
      </x:c>
      <x:c r="F185" t="str">
        <x:v>East</x:v>
      </x:c>
      <x:c r="G185" t="str">
        <x:v>Office Supplies</x:v>
      </x:c>
      <x:c r="H185" t="str">
        <x:v>Art</x:v>
      </x:c>
      <x:c r="I185" s="22" t="n">
        <x:v>3.28</x:v>
      </x:c>
      <x:c r="J185" s="24" t="n">
        <x:v>1</x:v>
      </x:c>
      <x:c r="K185" s="26" t="n">
        <x:v>0</x:v>
      </x:c>
      <x:c r="L185" s="22" t="n">
        <x:v>1.4104</x:v>
      </x:c>
      <x:c r="M185" t="n">
        <x:v>2015</x:v>
      </x:c>
      <x:c r="N185" s="20" t="n">
        <x:v>42339</x:v>
      </x:c>
    </x:row>
    <x:row r="186" ht="18" customHeight="1">
      <x:c r="A186" t="str">
        <x:v>CA-2014-166191</x:v>
      </x:c>
      <x:c r="B186" s="18" t="n">
        <x:v>41978</x:v>
      </x:c>
      <x:c r="C186" t="str">
        <x:v>DK-13150</x:v>
      </x:c>
      <x:c r="D186" t="str">
        <x:v>David Kendrick</x:v>
      </x:c>
      <x:c r="E186" t="str">
        <x:v>Corporate</x:v>
      </x:c>
      <x:c r="F186" t="str">
        <x:v>Central</x:v>
      </x:c>
      <x:c r="G186" t="str">
        <x:v>Office Supplies</x:v>
      </x:c>
      <x:c r="H186" t="str">
        <x:v>Storage</x:v>
      </x:c>
      <x:c r="I186" s="22" t="n">
        <x:v>24.816000000000003</x:v>
      </x:c>
      <x:c r="J186" s="24" t="n">
        <x:v>2</x:v>
      </x:c>
      <x:c r="K186" s="26" t="n">
        <x:v>0.2</x:v>
      </x:c>
      <x:c r="L186" s="22" t="n">
        <x:v>1.8612000000000002</x:v>
      </x:c>
      <x:c r="M186" t="n">
        <x:v>2014</x:v>
      </x:c>
      <x:c r="N186" s="20" t="n">
        <x:v>41974</x:v>
      </x:c>
    </x:row>
    <x:row r="187" ht="18" customHeight="1">
      <x:c r="A187" t="str">
        <x:v>CA-2014-166191</x:v>
      </x:c>
      <x:c r="B187" s="18" t="n">
        <x:v>41978</x:v>
      </x:c>
      <x:c r="C187" t="str">
        <x:v>DK-13150</x:v>
      </x:c>
      <x:c r="D187" t="str">
        <x:v>David Kendrick</x:v>
      </x:c>
      <x:c r="E187" t="str">
        <x:v>Corporate</x:v>
      </x:c>
      <x:c r="F187" t="str">
        <x:v>Central</x:v>
      </x:c>
      <x:c r="G187" t="str">
        <x:v>Technology</x:v>
      </x:c>
      <x:c r="H187" t="str">
        <x:v>Accessories</x:v>
      </x:c>
      <x:c r="I187" s="22" t="n">
        <x:v>408.74399999999997</x:v>
      </x:c>
      <x:c r="J187" s="24" t="n">
        <x:v>7</x:v>
      </x:c>
      <x:c r="K187" s="26" t="n">
        <x:v>0.2</x:v>
      </x:c>
      <x:c r="L187" s="22" t="n">
        <x:v>76.63949999999998</x:v>
      </x:c>
      <x:c r="M187" t="n">
        <x:v>2014</x:v>
      </x:c>
      <x:c r="N187" s="20" t="n">
        <x:v>41974</x:v>
      </x:c>
    </x:row>
    <x:row r="188" ht="18" customHeight="1">
      <x:c r="A188" t="str">
        <x:v>CA-2014-158274</x:v>
      </x:c>
      <x:c r="B188" s="18" t="n">
        <x:v>41962</x:v>
      </x:c>
      <x:c r="C188" t="str">
        <x:v>RM-19675</x:v>
      </x:c>
      <x:c r="D188" t="str">
        <x:v>Robert Marley</x:v>
      </x:c>
      <x:c r="E188" t="str">
        <x:v>Home Office</x:v>
      </x:c>
      <x:c r="F188" t="str">
        <x:v>South</x:v>
      </x:c>
      <x:c r="G188" t="str">
        <x:v>Technology</x:v>
      </x:c>
      <x:c r="H188" t="str">
        <x:v>Phones</x:v>
      </x:c>
      <x:c r="I188" s="22" t="n">
        <x:v>503.96</x:v>
      </x:c>
      <x:c r="J188" s="24" t="n">
        <x:v>4</x:v>
      </x:c>
      <x:c r="K188" s="26" t="n">
        <x:v>0</x:v>
      </x:c>
      <x:c r="L188" s="22" t="n">
        <x:v>131.02960000000002</x:v>
      </x:c>
      <x:c r="M188" t="n">
        <x:v>2014</x:v>
      </x:c>
      <x:c r="N188" s="20" t="n">
        <x:v>41944</x:v>
      </x:c>
    </x:row>
    <x:row r="189" ht="18" customHeight="1">
      <x:c r="A189" t="str">
        <x:v>CA-2014-158274</x:v>
      </x:c>
      <x:c r="B189" s="18" t="n">
        <x:v>41962</x:v>
      </x:c>
      <x:c r="C189" t="str">
        <x:v>RM-19675</x:v>
      </x:c>
      <x:c r="D189" t="str">
        <x:v>Robert Marley</x:v>
      </x:c>
      <x:c r="E189" t="str">
        <x:v>Home Office</x:v>
      </x:c>
      <x:c r="F189" t="str">
        <x:v>South</x:v>
      </x:c>
      <x:c r="G189" t="str">
        <x:v>Technology</x:v>
      </x:c>
      <x:c r="H189" t="str">
        <x:v>Phones</x:v>
      </x:c>
      <x:c r="I189" s="22" t="n">
        <x:v>149.95</x:v>
      </x:c>
      <x:c r="J189" s="24" t="n">
        <x:v>5</x:v>
      </x:c>
      <x:c r="K189" s="26" t="n">
        <x:v>0</x:v>
      </x:c>
      <x:c r="L189" s="22" t="n">
        <x:v>41.986000000000004</x:v>
      </x:c>
      <x:c r="M189" t="n">
        <x:v>2014</x:v>
      </x:c>
      <x:c r="N189" s="20" t="n">
        <x:v>41944</x:v>
      </x:c>
    </x:row>
    <x:row r="190" ht="18" customHeight="1">
      <x:c r="A190" t="str">
        <x:v>CA-2014-158274</x:v>
      </x:c>
      <x:c r="B190" s="18" t="n">
        <x:v>41962</x:v>
      </x:c>
      <x:c r="C190" t="str">
        <x:v>RM-19675</x:v>
      </x:c>
      <x:c r="D190" t="str">
        <x:v>Robert Marley</x:v>
      </x:c>
      <x:c r="E190" t="str">
        <x:v>Home Office</x:v>
      </x:c>
      <x:c r="F190" t="str">
        <x:v>South</x:v>
      </x:c>
      <x:c r="G190" t="str">
        <x:v>Technology</x:v>
      </x:c>
      <x:c r="H190" t="str">
        <x:v>Accessories</x:v>
      </x:c>
      <x:c r="I190" s="22" t="n">
        <x:v>29</x:v>
      </x:c>
      <x:c r="J190" s="24" t="n">
        <x:v>2</x:v>
      </x:c>
      <x:c r="K190" s="26" t="n">
        <x:v>0</x:v>
      </x:c>
      <x:c r="L190" s="22" t="n">
        <x:v>7.25</x:v>
      </x:c>
      <x:c r="M190" t="n">
        <x:v>2014</x:v>
      </x:c>
      <x:c r="N190" s="20" t="n">
        <x:v>41944</x:v>
      </x:c>
    </x:row>
    <x:row r="191" ht="18" customHeight="1">
      <x:c r="A191" t="str">
        <x:v>CA-2016-105018</x:v>
      </x:c>
      <x:c r="B191" s="18" t="n">
        <x:v>42702</x:v>
      </x:c>
      <x:c r="C191" t="str">
        <x:v>SK-19990</x:v>
      </x:c>
      <x:c r="D191" t="str">
        <x:v>Sally Knutson</x:v>
      </x:c>
      <x:c r="E191" t="str">
        <x:v>Consumer</x:v>
      </x:c>
      <x:c r="F191" t="str">
        <x:v>East</x:v>
      </x:c>
      <x:c r="G191" t="str">
        <x:v>Office Supplies</x:v>
      </x:c>
      <x:c r="H191" t="str">
        <x:v>Binders</x:v>
      </x:c>
      <x:c r="I191" s="22" t="n">
        <x:v>7.16</x:v>
      </x:c>
      <x:c r="J191" s="24" t="n">
        <x:v>2</x:v>
      </x:c>
      <x:c r="K191" s="26" t="n">
        <x:v>0</x:v>
      </x:c>
      <x:c r="L191" s="22" t="n">
        <x:v>3.4368</x:v>
      </x:c>
      <x:c r="M191" t="n">
        <x:v>2016</x:v>
      </x:c>
      <x:c r="N191" s="20" t="n">
        <x:v>42675</x:v>
      </x:c>
    </x:row>
    <x:row r="192" ht="18" customHeight="1">
      <x:c r="A192" t="str">
        <x:v>CA-2014-123260</x:v>
      </x:c>
      <x:c r="B192" s="18" t="n">
        <x:v>41877</x:v>
      </x:c>
      <x:c r="C192" t="str">
        <x:v>FM-14290</x:v>
      </x:c>
      <x:c r="D192" t="str">
        <x:v>Frank Merwin</x:v>
      </x:c>
      <x:c r="E192" t="str">
        <x:v>Home Office</x:v>
      </x:c>
      <x:c r="F192" t="str">
        <x:v>West</x:v>
      </x:c>
      <x:c r="G192" t="str">
        <x:v>Technology</x:v>
      </x:c>
      <x:c r="H192" t="str">
        <x:v>Accessories</x:v>
      </x:c>
      <x:c r="I192" s="22" t="n">
        <x:v>176.8</x:v>
      </x:c>
      <x:c r="J192" s="24" t="n">
        <x:v>8</x:v>
      </x:c>
      <x:c r="K192" s="26" t="n">
        <x:v>0</x:v>
      </x:c>
      <x:c r="L192" s="22" t="n">
        <x:v>22.98400000000001</x:v>
      </x:c>
      <x:c r="M192" t="n">
        <x:v>2014</x:v>
      </x:c>
      <x:c r="N192" s="20" t="n">
        <x:v>41852</x:v>
      </x:c>
    </x:row>
    <x:row r="193" ht="18" customHeight="1">
      <x:c r="A193" t="str">
        <x:v>CA-2016-157000</x:v>
      </x:c>
      <x:c r="B193" s="18" t="n">
        <x:v>42567</x:v>
      </x:c>
      <x:c r="C193" t="str">
        <x:v>AM-10360</x:v>
      </x:c>
      <x:c r="D193" t="str">
        <x:v>Alice McCarthy</x:v>
      </x:c>
      <x:c r="E193" t="str">
        <x:v>Corporate</x:v>
      </x:c>
      <x:c r="F193" t="str">
        <x:v>Central</x:v>
      </x:c>
      <x:c r="G193" t="str">
        <x:v>Office Supplies</x:v>
      </x:c>
      <x:c r="H193" t="str">
        <x:v>Storage</x:v>
      </x:c>
      <x:c r="I193" s="22" t="n">
        <x:v>37.224000000000004</x:v>
      </x:c>
      <x:c r="J193" s="24" t="n">
        <x:v>3</x:v>
      </x:c>
      <x:c r="K193" s="26" t="n">
        <x:v>0.2</x:v>
      </x:c>
      <x:c r="L193" s="22" t="n">
        <x:v>3.7224000000000004</x:v>
      </x:c>
      <x:c r="M193" t="n">
        <x:v>2016</x:v>
      </x:c>
      <x:c r="N193" s="20" t="n">
        <x:v>42552</x:v>
      </x:c>
    </x:row>
    <x:row r="194" ht="18" customHeight="1">
      <x:c r="A194" t="str">
        <x:v>CA-2016-157000</x:v>
      </x:c>
      <x:c r="B194" s="18" t="n">
        <x:v>42567</x:v>
      </x:c>
      <x:c r="C194" t="str">
        <x:v>AM-10360</x:v>
      </x:c>
      <x:c r="D194" t="str">
        <x:v>Alice McCarthy</x:v>
      </x:c>
      <x:c r="E194" t="str">
        <x:v>Corporate</x:v>
      </x:c>
      <x:c r="F194" t="str">
        <x:v>Central</x:v>
      </x:c>
      <x:c r="G194" t="str">
        <x:v>Office Supplies</x:v>
      </x:c>
      <x:c r="H194" t="str">
        <x:v>Paper</x:v>
      </x:c>
      <x:c r="I194" s="22" t="n">
        <x:v>20.016000000000002</x:v>
      </x:c>
      <x:c r="J194" s="24" t="n">
        <x:v>3</x:v>
      </x:c>
      <x:c r="K194" s="26" t="n">
        <x:v>0.2</x:v>
      </x:c>
      <x:c r="L194" s="22" t="n">
        <x:v>6.254999999999996</x:v>
      </x:c>
      <x:c r="M194" t="n">
        <x:v>2016</x:v>
      </x:c>
      <x:c r="N194" s="20" t="n">
        <x:v>42552</x:v>
      </x:c>
    </x:row>
    <x:row r="195" ht="18" customHeight="1">
      <x:c r="A195" t="str">
        <x:v>CA-2015-102281</x:v>
      </x:c>
      <x:c r="B195" s="18" t="n">
        <x:v>42289</x:v>
      </x:c>
      <x:c r="C195" t="str">
        <x:v>MP-17470</x:v>
      </x:c>
      <x:c r="D195" t="str">
        <x:v>Mark Packer</x:v>
      </x:c>
      <x:c r="E195" t="str">
        <x:v>Home Office</x:v>
      </x:c>
      <x:c r="F195" t="str">
        <x:v>East</x:v>
      </x:c>
      <x:c r="G195" t="str">
        <x:v>Furniture</x:v>
      </x:c>
      <x:c r="H195" t="str">
        <x:v>Bookcases</x:v>
      </x:c>
      <x:c r="I195" s="22" t="n">
        <x:v>899.1360000000001</x:v>
      </x:c>
      <x:c r="J195" s="24" t="n">
        <x:v>4</x:v>
      </x:c>
      <x:c r="K195" s="26" t="n">
        <x:v>0.2</x:v>
      </x:c>
      <x:c r="L195" s="22" t="n">
        <x:v>112.39199999999991</x:v>
      </x:c>
      <x:c r="M195" t="n">
        <x:v>2015</x:v>
      </x:c>
      <x:c r="N195" s="20" t="n">
        <x:v>42278</x:v>
      </x:c>
    </x:row>
    <x:row r="196" ht="18" customHeight="1">
      <x:c r="A196" t="str">
        <x:v>CA-2015-102281</x:v>
      </x:c>
      <x:c r="B196" s="18" t="n">
        <x:v>42289</x:v>
      </x:c>
      <x:c r="C196" t="str">
        <x:v>MP-17470</x:v>
      </x:c>
      <x:c r="D196" t="str">
        <x:v>Mark Packer</x:v>
      </x:c>
      <x:c r="E196" t="str">
        <x:v>Home Office</x:v>
      </x:c>
      <x:c r="F196" t="str">
        <x:v>East</x:v>
      </x:c>
      <x:c r="G196" t="str">
        <x:v>Technology</x:v>
      </x:c>
      <x:c r="H196" t="str">
        <x:v>Phones</x:v>
      </x:c>
      <x:c r="I196" s="22" t="n">
        <x:v>71.76</x:v>
      </x:c>
      <x:c r="J196" s="24" t="n">
        <x:v>6</x:v>
      </x:c>
      <x:c r="K196" s="26" t="n">
        <x:v>0</x:v>
      </x:c>
      <x:c r="L196" s="22" t="n">
        <x:v>20.092800000000004</x:v>
      </x:c>
      <x:c r="M196" t="n">
        <x:v>2015</x:v>
      </x:c>
      <x:c r="N196" s="20" t="n">
        <x:v>42278</x:v>
      </x:c>
    </x:row>
    <x:row r="197" ht="18" customHeight="1">
      <x:c r="A197" t="str">
        <x:v>CA-2015-102281</x:v>
      </x:c>
      <x:c r="B197" s="18" t="n">
        <x:v>42289</x:v>
      </x:c>
      <x:c r="C197" t="str">
        <x:v>MP-17470</x:v>
      </x:c>
      <x:c r="D197" t="str">
        <x:v>Mark Packer</x:v>
      </x:c>
      <x:c r="E197" t="str">
        <x:v>Home Office</x:v>
      </x:c>
      <x:c r="F197" t="str">
        <x:v>East</x:v>
      </x:c>
      <x:c r="G197" t="str">
        <x:v>Office Supplies</x:v>
      </x:c>
      <x:c r="H197" t="str">
        <x:v>Paper</x:v>
      </x:c>
      <x:c r="I197" s="22" t="n">
        <x:v>51.84</x:v>
      </x:c>
      <x:c r="J197" s="24" t="n">
        <x:v>8</x:v>
      </x:c>
      <x:c r="K197" s="26" t="n">
        <x:v>0</x:v>
      </x:c>
      <x:c r="L197" s="22" t="n">
        <x:v>24.883200000000002</x:v>
      </x:c>
      <x:c r="M197" t="n">
        <x:v>2015</x:v>
      </x:c>
      <x:c r="N197" s="20" t="n">
        <x:v>42278</x:v>
      </x:c>
    </x:row>
    <x:row r="198" ht="18" customHeight="1">
      <x:c r="A198" t="str">
        <x:v>CA-2015-102281</x:v>
      </x:c>
      <x:c r="B198" s="18" t="n">
        <x:v>42289</x:v>
      </x:c>
      <x:c r="C198" t="str">
        <x:v>MP-17470</x:v>
      </x:c>
      <x:c r="D198" t="str">
        <x:v>Mark Packer</x:v>
      </x:c>
      <x:c r="E198" t="str">
        <x:v>Home Office</x:v>
      </x:c>
      <x:c r="F198" t="str">
        <x:v>East</x:v>
      </x:c>
      <x:c r="G198" t="str">
        <x:v>Furniture</x:v>
      </x:c>
      <x:c r="H198" t="str">
        <x:v>Bookcases</x:v>
      </x:c>
      <x:c r="I198" s="22" t="n">
        <x:v>626.3520000000001</x:v>
      </x:c>
      <x:c r="J198" s="24" t="n">
        <x:v>3</x:v>
      </x:c>
      <x:c r="K198" s="26" t="n">
        <x:v>0.2</x:v>
      </x:c>
      <x:c r="L198" s="22" t="n">
        <x:v>46.97640000000001</x:v>
      </x:c>
      <x:c r="M198" t="n">
        <x:v>2015</x:v>
      </x:c>
      <x:c r="N198" s="20" t="n">
        <x:v>42278</x:v>
      </x:c>
    </x:row>
    <x:row r="199" ht="18" customHeight="1">
      <x:c r="A199" t="str">
        <x:v>CA-2015-102281</x:v>
      </x:c>
      <x:c r="B199" s="18" t="n">
        <x:v>42289</x:v>
      </x:c>
      <x:c r="C199" t="str">
        <x:v>MP-17470</x:v>
      </x:c>
      <x:c r="D199" t="str">
        <x:v>Mark Packer</x:v>
      </x:c>
      <x:c r="E199" t="str">
        <x:v>Home Office</x:v>
      </x:c>
      <x:c r="F199" t="str">
        <x:v>East</x:v>
      </x:c>
      <x:c r="G199" t="str">
        <x:v>Office Supplies</x:v>
      </x:c>
      <x:c r="H199" t="str">
        <x:v>Art</x:v>
      </x:c>
      <x:c r="I199" s="22" t="n">
        <x:v>19.9</x:v>
      </x:c>
      <x:c r="J199" s="24" t="n">
        <x:v>5</x:v>
      </x:c>
      <x:c r="K199" s="26" t="n">
        <x:v>0</x:v>
      </x:c>
      <x:c r="L199" s="22" t="n">
        <x:v>6.566999999999998</x:v>
      </x:c>
      <x:c r="M199" t="n">
        <x:v>2015</x:v>
      </x:c>
      <x:c r="N199" s="20" t="n">
        <x:v>42278</x:v>
      </x:c>
    </x:row>
    <x:row r="200" ht="18" customHeight="1">
      <x:c r="A200" t="str">
        <x:v>CA-2015-131457</x:v>
      </x:c>
      <x:c r="B200" s="18" t="n">
        <x:v>42308</x:v>
      </x:c>
      <x:c r="C200" t="str">
        <x:v>MZ-17515</x:v>
      </x:c>
      <x:c r="D200" t="str">
        <x:v>Mary Zewe</x:v>
      </x:c>
      <x:c r="E200" t="str">
        <x:v>Corporate</x:v>
      </x:c>
      <x:c r="F200" t="str">
        <x:v>West</x:v>
      </x:c>
      <x:c r="G200" t="str">
        <x:v>Office Supplies</x:v>
      </x:c>
      <x:c r="H200" t="str">
        <x:v>Envelopes</x:v>
      </x:c>
      <x:c r="I200" s="22" t="n">
        <x:v>14.280000000000001</x:v>
      </x:c>
      <x:c r="J200" s="24" t="n">
        <x:v>7</x:v>
      </x:c>
      <x:c r="K200" s="26" t="n">
        <x:v>0</x:v>
      </x:c>
      <x:c r="L200" s="22" t="n">
        <x:v>6.711599999999999</x:v>
      </x:c>
      <x:c r="M200" t="n">
        <x:v>2015</x:v>
      </x:c>
      <x:c r="N200" s="20" t="n">
        <x:v>42278</x:v>
      </x:c>
    </x:row>
    <x:row r="201" ht="18" customHeight="1">
      <x:c r="A201" t="str">
        <x:v>CA-2014-140004</x:v>
      </x:c>
      <x:c r="B201" s="18" t="n">
        <x:v>41719</x:v>
      </x:c>
      <x:c r="C201" t="str">
        <x:v>CB-12025</x:v>
      </x:c>
      <x:c r="D201" t="str">
        <x:v>Cassandra Brandow</x:v>
      </x:c>
      <x:c r="E201" t="str">
        <x:v>Consumer</x:v>
      </x:c>
      <x:c r="F201" t="str">
        <x:v>East</x:v>
      </x:c>
      <x:c r="G201" t="str">
        <x:v>Office Supplies</x:v>
      </x:c>
      <x:c r="H201" t="str">
        <x:v>Art</x:v>
      </x:c>
      <x:c r="I201" s="22" t="n">
        <x:v>7.408</x:v>
      </x:c>
      <x:c r="J201" s="24" t="n">
        <x:v>2</x:v>
      </x:c>
      <x:c r="K201" s="26" t="n">
        <x:v>0.2</x:v>
      </x:c>
      <x:c r="L201" s="22" t="n">
        <x:v>1.2037999999999995</x:v>
      </x:c>
      <x:c r="M201" t="n">
        <x:v>2014</x:v>
      </x:c>
      <x:c r="N201" s="20" t="n">
        <x:v>41699</x:v>
      </x:c>
    </x:row>
    <x:row r="202" ht="18" customHeight="1">
      <x:c r="A202" t="str">
        <x:v>CA-2014-140004</x:v>
      </x:c>
      <x:c r="B202" s="18" t="n">
        <x:v>41719</x:v>
      </x:c>
      <x:c r="C202" t="str">
        <x:v>CB-12025</x:v>
      </x:c>
      <x:c r="D202" t="str">
        <x:v>Cassandra Brandow</x:v>
      </x:c>
      <x:c r="E202" t="str">
        <x:v>Consumer</x:v>
      </x:c>
      <x:c r="F202" t="str">
        <x:v>East</x:v>
      </x:c>
      <x:c r="G202" t="str">
        <x:v>Office Supplies</x:v>
      </x:c>
      <x:c r="H202" t="str">
        <x:v>Art</x:v>
      </x:c>
      <x:c r="I202" s="22" t="n">
        <x:v>6.048</x:v>
      </x:c>
      <x:c r="J202" s="24" t="n">
        <x:v>3</x:v>
      </x:c>
      <x:c r="K202" s="26" t="n">
        <x:v>0.2</x:v>
      </x:c>
      <x:c r="L202" s="22" t="n">
        <x:v>1.5876000000000006</x:v>
      </x:c>
      <x:c r="M202" t="n">
        <x:v>2014</x:v>
      </x:c>
      <x:c r="N202" s="20" t="n">
        <x:v>41699</x:v>
      </x:c>
    </x:row>
    <x:row r="203" ht="18" customHeight="1">
      <x:c r="A203" t="str">
        <x:v>CA-2017-107720</x:v>
      </x:c>
      <x:c r="B203" s="18" t="n">
        <x:v>43045</x:v>
      </x:c>
      <x:c r="C203" t="str">
        <x:v>VM-21685</x:v>
      </x:c>
      <x:c r="D203" t="str">
        <x:v>Valerie Mitchum</x:v>
      </x:c>
      <x:c r="E203" t="str">
        <x:v>Home Office</x:v>
      </x:c>
      <x:c r="F203" t="str">
        <x:v>East</x:v>
      </x:c>
      <x:c r="G203" t="str">
        <x:v>Office Supplies</x:v>
      </x:c>
      <x:c r="H203" t="str">
        <x:v>Storage</x:v>
      </x:c>
      <x:c r="I203" s="22" t="n">
        <x:v>46.26</x:v>
      </x:c>
      <x:c r="J203" s="24" t="n">
        <x:v>3</x:v>
      </x:c>
      <x:c r="K203" s="26" t="n">
        <x:v>0</x:v>
      </x:c>
      <x:c r="L203" s="22" t="n">
        <x:v>12.0276</x:v>
      </x:c>
      <x:c r="M203" t="n">
        <x:v>2017</x:v>
      </x:c>
      <x:c r="N203" s="20" t="n">
        <x:v>43040</x:v>
      </x:c>
    </x:row>
    <x:row r="204" ht="18" customHeight="1">
      <x:c r="A204" t="str">
        <x:v>US-2017-124303</x:v>
      </x:c>
      <x:c r="B204" s="18" t="n">
        <x:v>42922</x:v>
      </x:c>
      <x:c r="C204" t="str">
        <x:v>FH-14365</x:v>
      </x:c>
      <x:c r="D204" t="str">
        <x:v>Fred Hopkins</x:v>
      </x:c>
      <x:c r="E204" t="str">
        <x:v>Corporate</x:v>
      </x:c>
      <x:c r="F204" t="str">
        <x:v>East</x:v>
      </x:c>
      <x:c r="G204" t="str">
        <x:v>Office Supplies</x:v>
      </x:c>
      <x:c r="H204" t="str">
        <x:v>Binders</x:v>
      </x:c>
      <x:c r="I204" s="22" t="n">
        <x:v>2.9460000000000006</x:v>
      </x:c>
      <x:c r="J204" s="24" t="n">
        <x:v>2</x:v>
      </x:c>
      <x:c r="K204" s="26" t="n">
        <x:v>0.7</x:v>
      </x:c>
      <x:c r="L204" s="22" t="n">
        <x:v>-2.2585999999999995</x:v>
      </x:c>
      <x:c r="M204" t="n">
        <x:v>2017</x:v>
      </x:c>
      <x:c r="N204" s="20" t="n">
        <x:v>42917</x:v>
      </x:c>
    </x:row>
    <x:row r="205" ht="18" customHeight="1">
      <x:c r="A205" t="str">
        <x:v>US-2017-124303</x:v>
      </x:c>
      <x:c r="B205" s="18" t="n">
        <x:v>42922</x:v>
      </x:c>
      <x:c r="C205" t="str">
        <x:v>FH-14365</x:v>
      </x:c>
      <x:c r="D205" t="str">
        <x:v>Fred Hopkins</x:v>
      </x:c>
      <x:c r="E205" t="str">
        <x:v>Corporate</x:v>
      </x:c>
      <x:c r="F205" t="str">
        <x:v>East</x:v>
      </x:c>
      <x:c r="G205" t="str">
        <x:v>Office Supplies</x:v>
      </x:c>
      <x:c r="H205" t="str">
        <x:v>Paper</x:v>
      </x:c>
      <x:c r="I205" s="22" t="n">
        <x:v>16.056</x:v>
      </x:c>
      <x:c r="J205" s="24" t="n">
        <x:v>3</x:v>
      </x:c>
      <x:c r="K205" s="26" t="n">
        <x:v>0.2</x:v>
      </x:c>
      <x:c r="L205" s="22" t="n">
        <x:v>5.8203000000000005</x:v>
      </x:c>
      <x:c r="M205" t="n">
        <x:v>2017</x:v>
      </x:c>
      <x:c r="N205" s="20" t="n">
        <x:v>42917</x:v>
      </x:c>
    </x:row>
    <x:row r="206" ht="18" customHeight="1">
      <x:c r="A206" t="str">
        <x:v>CA-2017-105074</x:v>
      </x:c>
      <x:c r="B206" s="18" t="n">
        <x:v>42910</x:v>
      </x:c>
      <x:c r="C206" t="str">
        <x:v>MB-17305</x:v>
      </x:c>
      <x:c r="D206" t="str">
        <x:v>Maria Bertelson</x:v>
      </x:c>
      <x:c r="E206" t="str">
        <x:v>Consumer</x:v>
      </x:c>
      <x:c r="F206" t="str">
        <x:v>East</x:v>
      </x:c>
      <x:c r="G206" t="str">
        <x:v>Office Supplies</x:v>
      </x:c>
      <x:c r="H206" t="str">
        <x:v>Paper</x:v>
      </x:c>
      <x:c r="I206" s="22" t="n">
        <x:v>21.744000000000003</x:v>
      </x:c>
      <x:c r="J206" s="24" t="n">
        <x:v>3</x:v>
      </x:c>
      <x:c r="K206" s="26" t="n">
        <x:v>0.2</x:v>
      </x:c>
      <x:c r="L206" s="22" t="n">
        <x:v>6.794999999999999</x:v>
      </x:c>
      <x:c r="M206" t="n">
        <x:v>2017</x:v>
      </x:c>
      <x:c r="N206" s="20" t="n">
        <x:v>42887</x:v>
      </x:c>
    </x:row>
    <x:row r="207" ht="18" customHeight="1">
      <x:c r="A207" t="str">
        <x:v>CA-2014-133690</x:v>
      </x:c>
      <x:c r="B207" s="18" t="n">
        <x:v>41854</x:v>
      </x:c>
      <x:c r="C207" t="str">
        <x:v>BS-11755</x:v>
      </x:c>
      <x:c r="D207" t="str">
        <x:v>Bruce Stewart</x:v>
      </x:c>
      <x:c r="E207" t="str">
        <x:v>Consumer</x:v>
      </x:c>
      <x:c r="F207" t="str">
        <x:v>West</x:v>
      </x:c>
      <x:c r="G207" t="str">
        <x:v>Furniture</x:v>
      </x:c>
      <x:c r="H207" t="str">
        <x:v>Tables</x:v>
      </x:c>
      <x:c r="I207" s="22" t="n">
        <x:v>218.75</x:v>
      </x:c>
      <x:c r="J207" s="24" t="n">
        <x:v>2</x:v>
      </x:c>
      <x:c r="K207" s="26" t="n">
        <x:v>0.5</x:v>
      </x:c>
      <x:c r="L207" s="22" t="n">
        <x:v>-161.875</x:v>
      </x:c>
      <x:c r="M207" t="n">
        <x:v>2014</x:v>
      </x:c>
      <x:c r="N207" s="20" t="n">
        <x:v>41852</x:v>
      </x:c>
    </x:row>
    <x:row r="208" ht="18" customHeight="1">
      <x:c r="A208" t="str">
        <x:v>CA-2014-133690</x:v>
      </x:c>
      <x:c r="B208" s="18" t="n">
        <x:v>41854</x:v>
      </x:c>
      <x:c r="C208" t="str">
        <x:v>BS-11755</x:v>
      </x:c>
      <x:c r="D208" t="str">
        <x:v>Bruce Stewart</x:v>
      </x:c>
      <x:c r="E208" t="str">
        <x:v>Consumer</x:v>
      </x:c>
      <x:c r="F208" t="str">
        <x:v>West</x:v>
      </x:c>
      <x:c r="G208" t="str">
        <x:v>Office Supplies</x:v>
      </x:c>
      <x:c r="H208" t="str">
        <x:v>Appliances</x:v>
      </x:c>
      <x:c r="I208" s="22" t="n">
        <x:v>2.6</x:v>
      </x:c>
      <x:c r="J208" s="24" t="n">
        <x:v>1</x:v>
      </x:c>
      <x:c r="K208" s="26" t="n">
        <x:v>0.2</x:v>
      </x:c>
      <x:c r="L208" s="22" t="n">
        <x:v>0.29249999999999987</x:v>
      </x:c>
      <x:c r="M208" t="n">
        <x:v>2014</x:v>
      </x:c>
      <x:c r="N208" s="20" t="n">
        <x:v>41852</x:v>
      </x:c>
    </x:row>
    <x:row r="209" ht="18" customHeight="1">
      <x:c r="A209" t="str">
        <x:v>US-2017-116701</x:v>
      </x:c>
      <x:c r="B209" s="18" t="n">
        <x:v>43086</x:v>
      </x:c>
      <x:c r="C209" t="str">
        <x:v>LC-17140</x:v>
      </x:c>
      <x:c r="D209" t="str">
        <x:v>Logan Currie</x:v>
      </x:c>
      <x:c r="E209" t="str">
        <x:v>Consumer</x:v>
      </x:c>
      <x:c r="F209" t="str">
        <x:v>Central</x:v>
      </x:c>
      <x:c r="G209" t="str">
        <x:v>Office Supplies</x:v>
      </x:c>
      <x:c r="H209" t="str">
        <x:v>Appliances</x:v>
      </x:c>
      <x:c r="I209" s="22" t="n">
        <x:v>66.28399999999999</x:v>
      </x:c>
      <x:c r="J209" s="24" t="n">
        <x:v>2</x:v>
      </x:c>
      <x:c r="K209" s="26" t="n">
        <x:v>0.8</x:v>
      </x:c>
      <x:c r="L209" s="22" t="n">
        <x:v>-178.9668</x:v>
      </x:c>
      <x:c r="M209" t="n">
        <x:v>2017</x:v>
      </x:c>
      <x:c r="N209" s="20" t="n">
        <x:v>43070</x:v>
      </x:c>
    </x:row>
    <x:row r="210" ht="18" customHeight="1">
      <x:c r="A210" t="str">
        <x:v>CA-2017-126382</x:v>
      </x:c>
      <x:c r="B210" s="18" t="n">
        <x:v>42889</x:v>
      </x:c>
      <x:c r="C210" t="str">
        <x:v>HK-14890</x:v>
      </x:c>
      <x:c r="D210" t="str">
        <x:v>Heather Kirkland</x:v>
      </x:c>
      <x:c r="E210" t="str">
        <x:v>Corporate</x:v>
      </x:c>
      <x:c r="F210" t="str">
        <x:v>South</x:v>
      </x:c>
      <x:c r="G210" t="str">
        <x:v>Furniture</x:v>
      </x:c>
      <x:c r="H210" t="str">
        <x:v>Furnishings</x:v>
      </x:c>
      <x:c r="I210" s="22" t="n">
        <x:v>35.168000000000006</x:v>
      </x:c>
      <x:c r="J210" s="24" t="n">
        <x:v>7</x:v>
      </x:c>
      <x:c r="K210" s="26" t="n">
        <x:v>0.2</x:v>
      </x:c>
      <x:c r="L210" s="22" t="n">
        <x:v>9.671200000000002</x:v>
      </x:c>
      <x:c r="M210" t="n">
        <x:v>2017</x:v>
      </x:c>
      <x:c r="N210" s="20" t="n">
        <x:v>42887</x:v>
      </x:c>
    </x:row>
    <x:row r="211" ht="18" customHeight="1">
      <x:c r="A211" t="str">
        <x:v>CA-2017-108329</x:v>
      </x:c>
      <x:c r="B211" s="18" t="n">
        <x:v>43078</x:v>
      </x:c>
      <x:c r="C211" t="str">
        <x:v>LE-16810</x:v>
      </x:c>
      <x:c r="D211" t="str">
        <x:v>Laurel Elliston</x:v>
      </x:c>
      <x:c r="E211" t="str">
        <x:v>Consumer</x:v>
      </x:c>
      <x:c r="F211" t="str">
        <x:v>West</x:v>
      </x:c>
      <x:c r="G211" t="str">
        <x:v>Technology</x:v>
      </x:c>
      <x:c r="H211" t="str">
        <x:v>Phones</x:v>
      </x:c>
      <x:c r="I211" s="22" t="n">
        <x:v>444.76800000000003</x:v>
      </x:c>
      <x:c r="J211" s="24" t="n">
        <x:v>4</x:v>
      </x:c>
      <x:c r="K211" s="26" t="n">
        <x:v>0.2</x:v>
      </x:c>
      <x:c r="L211" s="22" t="n">
        <x:v>44.476800000000026</x:v>
      </x:c>
      <x:c r="M211" t="n">
        <x:v>2017</x:v>
      </x:c>
      <x:c r="N211" s="20" t="n">
        <x:v>43070</x:v>
      </x:c>
    </x:row>
    <x:row r="212" ht="18" customHeight="1">
      <x:c r="A212" t="str">
        <x:v>CA-2017-135860</x:v>
      </x:c>
      <x:c r="B212" s="18" t="n">
        <x:v>43070</x:v>
      </x:c>
      <x:c r="C212" t="str">
        <x:v>JH-15985</x:v>
      </x:c>
      <x:c r="D212" t="str">
        <x:v>Joseph Holt</x:v>
      </x:c>
      <x:c r="E212" t="str">
        <x:v>Consumer</x:v>
      </x:c>
      <x:c r="F212" t="str">
        <x:v>Central</x:v>
      </x:c>
      <x:c r="G212" t="str">
        <x:v>Office Supplies</x:v>
      </x:c>
      <x:c r="H212" t="str">
        <x:v>Storage</x:v>
      </x:c>
      <x:c r="I212" s="22" t="n">
        <x:v>83.92</x:v>
      </x:c>
      <x:c r="J212" s="24" t="n">
        <x:v>4</x:v>
      </x:c>
      <x:c r="K212" s="26" t="n">
        <x:v>0</x:v>
      </x:c>
      <x:c r="L212" s="22" t="n">
        <x:v>5.874399999999994</x:v>
      </x:c>
      <x:c r="M212" t="n">
        <x:v>2017</x:v>
      </x:c>
      <x:c r="N212" s="20" t="n">
        <x:v>43070</x:v>
      </x:c>
    </x:row>
    <x:row r="213" ht="18" customHeight="1">
      <x:c r="A213" t="str">
        <x:v>CA-2017-135860</x:v>
      </x:c>
      <x:c r="B213" s="18" t="n">
        <x:v>43070</x:v>
      </x:c>
      <x:c r="C213" t="str">
        <x:v>JH-15985</x:v>
      </x:c>
      <x:c r="D213" t="str">
        <x:v>Joseph Holt</x:v>
      </x:c>
      <x:c r="E213" t="str">
        <x:v>Consumer</x:v>
      </x:c>
      <x:c r="F213" t="str">
        <x:v>Central</x:v>
      </x:c>
      <x:c r="G213" t="str">
        <x:v>Technology</x:v>
      </x:c>
      <x:c r="H213" t="str">
        <x:v>Phones</x:v>
      </x:c>
      <x:c r="I213" s="22" t="n">
        <x:v>131.98</x:v>
      </x:c>
      <x:c r="J213" s="24" t="n">
        <x:v>2</x:v>
      </x:c>
      <x:c r="K213" s="26" t="n">
        <x:v>0</x:v>
      </x:c>
      <x:c r="L213" s="22" t="n">
        <x:v>35.634600000000006</x:v>
      </x:c>
      <x:c r="M213" t="n">
        <x:v>2017</x:v>
      </x:c>
      <x:c r="N213" s="20" t="n">
        <x:v>43070</x:v>
      </x:c>
    </x:row>
    <x:row r="214" ht="18" customHeight="1">
      <x:c r="A214" t="str">
        <x:v>CA-2017-135860</x:v>
      </x:c>
      <x:c r="B214" s="18" t="n">
        <x:v>43070</x:v>
      </x:c>
      <x:c r="C214" t="str">
        <x:v>JH-15985</x:v>
      </x:c>
      <x:c r="D214" t="str">
        <x:v>Joseph Holt</x:v>
      </x:c>
      <x:c r="E214" t="str">
        <x:v>Consumer</x:v>
      </x:c>
      <x:c r="F214" t="str">
        <x:v>Central</x:v>
      </x:c>
      <x:c r="G214" t="str">
        <x:v>Office Supplies</x:v>
      </x:c>
      <x:c r="H214" t="str">
        <x:v>Binders</x:v>
      </x:c>
      <x:c r="I214" s="22" t="n">
        <x:v>15.92</x:v>
      </x:c>
      <x:c r="J214" s="24" t="n">
        <x:v>4</x:v>
      </x:c>
      <x:c r="K214" s="26" t="n">
        <x:v>0</x:v>
      </x:c>
      <x:c r="L214" s="22" t="n">
        <x:v>7.4824</x:v>
      </x:c>
      <x:c r="M214" t="n">
        <x:v>2017</x:v>
      </x:c>
      <x:c r="N214" s="20" t="n">
        <x:v>43070</x:v>
      </x:c>
    </x:row>
    <x:row r="215" ht="18" customHeight="1">
      <x:c r="A215" t="str">
        <x:v>CA-2017-135860</x:v>
      </x:c>
      <x:c r="B215" s="18" t="n">
        <x:v>43070</x:v>
      </x:c>
      <x:c r="C215" t="str">
        <x:v>JH-15985</x:v>
      </x:c>
      <x:c r="D215" t="str">
        <x:v>Joseph Holt</x:v>
      </x:c>
      <x:c r="E215" t="str">
        <x:v>Consumer</x:v>
      </x:c>
      <x:c r="F215" t="str">
        <x:v>Central</x:v>
      </x:c>
      <x:c r="G215" t="str">
        <x:v>Office Supplies</x:v>
      </x:c>
      <x:c r="H215" t="str">
        <x:v>Fasteners</x:v>
      </x:c>
      <x:c r="I215" s="22" t="n">
        <x:v>52.29</x:v>
      </x:c>
      <x:c r="J215" s="24" t="n">
        <x:v>9</x:v>
      </x:c>
      <x:c r="K215" s="26" t="n">
        <x:v>0</x:v>
      </x:c>
      <x:c r="L215" s="22" t="n">
        <x:v>16.209899999999998</x:v>
      </x:c>
      <x:c r="M215" t="n">
        <x:v>2017</x:v>
      </x:c>
      <x:c r="N215" s="20" t="n">
        <x:v>43070</x:v>
      </x:c>
    </x:row>
    <x:row r="216" ht="18" customHeight="1">
      <x:c r="A216" t="str">
        <x:v>CA-2017-135860</x:v>
      </x:c>
      <x:c r="B216" s="18" t="n">
        <x:v>43070</x:v>
      </x:c>
      <x:c r="C216" t="str">
        <x:v>JH-15985</x:v>
      </x:c>
      <x:c r="D216" t="str">
        <x:v>Joseph Holt</x:v>
      </x:c>
      <x:c r="E216" t="str">
        <x:v>Consumer</x:v>
      </x:c>
      <x:c r="F216" t="str">
        <x:v>Central</x:v>
      </x:c>
      <x:c r="G216" t="str">
        <x:v>Office Supplies</x:v>
      </x:c>
      <x:c r="H216" t="str">
        <x:v>Storage</x:v>
      </x:c>
      <x:c r="I216" s="22" t="n">
        <x:v>91.99</x:v>
      </x:c>
      <x:c r="J216" s="24" t="n">
        <x:v>1</x:v>
      </x:c>
      <x:c r="K216" s="26" t="n">
        <x:v>0</x:v>
      </x:c>
      <x:c r="L216" s="22" t="n">
        <x:v>3.6795999999999935</x:v>
      </x:c>
      <x:c r="M216" t="n">
        <x:v>2017</x:v>
      </x:c>
      <x:c r="N216" s="20" t="n">
        <x:v>43070</x:v>
      </x:c>
    </x:row>
    <x:row r="217" ht="18" customHeight="1">
      <x:c r="A217" t="str">
        <x:v>CA-2015-101007</x:v>
      </x:c>
      <x:c r="B217" s="18" t="n">
        <x:v>42044</x:v>
      </x:c>
      <x:c r="C217" t="str">
        <x:v>MS-17980</x:v>
      </x:c>
      <x:c r="D217" t="str">
        <x:v>Michael Stewart</x:v>
      </x:c>
      <x:c r="E217" t="str">
        <x:v>Corporate</x:v>
      </x:c>
      <x:c r="F217" t="str">
        <x:v>Central</x:v>
      </x:c>
      <x:c r="G217" t="str">
        <x:v>Technology</x:v>
      </x:c>
      <x:c r="H217" t="str">
        <x:v>Accessories</x:v>
      </x:c>
      <x:c r="I217" s="22" t="n">
        <x:v>20.8</x:v>
      </x:c>
      <x:c r="J217" s="24" t="n">
        <x:v>2</x:v>
      </x:c>
      <x:c r="K217" s="26" t="n">
        <x:v>0.2</x:v>
      </x:c>
      <x:c r="L217" s="22" t="n">
        <x:v>6.499999999999999</x:v>
      </x:c>
      <x:c r="M217" t="n">
        <x:v>2015</x:v>
      </x:c>
      <x:c r="N217" s="20" t="n">
        <x:v>42036</x:v>
      </x:c>
    </x:row>
    <x:row r="218" ht="18" customHeight="1">
      <x:c r="A218" t="str">
        <x:v>CA-2015-146262</x:v>
      </x:c>
      <x:c r="B218" s="18" t="n">
        <x:v>42006</x:v>
      </x:c>
      <x:c r="C218" t="str">
        <x:v>VW-21775</x:v>
      </x:c>
      <x:c r="D218" t="str">
        <x:v>Victoria Wilson</x:v>
      </x:c>
      <x:c r="E218" t="str">
        <x:v>Corporate</x:v>
      </x:c>
      <x:c r="F218" t="str">
        <x:v>East</x:v>
      </x:c>
      <x:c r="G218" t="str">
        <x:v>Office Supplies</x:v>
      </x:c>
      <x:c r="H218" t="str">
        <x:v>Labels</x:v>
      </x:c>
      <x:c r="I218" s="22" t="n">
        <x:v>23.680000000000003</x:v>
      </x:c>
      <x:c r="J218" s="24" t="n">
        <x:v>2</x:v>
      </x:c>
      <x:c r="K218" s="26" t="n">
        <x:v>0.2</x:v>
      </x:c>
      <x:c r="L218" s="22" t="n">
        <x:v>8.879999999999999</x:v>
      </x:c>
      <x:c r="M218" t="n">
        <x:v>2015</x:v>
      </x:c>
      <x:c r="N218" s="20" t="n">
        <x:v>42005</x:v>
      </x:c>
    </x:row>
    <x:row r="219" ht="18" customHeight="1">
      <x:c r="A219" t="str">
        <x:v>CA-2015-146262</x:v>
      </x:c>
      <x:c r="B219" s="18" t="n">
        <x:v>42006</x:v>
      </x:c>
      <x:c r="C219" t="str">
        <x:v>VW-21775</x:v>
      </x:c>
      <x:c r="D219" t="str">
        <x:v>Victoria Wilson</x:v>
      </x:c>
      <x:c r="E219" t="str">
        <x:v>Corporate</x:v>
      </x:c>
      <x:c r="F219" t="str">
        <x:v>East</x:v>
      </x:c>
      <x:c r="G219" t="str">
        <x:v>Furniture</x:v>
      </x:c>
      <x:c r="H219" t="str">
        <x:v>Bookcases</x:v>
      </x:c>
      <x:c r="I219" s="22" t="n">
        <x:v>452.45</x:v>
      </x:c>
      <x:c r="J219" s="24" t="n">
        <x:v>5</x:v>
      </x:c>
      <x:c r="K219" s="26" t="n">
        <x:v>0.5</x:v>
      </x:c>
      <x:c r="L219" s="22" t="n">
        <x:v>-244.32300000000006</x:v>
      </x:c>
      <x:c r="M219" t="n">
        <x:v>2015</x:v>
      </x:c>
      <x:c r="N219" s="20" t="n">
        <x:v>42005</x:v>
      </x:c>
    </x:row>
    <x:row r="220" ht="18" customHeight="1">
      <x:c r="A220" t="str">
        <x:v>CA-2015-146262</x:v>
      </x:c>
      <x:c r="B220" s="18" t="n">
        <x:v>42006</x:v>
      </x:c>
      <x:c r="C220" t="str">
        <x:v>VW-21775</x:v>
      </x:c>
      <x:c r="D220" t="str">
        <x:v>Victoria Wilson</x:v>
      </x:c>
      <x:c r="E220" t="str">
        <x:v>Corporate</x:v>
      </x:c>
      <x:c r="F220" t="str">
        <x:v>East</x:v>
      </x:c>
      <x:c r="G220" t="str">
        <x:v>Technology</x:v>
      </x:c>
      <x:c r="H220" t="str">
        <x:v>Phones</x:v>
      </x:c>
      <x:c r="I220" s="22" t="n">
        <x:v>62.982</x:v>
      </x:c>
      <x:c r="J220" s="24" t="n">
        <x:v>3</x:v>
      </x:c>
      <x:c r="K220" s="26" t="n">
        <x:v>0.4</x:v>
      </x:c>
      <x:c r="L220" s="22" t="n">
        <x:v>-14.695800000000006</x:v>
      </x:c>
      <x:c r="M220" t="n">
        <x:v>2015</x:v>
      </x:c>
      <x:c r="N220" s="20" t="n">
        <x:v>42005</x:v>
      </x:c>
    </x:row>
    <x:row r="221" ht="18" customHeight="1">
      <x:c r="A221" t="str">
        <x:v>CA-2015-146262</x:v>
      </x:c>
      <x:c r="B221" s="18" t="n">
        <x:v>42006</x:v>
      </x:c>
      <x:c r="C221" t="str">
        <x:v>VW-21775</x:v>
      </x:c>
      <x:c r="D221" t="str">
        <x:v>Victoria Wilson</x:v>
      </x:c>
      <x:c r="E221" t="str">
        <x:v>Corporate</x:v>
      </x:c>
      <x:c r="F221" t="str">
        <x:v>East</x:v>
      </x:c>
      <x:c r="G221" t="str">
        <x:v>Technology</x:v>
      </x:c>
      <x:c r="H221" t="str">
        <x:v>Machines</x:v>
      </x:c>
      <x:c r="I221" s="22" t="n">
        <x:v>1188.0000000000002</x:v>
      </x:c>
      <x:c r="J221" s="24" t="n">
        <x:v>9</x:v>
      </x:c>
      <x:c r="K221" s="26" t="n">
        <x:v>0.7</x:v>
      </x:c>
      <x:c r="L221" s="22" t="n">
        <x:v>-950.4000000000001</x:v>
      </x:c>
      <x:c r="M221" t="n">
        <x:v>2015</x:v>
      </x:c>
      <x:c r="N221" s="20" t="n">
        <x:v>42005</x:v>
      </x:c>
    </x:row>
    <x:row r="222" ht="18" customHeight="1">
      <x:c r="A222" t="str">
        <x:v>CA-2015-146262</x:v>
      </x:c>
      <x:c r="B222" s="18" t="n">
        <x:v>42006</x:v>
      </x:c>
      <x:c r="C222" t="str">
        <x:v>VW-21775</x:v>
      </x:c>
      <x:c r="D222" t="str">
        <x:v>Victoria Wilson</x:v>
      </x:c>
      <x:c r="E222" t="str">
        <x:v>Corporate</x:v>
      </x:c>
      <x:c r="F222" t="str">
        <x:v>East</x:v>
      </x:c>
      <x:c r="G222" t="str">
        <x:v>Technology</x:v>
      </x:c>
      <x:c r="H222" t="str">
        <x:v>Accessories</x:v>
      </x:c>
      <x:c r="I222" s="22" t="n">
        <x:v>89.584</x:v>
      </x:c>
      <x:c r="J222" s="24" t="n">
        <x:v>2</x:v>
      </x:c>
      <x:c r="K222" s="26" t="n">
        <x:v>0.2</x:v>
      </x:c>
      <x:c r="L222" s="22" t="n">
        <x:v>4.479200000000006</x:v>
      </x:c>
      <x:c r="M222" t="n">
        <x:v>2015</x:v>
      </x:c>
      <x:c r="N222" s="20" t="n">
        <x:v>42005</x:v>
      </x:c>
    </x:row>
    <x:row r="223" ht="18" customHeight="1">
      <x:c r="A223" t="str">
        <x:v>CA-2016-130162</x:v>
      </x:c>
      <x:c r="B223" s="18" t="n">
        <x:v>42671</x:v>
      </x:c>
      <x:c r="C223" t="str">
        <x:v>JH-15910</x:v>
      </x:c>
      <x:c r="D223" t="str">
        <x:v>Jonathan Howell</x:v>
      </x:c>
      <x:c r="E223" t="str">
        <x:v>Consumer</x:v>
      </x:c>
      <x:c r="F223" t="str">
        <x:v>West</x:v>
      </x:c>
      <x:c r="G223" t="str">
        <x:v>Office Supplies</x:v>
      </x:c>
      <x:c r="H223" t="str">
        <x:v>Storage</x:v>
      </x:c>
      <x:c r="I223" s="22" t="n">
        <x:v>93.06</x:v>
      </x:c>
      <x:c r="J223" s="24" t="n">
        <x:v>6</x:v>
      </x:c>
      <x:c r="K223" s="26" t="n">
        <x:v>0</x:v>
      </x:c>
      <x:c r="L223" s="22" t="n">
        <x:v>26.056800000000003</x:v>
      </x:c>
      <x:c r="M223" t="n">
        <x:v>2016</x:v>
      </x:c>
      <x:c r="N223" s="20" t="n">
        <x:v>42644</x:v>
      </x:c>
    </x:row>
    <x:row r="224" ht="18" customHeight="1">
      <x:c r="A224" t="str">
        <x:v>CA-2016-130162</x:v>
      </x:c>
      <x:c r="B224" s="18" t="n">
        <x:v>42671</x:v>
      </x:c>
      <x:c r="C224" t="str">
        <x:v>JH-15910</x:v>
      </x:c>
      <x:c r="D224" t="str">
        <x:v>Jonathan Howell</x:v>
      </x:c>
      <x:c r="E224" t="str">
        <x:v>Consumer</x:v>
      </x:c>
      <x:c r="F224" t="str">
        <x:v>West</x:v>
      </x:c>
      <x:c r="G224" t="str">
        <x:v>Technology</x:v>
      </x:c>
      <x:c r="H224" t="str">
        <x:v>Phones</x:v>
      </x:c>
      <x:c r="I224" s="22" t="n">
        <x:v>302.376</x:v>
      </x:c>
      <x:c r="J224" s="24" t="n">
        <x:v>3</x:v>
      </x:c>
      <x:c r="K224" s="26" t="n">
        <x:v>0.2</x:v>
      </x:c>
      <x:c r="L224" s="22" t="n">
        <x:v>22.678200000000018</x:v>
      </x:c>
      <x:c r="M224" t="n">
        <x:v>2016</x:v>
      </x:c>
      <x:c r="N224" s="20" t="n">
        <x:v>42644</x:v>
      </x:c>
    </x:row>
    <x:row r="225" ht="18" customHeight="1">
      <x:c r="A225" t="str">
        <x:v>CA-2015-169397</x:v>
      </x:c>
      <x:c r="B225" s="18" t="n">
        <x:v>42362</x:v>
      </x:c>
      <x:c r="C225" t="str">
        <x:v>JB-15925</x:v>
      </x:c>
      <x:c r="D225" t="str">
        <x:v>Joni Blumstein</x:v>
      </x:c>
      <x:c r="E225" t="str">
        <x:v>Consumer</x:v>
      </x:c>
      <x:c r="F225" t="str">
        <x:v>East</x:v>
      </x:c>
      <x:c r="G225" t="str">
        <x:v>Office Supplies</x:v>
      </x:c>
      <x:c r="H225" t="str">
        <x:v>Fasteners</x:v>
      </x:c>
      <x:c r="I225" s="22" t="n">
        <x:v>5.5840000000000005</x:v>
      </x:c>
      <x:c r="J225" s="24" t="n">
        <x:v>2</x:v>
      </x:c>
      <x:c r="K225" s="26" t="n">
        <x:v>0.2</x:v>
      </x:c>
      <x:c r="L225" s="22" t="n">
        <x:v>1.8147999999999997</x:v>
      </x:c>
      <x:c r="M225" t="n">
        <x:v>2015</x:v>
      </x:c>
      <x:c r="N225" s="20" t="n">
        <x:v>42339</x:v>
      </x:c>
    </x:row>
    <x:row r="226" ht="18" customHeight="1">
      <x:c r="A226" t="str">
        <x:v>CA-2015-169397</x:v>
      </x:c>
      <x:c r="B226" s="18" t="n">
        <x:v>42362</x:v>
      </x:c>
      <x:c r="C226" t="str">
        <x:v>JB-15925</x:v>
      </x:c>
      <x:c r="D226" t="str">
        <x:v>Joni Blumstein</x:v>
      </x:c>
      <x:c r="E226" t="str">
        <x:v>Consumer</x:v>
      </x:c>
      <x:c r="F226" t="str">
        <x:v>East</x:v>
      </x:c>
      <x:c r="G226" t="str">
        <x:v>Office Supplies</x:v>
      </x:c>
      <x:c r="H226" t="str">
        <x:v>Paper</x:v>
      </x:c>
      <x:c r="I226" s="22" t="n">
        <x:v>22.704000000000004</x:v>
      </x:c>
      <x:c r="J226" s="24" t="n">
        <x:v>6</x:v>
      </x:c>
      <x:c r="K226" s="26" t="n">
        <x:v>0.2</x:v>
      </x:c>
      <x:c r="L226" s="22" t="n">
        <x:v>8.2302</x:v>
      </x:c>
      <x:c r="M226" t="n">
        <x:v>2015</x:v>
      </x:c>
      <x:c r="N226" s="20" t="n">
        <x:v>42339</x:v>
      </x:c>
    </x:row>
    <x:row r="227" ht="18" customHeight="1">
      <x:c r="A227" t="str">
        <x:v>CA-2015-169397</x:v>
      </x:c>
      <x:c r="B227" s="18" t="n">
        <x:v>42362</x:v>
      </x:c>
      <x:c r="C227" t="str">
        <x:v>JB-15925</x:v>
      </x:c>
      <x:c r="D227" t="str">
        <x:v>Joni Blumstein</x:v>
      </x:c>
      <x:c r="E227" t="str">
        <x:v>Consumer</x:v>
      </x:c>
      <x:c r="F227" t="str">
        <x:v>East</x:v>
      </x:c>
      <x:c r="G227" t="str">
        <x:v>Office Supplies</x:v>
      </x:c>
      <x:c r="H227" t="str">
        <x:v>Binders</x:v>
      </x:c>
      <x:c r="I227" s="22" t="n">
        <x:v>19.776000000000003</x:v>
      </x:c>
      <x:c r="J227" s="24" t="n">
        <x:v>4</x:v>
      </x:c>
      <x:c r="K227" s="26" t="n">
        <x:v>0.7</x:v>
      </x:c>
      <x:c r="L227" s="22" t="n">
        <x:v>-13.843199999999996</x:v>
      </x:c>
      <x:c r="M227" t="n">
        <x:v>2015</x:v>
      </x:c>
      <x:c r="N227" s="20" t="n">
        <x:v>42339</x:v>
      </x:c>
    </x:row>
    <x:row r="228" ht="18" customHeight="1">
      <x:c r="A228" t="str">
        <x:v>CA-2015-169397</x:v>
      </x:c>
      <x:c r="B228" s="18" t="n">
        <x:v>42362</x:v>
      </x:c>
      <x:c r="C228" t="str">
        <x:v>JB-15925</x:v>
      </x:c>
      <x:c r="D228" t="str">
        <x:v>Joni Blumstein</x:v>
      </x:c>
      <x:c r="E228" t="str">
        <x:v>Consumer</x:v>
      </x:c>
      <x:c r="F228" t="str">
        <x:v>East</x:v>
      </x:c>
      <x:c r="G228" t="str">
        <x:v>Furniture</x:v>
      </x:c>
      <x:c r="H228" t="str">
        <x:v>Furnishings</x:v>
      </x:c>
      <x:c r="I228" s="22" t="n">
        <x:v>72.704</x:v>
      </x:c>
      <x:c r="J228" s="24" t="n">
        <x:v>4</x:v>
      </x:c>
      <x:c r="K228" s="26" t="n">
        <x:v>0.2</x:v>
      </x:c>
      <x:c r="L228" s="22" t="n">
        <x:v>19.084800000000005</x:v>
      </x:c>
      <x:c r="M228" t="n">
        <x:v>2015</x:v>
      </x:c>
      <x:c r="N228" s="20" t="n">
        <x:v>42339</x:v>
      </x:c>
    </x:row>
    <x:row r="229" ht="18" customHeight="1">
      <x:c r="A229" t="str">
        <x:v>CA-2015-169397</x:v>
      </x:c>
      <x:c r="B229" s="18" t="n">
        <x:v>42362</x:v>
      </x:c>
      <x:c r="C229" t="str">
        <x:v>JB-15925</x:v>
      </x:c>
      <x:c r="D229" t="str">
        <x:v>Joni Blumstein</x:v>
      </x:c>
      <x:c r="E229" t="str">
        <x:v>Consumer</x:v>
      </x:c>
      <x:c r="F229" t="str">
        <x:v>East</x:v>
      </x:c>
      <x:c r="G229" t="str">
        <x:v>Technology</x:v>
      </x:c>
      <x:c r="H229" t="str">
        <x:v>Machines</x:v>
      </x:c>
      <x:c r="I229" s="22" t="n">
        <x:v>479.98800000000006</x:v>
      </x:c>
      <x:c r="J229" s="24" t="n">
        <x:v>4</x:v>
      </x:c>
      <x:c r="K229" s="26" t="n">
        <x:v>0.7</x:v>
      </x:c>
      <x:c r="L229" s="22" t="n">
        <x:v>-383.9904</x:v>
      </x:c>
      <x:c r="M229" t="n">
        <x:v>2015</x:v>
      </x:c>
      <x:c r="N229" s="20" t="n">
        <x:v>42339</x:v>
      </x:c>
    </x:row>
    <x:row r="230" ht="18" customHeight="1">
      <x:c r="A230" t="str">
        <x:v>CA-2015-169397</x:v>
      </x:c>
      <x:c r="B230" s="18" t="n">
        <x:v>42362</x:v>
      </x:c>
      <x:c r="C230" t="str">
        <x:v>JB-15925</x:v>
      </x:c>
      <x:c r="D230" t="str">
        <x:v>Joni Blumstein</x:v>
      </x:c>
      <x:c r="E230" t="str">
        <x:v>Consumer</x:v>
      </x:c>
      <x:c r="F230" t="str">
        <x:v>East</x:v>
      </x:c>
      <x:c r="G230" t="str">
        <x:v>Office Supplies</x:v>
      </x:c>
      <x:c r="H230" t="str">
        <x:v>Art</x:v>
      </x:c>
      <x:c r="I230" s="22" t="n">
        <x:v>27.168000000000003</x:v>
      </x:c>
      <x:c r="J230" s="24" t="n">
        <x:v>2</x:v>
      </x:c>
      <x:c r="K230" s="26" t="n">
        <x:v>0.2</x:v>
      </x:c>
      <x:c r="L230" s="22" t="n">
        <x:v>2.7168</x:v>
      </x:c>
      <x:c r="M230" t="n">
        <x:v>2015</x:v>
      </x:c>
      <x:c r="N230" s="20" t="n">
        <x:v>42339</x:v>
      </x:c>
    </x:row>
    <x:row r="231" ht="18" customHeight="1">
      <x:c r="A231" t="str">
        <x:v>CA-2015-163055</x:v>
      </x:c>
      <x:c r="B231" s="18" t="n">
        <x:v>42225</x:v>
      </x:c>
      <x:c r="C231" t="str">
        <x:v>DS-13180</x:v>
      </x:c>
      <x:c r="D231" t="str">
        <x:v>David Smith</x:v>
      </x:c>
      <x:c r="E231" t="str">
        <x:v>Corporate</x:v>
      </x:c>
      <x:c r="F231" t="str">
        <x:v>Central</x:v>
      </x:c>
      <x:c r="G231" t="str">
        <x:v>Office Supplies</x:v>
      </x:c>
      <x:c r="H231" t="str">
        <x:v>Art</x:v>
      </x:c>
      <x:c r="I231" s="22" t="n">
        <x:v>2.2</x:v>
      </x:c>
      <x:c r="J231" s="24" t="n">
        <x:v>1</x:v>
      </x:c>
      <x:c r="K231" s="26" t="n">
        <x:v>0</x:v>
      </x:c>
      <x:c r="L231" s="22" t="n">
        <x:v>0.9680000000000002</x:v>
      </x:c>
      <x:c r="M231" t="n">
        <x:v>2015</x:v>
      </x:c>
      <x:c r="N231" s="20" t="n">
        <x:v>42217</x:v>
      </x:c>
    </x:row>
    <x:row r="232" ht="18" customHeight="1">
      <x:c r="A232" t="str">
        <x:v>CA-2015-163055</x:v>
      </x:c>
      <x:c r="B232" s="18" t="n">
        <x:v>42225</x:v>
      </x:c>
      <x:c r="C232" t="str">
        <x:v>DS-13180</x:v>
      </x:c>
      <x:c r="D232" t="str">
        <x:v>David Smith</x:v>
      </x:c>
      <x:c r="E232" t="str">
        <x:v>Corporate</x:v>
      </x:c>
      <x:c r="F232" t="str">
        <x:v>Central</x:v>
      </x:c>
      <x:c r="G232" t="str">
        <x:v>Furniture</x:v>
      </x:c>
      <x:c r="H232" t="str">
        <x:v>Tables</x:v>
      </x:c>
      <x:c r="I232" s="22" t="n">
        <x:v>622.4499999999999</x:v>
      </x:c>
      <x:c r="J232" s="24" t="n">
        <x:v>5</x:v>
      </x:c>
      <x:c r="K232" s="26" t="n">
        <x:v>0</x:v>
      </x:c>
      <x:c r="L232" s="22" t="n">
        <x:v>136.939</x:v>
      </x:c>
      <x:c r="M232" t="n">
        <x:v>2015</x:v>
      </x:c>
      <x:c r="N232" s="20" t="n">
        <x:v>42217</x:v>
      </x:c>
    </x:row>
    <x:row r="233" ht="18" customHeight="1">
      <x:c r="A233" t="str">
        <x:v>CA-2015-163055</x:v>
      </x:c>
      <x:c r="B233" s="18" t="n">
        <x:v>42225</x:v>
      </x:c>
      <x:c r="C233" t="str">
        <x:v>DS-13180</x:v>
      </x:c>
      <x:c r="D233" t="str">
        <x:v>David Smith</x:v>
      </x:c>
      <x:c r="E233" t="str">
        <x:v>Corporate</x:v>
      </x:c>
      <x:c r="F233" t="str">
        <x:v>Central</x:v>
      </x:c>
      <x:c r="G233" t="str">
        <x:v>Office Supplies</x:v>
      </x:c>
      <x:c r="H233" t="str">
        <x:v>Storage</x:v>
      </x:c>
      <x:c r="I233" s="22" t="n">
        <x:v>21.98</x:v>
      </x:c>
      <x:c r="J233" s="24" t="n">
        <x:v>1</x:v>
      </x:c>
      <x:c r="K233" s="26" t="n">
        <x:v>0</x:v>
      </x:c>
      <x:c r="L233" s="22" t="n">
        <x:v>0.21979999999999933</x:v>
      </x:c>
      <x:c r="M233" t="n">
        <x:v>2015</x:v>
      </x:c>
      <x:c r="N233" s="20" t="n">
        <x:v>42217</x:v>
      </x:c>
    </x:row>
    <x:row r="234" ht="18" customHeight="1">
      <x:c r="A234" t="str">
        <x:v>US-2015-145436</x:v>
      </x:c>
      <x:c r="B234" s="18" t="n">
        <x:v>42063</x:v>
      </x:c>
      <x:c r="C234" t="str">
        <x:v>VD-21670</x:v>
      </x:c>
      <x:c r="D234" t="str">
        <x:v>Valerie Dominguez</x:v>
      </x:c>
      <x:c r="E234" t="str">
        <x:v>Consumer</x:v>
      </x:c>
      <x:c r="F234" t="str">
        <x:v>South</x:v>
      </x:c>
      <x:c r="G234" t="str">
        <x:v>Furniture</x:v>
      </x:c>
      <x:c r="H234" t="str">
        <x:v>Chairs</x:v>
      </x:c>
      <x:c r="I234" s="22" t="n">
        <x:v>161.568</x:v>
      </x:c>
      <x:c r="J234" s="24" t="n">
        <x:v>2</x:v>
      </x:c>
      <x:c r="K234" s="26" t="n">
        <x:v>0.2</x:v>
      </x:c>
      <x:c r="L234" s="22" t="n">
        <x:v>-28.27440000000002</x:v>
      </x:c>
      <x:c r="M234" t="n">
        <x:v>2015</x:v>
      </x:c>
      <x:c r="N234" s="20" t="n">
        <x:v>42036</x:v>
      </x:c>
    </x:row>
    <x:row r="235" ht="18" customHeight="1">
      <x:c r="A235" t="str">
        <x:v>US-2015-145436</x:v>
      </x:c>
      <x:c r="B235" s="18" t="n">
        <x:v>42063</x:v>
      </x:c>
      <x:c r="C235" t="str">
        <x:v>VD-21670</x:v>
      </x:c>
      <x:c r="D235" t="str">
        <x:v>Valerie Dominguez</x:v>
      </x:c>
      <x:c r="E235" t="str">
        <x:v>Consumer</x:v>
      </x:c>
      <x:c r="F235" t="str">
        <x:v>South</x:v>
      </x:c>
      <x:c r="G235" t="str">
        <x:v>Furniture</x:v>
      </x:c>
      <x:c r="H235" t="str">
        <x:v>Chairs</x:v>
      </x:c>
      <x:c r="I235" s="22" t="n">
        <x:v>389.696</x:v>
      </x:c>
      <x:c r="J235" s="24" t="n">
        <x:v>8</x:v>
      </x:c>
      <x:c r="K235" s="26" t="n">
        <x:v>0.2</x:v>
      </x:c>
      <x:c r="L235" s="22" t="n">
        <x:v>43.84079999999997</x:v>
      </x:c>
      <x:c r="M235" t="n">
        <x:v>2015</x:v>
      </x:c>
      <x:c r="N235" s="20" t="n">
        <x:v>42036</x:v>
      </x:c>
    </x:row>
    <x:row r="236" ht="18" customHeight="1">
      <x:c r="A236" t="str">
        <x:v>US-2014-156216</x:v>
      </x:c>
      <x:c r="B236" s="18" t="n">
        <x:v>41895</x:v>
      </x:c>
      <x:c r="C236" t="str">
        <x:v>EA-14035</x:v>
      </x:c>
      <x:c r="D236" t="str">
        <x:v>Erin Ashbrook</x:v>
      </x:c>
      <x:c r="E236" t="str">
        <x:v>Corporate</x:v>
      </x:c>
      <x:c r="F236" t="str">
        <x:v>South</x:v>
      </x:c>
      <x:c r="G236" t="str">
        <x:v>Office Supplies</x:v>
      </x:c>
      <x:c r="H236" t="str">
        <x:v>Binders</x:v>
      </x:c>
      <x:c r="I236" s="22" t="n">
        <x:v>18.648000000000003</x:v>
      </x:c>
      <x:c r="J236" s="24" t="n">
        <x:v>7</x:v>
      </x:c>
      <x:c r="K236" s="26" t="n">
        <x:v>0.7</x:v>
      </x:c>
      <x:c r="L236" s="22" t="n">
        <x:v>-12.431999999999999</x:v>
      </x:c>
      <x:c r="M236" t="n">
        <x:v>2014</x:v>
      </x:c>
      <x:c r="N236" s="20" t="n">
        <x:v>41883</x:v>
      </x:c>
    </x:row>
    <x:row r="237" ht="18" customHeight="1">
      <x:c r="A237" t="str">
        <x:v>US-2017-100930</x:v>
      </x:c>
      <x:c r="B237" s="18" t="n">
        <x:v>42832</x:v>
      </x:c>
      <x:c r="C237" t="str">
        <x:v>CS-12400</x:v>
      </x:c>
      <x:c r="D237" t="str">
        <x:v>Christopher Schild</x:v>
      </x:c>
      <x:c r="E237" t="str">
        <x:v>Home Office</x:v>
      </x:c>
      <x:c r="F237" t="str">
        <x:v>South</x:v>
      </x:c>
      <x:c r="G237" t="str">
        <x:v>Furniture</x:v>
      </x:c>
      <x:c r="H237" t="str">
        <x:v>Tables</x:v>
      </x:c>
      <x:c r="I237" s="22" t="n">
        <x:v>233.86</x:v>
      </x:c>
      <x:c r="J237" s="24" t="n">
        <x:v>2</x:v>
      </x:c>
      <x:c r="K237" s="26" t="n">
        <x:v>0.45</x:v>
      </x:c>
      <x:c r="L237" s="22" t="n">
        <x:v>-102.04800000000003</x:v>
      </x:c>
      <x:c r="M237" t="n">
        <x:v>2017</x:v>
      </x:c>
      <x:c r="N237" s="20" t="n">
        <x:v>42826</x:v>
      </x:c>
    </x:row>
    <x:row r="238" ht="18" customHeight="1">
      <x:c r="A238" t="str">
        <x:v>US-2017-100930</x:v>
      </x:c>
      <x:c r="B238" s="18" t="n">
        <x:v>42832</x:v>
      </x:c>
      <x:c r="C238" t="str">
        <x:v>CS-12400</x:v>
      </x:c>
      <x:c r="D238" t="str">
        <x:v>Christopher Schild</x:v>
      </x:c>
      <x:c r="E238" t="str">
        <x:v>Home Office</x:v>
      </x:c>
      <x:c r="F238" t="str">
        <x:v>South</x:v>
      </x:c>
      <x:c r="G238" t="str">
        <x:v>Furniture</x:v>
      </x:c>
      <x:c r="H238" t="str">
        <x:v>Tables</x:v>
      </x:c>
      <x:c r="I238" s="22" t="n">
        <x:v>620.6145000000001</x:v>
      </x:c>
      <x:c r="J238" s="24" t="n">
        <x:v>3</x:v>
      </x:c>
      <x:c r="K238" s="26" t="n">
        <x:v>0.45</x:v>
      </x:c>
      <x:c r="L238" s="22" t="n">
        <x:v>-248.24579999999992</x:v>
      </x:c>
      <x:c r="M238" t="n">
        <x:v>2017</x:v>
      </x:c>
      <x:c r="N238" s="20" t="n">
        <x:v>42826</x:v>
      </x:c>
    </x:row>
    <x:row r="239" ht="18" customHeight="1">
      <x:c r="A239" t="str">
        <x:v>US-2017-100930</x:v>
      </x:c>
      <x:c r="B239" s="18" t="n">
        <x:v>42832</x:v>
      </x:c>
      <x:c r="C239" t="str">
        <x:v>CS-12400</x:v>
      </x:c>
      <x:c r="D239" t="str">
        <x:v>Christopher Schild</x:v>
      </x:c>
      <x:c r="E239" t="str">
        <x:v>Home Office</x:v>
      </x:c>
      <x:c r="F239" t="str">
        <x:v>South</x:v>
      </x:c>
      <x:c r="G239" t="str">
        <x:v>Office Supplies</x:v>
      </x:c>
      <x:c r="H239" t="str">
        <x:v>Binders</x:v>
      </x:c>
      <x:c r="I239" s="22" t="n">
        <x:v>5.328000000000001</x:v>
      </x:c>
      <x:c r="J239" s="24" t="n">
        <x:v>2</x:v>
      </x:c>
      <x:c r="K239" s="26" t="n">
        <x:v>0.7</x:v>
      </x:c>
      <x:c r="L239" s="22" t="n">
        <x:v>-3.5519999999999996</x:v>
      </x:c>
      <x:c r="M239" t="n">
        <x:v>2017</x:v>
      </x:c>
      <x:c r="N239" s="20" t="n">
        <x:v>42826</x:v>
      </x:c>
    </x:row>
    <x:row r="240" ht="18" customHeight="1">
      <x:c r="A240" t="str">
        <x:v>US-2017-100930</x:v>
      </x:c>
      <x:c r="B240" s="18" t="n">
        <x:v>42832</x:v>
      </x:c>
      <x:c r="C240" t="str">
        <x:v>CS-12400</x:v>
      </x:c>
      <x:c r="D240" t="str">
        <x:v>Christopher Schild</x:v>
      </x:c>
      <x:c r="E240" t="str">
        <x:v>Home Office</x:v>
      </x:c>
      <x:c r="F240" t="str">
        <x:v>South</x:v>
      </x:c>
      <x:c r="G240" t="str">
        <x:v>Furniture</x:v>
      </x:c>
      <x:c r="H240" t="str">
        <x:v>Furnishings</x:v>
      </x:c>
      <x:c r="I240" s="22" t="n">
        <x:v>258.072</x:v>
      </x:c>
      <x:c r="J240" s="24" t="n">
        <x:v>3</x:v>
      </x:c>
      <x:c r="K240" s="26" t="n">
        <x:v>0.2</x:v>
      </x:c>
      <x:c r="L240" s="22" t="n">
        <x:v>0</x:v>
      </x:c>
      <x:c r="M240" t="n">
        <x:v>2017</x:v>
      </x:c>
      <x:c r="N240" s="20" t="n">
        <x:v>42826</x:v>
      </x:c>
    </x:row>
    <x:row r="241" ht="18" customHeight="1">
      <x:c r="A241" t="str">
        <x:v>US-2017-100930</x:v>
      </x:c>
      <x:c r="B241" s="18" t="n">
        <x:v>42832</x:v>
      </x:c>
      <x:c r="C241" t="str">
        <x:v>CS-12400</x:v>
      </x:c>
      <x:c r="D241" t="str">
        <x:v>Christopher Schild</x:v>
      </x:c>
      <x:c r="E241" t="str">
        <x:v>Home Office</x:v>
      </x:c>
      <x:c r="F241" t="str">
        <x:v>South</x:v>
      </x:c>
      <x:c r="G241" t="str">
        <x:v>Technology</x:v>
      </x:c>
      <x:c r="H241" t="str">
        <x:v>Accessories</x:v>
      </x:c>
      <x:c r="I241" s="22" t="n">
        <x:v>617.9760000000001</x:v>
      </x:c>
      <x:c r="J241" s="24" t="n">
        <x:v>3</x:v>
      </x:c>
      <x:c r="K241" s="26" t="n">
        <x:v>0.2</x:v>
      </x:c>
      <x:c r="L241" s="22" t="n">
        <x:v>-7.724700000000098</x:v>
      </x:c>
      <x:c r="M241" t="n">
        <x:v>2017</x:v>
      </x:c>
      <x:c r="N241" s="20" t="n">
        <x:v>42826</x:v>
      </x:c>
    </x:row>
    <x:row r="242" ht="18" customHeight="1">
      <x:c r="A242" t="str">
        <x:v>CA-2017-160514</x:v>
      </x:c>
      <x:c r="B242" s="18" t="n">
        <x:v>43051</x:v>
      </x:c>
      <x:c r="C242" t="str">
        <x:v>DB-13120</x:v>
      </x:c>
      <x:c r="D242" t="str">
        <x:v>David Bremer</x:v>
      </x:c>
      <x:c r="E242" t="str">
        <x:v>Corporate</x:v>
      </x:c>
      <x:c r="F242" t="str">
        <x:v>West</x:v>
      </x:c>
      <x:c r="G242" t="str">
        <x:v>Office Supplies</x:v>
      </x:c>
      <x:c r="H242" t="str">
        <x:v>Paper</x:v>
      </x:c>
      <x:c r="I242" s="22" t="n">
        <x:v>10.56</x:v>
      </x:c>
      <x:c r="J242" s="24" t="n">
        <x:v>2</x:v>
      </x:c>
      <x:c r="K242" s="26" t="n">
        <x:v>0</x:v>
      </x:c>
      <x:c r="L242" s="22" t="n">
        <x:v>4.752</x:v>
      </x:c>
      <x:c r="M242" t="n">
        <x:v>2017</x:v>
      </x:c>
      <x:c r="N242" s="20" t="n">
        <x:v>43040</x:v>
      </x:c>
    </x:row>
    <x:row r="243" ht="18" customHeight="1">
      <x:c r="A243" t="str">
        <x:v>CA-2016-157749</x:v>
      </x:c>
      <x:c r="B243" s="18" t="n">
        <x:v>42525</x:v>
      </x:c>
      <x:c r="C243" t="str">
        <x:v>KL-16645</x:v>
      </x:c>
      <x:c r="D243" t="str">
        <x:v>Ken Lonsdale</x:v>
      </x:c>
      <x:c r="E243" t="str">
        <x:v>Consumer</x:v>
      </x:c>
      <x:c r="F243" t="str">
        <x:v>Central</x:v>
      </x:c>
      <x:c r="G243" t="str">
        <x:v>Office Supplies</x:v>
      </x:c>
      <x:c r="H243" t="str">
        <x:v>Paper</x:v>
      </x:c>
      <x:c r="I243" s="22" t="n">
        <x:v>25.920000000000005</x:v>
      </x:c>
      <x:c r="J243" s="24" t="n">
        <x:v>5</x:v>
      </x:c>
      <x:c r="K243" s="26" t="n">
        <x:v>0.2</x:v>
      </x:c>
      <x:c r="L243" s="22" t="n">
        <x:v>9.396</x:v>
      </x:c>
      <x:c r="M243" t="n">
        <x:v>2016</x:v>
      </x:c>
      <x:c r="N243" s="20" t="n">
        <x:v>42522</x:v>
      </x:c>
    </x:row>
    <x:row r="244" ht="18" customHeight="1">
      <x:c r="A244" t="str">
        <x:v>CA-2016-157749</x:v>
      </x:c>
      <x:c r="B244" s="18" t="n">
        <x:v>42525</x:v>
      </x:c>
      <x:c r="C244" t="str">
        <x:v>KL-16645</x:v>
      </x:c>
      <x:c r="D244" t="str">
        <x:v>Ken Lonsdale</x:v>
      </x:c>
      <x:c r="E244" t="str">
        <x:v>Consumer</x:v>
      </x:c>
      <x:c r="F244" t="str">
        <x:v>Central</x:v>
      </x:c>
      <x:c r="G244" t="str">
        <x:v>Furniture</x:v>
      </x:c>
      <x:c r="H244" t="str">
        <x:v>Furnishings</x:v>
      </x:c>
      <x:c r="I244" s="22" t="n">
        <x:v>419.68000000000006</x:v>
      </x:c>
      <x:c r="J244" s="24" t="n">
        <x:v>5</x:v>
      </x:c>
      <x:c r="K244" s="26" t="n">
        <x:v>0.6</x:v>
      </x:c>
      <x:c r="L244" s="22" t="n">
        <x:v>-356.72799999999995</x:v>
      </x:c>
      <x:c r="M244" t="n">
        <x:v>2016</x:v>
      </x:c>
      <x:c r="N244" s="20" t="n">
        <x:v>42522</x:v>
      </x:c>
    </x:row>
    <x:row r="245" ht="18" customHeight="1">
      <x:c r="A245" t="str">
        <x:v>CA-2016-157749</x:v>
      </x:c>
      <x:c r="B245" s="18" t="n">
        <x:v>42525</x:v>
      </x:c>
      <x:c r="C245" t="str">
        <x:v>KL-16645</x:v>
      </x:c>
      <x:c r="D245" t="str">
        <x:v>Ken Lonsdale</x:v>
      </x:c>
      <x:c r="E245" t="str">
        <x:v>Consumer</x:v>
      </x:c>
      <x:c r="F245" t="str">
        <x:v>Central</x:v>
      </x:c>
      <x:c r="G245" t="str">
        <x:v>Furniture</x:v>
      </x:c>
      <x:c r="H245" t="str">
        <x:v>Furnishings</x:v>
      </x:c>
      <x:c r="I245" s="22" t="n">
        <x:v>11.688</x:v>
      </x:c>
      <x:c r="J245" s="24" t="n">
        <x:v>3</x:v>
      </x:c>
      <x:c r="K245" s="26" t="n">
        <x:v>0.6</x:v>
      </x:c>
      <x:c r="L245" s="22" t="n">
        <x:v>-4.6751999999999985</x:v>
      </x:c>
      <x:c r="M245" t="n">
        <x:v>2016</x:v>
      </x:c>
      <x:c r="N245" s="20" t="n">
        <x:v>42522</x:v>
      </x:c>
    </x:row>
    <x:row r="246" ht="18" customHeight="1">
      <x:c r="A246" t="str">
        <x:v>CA-2016-157749</x:v>
      </x:c>
      <x:c r="B246" s="18" t="n">
        <x:v>42525</x:v>
      </x:c>
      <x:c r="C246" t="str">
        <x:v>KL-16645</x:v>
      </x:c>
      <x:c r="D246" t="str">
        <x:v>Ken Lonsdale</x:v>
      </x:c>
      <x:c r="E246" t="str">
        <x:v>Consumer</x:v>
      </x:c>
      <x:c r="F246" t="str">
        <x:v>Central</x:v>
      </x:c>
      <x:c r="G246" t="str">
        <x:v>Technology</x:v>
      </x:c>
      <x:c r="H246" t="str">
        <x:v>Phones</x:v>
      </x:c>
      <x:c r="I246" s="22" t="n">
        <x:v>31.983999999999998</x:v>
      </x:c>
      <x:c r="J246" s="24" t="n">
        <x:v>2</x:v>
      </x:c>
      <x:c r="K246" s="26" t="n">
        <x:v>0.2</x:v>
      </x:c>
      <x:c r="L246" s="22" t="n">
        <x:v>11.194399999999998</x:v>
      </x:c>
      <x:c r="M246" t="n">
        <x:v>2016</x:v>
      </x:c>
      <x:c r="N246" s="20" t="n">
        <x:v>42522</x:v>
      </x:c>
    </x:row>
    <x:row r="247" ht="18" customHeight="1">
      <x:c r="A247" t="str">
        <x:v>CA-2016-157749</x:v>
      </x:c>
      <x:c r="B247" s="18" t="n">
        <x:v>42525</x:v>
      </x:c>
      <x:c r="C247" t="str">
        <x:v>KL-16645</x:v>
      </x:c>
      <x:c r="D247" t="str">
        <x:v>Ken Lonsdale</x:v>
      </x:c>
      <x:c r="E247" t="str">
        <x:v>Consumer</x:v>
      </x:c>
      <x:c r="F247" t="str">
        <x:v>Central</x:v>
      </x:c>
      <x:c r="G247" t="str">
        <x:v>Furniture</x:v>
      </x:c>
      <x:c r="H247" t="str">
        <x:v>Tables</x:v>
      </x:c>
      <x:c r="I247" s="22" t="n">
        <x:v>177.225</x:v>
      </x:c>
      <x:c r="J247" s="24" t="n">
        <x:v>5</x:v>
      </x:c>
      <x:c r="K247" s="26" t="n">
        <x:v>0.5</x:v>
      </x:c>
      <x:c r="L247" s="22" t="n">
        <x:v>-120.51299999999998</x:v>
      </x:c>
      <x:c r="M247" t="n">
        <x:v>2016</x:v>
      </x:c>
      <x:c r="N247" s="20" t="n">
        <x:v>42522</x:v>
      </x:c>
    </x:row>
    <x:row r="248" ht="18" customHeight="1">
      <x:c r="A248" t="str">
        <x:v>CA-2016-157749</x:v>
      </x:c>
      <x:c r="B248" s="18" t="n">
        <x:v>42525</x:v>
      </x:c>
      <x:c r="C248" t="str">
        <x:v>KL-16645</x:v>
      </x:c>
      <x:c r="D248" t="str">
        <x:v>Ken Lonsdale</x:v>
      </x:c>
      <x:c r="E248" t="str">
        <x:v>Consumer</x:v>
      </x:c>
      <x:c r="F248" t="str">
        <x:v>Central</x:v>
      </x:c>
      <x:c r="G248" t="str">
        <x:v>Furniture</x:v>
      </x:c>
      <x:c r="H248" t="str">
        <x:v>Furnishings</x:v>
      </x:c>
      <x:c r="I248" s="22" t="n">
        <x:v>4.0440000000000005</x:v>
      </x:c>
      <x:c r="J248" s="24" t="n">
        <x:v>3</x:v>
      </x:c>
      <x:c r="K248" s="26" t="n">
        <x:v>0.6</x:v>
      </x:c>
      <x:c r="L248" s="22" t="n">
        <x:v>-2.8307999999999995</x:v>
      </x:c>
      <x:c r="M248" t="n">
        <x:v>2016</x:v>
      </x:c>
      <x:c r="N248" s="20" t="n">
        <x:v>42522</x:v>
      </x:c>
    </x:row>
    <x:row r="249" ht="18" customHeight="1">
      <x:c r="A249" t="str">
        <x:v>CA-2016-157749</x:v>
      </x:c>
      <x:c r="B249" s="18" t="n">
        <x:v>42525</x:v>
      </x:c>
      <x:c r="C249" t="str">
        <x:v>KL-16645</x:v>
      </x:c>
      <x:c r="D249" t="str">
        <x:v>Ken Lonsdale</x:v>
      </x:c>
      <x:c r="E249" t="str">
        <x:v>Consumer</x:v>
      </x:c>
      <x:c r="F249" t="str">
        <x:v>Central</x:v>
      </x:c>
      <x:c r="G249" t="str">
        <x:v>Office Supplies</x:v>
      </x:c>
      <x:c r="H249" t="str">
        <x:v>Art</x:v>
      </x:c>
      <x:c r="I249" s="22" t="n">
        <x:v>7.408</x:v>
      </x:c>
      <x:c r="J249" s="24" t="n">
        <x:v>2</x:v>
      </x:c>
      <x:c r="K249" s="26" t="n">
        <x:v>0.2</x:v>
      </x:c>
      <x:c r="L249" s="22" t="n">
        <x:v>1.2037999999999995</x:v>
      </x:c>
      <x:c r="M249" t="n">
        <x:v>2016</x:v>
      </x:c>
      <x:c r="N249" s="20" t="n">
        <x:v>42522</x:v>
      </x:c>
    </x:row>
    <x:row r="250" ht="18" customHeight="1">
      <x:c r="A250" t="str">
        <x:v>CA-2014-131926</x:v>
      </x:c>
      <x:c r="B250" s="18" t="n">
        <x:v>41791</x:v>
      </x:c>
      <x:c r="C250" t="str">
        <x:v>DW-13480</x:v>
      </x:c>
      <x:c r="D250" t="str">
        <x:v>Dianna Wilson</x:v>
      </x:c>
      <x:c r="E250" t="str">
        <x:v>Home Office</x:v>
      </x:c>
      <x:c r="F250" t="str">
        <x:v>Central</x:v>
      </x:c>
      <x:c r="G250" t="str">
        <x:v>Furniture</x:v>
      </x:c>
      <x:c r="H250" t="str">
        <x:v>Chairs</x:v>
      </x:c>
      <x:c r="I250" s="22" t="n">
        <x:v>2001.8600000000001</x:v>
      </x:c>
      <x:c r="J250" s="24" t="n">
        <x:v>7</x:v>
      </x:c>
      <x:c r="K250" s="26" t="n">
        <x:v>0</x:v>
      </x:c>
      <x:c r="L250" s="22" t="n">
        <x:v>580.5393999999999</x:v>
      </x:c>
      <x:c r="M250" t="n">
        <x:v>2014</x:v>
      </x:c>
      <x:c r="N250" s="20" t="n">
        <x:v>41791</x:v>
      </x:c>
    </x:row>
    <x:row r="251" ht="18" customHeight="1">
      <x:c r="A251" t="str">
        <x:v>CA-2014-131926</x:v>
      </x:c>
      <x:c r="B251" s="18" t="n">
        <x:v>41791</x:v>
      </x:c>
      <x:c r="C251" t="str">
        <x:v>DW-13480</x:v>
      </x:c>
      <x:c r="D251" t="str">
        <x:v>Dianna Wilson</x:v>
      </x:c>
      <x:c r="E251" t="str">
        <x:v>Home Office</x:v>
      </x:c>
      <x:c r="F251" t="str">
        <x:v>Central</x:v>
      </x:c>
      <x:c r="G251" t="str">
        <x:v>Office Supplies</x:v>
      </x:c>
      <x:c r="H251" t="str">
        <x:v>Storage</x:v>
      </x:c>
      <x:c r="I251" s="22" t="n">
        <x:v>166.72</x:v>
      </x:c>
      <x:c r="J251" s="24" t="n">
        <x:v>2</x:v>
      </x:c>
      <x:c r="K251" s="26" t="n">
        <x:v>0</x:v>
      </x:c>
      <x:c r="L251" s="22" t="n">
        <x:v>41.68000000000001</x:v>
      </x:c>
      <x:c r="M251" t="n">
        <x:v>2014</x:v>
      </x:c>
      <x:c r="N251" s="20" t="n">
        <x:v>41791</x:v>
      </x:c>
    </x:row>
    <x:row r="252" ht="18" customHeight="1">
      <x:c r="A252" t="str">
        <x:v>CA-2014-131926</x:v>
      </x:c>
      <x:c r="B252" s="18" t="n">
        <x:v>41791</x:v>
      </x:c>
      <x:c r="C252" t="str">
        <x:v>DW-13480</x:v>
      </x:c>
      <x:c r="D252" t="str">
        <x:v>Dianna Wilson</x:v>
      </x:c>
      <x:c r="E252" t="str">
        <x:v>Home Office</x:v>
      </x:c>
      <x:c r="F252" t="str">
        <x:v>Central</x:v>
      </x:c>
      <x:c r="G252" t="str">
        <x:v>Office Supplies</x:v>
      </x:c>
      <x:c r="H252" t="str">
        <x:v>Paper</x:v>
      </x:c>
      <x:c r="I252" s="22" t="n">
        <x:v>47.88</x:v>
      </x:c>
      <x:c r="J252" s="24" t="n">
        <x:v>6</x:v>
      </x:c>
      <x:c r="K252" s="26" t="n">
        <x:v>0</x:v>
      </x:c>
      <x:c r="L252" s="22" t="n">
        <x:v>23.94</x:v>
      </x:c>
      <x:c r="M252" t="n">
        <x:v>2014</x:v>
      </x:c>
      <x:c r="N252" s="20" t="n">
        <x:v>41791</x:v>
      </x:c>
    </x:row>
    <x:row r="253" ht="18" customHeight="1">
      <x:c r="A253" t="str">
        <x:v>CA-2014-131926</x:v>
      </x:c>
      <x:c r="B253" s="18" t="n">
        <x:v>41791</x:v>
      </x:c>
      <x:c r="C253" t="str">
        <x:v>DW-13480</x:v>
      </x:c>
      <x:c r="D253" t="str">
        <x:v>Dianna Wilson</x:v>
      </x:c>
      <x:c r="E253" t="str">
        <x:v>Home Office</x:v>
      </x:c>
      <x:c r="F253" t="str">
        <x:v>Central</x:v>
      </x:c>
      <x:c r="G253" t="str">
        <x:v>Office Supplies</x:v>
      </x:c>
      <x:c r="H253" t="str">
        <x:v>Appliances</x:v>
      </x:c>
      <x:c r="I253" s="22" t="n">
        <x:v>1503.25</x:v>
      </x:c>
      <x:c r="J253" s="24" t="n">
        <x:v>5</x:v>
      </x:c>
      <x:c r="K253" s="26" t="n">
        <x:v>0</x:v>
      </x:c>
      <x:c r="L253" s="22" t="n">
        <x:v>496.07249999999993</x:v>
      </x:c>
      <x:c r="M253" t="n">
        <x:v>2014</x:v>
      </x:c>
      <x:c r="N253" s="20" t="n">
        <x:v>41791</x:v>
      </x:c>
    </x:row>
    <x:row r="254" ht="18" customHeight="1">
      <x:c r="A254" t="str">
        <x:v>CA-2014-131926</x:v>
      </x:c>
      <x:c r="B254" s="18" t="n">
        <x:v>41791</x:v>
      </x:c>
      <x:c r="C254" t="str">
        <x:v>DW-13480</x:v>
      </x:c>
      <x:c r="D254" t="str">
        <x:v>Dianna Wilson</x:v>
      </x:c>
      <x:c r="E254" t="str">
        <x:v>Home Office</x:v>
      </x:c>
      <x:c r="F254" t="str">
        <x:v>Central</x:v>
      </x:c>
      <x:c r="G254" t="str">
        <x:v>Office Supplies</x:v>
      </x:c>
      <x:c r="H254" t="str">
        <x:v>Paper</x:v>
      </x:c>
      <x:c r="I254" s="22" t="n">
        <x:v>25.92</x:v>
      </x:c>
      <x:c r="J254" s="24" t="n">
        <x:v>4</x:v>
      </x:c>
      <x:c r="K254" s="26" t="n">
        <x:v>0</x:v>
      </x:c>
      <x:c r="L254" s="22" t="n">
        <x:v>12.441600000000001</x:v>
      </x:c>
      <x:c r="M254" t="n">
        <x:v>2014</x:v>
      </x:c>
      <x:c r="N254" s="20" t="n">
        <x:v>41791</x:v>
      </x:c>
    </x:row>
    <x:row r="255" ht="18" customHeight="1">
      <x:c r="A255" t="str">
        <x:v>CA-2016-154739</x:v>
      </x:c>
      <x:c r="B255" s="18" t="n">
        <x:v>42714</x:v>
      </x:c>
      <x:c r="C255" t="str">
        <x:v>LH-17155</x:v>
      </x:c>
      <x:c r="D255" t="str">
        <x:v>Logan Haushalter</x:v>
      </x:c>
      <x:c r="E255" t="str">
        <x:v>Consumer</x:v>
      </x:c>
      <x:c r="F255" t="str">
        <x:v>West</x:v>
      </x:c>
      <x:c r="G255" t="str">
        <x:v>Furniture</x:v>
      </x:c>
      <x:c r="H255" t="str">
        <x:v>Chairs</x:v>
      </x:c>
      <x:c r="I255" s="22" t="n">
        <x:v>321.568</x:v>
      </x:c>
      <x:c r="J255" s="24" t="n">
        <x:v>2</x:v>
      </x:c>
      <x:c r="K255" s="26" t="n">
        <x:v>0.2</x:v>
      </x:c>
      <x:c r="L255" s="22" t="n">
        <x:v>28.137200000000007</x:v>
      </x:c>
      <x:c r="M255" t="n">
        <x:v>2016</x:v>
      </x:c>
      <x:c r="N255" s="20" t="n">
        <x:v>42705</x:v>
      </x:c>
    </x:row>
    <x:row r="256" ht="18" customHeight="1">
      <x:c r="A256" t="str">
        <x:v>CA-2016-145625</x:v>
      </x:c>
      <x:c r="B256" s="18" t="n">
        <x:v>42624</x:v>
      </x:c>
      <x:c r="C256" t="str">
        <x:v>KC-16540</x:v>
      </x:c>
      <x:c r="D256" t="str">
        <x:v>Kelly Collister</x:v>
      </x:c>
      <x:c r="E256" t="str">
        <x:v>Consumer</x:v>
      </x:c>
      <x:c r="F256" t="str">
        <x:v>West</x:v>
      </x:c>
      <x:c r="G256" t="str">
        <x:v>Office Supplies</x:v>
      </x:c>
      <x:c r="H256" t="str">
        <x:v>Paper</x:v>
      </x:c>
      <x:c r="I256" s="22" t="n">
        <x:v>7.61</x:v>
      </x:c>
      <x:c r="J256" s="24" t="n">
        <x:v>1</x:v>
      </x:c>
      <x:c r="K256" s="26" t="n">
        <x:v>0</x:v>
      </x:c>
      <x:c r="L256" s="22" t="n">
        <x:v>3.5766999999999998</x:v>
      </x:c>
      <x:c r="M256" t="n">
        <x:v>2016</x:v>
      </x:c>
      <x:c r="N256" s="20" t="n">
        <x:v>42614</x:v>
      </x:c>
    </x:row>
    <x:row r="257" ht="18" customHeight="1">
      <x:c r="A257" t="str">
        <x:v>CA-2016-145625</x:v>
      </x:c>
      <x:c r="B257" s="18" t="n">
        <x:v>42624</x:v>
      </x:c>
      <x:c r="C257" t="str">
        <x:v>KC-16540</x:v>
      </x:c>
      <x:c r="D257" t="str">
        <x:v>Kelly Collister</x:v>
      </x:c>
      <x:c r="E257" t="str">
        <x:v>Consumer</x:v>
      </x:c>
      <x:c r="F257" t="str">
        <x:v>West</x:v>
      </x:c>
      <x:c r="G257" t="str">
        <x:v>Technology</x:v>
      </x:c>
      <x:c r="H257" t="str">
        <x:v>Accessories</x:v>
      </x:c>
      <x:c r="I257" s="22" t="n">
        <x:v>3347.37</x:v>
      </x:c>
      <x:c r="J257" s="24" t="n">
        <x:v>13</x:v>
      </x:c>
      <x:c r="K257" s="26" t="n">
        <x:v>0</x:v>
      </x:c>
      <x:c r="L257" s="22" t="n">
        <x:v>636.0002999999997</x:v>
      </x:c>
      <x:c r="M257" t="n">
        <x:v>2016</x:v>
      </x:c>
      <x:c r="N257" s="20" t="n">
        <x:v>42614</x:v>
      </x:c>
    </x:row>
    <x:row r="258" ht="18" customHeight="1">
      <x:c r="A258" t="str">
        <x:v>CA-2016-146941</x:v>
      </x:c>
      <x:c r="B258" s="18" t="n">
        <x:v>42714</x:v>
      </x:c>
      <x:c r="C258" t="str">
        <x:v>DL-13315</x:v>
      </x:c>
      <x:c r="D258" t="str">
        <x:v>Delfina Latchford</x:v>
      </x:c>
      <x:c r="E258" t="str">
        <x:v>Consumer</x:v>
      </x:c>
      <x:c r="F258" t="str">
        <x:v>East</x:v>
      </x:c>
      <x:c r="G258" t="str">
        <x:v>Office Supplies</x:v>
      </x:c>
      <x:c r="H258" t="str">
        <x:v>Storage</x:v>
      </x:c>
      <x:c r="I258" s="22" t="n">
        <x:v>80.58</x:v>
      </x:c>
      <x:c r="J258" s="24" t="n">
        <x:v>6</x:v>
      </x:c>
      <x:c r="K258" s="26" t="n">
        <x:v>0</x:v>
      </x:c>
      <x:c r="L258" s="22" t="n">
        <x:v>22.562400000000004</x:v>
      </x:c>
      <x:c r="M258" t="n">
        <x:v>2016</x:v>
      </x:c>
      <x:c r="N258" s="20" t="n">
        <x:v>42705</x:v>
      </x:c>
    </x:row>
    <x:row r="259" ht="18" customHeight="1">
      <x:c r="A259" t="str">
        <x:v>CA-2016-146941</x:v>
      </x:c>
      <x:c r="B259" s="18" t="n">
        <x:v>42714</x:v>
      </x:c>
      <x:c r="C259" t="str">
        <x:v>DL-13315</x:v>
      </x:c>
      <x:c r="D259" t="str">
        <x:v>Delfina Latchford</x:v>
      </x:c>
      <x:c r="E259" t="str">
        <x:v>Consumer</x:v>
      </x:c>
      <x:c r="F259" t="str">
        <x:v>East</x:v>
      </x:c>
      <x:c r="G259" t="str">
        <x:v>Office Supplies</x:v>
      </x:c>
      <x:c r="H259" t="str">
        <x:v>Envelopes</x:v>
      </x:c>
      <x:c r="I259" s="22" t="n">
        <x:v>361.92</x:v>
      </x:c>
      <x:c r="J259" s="24" t="n">
        <x:v>4</x:v>
      </x:c>
      <x:c r="K259" s="26" t="n">
        <x:v>0</x:v>
      </x:c>
      <x:c r="L259" s="22" t="n">
        <x:v>162.864</x:v>
      </x:c>
      <x:c r="M259" t="n">
        <x:v>2016</x:v>
      </x:c>
      <x:c r="N259" s="20" t="n">
        <x:v>42705</x:v>
      </x:c>
    </x:row>
    <x:row r="260" ht="18" customHeight="1">
      <x:c r="A260" t="str">
        <x:v>US-2015-159982</x:v>
      </x:c>
      <x:c r="B260" s="18" t="n">
        <x:v>42336</x:v>
      </x:c>
      <x:c r="C260" t="str">
        <x:v>DR-12880</x:v>
      </x:c>
      <x:c r="D260" t="str">
        <x:v>Dan Reichenbach</x:v>
      </x:c>
      <x:c r="E260" t="str">
        <x:v>Corporate</x:v>
      </x:c>
      <x:c r="F260" t="str">
        <x:v>Central</x:v>
      </x:c>
      <x:c r="G260" t="str">
        <x:v>Furniture</x:v>
      </x:c>
      <x:c r="H260" t="str">
        <x:v>Furnishings</x:v>
      </x:c>
      <x:c r="I260" s="22" t="n">
        <x:v>12.132000000000001</x:v>
      </x:c>
      <x:c r="J260" s="24" t="n">
        <x:v>9</x:v>
      </x:c>
      <x:c r="K260" s="26" t="n">
        <x:v>0.6</x:v>
      </x:c>
      <x:c r="L260" s="22" t="n">
        <x:v>-8.492399999999998</x:v>
      </x:c>
      <x:c r="M260" t="n">
        <x:v>2015</x:v>
      </x:c>
      <x:c r="N260" s="20" t="n">
        <x:v>42309</x:v>
      </x:c>
    </x:row>
    <x:row r="261" ht="18" customHeight="1">
      <x:c r="A261" t="str">
        <x:v>US-2015-159982</x:v>
      </x:c>
      <x:c r="B261" s="18" t="n">
        <x:v>42336</x:v>
      </x:c>
      <x:c r="C261" t="str">
        <x:v>DR-12880</x:v>
      </x:c>
      <x:c r="D261" t="str">
        <x:v>Dan Reichenbach</x:v>
      </x:c>
      <x:c r="E261" t="str">
        <x:v>Corporate</x:v>
      </x:c>
      <x:c r="F261" t="str">
        <x:v>Central</x:v>
      </x:c>
      <x:c r="G261" t="str">
        <x:v>Office Supplies</x:v>
      </x:c>
      <x:c r="H261" t="str">
        <x:v>Storage</x:v>
      </x:c>
      <x:c r="I261" s="22" t="n">
        <x:v>82.368</x:v>
      </x:c>
      <x:c r="J261" s="24" t="n">
        <x:v>2</x:v>
      </x:c>
      <x:c r="K261" s="26" t="n">
        <x:v>0.2</x:v>
      </x:c>
      <x:c r="L261" s="22" t="n">
        <x:v>-19.562399999999997</x:v>
      </x:c>
      <x:c r="M261" t="n">
        <x:v>2015</x:v>
      </x:c>
      <x:c r="N261" s="20" t="n">
        <x:v>42309</x:v>
      </x:c>
    </x:row>
    <x:row r="262" ht="18" customHeight="1">
      <x:c r="A262" t="str">
        <x:v>US-2015-159982</x:v>
      </x:c>
      <x:c r="B262" s="18" t="n">
        <x:v>42336</x:v>
      </x:c>
      <x:c r="C262" t="str">
        <x:v>DR-12880</x:v>
      </x:c>
      <x:c r="D262" t="str">
        <x:v>Dan Reichenbach</x:v>
      </x:c>
      <x:c r="E262" t="str">
        <x:v>Corporate</x:v>
      </x:c>
      <x:c r="F262" t="str">
        <x:v>Central</x:v>
      </x:c>
      <x:c r="G262" t="str">
        <x:v>Office Supplies</x:v>
      </x:c>
      <x:c r="H262" t="str">
        <x:v>Storage</x:v>
      </x:c>
      <x:c r="I262" s="22" t="n">
        <x:v>53.92</x:v>
      </x:c>
      <x:c r="J262" s="24" t="n">
        <x:v>5</x:v>
      </x:c>
      <x:c r="K262" s="26" t="n">
        <x:v>0.2</x:v>
      </x:c>
      <x:c r="L262" s="22" t="n">
        <x:v>4.043999999999997</x:v>
      </x:c>
      <x:c r="M262" t="n">
        <x:v>2015</x:v>
      </x:c>
      <x:c r="N262" s="20" t="n">
        <x:v>42309</x:v>
      </x:c>
    </x:row>
    <x:row r="263" ht="18" customHeight="1">
      <x:c r="A263" t="str">
        <x:v>US-2015-159982</x:v>
      </x:c>
      <x:c r="B263" s="18" t="n">
        <x:v>42336</x:v>
      </x:c>
      <x:c r="C263" t="str">
        <x:v>DR-12880</x:v>
      </x:c>
      <x:c r="D263" t="str">
        <x:v>Dan Reichenbach</x:v>
      </x:c>
      <x:c r="E263" t="str">
        <x:v>Corporate</x:v>
      </x:c>
      <x:c r="F263" t="str">
        <x:v>Central</x:v>
      </x:c>
      <x:c r="G263" t="str">
        <x:v>Technology</x:v>
      </x:c>
      <x:c r="H263" t="str">
        <x:v>Phones</x:v>
      </x:c>
      <x:c r="I263" s="22" t="n">
        <x:v>647.904</x:v>
      </x:c>
      <x:c r="J263" s="24" t="n">
        <x:v>6</x:v>
      </x:c>
      <x:c r="K263" s="26" t="n">
        <x:v>0.2</x:v>
      </x:c>
      <x:c r="L263" s="22" t="n">
        <x:v>56.691599999999966</x:v>
      </x:c>
      <x:c r="M263" t="n">
        <x:v>2015</x:v>
      </x:c>
      <x:c r="N263" s="20" t="n">
        <x:v>42309</x:v>
      </x:c>
    </x:row>
    <x:row r="264" ht="18" customHeight="1">
      <x:c r="A264" t="str">
        <x:v>CA-2017-163139</x:v>
      </x:c>
      <x:c r="B264" s="18" t="n">
        <x:v>43070</x:v>
      </x:c>
      <x:c r="C264" t="str">
        <x:v>CC-12670</x:v>
      </x:c>
      <x:c r="D264" t="str">
        <x:v>Craig Carreira</x:v>
      </x:c>
      <x:c r="E264" t="str">
        <x:v>Consumer</x:v>
      </x:c>
      <x:c r="F264" t="str">
        <x:v>East</x:v>
      </x:c>
      <x:c r="G264" t="str">
        <x:v>Technology</x:v>
      </x:c>
      <x:c r="H264" t="str">
        <x:v>Accessories</x:v>
      </x:c>
      <x:c r="I264" s="22" t="n">
        <x:v>20.37</x:v>
      </x:c>
      <x:c r="J264" s="24" t="n">
        <x:v>3</x:v>
      </x:c>
      <x:c r="K264" s="26" t="n">
        <x:v>0</x:v>
      </x:c>
      <x:c r="L264" s="22" t="n">
        <x:v>6.925800000000001</x:v>
      </x:c>
      <x:c r="M264" t="n">
        <x:v>2017</x:v>
      </x:c>
      <x:c r="N264" s="20" t="n">
        <x:v>43070</x:v>
      </x:c>
    </x:row>
    <x:row r="265" ht="18" customHeight="1">
      <x:c r="A265" t="str">
        <x:v>CA-2017-163139</x:v>
      </x:c>
      <x:c r="B265" s="18" t="n">
        <x:v>43070</x:v>
      </x:c>
      <x:c r="C265" t="str">
        <x:v>CC-12670</x:v>
      </x:c>
      <x:c r="D265" t="str">
        <x:v>Craig Carreira</x:v>
      </x:c>
      <x:c r="E265" t="str">
        <x:v>Consumer</x:v>
      </x:c>
      <x:c r="F265" t="str">
        <x:v>East</x:v>
      </x:c>
      <x:c r="G265" t="str">
        <x:v>Office Supplies</x:v>
      </x:c>
      <x:c r="H265" t="str">
        <x:v>Storage</x:v>
      </x:c>
      <x:c r="I265" s="22" t="n">
        <x:v>221.54999999999998</x:v>
      </x:c>
      <x:c r="J265" s="24" t="n">
        <x:v>3</x:v>
      </x:c>
      <x:c r="K265" s="26" t="n">
        <x:v>0</x:v>
      </x:c>
      <x:c r="L265" s="22" t="n">
        <x:v>6.646500000000017</x:v>
      </x:c>
      <x:c r="M265" t="n">
        <x:v>2017</x:v>
      </x:c>
      <x:c r="N265" s="20" t="n">
        <x:v>43070</x:v>
      </x:c>
    </x:row>
    <x:row r="266" ht="18" customHeight="1">
      <x:c r="A266" t="str">
        <x:v>CA-2017-163139</x:v>
      </x:c>
      <x:c r="B266" s="18" t="n">
        <x:v>43070</x:v>
      </x:c>
      <x:c r="C266" t="str">
        <x:v>CC-12670</x:v>
      </x:c>
      <x:c r="D266" t="str">
        <x:v>Craig Carreira</x:v>
      </x:c>
      <x:c r="E266" t="str">
        <x:v>Consumer</x:v>
      </x:c>
      <x:c r="F266" t="str">
        <x:v>East</x:v>
      </x:c>
      <x:c r="G266" t="str">
        <x:v>Office Supplies</x:v>
      </x:c>
      <x:c r="H266" t="str">
        <x:v>Binders</x:v>
      </x:c>
      <x:c r="I266" s="22" t="n">
        <x:v>17.52</x:v>
      </x:c>
      <x:c r="J266" s="24" t="n">
        <x:v>5</x:v>
      </x:c>
      <x:c r="K266" s="26" t="n">
        <x:v>0.2</x:v>
      </x:c>
      <x:c r="L266" s="22" t="n">
        <x:v>6.131999999999999</x:v>
      </x:c>
      <x:c r="M266" t="n">
        <x:v>2017</x:v>
      </x:c>
      <x:c r="N266" s="20" t="n">
        <x:v>43070</x:v>
      </x:c>
    </x:row>
    <x:row r="267" ht="18" customHeight="1">
      <x:c r="A267" t="str">
        <x:v>US-2017-155299</x:v>
      </x:c>
      <x:c r="B267" s="18" t="n">
        <x:v>42894</x:v>
      </x:c>
      <x:c r="C267" t="str">
        <x:v>Dl-13600</x:v>
      </x:c>
      <x:c r="D267" t="str">
        <x:v>Dorris liebe</x:v>
      </x:c>
      <x:c r="E267" t="str">
        <x:v>Corporate</x:v>
      </x:c>
      <x:c r="F267" t="str">
        <x:v>Central</x:v>
      </x:c>
      <x:c r="G267" t="str">
        <x:v>Office Supplies</x:v>
      </x:c>
      <x:c r="H267" t="str">
        <x:v>Appliances</x:v>
      </x:c>
      <x:c r="I267" s="22" t="n">
        <x:v>1.6239999999999994</x:v>
      </x:c>
      <x:c r="J267" s="24" t="n">
        <x:v>2</x:v>
      </x:c>
      <x:c r="K267" s="26" t="n">
        <x:v>0.8</x:v>
      </x:c>
      <x:c r="L267" s="22" t="n">
        <x:v>-4.466</x:v>
      </x:c>
      <x:c r="M267" t="n">
        <x:v>2017</x:v>
      </x:c>
      <x:c r="N267" s="20" t="n">
        <x:v>42887</x:v>
      </x:c>
    </x:row>
    <x:row r="268" ht="18" customHeight="1">
      <x:c r="A268" t="str">
        <x:v>US-2014-106992</x:v>
      </x:c>
      <x:c r="B268" s="18" t="n">
        <x:v>41901</x:v>
      </x:c>
      <x:c r="C268" t="str">
        <x:v>SB-20290</x:v>
      </x:c>
      <x:c r="D268" t="str">
        <x:v>Sean Braxton</x:v>
      </x:c>
      <x:c r="E268" t="str">
        <x:v>Corporate</x:v>
      </x:c>
      <x:c r="F268" t="str">
        <x:v>Central</x:v>
      </x:c>
      <x:c r="G268" t="str">
        <x:v>Technology</x:v>
      </x:c>
      <x:c r="H268" t="str">
        <x:v>Machines</x:v>
      </x:c>
      <x:c r="I268" s="22" t="n">
        <x:v>3059.982</x:v>
      </x:c>
      <x:c r="J268" s="24" t="n">
        <x:v>3</x:v>
      </x:c>
      <x:c r="K268" s="26" t="n">
        <x:v>0.4</x:v>
      </x:c>
      <x:c r="L268" s="22" t="n">
        <x:v>-509.99700000000075</x:v>
      </x:c>
      <x:c r="M268" t="n">
        <x:v>2014</x:v>
      </x:c>
      <x:c r="N268" s="20" t="n">
        <x:v>41883</x:v>
      </x:c>
    </x:row>
    <x:row r="269" ht="18" customHeight="1">
      <x:c r="A269" t="str">
        <x:v>US-2014-106992</x:v>
      </x:c>
      <x:c r="B269" s="18" t="n">
        <x:v>41901</x:v>
      </x:c>
      <x:c r="C269" t="str">
        <x:v>SB-20290</x:v>
      </x:c>
      <x:c r="D269" t="str">
        <x:v>Sean Braxton</x:v>
      </x:c>
      <x:c r="E269" t="str">
        <x:v>Corporate</x:v>
      </x:c>
      <x:c r="F269" t="str">
        <x:v>Central</x:v>
      </x:c>
      <x:c r="G269" t="str">
        <x:v>Technology</x:v>
      </x:c>
      <x:c r="H269" t="str">
        <x:v>Machines</x:v>
      </x:c>
      <x:c r="I269" s="22" t="n">
        <x:v>2519.9579999999996</x:v>
      </x:c>
      <x:c r="J269" s="24" t="n">
        <x:v>7</x:v>
      </x:c>
      <x:c r="K269" s="26" t="n">
        <x:v>0.4</x:v>
      </x:c>
      <x:c r="L269" s="22" t="n">
        <x:v>-251.99579999999992</x:v>
      </x:c>
      <x:c r="M269" t="n">
        <x:v>2014</x:v>
      </x:c>
      <x:c r="N269" s="20" t="n">
        <x:v>41883</x:v>
      </x:c>
    </x:row>
    <x:row r="270" ht="18" customHeight="1">
      <x:c r="A270" t="str">
        <x:v>CA-2016-125318</x:v>
      </x:c>
      <x:c r="B270" s="18" t="n">
        <x:v>42527</x:v>
      </x:c>
      <x:c r="C270" t="str">
        <x:v>RC-19825</x:v>
      </x:c>
      <x:c r="D270" t="str">
        <x:v>Roy Collins</x:v>
      </x:c>
      <x:c r="E270" t="str">
        <x:v>Consumer</x:v>
      </x:c>
      <x:c r="F270" t="str">
        <x:v>Central</x:v>
      </x:c>
      <x:c r="G270" t="str">
        <x:v>Technology</x:v>
      </x:c>
      <x:c r="H270" t="str">
        <x:v>Phones</x:v>
      </x:c>
      <x:c r="I270" s="22" t="n">
        <x:v>328.224</x:v>
      </x:c>
      <x:c r="J270" s="24" t="n">
        <x:v>4</x:v>
      </x:c>
      <x:c r="K270" s="26" t="n">
        <x:v>0.2</x:v>
      </x:c>
      <x:c r="L270" s="22" t="n">
        <x:v>28.7196</x:v>
      </x:c>
      <x:c r="M270" t="n">
        <x:v>2016</x:v>
      </x:c>
      <x:c r="N270" s="20" t="n">
        <x:v>42522</x:v>
      </x:c>
    </x:row>
    <x:row r="271" ht="18" customHeight="1">
      <x:c r="A271" t="str">
        <x:v>CA-2015-155040</x:v>
      </x:c>
      <x:c r="B271" s="18" t="n">
        <x:v>42318</x:v>
      </x:c>
      <x:c r="C271" t="str">
        <x:v>AH-10210</x:v>
      </x:c>
      <x:c r="D271" t="str">
        <x:v>Alan Hwang</x:v>
      </x:c>
      <x:c r="E271" t="str">
        <x:v>Consumer</x:v>
      </x:c>
      <x:c r="F271" t="str">
        <x:v>West</x:v>
      </x:c>
      <x:c r="G271" t="str">
        <x:v>Technology</x:v>
      </x:c>
      <x:c r="H271" t="str">
        <x:v>Accessories</x:v>
      </x:c>
      <x:c r="I271" s="22" t="n">
        <x:v>79.9</x:v>
      </x:c>
      <x:c r="J271" s="24" t="n">
        <x:v>2</x:v>
      </x:c>
      <x:c r="K271" s="26" t="n">
        <x:v>0</x:v>
      </x:c>
      <x:c r="L271" s="22" t="n">
        <x:v>35.156000000000006</x:v>
      </x:c>
      <x:c r="M271" t="n">
        <x:v>2015</x:v>
      </x:c>
      <x:c r="N271" s="20" t="n">
        <x:v>42309</x:v>
      </x:c>
    </x:row>
    <x:row r="272" ht="18" customHeight="1">
      <x:c r="A272" t="str">
        <x:v>CA-2017-136826</x:v>
      </x:c>
      <x:c r="B272" s="18" t="n">
        <x:v>42902</x:v>
      </x:c>
      <x:c r="C272" t="str">
        <x:v>CB-12535</x:v>
      </x:c>
      <x:c r="D272" t="str">
        <x:v>Claudia Bergmann</x:v>
      </x:c>
      <x:c r="E272" t="str">
        <x:v>Corporate</x:v>
      </x:c>
      <x:c r="F272" t="str">
        <x:v>South</x:v>
      </x:c>
      <x:c r="G272" t="str">
        <x:v>Office Supplies</x:v>
      </x:c>
      <x:c r="H272" t="str">
        <x:v>Art</x:v>
      </x:c>
      <x:c r="I272" s="22" t="n">
        <x:v>14.015999999999998</x:v>
      </x:c>
      <x:c r="J272" s="24" t="n">
        <x:v>3</x:v>
      </x:c>
      <x:c r="K272" s="26" t="n">
        <x:v>0.2</x:v>
      </x:c>
      <x:c r="L272" s="22" t="n">
        <x:v>4.7303999999999995</x:v>
      </x:c>
      <x:c r="M272" t="n">
        <x:v>2017</x:v>
      </x:c>
      <x:c r="N272" s="20" t="n">
        <x:v>42887</x:v>
      </x:c>
    </x:row>
    <x:row r="273" ht="18" customHeight="1">
      <x:c r="A273" t="str">
        <x:v>CA-2016-111010</x:v>
      </x:c>
      <x:c r="B273" s="18" t="n">
        <x:v>42391</x:v>
      </x:c>
      <x:c r="C273" t="str">
        <x:v>PG-18895</x:v>
      </x:c>
      <x:c r="D273" t="str">
        <x:v>Paul Gonzalez</x:v>
      </x:c>
      <x:c r="E273" t="str">
        <x:v>Consumer</x:v>
      </x:c>
      <x:c r="F273" t="str">
        <x:v>East</x:v>
      </x:c>
      <x:c r="G273" t="str">
        <x:v>Office Supplies</x:v>
      </x:c>
      <x:c r="H273" t="str">
        <x:v>Fasteners</x:v>
      </x:c>
      <x:c r="I273" s="22" t="n">
        <x:v>7.5600000000000005</x:v>
      </x:c>
      <x:c r="J273" s="24" t="n">
        <x:v>6</x:v>
      </x:c>
      <x:c r="K273" s="26" t="n">
        <x:v>0</x:v>
      </x:c>
      <x:c r="L273" s="22" t="n">
        <x:v>0.3024</x:v>
      </x:c>
      <x:c r="M273" t="n">
        <x:v>2016</x:v>
      </x:c>
      <x:c r="N273" s="20" t="n">
        <x:v>42370</x:v>
      </x:c>
    </x:row>
    <x:row r="274" ht="18" customHeight="1">
      <x:c r="A274" t="str">
        <x:v>US-2017-145366</x:v>
      </x:c>
      <x:c r="B274" s="18" t="n">
        <x:v>43078</x:v>
      </x:c>
      <x:c r="C274" t="str">
        <x:v>CA-12310</x:v>
      </x:c>
      <x:c r="D274" t="str">
        <x:v>Christine Abelman</x:v>
      </x:c>
      <x:c r="E274" t="str">
        <x:v>Corporate</x:v>
      </x:c>
      <x:c r="F274" t="str">
        <x:v>East</x:v>
      </x:c>
      <x:c r="G274" t="str">
        <x:v>Office Supplies</x:v>
      </x:c>
      <x:c r="H274" t="str">
        <x:v>Storage</x:v>
      </x:c>
      <x:c r="I274" s="22" t="n">
        <x:v>37.208</x:v>
      </x:c>
      <x:c r="J274" s="24" t="n">
        <x:v>1</x:v>
      </x:c>
      <x:c r="K274" s="26" t="n">
        <x:v>0.2</x:v>
      </x:c>
      <x:c r="L274" s="22" t="n">
        <x:v>-7.441600000000001</x:v>
      </x:c>
      <x:c r="M274" t="n">
        <x:v>2017</x:v>
      </x:c>
      <x:c r="N274" s="20" t="n">
        <x:v>43070</x:v>
      </x:c>
    </x:row>
    <x:row r="275" ht="18" customHeight="1">
      <x:c r="A275" t="str">
        <x:v>US-2017-145366</x:v>
      </x:c>
      <x:c r="B275" s="18" t="n">
        <x:v>43078</x:v>
      </x:c>
      <x:c r="C275" t="str">
        <x:v>CA-12310</x:v>
      </x:c>
      <x:c r="D275" t="str">
        <x:v>Christine Abelman</x:v>
      </x:c>
      <x:c r="E275" t="str">
        <x:v>Corporate</x:v>
      </x:c>
      <x:c r="F275" t="str">
        <x:v>East</x:v>
      </x:c>
      <x:c r="G275" t="str">
        <x:v>Office Supplies</x:v>
      </x:c>
      <x:c r="H275" t="str">
        <x:v>Envelopes</x:v>
      </x:c>
      <x:c r="I275" s="22" t="n">
        <x:v>57.576</x:v>
      </x:c>
      <x:c r="J275" s="24" t="n">
        <x:v>3</x:v>
      </x:c>
      <x:c r="K275" s="26" t="n">
        <x:v>0.2</x:v>
      </x:c>
      <x:c r="L275" s="22" t="n">
        <x:v>21.591</x:v>
      </x:c>
      <x:c r="M275" t="n">
        <x:v>2017</x:v>
      </x:c>
      <x:c r="N275" s="20" t="n">
        <x:v>43070</x:v>
      </x:c>
    </x:row>
    <x:row r="276" ht="18" customHeight="1">
      <x:c r="A276" t="str">
        <x:v>CA-2017-163979</x:v>
      </x:c>
      <x:c r="B276" s="18" t="n">
        <x:v>43097</x:v>
      </x:c>
      <x:c r="C276" t="str">
        <x:v>KH-16690</x:v>
      </x:c>
      <x:c r="D276" t="str">
        <x:v>Kristen Hastings</x:v>
      </x:c>
      <x:c r="E276" t="str">
        <x:v>Corporate</x:v>
      </x:c>
      <x:c r="F276" t="str">
        <x:v>West</x:v>
      </x:c>
      <x:c r="G276" t="str">
        <x:v>Office Supplies</x:v>
      </x:c>
      <x:c r="H276" t="str">
        <x:v>Storage</x:v>
      </x:c>
      <x:c r="I276" s="22" t="n">
        <x:v>725.84</x:v>
      </x:c>
      <x:c r="J276" s="24" t="n">
        <x:v>4</x:v>
      </x:c>
      <x:c r="K276" s="26" t="n">
        <x:v>0</x:v>
      </x:c>
      <x:c r="L276" s="22" t="n">
        <x:v>210.4935999999999</x:v>
      </x:c>
      <x:c r="M276" t="n">
        <x:v>2017</x:v>
      </x:c>
      <x:c r="N276" s="20" t="n">
        <x:v>43070</x:v>
      </x:c>
    </x:row>
    <x:row r="277" ht="18" customHeight="1">
      <x:c r="A277" t="str">
        <x:v>CA-2015-155334</x:v>
      </x:c>
      <x:c r="B277" s="18" t="n">
        <x:v>42215</x:v>
      </x:c>
      <x:c r="C277" t="str">
        <x:v>HA-14920</x:v>
      </x:c>
      <x:c r="D277" t="str">
        <x:v>Helen Andreada</x:v>
      </x:c>
      <x:c r="E277" t="str">
        <x:v>Consumer</x:v>
      </x:c>
      <x:c r="F277" t="str">
        <x:v>West</x:v>
      </x:c>
      <x:c r="G277" t="str">
        <x:v>Technology</x:v>
      </x:c>
      <x:c r="H277" t="str">
        <x:v>Accessories</x:v>
      </x:c>
      <x:c r="I277" s="22" t="n">
        <x:v>209.92999999999998</x:v>
      </x:c>
      <x:c r="J277" s="24" t="n">
        <x:v>7</x:v>
      </x:c>
      <x:c r="K277" s="26" t="n">
        <x:v>0</x:v>
      </x:c>
      <x:c r="L277" s="22" t="n">
        <x:v>92.36920000000002</x:v>
      </x:c>
      <x:c r="M277" t="n">
        <x:v>2015</x:v>
      </x:c>
      <x:c r="N277" s="20" t="n">
        <x:v>42186</x:v>
      </x:c>
    </x:row>
    <x:row r="278" ht="18" customHeight="1">
      <x:c r="A278" t="str">
        <x:v>CA-2015-155334</x:v>
      </x:c>
      <x:c r="B278" s="18" t="n">
        <x:v>42215</x:v>
      </x:c>
      <x:c r="C278" t="str">
        <x:v>HA-14920</x:v>
      </x:c>
      <x:c r="D278" t="str">
        <x:v>Helen Andreada</x:v>
      </x:c>
      <x:c r="E278" t="str">
        <x:v>Consumer</x:v>
      </x:c>
      <x:c r="F278" t="str">
        <x:v>West</x:v>
      </x:c>
      <x:c r="G278" t="str">
        <x:v>Furniture</x:v>
      </x:c>
      <x:c r="H278" t="str">
        <x:v>Furnishings</x:v>
      </x:c>
      <x:c r="I278" s="22" t="n">
        <x:v>5.28</x:v>
      </x:c>
      <x:c r="J278" s="24" t="n">
        <x:v>3</x:v>
      </x:c>
      <x:c r="K278" s="26" t="n">
        <x:v>0</x:v>
      </x:c>
      <x:c r="L278" s="22" t="n">
        <x:v>2.3232000000000004</x:v>
      </x:c>
      <x:c r="M278" t="n">
        <x:v>2015</x:v>
      </x:c>
      <x:c r="N278" s="20" t="n">
        <x:v>42186</x:v>
      </x:c>
    </x:row>
    <x:row r="279" ht="18" customHeight="1">
      <x:c r="A279" t="str">
        <x:v>CA-2015-155334</x:v>
      </x:c>
      <x:c r="B279" s="18" t="n">
        <x:v>42215</x:v>
      </x:c>
      <x:c r="C279" t="str">
        <x:v>HA-14920</x:v>
      </x:c>
      <x:c r="D279" t="str">
        <x:v>Helen Andreada</x:v>
      </x:c>
      <x:c r="E279" t="str">
        <x:v>Consumer</x:v>
      </x:c>
      <x:c r="F279" t="str">
        <x:v>West</x:v>
      </x:c>
      <x:c r="G279" t="str">
        <x:v>Office Supplies</x:v>
      </x:c>
      <x:c r="H279" t="str">
        <x:v>Binders</x:v>
      </x:c>
      <x:c r="I279" s="22" t="n">
        <x:v>10.92</x:v>
      </x:c>
      <x:c r="J279" s="24" t="n">
        <x:v>3</x:v>
      </x:c>
      <x:c r="K279" s="26" t="n">
        <x:v>0.2</x:v>
      </x:c>
      <x:c r="L279" s="22" t="n">
        <x:v>4.094999999999999</x:v>
      </x:c>
      <x:c r="M279" t="n">
        <x:v>2015</x:v>
      </x:c>
      <x:c r="N279" s="20" t="n">
        <x:v>42186</x:v>
      </x:c>
    </x:row>
    <x:row r="280" ht="18" customHeight="1">
      <x:c r="A280" t="str">
        <x:v>CA-2017-118136</x:v>
      </x:c>
      <x:c r="B280" s="18" t="n">
        <x:v>42994</x:v>
      </x:c>
      <x:c r="C280" t="str">
        <x:v>BB-10990</x:v>
      </x:c>
      <x:c r="D280" t="str">
        <x:v>Barry Blumstein</x:v>
      </x:c>
      <x:c r="E280" t="str">
        <x:v>Corporate</x:v>
      </x:c>
      <x:c r="F280" t="str">
        <x:v>West</x:v>
      </x:c>
      <x:c r="G280" t="str">
        <x:v>Office Supplies</x:v>
      </x:c>
      <x:c r="H280" t="str">
        <x:v>Paper</x:v>
      </x:c>
      <x:c r="I280" s="22" t="n">
        <x:v>8.82</x:v>
      </x:c>
      <x:c r="J280" s="24" t="n">
        <x:v>2</x:v>
      </x:c>
      <x:c r="K280" s="26" t="n">
        <x:v>0</x:v>
      </x:c>
      <x:c r="L280" s="22" t="n">
        <x:v>4.0572</x:v>
      </x:c>
      <x:c r="M280" t="n">
        <x:v>2017</x:v>
      </x:c>
      <x:c r="N280" s="20" t="n">
        <x:v>42979</x:v>
      </x:c>
    </x:row>
    <x:row r="281" ht="18" customHeight="1">
      <x:c r="A281" t="str">
        <x:v>CA-2017-118136</x:v>
      </x:c>
      <x:c r="B281" s="18" t="n">
        <x:v>42994</x:v>
      </x:c>
      <x:c r="C281" t="str">
        <x:v>BB-10990</x:v>
      </x:c>
      <x:c r="D281" t="str">
        <x:v>Barry Blumstein</x:v>
      </x:c>
      <x:c r="E281" t="str">
        <x:v>Corporate</x:v>
      </x:c>
      <x:c r="F281" t="str">
        <x:v>West</x:v>
      </x:c>
      <x:c r="G281" t="str">
        <x:v>Office Supplies</x:v>
      </x:c>
      <x:c r="H281" t="str">
        <x:v>Art</x:v>
      </x:c>
      <x:c r="I281" s="22" t="n">
        <x:v>5.98</x:v>
      </x:c>
      <x:c r="J281" s="24" t="n">
        <x:v>1</x:v>
      </x:c>
      <x:c r="K281" s="26" t="n">
        <x:v>0</x:v>
      </x:c>
      <x:c r="L281" s="22" t="n">
        <x:v>1.5548000000000002</x:v>
      </x:c>
      <x:c r="M281" t="n">
        <x:v>2017</x:v>
      </x:c>
      <x:c r="N281" s="20" t="n">
        <x:v>42979</x:v>
      </x:c>
    </x:row>
    <x:row r="282" ht="18" customHeight="1">
      <x:c r="A282" t="str">
        <x:v>CA-2017-132976</x:v>
      </x:c>
      <x:c r="B282" s="18" t="n">
        <x:v>43021</x:v>
      </x:c>
      <x:c r="C282" t="str">
        <x:v>AG-10495</x:v>
      </x:c>
      <x:c r="D282" t="str">
        <x:v>Andrew Gjertsen</x:v>
      </x:c>
      <x:c r="E282" t="str">
        <x:v>Corporate</x:v>
      </x:c>
      <x:c r="F282" t="str">
        <x:v>East</x:v>
      </x:c>
      <x:c r="G282" t="str">
        <x:v>Office Supplies</x:v>
      </x:c>
      <x:c r="H282" t="str">
        <x:v>Paper</x:v>
      </x:c>
      <x:c r="I282" s="22" t="n">
        <x:v>11.648000000000001</x:v>
      </x:c>
      <x:c r="J282" s="24" t="n">
        <x:v>2</x:v>
      </x:c>
      <x:c r="K282" s="26" t="n">
        <x:v>0.2</x:v>
      </x:c>
      <x:c r="L282" s="22" t="n">
        <x:v>4.0768</x:v>
      </x:c>
      <x:c r="M282" t="n">
        <x:v>2017</x:v>
      </x:c>
      <x:c r="N282" s="20" t="n">
        <x:v>43009</x:v>
      </x:c>
    </x:row>
    <x:row r="283" ht="18" customHeight="1">
      <x:c r="A283" t="str">
        <x:v>CA-2017-132976</x:v>
      </x:c>
      <x:c r="B283" s="18" t="n">
        <x:v>43021</x:v>
      </x:c>
      <x:c r="C283" t="str">
        <x:v>AG-10495</x:v>
      </x:c>
      <x:c r="D283" t="str">
        <x:v>Andrew Gjertsen</x:v>
      </x:c>
      <x:c r="E283" t="str">
        <x:v>Corporate</x:v>
      </x:c>
      <x:c r="F283" t="str">
        <x:v>East</x:v>
      </x:c>
      <x:c r="G283" t="str">
        <x:v>Office Supplies</x:v>
      </x:c>
      <x:c r="H283" t="str">
        <x:v>Paper</x:v>
      </x:c>
      <x:c r="I283" s="22" t="n">
        <x:v>18.176</x:v>
      </x:c>
      <x:c r="J283" s="24" t="n">
        <x:v>4</x:v>
      </x:c>
      <x:c r="K283" s="26" t="n">
        <x:v>0.2</x:v>
      </x:c>
      <x:c r="L283" s="22" t="n">
        <x:v>5.907199999999999</x:v>
      </x:c>
      <x:c r="M283" t="n">
        <x:v>2017</x:v>
      </x:c>
      <x:c r="N283" s="20" t="n">
        <x:v>43009</x:v>
      </x:c>
    </x:row>
    <x:row r="284" ht="18" customHeight="1">
      <x:c r="A284" t="str">
        <x:v>CA-2017-132976</x:v>
      </x:c>
      <x:c r="B284" s="18" t="n">
        <x:v>43021</x:v>
      </x:c>
      <x:c r="C284" t="str">
        <x:v>AG-10495</x:v>
      </x:c>
      <x:c r="D284" t="str">
        <x:v>Andrew Gjertsen</x:v>
      </x:c>
      <x:c r="E284" t="str">
        <x:v>Corporate</x:v>
      </x:c>
      <x:c r="F284" t="str">
        <x:v>East</x:v>
      </x:c>
      <x:c r="G284" t="str">
        <x:v>Office Supplies</x:v>
      </x:c>
      <x:c r="H284" t="str">
        <x:v>Storage</x:v>
      </x:c>
      <x:c r="I284" s="22" t="n">
        <x:v>59.712</x:v>
      </x:c>
      <x:c r="J284" s="24" t="n">
        <x:v>6</x:v>
      </x:c>
      <x:c r="K284" s="26" t="n">
        <x:v>0.2</x:v>
      </x:c>
      <x:c r="L284" s="22" t="n">
        <x:v>5.9712</x:v>
      </x:c>
      <x:c r="M284" t="n">
        <x:v>2017</x:v>
      </x:c>
      <x:c r="N284" s="20" t="n">
        <x:v>43009</x:v>
      </x:c>
    </x:row>
    <x:row r="285" ht="18" customHeight="1">
      <x:c r="A285" t="str">
        <x:v>CA-2017-132976</x:v>
      </x:c>
      <x:c r="B285" s="18" t="n">
        <x:v>43021</x:v>
      </x:c>
      <x:c r="C285" t="str">
        <x:v>AG-10495</x:v>
      </x:c>
      <x:c r="D285" t="str">
        <x:v>Andrew Gjertsen</x:v>
      </x:c>
      <x:c r="E285" t="str">
        <x:v>Corporate</x:v>
      </x:c>
      <x:c r="F285" t="str">
        <x:v>East</x:v>
      </x:c>
      <x:c r="G285" t="str">
        <x:v>Office Supplies</x:v>
      </x:c>
      <x:c r="H285" t="str">
        <x:v>Labels</x:v>
      </x:c>
      <x:c r="I285" s="22" t="n">
        <x:v>24.839999999999996</x:v>
      </x:c>
      <x:c r="J285" s="24" t="n">
        <x:v>3</x:v>
      </x:c>
      <x:c r="K285" s="26" t="n">
        <x:v>0.2</x:v>
      </x:c>
      <x:c r="L285" s="22" t="n">
        <x:v>8.694</x:v>
      </x:c>
      <x:c r="M285" t="n">
        <x:v>2017</x:v>
      </x:c>
      <x:c r="N285" s="20" t="n">
        <x:v>43009</x:v>
      </x:c>
    </x:row>
    <x:row r="286" ht="18" customHeight="1">
      <x:c r="A286" t="str">
        <x:v>US-2015-161991</x:v>
      </x:c>
      <x:c r="B286" s="18" t="n">
        <x:v>42273</x:v>
      </x:c>
      <x:c r="C286" t="str">
        <x:v>SC-20725</x:v>
      </x:c>
      <x:c r="D286" t="str">
        <x:v>Steven Cartwright</x:v>
      </x:c>
      <x:c r="E286" t="str">
        <x:v>Consumer</x:v>
      </x:c>
      <x:c r="F286" t="str">
        <x:v>Central</x:v>
      </x:c>
      <x:c r="G286" t="str">
        <x:v>Office Supplies</x:v>
      </x:c>
      <x:c r="H286" t="str">
        <x:v>Binders</x:v>
      </x:c>
      <x:c r="I286" s="22" t="n">
        <x:v>2.0799999999999996</x:v>
      </x:c>
      <x:c r="J286" s="24" t="n">
        <x:v>5</x:v>
      </x:c>
      <x:c r="K286" s="26" t="n">
        <x:v>0.8</x:v>
      </x:c>
      <x:c r="L286" s="22" t="n">
        <x:v>-3.4320000000000004</x:v>
      </x:c>
      <x:c r="M286" t="n">
        <x:v>2015</x:v>
      </x:c>
      <x:c r="N286" s="20" t="n">
        <x:v>42248</x:v>
      </x:c>
    </x:row>
    <x:row r="287" ht="18" customHeight="1">
      <x:c r="A287" t="str">
        <x:v>US-2015-161991</x:v>
      </x:c>
      <x:c r="B287" s="18" t="n">
        <x:v>42273</x:v>
      </x:c>
      <x:c r="C287" t="str">
        <x:v>SC-20725</x:v>
      </x:c>
      <x:c r="D287" t="str">
        <x:v>Steven Cartwright</x:v>
      </x:c>
      <x:c r="E287" t="str">
        <x:v>Consumer</x:v>
      </x:c>
      <x:c r="F287" t="str">
        <x:v>Central</x:v>
      </x:c>
      <x:c r="G287" t="str">
        <x:v>Technology</x:v>
      </x:c>
      <x:c r="H287" t="str">
        <x:v>Phones</x:v>
      </x:c>
      <x:c r="I287" s="22" t="n">
        <x:v>1114.4</x:v>
      </x:c>
      <x:c r="J287" s="24" t="n">
        <x:v>7</x:v>
      </x:c>
      <x:c r="K287" s="26" t="n">
        <x:v>0.2</x:v>
      </x:c>
      <x:c r="L287" s="22" t="n">
        <x:v>376.11</x:v>
      </x:c>
      <x:c r="M287" t="n">
        <x:v>2015</x:v>
      </x:c>
      <x:c r="N287" s="20" t="n">
        <x:v>42248</x:v>
      </x:c>
    </x:row>
    <x:row r="288" ht="18" customHeight="1">
      <x:c r="A288" t="str">
        <x:v>CA-2015-130890</x:v>
      </x:c>
      <x:c r="B288" s="18" t="n">
        <x:v>42310</x:v>
      </x:c>
      <x:c r="C288" t="str">
        <x:v>JO-15280</x:v>
      </x:c>
      <x:c r="D288" t="str">
        <x:v>Jas O'Carroll</x:v>
      </x:c>
      <x:c r="E288" t="str">
        <x:v>Consumer</x:v>
      </x:c>
      <x:c r="F288" t="str">
        <x:v>West</x:v>
      </x:c>
      <x:c r="G288" t="str">
        <x:v>Furniture</x:v>
      </x:c>
      <x:c r="H288" t="str">
        <x:v>Tables</x:v>
      </x:c>
      <x:c r="I288" s="22" t="n">
        <x:v>1038.84</x:v>
      </x:c>
      <x:c r="J288" s="24" t="n">
        <x:v>5</x:v>
      </x:c>
      <x:c r="K288" s="26" t="n">
        <x:v>0.2</x:v>
      </x:c>
      <x:c r="L288" s="22" t="n">
        <x:v>51.94200000000001</x:v>
      </x:c>
      <x:c r="M288" t="n">
        <x:v>2015</x:v>
      </x:c>
      <x:c r="N288" s="20" t="n">
        <x:v>42309</x:v>
      </x:c>
    </x:row>
    <x:row r="289" ht="18" customHeight="1">
      <x:c r="A289" t="str">
        <x:v>CA-2015-130883</x:v>
      </x:c>
      <x:c r="B289" s="18" t="n">
        <x:v>42273</x:v>
      </x:c>
      <x:c r="C289" t="str">
        <x:v>TB-21520</x:v>
      </x:c>
      <x:c r="D289" t="str">
        <x:v>Tracy Blumstein</x:v>
      </x:c>
      <x:c r="E289" t="str">
        <x:v>Consumer</x:v>
      </x:c>
      <x:c r="F289" t="str">
        <x:v>West</x:v>
      </x:c>
      <x:c r="G289" t="str">
        <x:v>Office Supplies</x:v>
      </x:c>
      <x:c r="H289" t="str">
        <x:v>Paper</x:v>
      </x:c>
      <x:c r="I289" s="22" t="n">
        <x:v>141.76</x:v>
      </x:c>
      <x:c r="J289" s="24" t="n">
        <x:v>5</x:v>
      </x:c>
      <x:c r="K289" s="26" t="n">
        <x:v>0.2</x:v>
      </x:c>
      <x:c r="L289" s="22" t="n">
        <x:v>47.843999999999994</x:v>
      </x:c>
      <x:c r="M289" t="n">
        <x:v>2015</x:v>
      </x:c>
      <x:c r="N289" s="20" t="n">
        <x:v>42248</x:v>
      </x:c>
    </x:row>
    <x:row r="290" ht="18" customHeight="1">
      <x:c r="A290" t="str">
        <x:v>CA-2015-130883</x:v>
      </x:c>
      <x:c r="B290" s="18" t="n">
        <x:v>42273</x:v>
      </x:c>
      <x:c r="C290" t="str">
        <x:v>TB-21520</x:v>
      </x:c>
      <x:c r="D290" t="str">
        <x:v>Tracy Blumstein</x:v>
      </x:c>
      <x:c r="E290" t="str">
        <x:v>Consumer</x:v>
      </x:c>
      <x:c r="F290" t="str">
        <x:v>West</x:v>
      </x:c>
      <x:c r="G290" t="str">
        <x:v>Technology</x:v>
      </x:c>
      <x:c r="H290" t="str">
        <x:v>Accessories</x:v>
      </x:c>
      <x:c r="I290" s="22" t="n">
        <x:v>239.80000000000004</x:v>
      </x:c>
      <x:c r="J290" s="24" t="n">
        <x:v>5</x:v>
      </x:c>
      <x:c r="K290" s="26" t="n">
        <x:v>0.2</x:v>
      </x:c>
      <x:c r="L290" s="22" t="n">
        <x:v>47.95999999999999</x:v>
      </x:c>
      <x:c r="M290" t="n">
        <x:v>2015</x:v>
      </x:c>
      <x:c r="N290" s="20" t="n">
        <x:v>42248</x:v>
      </x:c>
    </x:row>
    <x:row r="291" ht="18" customHeight="1">
      <x:c r="A291" t="str">
        <x:v>CA-2015-130883</x:v>
      </x:c>
      <x:c r="B291" s="18" t="n">
        <x:v>42273</x:v>
      </x:c>
      <x:c r="C291" t="str">
        <x:v>TB-21520</x:v>
      </x:c>
      <x:c r="D291" t="str">
        <x:v>Tracy Blumstein</x:v>
      </x:c>
      <x:c r="E291" t="str">
        <x:v>Consumer</x:v>
      </x:c>
      <x:c r="F291" t="str">
        <x:v>West</x:v>
      </x:c>
      <x:c r="G291" t="str">
        <x:v>Office Supplies</x:v>
      </x:c>
      <x:c r="H291" t="str">
        <x:v>Paper</x:v>
      </x:c>
      <x:c r="I291" s="22" t="n">
        <x:v>31.104000000000006</x:v>
      </x:c>
      <x:c r="J291" s="24" t="n">
        <x:v>6</x:v>
      </x:c>
      <x:c r="K291" s="26" t="n">
        <x:v>0.2</x:v>
      </x:c>
      <x:c r="L291" s="22" t="n">
        <x:v>10.8864</x:v>
      </x:c>
      <x:c r="M291" t="n">
        <x:v>2015</x:v>
      </x:c>
      <x:c r="N291" s="20" t="n">
        <x:v>42248</x:v>
      </x:c>
    </x:row>
    <x:row r="292" ht="18" customHeight="1">
      <x:c r="A292" t="str">
        <x:v>CA-2016-112697</x:v>
      </x:c>
      <x:c r="B292" s="18" t="n">
        <x:v>42722</x:v>
      </x:c>
      <x:c r="C292" t="str">
        <x:v>AH-10195</x:v>
      </x:c>
      <x:c r="D292" t="str">
        <x:v>Alan Haines</x:v>
      </x:c>
      <x:c r="E292" t="str">
        <x:v>Corporate</x:v>
      </x:c>
      <x:c r="F292" t="str">
        <x:v>South</x:v>
      </x:c>
      <x:c r="G292" t="str">
        <x:v>Office Supplies</x:v>
      </x:c>
      <x:c r="H292" t="str">
        <x:v>Binders</x:v>
      </x:c>
      <x:c r="I292" s="22" t="n">
        <x:v>254.05800000000002</x:v>
      </x:c>
      <x:c r="J292" s="24" t="n">
        <x:v>7</x:v>
      </x:c>
      <x:c r="K292" s="26" t="n">
        <x:v>0.7</x:v>
      </x:c>
      <x:c r="L292" s="22" t="n">
        <x:v>-169.3719999999999</x:v>
      </x:c>
      <x:c r="M292" t="n">
        <x:v>2016</x:v>
      </x:c>
      <x:c r="N292" s="20" t="n">
        <x:v>42705</x:v>
      </x:c>
    </x:row>
    <x:row r="293" ht="18" customHeight="1">
      <x:c r="A293" t="str">
        <x:v>CA-2016-112697</x:v>
      </x:c>
      <x:c r="B293" s="18" t="n">
        <x:v>42722</x:v>
      </x:c>
      <x:c r="C293" t="str">
        <x:v>AH-10195</x:v>
      </x:c>
      <x:c r="D293" t="str">
        <x:v>Alan Haines</x:v>
      </x:c>
      <x:c r="E293" t="str">
        <x:v>Corporate</x:v>
      </x:c>
      <x:c r="F293" t="str">
        <x:v>South</x:v>
      </x:c>
      <x:c r="G293" t="str">
        <x:v>Office Supplies</x:v>
      </x:c>
      <x:c r="H293" t="str">
        <x:v>Appliances</x:v>
      </x:c>
      <x:c r="I293" s="22" t="n">
        <x:v>194.52800000000002</x:v>
      </x:c>
      <x:c r="J293" s="24" t="n">
        <x:v>2</x:v>
      </x:c>
      <x:c r="K293" s="26" t="n">
        <x:v>0.2</x:v>
      </x:c>
      <x:c r="L293" s="22" t="n">
        <x:v>24.315999999999974</x:v>
      </x:c>
      <x:c r="M293" t="n">
        <x:v>2016</x:v>
      </x:c>
      <x:c r="N293" s="20" t="n">
        <x:v>42705</x:v>
      </x:c>
    </x:row>
    <x:row r="294" ht="18" customHeight="1">
      <x:c r="A294" t="str">
        <x:v>CA-2016-112697</x:v>
      </x:c>
      <x:c r="B294" s="18" t="n">
        <x:v>42722</x:v>
      </x:c>
      <x:c r="C294" t="str">
        <x:v>AH-10195</x:v>
      </x:c>
      <x:c r="D294" t="str">
        <x:v>Alan Haines</x:v>
      </x:c>
      <x:c r="E294" t="str">
        <x:v>Corporate</x:v>
      </x:c>
      <x:c r="F294" t="str">
        <x:v>South</x:v>
      </x:c>
      <x:c r="G294" t="str">
        <x:v>Office Supplies</x:v>
      </x:c>
      <x:c r="H294" t="str">
        <x:v>Supplies</x:v>
      </x:c>
      <x:c r="I294" s="22" t="n">
        <x:v>961.4800000000001</x:v>
      </x:c>
      <x:c r="J294" s="24" t="n">
        <x:v>5</x:v>
      </x:c>
      <x:c r="K294" s="26" t="n">
        <x:v>0.2</x:v>
      </x:c>
      <x:c r="L294" s="22" t="n">
        <x:v>-204.31449999999995</x:v>
      </x:c>
      <x:c r="M294" t="n">
        <x:v>2016</x:v>
      </x:c>
      <x:c r="N294" s="20" t="n">
        <x:v>42705</x:v>
      </x:c>
    </x:row>
    <x:row r="295" ht="18" customHeight="1">
      <x:c r="A295" t="str">
        <x:v>CA-2016-110772</x:v>
      </x:c>
      <x:c r="B295" s="18" t="n">
        <x:v>42694</x:v>
      </x:c>
      <x:c r="C295" t="str">
        <x:v>NZ-18565</x:v>
      </x:c>
      <x:c r="D295" t="str">
        <x:v>Nick Zandusky</x:v>
      </x:c>
      <x:c r="E295" t="str">
        <x:v>Home Office</x:v>
      </x:c>
      <x:c r="F295" t="str">
        <x:v>East</x:v>
      </x:c>
      <x:c r="G295" t="str">
        <x:v>Office Supplies</x:v>
      </x:c>
      <x:c r="H295" t="str">
        <x:v>Fasteners</x:v>
      </x:c>
      <x:c r="I295" s="22" t="n">
        <x:v>19.096</x:v>
      </x:c>
      <x:c r="J295" s="24" t="n">
        <x:v>7</x:v>
      </x:c>
      <x:c r="K295" s="26" t="n">
        <x:v>0.2</x:v>
      </x:c>
      <x:c r="L295" s="22" t="n">
        <x:v>6.683599999999999</x:v>
      </x:c>
      <x:c r="M295" t="n">
        <x:v>2016</x:v>
      </x:c>
      <x:c r="N295" s="20" t="n">
        <x:v>42675</x:v>
      </x:c>
    </x:row>
    <x:row r="296" ht="18" customHeight="1">
      <x:c r="A296" t="str">
        <x:v>CA-2016-110772</x:v>
      </x:c>
      <x:c r="B296" s="18" t="n">
        <x:v>42694</x:v>
      </x:c>
      <x:c r="C296" t="str">
        <x:v>NZ-18565</x:v>
      </x:c>
      <x:c r="D296" t="str">
        <x:v>Nick Zandusky</x:v>
      </x:c>
      <x:c r="E296" t="str">
        <x:v>Home Office</x:v>
      </x:c>
      <x:c r="F296" t="str">
        <x:v>East</x:v>
      </x:c>
      <x:c r="G296" t="str">
        <x:v>Office Supplies</x:v>
      </x:c>
      <x:c r="H296" t="str">
        <x:v>Labels</x:v>
      </x:c>
      <x:c r="I296" s="22" t="n">
        <x:v>18.496000000000002</x:v>
      </x:c>
      <x:c r="J296" s="24" t="n">
        <x:v>8</x:v>
      </x:c>
      <x:c r="K296" s="26" t="n">
        <x:v>0.2</x:v>
      </x:c>
      <x:c r="L296" s="22" t="n">
        <x:v>6.2424</x:v>
      </x:c>
      <x:c r="M296" t="n">
        <x:v>2016</x:v>
      </x:c>
      <x:c r="N296" s="20" t="n">
        <x:v>42675</x:v>
      </x:c>
    </x:row>
    <x:row r="297" ht="18" customHeight="1">
      <x:c r="A297" t="str">
        <x:v>CA-2016-110772</x:v>
      </x:c>
      <x:c r="B297" s="18" t="n">
        <x:v>42694</x:v>
      </x:c>
      <x:c r="C297" t="str">
        <x:v>NZ-18565</x:v>
      </x:c>
      <x:c r="D297" t="str">
        <x:v>Nick Zandusky</x:v>
      </x:c>
      <x:c r="E297" t="str">
        <x:v>Home Office</x:v>
      </x:c>
      <x:c r="F297" t="str">
        <x:v>East</x:v>
      </x:c>
      <x:c r="G297" t="str">
        <x:v>Technology</x:v>
      </x:c>
      <x:c r="H297" t="str">
        <x:v>Accessories</x:v>
      </x:c>
      <x:c r="I297" s="22" t="n">
        <x:v>255.98400000000004</x:v>
      </x:c>
      <x:c r="J297" s="24" t="n">
        <x:v>2</x:v>
      </x:c>
      <x:c r="K297" s="26" t="n">
        <x:v>0.2</x:v>
      </x:c>
      <x:c r="L297" s="22" t="n">
        <x:v>54.39660000000001</x:v>
      </x:c>
      <x:c r="M297" t="n">
        <x:v>2016</x:v>
      </x:c>
      <x:c r="N297" s="20" t="n">
        <x:v>42675</x:v>
      </x:c>
    </x:row>
    <x:row r="298" ht="18" customHeight="1">
      <x:c r="A298" t="str">
        <x:v>CA-2016-110772</x:v>
      </x:c>
      <x:c r="B298" s="18" t="n">
        <x:v>42694</x:v>
      </x:c>
      <x:c r="C298" t="str">
        <x:v>NZ-18565</x:v>
      </x:c>
      <x:c r="D298" t="str">
        <x:v>Nick Zandusky</x:v>
      </x:c>
      <x:c r="E298" t="str">
        <x:v>Home Office</x:v>
      </x:c>
      <x:c r="F298" t="str">
        <x:v>East</x:v>
      </x:c>
      <x:c r="G298" t="str">
        <x:v>Furniture</x:v>
      </x:c>
      <x:c r="H298" t="str">
        <x:v>Bookcases</x:v>
      </x:c>
      <x:c r="I298" s="22" t="n">
        <x:v>86.97</x:v>
      </x:c>
      <x:c r="J298" s="24" t="n">
        <x:v>3</x:v>
      </x:c>
      <x:c r="K298" s="26" t="n">
        <x:v>0.5</x:v>
      </x:c>
      <x:c r="L298" s="22" t="n">
        <x:v>-48.703199999999995</x:v>
      </x:c>
      <x:c r="M298" t="n">
        <x:v>2016</x:v>
      </x:c>
      <x:c r="N298" s="20" t="n">
        <x:v>42675</x:v>
      </x:c>
    </x:row>
    <x:row r="299" ht="18" customHeight="1">
      <x:c r="A299" t="str">
        <x:v>CA-2014-111451</x:v>
      </x:c>
      <x:c r="B299" s="18" t="n">
        <x:v>41999</x:v>
      </x:c>
      <x:c r="C299" t="str">
        <x:v>KL-16555</x:v>
      </x:c>
      <x:c r="D299" t="str">
        <x:v>Kelly Lampkin</x:v>
      </x:c>
      <x:c r="E299" t="str">
        <x:v>Corporate</x:v>
      </x:c>
      <x:c r="F299" t="str">
        <x:v>West</x:v>
      </x:c>
      <x:c r="G299" t="str">
        <x:v>Furniture</x:v>
      </x:c>
      <x:c r="H299" t="str">
        <x:v>Furnishings</x:v>
      </x:c>
      <x:c r="I299" s="22" t="n">
        <x:v>300.416</x:v>
      </x:c>
      <x:c r="J299" s="24" t="n">
        <x:v>8</x:v>
      </x:c>
      <x:c r="K299" s="26" t="n">
        <x:v>0.2</x:v>
      </x:c>
      <x:c r="L299" s="22" t="n">
        <x:v>78.8592</x:v>
      </x:c>
      <x:c r="M299" t="n">
        <x:v>2014</x:v>
      </x:c>
      <x:c r="N299" s="20" t="n">
        <x:v>41974</x:v>
      </x:c>
    </x:row>
    <x:row r="300" ht="18" customHeight="1">
      <x:c r="A300" t="str">
        <x:v>CA-2014-111451</x:v>
      </x:c>
      <x:c r="B300" s="18" t="n">
        <x:v>41999</x:v>
      </x:c>
      <x:c r="C300" t="str">
        <x:v>KL-16555</x:v>
      </x:c>
      <x:c r="D300" t="str">
        <x:v>Kelly Lampkin</x:v>
      </x:c>
      <x:c r="E300" t="str">
        <x:v>Corporate</x:v>
      </x:c>
      <x:c r="F300" t="str">
        <x:v>West</x:v>
      </x:c>
      <x:c r="G300" t="str">
        <x:v>Furniture</x:v>
      </x:c>
      <x:c r="H300" t="str">
        <x:v>Chairs</x:v>
      </x:c>
      <x:c r="I300" s="22" t="n">
        <x:v>230.35200000000003</x:v>
      </x:c>
      <x:c r="J300" s="24" t="n">
        <x:v>3</x:v>
      </x:c>
      <x:c r="K300" s="26" t="n">
        <x:v>0.2</x:v>
      </x:c>
      <x:c r="L300" s="22" t="n">
        <x:v>20.155800000000013</x:v>
      </x:c>
      <x:c r="M300" t="n">
        <x:v>2014</x:v>
      </x:c>
      <x:c r="N300" s="20" t="n">
        <x:v>41974</x:v>
      </x:c>
    </x:row>
    <x:row r="301" ht="18" customHeight="1">
      <x:c r="A301" t="str">
        <x:v>CA-2014-111451</x:v>
      </x:c>
      <x:c r="B301" s="18" t="n">
        <x:v>41999</x:v>
      </x:c>
      <x:c r="C301" t="str">
        <x:v>KL-16555</x:v>
      </x:c>
      <x:c r="D301" t="str">
        <x:v>Kelly Lampkin</x:v>
      </x:c>
      <x:c r="E301" t="str">
        <x:v>Corporate</x:v>
      </x:c>
      <x:c r="F301" t="str">
        <x:v>West</x:v>
      </x:c>
      <x:c r="G301" t="str">
        <x:v>Furniture</x:v>
      </x:c>
      <x:c r="H301" t="str">
        <x:v>Furnishings</x:v>
      </x:c>
      <x:c r="I301" s="22" t="n">
        <x:v>218.35200000000003</x:v>
      </x:c>
      <x:c r="J301" s="24" t="n">
        <x:v>3</x:v>
      </x:c>
      <x:c r="K301" s="26" t="n">
        <x:v>0.2</x:v>
      </x:c>
      <x:c r="L301" s="22" t="n">
        <x:v>-24.5646</x:v>
      </x:c>
      <x:c r="M301" t="n">
        <x:v>2014</x:v>
      </x:c>
      <x:c r="N301" s="20" t="n">
        <x:v>41974</x:v>
      </x:c>
    </x:row>
    <x:row r="302" ht="18" customHeight="1">
      <x:c r="A302" t="str">
        <x:v>CA-2014-111451</x:v>
      </x:c>
      <x:c r="B302" s="18" t="n">
        <x:v>41999</x:v>
      </x:c>
      <x:c r="C302" t="str">
        <x:v>KL-16555</x:v>
      </x:c>
      <x:c r="D302" t="str">
        <x:v>Kelly Lampkin</x:v>
      </x:c>
      <x:c r="E302" t="str">
        <x:v>Corporate</x:v>
      </x:c>
      <x:c r="F302" t="str">
        <x:v>West</x:v>
      </x:c>
      <x:c r="G302" t="str">
        <x:v>Office Supplies</x:v>
      </x:c>
      <x:c r="H302" t="str">
        <x:v>Binders</x:v>
      </x:c>
      <x:c r="I302" s="22" t="n">
        <x:v>78.60000000000001</x:v>
      </x:c>
      <x:c r="J302" s="24" t="n">
        <x:v>5</x:v>
      </x:c>
      <x:c r="K302" s="26" t="n">
        <x:v>0.7</x:v>
      </x:c>
      <x:c r="L302" s="22" t="n">
        <x:v>-62.88000000000001</x:v>
      </x:c>
      <x:c r="M302" t="n">
        <x:v>2014</x:v>
      </x:c>
      <x:c r="N302" s="20" t="n">
        <x:v>41974</x:v>
      </x:c>
    </x:row>
    <x:row r="303" ht="18" customHeight="1">
      <x:c r="A303" t="str">
        <x:v>CA-2014-111451</x:v>
      </x:c>
      <x:c r="B303" s="18" t="n">
        <x:v>41999</x:v>
      </x:c>
      <x:c r="C303" t="str">
        <x:v>KL-16555</x:v>
      </x:c>
      <x:c r="D303" t="str">
        <x:v>Kelly Lampkin</x:v>
      </x:c>
      <x:c r="E303" t="str">
        <x:v>Corporate</x:v>
      </x:c>
      <x:c r="F303" t="str">
        <x:v>West</x:v>
      </x:c>
      <x:c r="G303" t="str">
        <x:v>Office Supplies</x:v>
      </x:c>
      <x:c r="H303" t="str">
        <x:v>Fasteners</x:v>
      </x:c>
      <x:c r="I303" s="22" t="n">
        <x:v>27.552000000000003</x:v>
      </x:c>
      <x:c r="J303" s="24" t="n">
        <x:v>3</x:v>
      </x:c>
      <x:c r="K303" s="26" t="n">
        <x:v>0.2</x:v>
      </x:c>
      <x:c r="L303" s="22" t="n">
        <x:v>9.298799999999996</x:v>
      </x:c>
      <x:c r="M303" t="n">
        <x:v>2014</x:v>
      </x:c>
      <x:c r="N303" s="20" t="n">
        <x:v>41974</x:v>
      </x:c>
    </x:row>
    <x:row r="304" ht="18" customHeight="1">
      <x:c r="A304" t="str">
        <x:v>CA-2016-142545</x:v>
      </x:c>
      <x:c r="B304" s="18" t="n">
        <x:v>42671</x:v>
      </x:c>
      <x:c r="C304" t="str">
        <x:v>JD-15895</x:v>
      </x:c>
      <x:c r="D304" t="str">
        <x:v>Jonathan Doherty</x:v>
      </x:c>
      <x:c r="E304" t="str">
        <x:v>Corporate</x:v>
      </x:c>
      <x:c r="F304" t="str">
        <x:v>East</x:v>
      </x:c>
      <x:c r="G304" t="str">
        <x:v>Office Supplies</x:v>
      </x:c>
      <x:c r="H304" t="str">
        <x:v>Paper</x:v>
      </x:c>
      <x:c r="I304" s="22" t="n">
        <x:v>32.400000000000006</x:v>
      </x:c>
      <x:c r="J304" s="24" t="n">
        <x:v>5</x:v>
      </x:c>
      <x:c r="K304" s="26" t="n">
        <x:v>0</x:v>
      </x:c>
      <x:c r="L304" s="22" t="n">
        <x:v>15.552000000000001</x:v>
      </x:c>
      <x:c r="M304" t="n">
        <x:v>2016</x:v>
      </x:c>
      <x:c r="N304" s="20" t="n">
        <x:v>42644</x:v>
      </x:c>
    </x:row>
    <x:row r="305" ht="18" customHeight="1">
      <x:c r="A305" t="str">
        <x:v>CA-2016-142545</x:v>
      </x:c>
      <x:c r="B305" s="18" t="n">
        <x:v>42671</x:v>
      </x:c>
      <x:c r="C305" t="str">
        <x:v>JD-15895</x:v>
      </x:c>
      <x:c r="D305" t="str">
        <x:v>Jonathan Doherty</x:v>
      </x:c>
      <x:c r="E305" t="str">
        <x:v>Corporate</x:v>
      </x:c>
      <x:c r="F305" t="str">
        <x:v>East</x:v>
      </x:c>
      <x:c r="G305" t="str">
        <x:v>Office Supplies</x:v>
      </x:c>
      <x:c r="H305" t="str">
        <x:v>Storage</x:v>
      </x:c>
      <x:c r="I305" s="22" t="n">
        <x:v>1082.48</x:v>
      </x:c>
      <x:c r="J305" s="24" t="n">
        <x:v>8</x:v>
      </x:c>
      <x:c r="K305" s="26" t="n">
        <x:v>0</x:v>
      </x:c>
      <x:c r="L305" s="22" t="n">
        <x:v>10.824800000000096</x:v>
      </x:c>
      <x:c r="M305" t="n">
        <x:v>2016</x:v>
      </x:c>
      <x:c r="N305" s="20" t="n">
        <x:v>42644</x:v>
      </x:c>
    </x:row>
    <x:row r="306" ht="18" customHeight="1">
      <x:c r="A306" t="str">
        <x:v>CA-2016-142545</x:v>
      </x:c>
      <x:c r="B306" s="18" t="n">
        <x:v>42671</x:v>
      </x:c>
      <x:c r="C306" t="str">
        <x:v>JD-15895</x:v>
      </x:c>
      <x:c r="D306" t="str">
        <x:v>Jonathan Doherty</x:v>
      </x:c>
      <x:c r="E306" t="str">
        <x:v>Corporate</x:v>
      </x:c>
      <x:c r="F306" t="str">
        <x:v>East</x:v>
      </x:c>
      <x:c r="G306" t="str">
        <x:v>Office Supplies</x:v>
      </x:c>
      <x:c r="H306" t="str">
        <x:v>Paper</x:v>
      </x:c>
      <x:c r="I306" s="22" t="n">
        <x:v>56.91</x:v>
      </x:c>
      <x:c r="J306" s="24" t="n">
        <x:v>3</x:v>
      </x:c>
      <x:c r="K306" s="26" t="n">
        <x:v>0</x:v>
      </x:c>
      <x:c r="L306" s="22" t="n">
        <x:v>27.316799999999997</x:v>
      </x:c>
      <x:c r="M306" t="n">
        <x:v>2016</x:v>
      </x:c>
      <x:c r="N306" s="20" t="n">
        <x:v>42644</x:v>
      </x:c>
    </x:row>
    <x:row r="307" ht="18" customHeight="1">
      <x:c r="A307" t="str">
        <x:v>CA-2016-142545</x:v>
      </x:c>
      <x:c r="B307" s="18" t="n">
        <x:v>42671</x:v>
      </x:c>
      <x:c r="C307" t="str">
        <x:v>JD-15895</x:v>
      </x:c>
      <x:c r="D307" t="str">
        <x:v>Jonathan Doherty</x:v>
      </x:c>
      <x:c r="E307" t="str">
        <x:v>Corporate</x:v>
      </x:c>
      <x:c r="F307" t="str">
        <x:v>East</x:v>
      </x:c>
      <x:c r="G307" t="str">
        <x:v>Furniture</x:v>
      </x:c>
      <x:c r="H307" t="str">
        <x:v>Furnishings</x:v>
      </x:c>
      <x:c r="I307" s="22" t="n">
        <x:v>77.6</x:v>
      </x:c>
      <x:c r="J307" s="24" t="n">
        <x:v>4</x:v>
      </x:c>
      <x:c r="K307" s="26" t="n">
        <x:v>0</x:v>
      </x:c>
      <x:c r="L307" s="22" t="n">
        <x:v>38.023999999999994</x:v>
      </x:c>
      <x:c r="M307" t="n">
        <x:v>2016</x:v>
      </x:c>
      <x:c r="N307" s="20" t="n">
        <x:v>42644</x:v>
      </x:c>
    </x:row>
    <x:row r="308" ht="18" customHeight="1">
      <x:c r="A308" t="str">
        <x:v>CA-2016-142545</x:v>
      </x:c>
      <x:c r="B308" s="18" t="n">
        <x:v>42671</x:v>
      </x:c>
      <x:c r="C308" t="str">
        <x:v>JD-15895</x:v>
      </x:c>
      <x:c r="D308" t="str">
        <x:v>Jonathan Doherty</x:v>
      </x:c>
      <x:c r="E308" t="str">
        <x:v>Corporate</x:v>
      </x:c>
      <x:c r="F308" t="str">
        <x:v>East</x:v>
      </x:c>
      <x:c r="G308" t="str">
        <x:v>Office Supplies</x:v>
      </x:c>
      <x:c r="H308" t="str">
        <x:v>Binders</x:v>
      </x:c>
      <x:c r="I308" s="22" t="n">
        <x:v>14.28</x:v>
      </x:c>
      <x:c r="J308" s="24" t="n">
        <x:v>1</x:v>
      </x:c>
      <x:c r="K308" s="26" t="n">
        <x:v>0</x:v>
      </x:c>
      <x:c r="L308" s="22" t="n">
        <x:v>6.5687999999999995</x:v>
      </x:c>
      <x:c r="M308" t="n">
        <x:v>2016</x:v>
      </x:c>
      <x:c r="N308" s="20" t="n">
        <x:v>42644</x:v>
      </x:c>
    </x:row>
    <x:row r="309" ht="18" customHeight="1">
      <x:c r="A309" t="str">
        <x:v>US-2017-152380</x:v>
      </x:c>
      <x:c r="B309" s="18" t="n">
        <x:v>43058</x:v>
      </x:c>
      <x:c r="C309" t="str">
        <x:v>JH-15910</x:v>
      </x:c>
      <x:c r="D309" t="str">
        <x:v>Jonathan Howell</x:v>
      </x:c>
      <x:c r="E309" t="str">
        <x:v>Consumer</x:v>
      </x:c>
      <x:c r="F309" t="str">
        <x:v>Central</x:v>
      </x:c>
      <x:c r="G309" t="str">
        <x:v>Furniture</x:v>
      </x:c>
      <x:c r="H309" t="str">
        <x:v>Tables</x:v>
      </x:c>
      <x:c r="I309" s="22" t="n">
        <x:v>219.07500000000002</x:v>
      </x:c>
      <x:c r="J309" s="24" t="n">
        <x:v>3</x:v>
      </x:c>
      <x:c r="K309" s="26" t="n">
        <x:v>0.5</x:v>
      </x:c>
      <x:c r="L309" s="22" t="n">
        <x:v>-131.44500000000005</x:v>
      </x:c>
      <x:c r="M309" t="n">
        <x:v>2017</x:v>
      </x:c>
      <x:c r="N309" s="20" t="n">
        <x:v>43040</x:v>
      </x:c>
    </x:row>
    <x:row r="310" ht="18" customHeight="1">
      <x:c r="A310" t="str">
        <x:v>CA-2015-144253</x:v>
      </x:c>
      <x:c r="B310" s="18" t="n">
        <x:v>42128</x:v>
      </x:c>
      <x:c r="C310" t="str">
        <x:v>AS-10225</x:v>
      </x:c>
      <x:c r="D310" t="str">
        <x:v>Alan Schoenberger</x:v>
      </x:c>
      <x:c r="E310" t="str">
        <x:v>Corporate</x:v>
      </x:c>
      <x:c r="F310" t="str">
        <x:v>East</x:v>
      </x:c>
      <x:c r="G310" t="str">
        <x:v>Furniture</x:v>
      </x:c>
      <x:c r="H310" t="str">
        <x:v>Furnishings</x:v>
      </x:c>
      <x:c r="I310" s="22" t="n">
        <x:v>26.8</x:v>
      </x:c>
      <x:c r="J310" s="24" t="n">
        <x:v>2</x:v>
      </x:c>
      <x:c r="K310" s="26" t="n">
        <x:v>0</x:v>
      </x:c>
      <x:c r="L310" s="22" t="n">
        <x:v>12.863999999999999</x:v>
      </x:c>
      <x:c r="M310" t="n">
        <x:v>2015</x:v>
      </x:c>
      <x:c r="N310" s="20" t="n">
        <x:v>42125</x:v>
      </x:c>
    </x:row>
    <x:row r="311" ht="18" customHeight="1">
      <x:c r="A311" t="str">
        <x:v>CA-2014-130960</x:v>
      </x:c>
      <x:c r="B311" s="18" t="n">
        <x:v>42003</x:v>
      </x:c>
      <x:c r="C311" t="str">
        <x:v>KB-16600</x:v>
      </x:c>
      <x:c r="D311" t="str">
        <x:v>Ken Brennan</x:v>
      </x:c>
      <x:c r="E311" t="str">
        <x:v>Corporate</x:v>
      </x:c>
      <x:c r="F311" t="str">
        <x:v>Central</x:v>
      </x:c>
      <x:c r="G311" t="str">
        <x:v>Office Supplies</x:v>
      </x:c>
      <x:c r="H311" t="str">
        <x:v>Art</x:v>
      </x:c>
      <x:c r="I311" s="22" t="n">
        <x:v>9.84</x:v>
      </x:c>
      <x:c r="J311" s="24" t="n">
        <x:v>3</x:v>
      </x:c>
      <x:c r="K311" s="26" t="n">
        <x:v>0</x:v>
      </x:c>
      <x:c r="L311" s="22" t="n">
        <x:v>2.853599999999999</x:v>
      </x:c>
      <x:c r="M311" t="n">
        <x:v>2014</x:v>
      </x:c>
      <x:c r="N311" s="20" t="n">
        <x:v>41974</x:v>
      </x:c>
    </x:row>
    <x:row r="312" ht="18" customHeight="1">
      <x:c r="A312" t="str">
        <x:v>CA-2014-111003</x:v>
      </x:c>
      <x:c r="B312" s="18" t="n">
        <x:v>41791</x:v>
      </x:c>
      <x:c r="C312" t="str">
        <x:v>CR-12625</x:v>
      </x:c>
      <x:c r="D312" t="str">
        <x:v>Corey Roper</x:v>
      </x:c>
      <x:c r="E312" t="str">
        <x:v>Home Office</x:v>
      </x:c>
      <x:c r="F312" t="str">
        <x:v>East</x:v>
      </x:c>
      <x:c r="G312" t="str">
        <x:v>Office Supplies</x:v>
      </x:c>
      <x:c r="H312" t="str">
        <x:v>Binders</x:v>
      </x:c>
      <x:c r="I312" s="22" t="n">
        <x:v>45.480000000000004</x:v>
      </x:c>
      <x:c r="J312" s="24" t="n">
        <x:v>3</x:v>
      </x:c>
      <x:c r="K312" s="26" t="n">
        <x:v>0</x:v>
      </x:c>
      <x:c r="L312" s="22" t="n">
        <x:v>20.9208</x:v>
      </x:c>
      <x:c r="M312" t="n">
        <x:v>2014</x:v>
      </x:c>
      <x:c r="N312" s="20" t="n">
        <x:v>41791</x:v>
      </x:c>
    </x:row>
    <x:row r="313" ht="18" customHeight="1">
      <x:c r="A313" t="str">
        <x:v>CA-2014-111003</x:v>
      </x:c>
      <x:c r="B313" s="18" t="n">
        <x:v>41791</x:v>
      </x:c>
      <x:c r="C313" t="str">
        <x:v>CR-12625</x:v>
      </x:c>
      <x:c r="D313" t="str">
        <x:v>Corey Roper</x:v>
      </x:c>
      <x:c r="E313" t="str">
        <x:v>Home Office</x:v>
      </x:c>
      <x:c r="F313" t="str">
        <x:v>East</x:v>
      </x:c>
      <x:c r="G313" t="str">
        <x:v>Office Supplies</x:v>
      </x:c>
      <x:c r="H313" t="str">
        <x:v>Art</x:v>
      </x:c>
      <x:c r="I313" s="22" t="n">
        <x:v>289.20000000000005</x:v>
      </x:c>
      <x:c r="J313" s="24" t="n">
        <x:v>6</x:v>
      </x:c>
      <x:c r="K313" s="26" t="n">
        <x:v>0</x:v>
      </x:c>
      <x:c r="L313" s="22" t="n">
        <x:v>83.86799999999997</x:v>
      </x:c>
      <x:c r="M313" t="n">
        <x:v>2014</x:v>
      </x:c>
      <x:c r="N313" s="20" t="n">
        <x:v>41791</x:v>
      </x:c>
    </x:row>
    <x:row r="314" ht="18" customHeight="1">
      <x:c r="A314" t="str">
        <x:v>CA-2017-126774</x:v>
      </x:c>
      <x:c r="B314" s="18" t="n">
        <x:v>42840</x:v>
      </x:c>
      <x:c r="C314" t="str">
        <x:v>SH-20395</x:v>
      </x:c>
      <x:c r="D314" t="str">
        <x:v>Shahid Hopkins</x:v>
      </x:c>
      <x:c r="E314" t="str">
        <x:v>Consumer</x:v>
      </x:c>
      <x:c r="F314" t="str">
        <x:v>South</x:v>
      </x:c>
      <x:c r="G314" t="str">
        <x:v>Office Supplies</x:v>
      </x:c>
      <x:c r="H314" t="str">
        <x:v>Art</x:v>
      </x:c>
      <x:c r="I314" s="22" t="n">
        <x:v>4.89</x:v>
      </x:c>
      <x:c r="J314" s="24" t="n">
        <x:v>1</x:v>
      </x:c>
      <x:c r="K314" s="26" t="n">
        <x:v>0</x:v>
      </x:c>
      <x:c r="L314" s="22" t="n">
        <x:v>2.0049</x:v>
      </x:c>
      <x:c r="M314" t="n">
        <x:v>2017</x:v>
      </x:c>
      <x:c r="N314" s="20" t="n">
        <x:v>42826</x:v>
      </x:c>
    </x:row>
    <x:row r="315" ht="18" customHeight="1">
      <x:c r="A315" t="str">
        <x:v>CA-2016-142902</x:v>
      </x:c>
      <x:c r="B315" s="18" t="n">
        <x:v>42625</x:v>
      </x:c>
      <x:c r="C315" t="str">
        <x:v>BP-11185</x:v>
      </x:c>
      <x:c r="D315" t="str">
        <x:v>Ben Peterman</x:v>
      </x:c>
      <x:c r="E315" t="str">
        <x:v>Corporate</x:v>
      </x:c>
      <x:c r="F315" t="str">
        <x:v>West</x:v>
      </x:c>
      <x:c r="G315" t="str">
        <x:v>Furniture</x:v>
      </x:c>
      <x:c r="H315" t="str">
        <x:v>Furnishings</x:v>
      </x:c>
      <x:c r="I315" s="22" t="n">
        <x:v>15.136000000000003</x:v>
      </x:c>
      <x:c r="J315" s="24" t="n">
        <x:v>4</x:v>
      </x:c>
      <x:c r="K315" s="26" t="n">
        <x:v>0.2</x:v>
      </x:c>
      <x:c r="L315" s="22" t="n">
        <x:v>3.594800000000001</x:v>
      </x:c>
      <x:c r="M315" t="n">
        <x:v>2016</x:v>
      </x:c>
      <x:c r="N315" s="20" t="n">
        <x:v>42614</x:v>
      </x:c>
    </x:row>
    <x:row r="316" ht="18" customHeight="1">
      <x:c r="A316" t="str">
        <x:v>CA-2016-142902</x:v>
      </x:c>
      <x:c r="B316" s="18" t="n">
        <x:v>42625</x:v>
      </x:c>
      <x:c r="C316" t="str">
        <x:v>BP-11185</x:v>
      </x:c>
      <x:c r="D316" t="str">
        <x:v>Ben Peterman</x:v>
      </x:c>
      <x:c r="E316" t="str">
        <x:v>Corporate</x:v>
      </x:c>
      <x:c r="F316" t="str">
        <x:v>West</x:v>
      </x:c>
      <x:c r="G316" t="str">
        <x:v>Furniture</x:v>
      </x:c>
      <x:c r="H316" t="str">
        <x:v>Chairs</x:v>
      </x:c>
      <x:c r="I316" s="22" t="n">
        <x:v>466.76800000000003</x:v>
      </x:c>
      <x:c r="J316" s="24" t="n">
        <x:v>2</x:v>
      </x:c>
      <x:c r="K316" s="26" t="n">
        <x:v>0.2</x:v>
      </x:c>
      <x:c r="L316" s="22" t="n">
        <x:v>52.51139999999998</x:v>
      </x:c>
      <x:c r="M316" t="n">
        <x:v>2016</x:v>
      </x:c>
      <x:c r="N316" s="20" t="n">
        <x:v>42614</x:v>
      </x:c>
    </x:row>
    <x:row r="317" ht="18" customHeight="1">
      <x:c r="A317" t="str">
        <x:v>CA-2016-142902</x:v>
      </x:c>
      <x:c r="B317" s="18" t="n">
        <x:v>42625</x:v>
      </x:c>
      <x:c r="C317" t="str">
        <x:v>BP-11185</x:v>
      </x:c>
      <x:c r="D317" t="str">
        <x:v>Ben Peterman</x:v>
      </x:c>
      <x:c r="E317" t="str">
        <x:v>Corporate</x:v>
      </x:c>
      <x:c r="F317" t="str">
        <x:v>West</x:v>
      </x:c>
      <x:c r="G317" t="str">
        <x:v>Furniture</x:v>
      </x:c>
      <x:c r="H317" t="str">
        <x:v>Furnishings</x:v>
      </x:c>
      <x:c r="I317" s="22" t="n">
        <x:v>15.232</x:v>
      </x:c>
      <x:c r="J317" s="24" t="n">
        <x:v>1</x:v>
      </x:c>
      <x:c r="K317" s="26" t="n">
        <x:v>0.2</x:v>
      </x:c>
      <x:c r="L317" s="22" t="n">
        <x:v>1.7135999999999978</x:v>
      </x:c>
      <x:c r="M317" t="n">
        <x:v>2016</x:v>
      </x:c>
      <x:c r="N317" s="20" t="n">
        <x:v>42614</x:v>
      </x:c>
    </x:row>
    <x:row r="318" ht="18" customHeight="1">
      <x:c r="A318" t="str">
        <x:v>CA-2016-142902</x:v>
      </x:c>
      <x:c r="B318" s="18" t="n">
        <x:v>42625</x:v>
      </x:c>
      <x:c r="C318" t="str">
        <x:v>BP-11185</x:v>
      </x:c>
      <x:c r="D318" t="str">
        <x:v>Ben Peterman</x:v>
      </x:c>
      <x:c r="E318" t="str">
        <x:v>Corporate</x:v>
      </x:c>
      <x:c r="F318" t="str">
        <x:v>West</x:v>
      </x:c>
      <x:c r="G318" t="str">
        <x:v>Office Supplies</x:v>
      </x:c>
      <x:c r="H318" t="str">
        <x:v>Labels</x:v>
      </x:c>
      <x:c r="I318" s="22" t="n">
        <x:v>6.264</x:v>
      </x:c>
      <x:c r="J318" s="24" t="n">
        <x:v>3</x:v>
      </x:c>
      <x:c r="K318" s="26" t="n">
        <x:v>0.2</x:v>
      </x:c>
      <x:c r="L318" s="22" t="n">
        <x:v>2.0358</x:v>
      </x:c>
      <x:c r="M318" t="n">
        <x:v>2016</x:v>
      </x:c>
      <x:c r="N318" s="20" t="n">
        <x:v>42614</x:v>
      </x:c>
    </x:row>
    <x:row r="319" ht="18" customHeight="1">
      <x:c r="A319" t="str">
        <x:v>CA-2014-120887</x:v>
      </x:c>
      <x:c r="B319" s="18" t="n">
        <x:v>41909</x:v>
      </x:c>
      <x:c r="C319" t="str">
        <x:v>TS-21205</x:v>
      </x:c>
      <x:c r="D319" t="str">
        <x:v>Thomas Seio</x:v>
      </x:c>
      <x:c r="E319" t="str">
        <x:v>Corporate</x:v>
      </x:c>
      <x:c r="F319" t="str">
        <x:v>East</x:v>
      </x:c>
      <x:c r="G319" t="str">
        <x:v>Furniture</x:v>
      </x:c>
      <x:c r="H319" t="str">
        <x:v>Furnishings</x:v>
      </x:c>
      <x:c r="I319" s="22" t="n">
        <x:v>87.53999999999999</x:v>
      </x:c>
      <x:c r="J319" s="24" t="n">
        <x:v>3</x:v>
      </x:c>
      <x:c r="K319" s="26" t="n">
        <x:v>0</x:v>
      </x:c>
      <x:c r="L319" s="22" t="n">
        <x:v>37.6422</x:v>
      </x:c>
      <x:c r="M319" t="n">
        <x:v>2014</x:v>
      </x:c>
      <x:c r="N319" s="20" t="n">
        <x:v>41883</x:v>
      </x:c>
    </x:row>
    <x:row r="320" ht="18" customHeight="1">
      <x:c r="A320" t="str">
        <x:v>CA-2014-167850</x:v>
      </x:c>
      <x:c r="B320" s="18" t="n">
        <x:v>41860</x:v>
      </x:c>
      <x:c r="C320" t="str">
        <x:v>AG-10525</x:v>
      </x:c>
      <x:c r="D320" t="str">
        <x:v>Andy Gerbode</x:v>
      </x:c>
      <x:c r="E320" t="str">
        <x:v>Corporate</x:v>
      </x:c>
      <x:c r="F320" t="str">
        <x:v>South</x:v>
      </x:c>
      <x:c r="G320" t="str">
        <x:v>Technology</x:v>
      </x:c>
      <x:c r="H320" t="str">
        <x:v>Phones</x:v>
      </x:c>
      <x:c r="I320" s="22" t="n">
        <x:v>178.38400000000001</x:v>
      </x:c>
      <x:c r="J320" s="24" t="n">
        <x:v>2</x:v>
      </x:c>
      <x:c r="K320" s="26" t="n">
        <x:v>0.2</x:v>
      </x:c>
      <x:c r="L320" s="22" t="n">
        <x:v>22.297999999999973</x:v>
      </x:c>
      <x:c r="M320" t="n">
        <x:v>2014</x:v>
      </x:c>
      <x:c r="N320" s="20" t="n">
        <x:v>41852</x:v>
      </x:c>
    </x:row>
    <x:row r="321" ht="18" customHeight="1">
      <x:c r="A321" t="str">
        <x:v>CA-2014-167850</x:v>
      </x:c>
      <x:c r="B321" s="18" t="n">
        <x:v>41860</x:v>
      </x:c>
      <x:c r="C321" t="str">
        <x:v>AG-10525</x:v>
      </x:c>
      <x:c r="D321" t="str">
        <x:v>Andy Gerbode</x:v>
      </x:c>
      <x:c r="E321" t="str">
        <x:v>Corporate</x:v>
      </x:c>
      <x:c r="F321" t="str">
        <x:v>South</x:v>
      </x:c>
      <x:c r="G321" t="str">
        <x:v>Office Supplies</x:v>
      </x:c>
      <x:c r="H321" t="str">
        <x:v>Paper</x:v>
      </x:c>
      <x:c r="I321" s="22" t="n">
        <x:v>15.552000000000003</x:v>
      </x:c>
      <x:c r="J321" s="24" t="n">
        <x:v>3</x:v>
      </x:c>
      <x:c r="K321" s="26" t="n">
        <x:v>0.2</x:v>
      </x:c>
      <x:c r="L321" s="22" t="n">
        <x:v>5.4432</x:v>
      </x:c>
      <x:c r="M321" t="n">
        <x:v>2014</x:v>
      </x:c>
      <x:c r="N321" s="20" t="n">
        <x:v>41852</x:v>
      </x:c>
    </x:row>
    <x:row r="322" ht="18" customHeight="1">
      <x:c r="A322" t="str">
        <x:v>CA-2014-164259</x:v>
      </x:c>
      <x:c r="B322" s="18" t="n">
        <x:v>42001</x:v>
      </x:c>
      <x:c r="C322" t="str">
        <x:v>SP-20860</x:v>
      </x:c>
      <x:c r="D322" t="str">
        <x:v>Sung Pak</x:v>
      </x:c>
      <x:c r="E322" t="str">
        <x:v>Corporate</x:v>
      </x:c>
      <x:c r="F322" t="str">
        <x:v>East</x:v>
      </x:c>
      <x:c r="G322" t="str">
        <x:v>Office Supplies</x:v>
      </x:c>
      <x:c r="H322" t="str">
        <x:v>Art</x:v>
      </x:c>
      <x:c r="I322" s="22" t="n">
        <x:v>99.13600000000001</x:v>
      </x:c>
      <x:c r="J322" s="24" t="n">
        <x:v>4</x:v>
      </x:c>
      <x:c r="K322" s="26" t="n">
        <x:v>0.2</x:v>
      </x:c>
      <x:c r="L322" s="22" t="n">
        <x:v>8.674399999999995</x:v>
      </x:c>
      <x:c r="M322" t="n">
        <x:v>2014</x:v>
      </x:c>
      <x:c r="N322" s="20" t="n">
        <x:v>41974</x:v>
      </x:c>
    </x:row>
    <x:row r="323" ht="18" customHeight="1">
      <x:c r="A323" t="str">
        <x:v>CA-2014-164973</x:v>
      </x:c>
      <x:c r="B323" s="18" t="n">
        <x:v>41947</x:v>
      </x:c>
      <x:c r="C323" t="str">
        <x:v>NM-18445</x:v>
      </x:c>
      <x:c r="D323" t="str">
        <x:v>Nathan Mautz</x:v>
      </x:c>
      <x:c r="E323" t="str">
        <x:v>Home Office</x:v>
      </x:c>
      <x:c r="F323" t="str">
        <x:v>East</x:v>
      </x:c>
      <x:c r="G323" t="str">
        <x:v>Furniture</x:v>
      </x:c>
      <x:c r="H323" t="str">
        <x:v>Chairs</x:v>
      </x:c>
      <x:c r="I323" s="22" t="n">
        <x:v>135.882</x:v>
      </x:c>
      <x:c r="J323" s="24" t="n">
        <x:v>1</x:v>
      </x:c>
      <x:c r="K323" s="26" t="n">
        <x:v>0.1</x:v>
      </x:c>
      <x:c r="L323" s="22" t="n">
        <x:v>24.156800000000004</x:v>
      </x:c>
      <x:c r="M323" t="n">
        <x:v>2014</x:v>
      </x:c>
      <x:c r="N323" s="20" t="n">
        <x:v>41944</x:v>
      </x:c>
    </x:row>
    <x:row r="324" ht="18" customHeight="1">
      <x:c r="A324" t="str">
        <x:v>CA-2014-164973</x:v>
      </x:c>
      <x:c r="B324" s="18" t="n">
        <x:v>41947</x:v>
      </x:c>
      <x:c r="C324" t="str">
        <x:v>NM-18445</x:v>
      </x:c>
      <x:c r="D324" t="str">
        <x:v>Nathan Mautz</x:v>
      </x:c>
      <x:c r="E324" t="str">
        <x:v>Home Office</x:v>
      </x:c>
      <x:c r="F324" t="str">
        <x:v>East</x:v>
      </x:c>
      <x:c r="G324" t="str">
        <x:v>Technology</x:v>
      </x:c>
      <x:c r="H324" t="str">
        <x:v>Machines</x:v>
      </x:c>
      <x:c r="I324" s="22" t="n">
        <x:v>3991.98</x:v>
      </x:c>
      <x:c r="J324" s="24" t="n">
        <x:v>2</x:v>
      </x:c>
      <x:c r="K324" s="26" t="n">
        <x:v>0</x:v>
      </x:c>
      <x:c r="L324" s="22" t="n">
        <x:v>1995.99</x:v>
      </x:c>
      <x:c r="M324" t="n">
        <x:v>2014</x:v>
      </x:c>
      <x:c r="N324" s="20" t="n">
        <x:v>41944</x:v>
      </x:c>
    </x:row>
    <x:row r="325" ht="18" customHeight="1">
      <x:c r="A325" t="str">
        <x:v>CA-2014-164973</x:v>
      </x:c>
      <x:c r="B325" s="18" t="n">
        <x:v>41947</x:v>
      </x:c>
      <x:c r="C325" t="str">
        <x:v>NM-18445</x:v>
      </x:c>
      <x:c r="D325" t="str">
        <x:v>Nathan Mautz</x:v>
      </x:c>
      <x:c r="E325" t="str">
        <x:v>Home Office</x:v>
      </x:c>
      <x:c r="F325" t="str">
        <x:v>East</x:v>
      </x:c>
      <x:c r="G325" t="str">
        <x:v>Technology</x:v>
      </x:c>
      <x:c r="H325" t="str">
        <x:v>Phones</x:v>
      </x:c>
      <x:c r="I325" s="22" t="n">
        <x:v>275.94</x:v>
      </x:c>
      <x:c r="J325" s="24" t="n">
        <x:v>6</x:v>
      </x:c>
      <x:c r="K325" s="26" t="n">
        <x:v>0</x:v>
      </x:c>
      <x:c r="L325" s="22" t="n">
        <x:v>80.0226</x:v>
      </x:c>
      <x:c r="M325" t="n">
        <x:v>2014</x:v>
      </x:c>
      <x:c r="N325" s="20" t="n">
        <x:v>41944</x:v>
      </x:c>
    </x:row>
    <x:row r="326" ht="18" customHeight="1">
      <x:c r="A326" t="str">
        <x:v>CA-2014-164973</x:v>
      </x:c>
      <x:c r="B326" s="18" t="n">
        <x:v>41947</x:v>
      </x:c>
      <x:c r="C326" t="str">
        <x:v>NM-18445</x:v>
      </x:c>
      <x:c r="D326" t="str">
        <x:v>Nathan Mautz</x:v>
      </x:c>
      <x:c r="E326" t="str">
        <x:v>Home Office</x:v>
      </x:c>
      <x:c r="F326" t="str">
        <x:v>East</x:v>
      </x:c>
      <x:c r="G326" t="str">
        <x:v>Technology</x:v>
      </x:c>
      <x:c r="H326" t="str">
        <x:v>Accessories</x:v>
      </x:c>
      <x:c r="I326" s="22" t="n">
        <x:v>360</x:v>
      </x:c>
      <x:c r="J326" s="24" t="n">
        <x:v>4</x:v>
      </x:c>
      <x:c r="K326" s="26" t="n">
        <x:v>0</x:v>
      </x:c>
      <x:c r="L326" s="22" t="n">
        <x:v>129.6</x:v>
      </x:c>
      <x:c r="M326" t="n">
        <x:v>2014</x:v>
      </x:c>
      <x:c r="N326" s="20" t="n">
        <x:v>41944</x:v>
      </x:c>
    </x:row>
    <x:row r="327" ht="18" customHeight="1">
      <x:c r="A327" t="str">
        <x:v>CA-2014-164973</x:v>
      </x:c>
      <x:c r="B327" s="18" t="n">
        <x:v>41947</x:v>
      </x:c>
      <x:c r="C327" t="str">
        <x:v>NM-18445</x:v>
      </x:c>
      <x:c r="D327" t="str">
        <x:v>Nathan Mautz</x:v>
      </x:c>
      <x:c r="E327" t="str">
        <x:v>Home Office</x:v>
      </x:c>
      <x:c r="F327" t="str">
        <x:v>East</x:v>
      </x:c>
      <x:c r="G327" t="str">
        <x:v>Office Supplies</x:v>
      </x:c>
      <x:c r="H327" t="str">
        <x:v>Storage</x:v>
      </x:c>
      <x:c r="I327" s="22" t="n">
        <x:v>43.57</x:v>
      </x:c>
      <x:c r="J327" s="24" t="n">
        <x:v>1</x:v>
      </x:c>
      <x:c r="K327" s="26" t="n">
        <x:v>0</x:v>
      </x:c>
      <x:c r="L327" s="22" t="n">
        <x:v>13.070999999999998</x:v>
      </x:c>
      <x:c r="M327" t="n">
        <x:v>2014</x:v>
      </x:c>
      <x:c r="N327" s="20" t="n">
        <x:v>41944</x:v>
      </x:c>
    </x:row>
    <x:row r="328" ht="18" customHeight="1">
      <x:c r="A328" t="str">
        <x:v>CA-2014-156601</x:v>
      </x:c>
      <x:c r="B328" s="18" t="n">
        <x:v>41901</x:v>
      </x:c>
      <x:c r="C328" t="str">
        <x:v>FA-14230</x:v>
      </x:c>
      <x:c r="D328" t="str">
        <x:v>Frank Atkinson</x:v>
      </x:c>
      <x:c r="E328" t="str">
        <x:v>Corporate</x:v>
      </x:c>
      <x:c r="F328" t="str">
        <x:v>West</x:v>
      </x:c>
      <x:c r="G328" t="str">
        <x:v>Office Supplies</x:v>
      </x:c>
      <x:c r="H328" t="str">
        <x:v>Fasteners</x:v>
      </x:c>
      <x:c r="I328" s="22" t="n">
        <x:v>7.16</x:v>
      </x:c>
      <x:c r="J328" s="24" t="n">
        <x:v>2</x:v>
      </x:c>
      <x:c r="K328" s="26" t="n">
        <x:v>0</x:v>
      </x:c>
      <x:c r="L328" s="22" t="n">
        <x:v>3.58</x:v>
      </x:c>
      <x:c r="M328" t="n">
        <x:v>2014</x:v>
      </x:c>
      <x:c r="N328" s="20" t="n">
        <x:v>41883</x:v>
      </x:c>
    </x:row>
    <x:row r="329" ht="18" customHeight="1">
      <x:c r="A329" t="str">
        <x:v>CA-2016-162138</x:v>
      </x:c>
      <x:c r="B329" s="18" t="n">
        <x:v>42483</x:v>
      </x:c>
      <x:c r="C329" t="str">
        <x:v>GK-14620</x:v>
      </x:c>
      <x:c r="D329" t="str">
        <x:v>Grace Kelly</x:v>
      </x:c>
      <x:c r="E329" t="str">
        <x:v>Corporate</x:v>
      </x:c>
      <x:c r="F329" t="str">
        <x:v>West</x:v>
      </x:c>
      <x:c r="G329" t="str">
        <x:v>Office Supplies</x:v>
      </x:c>
      <x:c r="H329" t="str">
        <x:v>Binders</x:v>
      </x:c>
      <x:c r="I329" s="22" t="n">
        <x:v>251.52</x:v>
      </x:c>
      <x:c r="J329" s="24" t="n">
        <x:v>6</x:v>
      </x:c>
      <x:c r="K329" s="26" t="n">
        <x:v>0.2</x:v>
      </x:c>
      <x:c r="L329" s="22" t="n">
        <x:v>81.744</x:v>
      </x:c>
      <x:c r="M329" t="n">
        <x:v>2016</x:v>
      </x:c>
      <x:c r="N329" s="20" t="n">
        <x:v>42461</x:v>
      </x:c>
    </x:row>
    <x:row r="330" ht="18" customHeight="1">
      <x:c r="A330" t="str">
        <x:v>CA-2016-162138</x:v>
      </x:c>
      <x:c r="B330" s="18" t="n">
        <x:v>42483</x:v>
      </x:c>
      <x:c r="C330" t="str">
        <x:v>GK-14620</x:v>
      </x:c>
      <x:c r="D330" t="str">
        <x:v>Grace Kelly</x:v>
      </x:c>
      <x:c r="E330" t="str">
        <x:v>Corporate</x:v>
      </x:c>
      <x:c r="F330" t="str">
        <x:v>West</x:v>
      </x:c>
      <x:c r="G330" t="str">
        <x:v>Technology</x:v>
      </x:c>
      <x:c r="H330" t="str">
        <x:v>Accessories</x:v>
      </x:c>
      <x:c r="I330" s="22" t="n">
        <x:v>99.99</x:v>
      </x:c>
      <x:c r="J330" s="24" t="n">
        <x:v>1</x:v>
      </x:c>
      <x:c r="K330" s="26" t="n">
        <x:v>0</x:v>
      </x:c>
      <x:c r="L330" s="22" t="n">
        <x:v>34.9965</x:v>
      </x:c>
      <x:c r="M330" t="n">
        <x:v>2016</x:v>
      </x:c>
      <x:c r="N330" s="20" t="n">
        <x:v>42461</x:v>
      </x:c>
    </x:row>
    <x:row r="331" ht="18" customHeight="1">
      <x:c r="A331" t="str">
        <x:v>CA-2017-153339</x:v>
      </x:c>
      <x:c r="B331" s="18" t="n">
        <x:v>43042</x:v>
      </x:c>
      <x:c r="C331" t="str">
        <x:v>DJ-13510</x:v>
      </x:c>
      <x:c r="D331" t="str">
        <x:v>Don Jones</x:v>
      </x:c>
      <x:c r="E331" t="str">
        <x:v>Corporate</x:v>
      </x:c>
      <x:c r="F331" t="str">
        <x:v>South</x:v>
      </x:c>
      <x:c r="G331" t="str">
        <x:v>Furniture</x:v>
      </x:c>
      <x:c r="H331" t="str">
        <x:v>Furnishings</x:v>
      </x:c>
      <x:c r="I331" s="22" t="n">
        <x:v>15.991999999999999</x:v>
      </x:c>
      <x:c r="J331" s="24" t="n">
        <x:v>1</x:v>
      </x:c>
      <x:c r="K331" s="26" t="n">
        <x:v>0.2</x:v>
      </x:c>
      <x:c r="L331" s="22" t="n">
        <x:v>0.999499999999999</x:v>
      </x:c>
      <x:c r="M331" t="n">
        <x:v>2017</x:v>
      </x:c>
      <x:c r="N331" s="20" t="n">
        <x:v>43040</x:v>
      </x:c>
    </x:row>
    <x:row r="332" ht="18" customHeight="1">
      <x:c r="A332" t="str">
        <x:v>US-2016-141544</x:v>
      </x:c>
      <x:c r="B332" s="18" t="n">
        <x:v>42612</x:v>
      </x:c>
      <x:c r="C332" t="str">
        <x:v>PO-18850</x:v>
      </x:c>
      <x:c r="D332" t="str">
        <x:v>Patrick O'Brill</x:v>
      </x:c>
      <x:c r="E332" t="str">
        <x:v>Consumer</x:v>
      </x:c>
      <x:c r="F332" t="str">
        <x:v>East</x:v>
      </x:c>
      <x:c r="G332" t="str">
        <x:v>Technology</x:v>
      </x:c>
      <x:c r="H332" t="str">
        <x:v>Phones</x:v>
      </x:c>
      <x:c r="I332" s="22" t="n">
        <x:v>290.898</x:v>
      </x:c>
      <x:c r="J332" s="24" t="n">
        <x:v>3</x:v>
      </x:c>
      <x:c r="K332" s="26" t="n">
        <x:v>0.4</x:v>
      </x:c>
      <x:c r="L332" s="22" t="n">
        <x:v>-67.8762</x:v>
      </x:c>
      <x:c r="M332" t="n">
        <x:v>2016</x:v>
      </x:c>
      <x:c r="N332" s="20" t="n">
        <x:v>42583</x:v>
      </x:c>
    </x:row>
    <x:row r="333" ht="18" customHeight="1">
      <x:c r="A333" t="str">
        <x:v>US-2016-141544</x:v>
      </x:c>
      <x:c r="B333" s="18" t="n">
        <x:v>42612</x:v>
      </x:c>
      <x:c r="C333" t="str">
        <x:v>PO-18850</x:v>
      </x:c>
      <x:c r="D333" t="str">
        <x:v>Patrick O'Brill</x:v>
      </x:c>
      <x:c r="E333" t="str">
        <x:v>Consumer</x:v>
      </x:c>
      <x:c r="F333" t="str">
        <x:v>East</x:v>
      </x:c>
      <x:c r="G333" t="str">
        <x:v>Office Supplies</x:v>
      </x:c>
      <x:c r="H333" t="str">
        <x:v>Storage</x:v>
      </x:c>
      <x:c r="I333" s="22" t="n">
        <x:v>54.224000000000004</x:v>
      </x:c>
      <x:c r="J333" s="24" t="n">
        <x:v>2</x:v>
      </x:c>
      <x:c r="K333" s="26" t="n">
        <x:v>0.2</x:v>
      </x:c>
      <x:c r="L333" s="22" t="n">
        <x:v>3.3889999999999993</x:v>
      </x:c>
      <x:c r="M333" t="n">
        <x:v>2016</x:v>
      </x:c>
      <x:c r="N333" s="20" t="n">
        <x:v>42583</x:v>
      </x:c>
    </x:row>
    <x:row r="334" ht="18" customHeight="1">
      <x:c r="A334" t="str">
        <x:v>US-2016-141544</x:v>
      </x:c>
      <x:c r="B334" s="18" t="n">
        <x:v>42612</x:v>
      </x:c>
      <x:c r="C334" t="str">
        <x:v>PO-18850</x:v>
      </x:c>
      <x:c r="D334" t="str">
        <x:v>Patrick O'Brill</x:v>
      </x:c>
      <x:c r="E334" t="str">
        <x:v>Consumer</x:v>
      </x:c>
      <x:c r="F334" t="str">
        <x:v>East</x:v>
      </x:c>
      <x:c r="G334" t="str">
        <x:v>Furniture</x:v>
      </x:c>
      <x:c r="H334" t="str">
        <x:v>Chairs</x:v>
      </x:c>
      <x:c r="I334" s="22" t="n">
        <x:v>786.744</x:v>
      </x:c>
      <x:c r="J334" s="24" t="n">
        <x:v>4</x:v>
      </x:c>
      <x:c r="K334" s="26" t="n">
        <x:v>0.3</x:v>
      </x:c>
      <x:c r="L334" s="22" t="n">
        <x:v>-258.5016000000001</x:v>
      </x:c>
      <x:c r="M334" t="n">
        <x:v>2016</x:v>
      </x:c>
      <x:c r="N334" s="20" t="n">
        <x:v>42583</x:v>
      </x:c>
    </x:row>
    <x:row r="335" ht="18" customHeight="1">
      <x:c r="A335" t="str">
        <x:v>US-2016-141544</x:v>
      </x:c>
      <x:c r="B335" s="18" t="n">
        <x:v>42612</x:v>
      </x:c>
      <x:c r="C335" t="str">
        <x:v>PO-18850</x:v>
      </x:c>
      <x:c r="D335" t="str">
        <x:v>Patrick O'Brill</x:v>
      </x:c>
      <x:c r="E335" t="str">
        <x:v>Consumer</x:v>
      </x:c>
      <x:c r="F335" t="str">
        <x:v>East</x:v>
      </x:c>
      <x:c r="G335" t="str">
        <x:v>Office Supplies</x:v>
      </x:c>
      <x:c r="H335" t="str">
        <x:v>Labels</x:v>
      </x:c>
      <x:c r="I335" s="22" t="n">
        <x:v>100.24000000000001</x:v>
      </x:c>
      <x:c r="J335" s="24" t="n">
        <x:v>10</x:v>
      </x:c>
      <x:c r="K335" s="26" t="n">
        <x:v>0.2</x:v>
      </x:c>
      <x:c r="L335" s="22" t="n">
        <x:v>33.83099999999999</x:v>
      </x:c>
      <x:c r="M335" t="n">
        <x:v>2016</x:v>
      </x:c>
      <x:c r="N335" s="20" t="n">
        <x:v>42583</x:v>
      </x:c>
    </x:row>
    <x:row r="336" ht="18" customHeight="1">
      <x:c r="A336" t="str">
        <x:v>US-2016-141544</x:v>
      </x:c>
      <x:c r="B336" s="18" t="n">
        <x:v>42612</x:v>
      </x:c>
      <x:c r="C336" t="str">
        <x:v>PO-18850</x:v>
      </x:c>
      <x:c r="D336" t="str">
        <x:v>Patrick O'Brill</x:v>
      </x:c>
      <x:c r="E336" t="str">
        <x:v>Consumer</x:v>
      </x:c>
      <x:c r="F336" t="str">
        <x:v>East</x:v>
      </x:c>
      <x:c r="G336" t="str">
        <x:v>Office Supplies</x:v>
      </x:c>
      <x:c r="H336" t="str">
        <x:v>Binders</x:v>
      </x:c>
      <x:c r="I336" s="22" t="n">
        <x:v>37.76400000000001</x:v>
      </x:c>
      <x:c r="J336" s="24" t="n">
        <x:v>6</x:v>
      </x:c>
      <x:c r="K336" s="26" t="n">
        <x:v>0.7</x:v>
      </x:c>
      <x:c r="L336" s="22" t="n">
        <x:v>-27.693600000000004</x:v>
      </x:c>
      <x:c r="M336" t="n">
        <x:v>2016</x:v>
      </x:c>
      <x:c r="N336" s="20" t="n">
        <x:v>42583</x:v>
      </x:c>
    </x:row>
    <x:row r="337" ht="18" customHeight="1">
      <x:c r="A337" t="str">
        <x:v>US-2016-150147</x:v>
      </x:c>
      <x:c r="B337" s="18" t="n">
        <x:v>42485</x:v>
      </x:c>
      <x:c r="C337" t="str">
        <x:v>JL-15850</x:v>
      </x:c>
      <x:c r="D337" t="str">
        <x:v>John Lucas</x:v>
      </x:c>
      <x:c r="E337" t="str">
        <x:v>Consumer</x:v>
      </x:c>
      <x:c r="F337" t="str">
        <x:v>East</x:v>
      </x:c>
      <x:c r="G337" t="str">
        <x:v>Technology</x:v>
      </x:c>
      <x:c r="H337" t="str">
        <x:v>Phones</x:v>
      </x:c>
      <x:c r="I337" s="22" t="n">
        <x:v>82.8</x:v>
      </x:c>
      <x:c r="J337" s="24" t="n">
        <x:v>2</x:v>
      </x:c>
      <x:c r="K337" s="26" t="n">
        <x:v>0.4</x:v>
      </x:c>
      <x:c r="L337" s="22" t="n">
        <x:v>-20.700000000000003</x:v>
      </x:c>
      <x:c r="M337" t="n">
        <x:v>2016</x:v>
      </x:c>
      <x:c r="N337" s="20" t="n">
        <x:v>42461</x:v>
      </x:c>
    </x:row>
    <x:row r="338" ht="18" customHeight="1">
      <x:c r="A338" t="str">
        <x:v>US-2016-150147</x:v>
      </x:c>
      <x:c r="B338" s="18" t="n">
        <x:v>42485</x:v>
      </x:c>
      <x:c r="C338" t="str">
        <x:v>JL-15850</x:v>
      </x:c>
      <x:c r="D338" t="str">
        <x:v>John Lucas</x:v>
      </x:c>
      <x:c r="E338" t="str">
        <x:v>Consumer</x:v>
      </x:c>
      <x:c r="F338" t="str">
        <x:v>East</x:v>
      </x:c>
      <x:c r="G338" t="str">
        <x:v>Office Supplies</x:v>
      </x:c>
      <x:c r="H338" t="str">
        <x:v>Binders</x:v>
      </x:c>
      <x:c r="I338" s="22" t="n">
        <x:v>20.724000000000004</x:v>
      </x:c>
      <x:c r="J338" s="24" t="n">
        <x:v>2</x:v>
      </x:c>
      <x:c r="K338" s="26" t="n">
        <x:v>0.7</x:v>
      </x:c>
      <x:c r="L338" s="22" t="n">
        <x:v>-13.815999999999995</x:v>
      </x:c>
      <x:c r="M338" t="n">
        <x:v>2016</x:v>
      </x:c>
      <x:c r="N338" s="20" t="n">
        <x:v>42461</x:v>
      </x:c>
    </x:row>
    <x:row r="339" ht="18" customHeight="1">
      <x:c r="A339" t="str">
        <x:v>US-2016-150147</x:v>
      </x:c>
      <x:c r="B339" s="18" t="n">
        <x:v>42485</x:v>
      </x:c>
      <x:c r="C339" t="str">
        <x:v>JL-15850</x:v>
      </x:c>
      <x:c r="D339" t="str">
        <x:v>John Lucas</x:v>
      </x:c>
      <x:c r="E339" t="str">
        <x:v>Consumer</x:v>
      </x:c>
      <x:c r="F339" t="str">
        <x:v>East</x:v>
      </x:c>
      <x:c r="G339" t="str">
        <x:v>Office Supplies</x:v>
      </x:c>
      <x:c r="H339" t="str">
        <x:v>Binders</x:v>
      </x:c>
      <x:c r="I339" s="22" t="n">
        <x:v>4.896000000000001</x:v>
      </x:c>
      <x:c r="J339" s="24" t="n">
        <x:v>3</x:v>
      </x:c>
      <x:c r="K339" s="26" t="n">
        <x:v>0.7</x:v>
      </x:c>
      <x:c r="L339" s="22" t="n">
        <x:v>-3.427199999999999</x:v>
      </x:c>
      <x:c r="M339" t="n">
        <x:v>2016</x:v>
      </x:c>
      <x:c r="N339" s="20" t="n">
        <x:v>42461</x:v>
      </x:c>
    </x:row>
    <x:row r="340" ht="18" customHeight="1">
      <x:c r="A340" t="str">
        <x:v>CA-2015-137946</x:v>
      </x:c>
      <x:c r="B340" s="18" t="n">
        <x:v>42248</x:v>
      </x:c>
      <x:c r="C340" t="str">
        <x:v>DB-13615</x:v>
      </x:c>
      <x:c r="D340" t="str">
        <x:v>Doug Bickford</x:v>
      </x:c>
      <x:c r="E340" t="str">
        <x:v>Consumer</x:v>
      </x:c>
      <x:c r="F340" t="str">
        <x:v>West</x:v>
      </x:c>
      <x:c r="G340" t="str">
        <x:v>Office Supplies</x:v>
      </x:c>
      <x:c r="H340" t="str">
        <x:v>Binders</x:v>
      </x:c>
      <x:c r="I340" s="22" t="n">
        <x:v>4.752000000000001</x:v>
      </x:c>
      <x:c r="J340" s="24" t="n">
        <x:v>1</x:v>
      </x:c>
      <x:c r="K340" s="26" t="n">
        <x:v>0.2</x:v>
      </x:c>
      <x:c r="L340" s="22" t="n">
        <x:v>1.6037999999999997</x:v>
      </x:c>
      <x:c r="M340" t="n">
        <x:v>2015</x:v>
      </x:c>
      <x:c r="N340" s="20" t="n">
        <x:v>42248</x:v>
      </x:c>
    </x:row>
    <x:row r="341" ht="18" customHeight="1">
      <x:c r="A341" t="str">
        <x:v>CA-2015-137946</x:v>
      </x:c>
      <x:c r="B341" s="18" t="n">
        <x:v>42248</x:v>
      </x:c>
      <x:c r="C341" t="str">
        <x:v>DB-13615</x:v>
      </x:c>
      <x:c r="D341" t="str">
        <x:v>Doug Bickford</x:v>
      </x:c>
      <x:c r="E341" t="str">
        <x:v>Consumer</x:v>
      </x:c>
      <x:c r="F341" t="str">
        <x:v>West</x:v>
      </x:c>
      <x:c r="G341" t="str">
        <x:v>Technology</x:v>
      </x:c>
      <x:c r="H341" t="str">
        <x:v>Copiers</x:v>
      </x:c>
      <x:c r="I341" s="22" t="n">
        <x:v>959.984</x:v>
      </x:c>
      <x:c r="J341" s="24" t="n">
        <x:v>2</x:v>
      </x:c>
      <x:c r="K341" s="26" t="n">
        <x:v>0.2</x:v>
      </x:c>
      <x:c r="L341" s="22" t="n">
        <x:v>335.99440000000004</x:v>
      </x:c>
      <x:c r="M341" t="n">
        <x:v>2015</x:v>
      </x:c>
      <x:c r="N341" s="20" t="n">
        <x:v>42248</x:v>
      </x:c>
    </x:row>
    <x:row r="342" ht="18" customHeight="1">
      <x:c r="A342" t="str">
        <x:v>CA-2015-137946</x:v>
      </x:c>
      <x:c r="B342" s="18" t="n">
        <x:v>42248</x:v>
      </x:c>
      <x:c r="C342" t="str">
        <x:v>DB-13615</x:v>
      </x:c>
      <x:c r="D342" t="str">
        <x:v>Doug Bickford</x:v>
      </x:c>
      <x:c r="E342" t="str">
        <x:v>Consumer</x:v>
      </x:c>
      <x:c r="F342" t="str">
        <x:v>West</x:v>
      </x:c>
      <x:c r="G342" t="str">
        <x:v>Office Supplies</x:v>
      </x:c>
      <x:c r="H342" t="str">
        <x:v>Binders</x:v>
      </x:c>
      <x:c r="I342" s="22" t="n">
        <x:v>14.368000000000002</x:v>
      </x:c>
      <x:c r="J342" s="24" t="n">
        <x:v>4</x:v>
      </x:c>
      <x:c r="K342" s="26" t="n">
        <x:v>0.2</x:v>
      </x:c>
      <x:c r="L342" s="22" t="n">
        <x:v>4.489999999999998</x:v>
      </x:c>
      <x:c r="M342" t="n">
        <x:v>2015</x:v>
      </x:c>
      <x:c r="N342" s="20" t="n">
        <x:v>42248</x:v>
      </x:c>
    </x:row>
    <x:row r="343" ht="18" customHeight="1">
      <x:c r="A343" t="str">
        <x:v>CA-2014-129924</x:v>
      </x:c>
      <x:c r="B343" s="18" t="n">
        <x:v>41832</x:v>
      </x:c>
      <x:c r="C343" t="str">
        <x:v>AC-10420</x:v>
      </x:c>
      <x:c r="D343" t="str">
        <x:v>Alyssa Crouse</x:v>
      </x:c>
      <x:c r="E343" t="str">
        <x:v>Corporate</x:v>
      </x:c>
      <x:c r="F343" t="str">
        <x:v>West</x:v>
      </x:c>
      <x:c r="G343" t="str">
        <x:v>Office Supplies</x:v>
      </x:c>
      <x:c r="H343" t="str">
        <x:v>Binders</x:v>
      </x:c>
      <x:c r="I343" s="22" t="n">
        <x:v>7.712000000000001</x:v>
      </x:c>
      <x:c r="J343" s="24" t="n">
        <x:v>2</x:v>
      </x:c>
      <x:c r="K343" s="26" t="n">
        <x:v>0.2</x:v>
      </x:c>
      <x:c r="L343" s="22" t="n">
        <x:v>2.7956000000000003</x:v>
      </x:c>
      <x:c r="M343" t="n">
        <x:v>2014</x:v>
      </x:c>
      <x:c r="N343" s="20" t="n">
        <x:v>41821</x:v>
      </x:c>
    </x:row>
    <x:row r="344" ht="18" customHeight="1">
      <x:c r="A344" t="str">
        <x:v>CA-2014-129924</x:v>
      </x:c>
      <x:c r="B344" s="18" t="n">
        <x:v>41832</x:v>
      </x:c>
      <x:c r="C344" t="str">
        <x:v>AC-10420</x:v>
      </x:c>
      <x:c r="D344" t="str">
        <x:v>Alyssa Crouse</x:v>
      </x:c>
      <x:c r="E344" t="str">
        <x:v>Corporate</x:v>
      </x:c>
      <x:c r="F344" t="str">
        <x:v>West</x:v>
      </x:c>
      <x:c r="G344" t="str">
        <x:v>Furniture</x:v>
      </x:c>
      <x:c r="H344" t="str">
        <x:v>Tables</x:v>
      </x:c>
      <x:c r="I344" s="22" t="n">
        <x:v>698.3520000000001</x:v>
      </x:c>
      <x:c r="J344" s="24" t="n">
        <x:v>3</x:v>
      </x:c>
      <x:c r="K344" s="26" t="n">
        <x:v>0.2</x:v>
      </x:c>
      <x:c r="L344" s="22" t="n">
        <x:v>-17.458800000000053</x:v>
      </x:c>
      <x:c r="M344" t="n">
        <x:v>2014</x:v>
      </x:c>
      <x:c r="N344" s="20" t="n">
        <x:v>41821</x:v>
      </x:c>
    </x:row>
    <x:row r="345" ht="18" customHeight="1">
      <x:c r="A345" t="str">
        <x:v>CA-2015-128167</x:v>
      </x:c>
      <x:c r="B345" s="18" t="n">
        <x:v>42177</x:v>
      </x:c>
      <x:c r="C345" t="str">
        <x:v>KL-16645</x:v>
      </x:c>
      <x:c r="D345" t="str">
        <x:v>Ken Lonsdale</x:v>
      </x:c>
      <x:c r="E345" t="str">
        <x:v>Consumer</x:v>
      </x:c>
      <x:c r="F345" t="str">
        <x:v>West</x:v>
      </x:c>
      <x:c r="G345" t="str">
        <x:v>Office Supplies</x:v>
      </x:c>
      <x:c r="H345" t="str">
        <x:v>Fasteners</x:v>
      </x:c>
      <x:c r="I345" s="22" t="n">
        <x:v>4.96</x:v>
      </x:c>
      <x:c r="J345" s="24" t="n">
        <x:v>4</x:v>
      </x:c>
      <x:c r="K345" s="26" t="n">
        <x:v>0</x:v>
      </x:c>
      <x:c r="L345" s="22" t="n">
        <x:v>2.3312</x:v>
      </x:c>
      <x:c r="M345" t="n">
        <x:v>2015</x:v>
      </x:c>
      <x:c r="N345" s="20" t="n">
        <x:v>42156</x:v>
      </x:c>
    </x:row>
    <x:row r="346" ht="18" customHeight="1">
      <x:c r="A346" t="str">
        <x:v>CA-2014-122336</x:v>
      </x:c>
      <x:c r="B346" s="18" t="n">
        <x:v>41742</x:v>
      </x:c>
      <x:c r="C346" t="str">
        <x:v>JD-15895</x:v>
      </x:c>
      <x:c r="D346" t="str">
        <x:v>Jonathan Doherty</x:v>
      </x:c>
      <x:c r="E346" t="str">
        <x:v>Corporate</x:v>
      </x:c>
      <x:c r="F346" t="str">
        <x:v>East</x:v>
      </x:c>
      <x:c r="G346" t="str">
        <x:v>Office Supplies</x:v>
      </x:c>
      <x:c r="H346" t="str">
        <x:v>Art</x:v>
      </x:c>
      <x:c r="I346" s="22" t="n">
        <x:v>17.856</x:v>
      </x:c>
      <x:c r="J346" s="24" t="n">
        <x:v>4</x:v>
      </x:c>
      <x:c r="K346" s="26" t="n">
        <x:v>0.2</x:v>
      </x:c>
      <x:c r="L346" s="22" t="n">
        <x:v>1.1159999999999979</x:v>
      </x:c>
      <x:c r="M346" t="n">
        <x:v>2014</x:v>
      </x:c>
      <x:c r="N346" s="20" t="n">
        <x:v>41730</x:v>
      </x:c>
    </x:row>
    <x:row r="347" ht="18" customHeight="1">
      <x:c r="A347" t="str">
        <x:v>CA-2014-122336</x:v>
      </x:c>
      <x:c r="B347" s="18" t="n">
        <x:v>41742</x:v>
      </x:c>
      <x:c r="C347" t="str">
        <x:v>JD-15895</x:v>
      </x:c>
      <x:c r="D347" t="str">
        <x:v>Jonathan Doherty</x:v>
      </x:c>
      <x:c r="E347" t="str">
        <x:v>Corporate</x:v>
      </x:c>
      <x:c r="F347" t="str">
        <x:v>East</x:v>
      </x:c>
      <x:c r="G347" t="str">
        <x:v>Office Supplies</x:v>
      </x:c>
      <x:c r="H347" t="str">
        <x:v>Binders</x:v>
      </x:c>
      <x:c r="I347" s="22" t="n">
        <x:v>509.9700000000001</x:v>
      </x:c>
      <x:c r="J347" s="24" t="n">
        <x:v>10</x:v>
      </x:c>
      <x:c r="K347" s="26" t="n">
        <x:v>0.7</x:v>
      </x:c>
      <x:c r="L347" s="22" t="n">
        <x:v>-407.9759999999999</x:v>
      </x:c>
      <x:c r="M347" t="n">
        <x:v>2014</x:v>
      </x:c>
      <x:c r="N347" s="20" t="n">
        <x:v>41730</x:v>
      </x:c>
    </x:row>
    <x:row r="348" ht="18" customHeight="1">
      <x:c r="A348" t="str">
        <x:v>CA-2014-122336</x:v>
      </x:c>
      <x:c r="B348" s="18" t="n">
        <x:v>41742</x:v>
      </x:c>
      <x:c r="C348" t="str">
        <x:v>JD-15895</x:v>
      </x:c>
      <x:c r="D348" t="str">
        <x:v>Jonathan Doherty</x:v>
      </x:c>
      <x:c r="E348" t="str">
        <x:v>Corporate</x:v>
      </x:c>
      <x:c r="F348" t="str">
        <x:v>East</x:v>
      </x:c>
      <x:c r="G348" t="str">
        <x:v>Office Supplies</x:v>
      </x:c>
      <x:c r="H348" t="str">
        <x:v>Fasteners</x:v>
      </x:c>
      <x:c r="I348" s="22" t="n">
        <x:v>30.991999999999997</x:v>
      </x:c>
      <x:c r="J348" s="24" t="n">
        <x:v>13</x:v>
      </x:c>
      <x:c r="K348" s="26" t="n">
        <x:v>0.2</x:v>
      </x:c>
      <x:c r="L348" s="22" t="n">
        <x:v>10.072399999999996</x:v>
      </x:c>
      <x:c r="M348" t="n">
        <x:v>2014</x:v>
      </x:c>
      <x:c r="N348" s="20" t="n">
        <x:v>41730</x:v>
      </x:c>
    </x:row>
    <x:row r="349" ht="18" customHeight="1">
      <x:c r="A349" t="str">
        <x:v>CA-2014-122336</x:v>
      </x:c>
      <x:c r="B349" s="18" t="n">
        <x:v>41742</x:v>
      </x:c>
      <x:c r="C349" t="str">
        <x:v>JD-15895</x:v>
      </x:c>
      <x:c r="D349" t="str">
        <x:v>Jonathan Doherty</x:v>
      </x:c>
      <x:c r="E349" t="str">
        <x:v>Corporate</x:v>
      </x:c>
      <x:c r="F349" t="str">
        <x:v>East</x:v>
      </x:c>
      <x:c r="G349" t="str">
        <x:v>Technology</x:v>
      </x:c>
      <x:c r="H349" t="str">
        <x:v>Phones</x:v>
      </x:c>
      <x:c r="I349" s="22" t="n">
        <x:v>71.928</x:v>
      </x:c>
      <x:c r="J349" s="24" t="n">
        <x:v>12</x:v>
      </x:c>
      <x:c r="K349" s="26" t="n">
        <x:v>0.4</x:v>
      </x:c>
      <x:c r="L349" s="22" t="n">
        <x:v>8.39159999999999</x:v>
      </x:c>
      <x:c r="M349" t="n">
        <x:v>2014</x:v>
      </x:c>
      <x:c r="N349" s="20" t="n">
        <x:v>41730</x:v>
      </x:c>
    </x:row>
    <x:row r="350" ht="18" customHeight="1">
      <x:c r="A350" t="str">
        <x:v>US-2015-120712</x:v>
      </x:c>
      <x:c r="B350" s="18" t="n">
        <x:v>42358</x:v>
      </x:c>
      <x:c r="C350" t="str">
        <x:v>CS-12130</x:v>
      </x:c>
      <x:c r="D350" t="str">
        <x:v>Chad Sievert</x:v>
      </x:c>
      <x:c r="E350" t="str">
        <x:v>Consumer</x:v>
      </x:c>
      <x:c r="F350" t="str">
        <x:v>Central</x:v>
      </x:c>
      <x:c r="G350" t="str">
        <x:v>Office Supplies</x:v>
      </x:c>
      <x:c r="H350" t="str">
        <x:v>Storage</x:v>
      </x:c>
      <x:c r="I350" s="22" t="n">
        <x:v>88.80000000000001</x:v>
      </x:c>
      <x:c r="J350" s="24" t="n">
        <x:v>4</x:v>
      </x:c>
      <x:c r="K350" s="26" t="n">
        <x:v>0.2</x:v>
      </x:c>
      <x:c r="L350" s="22" t="n">
        <x:v>-2.220000000000013</x:v>
      </x:c>
      <x:c r="M350" t="n">
        <x:v>2015</x:v>
      </x:c>
      <x:c r="N350" s="20" t="n">
        <x:v>42339</x:v>
      </x:c>
    </x:row>
    <x:row r="351" ht="18" customHeight="1">
      <x:c r="A351" t="str">
        <x:v>CA-2017-169901</x:v>
      </x:c>
      <x:c r="B351" s="18" t="n">
        <x:v>42901</x:v>
      </x:c>
      <x:c r="C351" t="str">
        <x:v>CC-12550</x:v>
      </x:c>
      <x:c r="D351" t="str">
        <x:v>Clay Cheatham</x:v>
      </x:c>
      <x:c r="E351" t="str">
        <x:v>Consumer</x:v>
      </x:c>
      <x:c r="F351" t="str">
        <x:v>West</x:v>
      </x:c>
      <x:c r="G351" t="str">
        <x:v>Technology</x:v>
      </x:c>
      <x:c r="H351" t="str">
        <x:v>Phones</x:v>
      </x:c>
      <x:c r="I351" s="22" t="n">
        <x:v>47.976</x:v>
      </x:c>
      <x:c r="J351" s="24" t="n">
        <x:v>3</x:v>
      </x:c>
      <x:c r="K351" s="26" t="n">
        <x:v>0.2</x:v>
      </x:c>
      <x:c r="L351" s="22" t="n">
        <x:v>4.797600000000003</x:v>
      </x:c>
      <x:c r="M351" t="n">
        <x:v>2017</x:v>
      </x:c>
      <x:c r="N351" s="20" t="n">
        <x:v>42887</x:v>
      </x:c>
    </x:row>
    <x:row r="352" ht="18" customHeight="1">
      <x:c r="A352" t="str">
        <x:v>CA-2017-134306</x:v>
      </x:c>
      <x:c r="B352" s="18" t="n">
        <x:v>42924</x:v>
      </x:c>
      <x:c r="C352" t="str">
        <x:v>TD-20995</x:v>
      </x:c>
      <x:c r="D352" t="str">
        <x:v>Tamara Dahlen</x:v>
      </x:c>
      <x:c r="E352" t="str">
        <x:v>Consumer</x:v>
      </x:c>
      <x:c r="F352" t="str">
        <x:v>East</x:v>
      </x:c>
      <x:c r="G352" t="str">
        <x:v>Office Supplies</x:v>
      </x:c>
      <x:c r="H352" t="str">
        <x:v>Art</x:v>
      </x:c>
      <x:c r="I352" s="22" t="n">
        <x:v>7.5600000000000005</x:v>
      </x:c>
      <x:c r="J352" s="24" t="n">
        <x:v>3</x:v>
      </x:c>
      <x:c r="K352" s="26" t="n">
        <x:v>0</x:v>
      </x:c>
      <x:c r="L352" s="22" t="n">
        <x:v>3.0996000000000006</x:v>
      </x:c>
      <x:c r="M352" t="n">
        <x:v>2017</x:v>
      </x:c>
      <x:c r="N352" s="20" t="n">
        <x:v>42917</x:v>
      </x:c>
    </x:row>
    <x:row r="353" ht="18" customHeight="1">
      <x:c r="A353" t="str">
        <x:v>CA-2017-134306</x:v>
      </x:c>
      <x:c r="B353" s="18" t="n">
        <x:v>42924</x:v>
      </x:c>
      <x:c r="C353" t="str">
        <x:v>TD-20995</x:v>
      </x:c>
      <x:c r="D353" t="str">
        <x:v>Tamara Dahlen</x:v>
      </x:c>
      <x:c r="E353" t="str">
        <x:v>Consumer</x:v>
      </x:c>
      <x:c r="F353" t="str">
        <x:v>East</x:v>
      </x:c>
      <x:c r="G353" t="str">
        <x:v>Office Supplies</x:v>
      </x:c>
      <x:c r="H353" t="str">
        <x:v>Paper</x:v>
      </x:c>
      <x:c r="I353" s="22" t="n">
        <x:v>24.56</x:v>
      </x:c>
      <x:c r="J353" s="24" t="n">
        <x:v>2</x:v>
      </x:c>
      <x:c r="K353" s="26" t="n">
        <x:v>0</x:v>
      </x:c>
      <x:c r="L353" s="22" t="n">
        <x:v>11.543199999999999</x:v>
      </x:c>
      <x:c r="M353" t="n">
        <x:v>2017</x:v>
      </x:c>
      <x:c r="N353" s="20" t="n">
        <x:v>42917</x:v>
      </x:c>
    </x:row>
    <x:row r="354" ht="18" customHeight="1">
      <x:c r="A354" t="str">
        <x:v>CA-2017-134306</x:v>
      </x:c>
      <x:c r="B354" s="18" t="n">
        <x:v>42924</x:v>
      </x:c>
      <x:c r="C354" t="str">
        <x:v>TD-20995</x:v>
      </x:c>
      <x:c r="D354" t="str">
        <x:v>Tamara Dahlen</x:v>
      </x:c>
      <x:c r="E354" t="str">
        <x:v>Consumer</x:v>
      </x:c>
      <x:c r="F354" t="str">
        <x:v>East</x:v>
      </x:c>
      <x:c r="G354" t="str">
        <x:v>Office Supplies</x:v>
      </x:c>
      <x:c r="H354" t="str">
        <x:v>Art</x:v>
      </x:c>
      <x:c r="I354" s="22" t="n">
        <x:v>12.96</x:v>
      </x:c>
      <x:c r="J354" s="24" t="n">
        <x:v>2</x:v>
      </x:c>
      <x:c r="K354" s="26" t="n">
        <x:v>0</x:v>
      </x:c>
      <x:c r="L354" s="22" t="n">
        <x:v>4.1472</x:v>
      </x:c>
      <x:c r="M354" t="n">
        <x:v>2017</x:v>
      </x:c>
      <x:c r="N354" s="20" t="n">
        <x:v>42917</x:v>
      </x:c>
    </x:row>
    <x:row r="355" ht="18" customHeight="1">
      <x:c r="A355" t="str">
        <x:v>CA-2016-129714</x:v>
      </x:c>
      <x:c r="B355" s="18" t="n">
        <x:v>42614</x:v>
      </x:c>
      <x:c r="C355" t="str">
        <x:v>AB-10060</x:v>
      </x:c>
      <x:c r="D355" t="str">
        <x:v>Adam Bellavance</x:v>
      </x:c>
      <x:c r="E355" t="str">
        <x:v>Home Office</x:v>
      </x:c>
      <x:c r="F355" t="str">
        <x:v>East</x:v>
      </x:c>
      <x:c r="G355" t="str">
        <x:v>Technology</x:v>
      </x:c>
      <x:c r="H355" t="str">
        <x:v>Accessories</x:v>
      </x:c>
      <x:c r="I355" s="22" t="n">
        <x:v>6.79</x:v>
      </x:c>
      <x:c r="J355" s="24" t="n">
        <x:v>1</x:v>
      </x:c>
      <x:c r="K355" s="26" t="n">
        <x:v>0</x:v>
      </x:c>
      <x:c r="L355" s="22" t="n">
        <x:v>2.3086</x:v>
      </x:c>
      <x:c r="M355" t="n">
        <x:v>2016</x:v>
      </x:c>
      <x:c r="N355" s="20" t="n">
        <x:v>42614</x:v>
      </x:c>
    </x:row>
    <x:row r="356" ht="18" customHeight="1">
      <x:c r="A356" t="str">
        <x:v>CA-2016-129714</x:v>
      </x:c>
      <x:c r="B356" s="18" t="n">
        <x:v>42614</x:v>
      </x:c>
      <x:c r="C356" t="str">
        <x:v>AB-10060</x:v>
      </x:c>
      <x:c r="D356" t="str">
        <x:v>Adam Bellavance</x:v>
      </x:c>
      <x:c r="E356" t="str">
        <x:v>Home Office</x:v>
      </x:c>
      <x:c r="F356" t="str">
        <x:v>East</x:v>
      </x:c>
      <x:c r="G356" t="str">
        <x:v>Office Supplies</x:v>
      </x:c>
      <x:c r="H356" t="str">
        <x:v>Paper</x:v>
      </x:c>
      <x:c r="I356" s="22" t="n">
        <x:v>24.56</x:v>
      </x:c>
      <x:c r="J356" s="24" t="n">
        <x:v>2</x:v>
      </x:c>
      <x:c r="K356" s="26" t="n">
        <x:v>0</x:v>
      </x:c>
      <x:c r="L356" s="22" t="n">
        <x:v>11.543199999999999</x:v>
      </x:c>
      <x:c r="M356" t="n">
        <x:v>2016</x:v>
      </x:c>
      <x:c r="N356" s="20" t="n">
        <x:v>42614</x:v>
      </x:c>
    </x:row>
    <x:row r="357" ht="18" customHeight="1">
      <x:c r="A357" t="str">
        <x:v>CA-2016-129714</x:v>
      </x:c>
      <x:c r="B357" s="18" t="n">
        <x:v>42614</x:v>
      </x:c>
      <x:c r="C357" t="str">
        <x:v>AB-10060</x:v>
      </x:c>
      <x:c r="D357" t="str">
        <x:v>Adam Bellavance</x:v>
      </x:c>
      <x:c r="E357" t="str">
        <x:v>Home Office</x:v>
      </x:c>
      <x:c r="F357" t="str">
        <x:v>East</x:v>
      </x:c>
      <x:c r="G357" t="str">
        <x:v>Office Supplies</x:v>
      </x:c>
      <x:c r="H357" t="str">
        <x:v>Binders</x:v>
      </x:c>
      <x:c r="I357" s="22" t="n">
        <x:v>3.048</x:v>
      </x:c>
      <x:c r="J357" s="24" t="n">
        <x:v>1</x:v>
      </x:c>
      <x:c r="K357" s="26" t="n">
        <x:v>0.2</x:v>
      </x:c>
      <x:c r="L357" s="22" t="n">
        <x:v>1.0668</x:v>
      </x:c>
      <x:c r="M357" t="n">
        <x:v>2016</x:v>
      </x:c>
      <x:c r="N357" s="20" t="n">
        <x:v>42614</x:v>
      </x:c>
    </x:row>
    <x:row r="358" ht="18" customHeight="1">
      <x:c r="A358" t="str">
        <x:v>CA-2016-129714</x:v>
      </x:c>
      <x:c r="B358" s="18" t="n">
        <x:v>42614</x:v>
      </x:c>
      <x:c r="C358" t="str">
        <x:v>AB-10060</x:v>
      </x:c>
      <x:c r="D358" t="str">
        <x:v>Adam Bellavance</x:v>
      </x:c>
      <x:c r="E358" t="str">
        <x:v>Home Office</x:v>
      </x:c>
      <x:c r="F358" t="str">
        <x:v>East</x:v>
      </x:c>
      <x:c r="G358" t="str">
        <x:v>Office Supplies</x:v>
      </x:c>
      <x:c r="H358" t="str">
        <x:v>Paper</x:v>
      </x:c>
      <x:c r="I358" s="22" t="n">
        <x:v>49.12</x:v>
      </x:c>
      <x:c r="J358" s="24" t="n">
        <x:v>4</x:v>
      </x:c>
      <x:c r="K358" s="26" t="n">
        <x:v>0</x:v>
      </x:c>
      <x:c r="L358" s="22" t="n">
        <x:v>23.086399999999998</x:v>
      </x:c>
      <x:c r="M358" t="n">
        <x:v>2016</x:v>
      </x:c>
      <x:c r="N358" s="20" t="n">
        <x:v>42614</x:v>
      </x:c>
    </x:row>
    <x:row r="359" ht="18" customHeight="1">
      <x:c r="A359" t="str">
        <x:v>CA-2016-129714</x:v>
      </x:c>
      <x:c r="B359" s="18" t="n">
        <x:v>42614</x:v>
      </x:c>
      <x:c r="C359" t="str">
        <x:v>AB-10060</x:v>
      </x:c>
      <x:c r="D359" t="str">
        <x:v>Adam Bellavance</x:v>
      </x:c>
      <x:c r="E359" t="str">
        <x:v>Home Office</x:v>
      </x:c>
      <x:c r="F359" t="str">
        <x:v>East</x:v>
      </x:c>
      <x:c r="G359" t="str">
        <x:v>Office Supplies</x:v>
      </x:c>
      <x:c r="H359" t="str">
        <x:v>Binders</x:v>
      </x:c>
      <x:c r="I359" s="22" t="n">
        <x:v>4355.168000000001</x:v>
      </x:c>
      <x:c r="J359" s="24" t="n">
        <x:v>4</x:v>
      </x:c>
      <x:c r="K359" s="26" t="n">
        <x:v>0.2</x:v>
      </x:c>
      <x:c r="L359" s="22" t="n">
        <x:v>1415.4295999999997</x:v>
      </x:c>
      <x:c r="M359" t="n">
        <x:v>2016</x:v>
      </x:c>
      <x:c r="N359" s="20" t="n">
        <x:v>42614</x:v>
      </x:c>
    </x:row>
    <x:row r="360" ht="18" customHeight="1">
      <x:c r="A360" t="str">
        <x:v>CA-2016-138520</x:v>
      </x:c>
      <x:c r="B360" s="18" t="n">
        <x:v>42468</x:v>
      </x:c>
      <x:c r="C360" t="str">
        <x:v>JL-15505</x:v>
      </x:c>
      <x:c r="D360" t="str">
        <x:v>Jeremy Lonsdale</x:v>
      </x:c>
      <x:c r="E360" t="str">
        <x:v>Consumer</x:v>
      </x:c>
      <x:c r="F360" t="str">
        <x:v>East</x:v>
      </x:c>
      <x:c r="G360" t="str">
        <x:v>Furniture</x:v>
      </x:c>
      <x:c r="H360" t="str">
        <x:v>Bookcases</x:v>
      </x:c>
      <x:c r="I360" s="22" t="n">
        <x:v>388.70400000000006</x:v>
      </x:c>
      <x:c r="J360" s="24" t="n">
        <x:v>6</x:v>
      </x:c>
      <x:c r="K360" s="26" t="n">
        <x:v>0.2</x:v>
      </x:c>
      <x:c r="L360" s="22" t="n">
        <x:v>-4.858800000000002</x:v>
      </x:c>
      <x:c r="M360" t="n">
        <x:v>2016</x:v>
      </x:c>
      <x:c r="N360" s="20" t="n">
        <x:v>42461</x:v>
      </x:c>
    </x:row>
    <x:row r="361" ht="18" customHeight="1">
      <x:c r="A361" t="str">
        <x:v>CA-2016-138520</x:v>
      </x:c>
      <x:c r="B361" s="18" t="n">
        <x:v>42468</x:v>
      </x:c>
      <x:c r="C361" t="str">
        <x:v>JL-15505</x:v>
      </x:c>
      <x:c r="D361" t="str">
        <x:v>Jeremy Lonsdale</x:v>
      </x:c>
      <x:c r="E361" t="str">
        <x:v>Consumer</x:v>
      </x:c>
      <x:c r="F361" t="str">
        <x:v>East</x:v>
      </x:c>
      <x:c r="G361" t="str">
        <x:v>Office Supplies</x:v>
      </x:c>
      <x:c r="H361" t="str">
        <x:v>Envelopes</x:v>
      </x:c>
      <x:c r="I361" s="22" t="n">
        <x:v>8.26</x:v>
      </x:c>
      <x:c r="J361" s="24" t="n">
        <x:v>2</x:v>
      </x:c>
      <x:c r="K361" s="26" t="n">
        <x:v>0</x:v>
      </x:c>
      <x:c r="L361" s="22" t="n">
        <x:v>3.7996</x:v>
      </x:c>
      <x:c r="M361" t="n">
        <x:v>2016</x:v>
      </x:c>
      <x:c r="N361" s="20" t="n">
        <x:v>42461</x:v>
      </x:c>
    </x:row>
    <x:row r="362" ht="18" customHeight="1">
      <x:c r="A362" t="str">
        <x:v>CA-2016-138520</x:v>
      </x:c>
      <x:c r="B362" s="18" t="n">
        <x:v>42468</x:v>
      </x:c>
      <x:c r="C362" t="str">
        <x:v>JL-15505</x:v>
      </x:c>
      <x:c r="D362" t="str">
        <x:v>Jeremy Lonsdale</x:v>
      </x:c>
      <x:c r="E362" t="str">
        <x:v>Consumer</x:v>
      </x:c>
      <x:c r="F362" t="str">
        <x:v>East</x:v>
      </x:c>
      <x:c r="G362" t="str">
        <x:v>Office Supplies</x:v>
      </x:c>
      <x:c r="H362" t="str">
        <x:v>Art</x:v>
      </x:c>
      <x:c r="I362" s="22" t="n">
        <x:v>17.04</x:v>
      </x:c>
      <x:c r="J362" s="24" t="n">
        <x:v>4</x:v>
      </x:c>
      <x:c r="K362" s="26" t="n">
        <x:v>0</x:v>
      </x:c>
      <x:c r="L362" s="22" t="n">
        <x:v>6.9864</x:v>
      </x:c>
      <x:c r="M362" t="n">
        <x:v>2016</x:v>
      </x:c>
      <x:c r="N362" s="20" t="n">
        <x:v>42461</x:v>
      </x:c>
    </x:row>
    <x:row r="363" ht="18" customHeight="1">
      <x:c r="A363" t="str">
        <x:v>CA-2016-138520</x:v>
      </x:c>
      <x:c r="B363" s="18" t="n">
        <x:v>42468</x:v>
      </x:c>
      <x:c r="C363" t="str">
        <x:v>JL-15505</x:v>
      </x:c>
      <x:c r="D363" t="str">
        <x:v>Jeremy Lonsdale</x:v>
      </x:c>
      <x:c r="E363" t="str">
        <x:v>Consumer</x:v>
      </x:c>
      <x:c r="F363" t="str">
        <x:v>East</x:v>
      </x:c>
      <x:c r="G363" t="str">
        <x:v>Office Supplies</x:v>
      </x:c>
      <x:c r="H363" t="str">
        <x:v>Paper</x:v>
      </x:c>
      <x:c r="I363" s="22" t="n">
        <x:v>34.4</x:v>
      </x:c>
      <x:c r="J363" s="24" t="n">
        <x:v>5</x:v>
      </x:c>
      <x:c r="K363" s="26" t="n">
        <x:v>0</x:v>
      </x:c>
      <x:c r="L363" s="22" t="n">
        <x:v>15.823999999999998</x:v>
      </x:c>
      <x:c r="M363" t="n">
        <x:v>2016</x:v>
      </x:c>
      <x:c r="N363" s="20" t="n">
        <x:v>42461</x:v>
      </x:c>
    </x:row>
    <x:row r="364" ht="18" customHeight="1">
      <x:c r="A364" t="str">
        <x:v>CA-2016-130001</x:v>
      </x:c>
      <x:c r="B364" s="18" t="n">
        <x:v>42483</x:v>
      </x:c>
      <x:c r="C364" t="str">
        <x:v>HK-14890</x:v>
      </x:c>
      <x:c r="D364" t="str">
        <x:v>Heather Kirkland</x:v>
      </x:c>
      <x:c r="E364" t="str">
        <x:v>Corporate</x:v>
      </x:c>
      <x:c r="F364" t="str">
        <x:v>South</x:v>
      </x:c>
      <x:c r="G364" t="str">
        <x:v>Office Supplies</x:v>
      </x:c>
      <x:c r="H364" t="str">
        <x:v>Paper</x:v>
      </x:c>
      <x:c r="I364" s="22" t="n">
        <x:v>36.24000000000001</x:v>
      </x:c>
      <x:c r="J364" s="24" t="n">
        <x:v>5</x:v>
      </x:c>
      <x:c r="K364" s="26" t="n">
        <x:v>0.2</x:v>
      </x:c>
      <x:c r="L364" s="22" t="n">
        <x:v>11.324999999999996</x:v>
      </x:c>
      <x:c r="M364" t="n">
        <x:v>2016</x:v>
      </x:c>
      <x:c r="N364" s="20" t="n">
        <x:v>42461</x:v>
      </x:c>
    </x:row>
    <x:row r="365" ht="18" customHeight="1">
      <x:c r="A365" t="str">
        <x:v>CA-2017-155698</x:v>
      </x:c>
      <x:c r="B365" s="18" t="n">
        <x:v>42802</x:v>
      </x:c>
      <x:c r="C365" t="str">
        <x:v>VB-21745</x:v>
      </x:c>
      <x:c r="D365" t="str">
        <x:v>Victoria Brennan</x:v>
      </x:c>
      <x:c r="E365" t="str">
        <x:v>Corporate</x:v>
      </x:c>
      <x:c r="F365" t="str">
        <x:v>South</x:v>
      </x:c>
      <x:c r="G365" t="str">
        <x:v>Office Supplies</x:v>
      </x:c>
      <x:c r="H365" t="str">
        <x:v>Appliances</x:v>
      </x:c>
      <x:c r="I365" s="22" t="n">
        <x:v>647.84</x:v>
      </x:c>
      <x:c r="J365" s="24" t="n">
        <x:v>8</x:v>
      </x:c>
      <x:c r="K365" s="26" t="n">
        <x:v>0</x:v>
      </x:c>
      <x:c r="L365" s="22" t="n">
        <x:v>168.4384</x:v>
      </x:c>
      <x:c r="M365" t="n">
        <x:v>2017</x:v>
      </x:c>
      <x:c r="N365" s="20" t="n">
        <x:v>42795</x:v>
      </x:c>
    </x:row>
    <x:row r="366" ht="18" customHeight="1">
      <x:c r="A366" t="str">
        <x:v>CA-2017-155698</x:v>
      </x:c>
      <x:c r="B366" s="18" t="n">
        <x:v>42802</x:v>
      </x:c>
      <x:c r="C366" t="str">
        <x:v>VB-21745</x:v>
      </x:c>
      <x:c r="D366" t="str">
        <x:v>Victoria Brennan</x:v>
      </x:c>
      <x:c r="E366" t="str">
        <x:v>Corporate</x:v>
      </x:c>
      <x:c r="F366" t="str">
        <x:v>South</x:v>
      </x:c>
      <x:c r="G366" t="str">
        <x:v>Office Supplies</x:v>
      </x:c>
      <x:c r="H366" t="str">
        <x:v>Labels</x:v>
      </x:c>
      <x:c r="I366" s="22" t="n">
        <x:v>20.7</x:v>
      </x:c>
      <x:c r="J366" s="24" t="n">
        <x:v>2</x:v>
      </x:c>
      <x:c r="K366" s="26" t="n">
        <x:v>0</x:v>
      </x:c>
      <x:c r="L366" s="22" t="n">
        <x:v>9.936</x:v>
      </x:c>
      <x:c r="M366" t="n">
        <x:v>2017</x:v>
      </x:c>
      <x:c r="N366" s="20" t="n">
        <x:v>42795</x:v>
      </x:c>
    </x:row>
    <x:row r="367" ht="18" customHeight="1">
      <x:c r="A367" t="str">
        <x:v>CA-2017-144904</x:v>
      </x:c>
      <x:c r="B367" s="18" t="n">
        <x:v>43003</x:v>
      </x:c>
      <x:c r="C367" t="str">
        <x:v>KW-16435</x:v>
      </x:c>
      <x:c r="D367" t="str">
        <x:v>Katrina Willman</x:v>
      </x:c>
      <x:c r="E367" t="str">
        <x:v>Consumer</x:v>
      </x:c>
      <x:c r="F367" t="str">
        <x:v>East</x:v>
      </x:c>
      <x:c r="G367" t="str">
        <x:v>Office Supplies</x:v>
      </x:c>
      <x:c r="H367" t="str">
        <x:v>Labels</x:v>
      </x:c>
      <x:c r="I367" s="22" t="n">
        <x:v>20.7</x:v>
      </x:c>
      <x:c r="J367" s="24" t="n">
        <x:v>2</x:v>
      </x:c>
      <x:c r="K367" s="26" t="n">
        <x:v>0</x:v>
      </x:c>
      <x:c r="L367" s="22" t="n">
        <x:v>9.936</x:v>
      </x:c>
      <x:c r="M367" t="n">
        <x:v>2017</x:v>
      </x:c>
      <x:c r="N367" s="20" t="n">
        <x:v>42979</x:v>
      </x:c>
    </x:row>
    <x:row r="368" ht="18" customHeight="1">
      <x:c r="A368" t="str">
        <x:v>CA-2017-144904</x:v>
      </x:c>
      <x:c r="B368" s="18" t="n">
        <x:v>43003</x:v>
      </x:c>
      <x:c r="C368" t="str">
        <x:v>KW-16435</x:v>
      </x:c>
      <x:c r="D368" t="str">
        <x:v>Katrina Willman</x:v>
      </x:c>
      <x:c r="E368" t="str">
        <x:v>Consumer</x:v>
      </x:c>
      <x:c r="F368" t="str">
        <x:v>East</x:v>
      </x:c>
      <x:c r="G368" t="str">
        <x:v>Furniture</x:v>
      </x:c>
      <x:c r="H368" t="str">
        <x:v>Chairs</x:v>
      </x:c>
      <x:c r="I368" s="22" t="n">
        <x:v>488.646</x:v>
      </x:c>
      <x:c r="J368" s="24" t="n">
        <x:v>3</x:v>
      </x:c>
      <x:c r="K368" s="26" t="n">
        <x:v>0.1</x:v>
      </x:c>
      <x:c r="L368" s="22" t="n">
        <x:v>86.8704</x:v>
      </x:c>
      <x:c r="M368" t="n">
        <x:v>2017</x:v>
      </x:c>
      <x:c r="N368" s="20" t="n">
        <x:v>42979</x:v>
      </x:c>
    </x:row>
    <x:row r="369" ht="18" customHeight="1">
      <x:c r="A369" t="str">
        <x:v>CA-2017-144904</x:v>
      </x:c>
      <x:c r="B369" s="18" t="n">
        <x:v>43003</x:v>
      </x:c>
      <x:c r="C369" t="str">
        <x:v>KW-16435</x:v>
      </x:c>
      <x:c r="D369" t="str">
        <x:v>Katrina Willman</x:v>
      </x:c>
      <x:c r="E369" t="str">
        <x:v>Consumer</x:v>
      </x:c>
      <x:c r="F369" t="str">
        <x:v>East</x:v>
      </x:c>
      <x:c r="G369" t="str">
        <x:v>Office Supplies</x:v>
      </x:c>
      <x:c r="H369" t="str">
        <x:v>Art</x:v>
      </x:c>
      <x:c r="I369" s="22" t="n">
        <x:v>5.56</x:v>
      </x:c>
      <x:c r="J369" s="24" t="n">
        <x:v>2</x:v>
      </x:c>
      <x:c r="K369" s="26" t="n">
        <x:v>0</x:v>
      </x:c>
      <x:c r="L369" s="22" t="n">
        <x:v>1.4455999999999998</x:v>
      </x:c>
      <x:c r="M369" t="n">
        <x:v>2017</x:v>
      </x:c>
      <x:c r="N369" s="20" t="n">
        <x:v>42979</x:v>
      </x:c>
    </x:row>
    <x:row r="370" ht="18" customHeight="1">
      <x:c r="A370" t="str">
        <x:v>CA-2017-144904</x:v>
      </x:c>
      <x:c r="B370" s="18" t="n">
        <x:v>43003</x:v>
      </x:c>
      <x:c r="C370" t="str">
        <x:v>KW-16435</x:v>
      </x:c>
      <x:c r="D370" t="str">
        <x:v>Katrina Willman</x:v>
      </x:c>
      <x:c r="E370" t="str">
        <x:v>Consumer</x:v>
      </x:c>
      <x:c r="F370" t="str">
        <x:v>East</x:v>
      </x:c>
      <x:c r="G370" t="str">
        <x:v>Furniture</x:v>
      </x:c>
      <x:c r="H370" t="str">
        <x:v>Furnishings</x:v>
      </x:c>
      <x:c r="I370" s="22" t="n">
        <x:v>47.12</x:v>
      </x:c>
      <x:c r="J370" s="24" t="n">
        <x:v>8</x:v>
      </x:c>
      <x:c r="K370" s="26" t="n">
        <x:v>0</x:v>
      </x:c>
      <x:c r="L370" s="22" t="n">
        <x:v>20.7328</x:v>
      </x:c>
      <x:c r="M370" t="n">
        <x:v>2017</x:v>
      </x:c>
      <x:c r="N370" s="20" t="n">
        <x:v>42979</x:v>
      </x:c>
    </x:row>
    <x:row r="371" ht="18" customHeight="1">
      <x:c r="A371" t="str">
        <x:v>CA-2014-123344</x:v>
      </x:c>
      <x:c r="B371" s="18" t="n">
        <x:v>41906</x:v>
      </x:c>
      <x:c r="C371" t="str">
        <x:v>JD-16060</x:v>
      </x:c>
      <x:c r="D371" t="str">
        <x:v>Julia Dunbar</x:v>
      </x:c>
      <x:c r="E371" t="str">
        <x:v>Consumer</x:v>
      </x:c>
      <x:c r="F371" t="str">
        <x:v>West</x:v>
      </x:c>
      <x:c r="G371" t="str">
        <x:v>Office Supplies</x:v>
      </x:c>
      <x:c r="H371" t="str">
        <x:v>Storage</x:v>
      </x:c>
      <x:c r="I371" s="22" t="n">
        <x:v>211.96</x:v>
      </x:c>
      <x:c r="J371" s="24" t="n">
        <x:v>4</x:v>
      </x:c>
      <x:c r="K371" s="26" t="n">
        <x:v>0</x:v>
      </x:c>
      <x:c r="L371" s="22" t="n">
        <x:v>8.478399999999993</x:v>
      </x:c>
      <x:c r="M371" t="n">
        <x:v>2014</x:v>
      </x:c>
      <x:c r="N371" s="20" t="n">
        <x:v>41883</x:v>
      </x:c>
    </x:row>
    <x:row r="372" ht="18" customHeight="1">
      <x:c r="A372" t="str">
        <x:v>CA-2016-155516</x:v>
      </x:c>
      <x:c r="B372" s="18" t="n">
        <x:v>42664</x:v>
      </x:c>
      <x:c r="C372" t="str">
        <x:v>MK-17905</x:v>
      </x:c>
      <x:c r="D372" t="str">
        <x:v>Michael Kennedy</x:v>
      </x:c>
      <x:c r="E372" t="str">
        <x:v>Corporate</x:v>
      </x:c>
      <x:c r="F372" t="str">
        <x:v>East</x:v>
      </x:c>
      <x:c r="G372" t="str">
        <x:v>Office Supplies</x:v>
      </x:c>
      <x:c r="H372" t="str">
        <x:v>Binders</x:v>
      </x:c>
      <x:c r="I372" s="22" t="n">
        <x:v>23.2</x:v>
      </x:c>
      <x:c r="J372" s="24" t="n">
        <x:v>4</x:v>
      </x:c>
      <x:c r="K372" s="26" t="n">
        <x:v>0</x:v>
      </x:c>
      <x:c r="L372" s="22" t="n">
        <x:v>10.44</x:v>
      </x:c>
      <x:c r="M372" t="n">
        <x:v>2016</x:v>
      </x:c>
      <x:c r="N372" s="20" t="n">
        <x:v>42644</x:v>
      </x:c>
    </x:row>
    <x:row r="373" ht="18" customHeight="1">
      <x:c r="A373" t="str">
        <x:v>CA-2016-155516</x:v>
      </x:c>
      <x:c r="B373" s="18" t="n">
        <x:v>42664</x:v>
      </x:c>
      <x:c r="C373" t="str">
        <x:v>MK-17905</x:v>
      </x:c>
      <x:c r="D373" t="str">
        <x:v>Michael Kennedy</x:v>
      </x:c>
      <x:c r="E373" t="str">
        <x:v>Corporate</x:v>
      </x:c>
      <x:c r="F373" t="str">
        <x:v>East</x:v>
      </x:c>
      <x:c r="G373" t="str">
        <x:v>Office Supplies</x:v>
      </x:c>
      <x:c r="H373" t="str">
        <x:v>Supplies</x:v>
      </x:c>
      <x:c r="I373" s="22" t="n">
        <x:v>7.36</x:v>
      </x:c>
      <x:c r="J373" s="24" t="n">
        <x:v>2</x:v>
      </x:c>
      <x:c r="K373" s="26" t="n">
        <x:v>0</x:v>
      </x:c>
      <x:c r="L373" s="22" t="n">
        <x:v>0.14719999999999978</x:v>
      </x:c>
      <x:c r="M373" t="n">
        <x:v>2016</x:v>
      </x:c>
      <x:c r="N373" s="20" t="n">
        <x:v>42644</x:v>
      </x:c>
    </x:row>
    <x:row r="374" ht="18" customHeight="1">
      <x:c r="A374" t="str">
        <x:v>CA-2016-155516</x:v>
      </x:c>
      <x:c r="B374" s="18" t="n">
        <x:v>42664</x:v>
      </x:c>
      <x:c r="C374" t="str">
        <x:v>MK-17905</x:v>
      </x:c>
      <x:c r="D374" t="str">
        <x:v>Michael Kennedy</x:v>
      </x:c>
      <x:c r="E374" t="str">
        <x:v>Corporate</x:v>
      </x:c>
      <x:c r="F374" t="str">
        <x:v>East</x:v>
      </x:c>
      <x:c r="G374" t="str">
        <x:v>Office Supplies</x:v>
      </x:c>
      <x:c r="H374" t="str">
        <x:v>Storage</x:v>
      </x:c>
      <x:c r="I374" s="22" t="n">
        <x:v>104.79</x:v>
      </x:c>
      <x:c r="J374" s="24" t="n">
        <x:v>7</x:v>
      </x:c>
      <x:c r="K374" s="26" t="n">
        <x:v>0</x:v>
      </x:c>
      <x:c r="L374" s="22" t="n">
        <x:v>29.341200000000008</x:v>
      </x:c>
      <x:c r="M374" t="n">
        <x:v>2016</x:v>
      </x:c>
      <x:c r="N374" s="20" t="n">
        <x:v>42644</x:v>
      </x:c>
    </x:row>
    <x:row r="375" ht="18" customHeight="1">
      <x:c r="A375" t="str">
        <x:v>CA-2016-155516</x:v>
      </x:c>
      <x:c r="B375" s="18" t="n">
        <x:v>42664</x:v>
      </x:c>
      <x:c r="C375" t="str">
        <x:v>MK-17905</x:v>
      </x:c>
      <x:c r="D375" t="str">
        <x:v>Michael Kennedy</x:v>
      </x:c>
      <x:c r="E375" t="str">
        <x:v>Corporate</x:v>
      </x:c>
      <x:c r="F375" t="str">
        <x:v>East</x:v>
      </x:c>
      <x:c r="G375" t="str">
        <x:v>Furniture</x:v>
      </x:c>
      <x:c r="H375" t="str">
        <x:v>Bookcases</x:v>
      </x:c>
      <x:c r="I375" s="22" t="n">
        <x:v>1043.92</x:v>
      </x:c>
      <x:c r="J375" s="24" t="n">
        <x:v>4</x:v>
      </x:c>
      <x:c r="K375" s="26" t="n">
        <x:v>0</x:v>
      </x:c>
      <x:c r="L375" s="22" t="n">
        <x:v>271.41920000000005</x:v>
      </x:c>
      <x:c r="M375" t="n">
        <x:v>2016</x:v>
      </x:c>
      <x:c r="N375" s="20" t="n">
        <x:v>42644</x:v>
      </x:c>
    </x:row>
    <x:row r="376" ht="18" customHeight="1">
      <x:c r="A376" t="str">
        <x:v>CA-2017-104745</x:v>
      </x:c>
      <x:c r="B376" s="18" t="n">
        <x:v>42884</x:v>
      </x:c>
      <x:c r="C376" t="str">
        <x:v>GT-14755</x:v>
      </x:c>
      <x:c r="D376" t="str">
        <x:v>Guy Thornton</x:v>
      </x:c>
      <x:c r="E376" t="str">
        <x:v>Consumer</x:v>
      </x:c>
      <x:c r="F376" t="str">
        <x:v>Central</x:v>
      </x:c>
      <x:c r="G376" t="str">
        <x:v>Office Supplies</x:v>
      </x:c>
      <x:c r="H376" t="str">
        <x:v>Paper</x:v>
      </x:c>
      <x:c r="I376" s="22" t="n">
        <x:v>25.920000000000005</x:v>
      </x:c>
      <x:c r="J376" s="24" t="n">
        <x:v>5</x:v>
      </x:c>
      <x:c r="K376" s="26" t="n">
        <x:v>0.2</x:v>
      </x:c>
      <x:c r="L376" s="22" t="n">
        <x:v>9.396</x:v>
      </x:c>
      <x:c r="M376" t="n">
        <x:v>2017</x:v>
      </x:c>
      <x:c r="N376" s="20" t="n">
        <x:v>42856</x:v>
      </x:c>
    </x:row>
    <x:row r="377" ht="18" customHeight="1">
      <x:c r="A377" t="str">
        <x:v>CA-2017-104745</x:v>
      </x:c>
      <x:c r="B377" s="18" t="n">
        <x:v>42884</x:v>
      </x:c>
      <x:c r="C377" t="str">
        <x:v>GT-14755</x:v>
      </x:c>
      <x:c r="D377" t="str">
        <x:v>Guy Thornton</x:v>
      </x:c>
      <x:c r="E377" t="str">
        <x:v>Consumer</x:v>
      </x:c>
      <x:c r="F377" t="str">
        <x:v>Central</x:v>
      </x:c>
      <x:c r="G377" t="str">
        <x:v>Office Supplies</x:v>
      </x:c>
      <x:c r="H377" t="str">
        <x:v>Storage</x:v>
      </x:c>
      <x:c r="I377" s="22" t="n">
        <x:v>53.42400000000001</x:v>
      </x:c>
      <x:c r="J377" s="24" t="n">
        <x:v>3</x:v>
      </x:c>
      <x:c r="K377" s="26" t="n">
        <x:v>0.2</x:v>
      </x:c>
      <x:c r="L377" s="22" t="n">
        <x:v>4.674600000000002</x:v>
      </x:c>
      <x:c r="M377" t="n">
        <x:v>2017</x:v>
      </x:c>
      <x:c r="N377" s="20" t="n">
        <x:v>42856</x:v>
      </x:c>
    </x:row>
    <x:row r="378" ht="18" customHeight="1">
      <x:c r="A378" t="str">
        <x:v>US-2014-119137</x:v>
      </x:c>
      <x:c r="B378" s="18" t="n">
        <x:v>41843</x:v>
      </x:c>
      <x:c r="C378" t="str">
        <x:v>AG-10900</x:v>
      </x:c>
      <x:c r="D378" t="str">
        <x:v>Arthur Gainer</x:v>
      </x:c>
      <x:c r="E378" t="str">
        <x:v>Consumer</x:v>
      </x:c>
      <x:c r="F378" t="str">
        <x:v>West</x:v>
      </x:c>
      <x:c r="G378" t="str">
        <x:v>Office Supplies</x:v>
      </x:c>
      <x:c r="H378" t="str">
        <x:v>Binders</x:v>
      </x:c>
      <x:c r="I378" s="22" t="n">
        <x:v>8.160000000000002</x:v>
      </x:c>
      <x:c r="J378" s="24" t="n">
        <x:v>5</x:v>
      </x:c>
      <x:c r="K378" s="26" t="n">
        <x:v>0.7</x:v>
      </x:c>
      <x:c r="L378" s="22" t="n">
        <x:v>-5.712</x:v>
      </x:c>
      <x:c r="M378" t="n">
        <x:v>2014</x:v>
      </x:c>
      <x:c r="N378" s="20" t="n">
        <x:v>41821</x:v>
      </x:c>
    </x:row>
    <x:row r="379" ht="18" customHeight="1">
      <x:c r="A379" t="str">
        <x:v>US-2014-119137</x:v>
      </x:c>
      <x:c r="B379" s="18" t="n">
        <x:v>41843</x:v>
      </x:c>
      <x:c r="C379" t="str">
        <x:v>AG-10900</x:v>
      </x:c>
      <x:c r="D379" t="str">
        <x:v>Arthur Gainer</x:v>
      </x:c>
      <x:c r="E379" t="str">
        <x:v>Consumer</x:v>
      </x:c>
      <x:c r="F379" t="str">
        <x:v>West</x:v>
      </x:c>
      <x:c r="G379" t="str">
        <x:v>Technology</x:v>
      </x:c>
      <x:c r="H379" t="str">
        <x:v>Accessories</x:v>
      </x:c>
      <x:c r="I379" s="22" t="n">
        <x:v>1023.9360000000001</x:v>
      </x:c>
      <x:c r="J379" s="24" t="n">
        <x:v>8</x:v>
      </x:c>
      <x:c r="K379" s="26" t="n">
        <x:v>0.2</x:v>
      </x:c>
      <x:c r="L379" s="22" t="n">
        <x:v>179.1887999999999</x:v>
      </x:c>
      <x:c r="M379" t="n">
        <x:v>2014</x:v>
      </x:c>
      <x:c r="N379" s="20" t="n">
        <x:v>41821</x:v>
      </x:c>
    </x:row>
    <x:row r="380" ht="18" customHeight="1">
      <x:c r="A380" t="str">
        <x:v>US-2014-119137</x:v>
      </x:c>
      <x:c r="B380" s="18" t="n">
        <x:v>41843</x:v>
      </x:c>
      <x:c r="C380" t="str">
        <x:v>AG-10900</x:v>
      </x:c>
      <x:c r="D380" t="str">
        <x:v>Arthur Gainer</x:v>
      </x:c>
      <x:c r="E380" t="str">
        <x:v>Consumer</x:v>
      </x:c>
      <x:c r="F380" t="str">
        <x:v>West</x:v>
      </x:c>
      <x:c r="G380" t="str">
        <x:v>Office Supplies</x:v>
      </x:c>
      <x:c r="H380" t="str">
        <x:v>Art</x:v>
      </x:c>
      <x:c r="I380" s="22" t="n">
        <x:v>9.24</x:v>
      </x:c>
      <x:c r="J380" s="24" t="n">
        <x:v>1</x:v>
      </x:c>
      <x:c r="K380" s="26" t="n">
        <x:v>0.2</x:v>
      </x:c>
      <x:c r="L380" s="22" t="n">
        <x:v>0.9239999999999999</x:v>
      </x:c>
      <x:c r="M380" t="n">
        <x:v>2014</x:v>
      </x:c>
      <x:c r="N380" s="20" t="n">
        <x:v>41821</x:v>
      </x:c>
    </x:row>
    <x:row r="381" ht="18" customHeight="1">
      <x:c r="A381" t="str">
        <x:v>US-2014-119137</x:v>
      </x:c>
      <x:c r="B381" s="18" t="n">
        <x:v>41843</x:v>
      </x:c>
      <x:c r="C381" t="str">
        <x:v>AG-10900</x:v>
      </x:c>
      <x:c r="D381" t="str">
        <x:v>Arthur Gainer</x:v>
      </x:c>
      <x:c r="E381" t="str">
        <x:v>Consumer</x:v>
      </x:c>
      <x:c r="F381" t="str">
        <x:v>West</x:v>
      </x:c>
      <x:c r="G381" t="str">
        <x:v>Technology</x:v>
      </x:c>
      <x:c r="H381" t="str">
        <x:v>Accessories</x:v>
      </x:c>
      <x:c r="I381" s="22" t="n">
        <x:v>479.04</x:v>
      </x:c>
      <x:c r="J381" s="24" t="n">
        <x:v>10</x:v>
      </x:c>
      <x:c r="K381" s="26" t="n">
        <x:v>0.2</x:v>
      </x:c>
      <x:c r="L381" s="22" t="n">
        <x:v>-29.940000000000012</x:v>
      </x:c>
      <x:c r="M381" t="n">
        <x:v>2014</x:v>
      </x:c>
      <x:c r="N381" s="20" t="n">
        <x:v>41821</x:v>
      </x:c>
    </x:row>
    <x:row r="382" ht="18" customHeight="1">
      <x:c r="A382" t="str">
        <x:v>US-2016-134656</x:v>
      </x:c>
      <x:c r="B382" s="18" t="n">
        <x:v>42641</x:v>
      </x:c>
      <x:c r="C382" t="str">
        <x:v>MM-18280</x:v>
      </x:c>
      <x:c r="D382" t="str">
        <x:v>Muhammed MacIntyre</x:v>
      </x:c>
      <x:c r="E382" t="str">
        <x:v>Corporate</x:v>
      </x:c>
      <x:c r="F382" t="str">
        <x:v>Central</x:v>
      </x:c>
      <x:c r="G382" t="str">
        <x:v>Office Supplies</x:v>
      </x:c>
      <x:c r="H382" t="str">
        <x:v>Paper</x:v>
      </x:c>
      <x:c r="I382" s="22" t="n">
        <x:v>99.13600000000001</x:v>
      </x:c>
      <x:c r="J382" s="24" t="n">
        <x:v>4</x:v>
      </x:c>
      <x:c r="K382" s="26" t="n">
        <x:v>0.2</x:v>
      </x:c>
      <x:c r="L382" s="22" t="n">
        <x:v>30.979999999999993</x:v>
      </x:c>
      <x:c r="M382" t="n">
        <x:v>2016</x:v>
      </x:c>
      <x:c r="N382" s="20" t="n">
        <x:v>42614</x:v>
      </x:c>
    </x:row>
    <x:row r="383" ht="18" customHeight="1">
      <x:c r="A383" t="str">
        <x:v>US-2017-134481</x:v>
      </x:c>
      <x:c r="B383" s="18" t="n">
        <x:v>42974</x:v>
      </x:c>
      <x:c r="C383" t="str">
        <x:v>AR-10405</x:v>
      </x:c>
      <x:c r="D383" t="str">
        <x:v>Allen Rosenblatt</x:v>
      </x:c>
      <x:c r="E383" t="str">
        <x:v>Corporate</x:v>
      </x:c>
      <x:c r="F383" t="str">
        <x:v>East</x:v>
      </x:c>
      <x:c r="G383" t="str">
        <x:v>Furniture</x:v>
      </x:c>
      <x:c r="H383" t="str">
        <x:v>Tables</x:v>
      </x:c>
      <x:c r="I383" s="22" t="n">
        <x:v>1488.4239999999998</x:v>
      </x:c>
      <x:c r="J383" s="24" t="n">
        <x:v>7</x:v>
      </x:c>
      <x:c r="K383" s="26" t="n">
        <x:v>0.3</x:v>
      </x:c>
      <x:c r="L383" s="22" t="n">
        <x:v>-297.6847999999998</x:v>
      </x:c>
      <x:c r="M383" t="n">
        <x:v>2017</x:v>
      </x:c>
      <x:c r="N383" s="20" t="n">
        <x:v>42948</x:v>
      </x:c>
    </x:row>
    <x:row r="384" ht="18" customHeight="1">
      <x:c r="A384" t="str">
        <x:v>CA-2015-130792</x:v>
      </x:c>
      <x:c r="B384" s="18" t="n">
        <x:v>42122</x:v>
      </x:c>
      <x:c r="C384" t="str">
        <x:v>RA-19915</x:v>
      </x:c>
      <x:c r="D384" t="str">
        <x:v>Russell Applegate</x:v>
      </x:c>
      <x:c r="E384" t="str">
        <x:v>Consumer</x:v>
      </x:c>
      <x:c r="F384" t="str">
        <x:v>Central</x:v>
      </x:c>
      <x:c r="G384" t="str">
        <x:v>Office Supplies</x:v>
      </x:c>
      <x:c r="H384" t="str">
        <x:v>Appliances</x:v>
      </x:c>
      <x:c r="I384" s="22" t="n">
        <x:v>8.651999999999997</x:v>
      </x:c>
      <x:c r="J384" s="24" t="n">
        <x:v>3</x:v>
      </x:c>
      <x:c r="K384" s="26" t="n">
        <x:v>0.8</x:v>
      </x:c>
      <x:c r="L384" s="22" t="n">
        <x:v>-20.332200000000007</x:v>
      </x:c>
      <x:c r="M384" t="n">
        <x:v>2015</x:v>
      </x:c>
      <x:c r="N384" s="20" t="n">
        <x:v>42095</x:v>
      </x:c>
    </x:row>
    <x:row r="385" ht="18" customHeight="1">
      <x:c r="A385" t="str">
        <x:v>CA-2015-130792</x:v>
      </x:c>
      <x:c r="B385" s="18" t="n">
        <x:v>42122</x:v>
      </x:c>
      <x:c r="C385" t="str">
        <x:v>RA-19915</x:v>
      </x:c>
      <x:c r="D385" t="str">
        <x:v>Russell Applegate</x:v>
      </x:c>
      <x:c r="E385" t="str">
        <x:v>Consumer</x:v>
      </x:c>
      <x:c r="F385" t="str">
        <x:v>Central</x:v>
      </x:c>
      <x:c r="G385" t="str">
        <x:v>Office Supplies</x:v>
      </x:c>
      <x:c r="H385" t="str">
        <x:v>Storage</x:v>
      </x:c>
      <x:c r="I385" s="22" t="n">
        <x:v>23.832</x:v>
      </x:c>
      <x:c r="J385" s="24" t="n">
        <x:v>3</x:v>
      </x:c>
      <x:c r="K385" s="26" t="n">
        <x:v>0.2</x:v>
      </x:c>
      <x:c r="L385" s="22" t="n">
        <x:v>2.6810999999999954</x:v>
      </x:c>
      <x:c r="M385" t="n">
        <x:v>2015</x:v>
      </x:c>
      <x:c r="N385" s="20" t="n">
        <x:v>42095</x:v>
      </x:c>
    </x:row>
    <x:row r="386" ht="18" customHeight="1">
      <x:c r="A386" t="str">
        <x:v>CA-2015-130792</x:v>
      </x:c>
      <x:c r="B386" s="18" t="n">
        <x:v>42122</x:v>
      </x:c>
      <x:c r="C386" t="str">
        <x:v>RA-19915</x:v>
      </x:c>
      <x:c r="D386" t="str">
        <x:v>Russell Applegate</x:v>
      </x:c>
      <x:c r="E386" t="str">
        <x:v>Consumer</x:v>
      </x:c>
      <x:c r="F386" t="str">
        <x:v>Central</x:v>
      </x:c>
      <x:c r="G386" t="str">
        <x:v>Office Supplies</x:v>
      </x:c>
      <x:c r="H386" t="str">
        <x:v>Binders</x:v>
      </x:c>
      <x:c r="I386" s="22" t="n">
        <x:v>12.175999999999998</x:v>
      </x:c>
      <x:c r="J386" s="24" t="n">
        <x:v>4</x:v>
      </x:c>
      <x:c r="K386" s="26" t="n">
        <x:v>0.8</x:v>
      </x:c>
      <x:c r="L386" s="22" t="n">
        <x:v>-18.87280000000001</x:v>
      </x:c>
      <x:c r="M386" t="n">
        <x:v>2015</x:v>
      </x:c>
      <x:c r="N386" s="20" t="n">
        <x:v>42095</x:v>
      </x:c>
    </x:row>
    <x:row r="387" ht="18" customHeight="1">
      <x:c r="A387" t="str">
        <x:v>CA-2016-134775</x:v>
      </x:c>
      <x:c r="B387" s="18" t="n">
        <x:v>42671</x:v>
      </x:c>
      <x:c r="C387" t="str">
        <x:v>AS-10285</x:v>
      </x:c>
      <x:c r="D387" t="str">
        <x:v>Alejandro Savely</x:v>
      </x:c>
      <x:c r="E387" t="str">
        <x:v>Corporate</x:v>
      </x:c>
      <x:c r="F387" t="str">
        <x:v>West</x:v>
      </x:c>
      <x:c r="G387" t="str">
        <x:v>Office Supplies</x:v>
      </x:c>
      <x:c r="H387" t="str">
        <x:v>Paper</x:v>
      </x:c>
      <x:c r="I387" s="22" t="n">
        <x:v>50.96</x:v>
      </x:c>
      <x:c r="J387" s="24" t="n">
        <x:v>7</x:v>
      </x:c>
      <x:c r="K387" s="26" t="n">
        <x:v>0</x:v>
      </x:c>
      <x:c r="L387" s="22" t="n">
        <x:v>25.48</x:v>
      </x:c>
      <x:c r="M387" t="n">
        <x:v>2016</x:v>
      </x:c>
      <x:c r="N387" s="20" t="n">
        <x:v>42644</x:v>
      </x:c>
    </x:row>
    <x:row r="388" ht="18" customHeight="1">
      <x:c r="A388" t="str">
        <x:v>CA-2016-134775</x:v>
      </x:c>
      <x:c r="B388" s="18" t="n">
        <x:v>42671</x:v>
      </x:c>
      <x:c r="C388" t="str">
        <x:v>AS-10285</x:v>
      </x:c>
      <x:c r="D388" t="str">
        <x:v>Alejandro Savely</x:v>
      </x:c>
      <x:c r="E388" t="str">
        <x:v>Corporate</x:v>
      </x:c>
      <x:c r="F388" t="str">
        <x:v>West</x:v>
      </x:c>
      <x:c r="G388" t="str">
        <x:v>Office Supplies</x:v>
      </x:c>
      <x:c r="H388" t="str">
        <x:v>Binders</x:v>
      </x:c>
      <x:c r="I388" s="22" t="n">
        <x:v>49.536</x:v>
      </x:c>
      <x:c r="J388" s="24" t="n">
        <x:v>3</x:v>
      </x:c>
      <x:c r="K388" s="26" t="n">
        <x:v>0.2</x:v>
      </x:c>
      <x:c r="L388" s="22" t="n">
        <x:v>17.3376</x:v>
      </x:c>
      <x:c r="M388" t="n">
        <x:v>2016</x:v>
      </x:c>
      <x:c r="N388" s="20" t="n">
        <x:v>42644</x:v>
      </x:c>
    </x:row>
    <x:row r="389" ht="18" customHeight="1">
      <x:c r="A389" t="str">
        <x:v>CA-2015-125395</x:v>
      </x:c>
      <x:c r="B389" s="18" t="n">
        <x:v>42181</x:v>
      </x:c>
      <x:c r="C389" t="str">
        <x:v>LA-16780</x:v>
      </x:c>
      <x:c r="D389" t="str">
        <x:v>Laura Armstrong</x:v>
      </x:c>
      <x:c r="E389" t="str">
        <x:v>Corporate</x:v>
      </x:c>
      <x:c r="F389" t="str">
        <x:v>Central</x:v>
      </x:c>
      <x:c r="G389" t="str">
        <x:v>Technology</x:v>
      </x:c>
      <x:c r="H389" t="str">
        <x:v>Accessories</x:v>
      </x:c>
      <x:c r="I389" s="22" t="n">
        <x:v>41.9</x:v>
      </x:c>
      <x:c r="J389" s="24" t="n">
        <x:v>2</x:v>
      </x:c>
      <x:c r="K389" s="26" t="n">
        <x:v>0</x:v>
      </x:c>
      <x:c r="L389" s="22" t="n">
        <x:v>8.799</x:v>
      </x:c>
      <x:c r="M389" t="n">
        <x:v>2015</x:v>
      </x:c>
      <x:c r="N389" s="20" t="n">
        <x:v>42156</x:v>
      </x:c>
    </x:row>
    <x:row r="390" ht="18" customHeight="1">
      <x:c r="A390" t="str">
        <x:v>US-2015-168935</x:v>
      </x:c>
      <x:c r="B390" s="18" t="n">
        <x:v>42335</x:v>
      </x:c>
      <x:c r="C390" t="str">
        <x:v>DO-13435</x:v>
      </x:c>
      <x:c r="D390" t="str">
        <x:v>Denny Ordway</x:v>
      </x:c>
      <x:c r="E390" t="str">
        <x:v>Consumer</x:v>
      </x:c>
      <x:c r="F390" t="str">
        <x:v>South</x:v>
      </x:c>
      <x:c r="G390" t="str">
        <x:v>Furniture</x:v>
      </x:c>
      <x:c r="H390" t="str">
        <x:v>Tables</x:v>
      </x:c>
      <x:c r="I390" s="22" t="n">
        <x:v>375.45750000000004</x:v>
      </x:c>
      <x:c r="J390" s="24" t="n">
        <x:v>3</x:v>
      </x:c>
      <x:c r="K390" s="26" t="n">
        <x:v>0.45</x:v>
      </x:c>
      <x:c r="L390" s="22" t="n">
        <x:v>-157.00949999999997</x:v>
      </x:c>
      <x:c r="M390" t="n">
        <x:v>2015</x:v>
      </x:c>
      <x:c r="N390" s="20" t="n">
        <x:v>42309</x:v>
      </x:c>
    </x:row>
    <x:row r="391" ht="18" customHeight="1">
      <x:c r="A391" t="str">
        <x:v>US-2015-168935</x:v>
      </x:c>
      <x:c r="B391" s="18" t="n">
        <x:v>42335</x:v>
      </x:c>
      <x:c r="C391" t="str">
        <x:v>DO-13435</x:v>
      </x:c>
      <x:c r="D391" t="str">
        <x:v>Denny Ordway</x:v>
      </x:c>
      <x:c r="E391" t="str">
        <x:v>Consumer</x:v>
      </x:c>
      <x:c r="F391" t="str">
        <x:v>South</x:v>
      </x:c>
      <x:c r="G391" t="str">
        <x:v>Technology</x:v>
      </x:c>
      <x:c r="H391" t="str">
        <x:v>Accessories</x:v>
      </x:c>
      <x:c r="I391" s="22" t="n">
        <x:v>83.97600000000001</x:v>
      </x:c>
      <x:c r="J391" s="24" t="n">
        <x:v>3</x:v>
      </x:c>
      <x:c r="K391" s="26" t="n">
        <x:v>0.2</x:v>
      </x:c>
      <x:c r="L391" s="22" t="n">
        <x:v>-1.049700000000005</x:v>
      </x:c>
      <x:c r="M391" t="n">
        <x:v>2015</x:v>
      </x:c>
      <x:c r="N391" s="20" t="n">
        <x:v>42309</x:v>
      </x:c>
    </x:row>
    <x:row r="392" ht="18" customHeight="1">
      <x:c r="A392" t="str">
        <x:v>CA-2015-122756</x:v>
      </x:c>
      <x:c r="B392" s="18" t="n">
        <x:v>42341</x:v>
      </x:c>
      <x:c r="C392" t="str">
        <x:v>DK-13225</x:v>
      </x:c>
      <x:c r="D392" t="str">
        <x:v>Dean Katz</x:v>
      </x:c>
      <x:c r="E392" t="str">
        <x:v>Corporate</x:v>
      </x:c>
      <x:c r="F392" t="str">
        <x:v>East</x:v>
      </x:c>
      <x:c r="G392" t="str">
        <x:v>Technology</x:v>
      </x:c>
      <x:c r="H392" t="str">
        <x:v>Machines</x:v>
      </x:c>
      <x:c r="I392" s="22" t="n">
        <x:v>482.34000000000003</x:v>
      </x:c>
      <x:c r="J392" s="24" t="n">
        <x:v>4</x:v>
      </x:c>
      <x:c r="K392" s="26" t="n">
        <x:v>0.7</x:v>
      </x:c>
      <x:c r="L392" s="22" t="n">
        <x:v>-337.6379999999998</x:v>
      </x:c>
      <x:c r="M392" t="n">
        <x:v>2015</x:v>
      </x:c>
      <x:c r="N392" s="20" t="n">
        <x:v>42339</x:v>
      </x:c>
    </x:row>
    <x:row r="393" ht="18" customHeight="1">
      <x:c r="A393" t="str">
        <x:v>CA-2015-122756</x:v>
      </x:c>
      <x:c r="B393" s="18" t="n">
        <x:v>42341</x:v>
      </x:c>
      <x:c r="C393" t="str">
        <x:v>DK-13225</x:v>
      </x:c>
      <x:c r="D393" t="str">
        <x:v>Dean Katz</x:v>
      </x:c>
      <x:c r="E393" t="str">
        <x:v>Corporate</x:v>
      </x:c>
      <x:c r="F393" t="str">
        <x:v>East</x:v>
      </x:c>
      <x:c r="G393" t="str">
        <x:v>Furniture</x:v>
      </x:c>
      <x:c r="H393" t="str">
        <x:v>Furnishings</x:v>
      </x:c>
      <x:c r="I393" s="22" t="n">
        <x:v>2.9600000000000004</x:v>
      </x:c>
      <x:c r="J393" s="24" t="n">
        <x:v>1</x:v>
      </x:c>
      <x:c r="K393" s="26" t="n">
        <x:v>0.2</x:v>
      </x:c>
      <x:c r="L393" s="22" t="n">
        <x:v>0.7770000000000002</x:v>
      </x:c>
      <x:c r="M393" t="n">
        <x:v>2015</x:v>
      </x:c>
      <x:c r="N393" s="20" t="n">
        <x:v>42339</x:v>
      </x:c>
    </x:row>
    <x:row r="394" ht="18" customHeight="1">
      <x:c r="A394" t="str">
        <x:v>CA-2014-115973</x:v>
      </x:c>
      <x:c r="B394" s="18" t="n">
        <x:v>41967</x:v>
      </x:c>
      <x:c r="C394" t="str">
        <x:v>NG-18430</x:v>
      </x:c>
      <x:c r="D394" t="str">
        <x:v>Nathan Gelder</x:v>
      </x:c>
      <x:c r="E394" t="str">
        <x:v>Consumer</x:v>
      </x:c>
      <x:c r="F394" t="str">
        <x:v>East</x:v>
      </x:c>
      <x:c r="G394" t="str">
        <x:v>Office Supplies</x:v>
      </x:c>
      <x:c r="H394" t="str">
        <x:v>Art</x:v>
      </x:c>
      <x:c r="I394" s="22" t="n">
        <x:v>2.624</x:v>
      </x:c>
      <x:c r="J394" s="24" t="n">
        <x:v>1</x:v>
      </x:c>
      <x:c r="K394" s="26" t="n">
        <x:v>0.2</x:v>
      </x:c>
      <x:c r="L394" s="22" t="n">
        <x:v>0.4263999999999998</x:v>
      </x:c>
      <x:c r="M394" t="n">
        <x:v>2014</x:v>
      </x:c>
      <x:c r="N394" s="20" t="n">
        <x:v>41944</x:v>
      </x:c>
    </x:row>
    <x:row r="395" ht="18" customHeight="1">
      <x:c r="A395" t="str">
        <x:v>CA-2017-101798</x:v>
      </x:c>
      <x:c r="B395" s="18" t="n">
        <x:v>43080</x:v>
      </x:c>
      <x:c r="C395" t="str">
        <x:v>MV-18190</x:v>
      </x:c>
      <x:c r="D395" t="str">
        <x:v>Mike Vittorini</x:v>
      </x:c>
      <x:c r="E395" t="str">
        <x:v>Consumer</x:v>
      </x:c>
      <x:c r="F395" t="str">
        <x:v>East</x:v>
      </x:c>
      <x:c r="G395" t="str">
        <x:v>Office Supplies</x:v>
      </x:c>
      <x:c r="H395" t="str">
        <x:v>Binders</x:v>
      </x:c>
      <x:c r="I395" s="22" t="n">
        <x:v>23.36</x:v>
      </x:c>
      <x:c r="J395" s="24" t="n">
        <x:v>4</x:v>
      </x:c>
      <x:c r="K395" s="26" t="n">
        <x:v>0.2</x:v>
      </x:c>
      <x:c r="L395" s="22" t="n">
        <x:v>7.883999999999999</x:v>
      </x:c>
      <x:c r="M395" t="n">
        <x:v>2017</x:v>
      </x:c>
      <x:c r="N395" s="20" t="n">
        <x:v>43070</x:v>
      </x:c>
    </x:row>
    <x:row r="396" ht="18" customHeight="1">
      <x:c r="A396" t="str">
        <x:v>CA-2017-101798</x:v>
      </x:c>
      <x:c r="B396" s="18" t="n">
        <x:v>43080</x:v>
      </x:c>
      <x:c r="C396" t="str">
        <x:v>MV-18190</x:v>
      </x:c>
      <x:c r="D396" t="str">
        <x:v>Mike Vittorini</x:v>
      </x:c>
      <x:c r="E396" t="str">
        <x:v>Consumer</x:v>
      </x:c>
      <x:c r="F396" t="str">
        <x:v>East</x:v>
      </x:c>
      <x:c r="G396" t="str">
        <x:v>Technology</x:v>
      </x:c>
      <x:c r="H396" t="str">
        <x:v>Accessories</x:v>
      </x:c>
      <x:c r="I396" s="22" t="n">
        <x:v>39.98</x:v>
      </x:c>
      <x:c r="J396" s="24" t="n">
        <x:v>2</x:v>
      </x:c>
      <x:c r="K396" s="26" t="n">
        <x:v>0</x:v>
      </x:c>
      <x:c r="L396" s="22" t="n">
        <x:v>13.593199999999996</x:v>
      </x:c>
      <x:c r="M396" t="n">
        <x:v>2017</x:v>
      </x:c>
      <x:c r="N396" s="20" t="n">
        <x:v>43070</x:v>
      </x:c>
    </x:row>
    <x:row r="397" ht="18" customHeight="1">
      <x:c r="A397" t="str">
        <x:v>US-2014-135972</x:v>
      </x:c>
      <x:c r="B397" s="18" t="n">
        <x:v>41903</x:v>
      </x:c>
      <x:c r="C397" t="str">
        <x:v>JG-15115</x:v>
      </x:c>
      <x:c r="D397" t="str">
        <x:v>Jack Garza</x:v>
      </x:c>
      <x:c r="E397" t="str">
        <x:v>Consumer</x:v>
      </x:c>
      <x:c r="F397" t="str">
        <x:v>West</x:v>
      </x:c>
      <x:c r="G397" t="str">
        <x:v>Technology</x:v>
      </x:c>
      <x:c r="H397" t="str">
        <x:v>Phones</x:v>
      </x:c>
      <x:c r="I397" s="22" t="n">
        <x:v>246.38400000000001</x:v>
      </x:c>
      <x:c r="J397" s="24" t="n">
        <x:v>2</x:v>
      </x:c>
      <x:c r="K397" s="26" t="n">
        <x:v>0.2</x:v>
      </x:c>
      <x:c r="L397" s="22" t="n">
        <x:v>27.718199999999968</x:v>
      </x:c>
      <x:c r="M397" t="n">
        <x:v>2014</x:v>
      </x:c>
      <x:c r="N397" s="20" t="n">
        <x:v>41883</x:v>
      </x:c>
    </x:row>
    <x:row r="398" ht="18" customHeight="1">
      <x:c r="A398" t="str">
        <x:v>US-2014-135972</x:v>
      </x:c>
      <x:c r="B398" s="18" t="n">
        <x:v>41903</x:v>
      </x:c>
      <x:c r="C398" t="str">
        <x:v>JG-15115</x:v>
      </x:c>
      <x:c r="D398" t="str">
        <x:v>Jack Garza</x:v>
      </x:c>
      <x:c r="E398" t="str">
        <x:v>Consumer</x:v>
      </x:c>
      <x:c r="F398" t="str">
        <x:v>West</x:v>
      </x:c>
      <x:c r="G398" t="str">
        <x:v>Technology</x:v>
      </x:c>
      <x:c r="H398" t="str">
        <x:v>Copiers</x:v>
      </x:c>
      <x:c r="I398" s="22" t="n">
        <x:v>1799.97</x:v>
      </x:c>
      <x:c r="J398" s="24" t="n">
        <x:v>3</x:v>
      </x:c>
      <x:c r="K398" s="26" t="n">
        <x:v>0</x:v>
      </x:c>
      <x:c r="L398" s="22" t="n">
        <x:v>701.9883</x:v>
      </x:c>
      <x:c r="M398" t="n">
        <x:v>2014</x:v>
      </x:c>
      <x:c r="N398" s="20" t="n">
        <x:v>41883</x:v>
      </x:c>
    </x:row>
    <x:row r="399" ht="18" customHeight="1">
      <x:c r="A399" t="str">
        <x:v>US-2014-134971</x:v>
      </x:c>
      <x:c r="B399" s="18" t="n">
        <x:v>41797</x:v>
      </x:c>
      <x:c r="C399" t="str">
        <x:v>BP-11095</x:v>
      </x:c>
      <x:c r="D399" t="str">
        <x:v>Bart Pistole</x:v>
      </x:c>
      <x:c r="E399" t="str">
        <x:v>Corporate</x:v>
      </x:c>
      <x:c r="F399" t="str">
        <x:v>Central</x:v>
      </x:c>
      <x:c r="G399" t="str">
        <x:v>Office Supplies</x:v>
      </x:c>
      <x:c r="H399" t="str">
        <x:v>Binders</x:v>
      </x:c>
      <x:c r="I399" s="22" t="n">
        <x:v>12.461999999999996</x:v>
      </x:c>
      <x:c r="J399" s="24" t="n">
        <x:v>3</x:v>
      </x:c>
      <x:c r="K399" s="26" t="n">
        <x:v>0.8</x:v>
      </x:c>
      <x:c r="L399" s="22" t="n">
        <x:v>-20.5623</x:v>
      </x:c>
      <x:c r="M399" t="n">
        <x:v>2014</x:v>
      </x:c>
      <x:c r="N399" s="20" t="n">
        <x:v>41791</x:v>
      </x:c>
    </x:row>
    <x:row r="400" ht="18" customHeight="1">
      <x:c r="A400" t="str">
        <x:v>CA-2017-102946</x:v>
      </x:c>
      <x:c r="B400" s="18" t="n">
        <x:v>42916</x:v>
      </x:c>
      <x:c r="C400" t="str">
        <x:v>VP-21730</x:v>
      </x:c>
      <x:c r="D400" t="str">
        <x:v>Victor Preis</x:v>
      </x:c>
      <x:c r="E400" t="str">
        <x:v>Home Office</x:v>
      </x:c>
      <x:c r="F400" t="str">
        <x:v>West</x:v>
      </x:c>
      <x:c r="G400" t="str">
        <x:v>Office Supplies</x:v>
      </x:c>
      <x:c r="H400" t="str">
        <x:v>Binders</x:v>
      </x:c>
      <x:c r="I400" s="22" t="n">
        <x:v>75.792</x:v>
      </x:c>
      <x:c r="J400" s="24" t="n">
        <x:v>3</x:v>
      </x:c>
      <x:c r="K400" s="26" t="n">
        <x:v>0.2</x:v>
      </x:c>
      <x:c r="L400" s="22" t="n">
        <x:v>25.57979999999999</x:v>
      </x:c>
      <x:c r="M400" t="n">
        <x:v>2017</x:v>
      </x:c>
      <x:c r="N400" s="20" t="n">
        <x:v>42887</x:v>
      </x:c>
    </x:row>
    <x:row r="401" ht="18" customHeight="1">
      <x:c r="A401" t="str">
        <x:v>CA-2017-165603</x:v>
      </x:c>
      <x:c r="B401" s="18" t="n">
        <x:v>43025</x:v>
      </x:c>
      <x:c r="C401" t="str">
        <x:v>SS-20140</x:v>
      </x:c>
      <x:c r="D401" t="str">
        <x:v>Saphhira Shifley</x:v>
      </x:c>
      <x:c r="E401" t="str">
        <x:v>Corporate</x:v>
      </x:c>
      <x:c r="F401" t="str">
        <x:v>East</x:v>
      </x:c>
      <x:c r="G401" t="str">
        <x:v>Office Supplies</x:v>
      </x:c>
      <x:c r="H401" t="str">
        <x:v>Storage</x:v>
      </x:c>
      <x:c r="I401" s="22" t="n">
        <x:v>49.96</x:v>
      </x:c>
      <x:c r="J401" s="24" t="n">
        <x:v>2</x:v>
      </x:c>
      <x:c r="K401" s="26" t="n">
        <x:v>0</x:v>
      </x:c>
      <x:c r="L401" s="22" t="n">
        <x:v>9.492399999999996</x:v>
      </x:c>
      <x:c r="M401" t="n">
        <x:v>2017</x:v>
      </x:c>
      <x:c r="N401" s="20" t="n">
        <x:v>43009</x:v>
      </x:c>
    </x:row>
    <x:row r="402" ht="18" customHeight="1">
      <x:c r="A402" t="str">
        <x:v>CA-2017-165603</x:v>
      </x:c>
      <x:c r="B402" s="18" t="n">
        <x:v>43025</x:v>
      </x:c>
      <x:c r="C402" t="str">
        <x:v>SS-20140</x:v>
      </x:c>
      <x:c r="D402" t="str">
        <x:v>Saphhira Shifley</x:v>
      </x:c>
      <x:c r="E402" t="str">
        <x:v>Corporate</x:v>
      </x:c>
      <x:c r="F402" t="str">
        <x:v>East</x:v>
      </x:c>
      <x:c r="G402" t="str">
        <x:v>Office Supplies</x:v>
      </x:c>
      <x:c r="H402" t="str">
        <x:v>Paper</x:v>
      </x:c>
      <x:c r="I402" s="22" t="n">
        <x:v>12.96</x:v>
      </x:c>
      <x:c r="J402" s="24" t="n">
        <x:v>2</x:v>
      </x:c>
      <x:c r="K402" s="26" t="n">
        <x:v>0</x:v>
      </x:c>
      <x:c r="L402" s="22" t="n">
        <x:v>6.2208000000000006</x:v>
      </x:c>
      <x:c r="M402" t="n">
        <x:v>2017</x:v>
      </x:c>
      <x:c r="N402" s="20" t="n">
        <x:v>43009</x:v>
      </x:c>
    </x:row>
    <x:row r="403" ht="18" customHeight="1">
      <x:c r="A403" t="str">
        <x:v>CA-2015-122259</x:v>
      </x:c>
      <x:c r="B403" s="18" t="n">
        <x:v>42308</x:v>
      </x:c>
      <x:c r="C403" t="str">
        <x:v>HP-14815</x:v>
      </x:c>
      <x:c r="D403" t="str">
        <x:v>Harold Pawlan</x:v>
      </x:c>
      <x:c r="E403" t="str">
        <x:v>Home Office</x:v>
      </x:c>
      <x:c r="F403" t="str">
        <x:v>Central</x:v>
      </x:c>
      <x:c r="G403" t="str">
        <x:v>Office Supplies</x:v>
      </x:c>
      <x:c r="H403" t="str">
        <x:v>Supplies</x:v>
      </x:c>
      <x:c r="I403" s="22" t="n">
        <x:v>70.12</x:v>
      </x:c>
      <x:c r="J403" s="24" t="n">
        <x:v>4</x:v>
      </x:c>
      <x:c r="K403" s="26" t="n">
        <x:v>0</x:v>
      </x:c>
      <x:c r="L403" s="22" t="n">
        <x:v>21.035999999999994</x:v>
      </x:c>
      <x:c r="M403" t="n">
        <x:v>2015</x:v>
      </x:c>
      <x:c r="N403" s="20" t="n">
        <x:v>42278</x:v>
      </x:c>
    </x:row>
    <x:row r="404" ht="18" customHeight="1">
      <x:c r="A404" t="str">
        <x:v>CA-2016-108987</x:v>
      </x:c>
      <x:c r="B404" s="18" t="n">
        <x:v>42621</x:v>
      </x:c>
      <x:c r="C404" t="str">
        <x:v>AG-10675</x:v>
      </x:c>
      <x:c r="D404" t="str">
        <x:v>Anna Gayman</x:v>
      </x:c>
      <x:c r="E404" t="str">
        <x:v>Consumer</x:v>
      </x:c>
      <x:c r="F404" t="str">
        <x:v>Central</x:v>
      </x:c>
      <x:c r="G404" t="str">
        <x:v>Office Supplies</x:v>
      </x:c>
      <x:c r="H404" t="str">
        <x:v>Storage</x:v>
      </x:c>
      <x:c r="I404" s="22" t="n">
        <x:v>35.952000000000005</x:v>
      </x:c>
      <x:c r="J404" s="24" t="n">
        <x:v>3</x:v>
      </x:c>
      <x:c r="K404" s="26" t="n">
        <x:v>0.2</x:v>
      </x:c>
      <x:c r="L404" s="22" t="n">
        <x:v>3.5951999999999984</x:v>
      </x:c>
      <x:c r="M404" t="n">
        <x:v>2016</x:v>
      </x:c>
      <x:c r="N404" s="20" t="n">
        <x:v>42614</x:v>
      </x:c>
    </x:row>
    <x:row r="405" ht="18" customHeight="1">
      <x:c r="A405" t="str">
        <x:v>CA-2016-108987</x:v>
      </x:c>
      <x:c r="B405" s="18" t="n">
        <x:v>42621</x:v>
      </x:c>
      <x:c r="C405" t="str">
        <x:v>AG-10675</x:v>
      </x:c>
      <x:c r="D405" t="str">
        <x:v>Anna Gayman</x:v>
      </x:c>
      <x:c r="E405" t="str">
        <x:v>Consumer</x:v>
      </x:c>
      <x:c r="F405" t="str">
        <x:v>Central</x:v>
      </x:c>
      <x:c r="G405" t="str">
        <x:v>Furniture</x:v>
      </x:c>
      <x:c r="H405" t="str">
        <x:v>Bookcases</x:v>
      </x:c>
      <x:c r="I405" s="22" t="n">
        <x:v>2396.2655999999997</x:v>
      </x:c>
      <x:c r="J405" s="24" t="n">
        <x:v>4</x:v>
      </x:c>
      <x:c r="K405" s="26" t="n">
        <x:v>0.32</x:v>
      </x:c>
      <x:c r="L405" s="22" t="n">
        <x:v>-317.15280000000007</x:v>
      </x:c>
      <x:c r="M405" t="n">
        <x:v>2016</x:v>
      </x:c>
      <x:c r="N405" s="20" t="n">
        <x:v>42614</x:v>
      </x:c>
    </x:row>
    <x:row r="406" ht="18" customHeight="1">
      <x:c r="A406" t="str">
        <x:v>CA-2016-108987</x:v>
      </x:c>
      <x:c r="B406" s="18" t="n">
        <x:v>42621</x:v>
      </x:c>
      <x:c r="C406" t="str">
        <x:v>AG-10675</x:v>
      </x:c>
      <x:c r="D406" t="str">
        <x:v>Anna Gayman</x:v>
      </x:c>
      <x:c r="E406" t="str">
        <x:v>Consumer</x:v>
      </x:c>
      <x:c r="F406" t="str">
        <x:v>Central</x:v>
      </x:c>
      <x:c r="G406" t="str">
        <x:v>Office Supplies</x:v>
      </x:c>
      <x:c r="H406" t="str">
        <x:v>Storage</x:v>
      </x:c>
      <x:c r="I406" s="22" t="n">
        <x:v>131.136</x:v>
      </x:c>
      <x:c r="J406" s="24" t="n">
        <x:v>4</x:v>
      </x:c>
      <x:c r="K406" s="26" t="n">
        <x:v>0.2</x:v>
      </x:c>
      <x:c r="L406" s="22" t="n">
        <x:v>-32.784</x:v>
      </x:c>
      <x:c r="M406" t="n">
        <x:v>2016</x:v>
      </x:c>
      <x:c r="N406" s="20" t="n">
        <x:v>42614</x:v>
      </x:c>
    </x:row>
    <x:row r="407" ht="18" customHeight="1">
      <x:c r="A407" t="str">
        <x:v>CA-2016-108987</x:v>
      </x:c>
      <x:c r="B407" s="18" t="n">
        <x:v>42621</x:v>
      </x:c>
      <x:c r="C407" t="str">
        <x:v>AG-10675</x:v>
      </x:c>
      <x:c r="D407" t="str">
        <x:v>Anna Gayman</x:v>
      </x:c>
      <x:c r="E407" t="str">
        <x:v>Consumer</x:v>
      </x:c>
      <x:c r="F407" t="str">
        <x:v>Central</x:v>
      </x:c>
      <x:c r="G407" t="str">
        <x:v>Technology</x:v>
      </x:c>
      <x:c r="H407" t="str">
        <x:v>Accessories</x:v>
      </x:c>
      <x:c r="I407" s="22" t="n">
        <x:v>57.584</x:v>
      </x:c>
      <x:c r="J407" s="24" t="n">
        <x:v>2</x:v>
      </x:c>
      <x:c r="K407" s="26" t="n">
        <x:v>0.2</x:v>
      </x:c>
      <x:c r="L407" s="22" t="n">
        <x:v>0.7197999999999993</x:v>
      </x:c>
      <x:c r="M407" t="n">
        <x:v>2016</x:v>
      </x:c>
      <x:c r="N407" s="20" t="n">
        <x:v>42614</x:v>
      </x:c>
    </x:row>
    <x:row r="408" ht="18" customHeight="1">
      <x:c r="A408" t="str">
        <x:v>CA-2014-113166</x:v>
      </x:c>
      <x:c r="B408" s="18" t="n">
        <x:v>41997</x:v>
      </x:c>
      <x:c r="C408" t="str">
        <x:v>LF-17185</x:v>
      </x:c>
      <x:c r="D408" t="str">
        <x:v>Luke Foster</x:v>
      </x:c>
      <x:c r="E408" t="str">
        <x:v>Consumer</x:v>
      </x:c>
      <x:c r="F408" t="str">
        <x:v>South</x:v>
      </x:c>
      <x:c r="G408" t="str">
        <x:v>Office Supplies</x:v>
      </x:c>
      <x:c r="H408" t="str">
        <x:v>Paper</x:v>
      </x:c>
      <x:c r="I408" s="22" t="n">
        <x:v>9.568000000000001</x:v>
      </x:c>
      <x:c r="J408" s="24" t="n">
        <x:v>2</x:v>
      </x:c>
      <x:c r="K408" s="26" t="n">
        <x:v>0.2</x:v>
      </x:c>
      <x:c r="L408" s="22" t="n">
        <x:v>3.4684</x:v>
      </x:c>
      <x:c r="M408" t="n">
        <x:v>2014</x:v>
      </x:c>
      <x:c r="N408" s="20" t="n">
        <x:v>41974</x:v>
      </x:c>
    </x:row>
    <x:row r="409" ht="18" customHeight="1">
      <x:c r="A409" t="str">
        <x:v>CA-2014-155208</x:v>
      </x:c>
      <x:c r="B409" s="18" t="n">
        <x:v>41745</x:v>
      </x:c>
      <x:c r="C409" t="str">
        <x:v>SP-20650</x:v>
      </x:c>
      <x:c r="D409" t="str">
        <x:v>Stephanie Phelps</x:v>
      </x:c>
      <x:c r="E409" t="str">
        <x:v>Corporate</x:v>
      </x:c>
      <x:c r="F409" t="str">
        <x:v>South</x:v>
      </x:c>
      <x:c r="G409" t="str">
        <x:v>Office Supplies</x:v>
      </x:c>
      <x:c r="H409" t="str">
        <x:v>Art</x:v>
      </x:c>
      <x:c r="I409" s="22" t="n">
        <x:v>39.072</x:v>
      </x:c>
      <x:c r="J409" s="24" t="n">
        <x:v>6</x:v>
      </x:c>
      <x:c r="K409" s="26" t="n">
        <x:v>0.2</x:v>
      </x:c>
      <x:c r="L409" s="22" t="n">
        <x:v>9.768</x:v>
      </x:c>
      <x:c r="M409" t="n">
        <x:v>2014</x:v>
      </x:c>
      <x:c r="N409" s="20" t="n">
        <x:v>41730</x:v>
      </x:c>
    </x:row>
    <x:row r="410" ht="18" customHeight="1">
      <x:c r="A410" t="str">
        <x:v>CA-2017-117933</x:v>
      </x:c>
      <x:c r="B410" s="18" t="n">
        <x:v>43093</x:v>
      </x:c>
      <x:c r="C410" t="str">
        <x:v>RF-19840</x:v>
      </x:c>
      <x:c r="D410" t="str">
        <x:v>Roy Französisch</x:v>
      </x:c>
      <x:c r="E410" t="str">
        <x:v>Consumer</x:v>
      </x:c>
      <x:c r="F410" t="str">
        <x:v>East</x:v>
      </x:c>
      <x:c r="G410" t="str">
        <x:v>Office Supplies</x:v>
      </x:c>
      <x:c r="H410" t="str">
        <x:v>Appliances</x:v>
      </x:c>
      <x:c r="I410" s="22" t="n">
        <x:v>35.910000000000004</x:v>
      </x:c>
      <x:c r="J410" s="24" t="n">
        <x:v>3</x:v>
      </x:c>
      <x:c r="K410" s="26" t="n">
        <x:v>0</x:v>
      </x:c>
      <x:c r="L410" s="22" t="n">
        <x:v>9.695699999999999</x:v>
      </x:c>
      <x:c r="M410" t="n">
        <x:v>2017</x:v>
      </x:c>
      <x:c r="N410" s="20" t="n">
        <x:v>43070</x:v>
      </x:c>
    </x:row>
    <x:row r="411" ht="18" customHeight="1">
      <x:c r="A411" t="str">
        <x:v>CA-2017-117457</x:v>
      </x:c>
      <x:c r="B411" s="18" t="n">
        <x:v>43077</x:v>
      </x:c>
      <x:c r="C411" t="str">
        <x:v>KH-16510</x:v>
      </x:c>
      <x:c r="D411" t="str">
        <x:v>Keith Herrera</x:v>
      </x:c>
      <x:c r="E411" t="str">
        <x:v>Consumer</x:v>
      </x:c>
      <x:c r="F411" t="str">
        <x:v>West</x:v>
      </x:c>
      <x:c r="G411" t="str">
        <x:v>Technology</x:v>
      </x:c>
      <x:c r="H411" t="str">
        <x:v>Accessories</x:v>
      </x:c>
      <x:c r="I411" s="22" t="n">
        <x:v>179.95000000000002</x:v>
      </x:c>
      <x:c r="J411" s="24" t="n">
        <x:v>5</x:v>
      </x:c>
      <x:c r="K411" s="26" t="n">
        <x:v>0</x:v>
      </x:c>
      <x:c r="L411" s="22" t="n">
        <x:v>37.789500000000004</x:v>
      </x:c>
      <x:c r="M411" t="n">
        <x:v>2017</x:v>
      </x:c>
      <x:c r="N411" s="20" t="n">
        <x:v>43070</x:v>
      </x:c>
    </x:row>
    <x:row r="412" ht="18" customHeight="1">
      <x:c r="A412" t="str">
        <x:v>CA-2017-117457</x:v>
      </x:c>
      <x:c r="B412" s="18" t="n">
        <x:v>43077</x:v>
      </x:c>
      <x:c r="C412" t="str">
        <x:v>KH-16510</x:v>
      </x:c>
      <x:c r="D412" t="str">
        <x:v>Keith Herrera</x:v>
      </x:c>
      <x:c r="E412" t="str">
        <x:v>Consumer</x:v>
      </x:c>
      <x:c r="F412" t="str">
        <x:v>West</x:v>
      </x:c>
      <x:c r="G412" t="str">
        <x:v>Technology</x:v>
      </x:c>
      <x:c r="H412" t="str">
        <x:v>Copiers</x:v>
      </x:c>
      <x:c r="I412" s="22" t="n">
        <x:v>1199.976</x:v>
      </x:c>
      <x:c r="J412" s="24" t="n">
        <x:v>3</x:v>
      </x:c>
      <x:c r="K412" s="26" t="n">
        <x:v>0.2</x:v>
      </x:c>
      <x:c r="L412" s="22" t="n">
        <x:v>434.9913</x:v>
      </x:c>
      <x:c r="M412" t="n">
        <x:v>2017</x:v>
      </x:c>
      <x:c r="N412" s="20" t="n">
        <x:v>43070</x:v>
      </x:c>
    </x:row>
    <x:row r="413" ht="18" customHeight="1">
      <x:c r="A413" t="str">
        <x:v>CA-2017-117457</x:v>
      </x:c>
      <x:c r="B413" s="18" t="n">
        <x:v>43077</x:v>
      </x:c>
      <x:c r="C413" t="str">
        <x:v>KH-16510</x:v>
      </x:c>
      <x:c r="D413" t="str">
        <x:v>Keith Herrera</x:v>
      </x:c>
      <x:c r="E413" t="str">
        <x:v>Consumer</x:v>
      </x:c>
      <x:c r="F413" t="str">
        <x:v>West</x:v>
      </x:c>
      <x:c r="G413" t="str">
        <x:v>Office Supplies</x:v>
      </x:c>
      <x:c r="H413" t="str">
        <x:v>Paper</x:v>
      </x:c>
      <x:c r="I413" s="22" t="n">
        <x:v>27.15</x:v>
      </x:c>
      <x:c r="J413" s="24" t="n">
        <x:v>5</x:v>
      </x:c>
      <x:c r="K413" s="26" t="n">
        <x:v>0</x:v>
      </x:c>
      <x:c r="L413" s="22" t="n">
        <x:v>13.3035</x:v>
      </x:c>
      <x:c r="M413" t="n">
        <x:v>2017</x:v>
      </x:c>
      <x:c r="N413" s="20" t="n">
        <x:v>43070</x:v>
      </x:c>
    </x:row>
    <x:row r="414" ht="18" customHeight="1">
      <x:c r="A414" t="str">
        <x:v>CA-2017-117457</x:v>
      </x:c>
      <x:c r="B414" s="18" t="n">
        <x:v>43077</x:v>
      </x:c>
      <x:c r="C414" t="str">
        <x:v>KH-16510</x:v>
      </x:c>
      <x:c r="D414" t="str">
        <x:v>Keith Herrera</x:v>
      </x:c>
      <x:c r="E414" t="str">
        <x:v>Consumer</x:v>
      </x:c>
      <x:c r="F414" t="str">
        <x:v>West</x:v>
      </x:c>
      <x:c r="G414" t="str">
        <x:v>Furniture</x:v>
      </x:c>
      <x:c r="H414" t="str">
        <x:v>Tables</x:v>
      </x:c>
      <x:c r="I414" s="22" t="n">
        <x:v>1004.0239999999999</x:v>
      </x:c>
      <x:c r="J414" s="24" t="n">
        <x:v>7</x:v>
      </x:c>
      <x:c r="K414" s="26" t="n">
        <x:v>0.2</x:v>
      </x:c>
      <x:c r="L414" s="22" t="n">
        <x:v>-112.95269999999994</x:v>
      </x:c>
      <x:c r="M414" t="n">
        <x:v>2017</x:v>
      </x:c>
      <x:c r="N414" s="20" t="n">
        <x:v>43070</x:v>
      </x:c>
    </x:row>
    <x:row r="415" ht="18" customHeight="1">
      <x:c r="A415" t="str">
        <x:v>CA-2017-117457</x:v>
      </x:c>
      <x:c r="B415" s="18" t="n">
        <x:v>43077</x:v>
      </x:c>
      <x:c r="C415" t="str">
        <x:v>KH-16510</x:v>
      </x:c>
      <x:c r="D415" t="str">
        <x:v>Keith Herrera</x:v>
      </x:c>
      <x:c r="E415" t="str">
        <x:v>Consumer</x:v>
      </x:c>
      <x:c r="F415" t="str">
        <x:v>West</x:v>
      </x:c>
      <x:c r="G415" t="str">
        <x:v>Office Supplies</x:v>
      </x:c>
      <x:c r="H415" t="str">
        <x:v>Paper</x:v>
      </x:c>
      <x:c r="I415" s="22" t="n">
        <x:v>9.68</x:v>
      </x:c>
      <x:c r="J415" s="24" t="n">
        <x:v>1</x:v>
      </x:c>
      <x:c r="K415" s="26" t="n">
        <x:v>0</x:v>
      </x:c>
      <x:c r="L415" s="22" t="n">
        <x:v>4.6464</x:v>
      </x:c>
      <x:c r="M415" t="n">
        <x:v>2017</x:v>
      </x:c>
      <x:c r="N415" s="20" t="n">
        <x:v>43070</x:v>
      </x:c>
    </x:row>
    <x:row r="416" ht="18" customHeight="1">
      <x:c r="A416" t="str">
        <x:v>CA-2017-117457</x:v>
      </x:c>
      <x:c r="B416" s="18" t="n">
        <x:v>43077</x:v>
      </x:c>
      <x:c r="C416" t="str">
        <x:v>KH-16510</x:v>
      </x:c>
      <x:c r="D416" t="str">
        <x:v>Keith Herrera</x:v>
      </x:c>
      <x:c r="E416" t="str">
        <x:v>Consumer</x:v>
      </x:c>
      <x:c r="F416" t="str">
        <x:v>West</x:v>
      </x:c>
      <x:c r="G416" t="str">
        <x:v>Office Supplies</x:v>
      </x:c>
      <x:c r="H416" t="str">
        <x:v>Labels</x:v>
      </x:c>
      <x:c r="I416" s="22" t="n">
        <x:v>28.349999999999998</x:v>
      </x:c>
      <x:c r="J416" s="24" t="n">
        <x:v>9</x:v>
      </x:c>
      <x:c r="K416" s="26" t="n">
        <x:v>0</x:v>
      </x:c>
      <x:c r="L416" s="22" t="n">
        <x:v>13.608</x:v>
      </x:c>
      <x:c r="M416" t="n">
        <x:v>2017</x:v>
      </x:c>
      <x:c r="N416" s="20" t="n">
        <x:v>43070</x:v>
      </x:c>
    </x:row>
    <x:row r="417" ht="18" customHeight="1">
      <x:c r="A417" t="str">
        <x:v>CA-2017-117457</x:v>
      </x:c>
      <x:c r="B417" s="18" t="n">
        <x:v>43077</x:v>
      </x:c>
      <x:c r="C417" t="str">
        <x:v>KH-16510</x:v>
      </x:c>
      <x:c r="D417" t="str">
        <x:v>Keith Herrera</x:v>
      </x:c>
      <x:c r="E417" t="str">
        <x:v>Consumer</x:v>
      </x:c>
      <x:c r="F417" t="str">
        <x:v>West</x:v>
      </x:c>
      <x:c r="G417" t="str">
        <x:v>Office Supplies</x:v>
      </x:c>
      <x:c r="H417" t="str">
        <x:v>Paper</x:v>
      </x:c>
      <x:c r="I417" s="22" t="n">
        <x:v>55.98</x:v>
      </x:c>
      <x:c r="J417" s="24" t="n">
        <x:v>1</x:v>
      </x:c>
      <x:c r="K417" s="26" t="n">
        <x:v>0</x:v>
      </x:c>
      <x:c r="L417" s="22" t="n">
        <x:v>27.4302</x:v>
      </x:c>
      <x:c r="M417" t="n">
        <x:v>2017</x:v>
      </x:c>
      <x:c r="N417" s="20" t="n">
        <x:v>43070</x:v>
      </x:c>
    </x:row>
    <x:row r="418" ht="18" customHeight="1">
      <x:c r="A418" t="str">
        <x:v>CA-2017-117457</x:v>
      </x:c>
      <x:c r="B418" s="18" t="n">
        <x:v>43077</x:v>
      </x:c>
      <x:c r="C418" t="str">
        <x:v>KH-16510</x:v>
      </x:c>
      <x:c r="D418" t="str">
        <x:v>Keith Herrera</x:v>
      </x:c>
      <x:c r="E418" t="str">
        <x:v>Consumer</x:v>
      </x:c>
      <x:c r="F418" t="str">
        <x:v>West</x:v>
      </x:c>
      <x:c r="G418" t="str">
        <x:v>Furniture</x:v>
      </x:c>
      <x:c r="H418" t="str">
        <x:v>Bookcases</x:v>
      </x:c>
      <x:c r="I418" s="22" t="n">
        <x:v>1336.829</x:v>
      </x:c>
      <x:c r="J418" s="24" t="n">
        <x:v>13</x:v>
      </x:c>
      <x:c r="K418" s="26" t="n">
        <x:v>0.15</x:v>
      </x:c>
      <x:c r="L418" s="22" t="n">
        <x:v>31.45479999999995</x:v>
      </x:c>
      <x:c r="M418" t="n">
        <x:v>2017</x:v>
      </x:c>
      <x:c r="N418" s="20" t="n">
        <x:v>43070</x:v>
      </x:c>
    </x:row>
    <x:row r="419" ht="18" customHeight="1">
      <x:c r="A419" t="str">
        <x:v>CA-2017-117457</x:v>
      </x:c>
      <x:c r="B419" s="18" t="n">
        <x:v>43077</x:v>
      </x:c>
      <x:c r="C419" t="str">
        <x:v>KH-16510</x:v>
      </x:c>
      <x:c r="D419" t="str">
        <x:v>Keith Herrera</x:v>
      </x:c>
      <x:c r="E419" t="str">
        <x:v>Consumer</x:v>
      </x:c>
      <x:c r="F419" t="str">
        <x:v>West</x:v>
      </x:c>
      <x:c r="G419" t="str">
        <x:v>Furniture</x:v>
      </x:c>
      <x:c r="H419" t="str">
        <x:v>Chairs</x:v>
      </x:c>
      <x:c r="I419" s="22" t="n">
        <x:v>113.56800000000001</x:v>
      </x:c>
      <x:c r="J419" s="24" t="n">
        <x:v>2</x:v>
      </x:c>
      <x:c r="K419" s="26" t="n">
        <x:v>0.2</x:v>
      </x:c>
      <x:c r="L419" s="22" t="n">
        <x:v>-18.454800000000013</x:v>
      </x:c>
      <x:c r="M419" t="n">
        <x:v>2017</x:v>
      </x:c>
      <x:c r="N419" s="20" t="n">
        <x:v>43070</x:v>
      </x:c>
    </x:row>
    <x:row r="420" ht="18" customHeight="1">
      <x:c r="A420" t="str">
        <x:v>CA-2017-142636</x:v>
      </x:c>
      <x:c r="B420" s="18" t="n">
        <x:v>43042</x:v>
      </x:c>
      <x:c r="C420" t="str">
        <x:v>KC-16675</x:v>
      </x:c>
      <x:c r="D420" t="str">
        <x:v>Kimberly Carter</x:v>
      </x:c>
      <x:c r="E420" t="str">
        <x:v>Corporate</x:v>
      </x:c>
      <x:c r="F420" t="str">
        <x:v>West</x:v>
      </x:c>
      <x:c r="G420" t="str">
        <x:v>Office Supplies</x:v>
      </x:c>
      <x:c r="H420" t="str">
        <x:v>Paper</x:v>
      </x:c>
      <x:c r="I420" s="22" t="n">
        <x:v>139.86</x:v>
      </x:c>
      <x:c r="J420" s="24" t="n">
        <x:v>7</x:v>
      </x:c>
      <x:c r="K420" s="26" t="n">
        <x:v>0</x:v>
      </x:c>
      <x:c r="L420" s="22" t="n">
        <x:v>65.73419999999999</x:v>
      </x:c>
      <x:c r="M420" t="n">
        <x:v>2017</x:v>
      </x:c>
      <x:c r="N420" s="20" t="n">
        <x:v>43040</x:v>
      </x:c>
    </x:row>
    <x:row r="421" ht="18" customHeight="1">
      <x:c r="A421" t="str">
        <x:v>CA-2017-142636</x:v>
      </x:c>
      <x:c r="B421" s="18" t="n">
        <x:v>43042</x:v>
      </x:c>
      <x:c r="C421" t="str">
        <x:v>KC-16675</x:v>
      </x:c>
      <x:c r="D421" t="str">
        <x:v>Kimberly Carter</x:v>
      </x:c>
      <x:c r="E421" t="str">
        <x:v>Corporate</x:v>
      </x:c>
      <x:c r="F421" t="str">
        <x:v>West</x:v>
      </x:c>
      <x:c r="G421" t="str">
        <x:v>Furniture</x:v>
      </x:c>
      <x:c r="H421" t="str">
        <x:v>Chairs</x:v>
      </x:c>
      <x:c r="I421" s="22" t="n">
        <x:v>307.136</x:v>
      </x:c>
      <x:c r="J421" s="24" t="n">
        <x:v>4</x:v>
      </x:c>
      <x:c r="K421" s="26" t="n">
        <x:v>0.2</x:v>
      </x:c>
      <x:c r="L421" s="22" t="n">
        <x:v>26.874400000000023</x:v>
      </x:c>
      <x:c r="M421" t="n">
        <x:v>2017</x:v>
      </x:c>
      <x:c r="N421" s="20" t="n">
        <x:v>43040</x:v>
      </x:c>
    </x:row>
    <x:row r="422" ht="18" customHeight="1">
      <x:c r="A422" t="str">
        <x:v>CA-2017-122105</x:v>
      </x:c>
      <x:c r="B422" s="18" t="n">
        <x:v>42910</x:v>
      </x:c>
      <x:c r="C422" t="str">
        <x:v>CJ-12010</x:v>
      </x:c>
      <x:c r="D422" t="str">
        <x:v>Caroline Jumper</x:v>
      </x:c>
      <x:c r="E422" t="str">
        <x:v>Consumer</x:v>
      </x:c>
      <x:c r="F422" t="str">
        <x:v>West</x:v>
      </x:c>
      <x:c r="G422" t="str">
        <x:v>Office Supplies</x:v>
      </x:c>
      <x:c r="H422" t="str">
        <x:v>Art</x:v>
      </x:c>
      <x:c r="I422" s="22" t="n">
        <x:v>95.92</x:v>
      </x:c>
      <x:c r="J422" s="24" t="n">
        <x:v>8</x:v>
      </x:c>
      <x:c r="K422" s="26" t="n">
        <x:v>0</x:v>
      </x:c>
      <x:c r="L422" s="22" t="n">
        <x:v>25.898399999999995</x:v>
      </x:c>
      <x:c r="M422" t="n">
        <x:v>2017</x:v>
      </x:c>
      <x:c r="N422" s="20" t="n">
        <x:v>42887</x:v>
      </x:c>
    </x:row>
    <x:row r="423" ht="18" customHeight="1">
      <x:c r="A423" t="str">
        <x:v>CA-2016-148796</x:v>
      </x:c>
      <x:c r="B423" s="18" t="n">
        <x:v>42474</x:v>
      </x:c>
      <x:c r="C423" t="str">
        <x:v>PB-19150</x:v>
      </x:c>
      <x:c r="D423" t="str">
        <x:v>Philip Brown</x:v>
      </x:c>
      <x:c r="E423" t="str">
        <x:v>Consumer</x:v>
      </x:c>
      <x:c r="F423" t="str">
        <x:v>West</x:v>
      </x:c>
      <x:c r="G423" t="str">
        <x:v>Furniture</x:v>
      </x:c>
      <x:c r="H423" t="str">
        <x:v>Chairs</x:v>
      </x:c>
      <x:c r="I423" s="22" t="n">
        <x:v>383.8</x:v>
      </x:c>
      <x:c r="J423" s="24" t="n">
        <x:v>5</x:v>
      </x:c>
      <x:c r="K423" s="26" t="n">
        <x:v>0.2</x:v>
      </x:c>
      <x:c r="L423" s="22" t="n">
        <x:v>38.37999999999998</x:v>
      </x:c>
      <x:c r="M423" t="n">
        <x:v>2016</x:v>
      </x:c>
      <x:c r="N423" s="20" t="n">
        <x:v>42461</x:v>
      </x:c>
    </x:row>
    <x:row r="424" ht="18" customHeight="1">
      <x:c r="A424" t="str">
        <x:v>CA-2017-154816</x:v>
      </x:c>
      <x:c r="B424" s="18" t="n">
        <x:v>43045</x:v>
      </x:c>
      <x:c r="C424" t="str">
        <x:v>VB-21745</x:v>
      </x:c>
      <x:c r="D424" t="str">
        <x:v>Victoria Brennan</x:v>
      </x:c>
      <x:c r="E424" t="str">
        <x:v>Corporate</x:v>
      </x:c>
      <x:c r="F424" t="str">
        <x:v>South</x:v>
      </x:c>
      <x:c r="G424" t="str">
        <x:v>Office Supplies</x:v>
      </x:c>
      <x:c r="H424" t="str">
        <x:v>Paper</x:v>
      </x:c>
      <x:c r="I424" s="22" t="n">
        <x:v>5.78</x:v>
      </x:c>
      <x:c r="J424" s="24" t="n">
        <x:v>1</x:v>
      </x:c>
      <x:c r="K424" s="26" t="n">
        <x:v>0</x:v>
      </x:c>
      <x:c r="L424" s="22" t="n">
        <x:v>2.8322000000000003</x:v>
      </x:c>
      <x:c r="M424" t="n">
        <x:v>2017</x:v>
      </x:c>
      <x:c r="N424" s="20" t="n">
        <x:v>43040</x:v>
      </x:c>
    </x:row>
    <x:row r="425" ht="18" customHeight="1">
      <x:c r="A425" t="str">
        <x:v>CA-2017-110478</x:v>
      </x:c>
      <x:c r="B425" s="18" t="n">
        <x:v>42798</x:v>
      </x:c>
      <x:c r="C425" t="str">
        <x:v>SP-20860</x:v>
      </x:c>
      <x:c r="D425" t="str">
        <x:v>Sung Pak</x:v>
      </x:c>
      <x:c r="E425" t="str">
        <x:v>Corporate</x:v>
      </x:c>
      <x:c r="F425" t="str">
        <x:v>West</x:v>
      </x:c>
      <x:c r="G425" t="str">
        <x:v>Office Supplies</x:v>
      </x:c>
      <x:c r="H425" t="str">
        <x:v>Art</x:v>
      </x:c>
      <x:c r="I425" s="22" t="n">
        <x:v>9.32</x:v>
      </x:c>
      <x:c r="J425" s="24" t="n">
        <x:v>4</x:v>
      </x:c>
      <x:c r="K425" s="26" t="n">
        <x:v>0</x:v>
      </x:c>
      <x:c r="L425" s="22" t="n">
        <x:v>2.702799999999999</x:v>
      </x:c>
      <x:c r="M425" t="n">
        <x:v>2017</x:v>
      </x:c>
      <x:c r="N425" s="20" t="n">
        <x:v>42795</x:v>
      </x:c>
    </x:row>
    <x:row r="426" ht="18" customHeight="1">
      <x:c r="A426" t="str">
        <x:v>CA-2017-110478</x:v>
      </x:c>
      <x:c r="B426" s="18" t="n">
        <x:v>42798</x:v>
      </x:c>
      <x:c r="C426" t="str">
        <x:v>SP-20860</x:v>
      </x:c>
      <x:c r="D426" t="str">
        <x:v>Sung Pak</x:v>
      </x:c>
      <x:c r="E426" t="str">
        <x:v>Corporate</x:v>
      </x:c>
      <x:c r="F426" t="str">
        <x:v>West</x:v>
      </x:c>
      <x:c r="G426" t="str">
        <x:v>Office Supplies</x:v>
      </x:c>
      <x:c r="H426" t="str">
        <x:v>Envelopes</x:v>
      </x:c>
      <x:c r="I426" s="22" t="n">
        <x:v>15.25</x:v>
      </x:c>
      <x:c r="J426" s="24" t="n">
        <x:v>1</x:v>
      </x:c>
      <x:c r="K426" s="26" t="n">
        <x:v>0</x:v>
      </x:c>
      <x:c r="L426" s="22" t="n">
        <x:v>7.014999999999999</x:v>
      </x:c>
      <x:c r="M426" t="n">
        <x:v>2017</x:v>
      </x:c>
      <x:c r="N426" s="20" t="n">
        <x:v>42795</x:v>
      </x:c>
    </x:row>
    <x:row r="427" ht="18" customHeight="1">
      <x:c r="A427" t="str">
        <x:v>CA-2014-142048</x:v>
      </x:c>
      <x:c r="B427" s="18" t="n">
        <x:v>41812</x:v>
      </x:c>
      <x:c r="C427" t="str">
        <x:v>JE-15745</x:v>
      </x:c>
      <x:c r="D427" t="str">
        <x:v>Joel Eaton</x:v>
      </x:c>
      <x:c r="E427" t="str">
        <x:v>Consumer</x:v>
      </x:c>
      <x:c r="F427" t="str">
        <x:v>West</x:v>
      </x:c>
      <x:c r="G427" t="str">
        <x:v>Technology</x:v>
      </x:c>
      <x:c r="H427" t="str">
        <x:v>Accessories</x:v>
      </x:c>
      <x:c r="I427" s="22" t="n">
        <x:v>196.752</x:v>
      </x:c>
      <x:c r="J427" s="24" t="n">
        <x:v>6</x:v>
      </x:c>
      <x:c r="K427" s="26" t="n">
        <x:v>0.2</x:v>
      </x:c>
      <x:c r="L427" s="22" t="n">
        <x:v>56.56620000000001</x:v>
      </x:c>
      <x:c r="M427" t="n">
        <x:v>2014</x:v>
      </x:c>
      <x:c r="N427" s="20" t="n">
        <x:v>41791</x:v>
      </x:c>
    </x:row>
    <x:row r="428" ht="18" customHeight="1">
      <x:c r="A428" t="str">
        <x:v>CA-2017-125388</x:v>
      </x:c>
      <x:c r="B428" s="18" t="n">
        <x:v>43027</x:v>
      </x:c>
      <x:c r="C428" t="str">
        <x:v>MP-17965</x:v>
      </x:c>
      <x:c r="D428" t="str">
        <x:v>Michael Paige</x:v>
      </x:c>
      <x:c r="E428" t="str">
        <x:v>Corporate</x:v>
      </x:c>
      <x:c r="F428" t="str">
        <x:v>East</x:v>
      </x:c>
      <x:c r="G428" t="str">
        <x:v>Furniture</x:v>
      </x:c>
      <x:c r="H428" t="str">
        <x:v>Furnishings</x:v>
      </x:c>
      <x:c r="I428" s="22" t="n">
        <x:v>56.56</x:v>
      </x:c>
      <x:c r="J428" s="24" t="n">
        <x:v>4</x:v>
      </x:c>
      <x:c r="K428" s="26" t="n">
        <x:v>0</x:v>
      </x:c>
      <x:c r="L428" s="22" t="n">
        <x:v>14.705600000000004</x:v>
      </x:c>
      <x:c r="M428" t="n">
        <x:v>2017</x:v>
      </x:c>
      <x:c r="N428" s="20" t="n">
        <x:v>43009</x:v>
      </x:c>
    </x:row>
    <x:row r="429" ht="18" customHeight="1">
      <x:c r="A429" t="str">
        <x:v>CA-2017-125388</x:v>
      </x:c>
      <x:c r="B429" s="18" t="n">
        <x:v>43027</x:v>
      </x:c>
      <x:c r="C429" t="str">
        <x:v>MP-17965</x:v>
      </x:c>
      <x:c r="D429" t="str">
        <x:v>Michael Paige</x:v>
      </x:c>
      <x:c r="E429" t="str">
        <x:v>Corporate</x:v>
      </x:c>
      <x:c r="F429" t="str">
        <x:v>East</x:v>
      </x:c>
      <x:c r="G429" t="str">
        <x:v>Office Supplies</x:v>
      </x:c>
      <x:c r="H429" t="str">
        <x:v>Storage</x:v>
      </x:c>
      <x:c r="I429" s="22" t="n">
        <x:v>32.7</x:v>
      </x:c>
      <x:c r="J429" s="24" t="n">
        <x:v>3</x:v>
      </x:c>
      <x:c r="K429" s="26" t="n">
        <x:v>0</x:v>
      </x:c>
      <x:c r="L429" s="22" t="n">
        <x:v>8.501999999999999</x:v>
      </x:c>
      <x:c r="M429" t="n">
        <x:v>2017</x:v>
      </x:c>
      <x:c r="N429" s="20" t="n">
        <x:v>43009</x:v>
      </x:c>
    </x:row>
    <x:row r="430" ht="18" customHeight="1">
      <x:c r="A430" t="str">
        <x:v>CA-2017-155705</x:v>
      </x:c>
      <x:c r="B430" s="18" t="n">
        <x:v>42968</x:v>
      </x:c>
      <x:c r="C430" t="str">
        <x:v>NF-18385</x:v>
      </x:c>
      <x:c r="D430" t="str">
        <x:v>Natalie Fritzler</x:v>
      </x:c>
      <x:c r="E430" t="str">
        <x:v>Consumer</x:v>
      </x:c>
      <x:c r="F430" t="str">
        <x:v>South</x:v>
      </x:c>
      <x:c r="G430" t="str">
        <x:v>Furniture</x:v>
      </x:c>
      <x:c r="H430" t="str">
        <x:v>Chairs</x:v>
      </x:c>
      <x:c r="I430" s="22" t="n">
        <x:v>866.4</x:v>
      </x:c>
      <x:c r="J430" s="24" t="n">
        <x:v>4</x:v>
      </x:c>
      <x:c r="K430" s="26" t="n">
        <x:v>0</x:v>
      </x:c>
      <x:c r="L430" s="22" t="n">
        <x:v>225.264</x:v>
      </x:c>
      <x:c r="M430" t="n">
        <x:v>2017</x:v>
      </x:c>
      <x:c r="N430" s="20" t="n">
        <x:v>42948</x:v>
      </x:c>
    </x:row>
    <x:row r="431" ht="18" customHeight="1">
      <x:c r="A431" t="str">
        <x:v>CA-2017-149160</x:v>
      </x:c>
      <x:c r="B431" s="18" t="n">
        <x:v>43062</x:v>
      </x:c>
      <x:c r="C431" t="str">
        <x:v>JM-15265</x:v>
      </x:c>
      <x:c r="D431" t="str">
        <x:v>Janet Molinari</x:v>
      </x:c>
      <x:c r="E431" t="str">
        <x:v>Corporate</x:v>
      </x:c>
      <x:c r="F431" t="str">
        <x:v>Central</x:v>
      </x:c>
      <x:c r="G431" t="str">
        <x:v>Furniture</x:v>
      </x:c>
      <x:c r="H431" t="str">
        <x:v>Furnishings</x:v>
      </x:c>
      <x:c r="I431" s="22" t="n">
        <x:v>28.4</x:v>
      </x:c>
      <x:c r="J431" s="24" t="n">
        <x:v>2</x:v>
      </x:c>
      <x:c r="K431" s="26" t="n">
        <x:v>0</x:v>
      </x:c>
      <x:c r="L431" s="22" t="n">
        <x:v>11.076</x:v>
      </x:c>
      <x:c r="M431" t="n">
        <x:v>2017</x:v>
      </x:c>
      <x:c r="N431" s="20" t="n">
        <x:v>43040</x:v>
      </x:c>
    </x:row>
    <x:row r="432" ht="18" customHeight="1">
      <x:c r="A432" t="str">
        <x:v>CA-2017-149160</x:v>
      </x:c>
      <x:c r="B432" s="18" t="n">
        <x:v>43062</x:v>
      </x:c>
      <x:c r="C432" t="str">
        <x:v>JM-15265</x:v>
      </x:c>
      <x:c r="D432" t="str">
        <x:v>Janet Molinari</x:v>
      </x:c>
      <x:c r="E432" t="str">
        <x:v>Corporate</x:v>
      </x:c>
      <x:c r="F432" t="str">
        <x:v>Central</x:v>
      </x:c>
      <x:c r="G432" t="str">
        <x:v>Office Supplies</x:v>
      </x:c>
      <x:c r="H432" t="str">
        <x:v>Binders</x:v>
      </x:c>
      <x:c r="I432" s="22" t="n">
        <x:v>287.92</x:v>
      </x:c>
      <x:c r="J432" s="24" t="n">
        <x:v>8</x:v>
      </x:c>
      <x:c r="K432" s="26" t="n">
        <x:v>0</x:v>
      </x:c>
      <x:c r="L432" s="22" t="n">
        <x:v>138.2016</x:v>
      </x:c>
      <x:c r="M432" t="n">
        <x:v>2017</x:v>
      </x:c>
      <x:c r="N432" s="20" t="n">
        <x:v>43040</x:v>
      </x:c>
    </x:row>
    <x:row r="433" ht="18" customHeight="1">
      <x:c r="A433" t="str">
        <x:v>CA-2014-101476</x:v>
      </x:c>
      <x:c r="B433" s="18" t="n">
        <x:v>41894</x:v>
      </x:c>
      <x:c r="C433" t="str">
        <x:v>SD-20485</x:v>
      </x:c>
      <x:c r="D433" t="str">
        <x:v>Shirley Daniels</x:v>
      </x:c>
      <x:c r="E433" t="str">
        <x:v>Home Office</x:v>
      </x:c>
      <x:c r="F433" t="str">
        <x:v>East</x:v>
      </x:c>
      <x:c r="G433" t="str">
        <x:v>Technology</x:v>
      </x:c>
      <x:c r="H433" t="str">
        <x:v>Machines</x:v>
      </x:c>
      <x:c r="I433" s="22" t="n">
        <x:v>69.99</x:v>
      </x:c>
      <x:c r="J433" s="24" t="n">
        <x:v>1</x:v>
      </x:c>
      <x:c r="K433" s="26" t="n">
        <x:v>0</x:v>
      </x:c>
      <x:c r="L433" s="22" t="n">
        <x:v>30.0957</x:v>
      </x:c>
      <x:c r="M433" t="n">
        <x:v>2014</x:v>
      </x:c>
      <x:c r="N433" s="20" t="n">
        <x:v>41883</x:v>
      </x:c>
    </x:row>
    <x:row r="434" ht="18" customHeight="1">
      <x:c r="A434" t="str">
        <x:v>CA-2017-152275</x:v>
      </x:c>
      <x:c r="B434" s="18" t="n">
        <x:v>43009</x:v>
      </x:c>
      <x:c r="C434" t="str">
        <x:v>KH-16630</x:v>
      </x:c>
      <x:c r="D434" t="str">
        <x:v>Ken Heidel</x:v>
      </x:c>
      <x:c r="E434" t="str">
        <x:v>Corporate</x:v>
      </x:c>
      <x:c r="F434" t="str">
        <x:v>Central</x:v>
      </x:c>
      <x:c r="G434" t="str">
        <x:v>Office Supplies</x:v>
      </x:c>
      <x:c r="H434" t="str">
        <x:v>Art</x:v>
      </x:c>
      <x:c r="I434" s="22" t="n">
        <x:v>6.671999999999999</x:v>
      </x:c>
      <x:c r="J434" s="24" t="n">
        <x:v>6</x:v>
      </x:c>
      <x:c r="K434" s="26" t="n">
        <x:v>0.2</x:v>
      </x:c>
      <x:c r="L434" s="22" t="n">
        <x:v>0.5004</x:v>
      </x:c>
      <x:c r="M434" t="n">
        <x:v>2017</x:v>
      </x:c>
      <x:c r="N434" s="20" t="n">
        <x:v>43009</x:v>
      </x:c>
    </x:row>
    <x:row r="435" ht="18" customHeight="1">
      <x:c r="A435" t="str">
        <x:v>US-2016-123750</x:v>
      </x:c>
      <x:c r="B435" s="18" t="n">
        <x:v>42475</x:v>
      </x:c>
      <x:c r="C435" t="str">
        <x:v>RB-19795</x:v>
      </x:c>
      <x:c r="D435" t="str">
        <x:v>Ross Baird</x:v>
      </x:c>
      <x:c r="E435" t="str">
        <x:v>Home Office</x:v>
      </x:c>
      <x:c r="F435" t="str">
        <x:v>South</x:v>
      </x:c>
      <x:c r="G435" t="str">
        <x:v>Office Supplies</x:v>
      </x:c>
      <x:c r="H435" t="str">
        <x:v>Binders</x:v>
      </x:c>
      <x:c r="I435" s="22" t="n">
        <x:v>189.58800000000005</x:v>
      </x:c>
      <x:c r="J435" s="24" t="n">
        <x:v>2</x:v>
      </x:c>
      <x:c r="K435" s="26" t="n">
        <x:v>0.7</x:v>
      </x:c>
      <x:c r="L435" s="22" t="n">
        <x:v>-145.3508</x:v>
      </x:c>
      <x:c r="M435" t="n">
        <x:v>2016</x:v>
      </x:c>
      <x:c r="N435" s="20" t="n">
        <x:v>42461</x:v>
      </x:c>
    </x:row>
    <x:row r="436" ht="18" customHeight="1">
      <x:c r="A436" t="str">
        <x:v>US-2016-123750</x:v>
      </x:c>
      <x:c r="B436" s="18" t="n">
        <x:v>42475</x:v>
      </x:c>
      <x:c r="C436" t="str">
        <x:v>RB-19795</x:v>
      </x:c>
      <x:c r="D436" t="str">
        <x:v>Ross Baird</x:v>
      </x:c>
      <x:c r="E436" t="str">
        <x:v>Home Office</x:v>
      </x:c>
      <x:c r="F436" t="str">
        <x:v>South</x:v>
      </x:c>
      <x:c r="G436" t="str">
        <x:v>Technology</x:v>
      </x:c>
      <x:c r="H436" t="str">
        <x:v>Accessories</x:v>
      </x:c>
      <x:c r="I436" s="22" t="n">
        <x:v>408.74399999999997</x:v>
      </x:c>
      <x:c r="J436" s="24" t="n">
        <x:v>7</x:v>
      </x:c>
      <x:c r="K436" s="26" t="n">
        <x:v>0.2</x:v>
      </x:c>
      <x:c r="L436" s="22" t="n">
        <x:v>76.63949999999998</x:v>
      </x:c>
      <x:c r="M436" t="n">
        <x:v>2016</x:v>
      </x:c>
      <x:c r="N436" s="20" t="n">
        <x:v>42461</x:v>
      </x:c>
    </x:row>
    <x:row r="437" ht="18" customHeight="1">
      <x:c r="A437" t="str">
        <x:v>US-2016-123750</x:v>
      </x:c>
      <x:c r="B437" s="18" t="n">
        <x:v>42475</x:v>
      </x:c>
      <x:c r="C437" t="str">
        <x:v>RB-19795</x:v>
      </x:c>
      <x:c r="D437" t="str">
        <x:v>Ross Baird</x:v>
      </x:c>
      <x:c r="E437" t="str">
        <x:v>Home Office</x:v>
      </x:c>
      <x:c r="F437" t="str">
        <x:v>South</x:v>
      </x:c>
      <x:c r="G437" t="str">
        <x:v>Technology</x:v>
      </x:c>
      <x:c r="H437" t="str">
        <x:v>Accessories</x:v>
      </x:c>
      <x:c r="I437" s="22" t="n">
        <x:v>291.96</x:v>
      </x:c>
      <x:c r="J437" s="24" t="n">
        <x:v>5</x:v>
      </x:c>
      <x:c r="K437" s="26" t="n">
        <x:v>0.2</x:v>
      </x:c>
      <x:c r="L437" s="22" t="n">
        <x:v>54.74249999999998</x:v>
      </x:c>
      <x:c r="M437" t="n">
        <x:v>2016</x:v>
      </x:c>
      <x:c r="N437" s="20" t="n">
        <x:v>42461</x:v>
      </x:c>
    </x:row>
    <x:row r="438" ht="18" customHeight="1">
      <x:c r="A438" t="str">
        <x:v>US-2016-123750</x:v>
      </x:c>
      <x:c r="B438" s="18" t="n">
        <x:v>42475</x:v>
      </x:c>
      <x:c r="C438" t="str">
        <x:v>RB-19795</x:v>
      </x:c>
      <x:c r="D438" t="str">
        <x:v>Ross Baird</x:v>
      </x:c>
      <x:c r="E438" t="str">
        <x:v>Home Office</x:v>
      </x:c>
      <x:c r="F438" t="str">
        <x:v>South</x:v>
      </x:c>
      <x:c r="G438" t="str">
        <x:v>Office Supplies</x:v>
      </x:c>
      <x:c r="H438" t="str">
        <x:v>Storage</x:v>
      </x:c>
      <x:c r="I438" s="22" t="n">
        <x:v>4.768</x:v>
      </x:c>
      <x:c r="J438" s="24" t="n">
        <x:v>2</x:v>
      </x:c>
      <x:c r="K438" s="26" t="n">
        <x:v>0.2</x:v>
      </x:c>
      <x:c r="L438" s="22" t="n">
        <x:v>-0.7748000000000006</x:v>
      </x:c>
      <x:c r="M438" t="n">
        <x:v>2016</x:v>
      </x:c>
      <x:c r="N438" s="20" t="n">
        <x:v>42461</x:v>
      </x:c>
    </x:row>
    <x:row r="439" ht="18" customHeight="1">
      <x:c r="A439" t="str">
        <x:v>CA-2016-127369</x:v>
      </x:c>
      <x:c r="B439" s="18" t="n">
        <x:v>42527</x:v>
      </x:c>
      <x:c r="C439" t="str">
        <x:v>DB-13060</x:v>
      </x:c>
      <x:c r="D439" t="str">
        <x:v>Dave Brooks</x:v>
      </x:c>
      <x:c r="E439" t="str">
        <x:v>Consumer</x:v>
      </x:c>
      <x:c r="F439" t="str">
        <x:v>East</x:v>
      </x:c>
      <x:c r="G439" t="str">
        <x:v>Office Supplies</x:v>
      </x:c>
      <x:c r="H439" t="str">
        <x:v>Storage</x:v>
      </x:c>
      <x:c r="I439" s="22" t="n">
        <x:v>714.3000000000001</x:v>
      </x:c>
      <x:c r="J439" s="24" t="n">
        <x:v>5</x:v>
      </x:c>
      <x:c r="K439" s="26" t="n">
        <x:v>0</x:v>
      </x:c>
      <x:c r="L439" s="22" t="n">
        <x:v>207.14699999999993</x:v>
      </x:c>
      <x:c r="M439" t="n">
        <x:v>2016</x:v>
      </x:c>
      <x:c r="N439" s="20" t="n">
        <x:v>42522</x:v>
      </x:c>
    </x:row>
    <x:row r="440" ht="18" customHeight="1">
      <x:c r="A440" t="str">
        <x:v>US-2014-150574</x:v>
      </x:c>
      <x:c r="B440" s="18" t="n">
        <x:v>41992</x:v>
      </x:c>
      <x:c r="C440" t="str">
        <x:v>MK-18160</x:v>
      </x:c>
      <x:c r="D440" t="str">
        <x:v>Mike Kennedy</x:v>
      </x:c>
      <x:c r="E440" t="str">
        <x:v>Consumer</x:v>
      </x:c>
      <x:c r="F440" t="str">
        <x:v>South</x:v>
      </x:c>
      <x:c r="G440" t="str">
        <x:v>Office Supplies</x:v>
      </x:c>
      <x:c r="H440" t="str">
        <x:v>Binders</x:v>
      </x:c>
      <x:c r="I440" s="22" t="n">
        <x:v>4.812</x:v>
      </x:c>
      <x:c r="J440" s="24" t="n">
        <x:v>2</x:v>
      </x:c>
      <x:c r="K440" s="26" t="n">
        <x:v>0.7</x:v>
      </x:c>
      <x:c r="L440" s="22" t="n">
        <x:v>-3.6891999999999996</x:v>
      </x:c>
      <x:c r="M440" t="n">
        <x:v>2014</x:v>
      </x:c>
      <x:c r="N440" s="20" t="n">
        <x:v>41974</x:v>
      </x:c>
    </x:row>
    <x:row r="441" ht="18" customHeight="1">
      <x:c r="A441" t="str">
        <x:v>US-2014-150574</x:v>
      </x:c>
      <x:c r="B441" s="18" t="n">
        <x:v>41992</x:v>
      </x:c>
      <x:c r="C441" t="str">
        <x:v>MK-18160</x:v>
      </x:c>
      <x:c r="D441" t="str">
        <x:v>Mike Kennedy</x:v>
      </x:c>
      <x:c r="E441" t="str">
        <x:v>Consumer</x:v>
      </x:c>
      <x:c r="F441" t="str">
        <x:v>South</x:v>
      </x:c>
      <x:c r="G441" t="str">
        <x:v>Technology</x:v>
      </x:c>
      <x:c r="H441" t="str">
        <x:v>Accessories</x:v>
      </x:c>
      <x:c r="I441" s="22" t="n">
        <x:v>247.8</x:v>
      </x:c>
      <x:c r="J441" s="24" t="n">
        <x:v>5</x:v>
      </x:c>
      <x:c r="K441" s="26" t="n">
        <x:v>0.2</x:v>
      </x:c>
      <x:c r="L441" s="22" t="n">
        <x:v>-18.584999999999994</x:v>
      </x:c>
      <x:c r="M441" t="n">
        <x:v>2014</x:v>
      </x:c>
      <x:c r="N441" s="20" t="n">
        <x:v>41974</x:v>
      </x:c>
    </x:row>
    <x:row r="442" ht="18" customHeight="1">
      <x:c r="A442" t="str">
        <x:v>CA-2016-147375</x:v>
      </x:c>
      <x:c r="B442" s="18" t="n">
        <x:v>42533</x:v>
      </x:c>
      <x:c r="C442" t="str">
        <x:v>PO-19180</x:v>
      </x:c>
      <x:c r="D442" t="str">
        <x:v>Philisse Overcash</x:v>
      </x:c>
      <x:c r="E442" t="str">
        <x:v>Home Office</x:v>
      </x:c>
      <x:c r="F442" t="str">
        <x:v>Central</x:v>
      </x:c>
      <x:c r="G442" t="str">
        <x:v>Technology</x:v>
      </x:c>
      <x:c r="H442" t="str">
        <x:v>Machines</x:v>
      </x:c>
      <x:c r="I442" s="22" t="n">
        <x:v>1007.979</x:v>
      </x:c>
      <x:c r="J442" s="24" t="n">
        <x:v>3</x:v>
      </x:c>
      <x:c r="K442" s="26" t="n">
        <x:v>0.3</x:v>
      </x:c>
      <x:c r="L442" s="22" t="n">
        <x:v>43.199100000000044</x:v>
      </x:c>
      <x:c r="M442" t="n">
        <x:v>2016</x:v>
      </x:c>
      <x:c r="N442" s="20" t="n">
        <x:v>42522</x:v>
      </x:c>
    </x:row>
    <x:row r="443" ht="18" customHeight="1">
      <x:c r="A443" t="str">
        <x:v>CA-2016-147375</x:v>
      </x:c>
      <x:c r="B443" s="18" t="n">
        <x:v>42533</x:v>
      </x:c>
      <x:c r="C443" t="str">
        <x:v>PO-19180</x:v>
      </x:c>
      <x:c r="D443" t="str">
        <x:v>Philisse Overcash</x:v>
      </x:c>
      <x:c r="E443" t="str">
        <x:v>Home Office</x:v>
      </x:c>
      <x:c r="F443" t="str">
        <x:v>Central</x:v>
      </x:c>
      <x:c r="G443" t="str">
        <x:v>Office Supplies</x:v>
      </x:c>
      <x:c r="H443" t="str">
        <x:v>Paper</x:v>
      </x:c>
      <x:c r="I443" s="22" t="n">
        <x:v>313.488</x:v>
      </x:c>
      <x:c r="J443" s="24" t="n">
        <x:v>7</x:v>
      </x:c>
      <x:c r="K443" s="26" t="n">
        <x:v>0.2</x:v>
      </x:c>
      <x:c r="L443" s="22" t="n">
        <x:v>113.63939999999998</x:v>
      </x:c>
      <x:c r="M443" t="n">
        <x:v>2016</x:v>
      </x:c>
      <x:c r="N443" s="20" t="n">
        <x:v>42522</x:v>
      </x:c>
    </x:row>
    <x:row r="444" ht="18" customHeight="1">
      <x:c r="A444" t="str">
        <x:v>CA-2017-130043</x:v>
      </x:c>
      <x:c r="B444" s="18" t="n">
        <x:v>42993</x:v>
      </x:c>
      <x:c r="C444" t="str">
        <x:v>BB-11545</x:v>
      </x:c>
      <x:c r="D444" t="str">
        <x:v>Brenda Bowman</x:v>
      </x:c>
      <x:c r="E444" t="str">
        <x:v>Corporate</x:v>
      </x:c>
      <x:c r="F444" t="str">
        <x:v>Central</x:v>
      </x:c>
      <x:c r="G444" t="str">
        <x:v>Office Supplies</x:v>
      </x:c>
      <x:c r="H444" t="str">
        <x:v>Paper</x:v>
      </x:c>
      <x:c r="I444" s="22" t="n">
        <x:v>31.872000000000003</x:v>
      </x:c>
      <x:c r="J444" s="24" t="n">
        <x:v>8</x:v>
      </x:c>
      <x:c r="K444" s="26" t="n">
        <x:v>0.2</x:v>
      </x:c>
      <x:c r="L444" s="22" t="n">
        <x:v>11.553600000000003</x:v>
      </x:c>
      <x:c r="M444" t="n">
        <x:v>2017</x:v>
      </x:c>
      <x:c r="N444" s="20" t="n">
        <x:v>42979</x:v>
      </x:c>
    </x:row>
    <x:row r="445" ht="18" customHeight="1">
      <x:c r="A445" t="str">
        <x:v>CA-2017-157252</x:v>
      </x:c>
      <x:c r="B445" s="18" t="n">
        <x:v>42755</x:v>
      </x:c>
      <x:c r="C445" t="str">
        <x:v>CV-12805</x:v>
      </x:c>
      <x:c r="D445" t="str">
        <x:v>Cynthia Voltz</x:v>
      </x:c>
      <x:c r="E445" t="str">
        <x:v>Corporate</x:v>
      </x:c>
      <x:c r="F445" t="str">
        <x:v>East</x:v>
      </x:c>
      <x:c r="G445" t="str">
        <x:v>Furniture</x:v>
      </x:c>
      <x:c r="H445" t="str">
        <x:v>Chairs</x:v>
      </x:c>
      <x:c r="I445" s="22" t="n">
        <x:v>207.84600000000003</x:v>
      </x:c>
      <x:c r="J445" s="24" t="n">
        <x:v>3</x:v>
      </x:c>
      <x:c r="K445" s="26" t="n">
        <x:v>0.1</x:v>
      </x:c>
      <x:c r="L445" s="22" t="n">
        <x:v>2.3093999999999895</x:v>
      </x:c>
      <x:c r="M445" t="n">
        <x:v>2017</x:v>
      </x:c>
      <x:c r="N445" s="20" t="n">
        <x:v>42736</x:v>
      </x:c>
    </x:row>
    <x:row r="446" ht="18" customHeight="1">
      <x:c r="A446" t="str">
        <x:v>CA-2016-115756</x:v>
      </x:c>
      <x:c r="B446" s="18" t="n">
        <x:v>42618</x:v>
      </x:c>
      <x:c r="C446" t="str">
        <x:v>PK-19075</x:v>
      </x:c>
      <x:c r="D446" t="str">
        <x:v>Pete Kriz</x:v>
      </x:c>
      <x:c r="E446" t="str">
        <x:v>Consumer</x:v>
      </x:c>
      <x:c r="F446" t="str">
        <x:v>Central</x:v>
      </x:c>
      <x:c r="G446" t="str">
        <x:v>Furniture</x:v>
      </x:c>
      <x:c r="H446" t="str">
        <x:v>Furnishings</x:v>
      </x:c>
      <x:c r="I446" s="22" t="n">
        <x:v>12.22</x:v>
      </x:c>
      <x:c r="J446" s="24" t="n">
        <x:v>1</x:v>
      </x:c>
      <x:c r="K446" s="26" t="n">
        <x:v>0</x:v>
      </x:c>
      <x:c r="L446" s="22" t="n">
        <x:v>3.6659999999999986</x:v>
      </x:c>
      <x:c r="M446" t="n">
        <x:v>2016</x:v>
      </x:c>
      <x:c r="N446" s="20" t="n">
        <x:v>42614</x:v>
      </x:c>
    </x:row>
    <x:row r="447" ht="18" customHeight="1">
      <x:c r="A447" t="str">
        <x:v>CA-2016-115756</x:v>
      </x:c>
      <x:c r="B447" s="18" t="n">
        <x:v>42618</x:v>
      </x:c>
      <x:c r="C447" t="str">
        <x:v>PK-19075</x:v>
      </x:c>
      <x:c r="D447" t="str">
        <x:v>Pete Kriz</x:v>
      </x:c>
      <x:c r="E447" t="str">
        <x:v>Consumer</x:v>
      </x:c>
      <x:c r="F447" t="str">
        <x:v>Central</x:v>
      </x:c>
      <x:c r="G447" t="str">
        <x:v>Office Supplies</x:v>
      </x:c>
      <x:c r="H447" t="str">
        <x:v>Storage</x:v>
      </x:c>
      <x:c r="I447" s="22" t="n">
        <x:v>194.94</x:v>
      </x:c>
      <x:c r="J447" s="24" t="n">
        <x:v>3</x:v>
      </x:c>
      <x:c r="K447" s="26" t="n">
        <x:v>0</x:v>
      </x:c>
      <x:c r="L447" s="22" t="n">
        <x:v>23.39280000000001</x:v>
      </x:c>
      <x:c r="M447" t="n">
        <x:v>2016</x:v>
      </x:c>
      <x:c r="N447" s="20" t="n">
        <x:v>42614</x:v>
      </x:c>
    </x:row>
    <x:row r="448" ht="18" customHeight="1">
      <x:c r="A448" t="str">
        <x:v>CA-2016-115756</x:v>
      </x:c>
      <x:c r="B448" s="18" t="n">
        <x:v>42618</x:v>
      </x:c>
      <x:c r="C448" t="str">
        <x:v>PK-19075</x:v>
      </x:c>
      <x:c r="D448" t="str">
        <x:v>Pete Kriz</x:v>
      </x:c>
      <x:c r="E448" t="str">
        <x:v>Consumer</x:v>
      </x:c>
      <x:c r="F448" t="str">
        <x:v>Central</x:v>
      </x:c>
      <x:c r="G448" t="str">
        <x:v>Office Supplies</x:v>
      </x:c>
      <x:c r="H448" t="str">
        <x:v>Storage</x:v>
      </x:c>
      <x:c r="I448" s="22" t="n">
        <x:v>70.94999999999999</x:v>
      </x:c>
      <x:c r="J448" s="24" t="n">
        <x:v>3</x:v>
      </x:c>
      <x:c r="K448" s="26" t="n">
        <x:v>0</x:v>
      </x:c>
      <x:c r="L448" s="22" t="n">
        <x:v>20.575499999999998</x:v>
      </x:c>
      <x:c r="M448" t="n">
        <x:v>2016</x:v>
      </x:c>
      <x:c r="N448" s="20" t="n">
        <x:v>42614</x:v>
      </x:c>
    </x:row>
    <x:row r="449" ht="18" customHeight="1">
      <x:c r="A449" t="str">
        <x:v>CA-2016-115756</x:v>
      </x:c>
      <x:c r="B449" s="18" t="n">
        <x:v>42618</x:v>
      </x:c>
      <x:c r="C449" t="str">
        <x:v>PK-19075</x:v>
      </x:c>
      <x:c r="D449" t="str">
        <x:v>Pete Kriz</x:v>
      </x:c>
      <x:c r="E449" t="str">
        <x:v>Consumer</x:v>
      </x:c>
      <x:c r="F449" t="str">
        <x:v>Central</x:v>
      </x:c>
      <x:c r="G449" t="str">
        <x:v>Office Supplies</x:v>
      </x:c>
      <x:c r="H449" t="str">
        <x:v>Paper</x:v>
      </x:c>
      <x:c r="I449" s="22" t="n">
        <x:v>91.36</x:v>
      </x:c>
      <x:c r="J449" s="24" t="n">
        <x:v>4</x:v>
      </x:c>
      <x:c r="K449" s="26" t="n">
        <x:v>0</x:v>
      </x:c>
      <x:c r="L449" s="22" t="n">
        <x:v>42.0256</x:v>
      </x:c>
      <x:c r="M449" t="n">
        <x:v>2016</x:v>
      </x:c>
      <x:c r="N449" s="20" t="n">
        <x:v>42614</x:v>
      </x:c>
    </x:row>
    <x:row r="450" ht="18" customHeight="1">
      <x:c r="A450" t="str">
        <x:v>CA-2016-115756</x:v>
      </x:c>
      <x:c r="B450" s="18" t="n">
        <x:v>42618</x:v>
      </x:c>
      <x:c r="C450" t="str">
        <x:v>PK-19075</x:v>
      </x:c>
      <x:c r="D450" t="str">
        <x:v>Pete Kriz</x:v>
      </x:c>
      <x:c r="E450" t="str">
        <x:v>Consumer</x:v>
      </x:c>
      <x:c r="F450" t="str">
        <x:v>Central</x:v>
      </x:c>
      <x:c r="G450" t="str">
        <x:v>Furniture</x:v>
      </x:c>
      <x:c r="H450" t="str">
        <x:v>Chairs</x:v>
      </x:c>
      <x:c r="I450" s="22" t="n">
        <x:v>242.94</x:v>
      </x:c>
      <x:c r="J450" s="24" t="n">
        <x:v>3</x:v>
      </x:c>
      <x:c r="K450" s="26" t="n">
        <x:v>0</x:v>
      </x:c>
      <x:c r="L450" s="22" t="n">
        <x:v>29.152800000000013</x:v>
      </x:c>
      <x:c r="M450" t="n">
        <x:v>2016</x:v>
      </x:c>
      <x:c r="N450" s="20" t="n">
        <x:v>42614</x:v>
      </x:c>
    </x:row>
    <x:row r="451" ht="18" customHeight="1">
      <x:c r="A451" t="str">
        <x:v>CA-2016-115756</x:v>
      </x:c>
      <x:c r="B451" s="18" t="n">
        <x:v>42618</x:v>
      </x:c>
      <x:c r="C451" t="str">
        <x:v>PK-19075</x:v>
      </x:c>
      <x:c r="D451" t="str">
        <x:v>Pete Kriz</x:v>
      </x:c>
      <x:c r="E451" t="str">
        <x:v>Consumer</x:v>
      </x:c>
      <x:c r="F451" t="str">
        <x:v>Central</x:v>
      </x:c>
      <x:c r="G451" t="str">
        <x:v>Office Supplies</x:v>
      </x:c>
      <x:c r="H451" t="str">
        <x:v>Labels</x:v>
      </x:c>
      <x:c r="I451" s="22" t="n">
        <x:v>22.05</x:v>
      </x:c>
      <x:c r="J451" s="24" t="n">
        <x:v>7</x:v>
      </x:c>
      <x:c r="K451" s="26" t="n">
        <x:v>0</x:v>
      </x:c>
      <x:c r="L451" s="22" t="n">
        <x:v>10.584</x:v>
      </x:c>
      <x:c r="M451" t="n">
        <x:v>2016</x:v>
      </x:c>
      <x:c r="N451" s="20" t="n">
        <x:v>42614</x:v>
      </x:c>
    </x:row>
    <x:row r="452" ht="18" customHeight="1">
      <x:c r="A452" t="str">
        <x:v>CA-2017-154214</x:v>
      </x:c>
      <x:c r="B452" s="18" t="n">
        <x:v>42814</x:v>
      </x:c>
      <x:c r="C452" t="str">
        <x:v>TB-21595</x:v>
      </x:c>
      <x:c r="D452" t="str">
        <x:v>Troy Blackwell</x:v>
      </x:c>
      <x:c r="E452" t="str">
        <x:v>Consumer</x:v>
      </x:c>
      <x:c r="F452" t="str">
        <x:v>Central</x:v>
      </x:c>
      <x:c r="G452" t="str">
        <x:v>Furniture</x:v>
      </x:c>
      <x:c r="H452" t="str">
        <x:v>Furnishings</x:v>
      </x:c>
      <x:c r="I452" s="22" t="n">
        <x:v>2.91</x:v>
      </x:c>
      <x:c r="J452" s="24" t="n">
        <x:v>1</x:v>
      </x:c>
      <x:c r="K452" s="26" t="n">
        <x:v>0</x:v>
      </x:c>
      <x:c r="L452" s="22" t="n">
        <x:v>1.3677</x:v>
      </x:c>
      <x:c r="M452" t="n">
        <x:v>2017</x:v>
      </x:c>
      <x:c r="N452" s="20" t="n">
        <x:v>42795</x:v>
      </x:c>
    </x:row>
    <x:row r="453" ht="18" customHeight="1">
      <x:c r="A453" t="str">
        <x:v>CA-2016-166674</x:v>
      </x:c>
      <x:c r="B453" s="18" t="n">
        <x:v>42461</x:v>
      </x:c>
      <x:c r="C453" t="str">
        <x:v>RB-19360</x:v>
      </x:c>
      <x:c r="D453" t="str">
        <x:v>Raymond Buch</x:v>
      </x:c>
      <x:c r="E453" t="str">
        <x:v>Consumer</x:v>
      </x:c>
      <x:c r="F453" t="str">
        <x:v>East</x:v>
      </x:c>
      <x:c r="G453" t="str">
        <x:v>Office Supplies</x:v>
      </x:c>
      <x:c r="H453" t="str">
        <x:v>Art</x:v>
      </x:c>
      <x:c r="I453" s="22" t="n">
        <x:v>59.519999999999996</x:v>
      </x:c>
      <x:c r="J453" s="24" t="n">
        <x:v>3</x:v>
      </x:c>
      <x:c r="K453" s="26" t="n">
        <x:v>0</x:v>
      </x:c>
      <x:c r="L453" s="22" t="n">
        <x:v>15.475200000000001</x:v>
      </x:c>
      <x:c r="M453" t="n">
        <x:v>2016</x:v>
      </x:c>
      <x:c r="N453" s="20" t="n">
        <x:v>42461</x:v>
      </x:c>
    </x:row>
    <x:row r="454" ht="18" customHeight="1">
      <x:c r="A454" t="str">
        <x:v>CA-2016-166674</x:v>
      </x:c>
      <x:c r="B454" s="18" t="n">
        <x:v>42461</x:v>
      </x:c>
      <x:c r="C454" t="str">
        <x:v>RB-19360</x:v>
      </x:c>
      <x:c r="D454" t="str">
        <x:v>Raymond Buch</x:v>
      </x:c>
      <x:c r="E454" t="str">
        <x:v>Consumer</x:v>
      </x:c>
      <x:c r="F454" t="str">
        <x:v>East</x:v>
      </x:c>
      <x:c r="G454" t="str">
        <x:v>Office Supplies</x:v>
      </x:c>
      <x:c r="H454" t="str">
        <x:v>Storage</x:v>
      </x:c>
      <x:c r="I454" s="22" t="n">
        <x:v>161.94</x:v>
      </x:c>
      <x:c r="J454" s="24" t="n">
        <x:v>3</x:v>
      </x:c>
      <x:c r="K454" s="26" t="n">
        <x:v>0</x:v>
      </x:c>
      <x:c r="L454" s="22" t="n">
        <x:v>9.716399999999993</x:v>
      </x:c>
      <x:c r="M454" t="n">
        <x:v>2016</x:v>
      </x:c>
      <x:c r="N454" s="20" t="n">
        <x:v>42461</x:v>
      </x:c>
    </x:row>
    <x:row r="455" ht="18" customHeight="1">
      <x:c r="A455" t="str">
        <x:v>CA-2016-166674</x:v>
      </x:c>
      <x:c r="B455" s="18" t="n">
        <x:v>42461</x:v>
      </x:c>
      <x:c r="C455" t="str">
        <x:v>RB-19360</x:v>
      </x:c>
      <x:c r="D455" t="str">
        <x:v>Raymond Buch</x:v>
      </x:c>
      <x:c r="E455" t="str">
        <x:v>Consumer</x:v>
      </x:c>
      <x:c r="F455" t="str">
        <x:v>East</x:v>
      </x:c>
      <x:c r="G455" t="str">
        <x:v>Office Supplies</x:v>
      </x:c>
      <x:c r="H455" t="str">
        <x:v>Art</x:v>
      </x:c>
      <x:c r="I455" s="22" t="n">
        <x:v>263.88</x:v>
      </x:c>
      <x:c r="J455" s="24" t="n">
        <x:v>6</x:v>
      </x:c>
      <x:c r="K455" s="26" t="n">
        <x:v>0</x:v>
      </x:c>
      <x:c r="L455" s="22" t="n">
        <x:v>71.2476</x:v>
      </x:c>
      <x:c r="M455" t="n">
        <x:v>2016</x:v>
      </x:c>
      <x:c r="N455" s="20" t="n">
        <x:v>42461</x:v>
      </x:c>
    </x:row>
    <x:row r="456" ht="18" customHeight="1">
      <x:c r="A456" t="str">
        <x:v>CA-2016-166674</x:v>
      </x:c>
      <x:c r="B456" s="18" t="n">
        <x:v>42461</x:v>
      </x:c>
      <x:c r="C456" t="str">
        <x:v>RB-19360</x:v>
      </x:c>
      <x:c r="D456" t="str">
        <x:v>Raymond Buch</x:v>
      </x:c>
      <x:c r="E456" t="str">
        <x:v>Consumer</x:v>
      </x:c>
      <x:c r="F456" t="str">
        <x:v>East</x:v>
      </x:c>
      <x:c r="G456" t="str">
        <x:v>Office Supplies</x:v>
      </x:c>
      <x:c r="H456" t="str">
        <x:v>Art</x:v>
      </x:c>
      <x:c r="I456" s="22" t="n">
        <x:v>30.48</x:v>
      </x:c>
      <x:c r="J456" s="24" t="n">
        <x:v>3</x:v>
      </x:c>
      <x:c r="K456" s="26" t="n">
        <x:v>0</x:v>
      </x:c>
      <x:c r="L456" s="22" t="n">
        <x:v>7.924800000000001</x:v>
      </x:c>
      <x:c r="M456" t="n">
        <x:v>2016</x:v>
      </x:c>
      <x:c r="N456" s="20" t="n">
        <x:v>42461</x:v>
      </x:c>
    </x:row>
    <x:row r="457" ht="18" customHeight="1">
      <x:c r="A457" t="str">
        <x:v>CA-2016-166674</x:v>
      </x:c>
      <x:c r="B457" s="18" t="n">
        <x:v>42461</x:v>
      </x:c>
      <x:c r="C457" t="str">
        <x:v>RB-19360</x:v>
      </x:c>
      <x:c r="D457" t="str">
        <x:v>Raymond Buch</x:v>
      </x:c>
      <x:c r="E457" t="str">
        <x:v>Consumer</x:v>
      </x:c>
      <x:c r="F457" t="str">
        <x:v>East</x:v>
      </x:c>
      <x:c r="G457" t="str">
        <x:v>Office Supplies</x:v>
      </x:c>
      <x:c r="H457" t="str">
        <x:v>Art</x:v>
      </x:c>
      <x:c r="I457" s="22" t="n">
        <x:v>9.84</x:v>
      </x:c>
      <x:c r="J457" s="24" t="n">
        <x:v>3</x:v>
      </x:c>
      <x:c r="K457" s="26" t="n">
        <x:v>0</x:v>
      </x:c>
      <x:c r="L457" s="22" t="n">
        <x:v>2.853599999999999</x:v>
      </x:c>
      <x:c r="M457" t="n">
        <x:v>2016</x:v>
      </x:c>
      <x:c r="N457" s="20" t="n">
        <x:v>42461</x:v>
      </x:c>
    </x:row>
    <x:row r="458" ht="18" customHeight="1">
      <x:c r="A458" t="str">
        <x:v>CA-2016-166674</x:v>
      </x:c>
      <x:c r="B458" s="18" t="n">
        <x:v>42461</x:v>
      </x:c>
      <x:c r="C458" t="str">
        <x:v>RB-19360</x:v>
      </x:c>
      <x:c r="D458" t="str">
        <x:v>Raymond Buch</x:v>
      </x:c>
      <x:c r="E458" t="str">
        <x:v>Consumer</x:v>
      </x:c>
      <x:c r="F458" t="str">
        <x:v>East</x:v>
      </x:c>
      <x:c r="G458" t="str">
        <x:v>Technology</x:v>
      </x:c>
      <x:c r="H458" t="str">
        <x:v>Phones</x:v>
      </x:c>
      <x:c r="I458" s="22" t="n">
        <x:v>35.12</x:v>
      </x:c>
      <x:c r="J458" s="24" t="n">
        <x:v>4</x:v>
      </x:c>
      <x:c r="K458" s="26" t="n">
        <x:v>0</x:v>
      </x:c>
      <x:c r="L458" s="22" t="n">
        <x:v>9.1312</x:v>
      </x:c>
      <x:c r="M458" t="n">
        <x:v>2016</x:v>
      </x:c>
      <x:c r="N458" s="20" t="n">
        <x:v>42461</x:v>
      </x:c>
    </x:row>
    <x:row r="459" ht="18" customHeight="1">
      <x:c r="A459" t="str">
        <x:v>CA-2017-147277</x:v>
      </x:c>
      <x:c r="B459" s="18" t="n">
        <x:v>43028</x:v>
      </x:c>
      <x:c r="C459" t="str">
        <x:v>EB-13705</x:v>
      </x:c>
      <x:c r="D459" t="str">
        <x:v>Ed Braxton</x:v>
      </x:c>
      <x:c r="E459" t="str">
        <x:v>Corporate</x:v>
      </x:c>
      <x:c r="F459" t="str">
        <x:v>East</x:v>
      </x:c>
      <x:c r="G459" t="str">
        <x:v>Furniture</x:v>
      </x:c>
      <x:c r="H459" t="str">
        <x:v>Tables</x:v>
      </x:c>
      <x:c r="I459" s="22" t="n">
        <x:v>284.364</x:v>
      </x:c>
      <x:c r="J459" s="24" t="n">
        <x:v>2</x:v>
      </x:c>
      <x:c r="K459" s="26" t="n">
        <x:v>0.4</x:v>
      </x:c>
      <x:c r="L459" s="22" t="n">
        <x:v>-75.83040000000005</x:v>
      </x:c>
      <x:c r="M459" t="n">
        <x:v>2017</x:v>
      </x:c>
      <x:c r="N459" s="20" t="n">
        <x:v>43009</x:v>
      </x:c>
    </x:row>
    <x:row r="460" ht="18" customHeight="1">
      <x:c r="A460" t="str">
        <x:v>CA-2017-147277</x:v>
      </x:c>
      <x:c r="B460" s="18" t="n">
        <x:v>43028</x:v>
      </x:c>
      <x:c r="C460" t="str">
        <x:v>EB-13705</x:v>
      </x:c>
      <x:c r="D460" t="str">
        <x:v>Ed Braxton</x:v>
      </x:c>
      <x:c r="E460" t="str">
        <x:v>Corporate</x:v>
      </x:c>
      <x:c r="F460" t="str">
        <x:v>East</x:v>
      </x:c>
      <x:c r="G460" t="str">
        <x:v>Office Supplies</x:v>
      </x:c>
      <x:c r="H460" t="str">
        <x:v>Storage</x:v>
      </x:c>
      <x:c r="I460" s="22" t="n">
        <x:v>665.408</x:v>
      </x:c>
      <x:c r="J460" s="24" t="n">
        <x:v>2</x:v>
      </x:c>
      <x:c r="K460" s="26" t="n">
        <x:v>0.2</x:v>
      </x:c>
      <x:c r="L460" s="22" t="n">
        <x:v>66.54079999999996</x:v>
      </x:c>
      <x:c r="M460" t="n">
        <x:v>2017</x:v>
      </x:c>
      <x:c r="N460" s="20" t="n">
        <x:v>43009</x:v>
      </x:c>
    </x:row>
    <x:row r="461" ht="18" customHeight="1">
      <x:c r="A461" t="str">
        <x:v>CA-2016-100153</x:v>
      </x:c>
      <x:c r="B461" s="18" t="n">
        <x:v>42717</x:v>
      </x:c>
      <x:c r="C461" t="str">
        <x:v>KH-16630</x:v>
      </x:c>
      <x:c r="D461" t="str">
        <x:v>Ken Heidel</x:v>
      </x:c>
      <x:c r="E461" t="str">
        <x:v>Corporate</x:v>
      </x:c>
      <x:c r="F461" t="str">
        <x:v>Central</x:v>
      </x:c>
      <x:c r="G461" t="str">
        <x:v>Technology</x:v>
      </x:c>
      <x:c r="H461" t="str">
        <x:v>Accessories</x:v>
      </x:c>
      <x:c r="I461" s="22" t="n">
        <x:v>63.88</x:v>
      </x:c>
      <x:c r="J461" s="24" t="n">
        <x:v>4</x:v>
      </x:c>
      <x:c r="K461" s="26" t="n">
        <x:v>0</x:v>
      </x:c>
      <x:c r="L461" s="22" t="n">
        <x:v>24.913200000000003</x:v>
      </x:c>
      <x:c r="M461" t="n">
        <x:v>2016</x:v>
      </x:c>
      <x:c r="N461" s="20" t="n">
        <x:v>42705</x:v>
      </x:c>
    </x:row>
    <x:row r="462" ht="18" customHeight="1">
      <x:c r="A462" t="str">
        <x:v>US-2014-110674</x:v>
      </x:c>
      <x:c r="B462" s="18" t="n">
        <x:v>41682</x:v>
      </x:c>
      <x:c r="C462" t="str">
        <x:v>SC-20095</x:v>
      </x:c>
      <x:c r="D462" t="str">
        <x:v>Sanjit Chand</x:v>
      </x:c>
      <x:c r="E462" t="str">
        <x:v>Consumer</x:v>
      </x:c>
      <x:c r="F462" t="str">
        <x:v>West</x:v>
      </x:c>
      <x:c r="G462" t="str">
        <x:v>Furniture</x:v>
      </x:c>
      <x:c r="H462" t="str">
        <x:v>Chairs</x:v>
      </x:c>
      <x:c r="I462" s="22" t="n">
        <x:v>129.568</x:v>
      </x:c>
      <x:c r="J462" s="24" t="n">
        <x:v>2</x:v>
      </x:c>
      <x:c r="K462" s="26" t="n">
        <x:v>0.2</x:v>
      </x:c>
      <x:c r="L462" s="22" t="n">
        <x:v>-24.29400000000002</x:v>
      </x:c>
      <x:c r="M462" t="n">
        <x:v>2014</x:v>
      </x:c>
      <x:c r="N462" s="20" t="n">
        <x:v>41671</x:v>
      </x:c>
    </x:row>
    <x:row r="463" ht="18" customHeight="1">
      <x:c r="A463" t="str">
        <x:v>US-2016-157945</x:v>
      </x:c>
      <x:c r="B463" s="18" t="n">
        <x:v>42639</x:v>
      </x:c>
      <x:c r="C463" t="str">
        <x:v>NF-18385</x:v>
      </x:c>
      <x:c r="D463" t="str">
        <x:v>Natalie Fritzler</x:v>
      </x:c>
      <x:c r="E463" t="str">
        <x:v>Consumer</x:v>
      </x:c>
      <x:c r="F463" t="str">
        <x:v>Central</x:v>
      </x:c>
      <x:c r="G463" t="str">
        <x:v>Furniture</x:v>
      </x:c>
      <x:c r="H463" t="str">
        <x:v>Chairs</x:v>
      </x:c>
      <x:c r="I463" s="22" t="n">
        <x:v>747.558</x:v>
      </x:c>
      <x:c r="J463" s="24" t="n">
        <x:v>3</x:v>
      </x:c>
      <x:c r="K463" s="26" t="n">
        <x:v>0.3</x:v>
      </x:c>
      <x:c r="L463" s="22" t="n">
        <x:v>-96.11460000000011</x:v>
      </x:c>
      <x:c r="M463" t="n">
        <x:v>2016</x:v>
      </x:c>
      <x:c r="N463" s="20" t="n">
        <x:v>42614</x:v>
      </x:c>
    </x:row>
    <x:row r="464" ht="18" customHeight="1">
      <x:c r="A464" t="str">
        <x:v>US-2016-157945</x:v>
      </x:c>
      <x:c r="B464" s="18" t="n">
        <x:v>42639</x:v>
      </x:c>
      <x:c r="C464" t="str">
        <x:v>NF-18385</x:v>
      </x:c>
      <x:c r="D464" t="str">
        <x:v>Natalie Fritzler</x:v>
      </x:c>
      <x:c r="E464" t="str">
        <x:v>Consumer</x:v>
      </x:c>
      <x:c r="F464" t="str">
        <x:v>Central</x:v>
      </x:c>
      <x:c r="G464" t="str">
        <x:v>Office Supplies</x:v>
      </x:c>
      <x:c r="H464" t="str">
        <x:v>Envelopes</x:v>
      </x:c>
      <x:c r="I464" s="22" t="n">
        <x:v>8.928</x:v>
      </x:c>
      <x:c r="J464" s="24" t="n">
        <x:v>2</x:v>
      </x:c>
      <x:c r="K464" s="26" t="n">
        <x:v>0.2</x:v>
      </x:c>
      <x:c r="L464" s="22" t="n">
        <x:v>3.348</x:v>
      </x:c>
      <x:c r="M464" t="n">
        <x:v>2016</x:v>
      </x:c>
      <x:c r="N464" s="20" t="n">
        <x:v>42614</x:v>
      </x:c>
    </x:row>
    <x:row r="465" ht="18" customHeight="1">
      <x:c r="A465" t="str">
        <x:v>CA-2015-109638</x:v>
      </x:c>
      <x:c r="B465" s="18" t="n">
        <x:v>42353</x:v>
      </x:c>
      <x:c r="C465" t="str">
        <x:v>JH-15985</x:v>
      </x:c>
      <x:c r="D465" t="str">
        <x:v>Joseph Holt</x:v>
      </x:c>
      <x:c r="E465" t="str">
        <x:v>Consumer</x:v>
      </x:c>
      <x:c r="F465" t="str">
        <x:v>West</x:v>
      </x:c>
      <x:c r="G465" t="str">
        <x:v>Office Supplies</x:v>
      </x:c>
      <x:c r="H465" t="str">
        <x:v>Appliances</x:v>
      </x:c>
      <x:c r="I465" s="22" t="n">
        <x:v>103.92</x:v>
      </x:c>
      <x:c r="J465" s="24" t="n">
        <x:v>4</x:v>
      </x:c>
      <x:c r="K465" s="26" t="n">
        <x:v>0</x:v>
      </x:c>
      <x:c r="L465" s="22" t="n">
        <x:v>36.372</x:v>
      </x:c>
      <x:c r="M465" t="n">
        <x:v>2015</x:v>
      </x:c>
      <x:c r="N465" s="20" t="n">
        <x:v>42339</x:v>
      </x:c>
    </x:row>
    <x:row r="466" ht="18" customHeight="1">
      <x:c r="A466" t="str">
        <x:v>CA-2015-109638</x:v>
      </x:c>
      <x:c r="B466" s="18" t="n">
        <x:v>42353</x:v>
      </x:c>
      <x:c r="C466" t="str">
        <x:v>JH-15985</x:v>
      </x:c>
      <x:c r="D466" t="str">
        <x:v>Joseph Holt</x:v>
      </x:c>
      <x:c r="E466" t="str">
        <x:v>Consumer</x:v>
      </x:c>
      <x:c r="F466" t="str">
        <x:v>West</x:v>
      </x:c>
      <x:c r="G466" t="str">
        <x:v>Technology</x:v>
      </x:c>
      <x:c r="H466" t="str">
        <x:v>Accessories</x:v>
      </x:c>
      <x:c r="I466" s="22" t="n">
        <x:v>899.91</x:v>
      </x:c>
      <x:c r="J466" s="24" t="n">
        <x:v>9</x:v>
      </x:c>
      <x:c r="K466" s="26" t="n">
        <x:v>0</x:v>
      </x:c>
      <x:c r="L466" s="22" t="n">
        <x:v>377.96220000000005</x:v>
      </x:c>
      <x:c r="M466" t="n">
        <x:v>2015</x:v>
      </x:c>
      <x:c r="N466" s="20" t="n">
        <x:v>42339</x:v>
      </x:c>
    </x:row>
    <x:row r="467" ht="18" customHeight="1">
      <x:c r="A467" t="str">
        <x:v>CA-2015-109638</x:v>
      </x:c>
      <x:c r="B467" s="18" t="n">
        <x:v>42353</x:v>
      </x:c>
      <x:c r="C467" t="str">
        <x:v>JH-15985</x:v>
      </x:c>
      <x:c r="D467" t="str">
        <x:v>Joseph Holt</x:v>
      </x:c>
      <x:c r="E467" t="str">
        <x:v>Consumer</x:v>
      </x:c>
      <x:c r="F467" t="str">
        <x:v>West</x:v>
      </x:c>
      <x:c r="G467" t="str">
        <x:v>Office Supplies</x:v>
      </x:c>
      <x:c r="H467" t="str">
        <x:v>Binders</x:v>
      </x:c>
      <x:c r="I467" s="22" t="n">
        <x:v>51.312</x:v>
      </x:c>
      <x:c r="J467" s="24" t="n">
        <x:v>3</x:v>
      </x:c>
      <x:c r="K467" s="26" t="n">
        <x:v>0.2</x:v>
      </x:c>
      <x:c r="L467" s="22" t="n">
        <x:v>18.600599999999996</x:v>
      </x:c>
      <x:c r="M467" t="n">
        <x:v>2015</x:v>
      </x:c>
      <x:c r="N467" s="20" t="n">
        <x:v>42339</x:v>
      </x:c>
    </x:row>
    <x:row r="468" ht="18" customHeight="1">
      <x:c r="A468" t="str">
        <x:v>CA-2016-109869</x:v>
      </x:c>
      <x:c r="B468" s="18" t="n">
        <x:v>42482</x:v>
      </x:c>
      <x:c r="C468" t="str">
        <x:v>TN-21040</x:v>
      </x:c>
      <x:c r="D468" t="str">
        <x:v>Tanja Norvell</x:v>
      </x:c>
      <x:c r="E468" t="str">
        <x:v>Home Office</x:v>
      </x:c>
      <x:c r="F468" t="str">
        <x:v>West</x:v>
      </x:c>
      <x:c r="G468" t="str">
        <x:v>Furniture</x:v>
      </x:c>
      <x:c r="H468" t="str">
        <x:v>Furnishings</x:v>
      </x:c>
      <x:c r="I468" s="22" t="n">
        <x:v>23.56</x:v>
      </x:c>
      <x:c r="J468" s="24" t="n">
        <x:v>5</x:v>
      </x:c>
      <x:c r="K468" s="26" t="n">
        <x:v>0.2</x:v>
      </x:c>
      <x:c r="L468" s="22" t="n">
        <x:v>7.0680000000000005</x:v>
      </x:c>
      <x:c r="M468" t="n">
        <x:v>2016</x:v>
      </x:c>
      <x:c r="N468" s="20" t="n">
        <x:v>42461</x:v>
      </x:c>
    </x:row>
    <x:row r="469" ht="18" customHeight="1">
      <x:c r="A469" t="str">
        <x:v>CA-2016-109869</x:v>
      </x:c>
      <x:c r="B469" s="18" t="n">
        <x:v>42482</x:v>
      </x:c>
      <x:c r="C469" t="str">
        <x:v>TN-21040</x:v>
      </x:c>
      <x:c r="D469" t="str">
        <x:v>Tanja Norvell</x:v>
      </x:c>
      <x:c r="E469" t="str">
        <x:v>Home Office</x:v>
      </x:c>
      <x:c r="F469" t="str">
        <x:v>West</x:v>
      </x:c>
      <x:c r="G469" t="str">
        <x:v>Furniture</x:v>
      </x:c>
      <x:c r="H469" t="str">
        <x:v>Tables</x:v>
      </x:c>
      <x:c r="I469" s="22" t="n">
        <x:v>1272.6299999999999</x:v>
      </x:c>
      <x:c r="J469" s="24" t="n">
        <x:v>6</x:v>
      </x:c>
      <x:c r="K469" s="26" t="n">
        <x:v>0.5</x:v>
      </x:c>
      <x:c r="L469" s="22" t="n">
        <x:v>-814.4831999999999</x:v>
      </x:c>
      <x:c r="M469" t="n">
        <x:v>2016</x:v>
      </x:c>
      <x:c r="N469" s="20" t="n">
        <x:v>42461</x:v>
      </x:c>
    </x:row>
    <x:row r="470" ht="18" customHeight="1">
      <x:c r="A470" t="str">
        <x:v>CA-2016-109869</x:v>
      </x:c>
      <x:c r="B470" s="18" t="n">
        <x:v>42482</x:v>
      </x:c>
      <x:c r="C470" t="str">
        <x:v>TN-21040</x:v>
      </x:c>
      <x:c r="D470" t="str">
        <x:v>Tanja Norvell</x:v>
      </x:c>
      <x:c r="E470" t="str">
        <x:v>Home Office</x:v>
      </x:c>
      <x:c r="F470" t="str">
        <x:v>West</x:v>
      </x:c>
      <x:c r="G470" t="str">
        <x:v>Office Supplies</x:v>
      </x:c>
      <x:c r="H470" t="str">
        <x:v>Binders</x:v>
      </x:c>
      <x:c r="I470" s="22" t="n">
        <x:v>28.485</x:v>
      </x:c>
      <x:c r="J470" s="24" t="n">
        <x:v>5</x:v>
      </x:c>
      <x:c r="K470" s="26" t="n">
        <x:v>0.7</x:v>
      </x:c>
      <x:c r="L470" s="22" t="n">
        <x:v>-20.88899999999999</x:v>
      </x:c>
      <x:c r="M470" t="n">
        <x:v>2016</x:v>
      </x:c>
      <x:c r="N470" s="20" t="n">
        <x:v>42461</x:v>
      </x:c>
    </x:row>
    <x:row r="471" ht="18" customHeight="1">
      <x:c r="A471" t="str">
        <x:v>CA-2016-109869</x:v>
      </x:c>
      <x:c r="B471" s="18" t="n">
        <x:v>42482</x:v>
      </x:c>
      <x:c r="C471" t="str">
        <x:v>TN-21040</x:v>
      </x:c>
      <x:c r="D471" t="str">
        <x:v>Tanja Norvell</x:v>
      </x:c>
      <x:c r="E471" t="str">
        <x:v>Home Office</x:v>
      </x:c>
      <x:c r="F471" t="str">
        <x:v>West</x:v>
      </x:c>
      <x:c r="G471" t="str">
        <x:v>Office Supplies</x:v>
      </x:c>
      <x:c r="H471" t="str">
        <x:v>Supplies</x:v>
      </x:c>
      <x:c r="I471" s="22" t="n">
        <x:v>185.376</x:v>
      </x:c>
      <x:c r="J471" s="24" t="n">
        <x:v>2</x:v>
      </x:c>
      <x:c r="K471" s="26" t="n">
        <x:v>0.2</x:v>
      </x:c>
      <x:c r="L471" s="22" t="n">
        <x:v>-34.75800000000002</x:v>
      </x:c>
      <x:c r="M471" t="n">
        <x:v>2016</x:v>
      </x:c>
      <x:c r="N471" s="20" t="n">
        <x:v>42461</x:v>
      </x:c>
    </x:row>
    <x:row r="472" ht="18" customHeight="1">
      <x:c r="A472" t="str">
        <x:v>CA-2016-109869</x:v>
      </x:c>
      <x:c r="B472" s="18" t="n">
        <x:v>42482</x:v>
      </x:c>
      <x:c r="C472" t="str">
        <x:v>TN-21040</x:v>
      </x:c>
      <x:c r="D472" t="str">
        <x:v>Tanja Norvell</x:v>
      </x:c>
      <x:c r="E472" t="str">
        <x:v>Home Office</x:v>
      </x:c>
      <x:c r="F472" t="str">
        <x:v>West</x:v>
      </x:c>
      <x:c r="G472" t="str">
        <x:v>Office Supplies</x:v>
      </x:c>
      <x:c r="H472" t="str">
        <x:v>Appliances</x:v>
      </x:c>
      <x:c r="I472" s="22" t="n">
        <x:v>78.272</x:v>
      </x:c>
      <x:c r="J472" s="24" t="n">
        <x:v>2</x:v>
      </x:c>
      <x:c r="K472" s="26" t="n">
        <x:v>0.2</x:v>
      </x:c>
      <x:c r="L472" s="22" t="n">
        <x:v>5.8704</x:v>
      </x:c>
      <x:c r="M472" t="n">
        <x:v>2016</x:v>
      </x:c>
      <x:c r="N472" s="20" t="n">
        <x:v>42461</x:v>
      </x:c>
    </x:row>
    <x:row r="473" ht="18" customHeight="1">
      <x:c r="A473" t="str">
        <x:v>US-2015-101399</x:v>
      </x:c>
      <x:c r="B473" s="18" t="n">
        <x:v>42021</x:v>
      </x:c>
      <x:c r="C473" t="str">
        <x:v>JS-15940</x:v>
      </x:c>
      <x:c r="D473" t="str">
        <x:v>Joni Sundaresam</x:v>
      </x:c>
      <x:c r="E473" t="str">
        <x:v>Home Office</x:v>
      </x:c>
      <x:c r="F473" t="str">
        <x:v>Central</x:v>
      </x:c>
      <x:c r="G473" t="str">
        <x:v>Furniture</x:v>
      </x:c>
      <x:c r="H473" t="str">
        <x:v>Furnishings</x:v>
      </x:c>
      <x:c r="I473" s="22" t="n">
        <x:v>254.74400000000003</x:v>
      </x:c>
      <x:c r="J473" s="24" t="n">
        <x:v>7</x:v>
      </x:c>
      <x:c r="K473" s="26" t="n">
        <x:v>0.6</x:v>
      </x:c>
      <x:c r="L473" s="22" t="n">
        <x:v>-312.06139999999994</x:v>
      </x:c>
      <x:c r="M473" t="n">
        <x:v>2015</x:v>
      </x:c>
      <x:c r="N473" s="20" t="n">
        <x:v>42005</x:v>
      </x:c>
    </x:row>
    <x:row r="474" ht="18" customHeight="1">
      <x:c r="A474" t="str">
        <x:v>CA-2017-154907</x:v>
      </x:c>
      <x:c r="B474" s="18" t="n">
        <x:v>42825</x:v>
      </x:c>
      <x:c r="C474" t="str">
        <x:v>DS-13180</x:v>
      </x:c>
      <x:c r="D474" t="str">
        <x:v>David Smith</x:v>
      </x:c>
      <x:c r="E474" t="str">
        <x:v>Corporate</x:v>
      </x:c>
      <x:c r="F474" t="str">
        <x:v>Central</x:v>
      </x:c>
      <x:c r="G474" t="str">
        <x:v>Furniture</x:v>
      </x:c>
      <x:c r="H474" t="str">
        <x:v>Bookcases</x:v>
      </x:c>
      <x:c r="I474" s="22" t="n">
        <x:v>205.33279999999996</x:v>
      </x:c>
      <x:c r="J474" s="24" t="n">
        <x:v>2</x:v>
      </x:c>
      <x:c r="K474" s="26" t="n">
        <x:v>0.32</x:v>
      </x:c>
      <x:c r="L474" s="22" t="n">
        <x:v>-36.235200000000006</x:v>
      </x:c>
      <x:c r="M474" t="n">
        <x:v>2017</x:v>
      </x:c>
      <x:c r="N474" s="20" t="n">
        <x:v>42795</x:v>
      </x:c>
    </x:row>
    <x:row r="475" ht="18" customHeight="1">
      <x:c r="A475" t="str">
        <x:v>US-2016-100419</x:v>
      </x:c>
      <x:c r="B475" s="18" t="n">
        <x:v>42720</x:v>
      </x:c>
      <x:c r="C475" t="str">
        <x:v>CC-12670</x:v>
      </x:c>
      <x:c r="D475" t="str">
        <x:v>Craig Carreira</x:v>
      </x:c>
      <x:c r="E475" t="str">
        <x:v>Consumer</x:v>
      </x:c>
      <x:c r="F475" t="str">
        <x:v>Central</x:v>
      </x:c>
      <x:c r="G475" t="str">
        <x:v>Office Supplies</x:v>
      </x:c>
      <x:c r="H475" t="str">
        <x:v>Binders</x:v>
      </x:c>
      <x:c r="I475" s="22" t="n">
        <x:v>4.7879999999999985</x:v>
      </x:c>
      <x:c r="J475" s="24" t="n">
        <x:v>3</x:v>
      </x:c>
      <x:c r="K475" s="26" t="n">
        <x:v>0.8</x:v>
      </x:c>
      <x:c r="L475" s="22" t="n">
        <x:v>-7.9002</x:v>
      </x:c>
      <x:c r="M475" t="n">
        <x:v>2016</x:v>
      </x:c>
      <x:c r="N475" s="20" t="n">
        <x:v>42705</x:v>
      </x:c>
    </x:row>
    <x:row r="476" ht="18" customHeight="1">
      <x:c r="A476" t="str">
        <x:v>CA-2015-154144</x:v>
      </x:c>
      <x:c r="B476" s="18" t="n">
        <x:v>42358</x:v>
      </x:c>
      <x:c r="C476" t="str">
        <x:v>MH-17785</x:v>
      </x:c>
      <x:c r="D476" t="str">
        <x:v>Maya Herman</x:v>
      </x:c>
      <x:c r="E476" t="str">
        <x:v>Corporate</x:v>
      </x:c>
      <x:c r="F476" t="str">
        <x:v>East</x:v>
      </x:c>
      <x:c r="G476" t="str">
        <x:v>Office Supplies</x:v>
      </x:c>
      <x:c r="H476" t="str">
        <x:v>Paper</x:v>
      </x:c>
      <x:c r="I476" s="22" t="n">
        <x:v>55.48</x:v>
      </x:c>
      <x:c r="J476" s="24" t="n">
        <x:v>1</x:v>
      </x:c>
      <x:c r="K476" s="26" t="n">
        <x:v>0</x:v>
      </x:c>
      <x:c r="L476" s="22" t="n">
        <x:v>26.630399999999998</x:v>
      </x:c>
      <x:c r="M476" t="n">
        <x:v>2015</x:v>
      </x:c>
      <x:c r="N476" s="20" t="n">
        <x:v>42339</x:v>
      </x:c>
    </x:row>
    <x:row r="477" ht="18" customHeight="1">
      <x:c r="A477" t="str">
        <x:v>CA-2014-144666</x:v>
      </x:c>
      <x:c r="B477" s="18" t="n">
        <x:v>41952</x:v>
      </x:c>
      <x:c r="C477" t="str">
        <x:v>JP-15520</x:v>
      </x:c>
      <x:c r="D477" t="str">
        <x:v>Jeremy Pistek</x:v>
      </x:c>
      <x:c r="E477" t="str">
        <x:v>Consumer</x:v>
      </x:c>
      <x:c r="F477" t="str">
        <x:v>West</x:v>
      </x:c>
      <x:c r="G477" t="str">
        <x:v>Office Supplies</x:v>
      </x:c>
      <x:c r="H477" t="str">
        <x:v>Storage</x:v>
      </x:c>
      <x:c r="I477" s="22" t="n">
        <x:v>340.92</x:v>
      </x:c>
      <x:c r="J477" s="24" t="n">
        <x:v>3</x:v>
      </x:c>
      <x:c r="K477" s="26" t="n">
        <x:v>0</x:v>
      </x:c>
      <x:c r="L477" s="22" t="n">
        <x:v>3.4091999999999842</x:v>
      </x:c>
      <x:c r="M477" t="n">
        <x:v>2014</x:v>
      </x:c>
      <x:c r="N477" s="20" t="n">
        <x:v>41944</x:v>
      </x:c>
    </x:row>
    <x:row r="478" ht="18" customHeight="1">
      <x:c r="A478" t="str">
        <x:v>CA-2014-144666</x:v>
      </x:c>
      <x:c r="B478" s="18" t="n">
        <x:v>41952</x:v>
      </x:c>
      <x:c r="C478" t="str">
        <x:v>JP-15520</x:v>
      </x:c>
      <x:c r="D478" t="str">
        <x:v>Jeremy Pistek</x:v>
      </x:c>
      <x:c r="E478" t="str">
        <x:v>Consumer</x:v>
      </x:c>
      <x:c r="F478" t="str">
        <x:v>West</x:v>
      </x:c>
      <x:c r="G478" t="str">
        <x:v>Furniture</x:v>
      </x:c>
      <x:c r="H478" t="str">
        <x:v>Bookcases</x:v>
      </x:c>
      <x:c r="I478" s="22" t="n">
        <x:v>222.66599999999997</x:v>
      </x:c>
      <x:c r="J478" s="24" t="n">
        <x:v>2</x:v>
      </x:c>
      <x:c r="K478" s="26" t="n">
        <x:v>0.15</x:v>
      </x:c>
      <x:c r="L478" s="22" t="n">
        <x:v>10.47839999999998</x:v>
      </x:c>
      <x:c r="M478" t="n">
        <x:v>2014</x:v>
      </x:c>
      <x:c r="N478" s="20" t="n">
        <x:v>41944</x:v>
      </x:c>
    </x:row>
    <x:row r="479" ht="18" customHeight="1">
      <x:c r="A479" t="str">
        <x:v>CA-2014-144666</x:v>
      </x:c>
      <x:c r="B479" s="18" t="n">
        <x:v>41952</x:v>
      </x:c>
      <x:c r="C479" t="str">
        <x:v>JP-15520</x:v>
      </x:c>
      <x:c r="D479" t="str">
        <x:v>Jeremy Pistek</x:v>
      </x:c>
      <x:c r="E479" t="str">
        <x:v>Consumer</x:v>
      </x:c>
      <x:c r="F479" t="str">
        <x:v>West</x:v>
      </x:c>
      <x:c r="G479" t="str">
        <x:v>Technology</x:v>
      </x:c>
      <x:c r="H479" t="str">
        <x:v>Phones</x:v>
      </x:c>
      <x:c r="I479" s="22" t="n">
        <x:v>703.9680000000001</x:v>
      </x:c>
      <x:c r="J479" s="24" t="n">
        <x:v>4</x:v>
      </x:c>
      <x:c r="K479" s="26" t="n">
        <x:v>0.2</x:v>
      </x:c>
      <x:c r="L479" s="22" t="n">
        <x:v>87.99599999999992</x:v>
      </x:c>
      <x:c r="M479" t="n">
        <x:v>2014</x:v>
      </x:c>
      <x:c r="N479" s="20" t="n">
        <x:v>41944</x:v>
      </x:c>
    </x:row>
    <x:row r="480" ht="18" customHeight="1">
      <x:c r="A480" t="str">
        <x:v>CA-2014-144666</x:v>
      </x:c>
      <x:c r="B480" s="18" t="n">
        <x:v>41952</x:v>
      </x:c>
      <x:c r="C480" t="str">
        <x:v>JP-15520</x:v>
      </x:c>
      <x:c r="D480" t="str">
        <x:v>Jeremy Pistek</x:v>
      </x:c>
      <x:c r="E480" t="str">
        <x:v>Consumer</x:v>
      </x:c>
      <x:c r="F480" t="str">
        <x:v>West</x:v>
      </x:c>
      <x:c r="G480" t="str">
        <x:v>Office Supplies</x:v>
      </x:c>
      <x:c r="H480" t="str">
        <x:v>Storage</x:v>
      </x:c>
      <x:c r="I480" s="22" t="n">
        <x:v>92.52</x:v>
      </x:c>
      <x:c r="J480" s="24" t="n">
        <x:v>6</x:v>
      </x:c>
      <x:c r="K480" s="26" t="n">
        <x:v>0</x:v>
      </x:c>
      <x:c r="L480" s="22" t="n">
        <x:v>24.980400000000007</x:v>
      </x:c>
      <x:c r="M480" t="n">
        <x:v>2014</x:v>
      </x:c>
      <x:c r="N480" s="20" t="n">
        <x:v>41944</x:v>
      </x:c>
    </x:row>
    <x:row r="481" ht="18" customHeight="1">
      <x:c r="A481" t="str">
        <x:v>CA-2014-144666</x:v>
      </x:c>
      <x:c r="B481" s="18" t="n">
        <x:v>41952</x:v>
      </x:c>
      <x:c r="C481" t="str">
        <x:v>JP-15520</x:v>
      </x:c>
      <x:c r="D481" t="str">
        <x:v>Jeremy Pistek</x:v>
      </x:c>
      <x:c r="E481" t="str">
        <x:v>Consumer</x:v>
      </x:c>
      <x:c r="F481" t="str">
        <x:v>West</x:v>
      </x:c>
      <x:c r="G481" t="str">
        <x:v>Office Supplies</x:v>
      </x:c>
      <x:c r="H481" t="str">
        <x:v>Paper</x:v>
      </x:c>
      <x:c r="I481" s="22" t="n">
        <x:v>62.64999999999999</x:v>
      </x:c>
      <x:c r="J481" s="24" t="n">
        <x:v>7</x:v>
      </x:c>
      <x:c r="K481" s="26" t="n">
        <x:v>0</x:v>
      </x:c>
      <x:c r="L481" s="22" t="n">
        <x:v>28.818999999999996</x:v>
      </x:c>
      <x:c r="M481" t="n">
        <x:v>2014</x:v>
      </x:c>
      <x:c r="N481" s="20" t="n">
        <x:v>41944</x:v>
      </x:c>
    </x:row>
    <x:row r="482" ht="18" customHeight="1">
      <x:c r="A482" t="str">
        <x:v>CA-2014-144666</x:v>
      </x:c>
      <x:c r="B482" s="18" t="n">
        <x:v>41952</x:v>
      </x:c>
      <x:c r="C482" t="str">
        <x:v>JP-15520</x:v>
      </x:c>
      <x:c r="D482" t="str">
        <x:v>Jeremy Pistek</x:v>
      </x:c>
      <x:c r="E482" t="str">
        <x:v>Consumer</x:v>
      </x:c>
      <x:c r="F482" t="str">
        <x:v>West</x:v>
      </x:c>
      <x:c r="G482" t="str">
        <x:v>Office Supplies</x:v>
      </x:c>
      <x:c r="H482" t="str">
        <x:v>Paper</x:v>
      </x:c>
      <x:c r="I482" s="22" t="n">
        <x:v>94.85</x:v>
      </x:c>
      <x:c r="J482" s="24" t="n">
        <x:v>5</x:v>
      </x:c>
      <x:c r="K482" s="26" t="n">
        <x:v>0</x:v>
      </x:c>
      <x:c r="L482" s="22" t="n">
        <x:v>45.52799999999999</x:v>
      </x:c>
      <x:c r="M482" t="n">
        <x:v>2014</x:v>
      </x:c>
      <x:c r="N482" s="20" t="n">
        <x:v>41944</x:v>
      </x:c>
    </x:row>
    <x:row r="483" ht="18" customHeight="1">
      <x:c r="A483" t="str">
        <x:v>CA-2016-103891</x:v>
      </x:c>
      <x:c r="B483" s="18" t="n">
        <x:v>42563</x:v>
      </x:c>
      <x:c r="C483" t="str">
        <x:v>KH-16690</x:v>
      </x:c>
      <x:c r="D483" t="str">
        <x:v>Kristen Hastings</x:v>
      </x:c>
      <x:c r="E483" t="str">
        <x:v>Corporate</x:v>
      </x:c>
      <x:c r="F483" t="str">
        <x:v>West</x:v>
      </x:c>
      <x:c r="G483" t="str">
        <x:v>Technology</x:v>
      </x:c>
      <x:c r="H483" t="str">
        <x:v>Phones</x:v>
      </x:c>
      <x:c r="I483" s="22" t="n">
        <x:v>95.76</x:v>
      </x:c>
      <x:c r="J483" s="24" t="n">
        <x:v>6</x:v>
      </x:c>
      <x:c r="K483" s="26" t="n">
        <x:v>0.2</x:v>
      </x:c>
      <x:c r="L483" s="22" t="n">
        <x:v>7.181999999999995</x:v>
      </x:c>
      <x:c r="M483" t="n">
        <x:v>2016</x:v>
      </x:c>
      <x:c r="N483" s="20" t="n">
        <x:v>42552</x:v>
      </x:c>
    </x:row>
    <x:row r="484" ht="18" customHeight="1">
      <x:c r="A484" t="str">
        <x:v>CA-2016-152632</x:v>
      </x:c>
      <x:c r="B484" s="18" t="n">
        <x:v>42670</x:v>
      </x:c>
      <x:c r="C484" t="str">
        <x:v>JE-15475</x:v>
      </x:c>
      <x:c r="D484" t="str">
        <x:v>Jeremy Ellison</x:v>
      </x:c>
      <x:c r="E484" t="str">
        <x:v>Consumer</x:v>
      </x:c>
      <x:c r="F484" t="str">
        <x:v>East</x:v>
      </x:c>
      <x:c r="G484" t="str">
        <x:v>Furniture</x:v>
      </x:c>
      <x:c r="H484" t="str">
        <x:v>Furnishings</x:v>
      </x:c>
      <x:c r="I484" s="22" t="n">
        <x:v>40.2</x:v>
      </x:c>
      <x:c r="J484" s="24" t="n">
        <x:v>3</x:v>
      </x:c>
      <x:c r="K484" s="26" t="n">
        <x:v>0</x:v>
      </x:c>
      <x:c r="L484" s="22" t="n">
        <x:v>19.296</x:v>
      </x:c>
      <x:c r="M484" t="n">
        <x:v>2016</x:v>
      </x:c>
      <x:c r="N484" s="20" t="n">
        <x:v>42644</x:v>
      </x:c>
    </x:row>
    <x:row r="485" ht="18" customHeight="1">
      <x:c r="A485" t="str">
        <x:v>CA-2016-100790</x:v>
      </x:c>
      <x:c r="B485" s="18" t="n">
        <x:v>42547</x:v>
      </x:c>
      <x:c r="C485" t="str">
        <x:v>JG-15805</x:v>
      </x:c>
      <x:c r="D485" t="str">
        <x:v>John Grady</x:v>
      </x:c>
      <x:c r="E485" t="str">
        <x:v>Corporate</x:v>
      </x:c>
      <x:c r="F485" t="str">
        <x:v>East</x:v>
      </x:c>
      <x:c r="G485" t="str">
        <x:v>Office Supplies</x:v>
      </x:c>
      <x:c r="H485" t="str">
        <x:v>Art</x:v>
      </x:c>
      <x:c r="I485" s="22" t="n">
        <x:v>14.7</x:v>
      </x:c>
      <x:c r="J485" s="24" t="n">
        <x:v>5</x:v>
      </x:c>
      <x:c r="K485" s="26" t="n">
        <x:v>0</x:v>
      </x:c>
      <x:c r="L485" s="22" t="n">
        <x:v>6.615</x:v>
      </x:c>
      <x:c r="M485" t="n">
        <x:v>2016</x:v>
      </x:c>
      <x:c r="N485" s="20" t="n">
        <x:v>42522</x:v>
      </x:c>
    </x:row>
    <x:row r="486" ht="18" customHeight="1">
      <x:c r="A486" t="str">
        <x:v>CA-2016-100790</x:v>
      </x:c>
      <x:c r="B486" s="18" t="n">
        <x:v>42547</x:v>
      </x:c>
      <x:c r="C486" t="str">
        <x:v>JG-15805</x:v>
      </x:c>
      <x:c r="D486" t="str">
        <x:v>John Grady</x:v>
      </x:c>
      <x:c r="E486" t="str">
        <x:v>Corporate</x:v>
      </x:c>
      <x:c r="F486" t="str">
        <x:v>East</x:v>
      </x:c>
      <x:c r="G486" t="str">
        <x:v>Office Supplies</x:v>
      </x:c>
      <x:c r="H486" t="str">
        <x:v>Storage</x:v>
      </x:c>
      <x:c r="I486" s="22" t="n">
        <x:v>704.25</x:v>
      </x:c>
      <x:c r="J486" s="24" t="n">
        <x:v>5</x:v>
      </x:c>
      <x:c r="K486" s="26" t="n">
        <x:v>0</x:v>
      </x:c>
      <x:c r="L486" s="22" t="n">
        <x:v>84.51</x:v>
      </x:c>
      <x:c r="M486" t="n">
        <x:v>2016</x:v>
      </x:c>
      <x:c r="N486" s="20" t="n">
        <x:v>42522</x:v>
      </x:c>
    </x:row>
    <x:row r="487" ht="18" customHeight="1">
      <x:c r="A487" t="str">
        <x:v>CA-2014-134677</x:v>
      </x:c>
      <x:c r="B487" s="18" t="n">
        <x:v>41918</x:v>
      </x:c>
      <x:c r="C487" t="str">
        <x:v>XP-21865</x:v>
      </x:c>
      <x:c r="D487" t="str">
        <x:v>Xylona Preis</x:v>
      </x:c>
      <x:c r="E487" t="str">
        <x:v>Consumer</x:v>
      </x:c>
      <x:c r="F487" t="str">
        <x:v>West</x:v>
      </x:c>
      <x:c r="G487" t="str">
        <x:v>Technology</x:v>
      </x:c>
      <x:c r="H487" t="str">
        <x:v>Accessories</x:v>
      </x:c>
      <x:c r="I487" s="22" t="n">
        <x:v>9.09</x:v>
      </x:c>
      <x:c r="J487" s="24" t="n">
        <x:v>3</x:v>
      </x:c>
      <x:c r="K487" s="26" t="n">
        <x:v>0</x:v>
      </x:c>
      <x:c r="L487" s="22" t="n">
        <x:v>1.9088999999999996</x:v>
      </x:c>
      <x:c r="M487" t="n">
        <x:v>2014</x:v>
      </x:c>
      <x:c r="N487" s="20" t="n">
        <x:v>41913</x:v>
      </x:c>
    </x:row>
    <x:row r="488" ht="18" customHeight="1">
      <x:c r="A488" t="str">
        <x:v>CA-2014-127691</x:v>
      </x:c>
      <x:c r="B488" s="18" t="n">
        <x:v>41842</x:v>
      </x:c>
      <x:c r="C488" t="str">
        <x:v>EM-14065</x:v>
      </x:c>
      <x:c r="D488" t="str">
        <x:v>Erin Mull</x:v>
      </x:c>
      <x:c r="E488" t="str">
        <x:v>Consumer</x:v>
      </x:c>
      <x:c r="F488" t="str">
        <x:v>East</x:v>
      </x:c>
      <x:c r="G488" t="str">
        <x:v>Office Supplies</x:v>
      </x:c>
      <x:c r="H488" t="str">
        <x:v>Art</x:v>
      </x:c>
      <x:c r="I488" s="22" t="n">
        <x:v>5.96</x:v>
      </x:c>
      <x:c r="J488" s="24" t="n">
        <x:v>2</x:v>
      </x:c>
      <x:c r="K488" s="26" t="n">
        <x:v>0</x:v>
      </x:c>
      <x:c r="L488" s="22" t="n">
        <x:v>1.6688</x:v>
      </x:c>
      <x:c r="M488" t="n">
        <x:v>2014</x:v>
      </x:c>
      <x:c r="N488" s="20" t="n">
        <x:v>41821</x:v>
      </x:c>
    </x:row>
    <x:row r="489" ht="18" customHeight="1">
      <x:c r="A489" t="str">
        <x:v>CA-2014-127691</x:v>
      </x:c>
      <x:c r="B489" s="18" t="n">
        <x:v>41842</x:v>
      </x:c>
      <x:c r="C489" t="str">
        <x:v>EM-14065</x:v>
      </x:c>
      <x:c r="D489" t="str">
        <x:v>Erin Mull</x:v>
      </x:c>
      <x:c r="E489" t="str">
        <x:v>Consumer</x:v>
      </x:c>
      <x:c r="F489" t="str">
        <x:v>East</x:v>
      </x:c>
      <x:c r="G489" t="str">
        <x:v>Technology</x:v>
      </x:c>
      <x:c r="H489" t="str">
        <x:v>Accessories</x:v>
      </x:c>
      <x:c r="I489" s="22" t="n">
        <x:v>159.98</x:v>
      </x:c>
      <x:c r="J489" s="24" t="n">
        <x:v>2</x:v>
      </x:c>
      <x:c r="K489" s="26" t="n">
        <x:v>0</x:v>
      </x:c>
      <x:c r="L489" s="22" t="n">
        <x:v>57.5928</x:v>
      </x:c>
      <x:c r="M489" t="n">
        <x:v>2014</x:v>
      </x:c>
      <x:c r="N489" s="20" t="n">
        <x:v>41821</x:v>
      </x:c>
    </x:row>
    <x:row r="490" ht="18" customHeight="1">
      <x:c r="A490" t="str">
        <x:v>CA-2017-140963</x:v>
      </x:c>
      <x:c r="B490" s="18" t="n">
        <x:v>42896</x:v>
      </x:c>
      <x:c r="C490" t="str">
        <x:v>MT-18070</x:v>
      </x:c>
      <x:c r="D490" t="str">
        <x:v>Michelle Tran</x:v>
      </x:c>
      <x:c r="E490" t="str">
        <x:v>Home Office</x:v>
      </x:c>
      <x:c r="F490" t="str">
        <x:v>West</x:v>
      </x:c>
      <x:c r="G490" t="str">
        <x:v>Office Supplies</x:v>
      </x:c>
      <x:c r="H490" t="str">
        <x:v>Labels</x:v>
      </x:c>
      <x:c r="I490" s="22" t="n">
        <x:v>29.6</x:v>
      </x:c>
      <x:c r="J490" s="24" t="n">
        <x:v>2</x:v>
      </x:c>
      <x:c r="K490" s="26" t="n">
        <x:v>0</x:v>
      </x:c>
      <x:c r="L490" s="22" t="n">
        <x:v>14.8</x:v>
      </x:c>
      <x:c r="M490" t="n">
        <x:v>2017</x:v>
      </x:c>
      <x:c r="N490" s="20" t="n">
        <x:v>42887</x:v>
      </x:c>
    </x:row>
    <x:row r="491" ht="18" customHeight="1">
      <x:c r="A491" t="str">
        <x:v>CA-2017-140963</x:v>
      </x:c>
      <x:c r="B491" s="18" t="n">
        <x:v>42896</x:v>
      </x:c>
      <x:c r="C491" t="str">
        <x:v>MT-18070</x:v>
      </x:c>
      <x:c r="D491" t="str">
        <x:v>Michelle Tran</x:v>
      </x:c>
      <x:c r="E491" t="str">
        <x:v>Home Office</x:v>
      </x:c>
      <x:c r="F491" t="str">
        <x:v>West</x:v>
      </x:c>
      <x:c r="G491" t="str">
        <x:v>Furniture</x:v>
      </x:c>
      <x:c r="H491" t="str">
        <x:v>Bookcases</x:v>
      </x:c>
      <x:c r="I491" s="22" t="n">
        <x:v>514.165</x:v>
      </x:c>
      <x:c r="J491" s="24" t="n">
        <x:v>5</x:v>
      </x:c>
      <x:c r="K491" s="26" t="n">
        <x:v>0.15</x:v>
      </x:c>
      <x:c r="L491" s="22" t="n">
        <x:v>-30.24499999999999</x:v>
      </x:c>
      <x:c r="M491" t="n">
        <x:v>2017</x:v>
      </x:c>
      <x:c r="N491" s="20" t="n">
        <x:v>42887</x:v>
      </x:c>
    </x:row>
    <x:row r="492" ht="18" customHeight="1">
      <x:c r="A492" t="str">
        <x:v>CA-2017-140963</x:v>
      </x:c>
      <x:c r="B492" s="18" t="n">
        <x:v>42896</x:v>
      </x:c>
      <x:c r="C492" t="str">
        <x:v>MT-18070</x:v>
      </x:c>
      <x:c r="D492" t="str">
        <x:v>Michelle Tran</x:v>
      </x:c>
      <x:c r="E492" t="str">
        <x:v>Home Office</x:v>
      </x:c>
      <x:c r="F492" t="str">
        <x:v>West</x:v>
      </x:c>
      <x:c r="G492" t="str">
        <x:v>Technology</x:v>
      </x:c>
      <x:c r="H492" t="str">
        <x:v>Phones</x:v>
      </x:c>
      <x:c r="I492" s="22" t="n">
        <x:v>279.96</x:v>
      </x:c>
      <x:c r="J492" s="24" t="n">
        <x:v>5</x:v>
      </x:c>
      <x:c r="K492" s="26" t="n">
        <x:v>0.2</x:v>
      </x:c>
      <x:c r="L492" s="22" t="n">
        <x:v>17.497500000000016</x:v>
      </x:c>
      <x:c r="M492" t="n">
        <x:v>2017</x:v>
      </x:c>
      <x:c r="N492" s="20" t="n">
        <x:v>42887</x:v>
      </x:c>
    </x:row>
    <x:row r="493" ht="18" customHeight="1">
      <x:c r="A493" t="str">
        <x:v>CA-2014-154627</x:v>
      </x:c>
      <x:c r="B493" s="18" t="n">
        <x:v>41941</x:v>
      </x:c>
      <x:c r="C493" t="str">
        <x:v>SA-20830</x:v>
      </x:c>
      <x:c r="D493" t="str">
        <x:v>Sue Ann Reed</x:v>
      </x:c>
      <x:c r="E493" t="str">
        <x:v>Consumer</x:v>
      </x:c>
      <x:c r="F493" t="str">
        <x:v>Central</x:v>
      </x:c>
      <x:c r="G493" t="str">
        <x:v>Technology</x:v>
      </x:c>
      <x:c r="H493" t="str">
        <x:v>Phones</x:v>
      </x:c>
      <x:c r="I493" s="22" t="n">
        <x:v>2735.952</x:v>
      </x:c>
      <x:c r="J493" s="24" t="n">
        <x:v>6</x:v>
      </x:c>
      <x:c r="K493" s="26" t="n">
        <x:v>0.2</x:v>
      </x:c>
      <x:c r="L493" s="22" t="n">
        <x:v>341.9939999999997</x:v>
      </x:c>
      <x:c r="M493" t="n">
        <x:v>2014</x:v>
      </x:c>
      <x:c r="N493" s="20" t="n">
        <x:v>41913</x:v>
      </x:c>
    </x:row>
    <x:row r="494" ht="18" customHeight="1">
      <x:c r="A494" t="str">
        <x:v>CA-2014-133753</x:v>
      </x:c>
      <x:c r="B494" s="18" t="n">
        <x:v>41799</x:v>
      </x:c>
      <x:c r="C494" t="str">
        <x:v>CW-11905</x:v>
      </x:c>
      <x:c r="D494" t="str">
        <x:v>Carl Weiss</x:v>
      </x:c>
      <x:c r="E494" t="str">
        <x:v>Home Office</x:v>
      </x:c>
      <x:c r="F494" t="str">
        <x:v>Central</x:v>
      </x:c>
      <x:c r="G494" t="str">
        <x:v>Technology</x:v>
      </x:c>
      <x:c r="H494" t="str">
        <x:v>Phones</x:v>
      </x:c>
      <x:c r="I494" s="22" t="n">
        <x:v>7.992000000000001</x:v>
      </x:c>
      <x:c r="J494" s="24" t="n">
        <x:v>1</x:v>
      </x:c>
      <x:c r="K494" s="26" t="n">
        <x:v>0.2</x:v>
      </x:c>
      <x:c r="L494" s="22" t="n">
        <x:v>0.5994000000000002</x:v>
      </x:c>
      <x:c r="M494" t="n">
        <x:v>2014</x:v>
      </x:c>
      <x:c r="N494" s="20" t="n">
        <x:v>41791</x:v>
      </x:c>
    </x:row>
    <x:row r="495" ht="18" customHeight="1">
      <x:c r="A495" t="str">
        <x:v>CA-2014-133753</x:v>
      </x:c>
      <x:c r="B495" s="18" t="n">
        <x:v>41799</x:v>
      </x:c>
      <x:c r="C495" t="str">
        <x:v>CW-11905</x:v>
      </x:c>
      <x:c r="D495" t="str">
        <x:v>Carl Weiss</x:v>
      </x:c>
      <x:c r="E495" t="str">
        <x:v>Home Office</x:v>
      </x:c>
      <x:c r="F495" t="str">
        <x:v>Central</x:v>
      </x:c>
      <x:c r="G495" t="str">
        <x:v>Technology</x:v>
      </x:c>
      <x:c r="H495" t="str">
        <x:v>Accessories</x:v>
      </x:c>
      <x:c r="I495" s="22" t="n">
        <x:v>63.98400000000001</x:v>
      </x:c>
      <x:c r="J495" s="24" t="n">
        <x:v>2</x:v>
      </x:c>
      <x:c r="K495" s="26" t="n">
        <x:v>0.2</x:v>
      </x:c>
      <x:c r="L495" s="22" t="n">
        <x:v>10.397399999999998</x:v>
      </x:c>
      <x:c r="M495" t="n">
        <x:v>2014</x:v>
      </x:c>
      <x:c r="N495" s="20" t="n">
        <x:v>41791</x:v>
      </x:c>
    </x:row>
    <x:row r="496" ht="18" customHeight="1">
      <x:c r="A496" t="str">
        <x:v>CA-2014-133753</x:v>
      </x:c>
      <x:c r="B496" s="18" t="n">
        <x:v>41799</x:v>
      </x:c>
      <x:c r="C496" t="str">
        <x:v>CW-11905</x:v>
      </x:c>
      <x:c r="D496" t="str">
        <x:v>Carl Weiss</x:v>
      </x:c>
      <x:c r="E496" t="str">
        <x:v>Home Office</x:v>
      </x:c>
      <x:c r="F496" t="str">
        <x:v>Central</x:v>
      </x:c>
      <x:c r="G496" t="str">
        <x:v>Office Supplies</x:v>
      </x:c>
      <x:c r="H496" t="str">
        <x:v>Art</x:v>
      </x:c>
      <x:c r="I496" s="22" t="n">
        <x:v>70.368</x:v>
      </x:c>
      <x:c r="J496" s="24" t="n">
        <x:v>2</x:v>
      </x:c>
      <x:c r="K496" s="26" t="n">
        <x:v>0.2</x:v>
      </x:c>
      <x:c r="L496" s="22" t="n">
        <x:v>6.157200000000003</x:v>
      </x:c>
      <x:c r="M496" t="n">
        <x:v>2014</x:v>
      </x:c>
      <x:c r="N496" s="20" t="n">
        <x:v>41791</x:v>
      </x:c>
    </x:row>
    <x:row r="497" ht="18" customHeight="1">
      <x:c r="A497" t="str">
        <x:v>CA-2014-113362</x:v>
      </x:c>
      <x:c r="B497" s="18" t="n">
        <x:v>41896</x:v>
      </x:c>
      <x:c r="C497" t="str">
        <x:v>AJ-10960</x:v>
      </x:c>
      <x:c r="D497" t="str">
        <x:v>Astrea Jones</x:v>
      </x:c>
      <x:c r="E497" t="str">
        <x:v>Consumer</x:v>
      </x:c>
      <x:c r="F497" t="str">
        <x:v>East</x:v>
      </x:c>
      <x:c r="G497" t="str">
        <x:v>Office Supplies</x:v>
      </x:c>
      <x:c r="H497" t="str">
        <x:v>Storage</x:v>
      </x:c>
      <x:c r="I497" s="22" t="n">
        <x:v>449.15</x:v>
      </x:c>
      <x:c r="J497" s="24" t="n">
        <x:v>5</x:v>
      </x:c>
      <x:c r="K497" s="26" t="n">
        <x:v>0</x:v>
      </x:c>
      <x:c r="L497" s="22" t="n">
        <x:v>8.98299999999999</x:v>
      </x:c>
      <x:c r="M497" t="n">
        <x:v>2014</x:v>
      </x:c>
      <x:c r="N497" s="20" t="n">
        <x:v>41883</x:v>
      </x:c>
    </x:row>
    <x:row r="498" ht="18" customHeight="1">
      <x:c r="A498" t="str">
        <x:v>CA-2014-113362</x:v>
      </x:c>
      <x:c r="B498" s="18" t="n">
        <x:v>41896</x:v>
      </x:c>
      <x:c r="C498" t="str">
        <x:v>AJ-10960</x:v>
      </x:c>
      <x:c r="D498" t="str">
        <x:v>Astrea Jones</x:v>
      </x:c>
      <x:c r="E498" t="str">
        <x:v>Consumer</x:v>
      </x:c>
      <x:c r="F498" t="str">
        <x:v>East</x:v>
      </x:c>
      <x:c r="G498" t="str">
        <x:v>Office Supplies</x:v>
      </x:c>
      <x:c r="H498" t="str">
        <x:v>Envelopes</x:v>
      </x:c>
      <x:c r="I498" s="22" t="n">
        <x:v>11.07</x:v>
      </x:c>
      <x:c r="J498" s="24" t="n">
        <x:v>3</x:v>
      </x:c>
      <x:c r="K498" s="26" t="n">
        <x:v>0</x:v>
      </x:c>
      <x:c r="L498" s="22" t="n">
        <x:v>5.092199999999999</x:v>
      </x:c>
      <x:c r="M498" t="n">
        <x:v>2014</x:v>
      </x:c>
      <x:c r="N498" s="20" t="n">
        <x:v>41883</x:v>
      </x:c>
    </x:row>
    <x:row r="499" ht="18" customHeight="1">
      <x:c r="A499" t="str">
        <x:v>CA-2016-169166</x:v>
      </x:c>
      <x:c r="B499" s="18" t="n">
        <x:v>42499</x:v>
      </x:c>
      <x:c r="C499" t="str">
        <x:v>SS-20590</x:v>
      </x:c>
      <x:c r="D499" t="str">
        <x:v>Sonia Sunley</x:v>
      </x:c>
      <x:c r="E499" t="str">
        <x:v>Consumer</x:v>
      </x:c>
      <x:c r="F499" t="str">
        <x:v>West</x:v>
      </x:c>
      <x:c r="G499" t="str">
        <x:v>Technology</x:v>
      </x:c>
      <x:c r="H499" t="str">
        <x:v>Accessories</x:v>
      </x:c>
      <x:c r="I499" s="22" t="n">
        <x:v>93.98</x:v>
      </x:c>
      <x:c r="J499" s="24" t="n">
        <x:v>2</x:v>
      </x:c>
      <x:c r="K499" s="26" t="n">
        <x:v>0</x:v>
      </x:c>
      <x:c r="L499" s="22" t="n">
        <x:v>13.157200000000003</x:v>
      </x:c>
      <x:c r="M499" t="n">
        <x:v>2016</x:v>
      </x:c>
      <x:c r="N499" s="20" t="n">
        <x:v>42491</x:v>
      </x:c>
    </x:row>
    <x:row r="500" ht="18" customHeight="1">
      <x:c r="A500" t="str">
        <x:v>US-2016-120929</x:v>
      </x:c>
      <x:c r="B500" s="18" t="n">
        <x:v>42447</x:v>
      </x:c>
      <x:c r="C500" t="str">
        <x:v>RO-19780</x:v>
      </x:c>
      <x:c r="D500" t="str">
        <x:v>Rose O'Brian</x:v>
      </x:c>
      <x:c r="E500" t="str">
        <x:v>Consumer</x:v>
      </x:c>
      <x:c r="F500" t="str">
        <x:v>South</x:v>
      </x:c>
      <x:c r="G500" t="str">
        <x:v>Furniture</x:v>
      </x:c>
      <x:c r="H500" t="str">
        <x:v>Tables</x:v>
      </x:c>
      <x:c r="I500" s="22" t="n">
        <x:v>189.882</x:v>
      </x:c>
      <x:c r="J500" s="24" t="n">
        <x:v>3</x:v>
      </x:c>
      <x:c r="K500" s="26" t="n">
        <x:v>0.4</x:v>
      </x:c>
      <x:c r="L500" s="22" t="n">
        <x:v>-94.94100000000002</x:v>
      </x:c>
      <x:c r="M500" t="n">
        <x:v>2016</x:v>
      </x:c>
      <x:c r="N500" s="20" t="n">
        <x:v>42430</x:v>
      </x:c>
    </x:row>
    <x:row r="501" ht="18" customHeight="1">
      <x:c r="A501" t="str">
        <x:v>CA-2015-134782</x:v>
      </x:c>
      <x:c r="B501" s="18" t="n">
        <x:v>42365</x:v>
      </x:c>
      <x:c r="C501" t="str">
        <x:v>MD-17350</x:v>
      </x:c>
      <x:c r="D501" t="str">
        <x:v>Maribeth Dona</x:v>
      </x:c>
      <x:c r="E501" t="str">
        <x:v>Consumer</x:v>
      </x:c>
      <x:c r="F501" t="str">
        <x:v>South</x:v>
      </x:c>
      <x:c r="G501" t="str">
        <x:v>Office Supplies</x:v>
      </x:c>
      <x:c r="H501" t="str">
        <x:v>Envelopes</x:v>
      </x:c>
      <x:c r="I501" s="22" t="n">
        <x:v>105.42</x:v>
      </x:c>
      <x:c r="J501" s="24" t="n">
        <x:v>2</x:v>
      </x:c>
      <x:c r="K501" s="26" t="n">
        <x:v>0</x:v>
      </x:c>
      <x:c r="L501" s="22" t="n">
        <x:v>51.6558</x:v>
      </x:c>
      <x:c r="M501" t="n">
        <x:v>2015</x:v>
      </x:c>
      <x:c r="N501" s="20" t="n">
        <x:v>42339</x:v>
      </x:c>
    </x:row>
    <x:row r="502" ht="18" customHeight="1">
      <x:c r="A502" t="str">
        <x:v>CA-2016-126158</x:v>
      </x:c>
      <x:c r="B502" s="18" t="n">
        <x:v>42576</x:v>
      </x:c>
      <x:c r="C502" t="str">
        <x:v>SC-20095</x:v>
      </x:c>
      <x:c r="D502" t="str">
        <x:v>Sanjit Chand</x:v>
      </x:c>
      <x:c r="E502" t="str">
        <x:v>Consumer</x:v>
      </x:c>
      <x:c r="F502" t="str">
        <x:v>West</x:v>
      </x:c>
      <x:c r="G502" t="str">
        <x:v>Office Supplies</x:v>
      </x:c>
      <x:c r="H502" t="str">
        <x:v>Binders</x:v>
      </x:c>
      <x:c r="I502" s="22" t="n">
        <x:v>119.61600000000001</x:v>
      </x:c>
      <x:c r="J502" s="24" t="n">
        <x:v>8</x:v>
      </x:c>
      <x:c r="K502" s="26" t="n">
        <x:v>0.2</x:v>
      </x:c>
      <x:c r="L502" s="22" t="n">
        <x:v>40.3704</x:v>
      </x:c>
      <x:c r="M502" t="n">
        <x:v>2016</x:v>
      </x:c>
      <x:c r="N502" s="20" t="n">
        <x:v>42552</x:v>
      </x:c>
    </x:row>
    <x:row r="503" ht="18" customHeight="1">
      <x:c r="A503" t="str">
        <x:v>CA-2016-126158</x:v>
      </x:c>
      <x:c r="B503" s="18" t="n">
        <x:v>42576</x:v>
      </x:c>
      <x:c r="C503" t="str">
        <x:v>SC-20095</x:v>
      </x:c>
      <x:c r="D503" t="str">
        <x:v>Sanjit Chand</x:v>
      </x:c>
      <x:c r="E503" t="str">
        <x:v>Consumer</x:v>
      </x:c>
      <x:c r="F503" t="str">
        <x:v>West</x:v>
      </x:c>
      <x:c r="G503" t="str">
        <x:v>Furniture</x:v>
      </x:c>
      <x:c r="H503" t="str">
        <x:v>Furnishings</x:v>
      </x:c>
      <x:c r="I503" s="22" t="n">
        <x:v>255.76</x:v>
      </x:c>
      <x:c r="J503" s="24" t="n">
        <x:v>4</x:v>
      </x:c>
      <x:c r="K503" s="26" t="n">
        <x:v>0</x:v>
      </x:c>
      <x:c r="L503" s="22" t="n">
        <x:v>81.8432</x:v>
      </x:c>
      <x:c r="M503" t="n">
        <x:v>2016</x:v>
      </x:c>
      <x:c r="N503" s="20" t="n">
        <x:v>42552</x:v>
      </x:c>
    </x:row>
    <x:row r="504" ht="18" customHeight="1">
      <x:c r="A504" t="str">
        <x:v>CA-2016-126158</x:v>
      </x:c>
      <x:c r="B504" s="18" t="n">
        <x:v>42576</x:v>
      </x:c>
      <x:c r="C504" t="str">
        <x:v>SC-20095</x:v>
      </x:c>
      <x:c r="D504" t="str">
        <x:v>Sanjit Chand</x:v>
      </x:c>
      <x:c r="E504" t="str">
        <x:v>Consumer</x:v>
      </x:c>
      <x:c r="F504" t="str">
        <x:v>West</x:v>
      </x:c>
      <x:c r="G504" t="str">
        <x:v>Furniture</x:v>
      </x:c>
      <x:c r="H504" t="str">
        <x:v>Chairs</x:v>
      </x:c>
      <x:c r="I504" s="22" t="n">
        <x:v>241.56799999999998</x:v>
      </x:c>
      <x:c r="J504" s="24" t="n">
        <x:v>2</x:v>
      </x:c>
      <x:c r="K504" s="26" t="n">
        <x:v>0.2</x:v>
      </x:c>
      <x:c r="L504" s="22" t="n">
        <x:v>18.11760000000001</x:v>
      </x:c>
      <x:c r="M504" t="n">
        <x:v>2016</x:v>
      </x:c>
      <x:c r="N504" s="20" t="n">
        <x:v>42552</x:v>
      </x:c>
    </x:row>
    <x:row r="505" ht="18" customHeight="1">
      <x:c r="A505" t="str">
        <x:v>CA-2016-126158</x:v>
      </x:c>
      <x:c r="B505" s="18" t="n">
        <x:v>42576</x:v>
      </x:c>
      <x:c r="C505" t="str">
        <x:v>SC-20095</x:v>
      </x:c>
      <x:c r="D505" t="str">
        <x:v>Sanjit Chand</x:v>
      </x:c>
      <x:c r="E505" t="str">
        <x:v>Consumer</x:v>
      </x:c>
      <x:c r="F505" t="str">
        <x:v>West</x:v>
      </x:c>
      <x:c r="G505" t="str">
        <x:v>Furniture</x:v>
      </x:c>
      <x:c r="H505" t="str">
        <x:v>Furnishings</x:v>
      </x:c>
      <x:c r="I505" s="22" t="n">
        <x:v>69.3</x:v>
      </x:c>
      <x:c r="J505" s="24" t="n">
        <x:v>9</x:v>
      </x:c>
      <x:c r="K505" s="26" t="n">
        <x:v>0</x:v>
      </x:c>
      <x:c r="L505" s="22" t="n">
        <x:v>22.868999999999996</x:v>
      </x:c>
      <x:c r="M505" t="n">
        <x:v>2016</x:v>
      </x:c>
      <x:c r="N505" s="20" t="n">
        <x:v>42552</x:v>
      </x:c>
    </x:row>
    <x:row r="506" ht="18" customHeight="1">
      <x:c r="A506" t="str">
        <x:v>US-2016-105578</x:v>
      </x:c>
      <x:c r="B506" s="18" t="n">
        <x:v>42520</x:v>
      </x:c>
      <x:c r="C506" t="str">
        <x:v>MY-17380</x:v>
      </x:c>
      <x:c r="D506" t="str">
        <x:v>Maribeth Yedwab</x:v>
      </x:c>
      <x:c r="E506" t="str">
        <x:v>Corporate</x:v>
      </x:c>
      <x:c r="F506" t="str">
        <x:v>West</x:v>
      </x:c>
      <x:c r="G506" t="str">
        <x:v>Office Supplies</x:v>
      </x:c>
      <x:c r="H506" t="str">
        <x:v>Binders</x:v>
      </x:c>
      <x:c r="I506" s="22" t="n">
        <x:v>22.620000000000005</x:v>
      </x:c>
      <x:c r="J506" s="24" t="n">
        <x:v>2</x:v>
      </x:c>
      <x:c r="K506" s="26" t="n">
        <x:v>0.7</x:v>
      </x:c>
      <x:c r="L506" s="22" t="n">
        <x:v>-15.079999999999998</x:v>
      </x:c>
      <x:c r="M506" t="n">
        <x:v>2016</x:v>
      </x:c>
      <x:c r="N506" s="20" t="n">
        <x:v>42491</x:v>
      </x:c>
    </x:row>
    <x:row r="507" ht="18" customHeight="1">
      <x:c r="A507" t="str">
        <x:v>US-2016-105578</x:v>
      </x:c>
      <x:c r="B507" s="18" t="n">
        <x:v>42520</x:v>
      </x:c>
      <x:c r="C507" t="str">
        <x:v>MY-17380</x:v>
      </x:c>
      <x:c r="D507" t="str">
        <x:v>Maribeth Yedwab</x:v>
      </x:c>
      <x:c r="E507" t="str">
        <x:v>Corporate</x:v>
      </x:c>
      <x:c r="F507" t="str">
        <x:v>West</x:v>
      </x:c>
      <x:c r="G507" t="str">
        <x:v>Office Supplies</x:v>
      </x:c>
      <x:c r="H507" t="str">
        <x:v>Binders</x:v>
      </x:c>
      <x:c r="I507" s="22" t="n">
        <x:v>14.952000000000004</x:v>
      </x:c>
      <x:c r="J507" s="24" t="n">
        <x:v>2</x:v>
      </x:c>
      <x:c r="K507" s="26" t="n">
        <x:v>0.7</x:v>
      </x:c>
      <x:c r="L507" s="22" t="n">
        <x:v>-11.961599999999997</x:v>
      </x:c>
      <x:c r="M507" t="n">
        <x:v>2016</x:v>
      </x:c>
      <x:c r="N507" s="20" t="n">
        <x:v>42491</x:v>
      </x:c>
    </x:row>
    <x:row r="508" ht="18" customHeight="1">
      <x:c r="A508" t="str">
        <x:v>US-2016-105578</x:v>
      </x:c>
      <x:c r="B508" s="18" t="n">
        <x:v>42520</x:v>
      </x:c>
      <x:c r="C508" t="str">
        <x:v>MY-17380</x:v>
      </x:c>
      <x:c r="D508" t="str">
        <x:v>Maribeth Yedwab</x:v>
      </x:c>
      <x:c r="E508" t="str">
        <x:v>Corporate</x:v>
      </x:c>
      <x:c r="F508" t="str">
        <x:v>West</x:v>
      </x:c>
      <x:c r="G508" t="str">
        <x:v>Furniture</x:v>
      </x:c>
      <x:c r="H508" t="str">
        <x:v>Chairs</x:v>
      </x:c>
      <x:c r="I508" s="22" t="n">
        <x:v>801.5680000000001</x:v>
      </x:c>
      <x:c r="J508" s="24" t="n">
        <x:v>2</x:v>
      </x:c>
      <x:c r="K508" s="26" t="n">
        <x:v>0.2</x:v>
      </x:c>
      <x:c r="L508" s="22" t="n">
        <x:v>50.097999999999985</x:v>
      </x:c>
      <x:c r="M508" t="n">
        <x:v>2016</x:v>
      </x:c>
      <x:c r="N508" s="20" t="n">
        <x:v>42491</x:v>
      </x:c>
    </x:row>
    <x:row r="509" ht="18" customHeight="1">
      <x:c r="A509" t="str">
        <x:v>US-2016-105578</x:v>
      </x:c>
      <x:c r="B509" s="18" t="n">
        <x:v>42520</x:v>
      </x:c>
      <x:c r="C509" t="str">
        <x:v>MY-17380</x:v>
      </x:c>
      <x:c r="D509" t="str">
        <x:v>Maribeth Yedwab</x:v>
      </x:c>
      <x:c r="E509" t="str">
        <x:v>Corporate</x:v>
      </x:c>
      <x:c r="F509" t="str">
        <x:v>West</x:v>
      </x:c>
      <x:c r="G509" t="str">
        <x:v>Office Supplies</x:v>
      </x:c>
      <x:c r="H509" t="str">
        <x:v>Binders</x:v>
      </x:c>
      <x:c r="I509" s="22" t="n">
        <x:v>2.3760000000000003</x:v>
      </x:c>
      <x:c r="J509" s="24" t="n">
        <x:v>3</x:v>
      </x:c>
      <x:c r="K509" s="26" t="n">
        <x:v>0.7</x:v>
      </x:c>
      <x:c r="L509" s="22" t="n">
        <x:v>-1.9007999999999998</x:v>
      </x:c>
      <x:c r="M509" t="n">
        <x:v>2016</x:v>
      </x:c>
      <x:c r="N509" s="20" t="n">
        <x:v>42491</x:v>
      </x:c>
    </x:row>
    <x:row r="510" ht="18" customHeight="1">
      <x:c r="A510" t="str">
        <x:v>US-2016-105578</x:v>
      </x:c>
      <x:c r="B510" s="18" t="n">
        <x:v>42520</x:v>
      </x:c>
      <x:c r="C510" t="str">
        <x:v>MY-17380</x:v>
      </x:c>
      <x:c r="D510" t="str">
        <x:v>Maribeth Yedwab</x:v>
      </x:c>
      <x:c r="E510" t="str">
        <x:v>Corporate</x:v>
      </x:c>
      <x:c r="F510" t="str">
        <x:v>West</x:v>
      </x:c>
      <x:c r="G510" t="str">
        <x:v>Office Supplies</x:v>
      </x:c>
      <x:c r="H510" t="str">
        <x:v>Paper</x:v>
      </x:c>
      <x:c r="I510" s="22" t="n">
        <x:v>32.792</x:v>
      </x:c>
      <x:c r="J510" s="24" t="n">
        <x:v>1</x:v>
      </x:c>
      <x:c r="K510" s="26" t="n">
        <x:v>0.2</x:v>
      </x:c>
      <x:c r="L510" s="22" t="n">
        <x:v>11.8871</x:v>
      </x:c>
      <x:c r="M510" t="n">
        <x:v>2016</x:v>
      </x:c>
      <x:c r="N510" s="20" t="n">
        <x:v>42491</x:v>
      </x:c>
    </x:row>
    <x:row r="511" ht="18" customHeight="1">
      <x:c r="A511" t="str">
        <x:v>CA-2017-134978</x:v>
      </x:c>
      <x:c r="B511" s="18" t="n">
        <x:v>43051</x:v>
      </x:c>
      <x:c r="C511" t="str">
        <x:v>EB-13705</x:v>
      </x:c>
      <x:c r="D511" t="str">
        <x:v>Ed Braxton</x:v>
      </x:c>
      <x:c r="E511" t="str">
        <x:v>Corporate</x:v>
      </x:c>
      <x:c r="F511" t="str">
        <x:v>East</x:v>
      </x:c>
      <x:c r="G511" t="str">
        <x:v>Office Supplies</x:v>
      </x:c>
      <x:c r="H511" t="str">
        <x:v>Binders</x:v>
      </x:c>
      <x:c r="I511" s="22" t="n">
        <x:v>15.920000000000002</x:v>
      </x:c>
      <x:c r="J511" s="24" t="n">
        <x:v>5</x:v>
      </x:c>
      <x:c r="K511" s="26" t="n">
        <x:v>0.2</x:v>
      </x:c>
      <x:c r="L511" s="22" t="n">
        <x:v>5.372999999999999</x:v>
      </x:c>
      <x:c r="M511" t="n">
        <x:v>2017</x:v>
      </x:c>
      <x:c r="N511" s="20" t="n">
        <x:v>43040</x:v>
      </x:c>
    </x:row>
    <x:row r="512" ht="18" customHeight="1">
      <x:c r="A512" t="str">
        <x:v>CA-2015-145352</x:v>
      </x:c>
      <x:c r="B512" s="18" t="n">
        <x:v>42079</x:v>
      </x:c>
      <x:c r="C512" t="str">
        <x:v>CM-12385</x:v>
      </x:c>
      <x:c r="D512" t="str">
        <x:v>Christopher Martinez</x:v>
      </x:c>
      <x:c r="E512" t="str">
        <x:v>Consumer</x:v>
      </x:c>
      <x:c r="F512" t="str">
        <x:v>South</x:v>
      </x:c>
      <x:c r="G512" t="str">
        <x:v>Office Supplies</x:v>
      </x:c>
      <x:c r="H512" t="str">
        <x:v>Art</x:v>
      </x:c>
      <x:c r="I512" s="22" t="n">
        <x:v>2.74</x:v>
      </x:c>
      <x:c r="J512" s="24" t="n">
        <x:v>1</x:v>
      </x:c>
      <x:c r="K512" s="26" t="n">
        <x:v>0</x:v>
      </x:c>
      <x:c r="L512" s="22" t="n">
        <x:v>0.7398000000000002</x:v>
      </x:c>
      <x:c r="M512" t="n">
        <x:v>2015</x:v>
      </x:c>
      <x:c r="N512" s="20" t="n">
        <x:v>42064</x:v>
      </x:c>
    </x:row>
    <x:row r="513" ht="18" customHeight="1">
      <x:c r="A513" t="str">
        <x:v>CA-2015-145352</x:v>
      </x:c>
      <x:c r="B513" s="18" t="n">
        <x:v>42079</x:v>
      </x:c>
      <x:c r="C513" t="str">
        <x:v>CM-12385</x:v>
      </x:c>
      <x:c r="D513" t="str">
        <x:v>Christopher Martinez</x:v>
      </x:c>
      <x:c r="E513" t="str">
        <x:v>Consumer</x:v>
      </x:c>
      <x:c r="F513" t="str">
        <x:v>South</x:v>
      </x:c>
      <x:c r="G513" t="str">
        <x:v>Office Supplies</x:v>
      </x:c>
      <x:c r="H513" t="str">
        <x:v>Art</x:v>
      </x:c>
      <x:c r="I513" s="22" t="n">
        <x:v>8.34</x:v>
      </x:c>
      <x:c r="J513" s="24" t="n">
        <x:v>3</x:v>
      </x:c>
      <x:c r="K513" s="26" t="n">
        <x:v>0</x:v>
      </x:c>
      <x:c r="L513" s="22" t="n">
        <x:v>2.1683999999999997</x:v>
      </x:c>
      <x:c r="M513" t="n">
        <x:v>2015</x:v>
      </x:c>
      <x:c r="N513" s="20" t="n">
        <x:v>42064</x:v>
      </x:c>
    </x:row>
    <x:row r="514" ht="18" customHeight="1">
      <x:c r="A514" t="str">
        <x:v>CA-2015-145352</x:v>
      </x:c>
      <x:c r="B514" s="18" t="n">
        <x:v>42079</x:v>
      </x:c>
      <x:c r="C514" t="str">
        <x:v>CM-12385</x:v>
      </x:c>
      <x:c r="D514" t="str">
        <x:v>Christopher Martinez</x:v>
      </x:c>
      <x:c r="E514" t="str">
        <x:v>Consumer</x:v>
      </x:c>
      <x:c r="F514" t="str">
        <x:v>South</x:v>
      </x:c>
      <x:c r="G514" t="str">
        <x:v>Office Supplies</x:v>
      </x:c>
      <x:c r="H514" t="str">
        <x:v>Storage</x:v>
      </x:c>
      <x:c r="I514" s="22" t="n">
        <x:v>46.74</x:v>
      </x:c>
      <x:c r="J514" s="24" t="n">
        <x:v>3</x:v>
      </x:c>
      <x:c r="K514" s="26" t="n">
        <x:v>0</x:v>
      </x:c>
      <x:c r="L514" s="22" t="n">
        <x:v>11.684999999999999</x:v>
      </x:c>
      <x:c r="M514" t="n">
        <x:v>2015</x:v>
      </x:c>
      <x:c r="N514" s="20" t="n">
        <x:v>42064</x:v>
      </x:c>
    </x:row>
    <x:row r="515" ht="18" customHeight="1">
      <x:c r="A515" t="str">
        <x:v>CA-2015-145352</x:v>
      </x:c>
      <x:c r="B515" s="18" t="n">
        <x:v>42079</x:v>
      </x:c>
      <x:c r="C515" t="str">
        <x:v>CM-12385</x:v>
      </x:c>
      <x:c r="D515" t="str">
        <x:v>Christopher Martinez</x:v>
      </x:c>
      <x:c r="E515" t="str">
        <x:v>Consumer</x:v>
      </x:c>
      <x:c r="F515" t="str">
        <x:v>South</x:v>
      </x:c>
      <x:c r="G515" t="str">
        <x:v>Office Supplies</x:v>
      </x:c>
      <x:c r="H515" t="str">
        <x:v>Binders</x:v>
      </x:c>
      <x:c r="I515" s="22" t="n">
        <x:v>6354.95</x:v>
      </x:c>
      <x:c r="J515" s="24" t="n">
        <x:v>5</x:v>
      </x:c>
      <x:c r="K515" s="26" t="n">
        <x:v>0</x:v>
      </x:c>
      <x:c r="L515" s="22" t="n">
        <x:v>3177.475</x:v>
      </x:c>
      <x:c r="M515" t="n">
        <x:v>2015</x:v>
      </x:c>
      <x:c r="N515" s="20" t="n">
        <x:v>42064</x:v>
      </x:c>
    </x:row>
    <x:row r="516" ht="18" customHeight="1">
      <x:c r="A516" t="str">
        <x:v>CA-2017-135307</x:v>
      </x:c>
      <x:c r="B516" s="18" t="n">
        <x:v>43065</x:v>
      </x:c>
      <x:c r="C516" t="str">
        <x:v>LS-17245</x:v>
      </x:c>
      <x:c r="D516" t="str">
        <x:v>Lynn Smith</x:v>
      </x:c>
      <x:c r="E516" t="str">
        <x:v>Consumer</x:v>
      </x:c>
      <x:c r="F516" t="str">
        <x:v>Central</x:v>
      </x:c>
      <x:c r="G516" t="str">
        <x:v>Furniture</x:v>
      </x:c>
      <x:c r="H516" t="str">
        <x:v>Furnishings</x:v>
      </x:c>
      <x:c r="I516" s="22" t="n">
        <x:v>126.30000000000001</x:v>
      </x:c>
      <x:c r="J516" s="24" t="n">
        <x:v>3</x:v>
      </x:c>
      <x:c r="K516" s="26" t="n">
        <x:v>0</x:v>
      </x:c>
      <x:c r="L516" s="22" t="n">
        <x:v>40.416</x:v>
      </x:c>
      <x:c r="M516" t="n">
        <x:v>2017</x:v>
      </x:c>
      <x:c r="N516" s="20" t="n">
        <x:v>43040</x:v>
      </x:c>
    </x:row>
    <x:row r="517" ht="18" customHeight="1">
      <x:c r="A517" t="str">
        <x:v>CA-2017-135307</x:v>
      </x:c>
      <x:c r="B517" s="18" t="n">
        <x:v>43065</x:v>
      </x:c>
      <x:c r="C517" t="str">
        <x:v>LS-17245</x:v>
      </x:c>
      <x:c r="D517" t="str">
        <x:v>Lynn Smith</x:v>
      </x:c>
      <x:c r="E517" t="str">
        <x:v>Consumer</x:v>
      </x:c>
      <x:c r="F517" t="str">
        <x:v>Central</x:v>
      </x:c>
      <x:c r="G517" t="str">
        <x:v>Technology</x:v>
      </x:c>
      <x:c r="H517" t="str">
        <x:v>Accessories</x:v>
      </x:c>
      <x:c r="I517" s="22" t="n">
        <x:v>38.04</x:v>
      </x:c>
      <x:c r="J517" s="24" t="n">
        <x:v>2</x:v>
      </x:c>
      <x:c r="K517" s="26" t="n">
        <x:v>0</x:v>
      </x:c>
      <x:c r="L517" s="22" t="n">
        <x:v>12.172799999999999</x:v>
      </x:c>
      <x:c r="M517" t="n">
        <x:v>2017</x:v>
      </x:c>
      <x:c r="N517" s="20" t="n">
        <x:v>43040</x:v>
      </x:c>
    </x:row>
    <x:row r="518" ht="18" customHeight="1">
      <x:c r="A518" t="str">
        <x:v>CA-2016-106341</x:v>
      </x:c>
      <x:c r="B518" s="18" t="n">
        <x:v>42663</x:v>
      </x:c>
      <x:c r="C518" t="str">
        <x:v>LF-17185</x:v>
      </x:c>
      <x:c r="D518" t="str">
        <x:v>Luke Foster</x:v>
      </x:c>
      <x:c r="E518" t="str">
        <x:v>Consumer</x:v>
      </x:c>
      <x:c r="F518" t="str">
        <x:v>East</x:v>
      </x:c>
      <x:c r="G518" t="str">
        <x:v>Office Supplies</x:v>
      </x:c>
      <x:c r="H518" t="str">
        <x:v>Art</x:v>
      </x:c>
      <x:c r="I518" s="22" t="n">
        <x:v>7.151999999999999</x:v>
      </x:c>
      <x:c r="J518" s="24" t="n">
        <x:v>3</x:v>
      </x:c>
      <x:c r="K518" s="26" t="n">
        <x:v>0.2</x:v>
      </x:c>
      <x:c r="L518" s="22" t="n">
        <x:v>0.7152000000000003</x:v>
      </x:c>
      <x:c r="M518" t="n">
        <x:v>2016</x:v>
      </x:c>
      <x:c r="N518" s="20" t="n">
        <x:v>42644</x:v>
      </x:c>
    </x:row>
    <x:row r="519" ht="18" customHeight="1">
      <x:c r="A519" t="str">
        <x:v>CA-2017-163405</x:v>
      </x:c>
      <x:c r="B519" s="18" t="n">
        <x:v>43090</x:v>
      </x:c>
      <x:c r="C519" t="str">
        <x:v>BN-11515</x:v>
      </x:c>
      <x:c r="D519" t="str">
        <x:v>Bradley Nguyen</x:v>
      </x:c>
      <x:c r="E519" t="str">
        <x:v>Consumer</x:v>
      </x:c>
      <x:c r="F519" t="str">
        <x:v>West</x:v>
      </x:c>
      <x:c r="G519" t="str">
        <x:v>Office Supplies</x:v>
      </x:c>
      <x:c r="H519" t="str">
        <x:v>Art</x:v>
      </x:c>
      <x:c r="I519" s="22" t="n">
        <x:v>6.63</x:v>
      </x:c>
      <x:c r="J519" s="24" t="n">
        <x:v>3</x:v>
      </x:c>
      <x:c r="K519" s="26" t="n">
        <x:v>0</x:v>
      </x:c>
      <x:c r="L519" s="22" t="n">
        <x:v>1.7901</x:v>
      </x:c>
      <x:c r="M519" t="n">
        <x:v>2017</x:v>
      </x:c>
      <x:c r="N519" s="20" t="n">
        <x:v>43070</x:v>
      </x:c>
    </x:row>
    <x:row r="520" ht="18" customHeight="1">
      <x:c r="A520" t="str">
        <x:v>CA-2017-163405</x:v>
      </x:c>
      <x:c r="B520" s="18" t="n">
        <x:v>43090</x:v>
      </x:c>
      <x:c r="C520" t="str">
        <x:v>BN-11515</x:v>
      </x:c>
      <x:c r="D520" t="str">
        <x:v>Bradley Nguyen</x:v>
      </x:c>
      <x:c r="E520" t="str">
        <x:v>Consumer</x:v>
      </x:c>
      <x:c r="F520" t="str">
        <x:v>West</x:v>
      </x:c>
      <x:c r="G520" t="str">
        <x:v>Office Supplies</x:v>
      </x:c>
      <x:c r="H520" t="str">
        <x:v>Art</x:v>
      </x:c>
      <x:c r="I520" s="22" t="n">
        <x:v>5.88</x:v>
      </x:c>
      <x:c r="J520" s="24" t="n">
        <x:v>2</x:v>
      </x:c>
      <x:c r="K520" s="26" t="n">
        <x:v>0</x:v>
      </x:c>
      <x:c r="L520" s="22" t="n">
        <x:v>1.7051999999999996</x:v>
      </x:c>
      <x:c r="M520" t="n">
        <x:v>2017</x:v>
      </x:c>
      <x:c r="N520" s="20" t="n">
        <x:v>43070</x:v>
      </x:c>
    </x:row>
    <x:row r="521" ht="18" customHeight="1">
      <x:c r="A521" t="str">
        <x:v>CA-2017-127432</x:v>
      </x:c>
      <x:c r="B521" s="18" t="n">
        <x:v>42757</x:v>
      </x:c>
      <x:c r="C521" t="str">
        <x:v>AD-10180</x:v>
      </x:c>
      <x:c r="D521" t="str">
        <x:v>Alan Dominguez</x:v>
      </x:c>
      <x:c r="E521" t="str">
        <x:v>Home Office</x:v>
      </x:c>
      <x:c r="F521" t="str">
        <x:v>West</x:v>
      </x:c>
      <x:c r="G521" t="str">
        <x:v>Technology</x:v>
      </x:c>
      <x:c r="H521" t="str">
        <x:v>Copiers</x:v>
      </x:c>
      <x:c r="I521" s="22" t="n">
        <x:v>2999.95</x:v>
      </x:c>
      <x:c r="J521" s="24" t="n">
        <x:v>5</x:v>
      </x:c>
      <x:c r="K521" s="26" t="n">
        <x:v>0</x:v>
      </x:c>
      <x:c r="L521" s="22" t="n">
        <x:v>1379.9769999999999</x:v>
      </x:c>
      <x:c r="M521" t="n">
        <x:v>2017</x:v>
      </x:c>
      <x:c r="N521" s="20" t="n">
        <x:v>42736</x:v>
      </x:c>
    </x:row>
    <x:row r="522" ht="18" customHeight="1">
      <x:c r="A522" t="str">
        <x:v>CA-2017-127432</x:v>
      </x:c>
      <x:c r="B522" s="18" t="n">
        <x:v>42757</x:v>
      </x:c>
      <x:c r="C522" t="str">
        <x:v>AD-10180</x:v>
      </x:c>
      <x:c r="D522" t="str">
        <x:v>Alan Dominguez</x:v>
      </x:c>
      <x:c r="E522" t="str">
        <x:v>Home Office</x:v>
      </x:c>
      <x:c r="F522" t="str">
        <x:v>West</x:v>
      </x:c>
      <x:c r="G522" t="str">
        <x:v>Office Supplies</x:v>
      </x:c>
      <x:c r="H522" t="str">
        <x:v>Storage</x:v>
      </x:c>
      <x:c r="I522" s="22" t="n">
        <x:v>51.449999999999996</x:v>
      </x:c>
      <x:c r="J522" s="24" t="n">
        <x:v>3</x:v>
      </x:c>
      <x:c r="K522" s="26" t="n">
        <x:v>0</x:v>
      </x:c>
      <x:c r="L522" s="22" t="n">
        <x:v>13.891499999999999</x:v>
      </x:c>
      <x:c r="M522" t="n">
        <x:v>2017</x:v>
      </x:c>
      <x:c r="N522" s="20" t="n">
        <x:v>42736</x:v>
      </x:c>
    </x:row>
    <x:row r="523" ht="18" customHeight="1">
      <x:c r="A523" t="str">
        <x:v>CA-2017-127432</x:v>
      </x:c>
      <x:c r="B523" s="18" t="n">
        <x:v>42757</x:v>
      </x:c>
      <x:c r="C523" t="str">
        <x:v>AD-10180</x:v>
      </x:c>
      <x:c r="D523" t="str">
        <x:v>Alan Dominguez</x:v>
      </x:c>
      <x:c r="E523" t="str">
        <x:v>Home Office</x:v>
      </x:c>
      <x:c r="F523" t="str">
        <x:v>West</x:v>
      </x:c>
      <x:c r="G523" t="str">
        <x:v>Office Supplies</x:v>
      </x:c>
      <x:c r="H523" t="str">
        <x:v>Paper</x:v>
      </x:c>
      <x:c r="I523" s="22" t="n">
        <x:v>11.96</x:v>
      </x:c>
      <x:c r="J523" s="24" t="n">
        <x:v>2</x:v>
      </x:c>
      <x:c r="K523" s="26" t="n">
        <x:v>0</x:v>
      </x:c>
      <x:c r="L523" s="22" t="n">
        <x:v>5.382</x:v>
      </x:c>
      <x:c r="M523" t="n">
        <x:v>2017</x:v>
      </x:c>
      <x:c r="N523" s="20" t="n">
        <x:v>42736</x:v>
      </x:c>
    </x:row>
    <x:row r="524" ht="18" customHeight="1">
      <x:c r="A524" t="str">
        <x:v>CA-2017-127432</x:v>
      </x:c>
      <x:c r="B524" s="18" t="n">
        <x:v>42757</x:v>
      </x:c>
      <x:c r="C524" t="str">
        <x:v>AD-10180</x:v>
      </x:c>
      <x:c r="D524" t="str">
        <x:v>Alan Dominguez</x:v>
      </x:c>
      <x:c r="E524" t="str">
        <x:v>Home Office</x:v>
      </x:c>
      <x:c r="F524" t="str">
        <x:v>West</x:v>
      </x:c>
      <x:c r="G524" t="str">
        <x:v>Office Supplies</x:v>
      </x:c>
      <x:c r="H524" t="str">
        <x:v>Storage</x:v>
      </x:c>
      <x:c r="I524" s="22" t="n">
        <x:v>1126.02</x:v>
      </x:c>
      <x:c r="J524" s="24" t="n">
        <x:v>3</x:v>
      </x:c>
      <x:c r="K524" s="26" t="n">
        <x:v>0</x:v>
      </x:c>
      <x:c r="L524" s="22" t="n">
        <x:v>56.30099999999999</x:v>
      </x:c>
      <x:c r="M524" t="n">
        <x:v>2017</x:v>
      </x:c>
      <x:c r="N524" s="20" t="n">
        <x:v>42736</x:v>
      </x:c>
    </x:row>
    <x:row r="525" ht="18" customHeight="1">
      <x:c r="A525" t="str">
        <x:v>CA-2015-157812</x:v>
      </x:c>
      <x:c r="B525" s="18" t="n">
        <x:v>42085</x:v>
      </x:c>
      <x:c r="C525" t="str">
        <x:v>DB-13210</x:v>
      </x:c>
      <x:c r="D525" t="str">
        <x:v>Dean Braden</x:v>
      </x:c>
      <x:c r="E525" t="str">
        <x:v>Consumer</x:v>
      </x:c>
      <x:c r="F525" t="str">
        <x:v>Central</x:v>
      </x:c>
      <x:c r="G525" t="str">
        <x:v>Technology</x:v>
      </x:c>
      <x:c r="H525" t="str">
        <x:v>Accessories</x:v>
      </x:c>
      <x:c r="I525" s="22" t="n">
        <x:v>18.392</x:v>
      </x:c>
      <x:c r="J525" s="24" t="n">
        <x:v>1</x:v>
      </x:c>
      <x:c r="K525" s="26" t="n">
        <x:v>0.2</x:v>
      </x:c>
      <x:c r="L525" s="22" t="n">
        <x:v>5.2877</x:v>
      </x:c>
      <x:c r="M525" t="n">
        <x:v>2015</x:v>
      </x:c>
      <x:c r="N525" s="20" t="n">
        <x:v>42064</x:v>
      </x:c>
    </x:row>
    <x:row r="526" ht="18" customHeight="1">
      <x:c r="A526" t="str">
        <x:v>CA-2015-157812</x:v>
      </x:c>
      <x:c r="B526" s="18" t="n">
        <x:v>42085</x:v>
      </x:c>
      <x:c r="C526" t="str">
        <x:v>DB-13210</x:v>
      </x:c>
      <x:c r="D526" t="str">
        <x:v>Dean Braden</x:v>
      </x:c>
      <x:c r="E526" t="str">
        <x:v>Consumer</x:v>
      </x:c>
      <x:c r="F526" t="str">
        <x:v>Central</x:v>
      </x:c>
      <x:c r="G526" t="str">
        <x:v>Office Supplies</x:v>
      </x:c>
      <x:c r="H526" t="str">
        <x:v>Storage</x:v>
      </x:c>
      <x:c r="I526" s="22" t="n">
        <x:v>129.568</x:v>
      </x:c>
      <x:c r="J526" s="24" t="n">
        <x:v>2</x:v>
      </x:c>
      <x:c r="K526" s="26" t="n">
        <x:v>0.2</x:v>
      </x:c>
      <x:c r="L526" s="22" t="n">
        <x:v>-25.91360000000001</x:v>
      </x:c>
      <x:c r="M526" t="n">
        <x:v>2015</x:v>
      </x:c>
      <x:c r="N526" s="20" t="n">
        <x:v>42064</x:v>
      </x:c>
    </x:row>
    <x:row r="527" ht="18" customHeight="1">
      <x:c r="A527" t="str">
        <x:v>CA-2015-157812</x:v>
      </x:c>
      <x:c r="B527" s="18" t="n">
        <x:v>42085</x:v>
      </x:c>
      <x:c r="C527" t="str">
        <x:v>DB-13210</x:v>
      </x:c>
      <x:c r="D527" t="str">
        <x:v>Dean Braden</x:v>
      </x:c>
      <x:c r="E527" t="str">
        <x:v>Consumer</x:v>
      </x:c>
      <x:c r="F527" t="str">
        <x:v>Central</x:v>
      </x:c>
      <x:c r="G527" t="str">
        <x:v>Office Supplies</x:v>
      </x:c>
      <x:c r="H527" t="str">
        <x:v>Binders</x:v>
      </x:c>
      <x:c r="I527" s="22" t="n">
        <x:v>14.111999999999997</x:v>
      </x:c>
      <x:c r="J527" s="24" t="n">
        <x:v>9</x:v>
      </x:c>
      <x:c r="K527" s="26" t="n">
        <x:v>0.8</x:v>
      </x:c>
      <x:c r="L527" s="22" t="n">
        <x:v>-21.168</x:v>
      </x:c>
      <x:c r="M527" t="n">
        <x:v>2015</x:v>
      </x:c>
      <x:c r="N527" s="20" t="n">
        <x:v>42064</x:v>
      </x:c>
    </x:row>
    <x:row r="528" ht="18" customHeight="1">
      <x:c r="A528" t="str">
        <x:v>CA-2017-145142</x:v>
      </x:c>
      <x:c r="B528" s="18" t="n">
        <x:v>42758</x:v>
      </x:c>
      <x:c r="C528" t="str">
        <x:v>MC-17605</x:v>
      </x:c>
      <x:c r="D528" t="str">
        <x:v>Matt Connell</x:v>
      </x:c>
      <x:c r="E528" t="str">
        <x:v>Corporate</x:v>
      </x:c>
      <x:c r="F528" t="str">
        <x:v>Central</x:v>
      </x:c>
      <x:c r="G528" t="str">
        <x:v>Furniture</x:v>
      </x:c>
      <x:c r="H528" t="str">
        <x:v>Tables</x:v>
      </x:c>
      <x:c r="I528" s="22" t="n">
        <x:v>210.98</x:v>
      </x:c>
      <x:c r="J528" s="24" t="n">
        <x:v>2</x:v>
      </x:c>
      <x:c r="K528" s="26" t="n">
        <x:v>0</x:v>
      </x:c>
      <x:c r="L528" s="22" t="n">
        <x:v>21.097999999999985</x:v>
      </x:c>
      <x:c r="M528" t="n">
        <x:v>2017</x:v>
      </x:c>
      <x:c r="N528" s="20" t="n">
        <x:v>42736</x:v>
      </x:c>
    </x:row>
    <x:row r="529" ht="18" customHeight="1">
      <x:c r="A529" t="str">
        <x:v>US-2016-139486</x:v>
      </x:c>
      <x:c r="B529" s="18" t="n">
        <x:v>42511</x:v>
      </x:c>
      <x:c r="C529" t="str">
        <x:v>LH-17155</x:v>
      </x:c>
      <x:c r="D529" t="str">
        <x:v>Logan Haushalter</x:v>
      </x:c>
      <x:c r="E529" t="str">
        <x:v>Consumer</x:v>
      </x:c>
      <x:c r="F529" t="str">
        <x:v>West</x:v>
      </x:c>
      <x:c r="G529" t="str">
        <x:v>Technology</x:v>
      </x:c>
      <x:c r="H529" t="str">
        <x:v>Phones</x:v>
      </x:c>
      <x:c r="I529" s="22" t="n">
        <x:v>55.176</x:v>
      </x:c>
      <x:c r="J529" s="24" t="n">
        <x:v>3</x:v>
      </x:c>
      <x:c r="K529" s="26" t="n">
        <x:v>0.2</x:v>
      </x:c>
      <x:c r="L529" s="22" t="n">
        <x:v>-12.414599999999997</x:v>
      </x:c>
      <x:c r="M529" t="n">
        <x:v>2016</x:v>
      </x:c>
      <x:c r="N529" s="20" t="n">
        <x:v>42491</x:v>
      </x:c>
    </x:row>
    <x:row r="530" ht="18" customHeight="1">
      <x:c r="A530" t="str">
        <x:v>US-2016-139486</x:v>
      </x:c>
      <x:c r="B530" s="18" t="n">
        <x:v>42511</x:v>
      </x:c>
      <x:c r="C530" t="str">
        <x:v>LH-17155</x:v>
      </x:c>
      <x:c r="D530" t="str">
        <x:v>Logan Haushalter</x:v>
      </x:c>
      <x:c r="E530" t="str">
        <x:v>Consumer</x:v>
      </x:c>
      <x:c r="F530" t="str">
        <x:v>West</x:v>
      </x:c>
      <x:c r="G530" t="str">
        <x:v>Technology</x:v>
      </x:c>
      <x:c r="H530" t="str">
        <x:v>Accessories</x:v>
      </x:c>
      <x:c r="I530" s="22" t="n">
        <x:v>66.26</x:v>
      </x:c>
      <x:c r="J530" s="24" t="n">
        <x:v>2</x:v>
      </x:c>
      <x:c r="K530" s="26" t="n">
        <x:v>0</x:v>
      </x:c>
      <x:c r="L530" s="22" t="n">
        <x:v>27.166600000000003</x:v>
      </x:c>
      <x:c r="M530" t="n">
        <x:v>2016</x:v>
      </x:c>
      <x:c r="N530" s="20" t="n">
        <x:v>42491</x:v>
      </x:c>
    </x:row>
    <x:row r="531" ht="18" customHeight="1">
      <x:c r="A531" t="str">
        <x:v>CA-2015-158792</x:v>
      </x:c>
      <x:c r="B531" s="18" t="n">
        <x:v>42364</x:v>
      </x:c>
      <x:c r="C531" t="str">
        <x:v>BD-11605</x:v>
      </x:c>
      <x:c r="D531" t="str">
        <x:v>Brian Dahlen</x:v>
      </x:c>
      <x:c r="E531" t="str">
        <x:v>Consumer</x:v>
      </x:c>
      <x:c r="F531" t="str">
        <x:v>East</x:v>
      </x:c>
      <x:c r="G531" t="str">
        <x:v>Office Supplies</x:v>
      </x:c>
      <x:c r="H531" t="str">
        <x:v>Fasteners</x:v>
      </x:c>
      <x:c r="I531" s="22" t="n">
        <x:v>22.200000000000003</x:v>
      </x:c>
      <x:c r="J531" s="24" t="n">
        <x:v>5</x:v>
      </x:c>
      <x:c r="K531" s="26" t="n">
        <x:v>0</x:v>
      </x:c>
      <x:c r="L531" s="22" t="n">
        <x:v>10.434000000000001</x:v>
      </x:c>
      <x:c r="M531" t="n">
        <x:v>2015</x:v>
      </x:c>
      <x:c r="N531" s="20" t="n">
        <x:v>42339</x:v>
      </x:c>
    </x:row>
    <x:row r="532" ht="18" customHeight="1">
      <x:c r="A532" t="str">
        <x:v>CA-2017-113558</x:v>
      </x:c>
      <x:c r="B532" s="18" t="n">
        <x:v>43029</x:v>
      </x:c>
      <x:c r="C532" t="str">
        <x:v>PH-18790</x:v>
      </x:c>
      <x:c r="D532" t="str">
        <x:v>Patricia Hirasaki</x:v>
      </x:c>
      <x:c r="E532" t="str">
        <x:v>Home Office</x:v>
      </x:c>
      <x:c r="F532" t="str">
        <x:v>South</x:v>
      </x:c>
      <x:c r="G532" t="str">
        <x:v>Furniture</x:v>
      </x:c>
      <x:c r="H532" t="str">
        <x:v>Chairs</x:v>
      </x:c>
      <x:c r="I532" s="22" t="n">
        <x:v>683.9520000000001</x:v>
      </x:c>
      <x:c r="J532" s="24" t="n">
        <x:v>3</x:v>
      </x:c>
      <x:c r="K532" s="26" t="n">
        <x:v>0.2</x:v>
      </x:c>
      <x:c r="L532" s="22" t="n">
        <x:v>42.746999999999986</x:v>
      </x:c>
      <x:c r="M532" t="n">
        <x:v>2017</x:v>
      </x:c>
      <x:c r="N532" s="20" t="n">
        <x:v>43009</x:v>
      </x:c>
    </x:row>
    <x:row r="533" ht="18" customHeight="1">
      <x:c r="A533" t="str">
        <x:v>CA-2017-113558</x:v>
      </x:c>
      <x:c r="B533" s="18" t="n">
        <x:v>43029</x:v>
      </x:c>
      <x:c r="C533" t="str">
        <x:v>PH-18790</x:v>
      </x:c>
      <x:c r="D533" t="str">
        <x:v>Patricia Hirasaki</x:v>
      </x:c>
      <x:c r="E533" t="str">
        <x:v>Home Office</x:v>
      </x:c>
      <x:c r="F533" t="str">
        <x:v>South</x:v>
      </x:c>
      <x:c r="G533" t="str">
        <x:v>Furniture</x:v>
      </x:c>
      <x:c r="H533" t="str">
        <x:v>Furnishings</x:v>
      </x:c>
      <x:c r="I533" s="22" t="n">
        <x:v>45.696</x:v>
      </x:c>
      <x:c r="J533" s="24" t="n">
        <x:v>3</x:v>
      </x:c>
      <x:c r="K533" s="26" t="n">
        <x:v>0.2</x:v>
      </x:c>
      <x:c r="L533" s="22" t="n">
        <x:v>5.140799999999992</x:v>
      </x:c>
      <x:c r="M533" t="n">
        <x:v>2017</x:v>
      </x:c>
      <x:c r="N533" s="20" t="n">
        <x:v>43009</x:v>
      </x:c>
    </x:row>
    <x:row r="534" ht="18" customHeight="1">
      <x:c r="A534" t="str">
        <x:v>US-2015-138303</x:v>
      </x:c>
      <x:c r="B534" s="18" t="n">
        <x:v>42250</x:v>
      </x:c>
      <x:c r="C534" t="str">
        <x:v>MG-18145</x:v>
      </x:c>
      <x:c r="D534" t="str">
        <x:v>Mike Gockenbach</x:v>
      </x:c>
      <x:c r="E534" t="str">
        <x:v>Consumer</x:v>
      </x:c>
      <x:c r="F534" t="str">
        <x:v>East</x:v>
      </x:c>
      <x:c r="G534" t="str">
        <x:v>Office Supplies</x:v>
      </x:c>
      <x:c r="H534" t="str">
        <x:v>Storage</x:v>
      </x:c>
      <x:c r="I534" s="22" t="n">
        <x:v>36.336000000000006</x:v>
      </x:c>
      <x:c r="J534" s="24" t="n">
        <x:v>3</x:v>
      </x:c>
      <x:c r="K534" s="26" t="n">
        <x:v>0.2</x:v>
      </x:c>
      <x:c r="L534" s="22" t="n">
        <x:v>-7.267200000000004</x:v>
      </x:c>
      <x:c r="M534" t="n">
        <x:v>2015</x:v>
      </x:c>
      <x:c r="N534" s="20" t="n">
        <x:v>42248</x:v>
      </x:c>
    </x:row>
    <x:row r="535" ht="18" customHeight="1">
      <x:c r="A535" t="str">
        <x:v>US-2015-138303</x:v>
      </x:c>
      <x:c r="B535" s="18" t="n">
        <x:v>42250</x:v>
      </x:c>
      <x:c r="C535" t="str">
        <x:v>MG-18145</x:v>
      </x:c>
      <x:c r="D535" t="str">
        <x:v>Mike Gockenbach</x:v>
      </x:c>
      <x:c r="E535" t="str">
        <x:v>Consumer</x:v>
      </x:c>
      <x:c r="F535" t="str">
        <x:v>East</x:v>
      </x:c>
      <x:c r="G535" t="str">
        <x:v>Office Supplies</x:v>
      </x:c>
      <x:c r="H535" t="str">
        <x:v>Supplies</x:v>
      </x:c>
      <x:c r="I535" s="22" t="n">
        <x:v>666.248</x:v>
      </x:c>
      <x:c r="J535" s="24" t="n">
        <x:v>1</x:v>
      </x:c>
      <x:c r="K535" s="26" t="n">
        <x:v>0.2</x:v>
      </x:c>
      <x:c r="L535" s="22" t="n">
        <x:v>-149.9058</x:v>
      </x:c>
      <x:c r="M535" t="n">
        <x:v>2015</x:v>
      </x:c>
      <x:c r="N535" s="20" t="n">
        <x:v>42248</x:v>
      </x:c>
    </x:row>
    <x:row r="536" ht="18" customHeight="1">
      <x:c r="A536" t="str">
        <x:v>US-2015-138303</x:v>
      </x:c>
      <x:c r="B536" s="18" t="n">
        <x:v>42250</x:v>
      </x:c>
      <x:c r="C536" t="str">
        <x:v>MG-18145</x:v>
      </x:c>
      <x:c r="D536" t="str">
        <x:v>Mike Gockenbach</x:v>
      </x:c>
      <x:c r="E536" t="str">
        <x:v>Consumer</x:v>
      </x:c>
      <x:c r="F536" t="str">
        <x:v>East</x:v>
      </x:c>
      <x:c r="G536" t="str">
        <x:v>Office Supplies</x:v>
      </x:c>
      <x:c r="H536" t="str">
        <x:v>Envelopes</x:v>
      </x:c>
      <x:c r="I536" s="22" t="n">
        <x:v>52.512</x:v>
      </x:c>
      <x:c r="J536" s="24" t="n">
        <x:v>6</x:v>
      </x:c>
      <x:c r="K536" s="26" t="n">
        <x:v>0.2</x:v>
      </x:c>
      <x:c r="L536" s="22" t="n">
        <x:v>19.692</x:v>
      </x:c>
      <x:c r="M536" t="n">
        <x:v>2015</x:v>
      </x:c>
      <x:c r="N536" s="20" t="n">
        <x:v>42248</x:v>
      </x:c>
    </x:row>
    <x:row r="537" ht="18" customHeight="1">
      <x:c r="A537" t="str">
        <x:v>CA-2015-102848</x:v>
      </x:c>
      <x:c r="B537" s="18" t="n">
        <x:v>42315</x:v>
      </x:c>
      <x:c r="C537" t="str">
        <x:v>KB-16240</x:v>
      </x:c>
      <x:c r="D537" t="str">
        <x:v>Karen Bern</x:v>
      </x:c>
      <x:c r="E537" t="str">
        <x:v>Corporate</x:v>
      </x:c>
      <x:c r="F537" t="str">
        <x:v>West</x:v>
      </x:c>
      <x:c r="G537" t="str">
        <x:v>Furniture</x:v>
      </x:c>
      <x:c r="H537" t="str">
        <x:v>Chairs</x:v>
      </x:c>
      <x:c r="I537" s="22" t="n">
        <x:v>190.72000000000003</x:v>
      </x:c>
      <x:c r="J537" s="24" t="n">
        <x:v>1</x:v>
      </x:c>
      <x:c r="K537" s="26" t="n">
        <x:v>0.2</x:v>
      </x:c>
      <x:c r="L537" s="22" t="n">
        <x:v>11.919999999999987</x:v>
      </x:c>
      <x:c r="M537" t="n">
        <x:v>2015</x:v>
      </x:c>
      <x:c r="N537" s="20" t="n">
        <x:v>42309</x:v>
      </x:c>
    </x:row>
    <x:row r="538" ht="18" customHeight="1">
      <x:c r="A538" t="str">
        <x:v>US-2017-129441</x:v>
      </x:c>
      <x:c r="B538" s="18" t="n">
        <x:v>42985</x:v>
      </x:c>
      <x:c r="C538" t="str">
        <x:v>JC-15340</x:v>
      </x:c>
      <x:c r="D538" t="str">
        <x:v>Jasper Cacioppo</x:v>
      </x:c>
      <x:c r="E538" t="str">
        <x:v>Consumer</x:v>
      </x:c>
      <x:c r="F538" t="str">
        <x:v>West</x:v>
      </x:c>
      <x:c r="G538" t="str">
        <x:v>Furniture</x:v>
      </x:c>
      <x:c r="H538" t="str">
        <x:v>Furnishings</x:v>
      </x:c>
      <x:c r="I538" s="22" t="n">
        <x:v>47.94</x:v>
      </x:c>
      <x:c r="J538" s="24" t="n">
        <x:v>3</x:v>
      </x:c>
      <x:c r="K538" s="26" t="n">
        <x:v>0</x:v>
      </x:c>
      <x:c r="L538" s="22" t="n">
        <x:v>2.3969999999999985</x:v>
      </x:c>
      <x:c r="M538" t="n">
        <x:v>2017</x:v>
      </x:c>
      <x:c r="N538" s="20" t="n">
        <x:v>42979</x:v>
      </x:c>
    </x:row>
    <x:row r="539" ht="18" customHeight="1">
      <x:c r="A539" t="str">
        <x:v>CA-2016-168753</x:v>
      </x:c>
      <x:c r="B539" s="18" t="n">
        <x:v>42519</x:v>
      </x:c>
      <x:c r="C539" t="str">
        <x:v>RL-19615</x:v>
      </x:c>
      <x:c r="D539" t="str">
        <x:v>Rob Lucas</x:v>
      </x:c>
      <x:c r="E539" t="str">
        <x:v>Consumer</x:v>
      </x:c>
      <x:c r="F539" t="str">
        <x:v>South</x:v>
      </x:c>
      <x:c r="G539" t="str">
        <x:v>Technology</x:v>
      </x:c>
      <x:c r="H539" t="str">
        <x:v>Phones</x:v>
      </x:c>
      <x:c r="I539" s="22" t="n">
        <x:v>979.95</x:v>
      </x:c>
      <x:c r="J539" s="24" t="n">
        <x:v>5</x:v>
      </x:c>
      <x:c r="K539" s="26" t="n">
        <x:v>0</x:v>
      </x:c>
      <x:c r="L539" s="22" t="n">
        <x:v>274.3860000000001</x:v>
      </x:c>
      <x:c r="M539" t="n">
        <x:v>2016</x:v>
      </x:c>
      <x:c r="N539" s="20" t="n">
        <x:v>42491</x:v>
      </x:c>
    </x:row>
    <x:row r="540" ht="18" customHeight="1">
      <x:c r="A540" t="str">
        <x:v>CA-2016-168753</x:v>
      </x:c>
      <x:c r="B540" s="18" t="n">
        <x:v>42519</x:v>
      </x:c>
      <x:c r="C540" t="str">
        <x:v>RL-19615</x:v>
      </x:c>
      <x:c r="D540" t="str">
        <x:v>Rob Lucas</x:v>
      </x:c>
      <x:c r="E540" t="str">
        <x:v>Consumer</x:v>
      </x:c>
      <x:c r="F540" t="str">
        <x:v>South</x:v>
      </x:c>
      <x:c r="G540" t="str">
        <x:v>Office Supplies</x:v>
      </x:c>
      <x:c r="H540" t="str">
        <x:v>Binders</x:v>
      </x:c>
      <x:c r="I540" s="22" t="n">
        <x:v>22.75</x:v>
      </x:c>
      <x:c r="J540" s="24" t="n">
        <x:v>5</x:v>
      </x:c>
      <x:c r="K540" s="26" t="n">
        <x:v>0</x:v>
      </x:c>
      <x:c r="L540" s="22" t="n">
        <x:v>11.375</x:v>
      </x:c>
      <x:c r="M540" t="n">
        <x:v>2016</x:v>
      </x:c>
      <x:c r="N540" s="20" t="n">
        <x:v>42491</x:v>
      </x:c>
    </x:row>
    <x:row r="541" ht="18" customHeight="1">
      <x:c r="A541" t="str">
        <x:v>CA-2016-126613</x:v>
      </x:c>
      <x:c r="B541" s="18" t="n">
        <x:v>42561</x:v>
      </x:c>
      <x:c r="C541" t="str">
        <x:v>AA-10375</x:v>
      </x:c>
      <x:c r="D541" t="str">
        <x:v>Allen Armold</x:v>
      </x:c>
      <x:c r="E541" t="str">
        <x:v>Consumer</x:v>
      </x:c>
      <x:c r="F541" t="str">
        <x:v>West</x:v>
      </x:c>
      <x:c r="G541" t="str">
        <x:v>Office Supplies</x:v>
      </x:c>
      <x:c r="H541" t="str">
        <x:v>Storage</x:v>
      </x:c>
      <x:c r="I541" s="22" t="n">
        <x:v>16.768</x:v>
      </x:c>
      <x:c r="J541" s="24" t="n">
        <x:v>2</x:v>
      </x:c>
      <x:c r="K541" s="26" t="n">
        <x:v>0.2</x:v>
      </x:c>
      <x:c r="L541" s="22" t="n">
        <x:v>1.4672</x:v>
      </x:c>
      <x:c r="M541" t="n">
        <x:v>2016</x:v>
      </x:c>
      <x:c r="N541" s="20" t="n">
        <x:v>42552</x:v>
      </x:c>
    </x:row>
    <x:row r="542" ht="18" customHeight="1">
      <x:c r="A542" t="str">
        <x:v>US-2017-122637</x:v>
      </x:c>
      <x:c r="B542" s="18" t="n">
        <x:v>42981</x:v>
      </x:c>
      <x:c r="C542" t="str">
        <x:v>EP-13915</x:v>
      </x:c>
      <x:c r="D542" t="str">
        <x:v>Emily Phan</x:v>
      </x:c>
      <x:c r="E542" t="str">
        <x:v>Consumer</x:v>
      </x:c>
      <x:c r="F542" t="str">
        <x:v>Central</x:v>
      </x:c>
      <x:c r="G542" t="str">
        <x:v>Office Supplies</x:v>
      </x:c>
      <x:c r="H542" t="str">
        <x:v>Binders</x:v>
      </x:c>
      <x:c r="I542" s="22" t="n">
        <x:v>42.61599999999999</x:v>
      </x:c>
      <x:c r="J542" s="24" t="n">
        <x:v>7</x:v>
      </x:c>
      <x:c r="K542" s="26" t="n">
        <x:v>0.8</x:v>
      </x:c>
      <x:c r="L542" s="22" t="n">
        <x:v>-68.18560000000002</x:v>
      </x:c>
      <x:c r="M542" t="n">
        <x:v>2017</x:v>
      </x:c>
      <x:c r="N542" s="20" t="n">
        <x:v>42979</x:v>
      </x:c>
    </x:row>
    <x:row r="543" ht="18" customHeight="1">
      <x:c r="A543" t="str">
        <x:v>CA-2015-147851</x:v>
      </x:c>
      <x:c r="B543" s="18" t="n">
        <x:v>42341</x:v>
      </x:c>
      <x:c r="C543" t="str">
        <x:v>MP-17470</x:v>
      </x:c>
      <x:c r="D543" t="str">
        <x:v>Mark Packer</x:v>
      </x:c>
      <x:c r="E543" t="str">
        <x:v>Home Office</x:v>
      </x:c>
      <x:c r="F543" t="str">
        <x:v>East</x:v>
      </x:c>
      <x:c r="G543" t="str">
        <x:v>Office Supplies</x:v>
      </x:c>
      <x:c r="H543" t="str">
        <x:v>Binders</x:v>
      </x:c>
      <x:c r="I543" s="22" t="n">
        <x:v>10.752</x:v>
      </x:c>
      <x:c r="J543" s="24" t="n">
        <x:v>4</x:v>
      </x:c>
      <x:c r="K543" s="26" t="n">
        <x:v>0.2</x:v>
      </x:c>
      <x:c r="L543" s="22" t="n">
        <x:v>3.359999999999999</x:v>
      </x:c>
      <x:c r="M543" t="n">
        <x:v>2015</x:v>
      </x:c>
      <x:c r="N543" s="20" t="n">
        <x:v>42339</x:v>
      </x:c>
    </x:row>
    <x:row r="544" ht="18" customHeight="1">
      <x:c r="A544" t="str">
        <x:v>CA-2015-134894</x:v>
      </x:c>
      <x:c r="B544" s="18" t="n">
        <x:v>42345</x:v>
      </x:c>
      <x:c r="C544" t="str">
        <x:v>DK-12985</x:v>
      </x:c>
      <x:c r="D544" t="str">
        <x:v>Darren Koutras</x:v>
      </x:c>
      <x:c r="E544" t="str">
        <x:v>Consumer</x:v>
      </x:c>
      <x:c r="F544" t="str">
        <x:v>South</x:v>
      </x:c>
      <x:c r="G544" t="str">
        <x:v>Office Supplies</x:v>
      </x:c>
      <x:c r="H544" t="str">
        <x:v>Appliances</x:v>
      </x:c>
      <x:c r="I544" s="22" t="n">
        <x:v>152.94</x:v>
      </x:c>
      <x:c r="J544" s="24" t="n">
        <x:v>3</x:v>
      </x:c>
      <x:c r="K544" s="26" t="n">
        <x:v>0</x:v>
      </x:c>
      <x:c r="L544" s="22" t="n">
        <x:v>41.293800000000005</x:v>
      </x:c>
      <x:c r="M544" t="n">
        <x:v>2015</x:v>
      </x:c>
      <x:c r="N544" s="20" t="n">
        <x:v>42339</x:v>
      </x:c>
    </x:row>
    <x:row r="545" ht="18" customHeight="1">
      <x:c r="A545" t="str">
        <x:v>CA-2015-134894</x:v>
      </x:c>
      <x:c r="B545" s="18" t="n">
        <x:v>42345</x:v>
      </x:c>
      <x:c r="C545" t="str">
        <x:v>DK-12985</x:v>
      </x:c>
      <x:c r="D545" t="str">
        <x:v>Darren Koutras</x:v>
      </x:c>
      <x:c r="E545" t="str">
        <x:v>Consumer</x:v>
      </x:c>
      <x:c r="F545" t="str">
        <x:v>South</x:v>
      </x:c>
      <x:c r="G545" t="str">
        <x:v>Furniture</x:v>
      </x:c>
      <x:c r="H545" t="str">
        <x:v>Chairs</x:v>
      </x:c>
      <x:c r="I545" s="22" t="n">
        <x:v>283.92</x:v>
      </x:c>
      <x:c r="J545" s="24" t="n">
        <x:v>4</x:v>
      </x:c>
      <x:c r="K545" s="26" t="n">
        <x:v>0</x:v>
      </x:c>
      <x:c r="L545" s="22" t="n">
        <x:v>70.98000000000002</x:v>
      </x:c>
      <x:c r="M545" t="n">
        <x:v>2015</x:v>
      </x:c>
      <x:c r="N545" s="20" t="n">
        <x:v>42339</x:v>
      </x:c>
    </x:row>
    <x:row r="546" ht="18" customHeight="1">
      <x:c r="A546" t="str">
        <x:v>CA-2014-140795</x:v>
      </x:c>
      <x:c r="B546" s="18" t="n">
        <x:v>41671</x:v>
      </x:c>
      <x:c r="C546" t="str">
        <x:v>BD-11500</x:v>
      </x:c>
      <x:c r="D546" t="str">
        <x:v>Bradley Drucker</x:v>
      </x:c>
      <x:c r="E546" t="str">
        <x:v>Consumer</x:v>
      </x:c>
      <x:c r="F546" t="str">
        <x:v>Central</x:v>
      </x:c>
      <x:c r="G546" t="str">
        <x:v>Technology</x:v>
      </x:c>
      <x:c r="H546" t="str">
        <x:v>Accessories</x:v>
      </x:c>
      <x:c r="I546" s="22" t="n">
        <x:v>468.90000000000003</x:v>
      </x:c>
      <x:c r="J546" s="24" t="n">
        <x:v>6</x:v>
      </x:c>
      <x:c r="K546" s="26" t="n">
        <x:v>0</x:v>
      </x:c>
      <x:c r="L546" s="22" t="n">
        <x:v>206.31600000000006</x:v>
      </x:c>
      <x:c r="M546" t="n">
        <x:v>2014</x:v>
      </x:c>
      <x:c r="N546" s="20" t="n">
        <x:v>41671</x:v>
      </x:c>
    </x:row>
    <x:row r="547" ht="18" customHeight="1">
      <x:c r="A547" t="str">
        <x:v>CA-2016-136924</x:v>
      </x:c>
      <x:c r="B547" s="18" t="n">
        <x:v>42565</x:v>
      </x:c>
      <x:c r="C547" t="str">
        <x:v>ES-14080</x:v>
      </x:c>
      <x:c r="D547" t="str">
        <x:v>Erin Smith</x:v>
      </x:c>
      <x:c r="E547" t="str">
        <x:v>Corporate</x:v>
      </x:c>
      <x:c r="F547" t="str">
        <x:v>West</x:v>
      </x:c>
      <x:c r="G547" t="str">
        <x:v>Technology</x:v>
      </x:c>
      <x:c r="H547" t="str">
        <x:v>Phones</x:v>
      </x:c>
      <x:c r="I547" s="22" t="n">
        <x:v>380.86400000000003</x:v>
      </x:c>
      <x:c r="J547" s="24" t="n">
        <x:v>8</x:v>
      </x:c>
      <x:c r="K547" s="26" t="n">
        <x:v>0.2</x:v>
      </x:c>
      <x:c r="L547" s="22" t="n">
        <x:v>38.086400000000026</x:v>
      </x:c>
      <x:c r="M547" t="n">
        <x:v>2016</x:v>
      </x:c>
      <x:c r="N547" s="20" t="n">
        <x:v>42552</x:v>
      </x:c>
    </x:row>
    <x:row r="548" ht="18" customHeight="1">
      <x:c r="A548" t="str">
        <x:v>US-2015-120161</x:v>
      </x:c>
      <x:c r="B548" s="18" t="n">
        <x:v>42356</x:v>
      </x:c>
      <x:c r="C548" t="str">
        <x:v>LM-17065</x:v>
      </x:c>
      <x:c r="D548" t="str">
        <x:v>Liz MacKendrick</x:v>
      </x:c>
      <x:c r="E548" t="str">
        <x:v>Consumer</x:v>
      </x:c>
      <x:c r="F548" t="str">
        <x:v>East</x:v>
      </x:c>
      <x:c r="G548" t="str">
        <x:v>Office Supplies</x:v>
      </x:c>
      <x:c r="H548" t="str">
        <x:v>Storage</x:v>
      </x:c>
      <x:c r="I548" s="22" t="n">
        <x:v>646.7760000000001</x:v>
      </x:c>
      <x:c r="J548" s="24" t="n">
        <x:v>9</x:v>
      </x:c>
      <x:c r="K548" s="26" t="n">
        <x:v>0.2</x:v>
      </x:c>
      <x:c r="L548" s="22" t="n">
        <x:v>-145.52460000000002</x:v>
      </x:c>
      <x:c r="M548" t="n">
        <x:v>2015</x:v>
      </x:c>
      <x:c r="N548" s="20" t="n">
        <x:v>42339</x:v>
      </x:c>
    </x:row>
    <x:row r="549" ht="18" customHeight="1">
      <x:c r="A549" t="str">
        <x:v>CA-2014-103849</x:v>
      </x:c>
      <x:c r="B549" s="18" t="n">
        <x:v>41770</x:v>
      </x:c>
      <x:c r="C549" t="str">
        <x:v>PG-18895</x:v>
      </x:c>
      <x:c r="D549" t="str">
        <x:v>Paul Gonzalez</x:v>
      </x:c>
      <x:c r="E549" t="str">
        <x:v>Consumer</x:v>
      </x:c>
      <x:c r="F549" t="str">
        <x:v>Central</x:v>
      </x:c>
      <x:c r="G549" t="str">
        <x:v>Technology</x:v>
      </x:c>
      <x:c r="H549" t="str">
        <x:v>Accessories</x:v>
      </x:c>
      <x:c r="I549" s="22" t="n">
        <x:v>58.112</x:v>
      </x:c>
      <x:c r="J549" s="24" t="n">
        <x:v>2</x:v>
      </x:c>
      <x:c r="K549" s="26" t="n">
        <x:v>0.2</x:v>
      </x:c>
      <x:c r="L549" s="22" t="n">
        <x:v>7.263999999999994</x:v>
      </x:c>
      <x:c r="M549" t="n">
        <x:v>2014</x:v>
      </x:c>
      <x:c r="N549" s="20" t="n">
        <x:v>41760</x:v>
      </x:c>
    </x:row>
    <x:row r="550" ht="18" customHeight="1">
      <x:c r="A550" t="str">
        <x:v>CA-2014-103849</x:v>
      </x:c>
      <x:c r="B550" s="18" t="n">
        <x:v>41770</x:v>
      </x:c>
      <x:c r="C550" t="str">
        <x:v>PG-18895</x:v>
      </x:c>
      <x:c r="D550" t="str">
        <x:v>Paul Gonzalez</x:v>
      </x:c>
      <x:c r="E550" t="str">
        <x:v>Consumer</x:v>
      </x:c>
      <x:c r="F550" t="str">
        <x:v>Central</x:v>
      </x:c>
      <x:c r="G550" t="str">
        <x:v>Technology</x:v>
      </x:c>
      <x:c r="H550" t="str">
        <x:v>Phones</x:v>
      </x:c>
      <x:c r="I550" s="22" t="n">
        <x:v>100.792</x:v>
      </x:c>
      <x:c r="J550" s="24" t="n">
        <x:v>1</x:v>
      </x:c>
      <x:c r="K550" s="26" t="n">
        <x:v>0.2</x:v>
      </x:c>
      <x:c r="L550" s="22" t="n">
        <x:v>6.299500000000002</x:v>
      </x:c>
      <x:c r="M550" t="n">
        <x:v>2014</x:v>
      </x:c>
      <x:c r="N550" s="20" t="n">
        <x:v>41760</x:v>
      </x:c>
    </x:row>
    <x:row r="551" ht="18" customHeight="1">
      <x:c r="A551" t="str">
        <x:v>CA-2014-103849</x:v>
      </x:c>
      <x:c r="B551" s="18" t="n">
        <x:v>41770</x:v>
      </x:c>
      <x:c r="C551" t="str">
        <x:v>PG-18895</x:v>
      </x:c>
      <x:c r="D551" t="str">
        <x:v>Paul Gonzalez</x:v>
      </x:c>
      <x:c r="E551" t="str">
        <x:v>Consumer</x:v>
      </x:c>
      <x:c r="F551" t="str">
        <x:v>Central</x:v>
      </x:c>
      <x:c r="G551" t="str">
        <x:v>Furniture</x:v>
      </x:c>
      <x:c r="H551" t="str">
        <x:v>Furnishings</x:v>
      </x:c>
      <x:c r="I551" s="22" t="n">
        <x:v>66.11200000000001</x:v>
      </x:c>
      <x:c r="J551" s="24" t="n">
        <x:v>4</x:v>
      </x:c>
      <x:c r="K551" s="26" t="n">
        <x:v>0.6</x:v>
      </x:c>
      <x:c r="L551" s="22" t="n">
        <x:v>-84.29279999999999</x:v>
      </x:c>
      <x:c r="M551" t="n">
        <x:v>2014</x:v>
      </x:c>
      <x:c r="N551" s="20" t="n">
        <x:v>41760</x:v>
      </x:c>
    </x:row>
    <x:row r="552" ht="18" customHeight="1">
      <x:c r="A552" t="str">
        <x:v>CA-2017-162929</x:v>
      </x:c>
      <x:c r="B552" s="18" t="n">
        <x:v>43058</x:v>
      </x:c>
      <x:c r="C552" t="str">
        <x:v>AS-10135</x:v>
      </x:c>
      <x:c r="D552" t="str">
        <x:v>Adrian Shami</x:v>
      </x:c>
      <x:c r="E552" t="str">
        <x:v>Home Office</x:v>
      </x:c>
      <x:c r="F552" t="str">
        <x:v>East</x:v>
      </x:c>
      <x:c r="G552" t="str">
        <x:v>Office Supplies</x:v>
      </x:c>
      <x:c r="H552" t="str">
        <x:v>Binders</x:v>
      </x:c>
      <x:c r="I552" s="22" t="n">
        <x:v>41.28</x:v>
      </x:c>
      <x:c r="J552" s="24" t="n">
        <x:v>6</x:v>
      </x:c>
      <x:c r="K552" s="26" t="n">
        <x:v>0.2</x:v>
      </x:c>
      <x:c r="L552" s="22" t="n">
        <x:v>13.931999999999999</x:v>
      </x:c>
      <x:c r="M552" t="n">
        <x:v>2017</x:v>
      </x:c>
      <x:c r="N552" s="20" t="n">
        <x:v>43040</x:v>
      </x:c>
    </x:row>
    <x:row r="553" ht="18" customHeight="1">
      <x:c r="A553" t="str">
        <x:v>CA-2017-162929</x:v>
      </x:c>
      <x:c r="B553" s="18" t="n">
        <x:v>43058</x:v>
      </x:c>
      <x:c r="C553" t="str">
        <x:v>AS-10135</x:v>
      </x:c>
      <x:c r="D553" t="str">
        <x:v>Adrian Shami</x:v>
      </x:c>
      <x:c r="E553" t="str">
        <x:v>Home Office</x:v>
      </x:c>
      <x:c r="F553" t="str">
        <x:v>East</x:v>
      </x:c>
      <x:c r="G553" t="str">
        <x:v>Office Supplies</x:v>
      </x:c>
      <x:c r="H553" t="str">
        <x:v>Paper</x:v>
      </x:c>
      <x:c r="I553" s="22" t="n">
        <x:v>13.36</x:v>
      </x:c>
      <x:c r="J553" s="24" t="n">
        <x:v>2</x:v>
      </x:c>
      <x:c r="K553" s="26" t="n">
        <x:v>0</x:v>
      </x:c>
      <x:c r="L553" s="22" t="n">
        <x:v>6.4128</x:v>
      </x:c>
      <x:c r="M553" t="n">
        <x:v>2017</x:v>
      </x:c>
      <x:c r="N553" s="20" t="n">
        <x:v>43040</x:v>
      </x:c>
    </x:row>
    <x:row r="554" ht="18" customHeight="1">
      <x:c r="A554" t="str">
        <x:v>CA-2015-113173</x:v>
      </x:c>
      <x:c r="B554" s="18" t="n">
        <x:v>42323</x:v>
      </x:c>
      <x:c r="C554" t="str">
        <x:v>DK-13225</x:v>
      </x:c>
      <x:c r="D554" t="str">
        <x:v>Dean Katz</x:v>
      </x:c>
      <x:c r="E554" t="str">
        <x:v>Corporate</x:v>
      </x:c>
      <x:c r="F554" t="str">
        <x:v>Central</x:v>
      </x:c>
      <x:c r="G554" t="str">
        <x:v>Office Supplies</x:v>
      </x:c>
      <x:c r="H554" t="str">
        <x:v>Storage</x:v>
      </x:c>
      <x:c r="I554" s="22" t="n">
        <x:v>250.272</x:v>
      </x:c>
      <x:c r="J554" s="24" t="n">
        <x:v>9</x:v>
      </x:c>
      <x:c r="K554" s="26" t="n">
        <x:v>0.2</x:v>
      </x:c>
      <x:c r="L554" s="22" t="n">
        <x:v>15.641999999999982</x:v>
      </x:c>
      <x:c r="M554" t="n">
        <x:v>2015</x:v>
      </x:c>
      <x:c r="N554" s="20" t="n">
        <x:v>42309</x:v>
      </x:c>
    </x:row>
    <x:row r="555" ht="18" customHeight="1">
      <x:c r="A555" t="str">
        <x:v>CA-2015-113173</x:v>
      </x:c>
      <x:c r="B555" s="18" t="n">
        <x:v>42323</x:v>
      </x:c>
      <x:c r="C555" t="str">
        <x:v>DK-13225</x:v>
      </x:c>
      <x:c r="D555" t="str">
        <x:v>Dean Katz</x:v>
      </x:c>
      <x:c r="E555" t="str">
        <x:v>Corporate</x:v>
      </x:c>
      <x:c r="F555" t="str">
        <x:v>Central</x:v>
      </x:c>
      <x:c r="G555" t="str">
        <x:v>Office Supplies</x:v>
      </x:c>
      <x:c r="H555" t="str">
        <x:v>Binders</x:v>
      </x:c>
      <x:c r="I555" s="22" t="n">
        <x:v>11.363999999999997</x:v>
      </x:c>
      <x:c r="J555" s="24" t="n">
        <x:v>3</x:v>
      </x:c>
      <x:c r="K555" s="26" t="n">
        <x:v>0.8</x:v>
      </x:c>
      <x:c r="L555" s="22" t="n">
        <x:v>-17.046</x:v>
      </x:c>
      <x:c r="M555" t="n">
        <x:v>2015</x:v>
      </x:c>
      <x:c r="N555" s="20" t="n">
        <x:v>42309</x:v>
      </x:c>
    </x:row>
    <x:row r="556" ht="18" customHeight="1">
      <x:c r="A556" t="str">
        <x:v>CA-2015-113173</x:v>
      </x:c>
      <x:c r="B556" s="18" t="n">
        <x:v>42323</x:v>
      </x:c>
      <x:c r="C556" t="str">
        <x:v>DK-13225</x:v>
      </x:c>
      <x:c r="D556" t="str">
        <x:v>Dean Katz</x:v>
      </x:c>
      <x:c r="E556" t="str">
        <x:v>Corporate</x:v>
      </x:c>
      <x:c r="F556" t="str">
        <x:v>Central</x:v>
      </x:c>
      <x:c r="G556" t="str">
        <x:v>Office Supplies</x:v>
      </x:c>
      <x:c r="H556" t="str">
        <x:v>Supplies</x:v>
      </x:c>
      <x:c r="I556" s="22" t="n">
        <x:v>8.72</x:v>
      </x:c>
      <x:c r="J556" s="24" t="n">
        <x:v>5</x:v>
      </x:c>
      <x:c r="K556" s="26" t="n">
        <x:v>0.2</x:v>
      </x:c>
      <x:c r="L556" s="22" t="n">
        <x:v>-1.7440000000000015</x:v>
      </x:c>
      <x:c r="M556" t="n">
        <x:v>2015</x:v>
      </x:c>
      <x:c r="N556" s="20" t="n">
        <x:v>42309</x:v>
      </x:c>
    </x:row>
    <x:row r="557" ht="18" customHeight="1">
      <x:c r="A557" t="str">
        <x:v>CA-2016-136406</x:v>
      </x:c>
      <x:c r="B557" s="18" t="n">
        <x:v>42475</x:v>
      </x:c>
      <x:c r="C557" t="str">
        <x:v>BD-11320</x:v>
      </x:c>
      <x:c r="D557" t="str">
        <x:v>Bill Donatelli</x:v>
      </x:c>
      <x:c r="E557" t="str">
        <x:v>Consumer</x:v>
      </x:c>
      <x:c r="F557" t="str">
        <x:v>West</x:v>
      </x:c>
      <x:c r="G557" t="str">
        <x:v>Furniture</x:v>
      </x:c>
      <x:c r="H557" t="str">
        <x:v>Chairs</x:v>
      </x:c>
      <x:c r="I557" s="22" t="n">
        <x:v>1121.568</x:v>
      </x:c>
      <x:c r="J557" s="24" t="n">
        <x:v>2</x:v>
      </x:c>
      <x:c r="K557" s="26" t="n">
        <x:v>0.2</x:v>
      </x:c>
      <x:c r="L557" s="22" t="n">
        <x:v>0</x:v>
      </x:c>
      <x:c r="M557" t="n">
        <x:v>2016</x:v>
      </x:c>
      <x:c r="N557" s="20" t="n">
        <x:v>42461</x:v>
      </x:c>
    </x:row>
    <x:row r="558" ht="18" customHeight="1">
      <x:c r="A558" t="str">
        <x:v>CA-2017-112774</x:v>
      </x:c>
      <x:c r="B558" s="18" t="n">
        <x:v>42989</x:v>
      </x:c>
      <x:c r="C558" t="str">
        <x:v>RC-19960</x:v>
      </x:c>
      <x:c r="D558" t="str">
        <x:v>Ryan Crowe</x:v>
      </x:c>
      <x:c r="E558" t="str">
        <x:v>Consumer</x:v>
      </x:c>
      <x:c r="F558" t="str">
        <x:v>South</x:v>
      </x:c>
      <x:c r="G558" t="str">
        <x:v>Furniture</x:v>
      </x:c>
      <x:c r="H558" t="str">
        <x:v>Furnishings</x:v>
      </x:c>
      <x:c r="I558" s="22" t="n">
        <x:v>34.504000000000005</x:v>
      </x:c>
      <x:c r="J558" s="24" t="n">
        <x:v>1</x:v>
      </x:c>
      <x:c r="K558" s="26" t="n">
        <x:v>0.2</x:v>
      </x:c>
      <x:c r="L558" s="22" t="n">
        <x:v>6.0382</x:v>
      </x:c>
      <x:c r="M558" t="n">
        <x:v>2017</x:v>
      </x:c>
      <x:c r="N558" s="20" t="n">
        <x:v>42979</x:v>
      </x:c>
    </x:row>
    <x:row r="559" ht="18" customHeight="1">
      <x:c r="A559" t="str">
        <x:v>CA-2017-101945</x:v>
      </x:c>
      <x:c r="B559" s="18" t="n">
        <x:v>43063</x:v>
      </x:c>
      <x:c r="C559" t="str">
        <x:v>GT-14710</x:v>
      </x:c>
      <x:c r="D559" t="str">
        <x:v>Greg Tran</x:v>
      </x:c>
      <x:c r="E559" t="str">
        <x:v>Consumer</x:v>
      </x:c>
      <x:c r="F559" t="str">
        <x:v>Central</x:v>
      </x:c>
      <x:c r="G559" t="str">
        <x:v>Office Supplies</x:v>
      </x:c>
      <x:c r="H559" t="str">
        <x:v>Fasteners</x:v>
      </x:c>
      <x:c r="I559" s="22" t="n">
        <x:v>10.824</x:v>
      </x:c>
      <x:c r="J559" s="24" t="n">
        <x:v>3</x:v>
      </x:c>
      <x:c r="K559" s="26" t="n">
        <x:v>0.2</x:v>
      </x:c>
      <x:c r="L559" s="22" t="n">
        <x:v>2.5707</x:v>
      </x:c>
      <x:c r="M559" t="n">
        <x:v>2017</x:v>
      </x:c>
      <x:c r="N559" s="20" t="n">
        <x:v>43040</x:v>
      </x:c>
    </x:row>
    <x:row r="560" ht="18" customHeight="1">
      <x:c r="A560" t="str">
        <x:v>CA-2017-100650</x:v>
      </x:c>
      <x:c r="B560" s="18" t="n">
        <x:v>42915</x:v>
      </x:c>
      <x:c r="C560" t="str">
        <x:v>DK-13225</x:v>
      </x:c>
      <x:c r="D560" t="str">
        <x:v>Dean Katz</x:v>
      </x:c>
      <x:c r="E560" t="str">
        <x:v>Corporate</x:v>
      </x:c>
      <x:c r="F560" t="str">
        <x:v>West</x:v>
      </x:c>
      <x:c r="G560" t="str">
        <x:v>Office Supplies</x:v>
      </x:c>
      <x:c r="H560" t="str">
        <x:v>Storage</x:v>
      </x:c>
      <x:c r="I560" s="22" t="n">
        <x:v>1295.78</x:v>
      </x:c>
      <x:c r="J560" s="24" t="n">
        <x:v>2</x:v>
      </x:c>
      <x:c r="K560" s="26" t="n">
        <x:v>0</x:v>
      </x:c>
      <x:c r="L560" s="22" t="n">
        <x:v>310.98720000000003</x:v>
      </x:c>
      <x:c r="M560" t="n">
        <x:v>2017</x:v>
      </x:c>
      <x:c r="N560" s="20" t="n">
        <x:v>42887</x:v>
      </x:c>
    </x:row>
    <x:row r="561" ht="18" customHeight="1">
      <x:c r="A561" t="str">
        <x:v>CA-2014-155852</x:v>
      </x:c>
      <x:c r="B561" s="18" t="n">
        <x:v>41701</x:v>
      </x:c>
      <x:c r="C561" t="str">
        <x:v>AJ-10945</x:v>
      </x:c>
      <x:c r="D561" t="str">
        <x:v>Ashley Jarboe</x:v>
      </x:c>
      <x:c r="E561" t="str">
        <x:v>Consumer</x:v>
      </x:c>
      <x:c r="F561" t="str">
        <x:v>South</x:v>
      </x:c>
      <x:c r="G561" t="str">
        <x:v>Office Supplies</x:v>
      </x:c>
      <x:c r="H561" t="str">
        <x:v>Art</x:v>
      </x:c>
      <x:c r="I561" s="22" t="n">
        <x:v>19.456000000000003</x:v>
      </x:c>
      <x:c r="J561" s="24" t="n">
        <x:v>4</x:v>
      </x:c>
      <x:c r="K561" s="26" t="n">
        <x:v>0.2</x:v>
      </x:c>
      <x:c r="L561" s="22" t="n">
        <x:v>3.404799999999998</x:v>
      </x:c>
      <x:c r="M561" t="n">
        <x:v>2014</x:v>
      </x:c>
      <x:c r="N561" s="20" t="n">
        <x:v>41699</x:v>
      </x:c>
    </x:row>
    <x:row r="562" ht="18" customHeight="1">
      <x:c r="A562" t="str">
        <x:v>CA-2016-113243</x:v>
      </x:c>
      <x:c r="B562" s="18" t="n">
        <x:v>42531</x:v>
      </x:c>
      <x:c r="C562" t="str">
        <x:v>OT-18730</x:v>
      </x:c>
      <x:c r="D562" t="str">
        <x:v>Olvera Toch</x:v>
      </x:c>
      <x:c r="E562" t="str">
        <x:v>Consumer</x:v>
      </x:c>
      <x:c r="F562" t="str">
        <x:v>West</x:v>
      </x:c>
      <x:c r="G562" t="str">
        <x:v>Office Supplies</x:v>
      </x:c>
      <x:c r="H562" t="str">
        <x:v>Labels</x:v>
      </x:c>
      <x:c r="I562" s="22" t="n">
        <x:v>20.7</x:v>
      </x:c>
      <x:c r="J562" s="24" t="n">
        <x:v>2</x:v>
      </x:c>
      <x:c r="K562" s="26" t="n">
        <x:v>0</x:v>
      </x:c>
      <x:c r="L562" s="22" t="n">
        <x:v>9.936</x:v>
      </x:c>
      <x:c r="M562" t="n">
        <x:v>2016</x:v>
      </x:c>
      <x:c r="N562" s="20" t="n">
        <x:v>42522</x:v>
      </x:c>
    </x:row>
    <x:row r="563" ht="18" customHeight="1">
      <x:c r="A563" t="str">
        <x:v>CA-2016-113243</x:v>
      </x:c>
      <x:c r="B563" s="18" t="n">
        <x:v>42531</x:v>
      </x:c>
      <x:c r="C563" t="str">
        <x:v>OT-18730</x:v>
      </x:c>
      <x:c r="D563" t="str">
        <x:v>Olvera Toch</x:v>
      </x:c>
      <x:c r="E563" t="str">
        <x:v>Consumer</x:v>
      </x:c>
      <x:c r="F563" t="str">
        <x:v>West</x:v>
      </x:c>
      <x:c r="G563" t="str">
        <x:v>Furniture</x:v>
      </x:c>
      <x:c r="H563" t="str">
        <x:v>Tables</x:v>
      </x:c>
      <x:c r="I563" s="22" t="n">
        <x:v>1335.68</x:v>
      </x:c>
      <x:c r="J563" s="24" t="n">
        <x:v>4</x:v>
      </x:c>
      <x:c r="K563" s="26" t="n">
        <x:v>0.2</x:v>
      </x:c>
      <x:c r="L563" s="22" t="n">
        <x:v>-217.04800000000017</x:v>
      </x:c>
      <x:c r="M563" t="n">
        <x:v>2016</x:v>
      </x:c>
      <x:c r="N563" s="20" t="n">
        <x:v>42522</x:v>
      </x:c>
    </x:row>
    <x:row r="564" ht="18" customHeight="1">
      <x:c r="A564" t="str">
        <x:v>CA-2016-113243</x:v>
      </x:c>
      <x:c r="B564" s="18" t="n">
        <x:v>42531</x:v>
      </x:c>
      <x:c r="C564" t="str">
        <x:v>OT-18730</x:v>
      </x:c>
      <x:c r="D564" t="str">
        <x:v>Olvera Toch</x:v>
      </x:c>
      <x:c r="E564" t="str">
        <x:v>Consumer</x:v>
      </x:c>
      <x:c r="F564" t="str">
        <x:v>West</x:v>
      </x:c>
      <x:c r="G564" t="str">
        <x:v>Office Supplies</x:v>
      </x:c>
      <x:c r="H564" t="str">
        <x:v>Paper</x:v>
      </x:c>
      <x:c r="I564" s="22" t="n">
        <x:v>32.400000000000006</x:v>
      </x:c>
      <x:c r="J564" s="24" t="n">
        <x:v>5</x:v>
      </x:c>
      <x:c r="K564" s="26" t="n">
        <x:v>0</x:v>
      </x:c>
      <x:c r="L564" s="22" t="n">
        <x:v>15.552000000000001</x:v>
      </x:c>
      <x:c r="M564" t="n">
        <x:v>2016</x:v>
      </x:c>
      <x:c r="N564" s="20" t="n">
        <x:v>42522</x:v>
      </x:c>
    </x:row>
    <x:row r="565" ht="18" customHeight="1">
      <x:c r="A565" t="str">
        <x:v>CA-2017-118731</x:v>
      </x:c>
      <x:c r="B565" s="18" t="n">
        <x:v>43059</x:v>
      </x:c>
      <x:c r="C565" t="str">
        <x:v>LP-17080</x:v>
      </x:c>
      <x:c r="D565" t="str">
        <x:v>Liz Pelletier</x:v>
      </x:c>
      <x:c r="E565" t="str">
        <x:v>Consumer</x:v>
      </x:c>
      <x:c r="F565" t="str">
        <x:v>West</x:v>
      </x:c>
      <x:c r="G565" t="str">
        <x:v>Furniture</x:v>
      </x:c>
      <x:c r="H565" t="str">
        <x:v>Furnishings</x:v>
      </x:c>
      <x:c r="I565" s="22" t="n">
        <x:v>42.599999999999994</x:v>
      </x:c>
      <x:c r="J565" s="24" t="n">
        <x:v>3</x:v>
      </x:c>
      <x:c r="K565" s="26" t="n">
        <x:v>0</x:v>
      </x:c>
      <x:c r="L565" s="22" t="n">
        <x:v>16.614</x:v>
      </x:c>
      <x:c r="M565" t="n">
        <x:v>2017</x:v>
      </x:c>
      <x:c r="N565" s="20" t="n">
        <x:v>43040</x:v>
      </x:c>
    </x:row>
    <x:row r="566" ht="18" customHeight="1">
      <x:c r="A566" t="str">
        <x:v>CA-2017-118731</x:v>
      </x:c>
      <x:c r="B566" s="18" t="n">
        <x:v>43059</x:v>
      </x:c>
      <x:c r="C566" t="str">
        <x:v>LP-17080</x:v>
      </x:c>
      <x:c r="D566" t="str">
        <x:v>Liz Pelletier</x:v>
      </x:c>
      <x:c r="E566" t="str">
        <x:v>Consumer</x:v>
      </x:c>
      <x:c r="F566" t="str">
        <x:v>West</x:v>
      </x:c>
      <x:c r="G566" t="str">
        <x:v>Office Supplies</x:v>
      </x:c>
      <x:c r="H566" t="str">
        <x:v>Binders</x:v>
      </x:c>
      <x:c r="I566" s="22" t="n">
        <x:v>84.05600000000001</x:v>
      </x:c>
      <x:c r="J566" s="24" t="n">
        <x:v>7</x:v>
      </x:c>
      <x:c r="K566" s="26" t="n">
        <x:v>0.2</x:v>
      </x:c>
      <x:c r="L566" s="22" t="n">
        <x:v>27.318199999999983</x:v>
      </x:c>
      <x:c r="M566" t="n">
        <x:v>2017</x:v>
      </x:c>
      <x:c r="N566" s="20" t="n">
        <x:v>43040</x:v>
      </x:c>
    </x:row>
    <x:row r="567" ht="18" customHeight="1">
      <x:c r="A567" t="str">
        <x:v>CA-2014-145576</x:v>
      </x:c>
      <x:c r="B567" s="18" t="n">
        <x:v>41896</x:v>
      </x:c>
      <x:c r="C567" t="str">
        <x:v>CA-12775</x:v>
      </x:c>
      <x:c r="D567" t="str">
        <x:v>Cynthia Arntzen</x:v>
      </x:c>
      <x:c r="E567" t="str">
        <x:v>Consumer</x:v>
      </x:c>
      <x:c r="F567" t="str">
        <x:v>South</x:v>
      </x:c>
      <x:c r="G567" t="str">
        <x:v>Office Supplies</x:v>
      </x:c>
      <x:c r="H567" t="str">
        <x:v>Appliances</x:v>
      </x:c>
      <x:c r="I567" s="22" t="n">
        <x:v>13</x:v>
      </x:c>
      <x:c r="J567" s="24" t="n">
        <x:v>5</x:v>
      </x:c>
      <x:c r="K567" s="26" t="n">
        <x:v>0.2</x:v>
      </x:c>
      <x:c r="L567" s="22" t="n">
        <x:v>1.3000000000000007</x:v>
      </x:c>
      <x:c r="M567" t="n">
        <x:v>2014</x:v>
      </x:c>
      <x:c r="N567" s="20" t="n">
        <x:v>41883</x:v>
      </x:c>
    </x:row>
    <x:row r="568" ht="18" customHeight="1">
      <x:c r="A568" t="str">
        <x:v>CA-2014-145576</x:v>
      </x:c>
      <x:c r="B568" s="18" t="n">
        <x:v>41896</x:v>
      </x:c>
      <x:c r="C568" t="str">
        <x:v>CA-12775</x:v>
      </x:c>
      <x:c r="D568" t="str">
        <x:v>Cynthia Arntzen</x:v>
      </x:c>
      <x:c r="E568" t="str">
        <x:v>Consumer</x:v>
      </x:c>
      <x:c r="F568" t="str">
        <x:v>South</x:v>
      </x:c>
      <x:c r="G568" t="str">
        <x:v>Furniture</x:v>
      </x:c>
      <x:c r="H568" t="str">
        <x:v>Furnishings</x:v>
      </x:c>
      <x:c r="I568" s="22" t="n">
        <x:v>13.128</x:v>
      </x:c>
      <x:c r="J568" s="24" t="n">
        <x:v>3</x:v>
      </x:c>
      <x:c r="K568" s="26" t="n">
        <x:v>0.2</x:v>
      </x:c>
      <x:c r="L568" s="22" t="n">
        <x:v>3.7743</x:v>
      </x:c>
      <x:c r="M568" t="n">
        <x:v>2014</x:v>
      </x:c>
      <x:c r="N568" s="20" t="n">
        <x:v>41883</x:v>
      </x:c>
    </x:row>
    <x:row r="569" ht="18" customHeight="1">
      <x:c r="A569" t="str">
        <x:v>CA-2015-130736</x:v>
      </x:c>
      <x:c r="B569" s="18" t="n">
        <x:v>42345</x:v>
      </x:c>
      <x:c r="C569" t="str">
        <x:v>JF-15490</x:v>
      </x:c>
      <x:c r="D569" t="str">
        <x:v>Jeremy Farry</x:v>
      </x:c>
      <x:c r="E569" t="str">
        <x:v>Consumer</x:v>
      </x:c>
      <x:c r="F569" t="str">
        <x:v>West</x:v>
      </x:c>
      <x:c r="G569" t="str">
        <x:v>Office Supplies</x:v>
      </x:c>
      <x:c r="H569" t="str">
        <x:v>Fasteners</x:v>
      </x:c>
      <x:c r="I569" s="22" t="n">
        <x:v>3.96</x:v>
      </x:c>
      <x:c r="J569" s="24" t="n">
        <x:v>2</x:v>
      </x:c>
      <x:c r="K569" s="26" t="n">
        <x:v>0</x:v>
      </x:c>
      <x:c r="L569" s="22" t="n">
        <x:v>0</x:v>
      </x:c>
      <x:c r="M569" t="n">
        <x:v>2015</x:v>
      </x:c>
      <x:c r="N569" s="20" t="n">
        <x:v>42339</x:v>
      </x:c>
    </x:row>
    <x:row r="570" ht="18" customHeight="1">
      <x:c r="A570" t="str">
        <x:v>CA-2015-130736</x:v>
      </x:c>
      <x:c r="B570" s="18" t="n">
        <x:v>42345</x:v>
      </x:c>
      <x:c r="C570" t="str">
        <x:v>JF-15490</x:v>
      </x:c>
      <x:c r="D570" t="str">
        <x:v>Jeremy Farry</x:v>
      </x:c>
      <x:c r="E570" t="str">
        <x:v>Consumer</x:v>
      </x:c>
      <x:c r="F570" t="str">
        <x:v>West</x:v>
      </x:c>
      <x:c r="G570" t="str">
        <x:v>Office Supplies</x:v>
      </x:c>
      <x:c r="H570" t="str">
        <x:v>Labels</x:v>
      </x:c>
      <x:c r="I570" s="22" t="n">
        <x:v>2.61</x:v>
      </x:c>
      <x:c r="J570" s="24" t="n">
        <x:v>1</x:v>
      </x:c>
      <x:c r="K570" s="26" t="n">
        <x:v>0</x:v>
      </x:c>
      <x:c r="L570" s="22" t="n">
        <x:v>1.2006</x:v>
      </x:c>
      <x:c r="M570" t="n">
        <x:v>2015</x:v>
      </x:c>
      <x:c r="N570" s="20" t="n">
        <x:v>42339</x:v>
      </x:c>
    </x:row>
    <x:row r="571" ht="18" customHeight="1">
      <x:c r="A571" t="str">
        <x:v>CA-2017-137099</x:v>
      </x:c>
      <x:c r="B571" s="18" t="n">
        <x:v>43076</x:v>
      </x:c>
      <x:c r="C571" t="str">
        <x:v>FP-14320</x:v>
      </x:c>
      <x:c r="D571" t="str">
        <x:v>Frank Preis</x:v>
      </x:c>
      <x:c r="E571" t="str">
        <x:v>Consumer</x:v>
      </x:c>
      <x:c r="F571" t="str">
        <x:v>West</x:v>
      </x:c>
      <x:c r="G571" t="str">
        <x:v>Technology</x:v>
      </x:c>
      <x:c r="H571" t="str">
        <x:v>Phones</x:v>
      </x:c>
      <x:c r="I571" s="22" t="n">
        <x:v>374.37600000000003</x:v>
      </x:c>
      <x:c r="J571" s="24" t="n">
        <x:v>3</x:v>
      </x:c>
      <x:c r="K571" s="26" t="n">
        <x:v>0.2</x:v>
      </x:c>
      <x:c r="L571" s="22" t="n">
        <x:v>46.79699999999998</x:v>
      </x:c>
      <x:c r="M571" t="n">
        <x:v>2017</x:v>
      </x:c>
      <x:c r="N571" s="20" t="n">
        <x:v>43070</x:v>
      </x:c>
    </x:row>
    <x:row r="572" ht="18" customHeight="1">
      <x:c r="A572" t="str">
        <x:v>CA-2017-156951</x:v>
      </x:c>
      <x:c r="B572" s="18" t="n">
        <x:v>43009</x:v>
      </x:c>
      <x:c r="C572" t="str">
        <x:v>EB-13840</x:v>
      </x:c>
      <x:c r="D572" t="str">
        <x:v>Ellis Ballard</x:v>
      </x:c>
      <x:c r="E572" t="str">
        <x:v>Corporate</x:v>
      </x:c>
      <x:c r="F572" t="str">
        <x:v>West</x:v>
      </x:c>
      <x:c r="G572" t="str">
        <x:v>Office Supplies</x:v>
      </x:c>
      <x:c r="H572" t="str">
        <x:v>Paper</x:v>
      </x:c>
      <x:c r="I572" s="22" t="n">
        <x:v>91.84</x:v>
      </x:c>
      <x:c r="J572" s="24" t="n">
        <x:v>8</x:v>
      </x:c>
      <x:c r="K572" s="26" t="n">
        <x:v>0</x:v>
      </x:c>
      <x:c r="L572" s="22" t="n">
        <x:v>45.0016</x:v>
      </x:c>
      <x:c r="M572" t="n">
        <x:v>2017</x:v>
      </x:c>
      <x:c r="N572" s="20" t="n">
        <x:v>43009</x:v>
      </x:c>
    </x:row>
    <x:row r="573" ht="18" customHeight="1">
      <x:c r="A573" t="str">
        <x:v>CA-2017-156951</x:v>
      </x:c>
      <x:c r="B573" s="18" t="n">
        <x:v>43009</x:v>
      </x:c>
      <x:c r="C573" t="str">
        <x:v>EB-13840</x:v>
      </x:c>
      <x:c r="D573" t="str">
        <x:v>Ellis Ballard</x:v>
      </x:c>
      <x:c r="E573" t="str">
        <x:v>Corporate</x:v>
      </x:c>
      <x:c r="F573" t="str">
        <x:v>West</x:v>
      </x:c>
      <x:c r="G573" t="str">
        <x:v>Office Supplies</x:v>
      </x:c>
      <x:c r="H573" t="str">
        <x:v>Binders</x:v>
      </x:c>
      <x:c r="I573" s="22" t="n">
        <x:v>81.08800000000001</x:v>
      </x:c>
      <x:c r="J573" s="24" t="n">
        <x:v>7</x:v>
      </x:c>
      <x:c r="K573" s="26" t="n">
        <x:v>0.2</x:v>
      </x:c>
      <x:c r="L573" s="22" t="n">
        <x:v>27.3672</x:v>
      </x:c>
      <x:c r="M573" t="n">
        <x:v>2017</x:v>
      </x:c>
      <x:c r="N573" s="20" t="n">
        <x:v>43009</x:v>
      </x:c>
    </x:row>
    <x:row r="574" ht="18" customHeight="1">
      <x:c r="A574" t="str">
        <x:v>CA-2017-156951</x:v>
      </x:c>
      <x:c r="B574" s="18" t="n">
        <x:v>43009</x:v>
      </x:c>
      <x:c r="C574" t="str">
        <x:v>EB-13840</x:v>
      </x:c>
      <x:c r="D574" t="str">
        <x:v>Ellis Ballard</x:v>
      </x:c>
      <x:c r="E574" t="str">
        <x:v>Corporate</x:v>
      </x:c>
      <x:c r="F574" t="str">
        <x:v>West</x:v>
      </x:c>
      <x:c r="G574" t="str">
        <x:v>Office Supplies</x:v>
      </x:c>
      <x:c r="H574" t="str">
        <x:v>Paper</x:v>
      </x:c>
      <x:c r="I574" s="22" t="n">
        <x:v>19.44</x:v>
      </x:c>
      <x:c r="J574" s="24" t="n">
        <x:v>3</x:v>
      </x:c>
      <x:c r="K574" s="26" t="n">
        <x:v>0</x:v>
      </x:c>
      <x:c r="L574" s="22" t="n">
        <x:v>9.3312</x:v>
      </x:c>
      <x:c r="M574" t="n">
        <x:v>2017</x:v>
      </x:c>
      <x:c r="N574" s="20" t="n">
        <x:v>43009</x:v>
      </x:c>
    </x:row>
    <x:row r="575" ht="18" customHeight="1">
      <x:c r="A575" t="str">
        <x:v>CA-2017-156951</x:v>
      </x:c>
      <x:c r="B575" s="18" t="n">
        <x:v>43009</x:v>
      </x:c>
      <x:c r="C575" t="str">
        <x:v>EB-13840</x:v>
      </x:c>
      <x:c r="D575" t="str">
        <x:v>Ellis Ballard</x:v>
      </x:c>
      <x:c r="E575" t="str">
        <x:v>Corporate</x:v>
      </x:c>
      <x:c r="F575" t="str">
        <x:v>West</x:v>
      </x:c>
      <x:c r="G575" t="str">
        <x:v>Furniture</x:v>
      </x:c>
      <x:c r="H575" t="str">
        <x:v>Chairs</x:v>
      </x:c>
      <x:c r="I575" s="22" t="n">
        <x:v>451.15199999999993</x:v>
      </x:c>
      <x:c r="J575" s="24" t="n">
        <x:v>3</x:v>
      </x:c>
      <x:c r="K575" s="26" t="n">
        <x:v>0.2</x:v>
      </x:c>
      <x:c r="L575" s="22" t="n">
        <x:v>0</x:v>
      </x:c>
      <x:c r="M575" t="n">
        <x:v>2017</x:v>
      </x:c>
      <x:c r="N575" s="20" t="n">
        <x:v>43009</x:v>
      </x:c>
    </x:row>
    <x:row r="576" ht="18" customHeight="1">
      <x:c r="A576" t="str">
        <x:v>CA-2017-164826</x:v>
      </x:c>
      <x:c r="B576" s="18" t="n">
        <x:v>43097</x:v>
      </x:c>
      <x:c r="C576" t="str">
        <x:v>JF-15415</x:v>
      </x:c>
      <x:c r="D576" t="str">
        <x:v>Jennifer Ferguson</x:v>
      </x:c>
      <x:c r="E576" t="str">
        <x:v>Consumer</x:v>
      </x:c>
      <x:c r="F576" t="str">
        <x:v>East</x:v>
      </x:c>
      <x:c r="G576" t="str">
        <x:v>Office Supplies</x:v>
      </x:c>
      <x:c r="H576" t="str">
        <x:v>Labels</x:v>
      </x:c>
      <x:c r="I576" s="22" t="n">
        <x:v>72.45</x:v>
      </x:c>
      <x:c r="J576" s="24" t="n">
        <x:v>7</x:v>
      </x:c>
      <x:c r="K576" s="26" t="n">
        <x:v>0</x:v>
      </x:c>
      <x:c r="L576" s="22" t="n">
        <x:v>34.775999999999996</x:v>
      </x:c>
      <x:c r="M576" t="n">
        <x:v>2017</x:v>
      </x:c>
      <x:c r="N576" s="20" t="n">
        <x:v>43070</x:v>
      </x:c>
    </x:row>
    <x:row r="577" ht="18" customHeight="1">
      <x:c r="A577" t="str">
        <x:v>CA-2017-164826</x:v>
      </x:c>
      <x:c r="B577" s="18" t="n">
        <x:v>43097</x:v>
      </x:c>
      <x:c r="C577" t="str">
        <x:v>JF-15415</x:v>
      </x:c>
      <x:c r="D577" t="str">
        <x:v>Jennifer Ferguson</x:v>
      </x:c>
      <x:c r="E577" t="str">
        <x:v>Consumer</x:v>
      </x:c>
      <x:c r="F577" t="str">
        <x:v>East</x:v>
      </x:c>
      <x:c r="G577" t="str">
        <x:v>Office Supplies</x:v>
      </x:c>
      <x:c r="H577" t="str">
        <x:v>Fasteners</x:v>
      </x:c>
      <x:c r="I577" s="22" t="n">
        <x:v>13.96</x:v>
      </x:c>
      <x:c r="J577" s="24" t="n">
        <x:v>4</x:v>
      </x:c>
      <x:c r="K577" s="26" t="n">
        <x:v>0</x:v>
      </x:c>
      <x:c r="L577" s="22" t="n">
        <x:v>6.4216</x:v>
      </x:c>
      <x:c r="M577" t="n">
        <x:v>2017</x:v>
      </x:c>
      <x:c r="N577" s="20" t="n">
        <x:v>43070</x:v>
      </x:c>
    </x:row>
    <x:row r="578" ht="18" customHeight="1">
      <x:c r="A578" t="str">
        <x:v>CA-2017-164826</x:v>
      </x:c>
      <x:c r="B578" s="18" t="n">
        <x:v>43097</x:v>
      </x:c>
      <x:c r="C578" t="str">
        <x:v>JF-15415</x:v>
      </x:c>
      <x:c r="D578" t="str">
        <x:v>Jennifer Ferguson</x:v>
      </x:c>
      <x:c r="E578" t="str">
        <x:v>Consumer</x:v>
      </x:c>
      <x:c r="F578" t="str">
        <x:v>East</x:v>
      </x:c>
      <x:c r="G578" t="str">
        <x:v>Office Supplies</x:v>
      </x:c>
      <x:c r="H578" t="str">
        <x:v>Binders</x:v>
      </x:c>
      <x:c r="I578" s="22" t="n">
        <x:v>33.264</x:v>
      </x:c>
      <x:c r="J578" s="24" t="n">
        <x:v>7</x:v>
      </x:c>
      <x:c r="K578" s="26" t="n">
        <x:v>0.2</x:v>
      </x:c>
      <x:c r="L578" s="22" t="n">
        <x:v>11.2266</x:v>
      </x:c>
      <x:c r="M578" t="n">
        <x:v>2017</x:v>
      </x:c>
      <x:c r="N578" s="20" t="n">
        <x:v>43070</x:v>
      </x:c>
    </x:row>
    <x:row r="579" ht="18" customHeight="1">
      <x:c r="A579" t="str">
        <x:v>CA-2017-164826</x:v>
      </x:c>
      <x:c r="B579" s="18" t="n">
        <x:v>43097</x:v>
      </x:c>
      <x:c r="C579" t="str">
        <x:v>JF-15415</x:v>
      </x:c>
      <x:c r="D579" t="str">
        <x:v>Jennifer Ferguson</x:v>
      </x:c>
      <x:c r="E579" t="str">
        <x:v>Consumer</x:v>
      </x:c>
      <x:c r="F579" t="str">
        <x:v>East</x:v>
      </x:c>
      <x:c r="G579" t="str">
        <x:v>Technology</x:v>
      </x:c>
      <x:c r="H579" t="str">
        <x:v>Phones</x:v>
      </x:c>
      <x:c r="I579" s="22" t="n">
        <x:v>14.850000000000001</x:v>
      </x:c>
      <x:c r="J579" s="24" t="n">
        <x:v>3</x:v>
      </x:c>
      <x:c r="K579" s="26" t="n">
        <x:v>0</x:v>
      </x:c>
      <x:c r="L579" s="22" t="n">
        <x:v>4.0095</x:v>
      </x:c>
      <x:c r="M579" t="n">
        <x:v>2017</x:v>
      </x:c>
      <x:c r="N579" s="20" t="n">
        <x:v>43070</x:v>
      </x:c>
    </x:row>
    <x:row r="580" ht="18" customHeight="1">
      <x:c r="A580" t="str">
        <x:v>CA-2016-127250</x:v>
      </x:c>
      <x:c r="B580" s="18" t="n">
        <x:v>42677</x:v>
      </x:c>
      <x:c r="C580" t="str">
        <x:v>SF-20200</x:v>
      </x:c>
      <x:c r="D580" t="str">
        <x:v>Sarah Foster</x:v>
      </x:c>
      <x:c r="E580" t="str">
        <x:v>Consumer</x:v>
      </x:c>
      <x:c r="F580" t="str">
        <x:v>West</x:v>
      </x:c>
      <x:c r="G580" t="str">
        <x:v>Office Supplies</x:v>
      </x:c>
      <x:c r="H580" t="str">
        <x:v>Art</x:v>
      </x:c>
      <x:c r="I580" s="22" t="n">
        <x:v>8.82</x:v>
      </x:c>
      <x:c r="J580" s="24" t="n">
        <x:v>3</x:v>
      </x:c>
      <x:c r="K580" s="26" t="n">
        <x:v>0</x:v>
      </x:c>
      <x:c r="L580" s="22" t="n">
        <x:v>2.3814</x:v>
      </x:c>
      <x:c r="M580" t="n">
        <x:v>2016</x:v>
      </x:c>
      <x:c r="N580" s="20" t="n">
        <x:v>42675</x:v>
      </x:c>
    </x:row>
    <x:row r="581" ht="18" customHeight="1">
      <x:c r="A581" t="str">
        <x:v>CA-2015-149713</x:v>
      </x:c>
      <x:c r="B581" s="18" t="n">
        <x:v>42265</x:v>
      </x:c>
      <x:c r="C581" t="str">
        <x:v>TG-21640</x:v>
      </x:c>
      <x:c r="D581" t="str">
        <x:v>Trudy Glocke</x:v>
      </x:c>
      <x:c r="E581" t="str">
        <x:v>Consumer</x:v>
      </x:c>
      <x:c r="F581" t="str">
        <x:v>West</x:v>
      </x:c>
      <x:c r="G581" t="str">
        <x:v>Office Supplies</x:v>
      </x:c>
      <x:c r="H581" t="str">
        <x:v>Paper</x:v>
      </x:c>
      <x:c r="I581" s="22" t="n">
        <x:v>160.72</x:v>
      </x:c>
      <x:c r="J581" s="24" t="n">
        <x:v>14</x:v>
      </x:c>
      <x:c r="K581" s="26" t="n">
        <x:v>0</x:v>
      </x:c>
      <x:c r="L581" s="22" t="n">
        <x:v>78.75280000000001</x:v>
      </x:c>
      <x:c r="M581" t="n">
        <x:v>2015</x:v>
      </x:c>
      <x:c r="N581" s="20" t="n">
        <x:v>42248</x:v>
      </x:c>
    </x:row>
    <x:row r="582" ht="18" customHeight="1">
      <x:c r="A582" t="str">
        <x:v>CA-2015-149713</x:v>
      </x:c>
      <x:c r="B582" s="18" t="n">
        <x:v>42265</x:v>
      </x:c>
      <x:c r="C582" t="str">
        <x:v>TG-21640</x:v>
      </x:c>
      <x:c r="D582" t="str">
        <x:v>Trudy Glocke</x:v>
      </x:c>
      <x:c r="E582" t="str">
        <x:v>Consumer</x:v>
      </x:c>
      <x:c r="F582" t="str">
        <x:v>West</x:v>
      </x:c>
      <x:c r="G582" t="str">
        <x:v>Office Supplies</x:v>
      </x:c>
      <x:c r="H582" t="str">
        <x:v>Paper</x:v>
      </x:c>
      <x:c r="I582" s="22" t="n">
        <x:v>19.92</x:v>
      </x:c>
      <x:c r="J582" s="24" t="n">
        <x:v>4</x:v>
      </x:c>
      <x:c r="K582" s="26" t="n">
        <x:v>0</x:v>
      </x:c>
      <x:c r="L582" s="22" t="n">
        <x:v>9.760800000000001</x:v>
      </x:c>
      <x:c r="M582" t="n">
        <x:v>2015</x:v>
      </x:c>
      <x:c r="N582" s="20" t="n">
        <x:v>42248</x:v>
      </x:c>
    </x:row>
    <x:row r="583" ht="18" customHeight="1">
      <x:c r="A583" t="str">
        <x:v>CA-2015-149713</x:v>
      </x:c>
      <x:c r="B583" s="18" t="n">
        <x:v>42265</x:v>
      </x:c>
      <x:c r="C583" t="str">
        <x:v>TG-21640</x:v>
      </x:c>
      <x:c r="D583" t="str">
        <x:v>Trudy Glocke</x:v>
      </x:c>
      <x:c r="E583" t="str">
        <x:v>Consumer</x:v>
      </x:c>
      <x:c r="F583" t="str">
        <x:v>West</x:v>
      </x:c>
      <x:c r="G583" t="str">
        <x:v>Office Supplies</x:v>
      </x:c>
      <x:c r="H583" t="str">
        <x:v>Supplies</x:v>
      </x:c>
      <x:c r="I583" s="22" t="n">
        <x:v>7.3</x:v>
      </x:c>
      <x:c r="J583" s="24" t="n">
        <x:v>2</x:v>
      </x:c>
      <x:c r="K583" s="26" t="n">
        <x:v>0</x:v>
      </x:c>
      <x:c r="L583" s="22" t="n">
        <x:v>2.1899999999999995</x:v>
      </x:c>
      <x:c r="M583" t="n">
        <x:v>2015</x:v>
      </x:c>
      <x:c r="N583" s="20" t="n">
        <x:v>42248</x:v>
      </x:c>
    </x:row>
    <x:row r="584" ht="18" customHeight="1">
      <x:c r="A584" t="str">
        <x:v>CA-2017-118640</x:v>
      </x:c>
      <x:c r="B584" s="18" t="n">
        <x:v>42936</x:v>
      </x:c>
      <x:c r="C584" t="str">
        <x:v>CS-11950</x:v>
      </x:c>
      <x:c r="D584" t="str">
        <x:v>Carlos Soltero</x:v>
      </x:c>
      <x:c r="E584" t="str">
        <x:v>Consumer</x:v>
      </x:c>
      <x:c r="F584" t="str">
        <x:v>Central</x:v>
      </x:c>
      <x:c r="G584" t="str">
        <x:v>Office Supplies</x:v>
      </x:c>
      <x:c r="H584" t="str">
        <x:v>Storage</x:v>
      </x:c>
      <x:c r="I584" s="22" t="n">
        <x:v>69.712</x:v>
      </x:c>
      <x:c r="J584" s="24" t="n">
        <x:v>2</x:v>
      </x:c>
      <x:c r="K584" s="26" t="n">
        <x:v>0.2</x:v>
      </x:c>
      <x:c r="L584" s="22" t="n">
        <x:v>8.713999999999995</x:v>
      </x:c>
      <x:c r="M584" t="n">
        <x:v>2017</x:v>
      </x:c>
      <x:c r="N584" s="20" t="n">
        <x:v>42917</x:v>
      </x:c>
    </x:row>
    <x:row r="585" ht="18" customHeight="1">
      <x:c r="A585" t="str">
        <x:v>CA-2017-118640</x:v>
      </x:c>
      <x:c r="B585" s="18" t="n">
        <x:v>42936</x:v>
      </x:c>
      <x:c r="C585" t="str">
        <x:v>CS-11950</x:v>
      </x:c>
      <x:c r="D585" t="str">
        <x:v>Carlos Soltero</x:v>
      </x:c>
      <x:c r="E585" t="str">
        <x:v>Consumer</x:v>
      </x:c>
      <x:c r="F585" t="str">
        <x:v>Central</x:v>
      </x:c>
      <x:c r="G585" t="str">
        <x:v>Furniture</x:v>
      </x:c>
      <x:c r="H585" t="str">
        <x:v>Furnishings</x:v>
      </x:c>
      <x:c r="I585" s="22" t="n">
        <x:v>8.792</x:v>
      </x:c>
      <x:c r="J585" s="24" t="n">
        <x:v>1</x:v>
      </x:c>
      <x:c r="K585" s="26" t="n">
        <x:v>0.6</x:v>
      </x:c>
      <x:c r="L585" s="22" t="n">
        <x:v>-5.7148</x:v>
      </x:c>
      <x:c r="M585" t="n">
        <x:v>2017</x:v>
      </x:c>
      <x:c r="N585" s="20" t="n">
        <x:v>42917</x:v>
      </x:c>
    </x:row>
    <x:row r="586" ht="18" customHeight="1">
      <x:c r="A586" t="str">
        <x:v>CA-2015-132906</x:v>
      </x:c>
      <x:c r="B586" s="18" t="n">
        <x:v>42257</x:v>
      </x:c>
      <x:c r="C586" t="str">
        <x:v>CC-12145</x:v>
      </x:c>
      <x:c r="D586" t="str">
        <x:v>Charles Crestani</x:v>
      </x:c>
      <x:c r="E586" t="str">
        <x:v>Consumer</x:v>
      </x:c>
      <x:c r="F586" t="str">
        <x:v>West</x:v>
      </x:c>
      <x:c r="G586" t="str">
        <x:v>Office Supplies</x:v>
      </x:c>
      <x:c r="H586" t="str">
        <x:v>Supplies</x:v>
      </x:c>
      <x:c r="I586" s="22" t="n">
        <x:v>51.52</x:v>
      </x:c>
      <x:c r="J586" s="24" t="n">
        <x:v>4</x:v>
      </x:c>
      <x:c r="K586" s="26" t="n">
        <x:v>0</x:v>
      </x:c>
      <x:c r="L586" s="22" t="n">
        <x:v>1.5456000000000003</x:v>
      </x:c>
      <x:c r="M586" t="n">
        <x:v>2015</x:v>
      </x:c>
      <x:c r="N586" s="20" t="n">
        <x:v>42248</x:v>
      </x:c>
    </x:row>
    <x:row r="587" ht="18" customHeight="1">
      <x:c r="A587" t="str">
        <x:v>CA-2017-145233</x:v>
      </x:c>
      <x:c r="B587" s="18" t="n">
        <x:v>43070</x:v>
      </x:c>
      <x:c r="C587" t="str">
        <x:v>DV-13465</x:v>
      </x:c>
      <x:c r="D587" t="str">
        <x:v>Dianna Vittorini</x:v>
      </x:c>
      <x:c r="E587" t="str">
        <x:v>Consumer</x:v>
      </x:c>
      <x:c r="F587" t="str">
        <x:v>West</x:v>
      </x:c>
      <x:c r="G587" t="str">
        <x:v>Technology</x:v>
      </x:c>
      <x:c r="H587" t="str">
        <x:v>Phones</x:v>
      </x:c>
      <x:c r="I587" s="22" t="n">
        <x:v>470.3760000000001</x:v>
      </x:c>
      <x:c r="J587" s="24" t="n">
        <x:v>3</x:v>
      </x:c>
      <x:c r="K587" s="26" t="n">
        <x:v>0.2</x:v>
      </x:c>
      <x:c r="L587" s="22" t="n">
        <x:v>52.917299999999955</x:v>
      </x:c>
      <x:c r="M587" t="n">
        <x:v>2017</x:v>
      </x:c>
      <x:c r="N587" s="20" t="n">
        <x:v>43070</x:v>
      </x:c>
    </x:row>
    <x:row r="588" ht="18" customHeight="1">
      <x:c r="A588" t="str">
        <x:v>CA-2017-145233</x:v>
      </x:c>
      <x:c r="B588" s="18" t="n">
        <x:v>43070</x:v>
      </x:c>
      <x:c r="C588" t="str">
        <x:v>DV-13465</x:v>
      </x:c>
      <x:c r="D588" t="str">
        <x:v>Dianna Vittorini</x:v>
      </x:c>
      <x:c r="E588" t="str">
        <x:v>Consumer</x:v>
      </x:c>
      <x:c r="F588" t="str">
        <x:v>West</x:v>
      </x:c>
      <x:c r="G588" t="str">
        <x:v>Technology</x:v>
      </x:c>
      <x:c r="H588" t="str">
        <x:v>Phones</x:v>
      </x:c>
      <x:c r="I588" s="22" t="n">
        <x:v>105.584</x:v>
      </x:c>
      <x:c r="J588" s="24" t="n">
        <x:v>2</x:v>
      </x:c>
      <x:c r="K588" s="26" t="n">
        <x:v>0.2</x:v>
      </x:c>
      <x:c r="L588" s="22" t="n">
        <x:v>9.238600000000005</x:v>
      </x:c>
      <x:c r="M588" t="n">
        <x:v>2017</x:v>
      </x:c>
      <x:c r="N588" s="20" t="n">
        <x:v>43070</x:v>
      </x:c>
    </x:row>
    <x:row r="589" ht="18" customHeight="1">
      <x:c r="A589" t="str">
        <x:v>CA-2017-145233</x:v>
      </x:c>
      <x:c r="B589" s="18" t="n">
        <x:v>43070</x:v>
      </x:c>
      <x:c r="C589" t="str">
        <x:v>DV-13465</x:v>
      </x:c>
      <x:c r="D589" t="str">
        <x:v>Dianna Vittorini</x:v>
      </x:c>
      <x:c r="E589" t="str">
        <x:v>Consumer</x:v>
      </x:c>
      <x:c r="F589" t="str">
        <x:v>West</x:v>
      </x:c>
      <x:c r="G589" t="str">
        <x:v>Office Supplies</x:v>
      </x:c>
      <x:c r="H589" t="str">
        <x:v>Appliances</x:v>
      </x:c>
      <x:c r="I589" s="22" t="n">
        <x:v>31.152</x:v>
      </x:c>
      <x:c r="J589" s="24" t="n">
        <x:v>3</x:v>
      </x:c>
      <x:c r="K589" s="26" t="n">
        <x:v>0.2</x:v>
      </x:c>
      <x:c r="L589" s="22" t="n">
        <x:v>3.5045999999999964</x:v>
      </x:c>
      <x:c r="M589" t="n">
        <x:v>2017</x:v>
      </x:c>
      <x:c r="N589" s="20" t="n">
        <x:v>43070</x:v>
      </x:c>
    </x:row>
    <x:row r="590" ht="18" customHeight="1">
      <x:c r="A590" t="str">
        <x:v>CA-2017-145233</x:v>
      </x:c>
      <x:c r="B590" s="18" t="n">
        <x:v>43070</x:v>
      </x:c>
      <x:c r="C590" t="str">
        <x:v>DV-13465</x:v>
      </x:c>
      <x:c r="D590" t="str">
        <x:v>Dianna Vittorini</x:v>
      </x:c>
      <x:c r="E590" t="str">
        <x:v>Consumer</x:v>
      </x:c>
      <x:c r="F590" t="str">
        <x:v>West</x:v>
      </x:c>
      <x:c r="G590" t="str">
        <x:v>Office Supplies</x:v>
      </x:c>
      <x:c r="H590" t="str">
        <x:v>Binders</x:v>
      </x:c>
      <x:c r="I590" s="22" t="n">
        <x:v>6.783</x:v>
      </x:c>
      <x:c r="J590" s="24" t="n">
        <x:v>7</x:v>
      </x:c>
      <x:c r="K590" s="26" t="n">
        <x:v>0.7</x:v>
      </x:c>
      <x:c r="L590" s="22" t="n">
        <x:v>-4.748099999999997</x:v>
      </x:c>
      <x:c r="M590" t="n">
        <x:v>2017</x:v>
      </x:c>
      <x:c r="N590" s="20" t="n">
        <x:v>43070</x:v>
      </x:c>
    </x:row>
    <x:row r="591" ht="18" customHeight="1">
      <x:c r="A591" t="str">
        <x:v>CA-2017-145233</x:v>
      </x:c>
      <x:c r="B591" s="18" t="n">
        <x:v>43070</x:v>
      </x:c>
      <x:c r="C591" t="str">
        <x:v>DV-13465</x:v>
      </x:c>
      <x:c r="D591" t="str">
        <x:v>Dianna Vittorini</x:v>
      </x:c>
      <x:c r="E591" t="str">
        <x:v>Consumer</x:v>
      </x:c>
      <x:c r="F591" t="str">
        <x:v>West</x:v>
      </x:c>
      <x:c r="G591" t="str">
        <x:v>Technology</x:v>
      </x:c>
      <x:c r="H591" t="str">
        <x:v>Phones</x:v>
      </x:c>
      <x:c r="I591" s="22" t="n">
        <x:v>406.368</x:v>
      </x:c>
      <x:c r="J591" s="24" t="n">
        <x:v>4</x:v>
      </x:c>
      <x:c r="K591" s="26" t="n">
        <x:v>0.2</x:v>
      </x:c>
      <x:c r="L591" s="22" t="n">
        <x:v>30.47759999999998</x:v>
      </x:c>
      <x:c r="M591" t="n">
        <x:v>2017</x:v>
      </x:c>
      <x:c r="N591" s="20" t="n">
        <x:v>43070</x:v>
      </x:c>
    </x:row>
    <x:row r="592" ht="18" customHeight="1">
      <x:c r="A592" t="str">
        <x:v>CA-2015-128139</x:v>
      </x:c>
      <x:c r="B592" s="18" t="n">
        <x:v>42188</x:v>
      </x:c>
      <x:c r="C592" t="str">
        <x:v>BD-11725</x:v>
      </x:c>
      <x:c r="D592" t="str">
        <x:v>Bruce Degenhardt</x:v>
      </x:c>
      <x:c r="E592" t="str">
        <x:v>Consumer</x:v>
      </x:c>
      <x:c r="F592" t="str">
        <x:v>South</x:v>
      </x:c>
      <x:c r="G592" t="str">
        <x:v>Furniture</x:v>
      </x:c>
      <x:c r="H592" t="str">
        <x:v>Chairs</x:v>
      </x:c>
      <x:c r="I592" s="22" t="n">
        <x:v>70.98</x:v>
      </x:c>
      <x:c r="J592" s="24" t="n">
        <x:v>1</x:v>
      </x:c>
      <x:c r="K592" s="26" t="n">
        <x:v>0</x:v>
      </x:c>
      <x:c r="L592" s="22" t="n">
        <x:v>4.968599999999995</x:v>
      </x:c>
      <x:c r="M592" t="n">
        <x:v>2015</x:v>
      </x:c>
      <x:c r="N592" s="20" t="n">
        <x:v>42186</x:v>
      </x:c>
    </x:row>
    <x:row r="593" ht="18" customHeight="1">
      <x:c r="A593" t="str">
        <x:v>CA-2015-128139</x:v>
      </x:c>
      <x:c r="B593" s="18" t="n">
        <x:v>42188</x:v>
      </x:c>
      <x:c r="C593" t="str">
        <x:v>BD-11725</x:v>
      </x:c>
      <x:c r="D593" t="str">
        <x:v>Bruce Degenhardt</x:v>
      </x:c>
      <x:c r="E593" t="str">
        <x:v>Consumer</x:v>
      </x:c>
      <x:c r="F593" t="str">
        <x:v>South</x:v>
      </x:c>
      <x:c r="G593" t="str">
        <x:v>Office Supplies</x:v>
      </x:c>
      <x:c r="H593" t="str">
        <x:v>Labels</x:v>
      </x:c>
      <x:c r="I593" s="22" t="n">
        <x:v>294.93</x:v>
      </x:c>
      <x:c r="J593" s="24" t="n">
        <x:v>3</x:v>
      </x:c>
      <x:c r="K593" s="26" t="n">
        <x:v>0</x:v>
      </x:c>
      <x:c r="L593" s="22" t="n">
        <x:v>144.5157</x:v>
      </x:c>
      <x:c r="M593" t="n">
        <x:v>2015</x:v>
      </x:c>
      <x:c r="N593" s="20" t="n">
        <x:v>42186</x:v>
      </x:c>
    </x:row>
    <x:row r="594" ht="18" customHeight="1">
      <x:c r="A594" t="str">
        <x:v>US-2016-156986</x:v>
      </x:c>
      <x:c r="B594" s="18" t="n">
        <x:v>42449</x:v>
      </x:c>
      <x:c r="C594" t="str">
        <x:v>ZC-21910</x:v>
      </x:c>
      <x:c r="D594" t="str">
        <x:v>Zuschuss Carroll</x:v>
      </x:c>
      <x:c r="E594" t="str">
        <x:v>Consumer</x:v>
      </x:c>
      <x:c r="F594" t="str">
        <x:v>West</x:v>
      </x:c>
      <x:c r="G594" t="str">
        <x:v>Technology</x:v>
      </x:c>
      <x:c r="H594" t="str">
        <x:v>Phones</x:v>
      </x:c>
      <x:c r="I594" s="22" t="n">
        <x:v>84.784</x:v>
      </x:c>
      <x:c r="J594" s="24" t="n">
        <x:v>2</x:v>
      </x:c>
      <x:c r="K594" s="26" t="n">
        <x:v>0.2</x:v>
      </x:c>
      <x:c r="L594" s="22" t="n">
        <x:v>-20.136200000000006</x:v>
      </x:c>
      <x:c r="M594" t="n">
        <x:v>2016</x:v>
      </x:c>
      <x:c r="N594" s="20" t="n">
        <x:v>42430</x:v>
      </x:c>
    </x:row>
    <x:row r="595" ht="18" customHeight="1">
      <x:c r="A595" t="str">
        <x:v>US-2016-156986</x:v>
      </x:c>
      <x:c r="B595" s="18" t="n">
        <x:v>42449</x:v>
      </x:c>
      <x:c r="C595" t="str">
        <x:v>ZC-21910</x:v>
      </x:c>
      <x:c r="D595" t="str">
        <x:v>Zuschuss Carroll</x:v>
      </x:c>
      <x:c r="E595" t="str">
        <x:v>Consumer</x:v>
      </x:c>
      <x:c r="F595" t="str">
        <x:v>West</x:v>
      </x:c>
      <x:c r="G595" t="str">
        <x:v>Office Supplies</x:v>
      </x:c>
      <x:c r="H595" t="str">
        <x:v>Paper</x:v>
      </x:c>
      <x:c r="I595" s="22" t="n">
        <x:v>20.736000000000004</x:v>
      </x:c>
      <x:c r="J595" s="24" t="n">
        <x:v>4</x:v>
      </x:c>
      <x:c r="K595" s="26" t="n">
        <x:v>0.2</x:v>
      </x:c>
      <x:c r="L595" s="22" t="n">
        <x:v>7.2576</x:v>
      </x:c>
      <x:c r="M595" t="n">
        <x:v>2016</x:v>
      </x:c>
      <x:c r="N595" s="20" t="n">
        <x:v>42430</x:v>
      </x:c>
    </x:row>
    <x:row r="596" ht="18" customHeight="1">
      <x:c r="A596" t="str">
        <x:v>US-2016-156986</x:v>
      </x:c>
      <x:c r="B596" s="18" t="n">
        <x:v>42449</x:v>
      </x:c>
      <x:c r="C596" t="str">
        <x:v>ZC-21910</x:v>
      </x:c>
      <x:c r="D596" t="str">
        <x:v>Zuschuss Carroll</x:v>
      </x:c>
      <x:c r="E596" t="str">
        <x:v>Consumer</x:v>
      </x:c>
      <x:c r="F596" t="str">
        <x:v>West</x:v>
      </x:c>
      <x:c r="G596" t="str">
        <x:v>Office Supplies</x:v>
      </x:c>
      <x:c r="H596" t="str">
        <x:v>Binders</x:v>
      </x:c>
      <x:c r="I596" s="22" t="n">
        <x:v>16.821000000000005</x:v>
      </x:c>
      <x:c r="J596" s="24" t="n">
        <x:v>3</x:v>
      </x:c>
      <x:c r="K596" s="26" t="n">
        <x:v>0.7</x:v>
      </x:c>
      <x:c r="L596" s="22" t="n">
        <x:v>-12.896100000000004</x:v>
      </x:c>
      <x:c r="M596" t="n">
        <x:v>2016</x:v>
      </x:c>
      <x:c r="N596" s="20" t="n">
        <x:v>42430</x:v>
      </x:c>
    </x:row>
    <x:row r="597" ht="18" customHeight="1">
      <x:c r="A597" t="str">
        <x:v>US-2016-156986</x:v>
      </x:c>
      <x:c r="B597" s="18" t="n">
        <x:v>42449</x:v>
      </x:c>
      <x:c r="C597" t="str">
        <x:v>ZC-21910</x:v>
      </x:c>
      <x:c r="D597" t="str">
        <x:v>Zuschuss Carroll</x:v>
      </x:c>
      <x:c r="E597" t="str">
        <x:v>Consumer</x:v>
      </x:c>
      <x:c r="F597" t="str">
        <x:v>West</x:v>
      </x:c>
      <x:c r="G597" t="str">
        <x:v>Office Supplies</x:v>
      </x:c>
      <x:c r="H597" t="str">
        <x:v>Paper</x:v>
      </x:c>
      <x:c r="I597" s="22" t="n">
        <x:v>10.368000000000002</x:v>
      </x:c>
      <x:c r="J597" s="24" t="n">
        <x:v>2</x:v>
      </x:c>
      <x:c r="K597" s="26" t="n">
        <x:v>0.2</x:v>
      </x:c>
      <x:c r="L597" s="22" t="n">
        <x:v>3.6288</x:v>
      </x:c>
      <x:c r="M597" t="n">
        <x:v>2016</x:v>
      </x:c>
      <x:c r="N597" s="20" t="n">
        <x:v>42430</x:v>
      </x:c>
    </x:row>
    <x:row r="598" ht="18" customHeight="1">
      <x:c r="A598" t="str">
        <x:v>CA-2014-135405</x:v>
      </x:c>
      <x:c r="B598" s="18" t="n">
        <x:v>41648</x:v>
      </x:c>
      <x:c r="C598" t="str">
        <x:v>MS-17830</x:v>
      </x:c>
      <x:c r="D598" t="str">
        <x:v>Melanie Seite</x:v>
      </x:c>
      <x:c r="E598" t="str">
        <x:v>Consumer</x:v>
      </x:c>
      <x:c r="F598" t="str">
        <x:v>Central</x:v>
      </x:c>
      <x:c r="G598" t="str">
        <x:v>Office Supplies</x:v>
      </x:c>
      <x:c r="H598" t="str">
        <x:v>Art</x:v>
      </x:c>
      <x:c r="I598" s="22" t="n">
        <x:v>9.344</x:v>
      </x:c>
      <x:c r="J598" s="24" t="n">
        <x:v>2</x:v>
      </x:c>
      <x:c r="K598" s="26" t="n">
        <x:v>0.2</x:v>
      </x:c>
      <x:c r="L598" s="22" t="n">
        <x:v>1.1679999999999997</x:v>
      </x:c>
      <x:c r="M598" t="n">
        <x:v>2014</x:v>
      </x:c>
      <x:c r="N598" s="20" t="n">
        <x:v>41640</x:v>
      </x:c>
    </x:row>
    <x:row r="599" ht="18" customHeight="1">
      <x:c r="A599" t="str">
        <x:v>CA-2014-135405</x:v>
      </x:c>
      <x:c r="B599" s="18" t="n">
        <x:v>41648</x:v>
      </x:c>
      <x:c r="C599" t="str">
        <x:v>MS-17830</x:v>
      </x:c>
      <x:c r="D599" t="str">
        <x:v>Melanie Seite</x:v>
      </x:c>
      <x:c r="E599" t="str">
        <x:v>Consumer</x:v>
      </x:c>
      <x:c r="F599" t="str">
        <x:v>Central</x:v>
      </x:c>
      <x:c r="G599" t="str">
        <x:v>Technology</x:v>
      </x:c>
      <x:c r="H599" t="str">
        <x:v>Accessories</x:v>
      </x:c>
      <x:c r="I599" s="22" t="n">
        <x:v>31.200000000000003</x:v>
      </x:c>
      <x:c r="J599" s="24" t="n">
        <x:v>3</x:v>
      </x:c>
      <x:c r="K599" s="26" t="n">
        <x:v>0.2</x:v>
      </x:c>
      <x:c r="L599" s="22" t="n">
        <x:v>9.749999999999996</x:v>
      </x:c>
      <x:c r="M599" t="n">
        <x:v>2014</x:v>
      </x:c>
      <x:c r="N599" s="20" t="n">
        <x:v>41640</x:v>
      </x:c>
    </x:row>
    <x:row r="600" ht="18" customHeight="1">
      <x:c r="A600" t="str">
        <x:v>CA-2014-131450</x:v>
      </x:c>
      <x:c r="B600" s="18" t="n">
        <x:v>41859</x:v>
      </x:c>
      <x:c r="C600" t="str">
        <x:v>LR-16915</x:v>
      </x:c>
      <x:c r="D600" t="str">
        <x:v>Lena Radford</x:v>
      </x:c>
      <x:c r="E600" t="str">
        <x:v>Consumer</x:v>
      </x:c>
      <x:c r="F600" t="str">
        <x:v>West</x:v>
      </x:c>
      <x:c r="G600" t="str">
        <x:v>Office Supplies</x:v>
      </x:c>
      <x:c r="H600" t="str">
        <x:v>Appliances</x:v>
      </x:c>
      <x:c r="I600" s="22" t="n">
        <x:v>76.12</x:v>
      </x:c>
      <x:c r="J600" s="24" t="n">
        <x:v>2</x:v>
      </x:c>
      <x:c r="K600" s="26" t="n">
        <x:v>0</x:v>
      </x:c>
      <x:c r="L600" s="22" t="n">
        <x:v>22.074799999999996</x:v>
      </x:c>
      <x:c r="M600" t="n">
        <x:v>2014</x:v>
      </x:c>
      <x:c r="N600" s="20" t="n">
        <x:v>41852</x:v>
      </x:c>
    </x:row>
    <x:row r="601" ht="18" customHeight="1">
      <x:c r="A601" t="str">
        <x:v>CA-2014-131450</x:v>
      </x:c>
      <x:c r="B601" s="18" t="n">
        <x:v>41859</x:v>
      </x:c>
      <x:c r="C601" t="str">
        <x:v>LR-16915</x:v>
      </x:c>
      <x:c r="D601" t="str">
        <x:v>Lena Radford</x:v>
      </x:c>
      <x:c r="E601" t="str">
        <x:v>Consumer</x:v>
      </x:c>
      <x:c r="F601" t="str">
        <x:v>West</x:v>
      </x:c>
      <x:c r="G601" t="str">
        <x:v>Technology</x:v>
      </x:c>
      <x:c r="H601" t="str">
        <x:v>Copiers</x:v>
      </x:c>
      <x:c r="I601" s="22" t="n">
        <x:v>1199.976</x:v>
      </x:c>
      <x:c r="J601" s="24" t="n">
        <x:v>3</x:v>
      </x:c>
      <x:c r="K601" s="26" t="n">
        <x:v>0.2</x:v>
      </x:c>
      <x:c r="L601" s="22" t="n">
        <x:v>434.9913</x:v>
      </x:c>
      <x:c r="M601" t="n">
        <x:v>2014</x:v>
      </x:c>
      <x:c r="N601" s="20" t="n">
        <x:v>41852</x:v>
      </x:c>
    </x:row>
    <x:row r="602" ht="18" customHeight="1">
      <x:c r="A602" t="str">
        <x:v>CA-2014-131450</x:v>
      </x:c>
      <x:c r="B602" s="18" t="n">
        <x:v>41859</x:v>
      </x:c>
      <x:c r="C602" t="str">
        <x:v>LR-16915</x:v>
      </x:c>
      <x:c r="D602" t="str">
        <x:v>Lena Radford</x:v>
      </x:c>
      <x:c r="E602" t="str">
        <x:v>Consumer</x:v>
      </x:c>
      <x:c r="F602" t="str">
        <x:v>West</x:v>
      </x:c>
      <x:c r="G602" t="str">
        <x:v>Technology</x:v>
      </x:c>
      <x:c r="H602" t="str">
        <x:v>Phones</x:v>
      </x:c>
      <x:c r="I602" s="22" t="n">
        <x:v>445.96000000000004</x:v>
      </x:c>
      <x:c r="J602" s="24" t="n">
        <x:v>5</x:v>
      </x:c>
      <x:c r="K602" s="26" t="n">
        <x:v>0.2</x:v>
      </x:c>
      <x:c r="L602" s="22" t="n">
        <x:v>55.74499999999995</x:v>
      </x:c>
      <x:c r="M602" t="n">
        <x:v>2014</x:v>
      </x:c>
      <x:c r="N602" s="20" t="n">
        <x:v>41852</x:v>
      </x:c>
    </x:row>
    <x:row r="603" ht="18" customHeight="1">
      <x:c r="A603" t="str">
        <x:v>CA-2014-131450</x:v>
      </x:c>
      <x:c r="B603" s="18" t="n">
        <x:v>41859</x:v>
      </x:c>
      <x:c r="C603" t="str">
        <x:v>LR-16915</x:v>
      </x:c>
      <x:c r="D603" t="str">
        <x:v>Lena Radford</x:v>
      </x:c>
      <x:c r="E603" t="str">
        <x:v>Consumer</x:v>
      </x:c>
      <x:c r="F603" t="str">
        <x:v>West</x:v>
      </x:c>
      <x:c r="G603" t="str">
        <x:v>Furniture</x:v>
      </x:c>
      <x:c r="H603" t="str">
        <x:v>Furnishings</x:v>
      </x:c>
      <x:c r="I603" s="22" t="n">
        <x:v>327.76</x:v>
      </x:c>
      <x:c r="J603" s="24" t="n">
        <x:v>8</x:v>
      </x:c>
      <x:c r="K603" s="26" t="n">
        <x:v>0</x:v>
      </x:c>
      <x:c r="L603" s="22" t="n">
        <x:v>91.77280000000002</x:v>
      </x:c>
      <x:c r="M603" t="n">
        <x:v>2014</x:v>
      </x:c>
      <x:c r="N603" s="20" t="n">
        <x:v>41852</x:v>
      </x:c>
    </x:row>
    <x:row r="604" ht="18" customHeight="1">
      <x:c r="A604" t="str">
        <x:v>CA-2016-120180</x:v>
      </x:c>
      <x:c r="B604" s="18" t="n">
        <x:v>42565</x:v>
      </x:c>
      <x:c r="C604" t="str">
        <x:v>TP-21130</x:v>
      </x:c>
      <x:c r="D604" t="str">
        <x:v>Theone Pippenger</x:v>
      </x:c>
      <x:c r="E604" t="str">
        <x:v>Consumer</x:v>
      </x:c>
      <x:c r="F604" t="str">
        <x:v>East</x:v>
      </x:c>
      <x:c r="G604" t="str">
        <x:v>Office Supplies</x:v>
      </x:c>
      <x:c r="H604" t="str">
        <x:v>Supplies</x:v>
      </x:c>
      <x:c r="I604" s="22" t="n">
        <x:v>11.632</x:v>
      </x:c>
      <x:c r="J604" s="24" t="n">
        <x:v>2</x:v>
      </x:c>
      <x:c r="K604" s="26" t="n">
        <x:v>0.2</x:v>
      </x:c>
      <x:c r="L604" s="22" t="n">
        <x:v>1.0178000000000007</x:v>
      </x:c>
      <x:c r="M604" t="n">
        <x:v>2016</x:v>
      </x:c>
      <x:c r="N604" s="20" t="n">
        <x:v>42552</x:v>
      </x:c>
    </x:row>
    <x:row r="605" ht="18" customHeight="1">
      <x:c r="A605" t="str">
        <x:v>US-2016-100720</x:v>
      </x:c>
      <x:c r="B605" s="18" t="n">
        <x:v>42567</x:v>
      </x:c>
      <x:c r="C605" t="str">
        <x:v>CK-12205</x:v>
      </x:c>
      <x:c r="D605" t="str">
        <x:v>Chloris Kastensmidt</x:v>
      </x:c>
      <x:c r="E605" t="str">
        <x:v>Consumer</x:v>
      </x:c>
      <x:c r="F605" t="str">
        <x:v>East</x:v>
      </x:c>
      <x:c r="G605" t="str">
        <x:v>Technology</x:v>
      </x:c>
      <x:c r="H605" t="str">
        <x:v>Phones</x:v>
      </x:c>
      <x:c r="I605" s="22" t="n">
        <x:v>143.98199999999997</x:v>
      </x:c>
      <x:c r="J605" s="24" t="n">
        <x:v>3</x:v>
      </x:c>
      <x:c r="K605" s="26" t="n">
        <x:v>0.4</x:v>
      </x:c>
      <x:c r="L605" s="22" t="n">
        <x:v>-28.796400000000006</x:v>
      </x:c>
      <x:c r="M605" t="n">
        <x:v>2016</x:v>
      </x:c>
      <x:c r="N605" s="20" t="n">
        <x:v>42552</x:v>
      </x:c>
    </x:row>
    <x:row r="606" ht="18" customHeight="1">
      <x:c r="A606" t="str">
        <x:v>US-2016-100720</x:v>
      </x:c>
      <x:c r="B606" s="18" t="n">
        <x:v>42567</x:v>
      </x:c>
      <x:c r="C606" t="str">
        <x:v>CK-12205</x:v>
      </x:c>
      <x:c r="D606" t="str">
        <x:v>Chloris Kastensmidt</x:v>
      </x:c>
      <x:c r="E606" t="str">
        <x:v>Consumer</x:v>
      </x:c>
      <x:c r="F606" t="str">
        <x:v>East</x:v>
      </x:c>
      <x:c r="G606" t="str">
        <x:v>Technology</x:v>
      </x:c>
      <x:c r="H606" t="str">
        <x:v>Phones</x:v>
      </x:c>
      <x:c r="I606" s="22" t="n">
        <x:v>494.376</x:v>
      </x:c>
      <x:c r="J606" s="24" t="n">
        <x:v>4</x:v>
      </x:c>
      <x:c r="K606" s="26" t="n">
        <x:v>0.4</x:v>
      </x:c>
      <x:c r="L606" s="22" t="n">
        <x:v>-115.35440000000006</x:v>
      </x:c>
      <x:c r="M606" t="n">
        <x:v>2016</x:v>
      </x:c>
      <x:c r="N606" s="20" t="n">
        <x:v>42552</x:v>
      </x:c>
    </x:row>
    <x:row r="607" ht="18" customHeight="1">
      <x:c r="A607" t="str">
        <x:v>US-2016-100720</x:v>
      </x:c>
      <x:c r="B607" s="18" t="n">
        <x:v>42567</x:v>
      </x:c>
      <x:c r="C607" t="str">
        <x:v>CK-12205</x:v>
      </x:c>
      <x:c r="D607" t="str">
        <x:v>Chloris Kastensmidt</x:v>
      </x:c>
      <x:c r="E607" t="str">
        <x:v>Consumer</x:v>
      </x:c>
      <x:c r="F607" t="str">
        <x:v>East</x:v>
      </x:c>
      <x:c r="G607" t="str">
        <x:v>Office Supplies</x:v>
      </x:c>
      <x:c r="H607" t="str">
        <x:v>Supplies</x:v>
      </x:c>
      <x:c r="I607" s="22" t="n">
        <x:v>5.84</x:v>
      </x:c>
      <x:c r="J607" s="24" t="n">
        <x:v>2</x:v>
      </x:c>
      <x:c r="K607" s="26" t="n">
        <x:v>0.2</x:v>
      </x:c>
      <x:c r="L607" s="22" t="n">
        <x:v>0.7299999999999995</x:v>
      </x:c>
      <x:c r="M607" t="n">
        <x:v>2016</x:v>
      </x:c>
      <x:c r="N607" s="20" t="n">
        <x:v>42552</x:v>
      </x:c>
    </x:row>
    <x:row r="608" ht="18" customHeight="1">
      <x:c r="A608" t="str">
        <x:v>CA-2014-149958</x:v>
      </x:c>
      <x:c r="B608" s="18" t="n">
        <x:v>41713</x:v>
      </x:c>
      <x:c r="C608" t="str">
        <x:v>AS-10240</x:v>
      </x:c>
      <x:c r="D608" t="str">
        <x:v>Alan Shonely</x:v>
      </x:c>
      <x:c r="E608" t="str">
        <x:v>Consumer</x:v>
      </x:c>
      <x:c r="F608" t="str">
        <x:v>South</x:v>
      </x:c>
      <x:c r="G608" t="str">
        <x:v>Office Supplies</x:v>
      </x:c>
      <x:c r="H608" t="str">
        <x:v>Storage</x:v>
      </x:c>
      <x:c r="I608" s="22" t="n">
        <x:v>142.776</x:v>
      </x:c>
      <x:c r="J608" s="24" t="n">
        <x:v>1</x:v>
      </x:c>
      <x:c r="K608" s="26" t="n">
        <x:v>0.2</x:v>
      </x:c>
      <x:c r="L608" s="22" t="n">
        <x:v>17.84699999999998</x:v>
      </x:c>
      <x:c r="M608" t="n">
        <x:v>2014</x:v>
      </x:c>
      <x:c r="N608" s="20" t="n">
        <x:v>41699</x:v>
      </x:c>
    </x:row>
    <x:row r="609" ht="18" customHeight="1">
      <x:c r="A609" t="str">
        <x:v>CA-2014-149958</x:v>
      </x:c>
      <x:c r="B609" s="18" t="n">
        <x:v>41713</x:v>
      </x:c>
      <x:c r="C609" t="str">
        <x:v>AS-10240</x:v>
      </x:c>
      <x:c r="D609" t="str">
        <x:v>Alan Shonely</x:v>
      </x:c>
      <x:c r="E609" t="str">
        <x:v>Consumer</x:v>
      </x:c>
      <x:c r="F609" t="str">
        <x:v>South</x:v>
      </x:c>
      <x:c r="G609" t="str">
        <x:v>Furniture</x:v>
      </x:c>
      <x:c r="H609" t="str">
        <x:v>Furnishings</x:v>
      </x:c>
      <x:c r="I609" s="22" t="n">
        <x:v>45.696</x:v>
      </x:c>
      <x:c r="J609" s="24" t="n">
        <x:v>3</x:v>
      </x:c>
      <x:c r="K609" s="26" t="n">
        <x:v>0.2</x:v>
      </x:c>
      <x:c r="L609" s="22" t="n">
        <x:v>5.140799999999992</x:v>
      </x:c>
      <x:c r="M609" t="n">
        <x:v>2014</x:v>
      </x:c>
      <x:c r="N609" s="20" t="n">
        <x:v>41699</x:v>
      </x:c>
    </x:row>
    <x:row r="610" ht="18" customHeight="1">
      <x:c r="A610" t="str">
        <x:v>CA-2014-149958</x:v>
      </x:c>
      <x:c r="B610" s="18" t="n">
        <x:v>41713</x:v>
      </x:c>
      <x:c r="C610" t="str">
        <x:v>AS-10240</x:v>
      </x:c>
      <x:c r="D610" t="str">
        <x:v>Alan Shonely</x:v>
      </x:c>
      <x:c r="E610" t="str">
        <x:v>Consumer</x:v>
      </x:c>
      <x:c r="F610" t="str">
        <x:v>South</x:v>
      </x:c>
      <x:c r="G610" t="str">
        <x:v>Office Supplies</x:v>
      </x:c>
      <x:c r="H610" t="str">
        <x:v>Binders</x:v>
      </x:c>
      <x:c r="I610" s="22" t="n">
        <x:v>7.218</x:v>
      </x:c>
      <x:c r="J610" s="24" t="n">
        <x:v>3</x:v>
      </x:c>
      <x:c r="K610" s="26" t="n">
        <x:v>0.7</x:v>
      </x:c>
      <x:c r="L610" s="22" t="n">
        <x:v>-5.533800000000001</x:v>
      </x:c>
      <x:c r="M610" t="n">
        <x:v>2014</x:v>
      </x:c>
      <x:c r="N610" s="20" t="n">
        <x:v>41699</x:v>
      </x:c>
    </x:row>
    <x:row r="611" ht="18" customHeight="1">
      <x:c r="A611" t="str">
        <x:v>CA-2014-149958</x:v>
      </x:c>
      <x:c r="B611" s="18" t="n">
        <x:v>41713</x:v>
      </x:c>
      <x:c r="C611" t="str">
        <x:v>AS-10240</x:v>
      </x:c>
      <x:c r="D611" t="str">
        <x:v>Alan Shonely</x:v>
      </x:c>
      <x:c r="E611" t="str">
        <x:v>Consumer</x:v>
      </x:c>
      <x:c r="F611" t="str">
        <x:v>South</x:v>
      </x:c>
      <x:c r="G611" t="str">
        <x:v>Office Supplies</x:v>
      </x:c>
      <x:c r="H611" t="str">
        <x:v>Binders</x:v>
      </x:c>
      <x:c r="I611" s="22" t="n">
        <x:v>43.18800000000001</x:v>
      </x:c>
      <x:c r="J611" s="24" t="n">
        <x:v>4</x:v>
      </x:c>
      <x:c r="K611" s="26" t="n">
        <x:v>0.7</x:v>
      </x:c>
      <x:c r="L611" s="22" t="n">
        <x:v>-31.6712</x:v>
      </x:c>
      <x:c r="M611" t="n">
        <x:v>2014</x:v>
      </x:c>
      <x:c r="N611" s="20" t="n">
        <x:v>41699</x:v>
      </x:c>
    </x:row>
    <x:row r="612" ht="18" customHeight="1">
      <x:c r="A612" t="str">
        <x:v>CA-2014-149958</x:v>
      </x:c>
      <x:c r="B612" s="18" t="n">
        <x:v>41713</x:v>
      </x:c>
      <x:c r="C612" t="str">
        <x:v>AS-10240</x:v>
      </x:c>
      <x:c r="D612" t="str">
        <x:v>Alan Shonely</x:v>
      </x:c>
      <x:c r="E612" t="str">
        <x:v>Consumer</x:v>
      </x:c>
      <x:c r="F612" t="str">
        <x:v>South</x:v>
      </x:c>
      <x:c r="G612" t="str">
        <x:v>Office Supplies</x:v>
      </x:c>
      <x:c r="H612" t="str">
        <x:v>Paper</x:v>
      </x:c>
      <x:c r="I612" s="22" t="n">
        <x:v>131.904</x:v>
      </x:c>
      <x:c r="J612" s="24" t="n">
        <x:v>3</x:v>
      </x:c>
      <x:c r="K612" s="26" t="n">
        <x:v>0.2</x:v>
      </x:c>
      <x:c r="L612" s="22" t="n">
        <x:v>47.815200000000004</x:v>
      </x:c>
      <x:c r="M612" t="n">
        <x:v>2014</x:v>
      </x:c>
      <x:c r="N612" s="20" t="n">
        <x:v>41699</x:v>
      </x:c>
    </x:row>
    <x:row r="613" ht="18" customHeight="1">
      <x:c r="A613" t="str">
        <x:v>US-2014-105767</x:v>
      </x:c>
      <x:c r="B613" s="18" t="n">
        <x:v>41782</x:v>
      </x:c>
      <x:c r="C613" t="str">
        <x:v>AR-10510</x:v>
      </x:c>
      <x:c r="D613" t="str">
        <x:v>Andrew Roberts</x:v>
      </x:c>
      <x:c r="E613" t="str">
        <x:v>Consumer</x:v>
      </x:c>
      <x:c r="F613" t="str">
        <x:v>East</x:v>
      </x:c>
      <x:c r="G613" t="str">
        <x:v>Office Supplies</x:v>
      </x:c>
      <x:c r="H613" t="str">
        <x:v>Binders</x:v>
      </x:c>
      <x:c r="I613" s="22" t="n">
        <x:v>3.2820000000000005</x:v>
      </x:c>
      <x:c r="J613" s="24" t="n">
        <x:v>2</x:v>
      </x:c>
      <x:c r="K613" s="26" t="n">
        <x:v>0.7</x:v>
      </x:c>
      <x:c r="L613" s="22" t="n">
        <x:v>-2.6256000000000004</x:v>
      </x:c>
      <x:c r="M613" t="n">
        <x:v>2014</x:v>
      </x:c>
      <x:c r="N613" s="20" t="n">
        <x:v>41760</x:v>
      </x:c>
    </x:row>
    <x:row r="614" ht="18" customHeight="1">
      <x:c r="A614" t="str">
        <x:v>US-2014-105767</x:v>
      </x:c>
      <x:c r="B614" s="18" t="n">
        <x:v>41782</x:v>
      </x:c>
      <x:c r="C614" t="str">
        <x:v>AR-10510</x:v>
      </x:c>
      <x:c r="D614" t="str">
        <x:v>Andrew Roberts</x:v>
      </x:c>
      <x:c r="E614" t="str">
        <x:v>Consumer</x:v>
      </x:c>
      <x:c r="F614" t="str">
        <x:v>East</x:v>
      </x:c>
      <x:c r="G614" t="str">
        <x:v>Office Supplies</x:v>
      </x:c>
      <x:c r="H614" t="str">
        <x:v>Art</x:v>
      </x:c>
      <x:c r="I614" s="22" t="n">
        <x:v>21.168</x:v>
      </x:c>
      <x:c r="J614" s="24" t="n">
        <x:v>9</x:v>
      </x:c>
      <x:c r="K614" s="26" t="n">
        <x:v>0.2</x:v>
      </x:c>
      <x:c r="L614" s="22" t="n">
        <x:v>2.3813999999999984</x:v>
      </x:c>
      <x:c r="M614" t="n">
        <x:v>2014</x:v>
      </x:c>
      <x:c r="N614" s="20" t="n">
        <x:v>41760</x:v>
      </x:c>
    </x:row>
    <x:row r="615" ht="18" customHeight="1">
      <x:c r="A615" t="str">
        <x:v>US-2014-105767</x:v>
      </x:c>
      <x:c r="B615" s="18" t="n">
        <x:v>41782</x:v>
      </x:c>
      <x:c r="C615" t="str">
        <x:v>AR-10510</x:v>
      </x:c>
      <x:c r="D615" t="str">
        <x:v>Andrew Roberts</x:v>
      </x:c>
      <x:c r="E615" t="str">
        <x:v>Consumer</x:v>
      </x:c>
      <x:c r="F615" t="str">
        <x:v>East</x:v>
      </x:c>
      <x:c r="G615" t="str">
        <x:v>Technology</x:v>
      </x:c>
      <x:c r="H615" t="str">
        <x:v>Phones</x:v>
      </x:c>
      <x:c r="I615" s="22" t="n">
        <x:v>55.188</x:v>
      </x:c>
      <x:c r="J615" s="24" t="n">
        <x:v>2</x:v>
      </x:c>
      <x:c r="K615" s="26" t="n">
        <x:v>0.4</x:v>
      </x:c>
      <x:c r="L615" s="22" t="n">
        <x:v>-10.117800000000003</x:v>
      </x:c>
      <x:c r="M615" t="n">
        <x:v>2014</x:v>
      </x:c>
      <x:c r="N615" s="20" t="n">
        <x:v>41760</x:v>
      </x:c>
    </x:row>
    <x:row r="616" ht="18" customHeight="1">
      <x:c r="A616" t="str">
        <x:v>CA-2016-161816</x:v>
      </x:c>
      <x:c r="B616" s="18" t="n">
        <x:v>42488</x:v>
      </x:c>
      <x:c r="C616" t="str">
        <x:v>NB-18655</x:v>
      </x:c>
      <x:c r="D616" t="str">
        <x:v>Nona Balk</x:v>
      </x:c>
      <x:c r="E616" t="str">
        <x:v>Corporate</x:v>
      </x:c>
      <x:c r="F616" t="str">
        <x:v>Central</x:v>
      </x:c>
      <x:c r="G616" t="str">
        <x:v>Technology</x:v>
      </x:c>
      <x:c r="H616" t="str">
        <x:v>Phones</x:v>
      </x:c>
      <x:c r="I616" s="22" t="n">
        <x:v>369.576</x:v>
      </x:c>
      <x:c r="J616" s="24" t="n">
        <x:v>3</x:v>
      </x:c>
      <x:c r="K616" s="26" t="n">
        <x:v>0.2</x:v>
      </x:c>
      <x:c r="L616" s="22" t="n">
        <x:v>41.57729999999995</x:v>
      </x:c>
      <x:c r="M616" t="n">
        <x:v>2016</x:v>
      </x:c>
      <x:c r="N616" s="20" t="n">
        <x:v>42461</x:v>
      </x:c>
    </x:row>
    <x:row r="617" ht="18" customHeight="1">
      <x:c r="A617" t="str">
        <x:v>CA-2016-161816</x:v>
      </x:c>
      <x:c r="B617" s="18" t="n">
        <x:v>42488</x:v>
      </x:c>
      <x:c r="C617" t="str">
        <x:v>NB-18655</x:v>
      </x:c>
      <x:c r="D617" t="str">
        <x:v>Nona Balk</x:v>
      </x:c>
      <x:c r="E617" t="str">
        <x:v>Corporate</x:v>
      </x:c>
      <x:c r="F617" t="str">
        <x:v>Central</x:v>
      </x:c>
      <x:c r="G617" t="str">
        <x:v>Office Supplies</x:v>
      </x:c>
      <x:c r="H617" t="str">
        <x:v>Labels</x:v>
      </x:c>
      <x:c r="I617" s="22" t="n">
        <x:v>15.712000000000002</x:v>
      </x:c>
      <x:c r="J617" s="24" t="n">
        <x:v>4</x:v>
      </x:c>
      <x:c r="K617" s="26" t="n">
        <x:v>0.2</x:v>
      </x:c>
      <x:c r="L617" s="22" t="n">
        <x:v>5.695599999999999</x:v>
      </x:c>
      <x:c r="M617" t="n">
        <x:v>2016</x:v>
      </x:c>
      <x:c r="N617" s="20" t="n">
        <x:v>42461</x:v>
      </x:c>
    </x:row>
    <x:row r="618" ht="18" customHeight="1">
      <x:c r="A618" t="str">
        <x:v>CA-2016-121223</x:v>
      </x:c>
      <x:c r="B618" s="18" t="n">
        <x:v>42624</x:v>
      </x:c>
      <x:c r="C618" t="str">
        <x:v>GD-14590</x:v>
      </x:c>
      <x:c r="D618" t="str">
        <x:v>Giulietta Dortch</x:v>
      </x:c>
      <x:c r="E618" t="str">
        <x:v>Corporate</x:v>
      </x:c>
      <x:c r="F618" t="str">
        <x:v>East</x:v>
      </x:c>
      <x:c r="G618" t="str">
        <x:v>Office Supplies</x:v>
      </x:c>
      <x:c r="H618" t="str">
        <x:v>Paper</x:v>
      </x:c>
      <x:c r="I618" s="22" t="n">
        <x:v>8.448</x:v>
      </x:c>
      <x:c r="J618" s="24" t="n">
        <x:v>2</x:v>
      </x:c>
      <x:c r="K618" s="26" t="n">
        <x:v>0.2</x:v>
      </x:c>
      <x:c r="L618" s="22" t="n">
        <x:v>2.6399999999999997</x:v>
      </x:c>
      <x:c r="M618" t="n">
        <x:v>2016</x:v>
      </x:c>
      <x:c r="N618" s="20" t="n">
        <x:v>42614</x:v>
      </x:c>
    </x:row>
    <x:row r="619" ht="18" customHeight="1">
      <x:c r="A619" t="str">
        <x:v>CA-2016-121223</x:v>
      </x:c>
      <x:c r="B619" s="18" t="n">
        <x:v>42624</x:v>
      </x:c>
      <x:c r="C619" t="str">
        <x:v>GD-14590</x:v>
      </x:c>
      <x:c r="D619" t="str">
        <x:v>Giulietta Dortch</x:v>
      </x:c>
      <x:c r="E619" t="str">
        <x:v>Corporate</x:v>
      </x:c>
      <x:c r="F619" t="str">
        <x:v>East</x:v>
      </x:c>
      <x:c r="G619" t="str">
        <x:v>Technology</x:v>
      </x:c>
      <x:c r="H619" t="str">
        <x:v>Phones</x:v>
      </x:c>
      <x:c r="I619" s="22" t="n">
        <x:v>728.946</x:v>
      </x:c>
      <x:c r="J619" s="24" t="n">
        <x:v>9</x:v>
      </x:c>
      <x:c r="K619" s="26" t="n">
        <x:v>0.4</x:v>
      </x:c>
      <x:c r="L619" s="22" t="n">
        <x:v>-157.93830000000008</x:v>
      </x:c>
      <x:c r="M619" t="n">
        <x:v>2016</x:v>
      </x:c>
      <x:c r="N619" s="20" t="n">
        <x:v>42614</x:v>
      </x:c>
    </x:row>
    <x:row r="620" ht="18" customHeight="1">
      <x:c r="A620" t="str">
        <x:v>CA-2017-138611</x:v>
      </x:c>
      <x:c r="B620" s="18" t="n">
        <x:v>43053</x:v>
      </x:c>
      <x:c r="C620" t="str">
        <x:v>CK-12595</x:v>
      </x:c>
      <x:c r="D620" t="str">
        <x:v>Clytie Kelty</x:v>
      </x:c>
      <x:c r="E620" t="str">
        <x:v>Consumer</x:v>
      </x:c>
      <x:c r="F620" t="str">
        <x:v>East</x:v>
      </x:c>
      <x:c r="G620" t="str">
        <x:v>Technology</x:v>
      </x:c>
      <x:c r="H620" t="str">
        <x:v>Phones</x:v>
      </x:c>
      <x:c r="I620" s="22" t="n">
        <x:v>119.93999999999998</x:v>
      </x:c>
      <x:c r="J620" s="24" t="n">
        <x:v>10</x:v>
      </x:c>
      <x:c r="K620" s="26" t="n">
        <x:v>0.4</x:v>
      </x:c>
      <x:c r="L620" s="22" t="n">
        <x:v>15.99199999999999</x:v>
      </x:c>
      <x:c r="M620" t="n">
        <x:v>2017</x:v>
      </x:c>
      <x:c r="N620" s="20" t="n">
        <x:v>43040</x:v>
      </x:c>
    </x:row>
    <x:row r="621" ht="18" customHeight="1">
      <x:c r="A621" t="str">
        <x:v>CA-2017-138611</x:v>
      </x:c>
      <x:c r="B621" s="18" t="n">
        <x:v>43053</x:v>
      </x:c>
      <x:c r="C621" t="str">
        <x:v>CK-12595</x:v>
      </x:c>
      <x:c r="D621" t="str">
        <x:v>Clytie Kelty</x:v>
      </x:c>
      <x:c r="E621" t="str">
        <x:v>Consumer</x:v>
      </x:c>
      <x:c r="F621" t="str">
        <x:v>East</x:v>
      </x:c>
      <x:c r="G621" t="str">
        <x:v>Office Supplies</x:v>
      </x:c>
      <x:c r="H621" t="str">
        <x:v>Binders</x:v>
      </x:c>
      <x:c r="I621" s="22" t="n">
        <x:v>3.6480000000000006</x:v>
      </x:c>
      <x:c r="J621" s="24" t="n">
        <x:v>2</x:v>
      </x:c>
      <x:c r="K621" s="26" t="n">
        <x:v>0.7</x:v>
      </x:c>
      <x:c r="L621" s="22" t="n">
        <x:v>-2.7967999999999993</x:v>
      </x:c>
      <x:c r="M621" t="n">
        <x:v>2017</x:v>
      </x:c>
      <x:c r="N621" s="20" t="n">
        <x:v>43040</x:v>
      </x:c>
    </x:row>
    <x:row r="622" ht="18" customHeight="1">
      <x:c r="A622" t="str">
        <x:v>CA-2017-117947</x:v>
      </x:c>
      <x:c r="B622" s="18" t="n">
        <x:v>42965</x:v>
      </x:c>
      <x:c r="C622" t="str">
        <x:v>NG-18355</x:v>
      </x:c>
      <x:c r="D622" t="str">
        <x:v>Nat Gilpin</x:v>
      </x:c>
      <x:c r="E622" t="str">
        <x:v>Corporate</x:v>
      </x:c>
      <x:c r="F622" t="str">
        <x:v>East</x:v>
      </x:c>
      <x:c r="G622" t="str">
        <x:v>Furniture</x:v>
      </x:c>
      <x:c r="H622" t="str">
        <x:v>Furnishings</x:v>
      </x:c>
      <x:c r="I622" s="22" t="n">
        <x:v>40.48</x:v>
      </x:c>
      <x:c r="J622" s="24" t="n">
        <x:v>2</x:v>
      </x:c>
      <x:c r="K622" s="26" t="n">
        <x:v>0</x:v>
      </x:c>
      <x:c r="L622" s="22" t="n">
        <x:v>15.787199999999999</x:v>
      </x:c>
      <x:c r="M622" t="n">
        <x:v>2017</x:v>
      </x:c>
      <x:c r="N622" s="20" t="n">
        <x:v>42948</x:v>
      </x:c>
    </x:row>
    <x:row r="623" ht="18" customHeight="1">
      <x:c r="A623" t="str">
        <x:v>CA-2017-117947</x:v>
      </x:c>
      <x:c r="B623" s="18" t="n">
        <x:v>42965</x:v>
      </x:c>
      <x:c r="C623" t="str">
        <x:v>NG-18355</x:v>
      </x:c>
      <x:c r="D623" t="str">
        <x:v>Nat Gilpin</x:v>
      </x:c>
      <x:c r="E623" t="str">
        <x:v>Corporate</x:v>
      </x:c>
      <x:c r="F623" t="str">
        <x:v>East</x:v>
      </x:c>
      <x:c r="G623" t="str">
        <x:v>Furniture</x:v>
      </x:c>
      <x:c r="H623" t="str">
        <x:v>Furnishings</x:v>
      </x:c>
      <x:c r="I623" s="22" t="n">
        <x:v>9.94</x:v>
      </x:c>
      <x:c r="J623" s="24" t="n">
        <x:v>2</x:v>
      </x:c>
      <x:c r="K623" s="26" t="n">
        <x:v>0</x:v>
      </x:c>
      <x:c r="L623" s="22" t="n">
        <x:v>3.0813999999999995</x:v>
      </x:c>
      <x:c r="M623" t="n">
        <x:v>2017</x:v>
      </x:c>
      <x:c r="N623" s="20" t="n">
        <x:v>42948</x:v>
      </x:c>
    </x:row>
    <x:row r="624" ht="18" customHeight="1">
      <x:c r="A624" t="str">
        <x:v>CA-2017-117947</x:v>
      </x:c>
      <x:c r="B624" s="18" t="n">
        <x:v>42965</x:v>
      </x:c>
      <x:c r="C624" t="str">
        <x:v>NG-18355</x:v>
      </x:c>
      <x:c r="D624" t="str">
        <x:v>Nat Gilpin</x:v>
      </x:c>
      <x:c r="E624" t="str">
        <x:v>Corporate</x:v>
      </x:c>
      <x:c r="F624" t="str">
        <x:v>East</x:v>
      </x:c>
      <x:c r="G624" t="str">
        <x:v>Office Supplies</x:v>
      </x:c>
      <x:c r="H624" t="str">
        <x:v>Binders</x:v>
      </x:c>
      <x:c r="I624" s="22" t="n">
        <x:v>107.424</x:v>
      </x:c>
      <x:c r="J624" s="24" t="n">
        <x:v>9</x:v>
      </x:c>
      <x:c r="K624" s="26" t="n">
        <x:v>0.2</x:v>
      </x:c>
      <x:c r="L624" s="22" t="n">
        <x:v>33.569999999999986</x:v>
      </x:c>
      <x:c r="M624" t="n">
        <x:v>2017</x:v>
      </x:c>
      <x:c r="N624" s="20" t="n">
        <x:v>42948</x:v>
      </x:c>
    </x:row>
    <x:row r="625" ht="18" customHeight="1">
      <x:c r="A625" t="str">
        <x:v>CA-2017-117947</x:v>
      </x:c>
      <x:c r="B625" s="18" t="n">
        <x:v>42965</x:v>
      </x:c>
      <x:c r="C625" t="str">
        <x:v>NG-18355</x:v>
      </x:c>
      <x:c r="D625" t="str">
        <x:v>Nat Gilpin</x:v>
      </x:c>
      <x:c r="E625" t="str">
        <x:v>Corporate</x:v>
      </x:c>
      <x:c r="F625" t="str">
        <x:v>East</x:v>
      </x:c>
      <x:c r="G625" t="str">
        <x:v>Technology</x:v>
      </x:c>
      <x:c r="H625" t="str">
        <x:v>Phones</x:v>
      </x:c>
      <x:c r="I625" s="22" t="n">
        <x:v>37.91</x:v>
      </x:c>
      <x:c r="J625" s="24" t="n">
        <x:v>1</x:v>
      </x:c>
      <x:c r="K625" s="26" t="n">
        <x:v>0</x:v>
      </x:c>
      <x:c r="L625" s="22" t="n">
        <x:v>10.993899999999996</x:v>
      </x:c>
      <x:c r="M625" t="n">
        <x:v>2017</x:v>
      </x:c>
      <x:c r="N625" s="20" t="n">
        <x:v>42948</x:v>
      </x:c>
    </x:row>
    <x:row r="626" ht="18" customHeight="1">
      <x:c r="A626" t="str">
        <x:v>CA-2017-117947</x:v>
      </x:c>
      <x:c r="B626" s="18" t="n">
        <x:v>42965</x:v>
      </x:c>
      <x:c r="C626" t="str">
        <x:v>NG-18355</x:v>
      </x:c>
      <x:c r="D626" t="str">
        <x:v>Nat Gilpin</x:v>
      </x:c>
      <x:c r="E626" t="str">
        <x:v>Corporate</x:v>
      </x:c>
      <x:c r="F626" t="str">
        <x:v>East</x:v>
      </x:c>
      <x:c r="G626" t="str">
        <x:v>Furniture</x:v>
      </x:c>
      <x:c r="H626" t="str">
        <x:v>Furnishings</x:v>
      </x:c>
      <x:c r="I626" s="22" t="n">
        <x:v>88.02</x:v>
      </x:c>
      <x:c r="J626" s="24" t="n">
        <x:v>3</x:v>
      </x:c>
      <x:c r="K626" s="26" t="n">
        <x:v>0</x:v>
      </x:c>
      <x:c r="L626" s="22" t="n">
        <x:v>27.286199999999994</x:v>
      </x:c>
      <x:c r="M626" t="n">
        <x:v>2017</x:v>
      </x:c>
      <x:c r="N626" s="20" t="n">
        <x:v>42948</x:v>
      </x:c>
    </x:row>
    <x:row r="627" ht="18" customHeight="1">
      <x:c r="A627" t="str">
        <x:v>US-2014-111171</x:v>
      </x:c>
      <x:c r="B627" s="18" t="n">
        <x:v>41999</x:v>
      </x:c>
      <x:c r="C627" t="str">
        <x:v>CA-12265</x:v>
      </x:c>
      <x:c r="D627" t="str">
        <x:v>Christina Anderson</x:v>
      </x:c>
      <x:c r="E627" t="str">
        <x:v>Consumer</x:v>
      </x:c>
      <x:c r="F627" t="str">
        <x:v>Central</x:v>
      </x:c>
      <x:c r="G627" t="str">
        <x:v>Office Supplies</x:v>
      </x:c>
      <x:c r="H627" t="str">
        <x:v>Binders</x:v>
      </x:c>
      <x:c r="I627" s="22" t="n">
        <x:v>8.689999999999998</x:v>
      </x:c>
      <x:c r="J627" s="24" t="n">
        <x:v>5</x:v>
      </x:c>
      <x:c r="K627" s="26" t="n">
        <x:v>0.8</x:v>
      </x:c>
      <x:c r="L627" s="22" t="n">
        <x:v>-14.773</x:v>
      </x:c>
      <x:c r="M627" t="n">
        <x:v>2014</x:v>
      </x:c>
      <x:c r="N627" s="20" t="n">
        <x:v>41974</x:v>
      </x:c>
    </x:row>
    <x:row r="628" ht="18" customHeight="1">
      <x:c r="A628" t="str">
        <x:v>CA-2015-138009</x:v>
      </x:c>
      <x:c r="B628" s="18" t="n">
        <x:v>42337</x:v>
      </x:c>
      <x:c r="C628" t="str">
        <x:v>SF-20965</x:v>
      </x:c>
      <x:c r="D628" t="str">
        <x:v>Sylvia Foulston</x:v>
      </x:c>
      <x:c r="E628" t="str">
        <x:v>Corporate</x:v>
      </x:c>
      <x:c r="F628" t="str">
        <x:v>Central</x:v>
      </x:c>
      <x:c r="G628" t="str">
        <x:v>Furniture</x:v>
      </x:c>
      <x:c r="H628" t="str">
        <x:v>Chairs</x:v>
      </x:c>
      <x:c r="I628" s="22" t="n">
        <x:v>301.96</x:v>
      </x:c>
      <x:c r="J628" s="24" t="n">
        <x:v>2</x:v>
      </x:c>
      <x:c r="K628" s="26" t="n">
        <x:v>0</x:v>
      </x:c>
      <x:c r="L628" s="22" t="n">
        <x:v>87.56839999999997</x:v>
      </x:c>
      <x:c r="M628" t="n">
        <x:v>2015</x:v>
      </x:c>
      <x:c r="N628" s="20" t="n">
        <x:v>42309</x:v>
      </x:c>
    </x:row>
    <x:row r="629" ht="18" customHeight="1">
      <x:c r="A629" t="str">
        <x:v>CA-2015-138009</x:v>
      </x:c>
      <x:c r="B629" s="18" t="n">
        <x:v>42337</x:v>
      </x:c>
      <x:c r="C629" t="str">
        <x:v>SF-20965</x:v>
      </x:c>
      <x:c r="D629" t="str">
        <x:v>Sylvia Foulston</x:v>
      </x:c>
      <x:c r="E629" t="str">
        <x:v>Corporate</x:v>
      </x:c>
      <x:c r="F629" t="str">
        <x:v>Central</x:v>
      </x:c>
      <x:c r="G629" t="str">
        <x:v>Office Supplies</x:v>
      </x:c>
      <x:c r="H629" t="str">
        <x:v>Appliances</x:v>
      </x:c>
      <x:c r="I629" s="22" t="n">
        <x:v>555.21</x:v>
      </x:c>
      <x:c r="J629" s="24" t="n">
        <x:v>5</x:v>
      </x:c>
      <x:c r="K629" s="26" t="n">
        <x:v>0.1</x:v>
      </x:c>
      <x:c r="L629" s="22" t="n">
        <x:v>178.901</x:v>
      </x:c>
      <x:c r="M629" t="n">
        <x:v>2015</x:v>
      </x:c>
      <x:c r="N629" s="20" t="n">
        <x:v>42309</x:v>
      </x:c>
    </x:row>
    <x:row r="630" ht="18" customHeight="1">
      <x:c r="A630" t="str">
        <x:v>CA-2015-138009</x:v>
      </x:c>
      <x:c r="B630" s="18" t="n">
        <x:v>42337</x:v>
      </x:c>
      <x:c r="C630" t="str">
        <x:v>SF-20965</x:v>
      </x:c>
      <x:c r="D630" t="str">
        <x:v>Sylvia Foulston</x:v>
      </x:c>
      <x:c r="E630" t="str">
        <x:v>Corporate</x:v>
      </x:c>
      <x:c r="F630" t="str">
        <x:v>Central</x:v>
      </x:c>
      <x:c r="G630" t="str">
        <x:v>Office Supplies</x:v>
      </x:c>
      <x:c r="H630" t="str">
        <x:v>Storage</x:v>
      </x:c>
      <x:c r="I630" s="22" t="n">
        <x:v>523.48</x:v>
      </x:c>
      <x:c r="J630" s="24" t="n">
        <x:v>4</x:v>
      </x:c>
      <x:c r="K630" s="26" t="n">
        <x:v>0</x:v>
      </x:c>
      <x:c r="L630" s="22" t="n">
        <x:v>130.87</x:v>
      </x:c>
      <x:c r="M630" t="n">
        <x:v>2015</x:v>
      </x:c>
      <x:c r="N630" s="20" t="n">
        <x:v>42309</x:v>
      </x:c>
    </x:row>
    <x:row r="631" ht="18" customHeight="1">
      <x:c r="A631" t="str">
        <x:v>CA-2015-138009</x:v>
      </x:c>
      <x:c r="B631" s="18" t="n">
        <x:v>42337</x:v>
      </x:c>
      <x:c r="C631" t="str">
        <x:v>SF-20965</x:v>
      </x:c>
      <x:c r="D631" t="str">
        <x:v>Sylvia Foulston</x:v>
      </x:c>
      <x:c r="E631" t="str">
        <x:v>Corporate</x:v>
      </x:c>
      <x:c r="F631" t="str">
        <x:v>Central</x:v>
      </x:c>
      <x:c r="G631" t="str">
        <x:v>Office Supplies</x:v>
      </x:c>
      <x:c r="H631" t="str">
        <x:v>Art</x:v>
      </x:c>
      <x:c r="I631" s="22" t="n">
        <x:v>161.82</x:v>
      </x:c>
      <x:c r="J631" s="24" t="n">
        <x:v>9</x:v>
      </x:c>
      <x:c r="K631" s="26" t="n">
        <x:v>0</x:v>
      </x:c>
      <x:c r="L631" s="22" t="n">
        <x:v>46.92779999999998</x:v>
      </x:c>
      <x:c r="M631" t="n">
        <x:v>2015</x:v>
      </x:c>
      <x:c r="N631" s="20" t="n">
        <x:v>42309</x:v>
      </x:c>
    </x:row>
    <x:row r="632" ht="18" customHeight="1">
      <x:c r="A632" t="str">
        <x:v>CA-2017-163020</x:v>
      </x:c>
      <x:c r="B632" s="18" t="n">
        <x:v>42993</x:v>
      </x:c>
      <x:c r="C632" t="str">
        <x:v>MO-17800</x:v>
      </x:c>
      <x:c r="D632" t="str">
        <x:v>Meg O'Connel</x:v>
      </x:c>
      <x:c r="E632" t="str">
        <x:v>Home Office</x:v>
      </x:c>
      <x:c r="F632" t="str">
        <x:v>East</x:v>
      </x:c>
      <x:c r="G632" t="str">
        <x:v>Furniture</x:v>
      </x:c>
      <x:c r="H632" t="str">
        <x:v>Furnishings</x:v>
      </x:c>
      <x:c r="I632" s="22" t="n">
        <x:v>35.56</x:v>
      </x:c>
      <x:c r="J632" s="24" t="n">
        <x:v>7</x:v>
      </x:c>
      <x:c r="K632" s="26" t="n">
        <x:v>0</x:v>
      </x:c>
      <x:c r="L632" s="22" t="n">
        <x:v>12.090399999999999</x:v>
      </x:c>
      <x:c r="M632" t="n">
        <x:v>2017</x:v>
      </x:c>
      <x:c r="N632" s="20" t="n">
        <x:v>42979</x:v>
      </x:c>
    </x:row>
    <x:row r="633" ht="18" customHeight="1">
      <x:c r="A633" t="str">
        <x:v>CA-2017-153787</x:v>
      </x:c>
      <x:c r="B633" s="18" t="n">
        <x:v>42874</x:v>
      </x:c>
      <x:c r="C633" t="str">
        <x:v>AT-10735</x:v>
      </x:c>
      <x:c r="D633" t="str">
        <x:v>Annie Thurman</x:v>
      </x:c>
      <x:c r="E633" t="str">
        <x:v>Consumer</x:v>
      </x:c>
      <x:c r="F633" t="str">
        <x:v>West</x:v>
      </x:c>
      <x:c r="G633" t="str">
        <x:v>Office Supplies</x:v>
      </x:c>
      <x:c r="H633" t="str">
        <x:v>Appliances</x:v>
      </x:c>
      <x:c r="I633" s="22" t="n">
        <x:v>97.16</x:v>
      </x:c>
      <x:c r="J633" s="24" t="n">
        <x:v>2</x:v>
      </x:c>
      <x:c r="K633" s="26" t="n">
        <x:v>0</x:v>
      </x:c>
      <x:c r="L633" s="22" t="n">
        <x:v>28.176399999999987</x:v>
      </x:c>
      <x:c r="M633" t="n">
        <x:v>2017</x:v>
      </x:c>
      <x:c r="N633" s="20" t="n">
        <x:v>42856</x:v>
      </x:c>
    </x:row>
    <x:row r="634" ht="18" customHeight="1">
      <x:c r="A634" t="str">
        <x:v>CA-2017-133431</x:v>
      </x:c>
      <x:c r="B634" s="18" t="n">
        <x:v>43086</x:v>
      </x:c>
      <x:c r="C634" t="str">
        <x:v>LC-17140</x:v>
      </x:c>
      <x:c r="D634" t="str">
        <x:v>Logan Currie</x:v>
      </x:c>
      <x:c r="E634" t="str">
        <x:v>Consumer</x:v>
      </x:c>
      <x:c r="F634" t="str">
        <x:v>West</x:v>
      </x:c>
      <x:c r="G634" t="str">
        <x:v>Office Supplies</x:v>
      </x:c>
      <x:c r="H634" t="str">
        <x:v>Binders</x:v>
      </x:c>
      <x:c r="I634" s="22" t="n">
        <x:v>15.24</x:v>
      </x:c>
      <x:c r="J634" s="24" t="n">
        <x:v>5</x:v>
      </x:c>
      <x:c r="K634" s="26" t="n">
        <x:v>0.2</x:v>
      </x:c>
      <x:c r="L634" s="22" t="n">
        <x:v>5.143499999999998</x:v>
      </x:c>
      <x:c r="M634" t="n">
        <x:v>2017</x:v>
      </x:c>
      <x:c r="N634" s="20" t="n">
        <x:v>43070</x:v>
      </x:c>
    </x:row>
    <x:row r="635" ht="18" customHeight="1">
      <x:c r="A635" t="str">
        <x:v>CA-2017-133431</x:v>
      </x:c>
      <x:c r="B635" s="18" t="n">
        <x:v>43086</x:v>
      </x:c>
      <x:c r="C635" t="str">
        <x:v>LC-17140</x:v>
      </x:c>
      <x:c r="D635" t="str">
        <x:v>Logan Currie</x:v>
      </x:c>
      <x:c r="E635" t="str">
        <x:v>Consumer</x:v>
      </x:c>
      <x:c r="F635" t="str">
        <x:v>West</x:v>
      </x:c>
      <x:c r="G635" t="str">
        <x:v>Office Supplies</x:v>
      </x:c>
      <x:c r="H635" t="str">
        <x:v>Paper</x:v>
      </x:c>
      <x:c r="I635" s="22" t="n">
        <x:v>13.23</x:v>
      </x:c>
      <x:c r="J635" s="24" t="n">
        <x:v>3</x:v>
      </x:c>
      <x:c r="K635" s="26" t="n">
        <x:v>0</x:v>
      </x:c>
      <x:c r="L635" s="22" t="n">
        <x:v>6.0858</x:v>
      </x:c>
      <x:c r="M635" t="n">
        <x:v>2017</x:v>
      </x:c>
      <x:c r="N635" s="20" t="n">
        <x:v>43070</x:v>
      </x:c>
    </x:row>
    <x:row r="636" ht="18" customHeight="1">
      <x:c r="A636" t="str">
        <x:v>US-2016-135720</x:v>
      </x:c>
      <x:c r="B636" s="18" t="n">
        <x:v>42715</x:v>
      </x:c>
      <x:c r="C636" t="str">
        <x:v>FM-14380</x:v>
      </x:c>
      <x:c r="D636" t="str">
        <x:v>Fred McMath</x:v>
      </x:c>
      <x:c r="E636" t="str">
        <x:v>Consumer</x:v>
      </x:c>
      <x:c r="F636" t="str">
        <x:v>West</x:v>
      </x:c>
      <x:c r="G636" t="str">
        <x:v>Office Supplies</x:v>
      </x:c>
      <x:c r="H636" t="str">
        <x:v>Storage</x:v>
      </x:c>
      <x:c r="I636" s="22" t="n">
        <x:v>243.38400000000001</x:v>
      </x:c>
      <x:c r="J636" s="24" t="n">
        <x:v>3</x:v>
      </x:c>
      <x:c r="K636" s="26" t="n">
        <x:v>0.2</x:v>
      </x:c>
      <x:c r="L636" s="22" t="n">
        <x:v>-51.71910000000001</x:v>
      </x:c>
      <x:c r="M636" t="n">
        <x:v>2016</x:v>
      </x:c>
      <x:c r="N636" s="20" t="n">
        <x:v>42705</x:v>
      </x:c>
    </x:row>
    <x:row r="637" ht="18" customHeight="1">
      <x:c r="A637" t="str">
        <x:v>US-2016-135720</x:v>
      </x:c>
      <x:c r="B637" s="18" t="n">
        <x:v>42715</x:v>
      </x:c>
      <x:c r="C637" t="str">
        <x:v>FM-14380</x:v>
      </x:c>
      <x:c r="D637" t="str">
        <x:v>Fred McMath</x:v>
      </x:c>
      <x:c r="E637" t="str">
        <x:v>Consumer</x:v>
      </x:c>
      <x:c r="F637" t="str">
        <x:v>West</x:v>
      </x:c>
      <x:c r="G637" t="str">
        <x:v>Technology</x:v>
      </x:c>
      <x:c r="H637" t="str">
        <x:v>Accessories</x:v>
      </x:c>
      <x:c r="I637" s="22" t="n">
        <x:v>119.80000000000001</x:v>
      </x:c>
      <x:c r="J637" s="24" t="n">
        <x:v>5</x:v>
      </x:c>
      <x:c r="K637" s="26" t="n">
        <x:v>0.2</x:v>
      </x:c>
      <x:c r="L637" s="22" t="n">
        <x:v>29.950000000000003</x:v>
      </x:c>
      <x:c r="M637" t="n">
        <x:v>2016</x:v>
      </x:c>
      <x:c r="N637" s="20" t="n">
        <x:v>42705</x:v>
      </x:c>
    </x:row>
    <x:row r="638" ht="18" customHeight="1">
      <x:c r="A638" t="str">
        <x:v>US-2016-135720</x:v>
      </x:c>
      <x:c r="B638" s="18" t="n">
        <x:v>42715</x:v>
      </x:c>
      <x:c r="C638" t="str">
        <x:v>FM-14380</x:v>
      </x:c>
      <x:c r="D638" t="str">
        <x:v>Fred McMath</x:v>
      </x:c>
      <x:c r="E638" t="str">
        <x:v>Consumer</x:v>
      </x:c>
      <x:c r="F638" t="str">
        <x:v>West</x:v>
      </x:c>
      <x:c r="G638" t="str">
        <x:v>Technology</x:v>
      </x:c>
      <x:c r="H638" t="str">
        <x:v>Phones</x:v>
      </x:c>
      <x:c r="I638" s="22" t="n">
        <x:v>300.768</x:v>
      </x:c>
      <x:c r="J638" s="24" t="n">
        <x:v>4</x:v>
      </x:c>
      <x:c r="K638" s="26" t="n">
        <x:v>0.2</x:v>
      </x:c>
      <x:c r="L638" s="22" t="n">
        <x:v>30.076800000000006</x:v>
      </x:c>
      <x:c r="M638" t="n">
        <x:v>2016</x:v>
      </x:c>
      <x:c r="N638" s="20" t="n">
        <x:v>42705</x:v>
      </x:c>
    </x:row>
    <x:row r="639" ht="18" customHeight="1">
      <x:c r="A639" t="str">
        <x:v>CA-2017-144694</x:v>
      </x:c>
      <x:c r="B639" s="18" t="n">
        <x:v>43002</x:v>
      </x:c>
      <x:c r="C639" t="str">
        <x:v>BD-11605</x:v>
      </x:c>
      <x:c r="D639" t="str">
        <x:v>Brian Dahlen</x:v>
      </x:c>
      <x:c r="E639" t="str">
        <x:v>Consumer</x:v>
      </x:c>
      <x:c r="F639" t="str">
        <x:v>South</x:v>
      </x:c>
      <x:c r="G639" t="str">
        <x:v>Technology</x:v>
      </x:c>
      <x:c r="H639" t="str">
        <x:v>Accessories</x:v>
      </x:c>
      <x:c r="I639" s="22" t="n">
        <x:v>17.880000000000003</x:v>
      </x:c>
      <x:c r="J639" s="24" t="n">
        <x:v>3</x:v>
      </x:c>
      <x:c r="K639" s="26" t="n">
        <x:v>0.2</x:v>
      </x:c>
      <x:c r="L639" s="22" t="n">
        <x:v>2.458499999999999</x:v>
      </x:c>
      <x:c r="M639" t="n">
        <x:v>2017</x:v>
      </x:c>
      <x:c r="N639" s="20" t="n">
        <x:v>42979</x:v>
      </x:c>
    </x:row>
    <x:row r="640" ht="18" customHeight="1">
      <x:c r="A640" t="str">
        <x:v>CA-2017-144694</x:v>
      </x:c>
      <x:c r="B640" s="18" t="n">
        <x:v>43002</x:v>
      </x:c>
      <x:c r="C640" t="str">
        <x:v>BD-11605</x:v>
      </x:c>
      <x:c r="D640" t="str">
        <x:v>Brian Dahlen</x:v>
      </x:c>
      <x:c r="E640" t="str">
        <x:v>Consumer</x:v>
      </x:c>
      <x:c r="F640" t="str">
        <x:v>South</x:v>
      </x:c>
      <x:c r="G640" t="str">
        <x:v>Office Supplies</x:v>
      </x:c>
      <x:c r="H640" t="str">
        <x:v>Labels</x:v>
      </x:c>
      <x:c r="I640" s="22" t="n">
        <x:v>235.94400000000002</x:v>
      </x:c>
      <x:c r="J640" s="24" t="n">
        <x:v>3</x:v>
      </x:c>
      <x:c r="K640" s="26" t="n">
        <x:v>0.2</x:v>
      </x:c>
      <x:c r="L640" s="22" t="n">
        <x:v>85.5297</x:v>
      </x:c>
      <x:c r="M640" t="n">
        <x:v>2017</x:v>
      </x:c>
      <x:c r="N640" s="20" t="n">
        <x:v>42979</x:v>
      </x:c>
    </x:row>
    <x:row r="641" ht="18" customHeight="1">
      <x:c r="A641" t="str">
        <x:v>CA-2015-168004</x:v>
      </x:c>
      <x:c r="B641" s="18" t="n">
        <x:v>42281</x:v>
      </x:c>
      <x:c r="C641" t="str">
        <x:v>DJ-13420</x:v>
      </x:c>
      <x:c r="D641" t="str">
        <x:v>Denny Joy</x:v>
      </x:c>
      <x:c r="E641" t="str">
        <x:v>Corporate</x:v>
      </x:c>
      <x:c r="F641" t="str">
        <x:v>South</x:v>
      </x:c>
      <x:c r="G641" t="str">
        <x:v>Furniture</x:v>
      </x:c>
      <x:c r="H641" t="str">
        <x:v>Chairs</x:v>
      </x:c>
      <x:c r="I641" s="22" t="n">
        <x:v>392.93999999999994</x:v>
      </x:c>
      <x:c r="J641" s="24" t="n">
        <x:v>3</x:v>
      </x:c>
      <x:c r="K641" s="26" t="n">
        <x:v>0</x:v>
      </x:c>
      <x:c r="L641" s="22" t="n">
        <x:v>43.223399999999984</x:v>
      </x:c>
      <x:c r="M641" t="n">
        <x:v>2015</x:v>
      </x:c>
      <x:c r="N641" s="20" t="n">
        <x:v>42278</x:v>
      </x:c>
    </x:row>
    <x:row r="642" ht="18" customHeight="1">
      <x:c r="A642" t="str">
        <x:v>US-2016-123470</x:v>
      </x:c>
      <x:c r="B642" s="18" t="n">
        <x:v>42597</x:v>
      </x:c>
      <x:c r="C642" t="str">
        <x:v>ME-17725</x:v>
      </x:c>
      <x:c r="D642" t="str">
        <x:v>Max Engle</x:v>
      </x:c>
      <x:c r="E642" t="str">
        <x:v>Consumer</x:v>
      </x:c>
      <x:c r="F642" t="str">
        <x:v>West</x:v>
      </x:c>
      <x:c r="G642" t="str">
        <x:v>Office Supplies</x:v>
      </x:c>
      <x:c r="H642" t="str">
        <x:v>Binders</x:v>
      </x:c>
      <x:c r="I642" s="22" t="n">
        <x:v>18.882000000000005</x:v>
      </x:c>
      <x:c r="J642" s="24" t="n">
        <x:v>3</x:v>
      </x:c>
      <x:c r="K642" s="26" t="n">
        <x:v>0.7</x:v>
      </x:c>
      <x:c r="L642" s="22" t="n">
        <x:v>-13.846800000000002</x:v>
      </x:c>
      <x:c r="M642" t="n">
        <x:v>2016</x:v>
      </x:c>
      <x:c r="N642" s="20" t="n">
        <x:v>42583</x:v>
      </x:c>
    </x:row>
    <x:row r="643" ht="18" customHeight="1">
      <x:c r="A643" t="str">
        <x:v>US-2016-123470</x:v>
      </x:c>
      <x:c r="B643" s="18" t="n">
        <x:v>42597</x:v>
      </x:c>
      <x:c r="C643" t="str">
        <x:v>ME-17725</x:v>
      </x:c>
      <x:c r="D643" t="str">
        <x:v>Max Engle</x:v>
      </x:c>
      <x:c r="E643" t="str">
        <x:v>Consumer</x:v>
      </x:c>
      <x:c r="F643" t="str">
        <x:v>West</x:v>
      </x:c>
      <x:c r="G643" t="str">
        <x:v>Office Supplies</x:v>
      </x:c>
      <x:c r="H643" t="str">
        <x:v>Appliances</x:v>
      </x:c>
      <x:c r="I643" s="22" t="n">
        <x:v>122.328</x:v>
      </x:c>
      <x:c r="J643" s="24" t="n">
        <x:v>3</x:v>
      </x:c>
      <x:c r="K643" s="26" t="n">
        <x:v>0.2</x:v>
      </x:c>
      <x:c r="L643" s="22" t="n">
        <x:v>12.232799999999997</x:v>
      </x:c>
      <x:c r="M643" t="n">
        <x:v>2016</x:v>
      </x:c>
      <x:c r="N643" s="20" t="n">
        <x:v>42583</x:v>
      </x:c>
    </x:row>
    <x:row r="644" ht="18" customHeight="1">
      <x:c r="A644" t="str">
        <x:v>CA-2016-115917</x:v>
      </x:c>
      <x:c r="B644" s="18" t="n">
        <x:v>42510</x:v>
      </x:c>
      <x:c r="C644" t="str">
        <x:v>RB-19465</x:v>
      </x:c>
      <x:c r="D644" t="str">
        <x:v>Rick Bensley</x:v>
      </x:c>
      <x:c r="E644" t="str">
        <x:v>Home Office</x:v>
      </x:c>
      <x:c r="F644" t="str">
        <x:v>West</x:v>
      </x:c>
      <x:c r="G644" t="str">
        <x:v>Furniture</x:v>
      </x:c>
      <x:c r="H644" t="str">
        <x:v>Furnishings</x:v>
      </x:c>
      <x:c r="I644" s="22" t="n">
        <x:v>1049.2</x:v>
      </x:c>
      <x:c r="J644" s="24" t="n">
        <x:v>5</x:v>
      </x:c>
      <x:c r="K644" s="26" t="n">
        <x:v>0</x:v>
      </x:c>
      <x:c r="L644" s="22" t="n">
        <x:v>272.79200000000003</x:v>
      </x:c>
      <x:c r="M644" t="n">
        <x:v>2016</x:v>
      </x:c>
      <x:c r="N644" s="20" t="n">
        <x:v>42491</x:v>
      </x:c>
    </x:row>
    <x:row r="645" ht="18" customHeight="1">
      <x:c r="A645" t="str">
        <x:v>CA-2016-115917</x:v>
      </x:c>
      <x:c r="B645" s="18" t="n">
        <x:v>42510</x:v>
      </x:c>
      <x:c r="C645" t="str">
        <x:v>RB-19465</x:v>
      </x:c>
      <x:c r="D645" t="str">
        <x:v>Rick Bensley</x:v>
      </x:c>
      <x:c r="E645" t="str">
        <x:v>Home Office</x:v>
      </x:c>
      <x:c r="F645" t="str">
        <x:v>West</x:v>
      </x:c>
      <x:c r="G645" t="str">
        <x:v>Office Supplies</x:v>
      </x:c>
      <x:c r="H645" t="str">
        <x:v>Binders</x:v>
      </x:c>
      <x:c r="I645" s="22" t="n">
        <x:v>15.424000000000001</x:v>
      </x:c>
      <x:c r="J645" s="24" t="n">
        <x:v>4</x:v>
      </x:c>
      <x:c r="K645" s="26" t="n">
        <x:v>0.2</x:v>
      </x:c>
      <x:c r="L645" s="22" t="n">
        <x:v>5.0128</x:v>
      </x:c>
      <x:c r="M645" t="n">
        <x:v>2016</x:v>
      </x:c>
      <x:c r="N645" s="20" t="n">
        <x:v>42491</x:v>
      </x:c>
    </x:row>
    <x:row r="646" ht="18" customHeight="1">
      <x:c r="A646" t="str">
        <x:v>CA-2016-147067</x:v>
      </x:c>
      <x:c r="B646" s="18" t="n">
        <x:v>42722</x:v>
      </x:c>
      <x:c r="C646" t="str">
        <x:v>JD-16150</x:v>
      </x:c>
      <x:c r="D646" t="str">
        <x:v>Justin Deggeller</x:v>
      </x:c>
      <x:c r="E646" t="str">
        <x:v>Corporate</x:v>
      </x:c>
      <x:c r="F646" t="str">
        <x:v>Central</x:v>
      </x:c>
      <x:c r="G646" t="str">
        <x:v>Furniture</x:v>
      </x:c>
      <x:c r="H646" t="str">
        <x:v>Furnishings</x:v>
      </x:c>
      <x:c r="I646" s="22" t="n">
        <x:v>18.84</x:v>
      </x:c>
      <x:c r="J646" s="24" t="n">
        <x:v>3</x:v>
      </x:c>
      <x:c r="K646" s="26" t="n">
        <x:v>0</x:v>
      </x:c>
      <x:c r="L646" s="22" t="n">
        <x:v>6.0287999999999995</x:v>
      </x:c>
      <x:c r="M646" t="n">
        <x:v>2016</x:v>
      </x:c>
      <x:c r="N646" s="20" t="n">
        <x:v>42705</x:v>
      </x:c>
    </x:row>
    <x:row r="647" ht="18" customHeight="1">
      <x:c r="A647" t="str">
        <x:v>CA-2017-167913</x:v>
      </x:c>
      <x:c r="B647" s="18" t="n">
        <x:v>42946</x:v>
      </x:c>
      <x:c r="C647" t="str">
        <x:v>JL-15835</x:v>
      </x:c>
      <x:c r="D647" t="str">
        <x:v>John Lee</x:v>
      </x:c>
      <x:c r="E647" t="str">
        <x:v>Consumer</x:v>
      </x:c>
      <x:c r="F647" t="str">
        <x:v>West</x:v>
      </x:c>
      <x:c r="G647" t="str">
        <x:v>Office Supplies</x:v>
      </x:c>
      <x:c r="H647" t="str">
        <x:v>Storage</x:v>
      </x:c>
      <x:c r="I647" s="22" t="n">
        <x:v>330.4</x:v>
      </x:c>
      <x:c r="J647" s="24" t="n">
        <x:v>2</x:v>
      </x:c>
      <x:c r="K647" s="26" t="n">
        <x:v>0</x:v>
      </x:c>
      <x:c r="L647" s="22" t="n">
        <x:v>85.904</x:v>
      </x:c>
      <x:c r="M647" t="n">
        <x:v>2017</x:v>
      </x:c>
      <x:c r="N647" s="20" t="n">
        <x:v>42917</x:v>
      </x:c>
    </x:row>
    <x:row r="648" ht="18" customHeight="1">
      <x:c r="A648" t="str">
        <x:v>CA-2017-167913</x:v>
      </x:c>
      <x:c r="B648" s="18" t="n">
        <x:v>42946</x:v>
      </x:c>
      <x:c r="C648" t="str">
        <x:v>JL-15835</x:v>
      </x:c>
      <x:c r="D648" t="str">
        <x:v>John Lee</x:v>
      </x:c>
      <x:c r="E648" t="str">
        <x:v>Consumer</x:v>
      </x:c>
      <x:c r="F648" t="str">
        <x:v>West</x:v>
      </x:c>
      <x:c r="G648" t="str">
        <x:v>Office Supplies</x:v>
      </x:c>
      <x:c r="H648" t="str">
        <x:v>Labels</x:v>
      </x:c>
      <x:c r="I648" s="22" t="n">
        <x:v>26.25</x:v>
      </x:c>
      <x:c r="J648" s="24" t="n">
        <x:v>7</x:v>
      </x:c>
      <x:c r="K648" s="26" t="n">
        <x:v>0</x:v>
      </x:c>
      <x:c r="L648" s="22" t="n">
        <x:v>12.599999999999998</x:v>
      </x:c>
      <x:c r="M648" t="n">
        <x:v>2017</x:v>
      </x:c>
      <x:c r="N648" s="20" t="n">
        <x:v>42917</x:v>
      </x:c>
    </x:row>
    <x:row r="649" ht="18" customHeight="1">
      <x:c r="A649" t="str">
        <x:v>CA-2017-106103</x:v>
      </x:c>
      <x:c r="B649" s="18" t="n">
        <x:v>42896</x:v>
      </x:c>
      <x:c r="C649" t="str">
        <x:v>SC-20305</x:v>
      </x:c>
      <x:c r="D649" t="str">
        <x:v>Sean Christensen</x:v>
      </x:c>
      <x:c r="E649" t="str">
        <x:v>Consumer</x:v>
      </x:c>
      <x:c r="F649" t="str">
        <x:v>Central</x:v>
      </x:c>
      <x:c r="G649" t="str">
        <x:v>Technology</x:v>
      </x:c>
      <x:c r="H649" t="str">
        <x:v>Accessories</x:v>
      </x:c>
      <x:c r="I649" s="22" t="n">
        <x:v>132.52</x:v>
      </x:c>
      <x:c r="J649" s="24" t="n">
        <x:v>4</x:v>
      </x:c>
      <x:c r="K649" s="26" t="n">
        <x:v>0</x:v>
      </x:c>
      <x:c r="L649" s="22" t="n">
        <x:v>54.333200000000005</x:v>
      </x:c>
      <x:c r="M649" t="n">
        <x:v>2017</x:v>
      </x:c>
      <x:c r="N649" s="20" t="n">
        <x:v>42887</x:v>
      </x:c>
    </x:row>
    <x:row r="650" ht="18" customHeight="1">
      <x:c r="A650" t="str">
        <x:v>US-2017-127719</x:v>
      </x:c>
      <x:c r="B650" s="18" t="n">
        <x:v>42937</x:v>
      </x:c>
      <x:c r="C650" t="str">
        <x:v>TW-21025</x:v>
      </x:c>
      <x:c r="D650" t="str">
        <x:v>Tamara Willingham</x:v>
      </x:c>
      <x:c r="E650" t="str">
        <x:v>Home Office</x:v>
      </x:c>
      <x:c r="F650" t="str">
        <x:v>East</x:v>
      </x:c>
      <x:c r="G650" t="str">
        <x:v>Office Supplies</x:v>
      </x:c>
      <x:c r="H650" t="str">
        <x:v>Paper</x:v>
      </x:c>
      <x:c r="I650" s="22" t="n">
        <x:v>6.48</x:v>
      </x:c>
      <x:c r="J650" s="24" t="n">
        <x:v>1</x:v>
      </x:c>
      <x:c r="K650" s="26" t="n">
        <x:v>0</x:v>
      </x:c>
      <x:c r="L650" s="22" t="n">
        <x:v>3.1752000000000002</x:v>
      </x:c>
      <x:c r="M650" t="n">
        <x:v>2017</x:v>
      </x:c>
      <x:c r="N650" s="20" t="n">
        <x:v>42917</x:v>
      </x:c>
    </x:row>
    <x:row r="651" ht="18" customHeight="1">
      <x:c r="A651" t="str">
        <x:v>CA-2017-126221</x:v>
      </x:c>
      <x:c r="B651" s="18" t="n">
        <x:v>43099</x:v>
      </x:c>
      <x:c r="C651" t="str">
        <x:v>CC-12430</x:v>
      </x:c>
      <x:c r="D651" t="str">
        <x:v>Chuck Clark</x:v>
      </x:c>
      <x:c r="E651" t="str">
        <x:v>Home Office</x:v>
      </x:c>
      <x:c r="F651" t="str">
        <x:v>Central</x:v>
      </x:c>
      <x:c r="G651" t="str">
        <x:v>Office Supplies</x:v>
      </x:c>
      <x:c r="H651" t="str">
        <x:v>Appliances</x:v>
      </x:c>
      <x:c r="I651" s="22" t="n">
        <x:v>209.3</x:v>
      </x:c>
      <x:c r="J651" s="24" t="n">
        <x:v>2</x:v>
      </x:c>
      <x:c r="K651" s="26" t="n">
        <x:v>0</x:v>
      </x:c>
      <x:c r="L651" s="22" t="n">
        <x:v>56.510999999999996</x:v>
      </x:c>
      <x:c r="M651" t="n">
        <x:v>2017</x:v>
      </x:c>
      <x:c r="N651" s="20" t="n">
        <x:v>43070</x:v>
      </x:c>
    </x:row>
    <x:row r="652" ht="18" customHeight="1">
      <x:c r="A652" t="str">
        <x:v>CA-2016-103947</x:v>
      </x:c>
      <x:c r="B652" s="18" t="n">
        <x:v>42461</x:v>
      </x:c>
      <x:c r="C652" t="str">
        <x:v>BB-10990</x:v>
      </x:c>
      <x:c r="D652" t="str">
        <x:v>Barry Blumstein</x:v>
      </x:c>
      <x:c r="E652" t="str">
        <x:v>Corporate</x:v>
      </x:c>
      <x:c r="F652" t="str">
        <x:v>West</x:v>
      </x:c>
      <x:c r="G652" t="str">
        <x:v>Office Supplies</x:v>
      </x:c>
      <x:c r="H652" t="str">
        <x:v>Fasteners</x:v>
      </x:c>
      <x:c r="I652" s="22" t="n">
        <x:v>31.560000000000002</x:v>
      </x:c>
      <x:c r="J652" s="24" t="n">
        <x:v>5</x:v>
      </x:c>
      <x:c r="K652" s="26" t="n">
        <x:v>0.2</x:v>
      </x:c>
      <x:c r="L652" s="22" t="n">
        <x:v>9.862499999999997</x:v>
      </x:c>
      <x:c r="M652" t="n">
        <x:v>2016</x:v>
      </x:c>
      <x:c r="N652" s="20" t="n">
        <x:v>42461</x:v>
      </x:c>
    </x:row>
    <x:row r="653" ht="18" customHeight="1">
      <x:c r="A653" t="str">
        <x:v>CA-2016-103947</x:v>
      </x:c>
      <x:c r="B653" s="18" t="n">
        <x:v>42461</x:v>
      </x:c>
      <x:c r="C653" t="str">
        <x:v>BB-10990</x:v>
      </x:c>
      <x:c r="D653" t="str">
        <x:v>Barry Blumstein</x:v>
      </x:c>
      <x:c r="E653" t="str">
        <x:v>Corporate</x:v>
      </x:c>
      <x:c r="F653" t="str">
        <x:v>West</x:v>
      </x:c>
      <x:c r="G653" t="str">
        <x:v>Office Supplies</x:v>
      </x:c>
      <x:c r="H653" t="str">
        <x:v>Appliances</x:v>
      </x:c>
      <x:c r="I653" s="22" t="n">
        <x:v>30.144000000000002</x:v>
      </x:c>
      <x:c r="J653" s="24" t="n">
        <x:v>2</x:v>
      </x:c>
      <x:c r="K653" s="26" t="n">
        <x:v>0.2</x:v>
      </x:c>
      <x:c r="L653" s="22" t="n">
        <x:v>3.0143999999999993</x:v>
      </x:c>
      <x:c r="M653" t="n">
        <x:v>2016</x:v>
      </x:c>
      <x:c r="N653" s="20" t="n">
        <x:v>42461</x:v>
      </x:c>
    </x:row>
    <x:row r="654" ht="18" customHeight="1">
      <x:c r="A654" t="str">
        <x:v>CA-2016-160745</x:v>
      </x:c>
      <x:c r="B654" s="18" t="n">
        <x:v>42715</x:v>
      </x:c>
      <x:c r="C654" t="str">
        <x:v>AR-10825</x:v>
      </x:c>
      <x:c r="D654" t="str">
        <x:v>Anthony Rawles</x:v>
      </x:c>
      <x:c r="E654" t="str">
        <x:v>Corporate</x:v>
      </x:c>
      <x:c r="F654" t="str">
        <x:v>West</x:v>
      </x:c>
      <x:c r="G654" t="str">
        <x:v>Furniture</x:v>
      </x:c>
      <x:c r="H654" t="str">
        <x:v>Furnishings</x:v>
      </x:c>
      <x:c r="I654" s="22" t="n">
        <x:v>14.8</x:v>
      </x:c>
      <x:c r="J654" s="24" t="n">
        <x:v>4</x:v>
      </x:c>
      <x:c r="K654" s="26" t="n">
        <x:v>0</x:v>
      </x:c>
      <x:c r="L654" s="22" t="n">
        <x:v>6.068000000000001</x:v>
      </x:c>
      <x:c r="M654" t="n">
        <x:v>2016</x:v>
      </x:c>
      <x:c r="N654" s="20" t="n">
        <x:v>42705</x:v>
      </x:c>
    </x:row>
    <x:row r="655" ht="18" customHeight="1">
      <x:c r="A655" t="str">
        <x:v>CA-2016-160745</x:v>
      </x:c>
      <x:c r="B655" s="18" t="n">
        <x:v>42715</x:v>
      </x:c>
      <x:c r="C655" t="str">
        <x:v>AR-10825</x:v>
      </x:c>
      <x:c r="D655" t="str">
        <x:v>Anthony Rawles</x:v>
      </x:c>
      <x:c r="E655" t="str">
        <x:v>Corporate</x:v>
      </x:c>
      <x:c r="F655" t="str">
        <x:v>West</x:v>
      </x:c>
      <x:c r="G655" t="str">
        <x:v>Technology</x:v>
      </x:c>
      <x:c r="H655" t="str">
        <x:v>Phones</x:v>
      </x:c>
      <x:c r="I655" s="22" t="n">
        <x:v>302.376</x:v>
      </x:c>
      <x:c r="J655" s="24" t="n">
        <x:v>3</x:v>
      </x:c>
      <x:c r="K655" s="26" t="n">
        <x:v>0.2</x:v>
      </x:c>
      <x:c r="L655" s="22" t="n">
        <x:v>22.678200000000018</x:v>
      </x:c>
      <x:c r="M655" t="n">
        <x:v>2016</x:v>
      </x:c>
      <x:c r="N655" s="20" t="n">
        <x:v>42705</x:v>
      </x:c>
    </x:row>
    <x:row r="656" ht="18" customHeight="1">
      <x:c r="A656" t="str">
        <x:v>CA-2016-160745</x:v>
      </x:c>
      <x:c r="B656" s="18" t="n">
        <x:v>42715</x:v>
      </x:c>
      <x:c r="C656" t="str">
        <x:v>AR-10825</x:v>
      </x:c>
      <x:c r="D656" t="str">
        <x:v>Anthony Rawles</x:v>
      </x:c>
      <x:c r="E656" t="str">
        <x:v>Corporate</x:v>
      </x:c>
      <x:c r="F656" t="str">
        <x:v>West</x:v>
      </x:c>
      <x:c r="G656" t="str">
        <x:v>Technology</x:v>
      </x:c>
      <x:c r="H656" t="str">
        <x:v>Accessories</x:v>
      </x:c>
      <x:c r="I656" s="22" t="n">
        <x:v>316</x:v>
      </x:c>
      <x:c r="J656" s="24" t="n">
        <x:v>4</x:v>
      </x:c>
      <x:c r="K656" s="26" t="n">
        <x:v>0</x:v>
      </x:c>
      <x:c r="L656" s="22" t="n">
        <x:v>31.599999999999966</x:v>
      </x:c>
      <x:c r="M656" t="n">
        <x:v>2016</x:v>
      </x:c>
      <x:c r="N656" s="20" t="n">
        <x:v>42705</x:v>
      </x:c>
    </x:row>
    <x:row r="657" ht="18" customHeight="1">
      <x:c r="A657" t="str">
        <x:v>CA-2016-132661</x:v>
      </x:c>
      <x:c r="B657" s="18" t="n">
        <x:v>42666</x:v>
      </x:c>
      <x:c r="C657" t="str">
        <x:v>SR-20740</x:v>
      </x:c>
      <x:c r="D657" t="str">
        <x:v>Steven Roelle</x:v>
      </x:c>
      <x:c r="E657" t="str">
        <x:v>Home Office</x:v>
      </x:c>
      <x:c r="F657" t="str">
        <x:v>East</x:v>
      </x:c>
      <x:c r="G657" t="str">
        <x:v>Office Supplies</x:v>
      </x:c>
      <x:c r="H657" t="str">
        <x:v>Paper</x:v>
      </x:c>
      <x:c r="I657" s="22" t="n">
        <x:v>379.4</x:v>
      </x:c>
      <x:c r="J657" s="24" t="n">
        <x:v>10</x:v>
      </x:c>
      <x:c r="K657" s="26" t="n">
        <x:v>0</x:v>
      </x:c>
      <x:c r="L657" s="22" t="n">
        <x:v>178.31799999999998</x:v>
      </x:c>
      <x:c r="M657" t="n">
        <x:v>2016</x:v>
      </x:c>
      <x:c r="N657" s="20" t="n">
        <x:v>42644</x:v>
      </x:c>
    </x:row>
    <x:row r="658" ht="18" customHeight="1">
      <x:c r="A658" t="str">
        <x:v>CA-2017-140844</x:v>
      </x:c>
      <x:c r="B658" s="18" t="n">
        <x:v>42905</x:v>
      </x:c>
      <x:c r="C658" t="str">
        <x:v>AR-10405</x:v>
      </x:c>
      <x:c r="D658" t="str">
        <x:v>Allen Rosenblatt</x:v>
      </x:c>
      <x:c r="E658" t="str">
        <x:v>Corporate</x:v>
      </x:c>
      <x:c r="F658" t="str">
        <x:v>East</x:v>
      </x:c>
      <x:c r="G658" t="str">
        <x:v>Office Supplies</x:v>
      </x:c>
      <x:c r="H658" t="str">
        <x:v>Paper</x:v>
      </x:c>
      <x:c r="I658" s="22" t="n">
        <x:v>97.82</x:v>
      </x:c>
      <x:c r="J658" s="24" t="n">
        <x:v>2</x:v>
      </x:c>
      <x:c r="K658" s="26" t="n">
        <x:v>0</x:v>
      </x:c>
      <x:c r="L658" s="22" t="n">
        <x:v>45.97539999999999</x:v>
      </x:c>
      <x:c r="M658" t="n">
        <x:v>2017</x:v>
      </x:c>
      <x:c r="N658" s="20" t="n">
        <x:v>42887</x:v>
      </x:c>
    </x:row>
    <x:row r="659" ht="18" customHeight="1">
      <x:c r="A659" t="str">
        <x:v>CA-2017-140844</x:v>
      </x:c>
      <x:c r="B659" s="18" t="n">
        <x:v>42905</x:v>
      </x:c>
      <x:c r="C659" t="str">
        <x:v>AR-10405</x:v>
      </x:c>
      <x:c r="D659" t="str">
        <x:v>Allen Rosenblatt</x:v>
      </x:c>
      <x:c r="E659" t="str">
        <x:v>Corporate</x:v>
      </x:c>
      <x:c r="F659" t="str">
        <x:v>East</x:v>
      </x:c>
      <x:c r="G659" t="str">
        <x:v>Technology</x:v>
      </x:c>
      <x:c r="H659" t="str">
        <x:v>Accessories</x:v>
      </x:c>
      <x:c r="I659" s="22" t="n">
        <x:v>103.12</x:v>
      </x:c>
      <x:c r="J659" s="24" t="n">
        <x:v>8</x:v>
      </x:c>
      <x:c r="K659" s="26" t="n">
        <x:v>0</x:v>
      </x:c>
      <x:c r="L659" s="22" t="n">
        <x:v>10.311999999999998</x:v>
      </x:c>
      <x:c r="M659" t="n">
        <x:v>2017</x:v>
      </x:c>
      <x:c r="N659" s="20" t="n">
        <x:v>42887</x:v>
      </x:c>
    </x:row>
    <x:row r="660" ht="18" customHeight="1">
      <x:c r="A660" t="str">
        <x:v>CA-2016-137239</x:v>
      </x:c>
      <x:c r="B660" s="18" t="n">
        <x:v>42604</x:v>
      </x:c>
      <x:c r="C660" t="str">
        <x:v>CR-12730</x:v>
      </x:c>
      <x:c r="D660" t="str">
        <x:v>Craig Reiter</x:v>
      </x:c>
      <x:c r="E660" t="str">
        <x:v>Consumer</x:v>
      </x:c>
      <x:c r="F660" t="str">
        <x:v>East</x:v>
      </x:c>
      <x:c r="G660" t="str">
        <x:v>Office Supplies</x:v>
      </x:c>
      <x:c r="H660" t="str">
        <x:v>Appliances</x:v>
      </x:c>
      <x:c r="I660" s="22" t="n">
        <x:v>113.552</x:v>
      </x:c>
      <x:c r="J660" s="24" t="n">
        <x:v>2</x:v>
      </x:c>
      <x:c r="K660" s="26" t="n">
        <x:v>0.2</x:v>
      </x:c>
      <x:c r="L660" s="22" t="n">
        <x:v>8.516399999999994</x:v>
      </x:c>
      <x:c r="M660" t="n">
        <x:v>2016</x:v>
      </x:c>
      <x:c r="N660" s="20" t="n">
        <x:v>42583</x:v>
      </x:c>
    </x:row>
    <x:row r="661" ht="18" customHeight="1">
      <x:c r="A661" t="str">
        <x:v>CA-2016-137239</x:v>
      </x:c>
      <x:c r="B661" s="18" t="n">
        <x:v>42604</x:v>
      </x:c>
      <x:c r="C661" t="str">
        <x:v>CR-12730</x:v>
      </x:c>
      <x:c r="D661" t="str">
        <x:v>Craig Reiter</x:v>
      </x:c>
      <x:c r="E661" t="str">
        <x:v>Consumer</x:v>
      </x:c>
      <x:c r="F661" t="str">
        <x:v>East</x:v>
      </x:c>
      <x:c r="G661" t="str">
        <x:v>Office Supplies</x:v>
      </x:c>
      <x:c r="H661" t="str">
        <x:v>Binders</x:v>
      </x:c>
      <x:c r="I661" s="22" t="n">
        <x:v>3.3180000000000005</x:v>
      </x:c>
      <x:c r="J661" s="24" t="n">
        <x:v>2</x:v>
      </x:c>
      <x:c r="K661" s="26" t="n">
        <x:v>0.7</x:v>
      </x:c>
      <x:c r="L661" s="22" t="n">
        <x:v>-2.6544</x:v>
      </x:c>
      <x:c r="M661" t="n">
        <x:v>2016</x:v>
      </x:c>
      <x:c r="N661" s="20" t="n">
        <x:v>42583</x:v>
      </x:c>
    </x:row>
    <x:row r="662" ht="18" customHeight="1">
      <x:c r="A662" t="str">
        <x:v>CA-2016-137239</x:v>
      </x:c>
      <x:c r="B662" s="18" t="n">
        <x:v>42604</x:v>
      </x:c>
      <x:c r="C662" t="str">
        <x:v>CR-12730</x:v>
      </x:c>
      <x:c r="D662" t="str">
        <x:v>Craig Reiter</x:v>
      </x:c>
      <x:c r="E662" t="str">
        <x:v>Consumer</x:v>
      </x:c>
      <x:c r="F662" t="str">
        <x:v>East</x:v>
      </x:c>
      <x:c r="G662" t="str">
        <x:v>Office Supplies</x:v>
      </x:c>
      <x:c r="H662" t="str">
        <x:v>Envelopes</x:v>
      </x:c>
      <x:c r="I662" s="22" t="n">
        <x:v>134.288</x:v>
      </x:c>
      <x:c r="J662" s="24" t="n">
        <x:v>2</x:v>
      </x:c>
      <x:c r="K662" s="26" t="n">
        <x:v>0.2</x:v>
      </x:c>
      <x:c r="L662" s="22" t="n">
        <x:v>45.322199999999995</x:v>
      </x:c>
      <x:c r="M662" t="n">
        <x:v>2016</x:v>
      </x:c>
      <x:c r="N662" s="20" t="n">
        <x:v>42583</x:v>
      </x:c>
    </x:row>
    <x:row r="663" ht="18" customHeight="1">
      <x:c r="A663" t="str">
        <x:v>US-2016-156097</x:v>
      </x:c>
      <x:c r="B663" s="18" t="n">
        <x:v>42632</x:v>
      </x:c>
      <x:c r="C663" t="str">
        <x:v>EH-14125</x:v>
      </x:c>
      <x:c r="D663" t="str">
        <x:v>Eugene Hildebrand</x:v>
      </x:c>
      <x:c r="E663" t="str">
        <x:v>Home Office</x:v>
      </x:c>
      <x:c r="F663" t="str">
        <x:v>Central</x:v>
      </x:c>
      <x:c r="G663" t="str">
        <x:v>Furniture</x:v>
      </x:c>
      <x:c r="H663" t="str">
        <x:v>Chairs</x:v>
      </x:c>
      <x:c r="I663" s="22" t="n">
        <x:v>701.372</x:v>
      </x:c>
      <x:c r="J663" s="24" t="n">
        <x:v>2</x:v>
      </x:c>
      <x:c r="K663" s="26" t="n">
        <x:v>0.3</x:v>
      </x:c>
      <x:c r="L663" s="22" t="n">
        <x:v>-50.09800000000001</x:v>
      </x:c>
      <x:c r="M663" t="n">
        <x:v>2016</x:v>
      </x:c>
      <x:c r="N663" s="20" t="n">
        <x:v>42614</x:v>
      </x:c>
    </x:row>
    <x:row r="664" ht="18" customHeight="1">
      <x:c r="A664" t="str">
        <x:v>US-2016-156097</x:v>
      </x:c>
      <x:c r="B664" s="18" t="n">
        <x:v>42632</x:v>
      </x:c>
      <x:c r="C664" t="str">
        <x:v>EH-14125</x:v>
      </x:c>
      <x:c r="D664" t="str">
        <x:v>Eugene Hildebrand</x:v>
      </x:c>
      <x:c r="E664" t="str">
        <x:v>Home Office</x:v>
      </x:c>
      <x:c r="F664" t="str">
        <x:v>Central</x:v>
      </x:c>
      <x:c r="G664" t="str">
        <x:v>Office Supplies</x:v>
      </x:c>
      <x:c r="H664" t="str">
        <x:v>Binders</x:v>
      </x:c>
      <x:c r="I664" s="22" t="n">
        <x:v>2.3079999999999994</x:v>
      </x:c>
      <x:c r="J664" s="24" t="n">
        <x:v>2</x:v>
      </x:c>
      <x:c r="K664" s="26" t="n">
        <x:v>0.8</x:v>
      </x:c>
      <x:c r="L664" s="22" t="n">
        <x:v>-3.4619999999999997</x:v>
      </x:c>
      <x:c r="M664" t="n">
        <x:v>2016</x:v>
      </x:c>
      <x:c r="N664" s="20" t="n">
        <x:v>42614</x:v>
      </x:c>
    </x:row>
    <x:row r="665" ht="18" customHeight="1">
      <x:c r="A665" t="str">
        <x:v>CA-2015-146563</x:v>
      </x:c>
      <x:c r="B665" s="18" t="n">
        <x:v>42240</x:v>
      </x:c>
      <x:c r="C665" t="str">
        <x:v>CB-12025</x:v>
      </x:c>
      <x:c r="D665" t="str">
        <x:v>Cassandra Brandow</x:v>
      </x:c>
      <x:c r="E665" t="str">
        <x:v>Consumer</x:v>
      </x:c>
      <x:c r="F665" t="str">
        <x:v>Central</x:v>
      </x:c>
      <x:c r="G665" t="str">
        <x:v>Office Supplies</x:v>
      </x:c>
      <x:c r="H665" t="str">
        <x:v>Storage</x:v>
      </x:c>
      <x:c r="I665" s="22" t="n">
        <x:v>999.432</x:v>
      </x:c>
      <x:c r="J665" s="24" t="n">
        <x:v>7</x:v>
      </x:c>
      <x:c r="K665" s="26" t="n">
        <x:v>0.2</x:v>
      </x:c>
      <x:c r="L665" s="22" t="n">
        <x:v>124.92899999999986</x:v>
      </x:c>
      <x:c r="M665" t="n">
        <x:v>2015</x:v>
      </x:c>
      <x:c r="N665" s="20" t="n">
        <x:v>42217</x:v>
      </x:c>
    </x:row>
    <x:row r="666" ht="18" customHeight="1">
      <x:c r="A666" t="str">
        <x:v>CA-2015-146563</x:v>
      </x:c>
      <x:c r="B666" s="18" t="n">
        <x:v>42240</x:v>
      </x:c>
      <x:c r="C666" t="str">
        <x:v>CB-12025</x:v>
      </x:c>
      <x:c r="D666" t="str">
        <x:v>Cassandra Brandow</x:v>
      </x:c>
      <x:c r="E666" t="str">
        <x:v>Consumer</x:v>
      </x:c>
      <x:c r="F666" t="str">
        <x:v>Central</x:v>
      </x:c>
      <x:c r="G666" t="str">
        <x:v>Office Supplies</x:v>
      </x:c>
      <x:c r="H666" t="str">
        <x:v>Storage</x:v>
      </x:c>
      <x:c r="I666" s="22" t="n">
        <x:v>724.08</x:v>
      </x:c>
      <x:c r="J666" s="24" t="n">
        <x:v>14</x:v>
      </x:c>
      <x:c r="K666" s="26" t="n">
        <x:v>0.2</x:v>
      </x:c>
      <x:c r="L666" s="22" t="n">
        <x:v>-135.7650000000001</x:v>
      </x:c>
      <x:c r="M666" t="n">
        <x:v>2015</x:v>
      </x:c>
      <x:c r="N666" s="20" t="n">
        <x:v>42217</x:v>
      </x:c>
    </x:row>
    <x:row r="667" ht="18" customHeight="1">
      <x:c r="A667" t="str">
        <x:v>CA-2015-146563</x:v>
      </x:c>
      <x:c r="B667" s="18" t="n">
        <x:v>42240</x:v>
      </x:c>
      <x:c r="C667" t="str">
        <x:v>CB-12025</x:v>
      </x:c>
      <x:c r="D667" t="str">
        <x:v>Cassandra Brandow</x:v>
      </x:c>
      <x:c r="E667" t="str">
        <x:v>Consumer</x:v>
      </x:c>
      <x:c r="F667" t="str">
        <x:v>Central</x:v>
      </x:c>
      <x:c r="G667" t="str">
        <x:v>Furniture</x:v>
      </x:c>
      <x:c r="H667" t="str">
        <x:v>Tables</x:v>
      </x:c>
      <x:c r="I667" s="22" t="n">
        <x:v>918.7849999999999</x:v>
      </x:c>
      <x:c r="J667" s="24" t="n">
        <x:v>5</x:v>
      </x:c>
      <x:c r="K667" s="26" t="n">
        <x:v>0.3</x:v>
      </x:c>
      <x:c r="L667" s="22" t="n">
        <x:v>-118.12950000000006</x:v>
      </x:c>
      <x:c r="M667" t="n">
        <x:v>2015</x:v>
      </x:c>
      <x:c r="N667" s="20" t="n">
        <x:v>42217</x:v>
      </x:c>
    </x:row>
    <x:row r="668" ht="18" customHeight="1">
      <x:c r="A668" t="str">
        <x:v>CA-2015-146563</x:v>
      </x:c>
      <x:c r="B668" s="18" t="n">
        <x:v>42240</x:v>
      </x:c>
      <x:c r="C668" t="str">
        <x:v>CB-12025</x:v>
      </x:c>
      <x:c r="D668" t="str">
        <x:v>Cassandra Brandow</x:v>
      </x:c>
      <x:c r="E668" t="str">
        <x:v>Consumer</x:v>
      </x:c>
      <x:c r="F668" t="str">
        <x:v>Central</x:v>
      </x:c>
      <x:c r="G668" t="str">
        <x:v>Office Supplies</x:v>
      </x:c>
      <x:c r="H668" t="str">
        <x:v>Binders</x:v>
      </x:c>
      <x:c r="I668" s="22" t="n">
        <x:v>2.7239999999999993</x:v>
      </x:c>
      <x:c r="J668" s="24" t="n">
        <x:v>3</x:v>
      </x:c>
      <x:c r="K668" s="26" t="n">
        <x:v>0.8</x:v>
      </x:c>
      <x:c r="L668" s="22" t="n">
        <x:v>-4.222200000000001</x:v>
      </x:c>
      <x:c r="M668" t="n">
        <x:v>2015</x:v>
      </x:c>
      <x:c r="N668" s="20" t="n">
        <x:v>42217</x:v>
      </x:c>
    </x:row>
    <x:row r="669" ht="18" customHeight="1">
      <x:c r="A669" t="str">
        <x:v>CA-2016-123666</x:v>
      </x:c>
      <x:c r="B669" s="18" t="n">
        <x:v>42455</x:v>
      </x:c>
      <x:c r="C669" t="str">
        <x:v>SP-20545</x:v>
      </x:c>
      <x:c r="D669" t="str">
        <x:v>Sibella Parks</x:v>
      </x:c>
      <x:c r="E669" t="str">
        <x:v>Corporate</x:v>
      </x:c>
      <x:c r="F669" t="str">
        <x:v>East</x:v>
      </x:c>
      <x:c r="G669" t="str">
        <x:v>Office Supplies</x:v>
      </x:c>
      <x:c r="H669" t="str">
        <x:v>Storage</x:v>
      </x:c>
      <x:c r="I669" s="22" t="n">
        <x:v>459.95</x:v>
      </x:c>
      <x:c r="J669" s="24" t="n">
        <x:v>5</x:v>
      </x:c>
      <x:c r="K669" s="26" t="n">
        <x:v>0</x:v>
      </x:c>
      <x:c r="L669" s="22" t="n">
        <x:v>18.397999999999968</x:v>
      </x:c>
      <x:c r="M669" t="n">
        <x:v>2016</x:v>
      </x:c>
      <x:c r="N669" s="20" t="n">
        <x:v>42430</x:v>
      </x:c>
    </x:row>
    <x:row r="670" ht="18" customHeight="1">
      <x:c r="A670" t="str">
        <x:v>CA-2016-143308</x:v>
      </x:c>
      <x:c r="B670" s="18" t="n">
        <x:v>42678</x:v>
      </x:c>
      <x:c r="C670" t="str">
        <x:v>RC-19825</x:v>
      </x:c>
      <x:c r="D670" t="str">
        <x:v>Roy Collins</x:v>
      </x:c>
      <x:c r="E670" t="str">
        <x:v>Consumer</x:v>
      </x:c>
      <x:c r="F670" t="str">
        <x:v>South</x:v>
      </x:c>
      <x:c r="G670" t="str">
        <x:v>Office Supplies</x:v>
      </x:c>
      <x:c r="H670" t="str">
        <x:v>Fasteners</x:v>
      </x:c>
      <x:c r="I670" s="22" t="n">
        <x:v>10.74</x:v>
      </x:c>
      <x:c r="J670" s="24" t="n">
        <x:v>3</x:v>
      </x:c>
      <x:c r="K670" s="26" t="n">
        <x:v>0</x:v>
      </x:c>
      <x:c r="L670" s="22" t="n">
        <x:v>5.2626</x:v>
      </x:c>
      <x:c r="M670" t="n">
        <x:v>2016</x:v>
      </x:c>
      <x:c r="N670" s="20" t="n">
        <x:v>42675</x:v>
      </x:c>
    </x:row>
    <x:row r="671" ht="18" customHeight="1">
      <x:c r="A671" t="str">
        <x:v>CA-2017-132682</x:v>
      </x:c>
      <x:c r="B671" s="18" t="n">
        <x:v>42894</x:v>
      </x:c>
      <x:c r="C671" t="str">
        <x:v>TH-21235</x:v>
      </x:c>
      <x:c r="D671" t="str">
        <x:v>Tiffany House</x:v>
      </x:c>
      <x:c r="E671" t="str">
        <x:v>Corporate</x:v>
      </x:c>
      <x:c r="F671" t="str">
        <x:v>Central</x:v>
      </x:c>
      <x:c r="G671" t="str">
        <x:v>Office Supplies</x:v>
      </x:c>
      <x:c r="H671" t="str">
        <x:v>Supplies</x:v>
      </x:c>
      <x:c r="I671" s="22" t="n">
        <x:v>23.76</x:v>
      </x:c>
      <x:c r="J671" s="24" t="n">
        <x:v>3</x:v>
      </x:c>
      <x:c r="K671" s="26" t="n">
        <x:v>0.2</x:v>
      </x:c>
      <x:c r="L671" s="22" t="n">
        <x:v>2.0789999999999997</x:v>
      </x:c>
      <x:c r="M671" t="n">
        <x:v>2017</x:v>
      </x:c>
      <x:c r="N671" s="20" t="n">
        <x:v>42887</x:v>
      </x:c>
    </x:row>
    <x:row r="672" ht="18" customHeight="1">
      <x:c r="A672" t="str">
        <x:v>CA-2017-132682</x:v>
      </x:c>
      <x:c r="B672" s="18" t="n">
        <x:v>42894</x:v>
      </x:c>
      <x:c r="C672" t="str">
        <x:v>TH-21235</x:v>
      </x:c>
      <x:c r="D672" t="str">
        <x:v>Tiffany House</x:v>
      </x:c>
      <x:c r="E672" t="str">
        <x:v>Corporate</x:v>
      </x:c>
      <x:c r="F672" t="str">
        <x:v>Central</x:v>
      </x:c>
      <x:c r="G672" t="str">
        <x:v>Office Supplies</x:v>
      </x:c>
      <x:c r="H672" t="str">
        <x:v>Paper</x:v>
      </x:c>
      <x:c r="I672" s="22" t="n">
        <x:v>85.056</x:v>
      </x:c>
      <x:c r="J672" s="24" t="n">
        <x:v>3</x:v>
      </x:c>
      <x:c r="K672" s="26" t="n">
        <x:v>0.2</x:v>
      </x:c>
      <x:c r="L672" s="22" t="n">
        <x:v>28.70639999999999</x:v>
      </x:c>
      <x:c r="M672" t="n">
        <x:v>2017</x:v>
      </x:c>
      <x:c r="N672" s="20" t="n">
        <x:v>42887</x:v>
      </x:c>
    </x:row>
    <x:row r="673" ht="18" customHeight="1">
      <x:c r="A673" t="str">
        <x:v>CA-2017-132682</x:v>
      </x:c>
      <x:c r="B673" s="18" t="n">
        <x:v>42894</x:v>
      </x:c>
      <x:c r="C673" t="str">
        <x:v>TH-21235</x:v>
      </x:c>
      <x:c r="D673" t="str">
        <x:v>Tiffany House</x:v>
      </x:c>
      <x:c r="E673" t="str">
        <x:v>Corporate</x:v>
      </x:c>
      <x:c r="F673" t="str">
        <x:v>Central</x:v>
      </x:c>
      <x:c r="G673" t="str">
        <x:v>Technology</x:v>
      </x:c>
      <x:c r="H673" t="str">
        <x:v>Phones</x:v>
      </x:c>
      <x:c r="I673" s="22" t="n">
        <x:v>381.576</x:v>
      </x:c>
      <x:c r="J673" s="24" t="n">
        <x:v>3</x:v>
      </x:c>
      <x:c r="K673" s="26" t="n">
        <x:v>0.2</x:v>
      </x:c>
      <x:c r="L673" s="22" t="n">
        <x:v>28.6182</x:v>
      </x:c>
      <x:c r="M673" t="n">
        <x:v>2017</x:v>
      </x:c>
      <x:c r="N673" s="20" t="n">
        <x:v>42887</x:v>
      </x:c>
    </x:row>
    <x:row r="674" ht="18" customHeight="1">
      <x:c r="A674" t="str">
        <x:v>CA-2014-156314</x:v>
      </x:c>
      <x:c r="B674" s="18" t="n">
        <x:v>41997</x:v>
      </x:c>
      <x:c r="C674" t="str">
        <x:v>RP-19390</x:v>
      </x:c>
      <x:c r="D674" t="str">
        <x:v>Resi Pölking</x:v>
      </x:c>
      <x:c r="E674" t="str">
        <x:v>Consumer</x:v>
      </x:c>
      <x:c r="F674" t="str">
        <x:v>East</x:v>
      </x:c>
      <x:c r="G674" t="str">
        <x:v>Furniture</x:v>
      </x:c>
      <x:c r="H674" t="str">
        <x:v>Furnishings</x:v>
      </x:c>
      <x:c r="I674" s="22" t="n">
        <x:v>30.36</x:v>
      </x:c>
      <x:c r="J674" s="24" t="n">
        <x:v>5</x:v>
      </x:c>
      <x:c r="K674" s="26" t="n">
        <x:v>0.2</x:v>
      </x:c>
      <x:c r="L674" s="22" t="n">
        <x:v>8.7285</x:v>
      </x:c>
      <x:c r="M674" t="n">
        <x:v>2014</x:v>
      </x:c>
      <x:c r="N674" s="20" t="n">
        <x:v>41974</x:v>
      </x:c>
    </x:row>
    <x:row r="675" ht="18" customHeight="1">
      <x:c r="A675" t="str">
        <x:v>US-2017-106663</x:v>
      </x:c>
      <x:c r="B675" s="18" t="n">
        <x:v>42895</x:v>
      </x:c>
      <x:c r="C675" t="str">
        <x:v>MO-17800</x:v>
      </x:c>
      <x:c r="D675" t="str">
        <x:v>Meg O'Connel</x:v>
      </x:c>
      <x:c r="E675" t="str">
        <x:v>Home Office</x:v>
      </x:c>
      <x:c r="F675" t="str">
        <x:v>Central</x:v>
      </x:c>
      <x:c r="G675" t="str">
        <x:v>Furniture</x:v>
      </x:c>
      <x:c r="H675" t="str">
        <x:v>Furnishings</x:v>
      </x:c>
      <x:c r="I675" s="22" t="n">
        <x:v>23.976000000000003</x:v>
      </x:c>
      <x:c r="J675" s="24" t="n">
        <x:v>3</x:v>
      </x:c>
      <x:c r="K675" s="26" t="n">
        <x:v>0.6</x:v>
      </x:c>
      <x:c r="L675" s="22" t="n">
        <x:v>-14.385599999999997</x:v>
      </x:c>
      <x:c r="M675" t="n">
        <x:v>2017</x:v>
      </x:c>
      <x:c r="N675" s="20" t="n">
        <x:v>42887</x:v>
      </x:c>
    </x:row>
    <x:row r="676" ht="18" customHeight="1">
      <x:c r="A676" t="str">
        <x:v>US-2017-106663</x:v>
      </x:c>
      <x:c r="B676" s="18" t="n">
        <x:v>42895</x:v>
      </x:c>
      <x:c r="C676" t="str">
        <x:v>MO-17800</x:v>
      </x:c>
      <x:c r="D676" t="str">
        <x:v>Meg O'Connel</x:v>
      </x:c>
      <x:c r="E676" t="str">
        <x:v>Home Office</x:v>
      </x:c>
      <x:c r="F676" t="str">
        <x:v>Central</x:v>
      </x:c>
      <x:c r="G676" t="str">
        <x:v>Furniture</x:v>
      </x:c>
      <x:c r="H676" t="str">
        <x:v>Tables</x:v>
      </x:c>
      <x:c r="I676" s="22" t="n">
        <x:v>108.925</x:v>
      </x:c>
      <x:c r="J676" s="24" t="n">
        <x:v>1</x:v>
      </x:c>
      <x:c r="K676" s="26" t="n">
        <x:v>0.5</x:v>
      </x:c>
      <x:c r="L676" s="22" t="n">
        <x:v>-71.89050000000002</x:v>
      </x:c>
      <x:c r="M676" t="n">
        <x:v>2017</x:v>
      </x:c>
      <x:c r="N676" s="20" t="n">
        <x:v>42887</x:v>
      </x:c>
    </x:row>
    <x:row r="677" ht="18" customHeight="1">
      <x:c r="A677" t="str">
        <x:v>US-2017-106663</x:v>
      </x:c>
      <x:c r="B677" s="18" t="n">
        <x:v>42895</x:v>
      </x:c>
      <x:c r="C677" t="str">
        <x:v>MO-17800</x:v>
      </x:c>
      <x:c r="D677" t="str">
        <x:v>Meg O'Connel</x:v>
      </x:c>
      <x:c r="E677" t="str">
        <x:v>Home Office</x:v>
      </x:c>
      <x:c r="F677" t="str">
        <x:v>Central</x:v>
      </x:c>
      <x:c r="G677" t="str">
        <x:v>Office Supplies</x:v>
      </x:c>
      <x:c r="H677" t="str">
        <x:v>Paper</x:v>
      </x:c>
      <x:c r="I677" s="22" t="n">
        <x:v>36.352</x:v>
      </x:c>
      <x:c r="J677" s="24" t="n">
        <x:v>8</x:v>
      </x:c>
      <x:c r="K677" s="26" t="n">
        <x:v>0.2</x:v>
      </x:c>
      <x:c r="L677" s="22" t="n">
        <x:v>11.359999999999998</x:v>
      </x:c>
      <x:c r="M677" t="n">
        <x:v>2017</x:v>
      </x:c>
      <x:c r="N677" s="20" t="n">
        <x:v>42887</x:v>
      </x:c>
    </x:row>
    <x:row r="678" ht="18" customHeight="1">
      <x:c r="A678" t="str">
        <x:v>CA-2017-111178</x:v>
      </x:c>
      <x:c r="B678" s="18" t="n">
        <x:v>42901</x:v>
      </x:c>
      <x:c r="C678" t="str">
        <x:v>TD-20995</x:v>
      </x:c>
      <x:c r="D678" t="str">
        <x:v>Tamara Dahlen</x:v>
      </x:c>
      <x:c r="E678" t="str">
        <x:v>Consumer</x:v>
      </x:c>
      <x:c r="F678" t="str">
        <x:v>Central</x:v>
      </x:c>
      <x:c r="G678" t="str">
        <x:v>Office Supplies</x:v>
      </x:c>
      <x:c r="H678" t="str">
        <x:v>Art</x:v>
      </x:c>
      <x:c r="I678" s="22" t="n">
        <x:v>19.56</x:v>
      </x:c>
      <x:c r="J678" s="24" t="n">
        <x:v>5</x:v>
      </x:c>
      <x:c r="K678" s="26" t="n">
        <x:v>0.2</x:v>
      </x:c>
      <x:c r="L678" s="22" t="n">
        <x:v>1.7115</x:v>
      </x:c>
      <x:c r="M678" t="n">
        <x:v>2017</x:v>
      </x:c>
      <x:c r="N678" s="20" t="n">
        <x:v>42887</x:v>
      </x:c>
    </x:row>
    <x:row r="679" ht="18" customHeight="1">
      <x:c r="A679" t="str">
        <x:v>CA-2017-130351</x:v>
      </x:c>
      <x:c r="B679" s="18" t="n">
        <x:v>43074</x:v>
      </x:c>
      <x:c r="C679" t="str">
        <x:v>RB-19570</x:v>
      </x:c>
      <x:c r="D679" t="str">
        <x:v>Rob Beeghly</x:v>
      </x:c>
      <x:c r="E679" t="str">
        <x:v>Consumer</x:v>
      </x:c>
      <x:c r="F679" t="str">
        <x:v>Central</x:v>
      </x:c>
      <x:c r="G679" t="str">
        <x:v>Office Supplies</x:v>
      </x:c>
      <x:c r="H679" t="str">
        <x:v>Appliances</x:v>
      </x:c>
      <x:c r="I679" s="22" t="n">
        <x:v>61.44</x:v>
      </x:c>
      <x:c r="J679" s="24" t="n">
        <x:v>3</x:v>
      </x:c>
      <x:c r="K679" s="26" t="n">
        <x:v>0</x:v>
      </x:c>
      <x:c r="L679" s="22" t="n">
        <x:v>16.5888</x:v>
      </x:c>
      <x:c r="M679" t="n">
        <x:v>2017</x:v>
      </x:c>
      <x:c r="N679" s="20" t="n">
        <x:v>43070</x:v>
      </x:c>
    </x:row>
    <x:row r="680" ht="18" customHeight="1">
      <x:c r="A680" t="str">
        <x:v>CA-2017-130351</x:v>
      </x:c>
      <x:c r="B680" s="18" t="n">
        <x:v>43074</x:v>
      </x:c>
      <x:c r="C680" t="str">
        <x:v>RB-19570</x:v>
      </x:c>
      <x:c r="D680" t="str">
        <x:v>Rob Beeghly</x:v>
      </x:c>
      <x:c r="E680" t="str">
        <x:v>Consumer</x:v>
      </x:c>
      <x:c r="F680" t="str">
        <x:v>Central</x:v>
      </x:c>
      <x:c r="G680" t="str">
        <x:v>Office Supplies</x:v>
      </x:c>
      <x:c r="H680" t="str">
        <x:v>Paper</x:v>
      </x:c>
      <x:c r="I680" s="22" t="n">
        <x:v>38.9</x:v>
      </x:c>
      <x:c r="J680" s="24" t="n">
        <x:v>5</x:v>
      </x:c>
      <x:c r="K680" s="26" t="n">
        <x:v>0</x:v>
      </x:c>
      <x:c r="L680" s="22" t="n">
        <x:v>17.504999999999995</x:v>
      </x:c>
      <x:c r="M680" t="n">
        <x:v>2017</x:v>
      </x:c>
      <x:c r="N680" s="20" t="n">
        <x:v>43070</x:v>
      </x:c>
    </x:row>
    <x:row r="681" ht="18" customHeight="1">
      <x:c r="A681" t="str">
        <x:v>CA-2017-130351</x:v>
      </x:c>
      <x:c r="B681" s="18" t="n">
        <x:v>43074</x:v>
      </x:c>
      <x:c r="C681" t="str">
        <x:v>RB-19570</x:v>
      </x:c>
      <x:c r="D681" t="str">
        <x:v>Rob Beeghly</x:v>
      </x:c>
      <x:c r="E681" t="str">
        <x:v>Consumer</x:v>
      </x:c>
      <x:c r="F681" t="str">
        <x:v>Central</x:v>
      </x:c>
      <x:c r="G681" t="str">
        <x:v>Technology</x:v>
      </x:c>
      <x:c r="H681" t="str">
        <x:v>Accessories</x:v>
      </x:c>
      <x:c r="I681" s="22" t="n">
        <x:v>99.39000000000001</x:v>
      </x:c>
      <x:c r="J681" s="24" t="n">
        <x:v>3</x:v>
      </x:c>
      <x:c r="K681" s="26" t="n">
        <x:v>0</x:v>
      </x:c>
      <x:c r="L681" s="22" t="n">
        <x:v>40.749900000000004</x:v>
      </x:c>
      <x:c r="M681" t="n">
        <x:v>2017</x:v>
      </x:c>
      <x:c r="N681" s="20" t="n">
        <x:v>43070</x:v>
      </x:c>
    </x:row>
    <x:row r="682" ht="18" customHeight="1">
      <x:c r="A682" t="str">
        <x:v>US-2017-119438</x:v>
      </x:c>
      <x:c r="B682" s="18" t="n">
        <x:v>42812</x:v>
      </x:c>
      <x:c r="C682" t="str">
        <x:v>CD-11980</x:v>
      </x:c>
      <x:c r="D682" t="str">
        <x:v>Carol Darley</x:v>
      </x:c>
      <x:c r="E682" t="str">
        <x:v>Consumer</x:v>
      </x:c>
      <x:c r="F682" t="str">
        <x:v>Central</x:v>
      </x:c>
      <x:c r="G682" t="str">
        <x:v>Office Supplies</x:v>
      </x:c>
      <x:c r="H682" t="str">
        <x:v>Appliances</x:v>
      </x:c>
      <x:c r="I682" s="22" t="n">
        <x:v>2.6879999999999997</x:v>
      </x:c>
      <x:c r="J682" s="24" t="n">
        <x:v>3</x:v>
      </x:c>
      <x:c r="K682" s="26" t="n">
        <x:v>0.8</x:v>
      </x:c>
      <x:c r="L682" s="22" t="n">
        <x:v>-7.392000000000002</x:v>
      </x:c>
      <x:c r="M682" t="n">
        <x:v>2017</x:v>
      </x:c>
      <x:c r="N682" s="20" t="n">
        <x:v>42795</x:v>
      </x:c>
    </x:row>
    <x:row r="683" ht="18" customHeight="1">
      <x:c r="A683" t="str">
        <x:v>US-2017-119438</x:v>
      </x:c>
      <x:c r="B683" s="18" t="n">
        <x:v>42812</x:v>
      </x:c>
      <x:c r="C683" t="str">
        <x:v>CD-11980</x:v>
      </x:c>
      <x:c r="D683" t="str">
        <x:v>Carol Darley</x:v>
      </x:c>
      <x:c r="E683" t="str">
        <x:v>Consumer</x:v>
      </x:c>
      <x:c r="F683" t="str">
        <x:v>Central</x:v>
      </x:c>
      <x:c r="G683" t="str">
        <x:v>Technology</x:v>
      </x:c>
      <x:c r="H683" t="str">
        <x:v>Accessories</x:v>
      </x:c>
      <x:c r="I683" s="22" t="n">
        <x:v>27.816000000000003</x:v>
      </x:c>
      <x:c r="J683" s="24" t="n">
        <x:v>3</x:v>
      </x:c>
      <x:c r="K683" s="26" t="n">
        <x:v>0.2</x:v>
      </x:c>
      <x:c r="L683" s="22" t="n">
        <x:v>4.520099999999996</x:v>
      </x:c>
      <x:c r="M683" t="n">
        <x:v>2017</x:v>
      </x:c>
      <x:c r="N683" s="20" t="n">
        <x:v>42795</x:v>
      </x:c>
    </x:row>
    <x:row r="684" ht="18" customHeight="1">
      <x:c r="A684" t="str">
        <x:v>US-2017-119438</x:v>
      </x:c>
      <x:c r="B684" s="18" t="n">
        <x:v>42812</x:v>
      </x:c>
      <x:c r="C684" t="str">
        <x:v>CD-11980</x:v>
      </x:c>
      <x:c r="D684" t="str">
        <x:v>Carol Darley</x:v>
      </x:c>
      <x:c r="E684" t="str">
        <x:v>Consumer</x:v>
      </x:c>
      <x:c r="F684" t="str">
        <x:v>Central</x:v>
      </x:c>
      <x:c r="G684" t="str">
        <x:v>Furniture</x:v>
      </x:c>
      <x:c r="H684" t="str">
        <x:v>Furnishings</x:v>
      </x:c>
      <x:c r="I684" s="22" t="n">
        <x:v>82.524</x:v>
      </x:c>
      <x:c r="J684" s="24" t="n">
        <x:v>3</x:v>
      </x:c>
      <x:c r="K684" s="26" t="n">
        <x:v>0.6</x:v>
      </x:c>
      <x:c r="L684" s="22" t="n">
        <x:v>-41.26199999999997</x:v>
      </x:c>
      <x:c r="M684" t="n">
        <x:v>2017</x:v>
      </x:c>
      <x:c r="N684" s="20" t="n">
        <x:v>42795</x:v>
      </x:c>
    </x:row>
    <x:row r="685" ht="18" customHeight="1">
      <x:c r="A685" t="str">
        <x:v>US-2017-119438</x:v>
      </x:c>
      <x:c r="B685" s="18" t="n">
        <x:v>42812</x:v>
      </x:c>
      <x:c r="C685" t="str">
        <x:v>CD-11980</x:v>
      </x:c>
      <x:c r="D685" t="str">
        <x:v>Carol Darley</x:v>
      </x:c>
      <x:c r="E685" t="str">
        <x:v>Consumer</x:v>
      </x:c>
      <x:c r="F685" t="str">
        <x:v>Central</x:v>
      </x:c>
      <x:c r="G685" t="str">
        <x:v>Office Supplies</x:v>
      </x:c>
      <x:c r="H685" t="str">
        <x:v>Binders</x:v>
      </x:c>
      <x:c r="I685" s="22" t="n">
        <x:v>182.99399999999997</x:v>
      </x:c>
      <x:c r="J685" s="24" t="n">
        <x:v>3</x:v>
      </x:c>
      <x:c r="K685" s="26" t="n">
        <x:v>0.8</x:v>
      </x:c>
      <x:c r="L685" s="22" t="n">
        <x:v>-320.23950000000013</x:v>
      </x:c>
      <x:c r="M685" t="n">
        <x:v>2017</x:v>
      </x:c>
      <x:c r="N685" s="20" t="n">
        <x:v>42795</x:v>
      </x:c>
    </x:row>
    <x:row r="686" ht="18" customHeight="1">
      <x:c r="A686" t="str">
        <x:v>CA-2016-164511</x:v>
      </x:c>
      <x:c r="B686" s="18" t="n">
        <x:v>42693</x:v>
      </x:c>
      <x:c r="C686" t="str">
        <x:v>DJ-13630</x:v>
      </x:c>
      <x:c r="D686" t="str">
        <x:v>Doug Jacobs</x:v>
      </x:c>
      <x:c r="E686" t="str">
        <x:v>Consumer</x:v>
      </x:c>
      <x:c r="F686" t="str">
        <x:v>East</x:v>
      </x:c>
      <x:c r="G686" t="str">
        <x:v>Office Supplies</x:v>
      </x:c>
      <x:c r="H686" t="str">
        <x:v>Binders</x:v>
      </x:c>
      <x:c r="I686" s="22" t="n">
        <x:v>14.352000000000002</x:v>
      </x:c>
      <x:c r="J686" s="24" t="n">
        <x:v>3</x:v>
      </x:c>
      <x:c r="K686" s="26" t="n">
        <x:v>0.2</x:v>
      </x:c>
      <x:c r="L686" s="22" t="n">
        <x:v>4.664399999999999</x:v>
      </x:c>
      <x:c r="M686" t="n">
        <x:v>2016</x:v>
      </x:c>
      <x:c r="N686" s="20" t="n">
        <x:v>42675</x:v>
      </x:c>
    </x:row>
    <x:row r="687" ht="18" customHeight="1">
      <x:c r="A687" t="str">
        <x:v>CA-2016-164511</x:v>
      </x:c>
      <x:c r="B687" s="18" t="n">
        <x:v>42693</x:v>
      </x:c>
      <x:c r="C687" t="str">
        <x:v>DJ-13630</x:v>
      </x:c>
      <x:c r="D687" t="str">
        <x:v>Doug Jacobs</x:v>
      </x:c>
      <x:c r="E687" t="str">
        <x:v>Consumer</x:v>
      </x:c>
      <x:c r="F687" t="str">
        <x:v>East</x:v>
      </x:c>
      <x:c r="G687" t="str">
        <x:v>Office Supplies</x:v>
      </x:c>
      <x:c r="H687" t="str">
        <x:v>Storage</x:v>
      </x:c>
      <x:c r="I687" s="22" t="n">
        <x:v>64.96</x:v>
      </x:c>
      <x:c r="J687" s="24" t="n">
        <x:v>2</x:v>
      </x:c>
      <x:c r="K687" s="26" t="n">
        <x:v>0</x:v>
      </x:c>
      <x:c r="L687" s="22" t="n">
        <x:v>2.598399999999998</x:v>
      </x:c>
      <x:c r="M687" t="n">
        <x:v>2016</x:v>
      </x:c>
      <x:c r="N687" s="20" t="n">
        <x:v>42675</x:v>
      </x:c>
    </x:row>
    <x:row r="688" ht="18" customHeight="1">
      <x:c r="A688" t="str">
        <x:v>CA-2016-164511</x:v>
      </x:c>
      <x:c r="B688" s="18" t="n">
        <x:v>42693</x:v>
      </x:c>
      <x:c r="C688" t="str">
        <x:v>DJ-13630</x:v>
      </x:c>
      <x:c r="D688" t="str">
        <x:v>Doug Jacobs</x:v>
      </x:c>
      <x:c r="E688" t="str">
        <x:v>Consumer</x:v>
      </x:c>
      <x:c r="F688" t="str">
        <x:v>East</x:v>
      </x:c>
      <x:c r="G688" t="str">
        <x:v>Office Supplies</x:v>
      </x:c>
      <x:c r="H688" t="str">
        <x:v>Storage</x:v>
      </x:c>
      <x:c r="I688" s="22" t="n">
        <x:v>68.6</x:v>
      </x:c>
      <x:c r="J688" s="24" t="n">
        <x:v>4</x:v>
      </x:c>
      <x:c r="K688" s="26" t="n">
        <x:v>0</x:v>
      </x:c>
      <x:c r="L688" s="22" t="n">
        <x:v>18.522</x:v>
      </x:c>
      <x:c r="M688" t="n">
        <x:v>2016</x:v>
      </x:c>
      <x:c r="N688" s="20" t="n">
        <x:v>42675</x:v>
      </x:c>
    </x:row>
    <x:row r="689" ht="18" customHeight="1">
      <x:c r="A689" t="str">
        <x:v>US-2017-168116</x:v>
      </x:c>
      <x:c r="B689" s="18" t="n">
        <x:v>43043</x:v>
      </x:c>
      <x:c r="C689" t="str">
        <x:v>GT-14635</x:v>
      </x:c>
      <x:c r="D689" t="str">
        <x:v>Grant Thornton</x:v>
      </x:c>
      <x:c r="E689" t="str">
        <x:v>Corporate</x:v>
      </x:c>
      <x:c r="F689" t="str">
        <x:v>South</x:v>
      </x:c>
      <x:c r="G689" t="str">
        <x:v>Technology</x:v>
      </x:c>
      <x:c r="H689" t="str">
        <x:v>Machines</x:v>
      </x:c>
      <x:c r="I689" s="22" t="n">
        <x:v>7999.98</x:v>
      </x:c>
      <x:c r="J689" s="24" t="n">
        <x:v>4</x:v>
      </x:c>
      <x:c r="K689" s="26" t="n">
        <x:v>0.5</x:v>
      </x:c>
      <x:c r="L689" s="22" t="n">
        <x:v>-3839.9903999999988</x:v>
      </x:c>
      <x:c r="M689" t="n">
        <x:v>2017</x:v>
      </x:c>
      <x:c r="N689" s="20" t="n">
        <x:v>43040</x:v>
      </x:c>
    </x:row>
    <x:row r="690" ht="18" customHeight="1">
      <x:c r="A690" t="str">
        <x:v>US-2017-168116</x:v>
      </x:c>
      <x:c r="B690" s="18" t="n">
        <x:v>43043</x:v>
      </x:c>
      <x:c r="C690" t="str">
        <x:v>GT-14635</x:v>
      </x:c>
      <x:c r="D690" t="str">
        <x:v>Grant Thornton</x:v>
      </x:c>
      <x:c r="E690" t="str">
        <x:v>Corporate</x:v>
      </x:c>
      <x:c r="F690" t="str">
        <x:v>South</x:v>
      </x:c>
      <x:c r="G690" t="str">
        <x:v>Office Supplies</x:v>
      </x:c>
      <x:c r="H690" t="str">
        <x:v>Appliances</x:v>
      </x:c>
      <x:c r="I690" s="22" t="n">
        <x:v>167.44000000000003</x:v>
      </x:c>
      <x:c r="J690" s="24" t="n">
        <x:v>2</x:v>
      </x:c>
      <x:c r="K690" s="26" t="n">
        <x:v>0.2</x:v>
      </x:c>
      <x:c r="L690" s="22" t="n">
        <x:v>14.65099999999999</x:v>
      </x:c>
      <x:c r="M690" t="n">
        <x:v>2017</x:v>
      </x:c>
      <x:c r="N690" s="20" t="n">
        <x:v>43040</x:v>
      </x:c>
    </x:row>
    <x:row r="691" ht="18" customHeight="1">
      <x:c r="A691" t="str">
        <x:v>CA-2014-157784</x:v>
      </x:c>
      <x:c r="B691" s="18" t="n">
        <x:v>41825</x:v>
      </x:c>
      <x:c r="C691" t="str">
        <x:v>MC-17845</x:v>
      </x:c>
      <x:c r="D691" t="str">
        <x:v>Michael Chen</x:v>
      </x:c>
      <x:c r="E691" t="str">
        <x:v>Consumer</x:v>
      </x:c>
      <x:c r="F691" t="str">
        <x:v>South</x:v>
      </x:c>
      <x:c r="G691" t="str">
        <x:v>Technology</x:v>
      </x:c>
      <x:c r="H691" t="str">
        <x:v>Accessories</x:v>
      </x:c>
      <x:c r="I691" s="22" t="n">
        <x:v>479.97</x:v>
      </x:c>
      <x:c r="J691" s="24" t="n">
        <x:v>3</x:v>
      </x:c>
      <x:c r="K691" s="26" t="n">
        <x:v>0</x:v>
      </x:c>
      <x:c r="L691" s="22" t="n">
        <x:v>163.1898</x:v>
      </x:c>
      <x:c r="M691" t="n">
        <x:v>2014</x:v>
      </x:c>
      <x:c r="N691" s="20" t="n">
        <x:v>41821</x:v>
      </x:c>
    </x:row>
    <x:row r="692" ht="18" customHeight="1">
      <x:c r="A692" t="str">
        <x:v>CA-2014-157784</x:v>
      </x:c>
      <x:c r="B692" s="18" t="n">
        <x:v>41825</x:v>
      </x:c>
      <x:c r="C692" t="str">
        <x:v>MC-17845</x:v>
      </x:c>
      <x:c r="D692" t="str">
        <x:v>Michael Chen</x:v>
      </x:c>
      <x:c r="E692" t="str">
        <x:v>Consumer</x:v>
      </x:c>
      <x:c r="F692" t="str">
        <x:v>South</x:v>
      </x:c>
      <x:c r="G692" t="str">
        <x:v>Office Supplies</x:v>
      </x:c>
      <x:c r="H692" t="str">
        <x:v>Labels</x:v>
      </x:c>
      <x:c r="I692" s="22" t="n">
        <x:v>14.62</x:v>
      </x:c>
      <x:c r="J692" s="24" t="n">
        <x:v>2</x:v>
      </x:c>
      <x:c r="K692" s="26" t="n">
        <x:v>0</x:v>
      </x:c>
      <x:c r="L692" s="22" t="n">
        <x:v>6.8713999999999995</x:v>
      </x:c>
      <x:c r="M692" t="n">
        <x:v>2014</x:v>
      </x:c>
      <x:c r="N692" s="20" t="n">
        <x:v>41821</x:v>
      </x:c>
    </x:row>
    <x:row r="693" ht="18" customHeight="1">
      <x:c r="A693" t="str">
        <x:v>CA-2014-157784</x:v>
      </x:c>
      <x:c r="B693" s="18" t="n">
        <x:v>41825</x:v>
      </x:c>
      <x:c r="C693" t="str">
        <x:v>MC-17845</x:v>
      </x:c>
      <x:c r="D693" t="str">
        <x:v>Michael Chen</x:v>
      </x:c>
      <x:c r="E693" t="str">
        <x:v>Consumer</x:v>
      </x:c>
      <x:c r="F693" t="str">
        <x:v>South</x:v>
      </x:c>
      <x:c r="G693" t="str">
        <x:v>Office Supplies</x:v>
      </x:c>
      <x:c r="H693" t="str">
        <x:v>Paper</x:v>
      </x:c>
      <x:c r="I693" s="22" t="n">
        <x:v>19.44</x:v>
      </x:c>
      <x:c r="J693" s="24" t="n">
        <x:v>3</x:v>
      </x:c>
      <x:c r="K693" s="26" t="n">
        <x:v>0</x:v>
      </x:c>
      <x:c r="L693" s="22" t="n">
        <x:v>9.3312</x:v>
      </x:c>
      <x:c r="M693" t="n">
        <x:v>2014</x:v>
      </x:c>
      <x:c r="N693" s="20" t="n">
        <x:v>41821</x:v>
      </x:c>
    </x:row>
    <x:row r="694" ht="18" customHeight="1">
      <x:c r="A694" t="str">
        <x:v>CA-2017-161480</x:v>
      </x:c>
      <x:c r="B694" s="18" t="n">
        <x:v>43094</x:v>
      </x:c>
      <x:c r="C694" t="str">
        <x:v>RA-19285</x:v>
      </x:c>
      <x:c r="D694" t="str">
        <x:v>Ralph Arnett</x:v>
      </x:c>
      <x:c r="E694" t="str">
        <x:v>Consumer</x:v>
      </x:c>
      <x:c r="F694" t="str">
        <x:v>East</x:v>
      </x:c>
      <x:c r="G694" t="str">
        <x:v>Furniture</x:v>
      </x:c>
      <x:c r="H694" t="str">
        <x:v>Bookcases</x:v>
      </x:c>
      <x:c r="I694" s="22" t="n">
        <x:v>191.984</x:v>
      </x:c>
      <x:c r="J694" s="24" t="n">
        <x:v>2</x:v>
      </x:c>
      <x:c r="K694" s="26" t="n">
        <x:v>0.2</x:v>
      </x:c>
      <x:c r="L694" s="22" t="n">
        <x:v>4.799599999999977</x:v>
      </x:c>
      <x:c r="M694" t="n">
        <x:v>2017</x:v>
      </x:c>
      <x:c r="N694" s="20" t="n">
        <x:v>43070</x:v>
      </x:c>
    </x:row>
    <x:row r="695" ht="18" customHeight="1">
      <x:c r="A695" t="str">
        <x:v>US-2014-117135</x:v>
      </x:c>
      <x:c r="B695" s="18" t="n">
        <x:v>41811</x:v>
      </x:c>
      <x:c r="C695" t="str">
        <x:v>NP-18325</x:v>
      </x:c>
      <x:c r="D695" t="str">
        <x:v>Naresj Patel</x:v>
      </x:c>
      <x:c r="E695" t="str">
        <x:v>Consumer</x:v>
      </x:c>
      <x:c r="F695" t="str">
        <x:v>South</x:v>
      </x:c>
      <x:c r="G695" t="str">
        <x:v>Furniture</x:v>
      </x:c>
      <x:c r="H695" t="str">
        <x:v>Furnishings</x:v>
      </x:c>
      <x:c r="I695" s="22" t="n">
        <x:v>104.01</x:v>
      </x:c>
      <x:c r="J695" s="24" t="n">
        <x:v>1</x:v>
      </x:c>
      <x:c r="K695" s="26" t="n">
        <x:v>0</x:v>
      </x:c>
      <x:c r="L695" s="22" t="n">
        <x:v>14.561400000000006</x:v>
      </x:c>
      <x:c r="M695" t="n">
        <x:v>2014</x:v>
      </x:c>
      <x:c r="N695" s="20" t="n">
        <x:v>41791</x:v>
      </x:c>
    </x:row>
    <x:row r="696" ht="18" customHeight="1">
      <x:c r="A696" t="str">
        <x:v>US-2014-117135</x:v>
      </x:c>
      <x:c r="B696" s="18" t="n">
        <x:v>41811</x:v>
      </x:c>
      <x:c r="C696" t="str">
        <x:v>NP-18325</x:v>
      </x:c>
      <x:c r="D696" t="str">
        <x:v>Naresj Patel</x:v>
      </x:c>
      <x:c r="E696" t="str">
        <x:v>Consumer</x:v>
      </x:c>
      <x:c r="F696" t="str">
        <x:v>South</x:v>
      </x:c>
      <x:c r="G696" t="str">
        <x:v>Technology</x:v>
      </x:c>
      <x:c r="H696" t="str">
        <x:v>Phones</x:v>
      </x:c>
      <x:c r="I696" s="22" t="n">
        <x:v>284.82</x:v>
      </x:c>
      <x:c r="J696" s="24" t="n">
        <x:v>1</x:v>
      </x:c>
      <x:c r="K696" s="26" t="n">
        <x:v>0</x:v>
      </x:c>
      <x:c r="L696" s="22" t="n">
        <x:v>74.0532</x:v>
      </x:c>
      <x:c r="M696" t="n">
        <x:v>2014</x:v>
      </x:c>
      <x:c r="N696" s="20" t="n">
        <x:v>41791</x:v>
      </x:c>
    </x:row>
    <x:row r="697" ht="18" customHeight="1">
      <x:c r="A697" t="str">
        <x:v>US-2014-117135</x:v>
      </x:c>
      <x:c r="B697" s="18" t="n">
        <x:v>41811</x:v>
      </x:c>
      <x:c r="C697" t="str">
        <x:v>NP-18325</x:v>
      </x:c>
      <x:c r="D697" t="str">
        <x:v>Naresj Patel</x:v>
      </x:c>
      <x:c r="E697" t="str">
        <x:v>Consumer</x:v>
      </x:c>
      <x:c r="F697" t="str">
        <x:v>South</x:v>
      </x:c>
      <x:c r="G697" t="str">
        <x:v>Office Supplies</x:v>
      </x:c>
      <x:c r="H697" t="str">
        <x:v>Storage</x:v>
      </x:c>
      <x:c r="I697" s="22" t="n">
        <x:v>36.839999999999996</x:v>
      </x:c>
      <x:c r="J697" s="24" t="n">
        <x:v>3</x:v>
      </x:c>
      <x:c r="K697" s="26" t="n">
        <x:v>0</x:v>
      </x:c>
      <x:c r="L697" s="22" t="n">
        <x:v>10.315199999999999</x:v>
      </x:c>
      <x:c r="M697" t="n">
        <x:v>2014</x:v>
      </x:c>
      <x:c r="N697" s="20" t="n">
        <x:v>41791</x:v>
      </x:c>
    </x:row>
    <x:row r="698" ht="18" customHeight="1">
      <x:c r="A698" t="str">
        <x:v>CA-2015-131534</x:v>
      </x:c>
      <x:c r="B698" s="18" t="n">
        <x:v>42091</x:v>
      </x:c>
      <x:c r="C698" t="str">
        <x:v>AB-10165</x:v>
      </x:c>
      <x:c r="D698" t="str">
        <x:v>Alan Barnes</x:v>
      </x:c>
      <x:c r="E698" t="str">
        <x:v>Consumer</x:v>
      </x:c>
      <x:c r="F698" t="str">
        <x:v>West</x:v>
      </x:c>
      <x:c r="G698" t="str">
        <x:v>Technology</x:v>
      </x:c>
      <x:c r="H698" t="str">
        <x:v>Accessories</x:v>
      </x:c>
      <x:c r="I698" s="22" t="n">
        <x:v>166.24</x:v>
      </x:c>
      <x:c r="J698" s="24" t="n">
        <x:v>1</x:v>
      </x:c>
      <x:c r="K698" s="26" t="n">
        <x:v>0</x:v>
      </x:c>
      <x:c r="L698" s="22" t="n">
        <x:v>24.936000000000007</x:v>
      </x:c>
      <x:c r="M698" t="n">
        <x:v>2015</x:v>
      </x:c>
      <x:c r="N698" s="20" t="n">
        <x:v>42064</x:v>
      </x:c>
    </x:row>
    <x:row r="699" ht="18" customHeight="1">
      <x:c r="A699" t="str">
        <x:v>CA-2015-131534</x:v>
      </x:c>
      <x:c r="B699" s="18" t="n">
        <x:v>42091</x:v>
      </x:c>
      <x:c r="C699" t="str">
        <x:v>AB-10165</x:v>
      </x:c>
      <x:c r="D699" t="str">
        <x:v>Alan Barnes</x:v>
      </x:c>
      <x:c r="E699" t="str">
        <x:v>Consumer</x:v>
      </x:c>
      <x:c r="F699" t="str">
        <x:v>West</x:v>
      </x:c>
      <x:c r="G699" t="str">
        <x:v>Office Supplies</x:v>
      </x:c>
      <x:c r="H699" t="str">
        <x:v>Paper</x:v>
      </x:c>
      <x:c r="I699" s="22" t="n">
        <x:v>33.4</x:v>
      </x:c>
      <x:c r="J699" s="24" t="n">
        <x:v>5</x:v>
      </x:c>
      <x:c r="K699" s="26" t="n">
        <x:v>0</x:v>
      </x:c>
      <x:c r="L699" s="22" t="n">
        <x:v>16.032</x:v>
      </x:c>
      <x:c r="M699" t="n">
        <x:v>2015</x:v>
      </x:c>
      <x:c r="N699" s="20" t="n">
        <x:v>42064</x:v>
      </x:c>
    </x:row>
    <x:row r="700" ht="18" customHeight="1">
      <x:c r="A700" t="str">
        <x:v>CA-2015-119291</x:v>
      </x:c>
      <x:c r="B700" s="18" t="n">
        <x:v>42138</x:v>
      </x:c>
      <x:c r="C700" t="str">
        <x:v>JO-15550</x:v>
      </x:c>
      <x:c r="D700" t="str">
        <x:v>Jesus Ocampo</x:v>
      </x:c>
      <x:c r="E700" t="str">
        <x:v>Home Office</x:v>
      </x:c>
      <x:c r="F700" t="str">
        <x:v>East</x:v>
      </x:c>
      <x:c r="G700" t="str">
        <x:v>Office Supplies</x:v>
      </x:c>
      <x:c r="H700" t="str">
        <x:v>Art</x:v>
      </x:c>
      <x:c r="I700" s="22" t="n">
        <x:v>198.27200000000002</x:v>
      </x:c>
      <x:c r="J700" s="24" t="n">
        <x:v>8</x:v>
      </x:c>
      <x:c r="K700" s="26" t="n">
        <x:v>0.2</x:v>
      </x:c>
      <x:c r="L700" s="22" t="n">
        <x:v>17.34879999999999</x:v>
      </x:c>
      <x:c r="M700" t="n">
        <x:v>2015</x:v>
      </x:c>
      <x:c r="N700" s="20" t="n">
        <x:v>42125</x:v>
      </x:c>
    </x:row>
    <x:row r="701" ht="18" customHeight="1">
      <x:c r="A701" t="str">
        <x:v>CA-2015-119291</x:v>
      </x:c>
      <x:c r="B701" s="18" t="n">
        <x:v>42138</x:v>
      </x:c>
      <x:c r="C701" t="str">
        <x:v>JO-15550</x:v>
      </x:c>
      <x:c r="D701" t="str">
        <x:v>Jesus Ocampo</x:v>
      </x:c>
      <x:c r="E701" t="str">
        <x:v>Home Office</x:v>
      </x:c>
      <x:c r="F701" t="str">
        <x:v>East</x:v>
      </x:c>
      <x:c r="G701" t="str">
        <x:v>Office Supplies</x:v>
      </x:c>
      <x:c r="H701" t="str">
        <x:v>Labels</x:v>
      </x:c>
      <x:c r="I701" s="22" t="n">
        <x:v>47.36000000000001</x:v>
      </x:c>
      <x:c r="J701" s="24" t="n">
        <x:v>4</x:v>
      </x:c>
      <x:c r="K701" s="26" t="n">
        <x:v>0.2</x:v>
      </x:c>
      <x:c r="L701" s="22" t="n">
        <x:v>17.759999999999998</x:v>
      </x:c>
      <x:c r="M701" t="n">
        <x:v>2015</x:v>
      </x:c>
      <x:c r="N701" s="20" t="n">
        <x:v>42125</x:v>
      </x:c>
    </x:row>
    <x:row r="702" ht="18" customHeight="1">
      <x:c r="A702" t="str">
        <x:v>CA-2015-119291</x:v>
      </x:c>
      <x:c r="B702" s="18" t="n">
        <x:v>42138</x:v>
      </x:c>
      <x:c r="C702" t="str">
        <x:v>JO-15550</x:v>
      </x:c>
      <x:c r="D702" t="str">
        <x:v>Jesus Ocampo</x:v>
      </x:c>
      <x:c r="E702" t="str">
        <x:v>Home Office</x:v>
      </x:c>
      <x:c r="F702" t="str">
        <x:v>East</x:v>
      </x:c>
      <x:c r="G702" t="str">
        <x:v>Office Supplies</x:v>
      </x:c>
      <x:c r="H702" t="str">
        <x:v>Envelopes</x:v>
      </x:c>
      <x:c r="I702" s="22" t="n">
        <x:v>200.98400000000004</x:v>
      </x:c>
      <x:c r="J702" s="24" t="n">
        <x:v>7</x:v>
      </x:c>
      <x:c r="K702" s="26" t="n">
        <x:v>0.2</x:v>
      </x:c>
      <x:c r="L702" s="22" t="n">
        <x:v>62.807499999999976</x:v>
      </x:c>
      <x:c r="M702" t="n">
        <x:v>2015</x:v>
      </x:c>
      <x:c r="N702" s="20" t="n">
        <x:v>42125</x:v>
      </x:c>
    </x:row>
    <x:row r="703" ht="18" customHeight="1">
      <x:c r="A703" t="str">
        <x:v>CA-2015-119291</x:v>
      </x:c>
      <x:c r="B703" s="18" t="n">
        <x:v>42138</x:v>
      </x:c>
      <x:c r="C703" t="str">
        <x:v>JO-15550</x:v>
      </x:c>
      <x:c r="D703" t="str">
        <x:v>Jesus Ocampo</x:v>
      </x:c>
      <x:c r="E703" t="str">
        <x:v>Home Office</x:v>
      </x:c>
      <x:c r="F703" t="str">
        <x:v>East</x:v>
      </x:c>
      <x:c r="G703" t="str">
        <x:v>Office Supplies</x:v>
      </x:c>
      <x:c r="H703" t="str">
        <x:v>Labels</x:v>
      </x:c>
      <x:c r="I703" s="22" t="n">
        <x:v>97.69600000000001</x:v>
      </x:c>
      <x:c r="J703" s="24" t="n">
        <x:v>4</x:v>
      </x:c>
      <x:c r="K703" s="26" t="n">
        <x:v>0.2</x:v>
      </x:c>
      <x:c r="L703" s="22" t="n">
        <x:v>31.7512</x:v>
      </x:c>
      <x:c r="M703" t="n">
        <x:v>2015</x:v>
      </x:c>
      <x:c r="N703" s="20" t="n">
        <x:v>42125</x:v>
      </x:c>
    </x:row>
    <x:row r="704" ht="18" customHeight="1">
      <x:c r="A704" t="str">
        <x:v>CA-2015-119291</x:v>
      </x:c>
      <x:c r="B704" s="18" t="n">
        <x:v>42138</x:v>
      </x:c>
      <x:c r="C704" t="str">
        <x:v>JO-15550</x:v>
      </x:c>
      <x:c r="D704" t="str">
        <x:v>Jesus Ocampo</x:v>
      </x:c>
      <x:c r="E704" t="str">
        <x:v>Home Office</x:v>
      </x:c>
      <x:c r="F704" t="str">
        <x:v>East</x:v>
      </x:c>
      <x:c r="G704" t="str">
        <x:v>Office Supplies</x:v>
      </x:c>
      <x:c r="H704" t="str">
        <x:v>Art</x:v>
      </x:c>
      <x:c r="I704" s="22" t="n">
        <x:v>2.696</x:v>
      </x:c>
      <x:c r="J704" s="24" t="n">
        <x:v>1</x:v>
      </x:c>
      <x:c r="K704" s="26" t="n">
        <x:v>0.2</x:v>
      </x:c>
      <x:c r="L704" s="22" t="n">
        <x:v>0.8088000000000003</x:v>
      </x:c>
      <x:c r="M704" t="n">
        <x:v>2015</x:v>
      </x:c>
      <x:c r="N704" s="20" t="n">
        <x:v>42125</x:v>
      </x:c>
    </x:row>
    <x:row r="705" ht="18" customHeight="1">
      <x:c r="A705" t="str">
        <x:v>CA-2015-119291</x:v>
      </x:c>
      <x:c r="B705" s="18" t="n">
        <x:v>42138</x:v>
      </x:c>
      <x:c r="C705" t="str">
        <x:v>JO-15550</x:v>
      </x:c>
      <x:c r="D705" t="str">
        <x:v>Jesus Ocampo</x:v>
      </x:c>
      <x:c r="E705" t="str">
        <x:v>Home Office</x:v>
      </x:c>
      <x:c r="F705" t="str">
        <x:v>East</x:v>
      </x:c>
      <x:c r="G705" t="str">
        <x:v>Office Supplies</x:v>
      </x:c>
      <x:c r="H705" t="str">
        <x:v>Binders</x:v>
      </x:c>
      <x:c r="I705" s="22" t="n">
        <x:v>18.588000000000005</x:v>
      </x:c>
      <x:c r="J705" s="24" t="n">
        <x:v>2</x:v>
      </x:c>
      <x:c r="K705" s="26" t="n">
        <x:v>0.7</x:v>
      </x:c>
      <x:c r="L705" s="22" t="n">
        <x:v>-13.6312</x:v>
      </x:c>
      <x:c r="M705" t="n">
        <x:v>2015</x:v>
      </x:c>
      <x:c r="N705" s="20" t="n">
        <x:v>42125</x:v>
      </x:c>
    </x:row>
    <x:row r="706" ht="18" customHeight="1">
      <x:c r="A706" t="str">
        <x:v>CA-2015-119291</x:v>
      </x:c>
      <x:c r="B706" s="18" t="n">
        <x:v>42138</x:v>
      </x:c>
      <x:c r="C706" t="str">
        <x:v>JO-15550</x:v>
      </x:c>
      <x:c r="D706" t="str">
        <x:v>Jesus Ocampo</x:v>
      </x:c>
      <x:c r="E706" t="str">
        <x:v>Home Office</x:v>
      </x:c>
      <x:c r="F706" t="str">
        <x:v>East</x:v>
      </x:c>
      <x:c r="G706" t="str">
        <x:v>Office Supplies</x:v>
      </x:c>
      <x:c r="H706" t="str">
        <x:v>Binders</x:v>
      </x:c>
      <x:c r="I706" s="22" t="n">
        <x:v>4.896000000000001</x:v>
      </x:c>
      <x:c r="J706" s="24" t="n">
        <x:v>3</x:v>
      </x:c>
      <x:c r="K706" s="26" t="n">
        <x:v>0.7</x:v>
      </x:c>
      <x:c r="L706" s="22" t="n">
        <x:v>-3.427199999999999</x:v>
      </x:c>
      <x:c r="M706" t="n">
        <x:v>2015</x:v>
      </x:c>
      <x:c r="N706" s="20" t="n">
        <x:v>42125</x:v>
      </x:c>
    </x:row>
    <x:row r="707" ht="18" customHeight="1">
      <x:c r="A707" t="str">
        <x:v>CA-2017-114552</x:v>
      </x:c>
      <x:c r="B707" s="18" t="n">
        <x:v>42980</x:v>
      </x:c>
      <x:c r="C707" t="str">
        <x:v>Dl-13600</x:v>
      </x:c>
      <x:c r="D707" t="str">
        <x:v>Dorris liebe</x:v>
      </x:c>
      <x:c r="E707" t="str">
        <x:v>Corporate</x:v>
      </x:c>
      <x:c r="F707" t="str">
        <x:v>East</x:v>
      </x:c>
      <x:c r="G707" t="str">
        <x:v>Furniture</x:v>
      </x:c>
      <x:c r="H707" t="str">
        <x:v>Furnishings</x:v>
      </x:c>
      <x:c r="I707" s="22" t="n">
        <x:v>15.072000000000003</x:v>
      </x:c>
      <x:c r="J707" s="24" t="n">
        <x:v>3</x:v>
      </x:c>
      <x:c r="K707" s="26" t="n">
        <x:v>0.2</x:v>
      </x:c>
      <x:c r="L707" s="22" t="n">
        <x:v>4.1448</x:v>
      </x:c>
      <x:c r="M707" t="n">
        <x:v>2017</x:v>
      </x:c>
      <x:c r="N707" s="20" t="n">
        <x:v>42979</x:v>
      </x:c>
    </x:row>
    <x:row r="708" ht="18" customHeight="1">
      <x:c r="A708" t="str">
        <x:v>CA-2016-163755</x:v>
      </x:c>
      <x:c r="B708" s="18" t="n">
        <x:v>42678</x:v>
      </x:c>
      <x:c r="C708" t="str">
        <x:v>AS-10285</x:v>
      </x:c>
      <x:c r="D708" t="str">
        <x:v>Alejandro Savely</x:v>
      </x:c>
      <x:c r="E708" t="str">
        <x:v>Corporate</x:v>
      </x:c>
      <x:c r="F708" t="str">
        <x:v>West</x:v>
      </x:c>
      <x:c r="G708" t="str">
        <x:v>Furniture</x:v>
      </x:c>
      <x:c r="H708" t="str">
        <x:v>Furnishings</x:v>
      </x:c>
      <x:c r="I708" s="22" t="n">
        <x:v>209.88</x:v>
      </x:c>
      <x:c r="J708" s="24" t="n">
        <x:v>3</x:v>
      </x:c>
      <x:c r="K708" s="26" t="n">
        <x:v>0</x:v>
      </x:c>
      <x:c r="L708" s="22" t="n">
        <x:v>35.67959999999998</x:v>
      </x:c>
      <x:c r="M708" t="n">
        <x:v>2016</x:v>
      </x:c>
      <x:c r="N708" s="20" t="n">
        <x:v>42675</x:v>
      </x:c>
    </x:row>
    <x:row r="709" ht="18" customHeight="1">
      <x:c r="A709" t="str">
        <x:v>CA-2015-142027</x:v>
      </x:c>
      <x:c r="B709" s="18" t="n">
        <x:v>42103</x:v>
      </x:c>
      <x:c r="C709" t="str">
        <x:v>JK-15370</x:v>
      </x:c>
      <x:c r="D709" t="str">
        <x:v>Jay Kimmel</x:v>
      </x:c>
      <x:c r="E709" t="str">
        <x:v>Consumer</x:v>
      </x:c>
      <x:c r="F709" t="str">
        <x:v>West</x:v>
      </x:c>
      <x:c r="G709" t="str">
        <x:v>Furniture</x:v>
      </x:c>
      <x:c r="H709" t="str">
        <x:v>Tables</x:v>
      </x:c>
      <x:c r="I709" s="22" t="n">
        <x:v>369.91200000000003</x:v>
      </x:c>
      <x:c r="J709" s="24" t="n">
        <x:v>3</x:v>
      </x:c>
      <x:c r="K709" s="26" t="n">
        <x:v>0.2</x:v>
      </x:c>
      <x:c r="L709" s="22" t="n">
        <x:v>-13.871700000000047</x:v>
      </x:c>
      <x:c r="M709" t="n">
        <x:v>2015</x:v>
      </x:c>
      <x:c r="N709" s="20" t="n">
        <x:v>42095</x:v>
      </x:c>
    </x:row>
    <x:row r="710" ht="18" customHeight="1">
      <x:c r="A710" t="str">
        <x:v>CA-2014-138527</x:v>
      </x:c>
      <x:c r="B710" s="18" t="n">
        <x:v>41894</x:v>
      </x:c>
      <x:c r="C710" t="str">
        <x:v>BN-11470</x:v>
      </x:c>
      <x:c r="D710" t="str">
        <x:v>Brad Norvell</x:v>
      </x:c>
      <x:c r="E710" t="str">
        <x:v>Corporate</x:v>
      </x:c>
      <x:c r="F710" t="str">
        <x:v>South</x:v>
      </x:c>
      <x:c r="G710" t="str">
        <x:v>Office Supplies</x:v>
      </x:c>
      <x:c r="H710" t="str">
        <x:v>Paper</x:v>
      </x:c>
      <x:c r="I710" s="22" t="n">
        <x:v>10.368000000000002</x:v>
      </x:c>
      <x:c r="J710" s="24" t="n">
        <x:v>2</x:v>
      </x:c>
      <x:c r="K710" s="26" t="n">
        <x:v>0.2</x:v>
      </x:c>
      <x:c r="L710" s="22" t="n">
        <x:v>3.6288</x:v>
      </x:c>
      <x:c r="M710" t="n">
        <x:v>2014</x:v>
      </x:c>
      <x:c r="N710" s="20" t="n">
        <x:v>41883</x:v>
      </x:c>
    </x:row>
    <x:row r="711" ht="18" customHeight="1">
      <x:c r="A711" t="str">
        <x:v>CA-2014-138527</x:v>
      </x:c>
      <x:c r="B711" s="18" t="n">
        <x:v>41894</x:v>
      </x:c>
      <x:c r="C711" t="str">
        <x:v>BN-11470</x:v>
      </x:c>
      <x:c r="D711" t="str">
        <x:v>Brad Norvell</x:v>
      </x:c>
      <x:c r="E711" t="str">
        <x:v>Corporate</x:v>
      </x:c>
      <x:c r="F711" t="str">
        <x:v>South</x:v>
      </x:c>
      <x:c r="G711" t="str">
        <x:v>Office Supplies</x:v>
      </x:c>
      <x:c r="H711" t="str">
        <x:v>Appliances</x:v>
      </x:c>
      <x:c r="I711" s="22" t="n">
        <x:v>166.84</x:v>
      </x:c>
      <x:c r="J711" s="24" t="n">
        <x:v>5</x:v>
      </x:c>
      <x:c r="K711" s="26" t="n">
        <x:v>0.2</x:v>
      </x:c>
      <x:c r="L711" s="22" t="n">
        <x:v>18.769499999999987</x:v>
      </x:c>
      <x:c r="M711" t="n">
        <x:v>2014</x:v>
      </x:c>
      <x:c r="N711" s="20" t="n">
        <x:v>41883</x:v>
      </x:c>
    </x:row>
    <x:row r="712" ht="18" customHeight="1">
      <x:c r="A712" t="str">
        <x:v>CA-2014-138527</x:v>
      </x:c>
      <x:c r="B712" s="18" t="n">
        <x:v>41894</x:v>
      </x:c>
      <x:c r="C712" t="str">
        <x:v>BN-11470</x:v>
      </x:c>
      <x:c r="D712" t="str">
        <x:v>Brad Norvell</x:v>
      </x:c>
      <x:c r="E712" t="str">
        <x:v>Corporate</x:v>
      </x:c>
      <x:c r="F712" t="str">
        <x:v>South</x:v>
      </x:c>
      <x:c r="G712" t="str">
        <x:v>Technology</x:v>
      </x:c>
      <x:c r="H712" t="str">
        <x:v>Accessories</x:v>
      </x:c>
      <x:c r="I712" s="22" t="n">
        <x:v>15.216000000000001</x:v>
      </x:c>
      <x:c r="J712" s="24" t="n">
        <x:v>1</x:v>
      </x:c>
      <x:c r="K712" s="26" t="n">
        <x:v>0.2</x:v>
      </x:c>
      <x:c r="L712" s="22" t="n">
        <x:v>2.282399999999999</x:v>
      </x:c>
      <x:c r="M712" t="n">
        <x:v>2014</x:v>
      </x:c>
      <x:c r="N712" s="20" t="n">
        <x:v>41883</x:v>
      </x:c>
    </x:row>
    <x:row r="713" ht="18" customHeight="1">
      <x:c r="A713" t="str">
        <x:v>CA-2014-112158</x:v>
      </x:c>
      <x:c r="B713" s="18" t="n">
        <x:v>41975</x:v>
      </x:c>
      <x:c r="C713" t="str">
        <x:v>DP-13165</x:v>
      </x:c>
      <x:c r="D713" t="str">
        <x:v>David Philippe</x:v>
      </x:c>
      <x:c r="E713" t="str">
        <x:v>Consumer</x:v>
      </x:c>
      <x:c r="F713" t="str">
        <x:v>East</x:v>
      </x:c>
      <x:c r="G713" t="str">
        <x:v>Technology</x:v>
      </x:c>
      <x:c r="H713" t="str">
        <x:v>Accessories</x:v>
      </x:c>
      <x:c r="I713" s="22" t="n">
        <x:v>119.96</x:v>
      </x:c>
      <x:c r="J713" s="24" t="n">
        <x:v>4</x:v>
      </x:c>
      <x:c r="K713" s="26" t="n">
        <x:v>0</x:v>
      </x:c>
      <x:c r="L713" s="22" t="n">
        <x:v>52.78240000000001</x:v>
      </x:c>
      <x:c r="M713" t="n">
        <x:v>2014</x:v>
      </x:c>
      <x:c r="N713" s="20" t="n">
        <x:v>41974</x:v>
      </x:c>
    </x:row>
    <x:row r="714" ht="18" customHeight="1">
      <x:c r="A714" t="str">
        <x:v>CA-2014-112158</x:v>
      </x:c>
      <x:c r="B714" s="18" t="n">
        <x:v>41975</x:v>
      </x:c>
      <x:c r="C714" t="str">
        <x:v>DP-13165</x:v>
      </x:c>
      <x:c r="D714" t="str">
        <x:v>David Philippe</x:v>
      </x:c>
      <x:c r="E714" t="str">
        <x:v>Consumer</x:v>
      </x:c>
      <x:c r="F714" t="str">
        <x:v>East</x:v>
      </x:c>
      <x:c r="G714" t="str">
        <x:v>Furniture</x:v>
      </x:c>
      <x:c r="H714" t="str">
        <x:v>Bookcases</x:v>
      </x:c>
      <x:c r="I714" s="22" t="n">
        <x:v>883.92</x:v>
      </x:c>
      <x:c r="J714" s="24" t="n">
        <x:v>5</x:v>
      </x:c>
      <x:c r="K714" s="26" t="n">
        <x:v>0.2</x:v>
      </x:c>
      <x:c r="L714" s="22" t="n">
        <x:v>-110.49000000000007</x:v>
      </x:c>
      <x:c r="M714" t="n">
        <x:v>2014</x:v>
      </x:c>
      <x:c r="N714" s="20" t="n">
        <x:v>41974</x:v>
      </x:c>
    </x:row>
    <x:row r="715" ht="18" customHeight="1">
      <x:c r="A715" t="str">
        <x:v>CA-2014-112158</x:v>
      </x:c>
      <x:c r="B715" s="18" t="n">
        <x:v>41975</x:v>
      </x:c>
      <x:c r="C715" t="str">
        <x:v>DP-13165</x:v>
      </x:c>
      <x:c r="D715" t="str">
        <x:v>David Philippe</x:v>
      </x:c>
      <x:c r="E715" t="str">
        <x:v>Consumer</x:v>
      </x:c>
      <x:c r="F715" t="str">
        <x:v>East</x:v>
      </x:c>
      <x:c r="G715" t="str">
        <x:v>Office Supplies</x:v>
      </x:c>
      <x:c r="H715" t="str">
        <x:v>Binders</x:v>
      </x:c>
      <x:c r="I715" s="22" t="n">
        <x:v>46.72</x:v>
      </x:c>
      <x:c r="J715" s="24" t="n">
        <x:v>8</x:v>
      </x:c>
      <x:c r="K715" s="26" t="n">
        <x:v>0.2</x:v>
      </x:c>
      <x:c r="L715" s="22" t="n">
        <x:v>15.767999999999997</x:v>
      </x:c>
      <x:c r="M715" t="n">
        <x:v>2014</x:v>
      </x:c>
      <x:c r="N715" s="20" t="n">
        <x:v>41974</x:v>
      </x:c>
    </x:row>
    <x:row r="716" ht="18" customHeight="1">
      <x:c r="A716" t="str">
        <x:v>CA-2014-113887</x:v>
      </x:c>
      <x:c r="B716" s="18" t="n">
        <x:v>41734</x:v>
      </x:c>
      <x:c r="C716" t="str">
        <x:v>TH-21550</x:v>
      </x:c>
      <x:c r="D716" t="str">
        <x:v>Tracy Hopkins</x:v>
      </x:c>
      <x:c r="E716" t="str">
        <x:v>Home Office</x:v>
      </x:c>
      <x:c r="F716" t="str">
        <x:v>East</x:v>
      </x:c>
      <x:c r="G716" t="str">
        <x:v>Office Supplies</x:v>
      </x:c>
      <x:c r="H716" t="str">
        <x:v>Paper</x:v>
      </x:c>
      <x:c r="I716" s="22" t="n">
        <x:v>55.48</x:v>
      </x:c>
      <x:c r="J716" s="24" t="n">
        <x:v>1</x:v>
      </x:c>
      <x:c r="K716" s="26" t="n">
        <x:v>0</x:v>
      </x:c>
      <x:c r="L716" s="22" t="n">
        <x:v>26.630399999999998</x:v>
      </x:c>
      <x:c r="M716" t="n">
        <x:v>2014</x:v>
      </x:c>
      <x:c r="N716" s="20" t="n">
        <x:v>41730</x:v>
      </x:c>
    </x:row>
    <x:row r="717" ht="18" customHeight="1">
      <x:c r="A717" t="str">
        <x:v>CA-2017-146136</x:v>
      </x:c>
      <x:c r="B717" s="18" t="n">
        <x:v>42981</x:v>
      </x:c>
      <x:c r="C717" t="str">
        <x:v>AP-10915</x:v>
      </x:c>
      <x:c r="D717" t="str">
        <x:v>Arthur Prichep</x:v>
      </x:c>
      <x:c r="E717" t="str">
        <x:v>Consumer</x:v>
      </x:c>
      <x:c r="F717" t="str">
        <x:v>South</x:v>
      </x:c>
      <x:c r="G717" t="str">
        <x:v>Office Supplies</x:v>
      </x:c>
      <x:c r="H717" t="str">
        <x:v>Envelopes</x:v>
      </x:c>
      <x:c r="I717" s="22" t="n">
        <x:v>24.448</x:v>
      </x:c>
      <x:c r="J717" s="24" t="n">
        <x:v>4</x:v>
      </x:c>
      <x:c r="K717" s="26" t="n">
        <x:v>0.2</x:v>
      </x:c>
      <x:c r="L717" s="22" t="n">
        <x:v>8.8624</x:v>
      </x:c>
      <x:c r="M717" t="n">
        <x:v>2017</x:v>
      </x:c>
      <x:c r="N717" s="20" t="n">
        <x:v>42979</x:v>
      </x:c>
    </x:row>
    <x:row r="718" ht="18" customHeight="1">
      <x:c r="A718" t="str">
        <x:v>US-2017-100048</x:v>
      </x:c>
      <x:c r="B718" s="18" t="n">
        <x:v>42874</x:v>
      </x:c>
      <x:c r="C718" t="str">
        <x:v>RS-19765</x:v>
      </x:c>
      <x:c r="D718" t="str">
        <x:v>Roland Schwarz</x:v>
      </x:c>
      <x:c r="E718" t="str">
        <x:v>Corporate</x:v>
      </x:c>
      <x:c r="F718" t="str">
        <x:v>East</x:v>
      </x:c>
      <x:c r="G718" t="str">
        <x:v>Office Supplies</x:v>
      </x:c>
      <x:c r="H718" t="str">
        <x:v>Appliances</x:v>
      </x:c>
      <x:c r="I718" s="22" t="n">
        <x:v>281.34000000000003</x:v>
      </x:c>
      <x:c r="J718" s="24" t="n">
        <x:v>6</x:v>
      </x:c>
      <x:c r="K718" s="26" t="n">
        <x:v>0</x:v>
      </x:c>
      <x:c r="L718" s="22" t="n">
        <x:v>109.72260000000001</x:v>
      </x:c>
      <x:c r="M718" t="n">
        <x:v>2017</x:v>
      </x:c>
      <x:c r="N718" s="20" t="n">
        <x:v>42856</x:v>
      </x:c>
    </x:row>
    <x:row r="719" ht="18" customHeight="1">
      <x:c r="A719" t="str">
        <x:v>US-2017-100048</x:v>
      </x:c>
      <x:c r="B719" s="18" t="n">
        <x:v>42874</x:v>
      </x:c>
      <x:c r="C719" t="str">
        <x:v>RS-19765</x:v>
      </x:c>
      <x:c r="D719" t="str">
        <x:v>Roland Schwarz</x:v>
      </x:c>
      <x:c r="E719" t="str">
        <x:v>Corporate</x:v>
      </x:c>
      <x:c r="F719" t="str">
        <x:v>East</x:v>
      </x:c>
      <x:c r="G719" t="str">
        <x:v>Technology</x:v>
      </x:c>
      <x:c r="H719" t="str">
        <x:v>Phones</x:v>
      </x:c>
      <x:c r="I719" s="22" t="n">
        <x:v>307.98</x:v>
      </x:c>
      <x:c r="J719" s="24" t="n">
        <x:v>2</x:v>
      </x:c>
      <x:c r="K719" s="26" t="n">
        <x:v>0</x:v>
      </x:c>
      <x:c r="L719" s="22" t="n">
        <x:v>89.31419999999997</x:v>
      </x:c>
      <x:c r="M719" t="n">
        <x:v>2017</x:v>
      </x:c>
      <x:c r="N719" s="20" t="n">
        <x:v>42856</x:v>
      </x:c>
    </x:row>
    <x:row r="720" ht="18" customHeight="1">
      <x:c r="A720" t="str">
        <x:v>US-2017-100048</x:v>
      </x:c>
      <x:c r="B720" s="18" t="n">
        <x:v>42874</x:v>
      </x:c>
      <x:c r="C720" t="str">
        <x:v>RS-19765</x:v>
      </x:c>
      <x:c r="D720" t="str">
        <x:v>Roland Schwarz</x:v>
      </x:c>
      <x:c r="E720" t="str">
        <x:v>Corporate</x:v>
      </x:c>
      <x:c r="F720" t="str">
        <x:v>East</x:v>
      </x:c>
      <x:c r="G720" t="str">
        <x:v>Technology</x:v>
      </x:c>
      <x:c r="H720" t="str">
        <x:v>Accessories</x:v>
      </x:c>
      <x:c r="I720" s="22" t="n">
        <x:v>299.96999999999997</x:v>
      </x:c>
      <x:c r="J720" s="24" t="n">
        <x:v>3</x:v>
      </x:c>
      <x:c r="K720" s="26" t="n">
        <x:v>0</x:v>
      </x:c>
      <x:c r="L720" s="22" t="n">
        <x:v>113.9886</x:v>
      </x:c>
      <x:c r="M720" t="n">
        <x:v>2017</x:v>
      </x:c>
      <x:c r="N720" s="20" t="n">
        <x:v>42856</x:v>
      </x:c>
    </x:row>
    <x:row r="721" ht="18" customHeight="1">
      <x:c r="A721" t="str">
        <x:v>CA-2014-153150</x:v>
      </x:c>
      <x:c r="B721" s="18" t="n">
        <x:v>41821</x:v>
      </x:c>
      <x:c r="C721" t="str">
        <x:v>Dl-13600</x:v>
      </x:c>
      <x:c r="D721" t="str">
        <x:v>Dorris liebe</x:v>
      </x:c>
      <x:c r="E721" t="str">
        <x:v>Corporate</x:v>
      </x:c>
      <x:c r="F721" t="str">
        <x:v>West</x:v>
      </x:c>
      <x:c r="G721" t="str">
        <x:v>Office Supplies</x:v>
      </x:c>
      <x:c r="H721" t="str">
        <x:v>Binders</x:v>
      </x:c>
      <x:c r="I721" s="22" t="n">
        <x:v>19.92</x:v>
      </x:c>
      <x:c r="J721" s="24" t="n">
        <x:v>5</x:v>
      </x:c>
      <x:c r="K721" s="26" t="n">
        <x:v>0.2</x:v>
      </x:c>
      <x:c r="L721" s="22" t="n">
        <x:v>6.9719999999999995</x:v>
      </x:c>
      <x:c r="M721" t="n">
        <x:v>2014</x:v>
      </x:c>
      <x:c r="N721" s="20" t="n">
        <x:v>41821</x:v>
      </x:c>
    </x:row>
    <x:row r="722" ht="18" customHeight="1">
      <x:c r="A722" t="str">
        <x:v>CA-2014-130092</x:v>
      </x:c>
      <x:c r="B722" s="18" t="n">
        <x:v>41650</x:v>
      </x:c>
      <x:c r="C722" t="str">
        <x:v>SV-20365</x:v>
      </x:c>
      <x:c r="D722" t="str">
        <x:v>Seth Vernon</x:v>
      </x:c>
      <x:c r="E722" t="str">
        <x:v>Consumer</x:v>
      </x:c>
      <x:c r="F722" t="str">
        <x:v>East</x:v>
      </x:c>
      <x:c r="G722" t="str">
        <x:v>Furniture</x:v>
      </x:c>
      <x:c r="H722" t="str">
        <x:v>Furnishings</x:v>
      </x:c>
      <x:c r="I722" s="22" t="n">
        <x:v>9.94</x:v>
      </x:c>
      <x:c r="J722" s="24" t="n">
        <x:v>2</x:v>
      </x:c>
      <x:c r="K722" s="26" t="n">
        <x:v>0</x:v>
      </x:c>
      <x:c r="L722" s="22" t="n">
        <x:v>3.0813999999999995</x:v>
      </x:c>
      <x:c r="M722" t="n">
        <x:v>2014</x:v>
      </x:c>
      <x:c r="N722" s="20" t="n">
        <x:v>41640</x:v>
      </x:c>
    </x:row>
    <x:row r="723" ht="18" customHeight="1">
      <x:c r="A723" t="str">
        <x:v>CA-2017-108910</x:v>
      </x:c>
      <x:c r="B723" s="18" t="n">
        <x:v>43002</x:v>
      </x:c>
      <x:c r="C723" t="str">
        <x:v>KC-16540</x:v>
      </x:c>
      <x:c r="D723" t="str">
        <x:v>Kelly Collister</x:v>
      </x:c>
      <x:c r="E723" t="str">
        <x:v>Consumer</x:v>
      </x:c>
      <x:c r="F723" t="str">
        <x:v>East</x:v>
      </x:c>
      <x:c r="G723" t="str">
        <x:v>Furniture</x:v>
      </x:c>
      <x:c r="H723" t="str">
        <x:v>Furnishings</x:v>
      </x:c>
      <x:c r="I723" s="22" t="n">
        <x:v>103.05599999999998</x:v>
      </x:c>
      <x:c r="J723" s="24" t="n">
        <x:v>3</x:v>
      </x:c>
      <x:c r="K723" s="26" t="n">
        <x:v>0.2</x:v>
      </x:c>
      <x:c r="L723" s="22" t="n">
        <x:v>24.475800000000007</x:v>
      </x:c>
      <x:c r="M723" t="n">
        <x:v>2017</x:v>
      </x:c>
      <x:c r="N723" s="20" t="n">
        <x:v>42979</x:v>
      </x:c>
    </x:row>
    <x:row r="724" ht="18" customHeight="1">
      <x:c r="A724" t="str">
        <x:v>CA-2014-104472</x:v>
      </x:c>
      <x:c r="B724" s="18" t="n">
        <x:v>41792</x:v>
      </x:c>
      <x:c r="C724" t="str">
        <x:v>CK-12325</x:v>
      </x:c>
      <x:c r="D724" t="str">
        <x:v>Christine Kargatis</x:v>
      </x:c>
      <x:c r="E724" t="str">
        <x:v>Home Office</x:v>
      </x:c>
      <x:c r="F724" t="str">
        <x:v>West</x:v>
      </x:c>
      <x:c r="G724" t="str">
        <x:v>Office Supplies</x:v>
      </x:c>
      <x:c r="H724" t="str">
        <x:v>Binders</x:v>
      </x:c>
      <x:c r="I724" s="22" t="n">
        <x:v>59.80800000000001</x:v>
      </x:c>
      <x:c r="J724" s="24" t="n">
        <x:v>3</x:v>
      </x:c>
      <x:c r="K724" s="26" t="n">
        <x:v>0.2</x:v>
      </x:c>
      <x:c r="L724" s="22" t="n">
        <x:v>19.4376</x:v>
      </x:c>
      <x:c r="M724" t="n">
        <x:v>2014</x:v>
      </x:c>
      <x:c r="N724" s="20" t="n">
        <x:v>41791</x:v>
      </x:c>
    </x:row>
    <x:row r="725" ht="18" customHeight="1">
      <x:c r="A725" t="str">
        <x:v>CA-2014-104472</x:v>
      </x:c>
      <x:c r="B725" s="18" t="n">
        <x:v>41792</x:v>
      </x:c>
      <x:c r="C725" t="str">
        <x:v>CK-12325</x:v>
      </x:c>
      <x:c r="D725" t="str">
        <x:v>Christine Kargatis</x:v>
      </x:c>
      <x:c r="E725" t="str">
        <x:v>Home Office</x:v>
      </x:c>
      <x:c r="F725" t="str">
        <x:v>West</x:v>
      </x:c>
      <x:c r="G725" t="str">
        <x:v>Furniture</x:v>
      </x:c>
      <x:c r="H725" t="str">
        <x:v>Furnishings</x:v>
      </x:c>
      <x:c r="I725" s="22" t="n">
        <x:v>73.32000000000001</x:v>
      </x:c>
      <x:c r="J725" s="24" t="n">
        <x:v>6</x:v>
      </x:c>
      <x:c r="K725" s="26" t="n">
        <x:v>0</x:v>
      </x:c>
      <x:c r="L725" s="22" t="n">
        <x:v>21.99599999999999</x:v>
      </x:c>
      <x:c r="M725" t="n">
        <x:v>2014</x:v>
      </x:c>
      <x:c r="N725" s="20" t="n">
        <x:v>41791</x:v>
      </x:c>
    </x:row>
    <x:row r="726" ht="18" customHeight="1">
      <x:c r="A726" t="str">
        <x:v>CA-2016-112942</x:v>
      </x:c>
      <x:c r="B726" s="18" t="n">
        <x:v>42413</x:v>
      </x:c>
      <x:c r="C726" t="str">
        <x:v>RD-19810</x:v>
      </x:c>
      <x:c r="D726" t="str">
        <x:v>Ross DeVincentis</x:v>
      </x:c>
      <x:c r="E726" t="str">
        <x:v>Home Office</x:v>
      </x:c>
      <x:c r="F726" t="str">
        <x:v>West</x:v>
      </x:c>
      <x:c r="G726" t="str">
        <x:v>Office Supplies</x:v>
      </x:c>
      <x:c r="H726" t="str">
        <x:v>Paper</x:v>
      </x:c>
      <x:c r="I726" s="22" t="n">
        <x:v>146.82</x:v>
      </x:c>
      <x:c r="J726" s="24" t="n">
        <x:v>3</x:v>
      </x:c>
      <x:c r="K726" s="26" t="n">
        <x:v>0</x:v>
      </x:c>
      <x:c r="L726" s="22" t="n">
        <x:v>73.41</x:v>
      </x:c>
      <x:c r="M726" t="n">
        <x:v>2016</x:v>
      </x:c>
      <x:c r="N726" s="20" t="n">
        <x:v>42401</x:v>
      </x:c>
    </x:row>
    <x:row r="727" ht="18" customHeight="1">
      <x:c r="A727" t="str">
        <x:v>CA-2016-142335</x:v>
      </x:c>
      <x:c r="B727" s="18" t="n">
        <x:v>42719</x:v>
      </x:c>
      <x:c r="C727" t="str">
        <x:v>MP-17965</x:v>
      </x:c>
      <x:c r="D727" t="str">
        <x:v>Michael Paige</x:v>
      </x:c>
      <x:c r="E727" t="str">
        <x:v>Corporate</x:v>
      </x:c>
      <x:c r="F727" t="str">
        <x:v>Central</x:v>
      </x:c>
      <x:c r="G727" t="str">
        <x:v>Furniture</x:v>
      </x:c>
      <x:c r="H727" t="str">
        <x:v>Tables</x:v>
      </x:c>
      <x:c r="I727" s="22" t="n">
        <x:v>1652.94</x:v>
      </x:c>
      <x:c r="J727" s="24" t="n">
        <x:v>3</x:v>
      </x:c>
      <x:c r="K727" s="26" t="n">
        <x:v>0</x:v>
      </x:c>
      <x:c r="L727" s="22" t="n">
        <x:v>231.41160000000002</x:v>
      </x:c>
      <x:c r="M727" t="n">
        <x:v>2016</x:v>
      </x:c>
      <x:c r="N727" s="20" t="n">
        <x:v>42705</x:v>
      </x:c>
    </x:row>
    <x:row r="728" ht="18" customHeight="1">
      <x:c r="A728" t="str">
        <x:v>CA-2016-142335</x:v>
      </x:c>
      <x:c r="B728" s="18" t="n">
        <x:v>42719</x:v>
      </x:c>
      <x:c r="C728" t="str">
        <x:v>MP-17965</x:v>
      </x:c>
      <x:c r="D728" t="str">
        <x:v>Michael Paige</x:v>
      </x:c>
      <x:c r="E728" t="str">
        <x:v>Corporate</x:v>
      </x:c>
      <x:c r="F728" t="str">
        <x:v>Central</x:v>
      </x:c>
      <x:c r="G728" t="str">
        <x:v>Office Supplies</x:v>
      </x:c>
      <x:c r="H728" t="str">
        <x:v>Storage</x:v>
      </x:c>
      <x:c r="I728" s="22" t="n">
        <x:v>296.37</x:v>
      </x:c>
      <x:c r="J728" s="24" t="n">
        <x:v>3</x:v>
      </x:c>
      <x:c r="K728" s="26" t="n">
        <x:v>0</x:v>
      </x:c>
      <x:c r="L728" s="22" t="n">
        <x:v>80.01989999999999</x:v>
      </x:c>
      <x:c r="M728" t="n">
        <x:v>2016</x:v>
      </x:c>
      <x:c r="N728" s="20" t="n">
        <x:v>42705</x:v>
      </x:c>
    </x:row>
    <x:row r="729" ht="18" customHeight="1">
      <x:c r="A729" t="str">
        <x:v>CA-2014-117429</x:v>
      </x:c>
      <x:c r="B729" s="18" t="n">
        <x:v>41919</x:v>
      </x:c>
      <x:c r="C729" t="str">
        <x:v>MR-17545</x:v>
      </x:c>
      <x:c r="D729" t="str">
        <x:v>Mathew Reese</x:v>
      </x:c>
      <x:c r="E729" t="str">
        <x:v>Home Office</x:v>
      </x:c>
      <x:c r="F729" t="str">
        <x:v>East</x:v>
      </x:c>
      <x:c r="G729" t="str">
        <x:v>Furniture</x:v>
      </x:c>
      <x:c r="H729" t="str">
        <x:v>Furnishings</x:v>
      </x:c>
      <x:c r="I729" s="22" t="n">
        <x:v>129.92</x:v>
      </x:c>
      <x:c r="J729" s="24" t="n">
        <x:v>5</x:v>
      </x:c>
      <x:c r="K729" s="26" t="n">
        <x:v>0.2</x:v>
      </x:c>
      <x:c r="L729" s="22" t="n">
        <x:v>21.112000000000002</x:v>
      </x:c>
      <x:c r="M729" t="n">
        <x:v>2014</x:v>
      </x:c>
      <x:c r="N729" s="20" t="n">
        <x:v>41913</x:v>
      </x:c>
    </x:row>
    <x:row r="730" ht="18" customHeight="1">
      <x:c r="A730" t="str">
        <x:v>CA-2016-114713</x:v>
      </x:c>
      <x:c r="B730" s="18" t="n">
        <x:v>42558</x:v>
      </x:c>
      <x:c r="C730" t="str">
        <x:v>SC-20695</x:v>
      </x:c>
      <x:c r="D730" t="str">
        <x:v>Steve Chapman</x:v>
      </x:c>
      <x:c r="E730" t="str">
        <x:v>Corporate</x:v>
      </x:c>
      <x:c r="F730" t="str">
        <x:v>South</x:v>
      </x:c>
      <x:c r="G730" t="str">
        <x:v>Office Supplies</x:v>
      </x:c>
      <x:c r="H730" t="str">
        <x:v>Supplies</x:v>
      </x:c>
      <x:c r="I730" s="22" t="n">
        <x:v>45.584</x:v>
      </x:c>
      <x:c r="J730" s="24" t="n">
        <x:v>7</x:v>
      </x:c>
      <x:c r="K730" s="26" t="n">
        <x:v>0.2</x:v>
      </x:c>
      <x:c r="L730" s="22" t="n">
        <x:v>5.1282</x:v>
      </x:c>
      <x:c r="M730" t="n">
        <x:v>2016</x:v>
      </x:c>
      <x:c r="N730" s="20" t="n">
        <x:v>42552</x:v>
      </x:c>
    </x:row>
    <x:row r="731" ht="18" customHeight="1">
      <x:c r="A731" t="str">
        <x:v>CA-2017-144113</x:v>
      </x:c>
      <x:c r="B731" s="18" t="n">
        <x:v>42994</x:v>
      </x:c>
      <x:c r="C731" t="str">
        <x:v>JF-15355</x:v>
      </x:c>
      <x:c r="D731" t="str">
        <x:v>Jay Fein</x:v>
      </x:c>
      <x:c r="E731" t="str">
        <x:v>Consumer</x:v>
      </x:c>
      <x:c r="F731" t="str">
        <x:v>Central</x:v>
      </x:c>
      <x:c r="G731" t="str">
        <x:v>Office Supplies</x:v>
      </x:c>
      <x:c r="H731" t="str">
        <x:v>Envelopes</x:v>
      </x:c>
      <x:c r="I731" s="22" t="n">
        <x:v>17.568</x:v>
      </x:c>
      <x:c r="J731" s="24" t="n">
        <x:v>2</x:v>
      </x:c>
      <x:c r="K731" s="26" t="n">
        <x:v>0.2</x:v>
      </x:c>
      <x:c r="L731" s="22" t="n">
        <x:v>6.3684</x:v>
      </x:c>
      <x:c r="M731" t="n">
        <x:v>2017</x:v>
      </x:c>
      <x:c r="N731" s="20" t="n">
        <x:v>42979</x:v>
      </x:c>
    </x:row>
    <x:row r="732" ht="18" customHeight="1">
      <x:c r="A732" t="str">
        <x:v>CA-2017-144113</x:v>
      </x:c>
      <x:c r="B732" s="18" t="n">
        <x:v>42994</x:v>
      </x:c>
      <x:c r="C732" t="str">
        <x:v>JF-15355</x:v>
      </x:c>
      <x:c r="D732" t="str">
        <x:v>Jay Fein</x:v>
      </x:c>
      <x:c r="E732" t="str">
        <x:v>Consumer</x:v>
      </x:c>
      <x:c r="F732" t="str">
        <x:v>Central</x:v>
      </x:c>
      <x:c r="G732" t="str">
        <x:v>Technology</x:v>
      </x:c>
      <x:c r="H732" t="str">
        <x:v>Phones</x:v>
      </x:c>
      <x:c r="I732" s="22" t="n">
        <x:v>55.992</x:v>
      </x:c>
      <x:c r="J732" s="24" t="n">
        <x:v>1</x:v>
      </x:c>
      <x:c r="K732" s="26" t="n">
        <x:v>0.2</x:v>
      </x:c>
      <x:c r="L732" s="22" t="n">
        <x:v>5.5992000000000015</x:v>
      </x:c>
      <x:c r="M732" t="n">
        <x:v>2017</x:v>
      </x:c>
      <x:c r="N732" s="20" t="n">
        <x:v>42979</x:v>
      </x:c>
    </x:row>
    <x:row r="733" ht="18" customHeight="1">
      <x:c r="A733" t="str">
        <x:v>US-2016-150861</x:v>
      </x:c>
      <x:c r="B733" s="18" t="n">
        <x:v>42707</x:v>
      </x:c>
      <x:c r="C733" t="str">
        <x:v>EG-13900</x:v>
      </x:c>
      <x:c r="D733" t="str">
        <x:v>Emily Grady</x:v>
      </x:c>
      <x:c r="E733" t="str">
        <x:v>Consumer</x:v>
      </x:c>
      <x:c r="F733" t="str">
        <x:v>East</x:v>
      </x:c>
      <x:c r="G733" t="str">
        <x:v>Office Supplies</x:v>
      </x:c>
      <x:c r="H733" t="str">
        <x:v>Paper</x:v>
      </x:c>
      <x:c r="I733" s="22" t="n">
        <x:v>182.72</x:v>
      </x:c>
      <x:c r="J733" s="24" t="n">
        <x:v>8</x:v>
      </x:c>
      <x:c r="K733" s="26" t="n">
        <x:v>0</x:v>
      </x:c>
      <x:c r="L733" s="22" t="n">
        <x:v>84.0512</x:v>
      </x:c>
      <x:c r="M733" t="n">
        <x:v>2016</x:v>
      </x:c>
      <x:c r="N733" s="20" t="n">
        <x:v>42705</x:v>
      </x:c>
    </x:row>
    <x:row r="734" ht="18" customHeight="1">
      <x:c r="A734" t="str">
        <x:v>US-2016-150861</x:v>
      </x:c>
      <x:c r="B734" s="18" t="n">
        <x:v>42707</x:v>
      </x:c>
      <x:c r="C734" t="str">
        <x:v>EG-13900</x:v>
      </x:c>
      <x:c r="D734" t="str">
        <x:v>Emily Grady</x:v>
      </x:c>
      <x:c r="E734" t="str">
        <x:v>Consumer</x:v>
      </x:c>
      <x:c r="F734" t="str">
        <x:v>East</x:v>
      </x:c>
      <x:c r="G734" t="str">
        <x:v>Furniture</x:v>
      </x:c>
      <x:c r="H734" t="str">
        <x:v>Tables</x:v>
      </x:c>
      <x:c r="I734" s="22" t="n">
        <x:v>400.032</x:v>
      </x:c>
      <x:c r="J734" s="24" t="n">
        <x:v>2</x:v>
      </x:c>
      <x:c r="K734" s="26" t="n">
        <x:v>0.4</x:v>
      </x:c>
      <x:c r="L734" s="22" t="n">
        <x:v>-153.34560000000005</x:v>
      </x:c>
      <x:c r="M734" t="n">
        <x:v>2016</x:v>
      </x:c>
      <x:c r="N734" s="20" t="n">
        <x:v>42705</x:v>
      </x:c>
    </x:row>
    <x:row r="735" ht="18" customHeight="1">
      <x:c r="A735" t="str">
        <x:v>US-2016-150861</x:v>
      </x:c>
      <x:c r="B735" s="18" t="n">
        <x:v>42707</x:v>
      </x:c>
      <x:c r="C735" t="str">
        <x:v>EG-13900</x:v>
      </x:c>
      <x:c r="D735" t="str">
        <x:v>Emily Grady</x:v>
      </x:c>
      <x:c r="E735" t="str">
        <x:v>Consumer</x:v>
      </x:c>
      <x:c r="F735" t="str">
        <x:v>East</x:v>
      </x:c>
      <x:c r="G735" t="str">
        <x:v>Office Supplies</x:v>
      </x:c>
      <x:c r="H735" t="str">
        <x:v>Storage</x:v>
      </x:c>
      <x:c r="I735" s="22" t="n">
        <x:v>33.63</x:v>
      </x:c>
      <x:c r="J735" s="24" t="n">
        <x:v>3</x:v>
      </x:c>
      <x:c r="K735" s="26" t="n">
        <x:v>0</x:v>
      </x:c>
      <x:c r="L735" s="22" t="n">
        <x:v>10.088999999999999</x:v>
      </x:c>
      <x:c r="M735" t="n">
        <x:v>2016</x:v>
      </x:c>
      <x:c r="N735" s="20" t="n">
        <x:v>42705</x:v>
      </x:c>
    </x:row>
    <x:row r="736" ht="18" customHeight="1">
      <x:c r="A736" t="str">
        <x:v>US-2016-150861</x:v>
      </x:c>
      <x:c r="B736" s="18" t="n">
        <x:v>42707</x:v>
      </x:c>
      <x:c r="C736" t="str">
        <x:v>EG-13900</x:v>
      </x:c>
      <x:c r="D736" t="str">
        <x:v>Emily Grady</x:v>
      </x:c>
      <x:c r="E736" t="str">
        <x:v>Consumer</x:v>
      </x:c>
      <x:c r="F736" t="str">
        <x:v>East</x:v>
      </x:c>
      <x:c r="G736" t="str">
        <x:v>Furniture</x:v>
      </x:c>
      <x:c r="H736" t="str">
        <x:v>Chairs</x:v>
      </x:c>
      <x:c r="I736" s="22" t="n">
        <x:v>542.646</x:v>
      </x:c>
      <x:c r="J736" s="24" t="n">
        <x:v>3</x:v>
      </x:c>
      <x:c r="K736" s="26" t="n">
        <x:v>0.1</x:v>
      </x:c>
      <x:c r="L736" s="22" t="n">
        <x:v>102.49980000000001</x:v>
      </x:c>
      <x:c r="M736" t="n">
        <x:v>2016</x:v>
      </x:c>
      <x:c r="N736" s="20" t="n">
        <x:v>42705</x:v>
      </x:c>
    </x:row>
    <x:row r="737" ht="18" customHeight="1">
      <x:c r="A737" t="str">
        <x:v>US-2016-150861</x:v>
      </x:c>
      <x:c r="B737" s="18" t="n">
        <x:v>42707</x:v>
      </x:c>
      <x:c r="C737" t="str">
        <x:v>EG-13900</x:v>
      </x:c>
      <x:c r="D737" t="str">
        <x:v>Emily Grady</x:v>
      </x:c>
      <x:c r="E737" t="str">
        <x:v>Consumer</x:v>
      </x:c>
      <x:c r="F737" t="str">
        <x:v>East</x:v>
      </x:c>
      <x:c r="G737" t="str">
        <x:v>Office Supplies</x:v>
      </x:c>
      <x:c r="H737" t="str">
        <x:v>Labels</x:v>
      </x:c>
      <x:c r="I737" s="22" t="n">
        <x:v>6.3</x:v>
      </x:c>
      <x:c r="J737" s="24" t="n">
        <x:v>2</x:v>
      </x:c>
      <x:c r="K737" s="26" t="n">
        <x:v>0</x:v>
      </x:c>
      <x:c r="L737" s="22" t="n">
        <x:v>3.024</x:v>
      </x:c>
      <x:c r="M737" t="n">
        <x:v>2016</x:v>
      </x:c>
      <x:c r="N737" s="20" t="n">
        <x:v>42705</x:v>
      </x:c>
    </x:row>
    <x:row r="738" ht="18" customHeight="1">
      <x:c r="A738" t="str">
        <x:v>CA-2017-131954</x:v>
      </x:c>
      <x:c r="B738" s="18" t="n">
        <x:v>42756</x:v>
      </x:c>
      <x:c r="C738" t="str">
        <x:v>DS-13030</x:v>
      </x:c>
      <x:c r="D738" t="str">
        <x:v>Darrin Sayre</x:v>
      </x:c>
      <x:c r="E738" t="str">
        <x:v>Home Office</x:v>
      </x:c>
      <x:c r="F738" t="str">
        <x:v>West</x:v>
      </x:c>
      <x:c r="G738" t="str">
        <x:v>Office Supplies</x:v>
      </x:c>
      <x:c r="H738" t="str">
        <x:v>Storage</x:v>
      </x:c>
      <x:c r="I738" s="22" t="n">
        <x:v>242.94</x:v>
      </x:c>
      <x:c r="J738" s="24" t="n">
        <x:v>3</x:v>
      </x:c>
      <x:c r="K738" s="26" t="n">
        <x:v>0</x:v>
      </x:c>
      <x:c r="L738" s="22" t="n">
        <x:v>9.71759999999999</x:v>
      </x:c>
      <x:c r="M738" t="n">
        <x:v>2017</x:v>
      </x:c>
      <x:c r="N738" s="20" t="n">
        <x:v>42736</x:v>
      </x:c>
    </x:row>
    <x:row r="739" ht="18" customHeight="1">
      <x:c r="A739" t="str">
        <x:v>CA-2017-131954</x:v>
      </x:c>
      <x:c r="B739" s="18" t="n">
        <x:v>42756</x:v>
      </x:c>
      <x:c r="C739" t="str">
        <x:v>DS-13030</x:v>
      </x:c>
      <x:c r="D739" t="str">
        <x:v>Darrin Sayre</x:v>
      </x:c>
      <x:c r="E739" t="str">
        <x:v>Home Office</x:v>
      </x:c>
      <x:c r="F739" t="str">
        <x:v>West</x:v>
      </x:c>
      <x:c r="G739" t="str">
        <x:v>Technology</x:v>
      </x:c>
      <x:c r="H739" t="str">
        <x:v>Accessories</x:v>
      </x:c>
      <x:c r="I739" s="22" t="n">
        <x:v>179.97</x:v>
      </x:c>
      <x:c r="J739" s="24" t="n">
        <x:v>3</x:v>
      </x:c>
      <x:c r="K739" s="26" t="n">
        <x:v>0</x:v>
      </x:c>
      <x:c r="L739" s="22" t="n">
        <x:v>86.38560000000001</x:v>
      </x:c>
      <x:c r="M739" t="n">
        <x:v>2017</x:v>
      </x:c>
      <x:c r="N739" s="20" t="n">
        <x:v>42736</x:v>
      </x:c>
    </x:row>
    <x:row r="740" ht="18" customHeight="1">
      <x:c r="A740" t="str">
        <x:v>CA-2017-131954</x:v>
      </x:c>
      <x:c r="B740" s="18" t="n">
        <x:v>42756</x:v>
      </x:c>
      <x:c r="C740" t="str">
        <x:v>DS-13030</x:v>
      </x:c>
      <x:c r="D740" t="str">
        <x:v>Darrin Sayre</x:v>
      </x:c>
      <x:c r="E740" t="str">
        <x:v>Home Office</x:v>
      </x:c>
      <x:c r="F740" t="str">
        <x:v>West</x:v>
      </x:c>
      <x:c r="G740" t="str">
        <x:v>Office Supplies</x:v>
      </x:c>
      <x:c r="H740" t="str">
        <x:v>Binders</x:v>
      </x:c>
      <x:c r="I740" s="22" t="n">
        <x:v>99.696</x:v>
      </x:c>
      <x:c r="J740" s="24" t="n">
        <x:v>6</x:v>
      </x:c>
      <x:c r="K740" s="26" t="n">
        <x:v>0.2</x:v>
      </x:c>
      <x:c r="L740" s="22" t="n">
        <x:v>33.6474</x:v>
      </x:c>
      <x:c r="M740" t="n">
        <x:v>2017</x:v>
      </x:c>
      <x:c r="N740" s="20" t="n">
        <x:v>42736</x:v>
      </x:c>
    </x:row>
    <x:row r="741" ht="18" customHeight="1">
      <x:c r="A741" t="str">
        <x:v>CA-2017-131954</x:v>
      </x:c>
      <x:c r="B741" s="18" t="n">
        <x:v>42756</x:v>
      </x:c>
      <x:c r="C741" t="str">
        <x:v>DS-13030</x:v>
      </x:c>
      <x:c r="D741" t="str">
        <x:v>Darrin Sayre</x:v>
      </x:c>
      <x:c r="E741" t="str">
        <x:v>Home Office</x:v>
      </x:c>
      <x:c r="F741" t="str">
        <x:v>West</x:v>
      </x:c>
      <x:c r="G741" t="str">
        <x:v>Office Supplies</x:v>
      </x:c>
      <x:c r="H741" t="str">
        <x:v>Binders</x:v>
      </x:c>
      <x:c r="I741" s="22" t="n">
        <x:v>27.936000000000003</x:v>
      </x:c>
      <x:c r="J741" s="24" t="n">
        <x:v>4</x:v>
      </x:c>
      <x:c r="K741" s="26" t="n">
        <x:v>0.2</x:v>
      </x:c>
      <x:c r="L741" s="22" t="n">
        <x:v>9.428399999999996</x:v>
      </x:c>
      <x:c r="M741" t="n">
        <x:v>2017</x:v>
      </x:c>
      <x:c r="N741" s="20" t="n">
        <x:v>42736</x:v>
      </x:c>
    </x:row>
    <x:row r="742" ht="18" customHeight="1">
      <x:c r="A742" t="str">
        <x:v>CA-2017-131954</x:v>
      </x:c>
      <x:c r="B742" s="18" t="n">
        <x:v>42756</x:v>
      </x:c>
      <x:c r="C742" t="str">
        <x:v>DS-13030</x:v>
      </x:c>
      <x:c r="D742" t="str">
        <x:v>Darrin Sayre</x:v>
      </x:c>
      <x:c r="E742" t="str">
        <x:v>Home Office</x:v>
      </x:c>
      <x:c r="F742" t="str">
        <x:v>West</x:v>
      </x:c>
      <x:c r="G742" t="str">
        <x:v>Furniture</x:v>
      </x:c>
      <x:c r="H742" t="str">
        <x:v>Bookcases</x:v>
      </x:c>
      <x:c r="I742" s="22" t="n">
        <x:v>84.98</x:v>
      </x:c>
      <x:c r="J742" s="24" t="n">
        <x:v>1</x:v>
      </x:c>
      <x:c r="K742" s="26" t="n">
        <x:v>0</x:v>
      </x:c>
      <x:c r="L742" s="22" t="n">
        <x:v>18.6956</x:v>
      </x:c>
      <x:c r="M742" t="n">
        <x:v>2017</x:v>
      </x:c>
      <x:c r="N742" s="20" t="n">
        <x:v>42736</x:v>
      </x:c>
    </x:row>
    <x:row r="743" ht="18" customHeight="1">
      <x:c r="A743" t="str">
        <x:v>CA-2017-131954</x:v>
      </x:c>
      <x:c r="B743" s="18" t="n">
        <x:v>42756</x:v>
      </x:c>
      <x:c r="C743" t="str">
        <x:v>DS-13030</x:v>
      </x:c>
      <x:c r="D743" t="str">
        <x:v>Darrin Sayre</x:v>
      </x:c>
      <x:c r="E743" t="str">
        <x:v>Home Office</x:v>
      </x:c>
      <x:c r="F743" t="str">
        <x:v>West</x:v>
      </x:c>
      <x:c r="G743" t="str">
        <x:v>Office Supplies</x:v>
      </x:c>
      <x:c r="H743" t="str">
        <x:v>Binders</x:v>
      </x:c>
      <x:c r="I743" s="22" t="n">
        <x:v>18.72</x:v>
      </x:c>
      <x:c r="J743" s="24" t="n">
        <x:v>5</x:v>
      </x:c>
      <x:c r="K743" s="26" t="n">
        <x:v>0.2</x:v>
      </x:c>
      <x:c r="L743" s="22" t="n">
        <x:v>6.552</x:v>
      </x:c>
      <x:c r="M743" t="n">
        <x:v>2017</x:v>
      </x:c>
      <x:c r="N743" s="20" t="n">
        <x:v>42736</x:v>
      </x:c>
    </x:row>
    <x:row r="744" ht="18" customHeight="1">
      <x:c r="A744" t="str">
        <x:v>CA-2014-132500</x:v>
      </x:c>
      <x:c r="B744" s="18" t="n">
        <x:v>41890</x:v>
      </x:c>
      <x:c r="C744" t="str">
        <x:v>GZ-14470</x:v>
      </x:c>
      <x:c r="D744" t="str">
        <x:v>Gary Zandusky</x:v>
      </x:c>
      <x:c r="E744" t="str">
        <x:v>Consumer</x:v>
      </x:c>
      <x:c r="F744" t="str">
        <x:v>West</x:v>
      </x:c>
      <x:c r="G744" t="str">
        <x:v>Technology</x:v>
      </x:c>
      <x:c r="H744" t="str">
        <x:v>Accessories</x:v>
      </x:c>
      <x:c r="I744" s="22" t="n">
        <x:v>49.98</x:v>
      </x:c>
      <x:c r="J744" s="24" t="n">
        <x:v>2</x:v>
      </x:c>
      <x:c r="K744" s="26" t="n">
        <x:v>0</x:v>
      </x:c>
      <x:c r="L744" s="22" t="n">
        <x:v>8.496599999999994</x:v>
      </x:c>
      <x:c r="M744" t="n">
        <x:v>2014</x:v>
      </x:c>
      <x:c r="N744" s="20" t="n">
        <x:v>41883</x:v>
      </x:c>
    </x:row>
    <x:row r="745" ht="18" customHeight="1">
      <x:c r="A745" t="str">
        <x:v>CA-2014-112326</x:v>
      </x:c>
      <x:c r="B745" s="18" t="n">
        <x:v>41643</x:v>
      </x:c>
      <x:c r="C745" t="str">
        <x:v>PO-19195</x:v>
      </x:c>
      <x:c r="D745" t="str">
        <x:v>Phillina Ober</x:v>
      </x:c>
      <x:c r="E745" t="str">
        <x:v>Home Office</x:v>
      </x:c>
      <x:c r="F745" t="str">
        <x:v>Central</x:v>
      </x:c>
      <x:c r="G745" t="str">
        <x:v>Office Supplies</x:v>
      </x:c>
      <x:c r="H745" t="str">
        <x:v>Labels</x:v>
      </x:c>
      <x:c r="I745" s="22" t="n">
        <x:v>11.784</x:v>
      </x:c>
      <x:c r="J745" s="24" t="n">
        <x:v>3</x:v>
      </x:c>
      <x:c r="K745" s="26" t="n">
        <x:v>0.2</x:v>
      </x:c>
      <x:c r="L745" s="22" t="n">
        <x:v>4.271699999999999</x:v>
      </x:c>
      <x:c r="M745" t="n">
        <x:v>2014</x:v>
      </x:c>
      <x:c r="N745" s="20" t="n">
        <x:v>41640</x:v>
      </x:c>
    </x:row>
    <x:row r="746" ht="18" customHeight="1">
      <x:c r="A746" t="str">
        <x:v>CA-2014-112326</x:v>
      </x:c>
      <x:c r="B746" s="18" t="n">
        <x:v>41643</x:v>
      </x:c>
      <x:c r="C746" t="str">
        <x:v>PO-19195</x:v>
      </x:c>
      <x:c r="D746" t="str">
        <x:v>Phillina Ober</x:v>
      </x:c>
      <x:c r="E746" t="str">
        <x:v>Home Office</x:v>
      </x:c>
      <x:c r="F746" t="str">
        <x:v>Central</x:v>
      </x:c>
      <x:c r="G746" t="str">
        <x:v>Office Supplies</x:v>
      </x:c>
      <x:c r="H746" t="str">
        <x:v>Storage</x:v>
      </x:c>
      <x:c r="I746" s="22" t="n">
        <x:v>272.736</x:v>
      </x:c>
      <x:c r="J746" s="24" t="n">
        <x:v>3</x:v>
      </x:c>
      <x:c r="K746" s="26" t="n">
        <x:v>0.2</x:v>
      </x:c>
      <x:c r="L746" s="22" t="n">
        <x:v>-64.77480000000001</x:v>
      </x:c>
      <x:c r="M746" t="n">
        <x:v>2014</x:v>
      </x:c>
      <x:c r="N746" s="20" t="n">
        <x:v>41640</x:v>
      </x:c>
    </x:row>
    <x:row r="747" ht="18" customHeight="1">
      <x:c r="A747" t="str">
        <x:v>CA-2014-112326</x:v>
      </x:c>
      <x:c r="B747" s="18" t="n">
        <x:v>41643</x:v>
      </x:c>
      <x:c r="C747" t="str">
        <x:v>PO-19195</x:v>
      </x:c>
      <x:c r="D747" t="str">
        <x:v>Phillina Ober</x:v>
      </x:c>
      <x:c r="E747" t="str">
        <x:v>Home Office</x:v>
      </x:c>
      <x:c r="F747" t="str">
        <x:v>Central</x:v>
      </x:c>
      <x:c r="G747" t="str">
        <x:v>Office Supplies</x:v>
      </x:c>
      <x:c r="H747" t="str">
        <x:v>Binders</x:v>
      </x:c>
      <x:c r="I747" s="22" t="n">
        <x:v>3.539999999999999</x:v>
      </x:c>
      <x:c r="J747" s="24" t="n">
        <x:v>2</x:v>
      </x:c>
      <x:c r="K747" s="26" t="n">
        <x:v>0.8</x:v>
      </x:c>
      <x:c r="L747" s="22" t="n">
        <x:v>-5.487</x:v>
      </x:c>
      <x:c r="M747" t="n">
        <x:v>2014</x:v>
      </x:c>
      <x:c r="N747" s="20" t="n">
        <x:v>41640</x:v>
      </x:c>
    </x:row>
    <x:row r="748" ht="18" customHeight="1">
      <x:c r="A748" t="str">
        <x:v>US-2016-146710</x:v>
      </x:c>
      <x:c r="B748" s="18" t="n">
        <x:v>42609</x:v>
      </x:c>
      <x:c r="C748" t="str">
        <x:v>SS-20875</x:v>
      </x:c>
      <x:c r="D748" t="str">
        <x:v>Sung Shariari</x:v>
      </x:c>
      <x:c r="E748" t="str">
        <x:v>Consumer</x:v>
      </x:c>
      <x:c r="F748" t="str">
        <x:v>Central</x:v>
      </x:c>
      <x:c r="G748" t="str">
        <x:v>Office Supplies</x:v>
      </x:c>
      <x:c r="H748" t="str">
        <x:v>Supplies</x:v>
      </x:c>
      <x:c r="I748" s="22" t="n">
        <x:v>51.52000000000001</x:v>
      </x:c>
      <x:c r="J748" s="24" t="n">
        <x:v>5</x:v>
      </x:c>
      <x:c r="K748" s="26" t="n">
        <x:v>0.2</x:v>
      </x:c>
      <x:c r="L748" s="22" t="n">
        <x:v>-10.948000000000002</x:v>
      </x:c>
      <x:c r="M748" t="n">
        <x:v>2016</x:v>
      </x:c>
      <x:c r="N748" s="20" t="n">
        <x:v>42583</x:v>
      </x:c>
    </x:row>
    <x:row r="749" ht="18" customHeight="1">
      <x:c r="A749" t="str">
        <x:v>US-2016-146710</x:v>
      </x:c>
      <x:c r="B749" s="18" t="n">
        <x:v>42609</x:v>
      </x:c>
      <x:c r="C749" t="str">
        <x:v>SS-20875</x:v>
      </x:c>
      <x:c r="D749" t="str">
        <x:v>Sung Shariari</x:v>
      </x:c>
      <x:c r="E749" t="str">
        <x:v>Consumer</x:v>
      </x:c>
      <x:c r="F749" t="str">
        <x:v>Central</x:v>
      </x:c>
      <x:c r="G749" t="str">
        <x:v>Office Supplies</x:v>
      </x:c>
      <x:c r="H749" t="str">
        <x:v>Paper</x:v>
      </x:c>
      <x:c r="I749" s="22" t="n">
        <x:v>3.5280000000000005</x:v>
      </x:c>
      <x:c r="J749" s="24" t="n">
        <x:v>1</x:v>
      </x:c>
      <x:c r="K749" s="26" t="n">
        <x:v>0.2</x:v>
      </x:c>
      <x:c r="L749" s="22" t="n">
        <x:v>1.1465999999999998</x:v>
      </x:c>
      <x:c r="M749" t="n">
        <x:v>2016</x:v>
      </x:c>
      <x:c r="N749" s="20" t="n">
        <x:v>42583</x:v>
      </x:c>
    </x:row>
    <x:row r="750" ht="18" customHeight="1">
      <x:c r="A750" t="str">
        <x:v>US-2016-146710</x:v>
      </x:c>
      <x:c r="B750" s="18" t="n">
        <x:v>42609</x:v>
      </x:c>
      <x:c r="C750" t="str">
        <x:v>SS-20875</x:v>
      </x:c>
      <x:c r="D750" t="str">
        <x:v>Sung Shariari</x:v>
      </x:c>
      <x:c r="E750" t="str">
        <x:v>Consumer</x:v>
      </x:c>
      <x:c r="F750" t="str">
        <x:v>Central</x:v>
      </x:c>
      <x:c r="G750" t="str">
        <x:v>Office Supplies</x:v>
      </x:c>
      <x:c r="H750" t="str">
        <x:v>Paper</x:v>
      </x:c>
      <x:c r="I750" s="22" t="n">
        <x:v>4.6240000000000006</x:v>
      </x:c>
      <x:c r="J750" s="24" t="n">
        <x:v>1</x:v>
      </x:c>
      <x:c r="K750" s="26" t="n">
        <x:v>0.2</x:v>
      </x:c>
      <x:c r="L750" s="22" t="n">
        <x:v>1.6762000000000001</x:v>
      </x:c>
      <x:c r="M750" t="n">
        <x:v>2016</x:v>
      </x:c>
      <x:c r="N750" s="20" t="n">
        <x:v>42583</x:v>
      </x:c>
    </x:row>
    <x:row r="751" ht="18" customHeight="1">
      <x:c r="A751" t="str">
        <x:v>US-2016-146710</x:v>
      </x:c>
      <x:c r="B751" s="18" t="n">
        <x:v>42609</x:v>
      </x:c>
      <x:c r="C751" t="str">
        <x:v>SS-20875</x:v>
      </x:c>
      <x:c r="D751" t="str">
        <x:v>Sung Shariari</x:v>
      </x:c>
      <x:c r="E751" t="str">
        <x:v>Consumer</x:v>
      </x:c>
      <x:c r="F751" t="str">
        <x:v>Central</x:v>
      </x:c>
      <x:c r="G751" t="str">
        <x:v>Office Supplies</x:v>
      </x:c>
      <x:c r="H751" t="str">
        <x:v>Supplies</x:v>
      </x:c>
      <x:c r="I751" s="22" t="n">
        <x:v>55.168</x:v>
      </x:c>
      <x:c r="J751" s="24" t="n">
        <x:v>4</x:v>
      </x:c>
      <x:c r="K751" s="26" t="n">
        <x:v>0.2</x:v>
      </x:c>
      <x:c r="L751" s="22" t="n">
        <x:v>6.20639999999999</x:v>
      </x:c>
      <x:c r="M751" t="n">
        <x:v>2016</x:v>
      </x:c>
      <x:c r="N751" s="20" t="n">
        <x:v>42583</x:v>
      </x:c>
    </x:row>
    <x:row r="752" ht="18" customHeight="1">
      <x:c r="A752" t="str">
        <x:v>CA-2014-124429</x:v>
      </x:c>
      <x:c r="B752" s="18" t="n">
        <x:v>41786</x:v>
      </x:c>
      <x:c r="C752" t="str">
        <x:v>MH-17785</x:v>
      </x:c>
      <x:c r="D752" t="str">
        <x:v>Maya Herman</x:v>
      </x:c>
      <x:c r="E752" t="str">
        <x:v>Corporate</x:v>
      </x:c>
      <x:c r="F752" t="str">
        <x:v>West</x:v>
      </x:c>
      <x:c r="G752" t="str">
        <x:v>Furniture</x:v>
      </x:c>
      <x:c r="H752" t="str">
        <x:v>Tables</x:v>
      </x:c>
      <x:c r="I752" s="22" t="n">
        <x:v>567.12</x:v>
      </x:c>
      <x:c r="J752" s="24" t="n">
        <x:v>10</x:v>
      </x:c>
      <x:c r="K752" s="26" t="n">
        <x:v>0.2</x:v>
      </x:c>
      <x:c r="L752" s="22" t="n">
        <x:v>-28.355999999999952</x:v>
      </x:c>
      <x:c r="M752" t="n">
        <x:v>2014</x:v>
      </x:c>
      <x:c r="N752" s="20" t="n">
        <x:v>41760</x:v>
      </x:c>
    </x:row>
    <x:row r="753" ht="18" customHeight="1">
      <x:c r="A753" t="str">
        <x:v>CA-2014-124429</x:v>
      </x:c>
      <x:c r="B753" s="18" t="n">
        <x:v>41786</x:v>
      </x:c>
      <x:c r="C753" t="str">
        <x:v>MH-17785</x:v>
      </x:c>
      <x:c r="D753" t="str">
        <x:v>Maya Herman</x:v>
      </x:c>
      <x:c r="E753" t="str">
        <x:v>Corporate</x:v>
      </x:c>
      <x:c r="F753" t="str">
        <x:v>West</x:v>
      </x:c>
      <x:c r="G753" t="str">
        <x:v>Office Supplies</x:v>
      </x:c>
      <x:c r="H753" t="str">
        <x:v>Storage</x:v>
      </x:c>
      <x:c r="I753" s="22" t="n">
        <x:v>359.32</x:v>
      </x:c>
      <x:c r="J753" s="24" t="n">
        <x:v>4</x:v>
      </x:c>
      <x:c r="K753" s="26" t="n">
        <x:v>0</x:v>
      </x:c>
      <x:c r="L753" s="22" t="n">
        <x:v>7.186399999999992</x:v>
      </x:c>
      <x:c r="M753" t="n">
        <x:v>2014</x:v>
      </x:c>
      <x:c r="N753" s="20" t="n">
        <x:v>41760</x:v>
      </x:c>
    </x:row>
    <x:row r="754" ht="18" customHeight="1">
      <x:c r="A754" t="str">
        <x:v>CA-2016-150889</x:v>
      </x:c>
      <x:c r="B754" s="18" t="n">
        <x:v>42449</x:v>
      </x:c>
      <x:c r="C754" t="str">
        <x:v>PB-19105</x:v>
      </x:c>
      <x:c r="D754" t="str">
        <x:v>Peter Bühler</x:v>
      </x:c>
      <x:c r="E754" t="str">
        <x:v>Consumer</x:v>
      </x:c>
      <x:c r="F754" t="str">
        <x:v>Central</x:v>
      </x:c>
      <x:c r="G754" t="str">
        <x:v>Technology</x:v>
      </x:c>
      <x:c r="H754" t="str">
        <x:v>Phones</x:v>
      </x:c>
      <x:c r="I754" s="22" t="n">
        <x:v>11.992</x:v>
      </x:c>
      <x:c r="J754" s="24" t="n">
        <x:v>1</x:v>
      </x:c>
      <x:c r="K754" s="26" t="n">
        <x:v>0.2</x:v>
      </x:c>
      <x:c r="L754" s="22" t="n">
        <x:v>0.8993999999999991</x:v>
      </x:c>
      <x:c r="M754" t="n">
        <x:v>2016</x:v>
      </x:c>
      <x:c r="N754" s="20" t="n">
        <x:v>42430</x:v>
      </x:c>
    </x:row>
    <x:row r="755" ht="18" customHeight="1">
      <x:c r="A755" t="str">
        <x:v>CA-2017-126074</x:v>
      </x:c>
      <x:c r="B755" s="18" t="n">
        <x:v>43010</x:v>
      </x:c>
      <x:c r="C755" t="str">
        <x:v>RF-19735</x:v>
      </x:c>
      <x:c r="D755" t="str">
        <x:v>Roland Fjeld</x:v>
      </x:c>
      <x:c r="E755" t="str">
        <x:v>Consumer</x:v>
      </x:c>
      <x:c r="F755" t="str">
        <x:v>Central</x:v>
      </x:c>
      <x:c r="G755" t="str">
        <x:v>Office Supplies</x:v>
      </x:c>
      <x:c r="H755" t="str">
        <x:v>Binders</x:v>
      </x:c>
      <x:c r="I755" s="22" t="n">
        <x:v>58.050000000000004</x:v>
      </x:c>
      <x:c r="J755" s="24" t="n">
        <x:v>3</x:v>
      </x:c>
      <x:c r="K755" s="26" t="n">
        <x:v>0</x:v>
      </x:c>
      <x:c r="L755" s="22" t="n">
        <x:v>26.703</x:v>
      </x:c>
      <x:c r="M755" t="n">
        <x:v>2017</x:v>
      </x:c>
      <x:c r="N755" s="20" t="n">
        <x:v>43009</x:v>
      </x:c>
    </x:row>
    <x:row r="756" ht="18" customHeight="1">
      <x:c r="A756" t="str">
        <x:v>CA-2017-126074</x:v>
      </x:c>
      <x:c r="B756" s="18" t="n">
        <x:v>43010</x:v>
      </x:c>
      <x:c r="C756" t="str">
        <x:v>RF-19735</x:v>
      </x:c>
      <x:c r="D756" t="str">
        <x:v>Roland Fjeld</x:v>
      </x:c>
      <x:c r="E756" t="str">
        <x:v>Consumer</x:v>
      </x:c>
      <x:c r="F756" t="str">
        <x:v>Central</x:v>
      </x:c>
      <x:c r="G756" t="str">
        <x:v>Furniture</x:v>
      </x:c>
      <x:c r="H756" t="str">
        <x:v>Furnishings</x:v>
      </x:c>
      <x:c r="I756" s="22" t="n">
        <x:v>157.74</x:v>
      </x:c>
      <x:c r="J756" s="24" t="n">
        <x:v>11</x:v>
      </x:c>
      <x:c r="K756" s="26" t="n">
        <x:v>0</x:v>
      </x:c>
      <x:c r="L756" s="22" t="n">
        <x:v>56.7864</x:v>
      </x:c>
      <x:c r="M756" t="n">
        <x:v>2017</x:v>
      </x:c>
      <x:c r="N756" s="20" t="n">
        <x:v>43009</x:v>
      </x:c>
    </x:row>
    <x:row r="757" ht="18" customHeight="1">
      <x:c r="A757" t="str">
        <x:v>CA-2017-126074</x:v>
      </x:c>
      <x:c r="B757" s="18" t="n">
        <x:v>43010</x:v>
      </x:c>
      <x:c r="C757" t="str">
        <x:v>RF-19735</x:v>
      </x:c>
      <x:c r="D757" t="str">
        <x:v>Roland Fjeld</x:v>
      </x:c>
      <x:c r="E757" t="str">
        <x:v>Consumer</x:v>
      </x:c>
      <x:c r="F757" t="str">
        <x:v>Central</x:v>
      </x:c>
      <x:c r="G757" t="str">
        <x:v>Office Supplies</x:v>
      </x:c>
      <x:c r="H757" t="str">
        <x:v>Art</x:v>
      </x:c>
      <x:c r="I757" s="22" t="n">
        <x:v>56.980000000000004</x:v>
      </x:c>
      <x:c r="J757" s="24" t="n">
        <x:v>7</x:v>
      </x:c>
      <x:c r="K757" s="26" t="n">
        <x:v>0</x:v>
      </x:c>
      <x:c r="L757" s="22" t="n">
        <x:v>22.792</x:v>
      </x:c>
      <x:c r="M757" t="n">
        <x:v>2017</x:v>
      </x:c>
      <x:c r="N757" s="20" t="n">
        <x:v>43009</x:v>
      </x:c>
    </x:row>
    <x:row r="758" ht="18" customHeight="1">
      <x:c r="A758" t="str">
        <x:v>CA-2017-126074</x:v>
      </x:c>
      <x:c r="B758" s="18" t="n">
        <x:v>43010</x:v>
      </x:c>
      <x:c r="C758" t="str">
        <x:v>RF-19735</x:v>
      </x:c>
      <x:c r="D758" t="str">
        <x:v>Roland Fjeld</x:v>
      </x:c>
      <x:c r="E758" t="str">
        <x:v>Consumer</x:v>
      </x:c>
      <x:c r="F758" t="str">
        <x:v>Central</x:v>
      </x:c>
      <x:c r="G758" t="str">
        <x:v>Office Supplies</x:v>
      </x:c>
      <x:c r="H758" t="str">
        <x:v>Binders</x:v>
      </x:c>
      <x:c r="I758" s="22" t="n">
        <x:v>2.88</x:v>
      </x:c>
      <x:c r="J758" s="24" t="n">
        <x:v>1</x:v>
      </x:c>
      <x:c r="K758" s="26" t="n">
        <x:v>0</x:v>
      </x:c>
      <x:c r="L758" s="22" t="n">
        <x:v>1.4112</x:v>
      </x:c>
      <x:c r="M758" t="n">
        <x:v>2017</x:v>
      </x:c>
      <x:c r="N758" s="20" t="n">
        <x:v>43009</x:v>
      </x:c>
    </x:row>
    <x:row r="759" ht="18" customHeight="1">
      <x:c r="A759" t="str">
        <x:v>CA-2016-110499</x:v>
      </x:c>
      <x:c r="B759" s="18" t="n">
        <x:v>42467</x:v>
      </x:c>
      <x:c r="C759" t="str">
        <x:v>YC-21895</x:v>
      </x:c>
      <x:c r="D759" t="str">
        <x:v>Yoseph Carroll</x:v>
      </x:c>
      <x:c r="E759" t="str">
        <x:v>Corporate</x:v>
      </x:c>
      <x:c r="F759" t="str">
        <x:v>West</x:v>
      </x:c>
      <x:c r="G759" t="str">
        <x:v>Technology</x:v>
      </x:c>
      <x:c r="H759" t="str">
        <x:v>Copiers</x:v>
      </x:c>
      <x:c r="I759" s="22" t="n">
        <x:v>1199.976</x:v>
      </x:c>
      <x:c r="J759" s="24" t="n">
        <x:v>3</x:v>
      </x:c>
      <x:c r="K759" s="26" t="n">
        <x:v>0.2</x:v>
      </x:c>
      <x:c r="L759" s="22" t="n">
        <x:v>374.99249999999995</x:v>
      </x:c>
      <x:c r="M759" t="n">
        <x:v>2016</x:v>
      </x:c>
      <x:c r="N759" s="20" t="n">
        <x:v>42461</x:v>
      </x:c>
    </x:row>
    <x:row r="760" ht="18" customHeight="1">
      <x:c r="A760" t="str">
        <x:v>CA-2015-135272</x:v>
      </x:c>
      <x:c r="B760" s="18" t="n">
        <x:v>42345</x:v>
      </x:c>
      <x:c r="C760" t="str">
        <x:v>MS-17830</x:v>
      </x:c>
      <x:c r="D760" t="str">
        <x:v>Melanie Seite</x:v>
      </x:c>
      <x:c r="E760" t="str">
        <x:v>Consumer</x:v>
      </x:c>
      <x:c r="F760" t="str">
        <x:v>West</x:v>
      </x:c>
      <x:c r="G760" t="str">
        <x:v>Furniture</x:v>
      </x:c>
      <x:c r="H760" t="str">
        <x:v>Furnishings</x:v>
      </x:c>
      <x:c r="I760" s="22" t="n">
        <x:v>79.92</x:v>
      </x:c>
      <x:c r="J760" s="24" t="n">
        <x:v>4</x:v>
      </x:c>
      <x:c r="K760" s="26" t="n">
        <x:v>0</x:v>
      </x:c>
      <x:c r="L760" s="22" t="n">
        <x:v>28.7712</x:v>
      </x:c>
      <x:c r="M760" t="n">
        <x:v>2015</x:v>
      </x:c>
      <x:c r="N760" s="20" t="n">
        <x:v>42339</x:v>
      </x:c>
    </x:row>
    <x:row r="761" ht="18" customHeight="1">
      <x:c r="A761" t="str">
        <x:v>CA-2016-140928</x:v>
      </x:c>
      <x:c r="B761" s="18" t="n">
        <x:v>42631</x:v>
      </x:c>
      <x:c r="C761" t="str">
        <x:v>NB-18655</x:v>
      </x:c>
      <x:c r="D761" t="str">
        <x:v>Nona Balk</x:v>
      </x:c>
      <x:c r="E761" t="str">
        <x:v>Corporate</x:v>
      </x:c>
      <x:c r="F761" t="str">
        <x:v>South</x:v>
      </x:c>
      <x:c r="G761" t="str">
        <x:v>Furniture</x:v>
      </x:c>
      <x:c r="H761" t="str">
        <x:v>Tables</x:v>
      </x:c>
      <x:c r="I761" s="22" t="n">
        <x:v>383.438</x:v>
      </x:c>
      <x:c r="J761" s="24" t="n">
        <x:v>4</x:v>
      </x:c>
      <x:c r="K761" s="26" t="n">
        <x:v>0.45</x:v>
      </x:c>
      <x:c r="L761" s="22" t="n">
        <x:v>-167.3184</x:v>
      </x:c>
      <x:c r="M761" t="n">
        <x:v>2016</x:v>
      </x:c>
      <x:c r="N761" s="20" t="n">
        <x:v>42614</x:v>
      </x:c>
    </x:row>
    <x:row r="762" ht="18" customHeight="1">
      <x:c r="A762" t="str">
        <x:v>CA-2014-106803</x:v>
      </x:c>
      <x:c r="B762" s="18" t="n">
        <x:v>42002</x:v>
      </x:c>
      <x:c r="C762" t="str">
        <x:v>DC-13285</x:v>
      </x:c>
      <x:c r="D762" t="str">
        <x:v>Debra Catini</x:v>
      </x:c>
      <x:c r="E762" t="str">
        <x:v>Consumer</x:v>
      </x:c>
      <x:c r="F762" t="str">
        <x:v>Central</x:v>
      </x:c>
      <x:c r="G762" t="str">
        <x:v>Office Supplies</x:v>
      </x:c>
      <x:c r="H762" t="str">
        <x:v>Storage</x:v>
      </x:c>
      <x:c r="I762" s="22" t="n">
        <x:v>24.56</x:v>
      </x:c>
      <x:c r="J762" s="24" t="n">
        <x:v>2</x:v>
      </x:c>
      <x:c r="K762" s="26" t="n">
        <x:v>0</x:v>
      </x:c>
      <x:c r="L762" s="22" t="n">
        <x:v>6.876799999999999</x:v>
      </x:c>
      <x:c r="M762" t="n">
        <x:v>2014</x:v>
      </x:c>
      <x:c r="N762" s="20" t="n">
        <x:v>41974</x:v>
      </x:c>
    </x:row>
    <x:row r="763" ht="18" customHeight="1">
      <x:c r="A763" t="str">
        <x:v>CA-2014-106803</x:v>
      </x:c>
      <x:c r="B763" s="18" t="n">
        <x:v>42002</x:v>
      </x:c>
      <x:c r="C763" t="str">
        <x:v>DC-13285</x:v>
      </x:c>
      <x:c r="D763" t="str">
        <x:v>Debra Catini</x:v>
      </x:c>
      <x:c r="E763" t="str">
        <x:v>Consumer</x:v>
      </x:c>
      <x:c r="F763" t="str">
        <x:v>Central</x:v>
      </x:c>
      <x:c r="G763" t="str">
        <x:v>Technology</x:v>
      </x:c>
      <x:c r="H763" t="str">
        <x:v>Accessories</x:v>
      </x:c>
      <x:c r="I763" s="22" t="n">
        <x:v>119.8</x:v>
      </x:c>
      <x:c r="J763" s="24" t="n">
        <x:v>4</x:v>
      </x:c>
      <x:c r="K763" s="26" t="n">
        <x:v>0</x:v>
      </x:c>
      <x:c r="L763" s="22" t="n">
        <x:v>47.92</x:v>
      </x:c>
      <x:c r="M763" t="n">
        <x:v>2014</x:v>
      </x:c>
      <x:c r="N763" s="20" t="n">
        <x:v>41974</x:v>
      </x:c>
    </x:row>
    <x:row r="764" ht="18" customHeight="1">
      <x:c r="A764" t="str">
        <x:v>CA-2017-117240</x:v>
      </x:c>
      <x:c r="B764" s="18" t="n">
        <x:v>42939</x:v>
      </x:c>
      <x:c r="C764" t="str">
        <x:v>CP-12340</x:v>
      </x:c>
      <x:c r="D764" t="str">
        <x:v>Christine Phan</x:v>
      </x:c>
      <x:c r="E764" t="str">
        <x:v>Corporate</x:v>
      </x:c>
      <x:c r="F764" t="str">
        <x:v>East</x:v>
      </x:c>
      <x:c r="G764" t="str">
        <x:v>Office Supplies</x:v>
      </x:c>
      <x:c r="H764" t="str">
        <x:v>Binders</x:v>
      </x:c>
      <x:c r="I764" s="22" t="n">
        <x:v>13.128</x:v>
      </x:c>
      <x:c r="J764" s="24" t="n">
        <x:v>3</x:v>
      </x:c>
      <x:c r="K764" s="26" t="n">
        <x:v>0.2</x:v>
      </x:c>
      <x:c r="L764" s="22" t="n">
        <x:v>4.266599999999999</x:v>
      </x:c>
      <x:c r="M764" t="n">
        <x:v>2017</x:v>
      </x:c>
      <x:c r="N764" s="20" t="n">
        <x:v>42917</x:v>
      </x:c>
    </x:row>
    <x:row r="765" ht="18" customHeight="1">
      <x:c r="A765" t="str">
        <x:v>CA-2017-133333</x:v>
      </x:c>
      <x:c r="B765" s="18" t="n">
        <x:v>42996</x:v>
      </x:c>
      <x:c r="C765" t="str">
        <x:v>BF-11020</x:v>
      </x:c>
      <x:c r="D765" t="str">
        <x:v>Barry Französisch</x:v>
      </x:c>
      <x:c r="E765" t="str">
        <x:v>Corporate</x:v>
      </x:c>
      <x:c r="F765" t="str">
        <x:v>Central</x:v>
      </x:c>
      <x:c r="G765" t="str">
        <x:v>Office Supplies</x:v>
      </x:c>
      <x:c r="H765" t="str">
        <x:v>Paper</x:v>
      </x:c>
      <x:c r="I765" s="22" t="n">
        <x:v>22.72</x:v>
      </x:c>
      <x:c r="J765" s="24" t="n">
        <x:v>4</x:v>
      </x:c>
      <x:c r="K765" s="26" t="n">
        <x:v>0</x:v>
      </x:c>
      <x:c r="L765" s="22" t="n">
        <x:v>10.223999999999998</x:v>
      </x:c>
      <x:c r="M765" t="n">
        <x:v>2017</x:v>
      </x:c>
      <x:c r="N765" s="20" t="n">
        <x:v>42979</x:v>
      </x:c>
    </x:row>
    <x:row r="766" ht="18" customHeight="1">
      <x:c r="A766" t="str">
        <x:v>CA-2015-112319</x:v>
      </x:c>
      <x:c r="B766" s="18" t="n">
        <x:v>42247</x:v>
      </x:c>
      <x:c r="C766" t="str">
        <x:v>AR-10510</x:v>
      </x:c>
      <x:c r="D766" t="str">
        <x:v>Andrew Roberts</x:v>
      </x:c>
      <x:c r="E766" t="str">
        <x:v>Consumer</x:v>
      </x:c>
      <x:c r="F766" t="str">
        <x:v>West</x:v>
      </x:c>
      <x:c r="G766" t="str">
        <x:v>Office Supplies</x:v>
      </x:c>
      <x:c r="H766" t="str">
        <x:v>Paper</x:v>
      </x:c>
      <x:c r="I766" s="22" t="n">
        <x:v>58.32000000000001</x:v>
      </x:c>
      <x:c r="J766" s="24" t="n">
        <x:v>9</x:v>
      </x:c>
      <x:c r="K766" s="26" t="n">
        <x:v>0</x:v>
      </x:c>
      <x:c r="L766" s="22" t="n">
        <x:v>27.9936</x:v>
      </x:c>
      <x:c r="M766" t="n">
        <x:v>2015</x:v>
      </x:c>
      <x:c r="N766" s="20" t="n">
        <x:v>42217</x:v>
      </x:c>
    </x:row>
    <x:row r="767" ht="18" customHeight="1">
      <x:c r="A767" t="str">
        <x:v>CA-2017-126046</x:v>
      </x:c>
      <x:c r="B767" s="18" t="n">
        <x:v>43042</x:v>
      </x:c>
      <x:c r="C767" t="str">
        <x:v>JC-16105</x:v>
      </x:c>
      <x:c r="D767" t="str">
        <x:v>Julie Creighton</x:v>
      </x:c>
      <x:c r="E767" t="str">
        <x:v>Corporate</x:v>
      </x:c>
      <x:c r="F767" t="str">
        <x:v>South</x:v>
      </x:c>
      <x:c r="G767" t="str">
        <x:v>Office Supplies</x:v>
      </x:c>
      <x:c r="H767" t="str">
        <x:v>Labels</x:v>
      </x:c>
      <x:c r="I767" s="22" t="n">
        <x:v>12.39</x:v>
      </x:c>
      <x:c r="J767" s="24" t="n">
        <x:v>3</x:v>
      </x:c>
      <x:c r="K767" s="26" t="n">
        <x:v>0</x:v>
      </x:c>
      <x:c r="L767" s="22" t="n">
        <x:v>5.6994</x:v>
      </x:c>
      <x:c r="M767" t="n">
        <x:v>2017</x:v>
      </x:c>
      <x:c r="N767" s="20" t="n">
        <x:v>43040</x:v>
      </x:c>
    </x:row>
    <x:row r="768" ht="18" customHeight="1">
      <x:c r="A768" t="str">
        <x:v>CA-2015-114923</x:v>
      </x:c>
      <x:c r="B768" s="18" t="n">
        <x:v>42043</x:v>
      </x:c>
      <x:c r="C768" t="str">
        <x:v>LH-17020</x:v>
      </x:c>
      <x:c r="D768" t="str">
        <x:v>Lisa Hazard</x:v>
      </x:c>
      <x:c r="E768" t="str">
        <x:v>Consumer</x:v>
      </x:c>
      <x:c r="F768" t="str">
        <x:v>East</x:v>
      </x:c>
      <x:c r="G768" t="str">
        <x:v>Technology</x:v>
      </x:c>
      <x:c r="H768" t="str">
        <x:v>Phones</x:v>
      </x:c>
      <x:c r="I768" s="22" t="n">
        <x:v>107.982</x:v>
      </x:c>
      <x:c r="J768" s="24" t="n">
        <x:v>3</x:v>
      </x:c>
      <x:c r="K768" s="26" t="n">
        <x:v>0.4</x:v>
      </x:c>
      <x:c r="L768" s="22" t="n">
        <x:v>-26.995499999999993</x:v>
      </x:c>
      <x:c r="M768" t="n">
        <x:v>2015</x:v>
      </x:c>
      <x:c r="N768" s="20" t="n">
        <x:v>42036</x:v>
      </x:c>
    </x:row>
    <x:row r="769" ht="18" customHeight="1">
      <x:c r="A769" t="str">
        <x:v>CA-2014-162775</x:v>
      </x:c>
      <x:c r="B769" s="18" t="n">
        <x:v>41652</x:v>
      </x:c>
      <x:c r="C769" t="str">
        <x:v>CS-12250</x:v>
      </x:c>
      <x:c r="D769" t="str">
        <x:v>Chris Selesnick</x:v>
      </x:c>
      <x:c r="E769" t="str">
        <x:v>Corporate</x:v>
      </x:c>
      <x:c r="F769" t="str">
        <x:v>South</x:v>
      </x:c>
      <x:c r="G769" t="str">
        <x:v>Office Supplies</x:v>
      </x:c>
      <x:c r="H769" t="str">
        <x:v>Envelopes</x:v>
      </x:c>
      <x:c r="I769" s="22" t="n">
        <x:v>11.36</x:v>
      </x:c>
      <x:c r="J769" s="24" t="n">
        <x:v>2</x:v>
      </x:c>
      <x:c r="K769" s="26" t="n">
        <x:v>0</x:v>
      </x:c>
      <x:c r="L769" s="22" t="n">
        <x:v>5.339199999999999</x:v>
      </x:c>
      <x:c r="M769" t="n">
        <x:v>2014</x:v>
      </x:c>
      <x:c r="N769" s="20" t="n">
        <x:v>41640</x:v>
      </x:c>
    </x:row>
    <x:row r="770" ht="18" customHeight="1">
      <x:c r="A770" t="str">
        <x:v>CA-2014-162775</x:v>
      </x:c>
      <x:c r="B770" s="18" t="n">
        <x:v>41652</x:v>
      </x:c>
      <x:c r="C770" t="str">
        <x:v>CS-12250</x:v>
      </x:c>
      <x:c r="D770" t="str">
        <x:v>Chris Selesnick</x:v>
      </x:c>
      <x:c r="E770" t="str">
        <x:v>Corporate</x:v>
      </x:c>
      <x:c r="F770" t="str">
        <x:v>South</x:v>
      </x:c>
      <x:c r="G770" t="str">
        <x:v>Office Supplies</x:v>
      </x:c>
      <x:c r="H770" t="str">
        <x:v>Envelopes</x:v>
      </x:c>
      <x:c r="I770" s="22" t="n">
        <x:v>50.94</x:v>
      </x:c>
      <x:c r="J770" s="24" t="n">
        <x:v>3</x:v>
      </x:c>
      <x:c r="K770" s="26" t="n">
        <x:v>0</x:v>
      </x:c>
      <x:c r="L770" s="22" t="n">
        <x:v>25.47</x:v>
      </x:c>
      <x:c r="M770" t="n">
        <x:v>2014</x:v>
      </x:c>
      <x:c r="N770" s="20" t="n">
        <x:v>41640</x:v>
      </x:c>
    </x:row>
    <x:row r="771" ht="18" customHeight="1">
      <x:c r="A771" t="str">
        <x:v>CA-2014-162775</x:v>
      </x:c>
      <x:c r="B771" s="18" t="n">
        <x:v>41652</x:v>
      </x:c>
      <x:c r="C771" t="str">
        <x:v>CS-12250</x:v>
      </x:c>
      <x:c r="D771" t="str">
        <x:v>Chris Selesnick</x:v>
      </x:c>
      <x:c r="E771" t="str">
        <x:v>Corporate</x:v>
      </x:c>
      <x:c r="F771" t="str">
        <x:v>South</x:v>
      </x:c>
      <x:c r="G771" t="str">
        <x:v>Technology</x:v>
      </x:c>
      <x:c r="H771" t="str">
        <x:v>Accessories</x:v>
      </x:c>
      <x:c r="I771" s="22" t="n">
        <x:v>646.74</x:v>
      </x:c>
      <x:c r="J771" s="24" t="n">
        <x:v>6</x:v>
      </x:c>
      <x:c r="K771" s="26" t="n">
        <x:v>0</x:v>
      </x:c>
      <x:c r="L771" s="22" t="n">
        <x:v>258.696</x:v>
      </x:c>
      <x:c r="M771" t="n">
        <x:v>2014</x:v>
      </x:c>
      <x:c r="N771" s="20" t="n">
        <x:v>41640</x:v>
      </x:c>
    </x:row>
    <x:row r="772" ht="18" customHeight="1">
      <x:c r="A772" t="str">
        <x:v>CA-2014-162775</x:v>
      </x:c>
      <x:c r="B772" s="18" t="n">
        <x:v>41652</x:v>
      </x:c>
      <x:c r="C772" t="str">
        <x:v>CS-12250</x:v>
      </x:c>
      <x:c r="D772" t="str">
        <x:v>Chris Selesnick</x:v>
      </x:c>
      <x:c r="E772" t="str">
        <x:v>Corporate</x:v>
      </x:c>
      <x:c r="F772" t="str">
        <x:v>South</x:v>
      </x:c>
      <x:c r="G772" t="str">
        <x:v>Office Supplies</x:v>
      </x:c>
      <x:c r="H772" t="str">
        <x:v>Binders</x:v>
      </x:c>
      <x:c r="I772" s="22" t="n">
        <x:v>5.64</x:v>
      </x:c>
      <x:c r="J772" s="24" t="n">
        <x:v>3</x:v>
      </x:c>
      <x:c r="K772" s="26" t="n">
        <x:v>0</x:v>
      </x:c>
      <x:c r="L772" s="22" t="n">
        <x:v>2.7071999999999994</x:v>
      </x:c>
      <x:c r="M772" t="n">
        <x:v>2014</x:v>
      </x:c>
      <x:c r="N772" s="20" t="n">
        <x:v>41640</x:v>
      </x:c>
    </x:row>
    <x:row r="773" ht="18" customHeight="1">
      <x:c r="A773" t="str">
        <x:v>CA-2014-162775</x:v>
      </x:c>
      <x:c r="B773" s="18" t="n">
        <x:v>41652</x:v>
      </x:c>
      <x:c r="C773" t="str">
        <x:v>CS-12250</x:v>
      </x:c>
      <x:c r="D773" t="str">
        <x:v>Chris Selesnick</x:v>
      </x:c>
      <x:c r="E773" t="str">
        <x:v>Corporate</x:v>
      </x:c>
      <x:c r="F773" t="str">
        <x:v>South</x:v>
      </x:c>
      <x:c r="G773" t="str">
        <x:v>Office Supplies</x:v>
      </x:c>
      <x:c r="H773" t="str">
        <x:v>Storage</x:v>
      </x:c>
      <x:c r="I773" s="22" t="n">
        <x:v>572.58</x:v>
      </x:c>
      <x:c r="J773" s="24" t="n">
        <x:v>6</x:v>
      </x:c>
      <x:c r="K773" s="26" t="n">
        <x:v>0</x:v>
      </x:c>
      <x:c r="L773" s="22" t="n">
        <x:v>34.354799999999955</x:v>
      </x:c>
      <x:c r="M773" t="n">
        <x:v>2014</x:v>
      </x:c>
      <x:c r="N773" s="20" t="n">
        <x:v>41640</x:v>
      </x:c>
    </x:row>
    <x:row r="774" ht="18" customHeight="1">
      <x:c r="A774" t="str">
        <x:v>CA-2014-106810</x:v>
      </x:c>
      <x:c r="B774" s="18" t="n">
        <x:v>41773</x:v>
      </x:c>
      <x:c r="C774" t="str">
        <x:v>AJ-10795</x:v>
      </x:c>
      <x:c r="D774" t="str">
        <x:v>Anthony Johnson</x:v>
      </x:c>
      <x:c r="E774" t="str">
        <x:v>Corporate</x:v>
      </x:c>
      <x:c r="F774" t="str">
        <x:v>South</x:v>
      </x:c>
      <x:c r="G774" t="str">
        <x:v>Furniture</x:v>
      </x:c>
      <x:c r="H774" t="str">
        <x:v>Furnishings</x:v>
      </x:c>
      <x:c r="I774" s="22" t="n">
        <x:v>310.88000000000005</x:v>
      </x:c>
      <x:c r="J774" s="24" t="n">
        <x:v>2</x:v>
      </x:c>
      <x:c r="K774" s="26" t="n">
        <x:v>0.2</x:v>
      </x:c>
      <x:c r="L774" s="22" t="n">
        <x:v>23.31599999999999</x:v>
      </x:c>
      <x:c r="M774" t="n">
        <x:v>2014</x:v>
      </x:c>
      <x:c r="N774" s="20" t="n">
        <x:v>41760</x:v>
      </x:c>
    </x:row>
    <x:row r="775" ht="18" customHeight="1">
      <x:c r="A775" t="str">
        <x:v>CA-2016-157245</x:v>
      </x:c>
      <x:c r="B775" s="18" t="n">
        <x:v>42509</x:v>
      </x:c>
      <x:c r="C775" t="str">
        <x:v>LE-16810</x:v>
      </x:c>
      <x:c r="D775" t="str">
        <x:v>Laurel Elliston</x:v>
      </x:c>
      <x:c r="E775" t="str">
        <x:v>Consumer</x:v>
      </x:c>
      <x:c r="F775" t="str">
        <x:v>South</x:v>
      </x:c>
      <x:c r="G775" t="str">
        <x:v>Furniture</x:v>
      </x:c>
      <x:c r="H775" t="str">
        <x:v>Chairs</x:v>
      </x:c>
      <x:c r="I775" s="22" t="n">
        <x:v>641.96</x:v>
      </x:c>
      <x:c r="J775" s="24" t="n">
        <x:v>2</x:v>
      </x:c>
      <x:c r="K775" s="26" t="n">
        <x:v>0</x:v>
      </x:c>
      <x:c r="L775" s="22" t="n">
        <x:v>179.74880000000002</x:v>
      </x:c>
      <x:c r="M775" t="n">
        <x:v>2016</x:v>
      </x:c>
      <x:c r="N775" s="20" t="n">
        <x:v>42491</x:v>
      </x:c>
    </x:row>
    <x:row r="776" ht="18" customHeight="1">
      <x:c r="A776" t="str">
        <x:v>CA-2017-104220</x:v>
      </x:c>
      <x:c r="B776" s="18" t="n">
        <x:v>42765</x:v>
      </x:c>
      <x:c r="C776" t="str">
        <x:v>BV-11245</x:v>
      </x:c>
      <x:c r="D776" t="str">
        <x:v>Benjamin Venier</x:v>
      </x:c>
      <x:c r="E776" t="str">
        <x:v>Corporate</x:v>
      </x:c>
      <x:c r="F776" t="str">
        <x:v>Central</x:v>
      </x:c>
      <x:c r="G776" t="str">
        <x:v>Office Supplies</x:v>
      </x:c>
      <x:c r="H776" t="str">
        <x:v>Binders</x:v>
      </x:c>
      <x:c r="I776" s="22" t="n">
        <x:v>18.28</x:v>
      </x:c>
      <x:c r="J776" s="24" t="n">
        <x:v>2</x:v>
      </x:c>
      <x:c r="K776" s="26" t="n">
        <x:v>0</x:v>
      </x:c>
      <x:c r="L776" s="22" t="n">
        <x:v>9.14</x:v>
      </x:c>
      <x:c r="M776" t="n">
        <x:v>2017</x:v>
      </x:c>
      <x:c r="N776" s="20" t="n">
        <x:v>42736</x:v>
      </x:c>
    </x:row>
    <x:row r="777" ht="18" customHeight="1">
      <x:c r="A777" t="str">
        <x:v>CA-2017-104220</x:v>
      </x:c>
      <x:c r="B777" s="18" t="n">
        <x:v>42765</x:v>
      </x:c>
      <x:c r="C777" t="str">
        <x:v>BV-11245</x:v>
      </x:c>
      <x:c r="D777" t="str">
        <x:v>Benjamin Venier</x:v>
      </x:c>
      <x:c r="E777" t="str">
        <x:v>Corporate</x:v>
      </x:c>
      <x:c r="F777" t="str">
        <x:v>Central</x:v>
      </x:c>
      <x:c r="G777" t="str">
        <x:v>Technology</x:v>
      </x:c>
      <x:c r="H777" t="str">
        <x:v>Phones</x:v>
      </x:c>
      <x:c r="I777" s="22" t="n">
        <x:v>207</x:v>
      </x:c>
      <x:c r="J777" s="24" t="n">
        <x:v>3</x:v>
      </x:c>
      <x:c r="K777" s="26" t="n">
        <x:v>0</x:v>
      </x:c>
      <x:c r="L777" s="22" t="n">
        <x:v>51.75</x:v>
      </x:c>
      <x:c r="M777" t="n">
        <x:v>2017</x:v>
      </x:c>
      <x:c r="N777" s="20" t="n">
        <x:v>42736</x:v>
      </x:c>
    </x:row>
    <x:row r="778" ht="18" customHeight="1">
      <x:c r="A778" t="str">
        <x:v>CA-2017-104220</x:v>
      </x:c>
      <x:c r="B778" s="18" t="n">
        <x:v>42765</x:v>
      </x:c>
      <x:c r="C778" t="str">
        <x:v>BV-11245</x:v>
      </x:c>
      <x:c r="D778" t="str">
        <x:v>Benjamin Venier</x:v>
      </x:c>
      <x:c r="E778" t="str">
        <x:v>Corporate</x:v>
      </x:c>
      <x:c r="F778" t="str">
        <x:v>Central</x:v>
      </x:c>
      <x:c r="G778" t="str">
        <x:v>Office Supplies</x:v>
      </x:c>
      <x:c r="H778" t="str">
        <x:v>Binders</x:v>
      </x:c>
      <x:c r="I778" s="22" t="n">
        <x:v>32.35</x:v>
      </x:c>
      <x:c r="J778" s="24" t="n">
        <x:v>5</x:v>
      </x:c>
      <x:c r="K778" s="26" t="n">
        <x:v>0</x:v>
      </x:c>
      <x:c r="L778" s="22" t="n">
        <x:v>16.175</x:v>
      </x:c>
      <x:c r="M778" t="n">
        <x:v>2017</x:v>
      </x:c>
      <x:c r="N778" s="20" t="n">
        <x:v>42736</x:v>
      </x:c>
    </x:row>
    <x:row r="779" ht="18" customHeight="1">
      <x:c r="A779" t="str">
        <x:v>CA-2017-104220</x:v>
      </x:c>
      <x:c r="B779" s="18" t="n">
        <x:v>42765</x:v>
      </x:c>
      <x:c r="C779" t="str">
        <x:v>BV-11245</x:v>
      </x:c>
      <x:c r="D779" t="str">
        <x:v>Benjamin Venier</x:v>
      </x:c>
      <x:c r="E779" t="str">
        <x:v>Corporate</x:v>
      </x:c>
      <x:c r="F779" t="str">
        <x:v>Central</x:v>
      </x:c>
      <x:c r="G779" t="str">
        <x:v>Office Supplies</x:v>
      </x:c>
      <x:c r="H779" t="str">
        <x:v>Binders</x:v>
      </x:c>
      <x:c r="I779" s="22" t="n">
        <x:v>7.71</x:v>
      </x:c>
      <x:c r="J779" s="24" t="n">
        <x:v>1</x:v>
      </x:c>
      <x:c r="K779" s="26" t="n">
        <x:v>0</x:v>
      </x:c>
      <x:c r="L779" s="22" t="n">
        <x:v>3.4695</x:v>
      </x:c>
      <x:c r="M779" t="n">
        <x:v>2017</x:v>
      </x:c>
      <x:c r="N779" s="20" t="n">
        <x:v>42736</x:v>
      </x:c>
    </x:row>
    <x:row r="780" ht="18" customHeight="1">
      <x:c r="A780" t="str">
        <x:v>CA-2017-104220</x:v>
      </x:c>
      <x:c r="B780" s="18" t="n">
        <x:v>42765</x:v>
      </x:c>
      <x:c r="C780" t="str">
        <x:v>BV-11245</x:v>
      </x:c>
      <x:c r="D780" t="str">
        <x:v>Benjamin Venier</x:v>
      </x:c>
      <x:c r="E780" t="str">
        <x:v>Corporate</x:v>
      </x:c>
      <x:c r="F780" t="str">
        <x:v>Central</x:v>
      </x:c>
      <x:c r="G780" t="str">
        <x:v>Office Supplies</x:v>
      </x:c>
      <x:c r="H780" t="str">
        <x:v>Art</x:v>
      </x:c>
      <x:c r="I780" s="22" t="n">
        <x:v>40.3</x:v>
      </x:c>
      <x:c r="J780" s="24" t="n">
        <x:v>2</x:v>
      </x:c>
      <x:c r="K780" s="26" t="n">
        <x:v>0</x:v>
      </x:c>
      <x:c r="L780" s="22" t="n">
        <x:v>10.881</x:v>
      </x:c>
      <x:c r="M780" t="n">
        <x:v>2017</x:v>
      </x:c>
      <x:c r="N780" s="20" t="n">
        <x:v>42736</x:v>
      </x:c>
    </x:row>
    <x:row r="781" ht="18" customHeight="1">
      <x:c r="A781" t="str">
        <x:v>CA-2017-104220</x:v>
      </x:c>
      <x:c r="B781" s="18" t="n">
        <x:v>42765</x:v>
      </x:c>
      <x:c r="C781" t="str">
        <x:v>BV-11245</x:v>
      </x:c>
      <x:c r="D781" t="str">
        <x:v>Benjamin Venier</x:v>
      </x:c>
      <x:c r="E781" t="str">
        <x:v>Corporate</x:v>
      </x:c>
      <x:c r="F781" t="str">
        <x:v>Central</x:v>
      </x:c>
      <x:c r="G781" t="str">
        <x:v>Furniture</x:v>
      </x:c>
      <x:c r="H781" t="str">
        <x:v>Furnishings</x:v>
      </x:c>
      <x:c r="I781" s="22" t="n">
        <x:v>34.580000000000005</x:v>
      </x:c>
      <x:c r="J781" s="24" t="n">
        <x:v>7</x:v>
      </x:c>
      <x:c r="K781" s="26" t="n">
        <x:v>0</x:v>
      </x:c>
      <x:c r="L781" s="22" t="n">
        <x:v>14.523600000000002</x:v>
      </x:c>
      <x:c r="M781" t="n">
        <x:v>2017</x:v>
      </x:c>
      <x:c r="N781" s="20" t="n">
        <x:v>42736</x:v>
      </x:c>
    </x:row>
    <x:row r="782" ht="18" customHeight="1">
      <x:c r="A782" t="str">
        <x:v>CA-2014-165974</x:v>
      </x:c>
      <x:c r="B782" s="18" t="n">
        <x:v>41819</x:v>
      </x:c>
      <x:c r="C782" t="str">
        <x:v>DL-12865</x:v>
      </x:c>
      <x:c r="D782" t="str">
        <x:v>Dan Lawera</x:v>
      </x:c>
      <x:c r="E782" t="str">
        <x:v>Consumer</x:v>
      </x:c>
      <x:c r="F782" t="str">
        <x:v>East</x:v>
      </x:c>
      <x:c r="G782" t="str">
        <x:v>Office Supplies</x:v>
      </x:c>
      <x:c r="H782" t="str">
        <x:v>Art</x:v>
      </x:c>
      <x:c r="I782" s="22" t="n">
        <x:v>32.76</x:v>
      </x:c>
      <x:c r="J782" s="24" t="n">
        <x:v>7</x:v>
      </x:c>
      <x:c r="K782" s="26" t="n">
        <x:v>0.2</x:v>
      </x:c>
      <x:c r="L782" s="22" t="n">
        <x:v>3.685499999999996</x:v>
      </x:c>
      <x:c r="M782" t="n">
        <x:v>2014</x:v>
      </x:c>
      <x:c r="N782" s="20" t="n">
        <x:v>41791</x:v>
      </x:c>
    </x:row>
    <x:row r="783" ht="18" customHeight="1">
      <x:c r="A783" t="str">
        <x:v>CA-2015-144267</x:v>
      </x:c>
      <x:c r="B783" s="18" t="n">
        <x:v>42237</x:v>
      </x:c>
      <x:c r="C783" t="str">
        <x:v>NZ-18565</x:v>
      </x:c>
      <x:c r="D783" t="str">
        <x:v>Nick Zandusky</x:v>
      </x:c>
      <x:c r="E783" t="str">
        <x:v>Home Office</x:v>
      </x:c>
      <x:c r="F783" t="str">
        <x:v>West</x:v>
      </x:c>
      <x:c r="G783" t="str">
        <x:v>Furniture</x:v>
      </x:c>
      <x:c r="H783" t="str">
        <x:v>Chairs</x:v>
      </x:c>
      <x:c r="I783" s="22" t="n">
        <x:v>544.008</x:v>
      </x:c>
      <x:c r="J783" s="24" t="n">
        <x:v>3</x:v>
      </x:c>
      <x:c r="K783" s="26" t="n">
        <x:v>0.2</x:v>
      </x:c>
      <x:c r="L783" s="22" t="n">
        <x:v>40.8006</x:v>
      </x:c>
      <x:c r="M783" t="n">
        <x:v>2015</x:v>
      </x:c>
      <x:c r="N783" s="20" t="n">
        <x:v>42217</x:v>
      </x:c>
    </x:row>
    <x:row r="784" ht="18" customHeight="1">
      <x:c r="A784" t="str">
        <x:v>CA-2015-144267</x:v>
      </x:c>
      <x:c r="B784" s="18" t="n">
        <x:v>42237</x:v>
      </x:c>
      <x:c r="C784" t="str">
        <x:v>NZ-18565</x:v>
      </x:c>
      <x:c r="D784" t="str">
        <x:v>Nick Zandusky</x:v>
      </x:c>
      <x:c r="E784" t="str">
        <x:v>Home Office</x:v>
      </x:c>
      <x:c r="F784" t="str">
        <x:v>West</x:v>
      </x:c>
      <x:c r="G784" t="str">
        <x:v>Office Supplies</x:v>
      </x:c>
      <x:c r="H784" t="str">
        <x:v>Paper</x:v>
      </x:c>
      <x:c r="I784" s="22" t="n">
        <x:v>59.94</x:v>
      </x:c>
      <x:c r="J784" s="24" t="n">
        <x:v>3</x:v>
      </x:c>
      <x:c r="K784" s="26" t="n">
        <x:v>0</x:v>
      </x:c>
      <x:c r="L784" s="22" t="n">
        <x:v>28.171799999999998</x:v>
      </x:c>
      <x:c r="M784" t="n">
        <x:v>2015</x:v>
      </x:c>
      <x:c r="N784" s="20" t="n">
        <x:v>42217</x:v>
      </x:c>
    </x:row>
    <x:row r="785" ht="18" customHeight="1">
      <x:c r="A785" t="str">
        <x:v>CA-2015-144267</x:v>
      </x:c>
      <x:c r="B785" s="18" t="n">
        <x:v>42237</x:v>
      </x:c>
      <x:c r="C785" t="str">
        <x:v>NZ-18565</x:v>
      </x:c>
      <x:c r="D785" t="str">
        <x:v>Nick Zandusky</x:v>
      </x:c>
      <x:c r="E785" t="str">
        <x:v>Home Office</x:v>
      </x:c>
      <x:c r="F785" t="str">
        <x:v>West</x:v>
      </x:c>
      <x:c r="G785" t="str">
        <x:v>Office Supplies</x:v>
      </x:c>
      <x:c r="H785" t="str">
        <x:v>Paper</x:v>
      </x:c>
      <x:c r="I785" s="22" t="n">
        <x:v>23.92</x:v>
      </x:c>
      <x:c r="J785" s="24" t="n">
        <x:v>4</x:v>
      </x:c>
      <x:c r="K785" s="26" t="n">
        <x:v>0</x:v>
      </x:c>
      <x:c r="L785" s="22" t="n">
        <x:v>11.7208</x:v>
      </x:c>
      <x:c r="M785" t="n">
        <x:v>2015</x:v>
      </x:c>
      <x:c r="N785" s="20" t="n">
        <x:v>42217</x:v>
      </x:c>
    </x:row>
    <x:row r="786" ht="18" customHeight="1">
      <x:c r="A786" t="str">
        <x:v>CA-2015-144267</x:v>
      </x:c>
      <x:c r="B786" s="18" t="n">
        <x:v>42237</x:v>
      </x:c>
      <x:c r="C786" t="str">
        <x:v>NZ-18565</x:v>
      </x:c>
      <x:c r="D786" t="str">
        <x:v>Nick Zandusky</x:v>
      </x:c>
      <x:c r="E786" t="str">
        <x:v>Home Office</x:v>
      </x:c>
      <x:c r="F786" t="str">
        <x:v>West</x:v>
      </x:c>
      <x:c r="G786" t="str">
        <x:v>Office Supplies</x:v>
      </x:c>
      <x:c r="H786" t="str">
        <x:v>Paper</x:v>
      </x:c>
      <x:c r="I786" s="22" t="n">
        <x:v>4.28</x:v>
      </x:c>
      <x:c r="J786" s="24" t="n">
        <x:v>1</x:v>
      </x:c>
      <x:c r="K786" s="26" t="n">
        <x:v>0</x:v>
      </x:c>
      <x:c r="L786" s="22" t="n">
        <x:v>1.9259999999999997</x:v>
      </x:c>
      <x:c r="M786" t="n">
        <x:v>2015</x:v>
      </x:c>
      <x:c r="N786" s="20" t="n">
        <x:v>42217</x:v>
      </x:c>
    </x:row>
    <x:row r="787" ht="18" customHeight="1">
      <x:c r="A787" t="str">
        <x:v>US-2015-157014</x:v>
      </x:c>
      <x:c r="B787" s="18" t="n">
        <x:v>42280</x:v>
      </x:c>
      <x:c r="C787" t="str">
        <x:v>BM-11785</x:v>
      </x:c>
      <x:c r="D787" t="str">
        <x:v>Bryan Mills</x:v>
      </x:c>
      <x:c r="E787" t="str">
        <x:v>Consumer</x:v>
      </x:c>
      <x:c r="F787" t="str">
        <x:v>East</x:v>
      </x:c>
      <x:c r="G787" t="str">
        <x:v>Office Supplies</x:v>
      </x:c>
      <x:c r="H787" t="str">
        <x:v>Binders</x:v>
      </x:c>
      <x:c r="I787" s="22" t="n">
        <x:v>32.07</x:v>
      </x:c>
      <x:c r="J787" s="24" t="n">
        <x:v>5</x:v>
      </x:c>
      <x:c r="K787" s="26" t="n">
        <x:v>0.7</x:v>
      </x:c>
      <x:c r="L787" s="22" t="n">
        <x:v>-22.44899999999999</x:v>
      </x:c>
      <x:c r="M787" t="n">
        <x:v>2015</x:v>
      </x:c>
      <x:c r="N787" s="20" t="n">
        <x:v>42278</x:v>
      </x:c>
    </x:row>
    <x:row r="788" ht="18" customHeight="1">
      <x:c r="A788" t="str">
        <x:v>US-2015-157014</x:v>
      </x:c>
      <x:c r="B788" s="18" t="n">
        <x:v>42280</x:v>
      </x:c>
      <x:c r="C788" t="str">
        <x:v>BM-11785</x:v>
      </x:c>
      <x:c r="D788" t="str">
        <x:v>Bryan Mills</x:v>
      </x:c>
      <x:c r="E788" t="str">
        <x:v>Consumer</x:v>
      </x:c>
      <x:c r="F788" t="str">
        <x:v>East</x:v>
      </x:c>
      <x:c r="G788" t="str">
        <x:v>Technology</x:v>
      </x:c>
      <x:c r="H788" t="str">
        <x:v>Accessories</x:v>
      </x:c>
      <x:c r="I788" s="22" t="n">
        <x:v>24</x:v>
      </x:c>
      <x:c r="J788" s="24" t="n">
        <x:v>2</x:v>
      </x:c>
      <x:c r="K788" s="26" t="n">
        <x:v>0.2</x:v>
      </x:c>
      <x:c r="L788" s="22" t="n">
        <x:v>-2.6999999999999993</x:v>
      </x:c>
      <x:c r="M788" t="n">
        <x:v>2015</x:v>
      </x:c>
      <x:c r="N788" s="20" t="n">
        <x:v>42278</x:v>
      </x:c>
    </x:row>
    <x:row r="789" ht="18" customHeight="1">
      <x:c r="A789" t="str">
        <x:v>US-2015-157014</x:v>
      </x:c>
      <x:c r="B789" s="18" t="n">
        <x:v>42280</x:v>
      </x:c>
      <x:c r="C789" t="str">
        <x:v>BM-11785</x:v>
      </x:c>
      <x:c r="D789" t="str">
        <x:v>Bryan Mills</x:v>
      </x:c>
      <x:c r="E789" t="str">
        <x:v>Consumer</x:v>
      </x:c>
      <x:c r="F789" t="str">
        <x:v>East</x:v>
      </x:c>
      <x:c r="G789" t="str">
        <x:v>Furniture</x:v>
      </x:c>
      <x:c r="H789" t="str">
        <x:v>Bookcases</x:v>
      </x:c>
      <x:c r="I789" s="22" t="n">
        <x:v>35.49</x:v>
      </x:c>
      <x:c r="J789" s="24" t="n">
        <x:v>1</x:v>
      </x:c>
      <x:c r="K789" s="26" t="n">
        <x:v>0.5</x:v>
      </x:c>
      <x:c r="L789" s="22" t="n">
        <x:v>-15.6156</x:v>
      </x:c>
      <x:c r="M789" t="n">
        <x:v>2015</x:v>
      </x:c>
      <x:c r="N789" s="20" t="n">
        <x:v>42278</x:v>
      </x:c>
    </x:row>
    <x:row r="790" ht="18" customHeight="1">
      <x:c r="A790" t="str">
        <x:v>US-2015-157014</x:v>
      </x:c>
      <x:c r="B790" s="18" t="n">
        <x:v>42280</x:v>
      </x:c>
      <x:c r="C790" t="str">
        <x:v>BM-11785</x:v>
      </x:c>
      <x:c r="D790" t="str">
        <x:v>Bryan Mills</x:v>
      </x:c>
      <x:c r="E790" t="str">
        <x:v>Consumer</x:v>
      </x:c>
      <x:c r="F790" t="str">
        <x:v>East</x:v>
      </x:c>
      <x:c r="G790" t="str">
        <x:v>Technology</x:v>
      </x:c>
      <x:c r="H790" t="str">
        <x:v>Accessories</x:v>
      </x:c>
      <x:c r="I790" s="22" t="n">
        <x:v>47.984</x:v>
      </x:c>
      <x:c r="J790" s="24" t="n">
        <x:v>2</x:v>
      </x:c>
      <x:c r="K790" s="26" t="n">
        <x:v>0.2</x:v>
      </x:c>
      <x:c r="L790" s="22" t="n">
        <x:v>0.5997999999999966</x:v>
      </x:c>
      <x:c r="M790" t="n">
        <x:v>2015</x:v>
      </x:c>
      <x:c r="N790" s="20" t="n">
        <x:v>42278</x:v>
      </x:c>
    </x:row>
    <x:row r="791" ht="18" customHeight="1">
      <x:c r="A791" t="str">
        <x:v>CA-2015-154921</x:v>
      </x:c>
      <x:c r="B791" s="18" t="n">
        <x:v>42147</x:v>
      </x:c>
      <x:c r="C791" t="str">
        <x:v>EA-14035</x:v>
      </x:c>
      <x:c r="D791" t="str">
        <x:v>Erin Ashbrook</x:v>
      </x:c>
      <x:c r="E791" t="str">
        <x:v>Corporate</x:v>
      </x:c>
      <x:c r="F791" t="str">
        <x:v>South</x:v>
      </x:c>
      <x:c r="G791" t="str">
        <x:v>Office Supplies</x:v>
      </x:c>
      <x:c r="H791" t="str">
        <x:v>Envelopes</x:v>
      </x:c>
      <x:c r="I791" s="22" t="n">
        <x:v>186.69</x:v>
      </x:c>
      <x:c r="J791" s="24" t="n">
        <x:v>3</x:v>
      </x:c>
      <x:c r="K791" s="26" t="n">
        <x:v>0</x:v>
      </x:c>
      <x:c r="L791" s="22" t="n">
        <x:v>87.74429999999998</x:v>
      </x:c>
      <x:c r="M791" t="n">
        <x:v>2015</x:v>
      </x:c>
      <x:c r="N791" s="20" t="n">
        <x:v>42125</x:v>
      </x:c>
    </x:row>
    <x:row r="792" ht="18" customHeight="1">
      <x:c r="A792" t="str">
        <x:v>CA-2017-129567</x:v>
      </x:c>
      <x:c r="B792" s="18" t="n">
        <x:v>42811</x:v>
      </x:c>
      <x:c r="C792" t="str">
        <x:v>CL-12565</x:v>
      </x:c>
      <x:c r="D792" t="str">
        <x:v>Clay Ludtke</x:v>
      </x:c>
      <x:c r="E792" t="str">
        <x:v>Consumer</x:v>
      </x:c>
      <x:c r="F792" t="str">
        <x:v>West</x:v>
      </x:c>
      <x:c r="G792" t="str">
        <x:v>Office Supplies</x:v>
      </x:c>
      <x:c r="H792" t="str">
        <x:v>Binders</x:v>
      </x:c>
      <x:c r="I792" s="22" t="n">
        <x:v>17.456</x:v>
      </x:c>
      <x:c r="J792" s="24" t="n">
        <x:v>2</x:v>
      </x:c>
      <x:c r="K792" s="26" t="n">
        <x:v>0.2</x:v>
      </x:c>
      <x:c r="L792" s="22" t="n">
        <x:v>5.8914</x:v>
      </x:c>
      <x:c r="M792" t="n">
        <x:v>2017</x:v>
      </x:c>
      <x:c r="N792" s="20" t="n">
        <x:v>42795</x:v>
      </x:c>
    </x:row>
    <x:row r="793" ht="18" customHeight="1">
      <x:c r="A793" t="str">
        <x:v>CA-2015-154620</x:v>
      </x:c>
      <x:c r="B793" s="18" t="n">
        <x:v>42350</x:v>
      </x:c>
      <x:c r="C793" t="str">
        <x:v>LT-17110</x:v>
      </x:c>
      <x:c r="D793" t="str">
        <x:v>Liz Thompson</x:v>
      </x:c>
      <x:c r="E793" t="str">
        <x:v>Consumer</x:v>
      </x:c>
      <x:c r="F793" t="str">
        <x:v>West</x:v>
      </x:c>
      <x:c r="G793" t="str">
        <x:v>Furniture</x:v>
      </x:c>
      <x:c r="H793" t="str">
        <x:v>Chairs</x:v>
      </x:c>
      <x:c r="I793" s="22" t="n">
        <x:v>348.92800000000005</x:v>
      </x:c>
      <x:c r="J793" s="24" t="n">
        <x:v>2</x:v>
      </x:c>
      <x:c r="K793" s="26" t="n">
        <x:v>0.2</x:v>
      </x:c>
      <x:c r="L793" s="22" t="n">
        <x:v>34.89279999999998</x:v>
      </x:c>
      <x:c r="M793" t="n">
        <x:v>2015</x:v>
      </x:c>
      <x:c r="N793" s="20" t="n">
        <x:v>42339</x:v>
      </x:c>
    </x:row>
    <x:row r="794" ht="18" customHeight="1">
      <x:c r="A794" t="str">
        <x:v>CA-2015-115938</x:v>
      </x:c>
      <x:c r="B794" s="18" t="n">
        <x:v>42181</x:v>
      </x:c>
      <x:c r="C794" t="str">
        <x:v>SA-20830</x:v>
      </x:c>
      <x:c r="D794" t="str">
        <x:v>Sue Ann Reed</x:v>
      </x:c>
      <x:c r="E794" t="str">
        <x:v>Consumer</x:v>
      </x:c>
      <x:c r="F794" t="str">
        <x:v>South</x:v>
      </x:c>
      <x:c r="G794" t="str">
        <x:v>Office Supplies</x:v>
      </x:c>
      <x:c r="H794" t="str">
        <x:v>Binders</x:v>
      </x:c>
      <x:c r="I794" s="22" t="n">
        <x:v>143.96</x:v>
      </x:c>
      <x:c r="J794" s="24" t="n">
        <x:v>4</x:v>
      </x:c>
      <x:c r="K794" s="26" t="n">
        <x:v>0</x:v>
      </x:c>
      <x:c r="L794" s="22" t="n">
        <x:v>69.1008</x:v>
      </x:c>
      <x:c r="M794" t="n">
        <x:v>2015</x:v>
      </x:c>
      <x:c r="N794" s="20" t="n">
        <x:v>42156</x:v>
      </x:c>
    </x:row>
    <x:row r="795" ht="18" customHeight="1">
      <x:c r="A795" t="str">
        <x:v>CA-2015-115938</x:v>
      </x:c>
      <x:c r="B795" s="18" t="n">
        <x:v>42181</x:v>
      </x:c>
      <x:c r="C795" t="str">
        <x:v>SA-20830</x:v>
      </x:c>
      <x:c r="D795" t="str">
        <x:v>Sue Ann Reed</x:v>
      </x:c>
      <x:c r="E795" t="str">
        <x:v>Consumer</x:v>
      </x:c>
      <x:c r="F795" t="str">
        <x:v>South</x:v>
      </x:c>
      <x:c r="G795" t="str">
        <x:v>Office Supplies</x:v>
      </x:c>
      <x:c r="H795" t="str">
        <x:v>Storage</x:v>
      </x:c>
      <x:c r="I795" s="22" t="n">
        <x:v>15.42</x:v>
      </x:c>
      <x:c r="J795" s="24" t="n">
        <x:v>1</x:v>
      </x:c>
      <x:c r="K795" s="26" t="n">
        <x:v>0</x:v>
      </x:c>
      <x:c r="L795" s="22" t="n">
        <x:v>4.163400000000001</x:v>
      </x:c>
      <x:c r="M795" t="n">
        <x:v>2015</x:v>
      </x:c>
      <x:c r="N795" s="20" t="n">
        <x:v>42156</x:v>
      </x:c>
    </x:row>
    <x:row r="796" ht="18" customHeight="1">
      <x:c r="A796" t="str">
        <x:v>CA-2015-115938</x:v>
      </x:c>
      <x:c r="B796" s="18" t="n">
        <x:v>42181</x:v>
      </x:c>
      <x:c r="C796" t="str">
        <x:v>SA-20830</x:v>
      </x:c>
      <x:c r="D796" t="str">
        <x:v>Sue Ann Reed</x:v>
      </x:c>
      <x:c r="E796" t="str">
        <x:v>Consumer</x:v>
      </x:c>
      <x:c r="F796" t="str">
        <x:v>South</x:v>
      </x:c>
      <x:c r="G796" t="str">
        <x:v>Office Supplies</x:v>
      </x:c>
      <x:c r="H796" t="str">
        <x:v>Binders</x:v>
      </x:c>
      <x:c r="I796" s="22" t="n">
        <x:v>43.04</x:v>
      </x:c>
      <x:c r="J796" s="24" t="n">
        <x:v>8</x:v>
      </x:c>
      <x:c r="K796" s="26" t="n">
        <x:v>0</x:v>
      </x:c>
      <x:c r="L796" s="22" t="n">
        <x:v>21.0896</x:v>
      </x:c>
      <x:c r="M796" t="n">
        <x:v>2015</x:v>
      </x:c>
      <x:c r="N796" s="20" t="n">
        <x:v>42156</x:v>
      </x:c>
    </x:row>
    <x:row r="797" ht="18" customHeight="1">
      <x:c r="A797" t="str">
        <x:v>CA-2015-115938</x:v>
      </x:c>
      <x:c r="B797" s="18" t="n">
        <x:v>42181</x:v>
      </x:c>
      <x:c r="C797" t="str">
        <x:v>SA-20830</x:v>
      </x:c>
      <x:c r="D797" t="str">
        <x:v>Sue Ann Reed</x:v>
      </x:c>
      <x:c r="E797" t="str">
        <x:v>Consumer</x:v>
      </x:c>
      <x:c r="F797" t="str">
        <x:v>South</x:v>
      </x:c>
      <x:c r="G797" t="str">
        <x:v>Furniture</x:v>
      </x:c>
      <x:c r="H797" t="str">
        <x:v>Chairs</x:v>
      </x:c>
      <x:c r="I797" s="22" t="n">
        <x:v>332.94</x:v>
      </x:c>
      <x:c r="J797" s="24" t="n">
        <x:v>3</x:v>
      </x:c>
      <x:c r="K797" s="26" t="n">
        <x:v>0</x:v>
      </x:c>
      <x:c r="L797" s="22" t="n">
        <x:v>79.90559999999999</x:v>
      </x:c>
      <x:c r="M797" t="n">
        <x:v>2015</x:v>
      </x:c>
      <x:c r="N797" s="20" t="n">
        <x:v>42156</x:v>
      </x:c>
    </x:row>
    <x:row r="798" ht="18" customHeight="1">
      <x:c r="A798" t="str">
        <x:v>CA-2016-105256</x:v>
      </x:c>
      <x:c r="B798" s="18" t="n">
        <x:v>42510</x:v>
      </x:c>
      <x:c r="C798" t="str">
        <x:v>JK-15730</x:v>
      </x:c>
      <x:c r="D798" t="str">
        <x:v>Joe Kamberova</x:v>
      </x:c>
      <x:c r="E798" t="str">
        <x:v>Consumer</x:v>
      </x:c>
      <x:c r="F798" t="str">
        <x:v>South</x:v>
      </x:c>
      <x:c r="G798" t="str">
        <x:v>Technology</x:v>
      </x:c>
      <x:c r="H798" t="str">
        <x:v>Phones</x:v>
      </x:c>
      <x:c r="I798" s="22" t="n">
        <x:v>1363.96</x:v>
      </x:c>
      <x:c r="J798" s="24" t="n">
        <x:v>5</x:v>
      </x:c>
      <x:c r="K798" s="26" t="n">
        <x:v>0.2</x:v>
      </x:c>
      <x:c r="L798" s="22" t="n">
        <x:v>85.2475</x:v>
      </x:c>
      <x:c r="M798" t="n">
        <x:v>2016</x:v>
      </x:c>
      <x:c r="N798" s="20" t="n">
        <x:v>42491</x:v>
      </x:c>
    </x:row>
    <x:row r="799" ht="18" customHeight="1">
      <x:c r="A799" t="str">
        <x:v>CA-2014-156433</x:v>
      </x:c>
      <x:c r="B799" s="18" t="n">
        <x:v>41902</x:v>
      </x:c>
      <x:c r="C799" t="str">
        <x:v>ES-14020</x:v>
      </x:c>
      <x:c r="D799" t="str">
        <x:v>Erica Smith</x:v>
      </x:c>
      <x:c r="E799" t="str">
        <x:v>Consumer</x:v>
      </x:c>
      <x:c r="F799" t="str">
        <x:v>West</x:v>
      </x:c>
      <x:c r="G799" t="str">
        <x:v>Office Supplies</x:v>
      </x:c>
      <x:c r="H799" t="str">
        <x:v>Labels</x:v>
      </x:c>
      <x:c r="I799" s="22" t="n">
        <x:v>9.96</x:v>
      </x:c>
      <x:c r="J799" s="24" t="n">
        <x:v>2</x:v>
      </x:c>
      <x:c r="K799" s="26" t="n">
        <x:v>0</x:v>
      </x:c>
      <x:c r="L799" s="22" t="n">
        <x:v>4.5816</x:v>
      </x:c>
      <x:c r="M799" t="n">
        <x:v>2014</x:v>
      </x:c>
      <x:c r="N799" s="20" t="n">
        <x:v>41883</x:v>
      </x:c>
    </x:row>
    <x:row r="800" ht="18" customHeight="1">
      <x:c r="A800" t="str">
        <x:v>CA-2014-156433</x:v>
      </x:c>
      <x:c r="B800" s="18" t="n">
        <x:v>41902</x:v>
      </x:c>
      <x:c r="C800" t="str">
        <x:v>ES-14020</x:v>
      </x:c>
      <x:c r="D800" t="str">
        <x:v>Erica Smith</x:v>
      </x:c>
      <x:c r="E800" t="str">
        <x:v>Consumer</x:v>
      </x:c>
      <x:c r="F800" t="str">
        <x:v>West</x:v>
      </x:c>
      <x:c r="G800" t="str">
        <x:v>Office Supplies</x:v>
      </x:c>
      <x:c r="H800" t="str">
        <x:v>Paper</x:v>
      </x:c>
      <x:c r="I800" s="22" t="n">
        <x:v>21.72</x:v>
      </x:c>
      <x:c r="J800" s="24" t="n">
        <x:v>4</x:v>
      </x:c>
      <x:c r="K800" s="26" t="n">
        <x:v>0</x:v>
      </x:c>
      <x:c r="L800" s="22" t="n">
        <x:v>10.6428</x:v>
      </x:c>
      <x:c r="M800" t="n">
        <x:v>2014</x:v>
      </x:c>
      <x:c r="N800" s="20" t="n">
        <x:v>41883</x:v>
      </x:c>
    </x:row>
    <x:row r="801" ht="18" customHeight="1">
      <x:c r="A801" t="str">
        <x:v>CA-2017-151428</x:v>
      </x:c>
      <x:c r="B801" s="18" t="n">
        <x:v>42999</x:v>
      </x:c>
      <x:c r="C801" t="str">
        <x:v>RH-19495</x:v>
      </x:c>
      <x:c r="D801" t="str">
        <x:v>Rick Hansen</x:v>
      </x:c>
      <x:c r="E801" t="str">
        <x:v>Consumer</x:v>
      </x:c>
      <x:c r="F801" t="str">
        <x:v>Central</x:v>
      </x:c>
      <x:c r="G801" t="str">
        <x:v>Office Supplies</x:v>
      </x:c>
      <x:c r="H801" t="str">
        <x:v>Binders</x:v>
      </x:c>
      <x:c r="I801" s="22" t="n">
        <x:v>20.16</x:v>
      </x:c>
      <x:c r="J801" s="24" t="n">
        <x:v>7</x:v>
      </x:c>
      <x:c r="K801" s="26" t="n">
        <x:v>0</x:v>
      </x:c>
      <x:c r="L801" s="22" t="n">
        <x:v>9.8784</x:v>
      </x:c>
      <x:c r="M801" t="n">
        <x:v>2017</x:v>
      </x:c>
      <x:c r="N801" s="20" t="n">
        <x:v>42979</x:v>
      </x:c>
    </x:row>
    <x:row r="802" ht="18" customHeight="1">
      <x:c r="A802" t="str">
        <x:v>CA-2015-124653</x:v>
      </x:c>
      <x:c r="B802" s="18" t="n">
        <x:v>42362</x:v>
      </x:c>
      <x:c r="C802" t="str">
        <x:v>DB-13120</x:v>
      </x:c>
      <x:c r="D802" t="str">
        <x:v>David Bremer</x:v>
      </x:c>
      <x:c r="E802" t="str">
        <x:v>Corporate</x:v>
      </x:c>
      <x:c r="F802" t="str">
        <x:v>East</x:v>
      </x:c>
      <x:c r="G802" t="str">
        <x:v>Office Supplies</x:v>
      </x:c>
      <x:c r="H802" t="str">
        <x:v>Paper</x:v>
      </x:c>
      <x:c r="I802" s="22" t="n">
        <x:v>132.79</x:v>
      </x:c>
      <x:c r="J802" s="24" t="n">
        <x:v>7</x:v>
      </x:c>
      <x:c r="K802" s="26" t="n">
        <x:v>0</x:v>
      </x:c>
      <x:c r="L802" s="22" t="n">
        <x:v>63.7392</x:v>
      </x:c>
      <x:c r="M802" t="n">
        <x:v>2015</x:v>
      </x:c>
      <x:c r="N802" s="20" t="n">
        <x:v>42339</x:v>
      </x:c>
    </x:row>
    <x:row r="803" ht="18" customHeight="1">
      <x:c r="A803" t="str">
        <x:v>CA-2015-124653</x:v>
      </x:c>
      <x:c r="B803" s="18" t="n">
        <x:v>42362</x:v>
      </x:c>
      <x:c r="C803" t="str">
        <x:v>DB-13120</x:v>
      </x:c>
      <x:c r="D803" t="str">
        <x:v>David Bremer</x:v>
      </x:c>
      <x:c r="E803" t="str">
        <x:v>Corporate</x:v>
      </x:c>
      <x:c r="F803" t="str">
        <x:v>East</x:v>
      </x:c>
      <x:c r="G803" t="str">
        <x:v>Office Supplies</x:v>
      </x:c>
      <x:c r="H803" t="str">
        <x:v>Paper</x:v>
      </x:c>
      <x:c r="I803" s="22" t="n">
        <x:v>12.96</x:v>
      </x:c>
      <x:c r="J803" s="24" t="n">
        <x:v>2</x:v>
      </x:c>
      <x:c r="K803" s="26" t="n">
        <x:v>0</x:v>
      </x:c>
      <x:c r="L803" s="22" t="n">
        <x:v>6.2208000000000006</x:v>
      </x:c>
      <x:c r="M803" t="n">
        <x:v>2015</x:v>
      </x:c>
      <x:c r="N803" s="20" t="n">
        <x:v>42339</x:v>
      </x:c>
    </x:row>
    <x:row r="804" ht="18" customHeight="1">
      <x:c r="A804" t="str">
        <x:v>CA-2015-124653</x:v>
      </x:c>
      <x:c r="B804" s="18" t="n">
        <x:v>42362</x:v>
      </x:c>
      <x:c r="C804" t="str">
        <x:v>DB-13120</x:v>
      </x:c>
      <x:c r="D804" t="str">
        <x:v>David Bremer</x:v>
      </x:c>
      <x:c r="E804" t="str">
        <x:v>Corporate</x:v>
      </x:c>
      <x:c r="F804" t="str">
        <x:v>East</x:v>
      </x:c>
      <x:c r="G804" t="str">
        <x:v>Office Supplies</x:v>
      </x:c>
      <x:c r="H804" t="str">
        <x:v>Labels</x:v>
      </x:c>
      <x:c r="I804" s="22" t="n">
        <x:v>21.560000000000002</x:v>
      </x:c>
      <x:c r="J804" s="24" t="n">
        <x:v>7</x:v>
      </x:c>
      <x:c r="K804" s="26" t="n">
        <x:v>0</x:v>
      </x:c>
      <x:c r="L804" s="22" t="n">
        <x:v>10.348799999999999</x:v>
      </x:c>
      <x:c r="M804" t="n">
        <x:v>2015</x:v>
      </x:c>
      <x:c r="N804" s="20" t="n">
        <x:v>42339</x:v>
      </x:c>
    </x:row>
    <x:row r="805" ht="18" customHeight="1">
      <x:c r="A805" t="str">
        <x:v>CA-2015-101910</x:v>
      </x:c>
      <x:c r="B805" s="18" t="n">
        <x:v>42335</x:v>
      </x:c>
      <x:c r="C805" t="str">
        <x:v>CD-11920</x:v>
      </x:c>
      <x:c r="D805" t="str">
        <x:v>Carlos Daly</x:v>
      </x:c>
      <x:c r="E805" t="str">
        <x:v>Consumer</x:v>
      </x:c>
      <x:c r="F805" t="str">
        <x:v>West</x:v>
      </x:c>
      <x:c r="G805" t="str">
        <x:v>Furniture</x:v>
      </x:c>
      <x:c r="H805" t="str">
        <x:v>Chairs</x:v>
      </x:c>
      <x:c r="I805" s="22" t="n">
        <x:v>283.92</x:v>
      </x:c>
      <x:c r="J805" s="24" t="n">
        <x:v>5</x:v>
      </x:c>
      <x:c r="K805" s="26" t="n">
        <x:v>0.2</x:v>
      </x:c>
      <x:c r="L805" s="22" t="n">
        <x:v>17.74500000000002</x:v>
      </x:c>
      <x:c r="M805" t="n">
        <x:v>2015</x:v>
      </x:c>
      <x:c r="N805" s="20" t="n">
        <x:v>42309</x:v>
      </x:c>
    </x:row>
    <x:row r="806" ht="18" customHeight="1">
      <x:c r="A806" t="str">
        <x:v>CA-2017-105809</x:v>
      </x:c>
      <x:c r="B806" s="18" t="n">
        <x:v>42786</x:v>
      </x:c>
      <x:c r="C806" t="str">
        <x:v>HW-14935</x:v>
      </x:c>
      <x:c r="D806" t="str">
        <x:v>Helen Wasserman</x:v>
      </x:c>
      <x:c r="E806" t="str">
        <x:v>Corporate</x:v>
      </x:c>
      <x:c r="F806" t="str">
        <x:v>West</x:v>
      </x:c>
      <x:c r="G806" t="str">
        <x:v>Furniture</x:v>
      </x:c>
      <x:c r="H806" t="str">
        <x:v>Furnishings</x:v>
      </x:c>
      <x:c r="I806" s="22" t="n">
        <x:v>22.23</x:v>
      </x:c>
      <x:c r="J806" s="24" t="n">
        <x:v>1</x:v>
      </x:c>
      <x:c r="K806" s="26" t="n">
        <x:v>0</x:v>
      </x:c>
      <x:c r="L806" s="22" t="n">
        <x:v>7.335899999999999</x:v>
      </x:c>
      <x:c r="M806" t="n">
        <x:v>2017</x:v>
      </x:c>
      <x:c r="N806" s="20" t="n">
        <x:v>42767</x:v>
      </x:c>
    </x:row>
    <x:row r="807" ht="18" customHeight="1">
      <x:c r="A807" t="str">
        <x:v>CA-2017-105809</x:v>
      </x:c>
      <x:c r="B807" s="18" t="n">
        <x:v>42786</x:v>
      </x:c>
      <x:c r="C807" t="str">
        <x:v>HW-14935</x:v>
      </x:c>
      <x:c r="D807" t="str">
        <x:v>Helen Wasserman</x:v>
      </x:c>
      <x:c r="E807" t="str">
        <x:v>Corporate</x:v>
      </x:c>
      <x:c r="F807" t="str">
        <x:v>West</x:v>
      </x:c>
      <x:c r="G807" t="str">
        <x:v>Technology</x:v>
      </x:c>
      <x:c r="H807" t="str">
        <x:v>Phones</x:v>
      </x:c>
      <x:c r="I807" s="22" t="n">
        <x:v>215.968</x:v>
      </x:c>
      <x:c r="J807" s="24" t="n">
        <x:v>2</x:v>
      </x:c>
      <x:c r="K807" s="26" t="n">
        <x:v>0.2</x:v>
      </x:c>
      <x:c r="L807" s="22" t="n">
        <x:v>18.89719999999999</x:v>
      </x:c>
      <x:c r="M807" t="n">
        <x:v>2017</x:v>
      </x:c>
      <x:c r="N807" s="20" t="n">
        <x:v>42767</x:v>
      </x:c>
    </x:row>
    <x:row r="808" ht="18" customHeight="1">
      <x:c r="A808" t="str">
        <x:v>CA-2016-136133</x:v>
      </x:c>
      <x:c r="B808" s="18" t="n">
        <x:v>42600</x:v>
      </x:c>
      <x:c r="C808" t="str">
        <x:v>HW-14935</x:v>
      </x:c>
      <x:c r="D808" t="str">
        <x:v>Helen Wasserman</x:v>
      </x:c>
      <x:c r="E808" t="str">
        <x:v>Corporate</x:v>
      </x:c>
      <x:c r="F808" t="str">
        <x:v>East</x:v>
      </x:c>
      <x:c r="G808" t="str">
        <x:v>Office Supplies</x:v>
      </x:c>
      <x:c r="H808" t="str">
        <x:v>Appliances</x:v>
      </x:c>
      <x:c r="I808" s="22" t="n">
        <x:v>355.32</x:v>
      </x:c>
      <x:c r="J808" s="24" t="n">
        <x:v>9</x:v>
      </x:c>
      <x:c r="K808" s="26" t="n">
        <x:v>0</x:v>
      </x:c>
      <x:c r="L808" s="22" t="n">
        <x:v>99.48960000000001</x:v>
      </x:c>
      <x:c r="M808" t="n">
        <x:v>2016</x:v>
      </x:c>
      <x:c r="N808" s="20" t="n">
        <x:v>42583</x:v>
      </x:c>
    </x:row>
    <x:row r="809" ht="18" customHeight="1">
      <x:c r="A809" t="str">
        <x:v>CA-2016-115504</x:v>
      </x:c>
      <x:c r="B809" s="18" t="n">
        <x:v>42441</x:v>
      </x:c>
      <x:c r="C809" t="str">
        <x:v>MC-18130</x:v>
      </x:c>
      <x:c r="D809" t="str">
        <x:v>Mike Caudle</x:v>
      </x:c>
      <x:c r="E809" t="str">
        <x:v>Corporate</x:v>
      </x:c>
      <x:c r="F809" t="str">
        <x:v>South</x:v>
      </x:c>
      <x:c r="G809" t="str">
        <x:v>Office Supplies</x:v>
      </x:c>
      <x:c r="H809" t="str">
        <x:v>Paper</x:v>
      </x:c>
      <x:c r="I809" s="22" t="n">
        <x:v>12.96</x:v>
      </x:c>
      <x:c r="J809" s="24" t="n">
        <x:v>2</x:v>
      </x:c>
      <x:c r="K809" s="26" t="n">
        <x:v>0</x:v>
      </x:c>
      <x:c r="L809" s="22" t="n">
        <x:v>6.2208000000000006</x:v>
      </x:c>
      <x:c r="M809" t="n">
        <x:v>2016</x:v>
      </x:c>
      <x:c r="N809" s="20" t="n">
        <x:v>42430</x:v>
      </x:c>
    </x:row>
    <x:row r="810" ht="18" customHeight="1">
      <x:c r="A810" t="str">
        <x:v>CA-2017-135783</x:v>
      </x:c>
      <x:c r="B810" s="18" t="n">
        <x:v>42847</x:v>
      </x:c>
      <x:c r="C810" t="str">
        <x:v>GM-14440</x:v>
      </x:c>
      <x:c r="D810" t="str">
        <x:v>Gary McGarr</x:v>
      </x:c>
      <x:c r="E810" t="str">
        <x:v>Consumer</x:v>
      </x:c>
      <x:c r="F810" t="str">
        <x:v>West</x:v>
      </x:c>
      <x:c r="G810" t="str">
        <x:v>Furniture</x:v>
      </x:c>
      <x:c r="H810" t="str">
        <x:v>Furnishings</x:v>
      </x:c>
      <x:c r="I810" s="22" t="n">
        <x:v>18.28</x:v>
      </x:c>
      <x:c r="J810" s="24" t="n">
        <x:v>2</x:v>
      </x:c>
      <x:c r="K810" s="26" t="n">
        <x:v>0</x:v>
      </x:c>
      <x:c r="L810" s="22" t="n">
        <x:v>6.215199999999999</x:v>
      </x:c>
      <x:c r="M810" t="n">
        <x:v>2017</x:v>
      </x:c>
      <x:c r="N810" s="20" t="n">
        <x:v>42826</x:v>
      </x:c>
    </x:row>
    <x:row r="811" ht="18" customHeight="1">
      <x:c r="A811" t="str">
        <x:v>CA-2014-134313</x:v>
      </x:c>
      <x:c r="B811" s="18" t="n">
        <x:v>41944</x:v>
      </x:c>
      <x:c r="C811" t="str">
        <x:v>RA-19915</x:v>
      </x:c>
      <x:c r="D811" t="str">
        <x:v>Russell Applegate</x:v>
      </x:c>
      <x:c r="E811" t="str">
        <x:v>Consumer</x:v>
      </x:c>
      <x:c r="F811" t="str">
        <x:v>West</x:v>
      </x:c>
      <x:c r="G811" t="str">
        <x:v>Office Supplies</x:v>
      </x:c>
      <x:c r="H811" t="str">
        <x:v>Art</x:v>
      </x:c>
      <x:c r="I811" s="22" t="n">
        <x:v>43.176</x:v>
      </x:c>
      <x:c r="J811" s="24" t="n">
        <x:v>3</x:v>
      </x:c>
      <x:c r="K811" s="26" t="n">
        <x:v>0.2</x:v>
      </x:c>
      <x:c r="L811" s="22" t="n">
        <x:v>4.3176000000000005</x:v>
      </x:c>
      <x:c r="M811" t="n">
        <x:v>2014</x:v>
      </x:c>
      <x:c r="N811" s="20" t="n">
        <x:v>41944</x:v>
      </x:c>
    </x:row>
    <x:row r="812" ht="18" customHeight="1">
      <x:c r="A812" t="str">
        <x:v>CA-2014-134313</x:v>
      </x:c>
      <x:c r="B812" s="18" t="n">
        <x:v>41944</x:v>
      </x:c>
      <x:c r="C812" t="str">
        <x:v>RA-19915</x:v>
      </x:c>
      <x:c r="D812" t="str">
        <x:v>Russell Applegate</x:v>
      </x:c>
      <x:c r="E812" t="str">
        <x:v>Consumer</x:v>
      </x:c>
      <x:c r="F812" t="str">
        <x:v>West</x:v>
      </x:c>
      <x:c r="G812" t="str">
        <x:v>Technology</x:v>
      </x:c>
      <x:c r="H812" t="str">
        <x:v>Phones</x:v>
      </x:c>
      <x:c r="I812" s="22" t="n">
        <x:v>1983.968</x:v>
      </x:c>
      <x:c r="J812" s="24" t="n">
        <x:v>4</x:v>
      </x:c>
      <x:c r="K812" s="26" t="n">
        <x:v>0.2</x:v>
      </x:c>
      <x:c r="L812" s="22" t="n">
        <x:v>247.9959999999998</x:v>
      </x:c>
      <x:c r="M812" t="n">
        <x:v>2014</x:v>
      </x:c>
      <x:c r="N812" s="20" t="n">
        <x:v>41944</x:v>
      </x:c>
    </x:row>
    <x:row r="813" ht="18" customHeight="1">
      <x:c r="A813" t="str">
        <x:v>CA-2015-140921</x:v>
      </x:c>
      <x:c r="B813" s="18" t="n">
        <x:v>42038</x:v>
      </x:c>
      <x:c r="C813" t="str">
        <x:v>AA-10375</x:v>
      </x:c>
      <x:c r="D813" t="str">
        <x:v>Allen Armold</x:v>
      </x:c>
      <x:c r="E813" t="str">
        <x:v>Consumer</x:v>
      </x:c>
      <x:c r="F813" t="str">
        <x:v>Central</x:v>
      </x:c>
      <x:c r="G813" t="str">
        <x:v>Furniture</x:v>
      </x:c>
      <x:c r="H813" t="str">
        <x:v>Furnishings</x:v>
      </x:c>
      <x:c r="I813" s="22" t="n">
        <x:v>28.4</x:v>
      </x:c>
      <x:c r="J813" s="24" t="n">
        <x:v>2</x:v>
      </x:c>
      <x:c r="K813" s="26" t="n">
        <x:v>0</x:v>
      </x:c>
      <x:c r="L813" s="22" t="n">
        <x:v>11.076</x:v>
      </x:c>
      <x:c r="M813" t="n">
        <x:v>2015</x:v>
      </x:c>
      <x:c r="N813" s="20" t="n">
        <x:v>42036</x:v>
      </x:c>
    </x:row>
    <x:row r="814" ht="18" customHeight="1">
      <x:c r="A814" t="str">
        <x:v>CA-2015-140921</x:v>
      </x:c>
      <x:c r="B814" s="18" t="n">
        <x:v>42038</x:v>
      </x:c>
      <x:c r="C814" t="str">
        <x:v>AA-10375</x:v>
      </x:c>
      <x:c r="D814" t="str">
        <x:v>Allen Armold</x:v>
      </x:c>
      <x:c r="E814" t="str">
        <x:v>Consumer</x:v>
      </x:c>
      <x:c r="F814" t="str">
        <x:v>Central</x:v>
      </x:c>
      <x:c r="G814" t="str">
        <x:v>Technology</x:v>
      </x:c>
      <x:c r="H814" t="str">
        <x:v>Accessories</x:v>
      </x:c>
      <x:c r="I814" s="22" t="n">
        <x:v>149.97</x:v>
      </x:c>
      <x:c r="J814" s="24" t="n">
        <x:v>3</x:v>
      </x:c>
      <x:c r="K814" s="26" t="n">
        <x:v>0</x:v>
      </x:c>
      <x:c r="L814" s="22" t="n">
        <x:v>50.9898</x:v>
      </x:c>
      <x:c r="M814" t="n">
        <x:v>2015</x:v>
      </x:c>
      <x:c r="N814" s="20" t="n">
        <x:v>42036</x:v>
      </x:c>
    </x:row>
    <x:row r="815" ht="18" customHeight="1">
      <x:c r="A815" t="str">
        <x:v>CA-2014-151995</x:v>
      </x:c>
      <x:c r="B815" s="18" t="n">
        <x:v>41925</x:v>
      </x:c>
      <x:c r="C815" t="str">
        <x:v>ZC-21910</x:v>
      </x:c>
      <x:c r="D815" t="str">
        <x:v>Zuschuss Carroll</x:v>
      </x:c>
      <x:c r="E815" t="str">
        <x:v>Consumer</x:v>
      </x:c>
      <x:c r="F815" t="str">
        <x:v>West</x:v>
      </x:c>
      <x:c r="G815" t="str">
        <x:v>Office Supplies</x:v>
      </x:c>
      <x:c r="H815" t="str">
        <x:v>Art</x:v>
      </x:c>
      <x:c r="I815" s="22" t="n">
        <x:v>11.52</x:v>
      </x:c>
      <x:c r="J815" s="24" t="n">
        <x:v>4</x:v>
      </x:c>
      <x:c r="K815" s="26" t="n">
        <x:v>0</x:v>
      </x:c>
      <x:c r="L815" s="22" t="n">
        <x:v>3.2256</x:v>
      </x:c>
      <x:c r="M815" t="n">
        <x:v>2014</x:v>
      </x:c>
      <x:c r="N815" s="20" t="n">
        <x:v>41913</x:v>
      </x:c>
    </x:row>
    <x:row r="816" ht="18" customHeight="1">
      <x:c r="A816" t="str">
        <x:v>CA-2014-151995</x:v>
      </x:c>
      <x:c r="B816" s="18" t="n">
        <x:v>41925</x:v>
      </x:c>
      <x:c r="C816" t="str">
        <x:v>ZC-21910</x:v>
      </x:c>
      <x:c r="D816" t="str">
        <x:v>Zuschuss Carroll</x:v>
      </x:c>
      <x:c r="E816" t="str">
        <x:v>Consumer</x:v>
      </x:c>
      <x:c r="F816" t="str">
        <x:v>West</x:v>
      </x:c>
      <x:c r="G816" t="str">
        <x:v>Furniture</x:v>
      </x:c>
      <x:c r="H816" t="str">
        <x:v>Tables</x:v>
      </x:c>
      <x:c r="I816" s="22" t="n">
        <x:v>1298.55</x:v>
      </x:c>
      <x:c r="J816" s="24" t="n">
        <x:v>5</x:v>
      </x:c>
      <x:c r="K816" s="26" t="n">
        <x:v>0</x:v>
      </x:c>
      <x:c r="L816" s="22" t="n">
        <x:v>311.652</x:v>
      </x:c>
      <x:c r="M816" t="n">
        <x:v>2014</x:v>
      </x:c>
      <x:c r="N816" s="20" t="n">
        <x:v>41913</x:v>
      </x:c>
    </x:row>
    <x:row r="817" ht="18" customHeight="1">
      <x:c r="A817" t="str">
        <x:v>CA-2014-151995</x:v>
      </x:c>
      <x:c r="B817" s="18" t="n">
        <x:v>41925</x:v>
      </x:c>
      <x:c r="C817" t="str">
        <x:v>ZC-21910</x:v>
      </x:c>
      <x:c r="D817" t="str">
        <x:v>Zuschuss Carroll</x:v>
      </x:c>
      <x:c r="E817" t="str">
        <x:v>Consumer</x:v>
      </x:c>
      <x:c r="F817" t="str">
        <x:v>West</x:v>
      </x:c>
      <x:c r="G817" t="str">
        <x:v>Office Supplies</x:v>
      </x:c>
      <x:c r="H817" t="str">
        <x:v>Appliances</x:v>
      </x:c>
      <x:c r="I817" s="22" t="n">
        <x:v>213.92</x:v>
      </x:c>
      <x:c r="J817" s="24" t="n">
        <x:v>4</x:v>
      </x:c>
      <x:c r="K817" s="26" t="n">
        <x:v>0</x:v>
      </x:c>
      <x:c r="L817" s="22" t="n">
        <x:v>62.03679999999997</x:v>
      </x:c>
      <x:c r="M817" t="n">
        <x:v>2014</x:v>
      </x:c>
      <x:c r="N817" s="20" t="n">
        <x:v>41913</x:v>
      </x:c>
    </x:row>
    <x:row r="818" ht="18" customHeight="1">
      <x:c r="A818" t="str">
        <x:v>CA-2014-151995</x:v>
      </x:c>
      <x:c r="B818" s="18" t="n">
        <x:v>41925</x:v>
      </x:c>
      <x:c r="C818" t="str">
        <x:v>ZC-21910</x:v>
      </x:c>
      <x:c r="D818" t="str">
        <x:v>Zuschuss Carroll</x:v>
      </x:c>
      <x:c r="E818" t="str">
        <x:v>Consumer</x:v>
      </x:c>
      <x:c r="F818" t="str">
        <x:v>West</x:v>
      </x:c>
      <x:c r="G818" t="str">
        <x:v>Technology</x:v>
      </x:c>
      <x:c r="H818" t="str">
        <x:v>Accessories</x:v>
      </x:c>
      <x:c r="I818" s="22" t="n">
        <x:v>25.78</x:v>
      </x:c>
      <x:c r="J818" s="24" t="n">
        <x:v>2</x:v>
      </x:c>
      <x:c r="K818" s="26" t="n">
        <x:v>0</x:v>
      </x:c>
      <x:c r="L818" s="22" t="n">
        <x:v>2.5779999999999994</x:v>
      </x:c>
      <x:c r="M818" t="n">
        <x:v>2014</x:v>
      </x:c>
      <x:c r="N818" s="20" t="n">
        <x:v>41913</x:v>
      </x:c>
    </x:row>
    <x:row r="819" ht="18" customHeight="1">
      <x:c r="A819" t="str">
        <x:v>CA-2017-143686</x:v>
      </x:c>
      <x:c r="B819" s="18" t="n">
        <x:v>42869</x:v>
      </x:c>
      <x:c r="C819" t="str">
        <x:v>PJ-19015</x:v>
      </x:c>
      <x:c r="D819" t="str">
        <x:v>Pauline Johnson</x:v>
      </x:c>
      <x:c r="E819" t="str">
        <x:v>Consumer</x:v>
      </x:c>
      <x:c r="F819" t="str">
        <x:v>West</x:v>
      </x:c>
      <x:c r="G819" t="str">
        <x:v>Furniture</x:v>
      </x:c>
      <x:c r="H819" t="str">
        <x:v>Furnishings</x:v>
      </x:c>
      <x:c r="I819" s="22" t="n">
        <x:v>18.28</x:v>
      </x:c>
      <x:c r="J819" s="24" t="n">
        <x:v>2</x:v>
      </x:c>
      <x:c r="K819" s="26" t="n">
        <x:v>0</x:v>
      </x:c>
      <x:c r="L819" s="22" t="n">
        <x:v>6.215199999999999</x:v>
      </x:c>
      <x:c r="M819" t="n">
        <x:v>2017</x:v>
      </x:c>
      <x:c r="N819" s="20" t="n">
        <x:v>42856</x:v>
      </x:c>
    </x:row>
    <x:row r="820" ht="18" customHeight="1">
      <x:c r="A820" t="str">
        <x:v>CA-2017-143686</x:v>
      </x:c>
      <x:c r="B820" s="18" t="n">
        <x:v>42869</x:v>
      </x:c>
      <x:c r="C820" t="str">
        <x:v>PJ-19015</x:v>
      </x:c>
      <x:c r="D820" t="str">
        <x:v>Pauline Johnson</x:v>
      </x:c>
      <x:c r="E820" t="str">
        <x:v>Consumer</x:v>
      </x:c>
      <x:c r="F820" t="str">
        <x:v>West</x:v>
      </x:c>
      <x:c r="G820" t="str">
        <x:v>Technology</x:v>
      </x:c>
      <x:c r="H820" t="str">
        <x:v>Accessories</x:v>
      </x:c>
      <x:c r="I820" s="22" t="n">
        <x:v>1399.93</x:v>
      </x:c>
      <x:c r="J820" s="24" t="n">
        <x:v>7</x:v>
      </x:c>
      <x:c r="K820" s="26" t="n">
        <x:v>0</x:v>
      </x:c>
      <x:c r="L820" s="22" t="n">
        <x:v>601.9699</x:v>
      </x:c>
      <x:c r="M820" t="n">
        <x:v>2017</x:v>
      </x:c>
      <x:c r="N820" s="20" t="n">
        <x:v>42856</x:v>
      </x:c>
    </x:row>
    <x:row r="821" ht="18" customHeight="1">
      <x:c r="A821" t="str">
        <x:v>CA-2015-106565</x:v>
      </x:c>
      <x:c r="B821" s="18" t="n">
        <x:v>42083</x:v>
      </x:c>
      <x:c r="C821" t="str">
        <x:v>BW-11110</x:v>
      </x:c>
      <x:c r="D821" t="str">
        <x:v>Bart Watters</x:v>
      </x:c>
      <x:c r="E821" t="str">
        <x:v>Corporate</x:v>
      </x:c>
      <x:c r="F821" t="str">
        <x:v>Central</x:v>
      </x:c>
      <x:c r="G821" t="str">
        <x:v>Office Supplies</x:v>
      </x:c>
      <x:c r="H821" t="str">
        <x:v>Paper</x:v>
      </x:c>
      <x:c r="I821" s="22" t="n">
        <x:v>51.84</x:v>
      </x:c>
      <x:c r="J821" s="24" t="n">
        <x:v>8</x:v>
      </x:c>
      <x:c r="K821" s="26" t="n">
        <x:v>0</x:v>
      </x:c>
      <x:c r="L821" s="22" t="n">
        <x:v>24.883200000000002</x:v>
      </x:c>
      <x:c r="M821" t="n">
        <x:v>2015</x:v>
      </x:c>
      <x:c r="N821" s="20" t="n">
        <x:v>42064</x:v>
      </x:c>
    </x:row>
    <x:row r="822" ht="18" customHeight="1">
      <x:c r="A822" t="str">
        <x:v>CA-2016-149370</x:v>
      </x:c>
      <x:c r="B822" s="18" t="n">
        <x:v>42628</x:v>
      </x:c>
      <x:c r="C822" t="str">
        <x:v>DB-13210</x:v>
      </x:c>
      <x:c r="D822" t="str">
        <x:v>Dean Braden</x:v>
      </x:c>
      <x:c r="E822" t="str">
        <x:v>Consumer</x:v>
      </x:c>
      <x:c r="F822" t="str">
        <x:v>East</x:v>
      </x:c>
      <x:c r="G822" t="str">
        <x:v>Office Supplies</x:v>
      </x:c>
      <x:c r="H822" t="str">
        <x:v>Paper</x:v>
      </x:c>
      <x:c r="I822" s="22" t="n">
        <x:v>5.344</x:v>
      </x:c>
      <x:c r="J822" s="24" t="n">
        <x:v>1</x:v>
      </x:c>
      <x:c r="K822" s="26" t="n">
        <x:v>0.2</x:v>
      </x:c>
      <x:c r="L822" s="22" t="n">
        <x:v>1.8703999999999998</x:v>
      </x:c>
      <x:c r="M822" t="n">
        <x:v>2016</x:v>
      </x:c>
      <x:c r="N822" s="20" t="n">
        <x:v>42614</x:v>
      </x:c>
    </x:row>
    <x:row r="823" ht="18" customHeight="1">
      <x:c r="A823" t="str">
        <x:v>CA-2014-140858</x:v>
      </x:c>
      <x:c r="B823" s="18" t="n">
        <x:v>41818</x:v>
      </x:c>
      <x:c r="C823" t="str">
        <x:v>CA-12775</x:v>
      </x:c>
      <x:c r="D823" t="str">
        <x:v>Cynthia Arntzen</x:v>
      </x:c>
      <x:c r="E823" t="str">
        <x:v>Consumer</x:v>
      </x:c>
      <x:c r="F823" t="str">
        <x:v>East</x:v>
      </x:c>
      <x:c r="G823" t="str">
        <x:v>Office Supplies</x:v>
      </x:c>
      <x:c r="H823" t="str">
        <x:v>Paper</x:v>
      </x:c>
      <x:c r="I823" s="22" t="n">
        <x:v>41.47200000000001</x:v>
      </x:c>
      <x:c r="J823" s="24" t="n">
        <x:v>8</x:v>
      </x:c>
      <x:c r="K823" s="26" t="n">
        <x:v>0.2</x:v>
      </x:c>
      <x:c r="L823" s="22" t="n">
        <x:v>14.5152</x:v>
      </x:c>
      <x:c r="M823" t="n">
        <x:v>2014</x:v>
      </x:c>
      <x:c r="N823" s="20" t="n">
        <x:v>41791</x:v>
      </x:c>
    </x:row>
    <x:row r="824" ht="18" customHeight="1">
      <x:c r="A824" t="str">
        <x:v>CA-2014-140858</x:v>
      </x:c>
      <x:c r="B824" s="18" t="n">
        <x:v>41818</x:v>
      </x:c>
      <x:c r="C824" t="str">
        <x:v>CA-12775</x:v>
      </x:c>
      <x:c r="D824" t="str">
        <x:v>Cynthia Arntzen</x:v>
      </x:c>
      <x:c r="E824" t="str">
        <x:v>Consumer</x:v>
      </x:c>
      <x:c r="F824" t="str">
        <x:v>East</x:v>
      </x:c>
      <x:c r="G824" t="str">
        <x:v>Office Supplies</x:v>
      </x:c>
      <x:c r="H824" t="str">
        <x:v>Binders</x:v>
      </x:c>
      <x:c r="I824" s="22" t="n">
        <x:v>3.168000000000001</x:v>
      </x:c>
      <x:c r="J824" s="24" t="n">
        <x:v>3</x:v>
      </x:c>
      <x:c r="K824" s="26" t="n">
        <x:v>0.7</x:v>
      </x:c>
      <x:c r="L824" s="22" t="n">
        <x:v>-2.4288</x:v>
      </x:c>
      <x:c r="M824" t="n">
        <x:v>2014</x:v>
      </x:c>
      <x:c r="N824" s="20" t="n">
        <x:v>41791</x:v>
      </x:c>
    </x:row>
    <x:row r="825" ht="18" customHeight="1">
      <x:c r="A825" t="str">
        <x:v>CA-2014-140858</x:v>
      </x:c>
      <x:c r="B825" s="18" t="n">
        <x:v>41818</x:v>
      </x:c>
      <x:c r="C825" t="str">
        <x:v>CA-12775</x:v>
      </x:c>
      <x:c r="D825" t="str">
        <x:v>Cynthia Arntzen</x:v>
      </x:c>
      <x:c r="E825" t="str">
        <x:v>Consumer</x:v>
      </x:c>
      <x:c r="F825" t="str">
        <x:v>East</x:v>
      </x:c>
      <x:c r="G825" t="str">
        <x:v>Furniture</x:v>
      </x:c>
      <x:c r="H825" t="str">
        <x:v>Chairs</x:v>
      </x:c>
      <x:c r="I825" s="22" t="n">
        <x:v>1228.465</x:v>
      </x:c>
      <x:c r="J825" s="24" t="n">
        <x:v>5</x:v>
      </x:c>
      <x:c r="K825" s="26" t="n">
        <x:v>0.3</x:v>
      </x:c>
      <x:c r="L825" s="22" t="n">
        <x:v>0</x:v>
      </x:c>
      <x:c r="M825" t="n">
        <x:v>2014</x:v>
      </x:c>
      <x:c r="N825" s="20" t="n">
        <x:v>41791</x:v>
      </x:c>
    </x:row>
    <x:row r="826" ht="18" customHeight="1">
      <x:c r="A826" t="str">
        <x:v>CA-2014-140858</x:v>
      </x:c>
      <x:c r="B826" s="18" t="n">
        <x:v>41818</x:v>
      </x:c>
      <x:c r="C826" t="str">
        <x:v>CA-12775</x:v>
      </x:c>
      <x:c r="D826" t="str">
        <x:v>Cynthia Arntzen</x:v>
      </x:c>
      <x:c r="E826" t="str">
        <x:v>Consumer</x:v>
      </x:c>
      <x:c r="F826" t="str">
        <x:v>East</x:v>
      </x:c>
      <x:c r="G826" t="str">
        <x:v>Office Supplies</x:v>
      </x:c>
      <x:c r="H826" t="str">
        <x:v>Binders</x:v>
      </x:c>
      <x:c r="I826" s="22" t="n">
        <x:v>31.086000000000006</x:v>
      </x:c>
      <x:c r="J826" s="24" t="n">
        <x:v>3</x:v>
      </x:c>
      <x:c r="K826" s="26" t="n">
        <x:v>0.7</x:v>
      </x:c>
      <x:c r="L826" s="22" t="n">
        <x:v>-22.79639999999999</x:v>
      </x:c>
      <x:c r="M826" t="n">
        <x:v>2014</x:v>
      </x:c>
      <x:c r="N826" s="20" t="n">
        <x:v>41791</x:v>
      </x:c>
    </x:row>
    <x:row r="827" ht="18" customHeight="1">
      <x:c r="A827" t="str">
        <x:v>CA-2014-140858</x:v>
      </x:c>
      <x:c r="B827" s="18" t="n">
        <x:v>41818</x:v>
      </x:c>
      <x:c r="C827" t="str">
        <x:v>CA-12775</x:v>
      </x:c>
      <x:c r="D827" t="str">
        <x:v>Cynthia Arntzen</x:v>
      </x:c>
      <x:c r="E827" t="str">
        <x:v>Consumer</x:v>
      </x:c>
      <x:c r="F827" t="str">
        <x:v>East</x:v>
      </x:c>
      <x:c r="G827" t="str">
        <x:v>Office Supplies</x:v>
      </x:c>
      <x:c r="H827" t="str">
        <x:v>Paper</x:v>
      </x:c>
      <x:c r="I827" s="22" t="n">
        <x:v>335.52</x:v>
      </x:c>
      <x:c r="J827" s="24" t="n">
        <x:v>4</x:v>
      </x:c>
      <x:c r="K827" s="26" t="n">
        <x:v>0.2</x:v>
      </x:c>
      <x:c r="L827" s="22" t="n">
        <x:v>117.43199999999999</x:v>
      </x:c>
      <x:c r="M827" t="n">
        <x:v>2014</x:v>
      </x:c>
      <x:c r="N827" s="20" t="n">
        <x:v>41791</x:v>
      </x:c>
    </x:row>
    <x:row r="828" ht="18" customHeight="1">
      <x:c r="A828" t="str">
        <x:v>CA-2017-101434</x:v>
      </x:c>
      <x:c r="B828" s="18" t="n">
        <x:v>42906</x:v>
      </x:c>
      <x:c r="C828" t="str">
        <x:v>TR-21325</x:v>
      </x:c>
      <x:c r="D828" t="str">
        <x:v>Toby Ritter</x:v>
      </x:c>
      <x:c r="E828" t="str">
        <x:v>Consumer</x:v>
      </x:c>
      <x:c r="F828" t="str">
        <x:v>East</x:v>
      </x:c>
      <x:c r="G828" t="str">
        <x:v>Technology</x:v>
      </x:c>
      <x:c r="H828" t="str">
        <x:v>Accessories</x:v>
      </x:c>
      <x:c r="I828" s="22" t="n">
        <x:v>239.96999999999997</x:v>
      </x:c>
      <x:c r="J828" s="24" t="n">
        <x:v>3</x:v>
      </x:c>
      <x:c r="K828" s="26" t="n">
        <x:v>0</x:v>
      </x:c>
      <x:c r="L828" s="22" t="n">
        <x:v>71.99099999999999</x:v>
      </x:c>
      <x:c r="M828" t="n">
        <x:v>2017</x:v>
      </x:c>
      <x:c r="N828" s="20" t="n">
        <x:v>42887</x:v>
      </x:c>
    </x:row>
    <x:row r="829" ht="18" customHeight="1">
      <x:c r="A829" t="str">
        <x:v>CA-2017-101434</x:v>
      </x:c>
      <x:c r="B829" s="18" t="n">
        <x:v>42906</x:v>
      </x:c>
      <x:c r="C829" t="str">
        <x:v>TR-21325</x:v>
      </x:c>
      <x:c r="D829" t="str">
        <x:v>Toby Ritter</x:v>
      </x:c>
      <x:c r="E829" t="str">
        <x:v>Consumer</x:v>
      </x:c>
      <x:c r="F829" t="str">
        <x:v>East</x:v>
      </x:c>
      <x:c r="G829" t="str">
        <x:v>Office Supplies</x:v>
      </x:c>
      <x:c r="H829" t="str">
        <x:v>Labels</x:v>
      </x:c>
      <x:c r="I829" s="22" t="n">
        <x:v>9.82</x:v>
      </x:c>
      <x:c r="J829" s="24" t="n">
        <x:v>2</x:v>
      </x:c>
      <x:c r="K829" s="26" t="n">
        <x:v>0</x:v>
      </x:c>
      <x:c r="L829" s="22" t="n">
        <x:v>4.8118</x:v>
      </x:c>
      <x:c r="M829" t="n">
        <x:v>2017</x:v>
      </x:c>
      <x:c r="N829" s="20" t="n">
        <x:v>42887</x:v>
      </x:c>
    </x:row>
    <x:row r="830" ht="18" customHeight="1">
      <x:c r="A830" t="str">
        <x:v>US-2014-102071</x:v>
      </x:c>
      <x:c r="B830" s="18" t="n">
        <x:v>41768</x:v>
      </x:c>
      <x:c r="C830" t="str">
        <x:v>PG-18820</x:v>
      </x:c>
      <x:c r="D830" t="str">
        <x:v>Patrick Gardner</x:v>
      </x:c>
      <x:c r="E830" t="str">
        <x:v>Consumer</x:v>
      </x:c>
      <x:c r="F830" t="str">
        <x:v>West</x:v>
      </x:c>
      <x:c r="G830" t="str">
        <x:v>Technology</x:v>
      </x:c>
      <x:c r="H830" t="str">
        <x:v>Accessories</x:v>
      </x:c>
      <x:c r="I830" s="22" t="n">
        <x:v>67.8</x:v>
      </x:c>
      <x:c r="J830" s="24" t="n">
        <x:v>4</x:v>
      </x:c>
      <x:c r="K830" s="26" t="n">
        <x:v>0</x:v>
      </x:c>
      <x:c r="L830" s="22" t="n">
        <x:v>4.067999999999998</x:v>
      </x:c>
      <x:c r="M830" t="n">
        <x:v>2014</x:v>
      </x:c>
      <x:c r="N830" s="20" t="n">
        <x:v>41760</x:v>
      </x:c>
    </x:row>
    <x:row r="831" ht="18" customHeight="1">
      <x:c r="A831" t="str">
        <x:v>US-2014-102071</x:v>
      </x:c>
      <x:c r="B831" s="18" t="n">
        <x:v>41768</x:v>
      </x:c>
      <x:c r="C831" t="str">
        <x:v>PG-18820</x:v>
      </x:c>
      <x:c r="D831" t="str">
        <x:v>Patrick Gardner</x:v>
      </x:c>
      <x:c r="E831" t="str">
        <x:v>Consumer</x:v>
      </x:c>
      <x:c r="F831" t="str">
        <x:v>West</x:v>
      </x:c>
      <x:c r="G831" t="str">
        <x:v>Technology</x:v>
      </x:c>
      <x:c r="H831" t="str">
        <x:v>Accessories</x:v>
      </x:c>
      <x:c r="I831" s="22" t="n">
        <x:v>167.97</x:v>
      </x:c>
      <x:c r="J831" s="24" t="n">
        <x:v>3</x:v>
      </x:c>
      <x:c r="K831" s="26" t="n">
        <x:v>0</x:v>
      </x:c>
      <x:c r="L831" s="22" t="n">
        <x:v>40.31280000000001</x:v>
      </x:c>
      <x:c r="M831" t="n">
        <x:v>2014</x:v>
      </x:c>
      <x:c r="N831" s="20" t="n">
        <x:v>41760</x:v>
      </x:c>
    </x:row>
    <x:row r="832" ht="18" customHeight="1">
      <x:c r="A832" t="str">
        <x:v>CA-2017-126956</x:v>
      </x:c>
      <x:c r="B832" s="18" t="n">
        <x:v>42968</x:v>
      </x:c>
      <x:c r="C832" t="str">
        <x:v>GT-14710</x:v>
      </x:c>
      <x:c r="D832" t="str">
        <x:v>Greg Tran</x:v>
      </x:c>
      <x:c r="E832" t="str">
        <x:v>Consumer</x:v>
      </x:c>
      <x:c r="F832" t="str">
        <x:v>Central</x:v>
      </x:c>
      <x:c r="G832" t="str">
        <x:v>Office Supplies</x:v>
      </x:c>
      <x:c r="H832" t="str">
        <x:v>Fasteners</x:v>
      </x:c>
      <x:c r="I832" s="22" t="n">
        <x:v>35</x:v>
      </x:c>
      <x:c r="J832" s="24" t="n">
        <x:v>7</x:v>
      </x:c>
      <x:c r="K832" s="26" t="n">
        <x:v>0</x:v>
      </x:c>
      <x:c r="L832" s="22" t="n">
        <x:v>16.8</x:v>
      </x:c>
      <x:c r="M832" t="n">
        <x:v>2017</x:v>
      </x:c>
      <x:c r="N832" s="20" t="n">
        <x:v>42948</x:v>
      </x:c>
    </x:row>
    <x:row r="833" ht="18" customHeight="1">
      <x:c r="A833" t="str">
        <x:v>CA-2017-126956</x:v>
      </x:c>
      <x:c r="B833" s="18" t="n">
        <x:v>42968</x:v>
      </x:c>
      <x:c r="C833" t="str">
        <x:v>GT-14710</x:v>
      </x:c>
      <x:c r="D833" t="str">
        <x:v>Greg Tran</x:v>
      </x:c>
      <x:c r="E833" t="str">
        <x:v>Consumer</x:v>
      </x:c>
      <x:c r="F833" t="str">
        <x:v>Central</x:v>
      </x:c>
      <x:c r="G833" t="str">
        <x:v>Office Supplies</x:v>
      </x:c>
      <x:c r="H833" t="str">
        <x:v>Supplies</x:v>
      </x:c>
      <x:c r="I833" s="22" t="n">
        <x:v>37.24</x:v>
      </x:c>
      <x:c r="J833" s="24" t="n">
        <x:v>4</x:v>
      </x:c>
      <x:c r="K833" s="26" t="n">
        <x:v>0</x:v>
      </x:c>
      <x:c r="L833" s="22" t="n">
        <x:v>10.799599999999998</x:v>
      </x:c>
      <x:c r="M833" t="n">
        <x:v>2017</x:v>
      </x:c>
      <x:c r="N833" s="20" t="n">
        <x:v>42948</x:v>
      </x:c>
    </x:row>
    <x:row r="834" ht="18" customHeight="1">
      <x:c r="A834" t="str">
        <x:v>CA-2017-126956</x:v>
      </x:c>
      <x:c r="B834" s="18" t="n">
        <x:v>42968</x:v>
      </x:c>
      <x:c r="C834" t="str">
        <x:v>GT-14710</x:v>
      </x:c>
      <x:c r="D834" t="str">
        <x:v>Greg Tran</x:v>
      </x:c>
      <x:c r="E834" t="str">
        <x:v>Consumer</x:v>
      </x:c>
      <x:c r="F834" t="str">
        <x:v>Central</x:v>
      </x:c>
      <x:c r="G834" t="str">
        <x:v>Office Supplies</x:v>
      </x:c>
      <x:c r="H834" t="str">
        <x:v>Envelopes</x:v>
      </x:c>
      <x:c r="I834" s="22" t="n">
        <x:v>15.28</x:v>
      </x:c>
      <x:c r="J834" s="24" t="n">
        <x:v>2</x:v>
      </x:c>
      <x:c r="K834" s="26" t="n">
        <x:v>0</x:v>
      </x:c>
      <x:c r="L834" s="22" t="n">
        <x:v>7.4872</x:v>
      </x:c>
      <x:c r="M834" t="n">
        <x:v>2017</x:v>
      </x:c>
      <x:c r="N834" s="20" t="n">
        <x:v>42948</x:v>
      </x:c>
    </x:row>
    <x:row r="835" ht="18" customHeight="1">
      <x:c r="A835" t="str">
        <x:v>CA-2017-129462</x:v>
      </x:c>
      <x:c r="B835" s="18" t="n">
        <x:v>42902</x:v>
      </x:c>
      <x:c r="C835" t="str">
        <x:v>JE-15745</x:v>
      </x:c>
      <x:c r="D835" t="str">
        <x:v>Joel Eaton</x:v>
      </x:c>
      <x:c r="E835" t="str">
        <x:v>Consumer</x:v>
      </x:c>
      <x:c r="F835" t="str">
        <x:v>South</x:v>
      </x:c>
      <x:c r="G835" t="str">
        <x:v>Furniture</x:v>
      </x:c>
      <x:c r="H835" t="str">
        <x:v>Chairs</x:v>
      </x:c>
      <x:c r="I835" s="22" t="n">
        <x:v>301.96</x:v>
      </x:c>
      <x:c r="J835" s="24" t="n">
        <x:v>2</x:v>
      </x:c>
      <x:c r="K835" s="26" t="n">
        <x:v>0</x:v>
      </x:c>
      <x:c r="L835" s="22" t="n">
        <x:v>90.58799999999997</x:v>
      </x:c>
      <x:c r="M835" t="n">
        <x:v>2017</x:v>
      </x:c>
      <x:c r="N835" s="20" t="n">
        <x:v>42887</x:v>
      </x:c>
    </x:row>
    <x:row r="836" ht="18" customHeight="1">
      <x:c r="A836" t="str">
        <x:v>CA-2017-129462</x:v>
      </x:c>
      <x:c r="B836" s="18" t="n">
        <x:v>42902</x:v>
      </x:c>
      <x:c r="C836" t="str">
        <x:v>JE-15745</x:v>
      </x:c>
      <x:c r="D836" t="str">
        <x:v>Joel Eaton</x:v>
      </x:c>
      <x:c r="E836" t="str">
        <x:v>Consumer</x:v>
      </x:c>
      <x:c r="F836" t="str">
        <x:v>South</x:v>
      </x:c>
      <x:c r="G836" t="str">
        <x:v>Office Supplies</x:v>
      </x:c>
      <x:c r="H836" t="str">
        <x:v>Appliances</x:v>
      </x:c>
      <x:c r="I836" s="22" t="n">
        <x:v>180.66</x:v>
      </x:c>
      <x:c r="J836" s="24" t="n">
        <x:v>3</x:v>
      </x:c>
      <x:c r="K836" s="26" t="n">
        <x:v>0</x:v>
      </x:c>
      <x:c r="L836" s="22" t="n">
        <x:v>50.58480000000001</x:v>
      </x:c>
      <x:c r="M836" t="n">
        <x:v>2017</x:v>
      </x:c>
      <x:c r="N836" s="20" t="n">
        <x:v>42887</x:v>
      </x:c>
    </x:row>
    <x:row r="837" ht="18" customHeight="1">
      <x:c r="A837" t="str">
        <x:v>CA-2017-129462</x:v>
      </x:c>
      <x:c r="B837" s="18" t="n">
        <x:v>42902</x:v>
      </x:c>
      <x:c r="C837" t="str">
        <x:v>JE-15745</x:v>
      </x:c>
      <x:c r="D837" t="str">
        <x:v>Joel Eaton</x:v>
      </x:c>
      <x:c r="E837" t="str">
        <x:v>Consumer</x:v>
      </x:c>
      <x:c r="F837" t="str">
        <x:v>South</x:v>
      </x:c>
      <x:c r="G837" t="str">
        <x:v>Technology</x:v>
      </x:c>
      <x:c r="H837" t="str">
        <x:v>Phones</x:v>
      </x:c>
      <x:c r="I837" s="22" t="n">
        <x:v>191.98</x:v>
      </x:c>
      <x:c r="J837" s="24" t="n">
        <x:v>2</x:v>
      </x:c>
      <x:c r="K837" s="26" t="n">
        <x:v>0</x:v>
      </x:c>
      <x:c r="L837" s="22" t="n">
        <x:v>51.834599999999995</x:v>
      </x:c>
      <x:c r="M837" t="n">
        <x:v>2017</x:v>
      </x:c>
      <x:c r="N837" s="20" t="n">
        <x:v>42887</x:v>
      </x:c>
    </x:row>
    <x:row r="838" ht="18" customHeight="1">
      <x:c r="A838" t="str">
        <x:v>CA-2017-129462</x:v>
      </x:c>
      <x:c r="B838" s="18" t="n">
        <x:v>42902</x:v>
      </x:c>
      <x:c r="C838" t="str">
        <x:v>JE-15745</x:v>
      </x:c>
      <x:c r="D838" t="str">
        <x:v>Joel Eaton</x:v>
      </x:c>
      <x:c r="E838" t="str">
        <x:v>Consumer</x:v>
      </x:c>
      <x:c r="F838" t="str">
        <x:v>South</x:v>
      </x:c>
      <x:c r="G838" t="str">
        <x:v>Technology</x:v>
      </x:c>
      <x:c r="H838" t="str">
        <x:v>Phones</x:v>
      </x:c>
      <x:c r="I838" s="22" t="n">
        <x:v>65.99</x:v>
      </x:c>
      <x:c r="J838" s="24" t="n">
        <x:v>1</x:v>
      </x:c>
      <x:c r="K838" s="26" t="n">
        <x:v>0</x:v>
      </x:c>
      <x:c r="L838" s="22" t="n">
        <x:v>17.157400000000003</x:v>
      </x:c>
      <x:c r="M838" t="n">
        <x:v>2017</x:v>
      </x:c>
      <x:c r="N838" s="20" t="n">
        <x:v>42887</x:v>
      </x:c>
    </x:row>
    <x:row r="839" ht="18" customHeight="1">
      <x:c r="A839" t="str">
        <x:v>CA-2016-165316</x:v>
      </x:c>
      <x:c r="B839" s="18" t="n">
        <x:v>42574</x:v>
      </x:c>
      <x:c r="C839" t="str">
        <x:v>JB-15400</x:v>
      </x:c>
      <x:c r="D839" t="str">
        <x:v>Jennifer Braxton</x:v>
      </x:c>
      <x:c r="E839" t="str">
        <x:v>Corporate</x:v>
      </x:c>
      <x:c r="F839" t="str">
        <x:v>South</x:v>
      </x:c>
      <x:c r="G839" t="str">
        <x:v>Office Supplies</x:v>
      </x:c>
      <x:c r="H839" t="str">
        <x:v>Art</x:v>
      </x:c>
      <x:c r="I839" s="22" t="n">
        <x:v>35.216</x:v>
      </x:c>
      <x:c r="J839" s="24" t="n">
        <x:v>2</x:v>
      </x:c>
      <x:c r="K839" s="26" t="n">
        <x:v>0.2</x:v>
      </x:c>
      <x:c r="L839" s="22" t="n">
        <x:v>2.6411999999999995</x:v>
      </x:c>
      <x:c r="M839" t="n">
        <x:v>2016</x:v>
      </x:c>
      <x:c r="N839" s="20" t="n">
        <x:v>42552</x:v>
      </x:c>
    </x:row>
    <x:row r="840" ht="18" customHeight="1">
      <x:c r="A840" t="str">
        <x:v>CA-2016-165316</x:v>
      </x:c>
      <x:c r="B840" s="18" t="n">
        <x:v>42574</x:v>
      </x:c>
      <x:c r="C840" t="str">
        <x:v>JB-15400</x:v>
      </x:c>
      <x:c r="D840" t="str">
        <x:v>Jennifer Braxton</x:v>
      </x:c>
      <x:c r="E840" t="str">
        <x:v>Corporate</x:v>
      </x:c>
      <x:c r="F840" t="str">
        <x:v>South</x:v>
      </x:c>
      <x:c r="G840" t="str">
        <x:v>Office Supplies</x:v>
      </x:c>
      <x:c r="H840" t="str">
        <x:v>Appliances</x:v>
      </x:c>
      <x:c r="I840" s="22" t="n">
        <x:v>23.696</x:v>
      </x:c>
      <x:c r="J840" s="24" t="n">
        <x:v>2</x:v>
      </x:c>
      <x:c r="K840" s="26" t="n">
        <x:v>0.2</x:v>
      </x:c>
      <x:c r="L840" s="22" t="n">
        <x:v>6.5164</x:v>
      </x:c>
      <x:c r="M840" t="n">
        <x:v>2016</x:v>
      </x:c>
      <x:c r="N840" s="20" t="n">
        <x:v>42552</x:v>
      </x:c>
    </x:row>
    <x:row r="841" ht="18" customHeight="1">
      <x:c r="A841" t="str">
        <x:v>CA-2016-165316</x:v>
      </x:c>
      <x:c r="B841" s="18" t="n">
        <x:v>42574</x:v>
      </x:c>
      <x:c r="C841" t="str">
        <x:v>JB-15400</x:v>
      </x:c>
      <x:c r="D841" t="str">
        <x:v>Jennifer Braxton</x:v>
      </x:c>
      <x:c r="E841" t="str">
        <x:v>Corporate</x:v>
      </x:c>
      <x:c r="F841" t="str">
        <x:v>South</x:v>
      </x:c>
      <x:c r="G841" t="str">
        <x:v>Technology</x:v>
      </x:c>
      <x:c r="H841" t="str">
        <x:v>Machines</x:v>
      </x:c>
      <x:c r="I841" s="22" t="n">
        <x:v>265.475</x:v>
      </x:c>
      <x:c r="J841" s="24" t="n">
        <x:v>1</x:v>
      </x:c>
      <x:c r="K841" s="26" t="n">
        <x:v>0.5</x:v>
      </x:c>
      <x:c r="L841" s="22" t="n">
        <x:v>-111.49950000000007</x:v>
      </x:c>
      <x:c r="M841" t="n">
        <x:v>2016</x:v>
      </x:c>
      <x:c r="N841" s="20" t="n">
        <x:v>42552</x:v>
      </x:c>
    </x:row>
    <x:row r="842" ht="18" customHeight="1">
      <x:c r="A842" t="str">
        <x:v>US-2014-115987</x:v>
      </x:c>
      <x:c r="B842" s="18" t="n">
        <x:v>41890</x:v>
      </x:c>
      <x:c r="C842" t="str">
        <x:v>LH-17020</x:v>
      </x:c>
      <x:c r="D842" t="str">
        <x:v>Lisa Hazard</x:v>
      </x:c>
      <x:c r="E842" t="str">
        <x:v>Consumer</x:v>
      </x:c>
      <x:c r="F842" t="str">
        <x:v>Central</x:v>
      </x:c>
      <x:c r="G842" t="str">
        <x:v>Office Supplies</x:v>
      </x:c>
      <x:c r="H842" t="str">
        <x:v>Binders</x:v>
      </x:c>
      <x:c r="I842" s="22" t="n">
        <x:v>51.18399999999998</x:v>
      </x:c>
      <x:c r="J842" s="24" t="n">
        <x:v>4</x:v>
      </x:c>
      <x:c r="K842" s="26" t="n">
        <x:v>0.8</x:v>
      </x:c>
      <x:c r="L842" s="22" t="n">
        <x:v>-79.33519999999999</x:v>
      </x:c>
      <x:c r="M842" t="n">
        <x:v>2014</x:v>
      </x:c>
      <x:c r="N842" s="20" t="n">
        <x:v>41883</x:v>
      </x:c>
    </x:row>
    <x:row r="843" ht="18" customHeight="1">
      <x:c r="A843" t="str">
        <x:v>US-2017-156083</x:v>
      </x:c>
      <x:c r="B843" s="18" t="n">
        <x:v>43043</x:v>
      </x:c>
      <x:c r="C843" t="str">
        <x:v>JL-15175</x:v>
      </x:c>
      <x:c r="D843" t="str">
        <x:v>James Lanier</x:v>
      </x:c>
      <x:c r="E843" t="str">
        <x:v>Home Office</x:v>
      </x:c>
      <x:c r="F843" t="str">
        <x:v>South</x:v>
      </x:c>
      <x:c r="G843" t="str">
        <x:v>Office Supplies</x:v>
      </x:c>
      <x:c r="H843" t="str">
        <x:v>Paper</x:v>
      </x:c>
      <x:c r="I843" s="22" t="n">
        <x:v>9.664000000000001</x:v>
      </x:c>
      <x:c r="J843" s="24" t="n">
        <x:v>2</x:v>
      </x:c>
      <x:c r="K843" s="26" t="n">
        <x:v>0.2</x:v>
      </x:c>
      <x:c r="L843" s="22" t="n">
        <x:v>3.2615999999999996</x:v>
      </x:c>
      <x:c r="M843" t="n">
        <x:v>2017</x:v>
      </x:c>
      <x:c r="N843" s="20" t="n">
        <x:v>43040</x:v>
      </x:c>
    </x:row>
    <x:row r="844" ht="18" customHeight="1">
      <x:c r="A844" t="str">
        <x:v>US-2016-137547</x:v>
      </x:c>
      <x:c r="B844" s="18" t="n">
        <x:v>42436</x:v>
      </x:c>
      <x:c r="C844" t="str">
        <x:v>EB-13705</x:v>
      </x:c>
      <x:c r="D844" t="str">
        <x:v>Ed Braxton</x:v>
      </x:c>
      <x:c r="E844" t="str">
        <x:v>Corporate</x:v>
      </x:c>
      <x:c r="F844" t="str">
        <x:v>Central</x:v>
      </x:c>
      <x:c r="G844" t="str">
        <x:v>Technology</x:v>
      </x:c>
      <x:c r="H844" t="str">
        <x:v>Phones</x:v>
      </x:c>
      <x:c r="I844" s="22" t="n">
        <x:v>21.072</x:v>
      </x:c>
      <x:c r="J844" s="24" t="n">
        <x:v>3</x:v>
      </x:c>
      <x:c r="K844" s="26" t="n">
        <x:v>0.2</x:v>
      </x:c>
      <x:c r="L844" s="22" t="n">
        <x:v>1.5804</x:v>
      </x:c>
      <x:c r="M844" t="n">
        <x:v>2016</x:v>
      </x:c>
      <x:c r="N844" s="20" t="n">
        <x:v>42430</x:v>
      </x:c>
    </x:row>
    <x:row r="845" ht="18" customHeight="1">
      <x:c r="A845" t="str">
        <x:v>CA-2015-100454</x:v>
      </x:c>
      <x:c r="B845" s="18" t="n">
        <x:v>42328</x:v>
      </x:c>
      <x:c r="C845" t="str">
        <x:v>BM-11650</x:v>
      </x:c>
      <x:c r="D845" t="str">
        <x:v>Brian Moss</x:v>
      </x:c>
      <x:c r="E845" t="str">
        <x:v>Corporate</x:v>
      </x:c>
      <x:c r="F845" t="str">
        <x:v>East</x:v>
      </x:c>
      <x:c r="G845" t="str">
        <x:v>Office Supplies</x:v>
      </x:c>
      <x:c r="H845" t="str">
        <x:v>Art</x:v>
      </x:c>
      <x:c r="I845" s="22" t="n">
        <x:v>60.449999999999996</x:v>
      </x:c>
      <x:c r="J845" s="24" t="n">
        <x:v>3</x:v>
      </x:c>
      <x:c r="K845" s="26" t="n">
        <x:v>0</x:v>
      </x:c>
      <x:c r="L845" s="22" t="n">
        <x:v>16.3215</x:v>
      </x:c>
      <x:c r="M845" t="n">
        <x:v>2015</x:v>
      </x:c>
      <x:c r="N845" s="20" t="n">
        <x:v>42309</x:v>
      </x:c>
    </x:row>
    <x:row r="846" ht="18" customHeight="1">
      <x:c r="A846" t="str">
        <x:v>CA-2015-100454</x:v>
      </x:c>
      <x:c r="B846" s="18" t="n">
        <x:v>42328</x:v>
      </x:c>
      <x:c r="C846" t="str">
        <x:v>BM-11650</x:v>
      </x:c>
      <x:c r="D846" t="str">
        <x:v>Brian Moss</x:v>
      </x:c>
      <x:c r="E846" t="str">
        <x:v>Corporate</x:v>
      </x:c>
      <x:c r="F846" t="str">
        <x:v>East</x:v>
      </x:c>
      <x:c r="G846" t="str">
        <x:v>Office Supplies</x:v>
      </x:c>
      <x:c r="H846" t="str">
        <x:v>Art</x:v>
      </x:c>
      <x:c r="I846" s="22" t="n">
        <x:v>11.52</x:v>
      </x:c>
      <x:c r="J846" s="24" t="n">
        <x:v>4</x:v>
      </x:c>
      <x:c r="K846" s="26" t="n">
        <x:v>0</x:v>
      </x:c>
      <x:c r="L846" s="22" t="n">
        <x:v>3.3407999999999998</x:v>
      </x:c>
      <x:c r="M846" t="n">
        <x:v>2015</x:v>
      </x:c>
      <x:c r="N846" s="20" t="n">
        <x:v>42309</x:v>
      </x:c>
    </x:row>
    <x:row r="847" ht="18" customHeight="1">
      <x:c r="A847" t="str">
        <x:v>CA-2015-100454</x:v>
      </x:c>
      <x:c r="B847" s="18" t="n">
        <x:v>42328</x:v>
      </x:c>
      <x:c r="C847" t="str">
        <x:v>BM-11650</x:v>
      </x:c>
      <x:c r="D847" t="str">
        <x:v>Brian Moss</x:v>
      </x:c>
      <x:c r="E847" t="str">
        <x:v>Corporate</x:v>
      </x:c>
      <x:c r="F847" t="str">
        <x:v>East</x:v>
      </x:c>
      <x:c r="G847" t="str">
        <x:v>Furniture</x:v>
      </x:c>
      <x:c r="H847" t="str">
        <x:v>Bookcases</x:v>
      </x:c>
      <x:c r="I847" s="22" t="n">
        <x:v>186.048</x:v>
      </x:c>
      <x:c r="J847" s="24" t="n">
        <x:v>4</x:v>
      </x:c>
      <x:c r="K847" s="26" t="n">
        <x:v>0.2</x:v>
      </x:c>
      <x:c r="L847" s="22" t="n">
        <x:v>9.302400000000006</x:v>
      </x:c>
      <x:c r="M847" t="n">
        <x:v>2015</x:v>
      </x:c>
      <x:c r="N847" s="20" t="n">
        <x:v>42309</x:v>
      </x:c>
    </x:row>
    <x:row r="848" ht="18" customHeight="1">
      <x:c r="A848" t="str">
        <x:v>CA-2016-161669</x:v>
      </x:c>
      <x:c r="B848" s="18" t="n">
        <x:v>42681</x:v>
      </x:c>
      <x:c r="C848" t="str">
        <x:v>EM-14095</x:v>
      </x:c>
      <x:c r="D848" t="str">
        <x:v>Eudokia Martin</x:v>
      </x:c>
      <x:c r="E848" t="str">
        <x:v>Corporate</x:v>
      </x:c>
      <x:c r="F848" t="str">
        <x:v>West</x:v>
      </x:c>
      <x:c r="G848" t="str">
        <x:v>Office Supplies</x:v>
      </x:c>
      <x:c r="H848" t="str">
        <x:v>Binders</x:v>
      </x:c>
      <x:c r="I848" s="22" t="n">
        <x:v>37.44</x:v>
      </x:c>
      <x:c r="J848" s="24" t="n">
        <x:v>4</x:v>
      </x:c>
      <x:c r="K848" s="26" t="n">
        <x:v>0.2</x:v>
      </x:c>
      <x:c r="L848" s="22" t="n">
        <x:v>11.699999999999996</x:v>
      </x:c>
      <x:c r="M848" t="n">
        <x:v>2016</x:v>
      </x:c>
      <x:c r="N848" s="20" t="n">
        <x:v>42675</x:v>
      </x:c>
    </x:row>
    <x:row r="849" ht="18" customHeight="1">
      <x:c r="A849" t="str">
        <x:v>CA-2016-161669</x:v>
      </x:c>
      <x:c r="B849" s="18" t="n">
        <x:v>42681</x:v>
      </x:c>
      <x:c r="C849" t="str">
        <x:v>EM-14095</x:v>
      </x:c>
      <x:c r="D849" t="str">
        <x:v>Eudokia Martin</x:v>
      </x:c>
      <x:c r="E849" t="str">
        <x:v>Corporate</x:v>
      </x:c>
      <x:c r="F849" t="str">
        <x:v>West</x:v>
      </x:c>
      <x:c r="G849" t="str">
        <x:v>Office Supplies</x:v>
      </x:c>
      <x:c r="H849" t="str">
        <x:v>Binders</x:v>
      </x:c>
      <x:c r="I849" s="22" t="n">
        <x:v>26.976</x:v>
      </x:c>
      <x:c r="J849" s="24" t="n">
        <x:v>4</x:v>
      </x:c>
      <x:c r="K849" s="26" t="n">
        <x:v>0.2</x:v>
      </x:c>
      <x:c r="L849" s="22" t="n">
        <x:v>8.767199999999999</x:v>
      </x:c>
      <x:c r="M849" t="n">
        <x:v>2016</x:v>
      </x:c>
      <x:c r="N849" s="20" t="n">
        <x:v>42675</x:v>
      </x:c>
    </x:row>
    <x:row r="850" ht="18" customHeight="1">
      <x:c r="A850" t="str">
        <x:v>CA-2016-161669</x:v>
      </x:c>
      <x:c r="B850" s="18" t="n">
        <x:v>42681</x:v>
      </x:c>
      <x:c r="C850" t="str">
        <x:v>EM-14095</x:v>
      </x:c>
      <x:c r="D850" t="str">
        <x:v>Eudokia Martin</x:v>
      </x:c>
      <x:c r="E850" t="str">
        <x:v>Corporate</x:v>
      </x:c>
      <x:c r="F850" t="str">
        <x:v>West</x:v>
      </x:c>
      <x:c r="G850" t="str">
        <x:v>Office Supplies</x:v>
      </x:c>
      <x:c r="H850" t="str">
        <x:v>Supplies</x:v>
      </x:c>
      <x:c r="I850" s="22" t="n">
        <x:v>11.36</x:v>
      </x:c>
      <x:c r="J850" s="24" t="n">
        <x:v>2</x:v>
      </x:c>
      <x:c r="K850" s="26" t="n">
        <x:v>0</x:v>
      </x:c>
      <x:c r="L850" s="22" t="n">
        <x:v>3.2943999999999996</x:v>
      </x:c>
      <x:c r="M850" t="n">
        <x:v>2016</x:v>
      </x:c>
      <x:c r="N850" s="20" t="n">
        <x:v>42675</x:v>
      </x:c>
    </x:row>
    <x:row r="851" ht="18" customHeight="1">
      <x:c r="A851" t="str">
        <x:v>CA-2016-161669</x:v>
      </x:c>
      <x:c r="B851" s="18" t="n">
        <x:v>42681</x:v>
      </x:c>
      <x:c r="C851" t="str">
        <x:v>EM-14095</x:v>
      </x:c>
      <x:c r="D851" t="str">
        <x:v>Eudokia Martin</x:v>
      </x:c>
      <x:c r="E851" t="str">
        <x:v>Corporate</x:v>
      </x:c>
      <x:c r="F851" t="str">
        <x:v>West</x:v>
      </x:c>
      <x:c r="G851" t="str">
        <x:v>Office Supplies</x:v>
      </x:c>
      <x:c r="H851" t="str">
        <x:v>Labels</x:v>
      </x:c>
      <x:c r="I851" s="22" t="n">
        <x:v>14.62</x:v>
      </x:c>
      <x:c r="J851" s="24" t="n">
        <x:v>2</x:v>
      </x:c>
      <x:c r="K851" s="26" t="n">
        <x:v>0</x:v>
      </x:c>
      <x:c r="L851" s="22" t="n">
        <x:v>6.8713999999999995</x:v>
      </x:c>
      <x:c r="M851" t="n">
        <x:v>2016</x:v>
      </x:c>
      <x:c r="N851" s="20" t="n">
        <x:v>42675</x:v>
      </x:c>
    </x:row>
    <x:row r="852" ht="18" customHeight="1">
      <x:c r="A852" t="str">
        <x:v>CA-2015-114300</x:v>
      </x:c>
      <x:c r="B852" s="18" t="n">
        <x:v>42290</x:v>
      </x:c>
      <x:c r="C852" t="str">
        <x:v>AF-10885</x:v>
      </x:c>
      <x:c r="D852" t="str">
        <x:v>Art Foster</x:v>
      </x:c>
      <x:c r="E852" t="str">
        <x:v>Consumer</x:v>
      </x:c>
      <x:c r="F852" t="str">
        <x:v>South</x:v>
      </x:c>
      <x:c r="G852" t="str">
        <x:v>Technology</x:v>
      </x:c>
      <x:c r="H852" t="str">
        <x:v>Phones</x:v>
      </x:c>
      <x:c r="I852" s="22" t="n">
        <x:v>83.72</x:v>
      </x:c>
      <x:c r="J852" s="24" t="n">
        <x:v>7</x:v>
      </x:c>
      <x:c r="K852" s="26" t="n">
        <x:v>0</x:v>
      </x:c>
      <x:c r="L852" s="22" t="n">
        <x:v>23.441600000000005</x:v>
      </x:c>
      <x:c r="M852" t="n">
        <x:v>2015</x:v>
      </x:c>
      <x:c r="N852" s="20" t="n">
        <x:v>42278</x:v>
      </x:c>
    </x:row>
    <x:row r="853" ht="18" customHeight="1">
      <x:c r="A853" t="str">
        <x:v>CA-2015-114300</x:v>
      </x:c>
      <x:c r="B853" s="18" t="n">
        <x:v>42290</x:v>
      </x:c>
      <x:c r="C853" t="str">
        <x:v>AF-10885</x:v>
      </x:c>
      <x:c r="D853" t="str">
        <x:v>Art Foster</x:v>
      </x:c>
      <x:c r="E853" t="str">
        <x:v>Consumer</x:v>
      </x:c>
      <x:c r="F853" t="str">
        <x:v>South</x:v>
      </x:c>
      <x:c r="G853" t="str">
        <x:v>Furniture</x:v>
      </x:c>
      <x:c r="H853" t="str">
        <x:v>Chairs</x:v>
      </x:c>
      <x:c r="I853" s="22" t="n">
        <x:v>287.94</x:v>
      </x:c>
      <x:c r="J853" s="24" t="n">
        <x:v>3</x:v>
      </x:c>
      <x:c r="K853" s="26" t="n">
        <x:v>0</x:v>
      </x:c>
      <x:c r="L853" s="22" t="n">
        <x:v>77.74380000000002</x:v>
      </x:c>
      <x:c r="M853" t="n">
        <x:v>2015</x:v>
      </x:c>
      <x:c r="N853" s="20" t="n">
        <x:v>42278</x:v>
      </x:c>
    </x:row>
    <x:row r="854" ht="18" customHeight="1">
      <x:c r="A854" t="str">
        <x:v>CA-2017-107503</x:v>
      </x:c>
      <x:c r="B854" s="18" t="n">
        <x:v>42736</x:v>
      </x:c>
      <x:c r="C854" t="str">
        <x:v>GA-14725</x:v>
      </x:c>
      <x:c r="D854" t="str">
        <x:v>Guy Armstrong</x:v>
      </x:c>
      <x:c r="E854" t="str">
        <x:v>Consumer</x:v>
      </x:c>
      <x:c r="F854" t="str">
        <x:v>East</x:v>
      </x:c>
      <x:c r="G854" t="str">
        <x:v>Furniture</x:v>
      </x:c>
      <x:c r="H854" t="str">
        <x:v>Furnishings</x:v>
      </x:c>
      <x:c r="I854" s="22" t="n">
        <x:v>48.896</x:v>
      </x:c>
      <x:c r="J854" s="24" t="n">
        <x:v>4</x:v>
      </x:c>
      <x:c r="K854" s="26" t="n">
        <x:v>0.2</x:v>
      </x:c>
      <x:c r="L854" s="22" t="n">
        <x:v>8.556799999999999</x:v>
      </x:c>
      <x:c r="M854" t="n">
        <x:v>2017</x:v>
      </x:c>
      <x:c r="N854" s="20" t="n">
        <x:v>42736</x:v>
      </x:c>
    </x:row>
    <x:row r="855" ht="18" customHeight="1">
      <x:c r="A855" t="str">
        <x:v>CA-2014-107755</x:v>
      </x:c>
      <x:c r="B855" s="18" t="n">
        <x:v>41677</x:v>
      </x:c>
      <x:c r="C855" t="str">
        <x:v>CK-12760</x:v>
      </x:c>
      <x:c r="D855" t="str">
        <x:v>Cyma Kinney</x:v>
      </x:c>
      <x:c r="E855" t="str">
        <x:v>Corporate</x:v>
      </x:c>
      <x:c r="F855" t="str">
        <x:v>East</x:v>
      </x:c>
      <x:c r="G855" t="str">
        <x:v>Technology</x:v>
      </x:c>
      <x:c r="H855" t="str">
        <x:v>Accessories</x:v>
      </x:c>
      <x:c r="I855" s="22" t="n">
        <x:v>115.36</x:v>
      </x:c>
      <x:c r="J855" s="24" t="n">
        <x:v>7</x:v>
      </x:c>
      <x:c r="K855" s="26" t="n">
        <x:v>0</x:v>
      </x:c>
      <x:c r="L855" s="22" t="n">
        <x:v>49.60480000000001</x:v>
      </x:c>
      <x:c r="M855" t="n">
        <x:v>2014</x:v>
      </x:c>
      <x:c r="N855" s="20" t="n">
        <x:v>41671</x:v>
      </x:c>
    </x:row>
    <x:row r="856" ht="18" customHeight="1">
      <x:c r="A856" t="str">
        <x:v>CA-2016-152534</x:v>
      </x:c>
      <x:c r="B856" s="18" t="n">
        <x:v>42541</x:v>
      </x:c>
      <x:c r="C856" t="str">
        <x:v>DP-13105</x:v>
      </x:c>
      <x:c r="D856" t="str">
        <x:v>Dave Poirier</x:v>
      </x:c>
      <x:c r="E856" t="str">
        <x:v>Corporate</x:v>
      </x:c>
      <x:c r="F856" t="str">
        <x:v>West</x:v>
      </x:c>
      <x:c r="G856" t="str">
        <x:v>Office Supplies</x:v>
      </x:c>
      <x:c r="H856" t="str">
        <x:v>Art</x:v>
      </x:c>
      <x:c r="I856" s="22" t="n">
        <x:v>5.16</x:v>
      </x:c>
      <x:c r="J856" s="24" t="n">
        <x:v>2</x:v>
      </x:c>
      <x:c r="K856" s="26" t="n">
        <x:v>0</x:v>
      </x:c>
      <x:c r="L856" s="22" t="n">
        <x:v>1.3416000000000001</x:v>
      </x:c>
      <x:c r="M856" t="n">
        <x:v>2016</x:v>
      </x:c>
      <x:c r="N856" s="20" t="n">
        <x:v>42522</x:v>
      </x:c>
    </x:row>
    <x:row r="857" ht="18" customHeight="1">
      <x:c r="A857" t="str">
        <x:v>CA-2016-152534</x:v>
      </x:c>
      <x:c r="B857" s="18" t="n">
        <x:v>42541</x:v>
      </x:c>
      <x:c r="C857" t="str">
        <x:v>DP-13105</x:v>
      </x:c>
      <x:c r="D857" t="str">
        <x:v>Dave Poirier</x:v>
      </x:c>
      <x:c r="E857" t="str">
        <x:v>Corporate</x:v>
      </x:c>
      <x:c r="F857" t="str">
        <x:v>West</x:v>
      </x:c>
      <x:c r="G857" t="str">
        <x:v>Office Supplies</x:v>
      </x:c>
      <x:c r="H857" t="str">
        <x:v>Paper</x:v>
      </x:c>
      <x:c r="I857" s="22" t="n">
        <x:v>38.88</x:v>
      </x:c>
      <x:c r="J857" s="24" t="n">
        <x:v>6</x:v>
      </x:c>
      <x:c r="K857" s="26" t="n">
        <x:v>0</x:v>
      </x:c>
      <x:c r="L857" s="22" t="n">
        <x:v>18.6624</x:v>
      </x:c>
      <x:c r="M857" t="n">
        <x:v>2016</x:v>
      </x:c>
      <x:c r="N857" s="20" t="n">
        <x:v>42522</x:v>
      </x:c>
    </x:row>
    <x:row r="858" ht="18" customHeight="1">
      <x:c r="A858" t="str">
        <x:v>CA-2016-113747</x:v>
      </x:c>
      <x:c r="B858" s="18" t="n">
        <x:v>42518</x:v>
      </x:c>
      <x:c r="C858" t="str">
        <x:v>VD-21670</x:v>
      </x:c>
      <x:c r="D858" t="str">
        <x:v>Valerie Dominguez</x:v>
      </x:c>
      <x:c r="E858" t="str">
        <x:v>Consumer</x:v>
      </x:c>
      <x:c r="F858" t="str">
        <x:v>South</x:v>
      </x:c>
      <x:c r="G858" t="str">
        <x:v>Office Supplies</x:v>
      </x:c>
      <x:c r="H858" t="str">
        <x:v>Art</x:v>
      </x:c>
      <x:c r="I858" s="22" t="n">
        <x:v>185.88</x:v>
      </x:c>
      <x:c r="J858" s="24" t="n">
        <x:v>6</x:v>
      </x:c>
      <x:c r="K858" s="26" t="n">
        <x:v>0</x:v>
      </x:c>
      <x:c r="L858" s="22" t="n">
        <x:v>50.187599999999996</x:v>
      </x:c>
      <x:c r="M858" t="n">
        <x:v>2016</x:v>
      </x:c>
      <x:c r="N858" s="20" t="n">
        <x:v>42491</x:v>
      </x:c>
    </x:row>
    <x:row r="859" ht="18" customHeight="1">
      <x:c r="A859" t="str">
        <x:v>CA-2016-123274</x:v>
      </x:c>
      <x:c r="B859" s="18" t="n">
        <x:v>42419</x:v>
      </x:c>
      <x:c r="C859" t="str">
        <x:v>GT-14710</x:v>
      </x:c>
      <x:c r="D859" t="str">
        <x:v>Greg Tran</x:v>
      </x:c>
      <x:c r="E859" t="str">
        <x:v>Consumer</x:v>
      </x:c>
      <x:c r="F859" t="str">
        <x:v>East</x:v>
      </x:c>
      <x:c r="G859" t="str">
        <x:v>Furniture</x:v>
      </x:c>
      <x:c r="H859" t="str">
        <x:v>Furnishings</x:v>
      </x:c>
      <x:c r="I859" s="22" t="n">
        <x:v>44.46</x:v>
      </x:c>
      <x:c r="J859" s="24" t="n">
        <x:v>2</x:v>
      </x:c>
      <x:c r="K859" s="26" t="n">
        <x:v>0</x:v>
      </x:c>
      <x:c r="L859" s="22" t="n">
        <x:v>14.671799999999998</x:v>
      </x:c>
      <x:c r="M859" t="n">
        <x:v>2016</x:v>
      </x:c>
      <x:c r="N859" s="20" t="n">
        <x:v>42401</x:v>
      </x:c>
    </x:row>
    <x:row r="860" ht="18" customHeight="1">
      <x:c r="A860" t="str">
        <x:v>CA-2016-123274</x:v>
      </x:c>
      <x:c r="B860" s="18" t="n">
        <x:v>42419</x:v>
      </x:c>
      <x:c r="C860" t="str">
        <x:v>GT-14710</x:v>
      </x:c>
      <x:c r="D860" t="str">
        <x:v>Greg Tran</x:v>
      </x:c>
      <x:c r="E860" t="str">
        <x:v>Consumer</x:v>
      </x:c>
      <x:c r="F860" t="str">
        <x:v>East</x:v>
      </x:c>
      <x:c r="G860" t="str">
        <x:v>Office Supplies</x:v>
      </x:c>
      <x:c r="H860" t="str">
        <x:v>Storage</x:v>
      </x:c>
      <x:c r="I860" s="22" t="n">
        <x:v>242.94</x:v>
      </x:c>
      <x:c r="J860" s="24" t="n">
        <x:v>3</x:v>
      </x:c>
      <x:c r="K860" s="26" t="n">
        <x:v>0</x:v>
      </x:c>
      <x:c r="L860" s="22" t="n">
        <x:v>9.71759999999999</x:v>
      </x:c>
      <x:c r="M860" t="n">
        <x:v>2016</x:v>
      </x:c>
      <x:c r="N860" s="20" t="n">
        <x:v>42401</x:v>
      </x:c>
    </x:row>
    <x:row r="861" ht="18" customHeight="1">
      <x:c r="A861" t="str">
        <x:v>CA-2014-125612</x:v>
      </x:c>
      <x:c r="B861" s="18" t="n">
        <x:v>41854</x:v>
      </x:c>
      <x:c r="C861" t="str">
        <x:v>BK-11260</x:v>
      </x:c>
      <x:c r="D861" t="str">
        <x:v>Berenike Kampe</x:v>
      </x:c>
      <x:c r="E861" t="str">
        <x:v>Consumer</x:v>
      </x:c>
      <x:c r="F861" t="str">
        <x:v>East</x:v>
      </x:c>
      <x:c r="G861" t="str">
        <x:v>Office Supplies</x:v>
      </x:c>
      <x:c r="H861" t="str">
        <x:v>Paper</x:v>
      </x:c>
      <x:c r="I861" s="22" t="n">
        <x:v>39.96</x:v>
      </x:c>
      <x:c r="J861" s="24" t="n">
        <x:v>2</x:v>
      </x:c>
      <x:c r="K861" s="26" t="n">
        <x:v>0</x:v>
      </x:c>
      <x:c r="L861" s="22" t="n">
        <x:v>18.7812</x:v>
      </x:c>
      <x:c r="M861" t="n">
        <x:v>2014</x:v>
      </x:c>
      <x:c r="N861" s="20" t="n">
        <x:v>41852</x:v>
      </x:c>
    </x:row>
    <x:row r="862" ht="18" customHeight="1">
      <x:c r="A862" t="str">
        <x:v>CA-2014-125612</x:v>
      </x:c>
      <x:c r="B862" s="18" t="n">
        <x:v>41854</x:v>
      </x:c>
      <x:c r="C862" t="str">
        <x:v>BK-11260</x:v>
      </x:c>
      <x:c r="D862" t="str">
        <x:v>Berenike Kampe</x:v>
      </x:c>
      <x:c r="E862" t="str">
        <x:v>Consumer</x:v>
      </x:c>
      <x:c r="F862" t="str">
        <x:v>East</x:v>
      </x:c>
      <x:c r="G862" t="str">
        <x:v>Office Supplies</x:v>
      </x:c>
      <x:c r="H862" t="str">
        <x:v>Supplies</x:v>
      </x:c>
      <x:c r="I862" s="22" t="n">
        <x:v>102.30000000000001</x:v>
      </x:c>
      <x:c r="J862" s="24" t="n">
        <x:v>10</x:v>
      </x:c>
      <x:c r="K862" s="26" t="n">
        <x:v>0</x:v>
      </x:c>
      <x:c r="L862" s="22" t="n">
        <x:v>26.598000000000006</x:v>
      </x:c>
      <x:c r="M862" t="n">
        <x:v>2014</x:v>
      </x:c>
      <x:c r="N862" s="20" t="n">
        <x:v>41852</x:v>
      </x:c>
    </x:row>
    <x:row r="863" ht="18" customHeight="1">
      <x:c r="A863" t="str">
        <x:v>CA-2014-125612</x:v>
      </x:c>
      <x:c r="B863" s="18" t="n">
        <x:v>41854</x:v>
      </x:c>
      <x:c r="C863" t="str">
        <x:v>BK-11260</x:v>
      </x:c>
      <x:c r="D863" t="str">
        <x:v>Berenike Kampe</x:v>
      </x:c>
      <x:c r="E863" t="str">
        <x:v>Consumer</x:v>
      </x:c>
      <x:c r="F863" t="str">
        <x:v>East</x:v>
      </x:c>
      <x:c r="G863" t="str">
        <x:v>Office Supplies</x:v>
      </x:c>
      <x:c r="H863" t="str">
        <x:v>Storage</x:v>
      </x:c>
      <x:c r="I863" s="22" t="n">
        <x:v>21.36</x:v>
      </x:c>
      <x:c r="J863" s="24" t="n">
        <x:v>2</x:v>
      </x:c>
      <x:c r="K863" s="26" t="n">
        <x:v>0</x:v>
      </x:c>
      <x:c r="L863" s="22" t="n">
        <x:v>5.767200000000001</x:v>
      </x:c>
      <x:c r="M863" t="n">
        <x:v>2014</x:v>
      </x:c>
      <x:c r="N863" s="20" t="n">
        <x:v>41852</x:v>
      </x:c>
    </x:row>
    <x:row r="864" ht="18" customHeight="1">
      <x:c r="A864" t="str">
        <x:v>CA-2017-161984</x:v>
      </x:c>
      <x:c r="B864" s="18" t="n">
        <x:v>42835</x:v>
      </x:c>
      <x:c r="C864" t="str">
        <x:v>SJ-20125</x:v>
      </x:c>
      <x:c r="D864" t="str">
        <x:v>Sanjit Jacobs</x:v>
      </x:c>
      <x:c r="E864" t="str">
        <x:v>Home Office</x:v>
      </x:c>
      <x:c r="F864" t="str">
        <x:v>East</x:v>
      </x:c>
      <x:c r="G864" t="str">
        <x:v>Office Supplies</x:v>
      </x:c>
      <x:c r="H864" t="str">
        <x:v>Paper</x:v>
      </x:c>
      <x:c r="I864" s="22" t="n">
        <x:v>7.61</x:v>
      </x:c>
      <x:c r="J864" s="24" t="n">
        <x:v>1</x:v>
      </x:c>
      <x:c r="K864" s="26" t="n">
        <x:v>0</x:v>
      </x:c>
      <x:c r="L864" s="22" t="n">
        <x:v>3.5766999999999998</x:v>
      </x:c>
      <x:c r="M864" t="n">
        <x:v>2017</x:v>
      </x:c>
      <x:c r="N864" s="20" t="n">
        <x:v>42826</x:v>
      </x:c>
    </x:row>
    <x:row r="865" ht="18" customHeight="1">
      <x:c r="A865" t="str">
        <x:v>CA-2017-161984</x:v>
      </x:c>
      <x:c r="B865" s="18" t="n">
        <x:v>42835</x:v>
      </x:c>
      <x:c r="C865" t="str">
        <x:v>SJ-20125</x:v>
      </x:c>
      <x:c r="D865" t="str">
        <x:v>Sanjit Jacobs</x:v>
      </x:c>
      <x:c r="E865" t="str">
        <x:v>Home Office</x:v>
      </x:c>
      <x:c r="F865" t="str">
        <x:v>East</x:v>
      </x:c>
      <x:c r="G865" t="str">
        <x:v>Office Supplies</x:v>
      </x:c>
      <x:c r="H865" t="str">
        <x:v>Fasteners</x:v>
      </x:c>
      <x:c r="I865" s="22" t="n">
        <x:v>7.16</x:v>
      </x:c>
      <x:c r="J865" s="24" t="n">
        <x:v>2</x:v>
      </x:c>
      <x:c r="K865" s="26" t="n">
        <x:v>0</x:v>
      </x:c>
      <x:c r="L865" s="22" t="n">
        <x:v>3.58</x:v>
      </x:c>
      <x:c r="M865" t="n">
        <x:v>2017</x:v>
      </x:c>
      <x:c r="N865" s="20" t="n">
        <x:v>42826</x:v>
      </x:c>
    </x:row>
    <x:row r="866" ht="18" customHeight="1">
      <x:c r="A866" t="str">
        <x:v>CA-2014-133851</x:v>
      </x:c>
      <x:c r="B866" s="18" t="n">
        <x:v>41799</x:v>
      </x:c>
      <x:c r="C866" t="str">
        <x:v>CM-12445</x:v>
      </x:c>
      <x:c r="D866" t="str">
        <x:v>Chuck Magee</x:v>
      </x:c>
      <x:c r="E866" t="str">
        <x:v>Consumer</x:v>
      </x:c>
      <x:c r="F866" t="str">
        <x:v>West</x:v>
      </x:c>
      <x:c r="G866" t="str">
        <x:v>Office Supplies</x:v>
      </x:c>
      <x:c r="H866" t="str">
        <x:v>Supplies</x:v>
      </x:c>
      <x:c r="I866" s="22" t="n">
        <x:v>7.36</x:v>
      </x:c>
      <x:c r="J866" s="24" t="n">
        <x:v>2</x:v>
      </x:c>
      <x:c r="K866" s="26" t="n">
        <x:v>0</x:v>
      </x:c>
      <x:c r="L866" s="22" t="n">
        <x:v>0.14719999999999978</x:v>
      </x:c>
      <x:c r="M866" t="n">
        <x:v>2014</x:v>
      </x:c>
      <x:c r="N866" s="20" t="n">
        <x:v>41791</x:v>
      </x:c>
    </x:row>
    <x:row r="867" ht="18" customHeight="1">
      <x:c r="A867" t="str">
        <x:v>CA-2014-133851</x:v>
      </x:c>
      <x:c r="B867" s="18" t="n">
        <x:v>41799</x:v>
      </x:c>
      <x:c r="C867" t="str">
        <x:v>CM-12445</x:v>
      </x:c>
      <x:c r="D867" t="str">
        <x:v>Chuck Magee</x:v>
      </x:c>
      <x:c r="E867" t="str">
        <x:v>Consumer</x:v>
      </x:c>
      <x:c r="F867" t="str">
        <x:v>West</x:v>
      </x:c>
      <x:c r="G867" t="str">
        <x:v>Office Supplies</x:v>
      </x:c>
      <x:c r="H867" t="str">
        <x:v>Art</x:v>
      </x:c>
      <x:c r="I867" s="22" t="n">
        <x:v>23.1</x:v>
      </x:c>
      <x:c r="J867" s="24" t="n">
        <x:v>2</x:v>
      </x:c>
      <x:c r="K867" s="26" t="n">
        <x:v>0</x:v>
      </x:c>
      <x:c r="L867" s="22" t="n">
        <x:v>10.626</x:v>
      </x:c>
      <x:c r="M867" t="n">
        <x:v>2014</x:v>
      </x:c>
      <x:c r="N867" s="20" t="n">
        <x:v>41791</x:v>
      </x:c>
    </x:row>
    <x:row r="868" ht="18" customHeight="1">
      <x:c r="A868" t="str">
        <x:v>CA-2016-134474</x:v>
      </x:c>
      <x:c r="B868" s="18" t="n">
        <x:v>42374</x:v>
      </x:c>
      <x:c r="C868" t="str">
        <x:v>AJ-10795</x:v>
      </x:c>
      <x:c r="D868" t="str">
        <x:v>Anthony Johnson</x:v>
      </x:c>
      <x:c r="E868" t="str">
        <x:v>Corporate</x:v>
      </x:c>
      <x:c r="F868" t="str">
        <x:v>South</x:v>
      </x:c>
      <x:c r="G868" t="str">
        <x:v>Technology</x:v>
      </x:c>
      <x:c r="H868" t="str">
        <x:v>Accessories</x:v>
      </x:c>
      <x:c r="I868" s="22" t="n">
        <x:v>191.472</x:v>
      </x:c>
      <x:c r="J868" s="24" t="n">
        <x:v>6</x:v>
      </x:c>
      <x:c r="K868" s="26" t="n">
        <x:v>0.2</x:v>
      </x:c>
      <x:c r="L868" s="22" t="n">
        <x:v>40.6878</x:v>
      </x:c>
      <x:c r="M868" t="n">
        <x:v>2016</x:v>
      </x:c>
      <x:c r="N868" s="20" t="n">
        <x:v>42370</x:v>
      </x:c>
    </x:row>
    <x:row r="869" ht="18" customHeight="1">
      <x:c r="A869" t="str">
        <x:v>CA-2016-134474</x:v>
      </x:c>
      <x:c r="B869" s="18" t="n">
        <x:v>42374</x:v>
      </x:c>
      <x:c r="C869" t="str">
        <x:v>AJ-10795</x:v>
      </x:c>
      <x:c r="D869" t="str">
        <x:v>Anthony Johnson</x:v>
      </x:c>
      <x:c r="E869" t="str">
        <x:v>Corporate</x:v>
      </x:c>
      <x:c r="F869" t="str">
        <x:v>South</x:v>
      </x:c>
      <x:c r="G869" t="str">
        <x:v>Office Supplies</x:v>
      </x:c>
      <x:c r="H869" t="str">
        <x:v>Art</x:v>
      </x:c>
      <x:c r="I869" s="22" t="n">
        <x:v>5.248</x:v>
      </x:c>
      <x:c r="J869" s="24" t="n">
        <x:v>2</x:v>
      </x:c>
      <x:c r="K869" s="26" t="n">
        <x:v>0.2</x:v>
      </x:c>
      <x:c r="L869" s="22" t="n">
        <x:v>0.5903999999999991</x:v>
      </x:c>
      <x:c r="M869" t="n">
        <x:v>2016</x:v>
      </x:c>
      <x:c r="N869" s="20" t="n">
        <x:v>42370</x:v>
      </x:c>
    </x:row>
    <x:row r="870" ht="18" customHeight="1">
      <x:c r="A870" t="str">
        <x:v>CA-2016-134474</x:v>
      </x:c>
      <x:c r="B870" s="18" t="n">
        <x:v>42374</x:v>
      </x:c>
      <x:c r="C870" t="str">
        <x:v>AJ-10795</x:v>
      </x:c>
      <x:c r="D870" t="str">
        <x:v>Anthony Johnson</x:v>
      </x:c>
      <x:c r="E870" t="str">
        <x:v>Corporate</x:v>
      </x:c>
      <x:c r="F870" t="str">
        <x:v>South</x:v>
      </x:c>
      <x:c r="G870" t="str">
        <x:v>Technology</x:v>
      </x:c>
      <x:c r="H870" t="str">
        <x:v>Phones</x:v>
      </x:c>
      <x:c r="I870" s="22" t="n">
        <x:v>59.184000000000005</x:v>
      </x:c>
      <x:c r="J870" s="24" t="n">
        <x:v>2</x:v>
      </x:c>
      <x:c r="K870" s="26" t="n">
        <x:v>0.2</x:v>
      </x:c>
      <x:c r="L870" s="22" t="n">
        <x:v>5.178600000000001</x:v>
      </x:c>
      <x:c r="M870" t="n">
        <x:v>2016</x:v>
      </x:c>
      <x:c r="N870" s="20" t="n">
        <x:v>42370</x:v>
      </x:c>
    </x:row>
    <x:row r="871" ht="18" customHeight="1">
      <x:c r="A871" t="str">
        <x:v>CA-2014-149020</x:v>
      </x:c>
      <x:c r="B871" s="18" t="n">
        <x:v>41649</x:v>
      </x:c>
      <x:c r="C871" t="str">
        <x:v>AJ-10780</x:v>
      </x:c>
      <x:c r="D871" t="str">
        <x:v>Anthony Jacobs</x:v>
      </x:c>
      <x:c r="E871" t="str">
        <x:v>Corporate</x:v>
      </x:c>
      <x:c r="F871" t="str">
        <x:v>South</x:v>
      </x:c>
      <x:c r="G871" t="str">
        <x:v>Office Supplies</x:v>
      </x:c>
      <x:c r="H871" t="str">
        <x:v>Labels</x:v>
      </x:c>
      <x:c r="I871" s="22" t="n">
        <x:v>2.89</x:v>
      </x:c>
      <x:c r="J871" s="24" t="n">
        <x:v>1</x:v>
      </x:c>
      <x:c r="K871" s="26" t="n">
        <x:v>0</x:v>
      </x:c>
      <x:c r="L871" s="22" t="n">
        <x:v>1.3583</x:v>
      </x:c>
      <x:c r="M871" t="n">
        <x:v>2014</x:v>
      </x:c>
      <x:c r="N871" s="20" t="n">
        <x:v>41640</x:v>
      </x:c>
    </x:row>
    <x:row r="872" ht="18" customHeight="1">
      <x:c r="A872" t="str">
        <x:v>CA-2014-149020</x:v>
      </x:c>
      <x:c r="B872" s="18" t="n">
        <x:v>41649</x:v>
      </x:c>
      <x:c r="C872" t="str">
        <x:v>AJ-10780</x:v>
      </x:c>
      <x:c r="D872" t="str">
        <x:v>Anthony Jacobs</x:v>
      </x:c>
      <x:c r="E872" t="str">
        <x:v>Corporate</x:v>
      </x:c>
      <x:c r="F872" t="str">
        <x:v>South</x:v>
      </x:c>
      <x:c r="G872" t="str">
        <x:v>Furniture</x:v>
      </x:c>
      <x:c r="H872" t="str">
        <x:v>Furnishings</x:v>
      </x:c>
      <x:c r="I872" s="22" t="n">
        <x:v>51.94</x:v>
      </x:c>
      <x:c r="J872" s="24" t="n">
        <x:v>1</x:v>
      </x:c>
      <x:c r="K872" s="26" t="n">
        <x:v>0</x:v>
      </x:c>
      <x:c r="L872" s="22" t="n">
        <x:v>21.2954</x:v>
      </x:c>
      <x:c r="M872" t="n">
        <x:v>2014</x:v>
      </x:c>
      <x:c r="N872" s="20" t="n">
        <x:v>41640</x:v>
      </x:c>
    </x:row>
    <x:row r="873" ht="18" customHeight="1">
      <x:c r="A873" t="str">
        <x:v>CA-2016-134362</x:v>
      </x:c>
      <x:c r="B873" s="18" t="n">
        <x:v>42642</x:v>
      </x:c>
      <x:c r="C873" t="str">
        <x:v>LS-16945</x:v>
      </x:c>
      <x:c r="D873" t="str">
        <x:v>Linda Southworth</x:v>
      </x:c>
      <x:c r="E873" t="str">
        <x:v>Corporate</x:v>
      </x:c>
      <x:c r="F873" t="str">
        <x:v>East</x:v>
      </x:c>
      <x:c r="G873" t="str">
        <x:v>Office Supplies</x:v>
      </x:c>
      <x:c r="H873" t="str">
        <x:v>Labels</x:v>
      </x:c>
      <x:c r="I873" s="22" t="n">
        <x:v>15.936000000000002</x:v>
      </x:c>
      <x:c r="J873" s="24" t="n">
        <x:v>4</x:v>
      </x:c>
      <x:c r="K873" s="26" t="n">
        <x:v>0.2</x:v>
      </x:c>
      <x:c r="L873" s="22" t="n">
        <x:v>5.1792</x:v>
      </x:c>
      <x:c r="M873" t="n">
        <x:v>2016</x:v>
      </x:c>
      <x:c r="N873" s="20" t="n">
        <x:v>42614</x:v>
      </x:c>
    </x:row>
    <x:row r="874" ht="18" customHeight="1">
      <x:c r="A874" t="str">
        <x:v>CA-2014-136742</x:v>
      </x:c>
      <x:c r="B874" s="18" t="n">
        <x:v>41735</x:v>
      </x:c>
      <x:c r="C874" t="str">
        <x:v>GP-14740</x:v>
      </x:c>
      <x:c r="D874" t="str">
        <x:v>Guy Phonely</x:v>
      </x:c>
      <x:c r="E874" t="str">
        <x:v>Corporate</x:v>
      </x:c>
      <x:c r="F874" t="str">
        <x:v>East</x:v>
      </x:c>
      <x:c r="G874" t="str">
        <x:v>Office Supplies</x:v>
      </x:c>
      <x:c r="H874" t="str">
        <x:v>Binders</x:v>
      </x:c>
      <x:c r="I874" s="22" t="n">
        <x:v>44.91000000000001</x:v>
      </x:c>
      <x:c r="J874" s="24" t="n">
        <x:v>6</x:v>
      </x:c>
      <x:c r="K874" s="26" t="n">
        <x:v>0.7</x:v>
      </x:c>
      <x:c r="L874" s="22" t="n">
        <x:v>-35.928</x:v>
      </x:c>
      <x:c r="M874" t="n">
        <x:v>2014</x:v>
      </x:c>
      <x:c r="N874" s="20" t="n">
        <x:v>41730</x:v>
      </x:c>
    </x:row>
    <x:row r="875" ht="18" customHeight="1">
      <x:c r="A875" t="str">
        <x:v>CA-2016-158099</x:v>
      </x:c>
      <x:c r="B875" s="18" t="n">
        <x:v>42616</x:v>
      </x:c>
      <x:c r="C875" t="str">
        <x:v>PK-18910</x:v>
      </x:c>
      <x:c r="D875" t="str">
        <x:v>Paul Knutson</x:v>
      </x:c>
      <x:c r="E875" t="str">
        <x:v>Home Office</x:v>
      </x:c>
      <x:c r="F875" t="str">
        <x:v>East</x:v>
      </x:c>
      <x:c r="G875" t="str">
        <x:v>Office Supplies</x:v>
      </x:c>
      <x:c r="H875" t="str">
        <x:v>Binders</x:v>
      </x:c>
      <x:c r="I875" s="22" t="n">
        <x:v>1141.4700000000003</x:v>
      </x:c>
      <x:c r="J875" s="24" t="n">
        <x:v>5</x:v>
      </x:c>
      <x:c r="K875" s="26" t="n">
        <x:v>0.7</x:v>
      </x:c>
      <x:c r="L875" s="22" t="n">
        <x:v>-760.9800000000002</x:v>
      </x:c>
      <x:c r="M875" t="n">
        <x:v>2016</x:v>
      </x:c>
      <x:c r="N875" s="20" t="n">
        <x:v>42614</x:v>
      </x:c>
    </x:row>
    <x:row r="876" ht="18" customHeight="1">
      <x:c r="A876" t="str">
        <x:v>CA-2016-158099</x:v>
      </x:c>
      <x:c r="B876" s="18" t="n">
        <x:v>42616</x:v>
      </x:c>
      <x:c r="C876" t="str">
        <x:v>PK-18910</x:v>
      </x:c>
      <x:c r="D876" t="str">
        <x:v>Paul Knutson</x:v>
      </x:c>
      <x:c r="E876" t="str">
        <x:v>Home Office</x:v>
      </x:c>
      <x:c r="F876" t="str">
        <x:v>East</x:v>
      </x:c>
      <x:c r="G876" t="str">
        <x:v>Technology</x:v>
      </x:c>
      <x:c r="H876" t="str">
        <x:v>Phones</x:v>
      </x:c>
      <x:c r="I876" s="22" t="n">
        <x:v>280.78200000000004</x:v>
      </x:c>
      <x:c r="J876" s="24" t="n">
        <x:v>3</x:v>
      </x:c>
      <x:c r="K876" s="26" t="n">
        <x:v>0.4</x:v>
      </x:c>
      <x:c r="L876" s="22" t="n">
        <x:v>-46.797000000000025</x:v>
      </x:c>
      <x:c r="M876" t="n">
        <x:v>2016</x:v>
      </x:c>
      <x:c r="N876" s="20" t="n">
        <x:v>42614</x:v>
      </x:c>
    </x:row>
    <x:row r="877" ht="18" customHeight="1">
      <x:c r="A877" t="str">
        <x:v>CA-2015-131128</x:v>
      </x:c>
      <x:c r="B877" s="18" t="n">
        <x:v>42296</x:v>
      </x:c>
      <x:c r="C877" t="str">
        <x:v>TB-21520</x:v>
      </x:c>
      <x:c r="D877" t="str">
        <x:v>Tracy Blumstein</x:v>
      </x:c>
      <x:c r="E877" t="str">
        <x:v>Consumer</x:v>
      </x:c>
      <x:c r="F877" t="str">
        <x:v>East</x:v>
      </x:c>
      <x:c r="G877" t="str">
        <x:v>Office Supplies</x:v>
      </x:c>
      <x:c r="H877" t="str">
        <x:v>Paper</x:v>
      </x:c>
      <x:c r="I877" s="22" t="n">
        <x:v>34.44</x:v>
      </x:c>
      <x:c r="J877" s="24" t="n">
        <x:v>3</x:v>
      </x:c>
      <x:c r="K877" s="26" t="n">
        <x:v>0</x:v>
      </x:c>
      <x:c r="L877" s="22" t="n">
        <x:v>17.22</x:v>
      </x:c>
      <x:c r="M877" t="n">
        <x:v>2015</x:v>
      </x:c>
      <x:c r="N877" s="20" t="n">
        <x:v>42278</x:v>
      </x:c>
    </x:row>
    <x:row r="878" ht="18" customHeight="1">
      <x:c r="A878" t="str">
        <x:v>CA-2014-148488</x:v>
      </x:c>
      <x:c r="B878" s="18" t="n">
        <x:v>41983</x:v>
      </x:c>
      <x:c r="C878" t="str">
        <x:v>SM-20005</x:v>
      </x:c>
      <x:c r="D878" t="str">
        <x:v>Sally Matthias</x:v>
      </x:c>
      <x:c r="E878" t="str">
        <x:v>Consumer</x:v>
      </x:c>
      <x:c r="F878" t="str">
        <x:v>East</x:v>
      </x:c>
      <x:c r="G878" t="str">
        <x:v>Office Supplies</x:v>
      </x:c>
      <x:c r="H878" t="str">
        <x:v>Paper</x:v>
      </x:c>
      <x:c r="I878" s="22" t="n">
        <x:v>11.36</x:v>
      </x:c>
      <x:c r="J878" s="24" t="n">
        <x:v>2</x:v>
      </x:c>
      <x:c r="K878" s="26" t="n">
        <x:v>0</x:v>
      </x:c>
      <x:c r="L878" s="22" t="n">
        <x:v>5.225599999999999</x:v>
      </x:c>
      <x:c r="M878" t="n">
        <x:v>2014</x:v>
      </x:c>
      <x:c r="N878" s="20" t="n">
        <x:v>41974</x:v>
      </x:c>
    </x:row>
    <x:row r="879" ht="18" customHeight="1">
      <x:c r="A879" t="str">
        <x:v>CA-2014-148488</x:v>
      </x:c>
      <x:c r="B879" s="18" t="n">
        <x:v>41983</x:v>
      </x:c>
      <x:c r="C879" t="str">
        <x:v>SM-20005</x:v>
      </x:c>
      <x:c r="D879" t="str">
        <x:v>Sally Matthias</x:v>
      </x:c>
      <x:c r="E879" t="str">
        <x:v>Consumer</x:v>
      </x:c>
      <x:c r="F879" t="str">
        <x:v>East</x:v>
      </x:c>
      <x:c r="G879" t="str">
        <x:v>Office Supplies</x:v>
      </x:c>
      <x:c r="H879" t="str">
        <x:v>Binders</x:v>
      </x:c>
      <x:c r="I879" s="22" t="n">
        <x:v>106.344</x:v>
      </x:c>
      <x:c r="J879" s="24" t="n">
        <x:v>7</x:v>
      </x:c>
      <x:c r="K879" s="26" t="n">
        <x:v>0.2</x:v>
      </x:c>
      <x:c r="L879" s="22" t="n">
        <x:v>37.2204</x:v>
      </x:c>
      <x:c r="M879" t="n">
        <x:v>2014</x:v>
      </x:c>
      <x:c r="N879" s="20" t="n">
        <x:v>41974</x:v>
      </x:c>
    </x:row>
    <x:row r="880" ht="18" customHeight="1">
      <x:c r="A880" t="str">
        <x:v>CA-2017-114636</x:v>
      </x:c>
      <x:c r="B880" s="18" t="n">
        <x:v>42972</x:v>
      </x:c>
      <x:c r="C880" t="str">
        <x:v>GA-14725</x:v>
      </x:c>
      <x:c r="D880" t="str">
        <x:v>Guy Armstrong</x:v>
      </x:c>
      <x:c r="E880" t="str">
        <x:v>Consumer</x:v>
      </x:c>
      <x:c r="F880" t="str">
        <x:v>South</x:v>
      </x:c>
      <x:c r="G880" t="str">
        <x:v>Office Supplies</x:v>
      </x:c>
      <x:c r="H880" t="str">
        <x:v>Paper</x:v>
      </x:c>
      <x:c r="I880" s="22" t="n">
        <x:v>192.16000000000003</x:v>
      </x:c>
      <x:c r="J880" s="24" t="n">
        <x:v>5</x:v>
      </x:c>
      <x:c r="K880" s="26" t="n">
        <x:v>0.2</x:v>
      </x:c>
      <x:c r="L880" s="22" t="n">
        <x:v>67.25599999999999</x:v>
      </x:c>
      <x:c r="M880" t="n">
        <x:v>2017</x:v>
      </x:c>
      <x:c r="N880" s="20" t="n">
        <x:v>42948</x:v>
      </x:c>
    </x:row>
    <x:row r="881" ht="18" customHeight="1">
      <x:c r="A881" t="str">
        <x:v>CA-2016-116736</x:v>
      </x:c>
      <x:c r="B881" s="18" t="n">
        <x:v>42386</x:v>
      </x:c>
      <x:c r="C881" t="str">
        <x:v>CC-12430</x:v>
      </x:c>
      <x:c r="D881" t="str">
        <x:v>Chuck Clark</x:v>
      </x:c>
      <x:c r="E881" t="str">
        <x:v>Home Office</x:v>
      </x:c>
      <x:c r="F881" t="str">
        <x:v>East</x:v>
      </x:c>
      <x:c r="G881" t="str">
        <x:v>Furniture</x:v>
      </x:c>
      <x:c r="H881" t="str">
        <x:v>Furnishings</x:v>
      </x:c>
      <x:c r="I881" s="22" t="n">
        <x:v>322.59000000000003</x:v>
      </x:c>
      <x:c r="J881" s="24" t="n">
        <x:v>3</x:v>
      </x:c>
      <x:c r="K881" s="26" t="n">
        <x:v>0</x:v>
      </x:c>
      <x:c r="L881" s="22" t="n">
        <x:v>64.518</x:v>
      </x:c>
      <x:c r="M881" t="n">
        <x:v>2016</x:v>
      </x:c>
      <x:c r="N881" s="20" t="n">
        <x:v>42370</x:v>
      </x:c>
    </x:row>
    <x:row r="882" ht="18" customHeight="1">
      <x:c r="A882" t="str">
        <x:v>CA-2016-116736</x:v>
      </x:c>
      <x:c r="B882" s="18" t="n">
        <x:v>42386</x:v>
      </x:c>
      <x:c r="C882" t="str">
        <x:v>CC-12430</x:v>
      </x:c>
      <x:c r="D882" t="str">
        <x:v>Chuck Clark</x:v>
      </x:c>
      <x:c r="E882" t="str">
        <x:v>Home Office</x:v>
      </x:c>
      <x:c r="F882" t="str">
        <x:v>East</x:v>
      </x:c>
      <x:c r="G882" t="str">
        <x:v>Technology</x:v>
      </x:c>
      <x:c r="H882" t="str">
        <x:v>Accessories</x:v>
      </x:c>
      <x:c r="I882" s="22" t="n">
        <x:v>29.99</x:v>
      </x:c>
      <x:c r="J882" s="24" t="n">
        <x:v>1</x:v>
      </x:c>
      <x:c r="K882" s="26" t="n">
        <x:v>0</x:v>
      </x:c>
      <x:c r="L882" s="22" t="n">
        <x:v>13.195600000000002</x:v>
      </x:c>
      <x:c r="M882" t="n">
        <x:v>2016</x:v>
      </x:c>
      <x:c r="N882" s="20" t="n">
        <x:v>42370</x:v>
      </x:c>
    </x:row>
    <x:row r="883" ht="18" customHeight="1">
      <x:c r="A883" t="str">
        <x:v>CA-2016-116736</x:v>
      </x:c>
      <x:c r="B883" s="18" t="n">
        <x:v>42386</x:v>
      </x:c>
      <x:c r="C883" t="str">
        <x:v>CC-12430</x:v>
      </x:c>
      <x:c r="D883" t="str">
        <x:v>Chuck Clark</x:v>
      </x:c>
      <x:c r="E883" t="str">
        <x:v>Home Office</x:v>
      </x:c>
      <x:c r="F883" t="str">
        <x:v>East</x:v>
      </x:c>
      <x:c r="G883" t="str">
        <x:v>Technology</x:v>
      </x:c>
      <x:c r="H883" t="str">
        <x:v>Accessories</x:v>
      </x:c>
      <x:c r="I883" s="22" t="n">
        <x:v>371.96999999999997</x:v>
      </x:c>
      <x:c r="J883" s="24" t="n">
        <x:v>3</x:v>
      </x:c>
      <x:c r="K883" s="26" t="n">
        <x:v>0</x:v>
      </x:c>
      <x:c r="L883" s="22" t="n">
        <x:v>66.95459999999997</x:v>
      </x:c>
      <x:c r="M883" t="n">
        <x:v>2016</x:v>
      </x:c>
      <x:c r="N883" s="20" t="n">
        <x:v>42370</x:v>
      </x:c>
    </x:row>
    <x:row r="884" ht="18" customHeight="1">
      <x:c r="A884" t="str">
        <x:v>US-2014-158638</x:v>
      </x:c>
      <x:c r="B884" s="18" t="n">
        <x:v>41899</x:v>
      </x:c>
      <x:c r="C884" t="str">
        <x:v>AG-10765</x:v>
      </x:c>
      <x:c r="D884" t="str">
        <x:v>Anthony Garverick</x:v>
      </x:c>
      <x:c r="E884" t="str">
        <x:v>Home Office</x:v>
      </x:c>
      <x:c r="F884" t="str">
        <x:v>East</x:v>
      </x:c>
      <x:c r="G884" t="str">
        <x:v>Office Supplies</x:v>
      </x:c>
      <x:c r="H884" t="str">
        <x:v>Binders</x:v>
      </x:c>
      <x:c r="I884" s="22" t="n">
        <x:v>5.892000000000001</x:v>
      </x:c>
      <x:c r="J884" s="24" t="n">
        <x:v>4</x:v>
      </x:c>
      <x:c r="K884" s="26" t="n">
        <x:v>0.7</x:v>
      </x:c>
      <x:c r="L884" s="22" t="n">
        <x:v>-4.1244</x:v>
      </x:c>
      <x:c r="M884" t="n">
        <x:v>2014</x:v>
      </x:c>
      <x:c r="N884" s="20" t="n">
        <x:v>41883</x:v>
      </x:c>
    </x:row>
    <x:row r="885" ht="18" customHeight="1">
      <x:c r="A885" t="str">
        <x:v>CA-2017-111689</x:v>
      </x:c>
      <x:c r="B885" s="18" t="n">
        <x:v>43069</x:v>
      </x:c>
      <x:c r="C885" t="str">
        <x:v>HP-14815</x:v>
      </x:c>
      <x:c r="D885" t="str">
        <x:v>Harold Pawlan</x:v>
      </x:c>
      <x:c r="E885" t="str">
        <x:v>Home Office</x:v>
      </x:c>
      <x:c r="F885" t="str">
        <x:v>East</x:v>
      </x:c>
      <x:c r="G885" t="str">
        <x:v>Office Supplies</x:v>
      </x:c>
      <x:c r="H885" t="str">
        <x:v>Binders</x:v>
      </x:c>
      <x:c r="I885" s="22" t="n">
        <x:v>68.47200000000001</x:v>
      </x:c>
      <x:c r="J885" s="24" t="n">
        <x:v>3</x:v>
      </x:c>
      <x:c r="K885" s="26" t="n">
        <x:v>0.2</x:v>
      </x:c>
      <x:c r="L885" s="22" t="n">
        <x:v>23.109299999999998</x:v>
      </x:c>
      <x:c r="M885" t="n">
        <x:v>2017</x:v>
      </x:c>
      <x:c r="N885" s="20" t="n">
        <x:v>43040</x:v>
      </x:c>
    </x:row>
    <x:row r="886" ht="18" customHeight="1">
      <x:c r="A886" t="str">
        <x:v>CA-2017-111689</x:v>
      </x:c>
      <x:c r="B886" s="18" t="n">
        <x:v>43069</x:v>
      </x:c>
      <x:c r="C886" t="str">
        <x:v>HP-14815</x:v>
      </x:c>
      <x:c r="D886" t="str">
        <x:v>Harold Pawlan</x:v>
      </x:c>
      <x:c r="E886" t="str">
        <x:v>Home Office</x:v>
      </x:c>
      <x:c r="F886" t="str">
        <x:v>East</x:v>
      </x:c>
      <x:c r="G886" t="str">
        <x:v>Furniture</x:v>
      </x:c>
      <x:c r="H886" t="str">
        <x:v>Chairs</x:v>
      </x:c>
      <x:c r="I886" s="22" t="n">
        <x:v>1242.8999999999999</x:v>
      </x:c>
      <x:c r="J886" s="24" t="n">
        <x:v>5</x:v>
      </x:c>
      <x:c r="K886" s="26" t="n">
        <x:v>0.1</x:v>
      </x:c>
      <x:c r="L886" s="22" t="n">
        <x:v>262.3899999999999</x:v>
      </x:c>
      <x:c r="M886" t="n">
        <x:v>2017</x:v>
      </x:c>
      <x:c r="N886" s="20" t="n">
        <x:v>43040</x:v>
      </x:c>
    </x:row>
    <x:row r="887" ht="18" customHeight="1">
      <x:c r="A887" t="str">
        <x:v>CA-2015-129098</x:v>
      </x:c>
      <x:c r="B887" s="18" t="n">
        <x:v>42286</x:v>
      </x:c>
      <x:c r="C887" t="str">
        <x:v>DK-13090</x:v>
      </x:c>
      <x:c r="D887" t="str">
        <x:v>Dave Kipp</x:v>
      </x:c>
      <x:c r="E887" t="str">
        <x:v>Consumer</x:v>
      </x:c>
      <x:c r="F887" t="str">
        <x:v>South</x:v>
      </x:c>
      <x:c r="G887" t="str">
        <x:v>Office Supplies</x:v>
      </x:c>
      <x:c r="H887" t="str">
        <x:v>Storage</x:v>
      </x:c>
      <x:c r="I887" s="22" t="n">
        <x:v>30.84</x:v>
      </x:c>
      <x:c r="J887" s="24" t="n">
        <x:v>2</x:v>
      </x:c>
      <x:c r="K887" s="26" t="n">
        <x:v>0</x:v>
      </x:c>
      <x:c r="L887" s="22" t="n">
        <x:v>8.326800000000002</x:v>
      </x:c>
      <x:c r="M887" t="n">
        <x:v>2015</x:v>
      </x:c>
      <x:c r="N887" s="20" t="n">
        <x:v>42278</x:v>
      </x:c>
    </x:row>
    <x:row r="888" ht="18" customHeight="1">
      <x:c r="A888" t="str">
        <x:v>US-2017-123463</x:v>
      </x:c>
      <x:c r="B888" s="18" t="n">
        <x:v>43092</x:v>
      </x:c>
      <x:c r="C888" t="str">
        <x:v>GZ-14470</x:v>
      </x:c>
      <x:c r="D888" t="str">
        <x:v>Gary Zandusky</x:v>
      </x:c>
      <x:c r="E888" t="str">
        <x:v>Consumer</x:v>
      </x:c>
      <x:c r="F888" t="str">
        <x:v>West</x:v>
      </x:c>
      <x:c r="G888" t="str">
        <x:v>Office Supplies</x:v>
      </x:c>
      <x:c r="H888" t="str">
        <x:v>Art</x:v>
      </x:c>
      <x:c r="I888" s="22" t="n">
        <x:v>13.48</x:v>
      </x:c>
      <x:c r="J888" s="24" t="n">
        <x:v>4</x:v>
      </x:c>
      <x:c r="K888" s="26" t="n">
        <x:v>0</x:v>
      </x:c>
      <x:c r="L888" s="22" t="n">
        <x:v>5.931200000000001</x:v>
      </x:c>
      <x:c r="M888" t="n">
        <x:v>2017</x:v>
      </x:c>
      <x:c r="N888" s="20" t="n">
        <x:v>43070</x:v>
      </x:c>
    </x:row>
    <x:row r="889" ht="18" customHeight="1">
      <x:c r="A889" t="str">
        <x:v>CA-2016-165148</x:v>
      </x:c>
      <x:c r="B889" s="18" t="n">
        <x:v>42665</x:v>
      </x:c>
      <x:c r="C889" t="str">
        <x:v>PM-19135</x:v>
      </x:c>
      <x:c r="D889" t="str">
        <x:v>Peter McVee</x:v>
      </x:c>
      <x:c r="E889" t="str">
        <x:v>Home Office</x:v>
      </x:c>
      <x:c r="F889" t="str">
        <x:v>Central</x:v>
      </x:c>
      <x:c r="G889" t="str">
        <x:v>Furniture</x:v>
      </x:c>
      <x:c r="H889" t="str">
        <x:v>Furnishings</x:v>
      </x:c>
      <x:c r="I889" s="22" t="n">
        <x:v>31.400000000000002</x:v>
      </x:c>
      <x:c r="J889" s="24" t="n">
        <x:v>5</x:v>
      </x:c>
      <x:c r="K889" s="26" t="n">
        <x:v>0</x:v>
      </x:c>
      <x:c r="L889" s="22" t="n">
        <x:v>10.047999999999998</x:v>
      </x:c>
      <x:c r="M889" t="n">
        <x:v>2016</x:v>
      </x:c>
      <x:c r="N889" s="20" t="n">
        <x:v>42644</x:v>
      </x:c>
    </x:row>
    <x:row r="890" ht="18" customHeight="1">
      <x:c r="A890" t="str">
        <x:v>CA-2014-134061</x:v>
      </x:c>
      <x:c r="B890" s="18" t="n">
        <x:v>41758</x:v>
      </x:c>
      <x:c r="C890" t="str">
        <x:v>LL-16840</x:v>
      </x:c>
      <x:c r="D890" t="str">
        <x:v>Lauren Leatherbury</x:v>
      </x:c>
      <x:c r="E890" t="str">
        <x:v>Consumer</x:v>
      </x:c>
      <x:c r="F890" t="str">
        <x:v>East</x:v>
      </x:c>
      <x:c r="G890" t="str">
        <x:v>Furniture</x:v>
      </x:c>
      <x:c r="H890" t="str">
        <x:v>Furnishings</x:v>
      </x:c>
      <x:c r="I890" s="22" t="n">
        <x:v>17.46</x:v>
      </x:c>
      <x:c r="J890" s="24" t="n">
        <x:v>2</x:v>
      </x:c>
      <x:c r="K890" s="26" t="n">
        <x:v>0</x:v>
      </x:c>
      <x:c r="L890" s="22" t="n">
        <x:v>5.936399999999999</x:v>
      </x:c>
      <x:c r="M890" t="n">
        <x:v>2014</x:v>
      </x:c>
      <x:c r="N890" s="20" t="n">
        <x:v>41730</x:v>
      </x:c>
    </x:row>
    <x:row r="891" ht="18" customHeight="1">
      <x:c r="A891" t="str">
        <x:v>CA-2015-143602</x:v>
      </x:c>
      <x:c r="B891" s="18" t="n">
        <x:v>42119</x:v>
      </x:c>
      <x:c r="C891" t="str">
        <x:v>JS-15595</x:v>
      </x:c>
      <x:c r="D891" t="str">
        <x:v>Jill Stevenson</x:v>
      </x:c>
      <x:c r="E891" t="str">
        <x:v>Corporate</x:v>
      </x:c>
      <x:c r="F891" t="str">
        <x:v>West</x:v>
      </x:c>
      <x:c r="G891" t="str">
        <x:v>Office Supplies</x:v>
      </x:c>
      <x:c r="H891" t="str">
        <x:v>Binders</x:v>
      </x:c>
      <x:c r="I891" s="22" t="n">
        <x:v>13.943999999999999</x:v>
      </x:c>
      <x:c r="J891" s="24" t="n">
        <x:v>3</x:v>
      </x:c>
      <x:c r="K891" s="26" t="n">
        <x:v>0.2</x:v>
      </x:c>
      <x:c r="L891" s="22" t="n">
        <x:v>4.5318</x:v>
      </x:c>
      <x:c r="M891" t="n">
        <x:v>2015</x:v>
      </x:c>
      <x:c r="N891" s="20" t="n">
        <x:v>42095</x:v>
      </x:c>
    </x:row>
    <x:row r="892" ht="18" customHeight="1">
      <x:c r="A892" t="str">
        <x:v>CA-2017-115364</x:v>
      </x:c>
      <x:c r="B892" s="18" t="n">
        <x:v>42912</x:v>
      </x:c>
      <x:c r="C892" t="str">
        <x:v>OT-18730</x:v>
      </x:c>
      <x:c r="D892" t="str">
        <x:v>Olvera Toch</x:v>
      </x:c>
      <x:c r="E892" t="str">
        <x:v>Consumer</x:v>
      </x:c>
      <x:c r="F892" t="str">
        <x:v>West</x:v>
      </x:c>
      <x:c r="G892" t="str">
        <x:v>Office Supplies</x:v>
      </x:c>
      <x:c r="H892" t="str">
        <x:v>Storage</x:v>
      </x:c>
      <x:c r="I892" s="22" t="n">
        <x:v>83.76</x:v>
      </x:c>
      <x:c r="J892" s="24" t="n">
        <x:v>12</x:v>
      </x:c>
      <x:c r="K892" s="26" t="n">
        <x:v>0</x:v>
      </x:c>
      <x:c r="L892" s="22" t="n">
        <x:v>1.6751999999999967</x:v>
      </x:c>
      <x:c r="M892" t="n">
        <x:v>2017</x:v>
      </x:c>
      <x:c r="N892" s="20" t="n">
        <x:v>42887</x:v>
      </x:c>
    </x:row>
    <x:row r="893" ht="18" customHeight="1">
      <x:c r="A893" t="str">
        <x:v>CA-2017-150707</x:v>
      </x:c>
      <x:c r="B893" s="18" t="n">
        <x:v>43022</x:v>
      </x:c>
      <x:c r="C893" t="str">
        <x:v>EL-13735</x:v>
      </x:c>
      <x:c r="D893" t="str">
        <x:v>Ed Ludwig</x:v>
      </x:c>
      <x:c r="E893" t="str">
        <x:v>Home Office</x:v>
      </x:c>
      <x:c r="F893" t="str">
        <x:v>East</x:v>
      </x:c>
      <x:c r="G893" t="str">
        <x:v>Office Supplies</x:v>
      </x:c>
      <x:c r="H893" t="str">
        <x:v>Binders</x:v>
      </x:c>
      <x:c r="I893" s="22" t="n">
        <x:v>37.66</x:v>
      </x:c>
      <x:c r="J893" s="24" t="n">
        <x:v>7</x:v>
      </x:c>
      <x:c r="K893" s="26" t="n">
        <x:v>0</x:v>
      </x:c>
      <x:c r="L893" s="22" t="n">
        <x:v>18.453400000000002</x:v>
      </x:c>
      <x:c r="M893" t="n">
        <x:v>2017</x:v>
      </x:c>
      <x:c r="N893" s="20" t="n">
        <x:v>43009</x:v>
      </x:c>
    </x:row>
    <x:row r="894" ht="18" customHeight="1">
      <x:c r="A894" t="str">
        <x:v>CA-2014-104976</x:v>
      </x:c>
      <x:c r="B894" s="18" t="n">
        <x:v>41982</x:v>
      </x:c>
      <x:c r="C894" t="str">
        <x:v>CK-12760</x:v>
      </x:c>
      <x:c r="D894" t="str">
        <x:v>Cyma Kinney</x:v>
      </x:c>
      <x:c r="E894" t="str">
        <x:v>Corporate</x:v>
      </x:c>
      <x:c r="F894" t="str">
        <x:v>West</x:v>
      </x:c>
      <x:c r="G894" t="str">
        <x:v>Office Supplies</x:v>
      </x:c>
      <x:c r="H894" t="str">
        <x:v>Paper</x:v>
      </x:c>
      <x:c r="I894" s="22" t="n">
        <x:v>34.68</x:v>
      </x:c>
      <x:c r="J894" s="24" t="n">
        <x:v>6</x:v>
      </x:c>
      <x:c r="K894" s="26" t="n">
        <x:v>0</x:v>
      </x:c>
      <x:c r="L894" s="22" t="n">
        <x:v>16.9932</x:v>
      </x:c>
      <x:c r="M894" t="n">
        <x:v>2014</x:v>
      </x:c>
      <x:c r="N894" s="20" t="n">
        <x:v>41974</x:v>
      </x:c>
    </x:row>
    <x:row r="895" ht="18" customHeight="1">
      <x:c r="A895" t="str">
        <x:v>CA-2017-132934</x:v>
      </x:c>
      <x:c r="B895" s="18" t="n">
        <x:v>42906</x:v>
      </x:c>
      <x:c r="C895" t="str">
        <x:v>JE-15475</x:v>
      </x:c>
      <x:c r="D895" t="str">
        <x:v>Jeremy Ellison</x:v>
      </x:c>
      <x:c r="E895" t="str">
        <x:v>Consumer</x:v>
      </x:c>
      <x:c r="F895" t="str">
        <x:v>East</x:v>
      </x:c>
      <x:c r="G895" t="str">
        <x:v>Technology</x:v>
      </x:c>
      <x:c r="H895" t="str">
        <x:v>Accessories</x:v>
      </x:c>
      <x:c r="I895" s="22" t="n">
        <x:v>149.95</x:v>
      </x:c>
      <x:c r="J895" s="24" t="n">
        <x:v>5</x:v>
      </x:c>
      <x:c r="K895" s="26" t="n">
        <x:v>0</x:v>
      </x:c>
      <x:c r="L895" s="22" t="n">
        <x:v>14.994999999999994</x:v>
      </x:c>
      <x:c r="M895" t="n">
        <x:v>2017</x:v>
      </x:c>
      <x:c r="N895" s="20" t="n">
        <x:v>42887</x:v>
      </x:c>
    </x:row>
    <x:row r="896" ht="18" customHeight="1">
      <x:c r="A896" t="str">
        <x:v>CA-2017-132934</x:v>
      </x:c>
      <x:c r="B896" s="18" t="n">
        <x:v>42906</x:v>
      </x:c>
      <x:c r="C896" t="str">
        <x:v>JE-15475</x:v>
      </x:c>
      <x:c r="D896" t="str">
        <x:v>Jeremy Ellison</x:v>
      </x:c>
      <x:c r="E896" t="str">
        <x:v>Consumer</x:v>
      </x:c>
      <x:c r="F896" t="str">
        <x:v>East</x:v>
      </x:c>
      <x:c r="G896" t="str">
        <x:v>Office Supplies</x:v>
      </x:c>
      <x:c r="H896" t="str">
        <x:v>Binders</x:v>
      </x:c>
      <x:c r="I896" s="22" t="n">
        <x:v>51.312</x:v>
      </x:c>
      <x:c r="J896" s="24" t="n">
        <x:v>3</x:v>
      </x:c>
      <x:c r="K896" s="26" t="n">
        <x:v>0.2</x:v>
      </x:c>
      <x:c r="L896" s="22" t="n">
        <x:v>18.600599999999996</x:v>
      </x:c>
      <x:c r="M896" t="n">
        <x:v>2017</x:v>
      </x:c>
      <x:c r="N896" s="20" t="n">
        <x:v>42887</x:v>
      </x:c>
    </x:row>
    <x:row r="897" ht="18" customHeight="1">
      <x:c r="A897" t="str">
        <x:v>CA-2017-133256</x:v>
      </x:c>
      <x:c r="B897" s="18" t="n">
        <x:v>42912</x:v>
      </x:c>
      <x:c r="C897" t="str">
        <x:v>TH-21550</x:v>
      </x:c>
      <x:c r="D897" t="str">
        <x:v>Tracy Hopkins</x:v>
      </x:c>
      <x:c r="E897" t="str">
        <x:v>Home Office</x:v>
      </x:c>
      <x:c r="F897" t="str">
        <x:v>Central</x:v>
      </x:c>
      <x:c r="G897" t="str">
        <x:v>Office Supplies</x:v>
      </x:c>
      <x:c r="H897" t="str">
        <x:v>Paper</x:v>
      </x:c>
      <x:c r="I897" s="22" t="n">
        <x:v>4.54</x:v>
      </x:c>
      <x:c r="J897" s="24" t="n">
        <x:v>1</x:v>
      </x:c>
      <x:c r="K897" s="26" t="n">
        <x:v>0</x:v>
      </x:c>
      <x:c r="L897" s="22" t="n">
        <x:v>2.0429999999999997</x:v>
      </x:c>
      <x:c r="M897" t="n">
        <x:v>2017</x:v>
      </x:c>
      <x:c r="N897" s="20" t="n">
        <x:v>42887</x:v>
      </x:c>
    </x:row>
    <x:row r="898" ht="18" customHeight="1">
      <x:c r="A898" t="str">
        <x:v>CA-2017-133256</x:v>
      </x:c>
      <x:c r="B898" s="18" t="n">
        <x:v>42912</x:v>
      </x:c>
      <x:c r="C898" t="str">
        <x:v>TH-21550</x:v>
      </x:c>
      <x:c r="D898" t="str">
        <x:v>Tracy Hopkins</x:v>
      </x:c>
      <x:c r="E898" t="str">
        <x:v>Home Office</x:v>
      </x:c>
      <x:c r="F898" t="str">
        <x:v>Central</x:v>
      </x:c>
      <x:c r="G898" t="str">
        <x:v>Office Supplies</x:v>
      </x:c>
      <x:c r="H898" t="str">
        <x:v>Art</x:v>
      </x:c>
      <x:c r="I898" s="22" t="n">
        <x:v>15.92</x:v>
      </x:c>
      <x:c r="J898" s="24" t="n">
        <x:v>4</x:v>
      </x:c>
      <x:c r="K898" s="26" t="n">
        <x:v>0</x:v>
      </x:c>
      <x:c r="L898" s="22" t="n">
        <x:v>5.412799999999999</x:v>
      </x:c>
      <x:c r="M898" t="n">
        <x:v>2017</x:v>
      </x:c>
      <x:c r="N898" s="20" t="n">
        <x:v>42887</x:v>
      </x:c>
    </x:row>
    <x:row r="899" ht="18" customHeight="1">
      <x:c r="A899" t="str">
        <x:v>CA-2017-133256</x:v>
      </x:c>
      <x:c r="B899" s="18" t="n">
        <x:v>42912</x:v>
      </x:c>
      <x:c r="C899" t="str">
        <x:v>TH-21550</x:v>
      </x:c>
      <x:c r="D899" t="str">
        <x:v>Tracy Hopkins</x:v>
      </x:c>
      <x:c r="E899" t="str">
        <x:v>Home Office</x:v>
      </x:c>
      <x:c r="F899" t="str">
        <x:v>Central</x:v>
      </x:c>
      <x:c r="G899" t="str">
        <x:v>Technology</x:v>
      </x:c>
      <x:c r="H899" t="str">
        <x:v>Phones</x:v>
      </x:c>
      <x:c r="I899" s="22" t="n">
        <x:v>543.92</x:v>
      </x:c>
      <x:c r="J899" s="24" t="n">
        <x:v>8</x:v>
      </x:c>
      <x:c r="K899" s="26" t="n">
        <x:v>0</x:v>
      </x:c>
      <x:c r="L899" s="22" t="n">
        <x:v>135.98000000000002</x:v>
      </x:c>
      <x:c r="M899" t="n">
        <x:v>2017</x:v>
      </x:c>
      <x:c r="N899" s="20" t="n">
        <x:v>42887</x:v>
      </x:c>
    </x:row>
    <x:row r="900" ht="18" customHeight="1">
      <x:c r="A900" t="str">
        <x:v>CA-2016-105494</x:v>
      </x:c>
      <x:c r="B900" s="18" t="n">
        <x:v>42684</x:v>
      </x:c>
      <x:c r="C900" t="str">
        <x:v>PC-18745</x:v>
      </x:c>
      <x:c r="D900" t="str">
        <x:v>Pamela Coakley</x:v>
      </x:c>
      <x:c r="E900" t="str">
        <x:v>Corporate</x:v>
      </x:c>
      <x:c r="F900" t="str">
        <x:v>West</x:v>
      </x:c>
      <x:c r="G900" t="str">
        <x:v>Office Supplies</x:v>
      </x:c>
      <x:c r="H900" t="str">
        <x:v>Storage</x:v>
      </x:c>
      <x:c r="I900" s="22" t="n">
        <x:v>155.82000000000002</x:v>
      </x:c>
      <x:c r="J900" s="24" t="n">
        <x:v>7</x:v>
      </x:c>
      <x:c r="K900" s="26" t="n">
        <x:v>0</x:v>
      </x:c>
      <x:c r="L900" s="22" t="n">
        <x:v>42.07140000000001</x:v>
      </x:c>
      <x:c r="M900" t="n">
        <x:v>2016</x:v>
      </x:c>
      <x:c r="N900" s="20" t="n">
        <x:v>42675</x:v>
      </x:c>
    </x:row>
    <x:row r="901" ht="18" customHeight="1">
      <x:c r="A901" t="str">
        <x:v>CA-2016-105494</x:v>
      </x:c>
      <x:c r="B901" s="18" t="n">
        <x:v>42684</x:v>
      </x:c>
      <x:c r="C901" t="str">
        <x:v>PC-18745</x:v>
      </x:c>
      <x:c r="D901" t="str">
        <x:v>Pamela Coakley</x:v>
      </x:c>
      <x:c r="E901" t="str">
        <x:v>Corporate</x:v>
      </x:c>
      <x:c r="F901" t="str">
        <x:v>West</x:v>
      </x:c>
      <x:c r="G901" t="str">
        <x:v>Office Supplies</x:v>
      </x:c>
      <x:c r="H901" t="str">
        <x:v>Binders</x:v>
      </x:c>
      <x:c r="I901" s="22" t="n">
        <x:v>70.00800000000001</x:v>
      </x:c>
      <x:c r="J901" s="24" t="n">
        <x:v>3</x:v>
      </x:c>
      <x:c r="K901" s="26" t="n">
        <x:v>0.2</x:v>
      </x:c>
      <x:c r="L901" s="22" t="n">
        <x:v>24.5028</x:v>
      </x:c>
      <x:c r="M901" t="n">
        <x:v>2016</x:v>
      </x:c>
      <x:c r="N901" s="20" t="n">
        <x:v>42675</x:v>
      </x:c>
    </x:row>
    <x:row r="902" ht="18" customHeight="1">
      <x:c r="A902" t="str">
        <x:v>CA-2016-140634</x:v>
      </x:c>
      <x:c r="B902" s="18" t="n">
        <x:v>42646</x:v>
      </x:c>
      <x:c r="C902" t="str">
        <x:v>HL-15040</x:v>
      </x:c>
      <x:c r="D902" t="str">
        <x:v>Hunter Lopez</x:v>
      </x:c>
      <x:c r="E902" t="str">
        <x:v>Consumer</x:v>
      </x:c>
      <x:c r="F902" t="str">
        <x:v>Central</x:v>
      </x:c>
      <x:c r="G902" t="str">
        <x:v>Office Supplies</x:v>
      </x:c>
      <x:c r="H902" t="str">
        <x:v>Envelopes</x:v>
      </x:c>
      <x:c r="I902" s="22" t="n">
        <x:v>15.648</x:v>
      </x:c>
      <x:c r="J902" s="24" t="n">
        <x:v>2</x:v>
      </x:c>
      <x:c r="K902" s="26" t="n">
        <x:v>0.2</x:v>
      </x:c>
      <x:c r="L902" s="22" t="n">
        <x:v>5.085599999999999</x:v>
      </x:c>
      <x:c r="M902" t="n">
        <x:v>2016</x:v>
      </x:c>
      <x:c r="N902" s="20" t="n">
        <x:v>42644</x:v>
      </x:c>
    </x:row>
    <x:row r="903" ht="18" customHeight="1">
      <x:c r="A903" t="str">
        <x:v>CA-2014-144407</x:v>
      </x:c>
      <x:c r="B903" s="18" t="n">
        <x:v>41891</x:v>
      </x:c>
      <x:c r="C903" t="str">
        <x:v>MS-17365</x:v>
      </x:c>
      <x:c r="D903" t="str">
        <x:v>Maribeth Schnelling</x:v>
      </x:c>
      <x:c r="E903" t="str">
        <x:v>Consumer</x:v>
      </x:c>
      <x:c r="F903" t="str">
        <x:v>Central</x:v>
      </x:c>
      <x:c r="G903" t="str">
        <x:v>Office Supplies</x:v>
      </x:c>
      <x:c r="H903" t="str">
        <x:v>Labels</x:v>
      </x:c>
      <x:c r="I903" s="22" t="n">
        <x:v>103.60000000000001</x:v>
      </x:c>
      <x:c r="J903" s="24" t="n">
        <x:v>7</x:v>
      </x:c>
      <x:c r="K903" s="26" t="n">
        <x:v>0</x:v>
      </x:c>
      <x:c r="L903" s="22" t="n">
        <x:v>51.800000000000004</x:v>
      </x:c>
      <x:c r="M903" t="n">
        <x:v>2014</x:v>
      </x:c>
      <x:c r="N903" s="20" t="n">
        <x:v>41883</x:v>
      </x:c>
    </x:row>
    <x:row r="904" ht="18" customHeight="1">
      <x:c r="A904" t="str">
        <x:v>CA-2017-160983</x:v>
      </x:c>
      <x:c r="B904" s="18" t="n">
        <x:v>43037</x:v>
      </x:c>
      <x:c r="C904" t="str">
        <x:v>GB-14530</x:v>
      </x:c>
      <x:c r="D904" t="str">
        <x:v>George Bell</x:v>
      </x:c>
      <x:c r="E904" t="str">
        <x:v>Corporate</x:v>
      </x:c>
      <x:c r="F904" t="str">
        <x:v>East</x:v>
      </x:c>
      <x:c r="G904" t="str">
        <x:v>Office Supplies</x:v>
      </x:c>
      <x:c r="H904" t="str">
        <x:v>Paper</x:v>
      </x:c>
      <x:c r="I904" s="22" t="n">
        <x:v>46.96</x:v>
      </x:c>
      <x:c r="J904" s="24" t="n">
        <x:v>8</x:v>
      </x:c>
      <x:c r="K904" s="26" t="n">
        <x:v>0</x:v>
      </x:c>
      <x:c r="L904" s="22" t="n">
        <x:v>22.5408</x:v>
      </x:c>
      <x:c r="M904" t="n">
        <x:v>2017</x:v>
      </x:c>
      <x:c r="N904" s="20" t="n">
        <x:v>43009</x:v>
      </x:c>
    </x:row>
    <x:row r="905" ht="18" customHeight="1">
      <x:c r="A905" t="str">
        <x:v>US-2016-114622</x:v>
      </x:c>
      <x:c r="B905" s="18" t="n">
        <x:v>42470</x:v>
      </x:c>
      <x:c r="C905" t="str">
        <x:v>JR-16210</x:v>
      </x:c>
      <x:c r="D905" t="str">
        <x:v>Justin Ritter</x:v>
      </x:c>
      <x:c r="E905" t="str">
        <x:v>Corporate</x:v>
      </x:c>
      <x:c r="F905" t="str">
        <x:v>East</x:v>
      </x:c>
      <x:c r="G905" t="str">
        <x:v>Office Supplies</x:v>
      </x:c>
      <x:c r="H905" t="str">
        <x:v>Binders</x:v>
      </x:c>
      <x:c r="I905" s="22" t="n">
        <x:v>8.904000000000002</x:v>
      </x:c>
      <x:c r="J905" s="24" t="n">
        <x:v>2</x:v>
      </x:c>
      <x:c r="K905" s="26" t="n">
        <x:v>0.7</x:v>
      </x:c>
      <x:c r="L905" s="22" t="n">
        <x:v>-6.5296</x:v>
      </x:c>
      <x:c r="M905" t="n">
        <x:v>2016</x:v>
      </x:c>
      <x:c r="N905" s="20" t="n">
        <x:v>42461</x:v>
      </x:c>
    </x:row>
    <x:row r="906" ht="18" customHeight="1">
      <x:c r="A906" t="str">
        <x:v>CA-2017-150959</x:v>
      </x:c>
      <x:c r="B906" s="18" t="n">
        <x:v>43050</x:v>
      </x:c>
      <x:c r="C906" t="str">
        <x:v>TD-20995</x:v>
      </x:c>
      <x:c r="D906" t="str">
        <x:v>Tamara Dahlen</x:v>
      </x:c>
      <x:c r="E906" t="str">
        <x:v>Consumer</x:v>
      </x:c>
      <x:c r="F906" t="str">
        <x:v>Central</x:v>
      </x:c>
      <x:c r="G906" t="str">
        <x:v>Office Supplies</x:v>
      </x:c>
      <x:c r="H906" t="str">
        <x:v>Labels</x:v>
      </x:c>
      <x:c r="I906" s="22" t="n">
        <x:v>10.440000000000001</x:v>
      </x:c>
      <x:c r="J906" s="24" t="n">
        <x:v>5</x:v>
      </x:c>
      <x:c r="K906" s="26" t="n">
        <x:v>0.2</x:v>
      </x:c>
      <x:c r="L906" s="22" t="n">
        <x:v>3.392999999999999</x:v>
      </x:c>
      <x:c r="M906" t="n">
        <x:v>2017</x:v>
      </x:c>
      <x:c r="N906" s="20" t="n">
        <x:v>43040</x:v>
      </x:c>
    </x:row>
    <x:row r="907" ht="18" customHeight="1">
      <x:c r="A907" t="str">
        <x:v>CA-2017-150959</x:v>
      </x:c>
      <x:c r="B907" s="18" t="n">
        <x:v>43050</x:v>
      </x:c>
      <x:c r="C907" t="str">
        <x:v>TD-20995</x:v>
      </x:c>
      <x:c r="D907" t="str">
        <x:v>Tamara Dahlen</x:v>
      </x:c>
      <x:c r="E907" t="str">
        <x:v>Consumer</x:v>
      </x:c>
      <x:c r="F907" t="str">
        <x:v>Central</x:v>
      </x:c>
      <x:c r="G907" t="str">
        <x:v>Office Supplies</x:v>
      </x:c>
      <x:c r="H907" t="str">
        <x:v>Binders</x:v>
      </x:c>
      <x:c r="I907" s="22" t="n">
        <x:v>18.336</x:v>
      </x:c>
      <x:c r="J907" s="24" t="n">
        <x:v>4</x:v>
      </x:c>
      <x:c r="K907" s="26" t="n">
        <x:v>0.8</x:v>
      </x:c>
      <x:c r="L907" s="22" t="n">
        <x:v>-32.08800000000001</x:v>
      </x:c>
      <x:c r="M907" t="n">
        <x:v>2017</x:v>
      </x:c>
      <x:c r="N907" s="20" t="n">
        <x:v>43040</x:v>
      </x:c>
    </x:row>
    <x:row r="908" ht="18" customHeight="1">
      <x:c r="A908" t="str">
        <x:v>CA-2017-132353</x:v>
      </x:c>
      <x:c r="B908" s="18" t="n">
        <x:v>42993</x:v>
      </x:c>
      <x:c r="C908" t="str">
        <x:v>DB-13060</x:v>
      </x:c>
      <x:c r="D908" t="str">
        <x:v>Dave Brooks</x:v>
      </x:c>
      <x:c r="E908" t="str">
        <x:v>Consumer</x:v>
      </x:c>
      <x:c r="F908" t="str">
        <x:v>Central</x:v>
      </x:c>
      <x:c r="G908" t="str">
        <x:v>Technology</x:v>
      </x:c>
      <x:c r="H908" t="str">
        <x:v>Phones</x:v>
      </x:c>
      <x:c r="I908" s="22" t="n">
        <x:v>323.97600000000006</x:v>
      </x:c>
      <x:c r="J908" s="24" t="n">
        <x:v>3</x:v>
      </x:c>
      <x:c r="K908" s="26" t="n">
        <x:v>0.2</x:v>
      </x:c>
      <x:c r="L908" s="22" t="n">
        <x:v>20.248499999999993</x:v>
      </x:c>
      <x:c r="M908" t="n">
        <x:v>2017</x:v>
      </x:c>
      <x:c r="N908" s="20" t="n">
        <x:v>42979</x:v>
      </x:c>
    </x:row>
    <x:row r="909" ht="18" customHeight="1">
      <x:c r="A909" t="str">
        <x:v>CA-2016-130477</x:v>
      </x:c>
      <x:c r="B909" s="18" t="n">
        <x:v>42468</x:v>
      </x:c>
      <x:c r="C909" t="str">
        <x:v>LC-17140</x:v>
      </x:c>
      <x:c r="D909" t="str">
        <x:v>Logan Currie</x:v>
      </x:c>
      <x:c r="E909" t="str">
        <x:v>Consumer</x:v>
      </x:c>
      <x:c r="F909" t="str">
        <x:v>West</x:v>
      </x:c>
      <x:c r="G909" t="str">
        <x:v>Office Supplies</x:v>
      </x:c>
      <x:c r="H909" t="str">
        <x:v>Paper</x:v>
      </x:c>
      <x:c r="I909" s="22" t="n">
        <x:v>20.04</x:v>
      </x:c>
      <x:c r="J909" s="24" t="n">
        <x:v>3</x:v>
      </x:c>
      <x:c r="K909" s="26" t="n">
        <x:v>0</x:v>
      </x:c>
      <x:c r="L909" s="22" t="n">
        <x:v>9.6192</x:v>
      </x:c>
      <x:c r="M909" t="n">
        <x:v>2016</x:v>
      </x:c>
      <x:c r="N909" s="20" t="n">
        <x:v>42461</x:v>
      </x:c>
    </x:row>
    <x:row r="910" ht="18" customHeight="1">
      <x:c r="A910" t="str">
        <x:v>CA-2016-130477</x:v>
      </x:c>
      <x:c r="B910" s="18" t="n">
        <x:v>42468</x:v>
      </x:c>
      <x:c r="C910" t="str">
        <x:v>LC-17140</x:v>
      </x:c>
      <x:c r="D910" t="str">
        <x:v>Logan Currie</x:v>
      </x:c>
      <x:c r="E910" t="str">
        <x:v>Consumer</x:v>
      </x:c>
      <x:c r="F910" t="str">
        <x:v>West</x:v>
      </x:c>
      <x:c r="G910" t="str">
        <x:v>Office Supplies</x:v>
      </x:c>
      <x:c r="H910" t="str">
        <x:v>Storage</x:v>
      </x:c>
      <x:c r="I910" s="22" t="n">
        <x:v>64.96</x:v>
      </x:c>
      <x:c r="J910" s="24" t="n">
        <x:v>2</x:v>
      </x:c>
      <x:c r="K910" s="26" t="n">
        <x:v>0</x:v>
      </x:c>
      <x:c r="L910" s="22" t="n">
        <x:v>2.598399999999998</x:v>
      </x:c>
      <x:c r="M910" t="n">
        <x:v>2016</x:v>
      </x:c>
      <x:c r="N910" s="20" t="n">
        <x:v>42461</x:v>
      </x:c>
    </x:row>
    <x:row r="911" ht="18" customHeight="1">
      <x:c r="A911" t="str">
        <x:v>CA-2016-130477</x:v>
      </x:c>
      <x:c r="B911" s="18" t="n">
        <x:v>42468</x:v>
      </x:c>
      <x:c r="C911" t="str">
        <x:v>LC-17140</x:v>
      </x:c>
      <x:c r="D911" t="str">
        <x:v>Logan Currie</x:v>
      </x:c>
      <x:c r="E911" t="str">
        <x:v>Consumer</x:v>
      </x:c>
      <x:c r="F911" t="str">
        <x:v>West</x:v>
      </x:c>
      <x:c r="G911" t="str">
        <x:v>Office Supplies</x:v>
      </x:c>
      <x:c r="H911" t="str">
        <x:v>Paper</x:v>
      </x:c>
      <x:c r="I911" s="22" t="n">
        <x:v>12.96</x:v>
      </x:c>
      <x:c r="J911" s="24" t="n">
        <x:v>2</x:v>
      </x:c>
      <x:c r="K911" s="26" t="n">
        <x:v>0</x:v>
      </x:c>
      <x:c r="L911" s="22" t="n">
        <x:v>6.2208000000000006</x:v>
      </x:c>
      <x:c r="M911" t="n">
        <x:v>2016</x:v>
      </x:c>
      <x:c r="N911" s="20" t="n">
        <x:v>42461</x:v>
      </x:c>
    </x:row>
    <x:row r="912" ht="18" customHeight="1">
      <x:c r="A912" t="str">
        <x:v>CA-2017-143259</x:v>
      </x:c>
      <x:c r="B912" s="18" t="n">
        <x:v>43099</x:v>
      </x:c>
      <x:c r="C912" t="str">
        <x:v>PO-18865</x:v>
      </x:c>
      <x:c r="D912" t="str">
        <x:v>Patrick O'Donnell</x:v>
      </x:c>
      <x:c r="E912" t="str">
        <x:v>Consumer</x:v>
      </x:c>
      <x:c r="F912" t="str">
        <x:v>East</x:v>
      </x:c>
      <x:c r="G912" t="str">
        <x:v>Furniture</x:v>
      </x:c>
      <x:c r="H912" t="str">
        <x:v>Bookcases</x:v>
      </x:c>
      <x:c r="I912" s="22" t="n">
        <x:v>323.136</x:v>
      </x:c>
      <x:c r="J912" s="24" t="n">
        <x:v>4</x:v>
      </x:c>
      <x:c r="K912" s="26" t="n">
        <x:v>0.2</x:v>
      </x:c>
      <x:c r="L912" s="22" t="n">
        <x:v>12.117599999999968</x:v>
      </x:c>
      <x:c r="M912" t="n">
        <x:v>2017</x:v>
      </x:c>
      <x:c r="N912" s="20" t="n">
        <x:v>43070</x:v>
      </x:c>
    </x:row>
    <x:row r="913" ht="18" customHeight="1">
      <x:c r="A913" t="str">
        <x:v>CA-2017-143259</x:v>
      </x:c>
      <x:c r="B913" s="18" t="n">
        <x:v>43099</x:v>
      </x:c>
      <x:c r="C913" t="str">
        <x:v>PO-18865</x:v>
      </x:c>
      <x:c r="D913" t="str">
        <x:v>Patrick O'Donnell</x:v>
      </x:c>
      <x:c r="E913" t="str">
        <x:v>Consumer</x:v>
      </x:c>
      <x:c r="F913" t="str">
        <x:v>East</x:v>
      </x:c>
      <x:c r="G913" t="str">
        <x:v>Technology</x:v>
      </x:c>
      <x:c r="H913" t="str">
        <x:v>Phones</x:v>
      </x:c>
      <x:c r="I913" s="22" t="n">
        <x:v>90.93</x:v>
      </x:c>
      <x:c r="J913" s="24" t="n">
        <x:v>7</x:v>
      </x:c>
      <x:c r="K913" s="26" t="n">
        <x:v>0</x:v>
      </x:c>
      <x:c r="L913" s="22" t="n">
        <x:v>2.7278999999999964</x:v>
      </x:c>
      <x:c r="M913" t="n">
        <x:v>2017</x:v>
      </x:c>
      <x:c r="N913" s="20" t="n">
        <x:v>43070</x:v>
      </x:c>
    </x:row>
    <x:row r="914" ht="18" customHeight="1">
      <x:c r="A914" t="str">
        <x:v>CA-2017-143259</x:v>
      </x:c>
      <x:c r="B914" s="18" t="n">
        <x:v>43099</x:v>
      </x:c>
      <x:c r="C914" t="str">
        <x:v>PO-18865</x:v>
      </x:c>
      <x:c r="D914" t="str">
        <x:v>Patrick O'Donnell</x:v>
      </x:c>
      <x:c r="E914" t="str">
        <x:v>Consumer</x:v>
      </x:c>
      <x:c r="F914" t="str">
        <x:v>East</x:v>
      </x:c>
      <x:c r="G914" t="str">
        <x:v>Office Supplies</x:v>
      </x:c>
      <x:c r="H914" t="str">
        <x:v>Binders</x:v>
      </x:c>
      <x:c r="I914" s="22" t="n">
        <x:v>52.775999999999996</x:v>
      </x:c>
      <x:c r="J914" s="24" t="n">
        <x:v>3</x:v>
      </x:c>
      <x:c r="K914" s="26" t="n">
        <x:v>0.2</x:v>
      </x:c>
      <x:c r="L914" s="22" t="n">
        <x:v>19.791</x:v>
      </x:c>
      <x:c r="M914" t="n">
        <x:v>2017</x:v>
      </x:c>
      <x:c r="N914" s="20" t="n">
        <x:v>43070</x:v>
      </x:c>
    </x:row>
    <x:row r="915" ht="18" customHeight="1">
      <x:c r="A915" t="str">
        <x:v>CA-2017-137596</x:v>
      </x:c>
      <x:c r="B915" s="18" t="n">
        <x:v>42980</x:v>
      </x:c>
      <x:c r="C915" t="str">
        <x:v>BE-11335</x:v>
      </x:c>
      <x:c r="D915" t="str">
        <x:v>Bill Eplett</x:v>
      </x:c>
      <x:c r="E915" t="str">
        <x:v>Home Office</x:v>
      </x:c>
      <x:c r="F915" t="str">
        <x:v>Central</x:v>
      </x:c>
      <x:c r="G915" t="str">
        <x:v>Technology</x:v>
      </x:c>
      <x:c r="H915" t="str">
        <x:v>Phones</x:v>
      </x:c>
      <x:c r="I915" s="22" t="n">
        <x:v>1199.8</x:v>
      </x:c>
      <x:c r="J915" s="24" t="n">
        <x:v>4</x:v>
      </x:c>
      <x:c r="K915" s="26" t="n">
        <x:v>0</x:v>
      </x:c>
      <x:c r="L915" s="22" t="n">
        <x:v>323.946</x:v>
      </x:c>
      <x:c r="M915" t="n">
        <x:v>2017</x:v>
      </x:c>
      <x:c r="N915" s="20" t="n">
        <x:v>42979</x:v>
      </x:c>
    </x:row>
    <x:row r="916" ht="18" customHeight="1">
      <x:c r="A916" t="str">
        <x:v>CA-2017-137596</x:v>
      </x:c>
      <x:c r="B916" s="18" t="n">
        <x:v>42980</x:v>
      </x:c>
      <x:c r="C916" t="str">
        <x:v>BE-11335</x:v>
      </x:c>
      <x:c r="D916" t="str">
        <x:v>Bill Eplett</x:v>
      </x:c>
      <x:c r="E916" t="str">
        <x:v>Home Office</x:v>
      </x:c>
      <x:c r="F916" t="str">
        <x:v>Central</x:v>
      </x:c>
      <x:c r="G916" t="str">
        <x:v>Technology</x:v>
      </x:c>
      <x:c r="H916" t="str">
        <x:v>Accessories</x:v>
      </x:c>
      <x:c r="I916" s="22" t="n">
        <x:v>1928.7800000000002</x:v>
      </x:c>
      <x:c r="J916" s="24" t="n">
        <x:v>7</x:v>
      </x:c>
      <x:c r="K916" s="26" t="n">
        <x:v>0</x:v>
      </x:c>
      <x:c r="L916" s="22" t="n">
        <x:v>829.3754000000002</x:v>
      </x:c>
      <x:c r="M916" t="n">
        <x:v>2017</x:v>
      </x:c>
      <x:c r="N916" s="20" t="n">
        <x:v>42979</x:v>
      </x:c>
    </x:row>
    <x:row r="917" ht="18" customHeight="1">
      <x:c r="A917" t="str">
        <x:v>CA-2017-137596</x:v>
      </x:c>
      <x:c r="B917" s="18" t="n">
        <x:v>42980</x:v>
      </x:c>
      <x:c r="C917" t="str">
        <x:v>BE-11335</x:v>
      </x:c>
      <x:c r="D917" t="str">
        <x:v>Bill Eplett</x:v>
      </x:c>
      <x:c r="E917" t="str">
        <x:v>Home Office</x:v>
      </x:c>
      <x:c r="F917" t="str">
        <x:v>Central</x:v>
      </x:c>
      <x:c r="G917" t="str">
        <x:v>Office Supplies</x:v>
      </x:c>
      <x:c r="H917" t="str">
        <x:v>Storage</x:v>
      </x:c>
      <x:c r="I917" s="22" t="n">
        <x:v>352.38</x:v>
      </x:c>
      <x:c r="J917" s="24" t="n">
        <x:v>2</x:v>
      </x:c>
      <x:c r="K917" s="26" t="n">
        <x:v>0</x:v>
      </x:c>
      <x:c r="L917" s="22" t="n">
        <x:v>81.04739999999998</x:v>
      </x:c>
      <x:c r="M917" t="n">
        <x:v>2017</x:v>
      </x:c>
      <x:c r="N917" s="20" t="n">
        <x:v>42979</x:v>
      </x:c>
    </x:row>
    <x:row r="918" ht="18" customHeight="1">
      <x:c r="A918" t="str">
        <x:v>CA-2015-133627</x:v>
      </x:c>
      <x:c r="B918" s="18" t="n">
        <x:v>42155</x:v>
      </x:c>
      <x:c r="C918" t="str">
        <x:v>SC-20050</x:v>
      </x:c>
      <x:c r="D918" t="str">
        <x:v>Sample Company A</x:v>
      </x:c>
      <x:c r="E918" t="str">
        <x:v>Home Office</x:v>
      </x:c>
      <x:c r="F918" t="str">
        <x:v>East</x:v>
      </x:c>
      <x:c r="G918" t="str">
        <x:v>Furniture</x:v>
      </x:c>
      <x:c r="H918" t="str">
        <x:v>Furnishings</x:v>
      </x:c>
      <x:c r="I918" s="22" t="n">
        <x:v>22.200000000000003</x:v>
      </x:c>
      <x:c r="J918" s="24" t="n">
        <x:v>6</x:v>
      </x:c>
      <x:c r="K918" s="26" t="n">
        <x:v>0</x:v>
      </x:c>
      <x:c r="L918" s="22" t="n">
        <x:v>9.102000000000002</x:v>
      </x:c>
      <x:c r="M918" t="n">
        <x:v>2015</x:v>
      </x:c>
      <x:c r="N918" s="20" t="n">
        <x:v>42125</x:v>
      </x:c>
    </x:row>
    <x:row r="919" ht="18" customHeight="1">
      <x:c r="A919" t="str">
        <x:v>CA-2017-102519</x:v>
      </x:c>
      <x:c r="B919" s="18" t="n">
        <x:v>43066</x:v>
      </x:c>
      <x:c r="C919" t="str">
        <x:v>BM-11650</x:v>
      </x:c>
      <x:c r="D919" t="str">
        <x:v>Brian Moss</x:v>
      </x:c>
      <x:c r="E919" t="str">
        <x:v>Corporate</x:v>
      </x:c>
      <x:c r="F919" t="str">
        <x:v>Central</x:v>
      </x:c>
      <x:c r="G919" t="str">
        <x:v>Furniture</x:v>
      </x:c>
      <x:c r="H919" t="str">
        <x:v>Furnishings</x:v>
      </x:c>
      <x:c r="I919" s="22" t="n">
        <x:v>46.94</x:v>
      </x:c>
      <x:c r="J919" s="24" t="n">
        <x:v>1</x:v>
      </x:c>
      <x:c r="K919" s="26" t="n">
        <x:v>0</x:v>
      </x:c>
      <x:c r="L919" s="22" t="n">
        <x:v>19.2454</x:v>
      </x:c>
      <x:c r="M919" t="n">
        <x:v>2017</x:v>
      </x:c>
      <x:c r="N919" s="20" t="n">
        <x:v>43040</x:v>
      </x:c>
    </x:row>
    <x:row r="920" ht="18" customHeight="1">
      <x:c r="A920" t="str">
        <x:v>CA-2017-102519</x:v>
      </x:c>
      <x:c r="B920" s="18" t="n">
        <x:v>43066</x:v>
      </x:c>
      <x:c r="C920" t="str">
        <x:v>BM-11650</x:v>
      </x:c>
      <x:c r="D920" t="str">
        <x:v>Brian Moss</x:v>
      </x:c>
      <x:c r="E920" t="str">
        <x:v>Corporate</x:v>
      </x:c>
      <x:c r="F920" t="str">
        <x:v>Central</x:v>
      </x:c>
      <x:c r="G920" t="str">
        <x:v>Technology</x:v>
      </x:c>
      <x:c r="H920" t="str">
        <x:v>Accessories</x:v>
      </x:c>
      <x:c r="I920" s="22" t="n">
        <x:v>143.73000000000002</x:v>
      </x:c>
      <x:c r="J920" s="24" t="n">
        <x:v>9</x:v>
      </x:c>
      <x:c r="K920" s="26" t="n">
        <x:v>0</x:v>
      </x:c>
      <x:c r="L920" s="22" t="n">
        <x:v>56.05470000000001</x:v>
      </x:c>
      <x:c r="M920" t="n">
        <x:v>2017</x:v>
      </x:c>
      <x:c r="N920" s="20" t="n">
        <x:v>43040</x:v>
      </x:c>
    </x:row>
    <x:row r="921" ht="18" customHeight="1">
      <x:c r="A921" t="str">
        <x:v>US-2014-141215</x:v>
      </x:c>
      <x:c r="B921" s="18" t="n">
        <x:v>41805</x:v>
      </x:c>
      <x:c r="C921" t="str">
        <x:v>KL-16555</x:v>
      </x:c>
      <x:c r="D921" t="str">
        <x:v>Kelly Lampkin</x:v>
      </x:c>
      <x:c r="E921" t="str">
        <x:v>Corporate</x:v>
      </x:c>
      <x:c r="F921" t="str">
        <x:v>Central</x:v>
      </x:c>
      <x:c r="G921" t="str">
        <x:v>Furniture</x:v>
      </x:c>
      <x:c r="H921" t="str">
        <x:v>Tables</x:v>
      </x:c>
      <x:c r="I921" s="22" t="n">
        <x:v>99.918</x:v>
      </x:c>
      <x:c r="J921" s="24" t="n">
        <x:v>2</x:v>
      </x:c>
      <x:c r="K921" s="26" t="n">
        <x:v>0.3</x:v>
      </x:c>
      <x:c r="L921" s="22" t="n">
        <x:v>-18.55620000000002</x:v>
      </x:c>
      <x:c r="M921" t="n">
        <x:v>2014</x:v>
      </x:c>
      <x:c r="N921" s="20" t="n">
        <x:v>41791</x:v>
      </x:c>
    </x:row>
    <x:row r="922" ht="18" customHeight="1">
      <x:c r="A922" t="str">
        <x:v>US-2014-141215</x:v>
      </x:c>
      <x:c r="B922" s="18" t="n">
        <x:v>41805</x:v>
      </x:c>
      <x:c r="C922" t="str">
        <x:v>KL-16555</x:v>
      </x:c>
      <x:c r="D922" t="str">
        <x:v>Kelly Lampkin</x:v>
      </x:c>
      <x:c r="E922" t="str">
        <x:v>Corporate</x:v>
      </x:c>
      <x:c r="F922" t="str">
        <x:v>Central</x:v>
      </x:c>
      <x:c r="G922" t="str">
        <x:v>Furniture</x:v>
      </x:c>
      <x:c r="H922" t="str">
        <x:v>Chairs</x:v>
      </x:c>
      <x:c r="I922" s="22" t="n">
        <x:v>797.944</x:v>
      </x:c>
      <x:c r="J922" s="24" t="n">
        <x:v>4</x:v>
      </x:c>
      <x:c r="K922" s="26" t="n">
        <x:v>0.3</x:v>
      </x:c>
      <x:c r="L922" s="22" t="n">
        <x:v>-56.99599999999998</x:v>
      </x:c>
      <x:c r="M922" t="n">
        <x:v>2014</x:v>
      </x:c>
      <x:c r="N922" s="20" t="n">
        <x:v>41791</x:v>
      </x:c>
    </x:row>
    <x:row r="923" ht="18" customHeight="1">
      <x:c r="A923" t="str">
        <x:v>US-2014-141215</x:v>
      </x:c>
      <x:c r="B923" s="18" t="n">
        <x:v>41805</x:v>
      </x:c>
      <x:c r="C923" t="str">
        <x:v>KL-16555</x:v>
      </x:c>
      <x:c r="D923" t="str">
        <x:v>Kelly Lampkin</x:v>
      </x:c>
      <x:c r="E923" t="str">
        <x:v>Corporate</x:v>
      </x:c>
      <x:c r="F923" t="str">
        <x:v>Central</x:v>
      </x:c>
      <x:c r="G923" t="str">
        <x:v>Office Supplies</x:v>
      </x:c>
      <x:c r="H923" t="str">
        <x:v>Binders</x:v>
      </x:c>
      <x:c r="I923" s="22" t="n">
        <x:v>8.567999999999998</x:v>
      </x:c>
      <x:c r="J923" s="24" t="n">
        <x:v>3</x:v>
      </x:c>
      <x:c r="K923" s="26" t="n">
        <x:v>0.8</x:v>
      </x:c>
      <x:c r="L923" s="22" t="n">
        <x:v>-14.5656</x:v>
      </x:c>
      <x:c r="M923" t="n">
        <x:v>2014</x:v>
      </x:c>
      <x:c r="N923" s="20" t="n">
        <x:v>41791</x:v>
      </x:c>
    </x:row>
    <x:row r="924" ht="18" customHeight="1">
      <x:c r="A924" t="str">
        <x:v>CA-2016-165218</x:v>
      </x:c>
      <x:c r="B924" s="18" t="n">
        <x:v>42434</x:v>
      </x:c>
      <x:c r="C924" t="str">
        <x:v>RW-19630</x:v>
      </x:c>
      <x:c r="D924" t="str">
        <x:v>Rob Williams</x:v>
      </x:c>
      <x:c r="E924" t="str">
        <x:v>Corporate</x:v>
      </x:c>
      <x:c r="F924" t="str">
        <x:v>Central</x:v>
      </x:c>
      <x:c r="G924" t="str">
        <x:v>Office Supplies</x:v>
      </x:c>
      <x:c r="H924" t="str">
        <x:v>Envelopes</x:v>
      </x:c>
      <x:c r="I924" s="22" t="n">
        <x:v>149.352</x:v>
      </x:c>
      <x:c r="J924" s="24" t="n">
        <x:v>3</x:v>
      </x:c>
      <x:c r="K924" s="26" t="n">
        <x:v>0.2</x:v>
      </x:c>
      <x:c r="L924" s="22" t="n">
        <x:v>50.40629999999998</x:v>
      </x:c>
      <x:c r="M924" t="n">
        <x:v>2016</x:v>
      </x:c>
      <x:c r="N924" s="20" t="n">
        <x:v>42430</x:v>
      </x:c>
    </x:row>
    <x:row r="925" ht="18" customHeight="1">
      <x:c r="A925" t="str">
        <x:v>CA-2016-165218</x:v>
      </x:c>
      <x:c r="B925" s="18" t="n">
        <x:v>42434</x:v>
      </x:c>
      <x:c r="C925" t="str">
        <x:v>RW-19630</x:v>
      </x:c>
      <x:c r="D925" t="str">
        <x:v>Rob Williams</x:v>
      </x:c>
      <x:c r="E925" t="str">
        <x:v>Corporate</x:v>
      </x:c>
      <x:c r="F925" t="str">
        <x:v>Central</x:v>
      </x:c>
      <x:c r="G925" t="str">
        <x:v>Office Supplies</x:v>
      </x:c>
      <x:c r="H925" t="str">
        <x:v>Storage</x:v>
      </x:c>
      <x:c r="I925" s="22" t="n">
        <x:v>12.991999999999999</x:v>
      </x:c>
      <x:c r="J925" s="24" t="n">
        <x:v>1</x:v>
      </x:c>
      <x:c r="K925" s="26" t="n">
        <x:v>0.2</x:v>
      </x:c>
      <x:c r="L925" s="22" t="n">
        <x:v>-0.8119999999999998</x:v>
      </x:c>
      <x:c r="M925" t="n">
        <x:v>2016</x:v>
      </x:c>
      <x:c r="N925" s="20" t="n">
        <x:v>42430</x:v>
      </x:c>
    </x:row>
    <x:row r="926" ht="18" customHeight="1">
      <x:c r="A926" t="str">
        <x:v>CA-2014-138296</x:v>
      </x:c>
      <x:c r="B926" s="18" t="n">
        <x:v>41978</x:v>
      </x:c>
      <x:c r="C926" t="str">
        <x:v>RC-19825</x:v>
      </x:c>
      <x:c r="D926" t="str">
        <x:v>Roy Collins</x:v>
      </x:c>
      <x:c r="E926" t="str">
        <x:v>Consumer</x:v>
      </x:c>
      <x:c r="F926" t="str">
        <x:v>South</x:v>
      </x:c>
      <x:c r="G926" t="str">
        <x:v>Office Supplies</x:v>
      </x:c>
      <x:c r="H926" t="str">
        <x:v>Storage</x:v>
      </x:c>
      <x:c r="I926" s="22" t="n">
        <x:v>24.56</x:v>
      </x:c>
      <x:c r="J926" s="24" t="n">
        <x:v>2</x:v>
      </x:c>
      <x:c r="K926" s="26" t="n">
        <x:v>0</x:v>
      </x:c>
      <x:c r="L926" s="22" t="n">
        <x:v>6.876799999999999</x:v>
      </x:c>
      <x:c r="M926" t="n">
        <x:v>2014</x:v>
      </x:c>
      <x:c r="N926" s="20" t="n">
        <x:v>41974</x:v>
      </x:c>
    </x:row>
    <x:row r="927" ht="18" customHeight="1">
      <x:c r="A927" t="str">
        <x:v>CA-2015-111164</x:v>
      </x:c>
      <x:c r="B927" s="18" t="n">
        <x:v>42105</x:v>
      </x:c>
      <x:c r="C927" t="str">
        <x:v>SE-20110</x:v>
      </x:c>
      <x:c r="D927" t="str">
        <x:v>Sanjit Engle</x:v>
      </x:c>
      <x:c r="E927" t="str">
        <x:v>Consumer</x:v>
      </x:c>
      <x:c r="F927" t="str">
        <x:v>East</x:v>
      </x:c>
      <x:c r="G927" t="str">
        <x:v>Technology</x:v>
      </x:c>
      <x:c r="H927" t="str">
        <x:v>Accessories</x:v>
      </x:c>
      <x:c r="I927" s="22" t="n">
        <x:v>85.14</x:v>
      </x:c>
      <x:c r="J927" s="24" t="n">
        <x:v>3</x:v>
      </x:c>
      <x:c r="K927" s="26" t="n">
        <x:v>0</x:v>
      </x:c>
      <x:c r="L927" s="22" t="n">
        <x:v>34.907399999999996</x:v>
      </x:c>
      <x:c r="M927" t="n">
        <x:v>2015</x:v>
      </x:c>
      <x:c r="N927" s="20" t="n">
        <x:v>42095</x:v>
      </x:c>
    </x:row>
    <x:row r="928" ht="18" customHeight="1">
      <x:c r="A928" t="str">
        <x:v>CA-2015-111164</x:v>
      </x:c>
      <x:c r="B928" s="18" t="n">
        <x:v>42105</x:v>
      </x:c>
      <x:c r="C928" t="str">
        <x:v>SE-20110</x:v>
      </x:c>
      <x:c r="D928" t="str">
        <x:v>Sanjit Engle</x:v>
      </x:c>
      <x:c r="E928" t="str">
        <x:v>Consumer</x:v>
      </x:c>
      <x:c r="F928" t="str">
        <x:v>East</x:v>
      </x:c>
      <x:c r="G928" t="str">
        <x:v>Technology</x:v>
      </x:c>
      <x:c r="H928" t="str">
        <x:v>Phones</x:v>
      </x:c>
      <x:c r="I928" s="22" t="n">
        <x:v>21.99</x:v>
      </x:c>
      <x:c r="J928" s="24" t="n">
        <x:v>1</x:v>
      </x:c>
      <x:c r="K928" s="26" t="n">
        <x:v>0</x:v>
      </x:c>
      <x:c r="L928" s="22" t="n">
        <x:v>10.5552</x:v>
      </x:c>
      <x:c r="M928" t="n">
        <x:v>2015</x:v>
      </x:c>
      <x:c r="N928" s="20" t="n">
        <x:v>42095</x:v>
      </x:c>
    </x:row>
    <x:row r="929" ht="18" customHeight="1">
      <x:c r="A929" t="str">
        <x:v>CA-2015-111164</x:v>
      </x:c>
      <x:c r="B929" s="18" t="n">
        <x:v>42105</x:v>
      </x:c>
      <x:c r="C929" t="str">
        <x:v>SE-20110</x:v>
      </x:c>
      <x:c r="D929" t="str">
        <x:v>Sanjit Engle</x:v>
      </x:c>
      <x:c r="E929" t="str">
        <x:v>Consumer</x:v>
      </x:c>
      <x:c r="F929" t="str">
        <x:v>East</x:v>
      </x:c>
      <x:c r="G929" t="str">
        <x:v>Office Supplies</x:v>
      </x:c>
      <x:c r="H929" t="str">
        <x:v>Appliances</x:v>
      </x:c>
      <x:c r="I929" s="22" t="n">
        <x:v>406.59999999999997</x:v>
      </x:c>
      <x:c r="J929" s="24" t="n">
        <x:v>5</x:v>
      </x:c>
      <x:c r="K929" s="26" t="n">
        <x:v>0</x:v>
      </x:c>
      <x:c r="L929" s="22" t="n">
        <x:v>113.84799999999998</x:v>
      </x:c>
      <x:c r="M929" t="n">
        <x:v>2015</x:v>
      </x:c>
      <x:c r="N929" s="20" t="n">
        <x:v>42095</x:v>
      </x:c>
    </x:row>
    <x:row r="930" ht="18" customHeight="1">
      <x:c r="A930" t="str">
        <x:v>CA-2016-149797</x:v>
      </x:c>
      <x:c r="B930" s="18" t="n">
        <x:v>42628</x:v>
      </x:c>
      <x:c r="C930" t="str">
        <x:v>AH-10075</x:v>
      </x:c>
      <x:c r="D930" t="str">
        <x:v>Adam Hart</x:v>
      </x:c>
      <x:c r="E930" t="str">
        <x:v>Corporate</x:v>
      </x:c>
      <x:c r="F930" t="str">
        <x:v>East</x:v>
      </x:c>
      <x:c r="G930" t="str">
        <x:v>Office Supplies</x:v>
      </x:c>
      <x:c r="H930" t="str">
        <x:v>Binders</x:v>
      </x:c>
      <x:c r="I930" s="22" t="n">
        <x:v>841.5680000000001</x:v>
      </x:c>
      <x:c r="J930" s="24" t="n">
        <x:v>2</x:v>
      </x:c>
      <x:c r="K930" s="26" t="n">
        <x:v>0.2</x:v>
      </x:c>
      <x:c r="L930" s="22" t="n">
        <x:v>294.5487999999999</x:v>
      </x:c>
      <x:c r="M930" t="n">
        <x:v>2016</x:v>
      </x:c>
      <x:c r="N930" s="20" t="n">
        <x:v>42614</x:v>
      </x:c>
    </x:row>
    <x:row r="931" ht="18" customHeight="1">
      <x:c r="A931" t="str">
        <x:v>CA-2014-132962</x:v>
      </x:c>
      <x:c r="B931" s="18" t="n">
        <x:v>41895</x:v>
      </x:c>
      <x:c r="C931" t="str">
        <x:v>JM-15535</x:v>
      </x:c>
      <x:c r="D931" t="str">
        <x:v>Jessica Myrick</x:v>
      </x:c>
      <x:c r="E931" t="str">
        <x:v>Consumer</x:v>
      </x:c>
      <x:c r="F931" t="str">
        <x:v>East</x:v>
      </x:c>
      <x:c r="G931" t="str">
        <x:v>Office Supplies</x:v>
      </x:c>
      <x:c r="H931" t="str">
        <x:v>Paper</x:v>
      </x:c>
      <x:c r="I931" s="22" t="n">
        <x:v>15.552000000000003</x:v>
      </x:c>
      <x:c r="J931" s="24" t="n">
        <x:v>3</x:v>
      </x:c>
      <x:c r="K931" s="26" t="n">
        <x:v>0.2</x:v>
      </x:c>
      <x:c r="L931" s="22" t="n">
        <x:v>5.4432</x:v>
      </x:c>
      <x:c r="M931" t="n">
        <x:v>2014</x:v>
      </x:c>
      <x:c r="N931" s="20" t="n">
        <x:v>41883</x:v>
      </x:c>
    </x:row>
    <x:row r="932" ht="18" customHeight="1">
      <x:c r="A932" t="str">
        <x:v>CA-2014-132962</x:v>
      </x:c>
      <x:c r="B932" s="18" t="n">
        <x:v>41895</x:v>
      </x:c>
      <x:c r="C932" t="str">
        <x:v>JM-15535</x:v>
      </x:c>
      <x:c r="D932" t="str">
        <x:v>Jessica Myrick</x:v>
      </x:c>
      <x:c r="E932" t="str">
        <x:v>Consumer</x:v>
      </x:c>
      <x:c r="F932" t="str">
        <x:v>East</x:v>
      </x:c>
      <x:c r="G932" t="str">
        <x:v>Technology</x:v>
      </x:c>
      <x:c r="H932" t="str">
        <x:v>Accessories</x:v>
      </x:c>
      <x:c r="I932" s="22" t="n">
        <x:v>252.00000000000003</x:v>
      </x:c>
      <x:c r="J932" s="24" t="n">
        <x:v>5</x:v>
      </x:c>
      <x:c r="K932" s="26" t="n">
        <x:v>0.2</x:v>
      </x:c>
      <x:c r="L932" s="22" t="n">
        <x:v>53.550000000000004</x:v>
      </x:c>
      <x:c r="M932" t="n">
        <x:v>2014</x:v>
      </x:c>
      <x:c r="N932" s="20" t="n">
        <x:v>41883</x:v>
      </x:c>
    </x:row>
    <x:row r="933" ht="18" customHeight="1">
      <x:c r="A933" t="str">
        <x:v>CA-2015-115091</x:v>
      </x:c>
      <x:c r="B933" s="18" t="n">
        <x:v>42282</x:v>
      </x:c>
      <x:c r="C933" t="str">
        <x:v>JJ-15760</x:v>
      </x:c>
      <x:c r="D933" t="str">
        <x:v>Joel Jenkins</x:v>
      </x:c>
      <x:c r="E933" t="str">
        <x:v>Home Office</x:v>
      </x:c>
      <x:c r="F933" t="str">
        <x:v>South</x:v>
      </x:c>
      <x:c r="G933" t="str">
        <x:v>Office Supplies</x:v>
      </x:c>
      <x:c r="H933" t="str">
        <x:v>Art</x:v>
      </x:c>
      <x:c r="I933" s="22" t="n">
        <x:v>46.2</x:v>
      </x:c>
      <x:c r="J933" s="24" t="n">
        <x:v>4</x:v>
      </x:c>
      <x:c r="K933" s="26" t="n">
        <x:v>0</x:v>
      </x:c>
      <x:c r="L933" s="22" t="n">
        <x:v>12.936</x:v>
      </x:c>
      <x:c r="M933" t="n">
        <x:v>2015</x:v>
      </x:c>
      <x:c r="N933" s="20" t="n">
        <x:v>42278</x:v>
      </x:c>
    </x:row>
    <x:row r="934" ht="18" customHeight="1">
      <x:c r="A934" t="str">
        <x:v>CA-2015-115091</x:v>
      </x:c>
      <x:c r="B934" s="18" t="n">
        <x:v>42282</x:v>
      </x:c>
      <x:c r="C934" t="str">
        <x:v>JJ-15760</x:v>
      </x:c>
      <x:c r="D934" t="str">
        <x:v>Joel Jenkins</x:v>
      </x:c>
      <x:c r="E934" t="str">
        <x:v>Home Office</x:v>
      </x:c>
      <x:c r="F934" t="str">
        <x:v>South</x:v>
      </x:c>
      <x:c r="G934" t="str">
        <x:v>Office Supplies</x:v>
      </x:c>
      <x:c r="H934" t="str">
        <x:v>Appliances</x:v>
      </x:c>
      <x:c r="I934" s="22" t="n">
        <x:v>28.84</x:v>
      </x:c>
      <x:c r="J934" s="24" t="n">
        <x:v>2</x:v>
      </x:c>
      <x:c r="K934" s="26" t="n">
        <x:v>0</x:v>
      </x:c>
      <x:c r="L934" s="22" t="n">
        <x:v>9.517199999999999</x:v>
      </x:c>
      <x:c r="M934" t="n">
        <x:v>2015</x:v>
      </x:c>
      <x:c r="N934" s="20" t="n">
        <x:v>42278</x:v>
      </x:c>
    </x:row>
    <x:row r="935" ht="18" customHeight="1">
      <x:c r="A935" t="str">
        <x:v>CA-2017-144932</x:v>
      </x:c>
      <x:c r="B935" s="18" t="n">
        <x:v>42839</x:v>
      </x:c>
      <x:c r="C935" t="str">
        <x:v>AB-10165</x:v>
      </x:c>
      <x:c r="D935" t="str">
        <x:v>Alan Barnes</x:v>
      </x:c>
      <x:c r="E935" t="str">
        <x:v>Consumer</x:v>
      </x:c>
      <x:c r="F935" t="str">
        <x:v>East</x:v>
      </x:c>
      <x:c r="G935" t="str">
        <x:v>Office Supplies</x:v>
      </x:c>
      <x:c r="H935" t="str">
        <x:v>Art</x:v>
      </x:c>
      <x:c r="I935" s="22" t="n">
        <x:v>14.592000000000002</x:v>
      </x:c>
      <x:c r="J935" s="24" t="n">
        <x:v>3</x:v>
      </x:c>
      <x:c r="K935" s="26" t="n">
        <x:v>0.2</x:v>
      </x:c>
      <x:c r="L935" s="22" t="n">
        <x:v>2.5535999999999985</x:v>
      </x:c>
      <x:c r="M935" t="n">
        <x:v>2017</x:v>
      </x:c>
      <x:c r="N935" s="20" t="n">
        <x:v>42826</x:v>
      </x:c>
    </x:row>
    <x:row r="936" ht="18" customHeight="1">
      <x:c r="A936" t="str">
        <x:v>CA-2017-144932</x:v>
      </x:c>
      <x:c r="B936" s="18" t="n">
        <x:v>42839</x:v>
      </x:c>
      <x:c r="C936" t="str">
        <x:v>AB-10165</x:v>
      </x:c>
      <x:c r="D936" t="str">
        <x:v>Alan Barnes</x:v>
      </x:c>
      <x:c r="E936" t="str">
        <x:v>Consumer</x:v>
      </x:c>
      <x:c r="F936" t="str">
        <x:v>East</x:v>
      </x:c>
      <x:c r="G936" t="str">
        <x:v>Office Supplies</x:v>
      </x:c>
      <x:c r="H936" t="str">
        <x:v>Art</x:v>
      </x:c>
      <x:c r="I936" s="22" t="n">
        <x:v>89.856</x:v>
      </x:c>
      <x:c r="J936" s="24" t="n">
        <x:v>3</x:v>
      </x:c>
      <x:c r="K936" s="26" t="n">
        <x:v>0.2</x:v>
      </x:c>
      <x:c r="L936" s="22" t="n">
        <x:v>21.3408</x:v>
      </x:c>
      <x:c r="M936" t="n">
        <x:v>2017</x:v>
      </x:c>
      <x:c r="N936" s="20" t="n">
        <x:v>42826</x:v>
      </x:c>
    </x:row>
    <x:row r="937" ht="18" customHeight="1">
      <x:c r="A937" t="str">
        <x:v>CA-2017-144932</x:v>
      </x:c>
      <x:c r="B937" s="18" t="n">
        <x:v>42839</x:v>
      </x:c>
      <x:c r="C937" t="str">
        <x:v>AB-10165</x:v>
      </x:c>
      <x:c r="D937" t="str">
        <x:v>Alan Barnes</x:v>
      </x:c>
      <x:c r="E937" t="str">
        <x:v>Consumer</x:v>
      </x:c>
      <x:c r="F937" t="str">
        <x:v>East</x:v>
      </x:c>
      <x:c r="G937" t="str">
        <x:v>Office Supplies</x:v>
      </x:c>
      <x:c r="H937" t="str">
        <x:v>Paper</x:v>
      </x:c>
      <x:c r="I937" s="22" t="n">
        <x:v>13.872000000000002</x:v>
      </x:c>
      <x:c r="J937" s="24" t="n">
        <x:v>3</x:v>
      </x:c>
      <x:c r="K937" s="26" t="n">
        <x:v>0.2</x:v>
      </x:c>
      <x:c r="L937" s="22" t="n">
        <x:v>5.028600000000001</x:v>
      </x:c>
      <x:c r="M937" t="n">
        <x:v>2017</x:v>
      </x:c>
      <x:c r="N937" s="20" t="n">
        <x:v>42826</x:v>
      </x:c>
    </x:row>
    <x:row r="938" ht="18" customHeight="1">
      <x:c r="A938" t="str">
        <x:v>CA-2017-114216</x:v>
      </x:c>
      <x:c r="B938" s="18" t="n">
        <x:v>42980</x:v>
      </x:c>
      <x:c r="C938" t="str">
        <x:v>RK-19300</x:v>
      </x:c>
      <x:c r="D938" t="str">
        <x:v>Ralph Kennedy</x:v>
      </x:c>
      <x:c r="E938" t="str">
        <x:v>Consumer</x:v>
      </x:c>
      <x:c r="F938" t="str">
        <x:v>East</x:v>
      </x:c>
      <x:c r="G938" t="str">
        <x:v>Office Supplies</x:v>
      </x:c>
      <x:c r="H938" t="str">
        <x:v>Paper</x:v>
      </x:c>
      <x:c r="I938" s="22" t="n">
        <x:v>12.192</x:v>
      </x:c>
      <x:c r="J938" s="24" t="n">
        <x:v>3</x:v>
      </x:c>
      <x:c r="K938" s="26" t="n">
        <x:v>0.2</x:v>
      </x:c>
      <x:c r="L938" s="22" t="n">
        <x:v>4.1148</x:v>
      </x:c>
      <x:c r="M938" t="n">
        <x:v>2017</x:v>
      </x:c>
      <x:c r="N938" s="20" t="n">
        <x:v>42979</x:v>
      </x:c>
    </x:row>
    <x:row r="939" ht="18" customHeight="1">
      <x:c r="A939" t="str">
        <x:v>CA-2016-140081</x:v>
      </x:c>
      <x:c r="B939" s="18" t="n">
        <x:v>42541</x:v>
      </x:c>
      <x:c r="C939" t="str">
        <x:v>CG-12040</x:v>
      </x:c>
      <x:c r="D939" t="str">
        <x:v>Catherine Glotzbach</x:v>
      </x:c>
      <x:c r="E939" t="str">
        <x:v>Home Office</x:v>
      </x:c>
      <x:c r="F939" t="str">
        <x:v>East</x:v>
      </x:c>
      <x:c r="G939" t="str">
        <x:v>Office Supplies</x:v>
      </x:c>
      <x:c r="H939" t="str">
        <x:v>Paper</x:v>
      </x:c>
      <x:c r="I939" s="22" t="n">
        <x:v>45.056000000000004</x:v>
      </x:c>
      <x:c r="J939" s="24" t="n">
        <x:v>8</x:v>
      </x:c>
      <x:c r="K939" s="26" t="n">
        <x:v>0.2</x:v>
      </x:c>
      <x:c r="L939" s="22" t="n">
        <x:v>15.206399999999997</x:v>
      </x:c>
      <x:c r="M939" t="n">
        <x:v>2016</x:v>
      </x:c>
      <x:c r="N939" s="20" t="n">
        <x:v>42522</x:v>
      </x:c>
    </x:row>
    <x:row r="940" ht="18" customHeight="1">
      <x:c r="A940" t="str">
        <x:v>CA-2016-140081</x:v>
      </x:c>
      <x:c r="B940" s="18" t="n">
        <x:v>42541</x:v>
      </x:c>
      <x:c r="C940" t="str">
        <x:v>CG-12040</x:v>
      </x:c>
      <x:c r="D940" t="str">
        <x:v>Catherine Glotzbach</x:v>
      </x:c>
      <x:c r="E940" t="str">
        <x:v>Home Office</x:v>
      </x:c>
      <x:c r="F940" t="str">
        <x:v>East</x:v>
      </x:c>
      <x:c r="G940" t="str">
        <x:v>Office Supplies</x:v>
      </x:c>
      <x:c r="H940" t="str">
        <x:v>Binders</x:v>
      </x:c>
      <x:c r="I940" s="22" t="n">
        <x:v>29.718000000000007</x:v>
      </x:c>
      <x:c r="J940" s="24" t="n">
        <x:v>6</x:v>
      </x:c>
      <x:c r="K940" s="26" t="n">
        <x:v>0.7</x:v>
      </x:c>
      <x:c r="L940" s="22" t="n">
        <x:v>-21.79319999999999</x:v>
      </x:c>
      <x:c r="M940" t="n">
        <x:v>2016</x:v>
      </x:c>
      <x:c r="N940" s="20" t="n">
        <x:v>42522</x:v>
      </x:c>
    </x:row>
    <x:row r="941" ht="18" customHeight="1">
      <x:c r="A941" t="str">
        <x:v>CA-2016-140081</x:v>
      </x:c>
      <x:c r="B941" s="18" t="n">
        <x:v>42541</x:v>
      </x:c>
      <x:c r="C941" t="str">
        <x:v>CG-12040</x:v>
      </x:c>
      <x:c r="D941" t="str">
        <x:v>Catherine Glotzbach</x:v>
      </x:c>
      <x:c r="E941" t="str">
        <x:v>Home Office</x:v>
      </x:c>
      <x:c r="F941" t="str">
        <x:v>East</x:v>
      </x:c>
      <x:c r="G941" t="str">
        <x:v>Office Supplies</x:v>
      </x:c>
      <x:c r="H941" t="str">
        <x:v>Paper</x:v>
      </x:c>
      <x:c r="I941" s="22" t="n">
        <x:v>15.552000000000003</x:v>
      </x:c>
      <x:c r="J941" s="24" t="n">
        <x:v>3</x:v>
      </x:c>
      <x:c r="K941" s="26" t="n">
        <x:v>0.2</x:v>
      </x:c>
      <x:c r="L941" s="22" t="n">
        <x:v>5.4432</x:v>
      </x:c>
      <x:c r="M941" t="n">
        <x:v>2016</x:v>
      </x:c>
      <x:c r="N941" s="20" t="n">
        <x:v>42522</x:v>
      </x:c>
    </x:row>
    <x:row r="942" ht="18" customHeight="1">
      <x:c r="A942" t="str">
        <x:v>CA-2016-140081</x:v>
      </x:c>
      <x:c r="B942" s="18" t="n">
        <x:v>42541</x:v>
      </x:c>
      <x:c r="C942" t="str">
        <x:v>CG-12040</x:v>
      </x:c>
      <x:c r="D942" t="str">
        <x:v>Catherine Glotzbach</x:v>
      </x:c>
      <x:c r="E942" t="str">
        <x:v>Home Office</x:v>
      </x:c>
      <x:c r="F942" t="str">
        <x:v>East</x:v>
      </x:c>
      <x:c r="G942" t="str">
        <x:v>Office Supplies</x:v>
      </x:c>
      <x:c r="H942" t="str">
        <x:v>Appliances</x:v>
      </x:c>
      <x:c r="I942" s="22" t="n">
        <x:v>447.696</x:v>
      </x:c>
      <x:c r="J942" s="24" t="n">
        <x:v>2</x:v>
      </x:c>
      <x:c r="K942" s="26" t="n">
        <x:v>0.2</x:v>
      </x:c>
      <x:c r="L942" s="22" t="n">
        <x:v>33.577199999999976</x:v>
      </x:c>
      <x:c r="M942" t="n">
        <x:v>2016</x:v>
      </x:c>
      <x:c r="N942" s="20" t="n">
        <x:v>42522</x:v>
      </x:c>
    </x:row>
    <x:row r="943" ht="18" customHeight="1">
      <x:c r="A943" t="str">
        <x:v>US-2017-111745</x:v>
      </x:c>
      <x:c r="B943" s="18" t="n">
        <x:v>43044</x:v>
      </x:c>
      <x:c r="C943" t="str">
        <x:v>RA-19885</x:v>
      </x:c>
      <x:c r="D943" t="str">
        <x:v>Ruben Ausman</x:v>
      </x:c>
      <x:c r="E943" t="str">
        <x:v>Corporate</x:v>
      </x:c>
      <x:c r="F943" t="str">
        <x:v>West</x:v>
      </x:c>
      <x:c r="G943" t="str">
        <x:v>Technology</x:v>
      </x:c>
      <x:c r="H943" t="str">
        <x:v>Accessories</x:v>
      </x:c>
      <x:c r="I943" s="22" t="n">
        <x:v>159.99</x:v>
      </x:c>
      <x:c r="J943" s="24" t="n">
        <x:v>1</x:v>
      </x:c>
      <x:c r="K943" s="26" t="n">
        <x:v>0</x:v>
      </x:c>
      <x:c r="L943" s="22" t="n">
        <x:v>54.39659999999999</x:v>
      </x:c>
      <x:c r="M943" t="n">
        <x:v>2017</x:v>
      </x:c>
      <x:c r="N943" s="20" t="n">
        <x:v>43040</x:v>
      </x:c>
    </x:row>
    <x:row r="944" ht="18" customHeight="1">
      <x:c r="A944" t="str">
        <x:v>CA-2015-148250</x:v>
      </x:c>
      <x:c r="B944" s="18" t="n">
        <x:v>42351</x:v>
      </x:c>
      <x:c r="C944" t="str">
        <x:v>RP-19270</x:v>
      </x:c>
      <x:c r="D944" t="str">
        <x:v>Rachel Payne</x:v>
      </x:c>
      <x:c r="E944" t="str">
        <x:v>Corporate</x:v>
      </x:c>
      <x:c r="F944" t="str">
        <x:v>West</x:v>
      </x:c>
      <x:c r="G944" t="str">
        <x:v>Office Supplies</x:v>
      </x:c>
      <x:c r="H944" t="str">
        <x:v>Paper</x:v>
      </x:c>
      <x:c r="I944" s="22" t="n">
        <x:v>12.96</x:v>
      </x:c>
      <x:c r="J944" s="24" t="n">
        <x:v>2</x:v>
      </x:c>
      <x:c r="K944" s="26" t="n">
        <x:v>0</x:v>
      </x:c>
      <x:c r="L944" s="22" t="n">
        <x:v>6.2208000000000006</x:v>
      </x:c>
      <x:c r="M944" t="n">
        <x:v>2015</x:v>
      </x:c>
      <x:c r="N944" s="20" t="n">
        <x:v>42339</x:v>
      </x:c>
    </x:row>
    <x:row r="945" ht="18" customHeight="1">
      <x:c r="A945" t="str">
        <x:v>CA-2015-148250</x:v>
      </x:c>
      <x:c r="B945" s="18" t="n">
        <x:v>42351</x:v>
      </x:c>
      <x:c r="C945" t="str">
        <x:v>RP-19270</x:v>
      </x:c>
      <x:c r="D945" t="str">
        <x:v>Rachel Payne</x:v>
      </x:c>
      <x:c r="E945" t="str">
        <x:v>Corporate</x:v>
      </x:c>
      <x:c r="F945" t="str">
        <x:v>West</x:v>
      </x:c>
      <x:c r="G945" t="str">
        <x:v>Office Supplies</x:v>
      </x:c>
      <x:c r="H945" t="str">
        <x:v>Appliances</x:v>
      </x:c>
      <x:c r="I945" s="22" t="n">
        <x:v>134.48</x:v>
      </x:c>
      <x:c r="J945" s="24" t="n">
        <x:v>4</x:v>
      </x:c>
      <x:c r="K945" s="26" t="n">
        <x:v>0</x:v>
      </x:c>
      <x:c r="L945" s="22" t="n">
        <x:v>34.9648</x:v>
      </x:c>
      <x:c r="M945" t="n">
        <x:v>2015</x:v>
      </x:c>
      <x:c r="N945" s="20" t="n">
        <x:v>42339</x:v>
      </x:c>
    </x:row>
    <x:row r="946" ht="18" customHeight="1">
      <x:c r="A946" t="str">
        <x:v>CA-2016-105760</x:v>
      </x:c>
      <x:c r="B946" s="18" t="n">
        <x:v>42540</x:v>
      </x:c>
      <x:c r="C946" t="str">
        <x:v>KC-16255</x:v>
      </x:c>
      <x:c r="D946" t="str">
        <x:v>Karen Carlisle</x:v>
      </x:c>
      <x:c r="E946" t="str">
        <x:v>Corporate</x:v>
      </x:c>
      <x:c r="F946" t="str">
        <x:v>West</x:v>
      </x:c>
      <x:c r="G946" t="str">
        <x:v>Office Supplies</x:v>
      </x:c>
      <x:c r="H946" t="str">
        <x:v>Paper</x:v>
      </x:c>
      <x:c r="I946" s="22" t="n">
        <x:v>17.12</x:v>
      </x:c>
      <x:c r="J946" s="24" t="n">
        <x:v>2</x:v>
      </x:c>
      <x:c r="K946" s="26" t="n">
        <x:v>0</x:v>
      </x:c>
      <x:c r="L946" s="22" t="n">
        <x:v>8.0464</x:v>
      </x:c>
      <x:c r="M946" t="n">
        <x:v>2016</x:v>
      </x:c>
      <x:c r="N946" s="20" t="n">
        <x:v>42522</x:v>
      </x:c>
    </x:row>
    <x:row r="947" ht="18" customHeight="1">
      <x:c r="A947" t="str">
        <x:v>CA-2016-142958</x:v>
      </x:c>
      <x:c r="B947" s="18" t="n">
        <x:v>42717</x:v>
      </x:c>
      <x:c r="C947" t="str">
        <x:v>RW-19630</x:v>
      </x:c>
      <x:c r="D947" t="str">
        <x:v>Rob Williams</x:v>
      </x:c>
      <x:c r="E947" t="str">
        <x:v>Corporate</x:v>
      </x:c>
      <x:c r="F947" t="str">
        <x:v>West</x:v>
      </x:c>
      <x:c r="G947" t="str">
        <x:v>Office Supplies</x:v>
      </x:c>
      <x:c r="H947" t="str">
        <x:v>Binders</x:v>
      </x:c>
      <x:c r="I947" s="22" t="n">
        <x:v>6.096</x:v>
      </x:c>
      <x:c r="J947" s="24" t="n">
        <x:v>2</x:v>
      </x:c>
      <x:c r="K947" s="26" t="n">
        <x:v>0.2</x:v>
      </x:c>
      <x:c r="L947" s="22" t="n">
        <x:v>2.2098</x:v>
      </x:c>
      <x:c r="M947" t="n">
        <x:v>2016</x:v>
      </x:c>
      <x:c r="N947" s="20" t="n">
        <x:v>42705</x:v>
      </x:c>
    </x:row>
    <x:row r="948" ht="18" customHeight="1">
      <x:c r="A948" t="str">
        <x:v>CA-2016-142958</x:v>
      </x:c>
      <x:c r="B948" s="18" t="n">
        <x:v>42717</x:v>
      </x:c>
      <x:c r="C948" t="str">
        <x:v>RW-19630</x:v>
      </x:c>
      <x:c r="D948" t="str">
        <x:v>Rob Williams</x:v>
      </x:c>
      <x:c r="E948" t="str">
        <x:v>Corporate</x:v>
      </x:c>
      <x:c r="F948" t="str">
        <x:v>West</x:v>
      </x:c>
      <x:c r="G948" t="str">
        <x:v>Furniture</x:v>
      </x:c>
      <x:c r="H948" t="str">
        <x:v>Tables</x:v>
      </x:c>
      <x:c r="I948" s="22" t="n">
        <x:v>1114.272</x:v>
      </x:c>
      <x:c r="J948" s="24" t="n">
        <x:v>4</x:v>
      </x:c>
      <x:c r="K948" s="26" t="n">
        <x:v>0.2</x:v>
      </x:c>
      <x:c r="L948" s="22" t="n">
        <x:v>41.78520000000003</x:v>
      </x:c>
      <x:c r="M948" t="n">
        <x:v>2016</x:v>
      </x:c>
      <x:c r="N948" s="20" t="n">
        <x:v>42705</x:v>
      </x:c>
    </x:row>
    <x:row r="949" ht="18" customHeight="1">
      <x:c r="A949" t="str">
        <x:v>CA-2015-120880</x:v>
      </x:c>
      <x:c r="B949" s="18" t="n">
        <x:v>42153</x:v>
      </x:c>
      <x:c r="C949" t="str">
        <x:v>JL-15850</x:v>
      </x:c>
      <x:c r="D949" t="str">
        <x:v>John Lucas</x:v>
      </x:c>
      <x:c r="E949" t="str">
        <x:v>Consumer</x:v>
      </x:c>
      <x:c r="F949" t="str">
        <x:v>West</x:v>
      </x:c>
      <x:c r="G949" t="str">
        <x:v>Office Supplies</x:v>
      </x:c>
      <x:c r="H949" t="str">
        <x:v>Paper</x:v>
      </x:c>
      <x:c r="I949" s="22" t="n">
        <x:v>32.400000000000006</x:v>
      </x:c>
      <x:c r="J949" s="24" t="n">
        <x:v>5</x:v>
      </x:c>
      <x:c r="K949" s="26" t="n">
        <x:v>0</x:v>
      </x:c>
      <x:c r="L949" s="22" t="n">
        <x:v>15.552000000000001</x:v>
      </x:c>
      <x:c r="M949" t="n">
        <x:v>2015</x:v>
      </x:c>
      <x:c r="N949" s="20" t="n">
        <x:v>42125</x:v>
      </x:c>
    </x:row>
    <x:row r="950" ht="18" customHeight="1">
      <x:c r="A950" t="str">
        <x:v>CA-2015-120880</x:v>
      </x:c>
      <x:c r="B950" s="18" t="n">
        <x:v>42153</x:v>
      </x:c>
      <x:c r="C950" t="str">
        <x:v>JL-15850</x:v>
      </x:c>
      <x:c r="D950" t="str">
        <x:v>John Lucas</x:v>
      </x:c>
      <x:c r="E950" t="str">
        <x:v>Consumer</x:v>
      </x:c>
      <x:c r="F950" t="str">
        <x:v>West</x:v>
      </x:c>
      <x:c r="G950" t="str">
        <x:v>Office Supplies</x:v>
      </x:c>
      <x:c r="H950" t="str">
        <x:v>Storage</x:v>
      </x:c>
      <x:c r="I950" s="22" t="n">
        <x:v>540.5699999999999</x:v>
      </x:c>
      <x:c r="J950" s="24" t="n">
        <x:v>3</x:v>
      </x:c>
      <x:c r="K950" s="26" t="n">
        <x:v>0</x:v>
      </x:c>
      <x:c r="L950" s="22" t="n">
        <x:v>140.5482</x:v>
      </x:c>
      <x:c r="M950" t="n">
        <x:v>2015</x:v>
      </x:c>
      <x:c r="N950" s="20" t="n">
        <x:v>42125</x:v>
      </x:c>
    </x:row>
    <x:row r="951" ht="18" customHeight="1">
      <x:c r="A951" t="str">
        <x:v>CA-2015-120880</x:v>
      </x:c>
      <x:c r="B951" s="18" t="n">
        <x:v>42153</x:v>
      </x:c>
      <x:c r="C951" t="str">
        <x:v>JL-15850</x:v>
      </x:c>
      <x:c r="D951" t="str">
        <x:v>John Lucas</x:v>
      </x:c>
      <x:c r="E951" t="str">
        <x:v>Consumer</x:v>
      </x:c>
      <x:c r="F951" t="str">
        <x:v>West</x:v>
      </x:c>
      <x:c r="G951" t="str">
        <x:v>Office Supplies</x:v>
      </x:c>
      <x:c r="H951" t="str">
        <x:v>Binders</x:v>
      </x:c>
      <x:c r="I951" s="22" t="n">
        <x:v>167.76</x:v>
      </x:c>
      <x:c r="J951" s="24" t="n">
        <x:v>5</x:v>
      </x:c>
      <x:c r="K951" s="26" t="n">
        <x:v>0.2</x:v>
      </x:c>
      <x:c r="L951" s="22" t="n">
        <x:v>62.91</x:v>
      </x:c>
      <x:c r="M951" t="n">
        <x:v>2015</x:v>
      </x:c>
      <x:c r="N951" s="20" t="n">
        <x:v>42125</x:v>
      </x:c>
    </x:row>
    <x:row r="952" ht="18" customHeight="1">
      <x:c r="A952" t="str">
        <x:v>US-2015-140200</x:v>
      </x:c>
      <x:c r="B952" s="18" t="n">
        <x:v>42211</x:v>
      </x:c>
      <x:c r="C952" t="str">
        <x:v>CA-12775</x:v>
      </x:c>
      <x:c r="D952" t="str">
        <x:v>Cynthia Arntzen</x:v>
      </x:c>
      <x:c r="E952" t="str">
        <x:v>Consumer</x:v>
      </x:c>
      <x:c r="F952" t="str">
        <x:v>West</x:v>
      </x:c>
      <x:c r="G952" t="str">
        <x:v>Furniture</x:v>
      </x:c>
      <x:c r="H952" t="str">
        <x:v>Tables</x:v>
      </x:c>
      <x:c r="I952" s="22" t="n">
        <x:v>393.165</x:v>
      </x:c>
      <x:c r="J952" s="24" t="n">
        <x:v>3</x:v>
      </x:c>
      <x:c r="K952" s="26" t="n">
        <x:v>0.5</x:v>
      </x:c>
      <x:c r="L952" s="22" t="n">
        <x:v>-204.44580000000005</x:v>
      </x:c>
      <x:c r="M952" t="n">
        <x:v>2015</x:v>
      </x:c>
      <x:c r="N952" s="20" t="n">
        <x:v>42186</x:v>
      </x:c>
    </x:row>
    <x:row r="953" ht="18" customHeight="1">
      <x:c r="A953" t="str">
        <x:v>US-2017-110576</x:v>
      </x:c>
      <x:c r="B953" s="18" t="n">
        <x:v>43067</x:v>
      </x:c>
      <x:c r="C953" t="str">
        <x:v>RB-19795</x:v>
      </x:c>
      <x:c r="D953" t="str">
        <x:v>Ross Baird</x:v>
      </x:c>
      <x:c r="E953" t="str">
        <x:v>Home Office</x:v>
      </x:c>
      <x:c r="F953" t="str">
        <x:v>East</x:v>
      </x:c>
      <x:c r="G953" t="str">
        <x:v>Furniture</x:v>
      </x:c>
      <x:c r="H953" t="str">
        <x:v>Furnishings</x:v>
      </x:c>
      <x:c r="I953" s="22" t="n">
        <x:v>516.488</x:v>
      </x:c>
      <x:c r="J953" s="24" t="n">
        <x:v>7</x:v>
      </x:c>
      <x:c r="K953" s="26" t="n">
        <x:v>0.2</x:v>
      </x:c>
      <x:c r="L953" s="22" t="n">
        <x:v>-12.912200000000027</x:v>
      </x:c>
      <x:c r="M953" t="n">
        <x:v>2017</x:v>
      </x:c>
      <x:c r="N953" s="20" t="n">
        <x:v>43040</x:v>
      </x:c>
    </x:row>
    <x:row r="954" ht="18" customHeight="1">
      <x:c r="A954" t="str">
        <x:v>US-2017-110576</x:v>
      </x:c>
      <x:c r="B954" s="18" t="n">
        <x:v>43067</x:v>
      </x:c>
      <x:c r="C954" t="str">
        <x:v>RB-19795</x:v>
      </x:c>
      <x:c r="D954" t="str">
        <x:v>Ross Baird</x:v>
      </x:c>
      <x:c r="E954" t="str">
        <x:v>Home Office</x:v>
      </x:c>
      <x:c r="F954" t="str">
        <x:v>East</x:v>
      </x:c>
      <x:c r="G954" t="str">
        <x:v>Furniture</x:v>
      </x:c>
      <x:c r="H954" t="str">
        <x:v>Furnishings</x:v>
      </x:c>
      <x:c r="I954" s="22" t="n">
        <x:v>1007.2320000000001</x:v>
      </x:c>
      <x:c r="J954" s="24" t="n">
        <x:v>6</x:v>
      </x:c>
      <x:c r="K954" s="26" t="n">
        <x:v>0.2</x:v>
      </x:c>
      <x:c r="L954" s="22" t="n">
        <x:v>75.54240000000001</x:v>
      </x:c>
      <x:c r="M954" t="n">
        <x:v>2017</x:v>
      </x:c>
      <x:c r="N954" s="20" t="n">
        <x:v>43040</x:v>
      </x:c>
    </x:row>
    <x:row r="955" ht="18" customHeight="1">
      <x:c r="A955" t="str">
        <x:v>US-2017-110576</x:v>
      </x:c>
      <x:c r="B955" s="18" t="n">
        <x:v>43067</x:v>
      </x:c>
      <x:c r="C955" t="str">
        <x:v>RB-19795</x:v>
      </x:c>
      <x:c r="D955" t="str">
        <x:v>Ross Baird</x:v>
      </x:c>
      <x:c r="E955" t="str">
        <x:v>Home Office</x:v>
      </x:c>
      <x:c r="F955" t="str">
        <x:v>East</x:v>
      </x:c>
      <x:c r="G955" t="str">
        <x:v>Furniture</x:v>
      </x:c>
      <x:c r="H955" t="str">
        <x:v>Tables</x:v>
      </x:c>
      <x:c r="I955" s="22" t="n">
        <x:v>2065.32</x:v>
      </x:c>
      <x:c r="J955" s="24" t="n">
        <x:v>12</x:v>
      </x:c>
      <x:c r="K955" s="26" t="n">
        <x:v>0.4</x:v>
      </x:c>
      <x:c r="L955" s="22" t="n">
        <x:v>-619.5960000000001</x:v>
      </x:c>
      <x:c r="M955" t="n">
        <x:v>2017</x:v>
      </x:c>
      <x:c r="N955" s="20" t="n">
        <x:v>43040</x:v>
      </x:c>
    </x:row>
    <x:row r="956" ht="18" customHeight="1">
      <x:c r="A956" t="str">
        <x:v>US-2017-110576</x:v>
      </x:c>
      <x:c r="B956" s="18" t="n">
        <x:v>43067</x:v>
      </x:c>
      <x:c r="C956" t="str">
        <x:v>RB-19795</x:v>
      </x:c>
      <x:c r="D956" t="str">
        <x:v>Ross Baird</x:v>
      </x:c>
      <x:c r="E956" t="str">
        <x:v>Home Office</x:v>
      </x:c>
      <x:c r="F956" t="str">
        <x:v>East</x:v>
      </x:c>
      <x:c r="G956" t="str">
        <x:v>Office Supplies</x:v>
      </x:c>
      <x:c r="H956" t="str">
        <x:v>Paper</x:v>
      </x:c>
      <x:c r="I956" s="22" t="n">
        <x:v>15.552000000000003</x:v>
      </x:c>
      <x:c r="J956" s="24" t="n">
        <x:v>3</x:v>
      </x:c>
      <x:c r="K956" s="26" t="n">
        <x:v>0.2</x:v>
      </x:c>
      <x:c r="L956" s="22" t="n">
        <x:v>5.4432</x:v>
      </x:c>
      <x:c r="M956" t="n">
        <x:v>2017</x:v>
      </x:c>
      <x:c r="N956" s="20" t="n">
        <x:v>43040</x:v>
      </x:c>
    </x:row>
    <x:row r="957" ht="18" customHeight="1">
      <x:c r="A957" t="str">
        <x:v>US-2017-110576</x:v>
      </x:c>
      <x:c r="B957" s="18" t="n">
        <x:v>43067</x:v>
      </x:c>
      <x:c r="C957" t="str">
        <x:v>RB-19795</x:v>
      </x:c>
      <x:c r="D957" t="str">
        <x:v>Ross Baird</x:v>
      </x:c>
      <x:c r="E957" t="str">
        <x:v>Home Office</x:v>
      </x:c>
      <x:c r="F957" t="str">
        <x:v>East</x:v>
      </x:c>
      <x:c r="G957" t="str">
        <x:v>Office Supplies</x:v>
      </x:c>
      <x:c r="H957" t="str">
        <x:v>Paper</x:v>
      </x:c>
      <x:c r="I957" s="22" t="n">
        <x:v>25.344</x:v>
      </x:c>
      <x:c r="J957" s="24" t="n">
        <x:v>6</x:v>
      </x:c>
      <x:c r="K957" s="26" t="n">
        <x:v>0.2</x:v>
      </x:c>
      <x:c r="L957" s="22" t="n">
        <x:v>7.92</x:v>
      </x:c>
      <x:c r="M957" t="n">
        <x:v>2017</x:v>
      </x:c>
      <x:c r="N957" s="20" t="n">
        <x:v>43040</x:v>
      </x:c>
    </x:row>
    <x:row r="958" ht="18" customHeight="1">
      <x:c r="A958" t="str">
        <x:v>CA-2017-131156</x:v>
      </x:c>
      <x:c r="B958" s="18" t="n">
        <x:v>42828</x:v>
      </x:c>
      <x:c r="C958" t="str">
        <x:v>KH-16360</x:v>
      </x:c>
      <x:c r="D958" t="str">
        <x:v>Katherine Hughes</x:v>
      </x:c>
      <x:c r="E958" t="str">
        <x:v>Consumer</x:v>
      </x:c>
      <x:c r="F958" t="str">
        <x:v>East</x:v>
      </x:c>
      <x:c r="G958" t="str">
        <x:v>Furniture</x:v>
      </x:c>
      <x:c r="H958" t="str">
        <x:v>Furnishings</x:v>
      </x:c>
      <x:c r="I958" s="22" t="n">
        <x:v>25.472</x:v>
      </x:c>
      <x:c r="J958" s="24" t="n">
        <x:v>4</x:v>
      </x:c>
      <x:c r="K958" s="26" t="n">
        <x:v>0.2</x:v>
      </x:c>
      <x:c r="L958" s="22" t="n">
        <x:v>7.641600000000002</x:v>
      </x:c>
      <x:c r="M958" t="n">
        <x:v>2017</x:v>
      </x:c>
      <x:c r="N958" s="20" t="n">
        <x:v>42826</x:v>
      </x:c>
    </x:row>
    <x:row r="959" ht="18" customHeight="1">
      <x:c r="A959" t="str">
        <x:v>CA-2017-136539</x:v>
      </x:c>
      <x:c r="B959" s="18" t="n">
        <x:v>43097</x:v>
      </x:c>
      <x:c r="C959" t="str">
        <x:v>GH-14665</x:v>
      </x:c>
      <x:c r="D959" t="str">
        <x:v>Greg Hansen</x:v>
      </x:c>
      <x:c r="E959" t="str">
        <x:v>Consumer</x:v>
      </x:c>
      <x:c r="F959" t="str">
        <x:v>Central</x:v>
      </x:c>
      <x:c r="G959" t="str">
        <x:v>Office Supplies</x:v>
      </x:c>
      <x:c r="H959" t="str">
        <x:v>Art</x:v>
      </x:c>
      <x:c r="I959" s="22" t="n">
        <x:v>27.168000000000003</x:v>
      </x:c>
      <x:c r="J959" s="24" t="n">
        <x:v>2</x:v>
      </x:c>
      <x:c r="K959" s="26" t="n">
        <x:v>0.2</x:v>
      </x:c>
      <x:c r="L959" s="22" t="n">
        <x:v>2.7168</x:v>
      </x:c>
      <x:c r="M959" t="n">
        <x:v>2017</x:v>
      </x:c>
      <x:c r="N959" s="20" t="n">
        <x:v>43070</x:v>
      </x:c>
    </x:row>
    <x:row r="960" ht="18" customHeight="1">
      <x:c r="A960" t="str">
        <x:v>CA-2017-136539</x:v>
      </x:c>
      <x:c r="B960" s="18" t="n">
        <x:v>43097</x:v>
      </x:c>
      <x:c r="C960" t="str">
        <x:v>GH-14665</x:v>
      </x:c>
      <x:c r="D960" t="str">
        <x:v>Greg Hansen</x:v>
      </x:c>
      <x:c r="E960" t="str">
        <x:v>Consumer</x:v>
      </x:c>
      <x:c r="F960" t="str">
        <x:v>Central</x:v>
      </x:c>
      <x:c r="G960" t="str">
        <x:v>Furniture</x:v>
      </x:c>
      <x:c r="H960" t="str">
        <x:v>Bookcases</x:v>
      </x:c>
      <x:c r="I960" s="22" t="n">
        <x:v>78.85279999999999</x:v>
      </x:c>
      <x:c r="J960" s="24" t="n">
        <x:v>2</x:v>
      </x:c>
      <x:c r="K960" s="26" t="n">
        <x:v>0.32</x:v>
      </x:c>
      <x:c r="L960" s="22" t="n">
        <x:v>-11.595999999999997</x:v>
      </x:c>
      <x:c r="M960" t="n">
        <x:v>2017</x:v>
      </x:c>
      <x:c r="N960" s="20" t="n">
        <x:v>43070</x:v>
      </x:c>
    </x:row>
    <x:row r="961" ht="18" customHeight="1">
      <x:c r="A961" t="str">
        <x:v>CA-2017-119305</x:v>
      </x:c>
      <x:c r="B961" s="18" t="n">
        <x:v>43069</x:v>
      </x:c>
      <x:c r="C961" t="str">
        <x:v>SW-20275</x:v>
      </x:c>
      <x:c r="D961" t="str">
        <x:v>Scott Williamson</x:v>
      </x:c>
      <x:c r="E961" t="str">
        <x:v>Consumer</x:v>
      </x:c>
      <x:c r="F961" t="str">
        <x:v>South</x:v>
      </x:c>
      <x:c r="G961" t="str">
        <x:v>Office Supplies</x:v>
      </x:c>
      <x:c r="H961" t="str">
        <x:v>Storage</x:v>
      </x:c>
      <x:c r="I961" s="22" t="n">
        <x:v>173.79999999999998</x:v>
      </x:c>
      <x:c r="J961" s="24" t="n">
        <x:v>5</x:v>
      </x:c>
      <x:c r="K961" s="26" t="n">
        <x:v>0</x:v>
      </x:c>
      <x:c r="L961" s="22" t="n">
        <x:v>43.44999999999999</x:v>
      </x:c>
      <x:c r="M961" t="n">
        <x:v>2017</x:v>
      </x:c>
      <x:c r="N961" s="20" t="n">
        <x:v>43040</x:v>
      </x:c>
    </x:row>
    <x:row r="962" ht="18" customHeight="1">
      <x:c r="A962" t="str">
        <x:v>CA-2017-102414</x:v>
      </x:c>
      <x:c r="B962" s="18" t="n">
        <x:v>42870</x:v>
      </x:c>
      <x:c r="C962" t="str">
        <x:v>JA-15970</x:v>
      </x:c>
      <x:c r="D962" t="str">
        <x:v>Joseph Airdo</x:v>
      </x:c>
      <x:c r="E962" t="str">
        <x:v>Consumer</x:v>
      </x:c>
      <x:c r="F962" t="str">
        <x:v>West</x:v>
      </x:c>
      <x:c r="G962" t="str">
        <x:v>Technology</x:v>
      </x:c>
      <x:c r="H962" t="str">
        <x:v>Phones</x:v>
      </x:c>
      <x:c r="I962" s="22" t="n">
        <x:v>29.592000000000002</x:v>
      </x:c>
      <x:c r="J962" s="24" t="n">
        <x:v>1</x:v>
      </x:c>
      <x:c r="K962" s="26" t="n">
        <x:v>0.2</x:v>
      </x:c>
      <x:c r="L962" s="22" t="n">
        <x:v>2.5893000000000006</x:v>
      </x:c>
      <x:c r="M962" t="n">
        <x:v>2017</x:v>
      </x:c>
      <x:c r="N962" s="20" t="n">
        <x:v>42856</x:v>
      </x:c>
    </x:row>
    <x:row r="963" ht="18" customHeight="1">
      <x:c r="A963" t="str">
        <x:v>CA-2017-102414</x:v>
      </x:c>
      <x:c r="B963" s="18" t="n">
        <x:v>42870</x:v>
      </x:c>
      <x:c r="C963" t="str">
        <x:v>JA-15970</x:v>
      </x:c>
      <x:c r="D963" t="str">
        <x:v>Joseph Airdo</x:v>
      </x:c>
      <x:c r="E963" t="str">
        <x:v>Consumer</x:v>
      </x:c>
      <x:c r="F963" t="str">
        <x:v>West</x:v>
      </x:c>
      <x:c r="G963" t="str">
        <x:v>Office Supplies</x:v>
      </x:c>
      <x:c r="H963" t="str">
        <x:v>Binders</x:v>
      </x:c>
      <x:c r="I963" s="22" t="n">
        <x:v>4.752000000000001</x:v>
      </x:c>
      <x:c r="J963" s="24" t="n">
        <x:v>2</x:v>
      </x:c>
      <x:c r="K963" s="26" t="n">
        <x:v>0.7</x:v>
      </x:c>
      <x:c r="L963" s="22" t="n">
        <x:v>-3.1679999999999993</x:v>
      </x:c>
      <x:c r="M963" t="n">
        <x:v>2017</x:v>
      </x:c>
      <x:c r="N963" s="20" t="n">
        <x:v>42856</x:v>
      </x:c>
    </x:row>
    <x:row r="964" ht="18" customHeight="1">
      <x:c r="A964" t="str">
        <x:v>CA-2017-102414</x:v>
      </x:c>
      <x:c r="B964" s="18" t="n">
        <x:v>42870</x:v>
      </x:c>
      <x:c r="C964" t="str">
        <x:v>JA-15970</x:v>
      </x:c>
      <x:c r="D964" t="str">
        <x:v>Joseph Airdo</x:v>
      </x:c>
      <x:c r="E964" t="str">
        <x:v>Consumer</x:v>
      </x:c>
      <x:c r="F964" t="str">
        <x:v>West</x:v>
      </x:c>
      <x:c r="G964" t="str">
        <x:v>Office Supplies</x:v>
      </x:c>
      <x:c r="H964" t="str">
        <x:v>Paper</x:v>
      </x:c>
      <x:c r="I964" s="22" t="n">
        <x:v>15.552000000000003</x:v>
      </x:c>
      <x:c r="J964" s="24" t="n">
        <x:v>3</x:v>
      </x:c>
      <x:c r="K964" s="26" t="n">
        <x:v>0.2</x:v>
      </x:c>
      <x:c r="L964" s="22" t="n">
        <x:v>5.6376</x:v>
      </x:c>
      <x:c r="M964" t="n">
        <x:v>2017</x:v>
      </x:c>
      <x:c r="N964" s="20" t="n">
        <x:v>42856</x:v>
      </x:c>
    </x:row>
    <x:row r="965" ht="18" customHeight="1">
      <x:c r="A965" t="str">
        <x:v>CA-2015-112571</x:v>
      </x:c>
      <x:c r="B965" s="18" t="n">
        <x:v>42269</x:v>
      </x:c>
      <x:c r="C965" t="str">
        <x:v>DL-12925</x:v>
      </x:c>
      <x:c r="D965" t="str">
        <x:v>Daniel Lacy</x:v>
      </x:c>
      <x:c r="E965" t="str">
        <x:v>Consumer</x:v>
      </x:c>
      <x:c r="F965" t="str">
        <x:v>West</x:v>
      </x:c>
      <x:c r="G965" t="str">
        <x:v>Furniture</x:v>
      </x:c>
      <x:c r="H965" t="str">
        <x:v>Furnishings</x:v>
      </x:c>
      <x:c r="I965" s="22" t="n">
        <x:v>204.6</x:v>
      </x:c>
      <x:c r="J965" s="24" t="n">
        <x:v>2</x:v>
      </x:c>
      <x:c r="K965" s="26" t="n">
        <x:v>0</x:v>
      </x:c>
      <x:c r="L965" s="22" t="n">
        <x:v>53.196</x:v>
      </x:c>
      <x:c r="M965" t="n">
        <x:v>2015</x:v>
      </x:c>
      <x:c r="N965" s="20" t="n">
        <x:v>42248</x:v>
      </x:c>
    </x:row>
    <x:row r="966" ht="18" customHeight="1">
      <x:c r="A966" t="str">
        <x:v>CA-2017-152142</x:v>
      </x:c>
      <x:c r="B966" s="18" t="n">
        <x:v>43053</x:v>
      </x:c>
      <x:c r="C966" t="str">
        <x:v>LW-16990</x:v>
      </x:c>
      <x:c r="D966" t="str">
        <x:v>Lindsay Williams</x:v>
      </x:c>
      <x:c r="E966" t="str">
        <x:v>Corporate</x:v>
      </x:c>
      <x:c r="F966" t="str">
        <x:v>West</x:v>
      </x:c>
      <x:c r="G966" t="str">
        <x:v>Furniture</x:v>
      </x:c>
      <x:c r="H966" t="str">
        <x:v>Chairs</x:v>
      </x:c>
      <x:c r="I966" s="22" t="n">
        <x:v>321.568</x:v>
      </x:c>
      <x:c r="J966" s="24" t="n">
        <x:v>2</x:v>
      </x:c>
      <x:c r="K966" s="26" t="n">
        <x:v>0.2</x:v>
      </x:c>
      <x:c r="L966" s="22" t="n">
        <x:v>28.137200000000007</x:v>
      </x:c>
      <x:c r="M966" t="n">
        <x:v>2017</x:v>
      </x:c>
      <x:c r="N966" s="20" t="n">
        <x:v>43040</x:v>
      </x:c>
    </x:row>
    <x:row r="967" ht="18" customHeight="1">
      <x:c r="A967" t="str">
        <x:v>CA-2015-160059</x:v>
      </x:c>
      <x:c r="B967" s="18" t="n">
        <x:v>42335</x:v>
      </x:c>
      <x:c r="C967" t="str">
        <x:v>TB-21190</x:v>
      </x:c>
      <x:c r="D967" t="str">
        <x:v>Thomas Brumley</x:v>
      </x:c>
      <x:c r="E967" t="str">
        <x:v>Home Office</x:v>
      </x:c>
      <x:c r="F967" t="str">
        <x:v>South</x:v>
      </x:c>
      <x:c r="G967" t="str">
        <x:v>Office Supplies</x:v>
      </x:c>
      <x:c r="H967" t="str">
        <x:v>Binders</x:v>
      </x:c>
      <x:c r="I967" s="22" t="n">
        <x:v>6.24</x:v>
      </x:c>
      <x:c r="J967" s="24" t="n">
        <x:v>2</x:v>
      </x:c>
      <x:c r="K967" s="26" t="n">
        <x:v>0</x:v>
      </x:c>
      <x:c r="L967" s="22" t="n">
        <x:v>3.0576</x:v>
      </x:c>
      <x:c r="M967" t="n">
        <x:v>2015</x:v>
      </x:c>
      <x:c r="N967" s="20" t="n">
        <x:v>42309</x:v>
      </x:c>
    </x:row>
    <x:row r="968" ht="18" customHeight="1">
      <x:c r="A968" t="str">
        <x:v>CA-2016-120859</x:v>
      </x:c>
      <x:c r="B968" s="18" t="n">
        <x:v>42614</x:v>
      </x:c>
      <x:c r="C968" t="str">
        <x:v>CV-12805</x:v>
      </x:c>
      <x:c r="D968" t="str">
        <x:v>Cynthia Voltz</x:v>
      </x:c>
      <x:c r="E968" t="str">
        <x:v>Corporate</x:v>
      </x:c>
      <x:c r="F968" t="str">
        <x:v>West</x:v>
      </x:c>
      <x:c r="G968" t="str">
        <x:v>Office Supplies</x:v>
      </x:c>
      <x:c r="H968" t="str">
        <x:v>Envelopes</x:v>
      </x:c>
      <x:c r="I968" s="22" t="n">
        <x:v>21.88</x:v>
      </x:c>
      <x:c r="J968" s="24" t="n">
        <x:v>2</x:v>
      </x:c>
      <x:c r="K968" s="26" t="n">
        <x:v>0</x:v>
      </x:c>
      <x:c r="L968" s="22" t="n">
        <x:v>10.94</x:v>
      </x:c>
      <x:c r="M968" t="n">
        <x:v>2016</x:v>
      </x:c>
      <x:c r="N968" s="20" t="n">
        <x:v>42614</x:v>
      </x:c>
    </x:row>
    <x:row r="969" ht="18" customHeight="1">
      <x:c r="A969" t="str">
        <x:v>CA-2014-127488</x:v>
      </x:c>
      <x:c r="B969" s="18" t="n">
        <x:v>41904</x:v>
      </x:c>
      <x:c r="C969" t="str">
        <x:v>MS-17365</x:v>
      </x:c>
      <x:c r="D969" t="str">
        <x:v>Maribeth Schnelling</x:v>
      </x:c>
      <x:c r="E969" t="str">
        <x:v>Consumer</x:v>
      </x:c>
      <x:c r="F969" t="str">
        <x:v>South</x:v>
      </x:c>
      <x:c r="G969" t="str">
        <x:v>Office Supplies</x:v>
      </x:c>
      <x:c r="H969" t="str">
        <x:v>Labels</x:v>
      </x:c>
      <x:c r="I969" s="22" t="n">
        <x:v>4.608</x:v>
      </x:c>
      <x:c r="J969" s="24" t="n">
        <x:v>2</x:v>
      </x:c>
      <x:c r="K969" s="26" t="n">
        <x:v>0.2</x:v>
      </x:c>
      <x:c r="L969" s="22" t="n">
        <x:v>1.6704</x:v>
      </x:c>
      <x:c r="M969" t="n">
        <x:v>2014</x:v>
      </x:c>
      <x:c r="N969" s="20" t="n">
        <x:v>41883</x:v>
      </x:c>
    </x:row>
    <x:row r="970" ht="18" customHeight="1">
      <x:c r="A970" t="str">
        <x:v>CA-2017-135279</x:v>
      </x:c>
      <x:c r="B970" s="18" t="n">
        <x:v>42834</x:v>
      </x:c>
      <x:c r="C970" t="str">
        <x:v>BS-11800</x:v>
      </x:c>
      <x:c r="D970" t="str">
        <x:v>Bryan Spruell</x:v>
      </x:c>
      <x:c r="E970" t="str">
        <x:v>Home Office</x:v>
      </x:c>
      <x:c r="F970" t="str">
        <x:v>East</x:v>
      </x:c>
      <x:c r="G970" t="str">
        <x:v>Office Supplies</x:v>
      </x:c>
      <x:c r="H970" t="str">
        <x:v>Labels</x:v>
      </x:c>
      <x:c r="I970" s="22" t="n">
        <x:v>9.82</x:v>
      </x:c>
      <x:c r="J970" s="24" t="n">
        <x:v>2</x:v>
      </x:c>
      <x:c r="K970" s="26" t="n">
        <x:v>0</x:v>
      </x:c>
      <x:c r="L970" s="22" t="n">
        <x:v>4.8118</x:v>
      </x:c>
      <x:c r="M970" t="n">
        <x:v>2017</x:v>
      </x:c>
      <x:c r="N970" s="20" t="n">
        <x:v>42826</x:v>
      </x:c>
    </x:row>
    <x:row r="971" ht="18" customHeight="1">
      <x:c r="A971" t="str">
        <x:v>CA-2017-135279</x:v>
      </x:c>
      <x:c r="B971" s="18" t="n">
        <x:v>42834</x:v>
      </x:c>
      <x:c r="C971" t="str">
        <x:v>BS-11800</x:v>
      </x:c>
      <x:c r="D971" t="str">
        <x:v>Bryan Spruell</x:v>
      </x:c>
      <x:c r="E971" t="str">
        <x:v>Home Office</x:v>
      </x:c>
      <x:c r="F971" t="str">
        <x:v>East</x:v>
      </x:c>
      <x:c r="G971" t="str">
        <x:v>Office Supplies</x:v>
      </x:c>
      <x:c r="H971" t="str">
        <x:v>Art</x:v>
      </x:c>
      <x:c r="I971" s="22" t="n">
        <x:v>35.97</x:v>
      </x:c>
      <x:c r="J971" s="24" t="n">
        <x:v>3</x:v>
      </x:c>
      <x:c r="K971" s="26" t="n">
        <x:v>0</x:v>
      </x:c>
      <x:c r="L971" s="22" t="n">
        <x:v>9.711899999999998</x:v>
      </x:c>
      <x:c r="M971" t="n">
        <x:v>2017</x:v>
      </x:c>
      <x:c r="N971" s="20" t="n">
        <x:v>42826</x:v>
      </x:c>
    </x:row>
    <x:row r="972" ht="18" customHeight="1">
      <x:c r="A972" t="str">
        <x:v>CA-2017-135279</x:v>
      </x:c>
      <x:c r="B972" s="18" t="n">
        <x:v>42834</x:v>
      </x:c>
      <x:c r="C972" t="str">
        <x:v>BS-11800</x:v>
      </x:c>
      <x:c r="D972" t="str">
        <x:v>Bryan Spruell</x:v>
      </x:c>
      <x:c r="E972" t="str">
        <x:v>Home Office</x:v>
      </x:c>
      <x:c r="F972" t="str">
        <x:v>East</x:v>
      </x:c>
      <x:c r="G972" t="str">
        <x:v>Office Supplies</x:v>
      </x:c>
      <x:c r="H972" t="str">
        <x:v>Paper</x:v>
      </x:c>
      <x:c r="I972" s="22" t="n">
        <x:v>12.96</x:v>
      </x:c>
      <x:c r="J972" s="24" t="n">
        <x:v>2</x:v>
      </x:c>
      <x:c r="K972" s="26" t="n">
        <x:v>0</x:v>
      </x:c>
      <x:c r="L972" s="22" t="n">
        <x:v>6.2208000000000006</x:v>
      </x:c>
      <x:c r="M972" t="n">
        <x:v>2017</x:v>
      </x:c>
      <x:c r="N972" s="20" t="n">
        <x:v>42826</x:v>
      </x:c>
    </x:row>
    <x:row r="973" ht="18" customHeight="1">
      <x:c r="A973" t="str">
        <x:v>CA-2017-135279</x:v>
      </x:c>
      <x:c r="B973" s="18" t="n">
        <x:v>42834</x:v>
      </x:c>
      <x:c r="C973" t="str">
        <x:v>BS-11800</x:v>
      </x:c>
      <x:c r="D973" t="str">
        <x:v>Bryan Spruell</x:v>
      </x:c>
      <x:c r="E973" t="str">
        <x:v>Home Office</x:v>
      </x:c>
      <x:c r="F973" t="str">
        <x:v>East</x:v>
      </x:c>
      <x:c r="G973" t="str">
        <x:v>Office Supplies</x:v>
      </x:c>
      <x:c r="H973" t="str">
        <x:v>Paper</x:v>
      </x:c>
      <x:c r="I973" s="22" t="n">
        <x:v>191.6</x:v>
      </x:c>
      <x:c r="J973" s="24" t="n">
        <x:v>4</x:v>
      </x:c>
      <x:c r="K973" s="26" t="n">
        <x:v>0</x:v>
      </x:c>
      <x:c r="L973" s="22" t="n">
        <x:v>91.96799999999999</x:v>
      </x:c>
      <x:c r="M973" t="n">
        <x:v>2017</x:v>
      </x:c>
      <x:c r="N973" s="20" t="n">
        <x:v>42826</x:v>
      </x:c>
    </x:row>
    <x:row r="974" ht="18" customHeight="1">
      <x:c r="A974" t="str">
        <x:v>CA-2017-135279</x:v>
      </x:c>
      <x:c r="B974" s="18" t="n">
        <x:v>42834</x:v>
      </x:c>
      <x:c r="C974" t="str">
        <x:v>BS-11800</x:v>
      </x:c>
      <x:c r="D974" t="str">
        <x:v>Bryan Spruell</x:v>
      </x:c>
      <x:c r="E974" t="str">
        <x:v>Home Office</x:v>
      </x:c>
      <x:c r="F974" t="str">
        <x:v>East</x:v>
      </x:c>
      <x:c r="G974" t="str">
        <x:v>Office Supplies</x:v>
      </x:c>
      <x:c r="H974" t="str">
        <x:v>Labels</x:v>
      </x:c>
      <x:c r="I974" s="22" t="n">
        <x:v>8.64</x:v>
      </x:c>
      <x:c r="J974" s="24" t="n">
        <x:v>3</x:v>
      </x:c>
      <x:c r="K974" s="26" t="n">
        <x:v>0</x:v>
      </x:c>
      <x:c r="L974" s="22" t="n">
        <x:v>4.2336</x:v>
      </x:c>
      <x:c r="M974" t="n">
        <x:v>2017</x:v>
      </x:c>
      <x:c r="N974" s="20" t="n">
        <x:v>42826</x:v>
      </x:c>
    </x:row>
    <x:row r="975" ht="18" customHeight="1">
      <x:c r="A975" t="str">
        <x:v>CA-2017-135279</x:v>
      </x:c>
      <x:c r="B975" s="18" t="n">
        <x:v>42834</x:v>
      </x:c>
      <x:c r="C975" t="str">
        <x:v>BS-11800</x:v>
      </x:c>
      <x:c r="D975" t="str">
        <x:v>Bryan Spruell</x:v>
      </x:c>
      <x:c r="E975" t="str">
        <x:v>Home Office</x:v>
      </x:c>
      <x:c r="F975" t="str">
        <x:v>East</x:v>
      </x:c>
      <x:c r="G975" t="str">
        <x:v>Office Supplies</x:v>
      </x:c>
      <x:c r="H975" t="str">
        <x:v>Storage</x:v>
      </x:c>
      <x:c r="I975" s="22" t="n">
        <x:v>501.81000000000006</x:v>
      </x:c>
      <x:c r="J975" s="24" t="n">
        <x:v>3</x:v>
      </x:c>
      <x:c r="K975" s="26" t="n">
        <x:v>0</x:v>
      </x:c>
      <x:c r="L975" s="22" t="n">
        <x:v>0</x:v>
      </x:c>
      <x:c r="M975" t="n">
        <x:v>2017</x:v>
      </x:c>
      <x:c r="N975" s="20" t="n">
        <x:v>42826</x:v>
      </x:c>
    </x:row>
    <x:row r="976" ht="18" customHeight="1">
      <x:c r="A976" t="str">
        <x:v>CA-2014-115791</x:v>
      </x:c>
      <x:c r="B976" s="18" t="n">
        <x:v>41655</x:v>
      </x:c>
      <x:c r="C976" t="str">
        <x:v>DL-13315</x:v>
      </x:c>
      <x:c r="D976" t="str">
        <x:v>Delfina Latchford</x:v>
      </x:c>
      <x:c r="E976" t="str">
        <x:v>Consumer</x:v>
      </x:c>
      <x:c r="F976" t="str">
        <x:v>East</x:v>
      </x:c>
      <x:c r="G976" t="str">
        <x:v>Furniture</x:v>
      </x:c>
      <x:c r="H976" t="str">
        <x:v>Furnishings</x:v>
      </x:c>
      <x:c r="I976" s="22" t="n">
        <x:v>127.10400000000001</x:v>
      </x:c>
      <x:c r="J976" s="24" t="n">
        <x:v>6</x:v>
      </x:c>
      <x:c r="K976" s="26" t="n">
        <x:v>0.2</x:v>
      </x:c>
      <x:c r="L976" s="22" t="n">
        <x:v>28.598399999999998</x:v>
      </x:c>
      <x:c r="M976" t="n">
        <x:v>2014</x:v>
      </x:c>
      <x:c r="N976" s="20" t="n">
        <x:v>41640</x:v>
      </x:c>
    </x:row>
    <x:row r="977" ht="18" customHeight="1">
      <x:c r="A977" t="str">
        <x:v>CA-2014-115791</x:v>
      </x:c>
      <x:c r="B977" s="18" t="n">
        <x:v>41655</x:v>
      </x:c>
      <x:c r="C977" t="str">
        <x:v>DL-13315</x:v>
      </x:c>
      <x:c r="D977" t="str">
        <x:v>Delfina Latchford</x:v>
      </x:c>
      <x:c r="E977" t="str">
        <x:v>Consumer</x:v>
      </x:c>
      <x:c r="F977" t="str">
        <x:v>East</x:v>
      </x:c>
      <x:c r="G977" t="str">
        <x:v>Technology</x:v>
      </x:c>
      <x:c r="H977" t="str">
        <x:v>Phones</x:v>
      </x:c>
      <x:c r="I977" s="22" t="n">
        <x:v>124.19999999999999</x:v>
      </x:c>
      <x:c r="J977" s="24" t="n">
        <x:v>3</x:v>
      </x:c>
      <x:c r="K977" s="26" t="n">
        <x:v>0.4</x:v>
      </x:c>
      <x:c r="L977" s="22" t="n">
        <x:v>-31.05000000000001</x:v>
      </x:c>
      <x:c r="M977" t="n">
        <x:v>2014</x:v>
      </x:c>
      <x:c r="N977" s="20" t="n">
        <x:v>41640</x:v>
      </x:c>
    </x:row>
    <x:row r="978" ht="18" customHeight="1">
      <x:c r="A978" t="str">
        <x:v>CA-2014-115791</x:v>
      </x:c>
      <x:c r="B978" s="18" t="n">
        <x:v>41655</x:v>
      </x:c>
      <x:c r="C978" t="str">
        <x:v>DL-13315</x:v>
      </x:c>
      <x:c r="D978" t="str">
        <x:v>Delfina Latchford</x:v>
      </x:c>
      <x:c r="E978" t="str">
        <x:v>Consumer</x:v>
      </x:c>
      <x:c r="F978" t="str">
        <x:v>East</x:v>
      </x:c>
      <x:c r="G978" t="str">
        <x:v>Office Supplies</x:v>
      </x:c>
      <x:c r="H978" t="str">
        <x:v>Binders</x:v>
      </x:c>
      <x:c r="I978" s="22" t="n">
        <x:v>18.588000000000005</x:v>
      </x:c>
      <x:c r="J978" s="24" t="n">
        <x:v>2</x:v>
      </x:c>
      <x:c r="K978" s="26" t="n">
        <x:v>0.7</x:v>
      </x:c>
      <x:c r="L978" s="22" t="n">
        <x:v>-13.6312</x:v>
      </x:c>
      <x:c r="M978" t="n">
        <x:v>2014</x:v>
      </x:c>
      <x:c r="N978" s="20" t="n">
        <x:v>41640</x:v>
      </x:c>
    </x:row>
    <x:row r="979" ht="18" customHeight="1">
      <x:c r="A979" t="str">
        <x:v>CA-2014-115791</x:v>
      </x:c>
      <x:c r="B979" s="18" t="n">
        <x:v>41655</x:v>
      </x:c>
      <x:c r="C979" t="str">
        <x:v>DL-13315</x:v>
      </x:c>
      <x:c r="D979" t="str">
        <x:v>Delfina Latchford</x:v>
      </x:c>
      <x:c r="E979" t="str">
        <x:v>Consumer</x:v>
      </x:c>
      <x:c r="F979" t="str">
        <x:v>East</x:v>
      </x:c>
      <x:c r="G979" t="str">
        <x:v>Office Supplies</x:v>
      </x:c>
      <x:c r="H979" t="str">
        <x:v>Labels</x:v>
      </x:c>
      <x:c r="I979" s="22" t="n">
        <x:v>30.072000000000003</x:v>
      </x:c>
      <x:c r="J979" s="24" t="n">
        <x:v>3</x:v>
      </x:c>
      <x:c r="K979" s="26" t="n">
        <x:v>0.2</x:v>
      </x:c>
      <x:c r="L979" s="22" t="n">
        <x:v>10.149299999999997</x:v>
      </x:c>
      <x:c r="M979" t="n">
        <x:v>2014</x:v>
      </x:c>
      <x:c r="N979" s="20" t="n">
        <x:v>41640</x:v>
      </x:c>
    </x:row>
    <x:row r="980" ht="18" customHeight="1">
      <x:c r="A980" t="str">
        <x:v>US-2017-103247</x:v>
      </x:c>
      <x:c r="B980" s="18" t="n">
        <x:v>43013</x:v>
      </x:c>
      <x:c r="C980" t="str">
        <x:v>PO-19195</x:v>
      </x:c>
      <x:c r="D980" t="str">
        <x:v>Phillina Ober</x:v>
      </x:c>
      <x:c r="E980" t="str">
        <x:v>Home Office</x:v>
      </x:c>
      <x:c r="F980" t="str">
        <x:v>East</x:v>
      </x:c>
      <x:c r="G980" t="str">
        <x:v>Technology</x:v>
      </x:c>
      <x:c r="H980" t="str">
        <x:v>Phones</x:v>
      </x:c>
      <x:c r="I980" s="22" t="n">
        <x:v>160.92999999999998</x:v>
      </x:c>
      <x:c r="J980" s="24" t="n">
        <x:v>7</x:v>
      </x:c>
      <x:c r="K980" s="26" t="n">
        <x:v>0</x:v>
      </x:c>
      <x:c r="L980" s="22" t="n">
        <x:v>3.2186000000000092</x:v>
      </x:c>
      <x:c r="M980" t="n">
        <x:v>2017</x:v>
      </x:c>
      <x:c r="N980" s="20" t="n">
        <x:v>43009</x:v>
      </x:c>
    </x:row>
    <x:row r="981" ht="18" customHeight="1">
      <x:c r="A981" t="str">
        <x:v>US-2017-103247</x:v>
      </x:c>
      <x:c r="B981" s="18" t="n">
        <x:v>43013</x:v>
      </x:c>
      <x:c r="C981" t="str">
        <x:v>PO-19195</x:v>
      </x:c>
      <x:c r="D981" t="str">
        <x:v>Phillina Ober</x:v>
      </x:c>
      <x:c r="E981" t="str">
        <x:v>Home Office</x:v>
      </x:c>
      <x:c r="F981" t="str">
        <x:v>East</x:v>
      </x:c>
      <x:c r="G981" t="str">
        <x:v>Office Supplies</x:v>
      </x:c>
      <x:c r="H981" t="str">
        <x:v>Binders</x:v>
      </x:c>
      <x:c r="I981" s="22" t="n">
        <x:v>75.792</x:v>
      </x:c>
      <x:c r="J981" s="24" t="n">
        <x:v>3</x:v>
      </x:c>
      <x:c r="K981" s="26" t="n">
        <x:v>0.2</x:v>
      </x:c>
      <x:c r="L981" s="22" t="n">
        <x:v>25.57979999999999</x:v>
      </x:c>
      <x:c r="M981" t="n">
        <x:v>2017</x:v>
      </x:c>
      <x:c r="N981" s="20" t="n">
        <x:v>43009</x:v>
      </x:c>
    </x:row>
    <x:row r="982" ht="18" customHeight="1">
      <x:c r="A982" t="str">
        <x:v>US-2017-100209</x:v>
      </x:c>
      <x:c r="B982" s="18" t="n">
        <x:v>42925</x:v>
      </x:c>
      <x:c r="C982" t="str">
        <x:v>TD-20995</x:v>
      </x:c>
      <x:c r="D982" t="str">
        <x:v>Tamara Dahlen</x:v>
      </x:c>
      <x:c r="E982" t="str">
        <x:v>Consumer</x:v>
      </x:c>
      <x:c r="F982" t="str">
        <x:v>West</x:v>
      </x:c>
      <x:c r="G982" t="str">
        <x:v>Office Supplies</x:v>
      </x:c>
      <x:c r="H982" t="str">
        <x:v>Binders</x:v>
      </x:c>
      <x:c r="I982" s="22" t="n">
        <x:v>1.0800000000000003</x:v>
      </x:c>
      <x:c r="J982" s="24" t="n">
        <x:v>2</x:v>
      </x:c>
      <x:c r="K982" s="26" t="n">
        <x:v>0.7</x:v>
      </x:c>
      <x:c r="L982" s="22" t="n">
        <x:v>-0.792</x:v>
      </x:c>
      <x:c r="M982" t="n">
        <x:v>2017</x:v>
      </x:c>
      <x:c r="N982" s="20" t="n">
        <x:v>42917</x:v>
      </x:c>
    </x:row>
    <x:row r="983" ht="18" customHeight="1">
      <x:c r="A983" t="str">
        <x:v>CA-2017-159366</x:v>
      </x:c>
      <x:c r="B983" s="18" t="n">
        <x:v>42742</x:v>
      </x:c>
      <x:c r="C983" t="str">
        <x:v>BW-11110</x:v>
      </x:c>
      <x:c r="D983" t="str">
        <x:v>Bart Watters</x:v>
      </x:c>
      <x:c r="E983" t="str">
        <x:v>Corporate</x:v>
      </x:c>
      <x:c r="F983" t="str">
        <x:v>Central</x:v>
      </x:c>
      <x:c r="G983" t="str">
        <x:v>Technology</x:v>
      </x:c>
      <x:c r="H983" t="str">
        <x:v>Machines</x:v>
      </x:c>
      <x:c r="I983" s="22" t="n">
        <x:v>3059.982</x:v>
      </x:c>
      <x:c r="J983" s="24" t="n">
        <x:v>2</x:v>
      </x:c>
      <x:c r="K983" s="26" t="n">
        <x:v>0.1</x:v>
      </x:c>
      <x:c r="L983" s="22" t="n">
        <x:v>679.9959999999996</x:v>
      </x:c>
      <x:c r="M983" t="n">
        <x:v>2017</x:v>
      </x:c>
      <x:c r="N983" s="20" t="n">
        <x:v>42736</x:v>
      </x:c>
    </x:row>
    <x:row r="984" ht="18" customHeight="1">
      <x:c r="A984" t="str">
        <x:v>CA-2016-145499</x:v>
      </x:c>
      <x:c r="B984" s="18" t="n">
        <x:v>42520</x:v>
      </x:c>
      <x:c r="C984" t="str">
        <x:v>RW-19690</x:v>
      </x:c>
      <x:c r="D984" t="str">
        <x:v>Robert Waldorf</x:v>
      </x:c>
      <x:c r="E984" t="str">
        <x:v>Consumer</x:v>
      </x:c>
      <x:c r="F984" t="str">
        <x:v>South</x:v>
      </x:c>
      <x:c r="G984" t="str">
        <x:v>Office Supplies</x:v>
      </x:c>
      <x:c r="H984" t="str">
        <x:v>Binders</x:v>
      </x:c>
      <x:c r="I984" s="22" t="n">
        <x:v>3.2820000000000005</x:v>
      </x:c>
      <x:c r="J984" s="24" t="n">
        <x:v>2</x:v>
      </x:c>
      <x:c r="K984" s="26" t="n">
        <x:v>0.7</x:v>
      </x:c>
      <x:c r="L984" s="22" t="n">
        <x:v>-2.6256000000000004</x:v>
      </x:c>
      <x:c r="M984" t="n">
        <x:v>2016</x:v>
      </x:c>
      <x:c r="N984" s="20" t="n">
        <x:v>42491</x:v>
      </x:c>
    </x:row>
    <x:row r="985" ht="18" customHeight="1">
      <x:c r="A985" t="str">
        <x:v>CA-2015-157035</x:v>
      </x:c>
      <x:c r="B985" s="18" t="n">
        <x:v>42347</x:v>
      </x:c>
      <x:c r="C985" t="str">
        <x:v>KB-16600</x:v>
      </x:c>
      <x:c r="D985" t="str">
        <x:v>Ken Brennan</x:v>
      </x:c>
      <x:c r="E985" t="str">
        <x:v>Corporate</x:v>
      </x:c>
      <x:c r="F985" t="str">
        <x:v>Central</x:v>
      </x:c>
      <x:c r="G985" t="str">
        <x:v>Office Supplies</x:v>
      </x:c>
      <x:c r="H985" t="str">
        <x:v>Paper</x:v>
      </x:c>
      <x:c r="I985" s="22" t="n">
        <x:v>34.019999999999996</x:v>
      </x:c>
      <x:c r="J985" s="24" t="n">
        <x:v>3</x:v>
      </x:c>
      <x:c r="K985" s="26" t="n">
        <x:v>0</x:v>
      </x:c>
      <x:c r="L985" s="22" t="n">
        <x:v>16.6698</x:v>
      </x:c>
      <x:c r="M985" t="n">
        <x:v>2015</x:v>
      </x:c>
      <x:c r="N985" s="20" t="n">
        <x:v>42339</x:v>
      </x:c>
    </x:row>
    <x:row r="986" ht="18" customHeight="1">
      <x:c r="A986" t="str">
        <x:v>CA-2016-144939</x:v>
      </x:c>
      <x:c r="B986" s="18" t="n">
        <x:v>42646</x:v>
      </x:c>
      <x:c r="C986" t="str">
        <x:v>EB-13870</x:v>
      </x:c>
      <x:c r="D986" t="str">
        <x:v>Emily Burns</x:v>
      </x:c>
      <x:c r="E986" t="str">
        <x:v>Consumer</x:v>
      </x:c>
      <x:c r="F986" t="str">
        <x:v>East</x:v>
      </x:c>
      <x:c r="G986" t="str">
        <x:v>Furniture</x:v>
      </x:c>
      <x:c r="H986" t="str">
        <x:v>Chairs</x:v>
      </x:c>
      <x:c r="I986" s="22" t="n">
        <x:v>599.292</x:v>
      </x:c>
      <x:c r="J986" s="24" t="n">
        <x:v>6</x:v>
      </x:c>
      <x:c r="K986" s="26" t="n">
        <x:v>0.1</x:v>
      </x:c>
      <x:c r="L986" s="22" t="n">
        <x:v>93.22319999999998</x:v>
      </x:c>
      <x:c r="M986" t="n">
        <x:v>2016</x:v>
      </x:c>
      <x:c r="N986" s="20" t="n">
        <x:v>42644</x:v>
      </x:c>
    </x:row>
    <x:row r="987" ht="18" customHeight="1">
      <x:c r="A987" t="str">
        <x:v>CA-2014-163419</x:v>
      </x:c>
      <x:c r="B987" s="18" t="n">
        <x:v>41954</x:v>
      </x:c>
      <x:c r="C987" t="str">
        <x:v>TZ-21580</x:v>
      </x:c>
      <x:c r="D987" t="str">
        <x:v>Tracy Zic</x:v>
      </x:c>
      <x:c r="E987" t="str">
        <x:v>Consumer</x:v>
      </x:c>
      <x:c r="F987" t="str">
        <x:v>West</x:v>
      </x:c>
      <x:c r="G987" t="str">
        <x:v>Office Supplies</x:v>
      </x:c>
      <x:c r="H987" t="str">
        <x:v>Art</x:v>
      </x:c>
      <x:c r="I987" s="22" t="n">
        <x:v>3.3920000000000003</x:v>
      </x:c>
      <x:c r="J987" s="24" t="n">
        <x:v>1</x:v>
      </x:c>
      <x:c r="K987" s="26" t="n">
        <x:v>0.2</x:v>
      </x:c>
      <x:c r="L987" s="22" t="n">
        <x:v>0.8055999999999999</x:v>
      </x:c>
      <x:c r="M987" t="n">
        <x:v>2014</x:v>
      </x:c>
      <x:c r="N987" s="20" t="n">
        <x:v>41944</x:v>
      </x:c>
    </x:row>
    <x:row r="988" ht="18" customHeight="1">
      <x:c r="A988" t="str">
        <x:v>CA-2014-163419</x:v>
      </x:c>
      <x:c r="B988" s="18" t="n">
        <x:v>41954</x:v>
      </x:c>
      <x:c r="C988" t="str">
        <x:v>TZ-21580</x:v>
      </x:c>
      <x:c r="D988" t="str">
        <x:v>Tracy Zic</x:v>
      </x:c>
      <x:c r="E988" t="str">
        <x:v>Consumer</x:v>
      </x:c>
      <x:c r="F988" t="str">
        <x:v>West</x:v>
      </x:c>
      <x:c r="G988" t="str">
        <x:v>Technology</x:v>
      </x:c>
      <x:c r="H988" t="str">
        <x:v>Phones</x:v>
      </x:c>
      <x:c r="I988" s="22" t="n">
        <x:v>559.984</x:v>
      </x:c>
      <x:c r="J988" s="24" t="n">
        <x:v>2</x:v>
      </x:c>
      <x:c r="K988" s="26" t="n">
        <x:v>0.2</x:v>
      </x:c>
      <x:c r="L988" s="22" t="n">
        <x:v>55.99840000000003</x:v>
      </x:c>
      <x:c r="M988" t="n">
        <x:v>2014</x:v>
      </x:c>
      <x:c r="N988" s="20" t="n">
        <x:v>41944</x:v>
      </x:c>
    </x:row>
    <x:row r="989" ht="18" customHeight="1">
      <x:c r="A989" t="str">
        <x:v>CA-2014-163419</x:v>
      </x:c>
      <x:c r="B989" s="18" t="n">
        <x:v>41954</x:v>
      </x:c>
      <x:c r="C989" t="str">
        <x:v>TZ-21580</x:v>
      </x:c>
      <x:c r="D989" t="str">
        <x:v>Tracy Zic</x:v>
      </x:c>
      <x:c r="E989" t="str">
        <x:v>Consumer</x:v>
      </x:c>
      <x:c r="F989" t="str">
        <x:v>West</x:v>
      </x:c>
      <x:c r="G989" t="str">
        <x:v>Furniture</x:v>
      </x:c>
      <x:c r="H989" t="str">
        <x:v>Chairs</x:v>
      </x:c>
      <x:c r="I989" s="22" t="n">
        <x:v>603.92</x:v>
      </x:c>
      <x:c r="J989" s="24" t="n">
        <x:v>5</x:v>
      </x:c>
      <x:c r="K989" s="26" t="n">
        <x:v>0.2</x:v>
      </x:c>
      <x:c r="L989" s="22" t="n">
        <x:v>75.48999999999992</x:v>
      </x:c>
      <x:c r="M989" t="n">
        <x:v>2014</x:v>
      </x:c>
      <x:c r="N989" s="20" t="n">
        <x:v>41944</x:v>
      </x:c>
    </x:row>
    <x:row r="990" ht="18" customHeight="1">
      <x:c r="A990" t="str">
        <x:v>CA-2017-100314</x:v>
      </x:c>
      <x:c r="B990" s="18" t="n">
        <x:v>43007</x:v>
      </x:c>
      <x:c r="C990" t="str">
        <x:v>AS-10630</x:v>
      </x:c>
      <x:c r="D990" t="str">
        <x:v>Ann Steele</x:v>
      </x:c>
      <x:c r="E990" t="str">
        <x:v>Home Office</x:v>
      </x:c>
      <x:c r="F990" t="str">
        <x:v>Central</x:v>
      </x:c>
      <x:c r="G990" t="str">
        <x:v>Office Supplies</x:v>
      </x:c>
      <x:c r="H990" t="str">
        <x:v>Labels</x:v>
      </x:c>
      <x:c r="I990" s="22" t="n">
        <x:v>7.968000000000001</x:v>
      </x:c>
      <x:c r="J990" s="24" t="n">
        <x:v>2</x:v>
      </x:c>
      <x:c r="K990" s="26" t="n">
        <x:v>0.2</x:v>
      </x:c>
      <x:c r="L990" s="22" t="n">
        <x:v>2.5896</x:v>
      </x:c>
      <x:c r="M990" t="n">
        <x:v>2017</x:v>
      </x:c>
      <x:c r="N990" s="20" t="n">
        <x:v>42979</x:v>
      </x:c>
    </x:row>
    <x:row r="991" ht="18" customHeight="1">
      <x:c r="A991" t="str">
        <x:v>CA-2017-100314</x:v>
      </x:c>
      <x:c r="B991" s="18" t="n">
        <x:v>43007</x:v>
      </x:c>
      <x:c r="C991" t="str">
        <x:v>AS-10630</x:v>
      </x:c>
      <x:c r="D991" t="str">
        <x:v>Ann Steele</x:v>
      </x:c>
      <x:c r="E991" t="str">
        <x:v>Home Office</x:v>
      </x:c>
      <x:c r="F991" t="str">
        <x:v>Central</x:v>
      </x:c>
      <x:c r="G991" t="str">
        <x:v>Office Supplies</x:v>
      </x:c>
      <x:c r="H991" t="str">
        <x:v>Envelopes</x:v>
      </x:c>
      <x:c r="I991" s="22" t="n">
        <x:v>27.968000000000004</x:v>
      </x:c>
      <x:c r="J991" s="24" t="n">
        <x:v>4</x:v>
      </x:c>
      <x:c r="K991" s="26" t="n">
        <x:v>0.2</x:v>
      </x:c>
      <x:c r="L991" s="22" t="n">
        <x:v>9.4392</x:v>
      </x:c>
      <x:c r="M991" t="n">
        <x:v>2017</x:v>
      </x:c>
      <x:c r="N991" s="20" t="n">
        <x:v>42979</x:v>
      </x:c>
    </x:row>
    <x:row r="992" ht="18" customHeight="1">
      <x:c r="A992" t="str">
        <x:v>CA-2017-100314</x:v>
      </x:c>
      <x:c r="B992" s="18" t="n">
        <x:v>43007</x:v>
      </x:c>
      <x:c r="C992" t="str">
        <x:v>AS-10630</x:v>
      </x:c>
      <x:c r="D992" t="str">
        <x:v>Ann Steele</x:v>
      </x:c>
      <x:c r="E992" t="str">
        <x:v>Home Office</x:v>
      </x:c>
      <x:c r="F992" t="str">
        <x:v>Central</x:v>
      </x:c>
      <x:c r="G992" t="str">
        <x:v>Technology</x:v>
      </x:c>
      <x:c r="H992" t="str">
        <x:v>Machines</x:v>
      </x:c>
      <x:c r="I992" s="22" t="n">
        <x:v>336.51</x:v>
      </x:c>
      <x:c r="J992" s="24" t="n">
        <x:v>3</x:v>
      </x:c>
      <x:c r="K992" s="26" t="n">
        <x:v>0.4</x:v>
      </x:c>
      <x:c r="L992" s="22" t="n">
        <x:v>44.86799999999997</x:v>
      </x:c>
      <x:c r="M992" t="n">
        <x:v>2017</x:v>
      </x:c>
      <x:c r="N992" s="20" t="n">
        <x:v>42979</x:v>
      </x:c>
    </x:row>
    <x:row r="993" ht="18" customHeight="1">
      <x:c r="A993" t="str">
        <x:v>CA-2015-146829</x:v>
      </x:c>
      <x:c r="B993" s="18" t="n">
        <x:v>42073</x:v>
      </x:c>
      <x:c r="C993" t="str">
        <x:v>TS-21340</x:v>
      </x:c>
      <x:c r="D993" t="str">
        <x:v>Toby Swindell</x:v>
      </x:c>
      <x:c r="E993" t="str">
        <x:v>Consumer</x:v>
      </x:c>
      <x:c r="F993" t="str">
        <x:v>Central</x:v>
      </x:c>
      <x:c r="G993" t="str">
        <x:v>Office Supplies</x:v>
      </x:c>
      <x:c r="H993" t="str">
        <x:v>Binders</x:v>
      </x:c>
      <x:c r="I993" s="22" t="n">
        <x:v>1.1119999999999997</x:v>
      </x:c>
      <x:c r="J993" s="24" t="n">
        <x:v>2</x:v>
      </x:c>
      <x:c r="K993" s="26" t="n">
        <x:v>0.8</x:v>
      </x:c>
      <x:c r="L993" s="22" t="n">
        <x:v>-1.8904</x:v>
      </x:c>
      <x:c r="M993" t="n">
        <x:v>2015</x:v>
      </x:c>
      <x:c r="N993" s="20" t="n">
        <x:v>42064</x:v>
      </x:c>
    </x:row>
    <x:row r="994" ht="18" customHeight="1">
      <x:c r="A994" t="str">
        <x:v>CA-2017-167899</x:v>
      </x:c>
      <x:c r="B994" s="18" t="n">
        <x:v>42876</x:v>
      </x:c>
      <x:c r="C994" t="str">
        <x:v>JG-15805</x:v>
      </x:c>
      <x:c r="D994" t="str">
        <x:v>John Grady</x:v>
      </x:c>
      <x:c r="E994" t="str">
        <x:v>Corporate</x:v>
      </x:c>
      <x:c r="F994" t="str">
        <x:v>East</x:v>
      </x:c>
      <x:c r="G994" t="str">
        <x:v>Furniture</x:v>
      </x:c>
      <x:c r="H994" t="str">
        <x:v>Furnishings</x:v>
      </x:c>
      <x:c r="I994" s="22" t="n">
        <x:v>520.0500000000001</x:v>
      </x:c>
      <x:c r="J994" s="24" t="n">
        <x:v>5</x:v>
      </x:c>
      <x:c r="K994" s="26" t="n">
        <x:v>0</x:v>
      </x:c>
      <x:c r="L994" s="22" t="n">
        <x:v>72.80700000000003</x:v>
      </x:c>
      <x:c r="M994" t="n">
        <x:v>2017</x:v>
      </x:c>
      <x:c r="N994" s="20" t="n">
        <x:v>42856</x:v>
      </x:c>
    </x:row>
    <x:row r="995" ht="18" customHeight="1">
      <x:c r="A995" t="str">
        <x:v>CA-2017-167899</x:v>
      </x:c>
      <x:c r="B995" s="18" t="n">
        <x:v>42876</x:v>
      </x:c>
      <x:c r="C995" t="str">
        <x:v>JG-15805</x:v>
      </x:c>
      <x:c r="D995" t="str">
        <x:v>John Grady</x:v>
      </x:c>
      <x:c r="E995" t="str">
        <x:v>Corporate</x:v>
      </x:c>
      <x:c r="F995" t="str">
        <x:v>East</x:v>
      </x:c>
      <x:c r="G995" t="str">
        <x:v>Office Supplies</x:v>
      </x:c>
      <x:c r="H995" t="str">
        <x:v>Art</x:v>
      </x:c>
      <x:c r="I995" s="22" t="n">
        <x:v>17.97</x:v>
      </x:c>
      <x:c r="J995" s="24" t="n">
        <x:v>3</x:v>
      </x:c>
      <x:c r="K995" s="26" t="n">
        <x:v>0</x:v>
      </x:c>
      <x:c r="L995" s="22" t="n">
        <x:v>5.2113</x:v>
      </x:c>
      <x:c r="M995" t="n">
        <x:v>2017</x:v>
      </x:c>
      <x:c r="N995" s="20" t="n">
        <x:v>42856</x:v>
      </x:c>
    </x:row>
    <x:row r="996" ht="18" customHeight="1">
      <x:c r="A996" t="str">
        <x:v>CA-2015-153549</x:v>
      </x:c>
      <x:c r="B996" s="18" t="n">
        <x:v>42092</x:v>
      </x:c>
      <x:c r="C996" t="str">
        <x:v>SL-20155</x:v>
      </x:c>
      <x:c r="D996" t="str">
        <x:v>Sara Luxemburg</x:v>
      </x:c>
      <x:c r="E996" t="str">
        <x:v>Home Office</x:v>
      </x:c>
      <x:c r="F996" t="str">
        <x:v>South</x:v>
      </x:c>
      <x:c r="G996" t="str">
        <x:v>Furniture</x:v>
      </x:c>
      <x:c r="H996" t="str">
        <x:v>Chairs</x:v>
      </x:c>
      <x:c r="I996" s="22" t="n">
        <x:v>1166.92</x:v>
      </x:c>
      <x:c r="J996" s="24" t="n">
        <x:v>5</x:v>
      </x:c>
      <x:c r="K996" s="26" t="n">
        <x:v>0.2</x:v>
      </x:c>
      <x:c r="L996" s="22" t="n">
        <x:v>131.27849999999995</x:v>
      </x:c>
      <x:c r="M996" t="n">
        <x:v>2015</x:v>
      </x:c>
      <x:c r="N996" s="20" t="n">
        <x:v>42064</x:v>
      </x:c>
    </x:row>
    <x:row r="997" ht="18" customHeight="1">
      <x:c r="A997" t="str">
        <x:v>CA-2016-110023</x:v>
      </x:c>
      <x:c r="B997" s="18" t="n">
        <x:v>42622</x:v>
      </x:c>
      <x:c r="C997" t="str">
        <x:v>TS-21610</x:v>
      </x:c>
      <x:c r="D997" t="str">
        <x:v>Troy Staebel</x:v>
      </x:c>
      <x:c r="E997" t="str">
        <x:v>Consumer</x:v>
      </x:c>
      <x:c r="F997" t="str">
        <x:v>East</x:v>
      </x:c>
      <x:c r="G997" t="str">
        <x:v>Office Supplies</x:v>
      </x:c>
      <x:c r="H997" t="str">
        <x:v>Binders</x:v>
      </x:c>
      <x:c r="I997" s="22" t="n">
        <x:v>14.624000000000002</x:v>
      </x:c>
      <x:c r="J997" s="24" t="n">
        <x:v>2</x:v>
      </x:c>
      <x:c r="K997" s="26" t="n">
        <x:v>0.2</x:v>
      </x:c>
      <x:c r="L997" s="22" t="n">
        <x:v>5.484</x:v>
      </x:c>
      <x:c r="M997" t="n">
        <x:v>2016</x:v>
      </x:c>
      <x:c r="N997" s="20" t="n">
        <x:v>42614</x:v>
      </x:c>
    </x:row>
    <x:row r="998" ht="18" customHeight="1">
      <x:c r="A998" t="str">
        <x:v>CA-2016-105585</x:v>
      </x:c>
      <x:c r="B998" s="18" t="n">
        <x:v>42608</x:v>
      </x:c>
      <x:c r="C998" t="str">
        <x:v>RF-19735</x:v>
      </x:c>
      <x:c r="D998" t="str">
        <x:v>Roland Fjeld</x:v>
      </x:c>
      <x:c r="E998" t="str">
        <x:v>Consumer</x:v>
      </x:c>
      <x:c r="F998" t="str">
        <x:v>West</x:v>
      </x:c>
      <x:c r="G998" t="str">
        <x:v>Office Supplies</x:v>
      </x:c>
      <x:c r="H998" t="str">
        <x:v>Fasteners</x:v>
      </x:c>
      <x:c r="I998" s="22" t="n">
        <x:v>10.23</x:v>
      </x:c>
      <x:c r="J998" s="24" t="n">
        <x:v>3</x:v>
      </x:c>
      <x:c r="K998" s="26" t="n">
        <x:v>0</x:v>
      </x:c>
      <x:c r="L998" s="22" t="n">
        <x:v>4.9104</x:v>
      </x:c>
      <x:c r="M998" t="n">
        <x:v>2016</x:v>
      </x:c>
      <x:c r="N998" s="20" t="n">
        <x:v>42583</x:v>
      </x:c>
    </x:row>
    <x:row r="999" ht="18" customHeight="1">
      <x:c r="A999" t="str">
        <x:v>CA-2016-105585</x:v>
      </x:c>
      <x:c r="B999" s="18" t="n">
        <x:v>42608</x:v>
      </x:c>
      <x:c r="C999" t="str">
        <x:v>RF-19735</x:v>
      </x:c>
      <x:c r="D999" t="str">
        <x:v>Roland Fjeld</x:v>
      </x:c>
      <x:c r="E999" t="str">
        <x:v>Consumer</x:v>
      </x:c>
      <x:c r="F999" t="str">
        <x:v>West</x:v>
      </x:c>
      <x:c r="G999" t="str">
        <x:v>Office Supplies</x:v>
      </x:c>
      <x:c r="H999" t="str">
        <x:v>Paper</x:v>
      </x:c>
      <x:c r="I999" s="22" t="n">
        <x:v>154.9</x:v>
      </x:c>
      <x:c r="J999" s="24" t="n">
        <x:v>5</x:v>
      </x:c>
      <x:c r="K999" s="26" t="n">
        <x:v>0</x:v>
      </x:c>
      <x:c r="L999" s="22" t="n">
        <x:v>69.705</x:v>
      </x:c>
      <x:c r="M999" t="n">
        <x:v>2016</x:v>
      </x:c>
      <x:c r="N999" s="20" t="n">
        <x:v>42583</x:v>
      </x:c>
    </x:row>
    <x:row r="1000" ht="18" customHeight="1">
      <x:c r="A1000" t="str">
        <x:v>CA-2014-117639</x:v>
      </x:c>
      <x:c r="B1000" s="18" t="n">
        <x:v>41780</x:v>
      </x:c>
      <x:c r="C1000" t="str">
        <x:v>MW-18235</x:v>
      </x:c>
      <x:c r="D1000" t="str">
        <x:v>Mitch Willingham</x:v>
      </x:c>
      <x:c r="E1000" t="str">
        <x:v>Corporate</x:v>
      </x:c>
      <x:c r="F1000" t="str">
        <x:v>South</x:v>
      </x:c>
      <x:c r="G1000" t="str">
        <x:v>Office Supplies</x:v>
      </x:c>
      <x:c r="H1000" t="str">
        <x:v>Binders</x:v>
      </x:c>
      <x:c r="I1000" s="22" t="n">
        <x:v>2715.9300000000003</x:v>
      </x:c>
      <x:c r="J1000" s="24" t="n">
        <x:v>7</x:v>
      </x:c>
      <x:c r="K1000" s="26" t="n">
        <x:v>0</x:v>
      </x:c>
      <x:c r="L1000" s="22" t="n">
        <x:v>1276.4871</x:v>
      </x:c>
      <x:c r="M1000" t="n">
        <x:v>2014</x:v>
      </x:c>
      <x:c r="N1000" s="20" t="n">
        <x:v>41760</x:v>
      </x:c>
    </x:row>
    <x:row r="1001" ht="18" customHeight="1">
      <x:c r="A1001" t="str">
        <x:v>CA-2014-117639</x:v>
      </x:c>
      <x:c r="B1001" s="18" t="n">
        <x:v>41780</x:v>
      </x:c>
      <x:c r="C1001" t="str">
        <x:v>MW-18235</x:v>
      </x:c>
      <x:c r="D1001" t="str">
        <x:v>Mitch Willingham</x:v>
      </x:c>
      <x:c r="E1001" t="str">
        <x:v>Corporate</x:v>
      </x:c>
      <x:c r="F1001" t="str">
        <x:v>South</x:v>
      </x:c>
      <x:c r="G1001" t="str">
        <x:v>Technology</x:v>
      </x:c>
      <x:c r="H1001" t="str">
        <x:v>Phones</x:v>
      </x:c>
      <x:c r="I1001" s="22" t="n">
        <x:v>617.97</x:v>
      </x:c>
      <x:c r="J1001" s="24" t="n">
        <x:v>3</x:v>
      </x:c>
      <x:c r="K1001" s="26" t="n">
        <x:v>0</x:v>
      </x:c>
      <x:c r="L1001" s="22" t="n">
        <x:v>173.0316</x:v>
      </x:c>
      <x:c r="M1001" t="n">
        <x:v>2014</x:v>
      </x:c>
      <x:c r="N1001" s="20" t="n">
        <x:v>41760</x:v>
      </x:c>
    </x:row>
    <x:row r="1002" ht="18" customHeight="1">
      <x:c r="A1002" t="str">
        <x:v>CA-2015-162537</x:v>
      </x:c>
      <x:c r="B1002" s="18" t="n">
        <x:v>42305</x:v>
      </x:c>
      <x:c r="C1002" t="str">
        <x:v>RD-19585</x:v>
      </x:c>
      <x:c r="D1002" t="str">
        <x:v>Rob Dowd</x:v>
      </x:c>
      <x:c r="E1002" t="str">
        <x:v>Consumer</x:v>
      </x:c>
      <x:c r="F1002" t="str">
        <x:v>South</x:v>
      </x:c>
      <x:c r="G1002" t="str">
        <x:v>Office Supplies</x:v>
      </x:c>
      <x:c r="H1002" t="str">
        <x:v>Envelopes</x:v>
      </x:c>
      <x:c r="I1002" s="22" t="n">
        <x:v>10.67</x:v>
      </x:c>
      <x:c r="J1002" s="24" t="n">
        <x:v>1</x:v>
      </x:c>
      <x:c r="K1002" s="26" t="n">
        <x:v>0</x:v>
      </x:c>
      <x:c r="L1002" s="22" t="n">
        <x:v>4.9082</x:v>
      </x:c>
      <x:c r="M1002" t="n">
        <x:v>2015</x:v>
      </x:c>
      <x:c r="N1002" s="20" t="n">
        <x:v>42278</x:v>
      </x:c>
    </x:row>
    <x:row r="1003" ht="18" customHeight="1">
      <x:c r="A1003" t="str">
        <x:v>CA-2015-162537</x:v>
      </x:c>
      <x:c r="B1003" s="18" t="n">
        <x:v>42305</x:v>
      </x:c>
      <x:c r="C1003" t="str">
        <x:v>RD-19585</x:v>
      </x:c>
      <x:c r="D1003" t="str">
        <x:v>Rob Dowd</x:v>
      </x:c>
      <x:c r="E1003" t="str">
        <x:v>Consumer</x:v>
      </x:c>
      <x:c r="F1003" t="str">
        <x:v>South</x:v>
      </x:c>
      <x:c r="G1003" t="str">
        <x:v>Office Supplies</x:v>
      </x:c>
      <x:c r="H1003" t="str">
        <x:v>Storage</x:v>
      </x:c>
      <x:c r="I1003" s="22" t="n">
        <x:v>36.63</x:v>
      </x:c>
      <x:c r="J1003" s="24" t="n">
        <x:v>3</x:v>
      </x:c>
      <x:c r="K1003" s="26" t="n">
        <x:v>0</x:v>
      </x:c>
      <x:c r="L1003" s="22" t="n">
        <x:v>9.890100000000004</x:v>
      </x:c>
      <x:c r="M1003" t="n">
        <x:v>2015</x:v>
      </x:c>
      <x:c r="N1003" s="20" t="n">
        <x:v>42278</x:v>
      </x:c>
    </x:row>
    <x:row r="1004" ht="18" customHeight="1">
      <x:c r="A1004" t="str">
        <x:v>CA-2015-162537</x:v>
      </x:c>
      <x:c r="B1004" s="18" t="n">
        <x:v>42305</x:v>
      </x:c>
      <x:c r="C1004" t="str">
        <x:v>RD-19585</x:v>
      </x:c>
      <x:c r="D1004" t="str">
        <x:v>Rob Dowd</x:v>
      </x:c>
      <x:c r="E1004" t="str">
        <x:v>Consumer</x:v>
      </x:c>
      <x:c r="F1004" t="str">
        <x:v>South</x:v>
      </x:c>
      <x:c r="G1004" t="str">
        <x:v>Furniture</x:v>
      </x:c>
      <x:c r="H1004" t="str">
        <x:v>Furnishings</x:v>
      </x:c>
      <x:c r="I1004" s="22" t="n">
        <x:v>24.1</x:v>
      </x:c>
      <x:c r="J1004" s="24" t="n">
        <x:v>5</x:v>
      </x:c>
      <x:c r="K1004" s="26" t="n">
        <x:v>0</x:v>
      </x:c>
      <x:c r="L1004" s="22" t="n">
        <x:v>9.158000000000001</x:v>
      </x:c>
      <x:c r="M1004" t="n">
        <x:v>2015</x:v>
      </x:c>
      <x:c r="N1004" s="20" t="n">
        <x:v>42278</x:v>
      </x:c>
    </x:row>
    <x:row r="1005" ht="18" customHeight="1">
      <x:c r="A1005" t="str">
        <x:v>CA-2015-162537</x:v>
      </x:c>
      <x:c r="B1005" s="18" t="n">
        <x:v>42305</x:v>
      </x:c>
      <x:c r="C1005" t="str">
        <x:v>RD-19585</x:v>
      </x:c>
      <x:c r="D1005" t="str">
        <x:v>Rob Dowd</x:v>
      </x:c>
      <x:c r="E1005" t="str">
        <x:v>Consumer</x:v>
      </x:c>
      <x:c r="F1005" t="str">
        <x:v>South</x:v>
      </x:c>
      <x:c r="G1005" t="str">
        <x:v>Furniture</x:v>
      </x:c>
      <x:c r="H1005" t="str">
        <x:v>Furnishings</x:v>
      </x:c>
      <x:c r="I1005" s="22" t="n">
        <x:v>33.11</x:v>
      </x:c>
      <x:c r="J1005" s="24" t="n">
        <x:v>7</x:v>
      </x:c>
      <x:c r="K1005" s="26" t="n">
        <x:v>0</x:v>
      </x:c>
      <x:c r="L1005" s="22" t="n">
        <x:v>12.912900000000004</x:v>
      </x:c>
      <x:c r="M1005" t="n">
        <x:v>2015</x:v>
      </x:c>
      <x:c r="N1005" s="20" t="n">
        <x:v>42278</x:v>
      </x:c>
    </x:row>
    <x:row r="1006" ht="18" customHeight="1">
      <x:c r="A1006" t="str">
        <x:v>CA-2016-155488</x:v>
      </x:c>
      <x:c r="B1006" s="18" t="n">
        <x:v>42687</x:v>
      </x:c>
      <x:c r="C1006" t="str">
        <x:v>FM-14290</x:v>
      </x:c>
      <x:c r="D1006" t="str">
        <x:v>Frank Merwin</x:v>
      </x:c>
      <x:c r="E1006" t="str">
        <x:v>Home Office</x:v>
      </x:c>
      <x:c r="F1006" t="str">
        <x:v>West</x:v>
      </x:c>
      <x:c r="G1006" t="str">
        <x:v>Office Supplies</x:v>
      </x:c>
      <x:c r="H1006" t="str">
        <x:v>Art</x:v>
      </x:c>
      <x:c r="I1006" s="22" t="n">
        <x:v>44.02</x:v>
      </x:c>
      <x:c r="J1006" s="24" t="n">
        <x:v>2</x:v>
      </x:c>
      <x:c r="K1006" s="26" t="n">
        <x:v>0</x:v>
      </x:c>
      <x:c r="L1006" s="22" t="n">
        <x:v>11.4452</x:v>
      </x:c>
      <x:c r="M1006" t="n">
        <x:v>2016</x:v>
      </x:c>
      <x:c r="N1006" s="20" t="n">
        <x:v>42675</x:v>
      </x:c>
    </x:row>
    <x:row r="1007" ht="18" customHeight="1">
      <x:c r="A1007" t="str">
        <x:v>CA-2015-124891</x:v>
      </x:c>
      <x:c r="B1007" s="18" t="n">
        <x:v>42216</x:v>
      </x:c>
      <x:c r="C1007" t="str">
        <x:v>RH-19495</x:v>
      </x:c>
      <x:c r="D1007" t="str">
        <x:v>Rick Hansen</x:v>
      </x:c>
      <x:c r="E1007" t="str">
        <x:v>Consumer</x:v>
      </x:c>
      <x:c r="F1007" t="str">
        <x:v>East</x:v>
      </x:c>
      <x:c r="G1007" t="str">
        <x:v>Technology</x:v>
      </x:c>
      <x:c r="H1007" t="str">
        <x:v>Accessories</x:v>
      </x:c>
      <x:c r="I1007" s="22" t="n">
        <x:v>2309.65</x:v>
      </x:c>
      <x:c r="J1007" s="24" t="n">
        <x:v>7</x:v>
      </x:c>
      <x:c r="K1007" s="26" t="n">
        <x:v>0</x:v>
      </x:c>
      <x:c r="L1007" s="22" t="n">
        <x:v>762.1844999999998</x:v>
      </x:c>
      <x:c r="M1007" t="n">
        <x:v>2015</x:v>
      </x:c>
      <x:c r="N1007" s="20" t="n">
        <x:v>42186</x:v>
      </x:c>
    </x:row>
    <x:row r="1008" ht="18" customHeight="1">
      <x:c r="A1008" t="str">
        <x:v>CA-2015-124891</x:v>
      </x:c>
      <x:c r="B1008" s="18" t="n">
        <x:v>42216</x:v>
      </x:c>
      <x:c r="C1008" t="str">
        <x:v>RH-19495</x:v>
      </x:c>
      <x:c r="D1008" t="str">
        <x:v>Rick Hansen</x:v>
      </x:c>
      <x:c r="E1008" t="str">
        <x:v>Consumer</x:v>
      </x:c>
      <x:c r="F1008" t="str">
        <x:v>East</x:v>
      </x:c>
      <x:c r="G1008" t="str">
        <x:v>Furniture</x:v>
      </x:c>
      <x:c r="H1008" t="str">
        <x:v>Tables</x:v>
      </x:c>
      <x:c r="I1008" s="22" t="n">
        <x:v>1090.782</x:v>
      </x:c>
      <x:c r="J1008" s="24" t="n">
        <x:v>7</x:v>
      </x:c>
      <x:c r="K1008" s="26" t="n">
        <x:v>0.4</x:v>
      </x:c>
      <x:c r="L1008" s="22" t="n">
        <x:v>-290.8752</x:v>
      </x:c>
      <x:c r="M1008" t="n">
        <x:v>2015</x:v>
      </x:c>
      <x:c r="N1008" s="20" t="n">
        <x:v>42186</x:v>
      </x:c>
    </x:row>
    <x:row r="1009" ht="18" customHeight="1">
      <x:c r="A1009" t="str">
        <x:v>CA-2015-124891</x:v>
      </x:c>
      <x:c r="B1009" s="18" t="n">
        <x:v>42216</x:v>
      </x:c>
      <x:c r="C1009" t="str">
        <x:v>RH-19495</x:v>
      </x:c>
      <x:c r="D1009" t="str">
        <x:v>Rick Hansen</x:v>
      </x:c>
      <x:c r="E1009" t="str">
        <x:v>Consumer</x:v>
      </x:c>
      <x:c r="F1009" t="str">
        <x:v>East</x:v>
      </x:c>
      <x:c r="G1009" t="str">
        <x:v>Office Supplies</x:v>
      </x:c>
      <x:c r="H1009" t="str">
        <x:v>Paper</x:v>
      </x:c>
      <x:c r="I1009" s="22" t="n">
        <x:v>19.44</x:v>
      </x:c>
      <x:c r="J1009" s="24" t="n">
        <x:v>3</x:v>
      </x:c>
      <x:c r="K1009" s="26" t="n">
        <x:v>0</x:v>
      </x:c>
      <x:c r="L1009" s="22" t="n">
        <x:v>9.3312</x:v>
      </x:c>
      <x:c r="M1009" t="n">
        <x:v>2015</x:v>
      </x:c>
      <x:c r="N1009" s="20" t="n">
        <x:v>42186</x:v>
      </x:c>
    </x:row>
    <x:row r="1010" ht="18" customHeight="1">
      <x:c r="A1010" t="str">
        <x:v>CA-2015-126445</x:v>
      </x:c>
      <x:c r="B1010" s="18" t="n">
        <x:v>42243</x:v>
      </x:c>
      <x:c r="C1010" t="str">
        <x:v>RA-19945</x:v>
      </x:c>
      <x:c r="D1010" t="str">
        <x:v>Ryan Akin</x:v>
      </x:c>
      <x:c r="E1010" t="str">
        <x:v>Consumer</x:v>
      </x:c>
      <x:c r="F1010" t="str">
        <x:v>West</x:v>
      </x:c>
      <x:c r="G1010" t="str">
        <x:v>Office Supplies</x:v>
      </x:c>
      <x:c r="H1010" t="str">
        <x:v>Storage</x:v>
      </x:c>
      <x:c r="I1010" s="22" t="n">
        <x:v>484.65000000000003</x:v>
      </x:c>
      <x:c r="J1010" s="24" t="n">
        <x:v>3</x:v>
      </x:c>
      <x:c r="K1010" s="26" t="n">
        <x:v>0</x:v>
      </x:c>
      <x:c r="L1010" s="22" t="n">
        <x:v>92.08350000000002</x:v>
      </x:c>
      <x:c r="M1010" t="n">
        <x:v>2015</x:v>
      </x:c>
      <x:c r="N1010" s="20" t="n">
        <x:v>42217</x:v>
      </x:c>
    </x:row>
    <x:row r="1011" ht="18" customHeight="1">
      <x:c r="A1011" t="str">
        <x:v>CA-2015-111199</x:v>
      </x:c>
      <x:c r="B1011" s="18" t="n">
        <x:v>42321</x:v>
      </x:c>
      <x:c r="C1011" t="str">
        <x:v>JK-15730</x:v>
      </x:c>
      <x:c r="D1011" t="str">
        <x:v>Joe Kamberova</x:v>
      </x:c>
      <x:c r="E1011" t="str">
        <x:v>Consumer</x:v>
      </x:c>
      <x:c r="F1011" t="str">
        <x:v>South</x:v>
      </x:c>
      <x:c r="G1011" t="str">
        <x:v>Office Supplies</x:v>
      </x:c>
      <x:c r="H1011" t="str">
        <x:v>Paper</x:v>
      </x:c>
      <x:c r="I1011" s="22" t="n">
        <x:v>115.296</x:v>
      </x:c>
      <x:c r="J1011" s="24" t="n">
        <x:v>3</x:v>
      </x:c>
      <x:c r="K1011" s="26" t="n">
        <x:v>0.2</x:v>
      </x:c>
      <x:c r="L1011" s="22" t="n">
        <x:v>40.353599999999986</x:v>
      </x:c>
      <x:c r="M1011" t="n">
        <x:v>2015</x:v>
      </x:c>
      <x:c r="N1011" s="20" t="n">
        <x:v>42309</x:v>
      </x:c>
    </x:row>
    <x:row r="1012" ht="18" customHeight="1">
      <x:c r="A1012" t="str">
        <x:v>CA-2015-105312</x:v>
      </x:c>
      <x:c r="B1012" s="18" t="n">
        <x:v>42314</x:v>
      </x:c>
      <x:c r="C1012" t="str">
        <x:v>MT-17815</x:v>
      </x:c>
      <x:c r="D1012" t="str">
        <x:v>Meg Tillman</x:v>
      </x:c>
      <x:c r="E1012" t="str">
        <x:v>Consumer</x:v>
      </x:c>
      <x:c r="F1012" t="str">
        <x:v>West</x:v>
      </x:c>
      <x:c r="G1012" t="str">
        <x:v>Office Supplies</x:v>
      </x:c>
      <x:c r="H1012" t="str">
        <x:v>Envelopes</x:v>
      </x:c>
      <x:c r="I1012" s="22" t="n">
        <x:v>7.080000000000001</x:v>
      </x:c>
      <x:c r="J1012" s="24" t="n">
        <x:v>3</x:v>
      </x:c>
      <x:c r="K1012" s="26" t="n">
        <x:v>0.2</x:v>
      </x:c>
      <x:c r="L1012" s="22" t="n">
        <x:v>2.477999999999999</x:v>
      </x:c>
      <x:c r="M1012" t="n">
        <x:v>2015</x:v>
      </x:c>
      <x:c r="N1012" s="20" t="n">
        <x:v>42309</x:v>
      </x:c>
    </x:row>
    <x:row r="1013" ht="18" customHeight="1">
      <x:c r="A1013" t="str">
        <x:v>CA-2015-105312</x:v>
      </x:c>
      <x:c r="B1013" s="18" t="n">
        <x:v>42314</x:v>
      </x:c>
      <x:c r="C1013" t="str">
        <x:v>MT-17815</x:v>
      </x:c>
      <x:c r="D1013" t="str">
        <x:v>Meg Tillman</x:v>
      </x:c>
      <x:c r="E1013" t="str">
        <x:v>Consumer</x:v>
      </x:c>
      <x:c r="F1013" t="str">
        <x:v>West</x:v>
      </x:c>
      <x:c r="G1013" t="str">
        <x:v>Office Supplies</x:v>
      </x:c>
      <x:c r="H1013" t="str">
        <x:v>Binders</x:v>
      </x:c>
      <x:c r="I1013" s="22" t="n">
        <x:v>4.401</x:v>
      </x:c>
      <x:c r="J1013" s="24" t="n">
        <x:v>3</x:v>
      </x:c>
      <x:c r="K1013" s="26" t="n">
        <x:v>0.7</x:v>
      </x:c>
      <x:c r="L1013" s="22" t="n">
        <x:v>-3.5207999999999995</x:v>
      </x:c>
      <x:c r="M1013" t="n">
        <x:v>2015</x:v>
      </x:c>
      <x:c r="N1013" s="20" t="n">
        <x:v>42309</x:v>
      </x:c>
    </x:row>
    <x:row r="1014" ht="18" customHeight="1">
      <x:c r="A1014" t="str">
        <x:v>US-2017-106705</x:v>
      </x:c>
      <x:c r="B1014" s="18" t="n">
        <x:v>43095</x:v>
      </x:c>
      <x:c r="C1014" t="str">
        <x:v>PO-18850</x:v>
      </x:c>
      <x:c r="D1014" t="str">
        <x:v>Patrick O'Brill</x:v>
      </x:c>
      <x:c r="E1014" t="str">
        <x:v>Consumer</x:v>
      </x:c>
      <x:c r="F1014" t="str">
        <x:v>Central</x:v>
      </x:c>
      <x:c r="G1014" t="str">
        <x:v>Office Supplies</x:v>
      </x:c>
      <x:c r="H1014" t="str">
        <x:v>Paper</x:v>
      </x:c>
      <x:c r="I1014" s="22" t="n">
        <x:v>44.75</x:v>
      </x:c>
      <x:c r="J1014" s="24" t="n">
        <x:v>5</x:v>
      </x:c>
      <x:c r="K1014" s="26" t="n">
        <x:v>0</x:v>
      </x:c>
      <x:c r="L1014" s="22" t="n">
        <x:v>20.584999999999994</x:v>
      </x:c>
      <x:c r="M1014" t="n">
        <x:v>2017</x:v>
      </x:c>
      <x:c r="N1014" s="20" t="n">
        <x:v>43070</x:v>
      </x:c>
    </x:row>
    <x:row r="1015" ht="18" customHeight="1">
      <x:c r="A1015" t="str">
        <x:v>CA-2017-135034</x:v>
      </x:c>
      <x:c r="B1015" s="18" t="n">
        <x:v>42948</x:v>
      </x:c>
      <x:c r="C1015" t="str">
        <x:v>AT-10735</x:v>
      </x:c>
      <x:c r="D1015" t="str">
        <x:v>Annie Thurman</x:v>
      </x:c>
      <x:c r="E1015" t="str">
        <x:v>Consumer</x:v>
      </x:c>
      <x:c r="F1015" t="str">
        <x:v>Central</x:v>
      </x:c>
      <x:c r="G1015" t="str">
        <x:v>Technology</x:v>
      </x:c>
      <x:c r="H1015" t="str">
        <x:v>Phones</x:v>
      </x:c>
      <x:c r="I1015" s="22" t="n">
        <x:v>95.98400000000001</x:v>
      </x:c>
      <x:c r="J1015" s="24" t="n">
        <x:v>2</x:v>
      </x:c>
      <x:c r="K1015" s="26" t="n">
        <x:v>0.2</x:v>
      </x:c>
      <x:c r="L1015" s="22" t="n">
        <x:v>5.999000000000002</x:v>
      </x:c>
      <x:c r="M1015" t="n">
        <x:v>2017</x:v>
      </x:c>
      <x:c r="N1015" s="20" t="n">
        <x:v>42948</x:v>
      </x:c>
    </x:row>
    <x:row r="1016" ht="18" customHeight="1">
      <x:c r="A1016" t="str">
        <x:v>CA-2014-158540</x:v>
      </x:c>
      <x:c r="B1016" s="18" t="n">
        <x:v>41967</x:v>
      </x:c>
      <x:c r="C1016" t="str">
        <x:v>VG-21790</x:v>
      </x:c>
      <x:c r="D1016" t="str">
        <x:v>Vivek Gonzalez</x:v>
      </x:c>
      <x:c r="E1016" t="str">
        <x:v>Consumer</x:v>
      </x:c>
      <x:c r="F1016" t="str">
        <x:v>West</x:v>
      </x:c>
      <x:c r="G1016" t="str">
        <x:v>Furniture</x:v>
      </x:c>
      <x:c r="H1016" t="str">
        <x:v>Furnishings</x:v>
      </x:c>
      <x:c r="I1016" s="22" t="n">
        <x:v>151.72</x:v>
      </x:c>
      <x:c r="J1016" s="24" t="n">
        <x:v>4</x:v>
      </x:c>
      <x:c r="K1016" s="26" t="n">
        <x:v>0</x:v>
      </x:c>
      <x:c r="L1016" s="22" t="n">
        <x:v>27.30959999999999</x:v>
      </x:c>
      <x:c r="M1016" t="n">
        <x:v>2014</x:v>
      </x:c>
      <x:c r="N1016" s="20" t="n">
        <x:v>41944</x:v>
      </x:c>
    </x:row>
    <x:row r="1017" ht="18" customHeight="1">
      <x:c r="A1017" t="str">
        <x:v>CA-2017-118437</x:v>
      </x:c>
      <x:c r="B1017" s="18" t="n">
        <x:v>42903</x:v>
      </x:c>
      <x:c r="C1017" t="str">
        <x:v>PF-19165</x:v>
      </x:c>
      <x:c r="D1017" t="str">
        <x:v>Philip Fox</x:v>
      </x:c>
      <x:c r="E1017" t="str">
        <x:v>Consumer</x:v>
      </x:c>
      <x:c r="F1017" t="str">
        <x:v>West</x:v>
      </x:c>
      <x:c r="G1017" t="str">
        <x:v>Furniture</x:v>
      </x:c>
      <x:c r="H1017" t="str">
        <x:v>Furnishings</x:v>
      </x:c>
      <x:c r="I1017" s="22" t="n">
        <x:v>155.25</x:v>
      </x:c>
      <x:c r="J1017" s="24" t="n">
        <x:v>3</x:v>
      </x:c>
      <x:c r="K1017" s="26" t="n">
        <x:v>0</x:v>
      </x:c>
      <x:c r="L1017" s="22" t="n">
        <x:v>46.574999999999996</x:v>
      </x:c>
      <x:c r="M1017" t="n">
        <x:v>2017</x:v>
      </x:c>
      <x:c r="N1017" s="20" t="n">
        <x:v>42887</x:v>
      </x:c>
    </x:row>
    <x:row r="1018" ht="18" customHeight="1">
      <x:c r="A1018" t="str">
        <x:v>CA-2017-118437</x:v>
      </x:c>
      <x:c r="B1018" s="18" t="n">
        <x:v>42903</x:v>
      </x:c>
      <x:c r="C1018" t="str">
        <x:v>PF-19165</x:v>
      </x:c>
      <x:c r="D1018" t="str">
        <x:v>Philip Fox</x:v>
      </x:c>
      <x:c r="E1018" t="str">
        <x:v>Consumer</x:v>
      </x:c>
      <x:c r="F1018" t="str">
        <x:v>West</x:v>
      </x:c>
      <x:c r="G1018" t="str">
        <x:v>Office Supplies</x:v>
      </x:c>
      <x:c r="H1018" t="str">
        <x:v>Storage</x:v>
      </x:c>
      <x:c r="I1018" s="22" t="n">
        <x:v>14.03</x:v>
      </x:c>
      <x:c r="J1018" s="24" t="n">
        <x:v>1</x:v>
      </x:c>
      <x:c r="K1018" s="26" t="n">
        <x:v>0</x:v>
      </x:c>
      <x:c r="L1018" s="22" t="n">
        <x:v>4.068699999999998</x:v>
      </x:c>
      <x:c r="M1018" t="n">
        <x:v>2017</x:v>
      </x:c>
      <x:c r="N1018" s="20" t="n">
        <x:v>42887</x:v>
      </x:c>
    </x:row>
    <x:row r="1019" ht="18" customHeight="1">
      <x:c r="A1019" t="str">
        <x:v>US-2015-126214</x:v>
      </x:c>
      <x:c r="B1019" s="18" t="n">
        <x:v>42359</x:v>
      </x:c>
      <x:c r="C1019" t="str">
        <x:v>JS-15880</x:v>
      </x:c>
      <x:c r="D1019" t="str">
        <x:v>John Stevenson</x:v>
      </x:c>
      <x:c r="E1019" t="str">
        <x:v>Consumer</x:v>
      </x:c>
      <x:c r="F1019" t="str">
        <x:v>West</x:v>
      </x:c>
      <x:c r="G1019" t="str">
        <x:v>Furniture</x:v>
      </x:c>
      <x:c r="H1019" t="str">
        <x:v>Tables</x:v>
      </x:c>
      <x:c r="I1019" s="22" t="n">
        <x:v>1618.37</x:v>
      </x:c>
      <x:c r="J1019" s="24" t="n">
        <x:v>13</x:v>
      </x:c>
      <x:c r="K1019" s="26" t="n">
        <x:v>0</x:v>
      </x:c>
      <x:c r="L1019" s="22" t="n">
        <x:v>356.04139999999995</x:v>
      </x:c>
      <x:c r="M1019" t="n">
        <x:v>2015</x:v>
      </x:c>
      <x:c r="N1019" s="20" t="n">
        <x:v>42339</x:v>
      </x:c>
    </x:row>
    <x:row r="1020" ht="18" customHeight="1">
      <x:c r="A1020" t="str">
        <x:v>US-2015-126214</x:v>
      </x:c>
      <x:c r="B1020" s="18" t="n">
        <x:v>42359</x:v>
      </x:c>
      <x:c r="C1020" t="str">
        <x:v>JS-15880</x:v>
      </x:c>
      <x:c r="D1020" t="str">
        <x:v>John Stevenson</x:v>
      </x:c>
      <x:c r="E1020" t="str">
        <x:v>Consumer</x:v>
      </x:c>
      <x:c r="F1020" t="str">
        <x:v>West</x:v>
      </x:c>
      <x:c r="G1020" t="str">
        <x:v>Technology</x:v>
      </x:c>
      <x:c r="H1020" t="str">
        <x:v>Accessories</x:v>
      </x:c>
      <x:c r="I1020" s="22" t="n">
        <x:v>99.6</x:v>
      </x:c>
      <x:c r="J1020" s="24" t="n">
        <x:v>1</x:v>
      </x:c>
      <x:c r="K1020" s="26" t="n">
        <x:v>0</x:v>
      </x:c>
      <x:c r="L1020" s="22" t="n">
        <x:v>36.852</x:v>
      </x:c>
      <x:c r="M1020" t="n">
        <x:v>2015</x:v>
      </x:c>
      <x:c r="N1020" s="20" t="n">
        <x:v>42339</x:v>
      </x:c>
    </x:row>
    <x:row r="1021" ht="18" customHeight="1">
      <x:c r="A1021" t="str">
        <x:v>CA-2015-133025</x:v>
      </x:c>
      <x:c r="B1021" s="18" t="n">
        <x:v>42264</x:v>
      </x:c>
      <x:c r="C1021" t="str">
        <x:v>MO-17800</x:v>
      </x:c>
      <x:c r="D1021" t="str">
        <x:v>Meg O'Connel</x:v>
      </x:c>
      <x:c r="E1021" t="str">
        <x:v>Home Office</x:v>
      </x:c>
      <x:c r="F1021" t="str">
        <x:v>West</x:v>
      </x:c>
      <x:c r="G1021" t="str">
        <x:v>Office Supplies</x:v>
      </x:c>
      <x:c r="H1021" t="str">
        <x:v>Paper</x:v>
      </x:c>
      <x:c r="I1021" s="22" t="n">
        <x:v>32.400000000000006</x:v>
      </x:c>
      <x:c r="J1021" s="24" t="n">
        <x:v>5</x:v>
      </x:c>
      <x:c r="K1021" s="26" t="n">
        <x:v>0</x:v>
      </x:c>
      <x:c r="L1021" s="22" t="n">
        <x:v>15.552000000000001</x:v>
      </x:c>
      <x:c r="M1021" t="n">
        <x:v>2015</x:v>
      </x:c>
      <x:c r="N1021" s="20" t="n">
        <x:v>42248</x:v>
      </x:c>
    </x:row>
    <x:row r="1022" ht="18" customHeight="1">
      <x:c r="A1022" t="str">
        <x:v>CA-2015-108665</x:v>
      </x:c>
      <x:c r="B1022" s="18" t="n">
        <x:v>42191</x:v>
      </x:c>
      <x:c r="C1022" t="str">
        <x:v>KM-16225</x:v>
      </x:c>
      <x:c r="D1022" t="str">
        <x:v>Kalyca Meade</x:v>
      </x:c>
      <x:c r="E1022" t="str">
        <x:v>Corporate</x:v>
      </x:c>
      <x:c r="F1022" t="str">
        <x:v>East</x:v>
      </x:c>
      <x:c r="G1022" t="str">
        <x:v>Furniture</x:v>
      </x:c>
      <x:c r="H1022" t="str">
        <x:v>Furnishings</x:v>
      </x:c>
      <x:c r="I1022" s="22" t="n">
        <x:v>13.96</x:v>
      </x:c>
      <x:c r="J1022" s="24" t="n">
        <x:v>2</x:v>
      </x:c>
      <x:c r="K1022" s="26" t="n">
        <x:v>0</x:v>
      </x:c>
      <x:c r="L1022" s="22" t="n">
        <x:v>6.7008</x:v>
      </x:c>
      <x:c r="M1022" t="n">
        <x:v>2015</x:v>
      </x:c>
      <x:c r="N1022" s="20" t="n">
        <x:v>42186</x:v>
      </x:c>
    </x:row>
    <x:row r="1023" ht="18" customHeight="1">
      <x:c r="A1023" t="str">
        <x:v>CA-2015-108665</x:v>
      </x:c>
      <x:c r="B1023" s="18" t="n">
        <x:v>42191</x:v>
      </x:c>
      <x:c r="C1023" t="str">
        <x:v>KM-16225</x:v>
      </x:c>
      <x:c r="D1023" t="str">
        <x:v>Kalyca Meade</x:v>
      </x:c>
      <x:c r="E1023" t="str">
        <x:v>Corporate</x:v>
      </x:c>
      <x:c r="F1023" t="str">
        <x:v>East</x:v>
      </x:c>
      <x:c r="G1023" t="str">
        <x:v>Furniture</x:v>
      </x:c>
      <x:c r="H1023" t="str">
        <x:v>Furnishings</x:v>
      </x:c>
      <x:c r="I1023" s="22" t="n">
        <x:v>155.82</x:v>
      </x:c>
      <x:c r="J1023" s="24" t="n">
        <x:v>3</x:v>
      </x:c>
      <x:c r="K1023" s="26" t="n">
        <x:v>0</x:v>
      </x:c>
      <x:c r="L1023" s="22" t="n">
        <x:v>63.8862</x:v>
      </x:c>
      <x:c r="M1023" t="n">
        <x:v>2015</x:v>
      </x:c>
      <x:c r="N1023" s="20" t="n">
        <x:v>42186</x:v>
      </x:c>
    </x:row>
    <x:row r="1024" ht="18" customHeight="1">
      <x:c r="A1024" t="str">
        <x:v>CA-2015-108665</x:v>
      </x:c>
      <x:c r="B1024" s="18" t="n">
        <x:v>42191</x:v>
      </x:c>
      <x:c r="C1024" t="str">
        <x:v>KM-16225</x:v>
      </x:c>
      <x:c r="D1024" t="str">
        <x:v>Kalyca Meade</x:v>
      </x:c>
      <x:c r="E1024" t="str">
        <x:v>Corporate</x:v>
      </x:c>
      <x:c r="F1024" t="str">
        <x:v>East</x:v>
      </x:c>
      <x:c r="G1024" t="str">
        <x:v>Technology</x:v>
      </x:c>
      <x:c r="H1024" t="str">
        <x:v>Phones</x:v>
      </x:c>
      <x:c r="I1024" s="22" t="n">
        <x:v>124.94999999999999</x:v>
      </x:c>
      <x:c r="J1024" s="24" t="n">
        <x:v>5</x:v>
      </x:c>
      <x:c r="K1024" s="26" t="n">
        <x:v>0</x:v>
      </x:c>
      <x:c r="L1024" s="22" t="n">
        <x:v>2.4990000000000023</x:v>
      </x:c>
      <x:c r="M1024" t="n">
        <x:v>2015</x:v>
      </x:c>
      <x:c r="N1024" s="20" t="n">
        <x:v>42186</x:v>
      </x:c>
    </x:row>
    <x:row r="1025" ht="18" customHeight="1">
      <x:c r="A1025" t="str">
        <x:v>CA-2015-108665</x:v>
      </x:c>
      <x:c r="B1025" s="18" t="n">
        <x:v>42191</x:v>
      </x:c>
      <x:c r="C1025" t="str">
        <x:v>KM-16225</x:v>
      </x:c>
      <x:c r="D1025" t="str">
        <x:v>Kalyca Meade</x:v>
      </x:c>
      <x:c r="E1025" t="str">
        <x:v>Corporate</x:v>
      </x:c>
      <x:c r="F1025" t="str">
        <x:v>East</x:v>
      </x:c>
      <x:c r="G1025" t="str">
        <x:v>Office Supplies</x:v>
      </x:c>
      <x:c r="H1025" t="str">
        <x:v>Storage</x:v>
      </x:c>
      <x:c r="I1025" s="22" t="n">
        <x:v>601.65</x:v>
      </x:c>
      <x:c r="J1025" s="24" t="n">
        <x:v>5</x:v>
      </x:c>
      <x:c r="K1025" s="26" t="n">
        <x:v>0</x:v>
      </x:c>
      <x:c r="L1025" s="22" t="n">
        <x:v>156.42899999999997</x:v>
      </x:c>
      <x:c r="M1025" t="n">
        <x:v>2015</x:v>
      </x:c>
      <x:c r="N1025" s="20" t="n">
        <x:v>42186</x:v>
      </x:c>
    </x:row>
    <x:row r="1026" ht="18" customHeight="1">
      <x:c r="A1026" t="str">
        <x:v>CA-2015-124450</x:v>
      </x:c>
      <x:c r="B1026" s="18" t="n">
        <x:v>42121</x:v>
      </x:c>
      <x:c r="C1026" t="str">
        <x:v>GT-14710</x:v>
      </x:c>
      <x:c r="D1026" t="str">
        <x:v>Greg Tran</x:v>
      </x:c>
      <x:c r="E1026" t="str">
        <x:v>Consumer</x:v>
      </x:c>
      <x:c r="F1026" t="str">
        <x:v>East</x:v>
      </x:c>
      <x:c r="G1026" t="str">
        <x:v>Office Supplies</x:v>
      </x:c>
      <x:c r="H1026" t="str">
        <x:v>Art</x:v>
      </x:c>
      <x:c r="I1026" s="22" t="n">
        <x:v>22.740000000000002</x:v>
      </x:c>
      <x:c r="J1026" s="24" t="n">
        <x:v>3</x:v>
      </x:c>
      <x:c r="K1026" s="26" t="n">
        <x:v>0</x:v>
      </x:c>
      <x:c r="L1026" s="22" t="n">
        <x:v>8.8686</x:v>
      </x:c>
      <x:c r="M1026" t="n">
        <x:v>2015</x:v>
      </x:c>
      <x:c r="N1026" s="20" t="n">
        <x:v>42095</x:v>
      </x:c>
    </x:row>
    <x:row r="1027" ht="18" customHeight="1">
      <x:c r="A1027" t="str">
        <x:v>CA-2015-124450</x:v>
      </x:c>
      <x:c r="B1027" s="18" t="n">
        <x:v>42121</x:v>
      </x:c>
      <x:c r="C1027" t="str">
        <x:v>GT-14710</x:v>
      </x:c>
      <x:c r="D1027" t="str">
        <x:v>Greg Tran</x:v>
      </x:c>
      <x:c r="E1027" t="str">
        <x:v>Consumer</x:v>
      </x:c>
      <x:c r="F1027" t="str">
        <x:v>East</x:v>
      </x:c>
      <x:c r="G1027" t="str">
        <x:v>Furniture</x:v>
      </x:c>
      <x:c r="H1027" t="str">
        <x:v>Chairs</x:v>
      </x:c>
      <x:c r="I1027" s="22" t="n">
        <x:v>1267.53</x:v>
      </x:c>
      <x:c r="J1027" s="24" t="n">
        <x:v>3</x:v>
      </x:c>
      <x:c r="K1027" s="26" t="n">
        <x:v>0</x:v>
      </x:c>
      <x:c r="L1027" s="22" t="n">
        <x:v>316.8825</x:v>
      </x:c>
      <x:c r="M1027" t="n">
        <x:v>2015</x:v>
      </x:c>
      <x:c r="N1027" s="20" t="n">
        <x:v>42095</x:v>
      </x:c>
    </x:row>
    <x:row r="1028" ht="18" customHeight="1">
      <x:c r="A1028" t="str">
        <x:v>CA-2015-124450</x:v>
      </x:c>
      <x:c r="B1028" s="18" t="n">
        <x:v>42121</x:v>
      </x:c>
      <x:c r="C1028" t="str">
        <x:v>GT-14710</x:v>
      </x:c>
      <x:c r="D1028" t="str">
        <x:v>Greg Tran</x:v>
      </x:c>
      <x:c r="E1028" t="str">
        <x:v>Consumer</x:v>
      </x:c>
      <x:c r="F1028" t="str">
        <x:v>East</x:v>
      </x:c>
      <x:c r="G1028" t="str">
        <x:v>Technology</x:v>
      </x:c>
      <x:c r="H1028" t="str">
        <x:v>Machines</x:v>
      </x:c>
      <x:c r="I1028" s="22" t="n">
        <x:v>1379.92</x:v>
      </x:c>
      <x:c r="J1028" s="24" t="n">
        <x:v>8</x:v>
      </x:c>
      <x:c r="K1028" s="26" t="n">
        <x:v>0</x:v>
      </x:c>
      <x:c r="L1028" s="22" t="n">
        <x:v>648.5624</x:v>
      </x:c>
      <x:c r="M1028" t="n">
        <x:v>2015</x:v>
      </x:c>
      <x:c r="N1028" s="20" t="n">
        <x:v>42095</x:v>
      </x:c>
    </x:row>
    <x:row r="1029" ht="18" customHeight="1">
      <x:c r="A1029" t="str">
        <x:v>CA-2015-167269</x:v>
      </x:c>
      <x:c r="B1029" s="18" t="n">
        <x:v>42171</x:v>
      </x:c>
      <x:c r="C1029" t="str">
        <x:v>PB-19150</x:v>
      </x:c>
      <x:c r="D1029" t="str">
        <x:v>Philip Brown</x:v>
      </x:c>
      <x:c r="E1029" t="str">
        <x:v>Consumer</x:v>
      </x:c>
      <x:c r="F1029" t="str">
        <x:v>East</x:v>
      </x:c>
      <x:c r="G1029" t="str">
        <x:v>Office Supplies</x:v>
      </x:c>
      <x:c r="H1029" t="str">
        <x:v>Envelopes</x:v>
      </x:c>
      <x:c r="I1029" s="22" t="n">
        <x:v>6.208</x:v>
      </x:c>
      <x:c r="J1029" s="24" t="n">
        <x:v>2</x:v>
      </x:c>
      <x:c r="K1029" s="26" t="n">
        <x:v>0.2</x:v>
      </x:c>
      <x:c r="L1029" s="22" t="n">
        <x:v>2.1728</x:v>
      </x:c>
      <x:c r="M1029" t="n">
        <x:v>2015</x:v>
      </x:c>
      <x:c r="N1029" s="20" t="n">
        <x:v>42156</x:v>
      </x:c>
    </x:row>
    <x:row r="1030" ht="18" customHeight="1">
      <x:c r="A1030" t="str">
        <x:v>CA-2017-106964</x:v>
      </x:c>
      <x:c r="B1030" s="18" t="n">
        <x:v>43086</x:v>
      </x:c>
      <x:c r="C1030" t="str">
        <x:v>HR-14770</x:v>
      </x:c>
      <x:c r="D1030" t="str">
        <x:v>Hallie Redmond</x:v>
      </x:c>
      <x:c r="E1030" t="str">
        <x:v>Home Office</x:v>
      </x:c>
      <x:c r="F1030" t="str">
        <x:v>West</x:v>
      </x:c>
      <x:c r="G1030" t="str">
        <x:v>Office Supplies</x:v>
      </x:c>
      <x:c r="H1030" t="str">
        <x:v>Binders</x:v>
      </x:c>
      <x:c r="I1030" s="22" t="n">
        <x:v>11.808</x:v>
      </x:c>
      <x:c r="J1030" s="24" t="n">
        <x:v>2</x:v>
      </x:c>
      <x:c r="K1030" s="26" t="n">
        <x:v>0.2</x:v>
      </x:c>
      <x:c r="L1030" s="22" t="n">
        <x:v>4.2804</x:v>
      </x:c>
      <x:c r="M1030" t="n">
        <x:v>2017</x:v>
      </x:c>
      <x:c r="N1030" s="20" t="n">
        <x:v>43070</x:v>
      </x:c>
    </x:row>
    <x:row r="1031" ht="18" customHeight="1">
      <x:c r="A1031" t="str">
        <x:v>CA-2016-126529</x:v>
      </x:c>
      <x:c r="B1031" s="18" t="n">
        <x:v>42380</x:v>
      </x:c>
      <x:c r="C1031" t="str">
        <x:v>DE-13255</x:v>
      </x:c>
      <x:c r="D1031" t="str">
        <x:v>Deanra Eno</x:v>
      </x:c>
      <x:c r="E1031" t="str">
        <x:v>Home Office</x:v>
      </x:c>
      <x:c r="F1031" t="str">
        <x:v>East</x:v>
      </x:c>
      <x:c r="G1031" t="str">
        <x:v>Office Supplies</x:v>
      </x:c>
      <x:c r="H1031" t="str">
        <x:v>Paper</x:v>
      </x:c>
      <x:c r="I1031" s="22" t="n">
        <x:v>15.552000000000003</x:v>
      </x:c>
      <x:c r="J1031" s="24" t="n">
        <x:v>3</x:v>
      </x:c>
      <x:c r="K1031" s="26" t="n">
        <x:v>0.2</x:v>
      </x:c>
      <x:c r="L1031" s="22" t="n">
        <x:v>5.4432</x:v>
      </x:c>
      <x:c r="M1031" t="n">
        <x:v>2016</x:v>
      </x:c>
      <x:c r="N1031" s="20" t="n">
        <x:v>42370</x:v>
      </x:c>
    </x:row>
    <x:row r="1032" ht="18" customHeight="1">
      <x:c r="A1032" t="str">
        <x:v>CA-2016-126529</x:v>
      </x:c>
      <x:c r="B1032" s="18" t="n">
        <x:v>42380</x:v>
      </x:c>
      <x:c r="C1032" t="str">
        <x:v>DE-13255</x:v>
      </x:c>
      <x:c r="D1032" t="str">
        <x:v>Deanra Eno</x:v>
      </x:c>
      <x:c r="E1032" t="str">
        <x:v>Home Office</x:v>
      </x:c>
      <x:c r="F1032" t="str">
        <x:v>East</x:v>
      </x:c>
      <x:c r="G1032" t="str">
        <x:v>Office Supplies</x:v>
      </x:c>
      <x:c r="H1032" t="str">
        <x:v>Paper</x:v>
      </x:c>
      <x:c r="I1032" s="22" t="n">
        <x:v>63.312</x:v>
      </x:c>
      <x:c r="J1032" s="24" t="n">
        <x:v>3</x:v>
      </x:c>
      <x:c r="K1032" s="26" t="n">
        <x:v>0.2</x:v>
      </x:c>
      <x:c r="L1032" s="22" t="n">
        <x:v>20.576399999999996</x:v>
      </x:c>
      <x:c r="M1032" t="n">
        <x:v>2016</x:v>
      </x:c>
      <x:c r="N1032" s="20" t="n">
        <x:v>42370</x:v>
      </x:c>
    </x:row>
    <x:row r="1033" ht="18" customHeight="1">
      <x:c r="A1033" t="str">
        <x:v>CA-2016-126529</x:v>
      </x:c>
      <x:c r="B1033" s="18" t="n">
        <x:v>42380</x:v>
      </x:c>
      <x:c r="C1033" t="str">
        <x:v>DE-13255</x:v>
      </x:c>
      <x:c r="D1033" t="str">
        <x:v>Deanra Eno</x:v>
      </x:c>
      <x:c r="E1033" t="str">
        <x:v>Home Office</x:v>
      </x:c>
      <x:c r="F1033" t="str">
        <x:v>East</x:v>
      </x:c>
      <x:c r="G1033" t="str">
        <x:v>Technology</x:v>
      </x:c>
      <x:c r="H1033" t="str">
        <x:v>Phones</x:v>
      </x:c>
      <x:c r="I1033" s="22" t="n">
        <x:v>15.588</x:v>
      </x:c>
      <x:c r="J1033" s="24" t="n">
        <x:v>2</x:v>
      </x:c>
      <x:c r="K1033" s="26" t="n">
        <x:v>0.4</x:v>
      </x:c>
      <x:c r="L1033" s="22" t="n">
        <x:v>-9.8724</x:v>
      </x:c>
      <x:c r="M1033" t="n">
        <x:v>2016</x:v>
      </x:c>
      <x:c r="N1033" s="20" t="n">
        <x:v>42370</x:v>
      </x:c>
    </x:row>
    <x:row r="1034" ht="18" customHeight="1">
      <x:c r="A1034" t="str">
        <x:v>CA-2014-163552</x:v>
      </x:c>
      <x:c r="B1034" s="18" t="n">
        <x:v>41831</x:v>
      </x:c>
      <x:c r="C1034" t="str">
        <x:v>LA-16780</x:v>
      </x:c>
      <x:c r="D1034" t="str">
        <x:v>Laura Armstrong</x:v>
      </x:c>
      <x:c r="E1034" t="str">
        <x:v>Corporate</x:v>
      </x:c>
      <x:c r="F1034" t="str">
        <x:v>East</x:v>
      </x:c>
      <x:c r="G1034" t="str">
        <x:v>Office Supplies</x:v>
      </x:c>
      <x:c r="H1034" t="str">
        <x:v>Paper</x:v>
      </x:c>
      <x:c r="I1034" s="22" t="n">
        <x:v>177.2</x:v>
      </x:c>
      <x:c r="J1034" s="24" t="n">
        <x:v>5</x:v>
      </x:c>
      <x:c r="K1034" s="26" t="n">
        <x:v>0</x:v>
      </x:c>
      <x:c r="L1034" s="22" t="n">
        <x:v>83.28399999999999</x:v>
      </x:c>
      <x:c r="M1034" t="n">
        <x:v>2014</x:v>
      </x:c>
      <x:c r="N1034" s="20" t="n">
        <x:v>41821</x:v>
      </x:c>
    </x:row>
    <x:row r="1035" ht="18" customHeight="1">
      <x:c r="A1035" t="str">
        <x:v>CA-2014-163552</x:v>
      </x:c>
      <x:c r="B1035" s="18" t="n">
        <x:v>41831</x:v>
      </x:c>
      <x:c r="C1035" t="str">
        <x:v>LA-16780</x:v>
      </x:c>
      <x:c r="D1035" t="str">
        <x:v>Laura Armstrong</x:v>
      </x:c>
      <x:c r="E1035" t="str">
        <x:v>Corporate</x:v>
      </x:c>
      <x:c r="F1035" t="str">
        <x:v>East</x:v>
      </x:c>
      <x:c r="G1035" t="str">
        <x:v>Technology</x:v>
      </x:c>
      <x:c r="H1035" t="str">
        <x:v>Phones</x:v>
      </x:c>
      <x:c r="I1035" s="22" t="n">
        <x:v>197.96999999999997</x:v>
      </x:c>
      <x:c r="J1035" s="24" t="n">
        <x:v>3</x:v>
      </x:c>
      <x:c r="K1035" s="26" t="n">
        <x:v>0</x:v>
      </x:c>
      <x:c r="L1035" s="22" t="n">
        <x:v>57.41129999999999</x:v>
      </x:c>
      <x:c r="M1035" t="n">
        <x:v>2014</x:v>
      </x:c>
      <x:c r="N1035" s="20" t="n">
        <x:v>41821</x:v>
      </x:c>
    </x:row>
    <x:row r="1036" ht="18" customHeight="1">
      <x:c r="A1036" t="str">
        <x:v>CA-2014-163552</x:v>
      </x:c>
      <x:c r="B1036" s="18" t="n">
        <x:v>41831</x:v>
      </x:c>
      <x:c r="C1036" t="str">
        <x:v>LA-16780</x:v>
      </x:c>
      <x:c r="D1036" t="str">
        <x:v>Laura Armstrong</x:v>
      </x:c>
      <x:c r="E1036" t="str">
        <x:v>Corporate</x:v>
      </x:c>
      <x:c r="F1036" t="str">
        <x:v>East</x:v>
      </x:c>
      <x:c r="G1036" t="str">
        <x:v>Furniture</x:v>
      </x:c>
      <x:c r="H1036" t="str">
        <x:v>Chairs</x:v>
      </x:c>
      <x:c r="I1036" s="22" t="n">
        <x:v>854.94</x:v>
      </x:c>
      <x:c r="J1036" s="24" t="n">
        <x:v>3</x:v>
      </x:c>
      <x:c r="K1036" s="26" t="n">
        <x:v>0</x:v>
      </x:c>
      <x:c r="L1036" s="22" t="n">
        <x:v>213.735</x:v>
      </x:c>
      <x:c r="M1036" t="n">
        <x:v>2014</x:v>
      </x:c>
      <x:c r="N1036" s="20" t="n">
        <x:v>41821</x:v>
      </x:c>
    </x:row>
    <x:row r="1037" ht="18" customHeight="1">
      <x:c r="A1037" t="str">
        <x:v>CA-2014-163552</x:v>
      </x:c>
      <x:c r="B1037" s="18" t="n">
        <x:v>41831</x:v>
      </x:c>
      <x:c r="C1037" t="str">
        <x:v>LA-16780</x:v>
      </x:c>
      <x:c r="D1037" t="str">
        <x:v>Laura Armstrong</x:v>
      </x:c>
      <x:c r="E1037" t="str">
        <x:v>Corporate</x:v>
      </x:c>
      <x:c r="F1037" t="str">
        <x:v>East</x:v>
      </x:c>
      <x:c r="G1037" t="str">
        <x:v>Furniture</x:v>
      </x:c>
      <x:c r="H1037" t="str">
        <x:v>Furnishings</x:v>
      </x:c>
      <x:c r="I1037" s="22" t="n">
        <x:v>124.10999999999999</x:v>
      </x:c>
      <x:c r="J1037" s="24" t="n">
        <x:v>9</x:v>
      </x:c>
      <x:c r="K1037" s="26" t="n">
        <x:v>0</x:v>
      </x:c>
      <x:c r="L1037" s="22" t="n">
        <x:v>52.126200000000004</x:v>
      </x:c>
      <x:c r="M1037" t="n">
        <x:v>2014</x:v>
      </x:c>
      <x:c r="N1037" s="20" t="n">
        <x:v>41821</x:v>
      </x:c>
    </x:row>
    <x:row r="1038" ht="18" customHeight="1">
      <x:c r="A1038" t="str">
        <x:v>CA-2014-163552</x:v>
      </x:c>
      <x:c r="B1038" s="18" t="n">
        <x:v>41831</x:v>
      </x:c>
      <x:c r="C1038" t="str">
        <x:v>LA-16780</x:v>
      </x:c>
      <x:c r="D1038" t="str">
        <x:v>Laura Armstrong</x:v>
      </x:c>
      <x:c r="E1038" t="str">
        <x:v>Corporate</x:v>
      </x:c>
      <x:c r="F1038" t="str">
        <x:v>East</x:v>
      </x:c>
      <x:c r="G1038" t="str">
        <x:v>Office Supplies</x:v>
      </x:c>
      <x:c r="H1038" t="str">
        <x:v>Labels</x:v>
      </x:c>
      <x:c r="I1038" s="22" t="n">
        <x:v>14.399999999999999</x:v>
      </x:c>
      <x:c r="J1038" s="24" t="n">
        <x:v>5</x:v>
      </x:c>
      <x:c r="K1038" s="26" t="n">
        <x:v>0</x:v>
      </x:c>
      <x:c r="L1038" s="22" t="n">
        <x:v>7.056</x:v>
      </x:c>
      <x:c r="M1038" t="n">
        <x:v>2014</x:v>
      </x:c>
      <x:c r="N1038" s="20" t="n">
        <x:v>41821</x:v>
      </x:c>
    </x:row>
    <x:row r="1039" ht="18" customHeight="1">
      <x:c r="A1039" t="str">
        <x:v>CA-2016-109820</x:v>
      </x:c>
      <x:c r="B1039" s="18" t="n">
        <x:v>42694</x:v>
      </x:c>
      <x:c r="C1039" t="str">
        <x:v>AG-10390</x:v>
      </x:c>
      <x:c r="D1039" t="str">
        <x:v>Allen Goldenen</x:v>
      </x:c>
      <x:c r="E1039" t="str">
        <x:v>Consumer</x:v>
      </x:c>
      <x:c r="F1039" t="str">
        <x:v>East</x:v>
      </x:c>
      <x:c r="G1039" t="str">
        <x:v>Office Supplies</x:v>
      </x:c>
      <x:c r="H1039" t="str">
        <x:v>Paper</x:v>
      </x:c>
      <x:c r="I1039" s="22" t="n">
        <x:v>15.696000000000002</x:v>
      </x:c>
      <x:c r="J1039" s="24" t="n">
        <x:v>3</x:v>
      </x:c>
      <x:c r="K1039" s="26" t="n">
        <x:v>0.2</x:v>
      </x:c>
      <x:c r="L1039" s="22" t="n">
        <x:v>5.1011999999999995</x:v>
      </x:c>
      <x:c r="M1039" t="n">
        <x:v>2016</x:v>
      </x:c>
      <x:c r="N1039" s="20" t="n">
        <x:v>42675</x:v>
      </x:c>
    </x:row>
    <x:row r="1040" ht="18" customHeight="1">
      <x:c r="A1040" t="str">
        <x:v>CA-2016-109820</x:v>
      </x:c>
      <x:c r="B1040" s="18" t="n">
        <x:v>42694</x:v>
      </x:c>
      <x:c r="C1040" t="str">
        <x:v>AG-10390</x:v>
      </x:c>
      <x:c r="D1040" t="str">
        <x:v>Allen Goldenen</x:v>
      </x:c>
      <x:c r="E1040" t="str">
        <x:v>Consumer</x:v>
      </x:c>
      <x:c r="F1040" t="str">
        <x:v>East</x:v>
      </x:c>
      <x:c r="G1040" t="str">
        <x:v>Office Supplies</x:v>
      </x:c>
      <x:c r="H1040" t="str">
        <x:v>Binders</x:v>
      </x:c>
      <x:c r="I1040" s="22" t="n">
        <x:v>2.628</x:v>
      </x:c>
      <x:c r="J1040" s="24" t="n">
        <x:v>2</x:v>
      </x:c>
      <x:c r="K1040" s="26" t="n">
        <x:v>0.7</x:v>
      </x:c>
      <x:c r="L1040" s="22" t="n">
        <x:v>-1.9272</x:v>
      </x:c>
      <x:c r="M1040" t="n">
        <x:v>2016</x:v>
      </x:c>
      <x:c r="N1040" s="20" t="n">
        <x:v>42675</x:v>
      </x:c>
    </x:row>
    <x:row r="1041" ht="18" customHeight="1">
      <x:c r="A1041" t="str">
        <x:v>CA-2016-109820</x:v>
      </x:c>
      <x:c r="B1041" s="18" t="n">
        <x:v>42694</x:v>
      </x:c>
      <x:c r="C1041" t="str">
        <x:v>AG-10390</x:v>
      </x:c>
      <x:c r="D1041" t="str">
        <x:v>Allen Goldenen</x:v>
      </x:c>
      <x:c r="E1041" t="str">
        <x:v>Consumer</x:v>
      </x:c>
      <x:c r="F1041" t="str">
        <x:v>East</x:v>
      </x:c>
      <x:c r="G1041" t="str">
        <x:v>Office Supplies</x:v>
      </x:c>
      <x:c r="H1041" t="str">
        <x:v>Binders</x:v>
      </x:c>
      <x:c r="I1041" s="22" t="n">
        <x:v>14.427000000000003</x:v>
      </x:c>
      <x:c r="J1041" s="24" t="n">
        <x:v>3</x:v>
      </x:c>
      <x:c r="K1041" s="26" t="n">
        <x:v>0.7</x:v>
      </x:c>
      <x:c r="L1041" s="22" t="n">
        <x:v>-10.579799999999999</x:v>
      </x:c>
      <x:c r="M1041" t="n">
        <x:v>2016</x:v>
      </x:c>
      <x:c r="N1041" s="20" t="n">
        <x:v>42675</x:v>
      </x:c>
    </x:row>
    <x:row r="1042" ht="18" customHeight="1">
      <x:c r="A1042" t="str">
        <x:v>CA-2016-113061</x:v>
      </x:c>
      <x:c r="B1042" s="18" t="n">
        <x:v>42482</x:v>
      </x:c>
      <x:c r="C1042" t="str">
        <x:v>EL-13735</x:v>
      </x:c>
      <x:c r="D1042" t="str">
        <x:v>Ed Ludwig</x:v>
      </x:c>
      <x:c r="E1042" t="str">
        <x:v>Home Office</x:v>
      </x:c>
      <x:c r="F1042" t="str">
        <x:v>Central</x:v>
      </x:c>
      <x:c r="G1042" t="str">
        <x:v>Furniture</x:v>
      </x:c>
      <x:c r="H1042" t="str">
        <x:v>Furnishings</x:v>
      </x:c>
      <x:c r="I1042" s="22" t="n">
        <x:v>86.62</x:v>
      </x:c>
      <x:c r="J1042" s="24" t="n">
        <x:v>2</x:v>
      </x:c>
      <x:c r="K1042" s="26" t="n">
        <x:v>0</x:v>
      </x:c>
      <x:c r="L1042" s="22" t="n">
        <x:v>8.661999999999992</x:v>
      </x:c>
      <x:c r="M1042" t="n">
        <x:v>2016</x:v>
      </x:c>
      <x:c r="N1042" s="20" t="n">
        <x:v>42461</x:v>
      </x:c>
    </x:row>
    <x:row r="1043" ht="18" customHeight="1">
      <x:c r="A1043" t="str">
        <x:v>CA-2015-127418</x:v>
      </x:c>
      <x:c r="B1043" s="18" t="n">
        <x:v>42168</x:v>
      </x:c>
      <x:c r="C1043" t="str">
        <x:v>JJ-15445</x:v>
      </x:c>
      <x:c r="D1043" t="str">
        <x:v>Jennifer Jackson</x:v>
      </x:c>
      <x:c r="E1043" t="str">
        <x:v>Consumer</x:v>
      </x:c>
      <x:c r="F1043" t="str">
        <x:v>West</x:v>
      </x:c>
      <x:c r="G1043" t="str">
        <x:v>Office Supplies</x:v>
      </x:c>
      <x:c r="H1043" t="str">
        <x:v>Binders</x:v>
      </x:c>
      <x:c r="I1043" s="22" t="n">
        <x:v>36.624</x:v>
      </x:c>
      <x:c r="J1043" s="24" t="n">
        <x:v>3</x:v>
      </x:c>
      <x:c r="K1043" s="26" t="n">
        <x:v>0.2</x:v>
      </x:c>
      <x:c r="L1043" s="22" t="n">
        <x:v>13.734</x:v>
      </x:c>
      <x:c r="M1043" t="n">
        <x:v>2015</x:v>
      </x:c>
      <x:c r="N1043" s="20" t="n">
        <x:v>42156</x:v>
      </x:c>
    </x:row>
    <x:row r="1044" ht="18" customHeight="1">
      <x:c r="A1044" t="str">
        <x:v>CA-2017-121818</x:v>
      </x:c>
      <x:c r="B1044" s="18" t="n">
        <x:v>43059</x:v>
      </x:c>
      <x:c r="C1044" t="str">
        <x:v>JH-15430</x:v>
      </x:c>
      <x:c r="D1044" t="str">
        <x:v>Jennifer Halladay</x:v>
      </x:c>
      <x:c r="E1044" t="str">
        <x:v>Consumer</x:v>
      </x:c>
      <x:c r="F1044" t="str">
        <x:v>South</x:v>
      </x:c>
      <x:c r="G1044" t="str">
        <x:v>Office Supplies</x:v>
      </x:c>
      <x:c r="H1044" t="str">
        <x:v>Art</x:v>
      </x:c>
      <x:c r="I1044" s="22" t="n">
        <x:v>23.968000000000004</x:v>
      </x:c>
      <x:c r="J1044" s="24" t="n">
        <x:v>7</x:v>
      </x:c>
      <x:c r="K1044" s="26" t="n">
        <x:v>0.2</x:v>
      </x:c>
      <x:c r="L1044" s="22" t="n">
        <x:v>2.696399999999997</x:v>
      </x:c>
      <x:c r="M1044" t="n">
        <x:v>2017</x:v>
      </x:c>
      <x:c r="N1044" s="20" t="n">
        <x:v>43040</x:v>
      </x:c>
    </x:row>
    <x:row r="1045" ht="18" customHeight="1">
      <x:c r="A1045" t="str">
        <x:v>CA-2017-121818</x:v>
      </x:c>
      <x:c r="B1045" s="18" t="n">
        <x:v>43059</x:v>
      </x:c>
      <x:c r="C1045" t="str">
        <x:v>JH-15430</x:v>
      </x:c>
      <x:c r="D1045" t="str">
        <x:v>Jennifer Halladay</x:v>
      </x:c>
      <x:c r="E1045" t="str">
        <x:v>Consumer</x:v>
      </x:c>
      <x:c r="F1045" t="str">
        <x:v>South</x:v>
      </x:c>
      <x:c r="G1045" t="str">
        <x:v>Office Supplies</x:v>
      </x:c>
      <x:c r="H1045" t="str">
        <x:v>Art</x:v>
      </x:c>
      <x:c r="I1045" s="22" t="n">
        <x:v>28.728</x:v>
      </x:c>
      <x:c r="J1045" s="24" t="n">
        <x:v>3</x:v>
      </x:c>
      <x:c r="K1045" s="26" t="n">
        <x:v>0.2</x:v>
      </x:c>
      <x:c r="L1045" s="22" t="n">
        <x:v>1.7954999999999988</x:v>
      </x:c>
      <x:c r="M1045" t="n">
        <x:v>2017</x:v>
      </x:c>
      <x:c r="N1045" s="20" t="n">
        <x:v>43040</x:v>
      </x:c>
    </x:row>
    <x:row r="1046" ht="18" customHeight="1">
      <x:c r="A1046" t="str">
        <x:v>CA-2016-127670</x:v>
      </x:c>
      <x:c r="B1046" s="18" t="n">
        <x:v>42449</x:v>
      </x:c>
      <x:c r="C1046" t="str">
        <x:v>RD-19660</x:v>
      </x:c>
      <x:c r="D1046" t="str">
        <x:v>Robert Dilbeck</x:v>
      </x:c>
      <x:c r="E1046" t="str">
        <x:v>Home Office</x:v>
      </x:c>
      <x:c r="F1046" t="str">
        <x:v>Central</x:v>
      </x:c>
      <x:c r="G1046" t="str">
        <x:v>Furniture</x:v>
      </x:c>
      <x:c r="H1046" t="str">
        <x:v>Tables</x:v>
      </x:c>
      <x:c r="I1046" s="22" t="n">
        <x:v>697.16</x:v>
      </x:c>
      <x:c r="J1046" s="24" t="n">
        <x:v>4</x:v>
      </x:c>
      <x:c r="K1046" s="26" t="n">
        <x:v>0</x:v>
      </x:c>
      <x:c r="L1046" s="22" t="n">
        <x:v>146.40359999999998</x:v>
      </x:c>
      <x:c r="M1046" t="n">
        <x:v>2016</x:v>
      </x:c>
      <x:c r="N1046" s="20" t="n">
        <x:v>42430</x:v>
      </x:c>
    </x:row>
    <x:row r="1047" ht="18" customHeight="1">
      <x:c r="A1047" t="str">
        <x:v>CA-2016-102981</x:v>
      </x:c>
      <x:c r="B1047" s="18" t="n">
        <x:v>42619</x:v>
      </x:c>
      <x:c r="C1047" t="str">
        <x:v>MO-17500</x:v>
      </x:c>
      <x:c r="D1047" t="str">
        <x:v>Mary O'Rourke</x:v>
      </x:c>
      <x:c r="E1047" t="str">
        <x:v>Consumer</x:v>
      </x:c>
      <x:c r="F1047" t="str">
        <x:v>East</x:v>
      </x:c>
      <x:c r="G1047" t="str">
        <x:v>Technology</x:v>
      </x:c>
      <x:c r="H1047" t="str">
        <x:v>Accessories</x:v>
      </x:c>
      <x:c r="I1047" s="22" t="n">
        <x:v>31.86</x:v>
      </x:c>
      <x:c r="J1047" s="24" t="n">
        <x:v>2</x:v>
      </x:c>
      <x:c r="K1047" s="26" t="n">
        <x:v>0</x:v>
      </x:c>
      <x:c r="L1047" s="22" t="n">
        <x:v>11.151</x:v>
      </x:c>
      <x:c r="M1047" t="n">
        <x:v>2016</x:v>
      </x:c>
      <x:c r="N1047" s="20" t="n">
        <x:v>42614</x:v>
      </x:c>
    </x:row>
    <x:row r="1048" ht="18" customHeight="1">
      <x:c r="A1048" t="str">
        <x:v>CA-2016-102981</x:v>
      </x:c>
      <x:c r="B1048" s="18" t="n">
        <x:v>42619</x:v>
      </x:c>
      <x:c r="C1048" t="str">
        <x:v>MO-17500</x:v>
      </x:c>
      <x:c r="D1048" t="str">
        <x:v>Mary O'Rourke</x:v>
      </x:c>
      <x:c r="E1048" t="str">
        <x:v>Consumer</x:v>
      </x:c>
      <x:c r="F1048" t="str">
        <x:v>East</x:v>
      </x:c>
      <x:c r="G1048" t="str">
        <x:v>Furniture</x:v>
      </x:c>
      <x:c r="H1048" t="str">
        <x:v>Bookcases</x:v>
      </x:c>
      <x:c r="I1048" s="22" t="n">
        <x:v>722.3520000000001</x:v>
      </x:c>
      <x:c r="J1048" s="24" t="n">
        <x:v>3</x:v>
      </x:c>
      <x:c r="K1048" s="26" t="n">
        <x:v>0.2</x:v>
      </x:c>
      <x:c r="L1048" s="22" t="n">
        <x:v>90.29399999999993</x:v>
      </x:c>
      <x:c r="M1048" t="n">
        <x:v>2016</x:v>
      </x:c>
      <x:c r="N1048" s="20" t="n">
        <x:v>42614</x:v>
      </x:c>
    </x:row>
    <x:row r="1049" ht="18" customHeight="1">
      <x:c r="A1049" t="str">
        <x:v>CA-2017-115651</x:v>
      </x:c>
      <x:c r="B1049" s="18" t="n">
        <x:v>42925</x:v>
      </x:c>
      <x:c r="C1049" t="str">
        <x:v>NS-18640</x:v>
      </x:c>
      <x:c r="D1049" t="str">
        <x:v>Noel Staavos</x:v>
      </x:c>
      <x:c r="E1049" t="str">
        <x:v>Corporate</x:v>
      </x:c>
      <x:c r="F1049" t="str">
        <x:v>Central</x:v>
      </x:c>
      <x:c r="G1049" t="str">
        <x:v>Office Supplies</x:v>
      </x:c>
      <x:c r="H1049" t="str">
        <x:v>Art</x:v>
      </x:c>
      <x:c r="I1049" s="22" t="n">
        <x:v>8.84</x:v>
      </x:c>
      <x:c r="J1049" s="24" t="n">
        <x:v>5</x:v>
      </x:c>
      <x:c r="K1049" s="26" t="n">
        <x:v>0.2</x:v>
      </x:c>
      <x:c r="L1049" s="22" t="n">
        <x:v>2.9835000000000003</x:v>
      </x:c>
      <x:c r="M1049" t="n">
        <x:v>2017</x:v>
      </x:c>
      <x:c r="N1049" s="20" t="n">
        <x:v>42917</x:v>
      </x:c>
    </x:row>
    <x:row r="1050" ht="18" customHeight="1">
      <x:c r="A1050" t="str">
        <x:v>CA-2017-115651</x:v>
      </x:c>
      <x:c r="B1050" s="18" t="n">
        <x:v>42925</x:v>
      </x:c>
      <x:c r="C1050" t="str">
        <x:v>NS-18640</x:v>
      </x:c>
      <x:c r="D1050" t="str">
        <x:v>Noel Staavos</x:v>
      </x:c>
      <x:c r="E1050" t="str">
        <x:v>Corporate</x:v>
      </x:c>
      <x:c r="F1050" t="str">
        <x:v>Central</x:v>
      </x:c>
      <x:c r="G1050" t="str">
        <x:v>Office Supplies</x:v>
      </x:c>
      <x:c r="H1050" t="str">
        <x:v>Appliances</x:v>
      </x:c>
      <x:c r="I1050" s="22" t="n">
        <x:v>58.46399999999998</x:v>
      </x:c>
      <x:c r="J1050" s="24" t="n">
        <x:v>9</x:v>
      </x:c>
      <x:c r="K1050" s="26" t="n">
        <x:v>0.8</x:v>
      </x:c>
      <x:c r="L1050" s="22" t="n">
        <x:v>-146.16000000000003</x:v>
      </x:c>
      <x:c r="M1050" t="n">
        <x:v>2017</x:v>
      </x:c>
      <x:c r="N1050" s="20" t="n">
        <x:v>42917</x:v>
      </x:c>
    </x:row>
    <x:row r="1051" ht="18" customHeight="1">
      <x:c r="A1051" t="str">
        <x:v>CA-2017-152702</x:v>
      </x:c>
      <x:c r="B1051" s="18" t="n">
        <x:v>43020</x:v>
      </x:c>
      <x:c r="C1051" t="str">
        <x:v>SN-20710</x:v>
      </x:c>
      <x:c r="D1051" t="str">
        <x:v>Steve Nguyen</x:v>
      </x:c>
      <x:c r="E1051" t="str">
        <x:v>Home Office</x:v>
      </x:c>
      <x:c r="F1051" t="str">
        <x:v>Central</x:v>
      </x:c>
      <x:c r="G1051" t="str">
        <x:v>Furniture</x:v>
      </x:c>
      <x:c r="H1051" t="str">
        <x:v>Chairs</x:v>
      </x:c>
      <x:c r="I1051" s="22" t="n">
        <x:v>254.60399999999998</x:v>
      </x:c>
      <x:c r="J1051" s="24" t="n">
        <x:v>14</x:v>
      </x:c>
      <x:c r="K1051" s="26" t="n">
        <x:v>0.3</x:v>
      </x:c>
      <x:c r="L1051" s="22" t="n">
        <x:v>-18.185999999999993</x:v>
      </x:c>
      <x:c r="M1051" t="n">
        <x:v>2017</x:v>
      </x:c>
      <x:c r="N1051" s="20" t="n">
        <x:v>43009</x:v>
      </x:c>
    </x:row>
    <x:row r="1052" ht="18" customHeight="1">
      <x:c r="A1052" t="str">
        <x:v>CA-2016-169103</x:v>
      </x:c>
      <x:c r="B1052" s="18" t="n">
        <x:v>42437</x:v>
      </x:c>
      <x:c r="C1052" t="str">
        <x:v>ZC-21910</x:v>
      </x:c>
      <x:c r="D1052" t="str">
        <x:v>Zuschuss Carroll</x:v>
      </x:c>
      <x:c r="E1052" t="str">
        <x:v>Consumer</x:v>
      </x:c>
      <x:c r="F1052" t="str">
        <x:v>South</x:v>
      </x:c>
      <x:c r="G1052" t="str">
        <x:v>Technology</x:v>
      </x:c>
      <x:c r="H1052" t="str">
        <x:v>Phones</x:v>
      </x:c>
      <x:c r="I1052" s="22" t="n">
        <x:v>1363.96</x:v>
      </x:c>
      <x:c r="J1052" s="24" t="n">
        <x:v>5</x:v>
      </x:c>
      <x:c r="K1052" s="26" t="n">
        <x:v>0.2</x:v>
      </x:c>
      <x:c r="L1052" s="22" t="n">
        <x:v>85.2475</x:v>
      </x:c>
      <x:c r="M1052" t="n">
        <x:v>2016</x:v>
      </x:c>
      <x:c r="N1052" s="20" t="n">
        <x:v>42430</x:v>
      </x:c>
    </x:row>
    <x:row r="1053" ht="18" customHeight="1">
      <x:c r="A1053" t="str">
        <x:v>CA-2016-169103</x:v>
      </x:c>
      <x:c r="B1053" s="18" t="n">
        <x:v>42437</x:v>
      </x:c>
      <x:c r="C1053" t="str">
        <x:v>ZC-21910</x:v>
      </x:c>
      <x:c r="D1053" t="str">
        <x:v>Zuschuss Carroll</x:v>
      </x:c>
      <x:c r="E1053" t="str">
        <x:v>Consumer</x:v>
      </x:c>
      <x:c r="F1053" t="str">
        <x:v>South</x:v>
      </x:c>
      <x:c r="G1053" t="str">
        <x:v>Furniture</x:v>
      </x:c>
      <x:c r="H1053" t="str">
        <x:v>Furnishings</x:v>
      </x:c>
      <x:c r="I1053" s="22" t="n">
        <x:v>102.35999999999999</x:v>
      </x:c>
      <x:c r="J1053" s="24" t="n">
        <x:v>3</x:v>
      </x:c>
      <x:c r="K1053" s="26" t="n">
        <x:v>0.2</x:v>
      </x:c>
      <x:c r="L1053" s="22" t="n">
        <x:v>-3.8385000000000105</x:v>
      </x:c>
      <x:c r="M1053" t="n">
        <x:v>2016</x:v>
      </x:c>
      <x:c r="N1053" s="20" t="n">
        <x:v>42430</x:v>
      </x:c>
    </x:row>
    <x:row r="1054" ht="18" customHeight="1">
      <x:c r="A1054" t="str">
        <x:v>CA-2014-139192</x:v>
      </x:c>
      <x:c r="B1054" s="18" t="n">
        <x:v>41786</x:v>
      </x:c>
      <x:c r="C1054" t="str">
        <x:v>LC-16885</x:v>
      </x:c>
      <x:c r="D1054" t="str">
        <x:v>Lena Creighton</x:v>
      </x:c>
      <x:c r="E1054" t="str">
        <x:v>Consumer</x:v>
      </x:c>
      <x:c r="F1054" t="str">
        <x:v>West</x:v>
      </x:c>
      <x:c r="G1054" t="str">
        <x:v>Technology</x:v>
      </x:c>
      <x:c r="H1054" t="str">
        <x:v>Phones</x:v>
      </x:c>
      <x:c r="I1054" s="22" t="n">
        <x:v>1113.504</x:v>
      </x:c>
      <x:c r="J1054" s="24" t="n">
        <x:v>12</x:v>
      </x:c>
      <x:c r="K1054" s="26" t="n">
        <x:v>0.2</x:v>
      </x:c>
      <x:c r="L1054" s="22" t="n">
        <x:v>125.2691999999999</x:v>
      </x:c>
      <x:c r="M1054" t="n">
        <x:v>2014</x:v>
      </x:c>
      <x:c r="N1054" s="20" t="n">
        <x:v>41760</x:v>
      </x:c>
    </x:row>
    <x:row r="1055" ht="18" customHeight="1">
      <x:c r="A1055" t="str">
        <x:v>CA-2014-139192</x:v>
      </x:c>
      <x:c r="B1055" s="18" t="n">
        <x:v>41786</x:v>
      </x:c>
      <x:c r="C1055" t="str">
        <x:v>LC-16885</x:v>
      </x:c>
      <x:c r="D1055" t="str">
        <x:v>Lena Creighton</x:v>
      </x:c>
      <x:c r="E1055" t="str">
        <x:v>Consumer</x:v>
      </x:c>
      <x:c r="F1055" t="str">
        <x:v>West</x:v>
      </x:c>
      <x:c r="G1055" t="str">
        <x:v>Technology</x:v>
      </x:c>
      <x:c r="H1055" t="str">
        <x:v>Accessories</x:v>
      </x:c>
      <x:c r="I1055" s="22" t="n">
        <x:v>99.99</x:v>
      </x:c>
      <x:c r="J1055" s="24" t="n">
        <x:v>1</x:v>
      </x:c>
      <x:c r="K1055" s="26" t="n">
        <x:v>0</x:v>
      </x:c>
      <x:c r="L1055" s="22" t="n">
        <x:v>37.9962</x:v>
      </x:c>
      <x:c r="M1055" t="n">
        <x:v>2014</x:v>
      </x:c>
      <x:c r="N1055" s="20" t="n">
        <x:v>41760</x:v>
      </x:c>
    </x:row>
    <x:row r="1056" ht="18" customHeight="1">
      <x:c r="A1056" t="str">
        <x:v>US-2015-153500</x:v>
      </x:c>
      <x:c r="B1056" s="18" t="n">
        <x:v>42188</x:v>
      </x:c>
      <x:c r="C1056" t="str">
        <x:v>DG-13300</x:v>
      </x:c>
      <x:c r="D1056" t="str">
        <x:v>Deirdre Greer</x:v>
      </x:c>
      <x:c r="E1056" t="str">
        <x:v>Corporate</x:v>
      </x:c>
      <x:c r="F1056" t="str">
        <x:v>East</x:v>
      </x:c>
      <x:c r="G1056" t="str">
        <x:v>Furniture</x:v>
      </x:c>
      <x:c r="H1056" t="str">
        <x:v>Furnishings</x:v>
      </x:c>
      <x:c r="I1056" s="22" t="n">
        <x:v>168.46400000000003</x:v>
      </x:c>
      <x:c r="J1056" s="24" t="n">
        <x:v>2</x:v>
      </x:c>
      <x:c r="K1056" s="26" t="n">
        <x:v>0.2</x:v>
      </x:c>
      <x:c r="L1056" s="22" t="n">
        <x:v>-29.481200000000022</x:v>
      </x:c>
      <x:c r="M1056" t="n">
        <x:v>2015</x:v>
      </x:c>
      <x:c r="N1056" s="20" t="n">
        <x:v>42186</x:v>
      </x:c>
    </x:row>
    <x:row r="1057" ht="18" customHeight="1">
      <x:c r="A1057" t="str">
        <x:v>US-2015-153500</x:v>
      </x:c>
      <x:c r="B1057" s="18" t="n">
        <x:v>42188</x:v>
      </x:c>
      <x:c r="C1057" t="str">
        <x:v>DG-13300</x:v>
      </x:c>
      <x:c r="D1057" t="str">
        <x:v>Deirdre Greer</x:v>
      </x:c>
      <x:c r="E1057" t="str">
        <x:v>Corporate</x:v>
      </x:c>
      <x:c r="F1057" t="str">
        <x:v>East</x:v>
      </x:c>
      <x:c r="G1057" t="str">
        <x:v>Office Supplies</x:v>
      </x:c>
      <x:c r="H1057" t="str">
        <x:v>Paper</x:v>
      </x:c>
      <x:c r="I1057" s="22" t="n">
        <x:v>6.720000000000001</x:v>
      </x:c>
      <x:c r="J1057" s="24" t="n">
        <x:v>2</x:v>
      </x:c>
      <x:c r="K1057" s="26" t="n">
        <x:v>0.2</x:v>
      </x:c>
      <x:c r="L1057" s="22" t="n">
        <x:v>2.4359999999999995</x:v>
      </x:c>
      <x:c r="M1057" t="n">
        <x:v>2015</x:v>
      </x:c>
      <x:c r="N1057" s="20" t="n">
        <x:v>42186</x:v>
      </x:c>
    </x:row>
    <x:row r="1058" ht="18" customHeight="1">
      <x:c r="A1058" t="str">
        <x:v>US-2015-153500</x:v>
      </x:c>
      <x:c r="B1058" s="18" t="n">
        <x:v>42188</x:v>
      </x:c>
      <x:c r="C1058" t="str">
        <x:v>DG-13300</x:v>
      </x:c>
      <x:c r="D1058" t="str">
        <x:v>Deirdre Greer</x:v>
      </x:c>
      <x:c r="E1058" t="str">
        <x:v>Corporate</x:v>
      </x:c>
      <x:c r="F1058" t="str">
        <x:v>East</x:v>
      </x:c>
      <x:c r="G1058" t="str">
        <x:v>Furniture</x:v>
      </x:c>
      <x:c r="H1058" t="str">
        <x:v>Furnishings</x:v>
      </x:c>
      <x:c r="I1058" s="22" t="n">
        <x:v>282.88800000000003</x:v>
      </x:c>
      <x:c r="J1058" s="24" t="n">
        <x:v>9</x:v>
      </x:c>
      <x:c r="K1058" s="26" t="n">
        <x:v>0.2</x:v>
      </x:c>
      <x:c r="L1058" s="22" t="n">
        <x:v>56.57759999999996</x:v>
      </x:c>
      <x:c r="M1058" t="n">
        <x:v>2015</x:v>
      </x:c>
      <x:c r="N1058" s="20" t="n">
        <x:v>42186</x:v>
      </x:c>
    </x:row>
    <x:row r="1059" ht="18" customHeight="1">
      <x:c r="A1059" t="str">
        <x:v>CA-2015-110667</x:v>
      </x:c>
      <x:c r="B1059" s="18" t="n">
        <x:v>42098</x:v>
      </x:c>
      <x:c r="C1059" t="str">
        <x:v>NF-18595</x:v>
      </x:c>
      <x:c r="D1059" t="str">
        <x:v>Nicole Fjeld</x:v>
      </x:c>
      <x:c r="E1059" t="str">
        <x:v>Home Office</x:v>
      </x:c>
      <x:c r="F1059" t="str">
        <x:v>East</x:v>
      </x:c>
      <x:c r="G1059" t="str">
        <x:v>Office Supplies</x:v>
      </x:c>
      <x:c r="H1059" t="str">
        <x:v>Art</x:v>
      </x:c>
      <x:c r="I1059" s="22" t="n">
        <x:v>11.16</x:v>
      </x:c>
      <x:c r="J1059" s="24" t="n">
        <x:v>2</x:v>
      </x:c>
      <x:c r="K1059" s="26" t="n">
        <x:v>0</x:v>
      </x:c>
      <x:c r="L1059" s="22" t="n">
        <x:v>4.3524</x:v>
      </x:c>
      <x:c r="M1059" t="n">
        <x:v>2015</x:v>
      </x:c>
      <x:c r="N1059" s="20" t="n">
        <x:v>42095</x:v>
      </x:c>
    </x:row>
    <x:row r="1060" ht="18" customHeight="1">
      <x:c r="A1060" t="str">
        <x:v>CA-2015-110667</x:v>
      </x:c>
      <x:c r="B1060" s="18" t="n">
        <x:v>42098</x:v>
      </x:c>
      <x:c r="C1060" t="str">
        <x:v>NF-18595</x:v>
      </x:c>
      <x:c r="D1060" t="str">
        <x:v>Nicole Fjeld</x:v>
      </x:c>
      <x:c r="E1060" t="str">
        <x:v>Home Office</x:v>
      </x:c>
      <x:c r="F1060" t="str">
        <x:v>East</x:v>
      </x:c>
      <x:c r="G1060" t="str">
        <x:v>Furniture</x:v>
      </x:c>
      <x:c r="H1060" t="str">
        <x:v>Furnishings</x:v>
      </x:c>
      <x:c r="I1060" s="22" t="n">
        <x:v>108.4</x:v>
      </x:c>
      <x:c r="J1060" s="24" t="n">
        <x:v>2</x:v>
      </x:c>
      <x:c r="K1060" s="26" t="n">
        <x:v>0</x:v>
      </x:c>
      <x:c r="L1060" s="22" t="n">
        <x:v>22.763999999999996</x:v>
      </x:c>
      <x:c r="M1060" t="n">
        <x:v>2015</x:v>
      </x:c>
      <x:c r="N1060" s="20" t="n">
        <x:v>42095</x:v>
      </x:c>
    </x:row>
    <x:row r="1061" ht="18" customHeight="1">
      <x:c r="A1061" t="str">
        <x:v>CA-2015-110667</x:v>
      </x:c>
      <x:c r="B1061" s="18" t="n">
        <x:v>42098</x:v>
      </x:c>
      <x:c r="C1061" t="str">
        <x:v>NF-18595</x:v>
      </x:c>
      <x:c r="D1061" t="str">
        <x:v>Nicole Fjeld</x:v>
      </x:c>
      <x:c r="E1061" t="str">
        <x:v>Home Office</x:v>
      </x:c>
      <x:c r="F1061" t="str">
        <x:v>East</x:v>
      </x:c>
      <x:c r="G1061" t="str">
        <x:v>Office Supplies</x:v>
      </x:c>
      <x:c r="H1061" t="str">
        <x:v>Binders</x:v>
      </x:c>
      <x:c r="I1061" s="22" t="n">
        <x:v>82.34400000000001</x:v>
      </x:c>
      <x:c r="J1061" s="24" t="n">
        <x:v>3</x:v>
      </x:c>
      <x:c r="K1061" s="26" t="n">
        <x:v>0.2</x:v>
      </x:c>
      <x:c r="L1061" s="22" t="n">
        <x:v>27.791100000000004</x:v>
      </x:c>
      <x:c r="M1061" t="n">
        <x:v>2015</x:v>
      </x:c>
      <x:c r="N1061" s="20" t="n">
        <x:v>42095</x:v>
      </x:c>
    </x:row>
    <x:row r="1062" ht="18" customHeight="1">
      <x:c r="A1062" t="str">
        <x:v>CA-2015-110667</x:v>
      </x:c>
      <x:c r="B1062" s="18" t="n">
        <x:v>42098</x:v>
      </x:c>
      <x:c r="C1062" t="str">
        <x:v>NF-18595</x:v>
      </x:c>
      <x:c r="D1062" t="str">
        <x:v>Nicole Fjeld</x:v>
      </x:c>
      <x:c r="E1062" t="str">
        <x:v>Home Office</x:v>
      </x:c>
      <x:c r="F1062" t="str">
        <x:v>East</x:v>
      </x:c>
      <x:c r="G1062" t="str">
        <x:v>Office Supplies</x:v>
      </x:c>
      <x:c r="H1062" t="str">
        <x:v>Binders</x:v>
      </x:c>
      <x:c r="I1062" s="22" t="n">
        <x:v>9.088</x:v>
      </x:c>
      <x:c r="J1062" s="24" t="n">
        <x:v>4</x:v>
      </x:c>
      <x:c r="K1062" s="26" t="n">
        <x:v>0.2</x:v>
      </x:c>
      <x:c r="L1062" s="22" t="n">
        <x:v>3.2944</x:v>
      </x:c>
      <x:c r="M1062" t="n">
        <x:v>2015</x:v>
      </x:c>
      <x:c r="N1062" s="20" t="n">
        <x:v>42095</x:v>
      </x:c>
    </x:row>
    <x:row r="1063" ht="18" customHeight="1">
      <x:c r="A1063" t="str">
        <x:v>CA-2017-167150</x:v>
      </x:c>
      <x:c r="B1063" s="18" t="n">
        <x:v>43079</x:v>
      </x:c>
      <x:c r="C1063" t="str">
        <x:v>BP-11185</x:v>
      </x:c>
      <x:c r="D1063" t="str">
        <x:v>Ben Peterman</x:v>
      </x:c>
      <x:c r="E1063" t="str">
        <x:v>Corporate</x:v>
      </x:c>
      <x:c r="F1063" t="str">
        <x:v>West</x:v>
      </x:c>
      <x:c r="G1063" t="str">
        <x:v>Office Supplies</x:v>
      </x:c>
      <x:c r="H1063" t="str">
        <x:v>Binders</x:v>
      </x:c>
      <x:c r="I1063" s="22" t="n">
        <x:v>19.936000000000003</x:v>
      </x:c>
      <x:c r="J1063" s="24" t="n">
        <x:v>4</x:v>
      </x:c>
      <x:c r="K1063" s="26" t="n">
        <x:v>0.2</x:v>
      </x:c>
      <x:c r="L1063" s="22" t="n">
        <x:v>7.2268</x:v>
      </x:c>
      <x:c r="M1063" t="n">
        <x:v>2017</x:v>
      </x:c>
      <x:c r="N1063" s="20" t="n">
        <x:v>43070</x:v>
      </x:c>
    </x:row>
    <x:row r="1064" ht="18" customHeight="1">
      <x:c r="A1064" t="str">
        <x:v>CA-2017-167150</x:v>
      </x:c>
      <x:c r="B1064" s="18" t="n">
        <x:v>43079</x:v>
      </x:c>
      <x:c r="C1064" t="str">
        <x:v>BP-11185</x:v>
      </x:c>
      <x:c r="D1064" t="str">
        <x:v>Ben Peterman</x:v>
      </x:c>
      <x:c r="E1064" t="str">
        <x:v>Corporate</x:v>
      </x:c>
      <x:c r="F1064" t="str">
        <x:v>West</x:v>
      </x:c>
      <x:c r="G1064" t="str">
        <x:v>Office Supplies</x:v>
      </x:c>
      <x:c r="H1064" t="str">
        <x:v>Binders</x:v>
      </x:c>
      <x:c r="I1064" s="22" t="n">
        <x:v>65.568</x:v>
      </x:c>
      <x:c r="J1064" s="24" t="n">
        <x:v>2</x:v>
      </x:c>
      <x:c r="K1064" s="26" t="n">
        <x:v>0.2</x:v>
      </x:c>
      <x:c r="L1064" s="22" t="n">
        <x:v>22.948799999999995</x:v>
      </x:c>
      <x:c r="M1064" t="n">
        <x:v>2017</x:v>
      </x:c>
      <x:c r="N1064" s="20" t="n">
        <x:v>43070</x:v>
      </x:c>
    </x:row>
    <x:row r="1065" ht="18" customHeight="1">
      <x:c r="A1065" t="str">
        <x:v>CA-2016-105284</x:v>
      </x:c>
      <x:c r="B1065" s="18" t="n">
        <x:v>42698</x:v>
      </x:c>
      <x:c r="C1065" t="str">
        <x:v>MG-17650</x:v>
      </x:c>
      <x:c r="D1065" t="str">
        <x:v>Matthew Grinstein</x:v>
      </x:c>
      <x:c r="E1065" t="str">
        <x:v>Home Office</x:v>
      </x:c>
      <x:c r="F1065" t="str">
        <x:v>East</x:v>
      </x:c>
      <x:c r="G1065" t="str">
        <x:v>Office Supplies</x:v>
      </x:c>
      <x:c r="H1065" t="str">
        <x:v>Fasteners</x:v>
      </x:c>
      <x:c r="I1065" s="22" t="n">
        <x:v>4.416</x:v>
      </x:c>
      <x:c r="J1065" s="24" t="n">
        <x:v>3</x:v>
      </x:c>
      <x:c r="K1065" s="26" t="n">
        <x:v>0.2</x:v>
      </x:c>
      <x:c r="L1065" s="22" t="n">
        <x:v>1.6008</x:v>
      </x:c>
      <x:c r="M1065" t="n">
        <x:v>2016</x:v>
      </x:c>
      <x:c r="N1065" s="20" t="n">
        <x:v>42675</x:v>
      </x:c>
    </x:row>
    <x:row r="1066" ht="18" customHeight="1">
      <x:c r="A1066" t="str">
        <x:v>US-2015-125374</x:v>
      </x:c>
      <x:c r="B1066" s="18" t="n">
        <x:v>42086</x:v>
      </x:c>
      <x:c r="C1066" t="str">
        <x:v>JD-16060</x:v>
      </x:c>
      <x:c r="D1066" t="str">
        <x:v>Julia Dunbar</x:v>
      </x:c>
      <x:c r="E1066" t="str">
        <x:v>Consumer</x:v>
      </x:c>
      <x:c r="F1066" t="str">
        <x:v>Central</x:v>
      </x:c>
      <x:c r="G1066" t="str">
        <x:v>Furniture</x:v>
      </x:c>
      <x:c r="H1066" t="str">
        <x:v>Chairs</x:v>
      </x:c>
      <x:c r="I1066" s="22" t="n">
        <x:v>107.772</x:v>
      </x:c>
      <x:c r="J1066" s="24" t="n">
        <x:v>2</x:v>
      </x:c>
      <x:c r="K1066" s="26" t="n">
        <x:v>0.3</x:v>
      </x:c>
      <x:c r="L1066" s="22" t="n">
        <x:v>-29.25240000000001</x:v>
      </x:c>
      <x:c r="M1066" t="n">
        <x:v>2015</x:v>
      </x:c>
      <x:c r="N1066" s="20" t="n">
        <x:v>42064</x:v>
      </x:c>
    </x:row>
    <x:row r="1067" ht="18" customHeight="1">
      <x:c r="A1067" t="str">
        <x:v>CA-2015-161263</x:v>
      </x:c>
      <x:c r="B1067" s="18" t="n">
        <x:v>42110</x:v>
      </x:c>
      <x:c r="C1067" t="str">
        <x:v>TS-21160</x:v>
      </x:c>
      <x:c r="D1067" t="str">
        <x:v>Theresa Swint</x:v>
      </x:c>
      <x:c r="E1067" t="str">
        <x:v>Corporate</x:v>
      </x:c>
      <x:c r="F1067" t="str">
        <x:v>East</x:v>
      </x:c>
      <x:c r="G1067" t="str">
        <x:v>Office Supplies</x:v>
      </x:c>
      <x:c r="H1067" t="str">
        <x:v>Appliances</x:v>
      </x:c>
      <x:c r="I1067" s="22" t="n">
        <x:v>45.216</x:v>
      </x:c>
      <x:c r="J1067" s="24" t="n">
        <x:v>3</x:v>
      </x:c>
      <x:c r="K1067" s="26" t="n">
        <x:v>0.2</x:v>
      </x:c>
      <x:c r="L1067" s="22" t="n">
        <x:v>4.521599999999999</x:v>
      </x:c>
      <x:c r="M1067" t="n">
        <x:v>2015</x:v>
      </x:c>
      <x:c r="N1067" s="20" t="n">
        <x:v>42095</x:v>
      </x:c>
    </x:row>
    <x:row r="1068" ht="18" customHeight="1">
      <x:c r="A1068" t="str">
        <x:v>CA-2015-161263</x:v>
      </x:c>
      <x:c r="B1068" s="18" t="n">
        <x:v>42110</x:v>
      </x:c>
      <x:c r="C1068" t="str">
        <x:v>TS-21160</x:v>
      </x:c>
      <x:c r="D1068" t="str">
        <x:v>Theresa Swint</x:v>
      </x:c>
      <x:c r="E1068" t="str">
        <x:v>Corporate</x:v>
      </x:c>
      <x:c r="F1068" t="str">
        <x:v>East</x:v>
      </x:c>
      <x:c r="G1068" t="str">
        <x:v>Office Supplies</x:v>
      </x:c>
      <x:c r="H1068" t="str">
        <x:v>Fasteners</x:v>
      </x:c>
      <x:c r="I1068" s="22" t="n">
        <x:v>10.416000000000002</x:v>
      </x:c>
      <x:c r="J1068" s="24" t="n">
        <x:v>7</x:v>
      </x:c>
      <x:c r="K1068" s="26" t="n">
        <x:v>0.2</x:v>
      </x:c>
      <x:c r="L1068" s="22" t="n">
        <x:v>-2.2134</x:v>
      </x:c>
      <x:c r="M1068" t="n">
        <x:v>2015</x:v>
      </x:c>
      <x:c r="N1068" s="20" t="n">
        <x:v>42095</x:v>
      </x:c>
    </x:row>
    <x:row r="1069" ht="18" customHeight="1">
      <x:c r="A1069" t="str">
        <x:v>CA-2015-161263</x:v>
      </x:c>
      <x:c r="B1069" s="18" t="n">
        <x:v>42110</x:v>
      </x:c>
      <x:c r="C1069" t="str">
        <x:v>TS-21160</x:v>
      </x:c>
      <x:c r="D1069" t="str">
        <x:v>Theresa Swint</x:v>
      </x:c>
      <x:c r="E1069" t="str">
        <x:v>Corporate</x:v>
      </x:c>
      <x:c r="F1069" t="str">
        <x:v>East</x:v>
      </x:c>
      <x:c r="G1069" t="str">
        <x:v>Office Supplies</x:v>
      </x:c>
      <x:c r="H1069" t="str">
        <x:v>Art</x:v>
      </x:c>
      <x:c r="I1069" s="22" t="n">
        <x:v>7.872</x:v>
      </x:c>
      <x:c r="J1069" s="24" t="n">
        <x:v>3</x:v>
      </x:c>
      <x:c r="K1069" s="26" t="n">
        <x:v>0.2</x:v>
      </x:c>
      <x:c r="L1069" s="22" t="n">
        <x:v>1.2791999999999994</x:v>
      </x:c>
      <x:c r="M1069" t="n">
        <x:v>2015</x:v>
      </x:c>
      <x:c r="N1069" s="20" t="n">
        <x:v>42095</x:v>
      </x:c>
    </x:row>
    <x:row r="1070" ht="18" customHeight="1">
      <x:c r="A1070" t="str">
        <x:v>CA-2015-161263</x:v>
      </x:c>
      <x:c r="B1070" s="18" t="n">
        <x:v>42110</x:v>
      </x:c>
      <x:c r="C1070" t="str">
        <x:v>TS-21160</x:v>
      </x:c>
      <x:c r="D1070" t="str">
        <x:v>Theresa Swint</x:v>
      </x:c>
      <x:c r="E1070" t="str">
        <x:v>Corporate</x:v>
      </x:c>
      <x:c r="F1070" t="str">
        <x:v>East</x:v>
      </x:c>
      <x:c r="G1070" t="str">
        <x:v>Technology</x:v>
      </x:c>
      <x:c r="H1070" t="str">
        <x:v>Phones</x:v>
      </x:c>
      <x:c r="I1070" s="22" t="n">
        <x:v>118.78199999999998</x:v>
      </x:c>
      <x:c r="J1070" s="24" t="n">
        <x:v>3</x:v>
      </x:c>
      <x:c r="K1070" s="26" t="n">
        <x:v>0.4</x:v>
      </x:c>
      <x:c r="L1070" s="22" t="n">
        <x:v>-27.715799999999994</x:v>
      </x:c>
      <x:c r="M1070" t="n">
        <x:v>2015</x:v>
      </x:c>
      <x:c r="N1070" s="20" t="n">
        <x:v>42095</x:v>
      </x:c>
    </x:row>
    <x:row r="1071" ht="18" customHeight="1">
      <x:c r="A1071" t="str">
        <x:v>CA-2015-161263</x:v>
      </x:c>
      <x:c r="B1071" s="18" t="n">
        <x:v>42110</x:v>
      </x:c>
      <x:c r="C1071" t="str">
        <x:v>TS-21160</x:v>
      </x:c>
      <x:c r="D1071" t="str">
        <x:v>Theresa Swint</x:v>
      </x:c>
      <x:c r="E1071" t="str">
        <x:v>Corporate</x:v>
      </x:c>
      <x:c r="F1071" t="str">
        <x:v>East</x:v>
      </x:c>
      <x:c r="G1071" t="str">
        <x:v>Office Supplies</x:v>
      </x:c>
      <x:c r="H1071" t="str">
        <x:v>Fasteners</x:v>
      </x:c>
      <x:c r="I1071" s="22" t="n">
        <x:v>1.4480000000000002</x:v>
      </x:c>
      <x:c r="J1071" s="24" t="n">
        <x:v>1</x:v>
      </x:c>
      <x:c r="K1071" s="26" t="n">
        <x:v>0.2</x:v>
      </x:c>
      <x:c r="L1071" s="22" t="n">
        <x:v>0.2352999999999999</x:v>
      </x:c>
      <x:c r="M1071" t="n">
        <x:v>2015</x:v>
      </x:c>
      <x:c r="N1071" s="20" t="n">
        <x:v>42095</x:v>
      </x:c>
    </x:row>
    <x:row r="1072" ht="18" customHeight="1">
      <x:c r="A1072" t="str">
        <x:v>CA-2015-161263</x:v>
      </x:c>
      <x:c r="B1072" s="18" t="n">
        <x:v>42110</x:v>
      </x:c>
      <x:c r="C1072" t="str">
        <x:v>TS-21160</x:v>
      </x:c>
      <x:c r="D1072" t="str">
        <x:v>Theresa Swint</x:v>
      </x:c>
      <x:c r="E1072" t="str">
        <x:v>Corporate</x:v>
      </x:c>
      <x:c r="F1072" t="str">
        <x:v>East</x:v>
      </x:c>
      <x:c r="G1072" t="str">
        <x:v>Office Supplies</x:v>
      </x:c>
      <x:c r="H1072" t="str">
        <x:v>Binders</x:v>
      </x:c>
      <x:c r="I1072" s="22" t="n">
        <x:v>55.470000000000006</x:v>
      </x:c>
      <x:c r="J1072" s="24" t="n">
        <x:v>5</x:v>
      </x:c>
      <x:c r="K1072" s="26" t="n">
        <x:v>0.7</x:v>
      </x:c>
      <x:c r="L1072" s="22" t="n">
        <x:v>-46.224999999999994</x:v>
      </x:c>
      <x:c r="M1072" t="n">
        <x:v>2015</x:v>
      </x:c>
      <x:c r="N1072" s="20" t="n">
        <x:v>42095</x:v>
      </x:c>
    </x:row>
    <x:row r="1073" ht="18" customHeight="1">
      <x:c r="A1073" t="str">
        <x:v>CA-2016-157686</x:v>
      </x:c>
      <x:c r="B1073" s="18" t="n">
        <x:v>42644</x:v>
      </x:c>
      <x:c r="C1073" t="str">
        <x:v>BD-11620</x:v>
      </x:c>
      <x:c r="D1073" t="str">
        <x:v>Brian DeCherney</x:v>
      </x:c>
      <x:c r="E1073" t="str">
        <x:v>Consumer</x:v>
      </x:c>
      <x:c r="F1073" t="str">
        <x:v>West</x:v>
      </x:c>
      <x:c r="G1073" t="str">
        <x:v>Furniture</x:v>
      </x:c>
      <x:c r="H1073" t="str">
        <x:v>Chairs</x:v>
      </x:c>
      <x:c r="I1073" s="22" t="n">
        <x:v>194.848</x:v>
      </x:c>
      <x:c r="J1073" s="24" t="n">
        <x:v>4</x:v>
      </x:c>
      <x:c r="K1073" s="26" t="n">
        <x:v>0.2</x:v>
      </x:c>
      <x:c r="L1073" s="22" t="n">
        <x:v>12.177999999999983</x:v>
      </x:c>
      <x:c r="M1073" t="n">
        <x:v>2016</x:v>
      </x:c>
      <x:c r="N1073" s="20" t="n">
        <x:v>42644</x:v>
      </x:c>
    </x:row>
    <x:row r="1074" ht="18" customHeight="1">
      <x:c r="A1074" t="str">
        <x:v>US-2017-139955</x:v>
      </x:c>
      <x:c r="B1074" s="18" t="n">
        <x:v>43006</x:v>
      </x:c>
      <x:c r="C1074" t="str">
        <x:v>CM-12160</x:v>
      </x:c>
      <x:c r="D1074" t="str">
        <x:v>Charles McCrossin</x:v>
      </x:c>
      <x:c r="E1074" t="str">
        <x:v>Consumer</x:v>
      </x:c>
      <x:c r="F1074" t="str">
        <x:v>Central</x:v>
      </x:c>
      <x:c r="G1074" t="str">
        <x:v>Office Supplies</x:v>
      </x:c>
      <x:c r="H1074" t="str">
        <x:v>Supplies</x:v>
      </x:c>
      <x:c r="I1074" s="22" t="n">
        <x:v>1.7440000000000002</x:v>
      </x:c>
      <x:c r="J1074" s="24" t="n">
        <x:v>1</x:v>
      </x:c>
      <x:c r="K1074" s="26" t="n">
        <x:v>0.2</x:v>
      </x:c>
      <x:c r="L1074" s="22" t="n">
        <x:v>-0.34880000000000033</x:v>
      </x:c>
      <x:c r="M1074" t="n">
        <x:v>2017</x:v>
      </x:c>
      <x:c r="N1074" s="20" t="n">
        <x:v>42979</x:v>
      </x:c>
    </x:row>
    <x:row r="1075" ht="18" customHeight="1">
      <x:c r="A1075" t="str">
        <x:v>US-2015-150161</x:v>
      </x:c>
      <x:c r="B1075" s="18" t="n">
        <x:v>42210</x:v>
      </x:c>
      <x:c r="C1075" t="str">
        <x:v>RB-19795</x:v>
      </x:c>
      <x:c r="D1075" t="str">
        <x:v>Ross Baird</x:v>
      </x:c>
      <x:c r="E1075" t="str">
        <x:v>Home Office</x:v>
      </x:c>
      <x:c r="F1075" t="str">
        <x:v>East</x:v>
      </x:c>
      <x:c r="G1075" t="str">
        <x:v>Office Supplies</x:v>
      </x:c>
      <x:c r="H1075" t="str">
        <x:v>Binders</x:v>
      </x:c>
      <x:c r="I1075" s="22" t="n">
        <x:v>25.176000000000005</x:v>
      </x:c>
      <x:c r="J1075" s="24" t="n">
        <x:v>4</x:v>
      </x:c>
      <x:c r="K1075" s="26" t="n">
        <x:v>0.7</x:v>
      </x:c>
      <x:c r="L1075" s="22" t="n">
        <x:v>-18.462400000000002</x:v>
      </x:c>
      <x:c r="M1075" t="n">
        <x:v>2015</x:v>
      </x:c>
      <x:c r="N1075" s="20" t="n">
        <x:v>42186</x:v>
      </x:c>
    </x:row>
    <x:row r="1076" ht="18" customHeight="1">
      <x:c r="A1076" t="str">
        <x:v>CA-2015-144652</x:v>
      </x:c>
      <x:c r="B1076" s="18" t="n">
        <x:v>42328</x:v>
      </x:c>
      <x:c r="C1076" t="str">
        <x:v>SN-20560</x:v>
      </x:c>
      <x:c r="D1076" t="str">
        <x:v>Skye Norling</x:v>
      </x:c>
      <x:c r="E1076" t="str">
        <x:v>Home Office</x:v>
      </x:c>
      <x:c r="F1076" t="str">
        <x:v>West</x:v>
      </x:c>
      <x:c r="G1076" t="str">
        <x:v>Office Supplies</x:v>
      </x:c>
      <x:c r="H1076" t="str">
        <x:v>Art</x:v>
      </x:c>
      <x:c r="I1076" s="22" t="n">
        <x:v>19.459999999999997</x:v>
      </x:c>
      <x:c r="J1076" s="24" t="n">
        <x:v>7</x:v>
      </x:c>
      <x:c r="K1076" s="26" t="n">
        <x:v>0</x:v>
      </x:c>
      <x:c r="L1076" s="22" t="n">
        <x:v>5.0596</x:v>
      </x:c>
      <x:c r="M1076" t="n">
        <x:v>2015</x:v>
      </x:c>
      <x:c r="N1076" s="20" t="n">
        <x:v>42309</x:v>
      </x:c>
    </x:row>
    <x:row r="1077" ht="18" customHeight="1">
      <x:c r="A1077" t="str">
        <x:v>CA-2016-152814</x:v>
      </x:c>
      <x:c r="B1077" s="18" t="n">
        <x:v>42488</x:v>
      </x:c>
      <x:c r="C1077" t="str">
        <x:v>EH-14005</x:v>
      </x:c>
      <x:c r="D1077" t="str">
        <x:v>Erica Hernandez</x:v>
      </x:c>
      <x:c r="E1077" t="str">
        <x:v>Home Office</x:v>
      </x:c>
      <x:c r="F1077" t="str">
        <x:v>West</x:v>
      </x:c>
      <x:c r="G1077" t="str">
        <x:v>Office Supplies</x:v>
      </x:c>
      <x:c r="H1077" t="str">
        <x:v>Paper</x:v>
      </x:c>
      <x:c r="I1077" s="22" t="n">
        <x:v>29.472</x:v>
      </x:c>
      <x:c r="J1077" s="24" t="n">
        <x:v>3</x:v>
      </x:c>
      <x:c r="K1077" s="26" t="n">
        <x:v>0.2</x:v>
      </x:c>
      <x:c r="L1077" s="22" t="n">
        <x:v>9.946799999999998</x:v>
      </x:c>
      <x:c r="M1077" t="n">
        <x:v>2016</x:v>
      </x:c>
      <x:c r="N1077" s="20" t="n">
        <x:v>42461</x:v>
      </x:c>
    </x:row>
    <x:row r="1078" ht="18" customHeight="1">
      <x:c r="A1078" t="str">
        <x:v>CA-2017-106943</x:v>
      </x:c>
      <x:c r="B1078" s="18" t="n">
        <x:v>43053</x:v>
      </x:c>
      <x:c r="C1078" t="str">
        <x:v>FO-14305</x:v>
      </x:c>
      <x:c r="D1078" t="str">
        <x:v>Frank Olsen</x:v>
      </x:c>
      <x:c r="E1078" t="str">
        <x:v>Consumer</x:v>
      </x:c>
      <x:c r="F1078" t="str">
        <x:v>East</x:v>
      </x:c>
      <x:c r="G1078" t="str">
        <x:v>Office Supplies</x:v>
      </x:c>
      <x:c r="H1078" t="str">
        <x:v>Binders</x:v>
      </x:c>
      <x:c r="I1078" s="22" t="n">
        <x:v>8.64</x:v>
      </x:c>
      <x:c r="J1078" s="24" t="n">
        <x:v>2</x:v>
      </x:c>
      <x:c r="K1078" s="26" t="n">
        <x:v>0.2</x:v>
      </x:c>
      <x:c r="L1078" s="22" t="n">
        <x:v>3.024</x:v>
      </x:c>
      <x:c r="M1078" t="n">
        <x:v>2017</x:v>
      </x:c>
      <x:c r="N1078" s="20" t="n">
        <x:v>43040</x:v>
      </x:c>
    </x:row>
    <x:row r="1079" ht="18" customHeight="1">
      <x:c r="A1079" t="str">
        <x:v>CA-2016-134348</x:v>
      </x:c>
      <x:c r="B1079" s="18" t="n">
        <x:v>42686</x:v>
      </x:c>
      <x:c r="C1079" t="str">
        <x:v>MS-17710</x:v>
      </x:c>
      <x:c r="D1079" t="str">
        <x:v>Maurice Satty</x:v>
      </x:c>
      <x:c r="E1079" t="str">
        <x:v>Consumer</x:v>
      </x:c>
      <x:c r="F1079" t="str">
        <x:v>West</x:v>
      </x:c>
      <x:c r="G1079" t="str">
        <x:v>Office Supplies</x:v>
      </x:c>
      <x:c r="H1079" t="str">
        <x:v>Binders</x:v>
      </x:c>
      <x:c r="I1079" s="22" t="n">
        <x:v>6.27</x:v>
      </x:c>
      <x:c r="J1079" s="24" t="n">
        <x:v>5</x:v>
      </x:c>
      <x:c r="K1079" s="26" t="n">
        <x:v>0.7</x:v>
      </x:c>
      <x:c r="L1079" s="22" t="n">
        <x:v>-4.598000000000001</x:v>
      </x:c>
      <x:c r="M1079" t="n">
        <x:v>2016</x:v>
      </x:c>
      <x:c r="N1079" s="20" t="n">
        <x:v>42675</x:v>
      </x:c>
    </x:row>
    <x:row r="1080" ht="18" customHeight="1">
      <x:c r="A1080" t="str">
        <x:v>CA-2016-134348</x:v>
      </x:c>
      <x:c r="B1080" s="18" t="n">
        <x:v>42686</x:v>
      </x:c>
      <x:c r="C1080" t="str">
        <x:v>MS-17710</x:v>
      </x:c>
      <x:c r="D1080" t="str">
        <x:v>Maurice Satty</x:v>
      </x:c>
      <x:c r="E1080" t="str">
        <x:v>Consumer</x:v>
      </x:c>
      <x:c r="F1080" t="str">
        <x:v>West</x:v>
      </x:c>
      <x:c r="G1080" t="str">
        <x:v>Office Supplies</x:v>
      </x:c>
      <x:c r="H1080" t="str">
        <x:v>Binders</x:v>
      </x:c>
      <x:c r="I1080" s="22" t="n">
        <x:v>4.368</x:v>
      </x:c>
      <x:c r="J1080" s="24" t="n">
        <x:v>7</x:v>
      </x:c>
      <x:c r="K1080" s="26" t="n">
        <x:v>0.7</x:v>
      </x:c>
      <x:c r="L1080" s="22" t="n">
        <x:v>-3.3487999999999998</x:v>
      </x:c>
      <x:c r="M1080" t="n">
        <x:v>2016</x:v>
      </x:c>
      <x:c r="N1080" s="20" t="n">
        <x:v>42675</x:v>
      </x:c>
    </x:row>
    <x:row r="1081" ht="18" customHeight="1">
      <x:c r="A1081" t="str">
        <x:v>CA-2016-134348</x:v>
      </x:c>
      <x:c r="B1081" s="18" t="n">
        <x:v>42686</x:v>
      </x:c>
      <x:c r="C1081" t="str">
        <x:v>MS-17710</x:v>
      </x:c>
      <x:c r="D1081" t="str">
        <x:v>Maurice Satty</x:v>
      </x:c>
      <x:c r="E1081" t="str">
        <x:v>Consumer</x:v>
      </x:c>
      <x:c r="F1081" t="str">
        <x:v>West</x:v>
      </x:c>
      <x:c r="G1081" t="str">
        <x:v>Technology</x:v>
      </x:c>
      <x:c r="H1081" t="str">
        <x:v>Accessories</x:v>
      </x:c>
      <x:c r="I1081" s="22" t="n">
        <x:v>31.983999999999998</x:v>
      </x:c>
      <x:c r="J1081" s="24" t="n">
        <x:v>2</x:v>
      </x:c>
      <x:c r="K1081" s="26" t="n">
        <x:v>0.2</x:v>
      </x:c>
      <x:c r="L1081" s="22" t="n">
        <x:v>1.998999999999998</x:v>
      </x:c>
      <x:c r="M1081" t="n">
        <x:v>2016</x:v>
      </x:c>
      <x:c r="N1081" s="20" t="n">
        <x:v>42675</x:v>
      </x:c>
    </x:row>
    <x:row r="1082" ht="18" customHeight="1">
      <x:c r="A1082" t="str">
        <x:v>CA-2016-161781</x:v>
      </x:c>
      <x:c r="B1082" s="18" t="n">
        <x:v>42642</x:v>
      </x:c>
      <x:c r="C1082" t="str">
        <x:v>CC-12100</x:v>
      </x:c>
      <x:c r="D1082" t="str">
        <x:v>Chad Cunningham</x:v>
      </x:c>
      <x:c r="E1082" t="str">
        <x:v>Home Office</x:v>
      </x:c>
      <x:c r="F1082" t="str">
        <x:v>Central</x:v>
      </x:c>
      <x:c r="G1082" t="str">
        <x:v>Office Supplies</x:v>
      </x:c>
      <x:c r="H1082" t="str">
        <x:v>Art</x:v>
      </x:c>
      <x:c r="I1082" s="22" t="n">
        <x:v>40.879999999999995</x:v>
      </x:c>
      <x:c r="J1082" s="24" t="n">
        <x:v>7</x:v>
      </x:c>
      <x:c r="K1082" s="26" t="n">
        <x:v>0</x:v>
      </x:c>
      <x:c r="L1082" s="22" t="n">
        <x:v>10.628799999999998</x:v>
      </x:c>
      <x:c r="M1082" t="n">
        <x:v>2016</x:v>
      </x:c>
      <x:c r="N1082" s="20" t="n">
        <x:v>42614</x:v>
      </x:c>
    </x:row>
    <x:row r="1083" ht="18" customHeight="1">
      <x:c r="A1083" t="str">
        <x:v>CA-2017-132521</x:v>
      </x:c>
      <x:c r="B1083" s="18" t="n">
        <x:v>43001</x:v>
      </x:c>
      <x:c r="C1083" t="str">
        <x:v>DW-13540</x:v>
      </x:c>
      <x:c r="D1083" t="str">
        <x:v>Don Weiss</x:v>
      </x:c>
      <x:c r="E1083" t="str">
        <x:v>Consumer</x:v>
      </x:c>
      <x:c r="F1083" t="str">
        <x:v>West</x:v>
      </x:c>
      <x:c r="G1083" t="str">
        <x:v>Office Supplies</x:v>
      </x:c>
      <x:c r="H1083" t="str">
        <x:v>Appliances</x:v>
      </x:c>
      <x:c r="I1083" s="22" t="n">
        <x:v>119.96</x:v>
      </x:c>
      <x:c r="J1083" s="24" t="n">
        <x:v>2</x:v>
      </x:c>
      <x:c r="K1083" s="26" t="n">
        <x:v>0</x:v>
      </x:c>
      <x:c r="L1083" s="22" t="n">
        <x:v>33.588800000000006</x:v>
      </x:c>
      <x:c r="M1083" t="n">
        <x:v>2017</x:v>
      </x:c>
      <x:c r="N1083" s="20" t="n">
        <x:v>42979</x:v>
      </x:c>
    </x:row>
    <x:row r="1084" ht="18" customHeight="1">
      <x:c r="A1084" t="str">
        <x:v>CA-2017-132521</x:v>
      </x:c>
      <x:c r="B1084" s="18" t="n">
        <x:v>43001</x:v>
      </x:c>
      <x:c r="C1084" t="str">
        <x:v>DW-13540</x:v>
      </x:c>
      <x:c r="D1084" t="str">
        <x:v>Don Weiss</x:v>
      </x:c>
      <x:c r="E1084" t="str">
        <x:v>Consumer</x:v>
      </x:c>
      <x:c r="F1084" t="str">
        <x:v>West</x:v>
      </x:c>
      <x:c r="G1084" t="str">
        <x:v>Office Supplies</x:v>
      </x:c>
      <x:c r="H1084" t="str">
        <x:v>Storage</x:v>
      </x:c>
      <x:c r="I1084" s="22" t="n">
        <x:v>31.44</x:v>
      </x:c>
      <x:c r="J1084" s="24" t="n">
        <x:v>3</x:v>
      </x:c>
      <x:c r="K1084" s="26" t="n">
        <x:v>0</x:v>
      </x:c>
      <x:c r="L1084" s="22" t="n">
        <x:v>8.488800000000001</x:v>
      </x:c>
      <x:c r="M1084" t="n">
        <x:v>2017</x:v>
      </x:c>
      <x:c r="N1084" s="20" t="n">
        <x:v>42979</x:v>
      </x:c>
    </x:row>
    <x:row r="1085" ht="18" customHeight="1">
      <x:c r="A1085" t="str">
        <x:v>CA-2017-132521</x:v>
      </x:c>
      <x:c r="B1085" s="18" t="n">
        <x:v>43001</x:v>
      </x:c>
      <x:c r="C1085" t="str">
        <x:v>DW-13540</x:v>
      </x:c>
      <x:c r="D1085" t="str">
        <x:v>Don Weiss</x:v>
      </x:c>
      <x:c r="E1085" t="str">
        <x:v>Consumer</x:v>
      </x:c>
      <x:c r="F1085" t="str">
        <x:v>West</x:v>
      </x:c>
      <x:c r="G1085" t="str">
        <x:v>Office Supplies</x:v>
      </x:c>
      <x:c r="H1085" t="str">
        <x:v>Binders</x:v>
      </x:c>
      <x:c r="I1085" s="22" t="n">
        <x:v>6.88</x:v>
      </x:c>
      <x:c r="J1085" s="24" t="n">
        <x:v>1</x:v>
      </x:c>
      <x:c r="K1085" s="26" t="n">
        <x:v>0.2</x:v>
      </x:c>
      <x:c r="L1085" s="22" t="n">
        <x:v>2.322</x:v>
      </x:c>
      <x:c r="M1085" t="n">
        <x:v>2017</x:v>
      </x:c>
      <x:c r="N1085" s="20" t="n">
        <x:v>42979</x:v>
      </x:c>
    </x:row>
    <x:row r="1086" ht="18" customHeight="1">
      <x:c r="A1086" t="str">
        <x:v>CA-2015-110016</x:v>
      </x:c>
      <x:c r="B1086" s="18" t="n">
        <x:v>42337</x:v>
      </x:c>
      <x:c r="C1086" t="str">
        <x:v>BT-11395</x:v>
      </x:c>
      <x:c r="D1086" t="str">
        <x:v>Bill Tyler</x:v>
      </x:c>
      <x:c r="E1086" t="str">
        <x:v>Corporate</x:v>
      </x:c>
      <x:c r="F1086" t="str">
        <x:v>Central</x:v>
      </x:c>
      <x:c r="G1086" t="str">
        <x:v>Office Supplies</x:v>
      </x:c>
      <x:c r="H1086" t="str">
        <x:v>Paper</x:v>
      </x:c>
      <x:c r="I1086" s="22" t="n">
        <x:v>19.92</x:v>
      </x:c>
      <x:c r="J1086" s="24" t="n">
        <x:v>4</x:v>
      </x:c>
      <x:c r="K1086" s="26" t="n">
        <x:v>0</x:v>
      </x:c>
      <x:c r="L1086" s="22" t="n">
        <x:v>9.362400000000001</x:v>
      </x:c>
      <x:c r="M1086" t="n">
        <x:v>2015</x:v>
      </x:c>
      <x:c r="N1086" s="20" t="n">
        <x:v>42309</x:v>
      </x:c>
    </x:row>
    <x:row r="1087" ht="18" customHeight="1">
      <x:c r="A1087" t="str">
        <x:v>CA-2015-110016</x:v>
      </x:c>
      <x:c r="B1087" s="18" t="n">
        <x:v>42337</x:v>
      </x:c>
      <x:c r="C1087" t="str">
        <x:v>BT-11395</x:v>
      </x:c>
      <x:c r="D1087" t="str">
        <x:v>Bill Tyler</x:v>
      </x:c>
      <x:c r="E1087" t="str">
        <x:v>Corporate</x:v>
      </x:c>
      <x:c r="F1087" t="str">
        <x:v>Central</x:v>
      </x:c>
      <x:c r="G1087" t="str">
        <x:v>Furniture</x:v>
      </x:c>
      <x:c r="H1087" t="str">
        <x:v>Chairs</x:v>
      </x:c>
      <x:c r="I1087" s="22" t="n">
        <x:v>1106.9099999999999</x:v>
      </x:c>
      <x:c r="J1087" s="24" t="n">
        <x:v>9</x:v>
      </x:c>
      <x:c r="K1087" s="26" t="n">
        <x:v>0</x:v>
      </x:c>
      <x:c r="L1087" s="22" t="n">
        <x:v>121.76009999999994</x:v>
      </x:c>
      <x:c r="M1087" t="n">
        <x:v>2015</x:v>
      </x:c>
      <x:c r="N1087" s="20" t="n">
        <x:v>42309</x:v>
      </x:c>
    </x:row>
    <x:row r="1088" ht="18" customHeight="1">
      <x:c r="A1088" t="str">
        <x:v>US-2016-143819</x:v>
      </x:c>
      <x:c r="B1088" s="18" t="n">
        <x:v>42430</x:v>
      </x:c>
      <x:c r="C1088" t="str">
        <x:v>KD-16270</x:v>
      </x:c>
      <x:c r="D1088" t="str">
        <x:v>Karen Daniels</x:v>
      </x:c>
      <x:c r="E1088" t="str">
        <x:v>Consumer</x:v>
      </x:c>
      <x:c r="F1088" t="str">
        <x:v>East</x:v>
      </x:c>
      <x:c r="G1088" t="str">
        <x:v>Furniture</x:v>
      </x:c>
      <x:c r="H1088" t="str">
        <x:v>Tables</x:v>
      </x:c>
      <x:c r="I1088" s="22" t="n">
        <x:v>836.592</x:v>
      </x:c>
      <x:c r="J1088" s="24" t="n">
        <x:v>8</x:v>
      </x:c>
      <x:c r="K1088" s="26" t="n">
        <x:v>0.4</x:v>
      </x:c>
      <x:c r="L1088" s="22" t="n">
        <x:v>-264.9208</x:v>
      </x:c>
      <x:c r="M1088" t="n">
        <x:v>2016</x:v>
      </x:c>
      <x:c r="N1088" s="20" t="n">
        <x:v>42430</x:v>
      </x:c>
    </x:row>
    <x:row r="1089" ht="18" customHeight="1">
      <x:c r="A1089" t="str">
        <x:v>US-2016-143819</x:v>
      </x:c>
      <x:c r="B1089" s="18" t="n">
        <x:v>42430</x:v>
      </x:c>
      <x:c r="C1089" t="str">
        <x:v>KD-16270</x:v>
      </x:c>
      <x:c r="D1089" t="str">
        <x:v>Karen Daniels</x:v>
      </x:c>
      <x:c r="E1089" t="str">
        <x:v>Consumer</x:v>
      </x:c>
      <x:c r="F1089" t="str">
        <x:v>East</x:v>
      </x:c>
      <x:c r="G1089" t="str">
        <x:v>Office Supplies</x:v>
      </x:c>
      <x:c r="H1089" t="str">
        <x:v>Paper</x:v>
      </x:c>
      <x:c r="I1089" s="22" t="n">
        <x:v>26.38</x:v>
      </x:c>
      <x:c r="J1089" s="24" t="n">
        <x:v>1</x:v>
      </x:c>
      <x:c r="K1089" s="26" t="n">
        <x:v>0</x:v>
      </x:c>
      <x:c r="L1089" s="22" t="n">
        <x:v>12.134799999999998</x:v>
      </x:c>
      <x:c r="M1089" t="n">
        <x:v>2016</x:v>
      </x:c>
      <x:c r="N1089" s="20" t="n">
        <x:v>42430</x:v>
      </x:c>
    </x:row>
    <x:row r="1090" ht="18" customHeight="1">
      <x:c r="A1090" t="str">
        <x:v>US-2016-143819</x:v>
      </x:c>
      <x:c r="B1090" s="18" t="n">
        <x:v>42430</x:v>
      </x:c>
      <x:c r="C1090" t="str">
        <x:v>KD-16270</x:v>
      </x:c>
      <x:c r="D1090" t="str">
        <x:v>Karen Daniels</x:v>
      </x:c>
      <x:c r="E1090" t="str">
        <x:v>Consumer</x:v>
      </x:c>
      <x:c r="F1090" t="str">
        <x:v>East</x:v>
      </x:c>
      <x:c r="G1090" t="str">
        <x:v>Office Supplies</x:v>
      </x:c>
      <x:c r="H1090" t="str">
        <x:v>Storage</x:v>
      </x:c>
      <x:c r="I1090" s="22" t="n">
        <x:v>362.92</x:v>
      </x:c>
      <x:c r="J1090" s="24" t="n">
        <x:v>2</x:v>
      </x:c>
      <x:c r="K1090" s="26" t="n">
        <x:v>0</x:v>
      </x:c>
      <x:c r="L1090" s="22" t="n">
        <x:v>105.24679999999995</x:v>
      </x:c>
      <x:c r="M1090" t="n">
        <x:v>2016</x:v>
      </x:c>
      <x:c r="N1090" s="20" t="n">
        <x:v>42430</x:v>
      </x:c>
    </x:row>
    <x:row r="1091" ht="18" customHeight="1">
      <x:c r="A1091" t="str">
        <x:v>US-2016-143819</x:v>
      </x:c>
      <x:c r="B1091" s="18" t="n">
        <x:v>42430</x:v>
      </x:c>
      <x:c r="C1091" t="str">
        <x:v>KD-16270</x:v>
      </x:c>
      <x:c r="D1091" t="str">
        <x:v>Karen Daniels</x:v>
      </x:c>
      <x:c r="E1091" t="str">
        <x:v>Consumer</x:v>
      </x:c>
      <x:c r="F1091" t="str">
        <x:v>East</x:v>
      </x:c>
      <x:c r="G1091" t="str">
        <x:v>Technology</x:v>
      </x:c>
      <x:c r="H1091" t="str">
        <x:v>Machines</x:v>
      </x:c>
      <x:c r="I1091" s="22" t="n">
        <x:v>4899.93</x:v>
      </x:c>
      <x:c r="J1091" s="24" t="n">
        <x:v>7</x:v>
      </x:c>
      <x:c r="K1091" s="26" t="n">
        <x:v>0</x:v>
      </x:c>
      <x:c r="L1091" s="22" t="n">
        <x:v>2400.9656999999997</x:v>
      </x:c>
      <x:c r="M1091" t="n">
        <x:v>2016</x:v>
      </x:c>
      <x:c r="N1091" s="20" t="n">
        <x:v>42430</x:v>
      </x:c>
    </x:row>
    <x:row r="1092" ht="18" customHeight="1">
      <x:c r="A1092" t="str">
        <x:v>CA-2016-167584</x:v>
      </x:c>
      <x:c r="B1092" s="18" t="n">
        <x:v>42594</x:v>
      </x:c>
      <x:c r="C1092" t="str">
        <x:v>LC-16870</x:v>
      </x:c>
      <x:c r="D1092" t="str">
        <x:v>Lena Cacioppo</x:v>
      </x:c>
      <x:c r="E1092" t="str">
        <x:v>Consumer</x:v>
      </x:c>
      <x:c r="F1092" t="str">
        <x:v>Central</x:v>
      </x:c>
      <x:c r="G1092" t="str">
        <x:v>Office Supplies</x:v>
      </x:c>
      <x:c r="H1092" t="str">
        <x:v>Paper</x:v>
      </x:c>
      <x:c r="I1092" s="22" t="n">
        <x:v>6.48</x:v>
      </x:c>
      <x:c r="J1092" s="24" t="n">
        <x:v>1</x:v>
      </x:c>
      <x:c r="K1092" s="26" t="n">
        <x:v>0</x:v>
      </x:c>
      <x:c r="L1092" s="22" t="n">
        <x:v>3.1104000000000003</x:v>
      </x:c>
      <x:c r="M1092" t="n">
        <x:v>2016</x:v>
      </x:c>
      <x:c r="N1092" s="20" t="n">
        <x:v>42583</x:v>
      </x:c>
    </x:row>
    <x:row r="1093" ht="18" customHeight="1">
      <x:c r="A1093" t="str">
        <x:v>CA-2016-166163</x:v>
      </x:c>
      <x:c r="B1093" s="18" t="n">
        <x:v>42597</x:v>
      </x:c>
      <x:c r="C1093" t="str">
        <x:v>CY-12745</x:v>
      </x:c>
      <x:c r="D1093" t="str">
        <x:v>Craig Yedwab</x:v>
      </x:c>
      <x:c r="E1093" t="str">
        <x:v>Corporate</x:v>
      </x:c>
      <x:c r="F1093" t="str">
        <x:v>West</x:v>
      </x:c>
      <x:c r="G1093" t="str">
        <x:v>Technology</x:v>
      </x:c>
      <x:c r="H1093" t="str">
        <x:v>Phones</x:v>
      </x:c>
      <x:c r="I1093" s="22" t="n">
        <x:v>71.976</x:v>
      </x:c>
      <x:c r="J1093" s="24" t="n">
        <x:v>3</x:v>
      </x:c>
      <x:c r="K1093" s="26" t="n">
        <x:v>0.2</x:v>
      </x:c>
      <x:c r="L1093" s="22" t="n">
        <x:v>7.197600000000005</x:v>
      </x:c>
      <x:c r="M1093" t="n">
        <x:v>2016</x:v>
      </x:c>
      <x:c r="N1093" s="20" t="n">
        <x:v>42583</x:v>
      </x:c>
    </x:row>
    <x:row r="1094" ht="18" customHeight="1">
      <x:c r="A1094" t="str">
        <x:v>CA-2016-166163</x:v>
      </x:c>
      <x:c r="B1094" s="18" t="n">
        <x:v>42597</x:v>
      </x:c>
      <x:c r="C1094" t="str">
        <x:v>CY-12745</x:v>
      </x:c>
      <x:c r="D1094" t="str">
        <x:v>Craig Yedwab</x:v>
      </x:c>
      <x:c r="E1094" t="str">
        <x:v>Corporate</x:v>
      </x:c>
      <x:c r="F1094" t="str">
        <x:v>West</x:v>
      </x:c>
      <x:c r="G1094" t="str">
        <x:v>Office Supplies</x:v>
      </x:c>
      <x:c r="H1094" t="str">
        <x:v>Labels</x:v>
      </x:c>
      <x:c r="I1094" s="22" t="n">
        <x:v>3.15</x:v>
      </x:c>
      <x:c r="J1094" s="24" t="n">
        <x:v>1</x:v>
      </x:c>
      <x:c r="K1094" s="26" t="n">
        <x:v>0</x:v>
      </x:c>
      <x:c r="L1094" s="22" t="n">
        <x:v>1.512</x:v>
      </x:c>
      <x:c r="M1094" t="n">
        <x:v>2016</x:v>
      </x:c>
      <x:c r="N1094" s="20" t="n">
        <x:v>42583</x:v>
      </x:c>
    </x:row>
    <x:row r="1095" ht="18" customHeight="1">
      <x:c r="A1095" t="str">
        <x:v>CA-2017-158407</x:v>
      </x:c>
      <x:c r="B1095" s="18" t="n">
        <x:v>42890</x:v>
      </x:c>
      <x:c r="C1095" t="str">
        <x:v>LW-16990</x:v>
      </x:c>
      <x:c r="D1095" t="str">
        <x:v>Lindsay Williams</x:v>
      </x:c>
      <x:c r="E1095" t="str">
        <x:v>Corporate</x:v>
      </x:c>
      <x:c r="F1095" t="str">
        <x:v>South</x:v>
      </x:c>
      <x:c r="G1095" t="str">
        <x:v>Furniture</x:v>
      </x:c>
      <x:c r="H1095" t="str">
        <x:v>Furnishings</x:v>
      </x:c>
      <x:c r="I1095" s="22" t="n">
        <x:v>31.983999999999998</x:v>
      </x:c>
      <x:c r="J1095" s="24" t="n">
        <x:v>2</x:v>
      </x:c>
      <x:c r="K1095" s="26" t="n">
        <x:v>0.2</x:v>
      </x:c>
      <x:c r="L1095" s="22" t="n">
        <x:v>1.998999999999998</x:v>
      </x:c>
      <x:c r="M1095" t="n">
        <x:v>2017</x:v>
      </x:c>
      <x:c r="N1095" s="20" t="n">
        <x:v>42887</x:v>
      </x:c>
    </x:row>
    <x:row r="1096" ht="18" customHeight="1">
      <x:c r="A1096" t="str">
        <x:v>CA-2017-158407</x:v>
      </x:c>
      <x:c r="B1096" s="18" t="n">
        <x:v>42890</x:v>
      </x:c>
      <x:c r="C1096" t="str">
        <x:v>LW-16990</x:v>
      </x:c>
      <x:c r="D1096" t="str">
        <x:v>Lindsay Williams</x:v>
      </x:c>
      <x:c r="E1096" t="str">
        <x:v>Corporate</x:v>
      </x:c>
      <x:c r="F1096" t="str">
        <x:v>South</x:v>
      </x:c>
      <x:c r="G1096" t="str">
        <x:v>Technology</x:v>
      </x:c>
      <x:c r="H1096" t="str">
        <x:v>Phones</x:v>
      </x:c>
      <x:c r="I1096" s="22" t="n">
        <x:v>71.98400000000001</x:v>
      </x:c>
      <x:c r="J1096" s="24" t="n">
        <x:v>2</x:v>
      </x:c>
      <x:c r="K1096" s="26" t="n">
        <x:v>0.2</x:v>
      </x:c>
      <x:c r="L1096" s="22" t="n">
        <x:v>25.194399999999995</x:v>
      </x:c>
      <x:c r="M1096" t="n">
        <x:v>2017</x:v>
      </x:c>
      <x:c r="N1096" s="20" t="n">
        <x:v>42887</x:v>
      </x:c>
    </x:row>
    <x:row r="1097" ht="18" customHeight="1">
      <x:c r="A1097" t="str">
        <x:v>CA-2015-143490</x:v>
      </x:c>
      <x:c r="B1097" s="18" t="n">
        <x:v>42344</x:v>
      </x:c>
      <x:c r="C1097" t="str">
        <x:v>NP-18325</x:v>
      </x:c>
      <x:c r="D1097" t="str">
        <x:v>Naresj Patel</x:v>
      </x:c>
      <x:c r="E1097" t="str">
        <x:v>Consumer</x:v>
      </x:c>
      <x:c r="F1097" t="str">
        <x:v>West</x:v>
      </x:c>
      <x:c r="G1097" t="str">
        <x:v>Office Supplies</x:v>
      </x:c>
      <x:c r="H1097" t="str">
        <x:v>Art</x:v>
      </x:c>
      <x:c r="I1097" s="22" t="n">
        <x:v>120.14999999999999</x:v>
      </x:c>
      <x:c r="J1097" s="24" t="n">
        <x:v>9</x:v>
      </x:c>
      <x:c r="K1097" s="26" t="n">
        <x:v>0</x:v>
      </x:c>
      <x:c r="L1097" s="22" t="n">
        <x:v>33.641999999999996</x:v>
      </x:c>
      <x:c r="M1097" t="n">
        <x:v>2015</x:v>
      </x:c>
      <x:c r="N1097" s="20" t="n">
        <x:v>42339</x:v>
      </x:c>
    </x:row>
    <x:row r="1098" ht="18" customHeight="1">
      <x:c r="A1098" t="str">
        <x:v>CA-2015-143490</x:v>
      </x:c>
      <x:c r="B1098" s="18" t="n">
        <x:v>42344</x:v>
      </x:c>
      <x:c r="C1098" t="str">
        <x:v>NP-18325</x:v>
      </x:c>
      <x:c r="D1098" t="str">
        <x:v>Naresj Patel</x:v>
      </x:c>
      <x:c r="E1098" t="str">
        <x:v>Consumer</x:v>
      </x:c>
      <x:c r="F1098" t="str">
        <x:v>West</x:v>
      </x:c>
      <x:c r="G1098" t="str">
        <x:v>Technology</x:v>
      </x:c>
      <x:c r="H1098" t="str">
        <x:v>Phones</x:v>
      </x:c>
      <x:c r="I1098" s="22" t="n">
        <x:v>219.18400000000003</x:v>
      </x:c>
      <x:c r="J1098" s="24" t="n">
        <x:v>2</x:v>
      </x:c>
      <x:c r="K1098" s="26" t="n">
        <x:v>0.2</x:v>
      </x:c>
      <x:c r="L1098" s="22" t="n">
        <x:v>19.178600000000003</x:v>
      </x:c>
      <x:c r="M1098" t="n">
        <x:v>2015</x:v>
      </x:c>
      <x:c r="N1098" s="20" t="n">
        <x:v>42339</x:v>
      </x:c>
    </x:row>
    <x:row r="1099" ht="18" customHeight="1">
      <x:c r="A1099" t="str">
        <x:v>CA-2015-165085</x:v>
      </x:c>
      <x:c r="B1099" s="18" t="n">
        <x:v>42365</x:v>
      </x:c>
      <x:c r="C1099" t="str">
        <x:v>BT-11485</x:v>
      </x:c>
      <x:c r="D1099" t="str">
        <x:v>Brad Thomas</x:v>
      </x:c>
      <x:c r="E1099" t="str">
        <x:v>Home Office</x:v>
      </x:c>
      <x:c r="F1099" t="str">
        <x:v>East</x:v>
      </x:c>
      <x:c r="G1099" t="str">
        <x:v>Office Supplies</x:v>
      </x:c>
      <x:c r="H1099" t="str">
        <x:v>Paper</x:v>
      </x:c>
      <x:c r="I1099" s="22" t="n">
        <x:v>28.900000000000002</x:v>
      </x:c>
      <x:c r="J1099" s="24" t="n">
        <x:v>5</x:v>
      </x:c>
      <x:c r="K1099" s="26" t="n">
        <x:v>0</x:v>
      </x:c>
      <x:c r="L1099" s="22" t="n">
        <x:v>14.161000000000001</x:v>
      </x:c>
      <x:c r="M1099" t="n">
        <x:v>2015</x:v>
      </x:c>
      <x:c r="N1099" s="20" t="n">
        <x:v>42339</x:v>
      </x:c>
    </x:row>
    <x:row r="1100" ht="18" customHeight="1">
      <x:c r="A1100" t="str">
        <x:v>CA-2015-165085</x:v>
      </x:c>
      <x:c r="B1100" s="18" t="n">
        <x:v>42365</x:v>
      </x:c>
      <x:c r="C1100" t="str">
        <x:v>BT-11485</x:v>
      </x:c>
      <x:c r="D1100" t="str">
        <x:v>Brad Thomas</x:v>
      </x:c>
      <x:c r="E1100" t="str">
        <x:v>Home Office</x:v>
      </x:c>
      <x:c r="F1100" t="str">
        <x:v>East</x:v>
      </x:c>
      <x:c r="G1100" t="str">
        <x:v>Office Supplies</x:v>
      </x:c>
      <x:c r="H1100" t="str">
        <x:v>Appliances</x:v>
      </x:c>
      <x:c r="I1100" s="22" t="n">
        <x:v>355.96</x:v>
      </x:c>
      <x:c r="J1100" s="24" t="n">
        <x:v>2</x:v>
      </x:c>
      <x:c r="K1100" s="26" t="n">
        <x:v>0</x:v>
      </x:c>
      <x:c r="L1100" s="22" t="n">
        <x:v>103.22839999999997</x:v>
      </x:c>
      <x:c r="M1100" t="n">
        <x:v>2015</x:v>
      </x:c>
      <x:c r="N1100" s="20" t="n">
        <x:v>42339</x:v>
      </x:c>
    </x:row>
    <x:row r="1101" ht="18" customHeight="1">
      <x:c r="A1101" t="str">
        <x:v>CA-2017-160423</x:v>
      </x:c>
      <x:c r="B1101" s="18" t="n">
        <x:v>42756</x:v>
      </x:c>
      <x:c r="C1101" t="str">
        <x:v>PS-19045</x:v>
      </x:c>
      <x:c r="D1101" t="str">
        <x:v>Penelope Sewall</x:v>
      </x:c>
      <x:c r="E1101" t="str">
        <x:v>Home Office</x:v>
      </x:c>
      <x:c r="F1101" t="str">
        <x:v>South</x:v>
      </x:c>
      <x:c r="G1101" t="str">
        <x:v>Office Supplies</x:v>
      </x:c>
      <x:c r="H1101" t="str">
        <x:v>Storage</x:v>
      </x:c>
      <x:c r="I1101" s="22" t="n">
        <x:v>348.20799999999997</x:v>
      </x:c>
      <x:c r="J1101" s="24" t="n">
        <x:v>7</x:v>
      </x:c>
      <x:c r="K1101" s="26" t="n">
        <x:v>0.2</x:v>
      </x:c>
      <x:c r="L1101" s="22" t="n">
        <x:v>30.468200000000024</x:v>
      </x:c>
      <x:c r="M1101" t="n">
        <x:v>2017</x:v>
      </x:c>
      <x:c r="N1101" s="20" t="n">
        <x:v>42736</x:v>
      </x:c>
    </x:row>
    <x:row r="1102" ht="18" customHeight="1">
      <x:c r="A1102" t="str">
        <x:v>CA-2017-160423</x:v>
      </x:c>
      <x:c r="B1102" s="18" t="n">
        <x:v>42756</x:v>
      </x:c>
      <x:c r="C1102" t="str">
        <x:v>PS-19045</x:v>
      </x:c>
      <x:c r="D1102" t="str">
        <x:v>Penelope Sewall</x:v>
      </x:c>
      <x:c r="E1102" t="str">
        <x:v>Home Office</x:v>
      </x:c>
      <x:c r="F1102" t="str">
        <x:v>South</x:v>
      </x:c>
      <x:c r="G1102" t="str">
        <x:v>Office Supplies</x:v>
      </x:c>
      <x:c r="H1102" t="str">
        <x:v>Binders</x:v>
      </x:c>
      <x:c r="I1102" s="22" t="n">
        <x:v>35.784</x:v>
      </x:c>
      <x:c r="J1102" s="24" t="n">
        <x:v>7</x:v>
      </x:c>
      <x:c r="K1102" s="26" t="n">
        <x:v>0.7</x:v>
      </x:c>
      <x:c r="L1102" s="22" t="n">
        <x:v>-28.62720000000001</x:v>
      </x:c>
      <x:c r="M1102" t="n">
        <x:v>2017</x:v>
      </x:c>
      <x:c r="N1102" s="20" t="n">
        <x:v>42736</x:v>
      </x:c>
    </x:row>
    <x:row r="1103" ht="18" customHeight="1">
      <x:c r="A1103" t="str">
        <x:v>CA-2014-159338</x:v>
      </x:c>
      <x:c r="B1103" s="18" t="n">
        <x:v>41815</x:v>
      </x:c>
      <x:c r="C1103" t="str">
        <x:v>NS-18640</x:v>
      </x:c>
      <x:c r="D1103" t="str">
        <x:v>Noel Staavos</x:v>
      </x:c>
      <x:c r="E1103" t="str">
        <x:v>Corporate</x:v>
      </x:c>
      <x:c r="F1103" t="str">
        <x:v>West</x:v>
      </x:c>
      <x:c r="G1103" t="str">
        <x:v>Furniture</x:v>
      </x:c>
      <x:c r="H1103" t="str">
        <x:v>Tables</x:v>
      </x:c>
      <x:c r="I1103" s="22" t="n">
        <x:v>447.84</x:v>
      </x:c>
      <x:c r="J1103" s="24" t="n">
        <x:v>5</x:v>
      </x:c>
      <x:c r="K1103" s="26" t="n">
        <x:v>0.2</x:v>
      </x:c>
      <x:c r="L1103" s="22" t="n">
        <x:v>11.19599999999997</x:v>
      </x:c>
      <x:c r="M1103" t="n">
        <x:v>2014</x:v>
      </x:c>
      <x:c r="N1103" s="20" t="n">
        <x:v>41791</x:v>
      </x:c>
    </x:row>
    <x:row r="1104" ht="18" customHeight="1">
      <x:c r="A1104" t="str">
        <x:v>CA-2016-107216</x:v>
      </x:c>
      <x:c r="B1104" s="18" t="n">
        <x:v>42535</x:v>
      </x:c>
      <x:c r="C1104" t="str">
        <x:v>PV-18985</x:v>
      </x:c>
      <x:c r="D1104" t="str">
        <x:v>Paul Van Hugh</x:v>
      </x:c>
      <x:c r="E1104" t="str">
        <x:v>Home Office</x:v>
      </x:c>
      <x:c r="F1104" t="str">
        <x:v>West</x:v>
      </x:c>
      <x:c r="G1104" t="str">
        <x:v>Office Supplies</x:v>
      </x:c>
      <x:c r="H1104" t="str">
        <x:v>Art</x:v>
      </x:c>
      <x:c r="I1104" s="22" t="n">
        <x:v>7.04</x:v>
      </x:c>
      <x:c r="J1104" s="24" t="n">
        <x:v>4</x:v>
      </x:c>
      <x:c r="K1104" s="26" t="n">
        <x:v>0</x:v>
      </x:c>
      <x:c r="L1104" s="22" t="n">
        <x:v>2.0416</x:v>
      </x:c>
      <x:c r="M1104" t="n">
        <x:v>2016</x:v>
      </x:c>
      <x:c r="N1104" s="20" t="n">
        <x:v>42522</x:v>
      </x:c>
    </x:row>
    <x:row r="1105" ht="18" customHeight="1">
      <x:c r="A1105" t="str">
        <x:v>CA-2016-107216</x:v>
      </x:c>
      <x:c r="B1105" s="18" t="n">
        <x:v>42535</x:v>
      </x:c>
      <x:c r="C1105" t="str">
        <x:v>PV-18985</x:v>
      </x:c>
      <x:c r="D1105" t="str">
        <x:v>Paul Van Hugh</x:v>
      </x:c>
      <x:c r="E1105" t="str">
        <x:v>Home Office</x:v>
      </x:c>
      <x:c r="F1105" t="str">
        <x:v>West</x:v>
      </x:c>
      <x:c r="G1105" t="str">
        <x:v>Furniture</x:v>
      </x:c>
      <x:c r="H1105" t="str">
        <x:v>Furnishings</x:v>
      </x:c>
      <x:c r="I1105" s="22" t="n">
        <x:v>8.73</x:v>
      </x:c>
      <x:c r="J1105" s="24" t="n">
        <x:v>3</x:v>
      </x:c>
      <x:c r="K1105" s="26" t="n">
        <x:v>0</x:v>
      </x:c>
      <x:c r="L1105" s="22" t="n">
        <x:v>4.1030999999999995</x:v>
      </x:c>
      <x:c r="M1105" t="n">
        <x:v>2016</x:v>
      </x:c>
      <x:c r="N1105" s="20" t="n">
        <x:v>42522</x:v>
      </x:c>
    </x:row>
    <x:row r="1106" ht="18" customHeight="1">
      <x:c r="A1106" t="str">
        <x:v>CA-2016-107216</x:v>
      </x:c>
      <x:c r="B1106" s="18" t="n">
        <x:v>42535</x:v>
      </x:c>
      <x:c r="C1106" t="str">
        <x:v>PV-18985</x:v>
      </x:c>
      <x:c r="D1106" t="str">
        <x:v>Paul Van Hugh</x:v>
      </x:c>
      <x:c r="E1106" t="str">
        <x:v>Home Office</x:v>
      </x:c>
      <x:c r="F1106" t="str">
        <x:v>West</x:v>
      </x:c>
      <x:c r="G1106" t="str">
        <x:v>Technology</x:v>
      </x:c>
      <x:c r="H1106" t="str">
        <x:v>Accessories</x:v>
      </x:c>
      <x:c r="I1106" s="22" t="n">
        <x:v>29.29</x:v>
      </x:c>
      <x:c r="J1106" s="24" t="n">
        <x:v>1</x:v>
      </x:c>
      <x:c r="K1106" s="26" t="n">
        <x:v>0</x:v>
      </x:c>
      <x:c r="L1106" s="22" t="n">
        <x:v>9.665699999999998</x:v>
      </x:c>
      <x:c r="M1106" t="n">
        <x:v>2016</x:v>
      </x:c>
      <x:c r="N1106" s="20" t="n">
        <x:v>42522</x:v>
      </x:c>
    </x:row>
    <x:row r="1107" ht="18" customHeight="1">
      <x:c r="A1107" t="str">
        <x:v>CA-2016-107216</x:v>
      </x:c>
      <x:c r="B1107" s="18" t="n">
        <x:v>42535</x:v>
      </x:c>
      <x:c r="C1107" t="str">
        <x:v>PV-18985</x:v>
      </x:c>
      <x:c r="D1107" t="str">
        <x:v>Paul Van Hugh</x:v>
      </x:c>
      <x:c r="E1107" t="str">
        <x:v>Home Office</x:v>
      </x:c>
      <x:c r="F1107" t="str">
        <x:v>West</x:v>
      </x:c>
      <x:c r="G1107" t="str">
        <x:v>Office Supplies</x:v>
      </x:c>
      <x:c r="H1107" t="str">
        <x:v>Art</x:v>
      </x:c>
      <x:c r="I1107" s="22" t="n">
        <x:v>8.64</x:v>
      </x:c>
      <x:c r="J1107" s="24" t="n">
        <x:v>3</x:v>
      </x:c>
      <x:c r="K1107" s="26" t="n">
        <x:v>0</x:v>
      </x:c>
      <x:c r="L1107" s="22" t="n">
        <x:v>2.5056</x:v>
      </x:c>
      <x:c r="M1107" t="n">
        <x:v>2016</x:v>
      </x:c>
      <x:c r="N1107" s="20" t="n">
        <x:v>42522</x:v>
      </x:c>
    </x:row>
    <x:row r="1108" ht="18" customHeight="1">
      <x:c r="A1108" t="str">
        <x:v>US-2017-145863</x:v>
      </x:c>
      <x:c r="B1108" s="18" t="n">
        <x:v>42846</x:v>
      </x:c>
      <x:c r="C1108" t="str">
        <x:v>RP-19390</x:v>
      </x:c>
      <x:c r="D1108" t="str">
        <x:v>Resi Pölking</x:v>
      </x:c>
      <x:c r="E1108" t="str">
        <x:v>Consumer</x:v>
      </x:c>
      <x:c r="F1108" t="str">
        <x:v>Central</x:v>
      </x:c>
      <x:c r="G1108" t="str">
        <x:v>Office Supplies</x:v>
      </x:c>
      <x:c r="H1108" t="str">
        <x:v>Binders</x:v>
      </x:c>
      <x:c r="I1108" s="22" t="n">
        <x:v>2.6939999999999995</x:v>
      </x:c>
      <x:c r="J1108" s="24" t="n">
        <x:v>3</x:v>
      </x:c>
      <x:c r="K1108" s="26" t="n">
        <x:v>0.8</x:v>
      </x:c>
      <x:c r="L1108" s="22" t="n">
        <x:v>-4.714500000000003</x:v>
      </x:c>
      <x:c r="M1108" t="n">
        <x:v>2017</x:v>
      </x:c>
      <x:c r="N1108" s="20" t="n">
        <x:v>42826</x:v>
      </x:c>
    </x:row>
    <x:row r="1109" ht="18" customHeight="1">
      <x:c r="A1109" t="str">
        <x:v>US-2017-145863</x:v>
      </x:c>
      <x:c r="B1109" s="18" t="n">
        <x:v>42846</x:v>
      </x:c>
      <x:c r="C1109" t="str">
        <x:v>RP-19390</x:v>
      </x:c>
      <x:c r="D1109" t="str">
        <x:v>Resi Pölking</x:v>
      </x:c>
      <x:c r="E1109" t="str">
        <x:v>Consumer</x:v>
      </x:c>
      <x:c r="F1109" t="str">
        <x:v>Central</x:v>
      </x:c>
      <x:c r="G1109" t="str">
        <x:v>Office Supplies</x:v>
      </x:c>
      <x:c r="H1109" t="str">
        <x:v>Binders</x:v>
      </x:c>
      <x:c r="I1109" s="22" t="n">
        <x:v>2.9339999999999993</x:v>
      </x:c>
      <x:c r="J1109" s="24" t="n">
        <x:v>3</x:v>
      </x:c>
      <x:c r="K1109" s="26" t="n">
        <x:v>0.8</x:v>
      </x:c>
      <x:c r="L1109" s="22" t="n">
        <x:v>-4.987800000000002</x:v>
      </x:c>
      <x:c r="M1109" t="n">
        <x:v>2017</x:v>
      </x:c>
      <x:c r="N1109" s="20" t="n">
        <x:v>42826</x:v>
      </x:c>
    </x:row>
    <x:row r="1110" ht="18" customHeight="1">
      <x:c r="A1110" t="str">
        <x:v>CA-2016-112340</x:v>
      </x:c>
      <x:c r="B1110" s="18" t="n">
        <x:v>42664</x:v>
      </x:c>
      <x:c r="C1110" t="str">
        <x:v>NM-18520</x:v>
      </x:c>
      <x:c r="D1110" t="str">
        <x:v>Neoma Murray</x:v>
      </x:c>
      <x:c r="E1110" t="str">
        <x:v>Consumer</x:v>
      </x:c>
      <x:c r="F1110" t="str">
        <x:v>West</x:v>
      </x:c>
      <x:c r="G1110" t="str">
        <x:v>Office Supplies</x:v>
      </x:c>
      <x:c r="H1110" t="str">
        <x:v>Paper</x:v>
      </x:c>
      <x:c r="I1110" s="22" t="n">
        <x:v>22.919999999999998</x:v>
      </x:c>
      <x:c r="J1110" s="24" t="n">
        <x:v>3</x:v>
      </x:c>
      <x:c r="K1110" s="26" t="n">
        <x:v>0</x:v>
      </x:c>
      <x:c r="L1110" s="22" t="n">
        <x:v>11.230799999999999</x:v>
      </x:c>
      <x:c r="M1110" t="n">
        <x:v>2016</x:v>
      </x:c>
      <x:c r="N1110" s="20" t="n">
        <x:v>42644</x:v>
      </x:c>
    </x:row>
    <x:row r="1111" ht="18" customHeight="1">
      <x:c r="A1111" t="str">
        <x:v>US-2016-110156</x:v>
      </x:c>
      <x:c r="B1111" s="18" t="n">
        <x:v>42693</x:v>
      </x:c>
      <x:c r="C1111" t="str">
        <x:v>EH-13945</x:v>
      </x:c>
      <x:c r="D1111" t="str">
        <x:v>Eric Hoffmann</x:v>
      </x:c>
      <x:c r="E1111" t="str">
        <x:v>Consumer</x:v>
      </x:c>
      <x:c r="F1111" t="str">
        <x:v>Central</x:v>
      </x:c>
      <x:c r="G1111" t="str">
        <x:v>Office Supplies</x:v>
      </x:c>
      <x:c r="H1111" t="str">
        <x:v>Storage</x:v>
      </x:c>
      <x:c r="I1111" s="22" t="n">
        <x:v>100.70400000000001</x:v>
      </x:c>
      <x:c r="J1111" s="24" t="n">
        <x:v>6</x:v>
      </x:c>
      <x:c r="K1111" s="26" t="n">
        <x:v>0.2</x:v>
      </x:c>
      <x:c r="L1111" s="22" t="n">
        <x:v>-16.36440000000001</x:v>
      </x:c>
      <x:c r="M1111" t="n">
        <x:v>2016</x:v>
      </x:c>
      <x:c r="N1111" s="20" t="n">
        <x:v>42675</x:v>
      </x:c>
    </x:row>
    <x:row r="1112" ht="18" customHeight="1">
      <x:c r="A1112" t="str">
        <x:v>US-2016-110156</x:v>
      </x:c>
      <x:c r="B1112" s="18" t="n">
        <x:v>42693</x:v>
      </x:c>
      <x:c r="C1112" t="str">
        <x:v>EH-13945</x:v>
      </x:c>
      <x:c r="D1112" t="str">
        <x:v>Eric Hoffmann</x:v>
      </x:c>
      <x:c r="E1112" t="str">
        <x:v>Consumer</x:v>
      </x:c>
      <x:c r="F1112" t="str">
        <x:v>Central</x:v>
      </x:c>
      <x:c r="G1112" t="str">
        <x:v>Furniture</x:v>
      </x:c>
      <x:c r="H1112" t="str">
        <x:v>Furnishings</x:v>
      </x:c>
      <x:c r="I1112" s="22" t="n">
        <x:v>2.3280000000000003</x:v>
      </x:c>
      <x:c r="J1112" s="24" t="n">
        <x:v>2</x:v>
      </x:c>
      <x:c r="K1112" s="26" t="n">
        <x:v>0.6</x:v>
      </x:c>
      <x:c r="L1112" s="22" t="n">
        <x:v>-0.7566000000000002</x:v>
      </x:c>
      <x:c r="M1112" t="n">
        <x:v>2016</x:v>
      </x:c>
      <x:c r="N1112" s="20" t="n">
        <x:v>42675</x:v>
      </x:c>
    </x:row>
    <x:row r="1113" ht="18" customHeight="1">
      <x:c r="A1113" t="str">
        <x:v>US-2016-110156</x:v>
      </x:c>
      <x:c r="B1113" s="18" t="n">
        <x:v>42693</x:v>
      </x:c>
      <x:c r="C1113" t="str">
        <x:v>EH-13945</x:v>
      </x:c>
      <x:c r="D1113" t="str">
        <x:v>Eric Hoffmann</x:v>
      </x:c>
      <x:c r="E1113" t="str">
        <x:v>Consumer</x:v>
      </x:c>
      <x:c r="F1113" t="str">
        <x:v>Central</x:v>
      </x:c>
      <x:c r="G1113" t="str">
        <x:v>Office Supplies</x:v>
      </x:c>
      <x:c r="H1113" t="str">
        <x:v>Binders</x:v>
      </x:c>
      <x:c r="I1113" s="22" t="n">
        <x:v>10.779999999999996</x:v>
      </x:c>
      <x:c r="J1113" s="24" t="n">
        <x:v>5</x:v>
      </x:c>
      <x:c r="K1113" s="26" t="n">
        <x:v>0.8</x:v>
      </x:c>
      <x:c r="L1113" s="22" t="n">
        <x:v>-17.248000000000008</x:v>
      </x:c>
      <x:c r="M1113" t="n">
        <x:v>2016</x:v>
      </x:c>
      <x:c r="N1113" s="20" t="n">
        <x:v>42675</x:v>
      </x:c>
    </x:row>
    <x:row r="1114" ht="18" customHeight="1">
      <x:c r="A1114" t="str">
        <x:v>US-2016-110156</x:v>
      </x:c>
      <x:c r="B1114" s="18" t="n">
        <x:v>42693</x:v>
      </x:c>
      <x:c r="C1114" t="str">
        <x:v>EH-13945</x:v>
      </x:c>
      <x:c r="D1114" t="str">
        <x:v>Eric Hoffmann</x:v>
      </x:c>
      <x:c r="E1114" t="str">
        <x:v>Consumer</x:v>
      </x:c>
      <x:c r="F1114" t="str">
        <x:v>Central</x:v>
      </x:c>
      <x:c r="G1114" t="str">
        <x:v>Office Supplies</x:v>
      </x:c>
      <x:c r="H1114" t="str">
        <x:v>Fasteners</x:v>
      </x:c>
      <x:c r="I1114" s="22" t="n">
        <x:v>58.36800000000001</x:v>
      </x:c>
      <x:c r="J1114" s="24" t="n">
        <x:v>12</x:v>
      </x:c>
      <x:c r="K1114" s="26" t="n">
        <x:v>0.2</x:v>
      </x:c>
      <x:c r="L1114" s="22" t="n">
        <x:v>21.888</x:v>
      </x:c>
      <x:c r="M1114" t="n">
        <x:v>2016</x:v>
      </x:c>
      <x:c r="N1114" s="20" t="n">
        <x:v>42675</x:v>
      </x:c>
    </x:row>
    <x:row r="1115" ht="18" customHeight="1">
      <x:c r="A1115" t="str">
        <x:v>US-2016-110156</x:v>
      </x:c>
      <x:c r="B1115" s="18" t="n">
        <x:v>42693</x:v>
      </x:c>
      <x:c r="C1115" t="str">
        <x:v>EH-13945</x:v>
      </x:c>
      <x:c r="D1115" t="str">
        <x:v>Eric Hoffmann</x:v>
      </x:c>
      <x:c r="E1115" t="str">
        <x:v>Consumer</x:v>
      </x:c>
      <x:c r="F1115" t="str">
        <x:v>Central</x:v>
      </x:c>
      <x:c r="G1115" t="str">
        <x:v>Office Supplies</x:v>
      </x:c>
      <x:c r="H1115" t="str">
        <x:v>Envelopes</x:v>
      </x:c>
      <x:c r="I1115" s="22" t="n">
        <x:v>40.968</x:v>
      </x:c>
      <x:c r="J1115" s="24" t="n">
        <x:v>3</x:v>
      </x:c>
      <x:c r="K1115" s="26" t="n">
        <x:v>0.2</x:v>
      </x:c>
      <x:c r="L1115" s="22" t="n">
        <x:v>13.826699999999999</x:v>
      </x:c>
      <x:c r="M1115" t="n">
        <x:v>2016</x:v>
      </x:c>
      <x:c r="N1115" s="20" t="n">
        <x:v>42675</x:v>
      </x:c>
    </x:row>
    <x:row r="1116" ht="18" customHeight="1">
      <x:c r="A1116" t="str">
        <x:v>US-2016-110156</x:v>
      </x:c>
      <x:c r="B1116" s="18" t="n">
        <x:v>42693</x:v>
      </x:c>
      <x:c r="C1116" t="str">
        <x:v>EH-13945</x:v>
      </x:c>
      <x:c r="D1116" t="str">
        <x:v>Eric Hoffmann</x:v>
      </x:c>
      <x:c r="E1116" t="str">
        <x:v>Consumer</x:v>
      </x:c>
      <x:c r="F1116" t="str">
        <x:v>Central</x:v>
      </x:c>
      <x:c r="G1116" t="str">
        <x:v>Technology</x:v>
      </x:c>
      <x:c r="H1116" t="str">
        <x:v>Phones</x:v>
      </x:c>
      <x:c r="I1116" s="22" t="n">
        <x:v>71.96</x:v>
      </x:c>
      <x:c r="J1116" s="24" t="n">
        <x:v>5</x:v>
      </x:c>
      <x:c r="K1116" s="26" t="n">
        <x:v>0.2</x:v>
      </x:c>
      <x:c r="L1116" s="22" t="n">
        <x:v>25.185999999999996</x:v>
      </x:c>
      <x:c r="M1116" t="n">
        <x:v>2016</x:v>
      </x:c>
      <x:c r="N1116" s="20" t="n">
        <x:v>42675</x:v>
      </x:c>
    </x:row>
    <x:row r="1117" ht="18" customHeight="1">
      <x:c r="A1117" t="str">
        <x:v>US-2016-110156</x:v>
      </x:c>
      <x:c r="B1117" s="18" t="n">
        <x:v>42693</x:v>
      </x:c>
      <x:c r="C1117" t="str">
        <x:v>EH-13945</x:v>
      </x:c>
      <x:c r="D1117" t="str">
        <x:v>Eric Hoffmann</x:v>
      </x:c>
      <x:c r="E1117" t="str">
        <x:v>Consumer</x:v>
      </x:c>
      <x:c r="F1117" t="str">
        <x:v>Central</x:v>
      </x:c>
      <x:c r="G1117" t="str">
        <x:v>Office Supplies</x:v>
      </x:c>
      <x:c r="H1117" t="str">
        <x:v>Paper</x:v>
      </x:c>
      <x:c r="I1117" s="22" t="n">
        <x:v>10.368000000000002</x:v>
      </x:c>
      <x:c r="J1117" s="24" t="n">
        <x:v>2</x:v>
      </x:c>
      <x:c r="K1117" s="26" t="n">
        <x:v>0.2</x:v>
      </x:c>
      <x:c r="L1117" s="22" t="n">
        <x:v>3.6288</x:v>
      </x:c>
      <x:c r="M1117" t="n">
        <x:v>2016</x:v>
      </x:c>
      <x:c r="N1117" s="20" t="n">
        <x:v>42675</x:v>
      </x:c>
    </x:row>
    <x:row r="1118" ht="18" customHeight="1">
      <x:c r="A1118" t="str">
        <x:v>US-2016-110156</x:v>
      </x:c>
      <x:c r="B1118" s="18" t="n">
        <x:v>42693</x:v>
      </x:c>
      <x:c r="C1118" t="str">
        <x:v>EH-13945</x:v>
      </x:c>
      <x:c r="D1118" t="str">
        <x:v>Eric Hoffmann</x:v>
      </x:c>
      <x:c r="E1118" t="str">
        <x:v>Consumer</x:v>
      </x:c>
      <x:c r="F1118" t="str">
        <x:v>Central</x:v>
      </x:c>
      <x:c r="G1118" t="str">
        <x:v>Office Supplies</x:v>
      </x:c>
      <x:c r="H1118" t="str">
        <x:v>Binders</x:v>
      </x:c>
      <x:c r="I1118" s="22" t="n">
        <x:v>1.1919999999999997</x:v>
      </x:c>
      <x:c r="J1118" s="24" t="n">
        <x:v>2</x:v>
      </x:c>
      <x:c r="K1118" s="26" t="n">
        <x:v>0.8</x:v>
      </x:c>
      <x:c r="L1118" s="22" t="n">
        <x:v>-2.0264</x:v>
      </x:c>
      <x:c r="M1118" t="n">
        <x:v>2016</x:v>
      </x:c>
      <x:c r="N1118" s="20" t="n">
        <x:v>42675</x:v>
      </x:c>
    </x:row>
    <x:row r="1119" ht="18" customHeight="1">
      <x:c r="A1119" t="str">
        <x:v>CA-2017-140585</x:v>
      </x:c>
      <x:c r="B1119" s="18" t="n">
        <x:v>43087</x:v>
      </x:c>
      <x:c r="C1119" t="str">
        <x:v>RA-19915</x:v>
      </x:c>
      <x:c r="D1119" t="str">
        <x:v>Russell Applegate</x:v>
      </x:c>
      <x:c r="E1119" t="str">
        <x:v>Consumer</x:v>
      </x:c>
      <x:c r="F1119" t="str">
        <x:v>West</x:v>
      </x:c>
      <x:c r="G1119" t="str">
        <x:v>Office Supplies</x:v>
      </x:c>
      <x:c r="H1119" t="str">
        <x:v>Binders</x:v>
      </x:c>
      <x:c r="I1119" s="22" t="n">
        <x:v>46.672000000000004</x:v>
      </x:c>
      <x:c r="J1119" s="24" t="n">
        <x:v>2</x:v>
      </x:c>
      <x:c r="K1119" s="26" t="n">
        <x:v>0.2</x:v>
      </x:c>
      <x:c r="L1119" s="22" t="n">
        <x:v>16.3352</x:v>
      </x:c>
      <x:c r="M1119" t="n">
        <x:v>2017</x:v>
      </x:c>
      <x:c r="N1119" s="20" t="n">
        <x:v>43070</x:v>
      </x:c>
    </x:row>
    <x:row r="1120" ht="18" customHeight="1">
      <x:c r="A1120" t="str">
        <x:v>CA-2017-140585</x:v>
      </x:c>
      <x:c r="B1120" s="18" t="n">
        <x:v>43087</x:v>
      </x:c>
      <x:c r="C1120" t="str">
        <x:v>RA-19915</x:v>
      </x:c>
      <x:c r="D1120" t="str">
        <x:v>Russell Applegate</x:v>
      </x:c>
      <x:c r="E1120" t="str">
        <x:v>Consumer</x:v>
      </x:c>
      <x:c r="F1120" t="str">
        <x:v>West</x:v>
      </x:c>
      <x:c r="G1120" t="str">
        <x:v>Furniture</x:v>
      </x:c>
      <x:c r="H1120" t="str">
        <x:v>Bookcases</x:v>
      </x:c>
      <x:c r="I1120" s="22" t="n">
        <x:v>119.83299999999998</x:v>
      </x:c>
      <x:c r="J1120" s="24" t="n">
        <x:v>1</x:v>
      </x:c>
      <x:c r="K1120" s="26" t="n">
        <x:v>0.15</x:v>
      </x:c>
      <x:c r="L1120" s="22" t="n">
        <x:v>-12.688200000000002</x:v>
      </x:c>
      <x:c r="M1120" t="n">
        <x:v>2017</x:v>
      </x:c>
      <x:c r="N1120" s="20" t="n">
        <x:v>43070</x:v>
      </x:c>
    </x:row>
    <x:row r="1121" ht="18" customHeight="1">
      <x:c r="A1121" t="str">
        <x:v>CA-2017-140585</x:v>
      </x:c>
      <x:c r="B1121" s="18" t="n">
        <x:v>43087</x:v>
      </x:c>
      <x:c r="C1121" t="str">
        <x:v>RA-19915</x:v>
      </x:c>
      <x:c r="D1121" t="str">
        <x:v>Russell Applegate</x:v>
      </x:c>
      <x:c r="E1121" t="str">
        <x:v>Consumer</x:v>
      </x:c>
      <x:c r="F1121" t="str">
        <x:v>West</x:v>
      </x:c>
      <x:c r="G1121" t="str">
        <x:v>Technology</x:v>
      </x:c>
      <x:c r="H1121" t="str">
        <x:v>Accessories</x:v>
      </x:c>
      <x:c r="I1121" s="22" t="n">
        <x:v>119.98</x:v>
      </x:c>
      <x:c r="J1121" s="24" t="n">
        <x:v>2</x:v>
      </x:c>
      <x:c r="K1121" s="26" t="n">
        <x:v>0</x:v>
      </x:c>
      <x:c r="L1121" s="22" t="n">
        <x:v>57.5904</x:v>
      </x:c>
      <x:c r="M1121" t="n">
        <x:v>2017</x:v>
      </x:c>
      <x:c r="N1121" s="20" t="n">
        <x:v>43070</x:v>
      </x:c>
    </x:row>
    <x:row r="1122" ht="18" customHeight="1">
      <x:c r="A1122" t="str">
        <x:v>CA-2016-144855</x:v>
      </x:c>
      <x:c r="B1122" s="18" t="n">
        <x:v>42573</x:v>
      </x:c>
      <x:c r="C1122" t="str">
        <x:v>DL-13495</x:v>
      </x:c>
      <x:c r="D1122" t="str">
        <x:v>Dionis Lloyd</x:v>
      </x:c>
      <x:c r="E1122" t="str">
        <x:v>Corporate</x:v>
      </x:c>
      <x:c r="F1122" t="str">
        <x:v>West</x:v>
      </x:c>
      <x:c r="G1122" t="str">
        <x:v>Office Supplies</x:v>
      </x:c>
      <x:c r="H1122" t="str">
        <x:v>Labels</x:v>
      </x:c>
      <x:c r="I1122" s="22" t="n">
        <x:v>6.3</x:v>
      </x:c>
      <x:c r="J1122" s="24" t="n">
        <x:v>2</x:v>
      </x:c>
      <x:c r="K1122" s="26" t="n">
        <x:v>0</x:v>
      </x:c>
      <x:c r="L1122" s="22" t="n">
        <x:v>3.024</x:v>
      </x:c>
      <x:c r="M1122" t="n">
        <x:v>2016</x:v>
      </x:c>
      <x:c r="N1122" s="20" t="n">
        <x:v>42552</x:v>
      </x:c>
    </x:row>
    <x:row r="1123" ht="18" customHeight="1">
      <x:c r="A1123" t="str">
        <x:v>CA-2015-142755</x:v>
      </x:c>
      <x:c r="B1123" s="18" t="n">
        <x:v>42251</x:v>
      </x:c>
      <x:c r="C1123" t="str">
        <x:v>CS-12355</x:v>
      </x:c>
      <x:c r="D1123" t="str">
        <x:v>Christine Sundaresam</x:v>
      </x:c>
      <x:c r="E1123" t="str">
        <x:v>Consumer</x:v>
      </x:c>
      <x:c r="F1123" t="str">
        <x:v>South</x:v>
      </x:c>
      <x:c r="G1123" t="str">
        <x:v>Office Supplies</x:v>
      </x:c>
      <x:c r="H1123" t="str">
        <x:v>Paper</x:v>
      </x:c>
      <x:c r="I1123" s="22" t="n">
        <x:v>279.9</x:v>
      </x:c>
      <x:c r="J1123" s="24" t="n">
        <x:v>5</x:v>
      </x:c>
      <x:c r="K1123" s="26" t="n">
        <x:v>0</x:v>
      </x:c>
      <x:c r="L1123" s="22" t="n">
        <x:v>137.151</x:v>
      </x:c>
      <x:c r="M1123" t="n">
        <x:v>2015</x:v>
      </x:c>
      <x:c r="N1123" s="20" t="n">
        <x:v>42248</x:v>
      </x:c>
    </x:row>
    <x:row r="1124" ht="18" customHeight="1">
      <x:c r="A1124" t="str">
        <x:v>CA-2015-142755</x:v>
      </x:c>
      <x:c r="B1124" s="18" t="n">
        <x:v>42251</x:v>
      </x:c>
      <x:c r="C1124" t="str">
        <x:v>CS-12355</x:v>
      </x:c>
      <x:c r="D1124" t="str">
        <x:v>Christine Sundaresam</x:v>
      </x:c>
      <x:c r="E1124" t="str">
        <x:v>Consumer</x:v>
      </x:c>
      <x:c r="F1124" t="str">
        <x:v>South</x:v>
      </x:c>
      <x:c r="G1124" t="str">
        <x:v>Technology</x:v>
      </x:c>
      <x:c r="H1124" t="str">
        <x:v>Accessories</x:v>
      </x:c>
      <x:c r="I1124" s="22" t="n">
        <x:v>619.9499999999999</x:v>
      </x:c>
      <x:c r="J1124" s="24" t="n">
        <x:v>5</x:v>
      </x:c>
      <x:c r="K1124" s="26" t="n">
        <x:v>0</x:v>
      </x:c>
      <x:c r="L1124" s="22" t="n">
        <x:v>111.59099999999995</x:v>
      </x:c>
      <x:c r="M1124" t="n">
        <x:v>2015</x:v>
      </x:c>
      <x:c r="N1124" s="20" t="n">
        <x:v>42248</x:v>
      </x:c>
    </x:row>
    <x:row r="1125" ht="18" customHeight="1">
      <x:c r="A1125" t="str">
        <x:v>CA-2015-142755</x:v>
      </x:c>
      <x:c r="B1125" s="18" t="n">
        <x:v>42251</x:v>
      </x:c>
      <x:c r="C1125" t="str">
        <x:v>CS-12355</x:v>
      </x:c>
      <x:c r="D1125" t="str">
        <x:v>Christine Sundaresam</x:v>
      </x:c>
      <x:c r="E1125" t="str">
        <x:v>Consumer</x:v>
      </x:c>
      <x:c r="F1125" t="str">
        <x:v>South</x:v>
      </x:c>
      <x:c r="G1125" t="str">
        <x:v>Office Supplies</x:v>
      </x:c>
      <x:c r="H1125" t="str">
        <x:v>Paper</x:v>
      </x:c>
      <x:c r="I1125" s="22" t="n">
        <x:v>4.36</x:v>
      </x:c>
      <x:c r="J1125" s="24" t="n">
        <x:v>2</x:v>
      </x:c>
      <x:c r="K1125" s="26" t="n">
        <x:v>0</x:v>
      </x:c>
      <x:c r="L1125" s="22" t="n">
        <x:v>2.0492</x:v>
      </x:c>
      <x:c r="M1125" t="n">
        <x:v>2015</x:v>
      </x:c>
      <x:c r="N1125" s="20" t="n">
        <x:v>42248</x:v>
      </x:c>
    </x:row>
    <x:row r="1126" ht="18" customHeight="1">
      <x:c r="A1126" t="str">
        <x:v>CA-2015-142755</x:v>
      </x:c>
      <x:c r="B1126" s="18" t="n">
        <x:v>42251</x:v>
      </x:c>
      <x:c r="C1126" t="str">
        <x:v>CS-12355</x:v>
      </x:c>
      <x:c r="D1126" t="str">
        <x:v>Christine Sundaresam</x:v>
      </x:c>
      <x:c r="E1126" t="str">
        <x:v>Consumer</x:v>
      </x:c>
      <x:c r="F1126" t="str">
        <x:v>South</x:v>
      </x:c>
      <x:c r="G1126" t="str">
        <x:v>Office Supplies</x:v>
      </x:c>
      <x:c r="H1126" t="str">
        <x:v>Envelopes</x:v>
      </x:c>
      <x:c r="I1126" s="22" t="n">
        <x:v>15.28</x:v>
      </x:c>
      <x:c r="J1126" s="24" t="n">
        <x:v>2</x:v>
      </x:c>
      <x:c r="K1126" s="26" t="n">
        <x:v>0</x:v>
      </x:c>
      <x:c r="L1126" s="22" t="n">
        <x:v>7.4872</x:v>
      </x:c>
      <x:c r="M1126" t="n">
        <x:v>2015</x:v>
      </x:c>
      <x:c r="N1126" s="20" t="n">
        <x:v>42248</x:v>
      </x:c>
    </x:row>
    <x:row r="1127" ht="18" customHeight="1">
      <x:c r="A1127" t="str">
        <x:v>US-2014-147627</x:v>
      </x:c>
      <x:c r="B1127" s="18" t="n">
        <x:v>41659</x:v>
      </x:c>
      <x:c r="C1127" t="str">
        <x:v>HL-15040</x:v>
      </x:c>
      <x:c r="D1127" t="str">
        <x:v>Hunter Lopez</x:v>
      </x:c>
      <x:c r="E1127" t="str">
        <x:v>Consumer</x:v>
      </x:c>
      <x:c r="F1127" t="str">
        <x:v>South</x:v>
      </x:c>
      <x:c r="G1127" t="str">
        <x:v>Technology</x:v>
      </x:c>
      <x:c r="H1127" t="str">
        <x:v>Phones</x:v>
      </x:c>
      <x:c r="I1127" s="22" t="n">
        <x:v>699.93</x:v>
      </x:c>
      <x:c r="J1127" s="24" t="n">
        <x:v>7</x:v>
      </x:c>
      <x:c r="K1127" s="26" t="n">
        <x:v>0</x:v>
      </x:c>
      <x:c r="L1127" s="22" t="n">
        <x:v>181.9818</x:v>
      </x:c>
      <x:c r="M1127" t="n">
        <x:v>2014</x:v>
      </x:c>
      <x:c r="N1127" s="20" t="n">
        <x:v>41640</x:v>
      </x:c>
    </x:row>
    <x:row r="1128" ht="18" customHeight="1">
      <x:c r="A1128" t="str">
        <x:v>US-2014-147627</x:v>
      </x:c>
      <x:c r="B1128" s="18" t="n">
        <x:v>41659</x:v>
      </x:c>
      <x:c r="C1128" t="str">
        <x:v>HL-15040</x:v>
      </x:c>
      <x:c r="D1128" t="str">
        <x:v>Hunter Lopez</x:v>
      </x:c>
      <x:c r="E1128" t="str">
        <x:v>Consumer</x:v>
      </x:c>
      <x:c r="F1128" t="str">
        <x:v>South</x:v>
      </x:c>
      <x:c r="G1128" t="str">
        <x:v>Office Supplies</x:v>
      </x:c>
      <x:c r="H1128" t="str">
        <x:v>Art</x:v>
      </x:c>
      <x:c r="I1128" s="22" t="n">
        <x:v>22.959999999999997</x:v>
      </x:c>
      <x:c r="J1128" s="24" t="n">
        <x:v>7</x:v>
      </x:c>
      <x:c r="K1128" s="26" t="n">
        <x:v>0</x:v>
      </x:c>
      <x:c r="L1128" s="22" t="n">
        <x:v>6.658399999999997</x:v>
      </x:c>
      <x:c r="M1128" t="n">
        <x:v>2014</x:v>
      </x:c>
      <x:c r="N1128" s="20" t="n">
        <x:v>41640</x:v>
      </x:c>
    </x:row>
    <x:row r="1129" ht="18" customHeight="1">
      <x:c r="A1129" t="str">
        <x:v>US-2014-147627</x:v>
      </x:c>
      <x:c r="B1129" s="18" t="n">
        <x:v>41659</x:v>
      </x:c>
      <x:c r="C1129" t="str">
        <x:v>HL-15040</x:v>
      </x:c>
      <x:c r="D1129" t="str">
        <x:v>Hunter Lopez</x:v>
      </x:c>
      <x:c r="E1129" t="str">
        <x:v>Consumer</x:v>
      </x:c>
      <x:c r="F1129" t="str">
        <x:v>South</x:v>
      </x:c>
      <x:c r="G1129" t="str">
        <x:v>Furniture</x:v>
      </x:c>
      <x:c r="H1129" t="str">
        <x:v>Furnishings</x:v>
      </x:c>
      <x:c r="I1129" s="22" t="n">
        <x:v>38.6</x:v>
      </x:c>
      <x:c r="J1129" s="24" t="n">
        <x:v>4</x:v>
      </x:c>
      <x:c r="K1129" s="26" t="n">
        <x:v>0</x:v>
      </x:c>
      <x:c r="L1129" s="22" t="n">
        <x:v>11.579999999999998</x:v>
      </x:c>
      <x:c r="M1129" t="n">
        <x:v>2014</x:v>
      </x:c>
      <x:c r="N1129" s="20" t="n">
        <x:v>41640</x:v>
      </x:c>
    </x:row>
    <x:row r="1130" ht="18" customHeight="1">
      <x:c r="A1130" t="str">
        <x:v>US-2014-147627</x:v>
      </x:c>
      <x:c r="B1130" s="18" t="n">
        <x:v>41659</x:v>
      </x:c>
      <x:c r="C1130" t="str">
        <x:v>HL-15040</x:v>
      </x:c>
      <x:c r="D1130" t="str">
        <x:v>Hunter Lopez</x:v>
      </x:c>
      <x:c r="E1130" t="str">
        <x:v>Consumer</x:v>
      </x:c>
      <x:c r="F1130" t="str">
        <x:v>South</x:v>
      </x:c>
      <x:c r="G1130" t="str">
        <x:v>Office Supplies</x:v>
      </x:c>
      <x:c r="H1130" t="str">
        <x:v>Art</x:v>
      </x:c>
      <x:c r="I1130" s="22" t="n">
        <x:v>6.63</x:v>
      </x:c>
      <x:c r="J1130" s="24" t="n">
        <x:v>3</x:v>
      </x:c>
      <x:c r="K1130" s="26" t="n">
        <x:v>0</x:v>
      </x:c>
      <x:c r="L1130" s="22" t="n">
        <x:v>1.7901</x:v>
      </x:c>
      <x:c r="M1130" t="n">
        <x:v>2014</x:v>
      </x:c>
      <x:c r="N1130" s="20" t="n">
        <x:v>41640</x:v>
      </x:c>
    </x:row>
    <x:row r="1131" ht="18" customHeight="1">
      <x:c r="A1131" t="str">
        <x:v>US-2014-147627</x:v>
      </x:c>
      <x:c r="B1131" s="18" t="n">
        <x:v>41659</x:v>
      </x:c>
      <x:c r="C1131" t="str">
        <x:v>HL-15040</x:v>
      </x:c>
      <x:c r="D1131" t="str">
        <x:v>Hunter Lopez</x:v>
      </x:c>
      <x:c r="E1131" t="str">
        <x:v>Consumer</x:v>
      </x:c>
      <x:c r="F1131" t="str">
        <x:v>South</x:v>
      </x:c>
      <x:c r="G1131" t="str">
        <x:v>Office Supplies</x:v>
      </x:c>
      <x:c r="H1131" t="str">
        <x:v>Envelopes</x:v>
      </x:c>
      <x:c r="I1131" s="22" t="n">
        <x:v>23.34</x:v>
      </x:c>
      <x:c r="J1131" s="24" t="n">
        <x:v>3</x:v>
      </x:c>
      <x:c r="K1131" s="26" t="n">
        <x:v>0</x:v>
      </x:c>
      <x:c r="L1131" s="22" t="n">
        <x:v>10.9698</x:v>
      </x:c>
      <x:c r="M1131" t="n">
        <x:v>2014</x:v>
      </x:c>
      <x:c r="N1131" s="20" t="n">
        <x:v>41640</x:v>
      </x:c>
    </x:row>
    <x:row r="1132" ht="18" customHeight="1">
      <x:c r="A1132" t="str">
        <x:v>US-2014-147627</x:v>
      </x:c>
      <x:c r="B1132" s="18" t="n">
        <x:v>41659</x:v>
      </x:c>
      <x:c r="C1132" t="str">
        <x:v>HL-15040</x:v>
      </x:c>
      <x:c r="D1132" t="str">
        <x:v>Hunter Lopez</x:v>
      </x:c>
      <x:c r="E1132" t="str">
        <x:v>Consumer</x:v>
      </x:c>
      <x:c r="F1132" t="str">
        <x:v>South</x:v>
      </x:c>
      <x:c r="G1132" t="str">
        <x:v>Furniture</x:v>
      </x:c>
      <x:c r="H1132" t="str">
        <x:v>Chairs</x:v>
      </x:c>
      <x:c r="I1132" s="22" t="n">
        <x:v>1067.94</x:v>
      </x:c>
      <x:c r="J1132" s="24" t="n">
        <x:v>3</x:v>
      </x:c>
      <x:c r="K1132" s="26" t="n">
        <x:v>0</x:v>
      </x:c>
      <x:c r="L1132" s="22" t="n">
        <x:v>224.2673999999999</x:v>
      </x:c>
      <x:c r="M1132" t="n">
        <x:v>2014</x:v>
      </x:c>
      <x:c r="N1132" s="20" t="n">
        <x:v>41640</x:v>
      </x:c>
    </x:row>
    <x:row r="1133" ht="18" customHeight="1">
      <x:c r="A1133" t="str">
        <x:v>CA-2015-105970</x:v>
      </x:c>
      <x:c r="B1133" s="18" t="n">
        <x:v>42065</x:v>
      </x:c>
      <x:c r="C1133" t="str">
        <x:v>PA-19060</x:v>
      </x:c>
      <x:c r="D1133" t="str">
        <x:v>Pete Armstrong</x:v>
      </x:c>
      <x:c r="E1133" t="str">
        <x:v>Home Office</x:v>
      </x:c>
      <x:c r="F1133" t="str">
        <x:v>Central</x:v>
      </x:c>
      <x:c r="G1133" t="str">
        <x:v>Office Supplies</x:v>
      </x:c>
      <x:c r="H1133" t="str">
        <x:v>Art</x:v>
      </x:c>
      <x:c r="I1133" s="22" t="n">
        <x:v>10.16</x:v>
      </x:c>
      <x:c r="J1133" s="24" t="n">
        <x:v>1</x:v>
      </x:c>
      <x:c r="K1133" s="26" t="n">
        <x:v>0</x:v>
      </x:c>
      <x:c r="L1133" s="22" t="n">
        <x:v>2.6416000000000004</x:v>
      </x:c>
      <x:c r="M1133" t="n">
        <x:v>2015</x:v>
      </x:c>
      <x:c r="N1133" s="20" t="n">
        <x:v>42064</x:v>
      </x:c>
    </x:row>
    <x:row r="1134" ht="18" customHeight="1">
      <x:c r="A1134" t="str">
        <x:v>CA-2015-105970</x:v>
      </x:c>
      <x:c r="B1134" s="18" t="n">
        <x:v>42065</x:v>
      </x:c>
      <x:c r="C1134" t="str">
        <x:v>PA-19060</x:v>
      </x:c>
      <x:c r="D1134" t="str">
        <x:v>Pete Armstrong</x:v>
      </x:c>
      <x:c r="E1134" t="str">
        <x:v>Home Office</x:v>
      </x:c>
      <x:c r="F1134" t="str">
        <x:v>Central</x:v>
      </x:c>
      <x:c r="G1134" t="str">
        <x:v>Office Supplies</x:v>
      </x:c>
      <x:c r="H1134" t="str">
        <x:v>Envelopes</x:v>
      </x:c>
      <x:c r="I1134" s="22" t="n">
        <x:v>101.88</x:v>
      </x:c>
      <x:c r="J1134" s="24" t="n">
        <x:v>6</x:v>
      </x:c>
      <x:c r="K1134" s="26" t="n">
        <x:v>0</x:v>
      </x:c>
      <x:c r="L1134" s="22" t="n">
        <x:v>50.94</x:v>
      </x:c>
      <x:c r="M1134" t="n">
        <x:v>2015</x:v>
      </x:c>
      <x:c r="N1134" s="20" t="n">
        <x:v>42064</x:v>
      </x:c>
    </x:row>
    <x:row r="1135" ht="18" customHeight="1">
      <x:c r="A1135" t="str">
        <x:v>CA-2016-112102</x:v>
      </x:c>
      <x:c r="B1135" s="18" t="n">
        <x:v>42472</x:v>
      </x:c>
      <x:c r="C1135" t="str">
        <x:v>BD-11605</x:v>
      </x:c>
      <x:c r="D1135" t="str">
        <x:v>Brian Dahlen</x:v>
      </x:c>
      <x:c r="E1135" t="str">
        <x:v>Consumer</x:v>
      </x:c>
      <x:c r="F1135" t="str">
        <x:v>South</x:v>
      </x:c>
      <x:c r="G1135" t="str">
        <x:v>Furniture</x:v>
      </x:c>
      <x:c r="H1135" t="str">
        <x:v>Tables</x:v>
      </x:c>
      <x:c r="I1135" s="22" t="n">
        <x:v>343.92</x:v>
      </x:c>
      <x:c r="J1135" s="24" t="n">
        <x:v>4</x:v>
      </x:c>
      <x:c r="K1135" s="26" t="n">
        <x:v>0</x:v>
      </x:c>
      <x:c r="L1135" s="22" t="n">
        <x:v>75.66239999999999</x:v>
      </x:c>
      <x:c r="M1135" t="n">
        <x:v>2016</x:v>
      </x:c>
      <x:c r="N1135" s="20" t="n">
        <x:v>42461</x:v>
      </x:c>
    </x:row>
    <x:row r="1136" ht="18" customHeight="1">
      <x:c r="A1136" t="str">
        <x:v>CA-2016-112102</x:v>
      </x:c>
      <x:c r="B1136" s="18" t="n">
        <x:v>42472</x:v>
      </x:c>
      <x:c r="C1136" t="str">
        <x:v>BD-11605</x:v>
      </x:c>
      <x:c r="D1136" t="str">
        <x:v>Brian Dahlen</x:v>
      </x:c>
      <x:c r="E1136" t="str">
        <x:v>Consumer</x:v>
      </x:c>
      <x:c r="F1136" t="str">
        <x:v>South</x:v>
      </x:c>
      <x:c r="G1136" t="str">
        <x:v>Office Supplies</x:v>
      </x:c>
      <x:c r="H1136" t="str">
        <x:v>Paper</x:v>
      </x:c>
      <x:c r="I1136" s="22" t="n">
        <x:v>40.99</x:v>
      </x:c>
      <x:c r="J1136" s="24" t="n">
        <x:v>1</x:v>
      </x:c>
      <x:c r="K1136" s="26" t="n">
        <x:v>0</x:v>
      </x:c>
      <x:c r="L1136" s="22" t="n">
        <x:v>20.0851</x:v>
      </x:c>
      <x:c r="M1136" t="n">
        <x:v>2016</x:v>
      </x:c>
      <x:c r="N1136" s="20" t="n">
        <x:v>42461</x:v>
      </x:c>
    </x:row>
    <x:row r="1137" ht="18" customHeight="1">
      <x:c r="A1137" t="str">
        <x:v>CA-2016-112102</x:v>
      </x:c>
      <x:c r="B1137" s="18" t="n">
        <x:v>42472</x:v>
      </x:c>
      <x:c r="C1137" t="str">
        <x:v>BD-11605</x:v>
      </x:c>
      <x:c r="D1137" t="str">
        <x:v>Brian Dahlen</x:v>
      </x:c>
      <x:c r="E1137" t="str">
        <x:v>Consumer</x:v>
      </x:c>
      <x:c r="F1137" t="str">
        <x:v>South</x:v>
      </x:c>
      <x:c r="G1137" t="str">
        <x:v>Office Supplies</x:v>
      </x:c>
      <x:c r="H1137" t="str">
        <x:v>Envelopes</x:v>
      </x:c>
      <x:c r="I1137" s="22" t="n">
        <x:v>63.9</x:v>
      </x:c>
      <x:c r="J1137" s="24" t="n">
        <x:v>5</x:v>
      </x:c>
      <x:c r="K1137" s="26" t="n">
        <x:v>0</x:v>
      </x:c>
      <x:c r="L1137" s="22" t="n">
        <x:v>28.754999999999995</x:v>
      </x:c>
      <x:c r="M1137" t="n">
        <x:v>2016</x:v>
      </x:c>
      <x:c r="N1137" s="20" t="n">
        <x:v>42461</x:v>
      </x:c>
    </x:row>
    <x:row r="1138" ht="18" customHeight="1">
      <x:c r="A1138" t="str">
        <x:v>US-2016-114776</x:v>
      </x:c>
      <x:c r="B1138" s="18" t="n">
        <x:v>42710</x:v>
      </x:c>
      <x:c r="C1138" t="str">
        <x:v>GG-14650</x:v>
      </x:c>
      <x:c r="D1138" t="str">
        <x:v>Greg Guthrie</x:v>
      </x:c>
      <x:c r="E1138" t="str">
        <x:v>Corporate</x:v>
      </x:c>
      <x:c r="F1138" t="str">
        <x:v>West</x:v>
      </x:c>
      <x:c r="G1138" t="str">
        <x:v>Office Supplies</x:v>
      </x:c>
      <x:c r="H1138" t="str">
        <x:v>Paper</x:v>
      </x:c>
      <x:c r="I1138" s="22" t="n">
        <x:v>19.44</x:v>
      </x:c>
      <x:c r="J1138" s="24" t="n">
        <x:v>3</x:v>
      </x:c>
      <x:c r="K1138" s="26" t="n">
        <x:v>0</x:v>
      </x:c>
      <x:c r="L1138" s="22" t="n">
        <x:v>9.3312</x:v>
      </x:c>
      <x:c r="M1138" t="n">
        <x:v>2016</x:v>
      </x:c>
      <x:c r="N1138" s="20" t="n">
        <x:v>42705</x:v>
      </x:c>
    </x:row>
    <x:row r="1139" ht="18" customHeight="1">
      <x:c r="A1139" t="str">
        <x:v>US-2016-134908</x:v>
      </x:c>
      <x:c r="B1139" s="18" t="n">
        <x:v>42526</x:v>
      </x:c>
      <x:c r="C1139" t="str">
        <x:v>JS-15940</x:v>
      </x:c>
      <x:c r="D1139" t="str">
        <x:v>Joni Sundaresam</x:v>
      </x:c>
      <x:c r="E1139" t="str">
        <x:v>Home Office</x:v>
      </x:c>
      <x:c r="F1139" t="str">
        <x:v>East</x:v>
      </x:c>
      <x:c r="G1139" t="str">
        <x:v>Office Supplies</x:v>
      </x:c>
      <x:c r="H1139" t="str">
        <x:v>Storage</x:v>
      </x:c>
      <x:c r="I1139" s="22" t="n">
        <x:v>124.608</x:v>
      </x:c>
      <x:c r="J1139" s="24" t="n">
        <x:v>4</x:v>
      </x:c>
      <x:c r="K1139" s="26" t="n">
        <x:v>0.2</x:v>
      </x:c>
      <x:c r="L1139" s="22" t="n">
        <x:v>-23.36400000000002</x:v>
      </x:c>
      <x:c r="M1139" t="n">
        <x:v>2016</x:v>
      </x:c>
      <x:c r="N1139" s="20" t="n">
        <x:v>42522</x:v>
      </x:c>
    </x:row>
    <x:row r="1140" ht="18" customHeight="1">
      <x:c r="A1140" t="str">
        <x:v>US-2016-134908</x:v>
      </x:c>
      <x:c r="B1140" s="18" t="n">
        <x:v>42526</x:v>
      </x:c>
      <x:c r="C1140" t="str">
        <x:v>JS-15940</x:v>
      </x:c>
      <x:c r="D1140" t="str">
        <x:v>Joni Sundaresam</x:v>
      </x:c>
      <x:c r="E1140" t="str">
        <x:v>Home Office</x:v>
      </x:c>
      <x:c r="F1140" t="str">
        <x:v>East</x:v>
      </x:c>
      <x:c r="G1140" t="str">
        <x:v>Office Supplies</x:v>
      </x:c>
      <x:c r="H1140" t="str">
        <x:v>Labels</x:v>
      </x:c>
      <x:c r="I1140" s="22" t="n">
        <x:v>7.5600000000000005</x:v>
      </x:c>
      <x:c r="J1140" s="24" t="n">
        <x:v>3</x:v>
      </x:c>
      <x:c r="K1140" s="26" t="n">
        <x:v>0.2</x:v>
      </x:c>
      <x:c r="L1140" s="22" t="n">
        <x:v>2.6459999999999995</x:v>
      </x:c>
      <x:c r="M1140" t="n">
        <x:v>2016</x:v>
      </x:c>
      <x:c r="N1140" s="20" t="n">
        <x:v>42522</x:v>
      </x:c>
    </x:row>
    <x:row r="1141" ht="18" customHeight="1">
      <x:c r="A1141" t="str">
        <x:v>US-2016-148803</x:v>
      </x:c>
      <x:c r="B1141" s="18" t="n">
        <x:v>42715</x:v>
      </x:c>
      <x:c r="C1141" t="str">
        <x:v>LR-16915</x:v>
      </x:c>
      <x:c r="D1141" t="str">
        <x:v>Lena Radford</x:v>
      </x:c>
      <x:c r="E1141" t="str">
        <x:v>Consumer</x:v>
      </x:c>
      <x:c r="F1141" t="str">
        <x:v>South</x:v>
      </x:c>
      <x:c r="G1141" t="str">
        <x:v>Office Supplies</x:v>
      </x:c>
      <x:c r="H1141" t="str">
        <x:v>Storage</x:v>
      </x:c>
      <x:c r="I1141" s="22" t="n">
        <x:v>85.224</x:v>
      </x:c>
      <x:c r="J1141" s="24" t="n">
        <x:v>3</x:v>
      </x:c>
      <x:c r="K1141" s="26" t="n">
        <x:v>0.2</x:v>
      </x:c>
      <x:c r="L1141" s="22" t="n">
        <x:v>7.457100000000004</x:v>
      </x:c>
      <x:c r="M1141" t="n">
        <x:v>2016</x:v>
      </x:c>
      <x:c r="N1141" s="20" t="n">
        <x:v>42705</x:v>
      </x:c>
    </x:row>
    <x:row r="1142" ht="18" customHeight="1">
      <x:c r="A1142" t="str">
        <x:v>CA-2016-152170</x:v>
      </x:c>
      <x:c r="B1142" s="18" t="n">
        <x:v>42686</x:v>
      </x:c>
      <x:c r="C1142" t="str">
        <x:v>FH-14275</x:v>
      </x:c>
      <x:c r="D1142" t="str">
        <x:v>Frank Hawley</x:v>
      </x:c>
      <x:c r="E1142" t="str">
        <x:v>Corporate</x:v>
      </x:c>
      <x:c r="F1142" t="str">
        <x:v>Central</x:v>
      </x:c>
      <x:c r="G1142" t="str">
        <x:v>Office Supplies</x:v>
      </x:c>
      <x:c r="H1142" t="str">
        <x:v>Envelopes</x:v>
      </x:c>
      <x:c r="I1142" s="22" t="n">
        <x:v>287.52</x:v>
      </x:c>
      <x:c r="J1142" s="24" t="n">
        <x:v>8</x:v>
      </x:c>
      <x:c r="K1142" s="26" t="n">
        <x:v>0</x:v>
      </x:c>
      <x:c r="L1142" s="22" t="n">
        <x:v>129.384</x:v>
      </x:c>
      <x:c r="M1142" t="n">
        <x:v>2016</x:v>
      </x:c>
      <x:c r="N1142" s="20" t="n">
        <x:v>42675</x:v>
      </x:c>
    </x:row>
    <x:row r="1143" ht="18" customHeight="1">
      <x:c r="A1143" t="str">
        <x:v>CA-2016-152170</x:v>
      </x:c>
      <x:c r="B1143" s="18" t="n">
        <x:v>42686</x:v>
      </x:c>
      <x:c r="C1143" t="str">
        <x:v>FH-14275</x:v>
      </x:c>
      <x:c r="D1143" t="str">
        <x:v>Frank Hawley</x:v>
      </x:c>
      <x:c r="E1143" t="str">
        <x:v>Corporate</x:v>
      </x:c>
      <x:c r="F1143" t="str">
        <x:v>Central</x:v>
      </x:c>
      <x:c r="G1143" t="str">
        <x:v>Office Supplies</x:v>
      </x:c>
      <x:c r="H1143" t="str">
        <x:v>Appliances</x:v>
      </x:c>
      <x:c r="I1143" s="22" t="n">
        <x:v>37.68</x:v>
      </x:c>
      <x:c r="J1143" s="24" t="n">
        <x:v>2</x:v>
      </x:c>
      <x:c r="K1143" s="26" t="n">
        <x:v>0</x:v>
      </x:c>
      <x:c r="L1143" s="22" t="n">
        <x:v>10.5504</x:v>
      </x:c>
      <x:c r="M1143" t="n">
        <x:v>2016</x:v>
      </x:c>
      <x:c r="N1143" s="20" t="n">
        <x:v>42675</x:v>
      </x:c>
    </x:row>
    <x:row r="1144" ht="18" customHeight="1">
      <x:c r="A1144" t="str">
        <x:v>CA-2016-152170</x:v>
      </x:c>
      <x:c r="B1144" s="18" t="n">
        <x:v>42686</x:v>
      </x:c>
      <x:c r="C1144" t="str">
        <x:v>FH-14275</x:v>
      </x:c>
      <x:c r="D1144" t="str">
        <x:v>Frank Hawley</x:v>
      </x:c>
      <x:c r="E1144" t="str">
        <x:v>Corporate</x:v>
      </x:c>
      <x:c r="F1144" t="str">
        <x:v>Central</x:v>
      </x:c>
      <x:c r="G1144" t="str">
        <x:v>Office Supplies</x:v>
      </x:c>
      <x:c r="H1144" t="str">
        <x:v>Paper</x:v>
      </x:c>
      <x:c r="I1144" s="22" t="n">
        <x:v>19.98</x:v>
      </x:c>
      <x:c r="J1144" s="24" t="n">
        <x:v>2</x:v>
      </x:c>
      <x:c r="K1144" s="26" t="n">
        <x:v>0</x:v>
      </x:c>
      <x:c r="L1144" s="22" t="n">
        <x:v>8.991</x:v>
      </x:c>
      <x:c r="M1144" t="n">
        <x:v>2016</x:v>
      </x:c>
      <x:c r="N1144" s="20" t="n">
        <x:v>42675</x:v>
      </x:c>
    </x:row>
    <x:row r="1145" ht="18" customHeight="1">
      <x:c r="A1145" t="str">
        <x:v>CA-2016-152170</x:v>
      </x:c>
      <x:c r="B1145" s="18" t="n">
        <x:v>42686</x:v>
      </x:c>
      <x:c r="C1145" t="str">
        <x:v>FH-14275</x:v>
      </x:c>
      <x:c r="D1145" t="str">
        <x:v>Frank Hawley</x:v>
      </x:c>
      <x:c r="E1145" t="str">
        <x:v>Corporate</x:v>
      </x:c>
      <x:c r="F1145" t="str">
        <x:v>Central</x:v>
      </x:c>
      <x:c r="G1145" t="str">
        <x:v>Office Supplies</x:v>
      </x:c>
      <x:c r="H1145" t="str">
        <x:v>Art</x:v>
      </x:c>
      <x:c r="I1145" s="22" t="n">
        <x:v>20.58</x:v>
      </x:c>
      <x:c r="J1145" s="24" t="n">
        <x:v>7</x:v>
      </x:c>
      <x:c r="K1145" s="26" t="n">
        <x:v>0</x:v>
      </x:c>
      <x:c r="L1145" s="22" t="n">
        <x:v>5.5566</x:v>
      </x:c>
      <x:c r="M1145" t="n">
        <x:v>2016</x:v>
      </x:c>
      <x:c r="N1145" s="20" t="n">
        <x:v>42675</x:v>
      </x:c>
    </x:row>
    <x:row r="1146" ht="18" customHeight="1">
      <x:c r="A1146" t="str">
        <x:v>CA-2016-152170</x:v>
      </x:c>
      <x:c r="B1146" s="18" t="n">
        <x:v>42686</x:v>
      </x:c>
      <x:c r="C1146" t="str">
        <x:v>FH-14275</x:v>
      </x:c>
      <x:c r="D1146" t="str">
        <x:v>Frank Hawley</x:v>
      </x:c>
      <x:c r="E1146" t="str">
        <x:v>Corporate</x:v>
      </x:c>
      <x:c r="F1146" t="str">
        <x:v>Central</x:v>
      </x:c>
      <x:c r="G1146" t="str">
        <x:v>Office Supplies</x:v>
      </x:c>
      <x:c r="H1146" t="str">
        <x:v>Binders</x:v>
      </x:c>
      <x:c r="I1146" s="22" t="n">
        <x:v>17.38</x:v>
      </x:c>
      <x:c r="J1146" s="24" t="n">
        <x:v>2</x:v>
      </x:c>
      <x:c r="K1146" s="26" t="n">
        <x:v>0</x:v>
      </x:c>
      <x:c r="L1146" s="22" t="n">
        <x:v>8.69</x:v>
      </x:c>
      <x:c r="M1146" t="n">
        <x:v>2016</x:v>
      </x:c>
      <x:c r="N1146" s="20" t="n">
        <x:v>42675</x:v>
      </x:c>
    </x:row>
    <x:row r="1147" ht="18" customHeight="1">
      <x:c r="A1147" t="str">
        <x:v>CA-2014-146969</x:v>
      </x:c>
      <x:c r="B1147" s="18" t="n">
        <x:v>41911</x:v>
      </x:c>
      <x:c r="C1147" t="str">
        <x:v>AP-10915</x:v>
      </x:c>
      <x:c r="D1147" t="str">
        <x:v>Arthur Prichep</x:v>
      </x:c>
      <x:c r="E1147" t="str">
        <x:v>Consumer</x:v>
      </x:c>
      <x:c r="F1147" t="str">
        <x:v>West</x:v>
      </x:c>
      <x:c r="G1147" t="str">
        <x:v>Furniture</x:v>
      </x:c>
      <x:c r="H1147" t="str">
        <x:v>Furnishings</x:v>
      </x:c>
      <x:c r="I1147" s="22" t="n">
        <x:v>204.6</x:v>
      </x:c>
      <x:c r="J1147" s="24" t="n">
        <x:v>2</x:v>
      </x:c>
      <x:c r="K1147" s="26" t="n">
        <x:v>0</x:v>
      </x:c>
      <x:c r="L1147" s="22" t="n">
        <x:v>53.196</x:v>
      </x:c>
      <x:c r="M1147" t="n">
        <x:v>2014</x:v>
      </x:c>
      <x:c r="N1147" s="20" t="n">
        <x:v>41883</x:v>
      </x:c>
    </x:row>
    <x:row r="1148" ht="18" customHeight="1">
      <x:c r="A1148" t="str">
        <x:v>CA-2014-146969</x:v>
      </x:c>
      <x:c r="B1148" s="18" t="n">
        <x:v>41911</x:v>
      </x:c>
      <x:c r="C1148" t="str">
        <x:v>AP-10915</x:v>
      </x:c>
      <x:c r="D1148" t="str">
        <x:v>Arthur Prichep</x:v>
      </x:c>
      <x:c r="E1148" t="str">
        <x:v>Consumer</x:v>
      </x:c>
      <x:c r="F1148" t="str">
        <x:v>West</x:v>
      </x:c>
      <x:c r="G1148" t="str">
        <x:v>Office Supplies</x:v>
      </x:c>
      <x:c r="H1148" t="str">
        <x:v>Fasteners</x:v>
      </x:c>
      <x:c r="I1148" s="22" t="n">
        <x:v>8.72</x:v>
      </x:c>
      <x:c r="J1148" s="24" t="n">
        <x:v>4</x:v>
      </x:c>
      <x:c r="K1148" s="26" t="n">
        <x:v>0</x:v>
      </x:c>
      <x:c r="L1148" s="22" t="n">
        <x:v>2.8776</x:v>
      </x:c>
      <x:c r="M1148" t="n">
        <x:v>2014</x:v>
      </x:c>
      <x:c r="N1148" s="20" t="n">
        <x:v>41883</x:v>
      </x:c>
    </x:row>
    <x:row r="1149" ht="18" customHeight="1">
      <x:c r="A1149" t="str">
        <x:v>CA-2014-146969</x:v>
      </x:c>
      <x:c r="B1149" s="18" t="n">
        <x:v>41911</x:v>
      </x:c>
      <x:c r="C1149" t="str">
        <x:v>AP-10915</x:v>
      </x:c>
      <x:c r="D1149" t="str">
        <x:v>Arthur Prichep</x:v>
      </x:c>
      <x:c r="E1149" t="str">
        <x:v>Consumer</x:v>
      </x:c>
      <x:c r="F1149" t="str">
        <x:v>West</x:v>
      </x:c>
      <x:c r="G1149" t="str">
        <x:v>Office Supplies</x:v>
      </x:c>
      <x:c r="H1149" t="str">
        <x:v>Paper</x:v>
      </x:c>
      <x:c r="I1149" s="22" t="n">
        <x:v>6.48</x:v>
      </x:c>
      <x:c r="J1149" s="24" t="n">
        <x:v>1</x:v>
      </x:c>
      <x:c r="K1149" s="26" t="n">
        <x:v>0</x:v>
      </x:c>
      <x:c r="L1149" s="22" t="n">
        <x:v>3.1104000000000003</x:v>
      </x:c>
      <x:c r="M1149" t="n">
        <x:v>2014</x:v>
      </x:c>
      <x:c r="N1149" s="20" t="n">
        <x:v>41883</x:v>
      </x:c>
    </x:row>
    <x:row r="1150" ht="18" customHeight="1">
      <x:c r="A1150" t="str">
        <x:v>CA-2014-146969</x:v>
      </x:c>
      <x:c r="B1150" s="18" t="n">
        <x:v>41911</x:v>
      </x:c>
      <x:c r="C1150" t="str">
        <x:v>AP-10915</x:v>
      </x:c>
      <x:c r="D1150" t="str">
        <x:v>Arthur Prichep</x:v>
      </x:c>
      <x:c r="E1150" t="str">
        <x:v>Consumer</x:v>
      </x:c>
      <x:c r="F1150" t="str">
        <x:v>West</x:v>
      </x:c>
      <x:c r="G1150" t="str">
        <x:v>Technology</x:v>
      </x:c>
      <x:c r="H1150" t="str">
        <x:v>Machines</x:v>
      </x:c>
      <x:c r="I1150" s="22" t="n">
        <x:v>686.32</x:v>
      </x:c>
      <x:c r="J1150" s="24" t="n">
        <x:v>2</x:v>
      </x:c>
      <x:c r="K1150" s="26" t="n">
        <x:v>0.2</x:v>
      </x:c>
      <x:c r="L1150" s="22" t="n">
        <x:v>223.05399999999995</x:v>
      </x:c>
      <x:c r="M1150" t="n">
        <x:v>2014</x:v>
      </x:c>
      <x:c r="N1150" s="20" t="n">
        <x:v>41883</x:v>
      </x:c>
    </x:row>
    <x:row r="1151" ht="18" customHeight="1">
      <x:c r="A1151" t="str">
        <x:v>CA-2014-146969</x:v>
      </x:c>
      <x:c r="B1151" s="18" t="n">
        <x:v>41911</x:v>
      </x:c>
      <x:c r="C1151" t="str">
        <x:v>AP-10915</x:v>
      </x:c>
      <x:c r="D1151" t="str">
        <x:v>Arthur Prichep</x:v>
      </x:c>
      <x:c r="E1151" t="str">
        <x:v>Consumer</x:v>
      </x:c>
      <x:c r="F1151" t="str">
        <x:v>West</x:v>
      </x:c>
      <x:c r="G1151" t="str">
        <x:v>Office Supplies</x:v>
      </x:c>
      <x:c r="H1151" t="str">
        <x:v>Storage</x:v>
      </x:c>
      <x:c r="I1151" s="22" t="n">
        <x:v>62.18</x:v>
      </x:c>
      <x:c r="J1151" s="24" t="n">
        <x:v>1</x:v>
      </x:c>
      <x:c r="K1151" s="26" t="n">
        <x:v>0</x:v>
      </x:c>
      <x:c r="L1151" s="22" t="n">
        <x:v>16.788600000000002</x:v>
      </x:c>
      <x:c r="M1151" t="n">
        <x:v>2014</x:v>
      </x:c>
      <x:c r="N1151" s="20" t="n">
        <x:v>41883</x:v>
      </x:c>
    </x:row>
    <x:row r="1152" ht="18" customHeight="1">
      <x:c r="A1152" t="str">
        <x:v>CA-2015-112452</x:v>
      </x:c>
      <x:c r="B1152" s="18" t="n">
        <x:v>42098</x:v>
      </x:c>
      <x:c r="C1152" t="str">
        <x:v>NC-18340</x:v>
      </x:c>
      <x:c r="D1152" t="str">
        <x:v>Nat Carroll</x:v>
      </x:c>
      <x:c r="E1152" t="str">
        <x:v>Consumer</x:v>
      </x:c>
      <x:c r="F1152" t="str">
        <x:v>Central</x:v>
      </x:c>
      <x:c r="G1152" t="str">
        <x:v>Office Supplies</x:v>
      </x:c>
      <x:c r="H1152" t="str">
        <x:v>Appliances</x:v>
      </x:c>
      <x:c r="I1152" s="22" t="n">
        <x:v>644.076</x:v>
      </x:c>
      <x:c r="J1152" s="24" t="n">
        <x:v>2</x:v>
      </x:c>
      <x:c r="K1152" s="26" t="n">
        <x:v>0.1</x:v>
      </x:c>
      <x:c r="L1152" s="22" t="n">
        <x:v>107.34599999999996</x:v>
      </x:c>
      <x:c r="M1152" t="n">
        <x:v>2015</x:v>
      </x:c>
      <x:c r="N1152" s="20" t="n">
        <x:v>42095</x:v>
      </x:c>
    </x:row>
    <x:row r="1153" ht="18" customHeight="1">
      <x:c r="A1153" t="str">
        <x:v>CA-2015-112452</x:v>
      </x:c>
      <x:c r="B1153" s="18" t="n">
        <x:v>42098</x:v>
      </x:c>
      <x:c r="C1153" t="str">
        <x:v>NC-18340</x:v>
      </x:c>
      <x:c r="D1153" t="str">
        <x:v>Nat Carroll</x:v>
      </x:c>
      <x:c r="E1153" t="str">
        <x:v>Consumer</x:v>
      </x:c>
      <x:c r="F1153" t="str">
        <x:v>Central</x:v>
      </x:c>
      <x:c r="G1153" t="str">
        <x:v>Office Supplies</x:v>
      </x:c>
      <x:c r="H1153" t="str">
        <x:v>Fasteners</x:v>
      </x:c>
      <x:c r="I1153" s="22" t="n">
        <x:v>5.84</x:v>
      </x:c>
      <x:c r="J1153" s="24" t="n">
        <x:v>2</x:v>
      </x:c>
      <x:c r="K1153" s="26" t="n">
        <x:v>0</x:v>
      </x:c>
      <x:c r="L1153" s="22" t="n">
        <x:v>2.6279999999999997</x:v>
      </x:c>
      <x:c r="M1153" t="n">
        <x:v>2015</x:v>
      </x:c>
      <x:c r="N1153" s="20" t="n">
        <x:v>42095</x:v>
      </x:c>
    </x:row>
    <x:row r="1154" ht="18" customHeight="1">
      <x:c r="A1154" t="str">
        <x:v>CA-2015-112452</x:v>
      </x:c>
      <x:c r="B1154" s="18" t="n">
        <x:v>42098</x:v>
      </x:c>
      <x:c r="C1154" t="str">
        <x:v>NC-18340</x:v>
      </x:c>
      <x:c r="D1154" t="str">
        <x:v>Nat Carroll</x:v>
      </x:c>
      <x:c r="E1154" t="str">
        <x:v>Consumer</x:v>
      </x:c>
      <x:c r="F1154" t="str">
        <x:v>Central</x:v>
      </x:c>
      <x:c r="G1154" t="str">
        <x:v>Office Supplies</x:v>
      </x:c>
      <x:c r="H1154" t="str">
        <x:v>Binders</x:v>
      </x:c>
      <x:c r="I1154" s="22" t="n">
        <x:v>12.76</x:v>
      </x:c>
      <x:c r="J1154" s="24" t="n">
        <x:v>2</x:v>
      </x:c>
      <x:c r="K1154" s="26" t="n">
        <x:v>0</x:v>
      </x:c>
      <x:c r="L1154" s="22" t="n">
        <x:v>5.869599999999999</x:v>
      </x:c>
      <x:c r="M1154" t="n">
        <x:v>2015</x:v>
      </x:c>
      <x:c r="N1154" s="20" t="n">
        <x:v>42095</x:v>
      </x:c>
    </x:row>
    <x:row r="1155" ht="18" customHeight="1">
      <x:c r="A1155" t="str">
        <x:v>CA-2015-112452</x:v>
      </x:c>
      <x:c r="B1155" s="18" t="n">
        <x:v>42098</x:v>
      </x:c>
      <x:c r="C1155" t="str">
        <x:v>NC-18340</x:v>
      </x:c>
      <x:c r="D1155" t="str">
        <x:v>Nat Carroll</x:v>
      </x:c>
      <x:c r="E1155" t="str">
        <x:v>Consumer</x:v>
      </x:c>
      <x:c r="F1155" t="str">
        <x:v>Central</x:v>
      </x:c>
      <x:c r="G1155" t="str">
        <x:v>Technology</x:v>
      </x:c>
      <x:c r="H1155" t="str">
        <x:v>Phones</x:v>
      </x:c>
      <x:c r="I1155" s="22" t="n">
        <x:v>10.95</x:v>
      </x:c>
      <x:c r="J1155" s="24" t="n">
        <x:v>1</x:v>
      </x:c>
      <x:c r="K1155" s="26" t="n">
        <x:v>0</x:v>
      </x:c>
      <x:c r="L1155" s="22" t="n">
        <x:v>0.43799999999999883</x:v>
      </x:c>
      <x:c r="M1155" t="n">
        <x:v>2015</x:v>
      </x:c>
      <x:c r="N1155" s="20" t="n">
        <x:v>42095</x:v>
      </x:c>
    </x:row>
    <x:row r="1156" ht="18" customHeight="1">
      <x:c r="A1156" t="str">
        <x:v>CA-2015-112452</x:v>
      </x:c>
      <x:c r="B1156" s="18" t="n">
        <x:v>42098</x:v>
      </x:c>
      <x:c r="C1156" t="str">
        <x:v>NC-18340</x:v>
      </x:c>
      <x:c r="D1156" t="str">
        <x:v>Nat Carroll</x:v>
      </x:c>
      <x:c r="E1156" t="str">
        <x:v>Consumer</x:v>
      </x:c>
      <x:c r="F1156" t="str">
        <x:v>Central</x:v>
      </x:c>
      <x:c r="G1156" t="str">
        <x:v>Technology</x:v>
      </x:c>
      <x:c r="H1156" t="str">
        <x:v>Copiers</x:v>
      </x:c>
      <x:c r="I1156" s="22" t="n">
        <x:v>599.98</x:v>
      </x:c>
      <x:c r="J1156" s="24" t="n">
        <x:v>2</x:v>
      </x:c>
      <x:c r="K1156" s="26" t="n">
        <x:v>0</x:v>
      </x:c>
      <x:c r="L1156" s="22" t="n">
        <x:v>209.993</x:v>
      </x:c>
      <x:c r="M1156" t="n">
        <x:v>2015</x:v>
      </x:c>
      <x:c r="N1156" s="20" t="n">
        <x:v>42095</x:v>
      </x:c>
    </x:row>
    <x:row r="1157" ht="18" customHeight="1">
      <x:c r="A1157" t="str">
        <x:v>CA-2015-113971</x:v>
      </x:c>
      <x:c r="B1157" s="18" t="n">
        <x:v>42132</x:v>
      </x:c>
      <x:c r="C1157" t="str">
        <x:v>CB-12535</x:v>
      </x:c>
      <x:c r="D1157" t="str">
        <x:v>Claudia Bergmann</x:v>
      </x:c>
      <x:c r="E1157" t="str">
        <x:v>Corporate</x:v>
      </x:c>
      <x:c r="F1157" t="str">
        <x:v>East</x:v>
      </x:c>
      <x:c r="G1157" t="str">
        <x:v>Furniture</x:v>
      </x:c>
      <x:c r="H1157" t="str">
        <x:v>Furnishings</x:v>
      </x:c>
      <x:c r="I1157" s="22" t="n">
        <x:v>8.352</x:v>
      </x:c>
      <x:c r="J1157" s="24" t="n">
        <x:v>6</x:v>
      </x:c>
      <x:c r="K1157" s="26" t="n">
        <x:v>0.2</x:v>
      </x:c>
      <x:c r="L1157" s="22" t="n">
        <x:v>1.2527999999999997</x:v>
      </x:c>
      <x:c r="M1157" t="n">
        <x:v>2015</x:v>
      </x:c>
      <x:c r="N1157" s="20" t="n">
        <x:v>42125</x:v>
      </x:c>
    </x:row>
    <x:row r="1158" ht="18" customHeight="1">
      <x:c r="A1158" t="str">
        <x:v>CA-2017-160395</x:v>
      </x:c>
      <x:c r="B1158" s="18" t="n">
        <x:v>42735</x:v>
      </x:c>
      <x:c r="C1158" t="str">
        <x:v>KL-16555</x:v>
      </x:c>
      <x:c r="D1158" t="str">
        <x:v>Kelly Lampkin</x:v>
      </x:c>
      <x:c r="E1158" t="str">
        <x:v>Corporate</x:v>
      </x:c>
      <x:c r="F1158" t="str">
        <x:v>West</x:v>
      </x:c>
      <x:c r="G1158" t="str">
        <x:v>Office Supplies</x:v>
      </x:c>
      <x:c r="H1158" t="str">
        <x:v>Art</x:v>
      </x:c>
      <x:c r="I1158" s="22" t="n">
        <x:v>3.64</x:v>
      </x:c>
      <x:c r="J1158" s="24" t="n">
        <x:v>2</x:v>
      </x:c>
      <x:c r="K1158" s="26" t="n">
        <x:v>0</x:v>
      </x:c>
      <x:c r="L1158" s="22" t="n">
        <x:v>1.638</x:v>
      </x:c>
      <x:c r="M1158" t="n">
        <x:v>2016</x:v>
      </x:c>
      <x:c r="N1158" s="20" t="n">
        <x:v>42705</x:v>
      </x:c>
    </x:row>
    <x:row r="1159" ht="18" customHeight="1">
      <x:c r="A1159" t="str">
        <x:v>CA-2017-160395</x:v>
      </x:c>
      <x:c r="B1159" s="18" t="n">
        <x:v>42735</x:v>
      </x:c>
      <x:c r="C1159" t="str">
        <x:v>KL-16555</x:v>
      </x:c>
      <x:c r="D1159" t="str">
        <x:v>Kelly Lampkin</x:v>
      </x:c>
      <x:c r="E1159" t="str">
        <x:v>Corporate</x:v>
      </x:c>
      <x:c r="F1159" t="str">
        <x:v>West</x:v>
      </x:c>
      <x:c r="G1159" t="str">
        <x:v>Office Supplies</x:v>
      </x:c>
      <x:c r="H1159" t="str">
        <x:v>Binders</x:v>
      </x:c>
      <x:c r="I1159" s="22" t="n">
        <x:v>159.768</x:v>
      </x:c>
      <x:c r="J1159" s="24" t="n">
        <x:v>7</x:v>
      </x:c>
      <x:c r="K1159" s="26" t="n">
        <x:v>0.2</x:v>
      </x:c>
      <x:c r="L1159" s="22" t="n">
        <x:v>53.92170000000001</x:v>
      </x:c>
      <x:c r="M1159" t="n">
        <x:v>2016</x:v>
      </x:c>
      <x:c r="N1159" s="20" t="n">
        <x:v>42705</x:v>
      </x:c>
    </x:row>
    <x:row r="1160" ht="18" customHeight="1">
      <x:c r="A1160" t="str">
        <x:v>CA-2014-136567</x:v>
      </x:c>
      <x:c r="B1160" s="18" t="n">
        <x:v>41993</x:v>
      </x:c>
      <x:c r="C1160" t="str">
        <x:v>PS-19045</x:v>
      </x:c>
      <x:c r="D1160" t="str">
        <x:v>Penelope Sewall</x:v>
      </x:c>
      <x:c r="E1160" t="str">
        <x:v>Home Office</x:v>
      </x:c>
      <x:c r="F1160" t="str">
        <x:v>South</x:v>
      </x:c>
      <x:c r="G1160" t="str">
        <x:v>Office Supplies</x:v>
      </x:c>
      <x:c r="H1160" t="str">
        <x:v>Storage</x:v>
      </x:c>
      <x:c r="I1160" s="22" t="n">
        <x:v>122.48</x:v>
      </x:c>
      <x:c r="J1160" s="24" t="n">
        <x:v>2</x:v>
      </x:c>
      <x:c r="K1160" s="26" t="n">
        <x:v>0</x:v>
      </x:c>
      <x:c r="L1160" s="22" t="n">
        <x:v>0</x:v>
      </x:c>
      <x:c r="M1160" t="n">
        <x:v>2014</x:v>
      </x:c>
      <x:c r="N1160" s="20" t="n">
        <x:v>41974</x:v>
      </x:c>
    </x:row>
    <x:row r="1161" ht="18" customHeight="1">
      <x:c r="A1161" t="str">
        <x:v>CA-2014-136567</x:v>
      </x:c>
      <x:c r="B1161" s="18" t="n">
        <x:v>41993</x:v>
      </x:c>
      <x:c r="C1161" t="str">
        <x:v>PS-19045</x:v>
      </x:c>
      <x:c r="D1161" t="str">
        <x:v>Penelope Sewall</x:v>
      </x:c>
      <x:c r="E1161" t="str">
        <x:v>Home Office</x:v>
      </x:c>
      <x:c r="F1161" t="str">
        <x:v>South</x:v>
      </x:c>
      <x:c r="G1161" t="str">
        <x:v>Furniture</x:v>
      </x:c>
      <x:c r="H1161" t="str">
        <x:v>Tables</x:v>
      </x:c>
      <x:c r="I1161" s="22" t="n">
        <x:v>2244.48</x:v>
      </x:c>
      <x:c r="J1161" s="24" t="n">
        <x:v>7</x:v>
      </x:c>
      <x:c r="K1161" s="26" t="n">
        <x:v>0</x:v>
      </x:c>
      <x:c r="L1161" s="22" t="n">
        <x:v>493.78559999999993</x:v>
      </x:c>
      <x:c r="M1161" t="n">
        <x:v>2014</x:v>
      </x:c>
      <x:c r="N1161" s="20" t="n">
        <x:v>41974</x:v>
      </x:c>
    </x:row>
    <x:row r="1162" ht="18" customHeight="1">
      <x:c r="A1162" t="str">
        <x:v>CA-2014-136567</x:v>
      </x:c>
      <x:c r="B1162" s="18" t="n">
        <x:v>41993</x:v>
      </x:c>
      <x:c r="C1162" t="str">
        <x:v>PS-19045</x:v>
      </x:c>
      <x:c r="D1162" t="str">
        <x:v>Penelope Sewall</x:v>
      </x:c>
      <x:c r="E1162" t="str">
        <x:v>Home Office</x:v>
      </x:c>
      <x:c r="F1162" t="str">
        <x:v>South</x:v>
      </x:c>
      <x:c r="G1162" t="str">
        <x:v>Office Supplies</x:v>
      </x:c>
      <x:c r="H1162" t="str">
        <x:v>Binders</x:v>
      </x:c>
      <x:c r="I1162" s="22" t="n">
        <x:v>62.31</x:v>
      </x:c>
      <x:c r="J1162" s="24" t="n">
        <x:v>3</x:v>
      </x:c>
      <x:c r="K1162" s="26" t="n">
        <x:v>0</x:v>
      </x:c>
      <x:c r="L1162" s="22" t="n">
        <x:v>29.2857</x:v>
      </x:c>
      <x:c r="M1162" t="n">
        <x:v>2014</x:v>
      </x:c>
      <x:c r="N1162" s="20" t="n">
        <x:v>41974</x:v>
      </x:c>
    </x:row>
    <x:row r="1163" ht="18" customHeight="1">
      <x:c r="A1163" t="str">
        <x:v>CA-2014-136567</x:v>
      </x:c>
      <x:c r="B1163" s="18" t="n">
        <x:v>41993</x:v>
      </x:c>
      <x:c r="C1163" t="str">
        <x:v>PS-19045</x:v>
      </x:c>
      <x:c r="D1163" t="str">
        <x:v>Penelope Sewall</x:v>
      </x:c>
      <x:c r="E1163" t="str">
        <x:v>Home Office</x:v>
      </x:c>
      <x:c r="F1163" t="str">
        <x:v>South</x:v>
      </x:c>
      <x:c r="G1163" t="str">
        <x:v>Furniture</x:v>
      </x:c>
      <x:c r="H1163" t="str">
        <x:v>Tables</x:v>
      </x:c>
      <x:c r="I1163" s="22" t="n">
        <x:v>455.1</x:v>
      </x:c>
      <x:c r="J1163" s="24" t="n">
        <x:v>2</x:v>
      </x:c>
      <x:c r="K1163" s="26" t="n">
        <x:v>0</x:v>
      </x:c>
      <x:c r="L1163" s="22" t="n">
        <x:v>100.12200000000001</x:v>
      </x:c>
      <x:c r="M1163" t="n">
        <x:v>2014</x:v>
      </x:c>
      <x:c r="N1163" s="20" t="n">
        <x:v>41974</x:v>
      </x:c>
    </x:row>
    <x:row r="1164" ht="18" customHeight="1">
      <x:c r="A1164" t="str">
        <x:v>CA-2016-149314</x:v>
      </x:c>
      <x:c r="B1164" s="18" t="n">
        <x:v>42553</x:v>
      </x:c>
      <x:c r="C1164" t="str">
        <x:v>GB-14530</x:v>
      </x:c>
      <x:c r="D1164" t="str">
        <x:v>George Bell</x:v>
      </x:c>
      <x:c r="E1164" t="str">
        <x:v>Corporate</x:v>
      </x:c>
      <x:c r="F1164" t="str">
        <x:v>West</x:v>
      </x:c>
      <x:c r="G1164" t="str">
        <x:v>Furniture</x:v>
      </x:c>
      <x:c r="H1164" t="str">
        <x:v>Chairs</x:v>
      </x:c>
      <x:c r="I1164" s="22" t="n">
        <x:v>195.184</x:v>
      </x:c>
      <x:c r="J1164" s="24" t="n">
        <x:v>1</x:v>
      </x:c>
      <x:c r="K1164" s="26" t="n">
        <x:v>0.2</x:v>
      </x:c>
      <x:c r="L1164" s="22" t="n">
        <x:v>19.518400000000007</x:v>
      </x:c>
      <x:c r="M1164" t="n">
        <x:v>2016</x:v>
      </x:c>
      <x:c r="N1164" s="20" t="n">
        <x:v>42552</x:v>
      </x:c>
    </x:row>
    <x:row r="1165" ht="18" customHeight="1">
      <x:c r="A1165" t="str">
        <x:v>CA-2017-147039</x:v>
      </x:c>
      <x:c r="B1165" s="18" t="n">
        <x:v>42915</x:v>
      </x:c>
      <x:c r="C1165" t="str">
        <x:v>AA-10315</x:v>
      </x:c>
      <x:c r="D1165" t="str">
        <x:v>Alex Avila</x:v>
      </x:c>
      <x:c r="E1165" t="str">
        <x:v>Consumer</x:v>
      </x:c>
      <x:c r="F1165" t="str">
        <x:v>Central</x:v>
      </x:c>
      <x:c r="G1165" t="str">
        <x:v>Office Supplies</x:v>
      </x:c>
      <x:c r="H1165" t="str">
        <x:v>Appliances</x:v>
      </x:c>
      <x:c r="I1165" s="22" t="n">
        <x:v>362.94</x:v>
      </x:c>
      <x:c r="J1165" s="24" t="n">
        <x:v>3</x:v>
      </x:c>
      <x:c r="K1165" s="26" t="n">
        <x:v>0</x:v>
      </x:c>
      <x:c r="L1165" s="22" t="n">
        <x:v>90.73500000000001</x:v>
      </x:c>
      <x:c r="M1165" t="n">
        <x:v>2017</x:v>
      </x:c>
      <x:c r="N1165" s="20" t="n">
        <x:v>42887</x:v>
      </x:c>
    </x:row>
    <x:row r="1166" ht="18" customHeight="1">
      <x:c r="A1166" t="str">
        <x:v>CA-2017-147039</x:v>
      </x:c>
      <x:c r="B1166" s="18" t="n">
        <x:v>42915</x:v>
      </x:c>
      <x:c r="C1166" t="str">
        <x:v>AA-10315</x:v>
      </x:c>
      <x:c r="D1166" t="str">
        <x:v>Alex Avila</x:v>
      </x:c>
      <x:c r="E1166" t="str">
        <x:v>Consumer</x:v>
      </x:c>
      <x:c r="F1166" t="str">
        <x:v>Central</x:v>
      </x:c>
      <x:c r="G1166" t="str">
        <x:v>Office Supplies</x:v>
      </x:c>
      <x:c r="H1166" t="str">
        <x:v>Binders</x:v>
      </x:c>
      <x:c r="I1166" s="22" t="n">
        <x:v>11.54</x:v>
      </x:c>
      <x:c r="J1166" s="24" t="n">
        <x:v>2</x:v>
      </x:c>
      <x:c r="K1166" s="26" t="n">
        <x:v>0</x:v>
      </x:c>
      <x:c r="L1166" s="22" t="n">
        <x:v>5.77</x:v>
      </x:c>
      <x:c r="M1166" t="n">
        <x:v>2017</x:v>
      </x:c>
      <x:c r="N1166" s="20" t="n">
        <x:v>42887</x:v>
      </x:c>
    </x:row>
    <x:row r="1167" ht="18" customHeight="1">
      <x:c r="A1167" t="str">
        <x:v>CA-2014-126522</x:v>
      </x:c>
      <x:c r="B1167" s="18" t="n">
        <x:v>41883</x:v>
      </x:c>
      <x:c r="C1167" t="str">
        <x:v>LT-16765</x:v>
      </x:c>
      <x:c r="D1167" t="str">
        <x:v>Larry Tron</x:v>
      </x:c>
      <x:c r="E1167" t="str">
        <x:v>Consumer</x:v>
      </x:c>
      <x:c r="F1167" t="str">
        <x:v>West</x:v>
      </x:c>
      <x:c r="G1167" t="str">
        <x:v>Office Supplies</x:v>
      </x:c>
      <x:c r="H1167" t="str">
        <x:v>Art</x:v>
      </x:c>
      <x:c r="I1167" s="22" t="n">
        <x:v>53.94</x:v>
      </x:c>
      <x:c r="J1167" s="24" t="n">
        <x:v>3</x:v>
      </x:c>
      <x:c r="K1167" s="26" t="n">
        <x:v>0</x:v>
      </x:c>
      <x:c r="L1167" s="22" t="n">
        <x:v>15.642599999999995</x:v>
      </x:c>
      <x:c r="M1167" t="n">
        <x:v>2014</x:v>
      </x:c>
      <x:c r="N1167" s="20" t="n">
        <x:v>41883</x:v>
      </x:c>
    </x:row>
    <x:row r="1168" ht="18" customHeight="1">
      <x:c r="A1168" t="str">
        <x:v>CA-2014-127964</x:v>
      </x:c>
      <x:c r="B1168" s="18" t="n">
        <x:v>41701</x:v>
      </x:c>
      <x:c r="C1168" t="str">
        <x:v>AP-10720</x:v>
      </x:c>
      <x:c r="D1168" t="str">
        <x:v>Anne Pryor</x:v>
      </x:c>
      <x:c r="E1168" t="str">
        <x:v>Home Office</x:v>
      </x:c>
      <x:c r="F1168" t="str">
        <x:v>East</x:v>
      </x:c>
      <x:c r="G1168" t="str">
        <x:v>Technology</x:v>
      </x:c>
      <x:c r="H1168" t="str">
        <x:v>Phones</x:v>
      </x:c>
      <x:c r="I1168" s="22" t="n">
        <x:v>9.99</x:v>
      </x:c>
      <x:c r="J1168" s="24" t="n">
        <x:v>1</x:v>
      </x:c>
      <x:c r="K1168" s="26" t="n">
        <x:v>0</x:v>
      </x:c>
      <x:c r="L1168" s="22" t="n">
        <x:v>4.5954</x:v>
      </x:c>
      <x:c r="M1168" t="n">
        <x:v>2014</x:v>
      </x:c>
      <x:c r="N1168" s="20" t="n">
        <x:v>41699</x:v>
      </x:c>
    </x:row>
    <x:row r="1169" ht="18" customHeight="1">
      <x:c r="A1169" t="str">
        <x:v>CA-2014-127964</x:v>
      </x:c>
      <x:c r="B1169" s="18" t="n">
        <x:v>41701</x:v>
      </x:c>
      <x:c r="C1169" t="str">
        <x:v>AP-10720</x:v>
      </x:c>
      <x:c r="D1169" t="str">
        <x:v>Anne Pryor</x:v>
      </x:c>
      <x:c r="E1169" t="str">
        <x:v>Home Office</x:v>
      </x:c>
      <x:c r="F1169" t="str">
        <x:v>East</x:v>
      </x:c>
      <x:c r="G1169" t="str">
        <x:v>Office Supplies</x:v>
      </x:c>
      <x:c r="H1169" t="str">
        <x:v>Binders</x:v>
      </x:c>
      <x:c r="I1169" s="22" t="n">
        <x:v>125.76</x:v>
      </x:c>
      <x:c r="J1169" s="24" t="n">
        <x:v>3</x:v>
      </x:c>
      <x:c r="K1169" s="26" t="n">
        <x:v>0.2</x:v>
      </x:c>
      <x:c r="L1169" s="22" t="n">
        <x:v>40.872</x:v>
      </x:c>
      <x:c r="M1169" t="n">
        <x:v>2014</x:v>
      </x:c>
      <x:c r="N1169" s="20" t="n">
        <x:v>41699</x:v>
      </x:c>
    </x:row>
    <x:row r="1170" ht="18" customHeight="1">
      <x:c r="A1170" t="str">
        <x:v>CA-2014-127964</x:v>
      </x:c>
      <x:c r="B1170" s="18" t="n">
        <x:v>41701</x:v>
      </x:c>
      <x:c r="C1170" t="str">
        <x:v>AP-10720</x:v>
      </x:c>
      <x:c r="D1170" t="str">
        <x:v>Anne Pryor</x:v>
      </x:c>
      <x:c r="E1170" t="str">
        <x:v>Home Office</x:v>
      </x:c>
      <x:c r="F1170" t="str">
        <x:v>East</x:v>
      </x:c>
      <x:c r="G1170" t="str">
        <x:v>Office Supplies</x:v>
      </x:c>
      <x:c r="H1170" t="str">
        <x:v>Binders</x:v>
      </x:c>
      <x:c r="I1170" s="22" t="n">
        <x:v>25.32</x:v>
      </x:c>
      <x:c r="J1170" s="24" t="n">
        <x:v>5</x:v>
      </x:c>
      <x:c r="K1170" s="26" t="n">
        <x:v>0.2</x:v>
      </x:c>
      <x:c r="L1170" s="22" t="n">
        <x:v>9.178500000000001</x:v>
      </x:c>
      <x:c r="M1170" t="n">
        <x:v>2014</x:v>
      </x:c>
      <x:c r="N1170" s="20" t="n">
        <x:v>41699</x:v>
      </x:c>
    </x:row>
    <x:row r="1171" ht="18" customHeight="1">
      <x:c r="A1171" t="str">
        <x:v>CA-2014-117709</x:v>
      </x:c>
      <x:c r="B1171" s="18" t="n">
        <x:v>41763</x:v>
      </x:c>
      <x:c r="C1171" t="str">
        <x:v>PM-18940</x:v>
      </x:c>
      <x:c r="D1171" t="str">
        <x:v>Paul MacIntyre</x:v>
      </x:c>
      <x:c r="E1171" t="str">
        <x:v>Consumer</x:v>
      </x:c>
      <x:c r="F1171" t="str">
        <x:v>Central</x:v>
      </x:c>
      <x:c r="G1171" t="str">
        <x:v>Office Supplies</x:v>
      </x:c>
      <x:c r="H1171" t="str">
        <x:v>Binders</x:v>
      </x:c>
      <x:c r="I1171" s="22" t="n">
        <x:v>46.8</x:v>
      </x:c>
      <x:c r="J1171" s="24" t="n">
        <x:v>4</x:v>
      </x:c>
      <x:c r="K1171" s="26" t="n">
        <x:v>0</x:v>
      </x:c>
      <x:c r="L1171" s="22" t="n">
        <x:v>21.059999999999995</x:v>
      </x:c>
      <x:c r="M1171" t="n">
        <x:v>2014</x:v>
      </x:c>
      <x:c r="N1171" s="20" t="n">
        <x:v>41760</x:v>
      </x:c>
    </x:row>
    <x:row r="1172" ht="18" customHeight="1">
      <x:c r="A1172" t="str">
        <x:v>CA-2015-125416</x:v>
      </x:c>
      <x:c r="B1172" s="18" t="n">
        <x:v>42310</x:v>
      </x:c>
      <x:c r="C1172" t="str">
        <x:v>KC-16540</x:v>
      </x:c>
      <x:c r="D1172" t="str">
        <x:v>Kelly Collister</x:v>
      </x:c>
      <x:c r="E1172" t="str">
        <x:v>Consumer</x:v>
      </x:c>
      <x:c r="F1172" t="str">
        <x:v>West</x:v>
      </x:c>
      <x:c r="G1172" t="str">
        <x:v>Technology</x:v>
      </x:c>
      <x:c r="H1172" t="str">
        <x:v>Accessories</x:v>
      </x:c>
      <x:c r="I1172" s="22" t="n">
        <x:v>447.93</x:v>
      </x:c>
      <x:c r="J1172" s="24" t="n">
        <x:v>9</x:v>
      </x:c>
      <x:c r="K1172" s="26" t="n">
        <x:v>0</x:v>
      </x:c>
      <x:c r="L1172" s="22" t="n">
        <x:v>49.27229999999999</x:v>
      </x:c>
      <x:c r="M1172" t="n">
        <x:v>2015</x:v>
      </x:c>
      <x:c r="N1172" s="20" t="n">
        <x:v>42309</x:v>
      </x:c>
    </x:row>
    <x:row r="1173" ht="18" customHeight="1">
      <x:c r="A1173" t="str">
        <x:v>CA-2017-145226</x:v>
      </x:c>
      <x:c r="B1173" s="18" t="n">
        <x:v>43077</x:v>
      </x:c>
      <x:c r="C1173" t="str">
        <x:v>DL-13315</x:v>
      </x:c>
      <x:c r="D1173" t="str">
        <x:v>Delfina Latchford</x:v>
      </x:c>
      <x:c r="E1173" t="str">
        <x:v>Consumer</x:v>
      </x:c>
      <x:c r="F1173" t="str">
        <x:v>East</x:v>
      </x:c>
      <x:c r="G1173" t="str">
        <x:v>Furniture</x:v>
      </x:c>
      <x:c r="H1173" t="str">
        <x:v>Furnishings</x:v>
      </x:c>
      <x:c r="I1173" s="22" t="n">
        <x:v>109.48</x:v>
      </x:c>
      <x:c r="J1173" s="24" t="n">
        <x:v>2</x:v>
      </x:c>
      <x:c r="K1173" s="26" t="n">
        <x:v>0</x:v>
      </x:c>
      <x:c r="L1173" s="22" t="n">
        <x:v>33.9388</x:v>
      </x:c>
      <x:c r="M1173" t="n">
        <x:v>2017</x:v>
      </x:c>
      <x:c r="N1173" s="20" t="n">
        <x:v>43070</x:v>
      </x:c>
    </x:row>
    <x:row r="1174" ht="18" customHeight="1">
      <x:c r="A1174" t="str">
        <x:v>CA-2017-145226</x:v>
      </x:c>
      <x:c r="B1174" s="18" t="n">
        <x:v>43077</x:v>
      </x:c>
      <x:c r="C1174" t="str">
        <x:v>DL-13315</x:v>
      </x:c>
      <x:c r="D1174" t="str">
        <x:v>Delfina Latchford</x:v>
      </x:c>
      <x:c r="E1174" t="str">
        <x:v>Consumer</x:v>
      </x:c>
      <x:c r="F1174" t="str">
        <x:v>East</x:v>
      </x:c>
      <x:c r="G1174" t="str">
        <x:v>Office Supplies</x:v>
      </x:c>
      <x:c r="H1174" t="str">
        <x:v>Storage</x:v>
      </x:c>
      <x:c r="I1174" s="22" t="n">
        <x:v>272.94</x:v>
      </x:c>
      <x:c r="J1174" s="24" t="n">
        <x:v>3</x:v>
      </x:c>
      <x:c r="K1174" s="26" t="n">
        <x:v>0</x:v>
      </x:c>
      <x:c r="L1174" s="22" t="n">
        <x:v>0</x:v>
      </x:c>
      <x:c r="M1174" t="n">
        <x:v>2017</x:v>
      </x:c>
      <x:c r="N1174" s="20" t="n">
        <x:v>43070</x:v>
      </x:c>
    </x:row>
    <x:row r="1175" ht="18" customHeight="1">
      <x:c r="A1175" t="str">
        <x:v>CA-2017-145226</x:v>
      </x:c>
      <x:c r="B1175" s="18" t="n">
        <x:v>43077</x:v>
      </x:c>
      <x:c r="C1175" t="str">
        <x:v>DL-13315</x:v>
      </x:c>
      <x:c r="D1175" t="str">
        <x:v>Delfina Latchford</x:v>
      </x:c>
      <x:c r="E1175" t="str">
        <x:v>Consumer</x:v>
      </x:c>
      <x:c r="F1175" t="str">
        <x:v>East</x:v>
      </x:c>
      <x:c r="G1175" t="str">
        <x:v>Office Supplies</x:v>
      </x:c>
      <x:c r="H1175" t="str">
        <x:v>Paper</x:v>
      </x:c>
      <x:c r="I1175" s="22" t="n">
        <x:v>19.44</x:v>
      </x:c>
      <x:c r="J1175" s="24" t="n">
        <x:v>3</x:v>
      </x:c>
      <x:c r="K1175" s="26" t="n">
        <x:v>0</x:v>
      </x:c>
      <x:c r="L1175" s="22" t="n">
        <x:v>9.3312</x:v>
      </x:c>
      <x:c r="M1175" t="n">
        <x:v>2017</x:v>
      </x:c>
      <x:c r="N1175" s="20" t="n">
        <x:v>43070</x:v>
      </x:c>
    </x:row>
    <x:row r="1176" ht="18" customHeight="1">
      <x:c r="A1176" t="str">
        <x:v>CA-2017-145226</x:v>
      </x:c>
      <x:c r="B1176" s="18" t="n">
        <x:v>43077</x:v>
      </x:c>
      <x:c r="C1176" t="str">
        <x:v>DL-13315</x:v>
      </x:c>
      <x:c r="D1176" t="str">
        <x:v>Delfina Latchford</x:v>
      </x:c>
      <x:c r="E1176" t="str">
        <x:v>Consumer</x:v>
      </x:c>
      <x:c r="F1176" t="str">
        <x:v>East</x:v>
      </x:c>
      <x:c r="G1176" t="str">
        <x:v>Office Supplies</x:v>
      </x:c>
      <x:c r="H1176" t="str">
        <x:v>Storage</x:v>
      </x:c>
      <x:c r="I1176" s="22" t="n">
        <x:v>31.92</x:v>
      </x:c>
      <x:c r="J1176" s="24" t="n">
        <x:v>4</x:v>
      </x:c>
      <x:c r="K1176" s="26" t="n">
        <x:v>0</x:v>
      </x:c>
      <x:c r="L1176" s="22" t="n">
        <x:v>8.299199999999999</x:v>
      </x:c>
      <x:c r="M1176" t="n">
        <x:v>2017</x:v>
      </x:c>
      <x:c r="N1176" s="20" t="n">
        <x:v>43070</x:v>
      </x:c>
    </x:row>
    <x:row r="1177" ht="18" customHeight="1">
      <x:c r="A1177" t="str">
        <x:v>US-2014-100279</x:v>
      </x:c>
      <x:c r="B1177" s="18" t="n">
        <x:v>41708</x:v>
      </x:c>
      <x:c r="C1177" t="str">
        <x:v>SW-20275</x:v>
      </x:c>
      <x:c r="D1177" t="str">
        <x:v>Scott Williamson</x:v>
      </x:c>
      <x:c r="E1177" t="str">
        <x:v>Consumer</x:v>
      </x:c>
      <x:c r="F1177" t="str">
        <x:v>Central</x:v>
      </x:c>
      <x:c r="G1177" t="str">
        <x:v>Office Supplies</x:v>
      </x:c>
      <x:c r="H1177" t="str">
        <x:v>Paper</x:v>
      </x:c>
      <x:c r="I1177" s="22" t="n">
        <x:v>22.38</x:v>
      </x:c>
      <x:c r="J1177" s="24" t="n">
        <x:v>2</x:v>
      </x:c>
      <x:c r="K1177" s="26" t="n">
        <x:v>0</x:v>
      </x:c>
      <x:c r="L1177" s="22" t="n">
        <x:v>10.7424</x:v>
      </x:c>
      <x:c r="M1177" t="n">
        <x:v>2014</x:v>
      </x:c>
      <x:c r="N1177" s="20" t="n">
        <x:v>41699</x:v>
      </x:c>
    </x:row>
    <x:row r="1178" ht="18" customHeight="1">
      <x:c r="A1178" t="str">
        <x:v>CA-2014-158064</x:v>
      </x:c>
      <x:c r="B1178" s="18" t="n">
        <x:v>41750</x:v>
      </x:c>
      <x:c r="C1178" t="str">
        <x:v>AA-10375</x:v>
      </x:c>
      <x:c r="D1178" t="str">
        <x:v>Allen Armold</x:v>
      </x:c>
      <x:c r="E1178" t="str">
        <x:v>Consumer</x:v>
      </x:c>
      <x:c r="F1178" t="str">
        <x:v>West</x:v>
      </x:c>
      <x:c r="G1178" t="str">
        <x:v>Office Supplies</x:v>
      </x:c>
      <x:c r="H1178" t="str">
        <x:v>Binders</x:v>
      </x:c>
      <x:c r="I1178" s="22" t="n">
        <x:v>16.520000000000003</x:v>
      </x:c>
      <x:c r="J1178" s="24" t="n">
        <x:v>5</x:v>
      </x:c>
      <x:c r="K1178" s="26" t="n">
        <x:v>0.2</x:v>
      </x:c>
      <x:c r="L1178" s="22" t="n">
        <x:v>5.5755</x:v>
      </x:c>
      <x:c r="M1178" t="n">
        <x:v>2014</x:v>
      </x:c>
      <x:c r="N1178" s="20" t="n">
        <x:v>41730</x:v>
      </x:c>
    </x:row>
    <x:row r="1179" ht="18" customHeight="1">
      <x:c r="A1179" t="str">
        <x:v>US-2015-104430</x:v>
      </x:c>
      <x:c r="B1179" s="18" t="n">
        <x:v>42299</x:v>
      </x:c>
      <x:c r="C1179" t="str">
        <x:v>LT-17110</x:v>
      </x:c>
      <x:c r="D1179" t="str">
        <x:v>Liz Thompson</x:v>
      </x:c>
      <x:c r="E1179" t="str">
        <x:v>Consumer</x:v>
      </x:c>
      <x:c r="F1179" t="str">
        <x:v>Central</x:v>
      </x:c>
      <x:c r="G1179" t="str">
        <x:v>Office Supplies</x:v>
      </x:c>
      <x:c r="H1179" t="str">
        <x:v>Binders</x:v>
      </x:c>
      <x:c r="I1179" s="22" t="n">
        <x:v>5.175999999999998</x:v>
      </x:c>
      <x:c r="J1179" s="24" t="n">
        <x:v>4</x:v>
      </x:c>
      <x:c r="K1179" s="26" t="n">
        <x:v>0.8</x:v>
      </x:c>
      <x:c r="L1179" s="22" t="n">
        <x:v>-7.764000000000001</x:v>
      </x:c>
      <x:c r="M1179" t="n">
        <x:v>2015</x:v>
      </x:c>
      <x:c r="N1179" s="20" t="n">
        <x:v>42278</x:v>
      </x:c>
    </x:row>
    <x:row r="1180" ht="18" customHeight="1">
      <x:c r="A1180" t="str">
        <x:v>CA-2015-132080</x:v>
      </x:c>
      <x:c r="B1180" s="18" t="n">
        <x:v>42238</x:v>
      </x:c>
      <x:c r="C1180" t="str">
        <x:v>DP-13105</x:v>
      </x:c>
      <x:c r="D1180" t="str">
        <x:v>Dave Poirier</x:v>
      </x:c>
      <x:c r="E1180" t="str">
        <x:v>Corporate</x:v>
      </x:c>
      <x:c r="F1180" t="str">
        <x:v>East</x:v>
      </x:c>
      <x:c r="G1180" t="str">
        <x:v>Office Supplies</x:v>
      </x:c>
      <x:c r="H1180" t="str">
        <x:v>Binders</x:v>
      </x:c>
      <x:c r="I1180" s="22" t="n">
        <x:v>50.112</x:v>
      </x:c>
      <x:c r="J1180" s="24" t="n">
        <x:v>6</x:v>
      </x:c>
      <x:c r="K1180" s="26" t="n">
        <x:v>0.2</x:v>
      </x:c>
      <x:c r="L1180" s="22" t="n">
        <x:v>16.2864</x:v>
      </x:c>
      <x:c r="M1180" t="n">
        <x:v>2015</x:v>
      </x:c>
      <x:c r="N1180" s="20" t="n">
        <x:v>42217</x:v>
      </x:c>
    </x:row>
    <x:row r="1181" ht="18" customHeight="1">
      <x:c r="A1181" t="str">
        <x:v>CA-2016-161207</x:v>
      </x:c>
      <x:c r="B1181" s="18" t="n">
        <x:v>42611</x:v>
      </x:c>
      <x:c r="C1181" t="str">
        <x:v>AB-10060</x:v>
      </x:c>
      <x:c r="D1181" t="str">
        <x:v>Adam Bellavance</x:v>
      </x:c>
      <x:c r="E1181" t="str">
        <x:v>Home Office</x:v>
      </x:c>
      <x:c r="F1181" t="str">
        <x:v>East</x:v>
      </x:c>
      <x:c r="G1181" t="str">
        <x:v>Office Supplies</x:v>
      </x:c>
      <x:c r="H1181" t="str">
        <x:v>Supplies</x:v>
      </x:c>
      <x:c r="I1181" s="22" t="n">
        <x:v>27.93</x:v>
      </x:c>
      <x:c r="J1181" s="24" t="n">
        <x:v>3</x:v>
      </x:c>
      <x:c r="K1181" s="26" t="n">
        <x:v>0</x:v>
      </x:c>
      <x:c r="L1181" s="22" t="n">
        <x:v>8.099699999999999</x:v>
      </x:c>
      <x:c r="M1181" t="n">
        <x:v>2016</x:v>
      </x:c>
      <x:c r="N1181" s="20" t="n">
        <x:v>42583</x:v>
      </x:c>
    </x:row>
    <x:row r="1182" ht="18" customHeight="1">
      <x:c r="A1182" t="str">
        <x:v>CA-2014-120243</x:v>
      </x:c>
      <x:c r="B1182" s="18" t="n">
        <x:v>42000</x:v>
      </x:c>
      <x:c r="C1182" t="str">
        <x:v>AT-10435</x:v>
      </x:c>
      <x:c r="D1182" t="str">
        <x:v>Alyssa Tate</x:v>
      </x:c>
      <x:c r="E1182" t="str">
        <x:v>Home Office</x:v>
      </x:c>
      <x:c r="F1182" t="str">
        <x:v>West</x:v>
      </x:c>
      <x:c r="G1182" t="str">
        <x:v>Office Supplies</x:v>
      </x:c>
      <x:c r="H1182" t="str">
        <x:v>Labels</x:v>
      </x:c>
      <x:c r="I1182" s="22" t="n">
        <x:v>11.56</x:v>
      </x:c>
      <x:c r="J1182" s="24" t="n">
        <x:v>4</x:v>
      </x:c>
      <x:c r="K1182" s="26" t="n">
        <x:v>0</x:v>
      </x:c>
      <x:c r="L1182" s="22" t="n">
        <x:v>5.4332</x:v>
      </x:c>
      <x:c r="M1182" t="n">
        <x:v>2014</x:v>
      </x:c>
      <x:c r="N1182" s="20" t="n">
        <x:v>41974</x:v>
      </x:c>
    </x:row>
    <x:row r="1183" ht="18" customHeight="1">
      <x:c r="A1183" t="str">
        <x:v>CA-2016-113621</x:v>
      </x:c>
      <x:c r="B1183" s="18" t="n">
        <x:v>42705</x:v>
      </x:c>
      <x:c r="C1183" t="str">
        <x:v>JE-15745</x:v>
      </x:c>
      <x:c r="D1183" t="str">
        <x:v>Joel Eaton</x:v>
      </x:c>
      <x:c r="E1183" t="str">
        <x:v>Consumer</x:v>
      </x:c>
      <x:c r="F1183" t="str">
        <x:v>East</x:v>
      </x:c>
      <x:c r="G1183" t="str">
        <x:v>Furniture</x:v>
      </x:c>
      <x:c r="H1183" t="str">
        <x:v>Chairs</x:v>
      </x:c>
      <x:c r="I1183" s="22" t="n">
        <x:v>172.5</x:v>
      </x:c>
      <x:c r="J1183" s="24" t="n">
        <x:v>2</x:v>
      </x:c>
      <x:c r="K1183" s="26" t="n">
        <x:v>0</x:v>
      </x:c>
      <x:c r="L1183" s="22" t="n">
        <x:v>51.749999999999986</x:v>
      </x:c>
      <x:c r="M1183" t="n">
        <x:v>2016</x:v>
      </x:c>
      <x:c r="N1183" s="20" t="n">
        <x:v>42705</x:v>
      </x:c>
    </x:row>
    <x:row r="1184" ht="18" customHeight="1">
      <x:c r="A1184" t="str">
        <x:v>CA-2016-113621</x:v>
      </x:c>
      <x:c r="B1184" s="18" t="n">
        <x:v>42705</x:v>
      </x:c>
      <x:c r="C1184" t="str">
        <x:v>JE-15745</x:v>
      </x:c>
      <x:c r="D1184" t="str">
        <x:v>Joel Eaton</x:v>
      </x:c>
      <x:c r="E1184" t="str">
        <x:v>Consumer</x:v>
      </x:c>
      <x:c r="F1184" t="str">
        <x:v>East</x:v>
      </x:c>
      <x:c r="G1184" t="str">
        <x:v>Technology</x:v>
      </x:c>
      <x:c r="H1184" t="str">
        <x:v>Phones</x:v>
      </x:c>
      <x:c r="I1184" s="22" t="n">
        <x:v>179.97</x:v>
      </x:c>
      <x:c r="J1184" s="24" t="n">
        <x:v>3</x:v>
      </x:c>
      <x:c r="K1184" s="26" t="n">
        <x:v>0</x:v>
      </x:c>
      <x:c r="L1184" s="22" t="n">
        <x:v>44.99250000000001</x:v>
      </x:c>
      <x:c r="M1184" t="n">
        <x:v>2016</x:v>
      </x:c>
      <x:c r="N1184" s="20" t="n">
        <x:v>42705</x:v>
      </x:c>
    </x:row>
    <x:row r="1185" ht="18" customHeight="1">
      <x:c r="A1185" t="str">
        <x:v>CA-2016-168081</x:v>
      </x:c>
      <x:c r="B1185" s="18" t="n">
        <x:v>42484</x:v>
      </x:c>
      <x:c r="C1185" t="str">
        <x:v>CA-12055</x:v>
      </x:c>
      <x:c r="D1185" t="str">
        <x:v>Cathy Armstrong</x:v>
      </x:c>
      <x:c r="E1185" t="str">
        <x:v>Home Office</x:v>
      </x:c>
      <x:c r="F1185" t="str">
        <x:v>Central</x:v>
      </x:c>
      <x:c r="G1185" t="str">
        <x:v>Technology</x:v>
      </x:c>
      <x:c r="H1185" t="str">
        <x:v>Accessories</x:v>
      </x:c>
      <x:c r="I1185" s="22" t="n">
        <x:v>258.696</x:v>
      </x:c>
      <x:c r="J1185" s="24" t="n">
        <x:v>3</x:v>
      </x:c>
      <x:c r="K1185" s="26" t="n">
        <x:v>0.2</x:v>
      </x:c>
      <x:c r="L1185" s="22" t="n">
        <x:v>64.674</x:v>
      </x:c>
      <x:c r="M1185" t="n">
        <x:v>2016</x:v>
      </x:c>
      <x:c r="N1185" s="20" t="n">
        <x:v>42461</x:v>
      </x:c>
    </x:row>
    <x:row r="1186" ht="18" customHeight="1">
      <x:c r="A1186" t="str">
        <x:v>CA-2014-128146</x:v>
      </x:c>
      <x:c r="B1186" s="18" t="n">
        <x:v>41811</x:v>
      </x:c>
      <x:c r="C1186" t="str">
        <x:v>DB-13060</x:v>
      </x:c>
      <x:c r="D1186" t="str">
        <x:v>Dave Brooks</x:v>
      </x:c>
      <x:c r="E1186" t="str">
        <x:v>Consumer</x:v>
      </x:c>
      <x:c r="F1186" t="str">
        <x:v>East</x:v>
      </x:c>
      <x:c r="G1186" t="str">
        <x:v>Technology</x:v>
      </x:c>
      <x:c r="H1186" t="str">
        <x:v>Phones</x:v>
      </x:c>
      <x:c r="I1186" s="22" t="n">
        <x:v>1322.93</x:v>
      </x:c>
      <x:c r="J1186" s="24" t="n">
        <x:v>7</x:v>
      </x:c>
      <x:c r="K1186" s="26" t="n">
        <x:v>0</x:v>
      </x:c>
      <x:c r="L1186" s="22" t="n">
        <x:v>357.1911</x:v>
      </x:c>
      <x:c r="M1186" t="n">
        <x:v>2014</x:v>
      </x:c>
      <x:c r="N1186" s="20" t="n">
        <x:v>41791</x:v>
      </x:c>
    </x:row>
    <x:row r="1187" ht="18" customHeight="1">
      <x:c r="A1187" t="str">
        <x:v>CA-2014-128146</x:v>
      </x:c>
      <x:c r="B1187" s="18" t="n">
        <x:v>41811</x:v>
      </x:c>
      <x:c r="C1187" t="str">
        <x:v>DB-13060</x:v>
      </x:c>
      <x:c r="D1187" t="str">
        <x:v>Dave Brooks</x:v>
      </x:c>
      <x:c r="E1187" t="str">
        <x:v>Consumer</x:v>
      </x:c>
      <x:c r="F1187" t="str">
        <x:v>East</x:v>
      </x:c>
      <x:c r="G1187" t="str">
        <x:v>Office Supplies</x:v>
      </x:c>
      <x:c r="H1187" t="str">
        <x:v>Art</x:v>
      </x:c>
      <x:c r="I1187" s="22" t="n">
        <x:v>3.76</x:v>
      </x:c>
      <x:c r="J1187" s="24" t="n">
        <x:v>2</x:v>
      </x:c>
      <x:c r="K1187" s="26" t="n">
        <x:v>0</x:v>
      </x:c>
      <x:c r="L1187" s="22" t="n">
        <x:v>1.0903999999999998</x:v>
      </x:c>
      <x:c r="M1187" t="n">
        <x:v>2014</x:v>
      </x:c>
      <x:c r="N1187" s="20" t="n">
        <x:v>41791</x:v>
      </x:c>
    </x:row>
    <x:row r="1188" ht="18" customHeight="1">
      <x:c r="A1188" t="str">
        <x:v>CA-2017-138779</x:v>
      </x:c>
      <x:c r="B1188" s="18" t="n">
        <x:v>42749</x:v>
      </x:c>
      <x:c r="C1188" t="str">
        <x:v>RB-19570</x:v>
      </x:c>
      <x:c r="D1188" t="str">
        <x:v>Rob Beeghly</x:v>
      </x:c>
      <x:c r="E1188" t="str">
        <x:v>Consumer</x:v>
      </x:c>
      <x:c r="F1188" t="str">
        <x:v>South</x:v>
      </x:c>
      <x:c r="G1188" t="str">
        <x:v>Office Supplies</x:v>
      </x:c>
      <x:c r="H1188" t="str">
        <x:v>Envelopes</x:v>
      </x:c>
      <x:c r="I1188" s="22" t="n">
        <x:v>21.744</x:v>
      </x:c>
      <x:c r="J1188" s="24" t="n">
        <x:v>1</x:v>
      </x:c>
      <x:c r="K1188" s="26" t="n">
        <x:v>0.2</x:v>
      </x:c>
      <x:c r="L1188" s="22" t="n">
        <x:v>7.3386</x:v>
      </x:c>
      <x:c r="M1188" t="n">
        <x:v>2017</x:v>
      </x:c>
      <x:c r="N1188" s="20" t="n">
        <x:v>42736</x:v>
      </x:c>
    </x:row>
    <x:row r="1189" ht="18" customHeight="1">
      <x:c r="A1189" t="str">
        <x:v>CA-2017-138779</x:v>
      </x:c>
      <x:c r="B1189" s="18" t="n">
        <x:v>42749</x:v>
      </x:c>
      <x:c r="C1189" t="str">
        <x:v>RB-19570</x:v>
      </x:c>
      <x:c r="D1189" t="str">
        <x:v>Rob Beeghly</x:v>
      </x:c>
      <x:c r="E1189" t="str">
        <x:v>Consumer</x:v>
      </x:c>
      <x:c r="F1189" t="str">
        <x:v>South</x:v>
      </x:c>
      <x:c r="G1189" t="str">
        <x:v>Technology</x:v>
      </x:c>
      <x:c r="H1189" t="str">
        <x:v>Phones</x:v>
      </x:c>
      <x:c r="I1189" s="22" t="n">
        <x:v>7.92</x:v>
      </x:c>
      <x:c r="J1189" s="24" t="n">
        <x:v>5</x:v>
      </x:c>
      <x:c r="K1189" s="26" t="n">
        <x:v>0.2</x:v>
      </x:c>
      <x:c r="L1189" s="22" t="n">
        <x:v>0.6930000000000001</x:v>
      </x:c>
      <x:c r="M1189" t="n">
        <x:v>2017</x:v>
      </x:c>
      <x:c r="N1189" s="20" t="n">
        <x:v>42736</x:v>
      </x:c>
    </x:row>
    <x:row r="1190" ht="18" customHeight="1">
      <x:c r="A1190" t="str">
        <x:v>CA-2014-127131</x:v>
      </x:c>
      <x:c r="B1190" s="18" t="n">
        <x:v>41967</x:v>
      </x:c>
      <x:c r="C1190" t="str">
        <x:v>HR-14830</x:v>
      </x:c>
      <x:c r="D1190" t="str">
        <x:v>Harold Ryan</x:v>
      </x:c>
      <x:c r="E1190" t="str">
        <x:v>Corporate</x:v>
      </x:c>
      <x:c r="F1190" t="str">
        <x:v>West</x:v>
      </x:c>
      <x:c r="G1190" t="str">
        <x:v>Office Supplies</x:v>
      </x:c>
      <x:c r="H1190" t="str">
        <x:v>Binders</x:v>
      </x:c>
      <x:c r="I1190" s="22" t="n">
        <x:v>12.096000000000002</x:v>
      </x:c>
      <x:c r="J1190" s="24" t="n">
        <x:v>7</x:v>
      </x:c>
      <x:c r="K1190" s="26" t="n">
        <x:v>0.2</x:v>
      </x:c>
      <x:c r="L1190" s="22" t="n">
        <x:v>4.233599999999999</x:v>
      </x:c>
      <x:c r="M1190" t="n">
        <x:v>2014</x:v>
      </x:c>
      <x:c r="N1190" s="20" t="n">
        <x:v>41944</x:v>
      </x:c>
    </x:row>
    <x:row r="1191" ht="18" customHeight="1">
      <x:c r="A1191" t="str">
        <x:v>CA-2014-127131</x:v>
      </x:c>
      <x:c r="B1191" s="18" t="n">
        <x:v>41967</x:v>
      </x:c>
      <x:c r="C1191" t="str">
        <x:v>HR-14830</x:v>
      </x:c>
      <x:c r="D1191" t="str">
        <x:v>Harold Ryan</x:v>
      </x:c>
      <x:c r="E1191" t="str">
        <x:v>Corporate</x:v>
      </x:c>
      <x:c r="F1191" t="str">
        <x:v>West</x:v>
      </x:c>
      <x:c r="G1191" t="str">
        <x:v>Office Supplies</x:v>
      </x:c>
      <x:c r="H1191" t="str">
        <x:v>Storage</x:v>
      </x:c>
      <x:c r="I1191" s="22" t="n">
        <x:v>485.88</x:v>
      </x:c>
      <x:c r="J1191" s="24" t="n">
        <x:v>6</x:v>
      </x:c>
      <x:c r="K1191" s="26" t="n">
        <x:v>0</x:v>
      </x:c>
      <x:c r="L1191" s="22" t="n">
        <x:v>9.717600000000033</x:v>
      </x:c>
      <x:c r="M1191" t="n">
        <x:v>2014</x:v>
      </x:c>
      <x:c r="N1191" s="20" t="n">
        <x:v>41944</x:v>
      </x:c>
    </x:row>
    <x:row r="1192" ht="18" customHeight="1">
      <x:c r="A1192" t="str">
        <x:v>CA-2014-127131</x:v>
      </x:c>
      <x:c r="B1192" s="18" t="n">
        <x:v>41967</x:v>
      </x:c>
      <x:c r="C1192" t="str">
        <x:v>HR-14830</x:v>
      </x:c>
      <x:c r="D1192" t="str">
        <x:v>Harold Ryan</x:v>
      </x:c>
      <x:c r="E1192" t="str">
        <x:v>Corporate</x:v>
      </x:c>
      <x:c r="F1192" t="str">
        <x:v>West</x:v>
      </x:c>
      <x:c r="G1192" t="str">
        <x:v>Office Supplies</x:v>
      </x:c>
      <x:c r="H1192" t="str">
        <x:v>Paper</x:v>
      </x:c>
      <x:c r="I1192" s="22" t="n">
        <x:v>25.92</x:v>
      </x:c>
      <x:c r="J1192" s="24" t="n">
        <x:v>4</x:v>
      </x:c>
      <x:c r="K1192" s="26" t="n">
        <x:v>0</x:v>
      </x:c>
      <x:c r="L1192" s="22" t="n">
        <x:v>12.441600000000001</x:v>
      </x:c>
      <x:c r="M1192" t="n">
        <x:v>2014</x:v>
      </x:c>
      <x:c r="N1192" s="20" t="n">
        <x:v>41944</x:v>
      </x:c>
    </x:row>
    <x:row r="1193" ht="18" customHeight="1">
      <x:c r="A1193" t="str">
        <x:v>CA-2014-127131</x:v>
      </x:c>
      <x:c r="B1193" s="18" t="n">
        <x:v>41967</x:v>
      </x:c>
      <x:c r="C1193" t="str">
        <x:v>HR-14830</x:v>
      </x:c>
      <x:c r="D1193" t="str">
        <x:v>Harold Ryan</x:v>
      </x:c>
      <x:c r="E1193" t="str">
        <x:v>Corporate</x:v>
      </x:c>
      <x:c r="F1193" t="str">
        <x:v>West</x:v>
      </x:c>
      <x:c r="G1193" t="str">
        <x:v>Office Supplies</x:v>
      </x:c>
      <x:c r="H1193" t="str">
        <x:v>Storage</x:v>
      </x:c>
      <x:c r="I1193" s="22" t="n">
        <x:v>197.58</x:v>
      </x:c>
      <x:c r="J1193" s="24" t="n">
        <x:v>2</x:v>
      </x:c>
      <x:c r="K1193" s="26" t="n">
        <x:v>0</x:v>
      </x:c>
      <x:c r="L1193" s="22" t="n">
        <x:v>53.346599999999995</x:v>
      </x:c>
      <x:c r="M1193" t="n">
        <x:v>2014</x:v>
      </x:c>
      <x:c r="N1193" s="20" t="n">
        <x:v>41944</x:v>
      </x:c>
    </x:row>
    <x:row r="1194" ht="18" customHeight="1">
      <x:c r="A1194" t="str">
        <x:v>CA-2017-117212</x:v>
      </x:c>
      <x:c r="B1194" s="18" t="n">
        <x:v>42792</x:v>
      </x:c>
      <x:c r="C1194" t="str">
        <x:v>BT-11530</x:v>
      </x:c>
      <x:c r="D1194" t="str">
        <x:v>Bradley Talbott</x:v>
      </x:c>
      <x:c r="E1194" t="str">
        <x:v>Home Office</x:v>
      </x:c>
      <x:c r="F1194" t="str">
        <x:v>West</x:v>
      </x:c>
      <x:c r="G1194" t="str">
        <x:v>Office Supplies</x:v>
      </x:c>
      <x:c r="H1194" t="str">
        <x:v>Appliances</x:v>
      </x:c>
      <x:c r="I1194" s="22" t="n">
        <x:v>81.92</x:v>
      </x:c>
      <x:c r="J1194" s="24" t="n">
        <x:v>4</x:v>
      </x:c>
      <x:c r="K1194" s="26" t="n">
        <x:v>0</x:v>
      </x:c>
      <x:c r="L1194" s="22" t="n">
        <x:v>22.1184</x:v>
      </x:c>
      <x:c r="M1194" t="n">
        <x:v>2017</x:v>
      </x:c>
      <x:c r="N1194" s="20" t="n">
        <x:v>42767</x:v>
      </x:c>
    </x:row>
    <x:row r="1195" ht="18" customHeight="1">
      <x:c r="A1195" t="str">
        <x:v>CA-2017-117212</x:v>
      </x:c>
      <x:c r="B1195" s="18" t="n">
        <x:v>42792</x:v>
      </x:c>
      <x:c r="C1195" t="str">
        <x:v>BT-11530</x:v>
      </x:c>
      <x:c r="D1195" t="str">
        <x:v>Bradley Talbott</x:v>
      </x:c>
      <x:c r="E1195" t="str">
        <x:v>Home Office</x:v>
      </x:c>
      <x:c r="F1195" t="str">
        <x:v>West</x:v>
      </x:c>
      <x:c r="G1195" t="str">
        <x:v>Technology</x:v>
      </x:c>
      <x:c r="H1195" t="str">
        <x:v>Phones</x:v>
      </x:c>
      <x:c r="I1195" s="22" t="n">
        <x:v>889.5360000000001</x:v>
      </x:c>
      <x:c r="J1195" s="24" t="n">
        <x:v>8</x:v>
      </x:c>
      <x:c r="K1195" s="26" t="n">
        <x:v>0.2</x:v>
      </x:c>
      <x:c r="L1195" s="22" t="n">
        <x:v>66.71519999999998</x:v>
      </x:c>
      <x:c r="M1195" t="n">
        <x:v>2017</x:v>
      </x:c>
      <x:c r="N1195" s="20" t="n">
        <x:v>42767</x:v>
      </x:c>
    </x:row>
    <x:row r="1196" ht="18" customHeight="1">
      <x:c r="A1196" t="str">
        <x:v>CA-2017-117212</x:v>
      </x:c>
      <x:c r="B1196" s="18" t="n">
        <x:v>42792</x:v>
      </x:c>
      <x:c r="C1196" t="str">
        <x:v>BT-11530</x:v>
      </x:c>
      <x:c r="D1196" t="str">
        <x:v>Bradley Talbott</x:v>
      </x:c>
      <x:c r="E1196" t="str">
        <x:v>Home Office</x:v>
      </x:c>
      <x:c r="F1196" t="str">
        <x:v>West</x:v>
      </x:c>
      <x:c r="G1196" t="str">
        <x:v>Furniture</x:v>
      </x:c>
      <x:c r="H1196" t="str">
        <x:v>Chairs</x:v>
      </x:c>
      <x:c r="I1196" s="22" t="n">
        <x:v>892.224</x:v>
      </x:c>
      <x:c r="J1196" s="24" t="n">
        <x:v>3</x:v>
      </x:c>
      <x:c r="K1196" s="26" t="n">
        <x:v>0.2</x:v>
      </x:c>
      <x:c r="L1196" s="22" t="n">
        <x:v>89.22240000000002</x:v>
      </x:c>
      <x:c r="M1196" t="n">
        <x:v>2017</x:v>
      </x:c>
      <x:c r="N1196" s="20" t="n">
        <x:v>42767</x:v>
      </x:c>
    </x:row>
    <x:row r="1197" ht="18" customHeight="1">
      <x:c r="A1197" t="str">
        <x:v>CA-2017-117212</x:v>
      </x:c>
      <x:c r="B1197" s="18" t="n">
        <x:v>42792</x:v>
      </x:c>
      <x:c r="C1197" t="str">
        <x:v>BT-11530</x:v>
      </x:c>
      <x:c r="D1197" t="str">
        <x:v>Bradley Talbott</x:v>
      </x:c>
      <x:c r="E1197" t="str">
        <x:v>Home Office</x:v>
      </x:c>
      <x:c r="F1197" t="str">
        <x:v>West</x:v>
      </x:c>
      <x:c r="G1197" t="str">
        <x:v>Office Supplies</x:v>
      </x:c>
      <x:c r="H1197" t="str">
        <x:v>Paper</x:v>
      </x:c>
      <x:c r="I1197" s="22" t="n">
        <x:v>223.92</x:v>
      </x:c>
      <x:c r="J1197" s="24" t="n">
        <x:v>4</x:v>
      </x:c>
      <x:c r="K1197" s="26" t="n">
        <x:v>0</x:v>
      </x:c>
      <x:c r="L1197" s="22" t="n">
        <x:v>109.7208</x:v>
      </x:c>
      <x:c r="M1197" t="n">
        <x:v>2017</x:v>
      </x:c>
      <x:c r="N1197" s="20" t="n">
        <x:v>42767</x:v>
      </x:c>
    </x:row>
    <x:row r="1198" ht="18" customHeight="1">
      <x:c r="A1198" t="str">
        <x:v>CA-2017-117212</x:v>
      </x:c>
      <x:c r="B1198" s="18" t="n">
        <x:v>42792</x:v>
      </x:c>
      <x:c r="C1198" t="str">
        <x:v>BT-11530</x:v>
      </x:c>
      <x:c r="D1198" t="str">
        <x:v>Bradley Talbott</x:v>
      </x:c>
      <x:c r="E1198" t="str">
        <x:v>Home Office</x:v>
      </x:c>
      <x:c r="F1198" t="str">
        <x:v>West</x:v>
      </x:c>
      <x:c r="G1198" t="str">
        <x:v>Office Supplies</x:v>
      </x:c>
      <x:c r="H1198" t="str">
        <x:v>Paper</x:v>
      </x:c>
      <x:c r="I1198" s="22" t="n">
        <x:v>23.12</x:v>
      </x:c>
      <x:c r="J1198" s="24" t="n">
        <x:v>4</x:v>
      </x:c>
      <x:c r="K1198" s="26" t="n">
        <x:v>0</x:v>
      </x:c>
      <x:c r="L1198" s="22" t="n">
        <x:v>11.328800000000001</x:v>
      </x:c>
      <x:c r="M1198" t="n">
        <x:v>2017</x:v>
      </x:c>
      <x:c r="N1198" s="20" t="n">
        <x:v>42767</x:v>
      </x:c>
    </x:row>
    <x:row r="1199" ht="18" customHeight="1">
      <x:c r="A1199" t="str">
        <x:v>US-2015-130519</x:v>
      </x:c>
      <x:c r="B1199" s="18" t="n">
        <x:v>42262</x:v>
      </x:c>
      <x:c r="C1199" t="str">
        <x:v>NG-18355</x:v>
      </x:c>
      <x:c r="D1199" t="str">
        <x:v>Nat Gilpin</x:v>
      </x:c>
      <x:c r="E1199" t="str">
        <x:v>Corporate</x:v>
      </x:c>
      <x:c r="F1199" t="str">
        <x:v>South</x:v>
      </x:c>
      <x:c r="G1199" t="str">
        <x:v>Office Supplies</x:v>
      </x:c>
      <x:c r="H1199" t="str">
        <x:v>Paper</x:v>
      </x:c>
      <x:c r="I1199" s="22" t="n">
        <x:v>15.552000000000003</x:v>
      </x:c>
      <x:c r="J1199" s="24" t="n">
        <x:v>3</x:v>
      </x:c>
      <x:c r="K1199" s="26" t="n">
        <x:v>0.2</x:v>
      </x:c>
      <x:c r="L1199" s="22" t="n">
        <x:v>5.4432</x:v>
      </x:c>
      <x:c r="M1199" t="n">
        <x:v>2015</x:v>
      </x:c>
      <x:c r="N1199" s="20" t="n">
        <x:v>42248</x:v>
      </x:c>
    </x:row>
    <x:row r="1200" ht="18" customHeight="1">
      <x:c r="A1200" t="str">
        <x:v>US-2015-130519</x:v>
      </x:c>
      <x:c r="B1200" s="18" t="n">
        <x:v>42262</x:v>
      </x:c>
      <x:c r="C1200" t="str">
        <x:v>NG-18355</x:v>
      </x:c>
      <x:c r="D1200" t="str">
        <x:v>Nat Gilpin</x:v>
      </x:c>
      <x:c r="E1200" t="str">
        <x:v>Corporate</x:v>
      </x:c>
      <x:c r="F1200" t="str">
        <x:v>South</x:v>
      </x:c>
      <x:c r="G1200" t="str">
        <x:v>Furniture</x:v>
      </x:c>
      <x:c r="H1200" t="str">
        <x:v>Furnishings</x:v>
      </x:c>
      <x:c r="I1200" s="22" t="n">
        <x:v>15.712000000000002</x:v>
      </x:c>
      <x:c r="J1200" s="24" t="n">
        <x:v>4</x:v>
      </x:c>
      <x:c r="K1200" s="26" t="n">
        <x:v>0.2</x:v>
      </x:c>
      <x:c r="L1200" s="22" t="n">
        <x:v>2.553199999999999</x:v>
      </x:c>
      <x:c r="M1200" t="n">
        <x:v>2015</x:v>
      </x:c>
      <x:c r="N1200" s="20" t="n">
        <x:v>42248</x:v>
      </x:c>
    </x:row>
    <x:row r="1201" ht="18" customHeight="1">
      <x:c r="A1201" t="str">
        <x:v>US-2015-130519</x:v>
      </x:c>
      <x:c r="B1201" s="18" t="n">
        <x:v>42262</x:v>
      </x:c>
      <x:c r="C1201" t="str">
        <x:v>NG-18355</x:v>
      </x:c>
      <x:c r="D1201" t="str">
        <x:v>Nat Gilpin</x:v>
      </x:c>
      <x:c r="E1201" t="str">
        <x:v>Corporate</x:v>
      </x:c>
      <x:c r="F1201" t="str">
        <x:v>South</x:v>
      </x:c>
      <x:c r="G1201" t="str">
        <x:v>Office Supplies</x:v>
      </x:c>
      <x:c r="H1201" t="str">
        <x:v>Storage</x:v>
      </x:c>
      <x:c r="I1201" s="22" t="n">
        <x:v>24.672</x:v>
      </x:c>
      <x:c r="J1201" s="24" t="n">
        <x:v>2</x:v>
      </x:c>
      <x:c r="K1201" s="26" t="n">
        <x:v>0.2</x:v>
      </x:c>
      <x:c r="L1201" s="22" t="n">
        <x:v>2.158800000000002</x:v>
      </x:c>
      <x:c r="M1201" t="n">
        <x:v>2015</x:v>
      </x:c>
      <x:c r="N1201" s="20" t="n">
        <x:v>42248</x:v>
      </x:c>
    </x:row>
    <x:row r="1202" ht="18" customHeight="1">
      <x:c r="A1202" t="str">
        <x:v>US-2015-130519</x:v>
      </x:c>
      <x:c r="B1202" s="18" t="n">
        <x:v>42262</x:v>
      </x:c>
      <x:c r="C1202" t="str">
        <x:v>NG-18355</x:v>
      </x:c>
      <x:c r="D1202" t="str">
        <x:v>Nat Gilpin</x:v>
      </x:c>
      <x:c r="E1202" t="str">
        <x:v>Corporate</x:v>
      </x:c>
      <x:c r="F1202" t="str">
        <x:v>South</x:v>
      </x:c>
      <x:c r="G1202" t="str">
        <x:v>Furniture</x:v>
      </x:c>
      <x:c r="H1202" t="str">
        <x:v>Furnishings</x:v>
      </x:c>
      <x:c r="I1202" s="22" t="n">
        <x:v>55.967999999999996</x:v>
      </x:c>
      <x:c r="J1202" s="24" t="n">
        <x:v>1</x:v>
      </x:c>
      <x:c r="K1202" s="26" t="n">
        <x:v>0.2</x:v>
      </x:c>
      <x:c r="L1202" s="22" t="n">
        <x:v>-2.098800000000006</x:v>
      </x:c>
      <x:c r="M1202" t="n">
        <x:v>2015</x:v>
      </x:c>
      <x:c r="N1202" s="20" t="n">
        <x:v>42248</x:v>
      </x:c>
    </x:row>
    <x:row r="1203" ht="18" customHeight="1">
      <x:c r="A1203" t="str">
        <x:v>CA-2016-130946</x:v>
      </x:c>
      <x:c r="B1203" s="18" t="n">
        <x:v>42468</x:v>
      </x:c>
      <x:c r="C1203" t="str">
        <x:v>ZC-21910</x:v>
      </x:c>
      <x:c r="D1203" t="str">
        <x:v>Zuschuss Carroll</x:v>
      </x:c>
      <x:c r="E1203" t="str">
        <x:v>Consumer</x:v>
      </x:c>
      <x:c r="F1203" t="str">
        <x:v>Central</x:v>
      </x:c>
      <x:c r="G1203" t="str">
        <x:v>Technology</x:v>
      </x:c>
      <x:c r="H1203" t="str">
        <x:v>Accessories</x:v>
      </x:c>
      <x:c r="I1203" s="22" t="n">
        <x:v>431.92800000000005</x:v>
      </x:c>
      <x:c r="J1203" s="24" t="n">
        <x:v>9</x:v>
      </x:c>
      <x:c r="K1203" s="26" t="n">
        <x:v>0.2</x:v>
      </x:c>
      <x:c r="L1203" s="22" t="n">
        <x:v>64.78919999999995</x:v>
      </x:c>
      <x:c r="M1203" t="n">
        <x:v>2016</x:v>
      </x:c>
      <x:c r="N1203" s="20" t="n">
        <x:v>42461</x:v>
      </x:c>
    </x:row>
    <x:row r="1204" ht="18" customHeight="1">
      <x:c r="A1204" t="str">
        <x:v>CA-2016-130946</x:v>
      </x:c>
      <x:c r="B1204" s="18" t="n">
        <x:v>42468</x:v>
      </x:c>
      <x:c r="C1204" t="str">
        <x:v>ZC-21910</x:v>
      </x:c>
      <x:c r="D1204" t="str">
        <x:v>Zuschuss Carroll</x:v>
      </x:c>
      <x:c r="E1204" t="str">
        <x:v>Consumer</x:v>
      </x:c>
      <x:c r="F1204" t="str">
        <x:v>Central</x:v>
      </x:c>
      <x:c r="G1204" t="str">
        <x:v>Furniture</x:v>
      </x:c>
      <x:c r="H1204" t="str">
        <x:v>Chairs</x:v>
      </x:c>
      <x:c r="I1204" s="22" t="n">
        <x:v>95.984</x:v>
      </x:c>
      <x:c r="J1204" s="24" t="n">
        <x:v>4</x:v>
      </x:c>
      <x:c r="K1204" s="26" t="n">
        <x:v>0.3</x:v>
      </x:c>
      <x:c r="L1204" s="22" t="n">
        <x:v>-4.113599999999998</x:v>
      </x:c>
      <x:c r="M1204" t="n">
        <x:v>2016</x:v>
      </x:c>
      <x:c r="N1204" s="20" t="n">
        <x:v>42461</x:v>
      </x:c>
    </x:row>
    <x:row r="1205" ht="18" customHeight="1">
      <x:c r="A1205" t="str">
        <x:v>CA-2016-130946</x:v>
      </x:c>
      <x:c r="B1205" s="18" t="n">
        <x:v>42468</x:v>
      </x:c>
      <x:c r="C1205" t="str">
        <x:v>ZC-21910</x:v>
      </x:c>
      <x:c r="D1205" t="str">
        <x:v>Zuschuss Carroll</x:v>
      </x:c>
      <x:c r="E1205" t="str">
        <x:v>Consumer</x:v>
      </x:c>
      <x:c r="F1205" t="str">
        <x:v>Central</x:v>
      </x:c>
      <x:c r="G1205" t="str">
        <x:v>Office Supplies</x:v>
      </x:c>
      <x:c r="H1205" t="str">
        <x:v>Binders</x:v>
      </x:c>
      <x:c r="I1205" s="22" t="n">
        <x:v>1088.7919999999997</x:v>
      </x:c>
      <x:c r="J1205" s="24" t="n">
        <x:v>4</x:v>
      </x:c>
      <x:c r="K1205" s="26" t="n">
        <x:v>0.8</x:v>
      </x:c>
      <x:c r="L1205" s="22" t="n">
        <x:v>-1850.9464000000007</x:v>
      </x:c>
      <x:c r="M1205" t="n">
        <x:v>2016</x:v>
      </x:c>
      <x:c r="N1205" s="20" t="n">
        <x:v>42461</x:v>
      </x:c>
    </x:row>
    <x:row r="1206" ht="18" customHeight="1">
      <x:c r="A1206" t="str">
        <x:v>CA-2016-114727</x:v>
      </x:c>
      <x:c r="B1206" s="18" t="n">
        <x:v>42569</x:v>
      </x:c>
      <x:c r="C1206" t="str">
        <x:v>LS-16945</x:v>
      </x:c>
      <x:c r="D1206" t="str">
        <x:v>Linda Southworth</x:v>
      </x:c>
      <x:c r="E1206" t="str">
        <x:v>Corporate</x:v>
      </x:c>
      <x:c r="F1206" t="str">
        <x:v>West</x:v>
      </x:c>
      <x:c r="G1206" t="str">
        <x:v>Furniture</x:v>
      </x:c>
      <x:c r="H1206" t="str">
        <x:v>Chairs</x:v>
      </x:c>
      <x:c r="I1206" s="22" t="n">
        <x:v>544.008</x:v>
      </x:c>
      <x:c r="J1206" s="24" t="n">
        <x:v>3</x:v>
      </x:c>
      <x:c r="K1206" s="26" t="n">
        <x:v>0.2</x:v>
      </x:c>
      <x:c r="L1206" s="22" t="n">
        <x:v>40.8006</x:v>
      </x:c>
      <x:c r="M1206" t="n">
        <x:v>2016</x:v>
      </x:c>
      <x:c r="N1206" s="20" t="n">
        <x:v>42552</x:v>
      </x:c>
    </x:row>
    <x:row r="1207" ht="18" customHeight="1">
      <x:c r="A1207" t="str">
        <x:v>CA-2016-114727</x:v>
      </x:c>
      <x:c r="B1207" s="18" t="n">
        <x:v>42569</x:v>
      </x:c>
      <x:c r="C1207" t="str">
        <x:v>LS-16945</x:v>
      </x:c>
      <x:c r="D1207" t="str">
        <x:v>Linda Southworth</x:v>
      </x:c>
      <x:c r="E1207" t="str">
        <x:v>Corporate</x:v>
      </x:c>
      <x:c r="F1207" t="str">
        <x:v>West</x:v>
      </x:c>
      <x:c r="G1207" t="str">
        <x:v>Office Supplies</x:v>
      </x:c>
      <x:c r="H1207" t="str">
        <x:v>Binders</x:v>
      </x:c>
      <x:c r="I1207" s="22" t="n">
        <x:v>1.8720000000000003</x:v>
      </x:c>
      <x:c r="J1207" s="24" t="n">
        <x:v>3</x:v>
      </x:c>
      <x:c r="K1207" s="26" t="n">
        <x:v>0.7</x:v>
      </x:c>
      <x:c r="L1207" s="22" t="n">
        <x:v>-1.4352</x:v>
      </x:c>
      <x:c r="M1207" t="n">
        <x:v>2016</x:v>
      </x:c>
      <x:c r="N1207" s="20" t="n">
        <x:v>42552</x:v>
      </x:c>
    </x:row>
    <x:row r="1208" ht="18" customHeight="1">
      <x:c r="A1208" t="str">
        <x:v>CA-2016-114727</x:v>
      </x:c>
      <x:c r="B1208" s="18" t="n">
        <x:v>42569</x:v>
      </x:c>
      <x:c r="C1208" t="str">
        <x:v>LS-16945</x:v>
      </x:c>
      <x:c r="D1208" t="str">
        <x:v>Linda Southworth</x:v>
      </x:c>
      <x:c r="E1208" t="str">
        <x:v>Corporate</x:v>
      </x:c>
      <x:c r="F1208" t="str">
        <x:v>West</x:v>
      </x:c>
      <x:c r="G1208" t="str">
        <x:v>Furniture</x:v>
      </x:c>
      <x:c r="H1208" t="str">
        <x:v>Chairs</x:v>
      </x:c>
      <x:c r="I1208" s="22" t="n">
        <x:v>854.3520000000001</x:v>
      </x:c>
      <x:c r="J1208" s="24" t="n">
        <x:v>3</x:v>
      </x:c>
      <x:c r="K1208" s="26" t="n">
        <x:v>0.2</x:v>
      </x:c>
      <x:c r="L1208" s="22" t="n">
        <x:v>10.679399999999873</x:v>
      </x:c>
      <x:c r="M1208" t="n">
        <x:v>2016</x:v>
      </x:c>
      <x:c r="N1208" s="20" t="n">
        <x:v>42552</x:v>
      </x:c>
    </x:row>
    <x:row r="1209" ht="18" customHeight="1">
      <x:c r="A1209" t="str">
        <x:v>CA-2016-114727</x:v>
      </x:c>
      <x:c r="B1209" s="18" t="n">
        <x:v>42569</x:v>
      </x:c>
      <x:c r="C1209" t="str">
        <x:v>LS-16945</x:v>
      </x:c>
      <x:c r="D1209" t="str">
        <x:v>Linda Southworth</x:v>
      </x:c>
      <x:c r="E1209" t="str">
        <x:v>Corporate</x:v>
      </x:c>
      <x:c r="F1209" t="str">
        <x:v>West</x:v>
      </x:c>
      <x:c r="G1209" t="str">
        <x:v>Office Supplies</x:v>
      </x:c>
      <x:c r="H1209" t="str">
        <x:v>Storage</x:v>
      </x:c>
      <x:c r="I1209" s="22" t="n">
        <x:v>593.5680000000001</x:v>
      </x:c>
      <x:c r="J1209" s="24" t="n">
        <x:v>2</x:v>
      </x:c>
      <x:c r="K1209" s="26" t="n">
        <x:v>0.2</x:v>
      </x:c>
      <x:c r="L1209" s="22" t="n">
        <x:v>0</x:v>
      </x:c>
      <x:c r="M1209" t="n">
        <x:v>2016</x:v>
      </x:c>
      <x:c r="N1209" s="20" t="n">
        <x:v>42552</x:v>
      </x:c>
    </x:row>
    <x:row r="1210" ht="18" customHeight="1">
      <x:c r="A1210" t="str">
        <x:v>CA-2016-114727</x:v>
      </x:c>
      <x:c r="B1210" s="18" t="n">
        <x:v>42569</x:v>
      </x:c>
      <x:c r="C1210" t="str">
        <x:v>LS-16945</x:v>
      </x:c>
      <x:c r="D1210" t="str">
        <x:v>Linda Southworth</x:v>
      </x:c>
      <x:c r="E1210" t="str">
        <x:v>Corporate</x:v>
      </x:c>
      <x:c r="F1210" t="str">
        <x:v>West</x:v>
      </x:c>
      <x:c r="G1210" t="str">
        <x:v>Office Supplies</x:v>
      </x:c>
      <x:c r="H1210" t="str">
        <x:v>Storage</x:v>
      </x:c>
      <x:c r="I1210" s="22" t="n">
        <x:v>338.04</x:v>
      </x:c>
      <x:c r="J1210" s="24" t="n">
        <x:v>3</x:v>
      </x:c>
      <x:c r="K1210" s="26" t="n">
        <x:v>0.2</x:v>
      </x:c>
      <x:c r="L1210" s="22" t="n">
        <x:v>-33.804</x:v>
      </x:c>
      <x:c r="M1210" t="n">
        <x:v>2016</x:v>
      </x:c>
      <x:c r="N1210" s="20" t="n">
        <x:v>42552</x:v>
      </x:c>
    </x:row>
    <x:row r="1211" ht="18" customHeight="1">
      <x:c r="A1211" t="str">
        <x:v>CA-2017-133235</x:v>
      </x:c>
      <x:c r="B1211" s="18" t="n">
        <x:v>42948</x:v>
      </x:c>
      <x:c r="C1211" t="str">
        <x:v>LH-16750</x:v>
      </x:c>
      <x:c r="D1211" t="str">
        <x:v>Larry Hughes</x:v>
      </x:c>
      <x:c r="E1211" t="str">
        <x:v>Consumer</x:v>
      </x:c>
      <x:c r="F1211" t="str">
        <x:v>South</x:v>
      </x:c>
      <x:c r="G1211" t="str">
        <x:v>Technology</x:v>
      </x:c>
      <x:c r="H1211" t="str">
        <x:v>Phones</x:v>
      </x:c>
      <x:c r="I1211" s="22" t="n">
        <x:v>271.96</x:v>
      </x:c>
      <x:c r="J1211" s="24" t="n">
        <x:v>5</x:v>
      </x:c>
      <x:c r="K1211" s="26" t="n">
        <x:v>0.2</x:v>
      </x:c>
      <x:c r="L1211" s="22" t="n">
        <x:v>16.997500000000016</x:v>
      </x:c>
      <x:c r="M1211" t="n">
        <x:v>2017</x:v>
      </x:c>
      <x:c r="N1211" s="20" t="n">
        <x:v>42948</x:v>
      </x:c>
    </x:row>
    <x:row r="1212" ht="18" customHeight="1">
      <x:c r="A1212" t="str">
        <x:v>CA-2016-137050</x:v>
      </x:c>
      <x:c r="B1212" s="18" t="n">
        <x:v>42565</x:v>
      </x:c>
      <x:c r="C1212" t="str">
        <x:v>SW-20755</x:v>
      </x:c>
      <x:c r="D1212" t="str">
        <x:v>Steven Ward</x:v>
      </x:c>
      <x:c r="E1212" t="str">
        <x:v>Corporate</x:v>
      </x:c>
      <x:c r="F1212" t="str">
        <x:v>East</x:v>
      </x:c>
      <x:c r="G1212" t="str">
        <x:v>Office Supplies</x:v>
      </x:c>
      <x:c r="H1212" t="str">
        <x:v>Storage</x:v>
      </x:c>
      <x:c r="I1212" s="22" t="n">
        <x:v>11.21</x:v>
      </x:c>
      <x:c r="J1212" s="24" t="n">
        <x:v>1</x:v>
      </x:c>
      <x:c r="K1212" s="26" t="n">
        <x:v>0</x:v>
      </x:c>
      <x:c r="L1212" s="22" t="n">
        <x:v>3.3629999999999995</x:v>
      </x:c>
      <x:c r="M1212" t="n">
        <x:v>2016</x:v>
      </x:c>
      <x:c r="N1212" s="20" t="n">
        <x:v>42552</x:v>
      </x:c>
    </x:row>
    <x:row r="1213" ht="18" customHeight="1">
      <x:c r="A1213" t="str">
        <x:v>CA-2016-137050</x:v>
      </x:c>
      <x:c r="B1213" s="18" t="n">
        <x:v>42565</x:v>
      </x:c>
      <x:c r="C1213" t="str">
        <x:v>SW-20755</x:v>
      </x:c>
      <x:c r="D1213" t="str">
        <x:v>Steven Ward</x:v>
      </x:c>
      <x:c r="E1213" t="str">
        <x:v>Corporate</x:v>
      </x:c>
      <x:c r="F1213" t="str">
        <x:v>East</x:v>
      </x:c>
      <x:c r="G1213" t="str">
        <x:v>Office Supplies</x:v>
      </x:c>
      <x:c r="H1213" t="str">
        <x:v>Binders</x:v>
      </x:c>
      <x:c r="I1213" s="22" t="n">
        <x:v>9.144</x:v>
      </x:c>
      <x:c r="J1213" s="24" t="n">
        <x:v>3</x:v>
      </x:c>
      <x:c r="K1213" s="26" t="n">
        <x:v>0.2</x:v>
      </x:c>
      <x:c r="L1213" s="22" t="n">
        <x:v>3.2003999999999997</x:v>
      </x:c>
      <x:c r="M1213" t="n">
        <x:v>2016</x:v>
      </x:c>
      <x:c r="N1213" s="20" t="n">
        <x:v>42552</x:v>
      </x:c>
    </x:row>
    <x:row r="1214" ht="18" customHeight="1">
      <x:c r="A1214" t="str">
        <x:v>CA-2016-137050</x:v>
      </x:c>
      <x:c r="B1214" s="18" t="n">
        <x:v>42565</x:v>
      </x:c>
      <x:c r="C1214" t="str">
        <x:v>SW-20755</x:v>
      </x:c>
      <x:c r="D1214" t="str">
        <x:v>Steven Ward</x:v>
      </x:c>
      <x:c r="E1214" t="str">
        <x:v>Corporate</x:v>
      </x:c>
      <x:c r="F1214" t="str">
        <x:v>East</x:v>
      </x:c>
      <x:c r="G1214" t="str">
        <x:v>Office Supplies</x:v>
      </x:c>
      <x:c r="H1214" t="str">
        <x:v>Fasteners</x:v>
      </x:c>
      <x:c r="I1214" s="22" t="n">
        <x:v>14.069999999999999</x:v>
      </x:c>
      <x:c r="J1214" s="24" t="n">
        <x:v>7</x:v>
      </x:c>
      <x:c r="K1214" s="26" t="n">
        <x:v>0</x:v>
      </x:c>
      <x:c r="L1214" s="22" t="n">
        <x:v>6.894299999999999</x:v>
      </x:c>
      <x:c r="M1214" t="n">
        <x:v>2016</x:v>
      </x:c>
      <x:c r="N1214" s="20" t="n">
        <x:v>42552</x:v>
      </x:c>
    </x:row>
    <x:row r="1215" ht="18" customHeight="1">
      <x:c r="A1215" t="str">
        <x:v>CA-2016-137050</x:v>
      </x:c>
      <x:c r="B1215" s="18" t="n">
        <x:v>42565</x:v>
      </x:c>
      <x:c r="C1215" t="str">
        <x:v>SW-20755</x:v>
      </x:c>
      <x:c r="D1215" t="str">
        <x:v>Steven Ward</x:v>
      </x:c>
      <x:c r="E1215" t="str">
        <x:v>Corporate</x:v>
      </x:c>
      <x:c r="F1215" t="str">
        <x:v>East</x:v>
      </x:c>
      <x:c r="G1215" t="str">
        <x:v>Office Supplies</x:v>
      </x:c>
      <x:c r="H1215" t="str">
        <x:v>Art</x:v>
      </x:c>
      <x:c r="I1215" s="22" t="n">
        <x:v>41.86</x:v>
      </x:c>
      <x:c r="J1215" s="24" t="n">
        <x:v>7</x:v>
      </x:c>
      <x:c r="K1215" s="26" t="n">
        <x:v>0</x:v>
      </x:c>
      <x:c r="L1215" s="22" t="n">
        <x:v>10.465</x:v>
      </x:c>
      <x:c r="M1215" t="n">
        <x:v>2016</x:v>
      </x:c>
      <x:c r="N1215" s="20" t="n">
        <x:v>42552</x:v>
      </x:c>
    </x:row>
    <x:row r="1216" ht="18" customHeight="1">
      <x:c r="A1216" t="str">
        <x:v>CA-2016-137050</x:v>
      </x:c>
      <x:c r="B1216" s="18" t="n">
        <x:v>42565</x:v>
      </x:c>
      <x:c r="C1216" t="str">
        <x:v>SW-20755</x:v>
      </x:c>
      <x:c r="D1216" t="str">
        <x:v>Steven Ward</x:v>
      </x:c>
      <x:c r="E1216" t="str">
        <x:v>Corporate</x:v>
      </x:c>
      <x:c r="F1216" t="str">
        <x:v>East</x:v>
      </x:c>
      <x:c r="G1216" t="str">
        <x:v>Office Supplies</x:v>
      </x:c>
      <x:c r="H1216" t="str">
        <x:v>Binders</x:v>
      </x:c>
      <x:c r="I1216" s="22" t="n">
        <x:v>8.544</x:v>
      </x:c>
      <x:c r="J1216" s="24" t="n">
        <x:v>2</x:v>
      </x:c>
      <x:c r="K1216" s="26" t="n">
        <x:v>0.2</x:v>
      </x:c>
      <x:c r="L1216" s="22" t="n">
        <x:v>2.8835999999999995</x:v>
      </x:c>
      <x:c r="M1216" t="n">
        <x:v>2016</x:v>
      </x:c>
      <x:c r="N1216" s="20" t="n">
        <x:v>42552</x:v>
      </x:c>
    </x:row>
    <x:row r="1217" ht="18" customHeight="1">
      <x:c r="A1217" t="str">
        <x:v>CA-2016-137050</x:v>
      </x:c>
      <x:c r="B1217" s="18" t="n">
        <x:v>42565</x:v>
      </x:c>
      <x:c r="C1217" t="str">
        <x:v>SW-20755</x:v>
      </x:c>
      <x:c r="D1217" t="str">
        <x:v>Steven Ward</x:v>
      </x:c>
      <x:c r="E1217" t="str">
        <x:v>Corporate</x:v>
      </x:c>
      <x:c r="F1217" t="str">
        <x:v>East</x:v>
      </x:c>
      <x:c r="G1217" t="str">
        <x:v>Furniture</x:v>
      </x:c>
      <x:c r="H1217" t="str">
        <x:v>Bookcases</x:v>
      </x:c>
      <x:c r="I1217" s="22" t="n">
        <x:v>579.136</x:v>
      </x:c>
      <x:c r="J1217" s="24" t="n">
        <x:v>4</x:v>
      </x:c>
      <x:c r="K1217" s="26" t="n">
        <x:v>0.2</x:v>
      </x:c>
      <x:c r="L1217" s="22" t="n">
        <x:v>21.717599999999948</x:v>
      </x:c>
      <x:c r="M1217" t="n">
        <x:v>2016</x:v>
      </x:c>
      <x:c r="N1217" s="20" t="n">
        <x:v>42552</x:v>
      </x:c>
    </x:row>
    <x:row r="1218" ht="18" customHeight="1">
      <x:c r="A1218" t="str">
        <x:v>US-2017-118087</x:v>
      </x:c>
      <x:c r="B1218" s="18" t="n">
        <x:v>42987</x:v>
      </x:c>
      <x:c r="C1218" t="str">
        <x:v>SP-20620</x:v>
      </x:c>
      <x:c r="D1218" t="str">
        <x:v>Stefania Perrino</x:v>
      </x:c>
      <x:c r="E1218" t="str">
        <x:v>Corporate</x:v>
      </x:c>
      <x:c r="F1218" t="str">
        <x:v>East</x:v>
      </x:c>
      <x:c r="G1218" t="str">
        <x:v>Furniture</x:v>
      </x:c>
      <x:c r="H1218" t="str">
        <x:v>Chairs</x:v>
      </x:c>
      <x:c r="I1218" s="22" t="n">
        <x:v>141.37199999999999</x:v>
      </x:c>
      <x:c r="J1218" s="24" t="n">
        <x:v>2</x:v>
      </x:c>
      <x:c r="K1218" s="26" t="n">
        <x:v>0.3</x:v>
      </x:c>
      <x:c r="L1218" s="22" t="n">
        <x:v>-48.47040000000002</x:v>
      </x:c>
      <x:c r="M1218" t="n">
        <x:v>2017</x:v>
      </x:c>
      <x:c r="N1218" s="20" t="n">
        <x:v>42979</x:v>
      </x:c>
    </x:row>
    <x:row r="1219" ht="18" customHeight="1">
      <x:c r="A1219" t="str">
        <x:v>US-2017-118087</x:v>
      </x:c>
      <x:c r="B1219" s="18" t="n">
        <x:v>42987</x:v>
      </x:c>
      <x:c r="C1219" t="str">
        <x:v>SP-20620</x:v>
      </x:c>
      <x:c r="D1219" t="str">
        <x:v>Stefania Perrino</x:v>
      </x:c>
      <x:c r="E1219" t="str">
        <x:v>Corporate</x:v>
      </x:c>
      <x:c r="F1219" t="str">
        <x:v>East</x:v>
      </x:c>
      <x:c r="G1219" t="str">
        <x:v>Office Supplies</x:v>
      </x:c>
      <x:c r="H1219" t="str">
        <x:v>Binders</x:v>
      </x:c>
      <x:c r="I1219" s="22" t="n">
        <x:v>3.036</x:v>
      </x:c>
      <x:c r="J1219" s="24" t="n">
        <x:v>2</x:v>
      </x:c>
      <x:c r="K1219" s="26" t="n">
        <x:v>0.7</x:v>
      </x:c>
      <x:c r="L1219" s="22" t="n">
        <x:v>-2.3275999999999994</x:v>
      </x:c>
      <x:c r="M1219" t="n">
        <x:v>2017</x:v>
      </x:c>
      <x:c r="N1219" s="20" t="n">
        <x:v>42979</x:v>
      </x:c>
    </x:row>
    <x:row r="1220" ht="18" customHeight="1">
      <x:c r="A1220" t="str">
        <x:v>US-2017-118087</x:v>
      </x:c>
      <x:c r="B1220" s="18" t="n">
        <x:v>42987</x:v>
      </x:c>
      <x:c r="C1220" t="str">
        <x:v>SP-20620</x:v>
      </x:c>
      <x:c r="D1220" t="str">
        <x:v>Stefania Perrino</x:v>
      </x:c>
      <x:c r="E1220" t="str">
        <x:v>Corporate</x:v>
      </x:c>
      <x:c r="F1220" t="str">
        <x:v>East</x:v>
      </x:c>
      <x:c r="G1220" t="str">
        <x:v>Office Supplies</x:v>
      </x:c>
      <x:c r="H1220" t="str">
        <x:v>Binders</x:v>
      </x:c>
      <x:c r="I1220" s="22" t="n">
        <x:v>4.503000000000001</x:v>
      </x:c>
      <x:c r="J1220" s="24" t="n">
        <x:v>1</x:v>
      </x:c>
      <x:c r="K1220" s="26" t="n">
        <x:v>0.7</x:v>
      </x:c>
      <x:c r="L1220" s="22" t="n">
        <x:v>-3.602400000000001</x:v>
      </x:c>
      <x:c r="M1220" t="n">
        <x:v>2017</x:v>
      </x:c>
      <x:c r="N1220" s="20" t="n">
        <x:v>42979</x:v>
      </x:c>
    </x:row>
    <x:row r="1221" ht="18" customHeight="1">
      <x:c r="A1221" t="str">
        <x:v>US-2017-118087</x:v>
      </x:c>
      <x:c r="B1221" s="18" t="n">
        <x:v>42987</x:v>
      </x:c>
      <x:c r="C1221" t="str">
        <x:v>SP-20620</x:v>
      </x:c>
      <x:c r="D1221" t="str">
        <x:v>Stefania Perrino</x:v>
      </x:c>
      <x:c r="E1221" t="str">
        <x:v>Corporate</x:v>
      </x:c>
      <x:c r="F1221" t="str">
        <x:v>East</x:v>
      </x:c>
      <x:c r="G1221" t="str">
        <x:v>Office Supplies</x:v>
      </x:c>
      <x:c r="H1221" t="str">
        <x:v>Art</x:v>
      </x:c>
      <x:c r="I1221" s="22" t="n">
        <x:v>4.672</x:v>
      </x:c>
      <x:c r="J1221" s="24" t="n">
        <x:v>1</x:v>
      </x:c>
      <x:c r="K1221" s="26" t="n">
        <x:v>0.2</x:v>
      </x:c>
      <x:c r="L1221" s="22" t="n">
        <x:v>1.5767999999999998</x:v>
      </x:c>
      <x:c r="M1221" t="n">
        <x:v>2017</x:v>
      </x:c>
      <x:c r="N1221" s="20" t="n">
        <x:v>42979</x:v>
      </x:c>
    </x:row>
    <x:row r="1222" ht="18" customHeight="1">
      <x:c r="A1222" t="str">
        <x:v>US-2017-118087</x:v>
      </x:c>
      <x:c r="B1222" s="18" t="n">
        <x:v>42987</x:v>
      </x:c>
      <x:c r="C1222" t="str">
        <x:v>SP-20620</x:v>
      </x:c>
      <x:c r="D1222" t="str">
        <x:v>Stefania Perrino</x:v>
      </x:c>
      <x:c r="E1222" t="str">
        <x:v>Corporate</x:v>
      </x:c>
      <x:c r="F1222" t="str">
        <x:v>East</x:v>
      </x:c>
      <x:c r="G1222" t="str">
        <x:v>Technology</x:v>
      </x:c>
      <x:c r="H1222" t="str">
        <x:v>Accessories</x:v>
      </x:c>
      <x:c r="I1222" s="22" t="n">
        <x:v>95.88000000000001</x:v>
      </x:c>
      <x:c r="J1222" s="24" t="n">
        <x:v>3</x:v>
      </x:c>
      <x:c r="K1222" s="26" t="n">
        <x:v>0.2</x:v>
      </x:c>
      <x:c r="L1222" s="22" t="n">
        <x:v>28.764000000000006</x:v>
      </x:c>
      <x:c r="M1222" t="n">
        <x:v>2017</x:v>
      </x:c>
      <x:c r="N1222" s="20" t="n">
        <x:v>42979</x:v>
      </x:c>
    </x:row>
    <x:row r="1223" ht="18" customHeight="1">
      <x:c r="A1223" t="str">
        <x:v>US-2017-118087</x:v>
      </x:c>
      <x:c r="B1223" s="18" t="n">
        <x:v>42987</x:v>
      </x:c>
      <x:c r="C1223" t="str">
        <x:v>SP-20620</x:v>
      </x:c>
      <x:c r="D1223" t="str">
        <x:v>Stefania Perrino</x:v>
      </x:c>
      <x:c r="E1223" t="str">
        <x:v>Corporate</x:v>
      </x:c>
      <x:c r="F1223" t="str">
        <x:v>East</x:v>
      </x:c>
      <x:c r="G1223" t="str">
        <x:v>Furniture</x:v>
      </x:c>
      <x:c r="H1223" t="str">
        <x:v>Furnishings</x:v>
      </x:c>
      <x:c r="I1223" s="22" t="n">
        <x:v>17.024</x:v>
      </x:c>
      <x:c r="J1223" s="24" t="n">
        <x:v>2</x:v>
      </x:c>
      <x:c r="K1223" s="26" t="n">
        <x:v>0.2</x:v>
      </x:c>
      <x:c r="L1223" s="22" t="n">
        <x:v>1.7024000000000008</x:v>
      </x:c>
      <x:c r="M1223" t="n">
        <x:v>2017</x:v>
      </x:c>
      <x:c r="N1223" s="20" t="n">
        <x:v>42979</x:v>
      </x:c>
    </x:row>
    <x:row r="1224" ht="18" customHeight="1">
      <x:c r="A1224" t="str">
        <x:v>US-2017-118087</x:v>
      </x:c>
      <x:c r="B1224" s="18" t="n">
        <x:v>42987</x:v>
      </x:c>
      <x:c r="C1224" t="str">
        <x:v>SP-20620</x:v>
      </x:c>
      <x:c r="D1224" t="str">
        <x:v>Stefania Perrino</x:v>
      </x:c>
      <x:c r="E1224" t="str">
        <x:v>Corporate</x:v>
      </x:c>
      <x:c r="F1224" t="str">
        <x:v>East</x:v>
      </x:c>
      <x:c r="G1224" t="str">
        <x:v>Technology</x:v>
      </x:c>
      <x:c r="H1224" t="str">
        <x:v>Accessories</x:v>
      </x:c>
      <x:c r="I1224" s="22" t="n">
        <x:v>258.696</x:v>
      </x:c>
      <x:c r="J1224" s="24" t="n">
        <x:v>3</x:v>
      </x:c>
      <x:c r="K1224" s="26" t="n">
        <x:v>0.2</x:v>
      </x:c>
      <x:c r="L1224" s="22" t="n">
        <x:v>64.674</x:v>
      </x:c>
      <x:c r="M1224" t="n">
        <x:v>2017</x:v>
      </x:c>
      <x:c r="N1224" s="20" t="n">
        <x:v>42979</x:v>
      </x:c>
    </x:row>
    <x:row r="1225" ht="18" customHeight="1">
      <x:c r="A1225" t="str">
        <x:v>US-2017-118087</x:v>
      </x:c>
      <x:c r="B1225" s="18" t="n">
        <x:v>42987</x:v>
      </x:c>
      <x:c r="C1225" t="str">
        <x:v>SP-20620</x:v>
      </x:c>
      <x:c r="D1225" t="str">
        <x:v>Stefania Perrino</x:v>
      </x:c>
      <x:c r="E1225" t="str">
        <x:v>Corporate</x:v>
      </x:c>
      <x:c r="F1225" t="str">
        <x:v>East</x:v>
      </x:c>
      <x:c r="G1225" t="str">
        <x:v>Technology</x:v>
      </x:c>
      <x:c r="H1225" t="str">
        <x:v>Phones</x:v>
      </x:c>
      <x:c r="I1225" s="22" t="n">
        <x:v>1931.9579999999999</x:v>
      </x:c>
      <x:c r="J1225" s="24" t="n">
        <x:v>7</x:v>
      </x:c>
      <x:c r="K1225" s="26" t="n">
        <x:v>0.4</x:v>
      </x:c>
      <x:c r="L1225" s="22" t="n">
        <x:v>-386.3915999999997</x:v>
      </x:c>
      <x:c r="M1225" t="n">
        <x:v>2017</x:v>
      </x:c>
      <x:c r="N1225" s="20" t="n">
        <x:v>42979</x:v>
      </x:c>
    </x:row>
    <x:row r="1226" ht="18" customHeight="1">
      <x:c r="A1226" t="str">
        <x:v>CA-2014-110184</x:v>
      </x:c>
      <x:c r="B1226" s="18" t="n">
        <x:v>41832</x:v>
      </x:c>
      <x:c r="C1226" t="str">
        <x:v>BF-11170</x:v>
      </x:c>
      <x:c r="D1226" t="str">
        <x:v>Ben Ferrer</x:v>
      </x:c>
      <x:c r="E1226" t="str">
        <x:v>Home Office</x:v>
      </x:c>
      <x:c r="F1226" t="str">
        <x:v>West</x:v>
      </x:c>
      <x:c r="G1226" t="str">
        <x:v>Office Supplies</x:v>
      </x:c>
      <x:c r="H1226" t="str">
        <x:v>Storage</x:v>
      </x:c>
      <x:c r="I1226" s="22" t="n">
        <x:v>249.75</x:v>
      </x:c>
      <x:c r="J1226" s="24" t="n">
        <x:v>9</x:v>
      </x:c>
      <x:c r="K1226" s="26" t="n">
        <x:v>0</x:v>
      </x:c>
      <x:c r="L1226" s="22" t="n">
        <x:v>44.95499999999998</x:v>
      </x:c>
      <x:c r="M1226" t="n">
        <x:v>2014</x:v>
      </x:c>
      <x:c r="N1226" s="20" t="n">
        <x:v>41821</x:v>
      </x:c>
    </x:row>
    <x:row r="1227" ht="18" customHeight="1">
      <x:c r="A1227" t="str">
        <x:v>CA-2014-110184</x:v>
      </x:c>
      <x:c r="B1227" s="18" t="n">
        <x:v>41832</x:v>
      </x:c>
      <x:c r="C1227" t="str">
        <x:v>BF-11170</x:v>
      </x:c>
      <x:c r="D1227" t="str">
        <x:v>Ben Ferrer</x:v>
      </x:c>
      <x:c r="E1227" t="str">
        <x:v>Home Office</x:v>
      </x:c>
      <x:c r="F1227" t="str">
        <x:v>West</x:v>
      </x:c>
      <x:c r="G1227" t="str">
        <x:v>Technology</x:v>
      </x:c>
      <x:c r="H1227" t="str">
        <x:v>Phones</x:v>
      </x:c>
      <x:c r="I1227" s="22" t="n">
        <x:v>255.93600000000004</x:v>
      </x:c>
      <x:c r="J1227" s="24" t="n">
        <x:v>8</x:v>
      </x:c>
      <x:c r="K1227" s="26" t="n">
        <x:v>0.2</x:v>
      </x:c>
      <x:c r="L1227" s="22" t="n">
        <x:v>28.79279999999997</x:v>
      </x:c>
      <x:c r="M1227" t="n">
        <x:v>2014</x:v>
      </x:c>
      <x:c r="N1227" s="20" t="n">
        <x:v>41821</x:v>
      </x:c>
    </x:row>
    <x:row r="1228" ht="18" customHeight="1">
      <x:c r="A1228" t="str">
        <x:v>CA-2016-126004</x:v>
      </x:c>
      <x:c r="B1228" s="18" t="n">
        <x:v>42708</x:v>
      </x:c>
      <x:c r="C1228" t="str">
        <x:v>BM-11140</x:v>
      </x:c>
      <x:c r="D1228" t="str">
        <x:v>Becky Martin</x:v>
      </x:c>
      <x:c r="E1228" t="str">
        <x:v>Consumer</x:v>
      </x:c>
      <x:c r="F1228" t="str">
        <x:v>East</x:v>
      </x:c>
      <x:c r="G1228" t="str">
        <x:v>Furniture</x:v>
      </x:c>
      <x:c r="H1228" t="str">
        <x:v>Furnishings</x:v>
      </x:c>
      <x:c r="I1228" s="22" t="n">
        <x:v>113.78999999999999</x:v>
      </x:c>
      <x:c r="J1228" s="24" t="n">
        <x:v>3</x:v>
      </x:c>
      <x:c r="K1228" s="26" t="n">
        <x:v>0</x:v>
      </x:c>
      <x:c r="L1228" s="22" t="n">
        <x:v>20.48219999999999</x:v>
      </x:c>
      <x:c r="M1228" t="n">
        <x:v>2016</x:v>
      </x:c>
      <x:c r="N1228" s="20" t="n">
        <x:v>42705</x:v>
      </x:c>
    </x:row>
    <x:row r="1229" ht="18" customHeight="1">
      <x:c r="A1229" t="str">
        <x:v>CA-2016-126004</x:v>
      </x:c>
      <x:c r="B1229" s="18" t="n">
        <x:v>42708</x:v>
      </x:c>
      <x:c r="C1229" t="str">
        <x:v>BM-11140</x:v>
      </x:c>
      <x:c r="D1229" t="str">
        <x:v>Becky Martin</x:v>
      </x:c>
      <x:c r="E1229" t="str">
        <x:v>Consumer</x:v>
      </x:c>
      <x:c r="F1229" t="str">
        <x:v>East</x:v>
      </x:c>
      <x:c r="G1229" t="str">
        <x:v>Technology</x:v>
      </x:c>
      <x:c r="H1229" t="str">
        <x:v>Accessories</x:v>
      </x:c>
      <x:c r="I1229" s="22" t="n">
        <x:v>78.15</x:v>
      </x:c>
      <x:c r="J1229" s="24" t="n">
        <x:v>1</x:v>
      </x:c>
      <x:c r="K1229" s="26" t="n">
        <x:v>0</x:v>
      </x:c>
      <x:c r="L1229" s="22" t="n">
        <x:v>34.38600000000001</x:v>
      </x:c>
      <x:c r="M1229" t="n">
        <x:v>2016</x:v>
      </x:c>
      <x:c r="N1229" s="20" t="n">
        <x:v>42705</x:v>
      </x:c>
    </x:row>
    <x:row r="1230" ht="18" customHeight="1">
      <x:c r="A1230" t="str">
        <x:v>CA-2016-126004</x:v>
      </x:c>
      <x:c r="B1230" s="18" t="n">
        <x:v>42708</x:v>
      </x:c>
      <x:c r="C1230" t="str">
        <x:v>BM-11140</x:v>
      </x:c>
      <x:c r="D1230" t="str">
        <x:v>Becky Martin</x:v>
      </x:c>
      <x:c r="E1230" t="str">
        <x:v>Consumer</x:v>
      </x:c>
      <x:c r="F1230" t="str">
        <x:v>East</x:v>
      </x:c>
      <x:c r="G1230" t="str">
        <x:v>Office Supplies</x:v>
      </x:c>
      <x:c r="H1230" t="str">
        <x:v>Binders</x:v>
      </x:c>
      <x:c r="I1230" s="22" t="n">
        <x:v>1.7280000000000002</x:v>
      </x:c>
      <x:c r="J1230" s="24" t="n">
        <x:v>1</x:v>
      </x:c>
      <x:c r="K1230" s="26" t="n">
        <x:v>0.2</x:v>
      </x:c>
      <x:c r="L1230" s="22" t="n">
        <x:v>0.6047999999999999</x:v>
      </x:c>
      <x:c r="M1230" t="n">
        <x:v>2016</x:v>
      </x:c>
      <x:c r="N1230" s="20" t="n">
        <x:v>42705</x:v>
      </x:c>
    </x:row>
    <x:row r="1231" ht="18" customHeight="1">
      <x:c r="A1231" t="str">
        <x:v>CA-2016-126004</x:v>
      </x:c>
      <x:c r="B1231" s="18" t="n">
        <x:v>42708</x:v>
      </x:c>
      <x:c r="C1231" t="str">
        <x:v>BM-11140</x:v>
      </x:c>
      <x:c r="D1231" t="str">
        <x:v>Becky Martin</x:v>
      </x:c>
      <x:c r="E1231" t="str">
        <x:v>Consumer</x:v>
      </x:c>
      <x:c r="F1231" t="str">
        <x:v>East</x:v>
      </x:c>
      <x:c r="G1231" t="str">
        <x:v>Office Supplies</x:v>
      </x:c>
      <x:c r="H1231" t="str">
        <x:v>Paper</x:v>
      </x:c>
      <x:c r="I1231" s="22" t="n">
        <x:v>40.56</x:v>
      </x:c>
      <x:c r="J1231" s="24" t="n">
        <x:v>4</x:v>
      </x:c>
      <x:c r="K1231" s="26" t="n">
        <x:v>0</x:v>
      </x:c>
      <x:c r="L1231" s="22" t="n">
        <x:v>19.8744</x:v>
      </x:c>
      <x:c r="M1231" t="n">
        <x:v>2016</x:v>
      </x:c>
      <x:c r="N1231" s="20" t="n">
        <x:v>42705</x:v>
      </x:c>
    </x:row>
    <x:row r="1232" ht="18" customHeight="1">
      <x:c r="A1232" t="str">
        <x:v>CA-2016-126004</x:v>
      </x:c>
      <x:c r="B1232" s="18" t="n">
        <x:v>42708</x:v>
      </x:c>
      <x:c r="C1232" t="str">
        <x:v>BM-11140</x:v>
      </x:c>
      <x:c r="D1232" t="str">
        <x:v>Becky Martin</x:v>
      </x:c>
      <x:c r="E1232" t="str">
        <x:v>Consumer</x:v>
      </x:c>
      <x:c r="F1232" t="str">
        <x:v>East</x:v>
      </x:c>
      <x:c r="G1232" t="str">
        <x:v>Office Supplies</x:v>
      </x:c>
      <x:c r="H1232" t="str">
        <x:v>Storage</x:v>
      </x:c>
      <x:c r="I1232" s="22" t="n">
        <x:v>182.94</x:v>
      </x:c>
      <x:c r="J1232" s="24" t="n">
        <x:v>3</x:v>
      </x:c>
      <x:c r="K1232" s="26" t="n">
        <x:v>0</x:v>
      </x:c>
      <x:c r="L1232" s="22" t="n">
        <x:v>3.6587999999999994</x:v>
      </x:c>
      <x:c r="M1232" t="n">
        <x:v>2016</x:v>
      </x:c>
      <x:c r="N1232" s="20" t="n">
        <x:v>42705</x:v>
      </x:c>
    </x:row>
    <x:row r="1233" ht="18" customHeight="1">
      <x:c r="A1233" t="str">
        <x:v>CA-2016-126004</x:v>
      </x:c>
      <x:c r="B1233" s="18" t="n">
        <x:v>42708</x:v>
      </x:c>
      <x:c r="C1233" t="str">
        <x:v>BM-11140</x:v>
      </x:c>
      <x:c r="D1233" t="str">
        <x:v>Becky Martin</x:v>
      </x:c>
      <x:c r="E1233" t="str">
        <x:v>Consumer</x:v>
      </x:c>
      <x:c r="F1233" t="str">
        <x:v>East</x:v>
      </x:c>
      <x:c r="G1233" t="str">
        <x:v>Office Supplies</x:v>
      </x:c>
      <x:c r="H1233" t="str">
        <x:v>Storage</x:v>
      </x:c>
      <x:c r="I1233" s="22" t="n">
        <x:v>193.86</x:v>
      </x:c>
      <x:c r="J1233" s="24" t="n">
        <x:v>2</x:v>
      </x:c>
      <x:c r="K1233" s="26" t="n">
        <x:v>0</x:v>
      </x:c>
      <x:c r="L1233" s="22" t="n">
        <x:v>11.631599999999992</x:v>
      </x:c>
      <x:c r="M1233" t="n">
        <x:v>2016</x:v>
      </x:c>
      <x:c r="N1233" s="20" t="n">
        <x:v>42705</x:v>
      </x:c>
    </x:row>
    <x:row r="1234" ht="18" customHeight="1">
      <x:c r="A1234" t="str">
        <x:v>CA-2017-100013</x:v>
      </x:c>
      <x:c r="B1234" s="18" t="n">
        <x:v>43045</x:v>
      </x:c>
      <x:c r="C1234" t="str">
        <x:v>ZC-21910</x:v>
      </x:c>
      <x:c r="D1234" t="str">
        <x:v>Zuschuss Carroll</x:v>
      </x:c>
      <x:c r="E1234" t="str">
        <x:v>Consumer</x:v>
      </x:c>
      <x:c r="F1234" t="str">
        <x:v>West</x:v>
      </x:c>
      <x:c r="G1234" t="str">
        <x:v>Office Supplies</x:v>
      </x:c>
      <x:c r="H1234" t="str">
        <x:v>Envelopes</x:v>
      </x:c>
      <x:c r="I1234" s="22" t="n">
        <x:v>15.28</x:v>
      </x:c>
      <x:c r="J1234" s="24" t="n">
        <x:v>2</x:v>
      </x:c>
      <x:c r="K1234" s="26" t="n">
        <x:v>0</x:v>
      </x:c>
      <x:c r="L1234" s="22" t="n">
        <x:v>7.4872</x:v>
      </x:c>
      <x:c r="M1234" t="n">
        <x:v>2017</x:v>
      </x:c>
      <x:c r="N1234" s="20" t="n">
        <x:v>43040</x:v>
      </x:c>
    </x:row>
    <x:row r="1235" ht="18" customHeight="1">
      <x:c r="A1235" t="str">
        <x:v>CA-2017-100013</x:v>
      </x:c>
      <x:c r="B1235" s="18" t="n">
        <x:v>43045</x:v>
      </x:c>
      <x:c r="C1235" t="str">
        <x:v>ZC-21910</x:v>
      </x:c>
      <x:c r="D1235" t="str">
        <x:v>Zuschuss Carroll</x:v>
      </x:c>
      <x:c r="E1235" t="str">
        <x:v>Consumer</x:v>
      </x:c>
      <x:c r="F1235" t="str">
        <x:v>West</x:v>
      </x:c>
      <x:c r="G1235" t="str">
        <x:v>Furniture</x:v>
      </x:c>
      <x:c r="H1235" t="str">
        <x:v>Furnishings</x:v>
      </x:c>
      <x:c r="I1235" s="22" t="n">
        <x:v>8.73</x:v>
      </x:c>
      <x:c r="J1235" s="24" t="n">
        <x:v>1</x:v>
      </x:c>
      <x:c r="K1235" s="26" t="n">
        <x:v>0</x:v>
      </x:c>
      <x:c r="L1235" s="22" t="n">
        <x:v>2.9681999999999995</x:v>
      </x:c>
      <x:c r="M1235" t="n">
        <x:v>2017</x:v>
      </x:c>
      <x:c r="N1235" s="20" t="n">
        <x:v>43040</x:v>
      </x:c>
    </x:row>
    <x:row r="1236" ht="18" customHeight="1">
      <x:c r="A1236" t="str">
        <x:v>CA-2017-100013</x:v>
      </x:c>
      <x:c r="B1236" s="18" t="n">
        <x:v>43045</x:v>
      </x:c>
      <x:c r="C1236" t="str">
        <x:v>ZC-21910</x:v>
      </x:c>
      <x:c r="D1236" t="str">
        <x:v>Zuschuss Carroll</x:v>
      </x:c>
      <x:c r="E1236" t="str">
        <x:v>Consumer</x:v>
      </x:c>
      <x:c r="F1236" t="str">
        <x:v>West</x:v>
      </x:c>
      <x:c r="G1236" t="str">
        <x:v>Office Supplies</x:v>
      </x:c>
      <x:c r="H1236" t="str">
        <x:v>Art</x:v>
      </x:c>
      <x:c r="I1236" s="22" t="n">
        <x:v>5.68</x:v>
      </x:c>
      <x:c r="J1236" s="24" t="n">
        <x:v>2</x:v>
      </x:c>
      <x:c r="K1236" s="26" t="n">
        <x:v>0</x:v>
      </x:c>
      <x:c r="L1236" s="22" t="n">
        <x:v>1.7607999999999997</x:v>
      </x:c>
      <x:c r="M1236" t="n">
        <x:v>2017</x:v>
      </x:c>
      <x:c r="N1236" s="20" t="n">
        <x:v>43040</x:v>
      </x:c>
    </x:row>
    <x:row r="1237" ht="18" customHeight="1">
      <x:c r="A1237" t="str">
        <x:v>CA-2015-132570</x:v>
      </x:c>
      <x:c r="B1237" s="18" t="n">
        <x:v>42308</x:v>
      </x:c>
      <x:c r="C1237" t="str">
        <x:v>KT-16480</x:v>
      </x:c>
      <x:c r="D1237" t="str">
        <x:v>Kean Thornton</x:v>
      </x:c>
      <x:c r="E1237" t="str">
        <x:v>Consumer</x:v>
      </x:c>
      <x:c r="F1237" t="str">
        <x:v>East</x:v>
      </x:c>
      <x:c r="G1237" t="str">
        <x:v>Office Supplies</x:v>
      </x:c>
      <x:c r="H1237" t="str">
        <x:v>Art</x:v>
      </x:c>
      <x:c r="I1237" s="22" t="n">
        <x:v>2.78</x:v>
      </x:c>
      <x:c r="J1237" s="24" t="n">
        <x:v>2</x:v>
      </x:c>
      <x:c r="K1237" s="26" t="n">
        <x:v>0</x:v>
      </x:c>
      <x:c r="L1237" s="22" t="n">
        <x:v>0.7227999999999999</x:v>
      </x:c>
      <x:c r="M1237" t="n">
        <x:v>2015</x:v>
      </x:c>
      <x:c r="N1237" s="20" t="n">
        <x:v>42278</x:v>
      </x:c>
    </x:row>
    <x:row r="1238" ht="18" customHeight="1">
      <x:c r="A1238" t="str">
        <x:v>CA-2015-132570</x:v>
      </x:c>
      <x:c r="B1238" s="18" t="n">
        <x:v>42308</x:v>
      </x:c>
      <x:c r="C1238" t="str">
        <x:v>KT-16480</x:v>
      </x:c>
      <x:c r="D1238" t="str">
        <x:v>Kean Thornton</x:v>
      </x:c>
      <x:c r="E1238" t="str">
        <x:v>Consumer</x:v>
      </x:c>
      <x:c r="F1238" t="str">
        <x:v>East</x:v>
      </x:c>
      <x:c r="G1238" t="str">
        <x:v>Office Supplies</x:v>
      </x:c>
      <x:c r="H1238" t="str">
        <x:v>Envelopes</x:v>
      </x:c>
      <x:c r="I1238" s="22" t="n">
        <x:v>79.96</x:v>
      </x:c>
      <x:c r="J1238" s="24" t="n">
        <x:v>2</x:v>
      </x:c>
      <x:c r="K1238" s="26" t="n">
        <x:v>0</x:v>
      </x:c>
      <x:c r="L1238" s="22" t="n">
        <x:v>35.98199999999999</x:v>
      </x:c>
      <x:c r="M1238" t="n">
        <x:v>2015</x:v>
      </x:c>
      <x:c r="N1238" s="20" t="n">
        <x:v>42278</x:v>
      </x:c>
    </x:row>
    <x:row r="1239" ht="18" customHeight="1">
      <x:c r="A1239" t="str">
        <x:v>CA-2016-153682</x:v>
      </x:c>
      <x:c r="B1239" s="18" t="n">
        <x:v>42520</x:v>
      </x:c>
      <x:c r="C1239" t="str">
        <x:v>BG-11695</x:v>
      </x:c>
      <x:c r="D1239" t="str">
        <x:v>Brooke Gillingham</x:v>
      </x:c>
      <x:c r="E1239" t="str">
        <x:v>Corporate</x:v>
      </x:c>
      <x:c r="F1239" t="str">
        <x:v>East</x:v>
      </x:c>
      <x:c r="G1239" t="str">
        <x:v>Technology</x:v>
      </x:c>
      <x:c r="H1239" t="str">
        <x:v>Copiers</x:v>
      </x:c>
      <x:c r="I1239" s="22" t="n">
        <x:v>839.9879999999999</x:v>
      </x:c>
      <x:c r="J1239" s="24" t="n">
        <x:v>2</x:v>
      </x:c>
      <x:c r="K1239" s="26" t="n">
        <x:v>0.4</x:v>
      </x:c>
      <x:c r="L1239" s="22" t="n">
        <x:v>69.99899999999991</x:v>
      </x:c>
      <x:c r="M1239" t="n">
        <x:v>2016</x:v>
      </x:c>
      <x:c r="N1239" s="20" t="n">
        <x:v>42491</x:v>
      </x:c>
    </x:row>
    <x:row r="1240" ht="18" customHeight="1">
      <x:c r="A1240" t="str">
        <x:v>CA-2016-144344</x:v>
      </x:c>
      <x:c r="B1240" s="18" t="n">
        <x:v>42671</x:v>
      </x:c>
      <x:c r="C1240" t="str">
        <x:v>PG-18820</x:v>
      </x:c>
      <x:c r="D1240" t="str">
        <x:v>Patrick Gardner</x:v>
      </x:c>
      <x:c r="E1240" t="str">
        <x:v>Consumer</x:v>
      </x:c>
      <x:c r="F1240" t="str">
        <x:v>South</x:v>
      </x:c>
      <x:c r="G1240" t="str">
        <x:v>Furniture</x:v>
      </x:c>
      <x:c r="H1240" t="str">
        <x:v>Furnishings</x:v>
      </x:c>
      <x:c r="I1240" s="22" t="n">
        <x:v>47.952000000000005</x:v>
      </x:c>
      <x:c r="J1240" s="24" t="n">
        <x:v>3</x:v>
      </x:c>
      <x:c r="K1240" s="26" t="n">
        <x:v>0.2</x:v>
      </x:c>
      <x:c r="L1240" s="22" t="n">
        <x:v>13.786200000000006</x:v>
      </x:c>
      <x:c r="M1240" t="n">
        <x:v>2016</x:v>
      </x:c>
      <x:c r="N1240" s="20" t="n">
        <x:v>42644</x:v>
      </x:c>
    </x:row>
    <x:row r="1241" ht="18" customHeight="1">
      <x:c r="A1241" t="str">
        <x:v>CA-2016-144344</x:v>
      </x:c>
      <x:c r="B1241" s="18" t="n">
        <x:v>42671</x:v>
      </x:c>
      <x:c r="C1241" t="str">
        <x:v>PG-18820</x:v>
      </x:c>
      <x:c r="D1241" t="str">
        <x:v>Patrick Gardner</x:v>
      </x:c>
      <x:c r="E1241" t="str">
        <x:v>Consumer</x:v>
      </x:c>
      <x:c r="F1241" t="str">
        <x:v>South</x:v>
      </x:c>
      <x:c r="G1241" t="str">
        <x:v>Office Supplies</x:v>
      </x:c>
      <x:c r="H1241" t="str">
        <x:v>Binders</x:v>
      </x:c>
      <x:c r="I1241" s="22" t="n">
        <x:v>37.425000000000004</x:v>
      </x:c>
      <x:c r="J1241" s="24" t="n">
        <x:v>5</x:v>
      </x:c>
      <x:c r="K1241" s="26" t="n">
        <x:v>0.7</x:v>
      </x:c>
      <x:c r="L1241" s="22" t="n">
        <x:v>-29.940000000000012</x:v>
      </x:c>
      <x:c r="M1241" t="n">
        <x:v>2016</x:v>
      </x:c>
      <x:c r="N1241" s="20" t="n">
        <x:v>42644</x:v>
      </x:c>
    </x:row>
    <x:row r="1242" ht="18" customHeight="1">
      <x:c r="A1242" t="str">
        <x:v>CA-2016-144344</x:v>
      </x:c>
      <x:c r="B1242" s="18" t="n">
        <x:v>42671</x:v>
      </x:c>
      <x:c r="C1242" t="str">
        <x:v>PG-18820</x:v>
      </x:c>
      <x:c r="D1242" t="str">
        <x:v>Patrick Gardner</x:v>
      </x:c>
      <x:c r="E1242" t="str">
        <x:v>Consumer</x:v>
      </x:c>
      <x:c r="F1242" t="str">
        <x:v>South</x:v>
      </x:c>
      <x:c r="G1242" t="str">
        <x:v>Furniture</x:v>
      </x:c>
      <x:c r="H1242" t="str">
        <x:v>Furnishings</x:v>
      </x:c>
      <x:c r="I1242" s="22" t="n">
        <x:v>63.967999999999996</x:v>
      </x:c>
      <x:c r="J1242" s="24" t="n">
        <x:v>2</x:v>
      </x:c>
      <x:c r="K1242" s="26" t="n">
        <x:v>0.2</x:v>
      </x:c>
      <x:c r="L1242" s="22" t="n">
        <x:v>0</x:v>
      </x:c>
      <x:c r="M1242" t="n">
        <x:v>2016</x:v>
      </x:c>
      <x:c r="N1242" s="20" t="n">
        <x:v>42644</x:v>
      </x:c>
    </x:row>
    <x:row r="1243" ht="18" customHeight="1">
      <x:c r="A1243" t="str">
        <x:v>CA-2016-144344</x:v>
      </x:c>
      <x:c r="B1243" s="18" t="n">
        <x:v>42671</x:v>
      </x:c>
      <x:c r="C1243" t="str">
        <x:v>PG-18820</x:v>
      </x:c>
      <x:c r="D1243" t="str">
        <x:v>Patrick Gardner</x:v>
      </x:c>
      <x:c r="E1243" t="str">
        <x:v>Consumer</x:v>
      </x:c>
      <x:c r="F1243" t="str">
        <x:v>South</x:v>
      </x:c>
      <x:c r="G1243" t="str">
        <x:v>Furniture</x:v>
      </x:c>
      <x:c r="H1243" t="str">
        <x:v>Furnishings</x:v>
      </x:c>
      <x:c r="I1243" s="22" t="n">
        <x:v>165.048</x:v>
      </x:c>
      <x:c r="J1243" s="24" t="n">
        <x:v>3</x:v>
      </x:c>
      <x:c r="K1243" s="26" t="n">
        <x:v>0.2</x:v>
      </x:c>
      <x:c r="L1243" s="22" t="n">
        <x:v>41.262</x:v>
      </x:c>
      <x:c r="M1243" t="n">
        <x:v>2016</x:v>
      </x:c>
      <x:c r="N1243" s="20" t="n">
        <x:v>42644</x:v>
      </x:c>
    </x:row>
    <x:row r="1244" ht="18" customHeight="1">
      <x:c r="A1244" t="str">
        <x:v>CA-2014-127012</x:v>
      </x:c>
      <x:c r="B1244" s="18" t="n">
        <x:v>41862</x:v>
      </x:c>
      <x:c r="C1244" t="str">
        <x:v>GM-14680</x:v>
      </x:c>
      <x:c r="D1244" t="str">
        <x:v>Greg Matthias</x:v>
      </x:c>
      <x:c r="E1244" t="str">
        <x:v>Consumer</x:v>
      </x:c>
      <x:c r="F1244" t="str">
        <x:v>West</x:v>
      </x:c>
      <x:c r="G1244" t="str">
        <x:v>Furniture</x:v>
      </x:c>
      <x:c r="H1244" t="str">
        <x:v>Furnishings</x:v>
      </x:c>
      <x:c r="I1244" s="22" t="n">
        <x:v>12.35</x:v>
      </x:c>
      <x:c r="J1244" s="24" t="n">
        <x:v>1</x:v>
      </x:c>
      <x:c r="K1244" s="26" t="n">
        <x:v>0</x:v>
      </x:c>
      <x:c r="L1244" s="22" t="n">
        <x:v>5.434</x:v>
      </x:c>
      <x:c r="M1244" t="n">
        <x:v>2014</x:v>
      </x:c>
      <x:c r="N1244" s="20" t="n">
        <x:v>41852</x:v>
      </x:c>
    </x:row>
    <x:row r="1245" ht="18" customHeight="1">
      <x:c r="A1245" t="str">
        <x:v>CA-2014-127012</x:v>
      </x:c>
      <x:c r="B1245" s="18" t="n">
        <x:v>41862</x:v>
      </x:c>
      <x:c r="C1245" t="str">
        <x:v>GM-14680</x:v>
      </x:c>
      <x:c r="D1245" t="str">
        <x:v>Greg Matthias</x:v>
      </x:c>
      <x:c r="E1245" t="str">
        <x:v>Consumer</x:v>
      </x:c>
      <x:c r="F1245" t="str">
        <x:v>West</x:v>
      </x:c>
      <x:c r="G1245" t="str">
        <x:v>Office Supplies</x:v>
      </x:c>
      <x:c r="H1245" t="str">
        <x:v>Art</x:v>
      </x:c>
      <x:c r="I1245" s="22" t="n">
        <x:v>40.97</x:v>
      </x:c>
      <x:c r="J1245" s="24" t="n">
        <x:v>1</x:v>
      </x:c>
      <x:c r="K1245" s="26" t="n">
        <x:v>0</x:v>
      </x:c>
      <x:c r="L1245" s="22" t="n">
        <x:v>10.6522</x:v>
      </x:c>
      <x:c r="M1245" t="n">
        <x:v>2014</x:v>
      </x:c>
      <x:c r="N1245" s="20" t="n">
        <x:v>41852</x:v>
      </x:c>
    </x:row>
    <x:row r="1246" ht="18" customHeight="1">
      <x:c r="A1246" t="str">
        <x:v>CA-2014-127012</x:v>
      </x:c>
      <x:c r="B1246" s="18" t="n">
        <x:v>41862</x:v>
      </x:c>
      <x:c r="C1246" t="str">
        <x:v>GM-14680</x:v>
      </x:c>
      <x:c r="D1246" t="str">
        <x:v>Greg Matthias</x:v>
      </x:c>
      <x:c r="E1246" t="str">
        <x:v>Consumer</x:v>
      </x:c>
      <x:c r="F1246" t="str">
        <x:v>West</x:v>
      </x:c>
      <x:c r="G1246" t="str">
        <x:v>Office Supplies</x:v>
      </x:c>
      <x:c r="H1246" t="str">
        <x:v>Fasteners</x:v>
      </x:c>
      <x:c r="I1246" s="22" t="n">
        <x:v>22.96</x:v>
      </x:c>
      <x:c r="J1246" s="24" t="n">
        <x:v>2</x:v>
      </x:c>
      <x:c r="K1246" s="26" t="n">
        <x:v>0</x:v>
      </x:c>
      <x:c r="L1246" s="22" t="n">
        <x:v>10.7912</x:v>
      </x:c>
      <x:c r="M1246" t="n">
        <x:v>2014</x:v>
      </x:c>
      <x:c r="N1246" s="20" t="n">
        <x:v>41852</x:v>
      </x:c>
    </x:row>
    <x:row r="1247" ht="18" customHeight="1">
      <x:c r="A1247" t="str">
        <x:v>CA-2016-128727</x:v>
      </x:c>
      <x:c r="B1247" s="18" t="n">
        <x:v>42611</x:v>
      </x:c>
      <x:c r="C1247" t="str">
        <x:v>MO-17800</x:v>
      </x:c>
      <x:c r="D1247" t="str">
        <x:v>Meg O'Connel</x:v>
      </x:c>
      <x:c r="E1247" t="str">
        <x:v>Home Office</x:v>
      </x:c>
      <x:c r="F1247" t="str">
        <x:v>East</x:v>
      </x:c>
      <x:c r="G1247" t="str">
        <x:v>Technology</x:v>
      </x:c>
      <x:c r="H1247" t="str">
        <x:v>Phones</x:v>
      </x:c>
      <x:c r="I1247" s="22" t="n">
        <x:v>22</x:v>
      </x:c>
      <x:c r="J1247" s="24" t="n">
        <x:v>4</x:v>
      </x:c>
      <x:c r="K1247" s="26" t="n">
        <x:v>0</x:v>
      </x:c>
      <x:c r="L1247" s="22" t="n">
        <x:v>5.5</x:v>
      </x:c>
      <x:c r="M1247" t="n">
        <x:v>2016</x:v>
      </x:c>
      <x:c r="N1247" s="20" t="n">
        <x:v>42583</x:v>
      </x:c>
    </x:row>
    <x:row r="1248" ht="18" customHeight="1">
      <x:c r="A1248" t="str">
        <x:v>US-2016-162859</x:v>
      </x:c>
      <x:c r="B1248" s="18" t="n">
        <x:v>42415</x:v>
      </x:c>
      <x:c r="C1248" t="str">
        <x:v>PG-18820</x:v>
      </x:c>
      <x:c r="D1248" t="str">
        <x:v>Patrick Gardner</x:v>
      </x:c>
      <x:c r="E1248" t="str">
        <x:v>Consumer</x:v>
      </x:c>
      <x:c r="F1248" t="str">
        <x:v>East</x:v>
      </x:c>
      <x:c r="G1248" t="str">
        <x:v>Office Supplies</x:v>
      </x:c>
      <x:c r="H1248" t="str">
        <x:v>Binders</x:v>
      </x:c>
      <x:c r="I1248" s="22" t="n">
        <x:v>398.352</x:v>
      </x:c>
      <x:c r="J1248" s="24" t="n">
        <x:v>3</x:v>
      </x:c>
      <x:c r="K1248" s="26" t="n">
        <x:v>0.2</x:v>
      </x:c>
      <x:c r="L1248" s="22" t="n">
        <x:v>124.48499999999999</x:v>
      </x:c>
      <x:c r="M1248" t="n">
        <x:v>2016</x:v>
      </x:c>
      <x:c r="N1248" s="20" t="n">
        <x:v>42401</x:v>
      </x:c>
    </x:row>
    <x:row r="1249" ht="18" customHeight="1">
      <x:c r="A1249" t="str">
        <x:v>US-2016-162859</x:v>
      </x:c>
      <x:c r="B1249" s="18" t="n">
        <x:v>42415</x:v>
      </x:c>
      <x:c r="C1249" t="str">
        <x:v>PG-18820</x:v>
      </x:c>
      <x:c r="D1249" t="str">
        <x:v>Patrick Gardner</x:v>
      </x:c>
      <x:c r="E1249" t="str">
        <x:v>Consumer</x:v>
      </x:c>
      <x:c r="F1249" t="str">
        <x:v>East</x:v>
      </x:c>
      <x:c r="G1249" t="str">
        <x:v>Office Supplies</x:v>
      </x:c>
      <x:c r="H1249" t="str">
        <x:v>Fasteners</x:v>
      </x:c>
      <x:c r="I1249" s="22" t="n">
        <x:v>8.72</x:v>
      </x:c>
      <x:c r="J1249" s="24" t="n">
        <x:v>4</x:v>
      </x:c>
      <x:c r="K1249" s="26" t="n">
        <x:v>0</x:v>
      </x:c>
      <x:c r="L1249" s="22" t="n">
        <x:v>3.5752000000000006</x:v>
      </x:c>
      <x:c r="M1249" t="n">
        <x:v>2016</x:v>
      </x:c>
      <x:c r="N1249" s="20" t="n">
        <x:v>42401</x:v>
      </x:c>
    </x:row>
    <x:row r="1250" ht="18" customHeight="1">
      <x:c r="A1250" t="str">
        <x:v>CA-2017-133641</x:v>
      </x:c>
      <x:c r="B1250" s="18" t="n">
        <x:v>42869</x:v>
      </x:c>
      <x:c r="C1250" t="str">
        <x:v>EJ-14155</x:v>
      </x:c>
      <x:c r="D1250" t="str">
        <x:v>Eva Jacobs</x:v>
      </x:c>
      <x:c r="E1250" t="str">
        <x:v>Consumer</x:v>
      </x:c>
      <x:c r="F1250" t="str">
        <x:v>South</x:v>
      </x:c>
      <x:c r="G1250" t="str">
        <x:v>Office Supplies</x:v>
      </x:c>
      <x:c r="H1250" t="str">
        <x:v>Envelopes</x:v>
      </x:c>
      <x:c r="I1250" s="22" t="n">
        <x:v>48.69</x:v>
      </x:c>
      <x:c r="J1250" s="24" t="n">
        <x:v>9</x:v>
      </x:c>
      <x:c r="K1250" s="26" t="n">
        <x:v>0</x:v>
      </x:c>
      <x:c r="L1250" s="22" t="n">
        <x:v>23.8581</x:v>
      </x:c>
      <x:c r="M1250" t="n">
        <x:v>2017</x:v>
      </x:c>
      <x:c r="N1250" s="20" t="n">
        <x:v>42856</x:v>
      </x:c>
    </x:row>
    <x:row r="1251" ht="18" customHeight="1">
      <x:c r="A1251" t="str">
        <x:v>CA-2014-168494</x:v>
      </x:c>
      <x:c r="B1251" s="18" t="n">
        <x:v>41985</x:v>
      </x:c>
      <x:c r="C1251" t="str">
        <x:v>NP-18700</x:v>
      </x:c>
      <x:c r="D1251" t="str">
        <x:v>Nora Preis</x:v>
      </x:c>
      <x:c r="E1251" t="str">
        <x:v>Consumer</x:v>
      </x:c>
      <x:c r="F1251" t="str">
        <x:v>West</x:v>
      </x:c>
      <x:c r="G1251" t="str">
        <x:v>Furniture</x:v>
      </x:c>
      <x:c r="H1251" t="str">
        <x:v>Tables</x:v>
      </x:c>
      <x:c r="I1251" s="22" t="n">
        <x:v>764.6880000000001</x:v>
      </x:c>
      <x:c r="J1251" s="24" t="n">
        <x:v>6</x:v>
      </x:c>
      <x:c r="K1251" s="26" t="n">
        <x:v>0.2</x:v>
      </x:c>
      <x:c r="L1251" s="22" t="n">
        <x:v>95.5859999999999</x:v>
      </x:c>
      <x:c r="M1251" t="n">
        <x:v>2014</x:v>
      </x:c>
      <x:c r="N1251" s="20" t="n">
        <x:v>41974</x:v>
      </x:c>
    </x:row>
    <x:row r="1252" ht="18" customHeight="1">
      <x:c r="A1252" t="str">
        <x:v>CA-2014-168494</x:v>
      </x:c>
      <x:c r="B1252" s="18" t="n">
        <x:v>41985</x:v>
      </x:c>
      <x:c r="C1252" t="str">
        <x:v>NP-18700</x:v>
      </x:c>
      <x:c r="D1252" t="str">
        <x:v>Nora Preis</x:v>
      </x:c>
      <x:c r="E1252" t="str">
        <x:v>Consumer</x:v>
      </x:c>
      <x:c r="F1252" t="str">
        <x:v>West</x:v>
      </x:c>
      <x:c r="G1252" t="str">
        <x:v>Furniture</x:v>
      </x:c>
      <x:c r="H1252" t="str">
        <x:v>Tables</x:v>
      </x:c>
      <x:c r="I1252" s="22" t="n">
        <x:v>3610.848</x:v>
      </x:c>
      <x:c r="J1252" s="24" t="n">
        <x:v>12</x:v>
      </x:c>
      <x:c r="K1252" s="26" t="n">
        <x:v>0.2</x:v>
      </x:c>
      <x:c r="L1252" s="22" t="n">
        <x:v>135.4068000000002</x:v>
      </x:c>
      <x:c r="M1252" t="n">
        <x:v>2014</x:v>
      </x:c>
      <x:c r="N1252" s="20" t="n">
        <x:v>41974</x:v>
      </x:c>
    </x:row>
    <x:row r="1253" ht="18" customHeight="1">
      <x:c r="A1253" t="str">
        <x:v>CA-2014-168494</x:v>
      </x:c>
      <x:c r="B1253" s="18" t="n">
        <x:v>41985</x:v>
      </x:c>
      <x:c r="C1253" t="str">
        <x:v>NP-18700</x:v>
      </x:c>
      <x:c r="D1253" t="str">
        <x:v>Nora Preis</x:v>
      </x:c>
      <x:c r="E1253" t="str">
        <x:v>Consumer</x:v>
      </x:c>
      <x:c r="F1253" t="str">
        <x:v>West</x:v>
      </x:c>
      <x:c r="G1253" t="str">
        <x:v>Furniture</x:v>
      </x:c>
      <x:c r="H1253" t="str">
        <x:v>Bookcases</x:v>
      </x:c>
      <x:c r="I1253" s="22" t="n">
        <x:v>254.97449999999998</x:v>
      </x:c>
      <x:c r="J1253" s="24" t="n">
        <x:v>3</x:v>
      </x:c>
      <x:c r="K1253" s="26" t="n">
        <x:v>0.15</x:v>
      </x:c>
      <x:c r="L1253" s="22" t="n">
        <x:v>11.998799999999989</x:v>
      </x:c>
      <x:c r="M1253" t="n">
        <x:v>2014</x:v>
      </x:c>
      <x:c r="N1253" s="20" t="n">
        <x:v>41974</x:v>
      </x:c>
    </x:row>
    <x:row r="1254" ht="18" customHeight="1">
      <x:c r="A1254" t="str">
        <x:v>CA-2017-115602</x:v>
      </x:c>
      <x:c r="B1254" s="18" t="n">
        <x:v>43087</x:v>
      </x:c>
      <x:c r="C1254" t="str">
        <x:v>DJ-13630</x:v>
      </x:c>
      <x:c r="D1254" t="str">
        <x:v>Doug Jacobs</x:v>
      </x:c>
      <x:c r="E1254" t="str">
        <x:v>Consumer</x:v>
      </x:c>
      <x:c r="F1254" t="str">
        <x:v>East</x:v>
      </x:c>
      <x:c r="G1254" t="str">
        <x:v>Office Supplies</x:v>
      </x:c>
      <x:c r="H1254" t="str">
        <x:v>Art</x:v>
      </x:c>
      <x:c r="I1254" s="22" t="n">
        <x:v>38.82</x:v>
      </x:c>
      <x:c r="J1254" s="24" t="n">
        <x:v>6</x:v>
      </x:c>
      <x:c r="K1254" s="26" t="n">
        <x:v>0</x:v>
      </x:c>
      <x:c r="L1254" s="22" t="n">
        <x:v>17.468999999999998</x:v>
      </x:c>
      <x:c r="M1254" t="n">
        <x:v>2017</x:v>
      </x:c>
      <x:c r="N1254" s="20" t="n">
        <x:v>43070</x:v>
      </x:c>
    </x:row>
    <x:row r="1255" ht="18" customHeight="1">
      <x:c r="A1255" t="str">
        <x:v>CA-2017-115602</x:v>
      </x:c>
      <x:c r="B1255" s="18" t="n">
        <x:v>43087</x:v>
      </x:c>
      <x:c r="C1255" t="str">
        <x:v>DJ-13630</x:v>
      </x:c>
      <x:c r="D1255" t="str">
        <x:v>Doug Jacobs</x:v>
      </x:c>
      <x:c r="E1255" t="str">
        <x:v>Consumer</x:v>
      </x:c>
      <x:c r="F1255" t="str">
        <x:v>East</x:v>
      </x:c>
      <x:c r="G1255" t="str">
        <x:v>Furniture</x:v>
      </x:c>
      <x:c r="H1255" t="str">
        <x:v>Chairs</x:v>
      </x:c>
      <x:c r="I1255" s="22" t="n">
        <x:v>1141.9379999999999</x:v>
      </x:c>
      <x:c r="J1255" s="24" t="n">
        <x:v>9</x:v>
      </x:c>
      <x:c r="K1255" s="26" t="n">
        <x:v>0.1</x:v>
      </x:c>
      <x:c r="L1255" s="22" t="n">
        <x:v>139.5701999999999</x:v>
      </x:c>
      <x:c r="M1255" t="n">
        <x:v>2017</x:v>
      </x:c>
      <x:c r="N1255" s="20" t="n">
        <x:v>43070</x:v>
      </x:c>
    </x:row>
    <x:row r="1256" ht="18" customHeight="1">
      <x:c r="A1256" t="str">
        <x:v>CA-2017-115602</x:v>
      </x:c>
      <x:c r="B1256" s="18" t="n">
        <x:v>43087</x:v>
      </x:c>
      <x:c r="C1256" t="str">
        <x:v>DJ-13630</x:v>
      </x:c>
      <x:c r="D1256" t="str">
        <x:v>Doug Jacobs</x:v>
      </x:c>
      <x:c r="E1256" t="str">
        <x:v>Consumer</x:v>
      </x:c>
      <x:c r="F1256" t="str">
        <x:v>East</x:v>
      </x:c>
      <x:c r="G1256" t="str">
        <x:v>Office Supplies</x:v>
      </x:c>
      <x:c r="H1256" t="str">
        <x:v>Appliances</x:v>
      </x:c>
      <x:c r="I1256" s="22" t="n">
        <x:v>1704.56</x:v>
      </x:c>
      <x:c r="J1256" s="24" t="n">
        <x:v>13</x:v>
      </x:c>
      <x:c r="K1256" s="26" t="n">
        <x:v>0</x:v>
      </x:c>
      <x:c r="L1256" s="22" t="n">
        <x:v>511.368</x:v>
      </x:c>
      <x:c r="M1256" t="n">
        <x:v>2017</x:v>
      </x:c>
      <x:c r="N1256" s="20" t="n">
        <x:v>43070</x:v>
      </x:c>
    </x:row>
    <x:row r="1257" ht="18" customHeight="1">
      <x:c r="A1257" t="str">
        <x:v>CA-2017-115602</x:v>
      </x:c>
      <x:c r="B1257" s="18" t="n">
        <x:v>43087</x:v>
      </x:c>
      <x:c r="C1257" t="str">
        <x:v>DJ-13630</x:v>
      </x:c>
      <x:c r="D1257" t="str">
        <x:v>Doug Jacobs</x:v>
      </x:c>
      <x:c r="E1257" t="str">
        <x:v>Consumer</x:v>
      </x:c>
      <x:c r="F1257" t="str">
        <x:v>East</x:v>
      </x:c>
      <x:c r="G1257" t="str">
        <x:v>Office Supplies</x:v>
      </x:c>
      <x:c r="H1257" t="str">
        <x:v>Art</x:v>
      </x:c>
      <x:c r="I1257" s="22" t="n">
        <x:v>3.2</x:v>
      </x:c>
      <x:c r="J1257" s="24" t="n">
        <x:v>2</x:v>
      </x:c>
      <x:c r="K1257" s="26" t="n">
        <x:v>0</x:v>
      </x:c>
      <x:c r="L1257" s="22" t="n">
        <x:v>1.3760000000000003</x:v>
      </x:c>
      <x:c r="M1257" t="n">
        <x:v>2017</x:v>
      </x:c>
      <x:c r="N1257" s="20" t="n">
        <x:v>43070</x:v>
      </x:c>
    </x:row>
    <x:row r="1258" ht="18" customHeight="1">
      <x:c r="A1258" t="str">
        <x:v>CA-2015-154956</x:v>
      </x:c>
      <x:c r="B1258" s="18" t="n">
        <x:v>42189</x:v>
      </x:c>
      <x:c r="C1258" t="str">
        <x:v>IM-15070</x:v>
      </x:c>
      <x:c r="D1258" t="str">
        <x:v>Irene Maddox</x:v>
      </x:c>
      <x:c r="E1258" t="str">
        <x:v>Consumer</x:v>
      </x:c>
      <x:c r="F1258" t="str">
        <x:v>Central</x:v>
      </x:c>
      <x:c r="G1258" t="str">
        <x:v>Technology</x:v>
      </x:c>
      <x:c r="H1258" t="str">
        <x:v>Phones</x:v>
      </x:c>
      <x:c r="I1258" s="22" t="n">
        <x:v>1099.96</x:v>
      </x:c>
      <x:c r="J1258" s="24" t="n">
        <x:v>4</x:v>
      </x:c>
      <x:c r="K1258" s="26" t="n">
        <x:v>0</x:v>
      </x:c>
      <x:c r="L1258" s="22" t="n">
        <x:v>285.9896</x:v>
      </x:c>
      <x:c r="M1258" t="n">
        <x:v>2015</x:v>
      </x:c>
      <x:c r="N1258" s="20" t="n">
        <x:v>42186</x:v>
      </x:c>
    </x:row>
    <x:row r="1259" ht="18" customHeight="1">
      <x:c r="A1259" t="str">
        <x:v>CA-2017-144638</x:v>
      </x:c>
      <x:c r="B1259" s="18" t="n">
        <x:v>42804</x:v>
      </x:c>
      <x:c r="C1259" t="str">
        <x:v>MH-18115</x:v>
      </x:c>
      <x:c r="D1259" t="str">
        <x:v>Mick Hernandez</x:v>
      </x:c>
      <x:c r="E1259" t="str">
        <x:v>Home Office</x:v>
      </x:c>
      <x:c r="F1259" t="str">
        <x:v>East</x:v>
      </x:c>
      <x:c r="G1259" t="str">
        <x:v>Office Supplies</x:v>
      </x:c>
      <x:c r="H1259" t="str">
        <x:v>Art</x:v>
      </x:c>
      <x:c r="I1259" s="22" t="n">
        <x:v>5.248</x:v>
      </x:c>
      <x:c r="J1259" s="24" t="n">
        <x:v>2</x:v>
      </x:c>
      <x:c r="K1259" s="26" t="n">
        <x:v>0.2</x:v>
      </x:c>
      <x:c r="L1259" s="22" t="n">
        <x:v>0.5903999999999991</x:v>
      </x:c>
      <x:c r="M1259" t="n">
        <x:v>2017</x:v>
      </x:c>
      <x:c r="N1259" s="20" t="n">
        <x:v>42795</x:v>
      </x:c>
    </x:row>
    <x:row r="1260" ht="18" customHeight="1">
      <x:c r="A1260" t="str">
        <x:v>CA-2017-144638</x:v>
      </x:c>
      <x:c r="B1260" s="18" t="n">
        <x:v>42804</x:v>
      </x:c>
      <x:c r="C1260" t="str">
        <x:v>MH-18115</x:v>
      </x:c>
      <x:c r="D1260" t="str">
        <x:v>Mick Hernandez</x:v>
      </x:c>
      <x:c r="E1260" t="str">
        <x:v>Home Office</x:v>
      </x:c>
      <x:c r="F1260" t="str">
        <x:v>East</x:v>
      </x:c>
      <x:c r="G1260" t="str">
        <x:v>Technology</x:v>
      </x:c>
      <x:c r="H1260" t="str">
        <x:v>Phones</x:v>
      </x:c>
      <x:c r="I1260" s="22" t="n">
        <x:v>35.91</x:v>
      </x:c>
      <x:c r="J1260" s="24" t="n">
        <x:v>3</x:v>
      </x:c>
      <x:c r="K1260" s="26" t="n">
        <x:v>0.4</x:v>
      </x:c>
      <x:c r="L1260" s="22" t="n">
        <x:v>-8.379000000000003</x:v>
      </x:c>
      <x:c r="M1260" t="n">
        <x:v>2017</x:v>
      </x:c>
      <x:c r="N1260" s="20" t="n">
        <x:v>42795</x:v>
      </x:c>
    </x:row>
    <x:row r="1261" ht="18" customHeight="1">
      <x:c r="A1261" t="str">
        <x:v>CA-2017-144638</x:v>
      </x:c>
      <x:c r="B1261" s="18" t="n">
        <x:v>42804</x:v>
      </x:c>
      <x:c r="C1261" t="str">
        <x:v>MH-18115</x:v>
      </x:c>
      <x:c r="D1261" t="str">
        <x:v>Mick Hernandez</x:v>
      </x:c>
      <x:c r="E1261" t="str">
        <x:v>Home Office</x:v>
      </x:c>
      <x:c r="F1261" t="str">
        <x:v>East</x:v>
      </x:c>
      <x:c r="G1261" t="str">
        <x:v>Furniture</x:v>
      </x:c>
      <x:c r="H1261" t="str">
        <x:v>Furnishings</x:v>
      </x:c>
      <x:c r="I1261" s="22" t="n">
        <x:v>6.696</x:v>
      </x:c>
      <x:c r="J1261" s="24" t="n">
        <x:v>1</x:v>
      </x:c>
      <x:c r="K1261" s="26" t="n">
        <x:v>0.2</x:v>
      </x:c>
      <x:c r="L1261" s="22" t="n">
        <x:v>0.5021999999999998</x:v>
      </x:c>
      <x:c r="M1261" t="n">
        <x:v>2017</x:v>
      </x:c>
      <x:c r="N1261" s="20" t="n">
        <x:v>42795</x:v>
      </x:c>
    </x:row>
    <x:row r="1262" ht="18" customHeight="1">
      <x:c r="A1262" t="str">
        <x:v>CA-2017-144638</x:v>
      </x:c>
      <x:c r="B1262" s="18" t="n">
        <x:v>42804</x:v>
      </x:c>
      <x:c r="C1262" t="str">
        <x:v>MH-18115</x:v>
      </x:c>
      <x:c r="D1262" t="str">
        <x:v>Mick Hernandez</x:v>
      </x:c>
      <x:c r="E1262" t="str">
        <x:v>Home Office</x:v>
      </x:c>
      <x:c r="F1262" t="str">
        <x:v>East</x:v>
      </x:c>
      <x:c r="G1262" t="str">
        <x:v>Furniture</x:v>
      </x:c>
      <x:c r="H1262" t="str">
        <x:v>Furnishings</x:v>
      </x:c>
      <x:c r="I1262" s="22" t="n">
        <x:v>43.87200000000001</x:v>
      </x:c>
      <x:c r="J1262" s="24" t="n">
        <x:v>2</x:v>
      </x:c>
      <x:c r="K1262" s="26" t="n">
        <x:v>0.2</x:v>
      </x:c>
      <x:c r="L1262" s="22" t="n">
        <x:v>11.516399999999999</x:v>
      </x:c>
      <x:c r="M1262" t="n">
        <x:v>2017</x:v>
      </x:c>
      <x:c r="N1262" s="20" t="n">
        <x:v>42795</x:v>
      </x:c>
    </x:row>
    <x:row r="1263" ht="18" customHeight="1">
      <x:c r="A1263" t="str">
        <x:v>US-2016-168620</x:v>
      </x:c>
      <x:c r="B1263" s="18" t="n">
        <x:v>42728</x:v>
      </x:c>
      <x:c r="C1263" t="str">
        <x:v>RB-19795</x:v>
      </x:c>
      <x:c r="D1263" t="str">
        <x:v>Ross Baird</x:v>
      </x:c>
      <x:c r="E1263" t="str">
        <x:v>Home Office</x:v>
      </x:c>
      <x:c r="F1263" t="str">
        <x:v>South</x:v>
      </x:c>
      <x:c r="G1263" t="str">
        <x:v>Office Supplies</x:v>
      </x:c>
      <x:c r="H1263" t="str">
        <x:v>Binders</x:v>
      </x:c>
      <x:c r="I1263" s="22" t="n">
        <x:v>27.882000000000005</x:v>
      </x:c>
      <x:c r="J1263" s="24" t="n">
        <x:v>3</x:v>
      </x:c>
      <x:c r="K1263" s="26" t="n">
        <x:v>0.7</x:v>
      </x:c>
      <x:c r="L1263" s="22" t="n">
        <x:v>-20.446799999999996</x:v>
      </x:c>
      <x:c r="M1263" t="n">
        <x:v>2016</x:v>
      </x:c>
      <x:c r="N1263" s="20" t="n">
        <x:v>42705</x:v>
      </x:c>
    </x:row>
    <x:row r="1264" ht="18" customHeight="1">
      <x:c r="A1264" t="str">
        <x:v>US-2016-168620</x:v>
      </x:c>
      <x:c r="B1264" s="18" t="n">
        <x:v>42728</x:v>
      </x:c>
      <x:c r="C1264" t="str">
        <x:v>RB-19795</x:v>
      </x:c>
      <x:c r="D1264" t="str">
        <x:v>Ross Baird</x:v>
      </x:c>
      <x:c r="E1264" t="str">
        <x:v>Home Office</x:v>
      </x:c>
      <x:c r="F1264" t="str">
        <x:v>South</x:v>
      </x:c>
      <x:c r="G1264" t="str">
        <x:v>Office Supplies</x:v>
      </x:c>
      <x:c r="H1264" t="str">
        <x:v>Storage</x:v>
      </x:c>
      <x:c r="I1264" s="22" t="n">
        <x:v>540.048</x:v>
      </x:c>
      <x:c r="J1264" s="24" t="n">
        <x:v>3</x:v>
      </x:c>
      <x:c r="K1264" s="26" t="n">
        <x:v>0.2</x:v>
      </x:c>
      <x:c r="L1264" s="22" t="n">
        <x:v>-47.2542</x:v>
      </x:c>
      <x:c r="M1264" t="n">
        <x:v>2016</x:v>
      </x:c>
      <x:c r="N1264" s="20" t="n">
        <x:v>42705</x:v>
      </x:c>
    </x:row>
    <x:row r="1265" ht="18" customHeight="1">
      <x:c r="A1265" t="str">
        <x:v>US-2016-168620</x:v>
      </x:c>
      <x:c r="B1265" s="18" t="n">
        <x:v>42728</x:v>
      </x:c>
      <x:c r="C1265" t="str">
        <x:v>RB-19795</x:v>
      </x:c>
      <x:c r="D1265" t="str">
        <x:v>Ross Baird</x:v>
      </x:c>
      <x:c r="E1265" t="str">
        <x:v>Home Office</x:v>
      </x:c>
      <x:c r="F1265" t="str">
        <x:v>South</x:v>
      </x:c>
      <x:c r="G1265" t="str">
        <x:v>Technology</x:v>
      </x:c>
      <x:c r="H1265" t="str">
        <x:v>Accessories</x:v>
      </x:c>
      <x:c r="I1265" s="22" t="n">
        <x:v>255.68000000000004</x:v>
      </x:c>
      <x:c r="J1265" s="24" t="n">
        <x:v>8</x:v>
      </x:c>
      <x:c r="K1265" s="26" t="n">
        <x:v>0.2</x:v>
      </x:c>
      <x:c r="L1265" s="22" t="n">
        <x:v>76.70400000000001</x:v>
      </x:c>
      <x:c r="M1265" t="n">
        <x:v>2016</x:v>
      </x:c>
      <x:c r="N1265" s="20" t="n">
        <x:v>42705</x:v>
      </x:c>
    </x:row>
    <x:row r="1266" ht="18" customHeight="1">
      <x:c r="A1266" t="str">
        <x:v>CA-2017-117079</x:v>
      </x:c>
      <x:c r="B1266" s="18" t="n">
        <x:v>43031</x:v>
      </x:c>
      <x:c r="C1266" t="str">
        <x:v>JR-15700</x:v>
      </x:c>
      <x:c r="D1266" t="str">
        <x:v>Jocasta Rupert</x:v>
      </x:c>
      <x:c r="E1266" t="str">
        <x:v>Consumer</x:v>
      </x:c>
      <x:c r="F1266" t="str">
        <x:v>South</x:v>
      </x:c>
      <x:c r="G1266" t="str">
        <x:v>Technology</x:v>
      </x:c>
      <x:c r="H1266" t="str">
        <x:v>Phones</x:v>
      </x:c>
      <x:c r="I1266" s="22" t="n">
        <x:v>863.8799999999999</x:v>
      </x:c>
      <x:c r="J1266" s="24" t="n">
        <x:v>3</x:v>
      </x:c>
      <x:c r="K1266" s="26" t="n">
        <x:v>0.2</x:v>
      </x:c>
      <x:c r="L1266" s="22" t="n">
        <x:v>107.98499999999996</x:v>
      </x:c>
      <x:c r="M1266" t="n">
        <x:v>2017</x:v>
      </x:c>
      <x:c r="N1266" s="20" t="n">
        <x:v>43009</x:v>
      </x:c>
    </x:row>
    <x:row r="1267" ht="18" customHeight="1">
      <x:c r="A1267" t="str">
        <x:v>US-2016-144393</x:v>
      </x:c>
      <x:c r="B1267" s="18" t="n">
        <x:v>42671</x:v>
      </x:c>
      <x:c r="C1267" t="str">
        <x:v>SM-20950</x:v>
      </x:c>
      <x:c r="D1267" t="str">
        <x:v>Suzanne McNair</x:v>
      </x:c>
      <x:c r="E1267" t="str">
        <x:v>Corporate</x:v>
      </x:c>
      <x:c r="F1267" t="str">
        <x:v>South</x:v>
      </x:c>
      <x:c r="G1267" t="str">
        <x:v>Office Supplies</x:v>
      </x:c>
      <x:c r="H1267" t="str">
        <x:v>Binders</x:v>
      </x:c>
      <x:c r="I1267" s="22" t="n">
        <x:v>17.616000000000003</x:v>
      </x:c>
      <x:c r="J1267" s="24" t="n">
        <x:v>4</x:v>
      </x:c>
      <x:c r="K1267" s="26" t="n">
        <x:v>0.7</x:v>
      </x:c>
      <x:c r="L1267" s="22" t="n">
        <x:v>-14.0928</x:v>
      </x:c>
      <x:c r="M1267" t="n">
        <x:v>2016</x:v>
      </x:c>
      <x:c r="N1267" s="20" t="n">
        <x:v>42644</x:v>
      </x:c>
    </x:row>
    <x:row r="1268" ht="18" customHeight="1">
      <x:c r="A1268" t="str">
        <x:v>CA-2017-105053</x:v>
      </x:c>
      <x:c r="B1268" s="18" t="n">
        <x:v>42923</x:v>
      </x:c>
      <x:c r="C1268" t="str">
        <x:v>CS-12355</x:v>
      </x:c>
      <x:c r="D1268" t="str">
        <x:v>Christine Sundaresam</x:v>
      </x:c>
      <x:c r="E1268" t="str">
        <x:v>Consumer</x:v>
      </x:c>
      <x:c r="F1268" t="str">
        <x:v>East</x:v>
      </x:c>
      <x:c r="G1268" t="str">
        <x:v>Office Supplies</x:v>
      </x:c>
      <x:c r="H1268" t="str">
        <x:v>Binders</x:v>
      </x:c>
      <x:c r="I1268" s="22" t="n">
        <x:v>17.472</x:v>
      </x:c>
      <x:c r="J1268" s="24" t="n">
        <x:v>3</x:v>
      </x:c>
      <x:c r="K1268" s="26" t="n">
        <x:v>0.2</x:v>
      </x:c>
      <x:c r="L1268" s="22" t="n">
        <x:v>6.333600000000001</x:v>
      </x:c>
      <x:c r="M1268" t="n">
        <x:v>2017</x:v>
      </x:c>
      <x:c r="N1268" s="20" t="n">
        <x:v>42917</x:v>
      </x:c>
    </x:row>
    <x:row r="1269" ht="18" customHeight="1">
      <x:c r="A1269" t="str">
        <x:v>CA-2016-155992</x:v>
      </x:c>
      <x:c r="B1269" s="18" t="n">
        <x:v>42644</x:v>
      </x:c>
      <x:c r="C1269" t="str">
        <x:v>CC-12220</x:v>
      </x:c>
      <x:c r="D1269" t="str">
        <x:v>Chris Cortes</x:v>
      </x:c>
      <x:c r="E1269" t="str">
        <x:v>Consumer</x:v>
      </x:c>
      <x:c r="F1269" t="str">
        <x:v>Central</x:v>
      </x:c>
      <x:c r="G1269" t="str">
        <x:v>Technology</x:v>
      </x:c>
      <x:c r="H1269" t="str">
        <x:v>Phones</x:v>
      </x:c>
      <x:c r="I1269" s="22" t="n">
        <x:v>69.9</x:v>
      </x:c>
      <x:c r="J1269" s="24" t="n">
        <x:v>2</x:v>
      </x:c>
      <x:c r="K1269" s="26" t="n">
        <x:v>0</x:v>
      </x:c>
      <x:c r="L1269" s="22" t="n">
        <x:v>18.873000000000005</x:v>
      </x:c>
      <x:c r="M1269" t="n">
        <x:v>2016</x:v>
      </x:c>
      <x:c r="N1269" s="20" t="n">
        <x:v>42644</x:v>
      </x:c>
    </x:row>
    <x:row r="1270" ht="18" customHeight="1">
      <x:c r="A1270" t="str">
        <x:v>CA-2016-155992</x:v>
      </x:c>
      <x:c r="B1270" s="18" t="n">
        <x:v>42644</x:v>
      </x:c>
      <x:c r="C1270" t="str">
        <x:v>CC-12220</x:v>
      </x:c>
      <x:c r="D1270" t="str">
        <x:v>Chris Cortes</x:v>
      </x:c>
      <x:c r="E1270" t="str">
        <x:v>Consumer</x:v>
      </x:c>
      <x:c r="F1270" t="str">
        <x:v>Central</x:v>
      </x:c>
      <x:c r="G1270" t="str">
        <x:v>Furniture</x:v>
      </x:c>
      <x:c r="H1270" t="str">
        <x:v>Furnishings</x:v>
      </x:c>
      <x:c r="I1270" s="22" t="n">
        <x:v>41.849999999999994</x:v>
      </x:c>
      <x:c r="J1270" s="24" t="n">
        <x:v>5</x:v>
      </x:c>
      <x:c r="K1270" s="26" t="n">
        <x:v>0</x:v>
      </x:c>
      <x:c r="L1270" s="22" t="n">
        <x:v>10.880999999999998</x:v>
      </x:c>
      <x:c r="M1270" t="n">
        <x:v>2016</x:v>
      </x:c>
      <x:c r="N1270" s="20" t="n">
        <x:v>42644</x:v>
      </x:c>
    </x:row>
    <x:row r="1271" ht="18" customHeight="1">
      <x:c r="A1271" t="str">
        <x:v>CA-2017-110380</x:v>
      </x:c>
      <x:c r="B1271" s="18" t="n">
        <x:v>42980</x:v>
      </x:c>
      <x:c r="C1271" t="str">
        <x:v>PF-19225</x:v>
      </x:c>
      <x:c r="D1271" t="str">
        <x:v>Phillip Flathmann</x:v>
      </x:c>
      <x:c r="E1271" t="str">
        <x:v>Consumer</x:v>
      </x:c>
      <x:c r="F1271" t="str">
        <x:v>West</x:v>
      </x:c>
      <x:c r="G1271" t="str">
        <x:v>Office Supplies</x:v>
      </x:c>
      <x:c r="H1271" t="str">
        <x:v>Art</x:v>
      </x:c>
      <x:c r="I1271" s="22" t="n">
        <x:v>6.57</x:v>
      </x:c>
      <x:c r="J1271" s="24" t="n">
        <x:v>3</x:v>
      </x:c>
      <x:c r="K1271" s="26" t="n">
        <x:v>0</x:v>
      </x:c>
      <x:c r="L1271" s="22" t="n">
        <x:v>1.7738999999999998</x:v>
      </x:c>
      <x:c r="M1271" t="n">
        <x:v>2017</x:v>
      </x:c>
      <x:c r="N1271" s="20" t="n">
        <x:v>42979</x:v>
      </x:c>
    </x:row>
    <x:row r="1272" ht="18" customHeight="1">
      <x:c r="A1272" t="str">
        <x:v>US-2014-167738</x:v>
      </x:c>
      <x:c r="B1272" s="18" t="n">
        <x:v>41997</x:v>
      </x:c>
      <x:c r="C1272" t="str">
        <x:v>JC-16105</x:v>
      </x:c>
      <x:c r="D1272" t="str">
        <x:v>Julie Creighton</x:v>
      </x:c>
      <x:c r="E1272" t="str">
        <x:v>Corporate</x:v>
      </x:c>
      <x:c r="F1272" t="str">
        <x:v>West</x:v>
      </x:c>
      <x:c r="G1272" t="str">
        <x:v>Office Supplies</x:v>
      </x:c>
      <x:c r="H1272" t="str">
        <x:v>Storage</x:v>
      </x:c>
      <x:c r="I1272" s="22" t="n">
        <x:v>142.86</x:v>
      </x:c>
      <x:c r="J1272" s="24" t="n">
        <x:v>1</x:v>
      </x:c>
      <x:c r="K1272" s="26" t="n">
        <x:v>0</x:v>
      </x:c>
      <x:c r="L1272" s="22" t="n">
        <x:v>41.42939999999999</x:v>
      </x:c>
      <x:c r="M1272" t="n">
        <x:v>2014</x:v>
      </x:c>
      <x:c r="N1272" s="20" t="n">
        <x:v>41974</x:v>
      </x:c>
    </x:row>
    <x:row r="1273" ht="18" customHeight="1">
      <x:c r="A1273" t="str">
        <x:v>US-2014-167738</x:v>
      </x:c>
      <x:c r="B1273" s="18" t="n">
        <x:v>41997</x:v>
      </x:c>
      <x:c r="C1273" t="str">
        <x:v>JC-16105</x:v>
      </x:c>
      <x:c r="D1273" t="str">
        <x:v>Julie Creighton</x:v>
      </x:c>
      <x:c r="E1273" t="str">
        <x:v>Corporate</x:v>
      </x:c>
      <x:c r="F1273" t="str">
        <x:v>West</x:v>
      </x:c>
      <x:c r="G1273" t="str">
        <x:v>Furniture</x:v>
      </x:c>
      <x:c r="H1273" t="str">
        <x:v>Chairs</x:v>
      </x:c>
      <x:c r="I1273" s="22" t="n">
        <x:v>292.27200000000005</x:v>
      </x:c>
      <x:c r="J1273" s="24" t="n">
        <x:v>6</x:v>
      </x:c>
      <x:c r="K1273" s="26" t="n">
        <x:v>0.2</x:v>
      </x:c>
      <x:c r="L1273" s="22" t="n">
        <x:v>18.266999999999967</x:v>
      </x:c>
      <x:c r="M1273" t="n">
        <x:v>2014</x:v>
      </x:c>
      <x:c r="N1273" s="20" t="n">
        <x:v>41974</x:v>
      </x:c>
    </x:row>
    <x:row r="1274" ht="18" customHeight="1">
      <x:c r="A1274" t="str">
        <x:v>CA-2017-121412</x:v>
      </x:c>
      <x:c r="B1274" s="18" t="n">
        <x:v>43001</x:v>
      </x:c>
      <x:c r="C1274" t="str">
        <x:v>BG-11695</x:v>
      </x:c>
      <x:c r="D1274" t="str">
        <x:v>Brooke Gillingham</x:v>
      </x:c>
      <x:c r="E1274" t="str">
        <x:v>Corporate</x:v>
      </x:c>
      <x:c r="F1274" t="str">
        <x:v>West</x:v>
      </x:c>
      <x:c r="G1274" t="str">
        <x:v>Furniture</x:v>
      </x:c>
      <x:c r="H1274" t="str">
        <x:v>Furnishings</x:v>
      </x:c>
      <x:c r="I1274" s="22" t="n">
        <x:v>29.328000000000003</x:v>
      </x:c>
      <x:c r="J1274" s="24" t="n">
        <x:v>3</x:v>
      </x:c>
      <x:c r="K1274" s="26" t="n">
        <x:v>0.2</x:v>
      </x:c>
      <x:c r="L1274" s="22" t="n">
        <x:v>3.665999999999995</x:v>
      </x:c>
      <x:c r="M1274" t="n">
        <x:v>2017</x:v>
      </x:c>
      <x:c r="N1274" s="20" t="n">
        <x:v>42979</x:v>
      </x:c>
    </x:row>
    <x:row r="1275" ht="18" customHeight="1">
      <x:c r="A1275" t="str">
        <x:v>CA-2017-100426</x:v>
      </x:c>
      <x:c r="B1275" s="18" t="n">
        <x:v>42890</x:v>
      </x:c>
      <x:c r="C1275" t="str">
        <x:v>DC-12850</x:v>
      </x:c>
      <x:c r="D1275" t="str">
        <x:v>Dan Campbell</x:v>
      </x:c>
      <x:c r="E1275" t="str">
        <x:v>Consumer</x:v>
      </x:c>
      <x:c r="F1275" t="str">
        <x:v>South</x:v>
      </x:c>
      <x:c r="G1275" t="str">
        <x:v>Office Supplies</x:v>
      </x:c>
      <x:c r="H1275" t="str">
        <x:v>Paper</x:v>
      </x:c>
      <x:c r="I1275" s="22" t="n">
        <x:v>12.48</x:v>
      </x:c>
      <x:c r="J1275" s="24" t="n">
        <x:v>2</x:v>
      </x:c>
      <x:c r="K1275" s="26" t="n">
        <x:v>0</x:v>
      </x:c>
      <x:c r="L1275" s="22" t="n">
        <x:v>5.616</x:v>
      </x:c>
      <x:c r="M1275" t="n">
        <x:v>2017</x:v>
      </x:c>
      <x:c r="N1275" s="20" t="n">
        <x:v>42887</x:v>
      </x:c>
    </x:row>
    <x:row r="1276" ht="18" customHeight="1">
      <x:c r="A1276" t="str">
        <x:v>US-2016-103646</x:v>
      </x:c>
      <x:c r="B1276" s="18" t="n">
        <x:v>42481</x:v>
      </x:c>
      <x:c r="C1276" t="str">
        <x:v>SP-20545</x:v>
      </x:c>
      <x:c r="D1276" t="str">
        <x:v>Sibella Parks</x:v>
      </x:c>
      <x:c r="E1276" t="str">
        <x:v>Corporate</x:v>
      </x:c>
      <x:c r="F1276" t="str">
        <x:v>Central</x:v>
      </x:c>
      <x:c r="G1276" t="str">
        <x:v>Office Supplies</x:v>
      </x:c>
      <x:c r="H1276" t="str">
        <x:v>Storage</x:v>
      </x:c>
      <x:c r="I1276" s="22" t="n">
        <x:v>102.33600000000001</x:v>
      </x:c>
      <x:c r="J1276" s="24" t="n">
        <x:v>4</x:v>
      </x:c>
      <x:c r="K1276" s="26" t="n">
        <x:v>0.2</x:v>
      </x:c>
      <x:c r="L1276" s="22" t="n">
        <x:v>-12.792000000000002</x:v>
      </x:c>
      <x:c r="M1276" t="n">
        <x:v>2016</x:v>
      </x:c>
      <x:c r="N1276" s="20" t="n">
        <x:v>42461</x:v>
      </x:c>
    </x:row>
    <x:row r="1277" ht="18" customHeight="1">
      <x:c r="A1277" t="str">
        <x:v>US-2016-103646</x:v>
      </x:c>
      <x:c r="B1277" s="18" t="n">
        <x:v>42481</x:v>
      </x:c>
      <x:c r="C1277" t="str">
        <x:v>SP-20545</x:v>
      </x:c>
      <x:c r="D1277" t="str">
        <x:v>Sibella Parks</x:v>
      </x:c>
      <x:c r="E1277" t="str">
        <x:v>Corporate</x:v>
      </x:c>
      <x:c r="F1277" t="str">
        <x:v>Central</x:v>
      </x:c>
      <x:c r="G1277" t="str">
        <x:v>Office Supplies</x:v>
      </x:c>
      <x:c r="H1277" t="str">
        <x:v>Appliances</x:v>
      </x:c>
      <x:c r="I1277" s="22" t="n">
        <x:v>48.79199999999999</x:v>
      </x:c>
      <x:c r="J1277" s="24" t="n">
        <x:v>3</x:v>
      </x:c>
      <x:c r="K1277" s="26" t="n">
        <x:v>0.8</x:v>
      </x:c>
      <x:c r="L1277" s="22" t="n">
        <x:v>-126.85920000000002</x:v>
      </x:c>
      <x:c r="M1277" t="n">
        <x:v>2016</x:v>
      </x:c>
      <x:c r="N1277" s="20" t="n">
        <x:v>42461</x:v>
      </x:c>
    </x:row>
    <x:row r="1278" ht="18" customHeight="1">
      <x:c r="A1278" t="str">
        <x:v>US-2016-103646</x:v>
      </x:c>
      <x:c r="B1278" s="18" t="n">
        <x:v>42481</x:v>
      </x:c>
      <x:c r="C1278" t="str">
        <x:v>SP-20545</x:v>
      </x:c>
      <x:c r="D1278" t="str">
        <x:v>Sibella Parks</x:v>
      </x:c>
      <x:c r="E1278" t="str">
        <x:v>Corporate</x:v>
      </x:c>
      <x:c r="F1278" t="str">
        <x:v>Central</x:v>
      </x:c>
      <x:c r="G1278" t="str">
        <x:v>Office Supplies</x:v>
      </x:c>
      <x:c r="H1278" t="str">
        <x:v>Binders</x:v>
      </x:c>
      <x:c r="I1278" s="22" t="n">
        <x:v>44.84799999999999</x:v>
      </x:c>
      <x:c r="J1278" s="24" t="n">
        <x:v>8</x:v>
      </x:c>
      <x:c r="K1278" s="26" t="n">
        <x:v>0.8</x:v>
      </x:c>
      <x:c r="L1278" s="22" t="n">
        <x:v>-67.27200000000002</x:v>
      </x:c>
      <x:c r="M1278" t="n">
        <x:v>2016</x:v>
      </x:c>
      <x:c r="N1278" s="20" t="n">
        <x:v>42461</x:v>
      </x:c>
    </x:row>
    <x:row r="1279" ht="18" customHeight="1">
      <x:c r="A1279" t="str">
        <x:v>CA-2016-119186</x:v>
      </x:c>
      <x:c r="B1279" s="18" t="n">
        <x:v>42516</x:v>
      </x:c>
      <x:c r="C1279" t="str">
        <x:v>MS-17710</x:v>
      </x:c>
      <x:c r="D1279" t="str">
        <x:v>Maurice Satty</x:v>
      </x:c>
      <x:c r="E1279" t="str">
        <x:v>Consumer</x:v>
      </x:c>
      <x:c r="F1279" t="str">
        <x:v>Central</x:v>
      </x:c>
      <x:c r="G1279" t="str">
        <x:v>Office Supplies</x:v>
      </x:c>
      <x:c r="H1279" t="str">
        <x:v>Paper</x:v>
      </x:c>
      <x:c r="I1279" s="22" t="n">
        <x:v>10.368000000000002</x:v>
      </x:c>
      <x:c r="J1279" s="24" t="n">
        <x:v>2</x:v>
      </x:c>
      <x:c r="K1279" s="26" t="n">
        <x:v>0.2</x:v>
      </x:c>
      <x:c r="L1279" s="22" t="n">
        <x:v>3.6288</x:v>
      </x:c>
      <x:c r="M1279" t="n">
        <x:v>2016</x:v>
      </x:c>
      <x:c r="N1279" s="20" t="n">
        <x:v>42491</x:v>
      </x:c>
    </x:row>
    <x:row r="1280" ht="18" customHeight="1">
      <x:c r="A1280" t="str">
        <x:v>CA-2016-119186</x:v>
      </x:c>
      <x:c r="B1280" s="18" t="n">
        <x:v>42516</x:v>
      </x:c>
      <x:c r="C1280" t="str">
        <x:v>MS-17710</x:v>
      </x:c>
      <x:c r="D1280" t="str">
        <x:v>Maurice Satty</x:v>
      </x:c>
      <x:c r="E1280" t="str">
        <x:v>Consumer</x:v>
      </x:c>
      <x:c r="F1280" t="str">
        <x:v>Central</x:v>
      </x:c>
      <x:c r="G1280" t="str">
        <x:v>Furniture</x:v>
      </x:c>
      <x:c r="H1280" t="str">
        <x:v>Chairs</x:v>
      </x:c>
      <x:c r="I1280" s="22" t="n">
        <x:v>388.42999999999995</x:v>
      </x:c>
      <x:c r="J1280" s="24" t="n">
        <x:v>5</x:v>
      </x:c>
      <x:c r="K1280" s="26" t="n">
        <x:v>0.3</x:v>
      </x:c>
      <x:c r="L1280" s="22" t="n">
        <x:v>-88.78399999999998</x:v>
      </x:c>
      <x:c r="M1280" t="n">
        <x:v>2016</x:v>
      </x:c>
      <x:c r="N1280" s="20" t="n">
        <x:v>42491</x:v>
      </x:c>
    </x:row>
    <x:row r="1281" ht="18" customHeight="1">
      <x:c r="A1281" t="str">
        <x:v>CA-2016-119186</x:v>
      </x:c>
      <x:c r="B1281" s="18" t="n">
        <x:v>42516</x:v>
      </x:c>
      <x:c r="C1281" t="str">
        <x:v>MS-17710</x:v>
      </x:c>
      <x:c r="D1281" t="str">
        <x:v>Maurice Satty</x:v>
      </x:c>
      <x:c r="E1281" t="str">
        <x:v>Consumer</x:v>
      </x:c>
      <x:c r="F1281" t="str">
        <x:v>Central</x:v>
      </x:c>
      <x:c r="G1281" t="str">
        <x:v>Office Supplies</x:v>
      </x:c>
      <x:c r="H1281" t="str">
        <x:v>Paper</x:v>
      </x:c>
      <x:c r="I1281" s="22" t="n">
        <x:v>14.352000000000002</x:v>
      </x:c>
      <x:c r="J1281" s="24" t="n">
        <x:v>3</x:v>
      </x:c>
      <x:c r="K1281" s="26" t="n">
        <x:v>0.2</x:v>
      </x:c>
      <x:c r="L1281" s="22" t="n">
        <x:v>5.2026</x:v>
      </x:c>
      <x:c r="M1281" t="n">
        <x:v>2016</x:v>
      </x:c>
      <x:c r="N1281" s="20" t="n">
        <x:v>42491</x:v>
      </x:c>
    </x:row>
    <x:row r="1282" ht="18" customHeight="1">
      <x:c r="A1282" t="str">
        <x:v>CA-2016-119186</x:v>
      </x:c>
      <x:c r="B1282" s="18" t="n">
        <x:v>42516</x:v>
      </x:c>
      <x:c r="C1282" t="str">
        <x:v>MS-17710</x:v>
      </x:c>
      <x:c r="D1282" t="str">
        <x:v>Maurice Satty</x:v>
      </x:c>
      <x:c r="E1282" t="str">
        <x:v>Consumer</x:v>
      </x:c>
      <x:c r="F1282" t="str">
        <x:v>Central</x:v>
      </x:c>
      <x:c r="G1282" t="str">
        <x:v>Technology</x:v>
      </x:c>
      <x:c r="H1282" t="str">
        <x:v>Accessories</x:v>
      </x:c>
      <x:c r="I1282" s="22" t="n">
        <x:v>63.992</x:v>
      </x:c>
      <x:c r="J1282" s="24" t="n">
        <x:v>1</x:v>
      </x:c>
      <x:c r="K1282" s="26" t="n">
        <x:v>0.2</x:v>
      </x:c>
      <x:c r="L1282" s="22" t="n">
        <x:v>-7.199099999999996</x:v>
      </x:c>
      <x:c r="M1282" t="n">
        <x:v>2016</x:v>
      </x:c>
      <x:c r="N1282" s="20" t="n">
        <x:v>42491</x:v>
      </x:c>
    </x:row>
    <x:row r="1283" ht="18" customHeight="1">
      <x:c r="A1283" t="str">
        <x:v>CA-2016-148698</x:v>
      </x:c>
      <x:c r="B1283" s="18" t="n">
        <x:v>42492</x:v>
      </x:c>
      <x:c r="C1283" t="str">
        <x:v>BD-11770</x:v>
      </x:c>
      <x:c r="D1283" t="str">
        <x:v>Bryan Davis</x:v>
      </x:c>
      <x:c r="E1283" t="str">
        <x:v>Consumer</x:v>
      </x:c>
      <x:c r="F1283" t="str">
        <x:v>Central</x:v>
      </x:c>
      <x:c r="G1283" t="str">
        <x:v>Office Supplies</x:v>
      </x:c>
      <x:c r="H1283" t="str">
        <x:v>Art</x:v>
      </x:c>
      <x:c r="I1283" s="22" t="n">
        <x:v>86.352</x:v>
      </x:c>
      <x:c r="J1283" s="24" t="n">
        <x:v>3</x:v>
      </x:c>
      <x:c r="K1283" s="26" t="n">
        <x:v>0.2</x:v>
      </x:c>
      <x:c r="L1283" s="22" t="n">
        <x:v>5.396999999999991</x:v>
      </x:c>
      <x:c r="M1283" t="n">
        <x:v>2016</x:v>
      </x:c>
      <x:c r="N1283" s="20" t="n">
        <x:v>42491</x:v>
      </x:c>
    </x:row>
    <x:row r="1284" ht="18" customHeight="1">
      <x:c r="A1284" t="str">
        <x:v>CA-2014-163293</x:v>
      </x:c>
      <x:c r="B1284" s="18" t="n">
        <x:v>41890</x:v>
      </x:c>
      <x:c r="C1284" t="str">
        <x:v>KC-16255</x:v>
      </x:c>
      <x:c r="D1284" t="str">
        <x:v>Karen Carlisle</x:v>
      </x:c>
      <x:c r="E1284" t="str">
        <x:v>Corporate</x:v>
      </x:c>
      <x:c r="F1284" t="str">
        <x:v>South</x:v>
      </x:c>
      <x:c r="G1284" t="str">
        <x:v>Technology</x:v>
      </x:c>
      <x:c r="H1284" t="str">
        <x:v>Accessories</x:v>
      </x:c>
      <x:c r="I1284" s="22" t="n">
        <x:v>32.97</x:v>
      </x:c>
      <x:c r="J1284" s="24" t="n">
        <x:v>3</x:v>
      </x:c>
      <x:c r="K1284" s="26" t="n">
        <x:v>0</x:v>
      </x:c>
      <x:c r="L1284" s="22" t="n">
        <x:v>12.8583</x:v>
      </x:c>
      <x:c r="M1284" t="n">
        <x:v>2014</x:v>
      </x:c>
      <x:c r="N1284" s="20" t="n">
        <x:v>41883</x:v>
      </x:c>
    </x:row>
    <x:row r="1285" ht="18" customHeight="1">
      <x:c r="A1285" t="str">
        <x:v>CA-2014-163293</x:v>
      </x:c>
      <x:c r="B1285" s="18" t="n">
        <x:v>41890</x:v>
      </x:c>
      <x:c r="C1285" t="str">
        <x:v>KC-16255</x:v>
      </x:c>
      <x:c r="D1285" t="str">
        <x:v>Karen Carlisle</x:v>
      </x:c>
      <x:c r="E1285" t="str">
        <x:v>Corporate</x:v>
      </x:c>
      <x:c r="F1285" t="str">
        <x:v>South</x:v>
      </x:c>
      <x:c r="G1285" t="str">
        <x:v>Technology</x:v>
      </x:c>
      <x:c r="H1285" t="str">
        <x:v>Accessories</x:v>
      </x:c>
      <x:c r="I1285" s="22" t="n">
        <x:v>83.88</x:v>
      </x:c>
      <x:c r="J1285" s="24" t="n">
        <x:v>4</x:v>
      </x:c>
      <x:c r="K1285" s="26" t="n">
        <x:v>0</x:v>
      </x:c>
      <x:c r="L1285" s="22" t="n">
        <x:v>30.196799999999996</x:v>
      </x:c>
      <x:c r="M1285" t="n">
        <x:v>2014</x:v>
      </x:c>
      <x:c r="N1285" s="20" t="n">
        <x:v>41883</x:v>
      </x:c>
    </x:row>
    <x:row r="1286" ht="18" customHeight="1">
      <x:c r="A1286" t="str">
        <x:v>CA-2016-160815</x:v>
      </x:c>
      <x:c r="B1286" s="18" t="n">
        <x:v>42618</x:v>
      </x:c>
      <x:c r="C1286" t="str">
        <x:v>TR-21325</x:v>
      </x:c>
      <x:c r="D1286" t="str">
        <x:v>Toby Ritter</x:v>
      </x:c>
      <x:c r="E1286" t="str">
        <x:v>Consumer</x:v>
      </x:c>
      <x:c r="F1286" t="str">
        <x:v>Central</x:v>
      </x:c>
      <x:c r="G1286" t="str">
        <x:v>Technology</x:v>
      </x:c>
      <x:c r="H1286" t="str">
        <x:v>Phones</x:v>
      </x:c>
      <x:c r="I1286" s="22" t="n">
        <x:v>278.4</x:v>
      </x:c>
      <x:c r="J1286" s="24" t="n">
        <x:v>3</x:v>
      </x:c>
      <x:c r="K1286" s="26" t="n">
        <x:v>0</x:v>
      </x:c>
      <x:c r="L1286" s="22" t="n">
        <x:v>80.73599999999998</x:v>
      </x:c>
      <x:c r="M1286" t="n">
        <x:v>2016</x:v>
      </x:c>
      <x:c r="N1286" s="20" t="n">
        <x:v>42614</x:v>
      </x:c>
    </x:row>
    <x:row r="1287" ht="18" customHeight="1">
      <x:c r="A1287" t="str">
        <x:v>CA-2017-122154</x:v>
      </x:c>
      <x:c r="B1287" s="18" t="n">
        <x:v>42834</x:v>
      </x:c>
      <x:c r="C1287" t="str">
        <x:v>SA-20830</x:v>
      </x:c>
      <x:c r="D1287" t="str">
        <x:v>Sue Ann Reed</x:v>
      </x:c>
      <x:c r="E1287" t="str">
        <x:v>Consumer</x:v>
      </x:c>
      <x:c r="F1287" t="str">
        <x:v>South</x:v>
      </x:c>
      <x:c r="G1287" t="str">
        <x:v>Office Supplies</x:v>
      </x:c>
      <x:c r="H1287" t="str">
        <x:v>Labels</x:v>
      </x:c>
      <x:c r="I1287" s="22" t="n">
        <x:v>15.120000000000001</x:v>
      </x:c>
      <x:c r="J1287" s="24" t="n">
        <x:v>3</x:v>
      </x:c>
      <x:c r="K1287" s="26" t="n">
        <x:v>0.2</x:v>
      </x:c>
      <x:c r="L1287" s="22" t="n">
        <x:v>4.913999999999999</x:v>
      </x:c>
      <x:c r="M1287" t="n">
        <x:v>2017</x:v>
      </x:c>
      <x:c r="N1287" s="20" t="n">
        <x:v>42826</x:v>
      </x:c>
    </x:row>
    <x:row r="1288" ht="18" customHeight="1">
      <x:c r="A1288" t="str">
        <x:v>CA-2017-122154</x:v>
      </x:c>
      <x:c r="B1288" s="18" t="n">
        <x:v>42834</x:v>
      </x:c>
      <x:c r="C1288" t="str">
        <x:v>SA-20830</x:v>
      </x:c>
      <x:c r="D1288" t="str">
        <x:v>Sue Ann Reed</x:v>
      </x:c>
      <x:c r="E1288" t="str">
        <x:v>Consumer</x:v>
      </x:c>
      <x:c r="F1288" t="str">
        <x:v>South</x:v>
      </x:c>
      <x:c r="G1288" t="str">
        <x:v>Office Supplies</x:v>
      </x:c>
      <x:c r="H1288" t="str">
        <x:v>Binders</x:v>
      </x:c>
      <x:c r="I1288" s="22" t="n">
        <x:v>17.430000000000003</x:v>
      </x:c>
      <x:c r="J1288" s="24" t="n">
        <x:v>1</x:v>
      </x:c>
      <x:c r="K1288" s="26" t="n">
        <x:v>0.7</x:v>
      </x:c>
      <x:c r="L1288" s="22" t="n">
        <x:v>-13.363000000000003</x:v>
      </x:c>
      <x:c r="M1288" t="n">
        <x:v>2017</x:v>
      </x:c>
      <x:c r="N1288" s="20" t="n">
        <x:v>42826</x:v>
      </x:c>
    </x:row>
    <x:row r="1289" ht="18" customHeight="1">
      <x:c r="A1289" t="str">
        <x:v>CA-2017-122154</x:v>
      </x:c>
      <x:c r="B1289" s="18" t="n">
        <x:v>42834</x:v>
      </x:c>
      <x:c r="C1289" t="str">
        <x:v>SA-20830</x:v>
      </x:c>
      <x:c r="D1289" t="str">
        <x:v>Sue Ann Reed</x:v>
      </x:c>
      <x:c r="E1289" t="str">
        <x:v>Consumer</x:v>
      </x:c>
      <x:c r="F1289" t="str">
        <x:v>South</x:v>
      </x:c>
      <x:c r="G1289" t="str">
        <x:v>Office Supplies</x:v>
      </x:c>
      <x:c r="H1289" t="str">
        <x:v>Paper</x:v>
      </x:c>
      <x:c r="I1289" s="22" t="n">
        <x:v>251.64</x:v>
      </x:c>
      <x:c r="J1289" s="24" t="n">
        <x:v>3</x:v>
      </x:c>
      <x:c r="K1289" s="26" t="n">
        <x:v>0.2</x:v>
      </x:c>
      <x:c r="L1289" s="22" t="n">
        <x:v>88.07399999999998</x:v>
      </x:c>
      <x:c r="M1289" t="n">
        <x:v>2017</x:v>
      </x:c>
      <x:c r="N1289" s="20" t="n">
        <x:v>42826</x:v>
      </x:c>
    </x:row>
    <x:row r="1290" ht="18" customHeight="1">
      <x:c r="A1290" t="str">
        <x:v>US-2015-149692</x:v>
      </x:c>
      <x:c r="B1290" s="18" t="n">
        <x:v>42344</x:v>
      </x:c>
      <x:c r="C1290" t="str">
        <x:v>KW-16435</x:v>
      </x:c>
      <x:c r="D1290" t="str">
        <x:v>Katrina Willman</x:v>
      </x:c>
      <x:c r="E1290" t="str">
        <x:v>Consumer</x:v>
      </x:c>
      <x:c r="F1290" t="str">
        <x:v>Central</x:v>
      </x:c>
      <x:c r="G1290" t="str">
        <x:v>Office Supplies</x:v>
      </x:c>
      <x:c r="H1290" t="str">
        <x:v>Binders</x:v>
      </x:c>
      <x:c r="I1290" s="22" t="n">
        <x:v>2.7719999999999994</x:v>
      </x:c>
      <x:c r="J1290" s="24" t="n">
        <x:v>7</x:v>
      </x:c>
      <x:c r="K1290" s="26" t="n">
        <x:v>0.8</x:v>
      </x:c>
      <x:c r="L1290" s="22" t="n">
        <x:v>-4.851000000000001</x:v>
      </x:c>
      <x:c r="M1290" t="n">
        <x:v>2015</x:v>
      </x:c>
      <x:c r="N1290" s="20" t="n">
        <x:v>42339</x:v>
      </x:c>
    </x:row>
    <x:row r="1291" ht="18" customHeight="1">
      <x:c r="A1291" t="str">
        <x:v>CA-2016-119445</x:v>
      </x:c>
      <x:c r="B1291" s="18" t="n">
        <x:v>42547</x:v>
      </x:c>
      <x:c r="C1291" t="str">
        <x:v>GM-14500</x:v>
      </x:c>
      <x:c r="D1291" t="str">
        <x:v>Gene McClure</x:v>
      </x:c>
      <x:c r="E1291" t="str">
        <x:v>Consumer</x:v>
      </x:c>
      <x:c r="F1291" t="str">
        <x:v>East</x:v>
      </x:c>
      <x:c r="G1291" t="str">
        <x:v>Office Supplies</x:v>
      </x:c>
      <x:c r="H1291" t="str">
        <x:v>Storage</x:v>
      </x:c>
      <x:c r="I1291" s="22" t="n">
        <x:v>14.9</x:v>
      </x:c>
      <x:c r="J1291" s="24" t="n">
        <x:v>5</x:v>
      </x:c>
      <x:c r="K1291" s="26" t="n">
        <x:v>0</x:v>
      </x:c>
      <x:c r="L1291" s="22" t="n">
        <x:v>1.0429999999999984</x:v>
      </x:c>
      <x:c r="M1291" t="n">
        <x:v>2016</x:v>
      </x:c>
      <x:c r="N1291" s="20" t="n">
        <x:v>42522</x:v>
      </x:c>
    </x:row>
    <x:row r="1292" ht="18" customHeight="1">
      <x:c r="A1292" t="str">
        <x:v>CA-2015-124268</x:v>
      </x:c>
      <x:c r="B1292" s="18" t="n">
        <x:v>42189</x:v>
      </x:c>
      <x:c r="C1292" t="str">
        <x:v>AD-10180</x:v>
      </x:c>
      <x:c r="D1292" t="str">
        <x:v>Alan Dominguez</x:v>
      </x:c>
      <x:c r="E1292" t="str">
        <x:v>Home Office</x:v>
      </x:c>
      <x:c r="F1292" t="str">
        <x:v>East</x:v>
      </x:c>
      <x:c r="G1292" t="str">
        <x:v>Office Supplies</x:v>
      </x:c>
      <x:c r="H1292" t="str">
        <x:v>Art</x:v>
      </x:c>
      <x:c r="I1292" s="22" t="n">
        <x:v>15.48</x:v>
      </x:c>
      <x:c r="J1292" s="24" t="n">
        <x:v>3</x:v>
      </x:c>
      <x:c r="K1292" s="26" t="n">
        <x:v>0</x:v>
      </x:c>
      <x:c r="L1292" s="22" t="n">
        <x:v>4.4891999999999985</x:v>
      </x:c>
      <x:c r="M1292" t="n">
        <x:v>2015</x:v>
      </x:c>
      <x:c r="N1292" s="20" t="n">
        <x:v>42186</x:v>
      </x:c>
    </x:row>
    <x:row r="1293" ht="18" customHeight="1">
      <x:c r="A1293" t="str">
        <x:v>CA-2016-154711</x:v>
      </x:c>
      <x:c r="B1293" s="18" t="n">
        <x:v>42696</x:v>
      </x:c>
      <x:c r="C1293" t="str">
        <x:v>TB-21355</x:v>
      </x:c>
      <x:c r="D1293" t="str">
        <x:v>Todd Boyes</x:v>
      </x:c>
      <x:c r="E1293" t="str">
        <x:v>Corporate</x:v>
      </x:c>
      <x:c r="F1293" t="str">
        <x:v>East</x:v>
      </x:c>
      <x:c r="G1293" t="str">
        <x:v>Furniture</x:v>
      </x:c>
      <x:c r="H1293" t="str">
        <x:v>Furnishings</x:v>
      </x:c>
      <x:c r="I1293" s="22" t="n">
        <x:v>39.88</x:v>
      </x:c>
      <x:c r="J1293" s="24" t="n">
        <x:v>2</x:v>
      </x:c>
      <x:c r="K1293" s="26" t="n">
        <x:v>0</x:v>
      </x:c>
      <x:c r="L1293" s="22" t="n">
        <x:v>11.166400000000003</x:v>
      </x:c>
      <x:c r="M1293" t="n">
        <x:v>2016</x:v>
      </x:c>
      <x:c r="N1293" s="20" t="n">
        <x:v>42675</x:v>
      </x:c>
    </x:row>
    <x:row r="1294" ht="18" customHeight="1">
      <x:c r="A1294" t="str">
        <x:v>CA-2016-154711</x:v>
      </x:c>
      <x:c r="B1294" s="18" t="n">
        <x:v>42696</x:v>
      </x:c>
      <x:c r="C1294" t="str">
        <x:v>TB-21355</x:v>
      </x:c>
      <x:c r="D1294" t="str">
        <x:v>Todd Boyes</x:v>
      </x:c>
      <x:c r="E1294" t="str">
        <x:v>Corporate</x:v>
      </x:c>
      <x:c r="F1294" t="str">
        <x:v>East</x:v>
      </x:c>
      <x:c r="G1294" t="str">
        <x:v>Office Supplies</x:v>
      </x:c>
      <x:c r="H1294" t="str">
        <x:v>Binders</x:v>
      </x:c>
      <x:c r="I1294" s="22" t="n">
        <x:v>12.192</x:v>
      </x:c>
      <x:c r="J1294" s="24" t="n">
        <x:v>4</x:v>
      </x:c>
      <x:c r="K1294" s="26" t="n">
        <x:v>0.2</x:v>
      </x:c>
      <x:c r="L1294" s="22" t="n">
        <x:v>4.114799999999999</x:v>
      </x:c>
      <x:c r="M1294" t="n">
        <x:v>2016</x:v>
      </x:c>
      <x:c r="N1294" s="20" t="n">
        <x:v>42675</x:v>
      </x:c>
    </x:row>
    <x:row r="1295" ht="18" customHeight="1">
      <x:c r="A1295" t="str">
        <x:v>CA-2016-154711</x:v>
      </x:c>
      <x:c r="B1295" s="18" t="n">
        <x:v>42696</x:v>
      </x:c>
      <x:c r="C1295" t="str">
        <x:v>TB-21355</x:v>
      </x:c>
      <x:c r="D1295" t="str">
        <x:v>Todd Boyes</x:v>
      </x:c>
      <x:c r="E1295" t="str">
        <x:v>Corporate</x:v>
      </x:c>
      <x:c r="F1295" t="str">
        <x:v>East</x:v>
      </x:c>
      <x:c r="G1295" t="str">
        <x:v>Office Supplies</x:v>
      </x:c>
      <x:c r="H1295" t="str">
        <x:v>Art</x:v>
      </x:c>
      <x:c r="I1295" s="22" t="n">
        <x:v>20.82</x:v>
      </x:c>
      <x:c r="J1295" s="24" t="n">
        <x:v>3</x:v>
      </x:c>
      <x:c r="K1295" s="26" t="n">
        <x:v>0</x:v>
      </x:c>
      <x:c r="L1295" s="22" t="n">
        <x:v>7.4952000000000005</x:v>
      </x:c>
      <x:c r="M1295" t="n">
        <x:v>2016</x:v>
      </x:c>
      <x:c r="N1295" s="20" t="n">
        <x:v>42675</x:v>
      </x:c>
    </x:row>
    <x:row r="1296" ht="18" customHeight="1">
      <x:c r="A1296" t="str">
        <x:v>CA-2016-163384</x:v>
      </x:c>
      <x:c r="B1296" s="18" t="n">
        <x:v>42684</x:v>
      </x:c>
      <x:c r="C1296" t="str">
        <x:v>CC-12430</x:v>
      </x:c>
      <x:c r="D1296" t="str">
        <x:v>Chuck Clark</x:v>
      </x:c>
      <x:c r="E1296" t="str">
        <x:v>Home Office</x:v>
      </x:c>
      <x:c r="F1296" t="str">
        <x:v>West</x:v>
      </x:c>
      <x:c r="G1296" t="str">
        <x:v>Office Supplies</x:v>
      </x:c>
      <x:c r="H1296" t="str">
        <x:v>Binders</x:v>
      </x:c>
      <x:c r="I1296" s="22" t="n">
        <x:v>13.216000000000001</x:v>
      </x:c>
      <x:c r="J1296" s="24" t="n">
        <x:v>4</x:v>
      </x:c>
      <x:c r="K1296" s="26" t="n">
        <x:v>0.2</x:v>
      </x:c>
      <x:c r="L1296" s="22" t="n">
        <x:v>4.4604</x:v>
      </x:c>
      <x:c r="M1296" t="n">
        <x:v>2016</x:v>
      </x:c>
      <x:c r="N1296" s="20" t="n">
        <x:v>42675</x:v>
      </x:c>
    </x:row>
    <x:row r="1297" ht="18" customHeight="1">
      <x:c r="A1297" t="str">
        <x:v>CA-2016-163384</x:v>
      </x:c>
      <x:c r="B1297" s="18" t="n">
        <x:v>42684</x:v>
      </x:c>
      <x:c r="C1297" t="str">
        <x:v>CC-12430</x:v>
      </x:c>
      <x:c r="D1297" t="str">
        <x:v>Chuck Clark</x:v>
      </x:c>
      <x:c r="E1297" t="str">
        <x:v>Home Office</x:v>
      </x:c>
      <x:c r="F1297" t="str">
        <x:v>West</x:v>
      </x:c>
      <x:c r="G1297" t="str">
        <x:v>Office Supplies</x:v>
      </x:c>
      <x:c r="H1297" t="str">
        <x:v>Paper</x:v>
      </x:c>
      <x:c r="I1297" s="22" t="n">
        <x:v>32.400000000000006</x:v>
      </x:c>
      <x:c r="J1297" s="24" t="n">
        <x:v>5</x:v>
      </x:c>
      <x:c r="K1297" s="26" t="n">
        <x:v>0</x:v>
      </x:c>
      <x:c r="L1297" s="22" t="n">
        <x:v>15.552000000000001</x:v>
      </x:c>
      <x:c r="M1297" t="n">
        <x:v>2016</x:v>
      </x:c>
      <x:c r="N1297" s="20" t="n">
        <x:v>42675</x:v>
      </x:c>
    </x:row>
    <x:row r="1298" ht="18" customHeight="1">
      <x:c r="A1298" t="str">
        <x:v>CA-2015-101707</x:v>
      </x:c>
      <x:c r="B1298" s="18" t="n">
        <x:v>42243</x:v>
      </x:c>
      <x:c r="C1298" t="str">
        <x:v>PF-19165</x:v>
      </x:c>
      <x:c r="D1298" t="str">
        <x:v>Philip Fox</x:v>
      </x:c>
      <x:c r="E1298" t="str">
        <x:v>Consumer</x:v>
      </x:c>
      <x:c r="F1298" t="str">
        <x:v>West</x:v>
      </x:c>
      <x:c r="G1298" t="str">
        <x:v>Office Supplies</x:v>
      </x:c>
      <x:c r="H1298" t="str">
        <x:v>Supplies</x:v>
      </x:c>
      <x:c r="I1298" s="22" t="n">
        <x:v>32.94</x:v>
      </x:c>
      <x:c r="J1298" s="24" t="n">
        <x:v>3</x:v>
      </x:c>
      <x:c r="K1298" s="26" t="n">
        <x:v>0</x:v>
      </x:c>
      <x:c r="L1298" s="22" t="n">
        <x:v>9.223200000000002</x:v>
      </x:c>
      <x:c r="M1298" t="n">
        <x:v>2015</x:v>
      </x:c>
      <x:c r="N1298" s="20" t="n">
        <x:v>42217</x:v>
      </x:c>
    </x:row>
    <x:row r="1299" ht="18" customHeight="1">
      <x:c r="A1299" t="str">
        <x:v>CA-2015-101707</x:v>
      </x:c>
      <x:c r="B1299" s="18" t="n">
        <x:v>42243</x:v>
      </x:c>
      <x:c r="C1299" t="str">
        <x:v>PF-19165</x:v>
      </x:c>
      <x:c r="D1299" t="str">
        <x:v>Philip Fox</x:v>
      </x:c>
      <x:c r="E1299" t="str">
        <x:v>Consumer</x:v>
      </x:c>
      <x:c r="F1299" t="str">
        <x:v>West</x:v>
      </x:c>
      <x:c r="G1299" t="str">
        <x:v>Office Supplies</x:v>
      </x:c>
      <x:c r="H1299" t="str">
        <x:v>Paper</x:v>
      </x:c>
      <x:c r="I1299" s="22" t="n">
        <x:v>114.2</x:v>
      </x:c>
      <x:c r="J1299" s="24" t="n">
        <x:v>5</x:v>
      </x:c>
      <x:c r="K1299" s="26" t="n">
        <x:v>0</x:v>
      </x:c>
      <x:c r="L1299" s="22" t="n">
        <x:v>52.532</x:v>
      </x:c>
      <x:c r="M1299" t="n">
        <x:v>2015</x:v>
      </x:c>
      <x:c r="N1299" s="20" t="n">
        <x:v>42217</x:v>
      </x:c>
    </x:row>
    <x:row r="1300" ht="18" customHeight="1">
      <x:c r="A1300" t="str">
        <x:v>CA-2015-101707</x:v>
      </x:c>
      <x:c r="B1300" s="18" t="n">
        <x:v>42243</x:v>
      </x:c>
      <x:c r="C1300" t="str">
        <x:v>PF-19165</x:v>
      </x:c>
      <x:c r="D1300" t="str">
        <x:v>Philip Fox</x:v>
      </x:c>
      <x:c r="E1300" t="str">
        <x:v>Consumer</x:v>
      </x:c>
      <x:c r="F1300" t="str">
        <x:v>West</x:v>
      </x:c>
      <x:c r="G1300" t="str">
        <x:v>Office Supplies</x:v>
      </x:c>
      <x:c r="H1300" t="str">
        <x:v>Labels</x:v>
      </x:c>
      <x:c r="I1300" s="22" t="n">
        <x:v>3.08</x:v>
      </x:c>
      <x:c r="J1300" s="24" t="n">
        <x:v>1</x:v>
      </x:c>
      <x:c r="K1300" s="26" t="n">
        <x:v>0</x:v>
      </x:c>
      <x:c r="L1300" s="22" t="n">
        <x:v>1.4784</x:v>
      </x:c>
      <x:c r="M1300" t="n">
        <x:v>2015</x:v>
      </x:c>
      <x:c r="N1300" s="20" t="n">
        <x:v>42217</x:v>
      </x:c>
    </x:row>
    <x:row r="1301" ht="18" customHeight="1">
      <x:c r="A1301" t="str">
        <x:v>CA-2015-138898</x:v>
      </x:c>
      <x:c r="B1301" s="18" t="n">
        <x:v>42149</x:v>
      </x:c>
      <x:c r="C1301" t="str">
        <x:v>JH-16180</x:v>
      </x:c>
      <x:c r="D1301" t="str">
        <x:v>Justin Hirsh</x:v>
      </x:c>
      <x:c r="E1301" t="str">
        <x:v>Consumer</x:v>
      </x:c>
      <x:c r="F1301" t="str">
        <x:v>West</x:v>
      </x:c>
      <x:c r="G1301" t="str">
        <x:v>Office Supplies</x:v>
      </x:c>
      <x:c r="H1301" t="str">
        <x:v>Appliances</x:v>
      </x:c>
      <x:c r="I1301" s="22" t="n">
        <x:v>845.728</x:v>
      </x:c>
      <x:c r="J1301" s="24" t="n">
        <x:v>13</x:v>
      </x:c>
      <x:c r="K1301" s="26" t="n">
        <x:v>0.2</x:v>
      </x:c>
      <x:c r="L1301" s="22" t="n">
        <x:v>84.57279999999994</x:v>
      </x:c>
      <x:c r="M1301" t="n">
        <x:v>2015</x:v>
      </x:c>
      <x:c r="N1301" s="20" t="n">
        <x:v>42125</x:v>
      </x:c>
    </x:row>
    <x:row r="1302" ht="18" customHeight="1">
      <x:c r="A1302" t="str">
        <x:v>CA-2017-115427</x:v>
      </x:c>
      <x:c r="B1302" s="18" t="n">
        <x:v>43099</x:v>
      </x:c>
      <x:c r="C1302" t="str">
        <x:v>EB-13975</x:v>
      </x:c>
      <x:c r="D1302" t="str">
        <x:v>Erica Bern</x:v>
      </x:c>
      <x:c r="E1302" t="str">
        <x:v>Corporate</x:v>
      </x:c>
      <x:c r="F1302" t="str">
        <x:v>West</x:v>
      </x:c>
      <x:c r="G1302" t="str">
        <x:v>Office Supplies</x:v>
      </x:c>
      <x:c r="H1302" t="str">
        <x:v>Binders</x:v>
      </x:c>
      <x:c r="I1302" s="22" t="n">
        <x:v>13.904</x:v>
      </x:c>
      <x:c r="J1302" s="24" t="n">
        <x:v>2</x:v>
      </x:c>
      <x:c r="K1302" s="26" t="n">
        <x:v>0.2</x:v>
      </x:c>
      <x:c r="L1302" s="22" t="n">
        <x:v>4.5188</x:v>
      </x:c>
      <x:c r="M1302" t="n">
        <x:v>2017</x:v>
      </x:c>
      <x:c r="N1302" s="20" t="n">
        <x:v>43070</x:v>
      </x:c>
    </x:row>
    <x:row r="1303" ht="18" customHeight="1">
      <x:c r="A1303" t="str">
        <x:v>CA-2017-115427</x:v>
      </x:c>
      <x:c r="B1303" s="18" t="n">
        <x:v>43099</x:v>
      </x:c>
      <x:c r="C1303" t="str">
        <x:v>EB-13975</x:v>
      </x:c>
      <x:c r="D1303" t="str">
        <x:v>Erica Bern</x:v>
      </x:c>
      <x:c r="E1303" t="str">
        <x:v>Corporate</x:v>
      </x:c>
      <x:c r="F1303" t="str">
        <x:v>West</x:v>
      </x:c>
      <x:c r="G1303" t="str">
        <x:v>Office Supplies</x:v>
      </x:c>
      <x:c r="H1303" t="str">
        <x:v>Binders</x:v>
      </x:c>
      <x:c r="I1303" s="22" t="n">
        <x:v>20.72</x:v>
      </x:c>
      <x:c r="J1303" s="24" t="n">
        <x:v>2</x:v>
      </x:c>
      <x:c r="K1303" s="26" t="n">
        <x:v>0.2</x:v>
      </x:c>
      <x:c r="L1303" s="22" t="n">
        <x:v>6.474999999999998</x:v>
      </x:c>
      <x:c r="M1303" t="n">
        <x:v>2017</x:v>
      </x:c>
      <x:c r="N1303" s="20" t="n">
        <x:v>43070</x:v>
      </x:c>
    </x:row>
    <x:row r="1304" ht="18" customHeight="1">
      <x:c r="A1304" t="str">
        <x:v>CA-2016-134425</x:v>
      </x:c>
      <x:c r="B1304" s="18" t="n">
        <x:v>42712</x:v>
      </x:c>
      <x:c r="C1304" t="str">
        <x:v>QJ-19255</x:v>
      </x:c>
      <x:c r="D1304" t="str">
        <x:v>Quincy Jones</x:v>
      </x:c>
      <x:c r="E1304" t="str">
        <x:v>Corporate</x:v>
      </x:c>
      <x:c r="F1304" t="str">
        <x:v>Central</x:v>
      </x:c>
      <x:c r="G1304" t="str">
        <x:v>Technology</x:v>
      </x:c>
      <x:c r="H1304" t="str">
        <x:v>Phones</x:v>
      </x:c>
      <x:c r="I1304" s="22" t="n">
        <x:v>114.94999999999999</x:v>
      </x:c>
      <x:c r="J1304" s="24" t="n">
        <x:v>5</x:v>
      </x:c>
      <x:c r="K1304" s="26" t="n">
        <x:v>0</x:v>
      </x:c>
      <x:c r="L1304" s="22" t="n">
        <x:v>2.2990000000000066</x:v>
      </x:c>
      <x:c r="M1304" t="n">
        <x:v>2016</x:v>
      </x:c>
      <x:c r="N1304" s="20" t="n">
        <x:v>42705</x:v>
      </x:c>
    </x:row>
    <x:row r="1305" ht="18" customHeight="1">
      <x:c r="A1305" t="str">
        <x:v>CA-2015-121391</x:v>
      </x:c>
      <x:c r="B1305" s="18" t="n">
        <x:v>42281</x:v>
      </x:c>
      <x:c r="C1305" t="str">
        <x:v>AA-10315</x:v>
      </x:c>
      <x:c r="D1305" t="str">
        <x:v>Alex Avila</x:v>
      </x:c>
      <x:c r="E1305" t="str">
        <x:v>Consumer</x:v>
      </x:c>
      <x:c r="F1305" t="str">
        <x:v>West</x:v>
      </x:c>
      <x:c r="G1305" t="str">
        <x:v>Office Supplies</x:v>
      </x:c>
      <x:c r="H1305" t="str">
        <x:v>Storage</x:v>
      </x:c>
      <x:c r="I1305" s="22" t="n">
        <x:v>26.96</x:v>
      </x:c>
      <x:c r="J1305" s="24" t="n">
        <x:v>2</x:v>
      </x:c>
      <x:c r="K1305" s="26" t="n">
        <x:v>0</x:v>
      </x:c>
      <x:c r="L1305" s="22" t="n">
        <x:v>7.009599999999999</x:v>
      </x:c>
      <x:c r="M1305" t="n">
        <x:v>2015</x:v>
      </x:c>
      <x:c r="N1305" s="20" t="n">
        <x:v>42278</x:v>
      </x:c>
    </x:row>
    <x:row r="1306" ht="18" customHeight="1">
      <x:c r="A1306" t="str">
        <x:v>CA-2016-137043</x:v>
      </x:c>
      <x:c r="B1306" s="18" t="n">
        <x:v>42727</x:v>
      </x:c>
      <x:c r="C1306" t="str">
        <x:v>LC-17140</x:v>
      </x:c>
      <x:c r="D1306" t="str">
        <x:v>Logan Currie</x:v>
      </x:c>
      <x:c r="E1306" t="str">
        <x:v>Consumer</x:v>
      </x:c>
      <x:c r="F1306" t="str">
        <x:v>South</x:v>
      </x:c>
      <x:c r="G1306" t="str">
        <x:v>Furniture</x:v>
      </x:c>
      <x:c r="H1306" t="str">
        <x:v>Furnishings</x:v>
      </x:c>
      <x:c r="I1306" s="22" t="n">
        <x:v>572.76</x:v>
      </x:c>
      <x:c r="J1306" s="24" t="n">
        <x:v>6</x:v>
      </x:c>
      <x:c r="K1306" s="26" t="n">
        <x:v>0</x:v>
      </x:c>
      <x:c r="L1306" s="22" t="n">
        <x:v>166.10039999999995</x:v>
      </x:c>
      <x:c r="M1306" t="n">
        <x:v>2016</x:v>
      </x:c>
      <x:c r="N1306" s="20" t="n">
        <x:v>42705</x:v>
      </x:c>
    </x:row>
    <x:row r="1307" ht="18" customHeight="1">
      <x:c r="A1307" t="str">
        <x:v>CA-2016-137043</x:v>
      </x:c>
      <x:c r="B1307" s="18" t="n">
        <x:v>42727</x:v>
      </x:c>
      <x:c r="C1307" t="str">
        <x:v>LC-17140</x:v>
      </x:c>
      <x:c r="D1307" t="str">
        <x:v>Logan Currie</x:v>
      </x:c>
      <x:c r="E1307" t="str">
        <x:v>Consumer</x:v>
      </x:c>
      <x:c r="F1307" t="str">
        <x:v>South</x:v>
      </x:c>
      <x:c r="G1307" t="str">
        <x:v>Furniture</x:v>
      </x:c>
      <x:c r="H1307" t="str">
        <x:v>Furnishings</x:v>
      </x:c>
      <x:c r="I1307" s="22" t="n">
        <x:v>286.38</x:v>
      </x:c>
      <x:c r="J1307" s="24" t="n">
        <x:v>3</x:v>
      </x:c>
      <x:c r="K1307" s="26" t="n">
        <x:v>0</x:v>
      </x:c>
      <x:c r="L1307" s="22" t="n">
        <x:v>83.05019999999998</x:v>
      </x:c>
      <x:c r="M1307" t="n">
        <x:v>2016</x:v>
      </x:c>
      <x:c r="N1307" s="20" t="n">
        <x:v>42705</x:v>
      </x:c>
    </x:row>
    <x:row r="1308" ht="18" customHeight="1">
      <x:c r="A1308" t="str">
        <x:v>CA-2015-115847</x:v>
      </x:c>
      <x:c r="B1308" s="18" t="n">
        <x:v>42266</x:v>
      </x:c>
      <x:c r="C1308" t="str">
        <x:v>TC-21535</x:v>
      </x:c>
      <x:c r="D1308" t="str">
        <x:v>Tracy Collins</x:v>
      </x:c>
      <x:c r="E1308" t="str">
        <x:v>Home Office</x:v>
      </x:c>
      <x:c r="F1308" t="str">
        <x:v>South</x:v>
      </x:c>
      <x:c r="G1308" t="str">
        <x:v>Furniture</x:v>
      </x:c>
      <x:c r="H1308" t="str">
        <x:v>Bookcases</x:v>
      </x:c>
      <x:c r="I1308" s="22" t="n">
        <x:v>61.96</x:v>
      </x:c>
      <x:c r="J1308" s="24" t="n">
        <x:v>2</x:v>
      </x:c>
      <x:c r="K1308" s="26" t="n">
        <x:v>0</x:v>
      </x:c>
      <x:c r="L1308" s="22" t="n">
        <x:v>4.337199999999996</x:v>
      </x:c>
      <x:c r="M1308" t="n">
        <x:v>2015</x:v>
      </x:c>
      <x:c r="N1308" s="20" t="n">
        <x:v>42248</x:v>
      </x:c>
    </x:row>
    <x:row r="1309" ht="18" customHeight="1">
      <x:c r="A1309" t="str">
        <x:v>US-2017-126179</x:v>
      </x:c>
      <x:c r="B1309" s="18" t="n">
        <x:v>42919</x:v>
      </x:c>
      <x:c r="C1309" t="str">
        <x:v>CS-12460</x:v>
      </x:c>
      <x:c r="D1309" t="str">
        <x:v>Chuck Sachs</x:v>
      </x:c>
      <x:c r="E1309" t="str">
        <x:v>Consumer</x:v>
      </x:c>
      <x:c r="F1309" t="str">
        <x:v>South</x:v>
      </x:c>
      <x:c r="G1309" t="str">
        <x:v>Furniture</x:v>
      </x:c>
      <x:c r="H1309" t="str">
        <x:v>Furnishings</x:v>
      </x:c>
      <x:c r="I1309" s="22" t="n">
        <x:v>23.99</x:v>
      </x:c>
      <x:c r="J1309" s="24" t="n">
        <x:v>1</x:v>
      </x:c>
      <x:c r="K1309" s="26" t="n">
        <x:v>0</x:v>
      </x:c>
      <x:c r="L1309" s="22" t="n">
        <x:v>5.517699999999998</x:v>
      </x:c>
      <x:c r="M1309" t="n">
        <x:v>2017</x:v>
      </x:c>
      <x:c r="N1309" s="20" t="n">
        <x:v>42917</x:v>
      </x:c>
    </x:row>
    <x:row r="1310" ht="18" customHeight="1">
      <x:c r="A1310" t="str">
        <x:v>US-2017-126179</x:v>
      </x:c>
      <x:c r="B1310" s="18" t="n">
        <x:v>42919</x:v>
      </x:c>
      <x:c r="C1310" t="str">
        <x:v>CS-12460</x:v>
      </x:c>
      <x:c r="D1310" t="str">
        <x:v>Chuck Sachs</x:v>
      </x:c>
      <x:c r="E1310" t="str">
        <x:v>Consumer</x:v>
      </x:c>
      <x:c r="F1310" t="str">
        <x:v>South</x:v>
      </x:c>
      <x:c r="G1310" t="str">
        <x:v>Technology</x:v>
      </x:c>
      <x:c r="H1310" t="str">
        <x:v>Phones</x:v>
      </x:c>
      <x:c r="I1310" s="22" t="n">
        <x:v>287.96999999999997</x:v>
      </x:c>
      <x:c r="J1310" s="24" t="n">
        <x:v>3</x:v>
      </x:c>
      <x:c r="K1310" s="26" t="n">
        <x:v>0</x:v>
      </x:c>
      <x:c r="L1310" s="22" t="n">
        <x:v>77.75189999999999</x:v>
      </x:c>
      <x:c r="M1310" t="n">
        <x:v>2017</x:v>
      </x:c>
      <x:c r="N1310" s="20" t="n">
        <x:v>42917</x:v>
      </x:c>
    </x:row>
    <x:row r="1311" ht="18" customHeight="1">
      <x:c r="A1311" t="str">
        <x:v>CA-2016-101966</x:v>
      </x:c>
      <x:c r="B1311" s="18" t="n">
        <x:v>42565</x:v>
      </x:c>
      <x:c r="C1311" t="str">
        <x:v>BM-11785</x:v>
      </x:c>
      <x:c r="D1311" t="str">
        <x:v>Bryan Mills</x:v>
      </x:c>
      <x:c r="E1311" t="str">
        <x:v>Consumer</x:v>
      </x:c>
      <x:c r="F1311" t="str">
        <x:v>Central</x:v>
      </x:c>
      <x:c r="G1311" t="str">
        <x:v>Technology</x:v>
      </x:c>
      <x:c r="H1311" t="str">
        <x:v>Phones</x:v>
      </x:c>
      <x:c r="I1311" s="22" t="n">
        <x:v>419.94399999999996</x:v>
      </x:c>
      <x:c r="J1311" s="24" t="n">
        <x:v>7</x:v>
      </x:c>
      <x:c r="K1311" s="26" t="n">
        <x:v>0.2</x:v>
      </x:c>
      <x:c r="L1311" s="22" t="n">
        <x:v>52.49299999999997</x:v>
      </x:c>
      <x:c r="M1311" t="n">
        <x:v>2016</x:v>
      </x:c>
      <x:c r="N1311" s="20" t="n">
        <x:v>42552</x:v>
      </x:c>
    </x:row>
    <x:row r="1312" ht="18" customHeight="1">
      <x:c r="A1312" t="str">
        <x:v>CA-2016-141397</x:v>
      </x:c>
      <x:c r="B1312" s="18" t="n">
        <x:v>42541</x:v>
      </x:c>
      <x:c r="C1312" t="str">
        <x:v>RC-19825</x:v>
      </x:c>
      <x:c r="D1312" t="str">
        <x:v>Roy Collins</x:v>
      </x:c>
      <x:c r="E1312" t="str">
        <x:v>Consumer</x:v>
      </x:c>
      <x:c r="F1312" t="str">
        <x:v>West</x:v>
      </x:c>
      <x:c r="G1312" t="str">
        <x:v>Office Supplies</x:v>
      </x:c>
      <x:c r="H1312" t="str">
        <x:v>Paper</x:v>
      </x:c>
      <x:c r="I1312" s="22" t="n">
        <x:v>46.76</x:v>
      </x:c>
      <x:c r="J1312" s="24" t="n">
        <x:v>7</x:v>
      </x:c>
      <x:c r="K1312" s="26" t="n">
        <x:v>0</x:v>
      </x:c>
      <x:c r="L1312" s="22" t="n">
        <x:v>22.4448</x:v>
      </x:c>
      <x:c r="M1312" t="n">
        <x:v>2016</x:v>
      </x:c>
      <x:c r="N1312" s="20" t="n">
        <x:v>42522</x:v>
      </x:c>
    </x:row>
    <x:row r="1313" ht="18" customHeight="1">
      <x:c r="A1313" t="str">
        <x:v>CA-2016-141397</x:v>
      </x:c>
      <x:c r="B1313" s="18" t="n">
        <x:v>42541</x:v>
      </x:c>
      <x:c r="C1313" t="str">
        <x:v>RC-19825</x:v>
      </x:c>
      <x:c r="D1313" t="str">
        <x:v>Roy Collins</x:v>
      </x:c>
      <x:c r="E1313" t="str">
        <x:v>Consumer</x:v>
      </x:c>
      <x:c r="F1313" t="str">
        <x:v>West</x:v>
      </x:c>
      <x:c r="G1313" t="str">
        <x:v>Office Supplies</x:v>
      </x:c>
      <x:c r="H1313" t="str">
        <x:v>Binders</x:v>
      </x:c>
      <x:c r="I1313" s="22" t="n">
        <x:v>17.712</x:v>
      </x:c>
      <x:c r="J1313" s="24" t="n">
        <x:v>3</x:v>
      </x:c>
      <x:c r="K1313" s="26" t="n">
        <x:v>0.2</x:v>
      </x:c>
      <x:c r="L1313" s="22" t="n">
        <x:v>6.420600000000001</x:v>
      </x:c>
      <x:c r="M1313" t="n">
        <x:v>2016</x:v>
      </x:c>
      <x:c r="N1313" s="20" t="n">
        <x:v>42522</x:v>
      </x:c>
    </x:row>
    <x:row r="1314" ht="18" customHeight="1">
      <x:c r="A1314" t="str">
        <x:v>CA-2016-141397</x:v>
      </x:c>
      <x:c r="B1314" s="18" t="n">
        <x:v>42541</x:v>
      </x:c>
      <x:c r="C1314" t="str">
        <x:v>RC-19825</x:v>
      </x:c>
      <x:c r="D1314" t="str">
        <x:v>Roy Collins</x:v>
      </x:c>
      <x:c r="E1314" t="str">
        <x:v>Consumer</x:v>
      </x:c>
      <x:c r="F1314" t="str">
        <x:v>West</x:v>
      </x:c>
      <x:c r="G1314" t="str">
        <x:v>Office Supplies</x:v>
      </x:c>
      <x:c r="H1314" t="str">
        <x:v>Appliances</x:v>
      </x:c>
      <x:c r="I1314" s="22" t="n">
        <x:v>21.78</x:v>
      </x:c>
      <x:c r="J1314" s="24" t="n">
        <x:v>2</x:v>
      </x:c>
      <x:c r="K1314" s="26" t="n">
        <x:v>0</x:v>
      </x:c>
      <x:c r="L1314" s="22" t="n">
        <x:v>5.662800000000001</x:v>
      </x:c>
      <x:c r="M1314" t="n">
        <x:v>2016</x:v>
      </x:c>
      <x:c r="N1314" s="20" t="n">
        <x:v>42522</x:v>
      </x:c>
    </x:row>
    <x:row r="1315" ht="18" customHeight="1">
      <x:c r="A1315" t="str">
        <x:v>CA-2016-141397</x:v>
      </x:c>
      <x:c r="B1315" s="18" t="n">
        <x:v>42541</x:v>
      </x:c>
      <x:c r="C1315" t="str">
        <x:v>RC-19825</x:v>
      </x:c>
      <x:c r="D1315" t="str">
        <x:v>Roy Collins</x:v>
      </x:c>
      <x:c r="E1315" t="str">
        <x:v>Consumer</x:v>
      </x:c>
      <x:c r="F1315" t="str">
        <x:v>West</x:v>
      </x:c>
      <x:c r="G1315" t="str">
        <x:v>Office Supplies</x:v>
      </x:c>
      <x:c r="H1315" t="str">
        <x:v>Storage</x:v>
      </x:c>
      <x:c r="I1315" s="22" t="n">
        <x:v>161.94</x:v>
      </x:c>
      <x:c r="J1315" s="24" t="n">
        <x:v>3</x:v>
      </x:c>
      <x:c r="K1315" s="26" t="n">
        <x:v>0</x:v>
      </x:c>
      <x:c r="L1315" s="22" t="n">
        <x:v>9.716399999999993</x:v>
      </x:c>
      <x:c r="M1315" t="n">
        <x:v>2016</x:v>
      </x:c>
      <x:c r="N1315" s="20" t="n">
        <x:v>42522</x:v>
      </x:c>
    </x:row>
    <x:row r="1316" ht="18" customHeight="1">
      <x:c r="A1316" t="str">
        <x:v>CA-2016-141397</x:v>
      </x:c>
      <x:c r="B1316" s="18" t="n">
        <x:v>42541</x:v>
      </x:c>
      <x:c r="C1316" t="str">
        <x:v>RC-19825</x:v>
      </x:c>
      <x:c r="D1316" t="str">
        <x:v>Roy Collins</x:v>
      </x:c>
      <x:c r="E1316" t="str">
        <x:v>Consumer</x:v>
      </x:c>
      <x:c r="F1316" t="str">
        <x:v>West</x:v>
      </x:c>
      <x:c r="G1316" t="str">
        <x:v>Furniture</x:v>
      </x:c>
      <x:c r="H1316" t="str">
        <x:v>Chairs</x:v>
      </x:c>
      <x:c r="I1316" s="22" t="n">
        <x:v>161.568</x:v>
      </x:c>
      <x:c r="J1316" s="24" t="n">
        <x:v>2</x:v>
      </x:c>
      <x:c r="K1316" s="26" t="n">
        <x:v>0.2</x:v>
      </x:c>
      <x:c r="L1316" s="22" t="n">
        <x:v>-8.078399999999995</x:v>
      </x:c>
      <x:c r="M1316" t="n">
        <x:v>2016</x:v>
      </x:c>
      <x:c r="N1316" s="20" t="n">
        <x:v>42522</x:v>
      </x:c>
    </x:row>
    <x:row r="1317" ht="18" customHeight="1">
      <x:c r="A1317" t="str">
        <x:v>CA-2016-141082</x:v>
      </x:c>
      <x:c r="B1317" s="18" t="n">
        <x:v>42713</x:v>
      </x:c>
      <x:c r="C1317" t="str">
        <x:v>FM-14380</x:v>
      </x:c>
      <x:c r="D1317" t="str">
        <x:v>Fred McMath</x:v>
      </x:c>
      <x:c r="E1317" t="str">
        <x:v>Consumer</x:v>
      </x:c>
      <x:c r="F1317" t="str">
        <x:v>East</x:v>
      </x:c>
      <x:c r="G1317" t="str">
        <x:v>Office Supplies</x:v>
      </x:c>
      <x:c r="H1317" t="str">
        <x:v>Labels</x:v>
      </x:c>
      <x:c r="I1317" s="22" t="n">
        <x:v>3.69</x:v>
      </x:c>
      <x:c r="J1317" s="24" t="n">
        <x:v>1</x:v>
      </x:c>
      <x:c r="K1317" s="26" t="n">
        <x:v>0</x:v>
      </x:c>
      <x:c r="L1317" s="22" t="n">
        <x:v>1.7343</x:v>
      </x:c>
      <x:c r="M1317" t="n">
        <x:v>2016</x:v>
      </x:c>
      <x:c r="N1317" s="20" t="n">
        <x:v>42705</x:v>
      </x:c>
    </x:row>
    <x:row r="1318" ht="18" customHeight="1">
      <x:c r="A1318" t="str">
        <x:v>CA-2016-141082</x:v>
      </x:c>
      <x:c r="B1318" s="18" t="n">
        <x:v>42713</x:v>
      </x:c>
      <x:c r="C1318" t="str">
        <x:v>FM-14380</x:v>
      </x:c>
      <x:c r="D1318" t="str">
        <x:v>Fred McMath</x:v>
      </x:c>
      <x:c r="E1318" t="str">
        <x:v>Consumer</x:v>
      </x:c>
      <x:c r="F1318" t="str">
        <x:v>East</x:v>
      </x:c>
      <x:c r="G1318" t="str">
        <x:v>Office Supplies</x:v>
      </x:c>
      <x:c r="H1318" t="str">
        <x:v>Labels</x:v>
      </x:c>
      <x:c r="I1318" s="22" t="n">
        <x:v>122.12</x:v>
      </x:c>
      <x:c r="J1318" s="24" t="n">
        <x:v>4</x:v>
      </x:c>
      <x:c r="K1318" s="26" t="n">
        <x:v>0</x:v>
      </x:c>
      <x:c r="L1318" s="22" t="n">
        <x:v>56.175200000000004</x:v>
      </x:c>
      <x:c r="M1318" t="n">
        <x:v>2016</x:v>
      </x:c>
      <x:c r="N1318" s="20" t="n">
        <x:v>42705</x:v>
      </x:c>
    </x:row>
    <x:row r="1319" ht="18" customHeight="1">
      <x:c r="A1319" t="str">
        <x:v>US-2016-134488</x:v>
      </x:c>
      <x:c r="B1319" s="18" t="n">
        <x:v>42637</x:v>
      </x:c>
      <x:c r="C1319" t="str">
        <x:v>PK-19075</x:v>
      </x:c>
      <x:c r="D1319" t="str">
        <x:v>Pete Kriz</x:v>
      </x:c>
      <x:c r="E1319" t="str">
        <x:v>Consumer</x:v>
      </x:c>
      <x:c r="F1319" t="str">
        <x:v>East</x:v>
      </x:c>
      <x:c r="G1319" t="str">
        <x:v>Furniture</x:v>
      </x:c>
      <x:c r="H1319" t="str">
        <x:v>Chairs</x:v>
      </x:c>
      <x:c r="I1319" s="22" t="n">
        <x:v>155.37199999999999</x:v>
      </x:c>
      <x:c r="J1319" s="24" t="n">
        <x:v>2</x:v>
      </x:c>
      <x:c r="K1319" s="26" t="n">
        <x:v>0.3</x:v>
      </x:c>
      <x:c r="L1319" s="22" t="n">
        <x:v>-13.317599999999999</x:v>
      </x:c>
      <x:c r="M1319" t="n">
        <x:v>2016</x:v>
      </x:c>
      <x:c r="N1319" s="20" t="n">
        <x:v>42614</x:v>
      </x:c>
    </x:row>
    <x:row r="1320" ht="18" customHeight="1">
      <x:c r="A1320" t="str">
        <x:v>CA-2016-145919</x:v>
      </x:c>
      <x:c r="B1320" s="18" t="n">
        <x:v>42722</x:v>
      </x:c>
      <x:c r="C1320" t="str">
        <x:v>HG-14965</x:v>
      </x:c>
      <x:c r="D1320" t="str">
        <x:v>Henry Goldwyn</x:v>
      </x:c>
      <x:c r="E1320" t="str">
        <x:v>Corporate</x:v>
      </x:c>
      <x:c r="F1320" t="str">
        <x:v>West</x:v>
      </x:c>
      <x:c r="G1320" t="str">
        <x:v>Office Supplies</x:v>
      </x:c>
      <x:c r="H1320" t="str">
        <x:v>Paper</x:v>
      </x:c>
      <x:c r="I1320" s="22" t="n">
        <x:v>38.88</x:v>
      </x:c>
      <x:c r="J1320" s="24" t="n">
        <x:v>6</x:v>
      </x:c>
      <x:c r="K1320" s="26" t="n">
        <x:v>0</x:v>
      </x:c>
      <x:c r="L1320" s="22" t="n">
        <x:v>18.6624</x:v>
      </x:c>
      <x:c r="M1320" t="n">
        <x:v>2016</x:v>
      </x:c>
      <x:c r="N1320" s="20" t="n">
        <x:v>42705</x:v>
      </x:c>
    </x:row>
    <x:row r="1321" ht="18" customHeight="1">
      <x:c r="A1321" t="str">
        <x:v>CA-2016-145919</x:v>
      </x:c>
      <x:c r="B1321" s="18" t="n">
        <x:v>42722</x:v>
      </x:c>
      <x:c r="C1321" t="str">
        <x:v>HG-14965</x:v>
      </x:c>
      <x:c r="D1321" t="str">
        <x:v>Henry Goldwyn</x:v>
      </x:c>
      <x:c r="E1321" t="str">
        <x:v>Corporate</x:v>
      </x:c>
      <x:c r="F1321" t="str">
        <x:v>West</x:v>
      </x:c>
      <x:c r="G1321" t="str">
        <x:v>Furniture</x:v>
      </x:c>
      <x:c r="H1321" t="str">
        <x:v>Furnishings</x:v>
      </x:c>
      <x:c r="I1321" s="22" t="n">
        <x:v>183.84</x:v>
      </x:c>
      <x:c r="J1321" s="24" t="n">
        <x:v>8</x:v>
      </x:c>
      <x:c r="K1321" s="26" t="n">
        <x:v>0</x:v>
      </x:c>
      <x:c r="L1321" s="22" t="n">
        <x:v>62.5056</x:v>
      </x:c>
      <x:c r="M1321" t="n">
        <x:v>2016</x:v>
      </x:c>
      <x:c r="N1321" s="20" t="n">
        <x:v>42705</x:v>
      </x:c>
    </x:row>
    <x:row r="1322" ht="18" customHeight="1">
      <x:c r="A1322" t="str">
        <x:v>CA-2016-145919</x:v>
      </x:c>
      <x:c r="B1322" s="18" t="n">
        <x:v>42722</x:v>
      </x:c>
      <x:c r="C1322" t="str">
        <x:v>HG-14965</x:v>
      </x:c>
      <x:c r="D1322" t="str">
        <x:v>Henry Goldwyn</x:v>
      </x:c>
      <x:c r="E1322" t="str">
        <x:v>Corporate</x:v>
      </x:c>
      <x:c r="F1322" t="str">
        <x:v>West</x:v>
      </x:c>
      <x:c r="G1322" t="str">
        <x:v>Office Supplies</x:v>
      </x:c>
      <x:c r="H1322" t="str">
        <x:v>Supplies</x:v>
      </x:c>
      <x:c r="I1322" s="22" t="n">
        <x:v>579.3</x:v>
      </x:c>
      <x:c r="J1322" s="24" t="n">
        <x:v>5</x:v>
      </x:c>
      <x:c r="K1322" s="26" t="n">
        <x:v>0</x:v>
      </x:c>
      <x:c r="L1322" s="22" t="n">
        <x:v>28.96499999999996</x:v>
      </x:c>
      <x:c r="M1322" t="n">
        <x:v>2016</x:v>
      </x:c>
      <x:c r="N1322" s="20" t="n">
        <x:v>42705</x:v>
      </x:c>
    </x:row>
    <x:row r="1323" ht="18" customHeight="1">
      <x:c r="A1323" t="str">
        <x:v>CA-2017-157651</x:v>
      </x:c>
      <x:c r="B1323" s="18" t="n">
        <x:v>43079</x:v>
      </x:c>
      <x:c r="C1323" t="str">
        <x:v>HA-14920</x:v>
      </x:c>
      <x:c r="D1323" t="str">
        <x:v>Helen Andreada</x:v>
      </x:c>
      <x:c r="E1323" t="str">
        <x:v>Consumer</x:v>
      </x:c>
      <x:c r="F1323" t="str">
        <x:v>East</x:v>
      </x:c>
      <x:c r="G1323" t="str">
        <x:v>Technology</x:v>
      </x:c>
      <x:c r="H1323" t="str">
        <x:v>Accessories</x:v>
      </x:c>
      <x:c r="I1323" s="22" t="n">
        <x:v>14.200000000000001</x:v>
      </x:c>
      <x:c r="J1323" s="24" t="n">
        <x:v>1</x:v>
      </x:c>
      <x:c r="K1323" s="26" t="n">
        <x:v>0.2</x:v>
      </x:c>
      <x:c r="L1323" s="22" t="n">
        <x:v>3.372499999999999</x:v>
      </x:c>
      <x:c r="M1323" t="n">
        <x:v>2017</x:v>
      </x:c>
      <x:c r="N1323" s="20" t="n">
        <x:v>43070</x:v>
      </x:c>
    </x:row>
    <x:row r="1324" ht="18" customHeight="1">
      <x:c r="A1324" t="str">
        <x:v>CA-2014-160773</x:v>
      </x:c>
      <x:c r="B1324" s="18" t="n">
        <x:v>41821</x:v>
      </x:c>
      <x:c r="C1324" t="str">
        <x:v>LW-16825</x:v>
      </x:c>
      <x:c r="D1324" t="str">
        <x:v>Laurel Workman</x:v>
      </x:c>
      <x:c r="E1324" t="str">
        <x:v>Corporate</x:v>
      </x:c>
      <x:c r="F1324" t="str">
        <x:v>South</x:v>
      </x:c>
      <x:c r="G1324" t="str">
        <x:v>Technology</x:v>
      </x:c>
      <x:c r="H1324" t="str">
        <x:v>Phones</x:v>
      </x:c>
      <x:c r="I1324" s="22" t="n">
        <x:v>575.92</x:v>
      </x:c>
      <x:c r="J1324" s="24" t="n">
        <x:v>2</x:v>
      </x:c>
      <x:c r="K1324" s="26" t="n">
        <x:v>0.2</x:v>
      </x:c>
      <x:c r="L1324" s="22" t="n">
        <x:v>71.98999999999998</x:v>
      </x:c>
      <x:c r="M1324" t="n">
        <x:v>2014</x:v>
      </x:c>
      <x:c r="N1324" s="20" t="n">
        <x:v>41821</x:v>
      </x:c>
    </x:row>
    <x:row r="1325" ht="18" customHeight="1">
      <x:c r="A1325" t="str">
        <x:v>CA-2014-160773</x:v>
      </x:c>
      <x:c r="B1325" s="18" t="n">
        <x:v>41821</x:v>
      </x:c>
      <x:c r="C1325" t="str">
        <x:v>LW-16825</x:v>
      </x:c>
      <x:c r="D1325" t="str">
        <x:v>Laurel Workman</x:v>
      </x:c>
      <x:c r="E1325" t="str">
        <x:v>Corporate</x:v>
      </x:c>
      <x:c r="F1325" t="str">
        <x:v>South</x:v>
      </x:c>
      <x:c r="G1325" t="str">
        <x:v>Office Supplies</x:v>
      </x:c>
      <x:c r="H1325" t="str">
        <x:v>Binders</x:v>
      </x:c>
      <x:c r="I1325" s="22" t="n">
        <x:v>5.184000000000001</x:v>
      </x:c>
      <x:c r="J1325" s="24" t="n">
        <x:v>6</x:v>
      </x:c>
      <x:c r="K1325" s="26" t="n">
        <x:v>0.7</x:v>
      </x:c>
      <x:c r="L1325" s="22" t="n">
        <x:v>-3.6288</x:v>
      </x:c>
      <x:c r="M1325" t="n">
        <x:v>2014</x:v>
      </x:c>
      <x:c r="N1325" s="20" t="n">
        <x:v>41821</x:v>
      </x:c>
    </x:row>
    <x:row r="1326" ht="18" customHeight="1">
      <x:c r="A1326" t="str">
        <x:v>CA-2017-167703</x:v>
      </x:c>
      <x:c r="B1326" s="18" t="n">
        <x:v>42769</x:v>
      </x:c>
      <x:c r="C1326" t="str">
        <x:v>MC-17575</x:v>
      </x:c>
      <x:c r="D1326" t="str">
        <x:v>Matt Collins</x:v>
      </x:c>
      <x:c r="E1326" t="str">
        <x:v>Consumer</x:v>
      </x:c>
      <x:c r="F1326" t="str">
        <x:v>East</x:v>
      </x:c>
      <x:c r="G1326" t="str">
        <x:v>Office Supplies</x:v>
      </x:c>
      <x:c r="H1326" t="str">
        <x:v>Binders</x:v>
      </x:c>
      <x:c r="I1326" s="22" t="n">
        <x:v>5.229</x:v>
      </x:c>
      <x:c r="J1326" s="24" t="n">
        <x:v>3</x:v>
      </x:c>
      <x:c r="K1326" s="26" t="n">
        <x:v>0.7</x:v>
      </x:c>
      <x:c r="L1326" s="22" t="n">
        <x:v>-4.183199999999998</x:v>
      </x:c>
      <x:c r="M1326" t="n">
        <x:v>2017</x:v>
      </x:c>
      <x:c r="N1326" s="20" t="n">
        <x:v>42767</x:v>
      </x:c>
    </x:row>
    <x:row r="1327" ht="18" customHeight="1">
      <x:c r="A1327" t="str">
        <x:v>CA-2017-167703</x:v>
      </x:c>
      <x:c r="B1327" s="18" t="n">
        <x:v>42769</x:v>
      </x:c>
      <x:c r="C1327" t="str">
        <x:v>MC-17575</x:v>
      </x:c>
      <x:c r="D1327" t="str">
        <x:v>Matt Collins</x:v>
      </x:c>
      <x:c r="E1327" t="str">
        <x:v>Consumer</x:v>
      </x:c>
      <x:c r="F1327" t="str">
        <x:v>East</x:v>
      </x:c>
      <x:c r="G1327" t="str">
        <x:v>Office Supplies</x:v>
      </x:c>
      <x:c r="H1327" t="str">
        <x:v>Storage</x:v>
      </x:c>
      <x:c r="I1327" s="22" t="n">
        <x:v>285.552</x:v>
      </x:c>
      <x:c r="J1327" s="24" t="n">
        <x:v>2</x:v>
      </x:c>
      <x:c r="K1327" s="26" t="n">
        <x:v>0.2</x:v>
      </x:c>
      <x:c r="L1327" s="22" t="n">
        <x:v>35.69399999999996</x:v>
      </x:c>
      <x:c r="M1327" t="n">
        <x:v>2017</x:v>
      </x:c>
      <x:c r="N1327" s="20" t="n">
        <x:v>42767</x:v>
      </x:c>
    </x:row>
    <x:row r="1328" ht="18" customHeight="1">
      <x:c r="A1328" t="str">
        <x:v>CA-2017-121804</x:v>
      </x:c>
      <x:c r="B1328" s="18" t="n">
        <x:v>42797</x:v>
      </x:c>
      <x:c r="C1328" t="str">
        <x:v>LP-17095</x:v>
      </x:c>
      <x:c r="D1328" t="str">
        <x:v>Liz Preis</x:v>
      </x:c>
      <x:c r="E1328" t="str">
        <x:v>Consumer</x:v>
      </x:c>
      <x:c r="F1328" t="str">
        <x:v>South</x:v>
      </x:c>
      <x:c r="G1328" t="str">
        <x:v>Office Supplies</x:v>
      </x:c>
      <x:c r="H1328" t="str">
        <x:v>Appliances</x:v>
      </x:c>
      <x:c r="I1328" s="22" t="n">
        <x:v>72.8</x:v>
      </x:c>
      <x:c r="J1328" s="24" t="n">
        <x:v>5</x:v>
      </x:c>
      <x:c r="K1328" s="26" t="n">
        <x:v>0</x:v>
      </x:c>
      <x:c r="L1328" s="22" t="n">
        <x:v>19.656000000000002</x:v>
      </x:c>
      <x:c r="M1328" t="n">
        <x:v>2017</x:v>
      </x:c>
      <x:c r="N1328" s="20" t="n">
        <x:v>42795</x:v>
      </x:c>
    </x:row>
    <x:row r="1329" ht="18" customHeight="1">
      <x:c r="A1329" t="str">
        <x:v>CA-2017-162635</x:v>
      </x:c>
      <x:c r="B1329" s="18" t="n">
        <x:v>43017</x:v>
      </x:c>
      <x:c r="C1329" t="str">
        <x:v>EB-14170</x:v>
      </x:c>
      <x:c r="D1329" t="str">
        <x:v>Evan Bailliet</x:v>
      </x:c>
      <x:c r="E1329" t="str">
        <x:v>Consumer</x:v>
      </x:c>
      <x:c r="F1329" t="str">
        <x:v>South</x:v>
      </x:c>
      <x:c r="G1329" t="str">
        <x:v>Office Supplies</x:v>
      </x:c>
      <x:c r="H1329" t="str">
        <x:v>Paper</x:v>
      </x:c>
      <x:c r="I1329" s="22" t="n">
        <x:v>10.816</x:v>
      </x:c>
      <x:c r="J1329" s="24" t="n">
        <x:v>4</x:v>
      </x:c>
      <x:c r="K1329" s="26" t="n">
        <x:v>0.2</x:v>
      </x:c>
      <x:c r="L1329" s="22" t="n">
        <x:v>3.5151999999999988</x:v>
      </x:c>
      <x:c r="M1329" t="n">
        <x:v>2017</x:v>
      </x:c>
      <x:c r="N1329" s="20" t="n">
        <x:v>43009</x:v>
      </x:c>
    </x:row>
    <x:row r="1330" ht="18" customHeight="1">
      <x:c r="A1330" t="str">
        <x:v>CA-2014-107153</x:v>
      </x:c>
      <x:c r="B1330" s="18" t="n">
        <x:v>41910</x:v>
      </x:c>
      <x:c r="C1330" t="str">
        <x:v>GZ-14545</x:v>
      </x:c>
      <x:c r="D1330" t="str">
        <x:v>George Zrebassa</x:v>
      </x:c>
      <x:c r="E1330" t="str">
        <x:v>Corporate</x:v>
      </x:c>
      <x:c r="F1330" t="str">
        <x:v>East</x:v>
      </x:c>
      <x:c r="G1330" t="str">
        <x:v>Office Supplies</x:v>
      </x:c>
      <x:c r="H1330" t="str">
        <x:v>Storage</x:v>
      </x:c>
      <x:c r="I1330" s="22" t="n">
        <x:v>46.26</x:v>
      </x:c>
      <x:c r="J1330" s="24" t="n">
        <x:v>3</x:v>
      </x:c>
      <x:c r="K1330" s="26" t="n">
        <x:v>0</x:v>
      </x:c>
      <x:c r="L1330" s="22" t="n">
        <x:v>12.490200000000003</x:v>
      </x:c>
      <x:c r="M1330" t="n">
        <x:v>2014</x:v>
      </x:c>
      <x:c r="N1330" s="20" t="n">
        <x:v>41883</x:v>
      </x:c>
    </x:row>
    <x:row r="1331" ht="18" customHeight="1">
      <x:c r="A1331" t="str">
        <x:v>US-2014-117058</x:v>
      </x:c>
      <x:c r="B1331" s="18" t="n">
        <x:v>41786</x:v>
      </x:c>
      <x:c r="C1331" t="str">
        <x:v>LE-16810</x:v>
      </x:c>
      <x:c r="D1331" t="str">
        <x:v>Laurel Elliston</x:v>
      </x:c>
      <x:c r="E1331" t="str">
        <x:v>Consumer</x:v>
      </x:c>
      <x:c r="F1331" t="str">
        <x:v>Central</x:v>
      </x:c>
      <x:c r="G1331" t="str">
        <x:v>Office Supplies</x:v>
      </x:c>
      <x:c r="H1331" t="str">
        <x:v>Binders</x:v>
      </x:c>
      <x:c r="I1331" s="22" t="n">
        <x:v>17.459999999999997</x:v>
      </x:c>
      <x:c r="J1331" s="24" t="n">
        <x:v>6</x:v>
      </x:c>
      <x:c r="K1331" s="26" t="n">
        <x:v>0.8</x:v>
      </x:c>
      <x:c r="L1331" s="22" t="n">
        <x:v>-30.555000000000007</x:v>
      </x:c>
      <x:c r="M1331" t="n">
        <x:v>2014</x:v>
      </x:c>
      <x:c r="N1331" s="20" t="n">
        <x:v>41760</x:v>
      </x:c>
    </x:row>
    <x:row r="1332" ht="18" customHeight="1">
      <x:c r="A1332" t="str">
        <x:v>CA-2015-120439</x:v>
      </x:c>
      <x:c r="B1332" s="18" t="n">
        <x:v>42169</x:v>
      </x:c>
      <x:c r="C1332" t="str">
        <x:v>AD-10180</x:v>
      </x:c>
      <x:c r="D1332" t="str">
        <x:v>Alan Dominguez</x:v>
      </x:c>
      <x:c r="E1332" t="str">
        <x:v>Home Office</x:v>
      </x:c>
      <x:c r="F1332" t="str">
        <x:v>East</x:v>
      </x:c>
      <x:c r="G1332" t="str">
        <x:v>Furniture</x:v>
      </x:c>
      <x:c r="H1332" t="str">
        <x:v>Furnishings</x:v>
      </x:c>
      <x:c r="I1332" s="22" t="n">
        <x:v>51.072</x:v>
      </x:c>
      <x:c r="J1332" s="24" t="n">
        <x:v>6</x:v>
      </x:c>
      <x:c r="K1332" s="26" t="n">
        <x:v>0.2</x:v>
      </x:c>
      <x:c r="L1332" s="22" t="n">
        <x:v>5.107200000000002</x:v>
      </x:c>
      <x:c r="M1332" t="n">
        <x:v>2015</x:v>
      </x:c>
      <x:c r="N1332" s="20" t="n">
        <x:v>42156</x:v>
      </x:c>
    </x:row>
    <x:row r="1333" ht="18" customHeight="1">
      <x:c r="A1333" t="str">
        <x:v>CA-2016-128258</x:v>
      </x:c>
      <x:c r="B1333" s="18" t="n">
        <x:v>42459</x:v>
      </x:c>
      <x:c r="C1333" t="str">
        <x:v>CP-12085</x:v>
      </x:c>
      <x:c r="D1333" t="str">
        <x:v>Cathy Prescott</x:v>
      </x:c>
      <x:c r="E1333" t="str">
        <x:v>Corporate</x:v>
      </x:c>
      <x:c r="F1333" t="str">
        <x:v>East</x:v>
      </x:c>
      <x:c r="G1333" t="str">
        <x:v>Office Supplies</x:v>
      </x:c>
      <x:c r="H1333" t="str">
        <x:v>Paper</x:v>
      </x:c>
      <x:c r="I1333" s="22" t="n">
        <x:v>11.34</x:v>
      </x:c>
      <x:c r="J1333" s="24" t="n">
        <x:v>1</x:v>
      </x:c>
      <x:c r="K1333" s="26" t="n">
        <x:v>0</x:v>
      </x:c>
      <x:c r="L1333" s="22" t="n">
        <x:v>5.5565999999999995</x:v>
      </x:c>
      <x:c r="M1333" t="n">
        <x:v>2016</x:v>
      </x:c>
      <x:c r="N1333" s="20" t="n">
        <x:v>42430</x:v>
      </x:c>
    </x:row>
    <x:row r="1334" ht="18" customHeight="1">
      <x:c r="A1334" t="str">
        <x:v>CA-2017-106033</x:v>
      </x:c>
      <x:c r="B1334" s="18" t="n">
        <x:v>43023</x:v>
      </x:c>
      <x:c r="C1334" t="str">
        <x:v>FG-14260</x:v>
      </x:c>
      <x:c r="D1334" t="str">
        <x:v>Frank Gastineau</x:v>
      </x:c>
      <x:c r="E1334" t="str">
        <x:v>Home Office</x:v>
      </x:c>
      <x:c r="F1334" t="str">
        <x:v>West</x:v>
      </x:c>
      <x:c r="G1334" t="str">
        <x:v>Office Supplies</x:v>
      </x:c>
      <x:c r="H1334" t="str">
        <x:v>Art</x:v>
      </x:c>
      <x:c r="I1334" s="22" t="n">
        <x:v>87.92</x:v>
      </x:c>
      <x:c r="J1334" s="24" t="n">
        <x:v>4</x:v>
      </x:c>
      <x:c r="K1334" s="26" t="n">
        <x:v>0</x:v>
      </x:c>
      <x:c r="L1334" s="22" t="n">
        <x:v>26.375999999999998</x:v>
      </x:c>
      <x:c r="M1334" t="n">
        <x:v>2017</x:v>
      </x:c>
      <x:c r="N1334" s="20" t="n">
        <x:v>43009</x:v>
      </x:c>
    </x:row>
    <x:row r="1335" ht="18" customHeight="1">
      <x:c r="A1335" t="str">
        <x:v>CA-2016-142762</x:v>
      </x:c>
      <x:c r="B1335" s="18" t="n">
        <x:v>42513</x:v>
      </x:c>
      <x:c r="C1335" t="str">
        <x:v>LD-17005</x:v>
      </x:c>
      <x:c r="D1335" t="str">
        <x:v>Lisa DeCherney</x:v>
      </x:c>
      <x:c r="E1335" t="str">
        <x:v>Consumer</x:v>
      </x:c>
      <x:c r="F1335" t="str">
        <x:v>West</x:v>
      </x:c>
      <x:c r="G1335" t="str">
        <x:v>Furniture</x:v>
      </x:c>
      <x:c r="H1335" t="str">
        <x:v>Furnishings</x:v>
      </x:c>
      <x:c r="I1335" s="22" t="n">
        <x:v>37.05</x:v>
      </x:c>
      <x:c r="J1335" s="24" t="n">
        <x:v>3</x:v>
      </x:c>
      <x:c r="K1335" s="26" t="n">
        <x:v>0</x:v>
      </x:c>
      <x:c r="L1335" s="22" t="n">
        <x:v>16.302</x:v>
      </x:c>
      <x:c r="M1335" t="n">
        <x:v>2016</x:v>
      </x:c>
      <x:c r="N1335" s="20" t="n">
        <x:v>42491</x:v>
      </x:c>
    </x:row>
    <x:row r="1336" ht="18" customHeight="1">
      <x:c r="A1336" t="str">
        <x:v>CA-2017-127705</x:v>
      </x:c>
      <x:c r="B1336" s="18" t="n">
        <x:v>42888</x:v>
      </x:c>
      <x:c r="C1336" t="str">
        <x:v>AB-10255</x:v>
      </x:c>
      <x:c r="D1336" t="str">
        <x:v>Alejandro Ballentine</x:v>
      </x:c>
      <x:c r="E1336" t="str">
        <x:v>Home Office</x:v>
      </x:c>
      <x:c r="F1336" t="str">
        <x:v>East</x:v>
      </x:c>
      <x:c r="G1336" t="str">
        <x:v>Technology</x:v>
      </x:c>
      <x:c r="H1336" t="str">
        <x:v>Phones</x:v>
      </x:c>
      <x:c r="I1336" s="22" t="n">
        <x:v>2.97</x:v>
      </x:c>
      <x:c r="J1336" s="24" t="n">
        <x:v>1</x:v>
      </x:c>
      <x:c r="K1336" s="26" t="n">
        <x:v>0.4</x:v>
      </x:c>
      <x:c r="L1336" s="22" t="n">
        <x:v>-0.6435000000000002</x:v>
      </x:c>
      <x:c r="M1336" t="n">
        <x:v>2017</x:v>
      </x:c>
      <x:c r="N1336" s="20" t="n">
        <x:v>42887</x:v>
      </x:c>
    </x:row>
    <x:row r="1337" ht="18" customHeight="1">
      <x:c r="A1337" t="str">
        <x:v>CA-2017-127705</x:v>
      </x:c>
      <x:c r="B1337" s="18" t="n">
        <x:v>42888</x:v>
      </x:c>
      <x:c r="C1337" t="str">
        <x:v>AB-10255</x:v>
      </x:c>
      <x:c r="D1337" t="str">
        <x:v>Alejandro Ballentine</x:v>
      </x:c>
      <x:c r="E1337" t="str">
        <x:v>Home Office</x:v>
      </x:c>
      <x:c r="F1337" t="str">
        <x:v>East</x:v>
      </x:c>
      <x:c r="G1337" t="str">
        <x:v>Office Supplies</x:v>
      </x:c>
      <x:c r="H1337" t="str">
        <x:v>Storage</x:v>
      </x:c>
      <x:c r="I1337" s="22" t="n">
        <x:v>27.439999999999998</x:v>
      </x:c>
      <x:c r="J1337" s="24" t="n">
        <x:v>2</x:v>
      </x:c>
      <x:c r="K1337" s="26" t="n">
        <x:v>0.2</x:v>
      </x:c>
      <x:c r="L1337" s="22" t="n">
        <x:v>2.401</x:v>
      </x:c>
      <x:c r="M1337" t="n">
        <x:v>2017</x:v>
      </x:c>
      <x:c r="N1337" s="20" t="n">
        <x:v>42887</x:v>
      </x:c>
    </x:row>
    <x:row r="1338" ht="18" customHeight="1">
      <x:c r="A1338" t="str">
        <x:v>CA-2014-122567</x:v>
      </x:c>
      <x:c r="B1338" s="18" t="n">
        <x:v>41686</x:v>
      </x:c>
      <x:c r="C1338" t="str">
        <x:v>MN-17935</x:v>
      </x:c>
      <x:c r="D1338" t="str">
        <x:v>Michael Nguyen</x:v>
      </x:c>
      <x:c r="E1338" t="str">
        <x:v>Consumer</x:v>
      </x:c>
      <x:c r="F1338" t="str">
        <x:v>Central</x:v>
      </x:c>
      <x:c r="G1338" t="str">
        <x:v>Office Supplies</x:v>
      </x:c>
      <x:c r="H1338" t="str">
        <x:v>Binders</x:v>
      </x:c>
      <x:c r="I1338" s="22" t="n">
        <x:v>1.0799999999999998</x:v>
      </x:c>
      <x:c r="J1338" s="24" t="n">
        <x:v>3</x:v>
      </x:c>
      <x:c r="K1338" s="26" t="n">
        <x:v>0.8</x:v>
      </x:c>
      <x:c r="L1338" s="22" t="n">
        <x:v>-1.7280000000000002</x:v>
      </x:c>
      <x:c r="M1338" t="n">
        <x:v>2014</x:v>
      </x:c>
      <x:c r="N1338" s="20" t="n">
        <x:v>41671</x:v>
      </x:c>
    </x:row>
    <x:row r="1339" ht="18" customHeight="1">
      <x:c r="A1339" t="str">
        <x:v>CA-2014-122567</x:v>
      </x:c>
      <x:c r="B1339" s="18" t="n">
        <x:v>41686</x:v>
      </x:c>
      <x:c r="C1339" t="str">
        <x:v>MN-17935</x:v>
      </x:c>
      <x:c r="D1339" t="str">
        <x:v>Michael Nguyen</x:v>
      </x:c>
      <x:c r="E1339" t="str">
        <x:v>Consumer</x:v>
      </x:c>
      <x:c r="F1339" t="str">
        <x:v>Central</x:v>
      </x:c>
      <x:c r="G1339" t="str">
        <x:v>Office Supplies</x:v>
      </x:c>
      <x:c r="H1339" t="str">
        <x:v>Appliances</x:v>
      </x:c>
      <x:c r="I1339" s="22" t="n">
        <x:v>7.959999999999997</x:v>
      </x:c>
      <x:c r="J1339" s="24" t="n">
        <x:v>2</x:v>
      </x:c>
      <x:c r="K1339" s="26" t="n">
        <x:v>0.8</x:v>
      </x:c>
      <x:c r="L1339" s="22" t="n">
        <x:v>-13.930000000000003</x:v>
      </x:c>
      <x:c r="M1339" t="n">
        <x:v>2014</x:v>
      </x:c>
      <x:c r="N1339" s="20" t="n">
        <x:v>41671</x:v>
      </x:c>
    </x:row>
    <x:row r="1340" ht="18" customHeight="1">
      <x:c r="A1340" t="str">
        <x:v>CA-2014-121664</x:v>
      </x:c>
      <x:c r="B1340" s="18" t="n">
        <x:v>41765</x:v>
      </x:c>
      <x:c r="C1340" t="str">
        <x:v>HP-14815</x:v>
      </x:c>
      <x:c r="D1340" t="str">
        <x:v>Harold Pawlan</x:v>
      </x:c>
      <x:c r="E1340" t="str">
        <x:v>Home Office</x:v>
      </x:c>
      <x:c r="F1340" t="str">
        <x:v>West</x:v>
      </x:c>
      <x:c r="G1340" t="str">
        <x:v>Office Supplies</x:v>
      </x:c>
      <x:c r="H1340" t="str">
        <x:v>Binders</x:v>
      </x:c>
      <x:c r="I1340" s="22" t="n">
        <x:v>140.736</x:v>
      </x:c>
      <x:c r="J1340" s="24" t="n">
        <x:v>8</x:v>
      </x:c>
      <x:c r="K1340" s="26" t="n">
        <x:v>0.2</x:v>
      </x:c>
      <x:c r="L1340" s="22" t="n">
        <x:v>52.775999999999996</x:v>
      </x:c>
      <x:c r="M1340" t="n">
        <x:v>2014</x:v>
      </x:c>
      <x:c r="N1340" s="20" t="n">
        <x:v>41760</x:v>
      </x:c>
    </x:row>
    <x:row r="1341" ht="18" customHeight="1">
      <x:c r="A1341" t="str">
        <x:v>CA-2016-122133</x:v>
      </x:c>
      <x:c r="B1341" s="18" t="n">
        <x:v>42506</x:v>
      </x:c>
      <x:c r="C1341" t="str">
        <x:v>JR-15670</x:v>
      </x:c>
      <x:c r="D1341" t="str">
        <x:v>Jim Radford</x:v>
      </x:c>
      <x:c r="E1341" t="str">
        <x:v>Consumer</x:v>
      </x:c>
      <x:c r="F1341" t="str">
        <x:v>East</x:v>
      </x:c>
      <x:c r="G1341" t="str">
        <x:v>Office Supplies</x:v>
      </x:c>
      <x:c r="H1341" t="str">
        <x:v>Storage</x:v>
      </x:c>
      <x:c r="I1341" s="22" t="n">
        <x:v>552.56</x:v>
      </x:c>
      <x:c r="J1341" s="24" t="n">
        <x:v>4</x:v>
      </x:c>
      <x:c r="K1341" s="26" t="n">
        <x:v>0</x:v>
      </x:c>
      <x:c r="L1341" s="22" t="n">
        <x:v>0</x:v>
      </x:c>
      <x:c r="M1341" t="n">
        <x:v>2016</x:v>
      </x:c>
      <x:c r="N1341" s="20" t="n">
        <x:v>42491</x:v>
      </x:c>
    </x:row>
    <x:row r="1342" ht="18" customHeight="1">
      <x:c r="A1342" t="str">
        <x:v>US-2017-123281</x:v>
      </x:c>
      <x:c r="B1342" s="18" t="n">
        <x:v>42827</x:v>
      </x:c>
      <x:c r="C1342" t="str">
        <x:v>JF-15190</x:v>
      </x:c>
      <x:c r="D1342" t="str">
        <x:v>Jamie Frazer</x:v>
      </x:c>
      <x:c r="E1342" t="str">
        <x:v>Consumer</x:v>
      </x:c>
      <x:c r="F1342" t="str">
        <x:v>West</x:v>
      </x:c>
      <x:c r="G1342" t="str">
        <x:v>Furniture</x:v>
      </x:c>
      <x:c r="H1342" t="str">
        <x:v>Furnishings</x:v>
      </x:c>
      <x:c r="I1342" s="22" t="n">
        <x:v>25.11</x:v>
      </x:c>
      <x:c r="J1342" s="24" t="n">
        <x:v>3</x:v>
      </x:c>
      <x:c r="K1342" s="26" t="n">
        <x:v>0</x:v>
      </x:c>
      <x:c r="L1342" s="22" t="n">
        <x:v>6.528599999999999</x:v>
      </x:c>
      <x:c r="M1342" t="n">
        <x:v>2017</x:v>
      </x:c>
      <x:c r="N1342" s="20" t="n">
        <x:v>42826</x:v>
      </x:c>
    </x:row>
    <x:row r="1343" ht="18" customHeight="1">
      <x:c r="A1343" t="str">
        <x:v>CA-2017-100524</x:v>
      </x:c>
      <x:c r="B1343" s="18" t="n">
        <x:v>42825</x:v>
      </x:c>
      <x:c r="C1343" t="str">
        <x:v>CM-12115</x:v>
      </x:c>
      <x:c r="D1343" t="str">
        <x:v>Chad McGuire</x:v>
      </x:c>
      <x:c r="E1343" t="str">
        <x:v>Consumer</x:v>
      </x:c>
      <x:c r="F1343" t="str">
        <x:v>East</x:v>
      </x:c>
      <x:c r="G1343" t="str">
        <x:v>Furniture</x:v>
      </x:c>
      <x:c r="H1343" t="str">
        <x:v>Furnishings</x:v>
      </x:c>
      <x:c r="I1343" s="22" t="n">
        <x:v>29.78</x:v>
      </x:c>
      <x:c r="J1343" s="24" t="n">
        <x:v>2</x:v>
      </x:c>
      <x:c r="K1343" s="26" t="n">
        <x:v>0</x:v>
      </x:c>
      <x:c r="L1343" s="22" t="n">
        <x:v>8.040600000000001</x:v>
      </x:c>
      <x:c r="M1343" t="n">
        <x:v>2017</x:v>
      </x:c>
      <x:c r="N1343" s="20" t="n">
        <x:v>42795</x:v>
      </x:c>
    </x:row>
    <x:row r="1344" ht="18" customHeight="1">
      <x:c r="A1344" t="str">
        <x:v>CA-2017-100524</x:v>
      </x:c>
      <x:c r="B1344" s="18" t="n">
        <x:v>42825</x:v>
      </x:c>
      <x:c r="C1344" t="str">
        <x:v>CM-12115</x:v>
      </x:c>
      <x:c r="D1344" t="str">
        <x:v>Chad McGuire</x:v>
      </x:c>
      <x:c r="E1344" t="str">
        <x:v>Consumer</x:v>
      </x:c>
      <x:c r="F1344" t="str">
        <x:v>East</x:v>
      </x:c>
      <x:c r="G1344" t="str">
        <x:v>Technology</x:v>
      </x:c>
      <x:c r="H1344" t="str">
        <x:v>Phones</x:v>
      </x:c>
      <x:c r="I1344" s="22" t="n">
        <x:v>677.58</x:v>
      </x:c>
      <x:c r="J1344" s="24" t="n">
        <x:v>3</x:v>
      </x:c>
      <x:c r="K1344" s="26" t="n">
        <x:v>0</x:v>
      </x:c>
      <x:c r="L1344" s="22" t="n">
        <x:v>176.1708</x:v>
      </x:c>
      <x:c r="M1344" t="n">
        <x:v>2017</x:v>
      </x:c>
      <x:c r="N1344" s="20" t="n">
        <x:v>42795</x:v>
      </x:c>
    </x:row>
    <x:row r="1345" ht="18" customHeight="1">
      <x:c r="A1345" t="str">
        <x:v>CA-2017-100524</x:v>
      </x:c>
      <x:c r="B1345" s="18" t="n">
        <x:v>42825</x:v>
      </x:c>
      <x:c r="C1345" t="str">
        <x:v>CM-12115</x:v>
      </x:c>
      <x:c r="D1345" t="str">
        <x:v>Chad McGuire</x:v>
      </x:c>
      <x:c r="E1345" t="str">
        <x:v>Consumer</x:v>
      </x:c>
      <x:c r="F1345" t="str">
        <x:v>East</x:v>
      </x:c>
      <x:c r="G1345" t="str">
        <x:v>Office Supplies</x:v>
      </x:c>
      <x:c r="H1345" t="str">
        <x:v>Paper</x:v>
      </x:c>
      <x:c r="I1345" s="22" t="n">
        <x:v>75.04</x:v>
      </x:c>
      <x:c r="J1345" s="24" t="n">
        <x:v>8</x:v>
      </x:c>
      <x:c r="K1345" s="26" t="n">
        <x:v>0</x:v>
      </x:c>
      <x:c r="L1345" s="22" t="n">
        <x:v>36.019200000000005</x:v>
      </x:c>
      <x:c r="M1345" t="n">
        <x:v>2017</x:v>
      </x:c>
      <x:c r="N1345" s="20" t="n">
        <x:v>42795</x:v>
      </x:c>
    </x:row>
    <x:row r="1346" ht="18" customHeight="1">
      <x:c r="A1346" t="str">
        <x:v>CA-2017-113481</x:v>
      </x:c>
      <x:c r="B1346" s="18" t="n">
        <x:v>42737</x:v>
      </x:c>
      <x:c r="C1346" t="str">
        <x:v>AS-10045</x:v>
      </x:c>
      <x:c r="D1346" t="str">
        <x:v>Aaron Smayling</x:v>
      </x:c>
      <x:c r="E1346" t="str">
        <x:v>Corporate</x:v>
      </x:c>
      <x:c r="F1346" t="str">
        <x:v>South</x:v>
      </x:c>
      <x:c r="G1346" t="str">
        <x:v>Technology</x:v>
      </x:c>
      <x:c r="H1346" t="str">
        <x:v>Machines</x:v>
      </x:c>
      <x:c r="I1346" s="22" t="n">
        <x:v>695.7</x:v>
      </x:c>
      <x:c r="J1346" s="24" t="n">
        <x:v>2</x:v>
      </x:c>
      <x:c r="K1346" s="26" t="n">
        <x:v>0.5</x:v>
      </x:c>
      <x:c r="L1346" s="22" t="n">
        <x:v>-27.827999999999975</x:v>
      </x:c>
      <x:c r="M1346" t="n">
        <x:v>2017</x:v>
      </x:c>
      <x:c r="N1346" s="20" t="n">
        <x:v>42736</x:v>
      </x:c>
    </x:row>
    <x:row r="1347" ht="18" customHeight="1">
      <x:c r="A1347" t="str">
        <x:v>CA-2017-113481</x:v>
      </x:c>
      <x:c r="B1347" s="18" t="n">
        <x:v>42737</x:v>
      </x:c>
      <x:c r="C1347" t="str">
        <x:v>AS-10045</x:v>
      </x:c>
      <x:c r="D1347" t="str">
        <x:v>Aaron Smayling</x:v>
      </x:c>
      <x:c r="E1347" t="str">
        <x:v>Corporate</x:v>
      </x:c>
      <x:c r="F1347" t="str">
        <x:v>South</x:v>
      </x:c>
      <x:c r="G1347" t="str">
        <x:v>Office Supplies</x:v>
      </x:c>
      <x:c r="H1347" t="str">
        <x:v>Binders</x:v>
      </x:c>
      <x:c r="I1347" s="22" t="n">
        <x:v>15.66</x:v>
      </x:c>
      <x:c r="J1347" s="24" t="n">
        <x:v>5</x:v>
      </x:c>
      <x:c r="K1347" s="26" t="n">
        <x:v>0.7</x:v>
      </x:c>
      <x:c r="L1347" s="22" t="n">
        <x:v>-12.527999999999995</x:v>
      </x:c>
      <x:c r="M1347" t="n">
        <x:v>2017</x:v>
      </x:c>
      <x:c r="N1347" s="20" t="n">
        <x:v>42736</x:v>
      </x:c>
    </x:row>
    <x:row r="1348" ht="18" customHeight="1">
      <x:c r="A1348" t="str">
        <x:v>CA-2017-113481</x:v>
      </x:c>
      <x:c r="B1348" s="18" t="n">
        <x:v>42737</x:v>
      </x:c>
      <x:c r="C1348" t="str">
        <x:v>AS-10045</x:v>
      </x:c>
      <x:c r="D1348" t="str">
        <x:v>Aaron Smayling</x:v>
      </x:c>
      <x:c r="E1348" t="str">
        <x:v>Corporate</x:v>
      </x:c>
      <x:c r="F1348" t="str">
        <x:v>South</x:v>
      </x:c>
      <x:c r="G1348" t="str">
        <x:v>Office Supplies</x:v>
      </x:c>
      <x:c r="H1348" t="str">
        <x:v>Binders</x:v>
      </x:c>
      <x:c r="I1348" s="22" t="n">
        <x:v>28.854000000000006</x:v>
      </x:c>
      <x:c r="J1348" s="24" t="n">
        <x:v>6</x:v>
      </x:c>
      <x:c r="K1348" s="26" t="n">
        <x:v>0.7</x:v>
      </x:c>
      <x:c r="L1348" s="22" t="n">
        <x:v>-21.159599999999998</x:v>
      </x:c>
      <x:c r="M1348" t="n">
        <x:v>2017</x:v>
      </x:c>
      <x:c r="N1348" s="20" t="n">
        <x:v>42736</x:v>
      </x:c>
    </x:row>
    <x:row r="1349" ht="18" customHeight="1">
      <x:c r="A1349" t="str">
        <x:v>CA-2015-131758</x:v>
      </x:c>
      <x:c r="B1349" s="18" t="n">
        <x:v>42152</x:v>
      </x:c>
      <x:c r="C1349" t="str">
        <x:v>KB-16315</x:v>
      </x:c>
      <x:c r="D1349" t="str">
        <x:v>Karl Braun</x:v>
      </x:c>
      <x:c r="E1349" t="str">
        <x:v>Consumer</x:v>
      </x:c>
      <x:c r="F1349" t="str">
        <x:v>East</x:v>
      </x:c>
      <x:c r="G1349" t="str">
        <x:v>Office Supplies</x:v>
      </x:c>
      <x:c r="H1349" t="str">
        <x:v>Art</x:v>
      </x:c>
      <x:c r="I1349" s="22" t="n">
        <x:v>47.82</x:v>
      </x:c>
      <x:c r="J1349" s="24" t="n">
        <x:v>3</x:v>
      </x:c>
      <x:c r="K1349" s="26" t="n">
        <x:v>0</x:v>
      </x:c>
      <x:c r="L1349" s="22" t="n">
        <x:v>14.345999999999995</x:v>
      </x:c>
      <x:c r="M1349" t="n">
        <x:v>2015</x:v>
      </x:c>
      <x:c r="N1349" s="20" t="n">
        <x:v>42125</x:v>
      </x:c>
    </x:row>
    <x:row r="1350" ht="18" customHeight="1">
      <x:c r="A1350" t="str">
        <x:v>CA-2015-131758</x:v>
      </x:c>
      <x:c r="B1350" s="18" t="n">
        <x:v>42152</x:v>
      </x:c>
      <x:c r="C1350" t="str">
        <x:v>KB-16315</x:v>
      </x:c>
      <x:c r="D1350" t="str">
        <x:v>Karl Braun</x:v>
      </x:c>
      <x:c r="E1350" t="str">
        <x:v>Consumer</x:v>
      </x:c>
      <x:c r="F1350" t="str">
        <x:v>East</x:v>
      </x:c>
      <x:c r="G1350" t="str">
        <x:v>Office Supplies</x:v>
      </x:c>
      <x:c r="H1350" t="str">
        <x:v>Labels</x:v>
      </x:c>
      <x:c r="I1350" s="22" t="n">
        <x:v>13.049999999999999</x:v>
      </x:c>
      <x:c r="J1350" s="24" t="n">
        <x:v>5</x:v>
      </x:c>
      <x:c r="K1350" s="26" t="n">
        <x:v>0</x:v>
      </x:c>
      <x:c r="L1350" s="22" t="n">
        <x:v>6.002999999999999</x:v>
      </x:c>
      <x:c r="M1350" t="n">
        <x:v>2015</x:v>
      </x:c>
      <x:c r="N1350" s="20" t="n">
        <x:v>42125</x:v>
      </x:c>
    </x:row>
    <x:row r="1351" ht="18" customHeight="1">
      <x:c r="A1351" t="str">
        <x:v>CA-2014-118339</x:v>
      </x:c>
      <x:c r="B1351" s="18" t="n">
        <x:v>41715</x:v>
      </x:c>
      <x:c r="C1351" t="str">
        <x:v>BN-11515</x:v>
      </x:c>
      <x:c r="D1351" t="str">
        <x:v>Bradley Nguyen</x:v>
      </x:c>
      <x:c r="E1351" t="str">
        <x:v>Consumer</x:v>
      </x:c>
      <x:c r="F1351" t="str">
        <x:v>Central</x:v>
      </x:c>
      <x:c r="G1351" t="str">
        <x:v>Office Supplies</x:v>
      </x:c>
      <x:c r="H1351" t="str">
        <x:v>Appliances</x:v>
      </x:c>
      <x:c r="I1351" s="22" t="n">
        <x:v>93.78</x:v>
      </x:c>
      <x:c r="J1351" s="24" t="n">
        <x:v>2</x:v>
      </x:c>
      <x:c r="K1351" s="26" t="n">
        <x:v>0</x:v>
      </x:c>
      <x:c r="L1351" s="22" t="n">
        <x:v>36.574200000000005</x:v>
      </x:c>
      <x:c r="M1351" t="n">
        <x:v>2014</x:v>
      </x:c>
      <x:c r="N1351" s="20" t="n">
        <x:v>41699</x:v>
      </x:c>
    </x:row>
    <x:row r="1352" ht="18" customHeight="1">
      <x:c r="A1352" t="str">
        <x:v>CA-2014-118339</x:v>
      </x:c>
      <x:c r="B1352" s="18" t="n">
        <x:v>41715</x:v>
      </x:c>
      <x:c r="C1352" t="str">
        <x:v>BN-11515</x:v>
      </x:c>
      <x:c r="D1352" t="str">
        <x:v>Bradley Nguyen</x:v>
      </x:c>
      <x:c r="E1352" t="str">
        <x:v>Consumer</x:v>
      </x:c>
      <x:c r="F1352" t="str">
        <x:v>Central</x:v>
      </x:c>
      <x:c r="G1352" t="str">
        <x:v>Office Supplies</x:v>
      </x:c>
      <x:c r="H1352" t="str">
        <x:v>Paper</x:v>
      </x:c>
      <x:c r="I1352" s="22" t="n">
        <x:v>47.18</x:v>
      </x:c>
      <x:c r="J1352" s="24" t="n">
        <x:v>7</x:v>
      </x:c>
      <x:c r="K1352" s="26" t="n">
        <x:v>0</x:v>
      </x:c>
      <x:c r="L1352" s="22" t="n">
        <x:v>23.59</x:v>
      </x:c>
      <x:c r="M1352" t="n">
        <x:v>2014</x:v>
      </x:c>
      <x:c r="N1352" s="20" t="n">
        <x:v>41699</x:v>
      </x:c>
    </x:row>
    <x:row r="1353" ht="18" customHeight="1">
      <x:c r="A1353" t="str">
        <x:v>CA-2014-118339</x:v>
      </x:c>
      <x:c r="B1353" s="18" t="n">
        <x:v>41715</x:v>
      </x:c>
      <x:c r="C1353" t="str">
        <x:v>BN-11515</x:v>
      </x:c>
      <x:c r="D1353" t="str">
        <x:v>Bradley Nguyen</x:v>
      </x:c>
      <x:c r="E1353" t="str">
        <x:v>Consumer</x:v>
      </x:c>
      <x:c r="F1353" t="str">
        <x:v>Central</x:v>
      </x:c>
      <x:c r="G1353" t="str">
        <x:v>Office Supplies</x:v>
      </x:c>
      <x:c r="H1353" t="str">
        <x:v>Art</x:v>
      </x:c>
      <x:c r="I1353" s="22" t="n">
        <x:v>19.68</x:v>
      </x:c>
      <x:c r="J1353" s="24" t="n">
        <x:v>6</x:v>
      </x:c>
      <x:c r="K1353" s="26" t="n">
        <x:v>0</x:v>
      </x:c>
      <x:c r="L1353" s="22" t="n">
        <x:v>5.707199999999998</x:v>
      </x:c>
      <x:c r="M1353" t="n">
        <x:v>2014</x:v>
      </x:c>
      <x:c r="N1353" s="20" t="n">
        <x:v>41699</x:v>
      </x:c>
    </x:row>
    <x:row r="1354" ht="18" customHeight="1">
      <x:c r="A1354" t="str">
        <x:v>CA-2014-118339</x:v>
      </x:c>
      <x:c r="B1354" s="18" t="n">
        <x:v>41715</x:v>
      </x:c>
      <x:c r="C1354" t="str">
        <x:v>BN-11515</x:v>
      </x:c>
      <x:c r="D1354" t="str">
        <x:v>Bradley Nguyen</x:v>
      </x:c>
      <x:c r="E1354" t="str">
        <x:v>Consumer</x:v>
      </x:c>
      <x:c r="F1354" t="str">
        <x:v>Central</x:v>
      </x:c>
      <x:c r="G1354" t="str">
        <x:v>Office Supplies</x:v>
      </x:c>
      <x:c r="H1354" t="str">
        <x:v>Binders</x:v>
      </x:c>
      <x:c r="I1354" s="22" t="n">
        <x:v>53.4</x:v>
      </x:c>
      <x:c r="J1354" s="24" t="n">
        <x:v>10</x:v>
      </x:c>
      <x:c r="K1354" s="26" t="n">
        <x:v>0</x:v>
      </x:c>
      <x:c r="L1354" s="22" t="n">
        <x:v>25.098</x:v>
      </x:c>
      <x:c r="M1354" t="n">
        <x:v>2014</x:v>
      </x:c>
      <x:c r="N1354" s="20" t="n">
        <x:v>41699</x:v>
      </x:c>
    </x:row>
    <x:row r="1355" ht="18" customHeight="1">
      <x:c r="A1355" t="str">
        <x:v>CA-2014-118339</x:v>
      </x:c>
      <x:c r="B1355" s="18" t="n">
        <x:v>41715</x:v>
      </x:c>
      <x:c r="C1355" t="str">
        <x:v>BN-11515</x:v>
      </x:c>
      <x:c r="D1355" t="str">
        <x:v>Bradley Nguyen</x:v>
      </x:c>
      <x:c r="E1355" t="str">
        <x:v>Consumer</x:v>
      </x:c>
      <x:c r="F1355" t="str">
        <x:v>Central</x:v>
      </x:c>
      <x:c r="G1355" t="str">
        <x:v>Office Supplies</x:v>
      </x:c>
      <x:c r="H1355" t="str">
        <x:v>Binders</x:v>
      </x:c>
      <x:c r="I1355" s="22" t="n">
        <x:v>35.88</x:v>
      </x:c>
      <x:c r="J1355" s="24" t="n">
        <x:v>6</x:v>
      </x:c>
      <x:c r="K1355" s="26" t="n">
        <x:v>0</x:v>
      </x:c>
      <x:c r="L1355" s="22" t="n">
        <x:v>17.2224</x:v>
      </x:c>
      <x:c r="M1355" t="n">
        <x:v>2014</x:v>
      </x:c>
      <x:c r="N1355" s="20" t="n">
        <x:v>41699</x:v>
      </x:c>
    </x:row>
    <x:row r="1356" ht="18" customHeight="1">
      <x:c r="A1356" t="str">
        <x:v>CA-2014-153976</x:v>
      </x:c>
      <x:c r="B1356" s="18" t="n">
        <x:v>41915</x:v>
      </x:c>
      <x:c r="C1356" t="str">
        <x:v>BP-11290</x:v>
      </x:c>
      <x:c r="D1356" t="str">
        <x:v>Beth Paige</x:v>
      </x:c>
      <x:c r="E1356" t="str">
        <x:v>Consumer</x:v>
      </x:c>
      <x:c r="F1356" t="str">
        <x:v>Central</x:v>
      </x:c>
      <x:c r="G1356" t="str">
        <x:v>Furniture</x:v>
      </x:c>
      <x:c r="H1356" t="str">
        <x:v>Chairs</x:v>
      </x:c>
      <x:c r="I1356" s="22" t="n">
        <x:v>258.279</x:v>
      </x:c>
      <x:c r="J1356" s="24" t="n">
        <x:v>3</x:v>
      </x:c>
      <x:c r="K1356" s="26" t="n">
        <x:v>0.3</x:v>
      </x:c>
      <x:c r="L1356" s="22" t="n">
        <x:v>-70.10430000000002</x:v>
      </x:c>
      <x:c r="M1356" t="n">
        <x:v>2014</x:v>
      </x:c>
      <x:c r="N1356" s="20" t="n">
        <x:v>41913</x:v>
      </x:c>
    </x:row>
    <x:row r="1357" ht="18" customHeight="1">
      <x:c r="A1357" t="str">
        <x:v>CA-2016-162901</x:v>
      </x:c>
      <x:c r="B1357" s="18" t="n">
        <x:v>42457</x:v>
      </x:c>
      <x:c r="C1357" t="str">
        <x:v>AS-10045</x:v>
      </x:c>
      <x:c r="D1357" t="str">
        <x:v>Aaron Smayling</x:v>
      </x:c>
      <x:c r="E1357" t="str">
        <x:v>Corporate</x:v>
      </x:c>
      <x:c r="F1357" t="str">
        <x:v>South</x:v>
      </x:c>
      <x:c r="G1357" t="str">
        <x:v>Office Supplies</x:v>
      </x:c>
      <x:c r="H1357" t="str">
        <x:v>Storage</x:v>
      </x:c>
      <x:c r="I1357" s="22" t="n">
        <x:v>31.4</x:v>
      </x:c>
      <x:c r="J1357" s="24" t="n">
        <x:v>2</x:v>
      </x:c>
      <x:c r="K1357" s="26" t="n">
        <x:v>0</x:v>
      </x:c>
      <x:c r="L1357" s="22" t="n">
        <x:v>7.850000000000001</x:v>
      </x:c>
      <x:c r="M1357" t="n">
        <x:v>2016</x:v>
      </x:c>
      <x:c r="N1357" s="20" t="n">
        <x:v>42430</x:v>
      </x:c>
    </x:row>
    <x:row r="1358" ht="18" customHeight="1">
      <x:c r="A1358" t="str">
        <x:v>CA-2017-162978</x:v>
      </x:c>
      <x:c r="B1358" s="18" t="n">
        <x:v>42859</x:v>
      </x:c>
      <x:c r="C1358" t="str">
        <x:v>LW-16990</x:v>
      </x:c>
      <x:c r="D1358" t="str">
        <x:v>Lindsay Williams</x:v>
      </x:c>
      <x:c r="E1358" t="str">
        <x:v>Corporate</x:v>
      </x:c>
      <x:c r="F1358" t="str">
        <x:v>West</x:v>
      </x:c>
      <x:c r="G1358" t="str">
        <x:v>Technology</x:v>
      </x:c>
      <x:c r="H1358" t="str">
        <x:v>Phones</x:v>
      </x:c>
      <x:c r="I1358" s="22" t="n">
        <x:v>183.96</x:v>
      </x:c>
      <x:c r="J1358" s="24" t="n">
        <x:v>5</x:v>
      </x:c>
      <x:c r="K1358" s="26" t="n">
        <x:v>0.2</x:v>
      </x:c>
      <x:c r="L1358" s="22" t="n">
        <x:v>20.69549999999999</x:v>
      </x:c>
      <x:c r="M1358" t="n">
        <x:v>2017</x:v>
      </x:c>
      <x:c r="N1358" s="20" t="n">
        <x:v>42856</x:v>
      </x:c>
    </x:row>
    <x:row r="1359" ht="18" customHeight="1">
      <x:c r="A1359" t="str">
        <x:v>CA-2017-162978</x:v>
      </x:c>
      <x:c r="B1359" s="18" t="n">
        <x:v>42859</x:v>
      </x:c>
      <x:c r="C1359" t="str">
        <x:v>LW-16990</x:v>
      </x:c>
      <x:c r="D1359" t="str">
        <x:v>Lindsay Williams</x:v>
      </x:c>
      <x:c r="E1359" t="str">
        <x:v>Corporate</x:v>
      </x:c>
      <x:c r="F1359" t="str">
        <x:v>West</x:v>
      </x:c>
      <x:c r="G1359" t="str">
        <x:v>Office Supplies</x:v>
      </x:c>
      <x:c r="H1359" t="str">
        <x:v>Paper</x:v>
      </x:c>
      <x:c r="I1359" s="22" t="n">
        <x:v>17.61</x:v>
      </x:c>
      <x:c r="J1359" s="24" t="n">
        <x:v>3</x:v>
      </x:c>
      <x:c r="K1359" s="26" t="n">
        <x:v>0</x:v>
      </x:c>
      <x:c r="L1359" s="22" t="n">
        <x:v>8.4528</x:v>
      </x:c>
      <x:c r="M1359" t="n">
        <x:v>2017</x:v>
      </x:c>
      <x:c r="N1359" s="20" t="n">
        <x:v>42856</x:v>
      </x:c>
    </x:row>
    <x:row r="1360" ht="18" customHeight="1">
      <x:c r="A1360" t="str">
        <x:v>CA-2017-162978</x:v>
      </x:c>
      <x:c r="B1360" s="18" t="n">
        <x:v>42859</x:v>
      </x:c>
      <x:c r="C1360" t="str">
        <x:v>LW-16990</x:v>
      </x:c>
      <x:c r="D1360" t="str">
        <x:v>Lindsay Williams</x:v>
      </x:c>
      <x:c r="E1360" t="str">
        <x:v>Corporate</x:v>
      </x:c>
      <x:c r="F1360" t="str">
        <x:v>West</x:v>
      </x:c>
      <x:c r="G1360" t="str">
        <x:v>Furniture</x:v>
      </x:c>
      <x:c r="H1360" t="str">
        <x:v>Tables</x:v>
      </x:c>
      <x:c r="I1360" s="22" t="n">
        <x:v>300.904</x:v>
      </x:c>
      <x:c r="J1360" s="24" t="n">
        <x:v>1</x:v>
      </x:c>
      <x:c r="K1360" s="26" t="n">
        <x:v>0.2</x:v>
      </x:c>
      <x:c r="L1360" s="22" t="n">
        <x:v>11.283900000000017</x:v>
      </x:c>
      <x:c r="M1360" t="n">
        <x:v>2017</x:v>
      </x:c>
      <x:c r="N1360" s="20" t="n">
        <x:v>42856</x:v>
      </x:c>
    </x:row>
    <x:row r="1361" ht="18" customHeight="1">
      <x:c r="A1361" t="str">
        <x:v>US-2014-160444</x:v>
      </x:c>
      <x:c r="B1361" s="18" t="n">
        <x:v>41825</x:v>
      </x:c>
      <x:c r="C1361" t="str">
        <x:v>DC-12850</x:v>
      </x:c>
      <x:c r="D1361" t="str">
        <x:v>Dan Campbell</x:v>
      </x:c>
      <x:c r="E1361" t="str">
        <x:v>Consumer</x:v>
      </x:c>
      <x:c r="F1361" t="str">
        <x:v>Central</x:v>
      </x:c>
      <x:c r="G1361" t="str">
        <x:v>Office Supplies</x:v>
      </x:c>
      <x:c r="H1361" t="str">
        <x:v>Storage</x:v>
      </x:c>
      <x:c r="I1361" s="22" t="n">
        <x:v>220.776</x:v>
      </x:c>
      <x:c r="J1361" s="24" t="n">
        <x:v>3</x:v>
      </x:c>
      <x:c r="K1361" s="26" t="n">
        <x:v>0.2</x:v>
      </x:c>
      <x:c r="L1361" s="22" t="n">
        <x:v>-44.15520000000002</x:v>
      </x:c>
      <x:c r="M1361" t="n">
        <x:v>2014</x:v>
      </x:c>
      <x:c r="N1361" s="20" t="n">
        <x:v>41821</x:v>
      </x:c>
    </x:row>
    <x:row r="1362" ht="18" customHeight="1">
      <x:c r="A1362" t="str">
        <x:v>US-2014-160444</x:v>
      </x:c>
      <x:c r="B1362" s="18" t="n">
        <x:v>41825</x:v>
      </x:c>
      <x:c r="C1362" t="str">
        <x:v>DC-12850</x:v>
      </x:c>
      <x:c r="D1362" t="str">
        <x:v>Dan Campbell</x:v>
      </x:c>
      <x:c r="E1362" t="str">
        <x:v>Consumer</x:v>
      </x:c>
      <x:c r="F1362" t="str">
        <x:v>Central</x:v>
      </x:c>
      <x:c r="G1362" t="str">
        <x:v>Office Supplies</x:v>
      </x:c>
      <x:c r="H1362" t="str">
        <x:v>Storage</x:v>
      </x:c>
      <x:c r="I1362" s="22" t="n">
        <x:v>281.42400000000004</x:v>
      </x:c>
      <x:c r="J1362" s="24" t="n">
        <x:v>11</x:v>
      </x:c>
      <x:c r="K1362" s="26" t="n">
        <x:v>0.2</x:v>
      </x:c>
      <x:c r="L1362" s="22" t="n">
        <x:v>-35.178000000000004</x:v>
      </x:c>
      <x:c r="M1362" t="n">
        <x:v>2014</x:v>
      </x:c>
      <x:c r="N1362" s="20" t="n">
        <x:v>41821</x:v>
      </x:c>
    </x:row>
    <x:row r="1363" ht="18" customHeight="1">
      <x:c r="A1363" t="str">
        <x:v>CA-2016-145247</x:v>
      </x:c>
      <x:c r="B1363" s="18" t="n">
        <x:v>42495</x:v>
      </x:c>
      <x:c r="C1363" t="str">
        <x:v>ND-18370</x:v>
      </x:c>
      <x:c r="D1363" t="str">
        <x:v>Natalie DeCherney</x:v>
      </x:c>
      <x:c r="E1363" t="str">
        <x:v>Consumer</x:v>
      </x:c>
      <x:c r="F1363" t="str">
        <x:v>South</x:v>
      </x:c>
      <x:c r="G1363" t="str">
        <x:v>Office Supplies</x:v>
      </x:c>
      <x:c r="H1363" t="str">
        <x:v>Paper</x:v>
      </x:c>
      <x:c r="I1363" s="22" t="n">
        <x:v>79.14</x:v>
      </x:c>
      <x:c r="J1363" s="24" t="n">
        <x:v>3</x:v>
      </x:c>
      <x:c r="K1363" s="26" t="n">
        <x:v>0</x:v>
      </x:c>
      <x:c r="L1363" s="22" t="n">
        <x:v>36.404399999999995</x:v>
      </x:c>
      <x:c r="M1363" t="n">
        <x:v>2016</x:v>
      </x:c>
      <x:c r="N1363" s="20" t="n">
        <x:v>42491</x:v>
      </x:c>
    </x:row>
    <x:row r="1364" ht="18" customHeight="1">
      <x:c r="A1364" t="str">
        <x:v>CA-2017-160045</x:v>
      </x:c>
      <x:c r="B1364" s="18" t="n">
        <x:v>42851</x:v>
      </x:c>
      <x:c r="C1364" t="str">
        <x:v>LB-16735</x:v>
      </x:c>
      <x:c r="D1364" t="str">
        <x:v>Larry Blacks</x:v>
      </x:c>
      <x:c r="E1364" t="str">
        <x:v>Consumer</x:v>
      </x:c>
      <x:c r="F1364" t="str">
        <x:v>Central</x:v>
      </x:c>
      <x:c r="G1364" t="str">
        <x:v>Furniture</x:v>
      </x:c>
      <x:c r="H1364" t="str">
        <x:v>Furnishings</x:v>
      </x:c>
      <x:c r="I1364" s="22" t="n">
        <x:v>1.988</x:v>
      </x:c>
      <x:c r="J1364" s="24" t="n">
        <x:v>1</x:v>
      </x:c>
      <x:c r="K1364" s="26" t="n">
        <x:v>0.6</x:v>
      </x:c>
      <x:c r="L1364" s="22" t="n">
        <x:v>-1.4413</x:v>
      </x:c>
      <x:c r="M1364" t="n">
        <x:v>2017</x:v>
      </x:c>
      <x:c r="N1364" s="20" t="n">
        <x:v>42826</x:v>
      </x:c>
    </x:row>
    <x:row r="1365" ht="18" customHeight="1">
      <x:c r="A1365" t="str">
        <x:v>US-2014-151925</x:v>
      </x:c>
      <x:c r="B1365" s="18" t="n">
        <x:v>41908</x:v>
      </x:c>
      <x:c r="C1365" t="str">
        <x:v>KT-16465</x:v>
      </x:c>
      <x:c r="D1365" t="str">
        <x:v>Kean Takahito</x:v>
      </x:c>
      <x:c r="E1365" t="str">
        <x:v>Consumer</x:v>
      </x:c>
      <x:c r="F1365" t="str">
        <x:v>West</x:v>
      </x:c>
      <x:c r="G1365" t="str">
        <x:v>Furniture</x:v>
      </x:c>
      <x:c r="H1365" t="str">
        <x:v>Chairs</x:v>
      </x:c>
      <x:c r="I1365" s="22" t="n">
        <x:v>145.568</x:v>
      </x:c>
      <x:c r="J1365" s="24" t="n">
        <x:v>2</x:v>
      </x:c>
      <x:c r="K1365" s="26" t="n">
        <x:v>0.2</x:v>
      </x:c>
      <x:c r="L1365" s="22" t="n">
        <x:v>0</x:v>
      </x:c>
      <x:c r="M1365" t="n">
        <x:v>2014</x:v>
      </x:c>
      <x:c r="N1365" s="20" t="n">
        <x:v>41883</x:v>
      </x:c>
    </x:row>
    <x:row r="1366" ht="18" customHeight="1">
      <x:c r="A1366" t="str">
        <x:v>CA-2017-125199</x:v>
      </x:c>
      <x:c r="B1366" s="18" t="n">
        <x:v>43027</x:v>
      </x:c>
      <x:c r="C1366" t="str">
        <x:v>HM-14860</x:v>
      </x:c>
      <x:c r="D1366" t="str">
        <x:v>Harry Marie</x:v>
      </x:c>
      <x:c r="E1366" t="str">
        <x:v>Corporate</x:v>
      </x:c>
      <x:c r="F1366" t="str">
        <x:v>East</x:v>
      </x:c>
      <x:c r="G1366" t="str">
        <x:v>Office Supplies</x:v>
      </x:c>
      <x:c r="H1366" t="str">
        <x:v>Art</x:v>
      </x:c>
      <x:c r="I1366" s="22" t="n">
        <x:v>123.256</x:v>
      </x:c>
      <x:c r="J1366" s="24" t="n">
        <x:v>7</x:v>
      </x:c>
      <x:c r="K1366" s="26" t="n">
        <x:v>0.2</x:v>
      </x:c>
      <x:c r="L1366" s="22" t="n">
        <x:v>9.2442</x:v>
      </x:c>
      <x:c r="M1366" t="n">
        <x:v>2017</x:v>
      </x:c>
      <x:c r="N1366" s="20" t="n">
        <x:v>43009</x:v>
      </x:c>
    </x:row>
    <x:row r="1367" ht="18" customHeight="1">
      <x:c r="A1367" t="str">
        <x:v>CA-2017-125199</x:v>
      </x:c>
      <x:c r="B1367" s="18" t="n">
        <x:v>43027</x:v>
      </x:c>
      <x:c r="C1367" t="str">
        <x:v>HM-14860</x:v>
      </x:c>
      <x:c r="D1367" t="str">
        <x:v>Harry Marie</x:v>
      </x:c>
      <x:c r="E1367" t="str">
        <x:v>Corporate</x:v>
      </x:c>
      <x:c r="F1367" t="str">
        <x:v>East</x:v>
      </x:c>
      <x:c r="G1367" t="str">
        <x:v>Office Supplies</x:v>
      </x:c>
      <x:c r="H1367" t="str">
        <x:v>Paper</x:v>
      </x:c>
      <x:c r="I1367" s="22" t="n">
        <x:v>23.680000000000003</x:v>
      </x:c>
      <x:c r="J1367" s="24" t="n">
        <x:v>4</x:v>
      </x:c>
      <x:c r="K1367" s="26" t="n">
        <x:v>0.2</x:v>
      </x:c>
      <x:c r="L1367" s="22" t="n">
        <x:v>7.3999999999999995</x:v>
      </x:c>
      <x:c r="M1367" t="n">
        <x:v>2017</x:v>
      </x:c>
      <x:c r="N1367" s="20" t="n">
        <x:v>43009</x:v>
      </x:c>
    </x:row>
    <x:row r="1368" ht="18" customHeight="1">
      <x:c r="A1368" t="str">
        <x:v>CA-2017-125199</x:v>
      </x:c>
      <x:c r="B1368" s="18" t="n">
        <x:v>43027</x:v>
      </x:c>
      <x:c r="C1368" t="str">
        <x:v>HM-14860</x:v>
      </x:c>
      <x:c r="D1368" t="str">
        <x:v>Harry Marie</x:v>
      </x:c>
      <x:c r="E1368" t="str">
        <x:v>Corporate</x:v>
      </x:c>
      <x:c r="F1368" t="str">
        <x:v>East</x:v>
      </x:c>
      <x:c r="G1368" t="str">
        <x:v>Technology</x:v>
      </x:c>
      <x:c r="H1368" t="str">
        <x:v>Phones</x:v>
      </x:c>
      <x:c r="I1368" s="22" t="n">
        <x:v>309.576</x:v>
      </x:c>
      <x:c r="J1368" s="24" t="n">
        <x:v>4</x:v>
      </x:c>
      <x:c r="K1368" s="26" t="n">
        <x:v>0.4</x:v>
      </x:c>
      <x:c r="L1368" s="22" t="n">
        <x:v>-56.755600000000015</x:v>
      </x:c>
      <x:c r="M1368" t="n">
        <x:v>2017</x:v>
      </x:c>
      <x:c r="N1368" s="20" t="n">
        <x:v>43009</x:v>
      </x:c>
    </x:row>
    <x:row r="1369" ht="18" customHeight="1">
      <x:c r="A1369" t="str">
        <x:v>US-2017-155425</x:v>
      </x:c>
      <x:c r="B1369" s="18" t="n">
        <x:v>43049</x:v>
      </x:c>
      <x:c r="C1369" t="str">
        <x:v>AB-10600</x:v>
      </x:c>
      <x:c r="D1369" t="str">
        <x:v>Ann Blume</x:v>
      </x:c>
      <x:c r="E1369" t="str">
        <x:v>Corporate</x:v>
      </x:c>
      <x:c r="F1369" t="str">
        <x:v>West</x:v>
      </x:c>
      <x:c r="G1369" t="str">
        <x:v>Office Supplies</x:v>
      </x:c>
      <x:c r="H1369" t="str">
        <x:v>Binders</x:v>
      </x:c>
      <x:c r="I1369" s="22" t="n">
        <x:v>38.388000000000005</x:v>
      </x:c>
      <x:c r="J1369" s="24" t="n">
        <x:v>14</x:v>
      </x:c>
      <x:c r="K1369" s="26" t="n">
        <x:v>0.7</x:v>
      </x:c>
      <x:c r="L1369" s="22" t="n">
        <x:v>-25.592</x:v>
      </x:c>
      <x:c r="M1369" t="n">
        <x:v>2017</x:v>
      </x:c>
      <x:c r="N1369" s="20" t="n">
        <x:v>43040</x:v>
      </x:c>
    </x:row>
    <x:row r="1370" ht="18" customHeight="1">
      <x:c r="A1370" t="str">
        <x:v>US-2017-155425</x:v>
      </x:c>
      <x:c r="B1370" s="18" t="n">
        <x:v>43049</x:v>
      </x:c>
      <x:c r="C1370" t="str">
        <x:v>AB-10600</x:v>
      </x:c>
      <x:c r="D1370" t="str">
        <x:v>Ann Blume</x:v>
      </x:c>
      <x:c r="E1370" t="str">
        <x:v>Corporate</x:v>
      </x:c>
      <x:c r="F1370" t="str">
        <x:v>West</x:v>
      </x:c>
      <x:c r="G1370" t="str">
        <x:v>Technology</x:v>
      </x:c>
      <x:c r="H1370" t="str">
        <x:v>Machines</x:v>
      </x:c>
      <x:c r="I1370" s="22" t="n">
        <x:v>95.99400000000001</x:v>
      </x:c>
      <x:c r="J1370" s="24" t="n">
        <x:v>2</x:v>
      </x:c>
      <x:c r="K1370" s="26" t="n">
        <x:v>0.7</x:v>
      </x:c>
      <x:c r="L1370" s="22" t="n">
        <x:v>-63.99599999999998</x:v>
      </x:c>
      <x:c r="M1370" t="n">
        <x:v>2017</x:v>
      </x:c>
      <x:c r="N1370" s="20" t="n">
        <x:v>43040</x:v>
      </x:c>
    </x:row>
    <x:row r="1371" ht="18" customHeight="1">
      <x:c r="A1371" t="str">
        <x:v>US-2017-155425</x:v>
      </x:c>
      <x:c r="B1371" s="18" t="n">
        <x:v>43049</x:v>
      </x:c>
      <x:c r="C1371" t="str">
        <x:v>AB-10600</x:v>
      </x:c>
      <x:c r="D1371" t="str">
        <x:v>Ann Blume</x:v>
      </x:c>
      <x:c r="E1371" t="str">
        <x:v>Corporate</x:v>
      </x:c>
      <x:c r="F1371" t="str">
        <x:v>West</x:v>
      </x:c>
      <x:c r="G1371" t="str">
        <x:v>Technology</x:v>
      </x:c>
      <x:c r="H1371" t="str">
        <x:v>Accessories</x:v>
      </x:c>
      <x:c r="I1371" s="22" t="n">
        <x:v>239.95200000000003</x:v>
      </x:c>
      <x:c r="J1371" s="24" t="n">
        <x:v>6</x:v>
      </x:c>
      <x:c r="K1371" s="26" t="n">
        <x:v>0.2</x:v>
      </x:c>
      <x:c r="L1371" s="22" t="n">
        <x:v>-35.99280000000004</x:v>
      </x:c>
      <x:c r="M1371" t="n">
        <x:v>2017</x:v>
      </x:c>
      <x:c r="N1371" s="20" t="n">
        <x:v>43040</x:v>
      </x:c>
    </x:row>
    <x:row r="1372" ht="18" customHeight="1">
      <x:c r="A1372" t="str">
        <x:v>US-2017-155425</x:v>
      </x:c>
      <x:c r="B1372" s="18" t="n">
        <x:v>43049</x:v>
      </x:c>
      <x:c r="C1372" t="str">
        <x:v>AB-10600</x:v>
      </x:c>
      <x:c r="D1372" t="str">
        <x:v>Ann Blume</x:v>
      </x:c>
      <x:c r="E1372" t="str">
        <x:v>Corporate</x:v>
      </x:c>
      <x:c r="F1372" t="str">
        <x:v>West</x:v>
      </x:c>
      <x:c r="G1372" t="str">
        <x:v>Technology</x:v>
      </x:c>
      <x:c r="H1372" t="str">
        <x:v>Phones</x:v>
      </x:c>
      <x:c r="I1372" s="22" t="n">
        <x:v>201.584</x:v>
      </x:c>
      <x:c r="J1372" s="24" t="n">
        <x:v>2</x:v>
      </x:c>
      <x:c r="K1372" s="26" t="n">
        <x:v>0.2</x:v>
      </x:c>
      <x:c r="L1372" s="22" t="n">
        <x:v>15.118800000000007</x:v>
      </x:c>
      <x:c r="M1372" t="n">
        <x:v>2017</x:v>
      </x:c>
      <x:c r="N1372" s="20" t="n">
        <x:v>43040</x:v>
      </x:c>
    </x:row>
    <x:row r="1373" ht="18" customHeight="1">
      <x:c r="A1373" t="str">
        <x:v>US-2017-155425</x:v>
      </x:c>
      <x:c r="B1373" s="18" t="n">
        <x:v>43049</x:v>
      </x:c>
      <x:c r="C1373" t="str">
        <x:v>AB-10600</x:v>
      </x:c>
      <x:c r="D1373" t="str">
        <x:v>Ann Blume</x:v>
      </x:c>
      <x:c r="E1373" t="str">
        <x:v>Corporate</x:v>
      </x:c>
      <x:c r="F1373" t="str">
        <x:v>West</x:v>
      </x:c>
      <x:c r="G1373" t="str">
        <x:v>Furniture</x:v>
      </x:c>
      <x:c r="H1373" t="str">
        <x:v>Chairs</x:v>
      </x:c>
      <x:c r="I1373" s="22" t="n">
        <x:v>899.1360000000001</x:v>
      </x:c>
      <x:c r="J1373" s="24" t="n">
        <x:v>4</x:v>
      </x:c>
      <x:c r="K1373" s="26" t="n">
        <x:v>0.2</x:v>
      </x:c>
      <x:c r="L1373" s="22" t="n">
        <x:v>-146.10960000000014</x:v>
      </x:c>
      <x:c r="M1373" t="n">
        <x:v>2017</x:v>
      </x:c>
      <x:c r="N1373" s="20" t="n">
        <x:v>43040</x:v>
      </x:c>
    </x:row>
    <x:row r="1374" ht="18" customHeight="1">
      <x:c r="A1374" t="str">
        <x:v>CA-2017-133249</x:v>
      </x:c>
      <x:c r="B1374" s="18" t="n">
        <x:v>42924</x:v>
      </x:c>
      <x:c r="C1374" t="str">
        <x:v>SZ-20035</x:v>
      </x:c>
      <x:c r="D1374" t="str">
        <x:v>Sam Zeldin</x:v>
      </x:c>
      <x:c r="E1374" t="str">
        <x:v>Home Office</x:v>
      </x:c>
      <x:c r="F1374" t="str">
        <x:v>West</x:v>
      </x:c>
      <x:c r="G1374" t="str">
        <x:v>Furniture</x:v>
      </x:c>
      <x:c r="H1374" t="str">
        <x:v>Furnishings</x:v>
      </x:c>
      <x:c r="I1374" s="22" t="n">
        <x:v>145.9</x:v>
      </x:c>
      <x:c r="J1374" s="24" t="n">
        <x:v>5</x:v>
      </x:c>
      <x:c r="K1374" s="26" t="n">
        <x:v>0</x:v>
      </x:c>
      <x:c r="L1374" s="22" t="n">
        <x:v>62.736999999999995</x:v>
      </x:c>
      <x:c r="M1374" t="n">
        <x:v>2017</x:v>
      </x:c>
      <x:c r="N1374" s="20" t="n">
        <x:v>42917</x:v>
      </x:c>
    </x:row>
    <x:row r="1375" ht="18" customHeight="1">
      <x:c r="A1375" t="str">
        <x:v>US-2015-103471</x:v>
      </x:c>
      <x:c r="B1375" s="18" t="n">
        <x:v>42362</x:v>
      </x:c>
      <x:c r="C1375" t="str">
        <x:v>JR-15670</x:v>
      </x:c>
      <x:c r="D1375" t="str">
        <x:v>Jim Radford</x:v>
      </x:c>
      <x:c r="E1375" t="str">
        <x:v>Consumer</x:v>
      </x:c>
      <x:c r="F1375" t="str">
        <x:v>West</x:v>
      </x:c>
      <x:c r="G1375" t="str">
        <x:v>Furniture</x:v>
      </x:c>
      <x:c r="H1375" t="str">
        <x:v>Bookcases</x:v>
      </x:c>
      <x:c r="I1375" s="22" t="n">
        <x:v>590.0580000000001</x:v>
      </x:c>
      <x:c r="J1375" s="24" t="n">
        <x:v>7</x:v>
      </x:c>
      <x:c r="K1375" s="26" t="n">
        <x:v>0.7</x:v>
      </x:c>
      <x:c r="L1375" s="22" t="n">
        <x:v>-786.7440000000003</x:v>
      </x:c>
      <x:c r="M1375" t="n">
        <x:v>2015</x:v>
      </x:c>
      <x:c r="N1375" s="20" t="n">
        <x:v>42339</x:v>
      </x:c>
    </x:row>
    <x:row r="1376" ht="18" customHeight="1">
      <x:c r="A1376" t="str">
        <x:v>US-2015-103471</x:v>
      </x:c>
      <x:c r="B1376" s="18" t="n">
        <x:v>42362</x:v>
      </x:c>
      <x:c r="C1376" t="str">
        <x:v>JR-15670</x:v>
      </x:c>
      <x:c r="D1376" t="str">
        <x:v>Jim Radford</x:v>
      </x:c>
      <x:c r="E1376" t="str">
        <x:v>Consumer</x:v>
      </x:c>
      <x:c r="F1376" t="str">
        <x:v>West</x:v>
      </x:c>
      <x:c r="G1376" t="str">
        <x:v>Office Supplies</x:v>
      </x:c>
      <x:c r="H1376" t="str">
        <x:v>Art</x:v>
      </x:c>
      <x:c r="I1376" s="22" t="n">
        <x:v>14.04</x:v>
      </x:c>
      <x:c r="J1376" s="24" t="n">
        <x:v>3</x:v>
      </x:c>
      <x:c r="K1376" s="26" t="n">
        <x:v>0.2</x:v>
      </x:c>
      <x:c r="L1376" s="22" t="n">
        <x:v>1.5794999999999986</x:v>
      </x:c>
      <x:c r="M1376" t="n">
        <x:v>2015</x:v>
      </x:c>
      <x:c r="N1376" s="20" t="n">
        <x:v>42339</x:v>
      </x:c>
    </x:row>
    <x:row r="1377" ht="18" customHeight="1">
      <x:c r="A1377" t="str">
        <x:v>CA-2017-136672</x:v>
      </x:c>
      <x:c r="B1377" s="18" t="n">
        <x:v>42801</x:v>
      </x:c>
      <x:c r="C1377" t="str">
        <x:v>MG-17890</x:v>
      </x:c>
      <x:c r="D1377" t="str">
        <x:v>Michael Granlund</x:v>
      </x:c>
      <x:c r="E1377" t="str">
        <x:v>Home Office</x:v>
      </x:c>
      <x:c r="F1377" t="str">
        <x:v>East</x:v>
      </x:c>
      <x:c r="G1377" t="str">
        <x:v>Technology</x:v>
      </x:c>
      <x:c r="H1377" t="str">
        <x:v>Accessories</x:v>
      </x:c>
      <x:c r="I1377" s="22" t="n">
        <x:v>49.08</x:v>
      </x:c>
      <x:c r="J1377" s="24" t="n">
        <x:v>3</x:v>
      </x:c>
      <x:c r="K1377" s="26" t="n">
        <x:v>0</x:v>
      </x:c>
      <x:c r="L1377" s="22" t="n">
        <x:v>4.907999999999998</x:v>
      </x:c>
      <x:c r="M1377" t="n">
        <x:v>2017</x:v>
      </x:c>
      <x:c r="N1377" s="20" t="n">
        <x:v>42795</x:v>
      </x:c>
    </x:row>
    <x:row r="1378" ht="18" customHeight="1">
      <x:c r="A1378" t="str">
        <x:v>US-2014-157021</x:v>
      </x:c>
      <x:c r="B1378" s="18" t="n">
        <x:v>41730</x:v>
      </x:c>
      <x:c r="C1378" t="str">
        <x:v>KM-16720</x:v>
      </x:c>
      <x:c r="D1378" t="str">
        <x:v>Kunst Miller</x:v>
      </x:c>
      <x:c r="E1378" t="str">
        <x:v>Consumer</x:v>
      </x:c>
      <x:c r="F1378" t="str">
        <x:v>West</x:v>
      </x:c>
      <x:c r="G1378" t="str">
        <x:v>Office Supplies</x:v>
      </x:c>
      <x:c r="H1378" t="str">
        <x:v>Labels</x:v>
      </x:c>
      <x:c r="I1378" s="22" t="n">
        <x:v>29.6</x:v>
      </x:c>
      <x:c r="J1378" s="24" t="n">
        <x:v>2</x:v>
      </x:c>
      <x:c r="K1378" s="26" t="n">
        <x:v>0</x:v>
      </x:c>
      <x:c r="L1378" s="22" t="n">
        <x:v>14.8</x:v>
      </x:c>
      <x:c r="M1378" t="n">
        <x:v>2014</x:v>
      </x:c>
      <x:c r="N1378" s="20" t="n">
        <x:v>41730</x:v>
      </x:c>
    </x:row>
    <x:row r="1379" ht="18" customHeight="1">
      <x:c r="A1379" t="str">
        <x:v>US-2014-157021</x:v>
      </x:c>
      <x:c r="B1379" s="18" t="n">
        <x:v>41730</x:v>
      </x:c>
      <x:c r="C1379" t="str">
        <x:v>KM-16720</x:v>
      </x:c>
      <x:c r="D1379" t="str">
        <x:v>Kunst Miller</x:v>
      </x:c>
      <x:c r="E1379" t="str">
        <x:v>Consumer</x:v>
      </x:c>
      <x:c r="F1379" t="str">
        <x:v>West</x:v>
      </x:c>
      <x:c r="G1379" t="str">
        <x:v>Office Supplies</x:v>
      </x:c>
      <x:c r="H1379" t="str">
        <x:v>Binders</x:v>
      </x:c>
      <x:c r="I1379" s="22" t="n">
        <x:v>17.088</x:v>
      </x:c>
      <x:c r="J1379" s="24" t="n">
        <x:v>4</x:v>
      </x:c>
      <x:c r="K1379" s="26" t="n">
        <x:v>0.2</x:v>
      </x:c>
      <x:c r="L1379" s="22" t="n">
        <x:v>5.553599999999999</x:v>
      </x:c>
      <x:c r="M1379" t="n">
        <x:v>2014</x:v>
      </x:c>
      <x:c r="N1379" s="20" t="n">
        <x:v>41730</x:v>
      </x:c>
    </x:row>
    <x:row r="1380" ht="18" customHeight="1">
      <x:c r="A1380" t="str">
        <x:v>CA-2015-120362</x:v>
      </x:c>
      <x:c r="B1380" s="18" t="n">
        <x:v>42261</x:v>
      </x:c>
      <x:c r="C1380" t="str">
        <x:v>CA-12265</x:v>
      </x:c>
      <x:c r="D1380" t="str">
        <x:v>Christina Anderson</x:v>
      </x:c>
      <x:c r="E1380" t="str">
        <x:v>Consumer</x:v>
      </x:c>
      <x:c r="F1380" t="str">
        <x:v>West</x:v>
      </x:c>
      <x:c r="G1380" t="str">
        <x:v>Furniture</x:v>
      </x:c>
      <x:c r="H1380" t="str">
        <x:v>Tables</x:v>
      </x:c>
      <x:c r="I1380" s="22" t="n">
        <x:v>912.75</x:v>
      </x:c>
      <x:c r="J1380" s="24" t="n">
        <x:v>5</x:v>
      </x:c>
      <x:c r="K1380" s="26" t="n">
        <x:v>0</x:v>
      </x:c>
      <x:c r="L1380" s="22" t="n">
        <x:v>118.65750000000006</x:v>
      </x:c>
      <x:c r="M1380" t="n">
        <x:v>2015</x:v>
      </x:c>
      <x:c r="N1380" s="20" t="n">
        <x:v>42248</x:v>
      </x:c>
    </x:row>
    <x:row r="1381" ht="18" customHeight="1">
      <x:c r="A1381" t="str">
        <x:v>CA-2014-126361</x:v>
      </x:c>
      <x:c r="B1381" s="18" t="n">
        <x:v>41855</x:v>
      </x:c>
      <x:c r="C1381" t="str">
        <x:v>VD-21670</x:v>
      </x:c>
      <x:c r="D1381" t="str">
        <x:v>Valerie Dominguez</x:v>
      </x:c>
      <x:c r="E1381" t="str">
        <x:v>Consumer</x:v>
      </x:c>
      <x:c r="F1381" t="str">
        <x:v>West</x:v>
      </x:c>
      <x:c r="G1381" t="str">
        <x:v>Office Supplies</x:v>
      </x:c>
      <x:c r="H1381" t="str">
        <x:v>Appliances</x:v>
      </x:c>
      <x:c r="I1381" s="22" t="n">
        <x:v>1089.75</x:v>
      </x:c>
      <x:c r="J1381" s="24" t="n">
        <x:v>3</x:v>
      </x:c>
      <x:c r="K1381" s="26" t="n">
        <x:v>0</x:v>
      </x:c>
      <x:c r="L1381" s="22" t="n">
        <x:v>305.1300000000001</x:v>
      </x:c>
      <x:c r="M1381" t="n">
        <x:v>2014</x:v>
      </x:c>
      <x:c r="N1381" s="20" t="n">
        <x:v>41852</x:v>
      </x:c>
    </x:row>
    <x:row r="1382" ht="18" customHeight="1">
      <x:c r="A1382" t="str">
        <x:v>CA-2014-126361</x:v>
      </x:c>
      <x:c r="B1382" s="18" t="n">
        <x:v>41855</x:v>
      </x:c>
      <x:c r="C1382" t="str">
        <x:v>VD-21670</x:v>
      </x:c>
      <x:c r="D1382" t="str">
        <x:v>Valerie Dominguez</x:v>
      </x:c>
      <x:c r="E1382" t="str">
        <x:v>Consumer</x:v>
      </x:c>
      <x:c r="F1382" t="str">
        <x:v>West</x:v>
      </x:c>
      <x:c r="G1382" t="str">
        <x:v>Office Supplies</x:v>
      </x:c>
      <x:c r="H1382" t="str">
        <x:v>Paper</x:v>
      </x:c>
      <x:c r="I1382" s="22" t="n">
        <x:v>447.84</x:v>
      </x:c>
      <x:c r="J1382" s="24" t="n">
        <x:v>8</x:v>
      </x:c>
      <x:c r="K1382" s="26" t="n">
        <x:v>0</x:v>
      </x:c>
      <x:c r="L1382" s="22" t="n">
        <x:v>219.4416</x:v>
      </x:c>
      <x:c r="M1382" t="n">
        <x:v>2014</x:v>
      </x:c>
      <x:c r="N1382" s="20" t="n">
        <x:v>41852</x:v>
      </x:c>
    </x:row>
    <x:row r="1383" ht="18" customHeight="1">
      <x:c r="A1383" t="str">
        <x:v>CA-2014-126361</x:v>
      </x:c>
      <x:c r="B1383" s="18" t="n">
        <x:v>41855</x:v>
      </x:c>
      <x:c r="C1383" t="str">
        <x:v>VD-21670</x:v>
      </x:c>
      <x:c r="D1383" t="str">
        <x:v>Valerie Dominguez</x:v>
      </x:c>
      <x:c r="E1383" t="str">
        <x:v>Consumer</x:v>
      </x:c>
      <x:c r="F1383" t="str">
        <x:v>West</x:v>
      </x:c>
      <x:c r="G1383" t="str">
        <x:v>Office Supplies</x:v>
      </x:c>
      <x:c r="H1383" t="str">
        <x:v>Art</x:v>
      </x:c>
      <x:c r="I1383" s="22" t="n">
        <x:v>16.4</x:v>
      </x:c>
      <x:c r="J1383" s="24" t="n">
        <x:v>5</x:v>
      </x:c>
      <x:c r="K1383" s="26" t="n">
        <x:v>0</x:v>
      </x:c>
      <x:c r="L1383" s="22" t="n">
        <x:v>4.263999999999999</x:v>
      </x:c>
      <x:c r="M1383" t="n">
        <x:v>2014</x:v>
      </x:c>
      <x:c r="N1383" s="20" t="n">
        <x:v>41852</x:v>
      </x:c>
    </x:row>
    <x:row r="1384" ht="18" customHeight="1">
      <x:c r="A1384" t="str">
        <x:v>CA-2014-126361</x:v>
      </x:c>
      <x:c r="B1384" s="18" t="n">
        <x:v>41855</x:v>
      </x:c>
      <x:c r="C1384" t="str">
        <x:v>VD-21670</x:v>
      </x:c>
      <x:c r="D1384" t="str">
        <x:v>Valerie Dominguez</x:v>
      </x:c>
      <x:c r="E1384" t="str">
        <x:v>Consumer</x:v>
      </x:c>
      <x:c r="F1384" t="str">
        <x:v>West</x:v>
      </x:c>
      <x:c r="G1384" t="str">
        <x:v>Technology</x:v>
      </x:c>
      <x:c r="H1384" t="str">
        <x:v>Phones</x:v>
      </x:c>
      <x:c r="I1384" s="22" t="n">
        <x:v>399.96000000000004</x:v>
      </x:c>
      <x:c r="J1384" s="24" t="n">
        <x:v>5</x:v>
      </x:c>
      <x:c r="K1384" s="26" t="n">
        <x:v>0.2</x:v>
      </x:c>
      <x:c r="L1384" s="22" t="n">
        <x:v>34.99649999999997</x:v>
      </x:c>
      <x:c r="M1384" t="n">
        <x:v>2014</x:v>
      </x:c>
      <x:c r="N1384" s="20" t="n">
        <x:v>41852</x:v>
      </x:c>
    </x:row>
    <x:row r="1385" ht="18" customHeight="1">
      <x:c r="A1385" t="str">
        <x:v>CA-2014-126361</x:v>
      </x:c>
      <x:c r="B1385" s="18" t="n">
        <x:v>41855</x:v>
      </x:c>
      <x:c r="C1385" t="str">
        <x:v>VD-21670</x:v>
      </x:c>
      <x:c r="D1385" t="str">
        <x:v>Valerie Dominguez</x:v>
      </x:c>
      <x:c r="E1385" t="str">
        <x:v>Consumer</x:v>
      </x:c>
      <x:c r="F1385" t="str">
        <x:v>West</x:v>
      </x:c>
      <x:c r="G1385" t="str">
        <x:v>Office Supplies</x:v>
      </x:c>
      <x:c r="H1385" t="str">
        <x:v>Storage</x:v>
      </x:c>
      <x:c r="I1385" s="22" t="n">
        <x:v>158.9</x:v>
      </x:c>
      <x:c r="J1385" s="24" t="n">
        <x:v>5</x:v>
      </x:c>
      <x:c r="K1385" s="26" t="n">
        <x:v>0</x:v>
      </x:c>
      <x:c r="L1385" s="22" t="n">
        <x:v>7.944999999999993</x:v>
      </x:c>
      <x:c r="M1385" t="n">
        <x:v>2014</x:v>
      </x:c>
      <x:c r="N1385" s="20" t="n">
        <x:v>41852</x:v>
      </x:c>
    </x:row>
    <x:row r="1386" ht="18" customHeight="1">
      <x:c r="A1386" t="str">
        <x:v>CA-2014-126361</x:v>
      </x:c>
      <x:c r="B1386" s="18" t="n">
        <x:v>41855</x:v>
      </x:c>
      <x:c r="C1386" t="str">
        <x:v>VD-21670</x:v>
      </x:c>
      <x:c r="D1386" t="str">
        <x:v>Valerie Dominguez</x:v>
      </x:c>
      <x:c r="E1386" t="str">
        <x:v>Consumer</x:v>
      </x:c>
      <x:c r="F1386" t="str">
        <x:v>West</x:v>
      </x:c>
      <x:c r="G1386" t="str">
        <x:v>Office Supplies</x:v>
      </x:c>
      <x:c r="H1386" t="str">
        <x:v>Binders</x:v>
      </x:c>
      <x:c r="I1386" s="22" t="n">
        <x:v>13.184000000000001</x:v>
      </x:c>
      <x:c r="J1386" s="24" t="n">
        <x:v>1</x:v>
      </x:c>
      <x:c r="K1386" s="26" t="n">
        <x:v>0.2</x:v>
      </x:c>
      <x:c r="L1386" s="22" t="n">
        <x:v>4.7792</x:v>
      </x:c>
      <x:c r="M1386" t="n">
        <x:v>2014</x:v>
      </x:c>
      <x:c r="N1386" s="20" t="n">
        <x:v>41852</x:v>
      </x:c>
    </x:row>
    <x:row r="1387" ht="18" customHeight="1">
      <x:c r="A1387" t="str">
        <x:v>US-2016-100566</x:v>
      </x:c>
      <x:c r="B1387" s="18" t="n">
        <x:v>42616</x:v>
      </x:c>
      <x:c r="C1387" t="str">
        <x:v>JK-16120</x:v>
      </x:c>
      <x:c r="D1387" t="str">
        <x:v>Julie Kriz</x:v>
      </x:c>
      <x:c r="E1387" t="str">
        <x:v>Home Office</x:v>
      </x:c>
      <x:c r="F1387" t="str">
        <x:v>Central</x:v>
      </x:c>
      <x:c r="G1387" t="str">
        <x:v>Furniture</x:v>
      </x:c>
      <x:c r="H1387" t="str">
        <x:v>Furnishings</x:v>
      </x:c>
      <x:c r="I1387" s="22" t="n">
        <x:v>83.952</x:v>
      </x:c>
      <x:c r="J1387" s="24" t="n">
        <x:v>3</x:v>
      </x:c>
      <x:c r="K1387" s="26" t="n">
        <x:v>0.6</x:v>
      </x:c>
      <x:c r="L1387" s="22" t="n">
        <x:v>-90.24839999999999</x:v>
      </x:c>
      <x:c r="M1387" t="n">
        <x:v>2016</x:v>
      </x:c>
      <x:c r="N1387" s="20" t="n">
        <x:v>42614</x:v>
      </x:c>
    </x:row>
    <x:row r="1388" ht="18" customHeight="1">
      <x:c r="A1388" t="str">
        <x:v>US-2016-108504</x:v>
      </x:c>
      <x:c r="B1388" s="18" t="n">
        <x:v>42405</x:v>
      </x:c>
      <x:c r="C1388" t="str">
        <x:v>PP-18955</x:v>
      </x:c>
      <x:c r="D1388" t="str">
        <x:v>Paul Prost</x:v>
      </x:c>
      <x:c r="E1388" t="str">
        <x:v>Home Office</x:v>
      </x:c>
      <x:c r="F1388" t="str">
        <x:v>South</x:v>
      </x:c>
      <x:c r="G1388" t="str">
        <x:v>Office Supplies</x:v>
      </x:c>
      <x:c r="H1388" t="str">
        <x:v>Storage</x:v>
      </x:c>
      <x:c r="I1388" s="22" t="n">
        <x:v>80.98</x:v>
      </x:c>
      <x:c r="J1388" s="24" t="n">
        <x:v>1</x:v>
      </x:c>
      <x:c r="K1388" s="26" t="n">
        <x:v>0</x:v>
      </x:c>
      <x:c r="L1388" s="22" t="n">
        <x:v>1.6196000000000055</x:v>
      </x:c>
      <x:c r="M1388" t="n">
        <x:v>2016</x:v>
      </x:c>
      <x:c r="N1388" s="20" t="n">
        <x:v>42401</x:v>
      </x:c>
    </x:row>
    <x:row r="1389" ht="18" customHeight="1">
      <x:c r="A1389" t="str">
        <x:v>US-2016-108504</x:v>
      </x:c>
      <x:c r="B1389" s="18" t="n">
        <x:v>42405</x:v>
      </x:c>
      <x:c r="C1389" t="str">
        <x:v>PP-18955</x:v>
      </x:c>
      <x:c r="D1389" t="str">
        <x:v>Paul Prost</x:v>
      </x:c>
      <x:c r="E1389" t="str">
        <x:v>Home Office</x:v>
      </x:c>
      <x:c r="F1389" t="str">
        <x:v>South</x:v>
      </x:c>
      <x:c r="G1389" t="str">
        <x:v>Office Supplies</x:v>
      </x:c>
      <x:c r="H1389" t="str">
        <x:v>Paper</x:v>
      </x:c>
      <x:c r="I1389" s="22" t="n">
        <x:v>348.84</x:v>
      </x:c>
      <x:c r="J1389" s="24" t="n">
        <x:v>9</x:v>
      </x:c>
      <x:c r="K1389" s="26" t="n">
        <x:v>0</x:v>
      </x:c>
      <x:c r="L1389" s="22" t="n">
        <x:v>170.9316</x:v>
      </x:c>
      <x:c r="M1389" t="n">
        <x:v>2016</x:v>
      </x:c>
      <x:c r="N1389" s="20" t="n">
        <x:v>42401</x:v>
      </x:c>
    </x:row>
    <x:row r="1390" ht="18" customHeight="1">
      <x:c r="A1390" t="str">
        <x:v>US-2016-108504</x:v>
      </x:c>
      <x:c r="B1390" s="18" t="n">
        <x:v>42405</x:v>
      </x:c>
      <x:c r="C1390" t="str">
        <x:v>PP-18955</x:v>
      </x:c>
      <x:c r="D1390" t="str">
        <x:v>Paul Prost</x:v>
      </x:c>
      <x:c r="E1390" t="str">
        <x:v>Home Office</x:v>
      </x:c>
      <x:c r="F1390" t="str">
        <x:v>South</x:v>
      </x:c>
      <x:c r="G1390" t="str">
        <x:v>Office Supplies</x:v>
      </x:c>
      <x:c r="H1390" t="str">
        <x:v>Fasteners</x:v>
      </x:c>
      <x:c r="I1390" s="22" t="n">
        <x:v>9.45</x:v>
      </x:c>
      <x:c r="J1390" s="24" t="n">
        <x:v>5</x:v>
      </x:c>
      <x:c r="K1390" s="26" t="n">
        <x:v>0</x:v>
      </x:c>
      <x:c r="L1390" s="22" t="n">
        <x:v>0.18900000000000028</x:v>
      </x:c>
      <x:c r="M1390" t="n">
        <x:v>2016</x:v>
      </x:c>
      <x:c r="N1390" s="20" t="n">
        <x:v>42401</x:v>
      </x:c>
    </x:row>
    <x:row r="1391" ht="18" customHeight="1">
      <x:c r="A1391" t="str">
        <x:v>US-2016-108504</x:v>
      </x:c>
      <x:c r="B1391" s="18" t="n">
        <x:v>42405</x:v>
      </x:c>
      <x:c r="C1391" t="str">
        <x:v>PP-18955</x:v>
      </x:c>
      <x:c r="D1391" t="str">
        <x:v>Paul Prost</x:v>
      </x:c>
      <x:c r="E1391" t="str">
        <x:v>Home Office</x:v>
      </x:c>
      <x:c r="F1391" t="str">
        <x:v>South</x:v>
      </x:c>
      <x:c r="G1391" t="str">
        <x:v>Furniture</x:v>
      </x:c>
      <x:c r="H1391" t="str">
        <x:v>Furnishings</x:v>
      </x:c>
      <x:c r="I1391" s="22" t="n">
        <x:v>18.84</x:v>
      </x:c>
      <x:c r="J1391" s="24" t="n">
        <x:v>3</x:v>
      </x:c>
      <x:c r="K1391" s="26" t="n">
        <x:v>0</x:v>
      </x:c>
      <x:c r="L1391" s="22" t="n">
        <x:v>7.1592</x:v>
      </x:c>
      <x:c r="M1391" t="n">
        <x:v>2016</x:v>
      </x:c>
      <x:c r="N1391" s="20" t="n">
        <x:v>42401</x:v>
      </x:c>
    </x:row>
    <x:row r="1392" ht="18" customHeight="1">
      <x:c r="A1392" t="str">
        <x:v>US-2016-108504</x:v>
      </x:c>
      <x:c r="B1392" s="18" t="n">
        <x:v>42405</x:v>
      </x:c>
      <x:c r="C1392" t="str">
        <x:v>PP-18955</x:v>
      </x:c>
      <x:c r="D1392" t="str">
        <x:v>Paul Prost</x:v>
      </x:c>
      <x:c r="E1392" t="str">
        <x:v>Home Office</x:v>
      </x:c>
      <x:c r="F1392" t="str">
        <x:v>South</x:v>
      </x:c>
      <x:c r="G1392" t="str">
        <x:v>Furniture</x:v>
      </x:c>
      <x:c r="H1392" t="str">
        <x:v>Bookcases</x:v>
      </x:c>
      <x:c r="I1392" s="22" t="n">
        <x:v>239.98</x:v>
      </x:c>
      <x:c r="J1392" s="24" t="n">
        <x:v>2</x:v>
      </x:c>
      <x:c r="K1392" s="26" t="n">
        <x:v>0</x:v>
      </x:c>
      <x:c r="L1392" s="22" t="n">
        <x:v>52.79559999999998</x:v>
      </x:c>
      <x:c r="M1392" t="n">
        <x:v>2016</x:v>
      </x:c>
      <x:c r="N1392" s="20" t="n">
        <x:v>42401</x:v>
      </x:c>
    </x:row>
    <x:row r="1393" ht="18" customHeight="1">
      <x:c r="A1393" t="str">
        <x:v>US-2016-108504</x:v>
      </x:c>
      <x:c r="B1393" s="18" t="n">
        <x:v>42405</x:v>
      </x:c>
      <x:c r="C1393" t="str">
        <x:v>PP-18955</x:v>
      </x:c>
      <x:c r="D1393" t="str">
        <x:v>Paul Prost</x:v>
      </x:c>
      <x:c r="E1393" t="str">
        <x:v>Home Office</x:v>
      </x:c>
      <x:c r="F1393" t="str">
        <x:v>South</x:v>
      </x:c>
      <x:c r="G1393" t="str">
        <x:v>Office Supplies</x:v>
      </x:c>
      <x:c r="H1393" t="str">
        <x:v>Envelopes</x:v>
      </x:c>
      <x:c r="I1393" s="22" t="n">
        <x:v>167.96</x:v>
      </x:c>
      <x:c r="J1393" s="24" t="n">
        <x:v>2</x:v>
      </x:c>
      <x:c r="K1393" s="26" t="n">
        <x:v>0</x:v>
      </x:c>
      <x:c r="L1393" s="22" t="n">
        <x:v>78.9412</x:v>
      </x:c>
      <x:c r="M1393" t="n">
        <x:v>2016</x:v>
      </x:c>
      <x:c r="N1393" s="20" t="n">
        <x:v>42401</x:v>
      </x:c>
    </x:row>
    <x:row r="1394" ht="18" customHeight="1">
      <x:c r="A1394" t="str">
        <x:v>US-2016-108504</x:v>
      </x:c>
      <x:c r="B1394" s="18" t="n">
        <x:v>42405</x:v>
      </x:c>
      <x:c r="C1394" t="str">
        <x:v>PP-18955</x:v>
      </x:c>
      <x:c r="D1394" t="str">
        <x:v>Paul Prost</x:v>
      </x:c>
      <x:c r="E1394" t="str">
        <x:v>Home Office</x:v>
      </x:c>
      <x:c r="F1394" t="str">
        <x:v>South</x:v>
      </x:c>
      <x:c r="G1394" t="str">
        <x:v>Technology</x:v>
      </x:c>
      <x:c r="H1394" t="str">
        <x:v>Phones</x:v>
      </x:c>
      <x:c r="I1394" s="22" t="n">
        <x:v>104.85000000000001</x:v>
      </x:c>
      <x:c r="J1394" s="24" t="n">
        <x:v>3</x:v>
      </x:c>
      <x:c r="K1394" s="26" t="n">
        <x:v>0</x:v>
      </x:c>
      <x:c r="L1394" s="22" t="n">
        <x:v>28.309500000000007</x:v>
      </x:c>
      <x:c r="M1394" t="n">
        <x:v>2016</x:v>
      </x:c>
      <x:c r="N1394" s="20" t="n">
        <x:v>42401</x:v>
      </x:c>
    </x:row>
    <x:row r="1395" ht="18" customHeight="1">
      <x:c r="A1395" t="str">
        <x:v>US-2016-108504</x:v>
      </x:c>
      <x:c r="B1395" s="18" t="n">
        <x:v>42405</x:v>
      </x:c>
      <x:c r="C1395" t="str">
        <x:v>PP-18955</x:v>
      </x:c>
      <x:c r="D1395" t="str">
        <x:v>Paul Prost</x:v>
      </x:c>
      <x:c r="E1395" t="str">
        <x:v>Home Office</x:v>
      </x:c>
      <x:c r="F1395" t="str">
        <x:v>South</x:v>
      </x:c>
      <x:c r="G1395" t="str">
        <x:v>Technology</x:v>
      </x:c>
      <x:c r="H1395" t="str">
        <x:v>Phones</x:v>
      </x:c>
      <x:c r="I1395" s="22" t="n">
        <x:v>484.83000000000004</x:v>
      </x:c>
      <x:c r="J1395" s="24" t="n">
        <x:v>3</x:v>
      </x:c>
      <x:c r="K1395" s="26" t="n">
        <x:v>0</x:v>
      </x:c>
      <x:c r="L1395" s="22" t="n">
        <x:v>126.05580000000002</x:v>
      </x:c>
      <x:c r="M1395" t="n">
        <x:v>2016</x:v>
      </x:c>
      <x:c r="N1395" s="20" t="n">
        <x:v>42401</x:v>
      </x:c>
    </x:row>
    <x:row r="1396" ht="18" customHeight="1">
      <x:c r="A1396" t="str">
        <x:v>US-2016-108504</x:v>
      </x:c>
      <x:c r="B1396" s="18" t="n">
        <x:v>42405</x:v>
      </x:c>
      <x:c r="C1396" t="str">
        <x:v>PP-18955</x:v>
      </x:c>
      <x:c r="D1396" t="str">
        <x:v>Paul Prost</x:v>
      </x:c>
      <x:c r="E1396" t="str">
        <x:v>Home Office</x:v>
      </x:c>
      <x:c r="F1396" t="str">
        <x:v>South</x:v>
      </x:c>
      <x:c r="G1396" t="str">
        <x:v>Office Supplies</x:v>
      </x:c>
      <x:c r="H1396" t="str">
        <x:v>Paper</x:v>
      </x:c>
      <x:c r="I1396" s="22" t="n">
        <x:v>122.97</x:v>
      </x:c>
      <x:c r="J1396" s="24" t="n">
        <x:v>3</x:v>
      </x:c>
      <x:c r="K1396" s="26" t="n">
        <x:v>0</x:v>
      </x:c>
      <x:c r="L1396" s="22" t="n">
        <x:v>60.255300000000005</x:v>
      </x:c>
      <x:c r="M1396" t="n">
        <x:v>2016</x:v>
      </x:c>
      <x:c r="N1396" s="20" t="n">
        <x:v>42401</x:v>
      </x:c>
    </x:row>
    <x:row r="1397" ht="18" customHeight="1">
      <x:c r="A1397" t="str">
        <x:v>US-2016-108504</x:v>
      </x:c>
      <x:c r="B1397" s="18" t="n">
        <x:v>42405</x:v>
      </x:c>
      <x:c r="C1397" t="str">
        <x:v>PP-18955</x:v>
      </x:c>
      <x:c r="D1397" t="str">
        <x:v>Paul Prost</x:v>
      </x:c>
      <x:c r="E1397" t="str">
        <x:v>Home Office</x:v>
      </x:c>
      <x:c r="F1397" t="str">
        <x:v>South</x:v>
      </x:c>
      <x:c r="G1397" t="str">
        <x:v>Office Supplies</x:v>
      </x:c>
      <x:c r="H1397" t="str">
        <x:v>Storage</x:v>
      </x:c>
      <x:c r="I1397" s="22" t="n">
        <x:v>154.44</x:v>
      </x:c>
      <x:c r="J1397" s="24" t="n">
        <x:v>3</x:v>
      </x:c>
      <x:c r="K1397" s="26" t="n">
        <x:v>0</x:v>
      </x:c>
      <x:c r="L1397" s="22" t="n">
        <x:v>1.544400000000003</x:v>
      </x:c>
      <x:c r="M1397" t="n">
        <x:v>2016</x:v>
      </x:c>
      <x:c r="N1397" s="20" t="n">
        <x:v>42401</x:v>
      </x:c>
    </x:row>
    <x:row r="1398" ht="18" customHeight="1">
      <x:c r="A1398" t="str">
        <x:v>US-2016-108504</x:v>
      </x:c>
      <x:c r="B1398" s="18" t="n">
        <x:v>42405</x:v>
      </x:c>
      <x:c r="C1398" t="str">
        <x:v>PP-18955</x:v>
      </x:c>
      <x:c r="D1398" t="str">
        <x:v>Paul Prost</x:v>
      </x:c>
      <x:c r="E1398" t="str">
        <x:v>Home Office</x:v>
      </x:c>
      <x:c r="F1398" t="str">
        <x:v>South</x:v>
      </x:c>
      <x:c r="G1398" t="str">
        <x:v>Office Supplies</x:v>
      </x:c>
      <x:c r="H1398" t="str">
        <x:v>Paper</x:v>
      </x:c>
      <x:c r="I1398" s="22" t="n">
        <x:v>342.37</x:v>
      </x:c>
      <x:c r="J1398" s="24" t="n">
        <x:v>7</x:v>
      </x:c>
      <x:c r="K1398" s="26" t="n">
        <x:v>0</x:v>
      </x:c>
      <x:c r="L1398" s="22" t="n">
        <x:v>160.91389999999998</x:v>
      </x:c>
      <x:c r="M1398" t="n">
        <x:v>2016</x:v>
      </x:c>
      <x:c r="N1398" s="20" t="n">
        <x:v>42401</x:v>
      </x:c>
    </x:row>
    <x:row r="1399" ht="18" customHeight="1">
      <x:c r="A1399" t="str">
        <x:v>CA-2017-124828</x:v>
      </x:c>
      <x:c r="B1399" s="18" t="n">
        <x:v>42919</x:v>
      </x:c>
      <x:c r="C1399" t="str">
        <x:v>YS-21880</x:v>
      </x:c>
      <x:c r="D1399" t="str">
        <x:v>Yana Sorensen</x:v>
      </x:c>
      <x:c r="E1399" t="str">
        <x:v>Corporate</x:v>
      </x:c>
      <x:c r="F1399" t="str">
        <x:v>South</x:v>
      </x:c>
      <x:c r="G1399" t="str">
        <x:v>Office Supplies</x:v>
      </x:c>
      <x:c r="H1399" t="str">
        <x:v>Art</x:v>
      </x:c>
      <x:c r="I1399" s="22" t="n">
        <x:v>9.552</x:v>
      </x:c>
      <x:c r="J1399" s="24" t="n">
        <x:v>3</x:v>
      </x:c>
      <x:c r="K1399" s="26" t="n">
        <x:v>0.2</x:v>
      </x:c>
      <x:c r="L1399" s="22" t="n">
        <x:v>1.5521999999999991</x:v>
      </x:c>
      <x:c r="M1399" t="n">
        <x:v>2017</x:v>
      </x:c>
      <x:c r="N1399" s="20" t="n">
        <x:v>42917</x:v>
      </x:c>
    </x:row>
    <x:row r="1400" ht="18" customHeight="1">
      <x:c r="A1400" t="str">
        <x:v>US-2017-117247</x:v>
      </x:c>
      <x:c r="B1400" s="18" t="n">
        <x:v>43017</x:v>
      </x:c>
      <x:c r="C1400" t="str">
        <x:v>CK-12760</x:v>
      </x:c>
      <x:c r="D1400" t="str">
        <x:v>Cyma Kinney</x:v>
      </x:c>
      <x:c r="E1400" t="str">
        <x:v>Corporate</x:v>
      </x:c>
      <x:c r="F1400" t="str">
        <x:v>Central</x:v>
      </x:c>
      <x:c r="G1400" t="str">
        <x:v>Furniture</x:v>
      </x:c>
      <x:c r="H1400" t="str">
        <x:v>Tables</x:v>
      </x:c>
      <x:c r="I1400" s="22" t="n">
        <x:v>652.45</x:v>
      </x:c>
      <x:c r="J1400" s="24" t="n">
        <x:v>5</x:v>
      </x:c>
      <x:c r="K1400" s="26" t="n">
        <x:v>0.5</x:v>
      </x:c>
      <x:c r="L1400" s="22" t="n">
        <x:v>-430.6170000000002</x:v>
      </x:c>
      <x:c r="M1400" t="n">
        <x:v>2017</x:v>
      </x:c>
      <x:c r="N1400" s="20" t="n">
        <x:v>43009</x:v>
      </x:c>
    </x:row>
    <x:row r="1401" ht="18" customHeight="1">
      <x:c r="A1401" t="str">
        <x:v>US-2017-117247</x:v>
      </x:c>
      <x:c r="B1401" s="18" t="n">
        <x:v>43017</x:v>
      </x:c>
      <x:c r="C1401" t="str">
        <x:v>CK-12760</x:v>
      </x:c>
      <x:c r="D1401" t="str">
        <x:v>Cyma Kinney</x:v>
      </x:c>
      <x:c r="E1401" t="str">
        <x:v>Corporate</x:v>
      </x:c>
      <x:c r="F1401" t="str">
        <x:v>Central</x:v>
      </x:c>
      <x:c r="G1401" t="str">
        <x:v>Furniture</x:v>
      </x:c>
      <x:c r="H1401" t="str">
        <x:v>Tables</x:v>
      </x:c>
      <x:c r="I1401" s="22" t="n">
        <x:v>66.645</x:v>
      </x:c>
      <x:c r="J1401" s="24" t="n">
        <x:v>3</x:v>
      </x:c>
      <x:c r="K1401" s="26" t="n">
        <x:v>0.5</x:v>
      </x:c>
      <x:c r="L1401" s="22" t="n">
        <x:v>-42.6528</x:v>
      </x:c>
      <x:c r="M1401" t="n">
        <x:v>2017</x:v>
      </x:c>
      <x:c r="N1401" s="20" t="n">
        <x:v>43009</x:v>
      </x:c>
    </x:row>
    <x:row r="1402" ht="18" customHeight="1">
      <x:c r="A1402" t="str">
        <x:v>CA-2016-124485</x:v>
      </x:c>
      <x:c r="B1402" s="18" t="n">
        <x:v>42698</x:v>
      </x:c>
      <x:c r="C1402" t="str">
        <x:v>NC-18340</x:v>
      </x:c>
      <x:c r="D1402" t="str">
        <x:v>Nat Carroll</x:v>
      </x:c>
      <x:c r="E1402" t="str">
        <x:v>Consumer</x:v>
      </x:c>
      <x:c r="F1402" t="str">
        <x:v>East</x:v>
      </x:c>
      <x:c r="G1402" t="str">
        <x:v>Office Supplies</x:v>
      </x:c>
      <x:c r="H1402" t="str">
        <x:v>Binders</x:v>
      </x:c>
      <x:c r="I1402" s="22" t="n">
        <x:v>17.216</x:v>
      </x:c>
      <x:c r="J1402" s="24" t="n">
        <x:v>4</x:v>
      </x:c>
      <x:c r="K1402" s="26" t="n">
        <x:v>0.2</x:v>
      </x:c>
      <x:c r="L1402" s="22" t="n">
        <x:v>6.025599999999999</x:v>
      </x:c>
      <x:c r="M1402" t="n">
        <x:v>2016</x:v>
      </x:c>
      <x:c r="N1402" s="20" t="n">
        <x:v>42675</x:v>
      </x:c>
    </x:row>
    <x:row r="1403" ht="18" customHeight="1">
      <x:c r="A1403" t="str">
        <x:v>CA-2016-124485</x:v>
      </x:c>
      <x:c r="B1403" s="18" t="n">
        <x:v>42698</x:v>
      </x:c>
      <x:c r="C1403" t="str">
        <x:v>NC-18340</x:v>
      </x:c>
      <x:c r="D1403" t="str">
        <x:v>Nat Carroll</x:v>
      </x:c>
      <x:c r="E1403" t="str">
        <x:v>Consumer</x:v>
      </x:c>
      <x:c r="F1403" t="str">
        <x:v>East</x:v>
      </x:c>
      <x:c r="G1403" t="str">
        <x:v>Office Supplies</x:v>
      </x:c>
      <x:c r="H1403" t="str">
        <x:v>Paper</x:v>
      </x:c>
      <x:c r="I1403" s="22" t="n">
        <x:v>11.56</x:v>
      </x:c>
      <x:c r="J1403" s="24" t="n">
        <x:v>2</x:v>
      </x:c>
      <x:c r="K1403" s="26" t="n">
        <x:v>0</x:v>
      </x:c>
      <x:c r="L1403" s="22" t="n">
        <x:v>5.6644000000000005</x:v>
      </x:c>
      <x:c r="M1403" t="n">
        <x:v>2016</x:v>
      </x:c>
      <x:c r="N1403" s="20" t="n">
        <x:v>42675</x:v>
      </x:c>
    </x:row>
    <x:row r="1404" ht="18" customHeight="1">
      <x:c r="A1404" t="str">
        <x:v>CA-2016-124485</x:v>
      </x:c>
      <x:c r="B1404" s="18" t="n">
        <x:v>42698</x:v>
      </x:c>
      <x:c r="C1404" t="str">
        <x:v>NC-18340</x:v>
      </x:c>
      <x:c r="D1404" t="str">
        <x:v>Nat Carroll</x:v>
      </x:c>
      <x:c r="E1404" t="str">
        <x:v>Consumer</x:v>
      </x:c>
      <x:c r="F1404" t="str">
        <x:v>East</x:v>
      </x:c>
      <x:c r="G1404" t="str">
        <x:v>Technology</x:v>
      </x:c>
      <x:c r="H1404" t="str">
        <x:v>Accessories</x:v>
      </x:c>
      <x:c r="I1404" s="22" t="n">
        <x:v>88.4</x:v>
      </x:c>
      <x:c r="J1404" s="24" t="n">
        <x:v>4</x:v>
      </x:c>
      <x:c r="K1404" s="26" t="n">
        <x:v>0</x:v>
      </x:c>
      <x:c r="L1404" s="22" t="n">
        <x:v>11.492000000000004</x:v>
      </x:c>
      <x:c r="M1404" t="n">
        <x:v>2016</x:v>
      </x:c>
      <x:c r="N1404" s="20" t="n">
        <x:v>42675</x:v>
      </x:c>
    </x:row>
    <x:row r="1405" ht="18" customHeight="1">
      <x:c r="A1405" t="str">
        <x:v>CA-2016-124485</x:v>
      </x:c>
      <x:c r="B1405" s="18" t="n">
        <x:v>42698</x:v>
      </x:c>
      <x:c r="C1405" t="str">
        <x:v>NC-18340</x:v>
      </x:c>
      <x:c r="D1405" t="str">
        <x:v>Nat Carroll</x:v>
      </x:c>
      <x:c r="E1405" t="str">
        <x:v>Consumer</x:v>
      </x:c>
      <x:c r="F1405" t="str">
        <x:v>East</x:v>
      </x:c>
      <x:c r="G1405" t="str">
        <x:v>Office Supplies</x:v>
      </x:c>
      <x:c r="H1405" t="str">
        <x:v>Paper</x:v>
      </x:c>
      <x:c r="I1405" s="22" t="n">
        <x:v>6.48</x:v>
      </x:c>
      <x:c r="J1405" s="24" t="n">
        <x:v>1</x:v>
      </x:c>
      <x:c r="K1405" s="26" t="n">
        <x:v>0</x:v>
      </x:c>
      <x:c r="L1405" s="22" t="n">
        <x:v>3.1104000000000003</x:v>
      </x:c>
      <x:c r="M1405" t="n">
        <x:v>2016</x:v>
      </x:c>
      <x:c r="N1405" s="20" t="n">
        <x:v>42675</x:v>
      </x:c>
    </x:row>
    <x:row r="1406" ht="18" customHeight="1">
      <x:c r="A1406" t="str">
        <x:v>CA-2016-159212</x:v>
      </x:c>
      <x:c r="B1406" s="18" t="n">
        <x:v>42675</x:v>
      </x:c>
      <x:c r="C1406" t="str">
        <x:v>KM-16375</x:v>
      </x:c>
      <x:c r="D1406" t="str">
        <x:v>Katherine Murray</x:v>
      </x:c>
      <x:c r="E1406" t="str">
        <x:v>Home Office</x:v>
      </x:c>
      <x:c r="F1406" t="str">
        <x:v>South</x:v>
      </x:c>
      <x:c r="G1406" t="str">
        <x:v>Technology</x:v>
      </x:c>
      <x:c r="H1406" t="str">
        <x:v>Phones</x:v>
      </x:c>
      <x:c r="I1406" s="22" t="n">
        <x:v>21.8</x:v>
      </x:c>
      <x:c r="J1406" s="24" t="n">
        <x:v>2</x:v>
      </x:c>
      <x:c r="K1406" s="26" t="n">
        <x:v>0</x:v>
      </x:c>
      <x:c r="L1406" s="22" t="n">
        <x:v>6.104000000000001</x:v>
      </x:c>
      <x:c r="M1406" t="n">
        <x:v>2016</x:v>
      </x:c>
      <x:c r="N1406" s="20" t="n">
        <x:v>42675</x:v>
      </x:c>
    </x:row>
    <x:row r="1407" ht="18" customHeight="1">
      <x:c r="A1407" t="str">
        <x:v>CA-2016-159212</x:v>
      </x:c>
      <x:c r="B1407" s="18" t="n">
        <x:v>42675</x:v>
      </x:c>
      <x:c r="C1407" t="str">
        <x:v>KM-16375</x:v>
      </x:c>
      <x:c r="D1407" t="str">
        <x:v>Katherine Murray</x:v>
      </x:c>
      <x:c r="E1407" t="str">
        <x:v>Home Office</x:v>
      </x:c>
      <x:c r="F1407" t="str">
        <x:v>South</x:v>
      </x:c>
      <x:c r="G1407" t="str">
        <x:v>Office Supplies</x:v>
      </x:c>
      <x:c r="H1407" t="str">
        <x:v>Envelopes</x:v>
      </x:c>
      <x:c r="I1407" s="22" t="n">
        <x:v>251.79000000000002</x:v>
      </x:c>
      <x:c r="J1407" s="24" t="n">
        <x:v>3</x:v>
      </x:c>
      <x:c r="K1407" s="26" t="n">
        <x:v>0</x:v>
      </x:c>
      <x:c r="L1407" s="22" t="n">
        <x:v>118.34129999999999</x:v>
      </x:c>
      <x:c r="M1407" t="n">
        <x:v>2016</x:v>
      </x:c>
      <x:c r="N1407" s="20" t="n">
        <x:v>42675</x:v>
      </x:c>
    </x:row>
    <x:row r="1408" ht="18" customHeight="1">
      <x:c r="A1408" t="str">
        <x:v>US-2016-161396</x:v>
      </x:c>
      <x:c r="B1408" s="18" t="n">
        <x:v>42479</x:v>
      </x:c>
      <x:c r="C1408" t="str">
        <x:v>GM-14455</x:v>
      </x:c>
      <x:c r="D1408" t="str">
        <x:v>Gary Mitchum</x:v>
      </x:c>
      <x:c r="E1408" t="str">
        <x:v>Home Office</x:v>
      </x:c>
      <x:c r="F1408" t="str">
        <x:v>East</x:v>
      </x:c>
      <x:c r="G1408" t="str">
        <x:v>Furniture</x:v>
      </x:c>
      <x:c r="H1408" t="str">
        <x:v>Tables</x:v>
      </x:c>
      <x:c r="I1408" s="22" t="n">
        <x:v>205.176</x:v>
      </x:c>
      <x:c r="J1408" s="24" t="n">
        <x:v>2</x:v>
      </x:c>
      <x:c r="K1408" s="26" t="n">
        <x:v>0.4</x:v>
      </x:c>
      <x:c r="L1408" s="22" t="n">
        <x:v>-58.13319999999999</x:v>
      </x:c>
      <x:c r="M1408" t="n">
        <x:v>2016</x:v>
      </x:c>
      <x:c r="N1408" s="20" t="n">
        <x:v>42461</x:v>
      </x:c>
    </x:row>
    <x:row r="1409" ht="18" customHeight="1">
      <x:c r="A1409" t="str">
        <x:v>US-2016-161396</x:v>
      </x:c>
      <x:c r="B1409" s="18" t="n">
        <x:v>42479</x:v>
      </x:c>
      <x:c r="C1409" t="str">
        <x:v>GM-14455</x:v>
      </x:c>
      <x:c r="D1409" t="str">
        <x:v>Gary Mitchum</x:v>
      </x:c>
      <x:c r="E1409" t="str">
        <x:v>Home Office</x:v>
      </x:c>
      <x:c r="F1409" t="str">
        <x:v>East</x:v>
      </x:c>
      <x:c r="G1409" t="str">
        <x:v>Office Supplies</x:v>
      </x:c>
      <x:c r="H1409" t="str">
        <x:v>Paper</x:v>
      </x:c>
      <x:c r="I1409" s="22" t="n">
        <x:v>419.4</x:v>
      </x:c>
      <x:c r="J1409" s="24" t="n">
        <x:v>5</x:v>
      </x:c>
      <x:c r="K1409" s="26" t="n">
        <x:v>0.2</x:v>
      </x:c>
      <x:c r="L1409" s="22" t="n">
        <x:v>146.79</x:v>
      </x:c>
      <x:c r="M1409" t="n">
        <x:v>2016</x:v>
      </x:c>
      <x:c r="N1409" s="20" t="n">
        <x:v>42461</x:v>
      </x:c>
    </x:row>
    <x:row r="1410" ht="18" customHeight="1">
      <x:c r="A1410" t="str">
        <x:v>US-2014-118486</x:v>
      </x:c>
      <x:c r="B1410" s="18" t="n">
        <x:v>41735</x:v>
      </x:c>
      <x:c r="C1410" t="str">
        <x:v>SD-20485</x:v>
      </x:c>
      <x:c r="D1410" t="str">
        <x:v>Shirley Daniels</x:v>
      </x:c>
      <x:c r="E1410" t="str">
        <x:v>Home Office</x:v>
      </x:c>
      <x:c r="F1410" t="str">
        <x:v>East</x:v>
      </x:c>
      <x:c r="G1410" t="str">
        <x:v>Office Supplies</x:v>
      </x:c>
      <x:c r="H1410" t="str">
        <x:v>Supplies</x:v>
      </x:c>
      <x:c r="I1410" s="22" t="n">
        <x:v>10.304000000000002</x:v>
      </x:c>
      <x:c r="J1410" s="24" t="n">
        <x:v>1</x:v>
      </x:c>
      <x:c r="K1410" s="26" t="n">
        <x:v>0.2</x:v>
      </x:c>
      <x:c r="L1410" s="22" t="n">
        <x:v>-2.1896000000000004</x:v>
      </x:c>
      <x:c r="M1410" t="n">
        <x:v>2014</x:v>
      </x:c>
      <x:c r="N1410" s="20" t="n">
        <x:v>41730</x:v>
      </x:c>
    </x:row>
    <x:row r="1411" ht="18" customHeight="1">
      <x:c r="A1411" t="str">
        <x:v>US-2014-118486</x:v>
      </x:c>
      <x:c r="B1411" s="18" t="n">
        <x:v>41735</x:v>
      </x:c>
      <x:c r="C1411" t="str">
        <x:v>SD-20485</x:v>
      </x:c>
      <x:c r="D1411" t="str">
        <x:v>Shirley Daniels</x:v>
      </x:c>
      <x:c r="E1411" t="str">
        <x:v>Home Office</x:v>
      </x:c>
      <x:c r="F1411" t="str">
        <x:v>East</x:v>
      </x:c>
      <x:c r="G1411" t="str">
        <x:v>Furniture</x:v>
      </x:c>
      <x:c r="H1411" t="str">
        <x:v>Tables</x:v>
      </x:c>
      <x:c r="I1411" s="22" t="n">
        <x:v>154.764</x:v>
      </x:c>
      <x:c r="J1411" s="24" t="n">
        <x:v>3</x:v>
      </x:c>
      <x:c r="K1411" s="26" t="n">
        <x:v>0.4</x:v>
      </x:c>
      <x:c r="L1411" s="22" t="n">
        <x:v>-36.11160000000001</x:v>
      </x:c>
      <x:c r="M1411" t="n">
        <x:v>2014</x:v>
      </x:c>
      <x:c r="N1411" s="20" t="n">
        <x:v>41730</x:v>
      </x:c>
    </x:row>
    <x:row r="1412" ht="18" customHeight="1">
      <x:c r="A1412" t="str">
        <x:v>US-2014-118486</x:v>
      </x:c>
      <x:c r="B1412" s="18" t="n">
        <x:v>41735</x:v>
      </x:c>
      <x:c r="C1412" t="str">
        <x:v>SD-20485</x:v>
      </x:c>
      <x:c r="D1412" t="str">
        <x:v>Shirley Daniels</x:v>
      </x:c>
      <x:c r="E1412" t="str">
        <x:v>Home Office</x:v>
      </x:c>
      <x:c r="F1412" t="str">
        <x:v>East</x:v>
      </x:c>
      <x:c r="G1412" t="str">
        <x:v>Technology</x:v>
      </x:c>
      <x:c r="H1412" t="str">
        <x:v>Accessories</x:v>
      </x:c>
      <x:c r="I1412" s="22" t="n">
        <x:v>116.78399999999999</x:v>
      </x:c>
      <x:c r="J1412" s="24" t="n">
        <x:v>2</x:v>
      </x:c>
      <x:c r="K1412" s="26" t="n">
        <x:v>0.2</x:v>
      </x:c>
      <x:c r="L1412" s="22" t="n">
        <x:v>21.89699999999999</x:v>
      </x:c>
      <x:c r="M1412" t="n">
        <x:v>2014</x:v>
      </x:c>
      <x:c r="N1412" s="20" t="n">
        <x:v>41730</x:v>
      </x:c>
    </x:row>
    <x:row r="1413" ht="18" customHeight="1">
      <x:c r="A1413" t="str">
        <x:v>CA-2016-130407</x:v>
      </x:c>
      <x:c r="B1413" s="18" t="n">
        <x:v>42615</x:v>
      </x:c>
      <x:c r="C1413" t="str">
        <x:v>KD-16270</x:v>
      </x:c>
      <x:c r="D1413" t="str">
        <x:v>Karen Daniels</x:v>
      </x:c>
      <x:c r="E1413" t="str">
        <x:v>Consumer</x:v>
      </x:c>
      <x:c r="F1413" t="str">
        <x:v>East</x:v>
      </x:c>
      <x:c r="G1413" t="str">
        <x:v>Office Supplies</x:v>
      </x:c>
      <x:c r="H1413" t="str">
        <x:v>Art</x:v>
      </x:c>
      <x:c r="I1413" s="22" t="n">
        <x:v>75.48</x:v>
      </x:c>
      <x:c r="J1413" s="24" t="n">
        <x:v>2</x:v>
      </x:c>
      <x:c r="K1413" s="26" t="n">
        <x:v>0</x:v>
      </x:c>
      <x:c r="L1413" s="22" t="n">
        <x:v>19.6248</x:v>
      </x:c>
      <x:c r="M1413" t="n">
        <x:v>2016</x:v>
      </x:c>
      <x:c r="N1413" s="20" t="n">
        <x:v>42614</x:v>
      </x:c>
    </x:row>
    <x:row r="1414" ht="18" customHeight="1">
      <x:c r="A1414" t="str">
        <x:v>CA-2016-130407</x:v>
      </x:c>
      <x:c r="B1414" s="18" t="n">
        <x:v>42615</x:v>
      </x:c>
      <x:c r="C1414" t="str">
        <x:v>KD-16270</x:v>
      </x:c>
      <x:c r="D1414" t="str">
        <x:v>Karen Daniels</x:v>
      </x:c>
      <x:c r="E1414" t="str">
        <x:v>Consumer</x:v>
      </x:c>
      <x:c r="F1414" t="str">
        <x:v>East</x:v>
      </x:c>
      <x:c r="G1414" t="str">
        <x:v>Furniture</x:v>
      </x:c>
      <x:c r="H1414" t="str">
        <x:v>Furnishings</x:v>
      </x:c>
      <x:c r="I1414" s="22" t="n">
        <x:v>39.98</x:v>
      </x:c>
      <x:c r="J1414" s="24" t="n">
        <x:v>2</x:v>
      </x:c>
      <x:c r="K1414" s="26" t="n">
        <x:v>0</x:v>
      </x:c>
      <x:c r="L1414" s="22" t="n">
        <x:v>9.994999999999997</x:v>
      </x:c>
      <x:c r="M1414" t="n">
        <x:v>2016</x:v>
      </x:c>
      <x:c r="N1414" s="20" t="n">
        <x:v>42614</x:v>
      </x:c>
    </x:row>
    <x:row r="1415" ht="18" customHeight="1">
      <x:c r="A1415" t="str">
        <x:v>US-2016-122245</x:v>
      </x:c>
      <x:c r="B1415" s="18" t="n">
        <x:v>42638</x:v>
      </x:c>
      <x:c r="C1415" t="str">
        <x:v>AB-10105</x:v>
      </x:c>
      <x:c r="D1415" t="str">
        <x:v>Adrian Barton</x:v>
      </x:c>
      <x:c r="E1415" t="str">
        <x:v>Consumer</x:v>
      </x:c>
      <x:c r="F1415" t="str">
        <x:v>West</x:v>
      </x:c>
      <x:c r="G1415" t="str">
        <x:v>Furniture</x:v>
      </x:c>
      <x:c r="H1415" t="str">
        <x:v>Tables</x:v>
      </x:c>
      <x:c r="I1415" s="22" t="n">
        <x:v>393.165</x:v>
      </x:c>
      <x:c r="J1415" s="24" t="n">
        <x:v>3</x:v>
      </x:c>
      <x:c r="K1415" s="26" t="n">
        <x:v>0.5</x:v>
      </x:c>
      <x:c r="L1415" s="22" t="n">
        <x:v>-204.44580000000005</x:v>
      </x:c>
      <x:c r="M1415" t="n">
        <x:v>2016</x:v>
      </x:c>
      <x:c r="N1415" s="20" t="n">
        <x:v>42614</x:v>
      </x:c>
    </x:row>
    <x:row r="1416" ht="18" customHeight="1">
      <x:c r="A1416" t="str">
        <x:v>CA-2017-105144</x:v>
      </x:c>
      <x:c r="B1416" s="18" t="n">
        <x:v>43043</x:v>
      </x:c>
      <x:c r="C1416" t="str">
        <x:v>SZ-20035</x:v>
      </x:c>
      <x:c r="D1416" t="str">
        <x:v>Sam Zeldin</x:v>
      </x:c>
      <x:c r="E1416" t="str">
        <x:v>Home Office</x:v>
      </x:c>
      <x:c r="F1416" t="str">
        <x:v>Central</x:v>
      </x:c>
      <x:c r="G1416" t="str">
        <x:v>Office Supplies</x:v>
      </x:c>
      <x:c r="H1416" t="str">
        <x:v>Labels</x:v>
      </x:c>
      <x:c r="I1416" s="22" t="n">
        <x:v>23.680000000000003</x:v>
      </x:c>
      <x:c r="J1416" s="24" t="n">
        <x:v>2</x:v>
      </x:c>
      <x:c r="K1416" s="26" t="n">
        <x:v>0.2</x:v>
      </x:c>
      <x:c r="L1416" s="22" t="n">
        <x:v>8.879999999999999</x:v>
      </x:c>
      <x:c r="M1416" t="n">
        <x:v>2017</x:v>
      </x:c>
      <x:c r="N1416" s="20" t="n">
        <x:v>43040</x:v>
      </x:c>
    </x:row>
    <x:row r="1417" ht="18" customHeight="1">
      <x:c r="A1417" t="str">
        <x:v>CA-2016-136329</x:v>
      </x:c>
      <x:c r="B1417" s="18" t="n">
        <x:v>42560</x:v>
      </x:c>
      <x:c r="C1417" t="str">
        <x:v>JD-15895</x:v>
      </x:c>
      <x:c r="D1417" t="str">
        <x:v>Jonathan Doherty</x:v>
      </x:c>
      <x:c r="E1417" t="str">
        <x:v>Corporate</x:v>
      </x:c>
      <x:c r="F1417" t="str">
        <x:v>East</x:v>
      </x:c>
      <x:c r="G1417" t="str">
        <x:v>Furniture</x:v>
      </x:c>
      <x:c r="H1417" t="str">
        <x:v>Chairs</x:v>
      </x:c>
      <x:c r="I1417" s="22" t="n">
        <x:v>408.006</x:v>
      </x:c>
      <x:c r="J1417" s="24" t="n">
        <x:v>2</x:v>
      </x:c>
      <x:c r="K1417" s="26" t="n">
        <x:v>0.1</x:v>
      </x:c>
      <x:c r="L1417" s="22" t="n">
        <x:v>72.5344</x:v>
      </x:c>
      <x:c r="M1417" t="n">
        <x:v>2016</x:v>
      </x:c>
      <x:c r="N1417" s="20" t="n">
        <x:v>42552</x:v>
      </x:c>
    </x:row>
    <x:row r="1418" ht="18" customHeight="1">
      <x:c r="A1418" t="str">
        <x:v>CA-2016-136329</x:v>
      </x:c>
      <x:c r="B1418" s="18" t="n">
        <x:v>42560</x:v>
      </x:c>
      <x:c r="C1418" t="str">
        <x:v>JD-15895</x:v>
      </x:c>
      <x:c r="D1418" t="str">
        <x:v>Jonathan Doherty</x:v>
      </x:c>
      <x:c r="E1418" t="str">
        <x:v>Corporate</x:v>
      </x:c>
      <x:c r="F1418" t="str">
        <x:v>East</x:v>
      </x:c>
      <x:c r="G1418" t="str">
        <x:v>Furniture</x:v>
      </x:c>
      <x:c r="H1418" t="str">
        <x:v>Furnishings</x:v>
      </x:c>
      <x:c r="I1418" s="22" t="n">
        <x:v>165.28</x:v>
      </x:c>
      <x:c r="J1418" s="24" t="n">
        <x:v>4</x:v>
      </x:c>
      <x:c r="K1418" s="26" t="n">
        <x:v>0</x:v>
      </x:c>
      <x:c r="L1418" s="22" t="n">
        <x:v>14.875200000000007</x:v>
      </x:c>
      <x:c r="M1418" t="n">
        <x:v>2016</x:v>
      </x:c>
      <x:c r="N1418" s="20" t="n">
        <x:v>42552</x:v>
      </x:c>
    </x:row>
    <x:row r="1419" ht="18" customHeight="1">
      <x:c r="A1419" t="str">
        <x:v>CA-2014-146640</x:v>
      </x:c>
      <x:c r="B1419" s="18" t="n">
        <x:v>41820</x:v>
      </x:c>
      <x:c r="C1419" t="str">
        <x:v>HA-14905</x:v>
      </x:c>
      <x:c r="D1419" t="str">
        <x:v>Helen Abelman</x:v>
      </x:c>
      <x:c r="E1419" t="str">
        <x:v>Consumer</x:v>
      </x:c>
      <x:c r="F1419" t="str">
        <x:v>East</x:v>
      </x:c>
      <x:c r="G1419" t="str">
        <x:v>Office Supplies</x:v>
      </x:c>
      <x:c r="H1419" t="str">
        <x:v>Binders</x:v>
      </x:c>
      <x:c r="I1419" s="22" t="n">
        <x:v>334.76800000000003</x:v>
      </x:c>
      <x:c r="J1419" s="24" t="n">
        <x:v>7</x:v>
      </x:c>
      <x:c r="K1419" s="26" t="n">
        <x:v>0.2</x:v>
      </x:c>
      <x:c r="L1419" s="22" t="n">
        <x:v>108.79959999999997</x:v>
      </x:c>
      <x:c r="M1419" t="n">
        <x:v>2014</x:v>
      </x:c>
      <x:c r="N1419" s="20" t="n">
        <x:v>41791</x:v>
      </x:c>
    </x:row>
    <x:row r="1420" ht="18" customHeight="1">
      <x:c r="A1420" t="str">
        <x:v>CA-2017-115994</x:v>
      </x:c>
      <x:c r="B1420" s="18" t="n">
        <x:v>42763</x:v>
      </x:c>
      <x:c r="C1420" t="str">
        <x:v>BT-11305</x:v>
      </x:c>
      <x:c r="D1420" t="str">
        <x:v>Beth Thompson</x:v>
      </x:c>
      <x:c r="E1420" t="str">
        <x:v>Home Office</x:v>
      </x:c>
      <x:c r="F1420" t="str">
        <x:v>West</x:v>
      </x:c>
      <x:c r="G1420" t="str">
        <x:v>Technology</x:v>
      </x:c>
      <x:c r="H1420" t="str">
        <x:v>Accessories</x:v>
      </x:c>
      <x:c r="I1420" s="22" t="n">
        <x:v>239.96999999999997</x:v>
      </x:c>
      <x:c r="J1420" s="24" t="n">
        <x:v>3</x:v>
      </x:c>
      <x:c r="K1420" s="26" t="n">
        <x:v>0</x:v>
      </x:c>
      <x:c r="L1420" s="22" t="n">
        <x:v>26.39670000000001</x:v>
      </x:c>
      <x:c r="M1420" t="n">
        <x:v>2017</x:v>
      </x:c>
      <x:c r="N1420" s="20" t="n">
        <x:v>42736</x:v>
      </x:c>
    </x:row>
    <x:row r="1421" ht="18" customHeight="1">
      <x:c r="A1421" t="str">
        <x:v>CA-2017-115994</x:v>
      </x:c>
      <x:c r="B1421" s="18" t="n">
        <x:v>42763</x:v>
      </x:c>
      <x:c r="C1421" t="str">
        <x:v>BT-11305</x:v>
      </x:c>
      <x:c r="D1421" t="str">
        <x:v>Beth Thompson</x:v>
      </x:c>
      <x:c r="E1421" t="str">
        <x:v>Home Office</x:v>
      </x:c>
      <x:c r="F1421" t="str">
        <x:v>West</x:v>
      </x:c>
      <x:c r="G1421" t="str">
        <x:v>Furniture</x:v>
      </x:c>
      <x:c r="H1421" t="str">
        <x:v>Furnishings</x:v>
      </x:c>
      <x:c r="I1421" s="22" t="n">
        <x:v>37.74</x:v>
      </x:c>
      <x:c r="J1421" s="24" t="n">
        <x:v>3</x:v>
      </x:c>
      <x:c r="K1421" s="26" t="n">
        <x:v>0</x:v>
      </x:c>
      <x:c r="L1421" s="22" t="n">
        <x:v>12.831599999999996</x:v>
      </x:c>
      <x:c r="M1421" t="n">
        <x:v>2017</x:v>
      </x:c>
      <x:c r="N1421" s="20" t="n">
        <x:v>42736</x:v>
      </x:c>
    </x:row>
    <x:row r="1422" ht="18" customHeight="1">
      <x:c r="A1422" t="str">
        <x:v>CA-2015-126697</x:v>
      </x:c>
      <x:c r="B1422" s="18" t="n">
        <x:v>42268</x:v>
      </x:c>
      <x:c r="C1422" t="str">
        <x:v>SV-20815</x:v>
      </x:c>
      <x:c r="D1422" t="str">
        <x:v>Stuart Van</x:v>
      </x:c>
      <x:c r="E1422" t="str">
        <x:v>Corporate</x:v>
      </x:c>
      <x:c r="F1422" t="str">
        <x:v>Central</x:v>
      </x:c>
      <x:c r="G1422" t="str">
        <x:v>Technology</x:v>
      </x:c>
      <x:c r="H1422" t="str">
        <x:v>Phones</x:v>
      </x:c>
      <x:c r="I1422" s="22" t="n">
        <x:v>946.344</x:v>
      </x:c>
      <x:c r="J1422" s="24" t="n">
        <x:v>7</x:v>
      </x:c>
      <x:c r="K1422" s="26" t="n">
        <x:v>0.2</x:v>
      </x:c>
      <x:c r="L1422" s="22" t="n">
        <x:v>118.29299999999989</x:v>
      </x:c>
      <x:c r="M1422" t="n">
        <x:v>2015</x:v>
      </x:c>
      <x:c r="N1422" s="20" t="n">
        <x:v>42248</x:v>
      </x:c>
    </x:row>
    <x:row r="1423" ht="18" customHeight="1">
      <x:c r="A1423" t="str">
        <x:v>CA-2015-126697</x:v>
      </x:c>
      <x:c r="B1423" s="18" t="n">
        <x:v>42268</x:v>
      </x:c>
      <x:c r="C1423" t="str">
        <x:v>SV-20815</x:v>
      </x:c>
      <x:c r="D1423" t="str">
        <x:v>Stuart Van</x:v>
      </x:c>
      <x:c r="E1423" t="str">
        <x:v>Corporate</x:v>
      </x:c>
      <x:c r="F1423" t="str">
        <x:v>Central</x:v>
      </x:c>
      <x:c r="G1423" t="str">
        <x:v>Technology</x:v>
      </x:c>
      <x:c r="H1423" t="str">
        <x:v>Accessories</x:v>
      </x:c>
      <x:c r="I1423" s="22" t="n">
        <x:v>151.20000000000002</x:v>
      </x:c>
      <x:c r="J1423" s="24" t="n">
        <x:v>3</x:v>
      </x:c>
      <x:c r="K1423" s="26" t="n">
        <x:v>0.2</x:v>
      </x:c>
      <x:c r="L1423" s="22" t="n">
        <x:v>32.13</x:v>
      </x:c>
      <x:c r="M1423" t="n">
        <x:v>2015</x:v>
      </x:c>
      <x:c r="N1423" s="20" t="n">
        <x:v>42248</x:v>
      </x:c>
    </x:row>
    <x:row r="1424" ht="18" customHeight="1">
      <x:c r="A1424" t="str">
        <x:v>CA-2015-126697</x:v>
      </x:c>
      <x:c r="B1424" s="18" t="n">
        <x:v>42268</x:v>
      </x:c>
      <x:c r="C1424" t="str">
        <x:v>SV-20815</x:v>
      </x:c>
      <x:c r="D1424" t="str">
        <x:v>Stuart Van</x:v>
      </x:c>
      <x:c r="E1424" t="str">
        <x:v>Corporate</x:v>
      </x:c>
      <x:c r="F1424" t="str">
        <x:v>Central</x:v>
      </x:c>
      <x:c r="G1424" t="str">
        <x:v>Furniture</x:v>
      </x:c>
      <x:c r="H1424" t="str">
        <x:v>Furnishings</x:v>
      </x:c>
      <x:c r="I1424" s="22" t="n">
        <x:v>4.928000000000001</x:v>
      </x:c>
      <x:c r="J1424" s="24" t="n">
        <x:v>4</x:v>
      </x:c>
      <x:c r="K1424" s="26" t="n">
        <x:v>0.6</x:v>
      </x:c>
      <x:c r="L1424" s="22" t="n">
        <x:v>-1.4783999999999997</x:v>
      </x:c>
      <x:c r="M1424" t="n">
        <x:v>2015</x:v>
      </x:c>
      <x:c r="N1424" s="20" t="n">
        <x:v>42248</x:v>
      </x:c>
    </x:row>
    <x:row r="1425" ht="18" customHeight="1">
      <x:c r="A1425" t="str">
        <x:v>CA-2015-124800</x:v>
      </x:c>
      <x:c r="B1425" s="18" t="n">
        <x:v>42273</x:v>
      </x:c>
      <x:c r="C1425" t="str">
        <x:v>RW-19540</x:v>
      </x:c>
      <x:c r="D1425" t="str">
        <x:v>Rick Wilson</x:v>
      </x:c>
      <x:c r="E1425" t="str">
        <x:v>Corporate</x:v>
      </x:c>
      <x:c r="F1425" t="str">
        <x:v>West</x:v>
      </x:c>
      <x:c r="G1425" t="str">
        <x:v>Office Supplies</x:v>
      </x:c>
      <x:c r="H1425" t="str">
        <x:v>Paper</x:v>
      </x:c>
      <x:c r="I1425" s="22" t="n">
        <x:v>86.272</x:v>
      </x:c>
      <x:c r="J1425" s="24" t="n">
        <x:v>4</x:v>
      </x:c>
      <x:c r="K1425" s="26" t="n">
        <x:v>0.2</x:v>
      </x:c>
      <x:c r="L1425" s="22" t="n">
        <x:v>31.2736</x:v>
      </x:c>
      <x:c r="M1425" t="n">
        <x:v>2015</x:v>
      </x:c>
      <x:c r="N1425" s="20" t="n">
        <x:v>42248</x:v>
      </x:c>
    </x:row>
    <x:row r="1426" ht="18" customHeight="1">
      <x:c r="A1426" t="str">
        <x:v>CA-2015-124800</x:v>
      </x:c>
      <x:c r="B1426" s="18" t="n">
        <x:v>42273</x:v>
      </x:c>
      <x:c r="C1426" t="str">
        <x:v>RW-19540</x:v>
      </x:c>
      <x:c r="D1426" t="str">
        <x:v>Rick Wilson</x:v>
      </x:c>
      <x:c r="E1426" t="str">
        <x:v>Corporate</x:v>
      </x:c>
      <x:c r="F1426" t="str">
        <x:v>West</x:v>
      </x:c>
      <x:c r="G1426" t="str">
        <x:v>Office Supplies</x:v>
      </x:c>
      <x:c r="H1426" t="str">
        <x:v>Binders</x:v>
      </x:c>
      <x:c r="I1426" s="22" t="n">
        <x:v>72.58800000000001</x:v>
      </x:c>
      <x:c r="J1426" s="24" t="n">
        <x:v>2</x:v>
      </x:c>
      <x:c r="K1426" s="26" t="n">
        <x:v>0.7</x:v>
      </x:c>
      <x:c r="L1426" s="22" t="n">
        <x:v>-48.39199999999998</x:v>
      </x:c>
      <x:c r="M1426" t="n">
        <x:v>2015</x:v>
      </x:c>
      <x:c r="N1426" s="20" t="n">
        <x:v>42248</x:v>
      </x:c>
    </x:row>
    <x:row r="1427" ht="18" customHeight="1">
      <x:c r="A1427" t="str">
        <x:v>CA-2015-124800</x:v>
      </x:c>
      <x:c r="B1427" s="18" t="n">
        <x:v>42273</x:v>
      </x:c>
      <x:c r="C1427" t="str">
        <x:v>RW-19540</x:v>
      </x:c>
      <x:c r="D1427" t="str">
        <x:v>Rick Wilson</x:v>
      </x:c>
      <x:c r="E1427" t="str">
        <x:v>Corporate</x:v>
      </x:c>
      <x:c r="F1427" t="str">
        <x:v>West</x:v>
      </x:c>
      <x:c r="G1427" t="str">
        <x:v>Office Supplies</x:v>
      </x:c>
      <x:c r="H1427" t="str">
        <x:v>Appliances</x:v>
      </x:c>
      <x:c r="I1427" s="22" t="n">
        <x:v>60.672000000000004</x:v>
      </x:c>
      <x:c r="J1427" s="24" t="n">
        <x:v>2</x:v>
      </x:c>
      <x:c r="K1427" s="26" t="n">
        <x:v>0.2</x:v>
      </x:c>
      <x:c r="L1427" s="22" t="n">
        <x:v>14.409600000000003</x:v>
      </x:c>
      <x:c r="M1427" t="n">
        <x:v>2015</x:v>
      </x:c>
      <x:c r="N1427" s="20" t="n">
        <x:v>42248</x:v>
      </x:c>
    </x:row>
    <x:row r="1428" ht="18" customHeight="1">
      <x:c r="A1428" t="str">
        <x:v>CA-2015-124800</x:v>
      </x:c>
      <x:c r="B1428" s="18" t="n">
        <x:v>42273</x:v>
      </x:c>
      <x:c r="C1428" t="str">
        <x:v>RW-19540</x:v>
      </x:c>
      <x:c r="D1428" t="str">
        <x:v>Rick Wilson</x:v>
      </x:c>
      <x:c r="E1428" t="str">
        <x:v>Corporate</x:v>
      </x:c>
      <x:c r="F1428" t="str">
        <x:v>West</x:v>
      </x:c>
      <x:c r="G1428" t="str">
        <x:v>Office Supplies</x:v>
      </x:c>
      <x:c r="H1428" t="str">
        <x:v>Binders</x:v>
      </x:c>
      <x:c r="I1428" s="22" t="n">
        <x:v>77.031</x:v>
      </x:c>
      <x:c r="J1428" s="24" t="n">
        <x:v>9</x:v>
      </x:c>
      <x:c r="K1428" s="26" t="n">
        <x:v>0.7</x:v>
      </x:c>
      <x:c r="L1428" s="22" t="n">
        <x:v>-59.057100000000005</x:v>
      </x:c>
      <x:c r="M1428" t="n">
        <x:v>2015</x:v>
      </x:c>
      <x:c r="N1428" s="20" t="n">
        <x:v>42248</x:v>
      </x:c>
    </x:row>
    <x:row r="1429" ht="18" customHeight="1">
      <x:c r="A1429" t="str">
        <x:v>CA-2015-124800</x:v>
      </x:c>
      <x:c r="B1429" s="18" t="n">
        <x:v>42273</x:v>
      </x:c>
      <x:c r="C1429" t="str">
        <x:v>RW-19540</x:v>
      </x:c>
      <x:c r="D1429" t="str">
        <x:v>Rick Wilson</x:v>
      </x:c>
      <x:c r="E1429" t="str">
        <x:v>Corporate</x:v>
      </x:c>
      <x:c r="F1429" t="str">
        <x:v>West</x:v>
      </x:c>
      <x:c r="G1429" t="str">
        <x:v>Office Supplies</x:v>
      </x:c>
      <x:c r="H1429" t="str">
        <x:v>Storage</x:v>
      </x:c>
      <x:c r="I1429" s="22" t="n">
        <x:v>119.90400000000001</x:v>
      </x:c>
      <x:c r="J1429" s="24" t="n">
        <x:v>6</x:v>
      </x:c>
      <x:c r="K1429" s="26" t="n">
        <x:v>0.2</x:v>
      </x:c>
      <x:c r="L1429" s="22" t="n">
        <x:v>-1.4988000000000135</x:v>
      </x:c>
      <x:c r="M1429" t="n">
        <x:v>2015</x:v>
      </x:c>
      <x:c r="N1429" s="20" t="n">
        <x:v>42248</x:v>
      </x:c>
    </x:row>
    <x:row r="1430" ht="18" customHeight="1">
      <x:c r="A1430" t="str">
        <x:v>CA-2015-124800</x:v>
      </x:c>
      <x:c r="B1430" s="18" t="n">
        <x:v>42273</x:v>
      </x:c>
      <x:c r="C1430" t="str">
        <x:v>RW-19540</x:v>
      </x:c>
      <x:c r="D1430" t="str">
        <x:v>Rick Wilson</x:v>
      </x:c>
      <x:c r="E1430" t="str">
        <x:v>Corporate</x:v>
      </x:c>
      <x:c r="F1430" t="str">
        <x:v>West</x:v>
      </x:c>
      <x:c r="G1430" t="str">
        <x:v>Technology</x:v>
      </x:c>
      <x:c r="H1430" t="str">
        <x:v>Phones</x:v>
      </x:c>
      <x:c r="I1430" s="22" t="n">
        <x:v>263.96000000000004</x:v>
      </x:c>
      <x:c r="J1430" s="24" t="n">
        <x:v>5</x:v>
      </x:c>
      <x:c r="K1430" s="26" t="n">
        <x:v>0.2</x:v>
      </x:c>
      <x:c r="L1430" s="22" t="n">
        <x:v>23.096500000000006</x:v>
      </x:c>
      <x:c r="M1430" t="n">
        <x:v>2015</x:v>
      </x:c>
      <x:c r="N1430" s="20" t="n">
        <x:v>42248</x:v>
      </x:c>
    </x:row>
    <x:row r="1431" ht="18" customHeight="1">
      <x:c r="A1431" t="str">
        <x:v>CA-2015-124800</x:v>
      </x:c>
      <x:c r="B1431" s="18" t="n">
        <x:v>42273</x:v>
      </x:c>
      <x:c r="C1431" t="str">
        <x:v>RW-19540</x:v>
      </x:c>
      <x:c r="D1431" t="str">
        <x:v>Rick Wilson</x:v>
      </x:c>
      <x:c r="E1431" t="str">
        <x:v>Corporate</x:v>
      </x:c>
      <x:c r="F1431" t="str">
        <x:v>West</x:v>
      </x:c>
      <x:c r="G1431" t="str">
        <x:v>Office Supplies</x:v>
      </x:c>
      <x:c r="H1431" t="str">
        <x:v>Storage</x:v>
      </x:c>
      <x:c r="I1431" s="22" t="n">
        <x:v>363.648</x:v>
      </x:c>
      <x:c r="J1431" s="24" t="n">
        <x:v>4</x:v>
      </x:c>
      <x:c r="K1431" s="26" t="n">
        <x:v>0.2</x:v>
      </x:c>
      <x:c r="L1431" s="22" t="n">
        <x:v>-86.36640000000003</x:v>
      </x:c>
      <x:c r="M1431" t="n">
        <x:v>2015</x:v>
      </x:c>
      <x:c r="N1431" s="20" t="n">
        <x:v>42248</x:v>
      </x:c>
    </x:row>
    <x:row r="1432" ht="18" customHeight="1">
      <x:c r="A1432" t="str">
        <x:v>US-2015-164448</x:v>
      </x:c>
      <x:c r="B1432" s="18" t="n">
        <x:v>42308</x:v>
      </x:c>
      <x:c r="C1432" t="str">
        <x:v>DK-12835</x:v>
      </x:c>
      <x:c r="D1432" t="str">
        <x:v>Damala Kotsonis</x:v>
      </x:c>
      <x:c r="E1432" t="str">
        <x:v>Corporate</x:v>
      </x:c>
      <x:c r="F1432" t="str">
        <x:v>West</x:v>
      </x:c>
      <x:c r="G1432" t="str">
        <x:v>Office Supplies</x:v>
      </x:c>
      <x:c r="H1432" t="str">
        <x:v>Binders</x:v>
      </x:c>
      <x:c r="I1432" s="22" t="n">
        <x:v>9.728000000000002</x:v>
      </x:c>
      <x:c r="J1432" s="24" t="n">
        <x:v>2</x:v>
      </x:c>
      <x:c r="K1432" s="26" t="n">
        <x:v>0.2</x:v>
      </x:c>
      <x:c r="L1432" s="22" t="n">
        <x:v>3.283199999999999</x:v>
      </x:c>
      <x:c r="M1432" t="n">
        <x:v>2015</x:v>
      </x:c>
      <x:c r="N1432" s="20" t="n">
        <x:v>42278</x:v>
      </x:c>
    </x:row>
    <x:row r="1433" ht="18" customHeight="1">
      <x:c r="A1433" t="str">
        <x:v>US-2015-164448</x:v>
      </x:c>
      <x:c r="B1433" s="18" t="n">
        <x:v>42308</x:v>
      </x:c>
      <x:c r="C1433" t="str">
        <x:v>DK-12835</x:v>
      </x:c>
      <x:c r="D1433" t="str">
        <x:v>Damala Kotsonis</x:v>
      </x:c>
      <x:c r="E1433" t="str">
        <x:v>Corporate</x:v>
      </x:c>
      <x:c r="F1433" t="str">
        <x:v>West</x:v>
      </x:c>
      <x:c r="G1433" t="str">
        <x:v>Office Supplies</x:v>
      </x:c>
      <x:c r="H1433" t="str">
        <x:v>Envelopes</x:v>
      </x:c>
      <x:c r="I1433" s="22" t="n">
        <x:v>14.75</x:v>
      </x:c>
      <x:c r="J1433" s="24" t="n">
        <x:v>5</x:v>
      </x:c>
      <x:c r="K1433" s="26" t="n">
        <x:v>0</x:v>
      </x:c>
      <x:c r="L1433" s="22" t="n">
        <x:v>7.08</x:v>
      </x:c>
      <x:c r="M1433" t="n">
        <x:v>2015</x:v>
      </x:c>
      <x:c r="N1433" s="20" t="n">
        <x:v>42278</x:v>
      </x:c>
    </x:row>
    <x:row r="1434" ht="18" customHeight="1">
      <x:c r="A1434" t="str">
        <x:v>US-2015-164448</x:v>
      </x:c>
      <x:c r="B1434" s="18" t="n">
        <x:v>42308</x:v>
      </x:c>
      <x:c r="C1434" t="str">
        <x:v>DK-12835</x:v>
      </x:c>
      <x:c r="D1434" t="str">
        <x:v>Damala Kotsonis</x:v>
      </x:c>
      <x:c r="E1434" t="str">
        <x:v>Corporate</x:v>
      </x:c>
      <x:c r="F1434" t="str">
        <x:v>West</x:v>
      </x:c>
      <x:c r="G1434" t="str">
        <x:v>Office Supplies</x:v>
      </x:c>
      <x:c r="H1434" t="str">
        <x:v>Binders</x:v>
      </x:c>
      <x:c r="I1434" s="22" t="n">
        <x:v>29.800000000000004</x:v>
      </x:c>
      <x:c r="J1434" s="24" t="n">
        <x:v>5</x:v>
      </x:c>
      <x:c r="K1434" s="26" t="n">
        <x:v>0.2</x:v>
      </x:c>
      <x:c r="L1434" s="22" t="n">
        <x:v>9.312499999999998</x:v>
      </x:c>
      <x:c r="M1434" t="n">
        <x:v>2015</x:v>
      </x:c>
      <x:c r="N1434" s="20" t="n">
        <x:v>42278</x:v>
      </x:c>
    </x:row>
    <x:row r="1435" ht="18" customHeight="1">
      <x:c r="A1435" t="str">
        <x:v>US-2015-164448</x:v>
      </x:c>
      <x:c r="B1435" s="18" t="n">
        <x:v>42308</x:v>
      </x:c>
      <x:c r="C1435" t="str">
        <x:v>DK-12835</x:v>
      </x:c>
      <x:c r="D1435" t="str">
        <x:v>Damala Kotsonis</x:v>
      </x:c>
      <x:c r="E1435" t="str">
        <x:v>Corporate</x:v>
      </x:c>
      <x:c r="F1435" t="str">
        <x:v>West</x:v>
      </x:c>
      <x:c r="G1435" t="str">
        <x:v>Office Supplies</x:v>
      </x:c>
      <x:c r="H1435" t="str">
        <x:v>Labels</x:v>
      </x:c>
      <x:c r="I1435" s="22" t="n">
        <x:v>427.42</x:v>
      </x:c>
      <x:c r="J1435" s="24" t="n">
        <x:v>14</x:v>
      </x:c>
      <x:c r="K1435" s="26" t="n">
        <x:v>0</x:v>
      </x:c>
      <x:c r="L1435" s="22" t="n">
        <x:v>196.6132</x:v>
      </x:c>
      <x:c r="M1435" t="n">
        <x:v>2015</x:v>
      </x:c>
      <x:c r="N1435" s="20" t="n">
        <x:v>42278</x:v>
      </x:c>
    </x:row>
    <x:row r="1436" ht="18" customHeight="1">
      <x:c r="A1436" t="str">
        <x:v>CA-2017-122700</x:v>
      </x:c>
      <x:c r="B1436" s="18" t="n">
        <x:v>43065</x:v>
      </x:c>
      <x:c r="C1436" t="str">
        <x:v>LT-17110</x:v>
      </x:c>
      <x:c r="D1436" t="str">
        <x:v>Liz Thompson</x:v>
      </x:c>
      <x:c r="E1436" t="str">
        <x:v>Consumer</x:v>
      </x:c>
      <x:c r="F1436" t="str">
        <x:v>East</x:v>
      </x:c>
      <x:c r="G1436" t="str">
        <x:v>Technology</x:v>
      </x:c>
      <x:c r="H1436" t="str">
        <x:v>Phones</x:v>
      </x:c>
      <x:c r="I1436" s="22" t="n">
        <x:v>220.752</x:v>
      </x:c>
      <x:c r="J1436" s="24" t="n">
        <x:v>8</x:v>
      </x:c>
      <x:c r="K1436" s="26" t="n">
        <x:v>0.4</x:v>
      </x:c>
      <x:c r="L1436" s="22" t="n">
        <x:v>-40.47120000000001</x:v>
      </x:c>
      <x:c r="M1436" t="n">
        <x:v>2017</x:v>
      </x:c>
      <x:c r="N1436" s="20" t="n">
        <x:v>43040</x:v>
      </x:c>
    </x:row>
    <x:row r="1437" ht="18" customHeight="1">
      <x:c r="A1437" t="str">
        <x:v>CA-2014-120768</x:v>
      </x:c>
      <x:c r="B1437" s="18" t="n">
        <x:v>41992</x:v>
      </x:c>
      <x:c r="C1437" t="str">
        <x:v>IM-15070</x:v>
      </x:c>
      <x:c r="D1437" t="str">
        <x:v>Irene Maddox</x:v>
      </x:c>
      <x:c r="E1437" t="str">
        <x:v>Consumer</x:v>
      </x:c>
      <x:c r="F1437" t="str">
        <x:v>South</x:v>
      </x:c>
      <x:c r="G1437" t="str">
        <x:v>Office Supplies</x:v>
      </x:c>
      <x:c r="H1437" t="str">
        <x:v>Binders</x:v>
      </x:c>
      <x:c r="I1437" s="22" t="n">
        <x:v>152.76</x:v>
      </x:c>
      <x:c r="J1437" s="24" t="n">
        <x:v>6</x:v>
      </x:c>
      <x:c r="K1437" s="26" t="n">
        <x:v>0</x:v>
      </x:c>
      <x:c r="L1437" s="22" t="n">
        <x:v>74.8524</x:v>
      </x:c>
      <x:c r="M1437" t="n">
        <x:v>2014</x:v>
      </x:c>
      <x:c r="N1437" s="20" t="n">
        <x:v>41974</x:v>
      </x:c>
    </x:row>
    <x:row r="1438" ht="18" customHeight="1">
      <x:c r="A1438" t="str">
        <x:v>CA-2014-120768</x:v>
      </x:c>
      <x:c r="B1438" s="18" t="n">
        <x:v>41992</x:v>
      </x:c>
      <x:c r="C1438" t="str">
        <x:v>IM-15070</x:v>
      </x:c>
      <x:c r="D1438" t="str">
        <x:v>Irene Maddox</x:v>
      </x:c>
      <x:c r="E1438" t="str">
        <x:v>Consumer</x:v>
      </x:c>
      <x:c r="F1438" t="str">
        <x:v>South</x:v>
      </x:c>
      <x:c r="G1438" t="str">
        <x:v>Office Supplies</x:v>
      </x:c>
      <x:c r="H1438" t="str">
        <x:v>Supplies</x:v>
      </x:c>
      <x:c r="I1438" s="22" t="n">
        <x:v>7.27</x:v>
      </x:c>
      <x:c r="J1438" s="24" t="n">
        <x:v>1</x:v>
      </x:c>
      <x:c r="K1438" s="26" t="n">
        <x:v>0</x:v>
      </x:c>
      <x:c r="L1438" s="22" t="n">
        <x:v>1.9629000000000003</x:v>
      </x:c>
      <x:c r="M1438" t="n">
        <x:v>2014</x:v>
      </x:c>
      <x:c r="N1438" s="20" t="n">
        <x:v>41974</x:v>
      </x:c>
    </x:row>
    <x:row r="1439" ht="18" customHeight="1">
      <x:c r="A1439" t="str">
        <x:v>CA-2014-120768</x:v>
      </x:c>
      <x:c r="B1439" s="18" t="n">
        <x:v>41992</x:v>
      </x:c>
      <x:c r="C1439" t="str">
        <x:v>IM-15070</x:v>
      </x:c>
      <x:c r="D1439" t="str">
        <x:v>Irene Maddox</x:v>
      </x:c>
      <x:c r="E1439" t="str">
        <x:v>Consumer</x:v>
      </x:c>
      <x:c r="F1439" t="str">
        <x:v>South</x:v>
      </x:c>
      <x:c r="G1439" t="str">
        <x:v>Furniture</x:v>
      </x:c>
      <x:c r="H1439" t="str">
        <x:v>Chairs</x:v>
      </x:c>
      <x:c r="I1439" s="22" t="n">
        <x:v>1819.8600000000001</x:v>
      </x:c>
      <x:c r="J1439" s="24" t="n">
        <x:v>14</x:v>
      </x:c>
      <x:c r="K1439" s="26" t="n">
        <x:v>0</x:v>
      </x:c>
      <x:c r="L1439" s="22" t="n">
        <x:v>163.78740000000002</x:v>
      </x:c>
      <x:c r="M1439" t="n">
        <x:v>2014</x:v>
      </x:c>
      <x:c r="N1439" s="20" t="n">
        <x:v>41974</x:v>
      </x:c>
    </x:row>
    <x:row r="1440" ht="18" customHeight="1">
      <x:c r="A1440" t="str">
        <x:v>US-2016-153129</x:v>
      </x:c>
      <x:c r="B1440" s="18" t="n">
        <x:v>42730</x:v>
      </x:c>
      <x:c r="C1440" t="str">
        <x:v>FP-14320</x:v>
      </x:c>
      <x:c r="D1440" t="str">
        <x:v>Frank Preis</x:v>
      </x:c>
      <x:c r="E1440" t="str">
        <x:v>Consumer</x:v>
      </x:c>
      <x:c r="F1440" t="str">
        <x:v>West</x:v>
      </x:c>
      <x:c r="G1440" t="str">
        <x:v>Office Supplies</x:v>
      </x:c>
      <x:c r="H1440" t="str">
        <x:v>Paper</x:v>
      </x:c>
      <x:c r="I1440" s="22" t="n">
        <x:v>33.9</x:v>
      </x:c>
      <x:c r="J1440" s="24" t="n">
        <x:v>5</x:v>
      </x:c>
      <x:c r="K1440" s="26" t="n">
        <x:v>0</x:v>
      </x:c>
      <x:c r="L1440" s="22" t="n">
        <x:v>15.594</x:v>
      </x:c>
      <x:c r="M1440" t="n">
        <x:v>2016</x:v>
      </x:c>
      <x:c r="N1440" s="20" t="n">
        <x:v>42705</x:v>
      </x:c>
    </x:row>
    <x:row r="1441" ht="18" customHeight="1">
      <x:c r="A1441" t="str">
        <x:v>CA-2017-106852</x:v>
      </x:c>
      <x:c r="B1441" s="18" t="n">
        <x:v>42906</x:v>
      </x:c>
      <x:c r="C1441" t="str">
        <x:v>ST-20530</x:v>
      </x:c>
      <x:c r="D1441" t="str">
        <x:v>Shui Tom</x:v>
      </x:c>
      <x:c r="E1441" t="str">
        <x:v>Consumer</x:v>
      </x:c>
      <x:c r="F1441" t="str">
        <x:v>East</x:v>
      </x:c>
      <x:c r="G1441" t="str">
        <x:v>Office Supplies</x:v>
      </x:c>
      <x:c r="H1441" t="str">
        <x:v>Paper</x:v>
      </x:c>
      <x:c r="I1441" s="22" t="n">
        <x:v>31.104000000000006</x:v>
      </x:c>
      <x:c r="J1441" s="24" t="n">
        <x:v>6</x:v>
      </x:c>
      <x:c r="K1441" s="26" t="n">
        <x:v>0.2</x:v>
      </x:c>
      <x:c r="L1441" s="22" t="n">
        <x:v>10.8864</x:v>
      </x:c>
      <x:c r="M1441" t="n">
        <x:v>2017</x:v>
      </x:c>
      <x:c r="N1441" s="20" t="n">
        <x:v>42887</x:v>
      </x:c>
    </x:row>
    <x:row r="1442" ht="18" customHeight="1">
      <x:c r="A1442" t="str">
        <x:v>CA-2017-106852</x:v>
      </x:c>
      <x:c r="B1442" s="18" t="n">
        <x:v>42906</x:v>
      </x:c>
      <x:c r="C1442" t="str">
        <x:v>ST-20530</x:v>
      </x:c>
      <x:c r="D1442" t="str">
        <x:v>Shui Tom</x:v>
      </x:c>
      <x:c r="E1442" t="str">
        <x:v>Consumer</x:v>
      </x:c>
      <x:c r="F1442" t="str">
        <x:v>East</x:v>
      </x:c>
      <x:c r="G1442" t="str">
        <x:v>Office Supplies</x:v>
      </x:c>
      <x:c r="H1442" t="str">
        <x:v>Art</x:v>
      </x:c>
      <x:c r="I1442" s="22" t="n">
        <x:v>5.248</x:v>
      </x:c>
      <x:c r="J1442" s="24" t="n">
        <x:v>2</x:v>
      </x:c>
      <x:c r="K1442" s="26" t="n">
        <x:v>0.2</x:v>
      </x:c>
      <x:c r="L1442" s="22" t="n">
        <x:v>0.5903999999999991</x:v>
      </x:c>
      <x:c r="M1442" t="n">
        <x:v>2017</x:v>
      </x:c>
      <x:c r="N1442" s="20" t="n">
        <x:v>42887</x:v>
      </x:c>
    </x:row>
    <x:row r="1443" ht="18" customHeight="1">
      <x:c r="A1443" t="str">
        <x:v>CA-2015-139731</x:v>
      </x:c>
      <x:c r="B1443" s="18" t="n">
        <x:v>42292</x:v>
      </x:c>
      <x:c r="C1443" t="str">
        <x:v>JE-15745</x:v>
      </x:c>
      <x:c r="D1443" t="str">
        <x:v>Joel Eaton</x:v>
      </x:c>
      <x:c r="E1443" t="str">
        <x:v>Consumer</x:v>
      </x:c>
      <x:c r="F1443" t="str">
        <x:v>Central</x:v>
      </x:c>
      <x:c r="G1443" t="str">
        <x:v>Technology</x:v>
      </x:c>
      <x:c r="H1443" t="str">
        <x:v>Accessories</x:v>
      </x:c>
      <x:c r="I1443" s="22" t="n">
        <x:v>263.88</x:v>
      </x:c>
      <x:c r="J1443" s="24" t="n">
        <x:v>3</x:v>
      </x:c>
      <x:c r="K1443" s="26" t="n">
        <x:v>0.2</x:v>
      </x:c>
      <x:c r="L1443" s="22" t="n">
        <x:v>42.88050000000001</x:v>
      </x:c>
      <x:c r="M1443" t="n">
        <x:v>2015</x:v>
      </x:c>
      <x:c r="N1443" s="20" t="n">
        <x:v>42278</x:v>
      </x:c>
    </x:row>
    <x:row r="1444" ht="18" customHeight="1">
      <x:c r="A1444" t="str">
        <x:v>CA-2015-139731</x:v>
      </x:c>
      <x:c r="B1444" s="18" t="n">
        <x:v>42292</x:v>
      </x:c>
      <x:c r="C1444" t="str">
        <x:v>JE-15745</x:v>
      </x:c>
      <x:c r="D1444" t="str">
        <x:v>Joel Eaton</x:v>
      </x:c>
      <x:c r="E1444" t="str">
        <x:v>Consumer</x:v>
      </x:c>
      <x:c r="F1444" t="str">
        <x:v>Central</x:v>
      </x:c>
      <x:c r="G1444" t="str">
        <x:v>Furniture</x:v>
      </x:c>
      <x:c r="H1444" t="str">
        <x:v>Chairs</x:v>
      </x:c>
      <x:c r="I1444" s="22" t="n">
        <x:v>2453.43</x:v>
      </x:c>
      <x:c r="J1444" s="24" t="n">
        <x:v>5</x:v>
      </x:c>
      <x:c r="K1444" s="26" t="n">
        <x:v>0.3</x:v>
      </x:c>
      <x:c r="L1444" s="22" t="n">
        <x:v>-350.4899999999999</x:v>
      </x:c>
      <x:c r="M1444" t="n">
        <x:v>2015</x:v>
      </x:c>
      <x:c r="N1444" s="20" t="n">
        <x:v>42278</x:v>
      </x:c>
    </x:row>
    <x:row r="1445" ht="18" customHeight="1">
      <x:c r="A1445" t="str">
        <x:v>CA-2017-122735</x:v>
      </x:c>
      <x:c r="B1445" s="18" t="n">
        <x:v>42837</x:v>
      </x:c>
      <x:c r="C1445" t="str">
        <x:v>BD-11320</x:v>
      </x:c>
      <x:c r="D1445" t="str">
        <x:v>Bill Donatelli</x:v>
      </x:c>
      <x:c r="E1445" t="str">
        <x:v>Consumer</x:v>
      </x:c>
      <x:c r="F1445" t="str">
        <x:v>East</x:v>
      </x:c>
      <x:c r="G1445" t="str">
        <x:v>Office Supplies</x:v>
      </x:c>
      <x:c r="H1445" t="str">
        <x:v>Binders</x:v>
      </x:c>
      <x:c r="I1445" s="22" t="n">
        <x:v>29.700000000000003</x:v>
      </x:c>
      <x:c r="J1445" s="24" t="n">
        <x:v>5</x:v>
      </x:c>
      <x:c r="K1445" s="26" t="n">
        <x:v>0</x:v>
      </x:c>
      <x:c r="L1445" s="22" t="n">
        <x:v>13.365</x:v>
      </x:c>
      <x:c r="M1445" t="n">
        <x:v>2017</x:v>
      </x:c>
      <x:c r="N1445" s="20" t="n">
        <x:v>42826</x:v>
      </x:c>
    </x:row>
    <x:row r="1446" ht="18" customHeight="1">
      <x:c r="A1446" t="str">
        <x:v>CA-2017-122735</x:v>
      </x:c>
      <x:c r="B1446" s="18" t="n">
        <x:v>42837</x:v>
      </x:c>
      <x:c r="C1446" t="str">
        <x:v>BD-11320</x:v>
      </x:c>
      <x:c r="D1446" t="str">
        <x:v>Bill Donatelli</x:v>
      </x:c>
      <x:c r="E1446" t="str">
        <x:v>Consumer</x:v>
      </x:c>
      <x:c r="F1446" t="str">
        <x:v>East</x:v>
      </x:c>
      <x:c r="G1446" t="str">
        <x:v>Office Supplies</x:v>
      </x:c>
      <x:c r="H1446" t="str">
        <x:v>Paper</x:v>
      </x:c>
      <x:c r="I1446" s="22" t="n">
        <x:v>39.96</x:v>
      </x:c>
      <x:c r="J1446" s="24" t="n">
        <x:v>4</x:v>
      </x:c>
      <x:c r="K1446" s="26" t="n">
        <x:v>0</x:v>
      </x:c>
      <x:c r="L1446" s="22" t="n">
        <x:v>17.982</x:v>
      </x:c>
      <x:c r="M1446" t="n">
        <x:v>2017</x:v>
      </x:c>
      <x:c r="N1446" s="20" t="n">
        <x:v>42826</x:v>
      </x:c>
    </x:row>
    <x:row r="1447" ht="18" customHeight="1">
      <x:c r="A1447" t="str">
        <x:v>CA-2017-128160</x:v>
      </x:c>
      <x:c r="B1447" s="18" t="n">
        <x:v>43088</x:v>
      </x:c>
      <x:c r="C1447" t="str">
        <x:v>MM-17920</x:v>
      </x:c>
      <x:c r="D1447" t="str">
        <x:v>Michael Moore</x:v>
      </x:c>
      <x:c r="E1447" t="str">
        <x:v>Consumer</x:v>
      </x:c>
      <x:c r="F1447" t="str">
        <x:v>West</x:v>
      </x:c>
      <x:c r="G1447" t="str">
        <x:v>Office Supplies</x:v>
      </x:c>
      <x:c r="H1447" t="str">
        <x:v>Binders</x:v>
      </x:c>
      <x:c r="I1447" s="22" t="n">
        <x:v>36.672000000000004</x:v>
      </x:c>
      <x:c r="J1447" s="24" t="n">
        <x:v>2</x:v>
      </x:c>
      <x:c r="K1447" s="26" t="n">
        <x:v>0.2</x:v>
      </x:c>
      <x:c r="L1447" s="22" t="n">
        <x:v>11.459999999999999</x:v>
      </x:c>
      <x:c r="M1447" t="n">
        <x:v>2017</x:v>
      </x:c>
      <x:c r="N1447" s="20" t="n">
        <x:v>43070</x:v>
      </x:c>
    </x:row>
    <x:row r="1448" ht="18" customHeight="1">
      <x:c r="A1448" t="str">
        <x:v>CA-2017-117695</x:v>
      </x:c>
      <x:c r="B1448" s="18" t="n">
        <x:v>42952</x:v>
      </x:c>
      <x:c r="C1448" t="str">
        <x:v>PW-19030</x:v>
      </x:c>
      <x:c r="D1448" t="str">
        <x:v>Pauline Webber</x:v>
      </x:c>
      <x:c r="E1448" t="str">
        <x:v>Corporate</x:v>
      </x:c>
      <x:c r="F1448" t="str">
        <x:v>South</x:v>
      </x:c>
      <x:c r="G1448" t="str">
        <x:v>Office Supplies</x:v>
      </x:c>
      <x:c r="H1448" t="str">
        <x:v>Paper</x:v>
      </x:c>
      <x:c r="I1448" s="22" t="n">
        <x:v>13.76</x:v>
      </x:c>
      <x:c r="J1448" s="24" t="n">
        <x:v>2</x:v>
      </x:c>
      <x:c r="K1448" s="26" t="n">
        <x:v>0</x:v>
      </x:c>
      <x:c r="L1448" s="22" t="n">
        <x:v>6.329599999999999</x:v>
      </x:c>
      <x:c r="M1448" t="n">
        <x:v>2017</x:v>
      </x:c>
      <x:c r="N1448" s="20" t="n">
        <x:v>42948</x:v>
      </x:c>
    </x:row>
    <x:row r="1449" ht="18" customHeight="1">
      <x:c r="A1449" t="str">
        <x:v>CA-2015-166135</x:v>
      </x:c>
      <x:c r="B1449" s="18" t="n">
        <x:v>42278</x:v>
      </x:c>
      <x:c r="C1449" t="str">
        <x:v>SC-20440</x:v>
      </x:c>
      <x:c r="D1449" t="str">
        <x:v>Shaun Chance</x:v>
      </x:c>
      <x:c r="E1449" t="str">
        <x:v>Corporate</x:v>
      </x:c>
      <x:c r="F1449" t="str">
        <x:v>West</x:v>
      </x:c>
      <x:c r="G1449" t="str">
        <x:v>Office Supplies</x:v>
      </x:c>
      <x:c r="H1449" t="str">
        <x:v>Storage</x:v>
      </x:c>
      <x:c r="I1449" s="22" t="n">
        <x:v>139.424</x:v>
      </x:c>
      <x:c r="J1449" s="24" t="n">
        <x:v>4</x:v>
      </x:c>
      <x:c r="K1449" s="26" t="n">
        <x:v>0.2</x:v>
      </x:c>
      <x:c r="L1449" s="22" t="n">
        <x:v>17.42799999999999</x:v>
      </x:c>
      <x:c r="M1449" t="n">
        <x:v>2015</x:v>
      </x:c>
      <x:c r="N1449" s="20" t="n">
        <x:v>42278</x:v>
      </x:c>
    </x:row>
    <x:row r="1450" ht="18" customHeight="1">
      <x:c r="A1450" t="str">
        <x:v>CA-2016-133725</x:v>
      </x:c>
      <x:c r="B1450" s="18" t="n">
        <x:v>42513</x:v>
      </x:c>
      <x:c r="C1450" t="str">
        <x:v>KL-16645</x:v>
      </x:c>
      <x:c r="D1450" t="str">
        <x:v>Ken Lonsdale</x:v>
      </x:c>
      <x:c r="E1450" t="str">
        <x:v>Consumer</x:v>
      </x:c>
      <x:c r="F1450" t="str">
        <x:v>Central</x:v>
      </x:c>
      <x:c r="G1450" t="str">
        <x:v>Technology</x:v>
      </x:c>
      <x:c r="H1450" t="str">
        <x:v>Phones</x:v>
      </x:c>
      <x:c r="I1450" s="22" t="n">
        <x:v>1979.928</x:v>
      </x:c>
      <x:c r="J1450" s="24" t="n">
        <x:v>9</x:v>
      </x:c>
      <x:c r="K1450" s="26" t="n">
        <x:v>0.2</x:v>
      </x:c>
      <x:c r="L1450" s="22" t="n">
        <x:v>148.49459999999993</x:v>
      </x:c>
      <x:c r="M1450" t="n">
        <x:v>2016</x:v>
      </x:c>
      <x:c r="N1450" s="20" t="n">
        <x:v>42491</x:v>
      </x:c>
    </x:row>
    <x:row r="1451" ht="18" customHeight="1">
      <x:c r="A1451" t="str">
        <x:v>CA-2017-102337</x:v>
      </x:c>
      <x:c r="B1451" s="18" t="n">
        <x:v>42899</x:v>
      </x:c>
      <x:c r="C1451" t="str">
        <x:v>SD-20485</x:v>
      </x:c>
      <x:c r="D1451" t="str">
        <x:v>Shirley Daniels</x:v>
      </x:c>
      <x:c r="E1451" t="str">
        <x:v>Home Office</x:v>
      </x:c>
      <x:c r="F1451" t="str">
        <x:v>Central</x:v>
      </x:c>
      <x:c r="G1451" t="str">
        <x:v>Office Supplies</x:v>
      </x:c>
      <x:c r="H1451" t="str">
        <x:v>Storage</x:v>
      </x:c>
      <x:c r="I1451" s="22" t="n">
        <x:v>164.736</x:v>
      </x:c>
      <x:c r="J1451" s="24" t="n">
        <x:v>4</x:v>
      </x:c>
      <x:c r="K1451" s="26" t="n">
        <x:v>0.2</x:v>
      </x:c>
      <x:c r="L1451" s="22" t="n">
        <x:v>-39.12479999999999</x:v>
      </x:c>
      <x:c r="M1451" t="n">
        <x:v>2017</x:v>
      </x:c>
      <x:c r="N1451" s="20" t="n">
        <x:v>42887</x:v>
      </x:c>
    </x:row>
    <x:row r="1452" ht="18" customHeight="1">
      <x:c r="A1452" t="str">
        <x:v>CA-2017-102337</x:v>
      </x:c>
      <x:c r="B1452" s="18" t="n">
        <x:v>42899</x:v>
      </x:c>
      <x:c r="C1452" t="str">
        <x:v>SD-20485</x:v>
      </x:c>
      <x:c r="D1452" t="str">
        <x:v>Shirley Daniels</x:v>
      </x:c>
      <x:c r="E1452" t="str">
        <x:v>Home Office</x:v>
      </x:c>
      <x:c r="F1452" t="str">
        <x:v>Central</x:v>
      </x:c>
      <x:c r="G1452" t="str">
        <x:v>Furniture</x:v>
      </x:c>
      <x:c r="H1452" t="str">
        <x:v>Chairs</x:v>
      </x:c>
      <x:c r="I1452" s="22" t="n">
        <x:v>470.30199999999996</x:v>
      </x:c>
      <x:c r="J1452" s="24" t="n">
        <x:v>7</x:v>
      </x:c>
      <x:c r="K1452" s="26" t="n">
        <x:v>0.3</x:v>
      </x:c>
      <x:c r="L1452" s="22" t="n">
        <x:v>-87.34180000000003</x:v>
      </x:c>
      <x:c r="M1452" t="n">
        <x:v>2017</x:v>
      </x:c>
      <x:c r="N1452" s="20" t="n">
        <x:v>42887</x:v>
      </x:c>
    </x:row>
    <x:row r="1453" ht="18" customHeight="1">
      <x:c r="A1453" t="str">
        <x:v>CA-2017-102337</x:v>
      </x:c>
      <x:c r="B1453" s="18" t="n">
        <x:v>42899</x:v>
      </x:c>
      <x:c r="C1453" t="str">
        <x:v>SD-20485</x:v>
      </x:c>
      <x:c r="D1453" t="str">
        <x:v>Shirley Daniels</x:v>
      </x:c>
      <x:c r="E1453" t="str">
        <x:v>Home Office</x:v>
      </x:c>
      <x:c r="F1453" t="str">
        <x:v>Central</x:v>
      </x:c>
      <x:c r="G1453" t="str">
        <x:v>Technology</x:v>
      </x:c>
      <x:c r="H1453" t="str">
        <x:v>Phones</x:v>
      </x:c>
      <x:c r="I1453" s="22" t="n">
        <x:v>47.984</x:v>
      </x:c>
      <x:c r="J1453" s="24" t="n">
        <x:v>2</x:v>
      </x:c>
      <x:c r="K1453" s="26" t="n">
        <x:v>0.2</x:v>
      </x:c>
      <x:c r="L1453" s="22" t="n">
        <x:v>5.997999999999992</x:v>
      </x:c>
      <x:c r="M1453" t="n">
        <x:v>2017</x:v>
      </x:c>
      <x:c r="N1453" s="20" t="n">
        <x:v>42887</x:v>
      </x:c>
    </x:row>
    <x:row r="1454" ht="18" customHeight="1">
      <x:c r="A1454" t="str">
        <x:v>US-2014-112564</x:v>
      </x:c>
      <x:c r="B1454" s="18" t="n">
        <x:v>41752</x:v>
      </x:c>
      <x:c r="C1454" t="str">
        <x:v>TS-21160</x:v>
      </x:c>
      <x:c r="D1454" t="str">
        <x:v>Theresa Swint</x:v>
      </x:c>
      <x:c r="E1454" t="str">
        <x:v>Corporate</x:v>
      </x:c>
      <x:c r="F1454" t="str">
        <x:v>East</x:v>
      </x:c>
      <x:c r="G1454" t="str">
        <x:v>Office Supplies</x:v>
      </x:c>
      <x:c r="H1454" t="str">
        <x:v>Binders</x:v>
      </x:c>
      <x:c r="I1454" s="22" t="n">
        <x:v>2.5020000000000002</x:v>
      </x:c>
      <x:c r="J1454" s="24" t="n">
        <x:v>3</x:v>
      </x:c>
      <x:c r="K1454" s="26" t="n">
        <x:v>0.7</x:v>
      </x:c>
      <x:c r="L1454" s="22" t="n">
        <x:v>-1.7513999999999994</x:v>
      </x:c>
      <x:c r="M1454" t="n">
        <x:v>2014</x:v>
      </x:c>
      <x:c r="N1454" s="20" t="n">
        <x:v>41730</x:v>
      </x:c>
    </x:row>
    <x:row r="1455" ht="18" customHeight="1">
      <x:c r="A1455" t="str">
        <x:v>CA-2015-145821</x:v>
      </x:c>
      <x:c r="B1455" s="18" t="n">
        <x:v>42125</x:v>
      </x:c>
      <x:c r="C1455" t="str">
        <x:v>JB-15400</x:v>
      </x:c>
      <x:c r="D1455" t="str">
        <x:v>Jennifer Braxton</x:v>
      </x:c>
      <x:c r="E1455" t="str">
        <x:v>Corporate</x:v>
      </x:c>
      <x:c r="F1455" t="str">
        <x:v>West</x:v>
      </x:c>
      <x:c r="G1455" t="str">
        <x:v>Technology</x:v>
      </x:c>
      <x:c r="H1455" t="str">
        <x:v>Phones</x:v>
      </x:c>
      <x:c r="I1455" s="22" t="n">
        <x:v>88.752</x:v>
      </x:c>
      <x:c r="J1455" s="24" t="n">
        <x:v>3</x:v>
      </x:c>
      <x:c r="K1455" s="26" t="n">
        <x:v>0.2</x:v>
      </x:c>
      <x:c r="L1455" s="22" t="n">
        <x:v>11.093999999999998</x:v>
      </x:c>
      <x:c r="M1455" t="n">
        <x:v>2015</x:v>
      </x:c>
      <x:c r="N1455" s="20" t="n">
        <x:v>42125</x:v>
      </x:c>
    </x:row>
    <x:row r="1456" ht="18" customHeight="1">
      <x:c r="A1456" t="str">
        <x:v>US-2015-160150</x:v>
      </x:c>
      <x:c r="B1456" s="18" t="n">
        <x:v>42204</x:v>
      </x:c>
      <x:c r="C1456" t="str">
        <x:v>TS-21085</x:v>
      </x:c>
      <x:c r="D1456" t="str">
        <x:v>Thais Sissman</x:v>
      </x:c>
      <x:c r="E1456" t="str">
        <x:v>Consumer</x:v>
      </x:c>
      <x:c r="F1456" t="str">
        <x:v>West</x:v>
      </x:c>
      <x:c r="G1456" t="str">
        <x:v>Office Supplies</x:v>
      </x:c>
      <x:c r="H1456" t="str">
        <x:v>Binders</x:v>
      </x:c>
      <x:c r="I1456" s="22" t="n">
        <x:v>2.0250000000000004</x:v>
      </x:c>
      <x:c r="J1456" s="24" t="n">
        <x:v>1</x:v>
      </x:c>
      <x:c r="K1456" s="26" t="n">
        <x:v>0.7</x:v>
      </x:c>
      <x:c r="L1456" s="22" t="n">
        <x:v>-1.3499999999999996</x:v>
      </x:c>
      <x:c r="M1456" t="n">
        <x:v>2015</x:v>
      </x:c>
      <x:c r="N1456" s="20" t="n">
        <x:v>42186</x:v>
      </x:c>
    </x:row>
    <x:row r="1457" ht="18" customHeight="1">
      <x:c r="A1457" t="str">
        <x:v>CA-2016-133711</x:v>
      </x:c>
      <x:c r="B1457" s="18" t="n">
        <x:v>42700</x:v>
      </x:c>
      <x:c r="C1457" t="str">
        <x:v>MC-17425</x:v>
      </x:c>
      <x:c r="D1457" t="str">
        <x:v>Mark Cousins</x:v>
      </x:c>
      <x:c r="E1457" t="str">
        <x:v>Corporate</x:v>
      </x:c>
      <x:c r="F1457" t="str">
        <x:v>South</x:v>
      </x:c>
      <x:c r="G1457" t="str">
        <x:v>Office Supplies</x:v>
      </x:c>
      <x:c r="H1457" t="str">
        <x:v>Paper</x:v>
      </x:c>
      <x:c r="I1457" s="22" t="n">
        <x:v>70.98</x:v>
      </x:c>
      <x:c r="J1457" s="24" t="n">
        <x:v>7</x:v>
      </x:c>
      <x:c r="K1457" s="26" t="n">
        <x:v>0</x:v>
      </x:c>
      <x:c r="L1457" s="22" t="n">
        <x:v>34.7802</x:v>
      </x:c>
      <x:c r="M1457" t="n">
        <x:v>2016</x:v>
      </x:c>
      <x:c r="N1457" s="20" t="n">
        <x:v>42675</x:v>
      </x:c>
    </x:row>
    <x:row r="1458" ht="18" customHeight="1">
      <x:c r="A1458" t="str">
        <x:v>CA-2016-133711</x:v>
      </x:c>
      <x:c r="B1458" s="18" t="n">
        <x:v>42700</x:v>
      </x:c>
      <x:c r="C1458" t="str">
        <x:v>MC-17425</x:v>
      </x:c>
      <x:c r="D1458" t="str">
        <x:v>Mark Cousins</x:v>
      </x:c>
      <x:c r="E1458" t="str">
        <x:v>Corporate</x:v>
      </x:c>
      <x:c r="F1458" t="str">
        <x:v>South</x:v>
      </x:c>
      <x:c r="G1458" t="str">
        <x:v>Office Supplies</x:v>
      </x:c>
      <x:c r="H1458" t="str">
        <x:v>Binders</x:v>
      </x:c>
      <x:c r="I1458" s="22" t="n">
        <x:v>91.67999999999999</x:v>
      </x:c>
      <x:c r="J1458" s="24" t="n">
        <x:v>3</x:v>
      </x:c>
      <x:c r="K1458" s="26" t="n">
        <x:v>0</x:v>
      </x:c>
      <x:c r="L1458" s="22" t="n">
        <x:v>45.839999999999996</x:v>
      </x:c>
      <x:c r="M1458" t="n">
        <x:v>2016</x:v>
      </x:c>
      <x:c r="N1458" s="20" t="n">
        <x:v>42675</x:v>
      </x:c>
    </x:row>
    <x:row r="1459" ht="18" customHeight="1">
      <x:c r="A1459" t="str">
        <x:v>CA-2016-133711</x:v>
      </x:c>
      <x:c r="B1459" s="18" t="n">
        <x:v>42700</x:v>
      </x:c>
      <x:c r="C1459" t="str">
        <x:v>MC-17425</x:v>
      </x:c>
      <x:c r="D1459" t="str">
        <x:v>Mark Cousins</x:v>
      </x:c>
      <x:c r="E1459" t="str">
        <x:v>Corporate</x:v>
      </x:c>
      <x:c r="F1459" t="str">
        <x:v>South</x:v>
      </x:c>
      <x:c r="G1459" t="str">
        <x:v>Office Supplies</x:v>
      </x:c>
      <x:c r="H1459" t="str">
        <x:v>Binders</x:v>
      </x:c>
      <x:c r="I1459" s="22" t="n">
        <x:v>33.75</x:v>
      </x:c>
      <x:c r="J1459" s="24" t="n">
        <x:v>5</x:v>
      </x:c>
      <x:c r="K1459" s="26" t="n">
        <x:v>0</x:v>
      </x:c>
      <x:c r="L1459" s="22" t="n">
        <x:v>16.875</x:v>
      </x:c>
      <x:c r="M1459" t="n">
        <x:v>2016</x:v>
      </x:c>
      <x:c r="N1459" s="20" t="n">
        <x:v>42675</x:v>
      </x:c>
    </x:row>
    <x:row r="1460" ht="18" customHeight="1">
      <x:c r="A1460" t="str">
        <x:v>CA-2016-133711</x:v>
      </x:c>
      <x:c r="B1460" s="18" t="n">
        <x:v>42700</x:v>
      </x:c>
      <x:c r="C1460" t="str">
        <x:v>MC-17425</x:v>
      </x:c>
      <x:c r="D1460" t="str">
        <x:v>Mark Cousins</x:v>
      </x:c>
      <x:c r="E1460" t="str">
        <x:v>Corporate</x:v>
      </x:c>
      <x:c r="F1460" t="str">
        <x:v>South</x:v>
      </x:c>
      <x:c r="G1460" t="str">
        <x:v>Technology</x:v>
      </x:c>
      <x:c r="H1460" t="str">
        <x:v>Machines</x:v>
      </x:c>
      <x:c r="I1460" s="22" t="n">
        <x:v>3040</x:v>
      </x:c>
      <x:c r="J1460" s="24" t="n">
        <x:v>8</x:v>
      </x:c>
      <x:c r="K1460" s="26" t="n">
        <x:v>0</x:v>
      </x:c>
      <x:c r="L1460" s="22" t="n">
        <x:v>1459.2</x:v>
      </x:c>
      <x:c r="M1460" t="n">
        <x:v>2016</x:v>
      </x:c>
      <x:c r="N1460" s="20" t="n">
        <x:v>42675</x:v>
      </x:c>
    </x:row>
    <x:row r="1461" ht="18" customHeight="1">
      <x:c r="A1461" t="str">
        <x:v>CA-2017-148474</x:v>
      </x:c>
      <x:c r="B1461" s="18" t="n">
        <x:v>42898</x:v>
      </x:c>
      <x:c r="C1461" t="str">
        <x:v>ME-17320</x:v>
      </x:c>
      <x:c r="D1461" t="str">
        <x:v>Maria Etezadi</x:v>
      </x:c>
      <x:c r="E1461" t="str">
        <x:v>Home Office</x:v>
      </x:c>
      <x:c r="F1461" t="str">
        <x:v>South</x:v>
      </x:c>
      <x:c r="G1461" t="str">
        <x:v>Office Supplies</x:v>
      </x:c>
      <x:c r="H1461" t="str">
        <x:v>Binders</x:v>
      </x:c>
      <x:c r="I1461" s="22" t="n">
        <x:v>91.19999999999999</x:v>
      </x:c>
      <x:c r="J1461" s="24" t="n">
        <x:v>3</x:v>
      </x:c>
      <x:c r="K1461" s="26" t="n">
        <x:v>0</x:v>
      </x:c>
      <x:c r="L1461" s="22" t="n">
        <x:v>41.952</x:v>
      </x:c>
      <x:c r="M1461" t="n">
        <x:v>2017</x:v>
      </x:c>
      <x:c r="N1461" s="20" t="n">
        <x:v>42887</x:v>
      </x:c>
    </x:row>
    <x:row r="1462" ht="18" customHeight="1">
      <x:c r="A1462" t="str">
        <x:v>CA-2017-148474</x:v>
      </x:c>
      <x:c r="B1462" s="18" t="n">
        <x:v>42898</x:v>
      </x:c>
      <x:c r="C1462" t="str">
        <x:v>ME-17320</x:v>
      </x:c>
      <x:c r="D1462" t="str">
        <x:v>Maria Etezadi</x:v>
      </x:c>
      <x:c r="E1462" t="str">
        <x:v>Home Office</x:v>
      </x:c>
      <x:c r="F1462" t="str">
        <x:v>South</x:v>
      </x:c>
      <x:c r="G1462" t="str">
        <x:v>Furniture</x:v>
      </x:c>
      <x:c r="H1462" t="str">
        <x:v>Tables</x:v>
      </x:c>
      <x:c r="I1462" s="22" t="n">
        <x:v>452.93999999999994</x:v>
      </x:c>
      <x:c r="J1462" s="24" t="n">
        <x:v>3</x:v>
      </x:c>
      <x:c r="K1462" s="26" t="n">
        <x:v>0</x:v>
      </x:c>
      <x:c r="L1462" s="22" t="n">
        <x:v>67.94099999999997</x:v>
      </x:c>
      <x:c r="M1462" t="n">
        <x:v>2017</x:v>
      </x:c>
      <x:c r="N1462" s="20" t="n">
        <x:v>42887</x:v>
      </x:c>
    </x:row>
    <x:row r="1463" ht="18" customHeight="1">
      <x:c r="A1463" t="str">
        <x:v>CA-2015-111297</x:v>
      </x:c>
      <x:c r="B1463" s="18" t="n">
        <x:v>42233</x:v>
      </x:c>
      <x:c r="C1463" t="str">
        <x:v>SC-20440</x:v>
      </x:c>
      <x:c r="D1463" t="str">
        <x:v>Shaun Chance</x:v>
      </x:c>
      <x:c r="E1463" t="str">
        <x:v>Corporate</x:v>
      </x:c>
      <x:c r="F1463" t="str">
        <x:v>East</x:v>
      </x:c>
      <x:c r="G1463" t="str">
        <x:v>Office Supplies</x:v>
      </x:c>
      <x:c r="H1463" t="str">
        <x:v>Binders</x:v>
      </x:c>
      <x:c r="I1463" s="22" t="n">
        <x:v>52.199999999999996</x:v>
      </x:c>
      <x:c r="J1463" s="24" t="n">
        <x:v>9</x:v>
      </x:c>
      <x:c r="K1463" s="26" t="n">
        <x:v>0</x:v>
      </x:c>
      <x:c r="L1463" s="22" t="n">
        <x:v>23.49</x:v>
      </x:c>
      <x:c r="M1463" t="n">
        <x:v>2015</x:v>
      </x:c>
      <x:c r="N1463" s="20" t="n">
        <x:v>42217</x:v>
      </x:c>
    </x:row>
    <x:row r="1464" ht="18" customHeight="1">
      <x:c r="A1464" t="str">
        <x:v>CA-2016-123722</x:v>
      </x:c>
      <x:c r="B1464" s="18" t="n">
        <x:v>42638</x:v>
      </x:c>
      <x:c r="C1464" t="str">
        <x:v>NH-18610</x:v>
      </x:c>
      <x:c r="D1464" t="str">
        <x:v>Nicole Hansen</x:v>
      </x:c>
      <x:c r="E1464" t="str">
        <x:v>Corporate</x:v>
      </x:c>
      <x:c r="F1464" t="str">
        <x:v>Central</x:v>
      </x:c>
      <x:c r="G1464" t="str">
        <x:v>Office Supplies</x:v>
      </x:c>
      <x:c r="H1464" t="str">
        <x:v>Labels</x:v>
      </x:c>
      <x:c r="I1464" s="22" t="n">
        <x:v>15.936000000000002</x:v>
      </x:c>
      <x:c r="J1464" s="24" t="n">
        <x:v>4</x:v>
      </x:c>
      <x:c r="K1464" s="26" t="n">
        <x:v>0.2</x:v>
      </x:c>
      <x:c r="L1464" s="22" t="n">
        <x:v>5.1792</x:v>
      </x:c>
      <x:c r="M1464" t="n">
        <x:v>2016</x:v>
      </x:c>
      <x:c r="N1464" s="20" t="n">
        <x:v>42614</x:v>
      </x:c>
    </x:row>
    <x:row r="1465" ht="18" customHeight="1">
      <x:c r="A1465" t="str">
        <x:v>CA-2014-155271</x:v>
      </x:c>
      <x:c r="B1465" s="18" t="n">
        <x:v>41763</x:v>
      </x:c>
      <x:c r="C1465" t="str">
        <x:v>AA-10480</x:v>
      </x:c>
      <x:c r="D1465" t="str">
        <x:v>Andrew Allen</x:v>
      </x:c>
      <x:c r="E1465" t="str">
        <x:v>Consumer</x:v>
      </x:c>
      <x:c r="F1465" t="str">
        <x:v>East</x:v>
      </x:c>
      <x:c r="G1465" t="str">
        <x:v>Furniture</x:v>
      </x:c>
      <x:c r="H1465" t="str">
        <x:v>Furnishings</x:v>
      </x:c>
      <x:c r="I1465" s="22" t="n">
        <x:v>27.46</x:v>
      </x:c>
      <x:c r="J1465" s="24" t="n">
        <x:v>2</x:v>
      </x:c>
      <x:c r="K1465" s="26" t="n">
        <x:v>0</x:v>
      </x:c>
      <x:c r="L1465" s="22" t="n">
        <x:v>9.8856</x:v>
      </x:c>
      <x:c r="M1465" t="n">
        <x:v>2014</x:v>
      </x:c>
      <x:c r="N1465" s="20" t="n">
        <x:v>41760</x:v>
      </x:c>
    </x:row>
    <x:row r="1466" ht="18" customHeight="1">
      <x:c r="A1466" t="str">
        <x:v>CA-2015-119907</x:v>
      </x:c>
      <x:c r="B1466" s="18" t="n">
        <x:v>42339</x:v>
      </x:c>
      <x:c r="C1466" t="str">
        <x:v>LC-17140</x:v>
      </x:c>
      <x:c r="D1466" t="str">
        <x:v>Logan Currie</x:v>
      </x:c>
      <x:c r="E1466" t="str">
        <x:v>Consumer</x:v>
      </x:c>
      <x:c r="F1466" t="str">
        <x:v>West</x:v>
      </x:c>
      <x:c r="G1466" t="str">
        <x:v>Office Supplies</x:v>
      </x:c>
      <x:c r="H1466" t="str">
        <x:v>Binders</x:v>
      </x:c>
      <x:c r="I1466" s="22" t="n">
        <x:v>55.42400000000001</x:v>
      </x:c>
      <x:c r="J1466" s="24" t="n">
        <x:v>2</x:v>
      </x:c>
      <x:c r="K1466" s="26" t="n">
        <x:v>0.2</x:v>
      </x:c>
      <x:c r="L1466" s="22" t="n">
        <x:v>19.398399999999995</x:v>
      </x:c>
      <x:c r="M1466" t="n">
        <x:v>2015</x:v>
      </x:c>
      <x:c r="N1466" s="20" t="n">
        <x:v>42339</x:v>
      </x:c>
    </x:row>
    <x:row r="1467" ht="18" customHeight="1">
      <x:c r="A1467" t="str">
        <x:v>US-2016-128902</x:v>
      </x:c>
      <x:c r="B1467" s="18" t="n">
        <x:v>42440</x:v>
      </x:c>
      <x:c r="C1467" t="str">
        <x:v>MB-18085</x:v>
      </x:c>
      <x:c r="D1467" t="str">
        <x:v>Mick Brown</x:v>
      </x:c>
      <x:c r="E1467" t="str">
        <x:v>Consumer</x:v>
      </x:c>
      <x:c r="F1467" t="str">
        <x:v>East</x:v>
      </x:c>
      <x:c r="G1467" t="str">
        <x:v>Furniture</x:v>
      </x:c>
      <x:c r="H1467" t="str">
        <x:v>Tables</x:v>
      </x:c>
      <x:c r="I1467" s="22" t="n">
        <x:v>244.00599999999997</x:v>
      </x:c>
      <x:c r="J1467" s="24" t="n">
        <x:v>2</x:v>
      </x:c>
      <x:c r="K1467" s="26" t="n">
        <x:v>0.3</x:v>
      </x:c>
      <x:c r="L1467" s="22" t="n">
        <x:v>-31.372200000000007</x:v>
      </x:c>
      <x:c r="M1467" t="n">
        <x:v>2016</x:v>
      </x:c>
      <x:c r="N1467" s="20" t="n">
        <x:v>42430</x:v>
      </x:c>
    </x:row>
    <x:row r="1468" ht="18" customHeight="1">
      <x:c r="A1468" t="str">
        <x:v>CA-2016-152289</x:v>
      </x:c>
      <x:c r="B1468" s="18" t="n">
        <x:v>42608</x:v>
      </x:c>
      <x:c r="C1468" t="str">
        <x:v>LC-16930</x:v>
      </x:c>
      <x:c r="D1468" t="str">
        <x:v>Linda Cazamias</x:v>
      </x:c>
      <x:c r="E1468" t="str">
        <x:v>Corporate</x:v>
      </x:c>
      <x:c r="F1468" t="str">
        <x:v>Central</x:v>
      </x:c>
      <x:c r="G1468" t="str">
        <x:v>Technology</x:v>
      </x:c>
      <x:c r="H1468" t="str">
        <x:v>Accessories</x:v>
      </x:c>
      <x:c r="I1468" s="22" t="n">
        <x:v>159.984</x:v>
      </x:c>
      <x:c r="J1468" s="24" t="n">
        <x:v>2</x:v>
      </x:c>
      <x:c r="K1468" s="26" t="n">
        <x:v>0.2</x:v>
      </x:c>
      <x:c r="L1468" s="22" t="n">
        <x:v>43.9956</x:v>
      </x:c>
      <x:c r="M1468" t="n">
        <x:v>2016</x:v>
      </x:c>
      <x:c r="N1468" s="20" t="n">
        <x:v>42583</x:v>
      </x:c>
    </x:row>
    <x:row r="1469" ht="18" customHeight="1">
      <x:c r="A1469" t="str">
        <x:v>CA-2016-152289</x:v>
      </x:c>
      <x:c r="B1469" s="18" t="n">
        <x:v>42608</x:v>
      </x:c>
      <x:c r="C1469" t="str">
        <x:v>LC-16930</x:v>
      </x:c>
      <x:c r="D1469" t="str">
        <x:v>Linda Cazamias</x:v>
      </x:c>
      <x:c r="E1469" t="str">
        <x:v>Corporate</x:v>
      </x:c>
      <x:c r="F1469" t="str">
        <x:v>Central</x:v>
      </x:c>
      <x:c r="G1469" t="str">
        <x:v>Furniture</x:v>
      </x:c>
      <x:c r="H1469" t="str">
        <x:v>Chairs</x:v>
      </x:c>
      <x:c r="I1469" s="22" t="n">
        <x:v>1024.716</x:v>
      </x:c>
      <x:c r="J1469" s="24" t="n">
        <x:v>6</x:v>
      </x:c>
      <x:c r="K1469" s="26" t="n">
        <x:v>0.3</x:v>
      </x:c>
      <x:c r="L1469" s="22" t="n">
        <x:v>-29.277599999999893</x:v>
      </x:c>
      <x:c r="M1469" t="n">
        <x:v>2016</x:v>
      </x:c>
      <x:c r="N1469" s="20" t="n">
        <x:v>42583</x:v>
      </x:c>
    </x:row>
    <x:row r="1470" ht="18" customHeight="1">
      <x:c r="A1470" t="str">
        <x:v>US-2016-104794</x:v>
      </x:c>
      <x:c r="B1470" s="18" t="n">
        <x:v>42720</x:v>
      </x:c>
      <x:c r="C1470" t="str">
        <x:v>KD-16495</x:v>
      </x:c>
      <x:c r="D1470" t="str">
        <x:v>Keith Dawkins</x:v>
      </x:c>
      <x:c r="E1470" t="str">
        <x:v>Corporate</x:v>
      </x:c>
      <x:c r="F1470" t="str">
        <x:v>East</x:v>
      </x:c>
      <x:c r="G1470" t="str">
        <x:v>Office Supplies</x:v>
      </x:c>
      <x:c r="H1470" t="str">
        <x:v>Fasteners</x:v>
      </x:c>
      <x:c r="I1470" s="22" t="n">
        <x:v>3.68</x:v>
      </x:c>
      <x:c r="J1470" s="24" t="n">
        <x:v>2</x:v>
      </x:c>
      <x:c r="K1470" s="26" t="n">
        <x:v>0</x:v>
      </x:c>
      <x:c r="L1470" s="22" t="n">
        <x:v>1.8032000000000001</x:v>
      </x:c>
      <x:c r="M1470" t="n">
        <x:v>2016</x:v>
      </x:c>
      <x:c r="N1470" s="20" t="n">
        <x:v>42705</x:v>
      </x:c>
    </x:row>
    <x:row r="1471" ht="18" customHeight="1">
      <x:c r="A1471" t="str">
        <x:v>CA-2014-151708</x:v>
      </x:c>
      <x:c r="B1471" s="18" t="n">
        <x:v>41859</x:v>
      </x:c>
      <x:c r="C1471" t="str">
        <x:v>MB-17305</x:v>
      </x:c>
      <x:c r="D1471" t="str">
        <x:v>Maria Bertelson</x:v>
      </x:c>
      <x:c r="E1471" t="str">
        <x:v>Consumer</x:v>
      </x:c>
      <x:c r="F1471" t="str">
        <x:v>West</x:v>
      </x:c>
      <x:c r="G1471" t="str">
        <x:v>Furniture</x:v>
      </x:c>
      <x:c r="H1471" t="str">
        <x:v>Furnishings</x:v>
      </x:c>
      <x:c r="I1471" s="22" t="n">
        <x:v>121.376</x:v>
      </x:c>
      <x:c r="J1471" s="24" t="n">
        <x:v>4</x:v>
      </x:c>
      <x:c r="K1471" s="26" t="n">
        <x:v>0.2</x:v>
      </x:c>
      <x:c r="L1471" s="22" t="n">
        <x:v>-3.034400000000012</x:v>
      </x:c>
      <x:c r="M1471" t="n">
        <x:v>2014</x:v>
      </x:c>
      <x:c r="N1471" s="20" t="n">
        <x:v>41852</x:v>
      </x:c>
    </x:row>
    <x:row r="1472" ht="18" customHeight="1">
      <x:c r="A1472" t="str">
        <x:v>CA-2014-151708</x:v>
      </x:c>
      <x:c r="B1472" s="18" t="n">
        <x:v>41859</x:v>
      </x:c>
      <x:c r="C1472" t="str">
        <x:v>MB-17305</x:v>
      </x:c>
      <x:c r="D1472" t="str">
        <x:v>Maria Bertelson</x:v>
      </x:c>
      <x:c r="E1472" t="str">
        <x:v>Consumer</x:v>
      </x:c>
      <x:c r="F1472" t="str">
        <x:v>West</x:v>
      </x:c>
      <x:c r="G1472" t="str">
        <x:v>Technology</x:v>
      </x:c>
      <x:c r="H1472" t="str">
        <x:v>Accessories</x:v>
      </x:c>
      <x:c r="I1472" s="22" t="n">
        <x:v>95.97600000000001</x:v>
      </x:c>
      <x:c r="J1472" s="24" t="n">
        <x:v>3</x:v>
      </x:c>
      <x:c r="K1472" s="26" t="n">
        <x:v>0.2</x:v>
      </x:c>
      <x:c r="L1472" s="22" t="n">
        <x:v>-10.79730000000001</x:v>
      </x:c>
      <x:c r="M1472" t="n">
        <x:v>2014</x:v>
      </x:c>
      <x:c r="N1472" s="20" t="n">
        <x:v>41852</x:v>
      </x:c>
    </x:row>
    <x:row r="1473" ht="18" customHeight="1">
      <x:c r="A1473" t="str">
        <x:v>CA-2015-100769</x:v>
      </x:c>
      <x:c r="B1473" s="18" t="n">
        <x:v>42140</x:v>
      </x:c>
      <x:c r="C1473" t="str">
        <x:v>TH-21550</x:v>
      </x:c>
      <x:c r="D1473" t="str">
        <x:v>Tracy Hopkins</x:v>
      </x:c>
      <x:c r="E1473" t="str">
        <x:v>Home Office</x:v>
      </x:c>
      <x:c r="F1473" t="str">
        <x:v>South</x:v>
      </x:c>
      <x:c r="G1473" t="str">
        <x:v>Technology</x:v>
      </x:c>
      <x:c r="H1473" t="str">
        <x:v>Accessories</x:v>
      </x:c>
      <x:c r="I1473" s="22" t="n">
        <x:v>255.968</x:v>
      </x:c>
      <x:c r="J1473" s="24" t="n">
        <x:v>4</x:v>
      </x:c>
      <x:c r="K1473" s="26" t="n">
        <x:v>0.2</x:v>
      </x:c>
      <x:c r="L1473" s="22" t="n">
        <x:v>31.995999999999974</x:v>
      </x:c>
      <x:c r="M1473" t="n">
        <x:v>2015</x:v>
      </x:c>
      <x:c r="N1473" s="20" t="n">
        <x:v>42125</x:v>
      </x:c>
    </x:row>
    <x:row r="1474" ht="18" customHeight="1">
      <x:c r="A1474" t="str">
        <x:v>CA-2017-139199</x:v>
      </x:c>
      <x:c r="B1474" s="18" t="n">
        <x:v>43078</x:v>
      </x:c>
      <x:c r="C1474" t="str">
        <x:v>DK-12835</x:v>
      </x:c>
      <x:c r="D1474" t="str">
        <x:v>Damala Kotsonis</x:v>
      </x:c>
      <x:c r="E1474" t="str">
        <x:v>Corporate</x:v>
      </x:c>
      <x:c r="F1474" t="str">
        <x:v>Central</x:v>
      </x:c>
      <x:c r="G1474" t="str">
        <x:v>Furniture</x:v>
      </x:c>
      <x:c r="H1474" t="str">
        <x:v>Chairs</x:v>
      </x:c>
      <x:c r="I1474" s="22" t="n">
        <x:v>872.94</x:v>
      </x:c>
      <x:c r="J1474" s="24" t="n">
        <x:v>3</x:v>
      </x:c>
      <x:c r="K1474" s="26" t="n">
        <x:v>0</x:v>
      </x:c>
      <x:c r="L1474" s="22" t="n">
        <x:v>226.96439999999998</x:v>
      </x:c>
      <x:c r="M1474" t="n">
        <x:v>2017</x:v>
      </x:c>
      <x:c r="N1474" s="20" t="n">
        <x:v>43070</x:v>
      </x:c>
    </x:row>
    <x:row r="1475" ht="18" customHeight="1">
      <x:c r="A1475" t="str">
        <x:v>CA-2017-139199</x:v>
      </x:c>
      <x:c r="B1475" s="18" t="n">
        <x:v>43078</x:v>
      </x:c>
      <x:c r="C1475" t="str">
        <x:v>DK-12835</x:v>
      </x:c>
      <x:c r="D1475" t="str">
        <x:v>Damala Kotsonis</x:v>
      </x:c>
      <x:c r="E1475" t="str">
        <x:v>Corporate</x:v>
      </x:c>
      <x:c r="F1475" t="str">
        <x:v>Central</x:v>
      </x:c>
      <x:c r="G1475" t="str">
        <x:v>Office Supplies</x:v>
      </x:c>
      <x:c r="H1475" t="str">
        <x:v>Binders</x:v>
      </x:c>
      <x:c r="I1475" s="22" t="n">
        <x:v>41.54</x:v>
      </x:c>
      <x:c r="J1475" s="24" t="n">
        <x:v>2</x:v>
      </x:c>
      <x:c r="K1475" s="26" t="n">
        <x:v>0</x:v>
      </x:c>
      <x:c r="L1475" s="22" t="n">
        <x:v>19.523799999999998</x:v>
      </x:c>
      <x:c r="M1475" t="n">
        <x:v>2017</x:v>
      </x:c>
      <x:c r="N1475" s="20" t="n">
        <x:v>43070</x:v>
      </x:c>
    </x:row>
    <x:row r="1476" ht="18" customHeight="1">
      <x:c r="A1476" t="str">
        <x:v>CA-2017-139199</x:v>
      </x:c>
      <x:c r="B1476" s="18" t="n">
        <x:v>43078</x:v>
      </x:c>
      <x:c r="C1476" t="str">
        <x:v>DK-12835</x:v>
      </x:c>
      <x:c r="D1476" t="str">
        <x:v>Damala Kotsonis</x:v>
      </x:c>
      <x:c r="E1476" t="str">
        <x:v>Corporate</x:v>
      </x:c>
      <x:c r="F1476" t="str">
        <x:v>Central</x:v>
      </x:c>
      <x:c r="G1476" t="str">
        <x:v>Office Supplies</x:v>
      </x:c>
      <x:c r="H1476" t="str">
        <x:v>Paper</x:v>
      </x:c>
      <x:c r="I1476" s="22" t="n">
        <x:v>12.96</x:v>
      </x:c>
      <x:c r="J1476" s="24" t="n">
        <x:v>2</x:v>
      </x:c>
      <x:c r="K1476" s="26" t="n">
        <x:v>0</x:v>
      </x:c>
      <x:c r="L1476" s="22" t="n">
        <x:v>6.2208000000000006</x:v>
      </x:c>
      <x:c r="M1476" t="n">
        <x:v>2017</x:v>
      </x:c>
      <x:c r="N1476" s="20" t="n">
        <x:v>43070</x:v>
      </x:c>
    </x:row>
    <x:row r="1477" ht="18" customHeight="1">
      <x:c r="A1477" t="str">
        <x:v>US-2015-161466</x:v>
      </x:c>
      <x:c r="B1477" s="18" t="n">
        <x:v>42271</x:v>
      </x:c>
      <x:c r="C1477" t="str">
        <x:v>ON-18715</x:v>
      </x:c>
      <x:c r="D1477" t="str">
        <x:v>Odella Nelson</x:v>
      </x:c>
      <x:c r="E1477" t="str">
        <x:v>Corporate</x:v>
      </x:c>
      <x:c r="F1477" t="str">
        <x:v>East</x:v>
      </x:c>
      <x:c r="G1477" t="str">
        <x:v>Office Supplies</x:v>
      </x:c>
      <x:c r="H1477" t="str">
        <x:v>Art</x:v>
      </x:c>
      <x:c r="I1477" s="22" t="n">
        <x:v>6.848000000000001</x:v>
      </x:c>
      <x:c r="J1477" s="24" t="n">
        <x:v>2</x:v>
      </x:c>
      <x:c r="K1477" s="26" t="n">
        <x:v>0.2</x:v>
      </x:c>
      <x:c r="L1477" s="22" t="n">
        <x:v>0.5992000000000002</x:v>
      </x:c>
      <x:c r="M1477" t="n">
        <x:v>2015</x:v>
      </x:c>
      <x:c r="N1477" s="20" t="n">
        <x:v>42248</x:v>
      </x:c>
    </x:row>
    <x:row r="1478" ht="18" customHeight="1">
      <x:c r="A1478" t="str">
        <x:v>CA-2017-164959</x:v>
      </x:c>
      <x:c r="B1478" s="18" t="n">
        <x:v>42927</x:v>
      </x:c>
      <x:c r="C1478" t="str">
        <x:v>KN-16390</x:v>
      </x:c>
      <x:c r="D1478" t="str">
        <x:v>Katherine Nockton</x:v>
      </x:c>
      <x:c r="E1478" t="str">
        <x:v>Corporate</x:v>
      </x:c>
      <x:c r="F1478" t="str">
        <x:v>West</x:v>
      </x:c>
      <x:c r="G1478" t="str">
        <x:v>Office Supplies</x:v>
      </x:c>
      <x:c r="H1478" t="str">
        <x:v>Labels</x:v>
      </x:c>
      <x:c r="I1478" s="22" t="n">
        <x:v>8.67</x:v>
      </x:c>
      <x:c r="J1478" s="24" t="n">
        <x:v>3</x:v>
      </x:c>
      <x:c r="K1478" s="26" t="n">
        <x:v>0</x:v>
      </x:c>
      <x:c r="L1478" s="22" t="n">
        <x:v>4.0749</x:v>
      </x:c>
      <x:c r="M1478" t="n">
        <x:v>2017</x:v>
      </x:c>
      <x:c r="N1478" s="20" t="n">
        <x:v>42917</x:v>
      </x:c>
    </x:row>
    <x:row r="1479" ht="18" customHeight="1">
      <x:c r="A1479" t="str">
        <x:v>US-2015-105676</x:v>
      </x:c>
      <x:c r="B1479" s="18" t="n">
        <x:v>42339</x:v>
      </x:c>
      <x:c r="C1479" t="str">
        <x:v>NM-18520</x:v>
      </x:c>
      <x:c r="D1479" t="str">
        <x:v>Neoma Murray</x:v>
      </x:c>
      <x:c r="E1479" t="str">
        <x:v>Consumer</x:v>
      </x:c>
      <x:c r="F1479" t="str">
        <x:v>Central</x:v>
      </x:c>
      <x:c r="G1479" t="str">
        <x:v>Furniture</x:v>
      </x:c>
      <x:c r="H1479" t="str">
        <x:v>Furnishings</x:v>
      </x:c>
      <x:c r="I1479" s="22" t="n">
        <x:v>6.688</x:v>
      </x:c>
      <x:c r="J1479" s="24" t="n">
        <x:v>4</x:v>
      </x:c>
      <x:c r="K1479" s="26" t="n">
        <x:v>0.6</x:v>
      </x:c>
      <x:c r="L1479" s="22" t="n">
        <x:v>-4.012799999999999</x:v>
      </x:c>
      <x:c r="M1479" t="n">
        <x:v>2015</x:v>
      </x:c>
      <x:c r="N1479" s="20" t="n">
        <x:v>42339</x:v>
      </x:c>
    </x:row>
    <x:row r="1480" ht="18" customHeight="1">
      <x:c r="A1480" t="str">
        <x:v>CA-2016-113138</x:v>
      </x:c>
      <x:c r="B1480" s="18" t="n">
        <x:v>42693</x:v>
      </x:c>
      <x:c r="C1480" t="str">
        <x:v>NP-18685</x:v>
      </x:c>
      <x:c r="D1480" t="str">
        <x:v>Nora Pelletier</x:v>
      </x:c>
      <x:c r="E1480" t="str">
        <x:v>Home Office</x:v>
      </x:c>
      <x:c r="F1480" t="str">
        <x:v>East</x:v>
      </x:c>
      <x:c r="G1480" t="str">
        <x:v>Office Supplies</x:v>
      </x:c>
      <x:c r="H1480" t="str">
        <x:v>Art</x:v>
      </x:c>
      <x:c r="I1480" s="22" t="n">
        <x:v>17.28</x:v>
      </x:c>
      <x:c r="J1480" s="24" t="n">
        <x:v>6</x:v>
      </x:c>
      <x:c r="K1480" s="26" t="n">
        <x:v>0</x:v>
      </x:c>
      <x:c r="L1480" s="22" t="n">
        <x:v>5.0112</x:v>
      </x:c>
      <x:c r="M1480" t="n">
        <x:v>2016</x:v>
      </x:c>
      <x:c r="N1480" s="20" t="n">
        <x:v>42675</x:v>
      </x:c>
    </x:row>
    <x:row r="1481" ht="18" customHeight="1">
      <x:c r="A1481" t="str">
        <x:v>CA-2016-113138</x:v>
      </x:c>
      <x:c r="B1481" s="18" t="n">
        <x:v>42693</x:v>
      </x:c>
      <x:c r="C1481" t="str">
        <x:v>NP-18685</x:v>
      </x:c>
      <x:c r="D1481" t="str">
        <x:v>Nora Pelletier</x:v>
      </x:c>
      <x:c r="E1481" t="str">
        <x:v>Home Office</x:v>
      </x:c>
      <x:c r="F1481" t="str">
        <x:v>East</x:v>
      </x:c>
      <x:c r="G1481" t="str">
        <x:v>Office Supplies</x:v>
      </x:c>
      <x:c r="H1481" t="str">
        <x:v>Binders</x:v>
      </x:c>
      <x:c r="I1481" s="22" t="n">
        <x:v>17.712</x:v>
      </x:c>
      <x:c r="J1481" s="24" t="n">
        <x:v>3</x:v>
      </x:c>
      <x:c r="K1481" s="26" t="n">
        <x:v>0.2</x:v>
      </x:c>
      <x:c r="L1481" s="22" t="n">
        <x:v>6.420600000000001</x:v>
      </x:c>
      <x:c r="M1481" t="n">
        <x:v>2016</x:v>
      </x:c>
      <x:c r="N1481" s="20" t="n">
        <x:v>42675</x:v>
      </x:c>
    </x:row>
    <x:row r="1482" ht="18" customHeight="1">
      <x:c r="A1482" t="str">
        <x:v>US-2017-104955</x:v>
      </x:c>
      <x:c r="B1482" s="18" t="n">
        <x:v>42813</x:v>
      </x:c>
      <x:c r="C1482" t="str">
        <x:v>CG-12040</x:v>
      </x:c>
      <x:c r="D1482" t="str">
        <x:v>Catherine Glotzbach</x:v>
      </x:c>
      <x:c r="E1482" t="str">
        <x:v>Home Office</x:v>
      </x:c>
      <x:c r="F1482" t="str">
        <x:v>East</x:v>
      </x:c>
      <x:c r="G1482" t="str">
        <x:v>Office Supplies</x:v>
      </x:c>
      <x:c r="H1482" t="str">
        <x:v>Labels</x:v>
      </x:c>
      <x:c r="I1482" s="22" t="n">
        <x:v>28.91</x:v>
      </x:c>
      <x:c r="J1482" s="24" t="n">
        <x:v>7</x:v>
      </x:c>
      <x:c r="K1482" s="26" t="n">
        <x:v>0</x:v>
      </x:c>
      <x:c r="L1482" s="22" t="n">
        <x:v>13.2986</x:v>
      </x:c>
      <x:c r="M1482" t="n">
        <x:v>2017</x:v>
      </x:c>
      <x:c r="N1482" s="20" t="n">
        <x:v>42795</x:v>
      </x:c>
    </x:row>
    <x:row r="1483" ht="18" customHeight="1">
      <x:c r="A1483" t="str">
        <x:v>CA-2016-121958</x:v>
      </x:c>
      <x:c r="B1483" s="18" t="n">
        <x:v>42687</x:v>
      </x:c>
      <x:c r="C1483" t="str">
        <x:v>CS-12505</x:v>
      </x:c>
      <x:c r="D1483" t="str">
        <x:v>Cindy Stewart</x:v>
      </x:c>
      <x:c r="E1483" t="str">
        <x:v>Consumer</x:v>
      </x:c>
      <x:c r="F1483" t="str">
        <x:v>South</x:v>
      </x:c>
      <x:c r="G1483" t="str">
        <x:v>Office Supplies</x:v>
      </x:c>
      <x:c r="H1483" t="str">
        <x:v>Supplies</x:v>
      </x:c>
      <x:c r="I1483" s="22" t="n">
        <x:v>52.136</x:v>
      </x:c>
      <x:c r="J1483" s="24" t="n">
        <x:v>7</x:v>
      </x:c>
      <x:c r="K1483" s="26" t="n">
        <x:v>0.2</x:v>
      </x:c>
      <x:c r="L1483" s="22" t="n">
        <x:v>5.865299999999996</x:v>
      </x:c>
      <x:c r="M1483" t="n">
        <x:v>2016</x:v>
      </x:c>
      <x:c r="N1483" s="20" t="n">
        <x:v>42675</x:v>
      </x:c>
    </x:row>
    <x:row r="1484" ht="18" customHeight="1">
      <x:c r="A1484" t="str">
        <x:v>CA-2017-121468</x:v>
      </x:c>
      <x:c r="B1484" s="18" t="n">
        <x:v>43058</x:v>
      </x:c>
      <x:c r="C1484" t="str">
        <x:v>KD-16345</x:v>
      </x:c>
      <x:c r="D1484" t="str">
        <x:v>Katherine Ducich</x:v>
      </x:c>
      <x:c r="E1484" t="str">
        <x:v>Consumer</x:v>
      </x:c>
      <x:c r="F1484" t="str">
        <x:v>West</x:v>
      </x:c>
      <x:c r="G1484" t="str">
        <x:v>Technology</x:v>
      </x:c>
      <x:c r="H1484" t="str">
        <x:v>Phones</x:v>
      </x:c>
      <x:c r="I1484" s="22" t="n">
        <x:v>31.968000000000004</x:v>
      </x:c>
      <x:c r="J1484" s="24" t="n">
        <x:v>4</x:v>
      </x:c>
      <x:c r="K1484" s="26" t="n">
        <x:v>0.2</x:v>
      </x:c>
      <x:c r="L1484" s="22" t="n">
        <x:v>2.3976000000000006</x:v>
      </x:c>
      <x:c r="M1484" t="n">
        <x:v>2017</x:v>
      </x:c>
      <x:c r="N1484" s="20" t="n">
        <x:v>43040</x:v>
      </x:c>
    </x:row>
    <x:row r="1485" ht="18" customHeight="1">
      <x:c r="A1485" t="str">
        <x:v>US-2016-108455</x:v>
      </x:c>
      <x:c r="B1485" s="18" t="n">
        <x:v>42706</x:v>
      </x:c>
      <x:c r="C1485" t="str">
        <x:v>MK-18160</x:v>
      </x:c>
      <x:c r="D1485" t="str">
        <x:v>Mike Kennedy</x:v>
      </x:c>
      <x:c r="E1485" t="str">
        <x:v>Consumer</x:v>
      </x:c>
      <x:c r="F1485" t="str">
        <x:v>West</x:v>
      </x:c>
      <x:c r="G1485" t="str">
        <x:v>Office Supplies</x:v>
      </x:c>
      <x:c r="H1485" t="str">
        <x:v>Paper</x:v>
      </x:c>
      <x:c r="I1485" s="22" t="n">
        <x:v>25.92</x:v>
      </x:c>
      <x:c r="J1485" s="24" t="n">
        <x:v>4</x:v>
      </x:c>
      <x:c r="K1485" s="26" t="n">
        <x:v>0</x:v>
      </x:c>
      <x:c r="L1485" s="22" t="n">
        <x:v>12.441600000000001</x:v>
      </x:c>
      <x:c r="M1485" t="n">
        <x:v>2016</x:v>
      </x:c>
      <x:c r="N1485" s="20" t="n">
        <x:v>42705</x:v>
      </x:c>
    </x:row>
    <x:row r="1486" ht="18" customHeight="1">
      <x:c r="A1486" t="str">
        <x:v>US-2016-108455</x:v>
      </x:c>
      <x:c r="B1486" s="18" t="n">
        <x:v>42706</x:v>
      </x:c>
      <x:c r="C1486" t="str">
        <x:v>MK-18160</x:v>
      </x:c>
      <x:c r="D1486" t="str">
        <x:v>Mike Kennedy</x:v>
      </x:c>
      <x:c r="E1486" t="str">
        <x:v>Consumer</x:v>
      </x:c>
      <x:c r="F1486" t="str">
        <x:v>West</x:v>
      </x:c>
      <x:c r="G1486" t="str">
        <x:v>Office Supplies</x:v>
      </x:c>
      <x:c r="H1486" t="str">
        <x:v>Paper</x:v>
      </x:c>
      <x:c r="I1486" s="22" t="n">
        <x:v>40.46</x:v>
      </x:c>
      <x:c r="J1486" s="24" t="n">
        <x:v>7</x:v>
      </x:c>
      <x:c r="K1486" s="26" t="n">
        <x:v>0</x:v>
      </x:c>
      <x:c r="L1486" s="22" t="n">
        <x:v>19.825400000000002</x:v>
      </x:c>
      <x:c r="M1486" t="n">
        <x:v>2016</x:v>
      </x:c>
      <x:c r="N1486" s="20" t="n">
        <x:v>42705</x:v>
      </x:c>
    </x:row>
    <x:row r="1487" ht="18" customHeight="1">
      <x:c r="A1487" t="str">
        <x:v>US-2016-108455</x:v>
      </x:c>
      <x:c r="B1487" s="18" t="n">
        <x:v>42706</x:v>
      </x:c>
      <x:c r="C1487" t="str">
        <x:v>MK-18160</x:v>
      </x:c>
      <x:c r="D1487" t="str">
        <x:v>Mike Kennedy</x:v>
      </x:c>
      <x:c r="E1487" t="str">
        <x:v>Consumer</x:v>
      </x:c>
      <x:c r="F1487" t="str">
        <x:v>West</x:v>
      </x:c>
      <x:c r="G1487" t="str">
        <x:v>Office Supplies</x:v>
      </x:c>
      <x:c r="H1487" t="str">
        <x:v>Storage</x:v>
      </x:c>
      <x:c r="I1487" s="22" t="n">
        <x:v>33.87</x:v>
      </x:c>
      <x:c r="J1487" s="24" t="n">
        <x:v>3</x:v>
      </x:c>
      <x:c r="K1487" s="26" t="n">
        <x:v>0</x:v>
      </x:c>
      <x:c r="L1487" s="22" t="n">
        <x:v>8.806199999999999</x:v>
      </x:c>
      <x:c r="M1487" t="n">
        <x:v>2016</x:v>
      </x:c>
      <x:c r="N1487" s="20" t="n">
        <x:v>42705</x:v>
      </x:c>
    </x:row>
    <x:row r="1488" ht="18" customHeight="1">
      <x:c r="A1488" t="str">
        <x:v>CA-2017-101210</x:v>
      </x:c>
      <x:c r="B1488" s="18" t="n">
        <x:v>42972</x:v>
      </x:c>
      <x:c r="C1488" t="str">
        <x:v>DW-13540</x:v>
      </x:c>
      <x:c r="D1488" t="str">
        <x:v>Don Weiss</x:v>
      </x:c>
      <x:c r="E1488" t="str">
        <x:v>Consumer</x:v>
      </x:c>
      <x:c r="F1488" t="str">
        <x:v>South</x:v>
      </x:c>
      <x:c r="G1488" t="str">
        <x:v>Office Supplies</x:v>
      </x:c>
      <x:c r="H1488" t="str">
        <x:v>Art</x:v>
      </x:c>
      <x:c r="I1488" s="22" t="n">
        <x:v>9.728000000000002</x:v>
      </x:c>
      <x:c r="J1488" s="24" t="n">
        <x:v>2</x:v>
      </x:c>
      <x:c r="K1488" s="26" t="n">
        <x:v>0.2</x:v>
      </x:c>
      <x:c r="L1488" s="22" t="n">
        <x:v>1.702399999999999</x:v>
      </x:c>
      <x:c r="M1488" t="n">
        <x:v>2017</x:v>
      </x:c>
      <x:c r="N1488" s="20" t="n">
        <x:v>42948</x:v>
      </x:c>
    </x:row>
    <x:row r="1489" ht="18" customHeight="1">
      <x:c r="A1489" t="str">
        <x:v>CA-2017-101210</x:v>
      </x:c>
      <x:c r="B1489" s="18" t="n">
        <x:v>42972</x:v>
      </x:c>
      <x:c r="C1489" t="str">
        <x:v>DW-13540</x:v>
      </x:c>
      <x:c r="D1489" t="str">
        <x:v>Don Weiss</x:v>
      </x:c>
      <x:c r="E1489" t="str">
        <x:v>Consumer</x:v>
      </x:c>
      <x:c r="F1489" t="str">
        <x:v>South</x:v>
      </x:c>
      <x:c r="G1489" t="str">
        <x:v>Office Supplies</x:v>
      </x:c>
      <x:c r="H1489" t="str">
        <x:v>Paper</x:v>
      </x:c>
      <x:c r="I1489" s="22" t="n">
        <x:v>3.4240000000000004</x:v>
      </x:c>
      <x:c r="J1489" s="24" t="n">
        <x:v>1</x:v>
      </x:c>
      <x:c r="K1489" s="26" t="n">
        <x:v>0.2</x:v>
      </x:c>
      <x:c r="L1489" s="22" t="n">
        <x:v>1.0699999999999996</x:v>
      </x:c>
      <x:c r="M1489" t="n">
        <x:v>2017</x:v>
      </x:c>
      <x:c r="N1489" s="20" t="n">
        <x:v>42948</x:v>
      </x:c>
    </x:row>
    <x:row r="1490" ht="18" customHeight="1">
      <x:c r="A1490" t="str">
        <x:v>US-2016-108098</x:v>
      </x:c>
      <x:c r="B1490" s="18" t="n">
        <x:v>42657</x:v>
      </x:c>
      <x:c r="C1490" t="str">
        <x:v>CP-12340</x:v>
      </x:c>
      <x:c r="D1490" t="str">
        <x:v>Christine Phan</x:v>
      </x:c>
      <x:c r="E1490" t="str">
        <x:v>Corporate</x:v>
      </x:c>
      <x:c r="F1490" t="str">
        <x:v>West</x:v>
      </x:c>
      <x:c r="G1490" t="str">
        <x:v>Technology</x:v>
      </x:c>
      <x:c r="H1490" t="str">
        <x:v>Accessories</x:v>
      </x:c>
      <x:c r="I1490" s="22" t="n">
        <x:v>177</x:v>
      </x:c>
      <x:c r="J1490" s="24" t="n">
        <x:v>3</x:v>
      </x:c>
      <x:c r="K1490" s="26" t="n">
        <x:v>0</x:v>
      </x:c>
      <x:c r="L1490" s="22" t="n">
        <x:v>30.089999999999982</x:v>
      </x:c>
      <x:c r="M1490" t="n">
        <x:v>2016</x:v>
      </x:c>
      <x:c r="N1490" s="20" t="n">
        <x:v>42644</x:v>
      </x:c>
    </x:row>
    <x:row r="1491" ht="18" customHeight="1">
      <x:c r="A1491" t="str">
        <x:v>CA-2014-119032</x:v>
      </x:c>
      <x:c r="B1491" s="18" t="n">
        <x:v>41970</x:v>
      </x:c>
      <x:c r="C1491" t="str">
        <x:v>MS-17770</x:v>
      </x:c>
      <x:c r="D1491" t="str">
        <x:v>Maxwell Schwartz</x:v>
      </x:c>
      <x:c r="E1491" t="str">
        <x:v>Consumer</x:v>
      </x:c>
      <x:c r="F1491" t="str">
        <x:v>East</x:v>
      </x:c>
      <x:c r="G1491" t="str">
        <x:v>Office Supplies</x:v>
      </x:c>
      <x:c r="H1491" t="str">
        <x:v>Fasteners</x:v>
      </x:c>
      <x:c r="I1491" s="22" t="n">
        <x:v>3.76</x:v>
      </x:c>
      <x:c r="J1491" s="24" t="n">
        <x:v>2</x:v>
      </x:c>
      <x:c r="K1491" s="26" t="n">
        <x:v>0</x:v>
      </x:c>
      <x:c r="L1491" s="22" t="n">
        <x:v>1.3159999999999998</x:v>
      </x:c>
      <x:c r="M1491" t="n">
        <x:v>2014</x:v>
      </x:c>
      <x:c r="N1491" s="20" t="n">
        <x:v>41944</x:v>
      </x:c>
    </x:row>
    <x:row r="1492" ht="18" customHeight="1">
      <x:c r="A1492" t="str">
        <x:v>CA-2015-140410</x:v>
      </x:c>
      <x:c r="B1492" s="18" t="n">
        <x:v>42311</x:v>
      </x:c>
      <x:c r="C1492" t="str">
        <x:v>CM-12655</x:v>
      </x:c>
      <x:c r="D1492" t="str">
        <x:v>Corinna Mitchell</x:v>
      </x:c>
      <x:c r="E1492" t="str">
        <x:v>Home Office</x:v>
      </x:c>
      <x:c r="F1492" t="str">
        <x:v>West</x:v>
      </x:c>
      <x:c r="G1492" t="str">
        <x:v>Technology</x:v>
      </x:c>
      <x:c r="H1492" t="str">
        <x:v>Phones</x:v>
      </x:c>
      <x:c r="I1492" s="22" t="n">
        <x:v>1212.848</x:v>
      </x:c>
      <x:c r="J1492" s="24" t="n">
        <x:v>7</x:v>
      </x:c>
      <x:c r="K1492" s="26" t="n">
        <x:v>0.2</x:v>
      </x:c>
      <x:c r="L1492" s="22" t="n">
        <x:v>106.12420000000014</x:v>
      </x:c>
      <x:c r="M1492" t="n">
        <x:v>2015</x:v>
      </x:c>
      <x:c r="N1492" s="20" t="n">
        <x:v>42309</x:v>
      </x:c>
    </x:row>
    <x:row r="1493" ht="18" customHeight="1">
      <x:c r="A1493" t="str">
        <x:v>CA-2015-140410</x:v>
      </x:c>
      <x:c r="B1493" s="18" t="n">
        <x:v>42311</x:v>
      </x:c>
      <x:c r="C1493" t="str">
        <x:v>CM-12655</x:v>
      </x:c>
      <x:c r="D1493" t="str">
        <x:v>Corinna Mitchell</x:v>
      </x:c>
      <x:c r="E1493" t="str">
        <x:v>Home Office</x:v>
      </x:c>
      <x:c r="F1493" t="str">
        <x:v>West</x:v>
      </x:c>
      <x:c r="G1493" t="str">
        <x:v>Technology</x:v>
      </x:c>
      <x:c r="H1493" t="str">
        <x:v>Accessories</x:v>
      </x:c>
      <x:c r="I1493" s="22" t="n">
        <x:v>89.97</x:v>
      </x:c>
      <x:c r="J1493" s="24" t="n">
        <x:v>3</x:v>
      </x:c>
      <x:c r="K1493" s="26" t="n">
        <x:v>0</x:v>
      </x:c>
      <x:c r="L1493" s="22" t="n">
        <x:v>37.787400000000005</x:v>
      </x:c>
      <x:c r="M1493" t="n">
        <x:v>2015</x:v>
      </x:c>
      <x:c r="N1493" s="20" t="n">
        <x:v>42309</x:v>
      </x:c>
    </x:row>
    <x:row r="1494" ht="18" customHeight="1">
      <x:c r="A1494" t="str">
        <x:v>CA-2015-140410</x:v>
      </x:c>
      <x:c r="B1494" s="18" t="n">
        <x:v>42311</x:v>
      </x:c>
      <x:c r="C1494" t="str">
        <x:v>CM-12655</x:v>
      </x:c>
      <x:c r="D1494" t="str">
        <x:v>Corinna Mitchell</x:v>
      </x:c>
      <x:c r="E1494" t="str">
        <x:v>Home Office</x:v>
      </x:c>
      <x:c r="F1494" t="str">
        <x:v>West</x:v>
      </x:c>
      <x:c r="G1494" t="str">
        <x:v>Furniture</x:v>
      </x:c>
      <x:c r="H1494" t="str">
        <x:v>Furnishings</x:v>
      </x:c>
      <x:c r="I1494" s="22" t="n">
        <x:v>42.599999999999994</x:v>
      </x:c>
      <x:c r="J1494" s="24" t="n">
        <x:v>3</x:v>
      </x:c>
      <x:c r="K1494" s="26" t="n">
        <x:v>0</x:v>
      </x:c>
      <x:c r="L1494" s="22" t="n">
        <x:v>16.614</x:v>
      </x:c>
      <x:c r="M1494" t="n">
        <x:v>2015</x:v>
      </x:c>
      <x:c r="N1494" s="20" t="n">
        <x:v>42309</x:v>
      </x:c>
    </x:row>
    <x:row r="1495" ht="18" customHeight="1">
      <x:c r="A1495" t="str">
        <x:v>CA-2014-136280</x:v>
      </x:c>
      <x:c r="B1495" s="18" t="n">
        <x:v>41972</x:v>
      </x:c>
      <x:c r="C1495" t="str">
        <x:v>Co-12640</x:v>
      </x:c>
      <x:c r="D1495" t="str">
        <x:v>Corey-Lock</x:v>
      </x:c>
      <x:c r="E1495" t="str">
        <x:v>Consumer</x:v>
      </x:c>
      <x:c r="F1495" t="str">
        <x:v>East</x:v>
      </x:c>
      <x:c r="G1495" t="str">
        <x:v>Office Supplies</x:v>
      </x:c>
      <x:c r="H1495" t="str">
        <x:v>Labels</x:v>
      </x:c>
      <x:c r="I1495" s="22" t="n">
        <x:v>5.04</x:v>
      </x:c>
      <x:c r="J1495" s="24" t="n">
        <x:v>2</x:v>
      </x:c>
      <x:c r="K1495" s="26" t="n">
        <x:v>0.2</x:v>
      </x:c>
      <x:c r="L1495" s="22" t="n">
        <x:v>1.764</x:v>
      </x:c>
      <x:c r="M1495" t="n">
        <x:v>2014</x:v>
      </x:c>
      <x:c r="N1495" s="20" t="n">
        <x:v>41944</x:v>
      </x:c>
    </x:row>
    <x:row r="1496" ht="18" customHeight="1">
      <x:c r="A1496" t="str">
        <x:v>CA-2017-151911</x:v>
      </x:c>
      <x:c r="B1496" s="18" t="n">
        <x:v>42855</x:v>
      </x:c>
      <x:c r="C1496" t="str">
        <x:v>DL-13495</x:v>
      </x:c>
      <x:c r="D1496" t="str">
        <x:v>Dionis Lloyd</x:v>
      </x:c>
      <x:c r="E1496" t="str">
        <x:v>Corporate</x:v>
      </x:c>
      <x:c r="F1496" t="str">
        <x:v>East</x:v>
      </x:c>
      <x:c r="G1496" t="str">
        <x:v>Office Supplies</x:v>
      </x:c>
      <x:c r="H1496" t="str">
        <x:v>Envelopes</x:v>
      </x:c>
      <x:c r="I1496" s="22" t="n">
        <x:v>62.96</x:v>
      </x:c>
      <x:c r="J1496" s="24" t="n">
        <x:v>4</x:v>
      </x:c>
      <x:c r="K1496" s="26" t="n">
        <x:v>0</x:v>
      </x:c>
      <x:c r="L1496" s="22" t="n">
        <x:v>28.332</x:v>
      </x:c>
      <x:c r="M1496" t="n">
        <x:v>2017</x:v>
      </x:c>
      <x:c r="N1496" s="20" t="n">
        <x:v>42826</x:v>
      </x:c>
    </x:row>
    <x:row r="1497" ht="18" customHeight="1">
      <x:c r="A1497" t="str">
        <x:v>CA-2017-166436</x:v>
      </x:c>
      <x:c r="B1497" s="18" t="n">
        <x:v>43063</x:v>
      </x:c>
      <x:c r="C1497" t="str">
        <x:v>TS-21370</x:v>
      </x:c>
      <x:c r="D1497" t="str">
        <x:v>Todd Sumrall</x:v>
      </x:c>
      <x:c r="E1497" t="str">
        <x:v>Corporate</x:v>
      </x:c>
      <x:c r="F1497" t="str">
        <x:v>East</x:v>
      </x:c>
      <x:c r="G1497" t="str">
        <x:v>Office Supplies</x:v>
      </x:c>
      <x:c r="H1497" t="str">
        <x:v>Paper</x:v>
      </x:c>
      <x:c r="I1497" s="22" t="n">
        <x:v>5.88</x:v>
      </x:c>
      <x:c r="J1497" s="24" t="n">
        <x:v>1</x:v>
      </x:c>
      <x:c r="K1497" s="26" t="n">
        <x:v>0</x:v>
      </x:c>
      <x:c r="L1497" s="22" t="n">
        <x:v>2.8811999999999998</x:v>
      </x:c>
      <x:c r="M1497" t="n">
        <x:v>2017</x:v>
      </x:c>
      <x:c r="N1497" s="20" t="n">
        <x:v>43040</x:v>
      </x:c>
    </x:row>
    <x:row r="1498" ht="18" customHeight="1">
      <x:c r="A1498" t="str">
        <x:v>CA-2017-166436</x:v>
      </x:c>
      <x:c r="B1498" s="18" t="n">
        <x:v>43063</x:v>
      </x:c>
      <x:c r="C1498" t="str">
        <x:v>TS-21370</x:v>
      </x:c>
      <x:c r="D1498" t="str">
        <x:v>Todd Sumrall</x:v>
      </x:c>
      <x:c r="E1498" t="str">
        <x:v>Corporate</x:v>
      </x:c>
      <x:c r="F1498" t="str">
        <x:v>East</x:v>
      </x:c>
      <x:c r="G1498" t="str">
        <x:v>Furniture</x:v>
      </x:c>
      <x:c r="H1498" t="str">
        <x:v>Chairs</x:v>
      </x:c>
      <x:c r="I1498" s="22" t="n">
        <x:v>977.292</x:v>
      </x:c>
      <x:c r="J1498" s="24" t="n">
        <x:v>6</x:v>
      </x:c>
      <x:c r="K1498" s="26" t="n">
        <x:v>0.1</x:v>
      </x:c>
      <x:c r="L1498" s="22" t="n">
        <x:v>173.7408</x:v>
      </x:c>
      <x:c r="M1498" t="n">
        <x:v>2017</x:v>
      </x:c>
      <x:c r="N1498" s="20" t="n">
        <x:v>43040</x:v>
      </x:c>
    </x:row>
    <x:row r="1499" ht="18" customHeight="1">
      <x:c r="A1499" t="str">
        <x:v>CA-2017-139661</x:v>
      </x:c>
      <x:c r="B1499" s="18" t="n">
        <x:v>43038</x:v>
      </x:c>
      <x:c r="C1499" t="str">
        <x:v>JW-15220</x:v>
      </x:c>
      <x:c r="D1499" t="str">
        <x:v>Jane Waco</x:v>
      </x:c>
      <x:c r="E1499" t="str">
        <x:v>Corporate</x:v>
      </x:c>
      <x:c r="F1499" t="str">
        <x:v>West</x:v>
      </x:c>
      <x:c r="G1499" t="str">
        <x:v>Furniture</x:v>
      </x:c>
      <x:c r="H1499" t="str">
        <x:v>Furnishings</x:v>
      </x:c>
      <x:c r="I1499" s="22" t="n">
        <x:v>9.64</x:v>
      </x:c>
      <x:c r="J1499" s="24" t="n">
        <x:v>2</x:v>
      </x:c>
      <x:c r="K1499" s="26" t="n">
        <x:v>0</x:v>
      </x:c>
      <x:c r="L1499" s="22" t="n">
        <x:v>3.6632000000000007</x:v>
      </x:c>
      <x:c r="M1499" t="n">
        <x:v>2017</x:v>
      </x:c>
      <x:c r="N1499" s="20" t="n">
        <x:v>43009</x:v>
      </x:c>
    </x:row>
    <x:row r="1500" ht="18" customHeight="1">
      <x:c r="A1500" t="str">
        <x:v>CA-2014-123925</x:v>
      </x:c>
      <x:c r="B1500" s="18" t="n">
        <x:v>41990</x:v>
      </x:c>
      <x:c r="C1500" t="str">
        <x:v>RF-19840</x:v>
      </x:c>
      <x:c r="D1500" t="str">
        <x:v>Roy Französisch</x:v>
      </x:c>
      <x:c r="E1500" t="str">
        <x:v>Consumer</x:v>
      </x:c>
      <x:c r="F1500" t="str">
        <x:v>South</x:v>
      </x:c>
      <x:c r="G1500" t="str">
        <x:v>Office Supplies</x:v>
      </x:c>
      <x:c r="H1500" t="str">
        <x:v>Art</x:v>
      </x:c>
      <x:c r="I1500" s="22" t="n">
        <x:v>40.05</x:v>
      </x:c>
      <x:c r="J1500" s="24" t="n">
        <x:v>3</x:v>
      </x:c>
      <x:c r="K1500" s="26" t="n">
        <x:v>0</x:v>
      </x:c>
      <x:c r="L1500" s="22" t="n">
        <x:v>11.213999999999999</x:v>
      </x:c>
      <x:c r="M1500" t="n">
        <x:v>2014</x:v>
      </x:c>
      <x:c r="N1500" s="20" t="n">
        <x:v>41974</x:v>
      </x:c>
    </x:row>
    <x:row r="1501" ht="18" customHeight="1">
      <x:c r="A1501" t="str">
        <x:v>CA-2017-152485</x:v>
      </x:c>
      <x:c r="B1501" s="18" t="n">
        <x:v>42982</x:v>
      </x:c>
      <x:c r="C1501" t="str">
        <x:v>JD-15790</x:v>
      </x:c>
      <x:c r="D1501" t="str">
        <x:v>John Dryer</x:v>
      </x:c>
      <x:c r="E1501" t="str">
        <x:v>Consumer</x:v>
      </x:c>
      <x:c r="F1501" t="str">
        <x:v>Central</x:v>
      </x:c>
      <x:c r="G1501" t="str">
        <x:v>Office Supplies</x:v>
      </x:c>
      <x:c r="H1501" t="str">
        <x:v>Art</x:v>
      </x:c>
      <x:c r="I1501" s="22" t="n">
        <x:v>10.192000000000002</x:v>
      </x:c>
      <x:c r="J1501" s="24" t="n">
        <x:v>7</x:v>
      </x:c>
      <x:c r="K1501" s="26" t="n">
        <x:v>0.2</x:v>
      </x:c>
      <x:c r="L1501" s="22" t="n">
        <x:v>3.184999999999999</x:v>
      </x:c>
      <x:c r="M1501" t="n">
        <x:v>2017</x:v>
      </x:c>
      <x:c r="N1501" s="20" t="n">
        <x:v>42979</x:v>
      </x:c>
    </x:row>
    <x:row r="1502" ht="18" customHeight="1">
      <x:c r="A1502" t="str">
        <x:v>CA-2017-152485</x:v>
      </x:c>
      <x:c r="B1502" s="18" t="n">
        <x:v>42982</x:v>
      </x:c>
      <x:c r="C1502" t="str">
        <x:v>JD-15790</x:v>
      </x:c>
      <x:c r="D1502" t="str">
        <x:v>John Dryer</x:v>
      </x:c>
      <x:c r="E1502" t="str">
        <x:v>Consumer</x:v>
      </x:c>
      <x:c r="F1502" t="str">
        <x:v>Central</x:v>
      </x:c>
      <x:c r="G1502" t="str">
        <x:v>Office Supplies</x:v>
      </x:c>
      <x:c r="H1502" t="str">
        <x:v>Storage</x:v>
      </x:c>
      <x:c r="I1502" s="22" t="n">
        <x:v>16.784000000000002</x:v>
      </x:c>
      <x:c r="J1502" s="24" t="n">
        <x:v>1</x:v>
      </x:c>
      <x:c r="K1502" s="26" t="n">
        <x:v>0.2</x:v>
      </x:c>
      <x:c r="L1502" s="22" t="n">
        <x:v>-0.20980000000000043</x:v>
      </x:c>
      <x:c r="M1502" t="n">
        <x:v>2017</x:v>
      </x:c>
      <x:c r="N1502" s="20" t="n">
        <x:v>42979</x:v>
      </x:c>
    </x:row>
    <x:row r="1503" ht="18" customHeight="1">
      <x:c r="A1503" t="str">
        <x:v>CA-2017-152485</x:v>
      </x:c>
      <x:c r="B1503" s="18" t="n">
        <x:v>42982</x:v>
      </x:c>
      <x:c r="C1503" t="str">
        <x:v>JD-15790</x:v>
      </x:c>
      <x:c r="D1503" t="str">
        <x:v>John Dryer</x:v>
      </x:c>
      <x:c r="E1503" t="str">
        <x:v>Consumer</x:v>
      </x:c>
      <x:c r="F1503" t="str">
        <x:v>Central</x:v>
      </x:c>
      <x:c r="G1503" t="str">
        <x:v>Office Supplies</x:v>
      </x:c>
      <x:c r="H1503" t="str">
        <x:v>Art</x:v>
      </x:c>
      <x:c r="I1503" s="22" t="n">
        <x:v>13.120000000000001</x:v>
      </x:c>
      <x:c r="J1503" s="24" t="n">
        <x:v>5</x:v>
      </x:c>
      <x:c r="K1503" s="26" t="n">
        <x:v>0.2</x:v>
      </x:c>
      <x:c r="L1503" s="22" t="n">
        <x:v>3.7720000000000002</x:v>
      </x:c>
      <x:c r="M1503" t="n">
        <x:v>2017</x:v>
      </x:c>
      <x:c r="N1503" s="20" t="n">
        <x:v>42979</x:v>
      </x:c>
    </x:row>
    <x:row r="1504" ht="18" customHeight="1">
      <x:c r="A1504" t="str">
        <x:v>CA-2016-141586</x:v>
      </x:c>
      <x:c r="B1504" s="18" t="n">
        <x:v>42660</x:v>
      </x:c>
      <x:c r="C1504" t="str">
        <x:v>NK-18490</x:v>
      </x:c>
      <x:c r="D1504" t="str">
        <x:v>Neil Knudson</x:v>
      </x:c>
      <x:c r="E1504" t="str">
        <x:v>Home Office</x:v>
      </x:c>
      <x:c r="F1504" t="str">
        <x:v>West</x:v>
      </x:c>
      <x:c r="G1504" t="str">
        <x:v>Office Supplies</x:v>
      </x:c>
      <x:c r="H1504" t="str">
        <x:v>Binders</x:v>
      </x:c>
      <x:c r="I1504" s="22" t="n">
        <x:v>18.16</x:v>
      </x:c>
      <x:c r="J1504" s="24" t="n">
        <x:v>5</x:v>
      </x:c>
      <x:c r="K1504" s="26" t="n">
        <x:v>0.2</x:v>
      </x:c>
      <x:c r="L1504" s="22" t="n">
        <x:v>6.583000000000001</x:v>
      </x:c>
      <x:c r="M1504" t="n">
        <x:v>2016</x:v>
      </x:c>
      <x:c r="N1504" s="20" t="n">
        <x:v>42644</x:v>
      </x:c>
    </x:row>
    <x:row r="1505" ht="18" customHeight="1">
      <x:c r="A1505" t="str">
        <x:v>CA-2017-130386</x:v>
      </x:c>
      <x:c r="B1505" s="18" t="n">
        <x:v>43051</x:v>
      </x:c>
      <x:c r="C1505" t="str">
        <x:v>NG-18430</x:v>
      </x:c>
      <x:c r="D1505" t="str">
        <x:v>Nathan Gelder</x:v>
      </x:c>
      <x:c r="E1505" t="str">
        <x:v>Consumer</x:v>
      </x:c>
      <x:c r="F1505" t="str">
        <x:v>Central</x:v>
      </x:c>
      <x:c r="G1505" t="str">
        <x:v>Office Supplies</x:v>
      </x:c>
      <x:c r="H1505" t="str">
        <x:v>Paper</x:v>
      </x:c>
      <x:c r="I1505" s="22" t="n">
        <x:v>16.056</x:v>
      </x:c>
      <x:c r="J1505" s="24" t="n">
        <x:v>3</x:v>
      </x:c>
      <x:c r="K1505" s="26" t="n">
        <x:v>0.2</x:v>
      </x:c>
      <x:c r="L1505" s="22" t="n">
        <x:v>5.8203000000000005</x:v>
      </x:c>
      <x:c r="M1505" t="n">
        <x:v>2017</x:v>
      </x:c>
      <x:c r="N1505" s="20" t="n">
        <x:v>43040</x:v>
      </x:c>
    </x:row>
    <x:row r="1506" ht="18" customHeight="1">
      <x:c r="A1506" t="str">
        <x:v>CA-2017-130386</x:v>
      </x:c>
      <x:c r="B1506" s="18" t="n">
        <x:v>43051</x:v>
      </x:c>
      <x:c r="C1506" t="str">
        <x:v>NG-18430</x:v>
      </x:c>
      <x:c r="D1506" t="str">
        <x:v>Nathan Gelder</x:v>
      </x:c>
      <x:c r="E1506" t="str">
        <x:v>Consumer</x:v>
      </x:c>
      <x:c r="F1506" t="str">
        <x:v>Central</x:v>
      </x:c>
      <x:c r="G1506" t="str">
        <x:v>Office Supplies</x:v>
      </x:c>
      <x:c r="H1506" t="str">
        <x:v>Paper</x:v>
      </x:c>
      <x:c r="I1506" s="22" t="n">
        <x:v>223.056</x:v>
      </x:c>
      <x:c r="J1506" s="24" t="n">
        <x:v>9</x:v>
      </x:c>
      <x:c r="K1506" s="26" t="n">
        <x:v>0.2</x:v>
      </x:c>
      <x:c r="L1506" s="22" t="n">
        <x:v>69.70499999999998</x:v>
      </x:c>
      <x:c r="M1506" t="n">
        <x:v>2017</x:v>
      </x:c>
      <x:c r="N1506" s="20" t="n">
        <x:v>43040</x:v>
      </x:c>
    </x:row>
    <x:row r="1507" ht="18" customHeight="1">
      <x:c r="A1507" t="str">
        <x:v>CA-2017-130386</x:v>
      </x:c>
      <x:c r="B1507" s="18" t="n">
        <x:v>43051</x:v>
      </x:c>
      <x:c r="C1507" t="str">
        <x:v>NG-18430</x:v>
      </x:c>
      <x:c r="D1507" t="str">
        <x:v>Nathan Gelder</x:v>
      </x:c>
      <x:c r="E1507" t="str">
        <x:v>Consumer</x:v>
      </x:c>
      <x:c r="F1507" t="str">
        <x:v>Central</x:v>
      </x:c>
      <x:c r="G1507" t="str">
        <x:v>Office Supplies</x:v>
      </x:c>
      <x:c r="H1507" t="str">
        <x:v>Storage</x:v>
      </x:c>
      <x:c r="I1507" s="22" t="n">
        <x:v>540.048</x:v>
      </x:c>
      <x:c r="J1507" s="24" t="n">
        <x:v>3</x:v>
      </x:c>
      <x:c r="K1507" s="26" t="n">
        <x:v>0.2</x:v>
      </x:c>
      <x:c r="L1507" s="22" t="n">
        <x:v>-47.2542</x:v>
      </x:c>
      <x:c r="M1507" t="n">
        <x:v>2017</x:v>
      </x:c>
      <x:c r="N1507" s="20" t="n">
        <x:v>43040</x:v>
      </x:c>
    </x:row>
    <x:row r="1508" ht="18" customHeight="1">
      <x:c r="A1508" t="str">
        <x:v>CA-2016-100468</x:v>
      </x:c>
      <x:c r="B1508" s="18" t="n">
        <x:v>42698</x:v>
      </x:c>
      <x:c r="C1508" t="str">
        <x:v>AT-10435</x:v>
      </x:c>
      <x:c r="D1508" t="str">
        <x:v>Alyssa Tate</x:v>
      </x:c>
      <x:c r="E1508" t="str">
        <x:v>Home Office</x:v>
      </x:c>
      <x:c r="F1508" t="str">
        <x:v>West</x:v>
      </x:c>
      <x:c r="G1508" t="str">
        <x:v>Technology</x:v>
      </x:c>
      <x:c r="H1508" t="str">
        <x:v>Phones</x:v>
      </x:c>
      <x:c r="I1508" s="22" t="n">
        <x:v>33.52</x:v>
      </x:c>
      <x:c r="J1508" s="24" t="n">
        <x:v>2</x:v>
      </x:c>
      <x:c r="K1508" s="26" t="n">
        <x:v>0.2</x:v>
      </x:c>
      <x:c r="L1508" s="22" t="n">
        <x:v>3.3519999999999985</x:v>
      </x:c>
      <x:c r="M1508" t="n">
        <x:v>2016</x:v>
      </x:c>
      <x:c r="N1508" s="20" t="n">
        <x:v>42675</x:v>
      </x:c>
    </x:row>
    <x:row r="1509" ht="18" customHeight="1">
      <x:c r="A1509" t="str">
        <x:v>CA-2016-100468</x:v>
      </x:c>
      <x:c r="B1509" s="18" t="n">
        <x:v>42698</x:v>
      </x:c>
      <x:c r="C1509" t="str">
        <x:v>AT-10435</x:v>
      </x:c>
      <x:c r="D1509" t="str">
        <x:v>Alyssa Tate</x:v>
      </x:c>
      <x:c r="E1509" t="str">
        <x:v>Home Office</x:v>
      </x:c>
      <x:c r="F1509" t="str">
        <x:v>West</x:v>
      </x:c>
      <x:c r="G1509" t="str">
        <x:v>Furniture</x:v>
      </x:c>
      <x:c r="H1509" t="str">
        <x:v>Furnishings</x:v>
      </x:c>
      <x:c r="I1509" s="22" t="n">
        <x:v>9.94</x:v>
      </x:c>
      <x:c r="J1509" s="24" t="n">
        <x:v>2</x:v>
      </x:c>
      <x:c r="K1509" s="26" t="n">
        <x:v>0</x:v>
      </x:c>
      <x:c r="L1509" s="22" t="n">
        <x:v>3.0813999999999995</x:v>
      </x:c>
      <x:c r="M1509" t="n">
        <x:v>2016</x:v>
      </x:c>
      <x:c r="N1509" s="20" t="n">
        <x:v>42675</x:v>
      </x:c>
    </x:row>
    <x:row r="1510" ht="18" customHeight="1">
      <x:c r="A1510" t="str">
        <x:v>CA-2015-153388</x:v>
      </x:c>
      <x:c r="B1510" s="18" t="n">
        <x:v>42217</x:v>
      </x:c>
      <x:c r="C1510" t="str">
        <x:v>PC-19000</x:v>
      </x:c>
      <x:c r="D1510" t="str">
        <x:v>Pauline Chand</x:v>
      </x:c>
      <x:c r="E1510" t="str">
        <x:v>Home Office</x:v>
      </x:c>
      <x:c r="F1510" t="str">
        <x:v>West</x:v>
      </x:c>
      <x:c r="G1510" t="str">
        <x:v>Office Supplies</x:v>
      </x:c>
      <x:c r="H1510" t="str">
        <x:v>Art</x:v>
      </x:c>
      <x:c r="I1510" s="22" t="n">
        <x:v>6.72</x:v>
      </x:c>
      <x:c r="J1510" s="24" t="n">
        <x:v>4</x:v>
      </x:c>
      <x:c r="K1510" s="26" t="n">
        <x:v>0</x:v>
      </x:c>
      <x:c r="L1510" s="22" t="n">
        <x:v>3.36</x:v>
      </x:c>
      <x:c r="M1510" t="n">
        <x:v>2015</x:v>
      </x:c>
      <x:c r="N1510" s="20" t="n">
        <x:v>42217</x:v>
      </x:c>
    </x:row>
    <x:row r="1511" ht="18" customHeight="1">
      <x:c r="A1511" t="str">
        <x:v>CA-2015-153388</x:v>
      </x:c>
      <x:c r="B1511" s="18" t="n">
        <x:v>42217</x:v>
      </x:c>
      <x:c r="C1511" t="str">
        <x:v>PC-19000</x:v>
      </x:c>
      <x:c r="D1511" t="str">
        <x:v>Pauline Chand</x:v>
      </x:c>
      <x:c r="E1511" t="str">
        <x:v>Home Office</x:v>
      </x:c>
      <x:c r="F1511" t="str">
        <x:v>West</x:v>
      </x:c>
      <x:c r="G1511" t="str">
        <x:v>Furniture</x:v>
      </x:c>
      <x:c r="H1511" t="str">
        <x:v>Tables</x:v>
      </x:c>
      <x:c r="I1511" s="22" t="n">
        <x:v>1004.9760000000001</x:v>
      </x:c>
      <x:c r="J1511" s="24" t="n">
        <x:v>6</x:v>
      </x:c>
      <x:c r="K1511" s="26" t="n">
        <x:v>0.2</x:v>
      </x:c>
      <x:c r="L1511" s="22" t="n">
        <x:v>-175.8708000000001</x:v>
      </x:c>
      <x:c r="M1511" t="n">
        <x:v>2015</x:v>
      </x:c>
      <x:c r="N1511" s="20" t="n">
        <x:v>42217</x:v>
      </x:c>
    </x:row>
    <x:row r="1512" ht="18" customHeight="1">
      <x:c r="A1512" t="str">
        <x:v>CA-2017-154935</x:v>
      </x:c>
      <x:c r="B1512" s="18" t="n">
        <x:v>43093</x:v>
      </x:c>
      <x:c r="C1512" t="str">
        <x:v>AR-10540</x:v>
      </x:c>
      <x:c r="D1512" t="str">
        <x:v>Andy Reiter</x:v>
      </x:c>
      <x:c r="E1512" t="str">
        <x:v>Consumer</x:v>
      </x:c>
      <x:c r="F1512" t="str">
        <x:v>East</x:v>
      </x:c>
      <x:c r="G1512" t="str">
        <x:v>Office Supplies</x:v>
      </x:c>
      <x:c r="H1512" t="str">
        <x:v>Binders</x:v>
      </x:c>
      <x:c r="I1512" s="22" t="n">
        <x:v>17.880000000000003</x:v>
      </x:c>
      <x:c r="J1512" s="24" t="n">
        <x:v>3</x:v>
      </x:c>
      <x:c r="K1512" s="26" t="n">
        <x:v>0.2</x:v>
      </x:c>
      <x:c r="L1512" s="22" t="n">
        <x:v>5.5875</x:v>
      </x:c>
      <x:c r="M1512" t="n">
        <x:v>2017</x:v>
      </x:c>
      <x:c r="N1512" s="20" t="n">
        <x:v>43070</x:v>
      </x:c>
    </x:row>
    <x:row r="1513" ht="18" customHeight="1">
      <x:c r="A1513" t="str">
        <x:v>CA-2016-134208</x:v>
      </x:c>
      <x:c r="B1513" s="18" t="n">
        <x:v>42630</x:v>
      </x:c>
      <x:c r="C1513" t="str">
        <x:v>CS-12505</x:v>
      </x:c>
      <x:c r="D1513" t="str">
        <x:v>Cindy Stewart</x:v>
      </x:c>
      <x:c r="E1513" t="str">
        <x:v>Consumer</x:v>
      </x:c>
      <x:c r="F1513" t="str">
        <x:v>South</x:v>
      </x:c>
      <x:c r="G1513" t="str">
        <x:v>Technology</x:v>
      </x:c>
      <x:c r="H1513" t="str">
        <x:v>Machines</x:v>
      </x:c>
      <x:c r="I1513" s="22" t="n">
        <x:v>396</x:v>
      </x:c>
      <x:c r="J1513" s="24" t="n">
        <x:v>4</x:v>
      </x:c>
      <x:c r="K1513" s="26" t="n">
        <x:v>0</x:v>
      </x:c>
      <x:c r="L1513" s="22" t="n">
        <x:v>190.07999999999998</x:v>
      </x:c>
      <x:c r="M1513" t="n">
        <x:v>2016</x:v>
      </x:c>
      <x:c r="N1513" s="20" t="n">
        <x:v>42614</x:v>
      </x:c>
    </x:row>
    <x:row r="1514" ht="18" customHeight="1">
      <x:c r="A1514" t="str">
        <x:v>CA-2017-108294</x:v>
      </x:c>
      <x:c r="B1514" s="18" t="n">
        <x:v>43079</x:v>
      </x:c>
      <x:c r="C1514" t="str">
        <x:v>LS-16975</x:v>
      </x:c>
      <x:c r="D1514" t="str">
        <x:v>Lindsay Shagiari</x:v>
      </x:c>
      <x:c r="E1514" t="str">
        <x:v>Home Office</x:v>
      </x:c>
      <x:c r="F1514" t="str">
        <x:v>Central</x:v>
      </x:c>
      <x:c r="G1514" t="str">
        <x:v>Office Supplies</x:v>
      </x:c>
      <x:c r="H1514" t="str">
        <x:v>Binders</x:v>
      </x:c>
      <x:c r="I1514" s="22" t="n">
        <x:v>34.5</x:v>
      </x:c>
      <x:c r="J1514" s="24" t="n">
        <x:v>3</x:v>
      </x:c>
      <x:c r="K1514" s="26" t="n">
        <x:v>0</x:v>
      </x:c>
      <x:c r="L1514" s="22" t="n">
        <x:v>15.524999999999999</x:v>
      </x:c>
      <x:c r="M1514" t="n">
        <x:v>2017</x:v>
      </x:c>
      <x:c r="N1514" s="20" t="n">
        <x:v>43070</x:v>
      </x:c>
    </x:row>
    <x:row r="1515" ht="18" customHeight="1">
      <x:c r="A1515" t="str">
        <x:v>CA-2017-103611</x:v>
      </x:c>
      <x:c r="B1515" s="18" t="n">
        <x:v>42990</x:v>
      </x:c>
      <x:c r="C1515" t="str">
        <x:v>JM-15535</x:v>
      </x:c>
      <x:c r="D1515" t="str">
        <x:v>Jessica Myrick</x:v>
      </x:c>
      <x:c r="E1515" t="str">
        <x:v>Consumer</x:v>
      </x:c>
      <x:c r="F1515" t="str">
        <x:v>West</x:v>
      </x:c>
      <x:c r="G1515" t="str">
        <x:v>Furniture</x:v>
      </x:c>
      <x:c r="H1515" t="str">
        <x:v>Furnishings</x:v>
      </x:c>
      <x:c r="I1515" s="22" t="n">
        <x:v>8.36</x:v>
      </x:c>
      <x:c r="J1515" s="24" t="n">
        <x:v>2</x:v>
      </x:c>
      <x:c r="K1515" s="26" t="n">
        <x:v>0</x:v>
      </x:c>
      <x:c r="L1515" s="22" t="n">
        <x:v>3.0096</x:v>
      </x:c>
      <x:c r="M1515" t="n">
        <x:v>2017</x:v>
      </x:c>
      <x:c r="N1515" s="20" t="n">
        <x:v>42979</x:v>
      </x:c>
    </x:row>
    <x:row r="1516" ht="18" customHeight="1">
      <x:c r="A1516" t="str">
        <x:v>CA-2017-100384</x:v>
      </x:c>
      <x:c r="B1516" s="18" t="n">
        <x:v>42910</x:v>
      </x:c>
      <x:c r="C1516" t="str">
        <x:v>NH-18610</x:v>
      </x:c>
      <x:c r="D1516" t="str">
        <x:v>Nicole Hansen</x:v>
      </x:c>
      <x:c r="E1516" t="str">
        <x:v>Corporate</x:v>
      </x:c>
      <x:c r="F1516" t="str">
        <x:v>West</x:v>
      </x:c>
      <x:c r="G1516" t="str">
        <x:v>Office Supplies</x:v>
      </x:c>
      <x:c r="H1516" t="str">
        <x:v>Art</x:v>
      </x:c>
      <x:c r="I1516" s="22" t="n">
        <x:v>385.6</x:v>
      </x:c>
      <x:c r="J1516" s="24" t="n">
        <x:v>8</x:v>
      </x:c>
      <x:c r="K1516" s="26" t="n">
        <x:v>0</x:v>
      </x:c>
      <x:c r="L1516" s="22" t="n">
        <x:v>111.82399999999996</x:v>
      </x:c>
      <x:c r="M1516" t="n">
        <x:v>2017</x:v>
      </x:c>
      <x:c r="N1516" s="20" t="n">
        <x:v>42887</x:v>
      </x:c>
    </x:row>
    <x:row r="1517" ht="18" customHeight="1">
      <x:c r="A1517" t="str">
        <x:v>CA-2017-100384</x:v>
      </x:c>
      <x:c r="B1517" s="18" t="n">
        <x:v>42910</x:v>
      </x:c>
      <x:c r="C1517" t="str">
        <x:v>NH-18610</x:v>
      </x:c>
      <x:c r="D1517" t="str">
        <x:v>Nicole Hansen</x:v>
      </x:c>
      <x:c r="E1517" t="str">
        <x:v>Corporate</x:v>
      </x:c>
      <x:c r="F1517" t="str">
        <x:v>West</x:v>
      </x:c>
      <x:c r="G1517" t="str">
        <x:v>Office Supplies</x:v>
      </x:c>
      <x:c r="H1517" t="str">
        <x:v>Art</x:v>
      </x:c>
      <x:c r="I1517" s="22" t="n">
        <x:v>35.82</x:v>
      </x:c>
      <x:c r="J1517" s="24" t="n">
        <x:v>9</x:v>
      </x:c>
      <x:c r="K1517" s="26" t="n">
        <x:v>0</x:v>
      </x:c>
      <x:c r="L1517" s="22" t="n">
        <x:v>11.820599999999997</x:v>
      </x:c>
      <x:c r="M1517" t="n">
        <x:v>2017</x:v>
      </x:c>
      <x:c r="N1517" s="20" t="n">
        <x:v>42887</x:v>
      </x:c>
    </x:row>
    <x:row r="1518" ht="18" customHeight="1">
      <x:c r="A1518" t="str">
        <x:v>CA-2017-112809</x:v>
      </x:c>
      <x:c r="B1518" s="18" t="n">
        <x:v>42965</x:v>
      </x:c>
      <x:c r="C1518" t="str">
        <x:v>RA-19915</x:v>
      </x:c>
      <x:c r="D1518" t="str">
        <x:v>Russell Applegate</x:v>
      </x:c>
      <x:c r="E1518" t="str">
        <x:v>Consumer</x:v>
      </x:c>
      <x:c r="F1518" t="str">
        <x:v>Central</x:v>
      </x:c>
      <x:c r="G1518" t="str">
        <x:v>Office Supplies</x:v>
      </x:c>
      <x:c r="H1518" t="str">
        <x:v>Storage</x:v>
      </x:c>
      <x:c r="I1518" s="22" t="n">
        <x:v>200.06400000000002</x:v>
      </x:c>
      <x:c r="J1518" s="24" t="n">
        <x:v>3</x:v>
      </x:c>
      <x:c r="K1518" s="26" t="n">
        <x:v>0.2</x:v>
      </x:c>
      <x:c r="L1518" s="22" t="n">
        <x:v>12.504000000000005</x:v>
      </x:c>
      <x:c r="M1518" t="n">
        <x:v>2017</x:v>
      </x:c>
      <x:c r="N1518" s="20" t="n">
        <x:v>42948</x:v>
      </x:c>
    </x:row>
    <x:row r="1519" ht="18" customHeight="1">
      <x:c r="A1519" t="str">
        <x:v>CA-2017-112809</x:v>
      </x:c>
      <x:c r="B1519" s="18" t="n">
        <x:v>42965</x:v>
      </x:c>
      <x:c r="C1519" t="str">
        <x:v>RA-19915</x:v>
      </x:c>
      <x:c r="D1519" t="str">
        <x:v>Russell Applegate</x:v>
      </x:c>
      <x:c r="E1519" t="str">
        <x:v>Consumer</x:v>
      </x:c>
      <x:c r="F1519" t="str">
        <x:v>Central</x:v>
      </x:c>
      <x:c r="G1519" t="str">
        <x:v>Office Supplies</x:v>
      </x:c>
      <x:c r="H1519" t="str">
        <x:v>Binders</x:v>
      </x:c>
      <x:c r="I1519" s="22" t="n">
        <x:v>21.379999999999995</x:v>
      </x:c>
      <x:c r="J1519" s="24" t="n">
        <x:v>5</x:v>
      </x:c>
      <x:c r="K1519" s="26" t="n">
        <x:v>0.8</x:v>
      </x:c>
      <x:c r="L1519" s="22" t="n">
        <x:v>-33.139</x:v>
      </x:c>
      <x:c r="M1519" t="n">
        <x:v>2017</x:v>
      </x:c>
      <x:c r="N1519" s="20" t="n">
        <x:v>42948</x:v>
      </x:c>
    </x:row>
    <x:row r="1520" ht="18" customHeight="1">
      <x:c r="A1520" t="str">
        <x:v>CA-2017-112809</x:v>
      </x:c>
      <x:c r="B1520" s="18" t="n">
        <x:v>42965</x:v>
      </x:c>
      <x:c r="C1520" t="str">
        <x:v>RA-19915</x:v>
      </x:c>
      <x:c r="D1520" t="str">
        <x:v>Russell Applegate</x:v>
      </x:c>
      <x:c r="E1520" t="str">
        <x:v>Consumer</x:v>
      </x:c>
      <x:c r="F1520" t="str">
        <x:v>Central</x:v>
      </x:c>
      <x:c r="G1520" t="str">
        <x:v>Office Supplies</x:v>
      </x:c>
      <x:c r="H1520" t="str">
        <x:v>Binders</x:v>
      </x:c>
      <x:c r="I1520" s="22" t="n">
        <x:v>6.743999999999998</x:v>
      </x:c>
      <x:c r="J1520" s="24" t="n">
        <x:v>4</x:v>
      </x:c>
      <x:c r="K1520" s="26" t="n">
        <x:v>0.8</x:v>
      </x:c>
      <x:c r="L1520" s="22" t="n">
        <x:v>-11.4648</x:v>
      </x:c>
      <x:c r="M1520" t="n">
        <x:v>2017</x:v>
      </x:c>
      <x:c r="N1520" s="20" t="n">
        <x:v>42948</x:v>
      </x:c>
    </x:row>
    <x:row r="1521" ht="18" customHeight="1">
      <x:c r="A1521" t="str">
        <x:v>US-2017-160759</x:v>
      </x:c>
      <x:c r="B1521" s="18" t="n">
        <x:v>43080</x:v>
      </x:c>
      <x:c r="C1521" t="str">
        <x:v>AI-10855</x:v>
      </x:c>
      <x:c r="D1521" t="str">
        <x:v>Arianne Irving</x:v>
      </x:c>
      <x:c r="E1521" t="str">
        <x:v>Consumer</x:v>
      </x:c>
      <x:c r="F1521" t="str">
        <x:v>East</x:v>
      </x:c>
      <x:c r="G1521" t="str">
        <x:v>Furniture</x:v>
      </x:c>
      <x:c r="H1521" t="str">
        <x:v>Chairs</x:v>
      </x:c>
      <x:c r="I1521" s="22" t="n">
        <x:v>63.686</x:v>
      </x:c>
      <x:c r="J1521" s="24" t="n">
        <x:v>1</x:v>
      </x:c>
      <x:c r="K1521" s="26" t="n">
        <x:v>0.3</x:v>
      </x:c>
      <x:c r="L1521" s="22" t="n">
        <x:v>-9.098000000000003</x:v>
      </x:c>
      <x:c r="M1521" t="n">
        <x:v>2017</x:v>
      </x:c>
      <x:c r="N1521" s="20" t="n">
        <x:v>43070</x:v>
      </x:c>
    </x:row>
    <x:row r="1522" ht="18" customHeight="1">
      <x:c r="A1522" t="str">
        <x:v>CA-2017-148446</x:v>
      </x:c>
      <x:c r="B1522" s="18" t="n">
        <x:v>43079</x:v>
      </x:c>
      <x:c r="C1522" t="str">
        <x:v>MC-17845</x:v>
      </x:c>
      <x:c r="D1522" t="str">
        <x:v>Michael Chen</x:v>
      </x:c>
      <x:c r="E1522" t="str">
        <x:v>Consumer</x:v>
      </x:c>
      <x:c r="F1522" t="str">
        <x:v>West</x:v>
      </x:c>
      <x:c r="G1522" t="str">
        <x:v>Furniture</x:v>
      </x:c>
      <x:c r="H1522" t="str">
        <x:v>Tables</x:v>
      </x:c>
      <x:c r="I1522" s="22" t="n">
        <x:v>1669.6</x:v>
      </x:c>
      <x:c r="J1522" s="24" t="n">
        <x:v>4</x:v>
      </x:c>
      <x:c r="K1522" s="26" t="n">
        <x:v>0</x:v>
      </x:c>
      <x:c r="L1522" s="22" t="n">
        <x:v>116.87199999999984</x:v>
      </x:c>
      <x:c r="M1522" t="n">
        <x:v>2017</x:v>
      </x:c>
      <x:c r="N1522" s="20" t="n">
        <x:v>43070</x:v>
      </x:c>
    </x:row>
    <x:row r="1523" ht="18" customHeight="1">
      <x:c r="A1523" t="str">
        <x:v>CA-2014-111059</x:v>
      </x:c>
      <x:c r="B1523" s="18" t="n">
        <x:v>41673</x:v>
      </x:c>
      <x:c r="C1523" t="str">
        <x:v>TB-21400</x:v>
      </x:c>
      <x:c r="D1523" t="str">
        <x:v>Tom Boeckenhauer</x:v>
      </x:c>
      <x:c r="E1523" t="str">
        <x:v>Consumer</x:v>
      </x:c>
      <x:c r="F1523" t="str">
        <x:v>West</x:v>
      </x:c>
      <x:c r="G1523" t="str">
        <x:v>Office Supplies</x:v>
      </x:c>
      <x:c r="H1523" t="str">
        <x:v>Binders</x:v>
      </x:c>
      <x:c r="I1523" s="22" t="n">
        <x:v>83.84</x:v>
      </x:c>
      <x:c r="J1523" s="24" t="n">
        <x:v>2</x:v>
      </x:c>
      <x:c r="K1523" s="26" t="n">
        <x:v>0.2</x:v>
      </x:c>
      <x:c r="L1523" s="22" t="n">
        <x:v>27.247999999999998</x:v>
      </x:c>
      <x:c r="M1523" t="n">
        <x:v>2014</x:v>
      </x:c>
      <x:c r="N1523" s="20" t="n">
        <x:v>41671</x:v>
      </x:c>
    </x:row>
    <x:row r="1524" ht="18" customHeight="1">
      <x:c r="A1524" t="str">
        <x:v>CA-2014-111059</x:v>
      </x:c>
      <x:c r="B1524" s="18" t="n">
        <x:v>41673</x:v>
      </x:c>
      <x:c r="C1524" t="str">
        <x:v>TB-21400</x:v>
      </x:c>
      <x:c r="D1524" t="str">
        <x:v>Tom Boeckenhauer</x:v>
      </x:c>
      <x:c r="E1524" t="str">
        <x:v>Consumer</x:v>
      </x:c>
      <x:c r="F1524" t="str">
        <x:v>West</x:v>
      </x:c>
      <x:c r="G1524" t="str">
        <x:v>Office Supplies</x:v>
      </x:c>
      <x:c r="H1524" t="str">
        <x:v>Binders</x:v>
      </x:c>
      <x:c r="I1524" s="22" t="n">
        <x:v>13.272000000000002</x:v>
      </x:c>
      <x:c r="J1524" s="24" t="n">
        <x:v>3</x:v>
      </x:c>
      <x:c r="K1524" s="26" t="n">
        <x:v>0.2</x:v>
      </x:c>
      <x:c r="L1524" s="22" t="n">
        <x:v>4.3134</x:v>
      </x:c>
      <x:c r="M1524" t="n">
        <x:v>2014</x:v>
      </x:c>
      <x:c r="N1524" s="20" t="n">
        <x:v>41671</x:v>
      </x:c>
    </x:row>
    <x:row r="1525" ht="18" customHeight="1">
      <x:c r="A1525" t="str">
        <x:v>CA-2017-116204</x:v>
      </x:c>
      <x:c r="B1525" s="18" t="n">
        <x:v>42777</x:v>
      </x:c>
      <x:c r="C1525" t="str">
        <x:v>VW-21775</x:v>
      </x:c>
      <x:c r="D1525" t="str">
        <x:v>Victoria Wilson</x:v>
      </x:c>
      <x:c r="E1525" t="str">
        <x:v>Corporate</x:v>
      </x:c>
      <x:c r="F1525" t="str">
        <x:v>West</x:v>
      </x:c>
      <x:c r="G1525" t="str">
        <x:v>Office Supplies</x:v>
      </x:c>
      <x:c r="H1525" t="str">
        <x:v>Binders</x:v>
      </x:c>
      <x:c r="I1525" s="22" t="n">
        <x:v>21.336</x:v>
      </x:c>
      <x:c r="J1525" s="24" t="n">
        <x:v>7</x:v>
      </x:c>
      <x:c r="K1525" s="26" t="n">
        <x:v>0.2</x:v>
      </x:c>
      <x:c r="L1525" s="22" t="n">
        <x:v>7.734300000000001</x:v>
      </x:c>
      <x:c r="M1525" t="n">
        <x:v>2017</x:v>
      </x:c>
      <x:c r="N1525" s="20" t="n">
        <x:v>42767</x:v>
      </x:c>
    </x:row>
    <x:row r="1526" ht="18" customHeight="1">
      <x:c r="A1526" t="str">
        <x:v>CA-2017-109946</x:v>
      </x:c>
      <x:c r="B1526" s="18" t="n">
        <x:v>42841</x:v>
      </x:c>
      <x:c r="C1526" t="str">
        <x:v>PL-18925</x:v>
      </x:c>
      <x:c r="D1526" t="str">
        <x:v>Paul Lucas</x:v>
      </x:c>
      <x:c r="E1526" t="str">
        <x:v>Home Office</x:v>
      </x:c>
      <x:c r="F1526" t="str">
        <x:v>Central</x:v>
      </x:c>
      <x:c r="G1526" t="str">
        <x:v>Office Supplies</x:v>
      </x:c>
      <x:c r="H1526" t="str">
        <x:v>Art</x:v>
      </x:c>
      <x:c r="I1526" s="22" t="n">
        <x:v>16.520000000000003</x:v>
      </x:c>
      <x:c r="J1526" s="24" t="n">
        <x:v>5</x:v>
      </x:c>
      <x:c r="K1526" s="26" t="n">
        <x:v>0.2</x:v>
      </x:c>
      <x:c r="L1526" s="22" t="n">
        <x:v>2.0649999999999986</x:v>
      </x:c>
      <x:c r="M1526" t="n">
        <x:v>2017</x:v>
      </x:c>
      <x:c r="N1526" s="20" t="n">
        <x:v>42826</x:v>
      </x:c>
    </x:row>
    <x:row r="1527" ht="18" customHeight="1">
      <x:c r="A1527" t="str">
        <x:v>CA-2015-144806</x:v>
      </x:c>
      <x:c r="B1527" s="18" t="n">
        <x:v>42344</x:v>
      </x:c>
      <x:c r="C1527" t="str">
        <x:v>GH-14425</x:v>
      </x:c>
      <x:c r="D1527" t="str">
        <x:v>Gary Hwang</x:v>
      </x:c>
      <x:c r="E1527" t="str">
        <x:v>Consumer</x:v>
      </x:c>
      <x:c r="F1527" t="str">
        <x:v>West</x:v>
      </x:c>
      <x:c r="G1527" t="str">
        <x:v>Furniture</x:v>
      </x:c>
      <x:c r="H1527" t="str">
        <x:v>Furnishings</x:v>
      </x:c>
      <x:c r="I1527" s="22" t="n">
        <x:v>206.11199999999997</x:v>
      </x:c>
      <x:c r="J1527" s="24" t="n">
        <x:v>6</x:v>
      </x:c>
      <x:c r="K1527" s="26" t="n">
        <x:v>0.2</x:v>
      </x:c>
      <x:c r="L1527" s="22" t="n">
        <x:v>48.95160000000001</x:v>
      </x:c>
      <x:c r="M1527" t="n">
        <x:v>2015</x:v>
      </x:c>
      <x:c r="N1527" s="20" t="n">
        <x:v>42339</x:v>
      </x:c>
    </x:row>
    <x:row r="1528" ht="18" customHeight="1">
      <x:c r="A1528" t="str">
        <x:v>CA-2015-144806</x:v>
      </x:c>
      <x:c r="B1528" s="18" t="n">
        <x:v>42344</x:v>
      </x:c>
      <x:c r="C1528" t="str">
        <x:v>GH-14425</x:v>
      </x:c>
      <x:c r="D1528" t="str">
        <x:v>Gary Hwang</x:v>
      </x:c>
      <x:c r="E1528" t="str">
        <x:v>Consumer</x:v>
      </x:c>
      <x:c r="F1528" t="str">
        <x:v>West</x:v>
      </x:c>
      <x:c r="G1528" t="str">
        <x:v>Office Supplies</x:v>
      </x:c>
      <x:c r="H1528" t="str">
        <x:v>Paper</x:v>
      </x:c>
      <x:c r="I1528" s="22" t="n">
        <x:v>19.92</x:v>
      </x:c>
      <x:c r="J1528" s="24" t="n">
        <x:v>5</x:v>
      </x:c>
      <x:c r="K1528" s="26" t="n">
        <x:v>0.2</x:v>
      </x:c>
      <x:c r="L1528" s="22" t="n">
        <x:v>6.723000000000001</x:v>
      </x:c>
      <x:c r="M1528" t="n">
        <x:v>2015</x:v>
      </x:c>
      <x:c r="N1528" s="20" t="n">
        <x:v>42339</x:v>
      </x:c>
    </x:row>
    <x:row r="1529" ht="18" customHeight="1">
      <x:c r="A1529" t="str">
        <x:v>CA-2015-144806</x:v>
      </x:c>
      <x:c r="B1529" s="18" t="n">
        <x:v>42344</x:v>
      </x:c>
      <x:c r="C1529" t="str">
        <x:v>GH-14425</x:v>
      </x:c>
      <x:c r="D1529" t="str">
        <x:v>Gary Hwang</x:v>
      </x:c>
      <x:c r="E1529" t="str">
        <x:v>Consumer</x:v>
      </x:c>
      <x:c r="F1529" t="str">
        <x:v>West</x:v>
      </x:c>
      <x:c r="G1529" t="str">
        <x:v>Office Supplies</x:v>
      </x:c>
      <x:c r="H1529" t="str">
        <x:v>Paper</x:v>
      </x:c>
      <x:c r="I1529" s="22" t="n">
        <x:v>198.27200000000002</x:v>
      </x:c>
      <x:c r="J1529" s="24" t="n">
        <x:v>8</x:v>
      </x:c>
      <x:c r="K1529" s="26" t="n">
        <x:v>0.2</x:v>
      </x:c>
      <x:c r="L1529" s="22" t="n">
        <x:v>61.95999999999999</x:v>
      </x:c>
      <x:c r="M1529" t="n">
        <x:v>2015</x:v>
      </x:c>
      <x:c r="N1529" s="20" t="n">
        <x:v>42339</x:v>
      </x:c>
    </x:row>
    <x:row r="1530" ht="18" customHeight="1">
      <x:c r="A1530" t="str">
        <x:v>CA-2015-144806</x:v>
      </x:c>
      <x:c r="B1530" s="18" t="n">
        <x:v>42344</x:v>
      </x:c>
      <x:c r="C1530" t="str">
        <x:v>GH-14425</x:v>
      </x:c>
      <x:c r="D1530" t="str">
        <x:v>Gary Hwang</x:v>
      </x:c>
      <x:c r="E1530" t="str">
        <x:v>Consumer</x:v>
      </x:c>
      <x:c r="F1530" t="str">
        <x:v>West</x:v>
      </x:c>
      <x:c r="G1530" t="str">
        <x:v>Office Supplies</x:v>
      </x:c>
      <x:c r="H1530" t="str">
        <x:v>Storage</x:v>
      </x:c>
      <x:c r="I1530" s="22" t="n">
        <x:v>247.10399999999998</x:v>
      </x:c>
      <x:c r="J1530" s="24" t="n">
        <x:v>6</x:v>
      </x:c>
      <x:c r="K1530" s="26" t="n">
        <x:v>0.2</x:v>
      </x:c>
      <x:c r="L1530" s="22" t="n">
        <x:v>-58.68719999999999</x:v>
      </x:c>
      <x:c r="M1530" t="n">
        <x:v>2015</x:v>
      </x:c>
      <x:c r="N1530" s="20" t="n">
        <x:v>42339</x:v>
      </x:c>
    </x:row>
    <x:row r="1531" ht="18" customHeight="1">
      <x:c r="A1531" t="str">
        <x:v>CA-2015-144806</x:v>
      </x:c>
      <x:c r="B1531" s="18" t="n">
        <x:v>42344</x:v>
      </x:c>
      <x:c r="C1531" t="str">
        <x:v>GH-14425</x:v>
      </x:c>
      <x:c r="D1531" t="str">
        <x:v>Gary Hwang</x:v>
      </x:c>
      <x:c r="E1531" t="str">
        <x:v>Consumer</x:v>
      </x:c>
      <x:c r="F1531" t="str">
        <x:v>West</x:v>
      </x:c>
      <x:c r="G1531" t="str">
        <x:v>Office Supplies</x:v>
      </x:c>
      <x:c r="H1531" t="str">
        <x:v>Art</x:v>
      </x:c>
      <x:c r="I1531" s="22" t="n">
        <x:v>86.304</x:v>
      </x:c>
      <x:c r="J1531" s="24" t="n">
        <x:v>6</x:v>
      </x:c>
      <x:c r="K1531" s="26" t="n">
        <x:v>0.2</x:v>
      </x:c>
      <x:c r="L1531" s="22" t="n">
        <x:v>9.709199999999989</x:v>
      </x:c>
      <x:c r="M1531" t="n">
        <x:v>2015</x:v>
      </x:c>
      <x:c r="N1531" s="20" t="n">
        <x:v>42339</x:v>
      </x:c>
    </x:row>
    <x:row r="1532" ht="18" customHeight="1">
      <x:c r="A1532" t="str">
        <x:v>CA-2016-122392</x:v>
      </x:c>
      <x:c r="B1532" s="18" t="n">
        <x:v>42573</x:v>
      </x:c>
      <x:c r="C1532" t="str">
        <x:v>CJ-12010</x:v>
      </x:c>
      <x:c r="D1532" t="str">
        <x:v>Caroline Jumper</x:v>
      </x:c>
      <x:c r="E1532" t="str">
        <x:v>Consumer</x:v>
      </x:c>
      <x:c r="F1532" t="str">
        <x:v>East</x:v>
      </x:c>
      <x:c r="G1532" t="str">
        <x:v>Office Supplies</x:v>
      </x:c>
      <x:c r="H1532" t="str">
        <x:v>Art</x:v>
      </x:c>
      <x:c r="I1532" s="22" t="n">
        <x:v>4.16</x:v>
      </x:c>
      <x:c r="J1532" s="24" t="n">
        <x:v>2</x:v>
      </x:c>
      <x:c r="K1532" s="26" t="n">
        <x:v>0.2</x:v>
      </x:c>
      <x:c r="L1532" s="22" t="n">
        <x:v>0.3640000000000003</x:v>
      </x:c>
      <x:c r="M1532" t="n">
        <x:v>2016</x:v>
      </x:c>
      <x:c r="N1532" s="20" t="n">
        <x:v>42552</x:v>
      </x:c>
    </x:row>
    <x:row r="1533" ht="18" customHeight="1">
      <x:c r="A1533" t="str">
        <x:v>CA-2016-122392</x:v>
      </x:c>
      <x:c r="B1533" s="18" t="n">
        <x:v>42573</x:v>
      </x:c>
      <x:c r="C1533" t="str">
        <x:v>CJ-12010</x:v>
      </x:c>
      <x:c r="D1533" t="str">
        <x:v>Caroline Jumper</x:v>
      </x:c>
      <x:c r="E1533" t="str">
        <x:v>Consumer</x:v>
      </x:c>
      <x:c r="F1533" t="str">
        <x:v>East</x:v>
      </x:c>
      <x:c r="G1533" t="str">
        <x:v>Furniture</x:v>
      </x:c>
      <x:c r="H1533" t="str">
        <x:v>Furnishings</x:v>
      </x:c>
      <x:c r="I1533" s="22" t="n">
        <x:v>11.648000000000001</x:v>
      </x:c>
      <x:c r="J1533" s="24" t="n">
        <x:v>2</x:v>
      </x:c>
      <x:c r="K1533" s="26" t="n">
        <x:v>0.2</x:v>
      </x:c>
      <x:c r="L1533" s="22" t="n">
        <x:v>3.348800000000001</x:v>
      </x:c>
      <x:c r="M1533" t="n">
        <x:v>2016</x:v>
      </x:c>
      <x:c r="N1533" s="20" t="n">
        <x:v>42552</x:v>
      </x:c>
    </x:row>
    <x:row r="1534" ht="18" customHeight="1">
      <x:c r="A1534" t="str">
        <x:v>CA-2015-148432</x:v>
      </x:c>
      <x:c r="B1534" s="18" t="n">
        <x:v>42315</x:v>
      </x:c>
      <x:c r="C1534" t="str">
        <x:v>MC-18130</x:v>
      </x:c>
      <x:c r="D1534" t="str">
        <x:v>Mike Caudle</x:v>
      </x:c>
      <x:c r="E1534" t="str">
        <x:v>Corporate</x:v>
      </x:c>
      <x:c r="F1534" t="str">
        <x:v>East</x:v>
      </x:c>
      <x:c r="G1534" t="str">
        <x:v>Office Supplies</x:v>
      </x:c>
      <x:c r="H1534" t="str">
        <x:v>Fasteners</x:v>
      </x:c>
      <x:c r="I1534" s="22" t="n">
        <x:v>26.18</x:v>
      </x:c>
      <x:c r="J1534" s="24" t="n">
        <x:v>7</x:v>
      </x:c>
      <x:c r="K1534" s="26" t="n">
        <x:v>0</x:v>
      </x:c>
      <x:c r="L1534" s="22" t="n">
        <x:v>0.5236000000000014</x:v>
      </x:c>
      <x:c r="M1534" t="n">
        <x:v>2015</x:v>
      </x:c>
      <x:c r="N1534" s="20" t="n">
        <x:v>42309</x:v>
      </x:c>
    </x:row>
    <x:row r="1535" ht="18" customHeight="1">
      <x:c r="A1535" t="str">
        <x:v>CA-2015-148432</x:v>
      </x:c>
      <x:c r="B1535" s="18" t="n">
        <x:v>42315</x:v>
      </x:c>
      <x:c r="C1535" t="str">
        <x:v>MC-18130</x:v>
      </x:c>
      <x:c r="D1535" t="str">
        <x:v>Mike Caudle</x:v>
      </x:c>
      <x:c r="E1535" t="str">
        <x:v>Corporate</x:v>
      </x:c>
      <x:c r="F1535" t="str">
        <x:v>East</x:v>
      </x:c>
      <x:c r="G1535" t="str">
        <x:v>Office Supplies</x:v>
      </x:c>
      <x:c r="H1535" t="str">
        <x:v>Paper</x:v>
      </x:c>
      <x:c r="I1535" s="22" t="n">
        <x:v>7.3</x:v>
      </x:c>
      <x:c r="J1535" s="24" t="n">
        <x:v>2</x:v>
      </x:c>
      <x:c r="K1535" s="26" t="n">
        <x:v>0</x:v>
      </x:c>
      <x:c r="L1535" s="22" t="n">
        <x:v>3.4309999999999996</x:v>
      </x:c>
      <x:c r="M1535" t="n">
        <x:v>2015</x:v>
      </x:c>
      <x:c r="N1535" s="20" t="n">
        <x:v>42309</x:v>
      </x:c>
    </x:row>
    <x:row r="1536" ht="18" customHeight="1">
      <x:c r="A1536" t="str">
        <x:v>CA-2015-103793</x:v>
      </x:c>
      <x:c r="B1536" s="18" t="n">
        <x:v>42089</x:v>
      </x:c>
      <x:c r="C1536" t="str">
        <x:v>BV-11245</x:v>
      </x:c>
      <x:c r="D1536" t="str">
        <x:v>Benjamin Venier</x:v>
      </x:c>
      <x:c r="E1536" t="str">
        <x:v>Corporate</x:v>
      </x:c>
      <x:c r="F1536" t="str">
        <x:v>South</x:v>
      </x:c>
      <x:c r="G1536" t="str">
        <x:v>Office Supplies</x:v>
      </x:c>
      <x:c r="H1536" t="str">
        <x:v>Paper</x:v>
      </x:c>
      <x:c r="I1536" s="22" t="n">
        <x:v>74.352</x:v>
      </x:c>
      <x:c r="J1536" s="24" t="n">
        <x:v>3</x:v>
      </x:c>
      <x:c r="K1536" s="26" t="n">
        <x:v>0.2</x:v>
      </x:c>
      <x:c r="L1536" s="22" t="n">
        <x:v>23.234999999999992</x:v>
      </x:c>
      <x:c r="M1536" t="n">
        <x:v>2015</x:v>
      </x:c>
      <x:c r="N1536" s="20" t="n">
        <x:v>42064</x:v>
      </x:c>
    </x:row>
    <x:row r="1537" ht="18" customHeight="1">
      <x:c r="A1537" t="str">
        <x:v>CA-2017-159884</x:v>
      </x:c>
      <x:c r="B1537" s="18" t="n">
        <x:v>42978</x:v>
      </x:c>
      <x:c r="C1537" t="str">
        <x:v>JF-15490</x:v>
      </x:c>
      <x:c r="D1537" t="str">
        <x:v>Jeremy Farry</x:v>
      </x:c>
      <x:c r="E1537" t="str">
        <x:v>Consumer</x:v>
      </x:c>
      <x:c r="F1537" t="str">
        <x:v>West</x:v>
      </x:c>
      <x:c r="G1537" t="str">
        <x:v>Office Supplies</x:v>
      </x:c>
      <x:c r="H1537" t="str">
        <x:v>Storage</x:v>
      </x:c>
      <x:c r="I1537" s="22" t="n">
        <x:v>10.744</x:v>
      </x:c>
      <x:c r="J1537" s="24" t="n">
        <x:v>1</x:v>
      </x:c>
      <x:c r="K1537" s="26" t="n">
        <x:v>0.2</x:v>
      </x:c>
      <x:c r="L1537" s="22" t="n">
        <x:v>0.8057999999999996</x:v>
      </x:c>
      <x:c r="M1537" t="n">
        <x:v>2017</x:v>
      </x:c>
      <x:c r="N1537" s="20" t="n">
        <x:v>42948</x:v>
      </x:c>
    </x:row>
    <x:row r="1538" ht="18" customHeight="1">
      <x:c r="A1538" t="str">
        <x:v>CA-2017-159884</x:v>
      </x:c>
      <x:c r="B1538" s="18" t="n">
        <x:v>42978</x:v>
      </x:c>
      <x:c r="C1538" t="str">
        <x:v>JF-15490</x:v>
      </x:c>
      <x:c r="D1538" t="str">
        <x:v>Jeremy Farry</x:v>
      </x:c>
      <x:c r="E1538" t="str">
        <x:v>Consumer</x:v>
      </x:c>
      <x:c r="F1538" t="str">
        <x:v>West</x:v>
      </x:c>
      <x:c r="G1538" t="str">
        <x:v>Office Supplies</x:v>
      </x:c>
      <x:c r="H1538" t="str">
        <x:v>Fasteners</x:v>
      </x:c>
      <x:c r="I1538" s="22" t="n">
        <x:v>8.376000000000001</x:v>
      </x:c>
      <x:c r="J1538" s="24" t="n">
        <x:v>3</x:v>
      </x:c>
      <x:c r="K1538" s="26" t="n">
        <x:v>0.2</x:v>
      </x:c>
      <x:c r="L1538" s="22" t="n">
        <x:v>2.7222</x:v>
      </x:c>
      <x:c r="M1538" t="n">
        <x:v>2017</x:v>
      </x:c>
      <x:c r="N1538" s="20" t="n">
        <x:v>42948</x:v>
      </x:c>
    </x:row>
    <x:row r="1539" ht="18" customHeight="1">
      <x:c r="A1539" t="str">
        <x:v>CA-2016-139885</x:v>
      </x:c>
      <x:c r="B1539" s="18" t="n">
        <x:v>42708</x:v>
      </x:c>
      <x:c r="C1539" t="str">
        <x:v>EB-13840</x:v>
      </x:c>
      <x:c r="D1539" t="str">
        <x:v>Ellis Ballard</x:v>
      </x:c>
      <x:c r="E1539" t="str">
        <x:v>Corporate</x:v>
      </x:c>
      <x:c r="F1539" t="str">
        <x:v>East</x:v>
      </x:c>
      <x:c r="G1539" t="str">
        <x:v>Office Supplies</x:v>
      </x:c>
      <x:c r="H1539" t="str">
        <x:v>Storage</x:v>
      </x:c>
      <x:c r="I1539" s="22" t="n">
        <x:v>212.88</x:v>
      </x:c>
      <x:c r="J1539" s="24" t="n">
        <x:v>6</x:v>
      </x:c>
      <x:c r="K1539" s="26" t="n">
        <x:v>0</x:v>
      </x:c>
      <x:c r="L1539" s="22" t="n">
        <x:v>0</x:v>
      </x:c>
      <x:c r="M1539" t="n">
        <x:v>2016</x:v>
      </x:c>
      <x:c r="N1539" s="20" t="n">
        <x:v>42705</x:v>
      </x:c>
    </x:row>
    <x:row r="1540" ht="18" customHeight="1">
      <x:c r="A1540" t="str">
        <x:v>CA-2017-124086</x:v>
      </x:c>
      <x:c r="B1540" s="18" t="n">
        <x:v>42776</x:v>
      </x:c>
      <x:c r="C1540" t="str">
        <x:v>MP-18175</x:v>
      </x:c>
      <x:c r="D1540" t="str">
        <x:v>Mike Pelletier</x:v>
      </x:c>
      <x:c r="E1540" t="str">
        <x:v>Home Office</x:v>
      </x:c>
      <x:c r="F1540" t="str">
        <x:v>West</x:v>
      </x:c>
      <x:c r="G1540" t="str">
        <x:v>Furniture</x:v>
      </x:c>
      <x:c r="H1540" t="str">
        <x:v>Bookcases</x:v>
      </x:c>
      <x:c r="I1540" s="22" t="n">
        <x:v>203.98299999999998</x:v>
      </x:c>
      <x:c r="J1540" s="24" t="n">
        <x:v>2</x:v>
      </x:c>
      <x:c r="K1540" s="26" t="n">
        <x:v>0.15</x:v>
      </x:c>
      <x:c r="L1540" s="22" t="n">
        <x:v>16.79859999999998</x:v>
      </x:c>
      <x:c r="M1540" t="n">
        <x:v>2017</x:v>
      </x:c>
      <x:c r="N1540" s="20" t="n">
        <x:v>42767</x:v>
      </x:c>
    </x:row>
    <x:row r="1541" ht="18" customHeight="1">
      <x:c r="A1541" t="str">
        <x:v>CA-2016-112389</x:v>
      </x:c>
      <x:c r="B1541" s="18" t="n">
        <x:v>42672</x:v>
      </x:c>
      <x:c r="C1541" t="str">
        <x:v>JM-15655</x:v>
      </x:c>
      <x:c r="D1541" t="str">
        <x:v>Jim Mitchum</x:v>
      </x:c>
      <x:c r="E1541" t="str">
        <x:v>Corporate</x:v>
      </x:c>
      <x:c r="F1541" t="str">
        <x:v>East</x:v>
      </x:c>
      <x:c r="G1541" t="str">
        <x:v>Office Supplies</x:v>
      </x:c>
      <x:c r="H1541" t="str">
        <x:v>Storage</x:v>
      </x:c>
      <x:c r="I1541" s="22" t="n">
        <x:v>40.74</x:v>
      </x:c>
      <x:c r="J1541" s="24" t="n">
        <x:v>3</x:v>
      </x:c>
      <x:c r="K1541" s="26" t="n">
        <x:v>0</x:v>
      </x:c>
      <x:c r="L1541" s="22" t="n">
        <x:v>0.4073999999999991</x:v>
      </x:c>
      <x:c r="M1541" t="n">
        <x:v>2016</x:v>
      </x:c>
      <x:c r="N1541" s="20" t="n">
        <x:v>42644</x:v>
      </x:c>
    </x:row>
    <x:row r="1542" ht="18" customHeight="1">
      <x:c r="A1542" t="str">
        <x:v>CA-2016-112389</x:v>
      </x:c>
      <x:c r="B1542" s="18" t="n">
        <x:v>42672</x:v>
      </x:c>
      <x:c r="C1542" t="str">
        <x:v>JM-15655</x:v>
      </x:c>
      <x:c r="D1542" t="str">
        <x:v>Jim Mitchum</x:v>
      </x:c>
      <x:c r="E1542" t="str">
        <x:v>Corporate</x:v>
      </x:c>
      <x:c r="F1542" t="str">
        <x:v>East</x:v>
      </x:c>
      <x:c r="G1542" t="str">
        <x:v>Office Supplies</x:v>
      </x:c>
      <x:c r="H1542" t="str">
        <x:v>Appliances</x:v>
      </x:c>
      <x:c r="I1542" s="22" t="n">
        <x:v>11.67</x:v>
      </x:c>
      <x:c r="J1542" s="24" t="n">
        <x:v>3</x:v>
      </x:c>
      <x:c r="K1542" s="26" t="n">
        <x:v>0</x:v>
      </x:c>
      <x:c r="L1542" s="22" t="n">
        <x:v>3.0342000000000002</x:v>
      </x:c>
      <x:c r="M1542" t="n">
        <x:v>2016</x:v>
      </x:c>
      <x:c r="N1542" s="20" t="n">
        <x:v>42644</x:v>
      </x:c>
    </x:row>
    <x:row r="1543" ht="18" customHeight="1">
      <x:c r="A1543" t="str">
        <x:v>CA-2017-121888</x:v>
      </x:c>
      <x:c r="B1543" s="18" t="n">
        <x:v>42993</x:v>
      </x:c>
      <x:c r="C1543" t="str">
        <x:v>CL-11890</x:v>
      </x:c>
      <x:c r="D1543" t="str">
        <x:v>Carl Ludwig</x:v>
      </x:c>
      <x:c r="E1543" t="str">
        <x:v>Consumer</x:v>
      </x:c>
      <x:c r="F1543" t="str">
        <x:v>East</x:v>
      </x:c>
      <x:c r="G1543" t="str">
        <x:v>Technology</x:v>
      </x:c>
      <x:c r="H1543" t="str">
        <x:v>Phones</x:v>
      </x:c>
      <x:c r="I1543" s="22" t="n">
        <x:v>39.99</x:v>
      </x:c>
      <x:c r="J1543" s="24" t="n">
        <x:v>1</x:v>
      </x:c>
      <x:c r="K1543" s="26" t="n">
        <x:v>0</x:v>
      </x:c>
      <x:c r="L1543" s="22" t="n">
        <x:v>11.597099999999998</x:v>
      </x:c>
      <x:c r="M1543" t="n">
        <x:v>2017</x:v>
      </x:c>
      <x:c r="N1543" s="20" t="n">
        <x:v>42979</x:v>
      </x:c>
    </x:row>
    <x:row r="1544" ht="18" customHeight="1">
      <x:c r="A1544" t="str">
        <x:v>CA-2017-121888</x:v>
      </x:c>
      <x:c r="B1544" s="18" t="n">
        <x:v>42993</x:v>
      </x:c>
      <x:c r="C1544" t="str">
        <x:v>CL-11890</x:v>
      </x:c>
      <x:c r="D1544" t="str">
        <x:v>Carl Ludwig</x:v>
      </x:c>
      <x:c r="E1544" t="str">
        <x:v>Consumer</x:v>
      </x:c>
      <x:c r="F1544" t="str">
        <x:v>East</x:v>
      </x:c>
      <x:c r="G1544" t="str">
        <x:v>Office Supplies</x:v>
      </x:c>
      <x:c r="H1544" t="str">
        <x:v>Art</x:v>
      </x:c>
      <x:c r="I1544" s="22" t="n">
        <x:v>16.28</x:v>
      </x:c>
      <x:c r="J1544" s="24" t="n">
        <x:v>2</x:v>
      </x:c>
      <x:c r="K1544" s="26" t="n">
        <x:v>0</x:v>
      </x:c>
      <x:c r="L1544" s="22" t="n">
        <x:v>6.5120000000000005</x:v>
      </x:c>
      <x:c r="M1544" t="n">
        <x:v>2017</x:v>
      </x:c>
      <x:c r="N1544" s="20" t="n">
        <x:v>42979</x:v>
      </x:c>
    </x:row>
    <x:row r="1545" ht="18" customHeight="1">
      <x:c r="A1545" t="str">
        <x:v>CA-2017-121888</x:v>
      </x:c>
      <x:c r="B1545" s="18" t="n">
        <x:v>42993</x:v>
      </x:c>
      <x:c r="C1545" t="str">
        <x:v>CL-11890</x:v>
      </x:c>
      <x:c r="D1545" t="str">
        <x:v>Carl Ludwig</x:v>
      </x:c>
      <x:c r="E1545" t="str">
        <x:v>Consumer</x:v>
      </x:c>
      <x:c r="F1545" t="str">
        <x:v>East</x:v>
      </x:c>
      <x:c r="G1545" t="str">
        <x:v>Furniture</x:v>
      </x:c>
      <x:c r="H1545" t="str">
        <x:v>Bookcases</x:v>
      </x:c>
      <x:c r="I1545" s="22" t="n">
        <x:v>782.94</x:v>
      </x:c>
      <x:c r="J1545" s="24" t="n">
        <x:v>3</x:v>
      </x:c>
      <x:c r="K1545" s="26" t="n">
        <x:v>0</x:v>
      </x:c>
      <x:c r="L1545" s="22" t="n">
        <x:v>203.56440000000003</x:v>
      </x:c>
      <x:c r="M1545" t="n">
        <x:v>2017</x:v>
      </x:c>
      <x:c r="N1545" s="20" t="n">
        <x:v>42979</x:v>
      </x:c>
    </x:row>
    <x:row r="1546" ht="18" customHeight="1">
      <x:c r="A1546" t="str">
        <x:v>CA-2017-121888</x:v>
      </x:c>
      <x:c r="B1546" s="18" t="n">
        <x:v>42993</x:v>
      </x:c>
      <x:c r="C1546" t="str">
        <x:v>CL-11890</x:v>
      </x:c>
      <x:c r="D1546" t="str">
        <x:v>Carl Ludwig</x:v>
      </x:c>
      <x:c r="E1546" t="str">
        <x:v>Consumer</x:v>
      </x:c>
      <x:c r="F1546" t="str">
        <x:v>East</x:v>
      </x:c>
      <x:c r="G1546" t="str">
        <x:v>Office Supplies</x:v>
      </x:c>
      <x:c r="H1546" t="str">
        <x:v>Binders</x:v>
      </x:c>
      <x:c r="I1546" s="22" t="n">
        <x:v>242.48000000000002</x:v>
      </x:c>
      <x:c r="J1546" s="24" t="n">
        <x:v>7</x:v>
      </x:c>
      <x:c r="K1546" s="26" t="n">
        <x:v>0</x:v>
      </x:c>
      <x:c r="L1546" s="22" t="n">
        <x:v>116.39039999999999</x:v>
      </x:c>
      <x:c r="M1546" t="n">
        <x:v>2017</x:v>
      </x:c>
      <x:c r="N1546" s="20" t="n">
        <x:v>42979</x:v>
      </x:c>
    </x:row>
    <x:row r="1547" ht="18" customHeight="1">
      <x:c r="A1547" t="str">
        <x:v>CA-2014-166884</x:v>
      </x:c>
      <x:c r="B1547" s="18" t="n">
        <x:v>41709</x:v>
      </x:c>
      <x:c r="C1547" t="str">
        <x:v>CK-12205</x:v>
      </x:c>
      <x:c r="D1547" t="str">
        <x:v>Chloris Kastensmidt</x:v>
      </x:c>
      <x:c r="E1547" t="str">
        <x:v>Consumer</x:v>
      </x:c>
      <x:c r="F1547" t="str">
        <x:v>East</x:v>
      </x:c>
      <x:c r="G1547" t="str">
        <x:v>Furniture</x:v>
      </x:c>
      <x:c r="H1547" t="str">
        <x:v>Furnishings</x:v>
      </x:c>
      <x:c r="I1547" s="22" t="n">
        <x:v>8.32</x:v>
      </x:c>
      <x:c r="J1547" s="24" t="n">
        <x:v>5</x:v>
      </x:c>
      <x:c r="K1547" s="26" t="n">
        <x:v>0.2</x:v>
      </x:c>
      <x:c r="L1547" s="22" t="n">
        <x:v>2.2880000000000003</x:v>
      </x:c>
      <x:c r="M1547" t="n">
        <x:v>2014</x:v>
      </x:c>
      <x:c r="N1547" s="20" t="n">
        <x:v>41699</x:v>
      </x:c>
    </x:row>
    <x:row r="1548" ht="18" customHeight="1">
      <x:c r="A1548" t="str">
        <x:v>CA-2014-166884</x:v>
      </x:c>
      <x:c r="B1548" s="18" t="n">
        <x:v>41709</x:v>
      </x:c>
      <x:c r="C1548" t="str">
        <x:v>CK-12205</x:v>
      </x:c>
      <x:c r="D1548" t="str">
        <x:v>Chloris Kastensmidt</x:v>
      </x:c>
      <x:c r="E1548" t="str">
        <x:v>Consumer</x:v>
      </x:c>
      <x:c r="F1548" t="str">
        <x:v>East</x:v>
      </x:c>
      <x:c r="G1548" t="str">
        <x:v>Office Supplies</x:v>
      </x:c>
      <x:c r="H1548" t="str">
        <x:v>Fasteners</x:v>
      </x:c>
      <x:c r="I1548" s="22" t="n">
        <x:v>10.464000000000002</x:v>
      </x:c>
      <x:c r="J1548" s="24" t="n">
        <x:v>6</x:v>
      </x:c>
      <x:c r="K1548" s="26" t="n">
        <x:v>0.2</x:v>
      </x:c>
      <x:c r="L1548" s="22" t="n">
        <x:v>1.7003999999999992</x:v>
      </x:c>
      <x:c r="M1548" t="n">
        <x:v>2014</x:v>
      </x:c>
      <x:c r="N1548" s="20" t="n">
        <x:v>41699</x:v>
      </x:c>
    </x:row>
    <x:row r="1549" ht="18" customHeight="1">
      <x:c r="A1549" t="str">
        <x:v>CA-2014-107181</x:v>
      </x:c>
      <x:c r="B1549" s="18" t="n">
        <x:v>41674</x:v>
      </x:c>
      <x:c r="C1549" t="str">
        <x:v>DB-13270</x:v>
      </x:c>
      <x:c r="D1549" t="str">
        <x:v>Deborah Brumfield</x:v>
      </x:c>
      <x:c r="E1549" t="str">
        <x:v>Home Office</x:v>
      </x:c>
      <x:c r="F1549" t="str">
        <x:v>West</x:v>
      </x:c>
      <x:c r="G1549" t="str">
        <x:v>Office Supplies</x:v>
      </x:c>
      <x:c r="H1549" t="str">
        <x:v>Binders</x:v>
      </x:c>
      <x:c r="I1549" s="22" t="n">
        <x:v>82.896</x:v>
      </x:c>
      <x:c r="J1549" s="24" t="n">
        <x:v>3</x:v>
      </x:c>
      <x:c r="K1549" s="26" t="n">
        <x:v>0.2</x:v>
      </x:c>
      <x:c r="L1549" s="22" t="n">
        <x:v>29.0136</x:v>
      </x:c>
      <x:c r="M1549" t="n">
        <x:v>2014</x:v>
      </x:c>
      <x:c r="N1549" s="20" t="n">
        <x:v>41671</x:v>
      </x:c>
    </x:row>
    <x:row r="1550" ht="18" customHeight="1">
      <x:c r="A1550" t="str">
        <x:v>CA-2014-107181</x:v>
      </x:c>
      <x:c r="B1550" s="18" t="n">
        <x:v>41674</x:v>
      </x:c>
      <x:c r="C1550" t="str">
        <x:v>DB-13270</x:v>
      </x:c>
      <x:c r="D1550" t="str">
        <x:v>Deborah Brumfield</x:v>
      </x:c>
      <x:c r="E1550" t="str">
        <x:v>Home Office</x:v>
      </x:c>
      <x:c r="F1550" t="str">
        <x:v>West</x:v>
      </x:c>
      <x:c r="G1550" t="str">
        <x:v>Office Supplies</x:v>
      </x:c>
      <x:c r="H1550" t="str">
        <x:v>Paper</x:v>
      </x:c>
      <x:c r="I1550" s="22" t="n">
        <x:v>34.24</x:v>
      </x:c>
      <x:c r="J1550" s="24" t="n">
        <x:v>4</x:v>
      </x:c>
      <x:c r="K1550" s="26" t="n">
        <x:v>0</x:v>
      </x:c>
      <x:c r="L1550" s="22" t="n">
        <x:v>16.0928</x:v>
      </x:c>
      <x:c r="M1550" t="n">
        <x:v>2014</x:v>
      </x:c>
      <x:c r="N1550" s="20" t="n">
        <x:v>41671</x:v>
      </x:c>
    </x:row>
    <x:row r="1551" ht="18" customHeight="1">
      <x:c r="A1551" t="str">
        <x:v>CA-2014-150245</x:v>
      </x:c>
      <x:c r="B1551" s="18" t="n">
        <x:v>42004</x:v>
      </x:c>
      <x:c r="C1551" t="str">
        <x:v>PC-18745</x:v>
      </x:c>
      <x:c r="D1551" t="str">
        <x:v>Pamela Coakley</x:v>
      </x:c>
      <x:c r="E1551" t="str">
        <x:v>Corporate</x:v>
      </x:c>
      <x:c r="F1551" t="str">
        <x:v>East</x:v>
      </x:c>
      <x:c r="G1551" t="str">
        <x:v>Furniture</x:v>
      </x:c>
      <x:c r="H1551" t="str">
        <x:v>Bookcases</x:v>
      </x:c>
      <x:c r="I1551" s="22" t="n">
        <x:v>1573.488</x:v>
      </x:c>
      <x:c r="J1551" s="24" t="n">
        <x:v>7</x:v>
      </x:c>
      <x:c r="K1551" s="26" t="n">
        <x:v>0.2</x:v>
      </x:c>
      <x:c r="L1551" s="22" t="n">
        <x:v>196.68599999999986</x:v>
      </x:c>
      <x:c r="M1551" t="n">
        <x:v>2014</x:v>
      </x:c>
      <x:c r="N1551" s="20" t="n">
        <x:v>41974</x:v>
      </x:c>
    </x:row>
    <x:row r="1552" ht="18" customHeight="1">
      <x:c r="A1552" t="str">
        <x:v>CA-2015-111395</x:v>
      </x:c>
      <x:c r="B1552" s="18" t="n">
        <x:v>42331</x:v>
      </x:c>
      <x:c r="C1552" t="str">
        <x:v>VB-21745</x:v>
      </x:c>
      <x:c r="D1552" t="str">
        <x:v>Victoria Brennan</x:v>
      </x:c>
      <x:c r="E1552" t="str">
        <x:v>Corporate</x:v>
      </x:c>
      <x:c r="F1552" t="str">
        <x:v>Central</x:v>
      </x:c>
      <x:c r="G1552" t="str">
        <x:v>Office Supplies</x:v>
      </x:c>
      <x:c r="H1552" t="str">
        <x:v>Paper</x:v>
      </x:c>
      <x:c r="I1552" s="22" t="n">
        <x:v>335.52</x:v>
      </x:c>
      <x:c r="J1552" s="24" t="n">
        <x:v>4</x:v>
      </x:c>
      <x:c r="K1552" s="26" t="n">
        <x:v>0.2</x:v>
      </x:c>
      <x:c r="L1552" s="22" t="n">
        <x:v>117.43199999999999</x:v>
      </x:c>
      <x:c r="M1552" t="n">
        <x:v>2015</x:v>
      </x:c>
      <x:c r="N1552" s="20" t="n">
        <x:v>42309</x:v>
      </x:c>
    </x:row>
    <x:row r="1553" ht="18" customHeight="1">
      <x:c r="A1553" t="str">
        <x:v>CA-2015-111395</x:v>
      </x:c>
      <x:c r="B1553" s="18" t="n">
        <x:v>42331</x:v>
      </x:c>
      <x:c r="C1553" t="str">
        <x:v>VB-21745</x:v>
      </x:c>
      <x:c r="D1553" t="str">
        <x:v>Victoria Brennan</x:v>
      </x:c>
      <x:c r="E1553" t="str">
        <x:v>Corporate</x:v>
      </x:c>
      <x:c r="F1553" t="str">
        <x:v>Central</x:v>
      </x:c>
      <x:c r="G1553" t="str">
        <x:v>Office Supplies</x:v>
      </x:c>
      <x:c r="H1553" t="str">
        <x:v>Binders</x:v>
      </x:c>
      <x:c r="I1553" s="22" t="n">
        <x:v>23.911999999999995</x:v>
      </x:c>
      <x:c r="J1553" s="24" t="n">
        <x:v>2</x:v>
      </x:c>
      <x:c r="K1553" s="26" t="n">
        <x:v>0.8</x:v>
      </x:c>
      <x:c r="L1553" s="22" t="n">
        <x:v>-40.65040000000002</x:v>
      </x:c>
      <x:c r="M1553" t="n">
        <x:v>2015</x:v>
      </x:c>
      <x:c r="N1553" s="20" t="n">
        <x:v>42309</x:v>
      </x:c>
    </x:row>
    <x:row r="1554" ht="18" customHeight="1">
      <x:c r="A1554" t="str">
        <x:v>CA-2015-111395</x:v>
      </x:c>
      <x:c r="B1554" s="18" t="n">
        <x:v>42331</x:v>
      </x:c>
      <x:c r="C1554" t="str">
        <x:v>VB-21745</x:v>
      </x:c>
      <x:c r="D1554" t="str">
        <x:v>Victoria Brennan</x:v>
      </x:c>
      <x:c r="E1554" t="str">
        <x:v>Corporate</x:v>
      </x:c>
      <x:c r="F1554" t="str">
        <x:v>Central</x:v>
      </x:c>
      <x:c r="G1554" t="str">
        <x:v>Office Supplies</x:v>
      </x:c>
      <x:c r="H1554" t="str">
        <x:v>Storage</x:v>
      </x:c>
      <x:c r="I1554" s="22" t="n">
        <x:v>27.056</x:v>
      </x:c>
      <x:c r="J1554" s="24" t="n">
        <x:v>2</x:v>
      </x:c>
      <x:c r="K1554" s="26" t="n">
        <x:v>0.2</x:v>
      </x:c>
      <x:c r="L1554" s="22" t="n">
        <x:v>2.367399999999999</x:v>
      </x:c>
      <x:c r="M1554" t="n">
        <x:v>2015</x:v>
      </x:c>
      <x:c r="N1554" s="20" t="n">
        <x:v>42309</x:v>
      </x:c>
    </x:row>
    <x:row r="1555" ht="18" customHeight="1">
      <x:c r="A1555" t="str">
        <x:v>CA-2014-134278</x:v>
      </x:c>
      <x:c r="B1555" s="18" t="n">
        <x:v>41826</x:v>
      </x:c>
      <x:c r="C1555" t="str">
        <x:v>EP-13915</x:v>
      </x:c>
      <x:c r="D1555" t="str">
        <x:v>Emily Phan</x:v>
      </x:c>
      <x:c r="E1555" t="str">
        <x:v>Consumer</x:v>
      </x:c>
      <x:c r="F1555" t="str">
        <x:v>East</x:v>
      </x:c>
      <x:c r="G1555" t="str">
        <x:v>Technology</x:v>
      </x:c>
      <x:c r="H1555" t="str">
        <x:v>Copiers</x:v>
      </x:c>
      <x:c r="I1555" s="22" t="n">
        <x:v>559.9920000000001</x:v>
      </x:c>
      <x:c r="J1555" s="24" t="n">
        <x:v>1</x:v>
      </x:c>
      <x:c r="K1555" s="26" t="n">
        <x:v>0.2</x:v>
      </x:c>
      <x:c r="L1555" s="22" t="n">
        <x:v>174.99749999999997</x:v>
      </x:c>
      <x:c r="M1555" t="n">
        <x:v>2014</x:v>
      </x:c>
      <x:c r="N1555" s="20" t="n">
        <x:v>41821</x:v>
      </x:c>
    </x:row>
    <x:row r="1556" ht="18" customHeight="1">
      <x:c r="A1556" t="str">
        <x:v>US-2017-124926</x:v>
      </x:c>
      <x:c r="B1556" s="18" t="n">
        <x:v>43052</x:v>
      </x:c>
      <x:c r="C1556" t="str">
        <x:v>ME-17320</x:v>
      </x:c>
      <x:c r="D1556" t="str">
        <x:v>Maria Etezadi</x:v>
      </x:c>
      <x:c r="E1556" t="str">
        <x:v>Home Office</x:v>
      </x:c>
      <x:c r="F1556" t="str">
        <x:v>Central</x:v>
      </x:c>
      <x:c r="G1556" t="str">
        <x:v>Office Supplies</x:v>
      </x:c>
      <x:c r="H1556" t="str">
        <x:v>Appliances</x:v>
      </x:c>
      <x:c r="I1556" s="22" t="n">
        <x:v>9.323999999999998</x:v>
      </x:c>
      <x:c r="J1556" s="24" t="n">
        <x:v>6</x:v>
      </x:c>
      <x:c r="K1556" s="26" t="n">
        <x:v>0.8</x:v>
      </x:c>
      <x:c r="L1556" s="22" t="n">
        <x:v>-24.708599999999997</x:v>
      </x:c>
      <x:c r="M1556" t="n">
        <x:v>2017</x:v>
      </x:c>
      <x:c r="N1556" s="20" t="n">
        <x:v>43040</x:v>
      </x:c>
    </x:row>
    <x:row r="1557" ht="18" customHeight="1">
      <x:c r="A1557" t="str">
        <x:v>CA-2016-159345</x:v>
      </x:c>
      <x:c r="B1557" s="18" t="n">
        <x:v>42538</x:v>
      </x:c>
      <x:c r="C1557" t="str">
        <x:v>IG-15085</x:v>
      </x:c>
      <x:c r="D1557" t="str">
        <x:v>Ivan Gibson</x:v>
      </x:c>
      <x:c r="E1557" t="str">
        <x:v>Consumer</x:v>
      </x:c>
      <x:c r="F1557" t="str">
        <x:v>West</x:v>
      </x:c>
      <x:c r="G1557" t="str">
        <x:v>Office Supplies</x:v>
      </x:c>
      <x:c r="H1557" t="str">
        <x:v>Paper</x:v>
      </x:c>
      <x:c r="I1557" s="22" t="n">
        <x:v>111.96</x:v>
      </x:c>
      <x:c r="J1557" s="24" t="n">
        <x:v>2</x:v>
      </x:c>
      <x:c r="K1557" s="26" t="n">
        <x:v>0</x:v>
      </x:c>
      <x:c r="L1557" s="22" t="n">
        <x:v>54.8604</x:v>
      </x:c>
      <x:c r="M1557" t="n">
        <x:v>2016</x:v>
      </x:c>
      <x:c r="N1557" s="20" t="n">
        <x:v>42522</x:v>
      </x:c>
    </x:row>
    <x:row r="1558" ht="18" customHeight="1">
      <x:c r="A1558" t="str">
        <x:v>CA-2014-130274</x:v>
      </x:c>
      <x:c r="B1558" s="18" t="n">
        <x:v>41762</x:v>
      </x:c>
      <x:c r="C1558" t="str">
        <x:v>JS-15940</x:v>
      </x:c>
      <x:c r="D1558" t="str">
        <x:v>Joni Sundaresam</x:v>
      </x:c>
      <x:c r="E1558" t="str">
        <x:v>Home Office</x:v>
      </x:c>
      <x:c r="F1558" t="str">
        <x:v>Central</x:v>
      </x:c>
      <x:c r="G1558" t="str">
        <x:v>Office Supplies</x:v>
      </x:c>
      <x:c r="H1558" t="str">
        <x:v>Labels</x:v>
      </x:c>
      <x:c r="I1558" s="22" t="n">
        <x:v>21.560000000000002</x:v>
      </x:c>
      <x:c r="J1558" s="24" t="n">
        <x:v>7</x:v>
      </x:c>
      <x:c r="K1558" s="26" t="n">
        <x:v>0</x:v>
      </x:c>
      <x:c r="L1558" s="22" t="n">
        <x:v>10.348799999999999</x:v>
      </x:c>
      <x:c r="M1558" t="n">
        <x:v>2014</x:v>
      </x:c>
      <x:c r="N1558" s="20" t="n">
        <x:v>41760</x:v>
      </x:c>
    </x:row>
    <x:row r="1559" ht="18" customHeight="1">
      <x:c r="A1559" t="str">
        <x:v>CA-2017-158386</x:v>
      </x:c>
      <x:c r="B1559" s="18" t="n">
        <x:v>43024</x:v>
      </x:c>
      <x:c r="C1559" t="str">
        <x:v>BO-11425</x:v>
      </x:c>
      <x:c r="D1559" t="str">
        <x:v>Bobby Odegard</x:v>
      </x:c>
      <x:c r="E1559" t="str">
        <x:v>Consumer</x:v>
      </x:c>
      <x:c r="F1559" t="str">
        <x:v>South</x:v>
      </x:c>
      <x:c r="G1559" t="str">
        <x:v>Office Supplies</x:v>
      </x:c>
      <x:c r="H1559" t="str">
        <x:v>Binders</x:v>
      </x:c>
      <x:c r="I1559" s="22" t="n">
        <x:v>124.75</x:v>
      </x:c>
      <x:c r="J1559" s="24" t="n">
        <x:v>5</x:v>
      </x:c>
      <x:c r="K1559" s="26" t="n">
        <x:v>0</x:v>
      </x:c>
      <x:c r="L1559" s="22" t="n">
        <x:v>57.38499999999999</x:v>
      </x:c>
      <x:c r="M1559" t="n">
        <x:v>2017</x:v>
      </x:c>
      <x:c r="N1559" s="20" t="n">
        <x:v>43009</x:v>
      </x:c>
    </x:row>
    <x:row r="1560" ht="18" customHeight="1">
      <x:c r="A1560" t="str">
        <x:v>CA-2015-111507</x:v>
      </x:c>
      <x:c r="B1560" s="18" t="n">
        <x:v>42041</x:v>
      </x:c>
      <x:c r="C1560" t="str">
        <x:v>VW-21775</x:v>
      </x:c>
      <x:c r="D1560" t="str">
        <x:v>Victoria Wilson</x:v>
      </x:c>
      <x:c r="E1560" t="str">
        <x:v>Corporate</x:v>
      </x:c>
      <x:c r="F1560" t="str">
        <x:v>West</x:v>
      </x:c>
      <x:c r="G1560" t="str">
        <x:v>Office Supplies</x:v>
      </x:c>
      <x:c r="H1560" t="str">
        <x:v>Art</x:v>
      </x:c>
      <x:c r="I1560" s="22" t="n">
        <x:v>5.28</x:v>
      </x:c>
      <x:c r="J1560" s="24" t="n">
        <x:v>3</x:v>
      </x:c>
      <x:c r="K1560" s="26" t="n">
        <x:v>0</x:v>
      </x:c>
      <x:c r="L1560" s="22" t="n">
        <x:v>1.5312</x:v>
      </x:c>
      <x:c r="M1560" t="n">
        <x:v>2015</x:v>
      </x:c>
      <x:c r="N1560" s="20" t="n">
        <x:v>42036</x:v>
      </x:c>
    </x:row>
    <x:row r="1561" ht="18" customHeight="1">
      <x:c r="A1561" t="str">
        <x:v>CA-2017-120761</x:v>
      </x:c>
      <x:c r="B1561" s="18" t="n">
        <x:v>42982</x:v>
      </x:c>
      <x:c r="C1561" t="str">
        <x:v>AB-10150</x:v>
      </x:c>
      <x:c r="D1561" t="str">
        <x:v>Aimee Bixby</x:v>
      </x:c>
      <x:c r="E1561" t="str">
        <x:v>Consumer</x:v>
      </x:c>
      <x:c r="F1561" t="str">
        <x:v>East</x:v>
      </x:c>
      <x:c r="G1561" t="str">
        <x:v>Technology</x:v>
      </x:c>
      <x:c r="H1561" t="str">
        <x:v>Accessories</x:v>
      </x:c>
      <x:c r="I1561" s="22" t="n">
        <x:v>91.96</x:v>
      </x:c>
      <x:c r="J1561" s="24" t="n">
        <x:v>4</x:v>
      </x:c>
      <x:c r="K1561" s="26" t="n">
        <x:v>0</x:v>
      </x:c>
      <x:c r="L1561" s="22" t="n">
        <x:v>39.5428</x:v>
      </x:c>
      <x:c r="M1561" t="n">
        <x:v>2017</x:v>
      </x:c>
      <x:c r="N1561" s="20" t="n">
        <x:v>42979</x:v>
      </x:c>
    </x:row>
    <x:row r="1562" ht="18" customHeight="1">
      <x:c r="A1562" t="str">
        <x:v>CA-2016-109176</x:v>
      </x:c>
      <x:c r="B1562" s="18" t="n">
        <x:v>42499</x:v>
      </x:c>
      <x:c r="C1562" t="str">
        <x:v>JW-16075</x:v>
      </x:c>
      <x:c r="D1562" t="str">
        <x:v>Julia West</x:v>
      </x:c>
      <x:c r="E1562" t="str">
        <x:v>Consumer</x:v>
      </x:c>
      <x:c r="F1562" t="str">
        <x:v>East</x:v>
      </x:c>
      <x:c r="G1562" t="str">
        <x:v>Office Supplies</x:v>
      </x:c>
      <x:c r="H1562" t="str">
        <x:v>Envelopes</x:v>
      </x:c>
      <x:c r="I1562" s="22" t="n">
        <x:v>9.344</x:v>
      </x:c>
      <x:c r="J1562" s="24" t="n">
        <x:v>1</x:v>
      </x:c>
      <x:c r="K1562" s="26" t="n">
        <x:v>0.2</x:v>
      </x:c>
      <x:c r="L1562" s="22" t="n">
        <x:v>3.504</x:v>
      </x:c>
      <x:c r="M1562" t="n">
        <x:v>2016</x:v>
      </x:c>
      <x:c r="N1562" s="20" t="n">
        <x:v>42491</x:v>
      </x:c>
    </x:row>
    <x:row r="1563" ht="18" customHeight="1">
      <x:c r="A1563" t="str">
        <x:v>CA-2016-109176</x:v>
      </x:c>
      <x:c r="B1563" s="18" t="n">
        <x:v>42499</x:v>
      </x:c>
      <x:c r="C1563" t="str">
        <x:v>JW-16075</x:v>
      </x:c>
      <x:c r="D1563" t="str">
        <x:v>Julia West</x:v>
      </x:c>
      <x:c r="E1563" t="str">
        <x:v>Consumer</x:v>
      </x:c>
      <x:c r="F1563" t="str">
        <x:v>East</x:v>
      </x:c>
      <x:c r="G1563" t="str">
        <x:v>Office Supplies</x:v>
      </x:c>
      <x:c r="H1563" t="str">
        <x:v>Art</x:v>
      </x:c>
      <x:c r="I1563" s="22" t="n">
        <x:v>79.36</x:v>
      </x:c>
      <x:c r="J1563" s="24" t="n">
        <x:v>5</x:v>
      </x:c>
      <x:c r="K1563" s="26" t="n">
        <x:v>0.2</x:v>
      </x:c>
      <x:c r="L1563" s="22" t="n">
        <x:v>9.919999999999991</x:v>
      </x:c>
      <x:c r="M1563" t="n">
        <x:v>2016</x:v>
      </x:c>
      <x:c r="N1563" s="20" t="n">
        <x:v>42491</x:v>
      </x:c>
    </x:row>
    <x:row r="1564" ht="18" customHeight="1">
      <x:c r="A1564" t="str">
        <x:v>CA-2015-112116</x:v>
      </x:c>
      <x:c r="B1564" s="18" t="n">
        <x:v>42079</x:v>
      </x:c>
      <x:c r="C1564" t="str">
        <x:v>JE-15475</x:v>
      </x:c>
      <x:c r="D1564" t="str">
        <x:v>Jeremy Ellison</x:v>
      </x:c>
      <x:c r="E1564" t="str">
        <x:v>Consumer</x:v>
      </x:c>
      <x:c r="F1564" t="str">
        <x:v>West</x:v>
      </x:c>
      <x:c r="G1564" t="str">
        <x:v>Furniture</x:v>
      </x:c>
      <x:c r="H1564" t="str">
        <x:v>Tables</x:v>
      </x:c>
      <x:c r="I1564" s="22" t="n">
        <x:v>171.96</x:v>
      </x:c>
      <x:c r="J1564" s="24" t="n">
        <x:v>2</x:v>
      </x:c>
      <x:c r="K1564" s="26" t="n">
        <x:v>0</x:v>
      </x:c>
      <x:c r="L1564" s="22" t="n">
        <x:v>44.70960000000001</x:v>
      </x:c>
      <x:c r="M1564" t="n">
        <x:v>2015</x:v>
      </x:c>
      <x:c r="N1564" s="20" t="n">
        <x:v>42064</x:v>
      </x:c>
    </x:row>
    <x:row r="1565" ht="18" customHeight="1">
      <x:c r="A1565" t="str">
        <x:v>CA-2016-126809</x:v>
      </x:c>
      <x:c r="B1565" s="18" t="n">
        <x:v>42469</x:v>
      </x:c>
      <x:c r="C1565" t="str">
        <x:v>EB-13750</x:v>
      </x:c>
      <x:c r="D1565" t="str">
        <x:v>Edward Becker</x:v>
      </x:c>
      <x:c r="E1565" t="str">
        <x:v>Corporate</x:v>
      </x:c>
      <x:c r="F1565" t="str">
        <x:v>West</x:v>
      </x:c>
      <x:c r="G1565" t="str">
        <x:v>Office Supplies</x:v>
      </x:c>
      <x:c r="H1565" t="str">
        <x:v>Binders</x:v>
      </x:c>
      <x:c r="I1565" s="22" t="n">
        <x:v>35.352000000000004</x:v>
      </x:c>
      <x:c r="J1565" s="24" t="n">
        <x:v>9</x:v>
      </x:c>
      <x:c r="K1565" s="26" t="n">
        <x:v>0.2</x:v>
      </x:c>
      <x:c r="L1565" s="22" t="n">
        <x:v>12.815099999999997</x:v>
      </x:c>
      <x:c r="M1565" t="n">
        <x:v>2016</x:v>
      </x:c>
      <x:c r="N1565" s="20" t="n">
        <x:v>42461</x:v>
      </x:c>
    </x:row>
    <x:row r="1566" ht="18" customHeight="1">
      <x:c r="A1566" t="str">
        <x:v>CA-2014-105172</x:v>
      </x:c>
      <x:c r="B1566" s="18" t="n">
        <x:v>41733</x:v>
      </x:c>
      <x:c r="C1566" t="str">
        <x:v>PK-18910</x:v>
      </x:c>
      <x:c r="D1566" t="str">
        <x:v>Paul Knutson</x:v>
      </x:c>
      <x:c r="E1566" t="str">
        <x:v>Home Office</x:v>
      </x:c>
      <x:c r="F1566" t="str">
        <x:v>West</x:v>
      </x:c>
      <x:c r="G1566" t="str">
        <x:v>Office Supplies</x:v>
      </x:c>
      <x:c r="H1566" t="str">
        <x:v>Labels</x:v>
      </x:c>
      <x:c r="I1566" s="22" t="n">
        <x:v>18.9</x:v>
      </x:c>
      <x:c r="J1566" s="24" t="n">
        <x:v>6</x:v>
      </x:c>
      <x:c r="K1566" s="26" t="n">
        <x:v>0</x:v>
      </x:c>
      <x:c r="L1566" s="22" t="n">
        <x:v>9.072</x:v>
      </x:c>
      <x:c r="M1566" t="n">
        <x:v>2014</x:v>
      </x:c>
      <x:c r="N1566" s="20" t="n">
        <x:v>41730</x:v>
      </x:c>
    </x:row>
    <x:row r="1567" ht="18" customHeight="1">
      <x:c r="A1567" t="str">
        <x:v>CA-2017-107293</x:v>
      </x:c>
      <x:c r="B1567" s="18" t="n">
        <x:v>42983</x:v>
      </x:c>
      <x:c r="C1567" t="str">
        <x:v>CS-12400</x:v>
      </x:c>
      <x:c r="D1567" t="str">
        <x:v>Christopher Schild</x:v>
      </x:c>
      <x:c r="E1567" t="str">
        <x:v>Home Office</x:v>
      </x:c>
      <x:c r="F1567" t="str">
        <x:v>West</x:v>
      </x:c>
      <x:c r="G1567" t="str">
        <x:v>Office Supplies</x:v>
      </x:c>
      <x:c r="H1567" t="str">
        <x:v>Art</x:v>
      </x:c>
      <x:c r="I1567" s="22" t="n">
        <x:v>2.78</x:v>
      </x:c>
      <x:c r="J1567" s="24" t="n">
        <x:v>1</x:v>
      </x:c>
      <x:c r="K1567" s="26" t="n">
        <x:v>0</x:v>
      </x:c>
      <x:c r="L1567" s="22" t="n">
        <x:v>0.7227999999999999</x:v>
      </x:c>
      <x:c r="M1567" t="n">
        <x:v>2017</x:v>
      </x:c>
      <x:c r="N1567" s="20" t="n">
        <x:v>42979</x:v>
      </x:c>
    </x:row>
    <x:row r="1568" ht="18" customHeight="1">
      <x:c r="A1568" t="str">
        <x:v>US-2017-102890</x:v>
      </x:c>
      <x:c r="B1568" s="18" t="n">
        <x:v>42916</x:v>
      </x:c>
      <x:c r="C1568" t="str">
        <x:v>SG-20470</x:v>
      </x:c>
      <x:c r="D1568" t="str">
        <x:v>Sheri Gordon</x:v>
      </x:c>
      <x:c r="E1568" t="str">
        <x:v>Consumer</x:v>
      </x:c>
      <x:c r="F1568" t="str">
        <x:v>East</x:v>
      </x:c>
      <x:c r="G1568" t="str">
        <x:v>Furniture</x:v>
      </x:c>
      <x:c r="H1568" t="str">
        <x:v>Tables</x:v>
      </x:c>
      <x:c r="I1568" s="22" t="n">
        <x:v>1044.6299999999999</x:v>
      </x:c>
      <x:c r="J1568" s="24" t="n">
        <x:v>5</x:v>
      </x:c>
      <x:c r="K1568" s="26" t="n">
        <x:v>0.4</x:v>
      </x:c>
      <x:c r="L1568" s="22" t="n">
        <x:v>-295.97849999999994</x:v>
      </x:c>
      <x:c r="M1568" t="n">
        <x:v>2017</x:v>
      </x:c>
      <x:c r="N1568" s="20" t="n">
        <x:v>42887</x:v>
      </x:c>
    </x:row>
    <x:row r="1569" ht="18" customHeight="1">
      <x:c r="A1569" t="str">
        <x:v>CA-2015-158554</x:v>
      </x:c>
      <x:c r="B1569" s="18" t="n">
        <x:v>42317</x:v>
      </x:c>
      <x:c r="C1569" t="str">
        <x:v>CM-12190</x:v>
      </x:c>
      <x:c r="D1569" t="str">
        <x:v>Charlotte Melton</x:v>
      </x:c>
      <x:c r="E1569" t="str">
        <x:v>Consumer</x:v>
      </x:c>
      <x:c r="F1569" t="str">
        <x:v>East</x:v>
      </x:c>
      <x:c r="G1569" t="str">
        <x:v>Office Supplies</x:v>
      </x:c>
      <x:c r="H1569" t="str">
        <x:v>Paper</x:v>
      </x:c>
      <x:c r="I1569" s="22" t="n">
        <x:v>11.352000000000002</x:v>
      </x:c>
      <x:c r="J1569" s="24" t="n">
        <x:v>3</x:v>
      </x:c>
      <x:c r="K1569" s="26" t="n">
        <x:v>0.2</x:v>
      </x:c>
      <x:c r="L1569" s="22" t="n">
        <x:v>4.1151</x:v>
      </x:c>
      <x:c r="M1569" t="n">
        <x:v>2015</x:v>
      </x:c>
      <x:c r="N1569" s="20" t="n">
        <x:v>42309</x:v>
      </x:c>
    </x:row>
    <x:row r="1570" ht="18" customHeight="1">
      <x:c r="A1570" t="str">
        <x:v>CA-2014-116239</x:v>
      </x:c>
      <x:c r="B1570" s="18" t="n">
        <x:v>41702</x:v>
      </x:c>
      <x:c r="C1570" t="str">
        <x:v>CL-12565</x:v>
      </x:c>
      <x:c r="D1570" t="str">
        <x:v>Clay Ludtke</x:v>
      </x:c>
      <x:c r="E1570" t="str">
        <x:v>Consumer</x:v>
      </x:c>
      <x:c r="F1570" t="str">
        <x:v>South</x:v>
      </x:c>
      <x:c r="G1570" t="str">
        <x:v>Office Supplies</x:v>
      </x:c>
      <x:c r="H1570" t="str">
        <x:v>Storage</x:v>
      </x:c>
      <x:c r="I1570" s="22" t="n">
        <x:v>354.90000000000003</x:v>
      </x:c>
      <x:c r="J1570" s="24" t="n">
        <x:v>5</x:v>
      </x:c>
      <x:c r="K1570" s="26" t="n">
        <x:v>0</x:v>
      </x:c>
      <x:c r="L1570" s="22" t="n">
        <x:v>17.744999999999962</x:v>
      </x:c>
      <x:c r="M1570" t="n">
        <x:v>2014</x:v>
      </x:c>
      <x:c r="N1570" s="20" t="n">
        <x:v>41699</x:v>
      </x:c>
    </x:row>
    <x:row r="1571" ht="18" customHeight="1">
      <x:c r="A1571" t="str">
        <x:v>CA-2015-132101</x:v>
      </x:c>
      <x:c r="B1571" s="18" t="n">
        <x:v>42082</x:v>
      </x:c>
      <x:c r="C1571" t="str">
        <x:v>JO-15550</x:v>
      </x:c>
      <x:c r="D1571" t="str">
        <x:v>Jesus Ocampo</x:v>
      </x:c>
      <x:c r="E1571" t="str">
        <x:v>Home Office</x:v>
      </x:c>
      <x:c r="F1571" t="str">
        <x:v>West</x:v>
      </x:c>
      <x:c r="G1571" t="str">
        <x:v>Technology</x:v>
      </x:c>
      <x:c r="H1571" t="str">
        <x:v>Phones</x:v>
      </x:c>
      <x:c r="I1571" s="22" t="n">
        <x:v>453.576</x:v>
      </x:c>
      <x:c r="J1571" s="24" t="n">
        <x:v>3</x:v>
      </x:c>
      <x:c r="K1571" s="26" t="n">
        <x:v>0.2</x:v>
      </x:c>
      <x:c r="L1571" s="22" t="n">
        <x:v>39.687899999999985</x:v>
      </x:c>
      <x:c r="M1571" t="n">
        <x:v>2015</x:v>
      </x:c>
      <x:c r="N1571" s="20" t="n">
        <x:v>42064</x:v>
      </x:c>
    </x:row>
    <x:row r="1572" ht="18" customHeight="1">
      <x:c r="A1572" t="str">
        <x:v>CA-2015-129112</x:v>
      </x:c>
      <x:c r="B1572" s="18" t="n">
        <x:v>42337</x:v>
      </x:c>
      <x:c r="C1572" t="str">
        <x:v>AW-10840</x:v>
      </x:c>
      <x:c r="D1572" t="str">
        <x:v>Anthony Witt</x:v>
      </x:c>
      <x:c r="E1572" t="str">
        <x:v>Consumer</x:v>
      </x:c>
      <x:c r="F1572" t="str">
        <x:v>Central</x:v>
      </x:c>
      <x:c r="G1572" t="str">
        <x:v>Technology</x:v>
      </x:c>
      <x:c r="H1572" t="str">
        <x:v>Accessories</x:v>
      </x:c>
      <x:c r="I1572" s="22" t="n">
        <x:v>21.48</x:v>
      </x:c>
      <x:c r="J1572" s="24" t="n">
        <x:v>3</x:v>
      </x:c>
      <x:c r="K1572" s="26" t="n">
        <x:v>0.2</x:v>
      </x:c>
      <x:c r="L1572" s="22" t="n">
        <x:v>-0.26850000000000307</x:v>
      </x:c>
      <x:c r="M1572" t="n">
        <x:v>2015</x:v>
      </x:c>
      <x:c r="N1572" s="20" t="n">
        <x:v>42309</x:v>
      </x:c>
    </x:row>
    <x:row r="1573" ht="18" customHeight="1">
      <x:c r="A1573" t="str">
        <x:v>CA-2015-129112</x:v>
      </x:c>
      <x:c r="B1573" s="18" t="n">
        <x:v>42337</x:v>
      </x:c>
      <x:c r="C1573" t="str">
        <x:v>AW-10840</x:v>
      </x:c>
      <x:c r="D1573" t="str">
        <x:v>Anthony Witt</x:v>
      </x:c>
      <x:c r="E1573" t="str">
        <x:v>Consumer</x:v>
      </x:c>
      <x:c r="F1573" t="str">
        <x:v>Central</x:v>
      </x:c>
      <x:c r="G1573" t="str">
        <x:v>Office Supplies</x:v>
      </x:c>
      <x:c r="H1573" t="str">
        <x:v>Binders</x:v>
      </x:c>
      <x:c r="I1573" s="22" t="n">
        <x:v>8.783999999999999</x:v>
      </x:c>
      <x:c r="J1573" s="24" t="n">
        <x:v>4</x:v>
      </x:c>
      <x:c r="K1573" s="26" t="n">
        <x:v>0.8</x:v>
      </x:c>
      <x:c r="L1573" s="22" t="n">
        <x:v>-13.615200000000002</x:v>
      </x:c>
      <x:c r="M1573" t="n">
        <x:v>2015</x:v>
      </x:c>
      <x:c r="N1573" s="20" t="n">
        <x:v>42309</x:v>
      </x:c>
    </x:row>
    <x:row r="1574" ht="18" customHeight="1">
      <x:c r="A1574" t="str">
        <x:v>US-2017-152002</x:v>
      </x:c>
      <x:c r="B1574" s="18" t="n">
        <x:v>42897</x:v>
      </x:c>
      <x:c r="C1574" t="str">
        <x:v>DV-13465</x:v>
      </x:c>
      <x:c r="D1574" t="str">
        <x:v>Dianna Vittorini</x:v>
      </x:c>
      <x:c r="E1574" t="str">
        <x:v>Consumer</x:v>
      </x:c>
      <x:c r="F1574" t="str">
        <x:v>West</x:v>
      </x:c>
      <x:c r="G1574" t="str">
        <x:v>Office Supplies</x:v>
      </x:c>
      <x:c r="H1574" t="str">
        <x:v>Paper</x:v>
      </x:c>
      <x:c r="I1574" s="22" t="n">
        <x:v>122.97</x:v>
      </x:c>
      <x:c r="J1574" s="24" t="n">
        <x:v>3</x:v>
      </x:c>
      <x:c r="K1574" s="26" t="n">
        <x:v>0</x:v>
      </x:c>
      <x:c r="L1574" s="22" t="n">
        <x:v>60.255300000000005</x:v>
      </x:c>
      <x:c r="M1574" t="n">
        <x:v>2017</x:v>
      </x:c>
      <x:c r="N1574" s="20" t="n">
        <x:v>42887</x:v>
      </x:c>
    </x:row>
    <x:row r="1575" ht="18" customHeight="1">
      <x:c r="A1575" t="str">
        <x:v>CA-2017-165029</x:v>
      </x:c>
      <x:c r="B1575" s="18" t="n">
        <x:v>43065</x:v>
      </x:c>
      <x:c r="C1575" t="str">
        <x:v>AH-10075</x:v>
      </x:c>
      <x:c r="D1575" t="str">
        <x:v>Adam Hart</x:v>
      </x:c>
      <x:c r="E1575" t="str">
        <x:v>Corporate</x:v>
      </x:c>
      <x:c r="F1575" t="str">
        <x:v>South</x:v>
      </x:c>
      <x:c r="G1575" t="str">
        <x:v>Office Supplies</x:v>
      </x:c>
      <x:c r="H1575" t="str">
        <x:v>Art</x:v>
      </x:c>
      <x:c r="I1575" s="22" t="n">
        <x:v>12.84</x:v>
      </x:c>
      <x:c r="J1575" s="24" t="n">
        <x:v>3</x:v>
      </x:c>
      <x:c r="K1575" s="26" t="n">
        <x:v>0</x:v>
      </x:c>
      <x:c r="L1575" s="22" t="n">
        <x:v>3.723599999999999</x:v>
      </x:c>
      <x:c r="M1575" t="n">
        <x:v>2017</x:v>
      </x:c>
      <x:c r="N1575" s="20" t="n">
        <x:v>43040</x:v>
      </x:c>
    </x:row>
    <x:row r="1576" ht="18" customHeight="1">
      <x:c r="A1576" t="str">
        <x:v>US-2014-157385</x:v>
      </x:c>
      <x:c r="B1576" s="18" t="n">
        <x:v>41966</x:v>
      </x:c>
      <x:c r="C1576" t="str">
        <x:v>SC-20095</x:v>
      </x:c>
      <x:c r="D1576" t="str">
        <x:v>Sanjit Chand</x:v>
      </x:c>
      <x:c r="E1576" t="str">
        <x:v>Consumer</x:v>
      </x:c>
      <x:c r="F1576" t="str">
        <x:v>West</x:v>
      </x:c>
      <x:c r="G1576" t="str">
        <x:v>Furniture</x:v>
      </x:c>
      <x:c r="H1576" t="str">
        <x:v>Chairs</x:v>
      </x:c>
      <x:c r="I1576" s="22" t="n">
        <x:v>603.92</x:v>
      </x:c>
      <x:c r="J1576" s="24" t="n">
        <x:v>5</x:v>
      </x:c>
      <x:c r="K1576" s="26" t="n">
        <x:v>0.2</x:v>
      </x:c>
      <x:c r="L1576" s="22" t="n">
        <x:v>-67.941</x:v>
      </x:c>
      <x:c r="M1576" t="n">
        <x:v>2014</x:v>
      </x:c>
      <x:c r="N1576" s="20" t="n">
        <x:v>41944</x:v>
      </x:c>
    </x:row>
    <x:row r="1577" ht="18" customHeight="1">
      <x:c r="A1577" t="str">
        <x:v>US-2014-157385</x:v>
      </x:c>
      <x:c r="B1577" s="18" t="n">
        <x:v>41966</x:v>
      </x:c>
      <x:c r="C1577" t="str">
        <x:v>SC-20095</x:v>
      </x:c>
      <x:c r="D1577" t="str">
        <x:v>Sanjit Chand</x:v>
      </x:c>
      <x:c r="E1577" t="str">
        <x:v>Consumer</x:v>
      </x:c>
      <x:c r="F1577" t="str">
        <x:v>West</x:v>
      </x:c>
      <x:c r="G1577" t="str">
        <x:v>Office Supplies</x:v>
      </x:c>
      <x:c r="H1577" t="str">
        <x:v>Envelopes</x:v>
      </x:c>
      <x:c r="I1577" s="22" t="n">
        <x:v>21.84</x:v>
      </x:c>
      <x:c r="J1577" s="24" t="n">
        <x:v>3</x:v>
      </x:c>
      <x:c r="K1577" s="26" t="n">
        <x:v>0</x:v>
      </x:c>
      <x:c r="L1577" s="22" t="n">
        <x:v>10.4832</x:v>
      </x:c>
      <x:c r="M1577" t="n">
        <x:v>2014</x:v>
      </x:c>
      <x:c r="N1577" s="20" t="n">
        <x:v>41944</x:v>
      </x:c>
    </x:row>
    <x:row r="1578" ht="18" customHeight="1">
      <x:c r="A1578" t="str">
        <x:v>US-2014-157385</x:v>
      </x:c>
      <x:c r="B1578" s="18" t="n">
        <x:v>41966</x:v>
      </x:c>
      <x:c r="C1578" t="str">
        <x:v>SC-20095</x:v>
      </x:c>
      <x:c r="D1578" t="str">
        <x:v>Sanjit Chand</x:v>
      </x:c>
      <x:c r="E1578" t="str">
        <x:v>Consumer</x:v>
      </x:c>
      <x:c r="F1578" t="str">
        <x:v>West</x:v>
      </x:c>
      <x:c r="G1578" t="str">
        <x:v>Technology</x:v>
      </x:c>
      <x:c r="H1578" t="str">
        <x:v>Accessories</x:v>
      </x:c>
      <x:c r="I1578" s="22" t="n">
        <x:v>29.99</x:v>
      </x:c>
      <x:c r="J1578" s="24" t="n">
        <x:v>1</x:v>
      </x:c>
      <x:c r="K1578" s="26" t="n">
        <x:v>0</x:v>
      </x:c>
      <x:c r="L1578" s="22" t="n">
        <x:v>6.2978999999999985</x:v>
      </x:c>
      <x:c r="M1578" t="n">
        <x:v>2014</x:v>
      </x:c>
      <x:c r="N1578" s="20" t="n">
        <x:v>41944</x:v>
      </x:c>
    </x:row>
    <x:row r="1579" ht="18" customHeight="1">
      <x:c r="A1579" t="str">
        <x:v>US-2014-157385</x:v>
      </x:c>
      <x:c r="B1579" s="18" t="n">
        <x:v>41966</x:v>
      </x:c>
      <x:c r="C1579" t="str">
        <x:v>SC-20095</x:v>
      </x:c>
      <x:c r="D1579" t="str">
        <x:v>Sanjit Chand</x:v>
      </x:c>
      <x:c r="E1579" t="str">
        <x:v>Consumer</x:v>
      </x:c>
      <x:c r="F1579" t="str">
        <x:v>West</x:v>
      </x:c>
      <x:c r="G1579" t="str">
        <x:v>Furniture</x:v>
      </x:c>
      <x:c r="H1579" t="str">
        <x:v>Chairs</x:v>
      </x:c>
      <x:c r="I1579" s="22" t="n">
        <x:v>381.44000000000005</x:v>
      </x:c>
      <x:c r="J1579" s="24" t="n">
        <x:v>2</x:v>
      </x:c>
      <x:c r="K1579" s="26" t="n">
        <x:v>0.2</x:v>
      </x:c>
      <x:c r="L1579" s="22" t="n">
        <x:v>23.839999999999975</x:v>
      </x:c>
      <x:c r="M1579" t="n">
        <x:v>2014</x:v>
      </x:c>
      <x:c r="N1579" s="20" t="n">
        <x:v>41944</x:v>
      </x:c>
    </x:row>
    <x:row r="1580" ht="18" customHeight="1">
      <x:c r="A1580" t="str">
        <x:v>CA-2014-101602</x:v>
      </x:c>
      <x:c r="B1580" s="18" t="n">
        <x:v>41988</x:v>
      </x:c>
      <x:c r="C1580" t="str">
        <x:v>MC-18100</x:v>
      </x:c>
      <x:c r="D1580" t="str">
        <x:v>Mick Crebagga</x:v>
      </x:c>
      <x:c r="E1580" t="str">
        <x:v>Consumer</x:v>
      </x:c>
      <x:c r="F1580" t="str">
        <x:v>Central</x:v>
      </x:c>
      <x:c r="G1580" t="str">
        <x:v>Technology</x:v>
      </x:c>
      <x:c r="H1580" t="str">
        <x:v>Phones</x:v>
      </x:c>
      <x:c r="I1580" s="22" t="n">
        <x:v>40.68</x:v>
      </x:c>
      <x:c r="J1580" s="24" t="n">
        <x:v>3</x:v>
      </x:c>
      <x:c r="K1580" s="26" t="n">
        <x:v>0.2</x:v>
      </x:c>
      <x:c r="L1580" s="22" t="n">
        <x:v>-9.153000000000004</x:v>
      </x:c>
      <x:c r="M1580" t="n">
        <x:v>2014</x:v>
      </x:c>
      <x:c r="N1580" s="20" t="n">
        <x:v>41974</x:v>
      </x:c>
    </x:row>
    <x:row r="1581" ht="18" customHeight="1">
      <x:c r="A1581" t="str">
        <x:v>CA-2014-101602</x:v>
      </x:c>
      <x:c r="B1581" s="18" t="n">
        <x:v>41988</x:v>
      </x:c>
      <x:c r="C1581" t="str">
        <x:v>MC-18100</x:v>
      </x:c>
      <x:c r="D1581" t="str">
        <x:v>Mick Crebagga</x:v>
      </x:c>
      <x:c r="E1581" t="str">
        <x:v>Consumer</x:v>
      </x:c>
      <x:c r="F1581" t="str">
        <x:v>Central</x:v>
      </x:c>
      <x:c r="G1581" t="str">
        <x:v>Furniture</x:v>
      </x:c>
      <x:c r="H1581" t="str">
        <x:v>Chairs</x:v>
      </x:c>
      <x:c r="I1581" s="22" t="n">
        <x:v>763.28</x:v>
      </x:c>
      <x:c r="J1581" s="24" t="n">
        <x:v>5</x:v>
      </x:c>
      <x:c r="K1581" s="26" t="n">
        <x:v>0.3</x:v>
      </x:c>
      <x:c r="L1581" s="22" t="n">
        <x:v>-21.807999999999993</x:v>
      </x:c>
      <x:c r="M1581" t="n">
        <x:v>2014</x:v>
      </x:c>
      <x:c r="N1581" s="20" t="n">
        <x:v>41974</x:v>
      </x:c>
    </x:row>
    <x:row r="1582" ht="18" customHeight="1">
      <x:c r="A1582" t="str">
        <x:v>CA-2016-109057</x:v>
      </x:c>
      <x:c r="B1582" s="18" t="n">
        <x:v>42482</x:v>
      </x:c>
      <x:c r="C1582" t="str">
        <x:v>TT-21460</x:v>
      </x:c>
      <x:c r="D1582" t="str">
        <x:v>Tonja Turnell</x:v>
      </x:c>
      <x:c r="E1582" t="str">
        <x:v>Home Office</x:v>
      </x:c>
      <x:c r="F1582" t="str">
        <x:v>Central</x:v>
      </x:c>
      <x:c r="G1582" t="str">
        <x:v>Office Supplies</x:v>
      </x:c>
      <x:c r="H1582" t="str">
        <x:v>Storage</x:v>
      </x:c>
      <x:c r="I1582" s="22" t="n">
        <x:v>23.952</x:v>
      </x:c>
      <x:c r="J1582" s="24" t="n">
        <x:v>2</x:v>
      </x:c>
      <x:c r="K1582" s="26" t="n">
        <x:v>0.2</x:v>
      </x:c>
      <x:c r="L1582" s="22" t="n">
        <x:v>2.3952000000000018</x:v>
      </x:c>
      <x:c r="M1582" t="n">
        <x:v>2016</x:v>
      </x:c>
      <x:c r="N1582" s="20" t="n">
        <x:v>42461</x:v>
      </x:c>
    </x:row>
    <x:row r="1583" ht="18" customHeight="1">
      <x:c r="A1583" t="str">
        <x:v>CA-2016-154403</x:v>
      </x:c>
      <x:c r="B1583" s="18" t="n">
        <x:v>42513</x:v>
      </x:c>
      <x:c r="C1583" t="str">
        <x:v>AP-10720</x:v>
      </x:c>
      <x:c r="D1583" t="str">
        <x:v>Anne Pryor</x:v>
      </x:c>
      <x:c r="E1583" t="str">
        <x:v>Home Office</x:v>
      </x:c>
      <x:c r="F1583" t="str">
        <x:v>South</x:v>
      </x:c>
      <x:c r="G1583" t="str">
        <x:v>Office Supplies</x:v>
      </x:c>
      <x:c r="H1583" t="str">
        <x:v>Paper</x:v>
      </x:c>
      <x:c r="I1583" s="22" t="n">
        <x:v>4.98</x:v>
      </x:c>
      <x:c r="J1583" s="24" t="n">
        <x:v>1</x:v>
      </x:c>
      <x:c r="K1583" s="26" t="n">
        <x:v>0</x:v>
      </x:c>
      <x:c r="L1583" s="22" t="n">
        <x:v>2.4402000000000004</x:v>
      </x:c>
      <x:c r="M1583" t="n">
        <x:v>2016</x:v>
      </x:c>
      <x:c r="N1583" s="20" t="n">
        <x:v>42491</x:v>
      </x:c>
    </x:row>
    <x:row r="1584" ht="18" customHeight="1">
      <x:c r="A1584" t="str">
        <x:v>CA-2016-102456</x:v>
      </x:c>
      <x:c r="B1584" s="18" t="n">
        <x:v>42427</x:v>
      </x:c>
      <x:c r="C1584" t="str">
        <x:v>DL-12865</x:v>
      </x:c>
      <x:c r="D1584" t="str">
        <x:v>Dan Lawera</x:v>
      </x:c>
      <x:c r="E1584" t="str">
        <x:v>Consumer</x:v>
      </x:c>
      <x:c r="F1584" t="str">
        <x:v>East</x:v>
      </x:c>
      <x:c r="G1584" t="str">
        <x:v>Office Supplies</x:v>
      </x:c>
      <x:c r="H1584" t="str">
        <x:v>Appliances</x:v>
      </x:c>
      <x:c r="I1584" s="22" t="n">
        <x:v>170.88</x:v>
      </x:c>
      <x:c r="J1584" s="24" t="n">
        <x:v>3</x:v>
      </x:c>
      <x:c r="K1584" s="26" t="n">
        <x:v>0</x:v>
      </x:c>
      <x:c r="L1584" s="22" t="n">
        <x:v>49.55519999999998</x:v>
      </x:c>
      <x:c r="M1584" t="n">
        <x:v>2016</x:v>
      </x:c>
      <x:c r="N1584" s="20" t="n">
        <x:v>42401</x:v>
      </x:c>
    </x:row>
    <x:row r="1585" ht="18" customHeight="1">
      <x:c r="A1585" t="str">
        <x:v>CA-2015-131338</x:v>
      </x:c>
      <x:c r="B1585" s="18" t="n">
        <x:v>42225</x:v>
      </x:c>
      <x:c r="C1585" t="str">
        <x:v>NP-18325</x:v>
      </x:c>
      <x:c r="D1585" t="str">
        <x:v>Naresj Patel</x:v>
      </x:c>
      <x:c r="E1585" t="str">
        <x:v>Consumer</x:v>
      </x:c>
      <x:c r="F1585" t="str">
        <x:v>East</x:v>
      </x:c>
      <x:c r="G1585" t="str">
        <x:v>Technology</x:v>
      </x:c>
      <x:c r="H1585" t="str">
        <x:v>Phones</x:v>
      </x:c>
      <x:c r="I1585" s="22" t="n">
        <x:v>307.98</x:v>
      </x:c>
      <x:c r="J1585" s="24" t="n">
        <x:v>2</x:v>
      </x:c>
      <x:c r="K1585" s="26" t="n">
        <x:v>0</x:v>
      </x:c>
      <x:c r="L1585" s="22" t="n">
        <x:v>89.31419999999997</x:v>
      </x:c>
      <x:c r="M1585" t="n">
        <x:v>2015</x:v>
      </x:c>
      <x:c r="N1585" s="20" t="n">
        <x:v>42217</x:v>
      </x:c>
    </x:row>
    <x:row r="1586" ht="18" customHeight="1">
      <x:c r="A1586" t="str">
        <x:v>CA-2015-131338</x:v>
      </x:c>
      <x:c r="B1586" s="18" t="n">
        <x:v>42225</x:v>
      </x:c>
      <x:c r="C1586" t="str">
        <x:v>NP-18325</x:v>
      </x:c>
      <x:c r="D1586" t="str">
        <x:v>Naresj Patel</x:v>
      </x:c>
      <x:c r="E1586" t="str">
        <x:v>Consumer</x:v>
      </x:c>
      <x:c r="F1586" t="str">
        <x:v>East</x:v>
      </x:c>
      <x:c r="G1586" t="str">
        <x:v>Furniture</x:v>
      </x:c>
      <x:c r="H1586" t="str">
        <x:v>Tables</x:v>
      </x:c>
      <x:c r="I1586" s="22" t="n">
        <x:v>382.806</x:v>
      </x:c>
      <x:c r="J1586" s="24" t="n">
        <x:v>9</x:v>
      </x:c>
      <x:c r="K1586" s="26" t="n">
        <x:v>0.4</x:v>
      </x:c>
      <x:c r="L1586" s="22" t="n">
        <x:v>-153.12239999999997</x:v>
      </x:c>
      <x:c r="M1586" t="n">
        <x:v>2015</x:v>
      </x:c>
      <x:c r="N1586" s="20" t="n">
        <x:v>42217</x:v>
      </x:c>
    </x:row>
    <x:row r="1587" ht="18" customHeight="1">
      <x:c r="A1587" t="str">
        <x:v>CA-2015-131338</x:v>
      </x:c>
      <x:c r="B1587" s="18" t="n">
        <x:v>42225</x:v>
      </x:c>
      <x:c r="C1587" t="str">
        <x:v>NP-18325</x:v>
      </x:c>
      <x:c r="D1587" t="str">
        <x:v>Naresj Patel</x:v>
      </x:c>
      <x:c r="E1587" t="str">
        <x:v>Consumer</x:v>
      </x:c>
      <x:c r="F1587" t="str">
        <x:v>East</x:v>
      </x:c>
      <x:c r="G1587" t="str">
        <x:v>Office Supplies</x:v>
      </x:c>
      <x:c r="H1587" t="str">
        <x:v>Storage</x:v>
      </x:c>
      <x:c r="I1587" s="22" t="n">
        <x:v>41.96</x:v>
      </x:c>
      <x:c r="J1587" s="24" t="n">
        <x:v>2</x:v>
      </x:c>
      <x:c r="K1587" s="26" t="n">
        <x:v>0</x:v>
      </x:c>
      <x:c r="L1587" s="22" t="n">
        <x:v>2.937199999999997</x:v>
      </x:c>
      <x:c r="M1587" t="n">
        <x:v>2015</x:v>
      </x:c>
      <x:c r="N1587" s="20" t="n">
        <x:v>42217</x:v>
      </x:c>
    </x:row>
    <x:row r="1588" ht="18" customHeight="1">
      <x:c r="A1588" t="str">
        <x:v>CA-2015-131338</x:v>
      </x:c>
      <x:c r="B1588" s="18" t="n">
        <x:v>42225</x:v>
      </x:c>
      <x:c r="C1588" t="str">
        <x:v>NP-18325</x:v>
      </x:c>
      <x:c r="D1588" t="str">
        <x:v>Naresj Patel</x:v>
      </x:c>
      <x:c r="E1588" t="str">
        <x:v>Consumer</x:v>
      </x:c>
      <x:c r="F1588" t="str">
        <x:v>East</x:v>
      </x:c>
      <x:c r="G1588" t="str">
        <x:v>Office Supplies</x:v>
      </x:c>
      <x:c r="H1588" t="str">
        <x:v>Binders</x:v>
      </x:c>
      <x:c r="I1588" s="22" t="n">
        <x:v>1217.568</x:v>
      </x:c>
      <x:c r="J1588" s="24" t="n">
        <x:v>2</x:v>
      </x:c>
      <x:c r="K1588" s="26" t="n">
        <x:v>0.2</x:v>
      </x:c>
      <x:c r="L1588" s="22" t="n">
        <x:v>456.588</x:v>
      </x:c>
      <x:c r="M1588" t="n">
        <x:v>2015</x:v>
      </x:c>
      <x:c r="N1588" s="20" t="n">
        <x:v>42217</x:v>
      </x:c>
    </x:row>
    <x:row r="1589" ht="18" customHeight="1">
      <x:c r="A1589" t="str">
        <x:v>CA-2015-131338</x:v>
      </x:c>
      <x:c r="B1589" s="18" t="n">
        <x:v>42225</x:v>
      </x:c>
      <x:c r="C1589" t="str">
        <x:v>NP-18325</x:v>
      </x:c>
      <x:c r="D1589" t="str">
        <x:v>Naresj Patel</x:v>
      </x:c>
      <x:c r="E1589" t="str">
        <x:v>Consumer</x:v>
      </x:c>
      <x:c r="F1589" t="str">
        <x:v>East</x:v>
      </x:c>
      <x:c r="G1589" t="str">
        <x:v>Furniture</x:v>
      </x:c>
      <x:c r="H1589" t="str">
        <x:v>Furnishings</x:v>
      </x:c>
      <x:c r="I1589" s="22" t="n">
        <x:v>47.04</x:v>
      </x:c>
      <x:c r="J1589" s="24" t="n">
        <x:v>3</x:v>
      </x:c>
      <x:c r="K1589" s="26" t="n">
        <x:v>0</x:v>
      </x:c>
      <x:c r="L1589" s="22" t="n">
        <x:v>18.345599999999997</x:v>
      </x:c>
      <x:c r="M1589" t="n">
        <x:v>2015</x:v>
      </x:c>
      <x:c r="N1589" s="20" t="n">
        <x:v>42217</x:v>
      </x:c>
    </x:row>
    <x:row r="1590" ht="18" customHeight="1">
      <x:c r="A1590" t="str">
        <x:v>CA-2015-131338</x:v>
      </x:c>
      <x:c r="B1590" s="18" t="n">
        <x:v>42225</x:v>
      </x:c>
      <x:c r="C1590" t="str">
        <x:v>NP-18325</x:v>
      </x:c>
      <x:c r="D1590" t="str">
        <x:v>Naresj Patel</x:v>
      </x:c>
      <x:c r="E1590" t="str">
        <x:v>Consumer</x:v>
      </x:c>
      <x:c r="F1590" t="str">
        <x:v>East</x:v>
      </x:c>
      <x:c r="G1590" t="str">
        <x:v>Furniture</x:v>
      </x:c>
      <x:c r="H1590" t="str">
        <x:v>Furnishings</x:v>
      </x:c>
      <x:c r="I1590" s="22" t="n">
        <x:v>6.16</x:v>
      </x:c>
      <x:c r="J1590" s="24" t="n">
        <x:v>2</x:v>
      </x:c>
      <x:c r="K1590" s="26" t="n">
        <x:v>0</x:v>
      </x:c>
      <x:c r="L1590" s="22" t="n">
        <x:v>2.9568</x:v>
      </x:c>
      <x:c r="M1590" t="n">
        <x:v>2015</x:v>
      </x:c>
      <x:c r="N1590" s="20" t="n">
        <x:v>42217</x:v>
      </x:c>
    </x:row>
    <x:row r="1591" ht="18" customHeight="1">
      <x:c r="A1591" t="str">
        <x:v>CA-2015-131338</x:v>
      </x:c>
      <x:c r="B1591" s="18" t="n">
        <x:v>42225</x:v>
      </x:c>
      <x:c r="C1591" t="str">
        <x:v>NP-18325</x:v>
      </x:c>
      <x:c r="D1591" t="str">
        <x:v>Naresj Patel</x:v>
      </x:c>
      <x:c r="E1591" t="str">
        <x:v>Consumer</x:v>
      </x:c>
      <x:c r="F1591" t="str">
        <x:v>East</x:v>
      </x:c>
      <x:c r="G1591" t="str">
        <x:v>Technology</x:v>
      </x:c>
      <x:c r="H1591" t="str">
        <x:v>Phones</x:v>
      </x:c>
      <x:c r="I1591" s="22" t="n">
        <x:v>979.95</x:v>
      </x:c>
      <x:c r="J1591" s="24" t="n">
        <x:v>5</x:v>
      </x:c>
      <x:c r="K1591" s="26" t="n">
        <x:v>0</x:v>
      </x:c>
      <x:c r="L1591" s="22" t="n">
        <x:v>274.3860000000001</x:v>
      </x:c>
      <x:c r="M1591" t="n">
        <x:v>2015</x:v>
      </x:c>
      <x:c r="N1591" s="20" t="n">
        <x:v>42217</x:v>
      </x:c>
    </x:row>
    <x:row r="1592" ht="18" customHeight="1">
      <x:c r="A1592" t="str">
        <x:v>CA-2015-131338</x:v>
      </x:c>
      <x:c r="B1592" s="18" t="n">
        <x:v>42225</x:v>
      </x:c>
      <x:c r="C1592" t="str">
        <x:v>NP-18325</x:v>
      </x:c>
      <x:c r="D1592" t="str">
        <x:v>Naresj Patel</x:v>
      </x:c>
      <x:c r="E1592" t="str">
        <x:v>Consumer</x:v>
      </x:c>
      <x:c r="F1592" t="str">
        <x:v>East</x:v>
      </x:c>
      <x:c r="G1592" t="str">
        <x:v>Office Supplies</x:v>
      </x:c>
      <x:c r="H1592" t="str">
        <x:v>Paper</x:v>
      </x:c>
      <x:c r="I1592" s="22" t="n">
        <x:v>143.7</x:v>
      </x:c>
      <x:c r="J1592" s="24" t="n">
        <x:v>3</x:v>
      </x:c>
      <x:c r="K1592" s="26" t="n">
        <x:v>0</x:v>
      </x:c>
      <x:c r="L1592" s="22" t="n">
        <x:v>68.976</x:v>
      </x:c>
      <x:c r="M1592" t="n">
        <x:v>2015</x:v>
      </x:c>
      <x:c r="N1592" s="20" t="n">
        <x:v>42217</x:v>
      </x:c>
    </x:row>
    <x:row r="1593" ht="18" customHeight="1">
      <x:c r="A1593" t="str">
        <x:v>CA-2015-131338</x:v>
      </x:c>
      <x:c r="B1593" s="18" t="n">
        <x:v>42225</x:v>
      </x:c>
      <x:c r="C1593" t="str">
        <x:v>NP-18325</x:v>
      </x:c>
      <x:c r="D1593" t="str">
        <x:v>Naresj Patel</x:v>
      </x:c>
      <x:c r="E1593" t="str">
        <x:v>Consumer</x:v>
      </x:c>
      <x:c r="F1593" t="str">
        <x:v>East</x:v>
      </x:c>
      <x:c r="G1593" t="str">
        <x:v>Office Supplies</x:v>
      </x:c>
      <x:c r="H1593" t="str">
        <x:v>Fasteners</x:v>
      </x:c>
      <x:c r="I1593" s="22" t="n">
        <x:v>10.649999999999999</x:v>
      </x:c>
      <x:c r="J1593" s="24" t="n">
        <x:v>3</x:v>
      </x:c>
      <x:c r="K1593" s="26" t="n">
        <x:v>0</x:v>
      </x:c>
      <x:c r="L1593" s="22" t="n">
        <x:v>5.0055</x:v>
      </x:c>
      <x:c r="M1593" t="n">
        <x:v>2015</x:v>
      </x:c>
      <x:c r="N1593" s="20" t="n">
        <x:v>42217</x:v>
      </x:c>
    </x:row>
    <x:row r="1594" ht="18" customHeight="1">
      <x:c r="A1594" t="str">
        <x:v>CA-2015-131338</x:v>
      </x:c>
      <x:c r="B1594" s="18" t="n">
        <x:v>42225</x:v>
      </x:c>
      <x:c r="C1594" t="str">
        <x:v>NP-18325</x:v>
      </x:c>
      <x:c r="D1594" t="str">
        <x:v>Naresj Patel</x:v>
      </x:c>
      <x:c r="E1594" t="str">
        <x:v>Consumer</x:v>
      </x:c>
      <x:c r="F1594" t="str">
        <x:v>East</x:v>
      </x:c>
      <x:c r="G1594" t="str">
        <x:v>Technology</x:v>
      </x:c>
      <x:c r="H1594" t="str">
        <x:v>Accessories</x:v>
      </x:c>
      <x:c r="I1594" s="22" t="n">
        <x:v>247.8</x:v>
      </x:c>
      <x:c r="J1594" s="24" t="n">
        <x:v>4</x:v>
      </x:c>
      <x:c r="K1594" s="26" t="n">
        <x:v>0</x:v>
      </x:c>
      <x:c r="L1594" s="22" t="n">
        <x:v>34.69200000000001</x:v>
      </x:c>
      <x:c r="M1594" t="n">
        <x:v>2015</x:v>
      </x:c>
      <x:c r="N1594" s="20" t="n">
        <x:v>42217</x:v>
      </x:c>
    </x:row>
    <x:row r="1595" ht="18" customHeight="1">
      <x:c r="A1595" t="str">
        <x:v>CA-2016-109911</x:v>
      </x:c>
      <x:c r="B1595" s="18" t="n">
        <x:v>42502</x:v>
      </x:c>
      <x:c r="C1595" t="str">
        <x:v>VG-21805</x:v>
      </x:c>
      <x:c r="D1595" t="str">
        <x:v>Vivek Grady</x:v>
      </x:c>
      <x:c r="E1595" t="str">
        <x:v>Corporate</x:v>
      </x:c>
      <x:c r="F1595" t="str">
        <x:v>South</x:v>
      </x:c>
      <x:c r="G1595" t="str">
        <x:v>Office Supplies</x:v>
      </x:c>
      <x:c r="H1595" t="str">
        <x:v>Art</x:v>
      </x:c>
      <x:c r="I1595" s="22" t="n">
        <x:v>10.96</x:v>
      </x:c>
      <x:c r="J1595" s="24" t="n">
        <x:v>4</x:v>
      </x:c>
      <x:c r="K1595" s="26" t="n">
        <x:v>0</x:v>
      </x:c>
      <x:c r="L1595" s="22" t="n">
        <x:v>2.959200000000001</x:v>
      </x:c>
      <x:c r="M1595" t="n">
        <x:v>2016</x:v>
      </x:c>
      <x:c r="N1595" s="20" t="n">
        <x:v>42491</x:v>
      </x:c>
    </x:row>
    <x:row r="1596" ht="18" customHeight="1">
      <x:c r="A1596" t="str">
        <x:v>US-2016-132423</x:v>
      </x:c>
      <x:c r="B1596" s="18" t="n">
        <x:v>42475</x:v>
      </x:c>
      <x:c r="C1596" t="str">
        <x:v>MY-18295</x:v>
      </x:c>
      <x:c r="D1596" t="str">
        <x:v>Muhammed Yedwab</x:v>
      </x:c>
      <x:c r="E1596" t="str">
        <x:v>Corporate</x:v>
      </x:c>
      <x:c r="F1596" t="str">
        <x:v>Central</x:v>
      </x:c>
      <x:c r="G1596" t="str">
        <x:v>Office Supplies</x:v>
      </x:c>
      <x:c r="H1596" t="str">
        <x:v>Art</x:v>
      </x:c>
      <x:c r="I1596" s="22" t="n">
        <x:v>33.48800000000001</x:v>
      </x:c>
      <x:c r="J1596" s="24" t="n">
        <x:v>7</x:v>
      </x:c>
      <x:c r="K1596" s="26" t="n">
        <x:v>0.2</x:v>
      </x:c>
      <x:c r="L1596" s="22" t="n">
        <x:v>5.860399999999997</x:v>
      </x:c>
      <x:c r="M1596" t="n">
        <x:v>2016</x:v>
      </x:c>
      <x:c r="N1596" s="20" t="n">
        <x:v>42461</x:v>
      </x:c>
    </x:row>
    <x:row r="1597" ht="18" customHeight="1">
      <x:c r="A1597" t="str">
        <x:v>US-2016-132423</x:v>
      </x:c>
      <x:c r="B1597" s="18" t="n">
        <x:v>42475</x:v>
      </x:c>
      <x:c r="C1597" t="str">
        <x:v>MY-18295</x:v>
      </x:c>
      <x:c r="D1597" t="str">
        <x:v>Muhammed Yedwab</x:v>
      </x:c>
      <x:c r="E1597" t="str">
        <x:v>Corporate</x:v>
      </x:c>
      <x:c r="F1597" t="str">
        <x:v>Central</x:v>
      </x:c>
      <x:c r="G1597" t="str">
        <x:v>Office Supplies</x:v>
      </x:c>
      <x:c r="H1597" t="str">
        <x:v>Fasteners</x:v>
      </x:c>
      <x:c r="I1597" s="22" t="n">
        <x:v>8.04</x:v>
      </x:c>
      <x:c r="J1597" s="24" t="n">
        <x:v>5</x:v>
      </x:c>
      <x:c r="K1597" s="26" t="n">
        <x:v>0.2</x:v>
      </x:c>
      <x:c r="L1597" s="22" t="n">
        <x:v>2.9144999999999994</x:v>
      </x:c>
      <x:c r="M1597" t="n">
        <x:v>2016</x:v>
      </x:c>
      <x:c r="N1597" s="20" t="n">
        <x:v>42461</x:v>
      </x:c>
    </x:row>
    <x:row r="1598" ht="18" customHeight="1">
      <x:c r="A1598" t="str">
        <x:v>CA-2015-122826</x:v>
      </x:c>
      <x:c r="B1598" s="18" t="n">
        <x:v>42178</x:v>
      </x:c>
      <x:c r="C1598" t="str">
        <x:v>RD-19480</x:v>
      </x:c>
      <x:c r="D1598" t="str">
        <x:v>Rick Duston</x:v>
      </x:c>
      <x:c r="E1598" t="str">
        <x:v>Consumer</x:v>
      </x:c>
      <x:c r="F1598" t="str">
        <x:v>West</x:v>
      </x:c>
      <x:c r="G1598" t="str">
        <x:v>Technology</x:v>
      </x:c>
      <x:c r="H1598" t="str">
        <x:v>Phones</x:v>
      </x:c>
      <x:c r="I1598" s="22" t="n">
        <x:v>201.568</x:v>
      </x:c>
      <x:c r="J1598" s="24" t="n">
        <x:v>4</x:v>
      </x:c>
      <x:c r="K1598" s="26" t="n">
        <x:v>0.2</x:v>
      </x:c>
      <x:c r="L1598" s="22" t="n">
        <x:v>22.676399999999994</x:v>
      </x:c>
      <x:c r="M1598" t="n">
        <x:v>2015</x:v>
      </x:c>
      <x:c r="N1598" s="20" t="n">
        <x:v>42156</x:v>
      </x:c>
    </x:row>
    <x:row r="1599" ht="18" customHeight="1">
      <x:c r="A1599" t="str">
        <x:v>CA-2014-117317</x:v>
      </x:c>
      <x:c r="B1599" s="18" t="n">
        <x:v>41931</x:v>
      </x:c>
      <x:c r="C1599" t="str">
        <x:v>JF-15490</x:v>
      </x:c>
      <x:c r="D1599" t="str">
        <x:v>Jeremy Farry</x:v>
      </x:c>
      <x:c r="E1599" t="str">
        <x:v>Consumer</x:v>
      </x:c>
      <x:c r="F1599" t="str">
        <x:v>West</x:v>
      </x:c>
      <x:c r="G1599" t="str">
        <x:v>Office Supplies</x:v>
      </x:c>
      <x:c r="H1599" t="str">
        <x:v>Paper</x:v>
      </x:c>
      <x:c r="I1599" s="22" t="n">
        <x:v>13.440000000000001</x:v>
      </x:c>
      <x:c r="J1599" s="24" t="n">
        <x:v>3</x:v>
      </x:c>
      <x:c r="K1599" s="26" t="n">
        <x:v>0</x:v>
      </x:c>
      <x:c r="L1599" s="22" t="n">
        <x:v>6.585600000000001</x:v>
      </x:c>
      <x:c r="M1599" t="n">
        <x:v>2014</x:v>
      </x:c>
      <x:c r="N1599" s="20" t="n">
        <x:v>41913</x:v>
      </x:c>
    </x:row>
    <x:row r="1600" ht="18" customHeight="1">
      <x:c r="A1600" t="str">
        <x:v>CA-2015-118423</x:v>
      </x:c>
      <x:c r="B1600" s="18" t="n">
        <x:v>42087</x:v>
      </x:c>
      <x:c r="C1600" t="str">
        <x:v>DP-13390</x:v>
      </x:c>
      <x:c r="D1600" t="str">
        <x:v>Dennis Pardue</x:v>
      </x:c>
      <x:c r="E1600" t="str">
        <x:v>Home Office</x:v>
      </x:c>
      <x:c r="F1600" t="str">
        <x:v>Central</x:v>
      </x:c>
      <x:c r="G1600" t="str">
        <x:v>Furniture</x:v>
      </x:c>
      <x:c r="H1600" t="str">
        <x:v>Bookcases</x:v>
      </x:c>
      <x:c r="I1600" s="22" t="n">
        <x:v>359.05799999999994</x:v>
      </x:c>
      <x:c r="J1600" s="24" t="n">
        <x:v>3</x:v>
      </x:c>
      <x:c r="K1600" s="26" t="n">
        <x:v>0.3</x:v>
      </x:c>
      <x:c r="L1600" s="22" t="n">
        <x:v>-35.9058</x:v>
      </x:c>
      <x:c r="M1600" t="n">
        <x:v>2015</x:v>
      </x:c>
      <x:c r="N1600" s="20" t="n">
        <x:v>42064</x:v>
      </x:c>
    </x:row>
    <x:row r="1601" ht="18" customHeight="1">
      <x:c r="A1601" t="str">
        <x:v>CA-2017-149181</x:v>
      </x:c>
      <x:c r="B1601" s="18" t="n">
        <x:v>42863</x:v>
      </x:c>
      <x:c r="C1601" t="str">
        <x:v>MD-17350</x:v>
      </x:c>
      <x:c r="D1601" t="str">
        <x:v>Maribeth Dona</x:v>
      </x:c>
      <x:c r="E1601" t="str">
        <x:v>Consumer</x:v>
      </x:c>
      <x:c r="F1601" t="str">
        <x:v>East</x:v>
      </x:c>
      <x:c r="G1601" t="str">
        <x:v>Furniture</x:v>
      </x:c>
      <x:c r="H1601" t="str">
        <x:v>Chairs</x:v>
      </x:c>
      <x:c r="I1601" s="22" t="n">
        <x:v>47.992</x:v>
      </x:c>
      <x:c r="J1601" s="24" t="n">
        <x:v>2</x:v>
      </x:c>
      <x:c r="K1601" s="26" t="n">
        <x:v>0.3</x:v>
      </x:c>
      <x:c r="L1601" s="22" t="n">
        <x:v>-2.056799999999999</x:v>
      </x:c>
      <x:c r="M1601" t="n">
        <x:v>2017</x:v>
      </x:c>
      <x:c r="N1601" s="20" t="n">
        <x:v>42856</x:v>
      </x:c>
    </x:row>
    <x:row r="1602" ht="18" customHeight="1">
      <x:c r="A1602" t="str">
        <x:v>CA-2017-132234</x:v>
      </x:c>
      <x:c r="B1602" s="18" t="n">
        <x:v>43024</x:v>
      </x:c>
      <x:c r="C1602" t="str">
        <x:v>MY-17380</x:v>
      </x:c>
      <x:c r="D1602" t="str">
        <x:v>Maribeth Yedwab</x:v>
      </x:c>
      <x:c r="E1602" t="str">
        <x:v>Corporate</x:v>
      </x:c>
      <x:c r="F1602" t="str">
        <x:v>East</x:v>
      </x:c>
      <x:c r="G1602" t="str">
        <x:v>Furniture</x:v>
      </x:c>
      <x:c r="H1602" t="str">
        <x:v>Furnishings</x:v>
      </x:c>
      <x:c r="I1602" s="22" t="n">
        <x:v>547.3000000000001</x:v>
      </x:c>
      <x:c r="J1602" s="24" t="n">
        <x:v>13</x:v>
      </x:c>
      <x:c r="K1602" s="26" t="n">
        <x:v>0</x:v>
      </x:c>
      <x:c r="L1602" s="22" t="n">
        <x:v>175.13599999999997</x:v>
      </x:c>
      <x:c r="M1602" t="n">
        <x:v>2017</x:v>
      </x:c>
      <x:c r="N1602" s="20" t="n">
        <x:v>43009</x:v>
      </x:c>
    </x:row>
    <x:row r="1603" ht="18" customHeight="1">
      <x:c r="A1603" t="str">
        <x:v>CA-2017-158876</x:v>
      </x:c>
      <x:c r="B1603" s="18" t="n">
        <x:v>43058</x:v>
      </x:c>
      <x:c r="C1603" t="str">
        <x:v>AB-10150</x:v>
      </x:c>
      <x:c r="D1603" t="str">
        <x:v>Aimee Bixby</x:v>
      </x:c>
      <x:c r="E1603" t="str">
        <x:v>Consumer</x:v>
      </x:c>
      <x:c r="F1603" t="str">
        <x:v>Central</x:v>
      </x:c>
      <x:c r="G1603" t="str">
        <x:v>Office Supplies</x:v>
      </x:c>
      <x:c r="H1603" t="str">
        <x:v>Paper</x:v>
      </x:c>
      <x:c r="I1603" s="22" t="n">
        <x:v>16.896</x:v>
      </x:c>
      <x:c r="J1603" s="24" t="n">
        <x:v>4</x:v>
      </x:c>
      <x:c r="K1603" s="26" t="n">
        <x:v>0.2</x:v>
      </x:c>
      <x:c r="L1603" s="22" t="n">
        <x:v>5.279999999999999</x:v>
      </x:c>
      <x:c r="M1603" t="n">
        <x:v>2017</x:v>
      </x:c>
      <x:c r="N1603" s="20" t="n">
        <x:v>43040</x:v>
      </x:c>
    </x:row>
    <x:row r="1604" ht="18" customHeight="1">
      <x:c r="A1604" t="str">
        <x:v>CA-2017-158876</x:v>
      </x:c>
      <x:c r="B1604" s="18" t="n">
        <x:v>43058</x:v>
      </x:c>
      <x:c r="C1604" t="str">
        <x:v>AB-10150</x:v>
      </x:c>
      <x:c r="D1604" t="str">
        <x:v>Aimee Bixby</x:v>
      </x:c>
      <x:c r="E1604" t="str">
        <x:v>Consumer</x:v>
      </x:c>
      <x:c r="F1604" t="str">
        <x:v>Central</x:v>
      </x:c>
      <x:c r="G1604" t="str">
        <x:v>Office Supplies</x:v>
      </x:c>
      <x:c r="H1604" t="str">
        <x:v>Supplies</x:v>
      </x:c>
      <x:c r="I1604" s="22" t="n">
        <x:v>6.672000000000001</x:v>
      </x:c>
      <x:c r="J1604" s="24" t="n">
        <x:v>1</x:v>
      </x:c>
      <x:c r="K1604" s="26" t="n">
        <x:v>0.2</x:v>
      </x:c>
      <x:c r="L1604" s="22" t="n">
        <x:v>0.5004</x:v>
      </x:c>
      <x:c r="M1604" t="n">
        <x:v>2017</x:v>
      </x:c>
      <x:c r="N1604" s="20" t="n">
        <x:v>43040</x:v>
      </x:c>
    </x:row>
    <x:row r="1605" ht="18" customHeight="1">
      <x:c r="A1605" t="str">
        <x:v>CA-2017-158876</x:v>
      </x:c>
      <x:c r="B1605" s="18" t="n">
        <x:v>43058</x:v>
      </x:c>
      <x:c r="C1605" t="str">
        <x:v>AB-10150</x:v>
      </x:c>
      <x:c r="D1605" t="str">
        <x:v>Aimee Bixby</x:v>
      </x:c>
      <x:c r="E1605" t="str">
        <x:v>Consumer</x:v>
      </x:c>
      <x:c r="F1605" t="str">
        <x:v>Central</x:v>
      </x:c>
      <x:c r="G1605" t="str">
        <x:v>Office Supplies</x:v>
      </x:c>
      <x:c r="H1605" t="str">
        <x:v>Art</x:v>
      </x:c>
      <x:c r="I1605" s="22" t="n">
        <x:v>99.13600000000001</x:v>
      </x:c>
      <x:c r="J1605" s="24" t="n">
        <x:v>4</x:v>
      </x:c>
      <x:c r="K1605" s="26" t="n">
        <x:v>0.2</x:v>
      </x:c>
      <x:c r="L1605" s="22" t="n">
        <x:v>8.674399999999995</x:v>
      </x:c>
      <x:c r="M1605" t="n">
        <x:v>2017</x:v>
      </x:c>
      <x:c r="N1605" s="20" t="n">
        <x:v>43040</x:v>
      </x:c>
    </x:row>
    <x:row r="1606" ht="18" customHeight="1">
      <x:c r="A1606" t="str">
        <x:v>CA-2017-158876</x:v>
      </x:c>
      <x:c r="B1606" s="18" t="n">
        <x:v>43058</x:v>
      </x:c>
      <x:c r="C1606" t="str">
        <x:v>AB-10150</x:v>
      </x:c>
      <x:c r="D1606" t="str">
        <x:v>Aimee Bixby</x:v>
      </x:c>
      <x:c r="E1606" t="str">
        <x:v>Consumer</x:v>
      </x:c>
      <x:c r="F1606" t="str">
        <x:v>Central</x:v>
      </x:c>
      <x:c r="G1606" t="str">
        <x:v>Furniture</x:v>
      </x:c>
      <x:c r="H1606" t="str">
        <x:v>Furnishings</x:v>
      </x:c>
      <x:c r="I1606" s="22" t="n">
        <x:v>15.991999999999999</x:v>
      </x:c>
      <x:c r="J1606" s="24" t="n">
        <x:v>2</x:v>
      </x:c>
      <x:c r="K1606" s="26" t="n">
        <x:v>0.6</x:v>
      </x:c>
      <x:c r="L1606" s="22" t="n">
        <x:v>-13.992999999999999</x:v>
      </x:c>
      <x:c r="M1606" t="n">
        <x:v>2017</x:v>
      </x:c>
      <x:c r="N1606" s="20" t="n">
        <x:v>43040</x:v>
      </x:c>
    </x:row>
    <x:row r="1607" ht="18" customHeight="1">
      <x:c r="A1607" t="str">
        <x:v>CA-2016-164672</x:v>
      </x:c>
      <x:c r="B1607" s="18" t="n">
        <x:v>42498</x:v>
      </x:c>
      <x:c r="C1607" t="str">
        <x:v>GB-14530</x:v>
      </x:c>
      <x:c r="D1607" t="str">
        <x:v>George Bell</x:v>
      </x:c>
      <x:c r="E1607" t="str">
        <x:v>Corporate</x:v>
      </x:c>
      <x:c r="F1607" t="str">
        <x:v>East</x:v>
      </x:c>
      <x:c r="G1607" t="str">
        <x:v>Furniture</x:v>
      </x:c>
      <x:c r="H1607" t="str">
        <x:v>Furnishings</x:v>
      </x:c>
      <x:c r="I1607" s="22" t="n">
        <x:v>211.96</x:v>
      </x:c>
      <x:c r="J1607" s="24" t="n">
        <x:v>2</x:v>
      </x:c>
      <x:c r="K1607" s="26" t="n">
        <x:v>0</x:v>
      </x:c>
      <x:c r="L1607" s="22" t="n">
        <x:v>42.391999999999996</x:v>
      </x:c>
      <x:c r="M1607" t="n">
        <x:v>2016</x:v>
      </x:c>
      <x:c r="N1607" s="20" t="n">
        <x:v>42491</x:v>
      </x:c>
    </x:row>
    <x:row r="1608" ht="18" customHeight="1">
      <x:c r="A1608" t="str">
        <x:v>US-2016-132857</x:v>
      </x:c>
      <x:c r="B1608" s="18" t="n">
        <x:v>42715</x:v>
      </x:c>
      <x:c r="C1608" t="str">
        <x:v>CA-12775</x:v>
      </x:c>
      <x:c r="D1608" t="str">
        <x:v>Cynthia Arntzen</x:v>
      </x:c>
      <x:c r="E1608" t="str">
        <x:v>Consumer</x:v>
      </x:c>
      <x:c r="F1608" t="str">
        <x:v>South</x:v>
      </x:c>
      <x:c r="G1608" t="str">
        <x:v>Office Supplies</x:v>
      </x:c>
      <x:c r="H1608" t="str">
        <x:v>Art</x:v>
      </x:c>
      <x:c r="I1608" s="22" t="n">
        <x:v>6.671999999999999</x:v>
      </x:c>
      <x:c r="J1608" s="24" t="n">
        <x:v>3</x:v>
      </x:c>
      <x:c r="K1608" s="26" t="n">
        <x:v>0.2</x:v>
      </x:c>
      <x:c r="L1608" s="22" t="n">
        <x:v>1.6679999999999997</x:v>
      </x:c>
      <x:c r="M1608" t="n">
        <x:v>2016</x:v>
      </x:c>
      <x:c r="N1608" s="20" t="n">
        <x:v>42705</x:v>
      </x:c>
    </x:row>
    <x:row r="1609" ht="18" customHeight="1">
      <x:c r="A1609" t="str">
        <x:v>CA-2017-116645</x:v>
      </x:c>
      <x:c r="B1609" s="18" t="n">
        <x:v>43069</x:v>
      </x:c>
      <x:c r="C1609" t="str">
        <x:v>ME-17725</x:v>
      </x:c>
      <x:c r="D1609" t="str">
        <x:v>Max Engle</x:v>
      </x:c>
      <x:c r="E1609" t="str">
        <x:v>Consumer</x:v>
      </x:c>
      <x:c r="F1609" t="str">
        <x:v>East</x:v>
      </x:c>
      <x:c r="G1609" t="str">
        <x:v>Office Supplies</x:v>
      </x:c>
      <x:c r="H1609" t="str">
        <x:v>Art</x:v>
      </x:c>
      <x:c r="I1609" s="22" t="n">
        <x:v>155.94</x:v>
      </x:c>
      <x:c r="J1609" s="24" t="n">
        <x:v>6</x:v>
      </x:c>
      <x:c r="K1609" s="26" t="n">
        <x:v>0</x:v>
      </x:c>
      <x:c r="L1609" s="22" t="n">
        <x:v>45.22259999999999</x:v>
      </x:c>
      <x:c r="M1609" t="n">
        <x:v>2017</x:v>
      </x:c>
      <x:c r="N1609" s="20" t="n">
        <x:v>43040</x:v>
      </x:c>
    </x:row>
    <x:row r="1610" ht="18" customHeight="1">
      <x:c r="A1610" t="str">
        <x:v>US-2016-115819</x:v>
      </x:c>
      <x:c r="B1610" s="18" t="n">
        <x:v>42479</x:v>
      </x:c>
      <x:c r="C1610" t="str">
        <x:v>JO-15280</x:v>
      </x:c>
      <x:c r="D1610" t="str">
        <x:v>Jas O'Carroll</x:v>
      </x:c>
      <x:c r="E1610" t="str">
        <x:v>Consumer</x:v>
      </x:c>
      <x:c r="F1610" t="str">
        <x:v>West</x:v>
      </x:c>
      <x:c r="G1610" t="str">
        <x:v>Technology</x:v>
      </x:c>
      <x:c r="H1610" t="str">
        <x:v>Phones</x:v>
      </x:c>
      <x:c r="I1610" s="22" t="n">
        <x:v>39.96000000000001</x:v>
      </x:c>
      <x:c r="J1610" s="24" t="n">
        <x:v>5</x:v>
      </x:c>
      <x:c r="K1610" s="26" t="n">
        <x:v>0.2</x:v>
      </x:c>
      <x:c r="L1610" s="22" t="n">
        <x:v>12.986999999999995</x:v>
      </x:c>
      <x:c r="M1610" t="n">
        <x:v>2016</x:v>
      </x:c>
      <x:c r="N1610" s="20" t="n">
        <x:v>42461</x:v>
      </x:c>
    </x:row>
    <x:row r="1611" ht="18" customHeight="1">
      <x:c r="A1611" t="str">
        <x:v>US-2016-115819</x:v>
      </x:c>
      <x:c r="B1611" s="18" t="n">
        <x:v>42479</x:v>
      </x:c>
      <x:c r="C1611" t="str">
        <x:v>JO-15280</x:v>
      </x:c>
      <x:c r="D1611" t="str">
        <x:v>Jas O'Carroll</x:v>
      </x:c>
      <x:c r="E1611" t="str">
        <x:v>Consumer</x:v>
      </x:c>
      <x:c r="F1611" t="str">
        <x:v>West</x:v>
      </x:c>
      <x:c r="G1611" t="str">
        <x:v>Office Supplies</x:v>
      </x:c>
      <x:c r="H1611" t="str">
        <x:v>Art</x:v>
      </x:c>
      <x:c r="I1611" s="22" t="n">
        <x:v>5.46</x:v>
      </x:c>
      <x:c r="J1611" s="24" t="n">
        <x:v>3</x:v>
      </x:c>
      <x:c r="K1611" s="26" t="n">
        <x:v>0</x:v>
      </x:c>
      <x:c r="L1611" s="22" t="n">
        <x:v>1.5288000000000002</x:v>
      </x:c>
      <x:c r="M1611" t="n">
        <x:v>2016</x:v>
      </x:c>
      <x:c r="N1611" s="20" t="n">
        <x:v>42461</x:v>
      </x:c>
    </x:row>
    <x:row r="1612" ht="18" customHeight="1">
      <x:c r="A1612" t="str">
        <x:v>US-2016-115819</x:v>
      </x:c>
      <x:c r="B1612" s="18" t="n">
        <x:v>42479</x:v>
      </x:c>
      <x:c r="C1612" t="str">
        <x:v>JO-15280</x:v>
      </x:c>
      <x:c r="D1612" t="str">
        <x:v>Jas O'Carroll</x:v>
      </x:c>
      <x:c r="E1612" t="str">
        <x:v>Consumer</x:v>
      </x:c>
      <x:c r="F1612" t="str">
        <x:v>West</x:v>
      </x:c>
      <x:c r="G1612" t="str">
        <x:v>Office Supplies</x:v>
      </x:c>
      <x:c r="H1612" t="str">
        <x:v>Art</x:v>
      </x:c>
      <x:c r="I1612" s="22" t="n">
        <x:v>73.2</x:v>
      </x:c>
      <x:c r="J1612" s="24" t="n">
        <x:v>5</x:v>
      </x:c>
      <x:c r="K1612" s="26" t="n">
        <x:v>0</x:v>
      </x:c>
      <x:c r="L1612" s="22" t="n">
        <x:v>21.227999999999998</x:v>
      </x:c>
      <x:c r="M1612" t="n">
        <x:v>2016</x:v>
      </x:c>
      <x:c r="N1612" s="20" t="n">
        <x:v>42461</x:v>
      </x:c>
    </x:row>
    <x:row r="1613" ht="18" customHeight="1">
      <x:c r="A1613" t="str">
        <x:v>US-2016-115819</x:v>
      </x:c>
      <x:c r="B1613" s="18" t="n">
        <x:v>42479</x:v>
      </x:c>
      <x:c r="C1613" t="str">
        <x:v>JO-15280</x:v>
      </x:c>
      <x:c r="D1613" t="str">
        <x:v>Jas O'Carroll</x:v>
      </x:c>
      <x:c r="E1613" t="str">
        <x:v>Consumer</x:v>
      </x:c>
      <x:c r="F1613" t="str">
        <x:v>West</x:v>
      </x:c>
      <x:c r="G1613" t="str">
        <x:v>Office Supplies</x:v>
      </x:c>
      <x:c r="H1613" t="str">
        <x:v>Binders</x:v>
      </x:c>
      <x:c r="I1613" s="22" t="n">
        <x:v>5.84</x:v>
      </x:c>
      <x:c r="J1613" s="24" t="n">
        <x:v>1</x:v>
      </x:c>
      <x:c r="K1613" s="26" t="n">
        <x:v>0.2</x:v>
      </x:c>
      <x:c r="L1613" s="22" t="n">
        <x:v>1.9709999999999996</x:v>
      </x:c>
      <x:c r="M1613" t="n">
        <x:v>2016</x:v>
      </x:c>
      <x:c r="N1613" s="20" t="n">
        <x:v>42461</x:v>
      </x:c>
    </x:row>
    <x:row r="1614" ht="18" customHeight="1">
      <x:c r="A1614" t="str">
        <x:v>US-2016-115819</x:v>
      </x:c>
      <x:c r="B1614" s="18" t="n">
        <x:v>42479</x:v>
      </x:c>
      <x:c r="C1614" t="str">
        <x:v>JO-15280</x:v>
      </x:c>
      <x:c r="D1614" t="str">
        <x:v>Jas O'Carroll</x:v>
      </x:c>
      <x:c r="E1614" t="str">
        <x:v>Consumer</x:v>
      </x:c>
      <x:c r="F1614" t="str">
        <x:v>West</x:v>
      </x:c>
      <x:c r="G1614" t="str">
        <x:v>Office Supplies</x:v>
      </x:c>
      <x:c r="H1614" t="str">
        <x:v>Paper</x:v>
      </x:c>
      <x:c r="I1614" s="22" t="n">
        <x:v>22.72</x:v>
      </x:c>
      <x:c r="J1614" s="24" t="n">
        <x:v>4</x:v>
      </x:c>
      <x:c r="K1614" s="26" t="n">
        <x:v>0</x:v>
      </x:c>
      <x:c r="L1614" s="22" t="n">
        <x:v>10.223999999999998</x:v>
      </x:c>
      <x:c r="M1614" t="n">
        <x:v>2016</x:v>
      </x:c>
      <x:c r="N1614" s="20" t="n">
        <x:v>42461</x:v>
      </x:c>
    </x:row>
    <x:row r="1615" ht="18" customHeight="1">
      <x:c r="A1615" t="str">
        <x:v>US-2016-115819</x:v>
      </x:c>
      <x:c r="B1615" s="18" t="n">
        <x:v>42479</x:v>
      </x:c>
      <x:c r="C1615" t="str">
        <x:v>JO-15280</x:v>
      </x:c>
      <x:c r="D1615" t="str">
        <x:v>Jas O'Carroll</x:v>
      </x:c>
      <x:c r="E1615" t="str">
        <x:v>Consumer</x:v>
      </x:c>
      <x:c r="F1615" t="str">
        <x:v>West</x:v>
      </x:c>
      <x:c r="G1615" t="str">
        <x:v>Office Supplies</x:v>
      </x:c>
      <x:c r="H1615" t="str">
        <x:v>Binders</x:v>
      </x:c>
      <x:c r="I1615" s="22" t="n">
        <x:v>9.336</x:v>
      </x:c>
      <x:c r="J1615" s="24" t="n">
        <x:v>3</x:v>
      </x:c>
      <x:c r="K1615" s="26" t="n">
        <x:v>0.2</x:v>
      </x:c>
      <x:c r="L1615" s="22" t="n">
        <x:v>3.2675999999999994</x:v>
      </x:c>
      <x:c r="M1615" t="n">
        <x:v>2016</x:v>
      </x:c>
      <x:c r="N1615" s="20" t="n">
        <x:v>42461</x:v>
      </x:c>
    </x:row>
    <x:row r="1616" ht="18" customHeight="1">
      <x:c r="A1616" t="str">
        <x:v>CA-2014-156349</x:v>
      </x:c>
      <x:c r="B1616" s="18" t="n">
        <x:v>41785</x:v>
      </x:c>
      <x:c r="C1616" t="str">
        <x:v>ML-17395</x:v>
      </x:c>
      <x:c r="D1616" t="str">
        <x:v>Marina Lichtenstein</x:v>
      </x:c>
      <x:c r="E1616" t="str">
        <x:v>Corporate</x:v>
      </x:c>
      <x:c r="F1616" t="str">
        <x:v>West</x:v>
      </x:c>
      <x:c r="G1616" t="str">
        <x:v>Furniture</x:v>
      </x:c>
      <x:c r="H1616" t="str">
        <x:v>Bookcases</x:v>
      </x:c>
      <x:c r="I1616" s="22" t="n">
        <x:v>290.666</x:v>
      </x:c>
      <x:c r="J1616" s="24" t="n">
        <x:v>2</x:v>
      </x:c>
      <x:c r="K1616" s="26" t="n">
        <x:v>0.15</x:v>
      </x:c>
      <x:c r="L1616" s="22" t="n">
        <x:v>27.356800000000007</x:v>
      </x:c>
      <x:c r="M1616" t="n">
        <x:v>2014</x:v>
      </x:c>
      <x:c r="N1616" s="20" t="n">
        <x:v>41760</x:v>
      </x:c>
    </x:row>
    <x:row r="1617" ht="18" customHeight="1">
      <x:c r="A1617" t="str">
        <x:v>CA-2014-156349</x:v>
      </x:c>
      <x:c r="B1617" s="18" t="n">
        <x:v>41785</x:v>
      </x:c>
      <x:c r="C1617" t="str">
        <x:v>ML-17395</x:v>
      </x:c>
      <x:c r="D1617" t="str">
        <x:v>Marina Lichtenstein</x:v>
      </x:c>
      <x:c r="E1617" t="str">
        <x:v>Corporate</x:v>
      </x:c>
      <x:c r="F1617" t="str">
        <x:v>West</x:v>
      </x:c>
      <x:c r="G1617" t="str">
        <x:v>Technology</x:v>
      </x:c>
      <x:c r="H1617" t="str">
        <x:v>Phones</x:v>
      </x:c>
      <x:c r="I1617" s="22" t="n">
        <x:v>201.584</x:v>
      </x:c>
      <x:c r="J1617" s="24" t="n">
        <x:v>2</x:v>
      </x:c>
      <x:c r="K1617" s="26" t="n">
        <x:v>0.2</x:v>
      </x:c>
      <x:c r="L1617" s="22" t="n">
        <x:v>20.158400000000015</x:v>
      </x:c>
      <x:c r="M1617" t="n">
        <x:v>2014</x:v>
      </x:c>
      <x:c r="N1617" s="20" t="n">
        <x:v>41760</x:v>
      </x:c>
    </x:row>
    <x:row r="1618" ht="18" customHeight="1">
      <x:c r="A1618" t="str">
        <x:v>CA-2014-156349</x:v>
      </x:c>
      <x:c r="B1618" s="18" t="n">
        <x:v>41785</x:v>
      </x:c>
      <x:c r="C1618" t="str">
        <x:v>ML-17395</x:v>
      </x:c>
      <x:c r="D1618" t="str">
        <x:v>Marina Lichtenstein</x:v>
      </x:c>
      <x:c r="E1618" t="str">
        <x:v>Corporate</x:v>
      </x:c>
      <x:c r="F1618" t="str">
        <x:v>West</x:v>
      </x:c>
      <x:c r="G1618" t="str">
        <x:v>Technology</x:v>
      </x:c>
      <x:c r="H1618" t="str">
        <x:v>Phones</x:v>
      </x:c>
      <x:c r="I1618" s="22" t="n">
        <x:v>83.98400000000001</x:v>
      </x:c>
      <x:c r="J1618" s="24" t="n">
        <x:v>2</x:v>
      </x:c>
      <x:c r="K1618" s="26" t="n">
        <x:v>0.2</x:v>
      </x:c>
      <x:c r="L1618" s="22" t="n">
        <x:v>31.494</x:v>
      </x:c>
      <x:c r="M1618" t="n">
        <x:v>2014</x:v>
      </x:c>
      <x:c r="N1618" s="20" t="n">
        <x:v>41760</x:v>
      </x:c>
    </x:row>
    <x:row r="1619" ht="18" customHeight="1">
      <x:c r="A1619" t="str">
        <x:v>CA-2017-138380</x:v>
      </x:c>
      <x:c r="B1619" s="18" t="n">
        <x:v>43090</x:v>
      </x:c>
      <x:c r="C1619" t="str">
        <x:v>YS-21880</x:v>
      </x:c>
      <x:c r="D1619" t="str">
        <x:v>Yana Sorensen</x:v>
      </x:c>
      <x:c r="E1619" t="str">
        <x:v>Corporate</x:v>
      </x:c>
      <x:c r="F1619" t="str">
        <x:v>West</x:v>
      </x:c>
      <x:c r="G1619" t="str">
        <x:v>Office Supplies</x:v>
      </x:c>
      <x:c r="H1619" t="str">
        <x:v>Storage</x:v>
      </x:c>
      <x:c r="I1619" s="22" t="n">
        <x:v>1000.0200000000001</x:v>
      </x:c>
      <x:c r="J1619" s="24" t="n">
        <x:v>7</x:v>
      </x:c>
      <x:c r="K1619" s="26" t="n">
        <x:v>0</x:v>
      </x:c>
      <x:c r="L1619" s="22" t="n">
        <x:v>290.0057999999999</x:v>
      </x:c>
      <x:c r="M1619" t="n">
        <x:v>2017</x:v>
      </x:c>
      <x:c r="N1619" s="20" t="n">
        <x:v>43070</x:v>
      </x:c>
    </x:row>
    <x:row r="1620" ht="18" customHeight="1">
      <x:c r="A1620" t="str">
        <x:v>US-2016-113509</x:v>
      </x:c>
      <x:c r="B1620" s="18" t="n">
        <x:v>42444</x:v>
      </x:c>
      <x:c r="C1620" t="str">
        <x:v>PL-18925</x:v>
      </x:c>
      <x:c r="D1620" t="str">
        <x:v>Paul Lucas</x:v>
      </x:c>
      <x:c r="E1620" t="str">
        <x:v>Home Office</x:v>
      </x:c>
      <x:c r="F1620" t="str">
        <x:v>East</x:v>
      </x:c>
      <x:c r="G1620" t="str">
        <x:v>Technology</x:v>
      </x:c>
      <x:c r="H1620" t="str">
        <x:v>Accessories</x:v>
      </x:c>
      <x:c r="I1620" s="22" t="n">
        <x:v>83.97600000000001</x:v>
      </x:c>
      <x:c r="J1620" s="24" t="n">
        <x:v>3</x:v>
      </x:c>
      <x:c r="K1620" s="26" t="n">
        <x:v>0.2</x:v>
      </x:c>
      <x:c r="L1620" s="22" t="n">
        <x:v>-13.6461</x:v>
      </x:c>
      <x:c r="M1620" t="n">
        <x:v>2016</x:v>
      </x:c>
      <x:c r="N1620" s="20" t="n">
        <x:v>42430</x:v>
      </x:c>
    </x:row>
    <x:row r="1621" ht="18" customHeight="1">
      <x:c r="A1621" t="str">
        <x:v>CA-2015-130022</x:v>
      </x:c>
      <x:c r="B1621" s="18" t="n">
        <x:v>42226</x:v>
      </x:c>
      <x:c r="C1621" t="str">
        <x:v>JK-16120</x:v>
      </x:c>
      <x:c r="D1621" t="str">
        <x:v>Julie Kriz</x:v>
      </x:c>
      <x:c r="E1621" t="str">
        <x:v>Home Office</x:v>
      </x:c>
      <x:c r="F1621" t="str">
        <x:v>Central</x:v>
      </x:c>
      <x:c r="G1621" t="str">
        <x:v>Office Supplies</x:v>
      </x:c>
      <x:c r="H1621" t="str">
        <x:v>Labels</x:v>
      </x:c>
      <x:c r="I1621" s="22" t="n">
        <x:v>3.75</x:v>
      </x:c>
      <x:c r="J1621" s="24" t="n">
        <x:v>1</x:v>
      </x:c>
      <x:c r="K1621" s="26" t="n">
        <x:v>0</x:v>
      </x:c>
      <x:c r="L1621" s="22" t="n">
        <x:v>1.7999999999999998</x:v>
      </x:c>
      <x:c r="M1621" t="n">
        <x:v>2015</x:v>
      </x:c>
      <x:c r="N1621" s="20" t="n">
        <x:v>42217</x:v>
      </x:c>
    </x:row>
    <x:row r="1622" ht="18" customHeight="1">
      <x:c r="A1622" t="str">
        <x:v>CA-2015-130022</x:v>
      </x:c>
      <x:c r="B1622" s="18" t="n">
        <x:v>42226</x:v>
      </x:c>
      <x:c r="C1622" t="str">
        <x:v>JK-16120</x:v>
      </x:c>
      <x:c r="D1622" t="str">
        <x:v>Julie Kriz</x:v>
      </x:c>
      <x:c r="E1622" t="str">
        <x:v>Home Office</x:v>
      </x:c>
      <x:c r="F1622" t="str">
        <x:v>Central</x:v>
      </x:c>
      <x:c r="G1622" t="str">
        <x:v>Office Supplies</x:v>
      </x:c>
      <x:c r="H1622" t="str">
        <x:v>Labels</x:v>
      </x:c>
      <x:c r="I1622" s="22" t="n">
        <x:v>41.4</x:v>
      </x:c>
      <x:c r="J1622" s="24" t="n">
        <x:v>4</x:v>
      </x:c>
      <x:c r="K1622" s="26" t="n">
        <x:v>0</x:v>
      </x:c>
      <x:c r="L1622" s="22" t="n">
        <x:v>19.872</x:v>
      </x:c>
      <x:c r="M1622" t="n">
        <x:v>2015</x:v>
      </x:c>
      <x:c r="N1622" s="20" t="n">
        <x:v>42217</x:v>
      </x:c>
    </x:row>
    <x:row r="1623" ht="18" customHeight="1">
      <x:c r="A1623" t="str">
        <x:v>CA-2015-130022</x:v>
      </x:c>
      <x:c r="B1623" s="18" t="n">
        <x:v>42226</x:v>
      </x:c>
      <x:c r="C1623" t="str">
        <x:v>JK-16120</x:v>
      </x:c>
      <x:c r="D1623" t="str">
        <x:v>Julie Kriz</x:v>
      </x:c>
      <x:c r="E1623" t="str">
        <x:v>Home Office</x:v>
      </x:c>
      <x:c r="F1623" t="str">
        <x:v>Central</x:v>
      </x:c>
      <x:c r="G1623" t="str">
        <x:v>Office Supplies</x:v>
      </x:c>
      <x:c r="H1623" t="str">
        <x:v>Art</x:v>
      </x:c>
      <x:c r="I1623" s="22" t="n">
        <x:v>29.79</x:v>
      </x:c>
      <x:c r="J1623" s="24" t="n">
        <x:v>3</x:v>
      </x:c>
      <x:c r="K1623" s="26" t="n">
        <x:v>0</x:v>
      </x:c>
      <x:c r="L1623" s="22" t="n">
        <x:v>12.511800000000001</x:v>
      </x:c>
      <x:c r="M1623" t="n">
        <x:v>2015</x:v>
      </x:c>
      <x:c r="N1623" s="20" t="n">
        <x:v>42217</x:v>
      </x:c>
    </x:row>
    <x:row r="1624" ht="18" customHeight="1">
      <x:c r="A1624" t="str">
        <x:v>US-2016-118780</x:v>
      </x:c>
      <x:c r="B1624" s="18" t="n">
        <x:v>42623</x:v>
      </x:c>
      <x:c r="C1624" t="str">
        <x:v>PN-18775</x:v>
      </x:c>
      <x:c r="D1624" t="str">
        <x:v>Parhena Norris</x:v>
      </x:c>
      <x:c r="E1624" t="str">
        <x:v>Home Office</x:v>
      </x:c>
      <x:c r="F1624" t="str">
        <x:v>East</x:v>
      </x:c>
      <x:c r="G1624" t="str">
        <x:v>Office Supplies</x:v>
      </x:c>
      <x:c r="H1624" t="str">
        <x:v>Storage</x:v>
      </x:c>
      <x:c r="I1624" s="22" t="n">
        <x:v>59.48</x:v>
      </x:c>
      <x:c r="J1624" s="24" t="n">
        <x:v>2</x:v>
      </x:c>
      <x:c r="K1624" s="26" t="n">
        <x:v>0</x:v>
      </x:c>
      <x:c r="L1624" s="22" t="n">
        <x:v>8.922000000000004</x:v>
      </x:c>
      <x:c r="M1624" t="n">
        <x:v>2016</x:v>
      </x:c>
      <x:c r="N1624" s="20" t="n">
        <x:v>42614</x:v>
      </x:c>
    </x:row>
    <x:row r="1625" ht="18" customHeight="1">
      <x:c r="A1625" t="str">
        <x:v>US-2016-118780</x:v>
      </x:c>
      <x:c r="B1625" s="18" t="n">
        <x:v>42623</x:v>
      </x:c>
      <x:c r="C1625" t="str">
        <x:v>PN-18775</x:v>
      </x:c>
      <x:c r="D1625" t="str">
        <x:v>Parhena Norris</x:v>
      </x:c>
      <x:c r="E1625" t="str">
        <x:v>Home Office</x:v>
      </x:c>
      <x:c r="F1625" t="str">
        <x:v>East</x:v>
      </x:c>
      <x:c r="G1625" t="str">
        <x:v>Office Supplies</x:v>
      </x:c>
      <x:c r="H1625" t="str">
        <x:v>Paper</x:v>
      </x:c>
      <x:c r="I1625" s="22" t="n">
        <x:v>6.69</x:v>
      </x:c>
      <x:c r="J1625" s="24" t="n">
        <x:v>1</x:v>
      </x:c>
      <x:c r="K1625" s="26" t="n">
        <x:v>0</x:v>
      </x:c>
      <x:c r="L1625" s="22" t="n">
        <x:v>3.0774</x:v>
      </x:c>
      <x:c r="M1625" t="n">
        <x:v>2016</x:v>
      </x:c>
      <x:c r="N1625" s="20" t="n">
        <x:v>42614</x:v>
      </x:c>
    </x:row>
    <x:row r="1626" ht="18" customHeight="1">
      <x:c r="A1626" t="str">
        <x:v>CA-2017-108560</x:v>
      </x:c>
      <x:c r="B1626" s="18" t="n">
        <x:v>42924</x:v>
      </x:c>
      <x:c r="C1626" t="str">
        <x:v>JC-15385</x:v>
      </x:c>
      <x:c r="D1626" t="str">
        <x:v>Jenna Caffey</x:v>
      </x:c>
      <x:c r="E1626" t="str">
        <x:v>Consumer</x:v>
      </x:c>
      <x:c r="F1626" t="str">
        <x:v>West</x:v>
      </x:c>
      <x:c r="G1626" t="str">
        <x:v>Furniture</x:v>
      </x:c>
      <x:c r="H1626" t="str">
        <x:v>Furnishings</x:v>
      </x:c>
      <x:c r="I1626" s="22" t="n">
        <x:v>198.46</x:v>
      </x:c>
      <x:c r="J1626" s="24" t="n">
        <x:v>2</x:v>
      </x:c>
      <x:c r="K1626" s="26" t="n">
        <x:v>0</x:v>
      </x:c>
      <x:c r="L1626" s="22" t="n">
        <x:v>99.23</x:v>
      </x:c>
      <x:c r="M1626" t="n">
        <x:v>2017</x:v>
      </x:c>
      <x:c r="N1626" s="20" t="n">
        <x:v>42917</x:v>
      </x:c>
    </x:row>
    <x:row r="1627" ht="18" customHeight="1">
      <x:c r="A1627" t="str">
        <x:v>CA-2017-108560</x:v>
      </x:c>
      <x:c r="B1627" s="18" t="n">
        <x:v>42924</x:v>
      </x:c>
      <x:c r="C1627" t="str">
        <x:v>JC-15385</x:v>
      </x:c>
      <x:c r="D1627" t="str">
        <x:v>Jenna Caffey</x:v>
      </x:c>
      <x:c r="E1627" t="str">
        <x:v>Consumer</x:v>
      </x:c>
      <x:c r="F1627" t="str">
        <x:v>West</x:v>
      </x:c>
      <x:c r="G1627" t="str">
        <x:v>Office Supplies</x:v>
      </x:c>
      <x:c r="H1627" t="str">
        <x:v>Labels</x:v>
      </x:c>
      <x:c r="I1627" s="22" t="n">
        <x:v>786.48</x:v>
      </x:c>
      <x:c r="J1627" s="24" t="n">
        <x:v>8</x:v>
      </x:c>
      <x:c r="K1627" s="26" t="n">
        <x:v>0</x:v>
      </x:c>
      <x:c r="L1627" s="22" t="n">
        <x:v>385.3752</x:v>
      </x:c>
      <x:c r="M1627" t="n">
        <x:v>2017</x:v>
      </x:c>
      <x:c r="N1627" s="20" t="n">
        <x:v>42917</x:v>
      </x:c>
    </x:row>
    <x:row r="1628" ht="18" customHeight="1">
      <x:c r="A1628" t="str">
        <x:v>CA-2017-108560</x:v>
      </x:c>
      <x:c r="B1628" s="18" t="n">
        <x:v>42924</x:v>
      </x:c>
      <x:c r="C1628" t="str">
        <x:v>JC-15385</x:v>
      </x:c>
      <x:c r="D1628" t="str">
        <x:v>Jenna Caffey</x:v>
      </x:c>
      <x:c r="E1628" t="str">
        <x:v>Consumer</x:v>
      </x:c>
      <x:c r="F1628" t="str">
        <x:v>West</x:v>
      </x:c>
      <x:c r="G1628" t="str">
        <x:v>Office Supplies</x:v>
      </x:c>
      <x:c r="H1628" t="str">
        <x:v>Binders</x:v>
      </x:c>
      <x:c r="I1628" s="22" t="n">
        <x:v>23.168000000000003</x:v>
      </x:c>
      <x:c r="J1628" s="24" t="n">
        <x:v>2</x:v>
      </x:c>
      <x:c r="K1628" s="26" t="n">
        <x:v>0.2</x:v>
      </x:c>
      <x:c r="L1628" s="22" t="n">
        <x:v>7.8191999999999995</x:v>
      </x:c>
      <x:c r="M1628" t="n">
        <x:v>2017</x:v>
      </x:c>
      <x:c r="N1628" s="20" t="n">
        <x:v>42917</x:v>
      </x:c>
    </x:row>
    <x:row r="1629" ht="18" customHeight="1">
      <x:c r="A1629" t="str">
        <x:v>CA-2017-108560</x:v>
      </x:c>
      <x:c r="B1629" s="18" t="n">
        <x:v>42924</x:v>
      </x:c>
      <x:c r="C1629" t="str">
        <x:v>JC-15385</x:v>
      </x:c>
      <x:c r="D1629" t="str">
        <x:v>Jenna Caffey</x:v>
      </x:c>
      <x:c r="E1629" t="str">
        <x:v>Consumer</x:v>
      </x:c>
      <x:c r="F1629" t="str">
        <x:v>West</x:v>
      </x:c>
      <x:c r="G1629" t="str">
        <x:v>Technology</x:v>
      </x:c>
      <x:c r="H1629" t="str">
        <x:v>Accessories</x:v>
      </x:c>
      <x:c r="I1629" s="22" t="n">
        <x:v>50</x:v>
      </x:c>
      <x:c r="J1629" s="24" t="n">
        <x:v>2</x:v>
      </x:c>
      <x:c r="K1629" s="26" t="n">
        <x:v>0</x:v>
      </x:c>
      <x:c r="L1629" s="22" t="n">
        <x:v>10.5</x:v>
      </x:c>
      <x:c r="M1629" t="n">
        <x:v>2017</x:v>
      </x:c>
      <x:c r="N1629" s="20" t="n">
        <x:v>42917</x:v>
      </x:c>
    </x:row>
    <x:row r="1630" ht="18" customHeight="1">
      <x:c r="A1630" t="str">
        <x:v>CA-2015-157084</x:v>
      </x:c>
      <x:c r="B1630" s="18" t="n">
        <x:v>42357</x:v>
      </x:c>
      <x:c r="C1630" t="str">
        <x:v>JG-15160</x:v>
      </x:c>
      <x:c r="D1630" t="str">
        <x:v>James Galang</x:v>
      </x:c>
      <x:c r="E1630" t="str">
        <x:v>Consumer</x:v>
      </x:c>
      <x:c r="F1630" t="str">
        <x:v>West</x:v>
      </x:c>
      <x:c r="G1630" t="str">
        <x:v>Technology</x:v>
      </x:c>
      <x:c r="H1630" t="str">
        <x:v>Phones</x:v>
      </x:c>
      <x:c r="I1630" s="22" t="n">
        <x:v>675.96</x:v>
      </x:c>
      <x:c r="J1630" s="24" t="n">
        <x:v>5</x:v>
      </x:c>
      <x:c r="K1630" s="26" t="n">
        <x:v>0.2</x:v>
      </x:c>
      <x:c r="L1630" s="22" t="n">
        <x:v>84.49499999999995</x:v>
      </x:c>
      <x:c r="M1630" t="n">
        <x:v>2015</x:v>
      </x:c>
      <x:c r="N1630" s="20" t="n">
        <x:v>42339</x:v>
      </x:c>
    </x:row>
    <x:row r="1631" ht="18" customHeight="1">
      <x:c r="A1631" t="str">
        <x:v>CA-2015-157084</x:v>
      </x:c>
      <x:c r="B1631" s="18" t="n">
        <x:v>42357</x:v>
      </x:c>
      <x:c r="C1631" t="str">
        <x:v>JG-15160</x:v>
      </x:c>
      <x:c r="D1631" t="str">
        <x:v>James Galang</x:v>
      </x:c>
      <x:c r="E1631" t="str">
        <x:v>Consumer</x:v>
      </x:c>
      <x:c r="F1631" t="str">
        <x:v>West</x:v>
      </x:c>
      <x:c r="G1631" t="str">
        <x:v>Technology</x:v>
      </x:c>
      <x:c r="H1631" t="str">
        <x:v>Accessories</x:v>
      </x:c>
      <x:c r="I1631" s="22" t="n">
        <x:v>1265.85</x:v>
      </x:c>
      <x:c r="J1631" s="24" t="n">
        <x:v>3</x:v>
      </x:c>
      <x:c r="K1631" s="26" t="n">
        <x:v>0</x:v>
      </x:c>
      <x:c r="L1631" s="22" t="n">
        <x:v>556.974</x:v>
      </x:c>
      <x:c r="M1631" t="n">
        <x:v>2015</x:v>
      </x:c>
      <x:c r="N1631" s="20" t="n">
        <x:v>42339</x:v>
      </x:c>
    </x:row>
    <x:row r="1632" ht="18" customHeight="1">
      <x:c r="A1632" t="str">
        <x:v>CA-2015-164539</x:v>
      </x:c>
      <x:c r="B1632" s="18" t="n">
        <x:v>42324</x:v>
      </x:c>
      <x:c r="C1632" t="str">
        <x:v>PO-19180</x:v>
      </x:c>
      <x:c r="D1632" t="str">
        <x:v>Philisse Overcash</x:v>
      </x:c>
      <x:c r="E1632" t="str">
        <x:v>Home Office</x:v>
      </x:c>
      <x:c r="F1632" t="str">
        <x:v>East</x:v>
      </x:c>
      <x:c r="G1632" t="str">
        <x:v>Office Supplies</x:v>
      </x:c>
      <x:c r="H1632" t="str">
        <x:v>Appliances</x:v>
      </x:c>
      <x:c r="I1632" s="22" t="n">
        <x:v>523.25</x:v>
      </x:c>
      <x:c r="J1632" s="24" t="n">
        <x:v>5</x:v>
      </x:c>
      <x:c r="K1632" s="26" t="n">
        <x:v>0</x:v>
      </x:c>
      <x:c r="L1632" s="22" t="n">
        <x:v>141.27749999999997</x:v>
      </x:c>
      <x:c r="M1632" t="n">
        <x:v>2015</x:v>
      </x:c>
      <x:c r="N1632" s="20" t="n">
        <x:v>42309</x:v>
      </x:c>
    </x:row>
    <x:row r="1633" ht="18" customHeight="1">
      <x:c r="A1633" t="str">
        <x:v>CA-2015-143119</x:v>
      </x:c>
      <x:c r="B1633" s="18" t="n">
        <x:v>42271</x:v>
      </x:c>
      <x:c r="C1633" t="str">
        <x:v>MC-17275</x:v>
      </x:c>
      <x:c r="D1633" t="str">
        <x:v>Marc Crier</x:v>
      </x:c>
      <x:c r="E1633" t="str">
        <x:v>Consumer</x:v>
      </x:c>
      <x:c r="F1633" t="str">
        <x:v>South</x:v>
      </x:c>
      <x:c r="G1633" t="str">
        <x:v>Furniture</x:v>
      </x:c>
      <x:c r="H1633" t="str">
        <x:v>Chairs</x:v>
      </x:c>
      <x:c r="I1633" s="22" t="n">
        <x:v>517.5</x:v>
      </x:c>
      <x:c r="J1633" s="24" t="n">
        <x:v>6</x:v>
      </x:c>
      <x:c r="K1633" s="26" t="n">
        <x:v>0</x:v>
      </x:c>
      <x:c r="L1633" s="22" t="n">
        <x:v>155.24999999999994</x:v>
      </x:c>
      <x:c r="M1633" t="n">
        <x:v>2015</x:v>
      </x:c>
      <x:c r="N1633" s="20" t="n">
        <x:v>42248</x:v>
      </x:c>
    </x:row>
    <x:row r="1634" ht="18" customHeight="1">
      <x:c r="A1634" t="str">
        <x:v>CA-2017-101049</x:v>
      </x:c>
      <x:c r="B1634" s="18" t="n">
        <x:v>42907</x:v>
      </x:c>
      <x:c r="C1634" t="str">
        <x:v>AS-10240</x:v>
      </x:c>
      <x:c r="D1634" t="str">
        <x:v>Alan Shonely</x:v>
      </x:c>
      <x:c r="E1634" t="str">
        <x:v>Consumer</x:v>
      </x:c>
      <x:c r="F1634" t="str">
        <x:v>East</x:v>
      </x:c>
      <x:c r="G1634" t="str">
        <x:v>Furniture</x:v>
      </x:c>
      <x:c r="H1634" t="str">
        <x:v>Furnishings</x:v>
      </x:c>
      <x:c r="I1634" s="22" t="n">
        <x:v>17.92</x:v>
      </x:c>
      <x:c r="J1634" s="24" t="n">
        <x:v>5</x:v>
      </x:c>
      <x:c r="K1634" s="26" t="n">
        <x:v>0.2</x:v>
      </x:c>
      <x:c r="L1634" s="22" t="n">
        <x:v>2.4639999999999986</x:v>
      </x:c>
      <x:c r="M1634" t="n">
        <x:v>2017</x:v>
      </x:c>
      <x:c r="N1634" s="20" t="n">
        <x:v>42887</x:v>
      </x:c>
    </x:row>
    <x:row r="1635" ht="18" customHeight="1">
      <x:c r="A1635" t="str">
        <x:v>CA-2017-101049</x:v>
      </x:c>
      <x:c r="B1635" s="18" t="n">
        <x:v>42907</x:v>
      </x:c>
      <x:c r="C1635" t="str">
        <x:v>AS-10240</x:v>
      </x:c>
      <x:c r="D1635" t="str">
        <x:v>Alan Shonely</x:v>
      </x:c>
      <x:c r="E1635" t="str">
        <x:v>Consumer</x:v>
      </x:c>
      <x:c r="F1635" t="str">
        <x:v>East</x:v>
      </x:c>
      <x:c r="G1635" t="str">
        <x:v>Office Supplies</x:v>
      </x:c>
      <x:c r="H1635" t="str">
        <x:v>Binders</x:v>
      </x:c>
      <x:c r="I1635" s="22" t="n">
        <x:v>41.25600000000001</x:v>
      </x:c>
      <x:c r="J1635" s="24" t="n">
        <x:v>6</x:v>
      </x:c>
      <x:c r="K1635" s="26" t="n">
        <x:v>0.7</x:v>
      </x:c>
      <x:c r="L1635" s="22" t="n">
        <x:v>-34.38000000000001</x:v>
      </x:c>
      <x:c r="M1635" t="n">
        <x:v>2017</x:v>
      </x:c>
      <x:c r="N1635" s="20" t="n">
        <x:v>42887</x:v>
      </x:c>
    </x:row>
    <x:row r="1636" ht="18" customHeight="1">
      <x:c r="A1636" t="str">
        <x:v>CA-2016-106530</x:v>
      </x:c>
      <x:c r="B1636" s="18" t="n">
        <x:v>42498</x:v>
      </x:c>
      <x:c r="C1636" t="str">
        <x:v>CL-12565</x:v>
      </x:c>
      <x:c r="D1636" t="str">
        <x:v>Clay Ludtke</x:v>
      </x:c>
      <x:c r="E1636" t="str">
        <x:v>Consumer</x:v>
      </x:c>
      <x:c r="F1636" t="str">
        <x:v>East</x:v>
      </x:c>
      <x:c r="G1636" t="str">
        <x:v>Office Supplies</x:v>
      </x:c>
      <x:c r="H1636" t="str">
        <x:v>Storage</x:v>
      </x:c>
      <x:c r="I1636" s="22" t="n">
        <x:v>1006.056</x:v>
      </x:c>
      <x:c r="J1636" s="24" t="n">
        <x:v>3</x:v>
      </x:c>
      <x:c r="K1636" s="26" t="n">
        <x:v>0.2</x:v>
      </x:c>
      <x:c r="L1636" s="22" t="n">
        <x:v>88.02990000000005</x:v>
      </x:c>
      <x:c r="M1636" t="n">
        <x:v>2016</x:v>
      </x:c>
      <x:c r="N1636" s="20" t="n">
        <x:v>42491</x:v>
      </x:c>
    </x:row>
    <x:row r="1637" ht="18" customHeight="1">
      <x:c r="A1637" t="str">
        <x:v>CA-2016-106530</x:v>
      </x:c>
      <x:c r="B1637" s="18" t="n">
        <x:v>42498</x:v>
      </x:c>
      <x:c r="C1637" t="str">
        <x:v>CL-12565</x:v>
      </x:c>
      <x:c r="D1637" t="str">
        <x:v>Clay Ludtke</x:v>
      </x:c>
      <x:c r="E1637" t="str">
        <x:v>Consumer</x:v>
      </x:c>
      <x:c r="F1637" t="str">
        <x:v>East</x:v>
      </x:c>
      <x:c r="G1637" t="str">
        <x:v>Office Supplies</x:v>
      </x:c>
      <x:c r="H1637" t="str">
        <x:v>Paper</x:v>
      </x:c>
      <x:c r="I1637" s="22" t="n">
        <x:v>10.688</x:v>
      </x:c>
      <x:c r="J1637" s="24" t="n">
        <x:v>2</x:v>
      </x:c>
      <x:c r="K1637" s="26" t="n">
        <x:v>0.2</x:v>
      </x:c>
      <x:c r="L1637" s="22" t="n">
        <x:v>3.7407999999999997</x:v>
      </x:c>
      <x:c r="M1637" t="n">
        <x:v>2016</x:v>
      </x:c>
      <x:c r="N1637" s="20" t="n">
        <x:v>42491</x:v>
      </x:c>
    </x:row>
    <x:row r="1638" ht="18" customHeight="1">
      <x:c r="A1638" t="str">
        <x:v>CA-2016-106530</x:v>
      </x:c>
      <x:c r="B1638" s="18" t="n">
        <x:v>42498</x:v>
      </x:c>
      <x:c r="C1638" t="str">
        <x:v>CL-12565</x:v>
      </x:c>
      <x:c r="D1638" t="str">
        <x:v>Clay Ludtke</x:v>
      </x:c>
      <x:c r="E1638" t="str">
        <x:v>Consumer</x:v>
      </x:c>
      <x:c r="F1638" t="str">
        <x:v>East</x:v>
      </x:c>
      <x:c r="G1638" t="str">
        <x:v>Office Supplies</x:v>
      </x:c>
      <x:c r="H1638" t="str">
        <x:v>Paper</x:v>
      </x:c>
      <x:c r="I1638" s="22" t="n">
        <x:v>10.368000000000002</x:v>
      </x:c>
      <x:c r="J1638" s="24" t="n">
        <x:v>2</x:v>
      </x:c>
      <x:c r="K1638" s="26" t="n">
        <x:v>0.2</x:v>
      </x:c>
      <x:c r="L1638" s="22" t="n">
        <x:v>3.6288</x:v>
      </x:c>
      <x:c r="M1638" t="n">
        <x:v>2016</x:v>
      </x:c>
      <x:c r="N1638" s="20" t="n">
        <x:v>42491</x:v>
      </x:c>
    </x:row>
    <x:row r="1639" ht="18" customHeight="1">
      <x:c r="A1639" t="str">
        <x:v>CA-2016-106530</x:v>
      </x:c>
      <x:c r="B1639" s="18" t="n">
        <x:v>42498</x:v>
      </x:c>
      <x:c r="C1639" t="str">
        <x:v>CL-12565</x:v>
      </x:c>
      <x:c r="D1639" t="str">
        <x:v>Clay Ludtke</x:v>
      </x:c>
      <x:c r="E1639" t="str">
        <x:v>Consumer</x:v>
      </x:c>
      <x:c r="F1639" t="str">
        <x:v>East</x:v>
      </x:c>
      <x:c r="G1639" t="str">
        <x:v>Office Supplies</x:v>
      </x:c>
      <x:c r="H1639" t="str">
        <x:v>Storage</x:v>
      </x:c>
      <x:c r="I1639" s="22" t="n">
        <x:v>25.12</x:v>
      </x:c>
      <x:c r="J1639" s="24" t="n">
        <x:v>2</x:v>
      </x:c>
      <x:c r="K1639" s="26" t="n">
        <x:v>0.2</x:v>
      </x:c>
      <x:c r="L1639" s="22" t="n">
        <x:v>1.5700000000000012</x:v>
      </x:c>
      <x:c r="M1639" t="n">
        <x:v>2016</x:v>
      </x:c>
      <x:c r="N1639" s="20" t="n">
        <x:v>42491</x:v>
      </x:c>
    </x:row>
    <x:row r="1640" ht="18" customHeight="1">
      <x:c r="A1640" t="str">
        <x:v>CA-2016-106530</x:v>
      </x:c>
      <x:c r="B1640" s="18" t="n">
        <x:v>42498</x:v>
      </x:c>
      <x:c r="C1640" t="str">
        <x:v>CL-12565</x:v>
      </x:c>
      <x:c r="D1640" t="str">
        <x:v>Clay Ludtke</x:v>
      </x:c>
      <x:c r="E1640" t="str">
        <x:v>Consumer</x:v>
      </x:c>
      <x:c r="F1640" t="str">
        <x:v>East</x:v>
      </x:c>
      <x:c r="G1640" t="str">
        <x:v>Technology</x:v>
      </x:c>
      <x:c r="H1640" t="str">
        <x:v>Accessories</x:v>
      </x:c>
      <x:c r="I1640" s="22" t="n">
        <x:v>58.112</x:v>
      </x:c>
      <x:c r="J1640" s="24" t="n">
        <x:v>2</x:v>
      </x:c>
      <x:c r="K1640" s="26" t="n">
        <x:v>0.2</x:v>
      </x:c>
      <x:c r="L1640" s="22" t="n">
        <x:v>7.263999999999994</x:v>
      </x:c>
      <x:c r="M1640" t="n">
        <x:v>2016</x:v>
      </x:c>
      <x:c r="N1640" s="20" t="n">
        <x:v>42491</x:v>
      </x:c>
    </x:row>
    <x:row r="1641" ht="18" customHeight="1">
      <x:c r="A1641" t="str">
        <x:v>CA-2014-168984</x:v>
      </x:c>
      <x:c r="B1641" s="18" t="n">
        <x:v>41969</x:v>
      </x:c>
      <x:c r="C1641" t="str">
        <x:v>NW-18400</x:v>
      </x:c>
      <x:c r="D1641" t="str">
        <x:v>Natalie Webber</x:v>
      </x:c>
      <x:c r="E1641" t="str">
        <x:v>Consumer</x:v>
      </x:c>
      <x:c r="F1641" t="str">
        <x:v>West</x:v>
      </x:c>
      <x:c r="G1641" t="str">
        <x:v>Office Supplies</x:v>
      </x:c>
      <x:c r="H1641" t="str">
        <x:v>Paper</x:v>
      </x:c>
      <x:c r="I1641" s="22" t="n">
        <x:v>15.552000000000003</x:v>
      </x:c>
      <x:c r="J1641" s="24" t="n">
        <x:v>3</x:v>
      </x:c>
      <x:c r="K1641" s="26" t="n">
        <x:v>0.2</x:v>
      </x:c>
      <x:c r="L1641" s="22" t="n">
        <x:v>5.4432</x:v>
      </x:c>
      <x:c r="M1641" t="n">
        <x:v>2014</x:v>
      </x:c>
      <x:c r="N1641" s="20" t="n">
        <x:v>41944</x:v>
      </x:c>
    </x:row>
    <x:row r="1642" ht="18" customHeight="1">
      <x:c r="A1642" t="str">
        <x:v>CA-2014-168984</x:v>
      </x:c>
      <x:c r="B1642" s="18" t="n">
        <x:v>41969</x:v>
      </x:c>
      <x:c r="C1642" t="str">
        <x:v>NW-18400</x:v>
      </x:c>
      <x:c r="D1642" t="str">
        <x:v>Natalie Webber</x:v>
      </x:c>
      <x:c r="E1642" t="str">
        <x:v>Consumer</x:v>
      </x:c>
      <x:c r="F1642" t="str">
        <x:v>West</x:v>
      </x:c>
      <x:c r="G1642" t="str">
        <x:v>Office Supplies</x:v>
      </x:c>
      <x:c r="H1642" t="str">
        <x:v>Storage</x:v>
      </x:c>
      <x:c r="I1642" s="22" t="n">
        <x:v>669.08</x:v>
      </x:c>
      <x:c r="J1642" s="24" t="n">
        <x:v>5</x:v>
      </x:c>
      <x:c r="K1642" s="26" t="n">
        <x:v>0.2</x:v>
      </x:c>
      <x:c r="L1642" s="22" t="n">
        <x:v>-167.27</x:v>
      </x:c>
      <x:c r="M1642" t="n">
        <x:v>2014</x:v>
      </x:c>
      <x:c r="N1642" s="20" t="n">
        <x:v>41944</x:v>
      </x:c>
    </x:row>
    <x:row r="1643" ht="18" customHeight="1">
      <x:c r="A1643" t="str">
        <x:v>CA-2014-168984</x:v>
      </x:c>
      <x:c r="B1643" s="18" t="n">
        <x:v>41969</x:v>
      </x:c>
      <x:c r="C1643" t="str">
        <x:v>NW-18400</x:v>
      </x:c>
      <x:c r="D1643" t="str">
        <x:v>Natalie Webber</x:v>
      </x:c>
      <x:c r="E1643" t="str">
        <x:v>Consumer</x:v>
      </x:c>
      <x:c r="F1643" t="str">
        <x:v>West</x:v>
      </x:c>
      <x:c r="G1643" t="str">
        <x:v>Technology</x:v>
      </x:c>
      <x:c r="H1643" t="str">
        <x:v>Phones</x:v>
      </x:c>
      <x:c r="I1643" s="22" t="n">
        <x:v>438.336</x:v>
      </x:c>
      <x:c r="J1643" s="24" t="n">
        <x:v>4</x:v>
      </x:c>
      <x:c r="K1643" s="26" t="n">
        <x:v>0.2</x:v>
      </x:c>
      <x:c r="L1643" s="22" t="n">
        <x:v>-87.66720000000004</x:v>
      </x:c>
      <x:c r="M1643" t="n">
        <x:v>2014</x:v>
      </x:c>
      <x:c r="N1643" s="20" t="n">
        <x:v>41944</x:v>
      </x:c>
    </x:row>
    <x:row r="1644" ht="18" customHeight="1">
      <x:c r="A1644" t="str">
        <x:v>CA-2016-157266</x:v>
      </x:c>
      <x:c r="B1644" s="18" t="n">
        <x:v>42516</x:v>
      </x:c>
      <x:c r="C1644" t="str">
        <x:v>TB-21280</x:v>
      </x:c>
      <x:c r="D1644" t="str">
        <x:v>Toby Braunhardt</x:v>
      </x:c>
      <x:c r="E1644" t="str">
        <x:v>Consumer</x:v>
      </x:c>
      <x:c r="F1644" t="str">
        <x:v>East</x:v>
      </x:c>
      <x:c r="G1644" t="str">
        <x:v>Office Supplies</x:v>
      </x:c>
      <x:c r="H1644" t="str">
        <x:v>Paper</x:v>
      </x:c>
      <x:c r="I1644" s="22" t="n">
        <x:v>19.44</x:v>
      </x:c>
      <x:c r="J1644" s="24" t="n">
        <x:v>3</x:v>
      </x:c>
      <x:c r="K1644" s="26" t="n">
        <x:v>0</x:v>
      </x:c>
      <x:c r="L1644" s="22" t="n">
        <x:v>9.3312</x:v>
      </x:c>
      <x:c r="M1644" t="n">
        <x:v>2016</x:v>
      </x:c>
      <x:c r="N1644" s="20" t="n">
        <x:v>42491</x:v>
      </x:c>
    </x:row>
    <x:row r="1645" ht="18" customHeight="1">
      <x:c r="A1645" t="str">
        <x:v>CA-2016-157266</x:v>
      </x:c>
      <x:c r="B1645" s="18" t="n">
        <x:v>42516</x:v>
      </x:c>
      <x:c r="C1645" t="str">
        <x:v>TB-21280</x:v>
      </x:c>
      <x:c r="D1645" t="str">
        <x:v>Toby Braunhardt</x:v>
      </x:c>
      <x:c r="E1645" t="str">
        <x:v>Consumer</x:v>
      </x:c>
      <x:c r="F1645" t="str">
        <x:v>East</x:v>
      </x:c>
      <x:c r="G1645" t="str">
        <x:v>Office Supplies</x:v>
      </x:c>
      <x:c r="H1645" t="str">
        <x:v>Binders</x:v>
      </x:c>
      <x:c r="I1645" s="22" t="n">
        <x:v>9.64</x:v>
      </x:c>
      <x:c r="J1645" s="24" t="n">
        <x:v>2</x:v>
      </x:c>
      <x:c r="K1645" s="26" t="n">
        <x:v>0</x:v>
      </x:c>
      <x:c r="L1645" s="22" t="n">
        <x:v>4.4344</x:v>
      </x:c>
      <x:c r="M1645" t="n">
        <x:v>2016</x:v>
      </x:c>
      <x:c r="N1645" s="20" t="n">
        <x:v>42491</x:v>
      </x:c>
    </x:row>
    <x:row r="1646" ht="18" customHeight="1">
      <x:c r="A1646" t="str">
        <x:v>CA-2016-157266</x:v>
      </x:c>
      <x:c r="B1646" s="18" t="n">
        <x:v>42516</x:v>
      </x:c>
      <x:c r="C1646" t="str">
        <x:v>TB-21280</x:v>
      </x:c>
      <x:c r="D1646" t="str">
        <x:v>Toby Braunhardt</x:v>
      </x:c>
      <x:c r="E1646" t="str">
        <x:v>Consumer</x:v>
      </x:c>
      <x:c r="F1646" t="str">
        <x:v>East</x:v>
      </x:c>
      <x:c r="G1646" t="str">
        <x:v>Office Supplies</x:v>
      </x:c>
      <x:c r="H1646" t="str">
        <x:v>Paper</x:v>
      </x:c>
      <x:c r="I1646" s="22" t="n">
        <x:v>12.7</x:v>
      </x:c>
      <x:c r="J1646" s="24" t="n">
        <x:v>2</x:v>
      </x:c>
      <x:c r="K1646" s="26" t="n">
        <x:v>0</x:v>
      </x:c>
      <x:c r="L1646" s="22" t="n">
        <x:v>5.842</x:v>
      </x:c>
      <x:c r="M1646" t="n">
        <x:v>2016</x:v>
      </x:c>
      <x:c r="N1646" s="20" t="n">
        <x:v>42491</x:v>
      </x:c>
    </x:row>
    <x:row r="1647" ht="18" customHeight="1">
      <x:c r="A1647" t="str">
        <x:v>CA-2016-157266</x:v>
      </x:c>
      <x:c r="B1647" s="18" t="n">
        <x:v>42516</x:v>
      </x:c>
      <x:c r="C1647" t="str">
        <x:v>TB-21280</x:v>
      </x:c>
      <x:c r="D1647" t="str">
        <x:v>Toby Braunhardt</x:v>
      </x:c>
      <x:c r="E1647" t="str">
        <x:v>Consumer</x:v>
      </x:c>
      <x:c r="F1647" t="str">
        <x:v>East</x:v>
      </x:c>
      <x:c r="G1647" t="str">
        <x:v>Furniture</x:v>
      </x:c>
      <x:c r="H1647" t="str">
        <x:v>Furnishings</x:v>
      </x:c>
      <x:c r="I1647" s="22" t="n">
        <x:v>41.37</x:v>
      </x:c>
      <x:c r="J1647" s="24" t="n">
        <x:v>3</x:v>
      </x:c>
      <x:c r="K1647" s="26" t="n">
        <x:v>0</x:v>
      </x:c>
      <x:c r="L1647" s="22" t="n">
        <x:v>17.3754</x:v>
      </x:c>
      <x:c r="M1647" t="n">
        <x:v>2016</x:v>
      </x:c>
      <x:c r="N1647" s="20" t="n">
        <x:v>42491</x:v>
      </x:c>
    </x:row>
    <x:row r="1648" ht="18" customHeight="1">
      <x:c r="A1648" t="str">
        <x:v>US-2014-134712</x:v>
      </x:c>
      <x:c r="B1648" s="18" t="n">
        <x:v>41972</x:v>
      </x:c>
      <x:c r="C1648" t="str">
        <x:v>BS-11380</x:v>
      </x:c>
      <x:c r="D1648" t="str">
        <x:v>Bill Stewart</x:v>
      </x:c>
      <x:c r="E1648" t="str">
        <x:v>Corporate</x:v>
      </x:c>
      <x:c r="F1648" t="str">
        <x:v>Central</x:v>
      </x:c>
      <x:c r="G1648" t="str">
        <x:v>Office Supplies</x:v>
      </x:c>
      <x:c r="H1648" t="str">
        <x:v>Fasteners</x:v>
      </x:c>
      <x:c r="I1648" s="22" t="n">
        <x:v>12.624</x:v>
      </x:c>
      <x:c r="J1648" s="24" t="n">
        <x:v>2</x:v>
      </x:c>
      <x:c r="K1648" s="26" t="n">
        <x:v>0.2</x:v>
      </x:c>
      <x:c r="L1648" s="22" t="n">
        <x:v>3.944999999999999</x:v>
      </x:c>
      <x:c r="M1648" t="n">
        <x:v>2014</x:v>
      </x:c>
      <x:c r="N1648" s="20" t="n">
        <x:v>41944</x:v>
      </x:c>
    </x:row>
    <x:row r="1649" ht="18" customHeight="1">
      <x:c r="A1649" t="str">
        <x:v>CA-2015-111829</x:v>
      </x:c>
      <x:c r="B1649" s="18" t="n">
        <x:v>42082</x:v>
      </x:c>
      <x:c r="C1649" t="str">
        <x:v>FH-14365</x:v>
      </x:c>
      <x:c r="D1649" t="str">
        <x:v>Fred Hopkins</x:v>
      </x:c>
      <x:c r="E1649" t="str">
        <x:v>Corporate</x:v>
      </x:c>
      <x:c r="F1649" t="str">
        <x:v>West</x:v>
      </x:c>
      <x:c r="G1649" t="str">
        <x:v>Office Supplies</x:v>
      </x:c>
      <x:c r="H1649" t="str">
        <x:v>Storage</x:v>
      </x:c>
      <x:c r="I1649" s="22" t="n">
        <x:v>1247.6399999999999</x:v>
      </x:c>
      <x:c r="J1649" s="24" t="n">
        <x:v>3</x:v>
      </x:c>
      <x:c r="K1649" s="26" t="n">
        <x:v>0</x:v>
      </x:c>
      <x:c r="L1649" s="22" t="n">
        <x:v>349.33919999999995</x:v>
      </x:c>
      <x:c r="M1649" t="n">
        <x:v>2015</x:v>
      </x:c>
      <x:c r="N1649" s="20" t="n">
        <x:v>42064</x:v>
      </x:c>
    </x:row>
    <x:row r="1650" ht="18" customHeight="1">
      <x:c r="A1650" t="str">
        <x:v>CA-2015-111829</x:v>
      </x:c>
      <x:c r="B1650" s="18" t="n">
        <x:v>42082</x:v>
      </x:c>
      <x:c r="C1650" t="str">
        <x:v>FH-14365</x:v>
      </x:c>
      <x:c r="D1650" t="str">
        <x:v>Fred Hopkins</x:v>
      </x:c>
      <x:c r="E1650" t="str">
        <x:v>Corporate</x:v>
      </x:c>
      <x:c r="F1650" t="str">
        <x:v>West</x:v>
      </x:c>
      <x:c r="G1650" t="str">
        <x:v>Technology</x:v>
      </x:c>
      <x:c r="H1650" t="str">
        <x:v>Copiers</x:v>
      </x:c>
      <x:c r="I1650" s="22" t="n">
        <x:v>3149.9300000000003</x:v>
      </x:c>
      <x:c r="J1650" s="24" t="n">
        <x:v>7</x:v>
      </x:c>
      <x:c r="K1650" s="26" t="n">
        <x:v>0</x:v>
      </x:c>
      <x:c r="L1650" s="22" t="n">
        <x:v>1480.4670999999998</x:v>
      </x:c>
      <x:c r="M1650" t="n">
        <x:v>2015</x:v>
      </x:c>
      <x:c r="N1650" s="20" t="n">
        <x:v>42064</x:v>
      </x:c>
    </x:row>
    <x:row r="1651" ht="18" customHeight="1">
      <x:c r="A1651" t="str">
        <x:v>CA-2015-111829</x:v>
      </x:c>
      <x:c r="B1651" s="18" t="n">
        <x:v>42082</x:v>
      </x:c>
      <x:c r="C1651" t="str">
        <x:v>FH-14365</x:v>
      </x:c>
      <x:c r="D1651" t="str">
        <x:v>Fred Hopkins</x:v>
      </x:c>
      <x:c r="E1651" t="str">
        <x:v>Corporate</x:v>
      </x:c>
      <x:c r="F1651" t="str">
        <x:v>West</x:v>
      </x:c>
      <x:c r="G1651" t="str">
        <x:v>Office Supplies</x:v>
      </x:c>
      <x:c r="H1651" t="str">
        <x:v>Paper</x:v>
      </x:c>
      <x:c r="I1651" s="22" t="n">
        <x:v>209.7</x:v>
      </x:c>
      <x:c r="J1651" s="24" t="n">
        <x:v>2</x:v>
      </x:c>
      <x:c r="K1651" s="26" t="n">
        <x:v>0</x:v>
      </x:c>
      <x:c r="L1651" s="22" t="n">
        <x:v>100.65599999999999</x:v>
      </x:c>
      <x:c r="M1651" t="n">
        <x:v>2015</x:v>
      </x:c>
      <x:c r="N1651" s="20" t="n">
        <x:v>42064</x:v>
      </x:c>
    </x:row>
    <x:row r="1652" ht="18" customHeight="1">
      <x:c r="A1652" t="str">
        <x:v>CA-2015-105221</x:v>
      </x:c>
      <x:c r="B1652" s="18" t="n">
        <x:v>42309</x:v>
      </x:c>
      <x:c r="C1652" t="str">
        <x:v>VM-21685</x:v>
      </x:c>
      <x:c r="D1652" t="str">
        <x:v>Valerie Mitchum</x:v>
      </x:c>
      <x:c r="E1652" t="str">
        <x:v>Home Office</x:v>
      </x:c>
      <x:c r="F1652" t="str">
        <x:v>East</x:v>
      </x:c>
      <x:c r="G1652" t="str">
        <x:v>Technology</x:v>
      </x:c>
      <x:c r="H1652" t="str">
        <x:v>Accessories</x:v>
      </x:c>
      <x:c r="I1652" s="22" t="n">
        <x:v>35.36000000000001</x:v>
      </x:c>
      <x:c r="J1652" s="24" t="n">
        <x:v>2</x:v>
      </x:c>
      <x:c r="K1652" s="26" t="n">
        <x:v>0.2</x:v>
      </x:c>
      <x:c r="L1652" s="22" t="n">
        <x:v>-3.0939999999999994</x:v>
      </x:c>
      <x:c r="M1652" t="n">
        <x:v>2015</x:v>
      </x:c>
      <x:c r="N1652" s="20" t="n">
        <x:v>42309</x:v>
      </x:c>
    </x:row>
    <x:row r="1653" ht="18" customHeight="1">
      <x:c r="A1653" t="str">
        <x:v>CA-2015-105221</x:v>
      </x:c>
      <x:c r="B1653" s="18" t="n">
        <x:v>42309</x:v>
      </x:c>
      <x:c r="C1653" t="str">
        <x:v>VM-21685</x:v>
      </x:c>
      <x:c r="D1653" t="str">
        <x:v>Valerie Mitchum</x:v>
      </x:c>
      <x:c r="E1653" t="str">
        <x:v>Home Office</x:v>
      </x:c>
      <x:c r="F1653" t="str">
        <x:v>East</x:v>
      </x:c>
      <x:c r="G1653" t="str">
        <x:v>Office Supplies</x:v>
      </x:c>
      <x:c r="H1653" t="str">
        <x:v>Fasteners</x:v>
      </x:c>
      <x:c r="I1653" s="22" t="n">
        <x:v>3.168</x:v>
      </x:c>
      <x:c r="J1653" s="24" t="n">
        <x:v>2</x:v>
      </x:c>
      <x:c r="K1653" s="26" t="n">
        <x:v>0.2</x:v>
      </x:c>
      <x:c r="L1653" s="22" t="n">
        <x:v>-0.7127999999999999</x:v>
      </x:c>
      <x:c r="M1653" t="n">
        <x:v>2015</x:v>
      </x:c>
      <x:c r="N1653" s="20" t="n">
        <x:v>42309</x:v>
      </x:c>
    </x:row>
    <x:row r="1654" ht="18" customHeight="1">
      <x:c r="A1654" t="str">
        <x:v>CA-2015-120341</x:v>
      </x:c>
      <x:c r="B1654" s="18" t="n">
        <x:v>42273</x:v>
      </x:c>
      <x:c r="C1654" t="str">
        <x:v>SF-20200</x:v>
      </x:c>
      <x:c r="D1654" t="str">
        <x:v>Sarah Foster</x:v>
      </x:c>
      <x:c r="E1654" t="str">
        <x:v>Consumer</x:v>
      </x:c>
      <x:c r="F1654" t="str">
        <x:v>East</x:v>
      </x:c>
      <x:c r="G1654" t="str">
        <x:v>Office Supplies</x:v>
      </x:c>
      <x:c r="H1654" t="str">
        <x:v>Binders</x:v>
      </x:c>
      <x:c r="I1654" s="22" t="n">
        <x:v>121.10400000000003</x:v>
      </x:c>
      <x:c r="J1654" s="24" t="n">
        <x:v>6</x:v>
      </x:c>
      <x:c r="K1654" s="26" t="n">
        <x:v>0.7</x:v>
      </x:c>
      <x:c r="L1654" s="22" t="n">
        <x:v>-100.91999999999999</x:v>
      </x:c>
      <x:c r="M1654" t="n">
        <x:v>2015</x:v>
      </x:c>
      <x:c r="N1654" s="20" t="n">
        <x:v>42248</x:v>
      </x:c>
    </x:row>
    <x:row r="1655" ht="18" customHeight="1">
      <x:c r="A1655" t="str">
        <x:v>CA-2015-120341</x:v>
      </x:c>
      <x:c r="B1655" s="18" t="n">
        <x:v>42273</x:v>
      </x:c>
      <x:c r="C1655" t="str">
        <x:v>SF-20200</x:v>
      </x:c>
      <x:c r="D1655" t="str">
        <x:v>Sarah Foster</x:v>
      </x:c>
      <x:c r="E1655" t="str">
        <x:v>Consumer</x:v>
      </x:c>
      <x:c r="F1655" t="str">
        <x:v>East</x:v>
      </x:c>
      <x:c r="G1655" t="str">
        <x:v>Technology</x:v>
      </x:c>
      <x:c r="H1655" t="str">
        <x:v>Phones</x:v>
      </x:c>
      <x:c r="I1655" s="22" t="n">
        <x:v>45.894</x:v>
      </x:c>
      <x:c r="J1655" s="24" t="n">
        <x:v>1</x:v>
      </x:c>
      <x:c r="K1655" s="26" t="n">
        <x:v>0.4</x:v>
      </x:c>
      <x:c r="L1655" s="22" t="n">
        <x:v>-9.178799999999999</x:v>
      </x:c>
      <x:c r="M1655" t="n">
        <x:v>2015</x:v>
      </x:c>
      <x:c r="N1655" s="20" t="n">
        <x:v>42248</x:v>
      </x:c>
    </x:row>
    <x:row r="1656" ht="18" customHeight="1">
      <x:c r="A1656" t="str">
        <x:v>CA-2014-135699</x:v>
      </x:c>
      <x:c r="B1656" s="18" t="n">
        <x:v>41880</x:v>
      </x:c>
      <x:c r="C1656" t="str">
        <x:v>HH-15010</x:v>
      </x:c>
      <x:c r="D1656" t="str">
        <x:v>Hilary Holden</x:v>
      </x:c>
      <x:c r="E1656" t="str">
        <x:v>Corporate</x:v>
      </x:c>
      <x:c r="F1656" t="str">
        <x:v>West</x:v>
      </x:c>
      <x:c r="G1656" t="str">
        <x:v>Office Supplies</x:v>
      </x:c>
      <x:c r="H1656" t="str">
        <x:v>Paper</x:v>
      </x:c>
      <x:c r="I1656" s="22" t="n">
        <x:v>109.92</x:v>
      </x:c>
      <x:c r="J1656" s="24" t="n">
        <x:v>2</x:v>
      </x:c>
      <x:c r="K1656" s="26" t="n">
        <x:v>0</x:v>
      </x:c>
      <x:c r="L1656" s="22" t="n">
        <x:v>53.8608</x:v>
      </x:c>
      <x:c r="M1656" t="n">
        <x:v>2014</x:v>
      </x:c>
      <x:c r="N1656" s="20" t="n">
        <x:v>41852</x:v>
      </x:c>
    </x:row>
    <x:row r="1657" ht="18" customHeight="1">
      <x:c r="A1657" t="str">
        <x:v>CA-2014-135699</x:v>
      </x:c>
      <x:c r="B1657" s="18" t="n">
        <x:v>41880</x:v>
      </x:c>
      <x:c r="C1657" t="str">
        <x:v>HH-15010</x:v>
      </x:c>
      <x:c r="D1657" t="str">
        <x:v>Hilary Holden</x:v>
      </x:c>
      <x:c r="E1657" t="str">
        <x:v>Corporate</x:v>
      </x:c>
      <x:c r="F1657" t="str">
        <x:v>West</x:v>
      </x:c>
      <x:c r="G1657" t="str">
        <x:v>Office Supplies</x:v>
      </x:c>
      <x:c r="H1657" t="str">
        <x:v>Paper</x:v>
      </x:c>
      <x:c r="I1657" s="22" t="n">
        <x:v>13.36</x:v>
      </x:c>
      <x:c r="J1657" s="24" t="n">
        <x:v>2</x:v>
      </x:c>
      <x:c r="K1657" s="26" t="n">
        <x:v>0</x:v>
      </x:c>
      <x:c r="L1657" s="22" t="n">
        <x:v>6.4128</x:v>
      </x:c>
      <x:c r="M1657" t="n">
        <x:v>2014</x:v>
      </x:c>
      <x:c r="N1657" s="20" t="n">
        <x:v>41852</x:v>
      </x:c>
    </x:row>
    <x:row r="1658" ht="18" customHeight="1">
      <x:c r="A1658" t="str">
        <x:v>US-2017-132444</x:v>
      </x:c>
      <x:c r="B1658" s="18" t="n">
        <x:v>43057</x:v>
      </x:c>
      <x:c r="C1658" t="str">
        <x:v>CD-12280</x:v>
      </x:c>
      <x:c r="D1658" t="str">
        <x:v>Christina DeMoss</x:v>
      </x:c>
      <x:c r="E1658" t="str">
        <x:v>Consumer</x:v>
      </x:c>
      <x:c r="F1658" t="str">
        <x:v>West</x:v>
      </x:c>
      <x:c r="G1658" t="str">
        <x:v>Office Supplies</x:v>
      </x:c>
      <x:c r="H1658" t="str">
        <x:v>Storage</x:v>
      </x:c>
      <x:c r="I1658" s="22" t="n">
        <x:v>169.68</x:v>
      </x:c>
      <x:c r="J1658" s="24" t="n">
        <x:v>6</x:v>
      </x:c>
      <x:c r="K1658" s="26" t="n">
        <x:v>0</x:v>
      </x:c>
      <x:c r="L1658" s="22" t="n">
        <x:v>45.8136</x:v>
      </x:c>
      <x:c r="M1658" t="n">
        <x:v>2017</x:v>
      </x:c>
      <x:c r="N1658" s="20" t="n">
        <x:v>43040</x:v>
      </x:c>
    </x:row>
    <x:row r="1659" ht="18" customHeight="1">
      <x:c r="A1659" t="str">
        <x:v>US-2017-132444</x:v>
      </x:c>
      <x:c r="B1659" s="18" t="n">
        <x:v>43057</x:v>
      </x:c>
      <x:c r="C1659" t="str">
        <x:v>CD-12280</x:v>
      </x:c>
      <x:c r="D1659" t="str">
        <x:v>Christina DeMoss</x:v>
      </x:c>
      <x:c r="E1659" t="str">
        <x:v>Consumer</x:v>
      </x:c>
      <x:c r="F1659" t="str">
        <x:v>West</x:v>
      </x:c>
      <x:c r="G1659" t="str">
        <x:v>Technology</x:v>
      </x:c>
      <x:c r="H1659" t="str">
        <x:v>Accessories</x:v>
      </x:c>
      <x:c r="I1659" s="22" t="n">
        <x:v>132.52</x:v>
      </x:c>
      <x:c r="J1659" s="24" t="n">
        <x:v>4</x:v>
      </x:c>
      <x:c r="K1659" s="26" t="n">
        <x:v>0</x:v>
      </x:c>
      <x:c r="L1659" s="22" t="n">
        <x:v>54.333200000000005</x:v>
      </x:c>
      <x:c r="M1659" t="n">
        <x:v>2017</x:v>
      </x:c>
      <x:c r="N1659" s="20" t="n">
        <x:v>43040</x:v>
      </x:c>
    </x:row>
    <x:row r="1660" ht="18" customHeight="1">
      <x:c r="A1660" t="str">
        <x:v>US-2017-132444</x:v>
      </x:c>
      <x:c r="B1660" s="18" t="n">
        <x:v>43057</x:v>
      </x:c>
      <x:c r="C1660" t="str">
        <x:v>CD-12280</x:v>
      </x:c>
      <x:c r="D1660" t="str">
        <x:v>Christina DeMoss</x:v>
      </x:c>
      <x:c r="E1660" t="str">
        <x:v>Consumer</x:v>
      </x:c>
      <x:c r="F1660" t="str">
        <x:v>West</x:v>
      </x:c>
      <x:c r="G1660" t="str">
        <x:v>Office Supplies</x:v>
      </x:c>
      <x:c r="H1660" t="str">
        <x:v>Fasteners</x:v>
      </x:c>
      <x:c r="I1660" s="22" t="n">
        <x:v>2.96</x:v>
      </x:c>
      <x:c r="J1660" s="24" t="n">
        <x:v>2</x:v>
      </x:c>
      <x:c r="K1660" s="26" t="n">
        <x:v>0</x:v>
      </x:c>
      <x:c r="L1660" s="22" t="n">
        <x:v>1.4207999999999998</x:v>
      </x:c>
      <x:c r="M1660" t="n">
        <x:v>2017</x:v>
      </x:c>
      <x:c r="N1660" s="20" t="n">
        <x:v>43040</x:v>
      </x:c>
    </x:row>
    <x:row r="1661" ht="18" customHeight="1">
      <x:c r="A1661" t="str">
        <x:v>US-2017-132444</x:v>
      </x:c>
      <x:c r="B1661" s="18" t="n">
        <x:v>43057</x:v>
      </x:c>
      <x:c r="C1661" t="str">
        <x:v>CD-12280</x:v>
      </x:c>
      <x:c r="D1661" t="str">
        <x:v>Christina DeMoss</x:v>
      </x:c>
      <x:c r="E1661" t="str">
        <x:v>Consumer</x:v>
      </x:c>
      <x:c r="F1661" t="str">
        <x:v>West</x:v>
      </x:c>
      <x:c r="G1661" t="str">
        <x:v>Office Supplies</x:v>
      </x:c>
      <x:c r="H1661" t="str">
        <x:v>Binders</x:v>
      </x:c>
      <x:c r="I1661" s="22" t="n">
        <x:v>8.448</x:v>
      </x:c>
      <x:c r="J1661" s="24" t="n">
        <x:v>2</x:v>
      </x:c>
      <x:c r="K1661" s="26" t="n">
        <x:v>0.2</x:v>
      </x:c>
      <x:c r="L1661" s="22" t="n">
        <x:v>2.9568000000000003</x:v>
      </x:c>
      <x:c r="M1661" t="n">
        <x:v>2017</x:v>
      </x:c>
      <x:c r="N1661" s="20" t="n">
        <x:v>43040</x:v>
      </x:c>
    </x:row>
    <x:row r="1662" ht="18" customHeight="1">
      <x:c r="A1662" t="str">
        <x:v>US-2017-132444</x:v>
      </x:c>
      <x:c r="B1662" s="18" t="n">
        <x:v>43057</x:v>
      </x:c>
      <x:c r="C1662" t="str">
        <x:v>CD-12280</x:v>
      </x:c>
      <x:c r="D1662" t="str">
        <x:v>Christina DeMoss</x:v>
      </x:c>
      <x:c r="E1662" t="str">
        <x:v>Consumer</x:v>
      </x:c>
      <x:c r="F1662" t="str">
        <x:v>West</x:v>
      </x:c>
      <x:c r="G1662" t="str">
        <x:v>Office Supplies</x:v>
      </x:c>
      <x:c r="H1662" t="str">
        <x:v>Storage</x:v>
      </x:c>
      <x:c r="I1662" s="22" t="n">
        <x:v>95.94</x:v>
      </x:c>
      <x:c r="J1662" s="24" t="n">
        <x:v>3</x:v>
      </x:c>
      <x:c r="K1662" s="26" t="n">
        <x:v>0</x:v>
      </x:c>
      <x:c r="L1662" s="22" t="n">
        <x:v>9.594000000000001</x:v>
      </x:c>
      <x:c r="M1662" t="n">
        <x:v>2017</x:v>
      </x:c>
      <x:c r="N1662" s="20" t="n">
        <x:v>43040</x:v>
      </x:c>
    </x:row>
    <x:row r="1663" ht="18" customHeight="1">
      <x:c r="A1663" t="str">
        <x:v>CA-2014-127159</x:v>
      </x:c>
      <x:c r="B1663" s="18" t="n">
        <x:v>41771</x:v>
      </x:c>
      <x:c r="C1663" t="str">
        <x:v>HL-15040</x:v>
      </x:c>
      <x:c r="D1663" t="str">
        <x:v>Hunter Lopez</x:v>
      </x:c>
      <x:c r="E1663" t="str">
        <x:v>Consumer</x:v>
      </x:c>
      <x:c r="F1663" t="str">
        <x:v>Central</x:v>
      </x:c>
      <x:c r="G1663" t="str">
        <x:v>Furniture</x:v>
      </x:c>
      <x:c r="H1663" t="str">
        <x:v>Furnishings</x:v>
      </x:c>
      <x:c r="I1663" s="22" t="n">
        <x:v>34.79</x:v>
      </x:c>
      <x:c r="J1663" s="24" t="n">
        <x:v>7</x:v>
      </x:c>
      <x:c r="K1663" s="26" t="n">
        <x:v>0</x:v>
      </x:c>
      <x:c r="L1663" s="22" t="n">
        <x:v>10.784899999999999</x:v>
      </x:c>
      <x:c r="M1663" t="n">
        <x:v>2014</x:v>
      </x:c>
      <x:c r="N1663" s="20" t="n">
        <x:v>41760</x:v>
      </x:c>
    </x:row>
    <x:row r="1664" ht="18" customHeight="1">
      <x:c r="A1664" t="str">
        <x:v>CA-2017-161809</x:v>
      </x:c>
      <x:c r="B1664" s="18" t="n">
        <x:v>42755</x:v>
      </x:c>
      <x:c r="C1664" t="str">
        <x:v>TH-21100</x:v>
      </x:c>
      <x:c r="D1664" t="str">
        <x:v>Thea Hendricks</x:v>
      </x:c>
      <x:c r="E1664" t="str">
        <x:v>Consumer</x:v>
      </x:c>
      <x:c r="F1664" t="str">
        <x:v>West</x:v>
      </x:c>
      <x:c r="G1664" t="str">
        <x:v>Technology</x:v>
      </x:c>
      <x:c r="H1664" t="str">
        <x:v>Phones</x:v>
      </x:c>
      <x:c r="I1664" s="22" t="n">
        <x:v>160.776</x:v>
      </x:c>
      <x:c r="J1664" s="24" t="n">
        <x:v>3</x:v>
      </x:c>
      <x:c r="K1664" s="26" t="n">
        <x:v>0.2</x:v>
      </x:c>
      <x:c r="L1664" s="22" t="n">
        <x:v>10.048500000000004</x:v>
      </x:c>
      <x:c r="M1664" t="n">
        <x:v>2017</x:v>
      </x:c>
      <x:c r="N1664" s="20" t="n">
        <x:v>42736</x:v>
      </x:c>
    </x:row>
    <x:row r="1665" ht="18" customHeight="1">
      <x:c r="A1665" t="str">
        <x:v>CA-2017-127285</x:v>
      </x:c>
      <x:c r="B1665" s="18" t="n">
        <x:v>43038</x:v>
      </x:c>
      <x:c r="C1665" t="str">
        <x:v>MM-18055</x:v>
      </x:c>
      <x:c r="D1665" t="str">
        <x:v>Michelle Moray</x:v>
      </x:c>
      <x:c r="E1665" t="str">
        <x:v>Consumer</x:v>
      </x:c>
      <x:c r="F1665" t="str">
        <x:v>West</x:v>
      </x:c>
      <x:c r="G1665" t="str">
        <x:v>Office Supplies</x:v>
      </x:c>
      <x:c r="H1665" t="str">
        <x:v>Binders</x:v>
      </x:c>
      <x:c r="I1665" s="22" t="n">
        <x:v>88.752</x:v>
      </x:c>
      <x:c r="J1665" s="24" t="n">
        <x:v>3</x:v>
      </x:c>
      <x:c r="K1665" s="26" t="n">
        <x:v>0.2</x:v>
      </x:c>
      <x:c r="L1665" s="22" t="n">
        <x:v>27.734999999999996</x:v>
      </x:c>
      <x:c r="M1665" t="n">
        <x:v>2017</x:v>
      </x:c>
      <x:c r="N1665" s="20" t="n">
        <x:v>43009</x:v>
      </x:c>
    </x:row>
    <x:row r="1666" ht="18" customHeight="1">
      <x:c r="A1666" t="str">
        <x:v>CA-2017-127285</x:v>
      </x:c>
      <x:c r="B1666" s="18" t="n">
        <x:v>43038</x:v>
      </x:c>
      <x:c r="C1666" t="str">
        <x:v>MM-18055</x:v>
      </x:c>
      <x:c r="D1666" t="str">
        <x:v>Michelle Moray</x:v>
      </x:c>
      <x:c r="E1666" t="str">
        <x:v>Consumer</x:v>
      </x:c>
      <x:c r="F1666" t="str">
        <x:v>West</x:v>
      </x:c>
      <x:c r="G1666" t="str">
        <x:v>Office Supplies</x:v>
      </x:c>
      <x:c r="H1666" t="str">
        <x:v>Binders</x:v>
      </x:c>
      <x:c r="I1666" s="22" t="n">
        <x:v>13.904</x:v>
      </x:c>
      <x:c r="J1666" s="24" t="n">
        <x:v>2</x:v>
      </x:c>
      <x:c r="K1666" s="26" t="n">
        <x:v>0.2</x:v>
      </x:c>
      <x:c r="L1666" s="22" t="n">
        <x:v>5.2139999999999995</x:v>
      </x:c>
      <x:c r="M1666" t="n">
        <x:v>2017</x:v>
      </x:c>
      <x:c r="N1666" s="20" t="n">
        <x:v>43009</x:v>
      </x:c>
    </x:row>
    <x:row r="1667" ht="18" customHeight="1">
      <x:c r="A1667" t="str">
        <x:v>CA-2017-144526</x:v>
      </x:c>
      <x:c r="B1667" s="18" t="n">
        <x:v>42855</x:v>
      </x:c>
      <x:c r="C1667" t="str">
        <x:v>QJ-19255</x:v>
      </x:c>
      <x:c r="D1667" t="str">
        <x:v>Quincy Jones</x:v>
      </x:c>
      <x:c r="E1667" t="str">
        <x:v>Corporate</x:v>
      </x:c>
      <x:c r="F1667" t="str">
        <x:v>East</x:v>
      </x:c>
      <x:c r="G1667" t="str">
        <x:v>Technology</x:v>
      </x:c>
      <x:c r="H1667" t="str">
        <x:v>Phones</x:v>
      </x:c>
      <x:c r="I1667" s="22" t="n">
        <x:v>677.5799999999999</x:v>
      </x:c>
      <x:c r="J1667" s="24" t="n">
        <x:v>5</x:v>
      </x:c>
      <x:c r="K1667" s="26" t="n">
        <x:v>0.4</x:v>
      </x:c>
      <x:c r="L1667" s="22" t="n">
        <x:v>-158.10199999999998</x:v>
      </x:c>
      <x:c r="M1667" t="n">
        <x:v>2017</x:v>
      </x:c>
      <x:c r="N1667" s="20" t="n">
        <x:v>42826</x:v>
      </x:c>
    </x:row>
    <x:row r="1668" ht="18" customHeight="1">
      <x:c r="A1668" t="str">
        <x:v>CA-2017-144526</x:v>
      </x:c>
      <x:c r="B1668" s="18" t="n">
        <x:v>42855</x:v>
      </x:c>
      <x:c r="C1668" t="str">
        <x:v>QJ-19255</x:v>
      </x:c>
      <x:c r="D1668" t="str">
        <x:v>Quincy Jones</x:v>
      </x:c>
      <x:c r="E1668" t="str">
        <x:v>Corporate</x:v>
      </x:c>
      <x:c r="F1668" t="str">
        <x:v>East</x:v>
      </x:c>
      <x:c r="G1668" t="str">
        <x:v>Office Supplies</x:v>
      </x:c>
      <x:c r="H1668" t="str">
        <x:v>Binders</x:v>
      </x:c>
      <x:c r="I1668" s="22" t="n">
        <x:v>13.896</x:v>
      </x:c>
      <x:c r="J1668" s="24" t="n">
        <x:v>3</x:v>
      </x:c>
      <x:c r="K1668" s="26" t="n">
        <x:v>0.7</x:v>
      </x:c>
      <x:c r="L1668" s="22" t="n">
        <x:v>-9.264</x:v>
      </x:c>
      <x:c r="M1668" t="n">
        <x:v>2017</x:v>
      </x:c>
      <x:c r="N1668" s="20" t="n">
        <x:v>42826</x:v>
      </x:c>
    </x:row>
    <x:row r="1669" ht="18" customHeight="1">
      <x:c r="A1669" t="str">
        <x:v>CA-2016-128531</x:v>
      </x:c>
      <x:c r="B1669" s="18" t="n">
        <x:v>42698</x:v>
      </x:c>
      <x:c r="C1669" t="str">
        <x:v>NS-18505</x:v>
      </x:c>
      <x:c r="D1669" t="str">
        <x:v>Neola Schneider</x:v>
      </x:c>
      <x:c r="E1669" t="str">
        <x:v>Consumer</x:v>
      </x:c>
      <x:c r="F1669" t="str">
        <x:v>Central</x:v>
      </x:c>
      <x:c r="G1669" t="str">
        <x:v>Office Supplies</x:v>
      </x:c>
      <x:c r="H1669" t="str">
        <x:v>Storage</x:v>
      </x:c>
      <x:c r="I1669" s="22" t="n">
        <x:v>41.92</x:v>
      </x:c>
      <x:c r="J1669" s="24" t="n">
        <x:v>5</x:v>
      </x:c>
      <x:c r="K1669" s="26" t="n">
        <x:v>0.2</x:v>
      </x:c>
      <x:c r="L1669" s="22" t="n">
        <x:v>3.6679999999999993</x:v>
      </x:c>
      <x:c r="M1669" t="n">
        <x:v>2016</x:v>
      </x:c>
      <x:c r="N1669" s="20" t="n">
        <x:v>42675</x:v>
      </x:c>
    </x:row>
    <x:row r="1670" ht="18" customHeight="1">
      <x:c r="A1670" t="str">
        <x:v>CA-2016-128531</x:v>
      </x:c>
      <x:c r="B1670" s="18" t="n">
        <x:v>42698</x:v>
      </x:c>
      <x:c r="C1670" t="str">
        <x:v>NS-18505</x:v>
      </x:c>
      <x:c r="D1670" t="str">
        <x:v>Neola Schneider</x:v>
      </x:c>
      <x:c r="E1670" t="str">
        <x:v>Consumer</x:v>
      </x:c>
      <x:c r="F1670" t="str">
        <x:v>Central</x:v>
      </x:c>
      <x:c r="G1670" t="str">
        <x:v>Technology</x:v>
      </x:c>
      <x:c r="H1670" t="str">
        <x:v>Accessories</x:v>
      </x:c>
      <x:c r="I1670" s="22" t="n">
        <x:v>297.576</x:v>
      </x:c>
      <x:c r="J1670" s="24" t="n">
        <x:v>3</x:v>
      </x:c>
      <x:c r="K1670" s="26" t="n">
        <x:v>0.2</x:v>
      </x:c>
      <x:c r="L1670" s="22" t="n">
        <x:v>-7.439400000000035</x:v>
      </x:c>
      <x:c r="M1670" t="n">
        <x:v>2016</x:v>
      </x:c>
      <x:c r="N1670" s="20" t="n">
        <x:v>42675</x:v>
      </x:c>
    </x:row>
    <x:row r="1671" ht="18" customHeight="1">
      <x:c r="A1671" t="str">
        <x:v>CA-2016-128531</x:v>
      </x:c>
      <x:c r="B1671" s="18" t="n">
        <x:v>42698</x:v>
      </x:c>
      <x:c r="C1671" t="str">
        <x:v>NS-18505</x:v>
      </x:c>
      <x:c r="D1671" t="str">
        <x:v>Neola Schneider</x:v>
      </x:c>
      <x:c r="E1671" t="str">
        <x:v>Consumer</x:v>
      </x:c>
      <x:c r="F1671" t="str">
        <x:v>Central</x:v>
      </x:c>
      <x:c r="G1671" t="str">
        <x:v>Office Supplies</x:v>
      </x:c>
      <x:c r="H1671" t="str">
        <x:v>Fasteners</x:v>
      </x:c>
      <x:c r="I1671" s="22" t="n">
        <x:v>4.344</x:v>
      </x:c>
      <x:c r="J1671" s="24" t="n">
        <x:v>3</x:v>
      </x:c>
      <x:c r="K1671" s="26" t="n">
        <x:v>0.2</x:v>
      </x:c>
      <x:c r="L1671" s="22" t="n">
        <x:v>0.8687999999999998</x:v>
      </x:c>
      <x:c r="M1671" t="n">
        <x:v>2016</x:v>
      </x:c>
      <x:c r="N1671" s="20" t="n">
        <x:v>42675</x:v>
      </x:c>
    </x:row>
    <x:row r="1672" ht="18" customHeight="1">
      <x:c r="A1672" t="str">
        <x:v>CA-2016-128531</x:v>
      </x:c>
      <x:c r="B1672" s="18" t="n">
        <x:v>42698</x:v>
      </x:c>
      <x:c r="C1672" t="str">
        <x:v>NS-18505</x:v>
      </x:c>
      <x:c r="D1672" t="str">
        <x:v>Neola Schneider</x:v>
      </x:c>
      <x:c r="E1672" t="str">
        <x:v>Consumer</x:v>
      </x:c>
      <x:c r="F1672" t="str">
        <x:v>Central</x:v>
      </x:c>
      <x:c r="G1672" t="str">
        <x:v>Technology</x:v>
      </x:c>
      <x:c r="H1672" t="str">
        <x:v>Accessories</x:v>
      </x:c>
      <x:c r="I1672" s="22" t="n">
        <x:v>94.992</x:v>
      </x:c>
      <x:c r="J1672" s="24" t="n">
        <x:v>2</x:v>
      </x:c>
      <x:c r="K1672" s="26" t="n">
        <x:v>0.2</x:v>
      </x:c>
      <x:c r="L1672" s="22" t="n">
        <x:v>-2.374800000000004</x:v>
      </x:c>
      <x:c r="M1672" t="n">
        <x:v>2016</x:v>
      </x:c>
      <x:c r="N1672" s="20" t="n">
        <x:v>42675</x:v>
      </x:c>
    </x:row>
    <x:row r="1673" ht="18" customHeight="1">
      <x:c r="A1673" t="str">
        <x:v>CA-2016-128531</x:v>
      </x:c>
      <x:c r="B1673" s="18" t="n">
        <x:v>42698</x:v>
      </x:c>
      <x:c r="C1673" t="str">
        <x:v>NS-18505</x:v>
      </x:c>
      <x:c r="D1673" t="str">
        <x:v>Neola Schneider</x:v>
      </x:c>
      <x:c r="E1673" t="str">
        <x:v>Consumer</x:v>
      </x:c>
      <x:c r="F1673" t="str">
        <x:v>Central</x:v>
      </x:c>
      <x:c r="G1673" t="str">
        <x:v>Office Supplies</x:v>
      </x:c>
      <x:c r="H1673" t="str">
        <x:v>Paper</x:v>
      </x:c>
      <x:c r="I1673" s="22" t="n">
        <x:v>74.352</x:v>
      </x:c>
      <x:c r="J1673" s="24" t="n">
        <x:v>3</x:v>
      </x:c>
      <x:c r="K1673" s="26" t="n">
        <x:v>0.2</x:v>
      </x:c>
      <x:c r="L1673" s="22" t="n">
        <x:v>23.234999999999992</x:v>
      </x:c>
      <x:c r="M1673" t="n">
        <x:v>2016</x:v>
      </x:c>
      <x:c r="N1673" s="20" t="n">
        <x:v>42675</x:v>
      </x:c>
    </x:row>
    <x:row r="1674" ht="18" customHeight="1">
      <x:c r="A1674" t="str">
        <x:v>CA-2016-128531</x:v>
      </x:c>
      <x:c r="B1674" s="18" t="n">
        <x:v>42698</x:v>
      </x:c>
      <x:c r="C1674" t="str">
        <x:v>NS-18505</x:v>
      </x:c>
      <x:c r="D1674" t="str">
        <x:v>Neola Schneider</x:v>
      </x:c>
      <x:c r="E1674" t="str">
        <x:v>Consumer</x:v>
      </x:c>
      <x:c r="F1674" t="str">
        <x:v>Central</x:v>
      </x:c>
      <x:c r="G1674" t="str">
        <x:v>Office Supplies</x:v>
      </x:c>
      <x:c r="H1674" t="str">
        <x:v>Art</x:v>
      </x:c>
      <x:c r="I1674" s="22" t="n">
        <x:v>14.04</x:v>
      </x:c>
      <x:c r="J1674" s="24" t="n">
        <x:v>3</x:v>
      </x:c>
      <x:c r="K1674" s="26" t="n">
        <x:v>0.2</x:v>
      </x:c>
      <x:c r="L1674" s="22" t="n">
        <x:v>1.5794999999999986</x:v>
      </x:c>
      <x:c r="M1674" t="n">
        <x:v>2016</x:v>
      </x:c>
      <x:c r="N1674" s="20" t="n">
        <x:v>42675</x:v>
      </x:c>
    </x:row>
    <x:row r="1675" ht="18" customHeight="1">
      <x:c r="A1675" t="str">
        <x:v>US-2015-157154</x:v>
      </x:c>
      <x:c r="B1675" s="18" t="n">
        <x:v>42014</x:v>
      </x:c>
      <x:c r="C1675" t="str">
        <x:v>MM-17920</x:v>
      </x:c>
      <x:c r="D1675" t="str">
        <x:v>Michael Moore</x:v>
      </x:c>
      <x:c r="E1675" t="str">
        <x:v>Consumer</x:v>
      </x:c>
      <x:c r="F1675" t="str">
        <x:v>East</x:v>
      </x:c>
      <x:c r="G1675" t="str">
        <x:v>Furniture</x:v>
      </x:c>
      <x:c r="H1675" t="str">
        <x:v>Tables</x:v>
      </x:c>
      <x:c r="I1675" s="22" t="n">
        <x:v>1018.1039999999999</x:v>
      </x:c>
      <x:c r="J1675" s="24" t="n">
        <x:v>4</x:v>
      </x:c>
      <x:c r="K1675" s="26" t="n">
        <x:v>0.4</x:v>
      </x:c>
      <x:c r="L1675" s="22" t="n">
        <x:v>-373.3048</x:v>
      </x:c>
      <x:c r="M1675" t="n">
        <x:v>2015</x:v>
      </x:c>
      <x:c r="N1675" s="20" t="n">
        <x:v>42005</x:v>
      </x:c>
    </x:row>
    <x:row r="1676" ht="18" customHeight="1">
      <x:c r="A1676" t="str">
        <x:v>CA-2017-159457</x:v>
      </x:c>
      <x:c r="B1676" s="18" t="n">
        <x:v>43027</x:v>
      </x:c>
      <x:c r="C1676" t="str">
        <x:v>RD-19480</x:v>
      </x:c>
      <x:c r="D1676" t="str">
        <x:v>Rick Duston</x:v>
      </x:c>
      <x:c r="E1676" t="str">
        <x:v>Consumer</x:v>
      </x:c>
      <x:c r="F1676" t="str">
        <x:v>Central</x:v>
      </x:c>
      <x:c r="G1676" t="str">
        <x:v>Technology</x:v>
      </x:c>
      <x:c r="H1676" t="str">
        <x:v>Phones</x:v>
      </x:c>
      <x:c r="I1676" s="22" t="n">
        <x:v>16.68</x:v>
      </x:c>
      <x:c r="J1676" s="24" t="n">
        <x:v>3</x:v>
      </x:c>
      <x:c r="K1676" s="26" t="n">
        <x:v>0.2</x:v>
      </x:c>
      <x:c r="L1676" s="22" t="n">
        <x:v>5.2125</x:v>
      </x:c>
      <x:c r="M1676" t="n">
        <x:v>2017</x:v>
      </x:c>
      <x:c r="N1676" s="20" t="n">
        <x:v>43009</x:v>
      </x:c>
    </x:row>
    <x:row r="1677" ht="18" customHeight="1">
      <x:c r="A1677" t="str">
        <x:v>CA-2016-107615</x:v>
      </x:c>
      <x:c r="B1677" s="18" t="n">
        <x:v>42451</x:v>
      </x:c>
      <x:c r="C1677" t="str">
        <x:v>RB-19645</x:v>
      </x:c>
      <x:c r="D1677" t="str">
        <x:v>Robert Barroso</x:v>
      </x:c>
      <x:c r="E1677" t="str">
        <x:v>Corporate</x:v>
      </x:c>
      <x:c r="F1677" t="str">
        <x:v>West</x:v>
      </x:c>
      <x:c r="G1677" t="str">
        <x:v>Technology</x:v>
      </x:c>
      <x:c r="H1677" t="str">
        <x:v>Accessories</x:v>
      </x:c>
      <x:c r="I1677" s="22" t="n">
        <x:v>58.58</x:v>
      </x:c>
      <x:c r="J1677" s="24" t="n">
        <x:v>2</x:v>
      </x:c>
      <x:c r="K1677" s="26" t="n">
        <x:v>0</x:v>
      </x:c>
      <x:c r="L1677" s="22" t="n">
        <x:v>19.331399999999995</x:v>
      </x:c>
      <x:c r="M1677" t="n">
        <x:v>2016</x:v>
      </x:c>
      <x:c r="N1677" s="20" t="n">
        <x:v>42430</x:v>
      </x:c>
    </x:row>
    <x:row r="1678" ht="18" customHeight="1">
      <x:c r="A1678" t="str">
        <x:v>CA-2017-111647</x:v>
      </x:c>
      <x:c r="B1678" s="18" t="n">
        <x:v>42919</x:v>
      </x:c>
      <x:c r="C1678" t="str">
        <x:v>RD-19585</x:v>
      </x:c>
      <x:c r="D1678" t="str">
        <x:v>Rob Dowd</x:v>
      </x:c>
      <x:c r="E1678" t="str">
        <x:v>Consumer</x:v>
      </x:c>
      <x:c r="F1678" t="str">
        <x:v>Central</x:v>
      </x:c>
      <x:c r="G1678" t="str">
        <x:v>Technology</x:v>
      </x:c>
      <x:c r="H1678" t="str">
        <x:v>Phones</x:v>
      </x:c>
      <x:c r="I1678" s="22" t="n">
        <x:v>167.96800000000002</x:v>
      </x:c>
      <x:c r="J1678" s="24" t="n">
        <x:v>4</x:v>
      </x:c>
      <x:c r="K1678" s="26" t="n">
        <x:v>0.2</x:v>
      </x:c>
      <x:c r="L1678" s="22" t="n">
        <x:v>62.988</x:v>
      </x:c>
      <x:c r="M1678" t="n">
        <x:v>2017</x:v>
      </x:c>
      <x:c r="N1678" s="20" t="n">
        <x:v>42917</x:v>
      </x:c>
    </x:row>
    <x:row r="1679" ht="18" customHeight="1">
      <x:c r="A1679" t="str">
        <x:v>CA-2015-150560</x:v>
      </x:c>
      <x:c r="B1679" s="18" t="n">
        <x:v>42349</x:v>
      </x:c>
      <x:c r="C1679" t="str">
        <x:v>SW-20455</x:v>
      </x:c>
      <x:c r="D1679" t="str">
        <x:v>Shaun Weien</x:v>
      </x:c>
      <x:c r="E1679" t="str">
        <x:v>Consumer</x:v>
      </x:c>
      <x:c r="F1679" t="str">
        <x:v>South</x:v>
      </x:c>
      <x:c r="G1679" t="str">
        <x:v>Office Supplies</x:v>
      </x:c>
      <x:c r="H1679" t="str">
        <x:v>Labels</x:v>
      </x:c>
      <x:c r="I1679" s="22" t="n">
        <x:v>196.62</x:v>
      </x:c>
      <x:c r="J1679" s="24" t="n">
        <x:v>2</x:v>
      </x:c>
      <x:c r="K1679" s="26" t="n">
        <x:v>0</x:v>
      </x:c>
      <x:c r="L1679" s="22" t="n">
        <x:v>96.3438</x:v>
      </x:c>
      <x:c r="M1679" t="n">
        <x:v>2015</x:v>
      </x:c>
      <x:c r="N1679" s="20" t="n">
        <x:v>42339</x:v>
      </x:c>
    </x:row>
    <x:row r="1680" ht="18" customHeight="1">
      <x:c r="A1680" t="str">
        <x:v>CA-2015-143077</x:v>
      </x:c>
      <x:c r="B1680" s="18" t="n">
        <x:v>42264</x:v>
      </x:c>
      <x:c r="C1680" t="str">
        <x:v>SF-20965</x:v>
      </x:c>
      <x:c r="D1680" t="str">
        <x:v>Sylvia Foulston</x:v>
      </x:c>
      <x:c r="E1680" t="str">
        <x:v>Corporate</x:v>
      </x:c>
      <x:c r="F1680" t="str">
        <x:v>Central</x:v>
      </x:c>
      <x:c r="G1680" t="str">
        <x:v>Furniture</x:v>
      </x:c>
      <x:c r="H1680" t="str">
        <x:v>Furnishings</x:v>
      </x:c>
      <x:c r="I1680" s="22" t="n">
        <x:v>21.936000000000003</x:v>
      </x:c>
      <x:c r="J1680" s="24" t="n">
        <x:v>2</x:v>
      </x:c>
      <x:c r="K1680" s="26" t="n">
        <x:v>0.6</x:v>
      </x:c>
      <x:c r="L1680" s="22" t="n">
        <x:v>-10.419600000000003</x:v>
      </x:c>
      <x:c r="M1680" t="n">
        <x:v>2015</x:v>
      </x:c>
      <x:c r="N1680" s="20" t="n">
        <x:v>42248</x:v>
      </x:c>
    </x:row>
    <x:row r="1681" ht="18" customHeight="1">
      <x:c r="A1681" t="str">
        <x:v>CA-2015-143077</x:v>
      </x:c>
      <x:c r="B1681" s="18" t="n">
        <x:v>42264</x:v>
      </x:c>
      <x:c r="C1681" t="str">
        <x:v>SF-20965</x:v>
      </x:c>
      <x:c r="D1681" t="str">
        <x:v>Sylvia Foulston</x:v>
      </x:c>
      <x:c r="E1681" t="str">
        <x:v>Corporate</x:v>
      </x:c>
      <x:c r="F1681" t="str">
        <x:v>Central</x:v>
      </x:c>
      <x:c r="G1681" t="str">
        <x:v>Office Supplies</x:v>
      </x:c>
      <x:c r="H1681" t="str">
        <x:v>Binders</x:v>
      </x:c>
      <x:c r="I1681" s="22" t="n">
        <x:v>6.587999999999999</x:v>
      </x:c>
      <x:c r="J1681" s="24" t="n">
        <x:v>3</x:v>
      </x:c>
      <x:c r="K1681" s="26" t="n">
        <x:v>0.8</x:v>
      </x:c>
      <x:c r="L1681" s="22" t="n">
        <x:v>-10.211400000000005</x:v>
      </x:c>
      <x:c r="M1681" t="n">
        <x:v>2015</x:v>
      </x:c>
      <x:c r="N1681" s="20" t="n">
        <x:v>42248</x:v>
      </x:c>
    </x:row>
    <x:row r="1682" ht="18" customHeight="1">
      <x:c r="A1682" t="str">
        <x:v>CA-2016-122728</x:v>
      </x:c>
      <x:c r="B1682" s="18" t="n">
        <x:v>42508</x:v>
      </x:c>
      <x:c r="C1682" t="str">
        <x:v>EB-13930</x:v>
      </x:c>
      <x:c r="D1682" t="str">
        <x:v>Eric Barreto</x:v>
      </x:c>
      <x:c r="E1682" t="str">
        <x:v>Consumer</x:v>
      </x:c>
      <x:c r="F1682" t="str">
        <x:v>West</x:v>
      </x:c>
      <x:c r="G1682" t="str">
        <x:v>Office Supplies</x:v>
      </x:c>
      <x:c r="H1682" t="str">
        <x:v>Storage</x:v>
      </x:c>
      <x:c r="I1682" s="22" t="n">
        <x:v>104.28</x:v>
      </x:c>
      <x:c r="J1682" s="24" t="n">
        <x:v>3</x:v>
      </x:c>
      <x:c r="K1682" s="26" t="n">
        <x:v>0</x:v>
      </x:c>
      <x:c r="L1682" s="22" t="n">
        <x:v>26.069999999999993</x:v>
      </x:c>
      <x:c r="M1682" t="n">
        <x:v>2016</x:v>
      </x:c>
      <x:c r="N1682" s="20" t="n">
        <x:v>42491</x:v>
      </x:c>
    </x:row>
    <x:row r="1683" ht="18" customHeight="1">
      <x:c r="A1683" t="str">
        <x:v>CA-2016-122728</x:v>
      </x:c>
      <x:c r="B1683" s="18" t="n">
        <x:v>42508</x:v>
      </x:c>
      <x:c r="C1683" t="str">
        <x:v>EB-13930</x:v>
      </x:c>
      <x:c r="D1683" t="str">
        <x:v>Eric Barreto</x:v>
      </x:c>
      <x:c r="E1683" t="str">
        <x:v>Consumer</x:v>
      </x:c>
      <x:c r="F1683" t="str">
        <x:v>West</x:v>
      </x:c>
      <x:c r="G1683" t="str">
        <x:v>Office Supplies</x:v>
      </x:c>
      <x:c r="H1683" t="str">
        <x:v>Paper</x:v>
      </x:c>
      <x:c r="I1683" s="22" t="n">
        <x:v>17.94</x:v>
      </x:c>
      <x:c r="J1683" s="24" t="n">
        <x:v>3</x:v>
      </x:c>
      <x:c r="K1683" s="26" t="n">
        <x:v>0</x:v>
      </x:c>
      <x:c r="L1683" s="22" t="n">
        <x:v>8.790600000000001</x:v>
      </x:c>
      <x:c r="M1683" t="n">
        <x:v>2016</x:v>
      </x:c>
      <x:c r="N1683" s="20" t="n">
        <x:v>42491</x:v>
      </x:c>
    </x:row>
    <x:row r="1684" ht="18" customHeight="1">
      <x:c r="A1684" t="str">
        <x:v>CA-2014-122882</x:v>
      </x:c>
      <x:c r="B1684" s="18" t="n">
        <x:v>41889</x:v>
      </x:c>
      <x:c r="C1684" t="str">
        <x:v>SB-20290</x:v>
      </x:c>
      <x:c r="D1684" t="str">
        <x:v>Sean Braxton</x:v>
      </x:c>
      <x:c r="E1684" t="str">
        <x:v>Corporate</x:v>
      </x:c>
      <x:c r="F1684" t="str">
        <x:v>East</x:v>
      </x:c>
      <x:c r="G1684" t="str">
        <x:v>Office Supplies</x:v>
      </x:c>
      <x:c r="H1684" t="str">
        <x:v>Storage</x:v>
      </x:c>
      <x:c r="I1684" s="22" t="n">
        <x:v>64.784</x:v>
      </x:c>
      <x:c r="J1684" s="24" t="n">
        <x:v>1</x:v>
      </x:c>
      <x:c r="K1684" s="26" t="n">
        <x:v>0.2</x:v>
      </x:c>
      <x:c r="L1684" s="22" t="n">
        <x:v>-14.576399999999996</x:v>
      </x:c>
      <x:c r="M1684" t="n">
        <x:v>2014</x:v>
      </x:c>
      <x:c r="N1684" s="20" t="n">
        <x:v>41883</x:v>
      </x:c>
    </x:row>
    <x:row r="1685" ht="18" customHeight="1">
      <x:c r="A1685" t="str">
        <x:v>CA-2014-122882</x:v>
      </x:c>
      <x:c r="B1685" s="18" t="n">
        <x:v>41889</x:v>
      </x:c>
      <x:c r="C1685" t="str">
        <x:v>SB-20290</x:v>
      </x:c>
      <x:c r="D1685" t="str">
        <x:v>Sean Braxton</x:v>
      </x:c>
      <x:c r="E1685" t="str">
        <x:v>Corporate</x:v>
      </x:c>
      <x:c r="F1685" t="str">
        <x:v>East</x:v>
      </x:c>
      <x:c r="G1685" t="str">
        <x:v>Technology</x:v>
      </x:c>
      <x:c r="H1685" t="str">
        <x:v>Phones</x:v>
      </x:c>
      <x:c r="I1685" s="22" t="n">
        <x:v>32.382</x:v>
      </x:c>
      <x:c r="J1685" s="24" t="n">
        <x:v>3</x:v>
      </x:c>
      <x:c r="K1685" s="26" t="n">
        <x:v>0.4</x:v>
      </x:c>
      <x:c r="L1685" s="22" t="n">
        <x:v>4.317599999999999</x:v>
      </x:c>
      <x:c r="M1685" t="n">
        <x:v>2014</x:v>
      </x:c>
      <x:c r="N1685" s="20" t="n">
        <x:v>41883</x:v>
      </x:c>
    </x:row>
    <x:row r="1686" ht="18" customHeight="1">
      <x:c r="A1686" t="str">
        <x:v>CA-2014-122882</x:v>
      </x:c>
      <x:c r="B1686" s="18" t="n">
        <x:v>41889</x:v>
      </x:c>
      <x:c r="C1686" t="str">
        <x:v>SB-20290</x:v>
      </x:c>
      <x:c r="D1686" t="str">
        <x:v>Sean Braxton</x:v>
      </x:c>
      <x:c r="E1686" t="str">
        <x:v>Corporate</x:v>
      </x:c>
      <x:c r="F1686" t="str">
        <x:v>East</x:v>
      </x:c>
      <x:c r="G1686" t="str">
        <x:v>Furniture</x:v>
      </x:c>
      <x:c r="H1686" t="str">
        <x:v>Furnishings</x:v>
      </x:c>
      <x:c r="I1686" s="22" t="n">
        <x:v>42.368</x:v>
      </x:c>
      <x:c r="J1686" s="24" t="n">
        <x:v>2</x:v>
      </x:c>
      <x:c r="K1686" s="26" t="n">
        <x:v>0.2</x:v>
      </x:c>
      <x:c r="L1686" s="22" t="n">
        <x:v>8.473599999999996</x:v>
      </x:c>
      <x:c r="M1686" t="n">
        <x:v>2014</x:v>
      </x:c>
      <x:c r="N1686" s="20" t="n">
        <x:v>41883</x:v>
      </x:c>
    </x:row>
    <x:row r="1687" ht="18" customHeight="1">
      <x:c r="A1687" t="str">
        <x:v>CA-2014-122882</x:v>
      </x:c>
      <x:c r="B1687" s="18" t="n">
        <x:v>41889</x:v>
      </x:c>
      <x:c r="C1687" t="str">
        <x:v>SB-20290</x:v>
      </x:c>
      <x:c r="D1687" t="str">
        <x:v>Sean Braxton</x:v>
      </x:c>
      <x:c r="E1687" t="str">
        <x:v>Corporate</x:v>
      </x:c>
      <x:c r="F1687" t="str">
        <x:v>East</x:v>
      </x:c>
      <x:c r="G1687" t="str">
        <x:v>Technology</x:v>
      </x:c>
      <x:c r="H1687" t="str">
        <x:v>Machines</x:v>
      </x:c>
      <x:c r="I1687" s="22" t="n">
        <x:v>399.54</x:v>
      </x:c>
      <x:c r="J1687" s="24" t="n">
        <x:v>4</x:v>
      </x:c>
      <x:c r="K1687" s="26" t="n">
        <x:v>0.7</x:v>
      </x:c>
      <x:c r="L1687" s="22" t="n">
        <x:v>-559.3559999999999</x:v>
      </x:c>
      <x:c r="M1687" t="n">
        <x:v>2014</x:v>
      </x:c>
      <x:c r="N1687" s="20" t="n">
        <x:v>41883</x:v>
      </x:c>
    </x:row>
    <x:row r="1688" ht="18" customHeight="1">
      <x:c r="A1688" t="str">
        <x:v>US-2016-101497</x:v>
      </x:c>
      <x:c r="B1688" s="18" t="n">
        <x:v>42642</x:v>
      </x:c>
      <x:c r="C1688" t="str">
        <x:v>PS-18760</x:v>
      </x:c>
      <x:c r="D1688" t="str">
        <x:v>Pamela Stobb</x:v>
      </x:c>
      <x:c r="E1688" t="str">
        <x:v>Consumer</x:v>
      </x:c>
      <x:c r="F1688" t="str">
        <x:v>West</x:v>
      </x:c>
      <x:c r="G1688" t="str">
        <x:v>Office Supplies</x:v>
      </x:c>
      <x:c r="H1688" t="str">
        <x:v>Paper</x:v>
      </x:c>
      <x:c r="I1688" s="22" t="n">
        <x:v>18.97</x:v>
      </x:c>
      <x:c r="J1688" s="24" t="n">
        <x:v>1</x:v>
      </x:c>
      <x:c r="K1688" s="26" t="n">
        <x:v>0</x:v>
      </x:c>
      <x:c r="L1688" s="22" t="n">
        <x:v>9.105599999999999</x:v>
      </x:c>
      <x:c r="M1688" t="n">
        <x:v>2016</x:v>
      </x:c>
      <x:c r="N1688" s="20" t="n">
        <x:v>42614</x:v>
      </x:c>
    </x:row>
    <x:row r="1689" ht="18" customHeight="1">
      <x:c r="A1689" t="str">
        <x:v>CA-2016-147585</x:v>
      </x:c>
      <x:c r="B1689" s="18" t="n">
        <x:v>42681</x:v>
      </x:c>
      <x:c r="C1689" t="str">
        <x:v>CB-12535</x:v>
      </x:c>
      <x:c r="D1689" t="str">
        <x:v>Claudia Bergmann</x:v>
      </x:c>
      <x:c r="E1689" t="str">
        <x:v>Corporate</x:v>
      </x:c>
      <x:c r="F1689" t="str">
        <x:v>West</x:v>
      </x:c>
      <x:c r="G1689" t="str">
        <x:v>Furniture</x:v>
      </x:c>
      <x:c r="H1689" t="str">
        <x:v>Furnishings</x:v>
      </x:c>
      <x:c r="I1689" s="22" t="n">
        <x:v>14.82</x:v>
      </x:c>
      <x:c r="J1689" s="24" t="n">
        <x:v>3</x:v>
      </x:c>
      <x:c r="K1689" s="26" t="n">
        <x:v>0</x:v>
      </x:c>
      <x:c r="L1689" s="22" t="n">
        <x:v>6.224400000000001</x:v>
      </x:c>
      <x:c r="M1689" t="n">
        <x:v>2016</x:v>
      </x:c>
      <x:c r="N1689" s="20" t="n">
        <x:v>42675</x:v>
      </x:c>
    </x:row>
    <x:row r="1690" ht="18" customHeight="1">
      <x:c r="A1690" t="str">
        <x:v>CA-2017-149489</x:v>
      </x:c>
      <x:c r="B1690" s="18" t="n">
        <x:v>42849</x:v>
      </x:c>
      <x:c r="C1690" t="str">
        <x:v>DK-12835</x:v>
      </x:c>
      <x:c r="D1690" t="str">
        <x:v>Damala Kotsonis</x:v>
      </x:c>
      <x:c r="E1690" t="str">
        <x:v>Corporate</x:v>
      </x:c>
      <x:c r="F1690" t="str">
        <x:v>East</x:v>
      </x:c>
      <x:c r="G1690" t="str">
        <x:v>Office Supplies</x:v>
      </x:c>
      <x:c r="H1690" t="str">
        <x:v>Appliances</x:v>
      </x:c>
      <x:c r="I1690" s="22" t="n">
        <x:v>99.28</x:v>
      </x:c>
      <x:c r="J1690" s="24" t="n">
        <x:v>2</x:v>
      </x:c>
      <x:c r="K1690" s="26" t="n">
        <x:v>0.2</x:v>
      </x:c>
      <x:c r="L1690" s="22" t="n">
        <x:v>12.40999999999999</x:v>
      </x:c>
      <x:c r="M1690" t="n">
        <x:v>2017</x:v>
      </x:c>
      <x:c r="N1690" s="20" t="n">
        <x:v>42826</x:v>
      </x:c>
    </x:row>
    <x:row r="1691" ht="18" customHeight="1">
      <x:c r="A1691" t="str">
        <x:v>CA-2017-149489</x:v>
      </x:c>
      <x:c r="B1691" s="18" t="n">
        <x:v>42849</x:v>
      </x:c>
      <x:c r="C1691" t="str">
        <x:v>DK-12835</x:v>
      </x:c>
      <x:c r="D1691" t="str">
        <x:v>Damala Kotsonis</x:v>
      </x:c>
      <x:c r="E1691" t="str">
        <x:v>Corporate</x:v>
      </x:c>
      <x:c r="F1691" t="str">
        <x:v>East</x:v>
      </x:c>
      <x:c r="G1691" t="str">
        <x:v>Office Supplies</x:v>
      </x:c>
      <x:c r="H1691" t="str">
        <x:v>Binders</x:v>
      </x:c>
      <x:c r="I1691" s="22" t="n">
        <x:v>1.1880000000000002</x:v>
      </x:c>
      <x:c r="J1691" s="24" t="n">
        <x:v>2</x:v>
      </x:c>
      <x:c r="K1691" s="26" t="n">
        <x:v>0.7</x:v>
      </x:c>
      <x:c r="L1691" s="22" t="n">
        <x:v>-0.9899999999999998</x:v>
      </x:c>
      <x:c r="M1691" t="n">
        <x:v>2017</x:v>
      </x:c>
      <x:c r="N1691" s="20" t="n">
        <x:v>42826</x:v>
      </x:c>
    </x:row>
    <x:row r="1692" ht="18" customHeight="1">
      <x:c r="A1692" t="str">
        <x:v>CA-2017-149489</x:v>
      </x:c>
      <x:c r="B1692" s="18" t="n">
        <x:v>42849</x:v>
      </x:c>
      <x:c r="C1692" t="str">
        <x:v>DK-12835</x:v>
      </x:c>
      <x:c r="D1692" t="str">
        <x:v>Damala Kotsonis</x:v>
      </x:c>
      <x:c r="E1692" t="str">
        <x:v>Corporate</x:v>
      </x:c>
      <x:c r="F1692" t="str">
        <x:v>East</x:v>
      </x:c>
      <x:c r="G1692" t="str">
        <x:v>Office Supplies</x:v>
      </x:c>
      <x:c r="H1692" t="str">
        <x:v>Binders</x:v>
      </x:c>
      <x:c r="I1692" s="22" t="n">
        <x:v>7.518000000000001</x:v>
      </x:c>
      <x:c r="J1692" s="24" t="n">
        <x:v>2</x:v>
      </x:c>
      <x:c r="K1692" s="26" t="n">
        <x:v>0.7</x:v>
      </x:c>
      <x:c r="L1692" s="22" t="n">
        <x:v>-5.7638</x:v>
      </x:c>
      <x:c r="M1692" t="n">
        <x:v>2017</x:v>
      </x:c>
      <x:c r="N1692" s="20" t="n">
        <x:v>42826</x:v>
      </x:c>
    </x:row>
    <x:row r="1693" ht="18" customHeight="1">
      <x:c r="A1693" t="str">
        <x:v>CA-2017-143798</x:v>
      </x:c>
      <x:c r="B1693" s="18" t="n">
        <x:v>43079</x:v>
      </x:c>
      <x:c r="C1693" t="str">
        <x:v>AW-10840</x:v>
      </x:c>
      <x:c r="D1693" t="str">
        <x:v>Anthony Witt</x:v>
      </x:c>
      <x:c r="E1693" t="str">
        <x:v>Consumer</x:v>
      </x:c>
      <x:c r="F1693" t="str">
        <x:v>East</x:v>
      </x:c>
      <x:c r="G1693" t="str">
        <x:v>Office Supplies</x:v>
      </x:c>
      <x:c r="H1693" t="str">
        <x:v>Paper</x:v>
      </x:c>
      <x:c r="I1693" s="22" t="n">
        <x:v>10.368000000000002</x:v>
      </x:c>
      <x:c r="J1693" s="24" t="n">
        <x:v>2</x:v>
      </x:c>
      <x:c r="K1693" s="26" t="n">
        <x:v>0.2</x:v>
      </x:c>
      <x:c r="L1693" s="22" t="n">
        <x:v>3.6288</x:v>
      </x:c>
      <x:c r="M1693" t="n">
        <x:v>2017</x:v>
      </x:c>
      <x:c r="N1693" s="20" t="n">
        <x:v>43070</x:v>
      </x:c>
    </x:row>
    <x:row r="1694" ht="18" customHeight="1">
      <x:c r="A1694" t="str">
        <x:v>CA-2017-143798</x:v>
      </x:c>
      <x:c r="B1694" s="18" t="n">
        <x:v>43079</x:v>
      </x:c>
      <x:c r="C1694" t="str">
        <x:v>AW-10840</x:v>
      </x:c>
      <x:c r="D1694" t="str">
        <x:v>Anthony Witt</x:v>
      </x:c>
      <x:c r="E1694" t="str">
        <x:v>Consumer</x:v>
      </x:c>
      <x:c r="F1694" t="str">
        <x:v>East</x:v>
      </x:c>
      <x:c r="G1694" t="str">
        <x:v>Furniture</x:v>
      </x:c>
      <x:c r="H1694" t="str">
        <x:v>Furnishings</x:v>
      </x:c>
      <x:c r="I1694" s="22" t="n">
        <x:v>310.88000000000005</x:v>
      </x:c>
      <x:c r="J1694" s="24" t="n">
        <x:v>2</x:v>
      </x:c>
      <x:c r="K1694" s="26" t="n">
        <x:v>0.2</x:v>
      </x:c>
      <x:c r="L1694" s="22" t="n">
        <x:v>23.31599999999999</x:v>
      </x:c>
      <x:c r="M1694" t="n">
        <x:v>2017</x:v>
      </x:c>
      <x:c r="N1694" s="20" t="n">
        <x:v>43070</x:v>
      </x:c>
    </x:row>
    <x:row r="1695" ht="18" customHeight="1">
      <x:c r="A1695" t="str">
        <x:v>CA-2014-142839</x:v>
      </x:c>
      <x:c r="B1695" s="18" t="n">
        <x:v>41867</x:v>
      </x:c>
      <x:c r="C1695" t="str">
        <x:v>TS-21610</x:v>
      </x:c>
      <x:c r="D1695" t="str">
        <x:v>Troy Staebel</x:v>
      </x:c>
      <x:c r="E1695" t="str">
        <x:v>Consumer</x:v>
      </x:c>
      <x:c r="F1695" t="str">
        <x:v>East</x:v>
      </x:c>
      <x:c r="G1695" t="str">
        <x:v>Furniture</x:v>
      </x:c>
      <x:c r="H1695" t="str">
        <x:v>Tables</x:v>
      </x:c>
      <x:c r="I1695" s="22" t="n">
        <x:v>853.0919999999999</x:v>
      </x:c>
      <x:c r="J1695" s="24" t="n">
        <x:v>6</x:v>
      </x:c>
      <x:c r="K1695" s="26" t="n">
        <x:v>0.4</x:v>
      </x:c>
      <x:c r="L1695" s="22" t="n">
        <x:v>-227.49120000000016</x:v>
      </x:c>
      <x:c r="M1695" t="n">
        <x:v>2014</x:v>
      </x:c>
      <x:c r="N1695" s="20" t="n">
        <x:v>41852</x:v>
      </x:c>
    </x:row>
    <x:row r="1696" ht="18" customHeight="1">
      <x:c r="A1696" t="str">
        <x:v>CA-2017-129833</x:v>
      </x:c>
      <x:c r="B1696" s="18" t="n">
        <x:v>43078</x:v>
      </x:c>
      <x:c r="C1696" t="str">
        <x:v>HF-14995</x:v>
      </x:c>
      <x:c r="D1696" t="str">
        <x:v>Herbert Flentye</x:v>
      </x:c>
      <x:c r="E1696" t="str">
        <x:v>Consumer</x:v>
      </x:c>
      <x:c r="F1696" t="str">
        <x:v>Central</x:v>
      </x:c>
      <x:c r="G1696" t="str">
        <x:v>Office Supplies</x:v>
      </x:c>
      <x:c r="H1696" t="str">
        <x:v>Paper</x:v>
      </x:c>
      <x:c r="I1696" s="22" t="n">
        <x:v>33.45</x:v>
      </x:c>
      <x:c r="J1696" s="24" t="n">
        <x:v>5</x:v>
      </x:c>
      <x:c r="K1696" s="26" t="n">
        <x:v>0</x:v>
      </x:c>
      <x:c r="L1696" s="22" t="n">
        <x:v>15.387</x:v>
      </x:c>
      <x:c r="M1696" t="n">
        <x:v>2017</x:v>
      </x:c>
      <x:c r="N1696" s="20" t="n">
        <x:v>43070</x:v>
      </x:c>
    </x:row>
    <x:row r="1697" ht="18" customHeight="1">
      <x:c r="A1697" t="str">
        <x:v>CA-2017-129833</x:v>
      </x:c>
      <x:c r="B1697" s="18" t="n">
        <x:v>43078</x:v>
      </x:c>
      <x:c r="C1697" t="str">
        <x:v>HF-14995</x:v>
      </x:c>
      <x:c r="D1697" t="str">
        <x:v>Herbert Flentye</x:v>
      </x:c>
      <x:c r="E1697" t="str">
        <x:v>Consumer</x:v>
      </x:c>
      <x:c r="F1697" t="str">
        <x:v>Central</x:v>
      </x:c>
      <x:c r="G1697" t="str">
        <x:v>Office Supplies</x:v>
      </x:c>
      <x:c r="H1697" t="str">
        <x:v>Binders</x:v>
      </x:c>
      <x:c r="I1697" s="22" t="n">
        <x:v>10.4</x:v>
      </x:c>
      <x:c r="J1697" s="24" t="n">
        <x:v>5</x:v>
      </x:c>
      <x:c r="K1697" s="26" t="n">
        <x:v>0</x:v>
      </x:c>
      <x:c r="L1697" s="22" t="n">
        <x:v>5.096</x:v>
      </x:c>
      <x:c r="M1697" t="n">
        <x:v>2017</x:v>
      </x:c>
      <x:c r="N1697" s="20" t="n">
        <x:v>43070</x:v>
      </x:c>
    </x:row>
    <x:row r="1698" ht="18" customHeight="1">
      <x:c r="A1698" t="str">
        <x:v>US-2016-154361</x:v>
      </x:c>
      <x:c r="B1698" s="18" t="n">
        <x:v>42443</x:v>
      </x:c>
      <x:c r="C1698" t="str">
        <x:v>HZ-14950</x:v>
      </x:c>
      <x:c r="D1698" t="str">
        <x:v>Henia Zydlo</x:v>
      </x:c>
      <x:c r="E1698" t="str">
        <x:v>Consumer</x:v>
      </x:c>
      <x:c r="F1698" t="str">
        <x:v>East</x:v>
      </x:c>
      <x:c r="G1698" t="str">
        <x:v>Furniture</x:v>
      </x:c>
      <x:c r="H1698" t="str">
        <x:v>Furnishings</x:v>
      </x:c>
      <x:c r="I1698" s="22" t="n">
        <x:v>21.880000000000003</x:v>
      </x:c>
      <x:c r="J1698" s="24" t="n">
        <x:v>5</x:v>
      </x:c>
      <x:c r="K1698" s="26" t="n">
        <x:v>0.2</x:v>
      </x:c>
      <x:c r="L1698" s="22" t="n">
        <x:v>6.2905</x:v>
      </x:c>
      <x:c r="M1698" t="n">
        <x:v>2016</x:v>
      </x:c>
      <x:c r="N1698" s="20" t="n">
        <x:v>42430</x:v>
      </x:c>
    </x:row>
    <x:row r="1699" ht="18" customHeight="1">
      <x:c r="A1699" t="str">
        <x:v>US-2016-158708</x:v>
      </x:c>
      <x:c r="B1699" s="18" t="n">
        <x:v>42547</x:v>
      </x:c>
      <x:c r="C1699" t="str">
        <x:v>AB-10255</x:v>
      </x:c>
      <x:c r="D1699" t="str">
        <x:v>Alejandro Ballentine</x:v>
      </x:c>
      <x:c r="E1699" t="str">
        <x:v>Home Office</x:v>
      </x:c>
      <x:c r="F1699" t="str">
        <x:v>Central</x:v>
      </x:c>
      <x:c r="G1699" t="str">
        <x:v>Technology</x:v>
      </x:c>
      <x:c r="H1699" t="str">
        <x:v>Accessories</x:v>
      </x:c>
      <x:c r="I1699" s="22" t="n">
        <x:v>13.616</x:v>
      </x:c>
      <x:c r="J1699" s="24" t="n">
        <x:v>2</x:v>
      </x:c>
      <x:c r="K1699" s="26" t="n">
        <x:v>0.2</x:v>
      </x:c>
      <x:c r="L1699" s="22" t="n">
        <x:v>3.574200000000001</x:v>
      </x:c>
      <x:c r="M1699" t="n">
        <x:v>2016</x:v>
      </x:c>
      <x:c r="N1699" s="20" t="n">
        <x:v>42522</x:v>
      </x:c>
    </x:row>
    <x:row r="1700" ht="18" customHeight="1">
      <x:c r="A1700" t="str">
        <x:v>CA-2015-156335</x:v>
      </x:c>
      <x:c r="B1700" s="18" t="n">
        <x:v>42272</x:v>
      </x:c>
      <x:c r="C1700" t="str">
        <x:v>PO-19195</x:v>
      </x:c>
      <x:c r="D1700" t="str">
        <x:v>Phillina Ober</x:v>
      </x:c>
      <x:c r="E1700" t="str">
        <x:v>Home Office</x:v>
      </x:c>
      <x:c r="F1700" t="str">
        <x:v>East</x:v>
      </x:c>
      <x:c r="G1700" t="str">
        <x:v>Technology</x:v>
      </x:c>
      <x:c r="H1700" t="str">
        <x:v>Accessories</x:v>
      </x:c>
      <x:c r="I1700" s="22" t="n">
        <x:v>63.96</x:v>
      </x:c>
      <x:c r="J1700" s="24" t="n">
        <x:v>4</x:v>
      </x:c>
      <x:c r="K1700" s="26" t="n">
        <x:v>0</x:v>
      </x:c>
      <x:c r="L1700" s="22" t="n">
        <x:v>19.827599999999997</x:v>
      </x:c>
      <x:c r="M1700" t="n">
        <x:v>2015</x:v>
      </x:c>
      <x:c r="N1700" s="20" t="n">
        <x:v>42248</x:v>
      </x:c>
    </x:row>
    <x:row r="1701" ht="18" customHeight="1">
      <x:c r="A1701" t="str">
        <x:v>CA-2015-156335</x:v>
      </x:c>
      <x:c r="B1701" s="18" t="n">
        <x:v>42272</x:v>
      </x:c>
      <x:c r="C1701" t="str">
        <x:v>PO-19195</x:v>
      </x:c>
      <x:c r="D1701" t="str">
        <x:v>Phillina Ober</x:v>
      </x:c>
      <x:c r="E1701" t="str">
        <x:v>Home Office</x:v>
      </x:c>
      <x:c r="F1701" t="str">
        <x:v>East</x:v>
      </x:c>
      <x:c r="G1701" t="str">
        <x:v>Office Supplies</x:v>
      </x:c>
      <x:c r="H1701" t="str">
        <x:v>Binders</x:v>
      </x:c>
      <x:c r="I1701" s="22" t="n">
        <x:v>14.46</x:v>
      </x:c>
      <x:c r="J1701" s="24" t="n">
        <x:v>3</x:v>
      </x:c>
      <x:c r="K1701" s="26" t="n">
        <x:v>0</x:v>
      </x:c>
      <x:c r="L1701" s="22" t="n">
        <x:v>7.0854</x:v>
      </x:c>
      <x:c r="M1701" t="n">
        <x:v>2015</x:v>
      </x:c>
      <x:c r="N1701" s="20" t="n">
        <x:v>42248</x:v>
      </x:c>
    </x:row>
    <x:row r="1702" ht="18" customHeight="1">
      <x:c r="A1702" t="str">
        <x:v>CA-2015-156335</x:v>
      </x:c>
      <x:c r="B1702" s="18" t="n">
        <x:v>42272</x:v>
      </x:c>
      <x:c r="C1702" t="str">
        <x:v>PO-19195</x:v>
      </x:c>
      <x:c r="D1702" t="str">
        <x:v>Phillina Ober</x:v>
      </x:c>
      <x:c r="E1702" t="str">
        <x:v>Home Office</x:v>
      </x:c>
      <x:c r="F1702" t="str">
        <x:v>East</x:v>
      </x:c>
      <x:c r="G1702" t="str">
        <x:v>Technology</x:v>
      </x:c>
      <x:c r="H1702" t="str">
        <x:v>Phones</x:v>
      </x:c>
      <x:c r="I1702" s="22" t="n">
        <x:v>104.98</x:v>
      </x:c>
      <x:c r="J1702" s="24" t="n">
        <x:v>2</x:v>
      </x:c>
      <x:c r="K1702" s="26" t="n">
        <x:v>0</x:v>
      </x:c>
      <x:c r="L1702" s="22" t="n">
        <x:v>52.49</x:v>
      </x:c>
      <x:c r="M1702" t="n">
        <x:v>2015</x:v>
      </x:c>
      <x:c r="N1702" s="20" t="n">
        <x:v>42248</x:v>
      </x:c>
    </x:row>
    <x:row r="1703" ht="18" customHeight="1">
      <x:c r="A1703" t="str">
        <x:v>CA-2015-148376</x:v>
      </x:c>
      <x:c r="B1703" s="18" t="n">
        <x:v>42365</x:v>
      </x:c>
      <x:c r="C1703" t="str">
        <x:v>AG-10900</x:v>
      </x:c>
      <x:c r="D1703" t="str">
        <x:v>Arthur Gainer</x:v>
      </x:c>
      <x:c r="E1703" t="str">
        <x:v>Consumer</x:v>
      </x:c>
      <x:c r="F1703" t="str">
        <x:v>West</x:v>
      </x:c>
      <x:c r="G1703" t="str">
        <x:v>Office Supplies</x:v>
      </x:c>
      <x:c r="H1703" t="str">
        <x:v>Appliances</x:v>
      </x:c>
      <x:c r="I1703" s="22" t="n">
        <x:v>106.96</x:v>
      </x:c>
      <x:c r="J1703" s="24" t="n">
        <x:v>2</x:v>
      </x:c>
      <x:c r="K1703" s="26" t="n">
        <x:v>0</x:v>
      </x:c>
      <x:c r="L1703" s="22" t="n">
        <x:v>31.018399999999986</x:v>
      </x:c>
      <x:c r="M1703" t="n">
        <x:v>2015</x:v>
      </x:c>
      <x:c r="N1703" s="20" t="n">
        <x:v>42339</x:v>
      </x:c>
    </x:row>
    <x:row r="1704" ht="18" customHeight="1">
      <x:c r="A1704" t="str">
        <x:v>CA-2015-148376</x:v>
      </x:c>
      <x:c r="B1704" s="18" t="n">
        <x:v>42365</x:v>
      </x:c>
      <x:c r="C1704" t="str">
        <x:v>AG-10900</x:v>
      </x:c>
      <x:c r="D1704" t="str">
        <x:v>Arthur Gainer</x:v>
      </x:c>
      <x:c r="E1704" t="str">
        <x:v>Consumer</x:v>
      </x:c>
      <x:c r="F1704" t="str">
        <x:v>West</x:v>
      </x:c>
      <x:c r="G1704" t="str">
        <x:v>Office Supplies</x:v>
      </x:c>
      <x:c r="H1704" t="str">
        <x:v>Labels</x:v>
      </x:c>
      <x:c r="I1704" s="22" t="n">
        <x:v>21.560000000000002</x:v>
      </x:c>
      <x:c r="J1704" s="24" t="n">
        <x:v>7</x:v>
      </x:c>
      <x:c r="K1704" s="26" t="n">
        <x:v>0</x:v>
      </x:c>
      <x:c r="L1704" s="22" t="n">
        <x:v>10.348799999999999</x:v>
      </x:c>
      <x:c r="M1704" t="n">
        <x:v>2015</x:v>
      </x:c>
      <x:c r="N1704" s="20" t="n">
        <x:v>42339</x:v>
      </x:c>
    </x:row>
    <x:row r="1705" ht="18" customHeight="1">
      <x:c r="A1705" t="str">
        <x:v>CA-2014-135657</x:v>
      </x:c>
      <x:c r="B1705" s="18" t="n">
        <x:v>41793</x:v>
      </x:c>
      <x:c r="C1705" t="str">
        <x:v>SC-20725</x:v>
      </x:c>
      <x:c r="D1705" t="str">
        <x:v>Steven Cartwright</x:v>
      </x:c>
      <x:c r="E1705" t="str">
        <x:v>Consumer</x:v>
      </x:c>
      <x:c r="F1705" t="str">
        <x:v>West</x:v>
      </x:c>
      <x:c r="G1705" t="str">
        <x:v>Furniture</x:v>
      </x:c>
      <x:c r="H1705" t="str">
        <x:v>Tables</x:v>
      </x:c>
      <x:c r="I1705" s="22" t="n">
        <x:v>515.88</x:v>
      </x:c>
      <x:c r="J1705" s="24" t="n">
        <x:v>6</x:v>
      </x:c>
      <x:c r="K1705" s="26" t="n">
        <x:v>0</x:v>
      </x:c>
      <x:c r="L1705" s="22" t="n">
        <x:v>113.49359999999999</x:v>
      </x:c>
      <x:c r="M1705" t="n">
        <x:v>2014</x:v>
      </x:c>
      <x:c r="N1705" s="20" t="n">
        <x:v>41791</x:v>
      </x:c>
    </x:row>
    <x:row r="1706" ht="18" customHeight="1">
      <x:c r="A1706" t="str">
        <x:v>CA-2015-114069</x:v>
      </x:c>
      <x:c r="B1706" s="18" t="n">
        <x:v>42198</x:v>
      </x:c>
      <x:c r="C1706" t="str">
        <x:v>ND-18370</x:v>
      </x:c>
      <x:c r="D1706" t="str">
        <x:v>Natalie DeCherney</x:v>
      </x:c>
      <x:c r="E1706" t="str">
        <x:v>Consumer</x:v>
      </x:c>
      <x:c r="F1706" t="str">
        <x:v>East</x:v>
      </x:c>
      <x:c r="G1706" t="str">
        <x:v>Office Supplies</x:v>
      </x:c>
      <x:c r="H1706" t="str">
        <x:v>Binders</x:v>
      </x:c>
      <x:c r="I1706" s="22" t="n">
        <x:v>11.808</x:v>
      </x:c>
      <x:c r="J1706" s="24" t="n">
        <x:v>2</x:v>
      </x:c>
      <x:c r="K1706" s="26" t="n">
        <x:v>0.2</x:v>
      </x:c>
      <x:c r="L1706" s="22" t="n">
        <x:v>4.2804</x:v>
      </x:c>
      <x:c r="M1706" t="n">
        <x:v>2015</x:v>
      </x:c>
      <x:c r="N1706" s="20" t="n">
        <x:v>42186</x:v>
      </x:c>
    </x:row>
    <x:row r="1707" ht="18" customHeight="1">
      <x:c r="A1707" t="str">
        <x:v>CA-2015-114069</x:v>
      </x:c>
      <x:c r="B1707" s="18" t="n">
        <x:v>42198</x:v>
      </x:c>
      <x:c r="C1707" t="str">
        <x:v>ND-18370</x:v>
      </x:c>
      <x:c r="D1707" t="str">
        <x:v>Natalie DeCherney</x:v>
      </x:c>
      <x:c r="E1707" t="str">
        <x:v>Consumer</x:v>
      </x:c>
      <x:c r="F1707" t="str">
        <x:v>East</x:v>
      </x:c>
      <x:c r="G1707" t="str">
        <x:v>Furniture</x:v>
      </x:c>
      <x:c r="H1707" t="str">
        <x:v>Chairs</x:v>
      </x:c>
      <x:c r="I1707" s="22" t="n">
        <x:v>1931.04</x:v>
      </x:c>
      <x:c r="J1707" s="24" t="n">
        <x:v>9</x:v>
      </x:c>
      <x:c r="K1707" s="26" t="n">
        <x:v>0.1</x:v>
      </x:c>
      <x:c r="L1707" s="22" t="n">
        <x:v>321.8399999999999</x:v>
      </x:c>
      <x:c r="M1707" t="n">
        <x:v>2015</x:v>
      </x:c>
      <x:c r="N1707" s="20" t="n">
        <x:v>42186</x:v>
      </x:c>
    </x:row>
    <x:row r="1708" ht="18" customHeight="1">
      <x:c r="A1708" t="str">
        <x:v>CA-2015-114069</x:v>
      </x:c>
      <x:c r="B1708" s="18" t="n">
        <x:v>42198</x:v>
      </x:c>
      <x:c r="C1708" t="str">
        <x:v>ND-18370</x:v>
      </x:c>
      <x:c r="D1708" t="str">
        <x:v>Natalie DeCherney</x:v>
      </x:c>
      <x:c r="E1708" t="str">
        <x:v>Consumer</x:v>
      </x:c>
      <x:c r="F1708" t="str">
        <x:v>East</x:v>
      </x:c>
      <x:c r="G1708" t="str">
        <x:v>Office Supplies</x:v>
      </x:c>
      <x:c r="H1708" t="str">
        <x:v>Paper</x:v>
      </x:c>
      <x:c r="I1708" s="22" t="n">
        <x:v>9.96</x:v>
      </x:c>
      <x:c r="J1708" s="24" t="n">
        <x:v>2</x:v>
      </x:c>
      <x:c r="K1708" s="26" t="n">
        <x:v>0</x:v>
      </x:c>
      <x:c r="L1708" s="22" t="n">
        <x:v>4.6812000000000005</x:v>
      </x:c>
      <x:c r="M1708" t="n">
        <x:v>2015</x:v>
      </x:c>
      <x:c r="N1708" s="20" t="n">
        <x:v>42186</x:v>
      </x:c>
    </x:row>
    <x:row r="1709" ht="18" customHeight="1">
      <x:c r="A1709" t="str">
        <x:v>CA-2014-139857</x:v>
      </x:c>
      <x:c r="B1709" s="18" t="n">
        <x:v>41672</x:v>
      </x:c>
      <x:c r="C1709" t="str">
        <x:v>CD-12790</x:v>
      </x:c>
      <x:c r="D1709" t="str">
        <x:v>Cynthia Delaney</x:v>
      </x:c>
      <x:c r="E1709" t="str">
        <x:v>Home Office</x:v>
      </x:c>
      <x:c r="F1709" t="str">
        <x:v>West</x:v>
      </x:c>
      <x:c r="G1709" t="str">
        <x:v>Office Supplies</x:v>
      </x:c>
      <x:c r="H1709" t="str">
        <x:v>Fasteners</x:v>
      </x:c>
      <x:c r="I1709" s="22" t="n">
        <x:v>12.350000000000001</x:v>
      </x:c>
      <x:c r="J1709" s="24" t="n">
        <x:v>5</x:v>
      </x:c>
      <x:c r="K1709" s="26" t="n">
        <x:v>0</x:v>
      </x:c>
      <x:c r="L1709" s="22" t="n">
        <x:v>5.8045</x:v>
      </x:c>
      <x:c r="M1709" t="n">
        <x:v>2014</x:v>
      </x:c>
      <x:c r="N1709" s="20" t="n">
        <x:v>41671</x:v>
      </x:c>
    </x:row>
    <x:row r="1710" ht="18" customHeight="1">
      <x:c r="A1710" t="str">
        <x:v>CA-2016-106306</x:v>
      </x:c>
      <x:c r="B1710" s="18" t="n">
        <x:v>42437</x:v>
      </x:c>
      <x:c r="C1710" t="str">
        <x:v>PG-18820</x:v>
      </x:c>
      <x:c r="D1710" t="str">
        <x:v>Patrick Gardner</x:v>
      </x:c>
      <x:c r="E1710" t="str">
        <x:v>Consumer</x:v>
      </x:c>
      <x:c r="F1710" t="str">
        <x:v>West</x:v>
      </x:c>
      <x:c r="G1710" t="str">
        <x:v>Office Supplies</x:v>
      </x:c>
      <x:c r="H1710" t="str">
        <x:v>Binders</x:v>
      </x:c>
      <x:c r="I1710" s="22" t="n">
        <x:v>9.702000000000002</x:v>
      </x:c>
      <x:c r="J1710" s="24" t="n">
        <x:v>3</x:v>
      </x:c>
      <x:c r="K1710" s="26" t="n">
        <x:v>0.7</x:v>
      </x:c>
      <x:c r="L1710" s="22" t="n">
        <x:v>-7.114799999999999</x:v>
      </x:c>
      <x:c r="M1710" t="n">
        <x:v>2016</x:v>
      </x:c>
      <x:c r="N1710" s="20" t="n">
        <x:v>42430</x:v>
      </x:c>
    </x:row>
    <x:row r="1711" ht="18" customHeight="1">
      <x:c r="A1711" t="str">
        <x:v>CA-2015-100545</x:v>
      </x:c>
      <x:c r="B1711" s="18" t="n">
        <x:v>42330</x:v>
      </x:c>
      <x:c r="C1711" t="str">
        <x:v>IM-15070</x:v>
      </x:c>
      <x:c r="D1711" t="str">
        <x:v>Irene Maddox</x:v>
      </x:c>
      <x:c r="E1711" t="str">
        <x:v>Consumer</x:v>
      </x:c>
      <x:c r="F1711" t="str">
        <x:v>East</x:v>
      </x:c>
      <x:c r="G1711" t="str">
        <x:v>Office Supplies</x:v>
      </x:c>
      <x:c r="H1711" t="str">
        <x:v>Binders</x:v>
      </x:c>
      <x:c r="I1711" s="22" t="n">
        <x:v>11.610000000000003</x:v>
      </x:c>
      <x:c r="J1711" s="24" t="n">
        <x:v>2</x:v>
      </x:c>
      <x:c r="K1711" s="26" t="n">
        <x:v>0.7</x:v>
      </x:c>
      <x:c r="L1711" s="22" t="n">
        <x:v>-9.288</x:v>
      </x:c>
      <x:c r="M1711" t="n">
        <x:v>2015</x:v>
      </x:c>
      <x:c r="N1711" s="20" t="n">
        <x:v>42309</x:v>
      </x:c>
    </x:row>
    <x:row r="1712" ht="18" customHeight="1">
      <x:c r="A1712" t="str">
        <x:v>CA-2017-123491</x:v>
      </x:c>
      <x:c r="B1712" s="18" t="n">
        <x:v>43038</x:v>
      </x:c>
      <x:c r="C1712" t="str">
        <x:v>JK-15205</x:v>
      </x:c>
      <x:c r="D1712" t="str">
        <x:v>Jamie Kunitz</x:v>
      </x:c>
      <x:c r="E1712" t="str">
        <x:v>Consumer</x:v>
      </x:c>
      <x:c r="F1712" t="str">
        <x:v>West</x:v>
      </x:c>
      <x:c r="G1712" t="str">
        <x:v>Office Supplies</x:v>
      </x:c>
      <x:c r="H1712" t="str">
        <x:v>Labels</x:v>
      </x:c>
      <x:c r="I1712" s="22" t="n">
        <x:v>43.86</x:v>
      </x:c>
      <x:c r="J1712" s="24" t="n">
        <x:v>6</x:v>
      </x:c>
      <x:c r="K1712" s="26" t="n">
        <x:v>0</x:v>
      </x:c>
      <x:c r="L1712" s="22" t="n">
        <x:v>20.614199999999997</x:v>
      </x:c>
      <x:c r="M1712" t="n">
        <x:v>2017</x:v>
      </x:c>
      <x:c r="N1712" s="20" t="n">
        <x:v>43009</x:v>
      </x:c>
    </x:row>
    <x:row r="1713" ht="18" customHeight="1">
      <x:c r="A1713" t="str">
        <x:v>CA-2017-123491</x:v>
      </x:c>
      <x:c r="B1713" s="18" t="n">
        <x:v>43038</x:v>
      </x:c>
      <x:c r="C1713" t="str">
        <x:v>JK-15205</x:v>
      </x:c>
      <x:c r="D1713" t="str">
        <x:v>Jamie Kunitz</x:v>
      </x:c>
      <x:c r="E1713" t="str">
        <x:v>Consumer</x:v>
      </x:c>
      <x:c r="F1713" t="str">
        <x:v>West</x:v>
      </x:c>
      <x:c r="G1713" t="str">
        <x:v>Technology</x:v>
      </x:c>
      <x:c r="H1713" t="str">
        <x:v>Phones</x:v>
      </x:c>
      <x:c r="I1713" s="22" t="n">
        <x:v>148.48</x:v>
      </x:c>
      <x:c r="J1713" s="24" t="n">
        <x:v>2</x:v>
      </x:c>
      <x:c r="K1713" s="26" t="n">
        <x:v>0.2</x:v>
      </x:c>
      <x:c r="L1713" s="22" t="n">
        <x:v>16.703999999999986</x:v>
      </x:c>
      <x:c r="M1713" t="n">
        <x:v>2017</x:v>
      </x:c>
      <x:c r="N1713" s="20" t="n">
        <x:v>43009</x:v>
      </x:c>
    </x:row>
    <x:row r="1714" ht="18" customHeight="1">
      <x:c r="A1714" t="str">
        <x:v>CA-2017-123491</x:v>
      </x:c>
      <x:c r="B1714" s="18" t="n">
        <x:v>43038</x:v>
      </x:c>
      <x:c r="C1714" t="str">
        <x:v>JK-15205</x:v>
      </x:c>
      <x:c r="D1714" t="str">
        <x:v>Jamie Kunitz</x:v>
      </x:c>
      <x:c r="E1714" t="str">
        <x:v>Consumer</x:v>
      </x:c>
      <x:c r="F1714" t="str">
        <x:v>West</x:v>
      </x:c>
      <x:c r="G1714" t="str">
        <x:v>Office Supplies</x:v>
      </x:c>
      <x:c r="H1714" t="str">
        <x:v>Paper</x:v>
      </x:c>
      <x:c r="I1714" s="22" t="n">
        <x:v>7.42</x:v>
      </x:c>
      <x:c r="J1714" s="24" t="n">
        <x:v>2</x:v>
      </x:c>
      <x:c r="K1714" s="26" t="n">
        <x:v>0</x:v>
      </x:c>
      <x:c r="L1714" s="22" t="n">
        <x:v>3.71</x:v>
      </x:c>
      <x:c r="M1714" t="n">
        <x:v>2017</x:v>
      </x:c>
      <x:c r="N1714" s="20" t="n">
        <x:v>43009</x:v>
      </x:c>
    </x:row>
    <x:row r="1715" ht="18" customHeight="1">
      <x:c r="A1715" t="str">
        <x:v>CA-2017-123491</x:v>
      </x:c>
      <x:c r="B1715" s="18" t="n">
        <x:v>43038</x:v>
      </x:c>
      <x:c r="C1715" t="str">
        <x:v>JK-15205</x:v>
      </x:c>
      <x:c r="D1715" t="str">
        <x:v>Jamie Kunitz</x:v>
      </x:c>
      <x:c r="E1715" t="str">
        <x:v>Consumer</x:v>
      </x:c>
      <x:c r="F1715" t="str">
        <x:v>West</x:v>
      </x:c>
      <x:c r="G1715" t="str">
        <x:v>Furniture</x:v>
      </x:c>
      <x:c r="H1715" t="str">
        <x:v>Chairs</x:v>
      </x:c>
      <x:c r="I1715" s="22" t="n">
        <x:v>71.992</x:v>
      </x:c>
      <x:c r="J1715" s="24" t="n">
        <x:v>1</x:v>
      </x:c>
      <x:c r="K1715" s="26" t="n">
        <x:v>0.2</x:v>
      </x:c>
      <x:c r="L1715" s="22" t="n">
        <x:v>-0.899900000000013</x:v>
      </x:c>
      <x:c r="M1715" t="n">
        <x:v>2017</x:v>
      </x:c>
      <x:c r="N1715" s="20" t="n">
        <x:v>43009</x:v>
      </x:c>
    </x:row>
    <x:row r="1716" ht="18" customHeight="1">
      <x:c r="A1716" t="str">
        <x:v>CA-2017-123491</x:v>
      </x:c>
      <x:c r="B1716" s="18" t="n">
        <x:v>43038</x:v>
      </x:c>
      <x:c r="C1716" t="str">
        <x:v>JK-15205</x:v>
      </x:c>
      <x:c r="D1716" t="str">
        <x:v>Jamie Kunitz</x:v>
      </x:c>
      <x:c r="E1716" t="str">
        <x:v>Consumer</x:v>
      </x:c>
      <x:c r="F1716" t="str">
        <x:v>West</x:v>
      </x:c>
      <x:c r="G1716" t="str">
        <x:v>Office Supplies</x:v>
      </x:c>
      <x:c r="H1716" t="str">
        <x:v>Art</x:v>
      </x:c>
      <x:c r="I1716" s="22" t="n">
        <x:v>19.9</x:v>
      </x:c>
      <x:c r="J1716" s="24" t="n">
        <x:v>5</x:v>
      </x:c>
      <x:c r="K1716" s="26" t="n">
        <x:v>0</x:v>
      </x:c>
      <x:c r="L1716" s="22" t="n">
        <x:v>6.566999999999998</x:v>
      </x:c>
      <x:c r="M1716" t="n">
        <x:v>2017</x:v>
      </x:c>
      <x:c r="N1716" s="20" t="n">
        <x:v>43009</x:v>
      </x:c>
    </x:row>
    <x:row r="1717" ht="18" customHeight="1">
      <x:c r="A1717" t="str">
        <x:v>CA-2017-123491</x:v>
      </x:c>
      <x:c r="B1717" s="18" t="n">
        <x:v>43038</x:v>
      </x:c>
      <x:c r="C1717" t="str">
        <x:v>JK-15205</x:v>
      </x:c>
      <x:c r="D1717" t="str">
        <x:v>Jamie Kunitz</x:v>
      </x:c>
      <x:c r="E1717" t="str">
        <x:v>Consumer</x:v>
      </x:c>
      <x:c r="F1717" t="str">
        <x:v>West</x:v>
      </x:c>
      <x:c r="G1717" t="str">
        <x:v>Office Supplies</x:v>
      </x:c>
      <x:c r="H1717" t="str">
        <x:v>Appliances</x:v>
      </x:c>
      <x:c r="I1717" s="22" t="n">
        <x:v>1702.12</x:v>
      </x:c>
      <x:c r="J1717" s="24" t="n">
        <x:v>14</x:v>
      </x:c>
      <x:c r="K1717" s="26" t="n">
        <x:v>0</x:v>
      </x:c>
      <x:c r="L1717" s="22" t="n">
        <x:v>510.63599999999985</x:v>
      </x:c>
      <x:c r="M1717" t="n">
        <x:v>2017</x:v>
      </x:c>
      <x:c r="N1717" s="20" t="n">
        <x:v>43009</x:v>
      </x:c>
    </x:row>
    <x:row r="1718" ht="18" customHeight="1">
      <x:c r="A1718" t="str">
        <x:v>CA-2015-145401</x:v>
      </x:c>
      <x:c r="B1718" s="18" t="n">
        <x:v>42034</x:v>
      </x:c>
      <x:c r="C1718" t="str">
        <x:v>JP-15520</x:v>
      </x:c>
      <x:c r="D1718" t="str">
        <x:v>Jeremy Pistek</x:v>
      </x:c>
      <x:c r="E1718" t="str">
        <x:v>Consumer</x:v>
      </x:c>
      <x:c r="F1718" t="str">
        <x:v>Central</x:v>
      </x:c>
      <x:c r="G1718" t="str">
        <x:v>Office Supplies</x:v>
      </x:c>
      <x:c r="H1718" t="str">
        <x:v>Paper</x:v>
      </x:c>
      <x:c r="I1718" s="22" t="n">
        <x:v>14.303999999999998</x:v>
      </x:c>
      <x:c r="J1718" s="24" t="n">
        <x:v>6</x:v>
      </x:c>
      <x:c r="K1718" s="26" t="n">
        <x:v>0.2</x:v>
      </x:c>
      <x:c r="L1718" s="22" t="n">
        <x:v>5.0064</x:v>
      </x:c>
      <x:c r="M1718" t="n">
        <x:v>2015</x:v>
      </x:c>
      <x:c r="N1718" s="20" t="n">
        <x:v>42005</x:v>
      </x:c>
    </x:row>
    <x:row r="1719" ht="18" customHeight="1">
      <x:c r="A1719" t="str">
        <x:v>US-2017-124968</x:v>
      </x:c>
      <x:c r="B1719" s="18" t="n">
        <x:v>42986</x:v>
      </x:c>
      <x:c r="C1719" t="str">
        <x:v>MM-18055</x:v>
      </x:c>
      <x:c r="D1719" t="str">
        <x:v>Michelle Moray</x:v>
      </x:c>
      <x:c r="E1719" t="str">
        <x:v>Consumer</x:v>
      </x:c>
      <x:c r="F1719" t="str">
        <x:v>Central</x:v>
      </x:c>
      <x:c r="G1719" t="str">
        <x:v>Furniture</x:v>
      </x:c>
      <x:c r="H1719" t="str">
        <x:v>Tables</x:v>
      </x:c>
      <x:c r="I1719" s="22" t="n">
        <x:v>765.625</x:v>
      </x:c>
      <x:c r="J1719" s="24" t="n">
        <x:v>7</x:v>
      </x:c>
      <x:c r="K1719" s="26" t="n">
        <x:v>0.5</x:v>
      </x:c>
      <x:c r="L1719" s="22" t="n">
        <x:v>-566.5625</x:v>
      </x:c>
      <x:c r="M1719" t="n">
        <x:v>2017</x:v>
      </x:c>
      <x:c r="N1719" s="20" t="n">
        <x:v>42979</x:v>
      </x:c>
    </x:row>
    <x:row r="1720" ht="18" customHeight="1">
      <x:c r="A1720" t="str">
        <x:v>CA-2017-104003</x:v>
      </x:c>
      <x:c r="B1720" s="18" t="n">
        <x:v>43015</x:v>
      </x:c>
      <x:c r="C1720" t="str">
        <x:v>DC-13285</x:v>
      </x:c>
      <x:c r="D1720" t="str">
        <x:v>Debra Catini</x:v>
      </x:c>
      <x:c r="E1720" t="str">
        <x:v>Consumer</x:v>
      </x:c>
      <x:c r="F1720" t="str">
        <x:v>West</x:v>
      </x:c>
      <x:c r="G1720" t="str">
        <x:v>Furniture</x:v>
      </x:c>
      <x:c r="H1720" t="str">
        <x:v>Bookcases</x:v>
      </x:c>
      <x:c r="I1720" s="22" t="n">
        <x:v>307.666</x:v>
      </x:c>
      <x:c r="J1720" s="24" t="n">
        <x:v>2</x:v>
      </x:c>
      <x:c r="K1720" s="26" t="n">
        <x:v>0.15</x:v>
      </x:c>
      <x:c r="L1720" s="22" t="n">
        <x:v>-14.47839999999998</x:v>
      </x:c>
      <x:c r="M1720" t="n">
        <x:v>2017</x:v>
      </x:c>
      <x:c r="N1720" s="20" t="n">
        <x:v>43009</x:v>
      </x:c>
    </x:row>
    <x:row r="1721" ht="18" customHeight="1">
      <x:c r="A1721" t="str">
        <x:v>CA-2016-154788</x:v>
      </x:c>
      <x:c r="B1721" s="18" t="n">
        <x:v>42490</x:v>
      </x:c>
      <x:c r="C1721" t="str">
        <x:v>JL-15835</x:v>
      </x:c>
      <x:c r="D1721" t="str">
        <x:v>John Lee</x:v>
      </x:c>
      <x:c r="E1721" t="str">
        <x:v>Consumer</x:v>
      </x:c>
      <x:c r="F1721" t="str">
        <x:v>East</x:v>
      </x:c>
      <x:c r="G1721" t="str">
        <x:v>Office Supplies</x:v>
      </x:c>
      <x:c r="H1721" t="str">
        <x:v>Binders</x:v>
      </x:c>
      <x:c r="I1721" s="22" t="n">
        <x:v>7.712000000000001</x:v>
      </x:c>
      <x:c r="J1721" s="24" t="n">
        <x:v>2</x:v>
      </x:c>
      <x:c r="K1721" s="26" t="n">
        <x:v>0.2</x:v>
      </x:c>
      <x:c r="L1721" s="22" t="n">
        <x:v>2.7956000000000003</x:v>
      </x:c>
      <x:c r="M1721" t="n">
        <x:v>2016</x:v>
      </x:c>
      <x:c r="N1721" s="20" t="n">
        <x:v>42461</x:v>
      </x:c>
    </x:row>
    <x:row r="1722" ht="18" customHeight="1">
      <x:c r="A1722" t="str">
        <x:v>CA-2016-169943</x:v>
      </x:c>
      <x:c r="B1722" s="18" t="n">
        <x:v>42509</x:v>
      </x:c>
      <x:c r="C1722" t="str">
        <x:v>BN-11515</x:v>
      </x:c>
      <x:c r="D1722" t="str">
        <x:v>Bradley Nguyen</x:v>
      </x:c>
      <x:c r="E1722" t="str">
        <x:v>Consumer</x:v>
      </x:c>
      <x:c r="F1722" t="str">
        <x:v>East</x:v>
      </x:c>
      <x:c r="G1722" t="str">
        <x:v>Office Supplies</x:v>
      </x:c>
      <x:c r="H1722" t="str">
        <x:v>Appliances</x:v>
      </x:c>
      <x:c r="I1722" s="22" t="n">
        <x:v>242.89999999999998</x:v>
      </x:c>
      <x:c r="J1722" s="24" t="n">
        <x:v>5</x:v>
      </x:c>
      <x:c r="K1722" s="26" t="n">
        <x:v>0</x:v>
      </x:c>
      <x:c r="L1722" s="22" t="n">
        <x:v>70.44099999999997</x:v>
      </x:c>
      <x:c r="M1722" t="n">
        <x:v>2016</x:v>
      </x:c>
      <x:c r="N1722" s="20" t="n">
        <x:v>42491</x:v>
      </x:c>
    </x:row>
    <x:row r="1723" ht="18" customHeight="1">
      <x:c r="A1723" t="str">
        <x:v>CA-2016-169943</x:v>
      </x:c>
      <x:c r="B1723" s="18" t="n">
        <x:v>42509</x:v>
      </x:c>
      <x:c r="C1723" t="str">
        <x:v>BN-11515</x:v>
      </x:c>
      <x:c r="D1723" t="str">
        <x:v>Bradley Nguyen</x:v>
      </x:c>
      <x:c r="E1723" t="str">
        <x:v>Consumer</x:v>
      </x:c>
      <x:c r="F1723" t="str">
        <x:v>East</x:v>
      </x:c>
      <x:c r="G1723" t="str">
        <x:v>Office Supplies</x:v>
      </x:c>
      <x:c r="H1723" t="str">
        <x:v>Storage</x:v>
      </x:c>
      <x:c r="I1723" s="22" t="n">
        <x:v>454.90000000000003</x:v>
      </x:c>
      <x:c r="J1723" s="24" t="n">
        <x:v>5</x:v>
      </x:c>
      <x:c r="K1723" s="26" t="n">
        <x:v>0</x:v>
      </x:c>
      <x:c r="L1723" s="22" t="n">
        <x:v>0</x:v>
      </x:c>
      <x:c r="M1723" t="n">
        <x:v>2016</x:v>
      </x:c>
      <x:c r="N1723" s="20" t="n">
        <x:v>42491</x:v>
      </x:c>
    </x:row>
    <x:row r="1724" ht="18" customHeight="1">
      <x:c r="A1724" t="str">
        <x:v>CA-2016-169943</x:v>
      </x:c>
      <x:c r="B1724" s="18" t="n">
        <x:v>42509</x:v>
      </x:c>
      <x:c r="C1724" t="str">
        <x:v>BN-11515</x:v>
      </x:c>
      <x:c r="D1724" t="str">
        <x:v>Bradley Nguyen</x:v>
      </x:c>
      <x:c r="E1724" t="str">
        <x:v>Consumer</x:v>
      </x:c>
      <x:c r="F1724" t="str">
        <x:v>East</x:v>
      </x:c>
      <x:c r="G1724" t="str">
        <x:v>Furniture</x:v>
      </x:c>
      <x:c r="H1724" t="str">
        <x:v>Furnishings</x:v>
      </x:c>
      <x:c r="I1724" s="22" t="n">
        <x:v>35.92</x:v>
      </x:c>
      <x:c r="J1724" s="24" t="n">
        <x:v>4</x:v>
      </x:c>
      <x:c r="K1724" s="26" t="n">
        <x:v>0</x:v>
      </x:c>
      <x:c r="L1724" s="22" t="n">
        <x:v>15.086400000000001</x:v>
      </x:c>
      <x:c r="M1724" t="n">
        <x:v>2016</x:v>
      </x:c>
      <x:c r="N1724" s="20" t="n">
        <x:v>42491</x:v>
      </x:c>
    </x:row>
    <x:row r="1725" ht="18" customHeight="1">
      <x:c r="A1725" t="str">
        <x:v>CA-2016-169943</x:v>
      </x:c>
      <x:c r="B1725" s="18" t="n">
        <x:v>42509</x:v>
      </x:c>
      <x:c r="C1725" t="str">
        <x:v>BN-11515</x:v>
      </x:c>
      <x:c r="D1725" t="str">
        <x:v>Bradley Nguyen</x:v>
      </x:c>
      <x:c r="E1725" t="str">
        <x:v>Consumer</x:v>
      </x:c>
      <x:c r="F1725" t="str">
        <x:v>East</x:v>
      </x:c>
      <x:c r="G1725" t="str">
        <x:v>Furniture</x:v>
      </x:c>
      <x:c r="H1725" t="str">
        <x:v>Furnishings</x:v>
      </x:c>
      <x:c r="I1725" s="22" t="n">
        <x:v>39.76</x:v>
      </x:c>
      <x:c r="J1725" s="24" t="n">
        <x:v>8</x:v>
      </x:c>
      <x:c r="K1725" s="26" t="n">
        <x:v>0</x:v>
      </x:c>
      <x:c r="L1725" s="22" t="n">
        <x:v>12.325599999999998</x:v>
      </x:c>
      <x:c r="M1725" t="n">
        <x:v>2016</x:v>
      </x:c>
      <x:c r="N1725" s="20" t="n">
        <x:v>42491</x:v>
      </x:c>
    </x:row>
    <x:row r="1726" ht="18" customHeight="1">
      <x:c r="A1726" t="str">
        <x:v>CA-2016-169943</x:v>
      </x:c>
      <x:c r="B1726" s="18" t="n">
        <x:v>42509</x:v>
      </x:c>
      <x:c r="C1726" t="str">
        <x:v>BN-11515</x:v>
      </x:c>
      <x:c r="D1726" t="str">
        <x:v>Bradley Nguyen</x:v>
      </x:c>
      <x:c r="E1726" t="str">
        <x:v>Consumer</x:v>
      </x:c>
      <x:c r="F1726" t="str">
        <x:v>East</x:v>
      </x:c>
      <x:c r="G1726" t="str">
        <x:v>Office Supplies</x:v>
      </x:c>
      <x:c r="H1726" t="str">
        <x:v>Binders</x:v>
      </x:c>
      <x:c r="I1726" s="22" t="n">
        <x:v>47.744</x:v>
      </x:c>
      <x:c r="J1726" s="24" t="n">
        <x:v>4</x:v>
      </x:c>
      <x:c r="K1726" s="26" t="n">
        <x:v>0.2</x:v>
      </x:c>
      <x:c r="L1726" s="22" t="n">
        <x:v>14.919999999999995</x:v>
      </x:c>
      <x:c r="M1726" t="n">
        <x:v>2016</x:v>
      </x:c>
      <x:c r="N1726" s="20" t="n">
        <x:v>42491</x:v>
      </x:c>
    </x:row>
    <x:row r="1727" ht="18" customHeight="1">
      <x:c r="A1727" t="str">
        <x:v>US-2015-123218</x:v>
      </x:c>
      <x:c r="B1727" s="18" t="n">
        <x:v>42358</x:v>
      </x:c>
      <x:c r="C1727" t="str">
        <x:v>KD-16345</x:v>
      </x:c>
      <x:c r="D1727" t="str">
        <x:v>Katherine Ducich</x:v>
      </x:c>
      <x:c r="E1727" t="str">
        <x:v>Consumer</x:v>
      </x:c>
      <x:c r="F1727" t="str">
        <x:v>Central</x:v>
      </x:c>
      <x:c r="G1727" t="str">
        <x:v>Technology</x:v>
      </x:c>
      <x:c r="H1727" t="str">
        <x:v>Phones</x:v>
      </x:c>
      <x:c r="I1727" s="22" t="n">
        <x:v>159.984</x:v>
      </x:c>
      <x:c r="J1727" s="24" t="n">
        <x:v>2</x:v>
      </x:c>
      <x:c r="K1727" s="26" t="n">
        <x:v>0.2</x:v>
      </x:c>
      <x:c r="L1727" s="22" t="n">
        <x:v>11.998799999999996</x:v>
      </x:c>
      <x:c r="M1727" t="n">
        <x:v>2015</x:v>
      </x:c>
      <x:c r="N1727" s="20" t="n">
        <x:v>42339</x:v>
      </x:c>
    </x:row>
    <x:row r="1728" ht="18" customHeight="1">
      <x:c r="A1728" t="str">
        <x:v>US-2015-123218</x:v>
      </x:c>
      <x:c r="B1728" s="18" t="n">
        <x:v>42358</x:v>
      </x:c>
      <x:c r="C1728" t="str">
        <x:v>KD-16345</x:v>
      </x:c>
      <x:c r="D1728" t="str">
        <x:v>Katherine Ducich</x:v>
      </x:c>
      <x:c r="E1728" t="str">
        <x:v>Consumer</x:v>
      </x:c>
      <x:c r="F1728" t="str">
        <x:v>Central</x:v>
      </x:c>
      <x:c r="G1728" t="str">
        <x:v>Technology</x:v>
      </x:c>
      <x:c r="H1728" t="str">
        <x:v>Accessories</x:v>
      </x:c>
      <x:c r="I1728" s="22" t="n">
        <x:v>255.968</x:v>
      </x:c>
      <x:c r="J1728" s="24" t="n">
        <x:v>4</x:v>
      </x:c>
      <x:c r="K1728" s="26" t="n">
        <x:v>0.2</x:v>
      </x:c>
      <x:c r="L1728" s="22" t="n">
        <x:v>51.193599999999996</x:v>
      </x:c>
      <x:c r="M1728" t="n">
        <x:v>2015</x:v>
      </x:c>
      <x:c r="N1728" s="20" t="n">
        <x:v>42339</x:v>
      </x:c>
    </x:row>
    <x:row r="1729" ht="18" customHeight="1">
      <x:c r="A1729" t="str">
        <x:v>US-2015-123218</x:v>
      </x:c>
      <x:c r="B1729" s="18" t="n">
        <x:v>42358</x:v>
      </x:c>
      <x:c r="C1729" t="str">
        <x:v>KD-16345</x:v>
      </x:c>
      <x:c r="D1729" t="str">
        <x:v>Katherine Ducich</x:v>
      </x:c>
      <x:c r="E1729" t="str">
        <x:v>Consumer</x:v>
      </x:c>
      <x:c r="F1729" t="str">
        <x:v>Central</x:v>
      </x:c>
      <x:c r="G1729" t="str">
        <x:v>Furniture</x:v>
      </x:c>
      <x:c r="H1729" t="str">
        <x:v>Bookcases</x:v>
      </x:c>
      <x:c r="I1729" s="22" t="n">
        <x:v>359.05799999999994</x:v>
      </x:c>
      <x:c r="J1729" s="24" t="n">
        <x:v>3</x:v>
      </x:c>
      <x:c r="K1729" s="26" t="n">
        <x:v>0.3</x:v>
      </x:c>
      <x:c r="L1729" s="22" t="n">
        <x:v>-71.81160000000003</x:v>
      </x:c>
      <x:c r="M1729" t="n">
        <x:v>2015</x:v>
      </x:c>
      <x:c r="N1729" s="20" t="n">
        <x:v>42339</x:v>
      </x:c>
    </x:row>
    <x:row r="1730" ht="18" customHeight="1">
      <x:c r="A1730" t="str">
        <x:v>CA-2015-127453</x:v>
      </x:c>
      <x:c r="B1730" s="18" t="n">
        <x:v>42357</x:v>
      </x:c>
      <x:c r="C1730" t="str">
        <x:v>JK-15370</x:v>
      </x:c>
      <x:c r="D1730" t="str">
        <x:v>Jay Kimmel</x:v>
      </x:c>
      <x:c r="E1730" t="str">
        <x:v>Consumer</x:v>
      </x:c>
      <x:c r="F1730" t="str">
        <x:v>East</x:v>
      </x:c>
      <x:c r="G1730" t="str">
        <x:v>Office Supplies</x:v>
      </x:c>
      <x:c r="H1730" t="str">
        <x:v>Appliances</x:v>
      </x:c>
      <x:c r="I1730" s="22" t="n">
        <x:v>434.352</x:v>
      </x:c>
      <x:c r="J1730" s="24" t="n">
        <x:v>3</x:v>
      </x:c>
      <x:c r="K1730" s="26" t="n">
        <x:v>0.2</x:v>
      </x:c>
      <x:c r="L1730" s="22" t="n">
        <x:v>43.43519999999998</x:v>
      </x:c>
      <x:c r="M1730" t="n">
        <x:v>2015</x:v>
      </x:c>
      <x:c r="N1730" s="20" t="n">
        <x:v>42339</x:v>
      </x:c>
    </x:row>
    <x:row r="1731" ht="18" customHeight="1">
      <x:c r="A1731" t="str">
        <x:v>CA-2015-127453</x:v>
      </x:c>
      <x:c r="B1731" s="18" t="n">
        <x:v>42357</x:v>
      </x:c>
      <x:c r="C1731" t="str">
        <x:v>JK-15370</x:v>
      </x:c>
      <x:c r="D1731" t="str">
        <x:v>Jay Kimmel</x:v>
      </x:c>
      <x:c r="E1731" t="str">
        <x:v>Consumer</x:v>
      </x:c>
      <x:c r="F1731" t="str">
        <x:v>East</x:v>
      </x:c>
      <x:c r="G1731" t="str">
        <x:v>Office Supplies</x:v>
      </x:c>
      <x:c r="H1731" t="str">
        <x:v>Appliances</x:v>
      </x:c>
      <x:c r="I1731" s="22" t="n">
        <x:v>3.5520000000000005</x:v>
      </x:c>
      <x:c r="J1731" s="24" t="n">
        <x:v>2</x:v>
      </x:c>
      <x:c r="K1731" s="26" t="n">
        <x:v>0.2</x:v>
      </x:c>
      <x:c r="L1731" s="22" t="n">
        <x:v>0.44399999999999973</x:v>
      </x:c>
      <x:c r="M1731" t="n">
        <x:v>2015</x:v>
      </x:c>
      <x:c r="N1731" s="20" t="n">
        <x:v>42339</x:v>
      </x:c>
    </x:row>
    <x:row r="1732" ht="18" customHeight="1">
      <x:c r="A1732" t="str">
        <x:v>CA-2015-127453</x:v>
      </x:c>
      <x:c r="B1732" s="18" t="n">
        <x:v>42357</x:v>
      </x:c>
      <x:c r="C1732" t="str">
        <x:v>JK-15370</x:v>
      </x:c>
      <x:c r="D1732" t="str">
        <x:v>Jay Kimmel</x:v>
      </x:c>
      <x:c r="E1732" t="str">
        <x:v>Consumer</x:v>
      </x:c>
      <x:c r="F1732" t="str">
        <x:v>East</x:v>
      </x:c>
      <x:c r="G1732" t="str">
        <x:v>Office Supplies</x:v>
      </x:c>
      <x:c r="H1732" t="str">
        <x:v>Appliances</x:v>
      </x:c>
      <x:c r="I1732" s="22" t="n">
        <x:v>88.83200000000001</x:v>
      </x:c>
      <x:c r="J1732" s="24" t="n">
        <x:v>4</x:v>
      </x:c>
      <x:c r="K1732" s="26" t="n">
        <x:v>0.2</x:v>
      </x:c>
      <x:c r="L1732" s="22" t="n">
        <x:v>7.7728</x:v>
      </x:c>
      <x:c r="M1732" t="n">
        <x:v>2015</x:v>
      </x:c>
      <x:c r="N1732" s="20" t="n">
        <x:v>42339</x:v>
      </x:c>
    </x:row>
    <x:row r="1733" ht="18" customHeight="1">
      <x:c r="A1733" t="str">
        <x:v>US-2017-164056</x:v>
      </x:c>
      <x:c r="B1733" s="18" t="n">
        <x:v>42854</x:v>
      </x:c>
      <x:c r="C1733" t="str">
        <x:v>FM-14215</x:v>
      </x:c>
      <x:c r="D1733" t="str">
        <x:v>Filia McAdams</x:v>
      </x:c>
      <x:c r="E1733" t="str">
        <x:v>Corporate</x:v>
      </x:c>
      <x:c r="F1733" t="str">
        <x:v>East</x:v>
      </x:c>
      <x:c r="G1733" t="str">
        <x:v>Furniture</x:v>
      </x:c>
      <x:c r="H1733" t="str">
        <x:v>Tables</x:v>
      </x:c>
      <x:c r="I1733" s="22" t="n">
        <x:v>1048.35</x:v>
      </x:c>
      <x:c r="J1733" s="24" t="n">
        <x:v>5</x:v>
      </x:c>
      <x:c r="K1733" s="26" t="n">
        <x:v>0.4</x:v>
      </x:c>
      <x:c r="L1733" s="22" t="n">
        <x:v>-69.88999999999999</x:v>
      </x:c>
      <x:c r="M1733" t="n">
        <x:v>2017</x:v>
      </x:c>
      <x:c r="N1733" s="20" t="n">
        <x:v>42826</x:v>
      </x:c>
    </x:row>
    <x:row r="1734" ht="18" customHeight="1">
      <x:c r="A1734" t="str">
        <x:v>CA-2016-106894</x:v>
      </x:c>
      <x:c r="B1734" s="18" t="n">
        <x:v>42407</x:v>
      </x:c>
      <x:c r="C1734" t="str">
        <x:v>CA-12265</x:v>
      </x:c>
      <x:c r="D1734" t="str">
        <x:v>Christina Anderson</x:v>
      </x:c>
      <x:c r="E1734" t="str">
        <x:v>Consumer</x:v>
      </x:c>
      <x:c r="F1734" t="str">
        <x:v>South</x:v>
      </x:c>
      <x:c r="G1734" t="str">
        <x:v>Technology</x:v>
      </x:c>
      <x:c r="H1734" t="str">
        <x:v>Accessories</x:v>
      </x:c>
      <x:c r="I1734" s="22" t="n">
        <x:v>100</x:v>
      </x:c>
      <x:c r="J1734" s="24" t="n">
        <x:v>4</x:v>
      </x:c>
      <x:c r="K1734" s="26" t="n">
        <x:v>0</x:v>
      </x:c>
      <x:c r="L1734" s="22" t="n">
        <x:v>21</x:v>
      </x:c>
      <x:c r="M1734" t="n">
        <x:v>2016</x:v>
      </x:c>
      <x:c r="N1734" s="20" t="n">
        <x:v>42401</x:v>
      </x:c>
    </x:row>
    <x:row r="1735" ht="18" customHeight="1">
      <x:c r="A1735" t="str">
        <x:v>CA-2016-106894</x:v>
      </x:c>
      <x:c r="B1735" s="18" t="n">
        <x:v>42407</x:v>
      </x:c>
      <x:c r="C1735" t="str">
        <x:v>CA-12265</x:v>
      </x:c>
      <x:c r="D1735" t="str">
        <x:v>Christina Anderson</x:v>
      </x:c>
      <x:c r="E1735" t="str">
        <x:v>Consumer</x:v>
      </x:c>
      <x:c r="F1735" t="str">
        <x:v>South</x:v>
      </x:c>
      <x:c r="G1735" t="str">
        <x:v>Office Supplies</x:v>
      </x:c>
      <x:c r="H1735" t="str">
        <x:v>Labels</x:v>
      </x:c>
      <x:c r="I1735" s="22" t="n">
        <x:v>7.83</x:v>
      </x:c>
      <x:c r="J1735" s="24" t="n">
        <x:v>3</x:v>
      </x:c>
      <x:c r="K1735" s="26" t="n">
        <x:v>0</x:v>
      </x:c>
      <x:c r="L1735" s="22" t="n">
        <x:v>3.6018</x:v>
      </x:c>
      <x:c r="M1735" t="n">
        <x:v>2016</x:v>
      </x:c>
      <x:c r="N1735" s="20" t="n">
        <x:v>42401</x:v>
      </x:c>
    </x:row>
    <x:row r="1736" ht="18" customHeight="1">
      <x:c r="A1736" t="str">
        <x:v>CA-2014-125136</x:v>
      </x:c>
      <x:c r="B1736" s="18" t="n">
        <x:v>41910</x:v>
      </x:c>
      <x:c r="C1736" t="str">
        <x:v>KD-16495</x:v>
      </x:c>
      <x:c r="D1736" t="str">
        <x:v>Keith Dawkins</x:v>
      </x:c>
      <x:c r="E1736" t="str">
        <x:v>Corporate</x:v>
      </x:c>
      <x:c r="F1736" t="str">
        <x:v>South</x:v>
      </x:c>
      <x:c r="G1736" t="str">
        <x:v>Office Supplies</x:v>
      </x:c>
      <x:c r="H1736" t="str">
        <x:v>Paper</x:v>
      </x:c>
      <x:c r="I1736" s="22" t="n">
        <x:v>96.256</x:v>
      </x:c>
      <x:c r="J1736" s="24" t="n">
        <x:v>8</x:v>
      </x:c>
      <x:c r="K1736" s="26" t="n">
        <x:v>0.2</x:v>
      </x:c>
      <x:c r="L1736" s="22" t="n">
        <x:v>31.283199999999987</x:v>
      </x:c>
      <x:c r="M1736" t="n">
        <x:v>2014</x:v>
      </x:c>
      <x:c r="N1736" s="20" t="n">
        <x:v>41883</x:v>
      </x:c>
    </x:row>
    <x:row r="1737" ht="18" customHeight="1">
      <x:c r="A1737" t="str">
        <x:v>CA-2014-125136</x:v>
      </x:c>
      <x:c r="B1737" s="18" t="n">
        <x:v>41910</x:v>
      </x:c>
      <x:c r="C1737" t="str">
        <x:v>KD-16495</x:v>
      </x:c>
      <x:c r="D1737" t="str">
        <x:v>Keith Dawkins</x:v>
      </x:c>
      <x:c r="E1737" t="str">
        <x:v>Corporate</x:v>
      </x:c>
      <x:c r="F1737" t="str">
        <x:v>South</x:v>
      </x:c>
      <x:c r="G1737" t="str">
        <x:v>Office Supplies</x:v>
      </x:c>
      <x:c r="H1737" t="str">
        <x:v>Paper</x:v>
      </x:c>
      <x:c r="I1737" s="22" t="n">
        <x:v>10.688</x:v>
      </x:c>
      <x:c r="J1737" s="24" t="n">
        <x:v>2</x:v>
      </x:c>
      <x:c r="K1737" s="26" t="n">
        <x:v>0.2</x:v>
      </x:c>
      <x:c r="L1737" s="22" t="n">
        <x:v>3.7407999999999997</x:v>
      </x:c>
      <x:c r="M1737" t="n">
        <x:v>2014</x:v>
      </x:c>
      <x:c r="N1737" s="20" t="n">
        <x:v>41883</x:v>
      </x:c>
    </x:row>
    <x:row r="1738" ht="18" customHeight="1">
      <x:c r="A1738" t="str">
        <x:v>US-2016-131149</x:v>
      </x:c>
      <x:c r="B1738" s="18" t="n">
        <x:v>42561</x:v>
      </x:c>
      <x:c r="C1738" t="str">
        <x:v>LH-17155</x:v>
      </x:c>
      <x:c r="D1738" t="str">
        <x:v>Logan Haushalter</x:v>
      </x:c>
      <x:c r="E1738" t="str">
        <x:v>Consumer</x:v>
      </x:c>
      <x:c r="F1738" t="str">
        <x:v>Central</x:v>
      </x:c>
      <x:c r="G1738" t="str">
        <x:v>Office Supplies</x:v>
      </x:c>
      <x:c r="H1738" t="str">
        <x:v>Storage</x:v>
      </x:c>
      <x:c r="I1738" s="22" t="n">
        <x:v>338.04</x:v>
      </x:c>
      <x:c r="J1738" s="24" t="n">
        <x:v>3</x:v>
      </x:c>
      <x:c r="K1738" s="26" t="n">
        <x:v>0.2</x:v>
      </x:c>
      <x:c r="L1738" s="22" t="n">
        <x:v>-33.804</x:v>
      </x:c>
      <x:c r="M1738" t="n">
        <x:v>2016</x:v>
      </x:c>
      <x:c r="N1738" s="20" t="n">
        <x:v>42552</x:v>
      </x:c>
    </x:row>
    <x:row r="1739" ht="18" customHeight="1">
      <x:c r="A1739" t="str">
        <x:v>US-2016-131149</x:v>
      </x:c>
      <x:c r="B1739" s="18" t="n">
        <x:v>42561</x:v>
      </x:c>
      <x:c r="C1739" t="str">
        <x:v>LH-17155</x:v>
      </x:c>
      <x:c r="D1739" t="str">
        <x:v>Logan Haushalter</x:v>
      </x:c>
      <x:c r="E1739" t="str">
        <x:v>Consumer</x:v>
      </x:c>
      <x:c r="F1739" t="str">
        <x:v>Central</x:v>
      </x:c>
      <x:c r="G1739" t="str">
        <x:v>Office Supplies</x:v>
      </x:c>
      <x:c r="H1739" t="str">
        <x:v>Art</x:v>
      </x:c>
      <x:c r="I1739" s="22" t="n">
        <x:v>154.24</x:v>
      </x:c>
      <x:c r="J1739" s="24" t="n">
        <x:v>4</x:v>
      </x:c>
      <x:c r="K1739" s="26" t="n">
        <x:v>0.2</x:v>
      </x:c>
      <x:c r="L1739" s="22" t="n">
        <x:v>17.351999999999975</x:v>
      </x:c>
      <x:c r="M1739" t="n">
        <x:v>2016</x:v>
      </x:c>
      <x:c r="N1739" s="20" t="n">
        <x:v>42552</x:v>
      </x:c>
    </x:row>
    <x:row r="1740" ht="18" customHeight="1">
      <x:c r="A1740" t="str">
        <x:v>CA-2017-101483</x:v>
      </x:c>
      <x:c r="B1740" s="18" t="n">
        <x:v>42945</x:v>
      </x:c>
      <x:c r="C1740" t="str">
        <x:v>AG-10675</x:v>
      </x:c>
      <x:c r="D1740" t="str">
        <x:v>Anna Gayman</x:v>
      </x:c>
      <x:c r="E1740" t="str">
        <x:v>Consumer</x:v>
      </x:c>
      <x:c r="F1740" t="str">
        <x:v>South</x:v>
      </x:c>
      <x:c r="G1740" t="str">
        <x:v>Office Supplies</x:v>
      </x:c>
      <x:c r="H1740" t="str">
        <x:v>Appliances</x:v>
      </x:c>
      <x:c r="I1740" s="22" t="n">
        <x:v>34.848000000000006</x:v>
      </x:c>
      <x:c r="J1740" s="24" t="n">
        <x:v>2</x:v>
      </x:c>
      <x:c r="K1740" s="26" t="n">
        <x:v>0.2</x:v>
      </x:c>
      <x:c r="L1740" s="22" t="n">
        <x:v>6.533999999999997</x:v>
      </x:c>
      <x:c r="M1740" t="n">
        <x:v>2017</x:v>
      </x:c>
      <x:c r="N1740" s="20" t="n">
        <x:v>42917</x:v>
      </x:c>
    </x:row>
    <x:row r="1741" ht="18" customHeight="1">
      <x:c r="A1741" t="str">
        <x:v>CA-2017-101483</x:v>
      </x:c>
      <x:c r="B1741" s="18" t="n">
        <x:v>42945</x:v>
      </x:c>
      <x:c r="C1741" t="str">
        <x:v>AG-10675</x:v>
      </x:c>
      <x:c r="D1741" t="str">
        <x:v>Anna Gayman</x:v>
      </x:c>
      <x:c r="E1741" t="str">
        <x:v>Consumer</x:v>
      </x:c>
      <x:c r="F1741" t="str">
        <x:v>South</x:v>
      </x:c>
      <x:c r="G1741" t="str">
        <x:v>Technology</x:v>
      </x:c>
      <x:c r="H1741" t="str">
        <x:v>Phones</x:v>
      </x:c>
      <x:c r="I1741" s="22" t="n">
        <x:v>22</x:v>
      </x:c>
      <x:c r="J1741" s="24" t="n">
        <x:v>5</x:v>
      </x:c>
      <x:c r="K1741" s="26" t="n">
        <x:v>0.2</x:v>
      </x:c>
      <x:c r="L1741" s="22" t="n">
        <x:v>1.375</x:v>
      </x:c>
      <x:c r="M1741" t="n">
        <x:v>2017</x:v>
      </x:c>
      <x:c r="N1741" s="20" t="n">
        <x:v>42917</x:v>
      </x:c>
    </x:row>
    <x:row r="1742" ht="18" customHeight="1">
      <x:c r="A1742" t="str">
        <x:v>CA-2017-101483</x:v>
      </x:c>
      <x:c r="B1742" s="18" t="n">
        <x:v>42945</x:v>
      </x:c>
      <x:c r="C1742" t="str">
        <x:v>AG-10675</x:v>
      </x:c>
      <x:c r="D1742" t="str">
        <x:v>Anna Gayman</x:v>
      </x:c>
      <x:c r="E1742" t="str">
        <x:v>Consumer</x:v>
      </x:c>
      <x:c r="F1742" t="str">
        <x:v>South</x:v>
      </x:c>
      <x:c r="G1742" t="str">
        <x:v>Office Supplies</x:v>
      </x:c>
      <x:c r="H1742" t="str">
        <x:v>Art</x:v>
      </x:c>
      <x:c r="I1742" s="22" t="n">
        <x:v>4.368</x:v>
      </x:c>
      <x:c r="J1742" s="24" t="n">
        <x:v>3</x:v>
      </x:c>
      <x:c r="K1742" s="26" t="n">
        <x:v>0.2</x:v>
      </x:c>
      <x:c r="L1742" s="22" t="n">
        <x:v>0.3822000000000001</x:v>
      </x:c>
      <x:c r="M1742" t="n">
        <x:v>2017</x:v>
      </x:c>
      <x:c r="N1742" s="20" t="n">
        <x:v>42917</x:v>
      </x:c>
    </x:row>
    <x:row r="1743" ht="18" customHeight="1">
      <x:c r="A1743" t="str">
        <x:v>CA-2015-130204</x:v>
      </x:c>
      <x:c r="B1743" s="18" t="n">
        <x:v>42250</x:v>
      </x:c>
      <x:c r="C1743" t="str">
        <x:v>DB-13120</x:v>
      </x:c>
      <x:c r="D1743" t="str">
        <x:v>David Bremer</x:v>
      </x:c>
      <x:c r="E1743" t="str">
        <x:v>Corporate</x:v>
      </x:c>
      <x:c r="F1743" t="str">
        <x:v>West</x:v>
      </x:c>
      <x:c r="G1743" t="str">
        <x:v>Office Supplies</x:v>
      </x:c>
      <x:c r="H1743" t="str">
        <x:v>Storage</x:v>
      </x:c>
      <x:c r="I1743" s="22" t="n">
        <x:v>31.44</x:v>
      </x:c>
      <x:c r="J1743" s="24" t="n">
        <x:v>3</x:v>
      </x:c>
      <x:c r="K1743" s="26" t="n">
        <x:v>0</x:v>
      </x:c>
      <x:c r="L1743" s="22" t="n">
        <x:v>8.488800000000001</x:v>
      </x:c>
      <x:c r="M1743" t="n">
        <x:v>2015</x:v>
      </x:c>
      <x:c r="N1743" s="20" t="n">
        <x:v>42248</x:v>
      </x:c>
    </x:row>
    <x:row r="1744" ht="18" customHeight="1">
      <x:c r="A1744" t="str">
        <x:v>CA-2015-130204</x:v>
      </x:c>
      <x:c r="B1744" s="18" t="n">
        <x:v>42250</x:v>
      </x:c>
      <x:c r="C1744" t="str">
        <x:v>DB-13120</x:v>
      </x:c>
      <x:c r="D1744" t="str">
        <x:v>David Bremer</x:v>
      </x:c>
      <x:c r="E1744" t="str">
        <x:v>Corporate</x:v>
      </x:c>
      <x:c r="F1744" t="str">
        <x:v>West</x:v>
      </x:c>
      <x:c r="G1744" t="str">
        <x:v>Technology</x:v>
      </x:c>
      <x:c r="H1744" t="str">
        <x:v>Accessories</x:v>
      </x:c>
      <x:c r="I1744" s="22" t="n">
        <x:v>17.9</x:v>
      </x:c>
      <x:c r="J1744" s="24" t="n">
        <x:v>2</x:v>
      </x:c>
      <x:c r="K1744" s="26" t="n">
        <x:v>0</x:v>
      </x:c>
      <x:c r="L1744" s="22" t="n">
        <x:v>3.400999999999998</x:v>
      </x:c>
      <x:c r="M1744" t="n">
        <x:v>2015</x:v>
      </x:c>
      <x:c r="N1744" s="20" t="n">
        <x:v>42248</x:v>
      </x:c>
    </x:row>
    <x:row r="1745" ht="18" customHeight="1">
      <x:c r="A1745" t="str">
        <x:v>CA-2015-130204</x:v>
      </x:c>
      <x:c r="B1745" s="18" t="n">
        <x:v>42250</x:v>
      </x:c>
      <x:c r="C1745" t="str">
        <x:v>DB-13120</x:v>
      </x:c>
      <x:c r="D1745" t="str">
        <x:v>David Bremer</x:v>
      </x:c>
      <x:c r="E1745" t="str">
        <x:v>Corporate</x:v>
      </x:c>
      <x:c r="F1745" t="str">
        <x:v>West</x:v>
      </x:c>
      <x:c r="G1745" t="str">
        <x:v>Technology</x:v>
      </x:c>
      <x:c r="H1745" t="str">
        <x:v>Accessories</x:v>
      </x:c>
      <x:c r="I1745" s="22" t="n">
        <x:v>129.45</x:v>
      </x:c>
      <x:c r="J1745" s="24" t="n">
        <x:v>5</x:v>
      </x:c>
      <x:c r="K1745" s="26" t="n">
        <x:v>0</x:v>
      </x:c>
      <x:c r="L1745" s="22" t="n">
        <x:v>46.602</x:v>
      </x:c>
      <x:c r="M1745" t="n">
        <x:v>2015</x:v>
      </x:c>
      <x:c r="N1745" s="20" t="n">
        <x:v>42248</x:v>
      </x:c>
    </x:row>
    <x:row r="1746" ht="18" customHeight="1">
      <x:c r="A1746" t="str">
        <x:v>CA-2014-110527</x:v>
      </x:c>
      <x:c r="B1746" s="18" t="n">
        <x:v>41860</x:v>
      </x:c>
      <x:c r="C1746" t="str">
        <x:v>ED-13885</x:v>
      </x:c>
      <x:c r="D1746" t="str">
        <x:v>Emily Ducich</x:v>
      </x:c>
      <x:c r="E1746" t="str">
        <x:v>Home Office</x:v>
      </x:c>
      <x:c r="F1746" t="str">
        <x:v>West</x:v>
      </x:c>
      <x:c r="G1746" t="str">
        <x:v>Office Supplies</x:v>
      </x:c>
      <x:c r="H1746" t="str">
        <x:v>Labels</x:v>
      </x:c>
      <x:c r="I1746" s="22" t="n">
        <x:v>20.88</x:v>
      </x:c>
      <x:c r="J1746" s="24" t="n">
        <x:v>8</x:v>
      </x:c>
      <x:c r="K1746" s="26" t="n">
        <x:v>0</x:v>
      </x:c>
      <x:c r="L1746" s="22" t="n">
        <x:v>9.6048</x:v>
      </x:c>
      <x:c r="M1746" t="n">
        <x:v>2014</x:v>
      </x:c>
      <x:c r="N1746" s="20" t="n">
        <x:v>41852</x:v>
      </x:c>
    </x:row>
    <x:row r="1747" ht="18" customHeight="1">
      <x:c r="A1747" t="str">
        <x:v>CA-2017-152807</x:v>
      </x:c>
      <x:c r="B1747" s="18" t="n">
        <x:v>43038</x:v>
      </x:c>
      <x:c r="C1747" t="str">
        <x:v>MC-18100</x:v>
      </x:c>
      <x:c r="D1747" t="str">
        <x:v>Mick Crebagga</x:v>
      </x:c>
      <x:c r="E1747" t="str">
        <x:v>Consumer</x:v>
      </x:c>
      <x:c r="F1747" t="str">
        <x:v>East</x:v>
      </x:c>
      <x:c r="G1747" t="str">
        <x:v>Office Supplies</x:v>
      </x:c>
      <x:c r="H1747" t="str">
        <x:v>Paper</x:v>
      </x:c>
      <x:c r="I1747" s="22" t="n">
        <x:v>20.736000000000004</x:v>
      </x:c>
      <x:c r="J1747" s="24" t="n">
        <x:v>4</x:v>
      </x:c>
      <x:c r="K1747" s="26" t="n">
        <x:v>0.2</x:v>
      </x:c>
      <x:c r="L1747" s="22" t="n">
        <x:v>7.2576</x:v>
      </x:c>
      <x:c r="M1747" t="n">
        <x:v>2017</x:v>
      </x:c>
      <x:c r="N1747" s="20" t="n">
        <x:v>43009</x:v>
      </x:c>
    </x:row>
    <x:row r="1748" ht="18" customHeight="1">
      <x:c r="A1748" t="str">
        <x:v>CA-2017-152807</x:v>
      </x:c>
      <x:c r="B1748" s="18" t="n">
        <x:v>43038</x:v>
      </x:c>
      <x:c r="C1748" t="str">
        <x:v>MC-18100</x:v>
      </x:c>
      <x:c r="D1748" t="str">
        <x:v>Mick Crebagga</x:v>
      </x:c>
      <x:c r="E1748" t="str">
        <x:v>Consumer</x:v>
      </x:c>
      <x:c r="F1748" t="str">
        <x:v>East</x:v>
      </x:c>
      <x:c r="G1748" t="str">
        <x:v>Furniture</x:v>
      </x:c>
      <x:c r="H1748" t="str">
        <x:v>Furnishings</x:v>
      </x:c>
      <x:c r="I1748" s="22" t="n">
        <x:v>7.168000000000001</x:v>
      </x:c>
      <x:c r="J1748" s="24" t="n">
        <x:v>2</x:v>
      </x:c>
      <x:c r="K1748" s="26" t="n">
        <x:v>0.2</x:v>
      </x:c>
      <x:c r="L1748" s="22" t="n">
        <x:v>0.9855999999999994</x:v>
      </x:c>
      <x:c r="M1748" t="n">
        <x:v>2017</x:v>
      </x:c>
      <x:c r="N1748" s="20" t="n">
        <x:v>43009</x:v>
      </x:c>
    </x:row>
    <x:row r="1749" ht="18" customHeight="1">
      <x:c r="A1749" t="str">
        <x:v>CA-2017-152807</x:v>
      </x:c>
      <x:c r="B1749" s="18" t="n">
        <x:v>43038</x:v>
      </x:c>
      <x:c r="C1749" t="str">
        <x:v>MC-18100</x:v>
      </x:c>
      <x:c r="D1749" t="str">
        <x:v>Mick Crebagga</x:v>
      </x:c>
      <x:c r="E1749" t="str">
        <x:v>Consumer</x:v>
      </x:c>
      <x:c r="F1749" t="str">
        <x:v>East</x:v>
      </x:c>
      <x:c r="G1749" t="str">
        <x:v>Office Supplies</x:v>
      </x:c>
      <x:c r="H1749" t="str">
        <x:v>Storage</x:v>
      </x:c>
      <x:c r="I1749" s="22" t="n">
        <x:v>11.168000000000001</x:v>
      </x:c>
      <x:c r="J1749" s="24" t="n">
        <x:v>2</x:v>
      </x:c>
      <x:c r="K1749" s="26" t="n">
        <x:v>0.2</x:v>
      </x:c>
      <x:c r="L1749" s="22" t="n">
        <x:v>-2.512800000000001</x:v>
      </x:c>
      <x:c r="M1749" t="n">
        <x:v>2017</x:v>
      </x:c>
      <x:c r="N1749" s="20" t="n">
        <x:v>43009</x:v>
      </x:c>
    </x:row>
    <x:row r="1750" ht="18" customHeight="1">
      <x:c r="A1750" t="str">
        <x:v>CA-2017-152807</x:v>
      </x:c>
      <x:c r="B1750" s="18" t="n">
        <x:v>43038</x:v>
      </x:c>
      <x:c r="C1750" t="str">
        <x:v>MC-18100</x:v>
      </x:c>
      <x:c r="D1750" t="str">
        <x:v>Mick Crebagga</x:v>
      </x:c>
      <x:c r="E1750" t="str">
        <x:v>Consumer</x:v>
      </x:c>
      <x:c r="F1750" t="str">
        <x:v>East</x:v>
      </x:c>
      <x:c r="G1750" t="str">
        <x:v>Technology</x:v>
      </x:c>
      <x:c r="H1750" t="str">
        <x:v>Accessories</x:v>
      </x:c>
      <x:c r="I1750" s="22" t="n">
        <x:v>442.40000000000003</x:v>
      </x:c>
      <x:c r="J1750" s="24" t="n">
        <x:v>7</x:v>
      </x:c>
      <x:c r="K1750" s="26" t="n">
        <x:v>0.2</x:v>
      </x:c>
      <x:c r="L1750" s="22" t="n">
        <x:v>-55.30000000000007</x:v>
      </x:c>
      <x:c r="M1750" t="n">
        <x:v>2017</x:v>
      </x:c>
      <x:c r="N1750" s="20" t="n">
        <x:v>43009</x:v>
      </x:c>
    </x:row>
    <x:row r="1751" ht="18" customHeight="1">
      <x:c r="A1751" t="str">
        <x:v>CA-2014-133270</x:v>
      </x:c>
      <x:c r="B1751" s="18" t="n">
        <x:v>41796</x:v>
      </x:c>
      <x:c r="C1751" t="str">
        <x:v>BM-11785</x:v>
      </x:c>
      <x:c r="D1751" t="str">
        <x:v>Bryan Mills</x:v>
      </x:c>
      <x:c r="E1751" t="str">
        <x:v>Consumer</x:v>
      </x:c>
      <x:c r="F1751" t="str">
        <x:v>East</x:v>
      </x:c>
      <x:c r="G1751" t="str">
        <x:v>Office Supplies</x:v>
      </x:c>
      <x:c r="H1751" t="str">
        <x:v>Art</x:v>
      </x:c>
      <x:c r="I1751" s="22" t="n">
        <x:v>13.36</x:v>
      </x:c>
      <x:c r="J1751" s="24" t="n">
        <x:v>2</x:v>
      </x:c>
      <x:c r="K1751" s="26" t="n">
        <x:v>0</x:v>
      </x:c>
      <x:c r="L1751" s="22" t="n">
        <x:v>4.943199999999999</x:v>
      </x:c>
      <x:c r="M1751" t="n">
        <x:v>2014</x:v>
      </x:c>
      <x:c r="N1751" s="20" t="n">
        <x:v>41791</x:v>
      </x:c>
    </x:row>
    <x:row r="1752" ht="18" customHeight="1">
      <x:c r="A1752" t="str">
        <x:v>CA-2016-155670</x:v>
      </x:c>
      <x:c r="B1752" s="18" t="n">
        <x:v>42595</x:v>
      </x:c>
      <x:c r="C1752" t="str">
        <x:v>EM-14065</x:v>
      </x:c>
      <x:c r="D1752" t="str">
        <x:v>Erin Mull</x:v>
      </x:c>
      <x:c r="E1752" t="str">
        <x:v>Consumer</x:v>
      </x:c>
      <x:c r="F1752" t="str">
        <x:v>South</x:v>
      </x:c>
      <x:c r="G1752" t="str">
        <x:v>Office Supplies</x:v>
      </x:c>
      <x:c r="H1752" t="str">
        <x:v>Binders</x:v>
      </x:c>
      <x:c r="I1752" s="22" t="n">
        <x:v>11.232000000000001</x:v>
      </x:c>
      <x:c r="J1752" s="24" t="n">
        <x:v>8</x:v>
      </x:c>
      <x:c r="K1752" s="26" t="n">
        <x:v>0.7</x:v>
      </x:c>
      <x:c r="L1752" s="22" t="n">
        <x:v>-8.236799999999999</x:v>
      </x:c>
      <x:c r="M1752" t="n">
        <x:v>2016</x:v>
      </x:c>
      <x:c r="N1752" s="20" t="n">
        <x:v>42583</x:v>
      </x:c>
    </x:row>
    <x:row r="1753" ht="18" customHeight="1">
      <x:c r="A1753" t="str">
        <x:v>CA-2016-155670</x:v>
      </x:c>
      <x:c r="B1753" s="18" t="n">
        <x:v>42595</x:v>
      </x:c>
      <x:c r="C1753" t="str">
        <x:v>EM-14065</x:v>
      </x:c>
      <x:c r="D1753" t="str">
        <x:v>Erin Mull</x:v>
      </x:c>
      <x:c r="E1753" t="str">
        <x:v>Consumer</x:v>
      </x:c>
      <x:c r="F1753" t="str">
        <x:v>South</x:v>
      </x:c>
      <x:c r="G1753" t="str">
        <x:v>Office Supplies</x:v>
      </x:c>
      <x:c r="H1753" t="str">
        <x:v>Paper</x:v>
      </x:c>
      <x:c r="I1753" s="22" t="n">
        <x:v>10.272000000000002</x:v>
      </x:c>
      <x:c r="J1753" s="24" t="n">
        <x:v>3</x:v>
      </x:c>
      <x:c r="K1753" s="26" t="n">
        <x:v>0.2</x:v>
      </x:c>
      <x:c r="L1753" s="22" t="n">
        <x:v>3.209999999999998</x:v>
      </x:c>
      <x:c r="M1753" t="n">
        <x:v>2016</x:v>
      </x:c>
      <x:c r="N1753" s="20" t="n">
        <x:v>42583</x:v>
      </x:c>
    </x:row>
    <x:row r="1754" ht="18" customHeight="1">
      <x:c r="A1754" t="str">
        <x:v>US-2014-157406</x:v>
      </x:c>
      <x:c r="B1754" s="18" t="n">
        <x:v>41754</x:v>
      </x:c>
      <x:c r="C1754" t="str">
        <x:v>DA-13450</x:v>
      </x:c>
      <x:c r="D1754" t="str">
        <x:v>Dianna Arnett</x:v>
      </x:c>
      <x:c r="E1754" t="str">
        <x:v>Home Office</x:v>
      </x:c>
      <x:c r="F1754" t="str">
        <x:v>Central</x:v>
      </x:c>
      <x:c r="G1754" t="str">
        <x:v>Office Supplies</x:v>
      </x:c>
      <x:c r="H1754" t="str">
        <x:v>Paper</x:v>
      </x:c>
      <x:c r="I1754" s="22" t="n">
        <x:v>10.368000000000002</x:v>
      </x:c>
      <x:c r="J1754" s="24" t="n">
        <x:v>2</x:v>
      </x:c>
      <x:c r="K1754" s="26" t="n">
        <x:v>0.2</x:v>
      </x:c>
      <x:c r="L1754" s="22" t="n">
        <x:v>3.6288</x:v>
      </x:c>
      <x:c r="M1754" t="n">
        <x:v>2014</x:v>
      </x:c>
      <x:c r="N1754" s="20" t="n">
        <x:v>41730</x:v>
      </x:c>
    </x:row>
    <x:row r="1755" ht="18" customHeight="1">
      <x:c r="A1755" t="str">
        <x:v>US-2014-157406</x:v>
      </x:c>
      <x:c r="B1755" s="18" t="n">
        <x:v>41754</x:v>
      </x:c>
      <x:c r="C1755" t="str">
        <x:v>DA-13450</x:v>
      </x:c>
      <x:c r="D1755" t="str">
        <x:v>Dianna Arnett</x:v>
      </x:c>
      <x:c r="E1755" t="str">
        <x:v>Home Office</x:v>
      </x:c>
      <x:c r="F1755" t="str">
        <x:v>Central</x:v>
      </x:c>
      <x:c r="G1755" t="str">
        <x:v>Office Supplies</x:v>
      </x:c>
      <x:c r="H1755" t="str">
        <x:v>Art</x:v>
      </x:c>
      <x:c r="I1755" s="22" t="n">
        <x:v>6.24</x:v>
      </x:c>
      <x:c r="J1755" s="24" t="n">
        <x:v>3</x:v>
      </x:c>
      <x:c r="K1755" s="26" t="n">
        <x:v>0.2</x:v>
      </x:c>
      <x:c r="L1755" s="22" t="n">
        <x:v>0.5460000000000007</x:v>
      </x:c>
      <x:c r="M1755" t="n">
        <x:v>2014</x:v>
      </x:c>
      <x:c r="N1755" s="20" t="n">
        <x:v>41730</x:v>
      </x:c>
    </x:row>
    <x:row r="1756" ht="18" customHeight="1">
      <x:c r="A1756" t="str">
        <x:v>CA-2015-139094</x:v>
      </x:c>
      <x:c r="B1756" s="18" t="n">
        <x:v>42330</x:v>
      </x:c>
      <x:c r="C1756" t="str">
        <x:v>MO-17800</x:v>
      </x:c>
      <x:c r="D1756" t="str">
        <x:v>Meg O'Connel</x:v>
      </x:c>
      <x:c r="E1756" t="str">
        <x:v>Home Office</x:v>
      </x:c>
      <x:c r="F1756" t="str">
        <x:v>Central</x:v>
      </x:c>
      <x:c r="G1756" t="str">
        <x:v>Furniture</x:v>
      </x:c>
      <x:c r="H1756" t="str">
        <x:v>Tables</x:v>
      </x:c>
      <x:c r="I1756" s="22" t="n">
        <x:v>206.96200000000002</x:v>
      </x:c>
      <x:c r="J1756" s="24" t="n">
        <x:v>2</x:v>
      </x:c>
      <x:c r="K1756" s="26" t="n">
        <x:v>0.3</x:v>
      </x:c>
      <x:c r="L1756" s="22" t="n">
        <x:v>-32.52260000000001</x:v>
      </x:c>
      <x:c r="M1756" t="n">
        <x:v>2015</x:v>
      </x:c>
      <x:c r="N1756" s="20" t="n">
        <x:v>42309</x:v>
      </x:c>
    </x:row>
    <x:row r="1757" ht="18" customHeight="1">
      <x:c r="A1757" t="str">
        <x:v>CA-2017-168837</x:v>
      </x:c>
      <x:c r="B1757" s="18" t="n">
        <x:v>43022</x:v>
      </x:c>
      <x:c r="C1757" t="str">
        <x:v>JW-15955</x:v>
      </x:c>
      <x:c r="D1757" t="str">
        <x:v>Joni Wasserman</x:v>
      </x:c>
      <x:c r="E1757" t="str">
        <x:v>Consumer</x:v>
      </x:c>
      <x:c r="F1757" t="str">
        <x:v>West</x:v>
      </x:c>
      <x:c r="G1757" t="str">
        <x:v>Furniture</x:v>
      </x:c>
      <x:c r="H1757" t="str">
        <x:v>Furnishings</x:v>
      </x:c>
      <x:c r="I1757" s="22" t="n">
        <x:v>9.46</x:v>
      </x:c>
      <x:c r="J1757" s="24" t="n">
        <x:v>2</x:v>
      </x:c>
      <x:c r="K1757" s="26" t="n">
        <x:v>0</x:v>
      </x:c>
      <x:c r="L1757" s="22" t="n">
        <x:v>3.689400000000001</x:v>
      </x:c>
      <x:c r="M1757" t="n">
        <x:v>2017</x:v>
      </x:c>
      <x:c r="N1757" s="20" t="n">
        <x:v>43009</x:v>
      </x:c>
    </x:row>
    <x:row r="1758" ht="18" customHeight="1">
      <x:c r="A1758" t="str">
        <x:v>CA-2017-116715</x:v>
      </x:c>
      <x:c r="B1758" s="18" t="n">
        <x:v>43071</x:v>
      </x:c>
      <x:c r="C1758" t="str">
        <x:v>VW-21775</x:v>
      </x:c>
      <x:c r="D1758" t="str">
        <x:v>Victoria Wilson</x:v>
      </x:c>
      <x:c r="E1758" t="str">
        <x:v>Corporate</x:v>
      </x:c>
      <x:c r="F1758" t="str">
        <x:v>West</x:v>
      </x:c>
      <x:c r="G1758" t="str">
        <x:v>Office Supplies</x:v>
      </x:c>
      <x:c r="H1758" t="str">
        <x:v>Storage</x:v>
      </x:c>
      <x:c r="I1758" s="22" t="n">
        <x:v>559.62</x:v>
      </x:c>
      <x:c r="J1758" s="24" t="n">
        <x:v>9</x:v>
      </x:c>
      <x:c r="K1758" s="26" t="n">
        <x:v>0</x:v>
      </x:c>
      <x:c r="L1758" s="22" t="n">
        <x:v>151.09740000000002</x:v>
      </x:c>
      <x:c r="M1758" t="n">
        <x:v>2017</x:v>
      </x:c>
      <x:c r="N1758" s="20" t="n">
        <x:v>43070</x:v>
      </x:c>
    </x:row>
    <x:row r="1759" ht="18" customHeight="1">
      <x:c r="A1759" t="str">
        <x:v>CA-2017-116715</x:v>
      </x:c>
      <x:c r="B1759" s="18" t="n">
        <x:v>43071</x:v>
      </x:c>
      <x:c r="C1759" t="str">
        <x:v>VW-21775</x:v>
      </x:c>
      <x:c r="D1759" t="str">
        <x:v>Victoria Wilson</x:v>
      </x:c>
      <x:c r="E1759" t="str">
        <x:v>Corporate</x:v>
      </x:c>
      <x:c r="F1759" t="str">
        <x:v>West</x:v>
      </x:c>
      <x:c r="G1759" t="str">
        <x:v>Office Supplies</x:v>
      </x:c>
      <x:c r="H1759" t="str">
        <x:v>Paper</x:v>
      </x:c>
      <x:c r="I1759" s="22" t="n">
        <x:v>109.92</x:v>
      </x:c>
      <x:c r="J1759" s="24" t="n">
        <x:v>2</x:v>
      </x:c>
      <x:c r="K1759" s="26" t="n">
        <x:v>0</x:v>
      </x:c>
      <x:c r="L1759" s="22" t="n">
        <x:v>53.8608</x:v>
      </x:c>
      <x:c r="M1759" t="n">
        <x:v>2017</x:v>
      </x:c>
      <x:c r="N1759" s="20" t="n">
        <x:v>43070</x:v>
      </x:c>
    </x:row>
    <x:row r="1760" ht="18" customHeight="1">
      <x:c r="A1760" t="str">
        <x:v>CA-2017-116715</x:v>
      </x:c>
      <x:c r="B1760" s="18" t="n">
        <x:v>43071</x:v>
      </x:c>
      <x:c r="C1760" t="str">
        <x:v>VW-21775</x:v>
      </x:c>
      <x:c r="D1760" t="str">
        <x:v>Victoria Wilson</x:v>
      </x:c>
      <x:c r="E1760" t="str">
        <x:v>Corporate</x:v>
      </x:c>
      <x:c r="F1760" t="str">
        <x:v>West</x:v>
      </x:c>
      <x:c r="G1760" t="str">
        <x:v>Office Supplies</x:v>
      </x:c>
      <x:c r="H1760" t="str">
        <x:v>Paper</x:v>
      </x:c>
      <x:c r="I1760" s="22" t="n">
        <x:v>8.56</x:v>
      </x:c>
      <x:c r="J1760" s="24" t="n">
        <x:v>2</x:v>
      </x:c>
      <x:c r="K1760" s="26" t="n">
        <x:v>0</x:v>
      </x:c>
      <x:c r="L1760" s="22" t="n">
        <x:v>3.8519999999999994</x:v>
      </x:c>
      <x:c r="M1760" t="n">
        <x:v>2017</x:v>
      </x:c>
      <x:c r="N1760" s="20" t="n">
        <x:v>43070</x:v>
      </x:c>
    </x:row>
    <x:row r="1761" ht="18" customHeight="1">
      <x:c r="A1761" t="str">
        <x:v>CA-2015-135622</x:v>
      </x:c>
      <x:c r="B1761" s="18" t="n">
        <x:v>42346</x:v>
      </x:c>
      <x:c r="C1761" t="str">
        <x:v>TT-21460</x:v>
      </x:c>
      <x:c r="D1761" t="str">
        <x:v>Tonja Turnell</x:v>
      </x:c>
      <x:c r="E1761" t="str">
        <x:v>Home Office</x:v>
      </x:c>
      <x:c r="F1761" t="str">
        <x:v>Central</x:v>
      </x:c>
      <x:c r="G1761" t="str">
        <x:v>Office Supplies</x:v>
      </x:c>
      <x:c r="H1761" t="str">
        <x:v>Paper</x:v>
      </x:c>
      <x:c r="I1761" s="22" t="n">
        <x:v>360.712</x:v>
      </x:c>
      <x:c r="J1761" s="24" t="n">
        <x:v>11</x:v>
      </x:c>
      <x:c r="K1761" s="26" t="n">
        <x:v>0.2</x:v>
      </x:c>
      <x:c r="L1761" s="22" t="n">
        <x:v>130.7581</x:v>
      </x:c>
      <x:c r="M1761" t="n">
        <x:v>2015</x:v>
      </x:c>
      <x:c r="N1761" s="20" t="n">
        <x:v>42339</x:v>
      </x:c>
    </x:row>
    <x:row r="1762" ht="18" customHeight="1">
      <x:c r="A1762" t="str">
        <x:v>CA-2015-135622</x:v>
      </x:c>
      <x:c r="B1762" s="18" t="n">
        <x:v>42346</x:v>
      </x:c>
      <x:c r="C1762" t="str">
        <x:v>TT-21460</x:v>
      </x:c>
      <x:c r="D1762" t="str">
        <x:v>Tonja Turnell</x:v>
      </x:c>
      <x:c r="E1762" t="str">
        <x:v>Home Office</x:v>
      </x:c>
      <x:c r="F1762" t="str">
        <x:v>Central</x:v>
      </x:c>
      <x:c r="G1762" t="str">
        <x:v>Technology</x:v>
      </x:c>
      <x:c r="H1762" t="str">
        <x:v>Phones</x:v>
      </x:c>
      <x:c r="I1762" s="22" t="n">
        <x:v>1718.4</x:v>
      </x:c>
      <x:c r="J1762" s="24" t="n">
        <x:v>6</x:v>
      </x:c>
      <x:c r="K1762" s="26" t="n">
        <x:v>0.2</x:v>
      </x:c>
      <x:c r="L1762" s="22" t="n">
        <x:v>150.36000000000013</x:v>
      </x:c>
      <x:c r="M1762" t="n">
        <x:v>2015</x:v>
      </x:c>
      <x:c r="N1762" s="20" t="n">
        <x:v>42339</x:v>
      </x:c>
    </x:row>
    <x:row r="1763" ht="18" customHeight="1">
      <x:c r="A1763" t="str">
        <x:v>US-2015-107349</x:v>
      </x:c>
      <x:c r="B1763" s="18" t="n">
        <x:v>42198</x:v>
      </x:c>
      <x:c r="C1763" t="str">
        <x:v>SL-20155</x:v>
      </x:c>
      <x:c r="D1763" t="str">
        <x:v>Sara Luxemburg</x:v>
      </x:c>
      <x:c r="E1763" t="str">
        <x:v>Home Office</x:v>
      </x:c>
      <x:c r="F1763" t="str">
        <x:v>Central</x:v>
      </x:c>
      <x:c r="G1763" t="str">
        <x:v>Office Supplies</x:v>
      </x:c>
      <x:c r="H1763" t="str">
        <x:v>Binders</x:v>
      </x:c>
      <x:c r="I1763" s="22" t="n">
        <x:v>41.56799999999999</x:v>
      </x:c>
      <x:c r="J1763" s="24" t="n">
        <x:v>6</x:v>
      </x:c>
      <x:c r="K1763" s="26" t="n">
        <x:v>0.8</x:v>
      </x:c>
      <x:c r="L1763" s="22" t="n">
        <x:v>-66.50880000000004</x:v>
      </x:c>
      <x:c r="M1763" t="n">
        <x:v>2015</x:v>
      </x:c>
      <x:c r="N1763" s="20" t="n">
        <x:v>42186</x:v>
      </x:c>
    </x:row>
    <x:row r="1764" ht="18" customHeight="1">
      <x:c r="A1764" t="str">
        <x:v>CA-2014-139017</x:v>
      </x:c>
      <x:c r="B1764" s="18" t="n">
        <x:v>41770</x:v>
      </x:c>
      <x:c r="C1764" t="str">
        <x:v>RM-19375</x:v>
      </x:c>
      <x:c r="D1764" t="str">
        <x:v>Raymond Messe</x:v>
      </x:c>
      <x:c r="E1764" t="str">
        <x:v>Consumer</x:v>
      </x:c>
      <x:c r="F1764" t="str">
        <x:v>Central</x:v>
      </x:c>
      <x:c r="G1764" t="str">
        <x:v>Technology</x:v>
      </x:c>
      <x:c r="H1764" t="str">
        <x:v>Accessories</x:v>
      </x:c>
      <x:c r="I1764" s="22" t="n">
        <x:v>46.864000000000004</x:v>
      </x:c>
      <x:c r="J1764" s="24" t="n">
        <x:v>2</x:v>
      </x:c>
      <x:c r="K1764" s="26" t="n">
        <x:v>0.2</x:v>
      </x:c>
      <x:c r="L1764" s="22" t="n">
        <x:v>7.615399999999994</x:v>
      </x:c>
      <x:c r="M1764" t="n">
        <x:v>2014</x:v>
      </x:c>
      <x:c r="N1764" s="20" t="n">
        <x:v>41760</x:v>
      </x:c>
    </x:row>
    <x:row r="1765" ht="18" customHeight="1">
      <x:c r="A1765" t="str">
        <x:v>CA-2014-141817</x:v>
      </x:c>
      <x:c r="B1765" s="18" t="n">
        <x:v>41644</x:v>
      </x:c>
      <x:c r="C1765" t="str">
        <x:v>MB-18085</x:v>
      </x:c>
      <x:c r="D1765" t="str">
        <x:v>Mick Brown</x:v>
      </x:c>
      <x:c r="E1765" t="str">
        <x:v>Consumer</x:v>
      </x:c>
      <x:c r="F1765" t="str">
        <x:v>East</x:v>
      </x:c>
      <x:c r="G1765" t="str">
        <x:v>Office Supplies</x:v>
      </x:c>
      <x:c r="H1765" t="str">
        <x:v>Art</x:v>
      </x:c>
      <x:c r="I1765" s="22" t="n">
        <x:v>19.536</x:v>
      </x:c>
      <x:c r="J1765" s="24" t="n">
        <x:v>3</x:v>
      </x:c>
      <x:c r="K1765" s="26" t="n">
        <x:v>0.2</x:v>
      </x:c>
      <x:c r="L1765" s="22" t="n">
        <x:v>4.884</x:v>
      </x:c>
      <x:c r="M1765" t="n">
        <x:v>2014</x:v>
      </x:c>
      <x:c r="N1765" s="20" t="n">
        <x:v>41640</x:v>
      </x:c>
    </x:row>
    <x:row r="1766" ht="18" customHeight="1">
      <x:c r="A1766" t="str">
        <x:v>CA-2015-130785</x:v>
      </x:c>
      <x:c r="B1766" s="18" t="n">
        <x:v>42252</x:v>
      </x:c>
      <x:c r="C1766" t="str">
        <x:v>AG-10900</x:v>
      </x:c>
      <x:c r="D1766" t="str">
        <x:v>Arthur Gainer</x:v>
      </x:c>
      <x:c r="E1766" t="str">
        <x:v>Consumer</x:v>
      </x:c>
      <x:c r="F1766" t="str">
        <x:v>West</x:v>
      </x:c>
      <x:c r="G1766" t="str">
        <x:v>Furniture</x:v>
      </x:c>
      <x:c r="H1766" t="str">
        <x:v>Bookcases</x:v>
      </x:c>
      <x:c r="I1766" s="22" t="n">
        <x:v>411.332</x:v>
      </x:c>
      <x:c r="J1766" s="24" t="n">
        <x:v>4</x:v>
      </x:c>
      <x:c r="K1766" s="26" t="n">
        <x:v>0.15</x:v>
      </x:c>
      <x:c r="L1766" s="22" t="n">
        <x:v>-4.839199999999977</x:v>
      </x:c>
      <x:c r="M1766" t="n">
        <x:v>2015</x:v>
      </x:c>
      <x:c r="N1766" s="20" t="n">
        <x:v>42248</x:v>
      </x:c>
    </x:row>
    <x:row r="1767" ht="18" customHeight="1">
      <x:c r="A1767" t="str">
        <x:v>CA-2015-130785</x:v>
      </x:c>
      <x:c r="B1767" s="18" t="n">
        <x:v>42252</x:v>
      </x:c>
      <x:c r="C1767" t="str">
        <x:v>AG-10900</x:v>
      </x:c>
      <x:c r="D1767" t="str">
        <x:v>Arthur Gainer</x:v>
      </x:c>
      <x:c r="E1767" t="str">
        <x:v>Consumer</x:v>
      </x:c>
      <x:c r="F1767" t="str">
        <x:v>West</x:v>
      </x:c>
      <x:c r="G1767" t="str">
        <x:v>Office Supplies</x:v>
      </x:c>
      <x:c r="H1767" t="str">
        <x:v>Binders</x:v>
      </x:c>
      <x:c r="I1767" s="22" t="n">
        <x:v>28.752000000000002</x:v>
      </x:c>
      <x:c r="J1767" s="24" t="n">
        <x:v>6</x:v>
      </x:c>
      <x:c r="K1767" s="26" t="n">
        <x:v>0.2</x:v>
      </x:c>
      <x:c r="L1767" s="22" t="n">
        <x:v>9.7038</x:v>
      </x:c>
      <x:c r="M1767" t="n">
        <x:v>2015</x:v>
      </x:c>
      <x:c r="N1767" s="20" t="n">
        <x:v>42248</x:v>
      </x:c>
    </x:row>
    <x:row r="1768" ht="18" customHeight="1">
      <x:c r="A1768" t="str">
        <x:v>CA-2015-130785</x:v>
      </x:c>
      <x:c r="B1768" s="18" t="n">
        <x:v>42252</x:v>
      </x:c>
      <x:c r="C1768" t="str">
        <x:v>AG-10900</x:v>
      </x:c>
      <x:c r="D1768" t="str">
        <x:v>Arthur Gainer</x:v>
      </x:c>
      <x:c r="E1768" t="str">
        <x:v>Consumer</x:v>
      </x:c>
      <x:c r="F1768" t="str">
        <x:v>West</x:v>
      </x:c>
      <x:c r="G1768" t="str">
        <x:v>Furniture</x:v>
      </x:c>
      <x:c r="H1768" t="str">
        <x:v>Bookcases</x:v>
      </x:c>
      <x:c r="I1768" s="22" t="n">
        <x:v>293.199</x:v>
      </x:c>
      <x:c r="J1768" s="24" t="n">
        <x:v>3</x:v>
      </x:c>
      <x:c r="K1768" s="26" t="n">
        <x:v>0.15</x:v>
      </x:c>
      <x:c r="L1768" s="22" t="n">
        <x:v>-20.696400000000025</x:v>
      </x:c>
      <x:c r="M1768" t="n">
        <x:v>2015</x:v>
      </x:c>
      <x:c r="N1768" s="20" t="n">
        <x:v>42248</x:v>
      </x:c>
    </x:row>
    <x:row r="1769" ht="18" customHeight="1">
      <x:c r="A1769" t="str">
        <x:v>CA-2016-110254</x:v>
      </x:c>
      <x:c r="B1769" s="18" t="n">
        <x:v>42586</x:v>
      </x:c>
      <x:c r="C1769" t="str">
        <x:v>ML-17755</x:v>
      </x:c>
      <x:c r="D1769" t="str">
        <x:v>Max Ludwig</x:v>
      </x:c>
      <x:c r="E1769" t="str">
        <x:v>Home Office</x:v>
      </x:c>
      <x:c r="F1769" t="str">
        <x:v>South</x:v>
      </x:c>
      <x:c r="G1769" t="str">
        <x:v>Office Supplies</x:v>
      </x:c>
      <x:c r="H1769" t="str">
        <x:v>Supplies</x:v>
      </x:c>
      <x:c r="I1769" s="22" t="n">
        <x:v>35.06</x:v>
      </x:c>
      <x:c r="J1769" s="24" t="n">
        <x:v>2</x:v>
      </x:c>
      <x:c r="K1769" s="26" t="n">
        <x:v>0</x:v>
      </x:c>
      <x:c r="L1769" s="22" t="n">
        <x:v>10.517999999999997</x:v>
      </x:c>
      <x:c r="M1769" t="n">
        <x:v>2016</x:v>
      </x:c>
      <x:c r="N1769" s="20" t="n">
        <x:v>42583</x:v>
      </x:c>
    </x:row>
    <x:row r="1770" ht="18" customHeight="1">
      <x:c r="A1770" t="str">
        <x:v>CA-2016-110254</x:v>
      </x:c>
      <x:c r="B1770" s="18" t="n">
        <x:v>42586</x:v>
      </x:c>
      <x:c r="C1770" t="str">
        <x:v>ML-17755</x:v>
      </x:c>
      <x:c r="D1770" t="str">
        <x:v>Max Ludwig</x:v>
      </x:c>
      <x:c r="E1770" t="str">
        <x:v>Home Office</x:v>
      </x:c>
      <x:c r="F1770" t="str">
        <x:v>South</x:v>
      </x:c>
      <x:c r="G1770" t="str">
        <x:v>Office Supplies</x:v>
      </x:c>
      <x:c r="H1770" t="str">
        <x:v>Labels</x:v>
      </x:c>
      <x:c r="I1770" s="22" t="n">
        <x:v>4.13</x:v>
      </x:c>
      <x:c r="J1770" s="24" t="n">
        <x:v>1</x:v>
      </x:c>
      <x:c r="K1770" s="26" t="n">
        <x:v>0</x:v>
      </x:c>
      <x:c r="L1770" s="22" t="n">
        <x:v>1.8998</x:v>
      </x:c>
      <x:c r="M1770" t="n">
        <x:v>2016</x:v>
      </x:c>
      <x:c r="N1770" s="20" t="n">
        <x:v>42583</x:v>
      </x:c>
    </x:row>
    <x:row r="1771" ht="18" customHeight="1">
      <x:c r="A1771" t="str">
        <x:v>CA-2016-110254</x:v>
      </x:c>
      <x:c r="B1771" s="18" t="n">
        <x:v>42586</x:v>
      </x:c>
      <x:c r="C1771" t="str">
        <x:v>ML-17755</x:v>
      </x:c>
      <x:c r="D1771" t="str">
        <x:v>Max Ludwig</x:v>
      </x:c>
      <x:c r="E1771" t="str">
        <x:v>Home Office</x:v>
      </x:c>
      <x:c r="F1771" t="str">
        <x:v>South</x:v>
      </x:c>
      <x:c r="G1771" t="str">
        <x:v>Furniture</x:v>
      </x:c>
      <x:c r="H1771" t="str">
        <x:v>Furnishings</x:v>
      </x:c>
      <x:c r="I1771" s="22" t="n">
        <x:v>109.8</x:v>
      </x:c>
      <x:c r="J1771" s="24" t="n">
        <x:v>9</x:v>
      </x:c>
      <x:c r="K1771" s="26" t="n">
        <x:v>0</x:v>
      </x:c>
      <x:c r="L1771" s="22" t="n">
        <x:v>46.11600000000001</x:v>
      </x:c>
      <x:c r="M1771" t="n">
        <x:v>2016</x:v>
      </x:c>
      <x:c r="N1771" s="20" t="n">
        <x:v>42583</x:v>
      </x:c>
    </x:row>
    <x:row r="1772" ht="18" customHeight="1">
      <x:c r="A1772" t="str">
        <x:v>CA-2016-110254</x:v>
      </x:c>
      <x:c r="B1772" s="18" t="n">
        <x:v>42586</x:v>
      </x:c>
      <x:c r="C1772" t="str">
        <x:v>ML-17755</x:v>
      </x:c>
      <x:c r="D1772" t="str">
        <x:v>Max Ludwig</x:v>
      </x:c>
      <x:c r="E1772" t="str">
        <x:v>Home Office</x:v>
      </x:c>
      <x:c r="F1772" t="str">
        <x:v>South</x:v>
      </x:c>
      <x:c r="G1772" t="str">
        <x:v>Office Supplies</x:v>
      </x:c>
      <x:c r="H1772" t="str">
        <x:v>Labels</x:v>
      </x:c>
      <x:c r="I1772" s="22" t="n">
        <x:v>9.82</x:v>
      </x:c>
      <x:c r="J1772" s="24" t="n">
        <x:v>2</x:v>
      </x:c>
      <x:c r="K1772" s="26" t="n">
        <x:v>0</x:v>
      </x:c>
      <x:c r="L1772" s="22" t="n">
        <x:v>4.8118</x:v>
      </x:c>
      <x:c r="M1772" t="n">
        <x:v>2016</x:v>
      </x:c>
      <x:c r="N1772" s="20" t="n">
        <x:v>42583</x:v>
      </x:c>
    </x:row>
    <x:row r="1773" ht="18" customHeight="1">
      <x:c r="A1773" t="str">
        <x:v>US-2014-158057</x:v>
      </x:c>
      <x:c r="B1773" s="18" t="n">
        <x:v>41720</x:v>
      </x:c>
      <x:c r="C1773" t="str">
        <x:v>CC-12685</x:v>
      </x:c>
      <x:c r="D1773" t="str">
        <x:v>Craig Carroll</x:v>
      </x:c>
      <x:c r="E1773" t="str">
        <x:v>Consumer</x:v>
      </x:c>
      <x:c r="F1773" t="str">
        <x:v>South</x:v>
      </x:c>
      <x:c r="G1773" t="str">
        <x:v>Office Supplies</x:v>
      </x:c>
      <x:c r="H1773" t="str">
        <x:v>Binders</x:v>
      </x:c>
      <x:c r="I1773" s="22" t="n">
        <x:v>7.644000000000001</x:v>
      </x:c>
      <x:c r="J1773" s="24" t="n">
        <x:v>4</x:v>
      </x:c>
      <x:c r="K1773" s="26" t="n">
        <x:v>0.7</x:v>
      </x:c>
      <x:c r="L1773" s="22" t="n">
        <x:v>-5.8603999999999985</x:v>
      </x:c>
      <x:c r="M1773" t="n">
        <x:v>2014</x:v>
      </x:c>
      <x:c r="N1773" s="20" t="n">
        <x:v>41699</x:v>
      </x:c>
    </x:row>
    <x:row r="1774" ht="18" customHeight="1">
      <x:c r="A1774" t="str">
        <x:v>US-2014-158057</x:v>
      </x:c>
      <x:c r="B1774" s="18" t="n">
        <x:v>41720</x:v>
      </x:c>
      <x:c r="C1774" t="str">
        <x:v>CC-12685</x:v>
      </x:c>
      <x:c r="D1774" t="str">
        <x:v>Craig Carroll</x:v>
      </x:c>
      <x:c r="E1774" t="str">
        <x:v>Consumer</x:v>
      </x:c>
      <x:c r="F1774" t="str">
        <x:v>South</x:v>
      </x:c>
      <x:c r="G1774" t="str">
        <x:v>Office Supplies</x:v>
      </x:c>
      <x:c r="H1774" t="str">
        <x:v>Binders</x:v>
      </x:c>
      <x:c r="I1774" s="22" t="n">
        <x:v>51.46500000000002</x:v>
      </x:c>
      <x:c r="J1774" s="24" t="n">
        <x:v>5</x:v>
      </x:c>
      <x:c r="K1774" s="26" t="n">
        <x:v>0.7</x:v>
      </x:c>
      <x:c r="L1774" s="22" t="n">
        <x:v>-39.45649999999999</x:v>
      </x:c>
      <x:c r="M1774" t="n">
        <x:v>2014</x:v>
      </x:c>
      <x:c r="N1774" s="20" t="n">
        <x:v>41699</x:v>
      </x:c>
    </x:row>
    <x:row r="1775" ht="18" customHeight="1">
      <x:c r="A1775" t="str">
        <x:v>CA-2017-146024</x:v>
      </x:c>
      <x:c r="B1775" s="18" t="n">
        <x:v>42796</x:v>
      </x:c>
      <x:c r="C1775" t="str">
        <x:v>SC-20770</x:v>
      </x:c>
      <x:c r="D1775" t="str">
        <x:v>Stewart Carmichael</x:v>
      </x:c>
      <x:c r="E1775" t="str">
        <x:v>Corporate</x:v>
      </x:c>
      <x:c r="F1775" t="str">
        <x:v>Central</x:v>
      </x:c>
      <x:c r="G1775" t="str">
        <x:v>Office Supplies</x:v>
      </x:c>
      <x:c r="H1775" t="str">
        <x:v>Supplies</x:v>
      </x:c>
      <x:c r="I1775" s="22" t="n">
        <x:v>6.976000000000001</x:v>
      </x:c>
      <x:c r="J1775" s="24" t="n">
        <x:v>4</x:v>
      </x:c>
      <x:c r="K1775" s="26" t="n">
        <x:v>0.2</x:v>
      </x:c>
      <x:c r="L1775" s="22" t="n">
        <x:v>-1.3952000000000013</x:v>
      </x:c>
      <x:c r="M1775" t="n">
        <x:v>2017</x:v>
      </x:c>
      <x:c r="N1775" s="20" t="n">
        <x:v>42795</x:v>
      </x:c>
    </x:row>
    <x:row r="1776" ht="18" customHeight="1">
      <x:c r="A1776" t="str">
        <x:v>CA-2017-146024</x:v>
      </x:c>
      <x:c r="B1776" s="18" t="n">
        <x:v>42796</x:v>
      </x:c>
      <x:c r="C1776" t="str">
        <x:v>SC-20770</x:v>
      </x:c>
      <x:c r="D1776" t="str">
        <x:v>Stewart Carmichael</x:v>
      </x:c>
      <x:c r="E1776" t="str">
        <x:v>Corporate</x:v>
      </x:c>
      <x:c r="F1776" t="str">
        <x:v>Central</x:v>
      </x:c>
      <x:c r="G1776" t="str">
        <x:v>Office Supplies</x:v>
      </x:c>
      <x:c r="H1776" t="str">
        <x:v>Binders</x:v>
      </x:c>
      <x:c r="I1776" s="22" t="n">
        <x:v>12.221999999999998</x:v>
      </x:c>
      <x:c r="J1776" s="24" t="n">
        <x:v>7</x:v>
      </x:c>
      <x:c r="K1776" s="26" t="n">
        <x:v>0.8</x:v>
      </x:c>
      <x:c r="L1776" s="22" t="n">
        <x:v>-20.166300000000007</x:v>
      </x:c>
      <x:c r="M1776" t="n">
        <x:v>2017</x:v>
      </x:c>
      <x:c r="N1776" s="20" t="n">
        <x:v>42795</x:v>
      </x:c>
    </x:row>
    <x:row r="1777" ht="18" customHeight="1">
      <x:c r="A1777" t="str">
        <x:v>CA-2016-129686</x:v>
      </x:c>
      <x:c r="B1777" s="18" t="n">
        <x:v>42701</x:v>
      </x:c>
      <x:c r="C1777" t="str">
        <x:v>GG-14650</x:v>
      </x:c>
      <x:c r="D1777" t="str">
        <x:v>Greg Guthrie</x:v>
      </x:c>
      <x:c r="E1777" t="str">
        <x:v>Corporate</x:v>
      </x:c>
      <x:c r="F1777" t="str">
        <x:v>Central</x:v>
      </x:c>
      <x:c r="G1777" t="str">
        <x:v>Office Supplies</x:v>
      </x:c>
      <x:c r="H1777" t="str">
        <x:v>Storage</x:v>
      </x:c>
      <x:c r="I1777" s="22" t="n">
        <x:v>97.98400000000001</x:v>
      </x:c>
      <x:c r="J1777" s="24" t="n">
        <x:v>2</x:v>
      </x:c>
      <x:c r="K1777" s="26" t="n">
        <x:v>0.2</x:v>
      </x:c>
      <x:c r="L1777" s="22" t="n">
        <x:v>-24.496000000000002</x:v>
      </x:c>
      <x:c r="M1777" t="n">
        <x:v>2016</x:v>
      </x:c>
      <x:c r="N1777" s="20" t="n">
        <x:v>42675</x:v>
      </x:c>
    </x:row>
    <x:row r="1778" ht="18" customHeight="1">
      <x:c r="A1778" t="str">
        <x:v>CA-2016-129686</x:v>
      </x:c>
      <x:c r="B1778" s="18" t="n">
        <x:v>42701</x:v>
      </x:c>
      <x:c r="C1778" t="str">
        <x:v>GG-14650</x:v>
      </x:c>
      <x:c r="D1778" t="str">
        <x:v>Greg Guthrie</x:v>
      </x:c>
      <x:c r="E1778" t="str">
        <x:v>Corporate</x:v>
      </x:c>
      <x:c r="F1778" t="str">
        <x:v>Central</x:v>
      </x:c>
      <x:c r="G1778" t="str">
        <x:v>Technology</x:v>
      </x:c>
      <x:c r="H1778" t="str">
        <x:v>Accessories</x:v>
      </x:c>
      <x:c r="I1778" s="22" t="n">
        <x:v>62.400000000000006</x:v>
      </x:c>
      <x:c r="J1778" s="24" t="n">
        <x:v>6</x:v>
      </x:c>
      <x:c r="K1778" s="26" t="n">
        <x:v>0.2</x:v>
      </x:c>
      <x:c r="L1778" s="22" t="n">
        <x:v>19.499999999999993</x:v>
      </x:c>
      <x:c r="M1778" t="n">
        <x:v>2016</x:v>
      </x:c>
      <x:c r="N1778" s="20" t="n">
        <x:v>42675</x:v>
      </x:c>
    </x:row>
    <x:row r="1779" ht="18" customHeight="1">
      <x:c r="A1779" t="str">
        <x:v>CA-2014-118976</x:v>
      </x:c>
      <x:c r="B1779" s="18" t="n">
        <x:v>41757</x:v>
      </x:c>
      <x:c r="C1779" t="str">
        <x:v>MY-18295</x:v>
      </x:c>
      <x:c r="D1779" t="str">
        <x:v>Muhammed Yedwab</x:v>
      </x:c>
      <x:c r="E1779" t="str">
        <x:v>Corporate</x:v>
      </x:c>
      <x:c r="F1779" t="str">
        <x:v>East</x:v>
      </x:c>
      <x:c r="G1779" t="str">
        <x:v>Office Supplies</x:v>
      </x:c>
      <x:c r="H1779" t="str">
        <x:v>Binders</x:v>
      </x:c>
      <x:c r="I1779" s="22" t="n">
        <x:v>20.86</x:v>
      </x:c>
      <x:c r="J1779" s="24" t="n">
        <x:v>2</x:v>
      </x:c>
      <x:c r="K1779" s="26" t="n">
        <x:v>0</x:v>
      </x:c>
      <x:c r="L1779" s="22" t="n">
        <x:v>9.386999999999999</x:v>
      </x:c>
      <x:c r="M1779" t="n">
        <x:v>2014</x:v>
      </x:c>
      <x:c r="N1779" s="20" t="n">
        <x:v>41730</x:v>
      </x:c>
    </x:row>
    <x:row r="1780" ht="18" customHeight="1">
      <x:c r="A1780" t="str">
        <x:v>CA-2014-118976</x:v>
      </x:c>
      <x:c r="B1780" s="18" t="n">
        <x:v>41757</x:v>
      </x:c>
      <x:c r="C1780" t="str">
        <x:v>MY-18295</x:v>
      </x:c>
      <x:c r="D1780" t="str">
        <x:v>Muhammed Yedwab</x:v>
      </x:c>
      <x:c r="E1780" t="str">
        <x:v>Corporate</x:v>
      </x:c>
      <x:c r="F1780" t="str">
        <x:v>East</x:v>
      </x:c>
      <x:c r="G1780" t="str">
        <x:v>Office Supplies</x:v>
      </x:c>
      <x:c r="H1780" t="str">
        <x:v>Storage</x:v>
      </x:c>
      <x:c r="I1780" s="22" t="n">
        <x:v>497.61</x:v>
      </x:c>
      <x:c r="J1780" s="24" t="n">
        <x:v>9</x:v>
      </x:c>
      <x:c r="K1780" s="26" t="n">
        <x:v>0</x:v>
      </x:c>
      <x:c r="L1780" s="22" t="n">
        <x:v>129.3786</x:v>
      </x:c>
      <x:c r="M1780" t="n">
        <x:v>2014</x:v>
      </x:c>
      <x:c r="N1780" s="20" t="n">
        <x:v>41730</x:v>
      </x:c>
    </x:row>
    <x:row r="1781" ht="18" customHeight="1">
      <x:c r="A1781" t="str">
        <x:v>CA-2014-118976</x:v>
      </x:c>
      <x:c r="B1781" s="18" t="n">
        <x:v>41757</x:v>
      </x:c>
      <x:c r="C1781" t="str">
        <x:v>MY-18295</x:v>
      </x:c>
      <x:c r="D1781" t="str">
        <x:v>Muhammed Yedwab</x:v>
      </x:c>
      <x:c r="E1781" t="str">
        <x:v>Corporate</x:v>
      </x:c>
      <x:c r="F1781" t="str">
        <x:v>East</x:v>
      </x:c>
      <x:c r="G1781" t="str">
        <x:v>Office Supplies</x:v>
      </x:c>
      <x:c r="H1781" t="str">
        <x:v>Art</x:v>
      </x:c>
      <x:c r="I1781" s="22" t="n">
        <x:v>5.34</x:v>
      </x:c>
      <x:c r="J1781" s="24" t="n">
        <x:v>2</x:v>
      </x:c>
      <x:c r="K1781" s="26" t="n">
        <x:v>0</x:v>
      </x:c>
      <x:c r="L1781" s="22" t="n">
        <x:v>1.4952</x:v>
      </x:c>
      <x:c r="M1781" t="n">
        <x:v>2014</x:v>
      </x:c>
      <x:c r="N1781" s="20" t="n">
        <x:v>41730</x:v>
      </x:c>
    </x:row>
    <x:row r="1782" ht="18" customHeight="1">
      <x:c r="A1782" t="str">
        <x:v>CA-2014-118976</x:v>
      </x:c>
      <x:c r="B1782" s="18" t="n">
        <x:v>41757</x:v>
      </x:c>
      <x:c r="C1782" t="str">
        <x:v>MY-18295</x:v>
      </x:c>
      <x:c r="D1782" t="str">
        <x:v>Muhammed Yedwab</x:v>
      </x:c>
      <x:c r="E1782" t="str">
        <x:v>Corporate</x:v>
      </x:c>
      <x:c r="F1782" t="str">
        <x:v>East</x:v>
      </x:c>
      <x:c r="G1782" t="str">
        <x:v>Office Supplies</x:v>
      </x:c>
      <x:c r="H1782" t="str">
        <x:v>Labels</x:v>
      </x:c>
      <x:c r="I1782" s="22" t="n">
        <x:v>3.15</x:v>
      </x:c>
      <x:c r="J1782" s="24" t="n">
        <x:v>1</x:v>
      </x:c>
      <x:c r="K1782" s="26" t="n">
        <x:v>0</x:v>
      </x:c>
      <x:c r="L1782" s="22" t="n">
        <x:v>1.512</x:v>
      </x:c>
      <x:c r="M1782" t="n">
        <x:v>2014</x:v>
      </x:c>
      <x:c r="N1782" s="20" t="n">
        <x:v>41730</x:v>
      </x:c>
    </x:row>
    <x:row r="1783" ht="18" customHeight="1">
      <x:c r="A1783" t="str">
        <x:v>CA-2015-105347</x:v>
      </x:c>
      <x:c r="B1783" s="18" t="n">
        <x:v>42332</x:v>
      </x:c>
      <x:c r="C1783" t="str">
        <x:v>DP-13000</x:v>
      </x:c>
      <x:c r="D1783" t="str">
        <x:v>Darren Powers</x:v>
      </x:c>
      <x:c r="E1783" t="str">
        <x:v>Consumer</x:v>
      </x:c>
      <x:c r="F1783" t="str">
        <x:v>West</x:v>
      </x:c>
      <x:c r="G1783" t="str">
        <x:v>Office Supplies</x:v>
      </x:c>
      <x:c r="H1783" t="str">
        <x:v>Paper</x:v>
      </x:c>
      <x:c r="I1783" s="22" t="n">
        <x:v>368.91</x:v>
      </x:c>
      <x:c r="J1783" s="24" t="n">
        <x:v>9</x:v>
      </x:c>
      <x:c r="K1783" s="26" t="n">
        <x:v>0</x:v>
      </x:c>
      <x:c r="L1783" s="22" t="n">
        <x:v>180.76590000000002</x:v>
      </x:c>
      <x:c r="M1783" t="n">
        <x:v>2015</x:v>
      </x:c>
      <x:c r="N1783" s="20" t="n">
        <x:v>42309</x:v>
      </x:c>
    </x:row>
    <x:row r="1784" ht="18" customHeight="1">
      <x:c r="A1784" t="str">
        <x:v>CA-2015-105347</x:v>
      </x:c>
      <x:c r="B1784" s="18" t="n">
        <x:v>42332</x:v>
      </x:c>
      <x:c r="C1784" t="str">
        <x:v>DP-13000</x:v>
      </x:c>
      <x:c r="D1784" t="str">
        <x:v>Darren Powers</x:v>
      </x:c>
      <x:c r="E1784" t="str">
        <x:v>Consumer</x:v>
      </x:c>
      <x:c r="F1784" t="str">
        <x:v>West</x:v>
      </x:c>
      <x:c r="G1784" t="str">
        <x:v>Office Supplies</x:v>
      </x:c>
      <x:c r="H1784" t="str">
        <x:v>Art</x:v>
      </x:c>
      <x:c r="I1784" s="22" t="n">
        <x:v>14.7</x:v>
      </x:c>
      <x:c r="J1784" s="24" t="n">
        <x:v>5</x:v>
      </x:c>
      <x:c r="K1784" s="26" t="n">
        <x:v>0</x:v>
      </x:c>
      <x:c r="L1784" s="22" t="n">
        <x:v>6.615</x:v>
      </x:c>
      <x:c r="M1784" t="n">
        <x:v>2015</x:v>
      </x:c>
      <x:c r="N1784" s="20" t="n">
        <x:v>42309</x:v>
      </x:c>
    </x:row>
    <x:row r="1785" ht="18" customHeight="1">
      <x:c r="A1785" t="str">
        <x:v>CA-2016-124667</x:v>
      </x:c>
      <x:c r="B1785" s="18" t="n">
        <x:v>42685</x:v>
      </x:c>
      <x:c r="C1785" t="str">
        <x:v>BD-11770</x:v>
      </x:c>
      <x:c r="D1785" t="str">
        <x:v>Bryan Davis</x:v>
      </x:c>
      <x:c r="E1785" t="str">
        <x:v>Consumer</x:v>
      </x:c>
      <x:c r="F1785" t="str">
        <x:v>East</x:v>
      </x:c>
      <x:c r="G1785" t="str">
        <x:v>Technology</x:v>
      </x:c>
      <x:c r="H1785" t="str">
        <x:v>Accessories</x:v>
      </x:c>
      <x:c r="I1785" s="22" t="n">
        <x:v>59.97</x:v>
      </x:c>
      <x:c r="J1785" s="24" t="n">
        <x:v>3</x:v>
      </x:c>
      <x:c r="K1785" s="26" t="n">
        <x:v>0</x:v>
      </x:c>
      <x:c r="L1785" s="22" t="n">
        <x:v>14.992499999999996</x:v>
      </x:c>
      <x:c r="M1785" t="n">
        <x:v>2016</x:v>
      </x:c>
      <x:c r="N1785" s="20" t="n">
        <x:v>42675</x:v>
      </x:c>
    </x:row>
    <x:row r="1786" ht="18" customHeight="1">
      <x:c r="A1786" t="str">
        <x:v>CA-2016-124667</x:v>
      </x:c>
      <x:c r="B1786" s="18" t="n">
        <x:v>42685</x:v>
      </x:c>
      <x:c r="C1786" t="str">
        <x:v>BD-11770</x:v>
      </x:c>
      <x:c r="D1786" t="str">
        <x:v>Bryan Davis</x:v>
      </x:c>
      <x:c r="E1786" t="str">
        <x:v>Consumer</x:v>
      </x:c>
      <x:c r="F1786" t="str">
        <x:v>East</x:v>
      </x:c>
      <x:c r="G1786" t="str">
        <x:v>Office Supplies</x:v>
      </x:c>
      <x:c r="H1786" t="str">
        <x:v>Storage</x:v>
      </x:c>
      <x:c r="I1786" s="22" t="n">
        <x:v>83.36</x:v>
      </x:c>
      <x:c r="J1786" s="24" t="n">
        <x:v>1</x:v>
      </x:c>
      <x:c r="K1786" s="26" t="n">
        <x:v>0</x:v>
      </x:c>
      <x:c r="L1786" s="22" t="n">
        <x:v>20.840000000000003</x:v>
      </x:c>
      <x:c r="M1786" t="n">
        <x:v>2016</x:v>
      </x:c>
      <x:c r="N1786" s="20" t="n">
        <x:v>42675</x:v>
      </x:c>
    </x:row>
    <x:row r="1787" ht="18" customHeight="1">
      <x:c r="A1787" t="str">
        <x:v>CA-2015-111094</x:v>
      </x:c>
      <x:c r="B1787" s="18" t="n">
        <x:v>42194</x:v>
      </x:c>
      <x:c r="C1787" t="str">
        <x:v>CB-12535</x:v>
      </x:c>
      <x:c r="D1787" t="str">
        <x:v>Claudia Bergmann</x:v>
      </x:c>
      <x:c r="E1787" t="str">
        <x:v>Corporate</x:v>
      </x:c>
      <x:c r="F1787" t="str">
        <x:v>East</x:v>
      </x:c>
      <x:c r="G1787" t="str">
        <x:v>Office Supplies</x:v>
      </x:c>
      <x:c r="H1787" t="str">
        <x:v>Paper</x:v>
      </x:c>
      <x:c r="I1787" s="22" t="n">
        <x:v>6.58</x:v>
      </x:c>
      <x:c r="J1787" s="24" t="n">
        <x:v>2</x:v>
      </x:c>
      <x:c r="K1787" s="26" t="n">
        <x:v>0</x:v>
      </x:c>
      <x:c r="L1787" s="22" t="n">
        <x:v>3.0267999999999997</x:v>
      </x:c>
      <x:c r="M1787" t="n">
        <x:v>2015</x:v>
      </x:c>
      <x:c r="N1787" s="20" t="n">
        <x:v>42186</x:v>
      </x:c>
    </x:row>
    <x:row r="1788" ht="18" customHeight="1">
      <x:c r="A1788" t="str">
        <x:v>CA-2015-111094</x:v>
      </x:c>
      <x:c r="B1788" s="18" t="n">
        <x:v>42194</x:v>
      </x:c>
      <x:c r="C1788" t="str">
        <x:v>CB-12535</x:v>
      </x:c>
      <x:c r="D1788" t="str">
        <x:v>Claudia Bergmann</x:v>
      </x:c>
      <x:c r="E1788" t="str">
        <x:v>Corporate</x:v>
      </x:c>
      <x:c r="F1788" t="str">
        <x:v>East</x:v>
      </x:c>
      <x:c r="G1788" t="str">
        <x:v>Office Supplies</x:v>
      </x:c>
      <x:c r="H1788" t="str">
        <x:v>Binders</x:v>
      </x:c>
      <x:c r="I1788" s="22" t="n">
        <x:v>122.94</x:v>
      </x:c>
      <x:c r="J1788" s="24" t="n">
        <x:v>3</x:v>
      </x:c>
      <x:c r="K1788" s="26" t="n">
        <x:v>0</x:v>
      </x:c>
      <x:c r="L1788" s="22" t="n">
        <x:v>59.01119999999999</x:v>
      </x:c>
      <x:c r="M1788" t="n">
        <x:v>2015</x:v>
      </x:c>
      <x:c r="N1788" s="20" t="n">
        <x:v>42186</x:v>
      </x:c>
    </x:row>
    <x:row r="1789" ht="18" customHeight="1">
      <x:c r="A1789" t="str">
        <x:v>CA-2017-166317</x:v>
      </x:c>
      <x:c r="B1789" s="18" t="n">
        <x:v>43000</x:v>
      </x:c>
      <x:c r="C1789" t="str">
        <x:v>JE-15610</x:v>
      </x:c>
      <x:c r="D1789" t="str">
        <x:v>Jim Epp</x:v>
      </x:c>
      <x:c r="E1789" t="str">
        <x:v>Corporate</x:v>
      </x:c>
      <x:c r="F1789" t="str">
        <x:v>Central</x:v>
      </x:c>
      <x:c r="G1789" t="str">
        <x:v>Office Supplies</x:v>
      </x:c>
      <x:c r="H1789" t="str">
        <x:v>Paper</x:v>
      </x:c>
      <x:c r="I1789" s="22" t="n">
        <x:v>219.84</x:v>
      </x:c>
      <x:c r="J1789" s="24" t="n">
        <x:v>4</x:v>
      </x:c>
      <x:c r="K1789" s="26" t="n">
        <x:v>0</x:v>
      </x:c>
      <x:c r="L1789" s="22" t="n">
        <x:v>107.7216</x:v>
      </x:c>
      <x:c r="M1789" t="n">
        <x:v>2017</x:v>
      </x:c>
      <x:c r="N1789" s="20" t="n">
        <x:v>42979</x:v>
      </x:c>
    </x:row>
    <x:row r="1790" ht="18" customHeight="1">
      <x:c r="A1790" t="str">
        <x:v>CA-2017-166317</x:v>
      </x:c>
      <x:c r="B1790" s="18" t="n">
        <x:v>43000</x:v>
      </x:c>
      <x:c r="C1790" t="str">
        <x:v>JE-15610</x:v>
      </x:c>
      <x:c r="D1790" t="str">
        <x:v>Jim Epp</x:v>
      </x:c>
      <x:c r="E1790" t="str">
        <x:v>Corporate</x:v>
      </x:c>
      <x:c r="F1790" t="str">
        <x:v>Central</x:v>
      </x:c>
      <x:c r="G1790" t="str">
        <x:v>Technology</x:v>
      </x:c>
      <x:c r="H1790" t="str">
        <x:v>Accessories</x:v>
      </x:c>
      <x:c r="I1790" s="22" t="n">
        <x:v>98.16</x:v>
      </x:c>
      <x:c r="J1790" s="24" t="n">
        <x:v>6</x:v>
      </x:c>
      <x:c r="K1790" s="26" t="n">
        <x:v>0</x:v>
      </x:c>
      <x:c r="L1790" s="22" t="n">
        <x:v>9.815999999999995</x:v>
      </x:c>
      <x:c r="M1790" t="n">
        <x:v>2017</x:v>
      </x:c>
      <x:c r="N1790" s="20" t="n">
        <x:v>42979</x:v>
      </x:c>
    </x:row>
    <x:row r="1791" ht="18" customHeight="1">
      <x:c r="A1791" t="str">
        <x:v>CA-2017-166317</x:v>
      </x:c>
      <x:c r="B1791" s="18" t="n">
        <x:v>43000</x:v>
      </x:c>
      <x:c r="C1791" t="str">
        <x:v>JE-15610</x:v>
      </x:c>
      <x:c r="D1791" t="str">
        <x:v>Jim Epp</x:v>
      </x:c>
      <x:c r="E1791" t="str">
        <x:v>Corporate</x:v>
      </x:c>
      <x:c r="F1791" t="str">
        <x:v>Central</x:v>
      </x:c>
      <x:c r="G1791" t="str">
        <x:v>Office Supplies</x:v>
      </x:c>
      <x:c r="H1791" t="str">
        <x:v>Binders</x:v>
      </x:c>
      <x:c r="I1791" s="22" t="n">
        <x:v>33.04</x:v>
      </x:c>
      <x:c r="J1791" s="24" t="n">
        <x:v>8</x:v>
      </x:c>
      <x:c r="K1791" s="26" t="n">
        <x:v>0</x:v>
      </x:c>
      <x:c r="L1791" s="22" t="n">
        <x:v>15.5288</x:v>
      </x:c>
      <x:c r="M1791" t="n">
        <x:v>2017</x:v>
      </x:c>
      <x:c r="N1791" s="20" t="n">
        <x:v>42979</x:v>
      </x:c>
    </x:row>
    <x:row r="1792" ht="18" customHeight="1">
      <x:c r="A1792" t="str">
        <x:v>CA-2017-166317</x:v>
      </x:c>
      <x:c r="B1792" s="18" t="n">
        <x:v>43000</x:v>
      </x:c>
      <x:c r="C1792" t="str">
        <x:v>JE-15610</x:v>
      </x:c>
      <x:c r="D1792" t="str">
        <x:v>Jim Epp</x:v>
      </x:c>
      <x:c r="E1792" t="str">
        <x:v>Corporate</x:v>
      </x:c>
      <x:c r="F1792" t="str">
        <x:v>Central</x:v>
      </x:c>
      <x:c r="G1792" t="str">
        <x:v>Technology</x:v>
      </x:c>
      <x:c r="H1792" t="str">
        <x:v>Phones</x:v>
      </x:c>
      <x:c r="I1792" s="22" t="n">
        <x:v>86.97</x:v>
      </x:c>
      <x:c r="J1792" s="24" t="n">
        <x:v>3</x:v>
      </x:c>
      <x:c r="K1792" s="26" t="n">
        <x:v>0</x:v>
      </x:c>
      <x:c r="L1792" s="22" t="n">
        <x:v>25.22129999999999</x:v>
      </x:c>
      <x:c r="M1792" t="n">
        <x:v>2017</x:v>
      </x:c>
      <x:c r="N1792" s="20" t="n">
        <x:v>42979</x:v>
      </x:c>
    </x:row>
    <x:row r="1793" ht="18" customHeight="1">
      <x:c r="A1793" t="str">
        <x:v>CA-2015-154326</x:v>
      </x:c>
      <x:c r="B1793" s="18" t="n">
        <x:v>42050</x:v>
      </x:c>
      <x:c r="C1793" t="str">
        <x:v>RP-19855</x:v>
      </x:c>
      <x:c r="D1793" t="str">
        <x:v>Roy Phan</x:v>
      </x:c>
      <x:c r="E1793" t="str">
        <x:v>Corporate</x:v>
      </x:c>
      <x:c r="F1793" t="str">
        <x:v>Central</x:v>
      </x:c>
      <x:c r="G1793" t="str">
        <x:v>Technology</x:v>
      </x:c>
      <x:c r="H1793" t="str">
        <x:v>Phones</x:v>
      </x:c>
      <x:c r="I1793" s="22" t="n">
        <x:v>134.97</x:v>
      </x:c>
      <x:c r="J1793" s="24" t="n">
        <x:v>3</x:v>
      </x:c>
      <x:c r="K1793" s="26" t="n">
        <x:v>0</x:v>
      </x:c>
      <x:c r="L1793" s="22" t="n">
        <x:v>64.78559999999999</x:v>
      </x:c>
      <x:c r="M1793" t="n">
        <x:v>2015</x:v>
      </x:c>
      <x:c r="N1793" s="20" t="n">
        <x:v>42036</x:v>
      </x:c>
    </x:row>
    <x:row r="1794" ht="18" customHeight="1">
      <x:c r="A1794" t="str">
        <x:v>CA-2015-154326</x:v>
      </x:c>
      <x:c r="B1794" s="18" t="n">
        <x:v>42050</x:v>
      </x:c>
      <x:c r="C1794" t="str">
        <x:v>RP-19855</x:v>
      </x:c>
      <x:c r="D1794" t="str">
        <x:v>Roy Phan</x:v>
      </x:c>
      <x:c r="E1794" t="str">
        <x:v>Corporate</x:v>
      </x:c>
      <x:c r="F1794" t="str">
        <x:v>Central</x:v>
      </x:c>
      <x:c r="G1794" t="str">
        <x:v>Technology</x:v>
      </x:c>
      <x:c r="H1794" t="str">
        <x:v>Phones</x:v>
      </x:c>
      <x:c r="I1794" s="22" t="n">
        <x:v>699.98</x:v>
      </x:c>
      <x:c r="J1794" s="24" t="n">
        <x:v>2</x:v>
      </x:c>
      <x:c r="K1794" s="26" t="n">
        <x:v>0</x:v>
      </x:c>
      <x:c r="L1794" s="22" t="n">
        <x:v>195.99440000000004</x:v>
      </x:c>
      <x:c r="M1794" t="n">
        <x:v>2015</x:v>
      </x:c>
      <x:c r="N1794" s="20" t="n">
        <x:v>42036</x:v>
      </x:c>
    </x:row>
    <x:row r="1795" ht="18" customHeight="1">
      <x:c r="A1795" t="str">
        <x:v>CA-2015-154326</x:v>
      </x:c>
      <x:c r="B1795" s="18" t="n">
        <x:v>42050</x:v>
      </x:c>
      <x:c r="C1795" t="str">
        <x:v>RP-19855</x:v>
      </x:c>
      <x:c r="D1795" t="str">
        <x:v>Roy Phan</x:v>
      </x:c>
      <x:c r="E1795" t="str">
        <x:v>Corporate</x:v>
      </x:c>
      <x:c r="F1795" t="str">
        <x:v>Central</x:v>
      </x:c>
      <x:c r="G1795" t="str">
        <x:v>Technology</x:v>
      </x:c>
      <x:c r="H1795" t="str">
        <x:v>Accessories</x:v>
      </x:c>
      <x:c r="I1795" s="22" t="n">
        <x:v>139.95</x:v>
      </x:c>
      <x:c r="J1795" s="24" t="n">
        <x:v>5</x:v>
      </x:c>
      <x:c r="K1795" s="26" t="n">
        <x:v>0</x:v>
      </x:c>
      <x:c r="L1795" s="22" t="n">
        <x:v>26.590499999999988</x:v>
      </x:c>
      <x:c r="M1795" t="n">
        <x:v>2015</x:v>
      </x:c>
      <x:c r="N1795" s="20" t="n">
        <x:v>42036</x:v>
      </x:c>
    </x:row>
    <x:row r="1796" ht="18" customHeight="1">
      <x:c r="A1796" t="str">
        <x:v>CA-2014-102008</x:v>
      </x:c>
      <x:c r="B1796" s="18" t="n">
        <x:v>41912</x:v>
      </x:c>
      <x:c r="C1796" t="str">
        <x:v>RA-19915</x:v>
      </x:c>
      <x:c r="D1796" t="str">
        <x:v>Russell Applegate</x:v>
      </x:c>
      <x:c r="E1796" t="str">
        <x:v>Consumer</x:v>
      </x:c>
      <x:c r="F1796" t="str">
        <x:v>East</x:v>
      </x:c>
      <x:c r="G1796" t="str">
        <x:v>Office Supplies</x:v>
      </x:c>
      <x:c r="H1796" t="str">
        <x:v>Paper</x:v>
      </x:c>
      <x:c r="I1796" s="22" t="n">
        <x:v>48.94</x:v>
      </x:c>
      <x:c r="J1796" s="24" t="n">
        <x:v>1</x:v>
      </x:c>
      <x:c r="K1796" s="26" t="n">
        <x:v>0</x:v>
      </x:c>
      <x:c r="L1796" s="22" t="n">
        <x:v>24.47</x:v>
      </x:c>
      <x:c r="M1796" t="n">
        <x:v>2014</x:v>
      </x:c>
      <x:c r="N1796" s="20" t="n">
        <x:v>41883</x:v>
      </x:c>
    </x:row>
    <x:row r="1797" ht="18" customHeight="1">
      <x:c r="A1797" t="str">
        <x:v>CA-2014-120474</x:v>
      </x:c>
      <x:c r="B1797" s="18" t="n">
        <x:v>41974</x:v>
      </x:c>
      <x:c r="C1797" t="str">
        <x:v>RP-19390</x:v>
      </x:c>
      <x:c r="D1797" t="str">
        <x:v>Resi Pölking</x:v>
      </x:c>
      <x:c r="E1797" t="str">
        <x:v>Consumer</x:v>
      </x:c>
      <x:c r="F1797" t="str">
        <x:v>Central</x:v>
      </x:c>
      <x:c r="G1797" t="str">
        <x:v>Furniture</x:v>
      </x:c>
      <x:c r="H1797" t="str">
        <x:v>Chairs</x:v>
      </x:c>
      <x:c r="I1797" s="22" t="n">
        <x:v>2807.84</x:v>
      </x:c>
      <x:c r="J1797" s="24" t="n">
        <x:v>8</x:v>
      </x:c>
      <x:c r="K1797" s="26" t="n">
        <x:v>0</x:v>
      </x:c>
      <x:c r="L1797" s="22" t="n">
        <x:v>673.8816000000002</x:v>
      </x:c>
      <x:c r="M1797" t="n">
        <x:v>2014</x:v>
      </x:c>
      <x:c r="N1797" s="20" t="n">
        <x:v>41974</x:v>
      </x:c>
    </x:row>
    <x:row r="1798" ht="18" customHeight="1">
      <x:c r="A1798" t="str">
        <x:v>CA-2014-120474</x:v>
      </x:c>
      <x:c r="B1798" s="18" t="n">
        <x:v>41974</x:v>
      </x:c>
      <x:c r="C1798" t="str">
        <x:v>RP-19390</x:v>
      </x:c>
      <x:c r="D1798" t="str">
        <x:v>Resi Pölking</x:v>
      </x:c>
      <x:c r="E1798" t="str">
        <x:v>Consumer</x:v>
      </x:c>
      <x:c r="F1798" t="str">
        <x:v>Central</x:v>
      </x:c>
      <x:c r="G1798" t="str">
        <x:v>Office Supplies</x:v>
      </x:c>
      <x:c r="H1798" t="str">
        <x:v>Art</x:v>
      </x:c>
      <x:c r="I1798" s="22" t="n">
        <x:v>46.64</x:v>
      </x:c>
      <x:c r="J1798" s="24" t="n">
        <x:v>4</x:v>
      </x:c>
      <x:c r="K1798" s="26" t="n">
        <x:v>0</x:v>
      </x:c>
      <x:c r="L1798" s="22" t="n">
        <x:v>12.592800000000004</x:v>
      </x:c>
      <x:c r="M1798" t="n">
        <x:v>2014</x:v>
      </x:c>
      <x:c r="N1798" s="20" t="n">
        <x:v>41974</x:v>
      </x:c>
    </x:row>
    <x:row r="1799" ht="18" customHeight="1">
      <x:c r="A1799" t="str">
        <x:v>CA-2014-104773</x:v>
      </x:c>
      <x:c r="B1799" s="18" t="n">
        <x:v>41981</x:v>
      </x:c>
      <x:c r="C1799" t="str">
        <x:v>TB-21175</x:v>
      </x:c>
      <x:c r="D1799" t="str">
        <x:v>Thomas Boland</x:v>
      </x:c>
      <x:c r="E1799" t="str">
        <x:v>Corporate</x:v>
      </x:c>
      <x:c r="F1799" t="str">
        <x:v>Central</x:v>
      </x:c>
      <x:c r="G1799" t="str">
        <x:v>Office Supplies</x:v>
      </x:c>
      <x:c r="H1799" t="str">
        <x:v>Storage</x:v>
      </x:c>
      <x:c r="I1799" s="22" t="n">
        <x:v>60.416</x:v>
      </x:c>
      <x:c r="J1799" s="24" t="n">
        <x:v>2</x:v>
      </x:c>
      <x:c r="K1799" s="26" t="n">
        <x:v>0.2</x:v>
      </x:c>
      <x:c r="L1799" s="22" t="n">
        <x:v>6.0416000000000025</x:v>
      </x:c>
      <x:c r="M1799" t="n">
        <x:v>2014</x:v>
      </x:c>
      <x:c r="N1799" s="20" t="n">
        <x:v>41974</x:v>
      </x:c>
    </x:row>
    <x:row r="1800" ht="18" customHeight="1">
      <x:c r="A1800" t="str">
        <x:v>CA-2016-140774</x:v>
      </x:c>
      <x:c r="B1800" s="18" t="n">
        <x:v>42618</x:v>
      </x:c>
      <x:c r="C1800" t="str">
        <x:v>BE-11455</x:v>
      </x:c>
      <x:c r="D1800" t="str">
        <x:v>Brad Eason</x:v>
      </x:c>
      <x:c r="E1800" t="str">
        <x:v>Home Office</x:v>
      </x:c>
      <x:c r="F1800" t="str">
        <x:v>Central</x:v>
      </x:c>
      <x:c r="G1800" t="str">
        <x:v>Office Supplies</x:v>
      </x:c>
      <x:c r="H1800" t="str">
        <x:v>Art</x:v>
      </x:c>
      <x:c r="I1800" s="22" t="n">
        <x:v>107.94</x:v>
      </x:c>
      <x:c r="J1800" s="24" t="n">
        <x:v>3</x:v>
      </x:c>
      <x:c r="K1800" s="26" t="n">
        <x:v>0</x:v>
      </x:c>
      <x:c r="L1800" s="22" t="n">
        <x:v>26.984999999999992</x:v>
      </x:c>
      <x:c r="M1800" t="n">
        <x:v>2016</x:v>
      </x:c>
      <x:c r="N1800" s="20" t="n">
        <x:v>42614</x:v>
      </x:c>
    </x:row>
    <x:row r="1801" ht="18" customHeight="1">
      <x:c r="A1801" t="str">
        <x:v>US-2017-139465</x:v>
      </x:c>
      <x:c r="B1801" s="18" t="n">
        <x:v>42974</x:v>
      </x:c>
      <x:c r="C1801" t="str">
        <x:v>MR-17545</x:v>
      </x:c>
      <x:c r="D1801" t="str">
        <x:v>Mathew Reese</x:v>
      </x:c>
      <x:c r="E1801" t="str">
        <x:v>Home Office</x:v>
      </x:c>
      <x:c r="F1801" t="str">
        <x:v>East</x:v>
      </x:c>
      <x:c r="G1801" t="str">
        <x:v>Office Supplies</x:v>
      </x:c>
      <x:c r="H1801" t="str">
        <x:v>Storage</x:v>
      </x:c>
      <x:c r="I1801" s="22" t="n">
        <x:v>63.84</x:v>
      </x:c>
      <x:c r="J1801" s="24" t="n">
        <x:v>8</x:v>
      </x:c>
      <x:c r="K1801" s="26" t="n">
        <x:v>0</x:v>
      </x:c>
      <x:c r="L1801" s="22" t="n">
        <x:v>16.598399999999998</x:v>
      </x:c>
      <x:c r="M1801" t="n">
        <x:v>2017</x:v>
      </x:c>
      <x:c r="N1801" s="20" t="n">
        <x:v>42948</x:v>
      </x:c>
    </x:row>
    <x:row r="1802" ht="18" customHeight="1">
      <x:c r="A1802" t="str">
        <x:v>US-2017-139465</x:v>
      </x:c>
      <x:c r="B1802" s="18" t="n">
        <x:v>42974</x:v>
      </x:c>
      <x:c r="C1802" t="str">
        <x:v>MR-17545</x:v>
      </x:c>
      <x:c r="D1802" t="str">
        <x:v>Mathew Reese</x:v>
      </x:c>
      <x:c r="E1802" t="str">
        <x:v>Home Office</x:v>
      </x:c>
      <x:c r="F1802" t="str">
        <x:v>East</x:v>
      </x:c>
      <x:c r="G1802" t="str">
        <x:v>Technology</x:v>
      </x:c>
      <x:c r="H1802" t="str">
        <x:v>Phones</x:v>
      </x:c>
      <x:c r="I1802" s="22" t="n">
        <x:v>347.96999999999997</x:v>
      </x:c>
      <x:c r="J1802" s="24" t="n">
        <x:v>3</x:v>
      </x:c>
      <x:c r="K1802" s="26" t="n">
        <x:v>0</x:v>
      </x:c>
      <x:c r="L1802" s="22" t="n">
        <x:v>100.91129999999997</x:v>
      </x:c>
      <x:c r="M1802" t="n">
        <x:v>2017</x:v>
      </x:c>
      <x:c r="N1802" s="20" t="n">
        <x:v>42948</x:v>
      </x:c>
    </x:row>
    <x:row r="1803" ht="18" customHeight="1">
      <x:c r="A1803" t="str">
        <x:v>US-2017-139465</x:v>
      </x:c>
      <x:c r="B1803" s="18" t="n">
        <x:v>42974</x:v>
      </x:c>
      <x:c r="C1803" t="str">
        <x:v>MR-17545</x:v>
      </x:c>
      <x:c r="D1803" t="str">
        <x:v>Mathew Reese</x:v>
      </x:c>
      <x:c r="E1803" t="str">
        <x:v>Home Office</x:v>
      </x:c>
      <x:c r="F1803" t="str">
        <x:v>East</x:v>
      </x:c>
      <x:c r="G1803" t="str">
        <x:v>Office Supplies</x:v>
      </x:c>
      <x:c r="H1803" t="str">
        <x:v>Binders</x:v>
      </x:c>
      <x:c r="I1803" s="22" t="n">
        <x:v>37.008</x:v>
      </x:c>
      <x:c r="J1803" s="24" t="n">
        <x:v>6</x:v>
      </x:c>
      <x:c r="K1803" s="26" t="n">
        <x:v>0.2</x:v>
      </x:c>
      <x:c r="L1803" s="22" t="n">
        <x:v>11.565</x:v>
      </x:c>
      <x:c r="M1803" t="n">
        <x:v>2017</x:v>
      </x:c>
      <x:c r="N1803" s="20" t="n">
        <x:v>42948</x:v>
      </x:c>
    </x:row>
    <x:row r="1804" ht="18" customHeight="1">
      <x:c r="A1804" t="str">
        <x:v>CA-2016-100965</x:v>
      </x:c>
      <x:c r="B1804" s="18" t="n">
        <x:v>42558</x:v>
      </x:c>
      <x:c r="C1804" t="str">
        <x:v>RM-19375</x:v>
      </x:c>
      <x:c r="D1804" t="str">
        <x:v>Raymond Messe</x:v>
      </x:c>
      <x:c r="E1804" t="str">
        <x:v>Consumer</x:v>
      </x:c>
      <x:c r="F1804" t="str">
        <x:v>West</x:v>
      </x:c>
      <x:c r="G1804" t="str">
        <x:v>Furniture</x:v>
      </x:c>
      <x:c r="H1804" t="str">
        <x:v>Furnishings</x:v>
      </x:c>
      <x:c r="I1804" s="22" t="n">
        <x:v>215.65</x:v>
      </x:c>
      <x:c r="J1804" s="24" t="n">
        <x:v>5</x:v>
      </x:c>
      <x:c r="K1804" s="26" t="n">
        <x:v>0</x:v>
      </x:c>
      <x:c r="L1804" s="22" t="n">
        <x:v>73.321</x:v>
      </x:c>
      <x:c r="M1804" t="n">
        <x:v>2016</x:v>
      </x:c>
      <x:c r="N1804" s="20" t="n">
        <x:v>42552</x:v>
      </x:c>
    </x:row>
    <x:row r="1805" ht="18" customHeight="1">
      <x:c r="A1805" t="str">
        <x:v>CA-2016-121034</x:v>
      </x:c>
      <x:c r="B1805" s="18" t="n">
        <x:v>42590</x:v>
      </x:c>
      <x:c r="C1805" t="str">
        <x:v>JF-15565</x:v>
      </x:c>
      <x:c r="D1805" t="str">
        <x:v>Jill Fjeld</x:v>
      </x:c>
      <x:c r="E1805" t="str">
        <x:v>Consumer</x:v>
      </x:c>
      <x:c r="F1805" t="str">
        <x:v>Central</x:v>
      </x:c>
      <x:c r="G1805" t="str">
        <x:v>Office Supplies</x:v>
      </x:c>
      <x:c r="H1805" t="str">
        <x:v>Fasteners</x:v>
      </x:c>
      <x:c r="I1805" s="22" t="n">
        <x:v>11.168000000000001</x:v>
      </x:c>
      <x:c r="J1805" s="24" t="n">
        <x:v>4</x:v>
      </x:c>
      <x:c r="K1805" s="26" t="n">
        <x:v>0.2</x:v>
      </x:c>
      <x:c r="L1805" s="22" t="n">
        <x:v>3.6295999999999995</x:v>
      </x:c>
      <x:c r="M1805" t="n">
        <x:v>2016</x:v>
      </x:c>
      <x:c r="N1805" s="20" t="n">
        <x:v>42583</x:v>
      </x:c>
    </x:row>
    <x:row r="1806" ht="18" customHeight="1">
      <x:c r="A1806" t="str">
        <x:v>CA-2016-121034</x:v>
      </x:c>
      <x:c r="B1806" s="18" t="n">
        <x:v>42590</x:v>
      </x:c>
      <x:c r="C1806" t="str">
        <x:v>JF-15565</x:v>
      </x:c>
      <x:c r="D1806" t="str">
        <x:v>Jill Fjeld</x:v>
      </x:c>
      <x:c r="E1806" t="str">
        <x:v>Consumer</x:v>
      </x:c>
      <x:c r="F1806" t="str">
        <x:v>Central</x:v>
      </x:c>
      <x:c r="G1806" t="str">
        <x:v>Office Supplies</x:v>
      </x:c>
      <x:c r="H1806" t="str">
        <x:v>Paper</x:v>
      </x:c>
      <x:c r="I1806" s="22" t="n">
        <x:v>53.952000000000005</x:v>
      </x:c>
      <x:c r="J1806" s="24" t="n">
        <x:v>3</x:v>
      </x:c>
      <x:c r="K1806" s="26" t="n">
        <x:v>0.2</x:v>
      </x:c>
      <x:c r="L1806" s="22" t="n">
        <x:v>17.534399999999998</x:v>
      </x:c>
      <x:c r="M1806" t="n">
        <x:v>2016</x:v>
      </x:c>
      <x:c r="N1806" s="20" t="n">
        <x:v>42583</x:v>
      </x:c>
    </x:row>
    <x:row r="1807" ht="18" customHeight="1">
      <x:c r="A1807" t="str">
        <x:v>CA-2016-149461</x:v>
      </x:c>
      <x:c r="B1807" s="18" t="n">
        <x:v>42687</x:v>
      </x:c>
      <x:c r="C1807" t="str">
        <x:v>AS-10135</x:v>
      </x:c>
      <x:c r="D1807" t="str">
        <x:v>Adrian Shami</x:v>
      </x:c>
      <x:c r="E1807" t="str">
        <x:v>Home Office</x:v>
      </x:c>
      <x:c r="F1807" t="str">
        <x:v>West</x:v>
      </x:c>
      <x:c r="G1807" t="str">
        <x:v>Furniture</x:v>
      </x:c>
      <x:c r="H1807" t="str">
        <x:v>Furnishings</x:v>
      </x:c>
      <x:c r="I1807" s="22" t="n">
        <x:v>4.18</x:v>
      </x:c>
      <x:c r="J1807" s="24" t="n">
        <x:v>1</x:v>
      </x:c>
      <x:c r="K1807" s="26" t="n">
        <x:v>0</x:v>
      </x:c>
      <x:c r="L1807" s="22" t="n">
        <x:v>1.5048</x:v>
      </x:c>
      <x:c r="M1807" t="n">
        <x:v>2016</x:v>
      </x:c>
      <x:c r="N1807" s="20" t="n">
        <x:v>42675</x:v>
      </x:c>
    </x:row>
    <x:row r="1808" ht="18" customHeight="1">
      <x:c r="A1808" t="str">
        <x:v>CA-2017-158379</x:v>
      </x:c>
      <x:c r="B1808" s="18" t="n">
        <x:v>43000</x:v>
      </x:c>
      <x:c r="C1808" t="str">
        <x:v>JA-15970</x:v>
      </x:c>
      <x:c r="D1808" t="str">
        <x:v>Joseph Airdo</x:v>
      </x:c>
      <x:c r="E1808" t="str">
        <x:v>Consumer</x:v>
      </x:c>
      <x:c r="F1808" t="str">
        <x:v>East</x:v>
      </x:c>
      <x:c r="G1808" t="str">
        <x:v>Office Supplies</x:v>
      </x:c>
      <x:c r="H1808" t="str">
        <x:v>Binders</x:v>
      </x:c>
      <x:c r="I1808" s="22" t="n">
        <x:v>5.607000000000001</x:v>
      </x:c>
      <x:c r="J1808" s="24" t="n">
        <x:v>1</x:v>
      </x:c>
      <x:c r="K1808" s="26" t="n">
        <x:v>0.7</x:v>
      </x:c>
      <x:c r="L1808" s="22" t="n">
        <x:v>-4.2987</x:v>
      </x:c>
      <x:c r="M1808" t="n">
        <x:v>2017</x:v>
      </x:c>
      <x:c r="N1808" s="20" t="n">
        <x:v>42979</x:v>
      </x:c>
    </x:row>
    <x:row r="1809" ht="18" customHeight="1">
      <x:c r="A1809" t="str">
        <x:v>CA-2017-158379</x:v>
      </x:c>
      <x:c r="B1809" s="18" t="n">
        <x:v>43000</x:v>
      </x:c>
      <x:c r="C1809" t="str">
        <x:v>JA-15970</x:v>
      </x:c>
      <x:c r="D1809" t="str">
        <x:v>Joseph Airdo</x:v>
      </x:c>
      <x:c r="E1809" t="str">
        <x:v>Consumer</x:v>
      </x:c>
      <x:c r="F1809" t="str">
        <x:v>East</x:v>
      </x:c>
      <x:c r="G1809" t="str">
        <x:v>Office Supplies</x:v>
      </x:c>
      <x:c r="H1809" t="str">
        <x:v>Supplies</x:v>
      </x:c>
      <x:c r="I1809" s="22" t="n">
        <x:v>4663.736000000001</x:v>
      </x:c>
      <x:c r="J1809" s="24" t="n">
        <x:v>7</x:v>
      </x:c>
      <x:c r="K1809" s="26" t="n">
        <x:v>0.2</x:v>
      </x:c>
      <x:c r="L1809" s="22" t="n">
        <x:v>-1049.3406</x:v>
      </x:c>
      <x:c r="M1809" t="n">
        <x:v>2017</x:v>
      </x:c>
      <x:c r="N1809" s="20" t="n">
        <x:v>42979</x:v>
      </x:c>
    </x:row>
    <x:row r="1810" ht="18" customHeight="1">
      <x:c r="A1810" t="str">
        <x:v>CA-2017-158379</x:v>
      </x:c>
      <x:c r="B1810" s="18" t="n">
        <x:v>43000</x:v>
      </x:c>
      <x:c r="C1810" t="str">
        <x:v>JA-15970</x:v>
      </x:c>
      <x:c r="D1810" t="str">
        <x:v>Joseph Airdo</x:v>
      </x:c>
      <x:c r="E1810" t="str">
        <x:v>Consumer</x:v>
      </x:c>
      <x:c r="F1810" t="str">
        <x:v>East</x:v>
      </x:c>
      <x:c r="G1810" t="str">
        <x:v>Technology</x:v>
      </x:c>
      <x:c r="H1810" t="str">
        <x:v>Accessories</x:v>
      </x:c>
      <x:c r="I1810" s="22" t="n">
        <x:v>79.98400000000001</x:v>
      </x:c>
      <x:c r="J1810" s="24" t="n">
        <x:v>2</x:v>
      </x:c>
      <x:c r="K1810" s="26" t="n">
        <x:v>0.2</x:v>
      </x:c>
      <x:c r="L1810" s="22" t="n">
        <x:v>22.995400000000004</x:v>
      </x:c>
      <x:c r="M1810" t="n">
        <x:v>2017</x:v>
      </x:c>
      <x:c r="N1810" s="20" t="n">
        <x:v>42979</x:v>
      </x:c>
    </x:row>
    <x:row r="1811" ht="18" customHeight="1">
      <x:c r="A1811" t="str">
        <x:v>US-2016-116729</x:v>
      </x:c>
      <x:c r="B1811" s="18" t="n">
        <x:v>42729</x:v>
      </x:c>
      <x:c r="C1811" t="str">
        <x:v>GK-14620</x:v>
      </x:c>
      <x:c r="D1811" t="str">
        <x:v>Grace Kelly</x:v>
      </x:c>
      <x:c r="E1811" t="str">
        <x:v>Corporate</x:v>
      </x:c>
      <x:c r="F1811" t="str">
        <x:v>West</x:v>
      </x:c>
      <x:c r="G1811" t="str">
        <x:v>Technology</x:v>
      </x:c>
      <x:c r="H1811" t="str">
        <x:v>Phones</x:v>
      </x:c>
      <x:c r="I1811" s="22" t="n">
        <x:v>2575.944</x:v>
      </x:c>
      <x:c r="J1811" s="24" t="n">
        <x:v>7</x:v>
      </x:c>
      <x:c r="K1811" s="26" t="n">
        <x:v>0.2</x:v>
      </x:c>
      <x:c r="L1811" s="22" t="n">
        <x:v>257.5944000000003</x:v>
      </x:c>
      <x:c r="M1811" t="n">
        <x:v>2016</x:v>
      </x:c>
      <x:c r="N1811" s="20" t="n">
        <x:v>42705</x:v>
      </x:c>
    </x:row>
    <x:row r="1812" ht="18" customHeight="1">
      <x:c r="A1812" t="str">
        <x:v>US-2016-116729</x:v>
      </x:c>
      <x:c r="B1812" s="18" t="n">
        <x:v>42729</x:v>
      </x:c>
      <x:c r="C1812" t="str">
        <x:v>GK-14620</x:v>
      </x:c>
      <x:c r="D1812" t="str">
        <x:v>Grace Kelly</x:v>
      </x:c>
      <x:c r="E1812" t="str">
        <x:v>Corporate</x:v>
      </x:c>
      <x:c r="F1812" t="str">
        <x:v>West</x:v>
      </x:c>
      <x:c r="G1812" t="str">
        <x:v>Office Supplies</x:v>
      </x:c>
      <x:c r="H1812" t="str">
        <x:v>Paper</x:v>
      </x:c>
      <x:c r="I1812" s="22" t="n">
        <x:v>45.36</x:v>
      </x:c>
      <x:c r="J1812" s="24" t="n">
        <x:v>7</x:v>
      </x:c>
      <x:c r="K1812" s="26" t="n">
        <x:v>0</x:v>
      </x:c>
      <x:c r="L1812" s="22" t="n">
        <x:v>21.772800000000004</x:v>
      </x:c>
      <x:c r="M1812" t="n">
        <x:v>2016</x:v>
      </x:c>
      <x:c r="N1812" s="20" t="n">
        <x:v>42705</x:v>
      </x:c>
    </x:row>
    <x:row r="1813" ht="18" customHeight="1">
      <x:c r="A1813" t="str">
        <x:v>US-2016-116729</x:v>
      </x:c>
      <x:c r="B1813" s="18" t="n">
        <x:v>42729</x:v>
      </x:c>
      <x:c r="C1813" t="str">
        <x:v>GK-14620</x:v>
      </x:c>
      <x:c r="D1813" t="str">
        <x:v>Grace Kelly</x:v>
      </x:c>
      <x:c r="E1813" t="str">
        <x:v>Corporate</x:v>
      </x:c>
      <x:c r="F1813" t="str">
        <x:v>West</x:v>
      </x:c>
      <x:c r="G1813" t="str">
        <x:v>Technology</x:v>
      </x:c>
      <x:c r="H1813" t="str">
        <x:v>Accessories</x:v>
      </x:c>
      <x:c r="I1813" s="22" t="n">
        <x:v>254.24</x:v>
      </x:c>
      <x:c r="J1813" s="24" t="n">
        <x:v>7</x:v>
      </x:c>
      <x:c r="K1813" s="26" t="n">
        <x:v>0</x:v>
      </x:c>
      <x:c r="L1813" s="22" t="n">
        <x:v>76.27199999999998</x:v>
      </x:c>
      <x:c r="M1813" t="n">
        <x:v>2016</x:v>
      </x:c>
      <x:c r="N1813" s="20" t="n">
        <x:v>42705</x:v>
      </x:c>
    </x:row>
    <x:row r="1814" ht="18" customHeight="1">
      <x:c r="A1814" t="str">
        <x:v>CA-2016-164938</x:v>
      </x:c>
      <x:c r="B1814" s="18" t="n">
        <x:v>42411</x:v>
      </x:c>
      <x:c r="C1814" t="str">
        <x:v>PB-19210</x:v>
      </x:c>
      <x:c r="D1814" t="str">
        <x:v>Phillip Breyer</x:v>
      </x:c>
      <x:c r="E1814" t="str">
        <x:v>Corporate</x:v>
      </x:c>
      <x:c r="F1814" t="str">
        <x:v>Central</x:v>
      </x:c>
      <x:c r="G1814" t="str">
        <x:v>Technology</x:v>
      </x:c>
      <x:c r="H1814" t="str">
        <x:v>Phones</x:v>
      </x:c>
      <x:c r="I1814" s="22" t="n">
        <x:v>69.93</x:v>
      </x:c>
      <x:c r="J1814" s="24" t="n">
        <x:v>7</x:v>
      </x:c>
      <x:c r="K1814" s="26" t="n">
        <x:v>0</x:v>
      </x:c>
      <x:c r="L1814" s="22" t="n">
        <x:v>0.6992999999999991</x:v>
      </x:c>
      <x:c r="M1814" t="n">
        <x:v>2016</x:v>
      </x:c>
      <x:c r="N1814" s="20" t="n">
        <x:v>42401</x:v>
      </x:c>
    </x:row>
    <x:row r="1815" ht="18" customHeight="1">
      <x:c r="A1815" t="str">
        <x:v>CA-2016-165484</x:v>
      </x:c>
      <x:c r="B1815" s="18" t="n">
        <x:v>42666</x:v>
      </x:c>
      <x:c r="C1815" t="str">
        <x:v>HK-14890</x:v>
      </x:c>
      <x:c r="D1815" t="str">
        <x:v>Heather Kirkland</x:v>
      </x:c>
      <x:c r="E1815" t="str">
        <x:v>Corporate</x:v>
      </x:c>
      <x:c r="F1815" t="str">
        <x:v>Central</x:v>
      </x:c>
      <x:c r="G1815" t="str">
        <x:v>Furniture</x:v>
      </x:c>
      <x:c r="H1815" t="str">
        <x:v>Furnishings</x:v>
      </x:c>
      <x:c r="I1815" s="22" t="n">
        <x:v>16.156</x:v>
      </x:c>
      <x:c r="J1815" s="24" t="n">
        <x:v>7</x:v>
      </x:c>
      <x:c r="K1815" s="26" t="n">
        <x:v>0.6</x:v>
      </x:c>
      <x:c r="L1815" s="22" t="n">
        <x:v>-12.116999999999999</x:v>
      </x:c>
      <x:c r="M1815" t="n">
        <x:v>2016</x:v>
      </x:c>
      <x:c r="N1815" s="20" t="n">
        <x:v>42644</x:v>
      </x:c>
    </x:row>
    <x:row r="1816" ht="18" customHeight="1">
      <x:c r="A1816" t="str">
        <x:v>CA-2016-165484</x:v>
      </x:c>
      <x:c r="B1816" s="18" t="n">
        <x:v>42666</x:v>
      </x:c>
      <x:c r="C1816" t="str">
        <x:v>HK-14890</x:v>
      </x:c>
      <x:c r="D1816" t="str">
        <x:v>Heather Kirkland</x:v>
      </x:c>
      <x:c r="E1816" t="str">
        <x:v>Corporate</x:v>
      </x:c>
      <x:c r="F1816" t="str">
        <x:v>Central</x:v>
      </x:c>
      <x:c r="G1816" t="str">
        <x:v>Office Supplies</x:v>
      </x:c>
      <x:c r="H1816" t="str">
        <x:v>Paper</x:v>
      </x:c>
      <x:c r="I1816" s="22" t="n">
        <x:v>54.816</x:v>
      </x:c>
      <x:c r="J1816" s="24" t="n">
        <x:v>3</x:v>
      </x:c>
      <x:c r="K1816" s="26" t="n">
        <x:v>0.2</x:v>
      </x:c>
      <x:c r="L1816" s="22" t="n">
        <x:v>17.815199999999997</x:v>
      </x:c>
      <x:c r="M1816" t="n">
        <x:v>2016</x:v>
      </x:c>
      <x:c r="N1816" s="20" t="n">
        <x:v>42644</x:v>
      </x:c>
    </x:row>
    <x:row r="1817" ht="18" customHeight="1">
      <x:c r="A1817" t="str">
        <x:v>CA-2014-132612</x:v>
      </x:c>
      <x:c r="B1817" s="18" t="n">
        <x:v>41799</x:v>
      </x:c>
      <x:c r="C1817" t="str">
        <x:v>FO-14305</x:v>
      </x:c>
      <x:c r="D1817" t="str">
        <x:v>Frank Olsen</x:v>
      </x:c>
      <x:c r="E1817" t="str">
        <x:v>Consumer</x:v>
      </x:c>
      <x:c r="F1817" t="str">
        <x:v>South</x:v>
      </x:c>
      <x:c r="G1817" t="str">
        <x:v>Furniture</x:v>
      </x:c>
      <x:c r="H1817" t="str">
        <x:v>Tables</x:v>
      </x:c>
      <x:c r="I1817" s="22" t="n">
        <x:v>1441.3</x:v>
      </x:c>
      <x:c r="J1817" s="24" t="n">
        <x:v>7</x:v>
      </x:c>
      <x:c r="K1817" s="26" t="n">
        <x:v>0</x:v>
      </x:c>
      <x:c r="L1817" s="22" t="n">
        <x:v>245.0209999999999</x:v>
      </x:c>
      <x:c r="M1817" t="n">
        <x:v>2014</x:v>
      </x:c>
      <x:c r="N1817" s="20" t="n">
        <x:v>41791</x:v>
      </x:c>
    </x:row>
    <x:row r="1818" ht="18" customHeight="1">
      <x:c r="A1818" t="str">
        <x:v>US-2017-161193</x:v>
      </x:c>
      <x:c r="B1818" s="18" t="n">
        <x:v>43059</x:v>
      </x:c>
      <x:c r="C1818" t="str">
        <x:v>BT-11680</x:v>
      </x:c>
      <x:c r="D1818" t="str">
        <x:v>Brian Thompson</x:v>
      </x:c>
      <x:c r="E1818" t="str">
        <x:v>Consumer</x:v>
      </x:c>
      <x:c r="F1818" t="str">
        <x:v>East</x:v>
      </x:c>
      <x:c r="G1818" t="str">
        <x:v>Furniture</x:v>
      </x:c>
      <x:c r="H1818" t="str">
        <x:v>Furnishings</x:v>
      </x:c>
      <x:c r="I1818" s="22" t="n">
        <x:v>77.6</x:v>
      </x:c>
      <x:c r="J1818" s="24" t="n">
        <x:v>5</x:v>
      </x:c>
      <x:c r="K1818" s="26" t="n">
        <x:v>0.2</x:v>
      </x:c>
      <x:c r="L1818" s="22" t="n">
        <x:v>28.129999999999995</x:v>
      </x:c>
      <x:c r="M1818" t="n">
        <x:v>2017</x:v>
      </x:c>
      <x:c r="N1818" s="20" t="n">
        <x:v>43040</x:v>
      </x:c>
    </x:row>
    <x:row r="1819" ht="18" customHeight="1">
      <x:c r="A1819" t="str">
        <x:v>US-2017-161193</x:v>
      </x:c>
      <x:c r="B1819" s="18" t="n">
        <x:v>43059</x:v>
      </x:c>
      <x:c r="C1819" t="str">
        <x:v>BT-11680</x:v>
      </x:c>
      <x:c r="D1819" t="str">
        <x:v>Brian Thompson</x:v>
      </x:c>
      <x:c r="E1819" t="str">
        <x:v>Consumer</x:v>
      </x:c>
      <x:c r="F1819" t="str">
        <x:v>East</x:v>
      </x:c>
      <x:c r="G1819" t="str">
        <x:v>Furniture</x:v>
      </x:c>
      <x:c r="H1819" t="str">
        <x:v>Furnishings</x:v>
      </x:c>
      <x:c r="I1819" s="22" t="n">
        <x:v>4.656000000000001</x:v>
      </x:c>
      <x:c r="J1819" s="24" t="n">
        <x:v>2</x:v>
      </x:c>
      <x:c r="K1819" s="26" t="n">
        <x:v>0.2</x:v>
      </x:c>
      <x:c r="L1819" s="22" t="n">
        <x:v>1.5713999999999997</x:v>
      </x:c>
      <x:c r="M1819" t="n">
        <x:v>2017</x:v>
      </x:c>
      <x:c r="N1819" s="20" t="n">
        <x:v>43040</x:v>
      </x:c>
    </x:row>
    <x:row r="1820" ht="18" customHeight="1">
      <x:c r="A1820" t="str">
        <x:v>CA-2015-131597</x:v>
      </x:c>
      <x:c r="B1820" s="18" t="n">
        <x:v>42261</x:v>
      </x:c>
      <x:c r="C1820" t="str">
        <x:v>SP-20620</x:v>
      </x:c>
      <x:c r="D1820" t="str">
        <x:v>Stefania Perrino</x:v>
      </x:c>
      <x:c r="E1820" t="str">
        <x:v>Corporate</x:v>
      </x:c>
      <x:c r="F1820" t="str">
        <x:v>West</x:v>
      </x:c>
      <x:c r="G1820" t="str">
        <x:v>Furniture</x:v>
      </x:c>
      <x:c r="H1820" t="str">
        <x:v>Tables</x:v>
      </x:c>
      <x:c r="I1820" s="22" t="n">
        <x:v>170.13600000000002</x:v>
      </x:c>
      <x:c r="J1820" s="24" t="n">
        <x:v>3</x:v>
      </x:c>
      <x:c r="K1820" s="26" t="n">
        <x:v>0.2</x:v>
      </x:c>
      <x:c r="L1820" s="22" t="n">
        <x:v>-8.506799999999991</x:v>
      </x:c>
      <x:c r="M1820" t="n">
        <x:v>2015</x:v>
      </x:c>
      <x:c r="N1820" s="20" t="n">
        <x:v>42248</x:v>
      </x:c>
    </x:row>
    <x:row r="1821" ht="18" customHeight="1">
      <x:c r="A1821" t="str">
        <x:v>CA-2015-164833</x:v>
      </x:c>
      <x:c r="B1821" s="18" t="n">
        <x:v>42159</x:v>
      </x:c>
      <x:c r="C1821" t="str">
        <x:v>LL-16840</x:v>
      </x:c>
      <x:c r="D1821" t="str">
        <x:v>Lauren Leatherbury</x:v>
      </x:c>
      <x:c r="E1821" t="str">
        <x:v>Consumer</x:v>
      </x:c>
      <x:c r="F1821" t="str">
        <x:v>West</x:v>
      </x:c>
      <x:c r="G1821" t="str">
        <x:v>Office Supplies</x:v>
      </x:c>
      <x:c r="H1821" t="str">
        <x:v>Labels</x:v>
      </x:c>
      <x:c r="I1821" s="22" t="n">
        <x:v>7.38</x:v>
      </x:c>
      <x:c r="J1821" s="24" t="n">
        <x:v>2</x:v>
      </x:c>
      <x:c r="K1821" s="26" t="n">
        <x:v>0</x:v>
      </x:c>
      <x:c r="L1821" s="22" t="n">
        <x:v>3.4686</x:v>
      </x:c>
      <x:c r="M1821" t="n">
        <x:v>2015</x:v>
      </x:c>
      <x:c r="N1821" s="20" t="n">
        <x:v>42156</x:v>
      </x:c>
    </x:row>
    <x:row r="1822" ht="18" customHeight="1">
      <x:c r="A1822" t="str">
        <x:v>CA-2015-164833</x:v>
      </x:c>
      <x:c r="B1822" s="18" t="n">
        <x:v>42159</x:v>
      </x:c>
      <x:c r="C1822" t="str">
        <x:v>LL-16840</x:v>
      </x:c>
      <x:c r="D1822" t="str">
        <x:v>Lauren Leatherbury</x:v>
      </x:c>
      <x:c r="E1822" t="str">
        <x:v>Consumer</x:v>
      </x:c>
      <x:c r="F1822" t="str">
        <x:v>West</x:v>
      </x:c>
      <x:c r="G1822" t="str">
        <x:v>Office Supplies</x:v>
      </x:c>
      <x:c r="H1822" t="str">
        <x:v>Art</x:v>
      </x:c>
      <x:c r="I1822" s="22" t="n">
        <x:v>9.26</x:v>
      </x:c>
      <x:c r="J1822" s="24" t="n">
        <x:v>2</x:v>
      </x:c>
      <x:c r="K1822" s="26" t="n">
        <x:v>0</x:v>
      </x:c>
      <x:c r="L1822" s="22" t="n">
        <x:v>3.0557999999999996</x:v>
      </x:c>
      <x:c r="M1822" t="n">
        <x:v>2015</x:v>
      </x:c>
      <x:c r="N1822" s="20" t="n">
        <x:v>42156</x:v>
      </x:c>
    </x:row>
    <x:row r="1823" ht="18" customHeight="1">
      <x:c r="A1823" t="str">
        <x:v>CA-2015-125423</x:v>
      </x:c>
      <x:c r="B1823" s="18" t="n">
        <x:v>42351</x:v>
      </x:c>
      <x:c r="C1823" t="str">
        <x:v>MC-17575</x:v>
      </x:c>
      <x:c r="D1823" t="str">
        <x:v>Matt Collins</x:v>
      </x:c>
      <x:c r="E1823" t="str">
        <x:v>Consumer</x:v>
      </x:c>
      <x:c r="F1823" t="str">
        <x:v>West</x:v>
      </x:c>
      <x:c r="G1823" t="str">
        <x:v>Office Supplies</x:v>
      </x:c>
      <x:c r="H1823" t="str">
        <x:v>Labels</x:v>
      </x:c>
      <x:c r="I1823" s="22" t="n">
        <x:v>9.96</x:v>
      </x:c>
      <x:c r="J1823" s="24" t="n">
        <x:v>2</x:v>
      </x:c>
      <x:c r="K1823" s="26" t="n">
        <x:v>0</x:v>
      </x:c>
      <x:c r="L1823" s="22" t="n">
        <x:v>4.5816</x:v>
      </x:c>
      <x:c r="M1823" t="n">
        <x:v>2015</x:v>
      </x:c>
      <x:c r="N1823" s="20" t="n">
        <x:v>42339</x:v>
      </x:c>
    </x:row>
    <x:row r="1824" ht="18" customHeight="1">
      <x:c r="A1824" t="str">
        <x:v>US-2014-130379</x:v>
      </x:c>
      <x:c r="B1824" s="18" t="n">
        <x:v>41784</x:v>
      </x:c>
      <x:c r="C1824" t="str">
        <x:v>JL-15235</x:v>
      </x:c>
      <x:c r="D1824" t="str">
        <x:v>Janet Lee</x:v>
      </x:c>
      <x:c r="E1824" t="str">
        <x:v>Consumer</x:v>
      </x:c>
      <x:c r="F1824" t="str">
        <x:v>Central</x:v>
      </x:c>
      <x:c r="G1824" t="str">
        <x:v>Office Supplies</x:v>
      </x:c>
      <x:c r="H1824" t="str">
        <x:v>Appliances</x:v>
      </x:c>
      <x:c r="I1824" s="22" t="n">
        <x:v>75.59999999999998</x:v>
      </x:c>
      <x:c r="J1824" s="24" t="n">
        <x:v>2</x:v>
      </x:c>
      <x:c r="K1824" s="26" t="n">
        <x:v>0.8</x:v>
      </x:c>
      <x:c r="L1824" s="22" t="n">
        <x:v>-166.32000000000005</x:v>
      </x:c>
      <x:c r="M1824" t="n">
        <x:v>2014</x:v>
      </x:c>
      <x:c r="N1824" s="20" t="n">
        <x:v>41760</x:v>
      </x:c>
    </x:row>
    <x:row r="1825" ht="18" customHeight="1">
      <x:c r="A1825" t="str">
        <x:v>US-2014-130379</x:v>
      </x:c>
      <x:c r="B1825" s="18" t="n">
        <x:v>41784</x:v>
      </x:c>
      <x:c r="C1825" t="str">
        <x:v>JL-15235</x:v>
      </x:c>
      <x:c r="D1825" t="str">
        <x:v>Janet Lee</x:v>
      </x:c>
      <x:c r="E1825" t="str">
        <x:v>Consumer</x:v>
      </x:c>
      <x:c r="F1825" t="str">
        <x:v>Central</x:v>
      </x:c>
      <x:c r="G1825" t="str">
        <x:v>Furniture</x:v>
      </x:c>
      <x:c r="H1825" t="str">
        <x:v>Furnishings</x:v>
      </x:c>
      <x:c r="I1825" s="22" t="n">
        <x:v>29.32</x:v>
      </x:c>
      <x:c r="J1825" s="24" t="n">
        <x:v>2</x:v>
      </x:c>
      <x:c r="K1825" s="26" t="n">
        <x:v>0.6</x:v>
      </x:c>
      <x:c r="L1825" s="22" t="n">
        <x:v>-24.188999999999993</x:v>
      </x:c>
      <x:c r="M1825" t="n">
        <x:v>2014</x:v>
      </x:c>
      <x:c r="N1825" s="20" t="n">
        <x:v>41760</x:v>
      </x:c>
    </x:row>
    <x:row r="1826" ht="18" customHeight="1">
      <x:c r="A1826" t="str">
        <x:v>CA-2016-168956</x:v>
      </x:c>
      <x:c r="B1826" s="18" t="n">
        <x:v>42416</x:v>
      </x:c>
      <x:c r="C1826" t="str">
        <x:v>EA-14035</x:v>
      </x:c>
      <x:c r="D1826" t="str">
        <x:v>Erin Ashbrook</x:v>
      </x:c>
      <x:c r="E1826" t="str">
        <x:v>Corporate</x:v>
      </x:c>
      <x:c r="F1826" t="str">
        <x:v>Central</x:v>
      </x:c>
      <x:c r="G1826" t="str">
        <x:v>Office Supplies</x:v>
      </x:c>
      <x:c r="H1826" t="str">
        <x:v>Appliances</x:v>
      </x:c>
      <x:c r="I1826" s="22" t="n">
        <x:v>92.06399999999998</x:v>
      </x:c>
      <x:c r="J1826" s="24" t="n">
        <x:v>6</x:v>
      </x:c>
      <x:c r="K1826" s="26" t="n">
        <x:v>0.8</x:v>
      </x:c>
      <x:c r="L1826" s="22" t="n">
        <x:v>-225.55680000000007</x:v>
      </x:c>
      <x:c r="M1826" t="n">
        <x:v>2016</x:v>
      </x:c>
      <x:c r="N1826" s="20" t="n">
        <x:v>42401</x:v>
      </x:c>
    </x:row>
    <x:row r="1827" ht="18" customHeight="1">
      <x:c r="A1827" t="str">
        <x:v>CA-2016-168956</x:v>
      </x:c>
      <x:c r="B1827" s="18" t="n">
        <x:v>42416</x:v>
      </x:c>
      <x:c r="C1827" t="str">
        <x:v>EA-14035</x:v>
      </x:c>
      <x:c r="D1827" t="str">
        <x:v>Erin Ashbrook</x:v>
      </x:c>
      <x:c r="E1827" t="str">
        <x:v>Corporate</x:v>
      </x:c>
      <x:c r="F1827" t="str">
        <x:v>Central</x:v>
      </x:c>
      <x:c r="G1827" t="str">
        <x:v>Office Supplies</x:v>
      </x:c>
      <x:c r="H1827" t="str">
        <x:v>Fasteners</x:v>
      </x:c>
      <x:c r="I1827" s="22" t="n">
        <x:v>6.976000000000001</x:v>
      </x:c>
      <x:c r="J1827" s="24" t="n">
        <x:v>4</x:v>
      </x:c>
      <x:c r="K1827" s="26" t="n">
        <x:v>0.2</x:v>
      </x:c>
      <x:c r="L1827" s="22" t="n">
        <x:v>1.8312000000000004</x:v>
      </x:c>
      <x:c r="M1827" t="n">
        <x:v>2016</x:v>
      </x:c>
      <x:c r="N1827" s="20" t="n">
        <x:v>42401</x:v>
      </x:c>
    </x:row>
    <x:row r="1828" ht="18" customHeight="1">
      <x:c r="A1828" t="str">
        <x:v>CA-2016-168956</x:v>
      </x:c>
      <x:c r="B1828" s="18" t="n">
        <x:v>42416</x:v>
      </x:c>
      <x:c r="C1828" t="str">
        <x:v>EA-14035</x:v>
      </x:c>
      <x:c r="D1828" t="str">
        <x:v>Erin Ashbrook</x:v>
      </x:c>
      <x:c r="E1828" t="str">
        <x:v>Corporate</x:v>
      </x:c>
      <x:c r="F1828" t="str">
        <x:v>Central</x:v>
      </x:c>
      <x:c r="G1828" t="str">
        <x:v>Furniture</x:v>
      </x:c>
      <x:c r="H1828" t="str">
        <x:v>Chairs</x:v>
      </x:c>
      <x:c r="I1828" s="22" t="n">
        <x:v>62.958</x:v>
      </x:c>
      <x:c r="J1828" s="24" t="n">
        <x:v>3</x:v>
      </x:c>
      <x:c r="K1828" s="26" t="n">
        <x:v>0.3</x:v>
      </x:c>
      <x:c r="L1828" s="22" t="n">
        <x:v>-2.6982</x:v>
      </x:c>
      <x:c r="M1828" t="n">
        <x:v>2016</x:v>
      </x:c>
      <x:c r="N1828" s="20" t="n">
        <x:v>42401</x:v>
      </x:c>
    </x:row>
    <x:row r="1829" ht="18" customHeight="1">
      <x:c r="A1829" t="str">
        <x:v>CA-2016-168956</x:v>
      </x:c>
      <x:c r="B1829" s="18" t="n">
        <x:v>42416</x:v>
      </x:c>
      <x:c r="C1829" t="str">
        <x:v>EA-14035</x:v>
      </x:c>
      <x:c r="D1829" t="str">
        <x:v>Erin Ashbrook</x:v>
      </x:c>
      <x:c r="E1829" t="str">
        <x:v>Corporate</x:v>
      </x:c>
      <x:c r="F1829" t="str">
        <x:v>Central</x:v>
      </x:c>
      <x:c r="G1829" t="str">
        <x:v>Office Supplies</x:v>
      </x:c>
      <x:c r="H1829" t="str">
        <x:v>Paper</x:v>
      </x:c>
      <x:c r="I1829" s="22" t="n">
        <x:v>5.184000000000001</x:v>
      </x:c>
      <x:c r="J1829" s="24" t="n">
        <x:v>1</x:v>
      </x:c>
      <x:c r="K1829" s="26" t="n">
        <x:v>0.2</x:v>
      </x:c>
      <x:c r="L1829" s="22" t="n">
        <x:v>1.8144</x:v>
      </x:c>
      <x:c r="M1829" t="n">
        <x:v>2016</x:v>
      </x:c>
      <x:c r="N1829" s="20" t="n">
        <x:v>42401</x:v>
      </x:c>
    </x:row>
    <x:row r="1830" ht="18" customHeight="1">
      <x:c r="A1830" t="str">
        <x:v>CA-2016-167507</x:v>
      </x:c>
      <x:c r="B1830" s="18" t="n">
        <x:v>42726</x:v>
      </x:c>
      <x:c r="C1830" t="str">
        <x:v>SA-20830</x:v>
      </x:c>
      <x:c r="D1830" t="str">
        <x:v>Sue Ann Reed</x:v>
      </x:c>
      <x:c r="E1830" t="str">
        <x:v>Consumer</x:v>
      </x:c>
      <x:c r="F1830" t="str">
        <x:v>West</x:v>
      </x:c>
      <x:c r="G1830" t="str">
        <x:v>Office Supplies</x:v>
      </x:c>
      <x:c r="H1830" t="str">
        <x:v>Binders</x:v>
      </x:c>
      <x:c r="I1830" s="22" t="n">
        <x:v>31.32</x:v>
      </x:c>
      <x:c r="J1830" s="24" t="n">
        <x:v>10</x:v>
      </x:c>
      <x:c r="K1830" s="26" t="n">
        <x:v>0.7</x:v>
      </x:c>
      <x:c r="L1830" s="22" t="n">
        <x:v>-25.05599999999999</x:v>
      </x:c>
      <x:c r="M1830" t="n">
        <x:v>2016</x:v>
      </x:c>
      <x:c r="N1830" s="20" t="n">
        <x:v>42705</x:v>
      </x:c>
    </x:row>
    <x:row r="1831" ht="18" customHeight="1">
      <x:c r="A1831" t="str">
        <x:v>CA-2016-167507</x:v>
      </x:c>
      <x:c r="B1831" s="18" t="n">
        <x:v>42726</x:v>
      </x:c>
      <x:c r="C1831" t="str">
        <x:v>SA-20830</x:v>
      </x:c>
      <x:c r="D1831" t="str">
        <x:v>Sue Ann Reed</x:v>
      </x:c>
      <x:c r="E1831" t="str">
        <x:v>Consumer</x:v>
      </x:c>
      <x:c r="F1831" t="str">
        <x:v>West</x:v>
      </x:c>
      <x:c r="G1831" t="str">
        <x:v>Furniture</x:v>
      </x:c>
      <x:c r="H1831" t="str">
        <x:v>Furnishings</x:v>
      </x:c>
      <x:c r="I1831" s="22" t="n">
        <x:v>11.840000000000002</x:v>
      </x:c>
      <x:c r="J1831" s="24" t="n">
        <x:v>4</x:v>
      </x:c>
      <x:c r="K1831" s="26" t="n">
        <x:v>0.2</x:v>
      </x:c>
      <x:c r="L1831" s="22" t="n">
        <x:v>3.108000000000001</x:v>
      </x:c>
      <x:c r="M1831" t="n">
        <x:v>2016</x:v>
      </x:c>
      <x:c r="N1831" s="20" t="n">
        <x:v>42705</x:v>
      </x:c>
    </x:row>
    <x:row r="1832" ht="18" customHeight="1">
      <x:c r="A1832" t="str">
        <x:v>CA-2016-167507</x:v>
      </x:c>
      <x:c r="B1832" s="18" t="n">
        <x:v>42726</x:v>
      </x:c>
      <x:c r="C1832" t="str">
        <x:v>SA-20830</x:v>
      </x:c>
      <x:c r="D1832" t="str">
        <x:v>Sue Ann Reed</x:v>
      </x:c>
      <x:c r="E1832" t="str">
        <x:v>Consumer</x:v>
      </x:c>
      <x:c r="F1832" t="str">
        <x:v>West</x:v>
      </x:c>
      <x:c r="G1832" t="str">
        <x:v>Furniture</x:v>
      </x:c>
      <x:c r="H1832" t="str">
        <x:v>Furnishings</x:v>
      </x:c>
      <x:c r="I1832" s="22" t="n">
        <x:v>22.784000000000002</x:v>
      </x:c>
      <x:c r="J1832" s="24" t="n">
        <x:v>1</x:v>
      </x:c>
      <x:c r="K1832" s="26" t="n">
        <x:v>0.2</x:v>
      </x:c>
      <x:c r="L1832" s="22" t="n">
        <x:v>4.841600000000001</x:v>
      </x:c>
      <x:c r="M1832" t="n">
        <x:v>2016</x:v>
      </x:c>
      <x:c r="N1832" s="20" t="n">
        <x:v>42705</x:v>
      </x:c>
    </x:row>
    <x:row r="1833" ht="18" customHeight="1">
      <x:c r="A1833" t="str">
        <x:v>CA-2016-109344</x:v>
      </x:c>
      <x:c r="B1833" s="18" t="n">
        <x:v>42408</x:v>
      </x:c>
      <x:c r="C1833" t="str">
        <x:v>CH-12070</x:v>
      </x:c>
      <x:c r="D1833" t="str">
        <x:v>Cathy Hwang</x:v>
      </x:c>
      <x:c r="E1833" t="str">
        <x:v>Home Office</x:v>
      </x:c>
      <x:c r="F1833" t="str">
        <x:v>South</x:v>
      </x:c>
      <x:c r="G1833" t="str">
        <x:v>Technology</x:v>
      </x:c>
      <x:c r="H1833" t="str">
        <x:v>Phones</x:v>
      </x:c>
      <x:c r="I1833" s="22" t="n">
        <x:v>1127.976</x:v>
      </x:c>
      <x:c r="J1833" s="24" t="n">
        <x:v>3</x:v>
      </x:c>
      <x:c r="K1833" s="26" t="n">
        <x:v>0.2</x:v>
      </x:c>
      <x:c r="L1833" s="22" t="n">
        <x:v>126.8972999999998</x:v>
      </x:c>
      <x:c r="M1833" t="n">
        <x:v>2016</x:v>
      </x:c>
      <x:c r="N1833" s="20" t="n">
        <x:v>42401</x:v>
      </x:c>
    </x:row>
    <x:row r="1834" ht="18" customHeight="1">
      <x:c r="A1834" t="str">
        <x:v>US-2015-140851</x:v>
      </x:c>
      <x:c r="B1834" s="18" t="n">
        <x:v>42198</x:v>
      </x:c>
      <x:c r="C1834" t="str">
        <x:v>ND-18460</x:v>
      </x:c>
      <x:c r="D1834" t="str">
        <x:v>Neil Ducich</x:v>
      </x:c>
      <x:c r="E1834" t="str">
        <x:v>Corporate</x:v>
      </x:c>
      <x:c r="F1834" t="str">
        <x:v>South</x:v>
      </x:c>
      <x:c r="G1834" t="str">
        <x:v>Office Supplies</x:v>
      </x:c>
      <x:c r="H1834" t="str">
        <x:v>Paper</x:v>
      </x:c>
      <x:c r="I1834" s="22" t="n">
        <x:v>38.88</x:v>
      </x:c>
      <x:c r="J1834" s="24" t="n">
        <x:v>6</x:v>
      </x:c>
      <x:c r="K1834" s="26" t="n">
        <x:v>0</x:v>
      </x:c>
      <x:c r="L1834" s="22" t="n">
        <x:v>18.6624</x:v>
      </x:c>
      <x:c r="M1834" t="n">
        <x:v>2015</x:v>
      </x:c>
      <x:c r="N1834" s="20" t="n">
        <x:v>42186</x:v>
      </x:c>
    </x:row>
    <x:row r="1835" ht="18" customHeight="1">
      <x:c r="A1835" t="str">
        <x:v>CA-2014-103373</x:v>
      </x:c>
      <x:c r="B1835" s="18" t="n">
        <x:v>41777</x:v>
      </x:c>
      <x:c r="C1835" t="str">
        <x:v>BS-11755</x:v>
      </x:c>
      <x:c r="D1835" t="str">
        <x:v>Bruce Stewart</x:v>
      </x:c>
      <x:c r="E1835" t="str">
        <x:v>Consumer</x:v>
      </x:c>
      <x:c r="F1835" t="str">
        <x:v>East</x:v>
      </x:c>
      <x:c r="G1835" t="str">
        <x:v>Technology</x:v>
      </x:c>
      <x:c r="H1835" t="str">
        <x:v>Phones</x:v>
      </x:c>
      <x:c r="I1835" s="22" t="n">
        <x:v>779.796</x:v>
      </x:c>
      <x:c r="J1835" s="24" t="n">
        <x:v>2</x:v>
      </x:c>
      <x:c r="K1835" s="26" t="n">
        <x:v>0.4</x:v>
      </x:c>
      <x:c r="L1835" s="22" t="n">
        <x:v>-168.95579999999995</x:v>
      </x:c>
      <x:c r="M1835" t="n">
        <x:v>2014</x:v>
      </x:c>
      <x:c r="N1835" s="20" t="n">
        <x:v>41760</x:v>
      </x:c>
    </x:row>
    <x:row r="1836" ht="18" customHeight="1">
      <x:c r="A1836" t="str">
        <x:v>CA-2017-145884</x:v>
      </x:c>
      <x:c r="B1836" s="18" t="n">
        <x:v>43029</x:v>
      </x:c>
      <x:c r="C1836" t="str">
        <x:v>SL-20155</x:v>
      </x:c>
      <x:c r="D1836" t="str">
        <x:v>Sara Luxemburg</x:v>
      </x:c>
      <x:c r="E1836" t="str">
        <x:v>Home Office</x:v>
      </x:c>
      <x:c r="F1836" t="str">
        <x:v>Central</x:v>
      </x:c>
      <x:c r="G1836" t="str">
        <x:v>Technology</x:v>
      </x:c>
      <x:c r="H1836" t="str">
        <x:v>Phones</x:v>
      </x:c>
      <x:c r="I1836" s="22" t="n">
        <x:v>1439.92</x:v>
      </x:c>
      <x:c r="J1836" s="24" t="n">
        <x:v>8</x:v>
      </x:c>
      <x:c r="K1836" s="26" t="n">
        <x:v>0</x:v>
      </x:c>
      <x:c r="L1836" s="22" t="n">
        <x:v>374.3792000000001</x:v>
      </x:c>
      <x:c r="M1836" t="n">
        <x:v>2017</x:v>
      </x:c>
      <x:c r="N1836" s="20" t="n">
        <x:v>43009</x:v>
      </x:c>
    </x:row>
    <x:row r="1837" ht="18" customHeight="1">
      <x:c r="A1837" t="str">
        <x:v>CA-2017-145884</x:v>
      </x:c>
      <x:c r="B1837" s="18" t="n">
        <x:v>43029</x:v>
      </x:c>
      <x:c r="C1837" t="str">
        <x:v>SL-20155</x:v>
      </x:c>
      <x:c r="D1837" t="str">
        <x:v>Sara Luxemburg</x:v>
      </x:c>
      <x:c r="E1837" t="str">
        <x:v>Home Office</x:v>
      </x:c>
      <x:c r="F1837" t="str">
        <x:v>Central</x:v>
      </x:c>
      <x:c r="G1837" t="str">
        <x:v>Furniture</x:v>
      </x:c>
      <x:c r="H1837" t="str">
        <x:v>Tables</x:v>
      </x:c>
      <x:c r="I1837" s="22" t="n">
        <x:v>262.11</x:v>
      </x:c>
      <x:c r="J1837" s="24" t="n">
        <x:v>1</x:v>
      </x:c>
      <x:c r="K1837" s="26" t="n">
        <x:v>0</x:v>
      </x:c>
      <x:c r="L1837" s="22" t="n">
        <x:v>62.90639999999999</x:v>
      </x:c>
      <x:c r="M1837" t="n">
        <x:v>2017</x:v>
      </x:c>
      <x:c r="N1837" s="20" t="n">
        <x:v>43009</x:v>
      </x:c>
    </x:row>
    <x:row r="1838" ht="18" customHeight="1">
      <x:c r="A1838" t="str">
        <x:v>CA-2015-131422</x:v>
      </x:c>
      <x:c r="B1838" s="18" t="n">
        <x:v>42313</x:v>
      </x:c>
      <x:c r="C1838" t="str">
        <x:v>GB-14530</x:v>
      </x:c>
      <x:c r="D1838" t="str">
        <x:v>George Bell</x:v>
      </x:c>
      <x:c r="E1838" t="str">
        <x:v>Corporate</x:v>
      </x:c>
      <x:c r="F1838" t="str">
        <x:v>South</x:v>
      </x:c>
      <x:c r="G1838" t="str">
        <x:v>Furniture</x:v>
      </x:c>
      <x:c r="H1838" t="str">
        <x:v>Chairs</x:v>
      </x:c>
      <x:c r="I1838" s="22" t="n">
        <x:v>207</x:v>
      </x:c>
      <x:c r="J1838" s="24" t="n">
        <x:v>3</x:v>
      </x:c>
      <x:c r="K1838" s="26" t="n">
        <x:v>0.2</x:v>
      </x:c>
      <x:c r="L1838" s="22" t="n">
        <x:v>25.87499999999997</x:v>
      </x:c>
      <x:c r="M1838" t="n">
        <x:v>2015</x:v>
      </x:c>
      <x:c r="N1838" s="20" t="n">
        <x:v>42309</x:v>
      </x:c>
    </x:row>
    <x:row r="1839" ht="18" customHeight="1">
      <x:c r="A1839" t="str">
        <x:v>CA-2017-162691</x:v>
      </x:c>
      <x:c r="B1839" s="18" t="n">
        <x:v>42948</x:v>
      </x:c>
      <x:c r="C1839" t="str">
        <x:v>AS-10045</x:v>
      </x:c>
      <x:c r="D1839" t="str">
        <x:v>Aaron Smayling</x:v>
      </x:c>
      <x:c r="E1839" t="str">
        <x:v>Corporate</x:v>
      </x:c>
      <x:c r="F1839" t="str">
        <x:v>Central</x:v>
      </x:c>
      <x:c r="G1839" t="str">
        <x:v>Technology</x:v>
      </x:c>
      <x:c r="H1839" t="str">
        <x:v>Machines</x:v>
      </x:c>
      <x:c r="I1839" s="22" t="n">
        <x:v>1439.982</x:v>
      </x:c>
      <x:c r="J1839" s="24" t="n">
        <x:v>3</x:v>
      </x:c>
      <x:c r="K1839" s="26" t="n">
        <x:v>0.4</x:v>
      </x:c>
      <x:c r="L1839" s="22" t="n">
        <x:v>-263.99670000000026</x:v>
      </x:c>
      <x:c r="M1839" t="n">
        <x:v>2017</x:v>
      </x:c>
      <x:c r="N1839" s="20" t="n">
        <x:v>42948</x:v>
      </x:c>
    </x:row>
    <x:row r="1840" ht="18" customHeight="1">
      <x:c r="A1840" t="str">
        <x:v>CA-2017-162691</x:v>
      </x:c>
      <x:c r="B1840" s="18" t="n">
        <x:v>42948</x:v>
      </x:c>
      <x:c r="C1840" t="str">
        <x:v>AS-10045</x:v>
      </x:c>
      <x:c r="D1840" t="str">
        <x:v>Aaron Smayling</x:v>
      </x:c>
      <x:c r="E1840" t="str">
        <x:v>Corporate</x:v>
      </x:c>
      <x:c r="F1840" t="str">
        <x:v>Central</x:v>
      </x:c>
      <x:c r="G1840" t="str">
        <x:v>Office Supplies</x:v>
      </x:c>
      <x:c r="H1840" t="str">
        <x:v>Paper</x:v>
      </x:c>
      <x:c r="I1840" s="22" t="n">
        <x:v>36.28800000000001</x:v>
      </x:c>
      <x:c r="J1840" s="24" t="n">
        <x:v>7</x:v>
      </x:c>
      <x:c r="K1840" s="26" t="n">
        <x:v>0.2</x:v>
      </x:c>
      <x:c r="L1840" s="22" t="n">
        <x:v>12.700800000000001</x:v>
      </x:c>
      <x:c r="M1840" t="n">
        <x:v>2017</x:v>
      </x:c>
      <x:c r="N1840" s="20" t="n">
        <x:v>42948</x:v>
      </x:c>
    </x:row>
    <x:row r="1841" ht="18" customHeight="1">
      <x:c r="A1841" t="str">
        <x:v>CA-2014-141278</x:v>
      </x:c>
      <x:c r="B1841" s="18" t="n">
        <x:v>41811</x:v>
      </x:c>
      <x:c r="C1841" t="str">
        <x:v>RM-19375</x:v>
      </x:c>
      <x:c r="D1841" t="str">
        <x:v>Raymond Messe</x:v>
      </x:c>
      <x:c r="E1841" t="str">
        <x:v>Consumer</x:v>
      </x:c>
      <x:c r="F1841" t="str">
        <x:v>East</x:v>
      </x:c>
      <x:c r="G1841" t="str">
        <x:v>Office Supplies</x:v>
      </x:c>
      <x:c r="H1841" t="str">
        <x:v>Art</x:v>
      </x:c>
      <x:c r="I1841" s="22" t="n">
        <x:v>21.400000000000002</x:v>
      </x:c>
      <x:c r="J1841" s="24" t="n">
        <x:v>5</x:v>
      </x:c>
      <x:c r="K1841" s="26" t="n">
        <x:v>0</x:v>
      </x:c>
      <x:c r="L1841" s="22" t="n">
        <x:v>6.205999999999998</x:v>
      </x:c>
      <x:c r="M1841" t="n">
        <x:v>2014</x:v>
      </x:c>
      <x:c r="N1841" s="20" t="n">
        <x:v>41791</x:v>
      </x:c>
    </x:row>
    <x:row r="1842" ht="18" customHeight="1">
      <x:c r="A1842" t="str">
        <x:v>CA-2017-122693</x:v>
      </x:c>
      <x:c r="B1842" s="18" t="n">
        <x:v>42785</x:v>
      </x:c>
      <x:c r="C1842" t="str">
        <x:v>NH-18610</x:v>
      </x:c>
      <x:c r="D1842" t="str">
        <x:v>Nicole Hansen</x:v>
      </x:c>
      <x:c r="E1842" t="str">
        <x:v>Corporate</x:v>
      </x:c>
      <x:c r="F1842" t="str">
        <x:v>South</x:v>
      </x:c>
      <x:c r="G1842" t="str">
        <x:v>Office Supplies</x:v>
      </x:c>
      <x:c r="H1842" t="str">
        <x:v>Appliances</x:v>
      </x:c>
      <x:c r="I1842" s="22" t="n">
        <x:v>1245.86</x:v>
      </x:c>
      <x:c r="J1842" s="24" t="n">
        <x:v>7</x:v>
      </x:c>
      <x:c r="K1842" s="26" t="n">
        <x:v>0</x:v>
      </x:c>
      <x:c r="L1842" s="22" t="n">
        <x:v>361.2993999999999</x:v>
      </x:c>
      <x:c r="M1842" t="n">
        <x:v>2017</x:v>
      </x:c>
      <x:c r="N1842" s="20" t="n">
        <x:v>42767</x:v>
      </x:c>
    </x:row>
    <x:row r="1843" ht="18" customHeight="1">
      <x:c r="A1843" t="str">
        <x:v>CA-2014-117345</x:v>
      </x:c>
      <x:c r="B1843" s="18" t="n">
        <x:v>41852</x:v>
      </x:c>
      <x:c r="C1843" t="str">
        <x:v>BF-10975</x:v>
      </x:c>
      <x:c r="D1843" t="str">
        <x:v>Barbara Fisher</x:v>
      </x:c>
      <x:c r="E1843" t="str">
        <x:v>Corporate</x:v>
      </x:c>
      <x:c r="F1843" t="str">
        <x:v>South</x:v>
      </x:c>
      <x:c r="G1843" t="str">
        <x:v>Office Supplies</x:v>
      </x:c>
      <x:c r="H1843" t="str">
        <x:v>Labels</x:v>
      </x:c>
      <x:c r="I1843" s="22" t="n">
        <x:v>17.544</x:v>
      </x:c>
      <x:c r="J1843" s="24" t="n">
        <x:v>3</x:v>
      </x:c>
      <x:c r="K1843" s="26" t="n">
        <x:v>0.2</x:v>
      </x:c>
      <x:c r="L1843" s="22" t="n">
        <x:v>5.921099999999998</x:v>
      </x:c>
      <x:c r="M1843" t="n">
        <x:v>2014</x:v>
      </x:c>
      <x:c r="N1843" s="20" t="n">
        <x:v>41852</x:v>
      </x:c>
    </x:row>
    <x:row r="1844" ht="18" customHeight="1">
      <x:c r="A1844" t="str">
        <x:v>CA-2014-117345</x:v>
      </x:c>
      <x:c r="B1844" s="18" t="n">
        <x:v>41852</x:v>
      </x:c>
      <x:c r="C1844" t="str">
        <x:v>BF-10975</x:v>
      </x:c>
      <x:c r="D1844" t="str">
        <x:v>Barbara Fisher</x:v>
      </x:c>
      <x:c r="E1844" t="str">
        <x:v>Corporate</x:v>
      </x:c>
      <x:c r="F1844" t="str">
        <x:v>South</x:v>
      </x:c>
      <x:c r="G1844" t="str">
        <x:v>Furniture</x:v>
      </x:c>
      <x:c r="H1844" t="str">
        <x:v>Furnishings</x:v>
      </x:c>
      <x:c r="I1844" s="22" t="n">
        <x:v>44.128</x:v>
      </x:c>
      <x:c r="J1844" s="24" t="n">
        <x:v>4</x:v>
      </x:c>
      <x:c r="K1844" s="26" t="n">
        <x:v>0.2</x:v>
      </x:c>
      <x:c r="L1844" s="22" t="n">
        <x:v>12.135200000000001</x:v>
      </x:c>
      <x:c r="M1844" t="n">
        <x:v>2014</x:v>
      </x:c>
      <x:c r="N1844" s="20" t="n">
        <x:v>41852</x:v>
      </x:c>
    </x:row>
    <x:row r="1845" ht="18" customHeight="1">
      <x:c r="A1845" t="str">
        <x:v>CA-2014-117345</x:v>
      </x:c>
      <x:c r="B1845" s="18" t="n">
        <x:v>41852</x:v>
      </x:c>
      <x:c r="C1845" t="str">
        <x:v>BF-10975</x:v>
      </x:c>
      <x:c r="D1845" t="str">
        <x:v>Barbara Fisher</x:v>
      </x:c>
      <x:c r="E1845" t="str">
        <x:v>Corporate</x:v>
      </x:c>
      <x:c r="F1845" t="str">
        <x:v>South</x:v>
      </x:c>
      <x:c r="G1845" t="str">
        <x:v>Office Supplies</x:v>
      </x:c>
      <x:c r="H1845" t="str">
        <x:v>Appliances</x:v>
      </x:c>
      <x:c r="I1845" s="22" t="n">
        <x:v>62.92000000000001</x:v>
      </x:c>
      <x:c r="J1845" s="24" t="n">
        <x:v>1</x:v>
      </x:c>
      <x:c r="K1845" s="26" t="n">
        <x:v>0.2</x:v>
      </x:c>
      <x:c r="L1845" s="22" t="n">
        <x:v>10.224499999999994</x:v>
      </x:c>
      <x:c r="M1845" t="n">
        <x:v>2014</x:v>
      </x:c>
      <x:c r="N1845" s="20" t="n">
        <x:v>41852</x:v>
      </x:c>
    </x:row>
    <x:row r="1846" ht="18" customHeight="1">
      <x:c r="A1846" t="str">
        <x:v>CA-2014-117345</x:v>
      </x:c>
      <x:c r="B1846" s="18" t="n">
        <x:v>41852</x:v>
      </x:c>
      <x:c r="C1846" t="str">
        <x:v>BF-10975</x:v>
      </x:c>
      <x:c r="D1846" t="str">
        <x:v>Barbara Fisher</x:v>
      </x:c>
      <x:c r="E1846" t="str">
        <x:v>Corporate</x:v>
      </x:c>
      <x:c r="F1846" t="str">
        <x:v>South</x:v>
      </x:c>
      <x:c r="G1846" t="str">
        <x:v>Office Supplies</x:v>
      </x:c>
      <x:c r="H1846" t="str">
        <x:v>Paper</x:v>
      </x:c>
      <x:c r="I1846" s="22" t="n">
        <x:v>78.304</x:v>
      </x:c>
      <x:c r="J1846" s="24" t="n">
        <x:v>2</x:v>
      </x:c>
      <x:c r="K1846" s="26" t="n">
        <x:v>0.2</x:v>
      </x:c>
      <x:c r="L1846" s="22" t="n">
        <x:v>29.363999999999997</x:v>
      </x:c>
      <x:c r="M1846" t="n">
        <x:v>2014</x:v>
      </x:c>
      <x:c r="N1846" s="20" t="n">
        <x:v>41852</x:v>
      </x:c>
    </x:row>
    <x:row r="1847" ht="18" customHeight="1">
      <x:c r="A1847" t="str">
        <x:v>CA-2016-157763</x:v>
      </x:c>
      <x:c r="B1847" s="18" t="n">
        <x:v>42569</x:v>
      </x:c>
      <x:c r="C1847" t="str">
        <x:v>KH-16330</x:v>
      </x:c>
      <x:c r="D1847" t="str">
        <x:v>Katharine Harms</x:v>
      </x:c>
      <x:c r="E1847" t="str">
        <x:v>Corporate</x:v>
      </x:c>
      <x:c r="F1847" t="str">
        <x:v>South</x:v>
      </x:c>
      <x:c r="G1847" t="str">
        <x:v>Furniture</x:v>
      </x:c>
      <x:c r="H1847" t="str">
        <x:v>Chairs</x:v>
      </x:c>
      <x:c r="I1847" s="22" t="n">
        <x:v>140.81</x:v>
      </x:c>
      <x:c r="J1847" s="24" t="n">
        <x:v>1</x:v>
      </x:c>
      <x:c r="K1847" s="26" t="n">
        <x:v>0</x:v>
      </x:c>
      <x:c r="L1847" s="22" t="n">
        <x:v>39.4268</x:v>
      </x:c>
      <x:c r="M1847" t="n">
        <x:v>2016</x:v>
      </x:c>
      <x:c r="N1847" s="20" t="n">
        <x:v>42552</x:v>
      </x:c>
    </x:row>
    <x:row r="1848" ht="18" customHeight="1">
      <x:c r="A1848" t="str">
        <x:v>CA-2015-135391</x:v>
      </x:c>
      <x:c r="B1848" s="18" t="n">
        <x:v>42044</x:v>
      </x:c>
      <x:c r="C1848" t="str">
        <x:v>FA-14230</x:v>
      </x:c>
      <x:c r="D1848" t="str">
        <x:v>Frank Atkinson</x:v>
      </x:c>
      <x:c r="E1848" t="str">
        <x:v>Corporate</x:v>
      </x:c>
      <x:c r="F1848" t="str">
        <x:v>Central</x:v>
      </x:c>
      <x:c r="G1848" t="str">
        <x:v>Office Supplies</x:v>
      </x:c>
      <x:c r="H1848" t="str">
        <x:v>Labels</x:v>
      </x:c>
      <x:c r="I1848" s="22" t="n">
        <x:v>40.096000000000004</x:v>
      </x:c>
      <x:c r="J1848" s="24" t="n">
        <x:v>4</x:v>
      </x:c>
      <x:c r="K1848" s="26" t="n">
        <x:v>0.2</x:v>
      </x:c>
      <x:c r="L1848" s="22" t="n">
        <x:v>13.532399999999996</x:v>
      </x:c>
      <x:c r="M1848" t="n">
        <x:v>2015</x:v>
      </x:c>
      <x:c r="N1848" s="20" t="n">
        <x:v>42036</x:v>
      </x:c>
    </x:row>
    <x:row r="1849" ht="18" customHeight="1">
      <x:c r="A1849" t="str">
        <x:v>CA-2015-135391</x:v>
      </x:c>
      <x:c r="B1849" s="18" t="n">
        <x:v>42044</x:v>
      </x:c>
      <x:c r="C1849" t="str">
        <x:v>FA-14230</x:v>
      </x:c>
      <x:c r="D1849" t="str">
        <x:v>Frank Atkinson</x:v>
      </x:c>
      <x:c r="E1849" t="str">
        <x:v>Corporate</x:v>
      </x:c>
      <x:c r="F1849" t="str">
        <x:v>Central</x:v>
      </x:c>
      <x:c r="G1849" t="str">
        <x:v>Furniture</x:v>
      </x:c>
      <x:c r="H1849" t="str">
        <x:v>Furnishings</x:v>
      </x:c>
      <x:c r="I1849" s="22" t="n">
        <x:v>40.784</x:v>
      </x:c>
      <x:c r="J1849" s="24" t="n">
        <x:v>2</x:v>
      </x:c>
      <x:c r="K1849" s="26" t="n">
        <x:v>0.6</x:v>
      </x:c>
      <x:c r="L1849" s="22" t="n">
        <x:v>-30.588</x:v>
      </x:c>
      <x:c r="M1849" t="n">
        <x:v>2015</x:v>
      </x:c>
      <x:c r="N1849" s="20" t="n">
        <x:v>42036</x:v>
      </x:c>
    </x:row>
    <x:row r="1850" ht="18" customHeight="1">
      <x:c r="A1850" t="str">
        <x:v>US-2017-113852</x:v>
      </x:c>
      <x:c r="B1850" s="18" t="n">
        <x:v>42945</x:v>
      </x:c>
      <x:c r="C1850" t="str">
        <x:v>GW-14605</x:v>
      </x:c>
      <x:c r="D1850" t="str">
        <x:v>Giulietta Weimer</x:v>
      </x:c>
      <x:c r="E1850" t="str">
        <x:v>Consumer</x:v>
      </x:c>
      <x:c r="F1850" t="str">
        <x:v>West</x:v>
      </x:c>
      <x:c r="G1850" t="str">
        <x:v>Technology</x:v>
      </x:c>
      <x:c r="H1850" t="str">
        <x:v>Accessories</x:v>
      </x:c>
      <x:c r="I1850" s="22" t="n">
        <x:v>90.57000000000001</x:v>
      </x:c>
      <x:c r="J1850" s="24" t="n">
        <x:v>3</x:v>
      </x:c>
      <x:c r="K1850" s="26" t="n">
        <x:v>0</x:v>
      </x:c>
      <x:c r="L1850" s="22" t="n">
        <x:v>11.774100000000004</x:v>
      </x:c>
      <x:c r="M1850" t="n">
        <x:v>2017</x:v>
      </x:c>
      <x:c r="N1850" s="20" t="n">
        <x:v>42917</x:v>
      </x:c>
    </x:row>
    <x:row r="1851" ht="18" customHeight="1">
      <x:c r="A1851" t="str">
        <x:v>US-2017-158512</x:v>
      </x:c>
      <x:c r="B1851" s="18" t="n">
        <x:v>42747</x:v>
      </x:c>
      <x:c r="C1851" t="str">
        <x:v>DA-13450</x:v>
      </x:c>
      <x:c r="D1851" t="str">
        <x:v>Dianna Arnett</x:v>
      </x:c>
      <x:c r="E1851" t="str">
        <x:v>Home Office</x:v>
      </x:c>
      <x:c r="F1851" t="str">
        <x:v>East</x:v>
      </x:c>
      <x:c r="G1851" t="str">
        <x:v>Office Supplies</x:v>
      </x:c>
      <x:c r="H1851" t="str">
        <x:v>Paper</x:v>
      </x:c>
      <x:c r="I1851" s="22" t="n">
        <x:v>40.08</x:v>
      </x:c>
      <x:c r="J1851" s="24" t="n">
        <x:v>6</x:v>
      </x:c>
      <x:c r="K1851" s="26" t="n">
        <x:v>0</x:v>
      </x:c>
      <x:c r="L1851" s="22" t="n">
        <x:v>19.2384</x:v>
      </x:c>
      <x:c r="M1851" t="n">
        <x:v>2017</x:v>
      </x:c>
      <x:c r="N1851" s="20" t="n">
        <x:v>42736</x:v>
      </x:c>
    </x:row>
    <x:row r="1852" ht="18" customHeight="1">
      <x:c r="A1852" t="str">
        <x:v>US-2017-158512</x:v>
      </x:c>
      <x:c r="B1852" s="18" t="n">
        <x:v>42747</x:v>
      </x:c>
      <x:c r="C1852" t="str">
        <x:v>DA-13450</x:v>
      </x:c>
      <x:c r="D1852" t="str">
        <x:v>Dianna Arnett</x:v>
      </x:c>
      <x:c r="E1852" t="str">
        <x:v>Home Office</x:v>
      </x:c>
      <x:c r="F1852" t="str">
        <x:v>East</x:v>
      </x:c>
      <x:c r="G1852" t="str">
        <x:v>Furniture</x:v>
      </x:c>
      <x:c r="H1852" t="str">
        <x:v>Furnishings</x:v>
      </x:c>
      <x:c r="I1852" s="22" t="n">
        <x:v>37.68</x:v>
      </x:c>
      <x:c r="J1852" s="24" t="n">
        <x:v>2</x:v>
      </x:c>
      <x:c r="K1852" s="26" t="n">
        <x:v>0</x:v>
      </x:c>
      <x:c r="L1852" s="22" t="n">
        <x:v>15.825600000000001</x:v>
      </x:c>
      <x:c r="M1852" t="n">
        <x:v>2017</x:v>
      </x:c>
      <x:c r="N1852" s="20" t="n">
        <x:v>42736</x:v>
      </x:c>
    </x:row>
    <x:row r="1853" ht="18" customHeight="1">
      <x:c r="A1853" t="str">
        <x:v>CA-2017-128370</x:v>
      </x:c>
      <x:c r="B1853" s="18" t="n">
        <x:v>42988</x:v>
      </x:c>
      <x:c r="C1853" t="str">
        <x:v>FH-14275</x:v>
      </x:c>
      <x:c r="D1853" t="str">
        <x:v>Frank Hawley</x:v>
      </x:c>
      <x:c r="E1853" t="str">
        <x:v>Corporate</x:v>
      </x:c>
      <x:c r="F1853" t="str">
        <x:v>West</x:v>
      </x:c>
      <x:c r="G1853" t="str">
        <x:v>Furniture</x:v>
      </x:c>
      <x:c r="H1853" t="str">
        <x:v>Chairs</x:v>
      </x:c>
      <x:c r="I1853" s="22" t="n">
        <x:v>362.352</x:v>
      </x:c>
      <x:c r="J1853" s="24" t="n">
        <x:v>3</x:v>
      </x:c>
      <x:c r="K1853" s="26" t="n">
        <x:v>0.2</x:v>
      </x:c>
      <x:c r="L1853" s="22" t="n">
        <x:v>27.176400000000015</x:v>
      </x:c>
      <x:c r="M1853" t="n">
        <x:v>2017</x:v>
      </x:c>
      <x:c r="N1853" s="20" t="n">
        <x:v>42979</x:v>
      </x:c>
    </x:row>
    <x:row r="1854" ht="18" customHeight="1">
      <x:c r="A1854" t="str">
        <x:v>CA-2017-128370</x:v>
      </x:c>
      <x:c r="B1854" s="18" t="n">
        <x:v>42988</x:v>
      </x:c>
      <x:c r="C1854" t="str">
        <x:v>FH-14275</x:v>
      </x:c>
      <x:c r="D1854" t="str">
        <x:v>Frank Hawley</x:v>
      </x:c>
      <x:c r="E1854" t="str">
        <x:v>Corporate</x:v>
      </x:c>
      <x:c r="F1854" t="str">
        <x:v>West</x:v>
      </x:c>
      <x:c r="G1854" t="str">
        <x:v>Office Supplies</x:v>
      </x:c>
      <x:c r="H1854" t="str">
        <x:v>Binders</x:v>
      </x:c>
      <x:c r="I1854" s="22" t="n">
        <x:v>7.184000000000001</x:v>
      </x:c>
      <x:c r="J1854" s="24" t="n">
        <x:v>2</x:v>
      </x:c>
      <x:c r="K1854" s="26" t="n">
        <x:v>0.2</x:v>
      </x:c>
      <x:c r="L1854" s="22" t="n">
        <x:v>2.244999999999999</x:v>
      </x:c>
      <x:c r="M1854" t="n">
        <x:v>2017</x:v>
      </x:c>
      <x:c r="N1854" s="20" t="n">
        <x:v>42979</x:v>
      </x:c>
    </x:row>
    <x:row r="1855" ht="18" customHeight="1">
      <x:c r="A1855" t="str">
        <x:v>CA-2015-160472</x:v>
      </x:c>
      <x:c r="B1855" s="18" t="n">
        <x:v>42205</x:v>
      </x:c>
      <x:c r="C1855" t="str">
        <x:v>RK-19300</x:v>
      </x:c>
      <x:c r="D1855" t="str">
        <x:v>Ralph Kennedy</x:v>
      </x:c>
      <x:c r="E1855" t="str">
        <x:v>Consumer</x:v>
      </x:c>
      <x:c r="F1855" t="str">
        <x:v>Central</x:v>
      </x:c>
      <x:c r="G1855" t="str">
        <x:v>Office Supplies</x:v>
      </x:c>
      <x:c r="H1855" t="str">
        <x:v>Storage</x:v>
      </x:c>
      <x:c r="I1855" s="22" t="n">
        <x:v>34.76</x:v>
      </x:c>
      <x:c r="J1855" s="24" t="n">
        <x:v>1</x:v>
      </x:c>
      <x:c r="K1855" s="26" t="n">
        <x:v>0</x:v>
      </x:c>
      <x:c r="L1855" s="22" t="n">
        <x:v>9.732800000000001</x:v>
      </x:c>
      <x:c r="M1855" t="n">
        <x:v>2015</x:v>
      </x:c>
      <x:c r="N1855" s="20" t="n">
        <x:v>42186</x:v>
      </x:c>
    </x:row>
    <x:row r="1856" ht="18" customHeight="1">
      <x:c r="A1856" t="str">
        <x:v>CA-2015-160472</x:v>
      </x:c>
      <x:c r="B1856" s="18" t="n">
        <x:v>42205</x:v>
      </x:c>
      <x:c r="C1856" t="str">
        <x:v>RK-19300</x:v>
      </x:c>
      <x:c r="D1856" t="str">
        <x:v>Ralph Kennedy</x:v>
      </x:c>
      <x:c r="E1856" t="str">
        <x:v>Consumer</x:v>
      </x:c>
      <x:c r="F1856" t="str">
        <x:v>Central</x:v>
      </x:c>
      <x:c r="G1856" t="str">
        <x:v>Technology</x:v>
      </x:c>
      <x:c r="H1856" t="str">
        <x:v>Accessories</x:v>
      </x:c>
      <x:c r="I1856" s="22" t="n">
        <x:v>831.2</x:v>
      </x:c>
      <x:c r="J1856" s="24" t="n">
        <x:v>5</x:v>
      </x:c>
      <x:c r="K1856" s="26" t="n">
        <x:v>0</x:v>
      </x:c>
      <x:c r="L1856" s="22" t="n">
        <x:v>124.68000000000004</x:v>
      </x:c>
      <x:c r="M1856" t="n">
        <x:v>2015</x:v>
      </x:c>
      <x:c r="N1856" s="20" t="n">
        <x:v>42186</x:v>
      </x:c>
    </x:row>
    <x:row r="1857" ht="18" customHeight="1">
      <x:c r="A1857" t="str">
        <x:v>CA-2015-160472</x:v>
      </x:c>
      <x:c r="B1857" s="18" t="n">
        <x:v>42205</x:v>
      </x:c>
      <x:c r="C1857" t="str">
        <x:v>RK-19300</x:v>
      </x:c>
      <x:c r="D1857" t="str">
        <x:v>Ralph Kennedy</x:v>
      </x:c>
      <x:c r="E1857" t="str">
        <x:v>Consumer</x:v>
      </x:c>
      <x:c r="F1857" t="str">
        <x:v>Central</x:v>
      </x:c>
      <x:c r="G1857" t="str">
        <x:v>Office Supplies</x:v>
      </x:c>
      <x:c r="H1857" t="str">
        <x:v>Paper</x:v>
      </x:c>
      <x:c r="I1857" s="22" t="n">
        <x:v>26.400000000000002</x:v>
      </x:c>
      <x:c r="J1857" s="24" t="n">
        <x:v>5</x:v>
      </x:c>
      <x:c r="K1857" s="26" t="n">
        <x:v>0</x:v>
      </x:c>
      <x:c r="L1857" s="22" t="n">
        <x:v>11.879999999999999</x:v>
      </x:c>
      <x:c r="M1857" t="n">
        <x:v>2015</x:v>
      </x:c>
      <x:c r="N1857" s="20" t="n">
        <x:v>42186</x:v>
      </x:c>
    </x:row>
    <x:row r="1858" ht="18" customHeight="1">
      <x:c r="A1858" t="str">
        <x:v>CA-2015-160472</x:v>
      </x:c>
      <x:c r="B1858" s="18" t="n">
        <x:v>42205</x:v>
      </x:c>
      <x:c r="C1858" t="str">
        <x:v>RK-19300</x:v>
      </x:c>
      <x:c r="D1858" t="str">
        <x:v>Ralph Kennedy</x:v>
      </x:c>
      <x:c r="E1858" t="str">
        <x:v>Consumer</x:v>
      </x:c>
      <x:c r="F1858" t="str">
        <x:v>Central</x:v>
      </x:c>
      <x:c r="G1858" t="str">
        <x:v>Office Supplies</x:v>
      </x:c>
      <x:c r="H1858" t="str">
        <x:v>Envelopes</x:v>
      </x:c>
      <x:c r="I1858" s="22" t="n">
        <x:v>106.75</x:v>
      </x:c>
      <x:c r="J1858" s="24" t="n">
        <x:v>7</x:v>
      </x:c>
      <x:c r="K1858" s="26" t="n">
        <x:v>0</x:v>
      </x:c>
      <x:c r="L1858" s="22" t="n">
        <x:v>49.10499999999999</x:v>
      </x:c>
      <x:c r="M1858" t="n">
        <x:v>2015</x:v>
      </x:c>
      <x:c r="N1858" s="20" t="n">
        <x:v>42186</x:v>
      </x:c>
    </x:row>
    <x:row r="1859" ht="18" customHeight="1">
      <x:c r="A1859" t="str">
        <x:v>CA-2015-160472</x:v>
      </x:c>
      <x:c r="B1859" s="18" t="n">
        <x:v>42205</x:v>
      </x:c>
      <x:c r="C1859" t="str">
        <x:v>RK-19300</x:v>
      </x:c>
      <x:c r="D1859" t="str">
        <x:v>Ralph Kennedy</x:v>
      </x:c>
      <x:c r="E1859" t="str">
        <x:v>Consumer</x:v>
      </x:c>
      <x:c r="F1859" t="str">
        <x:v>Central</x:v>
      </x:c>
      <x:c r="G1859" t="str">
        <x:v>Office Supplies</x:v>
      </x:c>
      <x:c r="H1859" t="str">
        <x:v>Paper</x:v>
      </x:c>
      <x:c r="I1859" s="22" t="n">
        <x:v>97.82</x:v>
      </x:c>
      <x:c r="J1859" s="24" t="n">
        <x:v>2</x:v>
      </x:c>
      <x:c r="K1859" s="26" t="n">
        <x:v>0</x:v>
      </x:c>
      <x:c r="L1859" s="22" t="n">
        <x:v>45.97539999999999</x:v>
      </x:c>
      <x:c r="M1859" t="n">
        <x:v>2015</x:v>
      </x:c>
      <x:c r="N1859" s="20" t="n">
        <x:v>42186</x:v>
      </x:c>
    </x:row>
    <x:row r="1860" ht="18" customHeight="1">
      <x:c r="A1860" t="str">
        <x:v>CA-2015-160472</x:v>
      </x:c>
      <x:c r="B1860" s="18" t="n">
        <x:v>42205</x:v>
      </x:c>
      <x:c r="C1860" t="str">
        <x:v>RK-19300</x:v>
      </x:c>
      <x:c r="D1860" t="str">
        <x:v>Ralph Kennedy</x:v>
      </x:c>
      <x:c r="E1860" t="str">
        <x:v>Consumer</x:v>
      </x:c>
      <x:c r="F1860" t="str">
        <x:v>Central</x:v>
      </x:c>
      <x:c r="G1860" t="str">
        <x:v>Office Supplies</x:v>
      </x:c>
      <x:c r="H1860" t="str">
        <x:v>Storage</x:v>
      </x:c>
      <x:c r="I1860" s="22" t="n">
        <x:v>141.4</x:v>
      </x:c>
      <x:c r="J1860" s="24" t="n">
        <x:v>5</x:v>
      </x:c>
      <x:c r="K1860" s="26" t="n">
        <x:v>0</x:v>
      </x:c>
      <x:c r="L1860" s="22" t="n">
        <x:v>38.178</x:v>
      </x:c>
      <x:c r="M1860" t="n">
        <x:v>2015</x:v>
      </x:c>
      <x:c r="N1860" s="20" t="n">
        <x:v>42186</x:v>
      </x:c>
    </x:row>
    <x:row r="1861" ht="18" customHeight="1">
      <x:c r="A1861" t="str">
        <x:v>CA-2014-114643</x:v>
      </x:c>
      <x:c r="B1861" s="18" t="n">
        <x:v>41803</x:v>
      </x:c>
      <x:c r="C1861" t="str">
        <x:v>FM-14215</x:v>
      </x:c>
      <x:c r="D1861" t="str">
        <x:v>Filia McAdams</x:v>
      </x:c>
      <x:c r="E1861" t="str">
        <x:v>Corporate</x:v>
      </x:c>
      <x:c r="F1861" t="str">
        <x:v>West</x:v>
      </x:c>
      <x:c r="G1861" t="str">
        <x:v>Office Supplies</x:v>
      </x:c>
      <x:c r="H1861" t="str">
        <x:v>Art</x:v>
      </x:c>
      <x:c r="I1861" s="22" t="n">
        <x:v>14.52</x:v>
      </x:c>
      <x:c r="J1861" s="24" t="n">
        <x:v>3</x:v>
      </x:c>
      <x:c r="K1861" s="26" t="n">
        <x:v>0</x:v>
      </x:c>
      <x:c r="L1861" s="22" t="n">
        <x:v>4.7916</x:v>
      </x:c>
      <x:c r="M1861" t="n">
        <x:v>2014</x:v>
      </x:c>
      <x:c r="N1861" s="20" t="n">
        <x:v>41791</x:v>
      </x:c>
    </x:row>
    <x:row r="1862" ht="18" customHeight="1">
      <x:c r="A1862" t="str">
        <x:v>US-2017-158218</x:v>
      </x:c>
      <x:c r="B1862" s="18" t="n">
        <x:v>42867</x:v>
      </x:c>
      <x:c r="C1862" t="str">
        <x:v>AC-10420</x:v>
      </x:c>
      <x:c r="D1862" t="str">
        <x:v>Alyssa Crouse</x:v>
      </x:c>
      <x:c r="E1862" t="str">
        <x:v>Corporate</x:v>
      </x:c>
      <x:c r="F1862" t="str">
        <x:v>Central</x:v>
      </x:c>
      <x:c r="G1862" t="str">
        <x:v>Office Supplies</x:v>
      </x:c>
      <x:c r="H1862" t="str">
        <x:v>Storage</x:v>
      </x:c>
      <x:c r="I1862" s="22" t="n">
        <x:v>127.92000000000002</x:v>
      </x:c>
      <x:c r="J1862" s="24" t="n">
        <x:v>5</x:v>
      </x:c>
      <x:c r="K1862" s="26" t="n">
        <x:v>0.2</x:v>
      </x:c>
      <x:c r="L1862" s="22" t="n">
        <x:v>-15.990000000000002</x:v>
      </x:c>
      <x:c r="M1862" t="n">
        <x:v>2017</x:v>
      </x:c>
      <x:c r="N1862" s="20" t="n">
        <x:v>42856</x:v>
      </x:c>
    </x:row>
    <x:row r="1863" ht="18" customHeight="1">
      <x:c r="A1863" t="str">
        <x:v>US-2017-158218</x:v>
      </x:c>
      <x:c r="B1863" s="18" t="n">
        <x:v>42867</x:v>
      </x:c>
      <x:c r="C1863" t="str">
        <x:v>AC-10420</x:v>
      </x:c>
      <x:c r="D1863" t="str">
        <x:v>Alyssa Crouse</x:v>
      </x:c>
      <x:c r="E1863" t="str">
        <x:v>Corporate</x:v>
      </x:c>
      <x:c r="F1863" t="str">
        <x:v>Central</x:v>
      </x:c>
      <x:c r="G1863" t="str">
        <x:v>Office Supplies</x:v>
      </x:c>
      <x:c r="H1863" t="str">
        <x:v>Binders</x:v>
      </x:c>
      <x:c r="I1863" s="22" t="n">
        <x:v>34.23999999999999</x:v>
      </x:c>
      <x:c r="J1863" s="24" t="n">
        <x:v>4</x:v>
      </x:c>
      <x:c r="K1863" s="26" t="n">
        <x:v>0.8</x:v>
      </x:c>
      <x:c r="L1863" s="22" t="n">
        <x:v>-53.07200000000002</x:v>
      </x:c>
      <x:c r="M1863" t="n">
        <x:v>2017</x:v>
      </x:c>
      <x:c r="N1863" s="20" t="n">
        <x:v>42856</x:v>
      </x:c>
    </x:row>
    <x:row r="1864" ht="18" customHeight="1">
      <x:c r="A1864" t="str">
        <x:v>CA-2015-121608</x:v>
      </x:c>
      <x:c r="B1864" s="18" t="n">
        <x:v>42250</x:v>
      </x:c>
      <x:c r="C1864" t="str">
        <x:v>JB-15400</x:v>
      </x:c>
      <x:c r="D1864" t="str">
        <x:v>Jennifer Braxton</x:v>
      </x:c>
      <x:c r="E1864" t="str">
        <x:v>Corporate</x:v>
      </x:c>
      <x:c r="F1864" t="str">
        <x:v>East</x:v>
      </x:c>
      <x:c r="G1864" t="str">
        <x:v>Office Supplies</x:v>
      </x:c>
      <x:c r="H1864" t="str">
        <x:v>Appliances</x:v>
      </x:c>
      <x:c r="I1864" s="22" t="n">
        <x:v>137.62</x:v>
      </x:c>
      <x:c r="J1864" s="24" t="n">
        <x:v>2</x:v>
      </x:c>
      <x:c r="K1864" s="26" t="n">
        <x:v>0</x:v>
      </x:c>
      <x:c r="L1864" s="22" t="n">
        <x:v>60.552800000000005</x:v>
      </x:c>
      <x:c r="M1864" t="n">
        <x:v>2015</x:v>
      </x:c>
      <x:c r="N1864" s="20" t="n">
        <x:v>42248</x:v>
      </x:c>
    </x:row>
    <x:row r="1865" ht="18" customHeight="1">
      <x:c r="A1865" t="str">
        <x:v>CA-2015-121608</x:v>
      </x:c>
      <x:c r="B1865" s="18" t="n">
        <x:v>42250</x:v>
      </x:c>
      <x:c r="C1865" t="str">
        <x:v>JB-15400</x:v>
      </x:c>
      <x:c r="D1865" t="str">
        <x:v>Jennifer Braxton</x:v>
      </x:c>
      <x:c r="E1865" t="str">
        <x:v>Corporate</x:v>
      </x:c>
      <x:c r="F1865" t="str">
        <x:v>East</x:v>
      </x:c>
      <x:c r="G1865" t="str">
        <x:v>Technology</x:v>
      </x:c>
      <x:c r="H1865" t="str">
        <x:v>Phones</x:v>
      </x:c>
      <x:c r="I1865" s="22" t="n">
        <x:v>100.49</x:v>
      </x:c>
      <x:c r="J1865" s="24" t="n">
        <x:v>1</x:v>
      </x:c>
      <x:c r="K1865" s="26" t="n">
        <x:v>0</x:v>
      </x:c>
      <x:c r="L1865" s="22" t="n">
        <x:v>25.122500000000002</x:v>
      </x:c>
      <x:c r="M1865" t="n">
        <x:v>2015</x:v>
      </x:c>
      <x:c r="N1865" s="20" t="n">
        <x:v>42248</x:v>
      </x:c>
    </x:row>
    <x:row r="1866" ht="18" customHeight="1">
      <x:c r="A1866" t="str">
        <x:v>US-2017-121251</x:v>
      </x:c>
      <x:c r="B1866" s="18" t="n">
        <x:v>42820</x:v>
      </x:c>
      <x:c r="C1866" t="str">
        <x:v>GM-14440</x:v>
      </x:c>
      <x:c r="D1866" t="str">
        <x:v>Gary McGarr</x:v>
      </x:c>
      <x:c r="E1866" t="str">
        <x:v>Consumer</x:v>
      </x:c>
      <x:c r="F1866" t="str">
        <x:v>East</x:v>
      </x:c>
      <x:c r="G1866" t="str">
        <x:v>Furniture</x:v>
      </x:c>
      <x:c r="H1866" t="str">
        <x:v>Bookcases</x:v>
      </x:c>
      <x:c r="I1866" s="22" t="n">
        <x:v>257.568</x:v>
      </x:c>
      <x:c r="J1866" s="24" t="n">
        <x:v>2</x:v>
      </x:c>
      <x:c r="K1866" s="26" t="n">
        <x:v>0.2</x:v>
      </x:c>
      <x:c r="L1866" s="22" t="n">
        <x:v>-28.976400000000012</x:v>
      </x:c>
      <x:c r="M1866" t="n">
        <x:v>2017</x:v>
      </x:c>
      <x:c r="N1866" s="20" t="n">
        <x:v>42795</x:v>
      </x:c>
    </x:row>
    <x:row r="1867" ht="18" customHeight="1">
      <x:c r="A1867" t="str">
        <x:v>US-2017-121251</x:v>
      </x:c>
      <x:c r="B1867" s="18" t="n">
        <x:v>42820</x:v>
      </x:c>
      <x:c r="C1867" t="str">
        <x:v>GM-14440</x:v>
      </x:c>
      <x:c r="D1867" t="str">
        <x:v>Gary McGarr</x:v>
      </x:c>
      <x:c r="E1867" t="str">
        <x:v>Consumer</x:v>
      </x:c>
      <x:c r="F1867" t="str">
        <x:v>East</x:v>
      </x:c>
      <x:c r="G1867" t="str">
        <x:v>Technology</x:v>
      </x:c>
      <x:c r="H1867" t="str">
        <x:v>Phones</x:v>
      </x:c>
      <x:c r="I1867" s="22" t="n">
        <x:v>119.96</x:v>
      </x:c>
      <x:c r="J1867" s="24" t="n">
        <x:v>4</x:v>
      </x:c>
      <x:c r="K1867" s="26" t="n">
        <x:v>0</x:v>
      </x:c>
      <x:c r="L1867" s="22" t="n">
        <x:v>33.588800000000006</x:v>
      </x:c>
      <x:c r="M1867" t="n">
        <x:v>2017</x:v>
      </x:c>
      <x:c r="N1867" s="20" t="n">
        <x:v>42795</x:v>
      </x:c>
    </x:row>
    <x:row r="1868" ht="18" customHeight="1">
      <x:c r="A1868" t="str">
        <x:v>CA-2014-151078</x:v>
      </x:c>
      <x:c r="B1868" s="18" t="n">
        <x:v>41955</x:v>
      </x:c>
      <x:c r="C1868" t="str">
        <x:v>RF-19840</x:v>
      </x:c>
      <x:c r="D1868" t="str">
        <x:v>Roy Französisch</x:v>
      </x:c>
      <x:c r="E1868" t="str">
        <x:v>Consumer</x:v>
      </x:c>
      <x:c r="F1868" t="str">
        <x:v>Central</x:v>
      </x:c>
      <x:c r="G1868" t="str">
        <x:v>Office Supplies</x:v>
      </x:c>
      <x:c r="H1868" t="str">
        <x:v>Storage</x:v>
      </x:c>
      <x:c r="I1868" s="22" t="n">
        <x:v>49.632000000000005</x:v>
      </x:c>
      <x:c r="J1868" s="24" t="n">
        <x:v>4</x:v>
      </x:c>
      <x:c r="K1868" s="26" t="n">
        <x:v>0.2</x:v>
      </x:c>
      <x:c r="L1868" s="22" t="n">
        <x:v>4.9632000000000005</x:v>
      </x:c>
      <x:c r="M1868" t="n">
        <x:v>2014</x:v>
      </x:c>
      <x:c r="N1868" s="20" t="n">
        <x:v>41944</x:v>
      </x:c>
    </x:row>
    <x:row r="1869" ht="18" customHeight="1">
      <x:c r="A1869" t="str">
        <x:v>US-2016-100839</x:v>
      </x:c>
      <x:c r="B1869" s="18" t="n">
        <x:v>42656</x:v>
      </x:c>
      <x:c r="C1869" t="str">
        <x:v>NC-18625</x:v>
      </x:c>
      <x:c r="D1869" t="str">
        <x:v>Noah Childs</x:v>
      </x:c>
      <x:c r="E1869" t="str">
        <x:v>Corporate</x:v>
      </x:c>
      <x:c r="F1869" t="str">
        <x:v>West</x:v>
      </x:c>
      <x:c r="G1869" t="str">
        <x:v>Furniture</x:v>
      </x:c>
      <x:c r="H1869" t="str">
        <x:v>Tables</x:v>
      </x:c>
      <x:c r="I1869" s="22" t="n">
        <x:v>727.45</x:v>
      </x:c>
      <x:c r="J1869" s="24" t="n">
        <x:v>5</x:v>
      </x:c>
      <x:c r="K1869" s="26" t="n">
        <x:v>0.5</x:v>
      </x:c>
      <x:c r="L1869" s="22" t="n">
        <x:v>-465.5680000000001</x:v>
      </x:c>
      <x:c r="M1869" t="n">
        <x:v>2016</x:v>
      </x:c>
      <x:c r="N1869" s="20" t="n">
        <x:v>42644</x:v>
      </x:c>
    </x:row>
    <x:row r="1870" ht="18" customHeight="1">
      <x:c r="A1870" t="str">
        <x:v>US-2016-100839</x:v>
      </x:c>
      <x:c r="B1870" s="18" t="n">
        <x:v>42656</x:v>
      </x:c>
      <x:c r="C1870" t="str">
        <x:v>NC-18625</x:v>
      </x:c>
      <x:c r="D1870" t="str">
        <x:v>Noah Childs</x:v>
      </x:c>
      <x:c r="E1870" t="str">
        <x:v>Corporate</x:v>
      </x:c>
      <x:c r="F1870" t="str">
        <x:v>West</x:v>
      </x:c>
      <x:c r="G1870" t="str">
        <x:v>Furniture</x:v>
      </x:c>
      <x:c r="H1870" t="str">
        <x:v>Furnishings</x:v>
      </x:c>
      <x:c r="I1870" s="22" t="n">
        <x:v>24.96</x:v>
      </x:c>
      <x:c r="J1870" s="24" t="n">
        <x:v>3</x:v>
      </x:c>
      <x:c r="K1870" s="26" t="n">
        <x:v>0.2</x:v>
      </x:c>
      <x:c r="L1870" s="22" t="n">
        <x:v>4.3679999999999986</x:v>
      </x:c>
      <x:c r="M1870" t="n">
        <x:v>2016</x:v>
      </x:c>
      <x:c r="N1870" s="20" t="n">
        <x:v>42644</x:v>
      </x:c>
    </x:row>
    <x:row r="1871" ht="18" customHeight="1">
      <x:c r="A1871" t="str">
        <x:v>US-2017-116659</x:v>
      </x:c>
      <x:c r="B1871" s="18" t="n">
        <x:v>43051</x:v>
      </x:c>
      <x:c r="C1871" t="str">
        <x:v>NG-18355</x:v>
      </x:c>
      <x:c r="D1871" t="str">
        <x:v>Nat Gilpin</x:v>
      </x:c>
      <x:c r="E1871" t="str">
        <x:v>Corporate</x:v>
      </x:c>
      <x:c r="F1871" t="str">
        <x:v>East</x:v>
      </x:c>
      <x:c r="G1871" t="str">
        <x:v>Technology</x:v>
      </x:c>
      <x:c r="H1871" t="str">
        <x:v>Phones</x:v>
      </x:c>
      <x:c r="I1871" s="22" t="n">
        <x:v>370.782</x:v>
      </x:c>
      <x:c r="J1871" s="24" t="n">
        <x:v>3</x:v>
      </x:c>
      <x:c r="K1871" s="26" t="n">
        <x:v>0.4</x:v>
      </x:c>
      <x:c r="L1871" s="22" t="n">
        <x:v>-92.69550000000004</x:v>
      </x:c>
      <x:c r="M1871" t="n">
        <x:v>2017</x:v>
      </x:c>
      <x:c r="N1871" s="20" t="n">
        <x:v>43040</x:v>
      </x:c>
    </x:row>
    <x:row r="1872" ht="18" customHeight="1">
      <x:c r="A1872" t="str">
        <x:v>CA-2017-118857</x:v>
      </x:c>
      <x:c r="B1872" s="18" t="n">
        <x:v>42840</x:v>
      </x:c>
      <x:c r="C1872" t="str">
        <x:v>AH-10075</x:v>
      </x:c>
      <x:c r="D1872" t="str">
        <x:v>Adam Hart</x:v>
      </x:c>
      <x:c r="E1872" t="str">
        <x:v>Corporate</x:v>
      </x:c>
      <x:c r="F1872" t="str">
        <x:v>West</x:v>
      </x:c>
      <x:c r="G1872" t="str">
        <x:v>Furniture</x:v>
      </x:c>
      <x:c r="H1872" t="str">
        <x:v>Furnishings</x:v>
      </x:c>
      <x:c r="I1872" s="22" t="n">
        <x:v>196.45</x:v>
      </x:c>
      <x:c r="J1872" s="24" t="n">
        <x:v>5</x:v>
      </x:c>
      <x:c r="K1872" s="26" t="n">
        <x:v>0</x:v>
      </x:c>
      <x:c r="L1872" s="22" t="n">
        <x:v>70.72199999999998</x:v>
      </x:c>
      <x:c r="M1872" t="n">
        <x:v>2017</x:v>
      </x:c>
      <x:c r="N1872" s="20" t="n">
        <x:v>42826</x:v>
      </x:c>
    </x:row>
    <x:row r="1873" ht="18" customHeight="1">
      <x:c r="A1873" t="str">
        <x:v>CA-2015-127110</x:v>
      </x:c>
      <x:c r="B1873" s="18" t="n">
        <x:v>42180</x:v>
      </x:c>
      <x:c r="C1873" t="str">
        <x:v>CH-12070</x:v>
      </x:c>
      <x:c r="D1873" t="str">
        <x:v>Cathy Hwang</x:v>
      </x:c>
      <x:c r="E1873" t="str">
        <x:v>Home Office</x:v>
      </x:c>
      <x:c r="F1873" t="str">
        <x:v>East</x:v>
      </x:c>
      <x:c r="G1873" t="str">
        <x:v>Office Supplies</x:v>
      </x:c>
      <x:c r="H1873" t="str">
        <x:v>Paper</x:v>
      </x:c>
      <x:c r="I1873" s="22" t="n">
        <x:v>31.104000000000006</x:v>
      </x:c>
      <x:c r="J1873" s="24" t="n">
        <x:v>6</x:v>
      </x:c>
      <x:c r="K1873" s="26" t="n">
        <x:v>0.2</x:v>
      </x:c>
      <x:c r="L1873" s="22" t="n">
        <x:v>10.8864</x:v>
      </x:c>
      <x:c r="M1873" t="n">
        <x:v>2015</x:v>
      </x:c>
      <x:c r="N1873" s="20" t="n">
        <x:v>42156</x:v>
      </x:c>
    </x:row>
    <x:row r="1874" ht="18" customHeight="1">
      <x:c r="A1874" t="str">
        <x:v>CA-2015-127110</x:v>
      </x:c>
      <x:c r="B1874" s="18" t="n">
        <x:v>42180</x:v>
      </x:c>
      <x:c r="C1874" t="str">
        <x:v>CH-12070</x:v>
      </x:c>
      <x:c r="D1874" t="str">
        <x:v>Cathy Hwang</x:v>
      </x:c>
      <x:c r="E1874" t="str">
        <x:v>Home Office</x:v>
      </x:c>
      <x:c r="F1874" t="str">
        <x:v>East</x:v>
      </x:c>
      <x:c r="G1874" t="str">
        <x:v>Office Supplies</x:v>
      </x:c>
      <x:c r="H1874" t="str">
        <x:v>Storage</x:v>
      </x:c>
      <x:c r="I1874" s="22" t="n">
        <x:v>78.256</x:v>
      </x:c>
      <x:c r="J1874" s="24" t="n">
        <x:v>2</x:v>
      </x:c>
      <x:c r="K1874" s="26" t="n">
        <x:v>0.2</x:v>
      </x:c>
      <x:c r="L1874" s="22" t="n">
        <x:v>-17.607599999999998</x:v>
      </x:c>
      <x:c r="M1874" t="n">
        <x:v>2015</x:v>
      </x:c>
      <x:c r="N1874" s="20" t="n">
        <x:v>42156</x:v>
      </x:c>
    </x:row>
    <x:row r="1875" ht="18" customHeight="1">
      <x:c r="A1875" t="str">
        <x:v>CA-2016-148201</x:v>
      </x:c>
      <x:c r="B1875" s="18" t="n">
        <x:v>42608</x:v>
      </x:c>
      <x:c r="C1875" t="str">
        <x:v>CC-12145</x:v>
      </x:c>
      <x:c r="D1875" t="str">
        <x:v>Charles Crestani</x:v>
      </x:c>
      <x:c r="E1875" t="str">
        <x:v>Consumer</x:v>
      </x:c>
      <x:c r="F1875" t="str">
        <x:v>West</x:v>
      </x:c>
      <x:c r="G1875" t="str">
        <x:v>Office Supplies</x:v>
      </x:c>
      <x:c r="H1875" t="str">
        <x:v>Paper</x:v>
      </x:c>
      <x:c r="I1875" s="22" t="n">
        <x:v>6.48</x:v>
      </x:c>
      <x:c r="J1875" s="24" t="n">
        <x:v>1</x:v>
      </x:c>
      <x:c r="K1875" s="26" t="n">
        <x:v>0</x:v>
      </x:c>
      <x:c r="L1875" s="22" t="n">
        <x:v>3.1104000000000003</x:v>
      </x:c>
      <x:c r="M1875" t="n">
        <x:v>2016</x:v>
      </x:c>
      <x:c r="N1875" s="20" t="n">
        <x:v>42583</x:v>
      </x:c>
    </x:row>
    <x:row r="1876" ht="18" customHeight="1">
      <x:c r="A1876" t="str">
        <x:v>CA-2014-116932</x:v>
      </x:c>
      <x:c r="B1876" s="18" t="n">
        <x:v>41841</x:v>
      </x:c>
      <x:c r="C1876" t="str">
        <x:v>ME-18010</x:v>
      </x:c>
      <x:c r="D1876" t="str">
        <x:v>Michelle Ellison</x:v>
      </x:c>
      <x:c r="E1876" t="str">
        <x:v>Corporate</x:v>
      </x:c>
      <x:c r="F1876" t="str">
        <x:v>West</x:v>
      </x:c>
      <x:c r="G1876" t="str">
        <x:v>Office Supplies</x:v>
      </x:c>
      <x:c r="H1876" t="str">
        <x:v>Art</x:v>
      </x:c>
      <x:c r="I1876" s="22" t="n">
        <x:v>99.2</x:v>
      </x:c>
      <x:c r="J1876" s="24" t="n">
        <x:v>5</x:v>
      </x:c>
      <x:c r="K1876" s="26" t="n">
        <x:v>0</x:v>
      </x:c>
      <x:c r="L1876" s="22" t="n">
        <x:v>25.792</x:v>
      </x:c>
      <x:c r="M1876" t="n">
        <x:v>2014</x:v>
      </x:c>
      <x:c r="N1876" s="20" t="n">
        <x:v>41821</x:v>
      </x:c>
    </x:row>
    <x:row r="1877" ht="18" customHeight="1">
      <x:c r="A1877" t="str">
        <x:v>CA-2014-116932</x:v>
      </x:c>
      <x:c r="B1877" s="18" t="n">
        <x:v>41841</x:v>
      </x:c>
      <x:c r="C1877" t="str">
        <x:v>ME-18010</x:v>
      </x:c>
      <x:c r="D1877" t="str">
        <x:v>Michelle Ellison</x:v>
      </x:c>
      <x:c r="E1877" t="str">
        <x:v>Corporate</x:v>
      </x:c>
      <x:c r="F1877" t="str">
        <x:v>West</x:v>
      </x:c>
      <x:c r="G1877" t="str">
        <x:v>Furniture</x:v>
      </x:c>
      <x:c r="H1877" t="str">
        <x:v>Chairs</x:v>
      </x:c>
      <x:c r="I1877" s="22" t="n">
        <x:v>801.5680000000001</x:v>
      </x:c>
      <x:c r="J1877" s="24" t="n">
        <x:v>2</x:v>
      </x:c>
      <x:c r="K1877" s="26" t="n">
        <x:v>0.2</x:v>
      </x:c>
      <x:c r="L1877" s="22" t="n">
        <x:v>50.097999999999985</x:v>
      </x:c>
      <x:c r="M1877" t="n">
        <x:v>2014</x:v>
      </x:c>
      <x:c r="N1877" s="20" t="n">
        <x:v>41821</x:v>
      </x:c>
    </x:row>
    <x:row r="1878" ht="18" customHeight="1">
      <x:c r="A1878" t="str">
        <x:v>CA-2014-116932</x:v>
      </x:c>
      <x:c r="B1878" s="18" t="n">
        <x:v>41841</x:v>
      </x:c>
      <x:c r="C1878" t="str">
        <x:v>ME-18010</x:v>
      </x:c>
      <x:c r="D1878" t="str">
        <x:v>Michelle Ellison</x:v>
      </x:c>
      <x:c r="E1878" t="str">
        <x:v>Corporate</x:v>
      </x:c>
      <x:c r="F1878" t="str">
        <x:v>West</x:v>
      </x:c>
      <x:c r="G1878" t="str">
        <x:v>Furniture</x:v>
      </x:c>
      <x:c r="H1878" t="str">
        <x:v>Tables</x:v>
      </x:c>
      <x:c r="I1878" s="22" t="n">
        <x:v>272.848</x:v>
      </x:c>
      <x:c r="J1878" s="24" t="n">
        <x:v>1</x:v>
      </x:c>
      <x:c r="K1878" s="26" t="n">
        <x:v>0.2</x:v>
      </x:c>
      <x:c r="L1878" s="22" t="n">
        <x:v>27.284800000000004</x:v>
      </x:c>
      <x:c r="M1878" t="n">
        <x:v>2014</x:v>
      </x:c>
      <x:c r="N1878" s="20" t="n">
        <x:v>41821</x:v>
      </x:c>
    </x:row>
    <x:row r="1879" ht="18" customHeight="1">
      <x:c r="A1879" t="str">
        <x:v>CA-2017-142888</x:v>
      </x:c>
      <x:c r="B1879" s="18" t="n">
        <x:v>43060</x:v>
      </x:c>
      <x:c r="C1879" t="str">
        <x:v>BP-11230</x:v>
      </x:c>
      <x:c r="D1879" t="str">
        <x:v>Benjamin Patterson</x:v>
      </x:c>
      <x:c r="E1879" t="str">
        <x:v>Consumer</x:v>
      </x:c>
      <x:c r="F1879" t="str">
        <x:v>West</x:v>
      </x:c>
      <x:c r="G1879" t="str">
        <x:v>Furniture</x:v>
      </x:c>
      <x:c r="H1879" t="str">
        <x:v>Tables</x:v>
      </x:c>
      <x:c r="I1879" s="22" t="n">
        <x:v>70.98</x:v>
      </x:c>
      <x:c r="J1879" s="24" t="n">
        <x:v>1</x:v>
      </x:c>
      <x:c r="K1879" s="26" t="n">
        <x:v>0</x:v>
      </x:c>
      <x:c r="L1879" s="22" t="n">
        <x:v>20.584199999999996</x:v>
      </x:c>
      <x:c r="M1879" t="n">
        <x:v>2017</x:v>
      </x:c>
      <x:c r="N1879" s="20" t="n">
        <x:v>43040</x:v>
      </x:c>
    </x:row>
    <x:row r="1880" ht="18" customHeight="1">
      <x:c r="A1880" t="str">
        <x:v>CA-2014-147914</x:v>
      </x:c>
      <x:c r="B1880" s="18" t="n">
        <x:v>41794</x:v>
      </x:c>
      <x:c r="C1880" t="str">
        <x:v>MP-17470</x:v>
      </x:c>
      <x:c r="D1880" t="str">
        <x:v>Mark Packer</x:v>
      </x:c>
      <x:c r="E1880" t="str">
        <x:v>Home Office</x:v>
      </x:c>
      <x:c r="F1880" t="str">
        <x:v>East</x:v>
      </x:c>
      <x:c r="G1880" t="str">
        <x:v>Office Supplies</x:v>
      </x:c>
      <x:c r="H1880" t="str">
        <x:v>Paper</x:v>
      </x:c>
      <x:c r="I1880" s="22" t="n">
        <x:v>16.224</x:v>
      </x:c>
      <x:c r="J1880" s="24" t="n">
        <x:v>2</x:v>
      </x:c>
      <x:c r="K1880" s="26" t="n">
        <x:v>0.2</x:v>
      </x:c>
      <x:c r="L1880" s="22" t="n">
        <x:v>5.881200000000001</x:v>
      </x:c>
      <x:c r="M1880" t="n">
        <x:v>2014</x:v>
      </x:c>
      <x:c r="N1880" s="20" t="n">
        <x:v>41791</x:v>
      </x:c>
    </x:row>
    <x:row r="1881" ht="18" customHeight="1">
      <x:c r="A1881" t="str">
        <x:v>US-2016-112977</x:v>
      </x:c>
      <x:c r="B1881" s="18" t="n">
        <x:v>42439</x:v>
      </x:c>
      <x:c r="C1881" t="str">
        <x:v>CJ-12010</x:v>
      </x:c>
      <x:c r="D1881" t="str">
        <x:v>Caroline Jumper</x:v>
      </x:c>
      <x:c r="E1881" t="str">
        <x:v>Consumer</x:v>
      </x:c>
      <x:c r="F1881" t="str">
        <x:v>East</x:v>
      </x:c>
      <x:c r="G1881" t="str">
        <x:v>Furniture</x:v>
      </x:c>
      <x:c r="H1881" t="str">
        <x:v>Bookcases</x:v>
      </x:c>
      <x:c r="I1881" s="22" t="n">
        <x:v>176.784</x:v>
      </x:c>
      <x:c r="J1881" s="24" t="n">
        <x:v>1</x:v>
      </x:c>
      <x:c r="K1881" s="26" t="n">
        <x:v>0.2</x:v>
      </x:c>
      <x:c r="L1881" s="22" t="n">
        <x:v>-22.098000000000013</x:v>
      </x:c>
      <x:c r="M1881" t="n">
        <x:v>2016</x:v>
      </x:c>
      <x:c r="N1881" s="20" t="n">
        <x:v>42430</x:v>
      </x:c>
    </x:row>
    <x:row r="1882" ht="18" customHeight="1">
      <x:c r="A1882" t="str">
        <x:v>CA-2017-112039</x:v>
      </x:c>
      <x:c r="B1882" s="18" t="n">
        <x:v>42819</x:v>
      </x:c>
      <x:c r="C1882" t="str">
        <x:v>JC-15775</x:v>
      </x:c>
      <x:c r="D1882" t="str">
        <x:v>John Castell</x:v>
      </x:c>
      <x:c r="E1882" t="str">
        <x:v>Consumer</x:v>
      </x:c>
      <x:c r="F1882" t="str">
        <x:v>Central</x:v>
      </x:c>
      <x:c r="G1882" t="str">
        <x:v>Technology</x:v>
      </x:c>
      <x:c r="H1882" t="str">
        <x:v>Phones</x:v>
      </x:c>
      <x:c r="I1882" s="22" t="n">
        <x:v>470.3760000000001</x:v>
      </x:c>
      <x:c r="J1882" s="24" t="n">
        <x:v>3</x:v>
      </x:c>
      <x:c r="K1882" s="26" t="n">
        <x:v>0.2</x:v>
      </x:c>
      <x:c r="L1882" s="22" t="n">
        <x:v>47.037600000000026</x:v>
      </x:c>
      <x:c r="M1882" t="n">
        <x:v>2017</x:v>
      </x:c>
      <x:c r="N1882" s="20" t="n">
        <x:v>42795</x:v>
      </x:c>
    </x:row>
    <x:row r="1883" ht="18" customHeight="1">
      <x:c r="A1883" t="str">
        <x:v>CA-2017-118885</x:v>
      </x:c>
      <x:c r="B1883" s="18" t="n">
        <x:v>43098</x:v>
      </x:c>
      <x:c r="C1883" t="str">
        <x:v>JG-15160</x:v>
      </x:c>
      <x:c r="D1883" t="str">
        <x:v>James Galang</x:v>
      </x:c>
      <x:c r="E1883" t="str">
        <x:v>Consumer</x:v>
      </x:c>
      <x:c r="F1883" t="str">
        <x:v>West</x:v>
      </x:c>
      <x:c r="G1883" t="str">
        <x:v>Furniture</x:v>
      </x:c>
      <x:c r="H1883" t="str">
        <x:v>Chairs</x:v>
      </x:c>
      <x:c r="I1883" s="22" t="n">
        <x:v>393.568</x:v>
      </x:c>
      <x:c r="J1883" s="24" t="n">
        <x:v>4</x:v>
      </x:c>
      <x:c r="K1883" s="26" t="n">
        <x:v>0.2</x:v>
      </x:c>
      <x:c r="L1883" s="22" t="n">
        <x:v>-44.276400000000024</x:v>
      </x:c>
      <x:c r="M1883" t="n">
        <x:v>2017</x:v>
      </x:c>
      <x:c r="N1883" s="20" t="n">
        <x:v>43070</x:v>
      </x:c>
    </x:row>
    <x:row r="1884" ht="18" customHeight="1">
      <x:c r="A1884" t="str">
        <x:v>CA-2017-118885</x:v>
      </x:c>
      <x:c r="B1884" s="18" t="n">
        <x:v>43098</x:v>
      </x:c>
      <x:c r="C1884" t="str">
        <x:v>JG-15160</x:v>
      </x:c>
      <x:c r="D1884" t="str">
        <x:v>James Galang</x:v>
      </x:c>
      <x:c r="E1884" t="str">
        <x:v>Consumer</x:v>
      </x:c>
      <x:c r="F1884" t="str">
        <x:v>West</x:v>
      </x:c>
      <x:c r="G1884" t="str">
        <x:v>Technology</x:v>
      </x:c>
      <x:c r="H1884" t="str">
        <x:v>Phones</x:v>
      </x:c>
      <x:c r="I1884" s="22" t="n">
        <x:v>302.376</x:v>
      </x:c>
      <x:c r="J1884" s="24" t="n">
        <x:v>3</x:v>
      </x:c>
      <x:c r="K1884" s="26" t="n">
        <x:v>0.2</x:v>
      </x:c>
      <x:c r="L1884" s="22" t="n">
        <x:v>22.678200000000018</x:v>
      </x:c>
      <x:c r="M1884" t="n">
        <x:v>2017</x:v>
      </x:c>
      <x:c r="N1884" s="20" t="n">
        <x:v>43070</x:v>
      </x:c>
    </x:row>
    <x:row r="1885" ht="18" customHeight="1">
      <x:c r="A1885" t="str">
        <x:v>US-2017-166611</x:v>
      </x:c>
      <x:c r="B1885" s="18" t="n">
        <x:v>42822</x:v>
      </x:c>
      <x:c r="C1885" t="str">
        <x:v>CK-12760</x:v>
      </x:c>
      <x:c r="D1885" t="str">
        <x:v>Cyma Kinney</x:v>
      </x:c>
      <x:c r="E1885" t="str">
        <x:v>Corporate</x:v>
      </x:c>
      <x:c r="F1885" t="str">
        <x:v>South</x:v>
      </x:c>
      <x:c r="G1885" t="str">
        <x:v>Office Supplies</x:v>
      </x:c>
      <x:c r="H1885" t="str">
        <x:v>Binders</x:v>
      </x:c>
      <x:c r="I1885" s="22" t="n">
        <x:v>68.74200000000002</x:v>
      </x:c>
      <x:c r="J1885" s="24" t="n">
        <x:v>9</x:v>
      </x:c>
      <x:c r="K1885" s="26" t="n">
        <x:v>0.7</x:v>
      </x:c>
      <x:c r="L1885" s="22" t="n">
        <x:v>-48.119399999999985</x:v>
      </x:c>
      <x:c r="M1885" t="n">
        <x:v>2017</x:v>
      </x:c>
      <x:c r="N1885" s="20" t="n">
        <x:v>42795</x:v>
      </x:c>
    </x:row>
    <x:row r="1886" ht="18" customHeight="1">
      <x:c r="A1886" t="str">
        <x:v>CA-2015-109512</x:v>
      </x:c>
      <x:c r="B1886" s="18" t="n">
        <x:v>42068</x:v>
      </x:c>
      <x:c r="C1886" t="str">
        <x:v>LF-17185</x:v>
      </x:c>
      <x:c r="D1886" t="str">
        <x:v>Luke Foster</x:v>
      </x:c>
      <x:c r="E1886" t="str">
        <x:v>Consumer</x:v>
      </x:c>
      <x:c r="F1886" t="str">
        <x:v>East</x:v>
      </x:c>
      <x:c r="G1886" t="str">
        <x:v>Office Supplies</x:v>
      </x:c>
      <x:c r="H1886" t="str">
        <x:v>Envelopes</x:v>
      </x:c>
      <x:c r="I1886" s="22" t="n">
        <x:v>29.339999999999996</x:v>
      </x:c>
      <x:c r="J1886" s="24" t="n">
        <x:v>3</x:v>
      </x:c>
      <x:c r="K1886" s="26" t="n">
        <x:v>0</x:v>
      </x:c>
      <x:c r="L1886" s="22" t="n">
        <x:v>14.669999999999998</x:v>
      </x:c>
      <x:c r="M1886" t="n">
        <x:v>2015</x:v>
      </x:c>
      <x:c r="N1886" s="20" t="n">
        <x:v>42064</x:v>
      </x:c>
    </x:row>
    <x:row r="1887" ht="18" customHeight="1">
      <x:c r="A1887" t="str">
        <x:v>CA-2015-109512</x:v>
      </x:c>
      <x:c r="B1887" s="18" t="n">
        <x:v>42068</x:v>
      </x:c>
      <x:c r="C1887" t="str">
        <x:v>LF-17185</x:v>
      </x:c>
      <x:c r="D1887" t="str">
        <x:v>Luke Foster</x:v>
      </x:c>
      <x:c r="E1887" t="str">
        <x:v>Consumer</x:v>
      </x:c>
      <x:c r="F1887" t="str">
        <x:v>East</x:v>
      </x:c>
      <x:c r="G1887" t="str">
        <x:v>Furniture</x:v>
      </x:c>
      <x:c r="H1887" t="str">
        <x:v>Chairs</x:v>
      </x:c>
      <x:c r="I1887" s="22" t="n">
        <x:v>383.607</x:v>
      </x:c>
      <x:c r="J1887" s="24" t="n">
        <x:v>7</x:v>
      </x:c>
      <x:c r="K1887" s="26" t="n">
        <x:v>0.1</x:v>
      </x:c>
      <x:c r="L1887" s="22" t="n">
        <x:v>63.93449999999997</x:v>
      </x:c>
      <x:c r="M1887" t="n">
        <x:v>2015</x:v>
      </x:c>
      <x:c r="N1887" s="20" t="n">
        <x:v>42064</x:v>
      </x:c>
    </x:row>
    <x:row r="1888" ht="18" customHeight="1">
      <x:c r="A1888" t="str">
        <x:v>CA-2015-109512</x:v>
      </x:c>
      <x:c r="B1888" s="18" t="n">
        <x:v>42068</x:v>
      </x:c>
      <x:c r="C1888" t="str">
        <x:v>LF-17185</x:v>
      </x:c>
      <x:c r="D1888" t="str">
        <x:v>Luke Foster</x:v>
      </x:c>
      <x:c r="E1888" t="str">
        <x:v>Consumer</x:v>
      </x:c>
      <x:c r="F1888" t="str">
        <x:v>East</x:v>
      </x:c>
      <x:c r="G1888" t="str">
        <x:v>Office Supplies</x:v>
      </x:c>
      <x:c r="H1888" t="str">
        <x:v>Storage</x:v>
      </x:c>
      <x:c r="I1888" s="22" t="n">
        <x:v>563.4</x:v>
      </x:c>
      <x:c r="J1888" s="24" t="n">
        <x:v>4</x:v>
      </x:c>
      <x:c r="K1888" s="26" t="n">
        <x:v>0</x:v>
      </x:c>
      <x:c r="L1888" s="22" t="n">
        <x:v>67.608</x:v>
      </x:c>
      <x:c r="M1888" t="n">
        <x:v>2015</x:v>
      </x:c>
      <x:c r="N1888" s="20" t="n">
        <x:v>42064</x:v>
      </x:c>
    </x:row>
    <x:row r="1889" ht="18" customHeight="1">
      <x:c r="A1889" t="str">
        <x:v>CA-2016-118570</x:v>
      </x:c>
      <x:c r="B1889" s="18" t="n">
        <x:v>42687</x:v>
      </x:c>
      <x:c r="C1889" t="str">
        <x:v>CC-12430</x:v>
      </x:c>
      <x:c r="D1889" t="str">
        <x:v>Chuck Clark</x:v>
      </x:c>
      <x:c r="E1889" t="str">
        <x:v>Home Office</x:v>
      </x:c>
      <x:c r="F1889" t="str">
        <x:v>East</x:v>
      </x:c>
      <x:c r="G1889" t="str">
        <x:v>Office Supplies</x:v>
      </x:c>
      <x:c r="H1889" t="str">
        <x:v>Paper</x:v>
      </x:c>
      <x:c r="I1889" s="22" t="n">
        <x:v>217.05599999999998</x:v>
      </x:c>
      <x:c r="J1889" s="24" t="n">
        <x:v>7</x:v>
      </x:c>
      <x:c r="K1889" s="26" t="n">
        <x:v>0.2</x:v>
      </x:c>
      <x:c r="L1889" s="22" t="n">
        <x:v>78.6828</x:v>
      </x:c>
      <x:c r="M1889" t="n">
        <x:v>2016</x:v>
      </x:c>
      <x:c r="N1889" s="20" t="n">
        <x:v>42675</x:v>
      </x:c>
    </x:row>
    <x:row r="1890" ht="18" customHeight="1">
      <x:c r="A1890" t="str">
        <x:v>CA-2017-154718</x:v>
      </x:c>
      <x:c r="B1890" s="18" t="n">
        <x:v>42754</x:v>
      </x:c>
      <x:c r="C1890" t="str">
        <x:v>DL-12865</x:v>
      </x:c>
      <x:c r="D1890" t="str">
        <x:v>Dan Lawera</x:v>
      </x:c>
      <x:c r="E1890" t="str">
        <x:v>Consumer</x:v>
      </x:c>
      <x:c r="F1890" t="str">
        <x:v>Central</x:v>
      </x:c>
      <x:c r="G1890" t="str">
        <x:v>Office Supplies</x:v>
      </x:c>
      <x:c r="H1890" t="str">
        <x:v>Labels</x:v>
      </x:c>
      <x:c r="I1890" s="22" t="n">
        <x:v>6</x:v>
      </x:c>
      <x:c r="J1890" s="24" t="n">
        <x:v>2</x:v>
      </x:c>
      <x:c r="K1890" s="26" t="n">
        <x:v>0.2</x:v>
      </x:c>
      <x:c r="L1890" s="22" t="n">
        <x:v>2.0999999999999996</x:v>
      </x:c>
      <x:c r="M1890" t="n">
        <x:v>2017</x:v>
      </x:c>
      <x:c r="N1890" s="20" t="n">
        <x:v>42736</x:v>
      </x:c>
    </x:row>
    <x:row r="1891" ht="18" customHeight="1">
      <x:c r="A1891" t="str">
        <x:v>CA-2016-147578</x:v>
      </x:c>
      <x:c r="B1891" s="18" t="n">
        <x:v>42482</x:v>
      </x:c>
      <x:c r="C1891" t="str">
        <x:v>PG-18895</x:v>
      </x:c>
      <x:c r="D1891" t="str">
        <x:v>Paul Gonzalez</x:v>
      </x:c>
      <x:c r="E1891" t="str">
        <x:v>Consumer</x:v>
      </x:c>
      <x:c r="F1891" t="str">
        <x:v>West</x:v>
      </x:c>
      <x:c r="G1891" t="str">
        <x:v>Furniture</x:v>
      </x:c>
      <x:c r="H1891" t="str">
        <x:v>Furnishings</x:v>
      </x:c>
      <x:c r="I1891" s="22" t="n">
        <x:v>31.56</x:v>
      </x:c>
      <x:c r="J1891" s="24" t="n">
        <x:v>3</x:v>
      </x:c>
      <x:c r="K1891" s="26" t="n">
        <x:v>0</x:v>
      </x:c>
      <x:c r="L1891" s="22" t="n">
        <x:v>10.4148</x:v>
      </x:c>
      <x:c r="M1891" t="n">
        <x:v>2016</x:v>
      </x:c>
      <x:c r="N1891" s="20" t="n">
        <x:v>42461</x:v>
      </x:c>
    </x:row>
    <x:row r="1892" ht="18" customHeight="1">
      <x:c r="A1892" t="str">
        <x:v>CA-2014-140165</x:v>
      </x:c>
      <x:c r="B1892" s="18" t="n">
        <x:v>41772</x:v>
      </x:c>
      <x:c r="C1892" t="str">
        <x:v>EH-14005</x:v>
      </x:c>
      <x:c r="D1892" t="str">
        <x:v>Erica Hernandez</x:v>
      </x:c>
      <x:c r="E1892" t="str">
        <x:v>Home Office</x:v>
      </x:c>
      <x:c r="F1892" t="str">
        <x:v>South</x:v>
      </x:c>
      <x:c r="G1892" t="str">
        <x:v>Office Supplies</x:v>
      </x:c>
      <x:c r="H1892" t="str">
        <x:v>Fasteners</x:v>
      </x:c>
      <x:c r="I1892" s="22" t="n">
        <x:v>7.104000000000001</x:v>
      </x:c>
      <x:c r="J1892" s="24" t="n">
        <x:v>2</x:v>
      </x:c>
      <x:c r="K1892" s="26" t="n">
        <x:v>0.2</x:v>
      </x:c>
      <x:c r="L1892" s="22" t="n">
        <x:v>2.3976</x:v>
      </x:c>
      <x:c r="M1892" t="n">
        <x:v>2014</x:v>
      </x:c>
      <x:c r="N1892" s="20" t="n">
        <x:v>41760</x:v>
      </x:c>
    </x:row>
    <x:row r="1893" ht="18" customHeight="1">
      <x:c r="A1893" t="str">
        <x:v>CA-2014-140165</x:v>
      </x:c>
      <x:c r="B1893" s="18" t="n">
        <x:v>41772</x:v>
      </x:c>
      <x:c r="C1893" t="str">
        <x:v>EH-14005</x:v>
      </x:c>
      <x:c r="D1893" t="str">
        <x:v>Erica Hernandez</x:v>
      </x:c>
      <x:c r="E1893" t="str">
        <x:v>Home Office</x:v>
      </x:c>
      <x:c r="F1893" t="str">
        <x:v>South</x:v>
      </x:c>
      <x:c r="G1893" t="str">
        <x:v>Office Supplies</x:v>
      </x:c>
      <x:c r="H1893" t="str">
        <x:v>Binders</x:v>
      </x:c>
      <x:c r="I1893" s="22" t="n">
        <x:v>398.35200000000003</x:v>
      </x:c>
      <x:c r="J1893" s="24" t="n">
        <x:v>8</x:v>
      </x:c>
      <x:c r="K1893" s="26" t="n">
        <x:v>0.7</x:v>
      </x:c>
      <x:c r="L1893" s="22" t="n">
        <x:v>-331.9599999999999</x:v>
      </x:c>
      <x:c r="M1893" t="n">
        <x:v>2014</x:v>
      </x:c>
      <x:c r="N1893" s="20" t="n">
        <x:v>41760</x:v>
      </x:c>
    </x:row>
    <x:row r="1894" ht="18" customHeight="1">
      <x:c r="A1894" t="str">
        <x:v>CA-2014-142587</x:v>
      </x:c>
      <x:c r="B1894" s="18" t="n">
        <x:v>41933</x:v>
      </x:c>
      <x:c r="C1894" t="str">
        <x:v>TB-21520</x:v>
      </x:c>
      <x:c r="D1894" t="str">
        <x:v>Tracy Blumstein</x:v>
      </x:c>
      <x:c r="E1894" t="str">
        <x:v>Consumer</x:v>
      </x:c>
      <x:c r="F1894" t="str">
        <x:v>East</x:v>
      </x:c>
      <x:c r="G1894" t="str">
        <x:v>Office Supplies</x:v>
      </x:c>
      <x:c r="H1894" t="str">
        <x:v>Appliances</x:v>
      </x:c>
      <x:c r="I1894" s="22" t="n">
        <x:v>121.79200000000002</x:v>
      </x:c>
      <x:c r="J1894" s="24" t="n">
        <x:v>4</x:v>
      </x:c>
      <x:c r="K1894" s="26" t="n">
        <x:v>0.2</x:v>
      </x:c>
      <x:c r="L1894" s="22" t="n">
        <x:v>13.701599999999988</x:v>
      </x:c>
      <x:c r="M1894" t="n">
        <x:v>2014</x:v>
      </x:c>
      <x:c r="N1894" s="20" t="n">
        <x:v>41913</x:v>
      </x:c>
    </x:row>
    <x:row r="1895" ht="18" customHeight="1">
      <x:c r="A1895" t="str">
        <x:v>CA-2014-142587</x:v>
      </x:c>
      <x:c r="B1895" s="18" t="n">
        <x:v>41933</x:v>
      </x:c>
      <x:c r="C1895" t="str">
        <x:v>TB-21520</x:v>
      </x:c>
      <x:c r="D1895" t="str">
        <x:v>Tracy Blumstein</x:v>
      </x:c>
      <x:c r="E1895" t="str">
        <x:v>Consumer</x:v>
      </x:c>
      <x:c r="F1895" t="str">
        <x:v>East</x:v>
      </x:c>
      <x:c r="G1895" t="str">
        <x:v>Furniture</x:v>
      </x:c>
      <x:c r="H1895" t="str">
        <x:v>Tables</x:v>
      </x:c>
      <x:c r="I1895" s="22" t="n">
        <x:v>409.59000000000003</x:v>
      </x:c>
      <x:c r="J1895" s="24" t="n">
        <x:v>3</x:v>
      </x:c>
      <x:c r="K1895" s="26" t="n">
        <x:v>0.4</x:v>
      </x:c>
      <x:c r="L1895" s="22" t="n">
        <x:v>-122.87700000000004</x:v>
      </x:c>
      <x:c r="M1895" t="n">
        <x:v>2014</x:v>
      </x:c>
      <x:c r="N1895" s="20" t="n">
        <x:v>41913</x:v>
      </x:c>
    </x:row>
    <x:row r="1896" ht="18" customHeight="1">
      <x:c r="A1896" t="str">
        <x:v>CA-2014-157623</x:v>
      </x:c>
      <x:c r="B1896" s="18" t="n">
        <x:v>41712</x:v>
      </x:c>
      <x:c r="C1896" t="str">
        <x:v>DK-13225</x:v>
      </x:c>
      <x:c r="D1896" t="str">
        <x:v>Dean Katz</x:v>
      </x:c>
      <x:c r="E1896" t="str">
        <x:v>Corporate</x:v>
      </x:c>
      <x:c r="F1896" t="str">
        <x:v>West</x:v>
      </x:c>
      <x:c r="G1896" t="str">
        <x:v>Office Supplies</x:v>
      </x:c>
      <x:c r="H1896" t="str">
        <x:v>Paper</x:v>
      </x:c>
      <x:c r="I1896" s="22" t="n">
        <x:v>10.56</x:v>
      </x:c>
      <x:c r="J1896" s="24" t="n">
        <x:v>2</x:v>
      </x:c>
      <x:c r="K1896" s="26" t="n">
        <x:v>0</x:v>
      </x:c>
      <x:c r="L1896" s="22" t="n">
        <x:v>4.752</x:v>
      </x:c>
      <x:c r="M1896" t="n">
        <x:v>2014</x:v>
      </x:c>
      <x:c r="N1896" s="20" t="n">
        <x:v>41699</x:v>
      </x:c>
    </x:row>
    <x:row r="1897" ht="18" customHeight="1">
      <x:c r="A1897" t="str">
        <x:v>CA-2014-157623</x:v>
      </x:c>
      <x:c r="B1897" s="18" t="n">
        <x:v>41712</x:v>
      </x:c>
      <x:c r="C1897" t="str">
        <x:v>DK-13225</x:v>
      </x:c>
      <x:c r="D1897" t="str">
        <x:v>Dean Katz</x:v>
      </x:c>
      <x:c r="E1897" t="str">
        <x:v>Corporate</x:v>
      </x:c>
      <x:c r="F1897" t="str">
        <x:v>West</x:v>
      </x:c>
      <x:c r="G1897" t="str">
        <x:v>Office Supplies</x:v>
      </x:c>
      <x:c r="H1897" t="str">
        <x:v>Art</x:v>
      </x:c>
      <x:c r="I1897" s="22" t="n">
        <x:v>3.38</x:v>
      </x:c>
      <x:c r="J1897" s="24" t="n">
        <x:v>1</x:v>
      </x:c>
      <x:c r="K1897" s="26" t="n">
        <x:v>0</x:v>
      </x:c>
      <x:c r="L1897" s="22" t="n">
        <x:v>1.2506</x:v>
      </x:c>
      <x:c r="M1897" t="n">
        <x:v>2014</x:v>
      </x:c>
      <x:c r="N1897" s="20" t="n">
        <x:v>41699</x:v>
      </x:c>
    </x:row>
    <x:row r="1898" ht="18" customHeight="1">
      <x:c r="A1898" t="str">
        <x:v>CA-2017-145310</x:v>
      </x:c>
      <x:c r="B1898" s="18" t="n">
        <x:v>43091</x:v>
      </x:c>
      <x:c r="C1898" t="str">
        <x:v>JP-15520</x:v>
      </x:c>
      <x:c r="D1898" t="str">
        <x:v>Jeremy Pistek</x:v>
      </x:c>
      <x:c r="E1898" t="str">
        <x:v>Consumer</x:v>
      </x:c>
      <x:c r="F1898" t="str">
        <x:v>South</x:v>
      </x:c>
      <x:c r="G1898" t="str">
        <x:v>Office Supplies</x:v>
      </x:c>
      <x:c r="H1898" t="str">
        <x:v>Envelopes</x:v>
      </x:c>
      <x:c r="I1898" s="22" t="n">
        <x:v>7.824</x:v>
      </x:c>
      <x:c r="J1898" s="24" t="n">
        <x:v>1</x:v>
      </x:c>
      <x:c r="K1898" s="26" t="n">
        <x:v>0.2</x:v>
      </x:c>
      <x:c r="L1898" s="22" t="n">
        <x:v>2.9339999999999997</x:v>
      </x:c>
      <x:c r="M1898" t="n">
        <x:v>2017</x:v>
      </x:c>
      <x:c r="N1898" s="20" t="n">
        <x:v>43070</x:v>
      </x:c>
    </x:row>
    <x:row r="1899" ht="18" customHeight="1">
      <x:c r="A1899" t="str">
        <x:v>CA-2016-100083</x:v>
      </x:c>
      <x:c r="B1899" s="18" t="n">
        <x:v>42698</x:v>
      </x:c>
      <x:c r="C1899" t="str">
        <x:v>CD-11980</x:v>
      </x:c>
      <x:c r="D1899" t="str">
        <x:v>Carol Darley</x:v>
      </x:c>
      <x:c r="E1899" t="str">
        <x:v>Consumer</x:v>
      </x:c>
      <x:c r="F1899" t="str">
        <x:v>West</x:v>
      </x:c>
      <x:c r="G1899" t="str">
        <x:v>Office Supplies</x:v>
      </x:c>
      <x:c r="H1899" t="str">
        <x:v>Paper</x:v>
      </x:c>
      <x:c r="I1899" s="22" t="n">
        <x:v>24.784000000000002</x:v>
      </x:c>
      <x:c r="J1899" s="24" t="n">
        <x:v>1</x:v>
      </x:c>
      <x:c r="K1899" s="26" t="n">
        <x:v>0.2</x:v>
      </x:c>
      <x:c r="L1899" s="22" t="n">
        <x:v>7.744999999999998</x:v>
      </x:c>
      <x:c r="M1899" t="n">
        <x:v>2016</x:v>
      </x:c>
      <x:c r="N1899" s="20" t="n">
        <x:v>42675</x:v>
      </x:c>
    </x:row>
    <x:row r="1900" ht="18" customHeight="1">
      <x:c r="A1900" t="str">
        <x:v>US-2017-108063</x:v>
      </x:c>
      <x:c r="B1900" s="18" t="n">
        <x:v>43071</x:v>
      </x:c>
      <x:c r="C1900" t="str">
        <x:v>AS-10090</x:v>
      </x:c>
      <x:c r="D1900" t="str">
        <x:v>Adam Shillingsburg</x:v>
      </x:c>
      <x:c r="E1900" t="str">
        <x:v>Consumer</x:v>
      </x:c>
      <x:c r="F1900" t="str">
        <x:v>South</x:v>
      </x:c>
      <x:c r="G1900" t="str">
        <x:v>Office Supplies</x:v>
      </x:c>
      <x:c r="H1900" t="str">
        <x:v>Art</x:v>
      </x:c>
      <x:c r="I1900" s="22" t="n">
        <x:v>34.650000000000006</x:v>
      </x:c>
      <x:c r="J1900" s="24" t="n">
        <x:v>3</x:v>
      </x:c>
      <x:c r="K1900" s="26" t="n">
        <x:v>0</x:v>
      </x:c>
      <x:c r="L1900" s="22" t="n">
        <x:v>10.395</x:v>
      </x:c>
      <x:c r="M1900" t="n">
        <x:v>2017</x:v>
      </x:c>
      <x:c r="N1900" s="20" t="n">
        <x:v>43070</x:v>
      </x:c>
    </x:row>
    <x:row r="1901" ht="18" customHeight="1">
      <x:c r="A1901" t="str">
        <x:v>CA-2015-109197</x:v>
      </x:c>
      <x:c r="B1901" s="18" t="n">
        <x:v>42369</x:v>
      </x:c>
      <x:c r="C1901" t="str">
        <x:v>JO-15280</x:v>
      </x:c>
      <x:c r="D1901" t="str">
        <x:v>Jas O'Carroll</x:v>
      </x:c>
      <x:c r="E1901" t="str">
        <x:v>Consumer</x:v>
      </x:c>
      <x:c r="F1901" t="str">
        <x:v>West</x:v>
      </x:c>
      <x:c r="G1901" t="str">
        <x:v>Office Supplies</x:v>
      </x:c>
      <x:c r="H1901" t="str">
        <x:v>Binders</x:v>
      </x:c>
      <x:c r="I1901" s="22" t="n">
        <x:v>487.98400000000004</x:v>
      </x:c>
      <x:c r="J1901" s="24" t="n">
        <x:v>2</x:v>
      </x:c>
      <x:c r="K1901" s="26" t="n">
        <x:v>0.2</x:v>
      </x:c>
      <x:c r="L1901" s="22" t="n">
        <x:v>152.49499999999998</x:v>
      </x:c>
      <x:c r="M1901" t="n">
        <x:v>2015</x:v>
      </x:c>
      <x:c r="N1901" s="20" t="n">
        <x:v>42339</x:v>
      </x:c>
    </x:row>
    <x:row r="1902" ht="18" customHeight="1">
      <x:c r="A1902" t="str">
        <x:v>CA-2017-141789</x:v>
      </x:c>
      <x:c r="B1902" s="18" t="n">
        <x:v>43011</x:v>
      </x:c>
      <x:c r="C1902" t="str">
        <x:v>AC-10450</x:v>
      </x:c>
      <x:c r="D1902" t="str">
        <x:v>Amy Cox</x:v>
      </x:c>
      <x:c r="E1902" t="str">
        <x:v>Consumer</x:v>
      </x:c>
      <x:c r="F1902" t="str">
        <x:v>Central</x:v>
      </x:c>
      <x:c r="G1902" t="str">
        <x:v>Office Supplies</x:v>
      </x:c>
      <x:c r="H1902" t="str">
        <x:v>Binders</x:v>
      </x:c>
      <x:c r="I1902" s="22" t="n">
        <x:v>1793.98</x:v>
      </x:c>
      <x:c r="J1902" s="24" t="n">
        <x:v>2</x:v>
      </x:c>
      <x:c r="K1902" s="26" t="n">
        <x:v>0</x:v>
      </x:c>
      <x:c r="L1902" s="22" t="n">
        <x:v>843.1705999999999</x:v>
      </x:c>
      <x:c r="M1902" t="n">
        <x:v>2017</x:v>
      </x:c>
      <x:c r="N1902" s="20" t="n">
        <x:v>43009</x:v>
      </x:c>
    </x:row>
    <x:row r="1903" ht="18" customHeight="1">
      <x:c r="A1903" t="str">
        <x:v>CA-2014-169775</x:v>
      </x:c>
      <x:c r="B1903" s="18" t="n">
        <x:v>41880</x:v>
      </x:c>
      <x:c r="C1903" t="str">
        <x:v>RA-19945</x:v>
      </x:c>
      <x:c r="D1903" t="str">
        <x:v>Ryan Akin</x:v>
      </x:c>
      <x:c r="E1903" t="str">
        <x:v>Consumer</x:v>
      </x:c>
      <x:c r="F1903" t="str">
        <x:v>South</x:v>
      </x:c>
      <x:c r="G1903" t="str">
        <x:v>Office Supplies</x:v>
      </x:c>
      <x:c r="H1903" t="str">
        <x:v>Envelopes</x:v>
      </x:c>
      <x:c r="I1903" s="22" t="n">
        <x:v>29.808</x:v>
      </x:c>
      <x:c r="J1903" s="24" t="n">
        <x:v>2</x:v>
      </x:c>
      <x:c r="K1903" s="26" t="n">
        <x:v>0.2</x:v>
      </x:c>
      <x:c r="L1903" s="22" t="n">
        <x:v>10.805399999999997</x:v>
      </x:c>
      <x:c r="M1903" t="n">
        <x:v>2014</x:v>
      </x:c>
      <x:c r="N1903" s="20" t="n">
        <x:v>41852</x:v>
      </x:c>
    </x:row>
    <x:row r="1904" ht="18" customHeight="1">
      <x:c r="A1904" t="str">
        <x:v>CA-2014-169775</x:v>
      </x:c>
      <x:c r="B1904" s="18" t="n">
        <x:v>41880</x:v>
      </x:c>
      <x:c r="C1904" t="str">
        <x:v>RA-19945</x:v>
      </x:c>
      <x:c r="D1904" t="str">
        <x:v>Ryan Akin</x:v>
      </x:c>
      <x:c r="E1904" t="str">
        <x:v>Consumer</x:v>
      </x:c>
      <x:c r="F1904" t="str">
        <x:v>South</x:v>
      </x:c>
      <x:c r="G1904" t="str">
        <x:v>Office Supplies</x:v>
      </x:c>
      <x:c r="H1904" t="str">
        <x:v>Binders</x:v>
      </x:c>
      <x:c r="I1904" s="22" t="n">
        <x:v>505.1760000000001</x:v>
      </x:c>
      <x:c r="J1904" s="24" t="n">
        <x:v>4</x:v>
      </x:c>
      <x:c r="K1904" s="26" t="n">
        <x:v>0.7</x:v>
      </x:c>
      <x:c r="L1904" s="22" t="n">
        <x:v>-336.7839999999999</x:v>
      </x:c>
      <x:c r="M1904" t="n">
        <x:v>2014</x:v>
      </x:c>
      <x:c r="N1904" s="20" t="n">
        <x:v>41852</x:v>
      </x:c>
    </x:row>
    <x:row r="1905" ht="18" customHeight="1">
      <x:c r="A1905" t="str">
        <x:v>CA-2014-169775</x:v>
      </x:c>
      <x:c r="B1905" s="18" t="n">
        <x:v>41880</x:v>
      </x:c>
      <x:c r="C1905" t="str">
        <x:v>RA-19945</x:v>
      </x:c>
      <x:c r="D1905" t="str">
        <x:v>Ryan Akin</x:v>
      </x:c>
      <x:c r="E1905" t="str">
        <x:v>Consumer</x:v>
      </x:c>
      <x:c r="F1905" t="str">
        <x:v>South</x:v>
      </x:c>
      <x:c r="G1905" t="str">
        <x:v>Furniture</x:v>
      </x:c>
      <x:c r="H1905" t="str">
        <x:v>Tables</x:v>
      </x:c>
      <x:c r="I1905" s="22" t="n">
        <x:v>174.0585</x:v>
      </x:c>
      <x:c r="J1905" s="24" t="n">
        <x:v>3</x:v>
      </x:c>
      <x:c r="K1905" s="26" t="n">
        <x:v>0.45</x:v>
      </x:c>
      <x:c r="L1905" s="22" t="n">
        <x:v>-110.76450000000001</x:v>
      </x:c>
      <x:c r="M1905" t="n">
        <x:v>2014</x:v>
      </x:c>
      <x:c r="N1905" s="20" t="n">
        <x:v>41852</x:v>
      </x:c>
    </x:row>
    <x:row r="1906" ht="18" customHeight="1">
      <x:c r="A1906" t="str">
        <x:v>CA-2016-140543</x:v>
      </x:c>
      <x:c r="B1906" s="18" t="n">
        <x:v>42550</x:v>
      </x:c>
      <x:c r="C1906" t="str">
        <x:v>Co-12640</x:v>
      </x:c>
      <x:c r="D1906" t="str">
        <x:v>Corey-Lock</x:v>
      </x:c>
      <x:c r="E1906" t="str">
        <x:v>Consumer</x:v>
      </x:c>
      <x:c r="F1906" t="str">
        <x:v>South</x:v>
      </x:c>
      <x:c r="G1906" t="str">
        <x:v>Office Supplies</x:v>
      </x:c>
      <x:c r="H1906" t="str">
        <x:v>Storage</x:v>
      </x:c>
      <x:c r="I1906" s="22" t="n">
        <x:v>191.88</x:v>
      </x:c>
      <x:c r="J1906" s="24" t="n">
        <x:v>6</x:v>
      </x:c>
      <x:c r="K1906" s="26" t="n">
        <x:v>0</x:v>
      </x:c>
      <x:c r="L1906" s="22" t="n">
        <x:v>19.188000000000002</x:v>
      </x:c>
      <x:c r="M1906" t="n">
        <x:v>2016</x:v>
      </x:c>
      <x:c r="N1906" s="20" t="n">
        <x:v>42522</x:v>
      </x:c>
    </x:row>
    <x:row r="1907" ht="18" customHeight="1">
      <x:c r="A1907" t="str">
        <x:v>CA-2016-151141</x:v>
      </x:c>
      <x:c r="B1907" s="18" t="n">
        <x:v>42602</x:v>
      </x:c>
      <x:c r="C1907" t="str">
        <x:v>DW-13480</x:v>
      </x:c>
      <x:c r="D1907" t="str">
        <x:v>Dianna Wilson</x:v>
      </x:c>
      <x:c r="E1907" t="str">
        <x:v>Home Office</x:v>
      </x:c>
      <x:c r="F1907" t="str">
        <x:v>Central</x:v>
      </x:c>
      <x:c r="G1907" t="str">
        <x:v>Technology</x:v>
      </x:c>
      <x:c r="H1907" t="str">
        <x:v>Phones</x:v>
      </x:c>
      <x:c r="I1907" s="22" t="n">
        <x:v>14.78</x:v>
      </x:c>
      <x:c r="J1907" s="24" t="n">
        <x:v>2</x:v>
      </x:c>
      <x:c r="K1907" s="26" t="n">
        <x:v>0</x:v>
      </x:c>
      <x:c r="L1907" s="22" t="n">
        <x:v>3.9906000000000006</x:v>
      </x:c>
      <x:c r="M1907" t="n">
        <x:v>2016</x:v>
      </x:c>
      <x:c r="N1907" s="20" t="n">
        <x:v>42583</x:v>
      </x:c>
    </x:row>
    <x:row r="1908" ht="18" customHeight="1">
      <x:c r="A1908" t="str">
        <x:v>CA-2017-167094</x:v>
      </x:c>
      <x:c r="B1908" s="18" t="n">
        <x:v>43029</x:v>
      </x:c>
      <x:c r="C1908" t="str">
        <x:v>DK-12835</x:v>
      </x:c>
      <x:c r="D1908" t="str">
        <x:v>Damala Kotsonis</x:v>
      </x:c>
      <x:c r="E1908" t="str">
        <x:v>Corporate</x:v>
      </x:c>
      <x:c r="F1908" t="str">
        <x:v>West</x:v>
      </x:c>
      <x:c r="G1908" t="str">
        <x:v>Office Supplies</x:v>
      </x:c>
      <x:c r="H1908" t="str">
        <x:v>Paper</x:v>
      </x:c>
      <x:c r="I1908" s="22" t="n">
        <x:v>5.184000000000001</x:v>
      </x:c>
      <x:c r="J1908" s="24" t="n">
        <x:v>1</x:v>
      </x:c>
      <x:c r="K1908" s="26" t="n">
        <x:v>0.2</x:v>
      </x:c>
      <x:c r="L1908" s="22" t="n">
        <x:v>1.8144</x:v>
      </x:c>
      <x:c r="M1908" t="n">
        <x:v>2017</x:v>
      </x:c>
      <x:c r="N1908" s="20" t="n">
        <x:v>43009</x:v>
      </x:c>
    </x:row>
    <x:row r="1909" ht="18" customHeight="1">
      <x:c r="A1909" t="str">
        <x:v>CA-2017-167094</x:v>
      </x:c>
      <x:c r="B1909" s="18" t="n">
        <x:v>43029</x:v>
      </x:c>
      <x:c r="C1909" t="str">
        <x:v>DK-12835</x:v>
      </x:c>
      <x:c r="D1909" t="str">
        <x:v>Damala Kotsonis</x:v>
      </x:c>
      <x:c r="E1909" t="str">
        <x:v>Corporate</x:v>
      </x:c>
      <x:c r="F1909" t="str">
        <x:v>West</x:v>
      </x:c>
      <x:c r="G1909" t="str">
        <x:v>Furniture</x:v>
      </x:c>
      <x:c r="H1909" t="str">
        <x:v>Chairs</x:v>
      </x:c>
      <x:c r="I1909" s="22" t="n">
        <x:v>478.48</x:v>
      </x:c>
      <x:c r="J1909" s="24" t="n">
        <x:v>2</x:v>
      </x:c>
      <x:c r="K1909" s="26" t="n">
        <x:v>0.2</x:v>
      </x:c>
      <x:c r="L1909" s="22" t="n">
        <x:v>47.84800000000001</x:v>
      </x:c>
      <x:c r="M1909" t="n">
        <x:v>2017</x:v>
      </x:c>
      <x:c r="N1909" s="20" t="n">
        <x:v>43009</x:v>
      </x:c>
    </x:row>
    <x:row r="1910" ht="18" customHeight="1">
      <x:c r="A1910" t="str">
        <x:v>CA-2017-167094</x:v>
      </x:c>
      <x:c r="B1910" s="18" t="n">
        <x:v>43029</x:v>
      </x:c>
      <x:c r="C1910" t="str">
        <x:v>DK-12835</x:v>
      </x:c>
      <x:c r="D1910" t="str">
        <x:v>Damala Kotsonis</x:v>
      </x:c>
      <x:c r="E1910" t="str">
        <x:v>Corporate</x:v>
      </x:c>
      <x:c r="F1910" t="str">
        <x:v>West</x:v>
      </x:c>
      <x:c r="G1910" t="str">
        <x:v>Technology</x:v>
      </x:c>
      <x:c r="H1910" t="str">
        <x:v>Accessories</x:v>
      </x:c>
      <x:c r="I1910" s="22" t="n">
        <x:v>28.400000000000002</x:v>
      </x:c>
      <x:c r="J1910" s="24" t="n">
        <x:v>2</x:v>
      </x:c>
      <x:c r="K1910" s="26" t="n">
        <x:v>0.2</x:v>
      </x:c>
      <x:c r="L1910" s="22" t="n">
        <x:v>6.744999999999998</x:v>
      </x:c>
      <x:c r="M1910" t="n">
        <x:v>2017</x:v>
      </x:c>
      <x:c r="N1910" s="20" t="n">
        <x:v>43009</x:v>
      </x:c>
    </x:row>
    <x:row r="1911" ht="18" customHeight="1">
      <x:c r="A1911" t="str">
        <x:v>CA-2017-154410</x:v>
      </x:c>
      <x:c r="B1911" s="18" t="n">
        <x:v>43029</x:v>
      </x:c>
      <x:c r="C1911" t="str">
        <x:v>MD-17860</x:v>
      </x:c>
      <x:c r="D1911" t="str">
        <x:v>Michael Dominguez</x:v>
      </x:c>
      <x:c r="E1911" t="str">
        <x:v>Corporate</x:v>
      </x:c>
      <x:c r="F1911" t="str">
        <x:v>Central</x:v>
      </x:c>
      <x:c r="G1911" t="str">
        <x:v>Office Supplies</x:v>
      </x:c>
      <x:c r="H1911" t="str">
        <x:v>Storage</x:v>
      </x:c>
      <x:c r="I1911" s="22" t="n">
        <x:v>909.12</x:v>
      </x:c>
      <x:c r="J1911" s="24" t="n">
        <x:v>8</x:v>
      </x:c>
      <x:c r="K1911" s="26" t="n">
        <x:v>0</x:v>
      </x:c>
      <x:c r="L1911" s="22" t="n">
        <x:v>9.091199999999958</x:v>
      </x:c>
      <x:c r="M1911" t="n">
        <x:v>2017</x:v>
      </x:c>
      <x:c r="N1911" s="20" t="n">
        <x:v>43009</x:v>
      </x:c>
    </x:row>
    <x:row r="1912" ht="18" customHeight="1">
      <x:c r="A1912" t="str">
        <x:v>US-2016-150567</x:v>
      </x:c>
      <x:c r="B1912" s="18" t="n">
        <x:v>42507</x:v>
      </x:c>
      <x:c r="C1912" t="str">
        <x:v>RP-19855</x:v>
      </x:c>
      <x:c r="D1912" t="str">
        <x:v>Roy Phan</x:v>
      </x:c>
      <x:c r="E1912" t="str">
        <x:v>Corporate</x:v>
      </x:c>
      <x:c r="F1912" t="str">
        <x:v>South</x:v>
      </x:c>
      <x:c r="G1912" t="str">
        <x:v>Office Supplies</x:v>
      </x:c>
      <x:c r="H1912" t="str">
        <x:v>Binders</x:v>
      </x:c>
      <x:c r="I1912" s="22" t="n">
        <x:v>2.9520000000000004</x:v>
      </x:c>
      <x:c r="J1912" s="24" t="n">
        <x:v>2</x:v>
      </x:c>
      <x:c r="K1912" s="26" t="n">
        <x:v>0.7</x:v>
      </x:c>
      <x:c r="L1912" s="22" t="n">
        <x:v>-2.1648000000000005</x:v>
      </x:c>
      <x:c r="M1912" t="n">
        <x:v>2016</x:v>
      </x:c>
      <x:c r="N1912" s="20" t="n">
        <x:v>42491</x:v>
      </x:c>
    </x:row>
    <x:row r="1913" ht="18" customHeight="1">
      <x:c r="A1913" t="str">
        <x:v>US-2016-150567</x:v>
      </x:c>
      <x:c r="B1913" s="18" t="n">
        <x:v>42507</x:v>
      </x:c>
      <x:c r="C1913" t="str">
        <x:v>RP-19855</x:v>
      </x:c>
      <x:c r="D1913" t="str">
        <x:v>Roy Phan</x:v>
      </x:c>
      <x:c r="E1913" t="str">
        <x:v>Corporate</x:v>
      </x:c>
      <x:c r="F1913" t="str">
        <x:v>South</x:v>
      </x:c>
      <x:c r="G1913" t="str">
        <x:v>Office Supplies</x:v>
      </x:c>
      <x:c r="H1913" t="str">
        <x:v>Binders</x:v>
      </x:c>
      <x:c r="I1913" s="22" t="n">
        <x:v>27.018000000000008</x:v>
      </x:c>
      <x:c r="J1913" s="24" t="n">
        <x:v>6</x:v>
      </x:c>
      <x:c r="K1913" s="26" t="n">
        <x:v>0.7</x:v>
      </x:c>
      <x:c r="L1913" s="22" t="n">
        <x:v>-21.61440000000001</x:v>
      </x:c>
      <x:c r="M1913" t="n">
        <x:v>2016</x:v>
      </x:c>
      <x:c r="N1913" s="20" t="n">
        <x:v>42491</x:v>
      </x:c>
    </x:row>
    <x:row r="1914" ht="18" customHeight="1">
      <x:c r="A1914" t="str">
        <x:v>CA-2015-157959</x:v>
      </x:c>
      <x:c r="B1914" s="18" t="n">
        <x:v>42038</x:v>
      </x:c>
      <x:c r="C1914" t="str">
        <x:v>RW-19540</x:v>
      </x:c>
      <x:c r="D1914" t="str">
        <x:v>Rick Wilson</x:v>
      </x:c>
      <x:c r="E1914" t="str">
        <x:v>Corporate</x:v>
      </x:c>
      <x:c r="F1914" t="str">
        <x:v>West</x:v>
      </x:c>
      <x:c r="G1914" t="str">
        <x:v>Furniture</x:v>
      </x:c>
      <x:c r="H1914" t="str">
        <x:v>Furnishings</x:v>
      </x:c>
      <x:c r="I1914" s="22" t="n">
        <x:v>136.92</x:v>
      </x:c>
      <x:c r="J1914" s="24" t="n">
        <x:v>4</x:v>
      </x:c>
      <x:c r="K1914" s="26" t="n">
        <x:v>0</x:v>
      </x:c>
      <x:c r="L1914" s="22" t="n">
        <x:v>41.07599999999999</x:v>
      </x:c>
      <x:c r="M1914" t="n">
        <x:v>2015</x:v>
      </x:c>
      <x:c r="N1914" s="20" t="n">
        <x:v>42036</x:v>
      </x:c>
    </x:row>
    <x:row r="1915" ht="18" customHeight="1">
      <x:c r="A1915" t="str">
        <x:v>CA-2017-105886</x:v>
      </x:c>
      <x:c r="B1915" s="18" t="n">
        <x:v>43087</x:v>
      </x:c>
      <x:c r="C1915" t="str">
        <x:v>DB-13660</x:v>
      </x:c>
      <x:c r="D1915" t="str">
        <x:v>Duane Benoit</x:v>
      </x:c>
      <x:c r="E1915" t="str">
        <x:v>Consumer</x:v>
      </x:c>
      <x:c r="F1915" t="str">
        <x:v>East</x:v>
      </x:c>
      <x:c r="G1915" t="str">
        <x:v>Furniture</x:v>
      </x:c>
      <x:c r="H1915" t="str">
        <x:v>Furnishings</x:v>
      </x:c>
      <x:c r="I1915" s="22" t="n">
        <x:v>18.96</x:v>
      </x:c>
      <x:c r="J1915" s="24" t="n">
        <x:v>2</x:v>
      </x:c>
      <x:c r="K1915" s="26" t="n">
        <x:v>0</x:v>
      </x:c>
      <x:c r="L1915" s="22" t="n">
        <x:v>8.532</x:v>
      </x:c>
      <x:c r="M1915" t="n">
        <x:v>2017</x:v>
      </x:c>
      <x:c r="N1915" s="20" t="n">
        <x:v>43070</x:v>
      </x:c>
    </x:row>
    <x:row r="1916" ht="18" customHeight="1">
      <x:c r="A1916" t="str">
        <x:v>CA-2016-105963</x:v>
      </x:c>
      <x:c r="B1916" s="18" t="n">
        <x:v>42689</x:v>
      </x:c>
      <x:c r="C1916" t="str">
        <x:v>SC-20770</x:v>
      </x:c>
      <x:c r="D1916" t="str">
        <x:v>Stewart Carmichael</x:v>
      </x:c>
      <x:c r="E1916" t="str">
        <x:v>Corporate</x:v>
      </x:c>
      <x:c r="F1916" t="str">
        <x:v>West</x:v>
      </x:c>
      <x:c r="G1916" t="str">
        <x:v>Technology</x:v>
      </x:c>
      <x:c r="H1916" t="str">
        <x:v>Accessories</x:v>
      </x:c>
      <x:c r="I1916" s="22" t="n">
        <x:v>99.39000000000001</x:v>
      </x:c>
      <x:c r="J1916" s="24" t="n">
        <x:v>3</x:v>
      </x:c>
      <x:c r="K1916" s="26" t="n">
        <x:v>0</x:v>
      </x:c>
      <x:c r="L1916" s="22" t="n">
        <x:v>40.749900000000004</x:v>
      </x:c>
      <x:c r="M1916" t="n">
        <x:v>2016</x:v>
      </x:c>
      <x:c r="N1916" s="20" t="n">
        <x:v>42675</x:v>
      </x:c>
    </x:row>
    <x:row r="1917" ht="18" customHeight="1">
      <x:c r="A1917" t="str">
        <x:v>CA-2017-121503</x:v>
      </x:c>
      <x:c r="B1917" s="18" t="n">
        <x:v>42919</x:v>
      </x:c>
      <x:c r="C1917" t="str">
        <x:v>FH-14275</x:v>
      </x:c>
      <x:c r="D1917" t="str">
        <x:v>Frank Hawley</x:v>
      </x:c>
      <x:c r="E1917" t="str">
        <x:v>Corporate</x:v>
      </x:c>
      <x:c r="F1917" t="str">
        <x:v>Central</x:v>
      </x:c>
      <x:c r="G1917" t="str">
        <x:v>Office Supplies</x:v>
      </x:c>
      <x:c r="H1917" t="str">
        <x:v>Paper</x:v>
      </x:c>
      <x:c r="I1917" s="22" t="n">
        <x:v>273.896</x:v>
      </x:c>
      <x:c r="J1917" s="24" t="n">
        <x:v>7</x:v>
      </x:c>
      <x:c r="K1917" s="26" t="n">
        <x:v>0.2</x:v>
      </x:c>
      <x:c r="L1917" s="22" t="n">
        <x:v>92.43989999999998</x:v>
      </x:c>
      <x:c r="M1917" t="n">
        <x:v>2017</x:v>
      </x:c>
      <x:c r="N1917" s="20" t="n">
        <x:v>42917</x:v>
      </x:c>
    </x:row>
    <x:row r="1918" ht="18" customHeight="1">
      <x:c r="A1918" t="str">
        <x:v>CA-2017-121503</x:v>
      </x:c>
      <x:c r="B1918" s="18" t="n">
        <x:v>42919</x:v>
      </x:c>
      <x:c r="C1918" t="str">
        <x:v>FH-14275</x:v>
      </x:c>
      <x:c r="D1918" t="str">
        <x:v>Frank Hawley</x:v>
      </x:c>
      <x:c r="E1918" t="str">
        <x:v>Corporate</x:v>
      </x:c>
      <x:c r="F1918" t="str">
        <x:v>Central</x:v>
      </x:c>
      <x:c r="G1918" t="str">
        <x:v>Technology</x:v>
      </x:c>
      <x:c r="H1918" t="str">
        <x:v>Machines</x:v>
      </x:c>
      <x:c r="I1918" s="22" t="n">
        <x:v>597.1320000000001</x:v>
      </x:c>
      <x:c r="J1918" s="24" t="n">
        <x:v>3</x:v>
      </x:c>
      <x:c r="K1918" s="26" t="n">
        <x:v>0.4</x:v>
      </x:c>
      <x:c r="L1918" s="22" t="n">
        <x:v>49.76099999999997</x:v>
      </x:c>
      <x:c r="M1918" t="n">
        <x:v>2017</x:v>
      </x:c>
      <x:c r="N1918" s="20" t="n">
        <x:v>42917</x:v>
      </x:c>
    </x:row>
    <x:row r="1919" ht="18" customHeight="1">
      <x:c r="A1919" t="str">
        <x:v>CA-2014-103366</x:v>
      </x:c>
      <x:c r="B1919" s="18" t="n">
        <x:v>41654</x:v>
      </x:c>
      <x:c r="C1919" t="str">
        <x:v>EH-13990</x:v>
      </x:c>
      <x:c r="D1919" t="str">
        <x:v>Erica Hackney</x:v>
      </x:c>
      <x:c r="E1919" t="str">
        <x:v>Consumer</x:v>
      </x:c>
      <x:c r="F1919" t="str">
        <x:v>South</x:v>
      </x:c>
      <x:c r="G1919" t="str">
        <x:v>Technology</x:v>
      </x:c>
      <x:c r="H1919" t="str">
        <x:v>Accessories</x:v>
      </x:c>
      <x:c r="I1919" s="22" t="n">
        <x:v>149.95</x:v>
      </x:c>
      <x:c r="J1919" s="24" t="n">
        <x:v>5</x:v>
      </x:c>
      <x:c r="K1919" s="26" t="n">
        <x:v>0</x:v>
      </x:c>
      <x:c r="L1919" s="22" t="n">
        <x:v>65.97800000000001</x:v>
      </x:c>
      <x:c r="M1919" t="n">
        <x:v>2014</x:v>
      </x:c>
      <x:c r="N1919" s="20" t="n">
        <x:v>41640</x:v>
      </x:c>
    </x:row>
    <x:row r="1920" ht="18" customHeight="1">
      <x:c r="A1920" t="str">
        <x:v>CA-2017-124597</x:v>
      </x:c>
      <x:c r="B1920" s="18" t="n">
        <x:v>42855</x:v>
      </x:c>
      <x:c r="C1920" t="str">
        <x:v>AS-10630</x:v>
      </x:c>
      <x:c r="D1920" t="str">
        <x:v>Ann Steele</x:v>
      </x:c>
      <x:c r="E1920" t="str">
        <x:v>Home Office</x:v>
      </x:c>
      <x:c r="F1920" t="str">
        <x:v>South</x:v>
      </x:c>
      <x:c r="G1920" t="str">
        <x:v>Office Supplies</x:v>
      </x:c>
      <x:c r="H1920" t="str">
        <x:v>Labels</x:v>
      </x:c>
      <x:c r="I1920" s="22" t="n">
        <x:v>4.608</x:v>
      </x:c>
      <x:c r="J1920" s="24" t="n">
        <x:v>2</x:v>
      </x:c>
      <x:c r="K1920" s="26" t="n">
        <x:v>0.2</x:v>
      </x:c>
      <x:c r="L1920" s="22" t="n">
        <x:v>1.6704</x:v>
      </x:c>
      <x:c r="M1920" t="n">
        <x:v>2017</x:v>
      </x:c>
      <x:c r="N1920" s="20" t="n">
        <x:v>42826</x:v>
      </x:c>
    </x:row>
    <x:row r="1921" ht="18" customHeight="1">
      <x:c r="A1921" t="str">
        <x:v>CA-2017-124597</x:v>
      </x:c>
      <x:c r="B1921" s="18" t="n">
        <x:v>42855</x:v>
      </x:c>
      <x:c r="C1921" t="str">
        <x:v>AS-10630</x:v>
      </x:c>
      <x:c r="D1921" t="str">
        <x:v>Ann Steele</x:v>
      </x:c>
      <x:c r="E1921" t="str">
        <x:v>Home Office</x:v>
      </x:c>
      <x:c r="F1921" t="str">
        <x:v>South</x:v>
      </x:c>
      <x:c r="G1921" t="str">
        <x:v>Office Supplies</x:v>
      </x:c>
      <x:c r="H1921" t="str">
        <x:v>Art</x:v>
      </x:c>
      <x:c r="I1921" s="22" t="n">
        <x:v>15.528</x:v>
      </x:c>
      <x:c r="J1921" s="24" t="n">
        <x:v>3</x:v>
      </x:c>
      <x:c r="K1921" s="26" t="n">
        <x:v>0.2</x:v>
      </x:c>
      <x:c r="L1921" s="22" t="n">
        <x:v>4.852499999999999</x:v>
      </x:c>
      <x:c r="M1921" t="n">
        <x:v>2017</x:v>
      </x:c>
      <x:c r="N1921" s="20" t="n">
        <x:v>42826</x:v>
      </x:c>
    </x:row>
    <x:row r="1922" ht="18" customHeight="1">
      <x:c r="A1922" t="str">
        <x:v>CA-2017-124597</x:v>
      </x:c>
      <x:c r="B1922" s="18" t="n">
        <x:v>42855</x:v>
      </x:c>
      <x:c r="C1922" t="str">
        <x:v>AS-10630</x:v>
      </x:c>
      <x:c r="D1922" t="str">
        <x:v>Ann Steele</x:v>
      </x:c>
      <x:c r="E1922" t="str">
        <x:v>Home Office</x:v>
      </x:c>
      <x:c r="F1922" t="str">
        <x:v>South</x:v>
      </x:c>
      <x:c r="G1922" t="str">
        <x:v>Office Supplies</x:v>
      </x:c>
      <x:c r="H1922" t="str">
        <x:v>Labels</x:v>
      </x:c>
      <x:c r="I1922" s="22" t="n">
        <x:v>11.952000000000002</x:v>
      </x:c>
      <x:c r="J1922" s="24" t="n">
        <x:v>3</x:v>
      </x:c>
      <x:c r="K1922" s="26" t="n">
        <x:v>0.2</x:v>
      </x:c>
      <x:c r="L1922" s="22" t="n">
        <x:v>3.8843999999999994</x:v>
      </x:c>
      <x:c r="M1922" t="n">
        <x:v>2017</x:v>
      </x:c>
      <x:c r="N1922" s="20" t="n">
        <x:v>42826</x:v>
      </x:c>
    </x:row>
    <x:row r="1923" ht="18" customHeight="1">
      <x:c r="A1923" t="str">
        <x:v>CA-2015-105634</x:v>
      </x:c>
      <x:c r="B1923" s="18" t="n">
        <x:v>42316</x:v>
      </x:c>
      <x:c r="C1923" t="str">
        <x:v>HA-14905</x:v>
      </x:c>
      <x:c r="D1923" t="str">
        <x:v>Helen Abelman</x:v>
      </x:c>
      <x:c r="E1923" t="str">
        <x:v>Consumer</x:v>
      </x:c>
      <x:c r="F1923" t="str">
        <x:v>East</x:v>
      </x:c>
      <x:c r="G1923" t="str">
        <x:v>Office Supplies</x:v>
      </x:c>
      <x:c r="H1923" t="str">
        <x:v>Art</x:v>
      </x:c>
      <x:c r="I1923" s="22" t="n">
        <x:v>11.65</x:v>
      </x:c>
      <x:c r="J1923" s="24" t="n">
        <x:v>5</x:v>
      </x:c>
      <x:c r="K1923" s="26" t="n">
        <x:v>0</x:v>
      </x:c>
      <x:c r="L1923" s="22" t="n">
        <x:v>3.378499999999999</x:v>
      </x:c>
      <x:c r="M1923" t="n">
        <x:v>2015</x:v>
      </x:c>
      <x:c r="N1923" s="20" t="n">
        <x:v>42309</x:v>
      </x:c>
    </x:row>
    <x:row r="1924" ht="18" customHeight="1">
      <x:c r="A1924" t="str">
        <x:v>CA-2015-123673</x:v>
      </x:c>
      <x:c r="B1924" s="18" t="n">
        <x:v>42307</x:v>
      </x:c>
      <x:c r="C1924" t="str">
        <x:v>CH-12070</x:v>
      </x:c>
      <x:c r="D1924" t="str">
        <x:v>Cathy Hwang</x:v>
      </x:c>
      <x:c r="E1924" t="str">
        <x:v>Home Office</x:v>
      </x:c>
      <x:c r="F1924" t="str">
        <x:v>Central</x:v>
      </x:c>
      <x:c r="G1924" t="str">
        <x:v>Technology</x:v>
      </x:c>
      <x:c r="H1924" t="str">
        <x:v>Phones</x:v>
      </x:c>
      <x:c r="I1924" s="22" t="n">
        <x:v>299.9</x:v>
      </x:c>
      <x:c r="J1924" s="24" t="n">
        <x:v>2</x:v>
      </x:c>
      <x:c r="K1924" s="26" t="n">
        <x:v>0</x:v>
      </x:c>
      <x:c r="L1924" s="22" t="n">
        <x:v>74.975</x:v>
      </x:c>
      <x:c r="M1924" t="n">
        <x:v>2015</x:v>
      </x:c>
      <x:c r="N1924" s="20" t="n">
        <x:v>42278</x:v>
      </x:c>
    </x:row>
    <x:row r="1925" ht="18" customHeight="1">
      <x:c r="A1925" t="str">
        <x:v>US-2017-111423</x:v>
      </x:c>
      <x:c r="B1925" s="18" t="n">
        <x:v>42964</x:v>
      </x:c>
      <x:c r="C1925" t="str">
        <x:v>EH-13765</x:v>
      </x:c>
      <x:c r="D1925" t="str">
        <x:v>Edward Hooks</x:v>
      </x:c>
      <x:c r="E1925" t="str">
        <x:v>Corporate</x:v>
      </x:c>
      <x:c r="F1925" t="str">
        <x:v>East</x:v>
      </x:c>
      <x:c r="G1925" t="str">
        <x:v>Office Supplies</x:v>
      </x:c>
      <x:c r="H1925" t="str">
        <x:v>Binders</x:v>
      </x:c>
      <x:c r="I1925" s="22" t="n">
        <x:v>895.92</x:v>
      </x:c>
      <x:c r="J1925" s="24" t="n">
        <x:v>5</x:v>
      </x:c>
      <x:c r="K1925" s="26" t="n">
        <x:v>0.2</x:v>
      </x:c>
      <x:c r="L1925" s="22" t="n">
        <x:v>302.37299999999993</x:v>
      </x:c>
      <x:c r="M1925" t="n">
        <x:v>2017</x:v>
      </x:c>
      <x:c r="N1925" s="20" t="n">
        <x:v>42948</x:v>
      </x:c>
    </x:row>
    <x:row r="1926" ht="18" customHeight="1">
      <x:c r="A1926" t="str">
        <x:v>US-2017-111423</x:v>
      </x:c>
      <x:c r="B1926" s="18" t="n">
        <x:v>42964</x:v>
      </x:c>
      <x:c r="C1926" t="str">
        <x:v>EH-13765</x:v>
      </x:c>
      <x:c r="D1926" t="str">
        <x:v>Edward Hooks</x:v>
      </x:c>
      <x:c r="E1926" t="str">
        <x:v>Corporate</x:v>
      </x:c>
      <x:c r="F1926" t="str">
        <x:v>East</x:v>
      </x:c>
      <x:c r="G1926" t="str">
        <x:v>Furniture</x:v>
      </x:c>
      <x:c r="H1926" t="str">
        <x:v>Chairs</x:v>
      </x:c>
      <x:c r="I1926" s="22" t="n">
        <x:v>462.564</x:v>
      </x:c>
      <x:c r="J1926" s="24" t="n">
        <x:v>2</x:v>
      </x:c>
      <x:c r="K1926" s="26" t="n">
        <x:v>0.1</x:v>
      </x:c>
      <x:c r="L1926" s="22" t="n">
        <x:v>97.65239999999994</x:v>
      </x:c>
      <x:c r="M1926" t="n">
        <x:v>2017</x:v>
      </x:c>
      <x:c r="N1926" s="20" t="n">
        <x:v>42948</x:v>
      </x:c>
    </x:row>
    <x:row r="1927" ht="18" customHeight="1">
      <x:c r="A1927" t="str">
        <x:v>CA-2015-125178</x:v>
      </x:c>
      <x:c r="B1927" s="18" t="n">
        <x:v>42280</x:v>
      </x:c>
      <x:c r="C1927" t="str">
        <x:v>MZ-17515</x:v>
      </x:c>
      <x:c r="D1927" t="str">
        <x:v>Mary Zewe</x:v>
      </x:c>
      <x:c r="E1927" t="str">
        <x:v>Corporate</x:v>
      </x:c>
      <x:c r="F1927" t="str">
        <x:v>East</x:v>
      </x:c>
      <x:c r="G1927" t="str">
        <x:v>Office Supplies</x:v>
      </x:c>
      <x:c r="H1927" t="str">
        <x:v>Storage</x:v>
      </x:c>
      <x:c r="I1927" s="22" t="n">
        <x:v>15.008000000000003</x:v>
      </x:c>
      <x:c r="J1927" s="24" t="n">
        <x:v>2</x:v>
      </x:c>
      <x:c r="K1927" s="26" t="n">
        <x:v>0.2</x:v>
      </x:c>
      <x:c r="L1927" s="22" t="n">
        <x:v>1.5008</x:v>
      </x:c>
      <x:c r="M1927" t="n">
        <x:v>2015</x:v>
      </x:c>
      <x:c r="N1927" s="20" t="n">
        <x:v>42278</x:v>
      </x:c>
    </x:row>
    <x:row r="1928" ht="18" customHeight="1">
      <x:c r="A1928" t="str">
        <x:v>CA-2016-156685</x:v>
      </x:c>
      <x:c r="B1928" s="18" t="n">
        <x:v>42559</x:v>
      </x:c>
      <x:c r="C1928" t="str">
        <x:v>SC-20230</x:v>
      </x:c>
      <x:c r="D1928" t="str">
        <x:v>Scot Coram</x:v>
      </x:c>
      <x:c r="E1928" t="str">
        <x:v>Corporate</x:v>
      </x:c>
      <x:c r="F1928" t="str">
        <x:v>Central</x:v>
      </x:c>
      <x:c r="G1928" t="str">
        <x:v>Technology</x:v>
      </x:c>
      <x:c r="H1928" t="str">
        <x:v>Phones</x:v>
      </x:c>
      <x:c r="I1928" s="22" t="n">
        <x:v>863.6400000000001</x:v>
      </x:c>
      <x:c r="J1928" s="24" t="n">
        <x:v>9</x:v>
      </x:c>
      <x:c r="K1928" s="26" t="n">
        <x:v>0.2</x:v>
      </x:c>
      <x:c r="L1928" s="22" t="n">
        <x:v>107.95499999999998</x:v>
      </x:c>
      <x:c r="M1928" t="n">
        <x:v>2016</x:v>
      </x:c>
      <x:c r="N1928" s="20" t="n">
        <x:v>42552</x:v>
      </x:c>
    </x:row>
    <x:row r="1929" ht="18" customHeight="1">
      <x:c r="A1929" t="str">
        <x:v>CA-2016-156685</x:v>
      </x:c>
      <x:c r="B1929" s="18" t="n">
        <x:v>42559</x:v>
      </x:c>
      <x:c r="C1929" t="str">
        <x:v>SC-20230</x:v>
      </x:c>
      <x:c r="D1929" t="str">
        <x:v>Scot Coram</x:v>
      </x:c>
      <x:c r="E1929" t="str">
        <x:v>Corporate</x:v>
      </x:c>
      <x:c r="F1929" t="str">
        <x:v>Central</x:v>
      </x:c>
      <x:c r="G1929" t="str">
        <x:v>Office Supplies</x:v>
      </x:c>
      <x:c r="H1929" t="str">
        <x:v>Art</x:v>
      </x:c>
      <x:c r="I1929" s="22" t="n">
        <x:v>47.616</x:v>
      </x:c>
      <x:c r="J1929" s="24" t="n">
        <x:v>3</x:v>
      </x:c>
      <x:c r="K1929" s="26" t="n">
        <x:v>0.2</x:v>
      </x:c>
      <x:c r="L1929" s="22" t="n">
        <x:v>3.571200000000001</x:v>
      </x:c>
      <x:c r="M1929" t="n">
        <x:v>2016</x:v>
      </x:c>
      <x:c r="N1929" s="20" t="n">
        <x:v>42552</x:v>
      </x:c>
    </x:row>
    <x:row r="1930" ht="18" customHeight="1">
      <x:c r="A1930" t="str">
        <x:v>CA-2017-126865</x:v>
      </x:c>
      <x:c r="B1930" s="18" t="n">
        <x:v>43074</x:v>
      </x:c>
      <x:c r="C1930" t="str">
        <x:v>NP-18325</x:v>
      </x:c>
      <x:c r="D1930" t="str">
        <x:v>Naresj Patel</x:v>
      </x:c>
      <x:c r="E1930" t="str">
        <x:v>Consumer</x:v>
      </x:c>
      <x:c r="F1930" t="str">
        <x:v>West</x:v>
      </x:c>
      <x:c r="G1930" t="str">
        <x:v>Office Supplies</x:v>
      </x:c>
      <x:c r="H1930" t="str">
        <x:v>Paper</x:v>
      </x:c>
      <x:c r="I1930" s="22" t="n">
        <x:v>92.94</x:v>
      </x:c>
      <x:c r="J1930" s="24" t="n">
        <x:v>3</x:v>
      </x:c>
      <x:c r="K1930" s="26" t="n">
        <x:v>0</x:v>
      </x:c>
      <x:c r="L1930" s="22" t="n">
        <x:v>41.82299999999999</x:v>
      </x:c>
      <x:c r="M1930" t="n">
        <x:v>2017</x:v>
      </x:c>
      <x:c r="N1930" s="20" t="n">
        <x:v>43070</x:v>
      </x:c>
    </x:row>
    <x:row r="1931" ht="18" customHeight="1">
      <x:c r="A1931" t="str">
        <x:v>CA-2017-102834</x:v>
      </x:c>
      <x:c r="B1931" s="18" t="n">
        <x:v>42803</x:v>
      </x:c>
      <x:c r="C1931" t="str">
        <x:v>LW-16990</x:v>
      </x:c>
      <x:c r="D1931" t="str">
        <x:v>Lindsay Williams</x:v>
      </x:c>
      <x:c r="E1931" t="str">
        <x:v>Corporate</x:v>
      </x:c>
      <x:c r="F1931" t="str">
        <x:v>West</x:v>
      </x:c>
      <x:c r="G1931" t="str">
        <x:v>Technology</x:v>
      </x:c>
      <x:c r="H1931" t="str">
        <x:v>Accessories</x:v>
      </x:c>
      <x:c r="I1931" s="22" t="n">
        <x:v>199.98</x:v>
      </x:c>
      <x:c r="J1931" s="24" t="n">
        <x:v>2</x:v>
      </x:c>
      <x:c r="K1931" s="26" t="n">
        <x:v>0</x:v>
      </x:c>
      <x:c r="L1931" s="22" t="n">
        <x:v>69.993</x:v>
      </x:c>
      <x:c r="M1931" t="n">
        <x:v>2017</x:v>
      </x:c>
      <x:c r="N1931" s="20" t="n">
        <x:v>42795</x:v>
      </x:c>
    </x:row>
    <x:row r="1932" ht="18" customHeight="1">
      <x:c r="A1932" t="str">
        <x:v>US-2016-139710</x:v>
      </x:c>
      <x:c r="B1932" s="18" t="n">
        <x:v>42530</x:v>
      </x:c>
      <x:c r="C1932" t="str">
        <x:v>GM-14680</x:v>
      </x:c>
      <x:c r="D1932" t="str">
        <x:v>Greg Matthias</x:v>
      </x:c>
      <x:c r="E1932" t="str">
        <x:v>Consumer</x:v>
      </x:c>
      <x:c r="F1932" t="str">
        <x:v>West</x:v>
      </x:c>
      <x:c r="G1932" t="str">
        <x:v>Technology</x:v>
      </x:c>
      <x:c r="H1932" t="str">
        <x:v>Phones</x:v>
      </x:c>
      <x:c r="I1932" s="22" t="n">
        <x:v>177.48000000000002</x:v>
      </x:c>
      <x:c r="J1932" s="24" t="n">
        <x:v>3</x:v>
      </x:c>
      <x:c r="K1932" s="26" t="n">
        <x:v>0.2</x:v>
      </x:c>
      <x:c r="L1932" s="22" t="n">
        <x:v>19.966499999999982</x:v>
      </x:c>
      <x:c r="M1932" t="n">
        <x:v>2016</x:v>
      </x:c>
      <x:c r="N1932" s="20" t="n">
        <x:v>42522</x:v>
      </x:c>
    </x:row>
    <x:row r="1933" ht="18" customHeight="1">
      <x:c r="A1933" t="str">
        <x:v>CA-2017-121538</x:v>
      </x:c>
      <x:c r="B1933" s="18" t="n">
        <x:v>43067</x:v>
      </x:c>
      <x:c r="C1933" t="str">
        <x:v>RH-19495</x:v>
      </x:c>
      <x:c r="D1933" t="str">
        <x:v>Rick Hansen</x:v>
      </x:c>
      <x:c r="E1933" t="str">
        <x:v>Consumer</x:v>
      </x:c>
      <x:c r="F1933" t="str">
        <x:v>West</x:v>
      </x:c>
      <x:c r="G1933" t="str">
        <x:v>Office Supplies</x:v>
      </x:c>
      <x:c r="H1933" t="str">
        <x:v>Paper</x:v>
      </x:c>
      <x:c r="I1933" s="22" t="n">
        <x:v>88.768</x:v>
      </x:c>
      <x:c r="J1933" s="24" t="n">
        <x:v>2</x:v>
      </x:c>
      <x:c r="K1933" s="26" t="n">
        <x:v>0.2</x:v>
      </x:c>
      <x:c r="L1933" s="22" t="n">
        <x:v>31.068799999999996</x:v>
      </x:c>
      <x:c r="M1933" t="n">
        <x:v>2017</x:v>
      </x:c>
      <x:c r="N1933" s="20" t="n">
        <x:v>43040</x:v>
      </x:c>
    </x:row>
    <x:row r="1934" ht="18" customHeight="1">
      <x:c r="A1934" t="str">
        <x:v>US-2017-101539</x:v>
      </x:c>
      <x:c r="B1934" s="18" t="n">
        <x:v>42810</x:v>
      </x:c>
      <x:c r="C1934" t="str">
        <x:v>VM-21685</x:v>
      </x:c>
      <x:c r="D1934" t="str">
        <x:v>Valerie Mitchum</x:v>
      </x:c>
      <x:c r="E1934" t="str">
        <x:v>Home Office</x:v>
      </x:c>
      <x:c r="F1934" t="str">
        <x:v>West</x:v>
      </x:c>
      <x:c r="G1934" t="str">
        <x:v>Office Supplies</x:v>
      </x:c>
      <x:c r="H1934" t="str">
        <x:v>Paper</x:v>
      </x:c>
      <x:c r="I1934" s="22" t="n">
        <x:v>6.48</x:v>
      </x:c>
      <x:c r="J1934" s="24" t="n">
        <x:v>1</x:v>
      </x:c>
      <x:c r="K1934" s="26" t="n">
        <x:v>0</x:v>
      </x:c>
      <x:c r="L1934" s="22" t="n">
        <x:v>3.1104000000000003</x:v>
      </x:c>
      <x:c r="M1934" t="n">
        <x:v>2017</x:v>
      </x:c>
      <x:c r="N1934" s="20" t="n">
        <x:v>42795</x:v>
      </x:c>
    </x:row>
    <x:row r="1935" ht="18" customHeight="1">
      <x:c r="A1935" t="str">
        <x:v>US-2017-101539</x:v>
      </x:c>
      <x:c r="B1935" s="18" t="n">
        <x:v>42810</x:v>
      </x:c>
      <x:c r="C1935" t="str">
        <x:v>VM-21685</x:v>
      </x:c>
      <x:c r="D1935" t="str">
        <x:v>Valerie Mitchum</x:v>
      </x:c>
      <x:c r="E1935" t="str">
        <x:v>Home Office</x:v>
      </x:c>
      <x:c r="F1935" t="str">
        <x:v>West</x:v>
      </x:c>
      <x:c r="G1935" t="str">
        <x:v>Office Supplies</x:v>
      </x:c>
      <x:c r="H1935" t="str">
        <x:v>Storage</x:v>
      </x:c>
      <x:c r="I1935" s="22" t="n">
        <x:v>46.51</x:v>
      </x:c>
      <x:c r="J1935" s="24" t="n">
        <x:v>1</x:v>
      </x:c>
      <x:c r="K1935" s="26" t="n">
        <x:v>0</x:v>
      </x:c>
      <x:c r="L1935" s="22" t="n">
        <x:v>1.8603999999999985</x:v>
      </x:c>
      <x:c r="M1935" t="n">
        <x:v>2017</x:v>
      </x:c>
      <x:c r="N1935" s="20" t="n">
        <x:v>42795</x:v>
      </x:c>
    </x:row>
    <x:row r="1936" ht="18" customHeight="1">
      <x:c r="A1936" t="str">
        <x:v>US-2017-101539</x:v>
      </x:c>
      <x:c r="B1936" s="18" t="n">
        <x:v>42810</x:v>
      </x:c>
      <x:c r="C1936" t="str">
        <x:v>VM-21685</x:v>
      </x:c>
      <x:c r="D1936" t="str">
        <x:v>Valerie Mitchum</x:v>
      </x:c>
      <x:c r="E1936" t="str">
        <x:v>Home Office</x:v>
      </x:c>
      <x:c r="F1936" t="str">
        <x:v>West</x:v>
      </x:c>
      <x:c r="G1936" t="str">
        <x:v>Technology</x:v>
      </x:c>
      <x:c r="H1936" t="str">
        <x:v>Phones</x:v>
      </x:c>
      <x:c r="I1936" s="22" t="n">
        <x:v>659.9760000000001</x:v>
      </x:c>
      <x:c r="J1936" s="24" t="n">
        <x:v>3</x:v>
      </x:c>
      <x:c r="K1936" s="26" t="n">
        <x:v>0.2</x:v>
      </x:c>
      <x:c r="L1936" s="22" t="n">
        <x:v>49.49819999999997</x:v>
      </x:c>
      <x:c r="M1936" t="n">
        <x:v>2017</x:v>
      </x:c>
      <x:c r="N1936" s="20" t="n">
        <x:v>42795</x:v>
      </x:c>
    </x:row>
    <x:row r="1937" ht="18" customHeight="1">
      <x:c r="A1937" t="str">
        <x:v>CA-2016-152121</x:v>
      </x:c>
      <x:c r="B1937" s="18" t="n">
        <x:v>42701</x:v>
      </x:c>
      <x:c r="C1937" t="str">
        <x:v>CC-12670</x:v>
      </x:c>
      <x:c r="D1937" t="str">
        <x:v>Craig Carreira</x:v>
      </x:c>
      <x:c r="E1937" t="str">
        <x:v>Consumer</x:v>
      </x:c>
      <x:c r="F1937" t="str">
        <x:v>West</x:v>
      </x:c>
      <x:c r="G1937" t="str">
        <x:v>Technology</x:v>
      </x:c>
      <x:c r="H1937" t="str">
        <x:v>Phones</x:v>
      </x:c>
      <x:c r="I1937" s="22" t="n">
        <x:v>271.992</x:v>
      </x:c>
      <x:c r="J1937" s="24" t="n">
        <x:v>1</x:v>
      </x:c>
      <x:c r="K1937" s="26" t="n">
        <x:v>0.2</x:v>
      </x:c>
      <x:c r="L1937" s="22" t="n">
        <x:v>23.799300000000002</x:v>
      </x:c>
      <x:c r="M1937" t="n">
        <x:v>2016</x:v>
      </x:c>
      <x:c r="N1937" s="20" t="n">
        <x:v>42675</x:v>
      </x:c>
    </x:row>
    <x:row r="1938" ht="18" customHeight="1">
      <x:c r="A1938" t="str">
        <x:v>CA-2017-161200</x:v>
      </x:c>
      <x:c r="B1938" s="18" t="n">
        <x:v>42953</x:v>
      </x:c>
      <x:c r="C1938" t="str">
        <x:v>SV-20365</x:v>
      </x:c>
      <x:c r="D1938" t="str">
        <x:v>Seth Vernon</x:v>
      </x:c>
      <x:c r="E1938" t="str">
        <x:v>Consumer</x:v>
      </x:c>
      <x:c r="F1938" t="str">
        <x:v>South</x:v>
      </x:c>
      <x:c r="G1938" t="str">
        <x:v>Furniture</x:v>
      </x:c>
      <x:c r="H1938" t="str">
        <x:v>Bookcases</x:v>
      </x:c>
      <x:c r="I1938" s="22" t="n">
        <x:v>145.74</x:v>
      </x:c>
      <x:c r="J1938" s="24" t="n">
        <x:v>3</x:v>
      </x:c>
      <x:c r="K1938" s="26" t="n">
        <x:v>0</x:v>
      </x:c>
      <x:c r="L1938" s="22" t="n">
        <x:v>23.31840000000001</x:v>
      </x:c>
      <x:c r="M1938" t="n">
        <x:v>2017</x:v>
      </x:c>
      <x:c r="N1938" s="20" t="n">
        <x:v>42948</x:v>
      </x:c>
    </x:row>
    <x:row r="1939" ht="18" customHeight="1">
      <x:c r="A1939" t="str">
        <x:v>CA-2017-161200</x:v>
      </x:c>
      <x:c r="B1939" s="18" t="n">
        <x:v>42953</x:v>
      </x:c>
      <x:c r="C1939" t="str">
        <x:v>SV-20365</x:v>
      </x:c>
      <x:c r="D1939" t="str">
        <x:v>Seth Vernon</x:v>
      </x:c>
      <x:c r="E1939" t="str">
        <x:v>Consumer</x:v>
      </x:c>
      <x:c r="F1939" t="str">
        <x:v>South</x:v>
      </x:c>
      <x:c r="G1939" t="str">
        <x:v>Furniture</x:v>
      </x:c>
      <x:c r="H1939" t="str">
        <x:v>Furnishings</x:v>
      </x:c>
      <x:c r="I1939" s="22" t="n">
        <x:v>15.4</x:v>
      </x:c>
      <x:c r="J1939" s="24" t="n">
        <x:v>5</x:v>
      </x:c>
      <x:c r="K1939" s="26" t="n">
        <x:v>0</x:v>
      </x:c>
      <x:c r="L1939" s="22" t="n">
        <x:v>7.3919999999999995</x:v>
      </x:c>
      <x:c r="M1939" t="n">
        <x:v>2017</x:v>
      </x:c>
      <x:c r="N1939" s="20" t="n">
        <x:v>42948</x:v>
      </x:c>
    </x:row>
    <x:row r="1940" ht="18" customHeight="1">
      <x:c r="A1940" t="str">
        <x:v>CA-2017-101245</x:v>
      </x:c>
      <x:c r="B1940" s="18" t="n">
        <x:v>43066</x:v>
      </x:c>
      <x:c r="C1940" t="str">
        <x:v>LW-16990</x:v>
      </x:c>
      <x:c r="D1940" t="str">
        <x:v>Lindsay Williams</x:v>
      </x:c>
      <x:c r="E1940" t="str">
        <x:v>Corporate</x:v>
      </x:c>
      <x:c r="F1940" t="str">
        <x:v>West</x:v>
      </x:c>
      <x:c r="G1940" t="str">
        <x:v>Office Supplies</x:v>
      </x:c>
      <x:c r="H1940" t="str">
        <x:v>Paper</x:v>
      </x:c>
      <x:c r="I1940" s="22" t="n">
        <x:v>244.54999999999998</x:v>
      </x:c>
      <x:c r="J1940" s="24" t="n">
        <x:v>5</x:v>
      </x:c>
      <x:c r="K1940" s="26" t="n">
        <x:v>0</x:v>
      </x:c>
      <x:c r="L1940" s="22" t="n">
        <x:v>114.93849999999998</x:v>
      </x:c>
      <x:c r="M1940" t="n">
        <x:v>2017</x:v>
      </x:c>
      <x:c r="N1940" s="20" t="n">
        <x:v>43040</x:v>
      </x:c>
    </x:row>
    <x:row r="1941" ht="18" customHeight="1">
      <x:c r="A1941" t="str">
        <x:v>CA-2017-101245</x:v>
      </x:c>
      <x:c r="B1941" s="18" t="n">
        <x:v>43066</x:v>
      </x:c>
      <x:c r="C1941" t="str">
        <x:v>LW-16990</x:v>
      </x:c>
      <x:c r="D1941" t="str">
        <x:v>Lindsay Williams</x:v>
      </x:c>
      <x:c r="E1941" t="str">
        <x:v>Corporate</x:v>
      </x:c>
      <x:c r="F1941" t="str">
        <x:v>West</x:v>
      </x:c>
      <x:c r="G1941" t="str">
        <x:v>Technology</x:v>
      </x:c>
      <x:c r="H1941" t="str">
        <x:v>Accessories</x:v>
      </x:c>
      <x:c r="I1941" s="22" t="n">
        <x:v>166.16</x:v>
      </x:c>
      <x:c r="J1941" s="24" t="n">
        <x:v>8</x:v>
      </x:c>
      <x:c r="K1941" s="26" t="n">
        <x:v>0</x:v>
      </x:c>
      <x:c r="L1941" s="22" t="n">
        <x:v>59.8176</x:v>
      </x:c>
      <x:c r="M1941" t="n">
        <x:v>2017</x:v>
      </x:c>
      <x:c r="N1941" s="20" t="n">
        <x:v>43040</x:v>
      </x:c>
    </x:row>
    <x:row r="1942" ht="18" customHeight="1">
      <x:c r="A1942" t="str">
        <x:v>CA-2015-141768</x:v>
      </x:c>
      <x:c r="B1942" s="18" t="n">
        <x:v>42149</x:v>
      </x:c>
      <x:c r="C1942" t="str">
        <x:v>NP-18685</x:v>
      </x:c>
      <x:c r="D1942" t="str">
        <x:v>Nora Pelletier</x:v>
      </x:c>
      <x:c r="E1942" t="str">
        <x:v>Home Office</x:v>
      </x:c>
      <x:c r="F1942" t="str">
        <x:v>West</x:v>
      </x:c>
      <x:c r="G1942" t="str">
        <x:v>Furniture</x:v>
      </x:c>
      <x:c r="H1942" t="str">
        <x:v>Furnishings</x:v>
      </x:c>
      <x:c r="I1942" s="22" t="n">
        <x:v>14.73</x:v>
      </x:c>
      <x:c r="J1942" s="24" t="n">
        <x:v>3</x:v>
      </x:c>
      <x:c r="K1942" s="26" t="n">
        <x:v>0</x:v>
      </x:c>
      <x:c r="L1942" s="22" t="n">
        <x:v>4.860899999999999</x:v>
      </x:c>
      <x:c r="M1942" t="n">
        <x:v>2015</x:v>
      </x:c>
      <x:c r="N1942" s="20" t="n">
        <x:v>42125</x:v>
      </x:c>
    </x:row>
    <x:row r="1943" ht="18" customHeight="1">
      <x:c r="A1943" t="str">
        <x:v>CA-2016-112109</x:v>
      </x:c>
      <x:c r="B1943" s="18" t="n">
        <x:v>42559</x:v>
      </x:c>
      <x:c r="C1943" t="str">
        <x:v>JE-15715</x:v>
      </x:c>
      <x:c r="D1943" t="str">
        <x:v>Joe Elijah</x:v>
      </x:c>
      <x:c r="E1943" t="str">
        <x:v>Consumer</x:v>
      </x:c>
      <x:c r="F1943" t="str">
        <x:v>West</x:v>
      </x:c>
      <x:c r="G1943" t="str">
        <x:v>Office Supplies</x:v>
      </x:c>
      <x:c r="H1943" t="str">
        <x:v>Binders</x:v>
      </x:c>
      <x:c r="I1943" s="22" t="n">
        <x:v>19.968000000000004</x:v>
      </x:c>
      <x:c r="J1943" s="24" t="n">
        <x:v>2</x:v>
      </x:c>
      <x:c r="K1943" s="26" t="n">
        <x:v>0.7</x:v>
      </x:c>
      <x:c r="L1943" s="22" t="n">
        <x:v>-13.311999999999998</x:v>
      </x:c>
      <x:c r="M1943" t="n">
        <x:v>2016</x:v>
      </x:c>
      <x:c r="N1943" s="20" t="n">
        <x:v>42552</x:v>
      </x:c>
    </x:row>
    <x:row r="1944" ht="18" customHeight="1">
      <x:c r="A1944" t="str">
        <x:v>CA-2016-112109</x:v>
      </x:c>
      <x:c r="B1944" s="18" t="n">
        <x:v>42559</x:v>
      </x:c>
      <x:c r="C1944" t="str">
        <x:v>JE-15715</x:v>
      </x:c>
      <x:c r="D1944" t="str">
        <x:v>Joe Elijah</x:v>
      </x:c>
      <x:c r="E1944" t="str">
        <x:v>Consumer</x:v>
      </x:c>
      <x:c r="F1944" t="str">
        <x:v>West</x:v>
      </x:c>
      <x:c r="G1944" t="str">
        <x:v>Office Supplies</x:v>
      </x:c>
      <x:c r="H1944" t="str">
        <x:v>Storage</x:v>
      </x:c>
      <x:c r="I1944" s="22" t="n">
        <x:v>33.48800000000001</x:v>
      </x:c>
      <x:c r="J1944" s="24" t="n">
        <x:v>7</x:v>
      </x:c>
      <x:c r="K1944" s="26" t="n">
        <x:v>0.2</x:v>
      </x:c>
      <x:c r="L1944" s="22" t="n">
        <x:v>-1.2558000000000051</x:v>
      </x:c>
      <x:c r="M1944" t="n">
        <x:v>2016</x:v>
      </x:c>
      <x:c r="N1944" s="20" t="n">
        <x:v>42552</x:v>
      </x:c>
    </x:row>
    <x:row r="1945" ht="18" customHeight="1">
      <x:c r="A1945" t="str">
        <x:v>CA-2016-112109</x:v>
      </x:c>
      <x:c r="B1945" s="18" t="n">
        <x:v>42559</x:v>
      </x:c>
      <x:c r="C1945" t="str">
        <x:v>JE-15715</x:v>
      </x:c>
      <x:c r="D1945" t="str">
        <x:v>Joe Elijah</x:v>
      </x:c>
      <x:c r="E1945" t="str">
        <x:v>Consumer</x:v>
      </x:c>
      <x:c r="F1945" t="str">
        <x:v>West</x:v>
      </x:c>
      <x:c r="G1945" t="str">
        <x:v>Office Supplies</x:v>
      </x:c>
      <x:c r="H1945" t="str">
        <x:v>Binders</x:v>
      </x:c>
      <x:c r="I1945" s="22" t="n">
        <x:v>8.736000000000002</x:v>
      </x:c>
      <x:c r="J1945" s="24" t="n">
        <x:v>4</x:v>
      </x:c>
      <x:c r="K1945" s="26" t="n">
        <x:v>0.7</x:v>
      </x:c>
      <x:c r="L1945" s="22" t="n">
        <x:v>-6.1152</x:v>
      </x:c>
      <x:c r="M1945" t="n">
        <x:v>2016</x:v>
      </x:c>
      <x:c r="N1945" s="20" t="n">
        <x:v>42552</x:v>
      </x:c>
    </x:row>
    <x:row r="1946" ht="18" customHeight="1">
      <x:c r="A1946" t="str">
        <x:v>CA-2016-112109</x:v>
      </x:c>
      <x:c r="B1946" s="18" t="n">
        <x:v>42559</x:v>
      </x:c>
      <x:c r="C1946" t="str">
        <x:v>JE-15715</x:v>
      </x:c>
      <x:c r="D1946" t="str">
        <x:v>Joe Elijah</x:v>
      </x:c>
      <x:c r="E1946" t="str">
        <x:v>Consumer</x:v>
      </x:c>
      <x:c r="F1946" t="str">
        <x:v>West</x:v>
      </x:c>
      <x:c r="G1946" t="str">
        <x:v>Furniture</x:v>
      </x:c>
      <x:c r="H1946" t="str">
        <x:v>Chairs</x:v>
      </x:c>
      <x:c r="I1946" s="22" t="n">
        <x:v>662.88</x:v>
      </x:c>
      <x:c r="J1946" s="24" t="n">
        <x:v>3</x:v>
      </x:c>
      <x:c r="K1946" s="26" t="n">
        <x:v>0.2</x:v>
      </x:c>
      <x:c r="L1946" s="22" t="n">
        <x:v>74.57399999999996</x:v>
      </x:c>
      <x:c r="M1946" t="n">
        <x:v>2016</x:v>
      </x:c>
      <x:c r="N1946" s="20" t="n">
        <x:v>42552</x:v>
      </x:c>
    </x:row>
    <x:row r="1947" ht="18" customHeight="1">
      <x:c r="A1947" t="str">
        <x:v>CA-2017-144064</x:v>
      </x:c>
      <x:c r="B1947" s="18" t="n">
        <x:v>42976</x:v>
      </x:c>
      <x:c r="C1947" t="str">
        <x:v>CP-12085</x:v>
      </x:c>
      <x:c r="D1947" t="str">
        <x:v>Cathy Prescott</x:v>
      </x:c>
      <x:c r="E1947" t="str">
        <x:v>Corporate</x:v>
      </x:c>
      <x:c r="F1947" t="str">
        <x:v>Central</x:v>
      </x:c>
      <x:c r="G1947" t="str">
        <x:v>Office Supplies</x:v>
      </x:c>
      <x:c r="H1947" t="str">
        <x:v>Labels</x:v>
      </x:c>
      <x:c r="I1947" s="22" t="n">
        <x:v>47.36000000000001</x:v>
      </x:c>
      <x:c r="J1947" s="24" t="n">
        <x:v>4</x:v>
      </x:c>
      <x:c r="K1947" s="26" t="n">
        <x:v>0.2</x:v>
      </x:c>
      <x:c r="L1947" s="22" t="n">
        <x:v>17.759999999999998</x:v>
      </x:c>
      <x:c r="M1947" t="n">
        <x:v>2017</x:v>
      </x:c>
      <x:c r="N1947" s="20" t="n">
        <x:v>42948</x:v>
      </x:c>
    </x:row>
    <x:row r="1948" ht="18" customHeight="1">
      <x:c r="A1948" t="str">
        <x:v>CA-2017-144064</x:v>
      </x:c>
      <x:c r="B1948" s="18" t="n">
        <x:v>42976</x:v>
      </x:c>
      <x:c r="C1948" t="str">
        <x:v>CP-12085</x:v>
      </x:c>
      <x:c r="D1948" t="str">
        <x:v>Cathy Prescott</x:v>
      </x:c>
      <x:c r="E1948" t="str">
        <x:v>Corporate</x:v>
      </x:c>
      <x:c r="F1948" t="str">
        <x:v>Central</x:v>
      </x:c>
      <x:c r="G1948" t="str">
        <x:v>Office Supplies</x:v>
      </x:c>
      <x:c r="H1948" t="str">
        <x:v>Storage</x:v>
      </x:c>
      <x:c r="I1948" s="22" t="n">
        <x:v>27.439999999999998</x:v>
      </x:c>
      <x:c r="J1948" s="24" t="n">
        <x:v>2</x:v>
      </x:c>
      <x:c r="K1948" s="26" t="n">
        <x:v>0.2</x:v>
      </x:c>
      <x:c r="L1948" s="22" t="n">
        <x:v>2.401</x:v>
      </x:c>
      <x:c r="M1948" t="n">
        <x:v>2017</x:v>
      </x:c>
      <x:c r="N1948" s="20" t="n">
        <x:v>42948</x:v>
      </x:c>
    </x:row>
    <x:row r="1949" ht="18" customHeight="1">
      <x:c r="A1949" t="str">
        <x:v>CA-2017-144064</x:v>
      </x:c>
      <x:c r="B1949" s="18" t="n">
        <x:v>42976</x:v>
      </x:c>
      <x:c r="C1949" t="str">
        <x:v>CP-12085</x:v>
      </x:c>
      <x:c r="D1949" t="str">
        <x:v>Cathy Prescott</x:v>
      </x:c>
      <x:c r="E1949" t="str">
        <x:v>Corporate</x:v>
      </x:c>
      <x:c r="F1949" t="str">
        <x:v>Central</x:v>
      </x:c>
      <x:c r="G1949" t="str">
        <x:v>Office Supplies</x:v>
      </x:c>
      <x:c r="H1949" t="str">
        <x:v>Binders</x:v>
      </x:c>
      <x:c r="I1949" s="22" t="n">
        <x:v>3.2399999999999993</x:v>
      </x:c>
      <x:c r="J1949" s="24" t="n">
        <x:v>9</x:v>
      </x:c>
      <x:c r="K1949" s="26" t="n">
        <x:v>0.8</x:v>
      </x:c>
      <x:c r="L1949" s="22" t="n">
        <x:v>-5.184000000000001</x:v>
      </x:c>
      <x:c r="M1949" t="n">
        <x:v>2017</x:v>
      </x:c>
      <x:c r="N1949" s="20" t="n">
        <x:v>42948</x:v>
      </x:c>
    </x:row>
    <x:row r="1950" ht="18" customHeight="1">
      <x:c r="A1950" t="str">
        <x:v>CA-2016-108581</x:v>
      </x:c>
      <x:c r="B1950" s="18" t="n">
        <x:v>42541</x:v>
      </x:c>
      <x:c r="C1950" t="str">
        <x:v>EA-14035</x:v>
      </x:c>
      <x:c r="D1950" t="str">
        <x:v>Erin Ashbrook</x:v>
      </x:c>
      <x:c r="E1950" t="str">
        <x:v>Corporate</x:v>
      </x:c>
      <x:c r="F1950" t="str">
        <x:v>Central</x:v>
      </x:c>
      <x:c r="G1950" t="str">
        <x:v>Technology</x:v>
      </x:c>
      <x:c r="H1950" t="str">
        <x:v>Accessories</x:v>
      </x:c>
      <x:c r="I1950" s="22" t="n">
        <x:v>95.968</x:v>
      </x:c>
      <x:c r="J1950" s="24" t="n">
        <x:v>4</x:v>
      </x:c>
      <x:c r="K1950" s="26" t="n">
        <x:v>0.2</x:v>
      </x:c>
      <x:c r="L1950" s="22" t="n">
        <x:v>26.3912</x:v>
      </x:c>
      <x:c r="M1950" t="n">
        <x:v>2016</x:v>
      </x:c>
      <x:c r="N1950" s="20" t="n">
        <x:v>42522</x:v>
      </x:c>
    </x:row>
    <x:row r="1951" ht="18" customHeight="1">
      <x:c r="A1951" t="str">
        <x:v>CA-2016-108581</x:v>
      </x:c>
      <x:c r="B1951" s="18" t="n">
        <x:v>42541</x:v>
      </x:c>
      <x:c r="C1951" t="str">
        <x:v>EA-14035</x:v>
      </x:c>
      <x:c r="D1951" t="str">
        <x:v>Erin Ashbrook</x:v>
      </x:c>
      <x:c r="E1951" t="str">
        <x:v>Corporate</x:v>
      </x:c>
      <x:c r="F1951" t="str">
        <x:v>Central</x:v>
      </x:c>
      <x:c r="G1951" t="str">
        <x:v>Office Supplies</x:v>
      </x:c>
      <x:c r="H1951" t="str">
        <x:v>Paper</x:v>
      </x:c>
      <x:c r="I1951" s="22" t="n">
        <x:v>10.368000000000002</x:v>
      </x:c>
      <x:c r="J1951" s="24" t="n">
        <x:v>2</x:v>
      </x:c>
      <x:c r="K1951" s="26" t="n">
        <x:v>0.2</x:v>
      </x:c>
      <x:c r="L1951" s="22" t="n">
        <x:v>3.6288</x:v>
      </x:c>
      <x:c r="M1951" t="n">
        <x:v>2016</x:v>
      </x:c>
      <x:c r="N1951" s="20" t="n">
        <x:v>42522</x:v>
      </x:c>
    </x:row>
    <x:row r="1952" ht="18" customHeight="1">
      <x:c r="A1952" t="str">
        <x:v>CA-2017-157987</x:v>
      </x:c>
      <x:c r="B1952" s="18" t="n">
        <x:v>42980</x:v>
      </x:c>
      <x:c r="C1952" t="str">
        <x:v>AC-10615</x:v>
      </x:c>
      <x:c r="D1952" t="str">
        <x:v>Ann Chong</x:v>
      </x:c>
      <x:c r="E1952" t="str">
        <x:v>Corporate</x:v>
      </x:c>
      <x:c r="F1952" t="str">
        <x:v>East</x:v>
      </x:c>
      <x:c r="G1952" t="str">
        <x:v>Office Supplies</x:v>
      </x:c>
      <x:c r="H1952" t="str">
        <x:v>Art</x:v>
      </x:c>
      <x:c r="I1952" s="22" t="n">
        <x:v>23.1</x:v>
      </x:c>
      <x:c r="J1952" s="24" t="n">
        <x:v>2</x:v>
      </x:c>
      <x:c r="K1952" s="26" t="n">
        <x:v>0</x:v>
      </x:c>
      <x:c r="L1952" s="22" t="n">
        <x:v>6.468</x:v>
      </x:c>
      <x:c r="M1952" t="n">
        <x:v>2017</x:v>
      </x:c>
      <x:c r="N1952" s="20" t="n">
        <x:v>42979</x:v>
      </x:c>
    </x:row>
    <x:row r="1953" ht="18" customHeight="1">
      <x:c r="A1953" t="str">
        <x:v>CA-2017-157987</x:v>
      </x:c>
      <x:c r="B1953" s="18" t="n">
        <x:v>42980</x:v>
      </x:c>
      <x:c r="C1953" t="str">
        <x:v>AC-10615</x:v>
      </x:c>
      <x:c r="D1953" t="str">
        <x:v>Ann Chong</x:v>
      </x:c>
      <x:c r="E1953" t="str">
        <x:v>Corporate</x:v>
      </x:c>
      <x:c r="F1953" t="str">
        <x:v>East</x:v>
      </x:c>
      <x:c r="G1953" t="str">
        <x:v>Furniture</x:v>
      </x:c>
      <x:c r="H1953" t="str">
        <x:v>Furnishings</x:v>
      </x:c>
      <x:c r="I1953" s="22" t="n">
        <x:v>11.54</x:v>
      </x:c>
      <x:c r="J1953" s="24" t="n">
        <x:v>2</x:v>
      </x:c>
      <x:c r="K1953" s="26" t="n">
        <x:v>0</x:v>
      </x:c>
      <x:c r="L1953" s="22" t="n">
        <x:v>3.4619999999999997</x:v>
      </x:c>
      <x:c r="M1953" t="n">
        <x:v>2017</x:v>
      </x:c>
      <x:c r="N1953" s="20" t="n">
        <x:v>42979</x:v>
      </x:c>
    </x:row>
    <x:row r="1954" ht="18" customHeight="1">
      <x:c r="A1954" t="str">
        <x:v>CA-2017-157987</x:v>
      </x:c>
      <x:c r="B1954" s="18" t="n">
        <x:v>42980</x:v>
      </x:c>
      <x:c r="C1954" t="str">
        <x:v>AC-10615</x:v>
      </x:c>
      <x:c r="D1954" t="str">
        <x:v>Ann Chong</x:v>
      </x:c>
      <x:c r="E1954" t="str">
        <x:v>Corporate</x:v>
      </x:c>
      <x:c r="F1954" t="str">
        <x:v>East</x:v>
      </x:c>
      <x:c r="G1954" t="str">
        <x:v>Furniture</x:v>
      </x:c>
      <x:c r="H1954" t="str">
        <x:v>Tables</x:v>
      </x:c>
      <x:c r="I1954" s="22" t="n">
        <x:v>254.52599999999998</x:v>
      </x:c>
      <x:c r="J1954" s="24" t="n">
        <x:v>1</x:v>
      </x:c>
      <x:c r="K1954" s="26" t="n">
        <x:v>0.4</x:v>
      </x:c>
      <x:c r="L1954" s="22" t="n">
        <x:v>-93.3262</x:v>
      </x:c>
      <x:c r="M1954" t="n">
        <x:v>2017</x:v>
      </x:c>
      <x:c r="N1954" s="20" t="n">
        <x:v>42979</x:v>
      </x:c>
    </x:row>
    <x:row r="1955" ht="18" customHeight="1">
      <x:c r="A1955" t="str">
        <x:v>CA-2017-157987</x:v>
      </x:c>
      <x:c r="B1955" s="18" t="n">
        <x:v>42980</x:v>
      </x:c>
      <x:c r="C1955" t="str">
        <x:v>AC-10615</x:v>
      </x:c>
      <x:c r="D1955" t="str">
        <x:v>Ann Chong</x:v>
      </x:c>
      <x:c r="E1955" t="str">
        <x:v>Corporate</x:v>
      </x:c>
      <x:c r="F1955" t="str">
        <x:v>East</x:v>
      </x:c>
      <x:c r="G1955" t="str">
        <x:v>Office Supplies</x:v>
      </x:c>
      <x:c r="H1955" t="str">
        <x:v>Appliances</x:v>
      </x:c>
      <x:c r="I1955" s="22" t="n">
        <x:v>12.98</x:v>
      </x:c>
      <x:c r="J1955" s="24" t="n">
        <x:v>1</x:v>
      </x:c>
      <x:c r="K1955" s="26" t="n">
        <x:v>0</x:v>
      </x:c>
      <x:c r="L1955" s="22" t="n">
        <x:v>3.764199999999999</x:v>
      </x:c>
      <x:c r="M1955" t="n">
        <x:v>2017</x:v>
      </x:c>
      <x:c r="N1955" s="20" t="n">
        <x:v>42979</x:v>
      </x:c>
    </x:row>
    <x:row r="1956" ht="18" customHeight="1">
      <x:c r="A1956" t="str">
        <x:v>CA-2017-157987</x:v>
      </x:c>
      <x:c r="B1956" s="18" t="n">
        <x:v>42980</x:v>
      </x:c>
      <x:c r="C1956" t="str">
        <x:v>AC-10615</x:v>
      </x:c>
      <x:c r="D1956" t="str">
        <x:v>Ann Chong</x:v>
      </x:c>
      <x:c r="E1956" t="str">
        <x:v>Corporate</x:v>
      </x:c>
      <x:c r="F1956" t="str">
        <x:v>East</x:v>
      </x:c>
      <x:c r="G1956" t="str">
        <x:v>Office Supplies</x:v>
      </x:c>
      <x:c r="H1956" t="str">
        <x:v>Binders</x:v>
      </x:c>
      <x:c r="I1956" s="22" t="n">
        <x:v>26.432000000000002</x:v>
      </x:c>
      <x:c r="J1956" s="24" t="n">
        <x:v>8</x:v>
      </x:c>
      <x:c r="K1956" s="26" t="n">
        <x:v>0.2</x:v>
      </x:c>
      <x:c r="L1956" s="22" t="n">
        <x:v>8.9208</x:v>
      </x:c>
      <x:c r="M1956" t="n">
        <x:v>2017</x:v>
      </x:c>
      <x:c r="N1956" s="20" t="n">
        <x:v>42979</x:v>
      </x:c>
    </x:row>
    <x:row r="1957" ht="18" customHeight="1">
      <x:c r="A1957" t="str">
        <x:v>CA-2017-157987</x:v>
      </x:c>
      <x:c r="B1957" s="18" t="n">
        <x:v>42980</x:v>
      </x:c>
      <x:c r="C1957" t="str">
        <x:v>AC-10615</x:v>
      </x:c>
      <x:c r="D1957" t="str">
        <x:v>Ann Chong</x:v>
      </x:c>
      <x:c r="E1957" t="str">
        <x:v>Corporate</x:v>
      </x:c>
      <x:c r="F1957" t="str">
        <x:v>East</x:v>
      </x:c>
      <x:c r="G1957" t="str">
        <x:v>Technology</x:v>
      </x:c>
      <x:c r="H1957" t="str">
        <x:v>Phones</x:v>
      </x:c>
      <x:c r="I1957" s="22" t="n">
        <x:v>197.96999999999997</x:v>
      </x:c>
      <x:c r="J1957" s="24" t="n">
        <x:v>3</x:v>
      </x:c>
      <x:c r="K1957" s="26" t="n">
        <x:v>0</x:v>
      </x:c>
      <x:c r="L1957" s="22" t="n">
        <x:v>57.41129999999999</x:v>
      </x:c>
      <x:c r="M1957" t="n">
        <x:v>2017</x:v>
      </x:c>
      <x:c r="N1957" s="20" t="n">
        <x:v>42979</x:v>
      </x:c>
    </x:row>
    <x:row r="1958" ht="18" customHeight="1">
      <x:c r="A1958" t="str">
        <x:v>CA-2017-157987</x:v>
      </x:c>
      <x:c r="B1958" s="18" t="n">
        <x:v>42980</x:v>
      </x:c>
      <x:c r="C1958" t="str">
        <x:v>AC-10615</x:v>
      </x:c>
      <x:c r="D1958" t="str">
        <x:v>Ann Chong</x:v>
      </x:c>
      <x:c r="E1958" t="str">
        <x:v>Corporate</x:v>
      </x:c>
      <x:c r="F1958" t="str">
        <x:v>East</x:v>
      </x:c>
      <x:c r="G1958" t="str">
        <x:v>Office Supplies</x:v>
      </x:c>
      <x:c r="H1958" t="str">
        <x:v>Labels</x:v>
      </x:c>
      <x:c r="I1958" s="22" t="n">
        <x:v>18.9</x:v>
      </x:c>
      <x:c r="J1958" s="24" t="n">
        <x:v>6</x:v>
      </x:c>
      <x:c r="K1958" s="26" t="n">
        <x:v>0</x:v>
      </x:c>
      <x:c r="L1958" s="22" t="n">
        <x:v>9.072</x:v>
      </x:c>
      <x:c r="M1958" t="n">
        <x:v>2017</x:v>
      </x:c>
      <x:c r="N1958" s="20" t="n">
        <x:v>42979</x:v>
      </x:c>
    </x:row>
    <x:row r="1959" ht="18" customHeight="1">
      <x:c r="A1959" t="str">
        <x:v>CA-2017-157987</x:v>
      </x:c>
      <x:c r="B1959" s="18" t="n">
        <x:v>42980</x:v>
      </x:c>
      <x:c r="C1959" t="str">
        <x:v>AC-10615</x:v>
      </x:c>
      <x:c r="D1959" t="str">
        <x:v>Ann Chong</x:v>
      </x:c>
      <x:c r="E1959" t="str">
        <x:v>Corporate</x:v>
      </x:c>
      <x:c r="F1959" t="str">
        <x:v>East</x:v>
      </x:c>
      <x:c r="G1959" t="str">
        <x:v>Furniture</x:v>
      </x:c>
      <x:c r="H1959" t="str">
        <x:v>Chairs</x:v>
      </x:c>
      <x:c r="I1959" s="22" t="n">
        <x:v>1282.41</x:v>
      </x:c>
      <x:c r="J1959" s="24" t="n">
        <x:v>5</x:v>
      </x:c>
      <x:c r="K1959" s="26" t="n">
        <x:v>0.1</x:v>
      </x:c>
      <x:c r="L1959" s="22" t="n">
        <x:v>213.735</x:v>
      </x:c>
      <x:c r="M1959" t="n">
        <x:v>2017</x:v>
      </x:c>
      <x:c r="N1959" s="20" t="n">
        <x:v>42979</x:v>
      </x:c>
    </x:row>
    <x:row r="1960" ht="18" customHeight="1">
      <x:c r="A1960" t="str">
        <x:v>CA-2017-157987</x:v>
      </x:c>
      <x:c r="B1960" s="18" t="n">
        <x:v>42980</x:v>
      </x:c>
      <x:c r="C1960" t="str">
        <x:v>AC-10615</x:v>
      </x:c>
      <x:c r="D1960" t="str">
        <x:v>Ann Chong</x:v>
      </x:c>
      <x:c r="E1960" t="str">
        <x:v>Corporate</x:v>
      </x:c>
      <x:c r="F1960" t="str">
        <x:v>East</x:v>
      </x:c>
      <x:c r="G1960" t="str">
        <x:v>Office Supplies</x:v>
      </x:c>
      <x:c r="H1960" t="str">
        <x:v>Art</x:v>
      </x:c>
      <x:c r="I1960" s="22" t="n">
        <x:v>4.92</x:v>
      </x:c>
      <x:c r="J1960" s="24" t="n">
        <x:v>3</x:v>
      </x:c>
      <x:c r="K1960" s="26" t="n">
        <x:v>0</x:v>
      </x:c>
      <x:c r="L1960" s="22" t="n">
        <x:v>2.2139999999999995</x:v>
      </x:c>
      <x:c r="M1960" t="n">
        <x:v>2017</x:v>
      </x:c>
      <x:c r="N1960" s="20" t="n">
        <x:v>42979</x:v>
      </x:c>
    </x:row>
    <x:row r="1961" ht="18" customHeight="1">
      <x:c r="A1961" t="str">
        <x:v>CA-2017-157987</x:v>
      </x:c>
      <x:c r="B1961" s="18" t="n">
        <x:v>42980</x:v>
      </x:c>
      <x:c r="C1961" t="str">
        <x:v>AC-10615</x:v>
      </x:c>
      <x:c r="D1961" t="str">
        <x:v>Ann Chong</x:v>
      </x:c>
      <x:c r="E1961" t="str">
        <x:v>Corporate</x:v>
      </x:c>
      <x:c r="F1961" t="str">
        <x:v>East</x:v>
      </x:c>
      <x:c r="G1961" t="str">
        <x:v>Technology</x:v>
      </x:c>
      <x:c r="H1961" t="str">
        <x:v>Accessories</x:v>
      </x:c>
      <x:c r="I1961" s="22" t="n">
        <x:v>238</x:v>
      </x:c>
      <x:c r="J1961" s="24" t="n">
        <x:v>2</x:v>
      </x:c>
      <x:c r="K1961" s="26" t="n">
        <x:v>0</x:v>
      </x:c>
      <x:c r="L1961" s="22" t="n">
        <x:v>38.08000000000001</x:v>
      </x:c>
      <x:c r="M1961" t="n">
        <x:v>2017</x:v>
      </x:c>
      <x:c r="N1961" s="20" t="n">
        <x:v>42979</x:v>
      </x:c>
    </x:row>
    <x:row r="1962" ht="18" customHeight="1">
      <x:c r="A1962" t="str">
        <x:v>CA-2017-157987</x:v>
      </x:c>
      <x:c r="B1962" s="18" t="n">
        <x:v>42980</x:v>
      </x:c>
      <x:c r="C1962" t="str">
        <x:v>AC-10615</x:v>
      </x:c>
      <x:c r="D1962" t="str">
        <x:v>Ann Chong</x:v>
      </x:c>
      <x:c r="E1962" t="str">
        <x:v>Corporate</x:v>
      </x:c>
      <x:c r="F1962" t="str">
        <x:v>East</x:v>
      </x:c>
      <x:c r="G1962" t="str">
        <x:v>Technology</x:v>
      </x:c>
      <x:c r="H1962" t="str">
        <x:v>Accessories</x:v>
      </x:c>
      <x:c r="I1962" s="22" t="n">
        <x:v>167.97</x:v>
      </x:c>
      <x:c r="J1962" s="24" t="n">
        <x:v>3</x:v>
      </x:c>
      <x:c r="K1962" s="26" t="n">
        <x:v>0</x:v>
      </x:c>
      <x:c r="L1962" s="22" t="n">
        <x:v>40.31280000000001</x:v>
      </x:c>
      <x:c r="M1962" t="n">
        <x:v>2017</x:v>
      </x:c>
      <x:c r="N1962" s="20" t="n">
        <x:v>42979</x:v>
      </x:c>
    </x:row>
    <x:row r="1963" ht="18" customHeight="1">
      <x:c r="A1963" t="str">
        <x:v>CA-2017-157987</x:v>
      </x:c>
      <x:c r="B1963" s="18" t="n">
        <x:v>42980</x:v>
      </x:c>
      <x:c r="C1963" t="str">
        <x:v>AC-10615</x:v>
      </x:c>
      <x:c r="D1963" t="str">
        <x:v>Ann Chong</x:v>
      </x:c>
      <x:c r="E1963" t="str">
        <x:v>Corporate</x:v>
      </x:c>
      <x:c r="F1963" t="str">
        <x:v>East</x:v>
      </x:c>
      <x:c r="G1963" t="str">
        <x:v>Office Supplies</x:v>
      </x:c>
      <x:c r="H1963" t="str">
        <x:v>Paper</x:v>
      </x:c>
      <x:c r="I1963" s="22" t="n">
        <x:v>17.12</x:v>
      </x:c>
      <x:c r="J1963" s="24" t="n">
        <x:v>4</x:v>
      </x:c>
      <x:c r="K1963" s="26" t="n">
        <x:v>0</x:v>
      </x:c>
      <x:c r="L1963" s="22" t="n">
        <x:v>7.703999999999999</x:v>
      </x:c>
      <x:c r="M1963" t="n">
        <x:v>2017</x:v>
      </x:c>
      <x:c r="N1963" s="20" t="n">
        <x:v>42979</x:v>
      </x:c>
    </x:row>
    <x:row r="1964" ht="18" customHeight="1">
      <x:c r="A1964" t="str">
        <x:v>CA-2017-110905</x:v>
      </x:c>
      <x:c r="B1964" s="18" t="n">
        <x:v>42988</x:v>
      </x:c>
      <x:c r="C1964" t="str">
        <x:v>RW-19690</x:v>
      </x:c>
      <x:c r="D1964" t="str">
        <x:v>Robert Waldorf</x:v>
      </x:c>
      <x:c r="E1964" t="str">
        <x:v>Consumer</x:v>
      </x:c>
      <x:c r="F1964" t="str">
        <x:v>Central</x:v>
      </x:c>
      <x:c r="G1964" t="str">
        <x:v>Office Supplies</x:v>
      </x:c>
      <x:c r="H1964" t="str">
        <x:v>Binders</x:v>
      </x:c>
      <x:c r="I1964" s="22" t="n">
        <x:v>16.200000000000003</x:v>
      </x:c>
      <x:c r="J1964" s="24" t="n">
        <x:v>3</x:v>
      </x:c>
      <x:c r="K1964" s="26" t="n">
        <x:v>0</x:v>
      </x:c>
      <x:c r="L1964" s="22" t="n">
        <x:v>7.776</x:v>
      </x:c>
      <x:c r="M1964" t="n">
        <x:v>2017</x:v>
      </x:c>
      <x:c r="N1964" s="20" t="n">
        <x:v>42979</x:v>
      </x:c>
    </x:row>
    <x:row r="1965" ht="18" customHeight="1">
      <x:c r="A1965" t="str">
        <x:v>CA-2017-110905</x:v>
      </x:c>
      <x:c r="B1965" s="18" t="n">
        <x:v>42988</x:v>
      </x:c>
      <x:c r="C1965" t="str">
        <x:v>RW-19690</x:v>
      </x:c>
      <x:c r="D1965" t="str">
        <x:v>Robert Waldorf</x:v>
      </x:c>
      <x:c r="E1965" t="str">
        <x:v>Consumer</x:v>
      </x:c>
      <x:c r="F1965" t="str">
        <x:v>Central</x:v>
      </x:c>
      <x:c r="G1965" t="str">
        <x:v>Office Supplies</x:v>
      </x:c>
      <x:c r="H1965" t="str">
        <x:v>Appliances</x:v>
      </x:c>
      <x:c r="I1965" s="22" t="n">
        <x:v>33.99</x:v>
      </x:c>
      <x:c r="J1965" s="24" t="n">
        <x:v>3</x:v>
      </x:c>
      <x:c r="K1965" s="26" t="n">
        <x:v>0</x:v>
      </x:c>
      <x:c r="L1965" s="22" t="n">
        <x:v>14.615700000000004</x:v>
      </x:c>
      <x:c r="M1965" t="n">
        <x:v>2017</x:v>
      </x:c>
      <x:c r="N1965" s="20" t="n">
        <x:v>42979</x:v>
      </x:c>
    </x:row>
    <x:row r="1966" ht="18" customHeight="1">
      <x:c r="A1966" t="str">
        <x:v>CA-2017-110905</x:v>
      </x:c>
      <x:c r="B1966" s="18" t="n">
        <x:v>42988</x:v>
      </x:c>
      <x:c r="C1966" t="str">
        <x:v>RW-19690</x:v>
      </x:c>
      <x:c r="D1966" t="str">
        <x:v>Robert Waldorf</x:v>
      </x:c>
      <x:c r="E1966" t="str">
        <x:v>Consumer</x:v>
      </x:c>
      <x:c r="F1966" t="str">
        <x:v>Central</x:v>
      </x:c>
      <x:c r="G1966" t="str">
        <x:v>Technology</x:v>
      </x:c>
      <x:c r="H1966" t="str">
        <x:v>Accessories</x:v>
      </x:c>
      <x:c r="I1966" s="22" t="n">
        <x:v>296.84999999999997</x:v>
      </x:c>
      <x:c r="J1966" s="24" t="n">
        <x:v>5</x:v>
      </x:c>
      <x:c r="K1966" s="26" t="n">
        <x:v>0</x:v>
      </x:c>
      <x:c r="L1966" s="22" t="n">
        <x:v>53.43299999999999</x:v>
      </x:c>
      <x:c r="M1966" t="n">
        <x:v>2017</x:v>
      </x:c>
      <x:c r="N1966" s="20" t="n">
        <x:v>42979</x:v>
      </x:c>
    </x:row>
    <x:row r="1967" ht="18" customHeight="1">
      <x:c r="A1967" t="str">
        <x:v>CA-2017-110905</x:v>
      </x:c>
      <x:c r="B1967" s="18" t="n">
        <x:v>42988</x:v>
      </x:c>
      <x:c r="C1967" t="str">
        <x:v>RW-19690</x:v>
      </x:c>
      <x:c r="D1967" t="str">
        <x:v>Robert Waldorf</x:v>
      </x:c>
      <x:c r="E1967" t="str">
        <x:v>Consumer</x:v>
      </x:c>
      <x:c r="F1967" t="str">
        <x:v>Central</x:v>
      </x:c>
      <x:c r="G1967" t="str">
        <x:v>Technology</x:v>
      </x:c>
      <x:c r="H1967" t="str">
        <x:v>Accessories</x:v>
      </x:c>
      <x:c r="I1967" s="22" t="n">
        <x:v>112.80000000000001</x:v>
      </x:c>
      <x:c r="J1967" s="24" t="n">
        <x:v>6</x:v>
      </x:c>
      <x:c r="K1967" s="26" t="n">
        <x:v>0</x:v>
      </x:c>
      <x:c r="L1967" s="22" t="n">
        <x:v>6.768000000000001</x:v>
      </x:c>
      <x:c r="M1967" t="n">
        <x:v>2017</x:v>
      </x:c>
      <x:c r="N1967" s="20" t="n">
        <x:v>42979</x:v>
      </x:c>
    </x:row>
    <x:row r="1968" ht="18" customHeight="1">
      <x:c r="A1968" t="str">
        <x:v>CA-2017-110905</x:v>
      </x:c>
      <x:c r="B1968" s="18" t="n">
        <x:v>42988</x:v>
      </x:c>
      <x:c r="C1968" t="str">
        <x:v>RW-19690</x:v>
      </x:c>
      <x:c r="D1968" t="str">
        <x:v>Robert Waldorf</x:v>
      </x:c>
      <x:c r="E1968" t="str">
        <x:v>Consumer</x:v>
      </x:c>
      <x:c r="F1968" t="str">
        <x:v>Central</x:v>
      </x:c>
      <x:c r="G1968" t="str">
        <x:v>Office Supplies</x:v>
      </x:c>
      <x:c r="H1968" t="str">
        <x:v>Binders</x:v>
      </x:c>
      <x:c r="I1968" s="22" t="n">
        <x:v>13.71</x:v>
      </x:c>
      <x:c r="J1968" s="24" t="n">
        <x:v>3</x:v>
      </x:c>
      <x:c r="K1968" s="26" t="n">
        <x:v>0</x:v>
      </x:c>
      <x:c r="L1968" s="22" t="n">
        <x:v>6.5808</x:v>
      </x:c>
      <x:c r="M1968" t="n">
        <x:v>2017</x:v>
      </x:c>
      <x:c r="N1968" s="20" t="n">
        <x:v>42979</x:v>
      </x:c>
    </x:row>
    <x:row r="1969" ht="18" customHeight="1">
      <x:c r="A1969" t="str">
        <x:v>CA-2017-110905</x:v>
      </x:c>
      <x:c r="B1969" s="18" t="n">
        <x:v>42988</x:v>
      </x:c>
      <x:c r="C1969" t="str">
        <x:v>RW-19690</x:v>
      </x:c>
      <x:c r="D1969" t="str">
        <x:v>Robert Waldorf</x:v>
      </x:c>
      <x:c r="E1969" t="str">
        <x:v>Consumer</x:v>
      </x:c>
      <x:c r="F1969" t="str">
        <x:v>Central</x:v>
      </x:c>
      <x:c r="G1969" t="str">
        <x:v>Office Supplies</x:v>
      </x:c>
      <x:c r="H1969" t="str">
        <x:v>Paper</x:v>
      </x:c>
      <x:c r="I1969" s="22" t="n">
        <x:v>24.900000000000002</x:v>
      </x:c>
      <x:c r="J1969" s="24" t="n">
        <x:v>5</x:v>
      </x:c>
      <x:c r="K1969" s="26" t="n">
        <x:v>0</x:v>
      </x:c>
      <x:c r="L1969" s="22" t="n">
        <x:v>11.703000000000001</x:v>
      </x:c>
      <x:c r="M1969" t="n">
        <x:v>2017</x:v>
      </x:c>
      <x:c r="N1969" s="20" t="n">
        <x:v>42979</x:v>
      </x:c>
    </x:row>
    <x:row r="1970" ht="18" customHeight="1">
      <x:c r="A1970" t="str">
        <x:v>CA-2017-110905</x:v>
      </x:c>
      <x:c r="B1970" s="18" t="n">
        <x:v>42988</x:v>
      </x:c>
      <x:c r="C1970" t="str">
        <x:v>RW-19690</x:v>
      </x:c>
      <x:c r="D1970" t="str">
        <x:v>Robert Waldorf</x:v>
      </x:c>
      <x:c r="E1970" t="str">
        <x:v>Consumer</x:v>
      </x:c>
      <x:c r="F1970" t="str">
        <x:v>Central</x:v>
      </x:c>
      <x:c r="G1970" t="str">
        <x:v>Office Supplies</x:v>
      </x:c>
      <x:c r="H1970" t="str">
        <x:v>Storage</x:v>
      </x:c>
      <x:c r="I1970" s="22" t="n">
        <x:v>286.29</x:v>
      </x:c>
      <x:c r="J1970" s="24" t="n">
        <x:v>3</x:v>
      </x:c>
      <x:c r="K1970" s="26" t="n">
        <x:v>0</x:v>
      </x:c>
      <x:c r="L1970" s="22" t="n">
        <x:v>17.177399999999977</x:v>
      </x:c>
      <x:c r="M1970" t="n">
        <x:v>2017</x:v>
      </x:c>
      <x:c r="N1970" s="20" t="n">
        <x:v>42979</x:v>
      </x:c>
    </x:row>
    <x:row r="1971" ht="18" customHeight="1">
      <x:c r="A1971" t="str">
        <x:v>CA-2017-110905</x:v>
      </x:c>
      <x:c r="B1971" s="18" t="n">
        <x:v>42988</x:v>
      </x:c>
      <x:c r="C1971" t="str">
        <x:v>RW-19690</x:v>
      </x:c>
      <x:c r="D1971" t="str">
        <x:v>Robert Waldorf</x:v>
      </x:c>
      <x:c r="E1971" t="str">
        <x:v>Consumer</x:v>
      </x:c>
      <x:c r="F1971" t="str">
        <x:v>Central</x:v>
      </x:c>
      <x:c r="G1971" t="str">
        <x:v>Office Supplies</x:v>
      </x:c>
      <x:c r="H1971" t="str">
        <x:v>Appliances</x:v>
      </x:c>
      <x:c r="I1971" s="22" t="n">
        <x:v>24.18</x:v>
      </x:c>
      <x:c r="J1971" s="24" t="n">
        <x:v>2</x:v>
      </x:c>
      <x:c r="K1971" s="26" t="n">
        <x:v>0</x:v>
      </x:c>
      <x:c r="L1971" s="22" t="n">
        <x:v>7.253999999999998</x:v>
      </x:c>
      <x:c r="M1971" t="n">
        <x:v>2017</x:v>
      </x:c>
      <x:c r="N1971" s="20" t="n">
        <x:v>42979</x:v>
      </x:c>
    </x:row>
    <x:row r="1972" ht="18" customHeight="1">
      <x:c r="A1972" t="str">
        <x:v>CA-2017-165841</x:v>
      </x:c>
      <x:c r="B1972" s="18" t="n">
        <x:v>43090</x:v>
      </x:c>
      <x:c r="C1972" t="str">
        <x:v>DB-13210</x:v>
      </x:c>
      <x:c r="D1972" t="str">
        <x:v>Dean Braden</x:v>
      </x:c>
      <x:c r="E1972" t="str">
        <x:v>Consumer</x:v>
      </x:c>
      <x:c r="F1972" t="str">
        <x:v>East</x:v>
      </x:c>
      <x:c r="G1972" t="str">
        <x:v>Technology</x:v>
      </x:c>
      <x:c r="H1972" t="str">
        <x:v>Phones</x:v>
      </x:c>
      <x:c r="I1972" s="22" t="n">
        <x:v>281.96999999999997</x:v>
      </x:c>
      <x:c r="J1972" s="24" t="n">
        <x:v>3</x:v>
      </x:c>
      <x:c r="K1972" s="26" t="n">
        <x:v>0</x:v>
      </x:c>
      <x:c r="L1972" s="22" t="n">
        <x:v>78.9516</x:v>
      </x:c>
      <x:c r="M1972" t="n">
        <x:v>2017</x:v>
      </x:c>
      <x:c r="N1972" s="20" t="n">
        <x:v>43070</x:v>
      </x:c>
    </x:row>
    <x:row r="1973" ht="18" customHeight="1">
      <x:c r="A1973" t="str">
        <x:v>CA-2017-165841</x:v>
      </x:c>
      <x:c r="B1973" s="18" t="n">
        <x:v>43090</x:v>
      </x:c>
      <x:c r="C1973" t="str">
        <x:v>DB-13210</x:v>
      </x:c>
      <x:c r="D1973" t="str">
        <x:v>Dean Braden</x:v>
      </x:c>
      <x:c r="E1973" t="str">
        <x:v>Consumer</x:v>
      </x:c>
      <x:c r="F1973" t="str">
        <x:v>East</x:v>
      </x:c>
      <x:c r="G1973" t="str">
        <x:v>Office Supplies</x:v>
      </x:c>
      <x:c r="H1973" t="str">
        <x:v>Supplies</x:v>
      </x:c>
      <x:c r="I1973" s="22" t="n">
        <x:v>69.5</x:v>
      </x:c>
      <x:c r="J1973" s="24" t="n">
        <x:v>5</x:v>
      </x:c>
      <x:c r="K1973" s="26" t="n">
        <x:v>0</x:v>
      </x:c>
      <x:c r="L1973" s="22" t="n">
        <x:v>20.154999999999994</x:v>
      </x:c>
      <x:c r="M1973" t="n">
        <x:v>2017</x:v>
      </x:c>
      <x:c r="N1973" s="20" t="n">
        <x:v>43070</x:v>
      </x:c>
    </x:row>
    <x:row r="1974" ht="18" customHeight="1">
      <x:c r="A1974" t="str">
        <x:v>CA-2017-165841</x:v>
      </x:c>
      <x:c r="B1974" s="18" t="n">
        <x:v>43090</x:v>
      </x:c>
      <x:c r="C1974" t="str">
        <x:v>DB-13210</x:v>
      </x:c>
      <x:c r="D1974" t="str">
        <x:v>Dean Braden</x:v>
      </x:c>
      <x:c r="E1974" t="str">
        <x:v>Consumer</x:v>
      </x:c>
      <x:c r="F1974" t="str">
        <x:v>East</x:v>
      </x:c>
      <x:c r="G1974" t="str">
        <x:v>Office Supplies</x:v>
      </x:c>
      <x:c r="H1974" t="str">
        <x:v>Paper</x:v>
      </x:c>
      <x:c r="I1974" s="22" t="n">
        <x:v>166.44</x:v>
      </x:c>
      <x:c r="J1974" s="24" t="n">
        <x:v>3</x:v>
      </x:c>
      <x:c r="K1974" s="26" t="n">
        <x:v>0</x:v>
      </x:c>
      <x:c r="L1974" s="22" t="n">
        <x:v>79.8912</x:v>
      </x:c>
      <x:c r="M1974" t="n">
        <x:v>2017</x:v>
      </x:c>
      <x:c r="N1974" s="20" t="n">
        <x:v>43070</x:v>
      </x:c>
    </x:row>
    <x:row r="1975" ht="18" customHeight="1">
      <x:c r="A1975" t="str">
        <x:v>CA-2017-117485</x:v>
      </x:c>
      <x:c r="B1975" s="18" t="n">
        <x:v>43001</x:v>
      </x:c>
      <x:c r="C1975" t="str">
        <x:v>BD-11320</x:v>
      </x:c>
      <x:c r="D1975" t="str">
        <x:v>Bill Donatelli</x:v>
      </x:c>
      <x:c r="E1975" t="str">
        <x:v>Consumer</x:v>
      </x:c>
      <x:c r="F1975" t="str">
        <x:v>Central</x:v>
      </x:c>
      <x:c r="G1975" t="str">
        <x:v>Technology</x:v>
      </x:c>
      <x:c r="H1975" t="str">
        <x:v>Accessories</x:v>
      </x:c>
      <x:c r="I1975" s="22" t="n">
        <x:v>291.96</x:v>
      </x:c>
      <x:c r="J1975" s="24" t="n">
        <x:v>4</x:v>
      </x:c>
      <x:c r="K1975" s="26" t="n">
        <x:v>0</x:v>
      </x:c>
      <x:c r="L1975" s="22" t="n">
        <x:v>102.18599999999998</x:v>
      </x:c>
      <x:c r="M1975" t="n">
        <x:v>2017</x:v>
      </x:c>
      <x:c r="N1975" s="20" t="n">
        <x:v>42979</x:v>
      </x:c>
    </x:row>
    <x:row r="1976" ht="18" customHeight="1">
      <x:c r="A1976" t="str">
        <x:v>CA-2017-140242</x:v>
      </x:c>
      <x:c r="B1976" s="18" t="n">
        <x:v>42861</x:v>
      </x:c>
      <x:c r="C1976" t="str">
        <x:v>ML-17755</x:v>
      </x:c>
      <x:c r="D1976" t="str">
        <x:v>Max Ludwig</x:v>
      </x:c>
      <x:c r="E1976" t="str">
        <x:v>Home Office</x:v>
      </x:c>
      <x:c r="F1976" t="str">
        <x:v>Central</x:v>
      </x:c>
      <x:c r="G1976" t="str">
        <x:v>Office Supplies</x:v>
      </x:c>
      <x:c r="H1976" t="str">
        <x:v>Art</x:v>
      </x:c>
      <x:c r="I1976" s="22" t="n">
        <x:v>6.408</x:v>
      </x:c>
      <x:c r="J1976" s="24" t="n">
        <x:v>3</x:v>
      </x:c>
      <x:c r="K1976" s="26" t="n">
        <x:v>0.2</x:v>
      </x:c>
      <x:c r="L1976" s="22" t="n">
        <x:v>0.6407999999999998</x:v>
      </x:c>
      <x:c r="M1976" t="n">
        <x:v>2017</x:v>
      </x:c>
      <x:c r="N1976" s="20" t="n">
        <x:v>42856</x:v>
      </x:c>
    </x:row>
    <x:row r="1977" ht="18" customHeight="1">
      <x:c r="A1977" t="str">
        <x:v>CA-2017-140242</x:v>
      </x:c>
      <x:c r="B1977" s="18" t="n">
        <x:v>42861</x:v>
      </x:c>
      <x:c r="C1977" t="str">
        <x:v>ML-17755</x:v>
      </x:c>
      <x:c r="D1977" t="str">
        <x:v>Max Ludwig</x:v>
      </x:c>
      <x:c r="E1977" t="str">
        <x:v>Home Office</x:v>
      </x:c>
      <x:c r="F1977" t="str">
        <x:v>Central</x:v>
      </x:c>
      <x:c r="G1977" t="str">
        <x:v>Technology</x:v>
      </x:c>
      <x:c r="H1977" t="str">
        <x:v>Accessories</x:v>
      </x:c>
      <x:c r="I1977" s="22" t="n">
        <x:v>408.74399999999997</x:v>
      </x:c>
      <x:c r="J1977" s="24" t="n">
        <x:v>7</x:v>
      </x:c>
      <x:c r="K1977" s="26" t="n">
        <x:v>0.2</x:v>
      </x:c>
      <x:c r="L1977" s="22" t="n">
        <x:v>76.63949999999998</x:v>
      </x:c>
      <x:c r="M1977" t="n">
        <x:v>2017</x:v>
      </x:c>
      <x:c r="N1977" s="20" t="n">
        <x:v>42856</x:v>
      </x:c>
    </x:row>
    <x:row r="1978" ht="18" customHeight="1">
      <x:c r="A1978" t="str">
        <x:v>CA-2014-148950</x:v>
      </x:c>
      <x:c r="B1978" s="18" t="n">
        <x:v>41987</x:v>
      </x:c>
      <x:c r="C1978" t="str">
        <x:v>JD-16015</x:v>
      </x:c>
      <x:c r="D1978" t="str">
        <x:v>Joy Daniels</x:v>
      </x:c>
      <x:c r="E1978" t="str">
        <x:v>Consumer</x:v>
      </x:c>
      <x:c r="F1978" t="str">
        <x:v>Central</x:v>
      </x:c>
      <x:c r="G1978" t="str">
        <x:v>Office Supplies</x:v>
      </x:c>
      <x:c r="H1978" t="str">
        <x:v>Binders</x:v>
      </x:c>
      <x:c r="I1978" s="22" t="n">
        <x:v>5.103999999999999</x:v>
      </x:c>
      <x:c r="J1978" s="24" t="n">
        <x:v>4</x:v>
      </x:c>
      <x:c r="K1978" s="26" t="n">
        <x:v>0.8</x:v>
      </x:c>
      <x:c r="L1978" s="22" t="n">
        <x:v>-8.676800000000002</x:v>
      </x:c>
      <x:c r="M1978" t="n">
        <x:v>2014</x:v>
      </x:c>
      <x:c r="N1978" s="20" t="n">
        <x:v>41974</x:v>
      </x:c>
    </x:row>
    <x:row r="1979" ht="18" customHeight="1">
      <x:c r="A1979" t="str">
        <x:v>CA-2014-148950</x:v>
      </x:c>
      <x:c r="B1979" s="18" t="n">
        <x:v>41987</x:v>
      </x:c>
      <x:c r="C1979" t="str">
        <x:v>JD-16015</x:v>
      </x:c>
      <x:c r="D1979" t="str">
        <x:v>Joy Daniels</x:v>
      </x:c>
      <x:c r="E1979" t="str">
        <x:v>Consumer</x:v>
      </x:c>
      <x:c r="F1979" t="str">
        <x:v>Central</x:v>
      </x:c>
      <x:c r="G1979" t="str">
        <x:v>Office Supplies</x:v>
      </x:c>
      <x:c r="H1979" t="str">
        <x:v>Fasteners</x:v>
      </x:c>
      <x:c r="I1979" s="22" t="n">
        <x:v>2.8960000000000004</x:v>
      </x:c>
      <x:c r="J1979" s="24" t="n">
        <x:v>2</x:v>
      </x:c>
      <x:c r="K1979" s="26" t="n">
        <x:v>0.2</x:v>
      </x:c>
      <x:c r="L1979" s="22" t="n">
        <x:v>0.4705999999999998</x:v>
      </x:c>
      <x:c r="M1979" t="n">
        <x:v>2014</x:v>
      </x:c>
      <x:c r="N1979" s="20" t="n">
        <x:v>41974</x:v>
      </x:c>
    </x:row>
    <x:row r="1980" ht="18" customHeight="1">
      <x:c r="A1980" t="str">
        <x:v>CA-2014-148950</x:v>
      </x:c>
      <x:c r="B1980" s="18" t="n">
        <x:v>41987</x:v>
      </x:c>
      <x:c r="C1980" t="str">
        <x:v>JD-16015</x:v>
      </x:c>
      <x:c r="D1980" t="str">
        <x:v>Joy Daniels</x:v>
      </x:c>
      <x:c r="E1980" t="str">
        <x:v>Consumer</x:v>
      </x:c>
      <x:c r="F1980" t="str">
        <x:v>Central</x:v>
      </x:c>
      <x:c r="G1980" t="str">
        <x:v>Technology</x:v>
      </x:c>
      <x:c r="H1980" t="str">
        <x:v>Accessories</x:v>
      </x:c>
      <x:c r="I1980" s="22" t="n">
        <x:v>35.016000000000005</x:v>
      </x:c>
      <x:c r="J1980" s="24" t="n">
        <x:v>3</x:v>
      </x:c>
      <x:c r="K1980" s="26" t="n">
        <x:v>0.2</x:v>
      </x:c>
      <x:c r="L1980" s="22" t="n">
        <x:v>-2.188500000000003</x:v>
      </x:c>
      <x:c r="M1980" t="n">
        <x:v>2014</x:v>
      </x:c>
      <x:c r="N1980" s="20" t="n">
        <x:v>41974</x:v>
      </x:c>
    </x:row>
    <x:row r="1981" ht="18" customHeight="1">
      <x:c r="A1981" t="str">
        <x:v>CA-2014-110408</x:v>
      </x:c>
      <x:c r="B1981" s="18" t="n">
        <x:v>41930</x:v>
      </x:c>
      <x:c r="C1981" t="str">
        <x:v>AS-10225</x:v>
      </x:c>
      <x:c r="D1981" t="str">
        <x:v>Alan Schoenberger</x:v>
      </x:c>
      <x:c r="E1981" t="str">
        <x:v>Corporate</x:v>
      </x:c>
      <x:c r="F1981" t="str">
        <x:v>South</x:v>
      </x:c>
      <x:c r="G1981" t="str">
        <x:v>Office Supplies</x:v>
      </x:c>
      <x:c r="H1981" t="str">
        <x:v>Storage</x:v>
      </x:c>
      <x:c r="I1981" s="22" t="n">
        <x:v>275.96999999999997</x:v>
      </x:c>
      <x:c r="J1981" s="24" t="n">
        <x:v>3</x:v>
      </x:c>
      <x:c r="K1981" s="26" t="n">
        <x:v>0</x:v>
      </x:c>
      <x:c r="L1981" s="22" t="n">
        <x:v>11.03879999999998</x:v>
      </x:c>
      <x:c r="M1981" t="n">
        <x:v>2014</x:v>
      </x:c>
      <x:c r="N1981" s="20" t="n">
        <x:v>41913</x:v>
      </x:c>
    </x:row>
    <x:row r="1982" ht="18" customHeight="1">
      <x:c r="A1982" t="str">
        <x:v>CA-2014-110408</x:v>
      </x:c>
      <x:c r="B1982" s="18" t="n">
        <x:v>41930</x:v>
      </x:c>
      <x:c r="C1982" t="str">
        <x:v>AS-10225</x:v>
      </x:c>
      <x:c r="D1982" t="str">
        <x:v>Alan Schoenberger</x:v>
      </x:c>
      <x:c r="E1982" t="str">
        <x:v>Corporate</x:v>
      </x:c>
      <x:c r="F1982" t="str">
        <x:v>South</x:v>
      </x:c>
      <x:c r="G1982" t="str">
        <x:v>Technology</x:v>
      </x:c>
      <x:c r="H1982" t="str">
        <x:v>Phones</x:v>
      </x:c>
      <x:c r="I1982" s="22" t="n">
        <x:v>1394.95</x:v>
      </x:c>
      <x:c r="J1982" s="24" t="n">
        <x:v>5</x:v>
      </x:c>
      <x:c r="K1982" s="26" t="n">
        <x:v>0</x:v>
      </x:c>
      <x:c r="L1982" s="22" t="n">
        <x:v>362.68699999999995</x:v>
      </x:c>
      <x:c r="M1982" t="n">
        <x:v>2014</x:v>
      </x:c>
      <x:c r="N1982" s="20" t="n">
        <x:v>41913</x:v>
      </x:c>
    </x:row>
    <x:row r="1983" ht="18" customHeight="1">
      <x:c r="A1983" t="str">
        <x:v>CA-2014-110408</x:v>
      </x:c>
      <x:c r="B1983" s="18" t="n">
        <x:v>41930</x:v>
      </x:c>
      <x:c r="C1983" t="str">
        <x:v>AS-10225</x:v>
      </x:c>
      <x:c r="D1983" t="str">
        <x:v>Alan Schoenberger</x:v>
      </x:c>
      <x:c r="E1983" t="str">
        <x:v>Corporate</x:v>
      </x:c>
      <x:c r="F1983" t="str">
        <x:v>South</x:v>
      </x:c>
      <x:c r="G1983" t="str">
        <x:v>Furniture</x:v>
      </x:c>
      <x:c r="H1983" t="str">
        <x:v>Chairs</x:v>
      </x:c>
      <x:c r="I1983" s="22" t="n">
        <x:v>545.88</x:v>
      </x:c>
      <x:c r="J1983" s="24" t="n">
        <x:v>6</x:v>
      </x:c>
      <x:c r="K1983" s="26" t="n">
        <x:v>0</x:v>
      </x:c>
      <x:c r="L1983" s="22" t="n">
        <x:v>70.96439999999998</x:v>
      </x:c>
      <x:c r="M1983" t="n">
        <x:v>2014</x:v>
      </x:c>
      <x:c r="N1983" s="20" t="n">
        <x:v>41913</x:v>
      </x:c>
    </x:row>
    <x:row r="1984" ht="18" customHeight="1">
      <x:c r="A1984" t="str">
        <x:v>CA-2015-109939</x:v>
      </x:c>
      <x:c r="B1984" s="18" t="n">
        <x:v>42132</x:v>
      </x:c>
      <x:c r="C1984" t="str">
        <x:v>AA-10375</x:v>
      </x:c>
      <x:c r="D1984" t="str">
        <x:v>Allen Armold</x:v>
      </x:c>
      <x:c r="E1984" t="str">
        <x:v>Consumer</x:v>
      </x:c>
      <x:c r="F1984" t="str">
        <x:v>West</x:v>
      </x:c>
      <x:c r="G1984" t="str">
        <x:v>Office Supplies</x:v>
      </x:c>
      <x:c r="H1984" t="str">
        <x:v>Art</x:v>
      </x:c>
      <x:c r="I1984" s="22" t="n">
        <x:v>5.248</x:v>
      </x:c>
      <x:c r="J1984" s="24" t="n">
        <x:v>2</x:v>
      </x:c>
      <x:c r="K1984" s="26" t="n">
        <x:v>0.2</x:v>
      </x:c>
      <x:c r="L1984" s="22" t="n">
        <x:v>0.5903999999999991</x:v>
      </x:c>
      <x:c r="M1984" t="n">
        <x:v>2015</x:v>
      </x:c>
      <x:c r="N1984" s="20" t="n">
        <x:v>42125</x:v>
      </x:c>
    </x:row>
    <x:row r="1985" ht="18" customHeight="1">
      <x:c r="A1985" t="str">
        <x:v>CA-2016-112669</x:v>
      </x:c>
      <x:c r="B1985" s="18" t="n">
        <x:v>42474</x:v>
      </x:c>
      <x:c r="C1985" t="str">
        <x:v>KT-16465</x:v>
      </x:c>
      <x:c r="D1985" t="str">
        <x:v>Kean Takahito</x:v>
      </x:c>
      <x:c r="E1985" t="str">
        <x:v>Consumer</x:v>
      </x:c>
      <x:c r="F1985" t="str">
        <x:v>West</x:v>
      </x:c>
      <x:c r="G1985" t="str">
        <x:v>Furniture</x:v>
      </x:c>
      <x:c r="H1985" t="str">
        <x:v>Chairs</x:v>
      </x:c>
      <x:c r="I1985" s="22" t="n">
        <x:v>933.5360000000001</x:v>
      </x:c>
      <x:c r="J1985" s="24" t="n">
        <x:v>4</x:v>
      </x:c>
      <x:c r="K1985" s="26" t="n">
        <x:v>0.2</x:v>
      </x:c>
      <x:c r="L1985" s="22" t="n">
        <x:v>105.02279999999996</x:v>
      </x:c>
      <x:c r="M1985" t="n">
        <x:v>2016</x:v>
      </x:c>
      <x:c r="N1985" s="20" t="n">
        <x:v>42461</x:v>
      </x:c>
    </x:row>
    <x:row r="1986" ht="18" customHeight="1">
      <x:c r="A1986" t="str">
        <x:v>CA-2016-112669</x:v>
      </x:c>
      <x:c r="B1986" s="18" t="n">
        <x:v>42474</x:v>
      </x:c>
      <x:c r="C1986" t="str">
        <x:v>KT-16465</x:v>
      </x:c>
      <x:c r="D1986" t="str">
        <x:v>Kean Takahito</x:v>
      </x:c>
      <x:c r="E1986" t="str">
        <x:v>Consumer</x:v>
      </x:c>
      <x:c r="F1986" t="str">
        <x:v>West</x:v>
      </x:c>
      <x:c r="G1986" t="str">
        <x:v>Office Supplies</x:v>
      </x:c>
      <x:c r="H1986" t="str">
        <x:v>Storage</x:v>
      </x:c>
      <x:c r="I1986" s="22" t="n">
        <x:v>42.976</x:v>
      </x:c>
      <x:c r="J1986" s="24" t="n">
        <x:v>4</x:v>
      </x:c>
      <x:c r="K1986" s="26" t="n">
        <x:v>0.2</x:v>
      </x:c>
      <x:c r="L1986" s="22" t="n">
        <x:v>4.297600000000003</x:v>
      </x:c>
      <x:c r="M1986" t="n">
        <x:v>2016</x:v>
      </x:c>
      <x:c r="N1986" s="20" t="n">
        <x:v>42461</x:v>
      </x:c>
    </x:row>
    <x:row r="1987" ht="18" customHeight="1">
      <x:c r="A1987" t="str">
        <x:v>CA-2015-119592</x:v>
      </x:c>
      <x:c r="B1987" s="18" t="n">
        <x:v>42352</x:v>
      </x:c>
      <x:c r="C1987" t="str">
        <x:v>MM-18280</x:v>
      </x:c>
      <x:c r="D1987" t="str">
        <x:v>Muhammed MacIntyre</x:v>
      </x:c>
      <x:c r="E1987" t="str">
        <x:v>Corporate</x:v>
      </x:c>
      <x:c r="F1987" t="str">
        <x:v>South</x:v>
      </x:c>
      <x:c r="G1987" t="str">
        <x:v>Office Supplies</x:v>
      </x:c>
      <x:c r="H1987" t="str">
        <x:v>Binders</x:v>
      </x:c>
      <x:c r="I1987" s="22" t="n">
        <x:v>3.76</x:v>
      </x:c>
      <x:c r="J1987" s="24" t="n">
        <x:v>2</x:v>
      </x:c>
      <x:c r="K1987" s="26" t="n">
        <x:v>0</x:v>
      </x:c>
      <x:c r="L1987" s="22" t="n">
        <x:v>1.8047999999999997</x:v>
      </x:c>
      <x:c r="M1987" t="n">
        <x:v>2015</x:v>
      </x:c>
      <x:c r="N1987" s="20" t="n">
        <x:v>42339</x:v>
      </x:c>
    </x:row>
    <x:row r="1988" ht="18" customHeight="1">
      <x:c r="A1988" t="str">
        <x:v>CA-2014-122749</x:v>
      </x:c>
      <x:c r="B1988" s="18" t="n">
        <x:v>41976</x:v>
      </x:c>
      <x:c r="C1988" t="str">
        <x:v>NG-18430</x:v>
      </x:c>
      <x:c r="D1988" t="str">
        <x:v>Nathan Gelder</x:v>
      </x:c>
      <x:c r="E1988" t="str">
        <x:v>Consumer</x:v>
      </x:c>
      <x:c r="F1988" t="str">
        <x:v>Central</x:v>
      </x:c>
      <x:c r="G1988" t="str">
        <x:v>Technology</x:v>
      </x:c>
      <x:c r="H1988" t="str">
        <x:v>Phones</x:v>
      </x:c>
      <x:c r="I1988" s="22" t="n">
        <x:v>479.96</x:v>
      </x:c>
      <x:c r="J1988" s="24" t="n">
        <x:v>4</x:v>
      </x:c>
      <x:c r="K1988" s="26" t="n">
        <x:v>0</x:v>
      </x:c>
      <x:c r="L1988" s="22" t="n">
        <x:v>134.3888</x:v>
      </x:c>
      <x:c r="M1988" t="n">
        <x:v>2014</x:v>
      </x:c>
      <x:c r="N1988" s="20" t="n">
        <x:v>41974</x:v>
      </x:c>
    </x:row>
    <x:row r="1989" ht="18" customHeight="1">
      <x:c r="A1989" t="str">
        <x:v>CA-2014-164721</x:v>
      </x:c>
      <x:c r="B1989" s="18" t="n">
        <x:v>41968</x:v>
      </x:c>
      <x:c r="C1989" t="str">
        <x:v>LW-16825</x:v>
      </x:c>
      <x:c r="D1989" t="str">
        <x:v>Laurel Workman</x:v>
      </x:c>
      <x:c r="E1989" t="str">
        <x:v>Corporate</x:v>
      </x:c>
      <x:c r="F1989" t="str">
        <x:v>West</x:v>
      </x:c>
      <x:c r="G1989" t="str">
        <x:v>Office Supplies</x:v>
      </x:c>
      <x:c r="H1989" t="str">
        <x:v>Appliances</x:v>
      </x:c>
      <x:c r="I1989" s="22" t="n">
        <x:v>320.88</x:v>
      </x:c>
      <x:c r="J1989" s="24" t="n">
        <x:v>6</x:v>
      </x:c>
      <x:c r="K1989" s="26" t="n">
        <x:v>0</x:v>
      </x:c>
      <x:c r="L1989" s="22" t="n">
        <x:v>93.05519999999996</x:v>
      </x:c>
      <x:c r="M1989" t="n">
        <x:v>2014</x:v>
      </x:c>
      <x:c r="N1989" s="20" t="n">
        <x:v>41944</x:v>
      </x:c>
    </x:row>
    <x:row r="1990" ht="18" customHeight="1">
      <x:c r="A1990" t="str">
        <x:v>CA-2014-164721</x:v>
      </x:c>
      <x:c r="B1990" s="18" t="n">
        <x:v>41968</x:v>
      </x:c>
      <x:c r="C1990" t="str">
        <x:v>LW-16825</x:v>
      </x:c>
      <x:c r="D1990" t="str">
        <x:v>Laurel Workman</x:v>
      </x:c>
      <x:c r="E1990" t="str">
        <x:v>Corporate</x:v>
      </x:c>
      <x:c r="F1990" t="str">
        <x:v>West</x:v>
      </x:c>
      <x:c r="G1990" t="str">
        <x:v>Furniture</x:v>
      </x:c>
      <x:c r="H1990" t="str">
        <x:v>Furnishings</x:v>
      </x:c>
      <x:c r="I1990" s="22" t="n">
        <x:v>23.88</x:v>
      </x:c>
      <x:c r="J1990" s="24" t="n">
        <x:v>3</x:v>
      </x:c>
      <x:c r="K1990" s="26" t="n">
        <x:v>0</x:v>
      </x:c>
      <x:c r="L1990" s="22" t="n">
        <x:v>10.507200000000001</x:v>
      </x:c>
      <x:c r="M1990" t="n">
        <x:v>2014</x:v>
      </x:c>
      <x:c r="N1990" s="20" t="n">
        <x:v>41944</x:v>
      </x:c>
    </x:row>
    <x:row r="1991" ht="18" customHeight="1">
      <x:c r="A1991" t="str">
        <x:v>CA-2014-164721</x:v>
      </x:c>
      <x:c r="B1991" s="18" t="n">
        <x:v>41968</x:v>
      </x:c>
      <x:c r="C1991" t="str">
        <x:v>LW-16825</x:v>
      </x:c>
      <x:c r="D1991" t="str">
        <x:v>Laurel Workman</x:v>
      </x:c>
      <x:c r="E1991" t="str">
        <x:v>Corporate</x:v>
      </x:c>
      <x:c r="F1991" t="str">
        <x:v>West</x:v>
      </x:c>
      <x:c r="G1991" t="str">
        <x:v>Office Supplies</x:v>
      </x:c>
      <x:c r="H1991" t="str">
        <x:v>Paper</x:v>
      </x:c>
      <x:c r="I1991" s="22" t="n">
        <x:v>26.76</x:v>
      </x:c>
      <x:c r="J1991" s="24" t="n">
        <x:v>4</x:v>
      </x:c>
      <x:c r="K1991" s="26" t="n">
        <x:v>0</x:v>
      </x:c>
      <x:c r="L1991" s="22" t="n">
        <x:v>12.3096</x:v>
      </x:c>
      <x:c r="M1991" t="n">
        <x:v>2014</x:v>
      </x:c>
      <x:c r="N1991" s="20" t="n">
        <x:v>41944</x:v>
      </x:c>
    </x:row>
    <x:row r="1992" ht="18" customHeight="1">
      <x:c r="A1992" t="str">
        <x:v>CA-2016-147417</x:v>
      </x:c>
      <x:c r="B1992" s="18" t="n">
        <x:v>42576</x:v>
      </x:c>
      <x:c r="C1992" t="str">
        <x:v>CB-12415</x:v>
      </x:c>
      <x:c r="D1992" t="str">
        <x:v>Christy Brittain</x:v>
      </x:c>
      <x:c r="E1992" t="str">
        <x:v>Consumer</x:v>
      </x:c>
      <x:c r="F1992" t="str">
        <x:v>East</x:v>
      </x:c>
      <x:c r="G1992" t="str">
        <x:v>Technology</x:v>
      </x:c>
      <x:c r="H1992" t="str">
        <x:v>Copiers</x:v>
      </x:c>
      <x:c r="I1992" s="22" t="n">
        <x:v>1439.9759999999999</x:v>
      </x:c>
      <x:c r="J1992" s="24" t="n">
        <x:v>4</x:v>
      </x:c>
      <x:c r="K1992" s="26" t="n">
        <x:v>0.4</x:v>
      </x:c>
      <x:c r="L1992" s="22" t="n">
        <x:v>191.9968</x:v>
      </x:c>
      <x:c r="M1992" t="n">
        <x:v>2016</x:v>
      </x:c>
      <x:c r="N1992" s="20" t="n">
        <x:v>42552</x:v>
      </x:c>
    </x:row>
    <x:row r="1993" ht="18" customHeight="1">
      <x:c r="A1993" t="str">
        <x:v>CA-2015-127509</x:v>
      </x:c>
      <x:c r="B1993" s="18" t="n">
        <x:v>42317</x:v>
      </x:c>
      <x:c r="C1993" t="str">
        <x:v>AS-10090</x:v>
      </x:c>
      <x:c r="D1993" t="str">
        <x:v>Adam Shillingsburg</x:v>
      </x:c>
      <x:c r="E1993" t="str">
        <x:v>Consumer</x:v>
      </x:c>
      <x:c r="F1993" t="str">
        <x:v>Central</x:v>
      </x:c>
      <x:c r="G1993" t="str">
        <x:v>Office Supplies</x:v>
      </x:c>
      <x:c r="H1993" t="str">
        <x:v>Binders</x:v>
      </x:c>
      <x:c r="I1993" s="22" t="n">
        <x:v>17.22</x:v>
      </x:c>
      <x:c r="J1993" s="24" t="n">
        <x:v>3</x:v>
      </x:c>
      <x:c r="K1993" s="26" t="n">
        <x:v>0</x:v>
      </x:c>
      <x:c r="L1993" s="22" t="n">
        <x:v>7.921200000000001</x:v>
      </x:c>
      <x:c r="M1993" t="n">
        <x:v>2015</x:v>
      </x:c>
      <x:c r="N1993" s="20" t="n">
        <x:v>42309</x:v>
      </x:c>
    </x:row>
    <x:row r="1994" ht="18" customHeight="1">
      <x:c r="A1994" t="str">
        <x:v>CA-2015-127509</x:v>
      </x:c>
      <x:c r="B1994" s="18" t="n">
        <x:v>42317</x:v>
      </x:c>
      <x:c r="C1994" t="str">
        <x:v>AS-10090</x:v>
      </x:c>
      <x:c r="D1994" t="str">
        <x:v>Adam Shillingsburg</x:v>
      </x:c>
      <x:c r="E1994" t="str">
        <x:v>Consumer</x:v>
      </x:c>
      <x:c r="F1994" t="str">
        <x:v>Central</x:v>
      </x:c>
      <x:c r="G1994" t="str">
        <x:v>Furniture</x:v>
      </x:c>
      <x:c r="H1994" t="str">
        <x:v>Tables</x:v>
      </x:c>
      <x:c r="I1994" s="22" t="n">
        <x:v>1024.38</x:v>
      </x:c>
      <x:c r="J1994" s="24" t="n">
        <x:v>7</x:v>
      </x:c>
      <x:c r="K1994" s="26" t="n">
        <x:v>0</x:v>
      </x:c>
      <x:c r="L1994" s="22" t="n">
        <x:v>215.11979999999994</x:v>
      </x:c>
      <x:c r="M1994" t="n">
        <x:v>2015</x:v>
      </x:c>
      <x:c r="N1994" s="20" t="n">
        <x:v>42309</x:v>
      </x:c>
    </x:row>
    <x:row r="1995" ht="18" customHeight="1">
      <x:c r="A1995" t="str">
        <x:v>CA-2015-127509</x:v>
      </x:c>
      <x:c r="B1995" s="18" t="n">
        <x:v>42317</x:v>
      </x:c>
      <x:c r="C1995" t="str">
        <x:v>AS-10090</x:v>
      </x:c>
      <x:c r="D1995" t="str">
        <x:v>Adam Shillingsburg</x:v>
      </x:c>
      <x:c r="E1995" t="str">
        <x:v>Consumer</x:v>
      </x:c>
      <x:c r="F1995" t="str">
        <x:v>Central</x:v>
      </x:c>
      <x:c r="G1995" t="str">
        <x:v>Office Supplies</x:v>
      </x:c>
      <x:c r="H1995" t="str">
        <x:v>Envelopes</x:v>
      </x:c>
      <x:c r="I1995" s="22" t="n">
        <x:v>26.22</x:v>
      </x:c>
      <x:c r="J1995" s="24" t="n">
        <x:v>3</x:v>
      </x:c>
      <x:c r="K1995" s="26" t="n">
        <x:v>0</x:v>
      </x:c>
      <x:c r="L1995" s="22" t="n">
        <x:v>12.3234</x:v>
      </x:c>
      <x:c r="M1995" t="n">
        <x:v>2015</x:v>
      </x:c>
      <x:c r="N1995" s="20" t="n">
        <x:v>42309</x:v>
      </x:c>
    </x:row>
    <x:row r="1996" ht="18" customHeight="1">
      <x:c r="A1996" t="str">
        <x:v>CA-2015-127509</x:v>
      </x:c>
      <x:c r="B1996" s="18" t="n">
        <x:v>42317</x:v>
      </x:c>
      <x:c r="C1996" t="str">
        <x:v>AS-10090</x:v>
      </x:c>
      <x:c r="D1996" t="str">
        <x:v>Adam Shillingsburg</x:v>
      </x:c>
      <x:c r="E1996" t="str">
        <x:v>Consumer</x:v>
      </x:c>
      <x:c r="F1996" t="str">
        <x:v>Central</x:v>
      </x:c>
      <x:c r="G1996" t="str">
        <x:v>Office Supplies</x:v>
      </x:c>
      <x:c r="H1996" t="str">
        <x:v>Paper</x:v>
      </x:c>
      <x:c r="I1996" s="22" t="n">
        <x:v>17.34</x:v>
      </x:c>
      <x:c r="J1996" s="24" t="n">
        <x:v>3</x:v>
      </x:c>
      <x:c r="K1996" s="26" t="n">
        <x:v>0</x:v>
      </x:c>
      <x:c r="L1996" s="22" t="n">
        <x:v>8.4966</x:v>
      </x:c>
      <x:c r="M1996" t="n">
        <x:v>2015</x:v>
      </x:c>
      <x:c r="N1996" s="20" t="n">
        <x:v>42309</x:v>
      </x:c>
    </x:row>
    <x:row r="1997" ht="18" customHeight="1">
      <x:c r="A1997" t="str">
        <x:v>CA-2017-111374</x:v>
      </x:c>
      <x:c r="B1997" s="18" t="n">
        <x:v>42790</x:v>
      </x:c>
      <x:c r="C1997" t="str">
        <x:v>CB-12415</x:v>
      </x:c>
      <x:c r="D1997" t="str">
        <x:v>Christy Brittain</x:v>
      </x:c>
      <x:c r="E1997" t="str">
        <x:v>Consumer</x:v>
      </x:c>
      <x:c r="F1997" t="str">
        <x:v>East</x:v>
      </x:c>
      <x:c r="G1997" t="str">
        <x:v>Office Supplies</x:v>
      </x:c>
      <x:c r="H1997" t="str">
        <x:v>Binders</x:v>
      </x:c>
      <x:c r="I1997" s="22" t="n">
        <x:v>4.956</x:v>
      </x:c>
      <x:c r="J1997" s="24" t="n">
        <x:v>4</x:v>
      </x:c>
      <x:c r="K1997" s="26" t="n">
        <x:v>0.7</x:v>
      </x:c>
      <x:c r="L1997" s="22" t="n">
        <x:v>-3.799599999999998</x:v>
      </x:c>
      <x:c r="M1997" t="n">
        <x:v>2017</x:v>
      </x:c>
      <x:c r="N1997" s="20" t="n">
        <x:v>42767</x:v>
      </x:c>
    </x:row>
    <x:row r="1998" ht="18" customHeight="1">
      <x:c r="A1998" t="str">
        <x:v>CA-2017-133648</x:v>
      </x:c>
      <x:c r="B1998" s="18" t="n">
        <x:v>42911</x:v>
      </x:c>
      <x:c r="C1998" t="str">
        <x:v>ML-17755</x:v>
      </x:c>
      <x:c r="D1998" t="str">
        <x:v>Max Ludwig</x:v>
      </x:c>
      <x:c r="E1998" t="str">
        <x:v>Home Office</x:v>
      </x:c>
      <x:c r="F1998" t="str">
        <x:v>West</x:v>
      </x:c>
      <x:c r="G1998" t="str">
        <x:v>Office Supplies</x:v>
      </x:c>
      <x:c r="H1998" t="str">
        <x:v>Labels</x:v>
      </x:c>
      <x:c r="I1998" s="22" t="n">
        <x:v>71.04</x:v>
      </x:c>
      <x:c r="J1998" s="24" t="n">
        <x:v>6</x:v>
      </x:c>
      <x:c r="K1998" s="26" t="n">
        <x:v>0.2</x:v>
      </x:c>
      <x:c r="L1998" s="22" t="n">
        <x:v>26.640000000000004</x:v>
      </x:c>
      <x:c r="M1998" t="n">
        <x:v>2017</x:v>
      </x:c>
      <x:c r="N1998" s="20" t="n">
        <x:v>42887</x:v>
      </x:c>
    </x:row>
    <x:row r="1999" ht="18" customHeight="1">
      <x:c r="A1999" t="str">
        <x:v>CA-2017-133648</x:v>
      </x:c>
      <x:c r="B1999" s="18" t="n">
        <x:v>42911</x:v>
      </x:c>
      <x:c r="C1999" t="str">
        <x:v>ML-17755</x:v>
      </x:c>
      <x:c r="D1999" t="str">
        <x:v>Max Ludwig</x:v>
      </x:c>
      <x:c r="E1999" t="str">
        <x:v>Home Office</x:v>
      </x:c>
      <x:c r="F1999" t="str">
        <x:v>West</x:v>
      </x:c>
      <x:c r="G1999" t="str">
        <x:v>Office Supplies</x:v>
      </x:c>
      <x:c r="H1999" t="str">
        <x:v>Art</x:v>
      </x:c>
      <x:c r="I1999" s="22" t="n">
        <x:v>5.344</x:v>
      </x:c>
      <x:c r="J1999" s="24" t="n">
        <x:v>2</x:v>
      </x:c>
      <x:c r="K1999" s="26" t="n">
        <x:v>0.2</x:v>
      </x:c>
      <x:c r="L1999" s="22" t="n">
        <x:v>0.7347999999999992</x:v>
      </x:c>
      <x:c r="M1999" t="n">
        <x:v>2017</x:v>
      </x:c>
      <x:c r="N1999" s="20" t="n">
        <x:v>42887</x:v>
      </x:c>
    </x:row>
    <x:row r="2000" ht="18" customHeight="1">
      <x:c r="A2000" t="str">
        <x:v>CA-2017-133648</x:v>
      </x:c>
      <x:c r="B2000" s="18" t="n">
        <x:v>42911</x:v>
      </x:c>
      <x:c r="C2000" t="str">
        <x:v>ML-17755</x:v>
      </x:c>
      <x:c r="D2000" t="str">
        <x:v>Max Ludwig</x:v>
      </x:c>
      <x:c r="E2000" t="str">
        <x:v>Home Office</x:v>
      </x:c>
      <x:c r="F2000" t="str">
        <x:v>West</x:v>
      </x:c>
      <x:c r="G2000" t="str">
        <x:v>Office Supplies</x:v>
      </x:c>
      <x:c r="H2000" t="str">
        <x:v>Fasteners</x:v>
      </x:c>
      <x:c r="I2000" s="22" t="n">
        <x:v>11.304</x:v>
      </x:c>
      <x:c r="J2000" s="24" t="n">
        <x:v>3</x:v>
      </x:c>
      <x:c r="K2000" s="26" t="n">
        <x:v>0.2</x:v>
      </x:c>
      <x:c r="L2000" s="22" t="n">
        <x:v>-2.1195</x:v>
      </x:c>
      <x:c r="M2000" t="n">
        <x:v>2017</x:v>
      </x:c>
      <x:c r="N2000" s="20" t="n">
        <x:v>42887</x:v>
      </x:c>
    </x:row>
    <x:row r="2001" ht="18" customHeight="1">
      <x:c r="A2001" t="str">
        <x:v>US-2017-147221</x:v>
      </x:c>
      <x:c r="B2001" s="18" t="n">
        <x:v>43071</x:v>
      </x:c>
      <x:c r="C2001" t="str">
        <x:v>JS-16030</x:v>
      </x:c>
      <x:c r="D2001" t="str">
        <x:v>Joy Smith</x:v>
      </x:c>
      <x:c r="E2001" t="str">
        <x:v>Consumer</x:v>
      </x:c>
      <x:c r="F2001" t="str">
        <x:v>Central</x:v>
      </x:c>
      <x:c r="G2001" t="str">
        <x:v>Office Supplies</x:v>
      </x:c>
      <x:c r="H2001" t="str">
        <x:v>Appliances</x:v>
      </x:c>
      <x:c r="I2001" s="22" t="n">
        <x:v>294.61999999999995</x:v>
      </x:c>
      <x:c r="J2001" s="24" t="n">
        <x:v>5</x:v>
      </x:c>
      <x:c r="K2001" s="26" t="n">
        <x:v>0.8</x:v>
      </x:c>
      <x:c r="L2001" s="22" t="n">
        <x:v>-766.012</x:v>
      </x:c>
      <x:c r="M2001" t="n">
        <x:v>2017</x:v>
      </x:c>
      <x:c r="N2001" s="20" t="n">
        <x:v>43070</x:v>
      </x:c>
    </x:row>
    <x:row r="2002" ht="18" customHeight="1">
      <x:c r="A2002" t="str">
        <x:v>US-2017-147221</x:v>
      </x:c>
      <x:c r="B2002" s="18" t="n">
        <x:v>43071</x:v>
      </x:c>
      <x:c r="C2002" t="str">
        <x:v>JS-16030</x:v>
      </x:c>
      <x:c r="D2002" t="str">
        <x:v>Joy Smith</x:v>
      </x:c>
      <x:c r="E2002" t="str">
        <x:v>Consumer</x:v>
      </x:c>
      <x:c r="F2002" t="str">
        <x:v>Central</x:v>
      </x:c>
      <x:c r="G2002" t="str">
        <x:v>Furniture</x:v>
      </x:c>
      <x:c r="H2002" t="str">
        <x:v>Furnishings</x:v>
      </x:c>
      <x:c r="I2002" s="22" t="n">
        <x:v>8.752</x:v>
      </x:c>
      <x:c r="J2002" s="24" t="n">
        <x:v>4</x:v>
      </x:c>
      <x:c r="K2002" s="26" t="n">
        <x:v>0.6</x:v>
      </x:c>
      <x:c r="L2002" s="22" t="n">
        <x:v>-3.719599999999998</x:v>
      </x:c>
      <x:c r="M2002" t="n">
        <x:v>2017</x:v>
      </x:c>
      <x:c r="N2002" s="20" t="n">
        <x:v>43070</x:v>
      </x:c>
    </x:row>
    <x:row r="2003" ht="18" customHeight="1">
      <x:c r="A2003" t="str">
        <x:v>CA-2014-131905</x:v>
      </x:c>
      <x:c r="B2003" s="18" t="n">
        <x:v>41676</x:v>
      </x:c>
      <x:c r="C2003" t="str">
        <x:v>ND-18460</x:v>
      </x:c>
      <x:c r="D2003" t="str">
        <x:v>Neil Ducich</x:v>
      </x:c>
      <x:c r="E2003" t="str">
        <x:v>Corporate</x:v>
      </x:c>
      <x:c r="F2003" t="str">
        <x:v>South</x:v>
      </x:c>
      <x:c r="G2003" t="str">
        <x:v>Office Supplies</x:v>
      </x:c>
      <x:c r="H2003" t="str">
        <x:v>Labels</x:v>
      </x:c>
      <x:c r="I2003" s="22" t="n">
        <x:v>15</x:v>
      </x:c>
      <x:c r="J2003" s="24" t="n">
        <x:v>4</x:v>
      </x:c>
      <x:c r="K2003" s="26" t="n">
        <x:v>0</x:v>
      </x:c>
      <x:c r="L2003" s="22" t="n">
        <x:v>7.199999999999999</x:v>
      </x:c>
      <x:c r="M2003" t="n">
        <x:v>2014</x:v>
      </x:c>
      <x:c r="N2003" s="20" t="n">
        <x:v>41671</x:v>
      </x:c>
    </x:row>
    <x:row r="2004" ht="18" customHeight="1">
      <x:c r="A2004" t="str">
        <x:v>CA-2014-131905</x:v>
      </x:c>
      <x:c r="B2004" s="18" t="n">
        <x:v>41676</x:v>
      </x:c>
      <x:c r="C2004" t="str">
        <x:v>ND-18460</x:v>
      </x:c>
      <x:c r="D2004" t="str">
        <x:v>Neil Ducich</x:v>
      </x:c>
      <x:c r="E2004" t="str">
        <x:v>Corporate</x:v>
      </x:c>
      <x:c r="F2004" t="str">
        <x:v>South</x:v>
      </x:c>
      <x:c r="G2004" t="str">
        <x:v>Technology</x:v>
      </x:c>
      <x:c r="H2004" t="str">
        <x:v>Phones</x:v>
      </x:c>
      <x:c r="I2004" s="22" t="n">
        <x:v>161.61</x:v>
      </x:c>
      <x:c r="J2004" s="24" t="n">
        <x:v>1</x:v>
      </x:c>
      <x:c r="K2004" s="26" t="n">
        <x:v>0</x:v>
      </x:c>
      <x:c r="L2004" s="22" t="n">
        <x:v>42.018600000000006</x:v>
      </x:c>
      <x:c r="M2004" t="n">
        <x:v>2014</x:v>
      </x:c>
      <x:c r="N2004" s="20" t="n">
        <x:v>41671</x:v>
      </x:c>
    </x:row>
    <x:row r="2005" ht="18" customHeight="1">
      <x:c r="A2005" t="str">
        <x:v>CA-2014-131905</x:v>
      </x:c>
      <x:c r="B2005" s="18" t="n">
        <x:v>41676</x:v>
      </x:c>
      <x:c r="C2005" t="str">
        <x:v>ND-18460</x:v>
      </x:c>
      <x:c r="D2005" t="str">
        <x:v>Neil Ducich</x:v>
      </x:c>
      <x:c r="E2005" t="str">
        <x:v>Corporate</x:v>
      </x:c>
      <x:c r="F2005" t="str">
        <x:v>South</x:v>
      </x:c>
      <x:c r="G2005" t="str">
        <x:v>Technology</x:v>
      </x:c>
      <x:c r="H2005" t="str">
        <x:v>Phones</x:v>
      </x:c>
      <x:c r="I2005" s="22" t="n">
        <x:v>144.95</x:v>
      </x:c>
      <x:c r="J2005" s="24" t="n">
        <x:v>5</x:v>
      </x:c>
      <x:c r="K2005" s="26" t="n">
        <x:v>0</x:v>
      </x:c>
      <x:c r="L2005" s="22" t="n">
        <x:v>42.035499999999985</x:v>
      </x:c>
      <x:c r="M2005" t="n">
        <x:v>2014</x:v>
      </x:c>
      <x:c r="N2005" s="20" t="n">
        <x:v>41671</x:v>
      </x:c>
    </x:row>
    <x:row r="2006" ht="18" customHeight="1">
      <x:c r="A2006" t="str">
        <x:v>CA-2017-166128</x:v>
      </x:c>
      <x:c r="B2006" s="18" t="n">
        <x:v>42836</x:v>
      </x:c>
      <x:c r="C2006" t="str">
        <x:v>LW-17215</x:v>
      </x:c>
      <x:c r="D2006" t="str">
        <x:v>Luke Weiss</x:v>
      </x:c>
      <x:c r="E2006" t="str">
        <x:v>Consumer</x:v>
      </x:c>
      <x:c r="F2006" t="str">
        <x:v>West</x:v>
      </x:c>
      <x:c r="G2006" t="str">
        <x:v>Technology</x:v>
      </x:c>
      <x:c r="H2006" t="str">
        <x:v>Accessories</x:v>
      </x:c>
      <x:c r="I2006" s="22" t="n">
        <x:v>199.95000000000002</x:v>
      </x:c>
      <x:c r="J2006" s="24" t="n">
        <x:v>5</x:v>
      </x:c>
      <x:c r="K2006" s="26" t="n">
        <x:v>0</x:v>
      </x:c>
      <x:c r="L2006" s="22" t="n">
        <x:v>21.994499999999988</x:v>
      </x:c>
      <x:c r="M2006" t="n">
        <x:v>2017</x:v>
      </x:c>
      <x:c r="N2006" s="20" t="n">
        <x:v>42826</x:v>
      </x:c>
    </x:row>
    <x:row r="2007" ht="18" customHeight="1">
      <x:c r="A2007" t="str">
        <x:v>CA-2017-166128</x:v>
      </x:c>
      <x:c r="B2007" s="18" t="n">
        <x:v>42836</x:v>
      </x:c>
      <x:c r="C2007" t="str">
        <x:v>LW-17215</x:v>
      </x:c>
      <x:c r="D2007" t="str">
        <x:v>Luke Weiss</x:v>
      </x:c>
      <x:c r="E2007" t="str">
        <x:v>Consumer</x:v>
      </x:c>
      <x:c r="F2007" t="str">
        <x:v>West</x:v>
      </x:c>
      <x:c r="G2007" t="str">
        <x:v>Office Supplies</x:v>
      </x:c>
      <x:c r="H2007" t="str">
        <x:v>Art</x:v>
      </x:c>
      <x:c r="I2007" s="22" t="n">
        <x:v>41.86</x:v>
      </x:c>
      <x:c r="J2007" s="24" t="n">
        <x:v>7</x:v>
      </x:c>
      <x:c r="K2007" s="26" t="n">
        <x:v>0</x:v>
      </x:c>
      <x:c r="L2007" s="22" t="n">
        <x:v>14.232399999999998</x:v>
      </x:c>
      <x:c r="M2007" t="n">
        <x:v>2017</x:v>
      </x:c>
      <x:c r="N2007" s="20" t="n">
        <x:v>42826</x:v>
      </x:c>
    </x:row>
    <x:row r="2008" ht="18" customHeight="1">
      <x:c r="A2008" t="str">
        <x:v>CA-2017-163510</x:v>
      </x:c>
      <x:c r="B2008" s="18" t="n">
        <x:v>43094</x:v>
      </x:c>
      <x:c r="C2008" t="str">
        <x:v>JW-15955</x:v>
      </x:c>
      <x:c r="D2008" t="str">
        <x:v>Joni Wasserman</x:v>
      </x:c>
      <x:c r="E2008" t="str">
        <x:v>Consumer</x:v>
      </x:c>
      <x:c r="F2008" t="str">
        <x:v>South</x:v>
      </x:c>
      <x:c r="G2008" t="str">
        <x:v>Office Supplies</x:v>
      </x:c>
      <x:c r="H2008" t="str">
        <x:v>Storage</x:v>
      </x:c>
      <x:c r="I2008" s="22" t="n">
        <x:v>95.94</x:v>
      </x:c>
      <x:c r="J2008" s="24" t="n">
        <x:v>3</x:v>
      </x:c>
      <x:c r="K2008" s="26" t="n">
        <x:v>0</x:v>
      </x:c>
      <x:c r="L2008" s="22" t="n">
        <x:v>9.594000000000001</x:v>
      </x:c>
      <x:c r="M2008" t="n">
        <x:v>2017</x:v>
      </x:c>
      <x:c r="N2008" s="20" t="n">
        <x:v>43070</x:v>
      </x:c>
    </x:row>
    <x:row r="2009" ht="18" customHeight="1">
      <x:c r="A2009" t="str">
        <x:v>CA-2017-163510</x:v>
      </x:c>
      <x:c r="B2009" s="18" t="n">
        <x:v>43094</x:v>
      </x:c>
      <x:c r="C2009" t="str">
        <x:v>JW-15955</x:v>
      </x:c>
      <x:c r="D2009" t="str">
        <x:v>Joni Wasserman</x:v>
      </x:c>
      <x:c r="E2009" t="str">
        <x:v>Consumer</x:v>
      </x:c>
      <x:c r="F2009" t="str">
        <x:v>South</x:v>
      </x:c>
      <x:c r="G2009" t="str">
        <x:v>Furniture</x:v>
      </x:c>
      <x:c r="H2009" t="str">
        <x:v>Chairs</x:v>
      </x:c>
      <x:c r="I2009" s="22" t="n">
        <x:v>304.45</x:v>
      </x:c>
      <x:c r="J2009" s="24" t="n">
        <x:v>5</x:v>
      </x:c>
      <x:c r="K2009" s="26" t="n">
        <x:v>0</x:v>
      </x:c>
      <x:c r="L2009" s="22" t="n">
        <x:v>76.11249999999998</x:v>
      </x:c>
      <x:c r="M2009" t="n">
        <x:v>2017</x:v>
      </x:c>
      <x:c r="N2009" s="20" t="n">
        <x:v>43070</x:v>
      </x:c>
    </x:row>
    <x:row r="2010" ht="18" customHeight="1">
      <x:c r="A2010" t="str">
        <x:v>US-2017-143028</x:v>
      </x:c>
      <x:c r="B2010" s="18" t="n">
        <x:v>42836</x:v>
      </x:c>
      <x:c r="C2010" t="str">
        <x:v>SC-20050</x:v>
      </x:c>
      <x:c r="D2010" t="str">
        <x:v>Sample Company A</x:v>
      </x:c>
      <x:c r="E2010" t="str">
        <x:v>Home Office</x:v>
      </x:c>
      <x:c r="F2010" t="str">
        <x:v>Central</x:v>
      </x:c>
      <x:c r="G2010" t="str">
        <x:v>Office Supplies</x:v>
      </x:c>
      <x:c r="H2010" t="str">
        <x:v>Binders</x:v>
      </x:c>
      <x:c r="I2010" s="22" t="n">
        <x:v>11.363999999999997</x:v>
      </x:c>
      <x:c r="J2010" s="24" t="n">
        <x:v>3</x:v>
      </x:c>
      <x:c r="K2010" s="26" t="n">
        <x:v>0.8</x:v>
      </x:c>
      <x:c r="L2010" s="22" t="n">
        <x:v>-17.046</x:v>
      </x:c>
      <x:c r="M2010" t="n">
        <x:v>2017</x:v>
      </x:c>
      <x:c r="N2010" s="20" t="n">
        <x:v>42826</x:v>
      </x:c>
    </x:row>
    <x:row r="2011" ht="18" customHeight="1">
      <x:c r="A2011" t="str">
        <x:v>CA-2014-111150</x:v>
      </x:c>
      <x:c r="B2011" s="18" t="n">
        <x:v>42004</x:v>
      </x:c>
      <x:c r="C2011" t="str">
        <x:v>RW-19630</x:v>
      </x:c>
      <x:c r="D2011" t="str">
        <x:v>Rob Williams</x:v>
      </x:c>
      <x:c r="E2011" t="str">
        <x:v>Corporate</x:v>
      </x:c>
      <x:c r="F2011" t="str">
        <x:v>Central</x:v>
      </x:c>
      <x:c r="G2011" t="str">
        <x:v>Office Supplies</x:v>
      </x:c>
      <x:c r="H2011" t="str">
        <x:v>Art</x:v>
      </x:c>
      <x:c r="I2011" s="22" t="n">
        <x:v>29.68</x:v>
      </x:c>
      <x:c r="J2011" s="24" t="n">
        <x:v>7</x:v>
      </x:c>
      <x:c r="K2011" s="26" t="n">
        <x:v>0</x:v>
      </x:c>
      <x:c r="L2011" s="22" t="n">
        <x:v>11.575199999999999</x:v>
      </x:c>
      <x:c r="M2011" t="n">
        <x:v>2014</x:v>
      </x:c>
      <x:c r="N2011" s="20" t="n">
        <x:v>41974</x:v>
      </x:c>
    </x:row>
    <x:row r="2012" ht="18" customHeight="1">
      <x:c r="A2012" t="str">
        <x:v>CA-2014-111150</x:v>
      </x:c>
      <x:c r="B2012" s="18" t="n">
        <x:v>42004</x:v>
      </x:c>
      <x:c r="C2012" t="str">
        <x:v>RW-19630</x:v>
      </x:c>
      <x:c r="D2012" t="str">
        <x:v>Rob Williams</x:v>
      </x:c>
      <x:c r="E2012" t="str">
        <x:v>Corporate</x:v>
      </x:c>
      <x:c r="F2012" t="str">
        <x:v>Central</x:v>
      </x:c>
      <x:c r="G2012" t="str">
        <x:v>Technology</x:v>
      </x:c>
      <x:c r="H2012" t="str">
        <x:v>Accessories</x:v>
      </x:c>
      <x:c r="I2012" s="22" t="n">
        <x:v>47.53</x:v>
      </x:c>
      <x:c r="J2012" s="24" t="n">
        <x:v>7</x:v>
      </x:c>
      <x:c r="K2012" s="26" t="n">
        <x:v>0</x:v>
      </x:c>
      <x:c r="L2012" s="22" t="n">
        <x:v>16.160200000000003</x:v>
      </x:c>
      <x:c r="M2012" t="n">
        <x:v>2014</x:v>
      </x:c>
      <x:c r="N2012" s="20" t="n">
        <x:v>41974</x:v>
      </x:c>
    </x:row>
    <x:row r="2013" ht="18" customHeight="1">
      <x:c r="A2013" t="str">
        <x:v>CA-2017-165386</x:v>
      </x:c>
      <x:c r="B2013" s="18" t="n">
        <x:v>42950</x:v>
      </x:c>
      <x:c r="C2013" t="str">
        <x:v>CM-12190</x:v>
      </x:c>
      <x:c r="D2013" t="str">
        <x:v>Charlotte Melton</x:v>
      </x:c>
      <x:c r="E2013" t="str">
        <x:v>Consumer</x:v>
      </x:c>
      <x:c r="F2013" t="str">
        <x:v>Central</x:v>
      </x:c>
      <x:c r="G2013" t="str">
        <x:v>Furniture</x:v>
      </x:c>
      <x:c r="H2013" t="str">
        <x:v>Bookcases</x:v>
      </x:c>
      <x:c r="I2013" s="22" t="n">
        <x:v>183.37199999999999</x:v>
      </x:c>
      <x:c r="J2013" s="24" t="n">
        <x:v>2</x:v>
      </x:c>
      <x:c r="K2013" s="26" t="n">
        <x:v>0.3</x:v>
      </x:c>
      <x:c r="L2013" s="22" t="n">
        <x:v>-36.67439999999999</x:v>
      </x:c>
      <x:c r="M2013" t="n">
        <x:v>2017</x:v>
      </x:c>
      <x:c r="N2013" s="20" t="n">
        <x:v>42948</x:v>
      </x:c>
    </x:row>
    <x:row r="2014" ht="18" customHeight="1">
      <x:c r="A2014" t="str">
        <x:v>CA-2014-116407</x:v>
      </x:c>
      <x:c r="B2014" s="18" t="n">
        <x:v>41958</x:v>
      </x:c>
      <x:c r="C2014" t="str">
        <x:v>JF-15190</x:v>
      </x:c>
      <x:c r="D2014" t="str">
        <x:v>Jamie Frazer</x:v>
      </x:c>
      <x:c r="E2014" t="str">
        <x:v>Consumer</x:v>
      </x:c>
      <x:c r="F2014" t="str">
        <x:v>South</x:v>
      </x:c>
      <x:c r="G2014" t="str">
        <x:v>Office Supplies</x:v>
      </x:c>
      <x:c r="H2014" t="str">
        <x:v>Art</x:v>
      </x:c>
      <x:c r="I2014" s="22" t="n">
        <x:v>4.224</x:v>
      </x:c>
      <x:c r="J2014" s="24" t="n">
        <x:v>3</x:v>
      </x:c>
      <x:c r="K2014" s="26" t="n">
        <x:v>0.2</x:v>
      </x:c>
      <x:c r="L2014" s="22" t="n">
        <x:v>0.47519999999999984</x:v>
      </x:c>
      <x:c r="M2014" t="n">
        <x:v>2014</x:v>
      </x:c>
      <x:c r="N2014" s="20" t="n">
        <x:v>41944</x:v>
      </x:c>
    </x:row>
    <x:row r="2015" ht="18" customHeight="1">
      <x:c r="A2015" t="str">
        <x:v>CA-2014-116407</x:v>
      </x:c>
      <x:c r="B2015" s="18" t="n">
        <x:v>41958</x:v>
      </x:c>
      <x:c r="C2015" t="str">
        <x:v>JF-15190</x:v>
      </x:c>
      <x:c r="D2015" t="str">
        <x:v>Jamie Frazer</x:v>
      </x:c>
      <x:c r="E2015" t="str">
        <x:v>Consumer</x:v>
      </x:c>
      <x:c r="F2015" t="str">
        <x:v>South</x:v>
      </x:c>
      <x:c r="G2015" t="str">
        <x:v>Office Supplies</x:v>
      </x:c>
      <x:c r="H2015" t="str">
        <x:v>Appliances</x:v>
      </x:c>
      <x:c r="I2015" s="22" t="n">
        <x:v>333.05600000000004</x:v>
      </x:c>
      <x:c r="J2015" s="24" t="n">
        <x:v>2</x:v>
      </x:c>
      <x:c r="K2015" s="26" t="n">
        <x:v>0.2</x:v>
      </x:c>
      <x:c r="L2015" s="22" t="n">
        <x:v>29.14240000000001</x:v>
      </x:c>
      <x:c r="M2015" t="n">
        <x:v>2014</x:v>
      </x:c>
      <x:c r="N2015" s="20" t="n">
        <x:v>41944</x:v>
      </x:c>
    </x:row>
    <x:row r="2016" ht="18" customHeight="1">
      <x:c r="A2016" t="str">
        <x:v>CA-2014-116407</x:v>
      </x:c>
      <x:c r="B2016" s="18" t="n">
        <x:v>41958</x:v>
      </x:c>
      <x:c r="C2016" t="str">
        <x:v>JF-15190</x:v>
      </x:c>
      <x:c r="D2016" t="str">
        <x:v>Jamie Frazer</x:v>
      </x:c>
      <x:c r="E2016" t="str">
        <x:v>Consumer</x:v>
      </x:c>
      <x:c r="F2016" t="str">
        <x:v>South</x:v>
      </x:c>
      <x:c r="G2016" t="str">
        <x:v>Office Supplies</x:v>
      </x:c>
      <x:c r="H2016" t="str">
        <x:v>Paper</x:v>
      </x:c>
      <x:c r="I2016" s="22" t="n">
        <x:v>24.896</x:v>
      </x:c>
      <x:c r="J2016" s="24" t="n">
        <x:v>4</x:v>
      </x:c>
      <x:c r="K2016" s="26" t="n">
        <x:v>0.2</x:v>
      </x:c>
      <x:c r="L2016" s="22" t="n">
        <x:v>7.779999999999998</x:v>
      </x:c>
      <x:c r="M2016" t="n">
        <x:v>2014</x:v>
      </x:c>
      <x:c r="N2016" s="20" t="n">
        <x:v>41944</x:v>
      </x:c>
    </x:row>
    <x:row r="2017" ht="18" customHeight="1">
      <x:c r="A2017" t="str">
        <x:v>CA-2015-155761</x:v>
      </x:c>
      <x:c r="B2017" s="18" t="n">
        <x:v>42349</x:v>
      </x:c>
      <x:c r="C2017" t="str">
        <x:v>SC-20800</x:v>
      </x:c>
      <x:c r="D2017" t="str">
        <x:v>Stuart Calhoun</x:v>
      </x:c>
      <x:c r="E2017" t="str">
        <x:v>Consumer</x:v>
      </x:c>
      <x:c r="F2017" t="str">
        <x:v>Central</x:v>
      </x:c>
      <x:c r="G2017" t="str">
        <x:v>Technology</x:v>
      </x:c>
      <x:c r="H2017" t="str">
        <x:v>Accessories</x:v>
      </x:c>
      <x:c r="I2017" s="22" t="n">
        <x:v>159.984</x:v>
      </x:c>
      <x:c r="J2017" s="24" t="n">
        <x:v>2</x:v>
      </x:c>
      <x:c r="K2017" s="26" t="n">
        <x:v>0.2</x:v>
      </x:c>
      <x:c r="L2017" s="22" t="n">
        <x:v>35.9964</x:v>
      </x:c>
      <x:c r="M2017" t="n">
        <x:v>2015</x:v>
      </x:c>
      <x:c r="N2017" s="20" t="n">
        <x:v>42339</x:v>
      </x:c>
    </x:row>
    <x:row r="2018" ht="18" customHeight="1">
      <x:c r="A2018" t="str">
        <x:v>CA-2015-155761</x:v>
      </x:c>
      <x:c r="B2018" s="18" t="n">
        <x:v>42349</x:v>
      </x:c>
      <x:c r="C2018" t="str">
        <x:v>SC-20800</x:v>
      </x:c>
      <x:c r="D2018" t="str">
        <x:v>Stuart Calhoun</x:v>
      </x:c>
      <x:c r="E2018" t="str">
        <x:v>Consumer</x:v>
      </x:c>
      <x:c r="F2018" t="str">
        <x:v>Central</x:v>
      </x:c>
      <x:c r="G2018" t="str">
        <x:v>Office Supplies</x:v>
      </x:c>
      <x:c r="H2018" t="str">
        <x:v>Storage</x:v>
      </x:c>
      <x:c r="I2018" s="22" t="n">
        <x:v>46.344</x:v>
      </x:c>
      <x:c r="J2018" s="24" t="n">
        <x:v>3</x:v>
      </x:c>
      <x:c r="K2018" s="26" t="n">
        <x:v>0.2</x:v>
      </x:c>
      <x:c r="L2018" s="22" t="n">
        <x:v>4.634400000000001</x:v>
      </x:c>
      <x:c r="M2018" t="n">
        <x:v>2015</x:v>
      </x:c>
      <x:c r="N2018" s="20" t="n">
        <x:v>42339</x:v>
      </x:c>
    </x:row>
    <x:row r="2019" ht="18" customHeight="1">
      <x:c r="A2019" t="str">
        <x:v>CA-2016-145905</x:v>
      </x:c>
      <x:c r="B2019" s="18" t="n">
        <x:v>42631</x:v>
      </x:c>
      <x:c r="C2019" t="str">
        <x:v>AM-10705</x:v>
      </x:c>
      <x:c r="D2019" t="str">
        <x:v>Anne McFarland</x:v>
      </x:c>
      <x:c r="E2019" t="str">
        <x:v>Consumer</x:v>
      </x:c>
      <x:c r="F2019" t="str">
        <x:v>South</x:v>
      </x:c>
      <x:c r="G2019" t="str">
        <x:v>Furniture</x:v>
      </x:c>
      <x:c r="H2019" t="str">
        <x:v>Chairs</x:v>
      </x:c>
      <x:c r="I2019" s="22" t="n">
        <x:v>350.98</x:v>
      </x:c>
      <x:c r="J2019" s="24" t="n">
        <x:v>1</x:v>
      </x:c>
      <x:c r="K2019" s="26" t="n">
        <x:v>0</x:v>
      </x:c>
      <x:c r="L2019" s="22" t="n">
        <x:v>84.23520000000002</x:v>
      </x:c>
      <x:c r="M2019" t="n">
        <x:v>2016</x:v>
      </x:c>
      <x:c r="N2019" s="20" t="n">
        <x:v>42614</x:v>
      </x:c>
    </x:row>
    <x:row r="2020" ht="18" customHeight="1">
      <x:c r="A2020" t="str">
        <x:v>CA-2016-145905</x:v>
      </x:c>
      <x:c r="B2020" s="18" t="n">
        <x:v>42631</x:v>
      </x:c>
      <x:c r="C2020" t="str">
        <x:v>AM-10705</x:v>
      </x:c>
      <x:c r="D2020" t="str">
        <x:v>Anne McFarland</x:v>
      </x:c>
      <x:c r="E2020" t="str">
        <x:v>Consumer</x:v>
      </x:c>
      <x:c r="F2020" t="str">
        <x:v>South</x:v>
      </x:c>
      <x:c r="G2020" t="str">
        <x:v>Office Supplies</x:v>
      </x:c>
      <x:c r="H2020" t="str">
        <x:v>Paper</x:v>
      </x:c>
      <x:c r="I2020" s="22" t="n">
        <x:v>13.08</x:v>
      </x:c>
      <x:c r="J2020" s="24" t="n">
        <x:v>2</x:v>
      </x:c>
      <x:c r="K2020" s="26" t="n">
        <x:v>0</x:v>
      </x:c>
      <x:c r="L2020" s="22" t="n">
        <x:v>6.0168</x:v>
      </x:c>
      <x:c r="M2020" t="n">
        <x:v>2016</x:v>
      </x:c>
      <x:c r="N2020" s="20" t="n">
        <x:v>42614</x:v>
      </x:c>
    </x:row>
    <x:row r="2021" ht="18" customHeight="1">
      <x:c r="A2021" t="str">
        <x:v>CA-2016-145905</x:v>
      </x:c>
      <x:c r="B2021" s="18" t="n">
        <x:v>42631</x:v>
      </x:c>
      <x:c r="C2021" t="str">
        <x:v>AM-10705</x:v>
      </x:c>
      <x:c r="D2021" t="str">
        <x:v>Anne McFarland</x:v>
      </x:c>
      <x:c r="E2021" t="str">
        <x:v>Consumer</x:v>
      </x:c>
      <x:c r="F2021" t="str">
        <x:v>South</x:v>
      </x:c>
      <x:c r="G2021" t="str">
        <x:v>Office Supplies</x:v>
      </x:c>
      <x:c r="H2021" t="str">
        <x:v>Storage</x:v>
      </x:c>
      <x:c r="I2021" s="22" t="n">
        <x:v>900.08</x:v>
      </x:c>
      <x:c r="J2021" s="24" t="n">
        <x:v>4</x:v>
      </x:c>
      <x:c r="K2021" s="26" t="n">
        <x:v>0</x:v>
      </x:c>
      <x:c r="L2021" s="22" t="n">
        <x:v>117.0104</x:v>
      </x:c>
      <x:c r="M2021" t="n">
        <x:v>2016</x:v>
      </x:c>
      <x:c r="N2021" s="20" t="n">
        <x:v>42614</x:v>
      </x:c>
    </x:row>
    <x:row r="2022" ht="18" customHeight="1">
      <x:c r="A2022" t="str">
        <x:v>CA-2015-113110</x:v>
      </x:c>
      <x:c r="B2022" s="18" t="n">
        <x:v>42082</x:v>
      </x:c>
      <x:c r="C2022" t="str">
        <x:v>BK-11260</x:v>
      </x:c>
      <x:c r="D2022" t="str">
        <x:v>Berenike Kampe</x:v>
      </x:c>
      <x:c r="E2022" t="str">
        <x:v>Consumer</x:v>
      </x:c>
      <x:c r="F2022" t="str">
        <x:v>West</x:v>
      </x:c>
      <x:c r="G2022" t="str">
        <x:v>Office Supplies</x:v>
      </x:c>
      <x:c r="H2022" t="str">
        <x:v>Binders</x:v>
      </x:c>
      <x:c r="I2022" s="22" t="n">
        <x:v>17.568</x:v>
      </x:c>
      <x:c r="J2022" s="24" t="n">
        <x:v>2</x:v>
      </x:c>
      <x:c r="K2022" s="26" t="n">
        <x:v>0.2</x:v>
      </x:c>
      <x:c r="L2022" s="22" t="n">
        <x:v>6.3684</x:v>
      </x:c>
      <x:c r="M2022" t="n">
        <x:v>2015</x:v>
      </x:c>
      <x:c r="N2022" s="20" t="n">
        <x:v>42064</x:v>
      </x:c>
    </x:row>
    <x:row r="2023" ht="18" customHeight="1">
      <x:c r="A2023" t="str">
        <x:v>CA-2015-113110</x:v>
      </x:c>
      <x:c r="B2023" s="18" t="n">
        <x:v>42082</x:v>
      </x:c>
      <x:c r="C2023" t="str">
        <x:v>BK-11260</x:v>
      </x:c>
      <x:c r="D2023" t="str">
        <x:v>Berenike Kampe</x:v>
      </x:c>
      <x:c r="E2023" t="str">
        <x:v>Consumer</x:v>
      </x:c>
      <x:c r="F2023" t="str">
        <x:v>West</x:v>
      </x:c>
      <x:c r="G2023" t="str">
        <x:v>Office Supplies</x:v>
      </x:c>
      <x:c r="H2023" t="str">
        <x:v>Labels</x:v>
      </x:c>
      <x:c r="I2023" s="22" t="n">
        <x:v>14.62</x:v>
      </x:c>
      <x:c r="J2023" s="24" t="n">
        <x:v>2</x:v>
      </x:c>
      <x:c r="K2023" s="26" t="n">
        <x:v>0</x:v>
      </x:c>
      <x:c r="L2023" s="22" t="n">
        <x:v>6.8713999999999995</x:v>
      </x:c>
      <x:c r="M2023" t="n">
        <x:v>2015</x:v>
      </x:c>
      <x:c r="N2023" s="20" t="n">
        <x:v>42064</x:v>
      </x:c>
    </x:row>
    <x:row r="2024" ht="18" customHeight="1">
      <x:c r="A2024" t="str">
        <x:v>CA-2015-113110</x:v>
      </x:c>
      <x:c r="B2024" s="18" t="n">
        <x:v>42082</x:v>
      </x:c>
      <x:c r="C2024" t="str">
        <x:v>BK-11260</x:v>
      </x:c>
      <x:c r="D2024" t="str">
        <x:v>Berenike Kampe</x:v>
      </x:c>
      <x:c r="E2024" t="str">
        <x:v>Consumer</x:v>
      </x:c>
      <x:c r="F2024" t="str">
        <x:v>West</x:v>
      </x:c>
      <x:c r="G2024" t="str">
        <x:v>Office Supplies</x:v>
      </x:c>
      <x:c r="H2024" t="str">
        <x:v>Supplies</x:v>
      </x:c>
      <x:c r="I2024" s="22" t="n">
        <x:v>33.36</x:v>
      </x:c>
      <x:c r="J2024" s="24" t="n">
        <x:v>4</x:v>
      </x:c>
      <x:c r="K2024" s="26" t="n">
        <x:v>0</x:v>
      </x:c>
      <x:c r="L2024" s="22" t="n">
        <x:v>8.6736</x:v>
      </x:c>
      <x:c r="M2024" t="n">
        <x:v>2015</x:v>
      </x:c>
      <x:c r="N2024" s="20" t="n">
        <x:v>42064</x:v>
      </x:c>
    </x:row>
    <x:row r="2025" ht="18" customHeight="1">
      <x:c r="A2025" t="str">
        <x:v>CA-2015-113110</x:v>
      </x:c>
      <x:c r="B2025" s="18" t="n">
        <x:v>42082</x:v>
      </x:c>
      <x:c r="C2025" t="str">
        <x:v>BK-11260</x:v>
      </x:c>
      <x:c r="D2025" t="str">
        <x:v>Berenike Kampe</x:v>
      </x:c>
      <x:c r="E2025" t="str">
        <x:v>Consumer</x:v>
      </x:c>
      <x:c r="F2025" t="str">
        <x:v>West</x:v>
      </x:c>
      <x:c r="G2025" t="str">
        <x:v>Office Supplies</x:v>
      </x:c>
      <x:c r="H2025" t="str">
        <x:v>Paper</x:v>
      </x:c>
      <x:c r="I2025" s="22" t="n">
        <x:v>40.14</x:v>
      </x:c>
      <x:c r="J2025" s="24" t="n">
        <x:v>6</x:v>
      </x:c>
      <x:c r="K2025" s="26" t="n">
        <x:v>0</x:v>
      </x:c>
      <x:c r="L2025" s="22" t="n">
        <x:v>19.6686</x:v>
      </x:c>
      <x:c r="M2025" t="n">
        <x:v>2015</x:v>
      </x:c>
      <x:c r="N2025" s="20" t="n">
        <x:v>42064</x:v>
      </x:c>
    </x:row>
    <x:row r="2026" ht="18" customHeight="1">
      <x:c r="A2026" t="str">
        <x:v>CA-2016-168354</x:v>
      </x:c>
      <x:c r="B2026" s="18" t="n">
        <x:v>42632</x:v>
      </x:c>
      <x:c r="C2026" t="str">
        <x:v>RH-19510</x:v>
      </x:c>
      <x:c r="D2026" t="str">
        <x:v>Rick Huthwaite</x:v>
      </x:c>
      <x:c r="E2026" t="str">
        <x:v>Home Office</x:v>
      </x:c>
      <x:c r="F2026" t="str">
        <x:v>East</x:v>
      </x:c>
      <x:c r="G2026" t="str">
        <x:v>Office Supplies</x:v>
      </x:c>
      <x:c r="H2026" t="str">
        <x:v>Storage</x:v>
      </x:c>
      <x:c r="I2026" s="22" t="n">
        <x:v>1606.23</x:v>
      </x:c>
      <x:c r="J2026" s="24" t="n">
        <x:v>9</x:v>
      </x:c>
      <x:c r="K2026" s="26" t="n">
        <x:v>0</x:v>
      </x:c>
      <x:c r="L2026" s="22" t="n">
        <x:v>481.86899999999986</x:v>
      </x:c>
      <x:c r="M2026" t="n">
        <x:v>2016</x:v>
      </x:c>
      <x:c r="N2026" s="20" t="n">
        <x:v>42614</x:v>
      </x:c>
    </x:row>
    <x:row r="2027" ht="18" customHeight="1">
      <x:c r="A2027" t="str">
        <x:v>CA-2016-168354</x:v>
      </x:c>
      <x:c r="B2027" s="18" t="n">
        <x:v>42632</x:v>
      </x:c>
      <x:c r="C2027" t="str">
        <x:v>RH-19510</x:v>
      </x:c>
      <x:c r="D2027" t="str">
        <x:v>Rick Huthwaite</x:v>
      </x:c>
      <x:c r="E2027" t="str">
        <x:v>Home Office</x:v>
      </x:c>
      <x:c r="F2027" t="str">
        <x:v>East</x:v>
      </x:c>
      <x:c r="G2027" t="str">
        <x:v>Office Supplies</x:v>
      </x:c>
      <x:c r="H2027" t="str">
        <x:v>Paper</x:v>
      </x:c>
      <x:c r="I2027" s="22" t="n">
        <x:v>17.04</x:v>
      </x:c>
      <x:c r="J2027" s="24" t="n">
        <x:v>3</x:v>
      </x:c>
      <x:c r="K2027" s="26" t="n">
        <x:v>0</x:v>
      </x:c>
      <x:c r="L2027" s="22" t="n">
        <x:v>7.667999999999999</x:v>
      </x:c>
      <x:c r="M2027" t="n">
        <x:v>2016</x:v>
      </x:c>
      <x:c r="N2027" s="20" t="n">
        <x:v>42614</x:v>
      </x:c>
    </x:row>
    <x:row r="2028" ht="18" customHeight="1">
      <x:c r="A2028" t="str">
        <x:v>CA-2016-168354</x:v>
      </x:c>
      <x:c r="B2028" s="18" t="n">
        <x:v>42632</x:v>
      </x:c>
      <x:c r="C2028" t="str">
        <x:v>RH-19510</x:v>
      </x:c>
      <x:c r="D2028" t="str">
        <x:v>Rick Huthwaite</x:v>
      </x:c>
      <x:c r="E2028" t="str">
        <x:v>Home Office</x:v>
      </x:c>
      <x:c r="F2028" t="str">
        <x:v>East</x:v>
      </x:c>
      <x:c r="G2028" t="str">
        <x:v>Office Supplies</x:v>
      </x:c>
      <x:c r="H2028" t="str">
        <x:v>Binders</x:v>
      </x:c>
      <x:c r="I2028" s="22" t="n">
        <x:v>49.53</x:v>
      </x:c>
      <x:c r="J2028" s="24" t="n">
        <x:v>3</x:v>
      </x:c>
      <x:c r="K2028" s="26" t="n">
        <x:v>0</x:v>
      </x:c>
      <x:c r="L2028" s="22" t="n">
        <x:v>23.774400000000004</x:v>
      </x:c>
      <x:c r="M2028" t="n">
        <x:v>2016</x:v>
      </x:c>
      <x:c r="N2028" s="20" t="n">
        <x:v>42614</x:v>
      </x:c>
    </x:row>
    <x:row r="2029" ht="18" customHeight="1">
      <x:c r="A2029" t="str">
        <x:v>CA-2016-168354</x:v>
      </x:c>
      <x:c r="B2029" s="18" t="n">
        <x:v>42632</x:v>
      </x:c>
      <x:c r="C2029" t="str">
        <x:v>RH-19510</x:v>
      </x:c>
      <x:c r="D2029" t="str">
        <x:v>Rick Huthwaite</x:v>
      </x:c>
      <x:c r="E2029" t="str">
        <x:v>Home Office</x:v>
      </x:c>
      <x:c r="F2029" t="str">
        <x:v>East</x:v>
      </x:c>
      <x:c r="G2029" t="str">
        <x:v>Furniture</x:v>
      </x:c>
      <x:c r="H2029" t="str">
        <x:v>Chairs</x:v>
      </x:c>
      <x:c r="I2029" s="22" t="n">
        <x:v>872.32</x:v>
      </x:c>
      <x:c r="J2029" s="24" t="n">
        <x:v>4</x:v>
      </x:c>
      <x:c r="K2029" s="26" t="n">
        <x:v>0</x:v>
      </x:c>
      <x:c r="L2029" s="22" t="n">
        <x:v>244.2496</x:v>
      </x:c>
      <x:c r="M2029" t="n">
        <x:v>2016</x:v>
      </x:c>
      <x:c r="N2029" s="20" t="n">
        <x:v>42614</x:v>
      </x:c>
    </x:row>
    <x:row r="2030" ht="18" customHeight="1">
      <x:c r="A2030" t="str">
        <x:v>US-2017-111241</x:v>
      </x:c>
      <x:c r="B2030" s="18" t="n">
        <x:v>42967</x:v>
      </x:c>
      <x:c r="C2030" t="str">
        <x:v>GM-14500</x:v>
      </x:c>
      <x:c r="D2030" t="str">
        <x:v>Gene McClure</x:v>
      </x:c>
      <x:c r="E2030" t="str">
        <x:v>Consumer</x:v>
      </x:c>
      <x:c r="F2030" t="str">
        <x:v>West</x:v>
      </x:c>
      <x:c r="G2030" t="str">
        <x:v>Office Supplies</x:v>
      </x:c>
      <x:c r="H2030" t="str">
        <x:v>Binders</x:v>
      </x:c>
      <x:c r="I2030" s="22" t="n">
        <x:v>239.12000000000003</x:v>
      </x:c>
      <x:c r="J2030" s="24" t="n">
        <x:v>5</x:v>
      </x:c>
      <x:c r="K2030" s="26" t="n">
        <x:v>0.2</x:v>
      </x:c>
      <x:c r="L2030" s="22" t="n">
        <x:v>77.71399999999997</x:v>
      </x:c>
      <x:c r="M2030" t="n">
        <x:v>2017</x:v>
      </x:c>
      <x:c r="N2030" s="20" t="n">
        <x:v>42948</x:v>
      </x:c>
    </x:row>
    <x:row r="2031" ht="18" customHeight="1">
      <x:c r="A2031" t="str">
        <x:v>CA-2015-114237</x:v>
      </x:c>
      <x:c r="B2031" s="18" t="n">
        <x:v>42076</x:v>
      </x:c>
      <x:c r="C2031" t="str">
        <x:v>MC-17275</x:v>
      </x:c>
      <x:c r="D2031" t="str">
        <x:v>Marc Crier</x:v>
      </x:c>
      <x:c r="E2031" t="str">
        <x:v>Consumer</x:v>
      </x:c>
      <x:c r="F2031" t="str">
        <x:v>West</x:v>
      </x:c>
      <x:c r="G2031" t="str">
        <x:v>Furniture</x:v>
      </x:c>
      <x:c r="H2031" t="str">
        <x:v>Bookcases</x:v>
      </x:c>
      <x:c r="I2031" s="22" t="n">
        <x:v>141.96</x:v>
      </x:c>
      <x:c r="J2031" s="24" t="n">
        <x:v>2</x:v>
      </x:c>
      <x:c r="K2031" s="26" t="n">
        <x:v>0</x:v>
      </x:c>
      <x:c r="L2031" s="22" t="n">
        <x:v>39.7488</x:v>
      </x:c>
      <x:c r="M2031" t="n">
        <x:v>2015</x:v>
      </x:c>
      <x:c r="N2031" s="20" t="n">
        <x:v>42064</x:v>
      </x:c>
    </x:row>
    <x:row r="2032" ht="18" customHeight="1">
      <x:c r="A2032" t="str">
        <x:v>CA-2016-113516</x:v>
      </x:c>
      <x:c r="B2032" s="18" t="n">
        <x:v>42621</x:v>
      </x:c>
      <x:c r="C2032" t="str">
        <x:v>VM-21685</x:v>
      </x:c>
      <x:c r="D2032" t="str">
        <x:v>Valerie Mitchum</x:v>
      </x:c>
      <x:c r="E2032" t="str">
        <x:v>Home Office</x:v>
      </x:c>
      <x:c r="F2032" t="str">
        <x:v>West</x:v>
      </x:c>
      <x:c r="G2032" t="str">
        <x:v>Office Supplies</x:v>
      </x:c>
      <x:c r="H2032" t="str">
        <x:v>Binders</x:v>
      </x:c>
      <x:c r="I2032" s="22" t="n">
        <x:v>33.024</x:v>
      </x:c>
      <x:c r="J2032" s="24" t="n">
        <x:v>2</x:v>
      </x:c>
      <x:c r="K2032" s="26" t="n">
        <x:v>0.2</x:v>
      </x:c>
      <x:c r="L2032" s="22" t="n">
        <x:v>11.558399999999999</x:v>
      </x:c>
      <x:c r="M2032" t="n">
        <x:v>2016</x:v>
      </x:c>
      <x:c r="N2032" s="20" t="n">
        <x:v>42614</x:v>
      </x:c>
    </x:row>
    <x:row r="2033" ht="18" customHeight="1">
      <x:c r="A2033" t="str">
        <x:v>CA-2016-113516</x:v>
      </x:c>
      <x:c r="B2033" s="18" t="n">
        <x:v>42621</x:v>
      </x:c>
      <x:c r="C2033" t="str">
        <x:v>VM-21685</x:v>
      </x:c>
      <x:c r="D2033" t="str">
        <x:v>Valerie Mitchum</x:v>
      </x:c>
      <x:c r="E2033" t="str">
        <x:v>Home Office</x:v>
      </x:c>
      <x:c r="F2033" t="str">
        <x:v>West</x:v>
      </x:c>
      <x:c r="G2033" t="str">
        <x:v>Office Supplies</x:v>
      </x:c>
      <x:c r="H2033" t="str">
        <x:v>Binders</x:v>
      </x:c>
      <x:c r="I2033" s="22" t="n">
        <x:v>67.13600000000001</x:v>
      </x:c>
      <x:c r="J2033" s="24" t="n">
        <x:v>4</x:v>
      </x:c>
      <x:c r="K2033" s="26" t="n">
        <x:v>0.2</x:v>
      </x:c>
      <x:c r="L2033" s="22" t="n">
        <x:v>23.497599999999995</x:v>
      </x:c>
      <x:c r="M2033" t="n">
        <x:v>2016</x:v>
      </x:c>
      <x:c r="N2033" s="20" t="n">
        <x:v>42614</x:v>
      </x:c>
    </x:row>
    <x:row r="2034" ht="18" customHeight="1">
      <x:c r="A2034" t="str">
        <x:v>CA-2015-117961</x:v>
      </x:c>
      <x:c r="B2034" s="18" t="n">
        <x:v>42334</x:v>
      </x:c>
      <x:c r="C2034" t="str">
        <x:v>GP-14740</x:v>
      </x:c>
      <x:c r="D2034" t="str">
        <x:v>Guy Phonely</x:v>
      </x:c>
      <x:c r="E2034" t="str">
        <x:v>Corporate</x:v>
      </x:c>
      <x:c r="F2034" t="str">
        <x:v>East</x:v>
      </x:c>
      <x:c r="G2034" t="str">
        <x:v>Office Supplies</x:v>
      </x:c>
      <x:c r="H2034" t="str">
        <x:v>Binders</x:v>
      </x:c>
      <x:c r="I2034" s="22" t="n">
        <x:v>14.73</x:v>
      </x:c>
      <x:c r="J2034" s="24" t="n">
        <x:v>3</x:v>
      </x:c>
      <x:c r="K2034" s="26" t="n">
        <x:v>0</x:v>
      </x:c>
      <x:c r="L2034" s="22" t="n">
        <x:v>6.9231</x:v>
      </x:c>
      <x:c r="M2034" t="n">
        <x:v>2015</x:v>
      </x:c>
      <x:c r="N2034" s="20" t="n">
        <x:v>42309</x:v>
      </x:c>
    </x:row>
    <x:row r="2035" ht="18" customHeight="1">
      <x:c r="A2035" t="str">
        <x:v>CA-2015-117961</x:v>
      </x:c>
      <x:c r="B2035" s="18" t="n">
        <x:v>42334</x:v>
      </x:c>
      <x:c r="C2035" t="str">
        <x:v>GP-14740</x:v>
      </x:c>
      <x:c r="D2035" t="str">
        <x:v>Guy Phonely</x:v>
      </x:c>
      <x:c r="E2035" t="str">
        <x:v>Corporate</x:v>
      </x:c>
      <x:c r="F2035" t="str">
        <x:v>East</x:v>
      </x:c>
      <x:c r="G2035" t="str">
        <x:v>Office Supplies</x:v>
      </x:c>
      <x:c r="H2035" t="str">
        <x:v>Storage</x:v>
      </x:c>
      <x:c r="I2035" s="22" t="n">
        <x:v>104.9</x:v>
      </x:c>
      <x:c r="J2035" s="24" t="n">
        <x:v>5</x:v>
      </x:c>
      <x:c r="K2035" s="26" t="n">
        <x:v>0</x:v>
      </x:c>
      <x:c r="L2035" s="22" t="n">
        <x:v>25.176</x:v>
      </x:c>
      <x:c r="M2035" t="n">
        <x:v>2015</x:v>
      </x:c>
      <x:c r="N2035" s="20" t="n">
        <x:v>42309</x:v>
      </x:c>
    </x:row>
    <x:row r="2036" ht="18" customHeight="1">
      <x:c r="A2036" t="str">
        <x:v>CA-2015-117961</x:v>
      </x:c>
      <x:c r="B2036" s="18" t="n">
        <x:v>42334</x:v>
      </x:c>
      <x:c r="C2036" t="str">
        <x:v>GP-14740</x:v>
      </x:c>
      <x:c r="D2036" t="str">
        <x:v>Guy Phonely</x:v>
      </x:c>
      <x:c r="E2036" t="str">
        <x:v>Corporate</x:v>
      </x:c>
      <x:c r="F2036" t="str">
        <x:v>East</x:v>
      </x:c>
      <x:c r="G2036" t="str">
        <x:v>Office Supplies</x:v>
      </x:c>
      <x:c r="H2036" t="str">
        <x:v>Binders</x:v>
      </x:c>
      <x:c r="I2036" s="22" t="n">
        <x:v>61.04</x:v>
      </x:c>
      <x:c r="J2036" s="24" t="n">
        <x:v>4</x:v>
      </x:c>
      <x:c r="K2036" s="26" t="n">
        <x:v>0</x:v>
      </x:c>
      <x:c r="L2036" s="22" t="n">
        <x:v>30.52</x:v>
      </x:c>
      <x:c r="M2036" t="n">
        <x:v>2015</x:v>
      </x:c>
      <x:c r="N2036" s="20" t="n">
        <x:v>42309</x:v>
      </x:c>
    </x:row>
    <x:row r="2037" ht="18" customHeight="1">
      <x:c r="A2037" t="str">
        <x:v>CA-2015-117961</x:v>
      </x:c>
      <x:c r="B2037" s="18" t="n">
        <x:v>42334</x:v>
      </x:c>
      <x:c r="C2037" t="str">
        <x:v>GP-14740</x:v>
      </x:c>
      <x:c r="D2037" t="str">
        <x:v>Guy Phonely</x:v>
      </x:c>
      <x:c r="E2037" t="str">
        <x:v>Corporate</x:v>
      </x:c>
      <x:c r="F2037" t="str">
        <x:v>East</x:v>
      </x:c>
      <x:c r="G2037" t="str">
        <x:v>Office Supplies</x:v>
      </x:c>
      <x:c r="H2037" t="str">
        <x:v>Paper</x:v>
      </x:c>
      <x:c r="I2037" s="22" t="n">
        <x:v>10.95</x:v>
      </x:c>
      <x:c r="J2037" s="24" t="n">
        <x:v>3</x:v>
      </x:c>
      <x:c r="K2037" s="26" t="n">
        <x:v>0</x:v>
      </x:c>
      <x:c r="L2037" s="22" t="n">
        <x:v>5.1465</x:v>
      </x:c>
      <x:c r="M2037" t="n">
        <x:v>2015</x:v>
      </x:c>
      <x:c r="N2037" s="20" t="n">
        <x:v>42309</x:v>
      </x:c>
    </x:row>
    <x:row r="2038" ht="18" customHeight="1">
      <x:c r="A2038" t="str">
        <x:v>CA-2016-128923</x:v>
      </x:c>
      <x:c r="B2038" s="18" t="n">
        <x:v>42713</x:v>
      </x:c>
      <x:c r="C2038" t="str">
        <x:v>GB-14530</x:v>
      </x:c>
      <x:c r="D2038" t="str">
        <x:v>George Bell</x:v>
      </x:c>
      <x:c r="E2038" t="str">
        <x:v>Corporate</x:v>
      </x:c>
      <x:c r="F2038" t="str">
        <x:v>Central</x:v>
      </x:c>
      <x:c r="G2038" t="str">
        <x:v>Office Supplies</x:v>
      </x:c>
      <x:c r="H2038" t="str">
        <x:v>Paper</x:v>
      </x:c>
      <x:c r="I2038" s="22" t="n">
        <x:v>9.392000000000001</x:v>
      </x:c>
      <x:c r="J2038" s="24" t="n">
        <x:v>2</x:v>
      </x:c>
      <x:c r="K2038" s="26" t="n">
        <x:v>0.2</x:v>
      </x:c>
      <x:c r="L2038" s="22" t="n">
        <x:v>3.2872</x:v>
      </x:c>
      <x:c r="M2038" t="n">
        <x:v>2016</x:v>
      </x:c>
      <x:c r="N2038" s="20" t="n">
        <x:v>42705</x:v>
      </x:c>
    </x:row>
    <x:row r="2039" ht="18" customHeight="1">
      <x:c r="A2039" t="str">
        <x:v>CA-2016-128923</x:v>
      </x:c>
      <x:c r="B2039" s="18" t="n">
        <x:v>42713</x:v>
      </x:c>
      <x:c r="C2039" t="str">
        <x:v>GB-14530</x:v>
      </x:c>
      <x:c r="D2039" t="str">
        <x:v>George Bell</x:v>
      </x:c>
      <x:c r="E2039" t="str">
        <x:v>Corporate</x:v>
      </x:c>
      <x:c r="F2039" t="str">
        <x:v>Central</x:v>
      </x:c>
      <x:c r="G2039" t="str">
        <x:v>Office Supplies</x:v>
      </x:c>
      <x:c r="H2039" t="str">
        <x:v>Art</x:v>
      </x:c>
      <x:c r="I2039" s="22" t="n">
        <x:v>9.328000000000001</x:v>
      </x:c>
      <x:c r="J2039" s="24" t="n">
        <x:v>1</x:v>
      </x:c>
      <x:c r="K2039" s="26" t="n">
        <x:v>0.2</x:v>
      </x:c>
      <x:c r="L2039" s="22" t="n">
        <x:v>0.8162000000000007</x:v>
      </x:c>
      <x:c r="M2039" t="n">
        <x:v>2016</x:v>
      </x:c>
      <x:c r="N2039" s="20" t="n">
        <x:v>42705</x:v>
      </x:c>
    </x:row>
    <x:row r="2040" ht="18" customHeight="1">
      <x:c r="A2040" t="str">
        <x:v>CA-2017-162481</x:v>
      </x:c>
      <x:c r="B2040" s="18" t="n">
        <x:v>43003</x:v>
      </x:c>
      <x:c r="C2040" t="str">
        <x:v>CT-11995</x:v>
      </x:c>
      <x:c r="D2040" t="str">
        <x:v>Carol Triggs</x:v>
      </x:c>
      <x:c r="E2040" t="str">
        <x:v>Consumer</x:v>
      </x:c>
      <x:c r="F2040" t="str">
        <x:v>Central</x:v>
      </x:c>
      <x:c r="G2040" t="str">
        <x:v>Office Supplies</x:v>
      </x:c>
      <x:c r="H2040" t="str">
        <x:v>Binders</x:v>
      </x:c>
      <x:c r="I2040" s="22" t="n">
        <x:v>8.26</x:v>
      </x:c>
      <x:c r="J2040" s="24" t="n">
        <x:v>2</x:v>
      </x:c>
      <x:c r="K2040" s="26" t="n">
        <x:v>0</x:v>
      </x:c>
      <x:c r="L2040" s="22" t="n">
        <x:v>3.8822</x:v>
      </x:c>
      <x:c r="M2040" t="n">
        <x:v>2017</x:v>
      </x:c>
      <x:c r="N2040" s="20" t="n">
        <x:v>42979</x:v>
      </x:c>
    </x:row>
    <x:row r="2041" ht="18" customHeight="1">
      <x:c r="A2041" t="str">
        <x:v>CA-2017-162481</x:v>
      </x:c>
      <x:c r="B2041" s="18" t="n">
        <x:v>43003</x:v>
      </x:c>
      <x:c r="C2041" t="str">
        <x:v>CT-11995</x:v>
      </x:c>
      <x:c r="D2041" t="str">
        <x:v>Carol Triggs</x:v>
      </x:c>
      <x:c r="E2041" t="str">
        <x:v>Consumer</x:v>
      </x:c>
      <x:c r="F2041" t="str">
        <x:v>Central</x:v>
      </x:c>
      <x:c r="G2041" t="str">
        <x:v>Furniture</x:v>
      </x:c>
      <x:c r="H2041" t="str">
        <x:v>Chairs</x:v>
      </x:c>
      <x:c r="I2041" s="22" t="n">
        <x:v>269.96999999999997</x:v>
      </x:c>
      <x:c r="J2041" s="24" t="n">
        <x:v>3</x:v>
      </x:c>
      <x:c r="K2041" s="26" t="n">
        <x:v>0</x:v>
      </x:c>
      <x:c r="L2041" s="22" t="n">
        <x:v>51.294299999999964</x:v>
      </x:c>
      <x:c r="M2041" t="n">
        <x:v>2017</x:v>
      </x:c>
      <x:c r="N2041" s="20" t="n">
        <x:v>42979</x:v>
      </x:c>
    </x:row>
    <x:row r="2042" ht="18" customHeight="1">
      <x:c r="A2042" t="str">
        <x:v>CA-2015-119214</x:v>
      </x:c>
      <x:c r="B2042" s="18" t="n">
        <x:v>42027</x:v>
      </x:c>
      <x:c r="C2042" t="str">
        <x:v>CW-11905</x:v>
      </x:c>
      <x:c r="D2042" t="str">
        <x:v>Carl Weiss</x:v>
      </x:c>
      <x:c r="E2042" t="str">
        <x:v>Home Office</x:v>
      </x:c>
      <x:c r="F2042" t="str">
        <x:v>West</x:v>
      </x:c>
      <x:c r="G2042" t="str">
        <x:v>Office Supplies</x:v>
      </x:c>
      <x:c r="H2042" t="str">
        <x:v>Paper</x:v>
      </x:c>
      <x:c r="I2042" s="22" t="n">
        <x:v>29.04</x:v>
      </x:c>
      <x:c r="J2042" s="24" t="n">
        <x:v>3</x:v>
      </x:c>
      <x:c r="K2042" s="26" t="n">
        <x:v>0</x:v>
      </x:c>
      <x:c r="L2042" s="22" t="n">
        <x:v>13.9392</x:v>
      </x:c>
      <x:c r="M2042" t="n">
        <x:v>2015</x:v>
      </x:c>
      <x:c r="N2042" s="20" t="n">
        <x:v>42005</x:v>
      </x:c>
    </x:row>
    <x:row r="2043" ht="18" customHeight="1">
      <x:c r="A2043" t="str">
        <x:v>CA-2015-119214</x:v>
      </x:c>
      <x:c r="B2043" s="18" t="n">
        <x:v>42027</x:v>
      </x:c>
      <x:c r="C2043" t="str">
        <x:v>CW-11905</x:v>
      </x:c>
      <x:c r="D2043" t="str">
        <x:v>Carl Weiss</x:v>
      </x:c>
      <x:c r="E2043" t="str">
        <x:v>Home Office</x:v>
      </x:c>
      <x:c r="F2043" t="str">
        <x:v>West</x:v>
      </x:c>
      <x:c r="G2043" t="str">
        <x:v>Office Supplies</x:v>
      </x:c>
      <x:c r="H2043" t="str">
        <x:v>Labels</x:v>
      </x:c>
      <x:c r="I2043" s="22" t="n">
        <x:v>14.62</x:v>
      </x:c>
      <x:c r="J2043" s="24" t="n">
        <x:v>2</x:v>
      </x:c>
      <x:c r="K2043" s="26" t="n">
        <x:v>0</x:v>
      </x:c>
      <x:c r="L2043" s="22" t="n">
        <x:v>6.8713999999999995</x:v>
      </x:c>
      <x:c r="M2043" t="n">
        <x:v>2015</x:v>
      </x:c>
      <x:c r="N2043" s="20" t="n">
        <x:v>42005</x:v>
      </x:c>
    </x:row>
    <x:row r="2044" ht="18" customHeight="1">
      <x:c r="A2044" t="str">
        <x:v>CA-2015-122287</x:v>
      </x:c>
      <x:c r="B2044" s="18" t="n">
        <x:v>42173</x:v>
      </x:c>
      <x:c r="C2044" t="str">
        <x:v>SN-20560</x:v>
      </x:c>
      <x:c r="D2044" t="str">
        <x:v>Skye Norling</x:v>
      </x:c>
      <x:c r="E2044" t="str">
        <x:v>Home Office</x:v>
      </x:c>
      <x:c r="F2044" t="str">
        <x:v>West</x:v>
      </x:c>
      <x:c r="G2044" t="str">
        <x:v>Office Supplies</x:v>
      </x:c>
      <x:c r="H2044" t="str">
        <x:v>Paper</x:v>
      </x:c>
      <x:c r="I2044" s="22" t="n">
        <x:v>11.952000000000002</x:v>
      </x:c>
      <x:c r="J2044" s="24" t="n">
        <x:v>3</x:v>
      </x:c>
      <x:c r="K2044" s="26" t="n">
        <x:v>0.2</x:v>
      </x:c>
      <x:c r="L2044" s="22" t="n">
        <x:v>4.3326</x:v>
      </x:c>
      <x:c r="M2044" t="n">
        <x:v>2015</x:v>
      </x:c>
      <x:c r="N2044" s="20" t="n">
        <x:v>42156</x:v>
      </x:c>
    </x:row>
    <x:row r="2045" ht="18" customHeight="1">
      <x:c r="A2045" t="str">
        <x:v>CA-2015-122287</x:v>
      </x:c>
      <x:c r="B2045" s="18" t="n">
        <x:v>42173</x:v>
      </x:c>
      <x:c r="C2045" t="str">
        <x:v>SN-20560</x:v>
      </x:c>
      <x:c r="D2045" t="str">
        <x:v>Skye Norling</x:v>
      </x:c>
      <x:c r="E2045" t="str">
        <x:v>Home Office</x:v>
      </x:c>
      <x:c r="F2045" t="str">
        <x:v>West</x:v>
      </x:c>
      <x:c r="G2045" t="str">
        <x:v>Office Supplies</x:v>
      </x:c>
      <x:c r="H2045" t="str">
        <x:v>Binders</x:v>
      </x:c>
      <x:c r="I2045" s="22" t="n">
        <x:v>4.536000000000001</x:v>
      </x:c>
      <x:c r="J2045" s="24" t="n">
        <x:v>7</x:v>
      </x:c>
      <x:c r="K2045" s="26" t="n">
        <x:v>0.7</x:v>
      </x:c>
      <x:c r="L2045" s="22" t="n">
        <x:v>-3.3263999999999996</x:v>
      </x:c>
      <x:c r="M2045" t="n">
        <x:v>2015</x:v>
      </x:c>
      <x:c r="N2045" s="20" t="n">
        <x:v>42156</x:v>
      </x:c>
    </x:row>
    <x:row r="2046" ht="18" customHeight="1">
      <x:c r="A2046" t="str">
        <x:v>CA-2015-122287</x:v>
      </x:c>
      <x:c r="B2046" s="18" t="n">
        <x:v>42173</x:v>
      </x:c>
      <x:c r="C2046" t="str">
        <x:v>SN-20560</x:v>
      </x:c>
      <x:c r="D2046" t="str">
        <x:v>Skye Norling</x:v>
      </x:c>
      <x:c r="E2046" t="str">
        <x:v>Home Office</x:v>
      </x:c>
      <x:c r="F2046" t="str">
        <x:v>West</x:v>
      </x:c>
      <x:c r="G2046" t="str">
        <x:v>Office Supplies</x:v>
      </x:c>
      <x:c r="H2046" t="str">
        <x:v>Binders</x:v>
      </x:c>
      <x:c r="I2046" s="22" t="n">
        <x:v>9.156</x:v>
      </x:c>
      <x:c r="J2046" s="24" t="n">
        <x:v>2</x:v>
      </x:c>
      <x:c r="K2046" s="26" t="n">
        <x:v>0.7</x:v>
      </x:c>
      <x:c r="L2046" s="22" t="n">
        <x:v>-6.103999999999997</x:v>
      </x:c>
      <x:c r="M2046" t="n">
        <x:v>2015</x:v>
      </x:c>
      <x:c r="N2046" s="20" t="n">
        <x:v>42156</x:v>
      </x:c>
    </x:row>
    <x:row r="2047" ht="18" customHeight="1">
      <x:c r="A2047" t="str">
        <x:v>CA-2015-122287</x:v>
      </x:c>
      <x:c r="B2047" s="18" t="n">
        <x:v>42173</x:v>
      </x:c>
      <x:c r="C2047" t="str">
        <x:v>SN-20560</x:v>
      </x:c>
      <x:c r="D2047" t="str">
        <x:v>Skye Norling</x:v>
      </x:c>
      <x:c r="E2047" t="str">
        <x:v>Home Office</x:v>
      </x:c>
      <x:c r="F2047" t="str">
        <x:v>West</x:v>
      </x:c>
      <x:c r="G2047" t="str">
        <x:v>Furniture</x:v>
      </x:c>
      <x:c r="H2047" t="str">
        <x:v>Furnishings</x:v>
      </x:c>
      <x:c r="I2047" s="22" t="n">
        <x:v>75.36</x:v>
      </x:c>
      <x:c r="J2047" s="24" t="n">
        <x:v>5</x:v>
      </x:c>
      <x:c r="K2047" s="26" t="n">
        <x:v>0.2</x:v>
      </x:c>
      <x:c r="L2047" s="22" t="n">
        <x:v>20.724000000000007</x:v>
      </x:c>
      <x:c r="M2047" t="n">
        <x:v>2015</x:v>
      </x:c>
      <x:c r="N2047" s="20" t="n">
        <x:v>42156</x:v>
      </x:c>
    </x:row>
    <x:row r="2048" ht="18" customHeight="1">
      <x:c r="A2048" t="str">
        <x:v>CA-2015-104493</x:v>
      </x:c>
      <x:c r="B2048" s="18" t="n">
        <x:v>42279</x:v>
      </x:c>
      <x:c r="C2048" t="str">
        <x:v>EB-13705</x:v>
      </x:c>
      <x:c r="D2048" t="str">
        <x:v>Ed Braxton</x:v>
      </x:c>
      <x:c r="E2048" t="str">
        <x:v>Corporate</x:v>
      </x:c>
      <x:c r="F2048" t="str">
        <x:v>West</x:v>
      </x:c>
      <x:c r="G2048" t="str">
        <x:v>Office Supplies</x:v>
      </x:c>
      <x:c r="H2048" t="str">
        <x:v>Binders</x:v>
      </x:c>
      <x:c r="I2048" s="22" t="n">
        <x:v>57.504000000000005</x:v>
      </x:c>
      <x:c r="J2048" s="24" t="n">
        <x:v>6</x:v>
      </x:c>
      <x:c r="K2048" s="26" t="n">
        <x:v>0.2</x:v>
      </x:c>
      <x:c r="L2048" s="22" t="n">
        <x:v>20.1264</x:v>
      </x:c>
      <x:c r="M2048" t="n">
        <x:v>2015</x:v>
      </x:c>
      <x:c r="N2048" s="20" t="n">
        <x:v>42278</x:v>
      </x:c>
    </x:row>
    <x:row r="2049" ht="18" customHeight="1">
      <x:c r="A2049" t="str">
        <x:v>US-2017-158946</x:v>
      </x:c>
      <x:c r="B2049" s="18" t="n">
        <x:v>43057</x:v>
      </x:c>
      <x:c r="C2049" t="str">
        <x:v>JW-15220</x:v>
      </x:c>
      <x:c r="D2049" t="str">
        <x:v>Jane Waco</x:v>
      </x:c>
      <x:c r="E2049" t="str">
        <x:v>Corporate</x:v>
      </x:c>
      <x:c r="F2049" t="str">
        <x:v>East</x:v>
      </x:c>
      <x:c r="G2049" t="str">
        <x:v>Office Supplies</x:v>
      </x:c>
      <x:c r="H2049" t="str">
        <x:v>Art</x:v>
      </x:c>
      <x:c r="I2049" s="22" t="n">
        <x:v>38.864000000000004</x:v>
      </x:c>
      <x:c r="J2049" s="24" t="n">
        <x:v>7</x:v>
      </x:c>
      <x:c r="K2049" s="26" t="n">
        <x:v>0.2</x:v>
      </x:c>
      <x:c r="L2049" s="22" t="n">
        <x:v>7.7728</x:v>
      </x:c>
      <x:c r="M2049" t="n">
        <x:v>2017</x:v>
      </x:c>
      <x:c r="N2049" s="20" t="n">
        <x:v>43040</x:v>
      </x:c>
    </x:row>
    <x:row r="2050" ht="18" customHeight="1">
      <x:c r="A2050" t="str">
        <x:v>CA-2014-129168</x:v>
      </x:c>
      <x:c r="B2050" s="18" t="n">
        <x:v>41868</x:v>
      </x:c>
      <x:c r="C2050" t="str">
        <x:v>KB-16585</x:v>
      </x:c>
      <x:c r="D2050" t="str">
        <x:v>Ken Black</x:v>
      </x:c>
      <x:c r="E2050" t="str">
        <x:v>Corporate</x:v>
      </x:c>
      <x:c r="F2050" t="str">
        <x:v>Central</x:v>
      </x:c>
      <x:c r="G2050" t="str">
        <x:v>Office Supplies</x:v>
      </x:c>
      <x:c r="H2050" t="str">
        <x:v>Paper</x:v>
      </x:c>
      <x:c r="I2050" s="22" t="n">
        <x:v>15.552000000000003</x:v>
      </x:c>
      <x:c r="J2050" s="24" t="n">
        <x:v>3</x:v>
      </x:c>
      <x:c r="K2050" s="26" t="n">
        <x:v>0.2</x:v>
      </x:c>
      <x:c r="L2050" s="22" t="n">
        <x:v>5.4432</x:v>
      </x:c>
      <x:c r="M2050" t="n">
        <x:v>2014</x:v>
      </x:c>
      <x:c r="N2050" s="20" t="n">
        <x:v>41852</x:v>
      </x:c>
    </x:row>
    <x:row r="2051" ht="18" customHeight="1">
      <x:c r="A2051" t="str">
        <x:v>CA-2016-131835</x:v>
      </x:c>
      <x:c r="B2051" s="18" t="n">
        <x:v>42568</x:v>
      </x:c>
      <x:c r="C2051" t="str">
        <x:v>MC-17590</x:v>
      </x:c>
      <x:c r="D2051" t="str">
        <x:v>Matt Collister</x:v>
      </x:c>
      <x:c r="E2051" t="str">
        <x:v>Corporate</x:v>
      </x:c>
      <x:c r="F2051" t="str">
        <x:v>East</x:v>
      </x:c>
      <x:c r="G2051" t="str">
        <x:v>Office Supplies</x:v>
      </x:c>
      <x:c r="H2051" t="str">
        <x:v>Appliances</x:v>
      </x:c>
      <x:c r="I2051" s="22" t="n">
        <x:v>162.64</x:v>
      </x:c>
      <x:c r="J2051" s="24" t="n">
        <x:v>2</x:v>
      </x:c>
      <x:c r="K2051" s="26" t="n">
        <x:v>0</x:v>
      </x:c>
      <x:c r="L2051" s="22" t="n">
        <x:v>45.539199999999994</x:v>
      </x:c>
      <x:c r="M2051" t="n">
        <x:v>2016</x:v>
      </x:c>
      <x:c r="N2051" s="20" t="n">
        <x:v>42552</x:v>
      </x:c>
    </x:row>
    <x:row r="2052" ht="18" customHeight="1">
      <x:c r="A2052" t="str">
        <x:v>CA-2016-131835</x:v>
      </x:c>
      <x:c r="B2052" s="18" t="n">
        <x:v>42568</x:v>
      </x:c>
      <x:c r="C2052" t="str">
        <x:v>MC-17590</x:v>
      </x:c>
      <x:c r="D2052" t="str">
        <x:v>Matt Collister</x:v>
      </x:c>
      <x:c r="E2052" t="str">
        <x:v>Corporate</x:v>
      </x:c>
      <x:c r="F2052" t="str">
        <x:v>East</x:v>
      </x:c>
      <x:c r="G2052" t="str">
        <x:v>Technology</x:v>
      </x:c>
      <x:c r="H2052" t="str">
        <x:v>Phones</x:v>
      </x:c>
      <x:c r="I2052" s="22" t="n">
        <x:v>597</x:v>
      </x:c>
      <x:c r="J2052" s="24" t="n">
        <x:v>3</x:v>
      </x:c>
      <x:c r="K2052" s="26" t="n">
        <x:v>0</x:v>
      </x:c>
      <x:c r="L2052" s="22" t="n">
        <x:v>280.59000000000003</x:v>
      </x:c>
      <x:c r="M2052" t="n">
        <x:v>2016</x:v>
      </x:c>
      <x:c r="N2052" s="20" t="n">
        <x:v>42552</x:v>
      </x:c>
    </x:row>
    <x:row r="2053" ht="18" customHeight="1">
      <x:c r="A2053" t="str">
        <x:v>CA-2016-131835</x:v>
      </x:c>
      <x:c r="B2053" s="18" t="n">
        <x:v>42568</x:v>
      </x:c>
      <x:c r="C2053" t="str">
        <x:v>MC-17590</x:v>
      </x:c>
      <x:c r="D2053" t="str">
        <x:v>Matt Collister</x:v>
      </x:c>
      <x:c r="E2053" t="str">
        <x:v>Corporate</x:v>
      </x:c>
      <x:c r="F2053" t="str">
        <x:v>East</x:v>
      </x:c>
      <x:c r="G2053" t="str">
        <x:v>Office Supplies</x:v>
      </x:c>
      <x:c r="H2053" t="str">
        <x:v>Paper</x:v>
      </x:c>
      <x:c r="I2053" s="22" t="n">
        <x:v>55.48</x:v>
      </x:c>
      <x:c r="J2053" s="24" t="n">
        <x:v>1</x:v>
      </x:c>
      <x:c r="K2053" s="26" t="n">
        <x:v>0</x:v>
      </x:c>
      <x:c r="L2053" s="22" t="n">
        <x:v>26.630399999999998</x:v>
      </x:c>
      <x:c r="M2053" t="n">
        <x:v>2016</x:v>
      </x:c>
      <x:c r="N2053" s="20" t="n">
        <x:v>42552</x:v>
      </x:c>
    </x:row>
    <x:row r="2054" ht="18" customHeight="1">
      <x:c r="A2054" t="str">
        <x:v>CA-2015-142237</x:v>
      </x:c>
      <x:c r="B2054" s="18" t="n">
        <x:v>42196</x:v>
      </x:c>
      <x:c r="C2054" t="str">
        <x:v>CK-12595</x:v>
      </x:c>
      <x:c r="D2054" t="str">
        <x:v>Clytie Kelty</x:v>
      </x:c>
      <x:c r="E2054" t="str">
        <x:v>Consumer</x:v>
      </x:c>
      <x:c r="F2054" t="str">
        <x:v>East</x:v>
      </x:c>
      <x:c r="G2054" t="str">
        <x:v>Furniture</x:v>
      </x:c>
      <x:c r="H2054" t="str">
        <x:v>Furnishings</x:v>
      </x:c>
      <x:c r="I2054" s="22" t="n">
        <x:v>289.80000000000007</x:v>
      </x:c>
      <x:c r="J2054" s="24" t="n">
        <x:v>7</x:v>
      </x:c>
      <x:c r="K2054" s="26" t="n">
        <x:v>0.2</x:v>
      </x:c>
      <x:c r="L2054" s="22" t="n">
        <x:v>36.224999999999966</x:v>
      </x:c>
      <x:c r="M2054" t="n">
        <x:v>2015</x:v>
      </x:c>
      <x:c r="N2054" s="20" t="n">
        <x:v>42186</x:v>
      </x:c>
    </x:row>
    <x:row r="2055" ht="18" customHeight="1">
      <x:c r="A2055" t="str">
        <x:v>CA-2015-142237</x:v>
      </x:c>
      <x:c r="B2055" s="18" t="n">
        <x:v>42196</x:v>
      </x:c>
      <x:c r="C2055" t="str">
        <x:v>CK-12595</x:v>
      </x:c>
      <x:c r="D2055" t="str">
        <x:v>Clytie Kelty</x:v>
      </x:c>
      <x:c r="E2055" t="str">
        <x:v>Consumer</x:v>
      </x:c>
      <x:c r="F2055" t="str">
        <x:v>East</x:v>
      </x:c>
      <x:c r="G2055" t="str">
        <x:v>Office Supplies</x:v>
      </x:c>
      <x:c r="H2055" t="str">
        <x:v>Binders</x:v>
      </x:c>
      <x:c r="I2055" s="22" t="n">
        <x:v>2.5020000000000002</x:v>
      </x:c>
      <x:c r="J2055" s="24" t="n">
        <x:v>3</x:v>
      </x:c>
      <x:c r="K2055" s="26" t="n">
        <x:v>0.7</x:v>
      </x:c>
      <x:c r="L2055" s="22" t="n">
        <x:v>-2.0016</x:v>
      </x:c>
      <x:c r="M2055" t="n">
        <x:v>2015</x:v>
      </x:c>
      <x:c r="N2055" s="20" t="n">
        <x:v>42186</x:v>
      </x:c>
    </x:row>
    <x:row r="2056" ht="18" customHeight="1">
      <x:c r="A2056" t="str">
        <x:v>CA-2015-142237</x:v>
      </x:c>
      <x:c r="B2056" s="18" t="n">
        <x:v>42196</x:v>
      </x:c>
      <x:c r="C2056" t="str">
        <x:v>CK-12595</x:v>
      </x:c>
      <x:c r="D2056" t="str">
        <x:v>Clytie Kelty</x:v>
      </x:c>
      <x:c r="E2056" t="str">
        <x:v>Consumer</x:v>
      </x:c>
      <x:c r="F2056" t="str">
        <x:v>East</x:v>
      </x:c>
      <x:c r="G2056" t="str">
        <x:v>Office Supplies</x:v>
      </x:c>
      <x:c r="H2056" t="str">
        <x:v>Binders</x:v>
      </x:c>
      <x:c r="I2056" s="22" t="n">
        <x:v>6.480000000000001</x:v>
      </x:c>
      <x:c r="J2056" s="24" t="n">
        <x:v>4</x:v>
      </x:c>
      <x:c r="K2056" s="26" t="n">
        <x:v>0.7</x:v>
      </x:c>
      <x:c r="L2056" s="22" t="n">
        <x:v>-4.751999999999999</x:v>
      </x:c>
      <x:c r="M2056" t="n">
        <x:v>2015</x:v>
      </x:c>
      <x:c r="N2056" s="20" t="n">
        <x:v>42186</x:v>
      </x:c>
    </x:row>
    <x:row r="2057" ht="18" customHeight="1">
      <x:c r="A2057" t="str">
        <x:v>CA-2015-142237</x:v>
      </x:c>
      <x:c r="B2057" s="18" t="n">
        <x:v>42196</x:v>
      </x:c>
      <x:c r="C2057" t="str">
        <x:v>CK-12595</x:v>
      </x:c>
      <x:c r="D2057" t="str">
        <x:v>Clytie Kelty</x:v>
      </x:c>
      <x:c r="E2057" t="str">
        <x:v>Consumer</x:v>
      </x:c>
      <x:c r="F2057" t="str">
        <x:v>East</x:v>
      </x:c>
      <x:c r="G2057" t="str">
        <x:v>Furniture</x:v>
      </x:c>
      <x:c r="H2057" t="str">
        <x:v>Chairs</x:v>
      </x:c>
      <x:c r="I2057" s="22" t="n">
        <x:v>341.48799999999994</x:v>
      </x:c>
      <x:c r="J2057" s="24" t="n">
        <x:v>8</x:v>
      </x:c>
      <x:c r="K2057" s="26" t="n">
        <x:v>0.3</x:v>
      </x:c>
      <x:c r="L2057" s="22" t="n">
        <x:v>-73.17599999999999</x:v>
      </x:c>
      <x:c r="M2057" t="n">
        <x:v>2015</x:v>
      </x:c>
      <x:c r="N2057" s="20" t="n">
        <x:v>42186</x:v>
      </x:c>
    </x:row>
    <x:row r="2058" ht="18" customHeight="1">
      <x:c r="A2058" t="str">
        <x:v>CA-2015-142237</x:v>
      </x:c>
      <x:c r="B2058" s="18" t="n">
        <x:v>42196</x:v>
      </x:c>
      <x:c r="C2058" t="str">
        <x:v>CK-12595</x:v>
      </x:c>
      <x:c r="D2058" t="str">
        <x:v>Clytie Kelty</x:v>
      </x:c>
      <x:c r="E2058" t="str">
        <x:v>Consumer</x:v>
      </x:c>
      <x:c r="F2058" t="str">
        <x:v>East</x:v>
      </x:c>
      <x:c r="G2058" t="str">
        <x:v>Office Supplies</x:v>
      </x:c>
      <x:c r="H2058" t="str">
        <x:v>Art</x:v>
      </x:c>
      <x:c r="I2058" s="22" t="n">
        <x:v>11.12</x:v>
      </x:c>
      <x:c r="J2058" s="24" t="n">
        <x:v>5</x:v>
      </x:c>
      <x:c r="K2058" s="26" t="n">
        <x:v>0.2</x:v>
      </x:c>
      <x:c r="L2058" s="22" t="n">
        <x:v>0.8339999999999996</x:v>
      </x:c>
      <x:c r="M2058" t="n">
        <x:v>2015</x:v>
      </x:c>
      <x:c r="N2058" s="20" t="n">
        <x:v>42186</x:v>
      </x:c>
    </x:row>
    <x:row r="2059" ht="18" customHeight="1">
      <x:c r="A2059" t="str">
        <x:v>CA-2015-142237</x:v>
      </x:c>
      <x:c r="B2059" s="18" t="n">
        <x:v>42196</x:v>
      </x:c>
      <x:c r="C2059" t="str">
        <x:v>CK-12595</x:v>
      </x:c>
      <x:c r="D2059" t="str">
        <x:v>Clytie Kelty</x:v>
      </x:c>
      <x:c r="E2059" t="str">
        <x:v>Consumer</x:v>
      </x:c>
      <x:c r="F2059" t="str">
        <x:v>East</x:v>
      </x:c>
      <x:c r="G2059" t="str">
        <x:v>Furniture</x:v>
      </x:c>
      <x:c r="H2059" t="str">
        <x:v>Furnishings</x:v>
      </x:c>
      <x:c r="I2059" s="22" t="n">
        <x:v>25.344</x:v>
      </x:c>
      <x:c r="J2059" s="24" t="n">
        <x:v>6</x:v>
      </x:c>
      <x:c r="K2059" s="26" t="n">
        <x:v>0.2</x:v>
      </x:c>
      <x:c r="L2059" s="22" t="n">
        <x:v>3.484799999999998</x:v>
      </x:c>
      <x:c r="M2059" t="n">
        <x:v>2015</x:v>
      </x:c>
      <x:c r="N2059" s="20" t="n">
        <x:v>42186</x:v>
      </x:c>
    </x:row>
    <x:row r="2060" ht="18" customHeight="1">
      <x:c r="A2060" t="str">
        <x:v>CA-2016-136434</x:v>
      </x:c>
      <x:c r="B2060" s="18" t="n">
        <x:v>42705</x:v>
      </x:c>
      <x:c r="C2060" t="str">
        <x:v>RD-19480</x:v>
      </x:c>
      <x:c r="D2060" t="str">
        <x:v>Rick Duston</x:v>
      </x:c>
      <x:c r="E2060" t="str">
        <x:v>Consumer</x:v>
      </x:c>
      <x:c r="F2060" t="str">
        <x:v>Central</x:v>
      </x:c>
      <x:c r="G2060" t="str">
        <x:v>Furniture</x:v>
      </x:c>
      <x:c r="H2060" t="str">
        <x:v>Furnishings</x:v>
      </x:c>
      <x:c r="I2060" s="22" t="n">
        <x:v>17.31</x:v>
      </x:c>
      <x:c r="J2060" s="24" t="n">
        <x:v>3</x:v>
      </x:c>
      <x:c r="K2060" s="26" t="n">
        <x:v>0</x:v>
      </x:c>
      <x:c r="L2060" s="22" t="n">
        <x:v>5.193</x:v>
      </x:c>
      <x:c r="M2060" t="n">
        <x:v>2016</x:v>
      </x:c>
      <x:c r="N2060" s="20" t="n">
        <x:v>42705</x:v>
      </x:c>
    </x:row>
    <x:row r="2061" ht="18" customHeight="1">
      <x:c r="A2061" t="str">
        <x:v>CA-2017-120376</x:v>
      </x:c>
      <x:c r="B2061" s="18" t="n">
        <x:v>43091</x:v>
      </x:c>
      <x:c r="C2061" t="str">
        <x:v>TP-21130</x:v>
      </x:c>
      <x:c r="D2061" t="str">
        <x:v>Theone Pippenger</x:v>
      </x:c>
      <x:c r="E2061" t="str">
        <x:v>Consumer</x:v>
      </x:c>
      <x:c r="F2061" t="str">
        <x:v>Central</x:v>
      </x:c>
      <x:c r="G2061" t="str">
        <x:v>Technology</x:v>
      </x:c>
      <x:c r="H2061" t="str">
        <x:v>Accessories</x:v>
      </x:c>
      <x:c r="I2061" s="22" t="n">
        <x:v>199.95000000000002</x:v>
      </x:c>
      <x:c r="J2061" s="24" t="n">
        <x:v>5</x:v>
      </x:c>
      <x:c r="K2061" s="26" t="n">
        <x:v>0</x:v>
      </x:c>
      <x:c r="L2061" s="22" t="n">
        <x:v>63.98399999999999</x:v>
      </x:c>
      <x:c r="M2061" t="n">
        <x:v>2017</x:v>
      </x:c>
      <x:c r="N2061" s="20" t="n">
        <x:v>43070</x:v>
      </x:c>
    </x:row>
    <x:row r="2062" ht="18" customHeight="1">
      <x:c r="A2062" t="str">
        <x:v>CA-2017-120376</x:v>
      </x:c>
      <x:c r="B2062" s="18" t="n">
        <x:v>43091</x:v>
      </x:c>
      <x:c r="C2062" t="str">
        <x:v>TP-21130</x:v>
      </x:c>
      <x:c r="D2062" t="str">
        <x:v>Theone Pippenger</x:v>
      </x:c>
      <x:c r="E2062" t="str">
        <x:v>Consumer</x:v>
      </x:c>
      <x:c r="F2062" t="str">
        <x:v>Central</x:v>
      </x:c>
      <x:c r="G2062" t="str">
        <x:v>Furniture</x:v>
      </x:c>
      <x:c r="H2062" t="str">
        <x:v>Chairs</x:v>
      </x:c>
      <x:c r="I2062" s="22" t="n">
        <x:v>1586.6899999999998</x:v>
      </x:c>
      <x:c r="J2062" s="24" t="n">
        <x:v>7</x:v>
      </x:c>
      <x:c r="K2062" s="26" t="n">
        <x:v>0</x:v>
      </x:c>
      <x:c r="L2062" s="22" t="n">
        <x:v>412.5394</x:v>
      </x:c>
      <x:c r="M2062" t="n">
        <x:v>2017</x:v>
      </x:c>
      <x:c r="N2062" s="20" t="n">
        <x:v>43070</x:v>
      </x:c>
    </x:row>
    <x:row r="2063" ht="18" customHeight="1">
      <x:c r="A2063" t="str">
        <x:v>CA-2017-120376</x:v>
      </x:c>
      <x:c r="B2063" s="18" t="n">
        <x:v>43091</x:v>
      </x:c>
      <x:c r="C2063" t="str">
        <x:v>TP-21130</x:v>
      </x:c>
      <x:c r="D2063" t="str">
        <x:v>Theone Pippenger</x:v>
      </x:c>
      <x:c r="E2063" t="str">
        <x:v>Consumer</x:v>
      </x:c>
      <x:c r="F2063" t="str">
        <x:v>Central</x:v>
      </x:c>
      <x:c r="G2063" t="str">
        <x:v>Technology</x:v>
      </x:c>
      <x:c r="H2063" t="str">
        <x:v>Accessories</x:v>
      </x:c>
      <x:c r="I2063" s="22" t="n">
        <x:v>84.99</x:v>
      </x:c>
      <x:c r="J2063" s="24" t="n">
        <x:v>1</x:v>
      </x:c>
      <x:c r="K2063" s="26" t="n">
        <x:v>0</x:v>
      </x:c>
      <x:c r="L2063" s="22" t="n">
        <x:v>30.596399999999996</x:v>
      </x:c>
      <x:c r="M2063" t="n">
        <x:v>2017</x:v>
      </x:c>
      <x:c r="N2063" s="20" t="n">
        <x:v>43070</x:v>
      </x:c>
    </x:row>
    <x:row r="2064" ht="18" customHeight="1">
      <x:c r="A2064" t="str">
        <x:v>CA-2017-120376</x:v>
      </x:c>
      <x:c r="B2064" s="18" t="n">
        <x:v>43091</x:v>
      </x:c>
      <x:c r="C2064" t="str">
        <x:v>TP-21130</x:v>
      </x:c>
      <x:c r="D2064" t="str">
        <x:v>Theone Pippenger</x:v>
      </x:c>
      <x:c r="E2064" t="str">
        <x:v>Consumer</x:v>
      </x:c>
      <x:c r="F2064" t="str">
        <x:v>Central</x:v>
      </x:c>
      <x:c r="G2064" t="str">
        <x:v>Furniture</x:v>
      </x:c>
      <x:c r="H2064" t="str">
        <x:v>Tables</x:v>
      </x:c>
      <x:c r="I2064" s="22" t="n">
        <x:v>411.8</x:v>
      </x:c>
      <x:c r="J2064" s="24" t="n">
        <x:v>2</x:v>
      </x:c>
      <x:c r="K2064" s="26" t="n">
        <x:v>0</x:v>
      </x:c>
      <x:c r="L2064" s="22" t="n">
        <x:v>70.00599999999997</x:v>
      </x:c>
      <x:c r="M2064" t="n">
        <x:v>2017</x:v>
      </x:c>
      <x:c r="N2064" s="20" t="n">
        <x:v>43070</x:v>
      </x:c>
    </x:row>
    <x:row r="2065" ht="18" customHeight="1">
      <x:c r="A2065" t="str">
        <x:v>CA-2014-106439</x:v>
      </x:c>
      <x:c r="B2065" s="18" t="n">
        <x:v>41943</x:v>
      </x:c>
      <x:c r="C2065" t="str">
        <x:v>GG-14650</x:v>
      </x:c>
      <x:c r="D2065" t="str">
        <x:v>Greg Guthrie</x:v>
      </x:c>
      <x:c r="E2065" t="str">
        <x:v>Corporate</x:v>
      </x:c>
      <x:c r="F2065" t="str">
        <x:v>West</x:v>
      </x:c>
      <x:c r="G2065" t="str">
        <x:v>Office Supplies</x:v>
      </x:c>
      <x:c r="H2065" t="str">
        <x:v>Fasteners</x:v>
      </x:c>
      <x:c r="I2065" s="22" t="n">
        <x:v>11.34</x:v>
      </x:c>
      <x:c r="J2065" s="24" t="n">
        <x:v>3</x:v>
      </x:c>
      <x:c r="K2065" s="26" t="n">
        <x:v>0</x:v>
      </x:c>
      <x:c r="L2065" s="22" t="n">
        <x:v>5.2164</x:v>
      </x:c>
      <x:c r="M2065" t="n">
        <x:v>2014</x:v>
      </x:c>
      <x:c r="N2065" s="20" t="n">
        <x:v>41913</x:v>
      </x:c>
    </x:row>
    <x:row r="2066" ht="18" customHeight="1">
      <x:c r="A2066" t="str">
        <x:v>CA-2014-106439</x:v>
      </x:c>
      <x:c r="B2066" s="18" t="n">
        <x:v>41943</x:v>
      </x:c>
      <x:c r="C2066" t="str">
        <x:v>GG-14650</x:v>
      </x:c>
      <x:c r="D2066" t="str">
        <x:v>Greg Guthrie</x:v>
      </x:c>
      <x:c r="E2066" t="str">
        <x:v>Corporate</x:v>
      </x:c>
      <x:c r="F2066" t="str">
        <x:v>West</x:v>
      </x:c>
      <x:c r="G2066" t="str">
        <x:v>Office Supplies</x:v>
      </x:c>
      <x:c r="H2066" t="str">
        <x:v>Storage</x:v>
      </x:c>
      <x:c r="I2066" s="22" t="n">
        <x:v>80.3</x:v>
      </x:c>
      <x:c r="J2066" s="24" t="n">
        <x:v>5</x:v>
      </x:c>
      <x:c r="K2066" s="26" t="n">
        <x:v>0</x:v>
      </x:c>
      <x:c r="L2066" s="22" t="n">
        <x:v>20.877999999999997</x:v>
      </x:c>
      <x:c r="M2066" t="n">
        <x:v>2014</x:v>
      </x:c>
      <x:c r="N2066" s="20" t="n">
        <x:v>41913</x:v>
      </x:c>
    </x:row>
    <x:row r="2067" ht="18" customHeight="1">
      <x:c r="A2067" t="str">
        <x:v>CA-2014-106439</x:v>
      </x:c>
      <x:c r="B2067" s="18" t="n">
        <x:v>41943</x:v>
      </x:c>
      <x:c r="C2067" t="str">
        <x:v>GG-14650</x:v>
      </x:c>
      <x:c r="D2067" t="str">
        <x:v>Greg Guthrie</x:v>
      </x:c>
      <x:c r="E2067" t="str">
        <x:v>Corporate</x:v>
      </x:c>
      <x:c r="F2067" t="str">
        <x:v>West</x:v>
      </x:c>
      <x:c r="G2067" t="str">
        <x:v>Office Supplies</x:v>
      </x:c>
      <x:c r="H2067" t="str">
        <x:v>Binders</x:v>
      </x:c>
      <x:c r="I2067" s="22" t="n">
        <x:v>15.968000000000002</x:v>
      </x:c>
      <x:c r="J2067" s="24" t="n">
        <x:v>2</x:v>
      </x:c>
      <x:c r="K2067" s="26" t="n">
        <x:v>0.2</x:v>
      </x:c>
      <x:c r="L2067" s="22" t="n">
        <x:v>5.389199999999999</x:v>
      </x:c>
      <x:c r="M2067" t="n">
        <x:v>2014</x:v>
      </x:c>
      <x:c r="N2067" s="20" t="n">
        <x:v>41913</x:v>
      </x:c>
    </x:row>
    <x:row r="2068" ht="18" customHeight="1">
      <x:c r="A2068" t="str">
        <x:v>CA-2014-106439</x:v>
      </x:c>
      <x:c r="B2068" s="18" t="n">
        <x:v>41943</x:v>
      </x:c>
      <x:c r="C2068" t="str">
        <x:v>GG-14650</x:v>
      </x:c>
      <x:c r="D2068" t="str">
        <x:v>Greg Guthrie</x:v>
      </x:c>
      <x:c r="E2068" t="str">
        <x:v>Corporate</x:v>
      </x:c>
      <x:c r="F2068" t="str">
        <x:v>West</x:v>
      </x:c>
      <x:c r="G2068" t="str">
        <x:v>Office Supplies</x:v>
      </x:c>
      <x:c r="H2068" t="str">
        <x:v>Paper</x:v>
      </x:c>
      <x:c r="I2068" s="22" t="n">
        <x:v>64.74000000000001</x:v>
      </x:c>
      <x:c r="J2068" s="24" t="n">
        <x:v>13</x:v>
      </x:c>
      <x:c r="K2068" s="26" t="n">
        <x:v>0</x:v>
      </x:c>
      <x:c r="L2068" s="22" t="n">
        <x:v>30.427800000000005</x:v>
      </x:c>
      <x:c r="M2068" t="n">
        <x:v>2014</x:v>
      </x:c>
      <x:c r="N2068" s="20" t="n">
        <x:v>41913</x:v>
      </x:c>
    </x:row>
    <x:row r="2069" ht="18" customHeight="1">
      <x:c r="A2069" t="str">
        <x:v>CA-2014-106439</x:v>
      </x:c>
      <x:c r="B2069" s="18" t="n">
        <x:v>41943</x:v>
      </x:c>
      <x:c r="C2069" t="str">
        <x:v>GG-14650</x:v>
      </x:c>
      <x:c r="D2069" t="str">
        <x:v>Greg Guthrie</x:v>
      </x:c>
      <x:c r="E2069" t="str">
        <x:v>Corporate</x:v>
      </x:c>
      <x:c r="F2069" t="str">
        <x:v>West</x:v>
      </x:c>
      <x:c r="G2069" t="str">
        <x:v>Office Supplies</x:v>
      </x:c>
      <x:c r="H2069" t="str">
        <x:v>Binders</x:v>
      </x:c>
      <x:c r="I2069" s="22" t="n">
        <x:v>19.296</x:v>
      </x:c>
      <x:c r="J2069" s="24" t="n">
        <x:v>3</x:v>
      </x:c>
      <x:c r="K2069" s="26" t="n">
        <x:v>0.2</x:v>
      </x:c>
      <x:c r="L2069" s="22" t="n">
        <x:v>6.029999999999999</x:v>
      </x:c>
      <x:c r="M2069" t="n">
        <x:v>2014</x:v>
      </x:c>
      <x:c r="N2069" s="20" t="n">
        <x:v>41913</x:v>
      </x:c>
    </x:row>
    <x:row r="2070" ht="18" customHeight="1">
      <x:c r="A2070" t="str">
        <x:v>CA-2014-106439</x:v>
      </x:c>
      <x:c r="B2070" s="18" t="n">
        <x:v>41943</x:v>
      </x:c>
      <x:c r="C2070" t="str">
        <x:v>GG-14650</x:v>
      </x:c>
      <x:c r="D2070" t="str">
        <x:v>Greg Guthrie</x:v>
      </x:c>
      <x:c r="E2070" t="str">
        <x:v>Corporate</x:v>
      </x:c>
      <x:c r="F2070" t="str">
        <x:v>West</x:v>
      </x:c>
      <x:c r="G2070" t="str">
        <x:v>Office Supplies</x:v>
      </x:c>
      <x:c r="H2070" t="str">
        <x:v>Storage</x:v>
      </x:c>
      <x:c r="I2070" s="22" t="n">
        <x:v>405.64</x:v>
      </x:c>
      <x:c r="J2070" s="24" t="n">
        <x:v>4</x:v>
      </x:c>
      <x:c r="K2070" s="26" t="n">
        <x:v>0</x:v>
      </x:c>
      <x:c r="L2070" s="22" t="n">
        <x:v>12.16919999999999</x:v>
      </x:c>
      <x:c r="M2070" t="n">
        <x:v>2014</x:v>
      </x:c>
      <x:c r="N2070" s="20" t="n">
        <x:v>41913</x:v>
      </x:c>
    </x:row>
    <x:row r="2071" ht="18" customHeight="1">
      <x:c r="A2071" t="str">
        <x:v>CA-2014-106439</x:v>
      </x:c>
      <x:c r="B2071" s="18" t="n">
        <x:v>41943</x:v>
      </x:c>
      <x:c r="C2071" t="str">
        <x:v>GG-14650</x:v>
      </x:c>
      <x:c r="D2071" t="str">
        <x:v>Greg Guthrie</x:v>
      </x:c>
      <x:c r="E2071" t="str">
        <x:v>Corporate</x:v>
      </x:c>
      <x:c r="F2071" t="str">
        <x:v>West</x:v>
      </x:c>
      <x:c r="G2071" t="str">
        <x:v>Furniture</x:v>
      </x:c>
      <x:c r="H2071" t="str">
        <x:v>Chairs</x:v>
      </x:c>
      <x:c r="I2071" s="22" t="n">
        <x:v>146.352</x:v>
      </x:c>
      <x:c r="J2071" s="24" t="n">
        <x:v>3</x:v>
      </x:c>
      <x:c r="K2071" s="26" t="n">
        <x:v>0.2</x:v>
      </x:c>
      <x:c r="L2071" s="22" t="n">
        <x:v>-9.147000000000006</x:v>
      </x:c>
      <x:c r="M2071" t="n">
        <x:v>2014</x:v>
      </x:c>
      <x:c r="N2071" s="20" t="n">
        <x:v>41913</x:v>
      </x:c>
    </x:row>
    <x:row r="2072" ht="18" customHeight="1">
      <x:c r="A2072" t="str">
        <x:v>CA-2014-106439</x:v>
      </x:c>
      <x:c r="B2072" s="18" t="n">
        <x:v>41943</x:v>
      </x:c>
      <x:c r="C2072" t="str">
        <x:v>GG-14650</x:v>
      </x:c>
      <x:c r="D2072" t="str">
        <x:v>Greg Guthrie</x:v>
      </x:c>
      <x:c r="E2072" t="str">
        <x:v>Corporate</x:v>
      </x:c>
      <x:c r="F2072" t="str">
        <x:v>West</x:v>
      </x:c>
      <x:c r="G2072" t="str">
        <x:v>Technology</x:v>
      </x:c>
      <x:c r="H2072" t="str">
        <x:v>Accessories</x:v>
      </x:c>
      <x:c r="I2072" s="22" t="n">
        <x:v>251.91</x:v>
      </x:c>
      <x:c r="J2072" s="24" t="n">
        <x:v>9</x:v>
      </x:c>
      <x:c r="K2072" s="26" t="n">
        <x:v>0</x:v>
      </x:c>
      <x:c r="L2072" s="22" t="n">
        <x:v>47.86289999999998</x:v>
      </x:c>
      <x:c r="M2072" t="n">
        <x:v>2014</x:v>
      </x:c>
      <x:c r="N2072" s="20" t="n">
        <x:v>41913</x:v>
      </x:c>
    </x:row>
    <x:row r="2073" ht="18" customHeight="1">
      <x:c r="A2073" t="str">
        <x:v>CA-2014-106439</x:v>
      </x:c>
      <x:c r="B2073" s="18" t="n">
        <x:v>41943</x:v>
      </x:c>
      <x:c r="C2073" t="str">
        <x:v>GG-14650</x:v>
      </x:c>
      <x:c r="D2073" t="str">
        <x:v>Greg Guthrie</x:v>
      </x:c>
      <x:c r="E2073" t="str">
        <x:v>Corporate</x:v>
      </x:c>
      <x:c r="F2073" t="str">
        <x:v>West</x:v>
      </x:c>
      <x:c r="G2073" t="str">
        <x:v>Office Supplies</x:v>
      </x:c>
      <x:c r="H2073" t="str">
        <x:v>Art</x:v>
      </x:c>
      <x:c r="I2073" s="22" t="n">
        <x:v>12.39</x:v>
      </x:c>
      <x:c r="J2073" s="24" t="n">
        <x:v>3</x:v>
      </x:c>
      <x:c r="K2073" s="26" t="n">
        <x:v>0</x:v>
      </x:c>
      <x:c r="L2073" s="22" t="n">
        <x:v>3.7169999999999996</x:v>
      </x:c>
      <x:c r="M2073" t="n">
        <x:v>2014</x:v>
      </x:c>
      <x:c r="N2073" s="20" t="n">
        <x:v>41913</x:v>
      </x:c>
    </x:row>
    <x:row r="2074" ht="18" customHeight="1">
      <x:c r="A2074" t="str">
        <x:v>CA-2015-133452</x:v>
      </x:c>
      <x:c r="B2074" s="18" t="n">
        <x:v>42107</x:v>
      </x:c>
      <x:c r="C2074" t="str">
        <x:v>ZC-21910</x:v>
      </x:c>
      <x:c r="D2074" t="str">
        <x:v>Zuschuss Carroll</x:v>
      </x:c>
      <x:c r="E2074" t="str">
        <x:v>Consumer</x:v>
      </x:c>
      <x:c r="F2074" t="str">
        <x:v>West</x:v>
      </x:c>
      <x:c r="G2074" t="str">
        <x:v>Technology</x:v>
      </x:c>
      <x:c r="H2074" t="str">
        <x:v>Accessories</x:v>
      </x:c>
      <x:c r="I2074" s="22" t="n">
        <x:v>199.96</x:v>
      </x:c>
      <x:c r="J2074" s="24" t="n">
        <x:v>4</x:v>
      </x:c>
      <x:c r="K2074" s="26" t="n">
        <x:v>0</x:v>
      </x:c>
      <x:c r="L2074" s="22" t="n">
        <x:v>69.98599999999999</x:v>
      </x:c>
      <x:c r="M2074" t="n">
        <x:v>2015</x:v>
      </x:c>
      <x:c r="N2074" s="20" t="n">
        <x:v>42095</x:v>
      </x:c>
    </x:row>
    <x:row r="2075" ht="18" customHeight="1">
      <x:c r="A2075" t="str">
        <x:v>CA-2015-133452</x:v>
      </x:c>
      <x:c r="B2075" s="18" t="n">
        <x:v>42107</x:v>
      </x:c>
      <x:c r="C2075" t="str">
        <x:v>ZC-21910</x:v>
      </x:c>
      <x:c r="D2075" t="str">
        <x:v>Zuschuss Carroll</x:v>
      </x:c>
      <x:c r="E2075" t="str">
        <x:v>Consumer</x:v>
      </x:c>
      <x:c r="F2075" t="str">
        <x:v>West</x:v>
      </x:c>
      <x:c r="G2075" t="str">
        <x:v>Furniture</x:v>
      </x:c>
      <x:c r="H2075" t="str">
        <x:v>Tables</x:v>
      </x:c>
      <x:c r="I2075" s="22" t="n">
        <x:v>710.8320000000001</x:v>
      </x:c>
      <x:c r="J2075" s="24" t="n">
        <x:v>3</x:v>
      </x:c>
      <x:c r="K2075" s="26" t="n">
        <x:v>0.2</x:v>
      </x:c>
      <x:c r="L2075" s="22" t="n">
        <x:v>-97.73939999999999</x:v>
      </x:c>
      <x:c r="M2075" t="n">
        <x:v>2015</x:v>
      </x:c>
      <x:c r="N2075" s="20" t="n">
        <x:v>42095</x:v>
      </x:c>
    </x:row>
    <x:row r="2076" ht="18" customHeight="1">
      <x:c r="A2076" t="str">
        <x:v>CA-2016-146521</x:v>
      </x:c>
      <x:c r="B2076" s="18" t="n">
        <x:v>42572</x:v>
      </x:c>
      <x:c r="C2076" t="str">
        <x:v>CC-12610</x:v>
      </x:c>
      <x:c r="D2076" t="str">
        <x:v>Corey Catlett</x:v>
      </x:c>
      <x:c r="E2076" t="str">
        <x:v>Corporate</x:v>
      </x:c>
      <x:c r="F2076" t="str">
        <x:v>East</x:v>
      </x:c>
      <x:c r="G2076" t="str">
        <x:v>Office Supplies</x:v>
      </x:c>
      <x:c r="H2076" t="str">
        <x:v>Binders</x:v>
      </x:c>
      <x:c r="I2076" s="22" t="n">
        <x:v>1.9410000000000003</x:v>
      </x:c>
      <x:c r="J2076" s="24" t="n">
        <x:v>1</x:v>
      </x:c>
      <x:c r="K2076" s="26" t="n">
        <x:v>0.7</x:v>
      </x:c>
      <x:c r="L2076" s="22" t="n">
        <x:v>-1.294</x:v>
      </x:c>
      <x:c r="M2076" t="n">
        <x:v>2016</x:v>
      </x:c>
      <x:c r="N2076" s="20" t="n">
        <x:v>42552</x:v>
      </x:c>
    </x:row>
    <x:row r="2077" ht="18" customHeight="1">
      <x:c r="A2077" t="str">
        <x:v>US-2017-110996</x:v>
      </x:c>
      <x:c r="B2077" s="18" t="n">
        <x:v>43059</x:v>
      </x:c>
      <x:c r="C2077" t="str">
        <x:v>KA-16525</x:v>
      </x:c>
      <x:c r="D2077" t="str">
        <x:v>Kelly Andreada</x:v>
      </x:c>
      <x:c r="E2077" t="str">
        <x:v>Consumer</x:v>
      </x:c>
      <x:c r="F2077" t="str">
        <x:v>West</x:v>
      </x:c>
      <x:c r="G2077" t="str">
        <x:v>Furniture</x:v>
      </x:c>
      <x:c r="H2077" t="str">
        <x:v>Chairs</x:v>
      </x:c>
      <x:c r="I2077" s="22" t="n">
        <x:v>283.92</x:v>
      </x:c>
      <x:c r="J2077" s="24" t="n">
        <x:v>5</x:v>
      </x:c>
      <x:c r="K2077" s="26" t="n">
        <x:v>0.2</x:v>
      </x:c>
      <x:c r="L2077" s="22" t="n">
        <x:v>-46.13700000000003</x:v>
      </x:c>
      <x:c r="M2077" t="n">
        <x:v>2017</x:v>
      </x:c>
      <x:c r="N2077" s="20" t="n">
        <x:v>43040</x:v>
      </x:c>
    </x:row>
    <x:row r="2078" ht="18" customHeight="1">
      <x:c r="A2078" t="str">
        <x:v>CA-2016-129693</x:v>
      </x:c>
      <x:c r="B2078" s="18" t="n">
        <x:v>42700</x:v>
      </x:c>
      <x:c r="C2078" t="str">
        <x:v>TC-20980</x:v>
      </x:c>
      <x:c r="D2078" t="str">
        <x:v>Tamara Chand</x:v>
      </x:c>
      <x:c r="E2078" t="str">
        <x:v>Corporate</x:v>
      </x:c>
      <x:c r="F2078" t="str">
        <x:v>West</x:v>
      </x:c>
      <x:c r="G2078" t="str">
        <x:v>Office Supplies</x:v>
      </x:c>
      <x:c r="H2078" t="str">
        <x:v>Binders</x:v>
      </x:c>
      <x:c r="I2078" s="22" t="n">
        <x:v>7.312000000000001</x:v>
      </x:c>
      <x:c r="J2078" s="24" t="n">
        <x:v>2</x:v>
      </x:c>
      <x:c r="K2078" s="26" t="n">
        <x:v>0.2</x:v>
      </x:c>
      <x:c r="L2078" s="22" t="n">
        <x:v>2.5591999999999997</x:v>
      </x:c>
      <x:c r="M2078" t="n">
        <x:v>2016</x:v>
      </x:c>
      <x:c r="N2078" s="20" t="n">
        <x:v>42675</x:v>
      </x:c>
    </x:row>
    <x:row r="2079" ht="18" customHeight="1">
      <x:c r="A2079" t="str">
        <x:v>CA-2017-122504</x:v>
      </x:c>
      <x:c r="B2079" s="18" t="n">
        <x:v>43046</x:v>
      </x:c>
      <x:c r="C2079" t="str">
        <x:v>DB-13270</x:v>
      </x:c>
      <x:c r="D2079" t="str">
        <x:v>Deborah Brumfield</x:v>
      </x:c>
      <x:c r="E2079" t="str">
        <x:v>Home Office</x:v>
      </x:c>
      <x:c r="F2079" t="str">
        <x:v>West</x:v>
      </x:c>
      <x:c r="G2079" t="str">
        <x:v>Technology</x:v>
      </x:c>
      <x:c r="H2079" t="str">
        <x:v>Accessories</x:v>
      </x:c>
      <x:c r="I2079" s="22" t="n">
        <x:v>59.97</x:v>
      </x:c>
      <x:c r="J2079" s="24" t="n">
        <x:v>3</x:v>
      </x:c>
      <x:c r="K2079" s="26" t="n">
        <x:v>0</x:v>
      </x:c>
      <x:c r="L2079" s="22" t="n">
        <x:v>13.793099999999999</x:v>
      </x:c>
      <x:c r="M2079" t="n">
        <x:v>2017</x:v>
      </x:c>
      <x:c r="N2079" s="20" t="n">
        <x:v>43040</x:v>
      </x:c>
    </x:row>
    <x:row r="2080" ht="18" customHeight="1">
      <x:c r="A2080" t="str">
        <x:v>CA-2017-122504</x:v>
      </x:c>
      <x:c r="B2080" s="18" t="n">
        <x:v>43046</x:v>
      </x:c>
      <x:c r="C2080" t="str">
        <x:v>DB-13270</x:v>
      </x:c>
      <x:c r="D2080" t="str">
        <x:v>Deborah Brumfield</x:v>
      </x:c>
      <x:c r="E2080" t="str">
        <x:v>Home Office</x:v>
      </x:c>
      <x:c r="F2080" t="str">
        <x:v>West</x:v>
      </x:c>
      <x:c r="G2080" t="str">
        <x:v>Technology</x:v>
      </x:c>
      <x:c r="H2080" t="str">
        <x:v>Phones</x:v>
      </x:c>
      <x:c r="I2080" s="22" t="n">
        <x:v>761.5440000000001</x:v>
      </x:c>
      <x:c r="J2080" s="24" t="n">
        <x:v>7</x:v>
      </x:c>
      <x:c r="K2080" s="26" t="n">
        <x:v>0.2</x:v>
      </x:c>
      <x:c r="L2080" s="22" t="n">
        <x:v>66.63510000000002</x:v>
      </x:c>
      <x:c r="M2080" t="n">
        <x:v>2017</x:v>
      </x:c>
      <x:c r="N2080" s="20" t="n">
        <x:v>43040</x:v>
      </x:c>
    </x:row>
    <x:row r="2081" ht="18" customHeight="1">
      <x:c r="A2081" t="str">
        <x:v>CA-2014-131051</x:v>
      </x:c>
      <x:c r="B2081" s="18" t="n">
        <x:v>41974</x:v>
      </x:c>
      <x:c r="C2081" t="str">
        <x:v>TR-21325</x:v>
      </x:c>
      <x:c r="D2081" t="str">
        <x:v>Toby Ritter</x:v>
      </x:c>
      <x:c r="E2081" t="str">
        <x:v>Consumer</x:v>
      </x:c>
      <x:c r="F2081" t="str">
        <x:v>West</x:v>
      </x:c>
      <x:c r="G2081" t="str">
        <x:v>Furniture</x:v>
      </x:c>
      <x:c r="H2081" t="str">
        <x:v>Furnishings</x:v>
      </x:c>
      <x:c r="I2081" s="22" t="n">
        <x:v>58.199999999999996</x:v>
      </x:c>
      <x:c r="J2081" s="24" t="n">
        <x:v>3</x:v>
      </x:c>
      <x:c r="K2081" s="26" t="n">
        <x:v>0</x:v>
      </x:c>
      <x:c r="L2081" s="22" t="n">
        <x:v>28.517999999999994</x:v>
      </x:c>
      <x:c r="M2081" t="n">
        <x:v>2014</x:v>
      </x:c>
      <x:c r="N2081" s="20" t="n">
        <x:v>41974</x:v>
      </x:c>
    </x:row>
    <x:row r="2082" ht="18" customHeight="1">
      <x:c r="A2082" t="str">
        <x:v>CA-2017-140676</x:v>
      </x:c>
      <x:c r="B2082" s="18" t="n">
        <x:v>42990</x:v>
      </x:c>
      <x:c r="C2082" t="str">
        <x:v>BF-11080</x:v>
      </x:c>
      <x:c r="D2082" t="str">
        <x:v>Bart Folk</x:v>
      </x:c>
      <x:c r="E2082" t="str">
        <x:v>Consumer</x:v>
      </x:c>
      <x:c r="F2082" t="str">
        <x:v>East</x:v>
      </x:c>
      <x:c r="G2082" t="str">
        <x:v>Office Supplies</x:v>
      </x:c>
      <x:c r="H2082" t="str">
        <x:v>Paper</x:v>
      </x:c>
      <x:c r="I2082" s="22" t="n">
        <x:v>39.900000000000006</x:v>
      </x:c>
      <x:c r="J2082" s="24" t="n">
        <x:v>5</x:v>
      </x:c>
      <x:c r="K2082" s="26" t="n">
        <x:v>0</x:v>
      </x:c>
      <x:c r="L2082" s="22" t="n">
        <x:v>19.950000000000003</x:v>
      </x:c>
      <x:c r="M2082" t="n">
        <x:v>2017</x:v>
      </x:c>
      <x:c r="N2082" s="20" t="n">
        <x:v>42979</x:v>
      </x:c>
    </x:row>
    <x:row r="2083" ht="18" customHeight="1">
      <x:c r="A2083" t="str">
        <x:v>CA-2017-140676</x:v>
      </x:c>
      <x:c r="B2083" s="18" t="n">
        <x:v>42990</x:v>
      </x:c>
      <x:c r="C2083" t="str">
        <x:v>BF-11080</x:v>
      </x:c>
      <x:c r="D2083" t="str">
        <x:v>Bart Folk</x:v>
      </x:c>
      <x:c r="E2083" t="str">
        <x:v>Consumer</x:v>
      </x:c>
      <x:c r="F2083" t="str">
        <x:v>East</x:v>
      </x:c>
      <x:c r="G2083" t="str">
        <x:v>Office Supplies</x:v>
      </x:c>
      <x:c r="H2083" t="str">
        <x:v>Appliances</x:v>
      </x:c>
      <x:c r="I2083" s="22" t="n">
        <x:v>90.86</x:v>
      </x:c>
      <x:c r="J2083" s="24" t="n">
        <x:v>7</x:v>
      </x:c>
      <x:c r="K2083" s="26" t="n">
        <x:v>0</x:v>
      </x:c>
      <x:c r="L2083" s="22" t="n">
        <x:v>26.349399999999992</x:v>
      </x:c>
      <x:c r="M2083" t="n">
        <x:v>2017</x:v>
      </x:c>
      <x:c r="N2083" s="20" t="n">
        <x:v>42979</x:v>
      </x:c>
    </x:row>
    <x:row r="2084" ht="18" customHeight="1">
      <x:c r="A2084" t="str">
        <x:v>CA-2017-140676</x:v>
      </x:c>
      <x:c r="B2084" s="18" t="n">
        <x:v>42990</x:v>
      </x:c>
      <x:c r="C2084" t="str">
        <x:v>BF-11080</x:v>
      </x:c>
      <x:c r="D2084" t="str">
        <x:v>Bart Folk</x:v>
      </x:c>
      <x:c r="E2084" t="str">
        <x:v>Consumer</x:v>
      </x:c>
      <x:c r="F2084" t="str">
        <x:v>East</x:v>
      </x:c>
      <x:c r="G2084" t="str">
        <x:v>Office Supplies</x:v>
      </x:c>
      <x:c r="H2084" t="str">
        <x:v>Paper</x:v>
      </x:c>
      <x:c r="I2084" s="22" t="n">
        <x:v>94.85</x:v>
      </x:c>
      <x:c r="J2084" s="24" t="n">
        <x:v>5</x:v>
      </x:c>
      <x:c r="K2084" s="26" t="n">
        <x:v>0</x:v>
      </x:c>
      <x:c r="L2084" s="22" t="n">
        <x:v>45.52799999999999</x:v>
      </x:c>
      <x:c r="M2084" t="n">
        <x:v>2017</x:v>
      </x:c>
      <x:c r="N2084" s="20" t="n">
        <x:v>42979</x:v>
      </x:c>
    </x:row>
    <x:row r="2085" ht="18" customHeight="1">
      <x:c r="A2085" t="str">
        <x:v>CA-2015-120103</x:v>
      </x:c>
      <x:c r="B2085" s="18" t="n">
        <x:v>42362</x:v>
      </x:c>
      <x:c r="C2085" t="str">
        <x:v>MS-17365</x:v>
      </x:c>
      <x:c r="D2085" t="str">
        <x:v>Maribeth Schnelling</x:v>
      </x:c>
      <x:c r="E2085" t="str">
        <x:v>Consumer</x:v>
      </x:c>
      <x:c r="F2085" t="str">
        <x:v>West</x:v>
      </x:c>
      <x:c r="G2085" t="str">
        <x:v>Office Supplies</x:v>
      </x:c>
      <x:c r="H2085" t="str">
        <x:v>Paper</x:v>
      </x:c>
      <x:c r="I2085" s="22" t="n">
        <x:v>106.232</x:v>
      </x:c>
      <x:c r="J2085" s="24" t="n">
        <x:v>7</x:v>
      </x:c>
      <x:c r="K2085" s="26" t="n">
        <x:v>0.2</x:v>
      </x:c>
      <x:c r="L2085" s="22" t="n">
        <x:v>37.1812</x:v>
      </x:c>
      <x:c r="M2085" t="n">
        <x:v>2015</x:v>
      </x:c>
      <x:c r="N2085" s="20" t="n">
        <x:v>42339</x:v>
      </x:c>
    </x:row>
    <x:row r="2086" ht="18" customHeight="1">
      <x:c r="A2086" t="str">
        <x:v>CA-2015-120103</x:v>
      </x:c>
      <x:c r="B2086" s="18" t="n">
        <x:v>42362</x:v>
      </x:c>
      <x:c r="C2086" t="str">
        <x:v>MS-17365</x:v>
      </x:c>
      <x:c r="D2086" t="str">
        <x:v>Maribeth Schnelling</x:v>
      </x:c>
      <x:c r="E2086" t="str">
        <x:v>Consumer</x:v>
      </x:c>
      <x:c r="F2086" t="str">
        <x:v>West</x:v>
      </x:c>
      <x:c r="G2086" t="str">
        <x:v>Technology</x:v>
      </x:c>
      <x:c r="H2086" t="str">
        <x:v>Phones</x:v>
      </x:c>
      <x:c r="I2086" s="22" t="n">
        <x:v>111.984</x:v>
      </x:c>
      <x:c r="J2086" s="24" t="n">
        <x:v>2</x:v>
      </x:c>
      <x:c r="K2086" s="26" t="n">
        <x:v>0.2</x:v>
      </x:c>
      <x:c r="L2086" s="22" t="n">
        <x:v>11.198400000000003</x:v>
      </x:c>
      <x:c r="M2086" t="n">
        <x:v>2015</x:v>
      </x:c>
      <x:c r="N2086" s="20" t="n">
        <x:v>42339</x:v>
      </x:c>
    </x:row>
    <x:row r="2087" ht="18" customHeight="1">
      <x:c r="A2087" t="str">
        <x:v>CA-2015-120103</x:v>
      </x:c>
      <x:c r="B2087" s="18" t="n">
        <x:v>42362</x:v>
      </x:c>
      <x:c r="C2087" t="str">
        <x:v>MS-17365</x:v>
      </x:c>
      <x:c r="D2087" t="str">
        <x:v>Maribeth Schnelling</x:v>
      </x:c>
      <x:c r="E2087" t="str">
        <x:v>Consumer</x:v>
      </x:c>
      <x:c r="F2087" t="str">
        <x:v>West</x:v>
      </x:c>
      <x:c r="G2087" t="str">
        <x:v>Furniture</x:v>
      </x:c>
      <x:c r="H2087" t="str">
        <x:v>Furnishings</x:v>
      </x:c>
      <x:c r="I2087" s="22" t="n">
        <x:v>7.712000000000001</x:v>
      </x:c>
      <x:c r="J2087" s="24" t="n">
        <x:v>2</x:v>
      </x:c>
      <x:c r="K2087" s="26" t="n">
        <x:v>0.2</x:v>
      </x:c>
      <x:c r="L2087" s="22" t="n">
        <x:v>1.7352000000000005</x:v>
      </x:c>
      <x:c r="M2087" t="n">
        <x:v>2015</x:v>
      </x:c>
      <x:c r="N2087" s="20" t="n">
        <x:v>42339</x:v>
      </x:c>
    </x:row>
    <x:row r="2088" ht="18" customHeight="1">
      <x:c r="A2088" t="str">
        <x:v>CA-2017-104647</x:v>
      </x:c>
      <x:c r="B2088" s="18" t="n">
        <x:v>42789</x:v>
      </x:c>
      <x:c r="C2088" t="str">
        <x:v>CK-12595</x:v>
      </x:c>
      <x:c r="D2088" t="str">
        <x:v>Clytie Kelty</x:v>
      </x:c>
      <x:c r="E2088" t="str">
        <x:v>Consumer</x:v>
      </x:c>
      <x:c r="F2088" t="str">
        <x:v>West</x:v>
      </x:c>
      <x:c r="G2088" t="str">
        <x:v>Office Supplies</x:v>
      </x:c>
      <x:c r="H2088" t="str">
        <x:v>Paper</x:v>
      </x:c>
      <x:c r="I2088" s="22" t="n">
        <x:v>37.44</x:v>
      </x:c>
      <x:c r="J2088" s="24" t="n">
        <x:v>6</x:v>
      </x:c>
      <x:c r="K2088" s="26" t="n">
        <x:v>0</x:v>
      </x:c>
      <x:c r="L2088" s="22" t="n">
        <x:v>16.848</x:v>
      </x:c>
      <x:c r="M2088" t="n">
        <x:v>2017</x:v>
      </x:c>
      <x:c r="N2088" s="20" t="n">
        <x:v>42767</x:v>
      </x:c>
    </x:row>
    <x:row r="2089" ht="18" customHeight="1">
      <x:c r="A2089" t="str">
        <x:v>CA-2014-110352</x:v>
      </x:c>
      <x:c r="B2089" s="18" t="n">
        <x:v>41966</x:v>
      </x:c>
      <x:c r="C2089" t="str">
        <x:v>ED-13885</x:v>
      </x:c>
      <x:c r="D2089" t="str">
        <x:v>Emily Ducich</x:v>
      </x:c>
      <x:c r="E2089" t="str">
        <x:v>Home Office</x:v>
      </x:c>
      <x:c r="F2089" t="str">
        <x:v>Central</x:v>
      </x:c>
      <x:c r="G2089" t="str">
        <x:v>Office Supplies</x:v>
      </x:c>
      <x:c r="H2089" t="str">
        <x:v>Labels</x:v>
      </x:c>
      <x:c r="I2089" s="22" t="n">
        <x:v>23.680000000000003</x:v>
      </x:c>
      <x:c r="J2089" s="24" t="n">
        <x:v>2</x:v>
      </x:c>
      <x:c r="K2089" s="26" t="n">
        <x:v>0.2</x:v>
      </x:c>
      <x:c r="L2089" s="22" t="n">
        <x:v>8.879999999999999</x:v>
      </x:c>
      <x:c r="M2089" t="n">
        <x:v>2014</x:v>
      </x:c>
      <x:c r="N2089" s="20" t="n">
        <x:v>41944</x:v>
      </x:c>
    </x:row>
    <x:row r="2090" ht="18" customHeight="1">
      <x:c r="A2090" t="str">
        <x:v>CA-2016-140501</x:v>
      </x:c>
      <x:c r="B2090" s="18" t="n">
        <x:v>42544</x:v>
      </x:c>
      <x:c r="C2090" t="str">
        <x:v>IM-15070</x:v>
      </x:c>
      <x:c r="D2090" t="str">
        <x:v>Irene Maddox</x:v>
      </x:c>
      <x:c r="E2090" t="str">
        <x:v>Consumer</x:v>
      </x:c>
      <x:c r="F2090" t="str">
        <x:v>East</x:v>
      </x:c>
      <x:c r="G2090" t="str">
        <x:v>Office Supplies</x:v>
      </x:c>
      <x:c r="H2090" t="str">
        <x:v>Labels</x:v>
      </x:c>
      <x:c r="I2090" s="22" t="n">
        <x:v>122.12</x:v>
      </x:c>
      <x:c r="J2090" s="24" t="n">
        <x:v>4</x:v>
      </x:c>
      <x:c r="K2090" s="26" t="n">
        <x:v>0</x:v>
      </x:c>
      <x:c r="L2090" s="22" t="n">
        <x:v>56.175200000000004</x:v>
      </x:c>
      <x:c r="M2090" t="n">
        <x:v>2016</x:v>
      </x:c>
      <x:c r="N2090" s="20" t="n">
        <x:v>42522</x:v>
      </x:c>
    </x:row>
    <x:row r="2091" ht="18" customHeight="1">
      <x:c r="A2091" t="str">
        <x:v>CA-2016-140501</x:v>
      </x:c>
      <x:c r="B2091" s="18" t="n">
        <x:v>42544</x:v>
      </x:c>
      <x:c r="C2091" t="str">
        <x:v>IM-15070</x:v>
      </x:c>
      <x:c r="D2091" t="str">
        <x:v>Irene Maddox</x:v>
      </x:c>
      <x:c r="E2091" t="str">
        <x:v>Consumer</x:v>
      </x:c>
      <x:c r="F2091" t="str">
        <x:v>East</x:v>
      </x:c>
      <x:c r="G2091" t="str">
        <x:v>Office Supplies</x:v>
      </x:c>
      <x:c r="H2091" t="str">
        <x:v>Labels</x:v>
      </x:c>
      <x:c r="I2091" s="22" t="n">
        <x:v>18.45</x:v>
      </x:c>
      <x:c r="J2091" s="24" t="n">
        <x:v>5</x:v>
      </x:c>
      <x:c r="K2091" s="26" t="n">
        <x:v>0</x:v>
      </x:c>
      <x:c r="L2091" s="22" t="n">
        <x:v>8.6715</x:v>
      </x:c>
      <x:c r="M2091" t="n">
        <x:v>2016</x:v>
      </x:c>
      <x:c r="N2091" s="20" t="n">
        <x:v>42522</x:v>
      </x:c>
    </x:row>
    <x:row r="2092" ht="18" customHeight="1">
      <x:c r="A2092" t="str">
        <x:v>CA-2016-140501</x:v>
      </x:c>
      <x:c r="B2092" s="18" t="n">
        <x:v>42544</x:v>
      </x:c>
      <x:c r="C2092" t="str">
        <x:v>IM-15070</x:v>
      </x:c>
      <x:c r="D2092" t="str">
        <x:v>Irene Maddox</x:v>
      </x:c>
      <x:c r="E2092" t="str">
        <x:v>Consumer</x:v>
      </x:c>
      <x:c r="F2092" t="str">
        <x:v>East</x:v>
      </x:c>
      <x:c r="G2092" t="str">
        <x:v>Office Supplies</x:v>
      </x:c>
      <x:c r="H2092" t="str">
        <x:v>Storage</x:v>
      </x:c>
      <x:c r="I2092" s="22" t="n">
        <x:v>324.90000000000003</x:v>
      </x:c>
      <x:c r="J2092" s="24" t="n">
        <x:v>5</x:v>
      </x:c>
      <x:c r="K2092" s="26" t="n">
        <x:v>0</x:v>
      </x:c>
      <x:c r="L2092" s="22" t="n">
        <x:v>38.988000000000014</x:v>
      </x:c>
      <x:c r="M2092" t="n">
        <x:v>2016</x:v>
      </x:c>
      <x:c r="N2092" s="20" t="n">
        <x:v>42522</x:v>
      </x:c>
    </x:row>
    <x:row r="2093" ht="18" customHeight="1">
      <x:c r="A2093" t="str">
        <x:v>CA-2016-140501</x:v>
      </x:c>
      <x:c r="B2093" s="18" t="n">
        <x:v>42544</x:v>
      </x:c>
      <x:c r="C2093" t="str">
        <x:v>IM-15070</x:v>
      </x:c>
      <x:c r="D2093" t="str">
        <x:v>Irene Maddox</x:v>
      </x:c>
      <x:c r="E2093" t="str">
        <x:v>Consumer</x:v>
      </x:c>
      <x:c r="F2093" t="str">
        <x:v>East</x:v>
      </x:c>
      <x:c r="G2093" t="str">
        <x:v>Office Supplies</x:v>
      </x:c>
      <x:c r="H2093" t="str">
        <x:v>Paper</x:v>
      </x:c>
      <x:c r="I2093" s="22" t="n">
        <x:v>146.73</x:v>
      </x:c>
      <x:c r="J2093" s="24" t="n">
        <x:v>3</x:v>
      </x:c>
      <x:c r="K2093" s="26" t="n">
        <x:v>0</x:v>
      </x:c>
      <x:c r="L2093" s="22" t="n">
        <x:v>68.9631</x:v>
      </x:c>
      <x:c r="M2093" t="n">
        <x:v>2016</x:v>
      </x:c>
      <x:c r="N2093" s="20" t="n">
        <x:v>42522</x:v>
      </x:c>
    </x:row>
    <x:row r="2094" ht="18" customHeight="1">
      <x:c r="A2094" t="str">
        <x:v>CA-2016-140501</x:v>
      </x:c>
      <x:c r="B2094" s="18" t="n">
        <x:v>42544</x:v>
      </x:c>
      <x:c r="C2094" t="str">
        <x:v>IM-15070</x:v>
      </x:c>
      <x:c r="D2094" t="str">
        <x:v>Irene Maddox</x:v>
      </x:c>
      <x:c r="E2094" t="str">
        <x:v>Consumer</x:v>
      </x:c>
      <x:c r="F2094" t="str">
        <x:v>East</x:v>
      </x:c>
      <x:c r="G2094" t="str">
        <x:v>Office Supplies</x:v>
      </x:c>
      <x:c r="H2094" t="str">
        <x:v>Fasteners</x:v>
      </x:c>
      <x:c r="I2094" s="22" t="n">
        <x:v>3.96</x:v>
      </x:c>
      <x:c r="J2094" s="24" t="n">
        <x:v>2</x:v>
      </x:c>
      <x:c r="K2094" s="26" t="n">
        <x:v>0</x:v>
      </x:c>
      <x:c r="L2094" s="22" t="n">
        <x:v>1.4651999999999998</x:v>
      </x:c>
      <x:c r="M2094" t="n">
        <x:v>2016</x:v>
      </x:c>
      <x:c r="N2094" s="20" t="n">
        <x:v>42522</x:v>
      </x:c>
    </x:row>
    <x:row r="2095" ht="18" customHeight="1">
      <x:c r="A2095" t="str">
        <x:v>CA-2015-139290</x:v>
      </x:c>
      <x:c r="B2095" s="18" t="n">
        <x:v>42303</x:v>
      </x:c>
      <x:c r="C2095" t="str">
        <x:v>MY-17380</x:v>
      </x:c>
      <x:c r="D2095" t="str">
        <x:v>Maribeth Yedwab</x:v>
      </x:c>
      <x:c r="E2095" t="str">
        <x:v>Corporate</x:v>
      </x:c>
      <x:c r="F2095" t="str">
        <x:v>West</x:v>
      </x:c>
      <x:c r="G2095" t="str">
        <x:v>Office Supplies</x:v>
      </x:c>
      <x:c r="H2095" t="str">
        <x:v>Labels</x:v>
      </x:c>
      <x:c r="I2095" s="22" t="n">
        <x:v>5.76</x:v>
      </x:c>
      <x:c r="J2095" s="24" t="n">
        <x:v>2</x:v>
      </x:c>
      <x:c r="K2095" s="26" t="n">
        <x:v>0</x:v>
      </x:c>
      <x:c r="L2095" s="22" t="n">
        <x:v>2.6495999999999995</x:v>
      </x:c>
      <x:c r="M2095" t="n">
        <x:v>2015</x:v>
      </x:c>
      <x:c r="N2095" s="20" t="n">
        <x:v>42278</x:v>
      </x:c>
    </x:row>
    <x:row r="2096" ht="18" customHeight="1">
      <x:c r="A2096" t="str">
        <x:v>CA-2017-166142</x:v>
      </x:c>
      <x:c r="B2096" s="18" t="n">
        <x:v>42931</x:v>
      </x:c>
      <x:c r="C2096" t="str">
        <x:v>MM-17260</x:v>
      </x:c>
      <x:c r="D2096" t="str">
        <x:v>Magdelene Morse</x:v>
      </x:c>
      <x:c r="E2096" t="str">
        <x:v>Consumer</x:v>
      </x:c>
      <x:c r="F2096" t="str">
        <x:v>East</x:v>
      </x:c>
      <x:c r="G2096" t="str">
        <x:v>Office Supplies</x:v>
      </x:c>
      <x:c r="H2096" t="str">
        <x:v>Binders</x:v>
      </x:c>
      <x:c r="I2096" s="22" t="n">
        <x:v>26.549999999999997</x:v>
      </x:c>
      <x:c r="J2096" s="24" t="n">
        <x:v>3</x:v>
      </x:c>
      <x:c r="K2096" s="26" t="n">
        <x:v>0</x:v>
      </x:c>
      <x:c r="L2096" s="22" t="n">
        <x:v>13.0095</x:v>
      </x:c>
      <x:c r="M2096" t="n">
        <x:v>2017</x:v>
      </x:c>
      <x:c r="N2096" s="20" t="n">
        <x:v>42917</x:v>
      </x:c>
    </x:row>
    <x:row r="2097" ht="18" customHeight="1">
      <x:c r="A2097" t="str">
        <x:v>CA-2017-166142</x:v>
      </x:c>
      <x:c r="B2097" s="18" t="n">
        <x:v>42931</x:v>
      </x:c>
      <x:c r="C2097" t="str">
        <x:v>MM-17260</x:v>
      </x:c>
      <x:c r="D2097" t="str">
        <x:v>Magdelene Morse</x:v>
      </x:c>
      <x:c r="E2097" t="str">
        <x:v>Consumer</x:v>
      </x:c>
      <x:c r="F2097" t="str">
        <x:v>East</x:v>
      </x:c>
      <x:c r="G2097" t="str">
        <x:v>Furniture</x:v>
      </x:c>
      <x:c r="H2097" t="str">
        <x:v>Tables</x:v>
      </x:c>
      <x:c r="I2097" s="22" t="n">
        <x:v>310.44300000000004</x:v>
      </x:c>
      <x:c r="J2097" s="24" t="n">
        <x:v>3</x:v>
      </x:c>
      <x:c r="K2097" s="26" t="n">
        <x:v>0.3</x:v>
      </x:c>
      <x:c r="L2097" s="22" t="n">
        <x:v>-48.78390000000003</x:v>
      </x:c>
      <x:c r="M2097" t="n">
        <x:v>2017</x:v>
      </x:c>
      <x:c r="N2097" s="20" t="n">
        <x:v>42917</x:v>
      </x:c>
    </x:row>
    <x:row r="2098" ht="18" customHeight="1">
      <x:c r="A2098" t="str">
        <x:v>CA-2014-145926</x:v>
      </x:c>
      <x:c r="B2098" s="18" t="n">
        <x:v>41960</x:v>
      </x:c>
      <x:c r="C2098" t="str">
        <x:v>MP-17470</x:v>
      </x:c>
      <x:c r="D2098" t="str">
        <x:v>Mark Packer</x:v>
      </x:c>
      <x:c r="E2098" t="str">
        <x:v>Home Office</x:v>
      </x:c>
      <x:c r="F2098" t="str">
        <x:v>Central</x:v>
      </x:c>
      <x:c r="G2098" t="str">
        <x:v>Furniture</x:v>
      </x:c>
      <x:c r="H2098" t="str">
        <x:v>Chairs</x:v>
      </x:c>
      <x:c r="I2098" s="22" t="n">
        <x:v>479.90000000000003</x:v>
      </x:c>
      <x:c r="J2098" s="24" t="n">
        <x:v>5</x:v>
      </x:c>
      <x:c r="K2098" s="26" t="n">
        <x:v>0</x:v>
      </x:c>
      <x:c r="L2098" s="22" t="n">
        <x:v>81.58299999999997</x:v>
      </x:c>
      <x:c r="M2098" t="n">
        <x:v>2014</x:v>
      </x:c>
      <x:c r="N2098" s="20" t="n">
        <x:v>41944</x:v>
      </x:c>
    </x:row>
    <x:row r="2099" ht="18" customHeight="1">
      <x:c r="A2099" t="str">
        <x:v>CA-2015-149678</x:v>
      </x:c>
      <x:c r="B2099" s="18" t="n">
        <x:v>42107</x:v>
      </x:c>
      <x:c r="C2099" t="str">
        <x:v>AW-10840</x:v>
      </x:c>
      <x:c r="D2099" t="str">
        <x:v>Anthony Witt</x:v>
      </x:c>
      <x:c r="E2099" t="str">
        <x:v>Consumer</x:v>
      </x:c>
      <x:c r="F2099" t="str">
        <x:v>West</x:v>
      </x:c>
      <x:c r="G2099" t="str">
        <x:v>Office Supplies</x:v>
      </x:c>
      <x:c r="H2099" t="str">
        <x:v>Supplies</x:v>
      </x:c>
      <x:c r="I2099" s="22" t="n">
        <x:v>12.88</x:v>
      </x:c>
      <x:c r="J2099" s="24" t="n">
        <x:v>1</x:v>
      </x:c>
      <x:c r="K2099" s="26" t="n">
        <x:v>0</x:v>
      </x:c>
      <x:c r="L2099" s="22" t="n">
        <x:v>0.3864000000000001</x:v>
      </x:c>
      <x:c r="M2099" t="n">
        <x:v>2015</x:v>
      </x:c>
      <x:c r="N2099" s="20" t="n">
        <x:v>42095</x:v>
      </x:c>
    </x:row>
    <x:row r="2100" ht="18" customHeight="1">
      <x:c r="A2100" t="str">
        <x:v>US-2015-164357</x:v>
      </x:c>
      <x:c r="B2100" s="18" t="n">
        <x:v>42333</x:v>
      </x:c>
      <x:c r="C2100" t="str">
        <x:v>SF-20065</x:v>
      </x:c>
      <x:c r="D2100" t="str">
        <x:v>Sandra Flanagan</x:v>
      </x:c>
      <x:c r="E2100" t="str">
        <x:v>Consumer</x:v>
      </x:c>
      <x:c r="F2100" t="str">
        <x:v>South</x:v>
      </x:c>
      <x:c r="G2100" t="str">
        <x:v>Office Supplies</x:v>
      </x:c>
      <x:c r="H2100" t="str">
        <x:v>Art</x:v>
      </x:c>
      <x:c r="I2100" s="22" t="n">
        <x:v>13.120000000000001</x:v>
      </x:c>
      <x:c r="J2100" s="24" t="n">
        <x:v>5</x:v>
      </x:c>
      <x:c r="K2100" s="26" t="n">
        <x:v>0.2</x:v>
      </x:c>
      <x:c r="L2100" s="22" t="n">
        <x:v>1.4759999999999982</x:v>
      </x:c>
      <x:c r="M2100" t="n">
        <x:v>2015</x:v>
      </x:c>
      <x:c r="N2100" s="20" t="n">
        <x:v>42309</x:v>
      </x:c>
    </x:row>
    <x:row r="2101" ht="18" customHeight="1">
      <x:c r="A2101" t="str">
        <x:v>US-2016-146570</x:v>
      </x:c>
      <x:c r="B2101" s="18" t="n">
        <x:v>42505</x:v>
      </x:c>
      <x:c r="C2101" t="str">
        <x:v>SN-20710</x:v>
      </x:c>
      <x:c r="D2101" t="str">
        <x:v>Steve Nguyen</x:v>
      </x:c>
      <x:c r="E2101" t="str">
        <x:v>Home Office</x:v>
      </x:c>
      <x:c r="F2101" t="str">
        <x:v>South</x:v>
      </x:c>
      <x:c r="G2101" t="str">
        <x:v>Office Supplies</x:v>
      </x:c>
      <x:c r="H2101" t="str">
        <x:v>Binders</x:v>
      </x:c>
      <x:c r="I2101" s="22" t="n">
        <x:v>511.84</x:v>
      </x:c>
      <x:c r="J2101" s="24" t="n">
        <x:v>8</x:v>
      </x:c>
      <x:c r="K2101" s="26" t="n">
        <x:v>0</x:v>
      </x:c>
      <x:c r="L2101" s="22" t="n">
        <x:v>240.5648</x:v>
      </x:c>
      <x:c r="M2101" t="n">
        <x:v>2016</x:v>
      </x:c>
      <x:c r="N2101" s="20" t="n">
        <x:v>42491</x:v>
      </x:c>
    </x:row>
    <x:row r="2102" ht="18" customHeight="1">
      <x:c r="A2102" t="str">
        <x:v>US-2016-146570</x:v>
      </x:c>
      <x:c r="B2102" s="18" t="n">
        <x:v>42505</x:v>
      </x:c>
      <x:c r="C2102" t="str">
        <x:v>SN-20710</x:v>
      </x:c>
      <x:c r="D2102" t="str">
        <x:v>Steve Nguyen</x:v>
      </x:c>
      <x:c r="E2102" t="str">
        <x:v>Home Office</x:v>
      </x:c>
      <x:c r="F2102" t="str">
        <x:v>South</x:v>
      </x:c>
      <x:c r="G2102" t="str">
        <x:v>Office Supplies</x:v>
      </x:c>
      <x:c r="H2102" t="str">
        <x:v>Art</x:v>
      </x:c>
      <x:c r="I2102" s="22" t="n">
        <x:v>91.96</x:v>
      </x:c>
      <x:c r="J2102" s="24" t="n">
        <x:v>4</x:v>
      </x:c>
      <x:c r="K2102" s="26" t="n">
        <x:v>0</x:v>
      </x:c>
      <x:c r="L2102" s="22" t="n">
        <x:v>25.748800000000003</x:v>
      </x:c>
      <x:c r="M2102" t="n">
        <x:v>2016</x:v>
      </x:c>
      <x:c r="N2102" s="20" t="n">
        <x:v>42491</x:v>
      </x:c>
    </x:row>
    <x:row r="2103" ht="18" customHeight="1">
      <x:c r="A2103" t="str">
        <x:v>US-2016-146570</x:v>
      </x:c>
      <x:c r="B2103" s="18" t="n">
        <x:v>42505</x:v>
      </x:c>
      <x:c r="C2103" t="str">
        <x:v>SN-20710</x:v>
      </x:c>
      <x:c r="D2103" t="str">
        <x:v>Steve Nguyen</x:v>
      </x:c>
      <x:c r="E2103" t="str">
        <x:v>Home Office</x:v>
      </x:c>
      <x:c r="F2103" t="str">
        <x:v>South</x:v>
      </x:c>
      <x:c r="G2103" t="str">
        <x:v>Office Supplies</x:v>
      </x:c>
      <x:c r="H2103" t="str">
        <x:v>Art</x:v>
      </x:c>
      <x:c r="I2103" s="22" t="n">
        <x:v>8.34</x:v>
      </x:c>
      <x:c r="J2103" s="24" t="n">
        <x:v>3</x:v>
      </x:c>
      <x:c r="K2103" s="26" t="n">
        <x:v>0</x:v>
      </x:c>
      <x:c r="L2103" s="22" t="n">
        <x:v>2.1683999999999997</x:v>
      </x:c>
      <x:c r="M2103" t="n">
        <x:v>2016</x:v>
      </x:c>
      <x:c r="N2103" s="20" t="n">
        <x:v>42491</x:v>
      </x:c>
    </x:row>
    <x:row r="2104" ht="18" customHeight="1">
      <x:c r="A2104" t="str">
        <x:v>CA-2017-124401</x:v>
      </x:c>
      <x:c r="B2104" s="18" t="n">
        <x:v>42985</x:v>
      </x:c>
      <x:c r="C2104" t="str">
        <x:v>RD-19900</x:v>
      </x:c>
      <x:c r="D2104" t="str">
        <x:v>Ruben Dartt</x:v>
      </x:c>
      <x:c r="E2104" t="str">
        <x:v>Consumer</x:v>
      </x:c>
      <x:c r="F2104" t="str">
        <x:v>West</x:v>
      </x:c>
      <x:c r="G2104" t="str">
        <x:v>Office Supplies</x:v>
      </x:c>
      <x:c r="H2104" t="str">
        <x:v>Storage</x:v>
      </x:c>
      <x:c r="I2104" s="22" t="n">
        <x:v>37.68</x:v>
      </x:c>
      <x:c r="J2104" s="24" t="n">
        <x:v>3</x:v>
      </x:c>
      <x:c r="K2104" s="26" t="n">
        <x:v>0.2</x:v>
      </x:c>
      <x:c r="L2104" s="22" t="n">
        <x:v>2.355000000000002</x:v>
      </x:c>
      <x:c r="M2104" t="n">
        <x:v>2017</x:v>
      </x:c>
      <x:c r="N2104" s="20" t="n">
        <x:v>42979</x:v>
      </x:c>
    </x:row>
    <x:row r="2105" ht="18" customHeight="1">
      <x:c r="A2105" t="str">
        <x:v>CA-2017-124401</x:v>
      </x:c>
      <x:c r="B2105" s="18" t="n">
        <x:v>42985</x:v>
      </x:c>
      <x:c r="C2105" t="str">
        <x:v>RD-19900</x:v>
      </x:c>
      <x:c r="D2105" t="str">
        <x:v>Ruben Dartt</x:v>
      </x:c>
      <x:c r="E2105" t="str">
        <x:v>Consumer</x:v>
      </x:c>
      <x:c r="F2105" t="str">
        <x:v>West</x:v>
      </x:c>
      <x:c r="G2105" t="str">
        <x:v>Technology</x:v>
      </x:c>
      <x:c r="H2105" t="str">
        <x:v>Accessories</x:v>
      </x:c>
      <x:c r="I2105" s="22" t="n">
        <x:v>279.944</x:v>
      </x:c>
      <x:c r="J2105" s="24" t="n">
        <x:v>7</x:v>
      </x:c>
      <x:c r="K2105" s="26" t="n">
        <x:v>0.2</x:v>
      </x:c>
      <x:c r="L2105" s="22" t="n">
        <x:v>80.48390000000002</x:v>
      </x:c>
      <x:c r="M2105" t="n">
        <x:v>2017</x:v>
      </x:c>
      <x:c r="N2105" s="20" t="n">
        <x:v>42979</x:v>
      </x:c>
    </x:row>
    <x:row r="2106" ht="18" customHeight="1">
      <x:c r="A2106" t="str">
        <x:v>US-2014-140116</x:v>
      </x:c>
      <x:c r="B2106" s="18" t="n">
        <x:v>41708</x:v>
      </x:c>
      <x:c r="C2106" t="str">
        <x:v>KT-16480</x:v>
      </x:c>
      <x:c r="D2106" t="str">
        <x:v>Kean Thornton</x:v>
      </x:c>
      <x:c r="E2106" t="str">
        <x:v>Consumer</x:v>
      </x:c>
      <x:c r="F2106" t="str">
        <x:v>West</x:v>
      </x:c>
      <x:c r="G2106" t="str">
        <x:v>Office Supplies</x:v>
      </x:c>
      <x:c r="H2106" t="str">
        <x:v>Storage</x:v>
      </x:c>
      <x:c r="I2106" s="22" t="n">
        <x:v>636.4080000000001</x:v>
      </x:c>
      <x:c r="J2106" s="24" t="n">
        <x:v>3</x:v>
      </x:c>
      <x:c r="K2106" s="26" t="n">
        <x:v>0.2</x:v>
      </x:c>
      <x:c r="L2106" s="22" t="n">
        <x:v>-15.910200000000088</x:v>
      </x:c>
      <x:c r="M2106" t="n">
        <x:v>2014</x:v>
      </x:c>
      <x:c r="N2106" s="20" t="n">
        <x:v>41699</x:v>
      </x:c>
    </x:row>
    <x:row r="2107" ht="18" customHeight="1">
      <x:c r="A2107" t="str">
        <x:v>US-2014-140116</x:v>
      </x:c>
      <x:c r="B2107" s="18" t="n">
        <x:v>41708</x:v>
      </x:c>
      <x:c r="C2107" t="str">
        <x:v>KT-16480</x:v>
      </x:c>
      <x:c r="D2107" t="str">
        <x:v>Kean Thornton</x:v>
      </x:c>
      <x:c r="E2107" t="str">
        <x:v>Consumer</x:v>
      </x:c>
      <x:c r="F2107" t="str">
        <x:v>West</x:v>
      </x:c>
      <x:c r="G2107" t="str">
        <x:v>Office Supplies</x:v>
      </x:c>
      <x:c r="H2107" t="str">
        <x:v>Art</x:v>
      </x:c>
      <x:c r="I2107" s="22" t="n">
        <x:v>83.168</x:v>
      </x:c>
      <x:c r="J2107" s="24" t="n">
        <x:v>4</x:v>
      </x:c>
      <x:c r="K2107" s="26" t="n">
        <x:v>0.2</x:v>
      </x:c>
      <x:c r="L2107" s="22" t="n">
        <x:v>9.356399999999994</x:v>
      </x:c>
      <x:c r="M2107" t="n">
        <x:v>2014</x:v>
      </x:c>
      <x:c r="N2107" s="20" t="n">
        <x:v>41699</x:v>
      </x:c>
    </x:row>
    <x:row r="2108" ht="18" customHeight="1">
      <x:c r="A2108" t="str">
        <x:v>CA-2014-123295</x:v>
      </x:c>
      <x:c r="B2108" s="18" t="n">
        <x:v>41838</x:v>
      </x:c>
      <x:c r="C2108" t="str">
        <x:v>AH-10120</x:v>
      </x:c>
      <x:c r="D2108" t="str">
        <x:v>Adrian Hane</x:v>
      </x:c>
      <x:c r="E2108" t="str">
        <x:v>Home Office</x:v>
      </x:c>
      <x:c r="F2108" t="str">
        <x:v>West</x:v>
      </x:c>
      <x:c r="G2108" t="str">
        <x:v>Furniture</x:v>
      </x:c>
      <x:c r="H2108" t="str">
        <x:v>Chairs</x:v>
      </x:c>
      <x:c r="I2108" s="22" t="n">
        <x:v>259.136</x:v>
      </x:c>
      <x:c r="J2108" s="24" t="n">
        <x:v>4</x:v>
      </x:c>
      <x:c r="K2108" s="26" t="n">
        <x:v>0.2</x:v>
      </x:c>
      <x:c r="L2108" s="22" t="n">
        <x:v>-25.913599999999988</x:v>
      </x:c>
      <x:c r="M2108" t="n">
        <x:v>2014</x:v>
      </x:c>
      <x:c r="N2108" s="20" t="n">
        <x:v>41821</x:v>
      </x:c>
    </x:row>
    <x:row r="2109" ht="18" customHeight="1">
      <x:c r="A2109" t="str">
        <x:v>CA-2017-167101</x:v>
      </x:c>
      <x:c r="B2109" s="18" t="n">
        <x:v>42818</x:v>
      </x:c>
      <x:c r="C2109" t="str">
        <x:v>BM-11650</x:v>
      </x:c>
      <x:c r="D2109" t="str">
        <x:v>Brian Moss</x:v>
      </x:c>
      <x:c r="E2109" t="str">
        <x:v>Corporate</x:v>
      </x:c>
      <x:c r="F2109" t="str">
        <x:v>East</x:v>
      </x:c>
      <x:c r="G2109" t="str">
        <x:v>Office Supplies</x:v>
      </x:c>
      <x:c r="H2109" t="str">
        <x:v>Paper</x:v>
      </x:c>
      <x:c r="I2109" s="22" t="n">
        <x:v>221.92</x:v>
      </x:c>
      <x:c r="J2109" s="24" t="n">
        <x:v>4</x:v>
      </x:c>
      <x:c r="K2109" s="26" t="n">
        <x:v>0</x:v>
      </x:c>
      <x:c r="L2109" s="22" t="n">
        <x:v>106.52159999999999</x:v>
      </x:c>
      <x:c r="M2109" t="n">
        <x:v>2017</x:v>
      </x:c>
      <x:c r="N2109" s="20" t="n">
        <x:v>42795</x:v>
      </x:c>
    </x:row>
    <x:row r="2110" ht="18" customHeight="1">
      <x:c r="A2110" t="str">
        <x:v>CA-2017-167101</x:v>
      </x:c>
      <x:c r="B2110" s="18" t="n">
        <x:v>42818</x:v>
      </x:c>
      <x:c r="C2110" t="str">
        <x:v>BM-11650</x:v>
      </x:c>
      <x:c r="D2110" t="str">
        <x:v>Brian Moss</x:v>
      </x:c>
      <x:c r="E2110" t="str">
        <x:v>Corporate</x:v>
      </x:c>
      <x:c r="F2110" t="str">
        <x:v>East</x:v>
      </x:c>
      <x:c r="G2110" t="str">
        <x:v>Technology</x:v>
      </x:c>
      <x:c r="H2110" t="str">
        <x:v>Accessories</x:v>
      </x:c>
      <x:c r="I2110" s="22" t="n">
        <x:v>26</x:v>
      </x:c>
      <x:c r="J2110" s="24" t="n">
        <x:v>2</x:v>
      </x:c>
      <x:c r="K2110" s="26" t="n">
        <x:v>0</x:v>
      </x:c>
      <x:c r="L2110" s="22" t="n">
        <x:v>11.7</x:v>
      </x:c>
      <x:c r="M2110" t="n">
        <x:v>2017</x:v>
      </x:c>
      <x:c r="N2110" s="20" t="n">
        <x:v>42795</x:v>
      </x:c>
    </x:row>
    <x:row r="2111" ht="18" customHeight="1">
      <x:c r="A2111" t="str">
        <x:v>US-2014-167633</x:v>
      </x:c>
      <x:c r="B2111" s="18" t="n">
        <x:v>41912</x:v>
      </x:c>
      <x:c r="C2111" t="str">
        <x:v>BW-11200</x:v>
      </x:c>
      <x:c r="D2111" t="str">
        <x:v>Ben Wallace</x:v>
      </x:c>
      <x:c r="E2111" t="str">
        <x:v>Consumer</x:v>
      </x:c>
      <x:c r="F2111" t="str">
        <x:v>South</x:v>
      </x:c>
      <x:c r="G2111" t="str">
        <x:v>Office Supplies</x:v>
      </x:c>
      <x:c r="H2111" t="str">
        <x:v>Paper</x:v>
      </x:c>
      <x:c r="I2111" s="22" t="n">
        <x:v>15.552000000000003</x:v>
      </x:c>
      <x:c r="J2111" s="24" t="n">
        <x:v>3</x:v>
      </x:c>
      <x:c r="K2111" s="26" t="n">
        <x:v>0.2</x:v>
      </x:c>
      <x:c r="L2111" s="22" t="n">
        <x:v>5.4432</x:v>
      </x:c>
      <x:c r="M2111" t="n">
        <x:v>2014</x:v>
      </x:c>
      <x:c r="N2111" s="20" t="n">
        <x:v>41883</x:v>
      </x:c>
    </x:row>
    <x:row r="2112" ht="18" customHeight="1">
      <x:c r="A2112" t="str">
        <x:v>US-2014-152723</x:v>
      </x:c>
      <x:c r="B2112" s="18" t="n">
        <x:v>41908</x:v>
      </x:c>
      <x:c r="C2112" t="str">
        <x:v>HG-14965</x:v>
      </x:c>
      <x:c r="D2112" t="str">
        <x:v>Henry Goldwyn</x:v>
      </x:c>
      <x:c r="E2112" t="str">
        <x:v>Corporate</x:v>
      </x:c>
      <x:c r="F2112" t="str">
        <x:v>Central</x:v>
      </x:c>
      <x:c r="G2112" t="str">
        <x:v>Office Supplies</x:v>
      </x:c>
      <x:c r="H2112" t="str">
        <x:v>Binders</x:v>
      </x:c>
      <x:c r="I2112" s="22" t="n">
        <x:v>0.8759999999999998</x:v>
      </x:c>
      <x:c r="J2112" s="24" t="n">
        <x:v>1</x:v>
      </x:c>
      <x:c r="K2112" s="26" t="n">
        <x:v>0.8</x:v>
      </x:c>
      <x:c r="L2112" s="22" t="n">
        <x:v>-1.4016000000000002</x:v>
      </x:c>
      <x:c r="M2112" t="n">
        <x:v>2014</x:v>
      </x:c>
      <x:c r="N2112" s="20" t="n">
        <x:v>41883</x:v>
      </x:c>
    </x:row>
    <x:row r="2113" ht="18" customHeight="1">
      <x:c r="A2113" t="str">
        <x:v>CA-2015-164882</x:v>
      </x:c>
      <x:c r="B2113" s="18" t="n">
        <x:v>42308</x:v>
      </x:c>
      <x:c r="C2113" t="str">
        <x:v>SG-20080</x:v>
      </x:c>
      <x:c r="D2113" t="str">
        <x:v>Sandra Glassco</x:v>
      </x:c>
      <x:c r="E2113" t="str">
        <x:v>Consumer</x:v>
      </x:c>
      <x:c r="F2113" t="str">
        <x:v>West</x:v>
      </x:c>
      <x:c r="G2113" t="str">
        <x:v>Office Supplies</x:v>
      </x:c>
      <x:c r="H2113" t="str">
        <x:v>Paper</x:v>
      </x:c>
      <x:c r="I2113" s="22" t="n">
        <x:v>19.98</x:v>
      </x:c>
      <x:c r="J2113" s="24" t="n">
        <x:v>1</x:v>
      </x:c>
      <x:c r="K2113" s="26" t="n">
        <x:v>0</x:v>
      </x:c>
      <x:c r="L2113" s="22" t="n">
        <x:v>9.3906</x:v>
      </x:c>
      <x:c r="M2113" t="n">
        <x:v>2015</x:v>
      </x:c>
      <x:c r="N2113" s="20" t="n">
        <x:v>42278</x:v>
      </x:c>
    </x:row>
    <x:row r="2114" ht="18" customHeight="1">
      <x:c r="A2114" t="str">
        <x:v>CA-2015-164882</x:v>
      </x:c>
      <x:c r="B2114" s="18" t="n">
        <x:v>42308</x:v>
      </x:c>
      <x:c r="C2114" t="str">
        <x:v>SG-20080</x:v>
      </x:c>
      <x:c r="D2114" t="str">
        <x:v>Sandra Glassco</x:v>
      </x:c>
      <x:c r="E2114" t="str">
        <x:v>Consumer</x:v>
      </x:c>
      <x:c r="F2114" t="str">
        <x:v>West</x:v>
      </x:c>
      <x:c r="G2114" t="str">
        <x:v>Office Supplies</x:v>
      </x:c>
      <x:c r="H2114" t="str">
        <x:v>Binders</x:v>
      </x:c>
      <x:c r="I2114" s="22" t="n">
        <x:v>398.352</x:v>
      </x:c>
      <x:c r="J2114" s="24" t="n">
        <x:v>3</x:v>
      </x:c>
      <x:c r="K2114" s="26" t="n">
        <x:v>0.2</x:v>
      </x:c>
      <x:c r="L2114" s="22" t="n">
        <x:v>124.48499999999999</x:v>
      </x:c>
      <x:c r="M2114" t="n">
        <x:v>2015</x:v>
      </x:c>
      <x:c r="N2114" s="20" t="n">
        <x:v>42278</x:v>
      </x:c>
    </x:row>
    <x:row r="2115" ht="18" customHeight="1">
      <x:c r="A2115" t="str">
        <x:v>CA-2015-164882</x:v>
      </x:c>
      <x:c r="B2115" s="18" t="n">
        <x:v>42308</x:v>
      </x:c>
      <x:c r="C2115" t="str">
        <x:v>SG-20080</x:v>
      </x:c>
      <x:c r="D2115" t="str">
        <x:v>Sandra Glassco</x:v>
      </x:c>
      <x:c r="E2115" t="str">
        <x:v>Consumer</x:v>
      </x:c>
      <x:c r="F2115" t="str">
        <x:v>West</x:v>
      </x:c>
      <x:c r="G2115" t="str">
        <x:v>Office Supplies</x:v>
      </x:c>
      <x:c r="H2115" t="str">
        <x:v>Art</x:v>
      </x:c>
      <x:c r="I2115" s="22" t="n">
        <x:v>5.04</x:v>
      </x:c>
      <x:c r="J2115" s="24" t="n">
        <x:v>3</x:v>
      </x:c>
      <x:c r="K2115" s="26" t="n">
        <x:v>0</x:v>
      </x:c>
      <x:c r="L2115" s="22" t="n">
        <x:v>1.2599999999999998</x:v>
      </x:c>
      <x:c r="M2115" t="n">
        <x:v>2015</x:v>
      </x:c>
      <x:c r="N2115" s="20" t="n">
        <x:v>42278</x:v>
      </x:c>
    </x:row>
    <x:row r="2116" ht="18" customHeight="1">
      <x:c r="A2116" t="str">
        <x:v>CA-2015-164882</x:v>
      </x:c>
      <x:c r="B2116" s="18" t="n">
        <x:v>42308</x:v>
      </x:c>
      <x:c r="C2116" t="str">
        <x:v>SG-20080</x:v>
      </x:c>
      <x:c r="D2116" t="str">
        <x:v>Sandra Glassco</x:v>
      </x:c>
      <x:c r="E2116" t="str">
        <x:v>Consumer</x:v>
      </x:c>
      <x:c r="F2116" t="str">
        <x:v>West</x:v>
      </x:c>
      <x:c r="G2116" t="str">
        <x:v>Office Supplies</x:v>
      </x:c>
      <x:c r="H2116" t="str">
        <x:v>Fasteners</x:v>
      </x:c>
      <x:c r="I2116" s="22" t="n">
        <x:v>17.450000000000003</x:v>
      </x:c>
      <x:c r="J2116" s="24" t="n">
        <x:v>5</x:v>
      </x:c>
      <x:c r="K2116" s="26" t="n">
        <x:v>0</x:v>
      </x:c>
      <x:c r="L2116" s="22" t="n">
        <x:v>8.027</x:v>
      </x:c>
      <x:c r="M2116" t="n">
        <x:v>2015</x:v>
      </x:c>
      <x:c r="N2116" s="20" t="n">
        <x:v>42278</x:v>
      </x:c>
    </x:row>
    <x:row r="2117" ht="18" customHeight="1">
      <x:c r="A2117" t="str">
        <x:v>CA-2015-164882</x:v>
      </x:c>
      <x:c r="B2117" s="18" t="n">
        <x:v>42308</x:v>
      </x:c>
      <x:c r="C2117" t="str">
        <x:v>SG-20080</x:v>
      </x:c>
      <x:c r="D2117" t="str">
        <x:v>Sandra Glassco</x:v>
      </x:c>
      <x:c r="E2117" t="str">
        <x:v>Consumer</x:v>
      </x:c>
      <x:c r="F2117" t="str">
        <x:v>West</x:v>
      </x:c>
      <x:c r="G2117" t="str">
        <x:v>Furniture</x:v>
      </x:c>
      <x:c r="H2117" t="str">
        <x:v>Chairs</x:v>
      </x:c>
      <x:c r="I2117" s="22" t="n">
        <x:v>323.136</x:v>
      </x:c>
      <x:c r="J2117" s="24" t="n">
        <x:v>4</x:v>
      </x:c>
      <x:c r="K2117" s="26" t="n">
        <x:v>0.2</x:v>
      </x:c>
      <x:c r="L2117" s="22" t="n">
        <x:v>20.196000000000012</x:v>
      </x:c>
      <x:c r="M2117" t="n">
        <x:v>2015</x:v>
      </x:c>
      <x:c r="N2117" s="20" t="n">
        <x:v>42278</x:v>
      </x:c>
    </x:row>
    <x:row r="2118" ht="18" customHeight="1">
      <x:c r="A2118" t="str">
        <x:v>CA-2015-164882</x:v>
      </x:c>
      <x:c r="B2118" s="18" t="n">
        <x:v>42308</x:v>
      </x:c>
      <x:c r="C2118" t="str">
        <x:v>SG-20080</x:v>
      </x:c>
      <x:c r="D2118" t="str">
        <x:v>Sandra Glassco</x:v>
      </x:c>
      <x:c r="E2118" t="str">
        <x:v>Consumer</x:v>
      </x:c>
      <x:c r="F2118" t="str">
        <x:v>West</x:v>
      </x:c>
      <x:c r="G2118" t="str">
        <x:v>Office Supplies</x:v>
      </x:c>
      <x:c r="H2118" t="str">
        <x:v>Supplies</x:v>
      </x:c>
      <x:c r="I2118" s="22" t="n">
        <x:v>29.700000000000003</x:v>
      </x:c>
      <x:c r="J2118" s="24" t="n">
        <x:v>3</x:v>
      </x:c>
      <x:c r="K2118" s="26" t="n">
        <x:v>0</x:v>
      </x:c>
      <x:c r="L2118" s="22" t="n">
        <x:v>8.019</x:v>
      </x:c>
      <x:c r="M2118" t="n">
        <x:v>2015</x:v>
      </x:c>
      <x:c r="N2118" s="20" t="n">
        <x:v>42278</x:v>
      </x:c>
    </x:row>
    <x:row r="2119" ht="18" customHeight="1">
      <x:c r="A2119" t="str">
        <x:v>CA-2015-164882</x:v>
      </x:c>
      <x:c r="B2119" s="18" t="n">
        <x:v>42308</x:v>
      </x:c>
      <x:c r="C2119" t="str">
        <x:v>SG-20080</x:v>
      </x:c>
      <x:c r="D2119" t="str">
        <x:v>Sandra Glassco</x:v>
      </x:c>
      <x:c r="E2119" t="str">
        <x:v>Consumer</x:v>
      </x:c>
      <x:c r="F2119" t="str">
        <x:v>West</x:v>
      </x:c>
      <x:c r="G2119" t="str">
        <x:v>Technology</x:v>
      </x:c>
      <x:c r="H2119" t="str">
        <x:v>Phones</x:v>
      </x:c>
      <x:c r="I2119" s="22" t="n">
        <x:v>1295.8400000000001</x:v>
      </x:c>
      <x:c r="J2119" s="24" t="n">
        <x:v>4</x:v>
      </x:c>
      <x:c r="K2119" s="26" t="n">
        <x:v>0.2</x:v>
      </x:c>
      <x:c r="L2119" s="22" t="n">
        <x:v>145.78199999999993</x:v>
      </x:c>
      <x:c r="M2119" t="n">
        <x:v>2015</x:v>
      </x:c>
      <x:c r="N2119" s="20" t="n">
        <x:v>42278</x:v>
      </x:c>
    </x:row>
    <x:row r="2120" ht="18" customHeight="1">
      <x:c r="A2120" t="str">
        <x:v>CA-2015-164882</x:v>
      </x:c>
      <x:c r="B2120" s="18" t="n">
        <x:v>42308</x:v>
      </x:c>
      <x:c r="C2120" t="str">
        <x:v>SG-20080</x:v>
      </x:c>
      <x:c r="D2120" t="str">
        <x:v>Sandra Glassco</x:v>
      </x:c>
      <x:c r="E2120" t="str">
        <x:v>Consumer</x:v>
      </x:c>
      <x:c r="F2120" t="str">
        <x:v>West</x:v>
      </x:c>
      <x:c r="G2120" t="str">
        <x:v>Office Supplies</x:v>
      </x:c>
      <x:c r="H2120" t="str">
        <x:v>Storage</x:v>
      </x:c>
      <x:c r="I2120" s="22" t="n">
        <x:v>46.84</x:v>
      </x:c>
      <x:c r="J2120" s="24" t="n">
        <x:v>2</x:v>
      </x:c>
      <x:c r="K2120" s="26" t="n">
        <x:v>0</x:v>
      </x:c>
      <x:c r="L2120" s="22" t="n">
        <x:v>12.646799999999999</x:v>
      </x:c>
      <x:c r="M2120" t="n">
        <x:v>2015</x:v>
      </x:c>
      <x:c r="N2120" s="20" t="n">
        <x:v>42278</x:v>
      </x:c>
    </x:row>
    <x:row r="2121" ht="18" customHeight="1">
      <x:c r="A2121" t="str">
        <x:v>CA-2015-164882</x:v>
      </x:c>
      <x:c r="B2121" s="18" t="n">
        <x:v>42308</x:v>
      </x:c>
      <x:c r="C2121" t="str">
        <x:v>SG-20080</x:v>
      </x:c>
      <x:c r="D2121" t="str">
        <x:v>Sandra Glassco</x:v>
      </x:c>
      <x:c r="E2121" t="str">
        <x:v>Consumer</x:v>
      </x:c>
      <x:c r="F2121" t="str">
        <x:v>West</x:v>
      </x:c>
      <x:c r="G2121" t="str">
        <x:v>Furniture</x:v>
      </x:c>
      <x:c r="H2121" t="str">
        <x:v>Bookcases</x:v>
      </x:c>
      <x:c r="I2121" s="22" t="n">
        <x:v>425.833</x:v>
      </x:c>
      <x:c r="J2121" s="24" t="n">
        <x:v>1</x:v>
      </x:c>
      <x:c r="K2121" s="26" t="n">
        <x:v>0.15</x:v>
      </x:c>
      <x:c r="L2121" s="22" t="n">
        <x:v>20.03919999999998</x:v>
      </x:c>
      <x:c r="M2121" t="n">
        <x:v>2015</x:v>
      </x:c>
      <x:c r="N2121" s="20" t="n">
        <x:v>42278</x:v>
      </x:c>
    </x:row>
    <x:row r="2122" ht="18" customHeight="1">
      <x:c r="A2122" t="str">
        <x:v>CA-2015-159786</x:v>
      </x:c>
      <x:c r="B2122" s="18" t="n">
        <x:v>42289</x:v>
      </x:c>
      <x:c r="C2122" t="str">
        <x:v>RK-19300</x:v>
      </x:c>
      <x:c r="D2122" t="str">
        <x:v>Ralph Kennedy</x:v>
      </x:c>
      <x:c r="E2122" t="str">
        <x:v>Consumer</x:v>
      </x:c>
      <x:c r="F2122" t="str">
        <x:v>East</x:v>
      </x:c>
      <x:c r="G2122" t="str">
        <x:v>Furniture</x:v>
      </x:c>
      <x:c r="H2122" t="str">
        <x:v>Tables</x:v>
      </x:c>
      <x:c r="I2122" s="22" t="n">
        <x:v>209.67</x:v>
      </x:c>
      <x:c r="J2122" s="24" t="n">
        <x:v>1</x:v>
      </x:c>
      <x:c r="K2122" s="26" t="n">
        <x:v>0.4</x:v>
      </x:c>
      <x:c r="L2122" s="22" t="n">
        <x:v>-13.978000000000009</x:v>
      </x:c>
      <x:c r="M2122" t="n">
        <x:v>2015</x:v>
      </x:c>
      <x:c r="N2122" s="20" t="n">
        <x:v>42278</x:v>
      </x:c>
    </x:row>
    <x:row r="2123" ht="18" customHeight="1">
      <x:c r="A2123" t="str">
        <x:v>CA-2016-130267</x:v>
      </x:c>
      <x:c r="B2123" s="18" t="n">
        <x:v>42632</x:v>
      </x:c>
      <x:c r="C2123" t="str">
        <x:v>SW-20245</x:v>
      </x:c>
      <x:c r="D2123" t="str">
        <x:v>Scot Wooten</x:v>
      </x:c>
      <x:c r="E2123" t="str">
        <x:v>Consumer</x:v>
      </x:c>
      <x:c r="F2123" t="str">
        <x:v>West</x:v>
      </x:c>
      <x:c r="G2123" t="str">
        <x:v>Office Supplies</x:v>
      </x:c>
      <x:c r="H2123" t="str">
        <x:v>Paper</x:v>
      </x:c>
      <x:c r="I2123" s="22" t="n">
        <x:v>159.88</x:v>
      </x:c>
      <x:c r="J2123" s="24" t="n">
        <x:v>7</x:v>
      </x:c>
      <x:c r="K2123" s="26" t="n">
        <x:v>0</x:v>
      </x:c>
      <x:c r="L2123" s="22" t="n">
        <x:v>73.5448</x:v>
      </x:c>
      <x:c r="M2123" t="n">
        <x:v>2016</x:v>
      </x:c>
      <x:c r="N2123" s="20" t="n">
        <x:v>42614</x:v>
      </x:c>
    </x:row>
    <x:row r="2124" ht="18" customHeight="1">
      <x:c r="A2124" t="str">
        <x:v>CA-2017-155460</x:v>
      </x:c>
      <x:c r="B2124" s="18" t="n">
        <x:v>42838</x:v>
      </x:c>
      <x:c r="C2124" t="str">
        <x:v>RW-19630</x:v>
      </x:c>
      <x:c r="D2124" t="str">
        <x:v>Rob Williams</x:v>
      </x:c>
      <x:c r="E2124" t="str">
        <x:v>Corporate</x:v>
      </x:c>
      <x:c r="F2124" t="str">
        <x:v>West</x:v>
      </x:c>
      <x:c r="G2124" t="str">
        <x:v>Office Supplies</x:v>
      </x:c>
      <x:c r="H2124" t="str">
        <x:v>Paper</x:v>
      </x:c>
      <x:c r="I2124" s="22" t="n">
        <x:v>5.28</x:v>
      </x:c>
      <x:c r="J2124" s="24" t="n">
        <x:v>1</x:v>
      </x:c>
      <x:c r="K2124" s="26" t="n">
        <x:v>0</x:v>
      </x:c>
      <x:c r="L2124" s="22" t="n">
        <x:v>2.376</x:v>
      </x:c>
      <x:c r="M2124" t="n">
        <x:v>2017</x:v>
      </x:c>
      <x:c r="N2124" s="20" t="n">
        <x:v>42826</x:v>
      </x:c>
    </x:row>
    <x:row r="2125" ht="18" customHeight="1">
      <x:c r="A2125" t="str">
        <x:v>CA-2017-155460</x:v>
      </x:c>
      <x:c r="B2125" s="18" t="n">
        <x:v>42838</x:v>
      </x:c>
      <x:c r="C2125" t="str">
        <x:v>RW-19630</x:v>
      </x:c>
      <x:c r="D2125" t="str">
        <x:v>Rob Williams</x:v>
      </x:c>
      <x:c r="E2125" t="str">
        <x:v>Corporate</x:v>
      </x:c>
      <x:c r="F2125" t="str">
        <x:v>West</x:v>
      </x:c>
      <x:c r="G2125" t="str">
        <x:v>Office Supplies</x:v>
      </x:c>
      <x:c r="H2125" t="str">
        <x:v>Binders</x:v>
      </x:c>
      <x:c r="I2125" s="22" t="n">
        <x:v>895.92</x:v>
      </x:c>
      <x:c r="J2125" s="24" t="n">
        <x:v>5</x:v>
      </x:c>
      <x:c r="K2125" s="26" t="n">
        <x:v>0.2</x:v>
      </x:c>
      <x:c r="L2125" s="22" t="n">
        <x:v>302.37299999999993</x:v>
      </x:c>
      <x:c r="M2125" t="n">
        <x:v>2017</x:v>
      </x:c>
      <x:c r="N2125" s="20" t="n">
        <x:v>42826</x:v>
      </x:c>
    </x:row>
    <x:row r="2126" ht="18" customHeight="1">
      <x:c r="A2126" t="str">
        <x:v>US-2017-168690</x:v>
      </x:c>
      <x:c r="B2126" s="18" t="n">
        <x:v>42742</x:v>
      </x:c>
      <x:c r="C2126" t="str">
        <x:v>TS-21085</x:v>
      </x:c>
      <x:c r="D2126" t="str">
        <x:v>Thais Sissman</x:v>
      </x:c>
      <x:c r="E2126" t="str">
        <x:v>Consumer</x:v>
      </x:c>
      <x:c r="F2126" t="str">
        <x:v>South</x:v>
      </x:c>
      <x:c r="G2126" t="str">
        <x:v>Office Supplies</x:v>
      </x:c>
      <x:c r="H2126" t="str">
        <x:v>Binders</x:v>
      </x:c>
      <x:c r="I2126" s="22" t="n">
        <x:v>2.8080000000000007</x:v>
      </x:c>
      <x:c r="J2126" s="24" t="n">
        <x:v>3</x:v>
      </x:c>
      <x:c r="K2126" s="26" t="n">
        <x:v>0.7</x:v>
      </x:c>
      <x:c r="L2126" s="22" t="n">
        <x:v>-1.9656000000000002</x:v>
      </x:c>
      <x:c r="M2126" t="n">
        <x:v>2017</x:v>
      </x:c>
      <x:c r="N2126" s="20" t="n">
        <x:v>42736</x:v>
      </x:c>
    </x:row>
    <x:row r="2127" ht="18" customHeight="1">
      <x:c r="A2127" t="str">
        <x:v>CA-2017-158246</x:v>
      </x:c>
      <x:c r="B2127" s="18" t="n">
        <x:v>43048</x:v>
      </x:c>
      <x:c r="C2127" t="str">
        <x:v>JB-15400</x:v>
      </x:c>
      <x:c r="D2127" t="str">
        <x:v>Jennifer Braxton</x:v>
      </x:c>
      <x:c r="E2127" t="str">
        <x:v>Corporate</x:v>
      </x:c>
      <x:c r="F2127" t="str">
        <x:v>West</x:v>
      </x:c>
      <x:c r="G2127" t="str">
        <x:v>Furniture</x:v>
      </x:c>
      <x:c r="H2127" t="str">
        <x:v>Chairs</x:v>
      </x:c>
      <x:c r="I2127" s="22" t="n">
        <x:v>215.976</x:v>
      </x:c>
      <x:c r="J2127" s="24" t="n">
        <x:v>3</x:v>
      </x:c>
      <x:c r="K2127" s="26" t="n">
        <x:v>0.2</x:v>
      </x:c>
      <x:c r="L2127" s="22" t="n">
        <x:v>-2.6997000000000355</x:v>
      </x:c>
      <x:c r="M2127" t="n">
        <x:v>2017</x:v>
      </x:c>
      <x:c r="N2127" s="20" t="n">
        <x:v>43040</x:v>
      </x:c>
    </x:row>
    <x:row r="2128" ht="18" customHeight="1">
      <x:c r="A2128" t="str">
        <x:v>CA-2017-167381</x:v>
      </x:c>
      <x:c r="B2128" s="18" t="n">
        <x:v>43000</x:v>
      </x:c>
      <x:c r="C2128" t="str">
        <x:v>EH-14005</x:v>
      </x:c>
      <x:c r="D2128" t="str">
        <x:v>Erica Hernandez</x:v>
      </x:c>
      <x:c r="E2128" t="str">
        <x:v>Home Office</x:v>
      </x:c>
      <x:c r="F2128" t="str">
        <x:v>Central</x:v>
      </x:c>
      <x:c r="G2128" t="str">
        <x:v>Furniture</x:v>
      </x:c>
      <x:c r="H2128" t="str">
        <x:v>Bookcases</x:v>
      </x:c>
      <x:c r="I2128" s="22" t="n">
        <x:v>241.96</x:v>
      </x:c>
      <x:c r="J2128" s="24" t="n">
        <x:v>2</x:v>
      </x:c>
      <x:c r="K2128" s="26" t="n">
        <x:v>0</x:v>
      </x:c>
      <x:c r="L2128" s="22" t="n">
        <x:v>41.13319999999999</x:v>
      </x:c>
      <x:c r="M2128" t="n">
        <x:v>2017</x:v>
      </x:c>
      <x:c r="N2128" s="20" t="n">
        <x:v>42979</x:v>
      </x:c>
    </x:row>
    <x:row r="2129" ht="18" customHeight="1">
      <x:c r="A2129" t="str">
        <x:v>CA-2017-167381</x:v>
      </x:c>
      <x:c r="B2129" s="18" t="n">
        <x:v>43000</x:v>
      </x:c>
      <x:c r="C2129" t="str">
        <x:v>EH-14005</x:v>
      </x:c>
      <x:c r="D2129" t="str">
        <x:v>Erica Hernandez</x:v>
      </x:c>
      <x:c r="E2129" t="str">
        <x:v>Home Office</x:v>
      </x:c>
      <x:c r="F2129" t="str">
        <x:v>Central</x:v>
      </x:c>
      <x:c r="G2129" t="str">
        <x:v>Office Supplies</x:v>
      </x:c>
      <x:c r="H2129" t="str">
        <x:v>Labels</x:v>
      </x:c>
      <x:c r="I2129" s="22" t="n">
        <x:v>27.72</x:v>
      </x:c>
      <x:c r="J2129" s="24" t="n">
        <x:v>9</x:v>
      </x:c>
      <x:c r="K2129" s="26" t="n">
        <x:v>0</x:v>
      </x:c>
      <x:c r="L2129" s="22" t="n">
        <x:v>13.3056</x:v>
      </x:c>
      <x:c r="M2129" t="n">
        <x:v>2017</x:v>
      </x:c>
      <x:c r="N2129" s="20" t="n">
        <x:v>42979</x:v>
      </x:c>
    </x:row>
    <x:row r="2130" ht="18" customHeight="1">
      <x:c r="A2130" t="str">
        <x:v>CA-2017-144862</x:v>
      </x:c>
      <x:c r="B2130" s="18" t="n">
        <x:v>43070</x:v>
      </x:c>
      <x:c r="C2130" t="str">
        <x:v>EH-14005</x:v>
      </x:c>
      <x:c r="D2130" t="str">
        <x:v>Erica Hernandez</x:v>
      </x:c>
      <x:c r="E2130" t="str">
        <x:v>Home Office</x:v>
      </x:c>
      <x:c r="F2130" t="str">
        <x:v>East</x:v>
      </x:c>
      <x:c r="G2130" t="str">
        <x:v>Office Supplies</x:v>
      </x:c>
      <x:c r="H2130" t="str">
        <x:v>Envelopes</x:v>
      </x:c>
      <x:c r="I2130" s="22" t="n">
        <x:v>104.68000000000002</x:v>
      </x:c>
      <x:c r="J2130" s="24" t="n">
        <x:v>5</x:v>
      </x:c>
      <x:c r="K2130" s="26" t="n">
        <x:v>0.2</x:v>
      </x:c>
      <x:c r="L2130" s="22" t="n">
        <x:v>35.329499999999996</x:v>
      </x:c>
      <x:c r="M2130" t="n">
        <x:v>2017</x:v>
      </x:c>
      <x:c r="N2130" s="20" t="n">
        <x:v>43070</x:v>
      </x:c>
    </x:row>
    <x:row r="2131" ht="18" customHeight="1">
      <x:c r="A2131" t="str">
        <x:v>CA-2017-144862</x:v>
      </x:c>
      <x:c r="B2131" s="18" t="n">
        <x:v>43070</x:v>
      </x:c>
      <x:c r="C2131" t="str">
        <x:v>EH-14005</x:v>
      </x:c>
      <x:c r="D2131" t="str">
        <x:v>Erica Hernandez</x:v>
      </x:c>
      <x:c r="E2131" t="str">
        <x:v>Home Office</x:v>
      </x:c>
      <x:c r="F2131" t="str">
        <x:v>East</x:v>
      </x:c>
      <x:c r="G2131" t="str">
        <x:v>Technology</x:v>
      </x:c>
      <x:c r="H2131" t="str">
        <x:v>Phones</x:v>
      </x:c>
      <x:c r="I2131" s="22" t="n">
        <x:v>62.958</x:v>
      </x:c>
      <x:c r="J2131" s="24" t="n">
        <x:v>7</x:v>
      </x:c>
      <x:c r="K2131" s="26" t="n">
        <x:v>0.4</x:v>
      </x:c>
      <x:c r="L2131" s="22" t="n">
        <x:v>9.4437</x:v>
      </x:c>
      <x:c r="M2131" t="n">
        <x:v>2017</x:v>
      </x:c>
      <x:c r="N2131" s="20" t="n">
        <x:v>43070</x:v>
      </x:c>
    </x:row>
    <x:row r="2132" ht="18" customHeight="1">
      <x:c r="A2132" t="str">
        <x:v>CA-2014-126032</x:v>
      </x:c>
      <x:c r="B2132" s="18" t="n">
        <x:v>41813</x:v>
      </x:c>
      <x:c r="C2132" t="str">
        <x:v>BS-11665</x:v>
      </x:c>
      <x:c r="D2132" t="str">
        <x:v>Brian Stugart</x:v>
      </x:c>
      <x:c r="E2132" t="str">
        <x:v>Consumer</x:v>
      </x:c>
      <x:c r="F2132" t="str">
        <x:v>East</x:v>
      </x:c>
      <x:c r="G2132" t="str">
        <x:v>Technology</x:v>
      </x:c>
      <x:c r="H2132" t="str">
        <x:v>Accessories</x:v>
      </x:c>
      <x:c r="I2132" s="22" t="n">
        <x:v>86.376</x:v>
      </x:c>
      <x:c r="J2132" s="24" t="n">
        <x:v>3</x:v>
      </x:c>
      <x:c r="K2132" s="26" t="n">
        <x:v>0.2</x:v>
      </x:c>
      <x:c r="L2132" s="22" t="n">
        <x:v>1.079699999999999</x:v>
      </x:c>
      <x:c r="M2132" t="n">
        <x:v>2014</x:v>
      </x:c>
      <x:c r="N2132" s="20" t="n">
        <x:v>41791</x:v>
      </x:c>
    </x:row>
    <x:row r="2133" ht="18" customHeight="1">
      <x:c r="A2133" t="str">
        <x:v>CA-2015-134859</x:v>
      </x:c>
      <x:c r="B2133" s="18" t="n">
        <x:v>42281</x:v>
      </x:c>
      <x:c r="C2133" t="str">
        <x:v>JK-16120</x:v>
      </x:c>
      <x:c r="D2133" t="str">
        <x:v>Julie Kriz</x:v>
      </x:c>
      <x:c r="E2133" t="str">
        <x:v>Home Office</x:v>
      </x:c>
      <x:c r="F2133" t="str">
        <x:v>East</x:v>
      </x:c>
      <x:c r="G2133" t="str">
        <x:v>Furniture</x:v>
      </x:c>
      <x:c r="H2133" t="str">
        <x:v>Furnishings</x:v>
      </x:c>
      <x:c r="I2133" s="22" t="n">
        <x:v>64.944</x:v>
      </x:c>
      <x:c r="J2133" s="24" t="n">
        <x:v>3</x:v>
      </x:c>
      <x:c r="K2133" s="26" t="n">
        <x:v>0.2</x:v>
      </x:c>
      <x:c r="L2133" s="22" t="n">
        <x:v>6.494399999999995</x:v>
      </x:c>
      <x:c r="M2133" t="n">
        <x:v>2015</x:v>
      </x:c>
      <x:c r="N2133" s="20" t="n">
        <x:v>42278</x:v>
      </x:c>
    </x:row>
    <x:row r="2134" ht="18" customHeight="1">
      <x:c r="A2134" t="str">
        <x:v>CA-2015-134859</x:v>
      </x:c>
      <x:c r="B2134" s="18" t="n">
        <x:v>42281</x:v>
      </x:c>
      <x:c r="C2134" t="str">
        <x:v>JK-16120</x:v>
      </x:c>
      <x:c r="D2134" t="str">
        <x:v>Julie Kriz</x:v>
      </x:c>
      <x:c r="E2134" t="str">
        <x:v>Home Office</x:v>
      </x:c>
      <x:c r="F2134" t="str">
        <x:v>East</x:v>
      </x:c>
      <x:c r="G2134" t="str">
        <x:v>Office Supplies</x:v>
      </x:c>
      <x:c r="H2134" t="str">
        <x:v>Paper</x:v>
      </x:c>
      <x:c r="I2134" s="22" t="n">
        <x:v>20.736000000000004</x:v>
      </x:c>
      <x:c r="J2134" s="24" t="n">
        <x:v>4</x:v>
      </x:c>
      <x:c r="K2134" s="26" t="n">
        <x:v>0.2</x:v>
      </x:c>
      <x:c r="L2134" s="22" t="n">
        <x:v>7.2576</x:v>
      </x:c>
      <x:c r="M2134" t="n">
        <x:v>2015</x:v>
      </x:c>
      <x:c r="N2134" s="20" t="n">
        <x:v>42278</x:v>
      </x:c>
    </x:row>
    <x:row r="2135" ht="18" customHeight="1">
      <x:c r="A2135" t="str">
        <x:v>US-2014-114188</x:v>
      </x:c>
      <x:c r="B2135" s="18" t="n">
        <x:v>41779</x:v>
      </x:c>
      <x:c r="C2135" t="str">
        <x:v>RF-19345</x:v>
      </x:c>
      <x:c r="D2135" t="str">
        <x:v>Randy Ferguson</x:v>
      </x:c>
      <x:c r="E2135" t="str">
        <x:v>Corporate</x:v>
      </x:c>
      <x:c r="F2135" t="str">
        <x:v>East</x:v>
      </x:c>
      <x:c r="G2135" t="str">
        <x:v>Office Supplies</x:v>
      </x:c>
      <x:c r="H2135" t="str">
        <x:v>Appliances</x:v>
      </x:c>
      <x:c r="I2135" s="22" t="n">
        <x:v>33.28</x:v>
      </x:c>
      <x:c r="J2135" s="24" t="n">
        <x:v>4</x:v>
      </x:c>
      <x:c r="K2135" s="26" t="n">
        <x:v>0</x:v>
      </x:c>
      <x:c r="L2135" s="22" t="n">
        <x:v>9.3184</x:v>
      </x:c>
      <x:c r="M2135" t="n">
        <x:v>2014</x:v>
      </x:c>
      <x:c r="N2135" s="20" t="n">
        <x:v>41760</x:v>
      </x:c>
    </x:row>
    <x:row r="2136" ht="18" customHeight="1">
      <x:c r="A2136" t="str">
        <x:v>US-2014-114188</x:v>
      </x:c>
      <x:c r="B2136" s="18" t="n">
        <x:v>41779</x:v>
      </x:c>
      <x:c r="C2136" t="str">
        <x:v>RF-19345</x:v>
      </x:c>
      <x:c r="D2136" t="str">
        <x:v>Randy Ferguson</x:v>
      </x:c>
      <x:c r="E2136" t="str">
        <x:v>Corporate</x:v>
      </x:c>
      <x:c r="F2136" t="str">
        <x:v>East</x:v>
      </x:c>
      <x:c r="G2136" t="str">
        <x:v>Office Supplies</x:v>
      </x:c>
      <x:c r="H2136" t="str">
        <x:v>Art</x:v>
      </x:c>
      <x:c r="I2136" s="22" t="n">
        <x:v>38.52</x:v>
      </x:c>
      <x:c r="J2136" s="24" t="n">
        <x:v>9</x:v>
      </x:c>
      <x:c r="K2136" s="26" t="n">
        <x:v>0</x:v>
      </x:c>
      <x:c r="L2136" s="22" t="n">
        <x:v>11.9412</x:v>
      </x:c>
      <x:c r="M2136" t="n">
        <x:v>2014</x:v>
      </x:c>
      <x:c r="N2136" s="20" t="n">
        <x:v>41760</x:v>
      </x:c>
    </x:row>
    <x:row r="2137" ht="18" customHeight="1">
      <x:c r="A2137" t="str">
        <x:v>US-2014-114188</x:v>
      </x:c>
      <x:c r="B2137" s="18" t="n">
        <x:v>41779</x:v>
      </x:c>
      <x:c r="C2137" t="str">
        <x:v>RF-19345</x:v>
      </x:c>
      <x:c r="D2137" t="str">
        <x:v>Randy Ferguson</x:v>
      </x:c>
      <x:c r="E2137" t="str">
        <x:v>Corporate</x:v>
      </x:c>
      <x:c r="F2137" t="str">
        <x:v>East</x:v>
      </x:c>
      <x:c r="G2137" t="str">
        <x:v>Furniture</x:v>
      </x:c>
      <x:c r="H2137" t="str">
        <x:v>Furnishings</x:v>
      </x:c>
      <x:c r="I2137" s="22" t="n">
        <x:v>139.86</x:v>
      </x:c>
      <x:c r="J2137" s="24" t="n">
        <x:v>7</x:v>
      </x:c>
      <x:c r="K2137" s="26" t="n">
        <x:v>0</x:v>
      </x:c>
      <x:c r="L2137" s="22" t="n">
        <x:v>60.139800000000015</x:v>
      </x:c>
      <x:c r="M2137" t="n">
        <x:v>2014</x:v>
      </x:c>
      <x:c r="N2137" s="20" t="n">
        <x:v>41760</x:v>
      </x:c>
    </x:row>
    <x:row r="2138" ht="18" customHeight="1">
      <x:c r="A2138" t="str">
        <x:v>CA-2015-156524</x:v>
      </x:c>
      <x:c r="B2138" s="18" t="n">
        <x:v>42328</x:v>
      </x:c>
      <x:c r="C2138" t="str">
        <x:v>DL-12865</x:v>
      </x:c>
      <x:c r="D2138" t="str">
        <x:v>Dan Lawera</x:v>
      </x:c>
      <x:c r="E2138" t="str">
        <x:v>Consumer</x:v>
      </x:c>
      <x:c r="F2138" t="str">
        <x:v>East</x:v>
      </x:c>
      <x:c r="G2138" t="str">
        <x:v>Office Supplies</x:v>
      </x:c>
      <x:c r="H2138" t="str">
        <x:v>Paper</x:v>
      </x:c>
      <x:c r="I2138" s="22" t="n">
        <x:v>19.65</x:v>
      </x:c>
      <x:c r="J2138" s="24" t="n">
        <x:v>3</x:v>
      </x:c>
      <x:c r="K2138" s="26" t="n">
        <x:v>0</x:v>
      </x:c>
      <x:c r="L2138" s="22" t="n">
        <x:v>9.039</x:v>
      </x:c>
      <x:c r="M2138" t="n">
        <x:v>2015</x:v>
      </x:c>
      <x:c r="N2138" s="20" t="n">
        <x:v>42309</x:v>
      </x:c>
    </x:row>
    <x:row r="2139" ht="18" customHeight="1">
      <x:c r="A2139" t="str">
        <x:v>CA-2015-122210</x:v>
      </x:c>
      <x:c r="B2139" s="18" t="n">
        <x:v>42338</x:v>
      </x:c>
      <x:c r="C2139" t="str">
        <x:v>WB-21850</x:v>
      </x:c>
      <x:c r="D2139" t="str">
        <x:v>William Brown</x:v>
      </x:c>
      <x:c r="E2139" t="str">
        <x:v>Consumer</x:v>
      </x:c>
      <x:c r="F2139" t="str">
        <x:v>East</x:v>
      </x:c>
      <x:c r="G2139" t="str">
        <x:v>Office Supplies</x:v>
      </x:c>
      <x:c r="H2139" t="str">
        <x:v>Binders</x:v>
      </x:c>
      <x:c r="I2139" s="22" t="n">
        <x:v>152.991</x:v>
      </x:c>
      <x:c r="J2139" s="24" t="n">
        <x:v>3</x:v>
      </x:c>
      <x:c r="K2139" s="26" t="n">
        <x:v>0.7</x:v>
      </x:c>
      <x:c r="L2139" s="22" t="n">
        <x:v>-122.39280000000002</x:v>
      </x:c>
      <x:c r="M2139" t="n">
        <x:v>2015</x:v>
      </x:c>
      <x:c r="N2139" s="20" t="n">
        <x:v>42309</x:v>
      </x:c>
    </x:row>
    <x:row r="2140" ht="18" customHeight="1">
      <x:c r="A2140" t="str">
        <x:v>CA-2015-122210</x:v>
      </x:c>
      <x:c r="B2140" s="18" t="n">
        <x:v>42338</x:v>
      </x:c>
      <x:c r="C2140" t="str">
        <x:v>WB-21850</x:v>
      </x:c>
      <x:c r="D2140" t="str">
        <x:v>William Brown</x:v>
      </x:c>
      <x:c r="E2140" t="str">
        <x:v>Consumer</x:v>
      </x:c>
      <x:c r="F2140" t="str">
        <x:v>East</x:v>
      </x:c>
      <x:c r="G2140" t="str">
        <x:v>Office Supplies</x:v>
      </x:c>
      <x:c r="H2140" t="str">
        <x:v>Fasteners</x:v>
      </x:c>
      <x:c r="I2140" s="22" t="n">
        <x:v>10.584</x:v>
      </x:c>
      <x:c r="J2140" s="24" t="n">
        <x:v>7</x:v>
      </x:c>
      <x:c r="K2140" s="26" t="n">
        <x:v>0.2</x:v>
      </x:c>
      <x:c r="L2140" s="22" t="n">
        <x:v>-2.3813999999999993</x:v>
      </x:c>
      <x:c r="M2140" t="n">
        <x:v>2015</x:v>
      </x:c>
      <x:c r="N2140" s="20" t="n">
        <x:v>42309</x:v>
      </x:c>
    </x:row>
    <x:row r="2141" ht="18" customHeight="1">
      <x:c r="A2141" t="str">
        <x:v>CA-2015-122210</x:v>
      </x:c>
      <x:c r="B2141" s="18" t="n">
        <x:v>42338</x:v>
      </x:c>
      <x:c r="C2141" t="str">
        <x:v>WB-21850</x:v>
      </x:c>
      <x:c r="D2141" t="str">
        <x:v>William Brown</x:v>
      </x:c>
      <x:c r="E2141" t="str">
        <x:v>Consumer</x:v>
      </x:c>
      <x:c r="F2141" t="str">
        <x:v>East</x:v>
      </x:c>
      <x:c r="G2141" t="str">
        <x:v>Technology</x:v>
      </x:c>
      <x:c r="H2141" t="str">
        <x:v>Phones</x:v>
      </x:c>
      <x:c r="I2141" s="22" t="n">
        <x:v>94.91999999999999</x:v>
      </x:c>
      <x:c r="J2141" s="24" t="n">
        <x:v>4</x:v>
      </x:c>
      <x:c r="K2141" s="26" t="n">
        <x:v>0.4</x:v>
      </x:c>
      <x:c r="L2141" s="22" t="n">
        <x:v>15.819999999999993</x:v>
      </x:c>
      <x:c r="M2141" t="n">
        <x:v>2015</x:v>
      </x:c>
      <x:c r="N2141" s="20" t="n">
        <x:v>42309</x:v>
      </x:c>
    </x:row>
    <x:row r="2142" ht="18" customHeight="1">
      <x:c r="A2142" t="str">
        <x:v>CA-2015-156377</x:v>
      </x:c>
      <x:c r="B2142" s="18" t="n">
        <x:v>42369</x:v>
      </x:c>
      <x:c r="C2142" t="str">
        <x:v>TB-21625</x:v>
      </x:c>
      <x:c r="D2142" t="str">
        <x:v>Trudy Brown</x:v>
      </x:c>
      <x:c r="E2142" t="str">
        <x:v>Consumer</x:v>
      </x:c>
      <x:c r="F2142" t="str">
        <x:v>Central</x:v>
      </x:c>
      <x:c r="G2142" t="str">
        <x:v>Furniture</x:v>
      </x:c>
      <x:c r="H2142" t="str">
        <x:v>Furnishings</x:v>
      </x:c>
      <x:c r="I2142" s="22" t="n">
        <x:v>14.76</x:v>
      </x:c>
      <x:c r="J2142" s="24" t="n">
        <x:v>5</x:v>
      </x:c>
      <x:c r="K2142" s="26" t="n">
        <x:v>0.6</x:v>
      </x:c>
      <x:c r="L2142" s="22" t="n">
        <x:v>-11.439000000000004</x:v>
      </x:c>
      <x:c r="M2142" t="n">
        <x:v>2015</x:v>
      </x:c>
      <x:c r="N2142" s="20" t="n">
        <x:v>42339</x:v>
      </x:c>
    </x:row>
    <x:row r="2143" ht="18" customHeight="1">
      <x:c r="A2143" t="str">
        <x:v>CA-2015-156377</x:v>
      </x:c>
      <x:c r="B2143" s="18" t="n">
        <x:v>42369</x:v>
      </x:c>
      <x:c r="C2143" t="str">
        <x:v>TB-21625</x:v>
      </x:c>
      <x:c r="D2143" t="str">
        <x:v>Trudy Brown</x:v>
      </x:c>
      <x:c r="E2143" t="str">
        <x:v>Consumer</x:v>
      </x:c>
      <x:c r="F2143" t="str">
        <x:v>Central</x:v>
      </x:c>
      <x:c r="G2143" t="str">
        <x:v>Office Supplies</x:v>
      </x:c>
      <x:c r="H2143" t="str">
        <x:v>Binders</x:v>
      </x:c>
      <x:c r="I2143" s="22" t="n">
        <x:v>3.6559999999999993</x:v>
      </x:c>
      <x:c r="J2143" s="24" t="n">
        <x:v>4</x:v>
      </x:c>
      <x:c r="K2143" s="26" t="n">
        <x:v>0.8</x:v>
      </x:c>
      <x:c r="L2143" s="22" t="n">
        <x:v>-5.849600000000002</x:v>
      </x:c>
      <x:c r="M2143" t="n">
        <x:v>2015</x:v>
      </x:c>
      <x:c r="N2143" s="20" t="n">
        <x:v>42339</x:v>
      </x:c>
    </x:row>
    <x:row r="2144" ht="18" customHeight="1">
      <x:c r="A2144" t="str">
        <x:v>US-2017-157896</x:v>
      </x:c>
      <x:c r="B2144" s="18" t="n">
        <x:v>43055</x:v>
      </x:c>
      <x:c r="C2144" t="str">
        <x:v>CB-12415</x:v>
      </x:c>
      <x:c r="D2144" t="str">
        <x:v>Christy Brittain</x:v>
      </x:c>
      <x:c r="E2144" t="str">
        <x:v>Consumer</x:v>
      </x:c>
      <x:c r="F2144" t="str">
        <x:v>East</x:v>
      </x:c>
      <x:c r="G2144" t="str">
        <x:v>Office Supplies</x:v>
      </x:c>
      <x:c r="H2144" t="str">
        <x:v>Paper</x:v>
      </x:c>
      <x:c r="I2144" s="22" t="n">
        <x:v>146.82</x:v>
      </x:c>
      <x:c r="J2144" s="24" t="n">
        <x:v>3</x:v>
      </x:c>
      <x:c r="K2144" s="26" t="n">
        <x:v>0</x:v>
      </x:c>
      <x:c r="L2144" s="22" t="n">
        <x:v>73.41</x:v>
      </x:c>
      <x:c r="M2144" t="n">
        <x:v>2017</x:v>
      </x:c>
      <x:c r="N2144" s="20" t="n">
        <x:v>43040</x:v>
      </x:c>
    </x:row>
    <x:row r="2145" ht="18" customHeight="1">
      <x:c r="A2145" t="str">
        <x:v>CA-2014-159520</x:v>
      </x:c>
      <x:c r="B2145" s="18" t="n">
        <x:v>41796</x:v>
      </x:c>
      <x:c r="C2145" t="str">
        <x:v>GT-14635</x:v>
      </x:c>
      <x:c r="D2145" t="str">
        <x:v>Grant Thornton</x:v>
      </x:c>
      <x:c r="E2145" t="str">
        <x:v>Corporate</x:v>
      </x:c>
      <x:c r="F2145" t="str">
        <x:v>East</x:v>
      </x:c>
      <x:c r="G2145" t="str">
        <x:v>Office Supplies</x:v>
      </x:c>
      <x:c r="H2145" t="str">
        <x:v>Binders</x:v>
      </x:c>
      <x:c r="I2145" s="22" t="n">
        <x:v>149.54399999999998</x:v>
      </x:c>
      <x:c r="J2145" s="24" t="n">
        <x:v>9</x:v>
      </x:c>
      <x:c r="K2145" s="26" t="n">
        <x:v>0.2</x:v>
      </x:c>
      <x:c r="L2145" s="22" t="n">
        <x:v>50.47109999999999</x:v>
      </x:c>
      <x:c r="M2145" t="n">
        <x:v>2014</x:v>
      </x:c>
      <x:c r="N2145" s="20" t="n">
        <x:v>41791</x:v>
      </x:c>
    </x:row>
    <x:row r="2146" ht="18" customHeight="1">
      <x:c r="A2146" t="str">
        <x:v>CA-2014-159520</x:v>
      </x:c>
      <x:c r="B2146" s="18" t="n">
        <x:v>41796</x:v>
      </x:c>
      <x:c r="C2146" t="str">
        <x:v>GT-14635</x:v>
      </x:c>
      <x:c r="D2146" t="str">
        <x:v>Grant Thornton</x:v>
      </x:c>
      <x:c r="E2146" t="str">
        <x:v>Corporate</x:v>
      </x:c>
      <x:c r="F2146" t="str">
        <x:v>East</x:v>
      </x:c>
      <x:c r="G2146" t="str">
        <x:v>Office Supplies</x:v>
      </x:c>
      <x:c r="H2146" t="str">
        <x:v>Supplies</x:v>
      </x:c>
      <x:c r="I2146" s="22" t="n">
        <x:v>17.14</x:v>
      </x:c>
      <x:c r="J2146" s="24" t="n">
        <x:v>2</x:v>
      </x:c>
      <x:c r="K2146" s="26" t="n">
        <x:v>0</x:v>
      </x:c>
      <x:c r="L2146" s="22" t="n">
        <x:v>4.4564</x:v>
      </x:c>
      <x:c r="M2146" t="n">
        <x:v>2014</x:v>
      </x:c>
      <x:c r="N2146" s="20" t="n">
        <x:v>41791</x:v>
      </x:c>
    </x:row>
    <x:row r="2147" ht="18" customHeight="1">
      <x:c r="A2147" t="str">
        <x:v>CA-2014-159520</x:v>
      </x:c>
      <x:c r="B2147" s="18" t="n">
        <x:v>41796</x:v>
      </x:c>
      <x:c r="C2147" t="str">
        <x:v>GT-14635</x:v>
      </x:c>
      <x:c r="D2147" t="str">
        <x:v>Grant Thornton</x:v>
      </x:c>
      <x:c r="E2147" t="str">
        <x:v>Corporate</x:v>
      </x:c>
      <x:c r="F2147" t="str">
        <x:v>East</x:v>
      </x:c>
      <x:c r="G2147" t="str">
        <x:v>Furniture</x:v>
      </x:c>
      <x:c r="H2147" t="str">
        <x:v>Tables</x:v>
      </x:c>
      <x:c r="I2147" s="22" t="n">
        <x:v>991.7640000000001</x:v>
      </x:c>
      <x:c r="J2147" s="24" t="n">
        <x:v>3</x:v>
      </x:c>
      <x:c r="K2147" s="26" t="n">
        <x:v>0.4</x:v>
      </x:c>
      <x:c r="L2147" s="22" t="n">
        <x:v>-347.1174000000001</x:v>
      </x:c>
      <x:c r="M2147" t="n">
        <x:v>2014</x:v>
      </x:c>
      <x:c r="N2147" s="20" t="n">
        <x:v>41791</x:v>
      </x:c>
    </x:row>
    <x:row r="2148" ht="18" customHeight="1">
      <x:c r="A2148" t="str">
        <x:v>CA-2016-155481</x:v>
      </x:c>
      <x:c r="B2148" s="18" t="n">
        <x:v>42614</x:v>
      </x:c>
      <x:c r="C2148" t="str">
        <x:v>DK-13225</x:v>
      </x:c>
      <x:c r="D2148" t="str">
        <x:v>Dean Katz</x:v>
      </x:c>
      <x:c r="E2148" t="str">
        <x:v>Corporate</x:v>
      </x:c>
      <x:c r="F2148" t="str">
        <x:v>East</x:v>
      </x:c>
      <x:c r="G2148" t="str">
        <x:v>Office Supplies</x:v>
      </x:c>
      <x:c r="H2148" t="str">
        <x:v>Paper</x:v>
      </x:c>
      <x:c r="I2148" s="22" t="n">
        <x:v>30.48</x:v>
      </x:c>
      <x:c r="J2148" s="24" t="n">
        <x:v>6</x:v>
      </x:c>
      <x:c r="K2148" s="26" t="n">
        <x:v>0.2</x:v>
      </x:c>
      <x:c r="L2148" s="22" t="n">
        <x:v>9.905999999999999</x:v>
      </x:c>
      <x:c r="M2148" t="n">
        <x:v>2016</x:v>
      </x:c>
      <x:c r="N2148" s="20" t="n">
        <x:v>42614</x:v>
      </x:c>
    </x:row>
    <x:row r="2149" ht="18" customHeight="1">
      <x:c r="A2149" t="str">
        <x:v>CA-2016-155481</x:v>
      </x:c>
      <x:c r="B2149" s="18" t="n">
        <x:v>42614</x:v>
      </x:c>
      <x:c r="C2149" t="str">
        <x:v>DK-13225</x:v>
      </x:c>
      <x:c r="D2149" t="str">
        <x:v>Dean Katz</x:v>
      </x:c>
      <x:c r="E2149" t="str">
        <x:v>Corporate</x:v>
      </x:c>
      <x:c r="F2149" t="str">
        <x:v>East</x:v>
      </x:c>
      <x:c r="G2149" t="str">
        <x:v>Technology</x:v>
      </x:c>
      <x:c r="H2149" t="str">
        <x:v>Phones</x:v>
      </x:c>
      <x:c r="I2149" s="22" t="n">
        <x:v>23.987999999999996</x:v>
      </x:c>
      <x:c r="J2149" s="24" t="n">
        <x:v>2</x:v>
      </x:c>
      <x:c r="K2149" s="26" t="n">
        <x:v>0.4</x:v>
      </x:c>
      <x:c r="L2149" s="22" t="n">
        <x:v>-4.797599999999997</x:v>
      </x:c>
      <x:c r="M2149" t="n">
        <x:v>2016</x:v>
      </x:c>
      <x:c r="N2149" s="20" t="n">
        <x:v>42614</x:v>
      </x:c>
    </x:row>
    <x:row r="2150" ht="18" customHeight="1">
      <x:c r="A2150" t="str">
        <x:v>CA-2016-155481</x:v>
      </x:c>
      <x:c r="B2150" s="18" t="n">
        <x:v>42614</x:v>
      </x:c>
      <x:c r="C2150" t="str">
        <x:v>DK-13225</x:v>
      </x:c>
      <x:c r="D2150" t="str">
        <x:v>Dean Katz</x:v>
      </x:c>
      <x:c r="E2150" t="str">
        <x:v>Corporate</x:v>
      </x:c>
      <x:c r="F2150" t="str">
        <x:v>East</x:v>
      </x:c>
      <x:c r="G2150" t="str">
        <x:v>Office Supplies</x:v>
      </x:c>
      <x:c r="H2150" t="str">
        <x:v>Fasteners</x:v>
      </x:c>
      <x:c r="I2150" s="22" t="n">
        <x:v>16.688</x:v>
      </x:c>
      <x:c r="J2150" s="24" t="n">
        <x:v>7</x:v>
      </x:c>
      <x:c r="K2150" s="26" t="n">
        <x:v>0.2</x:v>
      </x:c>
      <x:c r="L2150" s="22" t="n">
        <x:v>5.4235999999999995</x:v>
      </x:c>
      <x:c r="M2150" t="n">
        <x:v>2016</x:v>
      </x:c>
      <x:c r="N2150" s="20" t="n">
        <x:v>42614</x:v>
      </x:c>
    </x:row>
    <x:row r="2151" ht="18" customHeight="1">
      <x:c r="A2151" t="str">
        <x:v>US-2016-152051</x:v>
      </x:c>
      <x:c r="B2151" s="18" t="n">
        <x:v>42546</x:v>
      </x:c>
      <x:c r="C2151" t="str">
        <x:v>TS-21160</x:v>
      </x:c>
      <x:c r="D2151" t="str">
        <x:v>Theresa Swint</x:v>
      </x:c>
      <x:c r="E2151" t="str">
        <x:v>Corporate</x:v>
      </x:c>
      <x:c r="F2151" t="str">
        <x:v>East</x:v>
      </x:c>
      <x:c r="G2151" t="str">
        <x:v>Furniture</x:v>
      </x:c>
      <x:c r="H2151" t="str">
        <x:v>Chairs</x:v>
      </x:c>
      <x:c r="I2151" s="22" t="n">
        <x:v>422.05799999999994</x:v>
      </x:c>
      <x:c r="J2151" s="24" t="n">
        <x:v>3</x:v>
      </x:c>
      <x:c r="K2151" s="26" t="n">
        <x:v>0.3</x:v>
      </x:c>
      <x:c r="L2151" s="22" t="n">
        <x:v>-18.0882</x:v>
      </x:c>
      <x:c r="M2151" t="n">
        <x:v>2016</x:v>
      </x:c>
      <x:c r="N2151" s="20" t="n">
        <x:v>42522</x:v>
      </x:c>
    </x:row>
    <x:row r="2152" ht="18" customHeight="1">
      <x:c r="A2152" t="str">
        <x:v>US-2016-152051</x:v>
      </x:c>
      <x:c r="B2152" s="18" t="n">
        <x:v>42546</x:v>
      </x:c>
      <x:c r="C2152" t="str">
        <x:v>TS-21160</x:v>
      </x:c>
      <x:c r="D2152" t="str">
        <x:v>Theresa Swint</x:v>
      </x:c>
      <x:c r="E2152" t="str">
        <x:v>Corporate</x:v>
      </x:c>
      <x:c r="F2152" t="str">
        <x:v>East</x:v>
      </x:c>
      <x:c r="G2152" t="str">
        <x:v>Office Supplies</x:v>
      </x:c>
      <x:c r="H2152" t="str">
        <x:v>Binders</x:v>
      </x:c>
      <x:c r="I2152" s="22" t="n">
        <x:v>38.088</x:v>
      </x:c>
      <x:c r="J2152" s="24" t="n">
        <x:v>4</x:v>
      </x:c>
      <x:c r="K2152" s="26" t="n">
        <x:v>0.7</x:v>
      </x:c>
      <x:c r="L2152" s="22" t="n">
        <x:v>-27.93119999999999</x:v>
      </x:c>
      <x:c r="M2152" t="n">
        <x:v>2016</x:v>
      </x:c>
      <x:c r="N2152" s="20" t="n">
        <x:v>42522</x:v>
      </x:c>
    </x:row>
    <x:row r="2153" ht="18" customHeight="1">
      <x:c r="A2153" t="str">
        <x:v>US-2016-152051</x:v>
      </x:c>
      <x:c r="B2153" s="18" t="n">
        <x:v>42546</x:v>
      </x:c>
      <x:c r="C2153" t="str">
        <x:v>TS-21160</x:v>
      </x:c>
      <x:c r="D2153" t="str">
        <x:v>Theresa Swint</x:v>
      </x:c>
      <x:c r="E2153" t="str">
        <x:v>Corporate</x:v>
      </x:c>
      <x:c r="F2153" t="str">
        <x:v>East</x:v>
      </x:c>
      <x:c r="G2153" t="str">
        <x:v>Office Supplies</x:v>
      </x:c>
      <x:c r="H2153" t="str">
        <x:v>Storage</x:v>
      </x:c>
      <x:c r="I2153" s="22" t="n">
        <x:v>254.35200000000003</x:v>
      </x:c>
      <x:c r="J2153" s="24" t="n">
        <x:v>6</x:v>
      </x:c>
      <x:c r="K2153" s="26" t="n">
        <x:v>0.2</x:v>
      </x:c>
      <x:c r="L2153" s="22" t="n">
        <x:v>-50.87040000000002</x:v>
      </x:c>
      <x:c r="M2153" t="n">
        <x:v>2016</x:v>
      </x:c>
      <x:c r="N2153" s="20" t="n">
        <x:v>42522</x:v>
      </x:c>
    </x:row>
    <x:row r="2154" ht="18" customHeight="1">
      <x:c r="A2154" t="str">
        <x:v>CA-2014-141607</x:v>
      </x:c>
      <x:c r="B2154" s="18" t="n">
        <x:v>41985</x:v>
      </x:c>
      <x:c r="C2154" t="str">
        <x:v>WB-21850</x:v>
      </x:c>
      <x:c r="D2154" t="str">
        <x:v>William Brown</x:v>
      </x:c>
      <x:c r="E2154" t="str">
        <x:v>Consumer</x:v>
      </x:c>
      <x:c r="F2154" t="str">
        <x:v>West</x:v>
      </x:c>
      <x:c r="G2154" t="str">
        <x:v>Furniture</x:v>
      </x:c>
      <x:c r="H2154" t="str">
        <x:v>Furnishings</x:v>
      </x:c>
      <x:c r="I2154" s="22" t="n">
        <x:v>43.31</x:v>
      </x:c>
      <x:c r="J2154" s="24" t="n">
        <x:v>1</x:v>
      </x:c>
      <x:c r="K2154" s="26" t="n">
        <x:v>0</x:v>
      </x:c>
      <x:c r="L2154" s="22" t="n">
        <x:v>4.330999999999996</x:v>
      </x:c>
      <x:c r="M2154" t="n">
        <x:v>2014</x:v>
      </x:c>
      <x:c r="N2154" s="20" t="n">
        <x:v>41974</x:v>
      </x:c>
    </x:row>
    <x:row r="2155" ht="18" customHeight="1">
      <x:c r="A2155" t="str">
        <x:v>CA-2017-102771</x:v>
      </x:c>
      <x:c r="B2155" s="18" t="n">
        <x:v>42825</x:v>
      </x:c>
      <x:c r="C2155" t="str">
        <x:v>DO-13435</x:v>
      </x:c>
      <x:c r="D2155" t="str">
        <x:v>Denny Ordway</x:v>
      </x:c>
      <x:c r="E2155" t="str">
        <x:v>Consumer</x:v>
      </x:c>
      <x:c r="F2155" t="str">
        <x:v>East</x:v>
      </x:c>
      <x:c r="G2155" t="str">
        <x:v>Technology</x:v>
      </x:c>
      <x:c r="H2155" t="str">
        <x:v>Phones</x:v>
      </x:c>
      <x:c r="I2155" s="22" t="n">
        <x:v>84.94999999999999</x:v>
      </x:c>
      <x:c r="J2155" s="24" t="n">
        <x:v>5</x:v>
      </x:c>
      <x:c r="K2155" s="26" t="n">
        <x:v>0</x:v>
      </x:c>
      <x:c r="L2155" s="22" t="n">
        <x:v>22.086999999999996</x:v>
      </x:c>
      <x:c r="M2155" t="n">
        <x:v>2017</x:v>
      </x:c>
      <x:c r="N2155" s="20" t="n">
        <x:v>42795</x:v>
      </x:c>
    </x:row>
    <x:row r="2156" ht="18" customHeight="1">
      <x:c r="A2156" t="str">
        <x:v>US-2017-139969</x:v>
      </x:c>
      <x:c r="B2156" s="18" t="n">
        <x:v>43058</x:v>
      </x:c>
      <x:c r="C2156" t="str">
        <x:v>AF-10870</x:v>
      </x:c>
      <x:c r="D2156" t="str">
        <x:v>Art Ferguson</x:v>
      </x:c>
      <x:c r="E2156" t="str">
        <x:v>Consumer</x:v>
      </x:c>
      <x:c r="F2156" t="str">
        <x:v>Central</x:v>
      </x:c>
      <x:c r="G2156" t="str">
        <x:v>Furniture</x:v>
      </x:c>
      <x:c r="H2156" t="str">
        <x:v>Chairs</x:v>
      </x:c>
      <x:c r="I2156" s="22" t="n">
        <x:v>233.058</x:v>
      </x:c>
      <x:c r="J2156" s="24" t="n">
        <x:v>3</x:v>
      </x:c>
      <x:c r="K2156" s="26" t="n">
        <x:v>0.3</x:v>
      </x:c>
      <x:c r="L2156" s="22" t="n">
        <x:v>-53.270399999999995</x:v>
      </x:c>
      <x:c r="M2156" t="n">
        <x:v>2017</x:v>
      </x:c>
      <x:c r="N2156" s="20" t="n">
        <x:v>43040</x:v>
      </x:c>
    </x:row>
    <x:row r="2157" ht="18" customHeight="1">
      <x:c r="A2157" t="str">
        <x:v>CA-2014-167360</x:v>
      </x:c>
      <x:c r="B2157" s="18" t="n">
        <x:v>41967</x:v>
      </x:c>
      <x:c r="C2157" t="str">
        <x:v>RB-19435</x:v>
      </x:c>
      <x:c r="D2157" t="str">
        <x:v>Richard Bierner</x:v>
      </x:c>
      <x:c r="E2157" t="str">
        <x:v>Consumer</x:v>
      </x:c>
      <x:c r="F2157" t="str">
        <x:v>Central</x:v>
      </x:c>
      <x:c r="G2157" t="str">
        <x:v>Technology</x:v>
      </x:c>
      <x:c r="H2157" t="str">
        <x:v>Accessories</x:v>
      </x:c>
      <x:c r="I2157" s="22" t="n">
        <x:v>111.79</x:v>
      </x:c>
      <x:c r="J2157" s="24" t="n">
        <x:v>7</x:v>
      </x:c>
      <x:c r="K2157" s="26" t="n">
        <x:v>0</x:v>
      </x:c>
      <x:c r="L2157" s="22" t="n">
        <x:v>43.5981</x:v>
      </x:c>
      <x:c r="M2157" t="n">
        <x:v>2014</x:v>
      </x:c>
      <x:c r="N2157" s="20" t="n">
        <x:v>41944</x:v>
      </x:c>
    </x:row>
    <x:row r="2158" ht="18" customHeight="1">
      <x:c r="A2158" t="str">
        <x:v>CA-2015-123505</x:v>
      </x:c>
      <x:c r="B2158" s="18" t="n">
        <x:v>42330</x:v>
      </x:c>
      <x:c r="C2158" t="str">
        <x:v>AR-10540</x:v>
      </x:c>
      <x:c r="D2158" t="str">
        <x:v>Andy Reiter</x:v>
      </x:c>
      <x:c r="E2158" t="str">
        <x:v>Consumer</x:v>
      </x:c>
      <x:c r="F2158" t="str">
        <x:v>East</x:v>
      </x:c>
      <x:c r="G2158" t="str">
        <x:v>Office Supplies</x:v>
      </x:c>
      <x:c r="H2158" t="str">
        <x:v>Paper</x:v>
      </x:c>
      <x:c r="I2158" s="22" t="n">
        <x:v>14.940000000000001</x:v>
      </x:c>
      <x:c r="J2158" s="24" t="n">
        <x:v>3</x:v>
      </x:c>
      <x:c r="K2158" s="26" t="n">
        <x:v>0</x:v>
      </x:c>
      <x:c r="L2158" s="22" t="n">
        <x:v>7.021800000000001</x:v>
      </x:c>
      <x:c r="M2158" t="n">
        <x:v>2015</x:v>
      </x:c>
      <x:c r="N2158" s="20" t="n">
        <x:v>42309</x:v>
      </x:c>
    </x:row>
    <x:row r="2159" ht="18" customHeight="1">
      <x:c r="A2159" t="str">
        <x:v>CA-2016-117282</x:v>
      </x:c>
      <x:c r="B2159" s="18" t="n">
        <x:v>42565</x:v>
      </x:c>
      <x:c r="C2159" t="str">
        <x:v>DR-12880</x:v>
      </x:c>
      <x:c r="D2159" t="str">
        <x:v>Dan Reichenbach</x:v>
      </x:c>
      <x:c r="E2159" t="str">
        <x:v>Corporate</x:v>
      </x:c>
      <x:c r="F2159" t="str">
        <x:v>East</x:v>
      </x:c>
      <x:c r="G2159" t="str">
        <x:v>Office Supplies</x:v>
      </x:c>
      <x:c r="H2159" t="str">
        <x:v>Binders</x:v>
      </x:c>
      <x:c r="I2159" s="22" t="n">
        <x:v>14.16</x:v>
      </x:c>
      <x:c r="J2159" s="24" t="n">
        <x:v>2</x:v>
      </x:c>
      <x:c r="K2159" s="26" t="n">
        <x:v>0.2</x:v>
      </x:c>
      <x:c r="L2159" s="22" t="n">
        <x:v>5.133</x:v>
      </x:c>
      <x:c r="M2159" t="n">
        <x:v>2016</x:v>
      </x:c>
      <x:c r="N2159" s="20" t="n">
        <x:v>42552</x:v>
      </x:c>
    </x:row>
    <x:row r="2160" ht="18" customHeight="1">
      <x:c r="A2160" t="str">
        <x:v>US-2016-120460</x:v>
      </x:c>
      <x:c r="B2160" s="18" t="n">
        <x:v>42490</x:v>
      </x:c>
      <x:c r="C2160" t="str">
        <x:v>BF-11170</x:v>
      </x:c>
      <x:c r="D2160" t="str">
        <x:v>Ben Ferrer</x:v>
      </x:c>
      <x:c r="E2160" t="str">
        <x:v>Home Office</x:v>
      </x:c>
      <x:c r="F2160" t="str">
        <x:v>Central</x:v>
      </x:c>
      <x:c r="G2160" t="str">
        <x:v>Furniture</x:v>
      </x:c>
      <x:c r="H2160" t="str">
        <x:v>Furnishings</x:v>
      </x:c>
      <x:c r="I2160" s="22" t="n">
        <x:v>22.608</x:v>
      </x:c>
      <x:c r="J2160" s="24" t="n">
        <x:v>3</x:v>
      </x:c>
      <x:c r="K2160" s="26" t="n">
        <x:v>0.6</x:v>
      </x:c>
      <x:c r="L2160" s="22" t="n">
        <x:v>-10.173599999999997</x:v>
      </x:c>
      <x:c r="M2160" t="n">
        <x:v>2016</x:v>
      </x:c>
      <x:c r="N2160" s="20" t="n">
        <x:v>42461</x:v>
      </x:c>
    </x:row>
    <x:row r="2161" ht="18" customHeight="1">
      <x:c r="A2161" t="str">
        <x:v>CA-2016-111115</x:v>
      </x:c>
      <x:c r="B2161" s="18" t="n">
        <x:v>42576</x:v>
      </x:c>
      <x:c r="C2161" t="str">
        <x:v>LB-16735</x:v>
      </x:c>
      <x:c r="D2161" t="str">
        <x:v>Larry Blacks</x:v>
      </x:c>
      <x:c r="E2161" t="str">
        <x:v>Consumer</x:v>
      </x:c>
      <x:c r="F2161" t="str">
        <x:v>West</x:v>
      </x:c>
      <x:c r="G2161" t="str">
        <x:v>Office Supplies</x:v>
      </x:c>
      <x:c r="H2161" t="str">
        <x:v>Fasteners</x:v>
      </x:c>
      <x:c r="I2161" s="22" t="n">
        <x:v>21.48</x:v>
      </x:c>
      <x:c r="J2161" s="24" t="n">
        <x:v>6</x:v>
      </x:c>
      <x:c r="K2161" s="26" t="n">
        <x:v>0</x:v>
      </x:c>
      <x:c r="L2161" s="22" t="n">
        <x:v>10.74</x:v>
      </x:c>
      <x:c r="M2161" t="n">
        <x:v>2016</x:v>
      </x:c>
      <x:c r="N2161" s="20" t="n">
        <x:v>42552</x:v>
      </x:c>
    </x:row>
    <x:row r="2162" ht="18" customHeight="1">
      <x:c r="A2162" t="str">
        <x:v>CA-2014-124646</x:v>
      </x:c>
      <x:c r="B2162" s="18" t="n">
        <x:v>41812</x:v>
      </x:c>
      <x:c r="C2162" t="str">
        <x:v>DV-13465</x:v>
      </x:c>
      <x:c r="D2162" t="str">
        <x:v>Dianna Vittorini</x:v>
      </x:c>
      <x:c r="E2162" t="str">
        <x:v>Consumer</x:v>
      </x:c>
      <x:c r="F2162" t="str">
        <x:v>Central</x:v>
      </x:c>
      <x:c r="G2162" t="str">
        <x:v>Office Supplies</x:v>
      </x:c>
      <x:c r="H2162" t="str">
        <x:v>Storage</x:v>
      </x:c>
      <x:c r="I2162" s="22" t="n">
        <x:v>501.81000000000006</x:v>
      </x:c>
      <x:c r="J2162" s="24" t="n">
        <x:v>3</x:v>
      </x:c>
      <x:c r="K2162" s="26" t="n">
        <x:v>0</x:v>
      </x:c>
      <x:c r="L2162" s="22" t="n">
        <x:v>0</x:v>
      </x:c>
      <x:c r="M2162" t="n">
        <x:v>2014</x:v>
      </x:c>
      <x:c r="N2162" s="20" t="n">
        <x:v>41791</x:v>
      </x:c>
    </x:row>
    <x:row r="2163" ht="18" customHeight="1">
      <x:c r="A2163" t="str">
        <x:v>CA-2014-124646</x:v>
      </x:c>
      <x:c r="B2163" s="18" t="n">
        <x:v>41812</x:v>
      </x:c>
      <x:c r="C2163" t="str">
        <x:v>DV-13465</x:v>
      </x:c>
      <x:c r="D2163" t="str">
        <x:v>Dianna Vittorini</x:v>
      </x:c>
      <x:c r="E2163" t="str">
        <x:v>Consumer</x:v>
      </x:c>
      <x:c r="F2163" t="str">
        <x:v>Central</x:v>
      </x:c>
      <x:c r="G2163" t="str">
        <x:v>Office Supplies</x:v>
      </x:c>
      <x:c r="H2163" t="str">
        <x:v>Storage</x:v>
      </x:c>
      <x:c r="I2163" s="22" t="n">
        <x:v>161.94</x:v>
      </x:c>
      <x:c r="J2163" s="24" t="n">
        <x:v>3</x:v>
      </x:c>
      <x:c r="K2163" s="26" t="n">
        <x:v>0</x:v>
      </x:c>
      <x:c r="L2163" s="22" t="n">
        <x:v>9.716399999999993</x:v>
      </x:c>
      <x:c r="M2163" t="n">
        <x:v>2014</x:v>
      </x:c>
      <x:c r="N2163" s="20" t="n">
        <x:v>41791</x:v>
      </x:c>
    </x:row>
    <x:row r="2164" ht="18" customHeight="1">
      <x:c r="A2164" t="str">
        <x:v>CA-2017-148166</x:v>
      </x:c>
      <x:c r="B2164" s="18" t="n">
        <x:v>43029</x:v>
      </x:c>
      <x:c r="C2164" t="str">
        <x:v>NK-18490</x:v>
      </x:c>
      <x:c r="D2164" t="str">
        <x:v>Neil Knudson</x:v>
      </x:c>
      <x:c r="E2164" t="str">
        <x:v>Home Office</x:v>
      </x:c>
      <x:c r="F2164" t="str">
        <x:v>South</x:v>
      </x:c>
      <x:c r="G2164" t="str">
        <x:v>Office Supplies</x:v>
      </x:c>
      <x:c r="H2164" t="str">
        <x:v>Art</x:v>
      </x:c>
      <x:c r="I2164" s="22" t="n">
        <x:v>17.856</x:v>
      </x:c>
      <x:c r="J2164" s="24" t="n">
        <x:v>4</x:v>
      </x:c>
      <x:c r="K2164" s="26" t="n">
        <x:v>0.2</x:v>
      </x:c>
      <x:c r="L2164" s="22" t="n">
        <x:v>2.0087999999999973</x:v>
      </x:c>
      <x:c r="M2164" t="n">
        <x:v>2017</x:v>
      </x:c>
      <x:c r="N2164" s="20" t="n">
        <x:v>43009</x:v>
      </x:c>
    </x:row>
    <x:row r="2165" ht="18" customHeight="1">
      <x:c r="A2165" t="str">
        <x:v>CA-2016-159737</x:v>
      </x:c>
      <x:c r="B2165" s="18" t="n">
        <x:v>42616</x:v>
      </x:c>
      <x:c r="C2165" t="str">
        <x:v>CS-11950</x:v>
      </x:c>
      <x:c r="D2165" t="str">
        <x:v>Carlos Soltero</x:v>
      </x:c>
      <x:c r="E2165" t="str">
        <x:v>Consumer</x:v>
      </x:c>
      <x:c r="F2165" t="str">
        <x:v>Central</x:v>
      </x:c>
      <x:c r="G2165" t="str">
        <x:v>Office Supplies</x:v>
      </x:c>
      <x:c r="H2165" t="str">
        <x:v>Binders</x:v>
      </x:c>
      <x:c r="I2165" s="22" t="n">
        <x:v>8.807999999999998</x:v>
      </x:c>
      <x:c r="J2165" s="24" t="n">
        <x:v>3</x:v>
      </x:c>
      <x:c r="K2165" s="26" t="n">
        <x:v>0.8</x:v>
      </x:c>
      <x:c r="L2165" s="22" t="n">
        <x:v>-14.973600000000001</x:v>
      </x:c>
      <x:c r="M2165" t="n">
        <x:v>2016</x:v>
      </x:c>
      <x:c r="N2165" s="20" t="n">
        <x:v>42614</x:v>
      </x:c>
    </x:row>
    <x:row r="2166" ht="18" customHeight="1">
      <x:c r="A2166" t="str">
        <x:v>CA-2016-141019</x:v>
      </x:c>
      <x:c r="B2166" s="18" t="n">
        <x:v>42504</x:v>
      </x:c>
      <x:c r="C2166" t="str">
        <x:v>LH-17155</x:v>
      </x:c>
      <x:c r="D2166" t="str">
        <x:v>Logan Haushalter</x:v>
      </x:c>
      <x:c r="E2166" t="str">
        <x:v>Consumer</x:v>
      </x:c>
      <x:c r="F2166" t="str">
        <x:v>East</x:v>
      </x:c>
      <x:c r="G2166" t="str">
        <x:v>Furniture</x:v>
      </x:c>
      <x:c r="H2166" t="str">
        <x:v>Furnishings</x:v>
      </x:c>
      <x:c r="I2166" s="22" t="n">
        <x:v>79.38400000000001</x:v>
      </x:c>
      <x:c r="J2166" s="24" t="n">
        <x:v>1</x:v>
      </x:c>
      <x:c r="K2166" s="26" t="n">
        <x:v>0.2</x:v>
      </x:c>
      <x:c r="L2166" s="22" t="n">
        <x:v>29.769</x:v>
      </x:c>
      <x:c r="M2166" t="n">
        <x:v>2016</x:v>
      </x:c>
      <x:c r="N2166" s="20" t="n">
        <x:v>42491</x:v>
      </x:c>
    </x:row>
    <x:row r="2167" ht="18" customHeight="1">
      <x:c r="A2167" t="str">
        <x:v>CA-2016-101938</x:v>
      </x:c>
      <x:c r="B2167" s="18" t="n">
        <x:v>42376</x:v>
      </x:c>
      <x:c r="C2167" t="str">
        <x:v>DW-13480</x:v>
      </x:c>
      <x:c r="D2167" t="str">
        <x:v>Dianna Wilson</x:v>
      </x:c>
      <x:c r="E2167" t="str">
        <x:v>Home Office</x:v>
      </x:c>
      <x:c r="F2167" t="str">
        <x:v>West</x:v>
      </x:c>
      <x:c r="G2167" t="str">
        <x:v>Office Supplies</x:v>
      </x:c>
      <x:c r="H2167" t="str">
        <x:v>Art</x:v>
      </x:c>
      <x:c r="I2167" s="22" t="n">
        <x:v>34.58</x:v>
      </x:c>
      <x:c r="J2167" s="24" t="n">
        <x:v>1</x:v>
      </x:c>
      <x:c r="K2167" s="26" t="n">
        <x:v>0</x:v>
      </x:c>
      <x:c r="L2167" s="22" t="n">
        <x:v>10.028199999999998</x:v>
      </x:c>
      <x:c r="M2167" t="n">
        <x:v>2016</x:v>
      </x:c>
      <x:c r="N2167" s="20" t="n">
        <x:v>42370</x:v>
      </x:c>
    </x:row>
    <x:row r="2168" ht="18" customHeight="1">
      <x:c r="A2168" t="str">
        <x:v>CA-2017-166296</x:v>
      </x:c>
      <x:c r="B2168" s="18" t="n">
        <x:v>42807</x:v>
      </x:c>
      <x:c r="C2168" t="str">
        <x:v>KF-16285</x:v>
      </x:c>
      <x:c r="D2168" t="str">
        <x:v>Karen Ferguson</x:v>
      </x:c>
      <x:c r="E2168" t="str">
        <x:v>Home Office</x:v>
      </x:c>
      <x:c r="F2168" t="str">
        <x:v>West</x:v>
      </x:c>
      <x:c r="G2168" t="str">
        <x:v>Office Supplies</x:v>
      </x:c>
      <x:c r="H2168" t="str">
        <x:v>Paper</x:v>
      </x:c>
      <x:c r="I2168" s="22" t="n">
        <x:v>314.54999999999995</x:v>
      </x:c>
      <x:c r="J2168" s="24" t="n">
        <x:v>3</x:v>
      </x:c>
      <x:c r="K2168" s="26" t="n">
        <x:v>0</x:v>
      </x:c>
      <x:c r="L2168" s="22" t="n">
        <x:v>150.98399999999998</x:v>
      </x:c>
      <x:c r="M2168" t="n">
        <x:v>2017</x:v>
      </x:c>
      <x:c r="N2168" s="20" t="n">
        <x:v>42795</x:v>
      </x:c>
    </x:row>
    <x:row r="2169" ht="18" customHeight="1">
      <x:c r="A2169" t="str">
        <x:v>CA-2016-154018</x:v>
      </x:c>
      <x:c r="B2169" s="18" t="n">
        <x:v>42656</x:v>
      </x:c>
      <x:c r="C2169" t="str">
        <x:v>HA-14920</x:v>
      </x:c>
      <x:c r="D2169" t="str">
        <x:v>Helen Andreada</x:v>
      </x:c>
      <x:c r="E2169" t="str">
        <x:v>Consumer</x:v>
      </x:c>
      <x:c r="F2169" t="str">
        <x:v>Central</x:v>
      </x:c>
      <x:c r="G2169" t="str">
        <x:v>Technology</x:v>
      </x:c>
      <x:c r="H2169" t="str">
        <x:v>Accessories</x:v>
      </x:c>
      <x:c r="I2169" s="22" t="n">
        <x:v>191.976</x:v>
      </x:c>
      <x:c r="J2169" s="24" t="n">
        <x:v>3</x:v>
      </x:c>
      <x:c r="K2169" s="26" t="n">
        <x:v>0.2</x:v>
      </x:c>
      <x:c r="L2169" s="22" t="n">
        <x:v>23.996999999999986</x:v>
      </x:c>
      <x:c r="M2169" t="n">
        <x:v>2016</x:v>
      </x:c>
      <x:c r="N2169" s="20" t="n">
        <x:v>42644</x:v>
      </x:c>
    </x:row>
    <x:row r="2170" ht="18" customHeight="1">
      <x:c r="A2170" t="str">
        <x:v>CA-2016-154018</x:v>
      </x:c>
      <x:c r="B2170" s="18" t="n">
        <x:v>42656</x:v>
      </x:c>
      <x:c r="C2170" t="str">
        <x:v>HA-14920</x:v>
      </x:c>
      <x:c r="D2170" t="str">
        <x:v>Helen Andreada</x:v>
      </x:c>
      <x:c r="E2170" t="str">
        <x:v>Consumer</x:v>
      </x:c>
      <x:c r="F2170" t="str">
        <x:v>Central</x:v>
      </x:c>
      <x:c r="G2170" t="str">
        <x:v>Office Supplies</x:v>
      </x:c>
      <x:c r="H2170" t="str">
        <x:v>Paper</x:v>
      </x:c>
      <x:c r="I2170" s="22" t="n">
        <x:v>8.288</x:v>
      </x:c>
      <x:c r="J2170" s="24" t="n">
        <x:v>2</x:v>
      </x:c>
      <x:c r="K2170" s="26" t="n">
        <x:v>0.2</x:v>
      </x:c>
      <x:c r="L2170" s="22" t="n">
        <x:v>3.0043999999999995</x:v>
      </x:c>
      <x:c r="M2170" t="n">
        <x:v>2016</x:v>
      </x:c>
      <x:c r="N2170" s="20" t="n">
        <x:v>42644</x:v>
      </x:c>
    </x:row>
    <x:row r="2171" ht="18" customHeight="1">
      <x:c r="A2171" t="str">
        <x:v>CA-2016-154018</x:v>
      </x:c>
      <x:c r="B2171" s="18" t="n">
        <x:v>42656</x:v>
      </x:c>
      <x:c r="C2171" t="str">
        <x:v>HA-14920</x:v>
      </x:c>
      <x:c r="D2171" t="str">
        <x:v>Helen Andreada</x:v>
      </x:c>
      <x:c r="E2171" t="str">
        <x:v>Consumer</x:v>
      </x:c>
      <x:c r="F2171" t="str">
        <x:v>Central</x:v>
      </x:c>
      <x:c r="G2171" t="str">
        <x:v>Furniture</x:v>
      </x:c>
      <x:c r="H2171" t="str">
        <x:v>Furnishings</x:v>
      </x:c>
      <x:c r="I2171" s="22" t="n">
        <x:v>139.92</x:v>
      </x:c>
      <x:c r="J2171" s="24" t="n">
        <x:v>5</x:v>
      </x:c>
      <x:c r="K2171" s="26" t="n">
        <x:v>0.6</x:v>
      </x:c>
      <x:c r="L2171" s="22" t="n">
        <x:v>-150.414</x:v>
      </x:c>
      <x:c r="M2171" t="n">
        <x:v>2016</x:v>
      </x:c>
      <x:c r="N2171" s="20" t="n">
        <x:v>42644</x:v>
      </x:c>
    </x:row>
    <x:row r="2172" ht="18" customHeight="1">
      <x:c r="A2172" t="str">
        <x:v>CA-2016-154018</x:v>
      </x:c>
      <x:c r="B2172" s="18" t="n">
        <x:v>42656</x:v>
      </x:c>
      <x:c r="C2172" t="str">
        <x:v>HA-14920</x:v>
      </x:c>
      <x:c r="D2172" t="str">
        <x:v>Helen Andreada</x:v>
      </x:c>
      <x:c r="E2172" t="str">
        <x:v>Consumer</x:v>
      </x:c>
      <x:c r="F2172" t="str">
        <x:v>Central</x:v>
      </x:c>
      <x:c r="G2172" t="str">
        <x:v>Office Supplies</x:v>
      </x:c>
      <x:c r="H2172" t="str">
        <x:v>Art</x:v>
      </x:c>
      <x:c r="I2172" s="22" t="n">
        <x:v>15.872</x:v>
      </x:c>
      <x:c r="J2172" s="24" t="n">
        <x:v>1</x:v>
      </x:c>
      <x:c r="K2172" s="26" t="n">
        <x:v>0.2</x:v>
      </x:c>
      <x:c r="L2172" s="22" t="n">
        <x:v>1.1904000000000003</x:v>
      </x:c>
      <x:c r="M2172" t="n">
        <x:v>2016</x:v>
      </x:c>
      <x:c r="N2172" s="20" t="n">
        <x:v>42644</x:v>
      </x:c>
    </x:row>
    <x:row r="2173" ht="18" customHeight="1">
      <x:c r="A2173" t="str">
        <x:v>CA-2016-154018</x:v>
      </x:c>
      <x:c r="B2173" s="18" t="n">
        <x:v>42656</x:v>
      </x:c>
      <x:c r="C2173" t="str">
        <x:v>HA-14920</x:v>
      </x:c>
      <x:c r="D2173" t="str">
        <x:v>Helen Andreada</x:v>
      </x:c>
      <x:c r="E2173" t="str">
        <x:v>Consumer</x:v>
      </x:c>
      <x:c r="F2173" t="str">
        <x:v>Central</x:v>
      </x:c>
      <x:c r="G2173" t="str">
        <x:v>Office Supplies</x:v>
      </x:c>
      <x:c r="H2173" t="str">
        <x:v>Binders</x:v>
      </x:c>
      <x:c r="I2173" s="22" t="n">
        <x:v>6.285999999999999</x:v>
      </x:c>
      <x:c r="J2173" s="24" t="n">
        <x:v>7</x:v>
      </x:c>
      <x:c r="K2173" s="26" t="n">
        <x:v>0.8</x:v>
      </x:c>
      <x:c r="L2173" s="22" t="n">
        <x:v>-11.000500000000008</x:v>
      </x:c>
      <x:c r="M2173" t="n">
        <x:v>2016</x:v>
      </x:c>
      <x:c r="N2173" s="20" t="n">
        <x:v>42644</x:v>
      </x:c>
    </x:row>
    <x:row r="2174" ht="18" customHeight="1">
      <x:c r="A2174" t="str">
        <x:v>CA-2017-117870</x:v>
      </x:c>
      <x:c r="B2174" s="18" t="n">
        <x:v>42762</x:v>
      </x:c>
      <x:c r="C2174" t="str">
        <x:v>JH-15820</x:v>
      </x:c>
      <x:c r="D2174" t="str">
        <x:v>John Huston</x:v>
      </x:c>
      <x:c r="E2174" t="str">
        <x:v>Consumer</x:v>
      </x:c>
      <x:c r="F2174" t="str">
        <x:v>East</x:v>
      </x:c>
      <x:c r="G2174" t="str">
        <x:v>Office Supplies</x:v>
      </x:c>
      <x:c r="H2174" t="str">
        <x:v>Art</x:v>
      </x:c>
      <x:c r="I2174" s="22" t="n">
        <x:v>14.015999999999998</x:v>
      </x:c>
      <x:c r="J2174" s="24" t="n">
        <x:v>3</x:v>
      </x:c>
      <x:c r="K2174" s="26" t="n">
        <x:v>0.2</x:v>
      </x:c>
      <x:c r="L2174" s="22" t="n">
        <x:v>1.7519999999999998</x:v>
      </x:c>
      <x:c r="M2174" t="n">
        <x:v>2017</x:v>
      </x:c>
      <x:c r="N2174" s="20" t="n">
        <x:v>42736</x:v>
      </x:c>
    </x:row>
    <x:row r="2175" ht="18" customHeight="1">
      <x:c r="A2175" t="str">
        <x:v>CA-2017-117870</x:v>
      </x:c>
      <x:c r="B2175" s="18" t="n">
        <x:v>42762</x:v>
      </x:c>
      <x:c r="C2175" t="str">
        <x:v>JH-15820</x:v>
      </x:c>
      <x:c r="D2175" t="str">
        <x:v>John Huston</x:v>
      </x:c>
      <x:c r="E2175" t="str">
        <x:v>Consumer</x:v>
      </x:c>
      <x:c r="F2175" t="str">
        <x:v>East</x:v>
      </x:c>
      <x:c r="G2175" t="str">
        <x:v>Technology</x:v>
      </x:c>
      <x:c r="H2175" t="str">
        <x:v>Accessories</x:v>
      </x:c>
      <x:c r="I2175" s="22" t="n">
        <x:v>71.976</x:v>
      </x:c>
      <x:c r="J2175" s="24" t="n">
        <x:v>3</x:v>
      </x:c>
      <x:c r="K2175" s="26" t="n">
        <x:v>0.2</x:v>
      </x:c>
      <x:c r="L2175" s="22" t="n">
        <x:v>-8.997000000000003</x:v>
      </x:c>
      <x:c r="M2175" t="n">
        <x:v>2017</x:v>
      </x:c>
      <x:c r="N2175" s="20" t="n">
        <x:v>42736</x:v>
      </x:c>
    </x:row>
    <x:row r="2176" ht="18" customHeight="1">
      <x:c r="A2176" t="str">
        <x:v>CA-2017-117870</x:v>
      </x:c>
      <x:c r="B2176" s="18" t="n">
        <x:v>42762</x:v>
      </x:c>
      <x:c r="C2176" t="str">
        <x:v>JH-15820</x:v>
      </x:c>
      <x:c r="D2176" t="str">
        <x:v>John Huston</x:v>
      </x:c>
      <x:c r="E2176" t="str">
        <x:v>Consumer</x:v>
      </x:c>
      <x:c r="F2176" t="str">
        <x:v>East</x:v>
      </x:c>
      <x:c r="G2176" t="str">
        <x:v>Technology</x:v>
      </x:c>
      <x:c r="H2176" t="str">
        <x:v>Phones</x:v>
      </x:c>
      <x:c r="I2176" s="22" t="n">
        <x:v>107.982</x:v>
      </x:c>
      <x:c r="J2176" s="24" t="n">
        <x:v>3</x:v>
      </x:c>
      <x:c r="K2176" s="26" t="n">
        <x:v>0.4</x:v>
      </x:c>
      <x:c r="L2176" s="22" t="n">
        <x:v>-26.995499999999993</x:v>
      </x:c>
      <x:c r="M2176" t="n">
        <x:v>2017</x:v>
      </x:c>
      <x:c r="N2176" s="20" t="n">
        <x:v>42736</x:v>
      </x:c>
    </x:row>
    <x:row r="2177" ht="18" customHeight="1">
      <x:c r="A2177" t="str">
        <x:v>US-2017-137491</x:v>
      </x:c>
      <x:c r="B2177" s="18" t="n">
        <x:v>43058</x:v>
      </x:c>
      <x:c r="C2177" t="str">
        <x:v>LC-16930</x:v>
      </x:c>
      <x:c r="D2177" t="str">
        <x:v>Linda Cazamias</x:v>
      </x:c>
      <x:c r="E2177" t="str">
        <x:v>Corporate</x:v>
      </x:c>
      <x:c r="F2177" t="str">
        <x:v>Central</x:v>
      </x:c>
      <x:c r="G2177" t="str">
        <x:v>Furniture</x:v>
      </x:c>
      <x:c r="H2177" t="str">
        <x:v>Chairs</x:v>
      </x:c>
      <x:c r="I2177" s="22" t="n">
        <x:v>305.312</x:v>
      </x:c>
      <x:c r="J2177" s="24" t="n">
        <x:v>2</x:v>
      </x:c>
      <x:c r="K2177" s="26" t="n">
        <x:v>0.3</x:v>
      </x:c>
      <x:c r="L2177" s="22" t="n">
        <x:v>-8.72320000000002</x:v>
      </x:c>
      <x:c r="M2177" t="n">
        <x:v>2017</x:v>
      </x:c>
      <x:c r="N2177" s="20" t="n">
        <x:v>43040</x:v>
      </x:c>
    </x:row>
    <x:row r="2178" ht="18" customHeight="1">
      <x:c r="A2178" t="str">
        <x:v>CA-2014-152296</x:v>
      </x:c>
      <x:c r="B2178" s="18" t="n">
        <x:v>41852</x:v>
      </x:c>
      <x:c r="C2178" t="str">
        <x:v>IL-15100</x:v>
      </x:c>
      <x:c r="D2178" t="str">
        <x:v>Ivan Liston</x:v>
      </x:c>
      <x:c r="E2178" t="str">
        <x:v>Consumer</x:v>
      </x:c>
      <x:c r="F2178" t="str">
        <x:v>West</x:v>
      </x:c>
      <x:c r="G2178" t="str">
        <x:v>Office Supplies</x:v>
      </x:c>
      <x:c r="H2178" t="str">
        <x:v>Binders</x:v>
      </x:c>
      <x:c r="I2178" s="22" t="n">
        <x:v>19.752000000000002</x:v>
      </x:c>
      <x:c r="J2178" s="24" t="n">
        <x:v>3</x:v>
      </x:c>
      <x:c r="K2178" s="26" t="n">
        <x:v>0.2</x:v>
      </x:c>
      <x:c r="L2178" s="22" t="n">
        <x:v>6.9132</x:v>
      </x:c>
      <x:c r="M2178" t="n">
        <x:v>2014</x:v>
      </x:c>
      <x:c r="N2178" s="20" t="n">
        <x:v>41852</x:v>
      </x:c>
    </x:row>
    <x:row r="2179" ht="18" customHeight="1">
      <x:c r="A2179" t="str">
        <x:v>CA-2016-112025</x:v>
      </x:c>
      <x:c r="B2179" s="18" t="n">
        <x:v>42581</x:v>
      </x:c>
      <x:c r="C2179" t="str">
        <x:v>LS-16975</x:v>
      </x:c>
      <x:c r="D2179" t="str">
        <x:v>Lindsay Shagiari</x:v>
      </x:c>
      <x:c r="E2179" t="str">
        <x:v>Home Office</x:v>
      </x:c>
      <x:c r="F2179" t="str">
        <x:v>Central</x:v>
      </x:c>
      <x:c r="G2179" t="str">
        <x:v>Office Supplies</x:v>
      </x:c>
      <x:c r="H2179" t="str">
        <x:v>Binders</x:v>
      </x:c>
      <x:c r="I2179" s="22" t="n">
        <x:v>9.263999999999998</x:v>
      </x:c>
      <x:c r="J2179" s="24" t="n">
        <x:v>3</x:v>
      </x:c>
      <x:c r="K2179" s="26" t="n">
        <x:v>0.8</x:v>
      </x:c>
      <x:c r="L2179" s="22" t="n">
        <x:v>-13.895999999999997</x:v>
      </x:c>
      <x:c r="M2179" t="n">
        <x:v>2016</x:v>
      </x:c>
      <x:c r="N2179" s="20" t="n">
        <x:v>42552</x:v>
      </x:c>
    </x:row>
    <x:row r="2180" ht="18" customHeight="1">
      <x:c r="A2180" t="str">
        <x:v>CA-2015-132507</x:v>
      </x:c>
      <x:c r="B2180" s="18" t="n">
        <x:v>42215</x:v>
      </x:c>
      <x:c r="C2180" t="str">
        <x:v>CC-12610</x:v>
      </x:c>
      <x:c r="D2180" t="str">
        <x:v>Corey Catlett</x:v>
      </x:c>
      <x:c r="E2180" t="str">
        <x:v>Corporate</x:v>
      </x:c>
      <x:c r="F2180" t="str">
        <x:v>Central</x:v>
      </x:c>
      <x:c r="G2180" t="str">
        <x:v>Office Supplies</x:v>
      </x:c>
      <x:c r="H2180" t="str">
        <x:v>Storage</x:v>
      </x:c>
      <x:c r="I2180" s="22" t="n">
        <x:v>61.792</x:v>
      </x:c>
      <x:c r="J2180" s="24" t="n">
        <x:v>4</x:v>
      </x:c>
      <x:c r="K2180" s="26" t="n">
        <x:v>0.2</x:v>
      </x:c>
      <x:c r="L2180" s="22" t="n">
        <x:v>6.179200000000002</x:v>
      </x:c>
      <x:c r="M2180" t="n">
        <x:v>2015</x:v>
      </x:c>
      <x:c r="N2180" s="20" t="n">
        <x:v>42186</x:v>
      </x:c>
    </x:row>
    <x:row r="2181" ht="18" customHeight="1">
      <x:c r="A2181" t="str">
        <x:v>CA-2016-125738</x:v>
      </x:c>
      <x:c r="B2181" s="18" t="n">
        <x:v>42658</x:v>
      </x:c>
      <x:c r="C2181" t="str">
        <x:v>PB-18805</x:v>
      </x:c>
      <x:c r="D2181" t="str">
        <x:v>Patrick Bzostek</x:v>
      </x:c>
      <x:c r="E2181" t="str">
        <x:v>Home Office</x:v>
      </x:c>
      <x:c r="F2181" t="str">
        <x:v>West</x:v>
      </x:c>
      <x:c r="G2181" t="str">
        <x:v>Office Supplies</x:v>
      </x:c>
      <x:c r="H2181" t="str">
        <x:v>Paper</x:v>
      </x:c>
      <x:c r="I2181" s="22" t="n">
        <x:v>45.68</x:v>
      </x:c>
      <x:c r="J2181" s="24" t="n">
        <x:v>2</x:v>
      </x:c>
      <x:c r="K2181" s="26" t="n">
        <x:v>0</x:v>
      </x:c>
      <x:c r="L2181" s="22" t="n">
        <x:v>21.0128</x:v>
      </x:c>
      <x:c r="M2181" t="n">
        <x:v>2016</x:v>
      </x:c>
      <x:c r="N2181" s="20" t="n">
        <x:v>42644</x:v>
      </x:c>
    </x:row>
    <x:row r="2182" ht="18" customHeight="1">
      <x:c r="A2182" t="str">
        <x:v>CA-2016-125738</x:v>
      </x:c>
      <x:c r="B2182" s="18" t="n">
        <x:v>42658</x:v>
      </x:c>
      <x:c r="C2182" t="str">
        <x:v>PB-18805</x:v>
      </x:c>
      <x:c r="D2182" t="str">
        <x:v>Patrick Bzostek</x:v>
      </x:c>
      <x:c r="E2182" t="str">
        <x:v>Home Office</x:v>
      </x:c>
      <x:c r="F2182" t="str">
        <x:v>West</x:v>
      </x:c>
      <x:c r="G2182" t="str">
        <x:v>Office Supplies</x:v>
      </x:c>
      <x:c r="H2182" t="str">
        <x:v>Paper</x:v>
      </x:c>
      <x:c r="I2182" s="22" t="n">
        <x:v>60.12</x:v>
      </x:c>
      <x:c r="J2182" s="24" t="n">
        <x:v>9</x:v>
      </x:c>
      <x:c r="K2182" s="26" t="n">
        <x:v>0</x:v>
      </x:c>
      <x:c r="L2182" s="22" t="n">
        <x:v>28.857599999999998</x:v>
      </x:c>
      <x:c r="M2182" t="n">
        <x:v>2016</x:v>
      </x:c>
      <x:c r="N2182" s="20" t="n">
        <x:v>42644</x:v>
      </x:c>
    </x:row>
    <x:row r="2183" ht="18" customHeight="1">
      <x:c r="A2183" t="str">
        <x:v>CA-2016-125738</x:v>
      </x:c>
      <x:c r="B2183" s="18" t="n">
        <x:v>42658</x:v>
      </x:c>
      <x:c r="C2183" t="str">
        <x:v>PB-18805</x:v>
      </x:c>
      <x:c r="D2183" t="str">
        <x:v>Patrick Bzostek</x:v>
      </x:c>
      <x:c r="E2183" t="str">
        <x:v>Home Office</x:v>
      </x:c>
      <x:c r="F2183" t="str">
        <x:v>West</x:v>
      </x:c>
      <x:c r="G2183" t="str">
        <x:v>Office Supplies</x:v>
      </x:c>
      <x:c r="H2183" t="str">
        <x:v>Binders</x:v>
      </x:c>
      <x:c r="I2183" s="22" t="n">
        <x:v>41.72</x:v>
      </x:c>
      <x:c r="J2183" s="24" t="n">
        <x:v>5</x:v>
      </x:c>
      <x:c r="K2183" s="26" t="n">
        <x:v>0.2</x:v>
      </x:c>
      <x:c r="L2183" s="22" t="n">
        <x:v>13.037499999999998</x:v>
      </x:c>
      <x:c r="M2183" t="n">
        <x:v>2016</x:v>
      </x:c>
      <x:c r="N2183" s="20" t="n">
        <x:v>42644</x:v>
      </x:c>
    </x:row>
    <x:row r="2184" ht="18" customHeight="1">
      <x:c r="A2184" t="str">
        <x:v>CA-2016-125738</x:v>
      </x:c>
      <x:c r="B2184" s="18" t="n">
        <x:v>42658</x:v>
      </x:c>
      <x:c r="C2184" t="str">
        <x:v>PB-18805</x:v>
      </x:c>
      <x:c r="D2184" t="str">
        <x:v>Patrick Bzostek</x:v>
      </x:c>
      <x:c r="E2184" t="str">
        <x:v>Home Office</x:v>
      </x:c>
      <x:c r="F2184" t="str">
        <x:v>West</x:v>
      </x:c>
      <x:c r="G2184" t="str">
        <x:v>Office Supplies</x:v>
      </x:c>
      <x:c r="H2184" t="str">
        <x:v>Paper</x:v>
      </x:c>
      <x:c r="I2184" s="22" t="n">
        <x:v>71.6</x:v>
      </x:c>
      <x:c r="J2184" s="24" t="n">
        <x:v>8</x:v>
      </x:c>
      <x:c r="K2184" s="26" t="n">
        <x:v>0</x:v>
      </x:c>
      <x:c r="L2184" s="22" t="n">
        <x:v>32.93599999999999</x:v>
      </x:c>
      <x:c r="M2184" t="n">
        <x:v>2016</x:v>
      </x:c>
      <x:c r="N2184" s="20" t="n">
        <x:v>42644</x:v>
      </x:c>
    </x:row>
    <x:row r="2185" ht="18" customHeight="1">
      <x:c r="A2185" t="str">
        <x:v>CA-2016-128818</x:v>
      </x:c>
      <x:c r="B2185" s="18" t="n">
        <x:v>42497</x:v>
      </x:c>
      <x:c r="C2185" t="str">
        <x:v>CJ-12010</x:v>
      </x:c>
      <x:c r="D2185" t="str">
        <x:v>Caroline Jumper</x:v>
      </x:c>
      <x:c r="E2185" t="str">
        <x:v>Consumer</x:v>
      </x:c>
      <x:c r="F2185" t="str">
        <x:v>East</x:v>
      </x:c>
      <x:c r="G2185" t="str">
        <x:v>Office Supplies</x:v>
      </x:c>
      <x:c r="H2185" t="str">
        <x:v>Binders</x:v>
      </x:c>
      <x:c r="I2185" s="22" t="n">
        <x:v>85.23200000000001</x:v>
      </x:c>
      <x:c r="J2185" s="24" t="n">
        <x:v>7</x:v>
      </x:c>
      <x:c r="K2185" s="26" t="n">
        <x:v>0.2</x:v>
      </x:c>
      <x:c r="L2185" s="22" t="n">
        <x:v>30.896599999999996</x:v>
      </x:c>
      <x:c r="M2185" t="n">
        <x:v>2016</x:v>
      </x:c>
      <x:c r="N2185" s="20" t="n">
        <x:v>42491</x:v>
      </x:c>
    </x:row>
    <x:row r="2186" ht="18" customHeight="1">
      <x:c r="A2186" t="str">
        <x:v>CA-2016-128818</x:v>
      </x:c>
      <x:c r="B2186" s="18" t="n">
        <x:v>42497</x:v>
      </x:c>
      <x:c r="C2186" t="str">
        <x:v>CJ-12010</x:v>
      </x:c>
      <x:c r="D2186" t="str">
        <x:v>Caroline Jumper</x:v>
      </x:c>
      <x:c r="E2186" t="str">
        <x:v>Consumer</x:v>
      </x:c>
      <x:c r="F2186" t="str">
        <x:v>East</x:v>
      </x:c>
      <x:c r="G2186" t="str">
        <x:v>Office Supplies</x:v>
      </x:c>
      <x:c r="H2186" t="str">
        <x:v>Labels</x:v>
      </x:c>
      <x:c r="I2186" s="22" t="n">
        <x:v>44.400000000000006</x:v>
      </x:c>
      <x:c r="J2186" s="24" t="n">
        <x:v>3</x:v>
      </x:c>
      <x:c r="K2186" s="26" t="n">
        <x:v>0</x:v>
      </x:c>
      <x:c r="L2186" s="22" t="n">
        <x:v>22.200000000000003</x:v>
      </x:c>
      <x:c r="M2186" t="n">
        <x:v>2016</x:v>
      </x:c>
      <x:c r="N2186" s="20" t="n">
        <x:v>42491</x:v>
      </x:c>
    </x:row>
    <x:row r="2187" ht="18" customHeight="1">
      <x:c r="A2187" t="str">
        <x:v>CA-2016-128818</x:v>
      </x:c>
      <x:c r="B2187" s="18" t="n">
        <x:v>42497</x:v>
      </x:c>
      <x:c r="C2187" t="str">
        <x:v>CJ-12010</x:v>
      </x:c>
      <x:c r="D2187" t="str">
        <x:v>Caroline Jumper</x:v>
      </x:c>
      <x:c r="E2187" t="str">
        <x:v>Consumer</x:v>
      </x:c>
      <x:c r="F2187" t="str">
        <x:v>East</x:v>
      </x:c>
      <x:c r="G2187" t="str">
        <x:v>Furniture</x:v>
      </x:c>
      <x:c r="H2187" t="str">
        <x:v>Chairs</x:v>
      </x:c>
      <x:c r="I2187" s="22" t="n">
        <x:v>442.764</x:v>
      </x:c>
      <x:c r="J2187" s="24" t="n">
        <x:v>4</x:v>
      </x:c>
      <x:c r="K2187" s="26" t="n">
        <x:v>0.1</x:v>
      </x:c>
      <x:c r="L2187" s="22" t="n">
        <x:v>59.0352</x:v>
      </x:c>
      <x:c r="M2187" t="n">
        <x:v>2016</x:v>
      </x:c>
      <x:c r="N2187" s="20" t="n">
        <x:v>42491</x:v>
      </x:c>
    </x:row>
    <x:row r="2188" ht="18" customHeight="1">
      <x:c r="A2188" t="str">
        <x:v>CA-2016-128818</x:v>
      </x:c>
      <x:c r="B2188" s="18" t="n">
        <x:v>42497</x:v>
      </x:c>
      <x:c r="C2188" t="str">
        <x:v>CJ-12010</x:v>
      </x:c>
      <x:c r="D2188" t="str">
        <x:v>Caroline Jumper</x:v>
      </x:c>
      <x:c r="E2188" t="str">
        <x:v>Consumer</x:v>
      </x:c>
      <x:c r="F2188" t="str">
        <x:v>East</x:v>
      </x:c>
      <x:c r="G2188" t="str">
        <x:v>Technology</x:v>
      </x:c>
      <x:c r="H2188" t="str">
        <x:v>Machines</x:v>
      </x:c>
      <x:c r="I2188" s="22" t="n">
        <x:v>3999.95</x:v>
      </x:c>
      <x:c r="J2188" s="24" t="n">
        <x:v>5</x:v>
      </x:c>
      <x:c r="K2188" s="26" t="n">
        <x:v>0</x:v>
      </x:c>
      <x:c r="L2188" s="22" t="n">
        <x:v>1159.9854999999998</x:v>
      </x:c>
      <x:c r="M2188" t="n">
        <x:v>2016</x:v>
      </x:c>
      <x:c r="N2188" s="20" t="n">
        <x:v>42491</x:v>
      </x:c>
    </x:row>
    <x:row r="2189" ht="18" customHeight="1">
      <x:c r="A2189" t="str">
        <x:v>CA-2016-128818</x:v>
      </x:c>
      <x:c r="B2189" s="18" t="n">
        <x:v>42497</x:v>
      </x:c>
      <x:c r="C2189" t="str">
        <x:v>CJ-12010</x:v>
      </x:c>
      <x:c r="D2189" t="str">
        <x:v>Caroline Jumper</x:v>
      </x:c>
      <x:c r="E2189" t="str">
        <x:v>Consumer</x:v>
      </x:c>
      <x:c r="F2189" t="str">
        <x:v>East</x:v>
      </x:c>
      <x:c r="G2189" t="str">
        <x:v>Technology</x:v>
      </x:c>
      <x:c r="H2189" t="str">
        <x:v>Accessories</x:v>
      </x:c>
      <x:c r="I2189" s="22" t="n">
        <x:v>199.95000000000002</x:v>
      </x:c>
      <x:c r="J2189" s="24" t="n">
        <x:v>5</x:v>
      </x:c>
      <x:c r="K2189" s="26" t="n">
        <x:v>0</x:v>
      </x:c>
      <x:c r="L2189" s="22" t="n">
        <x:v>21.994499999999988</x:v>
      </x:c>
      <x:c r="M2189" t="n">
        <x:v>2016</x:v>
      </x:c>
      <x:c r="N2189" s="20" t="n">
        <x:v>42491</x:v>
      </x:c>
    </x:row>
    <x:row r="2190" ht="18" customHeight="1">
      <x:c r="A2190" t="str">
        <x:v>CA-2016-128818</x:v>
      </x:c>
      <x:c r="B2190" s="18" t="n">
        <x:v>42497</x:v>
      </x:c>
      <x:c r="C2190" t="str">
        <x:v>CJ-12010</x:v>
      </x:c>
      <x:c r="D2190" t="str">
        <x:v>Caroline Jumper</x:v>
      </x:c>
      <x:c r="E2190" t="str">
        <x:v>Consumer</x:v>
      </x:c>
      <x:c r="F2190" t="str">
        <x:v>East</x:v>
      </x:c>
      <x:c r="G2190" t="str">
        <x:v>Furniture</x:v>
      </x:c>
      <x:c r="H2190" t="str">
        <x:v>Furnishings</x:v>
      </x:c>
      <x:c r="I2190" s="22" t="n">
        <x:v>63.68</x:v>
      </x:c>
      <x:c r="J2190" s="24" t="n">
        <x:v>8</x:v>
      </x:c>
      <x:c r="K2190" s="26" t="n">
        <x:v>0</x:v>
      </x:c>
      <x:c r="L2190" s="22" t="n">
        <x:v>28.019200000000005</x:v>
      </x:c>
      <x:c r="M2190" t="n">
        <x:v>2016</x:v>
      </x:c>
      <x:c r="N2190" s="20" t="n">
        <x:v>42491</x:v>
      </x:c>
    </x:row>
    <x:row r="2191" ht="18" customHeight="1">
      <x:c r="A2191" t="str">
        <x:v>CA-2017-124576</x:v>
      </x:c>
      <x:c r="B2191" s="18" t="n">
        <x:v>42948</x:v>
      </x:c>
      <x:c r="C2191" t="str">
        <x:v>HK-14890</x:v>
      </x:c>
      <x:c r="D2191" t="str">
        <x:v>Heather Kirkland</x:v>
      </x:c>
      <x:c r="E2191" t="str">
        <x:v>Corporate</x:v>
      </x:c>
      <x:c r="F2191" t="str">
        <x:v>West</x:v>
      </x:c>
      <x:c r="G2191" t="str">
        <x:v>Office Supplies</x:v>
      </x:c>
      <x:c r="H2191" t="str">
        <x:v>Binders</x:v>
      </x:c>
      <x:c r="I2191" s="22" t="n">
        <x:v>54.89600000000001</x:v>
      </x:c>
      <x:c r="J2191" s="24" t="n">
        <x:v>2</x:v>
      </x:c>
      <x:c r="K2191" s="26" t="n">
        <x:v>0.2</x:v>
      </x:c>
      <x:c r="L2191" s="22" t="n">
        <x:v>18.5274</x:v>
      </x:c>
      <x:c r="M2191" t="n">
        <x:v>2017</x:v>
      </x:c>
      <x:c r="N2191" s="20" t="n">
        <x:v>42948</x:v>
      </x:c>
    </x:row>
    <x:row r="2192" ht="18" customHeight="1">
      <x:c r="A2192" t="str">
        <x:v>CA-2016-101378</x:v>
      </x:c>
      <x:c r="B2192" s="18" t="n">
        <x:v>42565</x:v>
      </x:c>
      <x:c r="C2192" t="str">
        <x:v>RH-19600</x:v>
      </x:c>
      <x:c r="D2192" t="str">
        <x:v>Rob Haberlin</x:v>
      </x:c>
      <x:c r="E2192" t="str">
        <x:v>Consumer</x:v>
      </x:c>
      <x:c r="F2192" t="str">
        <x:v>South</x:v>
      </x:c>
      <x:c r="G2192" t="str">
        <x:v>Technology</x:v>
      </x:c>
      <x:c r="H2192" t="str">
        <x:v>Accessories</x:v>
      </x:c>
      <x:c r="I2192" s="22" t="n">
        <x:v>29</x:v>
      </x:c>
      <x:c r="J2192" s="24" t="n">
        <x:v>2</x:v>
      </x:c>
      <x:c r="K2192" s="26" t="n">
        <x:v>0</x:v>
      </x:c>
      <x:c r="L2192" s="22" t="n">
        <x:v>7.25</x:v>
      </x:c>
      <x:c r="M2192" t="n">
        <x:v>2016</x:v>
      </x:c>
      <x:c r="N2192" s="20" t="n">
        <x:v>42552</x:v>
      </x:c>
    </x:row>
    <x:row r="2193" ht="18" customHeight="1">
      <x:c r="A2193" t="str">
        <x:v>CA-2017-143063</x:v>
      </x:c>
      <x:c r="B2193" s="18" t="n">
        <x:v>42957</x:v>
      </x:c>
      <x:c r="C2193" t="str">
        <x:v>IL-15100</x:v>
      </x:c>
      <x:c r="D2193" t="str">
        <x:v>Ivan Liston</x:v>
      </x:c>
      <x:c r="E2193" t="str">
        <x:v>Consumer</x:v>
      </x:c>
      <x:c r="F2193" t="str">
        <x:v>Central</x:v>
      </x:c>
      <x:c r="G2193" t="str">
        <x:v>Office Supplies</x:v>
      </x:c>
      <x:c r="H2193" t="str">
        <x:v>Envelopes</x:v>
      </x:c>
      <x:c r="I2193" s="22" t="n">
        <x:v>70.08</x:v>
      </x:c>
      <x:c r="J2193" s="24" t="n">
        <x:v>6</x:v>
      </x:c>
      <x:c r="K2193" s="26" t="n">
        <x:v>0</x:v>
      </x:c>
      <x:c r="L2193" s="22" t="n">
        <x:v>35.04</x:v>
      </x:c>
      <x:c r="M2193" t="n">
        <x:v>2017</x:v>
      </x:c>
      <x:c r="N2193" s="20" t="n">
        <x:v>42948</x:v>
      </x:c>
    </x:row>
    <x:row r="2194" ht="18" customHeight="1">
      <x:c r="A2194" t="str">
        <x:v>CA-2017-143063</x:v>
      </x:c>
      <x:c r="B2194" s="18" t="n">
        <x:v>42957</x:v>
      </x:c>
      <x:c r="C2194" t="str">
        <x:v>IL-15100</x:v>
      </x:c>
      <x:c r="D2194" t="str">
        <x:v>Ivan Liston</x:v>
      </x:c>
      <x:c r="E2194" t="str">
        <x:v>Consumer</x:v>
      </x:c>
      <x:c r="F2194" t="str">
        <x:v>Central</x:v>
      </x:c>
      <x:c r="G2194" t="str">
        <x:v>Furniture</x:v>
      </x:c>
      <x:c r="H2194" t="str">
        <x:v>Furnishings</x:v>
      </x:c>
      <x:c r="I2194" s="22" t="n">
        <x:v>121.3</x:v>
      </x:c>
      <x:c r="J2194" s="24" t="n">
        <x:v>2</x:v>
      </x:c>
      <x:c r="K2194" s="26" t="n">
        <x:v>0</x:v>
      </x:c>
      <x:c r="L2194" s="22" t="n">
        <x:v>25.473</x:v>
      </x:c>
      <x:c r="M2194" t="n">
        <x:v>2017</x:v>
      </x:c>
      <x:c r="N2194" s="20" t="n">
        <x:v>42948</x:v>
      </x:c>
    </x:row>
    <x:row r="2195" ht="18" customHeight="1">
      <x:c r="A2195" t="str">
        <x:v>CA-2017-143063</x:v>
      </x:c>
      <x:c r="B2195" s="18" t="n">
        <x:v>42957</x:v>
      </x:c>
      <x:c r="C2195" t="str">
        <x:v>IL-15100</x:v>
      </x:c>
      <x:c r="D2195" t="str">
        <x:v>Ivan Liston</x:v>
      </x:c>
      <x:c r="E2195" t="str">
        <x:v>Consumer</x:v>
      </x:c>
      <x:c r="F2195" t="str">
        <x:v>Central</x:v>
      </x:c>
      <x:c r="G2195" t="str">
        <x:v>Technology</x:v>
      </x:c>
      <x:c r="H2195" t="str">
        <x:v>Phones</x:v>
      </x:c>
      <x:c r="I2195" s="22" t="n">
        <x:v>1454.4900000000002</x:v>
      </x:c>
      <x:c r="J2195" s="24" t="n">
        <x:v>9</x:v>
      </x:c>
      <x:c r="K2195" s="26" t="n">
        <x:v>0</x:v>
      </x:c>
      <x:c r="L2195" s="22" t="n">
        <x:v>378.16740000000004</x:v>
      </x:c>
      <x:c r="M2195" t="n">
        <x:v>2017</x:v>
      </x:c>
      <x:c r="N2195" s="20" t="n">
        <x:v>42948</x:v>
      </x:c>
    </x:row>
    <x:row r="2196" ht="18" customHeight="1">
      <x:c r="A2196" t="str">
        <x:v>CA-2016-118913</x:v>
      </x:c>
      <x:c r="B2196" s="18" t="n">
        <x:v>42546</x:v>
      </x:c>
      <x:c r="C2196" t="str">
        <x:v>AS-10240</x:v>
      </x:c>
      <x:c r="D2196" t="str">
        <x:v>Alan Shonely</x:v>
      </x:c>
      <x:c r="E2196" t="str">
        <x:v>Consumer</x:v>
      </x:c>
      <x:c r="F2196" t="str">
        <x:v>West</x:v>
      </x:c>
      <x:c r="G2196" t="str">
        <x:v>Office Supplies</x:v>
      </x:c>
      <x:c r="H2196" t="str">
        <x:v>Appliances</x:v>
      </x:c>
      <x:c r="I2196" s="22" t="n">
        <x:v>60.81</x:v>
      </x:c>
      <x:c r="J2196" s="24" t="n">
        <x:v>3</x:v>
      </x:c>
      <x:c r="K2196" s="26" t="n">
        <x:v>0</x:v>
      </x:c>
      <x:c r="L2196" s="22" t="n">
        <x:v>17.0268</x:v>
      </x:c>
      <x:c r="M2196" t="n">
        <x:v>2016</x:v>
      </x:c>
      <x:c r="N2196" s="20" t="n">
        <x:v>42522</x:v>
      </x:c>
    </x:row>
    <x:row r="2197" ht="18" customHeight="1">
      <x:c r="A2197" t="str">
        <x:v>CA-2016-128412</x:v>
      </x:c>
      <x:c r="B2197" s="18" t="n">
        <x:v>42714</x:v>
      </x:c>
      <x:c r="C2197" t="str">
        <x:v>AP-10915</x:v>
      </x:c>
      <x:c r="D2197" t="str">
        <x:v>Arthur Prichep</x:v>
      </x:c>
      <x:c r="E2197" t="str">
        <x:v>Consumer</x:v>
      </x:c>
      <x:c r="F2197" t="str">
        <x:v>West</x:v>
      </x:c>
      <x:c r="G2197" t="str">
        <x:v>Office Supplies</x:v>
      </x:c>
      <x:c r="H2197" t="str">
        <x:v>Binders</x:v>
      </x:c>
      <x:c r="I2197" s="22" t="n">
        <x:v>153.552</x:v>
      </x:c>
      <x:c r="J2197" s="24" t="n">
        <x:v>3</x:v>
      </x:c>
      <x:c r="K2197" s="26" t="n">
        <x:v>0.2</x:v>
      </x:c>
      <x:c r="L2197" s="22" t="n">
        <x:v>51.8238</x:v>
      </x:c>
      <x:c r="M2197" t="n">
        <x:v>2016</x:v>
      </x:c>
      <x:c r="N2197" s="20" t="n">
        <x:v>42705</x:v>
      </x:c>
    </x:row>
    <x:row r="2198" ht="18" customHeight="1">
      <x:c r="A2198" t="str">
        <x:v>CA-2016-128412</x:v>
      </x:c>
      <x:c r="B2198" s="18" t="n">
        <x:v>42714</x:v>
      </x:c>
      <x:c r="C2198" t="str">
        <x:v>AP-10915</x:v>
      </x:c>
      <x:c r="D2198" t="str">
        <x:v>Arthur Prichep</x:v>
      </x:c>
      <x:c r="E2198" t="str">
        <x:v>Consumer</x:v>
      </x:c>
      <x:c r="F2198" t="str">
        <x:v>West</x:v>
      </x:c>
      <x:c r="G2198" t="str">
        <x:v>Office Supplies</x:v>
      </x:c>
      <x:c r="H2198" t="str">
        <x:v>Appliances</x:v>
      </x:c>
      <x:c r="I2198" s="22" t="n">
        <x:v>65.34</x:v>
      </x:c>
      <x:c r="J2198" s="24" t="n">
        <x:v>3</x:v>
      </x:c>
      <x:c r="K2198" s="26" t="n">
        <x:v>0</x:v>
      </x:c>
      <x:c r="L2198" s="22" t="n">
        <x:v>22.869</x:v>
      </x:c>
      <x:c r="M2198" t="n">
        <x:v>2016</x:v>
      </x:c>
      <x:c r="N2198" s="20" t="n">
        <x:v>42705</x:v>
      </x:c>
    </x:row>
    <x:row r="2199" ht="18" customHeight="1">
      <x:c r="A2199" t="str">
        <x:v>CA-2016-128412</x:v>
      </x:c>
      <x:c r="B2199" s="18" t="n">
        <x:v>42714</x:v>
      </x:c>
      <x:c r="C2199" t="str">
        <x:v>AP-10915</x:v>
      </x:c>
      <x:c r="D2199" t="str">
        <x:v>Arthur Prichep</x:v>
      </x:c>
      <x:c r="E2199" t="str">
        <x:v>Consumer</x:v>
      </x:c>
      <x:c r="F2199" t="str">
        <x:v>West</x:v>
      </x:c>
      <x:c r="G2199" t="str">
        <x:v>Office Supplies</x:v>
      </x:c>
      <x:c r="H2199" t="str">
        <x:v>Paper</x:v>
      </x:c>
      <x:c r="I2199" s="22" t="n">
        <x:v>123.92</x:v>
      </x:c>
      <x:c r="J2199" s="24" t="n">
        <x:v>4</x:v>
      </x:c>
      <x:c r="K2199" s="26" t="n">
        <x:v>0</x:v>
      </x:c>
      <x:c r="L2199" s="22" t="n">
        <x:v>55.763999999999996</x:v>
      </x:c>
      <x:c r="M2199" t="n">
        <x:v>2016</x:v>
      </x:c>
      <x:c r="N2199" s="20" t="n">
        <x:v>42705</x:v>
      </x:c>
    </x:row>
    <x:row r="2200" ht="18" customHeight="1">
      <x:c r="A2200" t="str">
        <x:v>CA-2016-128412</x:v>
      </x:c>
      <x:c r="B2200" s="18" t="n">
        <x:v>42714</x:v>
      </x:c>
      <x:c r="C2200" t="str">
        <x:v>AP-10915</x:v>
      </x:c>
      <x:c r="D2200" t="str">
        <x:v>Arthur Prichep</x:v>
      </x:c>
      <x:c r="E2200" t="str">
        <x:v>Consumer</x:v>
      </x:c>
      <x:c r="F2200" t="str">
        <x:v>West</x:v>
      </x:c>
      <x:c r="G2200" t="str">
        <x:v>Office Supplies</x:v>
      </x:c>
      <x:c r="H2200" t="str">
        <x:v>Appliances</x:v>
      </x:c>
      <x:c r="I2200" s="22" t="n">
        <x:v>35.099999999999994</x:v>
      </x:c>
      <x:c r="J2200" s="24" t="n">
        <x:v>3</x:v>
      </x:c>
      <x:c r="K2200" s="26" t="n">
        <x:v>0</x:v>
      </x:c>
      <x:c r="L2200" s="22" t="n">
        <x:v>12.285</x:v>
      </x:c>
      <x:c r="M2200" t="n">
        <x:v>2016</x:v>
      </x:c>
      <x:c r="N2200" s="20" t="n">
        <x:v>42705</x:v>
      </x:c>
    </x:row>
    <x:row r="2201" ht="18" customHeight="1">
      <x:c r="A2201" t="str">
        <x:v>CA-2016-128412</x:v>
      </x:c>
      <x:c r="B2201" s="18" t="n">
        <x:v>42714</x:v>
      </x:c>
      <x:c r="C2201" t="str">
        <x:v>AP-10915</x:v>
      </x:c>
      <x:c r="D2201" t="str">
        <x:v>Arthur Prichep</x:v>
      </x:c>
      <x:c r="E2201" t="str">
        <x:v>Consumer</x:v>
      </x:c>
      <x:c r="F2201" t="str">
        <x:v>West</x:v>
      </x:c>
      <x:c r="G2201" t="str">
        <x:v>Technology</x:v>
      </x:c>
      <x:c r="H2201" t="str">
        <x:v>Accessories</x:v>
      </x:c>
      <x:c r="I2201" s="22" t="n">
        <x:v>44.75</x:v>
      </x:c>
      <x:c r="J2201" s="24" t="n">
        <x:v>5</x:v>
      </x:c>
      <x:c r="K2201" s="26" t="n">
        <x:v>0</x:v>
      </x:c>
      <x:c r="L2201" s="22" t="n">
        <x:v>8.502499999999994</x:v>
      </x:c>
      <x:c r="M2201" t="n">
        <x:v>2016</x:v>
      </x:c>
      <x:c r="N2201" s="20" t="n">
        <x:v>42705</x:v>
      </x:c>
    </x:row>
    <x:row r="2202" ht="18" customHeight="1">
      <x:c r="A2202" t="str">
        <x:v>CA-2016-136483</x:v>
      </x:c>
      <x:c r="B2202" s="18" t="n">
        <x:v>42705</x:v>
      </x:c>
      <x:c r="C2202" t="str">
        <x:v>AG-10390</x:v>
      </x:c>
      <x:c r="D2202" t="str">
        <x:v>Allen Goldenen</x:v>
      </x:c>
      <x:c r="E2202" t="str">
        <x:v>Consumer</x:v>
      </x:c>
      <x:c r="F2202" t="str">
        <x:v>South</x:v>
      </x:c>
      <x:c r="G2202" t="str">
        <x:v>Office Supplies</x:v>
      </x:c>
      <x:c r="H2202" t="str">
        <x:v>Art</x:v>
      </x:c>
      <x:c r="I2202" s="22" t="n">
        <x:v>4.704</x:v>
      </x:c>
      <x:c r="J2202" s="24" t="n">
        <x:v>2</x:v>
      </x:c>
      <x:c r="K2202" s="26" t="n">
        <x:v>0.2</x:v>
      </x:c>
      <x:c r="L2202" s="22" t="n">
        <x:v>0.4116000000000002</x:v>
      </x:c>
      <x:c r="M2202" t="n">
        <x:v>2016</x:v>
      </x:c>
      <x:c r="N2202" s="20" t="n">
        <x:v>42705</x:v>
      </x:c>
    </x:row>
    <x:row r="2203" ht="18" customHeight="1">
      <x:c r="A2203" t="str">
        <x:v>CA-2014-163013</x:v>
      </x:c>
      <x:c r="B2203" s="18" t="n">
        <x:v>41971</x:v>
      </x:c>
      <x:c r="C2203" t="str">
        <x:v>BF-11080</x:v>
      </x:c>
      <x:c r="D2203" t="str">
        <x:v>Bart Folk</x:v>
      </x:c>
      <x:c r="E2203" t="str">
        <x:v>Consumer</x:v>
      </x:c>
      <x:c r="F2203" t="str">
        <x:v>South</x:v>
      </x:c>
      <x:c r="G2203" t="str">
        <x:v>Office Supplies</x:v>
      </x:c>
      <x:c r="H2203" t="str">
        <x:v>Art</x:v>
      </x:c>
      <x:c r="I2203" s="22" t="n">
        <x:v>14.669999999999998</x:v>
      </x:c>
      <x:c r="J2203" s="24" t="n">
        <x:v>3</x:v>
      </x:c>
      <x:c r="K2203" s="26" t="n">
        <x:v>0</x:v>
      </x:c>
      <x:c r="L2203" s="22" t="n">
        <x:v>3.9609</x:v>
      </x:c>
      <x:c r="M2203" t="n">
        <x:v>2014</x:v>
      </x:c>
      <x:c r="N2203" s="20" t="n">
        <x:v>41944</x:v>
      </x:c>
    </x:row>
    <x:row r="2204" ht="18" customHeight="1">
      <x:c r="A2204" t="str">
        <x:v>CA-2015-135363</x:v>
      </x:c>
      <x:c r="B2204" s="18" t="n">
        <x:v>42091</x:v>
      </x:c>
      <x:c r="C2204" t="str">
        <x:v>CK-12205</x:v>
      </x:c>
      <x:c r="D2204" t="str">
        <x:v>Chloris Kastensmidt</x:v>
      </x:c>
      <x:c r="E2204" t="str">
        <x:v>Consumer</x:v>
      </x:c>
      <x:c r="F2204" t="str">
        <x:v>East</x:v>
      </x:c>
      <x:c r="G2204" t="str">
        <x:v>Office Supplies</x:v>
      </x:c>
      <x:c r="H2204" t="str">
        <x:v>Paper</x:v>
      </x:c>
      <x:c r="I2204" s="22" t="n">
        <x:v>15.552000000000003</x:v>
      </x:c>
      <x:c r="J2204" s="24" t="n">
        <x:v>3</x:v>
      </x:c>
      <x:c r="K2204" s="26" t="n">
        <x:v>0.2</x:v>
      </x:c>
      <x:c r="L2204" s="22" t="n">
        <x:v>5.4432</x:v>
      </x:c>
      <x:c r="M2204" t="n">
        <x:v>2015</x:v>
      </x:c>
      <x:c r="N2204" s="20" t="n">
        <x:v>42064</x:v>
      </x:c>
    </x:row>
    <x:row r="2205" ht="18" customHeight="1">
      <x:c r="A2205" t="str">
        <x:v>CA-2015-135363</x:v>
      </x:c>
      <x:c r="B2205" s="18" t="n">
        <x:v>42091</x:v>
      </x:c>
      <x:c r="C2205" t="str">
        <x:v>CK-12205</x:v>
      </x:c>
      <x:c r="D2205" t="str">
        <x:v>Chloris Kastensmidt</x:v>
      </x:c>
      <x:c r="E2205" t="str">
        <x:v>Consumer</x:v>
      </x:c>
      <x:c r="F2205" t="str">
        <x:v>East</x:v>
      </x:c>
      <x:c r="G2205" t="str">
        <x:v>Office Supplies</x:v>
      </x:c>
      <x:c r="H2205" t="str">
        <x:v>Paper</x:v>
      </x:c>
      <x:c r="I2205" s="22" t="n">
        <x:v>5.232</x:v>
      </x:c>
      <x:c r="J2205" s="24" t="n">
        <x:v>1</x:v>
      </x:c>
      <x:c r="K2205" s="26" t="n">
        <x:v>0.2</x:v>
      </x:c>
      <x:c r="L2205" s="22" t="n">
        <x:v>1.7004</x:v>
      </x:c>
      <x:c r="M2205" t="n">
        <x:v>2015</x:v>
      </x:c>
      <x:c r="N2205" s="20" t="n">
        <x:v>42064</x:v>
      </x:c>
    </x:row>
    <x:row r="2206" ht="18" customHeight="1">
      <x:c r="A2206" t="str">
        <x:v>US-2014-165659</x:v>
      </x:c>
      <x:c r="B2206" s="18" t="n">
        <x:v>41791</x:v>
      </x:c>
      <x:c r="C2206" t="str">
        <x:v>LT-17110</x:v>
      </x:c>
      <x:c r="D2206" t="str">
        <x:v>Liz Thompson</x:v>
      </x:c>
      <x:c r="E2206" t="str">
        <x:v>Consumer</x:v>
      </x:c>
      <x:c r="F2206" t="str">
        <x:v>South</x:v>
      </x:c>
      <x:c r="G2206" t="str">
        <x:v>Furniture</x:v>
      </x:c>
      <x:c r="H2206" t="str">
        <x:v>Furnishings</x:v>
      </x:c>
      <x:c r="I2206" s="22" t="n">
        <x:v>22.200000000000003</x:v>
      </x:c>
      <x:c r="J2206" s="24" t="n">
        <x:v>6</x:v>
      </x:c>
      <x:c r="K2206" s="26" t="n">
        <x:v>0</x:v>
      </x:c>
      <x:c r="L2206" s="22" t="n">
        <x:v>9.102000000000002</x:v>
      </x:c>
      <x:c r="M2206" t="n">
        <x:v>2014</x:v>
      </x:c>
      <x:c r="N2206" s="20" t="n">
        <x:v>41791</x:v>
      </x:c>
    </x:row>
    <x:row r="2207" ht="18" customHeight="1">
      <x:c r="A2207" t="str">
        <x:v>US-2014-165659</x:v>
      </x:c>
      <x:c r="B2207" s="18" t="n">
        <x:v>41791</x:v>
      </x:c>
      <x:c r="C2207" t="str">
        <x:v>LT-17110</x:v>
      </x:c>
      <x:c r="D2207" t="str">
        <x:v>Liz Thompson</x:v>
      </x:c>
      <x:c r="E2207" t="str">
        <x:v>Consumer</x:v>
      </x:c>
      <x:c r="F2207" t="str">
        <x:v>South</x:v>
      </x:c>
      <x:c r="G2207" t="str">
        <x:v>Technology</x:v>
      </x:c>
      <x:c r="H2207" t="str">
        <x:v>Phones</x:v>
      </x:c>
      <x:c r="I2207" s="22" t="n">
        <x:v>881.93</x:v>
      </x:c>
      <x:c r="J2207" s="24" t="n">
        <x:v>7</x:v>
      </x:c>
      <x:c r="K2207" s="26" t="n">
        <x:v>0</x:v>
      </x:c>
      <x:c r="L2207" s="22" t="n">
        <x:v>229.30180000000001</x:v>
      </x:c>
      <x:c r="M2207" t="n">
        <x:v>2014</x:v>
      </x:c>
      <x:c r="N2207" s="20" t="n">
        <x:v>41791</x:v>
      </x:c>
    </x:row>
    <x:row r="2208" ht="18" customHeight="1">
      <x:c r="A2208" t="str">
        <x:v>CA-2015-138002</x:v>
      </x:c>
      <x:c r="B2208" s="18" t="n">
        <x:v>42253</x:v>
      </x:c>
      <x:c r="C2208" t="str">
        <x:v>BT-11305</x:v>
      </x:c>
      <x:c r="D2208" t="str">
        <x:v>Beth Thompson</x:v>
      </x:c>
      <x:c r="E2208" t="str">
        <x:v>Home Office</x:v>
      </x:c>
      <x:c r="F2208" t="str">
        <x:v>West</x:v>
      </x:c>
      <x:c r="G2208" t="str">
        <x:v>Office Supplies</x:v>
      </x:c>
      <x:c r="H2208" t="str">
        <x:v>Binders</x:v>
      </x:c>
      <x:c r="I2208" s="22" t="n">
        <x:v>6.096</x:v>
      </x:c>
      <x:c r="J2208" s="24" t="n">
        <x:v>2</x:v>
      </x:c>
      <x:c r="K2208" s="26" t="n">
        <x:v>0.2</x:v>
      </x:c>
      <x:c r="L2208" s="22" t="n">
        <x:v>2.1336</x:v>
      </x:c>
      <x:c r="M2208" t="n">
        <x:v>2015</x:v>
      </x:c>
      <x:c r="N2208" s="20" t="n">
        <x:v>42248</x:v>
      </x:c>
    </x:row>
    <x:row r="2209" ht="18" customHeight="1">
      <x:c r="A2209" t="str">
        <x:v>CA-2015-138002</x:v>
      </x:c>
      <x:c r="B2209" s="18" t="n">
        <x:v>42253</x:v>
      </x:c>
      <x:c r="C2209" t="str">
        <x:v>BT-11305</x:v>
      </x:c>
      <x:c r="D2209" t="str">
        <x:v>Beth Thompson</x:v>
      </x:c>
      <x:c r="E2209" t="str">
        <x:v>Home Office</x:v>
      </x:c>
      <x:c r="F2209" t="str">
        <x:v>West</x:v>
      </x:c>
      <x:c r="G2209" t="str">
        <x:v>Furniture</x:v>
      </x:c>
      <x:c r="H2209" t="str">
        <x:v>Furnishings</x:v>
      </x:c>
      <x:c r="I2209" s="22" t="n">
        <x:v>191.82</x:v>
      </x:c>
      <x:c r="J2209" s="24" t="n">
        <x:v>3</x:v>
      </x:c>
      <x:c r="K2209" s="26" t="n">
        <x:v>0</x:v>
      </x:c>
      <x:c r="L2209" s="22" t="n">
        <x:v>74.8098</x:v>
      </x:c>
      <x:c r="M2209" t="n">
        <x:v>2015</x:v>
      </x:c>
      <x:c r="N2209" s="20" t="n">
        <x:v>42248</x:v>
      </x:c>
    </x:row>
    <x:row r="2210" ht="18" customHeight="1">
      <x:c r="A2210" t="str">
        <x:v>CA-2015-128860</x:v>
      </x:c>
      <x:c r="B2210" s="18" t="n">
        <x:v>42184</x:v>
      </x:c>
      <x:c r="C2210" t="str">
        <x:v>SC-20725</x:v>
      </x:c>
      <x:c r="D2210" t="str">
        <x:v>Steven Cartwright</x:v>
      </x:c>
      <x:c r="E2210" t="str">
        <x:v>Consumer</x:v>
      </x:c>
      <x:c r="F2210" t="str">
        <x:v>East</x:v>
      </x:c>
      <x:c r="G2210" t="str">
        <x:v>Furniture</x:v>
      </x:c>
      <x:c r="H2210" t="str">
        <x:v>Furnishings</x:v>
      </x:c>
      <x:c r="I2210" s="22" t="n">
        <x:v>20.104</x:v>
      </x:c>
      <x:c r="J2210" s="24" t="n">
        <x:v>1</x:v>
      </x:c>
      <x:c r="K2210" s="26" t="n">
        <x:v>0.2</x:v>
      </x:c>
      <x:c r="L2210" s="22" t="n">
        <x:v>1.7591</x:v>
      </x:c>
      <x:c r="M2210" t="n">
        <x:v>2015</x:v>
      </x:c>
      <x:c r="N2210" s="20" t="n">
        <x:v>42156</x:v>
      </x:c>
    </x:row>
    <x:row r="2211" ht="18" customHeight="1">
      <x:c r="A2211" t="str">
        <x:v>CA-2016-164350</x:v>
      </x:c>
      <x:c r="B2211" s="18" t="n">
        <x:v>42623</x:v>
      </x:c>
      <x:c r="C2211" t="str">
        <x:v>CG-12040</x:v>
      </x:c>
      <x:c r="D2211" t="str">
        <x:v>Catherine Glotzbach</x:v>
      </x:c>
      <x:c r="E2211" t="str">
        <x:v>Home Office</x:v>
      </x:c>
      <x:c r="F2211" t="str">
        <x:v>South</x:v>
      </x:c>
      <x:c r="G2211" t="str">
        <x:v>Office Supplies</x:v>
      </x:c>
      <x:c r="H2211" t="str">
        <x:v>Art</x:v>
      </x:c>
      <x:c r="I2211" s="22" t="n">
        <x:v>67.56</x:v>
      </x:c>
      <x:c r="J2211" s="24" t="n">
        <x:v>3</x:v>
      </x:c>
      <x:c r="K2211" s="26" t="n">
        <x:v>0.2</x:v>
      </x:c>
      <x:c r="L2211" s="22" t="n">
        <x:v>8.44499999999999</x:v>
      </x:c>
      <x:c r="M2211" t="n">
        <x:v>2016</x:v>
      </x:c>
      <x:c r="N2211" s="20" t="n">
        <x:v>42614</x:v>
      </x:c>
    </x:row>
    <x:row r="2212" ht="18" customHeight="1">
      <x:c r="A2212" t="str">
        <x:v>US-2014-103905</x:v>
      </x:c>
      <x:c r="B2212" s="18" t="n">
        <x:v>41834</x:v>
      </x:c>
      <x:c r="C2212" t="str">
        <x:v>AW-10930</x:v>
      </x:c>
      <x:c r="D2212" t="str">
        <x:v>Arthur Wiediger</x:v>
      </x:c>
      <x:c r="E2212" t="str">
        <x:v>Home Office</x:v>
      </x:c>
      <x:c r="F2212" t="str">
        <x:v>Central</x:v>
      </x:c>
      <x:c r="G2212" t="str">
        <x:v>Office Supplies</x:v>
      </x:c>
      <x:c r="H2212" t="str">
        <x:v>Binders</x:v>
      </x:c>
      <x:c r="I2212" s="22" t="n">
        <x:v>29.93199999999999</x:v>
      </x:c>
      <x:c r="J2212" s="24" t="n">
        <x:v>7</x:v>
      </x:c>
      <x:c r="K2212" s="26" t="n">
        <x:v>0.8</x:v>
      </x:c>
      <x:c r="L2212" s="22" t="n">
        <x:v>-46.39460000000001</x:v>
      </x:c>
      <x:c r="M2212" t="n">
        <x:v>2014</x:v>
      </x:c>
      <x:c r="N2212" s="20" t="n">
        <x:v>41821</x:v>
      </x:c>
    </x:row>
    <x:row r="2213" ht="18" customHeight="1">
      <x:c r="A2213" t="str">
        <x:v>US-2014-103905</x:v>
      </x:c>
      <x:c r="B2213" s="18" t="n">
        <x:v>41834</x:v>
      </x:c>
      <x:c r="C2213" t="str">
        <x:v>AW-10930</x:v>
      </x:c>
      <x:c r="D2213" t="str">
        <x:v>Arthur Wiediger</x:v>
      </x:c>
      <x:c r="E2213" t="str">
        <x:v>Home Office</x:v>
      </x:c>
      <x:c r="F2213" t="str">
        <x:v>Central</x:v>
      </x:c>
      <x:c r="G2213" t="str">
        <x:v>Technology</x:v>
      </x:c>
      <x:c r="H2213" t="str">
        <x:v>Phones</x:v>
      </x:c>
      <x:c r="I2213" s="22" t="n">
        <x:v>38.272000000000006</x:v>
      </x:c>
      <x:c r="J2213" s="24" t="n">
        <x:v>4</x:v>
      </x:c>
      <x:c r="K2213" s="26" t="n">
        <x:v>0.2</x:v>
      </x:c>
      <x:c r="L2213" s="22" t="n">
        <x:v>3.8272000000000013</x:v>
      </x:c>
      <x:c r="M2213" t="n">
        <x:v>2014</x:v>
      </x:c>
      <x:c r="N2213" s="20" t="n">
        <x:v>41821</x:v>
      </x:c>
    </x:row>
    <x:row r="2214" ht="18" customHeight="1">
      <x:c r="A2214" t="str">
        <x:v>CA-2015-129854</x:v>
      </x:c>
      <x:c r="B2214" s="18" t="n">
        <x:v>42238</x:v>
      </x:c>
      <x:c r="C2214" t="str">
        <x:v>RB-19705</x:v>
      </x:c>
      <x:c r="D2214" t="str">
        <x:v>Roger Barcio</x:v>
      </x:c>
      <x:c r="E2214" t="str">
        <x:v>Home Office</x:v>
      </x:c>
      <x:c r="F2214" t="str">
        <x:v>East</x:v>
      </x:c>
      <x:c r="G2214" t="str">
        <x:v>Office Supplies</x:v>
      </x:c>
      <x:c r="H2214" t="str">
        <x:v>Art</x:v>
      </x:c>
      <x:c r="I2214" s="22" t="n">
        <x:v>16.52</x:v>
      </x:c>
      <x:c r="J2214" s="24" t="n">
        <x:v>4</x:v>
      </x:c>
      <x:c r="K2214" s="26" t="n">
        <x:v>0</x:v>
      </x:c>
      <x:c r="L2214" s="22" t="n">
        <x:v>7.5992</x:v>
      </x:c>
      <x:c r="M2214" t="n">
        <x:v>2015</x:v>
      </x:c>
      <x:c r="N2214" s="20" t="n">
        <x:v>42217</x:v>
      </x:c>
    </x:row>
    <x:row r="2215" ht="18" customHeight="1">
      <x:c r="A2215" t="str">
        <x:v>CA-2014-125556</x:v>
      </x:c>
      <x:c r="B2215" s="18" t="n">
        <x:v>41957</x:v>
      </x:c>
      <x:c r="C2215" t="str">
        <x:v>ML-17410</x:v>
      </x:c>
      <x:c r="D2215" t="str">
        <x:v>Maris LaWare</x:v>
      </x:c>
      <x:c r="E2215" t="str">
        <x:v>Consumer</x:v>
      </x:c>
      <x:c r="F2215" t="str">
        <x:v>East</x:v>
      </x:c>
      <x:c r="G2215" t="str">
        <x:v>Technology</x:v>
      </x:c>
      <x:c r="H2215" t="str">
        <x:v>Phones</x:v>
      </x:c>
      <x:c r="I2215" s="22" t="n">
        <x:v>832.93</x:v>
      </x:c>
      <x:c r="J2215" s="24" t="n">
        <x:v>7</x:v>
      </x:c>
      <x:c r="K2215" s="26" t="n">
        <x:v>0</x:v>
      </x:c>
      <x:c r="L2215" s="22" t="n">
        <x:v>233.22039999999998</x:v>
      </x:c>
      <x:c r="M2215" t="n">
        <x:v>2014</x:v>
      </x:c>
      <x:c r="N2215" s="20" t="n">
        <x:v>41944</x:v>
      </x:c>
    </x:row>
    <x:row r="2216" ht="18" customHeight="1">
      <x:c r="A2216" t="str">
        <x:v>CA-2014-125556</x:v>
      </x:c>
      <x:c r="B2216" s="18" t="n">
        <x:v>41957</x:v>
      </x:c>
      <x:c r="C2216" t="str">
        <x:v>ML-17410</x:v>
      </x:c>
      <x:c r="D2216" t="str">
        <x:v>Maris LaWare</x:v>
      </x:c>
      <x:c r="E2216" t="str">
        <x:v>Consumer</x:v>
      </x:c>
      <x:c r="F2216" t="str">
        <x:v>East</x:v>
      </x:c>
      <x:c r="G2216" t="str">
        <x:v>Office Supplies</x:v>
      </x:c>
      <x:c r="H2216" t="str">
        <x:v>Binders</x:v>
      </x:c>
      <x:c r="I2216" s="22" t="n">
        <x:v>43.8</x:v>
      </x:c>
      <x:c r="J2216" s="24" t="n">
        <x:v>10</x:v>
      </x:c>
      <x:c r="K2216" s="26" t="n">
        <x:v>0</x:v>
      </x:c>
      <x:c r="L2216" s="22" t="n">
        <x:v>21.023999999999997</x:v>
      </x:c>
      <x:c r="M2216" t="n">
        <x:v>2014</x:v>
      </x:c>
      <x:c r="N2216" s="20" t="n">
        <x:v>41944</x:v>
      </x:c>
    </x:row>
    <x:row r="2217" ht="18" customHeight="1">
      <x:c r="A2217" t="str">
        <x:v>CA-2016-162313</x:v>
      </x:c>
      <x:c r="B2217" s="18" t="n">
        <x:v>42701</x:v>
      </x:c>
      <x:c r="C2217" t="str">
        <x:v>VB-21745</x:v>
      </x:c>
      <x:c r="D2217" t="str">
        <x:v>Victoria Brennan</x:v>
      </x:c>
      <x:c r="E2217" t="str">
        <x:v>Corporate</x:v>
      </x:c>
      <x:c r="F2217" t="str">
        <x:v>Central</x:v>
      </x:c>
      <x:c r="G2217" t="str">
        <x:v>Office Supplies</x:v>
      </x:c>
      <x:c r="H2217" t="str">
        <x:v>Appliances</x:v>
      </x:c>
      <x:c r="I2217" s="22" t="n">
        <x:v>167.292</x:v>
      </x:c>
      <x:c r="J2217" s="24" t="n">
        <x:v>6</x:v>
      </x:c>
      <x:c r="K2217" s="26" t="n">
        <x:v>0.1</x:v>
      </x:c>
      <x:c r="L2217" s="22" t="n">
        <x:v>29.7408</x:v>
      </x:c>
      <x:c r="M2217" t="n">
        <x:v>2016</x:v>
      </x:c>
      <x:c r="N2217" s="20" t="n">
        <x:v>42675</x:v>
      </x:c>
    </x:row>
    <x:row r="2218" ht="18" customHeight="1">
      <x:c r="A2218" t="str">
        <x:v>CA-2017-107874</x:v>
      </x:c>
      <x:c r="B2218" s="18" t="n">
        <x:v>43060</x:v>
      </x:c>
      <x:c r="C2218" t="str">
        <x:v>SW-20275</x:v>
      </x:c>
      <x:c r="D2218" t="str">
        <x:v>Scott Williamson</x:v>
      </x:c>
      <x:c r="E2218" t="str">
        <x:v>Consumer</x:v>
      </x:c>
      <x:c r="F2218" t="str">
        <x:v>East</x:v>
      </x:c>
      <x:c r="G2218" t="str">
        <x:v>Furniture</x:v>
      </x:c>
      <x:c r="H2218" t="str">
        <x:v>Furnishings</x:v>
      </x:c>
      <x:c r="I2218" s="22" t="n">
        <x:v>27.42</x:v>
      </x:c>
      <x:c r="J2218" s="24" t="n">
        <x:v>1</x:v>
      </x:c>
      <x:c r="K2218" s="26" t="n">
        <x:v>0</x:v>
      </x:c>
      <x:c r="L2218" s="22" t="n">
        <x:v>11.2422</x:v>
      </x:c>
      <x:c r="M2218" t="n">
        <x:v>2017</x:v>
      </x:c>
      <x:c r="N2218" s="20" t="n">
        <x:v>43040</x:v>
      </x:c>
    </x:row>
    <x:row r="2219" ht="18" customHeight="1">
      <x:c r="A2219" t="str">
        <x:v>CA-2017-129378</x:v>
      </x:c>
      <x:c r="B2219" s="18" t="n">
        <x:v>43009</x:v>
      </x:c>
      <x:c r="C2219" t="str">
        <x:v>NS-18505</x:v>
      </x:c>
      <x:c r="D2219" t="str">
        <x:v>Neola Schneider</x:v>
      </x:c>
      <x:c r="E2219" t="str">
        <x:v>Consumer</x:v>
      </x:c>
      <x:c r="F2219" t="str">
        <x:v>West</x:v>
      </x:c>
      <x:c r="G2219" t="str">
        <x:v>Office Supplies</x:v>
      </x:c>
      <x:c r="H2219" t="str">
        <x:v>Binders</x:v>
      </x:c>
      <x:c r="I2219" s="22" t="n">
        <x:v>1.4400000000000002</x:v>
      </x:c>
      <x:c r="J2219" s="24" t="n">
        <x:v>1</x:v>
      </x:c>
      <x:c r="K2219" s="26" t="n">
        <x:v>0.2</x:v>
      </x:c>
      <x:c r="L2219" s="22" t="n">
        <x:v>0.504</x:v>
      </x:c>
      <x:c r="M2219" t="n">
        <x:v>2017</x:v>
      </x:c>
      <x:c r="N2219" s="20" t="n">
        <x:v>43009</x:v>
      </x:c>
    </x:row>
    <x:row r="2220" ht="18" customHeight="1">
      <x:c r="A2220" t="str">
        <x:v>CA-2017-129378</x:v>
      </x:c>
      <x:c r="B2220" s="18" t="n">
        <x:v>43009</x:v>
      </x:c>
      <x:c r="C2220" t="str">
        <x:v>NS-18505</x:v>
      </x:c>
      <x:c r="D2220" t="str">
        <x:v>Neola Schneider</x:v>
      </x:c>
      <x:c r="E2220" t="str">
        <x:v>Consumer</x:v>
      </x:c>
      <x:c r="F2220" t="str">
        <x:v>West</x:v>
      </x:c>
      <x:c r="G2220" t="str">
        <x:v>Office Supplies</x:v>
      </x:c>
      <x:c r="H2220" t="str">
        <x:v>Binders</x:v>
      </x:c>
      <x:c r="I2220" s="22" t="n">
        <x:v>61.77600000000001</x:v>
      </x:c>
      <x:c r="J2220" s="24" t="n">
        <x:v>13</x:v>
      </x:c>
      <x:c r="K2220" s="26" t="n">
        <x:v>0.2</x:v>
      </x:c>
      <x:c r="L2220" s="22" t="n">
        <x:v>20.849399999999996</x:v>
      </x:c>
      <x:c r="M2220" t="n">
        <x:v>2017</x:v>
      </x:c>
      <x:c r="N2220" s="20" t="n">
        <x:v>43009</x:v>
      </x:c>
    </x:row>
    <x:row r="2221" ht="18" customHeight="1">
      <x:c r="A2221" t="str">
        <x:v>CA-2017-129378</x:v>
      </x:c>
      <x:c r="B2221" s="18" t="n">
        <x:v>43009</x:v>
      </x:c>
      <x:c r="C2221" t="str">
        <x:v>NS-18505</x:v>
      </x:c>
      <x:c r="D2221" t="str">
        <x:v>Neola Schneider</x:v>
      </x:c>
      <x:c r="E2221" t="str">
        <x:v>Consumer</x:v>
      </x:c>
      <x:c r="F2221" t="str">
        <x:v>West</x:v>
      </x:c>
      <x:c r="G2221" t="str">
        <x:v>Office Supplies</x:v>
      </x:c>
      <x:c r="H2221" t="str">
        <x:v>Appliances</x:v>
      </x:c>
      <x:c r="I2221" s="22" t="n">
        <x:v>241.96</x:v>
      </x:c>
      <x:c r="J2221" s="24" t="n">
        <x:v>2</x:v>
      </x:c>
      <x:c r="K2221" s="26" t="n">
        <x:v>0</x:v>
      </x:c>
      <x:c r="L2221" s="22" t="n">
        <x:v>60.49000000000001</x:v>
      </x:c>
      <x:c r="M2221" t="n">
        <x:v>2017</x:v>
      </x:c>
      <x:c r="N2221" s="20" t="n">
        <x:v>43009</x:v>
      </x:c>
    </x:row>
    <x:row r="2222" ht="18" customHeight="1">
      <x:c r="A2222" t="str">
        <x:v>CA-2017-129378</x:v>
      </x:c>
      <x:c r="B2222" s="18" t="n">
        <x:v>43009</x:v>
      </x:c>
      <x:c r="C2222" t="str">
        <x:v>NS-18505</x:v>
      </x:c>
      <x:c r="D2222" t="str">
        <x:v>Neola Schneider</x:v>
      </x:c>
      <x:c r="E2222" t="str">
        <x:v>Consumer</x:v>
      </x:c>
      <x:c r="F2222" t="str">
        <x:v>West</x:v>
      </x:c>
      <x:c r="G2222" t="str">
        <x:v>Furniture</x:v>
      </x:c>
      <x:c r="H2222" t="str">
        <x:v>Chairs</x:v>
      </x:c>
      <x:c r="I2222" s="22" t="n">
        <x:v>108.608</x:v>
      </x:c>
      <x:c r="J2222" s="24" t="n">
        <x:v>4</x:v>
      </x:c>
      <x:c r="K2222" s="26" t="n">
        <x:v>0.2</x:v>
      </x:c>
      <x:c r="L2222" s="22" t="n">
        <x:v>9.503199999999993</x:v>
      </x:c>
      <x:c r="M2222" t="n">
        <x:v>2017</x:v>
      </x:c>
      <x:c r="N2222" s="20" t="n">
        <x:v>43009</x:v>
      </x:c>
    </x:row>
    <x:row r="2223" ht="18" customHeight="1">
      <x:c r="A2223" t="str">
        <x:v>CA-2014-151953</x:v>
      </x:c>
      <x:c r="B2223" s="18" t="n">
        <x:v>41902</x:v>
      </x:c>
      <x:c r="C2223" t="str">
        <x:v>DB-13555</x:v>
      </x:c>
      <x:c r="D2223" t="str">
        <x:v>Dorothy Badders</x:v>
      </x:c>
      <x:c r="E2223" t="str">
        <x:v>Corporate</x:v>
      </x:c>
      <x:c r="F2223" t="str">
        <x:v>South</x:v>
      </x:c>
      <x:c r="G2223" t="str">
        <x:v>Office Supplies</x:v>
      </x:c>
      <x:c r="H2223" t="str">
        <x:v>Art</x:v>
      </x:c>
      <x:c r="I2223" s="22" t="n">
        <x:v>2.8160000000000003</x:v>
      </x:c>
      <x:c r="J2223" s="24" t="n">
        <x:v>2</x:v>
      </x:c>
      <x:c r="K2223" s="26" t="n">
        <x:v>0.2</x:v>
      </x:c>
      <x:c r="L2223" s="22" t="n">
        <x:v>0.9855999999999999</x:v>
      </x:c>
      <x:c r="M2223" t="n">
        <x:v>2014</x:v>
      </x:c>
      <x:c r="N2223" s="20" t="n">
        <x:v>41883</x:v>
      </x:c>
    </x:row>
    <x:row r="2224" ht="18" customHeight="1">
      <x:c r="A2224" t="str">
        <x:v>CA-2017-130841</x:v>
      </x:c>
      <x:c r="B2224" s="18" t="n">
        <x:v>42944</x:v>
      </x:c>
      <x:c r="C2224" t="str">
        <x:v>MH-17620</x:v>
      </x:c>
      <x:c r="D2224" t="str">
        <x:v>Matt Hagelstein</x:v>
      </x:c>
      <x:c r="E2224" t="str">
        <x:v>Corporate</x:v>
      </x:c>
      <x:c r="F2224" t="str">
        <x:v>West</x:v>
      </x:c>
      <x:c r="G2224" t="str">
        <x:v>Office Supplies</x:v>
      </x:c>
      <x:c r="H2224" t="str">
        <x:v>Binders</x:v>
      </x:c>
      <x:c r="I2224" s="22" t="n">
        <x:v>9.984000000000002</x:v>
      </x:c>
      <x:c r="J2224" s="24" t="n">
        <x:v>4</x:v>
      </x:c>
      <x:c r="K2224" s="26" t="n">
        <x:v>0.2</x:v>
      </x:c>
      <x:c r="L2224" s="22" t="n">
        <x:v>3.6191999999999993</x:v>
      </x:c>
      <x:c r="M2224" t="n">
        <x:v>2017</x:v>
      </x:c>
      <x:c r="N2224" s="20" t="n">
        <x:v>42917</x:v>
      </x:c>
    </x:row>
    <x:row r="2225" ht="18" customHeight="1">
      <x:c r="A2225" t="str">
        <x:v>CA-2017-130841</x:v>
      </x:c>
      <x:c r="B2225" s="18" t="n">
        <x:v>42944</x:v>
      </x:c>
      <x:c r="C2225" t="str">
        <x:v>MH-17620</x:v>
      </x:c>
      <x:c r="D2225" t="str">
        <x:v>Matt Hagelstein</x:v>
      </x:c>
      <x:c r="E2225" t="str">
        <x:v>Corporate</x:v>
      </x:c>
      <x:c r="F2225" t="str">
        <x:v>West</x:v>
      </x:c>
      <x:c r="G2225" t="str">
        <x:v>Office Supplies</x:v>
      </x:c>
      <x:c r="H2225" t="str">
        <x:v>Storage</x:v>
      </x:c>
      <x:c r="I2225" s="22" t="n">
        <x:v>14.98</x:v>
      </x:c>
      <x:c r="J2225" s="24" t="n">
        <x:v>1</x:v>
      </x:c>
      <x:c r="K2225" s="26" t="n">
        <x:v>0</x:v>
      </x:c>
      <x:c r="L2225" s="22" t="n">
        <x:v>4.1944</x:v>
      </x:c>
      <x:c r="M2225" t="n">
        <x:v>2017</x:v>
      </x:c>
      <x:c r="N2225" s="20" t="n">
        <x:v>42917</x:v>
      </x:c>
    </x:row>
    <x:row r="2226" ht="18" customHeight="1">
      <x:c r="A2226" t="str">
        <x:v>CA-2017-130841</x:v>
      </x:c>
      <x:c r="B2226" s="18" t="n">
        <x:v>42944</x:v>
      </x:c>
      <x:c r="C2226" t="str">
        <x:v>MH-17620</x:v>
      </x:c>
      <x:c r="D2226" t="str">
        <x:v>Matt Hagelstein</x:v>
      </x:c>
      <x:c r="E2226" t="str">
        <x:v>Corporate</x:v>
      </x:c>
      <x:c r="F2226" t="str">
        <x:v>West</x:v>
      </x:c>
      <x:c r="G2226" t="str">
        <x:v>Technology</x:v>
      </x:c>
      <x:c r="H2226" t="str">
        <x:v>Phones</x:v>
      </x:c>
      <x:c r="I2226" s="22" t="n">
        <x:v>1145.6000000000001</x:v>
      </x:c>
      <x:c r="J2226" s="24" t="n">
        <x:v>4</x:v>
      </x:c>
      <x:c r="K2226" s="26" t="n">
        <x:v>0.2</x:v>
      </x:c>
      <x:c r="L2226" s="22" t="n">
        <x:v>100.24000000000007</x:v>
      </x:c>
      <x:c r="M2226" t="n">
        <x:v>2017</x:v>
      </x:c>
      <x:c r="N2226" s="20" t="n">
        <x:v>42917</x:v>
      </x:c>
    </x:row>
    <x:row r="2227" ht="18" customHeight="1">
      <x:c r="A2227" t="str">
        <x:v>CA-2015-131884</x:v>
      </x:c>
      <x:c r="B2227" s="18" t="n">
        <x:v>42344</x:v>
      </x:c>
      <x:c r="C2227" t="str">
        <x:v>DK-13375</x:v>
      </x:c>
      <x:c r="D2227" t="str">
        <x:v>Dennis Kane</x:v>
      </x:c>
      <x:c r="E2227" t="str">
        <x:v>Consumer</x:v>
      </x:c>
      <x:c r="F2227" t="str">
        <x:v>East</x:v>
      </x:c>
      <x:c r="G2227" t="str">
        <x:v>Technology</x:v>
      </x:c>
      <x:c r="H2227" t="str">
        <x:v>Phones</x:v>
      </x:c>
      <x:c r="I2227" s="22" t="n">
        <x:v>485.93999999999994</x:v>
      </x:c>
      <x:c r="J2227" s="24" t="n">
        <x:v>2</x:v>
      </x:c>
      <x:c r="K2227" s="26" t="n">
        <x:v>0.4</x:v>
      </x:c>
      <x:c r="L2227" s="22" t="n">
        <x:v>-89.08900000000006</x:v>
      </x:c>
      <x:c r="M2227" t="n">
        <x:v>2015</x:v>
      </x:c>
      <x:c r="N2227" s="20" t="n">
        <x:v>42339</x:v>
      </x:c>
    </x:row>
    <x:row r="2228" ht="18" customHeight="1">
      <x:c r="A2228" t="str">
        <x:v>CA-2015-131884</x:v>
      </x:c>
      <x:c r="B2228" s="18" t="n">
        <x:v>42344</x:v>
      </x:c>
      <x:c r="C2228" t="str">
        <x:v>DK-13375</x:v>
      </x:c>
      <x:c r="D2228" t="str">
        <x:v>Dennis Kane</x:v>
      </x:c>
      <x:c r="E2228" t="str">
        <x:v>Consumer</x:v>
      </x:c>
      <x:c r="F2228" t="str">
        <x:v>East</x:v>
      </x:c>
      <x:c r="G2228" t="str">
        <x:v>Office Supplies</x:v>
      </x:c>
      <x:c r="H2228" t="str">
        <x:v>Art</x:v>
      </x:c>
      <x:c r="I2228" s="22" t="n">
        <x:v>37.376</x:v>
      </x:c>
      <x:c r="J2228" s="24" t="n">
        <x:v>8</x:v>
      </x:c>
      <x:c r="K2228" s="26" t="n">
        <x:v>0.2</x:v>
      </x:c>
      <x:c r="L2228" s="22" t="n">
        <x:v>4.671999999999999</x:v>
      </x:c>
      <x:c r="M2228" t="n">
        <x:v>2015</x:v>
      </x:c>
      <x:c r="N2228" s="20" t="n">
        <x:v>42339</x:v>
      </x:c>
    </x:row>
    <x:row r="2229" ht="18" customHeight="1">
      <x:c r="A2229" t="str">
        <x:v>CA-2015-131884</x:v>
      </x:c>
      <x:c r="B2229" s="18" t="n">
        <x:v>42344</x:v>
      </x:c>
      <x:c r="C2229" t="str">
        <x:v>DK-13375</x:v>
      </x:c>
      <x:c r="D2229" t="str">
        <x:v>Dennis Kane</x:v>
      </x:c>
      <x:c r="E2229" t="str">
        <x:v>Consumer</x:v>
      </x:c>
      <x:c r="F2229" t="str">
        <x:v>East</x:v>
      </x:c>
      <x:c r="G2229" t="str">
        <x:v>Furniture</x:v>
      </x:c>
      <x:c r="H2229" t="str">
        <x:v>Chairs</x:v>
      </x:c>
      <x:c r="I2229" s="22" t="n">
        <x:v>70.68599999999999</x:v>
      </x:c>
      <x:c r="J2229" s="24" t="n">
        <x:v>1</x:v>
      </x:c>
      <x:c r="K2229" s="26" t="n">
        <x:v>0.3</x:v>
      </x:c>
      <x:c r="L2229" s="22" t="n">
        <x:v>-24.23520000000001</x:v>
      </x:c>
      <x:c r="M2229" t="n">
        <x:v>2015</x:v>
      </x:c>
      <x:c r="N2229" s="20" t="n">
        <x:v>42339</x:v>
      </x:c>
    </x:row>
    <x:row r="2230" ht="18" customHeight="1">
      <x:c r="A2230" t="str">
        <x:v>CA-2017-121909</x:v>
      </x:c>
      <x:c r="B2230" s="18" t="n">
        <x:v>42947</x:v>
      </x:c>
      <x:c r="C2230" t="str">
        <x:v>EA-14035</x:v>
      </x:c>
      <x:c r="D2230" t="str">
        <x:v>Erin Ashbrook</x:v>
      </x:c>
      <x:c r="E2230" t="str">
        <x:v>Corporate</x:v>
      </x:c>
      <x:c r="F2230" t="str">
        <x:v>East</x:v>
      </x:c>
      <x:c r="G2230" t="str">
        <x:v>Office Supplies</x:v>
      </x:c>
      <x:c r="H2230" t="str">
        <x:v>Paper</x:v>
      </x:c>
      <x:c r="I2230" s="22" t="n">
        <x:v>54.816</x:v>
      </x:c>
      <x:c r="J2230" s="24" t="n">
        <x:v>3</x:v>
      </x:c>
      <x:c r="K2230" s="26" t="n">
        <x:v>0.2</x:v>
      </x:c>
      <x:c r="L2230" s="22" t="n">
        <x:v>17.815199999999997</x:v>
      </x:c>
      <x:c r="M2230" t="n">
        <x:v>2017</x:v>
      </x:c>
      <x:c r="N2230" s="20" t="n">
        <x:v>42917</x:v>
      </x:c>
    </x:row>
    <x:row r="2231" ht="18" customHeight="1">
      <x:c r="A2231" t="str">
        <x:v>CA-2016-106383</x:v>
      </x:c>
      <x:c r="B2231" s="18" t="n">
        <x:v>42448</x:v>
      </x:c>
      <x:c r="C2231" t="str">
        <x:v>BT-11440</x:v>
      </x:c>
      <x:c r="D2231" t="str">
        <x:v>Bobby Trafton</x:v>
      </x:c>
      <x:c r="E2231" t="str">
        <x:v>Consumer</x:v>
      </x:c>
      <x:c r="F2231" t="str">
        <x:v>West</x:v>
      </x:c>
      <x:c r="G2231" t="str">
        <x:v>Furniture</x:v>
      </x:c>
      <x:c r="H2231" t="str">
        <x:v>Bookcases</x:v>
      </x:c>
      <x:c r="I2231" s="22" t="n">
        <x:v>72.29400000000001</x:v>
      </x:c>
      <x:c r="J2231" s="24" t="n">
        <x:v>1</x:v>
      </x:c>
      <x:c r="K2231" s="26" t="n">
        <x:v>0.7</x:v>
      </x:c>
      <x:c r="L2231" s="22" t="n">
        <x:v>-98.80179999999999</x:v>
      </x:c>
      <x:c r="M2231" t="n">
        <x:v>2016</x:v>
      </x:c>
      <x:c r="N2231" s="20" t="n">
        <x:v>42430</x:v>
      </x:c>
    </x:row>
    <x:row r="2232" ht="18" customHeight="1">
      <x:c r="A2232" t="str">
        <x:v>CA-2017-130771</x:v>
      </x:c>
      <x:c r="B2232" s="18" t="n">
        <x:v>42945</x:v>
      </x:c>
      <x:c r="C2232" t="str">
        <x:v>LA-16780</x:v>
      </x:c>
      <x:c r="D2232" t="str">
        <x:v>Laura Armstrong</x:v>
      </x:c>
      <x:c r="E2232" t="str">
        <x:v>Corporate</x:v>
      </x:c>
      <x:c r="F2232" t="str">
        <x:v>Central</x:v>
      </x:c>
      <x:c r="G2232" t="str">
        <x:v>Office Supplies</x:v>
      </x:c>
      <x:c r="H2232" t="str">
        <x:v>Fasteners</x:v>
      </x:c>
      <x:c r="I2232" s="22" t="n">
        <x:v>2.8960000000000004</x:v>
      </x:c>
      <x:c r="J2232" s="24" t="n">
        <x:v>2</x:v>
      </x:c>
      <x:c r="K2232" s="26" t="n">
        <x:v>0.2</x:v>
      </x:c>
      <x:c r="L2232" s="22" t="n">
        <x:v>0.4705999999999998</x:v>
      </x:c>
      <x:c r="M2232" t="n">
        <x:v>2017</x:v>
      </x:c>
      <x:c r="N2232" s="20" t="n">
        <x:v>42917</x:v>
      </x:c>
    </x:row>
    <x:row r="2233" ht="18" customHeight="1">
      <x:c r="A2233" t="str">
        <x:v>CA-2017-130771</x:v>
      </x:c>
      <x:c r="B2233" s="18" t="n">
        <x:v>42945</x:v>
      </x:c>
      <x:c r="C2233" t="str">
        <x:v>LA-16780</x:v>
      </x:c>
      <x:c r="D2233" t="str">
        <x:v>Laura Armstrong</x:v>
      </x:c>
      <x:c r="E2233" t="str">
        <x:v>Corporate</x:v>
      </x:c>
      <x:c r="F2233" t="str">
        <x:v>Central</x:v>
      </x:c>
      <x:c r="G2233" t="str">
        <x:v>Technology</x:v>
      </x:c>
      <x:c r="H2233" t="str">
        <x:v>Phones</x:v>
      </x:c>
      <x:c r="I2233" s="22" t="n">
        <x:v>124.79200000000002</x:v>
      </x:c>
      <x:c r="J2233" s="24" t="n">
        <x:v>1</x:v>
      </x:c>
      <x:c r="K2233" s="26" t="n">
        <x:v>0.2</x:v>
      </x:c>
      <x:c r="L2233" s="22" t="n">
        <x:v>15.598999999999993</x:v>
      </x:c>
      <x:c r="M2233" t="n">
        <x:v>2017</x:v>
      </x:c>
      <x:c r="N2233" s="20" t="n">
        <x:v>42917</x:v>
      </x:c>
    </x:row>
    <x:row r="2234" ht="18" customHeight="1">
      <x:c r="A2234" t="str">
        <x:v>CA-2016-139157</x:v>
      </x:c>
      <x:c r="B2234" s="18" t="n">
        <x:v>42644</x:v>
      </x:c>
      <x:c r="C2234" t="str">
        <x:v>GM-14680</x:v>
      </x:c>
      <x:c r="D2234" t="str">
        <x:v>Greg Matthias</x:v>
      </x:c>
      <x:c r="E2234" t="str">
        <x:v>Consumer</x:v>
      </x:c>
      <x:c r="F2234" t="str">
        <x:v>East</x:v>
      </x:c>
      <x:c r="G2234" t="str">
        <x:v>Furniture</x:v>
      </x:c>
      <x:c r="H2234" t="str">
        <x:v>Tables</x:v>
      </x:c>
      <x:c r="I2234" s="22" t="n">
        <x:v>330.588</x:v>
      </x:c>
      <x:c r="J2234" s="24" t="n">
        <x:v>1</x:v>
      </x:c>
      <x:c r="K2234" s="26" t="n">
        <x:v>0.4</x:v>
      </x:c>
      <x:c r="L2234" s="22" t="n">
        <x:v>-115.70580000000004</x:v>
      </x:c>
      <x:c r="M2234" t="n">
        <x:v>2016</x:v>
      </x:c>
      <x:c r="N2234" s="20" t="n">
        <x:v>42644</x:v>
      </x:c>
    </x:row>
    <x:row r="2235" ht="18" customHeight="1">
      <x:c r="A2235" t="str">
        <x:v>CA-2014-128055</x:v>
      </x:c>
      <x:c r="B2235" s="18" t="n">
        <x:v>41729</x:v>
      </x:c>
      <x:c r="C2235" t="str">
        <x:v>AA-10315</x:v>
      </x:c>
      <x:c r="D2235" t="str">
        <x:v>Alex Avila</x:v>
      </x:c>
      <x:c r="E2235" t="str">
        <x:v>Consumer</x:v>
      </x:c>
      <x:c r="F2235" t="str">
        <x:v>West</x:v>
      </x:c>
      <x:c r="G2235" t="str">
        <x:v>Office Supplies</x:v>
      </x:c>
      <x:c r="H2235" t="str">
        <x:v>Binders</x:v>
      </x:c>
      <x:c r="I2235" s="22" t="n">
        <x:v>673.5680000000001</x:v>
      </x:c>
      <x:c r="J2235" s="24" t="n">
        <x:v>2</x:v>
      </x:c>
      <x:c r="K2235" s="26" t="n">
        <x:v>0.2</x:v>
      </x:c>
      <x:c r="L2235" s="22" t="n">
        <x:v>252.588</x:v>
      </x:c>
      <x:c r="M2235" t="n">
        <x:v>2014</x:v>
      </x:c>
      <x:c r="N2235" s="20" t="n">
        <x:v>41699</x:v>
      </x:c>
    </x:row>
    <x:row r="2236" ht="18" customHeight="1">
      <x:c r="A2236" t="str">
        <x:v>CA-2014-128055</x:v>
      </x:c>
      <x:c r="B2236" s="18" t="n">
        <x:v>41729</x:v>
      </x:c>
      <x:c r="C2236" t="str">
        <x:v>AA-10315</x:v>
      </x:c>
      <x:c r="D2236" t="str">
        <x:v>Alex Avila</x:v>
      </x:c>
      <x:c r="E2236" t="str">
        <x:v>Consumer</x:v>
      </x:c>
      <x:c r="F2236" t="str">
        <x:v>West</x:v>
      </x:c>
      <x:c r="G2236" t="str">
        <x:v>Office Supplies</x:v>
      </x:c>
      <x:c r="H2236" t="str">
        <x:v>Appliances</x:v>
      </x:c>
      <x:c r="I2236" s="22" t="n">
        <x:v>52.98</x:v>
      </x:c>
      <x:c r="J2236" s="24" t="n">
        <x:v>2</x:v>
      </x:c>
      <x:c r="K2236" s="26" t="n">
        <x:v>0</x:v>
      </x:c>
      <x:c r="L2236" s="22" t="n">
        <x:v>14.834400000000002</x:v>
      </x:c>
      <x:c r="M2236" t="n">
        <x:v>2014</x:v>
      </x:c>
      <x:c r="N2236" s="20" t="n">
        <x:v>41699</x:v>
      </x:c>
    </x:row>
    <x:row r="2237" ht="18" customHeight="1">
      <x:c r="A2237" t="str">
        <x:v>CA-2017-157091</x:v>
      </x:c>
      <x:c r="B2237" s="18" t="n">
        <x:v>42912</x:v>
      </x:c>
      <x:c r="C2237" t="str">
        <x:v>DB-13405</x:v>
      </x:c>
      <x:c r="D2237" t="str">
        <x:v>Denny Blanton</x:v>
      </x:c>
      <x:c r="E2237" t="str">
        <x:v>Consumer</x:v>
      </x:c>
      <x:c r="F2237" t="str">
        <x:v>Central</x:v>
      </x:c>
      <x:c r="G2237" t="str">
        <x:v>Furniture</x:v>
      </x:c>
      <x:c r="H2237" t="str">
        <x:v>Furnishings</x:v>
      </x:c>
      <x:c r="I2237" s="22" t="n">
        <x:v>526.45</x:v>
      </x:c>
      <x:c r="J2237" s="24" t="n">
        <x:v>5</x:v>
      </x:c>
      <x:c r="K2237" s="26" t="n">
        <x:v>0</x:v>
      </x:c>
      <x:c r="L2237" s="22" t="n">
        <x:v>31.58699999999996</x:v>
      </x:c>
      <x:c r="M2237" t="n">
        <x:v>2017</x:v>
      </x:c>
      <x:c r="N2237" s="20" t="n">
        <x:v>42887</x:v>
      </x:c>
    </x:row>
    <x:row r="2238" ht="18" customHeight="1">
      <x:c r="A2238" t="str">
        <x:v>CA-2017-132122</x:v>
      </x:c>
      <x:c r="B2238" s="18" t="n">
        <x:v>42925</x:v>
      </x:c>
      <x:c r="C2238" t="str">
        <x:v>JH-15820</x:v>
      </x:c>
      <x:c r="D2238" t="str">
        <x:v>John Huston</x:v>
      </x:c>
      <x:c r="E2238" t="str">
        <x:v>Consumer</x:v>
      </x:c>
      <x:c r="F2238" t="str">
        <x:v>Central</x:v>
      </x:c>
      <x:c r="G2238" t="str">
        <x:v>Office Supplies</x:v>
      </x:c>
      <x:c r="H2238" t="str">
        <x:v>Storage</x:v>
      </x:c>
      <x:c r="I2238" s="22" t="n">
        <x:v>228.92</x:v>
      </x:c>
      <x:c r="J2238" s="24" t="n">
        <x:v>5</x:v>
      </x:c>
      <x:c r="K2238" s="26" t="n">
        <x:v>0.2</x:v>
      </x:c>
      <x:c r="L2238" s="22" t="n">
        <x:v>14.307499999999997</x:v>
      </x:c>
      <x:c r="M2238" t="n">
        <x:v>2017</x:v>
      </x:c>
      <x:c r="N2238" s="20" t="n">
        <x:v>42917</x:v>
      </x:c>
    </x:row>
    <x:row r="2239" ht="18" customHeight="1">
      <x:c r="A2239" t="str">
        <x:v>CA-2015-123232</x:v>
      </x:c>
      <x:c r="B2239" s="18" t="n">
        <x:v>42352</x:v>
      </x:c>
      <x:c r="C2239" t="str">
        <x:v>DJ-13630</x:v>
      </x:c>
      <x:c r="D2239" t="str">
        <x:v>Doug Jacobs</x:v>
      </x:c>
      <x:c r="E2239" t="str">
        <x:v>Consumer</x:v>
      </x:c>
      <x:c r="F2239" t="str">
        <x:v>West</x:v>
      </x:c>
      <x:c r="G2239" t="str">
        <x:v>Technology</x:v>
      </x:c>
      <x:c r="H2239" t="str">
        <x:v>Phones</x:v>
      </x:c>
      <x:c r="I2239" s="22" t="n">
        <x:v>319.968</x:v>
      </x:c>
      <x:c r="J2239" s="24" t="n">
        <x:v>4</x:v>
      </x:c>
      <x:c r="K2239" s="26" t="n">
        <x:v>0.2</x:v>
      </x:c>
      <x:c r="L2239" s="22" t="n">
        <x:v>35.99639999999995</x:v>
      </x:c>
      <x:c r="M2239" t="n">
        <x:v>2015</x:v>
      </x:c>
      <x:c r="N2239" s="20" t="n">
        <x:v>42339</x:v>
      </x:c>
    </x:row>
    <x:row r="2240" ht="18" customHeight="1">
      <x:c r="A2240" t="str">
        <x:v>CA-2017-104066</x:v>
      </x:c>
      <x:c r="B2240" s="18" t="n">
        <x:v>43074</x:v>
      </x:c>
      <x:c r="C2240" t="str">
        <x:v>QJ-19255</x:v>
      </x:c>
      <x:c r="D2240" t="str">
        <x:v>Quincy Jones</x:v>
      </x:c>
      <x:c r="E2240" t="str">
        <x:v>Corporate</x:v>
      </x:c>
      <x:c r="F2240" t="str">
        <x:v>East</x:v>
      </x:c>
      <x:c r="G2240" t="str">
        <x:v>Technology</x:v>
      </x:c>
      <x:c r="H2240" t="str">
        <x:v>Accessories</x:v>
      </x:c>
      <x:c r="I2240" s="22" t="n">
        <x:v>205.03</x:v>
      </x:c>
      <x:c r="J2240" s="24" t="n">
        <x:v>7</x:v>
      </x:c>
      <x:c r="K2240" s="26" t="n">
        <x:v>0</x:v>
      </x:c>
      <x:c r="L2240" s="22" t="n">
        <x:v>67.65989999999998</x:v>
      </x:c>
      <x:c r="M2240" t="n">
        <x:v>2017</x:v>
      </x:c>
      <x:c r="N2240" s="20" t="n">
        <x:v>43070</x:v>
      </x:c>
    </x:row>
    <x:row r="2241" ht="18" customHeight="1">
      <x:c r="A2241" t="str">
        <x:v>CA-2015-145849</x:v>
      </x:c>
      <x:c r="B2241" s="18" t="n">
        <x:v>42262</x:v>
      </x:c>
      <x:c r="C2241" t="str">
        <x:v>CT-11995</x:v>
      </x:c>
      <x:c r="D2241" t="str">
        <x:v>Carol Triggs</x:v>
      </x:c>
      <x:c r="E2241" t="str">
        <x:v>Consumer</x:v>
      </x:c>
      <x:c r="F2241" t="str">
        <x:v>Central</x:v>
      </x:c>
      <x:c r="G2241" t="str">
        <x:v>Office Supplies</x:v>
      </x:c>
      <x:c r="H2241" t="str">
        <x:v>Storage</x:v>
      </x:c>
      <x:c r="I2241" s="22" t="n">
        <x:v>190.86</x:v>
      </x:c>
      <x:c r="J2241" s="24" t="n">
        <x:v>2</x:v>
      </x:c>
      <x:c r="K2241" s="26" t="n">
        <x:v>0</x:v>
      </x:c>
      <x:c r="L2241" s="22" t="n">
        <x:v>11.451599999999985</x:v>
      </x:c>
      <x:c r="M2241" t="n">
        <x:v>2015</x:v>
      </x:c>
      <x:c r="N2241" s="20" t="n">
        <x:v>42248</x:v>
      </x:c>
    </x:row>
    <x:row r="2242" ht="18" customHeight="1">
      <x:c r="A2242" t="str">
        <x:v>CA-2015-145849</x:v>
      </x:c>
      <x:c r="B2242" s="18" t="n">
        <x:v>42262</x:v>
      </x:c>
      <x:c r="C2242" t="str">
        <x:v>CT-11995</x:v>
      </x:c>
      <x:c r="D2242" t="str">
        <x:v>Carol Triggs</x:v>
      </x:c>
      <x:c r="E2242" t="str">
        <x:v>Consumer</x:v>
      </x:c>
      <x:c r="F2242" t="str">
        <x:v>Central</x:v>
      </x:c>
      <x:c r="G2242" t="str">
        <x:v>Office Supplies</x:v>
      </x:c>
      <x:c r="H2242" t="str">
        <x:v>Art</x:v>
      </x:c>
      <x:c r="I2242" s="22" t="n">
        <x:v>24.32</x:v>
      </x:c>
      <x:c r="J2242" s="24" t="n">
        <x:v>8</x:v>
      </x:c>
      <x:c r="K2242" s="26" t="n">
        <x:v>0</x:v>
      </x:c>
      <x:c r="L2242" s="22" t="n">
        <x:v>8.268799999999999</x:v>
      </x:c>
      <x:c r="M2242" t="n">
        <x:v>2015</x:v>
      </x:c>
      <x:c r="N2242" s="20" t="n">
        <x:v>42248</x:v>
      </x:c>
    </x:row>
    <x:row r="2243" ht="18" customHeight="1">
      <x:c r="A2243" t="str">
        <x:v>CA-2016-122322</x:v>
      </x:c>
      <x:c r="B2243" s="18" t="n">
        <x:v>42566</x:v>
      </x:c>
      <x:c r="C2243" t="str">
        <x:v>RH-19510</x:v>
      </x:c>
      <x:c r="D2243" t="str">
        <x:v>Rick Huthwaite</x:v>
      </x:c>
      <x:c r="E2243" t="str">
        <x:v>Home Office</x:v>
      </x:c>
      <x:c r="F2243" t="str">
        <x:v>West</x:v>
      </x:c>
      <x:c r="G2243" t="str">
        <x:v>Office Supplies</x:v>
      </x:c>
      <x:c r="H2243" t="str">
        <x:v>Supplies</x:v>
      </x:c>
      <x:c r="I2243" s="22" t="n">
        <x:v>44.400000000000006</x:v>
      </x:c>
      <x:c r="J2243" s="24" t="n">
        <x:v>5</x:v>
      </x:c>
      <x:c r="K2243" s="26" t="n">
        <x:v>0</x:v>
      </x:c>
      <x:c r="L2243" s="22" t="n">
        <x:v>12.432000000000002</x:v>
      </x:c>
      <x:c r="M2243" t="n">
        <x:v>2016</x:v>
      </x:c>
      <x:c r="N2243" s="20" t="n">
        <x:v>42552</x:v>
      </x:c>
    </x:row>
    <x:row r="2244" ht="18" customHeight="1">
      <x:c r="A2244" t="str">
        <x:v>CA-2017-166849</x:v>
      </x:c>
      <x:c r="B2244" s="18" t="n">
        <x:v>42845</x:v>
      </x:c>
      <x:c r="C2244" t="str">
        <x:v>SJ-20125</x:v>
      </x:c>
      <x:c r="D2244" t="str">
        <x:v>Sanjit Jacobs</x:v>
      </x:c>
      <x:c r="E2244" t="str">
        <x:v>Home Office</x:v>
      </x:c>
      <x:c r="F2244" t="str">
        <x:v>Central</x:v>
      </x:c>
      <x:c r="G2244" t="str">
        <x:v>Furniture</x:v>
      </x:c>
      <x:c r="H2244" t="str">
        <x:v>Furnishings</x:v>
      </x:c>
      <x:c r="I2244" s="22" t="n">
        <x:v>44.400000000000006</x:v>
      </x:c>
      <x:c r="J2244" s="24" t="n">
        <x:v>2</x:v>
      </x:c>
      <x:c r="K2244" s="26" t="n">
        <x:v>0.6</x:v>
      </x:c>
      <x:c r="L2244" s="22" t="n">
        <x:v>-52.16999999999999</x:v>
      </x:c>
      <x:c r="M2244" t="n">
        <x:v>2017</x:v>
      </x:c>
      <x:c r="N2244" s="20" t="n">
        <x:v>42826</x:v>
      </x:c>
    </x:row>
    <x:row r="2245" ht="18" customHeight="1">
      <x:c r="A2245" t="str">
        <x:v>CA-2016-146633</x:v>
      </x:c>
      <x:c r="B2245" s="18" t="n">
        <x:v>42689</x:v>
      </x:c>
      <x:c r="C2245" t="str">
        <x:v>TG-21310</x:v>
      </x:c>
      <x:c r="D2245" t="str">
        <x:v>Toby Gnade</x:v>
      </x:c>
      <x:c r="E2245" t="str">
        <x:v>Consumer</x:v>
      </x:c>
      <x:c r="F2245" t="str">
        <x:v>West</x:v>
      </x:c>
      <x:c r="G2245" t="str">
        <x:v>Office Supplies</x:v>
      </x:c>
      <x:c r="H2245" t="str">
        <x:v>Binders</x:v>
      </x:c>
      <x:c r="I2245" s="22" t="n">
        <x:v>1016.792</x:v>
      </x:c>
      <x:c r="J2245" s="24" t="n">
        <x:v>1</x:v>
      </x:c>
      <x:c r="K2245" s="26" t="n">
        <x:v>0.2</x:v>
      </x:c>
      <x:c r="L2245" s="22" t="n">
        <x:v>381.297</x:v>
      </x:c>
      <x:c r="M2245" t="n">
        <x:v>2016</x:v>
      </x:c>
      <x:c r="N2245" s="20" t="n">
        <x:v>42675</x:v>
      </x:c>
    </x:row>
    <x:row r="2246" ht="18" customHeight="1">
      <x:c r="A2246" t="str">
        <x:v>CA-2016-146633</x:v>
      </x:c>
      <x:c r="B2246" s="18" t="n">
        <x:v>42689</x:v>
      </x:c>
      <x:c r="C2246" t="str">
        <x:v>TG-21310</x:v>
      </x:c>
      <x:c r="D2246" t="str">
        <x:v>Toby Gnade</x:v>
      </x:c>
      <x:c r="E2246" t="str">
        <x:v>Consumer</x:v>
      </x:c>
      <x:c r="F2246" t="str">
        <x:v>West</x:v>
      </x:c>
      <x:c r="G2246" t="str">
        <x:v>Office Supplies</x:v>
      </x:c>
      <x:c r="H2246" t="str">
        <x:v>Binders</x:v>
      </x:c>
      <x:c r="I2246" s="22" t="n">
        <x:v>38.136</x:v>
      </x:c>
      <x:c r="J2246" s="24" t="n">
        <x:v>7</x:v>
      </x:c>
      <x:c r="K2246" s="26" t="n">
        <x:v>0.2</x:v>
      </x:c>
      <x:c r="L2246" s="22" t="n">
        <x:v>13.347599999999998</x:v>
      </x:c>
      <x:c r="M2246" t="n">
        <x:v>2016</x:v>
      </x:c>
      <x:c r="N2246" s="20" t="n">
        <x:v>42675</x:v>
      </x:c>
    </x:row>
    <x:row r="2247" ht="18" customHeight="1">
      <x:c r="A2247" t="str">
        <x:v>US-2016-126893</x:v>
      </x:c>
      <x:c r="B2247" s="18" t="n">
        <x:v>42700</x:v>
      </x:c>
      <x:c r="C2247" t="str">
        <x:v>CT-11995</x:v>
      </x:c>
      <x:c r="D2247" t="str">
        <x:v>Carol Triggs</x:v>
      </x:c>
      <x:c r="E2247" t="str">
        <x:v>Consumer</x:v>
      </x:c>
      <x:c r="F2247" t="str">
        <x:v>East</x:v>
      </x:c>
      <x:c r="G2247" t="str">
        <x:v>Technology</x:v>
      </x:c>
      <x:c r="H2247" t="str">
        <x:v>Phones</x:v>
      </x:c>
      <x:c r="I2247" s="22" t="n">
        <x:v>494.98199999999997</x:v>
      </x:c>
      <x:c r="J2247" s="24" t="n">
        <x:v>3</x:v>
      </x:c>
      <x:c r="K2247" s="26" t="n">
        <x:v>0.4</x:v>
      </x:c>
      <x:c r="L2247" s="22" t="n">
        <x:v>-115.49580000000006</x:v>
      </x:c>
      <x:c r="M2247" t="n">
        <x:v>2016</x:v>
      </x:c>
      <x:c r="N2247" s="20" t="n">
        <x:v>42675</x:v>
      </x:c>
    </x:row>
    <x:row r="2248" ht="18" customHeight="1">
      <x:c r="A2248" t="str">
        <x:v>CA-2017-103380</x:v>
      </x:c>
      <x:c r="B2248" s="18" t="n">
        <x:v>43060</x:v>
      </x:c>
      <x:c r="C2248" t="str">
        <x:v>BF-11005</x:v>
      </x:c>
      <x:c r="D2248" t="str">
        <x:v>Barry Franz</x:v>
      </x:c>
      <x:c r="E2248" t="str">
        <x:v>Home Office</x:v>
      </x:c>
      <x:c r="F2248" t="str">
        <x:v>West</x:v>
      </x:c>
      <x:c r="G2248" t="str">
        <x:v>Office Supplies</x:v>
      </x:c>
      <x:c r="H2248" t="str">
        <x:v>Storage</x:v>
      </x:c>
      <x:c r="I2248" s="22" t="n">
        <x:v>56.56</x:v>
      </x:c>
      <x:c r="J2248" s="24" t="n">
        <x:v>2</x:v>
      </x:c>
      <x:c r="K2248" s="26" t="n">
        <x:v>0</x:v>
      </x:c>
      <x:c r="L2248" s="22" t="n">
        <x:v>15.2712</x:v>
      </x:c>
      <x:c r="M2248" t="n">
        <x:v>2017</x:v>
      </x:c>
      <x:c r="N2248" s="20" t="n">
        <x:v>43040</x:v>
      </x:c>
    </x:row>
    <x:row r="2249" ht="18" customHeight="1">
      <x:c r="A2249" t="str">
        <x:v>CA-2017-103380</x:v>
      </x:c>
      <x:c r="B2249" s="18" t="n">
        <x:v>43060</x:v>
      </x:c>
      <x:c r="C2249" t="str">
        <x:v>BF-11005</x:v>
      </x:c>
      <x:c r="D2249" t="str">
        <x:v>Barry Franz</x:v>
      </x:c>
      <x:c r="E2249" t="str">
        <x:v>Home Office</x:v>
      </x:c>
      <x:c r="F2249" t="str">
        <x:v>West</x:v>
      </x:c>
      <x:c r="G2249" t="str">
        <x:v>Office Supplies</x:v>
      </x:c>
      <x:c r="H2249" t="str">
        <x:v>Art</x:v>
      </x:c>
      <x:c r="I2249" s="22" t="n">
        <x:v>5.56</x:v>
      </x:c>
      <x:c r="J2249" s="24" t="n">
        <x:v>2</x:v>
      </x:c>
      <x:c r="K2249" s="26" t="n">
        <x:v>0</x:v>
      </x:c>
      <x:c r="L2249" s="22" t="n">
        <x:v>1.4455999999999998</x:v>
      </x:c>
      <x:c r="M2249" t="n">
        <x:v>2017</x:v>
      </x:c>
      <x:c r="N2249" s="20" t="n">
        <x:v>43040</x:v>
      </x:c>
    </x:row>
    <x:row r="2250" ht="18" customHeight="1">
      <x:c r="A2250" t="str">
        <x:v>CA-2017-103380</x:v>
      </x:c>
      <x:c r="B2250" s="18" t="n">
        <x:v>43060</x:v>
      </x:c>
      <x:c r="C2250" t="str">
        <x:v>BF-11005</x:v>
      </x:c>
      <x:c r="D2250" t="str">
        <x:v>Barry Franz</x:v>
      </x:c>
      <x:c r="E2250" t="str">
        <x:v>Home Office</x:v>
      </x:c>
      <x:c r="F2250" t="str">
        <x:v>West</x:v>
      </x:c>
      <x:c r="G2250" t="str">
        <x:v>Office Supplies</x:v>
      </x:c>
      <x:c r="H2250" t="str">
        <x:v>Fasteners</x:v>
      </x:c>
      <x:c r="I2250" s="22" t="n">
        <x:v>9.02</x:v>
      </x:c>
      <x:c r="J2250" s="24" t="n">
        <x:v>2</x:v>
      </x:c>
      <x:c r="K2250" s="26" t="n">
        <x:v>0</x:v>
      </x:c>
      <x:c r="L2250" s="22" t="n">
        <x:v>3.5178000000000003</x:v>
      </x:c>
      <x:c r="M2250" t="n">
        <x:v>2017</x:v>
      </x:c>
      <x:c r="N2250" s="20" t="n">
        <x:v>43040</x:v>
      </x:c>
    </x:row>
    <x:row r="2251" ht="18" customHeight="1">
      <x:c r="A2251" t="str">
        <x:v>CA-2017-103380</x:v>
      </x:c>
      <x:c r="B2251" s="18" t="n">
        <x:v>43060</x:v>
      </x:c>
      <x:c r="C2251" t="str">
        <x:v>BF-11005</x:v>
      </x:c>
      <x:c r="D2251" t="str">
        <x:v>Barry Franz</x:v>
      </x:c>
      <x:c r="E2251" t="str">
        <x:v>Home Office</x:v>
      </x:c>
      <x:c r="F2251" t="str">
        <x:v>West</x:v>
      </x:c>
      <x:c r="G2251" t="str">
        <x:v>Office Supplies</x:v>
      </x:c>
      <x:c r="H2251" t="str">
        <x:v>Appliances</x:v>
      </x:c>
      <x:c r="I2251" s="22" t="n">
        <x:v>8.62</x:v>
      </x:c>
      <x:c r="J2251" s="24" t="n">
        <x:v>1</x:v>
      </x:c>
      <x:c r="K2251" s="26" t="n">
        <x:v>0</x:v>
      </x:c>
      <x:c r="L2251" s="22" t="n">
        <x:v>2.2412</x:v>
      </x:c>
      <x:c r="M2251" t="n">
        <x:v>2017</x:v>
      </x:c>
      <x:c r="N2251" s="20" t="n">
        <x:v>43040</x:v>
      </x:c>
    </x:row>
    <x:row r="2252" ht="18" customHeight="1">
      <x:c r="A2252" t="str">
        <x:v>CA-2017-103380</x:v>
      </x:c>
      <x:c r="B2252" s="18" t="n">
        <x:v>43060</x:v>
      </x:c>
      <x:c r="C2252" t="str">
        <x:v>BF-11005</x:v>
      </x:c>
      <x:c r="D2252" t="str">
        <x:v>Barry Franz</x:v>
      </x:c>
      <x:c r="E2252" t="str">
        <x:v>Home Office</x:v>
      </x:c>
      <x:c r="F2252" t="str">
        <x:v>West</x:v>
      </x:c>
      <x:c r="G2252" t="str">
        <x:v>Technology</x:v>
      </x:c>
      <x:c r="H2252" t="str">
        <x:v>Phones</x:v>
      </x:c>
      <x:c r="I2252" s="22" t="n">
        <x:v>659.9760000000001</x:v>
      </x:c>
      <x:c r="J2252" s="24" t="n">
        <x:v>3</x:v>
      </x:c>
      <x:c r="K2252" s="26" t="n">
        <x:v>0.2</x:v>
      </x:c>
      <x:c r="L2252" s="22" t="n">
        <x:v>49.49819999999997</x:v>
      </x:c>
      <x:c r="M2252" t="n">
        <x:v>2017</x:v>
      </x:c>
      <x:c r="N2252" s="20" t="n">
        <x:v>43040</x:v>
      </x:c>
    </x:row>
    <x:row r="2253" ht="18" customHeight="1">
      <x:c r="A2253" t="str">
        <x:v>CA-2015-116092</x:v>
      </x:c>
      <x:c r="B2253" s="18" t="n">
        <x:v>42050</x:v>
      </x:c>
      <x:c r="C2253" t="str">
        <x:v>JM-16195</x:v>
      </x:c>
      <x:c r="D2253" t="str">
        <x:v>Justin MacKendrick</x:v>
      </x:c>
      <x:c r="E2253" t="str">
        <x:v>Consumer</x:v>
      </x:c>
      <x:c r="F2253" t="str">
        <x:v>West</x:v>
      </x:c>
      <x:c r="G2253" t="str">
        <x:v>Office Supplies</x:v>
      </x:c>
      <x:c r="H2253" t="str">
        <x:v>Paper</x:v>
      </x:c>
      <x:c r="I2253" s="22" t="n">
        <x:v>13.36</x:v>
      </x:c>
      <x:c r="J2253" s="24" t="n">
        <x:v>2</x:v>
      </x:c>
      <x:c r="K2253" s="26" t="n">
        <x:v>0</x:v>
      </x:c>
      <x:c r="L2253" s="22" t="n">
        <x:v>6.4128</x:v>
      </x:c>
      <x:c r="M2253" t="n">
        <x:v>2015</x:v>
      </x:c>
      <x:c r="N2253" s="20" t="n">
        <x:v>42036</x:v>
      </x:c>
    </x:row>
    <x:row r="2254" ht="18" customHeight="1">
      <x:c r="A2254" t="str">
        <x:v>CA-2015-116092</x:v>
      </x:c>
      <x:c r="B2254" s="18" t="n">
        <x:v>42050</x:v>
      </x:c>
      <x:c r="C2254" t="str">
        <x:v>JM-16195</x:v>
      </x:c>
      <x:c r="D2254" t="str">
        <x:v>Justin MacKendrick</x:v>
      </x:c>
      <x:c r="E2254" t="str">
        <x:v>Consumer</x:v>
      </x:c>
      <x:c r="F2254" t="str">
        <x:v>West</x:v>
      </x:c>
      <x:c r="G2254" t="str">
        <x:v>Office Supplies</x:v>
      </x:c>
      <x:c r="H2254" t="str">
        <x:v>Binders</x:v>
      </x:c>
      <x:c r="I2254" s="22" t="n">
        <x:v>41.72</x:v>
      </x:c>
      <x:c r="J2254" s="24" t="n">
        <x:v>5</x:v>
      </x:c>
      <x:c r="K2254" s="26" t="n">
        <x:v>0.2</x:v>
      </x:c>
      <x:c r="L2254" s="22" t="n">
        <x:v>13.037499999999998</x:v>
      </x:c>
      <x:c r="M2254" t="n">
        <x:v>2015</x:v>
      </x:c>
      <x:c r="N2254" s="20" t="n">
        <x:v>42036</x:v>
      </x:c>
    </x:row>
    <x:row r="2255" ht="18" customHeight="1">
      <x:c r="A2255" t="str">
        <x:v>CA-2015-116092</x:v>
      </x:c>
      <x:c r="B2255" s="18" t="n">
        <x:v>42050</x:v>
      </x:c>
      <x:c r="C2255" t="str">
        <x:v>JM-16195</x:v>
      </x:c>
      <x:c r="D2255" t="str">
        <x:v>Justin MacKendrick</x:v>
      </x:c>
      <x:c r="E2255" t="str">
        <x:v>Consumer</x:v>
      </x:c>
      <x:c r="F2255" t="str">
        <x:v>West</x:v>
      </x:c>
      <x:c r="G2255" t="str">
        <x:v>Office Supplies</x:v>
      </x:c>
      <x:c r="H2255" t="str">
        <x:v>Binders</x:v>
      </x:c>
      <x:c r="I2255" s="22" t="n">
        <x:v>11.52</x:v>
      </x:c>
      <x:c r="J2255" s="24" t="n">
        <x:v>5</x:v>
      </x:c>
      <x:c r="K2255" s="26" t="n">
        <x:v>0.2</x:v>
      </x:c>
      <x:c r="L2255" s="22" t="n">
        <x:v>4.176</x:v>
      </x:c>
      <x:c r="M2255" t="n">
        <x:v>2015</x:v>
      </x:c>
      <x:c r="N2255" s="20" t="n">
        <x:v>42036</x:v>
      </x:c>
    </x:row>
    <x:row r="2256" ht="18" customHeight="1">
      <x:c r="A2256" t="str">
        <x:v>CA-2015-116092</x:v>
      </x:c>
      <x:c r="B2256" s="18" t="n">
        <x:v>42050</x:v>
      </x:c>
      <x:c r="C2256" t="str">
        <x:v>JM-16195</x:v>
      </x:c>
      <x:c r="D2256" t="str">
        <x:v>Justin MacKendrick</x:v>
      </x:c>
      <x:c r="E2256" t="str">
        <x:v>Consumer</x:v>
      </x:c>
      <x:c r="F2256" t="str">
        <x:v>West</x:v>
      </x:c>
      <x:c r="G2256" t="str">
        <x:v>Office Supplies</x:v>
      </x:c>
      <x:c r="H2256" t="str">
        <x:v>Appliances</x:v>
      </x:c>
      <x:c r="I2256" s="22" t="n">
        <x:v>541.4399999999999</x:v>
      </x:c>
      <x:c r="J2256" s="24" t="n">
        <x:v>6</x:v>
      </x:c>
      <x:c r="K2256" s="26" t="n">
        <x:v>0</x:v>
      </x:c>
      <x:c r="L2256" s="22" t="n">
        <x:v>157.01759999999993</x:v>
      </x:c>
      <x:c r="M2256" t="n">
        <x:v>2015</x:v>
      </x:c>
      <x:c r="N2256" s="20" t="n">
        <x:v>42036</x:v>
      </x:c>
    </x:row>
    <x:row r="2257" ht="18" customHeight="1">
      <x:c r="A2257" t="str">
        <x:v>CA-2015-116092</x:v>
      </x:c>
      <x:c r="B2257" s="18" t="n">
        <x:v>42050</x:v>
      </x:c>
      <x:c r="C2257" t="str">
        <x:v>JM-16195</x:v>
      </x:c>
      <x:c r="D2257" t="str">
        <x:v>Justin MacKendrick</x:v>
      </x:c>
      <x:c r="E2257" t="str">
        <x:v>Consumer</x:v>
      </x:c>
      <x:c r="F2257" t="str">
        <x:v>West</x:v>
      </x:c>
      <x:c r="G2257" t="str">
        <x:v>Office Supplies</x:v>
      </x:c>
      <x:c r="H2257" t="str">
        <x:v>Paper</x:v>
      </x:c>
      <x:c r="I2257" s="22" t="n">
        <x:v>19.44</x:v>
      </x:c>
      <x:c r="J2257" s="24" t="n">
        <x:v>3</x:v>
      </x:c>
      <x:c r="K2257" s="26" t="n">
        <x:v>0</x:v>
      </x:c>
      <x:c r="L2257" s="22" t="n">
        <x:v>9.3312</x:v>
      </x:c>
      <x:c r="M2257" t="n">
        <x:v>2015</x:v>
      </x:c>
      <x:c r="N2257" s="20" t="n">
        <x:v>42036</x:v>
      </x:c>
    </x:row>
    <x:row r="2258" ht="18" customHeight="1">
      <x:c r="A2258" t="str">
        <x:v>CA-2016-117849</x:v>
      </x:c>
      <x:c r="B2258" s="18" t="n">
        <x:v>42475</x:v>
      </x:c>
      <x:c r="C2258" t="str">
        <x:v>JK-16120</x:v>
      </x:c>
      <x:c r="D2258" t="str">
        <x:v>Julie Kriz</x:v>
      </x:c>
      <x:c r="E2258" t="str">
        <x:v>Home Office</x:v>
      </x:c>
      <x:c r="F2258" t="str">
        <x:v>West</x:v>
      </x:c>
      <x:c r="G2258" t="str">
        <x:v>Office Supplies</x:v>
      </x:c>
      <x:c r="H2258" t="str">
        <x:v>Paper</x:v>
      </x:c>
      <x:c r="I2258" s="22" t="n">
        <x:v>143.7</x:v>
      </x:c>
      <x:c r="J2258" s="24" t="n">
        <x:v>3</x:v>
      </x:c>
      <x:c r="K2258" s="26" t="n">
        <x:v>0</x:v>
      </x:c>
      <x:c r="L2258" s="22" t="n">
        <x:v>68.976</x:v>
      </x:c>
      <x:c r="M2258" t="n">
        <x:v>2016</x:v>
      </x:c>
      <x:c r="N2258" s="20" t="n">
        <x:v>42461</x:v>
      </x:c>
    </x:row>
    <x:row r="2259" ht="18" customHeight="1">
      <x:c r="A2259" t="str">
        <x:v>CA-2015-169201</x:v>
      </x:c>
      <x:c r="B2259" s="18" t="n">
        <x:v>42275</x:v>
      </x:c>
      <x:c r="C2259" t="str">
        <x:v>HG-14965</x:v>
      </x:c>
      <x:c r="D2259" t="str">
        <x:v>Henry Goldwyn</x:v>
      </x:c>
      <x:c r="E2259" t="str">
        <x:v>Corporate</x:v>
      </x:c>
      <x:c r="F2259" t="str">
        <x:v>West</x:v>
      </x:c>
      <x:c r="G2259" t="str">
        <x:v>Office Supplies</x:v>
      </x:c>
      <x:c r="H2259" t="str">
        <x:v>Appliances</x:v>
      </x:c>
      <x:c r="I2259" s="22" t="n">
        <x:v>43.26</x:v>
      </x:c>
      <x:c r="J2259" s="24" t="n">
        <x:v>3</x:v>
      </x:c>
      <x:c r="K2259" s="26" t="n">
        <x:v>0</x:v>
      </x:c>
      <x:c r="L2259" s="22" t="n">
        <x:v>14.275799999999998</x:v>
      </x:c>
      <x:c r="M2259" t="n">
        <x:v>2015</x:v>
      </x:c>
      <x:c r="N2259" s="20" t="n">
        <x:v>42248</x:v>
      </x:c>
    </x:row>
    <x:row r="2260" ht="18" customHeight="1">
      <x:c r="A2260" t="str">
        <x:v>CA-2015-169201</x:v>
      </x:c>
      <x:c r="B2260" s="18" t="n">
        <x:v>42275</x:v>
      </x:c>
      <x:c r="C2260" t="str">
        <x:v>HG-14965</x:v>
      </x:c>
      <x:c r="D2260" t="str">
        <x:v>Henry Goldwyn</x:v>
      </x:c>
      <x:c r="E2260" t="str">
        <x:v>Corporate</x:v>
      </x:c>
      <x:c r="F2260" t="str">
        <x:v>West</x:v>
      </x:c>
      <x:c r="G2260" t="str">
        <x:v>Office Supplies</x:v>
      </x:c>
      <x:c r="H2260" t="str">
        <x:v>Appliances</x:v>
      </x:c>
      <x:c r="I2260" s="22" t="n">
        <x:v>43.56</x:v>
      </x:c>
      <x:c r="J2260" s="24" t="n">
        <x:v>2</x:v>
      </x:c>
      <x:c r="K2260" s="26" t="n">
        <x:v>0</x:v>
      </x:c>
      <x:c r="L2260" s="22" t="n">
        <x:v>15.245999999999999</x:v>
      </x:c>
      <x:c r="M2260" t="n">
        <x:v>2015</x:v>
      </x:c>
      <x:c r="N2260" s="20" t="n">
        <x:v>42248</x:v>
      </x:c>
    </x:row>
    <x:row r="2261" ht="18" customHeight="1">
      <x:c r="A2261" t="str">
        <x:v>CA-2016-164091</x:v>
      </x:c>
      <x:c r="B2261" s="18" t="n">
        <x:v>42630</x:v>
      </x:c>
      <x:c r="C2261" t="str">
        <x:v>LA-16780</x:v>
      </x:c>
      <x:c r="D2261" t="str">
        <x:v>Laura Armstrong</x:v>
      </x:c>
      <x:c r="E2261" t="str">
        <x:v>Corporate</x:v>
      </x:c>
      <x:c r="F2261" t="str">
        <x:v>East</x:v>
      </x:c>
      <x:c r="G2261" t="str">
        <x:v>Technology</x:v>
      </x:c>
      <x:c r="H2261" t="str">
        <x:v>Phones</x:v>
      </x:c>
      <x:c r="I2261" s="22" t="n">
        <x:v>437.84999999999997</x:v>
      </x:c>
      <x:c r="J2261" s="24" t="n">
        <x:v>3</x:v>
      </x:c>
      <x:c r="K2261" s="26" t="n">
        <x:v>0</x:v>
      </x:c>
      <x:c r="L2261" s="22" t="n">
        <x:v>131.35499999999996</x:v>
      </x:c>
      <x:c r="M2261" t="n">
        <x:v>2016</x:v>
      </x:c>
      <x:c r="N2261" s="20" t="n">
        <x:v>42614</x:v>
      </x:c>
    </x:row>
    <x:row r="2262" ht="18" customHeight="1">
      <x:c r="A2262" t="str">
        <x:v>CA-2016-164091</x:v>
      </x:c>
      <x:c r="B2262" s="18" t="n">
        <x:v>42630</x:v>
      </x:c>
      <x:c r="C2262" t="str">
        <x:v>LA-16780</x:v>
      </x:c>
      <x:c r="D2262" t="str">
        <x:v>Laura Armstrong</x:v>
      </x:c>
      <x:c r="E2262" t="str">
        <x:v>Corporate</x:v>
      </x:c>
      <x:c r="F2262" t="str">
        <x:v>East</x:v>
      </x:c>
      <x:c r="G2262" t="str">
        <x:v>Furniture</x:v>
      </x:c>
      <x:c r="H2262" t="str">
        <x:v>Furnishings</x:v>
      </x:c>
      <x:c r="I2262" s="22" t="n">
        <x:v>109.48</x:v>
      </x:c>
      <x:c r="J2262" s="24" t="n">
        <x:v>2</x:v>
      </x:c>
      <x:c r="K2262" s="26" t="n">
        <x:v>0</x:v>
      </x:c>
      <x:c r="L2262" s="22" t="n">
        <x:v>33.9388</x:v>
      </x:c>
      <x:c r="M2262" t="n">
        <x:v>2016</x:v>
      </x:c>
      <x:c r="N2262" s="20" t="n">
        <x:v>42614</x:v>
      </x:c>
    </x:row>
    <x:row r="2263" ht="18" customHeight="1">
      <x:c r="A2263" t="str">
        <x:v>CA-2017-105214</x:v>
      </x:c>
      <x:c r="B2263" s="18" t="n">
        <x:v>42902</x:v>
      </x:c>
      <x:c r="C2263" t="str">
        <x:v>TS-21610</x:v>
      </x:c>
      <x:c r="D2263" t="str">
        <x:v>Troy Staebel</x:v>
      </x:c>
      <x:c r="E2263" t="str">
        <x:v>Consumer</x:v>
      </x:c>
      <x:c r="F2263" t="str">
        <x:v>West</x:v>
      </x:c>
      <x:c r="G2263" t="str">
        <x:v>Furniture</x:v>
      </x:c>
      <x:c r="H2263" t="str">
        <x:v>Chairs</x:v>
      </x:c>
      <x:c r="I2263" s="22" t="n">
        <x:v>1212.96</x:v>
      </x:c>
      <x:c r="J2263" s="24" t="n">
        <x:v>7</x:v>
      </x:c>
      <x:c r="K2263" s="26" t="n">
        <x:v>0.2</x:v>
      </x:c>
      <x:c r="L2263" s="22" t="n">
        <x:v>90.97199999999998</x:v>
      </x:c>
      <x:c r="M2263" t="n">
        <x:v>2017</x:v>
      </x:c>
      <x:c r="N2263" s="20" t="n">
        <x:v>42887</x:v>
      </x:c>
    </x:row>
    <x:row r="2264" ht="18" customHeight="1">
      <x:c r="A2264" t="str">
        <x:v>CA-2017-105214</x:v>
      </x:c>
      <x:c r="B2264" s="18" t="n">
        <x:v>42902</x:v>
      </x:c>
      <x:c r="C2264" t="str">
        <x:v>TS-21610</x:v>
      </x:c>
      <x:c r="D2264" t="str">
        <x:v>Troy Staebel</x:v>
      </x:c>
      <x:c r="E2264" t="str">
        <x:v>Consumer</x:v>
      </x:c>
      <x:c r="F2264" t="str">
        <x:v>West</x:v>
      </x:c>
      <x:c r="G2264" t="str">
        <x:v>Office Supplies</x:v>
      </x:c>
      <x:c r="H2264" t="str">
        <x:v>Paper</x:v>
      </x:c>
      <x:c r="I2264" s="22" t="n">
        <x:v>18.54</x:v>
      </x:c>
      <x:c r="J2264" s="24" t="n">
        <x:v>2</x:v>
      </x:c>
      <x:c r="K2264" s="26" t="n">
        <x:v>0</x:v>
      </x:c>
      <x:c r="L2264" s="22" t="n">
        <x:v>8.713799999999999</x:v>
      </x:c>
      <x:c r="M2264" t="n">
        <x:v>2017</x:v>
      </x:c>
      <x:c r="N2264" s="20" t="n">
        <x:v>42887</x:v>
      </x:c>
    </x:row>
    <x:row r="2265" ht="18" customHeight="1">
      <x:c r="A2265" t="str">
        <x:v>CA-2015-117611</x:v>
      </x:c>
      <x:c r="B2265" s="18" t="n">
        <x:v>42316</x:v>
      </x:c>
      <x:c r="C2265" t="str">
        <x:v>MZ-17335</x:v>
      </x:c>
      <x:c r="D2265" t="str">
        <x:v>Maria Zettner</x:v>
      </x:c>
      <x:c r="E2265" t="str">
        <x:v>Home Office</x:v>
      </x:c>
      <x:c r="F2265" t="str">
        <x:v>West</x:v>
      </x:c>
      <x:c r="G2265" t="str">
        <x:v>Office Supplies</x:v>
      </x:c>
      <x:c r="H2265" t="str">
        <x:v>Fasteners</x:v>
      </x:c>
      <x:c r="I2265" s="22" t="n">
        <x:v>5</x:v>
      </x:c>
      <x:c r="J2265" s="24" t="n">
        <x:v>1</x:v>
      </x:c>
      <x:c r="K2265" s="26" t="n">
        <x:v>0</x:v>
      </x:c>
      <x:c r="L2265" s="22" t="n">
        <x:v>2.4</x:v>
      </x:c>
      <x:c r="M2265" t="n">
        <x:v>2015</x:v>
      </x:c>
      <x:c r="N2265" s="20" t="n">
        <x:v>42309</x:v>
      </x:c>
    </x:row>
    <x:row r="2266" ht="18" customHeight="1">
      <x:c r="A2266" t="str">
        <x:v>CA-2015-117611</x:v>
      </x:c>
      <x:c r="B2266" s="18" t="n">
        <x:v>42316</x:v>
      </x:c>
      <x:c r="C2266" t="str">
        <x:v>MZ-17335</x:v>
      </x:c>
      <x:c r="D2266" t="str">
        <x:v>Maria Zettner</x:v>
      </x:c>
      <x:c r="E2266" t="str">
        <x:v>Home Office</x:v>
      </x:c>
      <x:c r="F2266" t="str">
        <x:v>West</x:v>
      </x:c>
      <x:c r="G2266" t="str">
        <x:v>Technology</x:v>
      </x:c>
      <x:c r="H2266" t="str">
        <x:v>Accessories</x:v>
      </x:c>
      <x:c r="I2266" s="22" t="n">
        <x:v>371.96999999999997</x:v>
      </x:c>
      <x:c r="J2266" s="24" t="n">
        <x:v>3</x:v>
      </x:c>
      <x:c r="K2266" s="26" t="n">
        <x:v>0</x:v>
      </x:c>
      <x:c r="L2266" s="22" t="n">
        <x:v>66.95459999999997</x:v>
      </x:c>
      <x:c r="M2266" t="n">
        <x:v>2015</x:v>
      </x:c>
      <x:c r="N2266" s="20" t="n">
        <x:v>42309</x:v>
      </x:c>
    </x:row>
    <x:row r="2267" ht="18" customHeight="1">
      <x:c r="A2267" t="str">
        <x:v>US-2015-137960</x:v>
      </x:c>
      <x:c r="B2267" s="18" t="n">
        <x:v>42356</x:v>
      </x:c>
      <x:c r="C2267" t="str">
        <x:v>MW-18220</x:v>
      </x:c>
      <x:c r="D2267" t="str">
        <x:v>Mitch Webber</x:v>
      </x:c>
      <x:c r="E2267" t="str">
        <x:v>Consumer</x:v>
      </x:c>
      <x:c r="F2267" t="str">
        <x:v>East</x:v>
      </x:c>
      <x:c r="G2267" t="str">
        <x:v>Technology</x:v>
      </x:c>
      <x:c r="H2267" t="str">
        <x:v>Accessories</x:v>
      </x:c>
      <x:c r="I2267" s="22" t="n">
        <x:v>166.24</x:v>
      </x:c>
      <x:c r="J2267" s="24" t="n">
        <x:v>1</x:v>
      </x:c>
      <x:c r="K2267" s="26" t="n">
        <x:v>0</x:v>
      </x:c>
      <x:c r="L2267" s="22" t="n">
        <x:v>24.936000000000007</x:v>
      </x:c>
      <x:c r="M2267" t="n">
        <x:v>2015</x:v>
      </x:c>
      <x:c r="N2267" s="20" t="n">
        <x:v>42339</x:v>
      </x:c>
    </x:row>
    <x:row r="2268" ht="18" customHeight="1">
      <x:c r="A2268" t="str">
        <x:v>CA-2017-122994</x:v>
      </x:c>
      <x:c r="B2268" s="18" t="n">
        <x:v>42772</x:v>
      </x:c>
      <x:c r="C2268" t="str">
        <x:v>MV-17485</x:v>
      </x:c>
      <x:c r="D2268" t="str">
        <x:v>Mark Van Huff</x:v>
      </x:c>
      <x:c r="E2268" t="str">
        <x:v>Consumer</x:v>
      </x:c>
      <x:c r="F2268" t="str">
        <x:v>South</x:v>
      </x:c>
      <x:c r="G2268" t="str">
        <x:v>Furniture</x:v>
      </x:c>
      <x:c r="H2268" t="str">
        <x:v>Bookcases</x:v>
      </x:c>
      <x:c r="I2268" s="22" t="n">
        <x:v>359.96999999999997</x:v>
      </x:c>
      <x:c r="J2268" s="24" t="n">
        <x:v>3</x:v>
      </x:c>
      <x:c r="K2268" s="26" t="n">
        <x:v>0</x:v>
      </x:c>
      <x:c r="L2268" s="22" t="n">
        <x:v>79.19339999999997</x:v>
      </x:c>
      <x:c r="M2268" t="n">
        <x:v>2017</x:v>
      </x:c>
      <x:c r="N2268" s="20" t="n">
        <x:v>42767</x:v>
      </x:c>
    </x:row>
    <x:row r="2269" ht="18" customHeight="1">
      <x:c r="A2269" t="str">
        <x:v>CA-2016-131065</x:v>
      </x:c>
      <x:c r="B2269" s="18" t="n">
        <x:v>42688</x:v>
      </x:c>
      <x:c r="C2269" t="str">
        <x:v>AA-10375</x:v>
      </x:c>
      <x:c r="D2269" t="str">
        <x:v>Allen Armold</x:v>
      </x:c>
      <x:c r="E2269" t="str">
        <x:v>Consumer</x:v>
      </x:c>
      <x:c r="F2269" t="str">
        <x:v>South</x:v>
      </x:c>
      <x:c r="G2269" t="str">
        <x:v>Technology</x:v>
      </x:c>
      <x:c r="H2269" t="str">
        <x:v>Accessories</x:v>
      </x:c>
      <x:c r="I2269" s="22" t="n">
        <x:v>499.98</x:v>
      </x:c>
      <x:c r="J2269" s="24" t="n">
        <x:v>2</x:v>
      </x:c>
      <x:c r="K2269" s="26" t="n">
        <x:v>0</x:v>
      </x:c>
      <x:c r="L2269" s="22" t="n">
        <x:v>114.99540000000002</x:v>
      </x:c>
      <x:c r="M2269" t="n">
        <x:v>2016</x:v>
      </x:c>
      <x:c r="N2269" s="20" t="n">
        <x:v>42675</x:v>
      </x:c>
    </x:row>
    <x:row r="2270" ht="18" customHeight="1">
      <x:c r="A2270" t="str">
        <x:v>CA-2016-131065</x:v>
      </x:c>
      <x:c r="B2270" s="18" t="n">
        <x:v>42688</x:v>
      </x:c>
      <x:c r="C2270" t="str">
        <x:v>AA-10375</x:v>
      </x:c>
      <x:c r="D2270" t="str">
        <x:v>Allen Armold</x:v>
      </x:c>
      <x:c r="E2270" t="str">
        <x:v>Consumer</x:v>
      </x:c>
      <x:c r="F2270" t="str">
        <x:v>South</x:v>
      </x:c>
      <x:c r="G2270" t="str">
        <x:v>Office Supplies</x:v>
      </x:c>
      <x:c r="H2270" t="str">
        <x:v>Paper</x:v>
      </x:c>
      <x:c r="I2270" s="22" t="n">
        <x:v>5.28</x:v>
      </x:c>
      <x:c r="J2270" s="24" t="n">
        <x:v>1</x:v>
      </x:c>
      <x:c r="K2270" s="26" t="n">
        <x:v>0</x:v>
      </x:c>
      <x:c r="L2270" s="22" t="n">
        <x:v>2.376</x:v>
      </x:c>
      <x:c r="M2270" t="n">
        <x:v>2016</x:v>
      </x:c>
      <x:c r="N2270" s="20" t="n">
        <x:v>42675</x:v>
      </x:c>
    </x:row>
    <x:row r="2271" ht="18" customHeight="1">
      <x:c r="A2271" t="str">
        <x:v>CA-2016-131065</x:v>
      </x:c>
      <x:c r="B2271" s="18" t="n">
        <x:v>42688</x:v>
      </x:c>
      <x:c r="C2271" t="str">
        <x:v>AA-10375</x:v>
      </x:c>
      <x:c r="D2271" t="str">
        <x:v>Allen Armold</x:v>
      </x:c>
      <x:c r="E2271" t="str">
        <x:v>Consumer</x:v>
      </x:c>
      <x:c r="F2271" t="str">
        <x:v>South</x:v>
      </x:c>
      <x:c r="G2271" t="str">
        <x:v>Office Supplies</x:v>
      </x:c>
      <x:c r="H2271" t="str">
        <x:v>Binders</x:v>
      </x:c>
      <x:c r="I2271" s="22" t="n">
        <x:v>8.26</x:v>
      </x:c>
      <x:c r="J2271" s="24" t="n">
        <x:v>2</x:v>
      </x:c>
      <x:c r="K2271" s="26" t="n">
        <x:v>0</x:v>
      </x:c>
      <x:c r="L2271" s="22" t="n">
        <x:v>3.8822</x:v>
      </x:c>
      <x:c r="M2271" t="n">
        <x:v>2016</x:v>
      </x:c>
      <x:c r="N2271" s="20" t="n">
        <x:v>42675</x:v>
      </x:c>
    </x:row>
    <x:row r="2272" ht="18" customHeight="1">
      <x:c r="A2272" t="str">
        <x:v>CA-2017-149146</x:v>
      </x:c>
      <x:c r="B2272" s="18" t="n">
        <x:v>43020</x:v>
      </x:c>
      <x:c r="C2272" t="str">
        <x:v>SM-20320</x:v>
      </x:c>
      <x:c r="D2272" t="str">
        <x:v>Sean Miller</x:v>
      </x:c>
      <x:c r="E2272" t="str">
        <x:v>Home Office</x:v>
      </x:c>
      <x:c r="F2272" t="str">
        <x:v>South</x:v>
      </x:c>
      <x:c r="G2272" t="str">
        <x:v>Office Supplies</x:v>
      </x:c>
      <x:c r="H2272" t="str">
        <x:v>Paper</x:v>
      </x:c>
      <x:c r="I2272" s="22" t="n">
        <x:v>7.968000000000001</x:v>
      </x:c>
      <x:c r="J2272" s="24" t="n">
        <x:v>2</x:v>
      </x:c>
      <x:c r="K2272" s="26" t="n">
        <x:v>0.2</x:v>
      </x:c>
      <x:c r="L2272" s="22" t="n">
        <x:v>2.6892000000000005</x:v>
      </x:c>
      <x:c r="M2272" t="n">
        <x:v>2017</x:v>
      </x:c>
      <x:c r="N2272" s="20" t="n">
        <x:v>43009</x:v>
      </x:c>
    </x:row>
    <x:row r="2273" ht="18" customHeight="1">
      <x:c r="A2273" t="str">
        <x:v>CA-2017-137470</x:v>
      </x:c>
      <x:c r="B2273" s="18" t="n">
        <x:v>42995</x:v>
      </x:c>
      <x:c r="C2273" t="str">
        <x:v>TP-21415</x:v>
      </x:c>
      <x:c r="D2273" t="str">
        <x:v>Tom Prescott</x:v>
      </x:c>
      <x:c r="E2273" t="str">
        <x:v>Consumer</x:v>
      </x:c>
      <x:c r="F2273" t="str">
        <x:v>West</x:v>
      </x:c>
      <x:c r="G2273" t="str">
        <x:v>Office Supplies</x:v>
      </x:c>
      <x:c r="H2273" t="str">
        <x:v>Paper</x:v>
      </x:c>
      <x:c r="I2273" s="22" t="n">
        <x:v>12.96</x:v>
      </x:c>
      <x:c r="J2273" s="24" t="n">
        <x:v>2</x:v>
      </x:c>
      <x:c r="K2273" s="26" t="n">
        <x:v>0</x:v>
      </x:c>
      <x:c r="L2273" s="22" t="n">
        <x:v>6.3504000000000005</x:v>
      </x:c>
      <x:c r="M2273" t="n">
        <x:v>2017</x:v>
      </x:c>
      <x:c r="N2273" s="20" t="n">
        <x:v>42979</x:v>
      </x:c>
    </x:row>
    <x:row r="2274" ht="18" customHeight="1">
      <x:c r="A2274" t="str">
        <x:v>CA-2017-105480</x:v>
      </x:c>
      <x:c r="B2274" s="18" t="n">
        <x:v>43089</x:v>
      </x:c>
      <x:c r="C2274" t="str">
        <x:v>DK-13225</x:v>
      </x:c>
      <x:c r="D2274" t="str">
        <x:v>Dean Katz</x:v>
      </x:c>
      <x:c r="E2274" t="str">
        <x:v>Corporate</x:v>
      </x:c>
      <x:c r="F2274" t="str">
        <x:v>East</x:v>
      </x:c>
      <x:c r="G2274" t="str">
        <x:v>Office Supplies</x:v>
      </x:c>
      <x:c r="H2274" t="str">
        <x:v>Paper</x:v>
      </x:c>
      <x:c r="I2274" s="22" t="n">
        <x:v>6.48</x:v>
      </x:c>
      <x:c r="J2274" s="24" t="n">
        <x:v>1</x:v>
      </x:c>
      <x:c r="K2274" s="26" t="n">
        <x:v>0</x:v>
      </x:c>
      <x:c r="L2274" s="22" t="n">
        <x:v>3.1104000000000003</x:v>
      </x:c>
      <x:c r="M2274" t="n">
        <x:v>2017</x:v>
      </x:c>
      <x:c r="N2274" s="20" t="n">
        <x:v>43070</x:v>
      </x:c>
    </x:row>
    <x:row r="2275" ht="18" customHeight="1">
      <x:c r="A2275" t="str">
        <x:v>CA-2017-105480</x:v>
      </x:c>
      <x:c r="B2275" s="18" t="n">
        <x:v>43089</x:v>
      </x:c>
      <x:c r="C2275" t="str">
        <x:v>DK-13225</x:v>
      </x:c>
      <x:c r="D2275" t="str">
        <x:v>Dean Katz</x:v>
      </x:c>
      <x:c r="E2275" t="str">
        <x:v>Corporate</x:v>
      </x:c>
      <x:c r="F2275" t="str">
        <x:v>East</x:v>
      </x:c>
      <x:c r="G2275" t="str">
        <x:v>Office Supplies</x:v>
      </x:c>
      <x:c r="H2275" t="str">
        <x:v>Binders</x:v>
      </x:c>
      <x:c r="I2275" s="22" t="n">
        <x:v>6.984000000000001</x:v>
      </x:c>
      <x:c r="J2275" s="24" t="n">
        <x:v>1</x:v>
      </x:c>
      <x:c r="K2275" s="26" t="n">
        <x:v>0.2</x:v>
      </x:c>
      <x:c r="L2275" s="22" t="n">
        <x:v>2.357099999999999</x:v>
      </x:c>
      <x:c r="M2275" t="n">
        <x:v>2017</x:v>
      </x:c>
      <x:c r="N2275" s="20" t="n">
        <x:v>43070</x:v>
      </x:c>
    </x:row>
    <x:row r="2276" ht="18" customHeight="1">
      <x:c r="A2276" t="str">
        <x:v>CA-2017-164917</x:v>
      </x:c>
      <x:c r="B2276" s="18" t="n">
        <x:v>43071</x:v>
      </x:c>
      <x:c r="C2276" t="str">
        <x:v>MK-17905</x:v>
      </x:c>
      <x:c r="D2276" t="str">
        <x:v>Michael Kennedy</x:v>
      </x:c>
      <x:c r="E2276" t="str">
        <x:v>Corporate</x:v>
      </x:c>
      <x:c r="F2276" t="str">
        <x:v>South</x:v>
      </x:c>
      <x:c r="G2276" t="str">
        <x:v>Office Supplies</x:v>
      </x:c>
      <x:c r="H2276" t="str">
        <x:v>Art</x:v>
      </x:c>
      <x:c r="I2276" s="22" t="n">
        <x:v>47.96</x:v>
      </x:c>
      <x:c r="J2276" s="24" t="n">
        <x:v>5</x:v>
      </x:c>
      <x:c r="K2276" s="26" t="n">
        <x:v>0.2</x:v>
      </x:c>
      <x:c r="L2276" s="22" t="n">
        <x:v>4.196499999999995</x:v>
      </x:c>
      <x:c r="M2276" t="n">
        <x:v>2017</x:v>
      </x:c>
      <x:c r="N2276" s="20" t="n">
        <x:v>43070</x:v>
      </x:c>
    </x:row>
    <x:row r="2277" ht="18" customHeight="1">
      <x:c r="A2277" t="str">
        <x:v>CA-2015-102036</x:v>
      </x:c>
      <x:c r="B2277" s="18" t="n">
        <x:v>42268</x:v>
      </x:c>
      <x:c r="C2277" t="str">
        <x:v>CS-12130</x:v>
      </x:c>
      <x:c r="D2277" t="str">
        <x:v>Chad Sievert</x:v>
      </x:c>
      <x:c r="E2277" t="str">
        <x:v>Consumer</x:v>
      </x:c>
      <x:c r="F2277" t="str">
        <x:v>West</x:v>
      </x:c>
      <x:c r="G2277" t="str">
        <x:v>Office Supplies</x:v>
      </x:c>
      <x:c r="H2277" t="str">
        <x:v>Storage</x:v>
      </x:c>
      <x:c r="I2277" s="22" t="n">
        <x:v>199.74</x:v>
      </x:c>
      <x:c r="J2277" s="24" t="n">
        <x:v>6</x:v>
      </x:c>
      <x:c r="K2277" s="26" t="n">
        <x:v>0</x:v>
      </x:c>
      <x:c r="L2277" s="22" t="n">
        <x:v>47.937599999999996</x:v>
      </x:c>
      <x:c r="M2277" t="n">
        <x:v>2015</x:v>
      </x:c>
      <x:c r="N2277" s="20" t="n">
        <x:v>42248</x:v>
      </x:c>
    </x:row>
    <x:row r="2278" ht="18" customHeight="1">
      <x:c r="A2278" t="str">
        <x:v>CA-2015-142944</x:v>
      </x:c>
      <x:c r="B2278" s="18" t="n">
        <x:v>42069</x:v>
      </x:c>
      <x:c r="C2278" t="str">
        <x:v>JL-15850</x:v>
      </x:c>
      <x:c r="D2278" t="str">
        <x:v>John Lucas</x:v>
      </x:c>
      <x:c r="E2278" t="str">
        <x:v>Consumer</x:v>
      </x:c>
      <x:c r="F2278" t="str">
        <x:v>West</x:v>
      </x:c>
      <x:c r="G2278" t="str">
        <x:v>Furniture</x:v>
      </x:c>
      <x:c r="H2278" t="str">
        <x:v>Furnishings</x:v>
      </x:c>
      <x:c r="I2278" s="22" t="n">
        <x:v>435.26</x:v>
      </x:c>
      <x:c r="J2278" s="24" t="n">
        <x:v>7</x:v>
      </x:c>
      <x:c r="K2278" s="26" t="n">
        <x:v>0</x:v>
      </x:c>
      <x:c r="L2278" s="22" t="n">
        <x:v>95.75720000000001</x:v>
      </x:c>
      <x:c r="M2278" t="n">
        <x:v>2015</x:v>
      </x:c>
      <x:c r="N2278" s="20" t="n">
        <x:v>42064</x:v>
      </x:c>
    </x:row>
    <x:row r="2279" ht="18" customHeight="1">
      <x:c r="A2279" t="str">
        <x:v>CA-2015-142944</x:v>
      </x:c>
      <x:c r="B2279" s="18" t="n">
        <x:v>42069</x:v>
      </x:c>
      <x:c r="C2279" t="str">
        <x:v>JL-15850</x:v>
      </x:c>
      <x:c r="D2279" t="str">
        <x:v>John Lucas</x:v>
      </x:c>
      <x:c r="E2279" t="str">
        <x:v>Consumer</x:v>
      </x:c>
      <x:c r="F2279" t="str">
        <x:v>West</x:v>
      </x:c>
      <x:c r="G2279" t="str">
        <x:v>Technology</x:v>
      </x:c>
      <x:c r="H2279" t="str">
        <x:v>Copiers</x:v>
      </x:c>
      <x:c r="I2279" s="22" t="n">
        <x:v>1119.9840000000002</x:v>
      </x:c>
      <x:c r="J2279" s="24" t="n">
        <x:v>2</x:v>
      </x:c>
      <x:c r="K2279" s="26" t="n">
        <x:v>0.2</x:v>
      </x:c>
      <x:c r="L2279" s="22" t="n">
        <x:v>377.99459999999993</x:v>
      </x:c>
      <x:c r="M2279" t="n">
        <x:v>2015</x:v>
      </x:c>
      <x:c r="N2279" s="20" t="n">
        <x:v>42064</x:v>
      </x:c>
    </x:row>
    <x:row r="2280" ht="18" customHeight="1">
      <x:c r="A2280" t="str">
        <x:v>CA-2014-157882</x:v>
      </x:c>
      <x:c r="B2280" s="18" t="n">
        <x:v>41915</x:v>
      </x:c>
      <x:c r="C2280" t="str">
        <x:v>AR-10405</x:v>
      </x:c>
      <x:c r="D2280" t="str">
        <x:v>Allen Rosenblatt</x:v>
      </x:c>
      <x:c r="E2280" t="str">
        <x:v>Corporate</x:v>
      </x:c>
      <x:c r="F2280" t="str">
        <x:v>West</x:v>
      </x:c>
      <x:c r="G2280" t="str">
        <x:v>Furniture</x:v>
      </x:c>
      <x:c r="H2280" t="str">
        <x:v>Tables</x:v>
      </x:c>
      <x:c r="I2280" s="22" t="n">
        <x:v>143.432</x:v>
      </x:c>
      <x:c r="J2280" s="24" t="n">
        <x:v>1</x:v>
      </x:c>
      <x:c r="K2280" s="26" t="n">
        <x:v>0.2</x:v>
      </x:c>
      <x:c r="L2280" s="22" t="n">
        <x:v>3.5857999999999848</x:v>
      </x:c>
      <x:c r="M2280" t="n">
        <x:v>2014</x:v>
      </x:c>
      <x:c r="N2280" s="20" t="n">
        <x:v>41913</x:v>
      </x:c>
    </x:row>
    <x:row r="2281" ht="18" customHeight="1">
      <x:c r="A2281" t="str">
        <x:v>CA-2014-157882</x:v>
      </x:c>
      <x:c r="B2281" s="18" t="n">
        <x:v>41915</x:v>
      </x:c>
      <x:c r="C2281" t="str">
        <x:v>AR-10405</x:v>
      </x:c>
      <x:c r="D2281" t="str">
        <x:v>Allen Rosenblatt</x:v>
      </x:c>
      <x:c r="E2281" t="str">
        <x:v>Corporate</x:v>
      </x:c>
      <x:c r="F2281" t="str">
        <x:v>West</x:v>
      </x:c>
      <x:c r="G2281" t="str">
        <x:v>Furniture</x:v>
      </x:c>
      <x:c r="H2281" t="str">
        <x:v>Chairs</x:v>
      </x:c>
      <x:c r="I2281" s="22" t="n">
        <x:v>122.352</x:v>
      </x:c>
      <x:c r="J2281" s="24" t="n">
        <x:v>3</x:v>
      </x:c>
      <x:c r="K2281" s="26" t="n">
        <x:v>0.2</x:v>
      </x:c>
      <x:c r="L2281" s="22" t="n">
        <x:v>13.764599999999994</x:v>
      </x:c>
      <x:c r="M2281" t="n">
        <x:v>2014</x:v>
      </x:c>
      <x:c r="N2281" s="20" t="n">
        <x:v>41913</x:v>
      </x:c>
    </x:row>
    <x:row r="2282" ht="18" customHeight="1">
      <x:c r="A2282" t="str">
        <x:v>CA-2014-104283</x:v>
      </x:c>
      <x:c r="B2282" s="18" t="n">
        <x:v>41817</x:v>
      </x:c>
      <x:c r="C2282" t="str">
        <x:v>LM-17065</x:v>
      </x:c>
      <x:c r="D2282" t="str">
        <x:v>Liz MacKendrick</x:v>
      </x:c>
      <x:c r="E2282" t="str">
        <x:v>Consumer</x:v>
      </x:c>
      <x:c r="F2282" t="str">
        <x:v>South</x:v>
      </x:c>
      <x:c r="G2282" t="str">
        <x:v>Office Supplies</x:v>
      </x:c>
      <x:c r="H2282" t="str">
        <x:v>Storage</x:v>
      </x:c>
      <x:c r="I2282" s="22" t="n">
        <x:v>306.2</x:v>
      </x:c>
      <x:c r="J2282" s="24" t="n">
        <x:v>5</x:v>
      </x:c>
      <x:c r="K2282" s="26" t="n">
        <x:v>0</x:v>
      </x:c>
      <x:c r="L2282" s="22" t="n">
        <x:v>0</x:v>
      </x:c>
      <x:c r="M2282" t="n">
        <x:v>2014</x:v>
      </x:c>
      <x:c r="N2282" s="20" t="n">
        <x:v>41791</x:v>
      </x:c>
    </x:row>
    <x:row r="2283" ht="18" customHeight="1">
      <x:c r="A2283" t="str">
        <x:v>CA-2014-104283</x:v>
      </x:c>
      <x:c r="B2283" s="18" t="n">
        <x:v>41817</x:v>
      </x:c>
      <x:c r="C2283" t="str">
        <x:v>LM-17065</x:v>
      </x:c>
      <x:c r="D2283" t="str">
        <x:v>Liz MacKendrick</x:v>
      </x:c>
      <x:c r="E2283" t="str">
        <x:v>Consumer</x:v>
      </x:c>
      <x:c r="F2283" t="str">
        <x:v>South</x:v>
      </x:c>
      <x:c r="G2283" t="str">
        <x:v>Furniture</x:v>
      </x:c>
      <x:c r="H2283" t="str">
        <x:v>Tables</x:v>
      </x:c>
      <x:c r="I2283" s="22" t="n">
        <x:v>85.98</x:v>
      </x:c>
      <x:c r="J2283" s="24" t="n">
        <x:v>1</x:v>
      </x:c>
      <x:c r="K2283" s="26" t="n">
        <x:v>0</x:v>
      </x:c>
      <x:c r="L2283" s="22" t="n">
        <x:v>22.354800000000004</x:v>
      </x:c>
      <x:c r="M2283" t="n">
        <x:v>2014</x:v>
      </x:c>
      <x:c r="N2283" s="20" t="n">
        <x:v>41791</x:v>
      </x:c>
    </x:row>
    <x:row r="2284" ht="18" customHeight="1">
      <x:c r="A2284" t="str">
        <x:v>CA-2014-104283</x:v>
      </x:c>
      <x:c r="B2284" s="18" t="n">
        <x:v>41817</x:v>
      </x:c>
      <x:c r="C2284" t="str">
        <x:v>LM-17065</x:v>
      </x:c>
      <x:c r="D2284" t="str">
        <x:v>Liz MacKendrick</x:v>
      </x:c>
      <x:c r="E2284" t="str">
        <x:v>Consumer</x:v>
      </x:c>
      <x:c r="F2284" t="str">
        <x:v>South</x:v>
      </x:c>
      <x:c r="G2284" t="str">
        <x:v>Technology</x:v>
      </x:c>
      <x:c r="H2284" t="str">
        <x:v>Accessories</x:v>
      </x:c>
      <x:c r="I2284" s="22" t="n">
        <x:v>223.96</x:v>
      </x:c>
      <x:c r="J2284" s="24" t="n">
        <x:v>4</x:v>
      </x:c>
      <x:c r="K2284" s="26" t="n">
        <x:v>0</x:v>
      </x:c>
      <x:c r="L2284" s="22" t="n">
        <x:v>53.75040000000001</x:v>
      </x:c>
      <x:c r="M2284" t="n">
        <x:v>2014</x:v>
      </x:c>
      <x:c r="N2284" s="20" t="n">
        <x:v>41791</x:v>
      </x:c>
    </x:row>
    <x:row r="2285" ht="18" customHeight="1">
      <x:c r="A2285" t="str">
        <x:v>CA-2017-142622</x:v>
      </x:c>
      <x:c r="B2285" s="18" t="n">
        <x:v>43038</x:v>
      </x:c>
      <x:c r="C2285" t="str">
        <x:v>JK-15625</x:v>
      </x:c>
      <x:c r="D2285" t="str">
        <x:v>Jim Karlsson</x:v>
      </x:c>
      <x:c r="E2285" t="str">
        <x:v>Consumer</x:v>
      </x:c>
      <x:c r="F2285" t="str">
        <x:v>West</x:v>
      </x:c>
      <x:c r="G2285" t="str">
        <x:v>Furniture</x:v>
      </x:c>
      <x:c r="H2285" t="str">
        <x:v>Chairs</x:v>
      </x:c>
      <x:c r="I2285" s="22" t="n">
        <x:v>97.568</x:v>
      </x:c>
      <x:c r="J2285" s="24" t="n">
        <x:v>2</x:v>
      </x:c>
      <x:c r="K2285" s="26" t="n">
        <x:v>0.2</x:v>
      </x:c>
      <x:c r="L2285" s="22" t="n">
        <x:v>-6.0980000000000025</x:v>
      </x:c>
      <x:c r="M2285" t="n">
        <x:v>2017</x:v>
      </x:c>
      <x:c r="N2285" s="20" t="n">
        <x:v>43009</x:v>
      </x:c>
    </x:row>
    <x:row r="2286" ht="18" customHeight="1">
      <x:c r="A2286" t="str">
        <x:v>CA-2017-142622</x:v>
      </x:c>
      <x:c r="B2286" s="18" t="n">
        <x:v>43038</x:v>
      </x:c>
      <x:c r="C2286" t="str">
        <x:v>JK-15625</x:v>
      </x:c>
      <x:c r="D2286" t="str">
        <x:v>Jim Karlsson</x:v>
      </x:c>
      <x:c r="E2286" t="str">
        <x:v>Consumer</x:v>
      </x:c>
      <x:c r="F2286" t="str">
        <x:v>West</x:v>
      </x:c>
      <x:c r="G2286" t="str">
        <x:v>Furniture</x:v>
      </x:c>
      <x:c r="H2286" t="str">
        <x:v>Chairs</x:v>
      </x:c>
      <x:c r="I2286" s="22" t="n">
        <x:v>614.272</x:v>
      </x:c>
      <x:c r="J2286" s="24" t="n">
        <x:v>8</x:v>
      </x:c>
      <x:c r="K2286" s="26" t="n">
        <x:v>0.2</x:v>
      </x:c>
      <x:c r="L2286" s="22" t="n">
        <x:v>-23.03520000000006</x:v>
      </x:c>
      <x:c r="M2286" t="n">
        <x:v>2017</x:v>
      </x:c>
      <x:c r="N2286" s="20" t="n">
        <x:v>43009</x:v>
      </x:c>
    </x:row>
    <x:row r="2287" ht="18" customHeight="1">
      <x:c r="A2287" t="str">
        <x:v>CA-2017-142622</x:v>
      </x:c>
      <x:c r="B2287" s="18" t="n">
        <x:v>43038</x:v>
      </x:c>
      <x:c r="C2287" t="str">
        <x:v>JK-15625</x:v>
      </x:c>
      <x:c r="D2287" t="str">
        <x:v>Jim Karlsson</x:v>
      </x:c>
      <x:c r="E2287" t="str">
        <x:v>Consumer</x:v>
      </x:c>
      <x:c r="F2287" t="str">
        <x:v>West</x:v>
      </x:c>
      <x:c r="G2287" t="str">
        <x:v>Furniture</x:v>
      </x:c>
      <x:c r="H2287" t="str">
        <x:v>Bookcases</x:v>
      </x:c>
      <x:c r="I2287" s="22" t="n">
        <x:v>199.98</x:v>
      </x:c>
      <x:c r="J2287" s="24" t="n">
        <x:v>2</x:v>
      </x:c>
      <x:c r="K2287" s="26" t="n">
        <x:v>0</x:v>
      </x:c>
      <x:c r="L2287" s="22" t="n">
        <x:v>37.99619999999999</x:v>
      </x:c>
      <x:c r="M2287" t="n">
        <x:v>2017</x:v>
      </x:c>
      <x:c r="N2287" s="20" t="n">
        <x:v>43009</x:v>
      </x:c>
    </x:row>
    <x:row r="2288" ht="18" customHeight="1">
      <x:c r="A2288" t="str">
        <x:v>CA-2016-132143</x:v>
      </x:c>
      <x:c r="B2288" s="18" t="n">
        <x:v>42616</x:v>
      </x:c>
      <x:c r="C2288" t="str">
        <x:v>FM-14215</x:v>
      </x:c>
      <x:c r="D2288" t="str">
        <x:v>Filia McAdams</x:v>
      </x:c>
      <x:c r="E2288" t="str">
        <x:v>Corporate</x:v>
      </x:c>
      <x:c r="F2288" t="str">
        <x:v>East</x:v>
      </x:c>
      <x:c r="G2288" t="str">
        <x:v>Office Supplies</x:v>
      </x:c>
      <x:c r="H2288" t="str">
        <x:v>Paper</x:v>
      </x:c>
      <x:c r="I2288" s="22" t="n">
        <x:v>48.16</x:v>
      </x:c>
      <x:c r="J2288" s="24" t="n">
        <x:v>7</x:v>
      </x:c>
      <x:c r="K2288" s="26" t="n">
        <x:v>0</x:v>
      </x:c>
      <x:c r="L2288" s="22" t="n">
        <x:v>22.153599999999997</x:v>
      </x:c>
      <x:c r="M2288" t="n">
        <x:v>2016</x:v>
      </x:c>
      <x:c r="N2288" s="20" t="n">
        <x:v>42614</x:v>
      </x:c>
    </x:row>
    <x:row r="2289" ht="18" customHeight="1">
      <x:c r="A2289" t="str">
        <x:v>CA-2015-153108</x:v>
      </x:c>
      <x:c r="B2289" s="18" t="n">
        <x:v>42068</x:v>
      </x:c>
      <x:c r="C2289" t="str">
        <x:v>SF-20200</x:v>
      </x:c>
      <x:c r="D2289" t="str">
        <x:v>Sarah Foster</x:v>
      </x:c>
      <x:c r="E2289" t="str">
        <x:v>Consumer</x:v>
      </x:c>
      <x:c r="F2289" t="str">
        <x:v>Central</x:v>
      </x:c>
      <x:c r="G2289" t="str">
        <x:v>Technology</x:v>
      </x:c>
      <x:c r="H2289" t="str">
        <x:v>Phones</x:v>
      </x:c>
      <x:c r="I2289" s="22" t="n">
        <x:v>23.92</x:v>
      </x:c>
      <x:c r="J2289" s="24" t="n">
        <x:v>2</x:v>
      </x:c>
      <x:c r="K2289" s="26" t="n">
        <x:v>0</x:v>
      </x:c>
      <x:c r="L2289" s="22" t="n">
        <x:v>6.697600000000001</x:v>
      </x:c>
      <x:c r="M2289" t="n">
        <x:v>2015</x:v>
      </x:c>
      <x:c r="N2289" s="20" t="n">
        <x:v>42064</x:v>
      </x:c>
    </x:row>
    <x:row r="2290" ht="18" customHeight="1">
      <x:c r="A2290" t="str">
        <x:v>CA-2015-153108</x:v>
      </x:c>
      <x:c r="B2290" s="18" t="n">
        <x:v>42068</x:v>
      </x:c>
      <x:c r="C2290" t="str">
        <x:v>SF-20200</x:v>
      </x:c>
      <x:c r="D2290" t="str">
        <x:v>Sarah Foster</x:v>
      </x:c>
      <x:c r="E2290" t="str">
        <x:v>Consumer</x:v>
      </x:c>
      <x:c r="F2290" t="str">
        <x:v>Central</x:v>
      </x:c>
      <x:c r="G2290" t="str">
        <x:v>Office Supplies</x:v>
      </x:c>
      <x:c r="H2290" t="str">
        <x:v>Appliances</x:v>
      </x:c>
      <x:c r="I2290" s="22" t="n">
        <x:v>60.69</x:v>
      </x:c>
      <x:c r="J2290" s="24" t="n">
        <x:v>7</x:v>
      </x:c>
      <x:c r="K2290" s="26" t="n">
        <x:v>0</x:v>
      </x:c>
      <x:c r="L2290" s="22" t="n">
        <x:v>16.386300000000002</x:v>
      </x:c>
      <x:c r="M2290" t="n">
        <x:v>2015</x:v>
      </x:c>
      <x:c r="N2290" s="20" t="n">
        <x:v>42064</x:v>
      </x:c>
    </x:row>
    <x:row r="2291" ht="18" customHeight="1">
      <x:c r="A2291" t="str">
        <x:v>CA-2016-112676</x:v>
      </x:c>
      <x:c r="B2291" s="18" t="n">
        <x:v>42495</x:v>
      </x:c>
      <x:c r="C2291" t="str">
        <x:v>PJ-18835</x:v>
      </x:c>
      <x:c r="D2291" t="str">
        <x:v>Patrick Jones</x:v>
      </x:c>
      <x:c r="E2291" t="str">
        <x:v>Corporate</x:v>
      </x:c>
      <x:c r="F2291" t="str">
        <x:v>South</x:v>
      </x:c>
      <x:c r="G2291" t="str">
        <x:v>Office Supplies</x:v>
      </x:c>
      <x:c r="H2291" t="str">
        <x:v>Paper</x:v>
      </x:c>
      <x:c r="I2291" s="22" t="n">
        <x:v>14.352000000000002</x:v>
      </x:c>
      <x:c r="J2291" s="24" t="n">
        <x:v>3</x:v>
      </x:c>
      <x:c r="K2291" s="26" t="n">
        <x:v>0.2</x:v>
      </x:c>
      <x:c r="L2291" s="22" t="n">
        <x:v>5.2026</x:v>
      </x:c>
      <x:c r="M2291" t="n">
        <x:v>2016</x:v>
      </x:c>
      <x:c r="N2291" s="20" t="n">
        <x:v>42491</x:v>
      </x:c>
    </x:row>
    <x:row r="2292" ht="18" customHeight="1">
      <x:c r="A2292" t="str">
        <x:v>CA-2017-165687</x:v>
      </x:c>
      <x:c r="B2292" s="18" t="n">
        <x:v>43056</x:v>
      </x:c>
      <x:c r="C2292" t="str">
        <x:v>CS-12355</x:v>
      </x:c>
      <x:c r="D2292" t="str">
        <x:v>Christine Sundaresam</x:v>
      </x:c>
      <x:c r="E2292" t="str">
        <x:v>Consumer</x:v>
      </x:c>
      <x:c r="F2292" t="str">
        <x:v>South</x:v>
      </x:c>
      <x:c r="G2292" t="str">
        <x:v>Office Supplies</x:v>
      </x:c>
      <x:c r="H2292" t="str">
        <x:v>Appliances</x:v>
      </x:c>
      <x:c r="I2292" s="22" t="n">
        <x:v>35.04</x:v>
      </x:c>
      <x:c r="J2292" s="24" t="n">
        <x:v>2</x:v>
      </x:c>
      <x:c r="K2292" s="26" t="n">
        <x:v>0</x:v>
      </x:c>
      <x:c r="L2292" s="22" t="n">
        <x:v>12.264</x:v>
      </x:c>
      <x:c r="M2292" t="n">
        <x:v>2017</x:v>
      </x:c>
      <x:c r="N2292" s="20" t="n">
        <x:v>43040</x:v>
      </x:c>
    </x:row>
    <x:row r="2293" ht="18" customHeight="1">
      <x:c r="A2293" t="str">
        <x:v>US-2017-112928</x:v>
      </x:c>
      <x:c r="B2293" s="18" t="n">
        <x:v>42887</x:v>
      </x:c>
      <x:c r="C2293" t="str">
        <x:v>BB-10990</x:v>
      </x:c>
      <x:c r="D2293" t="str">
        <x:v>Barry Blumstein</x:v>
      </x:c>
      <x:c r="E2293" t="str">
        <x:v>Corporate</x:v>
      </x:c>
      <x:c r="F2293" t="str">
        <x:v>East</x:v>
      </x:c>
      <x:c r="G2293" t="str">
        <x:v>Office Supplies</x:v>
      </x:c>
      <x:c r="H2293" t="str">
        <x:v>Appliances</x:v>
      </x:c>
      <x:c r="I2293" s="22" t="n">
        <x:v>17.480000000000004</x:v>
      </x:c>
      <x:c r="J2293" s="24" t="n">
        <x:v>5</x:v>
      </x:c>
      <x:c r="K2293" s="26" t="n">
        <x:v>0.2</x:v>
      </x:c>
      <x:c r="L2293" s="22" t="n">
        <x:v>1.311</x:v>
      </x:c>
      <x:c r="M2293" t="n">
        <x:v>2017</x:v>
      </x:c>
      <x:c r="N2293" s="20" t="n">
        <x:v>42887</x:v>
      </x:c>
    </x:row>
    <x:row r="2294" ht="18" customHeight="1">
      <x:c r="A2294" t="str">
        <x:v>CA-2017-143343</x:v>
      </x:c>
      <x:c r="B2294" s="18" t="n">
        <x:v>42896</x:v>
      </x:c>
      <x:c r="C2294" t="str">
        <x:v>BW-11200</x:v>
      </x:c>
      <x:c r="D2294" t="str">
        <x:v>Ben Wallace</x:v>
      </x:c>
      <x:c r="E2294" t="str">
        <x:v>Consumer</x:v>
      </x:c>
      <x:c r="F2294" t="str">
        <x:v>West</x:v>
      </x:c>
      <x:c r="G2294" t="str">
        <x:v>Office Supplies</x:v>
      </x:c>
      <x:c r="H2294" t="str">
        <x:v>Art</x:v>
      </x:c>
      <x:c r="I2294" s="22" t="n">
        <x:v>16.4</x:v>
      </x:c>
      <x:c r="J2294" s="24" t="n">
        <x:v>5</x:v>
      </x:c>
      <x:c r="K2294" s="26" t="n">
        <x:v>0</x:v>
      </x:c>
      <x:c r="L2294" s="22" t="n">
        <x:v>4.7559999999999985</x:v>
      </x:c>
      <x:c r="M2294" t="n">
        <x:v>2017</x:v>
      </x:c>
      <x:c r="N2294" s="20" t="n">
        <x:v>42887</x:v>
      </x:c>
    </x:row>
    <x:row r="2295" ht="18" customHeight="1">
      <x:c r="A2295" t="str">
        <x:v>CA-2017-115154</x:v>
      </x:c>
      <x:c r="B2295" s="18" t="n">
        <x:v>42743</x:v>
      </x:c>
      <x:c r="C2295" t="str">
        <x:v>RS-19420</x:v>
      </x:c>
      <x:c r="D2295" t="str">
        <x:v>Ricardo Sperren</x:v>
      </x:c>
      <x:c r="E2295" t="str">
        <x:v>Corporate</x:v>
      </x:c>
      <x:c r="F2295" t="str">
        <x:v>West</x:v>
      </x:c>
      <x:c r="G2295" t="str">
        <x:v>Furniture</x:v>
      </x:c>
      <x:c r="H2295" t="str">
        <x:v>Tables</x:v>
      </x:c>
      <x:c r="I2295" s="22" t="n">
        <x:v>892.98</x:v>
      </x:c>
      <x:c r="J2295" s="24" t="n">
        <x:v>2</x:v>
      </x:c>
      <x:c r="K2295" s="26" t="n">
        <x:v>0</x:v>
      </x:c>
      <x:c r="L2295" s="22" t="n">
        <x:v>80.3682</x:v>
      </x:c>
      <x:c r="M2295" t="n">
        <x:v>2017</x:v>
      </x:c>
      <x:c r="N2295" s="20" t="n">
        <x:v>42736</x:v>
      </x:c>
    </x:row>
    <x:row r="2296" ht="18" customHeight="1">
      <x:c r="A2296" t="str">
        <x:v>CA-2015-149342</x:v>
      </x:c>
      <x:c r="B2296" s="18" t="n">
        <x:v>42114</x:v>
      </x:c>
      <x:c r="C2296" t="str">
        <x:v>TS-21160</x:v>
      </x:c>
      <x:c r="D2296" t="str">
        <x:v>Theresa Swint</x:v>
      </x:c>
      <x:c r="E2296" t="str">
        <x:v>Corporate</x:v>
      </x:c>
      <x:c r="F2296" t="str">
        <x:v>South</x:v>
      </x:c>
      <x:c r="G2296" t="str">
        <x:v>Technology</x:v>
      </x:c>
      <x:c r="H2296" t="str">
        <x:v>Phones</x:v>
      </x:c>
      <x:c r="I2296" s="22" t="n">
        <x:v>287.96999999999997</x:v>
      </x:c>
      <x:c r="J2296" s="24" t="n">
        <x:v>3</x:v>
      </x:c>
      <x:c r="K2296" s="26" t="n">
        <x:v>0</x:v>
      </x:c>
      <x:c r="L2296" s="22" t="n">
        <x:v>77.75189999999999</x:v>
      </x:c>
      <x:c r="M2296" t="n">
        <x:v>2015</x:v>
      </x:c>
      <x:c r="N2296" s="20" t="n">
        <x:v>42095</x:v>
      </x:c>
    </x:row>
    <x:row r="2297" ht="18" customHeight="1">
      <x:c r="A2297" t="str">
        <x:v>CA-2015-149342</x:v>
      </x:c>
      <x:c r="B2297" s="18" t="n">
        <x:v>42114</x:v>
      </x:c>
      <x:c r="C2297" t="str">
        <x:v>TS-21160</x:v>
      </x:c>
      <x:c r="D2297" t="str">
        <x:v>Theresa Swint</x:v>
      </x:c>
      <x:c r="E2297" t="str">
        <x:v>Corporate</x:v>
      </x:c>
      <x:c r="F2297" t="str">
        <x:v>South</x:v>
      </x:c>
      <x:c r="G2297" t="str">
        <x:v>Furniture</x:v>
      </x:c>
      <x:c r="H2297" t="str">
        <x:v>Furnishings</x:v>
      </x:c>
      <x:c r="I2297" s="22" t="n">
        <x:v>595.38</x:v>
      </x:c>
      <x:c r="J2297" s="24" t="n">
        <x:v>6</x:v>
      </x:c>
      <x:c r="K2297" s="26" t="n">
        <x:v>0</x:v>
      </x:c>
      <x:c r="L2297" s="22" t="n">
        <x:v>297.69</x:v>
      </x:c>
      <x:c r="M2297" t="n">
        <x:v>2015</x:v>
      </x:c>
      <x:c r="N2297" s="20" t="n">
        <x:v>42095</x:v>
      </x:c>
    </x:row>
    <x:row r="2298" ht="18" customHeight="1">
      <x:c r="A2298" t="str">
        <x:v>CA-2015-149342</x:v>
      </x:c>
      <x:c r="B2298" s="18" t="n">
        <x:v>42114</x:v>
      </x:c>
      <x:c r="C2298" t="str">
        <x:v>TS-21160</x:v>
      </x:c>
      <x:c r="D2298" t="str">
        <x:v>Theresa Swint</x:v>
      </x:c>
      <x:c r="E2298" t="str">
        <x:v>Corporate</x:v>
      </x:c>
      <x:c r="F2298" t="str">
        <x:v>South</x:v>
      </x:c>
      <x:c r="G2298" t="str">
        <x:v>Office Supplies</x:v>
      </x:c>
      <x:c r="H2298" t="str">
        <x:v>Paper</x:v>
      </x:c>
      <x:c r="I2298" s="22" t="n">
        <x:v>12.96</x:v>
      </x:c>
      <x:c r="J2298" s="24" t="n">
        <x:v>2</x:v>
      </x:c>
      <x:c r="K2298" s="26" t="n">
        <x:v>0</x:v>
      </x:c>
      <x:c r="L2298" s="22" t="n">
        <x:v>6.2208000000000006</x:v>
      </x:c>
      <x:c r="M2298" t="n">
        <x:v>2015</x:v>
      </x:c>
      <x:c r="N2298" s="20" t="n">
        <x:v>42095</x:v>
      </x:c>
    </x:row>
    <x:row r="2299" ht="18" customHeight="1">
      <x:c r="A2299" t="str">
        <x:v>CA-2015-130995</x:v>
      </x:c>
      <x:c r="B2299" s="18" t="n">
        <x:v>42309</x:v>
      </x:c>
      <x:c r="C2299" t="str">
        <x:v>QJ-19255</x:v>
      </x:c>
      <x:c r="D2299" t="str">
        <x:v>Quincy Jones</x:v>
      </x:c>
      <x:c r="E2299" t="str">
        <x:v>Corporate</x:v>
      </x:c>
      <x:c r="F2299" t="str">
        <x:v>East</x:v>
      </x:c>
      <x:c r="G2299" t="str">
        <x:v>Technology</x:v>
      </x:c>
      <x:c r="H2299" t="str">
        <x:v>Phones</x:v>
      </x:c>
      <x:c r="I2299" s="22" t="n">
        <x:v>4.95</x:v>
      </x:c>
      <x:c r="J2299" s="24" t="n">
        <x:v>1</x:v>
      </x:c>
      <x:c r="K2299" s="26" t="n">
        <x:v>0</x:v>
      </x:c>
      <x:c r="L2299" s="22" t="n">
        <x:v>1.3365</x:v>
      </x:c>
      <x:c r="M2299" t="n">
        <x:v>2015</x:v>
      </x:c>
      <x:c r="N2299" s="20" t="n">
        <x:v>42309</x:v>
      </x:c>
    </x:row>
    <x:row r="2300" ht="18" customHeight="1">
      <x:c r="A2300" t="str">
        <x:v>CA-2017-127929</x:v>
      </x:c>
      <x:c r="B2300" s="18" t="n">
        <x:v>43092</x:v>
      </x:c>
      <x:c r="C2300" t="str">
        <x:v>FM-14215</x:v>
      </x:c>
      <x:c r="D2300" t="str">
        <x:v>Filia McAdams</x:v>
      </x:c>
      <x:c r="E2300" t="str">
        <x:v>Corporate</x:v>
      </x:c>
      <x:c r="F2300" t="str">
        <x:v>East</x:v>
      </x:c>
      <x:c r="G2300" t="str">
        <x:v>Furniture</x:v>
      </x:c>
      <x:c r="H2300" t="str">
        <x:v>Furnishings</x:v>
      </x:c>
      <x:c r="I2300" s="22" t="n">
        <x:v>181.95</x:v>
      </x:c>
      <x:c r="J2300" s="24" t="n">
        <x:v>3</x:v>
      </x:c>
      <x:c r="K2300" s="26" t="n">
        <x:v>0</x:v>
      </x:c>
      <x:c r="L2300" s="22" t="n">
        <x:v>38.2095</x:v>
      </x:c>
      <x:c r="M2300" t="n">
        <x:v>2017</x:v>
      </x:c>
      <x:c r="N2300" s="20" t="n">
        <x:v>43070</x:v>
      </x:c>
    </x:row>
    <x:row r="2301" ht="18" customHeight="1">
      <x:c r="A2301" t="str">
        <x:v>CA-2015-113145</x:v>
      </x:c>
      <x:c r="B2301" s="18" t="n">
        <x:v>42309</x:v>
      </x:c>
      <x:c r="C2301" t="str">
        <x:v>VD-21670</x:v>
      </x:c>
      <x:c r="D2301" t="str">
        <x:v>Valerie Dominguez</x:v>
      </x:c>
      <x:c r="E2301" t="str">
        <x:v>Consumer</x:v>
      </x:c>
      <x:c r="F2301" t="str">
        <x:v>East</x:v>
      </x:c>
      <x:c r="G2301" t="str">
        <x:v>Office Supplies</x:v>
      </x:c>
      <x:c r="H2301" t="str">
        <x:v>Paper</x:v>
      </x:c>
      <x:c r="I2301" s="22" t="n">
        <x:v>13.52</x:v>
      </x:c>
      <x:c r="J2301" s="24" t="n">
        <x:v>4</x:v>
      </x:c>
      <x:c r="K2301" s="26" t="n">
        <x:v>0</x:v>
      </x:c>
      <x:c r="L2301" s="22" t="n">
        <x:v>6.219199999999999</x:v>
      </x:c>
      <x:c r="M2301" t="n">
        <x:v>2015</x:v>
      </x:c>
      <x:c r="N2301" s="20" t="n">
        <x:v>42309</x:v>
      </x:c>
    </x:row>
    <x:row r="2302" ht="18" customHeight="1">
      <x:c r="A2302" t="str">
        <x:v>CA-2015-113145</x:v>
      </x:c>
      <x:c r="B2302" s="18" t="n">
        <x:v>42309</x:v>
      </x:c>
      <x:c r="C2302" t="str">
        <x:v>VD-21670</x:v>
      </x:c>
      <x:c r="D2302" t="str">
        <x:v>Valerie Dominguez</x:v>
      </x:c>
      <x:c r="E2302" t="str">
        <x:v>Consumer</x:v>
      </x:c>
      <x:c r="F2302" t="str">
        <x:v>East</x:v>
      </x:c>
      <x:c r="G2302" t="str">
        <x:v>Furniture</x:v>
      </x:c>
      <x:c r="H2302" t="str">
        <x:v>Furnishings</x:v>
      </x:c>
      <x:c r="I2302" s="22" t="n">
        <x:v>259.7</x:v>
      </x:c>
      <x:c r="J2302" s="24" t="n">
        <x:v>5</x:v>
      </x:c>
      <x:c r="K2302" s="26" t="n">
        <x:v>0</x:v>
      </x:c>
      <x:c r="L2302" s="22" t="n">
        <x:v>106.477</x:v>
      </x:c>
      <x:c r="M2302" t="n">
        <x:v>2015</x:v>
      </x:c>
      <x:c r="N2302" s="20" t="n">
        <x:v>42309</x:v>
      </x:c>
    </x:row>
    <x:row r="2303" ht="18" customHeight="1">
      <x:c r="A2303" t="str">
        <x:v>CA-2015-113145</x:v>
      </x:c>
      <x:c r="B2303" s="18" t="n">
        <x:v>42309</x:v>
      </x:c>
      <x:c r="C2303" t="str">
        <x:v>VD-21670</x:v>
      </x:c>
      <x:c r="D2303" t="str">
        <x:v>Valerie Dominguez</x:v>
      </x:c>
      <x:c r="E2303" t="str">
        <x:v>Consumer</x:v>
      </x:c>
      <x:c r="F2303" t="str">
        <x:v>East</x:v>
      </x:c>
      <x:c r="G2303" t="str">
        <x:v>Technology</x:v>
      </x:c>
      <x:c r="H2303" t="str">
        <x:v>Phones</x:v>
      </x:c>
      <x:c r="I2303" s="22" t="n">
        <x:v>42.95</x:v>
      </x:c>
      <x:c r="J2303" s="24" t="n">
        <x:v>1</x:v>
      </x:c>
      <x:c r="K2303" s="26" t="n">
        <x:v>0</x:v>
      </x:c>
      <x:c r="L2303" s="22" t="n">
        <x:v>1.288499999999999</x:v>
      </x:c>
      <x:c r="M2303" t="n">
        <x:v>2015</x:v>
      </x:c>
      <x:c r="N2303" s="20" t="n">
        <x:v>42309</x:v>
      </x:c>
    </x:row>
    <x:row r="2304" ht="18" customHeight="1">
      <x:c r="A2304" t="str">
        <x:v>CA-2015-113145</x:v>
      </x:c>
      <x:c r="B2304" s="18" t="n">
        <x:v>42309</x:v>
      </x:c>
      <x:c r="C2304" t="str">
        <x:v>VD-21670</x:v>
      </x:c>
      <x:c r="D2304" t="str">
        <x:v>Valerie Dominguez</x:v>
      </x:c>
      <x:c r="E2304" t="str">
        <x:v>Consumer</x:v>
      </x:c>
      <x:c r="F2304" t="str">
        <x:v>East</x:v>
      </x:c>
      <x:c r="G2304" t="str">
        <x:v>Technology</x:v>
      </x:c>
      <x:c r="H2304" t="str">
        <x:v>Accessories</x:v>
      </x:c>
      <x:c r="I2304" s="22" t="n">
        <x:v>1399.93</x:v>
      </x:c>
      <x:c r="J2304" s="24" t="n">
        <x:v>7</x:v>
      </x:c>
      <x:c r="K2304" s="26" t="n">
        <x:v>0</x:v>
      </x:c>
      <x:c r="L2304" s="22" t="n">
        <x:v>601.9699</x:v>
      </x:c>
      <x:c r="M2304" t="n">
        <x:v>2015</x:v>
      </x:c>
      <x:c r="N2304" s="20" t="n">
        <x:v>42309</x:v>
      </x:c>
    </x:row>
    <x:row r="2305" ht="18" customHeight="1">
      <x:c r="A2305" t="str">
        <x:v>CA-2015-113145</x:v>
      </x:c>
      <x:c r="B2305" s="18" t="n">
        <x:v>42309</x:v>
      </x:c>
      <x:c r="C2305" t="str">
        <x:v>VD-21670</x:v>
      </x:c>
      <x:c r="D2305" t="str">
        <x:v>Valerie Dominguez</x:v>
      </x:c>
      <x:c r="E2305" t="str">
        <x:v>Consumer</x:v>
      </x:c>
      <x:c r="F2305" t="str">
        <x:v>East</x:v>
      </x:c>
      <x:c r="G2305" t="str">
        <x:v>Technology</x:v>
      </x:c>
      <x:c r="H2305" t="str">
        <x:v>Phones</x:v>
      </x:c>
      <x:c r="I2305" s="22" t="n">
        <x:v>503.96</x:v>
      </x:c>
      <x:c r="J2305" s="24" t="n">
        <x:v>4</x:v>
      </x:c>
      <x:c r="K2305" s="26" t="n">
        <x:v>0</x:v>
      </x:c>
      <x:c r="L2305" s="22" t="n">
        <x:v>125.99000000000001</x:v>
      </x:c>
      <x:c r="M2305" t="n">
        <x:v>2015</x:v>
      </x:c>
      <x:c r="N2305" s="20" t="n">
        <x:v>42309</x:v>
      </x:c>
    </x:row>
    <x:row r="2306" ht="18" customHeight="1">
      <x:c r="A2306" t="str">
        <x:v>CA-2014-162362</x:v>
      </x:c>
      <x:c r="B2306" s="18" t="n">
        <x:v>41957</x:v>
      </x:c>
      <x:c r="C2306" t="str">
        <x:v>JL-15505</x:v>
      </x:c>
      <x:c r="D2306" t="str">
        <x:v>Jeremy Lonsdale</x:v>
      </x:c>
      <x:c r="E2306" t="str">
        <x:v>Consumer</x:v>
      </x:c>
      <x:c r="F2306" t="str">
        <x:v>Central</x:v>
      </x:c>
      <x:c r="G2306" t="str">
        <x:v>Office Supplies</x:v>
      </x:c>
      <x:c r="H2306" t="str">
        <x:v>Binders</x:v>
      </x:c>
      <x:c r="I2306" s="22" t="n">
        <x:v>12.72</x:v>
      </x:c>
      <x:c r="J2306" s="24" t="n">
        <x:v>3</x:v>
      </x:c>
      <x:c r="K2306" s="26" t="n">
        <x:v>0</x:v>
      </x:c>
      <x:c r="L2306" s="22" t="n">
        <x:v>6.36</x:v>
      </x:c>
      <x:c r="M2306" t="n">
        <x:v>2014</x:v>
      </x:c>
      <x:c r="N2306" s="20" t="n">
        <x:v>41944</x:v>
      </x:c>
    </x:row>
    <x:row r="2307" ht="18" customHeight="1">
      <x:c r="A2307" t="str">
        <x:v>CA-2014-162362</x:v>
      </x:c>
      <x:c r="B2307" s="18" t="n">
        <x:v>41957</x:v>
      </x:c>
      <x:c r="C2307" t="str">
        <x:v>JL-15505</x:v>
      </x:c>
      <x:c r="D2307" t="str">
        <x:v>Jeremy Lonsdale</x:v>
      </x:c>
      <x:c r="E2307" t="str">
        <x:v>Consumer</x:v>
      </x:c>
      <x:c r="F2307" t="str">
        <x:v>Central</x:v>
      </x:c>
      <x:c r="G2307" t="str">
        <x:v>Office Supplies</x:v>
      </x:c>
      <x:c r="H2307" t="str">
        <x:v>Binders</x:v>
      </x:c>
      <x:c r="I2307" s="22" t="n">
        <x:v>11.52</x:v>
      </x:c>
      <x:c r="J2307" s="24" t="n">
        <x:v>4</x:v>
      </x:c>
      <x:c r="K2307" s="26" t="n">
        <x:v>0</x:v>
      </x:c>
      <x:c r="L2307" s="22" t="n">
        <x:v>5.6448</x:v>
      </x:c>
      <x:c r="M2307" t="n">
        <x:v>2014</x:v>
      </x:c>
      <x:c r="N2307" s="20" t="n">
        <x:v>41944</x:v>
      </x:c>
    </x:row>
    <x:row r="2308" ht="18" customHeight="1">
      <x:c r="A2308" t="str">
        <x:v>CA-2016-106558</x:v>
      </x:c>
      <x:c r="B2308" s="18" t="n">
        <x:v>42386</x:v>
      </x:c>
      <x:c r="C2308" t="str">
        <x:v>DL-13495</x:v>
      </x:c>
      <x:c r="D2308" t="str">
        <x:v>Dionis Lloyd</x:v>
      </x:c>
      <x:c r="E2308" t="str">
        <x:v>Corporate</x:v>
      </x:c>
      <x:c r="F2308" t="str">
        <x:v>South</x:v>
      </x:c>
      <x:c r="G2308" t="str">
        <x:v>Technology</x:v>
      </x:c>
      <x:c r="H2308" t="str">
        <x:v>Accessories</x:v>
      </x:c>
      <x:c r="I2308" s="22" t="n">
        <x:v>316</x:v>
      </x:c>
      <x:c r="J2308" s="24" t="n">
        <x:v>4</x:v>
      </x:c>
      <x:c r="K2308" s="26" t="n">
        <x:v>0</x:v>
      </x:c>
      <x:c r="L2308" s="22" t="n">
        <x:v>31.599999999999966</x:v>
      </x:c>
      <x:c r="M2308" t="n">
        <x:v>2016</x:v>
      </x:c>
      <x:c r="N2308" s="20" t="n">
        <x:v>42370</x:v>
      </x:c>
    </x:row>
    <x:row r="2309" ht="18" customHeight="1">
      <x:c r="A2309" t="str">
        <x:v>CA-2017-157931</x:v>
      </x:c>
      <x:c r="B2309" s="18" t="n">
        <x:v>42995</x:v>
      </x:c>
      <x:c r="C2309" t="str">
        <x:v>MO-17800</x:v>
      </x:c>
      <x:c r="D2309" t="str">
        <x:v>Meg O'Connel</x:v>
      </x:c>
      <x:c r="E2309" t="str">
        <x:v>Home Office</x:v>
      </x:c>
      <x:c r="F2309" t="str">
        <x:v>South</x:v>
      </x:c>
      <x:c r="G2309" t="str">
        <x:v>Furniture</x:v>
      </x:c>
      <x:c r="H2309" t="str">
        <x:v>Chairs</x:v>
      </x:c>
      <x:c r="I2309" s="22" t="n">
        <x:v>723.92</x:v>
      </x:c>
      <x:c r="J2309" s="24" t="n">
        <x:v>4</x:v>
      </x:c>
      <x:c r="K2309" s="26" t="n">
        <x:v>0</x:v>
      </x:c>
      <x:c r="L2309" s="22" t="n">
        <x:v>188.2192</x:v>
      </x:c>
      <x:c r="M2309" t="n">
        <x:v>2017</x:v>
      </x:c>
      <x:c r="N2309" s="20" t="n">
        <x:v>42979</x:v>
      </x:c>
    </x:row>
    <x:row r="2310" ht="18" customHeight="1">
      <x:c r="A2310" t="str">
        <x:v>CA-2017-157931</x:v>
      </x:c>
      <x:c r="B2310" s="18" t="n">
        <x:v>42995</x:v>
      </x:c>
      <x:c r="C2310" t="str">
        <x:v>MO-17800</x:v>
      </x:c>
      <x:c r="D2310" t="str">
        <x:v>Meg O'Connel</x:v>
      </x:c>
      <x:c r="E2310" t="str">
        <x:v>Home Office</x:v>
      </x:c>
      <x:c r="F2310" t="str">
        <x:v>South</x:v>
      </x:c>
      <x:c r="G2310" t="str">
        <x:v>Office Supplies</x:v>
      </x:c>
      <x:c r="H2310" t="str">
        <x:v>Paper</x:v>
      </x:c>
      <x:c r="I2310" s="22" t="n">
        <x:v>106.32</x:v>
      </x:c>
      <x:c r="J2310" s="24" t="n">
        <x:v>3</x:v>
      </x:c>
      <x:c r="K2310" s="26" t="n">
        <x:v>0</x:v>
      </x:c>
      <x:c r="L2310" s="22" t="n">
        <x:v>49.97039999999999</x:v>
      </x:c>
      <x:c r="M2310" t="n">
        <x:v>2017</x:v>
      </x:c>
      <x:c r="N2310" s="20" t="n">
        <x:v>42979</x:v>
      </x:c>
    </x:row>
    <x:row r="2311" ht="18" customHeight="1">
      <x:c r="A2311" t="str">
        <x:v>CA-2016-115574</x:v>
      </x:c>
      <x:c r="B2311" s="18" t="n">
        <x:v>42727</x:v>
      </x:c>
      <x:c r="C2311" t="str">
        <x:v>BP-11185</x:v>
      </x:c>
      <x:c r="D2311" t="str">
        <x:v>Ben Peterman</x:v>
      </x:c>
      <x:c r="E2311" t="str">
        <x:v>Corporate</x:v>
      </x:c>
      <x:c r="F2311" t="str">
        <x:v>Central</x:v>
      </x:c>
      <x:c r="G2311" t="str">
        <x:v>Furniture</x:v>
      </x:c>
      <x:c r="H2311" t="str">
        <x:v>Bookcases</x:v>
      </x:c>
      <x:c r="I2311" s="22" t="n">
        <x:v>141.37199999999999</x:v>
      </x:c>
      <x:c r="J2311" s="24" t="n">
        <x:v>2</x:v>
      </x:c>
      <x:c r="K2311" s="26" t="n">
        <x:v>0.3</x:v>
      </x:c>
      <x:c r="L2311" s="22" t="n">
        <x:v>-14.137200000000014</x:v>
      </x:c>
      <x:c r="M2311" t="n">
        <x:v>2016</x:v>
      </x:c>
      <x:c r="N2311" s="20" t="n">
        <x:v>42705</x:v>
      </x:c>
    </x:row>
    <x:row r="2312" ht="18" customHeight="1">
      <x:c r="A2312" t="str">
        <x:v>CA-2015-160794</x:v>
      </x:c>
      <x:c r="B2312" s="18" t="n">
        <x:v>42222</x:v>
      </x:c>
      <x:c r="C2312" t="str">
        <x:v>MS-17980</x:v>
      </x:c>
      <x:c r="D2312" t="str">
        <x:v>Michael Stewart</x:v>
      </x:c>
      <x:c r="E2312" t="str">
        <x:v>Corporate</x:v>
      </x:c>
      <x:c r="F2312" t="str">
        <x:v>Central</x:v>
      </x:c>
      <x:c r="G2312" t="str">
        <x:v>Office Supplies</x:v>
      </x:c>
      <x:c r="H2312" t="str">
        <x:v>Paper</x:v>
      </x:c>
      <x:c r="I2312" s="22" t="n">
        <x:v>27.216</x:v>
      </x:c>
      <x:c r="J2312" s="24" t="n">
        <x:v>3</x:v>
      </x:c>
      <x:c r="K2312" s="26" t="n">
        <x:v>0.2</x:v>
      </x:c>
      <x:c r="L2312" s="22" t="n">
        <x:v>9.865799999999998</x:v>
      </x:c>
      <x:c r="M2312" t="n">
        <x:v>2015</x:v>
      </x:c>
      <x:c r="N2312" s="20" t="n">
        <x:v>42217</x:v>
      </x:c>
    </x:row>
    <x:row r="2313" ht="18" customHeight="1">
      <x:c r="A2313" t="str">
        <x:v>CA-2017-116225</x:v>
      </x:c>
      <x:c r="B2313" s="18" t="n">
        <x:v>43044</x:v>
      </x:c>
      <x:c r="C2313" t="str">
        <x:v>SV-20935</x:v>
      </x:c>
      <x:c r="D2313" t="str">
        <x:v>Susan Vittorini</x:v>
      </x:c>
      <x:c r="E2313" t="str">
        <x:v>Consumer</x:v>
      </x:c>
      <x:c r="F2313" t="str">
        <x:v>East</x:v>
      </x:c>
      <x:c r="G2313" t="str">
        <x:v>Technology</x:v>
      </x:c>
      <x:c r="H2313" t="str">
        <x:v>Accessories</x:v>
      </x:c>
      <x:c r="I2313" s="22" t="n">
        <x:v>390.75</x:v>
      </x:c>
      <x:c r="J2313" s="24" t="n">
        <x:v>5</x:v>
      </x:c>
      <x:c r="K2313" s="26" t="n">
        <x:v>0</x:v>
      </x:c>
      <x:c r="L2313" s="22" t="n">
        <x:v>171.93000000000006</x:v>
      </x:c>
      <x:c r="M2313" t="n">
        <x:v>2017</x:v>
      </x:c>
      <x:c r="N2313" s="20" t="n">
        <x:v>43040</x:v>
      </x:c>
    </x:row>
    <x:row r="2314" ht="18" customHeight="1">
      <x:c r="A2314" t="str">
        <x:v>US-2017-120418</x:v>
      </x:c>
      <x:c r="B2314" s="18" t="n">
        <x:v>42897</x:v>
      </x:c>
      <x:c r="C2314" t="str">
        <x:v>BC-11125</x:v>
      </x:c>
      <x:c r="D2314" t="str">
        <x:v>Becky Castell</x:v>
      </x:c>
      <x:c r="E2314" t="str">
        <x:v>Home Office</x:v>
      </x:c>
      <x:c r="F2314" t="str">
        <x:v>West</x:v>
      </x:c>
      <x:c r="G2314" t="str">
        <x:v>Furniture</x:v>
      </x:c>
      <x:c r="H2314" t="str">
        <x:v>Chairs</x:v>
      </x:c>
      <x:c r="I2314" s="22" t="n">
        <x:v>280.79200000000003</x:v>
      </x:c>
      <x:c r="J2314" s="24" t="n">
        <x:v>1</x:v>
      </x:c>
      <x:c r="K2314" s="26" t="n">
        <x:v>0.2</x:v>
      </x:c>
      <x:c r="L2314" s="22" t="n">
        <x:v>35.09899999999996</x:v>
      </x:c>
      <x:c r="M2314" t="n">
        <x:v>2017</x:v>
      </x:c>
      <x:c r="N2314" s="20" t="n">
        <x:v>42887</x:v>
      </x:c>
    </x:row>
    <x:row r="2315" ht="18" customHeight="1">
      <x:c r="A2315" t="str">
        <x:v>US-2017-120418</x:v>
      </x:c>
      <x:c r="B2315" s="18" t="n">
        <x:v>42897</x:v>
      </x:c>
      <x:c r="C2315" t="str">
        <x:v>BC-11125</x:v>
      </x:c>
      <x:c r="D2315" t="str">
        <x:v>Becky Castell</x:v>
      </x:c>
      <x:c r="E2315" t="str">
        <x:v>Home Office</x:v>
      </x:c>
      <x:c r="F2315" t="str">
        <x:v>West</x:v>
      </x:c>
      <x:c r="G2315" t="str">
        <x:v>Office Supplies</x:v>
      </x:c>
      <x:c r="H2315" t="str">
        <x:v>Storage</x:v>
      </x:c>
      <x:c r="I2315" s="22" t="n">
        <x:v>68.44800000000001</x:v>
      </x:c>
      <x:c r="J2315" s="24" t="n">
        <x:v>4</x:v>
      </x:c>
      <x:c r="K2315" s="26" t="n">
        <x:v>0.2</x:v>
      </x:c>
      <x:c r="L2315" s="22" t="n">
        <x:v>7.700399999999995</x:v>
      </x:c>
      <x:c r="M2315" t="n">
        <x:v>2017</x:v>
      </x:c>
      <x:c r="N2315" s="20" t="n">
        <x:v>42887</x:v>
      </x:c>
    </x:row>
    <x:row r="2316" ht="18" customHeight="1">
      <x:c r="A2316" t="str">
        <x:v>US-2017-120418</x:v>
      </x:c>
      <x:c r="B2316" s="18" t="n">
        <x:v>42897</x:v>
      </x:c>
      <x:c r="C2316" t="str">
        <x:v>BC-11125</x:v>
      </x:c>
      <x:c r="D2316" t="str">
        <x:v>Becky Castell</x:v>
      </x:c>
      <x:c r="E2316" t="str">
        <x:v>Home Office</x:v>
      </x:c>
      <x:c r="F2316" t="str">
        <x:v>West</x:v>
      </x:c>
      <x:c r="G2316" t="str">
        <x:v>Office Supplies</x:v>
      </x:c>
      <x:c r="H2316" t="str">
        <x:v>Art</x:v>
      </x:c>
      <x:c r="I2316" s="22" t="n">
        <x:v>88.04</x:v>
      </x:c>
      <x:c r="J2316" s="24" t="n">
        <x:v>5</x:v>
      </x:c>
      <x:c r="K2316" s="26" t="n">
        <x:v>0.2</x:v>
      </x:c>
      <x:c r="L2316" s="22" t="n">
        <x:v>6.602999999999998</x:v>
      </x:c>
      <x:c r="M2316" t="n">
        <x:v>2017</x:v>
      </x:c>
      <x:c r="N2316" s="20" t="n">
        <x:v>42887</x:v>
      </x:c>
    </x:row>
    <x:row r="2317" ht="18" customHeight="1">
      <x:c r="A2317" t="str">
        <x:v>US-2017-120418</x:v>
      </x:c>
      <x:c r="B2317" s="18" t="n">
        <x:v>42897</x:v>
      </x:c>
      <x:c r="C2317" t="str">
        <x:v>BC-11125</x:v>
      </x:c>
      <x:c r="D2317" t="str">
        <x:v>Becky Castell</x:v>
      </x:c>
      <x:c r="E2317" t="str">
        <x:v>Home Office</x:v>
      </x:c>
      <x:c r="F2317" t="str">
        <x:v>West</x:v>
      </x:c>
      <x:c r="G2317" t="str">
        <x:v>Office Supplies</x:v>
      </x:c>
      <x:c r="H2317" t="str">
        <x:v>Art</x:v>
      </x:c>
      <x:c r="I2317" s="22" t="n">
        <x:v>15.872</x:v>
      </x:c>
      <x:c r="J2317" s="24" t="n">
        <x:v>1</x:v>
      </x:c>
      <x:c r="K2317" s="26" t="n">
        <x:v>0.2</x:v>
      </x:c>
      <x:c r="L2317" s="22" t="n">
        <x:v>1.9839999999999982</x:v>
      </x:c>
      <x:c r="M2317" t="n">
        <x:v>2017</x:v>
      </x:c>
      <x:c r="N2317" s="20" t="n">
        <x:v>42887</x:v>
      </x:c>
    </x:row>
    <x:row r="2318" ht="18" customHeight="1">
      <x:c r="A2318" t="str">
        <x:v>US-2017-120418</x:v>
      </x:c>
      <x:c r="B2318" s="18" t="n">
        <x:v>42897</x:v>
      </x:c>
      <x:c r="C2318" t="str">
        <x:v>BC-11125</x:v>
      </x:c>
      <x:c r="D2318" t="str">
        <x:v>Becky Castell</x:v>
      </x:c>
      <x:c r="E2318" t="str">
        <x:v>Home Office</x:v>
      </x:c>
      <x:c r="F2318" t="str">
        <x:v>West</x:v>
      </x:c>
      <x:c r="G2318" t="str">
        <x:v>Office Supplies</x:v>
      </x:c>
      <x:c r="H2318" t="str">
        <x:v>Storage</x:v>
      </x:c>
      <x:c r="I2318" s="22" t="n">
        <x:v>215.592</x:v>
      </x:c>
      <x:c r="J2318" s="24" t="n">
        <x:v>3</x:v>
      </x:c>
      <x:c r="K2318" s="26" t="n">
        <x:v>0.2</x:v>
      </x:c>
      <x:c r="L2318" s="22" t="n">
        <x:v>-48.50820000000001</x:v>
      </x:c>
      <x:c r="M2318" t="n">
        <x:v>2017</x:v>
      </x:c>
      <x:c r="N2318" s="20" t="n">
        <x:v>42887</x:v>
      </x:c>
    </x:row>
    <x:row r="2319" ht="18" customHeight="1">
      <x:c r="A2319" t="str">
        <x:v>CA-2017-122035</x:v>
      </x:c>
      <x:c r="B2319" s="18" t="n">
        <x:v>42936</x:v>
      </x:c>
      <x:c r="C2319" t="str">
        <x:v>EM-13825</x:v>
      </x:c>
      <x:c r="D2319" t="str">
        <x:v>Elizabeth Moffitt</x:v>
      </x:c>
      <x:c r="E2319" t="str">
        <x:v>Corporate</x:v>
      </x:c>
      <x:c r="F2319" t="str">
        <x:v>Central</x:v>
      </x:c>
      <x:c r="G2319" t="str">
        <x:v>Office Supplies</x:v>
      </x:c>
      <x:c r="H2319" t="str">
        <x:v>Labels</x:v>
      </x:c>
      <x:c r="I2319" s="22" t="n">
        <x:v>14.62</x:v>
      </x:c>
      <x:c r="J2319" s="24" t="n">
        <x:v>2</x:v>
      </x:c>
      <x:c r="K2319" s="26" t="n">
        <x:v>0</x:v>
      </x:c>
      <x:c r="L2319" s="22" t="n">
        <x:v>6.8713999999999995</x:v>
      </x:c>
      <x:c r="M2319" t="n">
        <x:v>2017</x:v>
      </x:c>
      <x:c r="N2319" s="20" t="n">
        <x:v>42917</x:v>
      </x:c>
    </x:row>
    <x:row r="2320" ht="18" customHeight="1">
      <x:c r="A2320" t="str">
        <x:v>CA-2017-122035</x:v>
      </x:c>
      <x:c r="B2320" s="18" t="n">
        <x:v>42936</x:v>
      </x:c>
      <x:c r="C2320" t="str">
        <x:v>EM-13825</x:v>
      </x:c>
      <x:c r="D2320" t="str">
        <x:v>Elizabeth Moffitt</x:v>
      </x:c>
      <x:c r="E2320" t="str">
        <x:v>Corporate</x:v>
      </x:c>
      <x:c r="F2320" t="str">
        <x:v>Central</x:v>
      </x:c>
      <x:c r="G2320" t="str">
        <x:v>Office Supplies</x:v>
      </x:c>
      <x:c r="H2320" t="str">
        <x:v>Appliances</x:v>
      </x:c>
      <x:c r="I2320" s="22" t="n">
        <x:v>416.32</x:v>
      </x:c>
      <x:c r="J2320" s="24" t="n">
        <x:v>2</x:v>
      </x:c>
      <x:c r="K2320" s="26" t="n">
        <x:v>0</x:v>
      </x:c>
      <x:c r="L2320" s="22" t="n">
        <x:v>112.40640000000002</x:v>
      </x:c>
      <x:c r="M2320" t="n">
        <x:v>2017</x:v>
      </x:c>
      <x:c r="N2320" s="20" t="n">
        <x:v>42917</x:v>
      </x:c>
    </x:row>
    <x:row r="2321" ht="18" customHeight="1">
      <x:c r="A2321" t="str">
        <x:v>CA-2017-122035</x:v>
      </x:c>
      <x:c r="B2321" s="18" t="n">
        <x:v>42936</x:v>
      </x:c>
      <x:c r="C2321" t="str">
        <x:v>EM-13825</x:v>
      </x:c>
      <x:c r="D2321" t="str">
        <x:v>Elizabeth Moffitt</x:v>
      </x:c>
      <x:c r="E2321" t="str">
        <x:v>Corporate</x:v>
      </x:c>
      <x:c r="F2321" t="str">
        <x:v>Central</x:v>
      </x:c>
      <x:c r="G2321" t="str">
        <x:v>Office Supplies</x:v>
      </x:c>
      <x:c r="H2321" t="str">
        <x:v>Binders</x:v>
      </x:c>
      <x:c r="I2321" s="22" t="n">
        <x:v>43</x:v>
      </x:c>
      <x:c r="J2321" s="24" t="n">
        <x:v>5</x:v>
      </x:c>
      <x:c r="K2321" s="26" t="n">
        <x:v>0</x:v>
      </x:c>
      <x:c r="L2321" s="22" t="n">
        <x:v>20.21</x:v>
      </x:c>
      <x:c r="M2321" t="n">
        <x:v>2017</x:v>
      </x:c>
      <x:c r="N2321" s="20" t="n">
        <x:v>42917</x:v>
      </x:c>
    </x:row>
    <x:row r="2322" ht="18" customHeight="1">
      <x:c r="A2322" t="str">
        <x:v>CA-2017-122035</x:v>
      </x:c>
      <x:c r="B2322" s="18" t="n">
        <x:v>42936</x:v>
      </x:c>
      <x:c r="C2322" t="str">
        <x:v>EM-13825</x:v>
      </x:c>
      <x:c r="D2322" t="str">
        <x:v>Elizabeth Moffitt</x:v>
      </x:c>
      <x:c r="E2322" t="str">
        <x:v>Corporate</x:v>
      </x:c>
      <x:c r="F2322" t="str">
        <x:v>Central</x:v>
      </x:c>
      <x:c r="G2322" t="str">
        <x:v>Furniture</x:v>
      </x:c>
      <x:c r="H2322" t="str">
        <x:v>Chairs</x:v>
      </x:c>
      <x:c r="I2322" s="22" t="n">
        <x:v>182.94</x:v>
      </x:c>
      <x:c r="J2322" s="24" t="n">
        <x:v>3</x:v>
      </x:c>
      <x:c r="K2322" s="26" t="n">
        <x:v>0</x:v>
      </x:c>
      <x:c r="L2322" s="22" t="n">
        <x:v>27.440999999999995</x:v>
      </x:c>
      <x:c r="M2322" t="n">
        <x:v>2017</x:v>
      </x:c>
      <x:c r="N2322" s="20" t="n">
        <x:v>42917</x:v>
      </x:c>
    </x:row>
    <x:row r="2323" ht="18" customHeight="1">
      <x:c r="A2323" t="str">
        <x:v>CA-2017-122035</x:v>
      </x:c>
      <x:c r="B2323" s="18" t="n">
        <x:v>42936</x:v>
      </x:c>
      <x:c r="C2323" t="str">
        <x:v>EM-13825</x:v>
      </x:c>
      <x:c r="D2323" t="str">
        <x:v>Elizabeth Moffitt</x:v>
      </x:c>
      <x:c r="E2323" t="str">
        <x:v>Corporate</x:v>
      </x:c>
      <x:c r="F2323" t="str">
        <x:v>Central</x:v>
      </x:c>
      <x:c r="G2323" t="str">
        <x:v>Office Supplies</x:v>
      </x:c>
      <x:c r="H2323" t="str">
        <x:v>Binders</x:v>
      </x:c>
      <x:c r="I2323" s="22" t="n">
        <x:v>60.83</x:v>
      </x:c>
      <x:c r="J2323" s="24" t="n">
        <x:v>7</x:v>
      </x:c>
      <x:c r="K2323" s="26" t="n">
        <x:v>0</x:v>
      </x:c>
      <x:c r="L2323" s="22" t="n">
        <x:v>30.415</x:v>
      </x:c>
      <x:c r="M2323" t="n">
        <x:v>2017</x:v>
      </x:c>
      <x:c r="N2323" s="20" t="n">
        <x:v>42917</x:v>
      </x:c>
    </x:row>
    <x:row r="2324" ht="18" customHeight="1">
      <x:c r="A2324" t="str">
        <x:v>CA-2017-122035</x:v>
      </x:c>
      <x:c r="B2324" s="18" t="n">
        <x:v>42936</x:v>
      </x:c>
      <x:c r="C2324" t="str">
        <x:v>EM-13825</x:v>
      </x:c>
      <x:c r="D2324" t="str">
        <x:v>Elizabeth Moffitt</x:v>
      </x:c>
      <x:c r="E2324" t="str">
        <x:v>Corporate</x:v>
      </x:c>
      <x:c r="F2324" t="str">
        <x:v>Central</x:v>
      </x:c>
      <x:c r="G2324" t="str">
        <x:v>Technology</x:v>
      </x:c>
      <x:c r="H2324" t="str">
        <x:v>Accessories</x:v>
      </x:c>
      <x:c r="I2324" s="22" t="n">
        <x:v>389.97</x:v>
      </x:c>
      <x:c r="J2324" s="24" t="n">
        <x:v>3</x:v>
      </x:c>
      <x:c r="K2324" s="26" t="n">
        <x:v>0</x:v>
      </x:c>
      <x:c r="L2324" s="22" t="n">
        <x:v>132.58980000000003</x:v>
      </x:c>
      <x:c r="M2324" t="n">
        <x:v>2017</x:v>
      </x:c>
      <x:c r="N2324" s="20" t="n">
        <x:v>42917</x:v>
      </x:c>
    </x:row>
    <x:row r="2325" ht="18" customHeight="1">
      <x:c r="A2325" t="str">
        <x:v>CA-2015-117828</x:v>
      </x:c>
      <x:c r="B2325" s="18" t="n">
        <x:v>42361</x:v>
      </x:c>
      <x:c r="C2325" t="str">
        <x:v>BD-11500</x:v>
      </x:c>
      <x:c r="D2325" t="str">
        <x:v>Bradley Drucker</x:v>
      </x:c>
      <x:c r="E2325" t="str">
        <x:v>Consumer</x:v>
      </x:c>
      <x:c r="F2325" t="str">
        <x:v>South</x:v>
      </x:c>
      <x:c r="G2325" t="str">
        <x:v>Office Supplies</x:v>
      </x:c>
      <x:c r="H2325" t="str">
        <x:v>Appliances</x:v>
      </x:c>
      <x:c r="I2325" s="22" t="n">
        <x:v>194.32</x:v>
      </x:c>
      <x:c r="J2325" s="24" t="n">
        <x:v>4</x:v>
      </x:c>
      <x:c r="K2325" s="26" t="n">
        <x:v>0</x:v>
      </x:c>
      <x:c r="L2325" s="22" t="n">
        <x:v>56.352799999999974</x:v>
      </x:c>
      <x:c r="M2325" t="n">
        <x:v>2015</x:v>
      </x:c>
      <x:c r="N2325" s="20" t="n">
        <x:v>42339</x:v>
      </x:c>
    </x:row>
    <x:row r="2326" ht="18" customHeight="1">
      <x:c r="A2326" t="str">
        <x:v>CA-2017-165491</x:v>
      </x:c>
      <x:c r="B2326" s="18" t="n">
        <x:v>42814</x:v>
      </x:c>
      <x:c r="C2326" t="str">
        <x:v>HW-14935</x:v>
      </x:c>
      <x:c r="D2326" t="str">
        <x:v>Helen Wasserman</x:v>
      </x:c>
      <x:c r="E2326" t="str">
        <x:v>Corporate</x:v>
      </x:c>
      <x:c r="F2326" t="str">
        <x:v>West</x:v>
      </x:c>
      <x:c r="G2326" t="str">
        <x:v>Technology</x:v>
      </x:c>
      <x:c r="H2326" t="str">
        <x:v>Accessories</x:v>
      </x:c>
      <x:c r="I2326" s="22" t="n">
        <x:v>265.93</x:v>
      </x:c>
      <x:c r="J2326" s="24" t="n">
        <x:v>7</x:v>
      </x:c>
      <x:c r="K2326" s="26" t="n">
        <x:v>0</x:v>
      </x:c>
      <x:c r="L2326" s="22" t="n">
        <x:v>63.8232</x:v>
      </x:c>
      <x:c r="M2326" t="n">
        <x:v>2017</x:v>
      </x:c>
      <x:c r="N2326" s="20" t="n">
        <x:v>42795</x:v>
      </x:c>
    </x:row>
    <x:row r="2327" ht="18" customHeight="1">
      <x:c r="A2327" t="str">
        <x:v>CA-2015-109470</x:v>
      </x:c>
      <x:c r="B2327" s="18" t="n">
        <x:v>42369</x:v>
      </x:c>
      <x:c r="C2327" t="str">
        <x:v>KC-16255</x:v>
      </x:c>
      <x:c r="D2327" t="str">
        <x:v>Karen Carlisle</x:v>
      </x:c>
      <x:c r="E2327" t="str">
        <x:v>Corporate</x:v>
      </x:c>
      <x:c r="F2327" t="str">
        <x:v>South</x:v>
      </x:c>
      <x:c r="G2327" t="str">
        <x:v>Office Supplies</x:v>
      </x:c>
      <x:c r="H2327" t="str">
        <x:v>Binders</x:v>
      </x:c>
      <x:c r="I2327" s="22" t="n">
        <x:v>94.74</x:v>
      </x:c>
      <x:c r="J2327" s="24" t="n">
        <x:v>3</x:v>
      </x:c>
      <x:c r="K2327" s="26" t="n">
        <x:v>0</x:v>
      </x:c>
      <x:c r="L2327" s="22" t="n">
        <x:v>44.52779999999999</x:v>
      </x:c>
      <x:c r="M2327" t="n">
        <x:v>2015</x:v>
      </x:c>
      <x:c r="N2327" s="20" t="n">
        <x:v>42339</x:v>
      </x:c>
    </x:row>
    <x:row r="2328" ht="18" customHeight="1">
      <x:c r="A2328" t="str">
        <x:v>CA-2015-109470</x:v>
      </x:c>
      <x:c r="B2328" s="18" t="n">
        <x:v>42369</x:v>
      </x:c>
      <x:c r="C2328" t="str">
        <x:v>KC-16255</x:v>
      </x:c>
      <x:c r="D2328" t="str">
        <x:v>Karen Carlisle</x:v>
      </x:c>
      <x:c r="E2328" t="str">
        <x:v>Corporate</x:v>
      </x:c>
      <x:c r="F2328" t="str">
        <x:v>South</x:v>
      </x:c>
      <x:c r="G2328" t="str">
        <x:v>Office Supplies</x:v>
      </x:c>
      <x:c r="H2328" t="str">
        <x:v>Binders</x:v>
      </x:c>
      <x:c r="I2328" s="22" t="n">
        <x:v>60.64</x:v>
      </x:c>
      <x:c r="J2328" s="24" t="n">
        <x:v>4</x:v>
      </x:c>
      <x:c r="K2328" s="26" t="n">
        <x:v>0</x:v>
      </x:c>
      <x:c r="L2328" s="22" t="n">
        <x:v>27.894399999999997</x:v>
      </x:c>
      <x:c r="M2328" t="n">
        <x:v>2015</x:v>
      </x:c>
      <x:c r="N2328" s="20" t="n">
        <x:v>42339</x:v>
      </x:c>
    </x:row>
    <x:row r="2329" ht="18" customHeight="1">
      <x:c r="A2329" t="str">
        <x:v>CA-2015-109470</x:v>
      </x:c>
      <x:c r="B2329" s="18" t="n">
        <x:v>42369</x:v>
      </x:c>
      <x:c r="C2329" t="str">
        <x:v>KC-16255</x:v>
      </x:c>
      <x:c r="D2329" t="str">
        <x:v>Karen Carlisle</x:v>
      </x:c>
      <x:c r="E2329" t="str">
        <x:v>Corporate</x:v>
      </x:c>
      <x:c r="F2329" t="str">
        <x:v>South</x:v>
      </x:c>
      <x:c r="G2329" t="str">
        <x:v>Office Supplies</x:v>
      </x:c>
      <x:c r="H2329" t="str">
        <x:v>Binders</x:v>
      </x:c>
      <x:c r="I2329" s="22" t="n">
        <x:v>76.3</x:v>
      </x:c>
      <x:c r="J2329" s="24" t="n">
        <x:v>5</x:v>
      </x:c>
      <x:c r="K2329" s="26" t="n">
        <x:v>0</x:v>
      </x:c>
      <x:c r="L2329" s="22" t="n">
        <x:v>38.15</x:v>
      </x:c>
      <x:c r="M2329" t="n">
        <x:v>2015</x:v>
      </x:c>
      <x:c r="N2329" s="20" t="n">
        <x:v>42339</x:v>
      </x:c>
    </x:row>
    <x:row r="2330" ht="18" customHeight="1">
      <x:c r="A2330" t="str">
        <x:v>CA-2015-109470</x:v>
      </x:c>
      <x:c r="B2330" s="18" t="n">
        <x:v>42369</x:v>
      </x:c>
      <x:c r="C2330" t="str">
        <x:v>KC-16255</x:v>
      </x:c>
      <x:c r="D2330" t="str">
        <x:v>Karen Carlisle</x:v>
      </x:c>
      <x:c r="E2330" t="str">
        <x:v>Corporate</x:v>
      </x:c>
      <x:c r="F2330" t="str">
        <x:v>South</x:v>
      </x:c>
      <x:c r="G2330" t="str">
        <x:v>Office Supplies</x:v>
      </x:c>
      <x:c r="H2330" t="str">
        <x:v>Binders</x:v>
      </x:c>
      <x:c r="I2330" s="22" t="n">
        <x:v>364.79999999999995</x:v>
      </x:c>
      <x:c r="J2330" s="24" t="n">
        <x:v>12</x:v>
      </x:c>
      <x:c r="K2330" s="26" t="n">
        <x:v>0</x:v>
      </x:c>
      <x:c r="L2330" s="22" t="n">
        <x:v>167.808</x:v>
      </x:c>
      <x:c r="M2330" t="n">
        <x:v>2015</x:v>
      </x:c>
      <x:c r="N2330" s="20" t="n">
        <x:v>42339</x:v>
      </x:c>
    </x:row>
    <x:row r="2331" ht="18" customHeight="1">
      <x:c r="A2331" t="str">
        <x:v>CA-2015-105102</x:v>
      </x:c>
      <x:c r="B2331" s="18" t="n">
        <x:v>42262</x:v>
      </x:c>
      <x:c r="C2331" t="str">
        <x:v>BM-11575</x:v>
      </x:c>
      <x:c r="D2331" t="str">
        <x:v>Brendan Murry</x:v>
      </x:c>
      <x:c r="E2331" t="str">
        <x:v>Corporate</x:v>
      </x:c>
      <x:c r="F2331" t="str">
        <x:v>East</x:v>
      </x:c>
      <x:c r="G2331" t="str">
        <x:v>Office Supplies</x:v>
      </x:c>
      <x:c r="H2331" t="str">
        <x:v>Binders</x:v>
      </x:c>
      <x:c r="I2331" s="22" t="n">
        <x:v>79.87200000000001</x:v>
      </x:c>
      <x:c r="J2331" s="24" t="n">
        <x:v>3</x:v>
      </x:c>
      <x:c r="K2331" s="26" t="n">
        <x:v>0.2</x:v>
      </x:c>
      <x:c r="L2331" s="22" t="n">
        <x:v>29.951999999999998</x:v>
      </x:c>
      <x:c r="M2331" t="n">
        <x:v>2015</x:v>
      </x:c>
      <x:c r="N2331" s="20" t="n">
        <x:v>42248</x:v>
      </x:c>
    </x:row>
    <x:row r="2332" ht="18" customHeight="1">
      <x:c r="A2332" t="str">
        <x:v>CA-2015-105102</x:v>
      </x:c>
      <x:c r="B2332" s="18" t="n">
        <x:v>42262</x:v>
      </x:c>
      <x:c r="C2332" t="str">
        <x:v>BM-11575</x:v>
      </x:c>
      <x:c r="D2332" t="str">
        <x:v>Brendan Murry</x:v>
      </x:c>
      <x:c r="E2332" t="str">
        <x:v>Corporate</x:v>
      </x:c>
      <x:c r="F2332" t="str">
        <x:v>East</x:v>
      </x:c>
      <x:c r="G2332" t="str">
        <x:v>Furniture</x:v>
      </x:c>
      <x:c r="H2332" t="str">
        <x:v>Bookcases</x:v>
      </x:c>
      <x:c r="I2332" s="22" t="n">
        <x:v>46.384</x:v>
      </x:c>
      <x:c r="J2332" s="24" t="n">
        <x:v>1</x:v>
      </x:c>
      <x:c r="K2332" s="26" t="n">
        <x:v>0.2</x:v>
      </x:c>
      <x:c r="L2332" s="22" t="n">
        <x:v>1.159600000000001</x:v>
      </x:c>
      <x:c r="M2332" t="n">
        <x:v>2015</x:v>
      </x:c>
      <x:c r="N2332" s="20" t="n">
        <x:v>42248</x:v>
      </x:c>
    </x:row>
    <x:row r="2333" ht="18" customHeight="1">
      <x:c r="A2333" t="str">
        <x:v>CA-2015-105102</x:v>
      </x:c>
      <x:c r="B2333" s="18" t="n">
        <x:v>42262</x:v>
      </x:c>
      <x:c r="C2333" t="str">
        <x:v>BM-11575</x:v>
      </x:c>
      <x:c r="D2333" t="str">
        <x:v>Brendan Murry</x:v>
      </x:c>
      <x:c r="E2333" t="str">
        <x:v>Corporate</x:v>
      </x:c>
      <x:c r="F2333" t="str">
        <x:v>East</x:v>
      </x:c>
      <x:c r="G2333" t="str">
        <x:v>Office Supplies</x:v>
      </x:c>
      <x:c r="H2333" t="str">
        <x:v>Paper</x:v>
      </x:c>
      <x:c r="I2333" s="22" t="n">
        <x:v>12.96</x:v>
      </x:c>
      <x:c r="J2333" s="24" t="n">
        <x:v>2</x:v>
      </x:c>
      <x:c r="K2333" s="26" t="n">
        <x:v>0</x:v>
      </x:c>
      <x:c r="L2333" s="22" t="n">
        <x:v>6.2208000000000006</x:v>
      </x:c>
      <x:c r="M2333" t="n">
        <x:v>2015</x:v>
      </x:c>
      <x:c r="N2333" s="20" t="n">
        <x:v>42248</x:v>
      </x:c>
    </x:row>
    <x:row r="2334" ht="18" customHeight="1">
      <x:c r="A2334" t="str">
        <x:v>CA-2017-138422</x:v>
      </x:c>
      <x:c r="B2334" s="18" t="n">
        <x:v>43001</x:v>
      </x:c>
      <x:c r="C2334" t="str">
        <x:v>KN-16705</x:v>
      </x:c>
      <x:c r="D2334" t="str">
        <x:v>Kristina Nunn</x:v>
      </x:c>
      <x:c r="E2334" t="str">
        <x:v>Home Office</x:v>
      </x:c>
      <x:c r="F2334" t="str">
        <x:v>West</x:v>
      </x:c>
      <x:c r="G2334" t="str">
        <x:v>Office Supplies</x:v>
      </x:c>
      <x:c r="H2334" t="str">
        <x:v>Envelopes</x:v>
      </x:c>
      <x:c r="I2334" s="22" t="n">
        <x:v>14.352000000000002</x:v>
      </x:c>
      <x:c r="J2334" s="24" t="n">
        <x:v>3</x:v>
      </x:c>
      <x:c r="K2334" s="26" t="n">
        <x:v>0.2</x:v>
      </x:c>
      <x:c r="L2334" s="22" t="n">
        <x:v>5.2026</x:v>
      </x:c>
      <x:c r="M2334" t="n">
        <x:v>2017</x:v>
      </x:c>
      <x:c r="N2334" s="20" t="n">
        <x:v>42979</x:v>
      </x:c>
    </x:row>
    <x:row r="2335" ht="18" customHeight="1">
      <x:c r="A2335" t="str">
        <x:v>US-2015-147739</x:v>
      </x:c>
      <x:c r="B2335" s="18" t="n">
        <x:v>42363</x:v>
      </x:c>
      <x:c r="C2335" t="str">
        <x:v>JD-16150</x:v>
      </x:c>
      <x:c r="D2335" t="str">
        <x:v>Justin Deggeller</x:v>
      </x:c>
      <x:c r="E2335" t="str">
        <x:v>Corporate</x:v>
      </x:c>
      <x:c r="F2335" t="str">
        <x:v>East</x:v>
      </x:c>
      <x:c r="G2335" t="str">
        <x:v>Furniture</x:v>
      </x:c>
      <x:c r="H2335" t="str">
        <x:v>Furnishings</x:v>
      </x:c>
      <x:c r="I2335" s="22" t="n">
        <x:v>547.136</x:v>
      </x:c>
      <x:c r="J2335" s="24" t="n">
        <x:v>4</x:v>
      </x:c>
      <x:c r="K2335" s="26" t="n">
        <x:v>0.2</x:v>
      </x:c>
      <x:c r="L2335" s="22" t="n">
        <x:v>-68.39200000000005</x:v>
      </x:c>
      <x:c r="M2335" t="n">
        <x:v>2015</x:v>
      </x:c>
      <x:c r="N2335" s="20" t="n">
        <x:v>42339</x:v>
      </x:c>
    </x:row>
    <x:row r="2336" ht="18" customHeight="1">
      <x:c r="A2336" t="str">
        <x:v>CA-2016-155187</x:v>
      </x:c>
      <x:c r="B2336" s="18" t="n">
        <x:v>42637</x:v>
      </x:c>
      <x:c r="C2336" t="str">
        <x:v>LA-16780</x:v>
      </x:c>
      <x:c r="D2336" t="str">
        <x:v>Laura Armstrong</x:v>
      </x:c>
      <x:c r="E2336" t="str">
        <x:v>Corporate</x:v>
      </x:c>
      <x:c r="F2336" t="str">
        <x:v>West</x:v>
      </x:c>
      <x:c r="G2336" t="str">
        <x:v>Office Supplies</x:v>
      </x:c>
      <x:c r="H2336" t="str">
        <x:v>Storage</x:v>
      </x:c>
      <x:c r="I2336" s="22" t="n">
        <x:v>41.96</x:v>
      </x:c>
      <x:c r="J2336" s="24" t="n">
        <x:v>2</x:v>
      </x:c>
      <x:c r="K2336" s="26" t="n">
        <x:v>0</x:v>
      </x:c>
      <x:c r="L2336" s="22" t="n">
        <x:v>2.937199999999997</x:v>
      </x:c>
      <x:c r="M2336" t="n">
        <x:v>2016</x:v>
      </x:c>
      <x:c r="N2336" s="20" t="n">
        <x:v>42614</x:v>
      </x:c>
    </x:row>
    <x:row r="2337" ht="18" customHeight="1">
      <x:c r="A2337" t="str">
        <x:v>CA-2016-155187</x:v>
      </x:c>
      <x:c r="B2337" s="18" t="n">
        <x:v>42637</x:v>
      </x:c>
      <x:c r="C2337" t="str">
        <x:v>LA-16780</x:v>
      </x:c>
      <x:c r="D2337" t="str">
        <x:v>Laura Armstrong</x:v>
      </x:c>
      <x:c r="E2337" t="str">
        <x:v>Corporate</x:v>
      </x:c>
      <x:c r="F2337" t="str">
        <x:v>West</x:v>
      </x:c>
      <x:c r="G2337" t="str">
        <x:v>Office Supplies</x:v>
      </x:c>
      <x:c r="H2337" t="str">
        <x:v>Paper</x:v>
      </x:c>
      <x:c r="I2337" s="22" t="n">
        <x:v>41.7</x:v>
      </x:c>
      <x:c r="J2337" s="24" t="n">
        <x:v>5</x:v>
      </x:c>
      <x:c r="K2337" s="26" t="n">
        <x:v>0</x:v>
      </x:c>
      <x:c r="L2337" s="22" t="n">
        <x:v>20.85</x:v>
      </x:c>
      <x:c r="M2337" t="n">
        <x:v>2016</x:v>
      </x:c>
      <x:c r="N2337" s="20" t="n">
        <x:v>42614</x:v>
      </x:c>
    </x:row>
    <x:row r="2338" ht="18" customHeight="1">
      <x:c r="A2338" t="str">
        <x:v>CA-2017-169285</x:v>
      </x:c>
      <x:c r="B2338" s="18" t="n">
        <x:v>42815</x:v>
      </x:c>
      <x:c r="C2338" t="str">
        <x:v>RW-19690</x:v>
      </x:c>
      <x:c r="D2338" t="str">
        <x:v>Robert Waldorf</x:v>
      </x:c>
      <x:c r="E2338" t="str">
        <x:v>Consumer</x:v>
      </x:c>
      <x:c r="F2338" t="str">
        <x:v>Central</x:v>
      </x:c>
      <x:c r="G2338" t="str">
        <x:v>Office Supplies</x:v>
      </x:c>
      <x:c r="H2338" t="str">
        <x:v>Paper</x:v>
      </x:c>
      <x:c r="I2338" s="22" t="n">
        <x:v>277.4</x:v>
      </x:c>
      <x:c r="J2338" s="24" t="n">
        <x:v>5</x:v>
      </x:c>
      <x:c r="K2338" s="26" t="n">
        <x:v>0</x:v>
      </x:c>
      <x:c r="L2338" s="22" t="n">
        <x:v>133.152</x:v>
      </x:c>
      <x:c r="M2338" t="n">
        <x:v>2017</x:v>
      </x:c>
      <x:c r="N2338" s="20" t="n">
        <x:v>42795</x:v>
      </x:c>
    </x:row>
    <x:row r="2339" ht="18" customHeight="1">
      <x:c r="A2339" t="str">
        <x:v>CA-2017-169285</x:v>
      </x:c>
      <x:c r="B2339" s="18" t="n">
        <x:v>42815</x:v>
      </x:c>
      <x:c r="C2339" t="str">
        <x:v>RW-19690</x:v>
      </x:c>
      <x:c r="D2339" t="str">
        <x:v>Robert Waldorf</x:v>
      </x:c>
      <x:c r="E2339" t="str">
        <x:v>Consumer</x:v>
      </x:c>
      <x:c r="F2339" t="str">
        <x:v>Central</x:v>
      </x:c>
      <x:c r="G2339" t="str">
        <x:v>Office Supplies</x:v>
      </x:c>
      <x:c r="H2339" t="str">
        <x:v>Paper</x:v>
      </x:c>
      <x:c r="I2339" s="22" t="n">
        <x:v>5.78</x:v>
      </x:c>
      <x:c r="J2339" s="24" t="n">
        <x:v>1</x:v>
      </x:c>
      <x:c r="K2339" s="26" t="n">
        <x:v>0</x:v>
      </x:c>
      <x:c r="L2339" s="22" t="n">
        <x:v>2.8322000000000003</x:v>
      </x:c>
      <x:c r="M2339" t="n">
        <x:v>2017</x:v>
      </x:c>
      <x:c r="N2339" s="20" t="n">
        <x:v>42795</x:v>
      </x:c>
    </x:row>
    <x:row r="2340" ht="18" customHeight="1">
      <x:c r="A2340" t="str">
        <x:v>CA-2014-140886</x:v>
      </x:c>
      <x:c r="B2340" s="18" t="n">
        <x:v>41912</x:v>
      </x:c>
      <x:c r="C2340" t="str">
        <x:v>KW-16570</x:v>
      </x:c>
      <x:c r="D2340" t="str">
        <x:v>Kelly Williams</x:v>
      </x:c>
      <x:c r="E2340" t="str">
        <x:v>Consumer</x:v>
      </x:c>
      <x:c r="F2340" t="str">
        <x:v>South</x:v>
      </x:c>
      <x:c r="G2340" t="str">
        <x:v>Office Supplies</x:v>
      </x:c>
      <x:c r="H2340" t="str">
        <x:v>Appliances</x:v>
      </x:c>
      <x:c r="I2340" s="22" t="n">
        <x:v>69.21600000000001</x:v>
      </x:c>
      <x:c r="J2340" s="24" t="n">
        <x:v>6</x:v>
      </x:c>
      <x:c r="K2340" s="26" t="n">
        <x:v>0.2</x:v>
      </x:c>
      <x:c r="L2340" s="22" t="n">
        <x:v>11.247599999999995</x:v>
      </x:c>
      <x:c r="M2340" t="n">
        <x:v>2014</x:v>
      </x:c>
      <x:c r="N2340" s="20" t="n">
        <x:v>41883</x:v>
      </x:c>
    </x:row>
    <x:row r="2341" ht="18" customHeight="1">
      <x:c r="A2341" t="str">
        <x:v>CA-2017-152695</x:v>
      </x:c>
      <x:c r="B2341" s="18" t="n">
        <x:v>43079</x:v>
      </x:c>
      <x:c r="C2341" t="str">
        <x:v>CC-12220</x:v>
      </x:c>
      <x:c r="D2341" t="str">
        <x:v>Chris Cortes</x:v>
      </x:c>
      <x:c r="E2341" t="str">
        <x:v>Consumer</x:v>
      </x:c>
      <x:c r="F2341" t="str">
        <x:v>East</x:v>
      </x:c>
      <x:c r="G2341" t="str">
        <x:v>Office Supplies</x:v>
      </x:c>
      <x:c r="H2341" t="str">
        <x:v>Envelopes</x:v>
      </x:c>
      <x:c r="I2341" s="22" t="n">
        <x:v>10.86</x:v>
      </x:c>
      <x:c r="J2341" s="24" t="n">
        <x:v>3</x:v>
      </x:c>
      <x:c r="K2341" s="26" t="n">
        <x:v>0</x:v>
      </x:c>
      <x:c r="L2341" s="22" t="n">
        <x:v>5.1042000000000005</x:v>
      </x:c>
      <x:c r="M2341" t="n">
        <x:v>2017</x:v>
      </x:c>
      <x:c r="N2341" s="20" t="n">
        <x:v>43070</x:v>
      </x:c>
    </x:row>
    <x:row r="2342" ht="18" customHeight="1">
      <x:c r="A2342" t="str">
        <x:v>CA-2017-152695</x:v>
      </x:c>
      <x:c r="B2342" s="18" t="n">
        <x:v>43079</x:v>
      </x:c>
      <x:c r="C2342" t="str">
        <x:v>CC-12220</x:v>
      </x:c>
      <x:c r="D2342" t="str">
        <x:v>Chris Cortes</x:v>
      </x:c>
      <x:c r="E2342" t="str">
        <x:v>Consumer</x:v>
      </x:c>
      <x:c r="F2342" t="str">
        <x:v>East</x:v>
      </x:c>
      <x:c r="G2342" t="str">
        <x:v>Office Supplies</x:v>
      </x:c>
      <x:c r="H2342" t="str">
        <x:v>Appliances</x:v>
      </x:c>
      <x:c r="I2342" s="22" t="n">
        <x:v>426.78999999999996</x:v>
      </x:c>
      <x:c r="J2342" s="24" t="n">
        <x:v>7</x:v>
      </x:c>
      <x:c r="K2342" s="26" t="n">
        <x:v>0</x:v>
      </x:c>
      <x:c r="L2342" s="22" t="n">
        <x:v>123.76909999999995</x:v>
      </x:c>
      <x:c r="M2342" t="n">
        <x:v>2017</x:v>
      </x:c>
      <x:c r="N2342" s="20" t="n">
        <x:v>43070</x:v>
      </x:c>
    </x:row>
    <x:row r="2343" ht="18" customHeight="1">
      <x:c r="A2343" t="str">
        <x:v>CA-2014-110639</x:v>
      </x:c>
      <x:c r="B2343" s="18" t="n">
        <x:v>41874</x:v>
      </x:c>
      <x:c r="C2343" t="str">
        <x:v>RH-19495</x:v>
      </x:c>
      <x:c r="D2343" t="str">
        <x:v>Rick Hansen</x:v>
      </x:c>
      <x:c r="E2343" t="str">
        <x:v>Consumer</x:v>
      </x:c>
      <x:c r="F2343" t="str">
        <x:v>East</x:v>
      </x:c>
      <x:c r="G2343" t="str">
        <x:v>Office Supplies</x:v>
      </x:c>
      <x:c r="H2343" t="str">
        <x:v>Paper</x:v>
      </x:c>
      <x:c r="I2343" s="22" t="n">
        <x:v>25.92</x:v>
      </x:c>
      <x:c r="J2343" s="24" t="n">
        <x:v>4</x:v>
      </x:c>
      <x:c r="K2343" s="26" t="n">
        <x:v>0</x:v>
      </x:c>
      <x:c r="L2343" s="22" t="n">
        <x:v>12.441600000000001</x:v>
      </x:c>
      <x:c r="M2343" t="n">
        <x:v>2014</x:v>
      </x:c>
      <x:c r="N2343" s="20" t="n">
        <x:v>41852</x:v>
      </x:c>
    </x:row>
    <x:row r="2344" ht="18" customHeight="1">
      <x:c r="A2344" t="str">
        <x:v>CA-2014-110639</x:v>
      </x:c>
      <x:c r="B2344" s="18" t="n">
        <x:v>41874</x:v>
      </x:c>
      <x:c r="C2344" t="str">
        <x:v>RH-19495</x:v>
      </x:c>
      <x:c r="D2344" t="str">
        <x:v>Rick Hansen</x:v>
      </x:c>
      <x:c r="E2344" t="str">
        <x:v>Consumer</x:v>
      </x:c>
      <x:c r="F2344" t="str">
        <x:v>East</x:v>
      </x:c>
      <x:c r="G2344" t="str">
        <x:v>Office Supplies</x:v>
      </x:c>
      <x:c r="H2344" t="str">
        <x:v>Paper</x:v>
      </x:c>
      <x:c r="I2344" s="22" t="n">
        <x:v>45.92</x:v>
      </x:c>
      <x:c r="J2344" s="24" t="n">
        <x:v>4</x:v>
      </x:c>
      <x:c r="K2344" s="26" t="n">
        <x:v>0</x:v>
      </x:c>
      <x:c r="L2344" s="22" t="n">
        <x:v>22.5008</x:v>
      </x:c>
      <x:c r="M2344" t="n">
        <x:v>2014</x:v>
      </x:c>
      <x:c r="N2344" s="20" t="n">
        <x:v>41852</x:v>
      </x:c>
    </x:row>
    <x:row r="2345" ht="18" customHeight="1">
      <x:c r="A2345" t="str">
        <x:v>CA-2014-121727</x:v>
      </x:c>
      <x:c r="B2345" s="18" t="n">
        <x:v>41870</x:v>
      </x:c>
      <x:c r="C2345" t="str">
        <x:v>JK-15625</x:v>
      </x:c>
      <x:c r="D2345" t="str">
        <x:v>Jim Karlsson</x:v>
      </x:c>
      <x:c r="E2345" t="str">
        <x:v>Consumer</x:v>
      </x:c>
      <x:c r="F2345" t="str">
        <x:v>East</x:v>
      </x:c>
      <x:c r="G2345" t="str">
        <x:v>Office Supplies</x:v>
      </x:c>
      <x:c r="H2345" t="str">
        <x:v>Art</x:v>
      </x:c>
      <x:c r="I2345" s="22" t="n">
        <x:v>10.72</x:v>
      </x:c>
      <x:c r="J2345" s="24" t="n">
        <x:v>2</x:v>
      </x:c>
      <x:c r="K2345" s="26" t="n">
        <x:v>0.2</x:v>
      </x:c>
      <x:c r="L2345" s="22" t="n">
        <x:v>1.7419999999999987</x:v>
      </x:c>
      <x:c r="M2345" t="n">
        <x:v>2014</x:v>
      </x:c>
      <x:c r="N2345" s="20" t="n">
        <x:v>41852</x:v>
      </x:c>
    </x:row>
    <x:row r="2346" ht="18" customHeight="1">
      <x:c r="A2346" t="str">
        <x:v>CA-2016-137736</x:v>
      </x:c>
      <x:c r="B2346" s="18" t="n">
        <x:v>42684</x:v>
      </x:c>
      <x:c r="C2346" t="str">
        <x:v>DC-13285</x:v>
      </x:c>
      <x:c r="D2346" t="str">
        <x:v>Debra Catini</x:v>
      </x:c>
      <x:c r="E2346" t="str">
        <x:v>Consumer</x:v>
      </x:c>
      <x:c r="F2346" t="str">
        <x:v>South</x:v>
      </x:c>
      <x:c r="G2346" t="str">
        <x:v>Office Supplies</x:v>
      </x:c>
      <x:c r="H2346" t="str">
        <x:v>Art</x:v>
      </x:c>
      <x:c r="I2346" s="22" t="n">
        <x:v>41.86</x:v>
      </x:c>
      <x:c r="J2346" s="24" t="n">
        <x:v>7</x:v>
      </x:c>
      <x:c r="K2346" s="26" t="n">
        <x:v>0</x:v>
      </x:c>
      <x:c r="L2346" s="22" t="n">
        <x:v>10.465</x:v>
      </x:c>
      <x:c r="M2346" t="n">
        <x:v>2016</x:v>
      </x:c>
      <x:c r="N2346" s="20" t="n">
        <x:v>42675</x:v>
      </x:c>
    </x:row>
    <x:row r="2347" ht="18" customHeight="1">
      <x:c r="A2347" t="str">
        <x:v>US-2014-143231</x:v>
      </x:c>
      <x:c r="B2347" s="18" t="n">
        <x:v>42004</x:v>
      </x:c>
      <x:c r="C2347" t="str">
        <x:v>GM-14455</x:v>
      </x:c>
      <x:c r="D2347" t="str">
        <x:v>Gary Mitchum</x:v>
      </x:c>
      <x:c r="E2347" t="str">
        <x:v>Home Office</x:v>
      </x:c>
      <x:c r="F2347" t="str">
        <x:v>East</x:v>
      </x:c>
      <x:c r="G2347" t="str">
        <x:v>Furniture</x:v>
      </x:c>
      <x:c r="H2347" t="str">
        <x:v>Furnishings</x:v>
      </x:c>
      <x:c r="I2347" s="22" t="n">
        <x:v>63.2</x:v>
      </x:c>
      <x:c r="J2347" s="24" t="n">
        <x:v>5</x:v>
      </x:c>
      <x:c r="K2347" s="26" t="n">
        <x:v>0</x:v>
      </x:c>
      <x:c r="L2347" s="22" t="n">
        <x:v>23.384</x:v>
      </x:c>
      <x:c r="M2347" t="n">
        <x:v>2014</x:v>
      </x:c>
      <x:c r="N2347" s="20" t="n">
        <x:v>41974</x:v>
      </x:c>
    </x:row>
    <x:row r="2348" ht="18" customHeight="1">
      <x:c r="A2348" t="str">
        <x:v>US-2014-143231</x:v>
      </x:c>
      <x:c r="B2348" s="18" t="n">
        <x:v>42004</x:v>
      </x:c>
      <x:c r="C2348" t="str">
        <x:v>GM-14455</x:v>
      </x:c>
      <x:c r="D2348" t="str">
        <x:v>Gary Mitchum</x:v>
      </x:c>
      <x:c r="E2348" t="str">
        <x:v>Home Office</x:v>
      </x:c>
      <x:c r="F2348" t="str">
        <x:v>East</x:v>
      </x:c>
      <x:c r="G2348" t="str">
        <x:v>Technology</x:v>
      </x:c>
      <x:c r="H2348" t="str">
        <x:v>Accessories</x:v>
      </x:c>
      <x:c r="I2348" s="22" t="n">
        <x:v>113.97</x:v>
      </x:c>
      <x:c r="J2348" s="24" t="n">
        <x:v>3</x:v>
      </x:c>
      <x:c r="K2348" s="26" t="n">
        <x:v>0</x:v>
      </x:c>
      <x:c r="L2348" s="22" t="n">
        <x:v>27.3528</x:v>
      </x:c>
      <x:c r="M2348" t="n">
        <x:v>2014</x:v>
      </x:c>
      <x:c r="N2348" s="20" t="n">
        <x:v>41974</x:v>
      </x:c>
    </x:row>
    <x:row r="2349" ht="18" customHeight="1">
      <x:c r="A2349" t="str">
        <x:v>US-2014-155894</x:v>
      </x:c>
      <x:c r="B2349" s="18" t="n">
        <x:v>41846</x:v>
      </x:c>
      <x:c r="C2349" t="str">
        <x:v>CL-11890</x:v>
      </x:c>
      <x:c r="D2349" t="str">
        <x:v>Carl Ludwig</x:v>
      </x:c>
      <x:c r="E2349" t="str">
        <x:v>Consumer</x:v>
      </x:c>
      <x:c r="F2349" t="str">
        <x:v>Central</x:v>
      </x:c>
      <x:c r="G2349" t="str">
        <x:v>Office Supplies</x:v>
      </x:c>
      <x:c r="H2349" t="str">
        <x:v>Storage</x:v>
      </x:c>
      <x:c r="I2349" s="22" t="n">
        <x:v>123.55199999999999</x:v>
      </x:c>
      <x:c r="J2349" s="24" t="n">
        <x:v>3</x:v>
      </x:c>
      <x:c r="K2349" s="26" t="n">
        <x:v>0.2</x:v>
      </x:c>
      <x:c r="L2349" s="22" t="n">
        <x:v>-29.343599999999995</x:v>
      </x:c>
      <x:c r="M2349" t="n">
        <x:v>2014</x:v>
      </x:c>
      <x:c r="N2349" s="20" t="n">
        <x:v>41821</x:v>
      </x:c>
    </x:row>
    <x:row r="2350" ht="18" customHeight="1">
      <x:c r="A2350" t="str">
        <x:v>CA-2016-119025</x:v>
      </x:c>
      <x:c r="B2350" s="18" t="n">
        <x:v>42422</x:v>
      </x:c>
      <x:c r="C2350" t="str">
        <x:v>PV-18985</x:v>
      </x:c>
      <x:c r="D2350" t="str">
        <x:v>Paul Van Hugh</x:v>
      </x:c>
      <x:c r="E2350" t="str">
        <x:v>Home Office</x:v>
      </x:c>
      <x:c r="F2350" t="str">
        <x:v>Central</x:v>
      </x:c>
      <x:c r="G2350" t="str">
        <x:v>Office Supplies</x:v>
      </x:c>
      <x:c r="H2350" t="str">
        <x:v>Appliances</x:v>
      </x:c>
      <x:c r="I2350" s="22" t="n">
        <x:v>490.32</x:v>
      </x:c>
      <x:c r="J2350" s="24" t="n">
        <x:v>9</x:v>
      </x:c>
      <x:c r="K2350" s="26" t="n">
        <x:v>0</x:v>
      </x:c>
      <x:c r="L2350" s="22" t="n">
        <x:v>137.28960000000004</x:v>
      </x:c>
      <x:c r="M2350" t="n">
        <x:v>2016</x:v>
      </x:c>
      <x:c r="N2350" s="20" t="n">
        <x:v>42401</x:v>
      </x:c>
    </x:row>
    <x:row r="2351" ht="18" customHeight="1">
      <x:c r="A2351" t="str">
        <x:v>CA-2016-159373</x:v>
      </x:c>
      <x:c r="B2351" s="18" t="n">
        <x:v>42442</x:v>
      </x:c>
      <x:c r="C2351" t="str">
        <x:v>LT-17110</x:v>
      </x:c>
      <x:c r="D2351" t="str">
        <x:v>Liz Thompson</x:v>
      </x:c>
      <x:c r="E2351" t="str">
        <x:v>Consumer</x:v>
      </x:c>
      <x:c r="F2351" t="str">
        <x:v>Central</x:v>
      </x:c>
      <x:c r="G2351" t="str">
        <x:v>Office Supplies</x:v>
      </x:c>
      <x:c r="H2351" t="str">
        <x:v>Paper</x:v>
      </x:c>
      <x:c r="I2351" s="22" t="n">
        <x:v>70.08</x:v>
      </x:c>
      <x:c r="J2351" s="24" t="n">
        <x:v>5</x:v>
      </x:c>
      <x:c r="K2351" s="26" t="n">
        <x:v>0.2</x:v>
      </x:c>
      <x:c r="L2351" s="22" t="n">
        <x:v>24.527999999999995</x:v>
      </x:c>
      <x:c r="M2351" t="n">
        <x:v>2016</x:v>
      </x:c>
      <x:c r="N2351" s="20" t="n">
        <x:v>42430</x:v>
      </x:c>
    </x:row>
    <x:row r="2352" ht="18" customHeight="1">
      <x:c r="A2352" t="str">
        <x:v>CA-2016-159373</x:v>
      </x:c>
      <x:c r="B2352" s="18" t="n">
        <x:v>42442</x:v>
      </x:c>
      <x:c r="C2352" t="str">
        <x:v>LT-17110</x:v>
      </x:c>
      <x:c r="D2352" t="str">
        <x:v>Liz Thompson</x:v>
      </x:c>
      <x:c r="E2352" t="str">
        <x:v>Consumer</x:v>
      </x:c>
      <x:c r="F2352" t="str">
        <x:v>Central</x:v>
      </x:c>
      <x:c r="G2352" t="str">
        <x:v>Office Supplies</x:v>
      </x:c>
      <x:c r="H2352" t="str">
        <x:v>Binders</x:v>
      </x:c>
      <x:c r="I2352" s="22" t="n">
        <x:v>1.2719999999999998</x:v>
      </x:c>
      <x:c r="J2352" s="24" t="n">
        <x:v>2</x:v>
      </x:c>
      <x:c r="K2352" s="26" t="n">
        <x:v>0.8</x:v>
      </x:c>
      <x:c r="L2352" s="22" t="n">
        <x:v>-2.162400000000001</x:v>
      </x:c>
      <x:c r="M2352" t="n">
        <x:v>2016</x:v>
      </x:c>
      <x:c r="N2352" s="20" t="n">
        <x:v>42430</x:v>
      </x:c>
    </x:row>
    <x:row r="2353" ht="18" customHeight="1">
      <x:c r="A2353" t="str">
        <x:v>CA-2016-159373</x:v>
      </x:c>
      <x:c r="B2353" s="18" t="n">
        <x:v>42442</x:v>
      </x:c>
      <x:c r="C2353" t="str">
        <x:v>LT-17110</x:v>
      </x:c>
      <x:c r="D2353" t="str">
        <x:v>Liz Thompson</x:v>
      </x:c>
      <x:c r="E2353" t="str">
        <x:v>Consumer</x:v>
      </x:c>
      <x:c r="F2353" t="str">
        <x:v>Central</x:v>
      </x:c>
      <x:c r="G2353" t="str">
        <x:v>Furniture</x:v>
      </x:c>
      <x:c r="H2353" t="str">
        <x:v>Tables</x:v>
      </x:c>
      <x:c r="I2353" s="22" t="n">
        <x:v>557.585</x:v>
      </x:c>
      <x:c r="J2353" s="24" t="n">
        <x:v>5</x:v>
      </x:c>
      <x:c r="K2353" s="26" t="n">
        <x:v>0.3</x:v>
      </x:c>
      <x:c r="L2353" s="22" t="n">
        <x:v>0</x:v>
      </x:c>
      <x:c r="M2353" t="n">
        <x:v>2016</x:v>
      </x:c>
      <x:c r="N2353" s="20" t="n">
        <x:v>42430</x:v>
      </x:c>
    </x:row>
    <x:row r="2354" ht="18" customHeight="1">
      <x:c r="A2354" t="str">
        <x:v>CA-2017-109701</x:v>
      </x:c>
      <x:c r="B2354" s="18" t="n">
        <x:v>43071</x:v>
      </x:c>
      <x:c r="C2354" t="str">
        <x:v>AM-10360</x:v>
      </x:c>
      <x:c r="D2354" t="str">
        <x:v>Alice McCarthy</x:v>
      </x:c>
      <x:c r="E2354" t="str">
        <x:v>Corporate</x:v>
      </x:c>
      <x:c r="F2354" t="str">
        <x:v>West</x:v>
      </x:c>
      <x:c r="G2354" t="str">
        <x:v>Office Supplies</x:v>
      </x:c>
      <x:c r="H2354" t="str">
        <x:v>Binders</x:v>
      </x:c>
      <x:c r="I2354" s="22" t="n">
        <x:v>9.024000000000001</x:v>
      </x:c>
      <x:c r="J2354" s="24" t="n">
        <x:v>6</x:v>
      </x:c>
      <x:c r="K2354" s="26" t="n">
        <x:v>0.2</x:v>
      </x:c>
      <x:c r="L2354" s="22" t="n">
        <x:v>3.1583999999999985</x:v>
      </x:c>
      <x:c r="M2354" t="n">
        <x:v>2017</x:v>
      </x:c>
      <x:c r="N2354" s="20" t="n">
        <x:v>43070</x:v>
      </x:c>
    </x:row>
    <x:row r="2355" ht="18" customHeight="1">
      <x:c r="A2355" t="str">
        <x:v>CA-2017-109701</x:v>
      </x:c>
      <x:c r="B2355" s="18" t="n">
        <x:v>43071</x:v>
      </x:c>
      <x:c r="C2355" t="str">
        <x:v>AM-10360</x:v>
      </x:c>
      <x:c r="D2355" t="str">
        <x:v>Alice McCarthy</x:v>
      </x:c>
      <x:c r="E2355" t="str">
        <x:v>Corporate</x:v>
      </x:c>
      <x:c r="F2355" t="str">
        <x:v>West</x:v>
      </x:c>
      <x:c r="G2355" t="str">
        <x:v>Office Supplies</x:v>
      </x:c>
      <x:c r="H2355" t="str">
        <x:v>Binders</x:v>
      </x:c>
      <x:c r="I2355" s="22" t="n">
        <x:v>69.456</x:v>
      </x:c>
      <x:c r="J2355" s="24" t="n">
        <x:v>2</x:v>
      </x:c>
      <x:c r="K2355" s="26" t="n">
        <x:v>0.2</x:v>
      </x:c>
      <x:c r="L2355" s="22" t="n">
        <x:v>22.573199999999996</x:v>
      </x:c>
      <x:c r="M2355" t="n">
        <x:v>2017</x:v>
      </x:c>
      <x:c r="N2355" s="20" t="n">
        <x:v>43070</x:v>
      </x:c>
    </x:row>
    <x:row r="2356" ht="18" customHeight="1">
      <x:c r="A2356" t="str">
        <x:v>CA-2017-109701</x:v>
      </x:c>
      <x:c r="B2356" s="18" t="n">
        <x:v>43071</x:v>
      </x:c>
      <x:c r="C2356" t="str">
        <x:v>AM-10360</x:v>
      </x:c>
      <x:c r="D2356" t="str">
        <x:v>Alice McCarthy</x:v>
      </x:c>
      <x:c r="E2356" t="str">
        <x:v>Corporate</x:v>
      </x:c>
      <x:c r="F2356" t="str">
        <x:v>West</x:v>
      </x:c>
      <x:c r="G2356" t="str">
        <x:v>Office Supplies</x:v>
      </x:c>
      <x:c r="H2356" t="str">
        <x:v>Paper</x:v>
      </x:c>
      <x:c r="I2356" s="22" t="n">
        <x:v>10.86</x:v>
      </x:c>
      <x:c r="J2356" s="24" t="n">
        <x:v>2</x:v>
      </x:c>
      <x:c r="K2356" s="26" t="n">
        <x:v>0</x:v>
      </x:c>
      <x:c r="L2356" s="22" t="n">
        <x:v>5.3214</x:v>
      </x:c>
      <x:c r="M2356" t="n">
        <x:v>2017</x:v>
      </x:c>
      <x:c r="N2356" s="20" t="n">
        <x:v>43070</x:v>
      </x:c>
    </x:row>
    <x:row r="2357" ht="18" customHeight="1">
      <x:c r="A2357" t="str">
        <x:v>CA-2017-109701</x:v>
      </x:c>
      <x:c r="B2357" s="18" t="n">
        <x:v>43071</x:v>
      </x:c>
      <x:c r="C2357" t="str">
        <x:v>AM-10360</x:v>
      </x:c>
      <x:c r="D2357" t="str">
        <x:v>Alice McCarthy</x:v>
      </x:c>
      <x:c r="E2357" t="str">
        <x:v>Corporate</x:v>
      </x:c>
      <x:c r="F2357" t="str">
        <x:v>West</x:v>
      </x:c>
      <x:c r="G2357" t="str">
        <x:v>Office Supplies</x:v>
      </x:c>
      <x:c r="H2357" t="str">
        <x:v>Appliances</x:v>
      </x:c>
      <x:c r="I2357" s="22" t="n">
        <x:v>79.47</x:v>
      </x:c>
      <x:c r="J2357" s="24" t="n">
        <x:v>3</x:v>
      </x:c>
      <x:c r="K2357" s="26" t="n">
        <x:v>0</x:v>
      </x:c>
      <x:c r="L2357" s="22" t="n">
        <x:v>22.251600000000003</x:v>
      </x:c>
      <x:c r="M2357" t="n">
        <x:v>2017</x:v>
      </x:c>
      <x:c r="N2357" s="20" t="n">
        <x:v>43070</x:v>
      </x:c>
    </x:row>
    <x:row r="2358" ht="18" customHeight="1">
      <x:c r="A2358" t="str">
        <x:v>CA-2017-109701</x:v>
      </x:c>
      <x:c r="B2358" s="18" t="n">
        <x:v>43071</x:v>
      </x:c>
      <x:c r="C2358" t="str">
        <x:v>AM-10360</x:v>
      </x:c>
      <x:c r="D2358" t="str">
        <x:v>Alice McCarthy</x:v>
      </x:c>
      <x:c r="E2358" t="str">
        <x:v>Corporate</x:v>
      </x:c>
      <x:c r="F2358" t="str">
        <x:v>West</x:v>
      </x:c>
      <x:c r="G2358" t="str">
        <x:v>Office Supplies</x:v>
      </x:c>
      <x:c r="H2358" t="str">
        <x:v>Art</x:v>
      </x:c>
      <x:c r="I2358" s="22" t="n">
        <x:v>10.08</x:v>
      </x:c>
      <x:c r="J2358" s="24" t="n">
        <x:v>6</x:v>
      </x:c>
      <x:c r="K2358" s="26" t="n">
        <x:v>0</x:v>
      </x:c>
      <x:c r="L2358" s="22" t="n">
        <x:v>5.04</x:v>
      </x:c>
      <x:c r="M2358" t="n">
        <x:v>2017</x:v>
      </x:c>
      <x:c r="N2358" s="20" t="n">
        <x:v>43070</x:v>
      </x:c>
    </x:row>
    <x:row r="2359" ht="18" customHeight="1">
      <x:c r="A2359" t="str">
        <x:v>CA-2015-111514</x:v>
      </x:c>
      <x:c r="B2359" s="18" t="n">
        <x:v>42247</x:v>
      </x:c>
      <x:c r="C2359" t="str">
        <x:v>SC-20260</x:v>
      </x:c>
      <x:c r="D2359" t="str">
        <x:v>Scott Cohen</x:v>
      </x:c>
      <x:c r="E2359" t="str">
        <x:v>Corporate</x:v>
      </x:c>
      <x:c r="F2359" t="str">
        <x:v>West</x:v>
      </x:c>
      <x:c r="G2359" t="str">
        <x:v>Furniture</x:v>
      </x:c>
      <x:c r="H2359" t="str">
        <x:v>Bookcases</x:v>
      </x:c>
      <x:c r="I2359" s="22" t="n">
        <x:v>1552.831</x:v>
      </x:c>
      <x:c r="J2359" s="24" t="n">
        <x:v>7</x:v>
      </x:c>
      <x:c r="K2359" s="26" t="n">
        <x:v>0.15</x:v>
      </x:c>
      <x:c r="L2359" s="22" t="n">
        <x:v>200.95460000000008</x:v>
      </x:c>
      <x:c r="M2359" t="n">
        <x:v>2015</x:v>
      </x:c>
      <x:c r="N2359" s="20" t="n">
        <x:v>42217</x:v>
      </x:c>
    </x:row>
    <x:row r="2360" ht="18" customHeight="1">
      <x:c r="A2360" t="str">
        <x:v>CA-2015-111514</x:v>
      </x:c>
      <x:c r="B2360" s="18" t="n">
        <x:v>42247</x:v>
      </x:c>
      <x:c r="C2360" t="str">
        <x:v>SC-20260</x:v>
      </x:c>
      <x:c r="D2360" t="str">
        <x:v>Scott Cohen</x:v>
      </x:c>
      <x:c r="E2360" t="str">
        <x:v>Corporate</x:v>
      </x:c>
      <x:c r="F2360" t="str">
        <x:v>West</x:v>
      </x:c>
      <x:c r="G2360" t="str">
        <x:v>Office Supplies</x:v>
      </x:c>
      <x:c r="H2360" t="str">
        <x:v>Binders</x:v>
      </x:c>
      <x:c r="I2360" s="22" t="n">
        <x:v>137.24</x:v>
      </x:c>
      <x:c r="J2360" s="24" t="n">
        <x:v>5</x:v>
      </x:c>
      <x:c r="K2360" s="26" t="n">
        <x:v>0.2</x:v>
      </x:c>
      <x:c r="L2360" s="22" t="n">
        <x:v>46.3185</x:v>
      </x:c>
      <x:c r="M2360" t="n">
        <x:v>2015</x:v>
      </x:c>
      <x:c r="N2360" s="20" t="n">
        <x:v>42217</x:v>
      </x:c>
    </x:row>
    <x:row r="2361" ht="18" customHeight="1">
      <x:c r="A2361" t="str">
        <x:v>CA-2015-111514</x:v>
      </x:c>
      <x:c r="B2361" s="18" t="n">
        <x:v>42247</x:v>
      </x:c>
      <x:c r="C2361" t="str">
        <x:v>SC-20260</x:v>
      </x:c>
      <x:c r="D2361" t="str">
        <x:v>Scott Cohen</x:v>
      </x:c>
      <x:c r="E2361" t="str">
        <x:v>Corporate</x:v>
      </x:c>
      <x:c r="F2361" t="str">
        <x:v>West</x:v>
      </x:c>
      <x:c r="G2361" t="str">
        <x:v>Technology</x:v>
      </x:c>
      <x:c r="H2361" t="str">
        <x:v>Accessories</x:v>
      </x:c>
      <x:c r="I2361" s="22" t="n">
        <x:v>36.51</x:v>
      </x:c>
      <x:c r="J2361" s="24" t="n">
        <x:v>1</x:v>
      </x:c>
      <x:c r="K2361" s="26" t="n">
        <x:v>0</x:v>
      </x:c>
      <x:c r="L2361" s="22" t="n">
        <x:v>15.699300000000001</x:v>
      </x:c>
      <x:c r="M2361" t="n">
        <x:v>2015</x:v>
      </x:c>
      <x:c r="N2361" s="20" t="n">
        <x:v>42217</x:v>
      </x:c>
    </x:row>
    <x:row r="2362" ht="18" customHeight="1">
      <x:c r="A2362" t="str">
        <x:v>CA-2015-111514</x:v>
      </x:c>
      <x:c r="B2362" s="18" t="n">
        <x:v>42247</x:v>
      </x:c>
      <x:c r="C2362" t="str">
        <x:v>SC-20260</x:v>
      </x:c>
      <x:c r="D2362" t="str">
        <x:v>Scott Cohen</x:v>
      </x:c>
      <x:c r="E2362" t="str">
        <x:v>Corporate</x:v>
      </x:c>
      <x:c r="F2362" t="str">
        <x:v>West</x:v>
      </x:c>
      <x:c r="G2362" t="str">
        <x:v>Technology</x:v>
      </x:c>
      <x:c r="H2362" t="str">
        <x:v>Machines</x:v>
      </x:c>
      <x:c r="I2362" s="22" t="n">
        <x:v>239.976</x:v>
      </x:c>
      <x:c r="J2362" s="24" t="n">
        <x:v>3</x:v>
      </x:c>
      <x:c r="K2362" s="26" t="n">
        <x:v>0.2</x:v>
      </x:c>
      <x:c r="L2362" s="22" t="n">
        <x:v>80.99189999999999</x:v>
      </x:c>
      <x:c r="M2362" t="n">
        <x:v>2015</x:v>
      </x:c>
      <x:c r="N2362" s="20" t="n">
        <x:v>42217</x:v>
      </x:c>
    </x:row>
    <x:row r="2363" ht="18" customHeight="1">
      <x:c r="A2363" t="str">
        <x:v>US-2014-148838</x:v>
      </x:c>
      <x:c r="B2363" s="18" t="n">
        <x:v>41715</x:v>
      </x:c>
      <x:c r="C2363" t="str">
        <x:v>CP-12340</x:v>
      </x:c>
      <x:c r="D2363" t="str">
        <x:v>Christine Phan</x:v>
      </x:c>
      <x:c r="E2363" t="str">
        <x:v>Corporate</x:v>
      </x:c>
      <x:c r="F2363" t="str">
        <x:v>East</x:v>
      </x:c>
      <x:c r="G2363" t="str">
        <x:v>Furniture</x:v>
      </x:c>
      <x:c r="H2363" t="str">
        <x:v>Tables</x:v>
      </x:c>
      <x:c r="I2363" s="22" t="n">
        <x:v>1579.746</x:v>
      </x:c>
      <x:c r="J2363" s="24" t="n">
        <x:v>7</x:v>
      </x:c>
      <x:c r="K2363" s="26" t="n">
        <x:v>0.4</x:v>
      </x:c>
      <x:c r="L2363" s="22" t="n">
        <x:v>-447.5946999999999</x:v>
      </x:c>
      <x:c r="M2363" t="n">
        <x:v>2014</x:v>
      </x:c>
      <x:c r="N2363" s="20" t="n">
        <x:v>41699</x:v>
      </x:c>
    </x:row>
    <x:row r="2364" ht="18" customHeight="1">
      <x:c r="A2364" t="str">
        <x:v>US-2014-148838</x:v>
      </x:c>
      <x:c r="B2364" s="18" t="n">
        <x:v>41715</x:v>
      </x:c>
      <x:c r="C2364" t="str">
        <x:v>CP-12340</x:v>
      </x:c>
      <x:c r="D2364" t="str">
        <x:v>Christine Phan</x:v>
      </x:c>
      <x:c r="E2364" t="str">
        <x:v>Corporate</x:v>
      </x:c>
      <x:c r="F2364" t="str">
        <x:v>East</x:v>
      </x:c>
      <x:c r="G2364" t="str">
        <x:v>Furniture</x:v>
      </x:c>
      <x:c r="H2364" t="str">
        <x:v>Tables</x:v>
      </x:c>
      <x:c r="I2364" s="22" t="n">
        <x:v>1071.576</x:v>
      </x:c>
      <x:c r="J2364" s="24" t="n">
        <x:v>4</x:v>
      </x:c>
      <x:c r="K2364" s="26" t="n">
        <x:v>0.4</x:v>
      </x:c>
      <x:c r="L2364" s="22" t="n">
        <x:v>-553.6476</x:v>
      </x:c>
      <x:c r="M2364" t="n">
        <x:v>2014</x:v>
      </x:c>
      <x:c r="N2364" s="20" t="n">
        <x:v>41699</x:v>
      </x:c>
    </x:row>
    <x:row r="2365" ht="18" customHeight="1">
      <x:c r="A2365" t="str">
        <x:v>US-2014-148838</x:v>
      </x:c>
      <x:c r="B2365" s="18" t="n">
        <x:v>41715</x:v>
      </x:c>
      <x:c r="C2365" t="str">
        <x:v>CP-12340</x:v>
      </x:c>
      <x:c r="D2365" t="str">
        <x:v>Christine Phan</x:v>
      </x:c>
      <x:c r="E2365" t="str">
        <x:v>Corporate</x:v>
      </x:c>
      <x:c r="F2365" t="str">
        <x:v>East</x:v>
      </x:c>
      <x:c r="G2365" t="str">
        <x:v>Furniture</x:v>
      </x:c>
      <x:c r="H2365" t="str">
        <x:v>Tables</x:v>
      </x:c>
      <x:c r="I2365" s="22" t="n">
        <x:v>613.908</x:v>
      </x:c>
      <x:c r="J2365" s="24" t="n">
        <x:v>3</x:v>
      </x:c>
      <x:c r="K2365" s="26" t="n">
        <x:v>0.4</x:v>
      </x:c>
      <x:c r="L2365" s="22" t="n">
        <x:v>-122.78160000000003</x:v>
      </x:c>
      <x:c r="M2365" t="n">
        <x:v>2014</x:v>
      </x:c>
      <x:c r="N2365" s="20" t="n">
        <x:v>41699</x:v>
      </x:c>
    </x:row>
    <x:row r="2366" ht="18" customHeight="1">
      <x:c r="A2366" t="str">
        <x:v>US-2014-148838</x:v>
      </x:c>
      <x:c r="B2366" s="18" t="n">
        <x:v>41715</x:v>
      </x:c>
      <x:c r="C2366" t="str">
        <x:v>CP-12340</x:v>
      </x:c>
      <x:c r="D2366" t="str">
        <x:v>Christine Phan</x:v>
      </x:c>
      <x:c r="E2366" t="str">
        <x:v>Corporate</x:v>
      </x:c>
      <x:c r="F2366" t="str">
        <x:v>East</x:v>
      </x:c>
      <x:c r="G2366" t="str">
        <x:v>Office Supplies</x:v>
      </x:c>
      <x:c r="H2366" t="str">
        <x:v>Paper</x:v>
      </x:c>
      <x:c r="I2366" s="22" t="n">
        <x:v>34.86</x:v>
      </x:c>
      <x:c r="J2366" s="24" t="n">
        <x:v>7</x:v>
      </x:c>
      <x:c r="K2366" s="26" t="n">
        <x:v>0</x:v>
      </x:c>
      <x:c r="L2366" s="22" t="n">
        <x:v>16.3842</x:v>
      </x:c>
      <x:c r="M2366" t="n">
        <x:v>2014</x:v>
      </x:c>
      <x:c r="N2366" s="20" t="n">
        <x:v>41699</x:v>
      </x:c>
    </x:row>
    <x:row r="2367" ht="18" customHeight="1">
      <x:c r="A2367" t="str">
        <x:v>US-2014-148838</x:v>
      </x:c>
      <x:c r="B2367" s="18" t="n">
        <x:v>41715</x:v>
      </x:c>
      <x:c r="C2367" t="str">
        <x:v>CP-12340</x:v>
      </x:c>
      <x:c r="D2367" t="str">
        <x:v>Christine Phan</x:v>
      </x:c>
      <x:c r="E2367" t="str">
        <x:v>Corporate</x:v>
      </x:c>
      <x:c r="F2367" t="str">
        <x:v>East</x:v>
      </x:c>
      <x:c r="G2367" t="str">
        <x:v>Office Supplies</x:v>
      </x:c>
      <x:c r="H2367" t="str">
        <x:v>Paper</x:v>
      </x:c>
      <x:c r="I2367" s="22" t="n">
        <x:v>155.04</x:v>
      </x:c>
      <x:c r="J2367" s="24" t="n">
        <x:v>4</x:v>
      </x:c>
      <x:c r="K2367" s="26" t="n">
        <x:v>0</x:v>
      </x:c>
      <x:c r="L2367" s="22" t="n">
        <x:v>75.9696</x:v>
      </x:c>
      <x:c r="M2367" t="n">
        <x:v>2014</x:v>
      </x:c>
      <x:c r="N2367" s="20" t="n">
        <x:v>41699</x:v>
      </x:c>
    </x:row>
    <x:row r="2368" ht="18" customHeight="1">
      <x:c r="A2368" t="str">
        <x:v>CA-2017-136497</x:v>
      </x:c>
      <x:c r="B2368" s="18" t="n">
        <x:v>42841</x:v>
      </x:c>
      <x:c r="C2368" t="str">
        <x:v>RF-19840</x:v>
      </x:c>
      <x:c r="D2368" t="str">
        <x:v>Roy Französisch</x:v>
      </x:c>
      <x:c r="E2368" t="str">
        <x:v>Consumer</x:v>
      </x:c>
      <x:c r="F2368" t="str">
        <x:v>East</x:v>
      </x:c>
      <x:c r="G2368" t="str">
        <x:v>Office Supplies</x:v>
      </x:c>
      <x:c r="H2368" t="str">
        <x:v>Binders</x:v>
      </x:c>
      <x:c r="I2368" s="22" t="n">
        <x:v>13.710000000000003</x:v>
      </x:c>
      <x:c r="J2368" s="24" t="n">
        <x:v>5</x:v>
      </x:c>
      <x:c r="K2368" s="26" t="n">
        <x:v>0.7</x:v>
      </x:c>
      <x:c r="L2368" s="22" t="n">
        <x:v>-10.053999999999998</x:v>
      </x:c>
      <x:c r="M2368" t="n">
        <x:v>2017</x:v>
      </x:c>
      <x:c r="N2368" s="20" t="n">
        <x:v>42826</x:v>
      </x:c>
    </x:row>
    <x:row r="2369" ht="18" customHeight="1">
      <x:c r="A2369" t="str">
        <x:v>US-2016-108637</x:v>
      </x:c>
      <x:c r="B2369" s="18" t="n">
        <x:v>42442</x:v>
      </x:c>
      <x:c r="C2369" t="str">
        <x:v>AB-10060</x:v>
      </x:c>
      <x:c r="D2369" t="str">
        <x:v>Adam Bellavance</x:v>
      </x:c>
      <x:c r="E2369" t="str">
        <x:v>Home Office</x:v>
      </x:c>
      <x:c r="F2369" t="str">
        <x:v>South</x:v>
      </x:c>
      <x:c r="G2369" t="str">
        <x:v>Furniture</x:v>
      </x:c>
      <x:c r="H2369" t="str">
        <x:v>Furnishings</x:v>
      </x:c>
      <x:c r="I2369" s="22" t="n">
        <x:v>127.88</x:v>
      </x:c>
      <x:c r="J2369" s="24" t="n">
        <x:v>2</x:v>
      </x:c>
      <x:c r="K2369" s="26" t="n">
        <x:v>0</x:v>
      </x:c>
      <x:c r="L2369" s="22" t="n">
        <x:v>40.9216</x:v>
      </x:c>
      <x:c r="M2369" t="n">
        <x:v>2016</x:v>
      </x:c>
      <x:c r="N2369" s="20" t="n">
        <x:v>42430</x:v>
      </x:c>
    </x:row>
    <x:row r="2370" ht="18" customHeight="1">
      <x:c r="A2370" t="str">
        <x:v>US-2016-108637</x:v>
      </x:c>
      <x:c r="B2370" s="18" t="n">
        <x:v>42442</x:v>
      </x:c>
      <x:c r="C2370" t="str">
        <x:v>AB-10060</x:v>
      </x:c>
      <x:c r="D2370" t="str">
        <x:v>Adam Bellavance</x:v>
      </x:c>
      <x:c r="E2370" t="str">
        <x:v>Home Office</x:v>
      </x:c>
      <x:c r="F2370" t="str">
        <x:v>South</x:v>
      </x:c>
      <x:c r="G2370" t="str">
        <x:v>Office Supplies</x:v>
      </x:c>
      <x:c r="H2370" t="str">
        <x:v>Appliances</x:v>
      </x:c>
      <x:c r="I2370" s="22" t="n">
        <x:v>160.32</x:v>
      </x:c>
      <x:c r="J2370" s="24" t="n">
        <x:v>2</x:v>
      </x:c>
      <x:c r="K2370" s="26" t="n">
        <x:v>0</x:v>
      </x:c>
      <x:c r="L2370" s="22" t="n">
        <x:v>44.8896</x:v>
      </x:c>
      <x:c r="M2370" t="n">
        <x:v>2016</x:v>
      </x:c>
      <x:c r="N2370" s="20" t="n">
        <x:v>42430</x:v>
      </x:c>
    </x:row>
    <x:row r="2371" ht="18" customHeight="1">
      <x:c r="A2371" t="str">
        <x:v>US-2016-108637</x:v>
      </x:c>
      <x:c r="B2371" s="18" t="n">
        <x:v>42442</x:v>
      </x:c>
      <x:c r="C2371" t="str">
        <x:v>AB-10060</x:v>
      </x:c>
      <x:c r="D2371" t="str">
        <x:v>Adam Bellavance</x:v>
      </x:c>
      <x:c r="E2371" t="str">
        <x:v>Home Office</x:v>
      </x:c>
      <x:c r="F2371" t="str">
        <x:v>South</x:v>
      </x:c>
      <x:c r="G2371" t="str">
        <x:v>Office Supplies</x:v>
      </x:c>
      <x:c r="H2371" t="str">
        <x:v>Binders</x:v>
      </x:c>
      <x:c r="I2371" s="22" t="n">
        <x:v>46</x:v>
      </x:c>
      <x:c r="J2371" s="24" t="n">
        <x:v>4</x:v>
      </x:c>
      <x:c r="K2371" s="26" t="n">
        <x:v>0</x:v>
      </x:c>
      <x:c r="L2371" s="22" t="n">
        <x:v>20.7</x:v>
      </x:c>
      <x:c r="M2371" t="n">
        <x:v>2016</x:v>
      </x:c>
      <x:c r="N2371" s="20" t="n">
        <x:v>42430</x:v>
      </x:c>
    </x:row>
    <x:row r="2372" ht="18" customHeight="1">
      <x:c r="A2372" t="str">
        <x:v>CA-2014-102295</x:v>
      </x:c>
      <x:c r="B2372" s="18" t="n">
        <x:v>41967</x:v>
      </x:c>
      <x:c r="C2372" t="str">
        <x:v>EH-13990</x:v>
      </x:c>
      <x:c r="D2372" t="str">
        <x:v>Erica Hackney</x:v>
      </x:c>
      <x:c r="E2372" t="str">
        <x:v>Consumer</x:v>
      </x:c>
      <x:c r="F2372" t="str">
        <x:v>West</x:v>
      </x:c>
      <x:c r="G2372" t="str">
        <x:v>Furniture</x:v>
      </x:c>
      <x:c r="H2372" t="str">
        <x:v>Chairs</x:v>
      </x:c>
      <x:c r="I2372" s="22" t="n">
        <x:v>120.71199999999999</x:v>
      </x:c>
      <x:c r="J2372" s="24" t="n">
        <x:v>1</x:v>
      </x:c>
      <x:c r="K2372" s="26" t="n">
        <x:v>0.2</x:v>
      </x:c>
      <x:c r="L2372" s="22" t="n">
        <x:v>-18.106799999999993</x:v>
      </x:c>
      <x:c r="M2372" t="n">
        <x:v>2014</x:v>
      </x:c>
      <x:c r="N2372" s="20" t="n">
        <x:v>41944</x:v>
      </x:c>
    </x:row>
    <x:row r="2373" ht="18" customHeight="1">
      <x:c r="A2373" t="str">
        <x:v>CA-2017-123659</x:v>
      </x:c>
      <x:c r="B2373" s="18" t="n">
        <x:v>42776</x:v>
      </x:c>
      <x:c r="C2373" t="str">
        <x:v>MN-17935</x:v>
      </x:c>
      <x:c r="D2373" t="str">
        <x:v>Michael Nguyen</x:v>
      </x:c>
      <x:c r="E2373" t="str">
        <x:v>Consumer</x:v>
      </x:c>
      <x:c r="F2373" t="str">
        <x:v>East</x:v>
      </x:c>
      <x:c r="G2373" t="str">
        <x:v>Office Supplies</x:v>
      </x:c>
      <x:c r="H2373" t="str">
        <x:v>Paper</x:v>
      </x:c>
      <x:c r="I2373" s="22" t="n">
        <x:v>23.12</x:v>
      </x:c>
      <x:c r="J2373" s="24" t="n">
        <x:v>4</x:v>
      </x:c>
      <x:c r="K2373" s="26" t="n">
        <x:v>0</x:v>
      </x:c>
      <x:c r="L2373" s="22" t="n">
        <x:v>11.328800000000001</x:v>
      </x:c>
      <x:c r="M2373" t="n">
        <x:v>2017</x:v>
      </x:c>
      <x:c r="N2373" s="20" t="n">
        <x:v>42767</x:v>
      </x:c>
    </x:row>
    <x:row r="2374" ht="18" customHeight="1">
      <x:c r="A2374" t="str">
        <x:v>US-2016-129469</x:v>
      </x:c>
      <x:c r="B2374" s="18" t="n">
        <x:v>42636</x:v>
      </x:c>
      <x:c r="C2374" t="str">
        <x:v>KL-16555</x:v>
      </x:c>
      <x:c r="D2374" t="str">
        <x:v>Kelly Lampkin</x:v>
      </x:c>
      <x:c r="E2374" t="str">
        <x:v>Corporate</x:v>
      </x:c>
      <x:c r="F2374" t="str">
        <x:v>East</x:v>
      </x:c>
      <x:c r="G2374" t="str">
        <x:v>Furniture</x:v>
      </x:c>
      <x:c r="H2374" t="str">
        <x:v>Furnishings</x:v>
      </x:c>
      <x:c r="I2374" s="22" t="n">
        <x:v>532.7040000000001</x:v>
      </x:c>
      <x:c r="J2374" s="24" t="n">
        <x:v>6</x:v>
      </x:c>
      <x:c r="K2374" s="26" t="n">
        <x:v>0.2</x:v>
      </x:c>
      <x:c r="L2374" s="22" t="n">
        <x:v>-26.635200000000026</x:v>
      </x:c>
      <x:c r="M2374" t="n">
        <x:v>2016</x:v>
      </x:c>
      <x:c r="N2374" s="20" t="n">
        <x:v>42614</x:v>
      </x:c>
    </x:row>
    <x:row r="2375" ht="18" customHeight="1">
      <x:c r="A2375" t="str">
        <x:v>US-2016-129469</x:v>
      </x:c>
      <x:c r="B2375" s="18" t="n">
        <x:v>42636</x:v>
      </x:c>
      <x:c r="C2375" t="str">
        <x:v>KL-16555</x:v>
      </x:c>
      <x:c r="D2375" t="str">
        <x:v>Kelly Lampkin</x:v>
      </x:c>
      <x:c r="E2375" t="str">
        <x:v>Corporate</x:v>
      </x:c>
      <x:c r="F2375" t="str">
        <x:v>East</x:v>
      </x:c>
      <x:c r="G2375" t="str">
        <x:v>Office Supplies</x:v>
      </x:c>
      <x:c r="H2375" t="str">
        <x:v>Art</x:v>
      </x:c>
      <x:c r="I2375" s="22" t="n">
        <x:v>4.912</x:v>
      </x:c>
      <x:c r="J2375" s="24" t="n">
        <x:v>2</x:v>
      </x:c>
      <x:c r="K2375" s="26" t="n">
        <x:v>0.2</x:v>
      </x:c>
      <x:c r="L2375" s="22" t="n">
        <x:v>0.30700000000000016</x:v>
      </x:c>
      <x:c r="M2375" t="n">
        <x:v>2016</x:v>
      </x:c>
      <x:c r="N2375" s="20" t="n">
        <x:v>42614</x:v>
      </x:c>
    </x:row>
    <x:row r="2376" ht="18" customHeight="1">
      <x:c r="A2376" t="str">
        <x:v>CA-2017-155152</x:v>
      </x:c>
      <x:c r="B2376" s="18" t="n">
        <x:v>42923</x:v>
      </x:c>
      <x:c r="C2376" t="str">
        <x:v>MP-17965</x:v>
      </x:c>
      <x:c r="D2376" t="str">
        <x:v>Michael Paige</x:v>
      </x:c>
      <x:c r="E2376" t="str">
        <x:v>Corporate</x:v>
      </x:c>
      <x:c r="F2376" t="str">
        <x:v>East</x:v>
      </x:c>
      <x:c r="G2376" t="str">
        <x:v>Technology</x:v>
      </x:c>
      <x:c r="H2376" t="str">
        <x:v>Accessories</x:v>
      </x:c>
      <x:c r="I2376" s="22" t="n">
        <x:v>252</x:v>
      </x:c>
      <x:c r="J2376" s="24" t="n">
        <x:v>4</x:v>
      </x:c>
      <x:c r="K2376" s="26" t="n">
        <x:v>0</x:v>
      </x:c>
      <x:c r="L2376" s="22" t="n">
        <x:v>93.24000000000001</x:v>
      </x:c>
      <x:c r="M2376" t="n">
        <x:v>2017</x:v>
      </x:c>
      <x:c r="N2376" s="20" t="n">
        <x:v>42917</x:v>
      </x:c>
    </x:row>
    <x:row r="2377" ht="18" customHeight="1">
      <x:c r="A2377" t="str">
        <x:v>CA-2016-159940</x:v>
      </x:c>
      <x:c r="B2377" s="18" t="n">
        <x:v>42558</x:v>
      </x:c>
      <x:c r="C2377" t="str">
        <x:v>BF-11020</x:v>
      </x:c>
      <x:c r="D2377" t="str">
        <x:v>Barry Französisch</x:v>
      </x:c>
      <x:c r="E2377" t="str">
        <x:v>Corporate</x:v>
      </x:c>
      <x:c r="F2377" t="str">
        <x:v>Central</x:v>
      </x:c>
      <x:c r="G2377" t="str">
        <x:v>Furniture</x:v>
      </x:c>
      <x:c r="H2377" t="str">
        <x:v>Furnishings</x:v>
      </x:c>
      <x:c r="I2377" s="22" t="n">
        <x:v>60.288000000000004</x:v>
      </x:c>
      <x:c r="J2377" s="24" t="n">
        <x:v>8</x:v>
      </x:c>
      <x:c r="K2377" s="26" t="n">
        <x:v>0.6</x:v>
      </x:c>
      <x:c r="L2377" s="22" t="n">
        <x:v>-27.129599999999996</x:v>
      </x:c>
      <x:c r="M2377" t="n">
        <x:v>2016</x:v>
      </x:c>
      <x:c r="N2377" s="20" t="n">
        <x:v>42552</x:v>
      </x:c>
    </x:row>
    <x:row r="2378" ht="18" customHeight="1">
      <x:c r="A2378" t="str">
        <x:v>CA-2016-159940</x:v>
      </x:c>
      <x:c r="B2378" s="18" t="n">
        <x:v>42558</x:v>
      </x:c>
      <x:c r="C2378" t="str">
        <x:v>BF-11020</x:v>
      </x:c>
      <x:c r="D2378" t="str">
        <x:v>Barry Französisch</x:v>
      </x:c>
      <x:c r="E2378" t="str">
        <x:v>Corporate</x:v>
      </x:c>
      <x:c r="F2378" t="str">
        <x:v>Central</x:v>
      </x:c>
      <x:c r="G2378" t="str">
        <x:v>Office Supplies</x:v>
      </x:c>
      <x:c r="H2378" t="str">
        <x:v>Fasteners</x:v>
      </x:c>
      <x:c r="I2378" s="22" t="n">
        <x:v>2.632</x:v>
      </x:c>
      <x:c r="J2378" s="24" t="n">
        <x:v>1</x:v>
      </x:c>
      <x:c r="K2378" s="26" t="n">
        <x:v>0.2</x:v>
      </x:c>
      <x:c r="L2378" s="22" t="n">
        <x:v>0.8224999999999999</x:v>
      </x:c>
      <x:c r="M2378" t="n">
        <x:v>2016</x:v>
      </x:c>
      <x:c r="N2378" s="20" t="n">
        <x:v>42552</x:v>
      </x:c>
    </x:row>
    <x:row r="2379" ht="18" customHeight="1">
      <x:c r="A2379" t="str">
        <x:v>CA-2016-159940</x:v>
      </x:c>
      <x:c r="B2379" s="18" t="n">
        <x:v>42558</x:v>
      </x:c>
      <x:c r="C2379" t="str">
        <x:v>BF-11020</x:v>
      </x:c>
      <x:c r="D2379" t="str">
        <x:v>Barry Französisch</x:v>
      </x:c>
      <x:c r="E2379" t="str">
        <x:v>Corporate</x:v>
      </x:c>
      <x:c r="F2379" t="str">
        <x:v>Central</x:v>
      </x:c>
      <x:c r="G2379" t="str">
        <x:v>Office Supplies</x:v>
      </x:c>
      <x:c r="H2379" t="str">
        <x:v>Paper</x:v>
      </x:c>
      <x:c r="I2379" s="22" t="n">
        <x:v>23.688000000000002</x:v>
      </x:c>
      <x:c r="J2379" s="24" t="n">
        <x:v>9</x:v>
      </x:c>
      <x:c r="K2379" s="26" t="n">
        <x:v>0.2</x:v>
      </x:c>
      <x:c r="L2379" s="22" t="n">
        <x:v>7.698599999999999</x:v>
      </x:c>
      <x:c r="M2379" t="n">
        <x:v>2016</x:v>
      </x:c>
      <x:c r="N2379" s="20" t="n">
        <x:v>42552</x:v>
      </x:c>
    </x:row>
    <x:row r="2380" ht="18" customHeight="1">
      <x:c r="A2380" t="str">
        <x:v>CA-2016-159940</x:v>
      </x:c>
      <x:c r="B2380" s="18" t="n">
        <x:v>42558</x:v>
      </x:c>
      <x:c r="C2380" t="str">
        <x:v>BF-11020</x:v>
      </x:c>
      <x:c r="D2380" t="str">
        <x:v>Barry Französisch</x:v>
      </x:c>
      <x:c r="E2380" t="str">
        <x:v>Corporate</x:v>
      </x:c>
      <x:c r="F2380" t="str">
        <x:v>Central</x:v>
      </x:c>
      <x:c r="G2380" t="str">
        <x:v>Furniture</x:v>
      </x:c>
      <x:c r="H2380" t="str">
        <x:v>Chairs</x:v>
      </x:c>
      <x:c r="I2380" s="22" t="n">
        <x:v>253.37199999999996</x:v>
      </x:c>
      <x:c r="J2380" s="24" t="n">
        <x:v>2</x:v>
      </x:c>
      <x:c r="K2380" s="26" t="n">
        <x:v>0.3</x:v>
      </x:c>
      <x:c r="L2380" s="22" t="n">
        <x:v>-14.478399999999993</x:v>
      </x:c>
      <x:c r="M2380" t="n">
        <x:v>2016</x:v>
      </x:c>
      <x:c r="N2380" s="20" t="n">
        <x:v>42552</x:v>
      </x:c>
    </x:row>
    <x:row r="2381" ht="18" customHeight="1">
      <x:c r="A2381" t="str">
        <x:v>CA-2017-119669</x:v>
      </x:c>
      <x:c r="B2381" s="18" t="n">
        <x:v>42759</x:v>
      </x:c>
      <x:c r="C2381" t="str">
        <x:v>TP-21130</x:v>
      </x:c>
      <x:c r="D2381" t="str">
        <x:v>Theone Pippenger</x:v>
      </x:c>
      <x:c r="E2381" t="str">
        <x:v>Consumer</x:v>
      </x:c>
      <x:c r="F2381" t="str">
        <x:v>South</x:v>
      </x:c>
      <x:c r="G2381" t="str">
        <x:v>Office Supplies</x:v>
      </x:c>
      <x:c r="H2381" t="str">
        <x:v>Fasteners</x:v>
      </x:c>
      <x:c r="I2381" s="22" t="n">
        <x:v>5.67</x:v>
      </x:c>
      <x:c r="J2381" s="24" t="n">
        <x:v>3</x:v>
      </x:c>
      <x:c r="K2381" s="26" t="n">
        <x:v>0</x:v>
      </x:c>
      <x:c r="L2381" s="22" t="n">
        <x:v>0.11340000000000017</x:v>
      </x:c>
      <x:c r="M2381" t="n">
        <x:v>2017</x:v>
      </x:c>
      <x:c r="N2381" s="20" t="n">
        <x:v>42736</x:v>
      </x:c>
    </x:row>
    <x:row r="2382" ht="18" customHeight="1">
      <x:c r="A2382" t="str">
        <x:v>US-2014-164616</x:v>
      </x:c>
      <x:c r="B2382" s="18" t="n">
        <x:v>41870</x:v>
      </x:c>
      <x:c r="C2382" t="str">
        <x:v>MS-17770</x:v>
      </x:c>
      <x:c r="D2382" t="str">
        <x:v>Maxwell Schwartz</x:v>
      </x:c>
      <x:c r="E2382" t="str">
        <x:v>Consumer</x:v>
      </x:c>
      <x:c r="F2382" t="str">
        <x:v>East</x:v>
      </x:c>
      <x:c r="G2382" t="str">
        <x:v>Office Supplies</x:v>
      </x:c>
      <x:c r="H2382" t="str">
        <x:v>Binders</x:v>
      </x:c>
      <x:c r="I2382" s="22" t="n">
        <x:v>76.77600000000001</x:v>
      </x:c>
      <x:c r="J2382" s="24" t="n">
        <x:v>4</x:v>
      </x:c>
      <x:c r="K2382" s="26" t="n">
        <x:v>0.7</x:v>
      </x:c>
      <x:c r="L2382" s="22" t="n">
        <x:v>-58.86159999999998</x:v>
      </x:c>
      <x:c r="M2382" t="n">
        <x:v>2014</x:v>
      </x:c>
      <x:c r="N2382" s="20" t="n">
        <x:v>41852</x:v>
      </x:c>
    </x:row>
    <x:row r="2383" ht="18" customHeight="1">
      <x:c r="A2383" t="str">
        <x:v>US-2014-164616</x:v>
      </x:c>
      <x:c r="B2383" s="18" t="n">
        <x:v>41870</x:v>
      </x:c>
      <x:c r="C2383" t="str">
        <x:v>MS-17770</x:v>
      </x:c>
      <x:c r="D2383" t="str">
        <x:v>Maxwell Schwartz</x:v>
      </x:c>
      <x:c r="E2383" t="str">
        <x:v>Consumer</x:v>
      </x:c>
      <x:c r="F2383" t="str">
        <x:v>East</x:v>
      </x:c>
      <x:c r="G2383" t="str">
        <x:v>Office Supplies</x:v>
      </x:c>
      <x:c r="H2383" t="str">
        <x:v>Supplies</x:v>
      </x:c>
      <x:c r="I2383" s="22" t="n">
        <x:v>9.184000000000001</x:v>
      </x:c>
      <x:c r="J2383" s="24" t="n">
        <x:v>2</x:v>
      </x:c>
      <x:c r="K2383" s="26" t="n">
        <x:v>0.2</x:v>
      </x:c>
      <x:c r="L2383" s="22" t="n">
        <x:v>1.1479999999999988</x:v>
      </x:c>
      <x:c r="M2383" t="n">
        <x:v>2014</x:v>
      </x:c>
      <x:c r="N2383" s="20" t="n">
        <x:v>41852</x:v>
      </x:c>
    </x:row>
    <x:row r="2384" ht="18" customHeight="1">
      <x:c r="A2384" t="str">
        <x:v>CA-2015-148628</x:v>
      </x:c>
      <x:c r="B2384" s="18" t="n">
        <x:v>42344</x:v>
      </x:c>
      <x:c r="C2384" t="str">
        <x:v>KM-16375</x:v>
      </x:c>
      <x:c r="D2384" t="str">
        <x:v>Katherine Murray</x:v>
      </x:c>
      <x:c r="E2384" t="str">
        <x:v>Home Office</x:v>
      </x:c>
      <x:c r="F2384" t="str">
        <x:v>West</x:v>
      </x:c>
      <x:c r="G2384" t="str">
        <x:v>Office Supplies</x:v>
      </x:c>
      <x:c r="H2384" t="str">
        <x:v>Paper</x:v>
      </x:c>
      <x:c r="I2384" s="22" t="n">
        <x:v>32.75</x:v>
      </x:c>
      <x:c r="J2384" s="24" t="n">
        <x:v>5</x:v>
      </x:c>
      <x:c r="K2384" s="26" t="n">
        <x:v>0</x:v>
      </x:c>
      <x:c r="L2384" s="22" t="n">
        <x:v>15.065</x:v>
      </x:c>
      <x:c r="M2384" t="n">
        <x:v>2015</x:v>
      </x:c>
      <x:c r="N2384" s="20" t="n">
        <x:v>42339</x:v>
      </x:c>
    </x:row>
    <x:row r="2385" ht="18" customHeight="1">
      <x:c r="A2385" t="str">
        <x:v>CA-2016-118052</x:v>
      </x:c>
      <x:c r="B2385" s="18" t="n">
        <x:v>42496</x:v>
      </x:c>
      <x:c r="C2385" t="str">
        <x:v>BE-11455</x:v>
      </x:c>
      <x:c r="D2385" t="str">
        <x:v>Brad Eason</x:v>
      </x:c>
      <x:c r="E2385" t="str">
        <x:v>Home Office</x:v>
      </x:c>
      <x:c r="F2385" t="str">
        <x:v>East</x:v>
      </x:c>
      <x:c r="G2385" t="str">
        <x:v>Office Supplies</x:v>
      </x:c>
      <x:c r="H2385" t="str">
        <x:v>Fasteners</x:v>
      </x:c>
      <x:c r="I2385" s="22" t="n">
        <x:v>7.216</x:v>
      </x:c>
      <x:c r="J2385" s="24" t="n">
        <x:v>2</x:v>
      </x:c>
      <x:c r="K2385" s="26" t="n">
        <x:v>0.2</x:v>
      </x:c>
      <x:c r="L2385" s="22" t="n">
        <x:v>1.7138000000000002</x:v>
      </x:c>
      <x:c r="M2385" t="n">
        <x:v>2016</x:v>
      </x:c>
      <x:c r="N2385" s="20" t="n">
        <x:v>42491</x:v>
      </x:c>
    </x:row>
    <x:row r="2386" ht="18" customHeight="1">
      <x:c r="A2386" t="str">
        <x:v>CA-2016-118052</x:v>
      </x:c>
      <x:c r="B2386" s="18" t="n">
        <x:v>42496</x:v>
      </x:c>
      <x:c r="C2386" t="str">
        <x:v>BE-11455</x:v>
      </x:c>
      <x:c r="D2386" t="str">
        <x:v>Brad Eason</x:v>
      </x:c>
      <x:c r="E2386" t="str">
        <x:v>Home Office</x:v>
      </x:c>
      <x:c r="F2386" t="str">
        <x:v>East</x:v>
      </x:c>
      <x:c r="G2386" t="str">
        <x:v>Office Supplies</x:v>
      </x:c>
      <x:c r="H2386" t="str">
        <x:v>Paper</x:v>
      </x:c>
      <x:c r="I2386" s="22" t="n">
        <x:v>49.568000000000005</x:v>
      </x:c>
      <x:c r="J2386" s="24" t="n">
        <x:v>2</x:v>
      </x:c>
      <x:c r="K2386" s="26" t="n">
        <x:v>0.2</x:v>
      </x:c>
      <x:c r="L2386" s="22" t="n">
        <x:v>15.489999999999997</x:v>
      </x:c>
      <x:c r="M2386" t="n">
        <x:v>2016</x:v>
      </x:c>
      <x:c r="N2386" s="20" t="n">
        <x:v>42491</x:v>
      </x:c>
    </x:row>
    <x:row r="2387" ht="18" customHeight="1">
      <x:c r="A2387" t="str">
        <x:v>CA-2016-118052</x:v>
      </x:c>
      <x:c r="B2387" s="18" t="n">
        <x:v>42496</x:v>
      </x:c>
      <x:c r="C2387" t="str">
        <x:v>BE-11455</x:v>
      </x:c>
      <x:c r="D2387" t="str">
        <x:v>Brad Eason</x:v>
      </x:c>
      <x:c r="E2387" t="str">
        <x:v>Home Office</x:v>
      </x:c>
      <x:c r="F2387" t="str">
        <x:v>East</x:v>
      </x:c>
      <x:c r="G2387" t="str">
        <x:v>Furniture</x:v>
      </x:c>
      <x:c r="H2387" t="str">
        <x:v>Furnishings</x:v>
      </x:c>
      <x:c r="I2387" s="22" t="n">
        <x:v>54.711999999999996</x:v>
      </x:c>
      <x:c r="J2387" s="24" t="n">
        <x:v>7</x:v>
      </x:c>
      <x:c r="K2387" s="26" t="n">
        <x:v>0.2</x:v>
      </x:c>
      <x:c r="L2387" s="22" t="n">
        <x:v>11.626299999999999</x:v>
      </x:c>
      <x:c r="M2387" t="n">
        <x:v>2016</x:v>
      </x:c>
      <x:c r="N2387" s="20" t="n">
        <x:v>42491</x:v>
      </x:c>
    </x:row>
    <x:row r="2388" ht="18" customHeight="1">
      <x:c r="A2388" t="str">
        <x:v>US-2017-117534</x:v>
      </x:c>
      <x:c r="B2388" s="18" t="n">
        <x:v>42819</x:v>
      </x:c>
      <x:c r="C2388" t="str">
        <x:v>CV-12295</x:v>
      </x:c>
      <x:c r="D2388" t="str">
        <x:v>Christina VanderZanden</x:v>
      </x:c>
      <x:c r="E2388" t="str">
        <x:v>Consumer</x:v>
      </x:c>
      <x:c r="F2388" t="str">
        <x:v>West</x:v>
      </x:c>
      <x:c r="G2388" t="str">
        <x:v>Office Supplies</x:v>
      </x:c>
      <x:c r="H2388" t="str">
        <x:v>Appliances</x:v>
      </x:c>
      <x:c r="I2388" s="22" t="n">
        <x:v>176.04</x:v>
      </x:c>
      <x:c r="J2388" s="24" t="n">
        <x:v>4</x:v>
      </x:c>
      <x:c r="K2388" s="26" t="n">
        <x:v>0</x:v>
      </x:c>
      <x:c r="L2388" s="22" t="n">
        <x:v>45.770399999999995</x:v>
      </x:c>
      <x:c r="M2388" t="n">
        <x:v>2017</x:v>
      </x:c>
      <x:c r="N2388" s="20" t="n">
        <x:v>42795</x:v>
      </x:c>
    </x:row>
    <x:row r="2389" ht="18" customHeight="1">
      <x:c r="A2389" t="str">
        <x:v>US-2017-117534</x:v>
      </x:c>
      <x:c r="B2389" s="18" t="n">
        <x:v>42819</x:v>
      </x:c>
      <x:c r="C2389" t="str">
        <x:v>CV-12295</x:v>
      </x:c>
      <x:c r="D2389" t="str">
        <x:v>Christina VanderZanden</x:v>
      </x:c>
      <x:c r="E2389" t="str">
        <x:v>Consumer</x:v>
      </x:c>
      <x:c r="F2389" t="str">
        <x:v>West</x:v>
      </x:c>
      <x:c r="G2389" t="str">
        <x:v>Office Supplies</x:v>
      </x:c>
      <x:c r="H2389" t="str">
        <x:v>Art</x:v>
      </x:c>
      <x:c r="I2389" s="22" t="n">
        <x:v>16.02</x:v>
      </x:c>
      <x:c r="J2389" s="24" t="n">
        <x:v>9</x:v>
      </x:c>
      <x:c r="K2389" s="26" t="n">
        <x:v>0</x:v>
      </x:c>
      <x:c r="L2389" s="22" t="n">
        <x:v>4.4856</x:v>
      </x:c>
      <x:c r="M2389" t="n">
        <x:v>2017</x:v>
      </x:c>
      <x:c r="N2389" s="20" t="n">
        <x:v>42795</x:v>
      </x:c>
    </x:row>
    <x:row r="2390" ht="18" customHeight="1">
      <x:c r="A2390" t="str">
        <x:v>US-2017-117534</x:v>
      </x:c>
      <x:c r="B2390" s="18" t="n">
        <x:v>42819</x:v>
      </x:c>
      <x:c r="C2390" t="str">
        <x:v>CV-12295</x:v>
      </x:c>
      <x:c r="D2390" t="str">
        <x:v>Christina VanderZanden</x:v>
      </x:c>
      <x:c r="E2390" t="str">
        <x:v>Consumer</x:v>
      </x:c>
      <x:c r="F2390" t="str">
        <x:v>West</x:v>
      </x:c>
      <x:c r="G2390" t="str">
        <x:v>Office Supplies</x:v>
      </x:c>
      <x:c r="H2390" t="str">
        <x:v>Binders</x:v>
      </x:c>
      <x:c r="I2390" s="22" t="n">
        <x:v>185.92000000000002</x:v>
      </x:c>
      <x:c r="J2390" s="24" t="n">
        <x:v>4</x:v>
      </x:c>
      <x:c r="K2390" s="26" t="n">
        <x:v>0.2</x:v>
      </x:c>
      <x:c r="L2390" s="22" t="n">
        <x:v>62.74799999999999</x:v>
      </x:c>
      <x:c r="M2390" t="n">
        <x:v>2017</x:v>
      </x:c>
      <x:c r="N2390" s="20" t="n">
        <x:v>42795</x:v>
      </x:c>
    </x:row>
    <x:row r="2391" ht="18" customHeight="1">
      <x:c r="A2391" t="str">
        <x:v>US-2017-117534</x:v>
      </x:c>
      <x:c r="B2391" s="18" t="n">
        <x:v>42819</x:v>
      </x:c>
      <x:c r="C2391" t="str">
        <x:v>CV-12295</x:v>
      </x:c>
      <x:c r="D2391" t="str">
        <x:v>Christina VanderZanden</x:v>
      </x:c>
      <x:c r="E2391" t="str">
        <x:v>Consumer</x:v>
      </x:c>
      <x:c r="F2391" t="str">
        <x:v>West</x:v>
      </x:c>
      <x:c r="G2391" t="str">
        <x:v>Technology</x:v>
      </x:c>
      <x:c r="H2391" t="str">
        <x:v>Phones</x:v>
      </x:c>
      <x:c r="I2391" s="22" t="n">
        <x:v>211.168</x:v>
      </x:c>
      <x:c r="J2391" s="24" t="n">
        <x:v>4</x:v>
      </x:c>
      <x:c r="K2391" s="26" t="n">
        <x:v>0.2</x:v>
      </x:c>
      <x:c r="L2391" s="22" t="n">
        <x:v>15.837600000000009</x:v>
      </x:c>
      <x:c r="M2391" t="n">
        <x:v>2017</x:v>
      </x:c>
      <x:c r="N2391" s="20" t="n">
        <x:v>42795</x:v>
      </x:c>
    </x:row>
    <x:row r="2392" ht="18" customHeight="1">
      <x:c r="A2392" t="str">
        <x:v>US-2017-117534</x:v>
      </x:c>
      <x:c r="B2392" s="18" t="n">
        <x:v>42819</x:v>
      </x:c>
      <x:c r="C2392" t="str">
        <x:v>CV-12295</x:v>
      </x:c>
      <x:c r="D2392" t="str">
        <x:v>Christina VanderZanden</x:v>
      </x:c>
      <x:c r="E2392" t="str">
        <x:v>Consumer</x:v>
      </x:c>
      <x:c r="F2392" t="str">
        <x:v>West</x:v>
      </x:c>
      <x:c r="G2392" t="str">
        <x:v>Technology</x:v>
      </x:c>
      <x:c r="H2392" t="str">
        <x:v>Copiers</x:v>
      </x:c>
      <x:c r="I2392" s="22" t="n">
        <x:v>479.98400000000004</x:v>
      </x:c>
      <x:c r="J2392" s="24" t="n">
        <x:v>2</x:v>
      </x:c>
      <x:c r="K2392" s="26" t="n">
        <x:v>0.2</x:v>
      </x:c>
      <x:c r="L2392" s="22" t="n">
        <x:v>59.99799999999996</x:v>
      </x:c>
      <x:c r="M2392" t="n">
        <x:v>2017</x:v>
      </x:c>
      <x:c r="N2392" s="20" t="n">
        <x:v>42795</x:v>
      </x:c>
    </x:row>
    <x:row r="2393" ht="18" customHeight="1">
      <x:c r="A2393" t="str">
        <x:v>CA-2015-145065</x:v>
      </x:c>
      <x:c r="B2393" s="18" t="n">
        <x:v>42350</x:v>
      </x:c>
      <x:c r="C2393" t="str">
        <x:v>DK-13375</x:v>
      </x:c>
      <x:c r="D2393" t="str">
        <x:v>Dennis Kane</x:v>
      </x:c>
      <x:c r="E2393" t="str">
        <x:v>Consumer</x:v>
      </x:c>
      <x:c r="F2393" t="str">
        <x:v>West</x:v>
      </x:c>
      <x:c r="G2393" t="str">
        <x:v>Office Supplies</x:v>
      </x:c>
      <x:c r="H2393" t="str">
        <x:v>Fasteners</x:v>
      </x:c>
      <x:c r="I2393" s="22" t="n">
        <x:v>7.86</x:v>
      </x:c>
      <x:c r="J2393" s="24" t="n">
        <x:v>2</x:v>
      </x:c>
      <x:c r="K2393" s="26" t="n">
        <x:v>0</x:v>
      </x:c>
      <x:c r="L2393" s="22" t="n">
        <x:v>3.6155999999999997</x:v>
      </x:c>
      <x:c r="M2393" t="n">
        <x:v>2015</x:v>
      </x:c>
      <x:c r="N2393" s="20" t="n">
        <x:v>42339</x:v>
      </x:c>
    </x:row>
    <x:row r="2394" ht="18" customHeight="1">
      <x:c r="A2394" t="str">
        <x:v>CA-2015-145065</x:v>
      </x:c>
      <x:c r="B2394" s="18" t="n">
        <x:v>42350</x:v>
      </x:c>
      <x:c r="C2394" t="str">
        <x:v>DK-13375</x:v>
      </x:c>
      <x:c r="D2394" t="str">
        <x:v>Dennis Kane</x:v>
      </x:c>
      <x:c r="E2394" t="str">
        <x:v>Consumer</x:v>
      </x:c>
      <x:c r="F2394" t="str">
        <x:v>West</x:v>
      </x:c>
      <x:c r="G2394" t="str">
        <x:v>Office Supplies</x:v>
      </x:c>
      <x:c r="H2394" t="str">
        <x:v>Binders</x:v>
      </x:c>
      <x:c r="I2394" s="22" t="n">
        <x:v>24.448</x:v>
      </x:c>
      <x:c r="J2394" s="24" t="n">
        <x:v>2</x:v>
      </x:c>
      <x:c r="K2394" s="26" t="n">
        <x:v>0.2</x:v>
      </x:c>
      <x:c r="L2394" s="22" t="n">
        <x:v>8.8624</x:v>
      </x:c>
      <x:c r="M2394" t="n">
        <x:v>2015</x:v>
      </x:c>
      <x:c r="N2394" s="20" t="n">
        <x:v>42339</x:v>
      </x:c>
    </x:row>
    <x:row r="2395" ht="18" customHeight="1">
      <x:c r="A2395" t="str">
        <x:v>US-2015-127040</x:v>
      </x:c>
      <x:c r="B2395" s="18" t="n">
        <x:v>42344</x:v>
      </x:c>
      <x:c r="C2395" t="str">
        <x:v>SG-20605</x:v>
      </x:c>
      <x:c r="D2395" t="str">
        <x:v>Speros Goranitis</x:v>
      </x:c>
      <x:c r="E2395" t="str">
        <x:v>Consumer</x:v>
      </x:c>
      <x:c r="F2395" t="str">
        <x:v>East</x:v>
      </x:c>
      <x:c r="G2395" t="str">
        <x:v>Office Supplies</x:v>
      </x:c>
      <x:c r="H2395" t="str">
        <x:v>Paper</x:v>
      </x:c>
      <x:c r="I2395" s="22" t="n">
        <x:v>6.48</x:v>
      </x:c>
      <x:c r="J2395" s="24" t="n">
        <x:v>1</x:v>
      </x:c>
      <x:c r="K2395" s="26" t="n">
        <x:v>0</x:v>
      </x:c>
      <x:c r="L2395" s="22" t="n">
        <x:v>3.1104000000000003</x:v>
      </x:c>
      <x:c r="M2395" t="n">
        <x:v>2015</x:v>
      </x:c>
      <x:c r="N2395" s="20" t="n">
        <x:v>42339</x:v>
      </x:c>
    </x:row>
    <x:row r="2396" ht="18" customHeight="1">
      <x:c r="A2396" t="str">
        <x:v>US-2015-127040</x:v>
      </x:c>
      <x:c r="B2396" s="18" t="n">
        <x:v>42344</x:v>
      </x:c>
      <x:c r="C2396" t="str">
        <x:v>SG-20605</x:v>
      </x:c>
      <x:c r="D2396" t="str">
        <x:v>Speros Goranitis</x:v>
      </x:c>
      <x:c r="E2396" t="str">
        <x:v>Consumer</x:v>
      </x:c>
      <x:c r="F2396" t="str">
        <x:v>East</x:v>
      </x:c>
      <x:c r="G2396" t="str">
        <x:v>Office Supplies</x:v>
      </x:c>
      <x:c r="H2396" t="str">
        <x:v>Paper</x:v>
      </x:c>
      <x:c r="I2396" s="22" t="n">
        <x:v>41.86</x:v>
      </x:c>
      <x:c r="J2396" s="24" t="n">
        <x:v>7</x:v>
      </x:c>
      <x:c r="K2396" s="26" t="n">
        <x:v>0</x:v>
      </x:c>
      <x:c r="L2396" s="22" t="n">
        <x:v>20.511400000000002</x:v>
      </x:c>
      <x:c r="M2396" t="n">
        <x:v>2015</x:v>
      </x:c>
      <x:c r="N2396" s="20" t="n">
        <x:v>42339</x:v>
      </x:c>
    </x:row>
    <x:row r="2397" ht="18" customHeight="1">
      <x:c r="A2397" t="str">
        <x:v>US-2015-127040</x:v>
      </x:c>
      <x:c r="B2397" s="18" t="n">
        <x:v>42344</x:v>
      </x:c>
      <x:c r="C2397" t="str">
        <x:v>SG-20605</x:v>
      </x:c>
      <x:c r="D2397" t="str">
        <x:v>Speros Goranitis</x:v>
      </x:c>
      <x:c r="E2397" t="str">
        <x:v>Consumer</x:v>
      </x:c>
      <x:c r="F2397" t="str">
        <x:v>East</x:v>
      </x:c>
      <x:c r="G2397" t="str">
        <x:v>Technology</x:v>
      </x:c>
      <x:c r="H2397" t="str">
        <x:v>Accessories</x:v>
      </x:c>
      <x:c r="I2397" s="22" t="n">
        <x:v>1619.91</x:v>
      </x:c>
      <x:c r="J2397" s="24" t="n">
        <x:v>9</x:v>
      </x:c>
      <x:c r="K2397" s="26" t="n">
        <x:v>0</x:v>
      </x:c>
      <x:c r="L2397" s="22" t="n">
        <x:v>97.19459999999992</x:v>
      </x:c>
      <x:c r="M2397" t="n">
        <x:v>2015</x:v>
      </x:c>
      <x:c r="N2397" s="20" t="n">
        <x:v>42339</x:v>
      </x:c>
    </x:row>
    <x:row r="2398" ht="18" customHeight="1">
      <x:c r="A2398" t="str">
        <x:v>US-2015-127040</x:v>
      </x:c>
      <x:c r="B2398" s="18" t="n">
        <x:v>42344</x:v>
      </x:c>
      <x:c r="C2398" t="str">
        <x:v>SG-20605</x:v>
      </x:c>
      <x:c r="D2398" t="str">
        <x:v>Speros Goranitis</x:v>
      </x:c>
      <x:c r="E2398" t="str">
        <x:v>Consumer</x:v>
      </x:c>
      <x:c r="F2398" t="str">
        <x:v>East</x:v>
      </x:c>
      <x:c r="G2398" t="str">
        <x:v>Furniture</x:v>
      </x:c>
      <x:c r="H2398" t="str">
        <x:v>Furnishings</x:v>
      </x:c>
      <x:c r="I2398" s="22" t="n">
        <x:v>113.92</x:v>
      </x:c>
      <x:c r="J2398" s="24" t="n">
        <x:v>4</x:v>
      </x:c>
      <x:c r="K2398" s="26" t="n">
        <x:v>0</x:v>
      </x:c>
      <x:c r="L2398" s="22" t="n">
        <x:v>42.150400000000005</x:v>
      </x:c>
      <x:c r="M2398" t="n">
        <x:v>2015</x:v>
      </x:c>
      <x:c r="N2398" s="20" t="n">
        <x:v>42339</x:v>
      </x:c>
    </x:row>
    <x:row r="2399" ht="18" customHeight="1">
      <x:c r="A2399" t="str">
        <x:v>CA-2016-128111</x:v>
      </x:c>
      <x:c r="B2399" s="18" t="n">
        <x:v>42446</x:v>
      </x:c>
      <x:c r="C2399" t="str">
        <x:v>CS-12355</x:v>
      </x:c>
      <x:c r="D2399" t="str">
        <x:v>Christine Sundaresam</x:v>
      </x:c>
      <x:c r="E2399" t="str">
        <x:v>Consumer</x:v>
      </x:c>
      <x:c r="F2399" t="str">
        <x:v>East</x:v>
      </x:c>
      <x:c r="G2399" t="str">
        <x:v>Office Supplies</x:v>
      </x:c>
      <x:c r="H2399" t="str">
        <x:v>Art</x:v>
      </x:c>
      <x:c r="I2399" s="22" t="n">
        <x:v>39.68</x:v>
      </x:c>
      <x:c r="J2399" s="24" t="n">
        <x:v>2</x:v>
      </x:c>
      <x:c r="K2399" s="26" t="n">
        <x:v>0</x:v>
      </x:c>
      <x:c r="L2399" s="22" t="n">
        <x:v>10.3168</x:v>
      </x:c>
      <x:c r="M2399" t="n">
        <x:v>2016</x:v>
      </x:c>
      <x:c r="N2399" s="20" t="n">
        <x:v>42430</x:v>
      </x:c>
    </x:row>
    <x:row r="2400" ht="18" customHeight="1">
      <x:c r="A2400" t="str">
        <x:v>CA-2015-137897</x:v>
      </x:c>
      <x:c r="B2400" s="18" t="n">
        <x:v>42322</x:v>
      </x:c>
      <x:c r="C2400" t="str">
        <x:v>PJ-18835</x:v>
      </x:c>
      <x:c r="D2400" t="str">
        <x:v>Patrick Jones</x:v>
      </x:c>
      <x:c r="E2400" t="str">
        <x:v>Corporate</x:v>
      </x:c>
      <x:c r="F2400" t="str">
        <x:v>East</x:v>
      </x:c>
      <x:c r="G2400" t="str">
        <x:v>Technology</x:v>
      </x:c>
      <x:c r="H2400" t="str">
        <x:v>Accessories</x:v>
      </x:c>
      <x:c r="I2400" s="22" t="n">
        <x:v>37.6</x:v>
      </x:c>
      <x:c r="J2400" s="24" t="n">
        <x:v>2</x:v>
      </x:c>
      <x:c r="K2400" s="26" t="n">
        <x:v>0</x:v>
      </x:c>
      <x:c r="L2400" s="22" t="n">
        <x:v>2.2560000000000002</x:v>
      </x:c>
      <x:c r="M2400" t="n">
        <x:v>2015</x:v>
      </x:c>
      <x:c r="N2400" s="20" t="n">
        <x:v>42309</x:v>
      </x:c>
    </x:row>
    <x:row r="2401" ht="18" customHeight="1">
      <x:c r="A2401" t="str">
        <x:v>CA-2015-137897</x:v>
      </x:c>
      <x:c r="B2401" s="18" t="n">
        <x:v>42322</x:v>
      </x:c>
      <x:c r="C2401" t="str">
        <x:v>PJ-18835</x:v>
      </x:c>
      <x:c r="D2401" t="str">
        <x:v>Patrick Jones</x:v>
      </x:c>
      <x:c r="E2401" t="str">
        <x:v>Corporate</x:v>
      </x:c>
      <x:c r="F2401" t="str">
        <x:v>East</x:v>
      </x:c>
      <x:c r="G2401" t="str">
        <x:v>Technology</x:v>
      </x:c>
      <x:c r="H2401" t="str">
        <x:v>Accessories</x:v>
      </x:c>
      <x:c r="I2401" s="22" t="n">
        <x:v>59.9</x:v>
      </x:c>
      <x:c r="J2401" s="24" t="n">
        <x:v>2</x:v>
      </x:c>
      <x:c r="K2401" s="26" t="n">
        <x:v>0</x:v>
      </x:c>
      <x:c r="L2401" s="22" t="n">
        <x:v>23.96</x:v>
      </x:c>
      <x:c r="M2401" t="n">
        <x:v>2015</x:v>
      </x:c>
      <x:c r="N2401" s="20" t="n">
        <x:v>42309</x:v>
      </x:c>
    </x:row>
    <x:row r="2402" ht="18" customHeight="1">
      <x:c r="A2402" t="str">
        <x:v>CA-2015-137897</x:v>
      </x:c>
      <x:c r="B2402" s="18" t="n">
        <x:v>42322</x:v>
      </x:c>
      <x:c r="C2402" t="str">
        <x:v>PJ-18835</x:v>
      </x:c>
      <x:c r="D2402" t="str">
        <x:v>Patrick Jones</x:v>
      </x:c>
      <x:c r="E2402" t="str">
        <x:v>Corporate</x:v>
      </x:c>
      <x:c r="F2402" t="str">
        <x:v>East</x:v>
      </x:c>
      <x:c r="G2402" t="str">
        <x:v>Office Supplies</x:v>
      </x:c>
      <x:c r="H2402" t="str">
        <x:v>Paper</x:v>
      </x:c>
      <x:c r="I2402" s="22" t="n">
        <x:v>37</x:v>
      </x:c>
      <x:c r="J2402" s="24" t="n">
        <x:v>5</x:v>
      </x:c>
      <x:c r="K2402" s="26" t="n">
        <x:v>0</x:v>
      </x:c>
      <x:c r="L2402" s="22" t="n">
        <x:v>16.65</x:v>
      </x:c>
      <x:c r="M2402" t="n">
        <x:v>2015</x:v>
      </x:c>
      <x:c r="N2402" s="20" t="n">
        <x:v>42309</x:v>
      </x:c>
    </x:row>
    <x:row r="2403" ht="18" customHeight="1">
      <x:c r="A2403" t="str">
        <x:v>CA-2017-169264</x:v>
      </x:c>
      <x:c r="B2403" s="18" t="n">
        <x:v>42961</x:v>
      </x:c>
      <x:c r="C2403" t="str">
        <x:v>NP-18700</x:v>
      </x:c>
      <x:c r="D2403" t="str">
        <x:v>Nora Preis</x:v>
      </x:c>
      <x:c r="E2403" t="str">
        <x:v>Consumer</x:v>
      </x:c>
      <x:c r="F2403" t="str">
        <x:v>West</x:v>
      </x:c>
      <x:c r="G2403" t="str">
        <x:v>Office Supplies</x:v>
      </x:c>
      <x:c r="H2403" t="str">
        <x:v>Labels</x:v>
      </x:c>
      <x:c r="I2403" s="22" t="n">
        <x:v>5.76</x:v>
      </x:c>
      <x:c r="J2403" s="24" t="n">
        <x:v>2</x:v>
      </x:c>
      <x:c r="K2403" s="26" t="n">
        <x:v>0</x:v>
      </x:c>
      <x:c r="L2403" s="22" t="n">
        <x:v>2.8224</x:v>
      </x:c>
      <x:c r="M2403" t="n">
        <x:v>2017</x:v>
      </x:c>
      <x:c r="N2403" s="20" t="n">
        <x:v>42948</x:v>
      </x:c>
    </x:row>
    <x:row r="2404" ht="18" customHeight="1">
      <x:c r="A2404" t="str">
        <x:v>CA-2017-169264</x:v>
      </x:c>
      <x:c r="B2404" s="18" t="n">
        <x:v>42961</x:v>
      </x:c>
      <x:c r="C2404" t="str">
        <x:v>NP-18700</x:v>
      </x:c>
      <x:c r="D2404" t="str">
        <x:v>Nora Preis</x:v>
      </x:c>
      <x:c r="E2404" t="str">
        <x:v>Consumer</x:v>
      </x:c>
      <x:c r="F2404" t="str">
        <x:v>West</x:v>
      </x:c>
      <x:c r="G2404" t="str">
        <x:v>Office Supplies</x:v>
      </x:c>
      <x:c r="H2404" t="str">
        <x:v>Art</x:v>
      </x:c>
      <x:c r="I2404" s="22" t="n">
        <x:v>16.68</x:v>
      </x:c>
      <x:c r="J2404" s="24" t="n">
        <x:v>6</x:v>
      </x:c>
      <x:c r="K2404" s="26" t="n">
        <x:v>0</x:v>
      </x:c>
      <x:c r="L2404" s="22" t="n">
        <x:v>4.336799999999999</x:v>
      </x:c>
      <x:c r="M2404" t="n">
        <x:v>2017</x:v>
      </x:c>
      <x:c r="N2404" s="20" t="n">
        <x:v>42948</x:v>
      </x:c>
    </x:row>
    <x:row r="2405" ht="18" customHeight="1">
      <x:c r="A2405" t="str">
        <x:v>CA-2017-147361</x:v>
      </x:c>
      <x:c r="B2405" s="18" t="n">
        <x:v>42987</x:v>
      </x:c>
      <x:c r="C2405" t="str">
        <x:v>SB-20290</x:v>
      </x:c>
      <x:c r="D2405" t="str">
        <x:v>Sean Braxton</x:v>
      </x:c>
      <x:c r="E2405" t="str">
        <x:v>Corporate</x:v>
      </x:c>
      <x:c r="F2405" t="str">
        <x:v>South</x:v>
      </x:c>
      <x:c r="G2405" t="str">
        <x:v>Office Supplies</x:v>
      </x:c>
      <x:c r="H2405" t="str">
        <x:v>Storage</x:v>
      </x:c>
      <x:c r="I2405" s="22" t="n">
        <x:v>628.81</x:v>
      </x:c>
      <x:c r="J2405" s="24" t="n">
        <x:v>7</x:v>
      </x:c>
      <x:c r="K2405" s="26" t="n">
        <x:v>0</x:v>
      </x:c>
      <x:c r="L2405" s="22" t="n">
        <x:v>12.576199999999986</x:v>
      </x:c>
      <x:c r="M2405" t="n">
        <x:v>2017</x:v>
      </x:c>
      <x:c r="N2405" s="20" t="n">
        <x:v>42979</x:v>
      </x:c>
    </x:row>
    <x:row r="2406" ht="18" customHeight="1">
      <x:c r="A2406" t="str">
        <x:v>CA-2017-147361</x:v>
      </x:c>
      <x:c r="B2406" s="18" t="n">
        <x:v>42987</x:v>
      </x:c>
      <x:c r="C2406" t="str">
        <x:v>SB-20290</x:v>
      </x:c>
      <x:c r="D2406" t="str">
        <x:v>Sean Braxton</x:v>
      </x:c>
      <x:c r="E2406" t="str">
        <x:v>Corporate</x:v>
      </x:c>
      <x:c r="F2406" t="str">
        <x:v>South</x:v>
      </x:c>
      <x:c r="G2406" t="str">
        <x:v>Office Supplies</x:v>
      </x:c>
      <x:c r="H2406" t="str">
        <x:v>Storage</x:v>
      </x:c>
      <x:c r="I2406" s="22" t="n">
        <x:v>56.449999999999996</x:v>
      </x:c>
      <x:c r="J2406" s="24" t="n">
        <x:v>5</x:v>
      </x:c>
      <x:c r="K2406" s="26" t="n">
        <x:v>0</x:v>
      </x:c>
      <x:c r="L2406" s="22" t="n">
        <x:v>14.676999999999998</x:v>
      </x:c>
      <x:c r="M2406" t="n">
        <x:v>2017</x:v>
      </x:c>
      <x:c r="N2406" s="20" t="n">
        <x:v>42979</x:v>
      </x:c>
    </x:row>
    <x:row r="2407" ht="18" customHeight="1">
      <x:c r="A2407" t="str">
        <x:v>CA-2017-145877</x:v>
      </x:c>
      <x:c r="B2407" s="18" t="n">
        <x:v>42826</x:v>
      </x:c>
      <x:c r="C2407" t="str">
        <x:v>AS-10090</x:v>
      </x:c>
      <x:c r="D2407" t="str">
        <x:v>Adam Shillingsburg</x:v>
      </x:c>
      <x:c r="E2407" t="str">
        <x:v>Consumer</x:v>
      </x:c>
      <x:c r="F2407" t="str">
        <x:v>Central</x:v>
      </x:c>
      <x:c r="G2407" t="str">
        <x:v>Office Supplies</x:v>
      </x:c>
      <x:c r="H2407" t="str">
        <x:v>Storage</x:v>
      </x:c>
      <x:c r="I2407" s="22" t="n">
        <x:v>94.19999999999999</x:v>
      </x:c>
      <x:c r="J2407" s="24" t="n">
        <x:v>6</x:v>
      </x:c>
      <x:c r="K2407" s="26" t="n">
        <x:v>0</x:v>
      </x:c>
      <x:c r="L2407" s="22" t="n">
        <x:v>23.550000000000004</x:v>
      </x:c>
      <x:c r="M2407" t="n">
        <x:v>2017</x:v>
      </x:c>
      <x:c r="N2407" s="20" t="n">
        <x:v>42826</x:v>
      </x:c>
    </x:row>
    <x:row r="2408" ht="18" customHeight="1">
      <x:c r="A2408" t="str">
        <x:v>CA-2017-145877</x:v>
      </x:c>
      <x:c r="B2408" s="18" t="n">
        <x:v>42826</x:v>
      </x:c>
      <x:c r="C2408" t="str">
        <x:v>AS-10090</x:v>
      </x:c>
      <x:c r="D2408" t="str">
        <x:v>Adam Shillingsburg</x:v>
      </x:c>
      <x:c r="E2408" t="str">
        <x:v>Consumer</x:v>
      </x:c>
      <x:c r="F2408" t="str">
        <x:v>Central</x:v>
      </x:c>
      <x:c r="G2408" t="str">
        <x:v>Office Supplies</x:v>
      </x:c>
      <x:c r="H2408" t="str">
        <x:v>Envelopes</x:v>
      </x:c>
      <x:c r="I2408" s="22" t="n">
        <x:v>28.4</x:v>
      </x:c>
      <x:c r="J2408" s="24" t="n">
        <x:v>5</x:v>
      </x:c>
      <x:c r="K2408" s="26" t="n">
        <x:v>0</x:v>
      </x:c>
      <x:c r="L2408" s="22" t="n">
        <x:v>13.347999999999997</x:v>
      </x:c>
      <x:c r="M2408" t="n">
        <x:v>2017</x:v>
      </x:c>
      <x:c r="N2408" s="20" t="n">
        <x:v>42826</x:v>
      </x:c>
    </x:row>
    <x:row r="2409" ht="18" customHeight="1">
      <x:c r="A2409" t="str">
        <x:v>US-2016-110170</x:v>
      </x:c>
      <x:c r="B2409" s="18" t="n">
        <x:v>42640</x:v>
      </x:c>
      <x:c r="C2409" t="str">
        <x:v>HM-14860</x:v>
      </x:c>
      <x:c r="D2409" t="str">
        <x:v>Harry Marie</x:v>
      </x:c>
      <x:c r="E2409" t="str">
        <x:v>Corporate</x:v>
      </x:c>
      <x:c r="F2409" t="str">
        <x:v>Central</x:v>
      </x:c>
      <x:c r="G2409" t="str">
        <x:v>Furniture</x:v>
      </x:c>
      <x:c r="H2409" t="str">
        <x:v>Bookcases</x:v>
      </x:c>
      <x:c r="I2409" s="22" t="n">
        <x:v>956.6647999999999</x:v>
      </x:c>
      <x:c r="J2409" s="24" t="n">
        <x:v>7</x:v>
      </x:c>
      <x:c r="K2409" s="26" t="n">
        <x:v>0.32</x:v>
      </x:c>
      <x:c r="L2409" s="22" t="n">
        <x:v>-225.09759999999991</x:v>
      </x:c>
      <x:c r="M2409" t="n">
        <x:v>2016</x:v>
      </x:c>
      <x:c r="N2409" s="20" t="n">
        <x:v>42614</x:v>
      </x:c>
    </x:row>
    <x:row r="2410" ht="18" customHeight="1">
      <x:c r="A2410" t="str">
        <x:v>CA-2017-108574</x:v>
      </x:c>
      <x:c r="B2410" s="18" t="n">
        <x:v>43015</x:v>
      </x:c>
      <x:c r="C2410" t="str">
        <x:v>MG-18145</x:v>
      </x:c>
      <x:c r="D2410" t="str">
        <x:v>Mike Gockenbach</x:v>
      </x:c>
      <x:c r="E2410" t="str">
        <x:v>Consumer</x:v>
      </x:c>
      <x:c r="F2410" t="str">
        <x:v>West</x:v>
      </x:c>
      <x:c r="G2410" t="str">
        <x:v>Technology</x:v>
      </x:c>
      <x:c r="H2410" t="str">
        <x:v>Accessories</x:v>
      </x:c>
      <x:c r="I2410" s="22" t="n">
        <x:v>1115.9099999999999</x:v>
      </x:c>
      <x:c r="J2410" s="24" t="n">
        <x:v>9</x:v>
      </x:c>
      <x:c r="K2410" s="26" t="n">
        <x:v>0</x:v>
      </x:c>
      <x:c r="L2410" s="22" t="n">
        <x:v>200.8637999999999</x:v>
      </x:c>
      <x:c r="M2410" t="n">
        <x:v>2017</x:v>
      </x:c>
      <x:c r="N2410" s="20" t="n">
        <x:v>43009</x:v>
      </x:c>
    </x:row>
    <x:row r="2411" ht="18" customHeight="1">
      <x:c r="A2411" t="str">
        <x:v>CA-2017-108574</x:v>
      </x:c>
      <x:c r="B2411" s="18" t="n">
        <x:v>43015</x:v>
      </x:c>
      <x:c r="C2411" t="str">
        <x:v>MG-18145</x:v>
      </x:c>
      <x:c r="D2411" t="str">
        <x:v>Mike Gockenbach</x:v>
      </x:c>
      <x:c r="E2411" t="str">
        <x:v>Consumer</x:v>
      </x:c>
      <x:c r="F2411" t="str">
        <x:v>West</x:v>
      </x:c>
      <x:c r="G2411" t="str">
        <x:v>Technology</x:v>
      </x:c>
      <x:c r="H2411" t="str">
        <x:v>Phones</x:v>
      </x:c>
      <x:c r="I2411" s="22" t="n">
        <x:v>128.744</x:v>
      </x:c>
      <x:c r="J2411" s="24" t="n">
        <x:v>7</x:v>
      </x:c>
      <x:c r="K2411" s="26" t="n">
        <x:v>0.2</x:v>
      </x:c>
      <x:c r="L2411" s="22" t="n">
        <x:v>-28.96739999999999</x:v>
      </x:c>
      <x:c r="M2411" t="n">
        <x:v>2017</x:v>
      </x:c>
      <x:c r="N2411" s="20" t="n">
        <x:v>43009</x:v>
      </x:c>
    </x:row>
    <x:row r="2412" ht="18" customHeight="1">
      <x:c r="A2412" t="str">
        <x:v>CA-2017-108574</x:v>
      </x:c>
      <x:c r="B2412" s="18" t="n">
        <x:v>43015</x:v>
      </x:c>
      <x:c r="C2412" t="str">
        <x:v>MG-18145</x:v>
      </x:c>
      <x:c r="D2412" t="str">
        <x:v>Mike Gockenbach</x:v>
      </x:c>
      <x:c r="E2412" t="str">
        <x:v>Consumer</x:v>
      </x:c>
      <x:c r="F2412" t="str">
        <x:v>West</x:v>
      </x:c>
      <x:c r="G2412" t="str">
        <x:v>Technology</x:v>
      </x:c>
      <x:c r="H2412" t="str">
        <x:v>Phones</x:v>
      </x:c>
      <x:c r="I2412" s="22" t="n">
        <x:v>79.92000000000002</x:v>
      </x:c>
      <x:c r="J2412" s="24" t="n">
        <x:v>10</x:v>
      </x:c>
      <x:c r="K2412" s="26" t="n">
        <x:v>0.2</x:v>
      </x:c>
      <x:c r="L2412" s="22" t="n">
        <x:v>26.972999999999992</x:v>
      </x:c>
      <x:c r="M2412" t="n">
        <x:v>2017</x:v>
      </x:c>
      <x:c r="N2412" s="20" t="n">
        <x:v>43009</x:v>
      </x:c>
    </x:row>
    <x:row r="2413" ht="18" customHeight="1">
      <x:c r="A2413" t="str">
        <x:v>CA-2017-144589</x:v>
      </x:c>
      <x:c r="B2413" s="18" t="n">
        <x:v>42755</x:v>
      </x:c>
      <x:c r="C2413" t="str">
        <x:v>TM-21010</x:v>
      </x:c>
      <x:c r="D2413" t="str">
        <x:v>Tamara Manning</x:v>
      </x:c>
      <x:c r="E2413" t="str">
        <x:v>Consumer</x:v>
      </x:c>
      <x:c r="F2413" t="str">
        <x:v>West</x:v>
      </x:c>
      <x:c r="G2413" t="str">
        <x:v>Office Supplies</x:v>
      </x:c>
      <x:c r="H2413" t="str">
        <x:v>Art</x:v>
      </x:c>
      <x:c r="I2413" s="22" t="n">
        <x:v>24.2</x:v>
      </x:c>
      <x:c r="J2413" s="24" t="n">
        <x:v>5</x:v>
      </x:c>
      <x:c r="K2413" s="26" t="n">
        <x:v>0</x:v>
      </x:c>
      <x:c r="L2413" s="22" t="n">
        <x:v>7.986</x:v>
      </x:c>
      <x:c r="M2413" t="n">
        <x:v>2017</x:v>
      </x:c>
      <x:c r="N2413" s="20" t="n">
        <x:v>42736</x:v>
      </x:c>
    </x:row>
    <x:row r="2414" ht="18" customHeight="1">
      <x:c r="A2414" t="str">
        <x:v>CA-2017-144589</x:v>
      </x:c>
      <x:c r="B2414" s="18" t="n">
        <x:v>42755</x:v>
      </x:c>
      <x:c r="C2414" t="str">
        <x:v>TM-21010</x:v>
      </x:c>
      <x:c r="D2414" t="str">
        <x:v>Tamara Manning</x:v>
      </x:c>
      <x:c r="E2414" t="str">
        <x:v>Consumer</x:v>
      </x:c>
      <x:c r="F2414" t="str">
        <x:v>West</x:v>
      </x:c>
      <x:c r="G2414" t="str">
        <x:v>Technology</x:v>
      </x:c>
      <x:c r="H2414" t="str">
        <x:v>Phones</x:v>
      </x:c>
      <x:c r="I2414" s="22" t="n">
        <x:v>359.97600000000006</x:v>
      </x:c>
      <x:c r="J2414" s="24" t="n">
        <x:v>3</x:v>
      </x:c>
      <x:c r="K2414" s="26" t="n">
        <x:v>0.2</x:v>
      </x:c>
      <x:c r="L2414" s="22" t="n">
        <x:v>130.49130000000002</x:v>
      </x:c>
      <x:c r="M2414" t="n">
        <x:v>2017</x:v>
      </x:c>
      <x:c r="N2414" s="20" t="n">
        <x:v>42736</x:v>
      </x:c>
    </x:row>
    <x:row r="2415" ht="18" customHeight="1">
      <x:c r="A2415" t="str">
        <x:v>CA-2017-155985</x:v>
      </x:c>
      <x:c r="B2415" s="18" t="n">
        <x:v>42817</x:v>
      </x:c>
      <x:c r="C2415" t="str">
        <x:v>BE-11335</x:v>
      </x:c>
      <x:c r="D2415" t="str">
        <x:v>Bill Eplett</x:v>
      </x:c>
      <x:c r="E2415" t="str">
        <x:v>Home Office</x:v>
      </x:c>
      <x:c r="F2415" t="str">
        <x:v>West</x:v>
      </x:c>
      <x:c r="G2415" t="str">
        <x:v>Furniture</x:v>
      </x:c>
      <x:c r="H2415" t="str">
        <x:v>Furnishings</x:v>
      </x:c>
      <x:c r="I2415" s="22" t="n">
        <x:v>211.84</x:v>
      </x:c>
      <x:c r="J2415" s="24" t="n">
        <x:v>8</x:v>
      </x:c>
      <x:c r="K2415" s="26" t="n">
        <x:v>0</x:v>
      </x:c>
      <x:c r="L2415" s="22" t="n">
        <x:v>76.26239999999999</x:v>
      </x:c>
      <x:c r="M2415" t="n">
        <x:v>2017</x:v>
      </x:c>
      <x:c r="N2415" s="20" t="n">
        <x:v>42795</x:v>
      </x:c>
    </x:row>
    <x:row r="2416" ht="18" customHeight="1">
      <x:c r="A2416" t="str">
        <x:v>CA-2014-162684</x:v>
      </x:c>
      <x:c r="B2416" s="18" t="n">
        <x:v>41852</x:v>
      </x:c>
      <x:c r="C2416" t="str">
        <x:v>AS-10630</x:v>
      </x:c>
      <x:c r="D2416" t="str">
        <x:v>Ann Steele</x:v>
      </x:c>
      <x:c r="E2416" t="str">
        <x:v>Home Office</x:v>
      </x:c>
      <x:c r="F2416" t="str">
        <x:v>East</x:v>
      </x:c>
      <x:c r="G2416" t="str">
        <x:v>Office Supplies</x:v>
      </x:c>
      <x:c r="H2416" t="str">
        <x:v>Fasteners</x:v>
      </x:c>
      <x:c r="I2416" s="22" t="n">
        <x:v>5.68</x:v>
      </x:c>
      <x:c r="J2416" s="24" t="n">
        <x:v>2</x:v>
      </x:c>
      <x:c r="K2416" s="26" t="n">
        <x:v>0.2</x:v>
      </x:c>
      <x:c r="L2416" s="22" t="n">
        <x:v>1.9169999999999998</x:v>
      </x:c>
      <x:c r="M2416" t="n">
        <x:v>2014</x:v>
      </x:c>
      <x:c r="N2416" s="20" t="n">
        <x:v>41852</x:v>
      </x:c>
    </x:row>
    <x:row r="2417" ht="18" customHeight="1">
      <x:c r="A2417" t="str">
        <x:v>CA-2015-142041</x:v>
      </x:c>
      <x:c r="B2417" s="18" t="n">
        <x:v>42162</x:v>
      </x:c>
      <x:c r="C2417" t="str">
        <x:v>EM-13810</x:v>
      </x:c>
      <x:c r="D2417" t="str">
        <x:v>Eleni McCrary</x:v>
      </x:c>
      <x:c r="E2417" t="str">
        <x:v>Corporate</x:v>
      </x:c>
      <x:c r="F2417" t="str">
        <x:v>West</x:v>
      </x:c>
      <x:c r="G2417" t="str">
        <x:v>Office Supplies</x:v>
      </x:c>
      <x:c r="H2417" t="str">
        <x:v>Binders</x:v>
      </x:c>
      <x:c r="I2417" s="22" t="n">
        <x:v>7.52</x:v>
      </x:c>
      <x:c r="J2417" s="24" t="n">
        <x:v>5</x:v>
      </x:c>
      <x:c r="K2417" s="26" t="n">
        <x:v>0.2</x:v>
      </x:c>
      <x:c r="L2417" s="22" t="n">
        <x:v>2.6319999999999997</x:v>
      </x:c>
      <x:c r="M2417" t="n">
        <x:v>2015</x:v>
      </x:c>
      <x:c r="N2417" s="20" t="n">
        <x:v>42156</x:v>
      </x:c>
    </x:row>
    <x:row r="2418" ht="18" customHeight="1">
      <x:c r="A2418" t="str">
        <x:v>CA-2014-151295</x:v>
      </x:c>
      <x:c r="B2418" s="18" t="n">
        <x:v>41955</x:v>
      </x:c>
      <x:c r="C2418" t="str">
        <x:v>JA-15970</x:v>
      </x:c>
      <x:c r="D2418" t="str">
        <x:v>Joseph Airdo</x:v>
      </x:c>
      <x:c r="E2418" t="str">
        <x:v>Consumer</x:v>
      </x:c>
      <x:c r="F2418" t="str">
        <x:v>West</x:v>
      </x:c>
      <x:c r="G2418" t="str">
        <x:v>Office Supplies</x:v>
      </x:c>
      <x:c r="H2418" t="str">
        <x:v>Paper</x:v>
      </x:c>
      <x:c r="I2418" s="22" t="n">
        <x:v>11.96</x:v>
      </x:c>
      <x:c r="J2418" s="24" t="n">
        <x:v>2</x:v>
      </x:c>
      <x:c r="K2418" s="26" t="n">
        <x:v>0</x:v>
      </x:c>
      <x:c r="L2418" s="22" t="n">
        <x:v>5.8604</x:v>
      </x:c>
      <x:c r="M2418" t="n">
        <x:v>2014</x:v>
      </x:c>
      <x:c r="N2418" s="20" t="n">
        <x:v>41944</x:v>
      </x:c>
    </x:row>
    <x:row r="2419" ht="18" customHeight="1">
      <x:c r="A2419" t="str">
        <x:v>CA-2014-151295</x:v>
      </x:c>
      <x:c r="B2419" s="18" t="n">
        <x:v>41955</x:v>
      </x:c>
      <x:c r="C2419" t="str">
        <x:v>JA-15970</x:v>
      </x:c>
      <x:c r="D2419" t="str">
        <x:v>Joseph Airdo</x:v>
      </x:c>
      <x:c r="E2419" t="str">
        <x:v>Consumer</x:v>
      </x:c>
      <x:c r="F2419" t="str">
        <x:v>West</x:v>
      </x:c>
      <x:c r="G2419" t="str">
        <x:v>Furniture</x:v>
      </x:c>
      <x:c r="H2419" t="str">
        <x:v>Tables</x:v>
      </x:c>
      <x:c r="I2419" s="22" t="n">
        <x:v>629.0640000000001</x:v>
      </x:c>
      <x:c r="J2419" s="24" t="n">
        <x:v>3</x:v>
      </x:c>
      <x:c r="K2419" s="26" t="n">
        <x:v>0.2</x:v>
      </x:c>
      <x:c r="L2419" s="22" t="n">
        <x:v>31.453199999999953</x:v>
      </x:c>
      <x:c r="M2419" t="n">
        <x:v>2014</x:v>
      </x:c>
      <x:c r="N2419" s="20" t="n">
        <x:v>41944</x:v>
      </x:c>
    </x:row>
    <x:row r="2420" ht="18" customHeight="1">
      <x:c r="A2420" t="str">
        <x:v>CA-2016-156300</x:v>
      </x:c>
      <x:c r="B2420" s="18" t="n">
        <x:v>42733</x:v>
      </x:c>
      <x:c r="C2420" t="str">
        <x:v>TB-21595</x:v>
      </x:c>
      <x:c r="D2420" t="str">
        <x:v>Troy Blackwell</x:v>
      </x:c>
      <x:c r="E2420" t="str">
        <x:v>Consumer</x:v>
      </x:c>
      <x:c r="F2420" t="str">
        <x:v>Central</x:v>
      </x:c>
      <x:c r="G2420" t="str">
        <x:v>Furniture</x:v>
      </x:c>
      <x:c r="H2420" t="str">
        <x:v>Chairs</x:v>
      </x:c>
      <x:c r="I2420" s="22" t="n">
        <x:v>754.4499999999999</x:v>
      </x:c>
      <x:c r="J2420" s="24" t="n">
        <x:v>5</x:v>
      </x:c>
      <x:c r="K2420" s="26" t="n">
        <x:v>0</x:v>
      </x:c>
      <x:c r="L2420" s="22" t="n">
        <x:v>60.35600000000002</x:v>
      </x:c>
      <x:c r="M2420" t="n">
        <x:v>2016</x:v>
      </x:c>
      <x:c r="N2420" s="20" t="n">
        <x:v>42705</x:v>
      </x:c>
    </x:row>
    <x:row r="2421" ht="18" customHeight="1">
      <x:c r="A2421" t="str">
        <x:v>CA-2015-146087</x:v>
      </x:c>
      <x:c r="B2421" s="18" t="n">
        <x:v>42191</x:v>
      </x:c>
      <x:c r="C2421" t="str">
        <x:v>PP-18955</x:v>
      </x:c>
      <x:c r="D2421" t="str">
        <x:v>Paul Prost</x:v>
      </x:c>
      <x:c r="E2421" t="str">
        <x:v>Home Office</x:v>
      </x:c>
      <x:c r="F2421" t="str">
        <x:v>East</x:v>
      </x:c>
      <x:c r="G2421" t="str">
        <x:v>Furniture</x:v>
      </x:c>
      <x:c r="H2421" t="str">
        <x:v>Bookcases</x:v>
      </x:c>
      <x:c r="I2421" s="22" t="n">
        <x:v>301.96</x:v>
      </x:c>
      <x:c r="J2421" s="24" t="n">
        <x:v>2</x:v>
      </x:c>
      <x:c r="K2421" s="26" t="n">
        <x:v>0</x:v>
      </x:c>
      <x:c r="L2421" s="22" t="n">
        <x:v>60.391999999999996</x:v>
      </x:c>
      <x:c r="M2421" t="n">
        <x:v>2015</x:v>
      </x:c>
      <x:c r="N2421" s="20" t="n">
        <x:v>42186</x:v>
      </x:c>
    </x:row>
    <x:row r="2422" ht="18" customHeight="1">
      <x:c r="A2422" t="str">
        <x:v>CA-2017-168655</x:v>
      </x:c>
      <x:c r="B2422" s="18" t="n">
        <x:v>43020</x:v>
      </x:c>
      <x:c r="C2422" t="str">
        <x:v>ML-18040</x:v>
      </x:c>
      <x:c r="D2422" t="str">
        <x:v>Michelle Lonsdale</x:v>
      </x:c>
      <x:c r="E2422" t="str">
        <x:v>Corporate</x:v>
      </x:c>
      <x:c r="F2422" t="str">
        <x:v>West</x:v>
      </x:c>
      <x:c r="G2422" t="str">
        <x:v>Technology</x:v>
      </x:c>
      <x:c r="H2422" t="str">
        <x:v>Accessories</x:v>
      </x:c>
      <x:c r="I2422" s="22" t="n">
        <x:v>595</x:v>
      </x:c>
      <x:c r="J2422" s="24" t="n">
        <x:v>5</x:v>
      </x:c>
      <x:c r="K2422" s="26" t="n">
        <x:v>0</x:v>
      </x:c>
      <x:c r="L2422" s="22" t="n">
        <x:v>95.20000000000003</x:v>
      </x:c>
      <x:c r="M2422" t="n">
        <x:v>2017</x:v>
      </x:c>
      <x:c r="N2422" s="20" t="n">
        <x:v>43009</x:v>
      </x:c>
    </x:row>
    <x:row r="2423" ht="18" customHeight="1">
      <x:c r="A2423" t="str">
        <x:v>CA-2017-168655</x:v>
      </x:c>
      <x:c r="B2423" s="18" t="n">
        <x:v>43020</x:v>
      </x:c>
      <x:c r="C2423" t="str">
        <x:v>ML-18040</x:v>
      </x:c>
      <x:c r="D2423" t="str">
        <x:v>Michelle Lonsdale</x:v>
      </x:c>
      <x:c r="E2423" t="str">
        <x:v>Corporate</x:v>
      </x:c>
      <x:c r="F2423" t="str">
        <x:v>West</x:v>
      </x:c>
      <x:c r="G2423" t="str">
        <x:v>Office Supplies</x:v>
      </x:c>
      <x:c r="H2423" t="str">
        <x:v>Binders</x:v>
      </x:c>
      <x:c r="I2423" s="22" t="n">
        <x:v>79.87200000000001</x:v>
      </x:c>
      <x:c r="J2423" s="24" t="n">
        <x:v>3</x:v>
      </x:c>
      <x:c r="K2423" s="26" t="n">
        <x:v>0.2</x:v>
      </x:c>
      <x:c r="L2423" s="22" t="n">
        <x:v>29.951999999999998</x:v>
      </x:c>
      <x:c r="M2423" t="n">
        <x:v>2017</x:v>
      </x:c>
      <x:c r="N2423" s="20" t="n">
        <x:v>43009</x:v>
      </x:c>
    </x:row>
    <x:row r="2424" ht="18" customHeight="1">
      <x:c r="A2424" t="str">
        <x:v>CA-2016-107202</x:v>
      </x:c>
      <x:c r="B2424" s="18" t="n">
        <x:v>42511</x:v>
      </x:c>
      <x:c r="C2424" t="str">
        <x:v>LC-16930</x:v>
      </x:c>
      <x:c r="D2424" t="str">
        <x:v>Linda Cazamias</x:v>
      </x:c>
      <x:c r="E2424" t="str">
        <x:v>Corporate</x:v>
      </x:c>
      <x:c r="F2424" t="str">
        <x:v>West</x:v>
      </x:c>
      <x:c r="G2424" t="str">
        <x:v>Technology</x:v>
      </x:c>
      <x:c r="H2424" t="str">
        <x:v>Machines</x:v>
      </x:c>
      <x:c r="I2424" s="22" t="n">
        <x:v>2396.4</x:v>
      </x:c>
      <x:c r="J2424" s="24" t="n">
        <x:v>10</x:v>
      </x:c>
      <x:c r="K2424" s="26" t="n">
        <x:v>0.2</x:v>
      </x:c>
      <x:c r="L2424" s="22" t="n">
        <x:v>179.73000000000013</x:v>
      </x:c>
      <x:c r="M2424" t="n">
        <x:v>2016</x:v>
      </x:c>
      <x:c r="N2424" s="20" t="n">
        <x:v>42491</x:v>
      </x:c>
    </x:row>
    <x:row r="2425" ht="18" customHeight="1">
      <x:c r="A2425" t="str">
        <x:v>CA-2017-159597</x:v>
      </x:c>
      <x:c r="B2425" s="18" t="n">
        <x:v>43048</x:v>
      </x:c>
      <x:c r="C2425" t="str">
        <x:v>MC-17590</x:v>
      </x:c>
      <x:c r="D2425" t="str">
        <x:v>Matt Collister</x:v>
      </x:c>
      <x:c r="E2425" t="str">
        <x:v>Corporate</x:v>
      </x:c>
      <x:c r="F2425" t="str">
        <x:v>West</x:v>
      </x:c>
      <x:c r="G2425" t="str">
        <x:v>Office Supplies</x:v>
      </x:c>
      <x:c r="H2425" t="str">
        <x:v>Storage</x:v>
      </x:c>
      <x:c r="I2425" s="22" t="n">
        <x:v>63.56</x:v>
      </x:c>
      <x:c r="J2425" s="24" t="n">
        <x:v>2</x:v>
      </x:c>
      <x:c r="K2425" s="26" t="n">
        <x:v>0</x:v>
      </x:c>
      <x:c r="L2425" s="22" t="n">
        <x:v>3.1779999999999973</x:v>
      </x:c>
      <x:c r="M2425" t="n">
        <x:v>2017</x:v>
      </x:c>
      <x:c r="N2425" s="20" t="n">
        <x:v>43040</x:v>
      </x:c>
    </x:row>
    <x:row r="2426" ht="18" customHeight="1">
      <x:c r="A2426" t="str">
        <x:v>CA-2017-159597</x:v>
      </x:c>
      <x:c r="B2426" s="18" t="n">
        <x:v>43048</x:v>
      </x:c>
      <x:c r="C2426" t="str">
        <x:v>MC-17590</x:v>
      </x:c>
      <x:c r="D2426" t="str">
        <x:v>Matt Collister</x:v>
      </x:c>
      <x:c r="E2426" t="str">
        <x:v>Corporate</x:v>
      </x:c>
      <x:c r="F2426" t="str">
        <x:v>West</x:v>
      </x:c>
      <x:c r="G2426" t="str">
        <x:v>Technology</x:v>
      </x:c>
      <x:c r="H2426" t="str">
        <x:v>Accessories</x:v>
      </x:c>
      <x:c r="I2426" s="22" t="n">
        <x:v>99.99</x:v>
      </x:c>
      <x:c r="J2426" s="24" t="n">
        <x:v>1</x:v>
      </x:c>
      <x:c r="K2426" s="26" t="n">
        <x:v>0</x:v>
      </x:c>
      <x:c r="L2426" s="22" t="n">
        <x:v>43.9956</x:v>
      </x:c>
      <x:c r="M2426" t="n">
        <x:v>2017</x:v>
      </x:c>
      <x:c r="N2426" s="20" t="n">
        <x:v>43040</x:v>
      </x:c>
    </x:row>
    <x:row r="2427" ht="18" customHeight="1">
      <x:c r="A2427" t="str">
        <x:v>CA-2016-155551</x:v>
      </x:c>
      <x:c r="B2427" s="18" t="n">
        <x:v>42478</x:v>
      </x:c>
      <x:c r="C2427" t="str">
        <x:v>CR-12580</x:v>
      </x:c>
      <x:c r="D2427" t="str">
        <x:v>Clay Rozendal</x:v>
      </x:c>
      <x:c r="E2427" t="str">
        <x:v>Home Office</x:v>
      </x:c>
      <x:c r="F2427" t="str">
        <x:v>Central</x:v>
      </x:c>
      <x:c r="G2427" t="str">
        <x:v>Office Supplies</x:v>
      </x:c>
      <x:c r="H2427" t="str">
        <x:v>Storage</x:v>
      </x:c>
      <x:c r="I2427" s="22" t="n">
        <x:v>230.376</x:v>
      </x:c>
      <x:c r="J2427" s="24" t="n">
        <x:v>3</x:v>
      </x:c>
      <x:c r="K2427" s="26" t="n">
        <x:v>0.2</x:v>
      </x:c>
      <x:c r="L2427" s="22" t="n">
        <x:v>-48.9549</x:v>
      </x:c>
      <x:c r="M2427" t="n">
        <x:v>2016</x:v>
      </x:c>
      <x:c r="N2427" s="20" t="n">
        <x:v>42461</x:v>
      </x:c>
    </x:row>
    <x:row r="2428" ht="18" customHeight="1">
      <x:c r="A2428" t="str">
        <x:v>CA-2016-155551</x:v>
      </x:c>
      <x:c r="B2428" s="18" t="n">
        <x:v>42478</x:v>
      </x:c>
      <x:c r="C2428" t="str">
        <x:v>CR-12580</x:v>
      </x:c>
      <x:c r="D2428" t="str">
        <x:v>Clay Rozendal</x:v>
      </x:c>
      <x:c r="E2428" t="str">
        <x:v>Home Office</x:v>
      </x:c>
      <x:c r="F2428" t="str">
        <x:v>Central</x:v>
      </x:c>
      <x:c r="G2428" t="str">
        <x:v>Office Supplies</x:v>
      </x:c>
      <x:c r="H2428" t="str">
        <x:v>Paper</x:v>
      </x:c>
      <x:c r="I2428" s="22" t="n">
        <x:v>9.664000000000001</x:v>
      </x:c>
      <x:c r="J2428" s="24" t="n">
        <x:v>2</x:v>
      </x:c>
      <x:c r="K2428" s="26" t="n">
        <x:v>0.2</x:v>
      </x:c>
      <x:c r="L2428" s="22" t="n">
        <x:v>3.2615999999999996</x:v>
      </x:c>
      <x:c r="M2428" t="n">
        <x:v>2016</x:v>
      </x:c>
      <x:c r="N2428" s="20" t="n">
        <x:v>42461</x:v>
      </x:c>
    </x:row>
    <x:row r="2429" ht="18" customHeight="1">
      <x:c r="A2429" t="str">
        <x:v>US-2017-147669</x:v>
      </x:c>
      <x:c r="B2429" s="18" t="n">
        <x:v>43094</x:v>
      </x:c>
      <x:c r="C2429" t="str">
        <x:v>SV-20935</x:v>
      </x:c>
      <x:c r="D2429" t="str">
        <x:v>Susan Vittorini</x:v>
      </x:c>
      <x:c r="E2429" t="str">
        <x:v>Consumer</x:v>
      </x:c>
      <x:c r="F2429" t="str">
        <x:v>East</x:v>
      </x:c>
      <x:c r="G2429" t="str">
        <x:v>Technology</x:v>
      </x:c>
      <x:c r="H2429" t="str">
        <x:v>Accessories</x:v>
      </x:c>
      <x:c r="I2429" s="22" t="n">
        <x:v>158.928</x:v>
      </x:c>
      <x:c r="J2429" s="24" t="n">
        <x:v>7</x:v>
      </x:c>
      <x:c r="K2429" s="26" t="n">
        <x:v>0.2</x:v>
      </x:c>
      <x:c r="L2429" s="22" t="n">
        <x:v>41.718599999999995</x:v>
      </x:c>
      <x:c r="M2429" t="n">
        <x:v>2017</x:v>
      </x:c>
      <x:c r="N2429" s="20" t="n">
        <x:v>43070</x:v>
      </x:c>
    </x:row>
    <x:row r="2430" ht="18" customHeight="1">
      <x:c r="A2430" t="str">
        <x:v>US-2017-147669</x:v>
      </x:c>
      <x:c r="B2430" s="18" t="n">
        <x:v>43094</x:v>
      </x:c>
      <x:c r="C2430" t="str">
        <x:v>SV-20935</x:v>
      </x:c>
      <x:c r="D2430" t="str">
        <x:v>Susan Vittorini</x:v>
      </x:c>
      <x:c r="E2430" t="str">
        <x:v>Consumer</x:v>
      </x:c>
      <x:c r="F2430" t="str">
        <x:v>East</x:v>
      </x:c>
      <x:c r="G2430" t="str">
        <x:v>Office Supplies</x:v>
      </x:c>
      <x:c r="H2430" t="str">
        <x:v>Binders</x:v>
      </x:c>
      <x:c r="I2430" s="22" t="n">
        <x:v>13.023000000000001</x:v>
      </x:c>
      <x:c r="J2430" s="24" t="n">
        <x:v>1</x:v>
      </x:c>
      <x:c r="K2430" s="26" t="n">
        <x:v>0.7</x:v>
      </x:c>
      <x:c r="L2430" s="22" t="n">
        <x:v>-10.418399999999998</x:v>
      </x:c>
      <x:c r="M2430" t="n">
        <x:v>2017</x:v>
      </x:c>
      <x:c r="N2430" s="20" t="n">
        <x:v>43070</x:v>
      </x:c>
    </x:row>
    <x:row r="2431" ht="18" customHeight="1">
      <x:c r="A2431" t="str">
        <x:v>US-2017-147669</x:v>
      </x:c>
      <x:c r="B2431" s="18" t="n">
        <x:v>43094</x:v>
      </x:c>
      <x:c r="C2431" t="str">
        <x:v>SV-20935</x:v>
      </x:c>
      <x:c r="D2431" t="str">
        <x:v>Susan Vittorini</x:v>
      </x:c>
      <x:c r="E2431" t="str">
        <x:v>Consumer</x:v>
      </x:c>
      <x:c r="F2431" t="str">
        <x:v>East</x:v>
      </x:c>
      <x:c r="G2431" t="str">
        <x:v>Furniture</x:v>
      </x:c>
      <x:c r="H2431" t="str">
        <x:v>Tables</x:v>
      </x:c>
      <x:c r="I2431" s="22" t="n">
        <x:v>273.06</x:v>
      </x:c>
      <x:c r="J2431" s="24" t="n">
        <x:v>2</x:v>
      </x:c>
      <x:c r="K2431" s="26" t="n">
        <x:v>0.4</x:v>
      </x:c>
      <x:c r="L2431" s="22" t="n">
        <x:v>-104.67300000000006</x:v>
      </x:c>
      <x:c r="M2431" t="n">
        <x:v>2017</x:v>
      </x:c>
      <x:c r="N2431" s="20" t="n">
        <x:v>43070</x:v>
      </x:c>
    </x:row>
    <x:row r="2432" ht="18" customHeight="1">
      <x:c r="A2432" t="str">
        <x:v>US-2017-147669</x:v>
      </x:c>
      <x:c r="B2432" s="18" t="n">
        <x:v>43094</x:v>
      </x:c>
      <x:c r="C2432" t="str">
        <x:v>SV-20935</x:v>
      </x:c>
      <x:c r="D2432" t="str">
        <x:v>Susan Vittorini</x:v>
      </x:c>
      <x:c r="E2432" t="str">
        <x:v>Consumer</x:v>
      </x:c>
      <x:c r="F2432" t="str">
        <x:v>East</x:v>
      </x:c>
      <x:c r="G2432" t="str">
        <x:v>Office Supplies</x:v>
      </x:c>
      <x:c r="H2432" t="str">
        <x:v>Fasteners</x:v>
      </x:c>
      <x:c r="I2432" s="22" t="n">
        <x:v>39.312</x:v>
      </x:c>
      <x:c r="J2432" s="24" t="n">
        <x:v>13</x:v>
      </x:c>
      <x:c r="K2432" s="26" t="n">
        <x:v>0.2</x:v>
      </x:c>
      <x:c r="L2432" s="22" t="n">
        <x:v>12.776399999999999</x:v>
      </x:c>
      <x:c r="M2432" t="n">
        <x:v>2017</x:v>
      </x:c>
      <x:c r="N2432" s="20" t="n">
        <x:v>43070</x:v>
      </x:c>
    </x:row>
    <x:row r="2433" ht="18" customHeight="1">
      <x:c r="A2433" t="str">
        <x:v>CA-2016-169922</x:v>
      </x:c>
      <x:c r="B2433" s="18" t="n">
        <x:v>42532</x:v>
      </x:c>
      <x:c r="C2433" t="str">
        <x:v>MZ-17515</x:v>
      </x:c>
      <x:c r="D2433" t="str">
        <x:v>Mary Zewe</x:v>
      </x:c>
      <x:c r="E2433" t="str">
        <x:v>Corporate</x:v>
      </x:c>
      <x:c r="F2433" t="str">
        <x:v>Central</x:v>
      </x:c>
      <x:c r="G2433" t="str">
        <x:v>Office Supplies</x:v>
      </x:c>
      <x:c r="H2433" t="str">
        <x:v>Binders</x:v>
      </x:c>
      <x:c r="I2433" s="22" t="n">
        <x:v>1.3439999999999996</x:v>
      </x:c>
      <x:c r="J2433" s="24" t="n">
        <x:v>4</x:v>
      </x:c>
      <x:c r="K2433" s="26" t="n">
        <x:v>0.8</x:v>
      </x:c>
      <x:c r="L2433" s="22" t="n">
        <x:v>-2.1504000000000008</x:v>
      </x:c>
      <x:c r="M2433" t="n">
        <x:v>2016</x:v>
      </x:c>
      <x:c r="N2433" s="20" t="n">
        <x:v>42522</x:v>
      </x:c>
    </x:row>
    <x:row r="2434" ht="18" customHeight="1">
      <x:c r="A2434" t="str">
        <x:v>CA-2016-169922</x:v>
      </x:c>
      <x:c r="B2434" s="18" t="n">
        <x:v>42532</x:v>
      </x:c>
      <x:c r="C2434" t="str">
        <x:v>MZ-17515</x:v>
      </x:c>
      <x:c r="D2434" t="str">
        <x:v>Mary Zewe</x:v>
      </x:c>
      <x:c r="E2434" t="str">
        <x:v>Corporate</x:v>
      </x:c>
      <x:c r="F2434" t="str">
        <x:v>Central</x:v>
      </x:c>
      <x:c r="G2434" t="str">
        <x:v>Office Supplies</x:v>
      </x:c>
      <x:c r="H2434" t="str">
        <x:v>Binders</x:v>
      </x:c>
      <x:c r="I2434" s="22" t="n">
        <x:v>8.271999999999998</x:v>
      </x:c>
      <x:c r="J2434" s="24" t="n">
        <x:v>4</x:v>
      </x:c>
      <x:c r="K2434" s="26" t="n">
        <x:v>0.8</x:v>
      </x:c>
      <x:c r="L2434" s="22" t="n">
        <x:v>-13.648800000000001</x:v>
      </x:c>
      <x:c r="M2434" t="n">
        <x:v>2016</x:v>
      </x:c>
      <x:c r="N2434" s="20" t="n">
        <x:v>42522</x:v>
      </x:c>
    </x:row>
    <x:row r="2435" ht="18" customHeight="1">
      <x:c r="A2435" t="str">
        <x:v>CA-2016-169922</x:v>
      </x:c>
      <x:c r="B2435" s="18" t="n">
        <x:v>42532</x:v>
      </x:c>
      <x:c r="C2435" t="str">
        <x:v>MZ-17515</x:v>
      </x:c>
      <x:c r="D2435" t="str">
        <x:v>Mary Zewe</x:v>
      </x:c>
      <x:c r="E2435" t="str">
        <x:v>Corporate</x:v>
      </x:c>
      <x:c r="F2435" t="str">
        <x:v>Central</x:v>
      </x:c>
      <x:c r="G2435" t="str">
        <x:v>Furniture</x:v>
      </x:c>
      <x:c r="H2435" t="str">
        <x:v>Furnishings</x:v>
      </x:c>
      <x:c r="I2435" s="22" t="n">
        <x:v>12.544000000000002</x:v>
      </x:c>
      <x:c r="J2435" s="24" t="n">
        <x:v>7</x:v>
      </x:c>
      <x:c r="K2435" s="26" t="n">
        <x:v>0.6</x:v>
      </x:c>
      <x:c r="L2435" s="22" t="n">
        <x:v>-9.094400000000004</x:v>
      </x:c>
      <x:c r="M2435" t="n">
        <x:v>2016</x:v>
      </x:c>
      <x:c r="N2435" s="20" t="n">
        <x:v>42522</x:v>
      </x:c>
    </x:row>
    <x:row r="2436" ht="18" customHeight="1">
      <x:c r="A2436" t="str">
        <x:v>CA-2017-100748</x:v>
      </x:c>
      <x:c r="B2436" s="18" t="n">
        <x:v>42868</x:v>
      </x:c>
      <x:c r="C2436" t="str">
        <x:v>RB-19795</x:v>
      </x:c>
      <x:c r="D2436" t="str">
        <x:v>Ross Baird</x:v>
      </x:c>
      <x:c r="E2436" t="str">
        <x:v>Home Office</x:v>
      </x:c>
      <x:c r="F2436" t="str">
        <x:v>West</x:v>
      </x:c>
      <x:c r="G2436" t="str">
        <x:v>Office Supplies</x:v>
      </x:c>
      <x:c r="H2436" t="str">
        <x:v>Labels</x:v>
      </x:c>
      <x:c r="I2436" s="22" t="n">
        <x:v>58.48</x:v>
      </x:c>
      <x:c r="J2436" s="24" t="n">
        <x:v>8</x:v>
      </x:c>
      <x:c r="K2436" s="26" t="n">
        <x:v>0</x:v>
      </x:c>
      <x:c r="L2436" s="22" t="n">
        <x:v>27.485599999999998</x:v>
      </x:c>
      <x:c r="M2436" t="n">
        <x:v>2017</x:v>
      </x:c>
      <x:c r="N2436" s="20" t="n">
        <x:v>42856</x:v>
      </x:c>
    </x:row>
    <x:row r="2437" ht="18" customHeight="1">
      <x:c r="A2437" t="str">
        <x:v>CA-2017-129805</x:v>
      </x:c>
      <x:c r="B2437" s="18" t="n">
        <x:v>43097</x:v>
      </x:c>
      <x:c r="C2437" t="str">
        <x:v>HM-14860</x:v>
      </x:c>
      <x:c r="D2437" t="str">
        <x:v>Harry Marie</x:v>
      </x:c>
      <x:c r="E2437" t="str">
        <x:v>Corporate</x:v>
      </x:c>
      <x:c r="F2437" t="str">
        <x:v>West</x:v>
      </x:c>
      <x:c r="G2437" t="str">
        <x:v>Furniture</x:v>
      </x:c>
      <x:c r="H2437" t="str">
        <x:v>Furnishings</x:v>
      </x:c>
      <x:c r="I2437" s="22" t="n">
        <x:v>7.4</x:v>
      </x:c>
      <x:c r="J2437" s="24" t="n">
        <x:v>2</x:v>
      </x:c>
      <x:c r="K2437" s="26" t="n">
        <x:v>0</x:v>
      </x:c>
      <x:c r="L2437" s="22" t="n">
        <x:v>3.0340000000000007</x:v>
      </x:c>
      <x:c r="M2437" t="n">
        <x:v>2017</x:v>
      </x:c>
      <x:c r="N2437" s="20" t="n">
        <x:v>43070</x:v>
      </x:c>
    </x:row>
    <x:row r="2438" ht="18" customHeight="1">
      <x:c r="A2438" t="str">
        <x:v>CA-2014-148586</x:v>
      </x:c>
      <x:c r="B2438" s="18" t="n">
        <x:v>41723</x:v>
      </x:c>
      <x:c r="C2438" t="str">
        <x:v>AZ-10750</x:v>
      </x:c>
      <x:c r="D2438" t="str">
        <x:v>Annie Zypern</x:v>
      </x:c>
      <x:c r="E2438" t="str">
        <x:v>Consumer</x:v>
      </x:c>
      <x:c r="F2438" t="str">
        <x:v>East</x:v>
      </x:c>
      <x:c r="G2438" t="str">
        <x:v>Furniture</x:v>
      </x:c>
      <x:c r="H2438" t="str">
        <x:v>Chairs</x:v>
      </x:c>
      <x:c r="I2438" s="22" t="n">
        <x:v>366.786</x:v>
      </x:c>
      <x:c r="J2438" s="24" t="n">
        <x:v>7</x:v>
      </x:c>
      <x:c r="K2438" s="26" t="n">
        <x:v>0.1</x:v>
      </x:c>
      <x:c r="L2438" s="22" t="n">
        <x:v>65.2064</x:v>
      </x:c>
      <x:c r="M2438" t="n">
        <x:v>2014</x:v>
      </x:c>
      <x:c r="N2438" s="20" t="n">
        <x:v>41699</x:v>
      </x:c>
    </x:row>
    <x:row r="2439" ht="18" customHeight="1">
      <x:c r="A2439" t="str">
        <x:v>US-2017-112613</x:v>
      </x:c>
      <x:c r="B2439" s="18" t="n">
        <x:v>42883</x:v>
      </x:c>
      <x:c r="C2439" t="str">
        <x:v>JH-15910</x:v>
      </x:c>
      <x:c r="D2439" t="str">
        <x:v>Jonathan Howell</x:v>
      </x:c>
      <x:c r="E2439" t="str">
        <x:v>Consumer</x:v>
      </x:c>
      <x:c r="F2439" t="str">
        <x:v>Central</x:v>
      </x:c>
      <x:c r="G2439" t="str">
        <x:v>Technology</x:v>
      </x:c>
      <x:c r="H2439" t="str">
        <x:v>Phones</x:v>
      </x:c>
      <x:c r="I2439" s="22" t="n">
        <x:v>54.367999999999995</x:v>
      </x:c>
      <x:c r="J2439" s="24" t="n">
        <x:v>4</x:v>
      </x:c>
      <x:c r="K2439" s="26" t="n">
        <x:v>0.2</x:v>
      </x:c>
      <x:c r="L2439" s="22" t="n">
        <x:v>4.077599999999997</x:v>
      </x:c>
      <x:c r="M2439" t="n">
        <x:v>2017</x:v>
      </x:c>
      <x:c r="N2439" s="20" t="n">
        <x:v>42856</x:v>
      </x:c>
    </x:row>
    <x:row r="2440" ht="18" customHeight="1">
      <x:c r="A2440" t="str">
        <x:v>CA-2015-154746</x:v>
      </x:c>
      <x:c r="B2440" s="18" t="n">
        <x:v>42322</x:v>
      </x:c>
      <x:c r="C2440" t="str">
        <x:v>PJ-18835</x:v>
      </x:c>
      <x:c r="D2440" t="str">
        <x:v>Patrick Jones</x:v>
      </x:c>
      <x:c r="E2440" t="str">
        <x:v>Corporate</x:v>
      </x:c>
      <x:c r="F2440" t="str">
        <x:v>South</x:v>
      </x:c>
      <x:c r="G2440" t="str">
        <x:v>Office Supplies</x:v>
      </x:c>
      <x:c r="H2440" t="str">
        <x:v>Envelopes</x:v>
      </x:c>
      <x:c r="I2440" s="22" t="n">
        <x:v>33.96</x:v>
      </x:c>
      <x:c r="J2440" s="24" t="n">
        <x:v>2</x:v>
      </x:c>
      <x:c r="K2440" s="26" t="n">
        <x:v>0</x:v>
      </x:c>
      <x:c r="L2440" s="22" t="n">
        <x:v>16.98</x:v>
      </x:c>
      <x:c r="M2440" t="n">
        <x:v>2015</x:v>
      </x:c>
      <x:c r="N2440" s="20" t="n">
        <x:v>42309</x:v>
      </x:c>
    </x:row>
    <x:row r="2441" ht="18" customHeight="1">
      <x:c r="A2441" t="str">
        <x:v>CA-2015-154746</x:v>
      </x:c>
      <x:c r="B2441" s="18" t="n">
        <x:v>42322</x:v>
      </x:c>
      <x:c r="C2441" t="str">
        <x:v>PJ-18835</x:v>
      </x:c>
      <x:c r="D2441" t="str">
        <x:v>Patrick Jones</x:v>
      </x:c>
      <x:c r="E2441" t="str">
        <x:v>Corporate</x:v>
      </x:c>
      <x:c r="F2441" t="str">
        <x:v>South</x:v>
      </x:c>
      <x:c r="G2441" t="str">
        <x:v>Office Supplies</x:v>
      </x:c>
      <x:c r="H2441" t="str">
        <x:v>Appliances</x:v>
      </x:c>
      <x:c r="I2441" s="22" t="n">
        <x:v>826.11</x:v>
      </x:c>
      <x:c r="J2441" s="24" t="n">
        <x:v>3</x:v>
      </x:c>
      <x:c r="K2441" s="26" t="n">
        <x:v>0</x:v>
      </x:c>
      <x:c r="L2441" s="22" t="n">
        <x:v>322.1829</x:v>
      </x:c>
      <x:c r="M2441" t="n">
        <x:v>2015</x:v>
      </x:c>
      <x:c r="N2441" s="20" t="n">
        <x:v>42309</x:v>
      </x:c>
    </x:row>
    <x:row r="2442" ht="18" customHeight="1">
      <x:c r="A2442" t="str">
        <x:v>CA-2017-140053</x:v>
      </x:c>
      <x:c r="B2442" s="18" t="n">
        <x:v>42919</x:v>
      </x:c>
      <x:c r="C2442" t="str">
        <x:v>CA-12265</x:v>
      </x:c>
      <x:c r="D2442" t="str">
        <x:v>Christina Anderson</x:v>
      </x:c>
      <x:c r="E2442" t="str">
        <x:v>Consumer</x:v>
      </x:c>
      <x:c r="F2442" t="str">
        <x:v>West</x:v>
      </x:c>
      <x:c r="G2442" t="str">
        <x:v>Furniture</x:v>
      </x:c>
      <x:c r="H2442" t="str">
        <x:v>Furnishings</x:v>
      </x:c>
      <x:c r="I2442" s="22" t="n">
        <x:v>545.85</x:v>
      </x:c>
      <x:c r="J2442" s="24" t="n">
        <x:v>9</x:v>
      </x:c>
      <x:c r="K2442" s="26" t="n">
        <x:v>0</x:v>
      </x:c>
      <x:c r="L2442" s="22" t="n">
        <x:v>114.6285</x:v>
      </x:c>
      <x:c r="M2442" t="n">
        <x:v>2017</x:v>
      </x:c>
      <x:c r="N2442" s="20" t="n">
        <x:v>42917</x:v>
      </x:c>
    </x:row>
    <x:row r="2443" ht="18" customHeight="1">
      <x:c r="A2443" t="str">
        <x:v>CA-2014-164210</x:v>
      </x:c>
      <x:c r="B2443" s="18" t="n">
        <x:v>41961</x:v>
      </x:c>
      <x:c r="C2443" t="str">
        <x:v>PW-19240</x:v>
      </x:c>
      <x:c r="D2443" t="str">
        <x:v>Pierre Wener</x:v>
      </x:c>
      <x:c r="E2443" t="str">
        <x:v>Consumer</x:v>
      </x:c>
      <x:c r="F2443" t="str">
        <x:v>West</x:v>
      </x:c>
      <x:c r="G2443" t="str">
        <x:v>Furniture</x:v>
      </x:c>
      <x:c r="H2443" t="str">
        <x:v>Tables</x:v>
      </x:c>
      <x:c r="I2443" s="22" t="n">
        <x:v>145.98</x:v>
      </x:c>
      <x:c r="J2443" s="24" t="n">
        <x:v>2</x:v>
      </x:c>
      <x:c r="K2443" s="26" t="n">
        <x:v>0.5</x:v>
      </x:c>
      <x:c r="L2443" s="22" t="n">
        <x:v>-99.26639999999998</x:v>
      </x:c>
      <x:c r="M2443" t="n">
        <x:v>2014</x:v>
      </x:c>
      <x:c r="N2443" s="20" t="n">
        <x:v>41944</x:v>
      </x:c>
    </x:row>
    <x:row r="2444" ht="18" customHeight="1">
      <x:c r="A2444" t="str">
        <x:v>CA-2014-164210</x:v>
      </x:c>
      <x:c r="B2444" s="18" t="n">
        <x:v>41961</x:v>
      </x:c>
      <x:c r="C2444" t="str">
        <x:v>PW-19240</x:v>
      </x:c>
      <x:c r="D2444" t="str">
        <x:v>Pierre Wener</x:v>
      </x:c>
      <x:c r="E2444" t="str">
        <x:v>Consumer</x:v>
      </x:c>
      <x:c r="F2444" t="str">
        <x:v>West</x:v>
      </x:c>
      <x:c r="G2444" t="str">
        <x:v>Office Supplies</x:v>
      </x:c>
      <x:c r="H2444" t="str">
        <x:v>Paper</x:v>
      </x:c>
      <x:c r="I2444" s="22" t="n">
        <x:v>35.808</x:v>
      </x:c>
      <x:c r="J2444" s="24" t="n">
        <x:v>4</x:v>
      </x:c>
      <x:c r="K2444" s="26" t="n">
        <x:v>0.2</x:v>
      </x:c>
      <x:c r="L2444" s="22" t="n">
        <x:v>12.5328</x:v>
      </x:c>
      <x:c r="M2444" t="n">
        <x:v>2014</x:v>
      </x:c>
      <x:c r="N2444" s="20" t="n">
        <x:v>41944</x:v>
      </x:c>
    </x:row>
    <x:row r="2445" ht="18" customHeight="1">
      <x:c r="A2445" t="str">
        <x:v>CA-2017-139948</x:v>
      </x:c>
      <x:c r="B2445" s="18" t="n">
        <x:v>42933</x:v>
      </x:c>
      <x:c r="C2445" t="str">
        <x:v>SW-20455</x:v>
      </x:c>
      <x:c r="D2445" t="str">
        <x:v>Shaun Weien</x:v>
      </x:c>
      <x:c r="E2445" t="str">
        <x:v>Consumer</x:v>
      </x:c>
      <x:c r="F2445" t="str">
        <x:v>South</x:v>
      </x:c>
      <x:c r="G2445" t="str">
        <x:v>Furniture</x:v>
      </x:c>
      <x:c r="H2445" t="str">
        <x:v>Furnishings</x:v>
      </x:c>
      <x:c r="I2445" s="22" t="n">
        <x:v>7.904000000000001</x:v>
      </x:c>
      <x:c r="J2445" s="24" t="n">
        <x:v>2</x:v>
      </x:c>
      <x:c r="K2445" s="26" t="n">
        <x:v>0.2</x:v>
      </x:c>
      <x:c r="L2445" s="22" t="n">
        <x:v>2.1736000000000004</x:v>
      </x:c>
      <x:c r="M2445" t="n">
        <x:v>2017</x:v>
      </x:c>
      <x:c r="N2445" s="20" t="n">
        <x:v>42917</x:v>
      </x:c>
    </x:row>
    <x:row r="2446" ht="18" customHeight="1">
      <x:c r="A2446" t="str">
        <x:v>CA-2016-146934</x:v>
      </x:c>
      <x:c r="B2446" s="18" t="n">
        <x:v>42512</x:v>
      </x:c>
      <x:c r="C2446" t="str">
        <x:v>AF-10870</x:v>
      </x:c>
      <x:c r="D2446" t="str">
        <x:v>Art Ferguson</x:v>
      </x:c>
      <x:c r="E2446" t="str">
        <x:v>Consumer</x:v>
      </x:c>
      <x:c r="F2446" t="str">
        <x:v>East</x:v>
      </x:c>
      <x:c r="G2446" t="str">
        <x:v>Technology</x:v>
      </x:c>
      <x:c r="H2446" t="str">
        <x:v>Phones</x:v>
      </x:c>
      <x:c r="I2446" s="22" t="n">
        <x:v>345</x:v>
      </x:c>
      <x:c r="J2446" s="24" t="n">
        <x:v>5</x:v>
      </x:c>
      <x:c r="K2446" s="26" t="n">
        <x:v>0</x:v>
      </x:c>
      <x:c r="L2446" s="22" t="n">
        <x:v>86.25</x:v>
      </x:c>
      <x:c r="M2446" t="n">
        <x:v>2016</x:v>
      </x:c>
      <x:c r="N2446" s="20" t="n">
        <x:v>42491</x:v>
      </x:c>
    </x:row>
    <x:row r="2447" ht="18" customHeight="1">
      <x:c r="A2447" t="str">
        <x:v>CA-2016-146934</x:v>
      </x:c>
      <x:c r="B2447" s="18" t="n">
        <x:v>42512</x:v>
      </x:c>
      <x:c r="C2447" t="str">
        <x:v>AF-10870</x:v>
      </x:c>
      <x:c r="D2447" t="str">
        <x:v>Art Ferguson</x:v>
      </x:c>
      <x:c r="E2447" t="str">
        <x:v>Consumer</x:v>
      </x:c>
      <x:c r="F2447" t="str">
        <x:v>East</x:v>
      </x:c>
      <x:c r="G2447" t="str">
        <x:v>Furniture</x:v>
      </x:c>
      <x:c r="H2447" t="str">
        <x:v>Tables</x:v>
      </x:c>
      <x:c r="I2447" s="22" t="n">
        <x:v>174.28599999999997</x:v>
      </x:c>
      <x:c r="J2447" s="24" t="n">
        <x:v>2</x:v>
      </x:c>
      <x:c r="K2447" s="26" t="n">
        <x:v>0.3</x:v>
      </x:c>
      <x:c r="L2447" s="22" t="n">
        <x:v>-19.91839999999999</x:v>
      </x:c>
      <x:c r="M2447" t="n">
        <x:v>2016</x:v>
      </x:c>
      <x:c r="N2447" s="20" t="n">
        <x:v>42491</x:v>
      </x:c>
    </x:row>
    <x:row r="2448" ht="18" customHeight="1">
      <x:c r="A2448" t="str">
        <x:v>CA-2016-146934</x:v>
      </x:c>
      <x:c r="B2448" s="18" t="n">
        <x:v>42512</x:v>
      </x:c>
      <x:c r="C2448" t="str">
        <x:v>AF-10870</x:v>
      </x:c>
      <x:c r="D2448" t="str">
        <x:v>Art Ferguson</x:v>
      </x:c>
      <x:c r="E2448" t="str">
        <x:v>Consumer</x:v>
      </x:c>
      <x:c r="F2448" t="str">
        <x:v>East</x:v>
      </x:c>
      <x:c r="G2448" t="str">
        <x:v>Office Supplies</x:v>
      </x:c>
      <x:c r="H2448" t="str">
        <x:v>Appliances</x:v>
      </x:c>
      <x:c r="I2448" s="22" t="n">
        <x:v>662.84</x:v>
      </x:c>
      <x:c r="J2448" s="24" t="n">
        <x:v>4</x:v>
      </x:c>
      <x:c r="K2448" s="26" t="n">
        <x:v>0</x:v>
      </x:c>
      <x:c r="L2448" s="22" t="n">
        <x:v>172.33840000000004</x:v>
      </x:c>
      <x:c r="M2448" t="n">
        <x:v>2016</x:v>
      </x:c>
      <x:c r="N2448" s="20" t="n">
        <x:v>42491</x:v>
      </x:c>
    </x:row>
    <x:row r="2449" ht="18" customHeight="1">
      <x:c r="A2449" t="str">
        <x:v>CA-2016-146934</x:v>
      </x:c>
      <x:c r="B2449" s="18" t="n">
        <x:v>42512</x:v>
      </x:c>
      <x:c r="C2449" t="str">
        <x:v>AF-10870</x:v>
      </x:c>
      <x:c r="D2449" t="str">
        <x:v>Art Ferguson</x:v>
      </x:c>
      <x:c r="E2449" t="str">
        <x:v>Consumer</x:v>
      </x:c>
      <x:c r="F2449" t="str">
        <x:v>East</x:v>
      </x:c>
      <x:c r="G2449" t="str">
        <x:v>Technology</x:v>
      </x:c>
      <x:c r="H2449" t="str">
        <x:v>Accessories</x:v>
      </x:c>
      <x:c r="I2449" s="22" t="n">
        <x:v>95.1</x:v>
      </x:c>
      <x:c r="J2449" s="24" t="n">
        <x:v>5</x:v>
      </x:c>
      <x:c r="K2449" s="26" t="n">
        <x:v>0</x:v>
      </x:c>
      <x:c r="L2449" s="22" t="n">
        <x:v>30.431999999999995</x:v>
      </x:c>
      <x:c r="M2449" t="n">
        <x:v>2016</x:v>
      </x:c>
      <x:c r="N2449" s="20" t="n">
        <x:v>42491</x:v>
      </x:c>
    </x:row>
    <x:row r="2450" ht="18" customHeight="1">
      <x:c r="A2450" t="str">
        <x:v>CA-2016-146934</x:v>
      </x:c>
      <x:c r="B2450" s="18" t="n">
        <x:v>42512</x:v>
      </x:c>
      <x:c r="C2450" t="str">
        <x:v>AF-10870</x:v>
      </x:c>
      <x:c r="D2450" t="str">
        <x:v>Art Ferguson</x:v>
      </x:c>
      <x:c r="E2450" t="str">
        <x:v>Consumer</x:v>
      </x:c>
      <x:c r="F2450" t="str">
        <x:v>East</x:v>
      </x:c>
      <x:c r="G2450" t="str">
        <x:v>Office Supplies</x:v>
      </x:c>
      <x:c r="H2450" t="str">
        <x:v>Envelopes</x:v>
      </x:c>
      <x:c r="I2450" s="22" t="n">
        <x:v>26.880000000000003</x:v>
      </x:c>
      <x:c r="J2450" s="24" t="n">
        <x:v>6</x:v>
      </x:c>
      <x:c r="K2450" s="26" t="n">
        <x:v>0</x:v>
      </x:c>
      <x:c r="L2450" s="22" t="n">
        <x:v>12.902400000000002</x:v>
      </x:c>
      <x:c r="M2450" t="n">
        <x:v>2016</x:v>
      </x:c>
      <x:c r="N2450" s="20" t="n">
        <x:v>42491</x:v>
      </x:c>
    </x:row>
    <x:row r="2451" ht="18" customHeight="1">
      <x:c r="A2451" t="str">
        <x:v>CA-2016-146934</x:v>
      </x:c>
      <x:c r="B2451" s="18" t="n">
        <x:v>42512</x:v>
      </x:c>
      <x:c r="C2451" t="str">
        <x:v>AF-10870</x:v>
      </x:c>
      <x:c r="D2451" t="str">
        <x:v>Art Ferguson</x:v>
      </x:c>
      <x:c r="E2451" t="str">
        <x:v>Consumer</x:v>
      </x:c>
      <x:c r="F2451" t="str">
        <x:v>East</x:v>
      </x:c>
      <x:c r="G2451" t="str">
        <x:v>Technology</x:v>
      </x:c>
      <x:c r="H2451" t="str">
        <x:v>Phones</x:v>
      </x:c>
      <x:c r="I2451" s="22" t="n">
        <x:v>257.98</x:v>
      </x:c>
      <x:c r="J2451" s="24" t="n">
        <x:v>2</x:v>
      </x:c>
      <x:c r="K2451" s="26" t="n">
        <x:v>0</x:v>
      </x:c>
      <x:c r="L2451" s="22" t="n">
        <x:v>74.8142</x:v>
      </x:c>
      <x:c r="M2451" t="n">
        <x:v>2016</x:v>
      </x:c>
      <x:c r="N2451" s="20" t="n">
        <x:v>42491</x:v>
      </x:c>
    </x:row>
    <x:row r="2452" ht="18" customHeight="1">
      <x:c r="A2452" t="str">
        <x:v>CA-2015-100573</x:v>
      </x:c>
      <x:c r="B2452" s="18" t="n">
        <x:v>42272</x:v>
      </x:c>
      <x:c r="C2452" t="str">
        <x:v>AM-10705</x:v>
      </x:c>
      <x:c r="D2452" t="str">
        <x:v>Anne McFarland</x:v>
      </x:c>
      <x:c r="E2452" t="str">
        <x:v>Consumer</x:v>
      </x:c>
      <x:c r="F2452" t="str">
        <x:v>West</x:v>
      </x:c>
      <x:c r="G2452" t="str">
        <x:v>Office Supplies</x:v>
      </x:c>
      <x:c r="H2452" t="str">
        <x:v>Envelopes</x:v>
      </x:c>
      <x:c r="I2452" s="22" t="n">
        <x:v>17.48</x:v>
      </x:c>
      <x:c r="J2452" s="24" t="n">
        <x:v>2</x:v>
      </x:c>
      <x:c r="K2452" s="26" t="n">
        <x:v>0</x:v>
      </x:c>
      <x:c r="L2452" s="22" t="n">
        <x:v>8.2156</x:v>
      </x:c>
      <x:c r="M2452" t="n">
        <x:v>2015</x:v>
      </x:c>
      <x:c r="N2452" s="20" t="n">
        <x:v>42248</x:v>
      </x:c>
    </x:row>
    <x:row r="2453" ht="18" customHeight="1">
      <x:c r="A2453" t="str">
        <x:v>CA-2016-119165</x:v>
      </x:c>
      <x:c r="B2453" s="18" t="n">
        <x:v>42674</x:v>
      </x:c>
      <x:c r="C2453" t="str">
        <x:v>BD-11320</x:v>
      </x:c>
      <x:c r="D2453" t="str">
        <x:v>Bill Donatelli</x:v>
      </x:c>
      <x:c r="E2453" t="str">
        <x:v>Consumer</x:v>
      </x:c>
      <x:c r="F2453" t="str">
        <x:v>East</x:v>
      </x:c>
      <x:c r="G2453" t="str">
        <x:v>Furniture</x:v>
      </x:c>
      <x:c r="H2453" t="str">
        <x:v>Chairs</x:v>
      </x:c>
      <x:c r="I2453" s="22" t="n">
        <x:v>492.835</x:v>
      </x:c>
      <x:c r="J2453" s="24" t="n">
        <x:v>5</x:v>
      </x:c>
      <x:c r="K2453" s="26" t="n">
        <x:v>0.3</x:v>
      </x:c>
      <x:c r="L2453" s="22" t="n">
        <x:v>-14.080999999999989</x:v>
      </x:c>
      <x:c r="M2453" t="n">
        <x:v>2016</x:v>
      </x:c>
      <x:c r="N2453" s="20" t="n">
        <x:v>42644</x:v>
      </x:c>
    </x:row>
    <x:row r="2454" ht="18" customHeight="1">
      <x:c r="A2454" t="str">
        <x:v>CA-2015-128027</x:v>
      </x:c>
      <x:c r="B2454" s="18" t="n">
        <x:v>42261</x:v>
      </x:c>
      <x:c r="C2454" t="str">
        <x:v>CM-12385</x:v>
      </x:c>
      <x:c r="D2454" t="str">
        <x:v>Christopher Martinez</x:v>
      </x:c>
      <x:c r="E2454" t="str">
        <x:v>Consumer</x:v>
      </x:c>
      <x:c r="F2454" t="str">
        <x:v>South</x:v>
      </x:c>
      <x:c r="G2454" t="str">
        <x:v>Office Supplies</x:v>
      </x:c>
      <x:c r="H2454" t="str">
        <x:v>Storage</x:v>
      </x:c>
      <x:c r="I2454" s="22" t="n">
        <x:v>269.49</x:v>
      </x:c>
      <x:c r="J2454" s="24" t="n">
        <x:v>3</x:v>
      </x:c>
      <x:c r="K2454" s="26" t="n">
        <x:v>0</x:v>
      </x:c>
      <x:c r="L2454" s="22" t="n">
        <x:v>5.389799999999994</x:v>
      </x:c>
      <x:c r="M2454" t="n">
        <x:v>2015</x:v>
      </x:c>
      <x:c r="N2454" s="20" t="n">
        <x:v>42248</x:v>
      </x:c>
    </x:row>
    <x:row r="2455" ht="18" customHeight="1">
      <x:c r="A2455" t="str">
        <x:v>CA-2016-140207</x:v>
      </x:c>
      <x:c r="B2455" s="18" t="n">
        <x:v>42679</x:v>
      </x:c>
      <x:c r="C2455" t="str">
        <x:v>CS-12400</x:v>
      </x:c>
      <x:c r="D2455" t="str">
        <x:v>Christopher Schild</x:v>
      </x:c>
      <x:c r="E2455" t="str">
        <x:v>Home Office</x:v>
      </x:c>
      <x:c r="F2455" t="str">
        <x:v>West</x:v>
      </x:c>
      <x:c r="G2455" t="str">
        <x:v>Office Supplies</x:v>
      </x:c>
      <x:c r="H2455" t="str">
        <x:v>Binders</x:v>
      </x:c>
      <x:c r="I2455" s="22" t="n">
        <x:v>29.120000000000005</x:v>
      </x:c>
      <x:c r="J2455" s="24" t="n">
        <x:v>5</x:v>
      </x:c>
      <x:c r="K2455" s="26" t="n">
        <x:v>0.2</x:v>
      </x:c>
      <x:c r="L2455" s="22" t="n">
        <x:v>9.827999999999996</x:v>
      </x:c>
      <x:c r="M2455" t="n">
        <x:v>2016</x:v>
      </x:c>
      <x:c r="N2455" s="20" t="n">
        <x:v>42675</x:v>
      </x:c>
    </x:row>
    <x:row r="2456" ht="18" customHeight="1">
      <x:c r="A2456" t="str">
        <x:v>CA-2017-140949</x:v>
      </x:c>
      <x:c r="B2456" s="18" t="n">
        <x:v>42811</x:v>
      </x:c>
      <x:c r="C2456" t="str">
        <x:v>DB-13405</x:v>
      </x:c>
      <x:c r="D2456" t="str">
        <x:v>Denny Blanton</x:v>
      </x:c>
      <x:c r="E2456" t="str">
        <x:v>Consumer</x:v>
      </x:c>
      <x:c r="F2456" t="str">
        <x:v>East</x:v>
      </x:c>
      <x:c r="G2456" t="str">
        <x:v>Office Supplies</x:v>
      </x:c>
      <x:c r="H2456" t="str">
        <x:v>Labels</x:v>
      </x:c>
      <x:c r="I2456" s="22" t="n">
        <x:v>18.75</x:v>
      </x:c>
      <x:c r="J2456" s="24" t="n">
        <x:v>5</x:v>
      </x:c>
      <x:c r="K2456" s="26" t="n">
        <x:v>0</x:v>
      </x:c>
      <x:c r="L2456" s="22" t="n">
        <x:v>9</x:v>
      </x:c>
      <x:c r="M2456" t="n">
        <x:v>2017</x:v>
      </x:c>
      <x:c r="N2456" s="20" t="n">
        <x:v>42795</x:v>
      </x:c>
    </x:row>
    <x:row r="2457" ht="18" customHeight="1">
      <x:c r="A2457" t="str">
        <x:v>CA-2017-140949</x:v>
      </x:c>
      <x:c r="B2457" s="18" t="n">
        <x:v>42811</x:v>
      </x:c>
      <x:c r="C2457" t="str">
        <x:v>DB-13405</x:v>
      </x:c>
      <x:c r="D2457" t="str">
        <x:v>Denny Blanton</x:v>
      </x:c>
      <x:c r="E2457" t="str">
        <x:v>Consumer</x:v>
      </x:c>
      <x:c r="F2457" t="str">
        <x:v>East</x:v>
      </x:c>
      <x:c r="G2457" t="str">
        <x:v>Technology</x:v>
      </x:c>
      <x:c r="H2457" t="str">
        <x:v>Phones</x:v>
      </x:c>
      <x:c r="I2457" s="22" t="n">
        <x:v>119.69999999999999</x:v>
      </x:c>
      <x:c r="J2457" s="24" t="n">
        <x:v>6</x:v>
      </x:c>
      <x:c r="K2457" s="26" t="n">
        <x:v>0</x:v>
      </x:c>
      <x:c r="L2457" s="22" t="n">
        <x:v>31.121999999999996</x:v>
      </x:c>
      <x:c r="M2457" t="n">
        <x:v>2017</x:v>
      </x:c>
      <x:c r="N2457" s="20" t="n">
        <x:v>42795</x:v>
      </x:c>
    </x:row>
    <x:row r="2458" ht="18" customHeight="1">
      <x:c r="A2458" t="str">
        <x:v>CA-2017-140949</x:v>
      </x:c>
      <x:c r="B2458" s="18" t="n">
        <x:v>42811</x:v>
      </x:c>
      <x:c r="C2458" t="str">
        <x:v>DB-13405</x:v>
      </x:c>
      <x:c r="D2458" t="str">
        <x:v>Denny Blanton</x:v>
      </x:c>
      <x:c r="E2458" t="str">
        <x:v>Consumer</x:v>
      </x:c>
      <x:c r="F2458" t="str">
        <x:v>East</x:v>
      </x:c>
      <x:c r="G2458" t="str">
        <x:v>Office Supplies</x:v>
      </x:c>
      <x:c r="H2458" t="str">
        <x:v>Binders</x:v>
      </x:c>
      <x:c r="I2458" s="22" t="n">
        <x:v>9.144</x:v>
      </x:c>
      <x:c r="J2458" s="24" t="n">
        <x:v>3</x:v>
      </x:c>
      <x:c r="K2458" s="26" t="n">
        <x:v>0.2</x:v>
      </x:c>
      <x:c r="L2458" s="22" t="n">
        <x:v>3.0860999999999996</x:v>
      </x:c>
      <x:c r="M2458" t="n">
        <x:v>2017</x:v>
      </x:c>
      <x:c r="N2458" s="20" t="n">
        <x:v>42795</x:v>
      </x:c>
    </x:row>
    <x:row r="2459" ht="18" customHeight="1">
      <x:c r="A2459" t="str">
        <x:v>CA-2017-140949</x:v>
      </x:c>
      <x:c r="B2459" s="18" t="n">
        <x:v>42811</x:v>
      </x:c>
      <x:c r="C2459" t="str">
        <x:v>DB-13405</x:v>
      </x:c>
      <x:c r="D2459" t="str">
        <x:v>Denny Blanton</x:v>
      </x:c>
      <x:c r="E2459" t="str">
        <x:v>Consumer</x:v>
      </x:c>
      <x:c r="F2459" t="str">
        <x:v>East</x:v>
      </x:c>
      <x:c r="G2459" t="str">
        <x:v>Technology</x:v>
      </x:c>
      <x:c r="H2459" t="str">
        <x:v>Accessories</x:v>
      </x:c>
      <x:c r="I2459" s="22" t="n">
        <x:v>57.06</x:v>
      </x:c>
      <x:c r="J2459" s="24" t="n">
        <x:v>3</x:v>
      </x:c>
      <x:c r="K2459" s="26" t="n">
        <x:v>0</x:v>
      </x:c>
      <x:c r="L2459" s="22" t="n">
        <x:v>18.2592</x:v>
      </x:c>
      <x:c r="M2459" t="n">
        <x:v>2017</x:v>
      </x:c>
      <x:c r="N2459" s="20" t="n">
        <x:v>42795</x:v>
      </x:c>
    </x:row>
    <x:row r="2460" ht="18" customHeight="1">
      <x:c r="A2460" t="str">
        <x:v>CA-2017-140949</x:v>
      </x:c>
      <x:c r="B2460" s="18" t="n">
        <x:v>42811</x:v>
      </x:c>
      <x:c r="C2460" t="str">
        <x:v>DB-13405</x:v>
      </x:c>
      <x:c r="D2460" t="str">
        <x:v>Denny Blanton</x:v>
      </x:c>
      <x:c r="E2460" t="str">
        <x:v>Consumer</x:v>
      </x:c>
      <x:c r="F2460" t="str">
        <x:v>East</x:v>
      </x:c>
      <x:c r="G2460" t="str">
        <x:v>Technology</x:v>
      </x:c>
      <x:c r="H2460" t="str">
        <x:v>Accessories</x:v>
      </x:c>
      <x:c r="I2460" s="22" t="n">
        <x:v>71.6</x:v>
      </x:c>
      <x:c r="J2460" s="24" t="n">
        <x:v>8</x:v>
      </x:c>
      <x:c r="K2460" s="26" t="n">
        <x:v>0</x:v>
      </x:c>
      <x:c r="L2460" s="22" t="n">
        <x:v>13.603999999999992</x:v>
      </x:c>
      <x:c r="M2460" t="n">
        <x:v>2017</x:v>
      </x:c>
      <x:c r="N2460" s="20" t="n">
        <x:v>42795</x:v>
      </x:c>
    </x:row>
    <x:row r="2461" ht="18" customHeight="1">
      <x:c r="A2461" t="str">
        <x:v>CA-2017-140949</x:v>
      </x:c>
      <x:c r="B2461" s="18" t="n">
        <x:v>42811</x:v>
      </x:c>
      <x:c r="C2461" t="str">
        <x:v>DB-13405</x:v>
      </x:c>
      <x:c r="D2461" t="str">
        <x:v>Denny Blanton</x:v>
      </x:c>
      <x:c r="E2461" t="str">
        <x:v>Consumer</x:v>
      </x:c>
      <x:c r="F2461" t="str">
        <x:v>East</x:v>
      </x:c>
      <x:c r="G2461" t="str">
        <x:v>Office Supplies</x:v>
      </x:c>
      <x:c r="H2461" t="str">
        <x:v>Storage</x:v>
      </x:c>
      <x:c r="I2461" s="22" t="n">
        <x:v>107.44</x:v>
      </x:c>
      <x:c r="J2461" s="24" t="n">
        <x:v>8</x:v>
      </x:c>
      <x:c r="K2461" s="26" t="n">
        <x:v>0</x:v>
      </x:c>
      <x:c r="L2461" s="22" t="n">
        <x:v>27.934399999999997</x:v>
      </x:c>
      <x:c r="M2461" t="n">
        <x:v>2017</x:v>
      </x:c>
      <x:c r="N2461" s="20" t="n">
        <x:v>42795</x:v>
      </x:c>
    </x:row>
    <x:row r="2462" ht="18" customHeight="1">
      <x:c r="A2462" t="str">
        <x:v>CA-2017-140949</x:v>
      </x:c>
      <x:c r="B2462" s="18" t="n">
        <x:v>42811</x:v>
      </x:c>
      <x:c r="C2462" t="str">
        <x:v>DB-13405</x:v>
      </x:c>
      <x:c r="D2462" t="str">
        <x:v>Denny Blanton</x:v>
      </x:c>
      <x:c r="E2462" t="str">
        <x:v>Consumer</x:v>
      </x:c>
      <x:c r="F2462" t="str">
        <x:v>East</x:v>
      </x:c>
      <x:c r="G2462" t="str">
        <x:v>Office Supplies</x:v>
      </x:c>
      <x:c r="H2462" t="str">
        <x:v>Labels</x:v>
      </x:c>
      <x:c r="I2462" s="22" t="n">
        <x:v>7.31</x:v>
      </x:c>
      <x:c r="J2462" s="24" t="n">
        <x:v>1</x:v>
      </x:c>
      <x:c r="K2462" s="26" t="n">
        <x:v>0</x:v>
      </x:c>
      <x:c r="L2462" s="22" t="n">
        <x:v>3.4356999999999998</x:v>
      </x:c>
      <x:c r="M2462" t="n">
        <x:v>2017</x:v>
      </x:c>
      <x:c r="N2462" s="20" t="n">
        <x:v>42795</x:v>
      </x:c>
    </x:row>
    <x:row r="2463" ht="18" customHeight="1">
      <x:c r="A2463" t="str">
        <x:v>CA-2017-140949</x:v>
      </x:c>
      <x:c r="B2463" s="18" t="n">
        <x:v>42811</x:v>
      </x:c>
      <x:c r="C2463" t="str">
        <x:v>DB-13405</x:v>
      </x:c>
      <x:c r="D2463" t="str">
        <x:v>Denny Blanton</x:v>
      </x:c>
      <x:c r="E2463" t="str">
        <x:v>Consumer</x:v>
      </x:c>
      <x:c r="F2463" t="str">
        <x:v>East</x:v>
      </x:c>
      <x:c r="G2463" t="str">
        <x:v>Office Supplies</x:v>
      </x:c>
      <x:c r="H2463" t="str">
        <x:v>Art</x:v>
      </x:c>
      <x:c r="I2463" s="22" t="n">
        <x:v>59.099999999999994</x:v>
      </x:c>
      <x:c r="J2463" s="24" t="n">
        <x:v>6</x:v>
      </x:c>
      <x:c r="K2463" s="26" t="n">
        <x:v>0</x:v>
      </x:c>
      <x:c r="L2463" s="22" t="n">
        <x:v>22.458000000000002</x:v>
      </x:c>
      <x:c r="M2463" t="n">
        <x:v>2017</x:v>
      </x:c>
      <x:c r="N2463" s="20" t="n">
        <x:v>42795</x:v>
      </x:c>
    </x:row>
    <x:row r="2464" ht="18" customHeight="1">
      <x:c r="A2464" t="str">
        <x:v>CA-2017-140949</x:v>
      </x:c>
      <x:c r="B2464" s="18" t="n">
        <x:v>42811</x:v>
      </x:c>
      <x:c r="C2464" t="str">
        <x:v>DB-13405</x:v>
      </x:c>
      <x:c r="D2464" t="str">
        <x:v>Denny Blanton</x:v>
      </x:c>
      <x:c r="E2464" t="str">
        <x:v>Consumer</x:v>
      </x:c>
      <x:c r="F2464" t="str">
        <x:v>East</x:v>
      </x:c>
      <x:c r="G2464" t="str">
        <x:v>Office Supplies</x:v>
      </x:c>
      <x:c r="H2464" t="str">
        <x:v>Storage</x:v>
      </x:c>
      <x:c r="I2464" s="22" t="n">
        <x:v>46.53</x:v>
      </x:c>
      <x:c r="J2464" s="24" t="n">
        <x:v>3</x:v>
      </x:c>
      <x:c r="K2464" s="26" t="n">
        <x:v>0</x:v>
      </x:c>
      <x:c r="L2464" s="22" t="n">
        <x:v>12.097800000000001</x:v>
      </x:c>
      <x:c r="M2464" t="n">
        <x:v>2017</x:v>
      </x:c>
      <x:c r="N2464" s="20" t="n">
        <x:v>42795</x:v>
      </x:c>
    </x:row>
    <x:row r="2465" ht="18" customHeight="1">
      <x:c r="A2465" t="str">
        <x:v>CA-2017-138548</x:v>
      </x:c>
      <x:c r="B2465" s="18" t="n">
        <x:v>42962</x:v>
      </x:c>
      <x:c r="C2465" t="str">
        <x:v>JG-15160</x:v>
      </x:c>
      <x:c r="D2465" t="str">
        <x:v>James Galang</x:v>
      </x:c>
      <x:c r="E2465" t="str">
        <x:v>Consumer</x:v>
      </x:c>
      <x:c r="F2465" t="str">
        <x:v>East</x:v>
      </x:c>
      <x:c r="G2465" t="str">
        <x:v>Office Supplies</x:v>
      </x:c>
      <x:c r="H2465" t="str">
        <x:v>Appliances</x:v>
      </x:c>
      <x:c r="I2465" s="22" t="n">
        <x:v>97.84</x:v>
      </x:c>
      <x:c r="J2465" s="24" t="n">
        <x:v>2</x:v>
      </x:c>
      <x:c r="K2465" s="26" t="n">
        <x:v>0</x:v>
      </x:c>
      <x:c r="L2465" s="22" t="n">
        <x:v>25.4384</x:v>
      </x:c>
      <x:c r="M2465" t="n">
        <x:v>2017</x:v>
      </x:c>
      <x:c r="N2465" s="20" t="n">
        <x:v>42948</x:v>
      </x:c>
    </x:row>
    <x:row r="2466" ht="18" customHeight="1">
      <x:c r="A2466" t="str">
        <x:v>CA-2015-142419</x:v>
      </x:c>
      <x:c r="B2466" s="18" t="n">
        <x:v>42196</x:v>
      </x:c>
      <x:c r="C2466" t="str">
        <x:v>SC-20380</x:v>
      </x:c>
      <x:c r="D2466" t="str">
        <x:v>Shahid Collister</x:v>
      </x:c>
      <x:c r="E2466" t="str">
        <x:v>Consumer</x:v>
      </x:c>
      <x:c r="F2466" t="str">
        <x:v>West</x:v>
      </x:c>
      <x:c r="G2466" t="str">
        <x:v>Office Supplies</x:v>
      </x:c>
      <x:c r="H2466" t="str">
        <x:v>Paper</x:v>
      </x:c>
      <x:c r="I2466" s="22" t="n">
        <x:v>29.97</x:v>
      </x:c>
      <x:c r="J2466" s="24" t="n">
        <x:v>3</x:v>
      </x:c>
      <x:c r="K2466" s="26" t="n">
        <x:v>0</x:v>
      </x:c>
      <x:c r="L2466" s="22" t="n">
        <x:v>13.4865</x:v>
      </x:c>
      <x:c r="M2466" t="n">
        <x:v>2015</x:v>
      </x:c>
      <x:c r="N2466" s="20" t="n">
        <x:v>42186</x:v>
      </x:c>
    </x:row>
    <x:row r="2467" ht="18" customHeight="1">
      <x:c r="A2467" t="str">
        <x:v>CA-2015-142419</x:v>
      </x:c>
      <x:c r="B2467" s="18" t="n">
        <x:v>42196</x:v>
      </x:c>
      <x:c r="C2467" t="str">
        <x:v>SC-20380</x:v>
      </x:c>
      <x:c r="D2467" t="str">
        <x:v>Shahid Collister</x:v>
      </x:c>
      <x:c r="E2467" t="str">
        <x:v>Consumer</x:v>
      </x:c>
      <x:c r="F2467" t="str">
        <x:v>West</x:v>
      </x:c>
      <x:c r="G2467" t="str">
        <x:v>Office Supplies</x:v>
      </x:c>
      <x:c r="H2467" t="str">
        <x:v>Binders</x:v>
      </x:c>
      <x:c r="I2467" s="22" t="n">
        <x:v>98.352</x:v>
      </x:c>
      <x:c r="J2467" s="24" t="n">
        <x:v>3</x:v>
      </x:c>
      <x:c r="K2467" s="26" t="n">
        <x:v>0.2</x:v>
      </x:c>
      <x:c r="L2467" s="22" t="n">
        <x:v>34.42319999999999</x:v>
      </x:c>
      <x:c r="M2467" t="n">
        <x:v>2015</x:v>
      </x:c>
      <x:c r="N2467" s="20" t="n">
        <x:v>42186</x:v>
      </x:c>
    </x:row>
    <x:row r="2468" ht="18" customHeight="1">
      <x:c r="A2468" t="str">
        <x:v>CA-2017-148691</x:v>
      </x:c>
      <x:c r="B2468" s="18" t="n">
        <x:v>43072</x:v>
      </x:c>
      <x:c r="C2468" t="str">
        <x:v>CS-12460</x:v>
      </x:c>
      <x:c r="D2468" t="str">
        <x:v>Chuck Sachs</x:v>
      </x:c>
      <x:c r="E2468" t="str">
        <x:v>Consumer</x:v>
      </x:c>
      <x:c r="F2468" t="str">
        <x:v>East</x:v>
      </x:c>
      <x:c r="G2468" t="str">
        <x:v>Office Supplies</x:v>
      </x:c>
      <x:c r="H2468" t="str">
        <x:v>Binders</x:v>
      </x:c>
      <x:c r="I2468" s="22" t="n">
        <x:v>83.92000000000002</x:v>
      </x:c>
      <x:c r="J2468" s="24" t="n">
        <x:v>5</x:v>
      </x:c>
      <x:c r="K2468" s="26" t="n">
        <x:v>0.2</x:v>
      </x:c>
      <x:c r="L2468" s="22" t="n">
        <x:v>29.371999999999993</x:v>
      </x:c>
      <x:c r="M2468" t="n">
        <x:v>2017</x:v>
      </x:c>
      <x:c r="N2468" s="20" t="n">
        <x:v>43070</x:v>
      </x:c>
    </x:row>
    <x:row r="2469" ht="18" customHeight="1">
      <x:c r="A2469" t="str">
        <x:v>CA-2017-148691</x:v>
      </x:c>
      <x:c r="B2469" s="18" t="n">
        <x:v>43072</x:v>
      </x:c>
      <x:c r="C2469" t="str">
        <x:v>CS-12460</x:v>
      </x:c>
      <x:c r="D2469" t="str">
        <x:v>Chuck Sachs</x:v>
      </x:c>
      <x:c r="E2469" t="str">
        <x:v>Consumer</x:v>
      </x:c>
      <x:c r="F2469" t="str">
        <x:v>East</x:v>
      </x:c>
      <x:c r="G2469" t="str">
        <x:v>Office Supplies</x:v>
      </x:c>
      <x:c r="H2469" t="str">
        <x:v>Binders</x:v>
      </x:c>
      <x:c r="I2469" s="22" t="n">
        <x:v>14.624000000000002</x:v>
      </x:c>
      <x:c r="J2469" s="24" t="n">
        <x:v>2</x:v>
      </x:c>
      <x:c r="K2469" s="26" t="n">
        <x:v>0.2</x:v>
      </x:c>
      <x:c r="L2469" s="22" t="n">
        <x:v>5.118399999999999</x:v>
      </x:c>
      <x:c r="M2469" t="n">
        <x:v>2017</x:v>
      </x:c>
      <x:c r="N2469" s="20" t="n">
        <x:v>43070</x:v>
      </x:c>
    </x:row>
    <x:row r="2470" ht="18" customHeight="1">
      <x:c r="A2470" t="str">
        <x:v>CA-2017-148691</x:v>
      </x:c>
      <x:c r="B2470" s="18" t="n">
        <x:v>43072</x:v>
      </x:c>
      <x:c r="C2470" t="str">
        <x:v>CS-12460</x:v>
      </x:c>
      <x:c r="D2470" t="str">
        <x:v>Chuck Sachs</x:v>
      </x:c>
      <x:c r="E2470" t="str">
        <x:v>Consumer</x:v>
      </x:c>
      <x:c r="F2470" t="str">
        <x:v>East</x:v>
      </x:c>
      <x:c r="G2470" t="str">
        <x:v>Technology</x:v>
      </x:c>
      <x:c r="H2470" t="str">
        <x:v>Phones</x:v>
      </x:c>
      <x:c r="I2470" s="22" t="n">
        <x:v>136.99</x:v>
      </x:c>
      <x:c r="J2470" s="24" t="n">
        <x:v>1</x:v>
      </x:c>
      <x:c r="K2470" s="26" t="n">
        <x:v>0</x:v>
      </x:c>
      <x:c r="L2470" s="22" t="n">
        <x:v>36.987300000000005</x:v>
      </x:c>
      <x:c r="M2470" t="n">
        <x:v>2017</x:v>
      </x:c>
      <x:c r="N2470" s="20" t="n">
        <x:v>43070</x:v>
      </x:c>
    </x:row>
    <x:row r="2471" ht="18" customHeight="1">
      <x:c r="A2471" t="str">
        <x:v>CA-2017-148691</x:v>
      </x:c>
      <x:c r="B2471" s="18" t="n">
        <x:v>43072</x:v>
      </x:c>
      <x:c r="C2471" t="str">
        <x:v>CS-12460</x:v>
      </x:c>
      <x:c r="D2471" t="str">
        <x:v>Chuck Sachs</x:v>
      </x:c>
      <x:c r="E2471" t="str">
        <x:v>Consumer</x:v>
      </x:c>
      <x:c r="F2471" t="str">
        <x:v>East</x:v>
      </x:c>
      <x:c r="G2471" t="str">
        <x:v>Office Supplies</x:v>
      </x:c>
      <x:c r="H2471" t="str">
        <x:v>Labels</x:v>
      </x:c>
      <x:c r="I2471" s="22" t="n">
        <x:v>3.15</x:v>
      </x:c>
      <x:c r="J2471" s="24" t="n">
        <x:v>1</x:v>
      </x:c>
      <x:c r="K2471" s="26" t="n">
        <x:v>0</x:v>
      </x:c>
      <x:c r="L2471" s="22" t="n">
        <x:v>1.512</x:v>
      </x:c>
      <x:c r="M2471" t="n">
        <x:v>2017</x:v>
      </x:c>
      <x:c r="N2471" s="20" t="n">
        <x:v>43070</x:v>
      </x:c>
    </x:row>
    <x:row r="2472" ht="18" customHeight="1">
      <x:c r="A2472" t="str">
        <x:v>CA-2017-128755</x:v>
      </x:c>
      <x:c r="B2472" s="18" t="n">
        <x:v>42859</x:v>
      </x:c>
      <x:c r="C2472" t="str">
        <x:v>MK-18160</x:v>
      </x:c>
      <x:c r="D2472" t="str">
        <x:v>Mike Kennedy</x:v>
      </x:c>
      <x:c r="E2472" t="str">
        <x:v>Consumer</x:v>
      </x:c>
      <x:c r="F2472" t="str">
        <x:v>South</x:v>
      </x:c>
      <x:c r="G2472" t="str">
        <x:v>Office Supplies</x:v>
      </x:c>
      <x:c r="H2472" t="str">
        <x:v>Paper</x:v>
      </x:c>
      <x:c r="I2472" s="22" t="n">
        <x:v>9.11</x:v>
      </x:c>
      <x:c r="J2472" s="24" t="n">
        <x:v>1</x:v>
      </x:c>
      <x:c r="K2472" s="26" t="n">
        <x:v>0</x:v>
      </x:c>
      <x:c r="L2472" s="22" t="n">
        <x:v>4.099499999999999</x:v>
      </x:c>
      <x:c r="M2472" t="n">
        <x:v>2017</x:v>
      </x:c>
      <x:c r="N2472" s="20" t="n">
        <x:v>42856</x:v>
      </x:c>
    </x:row>
    <x:row r="2473" ht="18" customHeight="1">
      <x:c r="A2473" t="str">
        <x:v>CA-2017-128755</x:v>
      </x:c>
      <x:c r="B2473" s="18" t="n">
        <x:v>42859</x:v>
      </x:c>
      <x:c r="C2473" t="str">
        <x:v>MK-18160</x:v>
      </x:c>
      <x:c r="D2473" t="str">
        <x:v>Mike Kennedy</x:v>
      </x:c>
      <x:c r="E2473" t="str">
        <x:v>Consumer</x:v>
      </x:c>
      <x:c r="F2473" t="str">
        <x:v>South</x:v>
      </x:c>
      <x:c r="G2473" t="str">
        <x:v>Office Supplies</x:v>
      </x:c>
      <x:c r="H2473" t="str">
        <x:v>Storage</x:v>
      </x:c>
      <x:c r="I2473" s="22" t="n">
        <x:v>571.44</x:v>
      </x:c>
      <x:c r="J2473" s="24" t="n">
        <x:v>4</x:v>
      </x:c>
      <x:c r="K2473" s="26" t="n">
        <x:v>0</x:v>
      </x:c>
      <x:c r="L2473" s="22" t="n">
        <x:v>165.71759999999995</x:v>
      </x:c>
      <x:c r="M2473" t="n">
        <x:v>2017</x:v>
      </x:c>
      <x:c r="N2473" s="20" t="n">
        <x:v>42856</x:v>
      </x:c>
    </x:row>
    <x:row r="2474" ht="18" customHeight="1">
      <x:c r="A2474" t="str">
        <x:v>CA-2017-128755</x:v>
      </x:c>
      <x:c r="B2474" s="18" t="n">
        <x:v>42859</x:v>
      </x:c>
      <x:c r="C2474" t="str">
        <x:v>MK-18160</x:v>
      </x:c>
      <x:c r="D2474" t="str">
        <x:v>Mike Kennedy</x:v>
      </x:c>
      <x:c r="E2474" t="str">
        <x:v>Consumer</x:v>
      </x:c>
      <x:c r="F2474" t="str">
        <x:v>South</x:v>
      </x:c>
      <x:c r="G2474" t="str">
        <x:v>Office Supplies</x:v>
      </x:c>
      <x:c r="H2474" t="str">
        <x:v>Paper</x:v>
      </x:c>
      <x:c r="I2474" s="22" t="n">
        <x:v>32.400000000000006</x:v>
      </x:c>
      <x:c r="J2474" s="24" t="n">
        <x:v>5</x:v>
      </x:c>
      <x:c r="K2474" s="26" t="n">
        <x:v>0</x:v>
      </x:c>
      <x:c r="L2474" s="22" t="n">
        <x:v>15.552000000000001</x:v>
      </x:c>
      <x:c r="M2474" t="n">
        <x:v>2017</x:v>
      </x:c>
      <x:c r="N2474" s="20" t="n">
        <x:v>42856</x:v>
      </x:c>
    </x:row>
    <x:row r="2475" ht="18" customHeight="1">
      <x:c r="A2475" t="str">
        <x:v>CA-2017-128755</x:v>
      </x:c>
      <x:c r="B2475" s="18" t="n">
        <x:v>42859</x:v>
      </x:c>
      <x:c r="C2475" t="str">
        <x:v>MK-18160</x:v>
      </x:c>
      <x:c r="D2475" t="str">
        <x:v>Mike Kennedy</x:v>
      </x:c>
      <x:c r="E2475" t="str">
        <x:v>Consumer</x:v>
      </x:c>
      <x:c r="F2475" t="str">
        <x:v>South</x:v>
      </x:c>
      <x:c r="G2475" t="str">
        <x:v>Office Supplies</x:v>
      </x:c>
      <x:c r="H2475" t="str">
        <x:v>Storage</x:v>
      </x:c>
      <x:c r="I2475" s="22" t="n">
        <x:v>16.91</x:v>
      </x:c>
      <x:c r="J2475" s="24" t="n">
        <x:v>1</x:v>
      </x:c>
      <x:c r="K2475" s="26" t="n">
        <x:v>0</x:v>
      </x:c>
      <x:c r="L2475" s="22" t="n">
        <x:v>4.5657</x:v>
      </x:c>
      <x:c r="M2475" t="n">
        <x:v>2017</x:v>
      </x:c>
      <x:c r="N2475" s="20" t="n">
        <x:v>42856</x:v>
      </x:c>
    </x:row>
    <x:row r="2476" ht="18" customHeight="1">
      <x:c r="A2476" t="str">
        <x:v>US-2016-135923</x:v>
      </x:c>
      <x:c r="B2476" s="18" t="n">
        <x:v>42391</x:v>
      </x:c>
      <x:c r="C2476" t="str">
        <x:v>CM-11935</x:v>
      </x:c>
      <x:c r="D2476" t="str">
        <x:v>Carlos Meador</x:v>
      </x:c>
      <x:c r="E2476" t="str">
        <x:v>Consumer</x:v>
      </x:c>
      <x:c r="F2476" t="str">
        <x:v>South</x:v>
      </x:c>
      <x:c r="G2476" t="str">
        <x:v>Furniture</x:v>
      </x:c>
      <x:c r="H2476" t="str">
        <x:v>Furnishings</x:v>
      </x:c>
      <x:c r="I2476" s="22" t="n">
        <x:v>14.272</x:v>
      </x:c>
      <x:c r="J2476" s="24" t="n">
        <x:v>8</x:v>
      </x:c>
      <x:c r="K2476" s="26" t="n">
        <x:v>0.2</x:v>
      </x:c>
      <x:c r="L2476" s="22" t="n">
        <x:v>4.281600000000001</x:v>
      </x:c>
      <x:c r="M2476" t="n">
        <x:v>2016</x:v>
      </x:c>
      <x:c r="N2476" s="20" t="n">
        <x:v>42370</x:v>
      </x:c>
    </x:row>
    <x:row r="2477" ht="18" customHeight="1">
      <x:c r="A2477" t="str">
        <x:v>US-2016-135923</x:v>
      </x:c>
      <x:c r="B2477" s="18" t="n">
        <x:v>42391</x:v>
      </x:c>
      <x:c r="C2477" t="str">
        <x:v>CM-11935</x:v>
      </x:c>
      <x:c r="D2477" t="str">
        <x:v>Carlos Meador</x:v>
      </x:c>
      <x:c r="E2477" t="str">
        <x:v>Consumer</x:v>
      </x:c>
      <x:c r="F2477" t="str">
        <x:v>South</x:v>
      </x:c>
      <x:c r="G2477" t="str">
        <x:v>Furniture</x:v>
      </x:c>
      <x:c r="H2477" t="str">
        <x:v>Bookcases</x:v>
      </x:c>
      <x:c r="I2477" s="22" t="n">
        <x:v>451.13599999999997</x:v>
      </x:c>
      <x:c r="J2477" s="24" t="n">
        <x:v>4</x:v>
      </x:c>
      <x:c r="K2477" s="26" t="n">
        <x:v>0.2</x:v>
      </x:c>
      <x:c r="L2477" s="22" t="n">
        <x:v>-67.67039999999997</x:v>
      </x:c>
      <x:c r="M2477" t="n">
        <x:v>2016</x:v>
      </x:c>
      <x:c r="N2477" s="20" t="n">
        <x:v>42370</x:v>
      </x:c>
    </x:row>
    <x:row r="2478" ht="18" customHeight="1">
      <x:c r="A2478" t="str">
        <x:v>US-2016-135923</x:v>
      </x:c>
      <x:c r="B2478" s="18" t="n">
        <x:v>42391</x:v>
      </x:c>
      <x:c r="C2478" t="str">
        <x:v>CM-11935</x:v>
      </x:c>
      <x:c r="D2478" t="str">
        <x:v>Carlos Meador</x:v>
      </x:c>
      <x:c r="E2478" t="str">
        <x:v>Consumer</x:v>
      </x:c>
      <x:c r="F2478" t="str">
        <x:v>South</x:v>
      </x:c>
      <x:c r="G2478" t="str">
        <x:v>Office Supplies</x:v>
      </x:c>
      <x:c r="H2478" t="str">
        <x:v>Appliances</x:v>
      </x:c>
      <x:c r="I2478" s="22" t="n">
        <x:v>64.864</x:v>
      </x:c>
      <x:c r="J2478" s="24" t="n">
        <x:v>4</x:v>
      </x:c>
      <x:c r="K2478" s="26" t="n">
        <x:v>0.2</x:v>
      </x:c>
      <x:c r="L2478" s="22" t="n">
        <x:v>6.486400000000003</x:v>
      </x:c>
      <x:c r="M2478" t="n">
        <x:v>2016</x:v>
      </x:c>
      <x:c r="N2478" s="20" t="n">
        <x:v>42370</x:v>
      </x:c>
    </x:row>
    <x:row r="2479" ht="18" customHeight="1">
      <x:c r="A2479" t="str">
        <x:v>CA-2016-114972</x:v>
      </x:c>
      <x:c r="B2479" s="18" t="n">
        <x:v>42677</x:v>
      </x:c>
      <x:c r="C2479" t="str">
        <x:v>PF-19225</x:v>
      </x:c>
      <x:c r="D2479" t="str">
        <x:v>Phillip Flathmann</x:v>
      </x:c>
      <x:c r="E2479" t="str">
        <x:v>Consumer</x:v>
      </x:c>
      <x:c r="F2479" t="str">
        <x:v>West</x:v>
      </x:c>
      <x:c r="G2479" t="str">
        <x:v>Furniture</x:v>
      </x:c>
      <x:c r="H2479" t="str">
        <x:v>Chairs</x:v>
      </x:c>
      <x:c r="I2479" s="22" t="n">
        <x:v>217.58400000000003</x:v>
      </x:c>
      <x:c r="J2479" s="24" t="n">
        <x:v>2</x:v>
      </x:c>
      <x:c r="K2479" s="26" t="n">
        <x:v>0.2</x:v>
      </x:c>
      <x:c r="L2479" s="22" t="n">
        <x:v>-29.91780000000002</x:v>
      </x:c>
      <x:c r="M2479" t="n">
        <x:v>2016</x:v>
      </x:c>
      <x:c r="N2479" s="20" t="n">
        <x:v>42675</x:v>
      </x:c>
    </x:row>
    <x:row r="2480" ht="18" customHeight="1">
      <x:c r="A2480" t="str">
        <x:v>CA-2016-114972</x:v>
      </x:c>
      <x:c r="B2480" s="18" t="n">
        <x:v>42677</x:v>
      </x:c>
      <x:c r="C2480" t="str">
        <x:v>PF-19225</x:v>
      </x:c>
      <x:c r="D2480" t="str">
        <x:v>Phillip Flathmann</x:v>
      </x:c>
      <x:c r="E2480" t="str">
        <x:v>Consumer</x:v>
      </x:c>
      <x:c r="F2480" t="str">
        <x:v>West</x:v>
      </x:c>
      <x:c r="G2480" t="str">
        <x:v>Technology</x:v>
      </x:c>
      <x:c r="H2480" t="str">
        <x:v>Accessories</x:v>
      </x:c>
      <x:c r="I2480" s="22" t="n">
        <x:v>82.95</x:v>
      </x:c>
      <x:c r="J2480" s="24" t="n">
        <x:v>5</x:v>
      </x:c>
      <x:c r="K2480" s="26" t="n">
        <x:v>0</x:v>
      </x:c>
      <x:c r="L2480" s="22" t="n">
        <x:v>29.0325</x:v>
      </x:c>
      <x:c r="M2480" t="n">
        <x:v>2016</x:v>
      </x:c>
      <x:c r="N2480" s="20" t="n">
        <x:v>42675</x:v>
      </x:c>
    </x:row>
    <x:row r="2481" ht="18" customHeight="1">
      <x:c r="A2481" t="str">
        <x:v>CA-2016-114972</x:v>
      </x:c>
      <x:c r="B2481" s="18" t="n">
        <x:v>42677</x:v>
      </x:c>
      <x:c r="C2481" t="str">
        <x:v>PF-19225</x:v>
      </x:c>
      <x:c r="D2481" t="str">
        <x:v>Phillip Flathmann</x:v>
      </x:c>
      <x:c r="E2481" t="str">
        <x:v>Consumer</x:v>
      </x:c>
      <x:c r="F2481" t="str">
        <x:v>West</x:v>
      </x:c>
      <x:c r="G2481" t="str">
        <x:v>Office Supplies</x:v>
      </x:c>
      <x:c r="H2481" t="str">
        <x:v>Labels</x:v>
      </x:c>
      <x:c r="I2481" s="22" t="n">
        <x:v>87.71</x:v>
      </x:c>
      <x:c r="J2481" s="24" t="n">
        <x:v>7</x:v>
      </x:c>
      <x:c r="K2481" s="26" t="n">
        <x:v>0</x:v>
      </x:c>
      <x:c r="L2481" s="22" t="n">
        <x:v>41.223699999999994</x:v>
      </x:c>
      <x:c r="M2481" t="n">
        <x:v>2016</x:v>
      </x:c>
      <x:c r="N2481" s="20" t="n">
        <x:v>42675</x:v>
      </x:c>
    </x:row>
    <x:row r="2482" ht="18" customHeight="1">
      <x:c r="A2482" t="str">
        <x:v>CA-2016-114972</x:v>
      </x:c>
      <x:c r="B2482" s="18" t="n">
        <x:v>42677</x:v>
      </x:c>
      <x:c r="C2482" t="str">
        <x:v>PF-19225</x:v>
      </x:c>
      <x:c r="D2482" t="str">
        <x:v>Phillip Flathmann</x:v>
      </x:c>
      <x:c r="E2482" t="str">
        <x:v>Consumer</x:v>
      </x:c>
      <x:c r="F2482" t="str">
        <x:v>West</x:v>
      </x:c>
      <x:c r="G2482" t="str">
        <x:v>Office Supplies</x:v>
      </x:c>
      <x:c r="H2482" t="str">
        <x:v>Appliances</x:v>
      </x:c>
      <x:c r="I2482" s="22" t="n">
        <x:v>1101.48</x:v>
      </x:c>
      <x:c r="J2482" s="24" t="n">
        <x:v>4</x:v>
      </x:c>
      <x:c r="K2482" s="26" t="n">
        <x:v>0</x:v>
      </x:c>
      <x:c r="L2482" s="22" t="n">
        <x:v>429.57720000000006</x:v>
      </x:c>
      <x:c r="M2482" t="n">
        <x:v>2016</x:v>
      </x:c>
      <x:c r="N2482" s="20" t="n">
        <x:v>42675</x:v>
      </x:c>
    </x:row>
    <x:row r="2483" ht="18" customHeight="1">
      <x:c r="A2483" t="str">
        <x:v>CA-2017-102750</x:v>
      </x:c>
      <x:c r="B2483" s="18" t="n">
        <x:v>42982</x:v>
      </x:c>
      <x:c r="C2483" t="str">
        <x:v>GM-14695</x:v>
      </x:c>
      <x:c r="D2483" t="str">
        <x:v>Greg Maxwell</x:v>
      </x:c>
      <x:c r="E2483" t="str">
        <x:v>Corporate</x:v>
      </x:c>
      <x:c r="F2483" t="str">
        <x:v>West</x:v>
      </x:c>
      <x:c r="G2483" t="str">
        <x:v>Furniture</x:v>
      </x:c>
      <x:c r="H2483" t="str">
        <x:v>Tables</x:v>
      </x:c>
      <x:c r="I2483" s="22" t="n">
        <x:v>1322.352</x:v>
      </x:c>
      <x:c r="J2483" s="24" t="n">
        <x:v>3</x:v>
      </x:c>
      <x:c r="K2483" s="26" t="n">
        <x:v>0.2</x:v>
      </x:c>
      <x:c r="L2483" s="22" t="n">
        <x:v>-99.1764</x:v>
      </x:c>
      <x:c r="M2483" t="n">
        <x:v>2017</x:v>
      </x:c>
      <x:c r="N2483" s="20" t="n">
        <x:v>42979</x:v>
      </x:c>
    </x:row>
    <x:row r="2484" ht="18" customHeight="1">
      <x:c r="A2484" t="str">
        <x:v>CA-2014-145212</x:v>
      </x:c>
      <x:c r="B2484" s="18" t="n">
        <x:v>41895</x:v>
      </x:c>
      <x:c r="C2484" t="str">
        <x:v>DC-12850</x:v>
      </x:c>
      <x:c r="D2484" t="str">
        <x:v>Dan Campbell</x:v>
      </x:c>
      <x:c r="E2484" t="str">
        <x:v>Consumer</x:v>
      </x:c>
      <x:c r="F2484" t="str">
        <x:v>East</x:v>
      </x:c>
      <x:c r="G2484" t="str">
        <x:v>Office Supplies</x:v>
      </x:c>
      <x:c r="H2484" t="str">
        <x:v>Art</x:v>
      </x:c>
      <x:c r="I2484" s="22" t="n">
        <x:v>5.46</x:v>
      </x:c>
      <x:c r="J2484" s="24" t="n">
        <x:v>3</x:v>
      </x:c>
      <x:c r="K2484" s="26" t="n">
        <x:v>0</x:v>
      </x:c>
      <x:c r="L2484" s="22" t="n">
        <x:v>1.4742000000000002</x:v>
      </x:c>
      <x:c r="M2484" t="n">
        <x:v>2014</x:v>
      </x:c>
      <x:c r="N2484" s="20" t="n">
        <x:v>41883</x:v>
      </x:c>
    </x:row>
    <x:row r="2485" ht="18" customHeight="1">
      <x:c r="A2485" t="str">
        <x:v>CA-2017-141992</x:v>
      </x:c>
      <x:c r="B2485" s="18" t="n">
        <x:v>42905</x:v>
      </x:c>
      <x:c r="C2485" t="str">
        <x:v>FO-14305</x:v>
      </x:c>
      <x:c r="D2485" t="str">
        <x:v>Frank Olsen</x:v>
      </x:c>
      <x:c r="E2485" t="str">
        <x:v>Consumer</x:v>
      </x:c>
      <x:c r="F2485" t="str">
        <x:v>Central</x:v>
      </x:c>
      <x:c r="G2485" t="str">
        <x:v>Office Supplies</x:v>
      </x:c>
      <x:c r="H2485" t="str">
        <x:v>Supplies</x:v>
      </x:c>
      <x:c r="I2485" s="22" t="n">
        <x:v>11.184000000000001</x:v>
      </x:c>
      <x:c r="J2485" s="24" t="n">
        <x:v>1</x:v>
      </x:c>
      <x:c r="K2485" s="26" t="n">
        <x:v>0.2</x:v>
      </x:c>
      <x:c r="L2485" s="22" t="n">
        <x:v>0.8388</x:v>
      </x:c>
      <x:c r="M2485" t="n">
        <x:v>2017</x:v>
      </x:c>
      <x:c r="N2485" s="20" t="n">
        <x:v>42887</x:v>
      </x:c>
    </x:row>
    <x:row r="2486" ht="18" customHeight="1">
      <x:c r="A2486" t="str">
        <x:v>CA-2017-141992</x:v>
      </x:c>
      <x:c r="B2486" s="18" t="n">
        <x:v>42905</x:v>
      </x:c>
      <x:c r="C2486" t="str">
        <x:v>FO-14305</x:v>
      </x:c>
      <x:c r="D2486" t="str">
        <x:v>Frank Olsen</x:v>
      </x:c>
      <x:c r="E2486" t="str">
        <x:v>Consumer</x:v>
      </x:c>
      <x:c r="F2486" t="str">
        <x:v>Central</x:v>
      </x:c>
      <x:c r="G2486" t="str">
        <x:v>Office Supplies</x:v>
      </x:c>
      <x:c r="H2486" t="str">
        <x:v>Storage</x:v>
      </x:c>
      <x:c r="I2486" s="22" t="n">
        <x:v>153.584</x:v>
      </x:c>
      <x:c r="J2486" s="24" t="n">
        <x:v>2</x:v>
      </x:c>
      <x:c r="K2486" s="26" t="n">
        <x:v>0.2</x:v>
      </x:c>
      <x:c r="L2486" s="22" t="n">
        <x:v>-32.6366</x:v>
      </x:c>
      <x:c r="M2486" t="n">
        <x:v>2017</x:v>
      </x:c>
      <x:c r="N2486" s="20" t="n">
        <x:v>42887</x:v>
      </x:c>
    </x:row>
    <x:row r="2487" ht="18" customHeight="1">
      <x:c r="A2487" t="str">
        <x:v>CA-2017-147956</x:v>
      </x:c>
      <x:c r="B2487" s="18" t="n">
        <x:v>43093</x:v>
      </x:c>
      <x:c r="C2487" t="str">
        <x:v>AH-10210</x:v>
      </x:c>
      <x:c r="D2487" t="str">
        <x:v>Alan Hwang</x:v>
      </x:c>
      <x:c r="E2487" t="str">
        <x:v>Consumer</x:v>
      </x:c>
      <x:c r="F2487" t="str">
        <x:v>West</x:v>
      </x:c>
      <x:c r="G2487" t="str">
        <x:v>Office Supplies</x:v>
      </x:c>
      <x:c r="H2487" t="str">
        <x:v>Storage</x:v>
      </x:c>
      <x:c r="I2487" s="22" t="n">
        <x:v>1003.6200000000001</x:v>
      </x:c>
      <x:c r="J2487" s="24" t="n">
        <x:v>6</x:v>
      </x:c>
      <x:c r="K2487" s="26" t="n">
        <x:v>0</x:v>
      </x:c>
      <x:c r="L2487" s="22" t="n">
        <x:v>0</x:v>
      </x:c>
      <x:c r="M2487" t="n">
        <x:v>2017</x:v>
      </x:c>
      <x:c r="N2487" s="20" t="n">
        <x:v>43070</x:v>
      </x:c>
    </x:row>
    <x:row r="2488" ht="18" customHeight="1">
      <x:c r="A2488" t="str">
        <x:v>CA-2017-126067</x:v>
      </x:c>
      <x:c r="B2488" s="18" t="n">
        <x:v>42975</x:v>
      </x:c>
      <x:c r="C2488" t="str">
        <x:v>KN-16705</x:v>
      </x:c>
      <x:c r="D2488" t="str">
        <x:v>Kristina Nunn</x:v>
      </x:c>
      <x:c r="E2488" t="str">
        <x:v>Home Office</x:v>
      </x:c>
      <x:c r="F2488" t="str">
        <x:v>West</x:v>
      </x:c>
      <x:c r="G2488" t="str">
        <x:v>Technology</x:v>
      </x:c>
      <x:c r="H2488" t="str">
        <x:v>Phones</x:v>
      </x:c>
      <x:c r="I2488" s="22" t="n">
        <x:v>35.168</x:v>
      </x:c>
      <x:c r="J2488" s="24" t="n">
        <x:v>4</x:v>
      </x:c>
      <x:c r="K2488" s="26" t="n">
        <x:v>0.2</x:v>
      </x:c>
      <x:c r="L2488" s="22" t="n">
        <x:v>11.429599999999999</x:v>
      </x:c>
      <x:c r="M2488" t="n">
        <x:v>2017</x:v>
      </x:c>
      <x:c r="N2488" s="20" t="n">
        <x:v>42948</x:v>
      </x:c>
    </x:row>
    <x:row r="2489" ht="18" customHeight="1">
      <x:c r="A2489" t="str">
        <x:v>CA-2017-126067</x:v>
      </x:c>
      <x:c r="B2489" s="18" t="n">
        <x:v>42975</x:v>
      </x:c>
      <x:c r="C2489" t="str">
        <x:v>KN-16705</x:v>
      </x:c>
      <x:c r="D2489" t="str">
        <x:v>Kristina Nunn</x:v>
      </x:c>
      <x:c r="E2489" t="str">
        <x:v>Home Office</x:v>
      </x:c>
      <x:c r="F2489" t="str">
        <x:v>West</x:v>
      </x:c>
      <x:c r="G2489" t="str">
        <x:v>Furniture</x:v>
      </x:c>
      <x:c r="H2489" t="str">
        <x:v>Tables</x:v>
      </x:c>
      <x:c r="I2489" s="22" t="n">
        <x:v>1137.75</x:v>
      </x:c>
      <x:c r="J2489" s="24" t="n">
        <x:v>5</x:v>
      </x:c>
      <x:c r="K2489" s="26" t="n">
        <x:v>0</x:v>
      </x:c>
      <x:c r="L2489" s="22" t="n">
        <x:v>250.30500000000004</x:v>
      </x:c>
      <x:c r="M2489" t="n">
        <x:v>2017</x:v>
      </x:c>
      <x:c r="N2489" s="20" t="n">
        <x:v>42948</x:v>
      </x:c>
    </x:row>
    <x:row r="2490" ht="18" customHeight="1">
      <x:c r="A2490" t="str">
        <x:v>CA-2017-126067</x:v>
      </x:c>
      <x:c r="B2490" s="18" t="n">
        <x:v>42975</x:v>
      </x:c>
      <x:c r="C2490" t="str">
        <x:v>KN-16705</x:v>
      </x:c>
      <x:c r="D2490" t="str">
        <x:v>Kristina Nunn</x:v>
      </x:c>
      <x:c r="E2490" t="str">
        <x:v>Home Office</x:v>
      </x:c>
      <x:c r="F2490" t="str">
        <x:v>West</x:v>
      </x:c>
      <x:c r="G2490" t="str">
        <x:v>Office Supplies</x:v>
      </x:c>
      <x:c r="H2490" t="str">
        <x:v>Binders</x:v>
      </x:c>
      <x:c r="I2490" s="22" t="n">
        <x:v>99.68000000000002</x:v>
      </x:c>
      <x:c r="J2490" s="24" t="n">
        <x:v>5</x:v>
      </x:c>
      <x:c r="K2490" s="26" t="n">
        <x:v>0.2</x:v>
      </x:c>
      <x:c r="L2490" s="22" t="n">
        <x:v>32.396</x:v>
      </x:c>
      <x:c r="M2490" t="n">
        <x:v>2017</x:v>
      </x:c>
      <x:c r="N2490" s="20" t="n">
        <x:v>42948</x:v>
      </x:c>
    </x:row>
    <x:row r="2491" ht="18" customHeight="1">
      <x:c r="A2491" t="str">
        <x:v>CA-2017-126067</x:v>
      </x:c>
      <x:c r="B2491" s="18" t="n">
        <x:v>42975</x:v>
      </x:c>
      <x:c r="C2491" t="str">
        <x:v>KN-16705</x:v>
      </x:c>
      <x:c r="D2491" t="str">
        <x:v>Kristina Nunn</x:v>
      </x:c>
      <x:c r="E2491" t="str">
        <x:v>Home Office</x:v>
      </x:c>
      <x:c r="F2491" t="str">
        <x:v>West</x:v>
      </x:c>
      <x:c r="G2491" t="str">
        <x:v>Office Supplies</x:v>
      </x:c>
      <x:c r="H2491" t="str">
        <x:v>Art</x:v>
      </x:c>
      <x:c r="I2491" s="22" t="n">
        <x:v>5.56</x:v>
      </x:c>
      <x:c r="J2491" s="24" t="n">
        <x:v>2</x:v>
      </x:c>
      <x:c r="K2491" s="26" t="n">
        <x:v>0</x:v>
      </x:c>
      <x:c r="L2491" s="22" t="n">
        <x:v>1.4455999999999998</x:v>
      </x:c>
      <x:c r="M2491" t="n">
        <x:v>2017</x:v>
      </x:c>
      <x:c r="N2491" s="20" t="n">
        <x:v>42948</x:v>
      </x:c>
    </x:row>
    <x:row r="2492" ht="18" customHeight="1">
      <x:c r="A2492" t="str">
        <x:v>CA-2015-104514</x:v>
      </x:c>
      <x:c r="B2492" s="18" t="n">
        <x:v>42006</x:v>
      </x:c>
      <x:c r="C2492" t="str">
        <x:v>CB-12535</x:v>
      </x:c>
      <x:c r="D2492" t="str">
        <x:v>Claudia Bergmann</x:v>
      </x:c>
      <x:c r="E2492" t="str">
        <x:v>Corporate</x:v>
      </x:c>
      <x:c r="F2492" t="str">
        <x:v>East</x:v>
      </x:c>
      <x:c r="G2492" t="str">
        <x:v>Office Supplies</x:v>
      </x:c>
      <x:c r="H2492" t="str">
        <x:v>Storage</x:v>
      </x:c>
      <x:c r="I2492" s="22" t="n">
        <x:v>85.52</x:v>
      </x:c>
      <x:c r="J2492" s="24" t="n">
        <x:v>2</x:v>
      </x:c>
      <x:c r="K2492" s="26" t="n">
        <x:v>0</x:v>
      </x:c>
      <x:c r="L2492" s="22" t="n">
        <x:v>22.2352</x:v>
      </x:c>
      <x:c r="M2492" t="n">
        <x:v>2015</x:v>
      </x:c>
      <x:c r="N2492" s="20" t="n">
        <x:v>42005</x:v>
      </x:c>
    </x:row>
    <x:row r="2493" ht="18" customHeight="1">
      <x:c r="A2493" t="str">
        <x:v>CA-2015-104514</x:v>
      </x:c>
      <x:c r="B2493" s="18" t="n">
        <x:v>42006</x:v>
      </x:c>
      <x:c r="C2493" t="str">
        <x:v>CB-12535</x:v>
      </x:c>
      <x:c r="D2493" t="str">
        <x:v>Claudia Bergmann</x:v>
      </x:c>
      <x:c r="E2493" t="str">
        <x:v>Corporate</x:v>
      </x:c>
      <x:c r="F2493" t="str">
        <x:v>East</x:v>
      </x:c>
      <x:c r="G2493" t="str">
        <x:v>Office Supplies</x:v>
      </x:c>
      <x:c r="H2493" t="str">
        <x:v>Art</x:v>
      </x:c>
      <x:c r="I2493" s="22" t="n">
        <x:v>9.84</x:v>
      </x:c>
      <x:c r="J2493" s="24" t="n">
        <x:v>3</x:v>
      </x:c>
      <x:c r="K2493" s="26" t="n">
        <x:v>0</x:v>
      </x:c>
      <x:c r="L2493" s="22" t="n">
        <x:v>2.6568000000000005</x:v>
      </x:c>
      <x:c r="M2493" t="n">
        <x:v>2015</x:v>
      </x:c>
      <x:c r="N2493" s="20" t="n">
        <x:v>42005</x:v>
      </x:c>
    </x:row>
    <x:row r="2494" ht="18" customHeight="1">
      <x:c r="A2494" t="str">
        <x:v>CA-2015-104514</x:v>
      </x:c>
      <x:c r="B2494" s="18" t="n">
        <x:v>42006</x:v>
      </x:c>
      <x:c r="C2494" t="str">
        <x:v>CB-12535</x:v>
      </x:c>
      <x:c r="D2494" t="str">
        <x:v>Claudia Bergmann</x:v>
      </x:c>
      <x:c r="E2494" t="str">
        <x:v>Corporate</x:v>
      </x:c>
      <x:c r="F2494" t="str">
        <x:v>East</x:v>
      </x:c>
      <x:c r="G2494" t="str">
        <x:v>Office Supplies</x:v>
      </x:c>
      <x:c r="H2494" t="str">
        <x:v>Paper</x:v>
      </x:c>
      <x:c r="I2494" s="22" t="n">
        <x:v>20.04</x:v>
      </x:c>
      <x:c r="J2494" s="24" t="n">
        <x:v>3</x:v>
      </x:c>
      <x:c r="K2494" s="26" t="n">
        <x:v>0</x:v>
      </x:c>
      <x:c r="L2494" s="22" t="n">
        <x:v>9.6192</x:v>
      </x:c>
      <x:c r="M2494" t="n">
        <x:v>2015</x:v>
      </x:c>
      <x:c r="N2494" s="20" t="n">
        <x:v>42005</x:v>
      </x:c>
    </x:row>
    <x:row r="2495" ht="18" customHeight="1">
      <x:c r="A2495" t="str">
        <x:v>CA-2015-141040</x:v>
      </x:c>
      <x:c r="B2495" s="18" t="n">
        <x:v>42286</x:v>
      </x:c>
      <x:c r="C2495" t="str">
        <x:v>TB-21250</x:v>
      </x:c>
      <x:c r="D2495" t="str">
        <x:v>Tim Brockman</x:v>
      </x:c>
      <x:c r="E2495" t="str">
        <x:v>Consumer</x:v>
      </x:c>
      <x:c r="F2495" t="str">
        <x:v>East</x:v>
      </x:c>
      <x:c r="G2495" t="str">
        <x:v>Technology</x:v>
      </x:c>
      <x:c r="H2495" t="str">
        <x:v>Phones</x:v>
      </x:c>
      <x:c r="I2495" s="22" t="n">
        <x:v>631.96</x:v>
      </x:c>
      <x:c r="J2495" s="24" t="n">
        <x:v>4</x:v>
      </x:c>
      <x:c r="K2495" s="26" t="n">
        <x:v>0</x:v>
      </x:c>
      <x:c r="L2495" s="22" t="n">
        <x:v>303.3408</x:v>
      </x:c>
      <x:c r="M2495" t="n">
        <x:v>2015</x:v>
      </x:c>
      <x:c r="N2495" s="20" t="n">
        <x:v>42278</x:v>
      </x:c>
    </x:row>
    <x:row r="2496" ht="18" customHeight="1">
      <x:c r="A2496" t="str">
        <x:v>CA-2015-141040</x:v>
      </x:c>
      <x:c r="B2496" s="18" t="n">
        <x:v>42286</x:v>
      </x:c>
      <x:c r="C2496" t="str">
        <x:v>TB-21250</x:v>
      </x:c>
      <x:c r="D2496" t="str">
        <x:v>Tim Brockman</x:v>
      </x:c>
      <x:c r="E2496" t="str">
        <x:v>Consumer</x:v>
      </x:c>
      <x:c r="F2496" t="str">
        <x:v>East</x:v>
      </x:c>
      <x:c r="G2496" t="str">
        <x:v>Office Supplies</x:v>
      </x:c>
      <x:c r="H2496" t="str">
        <x:v>Paper</x:v>
      </x:c>
      <x:c r="I2496" s="22" t="n">
        <x:v>23.92</x:v>
      </x:c>
      <x:c r="J2496" s="24" t="n">
        <x:v>4</x:v>
      </x:c>
      <x:c r="K2496" s="26" t="n">
        <x:v>0</x:v>
      </x:c>
      <x:c r="L2496" s="22" t="n">
        <x:v>10.764</x:v>
      </x:c>
      <x:c r="M2496" t="n">
        <x:v>2015</x:v>
      </x:c>
      <x:c r="N2496" s="20" t="n">
        <x:v>42278</x:v>
      </x:c>
    </x:row>
    <x:row r="2497" ht="18" customHeight="1">
      <x:c r="A2497" t="str">
        <x:v>CA-2014-113579</x:v>
      </x:c>
      <x:c r="B2497" s="18" t="n">
        <x:v>41986</x:v>
      </x:c>
      <x:c r="C2497" t="str">
        <x:v>KD-16345</x:v>
      </x:c>
      <x:c r="D2497" t="str">
        <x:v>Katherine Ducich</x:v>
      </x:c>
      <x:c r="E2497" t="str">
        <x:v>Consumer</x:v>
      </x:c>
      <x:c r="F2497" t="str">
        <x:v>West</x:v>
      </x:c>
      <x:c r="G2497" t="str">
        <x:v>Office Supplies</x:v>
      </x:c>
      <x:c r="H2497" t="str">
        <x:v>Paper</x:v>
      </x:c>
      <x:c r="I2497" s="22" t="n">
        <x:v>90.24</x:v>
      </x:c>
      <x:c r="J2497" s="24" t="n">
        <x:v>6</x:v>
      </x:c>
      <x:c r="K2497" s="26" t="n">
        <x:v>0</x:v>
      </x:c>
      <x:c r="L2497" s="22" t="n">
        <x:v>41.51039999999999</x:v>
      </x:c>
      <x:c r="M2497" t="n">
        <x:v>2014</x:v>
      </x:c>
      <x:c r="N2497" s="20" t="n">
        <x:v>41974</x:v>
      </x:c>
    </x:row>
    <x:row r="2498" ht="18" customHeight="1">
      <x:c r="A2498" t="str">
        <x:v>CA-2014-144624</x:v>
      </x:c>
      <x:c r="B2498" s="18" t="n">
        <x:v>41962</x:v>
      </x:c>
      <x:c r="C2498" t="str">
        <x:v>JM-15865</x:v>
      </x:c>
      <x:c r="D2498" t="str">
        <x:v>John Murray</x:v>
      </x:c>
      <x:c r="E2498" t="str">
        <x:v>Consumer</x:v>
      </x:c>
      <x:c r="F2498" t="str">
        <x:v>East</x:v>
      </x:c>
      <x:c r="G2498" t="str">
        <x:v>Technology</x:v>
      </x:c>
      <x:c r="H2498" t="str">
        <x:v>Phones</x:v>
      </x:c>
      <x:c r="I2498" s="22" t="n">
        <x:v>4548.81</x:v>
      </x:c>
      <x:c r="J2498" s="24" t="n">
        <x:v>7</x:v>
      </x:c>
      <x:c r="K2498" s="26" t="n">
        <x:v>0</x:v>
      </x:c>
      <x:c r="L2498" s="22" t="n">
        <x:v>1228.1787000000004</x:v>
      </x:c>
      <x:c r="M2498" t="n">
        <x:v>2014</x:v>
      </x:c>
      <x:c r="N2498" s="20" t="n">
        <x:v>41944</x:v>
      </x:c>
    </x:row>
    <x:row r="2499" ht="18" customHeight="1">
      <x:c r="A2499" t="str">
        <x:v>CA-2016-146206</x:v>
      </x:c>
      <x:c r="B2499" s="18" t="n">
        <x:v>42623</x:v>
      </x:c>
      <x:c r="C2499" t="str">
        <x:v>KT-16480</x:v>
      </x:c>
      <x:c r="D2499" t="str">
        <x:v>Kean Thornton</x:v>
      </x:c>
      <x:c r="E2499" t="str">
        <x:v>Consumer</x:v>
      </x:c>
      <x:c r="F2499" t="str">
        <x:v>Central</x:v>
      </x:c>
      <x:c r="G2499" t="str">
        <x:v>Furniture</x:v>
      </x:c>
      <x:c r="H2499" t="str">
        <x:v>Tables</x:v>
      </x:c>
      <x:c r="I2499" s="22" t="n">
        <x:v>300.93</x:v>
      </x:c>
      <x:c r="J2499" s="24" t="n">
        <x:v>5</x:v>
      </x:c>
      <x:c r="K2499" s="26" t="n">
        <x:v>0.3</x:v>
      </x:c>
      <x:c r="L2499" s="22" t="n">
        <x:v>-34.39200000000001</x:v>
      </x:c>
      <x:c r="M2499" t="n">
        <x:v>2016</x:v>
      </x:c>
      <x:c r="N2499" s="20" t="n">
        <x:v>42614</x:v>
      </x:c>
    </x:row>
    <x:row r="2500" ht="18" customHeight="1">
      <x:c r="A2500" t="str">
        <x:v>CA-2016-146206</x:v>
      </x:c>
      <x:c r="B2500" s="18" t="n">
        <x:v>42623</x:v>
      </x:c>
      <x:c r="C2500" t="str">
        <x:v>KT-16480</x:v>
      </x:c>
      <x:c r="D2500" t="str">
        <x:v>Kean Thornton</x:v>
      </x:c>
      <x:c r="E2500" t="str">
        <x:v>Consumer</x:v>
      </x:c>
      <x:c r="F2500" t="str">
        <x:v>Central</x:v>
      </x:c>
      <x:c r="G2500" t="str">
        <x:v>Technology</x:v>
      </x:c>
      <x:c r="H2500" t="str">
        <x:v>Phones</x:v>
      </x:c>
      <x:c r="I2500" s="22" t="n">
        <x:v>719.96</x:v>
      </x:c>
      <x:c r="J2500" s="24" t="n">
        <x:v>5</x:v>
      </x:c>
      <x:c r="K2500" s="26" t="n">
        <x:v>0.2</x:v>
      </x:c>
      <x:c r="L2500" s="22" t="n">
        <x:v>53.99700000000004</x:v>
      </x:c>
      <x:c r="M2500" t="n">
        <x:v>2016</x:v>
      </x:c>
      <x:c r="N2500" s="20" t="n">
        <x:v>42614</x:v>
      </x:c>
    </x:row>
    <x:row r="2501" ht="18" customHeight="1">
      <x:c r="A2501" t="str">
        <x:v>CA-2014-136644</x:v>
      </x:c>
      <x:c r="B2501" s="18" t="n">
        <x:v>41806</x:v>
      </x:c>
      <x:c r="C2501" t="str">
        <x:v>SC-20575</x:v>
      </x:c>
      <x:c r="D2501" t="str">
        <x:v>Sonia Cooley</x:v>
      </x:c>
      <x:c r="E2501" t="str">
        <x:v>Consumer</x:v>
      </x:c>
      <x:c r="F2501" t="str">
        <x:v>Central</x:v>
      </x:c>
      <x:c r="G2501" t="str">
        <x:v>Furniture</x:v>
      </x:c>
      <x:c r="H2501" t="str">
        <x:v>Chairs</x:v>
      </x:c>
      <x:c r="I2501" s="22" t="n">
        <x:v>647.84</x:v>
      </x:c>
      <x:c r="J2501" s="24" t="n">
        <x:v>8</x:v>
      </x:c>
      <x:c r="K2501" s="26" t="n">
        <x:v>0</x:v>
      </x:c>
      <x:c r="L2501" s="22" t="n">
        <x:v>32.39199999999994</x:v>
      </x:c>
      <x:c r="M2501" t="n">
        <x:v>2014</x:v>
      </x:c>
      <x:c r="N2501" s="20" t="n">
        <x:v>41791</x:v>
      </x:c>
    </x:row>
    <x:row r="2502" ht="18" customHeight="1">
      <x:c r="A2502" t="str">
        <x:v>CA-2015-122371</x:v>
      </x:c>
      <x:c r="B2502" s="18" t="n">
        <x:v>42273</x:v>
      </x:c>
      <x:c r="C2502" t="str">
        <x:v>BS-11800</x:v>
      </x:c>
      <x:c r="D2502" t="str">
        <x:v>Bryan Spruell</x:v>
      </x:c>
      <x:c r="E2502" t="str">
        <x:v>Home Office</x:v>
      </x:c>
      <x:c r="F2502" t="str">
        <x:v>West</x:v>
      </x:c>
      <x:c r="G2502" t="str">
        <x:v>Office Supplies</x:v>
      </x:c>
      <x:c r="H2502" t="str">
        <x:v>Storage</x:v>
      </x:c>
      <x:c r="I2502" s="22" t="n">
        <x:v>64.17</x:v>
      </x:c>
      <x:c r="J2502" s="24" t="n">
        <x:v>3</x:v>
      </x:c>
      <x:c r="K2502" s="26" t="n">
        <x:v>0</x:v>
      </x:c>
      <x:c r="L2502" s="22" t="n">
        <x:v>18.609299999999998</x:v>
      </x:c>
      <x:c r="M2502" t="n">
        <x:v>2015</x:v>
      </x:c>
      <x:c r="N2502" s="20" t="n">
        <x:v>42248</x:v>
      </x:c>
    </x:row>
    <x:row r="2503" ht="18" customHeight="1">
      <x:c r="A2503" t="str">
        <x:v>CA-2015-122371</x:v>
      </x:c>
      <x:c r="B2503" s="18" t="n">
        <x:v>42273</x:v>
      </x:c>
      <x:c r="C2503" t="str">
        <x:v>BS-11800</x:v>
      </x:c>
      <x:c r="D2503" t="str">
        <x:v>Bryan Spruell</x:v>
      </x:c>
      <x:c r="E2503" t="str">
        <x:v>Home Office</x:v>
      </x:c>
      <x:c r="F2503" t="str">
        <x:v>West</x:v>
      </x:c>
      <x:c r="G2503" t="str">
        <x:v>Office Supplies</x:v>
      </x:c>
      <x:c r="H2503" t="str">
        <x:v>Envelopes</x:v>
      </x:c>
      <x:c r="I2503" s="22" t="n">
        <x:v>124.46</x:v>
      </x:c>
      <x:c r="J2503" s="24" t="n">
        <x:v>2</x:v>
      </x:c>
      <x:c r="K2503" s="26" t="n">
        <x:v>0</x:v>
      </x:c>
      <x:c r="L2503" s="22" t="n">
        <x:v>58.49619999999999</x:v>
      </x:c>
      <x:c r="M2503" t="n">
        <x:v>2015</x:v>
      </x:c>
      <x:c r="N2503" s="20" t="n">
        <x:v>42248</x:v>
      </x:c>
    </x:row>
    <x:row r="2504" ht="18" customHeight="1">
      <x:c r="A2504" t="str">
        <x:v>CA-2016-126935</x:v>
      </x:c>
      <x:c r="B2504" s="18" t="n">
        <x:v>42509</x:v>
      </x:c>
      <x:c r="C2504" t="str">
        <x:v>BT-11395</x:v>
      </x:c>
      <x:c r="D2504" t="str">
        <x:v>Bill Tyler</x:v>
      </x:c>
      <x:c r="E2504" t="str">
        <x:v>Corporate</x:v>
      </x:c>
      <x:c r="F2504" t="str">
        <x:v>West</x:v>
      </x:c>
      <x:c r="G2504" t="str">
        <x:v>Office Supplies</x:v>
      </x:c>
      <x:c r="H2504" t="str">
        <x:v>Binders</x:v>
      </x:c>
      <x:c r="I2504" s="22" t="n">
        <x:v>9.584000000000001</x:v>
      </x:c>
      <x:c r="J2504" s="24" t="n">
        <x:v>1</x:v>
      </x:c>
      <x:c r="K2504" s="26" t="n">
        <x:v>0.2</x:v>
      </x:c>
      <x:c r="L2504" s="22" t="n">
        <x:v>3.3543999999999996</x:v>
      </x:c>
      <x:c r="M2504" t="n">
        <x:v>2016</x:v>
      </x:c>
      <x:c r="N2504" s="20" t="n">
        <x:v>42491</x:v>
      </x:c>
    </x:row>
    <x:row r="2505" ht="18" customHeight="1">
      <x:c r="A2505" t="str">
        <x:v>US-2017-133781</x:v>
      </x:c>
      <x:c r="B2505" s="18" t="n">
        <x:v>42908</x:v>
      </x:c>
      <x:c r="C2505" t="str">
        <x:v>DC-12850</x:v>
      </x:c>
      <x:c r="D2505" t="str">
        <x:v>Dan Campbell</x:v>
      </x:c>
      <x:c r="E2505" t="str">
        <x:v>Consumer</x:v>
      </x:c>
      <x:c r="F2505" t="str">
        <x:v>South</x:v>
      </x:c>
      <x:c r="G2505" t="str">
        <x:v>Office Supplies</x:v>
      </x:c>
      <x:c r="H2505" t="str">
        <x:v>Envelopes</x:v>
      </x:c>
      <x:c r="I2505" s="22" t="n">
        <x:v>37.608000000000004</x:v>
      </x:c>
      <x:c r="J2505" s="24" t="n">
        <x:v>3</x:v>
      </x:c>
      <x:c r="K2505" s="26" t="n">
        <x:v>0.2</x:v>
      </x:c>
      <x:c r="L2505" s="22" t="n">
        <x:v>12.692699999999995</x:v>
      </x:c>
      <x:c r="M2505" t="n">
        <x:v>2017</x:v>
      </x:c>
      <x:c r="N2505" s="20" t="n">
        <x:v>42887</x:v>
      </x:c>
    </x:row>
    <x:row r="2506" ht="18" customHeight="1">
      <x:c r="A2506" t="str">
        <x:v>CA-2017-131618</x:v>
      </x:c>
      <x:c r="B2506" s="18" t="n">
        <x:v>42903</x:v>
      </x:c>
      <x:c r="C2506" t="str">
        <x:v>LS-17200</x:v>
      </x:c>
      <x:c r="D2506" t="str">
        <x:v>Luke Schmidt</x:v>
      </x:c>
      <x:c r="E2506" t="str">
        <x:v>Corporate</x:v>
      </x:c>
      <x:c r="F2506" t="str">
        <x:v>Central</x:v>
      </x:c>
      <x:c r="G2506" t="str">
        <x:v>Office Supplies</x:v>
      </x:c>
      <x:c r="H2506" t="str">
        <x:v>Paper</x:v>
      </x:c>
      <x:c r="I2506" s="22" t="n">
        <x:v>12.224</x:v>
      </x:c>
      <x:c r="J2506" s="24" t="n">
        <x:v>2</x:v>
      </x:c>
      <x:c r="K2506" s="26" t="n">
        <x:v>0.2</x:v>
      </x:c>
      <x:c r="L2506" s="22" t="n">
        <x:v>4.4312</x:v>
      </x:c>
      <x:c r="M2506" t="n">
        <x:v>2017</x:v>
      </x:c>
      <x:c r="N2506" s="20" t="n">
        <x:v>42887</x:v>
      </x:c>
    </x:row>
    <x:row r="2507" ht="18" customHeight="1">
      <x:c r="A2507" t="str">
        <x:v>CA-2017-131618</x:v>
      </x:c>
      <x:c r="B2507" s="18" t="n">
        <x:v>42903</x:v>
      </x:c>
      <x:c r="C2507" t="str">
        <x:v>LS-17200</x:v>
      </x:c>
      <x:c r="D2507" t="str">
        <x:v>Luke Schmidt</x:v>
      </x:c>
      <x:c r="E2507" t="str">
        <x:v>Corporate</x:v>
      </x:c>
      <x:c r="F2507" t="str">
        <x:v>Central</x:v>
      </x:c>
      <x:c r="G2507" t="str">
        <x:v>Office Supplies</x:v>
      </x:c>
      <x:c r="H2507" t="str">
        <x:v>Binders</x:v>
      </x:c>
      <x:c r="I2507" s="22" t="n">
        <x:v>2.3039999999999994</x:v>
      </x:c>
      <x:c r="J2507" s="24" t="n">
        <x:v>4</x:v>
      </x:c>
      <x:c r="K2507" s="26" t="n">
        <x:v>0.8</x:v>
      </x:c>
      <x:c r="L2507" s="22" t="n">
        <x:v>-3.5711999999999993</x:v>
      </x:c>
      <x:c r="M2507" t="n">
        <x:v>2017</x:v>
      </x:c>
      <x:c r="N2507" s="20" t="n">
        <x:v>42887</x:v>
      </x:c>
    </x:row>
    <x:row r="2508" ht="18" customHeight="1">
      <x:c r="A2508" t="str">
        <x:v>CA-2017-131618</x:v>
      </x:c>
      <x:c r="B2508" s="18" t="n">
        <x:v>42903</x:v>
      </x:c>
      <x:c r="C2508" t="str">
        <x:v>LS-17200</x:v>
      </x:c>
      <x:c r="D2508" t="str">
        <x:v>Luke Schmidt</x:v>
      </x:c>
      <x:c r="E2508" t="str">
        <x:v>Corporate</x:v>
      </x:c>
      <x:c r="F2508" t="str">
        <x:v>Central</x:v>
      </x:c>
      <x:c r="G2508" t="str">
        <x:v>Office Supplies</x:v>
      </x:c>
      <x:c r="H2508" t="str">
        <x:v>Binders</x:v>
      </x:c>
      <x:c r="I2508" s="22" t="n">
        <x:v>9.359999999999998</x:v>
      </x:c>
      <x:c r="J2508" s="24" t="n">
        <x:v>4</x:v>
      </x:c>
      <x:c r="K2508" s="26" t="n">
        <x:v>0.8</x:v>
      </x:c>
      <x:c r="L2508" s="22" t="n">
        <x:v>-16.380000000000003</x:v>
      </x:c>
      <x:c r="M2508" t="n">
        <x:v>2017</x:v>
      </x:c>
      <x:c r="N2508" s="20" t="n">
        <x:v>42887</x:v>
      </x:c>
    </x:row>
    <x:row r="2509" ht="18" customHeight="1">
      <x:c r="A2509" t="str">
        <x:v>CA-2016-149482</x:v>
      </x:c>
      <x:c r="B2509" s="18" t="n">
        <x:v>42688</x:v>
      </x:c>
      <x:c r="C2509" t="str">
        <x:v>RR-19315</x:v>
      </x:c>
      <x:c r="D2509" t="str">
        <x:v>Ralph Ritter</x:v>
      </x:c>
      <x:c r="E2509" t="str">
        <x:v>Consumer</x:v>
      </x:c>
      <x:c r="F2509" t="str">
        <x:v>West</x:v>
      </x:c>
      <x:c r="G2509" t="str">
        <x:v>Office Supplies</x:v>
      </x:c>
      <x:c r="H2509" t="str">
        <x:v>Labels</x:v>
      </x:c>
      <x:c r="I2509" s="22" t="n">
        <x:v>7.38</x:v>
      </x:c>
      <x:c r="J2509" s="24" t="n">
        <x:v>2</x:v>
      </x:c>
      <x:c r="K2509" s="26" t="n">
        <x:v>0</x:v>
      </x:c>
      <x:c r="L2509" s="22" t="n">
        <x:v>3.4686</x:v>
      </x:c>
      <x:c r="M2509" t="n">
        <x:v>2016</x:v>
      </x:c>
      <x:c r="N2509" s="20" t="n">
        <x:v>42675</x:v>
      </x:c>
    </x:row>
    <x:row r="2510" ht="18" customHeight="1">
      <x:c r="A2510" t="str">
        <x:v>CA-2014-143917</x:v>
      </x:c>
      <x:c r="B2510" s="18" t="n">
        <x:v>41845</x:v>
      </x:c>
      <x:c r="C2510" t="str">
        <x:v>KL-16645</x:v>
      </x:c>
      <x:c r="D2510" t="str">
        <x:v>Ken Lonsdale</x:v>
      </x:c>
      <x:c r="E2510" t="str">
        <x:v>Consumer</x:v>
      </x:c>
      <x:c r="F2510" t="str">
        <x:v>West</x:v>
      </x:c>
      <x:c r="G2510" t="str">
        <x:v>Office Supplies</x:v>
      </x:c>
      <x:c r="H2510" t="str">
        <x:v>Storage</x:v>
      </x:c>
      <x:c r="I2510" s="22" t="n">
        <x:v>53.72</x:v>
      </x:c>
      <x:c r="J2510" s="24" t="n">
        <x:v>4</x:v>
      </x:c>
      <x:c r="K2510" s="26" t="n">
        <x:v>0</x:v>
      </x:c>
      <x:c r="L2510" s="22" t="n">
        <x:v>15.041600000000003</x:v>
      </x:c>
      <x:c r="M2510" t="n">
        <x:v>2014</x:v>
      </x:c>
      <x:c r="N2510" s="20" t="n">
        <x:v>41821</x:v>
      </x:c>
    </x:row>
    <x:row r="2511" ht="18" customHeight="1">
      <x:c r="A2511" t="str">
        <x:v>CA-2014-143917</x:v>
      </x:c>
      <x:c r="B2511" s="18" t="n">
        <x:v>41845</x:v>
      </x:c>
      <x:c r="C2511" t="str">
        <x:v>KL-16645</x:v>
      </x:c>
      <x:c r="D2511" t="str">
        <x:v>Ken Lonsdale</x:v>
      </x:c>
      <x:c r="E2511" t="str">
        <x:v>Consumer</x:v>
      </x:c>
      <x:c r="F2511" t="str">
        <x:v>West</x:v>
      </x:c>
      <x:c r="G2511" t="str">
        <x:v>Office Supplies</x:v>
      </x:c>
      <x:c r="H2511" t="str">
        <x:v>Supplies</x:v>
      </x:c>
      <x:c r="I2511" s="22" t="n">
        <x:v>8187.65</x:v>
      </x:c>
      <x:c r="J2511" s="24" t="n">
        <x:v>5</x:v>
      </x:c>
      <x:c r="K2511" s="26" t="n">
        <x:v>0</x:v>
      </x:c>
      <x:c r="L2511" s="22" t="n">
        <x:v>327.50599999999963</x:v>
      </x:c>
      <x:c r="M2511" t="n">
        <x:v>2014</x:v>
      </x:c>
      <x:c r="N2511" s="20" t="n">
        <x:v>41821</x:v>
      </x:c>
    </x:row>
    <x:row r="2512" ht="18" customHeight="1">
      <x:c r="A2512" t="str">
        <x:v>CA-2014-143917</x:v>
      </x:c>
      <x:c r="B2512" s="18" t="n">
        <x:v>41845</x:v>
      </x:c>
      <x:c r="C2512" t="str">
        <x:v>KL-16645</x:v>
      </x:c>
      <x:c r="D2512" t="str">
        <x:v>Ken Lonsdale</x:v>
      </x:c>
      <x:c r="E2512" t="str">
        <x:v>Consumer</x:v>
      </x:c>
      <x:c r="F2512" t="str">
        <x:v>West</x:v>
      </x:c>
      <x:c r="G2512" t="str">
        <x:v>Furniture</x:v>
      </x:c>
      <x:c r="H2512" t="str">
        <x:v>Furnishings</x:v>
      </x:c>
      <x:c r="I2512" s="22" t="n">
        <x:v>77.92</x:v>
      </x:c>
      <x:c r="J2512" s="24" t="n">
        <x:v>8</x:v>
      </x:c>
      <x:c r="K2512" s="26" t="n">
        <x:v>0</x:v>
      </x:c>
      <x:c r="L2512" s="22" t="n">
        <x:v>34.284800000000004</x:v>
      </x:c>
      <x:c r="M2512" t="n">
        <x:v>2014</x:v>
      </x:c>
      <x:c r="N2512" s="20" t="n">
        <x:v>41821</x:v>
      </x:c>
    </x:row>
    <x:row r="2513" ht="18" customHeight="1">
      <x:c r="A2513" t="str">
        <x:v>CA-2015-120397</x:v>
      </x:c>
      <x:c r="B2513" s="18" t="n">
        <x:v>42187</x:v>
      </x:c>
      <x:c r="C2513" t="str">
        <x:v>RB-19435</x:v>
      </x:c>
      <x:c r="D2513" t="str">
        <x:v>Richard Bierner</x:v>
      </x:c>
      <x:c r="E2513" t="str">
        <x:v>Consumer</x:v>
      </x:c>
      <x:c r="F2513" t="str">
        <x:v>Central</x:v>
      </x:c>
      <x:c r="G2513" t="str">
        <x:v>Office Supplies</x:v>
      </x:c>
      <x:c r="H2513" t="str">
        <x:v>Appliances</x:v>
      </x:c>
      <x:c r="I2513" s="22" t="n">
        <x:v>32.78399999999999</x:v>
      </x:c>
      <x:c r="J2513" s="24" t="n">
        <x:v>4</x:v>
      </x:c>
      <x:c r="K2513" s="26" t="n">
        <x:v>0.8</x:v>
      </x:c>
      <x:c r="L2513" s="22" t="n">
        <x:v>-85.2384</x:v>
      </x:c>
      <x:c r="M2513" t="n">
        <x:v>2015</x:v>
      </x:c>
      <x:c r="N2513" s="20" t="n">
        <x:v>42186</x:v>
      </x:c>
    </x:row>
    <x:row r="2514" ht="18" customHeight="1">
      <x:c r="A2514" t="str">
        <x:v>CA-2017-163902</x:v>
      </x:c>
      <x:c r="B2514" s="18" t="n">
        <x:v>42796</x:v>
      </x:c>
      <x:c r="C2514" t="str">
        <x:v>MY-17380</x:v>
      </x:c>
      <x:c r="D2514" t="str">
        <x:v>Maribeth Yedwab</x:v>
      </x:c>
      <x:c r="E2514" t="str">
        <x:v>Corporate</x:v>
      </x:c>
      <x:c r="F2514" t="str">
        <x:v>West</x:v>
      </x:c>
      <x:c r="G2514" t="str">
        <x:v>Technology</x:v>
      </x:c>
      <x:c r="H2514" t="str">
        <x:v>Phones</x:v>
      </x:c>
      <x:c r="I2514" s="22" t="n">
        <x:v>196.776</x:v>
      </x:c>
      <x:c r="J2514" s="24" t="n">
        <x:v>3</x:v>
      </x:c>
      <x:c r="K2514" s="26" t="n">
        <x:v>0.2</x:v>
      </x:c>
      <x:c r="L2514" s="22" t="n">
        <x:v>14.758199999999995</x:v>
      </x:c>
      <x:c r="M2514" t="n">
        <x:v>2017</x:v>
      </x:c>
      <x:c r="N2514" s="20" t="n">
        <x:v>42795</x:v>
      </x:c>
    </x:row>
    <x:row r="2515" ht="18" customHeight="1">
      <x:c r="A2515" t="str">
        <x:v>CA-2017-163902</x:v>
      </x:c>
      <x:c r="B2515" s="18" t="n">
        <x:v>42796</x:v>
      </x:c>
      <x:c r="C2515" t="str">
        <x:v>MY-17380</x:v>
      </x:c>
      <x:c r="D2515" t="str">
        <x:v>Maribeth Yedwab</x:v>
      </x:c>
      <x:c r="E2515" t="str">
        <x:v>Corporate</x:v>
      </x:c>
      <x:c r="F2515" t="str">
        <x:v>West</x:v>
      </x:c>
      <x:c r="G2515" t="str">
        <x:v>Technology</x:v>
      </x:c>
      <x:c r="H2515" t="str">
        <x:v>Accessories</x:v>
      </x:c>
      <x:c r="I2515" s="22" t="n">
        <x:v>479.93999999999994</x:v>
      </x:c>
      <x:c r="J2515" s="24" t="n">
        <x:v>6</x:v>
      </x:c>
      <x:c r="K2515" s="26" t="n">
        <x:v>0</x:v>
      </x:c>
      <x:c r="L2515" s="22" t="n">
        <x:v>52.79340000000002</x:v>
      </x:c>
      <x:c r="M2515" t="n">
        <x:v>2017</x:v>
      </x:c>
      <x:c r="N2515" s="20" t="n">
        <x:v>42795</x:v>
      </x:c>
    </x:row>
    <x:row r="2516" ht="18" customHeight="1">
      <x:c r="A2516" t="str">
        <x:v>CA-2016-136812</x:v>
      </x:c>
      <x:c r="B2516" s="18" t="n">
        <x:v>42692</x:v>
      </x:c>
      <x:c r="C2516" t="str">
        <x:v>AW-10930</x:v>
      </x:c>
      <x:c r="D2516" t="str">
        <x:v>Arthur Wiediger</x:v>
      </x:c>
      <x:c r="E2516" t="str">
        <x:v>Home Office</x:v>
      </x:c>
      <x:c r="F2516" t="str">
        <x:v>Central</x:v>
      </x:c>
      <x:c r="G2516" t="str">
        <x:v>Office Supplies</x:v>
      </x:c>
      <x:c r="H2516" t="str">
        <x:v>Storage</x:v>
      </x:c>
      <x:c r="I2516" s="22" t="n">
        <x:v>1117.92</x:v>
      </x:c>
      <x:c r="J2516" s="24" t="n">
        <x:v>4</x:v>
      </x:c>
      <x:c r="K2516" s="26" t="n">
        <x:v>0</x:v>
      </x:c>
      <x:c r="L2516" s="22" t="n">
        <x:v>55.89599999999996</x:v>
      </x:c>
      <x:c r="M2516" t="n">
        <x:v>2016</x:v>
      </x:c>
      <x:c r="N2516" s="20" t="n">
        <x:v>42675</x:v>
      </x:c>
    </x:row>
    <x:row r="2517" ht="18" customHeight="1">
      <x:c r="A2517" t="str">
        <x:v>CA-2015-102722</x:v>
      </x:c>
      <x:c r="B2517" s="18" t="n">
        <x:v>42112</x:v>
      </x:c>
      <x:c r="C2517" t="str">
        <x:v>KW-16570</x:v>
      </x:c>
      <x:c r="D2517" t="str">
        <x:v>Kelly Williams</x:v>
      </x:c>
      <x:c r="E2517" t="str">
        <x:v>Consumer</x:v>
      </x:c>
      <x:c r="F2517" t="str">
        <x:v>South</x:v>
      </x:c>
      <x:c r="G2517" t="str">
        <x:v>Technology</x:v>
      </x:c>
      <x:c r="H2517" t="str">
        <x:v>Accessories</x:v>
      </x:c>
      <x:c r="I2517" s="22" t="n">
        <x:v>106.5</x:v>
      </x:c>
      <x:c r="J2517" s="24" t="n">
        <x:v>6</x:v>
      </x:c>
      <x:c r="K2517" s="26" t="n">
        <x:v>0</x:v>
      </x:c>
      <x:c r="L2517" s="22" t="n">
        <x:v>41.535</x:v>
      </x:c>
      <x:c r="M2517" t="n">
        <x:v>2015</x:v>
      </x:c>
      <x:c r="N2517" s="20" t="n">
        <x:v>42095</x:v>
      </x:c>
    </x:row>
    <x:row r="2518" ht="18" customHeight="1">
      <x:c r="A2518" t="str">
        <x:v>CA-2017-155089</x:v>
      </x:c>
      <x:c r="B2518" s="18" t="n">
        <x:v>43071</x:v>
      </x:c>
      <x:c r="C2518" t="str">
        <x:v>DB-12910</x:v>
      </x:c>
      <x:c r="D2518" t="str">
        <x:v>Daniel Byrd</x:v>
      </x:c>
      <x:c r="E2518" t="str">
        <x:v>Home Office</x:v>
      </x:c>
      <x:c r="F2518" t="str">
        <x:v>South</x:v>
      </x:c>
      <x:c r="G2518" t="str">
        <x:v>Office Supplies</x:v>
      </x:c>
      <x:c r="H2518" t="str">
        <x:v>Binders</x:v>
      </x:c>
      <x:c r="I2518" s="22" t="n">
        <x:v>45.66000000000001</x:v>
      </x:c>
      <x:c r="J2518" s="24" t="n">
        <x:v>5</x:v>
      </x:c>
      <x:c r="K2518" s="26" t="n">
        <x:v>0.7</x:v>
      </x:c>
      <x:c r="L2518" s="22" t="n">
        <x:v>-33.483999999999995</x:v>
      </x:c>
      <x:c r="M2518" t="n">
        <x:v>2017</x:v>
      </x:c>
      <x:c r="N2518" s="20" t="n">
        <x:v>43070</x:v>
      </x:c>
    </x:row>
    <x:row r="2519" ht="18" customHeight="1">
      <x:c r="A2519" t="str">
        <x:v>CA-2016-124506</x:v>
      </x:c>
      <x:c r="B2519" s="18" t="n">
        <x:v>42685</x:v>
      </x:c>
      <x:c r="C2519" t="str">
        <x:v>BB-11545</x:v>
      </x:c>
      <x:c r="D2519" t="str">
        <x:v>Brenda Bowman</x:v>
      </x:c>
      <x:c r="E2519" t="str">
        <x:v>Corporate</x:v>
      </x:c>
      <x:c r="F2519" t="str">
        <x:v>Central</x:v>
      </x:c>
      <x:c r="G2519" t="str">
        <x:v>Technology</x:v>
      </x:c>
      <x:c r="H2519" t="str">
        <x:v>Accessories</x:v>
      </x:c>
      <x:c r="I2519" s="22" t="n">
        <x:v>95.968</x:v>
      </x:c>
      <x:c r="J2519" s="24" t="n">
        <x:v>4</x:v>
      </x:c>
      <x:c r="K2519" s="26" t="n">
        <x:v>0.2</x:v>
      </x:c>
      <x:c r="L2519" s="22" t="n">
        <x:v>1.1995999999999931</x:v>
      </x:c>
      <x:c r="M2519" t="n">
        <x:v>2016</x:v>
      </x:c>
      <x:c r="N2519" s="20" t="n">
        <x:v>42675</x:v>
      </x:c>
    </x:row>
    <x:row r="2520" ht="18" customHeight="1">
      <x:c r="A2520" t="str">
        <x:v>CA-2016-124506</x:v>
      </x:c>
      <x:c r="B2520" s="18" t="n">
        <x:v>42685</x:v>
      </x:c>
      <x:c r="C2520" t="str">
        <x:v>BB-11545</x:v>
      </x:c>
      <x:c r="D2520" t="str">
        <x:v>Brenda Bowman</x:v>
      </x:c>
      <x:c r="E2520" t="str">
        <x:v>Corporate</x:v>
      </x:c>
      <x:c r="F2520" t="str">
        <x:v>Central</x:v>
      </x:c>
      <x:c r="G2520" t="str">
        <x:v>Furniture</x:v>
      </x:c>
      <x:c r="H2520" t="str">
        <x:v>Chairs</x:v>
      </x:c>
      <x:c r="I2520" s="22" t="n">
        <x:v>47.992</x:v>
      </x:c>
      <x:c r="J2520" s="24" t="n">
        <x:v>2</x:v>
      </x:c>
      <x:c r="K2520" s="26" t="n">
        <x:v>0.3</x:v>
      </x:c>
      <x:c r="L2520" s="22" t="n">
        <x:v>-2.056799999999999</x:v>
      </x:c>
      <x:c r="M2520" t="n">
        <x:v>2016</x:v>
      </x:c>
      <x:c r="N2520" s="20" t="n">
        <x:v>42675</x:v>
      </x:c>
    </x:row>
    <x:row r="2521" ht="18" customHeight="1">
      <x:c r="A2521" t="str">
        <x:v>CA-2014-106572</x:v>
      </x:c>
      <x:c r="B2521" s="18" t="n">
        <x:v>41887</x:v>
      </x:c>
      <x:c r="C2521" t="str">
        <x:v>NP-18700</x:v>
      </x:c>
      <x:c r="D2521" t="str">
        <x:v>Nora Preis</x:v>
      </x:c>
      <x:c r="E2521" t="str">
        <x:v>Consumer</x:v>
      </x:c>
      <x:c r="F2521" t="str">
        <x:v>East</x:v>
      </x:c>
      <x:c r="G2521" t="str">
        <x:v>Office Supplies</x:v>
      </x:c>
      <x:c r="H2521" t="str">
        <x:v>Storage</x:v>
      </x:c>
      <x:c r="I2521" s="22" t="n">
        <x:v>264.32</x:v>
      </x:c>
      <x:c r="J2521" s="24" t="n">
        <x:v>2</x:v>
      </x:c>
      <x:c r="K2521" s="26" t="n">
        <x:v>0.2</x:v>
      </x:c>
      <x:c r="L2521" s="22" t="n">
        <x:v>19.823999999999998</x:v>
      </x:c>
      <x:c r="M2521" t="n">
        <x:v>2014</x:v>
      </x:c>
      <x:c r="N2521" s="20" t="n">
        <x:v>41883</x:v>
      </x:c>
    </x:row>
    <x:row r="2522" ht="18" customHeight="1">
      <x:c r="A2522" t="str">
        <x:v>CA-2014-128888</x:v>
      </x:c>
      <x:c r="B2522" s="18" t="n">
        <x:v>41958</x:v>
      </x:c>
      <x:c r="C2522" t="str">
        <x:v>PB-19105</x:v>
      </x:c>
      <x:c r="D2522" t="str">
        <x:v>Peter Bühler</x:v>
      </x:c>
      <x:c r="E2522" t="str">
        <x:v>Consumer</x:v>
      </x:c>
      <x:c r="F2522" t="str">
        <x:v>Central</x:v>
      </x:c>
      <x:c r="G2522" t="str">
        <x:v>Office Supplies</x:v>
      </x:c>
      <x:c r="H2522" t="str">
        <x:v>Envelopes</x:v>
      </x:c>
      <x:c r="I2522" s="22" t="n">
        <x:v>604.6560000000001</x:v>
      </x:c>
      <x:c r="J2522" s="24" t="n">
        <x:v>9</x:v>
      </x:c>
      <x:c r="K2522" s="26" t="n">
        <x:v>0.2</x:v>
      </x:c>
      <x:c r="L2522" s="22" t="n">
        <x:v>204.07139999999995</x:v>
      </x:c>
      <x:c r="M2522" t="n">
        <x:v>2014</x:v>
      </x:c>
      <x:c r="N2522" s="20" t="n">
        <x:v>41944</x:v>
      </x:c>
    </x:row>
    <x:row r="2523" ht="18" customHeight="1">
      <x:c r="A2523" t="str">
        <x:v>CA-2017-123134</x:v>
      </x:c>
      <x:c r="B2523" s="18" t="n">
        <x:v>42857</x:v>
      </x:c>
      <x:c r="C2523" t="str">
        <x:v>DW-13585</x:v>
      </x:c>
      <x:c r="D2523" t="str">
        <x:v>Dorothy Wardle</x:v>
      </x:c>
      <x:c r="E2523" t="str">
        <x:v>Corporate</x:v>
      </x:c>
      <x:c r="F2523" t="str">
        <x:v>East</x:v>
      </x:c>
      <x:c r="G2523" t="str">
        <x:v>Furniture</x:v>
      </x:c>
      <x:c r="H2523" t="str">
        <x:v>Furnishings</x:v>
      </x:c>
      <x:c r="I2523" s="22" t="n">
        <x:v>129.93</x:v>
      </x:c>
      <x:c r="J2523" s="24" t="n">
        <x:v>3</x:v>
      </x:c>
      <x:c r="K2523" s="26" t="n">
        <x:v>0</x:v>
      </x:c>
      <x:c r="L2523" s="22" t="n">
        <x:v>12.992999999999988</x:v>
      </x:c>
      <x:c r="M2523" t="n">
        <x:v>2017</x:v>
      </x:c>
      <x:c r="N2523" s="20" t="n">
        <x:v>42856</x:v>
      </x:c>
    </x:row>
    <x:row r="2524" ht="18" customHeight="1">
      <x:c r="A2524" t="str">
        <x:v>CA-2016-124352</x:v>
      </x:c>
      <x:c r="B2524" s="18" t="n">
        <x:v>42658</x:v>
      </x:c>
      <x:c r="C2524" t="str">
        <x:v>CD-12790</x:v>
      </x:c>
      <x:c r="D2524" t="str">
        <x:v>Cynthia Delaney</x:v>
      </x:c>
      <x:c r="E2524" t="str">
        <x:v>Home Office</x:v>
      </x:c>
      <x:c r="F2524" t="str">
        <x:v>Central</x:v>
      </x:c>
      <x:c r="G2524" t="str">
        <x:v>Office Supplies</x:v>
      </x:c>
      <x:c r="H2524" t="str">
        <x:v>Labels</x:v>
      </x:c>
      <x:c r="I2524" s="22" t="n">
        <x:v>20.16</x:v>
      </x:c>
      <x:c r="J2524" s="24" t="n">
        <x:v>7</x:v>
      </x:c>
      <x:c r="K2524" s="26" t="n">
        <x:v>0</x:v>
      </x:c>
      <x:c r="L2524" s="22" t="n">
        <x:v>9.8784</x:v>
      </x:c>
      <x:c r="M2524" t="n">
        <x:v>2016</x:v>
      </x:c>
      <x:c r="N2524" s="20" t="n">
        <x:v>42644</x:v>
      </x:c>
    </x:row>
    <x:row r="2525" ht="18" customHeight="1">
      <x:c r="A2525" t="str">
        <x:v>CA-2016-124352</x:v>
      </x:c>
      <x:c r="B2525" s="18" t="n">
        <x:v>42658</x:v>
      </x:c>
      <x:c r="C2525" t="str">
        <x:v>CD-12790</x:v>
      </x:c>
      <x:c r="D2525" t="str">
        <x:v>Cynthia Delaney</x:v>
      </x:c>
      <x:c r="E2525" t="str">
        <x:v>Home Office</x:v>
      </x:c>
      <x:c r="F2525" t="str">
        <x:v>Central</x:v>
      </x:c>
      <x:c r="G2525" t="str">
        <x:v>Office Supplies</x:v>
      </x:c>
      <x:c r="H2525" t="str">
        <x:v>Labels</x:v>
      </x:c>
      <x:c r="I2525" s="22" t="n">
        <x:v>29.46</x:v>
      </x:c>
      <x:c r="J2525" s="24" t="n">
        <x:v>6</x:v>
      </x:c>
      <x:c r="K2525" s="26" t="n">
        <x:v>0</x:v>
      </x:c>
      <x:c r="L2525" s="22" t="n">
        <x:v>14.4354</x:v>
      </x:c>
      <x:c r="M2525" t="n">
        <x:v>2016</x:v>
      </x:c>
      <x:c r="N2525" s="20" t="n">
        <x:v>42644</x:v>
      </x:c>
    </x:row>
    <x:row r="2526" ht="18" customHeight="1">
      <x:c r="A2526" t="str">
        <x:v>CA-2016-124352</x:v>
      </x:c>
      <x:c r="B2526" s="18" t="n">
        <x:v>42658</x:v>
      </x:c>
      <x:c r="C2526" t="str">
        <x:v>CD-12790</x:v>
      </x:c>
      <x:c r="D2526" t="str">
        <x:v>Cynthia Delaney</x:v>
      </x:c>
      <x:c r="E2526" t="str">
        <x:v>Home Office</x:v>
      </x:c>
      <x:c r="F2526" t="str">
        <x:v>Central</x:v>
      </x:c>
      <x:c r="G2526" t="str">
        <x:v>Office Supplies</x:v>
      </x:c>
      <x:c r="H2526" t="str">
        <x:v>Appliances</x:v>
      </x:c>
      <x:c r="I2526" s="22" t="n">
        <x:v>868.5899999999999</x:v>
      </x:c>
      <x:c r="J2526" s="24" t="n">
        <x:v>3</x:v>
      </x:c>
      <x:c r="K2526" s="26" t="n">
        <x:v>0</x:v>
      </x:c>
      <x:c r="L2526" s="22" t="n">
        <x:v>251.89109999999988</x:v>
      </x:c>
      <x:c r="M2526" t="n">
        <x:v>2016</x:v>
      </x:c>
      <x:c r="N2526" s="20" t="n">
        <x:v>42644</x:v>
      </x:c>
    </x:row>
    <x:row r="2527" ht="18" customHeight="1">
      <x:c r="A2527" t="str">
        <x:v>CA-2016-124352</x:v>
      </x:c>
      <x:c r="B2527" s="18" t="n">
        <x:v>42658</x:v>
      </x:c>
      <x:c r="C2527" t="str">
        <x:v>CD-12790</x:v>
      </x:c>
      <x:c r="D2527" t="str">
        <x:v>Cynthia Delaney</x:v>
      </x:c>
      <x:c r="E2527" t="str">
        <x:v>Home Office</x:v>
      </x:c>
      <x:c r="F2527" t="str">
        <x:v>Central</x:v>
      </x:c>
      <x:c r="G2527" t="str">
        <x:v>Office Supplies</x:v>
      </x:c>
      <x:c r="H2527" t="str">
        <x:v>Paper</x:v>
      </x:c>
      <x:c r="I2527" s="22" t="n">
        <x:v>12.96</x:v>
      </x:c>
      <x:c r="J2527" s="24" t="n">
        <x:v>2</x:v>
      </x:c>
      <x:c r="K2527" s="26" t="n">
        <x:v>0</x:v>
      </x:c>
      <x:c r="L2527" s="22" t="n">
        <x:v>6.2208000000000006</x:v>
      </x:c>
      <x:c r="M2527" t="n">
        <x:v>2016</x:v>
      </x:c>
      <x:c r="N2527" s="20" t="n">
        <x:v>42644</x:v>
      </x:c>
    </x:row>
    <x:row r="2528" ht="18" customHeight="1">
      <x:c r="A2528" t="str">
        <x:v>CA-2016-124352</x:v>
      </x:c>
      <x:c r="B2528" s="18" t="n">
        <x:v>42658</x:v>
      </x:c>
      <x:c r="C2528" t="str">
        <x:v>CD-12790</x:v>
      </x:c>
      <x:c r="D2528" t="str">
        <x:v>Cynthia Delaney</x:v>
      </x:c>
      <x:c r="E2528" t="str">
        <x:v>Home Office</x:v>
      </x:c>
      <x:c r="F2528" t="str">
        <x:v>Central</x:v>
      </x:c>
      <x:c r="G2528" t="str">
        <x:v>Technology</x:v>
      </x:c>
      <x:c r="H2528" t="str">
        <x:v>Phones</x:v>
      </x:c>
      <x:c r="I2528" s="22" t="n">
        <x:v>5.5</x:v>
      </x:c>
      <x:c r="J2528" s="24" t="n">
        <x:v>1</x:v>
      </x:c>
      <x:c r="K2528" s="26" t="n">
        <x:v>0</x:v>
      </x:c>
      <x:c r="L2528" s="22" t="n">
        <x:v>1.375</x:v>
      </x:c>
      <x:c r="M2528" t="n">
        <x:v>2016</x:v>
      </x:c>
      <x:c r="N2528" s="20" t="n">
        <x:v>42644</x:v>
      </x:c>
    </x:row>
    <x:row r="2529" ht="18" customHeight="1">
      <x:c r="A2529" t="str">
        <x:v>CA-2016-124352</x:v>
      </x:c>
      <x:c r="B2529" s="18" t="n">
        <x:v>42658</x:v>
      </x:c>
      <x:c r="C2529" t="str">
        <x:v>CD-12790</x:v>
      </x:c>
      <x:c r="D2529" t="str">
        <x:v>Cynthia Delaney</x:v>
      </x:c>
      <x:c r="E2529" t="str">
        <x:v>Home Office</x:v>
      </x:c>
      <x:c r="F2529" t="str">
        <x:v>Central</x:v>
      </x:c>
      <x:c r="G2529" t="str">
        <x:v>Office Supplies</x:v>
      </x:c>
      <x:c r="H2529" t="str">
        <x:v>Binders</x:v>
      </x:c>
      <x:c r="I2529" s="22" t="n">
        <x:v>121.6</x:v>
      </x:c>
      <x:c r="J2529" s="24" t="n">
        <x:v>4</x:v>
      </x:c>
      <x:c r="K2529" s="26" t="n">
        <x:v>0</x:v>
      </x:c>
      <x:c r="L2529" s="22" t="n">
        <x:v>55.93599999999999</x:v>
      </x:c>
      <x:c r="M2529" t="n">
        <x:v>2016</x:v>
      </x:c>
      <x:c r="N2529" s="20" t="n">
        <x:v>42644</x:v>
      </x:c>
    </x:row>
    <x:row r="2530" ht="18" customHeight="1">
      <x:c r="A2530" t="str">
        <x:v>CA-2015-124541</x:v>
      </x:c>
      <x:c r="B2530" s="18" t="n">
        <x:v>42100</x:v>
      </x:c>
      <x:c r="C2530" t="str">
        <x:v>TT-21220</x:v>
      </x:c>
      <x:c r="D2530" t="str">
        <x:v>Thomas Thornton</x:v>
      </x:c>
      <x:c r="E2530" t="str">
        <x:v>Consumer</x:v>
      </x:c>
      <x:c r="F2530" t="str">
        <x:v>Central</x:v>
      </x:c>
      <x:c r="G2530" t="str">
        <x:v>Office Supplies</x:v>
      </x:c>
      <x:c r="H2530" t="str">
        <x:v>Art</x:v>
      </x:c>
      <x:c r="I2530" s="22" t="n">
        <x:v>42.047999999999995</x:v>
      </x:c>
      <x:c r="J2530" s="24" t="n">
        <x:v>9</x:v>
      </x:c>
      <x:c r="K2530" s="26" t="n">
        <x:v>0.2</x:v>
      </x:c>
      <x:c r="L2530" s="22" t="n">
        <x:v>5.2559999999999985</x:v>
      </x:c>
      <x:c r="M2530" t="n">
        <x:v>2015</x:v>
      </x:c>
      <x:c r="N2530" s="20" t="n">
        <x:v>42095</x:v>
      </x:c>
    </x:row>
    <x:row r="2531" ht="18" customHeight="1">
      <x:c r="A2531" t="str">
        <x:v>CA-2015-124541</x:v>
      </x:c>
      <x:c r="B2531" s="18" t="n">
        <x:v>42100</x:v>
      </x:c>
      <x:c r="C2531" t="str">
        <x:v>TT-21220</x:v>
      </x:c>
      <x:c r="D2531" t="str">
        <x:v>Thomas Thornton</x:v>
      </x:c>
      <x:c r="E2531" t="str">
        <x:v>Consumer</x:v>
      </x:c>
      <x:c r="F2531" t="str">
        <x:v>Central</x:v>
      </x:c>
      <x:c r="G2531" t="str">
        <x:v>Technology</x:v>
      </x:c>
      <x:c r="H2531" t="str">
        <x:v>Accessories</x:v>
      </x:c>
      <x:c r="I2531" s="22" t="n">
        <x:v>25.488</x:v>
      </x:c>
      <x:c r="J2531" s="24" t="n">
        <x:v>2</x:v>
      </x:c>
      <x:c r="K2531" s="26" t="n">
        <x:v>0.2</x:v>
      </x:c>
      <x:c r="L2531" s="22" t="n">
        <x:v>4.4604</x:v>
      </x:c>
      <x:c r="M2531" t="n">
        <x:v>2015</x:v>
      </x:c>
      <x:c r="N2531" s="20" t="n">
        <x:v>42095</x:v>
      </x:c>
    </x:row>
    <x:row r="2532" ht="18" customHeight="1">
      <x:c r="A2532" t="str">
        <x:v>CA-2015-124541</x:v>
      </x:c>
      <x:c r="B2532" s="18" t="n">
        <x:v>42100</x:v>
      </x:c>
      <x:c r="C2532" t="str">
        <x:v>TT-21220</x:v>
      </x:c>
      <x:c r="D2532" t="str">
        <x:v>Thomas Thornton</x:v>
      </x:c>
      <x:c r="E2532" t="str">
        <x:v>Consumer</x:v>
      </x:c>
      <x:c r="F2532" t="str">
        <x:v>Central</x:v>
      </x:c>
      <x:c r="G2532" t="str">
        <x:v>Office Supplies</x:v>
      </x:c>
      <x:c r="H2532" t="str">
        <x:v>Binders</x:v>
      </x:c>
      <x:c r="I2532" s="22" t="n">
        <x:v>6.899999999999999</x:v>
      </x:c>
      <x:c r="J2532" s="24" t="n">
        <x:v>3</x:v>
      </x:c>
      <x:c r="K2532" s="26" t="n">
        <x:v>0.8</x:v>
      </x:c>
      <x:c r="L2532" s="22" t="n">
        <x:v>-12.075000000000003</x:v>
      </x:c>
      <x:c r="M2532" t="n">
        <x:v>2015</x:v>
      </x:c>
      <x:c r="N2532" s="20" t="n">
        <x:v>42095</x:v>
      </x:c>
    </x:row>
    <x:row r="2533" ht="18" customHeight="1">
      <x:c r="A2533" t="str">
        <x:v>CA-2015-124541</x:v>
      </x:c>
      <x:c r="B2533" s="18" t="n">
        <x:v>42100</x:v>
      </x:c>
      <x:c r="C2533" t="str">
        <x:v>TT-21220</x:v>
      </x:c>
      <x:c r="D2533" t="str">
        <x:v>Thomas Thornton</x:v>
      </x:c>
      <x:c r="E2533" t="str">
        <x:v>Consumer</x:v>
      </x:c>
      <x:c r="F2533" t="str">
        <x:v>Central</x:v>
      </x:c>
      <x:c r="G2533" t="str">
        <x:v>Office Supplies</x:v>
      </x:c>
      <x:c r="H2533" t="str">
        <x:v>Binders</x:v>
      </x:c>
      <x:c r="I2533" s="22" t="n">
        <x:v>9.647999999999996</x:v>
      </x:c>
      <x:c r="J2533" s="24" t="n">
        <x:v>6</x:v>
      </x:c>
      <x:c r="K2533" s="26" t="n">
        <x:v>0.8</x:v>
      </x:c>
      <x:c r="L2533" s="22" t="n">
        <x:v>-16.884</x:v>
      </x:c>
      <x:c r="M2533" t="n">
        <x:v>2015</x:v>
      </x:c>
      <x:c r="N2533" s="20" t="n">
        <x:v>42095</x:v>
      </x:c>
    </x:row>
    <x:row r="2534" ht="18" customHeight="1">
      <x:c r="A2534" t="str">
        <x:v>CA-2015-124541</x:v>
      </x:c>
      <x:c r="B2534" s="18" t="n">
        <x:v>42100</x:v>
      </x:c>
      <x:c r="C2534" t="str">
        <x:v>TT-21220</x:v>
      </x:c>
      <x:c r="D2534" t="str">
        <x:v>Thomas Thornton</x:v>
      </x:c>
      <x:c r="E2534" t="str">
        <x:v>Consumer</x:v>
      </x:c>
      <x:c r="F2534" t="str">
        <x:v>Central</x:v>
      </x:c>
      <x:c r="G2534" t="str">
        <x:v>Office Supplies</x:v>
      </x:c>
      <x:c r="H2534" t="str">
        <x:v>Paper</x:v>
      </x:c>
      <x:c r="I2534" s="22" t="n">
        <x:v>7.968000000000001</x:v>
      </x:c>
      <x:c r="J2534" s="24" t="n">
        <x:v>2</x:v>
      </x:c>
      <x:c r="K2534" s="26" t="n">
        <x:v>0.2</x:v>
      </x:c>
      <x:c r="L2534" s="22" t="n">
        <x:v>2.8884000000000007</x:v>
      </x:c>
      <x:c r="M2534" t="n">
        <x:v>2015</x:v>
      </x:c>
      <x:c r="N2534" s="20" t="n">
        <x:v>42095</x:v>
      </x:c>
    </x:row>
    <x:row r="2535" ht="18" customHeight="1">
      <x:c r="A2535" t="str">
        <x:v>CA-2014-108707</x:v>
      </x:c>
      <x:c r="B2535" s="18" t="n">
        <x:v>41936</x:v>
      </x:c>
      <x:c r="C2535" t="str">
        <x:v>DB-12910</x:v>
      </x:c>
      <x:c r="D2535" t="str">
        <x:v>Daniel Byrd</x:v>
      </x:c>
      <x:c r="E2535" t="str">
        <x:v>Home Office</x:v>
      </x:c>
      <x:c r="F2535" t="str">
        <x:v>South</x:v>
      </x:c>
      <x:c r="G2535" t="str">
        <x:v>Office Supplies</x:v>
      </x:c>
      <x:c r="H2535" t="str">
        <x:v>Paper</x:v>
      </x:c>
      <x:c r="I2535" s="22" t="n">
        <x:v>10.368000000000002</x:v>
      </x:c>
      <x:c r="J2535" s="24" t="n">
        <x:v>2</x:v>
      </x:c>
      <x:c r="K2535" s="26" t="n">
        <x:v>0.2</x:v>
      </x:c>
      <x:c r="L2535" s="22" t="n">
        <x:v>3.6288</x:v>
      </x:c>
      <x:c r="M2535" t="n">
        <x:v>2014</x:v>
      </x:c>
      <x:c r="N2535" s="20" t="n">
        <x:v>41913</x:v>
      </x:c>
    </x:row>
    <x:row r="2536" ht="18" customHeight="1">
      <x:c r="A2536" t="str">
        <x:v>CA-2014-111500</x:v>
      </x:c>
      <x:c r="B2536" s="18" t="n">
        <x:v>41868</x:v>
      </x:c>
      <x:c r="C2536" t="str">
        <x:v>DJ-13510</x:v>
      </x:c>
      <x:c r="D2536" t="str">
        <x:v>Don Jones</x:v>
      </x:c>
      <x:c r="E2536" t="str">
        <x:v>Corporate</x:v>
      </x:c>
      <x:c r="F2536" t="str">
        <x:v>South</x:v>
      </x:c>
      <x:c r="G2536" t="str">
        <x:v>Office Supplies</x:v>
      </x:c>
      <x:c r="H2536" t="str">
        <x:v>Paper</x:v>
      </x:c>
      <x:c r="I2536" s="22" t="n">
        <x:v>114.2</x:v>
      </x:c>
      <x:c r="J2536" s="24" t="n">
        <x:v>5</x:v>
      </x:c>
      <x:c r="K2536" s="26" t="n">
        <x:v>0</x:v>
      </x:c>
      <x:c r="L2536" s="22" t="n">
        <x:v>52.532</x:v>
      </x:c>
      <x:c r="M2536" t="n">
        <x:v>2014</x:v>
      </x:c>
      <x:c r="N2536" s="20" t="n">
        <x:v>41852</x:v>
      </x:c>
    </x:row>
    <x:row r="2537" ht="18" customHeight="1">
      <x:c r="A2537" t="str">
        <x:v>CA-2014-111500</x:v>
      </x:c>
      <x:c r="B2537" s="18" t="n">
        <x:v>41868</x:v>
      </x:c>
      <x:c r="C2537" t="str">
        <x:v>DJ-13510</x:v>
      </x:c>
      <x:c r="D2537" t="str">
        <x:v>Don Jones</x:v>
      </x:c>
      <x:c r="E2537" t="str">
        <x:v>Corporate</x:v>
      </x:c>
      <x:c r="F2537" t="str">
        <x:v>South</x:v>
      </x:c>
      <x:c r="G2537" t="str">
        <x:v>Office Supplies</x:v>
      </x:c>
      <x:c r="H2537" t="str">
        <x:v>Binders</x:v>
      </x:c>
      <x:c r="I2537" s="22" t="n">
        <x:v>17.96</x:v>
      </x:c>
      <x:c r="J2537" s="24" t="n">
        <x:v>4</x:v>
      </x:c>
      <x:c r="K2537" s="26" t="n">
        <x:v>0</x:v>
      </x:c>
      <x:c r="L2537" s="22" t="n">
        <x:v>8.2616</x:v>
      </x:c>
      <x:c r="M2537" t="n">
        <x:v>2014</x:v>
      </x:c>
      <x:c r="N2537" s="20" t="n">
        <x:v>41852</x:v>
      </x:c>
    </x:row>
    <x:row r="2538" ht="18" customHeight="1">
      <x:c r="A2538" t="str">
        <x:v>CA-2014-111500</x:v>
      </x:c>
      <x:c r="B2538" s="18" t="n">
        <x:v>41868</x:v>
      </x:c>
      <x:c r="C2538" t="str">
        <x:v>DJ-13510</x:v>
      </x:c>
      <x:c r="D2538" t="str">
        <x:v>Don Jones</x:v>
      </x:c>
      <x:c r="E2538" t="str">
        <x:v>Corporate</x:v>
      </x:c>
      <x:c r="F2538" t="str">
        <x:v>South</x:v>
      </x:c>
      <x:c r="G2538" t="str">
        <x:v>Office Supplies</x:v>
      </x:c>
      <x:c r="H2538" t="str">
        <x:v>Fasteners</x:v>
      </x:c>
      <x:c r="I2538" s="22" t="n">
        <x:v>12.67</x:v>
      </x:c>
      <x:c r="J2538" s="24" t="n">
        <x:v>7</x:v>
      </x:c>
      <x:c r="K2538" s="26" t="n">
        <x:v>0</x:v>
      </x:c>
      <x:c r="L2538" s="22" t="n">
        <x:v>4.5611999999999995</x:v>
      </x:c>
      <x:c r="M2538" t="n">
        <x:v>2014</x:v>
      </x:c>
      <x:c r="N2538" s="20" t="n">
        <x:v>41852</x:v>
      </x:c>
    </x:row>
    <x:row r="2539" ht="18" customHeight="1">
      <x:c r="A2539" t="str">
        <x:v>CA-2014-111500</x:v>
      </x:c>
      <x:c r="B2539" s="18" t="n">
        <x:v>41868</x:v>
      </x:c>
      <x:c r="C2539" t="str">
        <x:v>DJ-13510</x:v>
      </x:c>
      <x:c r="D2539" t="str">
        <x:v>Don Jones</x:v>
      </x:c>
      <x:c r="E2539" t="str">
        <x:v>Corporate</x:v>
      </x:c>
      <x:c r="F2539" t="str">
        <x:v>South</x:v>
      </x:c>
      <x:c r="G2539" t="str">
        <x:v>Technology</x:v>
      </x:c>
      <x:c r="H2539" t="str">
        <x:v>Accessories</x:v>
      </x:c>
      <x:c r="I2539" s="22" t="n">
        <x:v>339.96</x:v>
      </x:c>
      <x:c r="J2539" s="24" t="n">
        <x:v>4</x:v>
      </x:c>
      <x:c r="K2539" s="26" t="n">
        <x:v>0</x:v>
      </x:c>
      <x:c r="L2539" s="22" t="n">
        <x:v>122.38559999999998</x:v>
      </x:c>
      <x:c r="M2539" t="n">
        <x:v>2014</x:v>
      </x:c>
      <x:c r="N2539" s="20" t="n">
        <x:v>41852</x:v>
      </x:c>
    </x:row>
    <x:row r="2540" ht="18" customHeight="1">
      <x:c r="A2540" t="str">
        <x:v>US-2017-117723</x:v>
      </x:c>
      <x:c r="B2540" s="18" t="n">
        <x:v>42962</x:v>
      </x:c>
      <x:c r="C2540" t="str">
        <x:v>DL-13495</x:v>
      </x:c>
      <x:c r="D2540" t="str">
        <x:v>Dionis Lloyd</x:v>
      </x:c>
      <x:c r="E2540" t="str">
        <x:v>Corporate</x:v>
      </x:c>
      <x:c r="F2540" t="str">
        <x:v>East</x:v>
      </x:c>
      <x:c r="G2540" t="str">
        <x:v>Office Supplies</x:v>
      </x:c>
      <x:c r="H2540" t="str">
        <x:v>Storage</x:v>
      </x:c>
      <x:c r="I2540" s="22" t="n">
        <x:v>1801.632</x:v>
      </x:c>
      <x:c r="J2540" s="24" t="n">
        <x:v>6</x:v>
      </x:c>
      <x:c r="K2540" s="26" t="n">
        <x:v>0.2</x:v>
      </x:c>
      <x:c r="L2540" s="22" t="n">
        <x:v>-337.80600000000004</x:v>
      </x:c>
      <x:c r="M2540" t="n">
        <x:v>2017</x:v>
      </x:c>
      <x:c r="N2540" s="20" t="n">
        <x:v>42948</x:v>
      </x:c>
    </x:row>
    <x:row r="2541" ht="18" customHeight="1">
      <x:c r="A2541" t="str">
        <x:v>CA-2015-143238</x:v>
      </x:c>
      <x:c r="B2541" s="18" t="n">
        <x:v>42253</x:v>
      </x:c>
      <x:c r="C2541" t="str">
        <x:v>LO-17170</x:v>
      </x:c>
      <x:c r="D2541" t="str">
        <x:v>Lori Olson</x:v>
      </x:c>
      <x:c r="E2541" t="str">
        <x:v>Corporate</x:v>
      </x:c>
      <x:c r="F2541" t="str">
        <x:v>West</x:v>
      </x:c>
      <x:c r="G2541" t="str">
        <x:v>Technology</x:v>
      </x:c>
      <x:c r="H2541" t="str">
        <x:v>Accessories</x:v>
      </x:c>
      <x:c r="I2541" s="22" t="n">
        <x:v>46.32</x:v>
      </x:c>
      <x:c r="J2541" s="24" t="n">
        <x:v>4</x:v>
      </x:c>
      <x:c r="K2541" s="26" t="n">
        <x:v>0</x:v>
      </x:c>
      <x:c r="L2541" s="22" t="n">
        <x:v>18.0648</x:v>
      </x:c>
      <x:c r="M2541" t="n">
        <x:v>2015</x:v>
      </x:c>
      <x:c r="N2541" s="20" t="n">
        <x:v>42248</x:v>
      </x:c>
    </x:row>
    <x:row r="2542" ht="18" customHeight="1">
      <x:c r="A2542" t="str">
        <x:v>CA-2015-168746</x:v>
      </x:c>
      <x:c r="B2542" s="18" t="n">
        <x:v>42031</x:v>
      </x:c>
      <x:c r="C2542" t="str">
        <x:v>SV-20365</x:v>
      </x:c>
      <x:c r="D2542" t="str">
        <x:v>Seth Vernon</x:v>
      </x:c>
      <x:c r="E2542" t="str">
        <x:v>Consumer</x:v>
      </x:c>
      <x:c r="F2542" t="str">
        <x:v>East</x:v>
      </x:c>
      <x:c r="G2542" t="str">
        <x:v>Furniture</x:v>
      </x:c>
      <x:c r="H2542" t="str">
        <x:v>Chairs</x:v>
      </x:c>
      <x:c r="I2542" s="22" t="n">
        <x:v>181.986</x:v>
      </x:c>
      <x:c r="J2542" s="24" t="n">
        <x:v>2</x:v>
      </x:c>
      <x:c r="K2542" s="26" t="n">
        <x:v>0.3</x:v>
      </x:c>
      <x:c r="L2542" s="22" t="n">
        <x:v>-54.5958</x:v>
      </x:c>
      <x:c r="M2542" t="n">
        <x:v>2015</x:v>
      </x:c>
      <x:c r="N2542" s="20" t="n">
        <x:v>42005</x:v>
      </x:c>
    </x:row>
    <x:row r="2543" ht="18" customHeight="1">
      <x:c r="A2543" t="str">
        <x:v>CA-2015-168746</x:v>
      </x:c>
      <x:c r="B2543" s="18" t="n">
        <x:v>42031</x:v>
      </x:c>
      <x:c r="C2543" t="str">
        <x:v>SV-20365</x:v>
      </x:c>
      <x:c r="D2543" t="str">
        <x:v>Seth Vernon</x:v>
      </x:c>
      <x:c r="E2543" t="str">
        <x:v>Consumer</x:v>
      </x:c>
      <x:c r="F2543" t="str">
        <x:v>East</x:v>
      </x:c>
      <x:c r="G2543" t="str">
        <x:v>Technology</x:v>
      </x:c>
      <x:c r="H2543" t="str">
        <x:v>Phones</x:v>
      </x:c>
      <x:c r="I2543" s="22" t="n">
        <x:v>431.976</x:v>
      </x:c>
      <x:c r="J2543" s="24" t="n">
        <x:v>4</x:v>
      </x:c>
      <x:c r="K2543" s="26" t="n">
        <x:v>0.4</x:v>
      </x:c>
      <x:c r="L2543" s="22" t="n">
        <x:v>-100.7944</x:v>
      </x:c>
      <x:c r="M2543" t="n">
        <x:v>2015</x:v>
      </x:c>
      <x:c r="N2543" s="20" t="n">
        <x:v>42005</x:v>
      </x:c>
    </x:row>
    <x:row r="2544" ht="18" customHeight="1">
      <x:c r="A2544" t="str">
        <x:v>CA-2015-168746</x:v>
      </x:c>
      <x:c r="B2544" s="18" t="n">
        <x:v>42031</x:v>
      </x:c>
      <x:c r="C2544" t="str">
        <x:v>SV-20365</x:v>
      </x:c>
      <x:c r="D2544" t="str">
        <x:v>Seth Vernon</x:v>
      </x:c>
      <x:c r="E2544" t="str">
        <x:v>Consumer</x:v>
      </x:c>
      <x:c r="F2544" t="str">
        <x:v>East</x:v>
      </x:c>
      <x:c r="G2544" t="str">
        <x:v>Technology</x:v>
      </x:c>
      <x:c r="H2544" t="str">
        <x:v>Phones</x:v>
      </x:c>
      <x:c r="I2544" s="22" t="n">
        <x:v>155.36999999999998</x:v>
      </x:c>
      <x:c r="J2544" s="24" t="n">
        <x:v>1</x:v>
      </x:c>
      <x:c r="K2544" s="26" t="n">
        <x:v>0.4</x:v>
      </x:c>
      <x:c r="L2544" s="22" t="n">
        <x:v>-36.253</x:v>
      </x:c>
      <x:c r="M2544" t="n">
        <x:v>2015</x:v>
      </x:c>
      <x:c r="N2544" s="20" t="n">
        <x:v>42005</x:v>
      </x:c>
    </x:row>
    <x:row r="2545" ht="18" customHeight="1">
      <x:c r="A2545" t="str">
        <x:v>CA-2015-113404</x:v>
      </x:c>
      <x:c r="B2545" s="18" t="n">
        <x:v>42201</x:v>
      </x:c>
      <x:c r="C2545" t="str">
        <x:v>EM-13810</x:v>
      </x:c>
      <x:c r="D2545" t="str">
        <x:v>Eleni McCrary</x:v>
      </x:c>
      <x:c r="E2545" t="str">
        <x:v>Corporate</x:v>
      </x:c>
      <x:c r="F2545" t="str">
        <x:v>West</x:v>
      </x:c>
      <x:c r="G2545" t="str">
        <x:v>Furniture</x:v>
      </x:c>
      <x:c r="H2545" t="str">
        <x:v>Chairs</x:v>
      </x:c>
      <x:c r="I2545" s="22" t="n">
        <x:v>1348.7040000000002</x:v>
      </x:c>
      <x:c r="J2545" s="24" t="n">
        <x:v>6</x:v>
      </x:c>
      <x:c r="K2545" s="26" t="n">
        <x:v>0.2</x:v>
      </x:c>
      <x:c r="L2545" s="22" t="n">
        <x:v>-219.16440000000023</x:v>
      </x:c>
      <x:c r="M2545" t="n">
        <x:v>2015</x:v>
      </x:c>
      <x:c r="N2545" s="20" t="n">
        <x:v>42186</x:v>
      </x:c>
    </x:row>
    <x:row r="2546" ht="18" customHeight="1">
      <x:c r="A2546" t="str">
        <x:v>CA-2015-113404</x:v>
      </x:c>
      <x:c r="B2546" s="18" t="n">
        <x:v>42201</x:v>
      </x:c>
      <x:c r="C2546" t="str">
        <x:v>EM-13810</x:v>
      </x:c>
      <x:c r="D2546" t="str">
        <x:v>Eleni McCrary</x:v>
      </x:c>
      <x:c r="E2546" t="str">
        <x:v>Corporate</x:v>
      </x:c>
      <x:c r="F2546" t="str">
        <x:v>West</x:v>
      </x:c>
      <x:c r="G2546" t="str">
        <x:v>Furniture</x:v>
      </x:c>
      <x:c r="H2546" t="str">
        <x:v>Chairs</x:v>
      </x:c>
      <x:c r="I2546" s="22" t="n">
        <x:v>700.152</x:v>
      </x:c>
      <x:c r="J2546" s="24" t="n">
        <x:v>3</x:v>
      </x:c>
      <x:c r="K2546" s="26" t="n">
        <x:v>0.2</x:v>
      </x:c>
      <x:c r="L2546" s="22" t="n">
        <x:v>78.76709999999997</x:v>
      </x:c>
      <x:c r="M2546" t="n">
        <x:v>2015</x:v>
      </x:c>
      <x:c r="N2546" s="20" t="n">
        <x:v>42186</x:v>
      </x:c>
    </x:row>
    <x:row r="2547" ht="18" customHeight="1">
      <x:c r="A2547" t="str">
        <x:v>CA-2016-144792</x:v>
      </x:c>
      <x:c r="B2547" s="18" t="n">
        <x:v>42490</x:v>
      </x:c>
      <x:c r="C2547" t="str">
        <x:v>KD-16615</x:v>
      </x:c>
      <x:c r="D2547" t="str">
        <x:v>Ken Dana</x:v>
      </x:c>
      <x:c r="E2547" t="str">
        <x:v>Corporate</x:v>
      </x:c>
      <x:c r="F2547" t="str">
        <x:v>West</x:v>
      </x:c>
      <x:c r="G2547" t="str">
        <x:v>Furniture</x:v>
      </x:c>
      <x:c r="H2547" t="str">
        <x:v>Furnishings</x:v>
      </x:c>
      <x:c r="I2547" s="22" t="n">
        <x:v>111.888</x:v>
      </x:c>
      <x:c r="J2547" s="24" t="n">
        <x:v>7</x:v>
      </x:c>
      <x:c r="K2547" s="26" t="n">
        <x:v>0.2</x:v>
      </x:c>
      <x:c r="L2547" s="22" t="n">
        <x:v>22.3776</x:v>
      </x:c>
      <x:c r="M2547" t="n">
        <x:v>2016</x:v>
      </x:c>
      <x:c r="N2547" s="20" t="n">
        <x:v>42461</x:v>
      </x:c>
    </x:row>
    <x:row r="2548" ht="18" customHeight="1">
      <x:c r="A2548" t="str">
        <x:v>CA-2014-164385</x:v>
      </x:c>
      <x:c r="B2548" s="18" t="n">
        <x:v>41908</x:v>
      </x:c>
      <x:c r="C2548" t="str">
        <x:v>NB-18580</x:v>
      </x:c>
      <x:c r="D2548" t="str">
        <x:v>Nicole Brennan</x:v>
      </x:c>
      <x:c r="E2548" t="str">
        <x:v>Corporate</x:v>
      </x:c>
      <x:c r="F2548" t="str">
        <x:v>East</x:v>
      </x:c>
      <x:c r="G2548" t="str">
        <x:v>Office Supplies</x:v>
      </x:c>
      <x:c r="H2548" t="str">
        <x:v>Appliances</x:v>
      </x:c>
      <x:c r="I2548" s="22" t="n">
        <x:v>143.952</x:v>
      </x:c>
      <x:c r="J2548" s="24" t="n">
        <x:v>3</x:v>
      </x:c>
      <x:c r="K2548" s="26" t="n">
        <x:v>0.2</x:v>
      </x:c>
      <x:c r="L2548" s="22" t="n">
        <x:v>14.39520000000001</x:v>
      </x:c>
      <x:c r="M2548" t="n">
        <x:v>2014</x:v>
      </x:c>
      <x:c r="N2548" s="20" t="n">
        <x:v>41883</x:v>
      </x:c>
    </x:row>
    <x:row r="2549" ht="18" customHeight="1">
      <x:c r="A2549" t="str">
        <x:v>US-2016-114174</x:v>
      </x:c>
      <x:c r="B2549" s="18" t="n">
        <x:v>42621</x:v>
      </x:c>
      <x:c r="C2549" t="str">
        <x:v>AP-10720</x:v>
      </x:c>
      <x:c r="D2549" t="str">
        <x:v>Anne Pryor</x:v>
      </x:c>
      <x:c r="E2549" t="str">
        <x:v>Home Office</x:v>
      </x:c>
      <x:c r="F2549" t="str">
        <x:v>East</x:v>
      </x:c>
      <x:c r="G2549" t="str">
        <x:v>Furniture</x:v>
      </x:c>
      <x:c r="H2549" t="str">
        <x:v>Bookcases</x:v>
      </x:c>
      <x:c r="I2549" s="22" t="n">
        <x:v>173.94</x:v>
      </x:c>
      <x:c r="J2549" s="24" t="n">
        <x:v>3</x:v>
      </x:c>
      <x:c r="K2549" s="26" t="n">
        <x:v>0</x:v>
      </x:c>
      <x:c r="L2549" s="22" t="n">
        <x:v>13.915199999999992</x:v>
      </x:c>
      <x:c r="M2549" t="n">
        <x:v>2016</x:v>
      </x:c>
      <x:c r="N2549" s="20" t="n">
        <x:v>42614</x:v>
      </x:c>
    </x:row>
    <x:row r="2550" ht="18" customHeight="1">
      <x:c r="A2550" t="str">
        <x:v>US-2016-114174</x:v>
      </x:c>
      <x:c r="B2550" s="18" t="n">
        <x:v>42621</x:v>
      </x:c>
      <x:c r="C2550" t="str">
        <x:v>AP-10720</x:v>
      </x:c>
      <x:c r="D2550" t="str">
        <x:v>Anne Pryor</x:v>
      </x:c>
      <x:c r="E2550" t="str">
        <x:v>Home Office</x:v>
      </x:c>
      <x:c r="F2550" t="str">
        <x:v>East</x:v>
      </x:c>
      <x:c r="G2550" t="str">
        <x:v>Office Supplies</x:v>
      </x:c>
      <x:c r="H2550" t="str">
        <x:v>Labels</x:v>
      </x:c>
      <x:c r="I2550" s="22" t="n">
        <x:v>14.76</x:v>
      </x:c>
      <x:c r="J2550" s="24" t="n">
        <x:v>4</x:v>
      </x:c>
      <x:c r="K2550" s="26" t="n">
        <x:v>0</x:v>
      </x:c>
      <x:c r="L2550" s="22" t="n">
        <x:v>6.9372</x:v>
      </x:c>
      <x:c r="M2550" t="n">
        <x:v>2016</x:v>
      </x:c>
      <x:c r="N2550" s="20" t="n">
        <x:v>42614</x:v>
      </x:c>
    </x:row>
    <x:row r="2551" ht="18" customHeight="1">
      <x:c r="A2551" t="str">
        <x:v>CA-2017-108070</x:v>
      </x:c>
      <x:c r="B2551" s="18" t="n">
        <x:v>42841</x:v>
      </x:c>
      <x:c r="C2551" t="str">
        <x:v>JE-15745</x:v>
      </x:c>
      <x:c r="D2551" t="str">
        <x:v>Joel Eaton</x:v>
      </x:c>
      <x:c r="E2551" t="str">
        <x:v>Consumer</x:v>
      </x:c>
      <x:c r="F2551" t="str">
        <x:v>West</x:v>
      </x:c>
      <x:c r="G2551" t="str">
        <x:v>Office Supplies</x:v>
      </x:c>
      <x:c r="H2551" t="str">
        <x:v>Storage</x:v>
      </x:c>
      <x:c r="I2551" s="22" t="n">
        <x:v>205.92</x:v>
      </x:c>
      <x:c r="J2551" s="24" t="n">
        <x:v>4</x:v>
      </x:c>
      <x:c r="K2551" s="26" t="n">
        <x:v>0</x:v>
      </x:c>
      <x:c r="L2551" s="22" t="n">
        <x:v>2.059200000000004</x:v>
      </x:c>
      <x:c r="M2551" t="n">
        <x:v>2017</x:v>
      </x:c>
      <x:c r="N2551" s="20" t="n">
        <x:v>42826</x:v>
      </x:c>
    </x:row>
    <x:row r="2552" ht="18" customHeight="1">
      <x:c r="A2552" t="str">
        <x:v>CA-2017-108070</x:v>
      </x:c>
      <x:c r="B2552" s="18" t="n">
        <x:v>42841</x:v>
      </x:c>
      <x:c r="C2552" t="str">
        <x:v>JE-15745</x:v>
      </x:c>
      <x:c r="D2552" t="str">
        <x:v>Joel Eaton</x:v>
      </x:c>
      <x:c r="E2552" t="str">
        <x:v>Consumer</x:v>
      </x:c>
      <x:c r="F2552" t="str">
        <x:v>West</x:v>
      </x:c>
      <x:c r="G2552" t="str">
        <x:v>Furniture</x:v>
      </x:c>
      <x:c r="H2552" t="str">
        <x:v>Bookcases</x:v>
      </x:c>
      <x:c r="I2552" s="22" t="n">
        <x:v>102.833</x:v>
      </x:c>
      <x:c r="J2552" s="24" t="n">
        <x:v>1</x:v>
      </x:c>
      <x:c r="K2552" s="26" t="n">
        <x:v>0.15</x:v>
      </x:c>
      <x:c r="L2552" s="22" t="n">
        <x:v>-6.0489999999999995</x:v>
      </x:c>
      <x:c r="M2552" t="n">
        <x:v>2017</x:v>
      </x:c>
      <x:c r="N2552" s="20" t="n">
        <x:v>42826</x:v>
      </x:c>
    </x:row>
    <x:row r="2553" ht="18" customHeight="1">
      <x:c r="A2553" t="str">
        <x:v>US-2015-128090</x:v>
      </x:c>
      <x:c r="B2553" s="18" t="n">
        <x:v>42232</x:v>
      </x:c>
      <x:c r="C2553" t="str">
        <x:v>JM-15865</x:v>
      </x:c>
      <x:c r="D2553" t="str">
        <x:v>John Murray</x:v>
      </x:c>
      <x:c r="E2553" t="str">
        <x:v>Consumer</x:v>
      </x:c>
      <x:c r="F2553" t="str">
        <x:v>West</x:v>
      </x:c>
      <x:c r="G2553" t="str">
        <x:v>Office Supplies</x:v>
      </x:c>
      <x:c r="H2553" t="str">
        <x:v>Art</x:v>
      </x:c>
      <x:c r="I2553" s="22" t="n">
        <x:v>2.304</x:v>
      </x:c>
      <x:c r="J2553" s="24" t="n">
        <x:v>1</x:v>
      </x:c>
      <x:c r="K2553" s="26" t="n">
        <x:v>0.2</x:v>
      </x:c>
      <x:c r="L2553" s="22" t="n">
        <x:v>0.2592</x:v>
      </x:c>
      <x:c r="M2553" t="n">
        <x:v>2015</x:v>
      </x:c>
      <x:c r="N2553" s="20" t="n">
        <x:v>42217</x:v>
      </x:c>
    </x:row>
    <x:row r="2554" ht="18" customHeight="1">
      <x:c r="A2554" t="str">
        <x:v>US-2015-128090</x:v>
      </x:c>
      <x:c r="B2554" s="18" t="n">
        <x:v>42232</x:v>
      </x:c>
      <x:c r="C2554" t="str">
        <x:v>JM-15865</x:v>
      </x:c>
      <x:c r="D2554" t="str">
        <x:v>John Murray</x:v>
      </x:c>
      <x:c r="E2554" t="str">
        <x:v>Consumer</x:v>
      </x:c>
      <x:c r="F2554" t="str">
        <x:v>West</x:v>
      </x:c>
      <x:c r="G2554" t="str">
        <x:v>Technology</x:v>
      </x:c>
      <x:c r="H2554" t="str">
        <x:v>Phones</x:v>
      </x:c>
      <x:c r="I2554" s="22" t="n">
        <x:v>1879.96</x:v>
      </x:c>
      <x:c r="J2554" s="24" t="n">
        <x:v>5</x:v>
      </x:c>
      <x:c r="K2554" s="26" t="n">
        <x:v>0.2</x:v>
      </x:c>
      <x:c r="L2554" s="22" t="n">
        <x:v>211.49549999999977</x:v>
      </x:c>
      <x:c r="M2554" t="n">
        <x:v>2015</x:v>
      </x:c>
      <x:c r="N2554" s="20" t="n">
        <x:v>42217</x:v>
      </x:c>
    </x:row>
    <x:row r="2555" ht="18" customHeight="1">
      <x:c r="A2555" t="str">
        <x:v>US-2015-128090</x:v>
      </x:c>
      <x:c r="B2555" s="18" t="n">
        <x:v>42232</x:v>
      </x:c>
      <x:c r="C2555" t="str">
        <x:v>JM-15865</x:v>
      </x:c>
      <x:c r="D2555" t="str">
        <x:v>John Murray</x:v>
      </x:c>
      <x:c r="E2555" t="str">
        <x:v>Consumer</x:v>
      </x:c>
      <x:c r="F2555" t="str">
        <x:v>West</x:v>
      </x:c>
      <x:c r="G2555" t="str">
        <x:v>Office Supplies</x:v>
      </x:c>
      <x:c r="H2555" t="str">
        <x:v>Paper</x:v>
      </x:c>
      <x:c r="I2555" s="22" t="n">
        <x:v>313.024</x:v>
      </x:c>
      <x:c r="J2555" s="24" t="n">
        <x:v>8</x:v>
      </x:c>
      <x:c r="K2555" s="26" t="n">
        <x:v>0.2</x:v>
      </x:c>
      <x:c r="L2555" s="22" t="n">
        <x:v>105.64559999999997</x:v>
      </x:c>
      <x:c r="M2555" t="n">
        <x:v>2015</x:v>
      </x:c>
      <x:c r="N2555" s="20" t="n">
        <x:v>42217</x:v>
      </x:c>
    </x:row>
    <x:row r="2556" ht="18" customHeight="1">
      <x:c r="A2556" t="str">
        <x:v>US-2015-128090</x:v>
      </x:c>
      <x:c r="B2556" s="18" t="n">
        <x:v>42232</x:v>
      </x:c>
      <x:c r="C2556" t="str">
        <x:v>JM-15865</x:v>
      </x:c>
      <x:c r="D2556" t="str">
        <x:v>John Murray</x:v>
      </x:c>
      <x:c r="E2556" t="str">
        <x:v>Consumer</x:v>
      </x:c>
      <x:c r="F2556" t="str">
        <x:v>West</x:v>
      </x:c>
      <x:c r="G2556" t="str">
        <x:v>Office Supplies</x:v>
      </x:c>
      <x:c r="H2556" t="str">
        <x:v>Labels</x:v>
      </x:c>
      <x:c r="I2556" s="22" t="n">
        <x:v>5.04</x:v>
      </x:c>
      <x:c r="J2556" s="24" t="n">
        <x:v>2</x:v>
      </x:c>
      <x:c r="K2556" s="26" t="n">
        <x:v>0.2</x:v>
      </x:c>
      <x:c r="L2556" s="22" t="n">
        <x:v>1.764</x:v>
      </x:c>
      <x:c r="M2556" t="n">
        <x:v>2015</x:v>
      </x:c>
      <x:c r="N2556" s="20" t="n">
        <x:v>42217</x:v>
      </x:c>
    </x:row>
    <x:row r="2557" ht="18" customHeight="1">
      <x:c r="A2557" t="str">
        <x:v>CA-2017-101042</x:v>
      </x:c>
      <x:c r="B2557" s="18" t="n">
        <x:v>43058</x:v>
      </x:c>
      <x:c r="C2557" t="str">
        <x:v>AB-10105</x:v>
      </x:c>
      <x:c r="D2557" t="str">
        <x:v>Adrian Barton</x:v>
      </x:c>
      <x:c r="E2557" t="str">
        <x:v>Consumer</x:v>
      </x:c>
      <x:c r="F2557" t="str">
        <x:v>South</x:v>
      </x:c>
      <x:c r="G2557" t="str">
        <x:v>Furniture</x:v>
      </x:c>
      <x:c r="H2557" t="str">
        <x:v>Furnishings</x:v>
      </x:c>
      <x:c r="I2557" s="22" t="n">
        <x:v>821.8799999999999</x:v>
      </x:c>
      <x:c r="J2557" s="24" t="n">
        <x:v>6</x:v>
      </x:c>
      <x:c r="K2557" s="26" t="n">
        <x:v>0</x:v>
      </x:c>
      <x:c r="L2557" s="22" t="n">
        <x:v>213.68880000000001</x:v>
      </x:c>
      <x:c r="M2557" t="n">
        <x:v>2017</x:v>
      </x:c>
      <x:c r="N2557" s="20" t="n">
        <x:v>43040</x:v>
      </x:c>
    </x:row>
    <x:row r="2558" ht="18" customHeight="1">
      <x:c r="A2558" t="str">
        <x:v>CA-2017-101042</x:v>
      </x:c>
      <x:c r="B2558" s="18" t="n">
        <x:v>43058</x:v>
      </x:c>
      <x:c r="C2558" t="str">
        <x:v>AB-10105</x:v>
      </x:c>
      <x:c r="D2558" t="str">
        <x:v>Adrian Barton</x:v>
      </x:c>
      <x:c r="E2558" t="str">
        <x:v>Consumer</x:v>
      </x:c>
      <x:c r="F2558" t="str">
        <x:v>South</x:v>
      </x:c>
      <x:c r="G2558" t="str">
        <x:v>Office Supplies</x:v>
      </x:c>
      <x:c r="H2558" t="str">
        <x:v>Binders</x:v>
      </x:c>
      <x:c r="I2558" s="22" t="n">
        <x:v>21.96</x:v>
      </x:c>
      <x:c r="J2558" s="24" t="n">
        <x:v>2</x:v>
      </x:c>
      <x:c r="K2558" s="26" t="n">
        <x:v>0</x:v>
      </x:c>
      <x:c r="L2558" s="22" t="n">
        <x:v>10.7604</x:v>
      </x:c>
      <x:c r="M2558" t="n">
        <x:v>2017</x:v>
      </x:c>
      <x:c r="N2558" s="20" t="n">
        <x:v>43040</x:v>
      </x:c>
    </x:row>
    <x:row r="2559" ht="18" customHeight="1">
      <x:c r="A2559" t="str">
        <x:v>CA-2016-155439</x:v>
      </x:c>
      <x:c r="B2559" s="18" t="n">
        <x:v>42627</x:v>
      </x:c>
      <x:c r="C2559" t="str">
        <x:v>PN-18775</x:v>
      </x:c>
      <x:c r="D2559" t="str">
        <x:v>Parhena Norris</x:v>
      </x:c>
      <x:c r="E2559" t="str">
        <x:v>Home Office</x:v>
      </x:c>
      <x:c r="F2559" t="str">
        <x:v>South</x:v>
      </x:c>
      <x:c r="G2559" t="str">
        <x:v>Office Supplies</x:v>
      </x:c>
      <x:c r="H2559" t="str">
        <x:v>Paper</x:v>
      </x:c>
      <x:c r="I2559" s="22" t="n">
        <x:v>25.92</x:v>
      </x:c>
      <x:c r="J2559" s="24" t="n">
        <x:v>4</x:v>
      </x:c>
      <x:c r="K2559" s="26" t="n">
        <x:v>0</x:v>
      </x:c>
      <x:c r="L2559" s="22" t="n">
        <x:v>12.441600000000001</x:v>
      </x:c>
      <x:c r="M2559" t="n">
        <x:v>2016</x:v>
      </x:c>
      <x:c r="N2559" s="20" t="n">
        <x:v>42614</x:v>
      </x:c>
    </x:row>
    <x:row r="2560" ht="18" customHeight="1">
      <x:c r="A2560" t="str">
        <x:v>CA-2016-118626</x:v>
      </x:c>
      <x:c r="B2560" s="18" t="n">
        <x:v>42597</x:v>
      </x:c>
      <x:c r="C2560" t="str">
        <x:v>JC-15775</x:v>
      </x:c>
      <x:c r="D2560" t="str">
        <x:v>John Castell</x:v>
      </x:c>
      <x:c r="E2560" t="str">
        <x:v>Consumer</x:v>
      </x:c>
      <x:c r="F2560" t="str">
        <x:v>South</x:v>
      </x:c>
      <x:c r="G2560" t="str">
        <x:v>Technology</x:v>
      </x:c>
      <x:c r="H2560" t="str">
        <x:v>Phones</x:v>
      </x:c>
      <x:c r="I2560" s="22" t="n">
        <x:v>705.544</x:v>
      </x:c>
      <x:c r="J2560" s="24" t="n">
        <x:v>7</x:v>
      </x:c>
      <x:c r="K2560" s="26" t="n">
        <x:v>0.2</x:v>
      </x:c>
      <x:c r="L2560" s="22" t="n">
        <x:v>70.55440000000007</x:v>
      </x:c>
      <x:c r="M2560" t="n">
        <x:v>2016</x:v>
      </x:c>
      <x:c r="N2560" s="20" t="n">
        <x:v>42583</x:v>
      </x:c>
    </x:row>
    <x:row r="2561" ht="18" customHeight="1">
      <x:c r="A2561" t="str">
        <x:v>CA-2015-111458</x:v>
      </x:c>
      <x:c r="B2561" s="18" t="n">
        <x:v>42273</x:v>
      </x:c>
      <x:c r="C2561" t="str">
        <x:v>PF-19165</x:v>
      </x:c>
      <x:c r="D2561" t="str">
        <x:v>Philip Fox</x:v>
      </x:c>
      <x:c r="E2561" t="str">
        <x:v>Consumer</x:v>
      </x:c>
      <x:c r="F2561" t="str">
        <x:v>East</x:v>
      </x:c>
      <x:c r="G2561" t="str">
        <x:v>Technology</x:v>
      </x:c>
      <x:c r="H2561" t="str">
        <x:v>Accessories</x:v>
      </x:c>
      <x:c r="I2561" s="22" t="n">
        <x:v>50</x:v>
      </x:c>
      <x:c r="J2561" s="24" t="n">
        <x:v>2</x:v>
      </x:c>
      <x:c r="K2561" s="26" t="n">
        <x:v>0</x:v>
      </x:c>
      <x:c r="L2561" s="22" t="n">
        <x:v>12</x:v>
      </x:c>
      <x:c r="M2561" t="n">
        <x:v>2015</x:v>
      </x:c>
      <x:c r="N2561" s="20" t="n">
        <x:v>42248</x:v>
      </x:c>
    </x:row>
    <x:row r="2562" ht="18" customHeight="1">
      <x:c r="A2562" t="str">
        <x:v>US-2016-126844</x:v>
      </x:c>
      <x:c r="B2562" s="18" t="n">
        <x:v>42651</x:v>
      </x:c>
      <x:c r="C2562" t="str">
        <x:v>BW-11110</x:v>
      </x:c>
      <x:c r="D2562" t="str">
        <x:v>Bart Watters</x:v>
      </x:c>
      <x:c r="E2562" t="str">
        <x:v>Corporate</x:v>
      </x:c>
      <x:c r="F2562" t="str">
        <x:v>Central</x:v>
      </x:c>
      <x:c r="G2562" t="str">
        <x:v>Furniture</x:v>
      </x:c>
      <x:c r="H2562" t="str">
        <x:v>Furnishings</x:v>
      </x:c>
      <x:c r="I2562" s="22" t="n">
        <x:v>51.712</x:v>
      </x:c>
      <x:c r="J2562" s="24" t="n">
        <x:v>8</x:v>
      </x:c>
      <x:c r="K2562" s="26" t="n">
        <x:v>0.6</x:v>
      </x:c>
      <x:c r="L2562" s="22" t="n">
        <x:v>-32.32000000000001</x:v>
      </x:c>
      <x:c r="M2562" t="n">
        <x:v>2016</x:v>
      </x:c>
      <x:c r="N2562" s="20" t="n">
        <x:v>42644</x:v>
      </x:c>
    </x:row>
    <x:row r="2563" ht="18" customHeight="1">
      <x:c r="A2563" t="str">
        <x:v>US-2015-112508</x:v>
      </x:c>
      <x:c r="B2563" s="18" t="n">
        <x:v>42087</x:v>
      </x:c>
      <x:c r="C2563" t="str">
        <x:v>BP-11185</x:v>
      </x:c>
      <x:c r="D2563" t="str">
        <x:v>Ben Peterman</x:v>
      </x:c>
      <x:c r="E2563" t="str">
        <x:v>Corporate</x:v>
      </x:c>
      <x:c r="F2563" t="str">
        <x:v>South</x:v>
      </x:c>
      <x:c r="G2563" t="str">
        <x:v>Office Supplies</x:v>
      </x:c>
      <x:c r="H2563" t="str">
        <x:v>Appliances</x:v>
      </x:c>
      <x:c r="I2563" s="22" t="n">
        <x:v>6.992000000000001</x:v>
      </x:c>
      <x:c r="J2563" s="24" t="n">
        <x:v>2</x:v>
      </x:c>
      <x:c r="K2563" s="26" t="n">
        <x:v>0.2</x:v>
      </x:c>
      <x:c r="L2563" s="22" t="n">
        <x:v>0.5244</x:v>
      </x:c>
      <x:c r="M2563" t="n">
        <x:v>2015</x:v>
      </x:c>
      <x:c r="N2563" s="20" t="n">
        <x:v>42064</x:v>
      </x:c>
    </x:row>
    <x:row r="2564" ht="18" customHeight="1">
      <x:c r="A2564" t="str">
        <x:v>CA-2015-147788</x:v>
      </x:c>
      <x:c r="B2564" s="18" t="n">
        <x:v>42155</x:v>
      </x:c>
      <x:c r="C2564" t="str">
        <x:v>TM-21010</x:v>
      </x:c>
      <x:c r="D2564" t="str">
        <x:v>Tamara Manning</x:v>
      </x:c>
      <x:c r="E2564" t="str">
        <x:v>Consumer</x:v>
      </x:c>
      <x:c r="F2564" t="str">
        <x:v>West</x:v>
      </x:c>
      <x:c r="G2564" t="str">
        <x:v>Furniture</x:v>
      </x:c>
      <x:c r="H2564" t="str">
        <x:v>Bookcases</x:v>
      </x:c>
      <x:c r="I2564" s="22" t="n">
        <x:v>1406.86</x:v>
      </x:c>
      <x:c r="J2564" s="24" t="n">
        <x:v>7</x:v>
      </x:c>
      <x:c r="K2564" s="26" t="n">
        <x:v>0</x:v>
      </x:c>
      <x:c r="L2564" s="22" t="n">
        <x:v>140.6859999999999</x:v>
      </x:c>
      <x:c r="M2564" t="n">
        <x:v>2015</x:v>
      </x:c>
      <x:c r="N2564" s="20" t="n">
        <x:v>42125</x:v>
      </x:c>
    </x:row>
    <x:row r="2565" ht="18" customHeight="1">
      <x:c r="A2565" t="str">
        <x:v>CA-2015-147788</x:v>
      </x:c>
      <x:c r="B2565" s="18" t="n">
        <x:v>42155</x:v>
      </x:c>
      <x:c r="C2565" t="str">
        <x:v>TM-21010</x:v>
      </x:c>
      <x:c r="D2565" t="str">
        <x:v>Tamara Manning</x:v>
      </x:c>
      <x:c r="E2565" t="str">
        <x:v>Consumer</x:v>
      </x:c>
      <x:c r="F2565" t="str">
        <x:v>West</x:v>
      </x:c>
      <x:c r="G2565" t="str">
        <x:v>Office Supplies</x:v>
      </x:c>
      <x:c r="H2565" t="str">
        <x:v>Labels</x:v>
      </x:c>
      <x:c r="I2565" s="22" t="n">
        <x:v>15.75</x:v>
      </x:c>
      <x:c r="J2565" s="24" t="n">
        <x:v>5</x:v>
      </x:c>
      <x:c r="K2565" s="26" t="n">
        <x:v>0</x:v>
      </x:c>
      <x:c r="L2565" s="22" t="n">
        <x:v>7.5600000000000005</x:v>
      </x:c>
      <x:c r="M2565" t="n">
        <x:v>2015</x:v>
      </x:c>
      <x:c r="N2565" s="20" t="n">
        <x:v>42125</x:v>
      </x:c>
    </x:row>
    <x:row r="2566" ht="18" customHeight="1">
      <x:c r="A2566" t="str">
        <x:v>CA-2015-147788</x:v>
      </x:c>
      <x:c r="B2566" s="18" t="n">
        <x:v>42155</x:v>
      </x:c>
      <x:c r="C2566" t="str">
        <x:v>TM-21010</x:v>
      </x:c>
      <x:c r="D2566" t="str">
        <x:v>Tamara Manning</x:v>
      </x:c>
      <x:c r="E2566" t="str">
        <x:v>Consumer</x:v>
      </x:c>
      <x:c r="F2566" t="str">
        <x:v>West</x:v>
      </x:c>
      <x:c r="G2566" t="str">
        <x:v>Office Supplies</x:v>
      </x:c>
      <x:c r="H2566" t="str">
        <x:v>Storage</x:v>
      </x:c>
      <x:c r="I2566" s="22" t="n">
        <x:v>323.1</x:v>
      </x:c>
      <x:c r="J2566" s="24" t="n">
        <x:v>2</x:v>
      </x:c>
      <x:c r="K2566" s="26" t="n">
        <x:v>0</x:v>
      </x:c>
      <x:c r="L2566" s="22" t="n">
        <x:v>61.38900000000001</x:v>
      </x:c>
      <x:c r="M2566" t="n">
        <x:v>2015</x:v>
      </x:c>
      <x:c r="N2566" s="20" t="n">
        <x:v>42125</x:v>
      </x:c>
    </x:row>
    <x:row r="2567" ht="18" customHeight="1">
      <x:c r="A2567" t="str">
        <x:v>CA-2015-144288</x:v>
      </x:c>
      <x:c r="B2567" s="18" t="n">
        <x:v>42363</x:v>
      </x:c>
      <x:c r="C2567" t="str">
        <x:v>MB-17305</x:v>
      </x:c>
      <x:c r="D2567" t="str">
        <x:v>Maria Bertelson</x:v>
      </x:c>
      <x:c r="E2567" t="str">
        <x:v>Consumer</x:v>
      </x:c>
      <x:c r="F2567" t="str">
        <x:v>South</x:v>
      </x:c>
      <x:c r="G2567" t="str">
        <x:v>Office Supplies</x:v>
      </x:c>
      <x:c r="H2567" t="str">
        <x:v>Labels</x:v>
      </x:c>
      <x:c r="I2567" s="22" t="n">
        <x:v>9.216</x:v>
      </x:c>
      <x:c r="J2567" s="24" t="n">
        <x:v>4</x:v>
      </x:c>
      <x:c r="K2567" s="26" t="n">
        <x:v>0.2</x:v>
      </x:c>
      <x:c r="L2567" s="22" t="n">
        <x:v>3.3408</x:v>
      </x:c>
      <x:c r="M2567" t="n">
        <x:v>2015</x:v>
      </x:c>
      <x:c r="N2567" s="20" t="n">
        <x:v>42339</x:v>
      </x:c>
    </x:row>
    <x:row r="2568" ht="18" customHeight="1">
      <x:c r="A2568" t="str">
        <x:v>CA-2015-144288</x:v>
      </x:c>
      <x:c r="B2568" s="18" t="n">
        <x:v>42363</x:v>
      </x:c>
      <x:c r="C2568" t="str">
        <x:v>MB-17305</x:v>
      </x:c>
      <x:c r="D2568" t="str">
        <x:v>Maria Bertelson</x:v>
      </x:c>
      <x:c r="E2568" t="str">
        <x:v>Consumer</x:v>
      </x:c>
      <x:c r="F2568" t="str">
        <x:v>South</x:v>
      </x:c>
      <x:c r="G2568" t="str">
        <x:v>Office Supplies</x:v>
      </x:c>
      <x:c r="H2568" t="str">
        <x:v>Paper</x:v>
      </x:c>
      <x:c r="I2568" s="22" t="n">
        <x:v>10.368000000000002</x:v>
      </x:c>
      <x:c r="J2568" s="24" t="n">
        <x:v>2</x:v>
      </x:c>
      <x:c r="K2568" s="26" t="n">
        <x:v>0.2</x:v>
      </x:c>
      <x:c r="L2568" s="22" t="n">
        <x:v>3.6288</x:v>
      </x:c>
      <x:c r="M2568" t="n">
        <x:v>2015</x:v>
      </x:c>
      <x:c r="N2568" s="20" t="n">
        <x:v>42339</x:v>
      </x:c>
    </x:row>
    <x:row r="2569" ht="18" customHeight="1">
      <x:c r="A2569" t="str">
        <x:v>CA-2015-110632</x:v>
      </x:c>
      <x:c r="B2569" s="18" t="n">
        <x:v>42080</x:v>
      </x:c>
      <x:c r="C2569" t="str">
        <x:v>HR-14830</x:v>
      </x:c>
      <x:c r="D2569" t="str">
        <x:v>Harold Ryan</x:v>
      </x:c>
      <x:c r="E2569" t="str">
        <x:v>Corporate</x:v>
      </x:c>
      <x:c r="F2569" t="str">
        <x:v>East</x:v>
      </x:c>
      <x:c r="G2569" t="str">
        <x:v>Technology</x:v>
      </x:c>
      <x:c r="H2569" t="str">
        <x:v>Accessories</x:v>
      </x:c>
      <x:c r="I2569" s="22" t="n">
        <x:v>15.02</x:v>
      </x:c>
      <x:c r="J2569" s="24" t="n">
        <x:v>1</x:v>
      </x:c>
      <x:c r="K2569" s="26" t="n">
        <x:v>0</x:v>
      </x:c>
      <x:c r="L2569" s="22" t="n">
        <x:v>2.7036</x:v>
      </x:c>
      <x:c r="M2569" t="n">
        <x:v>2015</x:v>
      </x:c>
      <x:c r="N2569" s="20" t="n">
        <x:v>42064</x:v>
      </x:c>
    </x:row>
    <x:row r="2570" ht="18" customHeight="1">
      <x:c r="A2570" t="str">
        <x:v>CA-2015-110632</x:v>
      </x:c>
      <x:c r="B2570" s="18" t="n">
        <x:v>42080</x:v>
      </x:c>
      <x:c r="C2570" t="str">
        <x:v>HR-14830</x:v>
      </x:c>
      <x:c r="D2570" t="str">
        <x:v>Harold Ryan</x:v>
      </x:c>
      <x:c r="E2570" t="str">
        <x:v>Corporate</x:v>
      </x:c>
      <x:c r="F2570" t="str">
        <x:v>East</x:v>
      </x:c>
      <x:c r="G2570" t="str">
        <x:v>Office Supplies</x:v>
      </x:c>
      <x:c r="H2570" t="str">
        <x:v>Storage</x:v>
      </x:c>
      <x:c r="I2570" s="22" t="n">
        <x:v>33.82</x:v>
      </x:c>
      <x:c r="J2570" s="24" t="n">
        <x:v>2</x:v>
      </x:c>
      <x:c r="K2570" s="26" t="n">
        <x:v>0</x:v>
      </x:c>
      <x:c r="L2570" s="22" t="n">
        <x:v>9.1314</x:v>
      </x:c>
      <x:c r="M2570" t="n">
        <x:v>2015</x:v>
      </x:c>
      <x:c r="N2570" s="20" t="n">
        <x:v>42064</x:v>
      </x:c>
    </x:row>
    <x:row r="2571" ht="18" customHeight="1">
      <x:c r="A2571" t="str">
        <x:v>CA-2017-109589</x:v>
      </x:c>
      <x:c r="B2571" s="18" t="n">
        <x:v>43090</x:v>
      </x:c>
      <x:c r="C2571" t="str">
        <x:v>BD-11635</x:v>
      </x:c>
      <x:c r="D2571" t="str">
        <x:v>Brian Derr</x:v>
      </x:c>
      <x:c r="E2571" t="str">
        <x:v>Consumer</x:v>
      </x:c>
      <x:c r="F2571" t="str">
        <x:v>South</x:v>
      </x:c>
      <x:c r="G2571" t="str">
        <x:v>Technology</x:v>
      </x:c>
      <x:c r="H2571" t="str">
        <x:v>Accessories</x:v>
      </x:c>
      <x:c r="I2571" s="22" t="n">
        <x:v>71</x:v>
      </x:c>
      <x:c r="J2571" s="24" t="n">
        <x:v>4</x:v>
      </x:c>
      <x:c r="K2571" s="26" t="n">
        <x:v>0</x:v>
      </x:c>
      <x:c r="L2571" s="22" t="n">
        <x:v>27.689999999999998</x:v>
      </x:c>
      <x:c r="M2571" t="n">
        <x:v>2017</x:v>
      </x:c>
      <x:c r="N2571" s="20" t="n">
        <x:v>43070</x:v>
      </x:c>
    </x:row>
    <x:row r="2572" ht="18" customHeight="1">
      <x:c r="A2572" t="str">
        <x:v>CA-2017-123967</x:v>
      </x:c>
      <x:c r="B2572" s="18" t="n">
        <x:v>43040</x:v>
      </x:c>
      <x:c r="C2572" t="str">
        <x:v>SF-20200</x:v>
      </x:c>
      <x:c r="D2572" t="str">
        <x:v>Sarah Foster</x:v>
      </x:c>
      <x:c r="E2572" t="str">
        <x:v>Consumer</x:v>
      </x:c>
      <x:c r="F2572" t="str">
        <x:v>West</x:v>
      </x:c>
      <x:c r="G2572" t="str">
        <x:v>Office Supplies</x:v>
      </x:c>
      <x:c r="H2572" t="str">
        <x:v>Binders</x:v>
      </x:c>
      <x:c r="I2572" s="22" t="n">
        <x:v>25.120000000000005</x:v>
      </x:c>
      <x:c r="J2572" s="24" t="n">
        <x:v>5</x:v>
      </x:c>
      <x:c r="K2572" s="26" t="n">
        <x:v>0.2</x:v>
      </x:c>
      <x:c r="L2572" s="22" t="n">
        <x:v>7.849999999999998</x:v>
      </x:c>
      <x:c r="M2572" t="n">
        <x:v>2017</x:v>
      </x:c>
      <x:c r="N2572" s="20" t="n">
        <x:v>43040</x:v>
      </x:c>
    </x:row>
    <x:row r="2573" ht="18" customHeight="1">
      <x:c r="A2573" t="str">
        <x:v>CA-2017-123967</x:v>
      </x:c>
      <x:c r="B2573" s="18" t="n">
        <x:v>43040</x:v>
      </x:c>
      <x:c r="C2573" t="str">
        <x:v>SF-20200</x:v>
      </x:c>
      <x:c r="D2573" t="str">
        <x:v>Sarah Foster</x:v>
      </x:c>
      <x:c r="E2573" t="str">
        <x:v>Consumer</x:v>
      </x:c>
      <x:c r="F2573" t="str">
        <x:v>West</x:v>
      </x:c>
      <x:c r="G2573" t="str">
        <x:v>Furniture</x:v>
      </x:c>
      <x:c r="H2573" t="str">
        <x:v>Tables</x:v>
      </x:c>
      <x:c r="I2573" s="22" t="n">
        <x:v>2665.62</x:v>
      </x:c>
      <x:c r="J2573" s="24" t="n">
        <x:v>9</x:v>
      </x:c>
      <x:c r="K2573" s="26" t="n">
        <x:v>0</x:v>
      </x:c>
      <x:c r="L2573" s="22" t="n">
        <x:v>239.9058000000001</x:v>
      </x:c>
      <x:c r="M2573" t="n">
        <x:v>2017</x:v>
      </x:c>
      <x:c r="N2573" s="20" t="n">
        <x:v>43040</x:v>
      </x:c>
    </x:row>
    <x:row r="2574" ht="18" customHeight="1">
      <x:c r="A2574" t="str">
        <x:v>CA-2017-148929</x:v>
      </x:c>
      <x:c r="B2574" s="18" t="n">
        <x:v>42985</x:v>
      </x:c>
      <x:c r="C2574" t="str">
        <x:v>SP-20620</x:v>
      </x:c>
      <x:c r="D2574" t="str">
        <x:v>Stefania Perrino</x:v>
      </x:c>
      <x:c r="E2574" t="str">
        <x:v>Corporate</x:v>
      </x:c>
      <x:c r="F2574" t="str">
        <x:v>East</x:v>
      </x:c>
      <x:c r="G2574" t="str">
        <x:v>Office Supplies</x:v>
      </x:c>
      <x:c r="H2574" t="str">
        <x:v>Storage</x:v>
      </x:c>
      <x:c r="I2574" s="22" t="n">
        <x:v>478.08</x:v>
      </x:c>
      <x:c r="J2574" s="24" t="n">
        <x:v>8</x:v>
      </x:c>
      <x:c r="K2574" s="26" t="n">
        <x:v>0</x:v>
      </x:c>
      <x:c r="L2574" s="22" t="n">
        <x:v>133.86240000000004</x:v>
      </x:c>
      <x:c r="M2574" t="n">
        <x:v>2017</x:v>
      </x:c>
      <x:c r="N2574" s="20" t="n">
        <x:v>42979</x:v>
      </x:c>
    </x:row>
    <x:row r="2575" ht="18" customHeight="1">
      <x:c r="A2575" t="str">
        <x:v>CA-2017-134404</x:v>
      </x:c>
      <x:c r="B2575" s="18" t="n">
        <x:v>43096</x:v>
      </x:c>
      <x:c r="C2575" t="str">
        <x:v>DR-12880</x:v>
      </x:c>
      <x:c r="D2575" t="str">
        <x:v>Dan Reichenbach</x:v>
      </x:c>
      <x:c r="E2575" t="str">
        <x:v>Corporate</x:v>
      </x:c>
      <x:c r="F2575" t="str">
        <x:v>East</x:v>
      </x:c>
      <x:c r="G2575" t="str">
        <x:v>Technology</x:v>
      </x:c>
      <x:c r="H2575" t="str">
        <x:v>Phones</x:v>
      </x:c>
      <x:c r="I2575" s="22" t="n">
        <x:v>164.388</x:v>
      </x:c>
      <x:c r="J2575" s="24" t="n">
        <x:v>2</x:v>
      </x:c>
      <x:c r="K2575" s="26" t="n">
        <x:v>0.4</x:v>
      </x:c>
      <x:c r="L2575" s="22" t="n">
        <x:v>-35.6174</x:v>
      </x:c>
      <x:c r="M2575" t="n">
        <x:v>2017</x:v>
      </x:c>
      <x:c r="N2575" s="20" t="n">
        <x:v>43070</x:v>
      </x:c>
    </x:row>
    <x:row r="2576" ht="18" customHeight="1">
      <x:c r="A2576" t="str">
        <x:v>CA-2017-134404</x:v>
      </x:c>
      <x:c r="B2576" s="18" t="n">
        <x:v>43096</x:v>
      </x:c>
      <x:c r="C2576" t="str">
        <x:v>DR-12880</x:v>
      </x:c>
      <x:c r="D2576" t="str">
        <x:v>Dan Reichenbach</x:v>
      </x:c>
      <x:c r="E2576" t="str">
        <x:v>Corporate</x:v>
      </x:c>
      <x:c r="F2576" t="str">
        <x:v>East</x:v>
      </x:c>
      <x:c r="G2576" t="str">
        <x:v>Office Supplies</x:v>
      </x:c>
      <x:c r="H2576" t="str">
        <x:v>Art</x:v>
      </x:c>
      <x:c r="I2576" s="22" t="n">
        <x:v>13.248</x:v>
      </x:c>
      <x:c r="J2576" s="24" t="n">
        <x:v>4</x:v>
      </x:c>
      <x:c r="K2576" s="26" t="n">
        <x:v>0.2</x:v>
      </x:c>
      <x:c r="L2576" s="22" t="n">
        <x:v>3.6431999999999998</x:v>
      </x:c>
      <x:c r="M2576" t="n">
        <x:v>2017</x:v>
      </x:c>
      <x:c r="N2576" s="20" t="n">
        <x:v>43070</x:v>
      </x:c>
    </x:row>
    <x:row r="2577" ht="18" customHeight="1">
      <x:c r="A2577" t="str">
        <x:v>CA-2017-109778</x:v>
      </x:c>
      <x:c r="B2577" s="18" t="n">
        <x:v>42932</x:v>
      </x:c>
      <x:c r="C2577" t="str">
        <x:v>VM-21685</x:v>
      </x:c>
      <x:c r="D2577" t="str">
        <x:v>Valerie Mitchum</x:v>
      </x:c>
      <x:c r="E2577" t="str">
        <x:v>Home Office</x:v>
      </x:c>
      <x:c r="F2577" t="str">
        <x:v>Central</x:v>
      </x:c>
      <x:c r="G2577" t="str">
        <x:v>Office Supplies</x:v>
      </x:c>
      <x:c r="H2577" t="str">
        <x:v>Art</x:v>
      </x:c>
      <x:c r="I2577" s="22" t="n">
        <x:v>2.9120000000000004</x:v>
      </x:c>
      <x:c r="J2577" s="24" t="n">
        <x:v>2</x:v>
      </x:c>
      <x:c r="K2577" s="26" t="n">
        <x:v>0.2</x:v>
      </x:c>
      <x:c r="L2577" s="22" t="n">
        <x:v>0.9099999999999998</x:v>
      </x:c>
      <x:c r="M2577" t="n">
        <x:v>2017</x:v>
      </x:c>
      <x:c r="N2577" s="20" t="n">
        <x:v>42917</x:v>
      </x:c>
    </x:row>
    <x:row r="2578" ht="18" customHeight="1">
      <x:c r="A2578" t="str">
        <x:v>CA-2016-155845</x:v>
      </x:c>
      <x:c r="B2578" s="18" t="n">
        <x:v>42594</x:v>
      </x:c>
      <x:c r="C2578" t="str">
        <x:v>CM-12235</x:v>
      </x:c>
      <x:c r="D2578" t="str">
        <x:v>Chris McAfee</x:v>
      </x:c>
      <x:c r="E2578" t="str">
        <x:v>Consumer</x:v>
      </x:c>
      <x:c r="F2578" t="str">
        <x:v>Central</x:v>
      </x:c>
      <x:c r="G2578" t="str">
        <x:v>Technology</x:v>
      </x:c>
      <x:c r="H2578" t="str">
        <x:v>Accessories</x:v>
      </x:c>
      <x:c r="I2578" s="22" t="n">
        <x:v>1399.9440000000002</x:v>
      </x:c>
      <x:c r="J2578" s="24" t="n">
        <x:v>7</x:v>
      </x:c>
      <x:c r="K2578" s="26" t="n">
        <x:v>0.2</x:v>
      </x:c>
      <x:c r="L2578" s="22" t="n">
        <x:v>52.497900000000016</x:v>
      </x:c>
      <x:c r="M2578" t="n">
        <x:v>2016</x:v>
      </x:c>
      <x:c r="N2578" s="20" t="n">
        <x:v>42583</x:v>
      </x:c>
    </x:row>
    <x:row r="2579" ht="18" customHeight="1">
      <x:c r="A2579" t="str">
        <x:v>CA-2017-145128</x:v>
      </x:c>
      <x:c r="B2579" s="18" t="n">
        <x:v>42925</x:v>
      </x:c>
      <x:c r="C2579" t="str">
        <x:v>SM-20320</x:v>
      </x:c>
      <x:c r="D2579" t="str">
        <x:v>Sean Miller</x:v>
      </x:c>
      <x:c r="E2579" t="str">
        <x:v>Home Office</x:v>
      </x:c>
      <x:c r="F2579" t="str">
        <x:v>Central</x:v>
      </x:c>
      <x:c r="G2579" t="str">
        <x:v>Furniture</x:v>
      </x:c>
      <x:c r="H2579" t="str">
        <x:v>Furnishings</x:v>
      </x:c>
      <x:c r="I2579" s="22" t="n">
        <x:v>526.45</x:v>
      </x:c>
      <x:c r="J2579" s="24" t="n">
        <x:v>5</x:v>
      </x:c>
      <x:c r="K2579" s="26" t="n">
        <x:v>0</x:v>
      </x:c>
      <x:c r="L2579" s="22" t="n">
        <x:v>31.58699999999996</x:v>
      </x:c>
      <x:c r="M2579" t="n">
        <x:v>2017</x:v>
      </x:c>
      <x:c r="N2579" s="20" t="n">
        <x:v>42917</x:v>
      </x:c>
    </x:row>
    <x:row r="2580" ht="18" customHeight="1">
      <x:c r="A2580" t="str">
        <x:v>CA-2014-129091</x:v>
      </x:c>
      <x:c r="B2580" s="18" t="n">
        <x:v>41965</x:v>
      </x:c>
      <x:c r="C2580" t="str">
        <x:v>RA-19885</x:v>
      </x:c>
      <x:c r="D2580" t="str">
        <x:v>Ruben Ausman</x:v>
      </x:c>
      <x:c r="E2580" t="str">
        <x:v>Corporate</x:v>
      </x:c>
      <x:c r="F2580" t="str">
        <x:v>South</x:v>
      </x:c>
      <x:c r="G2580" t="str">
        <x:v>Office Supplies</x:v>
      </x:c>
      <x:c r="H2580" t="str">
        <x:v>Envelopes</x:v>
      </x:c>
      <x:c r="I2580" s="22" t="n">
        <x:v>16.23</x:v>
      </x:c>
      <x:c r="J2580" s="24" t="n">
        <x:v>3</x:v>
      </x:c>
      <x:c r="K2580" s="26" t="n">
        <x:v>0</x:v>
      </x:c>
      <x:c r="L2580" s="22" t="n">
        <x:v>7.9527</x:v>
      </x:c>
      <x:c r="M2580" t="n">
        <x:v>2014</x:v>
      </x:c>
      <x:c r="N2580" s="20" t="n">
        <x:v>41944</x:v>
      </x:c>
    </x:row>
    <x:row r="2581" ht="18" customHeight="1">
      <x:c r="A2581" t="str">
        <x:v>CA-2014-129091</x:v>
      </x:c>
      <x:c r="B2581" s="18" t="n">
        <x:v>41965</x:v>
      </x:c>
      <x:c r="C2581" t="str">
        <x:v>RA-19885</x:v>
      </x:c>
      <x:c r="D2581" t="str">
        <x:v>Ruben Ausman</x:v>
      </x:c>
      <x:c r="E2581" t="str">
        <x:v>Corporate</x:v>
      </x:c>
      <x:c r="F2581" t="str">
        <x:v>South</x:v>
      </x:c>
      <x:c r="G2581" t="str">
        <x:v>Office Supplies</x:v>
      </x:c>
      <x:c r="H2581" t="str">
        <x:v>Binders</x:v>
      </x:c>
      <x:c r="I2581" s="22" t="n">
        <x:v>319.9</x:v>
      </x:c>
      <x:c r="J2581" s="24" t="n">
        <x:v>5</x:v>
      </x:c>
      <x:c r="K2581" s="26" t="n">
        <x:v>0</x:v>
      </x:c>
      <x:c r="L2581" s="22" t="n">
        <x:v>156.751</x:v>
      </x:c>
      <x:c r="M2581" t="n">
        <x:v>2014</x:v>
      </x:c>
      <x:c r="N2581" s="20" t="n">
        <x:v>41944</x:v>
      </x:c>
    </x:row>
    <x:row r="2582" ht="18" customHeight="1">
      <x:c r="A2582" t="str">
        <x:v>CA-2014-129091</x:v>
      </x:c>
      <x:c r="B2582" s="18" t="n">
        <x:v>41965</x:v>
      </x:c>
      <x:c r="C2582" t="str">
        <x:v>RA-19885</x:v>
      </x:c>
      <x:c r="D2582" t="str">
        <x:v>Ruben Ausman</x:v>
      </x:c>
      <x:c r="E2582" t="str">
        <x:v>Corporate</x:v>
      </x:c>
      <x:c r="F2582" t="str">
        <x:v>South</x:v>
      </x:c>
      <x:c r="G2582" t="str">
        <x:v>Office Supplies</x:v>
      </x:c>
      <x:c r="H2582" t="str">
        <x:v>Envelopes</x:v>
      </x:c>
      <x:c r="I2582" s="22" t="n">
        <x:v>11.36</x:v>
      </x:c>
      <x:c r="J2582" s="24" t="n">
        <x:v>2</x:v>
      </x:c>
      <x:c r="K2582" s="26" t="n">
        <x:v>0</x:v>
      </x:c>
      <x:c r="L2582" s="22" t="n">
        <x:v>5.339199999999999</x:v>
      </x:c>
      <x:c r="M2582" t="n">
        <x:v>2014</x:v>
      </x:c>
      <x:c r="N2582" s="20" t="n">
        <x:v>41944</x:v>
      </x:c>
    </x:row>
    <x:row r="2583" ht="18" customHeight="1">
      <x:c r="A2583" t="str">
        <x:v>CA-2014-129091</x:v>
      </x:c>
      <x:c r="B2583" s="18" t="n">
        <x:v>41965</x:v>
      </x:c>
      <x:c r="C2583" t="str">
        <x:v>RA-19885</x:v>
      </x:c>
      <x:c r="D2583" t="str">
        <x:v>Ruben Ausman</x:v>
      </x:c>
      <x:c r="E2583" t="str">
        <x:v>Corporate</x:v>
      </x:c>
      <x:c r="F2583" t="str">
        <x:v>South</x:v>
      </x:c>
      <x:c r="G2583" t="str">
        <x:v>Office Supplies</x:v>
      </x:c>
      <x:c r="H2583" t="str">
        <x:v>Appliances</x:v>
      </x:c>
      <x:c r="I2583" s="22" t="n">
        <x:v>675.12</x:v>
      </x:c>
      <x:c r="J2583" s="24" t="n">
        <x:v>3</x:v>
      </x:c>
      <x:c r="K2583" s="26" t="n">
        <x:v>0</x:v>
      </x:c>
      <x:c r="L2583" s="22" t="n">
        <x:v>290.3016</x:v>
      </x:c>
      <x:c r="M2583" t="n">
        <x:v>2014</x:v>
      </x:c>
      <x:c r="N2583" s="20" t="n">
        <x:v>41944</x:v>
      </x:c>
    </x:row>
    <x:row r="2584" ht="18" customHeight="1">
      <x:c r="A2584" t="str">
        <x:v>US-2014-155502</x:v>
      </x:c>
      <x:c r="B2584" s="18" t="n">
        <x:v>41665</x:v>
      </x:c>
      <x:c r="C2584" t="str">
        <x:v>SD-20485</x:v>
      </x:c>
      <x:c r="D2584" t="str">
        <x:v>Shirley Daniels</x:v>
      </x:c>
      <x:c r="E2584" t="str">
        <x:v>Home Office</x:v>
      </x:c>
      <x:c r="F2584" t="str">
        <x:v>South</x:v>
      </x:c>
      <x:c r="G2584" t="str">
        <x:v>Furniture</x:v>
      </x:c>
      <x:c r="H2584" t="str">
        <x:v>Furnishings</x:v>
      </x:c>
      <x:c r="I2584" s="22" t="n">
        <x:v>62.82000000000001</x:v>
      </x:c>
      <x:c r="J2584" s="24" t="n">
        <x:v>3</x:v>
      </x:c>
      <x:c r="K2584" s="26" t="n">
        <x:v>0</x:v>
      </x:c>
      <x:c r="L2584" s="22" t="n">
        <x:v>30.7818</x:v>
      </x:c>
      <x:c r="M2584" t="n">
        <x:v>2014</x:v>
      </x:c>
      <x:c r="N2584" s="20" t="n">
        <x:v>41640</x:v>
      </x:c>
    </x:row>
    <x:row r="2585" ht="18" customHeight="1">
      <x:c r="A2585" t="str">
        <x:v>US-2014-155502</x:v>
      </x:c>
      <x:c r="B2585" s="18" t="n">
        <x:v>41665</x:v>
      </x:c>
      <x:c r="C2585" t="str">
        <x:v>SD-20485</x:v>
      </x:c>
      <x:c r="D2585" t="str">
        <x:v>Shirley Daniels</x:v>
      </x:c>
      <x:c r="E2585" t="str">
        <x:v>Home Office</x:v>
      </x:c>
      <x:c r="F2585" t="str">
        <x:v>South</x:v>
      </x:c>
      <x:c r="G2585" t="str">
        <x:v>Office Supplies</x:v>
      </x:c>
      <x:c r="H2585" t="str">
        <x:v>Storage</x:v>
      </x:c>
      <x:c r="I2585" s="22" t="n">
        <x:v>489.92</x:v>
      </x:c>
      <x:c r="J2585" s="24" t="n">
        <x:v>8</x:v>
      </x:c>
      <x:c r="K2585" s="26" t="n">
        <x:v>0</x:v>
      </x:c>
      <x:c r="L2585" s="22" t="n">
        <x:v>0</x:v>
      </x:c>
      <x:c r="M2585" t="n">
        <x:v>2014</x:v>
      </x:c>
      <x:c r="N2585" s="20" t="n">
        <x:v>41640</x:v>
      </x:c>
    </x:row>
    <x:row r="2586" ht="18" customHeight="1">
      <x:c r="A2586" t="str">
        <x:v>US-2014-155502</x:v>
      </x:c>
      <x:c r="B2586" s="18" t="n">
        <x:v>41665</x:v>
      </x:c>
      <x:c r="C2586" t="str">
        <x:v>SD-20485</x:v>
      </x:c>
      <x:c r="D2586" t="str">
        <x:v>Shirley Daniels</x:v>
      </x:c>
      <x:c r="E2586" t="str">
        <x:v>Home Office</x:v>
      </x:c>
      <x:c r="F2586" t="str">
        <x:v>South</x:v>
      </x:c>
      <x:c r="G2586" t="str">
        <x:v>Office Supplies</x:v>
      </x:c>
      <x:c r="H2586" t="str">
        <x:v>Paper</x:v>
      </x:c>
      <x:c r="I2586" s="22" t="n">
        <x:v>19.44</x:v>
      </x:c>
      <x:c r="J2586" s="24" t="n">
        <x:v>3</x:v>
      </x:c>
      <x:c r="K2586" s="26" t="n">
        <x:v>0</x:v>
      </x:c>
      <x:c r="L2586" s="22" t="n">
        <x:v>9.3312</x:v>
      </x:c>
      <x:c r="M2586" t="n">
        <x:v>2014</x:v>
      </x:c>
      <x:c r="N2586" s="20" t="n">
        <x:v>41640</x:v>
      </x:c>
    </x:row>
    <x:row r="2587" ht="18" customHeight="1">
      <x:c r="A2587" t="str">
        <x:v>US-2014-155502</x:v>
      </x:c>
      <x:c r="B2587" s="18" t="n">
        <x:v>41665</x:v>
      </x:c>
      <x:c r="C2587" t="str">
        <x:v>SD-20485</x:v>
      </x:c>
      <x:c r="D2587" t="str">
        <x:v>Shirley Daniels</x:v>
      </x:c>
      <x:c r="E2587" t="str">
        <x:v>Home Office</x:v>
      </x:c>
      <x:c r="F2587" t="str">
        <x:v>South</x:v>
      </x:c>
      <x:c r="G2587" t="str">
        <x:v>Office Supplies</x:v>
      </x:c>
      <x:c r="H2587" t="str">
        <x:v>Paper</x:v>
      </x:c>
      <x:c r="I2587" s="22" t="n">
        <x:v>16.68</x:v>
      </x:c>
      <x:c r="J2587" s="24" t="n">
        <x:v>2</x:v>
      </x:c>
      <x:c r="K2587" s="26" t="n">
        <x:v>0</x:v>
      </x:c>
      <x:c r="L2587" s="22" t="n">
        <x:v>8.34</x:v>
      </x:c>
      <x:c r="M2587" t="n">
        <x:v>2014</x:v>
      </x:c>
      <x:c r="N2587" s="20" t="n">
        <x:v>41640</x:v>
      </x:c>
    </x:row>
    <x:row r="2588" ht="18" customHeight="1">
      <x:c r="A2588" t="str">
        <x:v>US-2014-155502</x:v>
      </x:c>
      <x:c r="B2588" s="18" t="n">
        <x:v>41665</x:v>
      </x:c>
      <x:c r="C2588" t="str">
        <x:v>SD-20485</x:v>
      </x:c>
      <x:c r="D2588" t="str">
        <x:v>Shirley Daniels</x:v>
      </x:c>
      <x:c r="E2588" t="str">
        <x:v>Home Office</x:v>
      </x:c>
      <x:c r="F2588" t="str">
        <x:v>South</x:v>
      </x:c>
      <x:c r="G2588" t="str">
        <x:v>Technology</x:v>
      </x:c>
      <x:c r="H2588" t="str">
        <x:v>Phones</x:v>
      </x:c>
      <x:c r="I2588" s="22" t="n">
        <x:v>155.35</x:v>
      </x:c>
      <x:c r="J2588" s="24" t="n">
        <x:v>13</x:v>
      </x:c>
      <x:c r="K2588" s="26" t="n">
        <x:v>0</x:v>
      </x:c>
      <x:c r="L2588" s="22" t="n">
        <x:v>0</x:v>
      </x:c>
      <x:c r="M2588" t="n">
        <x:v>2014</x:v>
      </x:c>
      <x:c r="N2588" s="20" t="n">
        <x:v>41640</x:v>
      </x:c>
    </x:row>
    <x:row r="2589" ht="18" customHeight="1">
      <x:c r="A2589" t="str">
        <x:v>US-2014-155502</x:v>
      </x:c>
      <x:c r="B2589" s="18" t="n">
        <x:v>41665</x:v>
      </x:c>
      <x:c r="C2589" t="str">
        <x:v>SD-20485</x:v>
      </x:c>
      <x:c r="D2589" t="str">
        <x:v>Shirley Daniels</x:v>
      </x:c>
      <x:c r="E2589" t="str">
        <x:v>Home Office</x:v>
      </x:c>
      <x:c r="F2589" t="str">
        <x:v>South</x:v>
      </x:c>
      <x:c r="G2589" t="str">
        <x:v>Furniture</x:v>
      </x:c>
      <x:c r="H2589" t="str">
        <x:v>Furnishings</x:v>
      </x:c>
      <x:c r="I2589" s="22" t="n">
        <x:v>12.419999999999998</x:v>
      </x:c>
      <x:c r="J2589" s="24" t="n">
        <x:v>3</x:v>
      </x:c>
      <x:c r="K2589" s="26" t="n">
        <x:v>0</x:v>
      </x:c>
      <x:c r="L2589" s="22" t="n">
        <x:v>4.4712</x:v>
      </x:c>
      <x:c r="M2589" t="n">
        <x:v>2014</x:v>
      </x:c>
      <x:c r="N2589" s="20" t="n">
        <x:v>41640</x:v>
      </x:c>
    </x:row>
    <x:row r="2590" ht="18" customHeight="1">
      <x:c r="A2590" t="str">
        <x:v>US-2014-155502</x:v>
      </x:c>
      <x:c r="B2590" s="18" t="n">
        <x:v>41665</x:v>
      </x:c>
      <x:c r="C2590" t="str">
        <x:v>SD-20485</x:v>
      </x:c>
      <x:c r="D2590" t="str">
        <x:v>Shirley Daniels</x:v>
      </x:c>
      <x:c r="E2590" t="str">
        <x:v>Home Office</x:v>
      </x:c>
      <x:c r="F2590" t="str">
        <x:v>South</x:v>
      </x:c>
      <x:c r="G2590" t="str">
        <x:v>Technology</x:v>
      </x:c>
      <x:c r="H2590" t="str">
        <x:v>Phones</x:v>
      </x:c>
      <x:c r="I2590" s="22" t="n">
        <x:v>187.98</x:v>
      </x:c>
      <x:c r="J2590" s="24" t="n">
        <x:v>2</x:v>
      </x:c>
      <x:c r="K2590" s="26" t="n">
        <x:v>0</x:v>
      </x:c>
      <x:c r="L2590" s="22" t="n">
        <x:v>52.6344</x:v>
      </x:c>
      <x:c r="M2590" t="n">
        <x:v>2014</x:v>
      </x:c>
      <x:c r="N2590" s="20" t="n">
        <x:v>41640</x:v>
      </x:c>
    </x:row>
    <x:row r="2591" ht="18" customHeight="1">
      <x:c r="A2591" t="str">
        <x:v>CA-2015-121041</x:v>
      </x:c>
      <x:c r="B2591" s="18" t="n">
        <x:v>42311</x:v>
      </x:c>
      <x:c r="C2591" t="str">
        <x:v>CS-12250</x:v>
      </x:c>
      <x:c r="D2591" t="str">
        <x:v>Chris Selesnick</x:v>
      </x:c>
      <x:c r="E2591" t="str">
        <x:v>Corporate</x:v>
      </x:c>
      <x:c r="F2591" t="str">
        <x:v>Central</x:v>
      </x:c>
      <x:c r="G2591" t="str">
        <x:v>Office Supplies</x:v>
      </x:c>
      <x:c r="H2591" t="str">
        <x:v>Envelopes</x:v>
      </x:c>
      <x:c r="I2591" s="22" t="n">
        <x:v>6.6080000000000005</x:v>
      </x:c>
      <x:c r="J2591" s="24" t="n">
        <x:v>2</x:v>
      </x:c>
      <x:c r="K2591" s="26" t="n">
        <x:v>0.2</x:v>
      </x:c>
      <x:c r="L2591" s="22" t="n">
        <x:v>2.1475999999999997</x:v>
      </x:c>
      <x:c r="M2591" t="n">
        <x:v>2015</x:v>
      </x:c>
      <x:c r="N2591" s="20" t="n">
        <x:v>42309</x:v>
      </x:c>
    </x:row>
    <x:row r="2592" ht="18" customHeight="1">
      <x:c r="A2592" t="str">
        <x:v>CA-2017-131695</x:v>
      </x:c>
      <x:c r="B2592" s="18" t="n">
        <x:v>42916</x:v>
      </x:c>
      <x:c r="C2592" t="str">
        <x:v>RA-19285</x:v>
      </x:c>
      <x:c r="D2592" t="str">
        <x:v>Ralph Arnett</x:v>
      </x:c>
      <x:c r="E2592" t="str">
        <x:v>Consumer</x:v>
      </x:c>
      <x:c r="F2592" t="str">
        <x:v>East</x:v>
      </x:c>
      <x:c r="G2592" t="str">
        <x:v>Office Supplies</x:v>
      </x:c>
      <x:c r="H2592" t="str">
        <x:v>Storage</x:v>
      </x:c>
      <x:c r="I2592" s="22" t="n">
        <x:v>248.57</x:v>
      </x:c>
      <x:c r="J2592" s="24" t="n">
        <x:v>7</x:v>
      </x:c>
      <x:c r="K2592" s="26" t="n">
        <x:v>0</x:v>
      </x:c>
      <x:c r="L2592" s="22" t="n">
        <x:v>67.11390000000002</x:v>
      </x:c>
      <x:c r="M2592" t="n">
        <x:v>2017</x:v>
      </x:c>
      <x:c r="N2592" s="20" t="n">
        <x:v>42887</x:v>
      </x:c>
    </x:row>
    <x:row r="2593" ht="18" customHeight="1">
      <x:c r="A2593" t="str">
        <x:v>CA-2017-131695</x:v>
      </x:c>
      <x:c r="B2593" s="18" t="n">
        <x:v>42916</x:v>
      </x:c>
      <x:c r="C2593" t="str">
        <x:v>RA-19285</x:v>
      </x:c>
      <x:c r="D2593" t="str">
        <x:v>Ralph Arnett</x:v>
      </x:c>
      <x:c r="E2593" t="str">
        <x:v>Consumer</x:v>
      </x:c>
      <x:c r="F2593" t="str">
        <x:v>East</x:v>
      </x:c>
      <x:c r="G2593" t="str">
        <x:v>Furniture</x:v>
      </x:c>
      <x:c r="H2593" t="str">
        <x:v>Furnishings</x:v>
      </x:c>
      <x:c r="I2593" s="22" t="n">
        <x:v>22.23</x:v>
      </x:c>
      <x:c r="J2593" s="24" t="n">
        <x:v>1</x:v>
      </x:c>
      <x:c r="K2593" s="26" t="n">
        <x:v>0</x:v>
      </x:c>
      <x:c r="L2593" s="22" t="n">
        <x:v>9.781200000000002</x:v>
      </x:c>
      <x:c r="M2593" t="n">
        <x:v>2017</x:v>
      </x:c>
      <x:c r="N2593" s="20" t="n">
        <x:v>42887</x:v>
      </x:c>
    </x:row>
    <x:row r="2594" ht="18" customHeight="1">
      <x:c r="A2594" t="str">
        <x:v>CA-2016-137729</x:v>
      </x:c>
      <x:c r="B2594" s="18" t="n">
        <x:v>42495</x:v>
      </x:c>
      <x:c r="C2594" t="str">
        <x:v>BF-11005</x:v>
      </x:c>
      <x:c r="D2594" t="str">
        <x:v>Barry Franz</x:v>
      </x:c>
      <x:c r="E2594" t="str">
        <x:v>Home Office</x:v>
      </x:c>
      <x:c r="F2594" t="str">
        <x:v>West</x:v>
      </x:c>
      <x:c r="G2594" t="str">
        <x:v>Office Supplies</x:v>
      </x:c>
      <x:c r="H2594" t="str">
        <x:v>Storage</x:v>
      </x:c>
      <x:c r="I2594" s="22" t="n">
        <x:v>5.98</x:v>
      </x:c>
      <x:c r="J2594" s="24" t="n">
        <x:v>1</x:v>
      </x:c>
      <x:c r="K2594" s="26" t="n">
        <x:v>0</x:v>
      </x:c>
      <x:c r="L2594" s="22" t="n">
        <x:v>1.0165999999999995</x:v>
      </x:c>
      <x:c r="M2594" t="n">
        <x:v>2016</x:v>
      </x:c>
      <x:c r="N2594" s="20" t="n">
        <x:v>42491</x:v>
      </x:c>
    </x:row>
    <x:row r="2595" ht="18" customHeight="1">
      <x:c r="A2595" t="str">
        <x:v>CA-2016-137729</x:v>
      </x:c>
      <x:c r="B2595" s="18" t="n">
        <x:v>42495</x:v>
      </x:c>
      <x:c r="C2595" t="str">
        <x:v>BF-11005</x:v>
      </x:c>
      <x:c r="D2595" t="str">
        <x:v>Barry Franz</x:v>
      </x:c>
      <x:c r="E2595" t="str">
        <x:v>Home Office</x:v>
      </x:c>
      <x:c r="F2595" t="str">
        <x:v>West</x:v>
      </x:c>
      <x:c r="G2595" t="str">
        <x:v>Technology</x:v>
      </x:c>
      <x:c r="H2595" t="str">
        <x:v>Phones</x:v>
      </x:c>
      <x:c r="I2595" s="22" t="n">
        <x:v>246.168</x:v>
      </x:c>
      <x:c r="J2595" s="24" t="n">
        <x:v>3</x:v>
      </x:c>
      <x:c r="K2595" s="26" t="n">
        <x:v>0.2</x:v>
      </x:c>
      <x:c r="L2595" s="22" t="n">
        <x:v>21.539699999999996</x:v>
      </x:c>
      <x:c r="M2595" t="n">
        <x:v>2016</x:v>
      </x:c>
      <x:c r="N2595" s="20" t="n">
        <x:v>42491</x:v>
      </x:c>
    </x:row>
    <x:row r="2596" ht="18" customHeight="1">
      <x:c r="A2596" t="str">
        <x:v>US-2016-115455</x:v>
      </x:c>
      <x:c r="B2596" s="18" t="n">
        <x:v>42621</x:v>
      </x:c>
      <x:c r="C2596" t="str">
        <x:v>SE-20110</x:v>
      </x:c>
      <x:c r="D2596" t="str">
        <x:v>Sanjit Engle</x:v>
      </x:c>
      <x:c r="E2596" t="str">
        <x:v>Consumer</x:v>
      </x:c>
      <x:c r="F2596" t="str">
        <x:v>Central</x:v>
      </x:c>
      <x:c r="G2596" t="str">
        <x:v>Furniture</x:v>
      </x:c>
      <x:c r="H2596" t="str">
        <x:v>Furnishings</x:v>
      </x:c>
      <x:c r="I2596" s="22" t="n">
        <x:v>14.136000000000003</x:v>
      </x:c>
      <x:c r="J2596" s="24" t="n">
        <x:v>2</x:v>
      </x:c>
      <x:c r="K2596" s="26" t="n">
        <x:v>0.6</x:v>
      </x:c>
      <x:c r="L2596" s="22" t="n">
        <x:v>-7.774799999999999</x:v>
      </x:c>
      <x:c r="M2596" t="n">
        <x:v>2016</x:v>
      </x:c>
      <x:c r="N2596" s="20" t="n">
        <x:v>42614</x:v>
      </x:c>
    </x:row>
    <x:row r="2597" ht="18" customHeight="1">
      <x:c r="A2597" t="str">
        <x:v>US-2016-115455</x:v>
      </x:c>
      <x:c r="B2597" s="18" t="n">
        <x:v>42621</x:v>
      </x:c>
      <x:c r="C2597" t="str">
        <x:v>SE-20110</x:v>
      </x:c>
      <x:c r="D2597" t="str">
        <x:v>Sanjit Engle</x:v>
      </x:c>
      <x:c r="E2597" t="str">
        <x:v>Consumer</x:v>
      </x:c>
      <x:c r="F2597" t="str">
        <x:v>Central</x:v>
      </x:c>
      <x:c r="G2597" t="str">
        <x:v>Furniture</x:v>
      </x:c>
      <x:c r="H2597" t="str">
        <x:v>Tables</x:v>
      </x:c>
      <x:c r="I2597" s="22" t="n">
        <x:v>601.47</x:v>
      </x:c>
      <x:c r="J2597" s="24" t="n">
        <x:v>3</x:v>
      </x:c>
      <x:c r="K2597" s="26" t="n">
        <x:v>0.5</x:v>
      </x:c>
      <x:c r="L2597" s="22" t="n">
        <x:v>-300.735</x:v>
      </x:c>
      <x:c r="M2597" t="n">
        <x:v>2016</x:v>
      </x:c>
      <x:c r="N2597" s="20" t="n">
        <x:v>42614</x:v>
      </x:c>
    </x:row>
    <x:row r="2598" ht="18" customHeight="1">
      <x:c r="A2598" t="str">
        <x:v>CA-2017-128300</x:v>
      </x:c>
      <x:c r="B2598" s="18" t="n">
        <x:v>43063</x:v>
      </x:c>
      <x:c r="C2598" t="str">
        <x:v>RS-19765</x:v>
      </x:c>
      <x:c r="D2598" t="str">
        <x:v>Roland Schwarz</x:v>
      </x:c>
      <x:c r="E2598" t="str">
        <x:v>Corporate</x:v>
      </x:c>
      <x:c r="F2598" t="str">
        <x:v>South</x:v>
      </x:c>
      <x:c r="G2598" t="str">
        <x:v>Technology</x:v>
      </x:c>
      <x:c r="H2598" t="str">
        <x:v>Phones</x:v>
      </x:c>
      <x:c r="I2598" s="22" t="n">
        <x:v>79.1</x:v>
      </x:c>
      <x:c r="J2598" s="24" t="n">
        <x:v>2</x:v>
      </x:c>
      <x:c r="K2598" s="26" t="n">
        <x:v>0</x:v>
      </x:c>
      <x:c r="L2598" s="22" t="n">
        <x:v>39.55</x:v>
      </x:c>
      <x:c r="M2598" t="n">
        <x:v>2017</x:v>
      </x:c>
      <x:c r="N2598" s="20" t="n">
        <x:v>43040</x:v>
      </x:c>
    </x:row>
    <x:row r="2599" ht="18" customHeight="1">
      <x:c r="A2599" t="str">
        <x:v>CA-2017-128300</x:v>
      </x:c>
      <x:c r="B2599" s="18" t="n">
        <x:v>43063</x:v>
      </x:c>
      <x:c r="C2599" t="str">
        <x:v>RS-19765</x:v>
      </x:c>
      <x:c r="D2599" t="str">
        <x:v>Roland Schwarz</x:v>
      </x:c>
      <x:c r="E2599" t="str">
        <x:v>Corporate</x:v>
      </x:c>
      <x:c r="F2599" t="str">
        <x:v>South</x:v>
      </x:c>
      <x:c r="G2599" t="str">
        <x:v>Office Supplies</x:v>
      </x:c>
      <x:c r="H2599" t="str">
        <x:v>Binders</x:v>
      </x:c>
      <x:c r="I2599" s="22" t="n">
        <x:v>327.84</x:v>
      </x:c>
      <x:c r="J2599" s="24" t="n">
        <x:v>8</x:v>
      </x:c>
      <x:c r="K2599" s="26" t="n">
        <x:v>0</x:v>
      </x:c>
      <x:c r="L2599" s="22" t="n">
        <x:v>157.36319999999998</x:v>
      </x:c>
      <x:c r="M2599" t="n">
        <x:v>2017</x:v>
      </x:c>
      <x:c r="N2599" s="20" t="n">
        <x:v>43040</x:v>
      </x:c>
    </x:row>
    <x:row r="2600" ht="18" customHeight="1">
      <x:c r="A2600" t="str">
        <x:v>CA-2017-149048</x:v>
      </x:c>
      <x:c r="B2600" s="18" t="n">
        <x:v>42868</x:v>
      </x:c>
      <x:c r="C2600" t="str">
        <x:v>BM-11650</x:v>
      </x:c>
      <x:c r="D2600" t="str">
        <x:v>Brian Moss</x:v>
      </x:c>
      <x:c r="E2600" t="str">
        <x:v>Corporate</x:v>
      </x:c>
      <x:c r="F2600" t="str">
        <x:v>Central</x:v>
      </x:c>
      <x:c r="G2600" t="str">
        <x:v>Office Supplies</x:v>
      </x:c>
      <x:c r="H2600" t="str">
        <x:v>Envelopes</x:v>
      </x:c>
      <x:c r="I2600" s="22" t="n">
        <x:v>180.96</x:v>
      </x:c>
      <x:c r="J2600" s="24" t="n">
        <x:v>2</x:v>
      </x:c>
      <x:c r="K2600" s="26" t="n">
        <x:v>0</x:v>
      </x:c>
      <x:c r="L2600" s="22" t="n">
        <x:v>81.432</x:v>
      </x:c>
      <x:c r="M2600" t="n">
        <x:v>2017</x:v>
      </x:c>
      <x:c r="N2600" s="20" t="n">
        <x:v>42856</x:v>
      </x:c>
    </x:row>
    <x:row r="2601" ht="18" customHeight="1">
      <x:c r="A2601" t="str">
        <x:v>CA-2017-149048</x:v>
      </x:c>
      <x:c r="B2601" s="18" t="n">
        <x:v>42868</x:v>
      </x:c>
      <x:c r="C2601" t="str">
        <x:v>BM-11650</x:v>
      </x:c>
      <x:c r="D2601" t="str">
        <x:v>Brian Moss</x:v>
      </x:c>
      <x:c r="E2601" t="str">
        <x:v>Corporate</x:v>
      </x:c>
      <x:c r="F2601" t="str">
        <x:v>Central</x:v>
      </x:c>
      <x:c r="G2601" t="str">
        <x:v>Office Supplies</x:v>
      </x:c>
      <x:c r="H2601" t="str">
        <x:v>Binders</x:v>
      </x:c>
      <x:c r="I2601" s="22" t="n">
        <x:v>914.97</x:v>
      </x:c>
      <x:c r="J2601" s="24" t="n">
        <x:v>3</x:v>
      </x:c>
      <x:c r="K2601" s="26" t="n">
        <x:v>0</x:v>
      </x:c>
      <x:c r="L2601" s="22" t="n">
        <x:v>411.7365</x:v>
      </x:c>
      <x:c r="M2601" t="n">
        <x:v>2017</x:v>
      </x:c>
      <x:c r="N2601" s="20" t="n">
        <x:v>42856</x:v>
      </x:c>
    </x:row>
    <x:row r="2602" ht="18" customHeight="1">
      <x:c r="A2602" t="str">
        <x:v>CA-2017-149048</x:v>
      </x:c>
      <x:c r="B2602" s="18" t="n">
        <x:v>42868</x:v>
      </x:c>
      <x:c r="C2602" t="str">
        <x:v>BM-11650</x:v>
      </x:c>
      <x:c r="D2602" t="str">
        <x:v>Brian Moss</x:v>
      </x:c>
      <x:c r="E2602" t="str">
        <x:v>Corporate</x:v>
      </x:c>
      <x:c r="F2602" t="str">
        <x:v>Central</x:v>
      </x:c>
      <x:c r="G2602" t="str">
        <x:v>Technology</x:v>
      </x:c>
      <x:c r="H2602" t="str">
        <x:v>Phones</x:v>
      </x:c>
      <x:c r="I2602" s="22" t="n">
        <x:v>587.97</x:v>
      </x:c>
      <x:c r="J2602" s="24" t="n">
        <x:v>3</x:v>
      </x:c>
      <x:c r="K2602" s="26" t="n">
        <x:v>0</x:v>
      </x:c>
      <x:c r="L2602" s="22" t="n">
        <x:v>158.75190000000003</x:v>
      </x:c>
      <x:c r="M2602" t="n">
        <x:v>2017</x:v>
      </x:c>
      <x:c r="N2602" s="20" t="n">
        <x:v>42856</x:v>
      </x:c>
    </x:row>
    <x:row r="2603" ht="18" customHeight="1">
      <x:c r="A2603" t="str">
        <x:v>CA-2017-149048</x:v>
      </x:c>
      <x:c r="B2603" s="18" t="n">
        <x:v>42868</x:v>
      </x:c>
      <x:c r="C2603" t="str">
        <x:v>BM-11650</x:v>
      </x:c>
      <x:c r="D2603" t="str">
        <x:v>Brian Moss</x:v>
      </x:c>
      <x:c r="E2603" t="str">
        <x:v>Corporate</x:v>
      </x:c>
      <x:c r="F2603" t="str">
        <x:v>Central</x:v>
      </x:c>
      <x:c r="G2603" t="str">
        <x:v>Office Supplies</x:v>
      </x:c>
      <x:c r="H2603" t="str">
        <x:v>Storage</x:v>
      </x:c>
      <x:c r="I2603" s="22" t="n">
        <x:v>530.34</x:v>
      </x:c>
      <x:c r="J2603" s="24" t="n">
        <x:v>2</x:v>
      </x:c>
      <x:c r="K2603" s="26" t="n">
        <x:v>0</x:v>
      </x:c>
      <x:c r="L2603" s="22" t="n">
        <x:v>95.46119999999996</x:v>
      </x:c>
      <x:c r="M2603" t="n">
        <x:v>2017</x:v>
      </x:c>
      <x:c r="N2603" s="20" t="n">
        <x:v>42856</x:v>
      </x:c>
    </x:row>
    <x:row r="2604" ht="18" customHeight="1">
      <x:c r="A2604" t="str">
        <x:v>CA-2017-149048</x:v>
      </x:c>
      <x:c r="B2604" s="18" t="n">
        <x:v>42868</x:v>
      </x:c>
      <x:c r="C2604" t="str">
        <x:v>BM-11650</x:v>
      </x:c>
      <x:c r="D2604" t="str">
        <x:v>Brian Moss</x:v>
      </x:c>
      <x:c r="E2604" t="str">
        <x:v>Corporate</x:v>
      </x:c>
      <x:c r="F2604" t="str">
        <x:v>Central</x:v>
      </x:c>
      <x:c r="G2604" t="str">
        <x:v>Office Supplies</x:v>
      </x:c>
      <x:c r="H2604" t="str">
        <x:v>Paper</x:v>
      </x:c>
      <x:c r="I2604" s="22" t="n">
        <x:v>14.940000000000001</x:v>
      </x:c>
      <x:c r="J2604" s="24" t="n">
        <x:v>3</x:v>
      </x:c>
      <x:c r="K2604" s="26" t="n">
        <x:v>0</x:v>
      </x:c>
      <x:c r="L2604" s="22" t="n">
        <x:v>7.320600000000001</x:v>
      </x:c>
      <x:c r="M2604" t="n">
        <x:v>2017</x:v>
      </x:c>
      <x:c r="N2604" s="20" t="n">
        <x:v>42856</x:v>
      </x:c>
    </x:row>
    <x:row r="2605" ht="18" customHeight="1">
      <x:c r="A2605" t="str">
        <x:v>CA-2017-108553</x:v>
      </x:c>
      <x:c r="B2605" s="18" t="n">
        <x:v>42848</x:v>
      </x:c>
      <x:c r="C2605" t="str">
        <x:v>SK-19990</x:v>
      </x:c>
      <x:c r="D2605" t="str">
        <x:v>Sally Knutson</x:v>
      </x:c>
      <x:c r="E2605" t="str">
        <x:v>Consumer</x:v>
      </x:c>
      <x:c r="F2605" t="str">
        <x:v>East</x:v>
      </x:c>
      <x:c r="G2605" t="str">
        <x:v>Office Supplies</x:v>
      </x:c>
      <x:c r="H2605" t="str">
        <x:v>Appliances</x:v>
      </x:c>
      <x:c r="I2605" s="22" t="n">
        <x:v>121.94</x:v>
      </x:c>
      <x:c r="J2605" s="24" t="n">
        <x:v>2</x:v>
      </x:c>
      <x:c r="K2605" s="26" t="n">
        <x:v>0</x:v>
      </x:c>
      <x:c r="L2605" s="22" t="n">
        <x:v>35.362599999999986</x:v>
      </x:c>
      <x:c r="M2605" t="n">
        <x:v>2017</x:v>
      </x:c>
      <x:c r="N2605" s="20" t="n">
        <x:v>42826</x:v>
      </x:c>
    </x:row>
    <x:row r="2606" ht="18" customHeight="1">
      <x:c r="A2606" t="str">
        <x:v>CA-2017-108553</x:v>
      </x:c>
      <x:c r="B2606" s="18" t="n">
        <x:v>42848</x:v>
      </x:c>
      <x:c r="C2606" t="str">
        <x:v>SK-19990</x:v>
      </x:c>
      <x:c r="D2606" t="str">
        <x:v>Sally Knutson</x:v>
      </x:c>
      <x:c r="E2606" t="str">
        <x:v>Consumer</x:v>
      </x:c>
      <x:c r="F2606" t="str">
        <x:v>East</x:v>
      </x:c>
      <x:c r="G2606" t="str">
        <x:v>Office Supplies</x:v>
      </x:c>
      <x:c r="H2606" t="str">
        <x:v>Supplies</x:v>
      </x:c>
      <x:c r="I2606" s="22" t="n">
        <x:v>122.71000000000001</x:v>
      </x:c>
      <x:c r="J2606" s="24" t="n">
        <x:v>7</x:v>
      </x:c>
      <x:c r="K2606" s="26" t="n">
        <x:v>0</x:v>
      </x:c>
      <x:c r="L2606" s="22" t="n">
        <x:v>36.81299999999999</x:v>
      </x:c>
      <x:c r="M2606" t="n">
        <x:v>2017</x:v>
      </x:c>
      <x:c r="N2606" s="20" t="n">
        <x:v>42826</x:v>
      </x:c>
    </x:row>
    <x:row r="2607" ht="18" customHeight="1">
      <x:c r="A2607" t="str">
        <x:v>CA-2016-165848</x:v>
      </x:c>
      <x:c r="B2607" s="18" t="n">
        <x:v>42525</x:v>
      </x:c>
      <x:c r="C2607" t="str">
        <x:v>EN-13780</x:v>
      </x:c>
      <x:c r="D2607" t="str">
        <x:v>Edward Nazzal</x:v>
      </x:c>
      <x:c r="E2607" t="str">
        <x:v>Consumer</x:v>
      </x:c>
      <x:c r="F2607" t="str">
        <x:v>East</x:v>
      </x:c>
      <x:c r="G2607" t="str">
        <x:v>Office Supplies</x:v>
      </x:c>
      <x:c r="H2607" t="str">
        <x:v>Paper</x:v>
      </x:c>
      <x:c r="I2607" s="22" t="n">
        <x:v>14.940000000000001</x:v>
      </x:c>
      <x:c r="J2607" s="24" t="n">
        <x:v>3</x:v>
      </x:c>
      <x:c r="K2607" s="26" t="n">
        <x:v>0</x:v>
      </x:c>
      <x:c r="L2607" s="22" t="n">
        <x:v>7.021800000000001</x:v>
      </x:c>
      <x:c r="M2607" t="n">
        <x:v>2016</x:v>
      </x:c>
      <x:c r="N2607" s="20" t="n">
        <x:v>42522</x:v>
      </x:c>
    </x:row>
    <x:row r="2608" ht="18" customHeight="1">
      <x:c r="A2608" t="str">
        <x:v>CA-2016-165848</x:v>
      </x:c>
      <x:c r="B2608" s="18" t="n">
        <x:v>42525</x:v>
      </x:c>
      <x:c r="C2608" t="str">
        <x:v>EN-13780</x:v>
      </x:c>
      <x:c r="D2608" t="str">
        <x:v>Edward Nazzal</x:v>
      </x:c>
      <x:c r="E2608" t="str">
        <x:v>Consumer</x:v>
      </x:c>
      <x:c r="F2608" t="str">
        <x:v>East</x:v>
      </x:c>
      <x:c r="G2608" t="str">
        <x:v>Technology</x:v>
      </x:c>
      <x:c r="H2608" t="str">
        <x:v>Machines</x:v>
      </x:c>
      <x:c r="I2608" s="22" t="n">
        <x:v>1349.85</x:v>
      </x:c>
      <x:c r="J2608" s="24" t="n">
        <x:v>3</x:v>
      </x:c>
      <x:c r="K2608" s="26" t="n">
        <x:v>0</x:v>
      </x:c>
      <x:c r="L2608" s="22" t="n">
        <x:v>364.45949999999993</x:v>
      </x:c>
      <x:c r="M2608" t="n">
        <x:v>2016</x:v>
      </x:c>
      <x:c r="N2608" s="20" t="n">
        <x:v>42522</x:v>
      </x:c>
    </x:row>
    <x:row r="2609" ht="18" customHeight="1">
      <x:c r="A2609" t="str">
        <x:v>CA-2016-165848</x:v>
      </x:c>
      <x:c r="B2609" s="18" t="n">
        <x:v>42525</x:v>
      </x:c>
      <x:c r="C2609" t="str">
        <x:v>EN-13780</x:v>
      </x:c>
      <x:c r="D2609" t="str">
        <x:v>Edward Nazzal</x:v>
      </x:c>
      <x:c r="E2609" t="str">
        <x:v>Consumer</x:v>
      </x:c>
      <x:c r="F2609" t="str">
        <x:v>East</x:v>
      </x:c>
      <x:c r="G2609" t="str">
        <x:v>Furniture</x:v>
      </x:c>
      <x:c r="H2609" t="str">
        <x:v>Bookcases</x:v>
      </x:c>
      <x:c r="I2609" s="22" t="n">
        <x:v>136.784</x:v>
      </x:c>
      <x:c r="J2609" s="24" t="n">
        <x:v>1</x:v>
      </x:c>
      <x:c r="K2609" s="26" t="n">
        <x:v>0.2</x:v>
      </x:c>
      <x:c r="L2609" s="22" t="n">
        <x:v>5.129400000000004</x:v>
      </x:c>
      <x:c r="M2609" t="n">
        <x:v>2016</x:v>
      </x:c>
      <x:c r="N2609" s="20" t="n">
        <x:v>42522</x:v>
      </x:c>
    </x:row>
    <x:row r="2610" ht="18" customHeight="1">
      <x:c r="A2610" t="str">
        <x:v>CA-2016-165848</x:v>
      </x:c>
      <x:c r="B2610" s="18" t="n">
        <x:v>42525</x:v>
      </x:c>
      <x:c r="C2610" t="str">
        <x:v>EN-13780</x:v>
      </x:c>
      <x:c r="D2610" t="str">
        <x:v>Edward Nazzal</x:v>
      </x:c>
      <x:c r="E2610" t="str">
        <x:v>Consumer</x:v>
      </x:c>
      <x:c r="F2610" t="str">
        <x:v>East</x:v>
      </x:c>
      <x:c r="G2610" t="str">
        <x:v>Furniture</x:v>
      </x:c>
      <x:c r="H2610" t="str">
        <x:v>Furnishings</x:v>
      </x:c>
      <x:c r="I2610" s="22" t="n">
        <x:v>61.12</x:v>
      </x:c>
      <x:c r="J2610" s="24" t="n">
        <x:v>4</x:v>
      </x:c>
      <x:c r="K2610" s="26" t="n">
        <x:v>0</x:v>
      </x:c>
      <x:c r="L2610" s="22" t="n">
        <x:v>20.7808</x:v>
      </x:c>
      <x:c r="M2610" t="n">
        <x:v>2016</x:v>
      </x:c>
      <x:c r="N2610" s="20" t="n">
        <x:v>42522</x:v>
      </x:c>
    </x:row>
    <x:row r="2611" ht="18" customHeight="1">
      <x:c r="A2611" t="str">
        <x:v>CA-2014-112718</x:v>
      </x:c>
      <x:c r="B2611" s="18" t="n">
        <x:v>41989</x:v>
      </x:c>
      <x:c r="C2611" t="str">
        <x:v>KN-16450</x:v>
      </x:c>
      <x:c r="D2611" t="str">
        <x:v>Kean Nguyen</x:v>
      </x:c>
      <x:c r="E2611" t="str">
        <x:v>Corporate</x:v>
      </x:c>
      <x:c r="F2611" t="str">
        <x:v>South</x:v>
      </x:c>
      <x:c r="G2611" t="str">
        <x:v>Office Supplies</x:v>
      </x:c>
      <x:c r="H2611" t="str">
        <x:v>Binders</x:v>
      </x:c>
      <x:c r="I2611" s="22" t="n">
        <x:v>1.1670000000000003</x:v>
      </x:c>
      <x:c r="J2611" s="24" t="n">
        <x:v>1</x:v>
      </x:c>
      <x:c r="K2611" s="26" t="n">
        <x:v>0.7</x:v>
      </x:c>
      <x:c r="L2611" s="22" t="n">
        <x:v>-0.8557999999999999</x:v>
      </x:c>
      <x:c r="M2611" t="n">
        <x:v>2014</x:v>
      </x:c>
      <x:c r="N2611" s="20" t="n">
        <x:v>41974</x:v>
      </x:c>
    </x:row>
    <x:row r="2612" ht="18" customHeight="1">
      <x:c r="A2612" t="str">
        <x:v>CA-2016-154053</x:v>
      </x:c>
      <x:c r="B2612" s="18" t="n">
        <x:v>42433</x:v>
      </x:c>
      <x:c r="C2612" t="str">
        <x:v>MG-17890</x:v>
      </x:c>
      <x:c r="D2612" t="str">
        <x:v>Michael Granlund</x:v>
      </x:c>
      <x:c r="E2612" t="str">
        <x:v>Home Office</x:v>
      </x:c>
      <x:c r="F2612" t="str">
        <x:v>West</x:v>
      </x:c>
      <x:c r="G2612" t="str">
        <x:v>Office Supplies</x:v>
      </x:c>
      <x:c r="H2612" t="str">
        <x:v>Art</x:v>
      </x:c>
      <x:c r="I2612" s="22" t="n">
        <x:v>16.99</x:v>
      </x:c>
      <x:c r="J2612" s="24" t="n">
        <x:v>1</x:v>
      </x:c>
      <x:c r="K2612" s="26" t="n">
        <x:v>0</x:v>
      </x:c>
      <x:c r="L2612" s="22" t="n">
        <x:v>4.927099999999998</x:v>
      </x:c>
      <x:c r="M2612" t="n">
        <x:v>2016</x:v>
      </x:c>
      <x:c r="N2612" s="20" t="n">
        <x:v>42430</x:v>
      </x:c>
    </x:row>
    <x:row r="2613" ht="18" customHeight="1">
      <x:c r="A2613" t="str">
        <x:v>CA-2014-127446</x:v>
      </x:c>
      <x:c r="B2613" s="18" t="n">
        <x:v>41968</x:v>
      </x:c>
      <x:c r="C2613" t="str">
        <x:v>MC-17590</x:v>
      </x:c>
      <x:c r="D2613" t="str">
        <x:v>Matt Collister</x:v>
      </x:c>
      <x:c r="E2613" t="str">
        <x:v>Corporate</x:v>
      </x:c>
      <x:c r="F2613" t="str">
        <x:v>Central</x:v>
      </x:c>
      <x:c r="G2613" t="str">
        <x:v>Technology</x:v>
      </x:c>
      <x:c r="H2613" t="str">
        <x:v>Accessories</x:v>
      </x:c>
      <x:c r="I2613" s="22" t="n">
        <x:v>24.672</x:v>
      </x:c>
      <x:c r="J2613" s="24" t="n">
        <x:v>3</x:v>
      </x:c>
      <x:c r="K2613" s="26" t="n">
        <x:v>0.2</x:v>
      </x:c>
      <x:c r="L2613" s="22" t="n">
        <x:v>0</x:v>
      </x:c>
      <x:c r="M2613" t="n">
        <x:v>2014</x:v>
      </x:c>
      <x:c r="N2613" s="20" t="n">
        <x:v>41944</x:v>
      </x:c>
    </x:row>
    <x:row r="2614" ht="18" customHeight="1">
      <x:c r="A2614" t="str">
        <x:v>CA-2014-127446</x:v>
      </x:c>
      <x:c r="B2614" s="18" t="n">
        <x:v>41968</x:v>
      </x:c>
      <x:c r="C2614" t="str">
        <x:v>MC-17590</x:v>
      </x:c>
      <x:c r="D2614" t="str">
        <x:v>Matt Collister</x:v>
      </x:c>
      <x:c r="E2614" t="str">
        <x:v>Corporate</x:v>
      </x:c>
      <x:c r="F2614" t="str">
        <x:v>Central</x:v>
      </x:c>
      <x:c r="G2614" t="str">
        <x:v>Office Supplies</x:v>
      </x:c>
      <x:c r="H2614" t="str">
        <x:v>Labels</x:v>
      </x:c>
      <x:c r="I2614" s="22" t="n">
        <x:v>2.52</x:v>
      </x:c>
      <x:c r="J2614" s="24" t="n">
        <x:v>1</x:v>
      </x:c>
      <x:c r="K2614" s="26" t="n">
        <x:v>0.2</x:v>
      </x:c>
      <x:c r="L2614" s="22" t="n">
        <x:v>0.882</x:v>
      </x:c>
      <x:c r="M2614" t="n">
        <x:v>2014</x:v>
      </x:c>
      <x:c r="N2614" s="20" t="n">
        <x:v>41944</x:v>
      </x:c>
    </x:row>
    <x:row r="2615" ht="18" customHeight="1">
      <x:c r="A2615" t="str">
        <x:v>CA-2014-127446</x:v>
      </x:c>
      <x:c r="B2615" s="18" t="n">
        <x:v>41968</x:v>
      </x:c>
      <x:c r="C2615" t="str">
        <x:v>MC-17590</x:v>
      </x:c>
      <x:c r="D2615" t="str">
        <x:v>Matt Collister</x:v>
      </x:c>
      <x:c r="E2615" t="str">
        <x:v>Corporate</x:v>
      </x:c>
      <x:c r="F2615" t="str">
        <x:v>Central</x:v>
      </x:c>
      <x:c r="G2615" t="str">
        <x:v>Furniture</x:v>
      </x:c>
      <x:c r="H2615" t="str">
        <x:v>Tables</x:v>
      </x:c>
      <x:c r="I2615" s="22" t="n">
        <x:v>1218.7349999999997</x:v>
      </x:c>
      <x:c r="J2615" s="24" t="n">
        <x:v>5</x:v>
      </x:c>
      <x:c r="K2615" s="26" t="n">
        <x:v>0.3</x:v>
      </x:c>
      <x:c r="L2615" s="22" t="n">
        <x:v>-121.87349999999992</x:v>
      </x:c>
      <x:c r="M2615" t="n">
        <x:v>2014</x:v>
      </x:c>
      <x:c r="N2615" s="20" t="n">
        <x:v>41944</x:v>
      </x:c>
    </x:row>
    <x:row r="2616" ht="18" customHeight="1">
      <x:c r="A2616" t="str">
        <x:v>CA-2014-127446</x:v>
      </x:c>
      <x:c r="B2616" s="18" t="n">
        <x:v>41968</x:v>
      </x:c>
      <x:c r="C2616" t="str">
        <x:v>MC-17590</x:v>
      </x:c>
      <x:c r="D2616" t="str">
        <x:v>Matt Collister</x:v>
      </x:c>
      <x:c r="E2616" t="str">
        <x:v>Corporate</x:v>
      </x:c>
      <x:c r="F2616" t="str">
        <x:v>Central</x:v>
      </x:c>
      <x:c r="G2616" t="str">
        <x:v>Office Supplies</x:v>
      </x:c>
      <x:c r="H2616" t="str">
        <x:v>Labels</x:v>
      </x:c>
      <x:c r="I2616" s="22" t="n">
        <x:v>5.904</x:v>
      </x:c>
      <x:c r="J2616" s="24" t="n">
        <x:v>2</x:v>
      </x:c>
      <x:c r="K2616" s="26" t="n">
        <x:v>0.2</x:v>
      </x:c>
      <x:c r="L2616" s="22" t="n">
        <x:v>1.9926</x:v>
      </x:c>
      <x:c r="M2616" t="n">
        <x:v>2014</x:v>
      </x:c>
      <x:c r="N2616" s="20" t="n">
        <x:v>41944</x:v>
      </x:c>
    </x:row>
    <x:row r="2617" ht="18" customHeight="1">
      <x:c r="A2617" t="str">
        <x:v>CA-2014-127446</x:v>
      </x:c>
      <x:c r="B2617" s="18" t="n">
        <x:v>41968</x:v>
      </x:c>
      <x:c r="C2617" t="str">
        <x:v>MC-17590</x:v>
      </x:c>
      <x:c r="D2617" t="str">
        <x:v>Matt Collister</x:v>
      </x:c>
      <x:c r="E2617" t="str">
        <x:v>Corporate</x:v>
      </x:c>
      <x:c r="F2617" t="str">
        <x:v>Central</x:v>
      </x:c>
      <x:c r="G2617" t="str">
        <x:v>Office Supplies</x:v>
      </x:c>
      <x:c r="H2617" t="str">
        <x:v>Paper</x:v>
      </x:c>
      <x:c r="I2617" s="22" t="n">
        <x:v>15.696000000000002</x:v>
      </x:c>
      <x:c r="J2617" s="24" t="n">
        <x:v>3</x:v>
      </x:c>
      <x:c r="K2617" s="26" t="n">
        <x:v>0.2</x:v>
      </x:c>
      <x:c r="L2617" s="22" t="n">
        <x:v>5.1011999999999995</x:v>
      </x:c>
      <x:c r="M2617" t="n">
        <x:v>2014</x:v>
      </x:c>
      <x:c r="N2617" s="20" t="n">
        <x:v>41944</x:v>
      </x:c>
    </x:row>
    <x:row r="2618" ht="18" customHeight="1">
      <x:c r="A2618" t="str">
        <x:v>CA-2014-127446</x:v>
      </x:c>
      <x:c r="B2618" s="18" t="n">
        <x:v>41968</x:v>
      </x:c>
      <x:c r="C2618" t="str">
        <x:v>MC-17590</x:v>
      </x:c>
      <x:c r="D2618" t="str">
        <x:v>Matt Collister</x:v>
      </x:c>
      <x:c r="E2618" t="str">
        <x:v>Corporate</x:v>
      </x:c>
      <x:c r="F2618" t="str">
        <x:v>Central</x:v>
      </x:c>
      <x:c r="G2618" t="str">
        <x:v>Furniture</x:v>
      </x:c>
      <x:c r="H2618" t="str">
        <x:v>Furnishings</x:v>
      </x:c>
      <x:c r="I2618" s="22" t="n">
        <x:v>6.096</x:v>
      </x:c>
      <x:c r="J2618" s="24" t="n">
        <x:v>3</x:v>
      </x:c>
      <x:c r="K2618" s="26" t="n">
        <x:v>0.6</x:v>
      </x:c>
      <x:c r="L2618" s="22" t="n">
        <x:v>-3.9624000000000006</x:v>
      </x:c>
      <x:c r="M2618" t="n">
        <x:v>2014</x:v>
      </x:c>
      <x:c r="N2618" s="20" t="n">
        <x:v>41944</x:v>
      </x:c>
    </x:row>
    <x:row r="2619" ht="18" customHeight="1">
      <x:c r="A2619" t="str">
        <x:v>CA-2016-137204</x:v>
      </x:c>
      <x:c r="B2619" s="18" t="n">
        <x:v>42488</x:v>
      </x:c>
      <x:c r="C2619" t="str">
        <x:v>BO-11350</x:v>
      </x:c>
      <x:c r="D2619" t="str">
        <x:v>Bill Overfelt</x:v>
      </x:c>
      <x:c r="E2619" t="str">
        <x:v>Corporate</x:v>
      </x:c>
      <x:c r="F2619" t="str">
        <x:v>West</x:v>
      </x:c>
      <x:c r="G2619" t="str">
        <x:v>Furniture</x:v>
      </x:c>
      <x:c r="H2619" t="str">
        <x:v>Chairs</x:v>
      </x:c>
      <x:c r="I2619" s="22" t="n">
        <x:v>41.568000000000005</x:v>
      </x:c>
      <x:c r="J2619" s="24" t="n">
        <x:v>2</x:v>
      </x:c>
      <x:c r="K2619" s="26" t="n">
        <x:v>0.2</x:v>
      </x:c>
      <x:c r="L2619" s="22" t="n">
        <x:v>2.5980000000000008</x:v>
      </x:c>
      <x:c r="M2619" t="n">
        <x:v>2016</x:v>
      </x:c>
      <x:c r="N2619" s="20" t="n">
        <x:v>42461</x:v>
      </x:c>
    </x:row>
    <x:row r="2620" ht="18" customHeight="1">
      <x:c r="A2620" t="str">
        <x:v>CA-2014-147298</x:v>
      </x:c>
      <x:c r="B2620" s="18" t="n">
        <x:v>41755</x:v>
      </x:c>
      <x:c r="C2620" t="str">
        <x:v>AG-10300</x:v>
      </x:c>
      <x:c r="D2620" t="str">
        <x:v>Aleksandra Gannaway</x:v>
      </x:c>
      <x:c r="E2620" t="str">
        <x:v>Corporate</x:v>
      </x:c>
      <x:c r="F2620" t="str">
        <x:v>West</x:v>
      </x:c>
      <x:c r="G2620" t="str">
        <x:v>Furniture</x:v>
      </x:c>
      <x:c r="H2620" t="str">
        <x:v>Chairs</x:v>
      </x:c>
      <x:c r="I2620" s="22" t="n">
        <x:v>230.28000000000003</x:v>
      </x:c>
      <x:c r="J2620" s="24" t="n">
        <x:v>3</x:v>
      </x:c>
      <x:c r="K2620" s="26" t="n">
        <x:v>0.2</x:v>
      </x:c>
      <x:c r="L2620" s="22" t="n">
        <x:v>23.02799999999999</x:v>
      </x:c>
      <x:c r="M2620" t="n">
        <x:v>2014</x:v>
      </x:c>
      <x:c r="N2620" s="20" t="n">
        <x:v>41730</x:v>
      </x:c>
    </x:row>
    <x:row r="2621" ht="18" customHeight="1">
      <x:c r="A2621" t="str">
        <x:v>CA-2014-147298</x:v>
      </x:c>
      <x:c r="B2621" s="18" t="n">
        <x:v>41755</x:v>
      </x:c>
      <x:c r="C2621" t="str">
        <x:v>AG-10300</x:v>
      </x:c>
      <x:c r="D2621" t="str">
        <x:v>Aleksandra Gannaway</x:v>
      </x:c>
      <x:c r="E2621" t="str">
        <x:v>Corporate</x:v>
      </x:c>
      <x:c r="F2621" t="str">
        <x:v>West</x:v>
      </x:c>
      <x:c r="G2621" t="str">
        <x:v>Office Supplies</x:v>
      </x:c>
      <x:c r="H2621" t="str">
        <x:v>Binders</x:v>
      </x:c>
      <x:c r="I2621" s="22" t="n">
        <x:v>18.288</x:v>
      </x:c>
      <x:c r="J2621" s="24" t="n">
        <x:v>6</x:v>
      </x:c>
      <x:c r="K2621" s="26" t="n">
        <x:v>0.2</x:v>
      </x:c>
      <x:c r="L2621" s="22" t="n">
        <x:v>5.714999999999999</x:v>
      </x:c>
      <x:c r="M2621" t="n">
        <x:v>2014</x:v>
      </x:c>
      <x:c r="N2621" s="20" t="n">
        <x:v>41730</x:v>
      </x:c>
    </x:row>
    <x:row r="2622" ht="18" customHeight="1">
      <x:c r="A2622" t="str">
        <x:v>CA-2017-147942</x:v>
      </x:c>
      <x:c r="B2622" s="18" t="n">
        <x:v>42826</x:v>
      </x:c>
      <x:c r="C2622" t="str">
        <x:v>MS-17365</x:v>
      </x:c>
      <x:c r="D2622" t="str">
        <x:v>Maribeth Schnelling</x:v>
      </x:c>
      <x:c r="E2622" t="str">
        <x:v>Consumer</x:v>
      </x:c>
      <x:c r="F2622" t="str">
        <x:v>West</x:v>
      </x:c>
      <x:c r="G2622" t="str">
        <x:v>Office Supplies</x:v>
      </x:c>
      <x:c r="H2622" t="str">
        <x:v>Labels</x:v>
      </x:c>
      <x:c r="I2622" s="22" t="n">
        <x:v>5.78</x:v>
      </x:c>
      <x:c r="J2622" s="24" t="n">
        <x:v>2</x:v>
      </x:c>
      <x:c r="K2622" s="26" t="n">
        <x:v>0</x:v>
      </x:c>
      <x:c r="L2622" s="22" t="n">
        <x:v>2.7166</x:v>
      </x:c>
      <x:c r="M2622" t="n">
        <x:v>2017</x:v>
      </x:c>
      <x:c r="N2622" s="20" t="n">
        <x:v>42826</x:v>
      </x:c>
    </x:row>
    <x:row r="2623" ht="18" customHeight="1">
      <x:c r="A2623" t="str">
        <x:v>CA-2017-147942</x:v>
      </x:c>
      <x:c r="B2623" s="18" t="n">
        <x:v>42826</x:v>
      </x:c>
      <x:c r="C2623" t="str">
        <x:v>MS-17365</x:v>
      </x:c>
      <x:c r="D2623" t="str">
        <x:v>Maribeth Schnelling</x:v>
      </x:c>
      <x:c r="E2623" t="str">
        <x:v>Consumer</x:v>
      </x:c>
      <x:c r="F2623" t="str">
        <x:v>West</x:v>
      </x:c>
      <x:c r="G2623" t="str">
        <x:v>Office Supplies</x:v>
      </x:c>
      <x:c r="H2623" t="str">
        <x:v>Binders</x:v>
      </x:c>
      <x:c r="I2623" s="22" t="n">
        <x:v>121.67999999999999</x:v>
      </x:c>
      <x:c r="J2623" s="24" t="n">
        <x:v>13</x:v>
      </x:c>
      <x:c r="K2623" s="26" t="n">
        <x:v>0.2</x:v>
      </x:c>
      <x:c r="L2623" s="22" t="n">
        <x:v>38.02499999999998</x:v>
      </x:c>
      <x:c r="M2623" t="n">
        <x:v>2017</x:v>
      </x:c>
      <x:c r="N2623" s="20" t="n">
        <x:v>42826</x:v>
      </x:c>
    </x:row>
    <x:row r="2624" ht="18" customHeight="1">
      <x:c r="A2624" t="str">
        <x:v>CA-2017-115931</x:v>
      </x:c>
      <x:c r="B2624" s="18" t="n">
        <x:v>43091</x:v>
      </x:c>
      <x:c r="C2624" t="str">
        <x:v>JM-15655</x:v>
      </x:c>
      <x:c r="D2624" t="str">
        <x:v>Jim Mitchum</x:v>
      </x:c>
      <x:c r="E2624" t="str">
        <x:v>Corporate</x:v>
      </x:c>
      <x:c r="F2624" t="str">
        <x:v>West</x:v>
      </x:c>
      <x:c r="G2624" t="str">
        <x:v>Office Supplies</x:v>
      </x:c>
      <x:c r="H2624" t="str">
        <x:v>Art</x:v>
      </x:c>
      <x:c r="I2624" s="22" t="n">
        <x:v>4.17</x:v>
      </x:c>
      <x:c r="J2624" s="24" t="n">
        <x:v>3</x:v>
      </x:c>
      <x:c r="K2624" s="26" t="n">
        <x:v>0</x:v>
      </x:c>
      <x:c r="L2624" s="22" t="n">
        <x:v>1.0841999999999998</x:v>
      </x:c>
      <x:c r="M2624" t="n">
        <x:v>2017</x:v>
      </x:c>
      <x:c r="N2624" s="20" t="n">
        <x:v>43070</x:v>
      </x:c>
    </x:row>
    <x:row r="2625" ht="18" customHeight="1">
      <x:c r="A2625" t="str">
        <x:v>CA-2017-115931</x:v>
      </x:c>
      <x:c r="B2625" s="18" t="n">
        <x:v>43091</x:v>
      </x:c>
      <x:c r="C2625" t="str">
        <x:v>JM-15655</x:v>
      </x:c>
      <x:c r="D2625" t="str">
        <x:v>Jim Mitchum</x:v>
      </x:c>
      <x:c r="E2625" t="str">
        <x:v>Corporate</x:v>
      </x:c>
      <x:c r="F2625" t="str">
        <x:v>West</x:v>
      </x:c>
      <x:c r="G2625" t="str">
        <x:v>Technology</x:v>
      </x:c>
      <x:c r="H2625" t="str">
        <x:v>Phones</x:v>
      </x:c>
      <x:c r="I2625" s="22" t="n">
        <x:v>67.04</x:v>
      </x:c>
      <x:c r="J2625" s="24" t="n">
        <x:v>4</x:v>
      </x:c>
      <x:c r="K2625" s="26" t="n">
        <x:v>0.2</x:v>
      </x:c>
      <x:c r="L2625" s="22" t="n">
        <x:v>6.703999999999997</x:v>
      </x:c>
      <x:c r="M2625" t="n">
        <x:v>2017</x:v>
      </x:c>
      <x:c r="N2625" s="20" t="n">
        <x:v>43070</x:v>
      </x:c>
    </x:row>
    <x:row r="2626" ht="18" customHeight="1">
      <x:c r="A2626" t="str">
        <x:v>CA-2017-115931</x:v>
      </x:c>
      <x:c r="B2626" s="18" t="n">
        <x:v>43091</x:v>
      </x:c>
      <x:c r="C2626" t="str">
        <x:v>JM-15655</x:v>
      </x:c>
      <x:c r="D2626" t="str">
        <x:v>Jim Mitchum</x:v>
      </x:c>
      <x:c r="E2626" t="str">
        <x:v>Corporate</x:v>
      </x:c>
      <x:c r="F2626" t="str">
        <x:v>West</x:v>
      </x:c>
      <x:c r="G2626" t="str">
        <x:v>Office Supplies</x:v>
      </x:c>
      <x:c r="H2626" t="str">
        <x:v>Storage</x:v>
      </x:c>
      <x:c r="I2626" s="22" t="n">
        <x:v>37.32</x:v>
      </x:c>
      <x:c r="J2626" s="24" t="n">
        <x:v>3</x:v>
      </x:c>
      <x:c r="K2626" s="26" t="n">
        <x:v>0</x:v>
      </x:c>
      <x:c r="L2626" s="22" t="n">
        <x:v>10.4496</x:v>
      </x:c>
      <x:c r="M2626" t="n">
        <x:v>2017</x:v>
      </x:c>
      <x:c r="N2626" s="20" t="n">
        <x:v>43070</x:v>
      </x:c>
    </x:row>
    <x:row r="2627" ht="18" customHeight="1">
      <x:c r="A2627" t="str">
        <x:v>CA-2017-115931</x:v>
      </x:c>
      <x:c r="B2627" s="18" t="n">
        <x:v>43091</x:v>
      </x:c>
      <x:c r="C2627" t="str">
        <x:v>JM-15655</x:v>
      </x:c>
      <x:c r="D2627" t="str">
        <x:v>Jim Mitchum</x:v>
      </x:c>
      <x:c r="E2627" t="str">
        <x:v>Corporate</x:v>
      </x:c>
      <x:c r="F2627" t="str">
        <x:v>West</x:v>
      </x:c>
      <x:c r="G2627" t="str">
        <x:v>Office Supplies</x:v>
      </x:c>
      <x:c r="H2627" t="str">
        <x:v>Labels</x:v>
      </x:c>
      <x:c r="I2627" s="22" t="n">
        <x:v>18.45</x:v>
      </x:c>
      <x:c r="J2627" s="24" t="n">
        <x:v>5</x:v>
      </x:c>
      <x:c r="K2627" s="26" t="n">
        <x:v>0</x:v>
      </x:c>
      <x:c r="L2627" s="22" t="n">
        <x:v>8.6715</x:v>
      </x:c>
      <x:c r="M2627" t="n">
        <x:v>2017</x:v>
      </x:c>
      <x:c r="N2627" s="20" t="n">
        <x:v>43070</x:v>
      </x:c>
    </x:row>
    <x:row r="2628" ht="18" customHeight="1">
      <x:c r="A2628" t="str">
        <x:v>CA-2014-164861</x:v>
      </x:c>
      <x:c r="B2628" s="18" t="n">
        <x:v>41976</x:v>
      </x:c>
      <x:c r="C2628" t="str">
        <x:v>MC-17635</x:v>
      </x:c>
      <x:c r="D2628" t="str">
        <x:v>Matthew Clasen</x:v>
      </x:c>
      <x:c r="E2628" t="str">
        <x:v>Corporate</x:v>
      </x:c>
      <x:c r="F2628" t="str">
        <x:v>Central</x:v>
      </x:c>
      <x:c r="G2628" t="str">
        <x:v>Office Supplies</x:v>
      </x:c>
      <x:c r="H2628" t="str">
        <x:v>Paper</x:v>
      </x:c>
      <x:c r="I2628" s="22" t="n">
        <x:v>25.92</x:v>
      </x:c>
      <x:c r="J2628" s="24" t="n">
        <x:v>4</x:v>
      </x:c>
      <x:c r="K2628" s="26" t="n">
        <x:v>0</x:v>
      </x:c>
      <x:c r="L2628" s="22" t="n">
        <x:v>12.441600000000001</x:v>
      </x:c>
      <x:c r="M2628" t="n">
        <x:v>2014</x:v>
      </x:c>
      <x:c r="N2628" s="20" t="n">
        <x:v>41974</x:v>
      </x:c>
    </x:row>
    <x:row r="2629" ht="18" customHeight="1">
      <x:c r="A2629" t="str">
        <x:v>CA-2017-127180</x:v>
      </x:c>
      <x:c r="B2629" s="18" t="n">
        <x:v>43030</x:v>
      </x:c>
      <x:c r="C2629" t="str">
        <x:v>TA-21385</x:v>
      </x:c>
      <x:c r="D2629" t="str">
        <x:v>Tom Ashbrook</x:v>
      </x:c>
      <x:c r="E2629" t="str">
        <x:v>Home Office</x:v>
      </x:c>
      <x:c r="F2629" t="str">
        <x:v>East</x:v>
      </x:c>
      <x:c r="G2629" t="str">
        <x:v>Technology</x:v>
      </x:c>
      <x:c r="H2629" t="str">
        <x:v>Copiers</x:v>
      </x:c>
      <x:c r="I2629" s="22" t="n">
        <x:v>11199.968</x:v>
      </x:c>
      <x:c r="J2629" s="24" t="n">
        <x:v>4</x:v>
      </x:c>
      <x:c r="K2629" s="26" t="n">
        <x:v>0.2</x:v>
      </x:c>
      <x:c r="L2629" s="22" t="n">
        <x:v>3919.988799999999</x:v>
      </x:c>
      <x:c r="M2629" t="n">
        <x:v>2017</x:v>
      </x:c>
      <x:c r="N2629" s="20" t="n">
        <x:v>43009</x:v>
      </x:c>
    </x:row>
    <x:row r="2630" ht="18" customHeight="1">
      <x:c r="A2630" t="str">
        <x:v>CA-2017-127180</x:v>
      </x:c>
      <x:c r="B2630" s="18" t="n">
        <x:v>43030</x:v>
      </x:c>
      <x:c r="C2630" t="str">
        <x:v>TA-21385</x:v>
      </x:c>
      <x:c r="D2630" t="str">
        <x:v>Tom Ashbrook</x:v>
      </x:c>
      <x:c r="E2630" t="str">
        <x:v>Home Office</x:v>
      </x:c>
      <x:c r="F2630" t="str">
        <x:v>East</x:v>
      </x:c>
      <x:c r="G2630" t="str">
        <x:v>Technology</x:v>
      </x:c>
      <x:c r="H2630" t="str">
        <x:v>Phones</x:v>
      </x:c>
      <x:c r="I2630" s="22" t="n">
        <x:v>2399.6</x:v>
      </x:c>
      <x:c r="J2630" s="24" t="n">
        <x:v>8</x:v>
      </x:c>
      <x:c r="K2630" s="26" t="n">
        <x:v>0</x:v>
      </x:c>
      <x:c r="L2630" s="22" t="n">
        <x:v>647.892</x:v>
      </x:c>
      <x:c r="M2630" t="n">
        <x:v>2017</x:v>
      </x:c>
      <x:c r="N2630" s="20" t="n">
        <x:v>43009</x:v>
      </x:c>
    </x:row>
    <x:row r="2631" ht="18" customHeight="1">
      <x:c r="A2631" t="str">
        <x:v>CA-2017-127180</x:v>
      </x:c>
      <x:c r="B2631" s="18" t="n">
        <x:v>43030</x:v>
      </x:c>
      <x:c r="C2631" t="str">
        <x:v>TA-21385</x:v>
      </x:c>
      <x:c r="D2631" t="str">
        <x:v>Tom Ashbrook</x:v>
      </x:c>
      <x:c r="E2631" t="str">
        <x:v>Home Office</x:v>
      </x:c>
      <x:c r="F2631" t="str">
        <x:v>East</x:v>
      </x:c>
      <x:c r="G2631" t="str">
        <x:v>Office Supplies</x:v>
      </x:c>
      <x:c r="H2631" t="str">
        <x:v>Envelopes</x:v>
      </x:c>
      <x:c r="I2631" s="22" t="n">
        <x:v>63.9</x:v>
      </x:c>
      <x:c r="J2631" s="24" t="n">
        <x:v>5</x:v>
      </x:c>
      <x:c r="K2631" s="26" t="n">
        <x:v>0</x:v>
      </x:c>
      <x:c r="L2631" s="22" t="n">
        <x:v>28.754999999999995</x:v>
      </x:c>
      <x:c r="M2631" t="n">
        <x:v>2017</x:v>
      </x:c>
      <x:c r="N2631" s="20" t="n">
        <x:v>43009</x:v>
      </x:c>
    </x:row>
    <x:row r="2632" ht="18" customHeight="1">
      <x:c r="A2632" t="str">
        <x:v>CA-2017-127180</x:v>
      </x:c>
      <x:c r="B2632" s="18" t="n">
        <x:v>43030</x:v>
      </x:c>
      <x:c r="C2632" t="str">
        <x:v>TA-21385</x:v>
      </x:c>
      <x:c r="D2632" t="str">
        <x:v>Tom Ashbrook</x:v>
      </x:c>
      <x:c r="E2632" t="str">
        <x:v>Home Office</x:v>
      </x:c>
      <x:c r="F2632" t="str">
        <x:v>East</x:v>
      </x:c>
      <x:c r="G2632" t="str">
        <x:v>Technology</x:v>
      </x:c>
      <x:c r="H2632" t="str">
        <x:v>Phones</x:v>
      </x:c>
      <x:c r="I2632" s="22" t="n">
        <x:v>52.99</x:v>
      </x:c>
      <x:c r="J2632" s="24" t="n">
        <x:v>1</x:v>
      </x:c>
      <x:c r="K2632" s="26" t="n">
        <x:v>0</x:v>
      </x:c>
      <x:c r="L2632" s="22" t="n">
        <x:v>0.5298999999999978</x:v>
      </x:c>
      <x:c r="M2632" t="n">
        <x:v>2017</x:v>
      </x:c>
      <x:c r="N2632" s="20" t="n">
        <x:v>43009</x:v>
      </x:c>
    </x:row>
    <x:row r="2633" ht="18" customHeight="1">
      <x:c r="A2633" t="str">
        <x:v>US-2017-165344</x:v>
      </x:c>
      <x:c r="B2633" s="18" t="n">
        <x:v>43052</x:v>
      </x:c>
      <x:c r="C2633" t="str">
        <x:v>SB-20290</x:v>
      </x:c>
      <x:c r="D2633" t="str">
        <x:v>Sean Braxton</x:v>
      </x:c>
      <x:c r="E2633" t="str">
        <x:v>Corporate</x:v>
      </x:c>
      <x:c r="F2633" t="str">
        <x:v>East</x:v>
      </x:c>
      <x:c r="G2633" t="str">
        <x:v>Technology</x:v>
      </x:c>
      <x:c r="H2633" t="str">
        <x:v>Accessories</x:v>
      </x:c>
      <x:c r="I2633" s="22" t="n">
        <x:v>60.864000000000004</x:v>
      </x:c>
      <x:c r="J2633" s="24" t="n">
        <x:v>4</x:v>
      </x:c>
      <x:c r="K2633" s="26" t="n">
        <x:v>0.2</x:v>
      </x:c>
      <x:c r="L2633" s="22" t="n">
        <x:v>9.129599999999996</x:v>
      </x:c>
      <x:c r="M2633" t="n">
        <x:v>2017</x:v>
      </x:c>
      <x:c r="N2633" s="20" t="n">
        <x:v>43040</x:v>
      </x:c>
    </x:row>
    <x:row r="2634" ht="18" customHeight="1">
      <x:c r="A2634" t="str">
        <x:v>US-2017-165344</x:v>
      </x:c>
      <x:c r="B2634" s="18" t="n">
        <x:v>43052</x:v>
      </x:c>
      <x:c r="C2634" t="str">
        <x:v>SB-20290</x:v>
      </x:c>
      <x:c r="D2634" t="str">
        <x:v>Sean Braxton</x:v>
      </x:c>
      <x:c r="E2634" t="str">
        <x:v>Corporate</x:v>
      </x:c>
      <x:c r="F2634" t="str">
        <x:v>East</x:v>
      </x:c>
      <x:c r="G2634" t="str">
        <x:v>Technology</x:v>
      </x:c>
      <x:c r="H2634" t="str">
        <x:v>Machines</x:v>
      </x:c>
      <x:c r="I2634" s="22" t="n">
        <x:v>652.9950000000001</x:v>
      </x:c>
      <x:c r="J2634" s="24" t="n">
        <x:v>7</x:v>
      </x:c>
      <x:c r="K2634" s="26" t="n">
        <x:v>0.7</x:v>
      </x:c>
      <x:c r="L2634" s="22" t="n">
        <x:v>-935.9594999999999</x:v>
      </x:c>
      <x:c r="M2634" t="n">
        <x:v>2017</x:v>
      </x:c>
      <x:c r="N2634" s="20" t="n">
        <x:v>43040</x:v>
      </x:c>
    </x:row>
    <x:row r="2635" ht="18" customHeight="1">
      <x:c r="A2635" t="str">
        <x:v>US-2017-165344</x:v>
      </x:c>
      <x:c r="B2635" s="18" t="n">
        <x:v>43052</x:v>
      </x:c>
      <x:c r="C2635" t="str">
        <x:v>SB-20290</x:v>
      </x:c>
      <x:c r="D2635" t="str">
        <x:v>Sean Braxton</x:v>
      </x:c>
      <x:c r="E2635" t="str">
        <x:v>Corporate</x:v>
      </x:c>
      <x:c r="F2635" t="str">
        <x:v>East</x:v>
      </x:c>
      <x:c r="G2635" t="str">
        <x:v>Office Supplies</x:v>
      </x:c>
      <x:c r="H2635" t="str">
        <x:v>Binders</x:v>
      </x:c>
      <x:c r="I2635" s="22" t="n">
        <x:v>11.220000000000002</x:v>
      </x:c>
      <x:c r="J2635" s="24" t="n">
        <x:v>10</x:v>
      </x:c>
      <x:c r="K2635" s="26" t="n">
        <x:v>0.7</x:v>
      </x:c>
      <x:c r="L2635" s="22" t="n">
        <x:v>-7.479999999999997</x:v>
      </x:c>
      <x:c r="M2635" t="n">
        <x:v>2017</x:v>
      </x:c>
      <x:c r="N2635" s="20" t="n">
        <x:v>43040</x:v>
      </x:c>
    </x:row>
    <x:row r="2636" ht="18" customHeight="1">
      <x:c r="A2636" t="str">
        <x:v>CA-2015-168186</x:v>
      </x:c>
      <x:c r="B2636" s="18" t="n">
        <x:v>42257</x:v>
      </x:c>
      <x:c r="C2636" t="str">
        <x:v>AB-10150</x:v>
      </x:c>
      <x:c r="D2636" t="str">
        <x:v>Aimee Bixby</x:v>
      </x:c>
      <x:c r="E2636" t="str">
        <x:v>Consumer</x:v>
      </x:c>
      <x:c r="F2636" t="str">
        <x:v>Central</x:v>
      </x:c>
      <x:c r="G2636" t="str">
        <x:v>Office Supplies</x:v>
      </x:c>
      <x:c r="H2636" t="str">
        <x:v>Paper</x:v>
      </x:c>
      <x:c r="I2636" s="22" t="n">
        <x:v>14.940000000000001</x:v>
      </x:c>
      <x:c r="J2636" s="24" t="n">
        <x:v>3</x:v>
      </x:c>
      <x:c r="K2636" s="26" t="n">
        <x:v>0</x:v>
      </x:c>
      <x:c r="L2636" s="22" t="n">
        <x:v>7.021800000000001</x:v>
      </x:c>
      <x:c r="M2636" t="n">
        <x:v>2015</x:v>
      </x:c>
      <x:c r="N2636" s="20" t="n">
        <x:v>42248</x:v>
      </x:c>
    </x:row>
    <x:row r="2637" ht="18" customHeight="1">
      <x:c r="A2637" t="str">
        <x:v>US-2017-110604</x:v>
      </x:c>
      <x:c r="B2637" s="18" t="n">
        <x:v>42870</x:v>
      </x:c>
      <x:c r="C2637" t="str">
        <x:v>JF-15295</x:v>
      </x:c>
      <x:c r="D2637" t="str">
        <x:v>Jason Fortune-</x:v>
      </x:c>
      <x:c r="E2637" t="str">
        <x:v>Consumer</x:v>
      </x:c>
      <x:c r="F2637" t="str">
        <x:v>West</x:v>
      </x:c>
      <x:c r="G2637" t="str">
        <x:v>Furniture</x:v>
      </x:c>
      <x:c r="H2637" t="str">
        <x:v>Furnishings</x:v>
      </x:c>
      <x:c r="I2637" s="22" t="n">
        <x:v>39.96</x:v>
      </x:c>
      <x:c r="J2637" s="24" t="n">
        <x:v>2</x:v>
      </x:c>
      <x:c r="K2637" s="26" t="n">
        <x:v>0</x:v>
      </x:c>
      <x:c r="L2637" s="22" t="n">
        <x:v>17.182800000000004</x:v>
      </x:c>
      <x:c r="M2637" t="n">
        <x:v>2017</x:v>
      </x:c>
      <x:c r="N2637" s="20" t="n">
        <x:v>42856</x:v>
      </x:c>
    </x:row>
    <x:row r="2638" ht="18" customHeight="1">
      <x:c r="A2638" t="str">
        <x:v>US-2017-110604</x:v>
      </x:c>
      <x:c r="B2638" s="18" t="n">
        <x:v>42870</x:v>
      </x:c>
      <x:c r="C2638" t="str">
        <x:v>JF-15295</x:v>
      </x:c>
      <x:c r="D2638" t="str">
        <x:v>Jason Fortune-</x:v>
      </x:c>
      <x:c r="E2638" t="str">
        <x:v>Consumer</x:v>
      </x:c>
      <x:c r="F2638" t="str">
        <x:v>West</x:v>
      </x:c>
      <x:c r="G2638" t="str">
        <x:v>Furniture</x:v>
      </x:c>
      <x:c r="H2638" t="str">
        <x:v>Chairs</x:v>
      </x:c>
      <x:c r="I2638" s="22" t="n">
        <x:v>42.624</x:v>
      </x:c>
      <x:c r="J2638" s="24" t="n">
        <x:v>2</x:v>
      </x:c>
      <x:c r="K2638" s="26" t="n">
        <x:v>0.2</x:v>
      </x:c>
      <x:c r="L2638" s="22" t="n">
        <x:v>4.262399999999998</x:v>
      </x:c>
      <x:c r="M2638" t="n">
        <x:v>2017</x:v>
      </x:c>
      <x:c r="N2638" s="20" t="n">
        <x:v>42856</x:v>
      </x:c>
    </x:row>
    <x:row r="2639" ht="18" customHeight="1">
      <x:c r="A2639" t="str">
        <x:v>US-2017-110604</x:v>
      </x:c>
      <x:c r="B2639" s="18" t="n">
        <x:v>42870</x:v>
      </x:c>
      <x:c r="C2639" t="str">
        <x:v>JF-15295</x:v>
      </x:c>
      <x:c r="D2639" t="str">
        <x:v>Jason Fortune-</x:v>
      </x:c>
      <x:c r="E2639" t="str">
        <x:v>Consumer</x:v>
      </x:c>
      <x:c r="F2639" t="str">
        <x:v>West</x:v>
      </x:c>
      <x:c r="G2639" t="str">
        <x:v>Furniture</x:v>
      </x:c>
      <x:c r="H2639" t="str">
        <x:v>Chairs</x:v>
      </x:c>
      <x:c r="I2639" s="22" t="n">
        <x:v>220.96</x:v>
      </x:c>
      <x:c r="J2639" s="24" t="n">
        <x:v>1</x:v>
      </x:c>
      <x:c r="K2639" s="26" t="n">
        <x:v>0.2</x:v>
      </x:c>
      <x:c r="L2639" s="22" t="n">
        <x:v>24.857999999999983</x:v>
      </x:c>
      <x:c r="M2639" t="n">
        <x:v>2017</x:v>
      </x:c>
      <x:c r="N2639" s="20" t="n">
        <x:v>42856</x:v>
      </x:c>
    </x:row>
    <x:row r="2640" ht="18" customHeight="1">
      <x:c r="A2640" t="str">
        <x:v>CA-2015-116750</x:v>
      </x:c>
      <x:c r="B2640" s="18" t="n">
        <x:v>42190</x:v>
      </x:c>
      <x:c r="C2640" t="str">
        <x:v>BF-10975</x:v>
      </x:c>
      <x:c r="D2640" t="str">
        <x:v>Barbara Fisher</x:v>
      </x:c>
      <x:c r="E2640" t="str">
        <x:v>Corporate</x:v>
      </x:c>
      <x:c r="F2640" t="str">
        <x:v>South</x:v>
      </x:c>
      <x:c r="G2640" t="str">
        <x:v>Furniture</x:v>
      </x:c>
      <x:c r="H2640" t="str">
        <x:v>Furnishings</x:v>
      </x:c>
      <x:c r="I2640" s="22" t="n">
        <x:v>4.928000000000001</x:v>
      </x:c>
      <x:c r="J2640" s="24" t="n">
        <x:v>2</x:v>
      </x:c>
      <x:c r="K2640" s="26" t="n">
        <x:v>0.2</x:v>
      </x:c>
      <x:c r="L2640" s="22" t="n">
        <x:v>0.7391999999999994</x:v>
      </x:c>
      <x:c r="M2640" t="n">
        <x:v>2015</x:v>
      </x:c>
      <x:c r="N2640" s="20" t="n">
        <x:v>42186</x:v>
      </x:c>
    </x:row>
    <x:row r="2641" ht="18" customHeight="1">
      <x:c r="A2641" t="str">
        <x:v>CA-2015-116750</x:v>
      </x:c>
      <x:c r="B2641" s="18" t="n">
        <x:v>42190</x:v>
      </x:c>
      <x:c r="C2641" t="str">
        <x:v>BF-10975</x:v>
      </x:c>
      <x:c r="D2641" t="str">
        <x:v>Barbara Fisher</x:v>
      </x:c>
      <x:c r="E2641" t="str">
        <x:v>Corporate</x:v>
      </x:c>
      <x:c r="F2641" t="str">
        <x:v>South</x:v>
      </x:c>
      <x:c r="G2641" t="str">
        <x:v>Office Supplies</x:v>
      </x:c>
      <x:c r="H2641" t="str">
        <x:v>Binders</x:v>
      </x:c>
      <x:c r="I2641" s="22" t="n">
        <x:v>7.230000000000002</x:v>
      </x:c>
      <x:c r="J2641" s="24" t="n">
        <x:v>5</x:v>
      </x:c>
      <x:c r="K2641" s="26" t="n">
        <x:v>0.7</x:v>
      </x:c>
      <x:c r="L2641" s="22" t="n">
        <x:v>-5.784000000000001</x:v>
      </x:c>
      <x:c r="M2641" t="n">
        <x:v>2015</x:v>
      </x:c>
      <x:c r="N2641" s="20" t="n">
        <x:v>42186</x:v>
      </x:c>
    </x:row>
    <x:row r="2642" ht="18" customHeight="1">
      <x:c r="A2642" t="str">
        <x:v>CA-2015-162369</x:v>
      </x:c>
      <x:c r="B2642" s="18" t="n">
        <x:v>42231</x:v>
      </x:c>
      <x:c r="C2642" t="str">
        <x:v>TT-21265</x:v>
      </x:c>
      <x:c r="D2642" t="str">
        <x:v>Tim Taslimi</x:v>
      </x:c>
      <x:c r="E2642" t="str">
        <x:v>Corporate</x:v>
      </x:c>
      <x:c r="F2642" t="str">
        <x:v>West</x:v>
      </x:c>
      <x:c r="G2642" t="str">
        <x:v>Office Supplies</x:v>
      </x:c>
      <x:c r="H2642" t="str">
        <x:v>Storage</x:v>
      </x:c>
      <x:c r="I2642" s="22" t="n">
        <x:v>323.1</x:v>
      </x:c>
      <x:c r="J2642" s="24" t="n">
        <x:v>2</x:v>
      </x:c>
      <x:c r="K2642" s="26" t="n">
        <x:v>0</x:v>
      </x:c>
      <x:c r="L2642" s="22" t="n">
        <x:v>61.38900000000001</x:v>
      </x:c>
      <x:c r="M2642" t="n">
        <x:v>2015</x:v>
      </x:c>
      <x:c r="N2642" s="20" t="n">
        <x:v>42217</x:v>
      </x:c>
    </x:row>
    <x:row r="2643" ht="18" customHeight="1">
      <x:c r="A2643" t="str">
        <x:v>CA-2017-108441</x:v>
      </x:c>
      <x:c r="B2643" s="18" t="n">
        <x:v>42898</x:v>
      </x:c>
      <x:c r="C2643" t="str">
        <x:v>SB-20170</x:v>
      </x:c>
      <x:c r="D2643" t="str">
        <x:v>Sarah Bern</x:v>
      </x:c>
      <x:c r="E2643" t="str">
        <x:v>Consumer</x:v>
      </x:c>
      <x:c r="F2643" t="str">
        <x:v>East</x:v>
      </x:c>
      <x:c r="G2643" t="str">
        <x:v>Office Supplies</x:v>
      </x:c>
      <x:c r="H2643" t="str">
        <x:v>Paper</x:v>
      </x:c>
      <x:c r="I2643" s="22" t="n">
        <x:v>19.04</x:v>
      </x:c>
      <x:c r="J2643" s="24" t="n">
        <x:v>4</x:v>
      </x:c>
      <x:c r="K2643" s="26" t="n">
        <x:v>0</x:v>
      </x:c>
      <x:c r="L2643" s="22" t="n">
        <x:v>9.3296</x:v>
      </x:c>
      <x:c r="M2643" t="n">
        <x:v>2017</x:v>
      </x:c>
      <x:c r="N2643" s="20" t="n">
        <x:v>42887</x:v>
      </x:c>
    </x:row>
    <x:row r="2644" ht="18" customHeight="1">
      <x:c r="A2644" t="str">
        <x:v>CA-2017-108441</x:v>
      </x:c>
      <x:c r="B2644" s="18" t="n">
        <x:v>42898</x:v>
      </x:c>
      <x:c r="C2644" t="str">
        <x:v>SB-20170</x:v>
      </x:c>
      <x:c r="D2644" t="str">
        <x:v>Sarah Bern</x:v>
      </x:c>
      <x:c r="E2644" t="str">
        <x:v>Consumer</x:v>
      </x:c>
      <x:c r="F2644" t="str">
        <x:v>East</x:v>
      </x:c>
      <x:c r="G2644" t="str">
        <x:v>Office Supplies</x:v>
      </x:c>
      <x:c r="H2644" t="str">
        <x:v>Binders</x:v>
      </x:c>
      <x:c r="I2644" s="22" t="n">
        <x:v>13.128</x:v>
      </x:c>
      <x:c r="J2644" s="24" t="n">
        <x:v>3</x:v>
      </x:c>
      <x:c r="K2644" s="26" t="n">
        <x:v>0.2</x:v>
      </x:c>
      <x:c r="L2644" s="22" t="n">
        <x:v>4.266599999999999</x:v>
      </x:c>
      <x:c r="M2644" t="n">
        <x:v>2017</x:v>
      </x:c>
      <x:c r="N2644" s="20" t="n">
        <x:v>42887</x:v>
      </x:c>
    </x:row>
    <x:row r="2645" ht="18" customHeight="1">
      <x:c r="A2645" t="str">
        <x:v>CA-2017-108441</x:v>
      </x:c>
      <x:c r="B2645" s="18" t="n">
        <x:v>42898</x:v>
      </x:c>
      <x:c r="C2645" t="str">
        <x:v>SB-20170</x:v>
      </x:c>
      <x:c r="D2645" t="str">
        <x:v>Sarah Bern</x:v>
      </x:c>
      <x:c r="E2645" t="str">
        <x:v>Consumer</x:v>
      </x:c>
      <x:c r="F2645" t="str">
        <x:v>East</x:v>
      </x:c>
      <x:c r="G2645" t="str">
        <x:v>Office Supplies</x:v>
      </x:c>
      <x:c r="H2645" t="str">
        <x:v>Art</x:v>
      </x:c>
      <x:c r="I2645" s="22" t="n">
        <x:v>64.14</x:v>
      </x:c>
      <x:c r="J2645" s="24" t="n">
        <x:v>3</x:v>
      </x:c>
      <x:c r="K2645" s="26" t="n">
        <x:v>0</x:v>
      </x:c>
      <x:c r="L2645" s="22" t="n">
        <x:v>16.6764</x:v>
      </x:c>
      <x:c r="M2645" t="n">
        <x:v>2017</x:v>
      </x:c>
      <x:c r="N2645" s="20" t="n">
        <x:v>42887</x:v>
      </x:c>
    </x:row>
    <x:row r="2646" ht="18" customHeight="1">
      <x:c r="A2646" t="str">
        <x:v>CA-2017-108441</x:v>
      </x:c>
      <x:c r="B2646" s="18" t="n">
        <x:v>42898</x:v>
      </x:c>
      <x:c r="C2646" t="str">
        <x:v>SB-20170</x:v>
      </x:c>
      <x:c r="D2646" t="str">
        <x:v>Sarah Bern</x:v>
      </x:c>
      <x:c r="E2646" t="str">
        <x:v>Consumer</x:v>
      </x:c>
      <x:c r="F2646" t="str">
        <x:v>East</x:v>
      </x:c>
      <x:c r="G2646" t="str">
        <x:v>Furniture</x:v>
      </x:c>
      <x:c r="H2646" t="str">
        <x:v>Chairs</x:v>
      </x:c>
      <x:c r="I2646" s="22" t="n">
        <x:v>858.24</x:v>
      </x:c>
      <x:c r="J2646" s="24" t="n">
        <x:v>4</x:v>
      </x:c>
      <x:c r="K2646" s="26" t="n">
        <x:v>0.1</x:v>
      </x:c>
      <x:c r="L2646" s="22" t="n">
        <x:v>143.03999999999996</x:v>
      </x:c>
      <x:c r="M2646" t="n">
        <x:v>2017</x:v>
      </x:c>
      <x:c r="N2646" s="20" t="n">
        <x:v>42887</x:v>
      </x:c>
    </x:row>
    <x:row r="2647" ht="18" customHeight="1">
      <x:c r="A2647" t="str">
        <x:v>CA-2015-169740</x:v>
      </x:c>
      <x:c r="B2647" s="18" t="n">
        <x:v>42055</x:v>
      </x:c>
      <x:c r="C2647" t="str">
        <x:v>LM-17065</x:v>
      </x:c>
      <x:c r="D2647" t="str">
        <x:v>Liz MacKendrick</x:v>
      </x:c>
      <x:c r="E2647" t="str">
        <x:v>Consumer</x:v>
      </x:c>
      <x:c r="F2647" t="str">
        <x:v>South</x:v>
      </x:c>
      <x:c r="G2647" t="str">
        <x:v>Technology</x:v>
      </x:c>
      <x:c r="H2647" t="str">
        <x:v>Accessories</x:v>
      </x:c>
      <x:c r="I2647" s="22" t="n">
        <x:v>29.99</x:v>
      </x:c>
      <x:c r="J2647" s="24" t="n">
        <x:v>1</x:v>
      </x:c>
      <x:c r="K2647" s="26" t="n">
        <x:v>0</x:v>
      </x:c>
      <x:c r="L2647" s="22" t="n">
        <x:v>2.9989999999999988</x:v>
      </x:c>
      <x:c r="M2647" t="n">
        <x:v>2015</x:v>
      </x:c>
      <x:c r="N2647" s="20" t="n">
        <x:v>42036</x:v>
      </x:c>
    </x:row>
    <x:row r="2648" ht="18" customHeight="1">
      <x:c r="A2648" t="str">
        <x:v>CA-2016-124051</x:v>
      </x:c>
      <x:c r="B2648" s="18" t="n">
        <x:v>42733</x:v>
      </x:c>
      <x:c r="C2648" t="str">
        <x:v>KA-16525</x:v>
      </x:c>
      <x:c r="D2648" t="str">
        <x:v>Kelly Andreada</x:v>
      </x:c>
      <x:c r="E2648" t="str">
        <x:v>Consumer</x:v>
      </x:c>
      <x:c r="F2648" t="str">
        <x:v>Central</x:v>
      </x:c>
      <x:c r="G2648" t="str">
        <x:v>Office Supplies</x:v>
      </x:c>
      <x:c r="H2648" t="str">
        <x:v>Paper</x:v>
      </x:c>
      <x:c r="I2648" s="22" t="n">
        <x:v>186.048</x:v>
      </x:c>
      <x:c r="J2648" s="24" t="n">
        <x:v>6</x:v>
      </x:c>
      <x:c r="K2648" s="26" t="n">
        <x:v>0.2</x:v>
      </x:c>
      <x:c r="L2648" s="22" t="n">
        <x:v>67.44239999999999</x:v>
      </x:c>
      <x:c r="M2648" t="n">
        <x:v>2016</x:v>
      </x:c>
      <x:c r="N2648" s="20" t="n">
        <x:v>42705</x:v>
      </x:c>
    </x:row>
    <x:row r="2649" ht="18" customHeight="1">
      <x:c r="A2649" t="str">
        <x:v>CA-2016-149111</x:v>
      </x:c>
      <x:c r="B2649" s="18" t="n">
        <x:v>42477</x:v>
      </x:c>
      <x:c r="C2649" t="str">
        <x:v>BF-11170</x:v>
      </x:c>
      <x:c r="D2649" t="str">
        <x:v>Ben Ferrer</x:v>
      </x:c>
      <x:c r="E2649" t="str">
        <x:v>Home Office</x:v>
      </x:c>
      <x:c r="F2649" t="str">
        <x:v>South</x:v>
      </x:c>
      <x:c r="G2649" t="str">
        <x:v>Technology</x:v>
      </x:c>
      <x:c r="H2649" t="str">
        <x:v>Phones</x:v>
      </x:c>
      <x:c r="I2649" s="22" t="n">
        <x:v>36.792</x:v>
      </x:c>
      <x:c r="J2649" s="24" t="n">
        <x:v>1</x:v>
      </x:c>
      <x:c r="K2649" s="26" t="n">
        <x:v>0.2</x:v>
      </x:c>
      <x:c r="L2649" s="22" t="n">
        <x:v>4.139099999999999</x:v>
      </x:c>
      <x:c r="M2649" t="n">
        <x:v>2016</x:v>
      </x:c>
      <x:c r="N2649" s="20" t="n">
        <x:v>42461</x:v>
      </x:c>
    </x:row>
    <x:row r="2650" ht="18" customHeight="1">
      <x:c r="A2650" t="str">
        <x:v>CA-2016-149111</x:v>
      </x:c>
      <x:c r="B2650" s="18" t="n">
        <x:v>42477</x:v>
      </x:c>
      <x:c r="C2650" t="str">
        <x:v>BF-11170</x:v>
      </x:c>
      <x:c r="D2650" t="str">
        <x:v>Ben Ferrer</x:v>
      </x:c>
      <x:c r="E2650" t="str">
        <x:v>Home Office</x:v>
      </x:c>
      <x:c r="F2650" t="str">
        <x:v>South</x:v>
      </x:c>
      <x:c r="G2650" t="str">
        <x:v>Furniture</x:v>
      </x:c>
      <x:c r="H2650" t="str">
        <x:v>Furnishings</x:v>
      </x:c>
      <x:c r="I2650" s="22" t="n">
        <x:v>18.624000000000002</x:v>
      </x:c>
      <x:c r="J2650" s="24" t="n">
        <x:v>8</x:v>
      </x:c>
      <x:c r="K2650" s="26" t="n">
        <x:v>0.2</x:v>
      </x:c>
      <x:c r="L2650" s="22" t="n">
        <x:v>6.285599999999999</x:v>
      </x:c>
      <x:c r="M2650" t="n">
        <x:v>2016</x:v>
      </x:c>
      <x:c r="N2650" s="20" t="n">
        <x:v>42461</x:v>
      </x:c>
    </x:row>
    <x:row r="2651" ht="18" customHeight="1">
      <x:c r="A2651" t="str">
        <x:v>CA-2014-131002</x:v>
      </x:c>
      <x:c r="B2651" s="18" t="n">
        <x:v>41889</x:v>
      </x:c>
      <x:c r="C2651" t="str">
        <x:v>TB-21400</x:v>
      </x:c>
      <x:c r="D2651" t="str">
        <x:v>Tom Boeckenhauer</x:v>
      </x:c>
      <x:c r="E2651" t="str">
        <x:v>Consumer</x:v>
      </x:c>
      <x:c r="F2651" t="str">
        <x:v>Central</x:v>
      </x:c>
      <x:c r="G2651" t="str">
        <x:v>Furniture</x:v>
      </x:c>
      <x:c r="H2651" t="str">
        <x:v>Furnishings</x:v>
      </x:c>
      <x:c r="I2651" s="22" t="n">
        <x:v>57.69</x:v>
      </x:c>
      <x:c r="J2651" s="24" t="n">
        <x:v>3</x:v>
      </x:c>
      <x:c r="K2651" s="26" t="n">
        <x:v>0</x:v>
      </x:c>
      <x:c r="L2651" s="22" t="n">
        <x:v>23.652900000000002</x:v>
      </x:c>
      <x:c r="M2651" t="n">
        <x:v>2014</x:v>
      </x:c>
      <x:c r="N2651" s="20" t="n">
        <x:v>41883</x:v>
      </x:c>
    </x:row>
    <x:row r="2652" ht="18" customHeight="1">
      <x:c r="A2652" t="str">
        <x:v>CA-2014-131002</x:v>
      </x:c>
      <x:c r="B2652" s="18" t="n">
        <x:v>41889</x:v>
      </x:c>
      <x:c r="C2652" t="str">
        <x:v>TB-21400</x:v>
      </x:c>
      <x:c r="D2652" t="str">
        <x:v>Tom Boeckenhauer</x:v>
      </x:c>
      <x:c r="E2652" t="str">
        <x:v>Consumer</x:v>
      </x:c>
      <x:c r="F2652" t="str">
        <x:v>Central</x:v>
      </x:c>
      <x:c r="G2652" t="str">
        <x:v>Office Supplies</x:v>
      </x:c>
      <x:c r="H2652" t="str">
        <x:v>Binders</x:v>
      </x:c>
      <x:c r="I2652" s="22" t="n">
        <x:v>42.81</x:v>
      </x:c>
      <x:c r="J2652" s="24" t="n">
        <x:v>3</x:v>
      </x:c>
      <x:c r="K2652" s="26" t="n">
        <x:v>0</x:v>
      </x:c>
      <x:c r="L2652" s="22" t="n">
        <x:v>20.1207</x:v>
      </x:c>
      <x:c r="M2652" t="n">
        <x:v>2014</x:v>
      </x:c>
      <x:c r="N2652" s="20" t="n">
        <x:v>41883</x:v>
      </x:c>
    </x:row>
    <x:row r="2653" ht="18" customHeight="1">
      <x:c r="A2653" t="str">
        <x:v>CA-2014-131002</x:v>
      </x:c>
      <x:c r="B2653" s="18" t="n">
        <x:v>41889</x:v>
      </x:c>
      <x:c r="C2653" t="str">
        <x:v>TB-21400</x:v>
      </x:c>
      <x:c r="D2653" t="str">
        <x:v>Tom Boeckenhauer</x:v>
      </x:c>
      <x:c r="E2653" t="str">
        <x:v>Consumer</x:v>
      </x:c>
      <x:c r="F2653" t="str">
        <x:v>Central</x:v>
      </x:c>
      <x:c r="G2653" t="str">
        <x:v>Office Supplies</x:v>
      </x:c>
      <x:c r="H2653" t="str">
        <x:v>Paper</x:v>
      </x:c>
      <x:c r="I2653" s="22" t="n">
        <x:v>12.96</x:v>
      </x:c>
      <x:c r="J2653" s="24" t="n">
        <x:v>2</x:v>
      </x:c>
      <x:c r="K2653" s="26" t="n">
        <x:v>0</x:v>
      </x:c>
      <x:c r="L2653" s="22" t="n">
        <x:v>6.2208000000000006</x:v>
      </x:c>
      <x:c r="M2653" t="n">
        <x:v>2014</x:v>
      </x:c>
      <x:c r="N2653" s="20" t="n">
        <x:v>41883</x:v>
      </x:c>
    </x:row>
    <x:row r="2654" ht="18" customHeight="1">
      <x:c r="A2654" t="str">
        <x:v>CA-2014-131002</x:v>
      </x:c>
      <x:c r="B2654" s="18" t="n">
        <x:v>41889</x:v>
      </x:c>
      <x:c r="C2654" t="str">
        <x:v>TB-21400</x:v>
      </x:c>
      <x:c r="D2654" t="str">
        <x:v>Tom Boeckenhauer</x:v>
      </x:c>
      <x:c r="E2654" t="str">
        <x:v>Consumer</x:v>
      </x:c>
      <x:c r="F2654" t="str">
        <x:v>Central</x:v>
      </x:c>
      <x:c r="G2654" t="str">
        <x:v>Furniture</x:v>
      </x:c>
      <x:c r="H2654" t="str">
        <x:v>Furnishings</x:v>
      </x:c>
      <x:c r="I2654" s="22" t="n">
        <x:v>821.8799999999999</x:v>
      </x:c>
      <x:c r="J2654" s="24" t="n">
        <x:v>6</x:v>
      </x:c>
      <x:c r="K2654" s="26" t="n">
        <x:v>0</x:v>
      </x:c>
      <x:c r="L2654" s="22" t="n">
        <x:v>213.68880000000001</x:v>
      </x:c>
      <x:c r="M2654" t="n">
        <x:v>2014</x:v>
      </x:c>
      <x:c r="N2654" s="20" t="n">
        <x:v>41883</x:v>
      </x:c>
    </x:row>
    <x:row r="2655" ht="18" customHeight="1">
      <x:c r="A2655" t="str">
        <x:v>CA-2014-131002</x:v>
      </x:c>
      <x:c r="B2655" s="18" t="n">
        <x:v>41889</x:v>
      </x:c>
      <x:c r="C2655" t="str">
        <x:v>TB-21400</x:v>
      </x:c>
      <x:c r="D2655" t="str">
        <x:v>Tom Boeckenhauer</x:v>
      </x:c>
      <x:c r="E2655" t="str">
        <x:v>Consumer</x:v>
      </x:c>
      <x:c r="F2655" t="str">
        <x:v>Central</x:v>
      </x:c>
      <x:c r="G2655" t="str">
        <x:v>Technology</x:v>
      </x:c>
      <x:c r="H2655" t="str">
        <x:v>Phones</x:v>
      </x:c>
      <x:c r="I2655" s="22" t="n">
        <x:v>104.85000000000001</x:v>
      </x:c>
      <x:c r="J2655" s="24" t="n">
        <x:v>3</x:v>
      </x:c>
      <x:c r="K2655" s="26" t="n">
        <x:v>0</x:v>
      </x:c>
      <x:c r="L2655" s="22" t="n">
        <x:v>28.309500000000007</x:v>
      </x:c>
      <x:c r="M2655" t="n">
        <x:v>2014</x:v>
      </x:c>
      <x:c r="N2655" s="20" t="n">
        <x:v>41883</x:v>
      </x:c>
    </x:row>
    <x:row r="2656" ht="18" customHeight="1">
      <x:c r="A2656" t="str">
        <x:v>US-2016-146794</x:v>
      </x:c>
      <x:c r="B2656" s="18" t="n">
        <x:v>42639</x:v>
      </x:c>
      <x:c r="C2656" t="str">
        <x:v>SH-19975</x:v>
      </x:c>
      <x:c r="D2656" t="str">
        <x:v>Sally Hughsby</x:v>
      </x:c>
      <x:c r="E2656" t="str">
        <x:v>Corporate</x:v>
      </x:c>
      <x:c r="F2656" t="str">
        <x:v>West</x:v>
      </x:c>
      <x:c r="G2656" t="str">
        <x:v>Furniture</x:v>
      </x:c>
      <x:c r="H2656" t="str">
        <x:v>Bookcases</x:v>
      </x:c>
      <x:c r="I2656" s="22" t="n">
        <x:v>424.9574999999999</x:v>
      </x:c>
      <x:c r="J2656" s="24" t="n">
        <x:v>5</x:v>
      </x:c>
      <x:c r="K2656" s="26" t="n">
        <x:v>0.15</x:v>
      </x:c>
      <x:c r="L2656" s="22" t="n">
        <x:v>19.997999999999976</x:v>
      </x:c>
      <x:c r="M2656" t="n">
        <x:v>2016</x:v>
      </x:c>
      <x:c r="N2656" s="20" t="n">
        <x:v>42614</x:v>
      </x:c>
    </x:row>
    <x:row r="2657" ht="18" customHeight="1">
      <x:c r="A2657" t="str">
        <x:v>CA-2017-112515</x:v>
      </x:c>
      <x:c r="B2657" s="18" t="n">
        <x:v>42995</x:v>
      </x:c>
      <x:c r="C2657" t="str">
        <x:v>AS-10225</x:v>
      </x:c>
      <x:c r="D2657" t="str">
        <x:v>Alan Schoenberger</x:v>
      </x:c>
      <x:c r="E2657" t="str">
        <x:v>Corporate</x:v>
      </x:c>
      <x:c r="F2657" t="str">
        <x:v>West</x:v>
      </x:c>
      <x:c r="G2657" t="str">
        <x:v>Office Supplies</x:v>
      </x:c>
      <x:c r="H2657" t="str">
        <x:v>Binders</x:v>
      </x:c>
      <x:c r="I2657" s="22" t="n">
        <x:v>10.776000000000002</x:v>
      </x:c>
      <x:c r="J2657" s="24" t="n">
        <x:v>3</x:v>
      </x:c>
      <x:c r="K2657" s="26" t="n">
        <x:v>0.2</x:v>
      </x:c>
      <x:c r="L2657" s="22" t="n">
        <x:v>3.502199999999999</x:v>
      </x:c>
      <x:c r="M2657" t="n">
        <x:v>2017</x:v>
      </x:c>
      <x:c r="N2657" s="20" t="n">
        <x:v>42979</x:v>
      </x:c>
    </x:row>
    <x:row r="2658" ht="18" customHeight="1">
      <x:c r="A2658" t="str">
        <x:v>CA-2017-112515</x:v>
      </x:c>
      <x:c r="B2658" s="18" t="n">
        <x:v>42995</x:v>
      </x:c>
      <x:c r="C2658" t="str">
        <x:v>AS-10225</x:v>
      </x:c>
      <x:c r="D2658" t="str">
        <x:v>Alan Schoenberger</x:v>
      </x:c>
      <x:c r="E2658" t="str">
        <x:v>Corporate</x:v>
      </x:c>
      <x:c r="F2658" t="str">
        <x:v>West</x:v>
      </x:c>
      <x:c r="G2658" t="str">
        <x:v>Office Supplies</x:v>
      </x:c>
      <x:c r="H2658" t="str">
        <x:v>Binders</x:v>
      </x:c>
      <x:c r="I2658" s="22" t="n">
        <x:v>11.784</x:v>
      </x:c>
      <x:c r="J2658" s="24" t="n">
        <x:v>3</x:v>
      </x:c>
      <x:c r="K2658" s="26" t="n">
        <x:v>0.2</x:v>
      </x:c>
      <x:c r="L2658" s="22" t="n">
        <x:v>4.271699999999999</x:v>
      </x:c>
      <x:c r="M2658" t="n">
        <x:v>2017</x:v>
      </x:c>
      <x:c r="N2658" s="20" t="n">
        <x:v>42979</x:v>
      </x:c>
    </x:row>
    <x:row r="2659" ht="18" customHeight="1">
      <x:c r="A2659" t="str">
        <x:v>CA-2017-112515</x:v>
      </x:c>
      <x:c r="B2659" s="18" t="n">
        <x:v>42995</x:v>
      </x:c>
      <x:c r="C2659" t="str">
        <x:v>AS-10225</x:v>
      </x:c>
      <x:c r="D2659" t="str">
        <x:v>Alan Schoenberger</x:v>
      </x:c>
      <x:c r="E2659" t="str">
        <x:v>Corporate</x:v>
      </x:c>
      <x:c r="F2659" t="str">
        <x:v>West</x:v>
      </x:c>
      <x:c r="G2659" t="str">
        <x:v>Office Supplies</x:v>
      </x:c>
      <x:c r="H2659" t="str">
        <x:v>Paper</x:v>
      </x:c>
      <x:c r="I2659" s="22" t="n">
        <x:v>164.88</x:v>
      </x:c>
      <x:c r="J2659" s="24" t="n">
        <x:v>3</x:v>
      </x:c>
      <x:c r="K2659" s="26" t="n">
        <x:v>0</x:v>
      </x:c>
      <x:c r="L2659" s="22" t="n">
        <x:v>80.7912</x:v>
      </x:c>
      <x:c r="M2659" t="n">
        <x:v>2017</x:v>
      </x:c>
      <x:c r="N2659" s="20" t="n">
        <x:v>42979</x:v>
      </x:c>
    </x:row>
    <x:row r="2660" ht="18" customHeight="1">
      <x:c r="A2660" t="str">
        <x:v>CA-2017-112515</x:v>
      </x:c>
      <x:c r="B2660" s="18" t="n">
        <x:v>42995</x:v>
      </x:c>
      <x:c r="C2660" t="str">
        <x:v>AS-10225</x:v>
      </x:c>
      <x:c r="D2660" t="str">
        <x:v>Alan Schoenberger</x:v>
      </x:c>
      <x:c r="E2660" t="str">
        <x:v>Corporate</x:v>
      </x:c>
      <x:c r="F2660" t="str">
        <x:v>West</x:v>
      </x:c>
      <x:c r="G2660" t="str">
        <x:v>Furniture</x:v>
      </x:c>
      <x:c r="H2660" t="str">
        <x:v>Bookcases</x:v>
      </x:c>
      <x:c r="I2660" s="22" t="n">
        <x:v>1292.94</x:v>
      </x:c>
      <x:c r="J2660" s="24" t="n">
        <x:v>3</x:v>
      </x:c>
      <x:c r="K2660" s="26" t="n">
        <x:v>0</x:v>
      </x:c>
      <x:c r="L2660" s="22" t="n">
        <x:v>77.57639999999992</x:v>
      </x:c>
      <x:c r="M2660" t="n">
        <x:v>2017</x:v>
      </x:c>
      <x:c r="N2660" s="20" t="n">
        <x:v>42979</x:v>
      </x:c>
    </x:row>
    <x:row r="2661" ht="18" customHeight="1">
      <x:c r="A2661" t="str">
        <x:v>CA-2017-112515</x:v>
      </x:c>
      <x:c r="B2661" s="18" t="n">
        <x:v>42995</x:v>
      </x:c>
      <x:c r="C2661" t="str">
        <x:v>AS-10225</x:v>
      </x:c>
      <x:c r="D2661" t="str">
        <x:v>Alan Schoenberger</x:v>
      </x:c>
      <x:c r="E2661" t="str">
        <x:v>Corporate</x:v>
      </x:c>
      <x:c r="F2661" t="str">
        <x:v>West</x:v>
      </x:c>
      <x:c r="G2661" t="str">
        <x:v>Office Supplies</x:v>
      </x:c>
      <x:c r="H2661" t="str">
        <x:v>Binders</x:v>
      </x:c>
      <x:c r="I2661" s="22" t="n">
        <x:v>25.584000000000003</x:v>
      </x:c>
      <x:c r="J2661" s="24" t="n">
        <x:v>2</x:v>
      </x:c>
      <x:c r="K2661" s="26" t="n">
        <x:v>0.2</x:v>
      </x:c>
      <x:c r="L2661" s="22" t="n">
        <x:v>8.9544</x:v>
      </x:c>
      <x:c r="M2661" t="n">
        <x:v>2017</x:v>
      </x:c>
      <x:c r="N2661" s="20" t="n">
        <x:v>42979</x:v>
      </x:c>
    </x:row>
    <x:row r="2662" ht="18" customHeight="1">
      <x:c r="A2662" t="str">
        <x:v>CA-2017-112515</x:v>
      </x:c>
      <x:c r="B2662" s="18" t="n">
        <x:v>42995</x:v>
      </x:c>
      <x:c r="C2662" t="str">
        <x:v>AS-10225</x:v>
      </x:c>
      <x:c r="D2662" t="str">
        <x:v>Alan Schoenberger</x:v>
      </x:c>
      <x:c r="E2662" t="str">
        <x:v>Corporate</x:v>
      </x:c>
      <x:c r="F2662" t="str">
        <x:v>West</x:v>
      </x:c>
      <x:c r="G2662" t="str">
        <x:v>Office Supplies</x:v>
      </x:c>
      <x:c r="H2662" t="str">
        <x:v>Storage</x:v>
      </x:c>
      <x:c r="I2662" s="22" t="n">
        <x:v>261.74</x:v>
      </x:c>
      <x:c r="J2662" s="24" t="n">
        <x:v>2</x:v>
      </x:c>
      <x:c r="K2662" s="26" t="n">
        <x:v>0</x:v>
      </x:c>
      <x:c r="L2662" s="22" t="n">
        <x:v>65.435</x:v>
      </x:c>
      <x:c r="M2662" t="n">
        <x:v>2017</x:v>
      </x:c>
      <x:c r="N2662" s="20" t="n">
        <x:v>42979</x:v>
      </x:c>
    </x:row>
    <x:row r="2663" ht="18" customHeight="1">
      <x:c r="A2663" t="str">
        <x:v>CA-2017-112515</x:v>
      </x:c>
      <x:c r="B2663" s="18" t="n">
        <x:v>42995</x:v>
      </x:c>
      <x:c r="C2663" t="str">
        <x:v>AS-10225</x:v>
      </x:c>
      <x:c r="D2663" t="str">
        <x:v>Alan Schoenberger</x:v>
      </x:c>
      <x:c r="E2663" t="str">
        <x:v>Corporate</x:v>
      </x:c>
      <x:c r="F2663" t="str">
        <x:v>West</x:v>
      </x:c>
      <x:c r="G2663" t="str">
        <x:v>Office Supplies</x:v>
      </x:c>
      <x:c r="H2663" t="str">
        <x:v>Labels</x:v>
      </x:c>
      <x:c r="I2663" s="22" t="n">
        <x:v>14.399999999999999</x:v>
      </x:c>
      <x:c r="J2663" s="24" t="n">
        <x:v>5</x:v>
      </x:c>
      <x:c r="K2663" s="26" t="n">
        <x:v>0</x:v>
      </x:c>
      <x:c r="L2663" s="22" t="n">
        <x:v>7.056</x:v>
      </x:c>
      <x:c r="M2663" t="n">
        <x:v>2017</x:v>
      </x:c>
      <x:c r="N2663" s="20" t="n">
        <x:v>42979</x:v>
      </x:c>
    </x:row>
    <x:row r="2664" ht="18" customHeight="1">
      <x:c r="A2664" t="str">
        <x:v>CA-2016-150343</x:v>
      </x:c>
      <x:c r="B2664" s="18" t="n">
        <x:v>42598</x:v>
      </x:c>
      <x:c r="C2664" t="str">
        <x:v>PK-19075</x:v>
      </x:c>
      <x:c r="D2664" t="str">
        <x:v>Pete Kriz</x:v>
      </x:c>
      <x:c r="E2664" t="str">
        <x:v>Consumer</x:v>
      </x:c>
      <x:c r="F2664" t="str">
        <x:v>West</x:v>
      </x:c>
      <x:c r="G2664" t="str">
        <x:v>Office Supplies</x:v>
      </x:c>
      <x:c r="H2664" t="str">
        <x:v>Envelopes</x:v>
      </x:c>
      <x:c r="I2664" s="22" t="n">
        <x:v>10.86</x:v>
      </x:c>
      <x:c r="J2664" s="24" t="n">
        <x:v>3</x:v>
      </x:c>
      <x:c r="K2664" s="26" t="n">
        <x:v>0</x:v>
      </x:c>
      <x:c r="L2664" s="22" t="n">
        <x:v>5.1042000000000005</x:v>
      </x:c>
      <x:c r="M2664" t="n">
        <x:v>2016</x:v>
      </x:c>
      <x:c r="N2664" s="20" t="n">
        <x:v>42583</x:v>
      </x:c>
    </x:row>
    <x:row r="2665" ht="18" customHeight="1">
      <x:c r="A2665" t="str">
        <x:v>CA-2015-135538</x:v>
      </x:c>
      <x:c r="B2665" s="18" t="n">
        <x:v>42362</x:v>
      </x:c>
      <x:c r="C2665" t="str">
        <x:v>HR-14830</x:v>
      </x:c>
      <x:c r="D2665" t="str">
        <x:v>Harold Ryan</x:v>
      </x:c>
      <x:c r="E2665" t="str">
        <x:v>Corporate</x:v>
      </x:c>
      <x:c r="F2665" t="str">
        <x:v>West</x:v>
      </x:c>
      <x:c r="G2665" t="str">
        <x:v>Furniture</x:v>
      </x:c>
      <x:c r="H2665" t="str">
        <x:v>Chairs</x:v>
      </x:c>
      <x:c r="I2665" s="22" t="n">
        <x:v>883.84</x:v>
      </x:c>
      <x:c r="J2665" s="24" t="n">
        <x:v>4</x:v>
      </x:c>
      <x:c r="K2665" s="26" t="n">
        <x:v>0.2</x:v>
      </x:c>
      <x:c r="L2665" s="22" t="n">
        <x:v>99.43199999999993</x:v>
      </x:c>
      <x:c r="M2665" t="n">
        <x:v>2015</x:v>
      </x:c>
      <x:c r="N2665" s="20" t="n">
        <x:v>42339</x:v>
      </x:c>
    </x:row>
    <x:row r="2666" ht="18" customHeight="1">
      <x:c r="A2666" t="str">
        <x:v>CA-2017-123372</x:v>
      </x:c>
      <x:c r="B2666" s="18" t="n">
        <x:v>43067</x:v>
      </x:c>
      <x:c r="C2666" t="str">
        <x:v>DG-13300</x:v>
      </x:c>
      <x:c r="D2666" t="str">
        <x:v>Deirdre Greer</x:v>
      </x:c>
      <x:c r="E2666" t="str">
        <x:v>Corporate</x:v>
      </x:c>
      <x:c r="F2666" t="str">
        <x:v>East</x:v>
      </x:c>
      <x:c r="G2666" t="str">
        <x:v>Technology</x:v>
      </x:c>
      <x:c r="H2666" t="str">
        <x:v>Phones</x:v>
      </x:c>
      <x:c r="I2666" s="22" t="n">
        <x:v>1979.89</x:v>
      </x:c>
      <x:c r="J2666" s="24" t="n">
        <x:v>11</x:v>
      </x:c>
      <x:c r="K2666" s="26" t="n">
        <x:v>0</x:v>
      </x:c>
      <x:c r="L2666" s="22" t="n">
        <x:v>494.9725</x:v>
      </x:c>
      <x:c r="M2666" t="n">
        <x:v>2017</x:v>
      </x:c>
      <x:c r="N2666" s="20" t="n">
        <x:v>43040</x:v>
      </x:c>
    </x:row>
    <x:row r="2667" ht="18" customHeight="1">
      <x:c r="A2667" t="str">
        <x:v>CA-2017-123372</x:v>
      </x:c>
      <x:c r="B2667" s="18" t="n">
        <x:v>43067</x:v>
      </x:c>
      <x:c r="C2667" t="str">
        <x:v>DG-13300</x:v>
      </x:c>
      <x:c r="D2667" t="str">
        <x:v>Deirdre Greer</x:v>
      </x:c>
      <x:c r="E2667" t="str">
        <x:v>Corporate</x:v>
      </x:c>
      <x:c r="F2667" t="str">
        <x:v>East</x:v>
      </x:c>
      <x:c r="G2667" t="str">
        <x:v>Office Supplies</x:v>
      </x:c>
      <x:c r="H2667" t="str">
        <x:v>Envelopes</x:v>
      </x:c>
      <x:c r="I2667" s="22" t="n">
        <x:v>79.96</x:v>
      </x:c>
      <x:c r="J2667" s="24" t="n">
        <x:v>2</x:v>
      </x:c>
      <x:c r="K2667" s="26" t="n">
        <x:v>0</x:v>
      </x:c>
      <x:c r="L2667" s="22" t="n">
        <x:v>35.98199999999999</x:v>
      </x:c>
      <x:c r="M2667" t="n">
        <x:v>2017</x:v>
      </x:c>
      <x:c r="N2667" s="20" t="n">
        <x:v>43040</x:v>
      </x:c>
    </x:row>
    <x:row r="2668" ht="18" customHeight="1">
      <x:c r="A2668" t="str">
        <x:v>CA-2017-159604</x:v>
      </x:c>
      <x:c r="B2668" s="18" t="n">
        <x:v>42839</x:v>
      </x:c>
      <x:c r="C2668" t="str">
        <x:v>CL-12700</x:v>
      </x:c>
      <x:c r="D2668" t="str">
        <x:v>Craig Leslie</x:v>
      </x:c>
      <x:c r="E2668" t="str">
        <x:v>Home Office</x:v>
      </x:c>
      <x:c r="F2668" t="str">
        <x:v>Central</x:v>
      </x:c>
      <x:c r="G2668" t="str">
        <x:v>Office Supplies</x:v>
      </x:c>
      <x:c r="H2668" t="str">
        <x:v>Binders</x:v>
      </x:c>
      <x:c r="I2668" s="22" t="n">
        <x:v>8.76</x:v>
      </x:c>
      <x:c r="J2668" s="24" t="n">
        <x:v>2</x:v>
      </x:c>
      <x:c r="K2668" s="26" t="n">
        <x:v>0</x:v>
      </x:c>
      <x:c r="L2668" s="22" t="n">
        <x:v>4.2048</x:v>
      </x:c>
      <x:c r="M2668" t="n">
        <x:v>2017</x:v>
      </x:c>
      <x:c r="N2668" s="20" t="n">
        <x:v>42826</x:v>
      </x:c>
    </x:row>
    <x:row r="2669" ht="18" customHeight="1">
      <x:c r="A2669" t="str">
        <x:v>CA-2016-164784</x:v>
      </x:c>
      <x:c r="B2669" s="18" t="n">
        <x:v>42491</x:v>
      </x:c>
      <x:c r="C2669" t="str">
        <x:v>HF-14995</x:v>
      </x:c>
      <x:c r="D2669" t="str">
        <x:v>Herbert Flentye</x:v>
      </x:c>
      <x:c r="E2669" t="str">
        <x:v>Consumer</x:v>
      </x:c>
      <x:c r="F2669" t="str">
        <x:v>South</x:v>
      </x:c>
      <x:c r="G2669" t="str">
        <x:v>Office Supplies</x:v>
      </x:c>
      <x:c r="H2669" t="str">
        <x:v>Labels</x:v>
      </x:c>
      <x:c r="I2669" s="22" t="n">
        <x:v>3.9840000000000004</x:v>
      </x:c>
      <x:c r="J2669" s="24" t="n">
        <x:v>1</x:v>
      </x:c>
      <x:c r="K2669" s="26" t="n">
        <x:v>0.2</x:v>
      </x:c>
      <x:c r="L2669" s="22" t="n">
        <x:v>1.2948</x:v>
      </x:c>
      <x:c r="M2669" t="n">
        <x:v>2016</x:v>
      </x:c>
      <x:c r="N2669" s="20" t="n">
        <x:v>42491</x:v>
      </x:c>
    </x:row>
    <x:row r="2670" ht="18" customHeight="1">
      <x:c r="A2670" t="str">
        <x:v>CA-2016-164784</x:v>
      </x:c>
      <x:c r="B2670" s="18" t="n">
        <x:v>42491</x:v>
      </x:c>
      <x:c r="C2670" t="str">
        <x:v>HF-14995</x:v>
      </x:c>
      <x:c r="D2670" t="str">
        <x:v>Herbert Flentye</x:v>
      </x:c>
      <x:c r="E2670" t="str">
        <x:v>Consumer</x:v>
      </x:c>
      <x:c r="F2670" t="str">
        <x:v>South</x:v>
      </x:c>
      <x:c r="G2670" t="str">
        <x:v>Furniture</x:v>
      </x:c>
      <x:c r="H2670" t="str">
        <x:v>Tables</x:v>
      </x:c>
      <x:c r="I2670" s="22" t="n">
        <x:v>370.62</x:v>
      </x:c>
      <x:c r="J2670" s="24" t="n">
        <x:v>3</x:v>
      </x:c>
      <x:c r="K2670" s="26" t="n">
        <x:v>0.4</x:v>
      </x:c>
      <x:c r="L2670" s="22" t="n">
        <x:v>-142.07100000000008</x:v>
      </x:c>
      <x:c r="M2670" t="n">
        <x:v>2016</x:v>
      </x:c>
      <x:c r="N2670" s="20" t="n">
        <x:v>42491</x:v>
      </x:c>
    </x:row>
    <x:row r="2671" ht="18" customHeight="1">
      <x:c r="A2671" t="str">
        <x:v>CA-2016-164784</x:v>
      </x:c>
      <x:c r="B2671" s="18" t="n">
        <x:v>42491</x:v>
      </x:c>
      <x:c r="C2671" t="str">
        <x:v>HF-14995</x:v>
      </x:c>
      <x:c r="D2671" t="str">
        <x:v>Herbert Flentye</x:v>
      </x:c>
      <x:c r="E2671" t="str">
        <x:v>Consumer</x:v>
      </x:c>
      <x:c r="F2671" t="str">
        <x:v>South</x:v>
      </x:c>
      <x:c r="G2671" t="str">
        <x:v>Office Supplies</x:v>
      </x:c>
      <x:c r="H2671" t="str">
        <x:v>Binders</x:v>
      </x:c>
      <x:c r="I2671" s="22" t="n">
        <x:v>2.7420000000000004</x:v>
      </x:c>
      <x:c r="J2671" s="24" t="n">
        <x:v>2</x:v>
      </x:c>
      <x:c r="K2671" s="26" t="n">
        <x:v>0.7</x:v>
      </x:c>
      <x:c r="L2671" s="22" t="n">
        <x:v>-2.0107999999999997</x:v>
      </x:c>
      <x:c r="M2671" t="n">
        <x:v>2016</x:v>
      </x:c>
      <x:c r="N2671" s="20" t="n">
        <x:v>42491</x:v>
      </x:c>
    </x:row>
    <x:row r="2672" ht="18" customHeight="1">
      <x:c r="A2672" t="str">
        <x:v>CA-2016-111794</x:v>
      </x:c>
      <x:c r="B2672" s="18" t="n">
        <x:v>42644</x:v>
      </x:c>
      <x:c r="C2672" t="str">
        <x:v>HG-15025</x:v>
      </x:c>
      <x:c r="D2672" t="str">
        <x:v>Hunter Glantz</x:v>
      </x:c>
      <x:c r="E2672" t="str">
        <x:v>Consumer</x:v>
      </x:c>
      <x:c r="F2672" t="str">
        <x:v>Central</x:v>
      </x:c>
      <x:c r="G2672" t="str">
        <x:v>Technology</x:v>
      </x:c>
      <x:c r="H2672" t="str">
        <x:v>Accessories</x:v>
      </x:c>
      <x:c r="I2672" s="22" t="n">
        <x:v>79.51200000000001</x:v>
      </x:c>
      <x:c r="J2672" s="24" t="n">
        <x:v>3</x:v>
      </x:c>
      <x:c r="K2672" s="26" t="n">
        <x:v>0.2</x:v>
      </x:c>
      <x:c r="L2672" s="22" t="n">
        <x:v>20.8719</x:v>
      </x:c>
      <x:c r="M2672" t="n">
        <x:v>2016</x:v>
      </x:c>
      <x:c r="N2672" s="20" t="n">
        <x:v>42644</x:v>
      </x:c>
    </x:row>
    <x:row r="2673" ht="18" customHeight="1">
      <x:c r="A2673" t="str">
        <x:v>CA-2016-111794</x:v>
      </x:c>
      <x:c r="B2673" s="18" t="n">
        <x:v>42644</x:v>
      </x:c>
      <x:c r="C2673" t="str">
        <x:v>HG-15025</x:v>
      </x:c>
      <x:c r="D2673" t="str">
        <x:v>Hunter Glantz</x:v>
      </x:c>
      <x:c r="E2673" t="str">
        <x:v>Consumer</x:v>
      </x:c>
      <x:c r="F2673" t="str">
        <x:v>Central</x:v>
      </x:c>
      <x:c r="G2673" t="str">
        <x:v>Office Supplies</x:v>
      </x:c>
      <x:c r="H2673" t="str">
        <x:v>Paper</x:v>
      </x:c>
      <x:c r="I2673" s="22" t="n">
        <x:v>28.352</x:v>
      </x:c>
      <x:c r="J2673" s="24" t="n">
        <x:v>1</x:v>
      </x:c>
      <x:c r="K2673" s="26" t="n">
        <x:v>0.2</x:v>
      </x:c>
      <x:c r="L2673" s="22" t="n">
        <x:v>9.568799999999996</x:v>
      </x:c>
      <x:c r="M2673" t="n">
        <x:v>2016</x:v>
      </x:c>
      <x:c r="N2673" s="20" t="n">
        <x:v>42644</x:v>
      </x:c>
    </x:row>
    <x:row r="2674" ht="18" customHeight="1">
      <x:c r="A2674" t="str">
        <x:v>US-2015-139759</x:v>
      </x:c>
      <x:c r="B2674" s="18" t="n">
        <x:v>42241</x:v>
      </x:c>
      <x:c r="C2674" t="str">
        <x:v>NL-18310</x:v>
      </x:c>
      <x:c r="D2674" t="str">
        <x:v>Nancy Lomonaco</x:v>
      </x:c>
      <x:c r="E2674" t="str">
        <x:v>Home Office</x:v>
      </x:c>
      <x:c r="F2674" t="str">
        <x:v>West</x:v>
      </x:c>
      <x:c r="G2674" t="str">
        <x:v>Furniture</x:v>
      </x:c>
      <x:c r="H2674" t="str">
        <x:v>Chairs</x:v>
      </x:c>
      <x:c r="I2674" s="22" t="n">
        <x:v>40.784</x:v>
      </x:c>
      <x:c r="J2674" s="24" t="n">
        <x:v>1</x:v>
      </x:c>
      <x:c r="K2674" s="26" t="n">
        <x:v>0.2</x:v>
      </x:c>
      <x:c r="L2674" s="22" t="n">
        <x:v>4.588199999999999</x:v>
      </x:c>
      <x:c r="M2674" t="n">
        <x:v>2015</x:v>
      </x:c>
      <x:c r="N2674" s="20" t="n">
        <x:v>42217</x:v>
      </x:c>
    </x:row>
    <x:row r="2675" ht="18" customHeight="1">
      <x:c r="A2675" t="str">
        <x:v>US-2015-139759</x:v>
      </x:c>
      <x:c r="B2675" s="18" t="n">
        <x:v>42241</x:v>
      </x:c>
      <x:c r="C2675" t="str">
        <x:v>NL-18310</x:v>
      </x:c>
      <x:c r="D2675" t="str">
        <x:v>Nancy Lomonaco</x:v>
      </x:c>
      <x:c r="E2675" t="str">
        <x:v>Home Office</x:v>
      </x:c>
      <x:c r="F2675" t="str">
        <x:v>West</x:v>
      </x:c>
      <x:c r="G2675" t="str">
        <x:v>Office Supplies</x:v>
      </x:c>
      <x:c r="H2675" t="str">
        <x:v>Appliances</x:v>
      </x:c>
      <x:c r="I2675" s="22" t="n">
        <x:v>105.96</x:v>
      </x:c>
      <x:c r="J2675" s="24" t="n">
        <x:v>4</x:v>
      </x:c>
      <x:c r="K2675" s="26" t="n">
        <x:v>0</x:v>
      </x:c>
      <x:c r="L2675" s="22" t="n">
        <x:v>29.668800000000005</x:v>
      </x:c>
      <x:c r="M2675" t="n">
        <x:v>2015</x:v>
      </x:c>
      <x:c r="N2675" s="20" t="n">
        <x:v>42217</x:v>
      </x:c>
    </x:row>
    <x:row r="2676" ht="18" customHeight="1">
      <x:c r="A2676" t="str">
        <x:v>CA-2014-126403</x:v>
      </x:c>
      <x:c r="B2676" s="18" t="n">
        <x:v>41891</x:v>
      </x:c>
      <x:c r="C2676" t="str">
        <x:v>RR-19525</x:v>
      </x:c>
      <x:c r="D2676" t="str">
        <x:v>Rick Reed</x:v>
      </x:c>
      <x:c r="E2676" t="str">
        <x:v>Corporate</x:v>
      </x:c>
      <x:c r="F2676" t="str">
        <x:v>East</x:v>
      </x:c>
      <x:c r="G2676" t="str">
        <x:v>Office Supplies</x:v>
      </x:c>
      <x:c r="H2676" t="str">
        <x:v>Paper</x:v>
      </x:c>
      <x:c r="I2676" s="22" t="n">
        <x:v>166.44</x:v>
      </x:c>
      <x:c r="J2676" s="24" t="n">
        <x:v>3</x:v>
      </x:c>
      <x:c r="K2676" s="26" t="n">
        <x:v>0</x:v>
      </x:c>
      <x:c r="L2676" s="22" t="n">
        <x:v>79.8912</x:v>
      </x:c>
      <x:c r="M2676" t="n">
        <x:v>2014</x:v>
      </x:c>
      <x:c r="N2676" s="20" t="n">
        <x:v>41883</x:v>
      </x:c>
    </x:row>
    <x:row r="2677" ht="18" customHeight="1">
      <x:c r="A2677" t="str">
        <x:v>CA-2014-126403</x:v>
      </x:c>
      <x:c r="B2677" s="18" t="n">
        <x:v>41891</x:v>
      </x:c>
      <x:c r="C2677" t="str">
        <x:v>RR-19525</x:v>
      </x:c>
      <x:c r="D2677" t="str">
        <x:v>Rick Reed</x:v>
      </x:c>
      <x:c r="E2677" t="str">
        <x:v>Corporate</x:v>
      </x:c>
      <x:c r="F2677" t="str">
        <x:v>East</x:v>
      </x:c>
      <x:c r="G2677" t="str">
        <x:v>Furniture</x:v>
      </x:c>
      <x:c r="H2677" t="str">
        <x:v>Chairs</x:v>
      </x:c>
      <x:c r="I2677" s="22" t="n">
        <x:v>785.8799999999999</x:v>
      </x:c>
      <x:c r="J2677" s="24" t="n">
        <x:v>6</x:v>
      </x:c>
      <x:c r="K2677" s="26" t="n">
        <x:v>0</x:v>
      </x:c>
      <x:c r="L2677" s="22" t="n">
        <x:v>212.18759999999997</x:v>
      </x:c>
      <x:c r="M2677" t="n">
        <x:v>2014</x:v>
      </x:c>
      <x:c r="N2677" s="20" t="n">
        <x:v>41883</x:v>
      </x:c>
    </x:row>
    <x:row r="2678" ht="18" customHeight="1">
      <x:c r="A2678" t="str">
        <x:v>CA-2014-126403</x:v>
      </x:c>
      <x:c r="B2678" s="18" t="n">
        <x:v>41891</x:v>
      </x:c>
      <x:c r="C2678" t="str">
        <x:v>RR-19525</x:v>
      </x:c>
      <x:c r="D2678" t="str">
        <x:v>Rick Reed</x:v>
      </x:c>
      <x:c r="E2678" t="str">
        <x:v>Corporate</x:v>
      </x:c>
      <x:c r="F2678" t="str">
        <x:v>East</x:v>
      </x:c>
      <x:c r="G2678" t="str">
        <x:v>Office Supplies</x:v>
      </x:c>
      <x:c r="H2678" t="str">
        <x:v>Paper</x:v>
      </x:c>
      <x:c r="I2678" s="22" t="n">
        <x:v>26.2</x:v>
      </x:c>
      <x:c r="J2678" s="24" t="n">
        <x:v>2</x:v>
      </x:c>
      <x:c r="K2678" s="26" t="n">
        <x:v>0</x:v>
      </x:c>
      <x:c r="L2678" s="22" t="n">
        <x:v>12.838</x:v>
      </x:c>
      <x:c r="M2678" t="n">
        <x:v>2014</x:v>
      </x:c>
      <x:c r="N2678" s="20" t="n">
        <x:v>41883</x:v>
      </x:c>
    </x:row>
    <x:row r="2679" ht="18" customHeight="1">
      <x:c r="A2679" t="str">
        <x:v>CA-2014-126403</x:v>
      </x:c>
      <x:c r="B2679" s="18" t="n">
        <x:v>41891</x:v>
      </x:c>
      <x:c r="C2679" t="str">
        <x:v>RR-19525</x:v>
      </x:c>
      <x:c r="D2679" t="str">
        <x:v>Rick Reed</x:v>
      </x:c>
      <x:c r="E2679" t="str">
        <x:v>Corporate</x:v>
      </x:c>
      <x:c r="F2679" t="str">
        <x:v>East</x:v>
      </x:c>
      <x:c r="G2679" t="str">
        <x:v>Office Supplies</x:v>
      </x:c>
      <x:c r="H2679" t="str">
        <x:v>Storage</x:v>
      </x:c>
      <x:c r="I2679" s="22" t="n">
        <x:v>1325.8500000000001</x:v>
      </x:c>
      <x:c r="J2679" s="24" t="n">
        <x:v>5</x:v>
      </x:c>
      <x:c r="K2679" s="26" t="n">
        <x:v>0</x:v>
      </x:c>
      <x:c r="L2679" s="22" t="n">
        <x:v>238.6529999999999</x:v>
      </x:c>
      <x:c r="M2679" t="n">
        <x:v>2014</x:v>
      </x:c>
      <x:c r="N2679" s="20" t="n">
        <x:v>41883</x:v>
      </x:c>
    </x:row>
    <x:row r="2680" ht="18" customHeight="1">
      <x:c r="A2680" t="str">
        <x:v>CA-2017-136875</x:v>
      </x:c>
      <x:c r="B2680" s="18" t="n">
        <x:v>43072</x:v>
      </x:c>
      <x:c r="C2680" t="str">
        <x:v>TC-21295</x:v>
      </x:c>
      <x:c r="D2680" t="str">
        <x:v>Toby Carlisle</x:v>
      </x:c>
      <x:c r="E2680" t="str">
        <x:v>Consumer</x:v>
      </x:c>
      <x:c r="F2680" t="str">
        <x:v>West</x:v>
      </x:c>
      <x:c r="G2680" t="str">
        <x:v>Office Supplies</x:v>
      </x:c>
      <x:c r="H2680" t="str">
        <x:v>Paper</x:v>
      </x:c>
      <x:c r="I2680" s="22" t="n">
        <x:v>166.44</x:v>
      </x:c>
      <x:c r="J2680" s="24" t="n">
        <x:v>3</x:v>
      </x:c>
      <x:c r="K2680" s="26" t="n">
        <x:v>0</x:v>
      </x:c>
      <x:c r="L2680" s="22" t="n">
        <x:v>79.8912</x:v>
      </x:c>
      <x:c r="M2680" t="n">
        <x:v>2017</x:v>
      </x:c>
      <x:c r="N2680" s="20" t="n">
        <x:v>43070</x:v>
      </x:c>
    </x:row>
    <x:row r="2681" ht="18" customHeight="1">
      <x:c r="A2681" t="str">
        <x:v>CA-2017-132185</x:v>
      </x:c>
      <x:c r="B2681" s="18" t="n">
        <x:v>43066</x:v>
      </x:c>
      <x:c r="C2681" t="str">
        <x:v>DB-13615</x:v>
      </x:c>
      <x:c r="D2681" t="str">
        <x:v>Doug Bickford</x:v>
      </x:c>
      <x:c r="E2681" t="str">
        <x:v>Consumer</x:v>
      </x:c>
      <x:c r="F2681" t="str">
        <x:v>South</x:v>
      </x:c>
      <x:c r="G2681" t="str">
        <x:v>Office Supplies</x:v>
      </x:c>
      <x:c r="H2681" t="str">
        <x:v>Art</x:v>
      </x:c>
      <x:c r="I2681" s="22" t="n">
        <x:v>8.76</x:v>
      </x:c>
      <x:c r="J2681" s="24" t="n">
        <x:v>5</x:v>
      </x:c>
      <x:c r="K2681" s="26" t="n">
        <x:v>0.2</x:v>
      </x:c>
      <x:c r="L2681" s="22" t="n">
        <x:v>0.7664999999999997</x:v>
      </x:c>
      <x:c r="M2681" t="n">
        <x:v>2017</x:v>
      </x:c>
      <x:c r="N2681" s="20" t="n">
        <x:v>43040</x:v>
      </x:c>
    </x:row>
    <x:row r="2682" ht="18" customHeight="1">
      <x:c r="A2682" t="str">
        <x:v>CA-2017-132185</x:v>
      </x:c>
      <x:c r="B2682" s="18" t="n">
        <x:v>43066</x:v>
      </x:c>
      <x:c r="C2682" t="str">
        <x:v>DB-13615</x:v>
      </x:c>
      <x:c r="D2682" t="str">
        <x:v>Doug Bickford</x:v>
      </x:c>
      <x:c r="E2682" t="str">
        <x:v>Consumer</x:v>
      </x:c>
      <x:c r="F2682" t="str">
        <x:v>South</x:v>
      </x:c>
      <x:c r="G2682" t="str">
        <x:v>Office Supplies</x:v>
      </x:c>
      <x:c r="H2682" t="str">
        <x:v>Appliances</x:v>
      </x:c>
      <x:c r="I2682" s="22" t="n">
        <x:v>43.584</x:v>
      </x:c>
      <x:c r="J2682" s="24" t="n">
        <x:v>1</x:v>
      </x:c>
      <x:c r="K2682" s="26" t="n">
        <x:v>0.2</x:v>
      </x:c>
      <x:c r="L2682" s="22" t="n">
        <x:v>4.358400000000003</x:v>
      </x:c>
      <x:c r="M2682" t="n">
        <x:v>2017</x:v>
      </x:c>
      <x:c r="N2682" s="20" t="n">
        <x:v>43040</x:v>
      </x:c>
    </x:row>
    <x:row r="2683" ht="18" customHeight="1">
      <x:c r="A2683" t="str">
        <x:v>US-2014-160780</x:v>
      </x:c>
      <x:c r="B2683" s="18" t="n">
        <x:v>41811</x:v>
      </x:c>
      <x:c r="C2683" t="str">
        <x:v>SV-20785</x:v>
      </x:c>
      <x:c r="D2683" t="str">
        <x:v>Stewart Visinsky</x:v>
      </x:c>
      <x:c r="E2683" t="str">
        <x:v>Consumer</x:v>
      </x:c>
      <x:c r="F2683" t="str">
        <x:v>West</x:v>
      </x:c>
      <x:c r="G2683" t="str">
        <x:v>Office Supplies</x:v>
      </x:c>
      <x:c r="H2683" t="str">
        <x:v>Binders</x:v>
      </x:c>
      <x:c r="I2683" s="22" t="n">
        <x:v>11.088000000000003</x:v>
      </x:c>
      <x:c r="J2683" s="24" t="n">
        <x:v>7</x:v>
      </x:c>
      <x:c r="K2683" s="26" t="n">
        <x:v>0.7</x:v>
      </x:c>
      <x:c r="L2683" s="22" t="n">
        <x:v>-8.1312</x:v>
      </x:c>
      <x:c r="M2683" t="n">
        <x:v>2014</x:v>
      </x:c>
      <x:c r="N2683" s="20" t="n">
        <x:v>41791</x:v>
      </x:c>
    </x:row>
    <x:row r="2684" ht="18" customHeight="1">
      <x:c r="A2684" t="str">
        <x:v>US-2014-160780</x:v>
      </x:c>
      <x:c r="B2684" s="18" t="n">
        <x:v>41811</x:v>
      </x:c>
      <x:c r="C2684" t="str">
        <x:v>SV-20785</x:v>
      </x:c>
      <x:c r="D2684" t="str">
        <x:v>Stewart Visinsky</x:v>
      </x:c>
      <x:c r="E2684" t="str">
        <x:v>Consumer</x:v>
      </x:c>
      <x:c r="F2684" t="str">
        <x:v>West</x:v>
      </x:c>
      <x:c r="G2684" t="str">
        <x:v>Office Supplies</x:v>
      </x:c>
      <x:c r="H2684" t="str">
        <x:v>Binders</x:v>
      </x:c>
      <x:c r="I2684" s="22" t="n">
        <x:v>25.164</x:v>
      </x:c>
      <x:c r="J2684" s="24" t="n">
        <x:v>2</x:v>
      </x:c>
      <x:c r="K2684" s="26" t="n">
        <x:v>0.7</x:v>
      </x:c>
      <x:c r="L2684" s="22" t="n">
        <x:v>-16.775999999999996</x:v>
      </x:c>
      <x:c r="M2684" t="n">
        <x:v>2014</x:v>
      </x:c>
      <x:c r="N2684" s="20" t="n">
        <x:v>41791</x:v>
      </x:c>
    </x:row>
    <x:row r="2685" ht="18" customHeight="1">
      <x:c r="A2685" t="str">
        <x:v>CA-2017-127026</x:v>
      </x:c>
      <x:c r="B2685" s="18" t="n">
        <x:v>42756</x:v>
      </x:c>
      <x:c r="C2685" t="str">
        <x:v>MH-18115</x:v>
      </x:c>
      <x:c r="D2685" t="str">
        <x:v>Mick Hernandez</x:v>
      </x:c>
      <x:c r="E2685" t="str">
        <x:v>Home Office</x:v>
      </x:c>
      <x:c r="F2685" t="str">
        <x:v>Central</x:v>
      </x:c>
      <x:c r="G2685" t="str">
        <x:v>Office Supplies</x:v>
      </x:c>
      <x:c r="H2685" t="str">
        <x:v>Binders</x:v>
      </x:c>
      <x:c r="I2685" s="22" t="n">
        <x:v>14.399999999999999</x:v>
      </x:c>
      <x:c r="J2685" s="24" t="n">
        <x:v>5</x:v>
      </x:c>
      <x:c r="K2685" s="26" t="n">
        <x:v>0</x:v>
      </x:c>
      <x:c r="L2685" s="22" t="n">
        <x:v>7.056</x:v>
      </x:c>
      <x:c r="M2685" t="n">
        <x:v>2017</x:v>
      </x:c>
      <x:c r="N2685" s="20" t="n">
        <x:v>42736</x:v>
      </x:c>
    </x:row>
    <x:row r="2686" ht="18" customHeight="1">
      <x:c r="A2686" t="str">
        <x:v>CA-2017-127026</x:v>
      </x:c>
      <x:c r="B2686" s="18" t="n">
        <x:v>42756</x:v>
      </x:c>
      <x:c r="C2686" t="str">
        <x:v>MH-18115</x:v>
      </x:c>
      <x:c r="D2686" t="str">
        <x:v>Mick Hernandez</x:v>
      </x:c>
      <x:c r="E2686" t="str">
        <x:v>Home Office</x:v>
      </x:c>
      <x:c r="F2686" t="str">
        <x:v>Central</x:v>
      </x:c>
      <x:c r="G2686" t="str">
        <x:v>Technology</x:v>
      </x:c>
      <x:c r="H2686" t="str">
        <x:v>Accessories</x:v>
      </x:c>
      <x:c r="I2686" s="22" t="n">
        <x:v>619.9499999999999</x:v>
      </x:c>
      <x:c r="J2686" s="24" t="n">
        <x:v>5</x:v>
      </x:c>
      <x:c r="K2686" s="26" t="n">
        <x:v>0</x:v>
      </x:c>
      <x:c r="L2686" s="22" t="n">
        <x:v>111.59099999999995</x:v>
      </x:c>
      <x:c r="M2686" t="n">
        <x:v>2017</x:v>
      </x:c>
      <x:c r="N2686" s="20" t="n">
        <x:v>42736</x:v>
      </x:c>
    </x:row>
    <x:row r="2687" ht="18" customHeight="1">
      <x:c r="A2687" t="str">
        <x:v>CA-2017-127026</x:v>
      </x:c>
      <x:c r="B2687" s="18" t="n">
        <x:v>42756</x:v>
      </x:c>
      <x:c r="C2687" t="str">
        <x:v>MH-18115</x:v>
      </x:c>
      <x:c r="D2687" t="str">
        <x:v>Mick Hernandez</x:v>
      </x:c>
      <x:c r="E2687" t="str">
        <x:v>Home Office</x:v>
      </x:c>
      <x:c r="F2687" t="str">
        <x:v>Central</x:v>
      </x:c>
      <x:c r="G2687" t="str">
        <x:v>Office Supplies</x:v>
      </x:c>
      <x:c r="H2687" t="str">
        <x:v>Binders</x:v>
      </x:c>
      <x:c r="I2687" s="22" t="n">
        <x:v>89.52</x:v>
      </x:c>
      <x:c r="J2687" s="24" t="n">
        <x:v>4</x:v>
      </x:c>
      <x:c r="K2687" s="26" t="n">
        <x:v>0</x:v>
      </x:c>
      <x:c r="L2687" s="22" t="n">
        <x:v>42.0744</x:v>
      </x:c>
      <x:c r="M2687" t="n">
        <x:v>2017</x:v>
      </x:c>
      <x:c r="N2687" s="20" t="n">
        <x:v>42736</x:v>
      </x:c>
    </x:row>
    <x:row r="2688" ht="18" customHeight="1">
      <x:c r="A2688" t="str">
        <x:v>CA-2017-127026</x:v>
      </x:c>
      <x:c r="B2688" s="18" t="n">
        <x:v>42756</x:v>
      </x:c>
      <x:c r="C2688" t="str">
        <x:v>MH-18115</x:v>
      </x:c>
      <x:c r="D2688" t="str">
        <x:v>Mick Hernandez</x:v>
      </x:c>
      <x:c r="E2688" t="str">
        <x:v>Home Office</x:v>
      </x:c>
      <x:c r="F2688" t="str">
        <x:v>Central</x:v>
      </x:c>
      <x:c r="G2688" t="str">
        <x:v>Technology</x:v>
      </x:c>
      <x:c r="H2688" t="str">
        <x:v>Machines</x:v>
      </x:c>
      <x:c r="I2688" s="22" t="n">
        <x:v>350.97300000000007</x:v>
      </x:c>
      <x:c r="J2688" s="24" t="n">
        <x:v>3</x:v>
      </x:c>
      <x:c r="K2688" s="26" t="n">
        <x:v>0.1</x:v>
      </x:c>
      <x:c r="L2688" s="22" t="n">
        <x:v>152.08829999999998</x:v>
      </x:c>
      <x:c r="M2688" t="n">
        <x:v>2017</x:v>
      </x:c>
      <x:c r="N2688" s="20" t="n">
        <x:v>42736</x:v>
      </x:c>
    </x:row>
    <x:row r="2689" ht="18" customHeight="1">
      <x:c r="A2689" t="str">
        <x:v>CA-2017-127026</x:v>
      </x:c>
      <x:c r="B2689" s="18" t="n">
        <x:v>42756</x:v>
      </x:c>
      <x:c r="C2689" t="str">
        <x:v>MH-18115</x:v>
      </x:c>
      <x:c r="D2689" t="str">
        <x:v>Mick Hernandez</x:v>
      </x:c>
      <x:c r="E2689" t="str">
        <x:v>Home Office</x:v>
      </x:c>
      <x:c r="F2689" t="str">
        <x:v>Central</x:v>
      </x:c>
      <x:c r="G2689" t="str">
        <x:v>Technology</x:v>
      </x:c>
      <x:c r="H2689" t="str">
        <x:v>Phones</x:v>
      </x:c>
      <x:c r="I2689" s="22" t="n">
        <x:v>164.99</x:v>
      </x:c>
      <x:c r="J2689" s="24" t="n">
        <x:v>1</x:v>
      </x:c>
      <x:c r="K2689" s="26" t="n">
        <x:v>0</x:v>
      </x:c>
      <x:c r="L2689" s="22" t="n">
        <x:v>49.496999999999986</x:v>
      </x:c>
      <x:c r="M2689" t="n">
        <x:v>2017</x:v>
      </x:c>
      <x:c r="N2689" s="20" t="n">
        <x:v>42736</x:v>
      </x:c>
    </x:row>
    <x:row r="2690" ht="18" customHeight="1">
      <x:c r="A2690" t="str">
        <x:v>CA-2017-137085</x:v>
      </x:c>
      <x:c r="B2690" s="18" t="n">
        <x:v>42915</x:v>
      </x:c>
      <x:c r="C2690" t="str">
        <x:v>CT-11995</x:v>
      </x:c>
      <x:c r="D2690" t="str">
        <x:v>Carol Triggs</x:v>
      </x:c>
      <x:c r="E2690" t="str">
        <x:v>Consumer</x:v>
      </x:c>
      <x:c r="F2690" t="str">
        <x:v>West</x:v>
      </x:c>
      <x:c r="G2690" t="str">
        <x:v>Office Supplies</x:v>
      </x:c>
      <x:c r="H2690" t="str">
        <x:v>Binders</x:v>
      </x:c>
      <x:c r="I2690" s="22" t="n">
        <x:v>312.552</x:v>
      </x:c>
      <x:c r="J2690" s="24" t="n">
        <x:v>9</x:v>
      </x:c>
      <x:c r="K2690" s="26" t="n">
        <x:v>0.2</x:v>
      </x:c>
      <x:c r="L2690" s="22" t="n">
        <x:v>101.57939999999999</x:v>
      </x:c>
      <x:c r="M2690" t="n">
        <x:v>2017</x:v>
      </x:c>
      <x:c r="N2690" s="20" t="n">
        <x:v>42887</x:v>
      </x:c>
    </x:row>
    <x:row r="2691" ht="18" customHeight="1">
      <x:c r="A2691" t="str">
        <x:v>CA-2016-133123</x:v>
      </x:c>
      <x:c r="B2691" s="18" t="n">
        <x:v>42619</x:v>
      </x:c>
      <x:c r="C2691" t="str">
        <x:v>KB-16315</x:v>
      </x:c>
      <x:c r="D2691" t="str">
        <x:v>Karl Braun</x:v>
      </x:c>
      <x:c r="E2691" t="str">
        <x:v>Consumer</x:v>
      </x:c>
      <x:c r="F2691" t="str">
        <x:v>South</x:v>
      </x:c>
      <x:c r="G2691" t="str">
        <x:v>Office Supplies</x:v>
      </x:c>
      <x:c r="H2691" t="str">
        <x:v>Envelopes</x:v>
      </x:c>
      <x:c r="I2691" s="22" t="n">
        <x:v>95.952</x:v>
      </x:c>
      <x:c r="J2691" s="24" t="n">
        <x:v>3</x:v>
      </x:c>
      <x:c r="K2691" s="26" t="n">
        <x:v>0.2</x:v>
      </x:c>
      <x:c r="L2691" s="22" t="n">
        <x:v>29.984999999999985</x:v>
      </x:c>
      <x:c r="M2691" t="n">
        <x:v>2016</x:v>
      </x:c>
      <x:c r="N2691" s="20" t="n">
        <x:v>42614</x:v>
      </x:c>
    </x:row>
    <x:row r="2692" ht="18" customHeight="1">
      <x:c r="A2692" t="str">
        <x:v>CA-2016-133123</x:v>
      </x:c>
      <x:c r="B2692" s="18" t="n">
        <x:v>42619</x:v>
      </x:c>
      <x:c r="C2692" t="str">
        <x:v>KB-16315</x:v>
      </x:c>
      <x:c r="D2692" t="str">
        <x:v>Karl Braun</x:v>
      </x:c>
      <x:c r="E2692" t="str">
        <x:v>Consumer</x:v>
      </x:c>
      <x:c r="F2692" t="str">
        <x:v>South</x:v>
      </x:c>
      <x:c r="G2692" t="str">
        <x:v>Office Supplies</x:v>
      </x:c>
      <x:c r="H2692" t="str">
        <x:v>Binders</x:v>
      </x:c>
      <x:c r="I2692" s="22" t="n">
        <x:v>3.204</x:v>
      </x:c>
      <x:c r="J2692" s="24" t="n">
        <x:v>2</x:v>
      </x:c>
      <x:c r="K2692" s="26" t="n">
        <x:v>0.7</x:v>
      </x:c>
      <x:c r="L2692" s="22" t="n">
        <x:v>-2.4563999999999995</x:v>
      </x:c>
      <x:c r="M2692" t="n">
        <x:v>2016</x:v>
      </x:c>
      <x:c r="N2692" s="20" t="n">
        <x:v>42614</x:v>
      </x:c>
    </x:row>
    <x:row r="2693" ht="18" customHeight="1">
      <x:c r="A2693" t="str">
        <x:v>US-2016-128195</x:v>
      </x:c>
      <x:c r="B2693" s="18" t="n">
        <x:v>42586</x:v>
      </x:c>
      <x:c r="C2693" t="str">
        <x:v>RA-19285</x:v>
      </x:c>
      <x:c r="D2693" t="str">
        <x:v>Ralph Arnett</x:v>
      </x:c>
      <x:c r="E2693" t="str">
        <x:v>Consumer</x:v>
      </x:c>
      <x:c r="F2693" t="str">
        <x:v>Central</x:v>
      </x:c>
      <x:c r="G2693" t="str">
        <x:v>Office Supplies</x:v>
      </x:c>
      <x:c r="H2693" t="str">
        <x:v>Binders</x:v>
      </x:c>
      <x:c r="I2693" s="22" t="n">
        <x:v>3.979999999999999</x:v>
      </x:c>
      <x:c r="J2693" s="24" t="n">
        <x:v>5</x:v>
      </x:c>
      <x:c r="K2693" s="26" t="n">
        <x:v>0.8</x:v>
      </x:c>
      <x:c r="L2693" s="22" t="n">
        <x:v>-6.567000000000002</x:v>
      </x:c>
      <x:c r="M2693" t="n">
        <x:v>2016</x:v>
      </x:c>
      <x:c r="N2693" s="20" t="n">
        <x:v>42583</x:v>
      </x:c>
    </x:row>
    <x:row r="2694" ht="18" customHeight="1">
      <x:c r="A2694" t="str">
        <x:v>CA-2015-153220</x:v>
      </x:c>
      <x:c r="B2694" s="18" t="n">
        <x:v>42320</x:v>
      </x:c>
      <x:c r="C2694" t="str">
        <x:v>YC-21895</x:v>
      </x:c>
      <x:c r="D2694" t="str">
        <x:v>Yoseph Carroll</x:v>
      </x:c>
      <x:c r="E2694" t="str">
        <x:v>Corporate</x:v>
      </x:c>
      <x:c r="F2694" t="str">
        <x:v>West</x:v>
      </x:c>
      <x:c r="G2694" t="str">
        <x:v>Office Supplies</x:v>
      </x:c>
      <x:c r="H2694" t="str">
        <x:v>Paper</x:v>
      </x:c>
      <x:c r="I2694" s="22" t="n">
        <x:v>15.700000000000001</x:v>
      </x:c>
      <x:c r="J2694" s="24" t="n">
        <x:v>5</x:v>
      </x:c>
      <x:c r="K2694" s="26" t="n">
        <x:v>0</x:v>
      </x:c>
      <x:c r="L2694" s="22" t="n">
        <x:v>7.0649999999999995</x:v>
      </x:c>
      <x:c r="M2694" t="n">
        <x:v>2015</x:v>
      </x:c>
      <x:c r="N2694" s="20" t="n">
        <x:v>42309</x:v>
      </x:c>
    </x:row>
    <x:row r="2695" ht="18" customHeight="1">
      <x:c r="A2695" t="str">
        <x:v>CA-2014-123064</x:v>
      </x:c>
      <x:c r="B2695" s="18" t="n">
        <x:v>41820</x:v>
      </x:c>
      <x:c r="C2695" t="str">
        <x:v>RA-19915</x:v>
      </x:c>
      <x:c r="D2695" t="str">
        <x:v>Russell Applegate</x:v>
      </x:c>
      <x:c r="E2695" t="str">
        <x:v>Consumer</x:v>
      </x:c>
      <x:c r="F2695" t="str">
        <x:v>Central</x:v>
      </x:c>
      <x:c r="G2695" t="str">
        <x:v>Office Supplies</x:v>
      </x:c>
      <x:c r="H2695" t="str">
        <x:v>Art</x:v>
      </x:c>
      <x:c r="I2695" s="22" t="n">
        <x:v>5.248</x:v>
      </x:c>
      <x:c r="J2695" s="24" t="n">
        <x:v>4</x:v>
      </x:c>
      <x:c r="K2695" s="26" t="n">
        <x:v>0.2</x:v>
      </x:c>
      <x:c r="L2695" s="22" t="n">
        <x:v>1.6399999999999995</x:v>
      </x:c>
      <x:c r="M2695" t="n">
        <x:v>2014</x:v>
      </x:c>
      <x:c r="N2695" s="20" t="n">
        <x:v>41791</x:v>
      </x:c>
    </x:row>
    <x:row r="2696" ht="18" customHeight="1">
      <x:c r="A2696" t="str">
        <x:v>CA-2017-156412</x:v>
      </x:c>
      <x:c r="B2696" s="18" t="n">
        <x:v>43073</x:v>
      </x:c>
      <x:c r="C2696" t="str">
        <x:v>CM-12160</x:v>
      </x:c>
      <x:c r="D2696" t="str">
        <x:v>Charles McCrossin</x:v>
      </x:c>
      <x:c r="E2696" t="str">
        <x:v>Consumer</x:v>
      </x:c>
      <x:c r="F2696" t="str">
        <x:v>East</x:v>
      </x:c>
      <x:c r="G2696" t="str">
        <x:v>Office Supplies</x:v>
      </x:c>
      <x:c r="H2696" t="str">
        <x:v>Binders</x:v>
      </x:c>
      <x:c r="I2696" s="22" t="n">
        <x:v>5.346000000000002</x:v>
      </x:c>
      <x:c r="J2696" s="24" t="n">
        <x:v>3</x:v>
      </x:c>
      <x:c r="K2696" s="26" t="n">
        <x:v>0.7</x:v>
      </x:c>
      <x:c r="L2696" s="22" t="n">
        <x:v>-4.455</x:v>
      </x:c>
      <x:c r="M2696" t="n">
        <x:v>2017</x:v>
      </x:c>
      <x:c r="N2696" s="20" t="n">
        <x:v>43070</x:v>
      </x:c>
    </x:row>
    <x:row r="2697" ht="18" customHeight="1">
      <x:c r="A2697" t="str">
        <x:v>US-2016-144211</x:v>
      </x:c>
      <x:c r="B2697" s="18" t="n">
        <x:v>42610</x:v>
      </x:c>
      <x:c r="C2697" t="str">
        <x:v>CS-12130</x:v>
      </x:c>
      <x:c r="D2697" t="str">
        <x:v>Chad Sievert</x:v>
      </x:c>
      <x:c r="E2697" t="str">
        <x:v>Consumer</x:v>
      </x:c>
      <x:c r="F2697" t="str">
        <x:v>West</x:v>
      </x:c>
      <x:c r="G2697" t="str">
        <x:v>Office Supplies</x:v>
      </x:c>
      <x:c r="H2697" t="str">
        <x:v>Paper</x:v>
      </x:c>
      <x:c r="I2697" s="22" t="n">
        <x:v>15.48</x:v>
      </x:c>
      <x:c r="J2697" s="24" t="n">
        <x:v>3</x:v>
      </x:c>
      <x:c r="K2697" s="26" t="n">
        <x:v>0.2</x:v>
      </x:c>
      <x:c r="L2697" s="22" t="n">
        <x:v>5.6115</x:v>
      </x:c>
      <x:c r="M2697" t="n">
        <x:v>2016</x:v>
      </x:c>
      <x:c r="N2697" s="20" t="n">
        <x:v>42583</x:v>
      </x:c>
    </x:row>
    <x:row r="2698" ht="18" customHeight="1">
      <x:c r="A2698" t="str">
        <x:v>US-2016-144211</x:v>
      </x:c>
      <x:c r="B2698" s="18" t="n">
        <x:v>42610</x:v>
      </x:c>
      <x:c r="C2698" t="str">
        <x:v>CS-12130</x:v>
      </x:c>
      <x:c r="D2698" t="str">
        <x:v>Chad Sievert</x:v>
      </x:c>
      <x:c r="E2698" t="str">
        <x:v>Consumer</x:v>
      </x:c>
      <x:c r="F2698" t="str">
        <x:v>West</x:v>
      </x:c>
      <x:c r="G2698" t="str">
        <x:v>Technology</x:v>
      </x:c>
      <x:c r="H2698" t="str">
        <x:v>Phones</x:v>
      </x:c>
      <x:c r="I2698" s="22" t="n">
        <x:v>108.576</x:v>
      </x:c>
      <x:c r="J2698" s="24" t="n">
        <x:v>3</x:v>
      </x:c>
      <x:c r="K2698" s="26" t="n">
        <x:v>0.2</x:v>
      </x:c>
      <x:c r="L2698" s="22" t="n">
        <x:v>8.1432</x:v>
      </x:c>
      <x:c r="M2698" t="n">
        <x:v>2016</x:v>
      </x:c>
      <x:c r="N2698" s="20" t="n">
        <x:v>42583</x:v>
      </x:c>
    </x:row>
    <x:row r="2699" ht="18" customHeight="1">
      <x:c r="A2699" t="str">
        <x:v>CA-2016-138079</x:v>
      </x:c>
      <x:c r="B2699" s="18" t="n">
        <x:v>42391</x:v>
      </x:c>
      <x:c r="C2699" t="str">
        <x:v>AJ-10795</x:v>
      </x:c>
      <x:c r="D2699" t="str">
        <x:v>Anthony Johnson</x:v>
      </x:c>
      <x:c r="E2699" t="str">
        <x:v>Corporate</x:v>
      </x:c>
      <x:c r="F2699" t="str">
        <x:v>West</x:v>
      </x:c>
      <x:c r="G2699" t="str">
        <x:v>Furniture</x:v>
      </x:c>
      <x:c r="H2699" t="str">
        <x:v>Furnishings</x:v>
      </x:c>
      <x:c r="I2699" s="22" t="n">
        <x:v>109.9</x:v>
      </x:c>
      <x:c r="J2699" s="24" t="n">
        <x:v>5</x:v>
      </x:c>
      <x:c r="K2699" s="26" t="n">
        <x:v>0</x:v>
      </x:c>
      <x:c r="L2699" s="22" t="n">
        <x:v>37.366</x:v>
      </x:c>
      <x:c r="M2699" t="n">
        <x:v>2016</x:v>
      </x:c>
      <x:c r="N2699" s="20" t="n">
        <x:v>42370</x:v>
      </x:c>
    </x:row>
    <x:row r="2700" ht="18" customHeight="1">
      <x:c r="A2700" t="str">
        <x:v>CA-2014-143182</x:v>
      </x:c>
      <x:c r="B2700" s="18" t="n">
        <x:v>41927</x:v>
      </x:c>
      <x:c r="C2700" t="str">
        <x:v>DL-12865</x:v>
      </x:c>
      <x:c r="D2700" t="str">
        <x:v>Dan Lawera</x:v>
      </x:c>
      <x:c r="E2700" t="str">
        <x:v>Consumer</x:v>
      </x:c>
      <x:c r="F2700" t="str">
        <x:v>South</x:v>
      </x:c>
      <x:c r="G2700" t="str">
        <x:v>Furniture</x:v>
      </x:c>
      <x:c r="H2700" t="str">
        <x:v>Furnishings</x:v>
      </x:c>
      <x:c r="I2700" s="22" t="n">
        <x:v>15.384</x:v>
      </x:c>
      <x:c r="J2700" s="24" t="n">
        <x:v>1</x:v>
      </x:c>
      <x:c r="K2700" s="26" t="n">
        <x:v>0.2</x:v>
      </x:c>
      <x:c r="L2700" s="22" t="n">
        <x:v>4.038300000000001</x:v>
      </x:c>
      <x:c r="M2700" t="n">
        <x:v>2014</x:v>
      </x:c>
      <x:c r="N2700" s="20" t="n">
        <x:v>41913</x:v>
      </x:c>
    </x:row>
    <x:row r="2701" ht="18" customHeight="1">
      <x:c r="A2701" t="str">
        <x:v>CA-2016-161662</x:v>
      </x:c>
      <x:c r="B2701" s="18" t="n">
        <x:v>42407</x:v>
      </x:c>
      <x:c r="C2701" t="str">
        <x:v>BE-11410</x:v>
      </x:c>
      <x:c r="D2701" t="str">
        <x:v>Bobby Elias</x:v>
      </x:c>
      <x:c r="E2701" t="str">
        <x:v>Consumer</x:v>
      </x:c>
      <x:c r="F2701" t="str">
        <x:v>East</x:v>
      </x:c>
      <x:c r="G2701" t="str">
        <x:v>Office Supplies</x:v>
      </x:c>
      <x:c r="H2701" t="str">
        <x:v>Paper</x:v>
      </x:c>
      <x:c r="I2701" s="22" t="n">
        <x:v>30.352</x:v>
      </x:c>
      <x:c r="J2701" s="24" t="n">
        <x:v>2</x:v>
      </x:c>
      <x:c r="K2701" s="26" t="n">
        <x:v>0.2</x:v>
      </x:c>
      <x:c r="L2701" s="22" t="n">
        <x:v>10.623199999999997</x:v>
      </x:c>
      <x:c r="M2701" t="n">
        <x:v>2016</x:v>
      </x:c>
      <x:c r="N2701" s="20" t="n">
        <x:v>42401</x:v>
      </x:c>
    </x:row>
    <x:row r="2702" ht="18" customHeight="1">
      <x:c r="A2702" t="str">
        <x:v>CA-2014-145317</x:v>
      </x:c>
      <x:c r="B2702" s="18" t="n">
        <x:v>41716</x:v>
      </x:c>
      <x:c r="C2702" t="str">
        <x:v>SM-20320</x:v>
      </x:c>
      <x:c r="D2702" t="str">
        <x:v>Sean Miller</x:v>
      </x:c>
      <x:c r="E2702" t="str">
        <x:v>Home Office</x:v>
      </x:c>
      <x:c r="F2702" t="str">
        <x:v>South</x:v>
      </x:c>
      <x:c r="G2702" t="str">
        <x:v>Technology</x:v>
      </x:c>
      <x:c r="H2702" t="str">
        <x:v>Machines</x:v>
      </x:c>
      <x:c r="I2702" s="22" t="n">
        <x:v>821.3</x:v>
      </x:c>
      <x:c r="J2702" s="24" t="n">
        <x:v>4</x:v>
      </x:c>
      <x:c r="K2702" s="26" t="n">
        <x:v>0.5</x:v>
      </x:c>
      <x:c r="L2702" s="22" t="n">
        <x:v>-16.426000000000045</x:v>
      </x:c>
      <x:c r="M2702" t="n">
        <x:v>2014</x:v>
      </x:c>
      <x:c r="N2702" s="20" t="n">
        <x:v>41699</x:v>
      </x:c>
    </x:row>
    <x:row r="2703" ht="18" customHeight="1">
      <x:c r="A2703" t="str">
        <x:v>CA-2014-145317</x:v>
      </x:c>
      <x:c r="B2703" s="18" t="n">
        <x:v>41716</x:v>
      </x:c>
      <x:c r="C2703" t="str">
        <x:v>SM-20320</x:v>
      </x:c>
      <x:c r="D2703" t="str">
        <x:v>Sean Miller</x:v>
      </x:c>
      <x:c r="E2703" t="str">
        <x:v>Home Office</x:v>
      </x:c>
      <x:c r="F2703" t="str">
        <x:v>South</x:v>
      </x:c>
      <x:c r="G2703" t="str">
        <x:v>Technology</x:v>
      </x:c>
      <x:c r="H2703" t="str">
        <x:v>Machines</x:v>
      </x:c>
      <x:c r="I2703" s="22" t="n">
        <x:v>22638.48</x:v>
      </x:c>
      <x:c r="J2703" s="24" t="n">
        <x:v>6</x:v>
      </x:c>
      <x:c r="K2703" s="26" t="n">
        <x:v>0.5</x:v>
      </x:c>
      <x:c r="L2703" s="22" t="n">
        <x:v>-1811.0784000000021</x:v>
      </x:c>
      <x:c r="M2703" t="n">
        <x:v>2014</x:v>
      </x:c>
      <x:c r="N2703" s="20" t="n">
        <x:v>41699</x:v>
      </x:c>
    </x:row>
    <x:row r="2704" ht="18" customHeight="1">
      <x:c r="A2704" t="str">
        <x:v>CA-2014-145317</x:v>
      </x:c>
      <x:c r="B2704" s="18" t="n">
        <x:v>41716</x:v>
      </x:c>
      <x:c r="C2704" t="str">
        <x:v>SM-20320</x:v>
      </x:c>
      <x:c r="D2704" t="str">
        <x:v>Sean Miller</x:v>
      </x:c>
      <x:c r="E2704" t="str">
        <x:v>Home Office</x:v>
      </x:c>
      <x:c r="F2704" t="str">
        <x:v>South</x:v>
      </x:c>
      <x:c r="G2704" t="str">
        <x:v>Office Supplies</x:v>
      </x:c>
      <x:c r="H2704" t="str">
        <x:v>Paper</x:v>
      </x:c>
      <x:c r="I2704" s="22" t="n">
        <x:v>21.376</x:v>
      </x:c>
      <x:c r="J2704" s="24" t="n">
        <x:v>4</x:v>
      </x:c>
      <x:c r="K2704" s="26" t="n">
        <x:v>0.2</x:v>
      </x:c>
      <x:c r="L2704" s="22" t="n">
        <x:v>7.481599999999999</x:v>
      </x:c>
      <x:c r="M2704" t="n">
        <x:v>2014</x:v>
      </x:c>
      <x:c r="N2704" s="20" t="n">
        <x:v>41699</x:v>
      </x:c>
    </x:row>
    <x:row r="2705" ht="18" customHeight="1">
      <x:c r="A2705" t="str">
        <x:v>CA-2014-145317</x:v>
      </x:c>
      <x:c r="B2705" s="18" t="n">
        <x:v>41716</x:v>
      </x:c>
      <x:c r="C2705" t="str">
        <x:v>SM-20320</x:v>
      </x:c>
      <x:c r="D2705" t="str">
        <x:v>Sean Miller</x:v>
      </x:c>
      <x:c r="E2705" t="str">
        <x:v>Home Office</x:v>
      </x:c>
      <x:c r="F2705" t="str">
        <x:v>South</x:v>
      </x:c>
      <x:c r="G2705" t="str">
        <x:v>Office Supplies</x:v>
      </x:c>
      <x:c r="H2705" t="str">
        <x:v>Art</x:v>
      </x:c>
      <x:c r="I2705" s="22" t="n">
        <x:v>8.016</x:v>
      </x:c>
      <x:c r="J2705" s="24" t="n">
        <x:v>3</x:v>
      </x:c>
      <x:c r="K2705" s="26" t="n">
        <x:v>0.2</x:v>
      </x:c>
      <x:c r="L2705" s="22" t="n">
        <x:v>1.0019999999999993</x:v>
      </x:c>
      <x:c r="M2705" t="n">
        <x:v>2014</x:v>
      </x:c>
      <x:c r="N2705" s="20" t="n">
        <x:v>41699</x:v>
      </x:c>
    </x:row>
    <x:row r="2706" ht="18" customHeight="1">
      <x:c r="A2706" t="str">
        <x:v>CA-2014-145317</x:v>
      </x:c>
      <x:c r="B2706" s="18" t="n">
        <x:v>41716</x:v>
      </x:c>
      <x:c r="C2706" t="str">
        <x:v>SM-20320</x:v>
      </x:c>
      <x:c r="D2706" t="str">
        <x:v>Sean Miller</x:v>
      </x:c>
      <x:c r="E2706" t="str">
        <x:v>Home Office</x:v>
      </x:c>
      <x:c r="F2706" t="str">
        <x:v>South</x:v>
      </x:c>
      <x:c r="G2706" t="str">
        <x:v>Furniture</x:v>
      </x:c>
      <x:c r="H2706" t="str">
        <x:v>Furnishings</x:v>
      </x:c>
      <x:c r="I2706" s="22" t="n">
        <x:v>30.768</x:v>
      </x:c>
      <x:c r="J2706" s="24" t="n">
        <x:v>2</x:v>
      </x:c>
      <x:c r="K2706" s="26" t="n">
        <x:v>0.2</x:v>
      </x:c>
      <x:c r="L2706" s="22" t="n">
        <x:v>8.076600000000003</x:v>
      </x:c>
      <x:c r="M2706" t="n">
        <x:v>2014</x:v>
      </x:c>
      <x:c r="N2706" s="20" t="n">
        <x:v>41699</x:v>
      </x:c>
    </x:row>
    <x:row r="2707" ht="18" customHeight="1">
      <x:c r="A2707" t="str">
        <x:v>CA-2014-145317</x:v>
      </x:c>
      <x:c r="B2707" s="18" t="n">
        <x:v>41716</x:v>
      </x:c>
      <x:c r="C2707" t="str">
        <x:v>SM-20320</x:v>
      </x:c>
      <x:c r="D2707" t="str">
        <x:v>Sean Miller</x:v>
      </x:c>
      <x:c r="E2707" t="str">
        <x:v>Home Office</x:v>
      </x:c>
      <x:c r="F2707" t="str">
        <x:v>South</x:v>
      </x:c>
      <x:c r="G2707" t="str">
        <x:v>Office Supplies</x:v>
      </x:c>
      <x:c r="H2707" t="str">
        <x:v>Fasteners</x:v>
      </x:c>
      <x:c r="I2707" s="22" t="n">
        <x:v>18.936</x:v>
      </x:c>
      <x:c r="J2707" s="24" t="n">
        <x:v>3</x:v>
      </x:c>
      <x:c r="K2707" s="26" t="n">
        <x:v>0.2</x:v>
      </x:c>
      <x:c r="L2707" s="22" t="n">
        <x:v>5.917499999999999</x:v>
      </x:c>
      <x:c r="M2707" t="n">
        <x:v>2014</x:v>
      </x:c>
      <x:c r="N2707" s="20" t="n">
        <x:v>41699</x:v>
      </x:c>
    </x:row>
    <x:row r="2708" ht="18" customHeight="1">
      <x:c r="A2708" t="str">
        <x:v>CA-2014-145317</x:v>
      </x:c>
      <x:c r="B2708" s="18" t="n">
        <x:v>41716</x:v>
      </x:c>
      <x:c r="C2708" t="str">
        <x:v>SM-20320</x:v>
      </x:c>
      <x:c r="D2708" t="str">
        <x:v>Sean Miller</x:v>
      </x:c>
      <x:c r="E2708" t="str">
        <x:v>Home Office</x:v>
      </x:c>
      <x:c r="F2708" t="str">
        <x:v>South</x:v>
      </x:c>
      <x:c r="G2708" t="str">
        <x:v>Furniture</x:v>
      </x:c>
      <x:c r="H2708" t="str">
        <x:v>Furnishings</x:v>
      </x:c>
      <x:c r="I2708" s="22" t="n">
        <x:v>122.352</x:v>
      </x:c>
      <x:c r="J2708" s="24" t="n">
        <x:v>3</x:v>
      </x:c>
      <x:c r="K2708" s="26" t="n">
        <x:v>0.2</x:v>
      </x:c>
      <x:c r="L2708" s="22" t="n">
        <x:v>15.29399999999999</x:v>
      </x:c>
      <x:c r="M2708" t="n">
        <x:v>2014</x:v>
      </x:c>
      <x:c r="N2708" s="20" t="n">
        <x:v>41699</x:v>
      </x:c>
    </x:row>
    <x:row r="2709" ht="18" customHeight="1">
      <x:c r="A2709" t="str">
        <x:v>CA-2014-143413</x:v>
      </x:c>
      <x:c r="B2709" s="18" t="n">
        <x:v>41783</x:v>
      </x:c>
      <x:c r="C2709" t="str">
        <x:v>RP-19390</x:v>
      </x:c>
      <x:c r="D2709" t="str">
        <x:v>Resi Pölking</x:v>
      </x:c>
      <x:c r="E2709" t="str">
        <x:v>Consumer</x:v>
      </x:c>
      <x:c r="F2709" t="str">
        <x:v>East</x:v>
      </x:c>
      <x:c r="G2709" t="str">
        <x:v>Office Supplies</x:v>
      </x:c>
      <x:c r="H2709" t="str">
        <x:v>Paper</x:v>
      </x:c>
      <x:c r="I2709" s="22" t="n">
        <x:v>116.28</x:v>
      </x:c>
      <x:c r="J2709" s="24" t="n">
        <x:v>3</x:v>
      </x:c>
      <x:c r="K2709" s="26" t="n">
        <x:v>0</x:v>
      </x:c>
      <x:c r="L2709" s="22" t="n">
        <x:v>56.977199999999996</x:v>
      </x:c>
      <x:c r="M2709" t="n">
        <x:v>2014</x:v>
      </x:c>
      <x:c r="N2709" s="20" t="n">
        <x:v>41760</x:v>
      </x:c>
    </x:row>
    <x:row r="2710" ht="18" customHeight="1">
      <x:c r="A2710" t="str">
        <x:v>CA-2017-156818</x:v>
      </x:c>
      <x:c r="B2710" s="18" t="n">
        <x:v>42927</x:v>
      </x:c>
      <x:c r="C2710" t="str">
        <x:v>JD-16015</x:v>
      </x:c>
      <x:c r="D2710" t="str">
        <x:v>Joy Daniels</x:v>
      </x:c>
      <x:c r="E2710" t="str">
        <x:v>Consumer</x:v>
      </x:c>
      <x:c r="F2710" t="str">
        <x:v>East</x:v>
      </x:c>
      <x:c r="G2710" t="str">
        <x:v>Technology</x:v>
      </x:c>
      <x:c r="H2710" t="str">
        <x:v>Accessories</x:v>
      </x:c>
      <x:c r="I2710" s="22" t="n">
        <x:v>132.60000000000002</x:v>
      </x:c>
      <x:c r="J2710" s="24" t="n">
        <x:v>6</x:v>
      </x:c>
      <x:c r="K2710" s="26" t="n">
        <x:v>0</x:v>
      </x:c>
      <x:c r="L2710" s="22" t="n">
        <x:v>17.238000000000007</x:v>
      </x:c>
      <x:c r="M2710" t="n">
        <x:v>2017</x:v>
      </x:c>
      <x:c r="N2710" s="20" t="n">
        <x:v>42917</x:v>
      </x:c>
    </x:row>
    <x:row r="2711" ht="18" customHeight="1">
      <x:c r="A2711" t="str">
        <x:v>CA-2017-155873</x:v>
      </x:c>
      <x:c r="B2711" s="18" t="n">
        <x:v>42902</x:v>
      </x:c>
      <x:c r="C2711" t="str">
        <x:v>AB-10255</x:v>
      </x:c>
      <x:c r="D2711" t="str">
        <x:v>Alejandro Ballentine</x:v>
      </x:c>
      <x:c r="E2711" t="str">
        <x:v>Home Office</x:v>
      </x:c>
      <x:c r="F2711" t="str">
        <x:v>West</x:v>
      </x:c>
      <x:c r="G2711" t="str">
        <x:v>Office Supplies</x:v>
      </x:c>
      <x:c r="H2711" t="str">
        <x:v>Supplies</x:v>
      </x:c>
      <x:c r="I2711" s="22" t="n">
        <x:v>16.68</x:v>
      </x:c>
      <x:c r="J2711" s="24" t="n">
        <x:v>2</x:v>
      </x:c>
      <x:c r="K2711" s="26" t="n">
        <x:v>0</x:v>
      </x:c>
      <x:c r="L2711" s="22" t="n">
        <x:v>4.3368</x:v>
      </x:c>
      <x:c r="M2711" t="n">
        <x:v>2017</x:v>
      </x:c>
      <x:c r="N2711" s="20" t="n">
        <x:v>42887</x:v>
      </x:c>
    </x:row>
    <x:row r="2712" ht="18" customHeight="1">
      <x:c r="A2712" t="str">
        <x:v>CA-2017-155873</x:v>
      </x:c>
      <x:c r="B2712" s="18" t="n">
        <x:v>42902</x:v>
      </x:c>
      <x:c r="C2712" t="str">
        <x:v>AB-10255</x:v>
      </x:c>
      <x:c r="D2712" t="str">
        <x:v>Alejandro Ballentine</x:v>
      </x:c>
      <x:c r="E2712" t="str">
        <x:v>Home Office</x:v>
      </x:c>
      <x:c r="F2712" t="str">
        <x:v>West</x:v>
      </x:c>
      <x:c r="G2712" t="str">
        <x:v>Office Supplies</x:v>
      </x:c>
      <x:c r="H2712" t="str">
        <x:v>Paper</x:v>
      </x:c>
      <x:c r="I2712" s="22" t="n">
        <x:v>19.44</x:v>
      </x:c>
      <x:c r="J2712" s="24" t="n">
        <x:v>3</x:v>
      </x:c>
      <x:c r="K2712" s="26" t="n">
        <x:v>0</x:v>
      </x:c>
      <x:c r="L2712" s="22" t="n">
        <x:v>9.3312</x:v>
      </x:c>
      <x:c r="M2712" t="n">
        <x:v>2017</x:v>
      </x:c>
      <x:c r="N2712" s="20" t="n">
        <x:v>42887</x:v>
      </x:c>
    </x:row>
    <x:row r="2713" ht="18" customHeight="1">
      <x:c r="A2713" t="str">
        <x:v>CA-2017-155873</x:v>
      </x:c>
      <x:c r="B2713" s="18" t="n">
        <x:v>42902</x:v>
      </x:c>
      <x:c r="C2713" t="str">
        <x:v>AB-10255</x:v>
      </x:c>
      <x:c r="D2713" t="str">
        <x:v>Alejandro Ballentine</x:v>
      </x:c>
      <x:c r="E2713" t="str">
        <x:v>Home Office</x:v>
      </x:c>
      <x:c r="F2713" t="str">
        <x:v>West</x:v>
      </x:c>
      <x:c r="G2713" t="str">
        <x:v>Office Supplies</x:v>
      </x:c>
      <x:c r="H2713" t="str">
        <x:v>Paper</x:v>
      </x:c>
      <x:c r="I2713" s="22" t="n">
        <x:v>192.16</x:v>
      </x:c>
      <x:c r="J2713" s="24" t="n">
        <x:v>4</x:v>
      </x:c>
      <x:c r="K2713" s="26" t="n">
        <x:v>0</x:v>
      </x:c>
      <x:c r="L2713" s="22" t="n">
        <x:v>92.23679999999999</x:v>
      </x:c>
      <x:c r="M2713" t="n">
        <x:v>2017</x:v>
      </x:c>
      <x:c r="N2713" s="20" t="n">
        <x:v>42887</x:v>
      </x:c>
    </x:row>
    <x:row r="2714" ht="18" customHeight="1">
      <x:c r="A2714" t="str">
        <x:v>CA-2015-121797</x:v>
      </x:c>
      <x:c r="B2714" s="18" t="n">
        <x:v>42034</x:v>
      </x:c>
      <x:c r="C2714" t="str">
        <x:v>CC-12145</x:v>
      </x:c>
      <x:c r="D2714" t="str">
        <x:v>Charles Crestani</x:v>
      </x:c>
      <x:c r="E2714" t="str">
        <x:v>Consumer</x:v>
      </x:c>
      <x:c r="F2714" t="str">
        <x:v>West</x:v>
      </x:c>
      <x:c r="G2714" t="str">
        <x:v>Furniture</x:v>
      </x:c>
      <x:c r="H2714" t="str">
        <x:v>Furnishings</x:v>
      </x:c>
      <x:c r="I2714" s="22" t="n">
        <x:v>227.35999999999999</x:v>
      </x:c>
      <x:c r="J2714" s="24" t="n">
        <x:v>7</x:v>
      </x:c>
      <x:c r="K2714" s="26" t="n">
        <x:v>0</x:v>
      </x:c>
      <x:c r="L2714" s="22" t="n">
        <x:v>81.84959999999998</x:v>
      </x:c>
      <x:c r="M2714" t="n">
        <x:v>2015</x:v>
      </x:c>
      <x:c r="N2714" s="20" t="n">
        <x:v>42005</x:v>
      </x:c>
    </x:row>
    <x:row r="2715" ht="18" customHeight="1">
      <x:c r="A2715" t="str">
        <x:v>CA-2015-121797</x:v>
      </x:c>
      <x:c r="B2715" s="18" t="n">
        <x:v>42034</x:v>
      </x:c>
      <x:c r="C2715" t="str">
        <x:v>CC-12145</x:v>
      </x:c>
      <x:c r="D2715" t="str">
        <x:v>Charles Crestani</x:v>
      </x:c>
      <x:c r="E2715" t="str">
        <x:v>Consumer</x:v>
      </x:c>
      <x:c r="F2715" t="str">
        <x:v>West</x:v>
      </x:c>
      <x:c r="G2715" t="str">
        <x:v>Technology</x:v>
      </x:c>
      <x:c r="H2715" t="str">
        <x:v>Machines</x:v>
      </x:c>
      <x:c r="I2715" s="22" t="n">
        <x:v>1919.976</x:v>
      </x:c>
      <x:c r="J2715" s="24" t="n">
        <x:v>3</x:v>
      </x:c>
      <x:c r="K2715" s="26" t="n">
        <x:v>0.2</x:v>
      </x:c>
      <x:c r="L2715" s="22" t="n">
        <x:v>215.99729999999977</x:v>
      </x:c>
      <x:c r="M2715" t="n">
        <x:v>2015</x:v>
      </x:c>
      <x:c r="N2715" s="20" t="n">
        <x:v>42005</x:v>
      </x:c>
    </x:row>
    <x:row r="2716" ht="18" customHeight="1">
      <x:c r="A2716" t="str">
        <x:v>US-2015-120572</x:v>
      </x:c>
      <x:c r="B2716" s="18" t="n">
        <x:v>42349</x:v>
      </x:c>
      <x:c r="C2716" t="str">
        <x:v>GH-14425</x:v>
      </x:c>
      <x:c r="D2716" t="str">
        <x:v>Gary Hwang</x:v>
      </x:c>
      <x:c r="E2716" t="str">
        <x:v>Consumer</x:v>
      </x:c>
      <x:c r="F2716" t="str">
        <x:v>South</x:v>
      </x:c>
      <x:c r="G2716" t="str">
        <x:v>Office Supplies</x:v>
      </x:c>
      <x:c r="H2716" t="str">
        <x:v>Binders</x:v>
      </x:c>
      <x:c r="I2716" s="22" t="n">
        <x:v>12.828000000000001</x:v>
      </x:c>
      <x:c r="J2716" s="24" t="n">
        <x:v>2</x:v>
      </x:c>
      <x:c r="K2716" s="26" t="n">
        <x:v>0.7</x:v>
      </x:c>
      <x:c r="L2716" s="22" t="n">
        <x:v>-8.979599999999998</x:v>
      </x:c>
      <x:c r="M2716" t="n">
        <x:v>2015</x:v>
      </x:c>
      <x:c r="N2716" s="20" t="n">
        <x:v>42339</x:v>
      </x:c>
    </x:row>
    <x:row r="2717" ht="18" customHeight="1">
      <x:c r="A2717" t="str">
        <x:v>CA-2017-132430</x:v>
      </x:c>
      <x:c r="B2717" s="18" t="n">
        <x:v>43017</x:v>
      </x:c>
      <x:c r="C2717" t="str">
        <x:v>CP-12085</x:v>
      </x:c>
      <x:c r="D2717" t="str">
        <x:v>Cathy Prescott</x:v>
      </x:c>
      <x:c r="E2717" t="str">
        <x:v>Corporate</x:v>
      </x:c>
      <x:c r="F2717" t="str">
        <x:v>East</x:v>
      </x:c>
      <x:c r="G2717" t="str">
        <x:v>Furniture</x:v>
      </x:c>
      <x:c r="H2717" t="str">
        <x:v>Furnishings</x:v>
      </x:c>
      <x:c r="I2717" s="22" t="n">
        <x:v>45.888000000000005</x:v>
      </x:c>
      <x:c r="J2717" s="24" t="n">
        <x:v>4</x:v>
      </x:c>
      <x:c r="K2717" s="26" t="n">
        <x:v>0.2</x:v>
      </x:c>
      <x:c r="L2717" s="22" t="n">
        <x:v>9.177599999999998</x:v>
      </x:c>
      <x:c r="M2717" t="n">
        <x:v>2017</x:v>
      </x:c>
      <x:c r="N2717" s="20" t="n">
        <x:v>43009</x:v>
      </x:c>
    </x:row>
    <x:row r="2718" ht="18" customHeight="1">
      <x:c r="A2718" t="str">
        <x:v>CA-2017-146031</x:v>
      </x:c>
      <x:c r="B2718" s="18" t="n">
        <x:v>42945</x:v>
      </x:c>
      <x:c r="C2718" t="str">
        <x:v>GM-14440</x:v>
      </x:c>
      <x:c r="D2718" t="str">
        <x:v>Gary McGarr</x:v>
      </x:c>
      <x:c r="E2718" t="str">
        <x:v>Consumer</x:v>
      </x:c>
      <x:c r="F2718" t="str">
        <x:v>East</x:v>
      </x:c>
      <x:c r="G2718" t="str">
        <x:v>Office Supplies</x:v>
      </x:c>
      <x:c r="H2718" t="str">
        <x:v>Art</x:v>
      </x:c>
      <x:c r="I2718" s="22" t="n">
        <x:v>60.12</x:v>
      </x:c>
      <x:c r="J2718" s="24" t="n">
        <x:v>9</x:v>
      </x:c>
      <x:c r="K2718" s="26" t="n">
        <x:v>0</x:v>
      </x:c>
      <x:c r="L2718" s="22" t="n">
        <x:v>22.244399999999995</x:v>
      </x:c>
      <x:c r="M2718" t="n">
        <x:v>2017</x:v>
      </x:c>
      <x:c r="N2718" s="20" t="n">
        <x:v>42917</x:v>
      </x:c>
    </x:row>
    <x:row r="2719" ht="18" customHeight="1">
      <x:c r="A2719" t="str">
        <x:v>CA-2014-110100</x:v>
      </x:c>
      <x:c r="B2719" s="18" t="n">
        <x:v>41754</x:v>
      </x:c>
      <x:c r="C2719" t="str">
        <x:v>LC-16885</x:v>
      </x:c>
      <x:c r="D2719" t="str">
        <x:v>Lena Creighton</x:v>
      </x:c>
      <x:c r="E2719" t="str">
        <x:v>Consumer</x:v>
      </x:c>
      <x:c r="F2719" t="str">
        <x:v>South</x:v>
      </x:c>
      <x:c r="G2719" t="str">
        <x:v>Technology</x:v>
      </x:c>
      <x:c r="H2719" t="str">
        <x:v>Phones</x:v>
      </x:c>
      <x:c r="I2719" s="22" t="n">
        <x:v>302.376</x:v>
      </x:c>
      <x:c r="J2719" s="24" t="n">
        <x:v>3</x:v>
      </x:c>
      <x:c r="K2719" s="26" t="n">
        <x:v>0.2</x:v>
      </x:c>
      <x:c r="L2719" s="22" t="n">
        <x:v>37.797</x:v>
      </x:c>
      <x:c r="M2719" t="n">
        <x:v>2014</x:v>
      </x:c>
      <x:c r="N2719" s="20" t="n">
        <x:v>41730</x:v>
      </x:c>
    </x:row>
    <x:row r="2720" ht="18" customHeight="1">
      <x:c r="A2720" t="str">
        <x:v>CA-2015-103723</x:v>
      </x:c>
      <x:c r="B2720" s="18" t="n">
        <x:v>42339</x:v>
      </x:c>
      <x:c r="C2720" t="str">
        <x:v>BT-11305</x:v>
      </x:c>
      <x:c r="D2720" t="str">
        <x:v>Beth Thompson</x:v>
      </x:c>
      <x:c r="E2720" t="str">
        <x:v>Home Office</x:v>
      </x:c>
      <x:c r="F2720" t="str">
        <x:v>West</x:v>
      </x:c>
      <x:c r="G2720" t="str">
        <x:v>Office Supplies</x:v>
      </x:c>
      <x:c r="H2720" t="str">
        <x:v>Art</x:v>
      </x:c>
      <x:c r="I2720" s="22" t="n">
        <x:v>13.899999999999999</x:v>
      </x:c>
      <x:c r="J2720" s="24" t="n">
        <x:v>5</x:v>
      </x:c>
      <x:c r="K2720" s="26" t="n">
        <x:v>0</x:v>
      </x:c>
      <x:c r="L2720" s="22" t="n">
        <x:v>5.56</x:v>
      </x:c>
      <x:c r="M2720" t="n">
        <x:v>2015</x:v>
      </x:c>
      <x:c r="N2720" s="20" t="n">
        <x:v>42339</x:v>
      </x:c>
    </x:row>
    <x:row r="2721" ht="18" customHeight="1">
      <x:c r="A2721" t="str">
        <x:v>CA-2014-127187</x:v>
      </x:c>
      <x:c r="B2721" s="18" t="n">
        <x:v>41977</x:v>
      </x:c>
      <x:c r="C2721" t="str">
        <x:v>CP-12085</x:v>
      </x:c>
      <x:c r="D2721" t="str">
        <x:v>Cathy Prescott</x:v>
      </x:c>
      <x:c r="E2721" t="str">
        <x:v>Corporate</x:v>
      </x:c>
      <x:c r="F2721" t="str">
        <x:v>East</x:v>
      </x:c>
      <x:c r="G2721" t="str">
        <x:v>Technology</x:v>
      </x:c>
      <x:c r="H2721" t="str">
        <x:v>Phones</x:v>
      </x:c>
      <x:c r="I2721" s="22" t="n">
        <x:v>129.98</x:v>
      </x:c>
      <x:c r="J2721" s="24" t="n">
        <x:v>2</x:v>
      </x:c>
      <x:c r="K2721" s="26" t="n">
        <x:v>0</x:v>
      </x:c>
      <x:c r="L2721" s="22" t="n">
        <x:v>62.3904</x:v>
      </x:c>
      <x:c r="M2721" t="n">
        <x:v>2014</x:v>
      </x:c>
      <x:c r="N2721" s="20" t="n">
        <x:v>41974</x:v>
      </x:c>
    </x:row>
    <x:row r="2722" ht="18" customHeight="1">
      <x:c r="A2722" t="str">
        <x:v>CA-2017-128475</x:v>
      </x:c>
      <x:c r="B2722" s="18" t="n">
        <x:v>42973</x:v>
      </x:c>
      <x:c r="C2722" t="str">
        <x:v>SC-20680</x:v>
      </x:c>
      <x:c r="D2722" t="str">
        <x:v>Steve Carroll</x:v>
      </x:c>
      <x:c r="E2722" t="str">
        <x:v>Home Office</x:v>
      </x:c>
      <x:c r="F2722" t="str">
        <x:v>South</x:v>
      </x:c>
      <x:c r="G2722" t="str">
        <x:v>Technology</x:v>
      </x:c>
      <x:c r="H2722" t="str">
        <x:v>Accessories</x:v>
      </x:c>
      <x:c r="I2722" s="22" t="n">
        <x:v>71.98</x:v>
      </x:c>
      <x:c r="J2722" s="24" t="n">
        <x:v>2</x:v>
      </x:c>
      <x:c r="K2722" s="26" t="n">
        <x:v>0</x:v>
      </x:c>
      <x:c r="L2722" s="22" t="n">
        <x:v>15.1158</x:v>
      </x:c>
      <x:c r="M2722" t="n">
        <x:v>2017</x:v>
      </x:c>
      <x:c r="N2722" s="20" t="n">
        <x:v>42948</x:v>
      </x:c>
    </x:row>
    <x:row r="2723" ht="18" customHeight="1">
      <x:c r="A2723" t="str">
        <x:v>CA-2014-100006</x:v>
      </x:c>
      <x:c r="B2723" s="18" t="n">
        <x:v>41889</x:v>
      </x:c>
      <x:c r="C2723" t="str">
        <x:v>DK-13375</x:v>
      </x:c>
      <x:c r="D2723" t="str">
        <x:v>Dennis Kane</x:v>
      </x:c>
      <x:c r="E2723" t="str">
        <x:v>Consumer</x:v>
      </x:c>
      <x:c r="F2723" t="str">
        <x:v>East</x:v>
      </x:c>
      <x:c r="G2723" t="str">
        <x:v>Technology</x:v>
      </x:c>
      <x:c r="H2723" t="str">
        <x:v>Phones</x:v>
      </x:c>
      <x:c r="I2723" s="22" t="n">
        <x:v>377.96999999999997</x:v>
      </x:c>
      <x:c r="J2723" s="24" t="n">
        <x:v>3</x:v>
      </x:c>
      <x:c r="K2723" s="26" t="n">
        <x:v>0</x:v>
      </x:c>
      <x:c r="L2723" s="22" t="n">
        <x:v>109.61129999999999</x:v>
      </x:c>
      <x:c r="M2723" t="n">
        <x:v>2014</x:v>
      </x:c>
      <x:c r="N2723" s="20" t="n">
        <x:v>41883</x:v>
      </x:c>
    </x:row>
    <x:row r="2724" ht="18" customHeight="1">
      <x:c r="A2724" t="str">
        <x:v>CA-2017-144827</x:v>
      </x:c>
      <x:c r="B2724" s="18" t="n">
        <x:v>43090</x:v>
      </x:c>
      <x:c r="C2724" t="str">
        <x:v>SE-20110</x:v>
      </x:c>
      <x:c r="D2724" t="str">
        <x:v>Sanjit Engle</x:v>
      </x:c>
      <x:c r="E2724" t="str">
        <x:v>Consumer</x:v>
      </x:c>
      <x:c r="F2724" t="str">
        <x:v>West</x:v>
      </x:c>
      <x:c r="G2724" t="str">
        <x:v>Office Supplies</x:v>
      </x:c>
      <x:c r="H2724" t="str">
        <x:v>Storage</x:v>
      </x:c>
      <x:c r="I2724" s="22" t="n">
        <x:v>124.36</x:v>
      </x:c>
      <x:c r="J2724" s="24" t="n">
        <x:v>2</x:v>
      </x:c>
      <x:c r="K2724" s="26" t="n">
        <x:v>0</x:v>
      </x:c>
      <x:c r="L2724" s="22" t="n">
        <x:v>33.577200000000005</x:v>
      </x:c>
      <x:c r="M2724" t="n">
        <x:v>2017</x:v>
      </x:c>
      <x:c r="N2724" s="20" t="n">
        <x:v>43070</x:v>
      </x:c>
    </x:row>
    <x:row r="2725" ht="18" customHeight="1">
      <x:c r="A2725" t="str">
        <x:v>CA-2014-110030</x:v>
      </x:c>
      <x:c r="B2725" s="18" t="n">
        <x:v>41979</x:v>
      </x:c>
      <x:c r="C2725" t="str">
        <x:v>LF-17185</x:v>
      </x:c>
      <x:c r="D2725" t="str">
        <x:v>Luke Foster</x:v>
      </x:c>
      <x:c r="E2725" t="str">
        <x:v>Consumer</x:v>
      </x:c>
      <x:c r="F2725" t="str">
        <x:v>Central</x:v>
      </x:c>
      <x:c r="G2725" t="str">
        <x:v>Furniture</x:v>
      </x:c>
      <x:c r="H2725" t="str">
        <x:v>Furnishings</x:v>
      </x:c>
      <x:c r="I2725" s="22" t="n">
        <x:v>23.976000000000003</x:v>
      </x:c>
      <x:c r="J2725" s="24" t="n">
        <x:v>3</x:v>
      </x:c>
      <x:c r="K2725" s="26" t="n">
        <x:v>0.6</x:v>
      </x:c>
      <x:c r="L2725" s="22" t="n">
        <x:v>-14.385599999999997</x:v>
      </x:c>
      <x:c r="M2725" t="n">
        <x:v>2014</x:v>
      </x:c>
      <x:c r="N2725" s="20" t="n">
        <x:v>41974</x:v>
      </x:c>
    </x:row>
    <x:row r="2726" ht="18" customHeight="1">
      <x:c r="A2726" t="str">
        <x:v>CA-2014-121286</x:v>
      </x:c>
      <x:c r="B2726" s="18" t="n">
        <x:v>41947</x:v>
      </x:c>
      <x:c r="C2726" t="str">
        <x:v>ON-18715</x:v>
      </x:c>
      <x:c r="D2726" t="str">
        <x:v>Odella Nelson</x:v>
      </x:c>
      <x:c r="E2726" t="str">
        <x:v>Corporate</x:v>
      </x:c>
      <x:c r="F2726" t="str">
        <x:v>South</x:v>
      </x:c>
      <x:c r="G2726" t="str">
        <x:v>Office Supplies</x:v>
      </x:c>
      <x:c r="H2726" t="str">
        <x:v>Fasteners</x:v>
      </x:c>
      <x:c r="I2726" s="22" t="n">
        <x:v>8.376000000000001</x:v>
      </x:c>
      <x:c r="J2726" s="24" t="n">
        <x:v>3</x:v>
      </x:c>
      <x:c r="K2726" s="26" t="n">
        <x:v>0.2</x:v>
      </x:c>
      <x:c r="L2726" s="22" t="n">
        <x:v>2.7222</x:v>
      </x:c>
      <x:c r="M2726" t="n">
        <x:v>2014</x:v>
      </x:c>
      <x:c r="N2726" s="20" t="n">
        <x:v>41944</x:v>
      </x:c>
    </x:row>
    <x:row r="2727" ht="18" customHeight="1">
      <x:c r="A2727" t="str">
        <x:v>CA-2014-121286</x:v>
      </x:c>
      <x:c r="B2727" s="18" t="n">
        <x:v>41947</x:v>
      </x:c>
      <x:c r="C2727" t="str">
        <x:v>ON-18715</x:v>
      </x:c>
      <x:c r="D2727" t="str">
        <x:v>Odella Nelson</x:v>
      </x:c>
      <x:c r="E2727" t="str">
        <x:v>Corporate</x:v>
      </x:c>
      <x:c r="F2727" t="str">
        <x:v>South</x:v>
      </x:c>
      <x:c r="G2727" t="str">
        <x:v>Office Supplies</x:v>
      </x:c>
      <x:c r="H2727" t="str">
        <x:v>Appliances</x:v>
      </x:c>
      <x:c r="I2727" s="22" t="n">
        <x:v>58.24000000000001</x:v>
      </x:c>
      <x:c r="J2727" s="24" t="n">
        <x:v>5</x:v>
      </x:c>
      <x:c r="K2727" s="26" t="n">
        <x:v>0.2</x:v>
      </x:c>
      <x:c r="L2727" s="22" t="n">
        <x:v>5.096</x:v>
      </x:c>
      <x:c r="M2727" t="n">
        <x:v>2014</x:v>
      </x:c>
      <x:c r="N2727" s="20" t="n">
        <x:v>41944</x:v>
      </x:c>
    </x:row>
    <x:row r="2728" ht="18" customHeight="1">
      <x:c r="A2728" t="str">
        <x:v>CA-2016-164735</x:v>
      </x:c>
      <x:c r="B2728" s="18" t="n">
        <x:v>42474</x:v>
      </x:c>
      <x:c r="C2728" t="str">
        <x:v>TB-21400</x:v>
      </x:c>
      <x:c r="D2728" t="str">
        <x:v>Tom Boeckenhauer</x:v>
      </x:c>
      <x:c r="E2728" t="str">
        <x:v>Consumer</x:v>
      </x:c>
      <x:c r="F2728" t="str">
        <x:v>South</x:v>
      </x:c>
      <x:c r="G2728" t="str">
        <x:v>Office Supplies</x:v>
      </x:c>
      <x:c r="H2728" t="str">
        <x:v>Storage</x:v>
      </x:c>
      <x:c r="I2728" s="22" t="n">
        <x:v>81.19999999999999</x:v>
      </x:c>
      <x:c r="J2728" s="24" t="n">
        <x:v>5</x:v>
      </x:c>
      <x:c r="K2728" s="26" t="n">
        <x:v>0</x:v>
      </x:c>
      <x:c r="L2728" s="22" t="n">
        <x:v>12.18</x:v>
      </x:c>
      <x:c r="M2728" t="n">
        <x:v>2016</x:v>
      </x:c>
      <x:c r="N2728" s="20" t="n">
        <x:v>42461</x:v>
      </x:c>
    </x:row>
    <x:row r="2729" ht="18" customHeight="1">
      <x:c r="A2729" t="str">
        <x:v>CA-2014-153479</x:v>
      </x:c>
      <x:c r="B2729" s="18" t="n">
        <x:v>41916</x:v>
      </x:c>
      <x:c r="C2729" t="str">
        <x:v>DF-13135</x:v>
      </x:c>
      <x:c r="D2729" t="str">
        <x:v>David Flashing</x:v>
      </x:c>
      <x:c r="E2729" t="str">
        <x:v>Consumer</x:v>
      </x:c>
      <x:c r="F2729" t="str">
        <x:v>West</x:v>
      </x:c>
      <x:c r="G2729" t="str">
        <x:v>Office Supplies</x:v>
      </x:c>
      <x:c r="H2729" t="str">
        <x:v>Labels</x:v>
      </x:c>
      <x:c r="I2729" s="22" t="n">
        <x:v>14.450000000000001</x:v>
      </x:c>
      <x:c r="J2729" s="24" t="n">
        <x:v>5</x:v>
      </x:c>
      <x:c r="K2729" s="26" t="n">
        <x:v>0</x:v>
      </x:c>
      <x:c r="L2729" s="22" t="n">
        <x:v>6.7915</x:v>
      </x:c>
      <x:c r="M2729" t="n">
        <x:v>2014</x:v>
      </x:c>
      <x:c r="N2729" s="20" t="n">
        <x:v>41913</x:v>
      </x:c>
    </x:row>
    <x:row r="2730" ht="18" customHeight="1">
      <x:c r="A2730" t="str">
        <x:v>CA-2014-153479</x:v>
      </x:c>
      <x:c r="B2730" s="18" t="n">
        <x:v>41916</x:v>
      </x:c>
      <x:c r="C2730" t="str">
        <x:v>DF-13135</x:v>
      </x:c>
      <x:c r="D2730" t="str">
        <x:v>David Flashing</x:v>
      </x:c>
      <x:c r="E2730" t="str">
        <x:v>Consumer</x:v>
      </x:c>
      <x:c r="F2730" t="str">
        <x:v>West</x:v>
      </x:c>
      <x:c r="G2730" t="str">
        <x:v>Office Supplies</x:v>
      </x:c>
      <x:c r="H2730" t="str">
        <x:v>Binders</x:v>
      </x:c>
      <x:c r="I2730" s="22" t="n">
        <x:v>95.64800000000001</x:v>
      </x:c>
      <x:c r="J2730" s="24" t="n">
        <x:v>2</x:v>
      </x:c>
      <x:c r="K2730" s="26" t="n">
        <x:v>0.2</x:v>
      </x:c>
      <x:c r="L2730" s="22" t="n">
        <x:v>31.08559999999999</x:v>
      </x:c>
      <x:c r="M2730" t="n">
        <x:v>2014</x:v>
      </x:c>
      <x:c r="N2730" s="20" t="n">
        <x:v>41913</x:v>
      </x:c>
    </x:row>
    <x:row r="2731" ht="18" customHeight="1">
      <x:c r="A2731" t="str">
        <x:v>CA-2017-149888</x:v>
      </x:c>
      <x:c r="B2731" s="18" t="n">
        <x:v>43046</x:v>
      </x:c>
      <x:c r="C2731" t="str">
        <x:v>EP-13915</x:v>
      </x:c>
      <x:c r="D2731" t="str">
        <x:v>Emily Phan</x:v>
      </x:c>
      <x:c r="E2731" t="str">
        <x:v>Consumer</x:v>
      </x:c>
      <x:c r="F2731" t="str">
        <x:v>East</x:v>
      </x:c>
      <x:c r="G2731" t="str">
        <x:v>Technology</x:v>
      </x:c>
      <x:c r="H2731" t="str">
        <x:v>Phones</x:v>
      </x:c>
      <x:c r="I2731" s="22" t="n">
        <x:v>359.97</x:v>
      </x:c>
      <x:c r="J2731" s="24" t="n">
        <x:v>5</x:v>
      </x:c>
      <x:c r="K2731" s="26" t="n">
        <x:v>0.4</x:v>
      </x:c>
      <x:c r="L2731" s="22" t="n">
        <x:v>-71.99400000000003</x:v>
      </x:c>
      <x:c r="M2731" t="n">
        <x:v>2017</x:v>
      </x:c>
      <x:c r="N2731" s="20" t="n">
        <x:v>43040</x:v>
      </x:c>
    </x:row>
    <x:row r="2732" ht="18" customHeight="1">
      <x:c r="A2732" t="str">
        <x:v>CA-2017-149888</x:v>
      </x:c>
      <x:c r="B2732" s="18" t="n">
        <x:v>43046</x:v>
      </x:c>
      <x:c r="C2732" t="str">
        <x:v>EP-13915</x:v>
      </x:c>
      <x:c r="D2732" t="str">
        <x:v>Emily Phan</x:v>
      </x:c>
      <x:c r="E2732" t="str">
        <x:v>Consumer</x:v>
      </x:c>
      <x:c r="F2732" t="str">
        <x:v>East</x:v>
      </x:c>
      <x:c r="G2732" t="str">
        <x:v>Furniture</x:v>
      </x:c>
      <x:c r="H2732" t="str">
        <x:v>Tables</x:v>
      </x:c>
      <x:c r="I2732" s="22" t="n">
        <x:v>350.352</x:v>
      </x:c>
      <x:c r="J2732" s="24" t="n">
        <x:v>4</x:v>
      </x:c>
      <x:c r="K2732" s="26" t="n">
        <x:v>0.4</x:v>
      </x:c>
      <x:c r="L2732" s="22" t="n">
        <x:v>-140.14079999999996</x:v>
      </x:c>
      <x:c r="M2732" t="n">
        <x:v>2017</x:v>
      </x:c>
      <x:c r="N2732" s="20" t="n">
        <x:v>43040</x:v>
      </x:c>
    </x:row>
    <x:row r="2733" ht="18" customHeight="1">
      <x:c r="A2733" t="str">
        <x:v>CA-2017-119193</x:v>
      </x:c>
      <x:c r="B2733" s="18" t="n">
        <x:v>43091</x:v>
      </x:c>
      <x:c r="C2733" t="str">
        <x:v>SK-19990</x:v>
      </x:c>
      <x:c r="D2733" t="str">
        <x:v>Sally Knutson</x:v>
      </x:c>
      <x:c r="E2733" t="str">
        <x:v>Consumer</x:v>
      </x:c>
      <x:c r="F2733" t="str">
        <x:v>East</x:v>
      </x:c>
      <x:c r="G2733" t="str">
        <x:v>Office Supplies</x:v>
      </x:c>
      <x:c r="H2733" t="str">
        <x:v>Binders</x:v>
      </x:c>
      <x:c r="I2733" s="22" t="n">
        <x:v>1.6410000000000002</x:v>
      </x:c>
      <x:c r="J2733" s="24" t="n">
        <x:v>1</x:v>
      </x:c>
      <x:c r="K2733" s="26" t="n">
        <x:v>0.7</x:v>
      </x:c>
      <x:c r="L2733" s="22" t="n">
        <x:v>-1.3128000000000002</x:v>
      </x:c>
      <x:c r="M2733" t="n">
        <x:v>2017</x:v>
      </x:c>
      <x:c r="N2733" s="20" t="n">
        <x:v>43070</x:v>
      </x:c>
    </x:row>
    <x:row r="2734" ht="18" customHeight="1">
      <x:c r="A2734" t="str">
        <x:v>CA-2017-119193</x:v>
      </x:c>
      <x:c r="B2734" s="18" t="n">
        <x:v>43091</x:v>
      </x:c>
      <x:c r="C2734" t="str">
        <x:v>SK-19990</x:v>
      </x:c>
      <x:c r="D2734" t="str">
        <x:v>Sally Knutson</x:v>
      </x:c>
      <x:c r="E2734" t="str">
        <x:v>Consumer</x:v>
      </x:c>
      <x:c r="F2734" t="str">
        <x:v>East</x:v>
      </x:c>
      <x:c r="G2734" t="str">
        <x:v>Technology</x:v>
      </x:c>
      <x:c r="H2734" t="str">
        <x:v>Phones</x:v>
      </x:c>
      <x:c r="I2734" s="22" t="n">
        <x:v>629.958</x:v>
      </x:c>
      <x:c r="J2734" s="24" t="n">
        <x:v>7</x:v>
      </x:c>
      <x:c r="K2734" s="26" t="n">
        <x:v>0.4</x:v>
      </x:c>
      <x:c r="L2734" s="22" t="n">
        <x:v>94.49369999999999</x:v>
      </x:c>
      <x:c r="M2734" t="n">
        <x:v>2017</x:v>
      </x:c>
      <x:c r="N2734" s="20" t="n">
        <x:v>43070</x:v>
      </x:c>
    </x:row>
    <x:row r="2735" ht="18" customHeight="1">
      <x:c r="A2735" t="str">
        <x:v>CA-2017-104801</x:v>
      </x:c>
      <x:c r="B2735" s="18" t="n">
        <x:v>42779</x:v>
      </x:c>
      <x:c r="C2735" t="str">
        <x:v>FH-14350</x:v>
      </x:c>
      <x:c r="D2735" t="str">
        <x:v>Fred Harton</x:v>
      </x:c>
      <x:c r="E2735" t="str">
        <x:v>Consumer</x:v>
      </x:c>
      <x:c r="F2735" t="str">
        <x:v>West</x:v>
      </x:c>
      <x:c r="G2735" t="str">
        <x:v>Office Supplies</x:v>
      </x:c>
      <x:c r="H2735" t="str">
        <x:v>Art</x:v>
      </x:c>
      <x:c r="I2735" s="22" t="n">
        <x:v>6.63</x:v>
      </x:c>
      <x:c r="J2735" s="24" t="n">
        <x:v>3</x:v>
      </x:c>
      <x:c r="K2735" s="26" t="n">
        <x:v>0</x:v>
      </x:c>
      <x:c r="L2735" s="22" t="n">
        <x:v>1.7901</x:v>
      </x:c>
      <x:c r="M2735" t="n">
        <x:v>2017</x:v>
      </x:c>
      <x:c r="N2735" s="20" t="n">
        <x:v>42767</x:v>
      </x:c>
    </x:row>
    <x:row r="2736" ht="18" customHeight="1">
      <x:c r="A2736" t="str">
        <x:v>CA-2017-104801</x:v>
      </x:c>
      <x:c r="B2736" s="18" t="n">
        <x:v>42779</x:v>
      </x:c>
      <x:c r="C2736" t="str">
        <x:v>FH-14350</x:v>
      </x:c>
      <x:c r="D2736" t="str">
        <x:v>Fred Harton</x:v>
      </x:c>
      <x:c r="E2736" t="str">
        <x:v>Consumer</x:v>
      </x:c>
      <x:c r="F2736" t="str">
        <x:v>West</x:v>
      </x:c>
      <x:c r="G2736" t="str">
        <x:v>Technology</x:v>
      </x:c>
      <x:c r="H2736" t="str">
        <x:v>Accessories</x:v>
      </x:c>
      <x:c r="I2736" s="22" t="n">
        <x:v>799.96</x:v>
      </x:c>
      <x:c r="J2736" s="24" t="n">
        <x:v>4</x:v>
      </x:c>
      <x:c r="K2736" s="26" t="n">
        <x:v>0</x:v>
      </x:c>
      <x:c r="L2736" s="22" t="n">
        <x:v>343.98280000000005</x:v>
      </x:c>
      <x:c r="M2736" t="n">
        <x:v>2017</x:v>
      </x:c>
      <x:c r="N2736" s="20" t="n">
        <x:v>42767</x:v>
      </x:c>
    </x:row>
    <x:row r="2737" ht="18" customHeight="1">
      <x:c r="A2737" t="str">
        <x:v>CA-2017-104801</x:v>
      </x:c>
      <x:c r="B2737" s="18" t="n">
        <x:v>42779</x:v>
      </x:c>
      <x:c r="C2737" t="str">
        <x:v>FH-14350</x:v>
      </x:c>
      <x:c r="D2737" t="str">
        <x:v>Fred Harton</x:v>
      </x:c>
      <x:c r="E2737" t="str">
        <x:v>Consumer</x:v>
      </x:c>
      <x:c r="F2737" t="str">
        <x:v>West</x:v>
      </x:c>
      <x:c r="G2737" t="str">
        <x:v>Furniture</x:v>
      </x:c>
      <x:c r="H2737" t="str">
        <x:v>Furnishings</x:v>
      </x:c>
      <x:c r="I2737" s="22" t="n">
        <x:v>107.53</x:v>
      </x:c>
      <x:c r="J2737" s="24" t="n">
        <x:v>1</x:v>
      </x:c>
      <x:c r="K2737" s="26" t="n">
        <x:v>0</x:v>
      </x:c>
      <x:c r="L2737" s="22" t="n">
        <x:v>21.506</x:v>
      </x:c>
      <x:c r="M2737" t="n">
        <x:v>2017</x:v>
      </x:c>
      <x:c r="N2737" s="20" t="n">
        <x:v>42767</x:v>
      </x:c>
    </x:row>
    <x:row r="2738" ht="18" customHeight="1">
      <x:c r="A2738" t="str">
        <x:v>CA-2014-107594</x:v>
      </x:c>
      <x:c r="B2738" s="18" t="n">
        <x:v>41822</x:v>
      </x:c>
      <x:c r="C2738" t="str">
        <x:v>EH-13945</x:v>
      </x:c>
      <x:c r="D2738" t="str">
        <x:v>Eric Hoffmann</x:v>
      </x:c>
      <x:c r="E2738" t="str">
        <x:v>Consumer</x:v>
      </x:c>
      <x:c r="F2738" t="str">
        <x:v>East</x:v>
      </x:c>
      <x:c r="G2738" t="str">
        <x:v>Technology</x:v>
      </x:c>
      <x:c r="H2738" t="str">
        <x:v>Phones</x:v>
      </x:c>
      <x:c r="I2738" s="22" t="n">
        <x:v>73.98</x:v>
      </x:c>
      <x:c r="J2738" s="24" t="n">
        <x:v>2</x:v>
      </x:c>
      <x:c r="K2738" s="26" t="n">
        <x:v>0</x:v>
      </x:c>
      <x:c r="L2738" s="22" t="n">
        <x:v>19.974600000000002</x:v>
      </x:c>
      <x:c r="M2738" t="n">
        <x:v>2014</x:v>
      </x:c>
      <x:c r="N2738" s="20" t="n">
        <x:v>41821</x:v>
      </x:c>
    </x:row>
    <x:row r="2739" ht="18" customHeight="1">
      <x:c r="A2739" t="str">
        <x:v>CA-2014-107594</x:v>
      </x:c>
      <x:c r="B2739" s="18" t="n">
        <x:v>41822</x:v>
      </x:c>
      <x:c r="C2739" t="str">
        <x:v>EH-13945</x:v>
      </x:c>
      <x:c r="D2739" t="str">
        <x:v>Eric Hoffmann</x:v>
      </x:c>
      <x:c r="E2739" t="str">
        <x:v>Consumer</x:v>
      </x:c>
      <x:c r="F2739" t="str">
        <x:v>East</x:v>
      </x:c>
      <x:c r="G2739" t="str">
        <x:v>Office Supplies</x:v>
      </x:c>
      <x:c r="H2739" t="str">
        <x:v>Art</x:v>
      </x:c>
      <x:c r="I2739" s="22" t="n">
        <x:v>5.58</x:v>
      </x:c>
      <x:c r="J2739" s="24" t="n">
        <x:v>1</x:v>
      </x:c>
      <x:c r="K2739" s="26" t="n">
        <x:v>0</x:v>
      </x:c>
      <x:c r="L2739" s="22" t="n">
        <x:v>2.1762</x:v>
      </x:c>
      <x:c r="M2739" t="n">
        <x:v>2014</x:v>
      </x:c>
      <x:c r="N2739" s="20" t="n">
        <x:v>41821</x:v>
      </x:c>
    </x:row>
    <x:row r="2740" ht="18" customHeight="1">
      <x:c r="A2740" t="str">
        <x:v>CA-2015-129770</x:v>
      </x:c>
      <x:c r="B2740" s="18" t="n">
        <x:v>42056</x:v>
      </x:c>
      <x:c r="C2740" t="str">
        <x:v>JE-15715</x:v>
      </x:c>
      <x:c r="D2740" t="str">
        <x:v>Joe Elijah</x:v>
      </x:c>
      <x:c r="E2740" t="str">
        <x:v>Consumer</x:v>
      </x:c>
      <x:c r="F2740" t="str">
        <x:v>West</x:v>
      </x:c>
      <x:c r="G2740" t="str">
        <x:v>Office Supplies</x:v>
      </x:c>
      <x:c r="H2740" t="str">
        <x:v>Paper</x:v>
      </x:c>
      <x:c r="I2740" s="22" t="n">
        <x:v>49.12</x:v>
      </x:c>
      <x:c r="J2740" s="24" t="n">
        <x:v>4</x:v>
      </x:c>
      <x:c r="K2740" s="26" t="n">
        <x:v>0</x:v>
      </x:c>
      <x:c r="L2740" s="22" t="n">
        <x:v>23.086399999999998</x:v>
      </x:c>
      <x:c r="M2740" t="n">
        <x:v>2015</x:v>
      </x:c>
      <x:c r="N2740" s="20" t="n">
        <x:v>42036</x:v>
      </x:c>
    </x:row>
    <x:row r="2741" ht="18" customHeight="1">
      <x:c r="A2741" t="str">
        <x:v>CA-2015-115798</x:v>
      </x:c>
      <x:c r="B2741" s="18" t="n">
        <x:v>42321</x:v>
      </x:c>
      <x:c r="C2741" t="str">
        <x:v>KL-16645</x:v>
      </x:c>
      <x:c r="D2741" t="str">
        <x:v>Ken Lonsdale</x:v>
      </x:c>
      <x:c r="E2741" t="str">
        <x:v>Consumer</x:v>
      </x:c>
      <x:c r="F2741" t="str">
        <x:v>East</x:v>
      </x:c>
      <x:c r="G2741" t="str">
        <x:v>Technology</x:v>
      </x:c>
      <x:c r="H2741" t="str">
        <x:v>Phones</x:v>
      </x:c>
      <x:c r="I2741" s="22" t="n">
        <x:v>377.96999999999997</x:v>
      </x:c>
      <x:c r="J2741" s="24" t="n">
        <x:v>3</x:v>
      </x:c>
      <x:c r="K2741" s="26" t="n">
        <x:v>0</x:v>
      </x:c>
      <x:c r="L2741" s="22" t="n">
        <x:v>94.4925</x:v>
      </x:c>
      <x:c r="M2741" t="n">
        <x:v>2015</x:v>
      </x:c>
      <x:c r="N2741" s="20" t="n">
        <x:v>42309</x:v>
      </x:c>
    </x:row>
    <x:row r="2742" ht="18" customHeight="1">
      <x:c r="A2742" t="str">
        <x:v>CA-2015-115798</x:v>
      </x:c>
      <x:c r="B2742" s="18" t="n">
        <x:v>42321</x:v>
      </x:c>
      <x:c r="C2742" t="str">
        <x:v>KL-16645</x:v>
      </x:c>
      <x:c r="D2742" t="str">
        <x:v>Ken Lonsdale</x:v>
      </x:c>
      <x:c r="E2742" t="str">
        <x:v>Consumer</x:v>
      </x:c>
      <x:c r="F2742" t="str">
        <x:v>East</x:v>
      </x:c>
      <x:c r="G2742" t="str">
        <x:v>Office Supplies</x:v>
      </x:c>
      <x:c r="H2742" t="str">
        <x:v>Paper</x:v>
      </x:c>
      <x:c r="I2742" s="22" t="n">
        <x:v>42.28</x:v>
      </x:c>
      <x:c r="J2742" s="24" t="n">
        <x:v>7</x:v>
      </x:c>
      <x:c r="K2742" s="26" t="n">
        <x:v>0</x:v>
      </x:c>
      <x:c r="L2742" s="22" t="n">
        <x:v>19.8716</x:v>
      </x:c>
      <x:c r="M2742" t="n">
        <x:v>2015</x:v>
      </x:c>
      <x:c r="N2742" s="20" t="n">
        <x:v>42309</x:v>
      </x:c>
    </x:row>
    <x:row r="2743" ht="18" customHeight="1">
      <x:c r="A2743" t="str">
        <x:v>CA-2015-115798</x:v>
      </x:c>
      <x:c r="B2743" s="18" t="n">
        <x:v>42321</x:v>
      </x:c>
      <x:c r="C2743" t="str">
        <x:v>KL-16645</x:v>
      </x:c>
      <x:c r="D2743" t="str">
        <x:v>Ken Lonsdale</x:v>
      </x:c>
      <x:c r="E2743" t="str">
        <x:v>Consumer</x:v>
      </x:c>
      <x:c r="F2743" t="str">
        <x:v>East</x:v>
      </x:c>
      <x:c r="G2743" t="str">
        <x:v>Furniture</x:v>
      </x:c>
      <x:c r="H2743" t="str">
        <x:v>Bookcases</x:v>
      </x:c>
      <x:c r="I2743" s="22" t="n">
        <x:v>299.96999999999997</x:v>
      </x:c>
      <x:c r="J2743" s="24" t="n">
        <x:v>3</x:v>
      </x:c>
      <x:c r="K2743" s="26" t="n">
        <x:v>0</x:v>
      </x:c>
      <x:c r="L2743" s="22" t="n">
        <x:v>56.99429999999998</x:v>
      </x:c>
      <x:c r="M2743" t="n">
        <x:v>2015</x:v>
      </x:c>
      <x:c r="N2743" s="20" t="n">
        <x:v>42309</x:v>
      </x:c>
    </x:row>
    <x:row r="2744" ht="18" customHeight="1">
      <x:c r="A2744" t="str">
        <x:v>CA-2015-115798</x:v>
      </x:c>
      <x:c r="B2744" s="18" t="n">
        <x:v>42321</x:v>
      </x:c>
      <x:c r="C2744" t="str">
        <x:v>KL-16645</x:v>
      </x:c>
      <x:c r="D2744" t="str">
        <x:v>Ken Lonsdale</x:v>
      </x:c>
      <x:c r="E2744" t="str">
        <x:v>Consumer</x:v>
      </x:c>
      <x:c r="F2744" t="str">
        <x:v>East</x:v>
      </x:c>
      <x:c r="G2744" t="str">
        <x:v>Technology</x:v>
      </x:c>
      <x:c r="H2744" t="str">
        <x:v>Phones</x:v>
      </x:c>
      <x:c r="I2744" s="22" t="n">
        <x:v>89.98</x:v>
      </x:c>
      <x:c r="J2744" s="24" t="n">
        <x:v>2</x:v>
      </x:c>
      <x:c r="K2744" s="26" t="n">
        <x:v>0</x:v>
      </x:c>
      <x:c r="L2744" s="22" t="n">
        <x:v>43.1904</x:v>
      </x:c>
      <x:c r="M2744" t="n">
        <x:v>2015</x:v>
      </x:c>
      <x:c r="N2744" s="20" t="n">
        <x:v>42309</x:v>
      </x:c>
    </x:row>
    <x:row r="2745" ht="18" customHeight="1">
      <x:c r="A2745" t="str">
        <x:v>CA-2017-122707</x:v>
      </x:c>
      <x:c r="B2745" s="18" t="n">
        <x:v>42841</x:v>
      </x:c>
      <x:c r="C2745" t="str">
        <x:v>EB-13750</x:v>
      </x:c>
      <x:c r="D2745" t="str">
        <x:v>Edward Becker</x:v>
      </x:c>
      <x:c r="E2745" t="str">
        <x:v>Corporate</x:v>
      </x:c>
      <x:c r="F2745" t="str">
        <x:v>South</x:v>
      </x:c>
      <x:c r="G2745" t="str">
        <x:v>Office Supplies</x:v>
      </x:c>
      <x:c r="H2745" t="str">
        <x:v>Supplies</x:v>
      </x:c>
      <x:c r="I2745" s="22" t="n">
        <x:v>477.24</x:v>
      </x:c>
      <x:c r="J2745" s="24" t="n">
        <x:v>4</x:v>
      </x:c>
      <x:c r="K2745" s="26" t="n">
        <x:v>0</x:v>
      </x:c>
      <x:c r="L2745" s="22" t="n">
        <x:v>9.54480000000001</x:v>
      </x:c>
      <x:c r="M2745" t="n">
        <x:v>2017</x:v>
      </x:c>
      <x:c r="N2745" s="20" t="n">
        <x:v>42826</x:v>
      </x:c>
    </x:row>
    <x:row r="2746" ht="18" customHeight="1">
      <x:c r="A2746" t="str">
        <x:v>CA-2017-122707</x:v>
      </x:c>
      <x:c r="B2746" s="18" t="n">
        <x:v>42841</x:v>
      </x:c>
      <x:c r="C2746" t="str">
        <x:v>EB-13750</x:v>
      </x:c>
      <x:c r="D2746" t="str">
        <x:v>Edward Becker</x:v>
      </x:c>
      <x:c r="E2746" t="str">
        <x:v>Corporate</x:v>
      </x:c>
      <x:c r="F2746" t="str">
        <x:v>South</x:v>
      </x:c>
      <x:c r="G2746" t="str">
        <x:v>Technology</x:v>
      </x:c>
      <x:c r="H2746" t="str">
        <x:v>Accessories</x:v>
      </x:c>
      <x:c r="I2746" s="22" t="n">
        <x:v>25.98</x:v>
      </x:c>
      <x:c r="J2746" s="24" t="n">
        <x:v>2</x:v>
      </x:c>
      <x:c r="K2746" s="26" t="n">
        <x:v>0</x:v>
      </x:c>
      <x:c r="L2746" s="22" t="n">
        <x:v>1.558799999999998</x:v>
      </x:c>
      <x:c r="M2746" t="n">
        <x:v>2017</x:v>
      </x:c>
      <x:c r="N2746" s="20" t="n">
        <x:v>42826</x:v>
      </x:c>
    </x:row>
    <x:row r="2747" ht="18" customHeight="1">
      <x:c r="A2747" t="str">
        <x:v>CA-2016-165015</x:v>
      </x:c>
      <x:c r="B2747" s="18" t="n">
        <x:v>42425</x:v>
      </x:c>
      <x:c r="C2747" t="str">
        <x:v>BD-11725</x:v>
      </x:c>
      <x:c r="D2747" t="str">
        <x:v>Bruce Degenhardt</x:v>
      </x:c>
      <x:c r="E2747" t="str">
        <x:v>Consumer</x:v>
      </x:c>
      <x:c r="F2747" t="str">
        <x:v>East</x:v>
      </x:c>
      <x:c r="G2747" t="str">
        <x:v>Office Supplies</x:v>
      </x:c>
      <x:c r="H2747" t="str">
        <x:v>Envelopes</x:v>
      </x:c>
      <x:c r="I2747" s="22" t="n">
        <x:v>46.72</x:v>
      </x:c>
      <x:c r="J2747" s="24" t="n">
        <x:v>5</x:v>
      </x:c>
      <x:c r="K2747" s="26" t="n">
        <x:v>0.2</x:v>
      </x:c>
      <x:c r="L2747" s="22" t="n">
        <x:v>17.52</x:v>
      </x:c>
      <x:c r="M2747" t="n">
        <x:v>2016</x:v>
      </x:c>
      <x:c r="N2747" s="20" t="n">
        <x:v>42401</x:v>
      </x:c>
    </x:row>
    <x:row r="2748" ht="18" customHeight="1">
      <x:c r="A2748" t="str">
        <x:v>CA-2014-149244</x:v>
      </x:c>
      <x:c r="B2748" s="18" t="n">
        <x:v>41947</x:v>
      </x:c>
      <x:c r="C2748" t="str">
        <x:v>MS-17530</x:v>
      </x:c>
      <x:c r="D2748" t="str">
        <x:v>MaryBeth Skach</x:v>
      </x:c>
      <x:c r="E2748" t="str">
        <x:v>Consumer</x:v>
      </x:c>
      <x:c r="F2748" t="str">
        <x:v>West</x:v>
      </x:c>
      <x:c r="G2748" t="str">
        <x:v>Furniture</x:v>
      </x:c>
      <x:c r="H2748" t="str">
        <x:v>Furnishings</x:v>
      </x:c>
      <x:c r="I2748" s="22" t="n">
        <x:v>35.34</x:v>
      </x:c>
      <x:c r="J2748" s="24" t="n">
        <x:v>2</x:v>
      </x:c>
      <x:c r="K2748" s="26" t="n">
        <x:v>0</x:v>
      </x:c>
      <x:c r="L2748" s="22" t="n">
        <x:v>13.429200000000002</x:v>
      </x:c>
      <x:c r="M2748" t="n">
        <x:v>2014</x:v>
      </x:c>
      <x:c r="N2748" s="20" t="n">
        <x:v>41944</x:v>
      </x:c>
    </x:row>
    <x:row r="2749" ht="18" customHeight="1">
      <x:c r="A2749" t="str">
        <x:v>CA-2015-140144</x:v>
      </x:c>
      <x:c r="B2749" s="18" t="n">
        <x:v>42175</x:v>
      </x:c>
      <x:c r="C2749" t="str">
        <x:v>SC-20770</x:v>
      </x:c>
      <x:c r="D2749" t="str">
        <x:v>Stewart Carmichael</x:v>
      </x:c>
      <x:c r="E2749" t="str">
        <x:v>Corporate</x:v>
      </x:c>
      <x:c r="F2749" t="str">
        <x:v>West</x:v>
      </x:c>
      <x:c r="G2749" t="str">
        <x:v>Furniture</x:v>
      </x:c>
      <x:c r="H2749" t="str">
        <x:v>Furnishings</x:v>
      </x:c>
      <x:c r="I2749" s="22" t="n">
        <x:v>257.64</x:v>
      </x:c>
      <x:c r="J2749" s="24" t="n">
        <x:v>6</x:v>
      </x:c>
      <x:c r="K2749" s="26" t="n">
        <x:v>0</x:v>
      </x:c>
      <x:c r="L2749" s="22" t="n">
        <x:v>100.4796</x:v>
      </x:c>
      <x:c r="M2749" t="n">
        <x:v>2015</x:v>
      </x:c>
      <x:c r="N2749" s="20" t="n">
        <x:v>42156</x:v>
      </x:c>
    </x:row>
    <x:row r="2750" ht="18" customHeight="1">
      <x:c r="A2750" t="str">
        <x:v>CA-2015-140144</x:v>
      </x:c>
      <x:c r="B2750" s="18" t="n">
        <x:v>42175</x:v>
      </x:c>
      <x:c r="C2750" t="str">
        <x:v>SC-20770</x:v>
      </x:c>
      <x:c r="D2750" t="str">
        <x:v>Stewart Carmichael</x:v>
      </x:c>
      <x:c r="E2750" t="str">
        <x:v>Corporate</x:v>
      </x:c>
      <x:c r="F2750" t="str">
        <x:v>West</x:v>
      </x:c>
      <x:c r="G2750" t="str">
        <x:v>Technology</x:v>
      </x:c>
      <x:c r="H2750" t="str">
        <x:v>Phones</x:v>
      </x:c>
      <x:c r="I2750" s="22" t="n">
        <x:v>125.97600000000001</x:v>
      </x:c>
      <x:c r="J2750" s="24" t="n">
        <x:v>3</x:v>
      </x:c>
      <x:c r="K2750" s="26" t="n">
        <x:v>0.2</x:v>
      </x:c>
      <x:c r="L2750" s="22" t="n">
        <x:v>47.241</x:v>
      </x:c>
      <x:c r="M2750" t="n">
        <x:v>2015</x:v>
      </x:c>
      <x:c r="N2750" s="20" t="n">
        <x:v>42156</x:v>
      </x:c>
    </x:row>
    <x:row r="2751" ht="18" customHeight="1">
      <x:c r="A2751" t="str">
        <x:v>CA-2017-163321</x:v>
      </x:c>
      <x:c r="B2751" s="18" t="n">
        <x:v>42954</x:v>
      </x:c>
      <x:c r="C2751" t="str">
        <x:v>FM-14380</x:v>
      </x:c>
      <x:c r="D2751" t="str">
        <x:v>Fred McMath</x:v>
      </x:c>
      <x:c r="E2751" t="str">
        <x:v>Consumer</x:v>
      </x:c>
      <x:c r="F2751" t="str">
        <x:v>South</x:v>
      </x:c>
      <x:c r="G2751" t="str">
        <x:v>Technology</x:v>
      </x:c>
      <x:c r="H2751" t="str">
        <x:v>Accessories</x:v>
      </x:c>
      <x:c r="I2751" s="22" t="n">
        <x:v>79.992</x:v>
      </x:c>
      <x:c r="J2751" s="24" t="n">
        <x:v>1</x:v>
      </x:c>
      <x:c r="K2751" s="26" t="n">
        <x:v>0.2</x:v>
      </x:c>
      <x:c r="L2751" s="22" t="n">
        <x:v>21.9978</x:v>
      </x:c>
      <x:c r="M2751" t="n">
        <x:v>2017</x:v>
      </x:c>
      <x:c r="N2751" s="20" t="n">
        <x:v>42948</x:v>
      </x:c>
    </x:row>
    <x:row r="2752" ht="18" customHeight="1">
      <x:c r="A2752" t="str">
        <x:v>CA-2014-155887</x:v>
      </x:c>
      <x:c r="B2752" s="18" t="n">
        <x:v>41771</x:v>
      </x:c>
      <x:c r="C2752" t="str">
        <x:v>KT-16480</x:v>
      </x:c>
      <x:c r="D2752" t="str">
        <x:v>Kean Thornton</x:v>
      </x:c>
      <x:c r="E2752" t="str">
        <x:v>Consumer</x:v>
      </x:c>
      <x:c r="F2752" t="str">
        <x:v>East</x:v>
      </x:c>
      <x:c r="G2752" t="str">
        <x:v>Furniture</x:v>
      </x:c>
      <x:c r="H2752" t="str">
        <x:v>Tables</x:v>
      </x:c>
      <x:c r="I2752" s="22" t="n">
        <x:v>700.056</x:v>
      </x:c>
      <x:c r="J2752" s="24" t="n">
        <x:v>3</x:v>
      </x:c>
      <x:c r="K2752" s="26" t="n">
        <x:v>0.3</x:v>
      </x:c>
      <x:c r="L2752" s="22" t="n">
        <x:v>-130.0104</x:v>
      </x:c>
      <x:c r="M2752" t="n">
        <x:v>2014</x:v>
      </x:c>
      <x:c r="N2752" s="20" t="n">
        <x:v>41760</x:v>
      </x:c>
    </x:row>
    <x:row r="2753" ht="18" customHeight="1">
      <x:c r="A2753" t="str">
        <x:v>US-2015-165449</x:v>
      </x:c>
      <x:c r="B2753" s="18" t="n">
        <x:v>42330</x:v>
      </x:c>
      <x:c r="C2753" t="str">
        <x:v>AP-10720</x:v>
      </x:c>
      <x:c r="D2753" t="str">
        <x:v>Anne Pryor</x:v>
      </x:c>
      <x:c r="E2753" t="str">
        <x:v>Home Office</x:v>
      </x:c>
      <x:c r="F2753" t="str">
        <x:v>Central</x:v>
      </x:c>
      <x:c r="G2753" t="str">
        <x:v>Technology</x:v>
      </x:c>
      <x:c r="H2753" t="str">
        <x:v>Accessories</x:v>
      </x:c>
      <x:c r="I2753" s="22" t="n">
        <x:v>27.168000000000003</x:v>
      </x:c>
      <x:c r="J2753" s="24" t="n">
        <x:v>4</x:v>
      </x:c>
      <x:c r="K2753" s="26" t="n">
        <x:v>0.2</x:v>
      </x:c>
      <x:c r="L2753" s="22" t="n">
        <x:v>-1.3583999999999987</x:v>
      </x:c>
      <x:c r="M2753" t="n">
        <x:v>2015</x:v>
      </x:c>
      <x:c r="N2753" s="20" t="n">
        <x:v>42309</x:v>
      </x:c>
    </x:row>
    <x:row r="2754" ht="18" customHeight="1">
      <x:c r="A2754" t="str">
        <x:v>CA-2015-110247</x:v>
      </x:c>
      <x:c r="B2754" s="18" t="n">
        <x:v>42342</x:v>
      </x:c>
      <x:c r="C2754" t="str">
        <x:v>RH-19555</x:v>
      </x:c>
      <x:c r="D2754" t="str">
        <x:v>Ritsa Hightower</x:v>
      </x:c>
      <x:c r="E2754" t="str">
        <x:v>Consumer</x:v>
      </x:c>
      <x:c r="F2754" t="str">
        <x:v>South</x:v>
      </x:c>
      <x:c r="G2754" t="str">
        <x:v>Office Supplies</x:v>
      </x:c>
      <x:c r="H2754" t="str">
        <x:v>Binders</x:v>
      </x:c>
      <x:c r="I2754" s="22" t="n">
        <x:v>8.226</x:v>
      </x:c>
      <x:c r="J2754" s="24" t="n">
        <x:v>3</x:v>
      </x:c>
      <x:c r="K2754" s="26" t="n">
        <x:v>0.7</x:v>
      </x:c>
      <x:c r="L2754" s="22" t="n">
        <x:v>-6.032399999999999</x:v>
      </x:c>
      <x:c r="M2754" t="n">
        <x:v>2015</x:v>
      </x:c>
      <x:c r="N2754" s="20" t="n">
        <x:v>42339</x:v>
      </x:c>
    </x:row>
    <x:row r="2755" ht="18" customHeight="1">
      <x:c r="A2755" t="str">
        <x:v>US-2014-141257</x:v>
      </x:c>
      <x:c r="B2755" s="18" t="n">
        <x:v>41798</x:v>
      </x:c>
      <x:c r="C2755" t="str">
        <x:v>CS-11950</x:v>
      </x:c>
      <x:c r="D2755" t="str">
        <x:v>Carlos Soltero</x:v>
      </x:c>
      <x:c r="E2755" t="str">
        <x:v>Consumer</x:v>
      </x:c>
      <x:c r="F2755" t="str">
        <x:v>West</x:v>
      </x:c>
      <x:c r="G2755" t="str">
        <x:v>Furniture</x:v>
      </x:c>
      <x:c r="H2755" t="str">
        <x:v>Chairs</x:v>
      </x:c>
      <x:c r="I2755" s="22" t="n">
        <x:v>585.552</x:v>
      </x:c>
      <x:c r="J2755" s="24" t="n">
        <x:v>3</x:v>
      </x:c>
      <x:c r="K2755" s="26" t="n">
        <x:v>0.2</x:v>
      </x:c>
      <x:c r="L2755" s="22" t="n">
        <x:v>73.19399999999996</x:v>
      </x:c>
      <x:c r="M2755" t="n">
        <x:v>2014</x:v>
      </x:c>
      <x:c r="N2755" s="20" t="n">
        <x:v>41791</x:v>
      </x:c>
    </x:row>
    <x:row r="2756" ht="18" customHeight="1">
      <x:c r="A2756" t="str">
        <x:v>CA-2014-154669</x:v>
      </x:c>
      <x:c r="B2756" s="18" t="n">
        <x:v>41859</x:v>
      </x:c>
      <x:c r="C2756" t="str">
        <x:v>TM-21010</x:v>
      </x:c>
      <x:c r="D2756" t="str">
        <x:v>Tamara Manning</x:v>
      </x:c>
      <x:c r="E2756" t="str">
        <x:v>Consumer</x:v>
      </x:c>
      <x:c r="F2756" t="str">
        <x:v>West</x:v>
      </x:c>
      <x:c r="G2756" t="str">
        <x:v>Office Supplies</x:v>
      </x:c>
      <x:c r="H2756" t="str">
        <x:v>Storage</x:v>
      </x:c>
      <x:c r="I2756" s="22" t="n">
        <x:v>423.28</x:v>
      </x:c>
      <x:c r="J2756" s="24" t="n">
        <x:v>11</x:v>
      </x:c>
      <x:c r="K2756" s="26" t="n">
        <x:v>0</x:v>
      </x:c>
      <x:c r="L2756" s="22" t="n">
        <x:v>110.05279999999999</x:v>
      </x:c>
      <x:c r="M2756" t="n">
        <x:v>2014</x:v>
      </x:c>
      <x:c r="N2756" s="20" t="n">
        <x:v>41852</x:v>
      </x:c>
    </x:row>
    <x:row r="2757" ht="18" customHeight="1">
      <x:c r="A2757" t="str">
        <x:v>CA-2014-158029</x:v>
      </x:c>
      <x:c r="B2757" s="18" t="n">
        <x:v>41785</x:v>
      </x:c>
      <x:c r="C2757" t="str">
        <x:v>HF-14995</x:v>
      </x:c>
      <x:c r="D2757" t="str">
        <x:v>Herbert Flentye</x:v>
      </x:c>
      <x:c r="E2757" t="str">
        <x:v>Consumer</x:v>
      </x:c>
      <x:c r="F2757" t="str">
        <x:v>West</x:v>
      </x:c>
      <x:c r="G2757" t="str">
        <x:v>Furniture</x:v>
      </x:c>
      <x:c r="H2757" t="str">
        <x:v>Chairs</x:v>
      </x:c>
      <x:c r="I2757" s="22" t="n">
        <x:v>225.29600000000002</x:v>
      </x:c>
      <x:c r="J2757" s="24" t="n">
        <x:v>2</x:v>
      </x:c>
      <x:c r="K2757" s="26" t="n">
        <x:v>0.2</x:v>
      </x:c>
      <x:c r="L2757" s="22" t="n">
        <x:v>22.529599999999995</x:v>
      </x:c>
      <x:c r="M2757" t="n">
        <x:v>2014</x:v>
      </x:c>
      <x:c r="N2757" s="20" t="n">
        <x:v>41760</x:v>
      </x:c>
    </x:row>
    <x:row r="2758" ht="18" customHeight="1">
      <x:c r="A2758" t="str">
        <x:v>CA-2015-155306</x:v>
      </x:c>
      <x:c r="B2758" s="18" t="n">
        <x:v>42111</x:v>
      </x:c>
      <x:c r="C2758" t="str">
        <x:v>GA-14515</x:v>
      </x:c>
      <x:c r="D2758" t="str">
        <x:v>George Ashbrook</x:v>
      </x:c>
      <x:c r="E2758" t="str">
        <x:v>Consumer</x:v>
      </x:c>
      <x:c r="F2758" t="str">
        <x:v>West</x:v>
      </x:c>
      <x:c r="G2758" t="str">
        <x:v>Office Supplies</x:v>
      </x:c>
      <x:c r="H2758" t="str">
        <x:v>Art</x:v>
      </x:c>
      <x:c r="I2758" s="22" t="n">
        <x:v>5.56</x:v>
      </x:c>
      <x:c r="J2758" s="24" t="n">
        <x:v>2</x:v>
      </x:c>
      <x:c r="K2758" s="26" t="n">
        <x:v>0</x:v>
      </x:c>
      <x:c r="L2758" s="22" t="n">
        <x:v>2.2239999999999998</x:v>
      </x:c>
      <x:c r="M2758" t="n">
        <x:v>2015</x:v>
      </x:c>
      <x:c r="N2758" s="20" t="n">
        <x:v>42095</x:v>
      </x:c>
    </x:row>
    <x:row r="2759" ht="18" customHeight="1">
      <x:c r="A2759" t="str">
        <x:v>CA-2015-155306</x:v>
      </x:c>
      <x:c r="B2759" s="18" t="n">
        <x:v>42111</x:v>
      </x:c>
      <x:c r="C2759" t="str">
        <x:v>GA-14515</x:v>
      </x:c>
      <x:c r="D2759" t="str">
        <x:v>George Ashbrook</x:v>
      </x:c>
      <x:c r="E2759" t="str">
        <x:v>Consumer</x:v>
      </x:c>
      <x:c r="F2759" t="str">
        <x:v>West</x:v>
      </x:c>
      <x:c r="G2759" t="str">
        <x:v>Technology</x:v>
      </x:c>
      <x:c r="H2759" t="str">
        <x:v>Accessories</x:v>
      </x:c>
      <x:c r="I2759" s="22" t="n">
        <x:v>323.37</x:v>
      </x:c>
      <x:c r="J2759" s="24" t="n">
        <x:v>3</x:v>
      </x:c>
      <x:c r="K2759" s="26" t="n">
        <x:v>0</x:v>
      </x:c>
      <x:c r="L2759" s="22" t="n">
        <x:v>129.348</x:v>
      </x:c>
      <x:c r="M2759" t="n">
        <x:v>2015</x:v>
      </x:c>
      <x:c r="N2759" s="20" t="n">
        <x:v>42095</x:v>
      </x:c>
    </x:row>
    <x:row r="2760" ht="18" customHeight="1">
      <x:c r="A2760" t="str">
        <x:v>CA-2015-155306</x:v>
      </x:c>
      <x:c r="B2760" s="18" t="n">
        <x:v>42111</x:v>
      </x:c>
      <x:c r="C2760" t="str">
        <x:v>GA-14515</x:v>
      </x:c>
      <x:c r="D2760" t="str">
        <x:v>George Ashbrook</x:v>
      </x:c>
      <x:c r="E2760" t="str">
        <x:v>Consumer</x:v>
      </x:c>
      <x:c r="F2760" t="str">
        <x:v>West</x:v>
      </x:c>
      <x:c r="G2760" t="str">
        <x:v>Technology</x:v>
      </x:c>
      <x:c r="H2760" t="str">
        <x:v>Phones</x:v>
      </x:c>
      <x:c r="I2760" s="22" t="n">
        <x:v>783.9600000000002</x:v>
      </x:c>
      <x:c r="J2760" s="24" t="n">
        <x:v>5</x:v>
      </x:c>
      <x:c r="K2760" s="26" t="n">
        <x:v>0.2</x:v>
      </x:c>
      <x:c r="L2760" s="22" t="n">
        <x:v>68.59650000000002</x:v>
      </x:c>
      <x:c r="M2760" t="n">
        <x:v>2015</x:v>
      </x:c>
      <x:c r="N2760" s="20" t="n">
        <x:v>42095</x:v>
      </x:c>
    </x:row>
    <x:row r="2761" ht="18" customHeight="1">
      <x:c r="A2761" t="str">
        <x:v>CA-2015-155306</x:v>
      </x:c>
      <x:c r="B2761" s="18" t="n">
        <x:v>42111</x:v>
      </x:c>
      <x:c r="C2761" t="str">
        <x:v>GA-14515</x:v>
      </x:c>
      <x:c r="D2761" t="str">
        <x:v>George Ashbrook</x:v>
      </x:c>
      <x:c r="E2761" t="str">
        <x:v>Consumer</x:v>
      </x:c>
      <x:c r="F2761" t="str">
        <x:v>West</x:v>
      </x:c>
      <x:c r="G2761" t="str">
        <x:v>Office Supplies</x:v>
      </x:c>
      <x:c r="H2761" t="str">
        <x:v>Appliances</x:v>
      </x:c>
      <x:c r="I2761" s="22" t="n">
        <x:v>1447.6499999999999</x:v>
      </x:c>
      <x:c r="J2761" s="24" t="n">
        <x:v>5</x:v>
      </x:c>
      <x:c r="K2761" s="26" t="n">
        <x:v>0</x:v>
      </x:c>
      <x:c r="L2761" s="22" t="n">
        <x:v>419.8184999999998</x:v>
      </x:c>
      <x:c r="M2761" t="n">
        <x:v>2015</x:v>
      </x:c>
      <x:c r="N2761" s="20" t="n">
        <x:v>42095</x:v>
      </x:c>
    </x:row>
    <x:row r="2762" ht="18" customHeight="1">
      <x:c r="A2762" t="str">
        <x:v>CA-2015-155306</x:v>
      </x:c>
      <x:c r="B2762" s="18" t="n">
        <x:v>42111</x:v>
      </x:c>
      <x:c r="C2762" t="str">
        <x:v>GA-14515</x:v>
      </x:c>
      <x:c r="D2762" t="str">
        <x:v>George Ashbrook</x:v>
      </x:c>
      <x:c r="E2762" t="str">
        <x:v>Consumer</x:v>
      </x:c>
      <x:c r="F2762" t="str">
        <x:v>West</x:v>
      </x:c>
      <x:c r="G2762" t="str">
        <x:v>Office Supplies</x:v>
      </x:c>
      <x:c r="H2762" t="str">
        <x:v>Paper</x:v>
      </x:c>
      <x:c r="I2762" s="22" t="n">
        <x:v>11.96</x:v>
      </x:c>
      <x:c r="J2762" s="24" t="n">
        <x:v>2</x:v>
      </x:c>
      <x:c r="K2762" s="26" t="n">
        <x:v>0</x:v>
      </x:c>
      <x:c r="L2762" s="22" t="n">
        <x:v>5.8604</x:v>
      </x:c>
      <x:c r="M2762" t="n">
        <x:v>2015</x:v>
      </x:c>
      <x:c r="N2762" s="20" t="n">
        <x:v>42095</x:v>
      </x:c>
    </x:row>
    <x:row r="2763" ht="18" customHeight="1">
      <x:c r="A2763" t="str">
        <x:v>CA-2016-127775</x:v>
      </x:c>
      <x:c r="B2763" s="18" t="n">
        <x:v>42532</x:v>
      </x:c>
      <x:c r="C2763" t="str">
        <x:v>ES-14020</x:v>
      </x:c>
      <x:c r="D2763" t="str">
        <x:v>Erica Smith</x:v>
      </x:c>
      <x:c r="E2763" t="str">
        <x:v>Consumer</x:v>
      </x:c>
      <x:c r="F2763" t="str">
        <x:v>East</x:v>
      </x:c>
      <x:c r="G2763" t="str">
        <x:v>Technology</x:v>
      </x:c>
      <x:c r="H2763" t="str">
        <x:v>Accessories</x:v>
      </x:c>
      <x:c r="I2763" s="22" t="n">
        <x:v>239.96999999999997</x:v>
      </x:c>
      <x:c r="J2763" s="24" t="n">
        <x:v>3</x:v>
      </x:c>
      <x:c r="K2763" s="26" t="n">
        <x:v>0</x:v>
      </x:c>
      <x:c r="L2763" s="22" t="n">
        <x:v>71.99099999999999</x:v>
      </x:c>
      <x:c r="M2763" t="n">
        <x:v>2016</x:v>
      </x:c>
      <x:c r="N2763" s="20" t="n">
        <x:v>42522</x:v>
      </x:c>
    </x:row>
    <x:row r="2764" ht="18" customHeight="1">
      <x:c r="A2764" t="str">
        <x:v>CA-2016-146171</x:v>
      </x:c>
      <x:c r="B2764" s="18" t="n">
        <x:v>42440</x:v>
      </x:c>
      <x:c r="C2764" t="str">
        <x:v>JP-16135</x:v>
      </x:c>
      <x:c r="D2764" t="str">
        <x:v>Julie Prescott</x:v>
      </x:c>
      <x:c r="E2764" t="str">
        <x:v>Home Office</x:v>
      </x:c>
      <x:c r="F2764" t="str">
        <x:v>South</x:v>
      </x:c>
      <x:c r="G2764" t="str">
        <x:v>Furniture</x:v>
      </x:c>
      <x:c r="H2764" t="str">
        <x:v>Furnishings</x:v>
      </x:c>
      <x:c r="I2764" s="22" t="n">
        <x:v>76.92</x:v>
      </x:c>
      <x:c r="J2764" s="24" t="n">
        <x:v>4</x:v>
      </x:c>
      <x:c r="K2764" s="26" t="n">
        <x:v>0</x:v>
      </x:c>
      <x:c r="L2764" s="22" t="n">
        <x:v>31.537200000000006</x:v>
      </x:c>
      <x:c r="M2764" t="n">
        <x:v>2016</x:v>
      </x:c>
      <x:c r="N2764" s="20" t="n">
        <x:v>42430</x:v>
      </x:c>
    </x:row>
    <x:row r="2765" ht="18" customHeight="1">
      <x:c r="A2765" t="str">
        <x:v>CA-2016-146171</x:v>
      </x:c>
      <x:c r="B2765" s="18" t="n">
        <x:v>42440</x:v>
      </x:c>
      <x:c r="C2765" t="str">
        <x:v>JP-16135</x:v>
      </x:c>
      <x:c r="D2765" t="str">
        <x:v>Julie Prescott</x:v>
      </x:c>
      <x:c r="E2765" t="str">
        <x:v>Home Office</x:v>
      </x:c>
      <x:c r="F2765" t="str">
        <x:v>South</x:v>
      </x:c>
      <x:c r="G2765" t="str">
        <x:v>Office Supplies</x:v>
      </x:c>
      <x:c r="H2765" t="str">
        <x:v>Storage</x:v>
      </x:c>
      <x:c r="I2765" s="22" t="n">
        <x:v>481.32</x:v>
      </x:c>
      <x:c r="J2765" s="24" t="n">
        <x:v>4</x:v>
      </x:c>
      <x:c r="K2765" s="26" t="n">
        <x:v>0</x:v>
      </x:c>
      <x:c r="L2765" s="22" t="n">
        <x:v>125.14319999999998</x:v>
      </x:c>
      <x:c r="M2765" t="n">
        <x:v>2016</x:v>
      </x:c>
      <x:c r="N2765" s="20" t="n">
        <x:v>42430</x:v>
      </x:c>
    </x:row>
    <x:row r="2766" ht="18" customHeight="1">
      <x:c r="A2766" t="str">
        <x:v>CA-2014-129574</x:v>
      </x:c>
      <x:c r="B2766" s="18" t="n">
        <x:v>41785</x:v>
      </x:c>
      <x:c r="C2766" t="str">
        <x:v>Dp-13240</x:v>
      </x:c>
      <x:c r="D2766" t="str">
        <x:v>Dean percer</x:v>
      </x:c>
      <x:c r="E2766" t="str">
        <x:v>Home Office</x:v>
      </x:c>
      <x:c r="F2766" t="str">
        <x:v>West</x:v>
      </x:c>
      <x:c r="G2766" t="str">
        <x:v>Office Supplies</x:v>
      </x:c>
      <x:c r="H2766" t="str">
        <x:v>Paper</x:v>
      </x:c>
      <x:c r="I2766" s="22" t="n">
        <x:v>48.4</x:v>
      </x:c>
      <x:c r="J2766" s="24" t="n">
        <x:v>5</x:v>
      </x:c>
      <x:c r="K2766" s="26" t="n">
        <x:v>0</x:v>
      </x:c>
      <x:c r="L2766" s="22" t="n">
        <x:v>23.232</x:v>
      </x:c>
      <x:c r="M2766" t="n">
        <x:v>2014</x:v>
      </x:c>
      <x:c r="N2766" s="20" t="n">
        <x:v>41760</x:v>
      </x:c>
    </x:row>
    <x:row r="2767" ht="18" customHeight="1">
      <x:c r="A2767" t="str">
        <x:v>CA-2017-126536</x:v>
      </x:c>
      <x:c r="B2767" s="18" t="n">
        <x:v>43020</x:v>
      </x:c>
      <x:c r="C2767" t="str">
        <x:v>NK-18490</x:v>
      </x:c>
      <x:c r="D2767" t="str">
        <x:v>Neil Knudson</x:v>
      </x:c>
      <x:c r="E2767" t="str">
        <x:v>Home Office</x:v>
      </x:c>
      <x:c r="F2767" t="str">
        <x:v>West</x:v>
      </x:c>
      <x:c r="G2767" t="str">
        <x:v>Technology</x:v>
      </x:c>
      <x:c r="H2767" t="str">
        <x:v>Accessories</x:v>
      </x:c>
      <x:c r="I2767" s="22" t="n">
        <x:v>0.99</x:v>
      </x:c>
      <x:c r="J2767" s="24" t="n">
        <x:v>1</x:v>
      </x:c>
      <x:c r="K2767" s="26" t="n">
        <x:v>0</x:v>
      </x:c>
      <x:c r="L2767" s="22" t="n">
        <x:v>0.4356000000000001</x:v>
      </x:c>
      <x:c r="M2767" t="n">
        <x:v>2017</x:v>
      </x:c>
      <x:c r="N2767" s="20" t="n">
        <x:v>43009</x:v>
      </x:c>
    </x:row>
    <x:row r="2768" ht="18" customHeight="1">
      <x:c r="A2768" t="str">
        <x:v>CA-2017-126536</x:v>
      </x:c>
      <x:c r="B2768" s="18" t="n">
        <x:v>43020</x:v>
      </x:c>
      <x:c r="C2768" t="str">
        <x:v>NK-18490</x:v>
      </x:c>
      <x:c r="D2768" t="str">
        <x:v>Neil Knudson</x:v>
      </x:c>
      <x:c r="E2768" t="str">
        <x:v>Home Office</x:v>
      </x:c>
      <x:c r="F2768" t="str">
        <x:v>West</x:v>
      </x:c>
      <x:c r="G2768" t="str">
        <x:v>Office Supplies</x:v>
      </x:c>
      <x:c r="H2768" t="str">
        <x:v>Binders</x:v>
      </x:c>
      <x:c r="I2768" s="22" t="n">
        <x:v>101.84</x:v>
      </x:c>
      <x:c r="J2768" s="24" t="n">
        <x:v>5</x:v>
      </x:c>
      <x:c r="K2768" s="26" t="n">
        <x:v>0.2</x:v>
      </x:c>
      <x:c r="L2768" s="22" t="n">
        <x:v>36.917</x:v>
      </x:c>
      <x:c r="M2768" t="n">
        <x:v>2017</x:v>
      </x:c>
      <x:c r="N2768" s="20" t="n">
        <x:v>43009</x:v>
      </x:c>
    </x:row>
    <x:row r="2769" ht="18" customHeight="1">
      <x:c r="A2769" t="str">
        <x:v>CA-2017-165757</x:v>
      </x:c>
      <x:c r="B2769" s="18" t="n">
        <x:v>42908</x:v>
      </x:c>
      <x:c r="C2769" t="str">
        <x:v>PL-18925</x:v>
      </x:c>
      <x:c r="D2769" t="str">
        <x:v>Paul Lucas</x:v>
      </x:c>
      <x:c r="E2769" t="str">
        <x:v>Home Office</x:v>
      </x:c>
      <x:c r="F2769" t="str">
        <x:v>East</x:v>
      </x:c>
      <x:c r="G2769" t="str">
        <x:v>Office Supplies</x:v>
      </x:c>
      <x:c r="H2769" t="str">
        <x:v>Binders</x:v>
      </x:c>
      <x:c r="I2769" s="22" t="n">
        <x:v>10.332000000000003</x:v>
      </x:c>
      <x:c r="J2769" s="24" t="n">
        <x:v>3</x:v>
      </x:c>
      <x:c r="K2769" s="26" t="n">
        <x:v>0.7</x:v>
      </x:c>
      <x:c r="L2769" s="22" t="n">
        <x:v>-7.576799999999999</x:v>
      </x:c>
      <x:c r="M2769" t="n">
        <x:v>2017</x:v>
      </x:c>
      <x:c r="N2769" s="20" t="n">
        <x:v>42887</x:v>
      </x:c>
    </x:row>
    <x:row r="2770" ht="18" customHeight="1">
      <x:c r="A2770" t="str">
        <x:v>CA-2017-165757</x:v>
      </x:c>
      <x:c r="B2770" s="18" t="n">
        <x:v>42908</x:v>
      </x:c>
      <x:c r="C2770" t="str">
        <x:v>PL-18925</x:v>
      </x:c>
      <x:c r="D2770" t="str">
        <x:v>Paul Lucas</x:v>
      </x:c>
      <x:c r="E2770" t="str">
        <x:v>Home Office</x:v>
      </x:c>
      <x:c r="F2770" t="str">
        <x:v>East</x:v>
      </x:c>
      <x:c r="G2770" t="str">
        <x:v>Office Supplies</x:v>
      </x:c>
      <x:c r="H2770" t="str">
        <x:v>Binders</x:v>
      </x:c>
      <x:c r="I2770" s="22" t="n">
        <x:v>31.155000000000005</x:v>
      </x:c>
      <x:c r="J2770" s="24" t="n">
        <x:v>5</x:v>
      </x:c>
      <x:c r="K2770" s="26" t="n">
        <x:v>0.7</x:v>
      </x:c>
      <x:c r="L2770" s="22" t="n">
        <x:v>-23.8855</x:v>
      </x:c>
      <x:c r="M2770" t="n">
        <x:v>2017</x:v>
      </x:c>
      <x:c r="N2770" s="20" t="n">
        <x:v>42887</x:v>
      </x:c>
    </x:row>
    <x:row r="2771" ht="18" customHeight="1">
      <x:c r="A2771" t="str">
        <x:v>CA-2017-165757</x:v>
      </x:c>
      <x:c r="B2771" s="18" t="n">
        <x:v>42908</x:v>
      </x:c>
      <x:c r="C2771" t="str">
        <x:v>PL-18925</x:v>
      </x:c>
      <x:c r="D2771" t="str">
        <x:v>Paul Lucas</x:v>
      </x:c>
      <x:c r="E2771" t="str">
        <x:v>Home Office</x:v>
      </x:c>
      <x:c r="F2771" t="str">
        <x:v>East</x:v>
      </x:c>
      <x:c r="G2771" t="str">
        <x:v>Office Supplies</x:v>
      </x:c>
      <x:c r="H2771" t="str">
        <x:v>Storage</x:v>
      </x:c>
      <x:c r="I2771" s="22" t="n">
        <x:v>8.928</x:v>
      </x:c>
      <x:c r="J2771" s="24" t="n">
        <x:v>2</x:v>
      </x:c>
      <x:c r="K2771" s="26" t="n">
        <x:v>0.2</x:v>
      </x:c>
      <x:c r="L2771" s="22" t="n">
        <x:v>0.6696</x:v>
      </x:c>
      <x:c r="M2771" t="n">
        <x:v>2017</x:v>
      </x:c>
      <x:c r="N2771" s="20" t="n">
        <x:v>42887</x:v>
      </x:c>
    </x:row>
    <x:row r="2772" ht="18" customHeight="1">
      <x:c r="A2772" t="str">
        <x:v>CA-2017-167752</x:v>
      </x:c>
      <x:c r="B2772" s="18" t="n">
        <x:v>42750</x:v>
      </x:c>
      <x:c r="C2772" t="str">
        <x:v>RW-19690</x:v>
      </x:c>
      <x:c r="D2772" t="str">
        <x:v>Robert Waldorf</x:v>
      </x:c>
      <x:c r="E2772" t="str">
        <x:v>Consumer</x:v>
      </x:c>
      <x:c r="F2772" t="str">
        <x:v>East</x:v>
      </x:c>
      <x:c r="G2772" t="str">
        <x:v>Office Supplies</x:v>
      </x:c>
      <x:c r="H2772" t="str">
        <x:v>Appliances</x:v>
      </x:c>
      <x:c r="I2772" s="22" t="n">
        <x:v>34.384</x:v>
      </x:c>
      <x:c r="J2772" s="24" t="n">
        <x:v>1</x:v>
      </x:c>
      <x:c r="K2772" s="26" t="n">
        <x:v>0.2</x:v>
      </x:c>
      <x:c r="L2772" s="22" t="n">
        <x:v>3.8681999999999945</x:v>
      </x:c>
      <x:c r="M2772" t="n">
        <x:v>2017</x:v>
      </x:c>
      <x:c r="N2772" s="20" t="n">
        <x:v>42736</x:v>
      </x:c>
    </x:row>
    <x:row r="2773" ht="18" customHeight="1">
      <x:c r="A2773" t="str">
        <x:v>CA-2017-167752</x:v>
      </x:c>
      <x:c r="B2773" s="18" t="n">
        <x:v>42750</x:v>
      </x:c>
      <x:c r="C2773" t="str">
        <x:v>RW-19690</x:v>
      </x:c>
      <x:c r="D2773" t="str">
        <x:v>Robert Waldorf</x:v>
      </x:c>
      <x:c r="E2773" t="str">
        <x:v>Consumer</x:v>
      </x:c>
      <x:c r="F2773" t="str">
        <x:v>East</x:v>
      </x:c>
      <x:c r="G2773" t="str">
        <x:v>Office Supplies</x:v>
      </x:c>
      <x:c r="H2773" t="str">
        <x:v>Appliances</x:v>
      </x:c>
      <x:c r="I2773" s="22" t="n">
        <x:v>1924.1599999999999</x:v>
      </x:c>
      <x:c r="J2773" s="24" t="n">
        <x:v>8</x:v>
      </x:c>
      <x:c r="K2773" s="26" t="n">
        <x:v>0.2</x:v>
      </x:c>
      <x:c r="L2773" s="22" t="n">
        <x:v>312.67599999999993</x:v>
      </x:c>
      <x:c r="M2773" t="n">
        <x:v>2017</x:v>
      </x:c>
      <x:c r="N2773" s="20" t="n">
        <x:v>42736</x:v>
      </x:c>
    </x:row>
    <x:row r="2774" ht="18" customHeight="1">
      <x:c r="A2774" t="str">
        <x:v>US-2015-122140</x:v>
      </x:c>
      <x:c r="B2774" s="18" t="n">
        <x:v>42096</x:v>
      </x:c>
      <x:c r="C2774" t="str">
        <x:v>MO-17950</x:v>
      </x:c>
      <x:c r="D2774" t="str">
        <x:v>Michael Oakman</x:v>
      </x:c>
      <x:c r="E2774" t="str">
        <x:v>Consumer</x:v>
      </x:c>
      <x:c r="F2774" t="str">
        <x:v>Central</x:v>
      </x:c>
      <x:c r="G2774" t="str">
        <x:v>Office Supplies</x:v>
      </x:c>
      <x:c r="H2774" t="str">
        <x:v>Appliances</x:v>
      </x:c>
      <x:c r="I2774" s="22" t="n">
        <x:v>32.19199999999999</x:v>
      </x:c>
      <x:c r="J2774" s="24" t="n">
        <x:v>2</x:v>
      </x:c>
      <x:c r="K2774" s="26" t="n">
        <x:v>0.8</x:v>
      </x:c>
      <x:c r="L2774" s="22" t="n">
        <x:v>-80.48</x:v>
      </x:c>
      <x:c r="M2774" t="n">
        <x:v>2015</x:v>
      </x:c>
      <x:c r="N2774" s="20" t="n">
        <x:v>42095</x:v>
      </x:c>
    </x:row>
    <x:row r="2775" ht="18" customHeight="1">
      <x:c r="A2775" t="str">
        <x:v>US-2015-122140</x:v>
      </x:c>
      <x:c r="B2775" s="18" t="n">
        <x:v>42096</x:v>
      </x:c>
      <x:c r="C2775" t="str">
        <x:v>MO-17950</x:v>
      </x:c>
      <x:c r="D2775" t="str">
        <x:v>Michael Oakman</x:v>
      </x:c>
      <x:c r="E2775" t="str">
        <x:v>Consumer</x:v>
      </x:c>
      <x:c r="F2775" t="str">
        <x:v>Central</x:v>
      </x:c>
      <x:c r="G2775" t="str">
        <x:v>Technology</x:v>
      </x:c>
      <x:c r="H2775" t="str">
        <x:v>Accessories</x:v>
      </x:c>
      <x:c r="I2775" s="22" t="n">
        <x:v>50.120000000000005</x:v>
      </x:c>
      <x:c r="J2775" s="24" t="n">
        <x:v>7</x:v>
      </x:c>
      <x:c r="K2775" s="26" t="n">
        <x:v>0.2</x:v>
      </x:c>
      <x:c r="L2775" s="22" t="n">
        <x:v>-0.6265000000000072</x:v>
      </x:c>
      <x:c r="M2775" t="n">
        <x:v>2015</x:v>
      </x:c>
      <x:c r="N2775" s="20" t="n">
        <x:v>42095</x:v>
      </x:c>
    </x:row>
    <x:row r="2776" ht="18" customHeight="1">
      <x:c r="A2776" t="str">
        <x:v>US-2015-122140</x:v>
      </x:c>
      <x:c r="B2776" s="18" t="n">
        <x:v>42096</x:v>
      </x:c>
      <x:c r="C2776" t="str">
        <x:v>MO-17950</x:v>
      </x:c>
      <x:c r="D2776" t="str">
        <x:v>Michael Oakman</x:v>
      </x:c>
      <x:c r="E2776" t="str">
        <x:v>Consumer</x:v>
      </x:c>
      <x:c r="F2776" t="str">
        <x:v>Central</x:v>
      </x:c>
      <x:c r="G2776" t="str">
        <x:v>Technology</x:v>
      </x:c>
      <x:c r="H2776" t="str">
        <x:v>Accessories</x:v>
      </x:c>
      <x:c r="I2776" s="22" t="n">
        <x:v>47.976</x:v>
      </x:c>
      <x:c r="J2776" s="24" t="n">
        <x:v>3</x:v>
      </x:c>
      <x:c r="K2776" s="26" t="n">
        <x:v>0.2</x:v>
      </x:c>
      <x:c r="L2776" s="22" t="n">
        <x:v>1.7990999999999993</x:v>
      </x:c>
      <x:c r="M2776" t="n">
        <x:v>2015</x:v>
      </x:c>
      <x:c r="N2776" s="20" t="n">
        <x:v>42095</x:v>
      </x:c>
    </x:row>
    <x:row r="2777" ht="18" customHeight="1">
      <x:c r="A2777" t="str">
        <x:v>CA-2016-163986</x:v>
      </x:c>
      <x:c r="B2777" s="18" t="n">
        <x:v>42616</x:v>
      </x:c>
      <x:c r="C2777" t="str">
        <x:v>JJ-15445</x:v>
      </x:c>
      <x:c r="D2777" t="str">
        <x:v>Jennifer Jackson</x:v>
      </x:c>
      <x:c r="E2777" t="str">
        <x:v>Consumer</x:v>
      </x:c>
      <x:c r="F2777" t="str">
        <x:v>Central</x:v>
      </x:c>
      <x:c r="G2777" t="str">
        <x:v>Office Supplies</x:v>
      </x:c>
      <x:c r="H2777" t="str">
        <x:v>Storage</x:v>
      </x:c>
      <x:c r="I2777" s="22" t="n">
        <x:v>54.5</x:v>
      </x:c>
      <x:c r="J2777" s="24" t="n">
        <x:v>5</x:v>
      </x:c>
      <x:c r="K2777" s="26" t="n">
        <x:v>0</x:v>
      </x:c>
      <x:c r="L2777" s="22" t="n">
        <x:v>14.169999999999998</x:v>
      </x:c>
      <x:c r="M2777" t="n">
        <x:v>2016</x:v>
      </x:c>
      <x:c r="N2777" s="20" t="n">
        <x:v>42614</x:v>
      </x:c>
    </x:row>
    <x:row r="2778" ht="18" customHeight="1">
      <x:c r="A2778" t="str">
        <x:v>CA-2017-158967</x:v>
      </x:c>
      <x:c r="B2778" s="18" t="n">
        <x:v>43079</x:v>
      </x:c>
      <x:c r="C2778" t="str">
        <x:v>BT-11680</x:v>
      </x:c>
      <x:c r="D2778" t="str">
        <x:v>Brian Thompson</x:v>
      </x:c>
      <x:c r="E2778" t="str">
        <x:v>Consumer</x:v>
      </x:c>
      <x:c r="F2778" t="str">
        <x:v>South</x:v>
      </x:c>
      <x:c r="G2778" t="str">
        <x:v>Furniture</x:v>
      </x:c>
      <x:c r="H2778" t="str">
        <x:v>Furnishings</x:v>
      </x:c>
      <x:c r="I2778" s="22" t="n">
        <x:v>19.104</x:v>
      </x:c>
      <x:c r="J2778" s="24" t="n">
        <x:v>3</x:v>
      </x:c>
      <x:c r="K2778" s="26" t="n">
        <x:v>0.2</x:v>
      </x:c>
      <x:c r="L2778" s="22" t="n">
        <x:v>5.731200000000001</x:v>
      </x:c>
      <x:c r="M2778" t="n">
        <x:v>2017</x:v>
      </x:c>
      <x:c r="N2778" s="20" t="n">
        <x:v>43070</x:v>
      </x:c>
    </x:row>
    <x:row r="2779" ht="18" customHeight="1">
      <x:c r="A2779" t="str">
        <x:v>CA-2016-131576</x:v>
      </x:c>
      <x:c r="B2779" s="18" t="n">
        <x:v>42696</x:v>
      </x:c>
      <x:c r="C2779" t="str">
        <x:v>RD-19585</x:v>
      </x:c>
      <x:c r="D2779" t="str">
        <x:v>Rob Dowd</x:v>
      </x:c>
      <x:c r="E2779" t="str">
        <x:v>Consumer</x:v>
      </x:c>
      <x:c r="F2779" t="str">
        <x:v>Central</x:v>
      </x:c>
      <x:c r="G2779" t="str">
        <x:v>Office Supplies</x:v>
      </x:c>
      <x:c r="H2779" t="str">
        <x:v>Binders</x:v>
      </x:c>
      <x:c r="I2779" s="22" t="n">
        <x:v>49.44</x:v>
      </x:c>
      <x:c r="J2779" s="24" t="n">
        <x:v>3</x:v>
      </x:c>
      <x:c r="K2779" s="26" t="n">
        <x:v>0</x:v>
      </x:c>
      <x:c r="L2779" s="22" t="n">
        <x:v>24.2256</x:v>
      </x:c>
      <x:c r="M2779" t="n">
        <x:v>2016</x:v>
      </x:c>
      <x:c r="N2779" s="20" t="n">
        <x:v>42675</x:v>
      </x:c>
    </x:row>
    <x:row r="2780" ht="18" customHeight="1">
      <x:c r="A2780" t="str">
        <x:v>CA-2017-143455</x:v>
      </x:c>
      <x:c r="B2780" s="18" t="n">
        <x:v>43050</x:v>
      </x:c>
      <x:c r="C2780" t="str">
        <x:v>ML-17755</x:v>
      </x:c>
      <x:c r="D2780" t="str">
        <x:v>Max Ludwig</x:v>
      </x:c>
      <x:c r="E2780" t="str">
        <x:v>Home Office</x:v>
      </x:c>
      <x:c r="F2780" t="str">
        <x:v>East</x:v>
      </x:c>
      <x:c r="G2780" t="str">
        <x:v>Office Supplies</x:v>
      </x:c>
      <x:c r="H2780" t="str">
        <x:v>Paper</x:v>
      </x:c>
      <x:c r="I2780" s="22" t="n">
        <x:v>10.368000000000002</x:v>
      </x:c>
      <x:c r="J2780" s="24" t="n">
        <x:v>2</x:v>
      </x:c>
      <x:c r="K2780" s="26" t="n">
        <x:v>0.2</x:v>
      </x:c>
      <x:c r="L2780" s="22" t="n">
        <x:v>3.6288</x:v>
      </x:c>
      <x:c r="M2780" t="n">
        <x:v>2017</x:v>
      </x:c>
      <x:c r="N2780" s="20" t="n">
        <x:v>43040</x:v>
      </x:c>
    </x:row>
    <x:row r="2781" ht="18" customHeight="1">
      <x:c r="A2781" t="str">
        <x:v>CA-2016-144729</x:v>
      </x:c>
      <x:c r="B2781" s="18" t="n">
        <x:v>42664</x:v>
      </x:c>
      <x:c r="C2781" t="str">
        <x:v>JE-15745</x:v>
      </x:c>
      <x:c r="D2781" t="str">
        <x:v>Joel Eaton</x:v>
      </x:c>
      <x:c r="E2781" t="str">
        <x:v>Consumer</x:v>
      </x:c>
      <x:c r="F2781" t="str">
        <x:v>West</x:v>
      </x:c>
      <x:c r="G2781" t="str">
        <x:v>Office Supplies</x:v>
      </x:c>
      <x:c r="H2781" t="str">
        <x:v>Storage</x:v>
      </x:c>
      <x:c r="I2781" s="22" t="n">
        <x:v>154.44</x:v>
      </x:c>
      <x:c r="J2781" s="24" t="n">
        <x:v>3</x:v>
      </x:c>
      <x:c r="K2781" s="26" t="n">
        <x:v>0</x:v>
      </x:c>
      <x:c r="L2781" s="22" t="n">
        <x:v>1.544400000000003</x:v>
      </x:c>
      <x:c r="M2781" t="n">
        <x:v>2016</x:v>
      </x:c>
      <x:c r="N2781" s="20" t="n">
        <x:v>42644</x:v>
      </x:c>
    </x:row>
    <x:row r="2782" ht="18" customHeight="1">
      <x:c r="A2782" t="str">
        <x:v>CA-2015-127019</x:v>
      </x:c>
      <x:c r="B2782" s="18" t="n">
        <x:v>42359</x:v>
      </x:c>
      <x:c r="C2782" t="str">
        <x:v>ER-13855</x:v>
      </x:c>
      <x:c r="D2782" t="str">
        <x:v>Elpida Rittenbach</x:v>
      </x:c>
      <x:c r="E2782" t="str">
        <x:v>Corporate</x:v>
      </x:c>
      <x:c r="F2782" t="str">
        <x:v>West</x:v>
      </x:c>
      <x:c r="G2782" t="str">
        <x:v>Office Supplies</x:v>
      </x:c>
      <x:c r="H2782" t="str">
        <x:v>Appliances</x:v>
      </x:c>
      <x:c r="I2782" s="22" t="n">
        <x:v>60.98400000000001</x:v>
      </x:c>
      <x:c r="J2782" s="24" t="n">
        <x:v>7</x:v>
      </x:c>
      <x:c r="K2782" s="26" t="n">
        <x:v>0.2</x:v>
      </x:c>
      <x:c r="L2782" s="22" t="n">
        <x:v>4.5737999999999985</x:v>
      </x:c>
      <x:c r="M2782" t="n">
        <x:v>2015</x:v>
      </x:c>
      <x:c r="N2782" s="20" t="n">
        <x:v>42339</x:v>
      </x:c>
    </x:row>
    <x:row r="2783" ht="18" customHeight="1">
      <x:c r="A2783" t="str">
        <x:v>CA-2015-138534</x:v>
      </x:c>
      <x:c r="B2783" s="18" t="n">
        <x:v>42202</x:v>
      </x:c>
      <x:c r="C2783" t="str">
        <x:v>JM-15535</x:v>
      </x:c>
      <x:c r="D2783" t="str">
        <x:v>Jessica Myrick</x:v>
      </x:c>
      <x:c r="E2783" t="str">
        <x:v>Consumer</x:v>
      </x:c>
      <x:c r="F2783" t="str">
        <x:v>West</x:v>
      </x:c>
      <x:c r="G2783" t="str">
        <x:v>Furniture</x:v>
      </x:c>
      <x:c r="H2783" t="str">
        <x:v>Bookcases</x:v>
      </x:c>
      <x:c r="I2783" s="22" t="n">
        <x:v>195.466</x:v>
      </x:c>
      <x:c r="J2783" s="24" t="n">
        <x:v>2</x:v>
      </x:c>
      <x:c r="K2783" s="26" t="n">
        <x:v>0.15</x:v>
      </x:c>
      <x:c r="L2783" s="22" t="n">
        <x:v>-13.797600000000017</x:v>
      </x:c>
      <x:c r="M2783" t="n">
        <x:v>2015</x:v>
      </x:c>
      <x:c r="N2783" s="20" t="n">
        <x:v>42186</x:v>
      </x:c>
    </x:row>
    <x:row r="2784" ht="18" customHeight="1">
      <x:c r="A2784" t="str">
        <x:v>CA-2017-108322</x:v>
      </x:c>
      <x:c r="B2784" s="18" t="n">
        <x:v>42855</x:v>
      </x:c>
      <x:c r="C2784" t="str">
        <x:v>SS-20140</x:v>
      </x:c>
      <x:c r="D2784" t="str">
        <x:v>Saphhira Shifley</x:v>
      </x:c>
      <x:c r="E2784" t="str">
        <x:v>Corporate</x:v>
      </x:c>
      <x:c r="F2784" t="str">
        <x:v>South</x:v>
      </x:c>
      <x:c r="G2784" t="str">
        <x:v>Furniture</x:v>
      </x:c>
      <x:c r="H2784" t="str">
        <x:v>Furnishings</x:v>
      </x:c>
      <x:c r="I2784" s="22" t="n">
        <x:v>23.680000000000003</x:v>
      </x:c>
      <x:c r="J2784" s="24" t="n">
        <x:v>8</x:v>
      </x:c>
      <x:c r="K2784" s="26" t="n">
        <x:v>0.2</x:v>
      </x:c>
      <x:c r="L2784" s="22" t="n">
        <x:v>6.216000000000002</x:v>
      </x:c>
      <x:c r="M2784" t="n">
        <x:v>2017</x:v>
      </x:c>
      <x:c r="N2784" s="20" t="n">
        <x:v>42826</x:v>
      </x:c>
    </x:row>
    <x:row r="2785" ht="18" customHeight="1">
      <x:c r="A2785" t="str">
        <x:v>CA-2017-108322</x:v>
      </x:c>
      <x:c r="B2785" s="18" t="n">
        <x:v>42855</x:v>
      </x:c>
      <x:c r="C2785" t="str">
        <x:v>SS-20140</x:v>
      </x:c>
      <x:c r="D2785" t="str">
        <x:v>Saphhira Shifley</x:v>
      </x:c>
      <x:c r="E2785" t="str">
        <x:v>Corporate</x:v>
      </x:c>
      <x:c r="F2785" t="str">
        <x:v>South</x:v>
      </x:c>
      <x:c r="G2785" t="str">
        <x:v>Technology</x:v>
      </x:c>
      <x:c r="H2785" t="str">
        <x:v>Accessories</x:v>
      </x:c>
      <x:c r="I2785" s="22" t="n">
        <x:v>2.3760000000000003</x:v>
      </x:c>
      <x:c r="J2785" s="24" t="n">
        <x:v>3</x:v>
      </x:c>
      <x:c r="K2785" s="26" t="n">
        <x:v>0.2</x:v>
      </x:c>
      <x:c r="L2785" s="22" t="n">
        <x:v>0.7424999999999999</x:v>
      </x:c>
      <x:c r="M2785" t="n">
        <x:v>2017</x:v>
      </x:c>
      <x:c r="N2785" s="20" t="n">
        <x:v>42826</x:v>
      </x:c>
    </x:row>
    <x:row r="2786" ht="18" customHeight="1">
      <x:c r="A2786" t="str">
        <x:v>CA-2017-167668</x:v>
      </x:c>
      <x:c r="B2786" s="18" t="n">
        <x:v>42861</x:v>
      </x:c>
      <x:c r="C2786" t="str">
        <x:v>TC-21295</x:v>
      </x:c>
      <x:c r="D2786" t="str">
        <x:v>Toby Carlisle</x:v>
      </x:c>
      <x:c r="E2786" t="str">
        <x:v>Consumer</x:v>
      </x:c>
      <x:c r="F2786" t="str">
        <x:v>East</x:v>
      </x:c>
      <x:c r="G2786" t="str">
        <x:v>Office Supplies</x:v>
      </x:c>
      <x:c r="H2786" t="str">
        <x:v>Labels</x:v>
      </x:c>
      <x:c r="I2786" s="22" t="n">
        <x:v>59.2</x:v>
      </x:c>
      <x:c r="J2786" s="24" t="n">
        <x:v>4</x:v>
      </x:c>
      <x:c r="K2786" s="26" t="n">
        <x:v>0</x:v>
      </x:c>
      <x:c r="L2786" s="22" t="n">
        <x:v>29.6</x:v>
      </x:c>
      <x:c r="M2786" t="n">
        <x:v>2017</x:v>
      </x:c>
      <x:c r="N2786" s="20" t="n">
        <x:v>42856</x:v>
      </x:c>
    </x:row>
    <x:row r="2787" ht="18" customHeight="1">
      <x:c r="A2787" t="str">
        <x:v>CA-2017-146724</x:v>
      </x:c>
      <x:c r="B2787" s="18" t="n">
        <x:v>43059</x:v>
      </x:c>
      <x:c r="C2787" t="str">
        <x:v>HG-15025</x:v>
      </x:c>
      <x:c r="D2787" t="str">
        <x:v>Hunter Glantz</x:v>
      </x:c>
      <x:c r="E2787" t="str">
        <x:v>Consumer</x:v>
      </x:c>
      <x:c r="F2787" t="str">
        <x:v>Central</x:v>
      </x:c>
      <x:c r="G2787" t="str">
        <x:v>Office Supplies</x:v>
      </x:c>
      <x:c r="H2787" t="str">
        <x:v>Art</x:v>
      </x:c>
      <x:c r="I2787" s="22" t="n">
        <x:v>22</x:v>
      </x:c>
      <x:c r="J2787" s="24" t="n">
        <x:v>10</x:v>
      </x:c>
      <x:c r="K2787" s="26" t="n">
        <x:v>0</x:v>
      </x:c>
      <x:c r="L2787" s="22" t="n">
        <x:v>9.680000000000001</x:v>
      </x:c>
      <x:c r="M2787" t="n">
        <x:v>2017</x:v>
      </x:c>
      <x:c r="N2787" s="20" t="n">
        <x:v>43040</x:v>
      </x:c>
    </x:row>
    <x:row r="2788" ht="18" customHeight="1">
      <x:c r="A2788" t="str">
        <x:v>CA-2016-139878</x:v>
      </x:c>
      <x:c r="B2788" s="18" t="n">
        <x:v>42685</x:v>
      </x:c>
      <x:c r="C2788" t="str">
        <x:v>LD-17005</x:v>
      </x:c>
      <x:c r="D2788" t="str">
        <x:v>Lisa DeCherney</x:v>
      </x:c>
      <x:c r="E2788" t="str">
        <x:v>Consumer</x:v>
      </x:c>
      <x:c r="F2788" t="str">
        <x:v>Central</x:v>
      </x:c>
      <x:c r="G2788" t="str">
        <x:v>Technology</x:v>
      </x:c>
      <x:c r="H2788" t="str">
        <x:v>Phones</x:v>
      </x:c>
      <x:c r="I2788" s="22" t="n">
        <x:v>257.98</x:v>
      </x:c>
      <x:c r="J2788" s="24" t="n">
        <x:v>2</x:v>
      </x:c>
      <x:c r="K2788" s="26" t="n">
        <x:v>0</x:v>
      </x:c>
      <x:c r="L2788" s="22" t="n">
        <x:v>74.8142</x:v>
      </x:c>
      <x:c r="M2788" t="n">
        <x:v>2016</x:v>
      </x:c>
      <x:c r="N2788" s="20" t="n">
        <x:v>42675</x:v>
      </x:c>
    </x:row>
    <x:row r="2789" ht="18" customHeight="1">
      <x:c r="A2789" t="str">
        <x:v>US-2016-106677</x:v>
      </x:c>
      <x:c r="B2789" s="18" t="n">
        <x:v>42679</x:v>
      </x:c>
      <x:c r="C2789" t="str">
        <x:v>AS-10285</x:v>
      </x:c>
      <x:c r="D2789" t="str">
        <x:v>Alejandro Savely</x:v>
      </x:c>
      <x:c r="E2789" t="str">
        <x:v>Corporate</x:v>
      </x:c>
      <x:c r="F2789" t="str">
        <x:v>East</x:v>
      </x:c>
      <x:c r="G2789" t="str">
        <x:v>Technology</x:v>
      </x:c>
      <x:c r="H2789" t="str">
        <x:v>Phones</x:v>
      </x:c>
      <x:c r="I2789" s="22" t="n">
        <x:v>23.987999999999996</x:v>
      </x:c>
      <x:c r="J2789" s="24" t="n">
        <x:v>2</x:v>
      </x:c>
      <x:c r="K2789" s="26" t="n">
        <x:v>0.4</x:v>
      </x:c>
      <x:c r="L2789" s="22" t="n">
        <x:v>-15.991999999999999</x:v>
      </x:c>
      <x:c r="M2789" t="n">
        <x:v>2016</x:v>
      </x:c>
      <x:c r="N2789" s="20" t="n">
        <x:v>42675</x:v>
      </x:c>
    </x:row>
    <x:row r="2790" ht="18" customHeight="1">
      <x:c r="A2790" t="str">
        <x:v>CA-2016-116974</x:v>
      </x:c>
      <x:c r="B2790" s="18" t="n">
        <x:v>42652</x:v>
      </x:c>
      <x:c r="C2790" t="str">
        <x:v>MP-17965</x:v>
      </x:c>
      <x:c r="D2790" t="str">
        <x:v>Michael Paige</x:v>
      </x:c>
      <x:c r="E2790" t="str">
        <x:v>Corporate</x:v>
      </x:c>
      <x:c r="F2790" t="str">
        <x:v>East</x:v>
      </x:c>
      <x:c r="G2790" t="str">
        <x:v>Technology</x:v>
      </x:c>
      <x:c r="H2790" t="str">
        <x:v>Phones</x:v>
      </x:c>
      <x:c r="I2790" s="22" t="n">
        <x:v>23.976</x:v>
      </x:c>
      <x:c r="J2790" s="24" t="n">
        <x:v>4</x:v>
      </x:c>
      <x:c r="K2790" s="26" t="n">
        <x:v>0.4</x:v>
      </x:c>
      <x:c r="L2790" s="22" t="n">
        <x:v>-15.584400000000002</x:v>
      </x:c>
      <x:c r="M2790" t="n">
        <x:v>2016</x:v>
      </x:c>
      <x:c r="N2790" s="20" t="n">
        <x:v>42644</x:v>
      </x:c>
    </x:row>
    <x:row r="2791" ht="18" customHeight="1">
      <x:c r="A2791" t="str">
        <x:v>CA-2015-149972</x:v>
      </x:c>
      <x:c r="B2791" s="18" t="n">
        <x:v>42268</x:v>
      </x:c>
      <x:c r="C2791" t="str">
        <x:v>CD-12790</x:v>
      </x:c>
      <x:c r="D2791" t="str">
        <x:v>Cynthia Delaney</x:v>
      </x:c>
      <x:c r="E2791" t="str">
        <x:v>Home Office</x:v>
      </x:c>
      <x:c r="F2791" t="str">
        <x:v>West</x:v>
      </x:c>
      <x:c r="G2791" t="str">
        <x:v>Furniture</x:v>
      </x:c>
      <x:c r="H2791" t="str">
        <x:v>Chairs</x:v>
      </x:c>
      <x:c r="I2791" s="22" t="n">
        <x:v>601.536</x:v>
      </x:c>
      <x:c r="J2791" s="24" t="n">
        <x:v>4</x:v>
      </x:c>
      <x:c r="K2791" s="26" t="n">
        <x:v>0.2</x:v>
      </x:c>
      <x:c r="L2791" s="22" t="n">
        <x:v>0</x:v>
      </x:c>
      <x:c r="M2791" t="n">
        <x:v>2015</x:v>
      </x:c>
      <x:c r="N2791" s="20" t="n">
        <x:v>42248</x:v>
      </x:c>
    </x:row>
    <x:row r="2792" ht="18" customHeight="1">
      <x:c r="A2792" t="str">
        <x:v>CA-2015-149972</x:v>
      </x:c>
      <x:c r="B2792" s="18" t="n">
        <x:v>42268</x:v>
      </x:c>
      <x:c r="C2792" t="str">
        <x:v>CD-12790</x:v>
      </x:c>
      <x:c r="D2792" t="str">
        <x:v>Cynthia Delaney</x:v>
      </x:c>
      <x:c r="E2792" t="str">
        <x:v>Home Office</x:v>
      </x:c>
      <x:c r="F2792" t="str">
        <x:v>West</x:v>
      </x:c>
      <x:c r="G2792" t="str">
        <x:v>Office Supplies</x:v>
      </x:c>
      <x:c r="H2792" t="str">
        <x:v>Fasteners</x:v>
      </x:c>
      <x:c r="I2792" s="22" t="n">
        <x:v>7.9</x:v>
      </x:c>
      <x:c r="J2792" s="24" t="n">
        <x:v>2</x:v>
      </x:c>
      <x:c r="K2792" s="26" t="n">
        <x:v>0</x:v>
      </x:c>
      <x:c r="L2792" s="22" t="n">
        <x:v>2.5279999999999996</x:v>
      </x:c>
      <x:c r="M2792" t="n">
        <x:v>2015</x:v>
      </x:c>
      <x:c r="N2792" s="20" t="n">
        <x:v>42248</x:v>
      </x:c>
    </x:row>
    <x:row r="2793" ht="18" customHeight="1">
      <x:c r="A2793" t="str">
        <x:v>US-2014-117744</x:v>
      </x:c>
      <x:c r="B2793" s="18" t="n">
        <x:v>41975</x:v>
      </x:c>
      <x:c r="C2793" t="str">
        <x:v>MD-17860</x:v>
      </x:c>
      <x:c r="D2793" t="str">
        <x:v>Michael Dominguez</x:v>
      </x:c>
      <x:c r="E2793" t="str">
        <x:v>Corporate</x:v>
      </x:c>
      <x:c r="F2793" t="str">
        <x:v>Central</x:v>
      </x:c>
      <x:c r="G2793" t="str">
        <x:v>Furniture</x:v>
      </x:c>
      <x:c r="H2793" t="str">
        <x:v>Furnishings</x:v>
      </x:c>
      <x:c r="I2793" s="22" t="n">
        <x:v>58.36</x:v>
      </x:c>
      <x:c r="J2793" s="24" t="n">
        <x:v>5</x:v>
      </x:c>
      <x:c r="K2793" s="26" t="n">
        <x:v>0.6</x:v>
      </x:c>
      <x:c r="L2793" s="22" t="n">
        <x:v>-24.802999999999997</x:v>
      </x:c>
      <x:c r="M2793" t="n">
        <x:v>2014</x:v>
      </x:c>
      <x:c r="N2793" s="20" t="n">
        <x:v>41974</x:v>
      </x:c>
    </x:row>
    <x:row r="2794" ht="18" customHeight="1">
      <x:c r="A2794" t="str">
        <x:v>US-2014-117744</x:v>
      </x:c>
      <x:c r="B2794" s="18" t="n">
        <x:v>41975</x:v>
      </x:c>
      <x:c r="C2794" t="str">
        <x:v>MD-17860</x:v>
      </x:c>
      <x:c r="D2794" t="str">
        <x:v>Michael Dominguez</x:v>
      </x:c>
      <x:c r="E2794" t="str">
        <x:v>Corporate</x:v>
      </x:c>
      <x:c r="F2794" t="str">
        <x:v>Central</x:v>
      </x:c>
      <x:c r="G2794" t="str">
        <x:v>Office Supplies</x:v>
      </x:c>
      <x:c r="H2794" t="str">
        <x:v>Art</x:v>
      </x:c>
      <x:c r="I2794" s="22" t="n">
        <x:v>16.464</x:v>
      </x:c>
      <x:c r="J2794" s="24" t="n">
        <x:v>7</x:v>
      </x:c>
      <x:c r="K2794" s="26" t="n">
        <x:v>0.2</x:v>
      </x:c>
      <x:c r="L2794" s="22" t="n">
        <x:v>1.4406000000000008</x:v>
      </x:c>
      <x:c r="M2794" t="n">
        <x:v>2014</x:v>
      </x:c>
      <x:c r="N2794" s="20" t="n">
        <x:v>41974</x:v>
      </x:c>
    </x:row>
    <x:row r="2795" ht="18" customHeight="1">
      <x:c r="A2795" t="str">
        <x:v>US-2014-117744</x:v>
      </x:c>
      <x:c r="B2795" s="18" t="n">
        <x:v>41975</x:v>
      </x:c>
      <x:c r="C2795" t="str">
        <x:v>MD-17860</x:v>
      </x:c>
      <x:c r="D2795" t="str">
        <x:v>Michael Dominguez</x:v>
      </x:c>
      <x:c r="E2795" t="str">
        <x:v>Corporate</x:v>
      </x:c>
      <x:c r="F2795" t="str">
        <x:v>Central</x:v>
      </x:c>
      <x:c r="G2795" t="str">
        <x:v>Furniture</x:v>
      </x:c>
      <x:c r="H2795" t="str">
        <x:v>Furnishings</x:v>
      </x:c>
      <x:c r="I2795" s="22" t="n">
        <x:v>39.96000000000001</x:v>
      </x:c>
      <x:c r="J2795" s="24" t="n">
        <x:v>5</x:v>
      </x:c>
      <x:c r="K2795" s="26" t="n">
        <x:v>0.6</x:v>
      </x:c>
      <x:c r="L2795" s="22" t="n">
        <x:v>-23.976</x:v>
      </x:c>
      <x:c r="M2795" t="n">
        <x:v>2014</x:v>
      </x:c>
      <x:c r="N2795" s="20" t="n">
        <x:v>41974</x:v>
      </x:c>
    </x:row>
    <x:row r="2796" ht="18" customHeight="1">
      <x:c r="A2796" t="str">
        <x:v>CA-2014-125514</x:v>
      </x:c>
      <x:c r="B2796" s="18" t="n">
        <x:v>41903</x:v>
      </x:c>
      <x:c r="C2796" t="str">
        <x:v>BM-11650</x:v>
      </x:c>
      <x:c r="D2796" t="str">
        <x:v>Brian Moss</x:v>
      </x:c>
      <x:c r="E2796" t="str">
        <x:v>Corporate</x:v>
      </x:c>
      <x:c r="F2796" t="str">
        <x:v>Central</x:v>
      </x:c>
      <x:c r="G2796" t="str">
        <x:v>Office Supplies</x:v>
      </x:c>
      <x:c r="H2796" t="str">
        <x:v>Appliances</x:v>
      </x:c>
      <x:c r="I2796" s="22" t="n">
        <x:v>25.96</x:v>
      </x:c>
      <x:c r="J2796" s="24" t="n">
        <x:v>2</x:v>
      </x:c>
      <x:c r="K2796" s="26" t="n">
        <x:v>0</x:v>
      </x:c>
      <x:c r="L2796" s="22" t="n">
        <x:v>7.528399999999998</x:v>
      </x:c>
      <x:c r="M2796" t="n">
        <x:v>2014</x:v>
      </x:c>
      <x:c r="N2796" s="20" t="n">
        <x:v>41883</x:v>
      </x:c>
    </x:row>
    <x:row r="2797" ht="18" customHeight="1">
      <x:c r="A2797" t="str">
        <x:v>CA-2014-125514</x:v>
      </x:c>
      <x:c r="B2797" s="18" t="n">
        <x:v>41903</x:v>
      </x:c>
      <x:c r="C2797" t="str">
        <x:v>BM-11650</x:v>
      </x:c>
      <x:c r="D2797" t="str">
        <x:v>Brian Moss</x:v>
      </x:c>
      <x:c r="E2797" t="str">
        <x:v>Corporate</x:v>
      </x:c>
      <x:c r="F2797" t="str">
        <x:v>Central</x:v>
      </x:c>
      <x:c r="G2797" t="str">
        <x:v>Office Supplies</x:v>
      </x:c>
      <x:c r="H2797" t="str">
        <x:v>Appliances</x:v>
      </x:c>
      <x:c r="I2797" s="22" t="n">
        <x:v>36.269999999999996</x:v>
      </x:c>
      <x:c r="J2797" s="24" t="n">
        <x:v>3</x:v>
      </x:c>
      <x:c r="K2797" s="26" t="n">
        <x:v>0</x:v>
      </x:c>
      <x:c r="L2797" s="22" t="n">
        <x:v>10.880999999999997</x:v>
      </x:c>
      <x:c r="M2797" t="n">
        <x:v>2014</x:v>
      </x:c>
      <x:c r="N2797" s="20" t="n">
        <x:v>41883</x:v>
      </x:c>
    </x:row>
    <x:row r="2798" ht="18" customHeight="1">
      <x:c r="A2798" t="str">
        <x:v>CA-2014-125514</x:v>
      </x:c>
      <x:c r="B2798" s="18" t="n">
        <x:v>41903</x:v>
      </x:c>
      <x:c r="C2798" t="str">
        <x:v>BM-11650</x:v>
      </x:c>
      <x:c r="D2798" t="str">
        <x:v>Brian Moss</x:v>
      </x:c>
      <x:c r="E2798" t="str">
        <x:v>Corporate</x:v>
      </x:c>
      <x:c r="F2798" t="str">
        <x:v>Central</x:v>
      </x:c>
      <x:c r="G2798" t="str">
        <x:v>Office Supplies</x:v>
      </x:c>
      <x:c r="H2798" t="str">
        <x:v>Paper</x:v>
      </x:c>
      <x:c r="I2798" s="22" t="n">
        <x:v>6.48</x:v>
      </x:c>
      <x:c r="J2798" s="24" t="n">
        <x:v>1</x:v>
      </x:c>
      <x:c r="K2798" s="26" t="n">
        <x:v>0</x:v>
      </x:c>
      <x:c r="L2798" s="22" t="n">
        <x:v>3.1104000000000003</x:v>
      </x:c>
      <x:c r="M2798" t="n">
        <x:v>2014</x:v>
      </x:c>
      <x:c r="N2798" s="20" t="n">
        <x:v>41883</x:v>
      </x:c>
    </x:row>
    <x:row r="2799" ht="18" customHeight="1">
      <x:c r="A2799" t="str">
        <x:v>CA-2014-154599</x:v>
      </x:c>
      <x:c r="B2799" s="18" t="n">
        <x:v>41741</x:v>
      </x:c>
      <x:c r="C2799" t="str">
        <x:v>KN-16450</x:v>
      </x:c>
      <x:c r="D2799" t="str">
        <x:v>Kean Nguyen</x:v>
      </x:c>
      <x:c r="E2799" t="str">
        <x:v>Corporate</x:v>
      </x:c>
      <x:c r="F2799" t="str">
        <x:v>West</x:v>
      </x:c>
      <x:c r="G2799" t="str">
        <x:v>Technology</x:v>
      </x:c>
      <x:c r="H2799" t="str">
        <x:v>Phones</x:v>
      </x:c>
      <x:c r="I2799" s="22" t="n">
        <x:v>1075.088</x:v>
      </x:c>
      <x:c r="J2799" s="24" t="n">
        <x:v>14</x:v>
      </x:c>
      <x:c r="K2799" s="26" t="n">
        <x:v>0.2</x:v>
      </x:c>
      <x:c r="L2799" s="22" t="n">
        <x:v>94.07019999999994</x:v>
      </x:c>
      <x:c r="M2799" t="n">
        <x:v>2014</x:v>
      </x:c>
      <x:c r="N2799" s="20" t="n">
        <x:v>41730</x:v>
      </x:c>
    </x:row>
    <x:row r="2800" ht="18" customHeight="1">
      <x:c r="A2800" t="str">
        <x:v>CA-2014-154599</x:v>
      </x:c>
      <x:c r="B2800" s="18" t="n">
        <x:v>41741</x:v>
      </x:c>
      <x:c r="C2800" t="str">
        <x:v>KN-16450</x:v>
      </x:c>
      <x:c r="D2800" t="str">
        <x:v>Kean Nguyen</x:v>
      </x:c>
      <x:c r="E2800" t="str">
        <x:v>Corporate</x:v>
      </x:c>
      <x:c r="F2800" t="str">
        <x:v>West</x:v>
      </x:c>
      <x:c r="G2800" t="str">
        <x:v>Technology</x:v>
      </x:c>
      <x:c r="H2800" t="str">
        <x:v>Phones</x:v>
      </x:c>
      <x:c r="I2800" s="22" t="n">
        <x:v>438.36800000000005</x:v>
      </x:c>
      <x:c r="J2800" s="24" t="n">
        <x:v>4</x:v>
      </x:c>
      <x:c r="K2800" s="26" t="n">
        <x:v>0.2</x:v>
      </x:c>
      <x:c r="L2800" s="22" t="n">
        <x:v>38.357200000000006</x:v>
      </x:c>
      <x:c r="M2800" t="n">
        <x:v>2014</x:v>
      </x:c>
      <x:c r="N2800" s="20" t="n">
        <x:v>41730</x:v>
      </x:c>
    </x:row>
    <x:row r="2801" ht="18" customHeight="1">
      <x:c r="A2801" t="str">
        <x:v>CA-2014-154599</x:v>
      </x:c>
      <x:c r="B2801" s="18" t="n">
        <x:v>41741</x:v>
      </x:c>
      <x:c r="C2801" t="str">
        <x:v>KN-16450</x:v>
      </x:c>
      <x:c r="D2801" t="str">
        <x:v>Kean Nguyen</x:v>
      </x:c>
      <x:c r="E2801" t="str">
        <x:v>Corporate</x:v>
      </x:c>
      <x:c r="F2801" t="str">
        <x:v>West</x:v>
      </x:c>
      <x:c r="G2801" t="str">
        <x:v>Office Supplies</x:v>
      </x:c>
      <x:c r="H2801" t="str">
        <x:v>Binders</x:v>
      </x:c>
      <x:c r="I2801" s="22" t="n">
        <x:v>18.088</x:v>
      </x:c>
      <x:c r="J2801" s="24" t="n">
        <x:v>7</x:v>
      </x:c>
      <x:c r="K2801" s="26" t="n">
        <x:v>0.2</x:v>
      </x:c>
      <x:c r="L2801" s="22" t="n">
        <x:v>6.556900000000001</x:v>
      </x:c>
      <x:c r="M2801" t="n">
        <x:v>2014</x:v>
      </x:c>
      <x:c r="N2801" s="20" t="n">
        <x:v>41730</x:v>
      </x:c>
    </x:row>
    <x:row r="2802" ht="18" customHeight="1">
      <x:c r="A2802" t="str">
        <x:v>CA-2014-154599</x:v>
      </x:c>
      <x:c r="B2802" s="18" t="n">
        <x:v>41741</x:v>
      </x:c>
      <x:c r="C2802" t="str">
        <x:v>KN-16450</x:v>
      </x:c>
      <x:c r="D2802" t="str">
        <x:v>Kean Nguyen</x:v>
      </x:c>
      <x:c r="E2802" t="str">
        <x:v>Corporate</x:v>
      </x:c>
      <x:c r="F2802" t="str">
        <x:v>West</x:v>
      </x:c>
      <x:c r="G2802" t="str">
        <x:v>Furniture</x:v>
      </x:c>
      <x:c r="H2802" t="str">
        <x:v>Bookcases</x:v>
      </x:c>
      <x:c r="I2802" s="22" t="n">
        <x:v>308.499</x:v>
      </x:c>
      <x:c r="J2802" s="24" t="n">
        <x:v>3</x:v>
      </x:c>
      <x:c r="K2802" s="26" t="n">
        <x:v>0.15</x:v>
      </x:c>
      <x:c r="L2802" s="22" t="n">
        <x:v>-18.147</x:v>
      </x:c>
      <x:c r="M2802" t="n">
        <x:v>2014</x:v>
      </x:c>
      <x:c r="N2802" s="20" t="n">
        <x:v>41730</x:v>
      </x:c>
    </x:row>
    <x:row r="2803" ht="18" customHeight="1">
      <x:c r="A2803" t="str">
        <x:v>CA-2017-158743</x:v>
      </x:c>
      <x:c r="B2803" s="18" t="n">
        <x:v>43028</x:v>
      </x:c>
      <x:c r="C2803" t="str">
        <x:v>IG-15085</x:v>
      </x:c>
      <x:c r="D2803" t="str">
        <x:v>Ivan Gibson</x:v>
      </x:c>
      <x:c r="E2803" t="str">
        <x:v>Consumer</x:v>
      </x:c>
      <x:c r="F2803" t="str">
        <x:v>South</x:v>
      </x:c>
      <x:c r="G2803" t="str">
        <x:v>Office Supplies</x:v>
      </x:c>
      <x:c r="H2803" t="str">
        <x:v>Art</x:v>
      </x:c>
      <x:c r="I2803" s="22" t="n">
        <x:v>13.36</x:v>
      </x:c>
      <x:c r="J2803" s="24" t="n">
        <x:v>4</x:v>
      </x:c>
      <x:c r="K2803" s="26" t="n">
        <x:v>0</x:v>
      </x:c>
      <x:c r="L2803" s="22" t="n">
        <x:v>4.141599999999999</x:v>
      </x:c>
      <x:c r="M2803" t="n">
        <x:v>2017</x:v>
      </x:c>
      <x:c r="N2803" s="20" t="n">
        <x:v>43009</x:v>
      </x:c>
    </x:row>
    <x:row r="2804" ht="18" customHeight="1">
      <x:c r="A2804" t="str">
        <x:v>CA-2017-158743</x:v>
      </x:c>
      <x:c r="B2804" s="18" t="n">
        <x:v>43028</x:v>
      </x:c>
      <x:c r="C2804" t="str">
        <x:v>IG-15085</x:v>
      </x:c>
      <x:c r="D2804" t="str">
        <x:v>Ivan Gibson</x:v>
      </x:c>
      <x:c r="E2804" t="str">
        <x:v>Consumer</x:v>
      </x:c>
      <x:c r="F2804" t="str">
        <x:v>South</x:v>
      </x:c>
      <x:c r="G2804" t="str">
        <x:v>Office Supplies</x:v>
      </x:c>
      <x:c r="H2804" t="str">
        <x:v>Paper</x:v>
      </x:c>
      <x:c r="I2804" s="22" t="n">
        <x:v>39.96</x:v>
      </x:c>
      <x:c r="J2804" s="24" t="n">
        <x:v>2</x:v>
      </x:c>
      <x:c r="K2804" s="26" t="n">
        <x:v>0</x:v>
      </x:c>
      <x:c r="L2804" s="22" t="n">
        <x:v>18.7812</x:v>
      </x:c>
      <x:c r="M2804" t="n">
        <x:v>2017</x:v>
      </x:c>
      <x:c r="N2804" s="20" t="n">
        <x:v>43009</x:v>
      </x:c>
    </x:row>
    <x:row r="2805" ht="18" customHeight="1">
      <x:c r="A2805" t="str">
        <x:v>CA-2017-158743</x:v>
      </x:c>
      <x:c r="B2805" s="18" t="n">
        <x:v>43028</x:v>
      </x:c>
      <x:c r="C2805" t="str">
        <x:v>IG-15085</x:v>
      </x:c>
      <x:c r="D2805" t="str">
        <x:v>Ivan Gibson</x:v>
      </x:c>
      <x:c r="E2805" t="str">
        <x:v>Consumer</x:v>
      </x:c>
      <x:c r="F2805" t="str">
        <x:v>South</x:v>
      </x:c>
      <x:c r="G2805" t="str">
        <x:v>Office Supplies</x:v>
      </x:c>
      <x:c r="H2805" t="str">
        <x:v>Binders</x:v>
      </x:c>
      <x:c r="I2805" s="22" t="n">
        <x:v>145.85000000000002</x:v>
      </x:c>
      <x:c r="J2805" s="24" t="n">
        <x:v>5</x:v>
      </x:c>
      <x:c r="K2805" s="26" t="n">
        <x:v>0</x:v>
      </x:c>
      <x:c r="L2805" s="22" t="n">
        <x:v>70.008</x:v>
      </x:c>
      <x:c r="M2805" t="n">
        <x:v>2017</x:v>
      </x:c>
      <x:c r="N2805" s="20" t="n">
        <x:v>43009</x:v>
      </x:c>
    </x:row>
    <x:row r="2806" ht="18" customHeight="1">
      <x:c r="A2806" t="str">
        <x:v>CA-2016-153318</x:v>
      </x:c>
      <x:c r="B2806" s="18" t="n">
        <x:v>42668</x:v>
      </x:c>
      <x:c r="C2806" t="str">
        <x:v>JS-15595</x:v>
      </x:c>
      <x:c r="D2806" t="str">
        <x:v>Jill Stevenson</x:v>
      </x:c>
      <x:c r="E2806" t="str">
        <x:v>Corporate</x:v>
      </x:c>
      <x:c r="F2806" t="str">
        <x:v>South</x:v>
      </x:c>
      <x:c r="G2806" t="str">
        <x:v>Technology</x:v>
      </x:c>
      <x:c r="H2806" t="str">
        <x:v>Phones</x:v>
      </x:c>
      <x:c r="I2806" s="22" t="n">
        <x:v>783.9600000000002</x:v>
      </x:c>
      <x:c r="J2806" s="24" t="n">
        <x:v>5</x:v>
      </x:c>
      <x:c r="K2806" s="26" t="n">
        <x:v>0.2</x:v>
      </x:c>
      <x:c r="L2806" s="22" t="n">
        <x:v>78.39600000000004</x:v>
      </x:c>
      <x:c r="M2806" t="n">
        <x:v>2016</x:v>
      </x:c>
      <x:c r="N2806" s="20" t="n">
        <x:v>42644</x:v>
      </x:c>
    </x:row>
    <x:row r="2807" ht="18" customHeight="1">
      <x:c r="A2807" t="str">
        <x:v>US-2015-110163</x:v>
      </x:c>
      <x:c r="B2807" s="18" t="n">
        <x:v>42309</x:v>
      </x:c>
      <x:c r="C2807" t="str">
        <x:v>GA-14725</x:v>
      </x:c>
      <x:c r="D2807" t="str">
        <x:v>Guy Armstrong</x:v>
      </x:c>
      <x:c r="E2807" t="str">
        <x:v>Consumer</x:v>
      </x:c>
      <x:c r="F2807" t="str">
        <x:v>West</x:v>
      </x:c>
      <x:c r="G2807" t="str">
        <x:v>Office Supplies</x:v>
      </x:c>
      <x:c r="H2807" t="str">
        <x:v>Art</x:v>
      </x:c>
      <x:c r="I2807" s="22" t="n">
        <x:v>7.88</x:v>
      </x:c>
      <x:c r="J2807" s="24" t="n">
        <x:v>1</x:v>
      </x:c>
      <x:c r="K2807" s="26" t="n">
        <x:v>0.2</x:v>
      </x:c>
      <x:c r="L2807" s="22" t="n">
        <x:v>1.7730000000000004</x:v>
      </x:c>
      <x:c r="M2807" t="n">
        <x:v>2015</x:v>
      </x:c>
      <x:c r="N2807" s="20" t="n">
        <x:v>42309</x:v>
      </x:c>
    </x:row>
    <x:row r="2808" ht="18" customHeight="1">
      <x:c r="A2808" t="str">
        <x:v>CA-2017-143329</x:v>
      </x:c>
      <x:c r="B2808" s="18" t="n">
        <x:v>43042</x:v>
      </x:c>
      <x:c r="C2808" t="str">
        <x:v>DL-13330</x:v>
      </x:c>
      <x:c r="D2808" t="str">
        <x:v>Denise Leinenbach</x:v>
      </x:c>
      <x:c r="E2808" t="str">
        <x:v>Consumer</x:v>
      </x:c>
      <x:c r="F2808" t="str">
        <x:v>West</x:v>
      </x:c>
      <x:c r="G2808" t="str">
        <x:v>Furniture</x:v>
      </x:c>
      <x:c r="H2808" t="str">
        <x:v>Furnishings</x:v>
      </x:c>
      <x:c r="I2808" s="22" t="n">
        <x:v>41.37</x:v>
      </x:c>
      <x:c r="J2808" s="24" t="n">
        <x:v>3</x:v>
      </x:c>
      <x:c r="K2808" s="26" t="n">
        <x:v>0</x:v>
      </x:c>
      <x:c r="L2808" s="22" t="n">
        <x:v>17.3754</x:v>
      </x:c>
      <x:c r="M2808" t="n">
        <x:v>2017</x:v>
      </x:c>
      <x:c r="N2808" s="20" t="n">
        <x:v>43040</x:v>
      </x:c>
    </x:row>
    <x:row r="2809" ht="18" customHeight="1">
      <x:c r="A2809" t="str">
        <x:v>CA-2015-159380</x:v>
      </x:c>
      <x:c r="B2809" s="18" t="n">
        <x:v>42136</x:v>
      </x:c>
      <x:c r="C2809" t="str">
        <x:v>CS-12505</x:v>
      </x:c>
      <x:c r="D2809" t="str">
        <x:v>Cindy Stewart</x:v>
      </x:c>
      <x:c r="E2809" t="str">
        <x:v>Consumer</x:v>
      </x:c>
      <x:c r="F2809" t="str">
        <x:v>West</x:v>
      </x:c>
      <x:c r="G2809" t="str">
        <x:v>Office Supplies</x:v>
      </x:c>
      <x:c r="H2809" t="str">
        <x:v>Paper</x:v>
      </x:c>
      <x:c r="I2809" s="22" t="n">
        <x:v>12.84</x:v>
      </x:c>
      <x:c r="J2809" s="24" t="n">
        <x:v>3</x:v>
      </x:c>
      <x:c r="K2809" s="26" t="n">
        <x:v>0</x:v>
      </x:c>
      <x:c r="L2809" s="22" t="n">
        <x:v>5.777999999999999</x:v>
      </x:c>
      <x:c r="M2809" t="n">
        <x:v>2015</x:v>
      </x:c>
      <x:c r="N2809" s="20" t="n">
        <x:v>42125</x:v>
      </x:c>
    </x:row>
    <x:row r="2810" ht="18" customHeight="1">
      <x:c r="A2810" t="str">
        <x:v>CA-2015-159380</x:v>
      </x:c>
      <x:c r="B2810" s="18" t="n">
        <x:v>42136</x:v>
      </x:c>
      <x:c r="C2810" t="str">
        <x:v>CS-12505</x:v>
      </x:c>
      <x:c r="D2810" t="str">
        <x:v>Cindy Stewart</x:v>
      </x:c>
      <x:c r="E2810" t="str">
        <x:v>Consumer</x:v>
      </x:c>
      <x:c r="F2810" t="str">
        <x:v>West</x:v>
      </x:c>
      <x:c r="G2810" t="str">
        <x:v>Office Supplies</x:v>
      </x:c>
      <x:c r="H2810" t="str">
        <x:v>Paper</x:v>
      </x:c>
      <x:c r="I2810" s="22" t="n">
        <x:v>25.68</x:v>
      </x:c>
      <x:c r="J2810" s="24" t="n">
        <x:v>6</x:v>
      </x:c>
      <x:c r="K2810" s="26" t="n">
        <x:v>0</x:v>
      </x:c>
      <x:c r="L2810" s="22" t="n">
        <x:v>11.555999999999997</x:v>
      </x:c>
      <x:c r="M2810" t="n">
        <x:v>2015</x:v>
      </x:c>
      <x:c r="N2810" s="20" t="n">
        <x:v>42125</x:v>
      </x:c>
    </x:row>
    <x:row r="2811" ht="18" customHeight="1">
      <x:c r="A2811" t="str">
        <x:v>CA-2015-122623</x:v>
      </x:c>
      <x:c r="B2811" s="18" t="n">
        <x:v>42254</x:v>
      </x:c>
      <x:c r="C2811" t="str">
        <x:v>CC-12145</x:v>
      </x:c>
      <x:c r="D2811" t="str">
        <x:v>Charles Crestani</x:v>
      </x:c>
      <x:c r="E2811" t="str">
        <x:v>Consumer</x:v>
      </x:c>
      <x:c r="F2811" t="str">
        <x:v>Central</x:v>
      </x:c>
      <x:c r="G2811" t="str">
        <x:v>Furniture</x:v>
      </x:c>
      <x:c r="H2811" t="str">
        <x:v>Chairs</x:v>
      </x:c>
      <x:c r="I2811" s="22" t="n">
        <x:v>47.51599999999999</x:v>
      </x:c>
      <x:c r="J2811" s="24" t="n">
        <x:v>2</x:v>
      </x:c>
      <x:c r="K2811" s="26" t="n">
        <x:v>0.3</x:v>
      </x:c>
      <x:c r="L2811" s="22" t="n">
        <x:v>-2.0364000000000004</x:v>
      </x:c>
      <x:c r="M2811" t="n">
        <x:v>2015</x:v>
      </x:c>
      <x:c r="N2811" s="20" t="n">
        <x:v>42248</x:v>
      </x:c>
    </x:row>
    <x:row r="2812" ht="18" customHeight="1">
      <x:c r="A2812" t="str">
        <x:v>CA-2015-148635</x:v>
      </x:c>
      <x:c r="B2812" s="18" t="n">
        <x:v>42210</x:v>
      </x:c>
      <x:c r="C2812" t="str">
        <x:v>MH-18025</x:v>
      </x:c>
      <x:c r="D2812" t="str">
        <x:v>Michelle Huthwaite</x:v>
      </x:c>
      <x:c r="E2812" t="str">
        <x:v>Consumer</x:v>
      </x:c>
      <x:c r="F2812" t="str">
        <x:v>West</x:v>
      </x:c>
      <x:c r="G2812" t="str">
        <x:v>Office Supplies</x:v>
      </x:c>
      <x:c r="H2812" t="str">
        <x:v>Fasteners</x:v>
      </x:c>
      <x:c r="I2812" s="22" t="n">
        <x:v>9.42</x:v>
      </x:c>
      <x:c r="J2812" s="24" t="n">
        <x:v>2</x:v>
      </x:c>
      <x:c r="K2812" s="26" t="n">
        <x:v>0</x:v>
      </x:c>
      <x:c r="L2812" s="22" t="n">
        <x:v>0.4710000000000001</x:v>
      </x:c>
      <x:c r="M2812" t="n">
        <x:v>2015</x:v>
      </x:c>
      <x:c r="N2812" s="20" t="n">
        <x:v>42186</x:v>
      </x:c>
    </x:row>
    <x:row r="2813" ht="18" customHeight="1">
      <x:c r="A2813" t="str">
        <x:v>CA-2015-148635</x:v>
      </x:c>
      <x:c r="B2813" s="18" t="n">
        <x:v>42210</x:v>
      </x:c>
      <x:c r="C2813" t="str">
        <x:v>MH-18025</x:v>
      </x:c>
      <x:c r="D2813" t="str">
        <x:v>Michelle Huthwaite</x:v>
      </x:c>
      <x:c r="E2813" t="str">
        <x:v>Consumer</x:v>
      </x:c>
      <x:c r="F2813" t="str">
        <x:v>West</x:v>
      </x:c>
      <x:c r="G2813" t="str">
        <x:v>Office Supplies</x:v>
      </x:c>
      <x:c r="H2813" t="str">
        <x:v>Paper</x:v>
      </x:c>
      <x:c r="I2813" s="22" t="n">
        <x:v>12.96</x:v>
      </x:c>
      <x:c r="J2813" s="24" t="n">
        <x:v>2</x:v>
      </x:c>
      <x:c r="K2813" s="26" t="n">
        <x:v>0</x:v>
      </x:c>
      <x:c r="L2813" s="22" t="n">
        <x:v>6.2208000000000006</x:v>
      </x:c>
      <x:c r="M2813" t="n">
        <x:v>2015</x:v>
      </x:c>
      <x:c r="N2813" s="20" t="n">
        <x:v>42186</x:v>
      </x:c>
    </x:row>
    <x:row r="2814" ht="18" customHeight="1">
      <x:c r="A2814" t="str">
        <x:v>CA-2015-148635</x:v>
      </x:c>
      <x:c r="B2814" s="18" t="n">
        <x:v>42210</x:v>
      </x:c>
      <x:c r="C2814" t="str">
        <x:v>MH-18025</x:v>
      </x:c>
      <x:c r="D2814" t="str">
        <x:v>Michelle Huthwaite</x:v>
      </x:c>
      <x:c r="E2814" t="str">
        <x:v>Consumer</x:v>
      </x:c>
      <x:c r="F2814" t="str">
        <x:v>West</x:v>
      </x:c>
      <x:c r="G2814" t="str">
        <x:v>Furniture</x:v>
      </x:c>
      <x:c r="H2814" t="str">
        <x:v>Bookcases</x:v>
      </x:c>
      <x:c r="I2814" s="22" t="n">
        <x:v>704.9</x:v>
      </x:c>
      <x:c r="J2814" s="24" t="n">
        <x:v>5</x:v>
      </x:c>
      <x:c r="K2814" s="26" t="n">
        <x:v>0</x:v>
      </x:c>
      <x:c r="L2814" s="22" t="n">
        <x:v>56.392000000000024</x:v>
      </x:c>
      <x:c r="M2814" t="n">
        <x:v>2015</x:v>
      </x:c>
      <x:c r="N2814" s="20" t="n">
        <x:v>42186</x:v>
      </x:c>
    </x:row>
    <x:row r="2815" ht="18" customHeight="1">
      <x:c r="A2815" t="str">
        <x:v>CA-2015-148635</x:v>
      </x:c>
      <x:c r="B2815" s="18" t="n">
        <x:v>42210</x:v>
      </x:c>
      <x:c r="C2815" t="str">
        <x:v>MH-18025</x:v>
      </x:c>
      <x:c r="D2815" t="str">
        <x:v>Michelle Huthwaite</x:v>
      </x:c>
      <x:c r="E2815" t="str">
        <x:v>Consumer</x:v>
      </x:c>
      <x:c r="F2815" t="str">
        <x:v>West</x:v>
      </x:c>
      <x:c r="G2815" t="str">
        <x:v>Furniture</x:v>
      </x:c>
      <x:c r="H2815" t="str">
        <x:v>Chairs</x:v>
      </x:c>
      <x:c r="I2815" s="22" t="n">
        <x:v>561.5680000000001</x:v>
      </x:c>
      <x:c r="J2815" s="24" t="n">
        <x:v>2</x:v>
      </x:c>
      <x:c r="K2815" s="26" t="n">
        <x:v>0.2</x:v>
      </x:c>
      <x:c r="L2815" s="22" t="n">
        <x:v>28.078400000000016</x:v>
      </x:c>
      <x:c r="M2815" t="n">
        <x:v>2015</x:v>
      </x:c>
      <x:c r="N2815" s="20" t="n">
        <x:v>42186</x:v>
      </x:c>
    </x:row>
    <x:row r="2816" ht="18" customHeight="1">
      <x:c r="A2816" t="str">
        <x:v>CA-2015-135685</x:v>
      </x:c>
      <x:c r="B2816" s="18" t="n">
        <x:v>42324</x:v>
      </x:c>
      <x:c r="C2816" t="str">
        <x:v>MP-18175</x:v>
      </x:c>
      <x:c r="D2816" t="str">
        <x:v>Mike Pelletier</x:v>
      </x:c>
      <x:c r="E2816" t="str">
        <x:v>Home Office</x:v>
      </x:c>
      <x:c r="F2816" t="str">
        <x:v>Central</x:v>
      </x:c>
      <x:c r="G2816" t="str">
        <x:v>Office Supplies</x:v>
      </x:c>
      <x:c r="H2816" t="str">
        <x:v>Paper</x:v>
      </x:c>
      <x:c r="I2816" s="22" t="n">
        <x:v>179.82</x:v>
      </x:c>
      <x:c r="J2816" s="24" t="n">
        <x:v>9</x:v>
      </x:c>
      <x:c r="K2816" s="26" t="n">
        <x:v>0</x:v>
      </x:c>
      <x:c r="L2816" s="22" t="n">
        <x:v>84.5154</x:v>
      </x:c>
      <x:c r="M2816" t="n">
        <x:v>2015</x:v>
      </x:c>
      <x:c r="N2816" s="20" t="n">
        <x:v>42309</x:v>
      </x:c>
    </x:row>
    <x:row r="2817" ht="18" customHeight="1">
      <x:c r="A2817" t="str">
        <x:v>CA-2015-135685</x:v>
      </x:c>
      <x:c r="B2817" s="18" t="n">
        <x:v>42324</x:v>
      </x:c>
      <x:c r="C2817" t="str">
        <x:v>MP-18175</x:v>
      </x:c>
      <x:c r="D2817" t="str">
        <x:v>Mike Pelletier</x:v>
      </x:c>
      <x:c r="E2817" t="str">
        <x:v>Home Office</x:v>
      </x:c>
      <x:c r="F2817" t="str">
        <x:v>Central</x:v>
      </x:c>
      <x:c r="G2817" t="str">
        <x:v>Furniture</x:v>
      </x:c>
      <x:c r="H2817" t="str">
        <x:v>Furnishings</x:v>
      </x:c>
      <x:c r="I2817" s="22" t="n">
        <x:v>185.57999999999998</x:v>
      </x:c>
      <x:c r="J2817" s="24" t="n">
        <x:v>6</x:v>
      </x:c>
      <x:c r="K2817" s="26" t="n">
        <x:v>0</x:v>
      </x:c>
      <x:c r="L2817" s="22" t="n">
        <x:v>76.0878</x:v>
      </x:c>
      <x:c r="M2817" t="n">
        <x:v>2015</x:v>
      </x:c>
      <x:c r="N2817" s="20" t="n">
        <x:v>42309</x:v>
      </x:c>
    </x:row>
    <x:row r="2818" ht="18" customHeight="1">
      <x:c r="A2818" t="str">
        <x:v>CA-2015-135685</x:v>
      </x:c>
      <x:c r="B2818" s="18" t="n">
        <x:v>42324</x:v>
      </x:c>
      <x:c r="C2818" t="str">
        <x:v>MP-18175</x:v>
      </x:c>
      <x:c r="D2818" t="str">
        <x:v>Mike Pelletier</x:v>
      </x:c>
      <x:c r="E2818" t="str">
        <x:v>Home Office</x:v>
      </x:c>
      <x:c r="F2818" t="str">
        <x:v>Central</x:v>
      </x:c>
      <x:c r="G2818" t="str">
        <x:v>Furniture</x:v>
      </x:c>
      <x:c r="H2818" t="str">
        <x:v>Tables</x:v>
      </x:c>
      <x:c r="I2818" s="22" t="n">
        <x:v>214.11</x:v>
      </x:c>
      <x:c r="J2818" s="24" t="n">
        <x:v>3</x:v>
      </x:c>
      <x:c r="K2818" s="26" t="n">
        <x:v>0</x:v>
      </x:c>
      <x:c r="L2818" s="22" t="n">
        <x:v>36.39869999999998</x:v>
      </x:c>
      <x:c r="M2818" t="n">
        <x:v>2015</x:v>
      </x:c>
      <x:c r="N2818" s="20" t="n">
        <x:v>42309</x:v>
      </x:c>
    </x:row>
    <x:row r="2819" ht="18" customHeight="1">
      <x:c r="A2819" t="str">
        <x:v>CA-2015-135685</x:v>
      </x:c>
      <x:c r="B2819" s="18" t="n">
        <x:v>42324</x:v>
      </x:c>
      <x:c r="C2819" t="str">
        <x:v>MP-18175</x:v>
      </x:c>
      <x:c r="D2819" t="str">
        <x:v>Mike Pelletier</x:v>
      </x:c>
      <x:c r="E2819" t="str">
        <x:v>Home Office</x:v>
      </x:c>
      <x:c r="F2819" t="str">
        <x:v>Central</x:v>
      </x:c>
      <x:c r="G2819" t="str">
        <x:v>Technology</x:v>
      </x:c>
      <x:c r="H2819" t="str">
        <x:v>Accessories</x:v>
      </x:c>
      <x:c r="I2819" s="22" t="n">
        <x:v>999.96</x:v>
      </x:c>
      <x:c r="J2819" s="24" t="n">
        <x:v>4</x:v>
      </x:c>
      <x:c r="K2819" s="26" t="n">
        <x:v>0</x:v>
      </x:c>
      <x:c r="L2819" s="22" t="n">
        <x:v>229.99080000000004</x:v>
      </x:c>
      <x:c r="M2819" t="n">
        <x:v>2015</x:v>
      </x:c>
      <x:c r="N2819" s="20" t="n">
        <x:v>42309</x:v>
      </x:c>
    </x:row>
    <x:row r="2820" ht="18" customHeight="1">
      <x:c r="A2820" t="str">
        <x:v>CA-2015-135685</x:v>
      </x:c>
      <x:c r="B2820" s="18" t="n">
        <x:v>42324</x:v>
      </x:c>
      <x:c r="C2820" t="str">
        <x:v>MP-18175</x:v>
      </x:c>
      <x:c r="D2820" t="str">
        <x:v>Mike Pelletier</x:v>
      </x:c>
      <x:c r="E2820" t="str">
        <x:v>Home Office</x:v>
      </x:c>
      <x:c r="F2820" t="str">
        <x:v>Central</x:v>
      </x:c>
      <x:c r="G2820" t="str">
        <x:v>Furniture</x:v>
      </x:c>
      <x:c r="H2820" t="str">
        <x:v>Tables</x:v>
      </x:c>
      <x:c r="I2820" s="22" t="n">
        <x:v>653.55</x:v>
      </x:c>
      <x:c r="J2820" s="24" t="n">
        <x:v>3</x:v>
      </x:c>
      <x:c r="K2820" s="26" t="n">
        <x:v>0</x:v>
      </x:c>
      <x:c r="L2820" s="22" t="n">
        <x:v>111.10349999999994</x:v>
      </x:c>
      <x:c r="M2820" t="n">
        <x:v>2015</x:v>
      </x:c>
      <x:c r="N2820" s="20" t="n">
        <x:v>42309</x:v>
      </x:c>
    </x:row>
    <x:row r="2821" ht="18" customHeight="1">
      <x:c r="A2821" t="str">
        <x:v>CA-2015-104626</x:v>
      </x:c>
      <x:c r="B2821" s="18" t="n">
        <x:v>42248</x:v>
      </x:c>
      <x:c r="C2821" t="str">
        <x:v>DR-12940</x:v>
      </x:c>
      <x:c r="D2821" t="str">
        <x:v>Daniel Raglin</x:v>
      </x:c>
      <x:c r="E2821" t="str">
        <x:v>Home Office</x:v>
      </x:c>
      <x:c r="F2821" t="str">
        <x:v>East</x:v>
      </x:c>
      <x:c r="G2821" t="str">
        <x:v>Office Supplies</x:v>
      </x:c>
      <x:c r="H2821" t="str">
        <x:v>Binders</x:v>
      </x:c>
      <x:c r="I2821" s="22" t="n">
        <x:v>114.60000000000001</x:v>
      </x:c>
      <x:c r="J2821" s="24" t="n">
        <x:v>5</x:v>
      </x:c>
      <x:c r="K2821" s="26" t="n">
        <x:v>0</x:v>
      </x:c>
      <x:c r="L2821" s="22" t="n">
        <x:v>51.57</x:v>
      </x:c>
      <x:c r="M2821" t="n">
        <x:v>2015</x:v>
      </x:c>
      <x:c r="N2821" s="20" t="n">
        <x:v>42248</x:v>
      </x:c>
    </x:row>
    <x:row r="2822" ht="18" customHeight="1">
      <x:c r="A2822" t="str">
        <x:v>CA-2015-104626</x:v>
      </x:c>
      <x:c r="B2822" s="18" t="n">
        <x:v>42248</x:v>
      </x:c>
      <x:c r="C2822" t="str">
        <x:v>DR-12940</x:v>
      </x:c>
      <x:c r="D2822" t="str">
        <x:v>Daniel Raglin</x:v>
      </x:c>
      <x:c r="E2822" t="str">
        <x:v>Home Office</x:v>
      </x:c>
      <x:c r="F2822" t="str">
        <x:v>East</x:v>
      </x:c>
      <x:c r="G2822" t="str">
        <x:v>Furniture</x:v>
      </x:c>
      <x:c r="H2822" t="str">
        <x:v>Chairs</x:v>
      </x:c>
      <x:c r="I2822" s="22" t="n">
        <x:v>60.74</x:v>
      </x:c>
      <x:c r="J2822" s="24" t="n">
        <x:v>1</x:v>
      </x:c>
      <x:c r="K2822" s="26" t="n">
        <x:v>0</x:v>
      </x:c>
      <x:c r="L2822" s="22" t="n">
        <x:v>15.185000000000002</x:v>
      </x:c>
      <x:c r="M2822" t="n">
        <x:v>2015</x:v>
      </x:c>
      <x:c r="N2822" s="20" t="n">
        <x:v>42248</x:v>
      </x:c>
    </x:row>
    <x:row r="2823" ht="18" customHeight="1">
      <x:c r="A2823" t="str">
        <x:v>CA-2015-104626</x:v>
      </x:c>
      <x:c r="B2823" s="18" t="n">
        <x:v>42248</x:v>
      </x:c>
      <x:c r="C2823" t="str">
        <x:v>DR-12940</x:v>
      </x:c>
      <x:c r="D2823" t="str">
        <x:v>Daniel Raglin</x:v>
      </x:c>
      <x:c r="E2823" t="str">
        <x:v>Home Office</x:v>
      </x:c>
      <x:c r="F2823" t="str">
        <x:v>East</x:v>
      </x:c>
      <x:c r="G2823" t="str">
        <x:v>Furniture</x:v>
      </x:c>
      <x:c r="H2823" t="str">
        <x:v>Furnishings</x:v>
      </x:c>
      <x:c r="I2823" s="22" t="n">
        <x:v>124.36</x:v>
      </x:c>
      <x:c r="J2823" s="24" t="n">
        <x:v>2</x:v>
      </x:c>
      <x:c r="K2823" s="26" t="n">
        <x:v>0</x:v>
      </x:c>
      <x:c r="L2823" s="22" t="n">
        <x:v>27.3592</x:v>
      </x:c>
      <x:c r="M2823" t="n">
        <x:v>2015</x:v>
      </x:c>
      <x:c r="N2823" s="20" t="n">
        <x:v>42248</x:v>
      </x:c>
    </x:row>
    <x:row r="2824" ht="18" customHeight="1">
      <x:c r="A2824" t="str">
        <x:v>CA-2015-104626</x:v>
      </x:c>
      <x:c r="B2824" s="18" t="n">
        <x:v>42248</x:v>
      </x:c>
      <x:c r="C2824" t="str">
        <x:v>DR-12940</x:v>
      </x:c>
      <x:c r="D2824" t="str">
        <x:v>Daniel Raglin</x:v>
      </x:c>
      <x:c r="E2824" t="str">
        <x:v>Home Office</x:v>
      </x:c>
      <x:c r="F2824" t="str">
        <x:v>East</x:v>
      </x:c>
      <x:c r="G2824" t="str">
        <x:v>Office Supplies</x:v>
      </x:c>
      <x:c r="H2824" t="str">
        <x:v>Storage</x:v>
      </x:c>
      <x:c r="I2824" s="22" t="n">
        <x:v>1088.76</x:v>
      </x:c>
      <x:c r="J2824" s="24" t="n">
        <x:v>6</x:v>
      </x:c>
      <x:c r="K2824" s="26" t="n">
        <x:v>0</x:v>
      </x:c>
      <x:c r="L2824" s="22" t="n">
        <x:v>315.74039999999985</x:v>
      </x:c>
      <x:c r="M2824" t="n">
        <x:v>2015</x:v>
      </x:c>
      <x:c r="N2824" s="20" t="n">
        <x:v>42248</x:v>
      </x:c>
    </x:row>
    <x:row r="2825" ht="18" customHeight="1">
      <x:c r="A2825" t="str">
        <x:v>CA-2016-160500</x:v>
      </x:c>
      <x:c r="B2825" s="18" t="n">
        <x:v>42495</x:v>
      </x:c>
      <x:c r="C2825" t="str">
        <x:v>DM-13015</x:v>
      </x:c>
      <x:c r="D2825" t="str">
        <x:v>Darrin Martin</x:v>
      </x:c>
      <x:c r="E2825" t="str">
        <x:v>Consumer</x:v>
      </x:c>
      <x:c r="F2825" t="str">
        <x:v>West</x:v>
      </x:c>
      <x:c r="G2825" t="str">
        <x:v>Office Supplies</x:v>
      </x:c>
      <x:c r="H2825" t="str">
        <x:v>Binders</x:v>
      </x:c>
      <x:c r="I2825" s="22" t="n">
        <x:v>6.720000000000001</x:v>
      </x:c>
      <x:c r="J2825" s="24" t="n">
        <x:v>5</x:v>
      </x:c>
      <x:c r="K2825" s="26" t="n">
        <x:v>0.2</x:v>
      </x:c>
      <x:c r="L2825" s="22" t="n">
        <x:v>2.351999999999999</x:v>
      </x:c>
      <x:c r="M2825" t="n">
        <x:v>2016</x:v>
      </x:c>
      <x:c r="N2825" s="20" t="n">
        <x:v>42491</x:v>
      </x:c>
    </x:row>
    <x:row r="2826" ht="18" customHeight="1">
      <x:c r="A2826" t="str">
        <x:v>CA-2016-160500</x:v>
      </x:c>
      <x:c r="B2826" s="18" t="n">
        <x:v>42495</x:v>
      </x:c>
      <x:c r="C2826" t="str">
        <x:v>DM-13015</x:v>
      </x:c>
      <x:c r="D2826" t="str">
        <x:v>Darrin Martin</x:v>
      </x:c>
      <x:c r="E2826" t="str">
        <x:v>Consumer</x:v>
      </x:c>
      <x:c r="F2826" t="str">
        <x:v>West</x:v>
      </x:c>
      <x:c r="G2826" t="str">
        <x:v>Furniture</x:v>
      </x:c>
      <x:c r="H2826" t="str">
        <x:v>Tables</x:v>
      </x:c>
      <x:c r="I2826" s="22" t="n">
        <x:v>298.776</x:v>
      </x:c>
      <x:c r="J2826" s="24" t="n">
        <x:v>3</x:v>
      </x:c>
      <x:c r="K2826" s="26" t="n">
        <x:v>0.2</x:v>
      </x:c>
      <x:c r="L2826" s="22" t="n">
        <x:v>7.469399999999993</x:v>
      </x:c>
      <x:c r="M2826" t="n">
        <x:v>2016</x:v>
      </x:c>
      <x:c r="N2826" s="20" t="n">
        <x:v>42491</x:v>
      </x:c>
    </x:row>
    <x:row r="2827" ht="18" customHeight="1">
      <x:c r="A2827" t="str">
        <x:v>CA-2017-100202</x:v>
      </x:c>
      <x:c r="B2827" s="18" t="n">
        <x:v>42735</x:v>
      </x:c>
      <x:c r="C2827" t="str">
        <x:v>BD-11620</x:v>
      </x:c>
      <x:c r="D2827" t="str">
        <x:v>Brian DeCherney</x:v>
      </x:c>
      <x:c r="E2827" t="str">
        <x:v>Consumer</x:v>
      </x:c>
      <x:c r="F2827" t="str">
        <x:v>West</x:v>
      </x:c>
      <x:c r="G2827" t="str">
        <x:v>Technology</x:v>
      </x:c>
      <x:c r="H2827" t="str">
        <x:v>Phones</x:v>
      </x:c>
      <x:c r="I2827" s="22" t="n">
        <x:v>302.376</x:v>
      </x:c>
      <x:c r="J2827" s="24" t="n">
        <x:v>3</x:v>
      </x:c>
      <x:c r="K2827" s="26" t="n">
        <x:v>0.2</x:v>
      </x:c>
      <x:c r="L2827" s="22" t="n">
        <x:v>22.678200000000018</x:v>
      </x:c>
      <x:c r="M2827" t="n">
        <x:v>2016</x:v>
      </x:c>
      <x:c r="N2827" s="20" t="n">
        <x:v>42705</x:v>
      </x:c>
    </x:row>
    <x:row r="2828" ht="18" customHeight="1">
      <x:c r="A2828" t="str">
        <x:v>CA-2017-131016</x:v>
      </x:c>
      <x:c r="B2828" s="18" t="n">
        <x:v>42996</x:v>
      </x:c>
      <x:c r="C2828" t="str">
        <x:v>DC-12850</x:v>
      </x:c>
      <x:c r="D2828" t="str">
        <x:v>Dan Campbell</x:v>
      </x:c>
      <x:c r="E2828" t="str">
        <x:v>Consumer</x:v>
      </x:c>
      <x:c r="F2828" t="str">
        <x:v>Central</x:v>
      </x:c>
      <x:c r="G2828" t="str">
        <x:v>Office Supplies</x:v>
      </x:c>
      <x:c r="H2828" t="str">
        <x:v>Art</x:v>
      </x:c>
      <x:c r="I2828" s="22" t="n">
        <x:v>8.928</x:v>
      </x:c>
      <x:c r="J2828" s="24" t="n">
        <x:v>2</x:v>
      </x:c>
      <x:c r="K2828" s="26" t="n">
        <x:v>0.2</x:v>
      </x:c>
      <x:c r="L2828" s="22" t="n">
        <x:v>0.5579999999999989</x:v>
      </x:c>
      <x:c r="M2828" t="n">
        <x:v>2017</x:v>
      </x:c>
      <x:c r="N2828" s="20" t="n">
        <x:v>42979</x:v>
      </x:c>
    </x:row>
    <x:row r="2829" ht="18" customHeight="1">
      <x:c r="A2829" t="str">
        <x:v>CA-2017-131016</x:v>
      </x:c>
      <x:c r="B2829" s="18" t="n">
        <x:v>42996</x:v>
      </x:c>
      <x:c r="C2829" t="str">
        <x:v>DC-12850</x:v>
      </x:c>
      <x:c r="D2829" t="str">
        <x:v>Dan Campbell</x:v>
      </x:c>
      <x:c r="E2829" t="str">
        <x:v>Consumer</x:v>
      </x:c>
      <x:c r="F2829" t="str">
        <x:v>Central</x:v>
      </x:c>
      <x:c r="G2829" t="str">
        <x:v>Office Supplies</x:v>
      </x:c>
      <x:c r="H2829" t="str">
        <x:v>Storage</x:v>
      </x:c>
      <x:c r="I2829" s="22" t="n">
        <x:v>47.584</x:v>
      </x:c>
      <x:c r="J2829" s="24" t="n">
        <x:v>2</x:v>
      </x:c>
      <x:c r="K2829" s="26" t="n">
        <x:v>0.2</x:v>
      </x:c>
      <x:c r="L2829" s="22" t="n">
        <x:v>-2.9739999999999966</x:v>
      </x:c>
      <x:c r="M2829" t="n">
        <x:v>2017</x:v>
      </x:c>
      <x:c r="N2829" s="20" t="n">
        <x:v>42979</x:v>
      </x:c>
    </x:row>
    <x:row r="2830" ht="18" customHeight="1">
      <x:c r="A2830" t="str">
        <x:v>US-2014-112914</x:v>
      </x:c>
      <x:c r="B2830" s="18" t="n">
        <x:v>41907</x:v>
      </x:c>
      <x:c r="C2830" t="str">
        <x:v>MT-18070</x:v>
      </x:c>
      <x:c r="D2830" t="str">
        <x:v>Michelle Tran</x:v>
      </x:c>
      <x:c r="E2830" t="str">
        <x:v>Home Office</x:v>
      </x:c>
      <x:c r="F2830" t="str">
        <x:v>Central</x:v>
      </x:c>
      <x:c r="G2830" t="str">
        <x:v>Office Supplies</x:v>
      </x:c>
      <x:c r="H2830" t="str">
        <x:v>Paper</x:v>
      </x:c>
      <x:c r="I2830" s="22" t="n">
        <x:v>33.792</x:v>
      </x:c>
      <x:c r="J2830" s="24" t="n">
        <x:v>8</x:v>
      </x:c>
      <x:c r="K2830" s="26" t="n">
        <x:v>0.2</x:v>
      </x:c>
      <x:c r="L2830" s="22" t="n">
        <x:v>10.559999999999999</x:v>
      </x:c>
      <x:c r="M2830" t="n">
        <x:v>2014</x:v>
      </x:c>
      <x:c r="N2830" s="20" t="n">
        <x:v>41883</x:v>
      </x:c>
    </x:row>
    <x:row r="2831" ht="18" customHeight="1">
      <x:c r="A2831" t="str">
        <x:v>US-2014-112914</x:v>
      </x:c>
      <x:c r="B2831" s="18" t="n">
        <x:v>41907</x:v>
      </x:c>
      <x:c r="C2831" t="str">
        <x:v>MT-18070</x:v>
      </x:c>
      <x:c r="D2831" t="str">
        <x:v>Michelle Tran</x:v>
      </x:c>
      <x:c r="E2831" t="str">
        <x:v>Home Office</x:v>
      </x:c>
      <x:c r="F2831" t="str">
        <x:v>Central</x:v>
      </x:c>
      <x:c r="G2831" t="str">
        <x:v>Furniture</x:v>
      </x:c>
      <x:c r="H2831" t="str">
        <x:v>Bookcases</x:v>
      </x:c>
      <x:c r="I2831" s="22" t="n">
        <x:v>300.53279999999995</x:v>
      </x:c>
      <x:c r="J2831" s="24" t="n">
        <x:v>2</x:v>
      </x:c>
      <x:c r="K2831" s="26" t="n">
        <x:v>0.32</x:v>
      </x:c>
      <x:c r="L2831" s="22" t="n">
        <x:v>-97.23120000000003</x:v>
      </x:c>
      <x:c r="M2831" t="n">
        <x:v>2014</x:v>
      </x:c>
      <x:c r="N2831" s="20" t="n">
        <x:v>41883</x:v>
      </x:c>
    </x:row>
    <x:row r="2832" ht="18" customHeight="1">
      <x:c r="A2832" t="str">
        <x:v>US-2014-112914</x:v>
      </x:c>
      <x:c r="B2832" s="18" t="n">
        <x:v>41907</x:v>
      </x:c>
      <x:c r="C2832" t="str">
        <x:v>MT-18070</x:v>
      </x:c>
      <x:c r="D2832" t="str">
        <x:v>Michelle Tran</x:v>
      </x:c>
      <x:c r="E2832" t="str">
        <x:v>Home Office</x:v>
      </x:c>
      <x:c r="F2832" t="str">
        <x:v>Central</x:v>
      </x:c>
      <x:c r="G2832" t="str">
        <x:v>Office Supplies</x:v>
      </x:c>
      <x:c r="H2832" t="str">
        <x:v>Binders</x:v>
      </x:c>
      <x:c r="I2832" s="22" t="n">
        <x:v>2.7239999999999993</x:v>
      </x:c>
      <x:c r="J2832" s="24" t="n">
        <x:v>2</x:v>
      </x:c>
      <x:c r="K2832" s="26" t="n">
        <x:v>0.8</x:v>
      </x:c>
      <x:c r="L2832" s="22" t="n">
        <x:v>-4.358400000000001</x:v>
      </x:c>
      <x:c r="M2832" t="n">
        <x:v>2014</x:v>
      </x:c>
      <x:c r="N2832" s="20" t="n">
        <x:v>41883</x:v>
      </x:c>
    </x:row>
    <x:row r="2833" ht="18" customHeight="1">
      <x:c r="A2833" t="str">
        <x:v>US-2014-112914</x:v>
      </x:c>
      <x:c r="B2833" s="18" t="n">
        <x:v>41907</x:v>
      </x:c>
      <x:c r="C2833" t="str">
        <x:v>MT-18070</x:v>
      </x:c>
      <x:c r="D2833" t="str">
        <x:v>Michelle Tran</x:v>
      </x:c>
      <x:c r="E2833" t="str">
        <x:v>Home Office</x:v>
      </x:c>
      <x:c r="F2833" t="str">
        <x:v>Central</x:v>
      </x:c>
      <x:c r="G2833" t="str">
        <x:v>Office Supplies</x:v>
      </x:c>
      <x:c r="H2833" t="str">
        <x:v>Envelopes</x:v>
      </x:c>
      <x:c r="I2833" s="22" t="n">
        <x:v>3.2640000000000002</x:v>
      </x:c>
      <x:c r="J2833" s="24" t="n">
        <x:v>2</x:v>
      </x:c>
      <x:c r="K2833" s="26" t="n">
        <x:v>0.2</x:v>
      </x:c>
      <x:c r="L2833" s="22" t="n">
        <x:v>1.1015999999999997</x:v>
      </x:c>
      <x:c r="M2833" t="n">
        <x:v>2014</x:v>
      </x:c>
      <x:c r="N2833" s="20" t="n">
        <x:v>41883</x:v>
      </x:c>
    </x:row>
    <x:row r="2834" ht="18" customHeight="1">
      <x:c r="A2834" t="str">
        <x:v>CA-2016-124149</x:v>
      </x:c>
      <x:c r="B2834" s="18" t="n">
        <x:v>42483</x:v>
      </x:c>
      <x:c r="C2834" t="str">
        <x:v>MJ-17740</x:v>
      </x:c>
      <x:c r="D2834" t="str">
        <x:v>Max Jones</x:v>
      </x:c>
      <x:c r="E2834" t="str">
        <x:v>Consumer</x:v>
      </x:c>
      <x:c r="F2834" t="str">
        <x:v>East</x:v>
      </x:c>
      <x:c r="G2834" t="str">
        <x:v>Office Supplies</x:v>
      </x:c>
      <x:c r="H2834" t="str">
        <x:v>Paper</x:v>
      </x:c>
      <x:c r="I2834" s="22" t="n">
        <x:v>108.33600000000001</x:v>
      </x:c>
      <x:c r="J2834" s="24" t="n">
        <x:v>6</x:v>
      </x:c>
      <x:c r="K2834" s="26" t="n">
        <x:v>0.2</x:v>
      </x:c>
      <x:c r="L2834" s="22" t="n">
        <x:v>37.91759999999999</x:v>
      </x:c>
      <x:c r="M2834" t="n">
        <x:v>2016</x:v>
      </x:c>
      <x:c r="N2834" s="20" t="n">
        <x:v>42461</x:v>
      </x:c>
    </x:row>
    <x:row r="2835" ht="18" customHeight="1">
      <x:c r="A2835" t="str">
        <x:v>CA-2016-124149</x:v>
      </x:c>
      <x:c r="B2835" s="18" t="n">
        <x:v>42483</x:v>
      </x:c>
      <x:c r="C2835" t="str">
        <x:v>MJ-17740</x:v>
      </x:c>
      <x:c r="D2835" t="str">
        <x:v>Max Jones</x:v>
      </x:c>
      <x:c r="E2835" t="str">
        <x:v>Consumer</x:v>
      </x:c>
      <x:c r="F2835" t="str">
        <x:v>East</x:v>
      </x:c>
      <x:c r="G2835" t="str">
        <x:v>Office Supplies</x:v>
      </x:c>
      <x:c r="H2835" t="str">
        <x:v>Storage</x:v>
      </x:c>
      <x:c r="I2835" s="22" t="n">
        <x:v>55.92</x:v>
      </x:c>
      <x:c r="J2835" s="24" t="n">
        <x:v>5</x:v>
      </x:c>
      <x:c r="K2835" s="26" t="n">
        <x:v>0.2</x:v>
      </x:c>
      <x:c r="L2835" s="22" t="n">
        <x:v>6.291</x:v>
      </x:c>
      <x:c r="M2835" t="n">
        <x:v>2016</x:v>
      </x:c>
      <x:c r="N2835" s="20" t="n">
        <x:v>42461</x:v>
      </x:c>
    </x:row>
    <x:row r="2836" ht="18" customHeight="1">
      <x:c r="A2836" t="str">
        <x:v>CA-2016-124149</x:v>
      </x:c>
      <x:c r="B2836" s="18" t="n">
        <x:v>42483</x:v>
      </x:c>
      <x:c r="C2836" t="str">
        <x:v>MJ-17740</x:v>
      </x:c>
      <x:c r="D2836" t="str">
        <x:v>Max Jones</x:v>
      </x:c>
      <x:c r="E2836" t="str">
        <x:v>Consumer</x:v>
      </x:c>
      <x:c r="F2836" t="str">
        <x:v>East</x:v>
      </x:c>
      <x:c r="G2836" t="str">
        <x:v>Office Supplies</x:v>
      </x:c>
      <x:c r="H2836" t="str">
        <x:v>Paper</x:v>
      </x:c>
      <x:c r="I2836" s="22" t="n">
        <x:v>78.304</x:v>
      </x:c>
      <x:c r="J2836" s="24" t="n">
        <x:v>2</x:v>
      </x:c>
      <x:c r="K2836" s="26" t="n">
        <x:v>0.2</x:v>
      </x:c>
      <x:c r="L2836" s="22" t="n">
        <x:v>29.363999999999997</x:v>
      </x:c>
      <x:c r="M2836" t="n">
        <x:v>2016</x:v>
      </x:c>
      <x:c r="N2836" s="20" t="n">
        <x:v>42461</x:v>
      </x:c>
    </x:row>
    <x:row r="2837" ht="18" customHeight="1">
      <x:c r="A2837" t="str">
        <x:v>CA-2014-148915</x:v>
      </x:c>
      <x:c r="B2837" s="18" t="n">
        <x:v>41944</x:v>
      </x:c>
      <x:c r="C2837" t="str">
        <x:v>ND-18370</x:v>
      </x:c>
      <x:c r="D2837" t="str">
        <x:v>Natalie DeCherney</x:v>
      </x:c>
      <x:c r="E2837" t="str">
        <x:v>Consumer</x:v>
      </x:c>
      <x:c r="F2837" t="str">
        <x:v>West</x:v>
      </x:c>
      <x:c r="G2837" t="str">
        <x:v>Office Supplies</x:v>
      </x:c>
      <x:c r="H2837" t="str">
        <x:v>Storage</x:v>
      </x:c>
      <x:c r="I2837" s="22" t="n">
        <x:v>443.92</x:v>
      </x:c>
      <x:c r="J2837" s="24" t="n">
        <x:v>5</x:v>
      </x:c>
      <x:c r="K2837" s="26" t="n">
        <x:v>0.2</x:v>
      </x:c>
      <x:c r="L2837" s="22" t="n">
        <x:v>-94.33299999999997</x:v>
      </x:c>
      <x:c r="M2837" t="n">
        <x:v>2014</x:v>
      </x:c>
      <x:c r="N2837" s="20" t="n">
        <x:v>41944</x:v>
      </x:c>
    </x:row>
    <x:row r="2838" ht="18" customHeight="1">
      <x:c r="A2838" t="str">
        <x:v>CA-2014-148915</x:v>
      </x:c>
      <x:c r="B2838" s="18" t="n">
        <x:v>41944</x:v>
      </x:c>
      <x:c r="C2838" t="str">
        <x:v>ND-18370</x:v>
      </x:c>
      <x:c r="D2838" t="str">
        <x:v>Natalie DeCherney</x:v>
      </x:c>
      <x:c r="E2838" t="str">
        <x:v>Consumer</x:v>
      </x:c>
      <x:c r="F2838" t="str">
        <x:v>West</x:v>
      </x:c>
      <x:c r="G2838" t="str">
        <x:v>Technology</x:v>
      </x:c>
      <x:c r="H2838" t="str">
        <x:v>Phones</x:v>
      </x:c>
      <x:c r="I2838" s="22" t="n">
        <x:v>155.976</x:v>
      </x:c>
      <x:c r="J2838" s="24" t="n">
        <x:v>3</x:v>
      </x:c>
      <x:c r="K2838" s="26" t="n">
        <x:v>0.2</x:v>
      </x:c>
      <x:c r="L2838" s="22" t="n">
        <x:v>54.5916</x:v>
      </x:c>
      <x:c r="M2838" t="n">
        <x:v>2014</x:v>
      </x:c>
      <x:c r="N2838" s="20" t="n">
        <x:v>41944</x:v>
      </x:c>
    </x:row>
    <x:row r="2839" ht="18" customHeight="1">
      <x:c r="A2839" t="str">
        <x:v>CA-2017-134649</x:v>
      </x:c>
      <x:c r="B2839" s="18" t="n">
        <x:v>42761</x:v>
      </x:c>
      <x:c r="C2839" t="str">
        <x:v>CA-11965</x:v>
      </x:c>
      <x:c r="D2839" t="str">
        <x:v>Carol Adams</x:v>
      </x:c>
      <x:c r="E2839" t="str">
        <x:v>Corporate</x:v>
      </x:c>
      <x:c r="F2839" t="str">
        <x:v>South</x:v>
      </x:c>
      <x:c r="G2839" t="str">
        <x:v>Office Supplies</x:v>
      </x:c>
      <x:c r="H2839" t="str">
        <x:v>Art</x:v>
      </x:c>
      <x:c r="I2839" s="22" t="n">
        <x:v>15.469999999999999</x:v>
      </x:c>
      <x:c r="J2839" s="24" t="n">
        <x:v>7</x:v>
      </x:c>
      <x:c r="K2839" s="26" t="n">
        <x:v>0</x:v>
      </x:c>
      <x:c r="L2839" s="22" t="n">
        <x:v>4.1769</x:v>
      </x:c>
      <x:c r="M2839" t="n">
        <x:v>2017</x:v>
      </x:c>
      <x:c r="N2839" s="20" t="n">
        <x:v>42736</x:v>
      </x:c>
    </x:row>
    <x:row r="2840" ht="18" customHeight="1">
      <x:c r="A2840" t="str">
        <x:v>CA-2017-134649</x:v>
      </x:c>
      <x:c r="B2840" s="18" t="n">
        <x:v>42761</x:v>
      </x:c>
      <x:c r="C2840" t="str">
        <x:v>CA-11965</x:v>
      </x:c>
      <x:c r="D2840" t="str">
        <x:v>Carol Adams</x:v>
      </x:c>
      <x:c r="E2840" t="str">
        <x:v>Corporate</x:v>
      </x:c>
      <x:c r="F2840" t="str">
        <x:v>South</x:v>
      </x:c>
      <x:c r="G2840" t="str">
        <x:v>Office Supplies</x:v>
      </x:c>
      <x:c r="H2840" t="str">
        <x:v>Binders</x:v>
      </x:c>
      <x:c r="I2840" s="22" t="n">
        <x:v>7.16</x:v>
      </x:c>
      <x:c r="J2840" s="24" t="n">
        <x:v>2</x:v>
      </x:c>
      <x:c r="K2840" s="26" t="n">
        <x:v>0</x:v>
      </x:c>
      <x:c r="L2840" s="22" t="n">
        <x:v>3.4368</x:v>
      </x:c>
      <x:c r="M2840" t="n">
        <x:v>2017</x:v>
      </x:c>
      <x:c r="N2840" s="20" t="n">
        <x:v>42736</x:v>
      </x:c>
    </x:row>
    <x:row r="2841" ht="18" customHeight="1">
      <x:c r="A2841" t="str">
        <x:v>CA-2017-110842</x:v>
      </x:c>
      <x:c r="B2841" s="18" t="n">
        <x:v>43050</x:v>
      </x:c>
      <x:c r="C2841" t="str">
        <x:v>GA-14725</x:v>
      </x:c>
      <x:c r="D2841" t="str">
        <x:v>Guy Armstrong</x:v>
      </x:c>
      <x:c r="E2841" t="str">
        <x:v>Consumer</x:v>
      </x:c>
      <x:c r="F2841" t="str">
        <x:v>West</x:v>
      </x:c>
      <x:c r="G2841" t="str">
        <x:v>Office Supplies</x:v>
      </x:c>
      <x:c r="H2841" t="str">
        <x:v>Appliances</x:v>
      </x:c>
      <x:c r="I2841" s="22" t="n">
        <x:v>10.89</x:v>
      </x:c>
      <x:c r="J2841" s="24" t="n">
        <x:v>1</x:v>
      </x:c>
      <x:c r="K2841" s="26" t="n">
        <x:v>0</x:v>
      </x:c>
      <x:c r="L2841" s="22" t="n">
        <x:v>2.8314000000000004</x:v>
      </x:c>
      <x:c r="M2841" t="n">
        <x:v>2017</x:v>
      </x:c>
      <x:c r="N2841" s="20" t="n">
        <x:v>43040</x:v>
      </x:c>
    </x:row>
    <x:row r="2842" ht="18" customHeight="1">
      <x:c r="A2842" t="str">
        <x:v>CA-2017-110842</x:v>
      </x:c>
      <x:c r="B2842" s="18" t="n">
        <x:v>43050</x:v>
      </x:c>
      <x:c r="C2842" t="str">
        <x:v>GA-14725</x:v>
      </x:c>
      <x:c r="D2842" t="str">
        <x:v>Guy Armstrong</x:v>
      </x:c>
      <x:c r="E2842" t="str">
        <x:v>Consumer</x:v>
      </x:c>
      <x:c r="F2842" t="str">
        <x:v>West</x:v>
      </x:c>
      <x:c r="G2842" t="str">
        <x:v>Office Supplies</x:v>
      </x:c>
      <x:c r="H2842" t="str">
        <x:v>Paper</x:v>
      </x:c>
      <x:c r="I2842" s="22" t="n">
        <x:v>19.44</x:v>
      </x:c>
      <x:c r="J2842" s="24" t="n">
        <x:v>3</x:v>
      </x:c>
      <x:c r="K2842" s="26" t="n">
        <x:v>0</x:v>
      </x:c>
      <x:c r="L2842" s="22" t="n">
        <x:v>9.3312</x:v>
      </x:c>
      <x:c r="M2842" t="n">
        <x:v>2017</x:v>
      </x:c>
      <x:c r="N2842" s="20" t="n">
        <x:v>43040</x:v>
      </x:c>
    </x:row>
    <x:row r="2843" ht="18" customHeight="1">
      <x:c r="A2843" t="str">
        <x:v>CA-2017-110842</x:v>
      </x:c>
      <x:c r="B2843" s="18" t="n">
        <x:v>43050</x:v>
      </x:c>
      <x:c r="C2843" t="str">
        <x:v>GA-14725</x:v>
      </x:c>
      <x:c r="D2843" t="str">
        <x:v>Guy Armstrong</x:v>
      </x:c>
      <x:c r="E2843" t="str">
        <x:v>Consumer</x:v>
      </x:c>
      <x:c r="F2843" t="str">
        <x:v>West</x:v>
      </x:c>
      <x:c r="G2843" t="str">
        <x:v>Office Supplies</x:v>
      </x:c>
      <x:c r="H2843" t="str">
        <x:v>Binders</x:v>
      </x:c>
      <x:c r="I2843" s="22" t="n">
        <x:v>121.6</x:v>
      </x:c>
      <x:c r="J2843" s="24" t="n">
        <x:v>5</x:v>
      </x:c>
      <x:c r="K2843" s="26" t="n">
        <x:v>0.2</x:v>
      </x:c>
      <x:c r="L2843" s="22" t="n">
        <x:v>39.51999999999999</x:v>
      </x:c>
      <x:c r="M2843" t="n">
        <x:v>2017</x:v>
      </x:c>
      <x:c r="N2843" s="20" t="n">
        <x:v>43040</x:v>
      </x:c>
    </x:row>
    <x:row r="2844" ht="18" customHeight="1">
      <x:c r="A2844" t="str">
        <x:v>CA-2016-147368</x:v>
      </x:c>
      <x:c r="B2844" s="18" t="n">
        <x:v>42530</x:v>
      </x:c>
      <x:c r="C2844" t="str">
        <x:v>TC-21295</x:v>
      </x:c>
      <x:c r="D2844" t="str">
        <x:v>Toby Carlisle</x:v>
      </x:c>
      <x:c r="E2844" t="str">
        <x:v>Consumer</x:v>
      </x:c>
      <x:c r="F2844" t="str">
        <x:v>South</x:v>
      </x:c>
      <x:c r="G2844" t="str">
        <x:v>Technology</x:v>
      </x:c>
      <x:c r="H2844" t="str">
        <x:v>Machines</x:v>
      </x:c>
      <x:c r="I2844" s="22" t="n">
        <x:v>695.7</x:v>
      </x:c>
      <x:c r="J2844" s="24" t="n">
        <x:v>2</x:v>
      </x:c>
      <x:c r="K2844" s="26" t="n">
        <x:v>0.5</x:v>
      </x:c>
      <x:c r="L2844" s="22" t="n">
        <x:v>-27.827999999999975</x:v>
      </x:c>
      <x:c r="M2844" t="n">
        <x:v>2016</x:v>
      </x:c>
      <x:c r="N2844" s="20" t="n">
        <x:v>42522</x:v>
      </x:c>
    </x:row>
    <x:row r="2845" ht="18" customHeight="1">
      <x:c r="A2845" t="str">
        <x:v>US-2015-104185</x:v>
      </x:c>
      <x:c r="B2845" s="18" t="n">
        <x:v>42250</x:v>
      </x:c>
      <x:c r="C2845" t="str">
        <x:v>JB-15400</x:v>
      </x:c>
      <x:c r="D2845" t="str">
        <x:v>Jennifer Braxton</x:v>
      </x:c>
      <x:c r="E2845" t="str">
        <x:v>Corporate</x:v>
      </x:c>
      <x:c r="F2845" t="str">
        <x:v>East</x:v>
      </x:c>
      <x:c r="G2845" t="str">
        <x:v>Office Supplies</x:v>
      </x:c>
      <x:c r="H2845" t="str">
        <x:v>Storage</x:v>
      </x:c>
      <x:c r="I2845" s="22" t="n">
        <x:v>120.33</x:v>
      </x:c>
      <x:c r="J2845" s="24" t="n">
        <x:v>1</x:v>
      </x:c>
      <x:c r="K2845" s="26" t="n">
        <x:v>0</x:v>
      </x:c>
      <x:c r="L2845" s="22" t="n">
        <x:v>31.285799999999995</x:v>
      </x:c>
      <x:c r="M2845" t="n">
        <x:v>2015</x:v>
      </x:c>
      <x:c r="N2845" s="20" t="n">
        <x:v>42248</x:v>
      </x:c>
    </x:row>
    <x:row r="2846" ht="18" customHeight="1">
      <x:c r="A2846" t="str">
        <x:v>US-2014-125521</x:v>
      </x:c>
      <x:c r="B2846" s="18" t="n">
        <x:v>41712</x:v>
      </x:c>
      <x:c r="C2846" t="str">
        <x:v>CK-12325</x:v>
      </x:c>
      <x:c r="D2846" t="str">
        <x:v>Christine Kargatis</x:v>
      </x:c>
      <x:c r="E2846" t="str">
        <x:v>Home Office</x:v>
      </x:c>
      <x:c r="F2846" t="str">
        <x:v>South</x:v>
      </x:c>
      <x:c r="G2846" t="str">
        <x:v>Furniture</x:v>
      </x:c>
      <x:c r="H2846" t="str">
        <x:v>Chairs</x:v>
      </x:c>
      <x:c r="I2846" s="22" t="n">
        <x:v>1139.92</x:v>
      </x:c>
      <x:c r="J2846" s="24" t="n">
        <x:v>4</x:v>
      </x:c>
      <x:c r="K2846" s="26" t="n">
        <x:v>0</x:v>
      </x:c>
      <x:c r="L2846" s="22" t="n">
        <x:v>284.98</x:v>
      </x:c>
      <x:c r="M2846" t="n">
        <x:v>2014</x:v>
      </x:c>
      <x:c r="N2846" s="20" t="n">
        <x:v>41699</x:v>
      </x:c>
    </x:row>
    <x:row r="2847" ht="18" customHeight="1">
      <x:c r="A2847" t="str">
        <x:v>US-2017-135062</x:v>
      </x:c>
      <x:c r="B2847" s="18" t="n">
        <x:v>42978</x:v>
      </x:c>
      <x:c r="C2847" t="str">
        <x:v>RL-19615</x:v>
      </x:c>
      <x:c r="D2847" t="str">
        <x:v>Rob Lucas</x:v>
      </x:c>
      <x:c r="E2847" t="str">
        <x:v>Consumer</x:v>
      </x:c>
      <x:c r="F2847" t="str">
        <x:v>South</x:v>
      </x:c>
      <x:c r="G2847" t="str">
        <x:v>Office Supplies</x:v>
      </x:c>
      <x:c r="H2847" t="str">
        <x:v>Paper</x:v>
      </x:c>
      <x:c r="I2847" s="22" t="n">
        <x:v>229.544</x:v>
      </x:c>
      <x:c r="J2847" s="24" t="n">
        <x:v>7</x:v>
      </x:c>
      <x:c r="K2847" s="26" t="n">
        <x:v>0.2</x:v>
      </x:c>
      <x:c r="L2847" s="22" t="n">
        <x:v>83.2097</x:v>
      </x:c>
      <x:c r="M2847" t="n">
        <x:v>2017</x:v>
      </x:c>
      <x:c r="N2847" s="20" t="n">
        <x:v>42948</x:v>
      </x:c>
    </x:row>
    <x:row r="2848" ht="18" customHeight="1">
      <x:c r="A2848" t="str">
        <x:v>CA-2017-135650</x:v>
      </x:c>
      <x:c r="B2848" s="18" t="n">
        <x:v>42817</x:v>
      </x:c>
      <x:c r="C2848" t="str">
        <x:v>AC-10660</x:v>
      </x:c>
      <x:c r="D2848" t="str">
        <x:v>Anna Chung</x:v>
      </x:c>
      <x:c r="E2848" t="str">
        <x:v>Consumer</x:v>
      </x:c>
      <x:c r="F2848" t="str">
        <x:v>Central</x:v>
      </x:c>
      <x:c r="G2848" t="str">
        <x:v>Office Supplies</x:v>
      </x:c>
      <x:c r="H2848" t="str">
        <x:v>Storage</x:v>
      </x:c>
      <x:c r="I2848" s="22" t="n">
        <x:v>143.728</x:v>
      </x:c>
      <x:c r="J2848" s="24" t="n">
        <x:v>2</x:v>
      </x:c>
      <x:c r="K2848" s="26" t="n">
        <x:v>0.2</x:v>
      </x:c>
      <x:c r="L2848" s="22" t="n">
        <x:v>-32.338800000000006</x:v>
      </x:c>
      <x:c r="M2848" t="n">
        <x:v>2017</x:v>
      </x:c>
      <x:c r="N2848" s="20" t="n">
        <x:v>42795</x:v>
      </x:c>
    </x:row>
    <x:row r="2849" ht="18" customHeight="1">
      <x:c r="A2849" t="str">
        <x:v>CA-2017-112865</x:v>
      </x:c>
      <x:c r="B2849" s="18" t="n">
        <x:v>42873</x:v>
      </x:c>
      <x:c r="C2849" t="str">
        <x:v>BH-11710</x:v>
      </x:c>
      <x:c r="D2849" t="str">
        <x:v>Brosina Hoffman</x:v>
      </x:c>
      <x:c r="E2849" t="str">
        <x:v>Consumer</x:v>
      </x:c>
      <x:c r="F2849" t="str">
        <x:v>East</x:v>
      </x:c>
      <x:c r="G2849" t="str">
        <x:v>Technology</x:v>
      </x:c>
      <x:c r="H2849" t="str">
        <x:v>Accessories</x:v>
      </x:c>
      <x:c r="I2849" s="22" t="n">
        <x:v>36.048</x:v>
      </x:c>
      <x:c r="J2849" s="24" t="n">
        <x:v>3</x:v>
      </x:c>
      <x:c r="K2849" s="26" t="n">
        <x:v>0.2</x:v>
      </x:c>
      <x:c r="L2849" s="22" t="n">
        <x:v>-0.9012000000000011</x:v>
      </x:c>
      <x:c r="M2849" t="n">
        <x:v>2017</x:v>
      </x:c>
      <x:c r="N2849" s="20" t="n">
        <x:v>42856</x:v>
      </x:c>
    </x:row>
    <x:row r="2850" ht="18" customHeight="1">
      <x:c r="A2850" t="str">
        <x:v>US-2016-162852</x:v>
      </x:c>
      <x:c r="B2850" s="18" t="n">
        <x:v>42731</x:v>
      </x:c>
      <x:c r="C2850" t="str">
        <x:v>BG-11695</x:v>
      </x:c>
      <x:c r="D2850" t="str">
        <x:v>Brooke Gillingham</x:v>
      </x:c>
      <x:c r="E2850" t="str">
        <x:v>Corporate</x:v>
      </x:c>
      <x:c r="F2850" t="str">
        <x:v>Central</x:v>
      </x:c>
      <x:c r="G2850" t="str">
        <x:v>Furniture</x:v>
      </x:c>
      <x:c r="H2850" t="str">
        <x:v>Chairs</x:v>
      </x:c>
      <x:c r="I2850" s="22" t="n">
        <x:v>845.4879999999999</x:v>
      </x:c>
      <x:c r="J2850" s="24" t="n">
        <x:v>8</x:v>
      </x:c>
      <x:c r="K2850" s="26" t="n">
        <x:v>0.3</x:v>
      </x:c>
      <x:c r="L2850" s="22" t="n">
        <x:v>-12.078400000000101</x:v>
      </x:c>
      <x:c r="M2850" t="n">
        <x:v>2016</x:v>
      </x:c>
      <x:c r="N2850" s="20" t="n">
        <x:v>42705</x:v>
      </x:c>
    </x:row>
    <x:row r="2851" ht="18" customHeight="1">
      <x:c r="A2851" t="str">
        <x:v>CA-2017-138163</x:v>
      </x:c>
      <x:c r="B2851" s="18" t="n">
        <x:v>43056</x:v>
      </x:c>
      <x:c r="C2851" t="str">
        <x:v>XP-21865</x:v>
      </x:c>
      <x:c r="D2851" t="str">
        <x:v>Xylona Preis</x:v>
      </x:c>
      <x:c r="E2851" t="str">
        <x:v>Consumer</x:v>
      </x:c>
      <x:c r="F2851" t="str">
        <x:v>East</x:v>
      </x:c>
      <x:c r="G2851" t="str">
        <x:v>Office Supplies</x:v>
      </x:c>
      <x:c r="H2851" t="str">
        <x:v>Art</x:v>
      </x:c>
      <x:c r="I2851" s="22" t="n">
        <x:v>50.94</x:v>
      </x:c>
      <x:c r="J2851" s="24" t="n">
        <x:v>3</x:v>
      </x:c>
      <x:c r="K2851" s="26" t="n">
        <x:v>0</x:v>
      </x:c>
      <x:c r="L2851" s="22" t="n">
        <x:v>14.263200000000001</x:v>
      </x:c>
      <x:c r="M2851" t="n">
        <x:v>2017</x:v>
      </x:c>
      <x:c r="N2851" s="20" t="n">
        <x:v>43040</x:v>
      </x:c>
    </x:row>
    <x:row r="2852" ht="18" customHeight="1">
      <x:c r="A2852" t="str">
        <x:v>CA-2017-152093</x:v>
      </x:c>
      <x:c r="B2852" s="18" t="n">
        <x:v>42988</x:v>
      </x:c>
      <x:c r="C2852" t="str">
        <x:v>SN-20560</x:v>
      </x:c>
      <x:c r="D2852" t="str">
        <x:v>Skye Norling</x:v>
      </x:c>
      <x:c r="E2852" t="str">
        <x:v>Home Office</x:v>
      </x:c>
      <x:c r="F2852" t="str">
        <x:v>Central</x:v>
      </x:c>
      <x:c r="G2852" t="str">
        <x:v>Office Supplies</x:v>
      </x:c>
      <x:c r="H2852" t="str">
        <x:v>Binders</x:v>
      </x:c>
      <x:c r="I2852" s="22" t="n">
        <x:v>762.5939999999998</x:v>
      </x:c>
      <x:c r="J2852" s="24" t="n">
        <x:v>3</x:v>
      </x:c>
      <x:c r="K2852" s="26" t="n">
        <x:v>0.8</x:v>
      </x:c>
      <x:c r="L2852" s="22" t="n">
        <x:v>-1143.891</x:v>
      </x:c>
      <x:c r="M2852" t="n">
        <x:v>2017</x:v>
      </x:c>
      <x:c r="N2852" s="20" t="n">
        <x:v>42979</x:v>
      </x:c>
    </x:row>
    <x:row r="2853" ht="18" customHeight="1">
      <x:c r="A2853" t="str">
        <x:v>CA-2017-157854</x:v>
      </x:c>
      <x:c r="B2853" s="18" t="n">
        <x:v>42833</x:v>
      </x:c>
      <x:c r="C2853" t="str">
        <x:v>DM-13345</x:v>
      </x:c>
      <x:c r="D2853" t="str">
        <x:v>Denise Monton</x:v>
      </x:c>
      <x:c r="E2853" t="str">
        <x:v>Corporate</x:v>
      </x:c>
      <x:c r="F2853" t="str">
        <x:v>South</x:v>
      </x:c>
      <x:c r="G2853" t="str">
        <x:v>Furniture</x:v>
      </x:c>
      <x:c r="H2853" t="str">
        <x:v>Furnishings</x:v>
      </x:c>
      <x:c r="I2853" s="22" t="n">
        <x:v>56.28</x:v>
      </x:c>
      <x:c r="J2853" s="24" t="n">
        <x:v>6</x:v>
      </x:c>
      <x:c r="K2853" s="26" t="n">
        <x:v>0</x:v>
      </x:c>
      <x:c r="L2853" s="22" t="n">
        <x:v>15.758400000000002</x:v>
      </x:c>
      <x:c r="M2853" t="n">
        <x:v>2017</x:v>
      </x:c>
      <x:c r="N2853" s="20" t="n">
        <x:v>42826</x:v>
      </x:c>
    </x:row>
    <x:row r="2854" ht="18" customHeight="1">
      <x:c r="A2854" t="str">
        <x:v>CA-2017-157854</x:v>
      </x:c>
      <x:c r="B2854" s="18" t="n">
        <x:v>42833</x:v>
      </x:c>
      <x:c r="C2854" t="str">
        <x:v>DM-13345</x:v>
      </x:c>
      <x:c r="D2854" t="str">
        <x:v>Denise Monton</x:v>
      </x:c>
      <x:c r="E2854" t="str">
        <x:v>Corporate</x:v>
      </x:c>
      <x:c r="F2854" t="str">
        <x:v>South</x:v>
      </x:c>
      <x:c r="G2854" t="str">
        <x:v>Office Supplies</x:v>
      </x:c>
      <x:c r="H2854" t="str">
        <x:v>Binders</x:v>
      </x:c>
      <x:c r="I2854" s="22" t="n">
        <x:v>2690.9700000000003</x:v>
      </x:c>
      <x:c r="J2854" s="24" t="n">
        <x:v>3</x:v>
      </x:c>
      <x:c r="K2854" s="26" t="n">
        <x:v>0</x:v>
      </x:c>
      <x:c r="L2854" s="22" t="n">
        <x:v>1264.7558999999999</x:v>
      </x:c>
      <x:c r="M2854" t="n">
        <x:v>2017</x:v>
      </x:c>
      <x:c r="N2854" s="20" t="n">
        <x:v>42826</x:v>
      </x:c>
    </x:row>
    <x:row r="2855" ht="18" customHeight="1">
      <x:c r="A2855" t="str">
        <x:v>CA-2016-123617</x:v>
      </x:c>
      <x:c r="B2855" s="18" t="n">
        <x:v>42702</x:v>
      </x:c>
      <x:c r="C2855" t="str">
        <x:v>AJ-10780</x:v>
      </x:c>
      <x:c r="D2855" t="str">
        <x:v>Anthony Jacobs</x:v>
      </x:c>
      <x:c r="E2855" t="str">
        <x:v>Corporate</x:v>
      </x:c>
      <x:c r="F2855" t="str">
        <x:v>South</x:v>
      </x:c>
      <x:c r="G2855" t="str">
        <x:v>Office Supplies</x:v>
      </x:c>
      <x:c r="H2855" t="str">
        <x:v>Binders</x:v>
      </x:c>
      <x:c r="I2855" s="22" t="n">
        <x:v>7.434000000000001</x:v>
      </x:c>
      <x:c r="J2855" s="24" t="n">
        <x:v>6</x:v>
      </x:c>
      <x:c r="K2855" s="26" t="n">
        <x:v>0.7</x:v>
      </x:c>
      <x:c r="L2855" s="22" t="n">
        <x:v>-5.699399999999997</x:v>
      </x:c>
      <x:c r="M2855" t="n">
        <x:v>2016</x:v>
      </x:c>
      <x:c r="N2855" s="20" t="n">
        <x:v>42675</x:v>
      </x:c>
    </x:row>
    <x:row r="2856" ht="18" customHeight="1">
      <x:c r="A2856" t="str">
        <x:v>US-2016-128293</x:v>
      </x:c>
      <x:c r="B2856" s="18" t="n">
        <x:v>42523</x:v>
      </x:c>
      <x:c r="C2856" t="str">
        <x:v>KC-16255</x:v>
      </x:c>
      <x:c r="D2856" t="str">
        <x:v>Karen Carlisle</x:v>
      </x:c>
      <x:c r="E2856" t="str">
        <x:v>Corporate</x:v>
      </x:c>
      <x:c r="F2856" t="str">
        <x:v>East</x:v>
      </x:c>
      <x:c r="G2856" t="str">
        <x:v>Office Supplies</x:v>
      </x:c>
      <x:c r="H2856" t="str">
        <x:v>Storage</x:v>
      </x:c>
      <x:c r="I2856" s="22" t="n">
        <x:v>64.784</x:v>
      </x:c>
      <x:c r="J2856" s="24" t="n">
        <x:v>1</x:v>
      </x:c>
      <x:c r="K2856" s="26" t="n">
        <x:v>0.2</x:v>
      </x:c>
      <x:c r="L2856" s="22" t="n">
        <x:v>-12.956800000000005</x:v>
      </x:c>
      <x:c r="M2856" t="n">
        <x:v>2016</x:v>
      </x:c>
      <x:c r="N2856" s="20" t="n">
        <x:v>42522</x:v>
      </x:c>
    </x:row>
    <x:row r="2857" ht="18" customHeight="1">
      <x:c r="A2857" t="str">
        <x:v>CA-2017-107342</x:v>
      </x:c>
      <x:c r="B2857" s="18" t="n">
        <x:v>43086</x:v>
      </x:c>
      <x:c r="C2857" t="str">
        <x:v>VF-21715</x:v>
      </x:c>
      <x:c r="D2857" t="str">
        <x:v>Vicky Freymann</x:v>
      </x:c>
      <x:c r="E2857" t="str">
        <x:v>Home Office</x:v>
      </x:c>
      <x:c r="F2857" t="str">
        <x:v>Central</x:v>
      </x:c>
      <x:c r="G2857" t="str">
        <x:v>Office Supplies</x:v>
      </x:c>
      <x:c r="H2857" t="str">
        <x:v>Paper</x:v>
      </x:c>
      <x:c r="I2857" s="22" t="n">
        <x:v>28.16</x:v>
      </x:c>
      <x:c r="J2857" s="24" t="n">
        <x:v>4</x:v>
      </x:c>
      <x:c r="K2857" s="26" t="n">
        <x:v>0</x:v>
      </x:c>
      <x:c r="L2857" s="22" t="n">
        <x:v>13.235199999999999</x:v>
      </x:c>
      <x:c r="M2857" t="n">
        <x:v>2017</x:v>
      </x:c>
      <x:c r="N2857" s="20" t="n">
        <x:v>43070</x:v>
      </x:c>
    </x:row>
    <x:row r="2858" ht="18" customHeight="1">
      <x:c r="A2858" t="str">
        <x:v>CA-2016-136371</x:v>
      </x:c>
      <x:c r="B2858" s="18" t="n">
        <x:v>42448</x:v>
      </x:c>
      <x:c r="C2858" t="str">
        <x:v>SV-20935</x:v>
      </x:c>
      <x:c r="D2858" t="str">
        <x:v>Susan Vittorini</x:v>
      </x:c>
      <x:c r="E2858" t="str">
        <x:v>Consumer</x:v>
      </x:c>
      <x:c r="F2858" t="str">
        <x:v>East</x:v>
      </x:c>
      <x:c r="G2858" t="str">
        <x:v>Furniture</x:v>
      </x:c>
      <x:c r="H2858" t="str">
        <x:v>Furnishings</x:v>
      </x:c>
      <x:c r="I2858" s="22" t="n">
        <x:v>14.98</x:v>
      </x:c>
      <x:c r="J2858" s="24" t="n">
        <x:v>1</x:v>
      </x:c>
      <x:c r="K2858" s="26" t="n">
        <x:v>0</x:v>
      </x:c>
      <x:c r="L2858" s="22" t="n">
        <x:v>6.8908000000000005</x:v>
      </x:c>
      <x:c r="M2858" t="n">
        <x:v>2016</x:v>
      </x:c>
      <x:c r="N2858" s="20" t="n">
        <x:v>42430</x:v>
      </x:c>
    </x:row>
    <x:row r="2859" ht="18" customHeight="1">
      <x:c r="A2859" t="str">
        <x:v>CA-2016-136371</x:v>
      </x:c>
      <x:c r="B2859" s="18" t="n">
        <x:v>42448</x:v>
      </x:c>
      <x:c r="C2859" t="str">
        <x:v>SV-20935</x:v>
      </x:c>
      <x:c r="D2859" t="str">
        <x:v>Susan Vittorini</x:v>
      </x:c>
      <x:c r="E2859" t="str">
        <x:v>Consumer</x:v>
      </x:c>
      <x:c r="F2859" t="str">
        <x:v>East</x:v>
      </x:c>
      <x:c r="G2859" t="str">
        <x:v>Furniture</x:v>
      </x:c>
      <x:c r="H2859" t="str">
        <x:v>Furnishings</x:v>
      </x:c>
      <x:c r="I2859" s="22" t="n">
        <x:v>20.32</x:v>
      </x:c>
      <x:c r="J2859" s="24" t="n">
        <x:v>4</x:v>
      </x:c>
      <x:c r="K2859" s="26" t="n">
        <x:v>0</x:v>
      </x:c>
      <x:c r="L2859" s="22" t="n">
        <x:v>6.908799999999999</x:v>
      </x:c>
      <x:c r="M2859" t="n">
        <x:v>2016</x:v>
      </x:c>
      <x:c r="N2859" s="20" t="n">
        <x:v>42430</x:v>
      </x:c>
    </x:row>
    <x:row r="2860" ht="18" customHeight="1">
      <x:c r="A2860" t="str">
        <x:v>CA-2017-137344</x:v>
      </x:c>
      <x:c r="B2860" s="18" t="n">
        <x:v>42967</x:v>
      </x:c>
      <x:c r="C2860" t="str">
        <x:v>EM-13810</x:v>
      </x:c>
      <x:c r="D2860" t="str">
        <x:v>Eleni McCrary</x:v>
      </x:c>
      <x:c r="E2860" t="str">
        <x:v>Corporate</x:v>
      </x:c>
      <x:c r="F2860" t="str">
        <x:v>East</x:v>
      </x:c>
      <x:c r="G2860" t="str">
        <x:v>Office Supplies</x:v>
      </x:c>
      <x:c r="H2860" t="str">
        <x:v>Storage</x:v>
      </x:c>
      <x:c r="I2860" s="22" t="n">
        <x:v>40.29</x:v>
      </x:c>
      <x:c r="J2860" s="24" t="n">
        <x:v>3</x:v>
      </x:c>
      <x:c r="K2860" s="26" t="n">
        <x:v>0</x:v>
      </x:c>
      <x:c r="L2860" s="22" t="n">
        <x:v>10.475399999999999</x:v>
      </x:c>
      <x:c r="M2860" t="n">
        <x:v>2017</x:v>
      </x:c>
      <x:c r="N2860" s="20" t="n">
        <x:v>42948</x:v>
      </x:c>
    </x:row>
    <x:row r="2861" ht="18" customHeight="1">
      <x:c r="A2861" t="str">
        <x:v>CA-2017-169810</x:v>
      </x:c>
      <x:c r="B2861" s="18" t="n">
        <x:v>42941</x:v>
      </x:c>
      <x:c r="C2861" t="str">
        <x:v>RB-19360</x:v>
      </x:c>
      <x:c r="D2861" t="str">
        <x:v>Raymond Buch</x:v>
      </x:c>
      <x:c r="E2861" t="str">
        <x:v>Consumer</x:v>
      </x:c>
      <x:c r="F2861" t="str">
        <x:v>Central</x:v>
      </x:c>
      <x:c r="G2861" t="str">
        <x:v>Office Supplies</x:v>
      </x:c>
      <x:c r="H2861" t="str">
        <x:v>Labels</x:v>
      </x:c>
      <x:c r="I2861" s="22" t="n">
        <x:v>20.23</x:v>
      </x:c>
      <x:c r="J2861" s="24" t="n">
        <x:v>7</x:v>
      </x:c>
      <x:c r="K2861" s="26" t="n">
        <x:v>0</x:v>
      </x:c>
      <x:c r="L2861" s="22" t="n">
        <x:v>9.5081</x:v>
      </x:c>
      <x:c r="M2861" t="n">
        <x:v>2017</x:v>
      </x:c>
      <x:c r="N2861" s="20" t="n">
        <x:v>42917</x:v>
      </x:c>
    </x:row>
    <x:row r="2862" ht="18" customHeight="1">
      <x:c r="A2862" t="str">
        <x:v>CA-2016-128594</x:v>
      </x:c>
      <x:c r="B2862" s="18" t="n">
        <x:v>42608</x:v>
      </x:c>
      <x:c r="C2862" t="str">
        <x:v>DJ-13510</x:v>
      </x:c>
      <x:c r="D2862" t="str">
        <x:v>Don Jones</x:v>
      </x:c>
      <x:c r="E2862" t="str">
        <x:v>Corporate</x:v>
      </x:c>
      <x:c r="F2862" t="str">
        <x:v>West</x:v>
      </x:c>
      <x:c r="G2862" t="str">
        <x:v>Furniture</x:v>
      </x:c>
      <x:c r="H2862" t="str">
        <x:v>Chairs</x:v>
      </x:c>
      <x:c r="I2862" s="22" t="n">
        <x:v>1603.1360000000002</x:v>
      </x:c>
      <x:c r="J2862" s="24" t="n">
        <x:v>4</x:v>
      </x:c>
      <x:c r="K2862" s="26" t="n">
        <x:v>0.2</x:v>
      </x:c>
      <x:c r="L2862" s="22" t="n">
        <x:v>100.19599999999997</x:v>
      </x:c>
      <x:c r="M2862" t="n">
        <x:v>2016</x:v>
      </x:c>
      <x:c r="N2862" s="20" t="n">
        <x:v>42583</x:v>
      </x:c>
    </x:row>
    <x:row r="2863" ht="18" customHeight="1">
      <x:c r="A2863" t="str">
        <x:v>CA-2016-154690</x:v>
      </x:c>
      <x:c r="B2863" s="18" t="n">
        <x:v>42597</x:v>
      </x:c>
      <x:c r="C2863" t="str">
        <x:v>CC-12370</x:v>
      </x:c>
      <x:c r="D2863" t="str">
        <x:v>Christopher Conant</x:v>
      </x:c>
      <x:c r="E2863" t="str">
        <x:v>Consumer</x:v>
      </x:c>
      <x:c r="F2863" t="str">
        <x:v>South</x:v>
      </x:c>
      <x:c r="G2863" t="str">
        <x:v>Furniture</x:v>
      </x:c>
      <x:c r="H2863" t="str">
        <x:v>Chairs</x:v>
      </x:c>
      <x:c r="I2863" s="22" t="n">
        <x:v>225.29600000000002</x:v>
      </x:c>
      <x:c r="J2863" s="24" t="n">
        <x:v>2</x:v>
      </x:c>
      <x:c r="K2863" s="26" t="n">
        <x:v>0.2</x:v>
      </x:c>
      <x:c r="L2863" s="22" t="n">
        <x:v>22.529599999999995</x:v>
      </x:c>
      <x:c r="M2863" t="n">
        <x:v>2016</x:v>
      </x:c>
      <x:c r="N2863" s="20" t="n">
        <x:v>42583</x:v>
      </x:c>
    </x:row>
    <x:row r="2864" ht="18" customHeight="1">
      <x:c r="A2864" t="str">
        <x:v>CA-2017-138975</x:v>
      </x:c>
      <x:c r="B2864" s="18" t="n">
        <x:v>42874</x:v>
      </x:c>
      <x:c r="C2864" t="str">
        <x:v>SC-20380</x:v>
      </x:c>
      <x:c r="D2864" t="str">
        <x:v>Shahid Collister</x:v>
      </x:c>
      <x:c r="E2864" t="str">
        <x:v>Consumer</x:v>
      </x:c>
      <x:c r="F2864" t="str">
        <x:v>South</x:v>
      </x:c>
      <x:c r="G2864" t="str">
        <x:v>Technology</x:v>
      </x:c>
      <x:c r="H2864" t="str">
        <x:v>Accessories</x:v>
      </x:c>
      <x:c r="I2864" s="22" t="n">
        <x:v>67.8</x:v>
      </x:c>
      <x:c r="J2864" s="24" t="n">
        <x:v>4</x:v>
      </x:c>
      <x:c r="K2864" s="26" t="n">
        <x:v>0</x:v>
      </x:c>
      <x:c r="L2864" s="22" t="n">
        <x:v>4.067999999999998</x:v>
      </x:c>
      <x:c r="M2864" t="n">
        <x:v>2017</x:v>
      </x:c>
      <x:c r="N2864" s="20" t="n">
        <x:v>42856</x:v>
      </x:c>
    </x:row>
    <x:row r="2865" ht="18" customHeight="1">
      <x:c r="A2865" t="str">
        <x:v>CA-2017-138975</x:v>
      </x:c>
      <x:c r="B2865" s="18" t="n">
        <x:v>42874</x:v>
      </x:c>
      <x:c r="C2865" t="str">
        <x:v>SC-20380</x:v>
      </x:c>
      <x:c r="D2865" t="str">
        <x:v>Shahid Collister</x:v>
      </x:c>
      <x:c r="E2865" t="str">
        <x:v>Consumer</x:v>
      </x:c>
      <x:c r="F2865" t="str">
        <x:v>South</x:v>
      </x:c>
      <x:c r="G2865" t="str">
        <x:v>Technology</x:v>
      </x:c>
      <x:c r="H2865" t="str">
        <x:v>Phones</x:v>
      </x:c>
      <x:c r="I2865" s="22" t="n">
        <x:v>377.96999999999997</x:v>
      </x:c>
      <x:c r="J2865" s="24" t="n">
        <x:v>3</x:v>
      </x:c>
      <x:c r="K2865" s="26" t="n">
        <x:v>0</x:v>
      </x:c>
      <x:c r="L2865" s="22" t="n">
        <x:v>98.27220000000001</x:v>
      </x:c>
      <x:c r="M2865" t="n">
        <x:v>2017</x:v>
      </x:c>
      <x:c r="N2865" s="20" t="n">
        <x:v>42856</x:v>
      </x:c>
    </x:row>
    <x:row r="2866" ht="18" customHeight="1">
      <x:c r="A2866" t="str">
        <x:v>CA-2017-138975</x:v>
      </x:c>
      <x:c r="B2866" s="18" t="n">
        <x:v>42874</x:v>
      </x:c>
      <x:c r="C2866" t="str">
        <x:v>SC-20380</x:v>
      </x:c>
      <x:c r="D2866" t="str">
        <x:v>Shahid Collister</x:v>
      </x:c>
      <x:c r="E2866" t="str">
        <x:v>Consumer</x:v>
      </x:c>
      <x:c r="F2866" t="str">
        <x:v>South</x:v>
      </x:c>
      <x:c r="G2866" t="str">
        <x:v>Furniture</x:v>
      </x:c>
      <x:c r="H2866" t="str">
        <x:v>Bookcases</x:v>
      </x:c>
      <x:c r="I2866" s="22" t="n">
        <x:v>1628.82</x:v>
      </x:c>
      <x:c r="J2866" s="24" t="n">
        <x:v>9</x:v>
      </x:c>
      <x:c r="K2866" s="26" t="n">
        <x:v>0</x:v>
      </x:c>
      <x:c r="L2866" s="22" t="n">
        <x:v>374.6285999999999</x:v>
      </x:c>
      <x:c r="M2866" t="n">
        <x:v>2017</x:v>
      </x:c>
      <x:c r="N2866" s="20" t="n">
        <x:v>42856</x:v>
      </x:c>
    </x:row>
    <x:row r="2867" ht="18" customHeight="1">
      <x:c r="A2867" t="str">
        <x:v>CA-2017-138975</x:v>
      </x:c>
      <x:c r="B2867" s="18" t="n">
        <x:v>42874</x:v>
      </x:c>
      <x:c r="C2867" t="str">
        <x:v>SC-20380</x:v>
      </x:c>
      <x:c r="D2867" t="str">
        <x:v>Shahid Collister</x:v>
      </x:c>
      <x:c r="E2867" t="str">
        <x:v>Consumer</x:v>
      </x:c>
      <x:c r="F2867" t="str">
        <x:v>South</x:v>
      </x:c>
      <x:c r="G2867" t="str">
        <x:v>Office Supplies</x:v>
      </x:c>
      <x:c r="H2867" t="str">
        <x:v>Paper</x:v>
      </x:c>
      <x:c r="I2867" s="22" t="n">
        <x:v>286.93</x:v>
      </x:c>
      <x:c r="J2867" s="24" t="n">
        <x:v>7</x:v>
      </x:c>
      <x:c r="K2867" s="26" t="n">
        <x:v>0</x:v>
      </x:c>
      <x:c r="L2867" s="22" t="n">
        <x:v>140.5957</x:v>
      </x:c>
      <x:c r="M2867" t="n">
        <x:v>2017</x:v>
      </x:c>
      <x:c r="N2867" s="20" t="n">
        <x:v>42856</x:v>
      </x:c>
    </x:row>
    <x:row r="2868" ht="18" customHeight="1">
      <x:c r="A2868" t="str">
        <x:v>CA-2017-106537</x:v>
      </x:c>
      <x:c r="B2868" s="18" t="n">
        <x:v>42959</x:v>
      </x:c>
      <x:c r="C2868" t="str">
        <x:v>RH-19495</x:v>
      </x:c>
      <x:c r="D2868" t="str">
        <x:v>Rick Hansen</x:v>
      </x:c>
      <x:c r="E2868" t="str">
        <x:v>Consumer</x:v>
      </x:c>
      <x:c r="F2868" t="str">
        <x:v>South</x:v>
      </x:c>
      <x:c r="G2868" t="str">
        <x:v>Office Supplies</x:v>
      </x:c>
      <x:c r="H2868" t="str">
        <x:v>Paper</x:v>
      </x:c>
      <x:c r="I2868" s="22" t="n">
        <x:v>20.736000000000004</x:v>
      </x:c>
      <x:c r="J2868" s="24" t="n">
        <x:v>4</x:v>
      </x:c>
      <x:c r="K2868" s="26" t="n">
        <x:v>0.2</x:v>
      </x:c>
      <x:c r="L2868" s="22" t="n">
        <x:v>7.2576</x:v>
      </x:c>
      <x:c r="M2868" t="n">
        <x:v>2017</x:v>
      </x:c>
      <x:c r="N2868" s="20" t="n">
        <x:v>42948</x:v>
      </x:c>
    </x:row>
    <x:row r="2869" ht="18" customHeight="1">
      <x:c r="A2869" t="str">
        <x:v>US-2017-103828</x:v>
      </x:c>
      <x:c r="B2869" s="18" t="n">
        <x:v>42960</x:v>
      </x:c>
      <x:c r="C2869" t="str">
        <x:v>JK-15370</x:v>
      </x:c>
      <x:c r="D2869" t="str">
        <x:v>Jay Kimmel</x:v>
      </x:c>
      <x:c r="E2869" t="str">
        <x:v>Consumer</x:v>
      </x:c>
      <x:c r="F2869" t="str">
        <x:v>West</x:v>
      </x:c>
      <x:c r="G2869" t="str">
        <x:v>Office Supplies</x:v>
      </x:c>
      <x:c r="H2869" t="str">
        <x:v>Storage</x:v>
      </x:c>
      <x:c r="I2869" s="22" t="n">
        <x:v>31.44</x:v>
      </x:c>
      <x:c r="J2869" s="24" t="n">
        <x:v>3</x:v>
      </x:c>
      <x:c r="K2869" s="26" t="n">
        <x:v>0</x:v>
      </x:c>
      <x:c r="L2869" s="22" t="n">
        <x:v>8.488800000000001</x:v>
      </x:c>
      <x:c r="M2869" t="n">
        <x:v>2017</x:v>
      </x:c>
      <x:c r="N2869" s="20" t="n">
        <x:v>42948</x:v>
      </x:c>
    </x:row>
    <x:row r="2870" ht="18" customHeight="1">
      <x:c r="A2870" t="str">
        <x:v>US-2017-103828</x:v>
      </x:c>
      <x:c r="B2870" s="18" t="n">
        <x:v>42960</x:v>
      </x:c>
      <x:c r="C2870" t="str">
        <x:v>JK-15370</x:v>
      </x:c>
      <x:c r="D2870" t="str">
        <x:v>Jay Kimmel</x:v>
      </x:c>
      <x:c r="E2870" t="str">
        <x:v>Consumer</x:v>
      </x:c>
      <x:c r="F2870" t="str">
        <x:v>West</x:v>
      </x:c>
      <x:c r="G2870" t="str">
        <x:v>Office Supplies</x:v>
      </x:c>
      <x:c r="H2870" t="str">
        <x:v>Appliances</x:v>
      </x:c>
      <x:c r="I2870" s="22" t="n">
        <x:v>83.79</x:v>
      </x:c>
      <x:c r="J2870" s="24" t="n">
        <x:v>7</x:v>
      </x:c>
      <x:c r="K2870" s="26" t="n">
        <x:v>0</x:v>
      </x:c>
      <x:c r="L2870" s="22" t="n">
        <x:v>22.623299999999997</x:v>
      </x:c>
      <x:c r="M2870" t="n">
        <x:v>2017</x:v>
      </x:c>
      <x:c r="N2870" s="20" t="n">
        <x:v>42948</x:v>
      </x:c>
    </x:row>
    <x:row r="2871" ht="18" customHeight="1">
      <x:c r="A2871" t="str">
        <x:v>US-2017-103828</x:v>
      </x:c>
      <x:c r="B2871" s="18" t="n">
        <x:v>42960</x:v>
      </x:c>
      <x:c r="C2871" t="str">
        <x:v>JK-15370</x:v>
      </x:c>
      <x:c r="D2871" t="str">
        <x:v>Jay Kimmel</x:v>
      </x:c>
      <x:c r="E2871" t="str">
        <x:v>Consumer</x:v>
      </x:c>
      <x:c r="F2871" t="str">
        <x:v>West</x:v>
      </x:c>
      <x:c r="G2871" t="str">
        <x:v>Office Supplies</x:v>
      </x:c>
      <x:c r="H2871" t="str">
        <x:v>Art</x:v>
      </x:c>
      <x:c r="I2871" s="22" t="n">
        <x:v>59.519999999999996</x:v>
      </x:c>
      <x:c r="J2871" s="24" t="n">
        <x:v>3</x:v>
      </x:c>
      <x:c r="K2871" s="26" t="n">
        <x:v>0</x:v>
      </x:c>
      <x:c r="L2871" s="22" t="n">
        <x:v>15.475200000000001</x:v>
      </x:c>
      <x:c r="M2871" t="n">
        <x:v>2017</x:v>
      </x:c>
      <x:c r="N2871" s="20" t="n">
        <x:v>42948</x:v>
      </x:c>
    </x:row>
    <x:row r="2872" ht="18" customHeight="1">
      <x:c r="A2872" t="str">
        <x:v>US-2017-103828</x:v>
      </x:c>
      <x:c r="B2872" s="18" t="n">
        <x:v>42960</x:v>
      </x:c>
      <x:c r="C2872" t="str">
        <x:v>JK-15370</x:v>
      </x:c>
      <x:c r="D2872" t="str">
        <x:v>Jay Kimmel</x:v>
      </x:c>
      <x:c r="E2872" t="str">
        <x:v>Consumer</x:v>
      </x:c>
      <x:c r="F2872" t="str">
        <x:v>West</x:v>
      </x:c>
      <x:c r="G2872" t="str">
        <x:v>Office Supplies</x:v>
      </x:c>
      <x:c r="H2872" t="str">
        <x:v>Supplies</x:v>
      </x:c>
      <x:c r="I2872" s="22" t="n">
        <x:v>31.92</x:v>
      </x:c>
      <x:c r="J2872" s="24" t="n">
        <x:v>4</x:v>
      </x:c>
      <x:c r="K2872" s="26" t="n">
        <x:v>0</x:v>
      </x:c>
      <x:c r="L2872" s="22" t="n">
        <x:v>9.256799999999998</x:v>
      </x:c>
      <x:c r="M2872" t="n">
        <x:v>2017</x:v>
      </x:c>
      <x:c r="N2872" s="20" t="n">
        <x:v>42948</x:v>
      </x:c>
    </x:row>
    <x:row r="2873" ht="18" customHeight="1">
      <x:c r="A2873" t="str">
        <x:v>CA-2016-115588</x:v>
      </x:c>
      <x:c r="B2873" s="18" t="n">
        <x:v>42684</x:v>
      </x:c>
      <x:c r="C2873" t="str">
        <x:v>AF-10885</x:v>
      </x:c>
      <x:c r="D2873" t="str">
        <x:v>Art Foster</x:v>
      </x:c>
      <x:c r="E2873" t="str">
        <x:v>Consumer</x:v>
      </x:c>
      <x:c r="F2873" t="str">
        <x:v>East</x:v>
      </x:c>
      <x:c r="G2873" t="str">
        <x:v>Office Supplies</x:v>
      </x:c>
      <x:c r="H2873" t="str">
        <x:v>Supplies</x:v>
      </x:c>
      <x:c r="I2873" s="22" t="n">
        <x:v>14.720000000000002</x:v>
      </x:c>
      <x:c r="J2873" s="24" t="n">
        <x:v>5</x:v>
      </x:c>
      <x:c r="K2873" s="26" t="n">
        <x:v>0.2</x:v>
      </x:c>
      <x:c r="L2873" s="22" t="n">
        <x:v>-3.312000000000001</x:v>
      </x:c>
      <x:c r="M2873" t="n">
        <x:v>2016</x:v>
      </x:c>
      <x:c r="N2873" s="20" t="n">
        <x:v>42675</x:v>
      </x:c>
    </x:row>
    <x:row r="2874" ht="18" customHeight="1">
      <x:c r="A2874" t="str">
        <x:v>CA-2016-115588</x:v>
      </x:c>
      <x:c r="B2874" s="18" t="n">
        <x:v>42684</x:v>
      </x:c>
      <x:c r="C2874" t="str">
        <x:v>AF-10885</x:v>
      </x:c>
      <x:c r="D2874" t="str">
        <x:v>Art Foster</x:v>
      </x:c>
      <x:c r="E2874" t="str">
        <x:v>Consumer</x:v>
      </x:c>
      <x:c r="F2874" t="str">
        <x:v>East</x:v>
      </x:c>
      <x:c r="G2874" t="str">
        <x:v>Office Supplies</x:v>
      </x:c>
      <x:c r="H2874" t="str">
        <x:v>Storage</x:v>
      </x:c>
      <x:c r="I2874" s="22" t="n">
        <x:v>38.976</x:v>
      </x:c>
      <x:c r="J2874" s="24" t="n">
        <x:v>3</x:v>
      </x:c>
      <x:c r="K2874" s="26" t="n">
        <x:v>0.2</x:v>
      </x:c>
      <x:c r="L2874" s="22" t="n">
        <x:v>-2.436</x:v>
      </x:c>
      <x:c r="M2874" t="n">
        <x:v>2016</x:v>
      </x:c>
      <x:c r="N2874" s="20" t="n">
        <x:v>42675</x:v>
      </x:c>
    </x:row>
    <x:row r="2875" ht="18" customHeight="1">
      <x:c r="A2875" t="str">
        <x:v>CA-2017-143861</x:v>
      </x:c>
      <x:c r="B2875" s="18" t="n">
        <x:v>42898</x:v>
      </x:c>
      <x:c r="C2875" t="str">
        <x:v>LC-16885</x:v>
      </x:c>
      <x:c r="D2875" t="str">
        <x:v>Lena Creighton</x:v>
      </x:c>
      <x:c r="E2875" t="str">
        <x:v>Consumer</x:v>
      </x:c>
      <x:c r="F2875" t="str">
        <x:v>South</x:v>
      </x:c>
      <x:c r="G2875" t="str">
        <x:v>Furniture</x:v>
      </x:c>
      <x:c r="H2875" t="str">
        <x:v>Furnishings</x:v>
      </x:c>
      <x:c r="I2875" s="22" t="n">
        <x:v>17.088</x:v>
      </x:c>
      <x:c r="J2875" s="24" t="n">
        <x:v>2</x:v>
      </x:c>
      <x:c r="K2875" s="26" t="n">
        <x:v>0.2</x:v>
      </x:c>
      <x:c r="L2875" s="22" t="n">
        <x:v>1.0679999999999996</x:v>
      </x:c>
      <x:c r="M2875" t="n">
        <x:v>2017</x:v>
      </x:c>
      <x:c r="N2875" s="20" t="n">
        <x:v>42887</x:v>
      </x:c>
    </x:row>
    <x:row r="2876" ht="18" customHeight="1">
      <x:c r="A2876" t="str">
        <x:v>CA-2014-148040</x:v>
      </x:c>
      <x:c r="B2876" s="18" t="n">
        <x:v>41720</x:v>
      </x:c>
      <x:c r="C2876" t="str">
        <x:v>BF-11275</x:v>
      </x:c>
      <x:c r="D2876" t="str">
        <x:v>Beth Fritzler</x:v>
      </x:c>
      <x:c r="E2876" t="str">
        <x:v>Corporate</x:v>
      </x:c>
      <x:c r="F2876" t="str">
        <x:v>West</x:v>
      </x:c>
      <x:c r="G2876" t="str">
        <x:v>Office Supplies</x:v>
      </x:c>
      <x:c r="H2876" t="str">
        <x:v>Paper</x:v>
      </x:c>
      <x:c r="I2876" s="22" t="n">
        <x:v>74.352</x:v>
      </x:c>
      <x:c r="J2876" s="24" t="n">
        <x:v>3</x:v>
      </x:c>
      <x:c r="K2876" s="26" t="n">
        <x:v>0.2</x:v>
      </x:c>
      <x:c r="L2876" s="22" t="n">
        <x:v>23.234999999999992</x:v>
      </x:c>
      <x:c r="M2876" t="n">
        <x:v>2014</x:v>
      </x:c>
      <x:c r="N2876" s="20" t="n">
        <x:v>41699</x:v>
      </x:c>
    </x:row>
    <x:row r="2877" ht="18" customHeight="1">
      <x:c r="A2877" t="str">
        <x:v>CA-2014-148040</x:v>
      </x:c>
      <x:c r="B2877" s="18" t="n">
        <x:v>41720</x:v>
      </x:c>
      <x:c r="C2877" t="str">
        <x:v>BF-11275</x:v>
      </x:c>
      <x:c r="D2877" t="str">
        <x:v>Beth Fritzler</x:v>
      </x:c>
      <x:c r="E2877" t="str">
        <x:v>Corporate</x:v>
      </x:c>
      <x:c r="F2877" t="str">
        <x:v>West</x:v>
      </x:c>
      <x:c r="G2877" t="str">
        <x:v>Furniture</x:v>
      </x:c>
      <x:c r="H2877" t="str">
        <x:v>Chairs</x:v>
      </x:c>
      <x:c r="I2877" s="22" t="n">
        <x:v>314.352</x:v>
      </x:c>
      <x:c r="J2877" s="24" t="n">
        <x:v>3</x:v>
      </x:c>
      <x:c r="K2877" s="26" t="n">
        <x:v>0.2</x:v>
      </x:c>
      <x:c r="L2877" s="22" t="n">
        <x:v>-35.36460000000001</x:v>
      </x:c>
      <x:c r="M2877" t="n">
        <x:v>2014</x:v>
      </x:c>
      <x:c r="N2877" s="20" t="n">
        <x:v>41699</x:v>
      </x:c>
    </x:row>
    <x:row r="2878" ht="18" customHeight="1">
      <x:c r="A2878" t="str">
        <x:v>CA-2017-135167</x:v>
      </x:c>
      <x:c r="B2878" s="18" t="n">
        <x:v>42901</x:v>
      </x:c>
      <x:c r="C2878" t="str">
        <x:v>SC-20800</x:v>
      </x:c>
      <x:c r="D2878" t="str">
        <x:v>Stuart Calhoun</x:v>
      </x:c>
      <x:c r="E2878" t="str">
        <x:v>Consumer</x:v>
      </x:c>
      <x:c r="F2878" t="str">
        <x:v>West</x:v>
      </x:c>
      <x:c r="G2878" t="str">
        <x:v>Office Supplies</x:v>
      </x:c>
      <x:c r="H2878" t="str">
        <x:v>Art</x:v>
      </x:c>
      <x:c r="I2878" s="22" t="n">
        <x:v>4.26</x:v>
      </x:c>
      <x:c r="J2878" s="24" t="n">
        <x:v>1</x:v>
      </x:c>
      <x:c r="K2878" s="26" t="n">
        <x:v>0</x:v>
      </x:c>
      <x:c r="L2878" s="22" t="n">
        <x:v>1.7466</x:v>
      </x:c>
      <x:c r="M2878" t="n">
        <x:v>2017</x:v>
      </x:c>
      <x:c r="N2878" s="20" t="n">
        <x:v>42887</x:v>
      </x:c>
    </x:row>
    <x:row r="2879" ht="18" customHeight="1">
      <x:c r="A2879" t="str">
        <x:v>CA-2017-137022</x:v>
      </x:c>
      <x:c r="B2879" s="18" t="n">
        <x:v>43055</x:v>
      </x:c>
      <x:c r="C2879" t="str">
        <x:v>SW-20275</x:v>
      </x:c>
      <x:c r="D2879" t="str">
        <x:v>Scott Williamson</x:v>
      </x:c>
      <x:c r="E2879" t="str">
        <x:v>Consumer</x:v>
      </x:c>
      <x:c r="F2879" t="str">
        <x:v>West</x:v>
      </x:c>
      <x:c r="G2879" t="str">
        <x:v>Office Supplies</x:v>
      </x:c>
      <x:c r="H2879" t="str">
        <x:v>Storage</x:v>
      </x:c>
      <x:c r="I2879" s="22" t="n">
        <x:v>811.28</x:v>
      </x:c>
      <x:c r="J2879" s="24" t="n">
        <x:v>8</x:v>
      </x:c>
      <x:c r="K2879" s="26" t="n">
        <x:v>0</x:v>
      </x:c>
      <x:c r="L2879" s="22" t="n">
        <x:v>24.33839999999998</x:v>
      </x:c>
      <x:c r="M2879" t="n">
        <x:v>2017</x:v>
      </x:c>
      <x:c r="N2879" s="20" t="n">
        <x:v>43040</x:v>
      </x:c>
    </x:row>
    <x:row r="2880" ht="18" customHeight="1">
      <x:c r="A2880" t="str">
        <x:v>US-2017-102638</x:v>
      </x:c>
      <x:c r="B2880" s="18" t="n">
        <x:v>43098</x:v>
      </x:c>
      <x:c r="C2880" t="str">
        <x:v>MC-17845</x:v>
      </x:c>
      <x:c r="D2880" t="str">
        <x:v>Michael Chen</x:v>
      </x:c>
      <x:c r="E2880" t="str">
        <x:v>Consumer</x:v>
      </x:c>
      <x:c r="F2880" t="str">
        <x:v>East</x:v>
      </x:c>
      <x:c r="G2880" t="str">
        <x:v>Office Supplies</x:v>
      </x:c>
      <x:c r="H2880" t="str">
        <x:v>Fasteners</x:v>
      </x:c>
      <x:c r="I2880" s="22" t="n">
        <x:v>6.029999999999999</x:v>
      </x:c>
      <x:c r="J2880" s="24" t="n">
        <x:v>3</x:v>
      </x:c>
      <x:c r="K2880" s="26" t="n">
        <x:v>0</x:v>
      </x:c>
      <x:c r="L2880" s="22" t="n">
        <x:v>2.9547</x:v>
      </x:c>
      <x:c r="M2880" t="n">
        <x:v>2017</x:v>
      </x:c>
      <x:c r="N2880" s="20" t="n">
        <x:v>43070</x:v>
      </x:c>
    </x:row>
    <x:row r="2881" ht="18" customHeight="1">
      <x:c r="A2881" t="str">
        <x:v>US-2016-167339</x:v>
      </x:c>
      <x:c r="B2881" s="18" t="n">
        <x:v>42390</x:v>
      </x:c>
      <x:c r="C2881" t="str">
        <x:v>TD-20995</x:v>
      </x:c>
      <x:c r="D2881" t="str">
        <x:v>Tamara Dahlen</x:v>
      </x:c>
      <x:c r="E2881" t="str">
        <x:v>Consumer</x:v>
      </x:c>
      <x:c r="F2881" t="str">
        <x:v>West</x:v>
      </x:c>
      <x:c r="G2881" t="str">
        <x:v>Furniture</x:v>
      </x:c>
      <x:c r="H2881" t="str">
        <x:v>Chairs</x:v>
      </x:c>
      <x:c r="I2881" s="22" t="n">
        <x:v>153.568</x:v>
      </x:c>
      <x:c r="J2881" s="24" t="n">
        <x:v>2</x:v>
      </x:c>
      <x:c r="K2881" s="26" t="n">
        <x:v>0.2</x:v>
      </x:c>
      <x:c r="L2881" s="22" t="n">
        <x:v>-5.758800000000015</x:v>
      </x:c>
      <x:c r="M2881" t="n">
        <x:v>2016</x:v>
      </x:c>
      <x:c r="N2881" s="20" t="n">
        <x:v>42370</x:v>
      </x:c>
    </x:row>
    <x:row r="2882" ht="18" customHeight="1">
      <x:c r="A2882" t="str">
        <x:v>US-2016-167339</x:v>
      </x:c>
      <x:c r="B2882" s="18" t="n">
        <x:v>42390</x:v>
      </x:c>
      <x:c r="C2882" t="str">
        <x:v>TD-20995</x:v>
      </x:c>
      <x:c r="D2882" t="str">
        <x:v>Tamara Dahlen</x:v>
      </x:c>
      <x:c r="E2882" t="str">
        <x:v>Consumer</x:v>
      </x:c>
      <x:c r="F2882" t="str">
        <x:v>West</x:v>
      </x:c>
      <x:c r="G2882" t="str">
        <x:v>Furniture</x:v>
      </x:c>
      <x:c r="H2882" t="str">
        <x:v>Chairs</x:v>
      </x:c>
      <x:c r="I2882" s="22" t="n">
        <x:v>1013.4879999999999</x:v>
      </x:c>
      <x:c r="J2882" s="24" t="n">
        <x:v>7</x:v>
      </x:c>
      <x:c r="K2882" s="26" t="n">
        <x:v>0.2</x:v>
      </x:c>
      <x:c r="L2882" s="22" t="n">
        <x:v>76.01160000000002</x:v>
      </x:c>
      <x:c r="M2882" t="n">
        <x:v>2016</x:v>
      </x:c>
      <x:c r="N2882" s="20" t="n">
        <x:v>42370</x:v>
      </x:c>
    </x:row>
    <x:row r="2883" ht="18" customHeight="1">
      <x:c r="A2883" t="str">
        <x:v>CA-2016-152072</x:v>
      </x:c>
      <x:c r="B2883" s="18" t="n">
        <x:v>42384</x:v>
      </x:c>
      <x:c r="C2883" t="str">
        <x:v>Dp-13240</x:v>
      </x:c>
      <x:c r="D2883" t="str">
        <x:v>Dean percer</x:v>
      </x:c>
      <x:c r="E2883" t="str">
        <x:v>Home Office</x:v>
      </x:c>
      <x:c r="F2883" t="str">
        <x:v>East</x:v>
      </x:c>
      <x:c r="G2883" t="str">
        <x:v>Office Supplies</x:v>
      </x:c>
      <x:c r="H2883" t="str">
        <x:v>Envelopes</x:v>
      </x:c>
      <x:c r="I2883" s="22" t="n">
        <x:v>52.34</x:v>
      </x:c>
      <x:c r="J2883" s="24" t="n">
        <x:v>2</x:v>
      </x:c>
      <x:c r="K2883" s="26" t="n">
        <x:v>0</x:v>
      </x:c>
      <x:c r="L2883" s="22" t="n">
        <x:v>24.599800000000002</x:v>
      </x:c>
      <x:c r="M2883" t="n">
        <x:v>2016</x:v>
      </x:c>
      <x:c r="N2883" s="20" t="n">
        <x:v>42370</x:v>
      </x:c>
    </x:row>
    <x:row r="2884" ht="18" customHeight="1">
      <x:c r="A2884" t="str">
        <x:v>CA-2016-152072</x:v>
      </x:c>
      <x:c r="B2884" s="18" t="n">
        <x:v>42384</x:v>
      </x:c>
      <x:c r="C2884" t="str">
        <x:v>Dp-13240</x:v>
      </x:c>
      <x:c r="D2884" t="str">
        <x:v>Dean percer</x:v>
      </x:c>
      <x:c r="E2884" t="str">
        <x:v>Home Office</x:v>
      </x:c>
      <x:c r="F2884" t="str">
        <x:v>East</x:v>
      </x:c>
      <x:c r="G2884" t="str">
        <x:v>Office Supplies</x:v>
      </x:c>
      <x:c r="H2884" t="str">
        <x:v>Art</x:v>
      </x:c>
      <x:c r="I2884" s="22" t="n">
        <x:v>4.66</x:v>
      </x:c>
      <x:c r="J2884" s="24" t="n">
        <x:v>2</x:v>
      </x:c>
      <x:c r="K2884" s="26" t="n">
        <x:v>0</x:v>
      </x:c>
      <x:c r="L2884" s="22" t="n">
        <x:v>1.3513999999999995</x:v>
      </x:c>
      <x:c r="M2884" t="n">
        <x:v>2016</x:v>
      </x:c>
      <x:c r="N2884" s="20" t="n">
        <x:v>42370</x:v>
      </x:c>
    </x:row>
    <x:row r="2885" ht="18" customHeight="1">
      <x:c r="A2885" t="str">
        <x:v>CA-2016-152072</x:v>
      </x:c>
      <x:c r="B2885" s="18" t="n">
        <x:v>42384</x:v>
      </x:c>
      <x:c r="C2885" t="str">
        <x:v>Dp-13240</x:v>
      </x:c>
      <x:c r="D2885" t="str">
        <x:v>Dean percer</x:v>
      </x:c>
      <x:c r="E2885" t="str">
        <x:v>Home Office</x:v>
      </x:c>
      <x:c r="F2885" t="str">
        <x:v>East</x:v>
      </x:c>
      <x:c r="G2885" t="str">
        <x:v>Technology</x:v>
      </x:c>
      <x:c r="H2885" t="str">
        <x:v>Accessories</x:v>
      </x:c>
      <x:c r="I2885" s="22" t="n">
        <x:v>254.96999999999997</x:v>
      </x:c>
      <x:c r="J2885" s="24" t="n">
        <x:v>3</x:v>
      </x:c>
      <x:c r="K2885" s="26" t="n">
        <x:v>0</x:v>
      </x:c>
      <x:c r="L2885" s="22" t="n">
        <x:v>91.7892</x:v>
      </x:c>
      <x:c r="M2885" t="n">
        <x:v>2016</x:v>
      </x:c>
      <x:c r="N2885" s="20" t="n">
        <x:v>42370</x:v>
      </x:c>
    </x:row>
    <x:row r="2886" ht="18" customHeight="1">
      <x:c r="A2886" t="str">
        <x:v>CA-2016-102932</x:v>
      </x:c>
      <x:c r="B2886" s="18" t="n">
        <x:v>42632</x:v>
      </x:c>
      <x:c r="C2886" t="str">
        <x:v>SD-20485</x:v>
      </x:c>
      <x:c r="D2886" t="str">
        <x:v>Shirley Daniels</x:v>
      </x:c>
      <x:c r="E2886" t="str">
        <x:v>Home Office</x:v>
      </x:c>
      <x:c r="F2886" t="str">
        <x:v>East</x:v>
      </x:c>
      <x:c r="G2886" t="str">
        <x:v>Office Supplies</x:v>
      </x:c>
      <x:c r="H2886" t="str">
        <x:v>Binders</x:v>
      </x:c>
      <x:c r="I2886" s="22" t="n">
        <x:v>25.44</x:v>
      </x:c>
      <x:c r="J2886" s="24" t="n">
        <x:v>6</x:v>
      </x:c>
      <x:c r="K2886" s="26" t="n">
        <x:v>0</x:v>
      </x:c>
      <x:c r="L2886" s="22" t="n">
        <x:v>12.72</x:v>
      </x:c>
      <x:c r="M2886" t="n">
        <x:v>2016</x:v>
      </x:c>
      <x:c r="N2886" s="20" t="n">
        <x:v>42614</x:v>
      </x:c>
    </x:row>
    <x:row r="2887" ht="18" customHeight="1">
      <x:c r="A2887" t="str">
        <x:v>CA-2016-102932</x:v>
      </x:c>
      <x:c r="B2887" s="18" t="n">
        <x:v>42632</x:v>
      </x:c>
      <x:c r="C2887" t="str">
        <x:v>SD-20485</x:v>
      </x:c>
      <x:c r="D2887" t="str">
        <x:v>Shirley Daniels</x:v>
      </x:c>
      <x:c r="E2887" t="str">
        <x:v>Home Office</x:v>
      </x:c>
      <x:c r="F2887" t="str">
        <x:v>East</x:v>
      </x:c>
      <x:c r="G2887" t="str">
        <x:v>Office Supplies</x:v>
      </x:c>
      <x:c r="H2887" t="str">
        <x:v>Supplies</x:v>
      </x:c>
      <x:c r="I2887" s="22" t="n">
        <x:v>27.93</x:v>
      </x:c>
      <x:c r="J2887" s="24" t="n">
        <x:v>3</x:v>
      </x:c>
      <x:c r="K2887" s="26" t="n">
        <x:v>0</x:v>
      </x:c>
      <x:c r="L2887" s="22" t="n">
        <x:v>8.099699999999999</x:v>
      </x:c>
      <x:c r="M2887" t="n">
        <x:v>2016</x:v>
      </x:c>
      <x:c r="N2887" s="20" t="n">
        <x:v>42614</x:v>
      </x:c>
    </x:row>
    <x:row r="2888" ht="18" customHeight="1">
      <x:c r="A2888" t="str">
        <x:v>CA-2014-165540</x:v>
      </x:c>
      <x:c r="B2888" s="18" t="n">
        <x:v>41691</x:v>
      </x:c>
      <x:c r="C2888" t="str">
        <x:v>TM-21010</x:v>
      </x:c>
      <x:c r="D2888" t="str">
        <x:v>Tamara Manning</x:v>
      </x:c>
      <x:c r="E2888" t="str">
        <x:v>Consumer</x:v>
      </x:c>
      <x:c r="F2888" t="str">
        <x:v>Central</x:v>
      </x:c>
      <x:c r="G2888" t="str">
        <x:v>Office Supplies</x:v>
      </x:c>
      <x:c r="H2888" t="str">
        <x:v>Binders</x:v>
      </x:c>
      <x:c r="I2888" s="22" t="n">
        <x:v>8.849999999999998</x:v>
      </x:c>
      <x:c r="J2888" s="24" t="n">
        <x:v>5</x:v>
      </x:c>
      <x:c r="K2888" s="26" t="n">
        <x:v>0.8</x:v>
      </x:c>
      <x:c r="L2888" s="22" t="n">
        <x:v>-13.717499999999998</x:v>
      </x:c>
      <x:c r="M2888" t="n">
        <x:v>2014</x:v>
      </x:c>
      <x:c r="N2888" s="20" t="n">
        <x:v>41671</x:v>
      </x:c>
    </x:row>
    <x:row r="2889" ht="18" customHeight="1">
      <x:c r="A2889" t="str">
        <x:v>CA-2016-130799</x:v>
      </x:c>
      <x:c r="B2889" s="18" t="n">
        <x:v>42685</x:v>
      </x:c>
      <x:c r="C2889" t="str">
        <x:v>BK-11260</x:v>
      </x:c>
      <x:c r="D2889" t="str">
        <x:v>Berenike Kampe</x:v>
      </x:c>
      <x:c r="E2889" t="str">
        <x:v>Consumer</x:v>
      </x:c>
      <x:c r="F2889" t="str">
        <x:v>West</x:v>
      </x:c>
      <x:c r="G2889" t="str">
        <x:v>Furniture</x:v>
      </x:c>
      <x:c r="H2889" t="str">
        <x:v>Furnishings</x:v>
      </x:c>
      <x:c r="I2889" s="22" t="n">
        <x:v>6.96</x:v>
      </x:c>
      <x:c r="J2889" s="24" t="n">
        <x:v>4</x:v>
      </x:c>
      <x:c r="K2889" s="26" t="n">
        <x:v>0</x:v>
      </x:c>
      <x:c r="L2889" s="22" t="n">
        <x:v>2.2272</x:v>
      </x:c>
      <x:c r="M2889" t="n">
        <x:v>2016</x:v>
      </x:c>
      <x:c r="N2889" s="20" t="n">
        <x:v>42675</x:v>
      </x:c>
    </x:row>
    <x:row r="2890" ht="18" customHeight="1">
      <x:c r="A2890" t="str">
        <x:v>CA-2016-164483</x:v>
      </x:c>
      <x:c r="B2890" s="18" t="n">
        <x:v>42399</x:v>
      </x:c>
      <x:c r="C2890" t="str">
        <x:v>JF-15490</x:v>
      </x:c>
      <x:c r="D2890" t="str">
        <x:v>Jeremy Farry</x:v>
      </x:c>
      <x:c r="E2890" t="str">
        <x:v>Consumer</x:v>
      </x:c>
      <x:c r="F2890" t="str">
        <x:v>West</x:v>
      </x:c>
      <x:c r="G2890" t="str">
        <x:v>Office Supplies</x:v>
      </x:c>
      <x:c r="H2890" t="str">
        <x:v>Binders</x:v>
      </x:c>
      <x:c r="I2890" s="22" t="n">
        <x:v>17.456</x:v>
      </x:c>
      <x:c r="J2890" s="24" t="n">
        <x:v>2</x:v>
      </x:c>
      <x:c r="K2890" s="26" t="n">
        <x:v>0.2</x:v>
      </x:c>
      <x:c r="L2890" s="22" t="n">
        <x:v>5.8914</x:v>
      </x:c>
      <x:c r="M2890" t="n">
        <x:v>2016</x:v>
      </x:c>
      <x:c r="N2890" s="20" t="n">
        <x:v>42370</x:v>
      </x:c>
    </x:row>
    <x:row r="2891" ht="18" customHeight="1">
      <x:c r="A2891" t="str">
        <x:v>US-2016-159856</x:v>
      </x:c>
      <x:c r="B2891" s="18" t="n">
        <x:v>42661</x:v>
      </x:c>
      <x:c r="C2891" t="str">
        <x:v>EP-13915</x:v>
      </x:c>
      <x:c r="D2891" t="str">
        <x:v>Emily Phan</x:v>
      </x:c>
      <x:c r="E2891" t="str">
        <x:v>Consumer</x:v>
      </x:c>
      <x:c r="F2891" t="str">
        <x:v>West</x:v>
      </x:c>
      <x:c r="G2891" t="str">
        <x:v>Furniture</x:v>
      </x:c>
      <x:c r="H2891" t="str">
        <x:v>Chairs</x:v>
      </x:c>
      <x:c r="I2891" s="22" t="n">
        <x:v>307.92</x:v>
      </x:c>
      <x:c r="J2891" s="24" t="n">
        <x:v>5</x:v>
      </x:c>
      <x:c r="K2891" s="26" t="n">
        <x:v>0.2</x:v>
      </x:c>
      <x:c r="L2891" s="22" t="n">
        <x:v>-34.64100000000002</x:v>
      </x:c>
      <x:c r="M2891" t="n">
        <x:v>2016</x:v>
      </x:c>
      <x:c r="N2891" s="20" t="n">
        <x:v>42644</x:v>
      </x:c>
    </x:row>
    <x:row r="2892" ht="18" customHeight="1">
      <x:c r="A2892" t="str">
        <x:v>CA-2017-102099</x:v>
      </x:c>
      <x:c r="B2892" s="18" t="n">
        <x:v>43087</x:v>
      </x:c>
      <x:c r="C2892" t="str">
        <x:v>EP-13915</x:v>
      </x:c>
      <x:c r="D2892" t="str">
        <x:v>Emily Phan</x:v>
      </x:c>
      <x:c r="E2892" t="str">
        <x:v>Consumer</x:v>
      </x:c>
      <x:c r="F2892" t="str">
        <x:v>West</x:v>
      </x:c>
      <x:c r="G2892" t="str">
        <x:v>Office Supplies</x:v>
      </x:c>
      <x:c r="H2892" t="str">
        <x:v>Art</x:v>
      </x:c>
      <x:c r="I2892" s="22" t="n">
        <x:v>6.63</x:v>
      </x:c>
      <x:c r="J2892" s="24" t="n">
        <x:v>3</x:v>
      </x:c>
      <x:c r="K2892" s="26" t="n">
        <x:v>0</x:v>
      </x:c>
      <x:c r="L2892" s="22" t="n">
        <x:v>1.7901</x:v>
      </x:c>
      <x:c r="M2892" t="n">
        <x:v>2017</x:v>
      </x:c>
      <x:c r="N2892" s="20" t="n">
        <x:v>43070</x:v>
      </x:c>
    </x:row>
    <x:row r="2893" ht="18" customHeight="1">
      <x:c r="A2893" t="str">
        <x:v>CA-2017-102099</x:v>
      </x:c>
      <x:c r="B2893" s="18" t="n">
        <x:v>43087</x:v>
      </x:c>
      <x:c r="C2893" t="str">
        <x:v>EP-13915</x:v>
      </x:c>
      <x:c r="D2893" t="str">
        <x:v>Emily Phan</x:v>
      </x:c>
      <x:c r="E2893" t="str">
        <x:v>Consumer</x:v>
      </x:c>
      <x:c r="F2893" t="str">
        <x:v>West</x:v>
      </x:c>
      <x:c r="G2893" t="str">
        <x:v>Office Supplies</x:v>
      </x:c>
      <x:c r="H2893" t="str">
        <x:v>Paper</x:v>
      </x:c>
      <x:c r="I2893" s="22" t="n">
        <x:v>12.96</x:v>
      </x:c>
      <x:c r="J2893" s="24" t="n">
        <x:v>2</x:v>
      </x:c>
      <x:c r="K2893" s="26" t="n">
        <x:v>0</x:v>
      </x:c>
      <x:c r="L2893" s="22" t="n">
        <x:v>6.2208000000000006</x:v>
      </x:c>
      <x:c r="M2893" t="n">
        <x:v>2017</x:v>
      </x:c>
      <x:c r="N2893" s="20" t="n">
        <x:v>43070</x:v>
      </x:c>
    </x:row>
    <x:row r="2894" ht="18" customHeight="1">
      <x:c r="A2894" t="str">
        <x:v>CA-2017-102099</x:v>
      </x:c>
      <x:c r="B2894" s="18" t="n">
        <x:v>43087</x:v>
      </x:c>
      <x:c r="C2894" t="str">
        <x:v>EP-13915</x:v>
      </x:c>
      <x:c r="D2894" t="str">
        <x:v>Emily Phan</x:v>
      </x:c>
      <x:c r="E2894" t="str">
        <x:v>Consumer</x:v>
      </x:c>
      <x:c r="F2894" t="str">
        <x:v>West</x:v>
      </x:c>
      <x:c r="G2894" t="str">
        <x:v>Office Supplies</x:v>
      </x:c>
      <x:c r="H2894" t="str">
        <x:v>Paper</x:v>
      </x:c>
      <x:c r="I2894" s="22" t="n">
        <x:v>32.400000000000006</x:v>
      </x:c>
      <x:c r="J2894" s="24" t="n">
        <x:v>5</x:v>
      </x:c>
      <x:c r="K2894" s="26" t="n">
        <x:v>0</x:v>
      </x:c>
      <x:c r="L2894" s="22" t="n">
        <x:v>15.552000000000001</x:v>
      </x:c>
      <x:c r="M2894" t="n">
        <x:v>2017</x:v>
      </x:c>
      <x:c r="N2894" s="20" t="n">
        <x:v>43070</x:v>
      </x:c>
    </x:row>
    <x:row r="2895" ht="18" customHeight="1">
      <x:c r="A2895" t="str">
        <x:v>CA-2017-164049</x:v>
      </x:c>
      <x:c r="B2895" s="18" t="n">
        <x:v>43041</x:v>
      </x:c>
      <x:c r="C2895" t="str">
        <x:v>KH-16630</x:v>
      </x:c>
      <x:c r="D2895" t="str">
        <x:v>Ken Heidel</x:v>
      </x:c>
      <x:c r="E2895" t="str">
        <x:v>Corporate</x:v>
      </x:c>
      <x:c r="F2895" t="str">
        <x:v>West</x:v>
      </x:c>
      <x:c r="G2895" t="str">
        <x:v>Office Supplies</x:v>
      </x:c>
      <x:c r="H2895" t="str">
        <x:v>Paper</x:v>
      </x:c>
      <x:c r="I2895" s="22" t="n">
        <x:v>23.849999999999998</x:v>
      </x:c>
      <x:c r="J2895" s="24" t="n">
        <x:v>5</x:v>
      </x:c>
      <x:c r="K2895" s="26" t="n">
        <x:v>0</x:v>
      </x:c>
      <x:c r="L2895" s="22" t="n">
        <x:v>10.732499999999998</x:v>
      </x:c>
      <x:c r="M2895" t="n">
        <x:v>2017</x:v>
      </x:c>
      <x:c r="N2895" s="20" t="n">
        <x:v>43040</x:v>
      </x:c>
    </x:row>
    <x:row r="2896" ht="18" customHeight="1">
      <x:c r="A2896" t="str">
        <x:v>CA-2014-142727</x:v>
      </x:c>
      <x:c r="B2896" s="18" t="n">
        <x:v>41758</x:v>
      </x:c>
      <x:c r="C2896" t="str">
        <x:v>HG-14845</x:v>
      </x:c>
      <x:c r="D2896" t="str">
        <x:v>Harry Greene</x:v>
      </x:c>
      <x:c r="E2896" t="str">
        <x:v>Consumer</x:v>
      </x:c>
      <x:c r="F2896" t="str">
        <x:v>South</x:v>
      </x:c>
      <x:c r="G2896" t="str">
        <x:v>Furniture</x:v>
      </x:c>
      <x:c r="H2896" t="str">
        <x:v>Chairs</x:v>
      </x:c>
      <x:c r="I2896" s="22" t="n">
        <x:v>51.96</x:v>
      </x:c>
      <x:c r="J2896" s="24" t="n">
        <x:v>2</x:v>
      </x:c>
      <x:c r="K2896" s="26" t="n">
        <x:v>0</x:v>
      </x:c>
      <x:c r="L2896" s="22" t="n">
        <x:v>12.990000000000002</x:v>
      </x:c>
      <x:c r="M2896" t="n">
        <x:v>2014</x:v>
      </x:c>
      <x:c r="N2896" s="20" t="n">
        <x:v>41730</x:v>
      </x:c>
    </x:row>
    <x:row r="2897" ht="18" customHeight="1">
      <x:c r="A2897" t="str">
        <x:v>CA-2014-142727</x:v>
      </x:c>
      <x:c r="B2897" s="18" t="n">
        <x:v>41758</x:v>
      </x:c>
      <x:c r="C2897" t="str">
        <x:v>HG-14845</x:v>
      </x:c>
      <x:c r="D2897" t="str">
        <x:v>Harry Greene</x:v>
      </x:c>
      <x:c r="E2897" t="str">
        <x:v>Consumer</x:v>
      </x:c>
      <x:c r="F2897" t="str">
        <x:v>South</x:v>
      </x:c>
      <x:c r="G2897" t="str">
        <x:v>Office Supplies</x:v>
      </x:c>
      <x:c r="H2897" t="str">
        <x:v>Binders</x:v>
      </x:c>
      <x:c r="I2897" s="22" t="n">
        <x:v>17.94</x:v>
      </x:c>
      <x:c r="J2897" s="24" t="n">
        <x:v>3</x:v>
      </x:c>
      <x:c r="K2897" s="26" t="n">
        <x:v>0</x:v>
      </x:c>
      <x:c r="L2897" s="22" t="n">
        <x:v>8.6112</x:v>
      </x:c>
      <x:c r="M2897" t="n">
        <x:v>2014</x:v>
      </x:c>
      <x:c r="N2897" s="20" t="n">
        <x:v>41730</x:v>
      </x:c>
    </x:row>
    <x:row r="2898" ht="18" customHeight="1">
      <x:c r="A2898" t="str">
        <x:v>CA-2017-139913</x:v>
      </x:c>
      <x:c r="B2898" s="18" t="n">
        <x:v>43031</x:v>
      </x:c>
      <x:c r="C2898" t="str">
        <x:v>JC-16105</x:v>
      </x:c>
      <x:c r="D2898" t="str">
        <x:v>Julie Creighton</x:v>
      </x:c>
      <x:c r="E2898" t="str">
        <x:v>Corporate</x:v>
      </x:c>
      <x:c r="F2898" t="str">
        <x:v>East</x:v>
      </x:c>
      <x:c r="G2898" t="str">
        <x:v>Office Supplies</x:v>
      </x:c>
      <x:c r="H2898" t="str">
        <x:v>Paper</x:v>
      </x:c>
      <x:c r="I2898" s="22" t="n">
        <x:v>11.56</x:v>
      </x:c>
      <x:c r="J2898" s="24" t="n">
        <x:v>2</x:v>
      </x:c>
      <x:c r="K2898" s="26" t="n">
        <x:v>0</x:v>
      </x:c>
      <x:c r="L2898" s="22" t="n">
        <x:v>5.6644000000000005</x:v>
      </x:c>
      <x:c r="M2898" t="n">
        <x:v>2017</x:v>
      </x:c>
      <x:c r="N2898" s="20" t="n">
        <x:v>43009</x:v>
      </x:c>
    </x:row>
    <x:row r="2899" ht="18" customHeight="1">
      <x:c r="A2899" t="str">
        <x:v>CA-2017-139913</x:v>
      </x:c>
      <x:c r="B2899" s="18" t="n">
        <x:v>43031</x:v>
      </x:c>
      <x:c r="C2899" t="str">
        <x:v>JC-16105</x:v>
      </x:c>
      <x:c r="D2899" t="str">
        <x:v>Julie Creighton</x:v>
      </x:c>
      <x:c r="E2899" t="str">
        <x:v>Corporate</x:v>
      </x:c>
      <x:c r="F2899" t="str">
        <x:v>East</x:v>
      </x:c>
      <x:c r="G2899" t="str">
        <x:v>Office Supplies</x:v>
      </x:c>
      <x:c r="H2899" t="str">
        <x:v>Paper</x:v>
      </x:c>
      <x:c r="I2899" s="22" t="n">
        <x:v>26.400000000000002</x:v>
      </x:c>
      <x:c r="J2899" s="24" t="n">
        <x:v>5</x:v>
      </x:c>
      <x:c r="K2899" s="26" t="n">
        <x:v>0</x:v>
      </x:c>
      <x:c r="L2899" s="22" t="n">
        <x:v>11.879999999999999</x:v>
      </x:c>
      <x:c r="M2899" t="n">
        <x:v>2017</x:v>
      </x:c>
      <x:c r="N2899" s="20" t="n">
        <x:v>43009</x:v>
      </x:c>
    </x:row>
    <x:row r="2900" ht="18" customHeight="1">
      <x:c r="A2900" t="str">
        <x:v>CA-2017-139913</x:v>
      </x:c>
      <x:c r="B2900" s="18" t="n">
        <x:v>43031</x:v>
      </x:c>
      <x:c r="C2900" t="str">
        <x:v>JC-16105</x:v>
      </x:c>
      <x:c r="D2900" t="str">
        <x:v>Julie Creighton</x:v>
      </x:c>
      <x:c r="E2900" t="str">
        <x:v>Corporate</x:v>
      </x:c>
      <x:c r="F2900" t="str">
        <x:v>East</x:v>
      </x:c>
      <x:c r="G2900" t="str">
        <x:v>Furniture</x:v>
      </x:c>
      <x:c r="H2900" t="str">
        <x:v>Furnishings</x:v>
      </x:c>
      <x:c r="I2900" s="22" t="n">
        <x:v>69.08</x:v>
      </x:c>
      <x:c r="J2900" s="24" t="n">
        <x:v>11</x:v>
      </x:c>
      <x:c r="K2900" s="26" t="n">
        <x:v>0</x:v>
      </x:c>
      <x:c r="L2900" s="22" t="n">
        <x:v>29.013600000000004</x:v>
      </x:c>
      <x:c r="M2900" t="n">
        <x:v>2017</x:v>
      </x:c>
      <x:c r="N2900" s="20" t="n">
        <x:v>43009</x:v>
      </x:c>
    </x:row>
    <x:row r="2901" ht="18" customHeight="1">
      <x:c r="A2901" t="str">
        <x:v>CA-2017-139913</x:v>
      </x:c>
      <x:c r="B2901" s="18" t="n">
        <x:v>43031</x:v>
      </x:c>
      <x:c r="C2901" t="str">
        <x:v>JC-16105</x:v>
      </x:c>
      <x:c r="D2901" t="str">
        <x:v>Julie Creighton</x:v>
      </x:c>
      <x:c r="E2901" t="str">
        <x:v>Corporate</x:v>
      </x:c>
      <x:c r="F2901" t="str">
        <x:v>East</x:v>
      </x:c>
      <x:c r="G2901" t="str">
        <x:v>Technology</x:v>
      </x:c>
      <x:c r="H2901" t="str">
        <x:v>Phones</x:v>
      </x:c>
      <x:c r="I2901" s="22" t="n">
        <x:v>35.88</x:v>
      </x:c>
      <x:c r="J2901" s="24" t="n">
        <x:v>3</x:v>
      </x:c>
      <x:c r="K2901" s="26" t="n">
        <x:v>0</x:v>
      </x:c>
      <x:c r="L2901" s="22" t="n">
        <x:v>10.046400000000002</x:v>
      </x:c>
      <x:c r="M2901" t="n">
        <x:v>2017</x:v>
      </x:c>
      <x:c r="N2901" s="20" t="n">
        <x:v>43009</x:v>
      </x:c>
    </x:row>
    <x:row r="2902" ht="18" customHeight="1">
      <x:c r="A2902" t="str">
        <x:v>CA-2014-169033</x:v>
      </x:c>
      <x:c r="B2902" s="18" t="n">
        <x:v>41728</x:v>
      </x:c>
      <x:c r="C2902" t="str">
        <x:v>KM-16720</x:v>
      </x:c>
      <x:c r="D2902" t="str">
        <x:v>Kunst Miller</x:v>
      </x:c>
      <x:c r="E2902" t="str">
        <x:v>Consumer</x:v>
      </x:c>
      <x:c r="F2902" t="str">
        <x:v>East</x:v>
      </x:c>
      <x:c r="G2902" t="str">
        <x:v>Office Supplies</x:v>
      </x:c>
      <x:c r="H2902" t="str">
        <x:v>Art</x:v>
      </x:c>
      <x:c r="I2902" s="22" t="n">
        <x:v>49.65</x:v>
      </x:c>
      <x:c r="J2902" s="24" t="n">
        <x:v>5</x:v>
      </x:c>
      <x:c r="K2902" s="26" t="n">
        <x:v>0</x:v>
      </x:c>
      <x:c r="L2902" s="22" t="n">
        <x:v>20.853</x:v>
      </x:c>
      <x:c r="M2902" t="n">
        <x:v>2014</x:v>
      </x:c>
      <x:c r="N2902" s="20" t="n">
        <x:v>41699</x:v>
      </x:c>
    </x:row>
    <x:row r="2903" ht="18" customHeight="1">
      <x:c r="A2903" t="str">
        <x:v>US-2016-164630</x:v>
      </x:c>
      <x:c r="B2903" s="18" t="n">
        <x:v>42373</x:v>
      </x:c>
      <x:c r="C2903" t="str">
        <x:v>EB-13975</x:v>
      </x:c>
      <x:c r="D2903" t="str">
        <x:v>Erica Bern</x:v>
      </x:c>
      <x:c r="E2903" t="str">
        <x:v>Corporate</x:v>
      </x:c>
      <x:c r="F2903" t="str">
        <x:v>South</x:v>
      </x:c>
      <x:c r="G2903" t="str">
        <x:v>Technology</x:v>
      </x:c>
      <x:c r="H2903" t="str">
        <x:v>Copiers</x:v>
      </x:c>
      <x:c r="I2903" s="22" t="n">
        <x:v>959.9680000000001</x:v>
      </x:c>
      <x:c r="J2903" s="24" t="n">
        <x:v>4</x:v>
      </x:c>
      <x:c r="K2903" s="26" t="n">
        <x:v>0.2</x:v>
      </x:c>
      <x:c r="L2903" s="22" t="n">
        <x:v>119.99599999999992</x:v>
      </x:c>
      <x:c r="M2903" t="n">
        <x:v>2016</x:v>
      </x:c>
      <x:c r="N2903" s="20" t="n">
        <x:v>42370</x:v>
      </x:c>
    </x:row>
    <x:row r="2904" ht="18" customHeight="1">
      <x:c r="A2904" t="str">
        <x:v>US-2015-114839</x:v>
      </x:c>
      <x:c r="B2904" s="18" t="n">
        <x:v>42120</x:v>
      </x:c>
      <x:c r="C2904" t="str">
        <x:v>PW-19240</x:v>
      </x:c>
      <x:c r="D2904" t="str">
        <x:v>Pierre Wener</x:v>
      </x:c>
      <x:c r="E2904" t="str">
        <x:v>Consumer</x:v>
      </x:c>
      <x:c r="F2904" t="str">
        <x:v>Central</x:v>
      </x:c>
      <x:c r="G2904" t="str">
        <x:v>Furniture</x:v>
      </x:c>
      <x:c r="H2904" t="str">
        <x:v>Chairs</x:v>
      </x:c>
      <x:c r="I2904" s="22" t="n">
        <x:v>408.422</x:v>
      </x:c>
      <x:c r="J2904" s="24" t="n">
        <x:v>2</x:v>
      </x:c>
      <x:c r="K2904" s="26" t="n">
        <x:v>0.3</x:v>
      </x:c>
      <x:c r="L2904" s="22" t="n">
        <x:v>-5.834600000000023</x:v>
      </x:c>
      <x:c r="M2904" t="n">
        <x:v>2015</x:v>
      </x:c>
      <x:c r="N2904" s="20" t="n">
        <x:v>42095</x:v>
      </x:c>
    </x:row>
    <x:row r="2905" ht="18" customHeight="1">
      <x:c r="A2905" t="str">
        <x:v>CA-2015-166464</x:v>
      </x:c>
      <x:c r="B2905" s="18" t="n">
        <x:v>42259</x:v>
      </x:c>
      <x:c r="C2905" t="str">
        <x:v>PG-18895</x:v>
      </x:c>
      <x:c r="D2905" t="str">
        <x:v>Paul Gonzalez</x:v>
      </x:c>
      <x:c r="E2905" t="str">
        <x:v>Consumer</x:v>
      </x:c>
      <x:c r="F2905" t="str">
        <x:v>East</x:v>
      </x:c>
      <x:c r="G2905" t="str">
        <x:v>Technology</x:v>
      </x:c>
      <x:c r="H2905" t="str">
        <x:v>Copiers</x:v>
      </x:c>
      <x:c r="I2905" s="22" t="n">
        <x:v>479.98400000000004</x:v>
      </x:c>
      <x:c r="J2905" s="24" t="n">
        <x:v>2</x:v>
      </x:c>
      <x:c r="K2905" s="26" t="n">
        <x:v>0.2</x:v>
      </x:c>
      <x:c r="L2905" s="22" t="n">
        <x:v>59.99799999999996</x:v>
      </x:c>
      <x:c r="M2905" t="n">
        <x:v>2015</x:v>
      </x:c>
      <x:c r="N2905" s="20" t="n">
        <x:v>42248</x:v>
      </x:c>
    </x:row>
    <x:row r="2906" ht="18" customHeight="1">
      <x:c r="A2906" t="str">
        <x:v>CA-2015-166464</x:v>
      </x:c>
      <x:c r="B2906" s="18" t="n">
        <x:v>42259</x:v>
      </x:c>
      <x:c r="C2906" t="str">
        <x:v>PG-18895</x:v>
      </x:c>
      <x:c r="D2906" t="str">
        <x:v>Paul Gonzalez</x:v>
      </x:c>
      <x:c r="E2906" t="str">
        <x:v>Consumer</x:v>
      </x:c>
      <x:c r="F2906" t="str">
        <x:v>East</x:v>
      </x:c>
      <x:c r="G2906" t="str">
        <x:v>Office Supplies</x:v>
      </x:c>
      <x:c r="H2906" t="str">
        <x:v>Labels</x:v>
      </x:c>
      <x:c r="I2906" s="22" t="n">
        <x:v>12.6</x:v>
      </x:c>
      <x:c r="J2906" s="24" t="n">
        <x:v>4</x:v>
      </x:c>
      <x:c r="K2906" s="26" t="n">
        <x:v>0</x:v>
      </x:c>
      <x:c r="L2906" s="22" t="n">
        <x:v>6.048</x:v>
      </x:c>
      <x:c r="M2906" t="n">
        <x:v>2015</x:v>
      </x:c>
      <x:c r="N2906" s="20" t="n">
        <x:v>42248</x:v>
      </x:c>
    </x:row>
    <x:row r="2907" ht="18" customHeight="1">
      <x:c r="A2907" t="str">
        <x:v>CA-2017-124898</x:v>
      </x:c>
      <x:c r="B2907" s="18" t="n">
        <x:v>42989</x:v>
      </x:c>
      <x:c r="C2907" t="str">
        <x:v>DB-12910</x:v>
      </x:c>
      <x:c r="D2907" t="str">
        <x:v>Daniel Byrd</x:v>
      </x:c>
      <x:c r="E2907" t="str">
        <x:v>Home Office</x:v>
      </x:c>
      <x:c r="F2907" t="str">
        <x:v>South</x:v>
      </x:c>
      <x:c r="G2907" t="str">
        <x:v>Office Supplies</x:v>
      </x:c>
      <x:c r="H2907" t="str">
        <x:v>Paper</x:v>
      </x:c>
      <x:c r="I2907" s="22" t="n">
        <x:v>184.66</x:v>
      </x:c>
      <x:c r="J2907" s="24" t="n">
        <x:v>7</x:v>
      </x:c>
      <x:c r="K2907" s="26" t="n">
        <x:v>0</x:v>
      </x:c>
      <x:c r="L2907" s="22" t="n">
        <x:v>84.94359999999999</x:v>
      </x:c>
      <x:c r="M2907" t="n">
        <x:v>2017</x:v>
      </x:c>
      <x:c r="N2907" s="20" t="n">
        <x:v>42979</x:v>
      </x:c>
    </x:row>
    <x:row r="2908" ht="18" customHeight="1">
      <x:c r="A2908" t="str">
        <x:v>CA-2016-164035</x:v>
      </x:c>
      <x:c r="B2908" s="18" t="n">
        <x:v>42533</x:v>
      </x:c>
      <x:c r="C2908" t="str">
        <x:v>CR-12730</x:v>
      </x:c>
      <x:c r="D2908" t="str">
        <x:v>Craig Reiter</x:v>
      </x:c>
      <x:c r="E2908" t="str">
        <x:v>Consumer</x:v>
      </x:c>
      <x:c r="F2908" t="str">
        <x:v>Central</x:v>
      </x:c>
      <x:c r="G2908" t="str">
        <x:v>Office Supplies</x:v>
      </x:c>
      <x:c r="H2908" t="str">
        <x:v>Paper</x:v>
      </x:c>
      <x:c r="I2908" s="22" t="n">
        <x:v>23.120000000000005</x:v>
      </x:c>
      <x:c r="J2908" s="24" t="n">
        <x:v>5</x:v>
      </x:c>
      <x:c r="K2908" s="26" t="n">
        <x:v>0.2</x:v>
      </x:c>
      <x:c r="L2908" s="22" t="n">
        <x:v>8.381</x:v>
      </x:c>
      <x:c r="M2908" t="n">
        <x:v>2016</x:v>
      </x:c>
      <x:c r="N2908" s="20" t="n">
        <x:v>42522</x:v>
      </x:c>
    </x:row>
    <x:row r="2909" ht="18" customHeight="1">
      <x:c r="A2909" t="str">
        <x:v>CA-2016-153577</x:v>
      </x:c>
      <x:c r="B2909" s="18" t="n">
        <x:v>42548</x:v>
      </x:c>
      <x:c r="C2909" t="str">
        <x:v>KH-16330</x:v>
      </x:c>
      <x:c r="D2909" t="str">
        <x:v>Katharine Harms</x:v>
      </x:c>
      <x:c r="E2909" t="str">
        <x:v>Corporate</x:v>
      </x:c>
      <x:c r="F2909" t="str">
        <x:v>Central</x:v>
      </x:c>
      <x:c r="G2909" t="str">
        <x:v>Office Supplies</x:v>
      </x:c>
      <x:c r="H2909" t="str">
        <x:v>Paper</x:v>
      </x:c>
      <x:c r="I2909" s="22" t="n">
        <x:v>37.464</x:v>
      </x:c>
      <x:c r="J2909" s="24" t="n">
        <x:v>7</x:v>
      </x:c>
      <x:c r="K2909" s="26" t="n">
        <x:v>0.2</x:v>
      </x:c>
      <x:c r="L2909" s="22" t="n">
        <x:v>12.175799999999999</x:v>
      </x:c>
      <x:c r="M2909" t="n">
        <x:v>2016</x:v>
      </x:c>
      <x:c r="N2909" s="20" t="n">
        <x:v>42522</x:v>
      </x:c>
    </x:row>
    <x:row r="2910" ht="18" customHeight="1">
      <x:c r="A2910" t="str">
        <x:v>CA-2016-153577</x:v>
      </x:c>
      <x:c r="B2910" s="18" t="n">
        <x:v>42548</x:v>
      </x:c>
      <x:c r="C2910" t="str">
        <x:v>KH-16330</x:v>
      </x:c>
      <x:c r="D2910" t="str">
        <x:v>Katharine Harms</x:v>
      </x:c>
      <x:c r="E2910" t="str">
        <x:v>Corporate</x:v>
      </x:c>
      <x:c r="F2910" t="str">
        <x:v>Central</x:v>
      </x:c>
      <x:c r="G2910" t="str">
        <x:v>Furniture</x:v>
      </x:c>
      <x:c r="H2910" t="str">
        <x:v>Chairs</x:v>
      </x:c>
      <x:c r="I2910" s="22" t="n">
        <x:v>539.658</x:v>
      </x:c>
      <x:c r="J2910" s="24" t="n">
        <x:v>3</x:v>
      </x:c>
      <x:c r="K2910" s="26" t="n">
        <x:v>0.3</x:v>
      </x:c>
      <x:c r="L2910" s="22" t="n">
        <x:v>-7.709400000000102</x:v>
      </x:c>
      <x:c r="M2910" t="n">
        <x:v>2016</x:v>
      </x:c>
      <x:c r="N2910" s="20" t="n">
        <x:v>42522</x:v>
      </x:c>
    </x:row>
    <x:row r="2911" ht="18" customHeight="1">
      <x:c r="A2911" t="str">
        <x:v>CA-2014-127586</x:v>
      </x:c>
      <x:c r="B2911" s="18" t="n">
        <x:v>41908</x:v>
      </x:c>
      <x:c r="C2911" t="str">
        <x:v>CS-12400</x:v>
      </x:c>
      <x:c r="D2911" t="str">
        <x:v>Christopher Schild</x:v>
      </x:c>
      <x:c r="E2911" t="str">
        <x:v>Home Office</x:v>
      </x:c>
      <x:c r="F2911" t="str">
        <x:v>West</x:v>
      </x:c>
      <x:c r="G2911" t="str">
        <x:v>Office Supplies</x:v>
      </x:c>
      <x:c r="H2911" t="str">
        <x:v>Storage</x:v>
      </x:c>
      <x:c r="I2911" s="22" t="n">
        <x:v>310.12</x:v>
      </x:c>
      <x:c r="J2911" s="24" t="n">
        <x:v>2</x:v>
      </x:c>
      <x:c r="K2911" s="26" t="n">
        <x:v>0</x:v>
      </x:c>
      <x:c r="L2911" s="22" t="n">
        <x:v>80.6312</x:v>
      </x:c>
      <x:c r="M2911" t="n">
        <x:v>2014</x:v>
      </x:c>
      <x:c r="N2911" s="20" t="n">
        <x:v>41883</x:v>
      </x:c>
    </x:row>
    <x:row r="2912" ht="18" customHeight="1">
      <x:c r="A2912" t="str">
        <x:v>CA-2017-121615</x:v>
      </x:c>
      <x:c r="B2912" s="18" t="n">
        <x:v>43042</x:v>
      </x:c>
      <x:c r="C2912" t="str">
        <x:v>DL-12925</x:v>
      </x:c>
      <x:c r="D2912" t="str">
        <x:v>Daniel Lacy</x:v>
      </x:c>
      <x:c r="E2912" t="str">
        <x:v>Consumer</x:v>
      </x:c>
      <x:c r="F2912" t="str">
        <x:v>Central</x:v>
      </x:c>
      <x:c r="G2912" t="str">
        <x:v>Office Supplies</x:v>
      </x:c>
      <x:c r="H2912" t="str">
        <x:v>Paper</x:v>
      </x:c>
      <x:c r="I2912" s="22" t="n">
        <x:v>8.56</x:v>
      </x:c>
      <x:c r="J2912" s="24" t="n">
        <x:v>2</x:v>
      </x:c>
      <x:c r="K2912" s="26" t="n">
        <x:v>0</x:v>
      </x:c>
      <x:c r="L2912" s="22" t="n">
        <x:v>3.8519999999999994</x:v>
      </x:c>
      <x:c r="M2912" t="n">
        <x:v>2017</x:v>
      </x:c>
      <x:c r="N2912" s="20" t="n">
        <x:v>43040</x:v>
      </x:c>
    </x:row>
    <x:row r="2913" ht="18" customHeight="1">
      <x:c r="A2913" t="str">
        <x:v>CA-2017-121615</x:v>
      </x:c>
      <x:c r="B2913" s="18" t="n">
        <x:v>43042</x:v>
      </x:c>
      <x:c r="C2913" t="str">
        <x:v>DL-12925</x:v>
      </x:c>
      <x:c r="D2913" t="str">
        <x:v>Daniel Lacy</x:v>
      </x:c>
      <x:c r="E2913" t="str">
        <x:v>Consumer</x:v>
      </x:c>
      <x:c r="F2913" t="str">
        <x:v>Central</x:v>
      </x:c>
      <x:c r="G2913" t="str">
        <x:v>Office Supplies</x:v>
      </x:c>
      <x:c r="H2913" t="str">
        <x:v>Storage</x:v>
      </x:c>
      <x:c r="I2913" s="22" t="n">
        <x:v>52.400000000000006</x:v>
      </x:c>
      <x:c r="J2913" s="24" t="n">
        <x:v>5</x:v>
      </x:c>
      <x:c r="K2913" s="26" t="n">
        <x:v>0</x:v>
      </x:c>
      <x:c r="L2913" s="22" t="n">
        <x:v>14.148</x:v>
      </x:c>
      <x:c r="M2913" t="n">
        <x:v>2017</x:v>
      </x:c>
      <x:c r="N2913" s="20" t="n">
        <x:v>43040</x:v>
      </x:c>
    </x:row>
    <x:row r="2914" ht="18" customHeight="1">
      <x:c r="A2914" t="str">
        <x:v>CA-2017-121615</x:v>
      </x:c>
      <x:c r="B2914" s="18" t="n">
        <x:v>43042</x:v>
      </x:c>
      <x:c r="C2914" t="str">
        <x:v>DL-12925</x:v>
      </x:c>
      <x:c r="D2914" t="str">
        <x:v>Daniel Lacy</x:v>
      </x:c>
      <x:c r="E2914" t="str">
        <x:v>Consumer</x:v>
      </x:c>
      <x:c r="F2914" t="str">
        <x:v>Central</x:v>
      </x:c>
      <x:c r="G2914" t="str">
        <x:v>Office Supplies</x:v>
      </x:c>
      <x:c r="H2914" t="str">
        <x:v>Labels</x:v>
      </x:c>
      <x:c r="I2914" s="22" t="n">
        <x:v>14.940000000000001</x:v>
      </x:c>
      <x:c r="J2914" s="24" t="n">
        <x:v>3</x:v>
      </x:c>
      <x:c r="K2914" s="26" t="n">
        <x:v>0</x:v>
      </x:c>
      <x:c r="L2914" s="22" t="n">
        <x:v>6.8724</x:v>
      </x:c>
      <x:c r="M2914" t="n">
        <x:v>2017</x:v>
      </x:c>
      <x:c r="N2914" s="20" t="n">
        <x:v>43040</x:v>
      </x:c>
    </x:row>
    <x:row r="2915" ht="18" customHeight="1">
      <x:c r="A2915" t="str">
        <x:v>CA-2017-166415</x:v>
      </x:c>
      <x:c r="B2915" s="18" t="n">
        <x:v>42785</x:v>
      </x:c>
      <x:c r="C2915" t="str">
        <x:v>ME-17725</x:v>
      </x:c>
      <x:c r="D2915" t="str">
        <x:v>Max Engle</x:v>
      </x:c>
      <x:c r="E2915" t="str">
        <x:v>Consumer</x:v>
      </x:c>
      <x:c r="F2915" t="str">
        <x:v>West</x:v>
      </x:c>
      <x:c r="G2915" t="str">
        <x:v>Office Supplies</x:v>
      </x:c>
      <x:c r="H2915" t="str">
        <x:v>Fasteners</x:v>
      </x:c>
      <x:c r="I2915" s="22" t="n">
        <x:v>11.22</x:v>
      </x:c>
      <x:c r="J2915" s="24" t="n">
        <x:v>3</x:v>
      </x:c>
      <x:c r="K2915" s="26" t="n">
        <x:v>0</x:v>
      </x:c>
      <x:c r="L2915" s="22" t="n">
        <x:v>0.2244000000000006</x:v>
      </x:c>
      <x:c r="M2915" t="n">
        <x:v>2017</x:v>
      </x:c>
      <x:c r="N2915" s="20" t="n">
        <x:v>42767</x:v>
      </x:c>
    </x:row>
    <x:row r="2916" ht="18" customHeight="1">
      <x:c r="A2916" t="str">
        <x:v>CA-2015-118444</x:v>
      </x:c>
      <x:c r="B2916" s="18" t="n">
        <x:v>42313</x:v>
      </x:c>
      <x:c r="C2916" t="str">
        <x:v>VD-21670</x:v>
      </x:c>
      <x:c r="D2916" t="str">
        <x:v>Valerie Dominguez</x:v>
      </x:c>
      <x:c r="E2916" t="str">
        <x:v>Consumer</x:v>
      </x:c>
      <x:c r="F2916" t="str">
        <x:v>South</x:v>
      </x:c>
      <x:c r="G2916" t="str">
        <x:v>Office Supplies</x:v>
      </x:c>
      <x:c r="H2916" t="str">
        <x:v>Appliances</x:v>
      </x:c>
      <x:c r="I2916" s="22" t="n">
        <x:v>387.136</x:v>
      </x:c>
      <x:c r="J2916" s="24" t="n">
        <x:v>4</x:v>
      </x:c>
      <x:c r="K2916" s="26" t="n">
        <x:v>0.2</x:v>
      </x:c>
      <x:c r="L2916" s="22" t="n">
        <x:v>24.196000000000012</x:v>
      </x:c>
      <x:c r="M2916" t="n">
        <x:v>2015</x:v>
      </x:c>
      <x:c r="N2916" s="20" t="n">
        <x:v>42309</x:v>
      </x:c>
    </x:row>
    <x:row r="2917" ht="18" customHeight="1">
      <x:c r="A2917" t="str">
        <x:v>CA-2014-113929</x:v>
      </x:c>
      <x:c r="B2917" s="18" t="n">
        <x:v>41806</x:v>
      </x:c>
      <x:c r="C2917" t="str">
        <x:v>CK-12205</x:v>
      </x:c>
      <x:c r="D2917" t="str">
        <x:v>Chloris Kastensmidt</x:v>
      </x:c>
      <x:c r="E2917" t="str">
        <x:v>Consumer</x:v>
      </x:c>
      <x:c r="F2917" t="str">
        <x:v>East</x:v>
      </x:c>
      <x:c r="G2917" t="str">
        <x:v>Office Supplies</x:v>
      </x:c>
      <x:c r="H2917" t="str">
        <x:v>Envelopes</x:v>
      </x:c>
      <x:c r="I2917" s="22" t="n">
        <x:v>41.4</x:v>
      </x:c>
      <x:c r="J2917" s="24" t="n">
        <x:v>5</x:v>
      </x:c>
      <x:c r="K2917" s="26" t="n">
        <x:v>0</x:v>
      </x:c>
      <x:c r="L2917" s="22" t="n">
        <x:v>19.458</x:v>
      </x:c>
      <x:c r="M2917" t="n">
        <x:v>2014</x:v>
      </x:c>
      <x:c r="N2917" s="20" t="n">
        <x:v>41791</x:v>
      </x:c>
    </x:row>
    <x:row r="2918" ht="18" customHeight="1">
      <x:c r="A2918" t="str">
        <x:v>CA-2014-113929</x:v>
      </x:c>
      <x:c r="B2918" s="18" t="n">
        <x:v>41806</x:v>
      </x:c>
      <x:c r="C2918" t="str">
        <x:v>CK-12205</x:v>
      </x:c>
      <x:c r="D2918" t="str">
        <x:v>Chloris Kastensmidt</x:v>
      </x:c>
      <x:c r="E2918" t="str">
        <x:v>Consumer</x:v>
      </x:c>
      <x:c r="F2918" t="str">
        <x:v>East</x:v>
      </x:c>
      <x:c r="G2918" t="str">
        <x:v>Office Supplies</x:v>
      </x:c>
      <x:c r="H2918" t="str">
        <x:v>Art</x:v>
      </x:c>
      <x:c r="I2918" s="22" t="n">
        <x:v>35</x:v>
      </x:c>
      <x:c r="J2918" s="24" t="n">
        <x:v>4</x:v>
      </x:c>
      <x:c r="K2918" s="26" t="n">
        <x:v>0</x:v>
      </x:c>
      <x:c r="L2918" s="22" t="n">
        <x:v>10.499999999999996</x:v>
      </x:c>
      <x:c r="M2918" t="n">
        <x:v>2014</x:v>
      </x:c>
      <x:c r="N2918" s="20" t="n">
        <x:v>41791</x:v>
      </x:c>
    </x:row>
    <x:row r="2919" ht="18" customHeight="1">
      <x:c r="A2919" t="str">
        <x:v>CA-2014-113929</x:v>
      </x:c>
      <x:c r="B2919" s="18" t="n">
        <x:v>41806</x:v>
      </x:c>
      <x:c r="C2919" t="str">
        <x:v>CK-12205</x:v>
      </x:c>
      <x:c r="D2919" t="str">
        <x:v>Chloris Kastensmidt</x:v>
      </x:c>
      <x:c r="E2919" t="str">
        <x:v>Consumer</x:v>
      </x:c>
      <x:c r="F2919" t="str">
        <x:v>East</x:v>
      </x:c>
      <x:c r="G2919" t="str">
        <x:v>Office Supplies</x:v>
      </x:c>
      <x:c r="H2919" t="str">
        <x:v>Binders</x:v>
      </x:c>
      <x:c r="I2919" s="22" t="n">
        <x:v>39.55200000000001</x:v>
      </x:c>
      <x:c r="J2919" s="24" t="n">
        <x:v>3</x:v>
      </x:c>
      <x:c r="K2919" s="26" t="n">
        <x:v>0.2</x:v>
      </x:c>
      <x:c r="L2919" s="22" t="n">
        <x:v>14.337599999999998</x:v>
      </x:c>
      <x:c r="M2919" t="n">
        <x:v>2014</x:v>
      </x:c>
      <x:c r="N2919" s="20" t="n">
        <x:v>41791</x:v>
      </x:c>
    </x:row>
    <x:row r="2920" ht="18" customHeight="1">
      <x:c r="A2920" t="str">
        <x:v>CA-2015-134747</x:v>
      </x:c>
      <x:c r="B2920" s="18" t="n">
        <x:v>42289</x:v>
      </x:c>
      <x:c r="C2920" t="str">
        <x:v>DL-12925</x:v>
      </x:c>
      <x:c r="D2920" t="str">
        <x:v>Daniel Lacy</x:v>
      </x:c>
      <x:c r="E2920" t="str">
        <x:v>Consumer</x:v>
      </x:c>
      <x:c r="F2920" t="str">
        <x:v>Central</x:v>
      </x:c>
      <x:c r="G2920" t="str">
        <x:v>Technology</x:v>
      </x:c>
      <x:c r="H2920" t="str">
        <x:v>Phones</x:v>
      </x:c>
      <x:c r="I2920" s="22" t="n">
        <x:v>135.72</x:v>
      </x:c>
      <x:c r="J2920" s="24" t="n">
        <x:v>3</x:v>
      </x:c>
      <x:c r="K2920" s="26" t="n">
        <x:v>0</x:v>
      </x:c>
      <x:c r="L2920" s="22" t="n">
        <x:v>35.2872</x:v>
      </x:c>
      <x:c r="M2920" t="n">
        <x:v>2015</x:v>
      </x:c>
      <x:c r="N2920" s="20" t="n">
        <x:v>42278</x:v>
      </x:c>
    </x:row>
    <x:row r="2921" ht="18" customHeight="1">
      <x:c r="A2921" t="str">
        <x:v>CA-2015-134747</x:v>
      </x:c>
      <x:c r="B2921" s="18" t="n">
        <x:v>42289</x:v>
      </x:c>
      <x:c r="C2921" t="str">
        <x:v>DL-12925</x:v>
      </x:c>
      <x:c r="D2921" t="str">
        <x:v>Daniel Lacy</x:v>
      </x:c>
      <x:c r="E2921" t="str">
        <x:v>Consumer</x:v>
      </x:c>
      <x:c r="F2921" t="str">
        <x:v>Central</x:v>
      </x:c>
      <x:c r="G2921" t="str">
        <x:v>Office Supplies</x:v>
      </x:c>
      <x:c r="H2921" t="str">
        <x:v>Binders</x:v>
      </x:c>
      <x:c r="I2921" s="22" t="n">
        <x:v>12.56</x:v>
      </x:c>
      <x:c r="J2921" s="24" t="n">
        <x:v>2</x:v>
      </x:c>
      <x:c r="K2921" s="26" t="n">
        <x:v>0</x:v>
      </x:c>
      <x:c r="L2921" s="22" t="n">
        <x:v>5.651999999999999</x:v>
      </x:c>
      <x:c r="M2921" t="n">
        <x:v>2015</x:v>
      </x:c>
      <x:c r="N2921" s="20" t="n">
        <x:v>42278</x:v>
      </x:c>
    </x:row>
    <x:row r="2922" ht="18" customHeight="1">
      <x:c r="A2922" t="str">
        <x:v>CA-2015-134747</x:v>
      </x:c>
      <x:c r="B2922" s="18" t="n">
        <x:v>42289</x:v>
      </x:c>
      <x:c r="C2922" t="str">
        <x:v>DL-12925</x:v>
      </x:c>
      <x:c r="D2922" t="str">
        <x:v>Daniel Lacy</x:v>
      </x:c>
      <x:c r="E2922" t="str">
        <x:v>Consumer</x:v>
      </x:c>
      <x:c r="F2922" t="str">
        <x:v>Central</x:v>
      </x:c>
      <x:c r="G2922" t="str">
        <x:v>Technology</x:v>
      </x:c>
      <x:c r="H2922" t="str">
        <x:v>Phones</x:v>
      </x:c>
      <x:c r="I2922" s="22" t="n">
        <x:v>263.96</x:v>
      </x:c>
      <x:c r="J2922" s="24" t="n">
        <x:v>4</x:v>
      </x:c>
      <x:c r="K2922" s="26" t="n">
        <x:v>0</x:v>
      </x:c>
      <x:c r="L2922" s="22" t="n">
        <x:v>71.26920000000001</x:v>
      </x:c>
      <x:c r="M2922" t="n">
        <x:v>2015</x:v>
      </x:c>
      <x:c r="N2922" s="20" t="n">
        <x:v>42278</x:v>
      </x:c>
    </x:row>
    <x:row r="2923" ht="18" customHeight="1">
      <x:c r="A2923" t="str">
        <x:v>CA-2017-155047</x:v>
      </x:c>
      <x:c r="B2923" s="18" t="n">
        <x:v>42974</x:v>
      </x:c>
      <x:c r="C2923" t="str">
        <x:v>SE-20110</x:v>
      </x:c>
      <x:c r="D2923" t="str">
        <x:v>Sanjit Engle</x:v>
      </x:c>
      <x:c r="E2923" t="str">
        <x:v>Consumer</x:v>
      </x:c>
      <x:c r="F2923" t="str">
        <x:v>Central</x:v>
      </x:c>
      <x:c r="G2923" t="str">
        <x:v>Office Supplies</x:v>
      </x:c>
      <x:c r="H2923" t="str">
        <x:v>Art</x:v>
      </x:c>
      <x:c r="I2923" s="22" t="n">
        <x:v>5.952000000000001</x:v>
      </x:c>
      <x:c r="J2923" s="24" t="n">
        <x:v>1</x:v>
      </x:c>
      <x:c r="K2923" s="26" t="n">
        <x:v>0.2</x:v>
      </x:c>
      <x:c r="L2923" s="22" t="n">
        <x:v>0.3720000000000001</x:v>
      </x:c>
      <x:c r="M2923" t="n">
        <x:v>2017</x:v>
      </x:c>
      <x:c r="N2923" s="20" t="n">
        <x:v>42948</x:v>
      </x:c>
    </x:row>
    <x:row r="2924" ht="18" customHeight="1">
      <x:c r="A2924" t="str">
        <x:v>CA-2016-160129</x:v>
      </x:c>
      <x:c r="B2924" s="18" t="n">
        <x:v>42697</x:v>
      </x:c>
      <x:c r="C2924" t="str">
        <x:v>LS-17200</x:v>
      </x:c>
      <x:c r="D2924" t="str">
        <x:v>Luke Schmidt</x:v>
      </x:c>
      <x:c r="E2924" t="str">
        <x:v>Corporate</x:v>
      </x:c>
      <x:c r="F2924" t="str">
        <x:v>East</x:v>
      </x:c>
      <x:c r="G2924" t="str">
        <x:v>Office Supplies</x:v>
      </x:c>
      <x:c r="H2924" t="str">
        <x:v>Fasteners</x:v>
      </x:c>
      <x:c r="I2924" s="22" t="n">
        <x:v>15.8</x:v>
      </x:c>
      <x:c r="J2924" s="24" t="n">
        <x:v>5</x:v>
      </x:c>
      <x:c r="K2924" s="26" t="n">
        <x:v>0.2</x:v>
      </x:c>
      <x:c r="L2924" s="22" t="n">
        <x:v>2.3699999999999983</x:v>
      </x:c>
      <x:c r="M2924" t="n">
        <x:v>2016</x:v>
      </x:c>
      <x:c r="N2924" s="20" t="n">
        <x:v>42675</x:v>
      </x:c>
    </x:row>
    <x:row r="2925" ht="18" customHeight="1">
      <x:c r="A2925" t="str">
        <x:v>CA-2016-160129</x:v>
      </x:c>
      <x:c r="B2925" s="18" t="n">
        <x:v>42697</x:v>
      </x:c>
      <x:c r="C2925" t="str">
        <x:v>LS-17200</x:v>
      </x:c>
      <x:c r="D2925" t="str">
        <x:v>Luke Schmidt</x:v>
      </x:c>
      <x:c r="E2925" t="str">
        <x:v>Corporate</x:v>
      </x:c>
      <x:c r="F2925" t="str">
        <x:v>East</x:v>
      </x:c>
      <x:c r="G2925" t="str">
        <x:v>Furniture</x:v>
      </x:c>
      <x:c r="H2925" t="str">
        <x:v>Furnishings</x:v>
      </x:c>
      <x:c r="I2925" s="22" t="n">
        <x:v>14.368000000000002</x:v>
      </x:c>
      <x:c r="J2925" s="24" t="n">
        <x:v>2</x:v>
      </x:c>
      <x:c r="K2925" s="26" t="n">
        <x:v>0.2</x:v>
      </x:c>
      <x:c r="L2925" s="22" t="n">
        <x:v>3.9512</x:v>
      </x:c>
      <x:c r="M2925" t="n">
        <x:v>2016</x:v>
      </x:c>
      <x:c r="N2925" s="20" t="n">
        <x:v>42675</x:v>
      </x:c>
    </x:row>
    <x:row r="2926" ht="18" customHeight="1">
      <x:c r="A2926" t="str">
        <x:v>CA-2016-160129</x:v>
      </x:c>
      <x:c r="B2926" s="18" t="n">
        <x:v>42697</x:v>
      </x:c>
      <x:c r="C2926" t="str">
        <x:v>LS-17200</x:v>
      </x:c>
      <x:c r="D2926" t="str">
        <x:v>Luke Schmidt</x:v>
      </x:c>
      <x:c r="E2926" t="str">
        <x:v>Corporate</x:v>
      </x:c>
      <x:c r="F2926" t="str">
        <x:v>East</x:v>
      </x:c>
      <x:c r="G2926" t="str">
        <x:v>Furniture</x:v>
      </x:c>
      <x:c r="H2926" t="str">
        <x:v>Furnishings</x:v>
      </x:c>
      <x:c r="I2926" s="22" t="n">
        <x:v>70.44800000000001</x:v>
      </x:c>
      <x:c r="J2926" s="24" t="n">
        <x:v>7</x:v>
      </x:c>
      <x:c r="K2926" s="26" t="n">
        <x:v>0.2</x:v>
      </x:c>
      <x:c r="L2926" s="22" t="n">
        <x:v>12.328399999999988</x:v>
      </x:c>
      <x:c r="M2926" t="n">
        <x:v>2016</x:v>
      </x:c>
      <x:c r="N2926" s="20" t="n">
        <x:v>42675</x:v>
      </x:c>
    </x:row>
    <x:row r="2927" ht="18" customHeight="1">
      <x:c r="A2927" t="str">
        <x:v>CA-2017-164329</x:v>
      </x:c>
      <x:c r="B2927" s="18" t="n">
        <x:v>42765</x:v>
      </x:c>
      <x:c r="C2927" t="str">
        <x:v>MM-17920</x:v>
      </x:c>
      <x:c r="D2927" t="str">
        <x:v>Michael Moore</x:v>
      </x:c>
      <x:c r="E2927" t="str">
        <x:v>Consumer</x:v>
      </x:c>
      <x:c r="F2927" t="str">
        <x:v>West</x:v>
      </x:c>
      <x:c r="G2927" t="str">
        <x:v>Office Supplies</x:v>
      </x:c>
      <x:c r="H2927" t="str">
        <x:v>Storage</x:v>
      </x:c>
      <x:c r="I2927" s="22" t="n">
        <x:v>129.3</x:v>
      </x:c>
      <x:c r="J2927" s="24" t="n">
        <x:v>2</x:v>
      </x:c>
      <x:c r="K2927" s="26" t="n">
        <x:v>0</x:v>
      </x:c>
      <x:c r="L2927" s="22" t="n">
        <x:v>6.464999999999989</x:v>
      </x:c>
      <x:c r="M2927" t="n">
        <x:v>2017</x:v>
      </x:c>
      <x:c r="N2927" s="20" t="n">
        <x:v>42736</x:v>
      </x:c>
    </x:row>
    <x:row r="2928" ht="18" customHeight="1">
      <x:c r="A2928" t="str">
        <x:v>US-2015-141453</x:v>
      </x:c>
      <x:c r="B2928" s="18" t="n">
        <x:v>42338</x:v>
      </x:c>
      <x:c r="C2928" t="str">
        <x:v>DB-13270</x:v>
      </x:c>
      <x:c r="D2928" t="str">
        <x:v>Deborah Brumfield</x:v>
      </x:c>
      <x:c r="E2928" t="str">
        <x:v>Home Office</x:v>
      </x:c>
      <x:c r="F2928" t="str">
        <x:v>Central</x:v>
      </x:c>
      <x:c r="G2928" t="str">
        <x:v>Office Supplies</x:v>
      </x:c>
      <x:c r="H2928" t="str">
        <x:v>Binders</x:v>
      </x:c>
      <x:c r="I2928" s="22" t="n">
        <x:v>3.881999999999999</x:v>
      </x:c>
      <x:c r="J2928" s="24" t="n">
        <x:v>3</x:v>
      </x:c>
      <x:c r="K2928" s="26" t="n">
        <x:v>0.8</x:v>
      </x:c>
      <x:c r="L2928" s="22" t="n">
        <x:v>-5.823</x:v>
      </x:c>
      <x:c r="M2928" t="n">
        <x:v>2015</x:v>
      </x:c>
      <x:c r="N2928" s="20" t="n">
        <x:v>42309</x:v>
      </x:c>
    </x:row>
    <x:row r="2929" ht="18" customHeight="1">
      <x:c r="A2929" t="str">
        <x:v>CA-2014-156993</x:v>
      </x:c>
      <x:c r="B2929" s="18" t="n">
        <x:v>41818</x:v>
      </x:c>
      <x:c r="C2929" t="str">
        <x:v>RW-19630</x:v>
      </x:c>
      <x:c r="D2929" t="str">
        <x:v>Rob Williams</x:v>
      </x:c>
      <x:c r="E2929" t="str">
        <x:v>Corporate</x:v>
      </x:c>
      <x:c r="F2929" t="str">
        <x:v>Central</x:v>
      </x:c>
      <x:c r="G2929" t="str">
        <x:v>Office Supplies</x:v>
      </x:c>
      <x:c r="H2929" t="str">
        <x:v>Fasteners</x:v>
      </x:c>
      <x:c r="I2929" s="22" t="n">
        <x:v>6.08</x:v>
      </x:c>
      <x:c r="J2929" s="24" t="n">
        <x:v>1</x:v>
      </x:c>
      <x:c r="K2929" s="26" t="n">
        <x:v>0</x:v>
      </x:c>
      <x:c r="L2929" s="22" t="n">
        <x:v>3.04</x:v>
      </x:c>
      <x:c r="M2929" t="n">
        <x:v>2014</x:v>
      </x:c>
      <x:c r="N2929" s="20" t="n">
        <x:v>41791</x:v>
      </x:c>
    </x:row>
    <x:row r="2930" ht="18" customHeight="1">
      <x:c r="A2930" t="str">
        <x:v>CA-2014-157721</x:v>
      </x:c>
      <x:c r="B2930" s="18" t="n">
        <x:v>41884</x:v>
      </x:c>
      <x:c r="C2930" t="str">
        <x:v>JM-16195</x:v>
      </x:c>
      <x:c r="D2930" t="str">
        <x:v>Justin MacKendrick</x:v>
      </x:c>
      <x:c r="E2930" t="str">
        <x:v>Consumer</x:v>
      </x:c>
      <x:c r="F2930" t="str">
        <x:v>East</x:v>
      </x:c>
      <x:c r="G2930" t="str">
        <x:v>Office Supplies</x:v>
      </x:c>
      <x:c r="H2930" t="str">
        <x:v>Appliances</x:v>
      </x:c>
      <x:c r="I2930" s="22" t="n">
        <x:v>19.9</x:v>
      </x:c>
      <x:c r="J2930" s="24" t="n">
        <x:v>1</x:v>
      </x:c>
      <x:c r="K2930" s="26" t="n">
        <x:v>0</x:v>
      </x:c>
      <x:c r="L2930" s="22" t="n">
        <x:v>8.954999999999998</x:v>
      </x:c>
      <x:c r="M2930" t="n">
        <x:v>2014</x:v>
      </x:c>
      <x:c r="N2930" s="20" t="n">
        <x:v>41883</x:v>
      </x:c>
    </x:row>
    <x:row r="2931" ht="18" customHeight="1">
      <x:c r="A2931" t="str">
        <x:v>CA-2014-157721</x:v>
      </x:c>
      <x:c r="B2931" s="18" t="n">
        <x:v>41884</x:v>
      </x:c>
      <x:c r="C2931" t="str">
        <x:v>JM-16195</x:v>
      </x:c>
      <x:c r="D2931" t="str">
        <x:v>Justin MacKendrick</x:v>
      </x:c>
      <x:c r="E2931" t="str">
        <x:v>Consumer</x:v>
      </x:c>
      <x:c r="F2931" t="str">
        <x:v>East</x:v>
      </x:c>
      <x:c r="G2931" t="str">
        <x:v>Furniture</x:v>
      </x:c>
      <x:c r="H2931" t="str">
        <x:v>Furnishings</x:v>
      </x:c>
      <x:c r="I2931" s="22" t="n">
        <x:v>70.71</x:v>
      </x:c>
      <x:c r="J2931" s="24" t="n">
        <x:v>1</x:v>
      </x:c>
      <x:c r="K2931" s="26" t="n">
        <x:v>0</x:v>
      </x:c>
      <x:c r="L2931" s="22" t="n">
        <x:v>4.949699999999993</x:v>
      </x:c>
      <x:c r="M2931" t="n">
        <x:v>2014</x:v>
      </x:c>
      <x:c r="N2931" s="20" t="n">
        <x:v>41883</x:v>
      </x:c>
    </x:row>
    <x:row r="2932" ht="18" customHeight="1">
      <x:c r="A2932" t="str">
        <x:v>CA-2017-128629</x:v>
      </x:c>
      <x:c r="B2932" s="18" t="n">
        <x:v>42926</x:v>
      </x:c>
      <x:c r="C2932" t="str">
        <x:v>BP-11155</x:v>
      </x:c>
      <x:c r="D2932" t="str">
        <x:v>Becky Pak</x:v>
      </x:c>
      <x:c r="E2932" t="str">
        <x:v>Consumer</x:v>
      </x:c>
      <x:c r="F2932" t="str">
        <x:v>South</x:v>
      </x:c>
      <x:c r="G2932" t="str">
        <x:v>Furniture</x:v>
      </x:c>
      <x:c r="H2932" t="str">
        <x:v>Furnishings</x:v>
      </x:c>
      <x:c r="I2932" s="22" t="n">
        <x:v>18.84</x:v>
      </x:c>
      <x:c r="J2932" s="24" t="n">
        <x:v>3</x:v>
      </x:c>
      <x:c r="K2932" s="26" t="n">
        <x:v>0</x:v>
      </x:c>
      <x:c r="L2932" s="22" t="n">
        <x:v>7.912800000000001</x:v>
      </x:c>
      <x:c r="M2932" t="n">
        <x:v>2017</x:v>
      </x:c>
      <x:c r="N2932" s="20" t="n">
        <x:v>42917</x:v>
      </x:c>
    </x:row>
    <x:row r="2933" ht="18" customHeight="1">
      <x:c r="A2933" t="str">
        <x:v>CA-2017-158106</x:v>
      </x:c>
      <x:c r="B2933" s="18" t="n">
        <x:v>42890</x:v>
      </x:c>
      <x:c r="C2933" t="str">
        <x:v>CT-11995</x:v>
      </x:c>
      <x:c r="D2933" t="str">
        <x:v>Carol Triggs</x:v>
      </x:c>
      <x:c r="E2933" t="str">
        <x:v>Consumer</x:v>
      </x:c>
      <x:c r="F2933" t="str">
        <x:v>Central</x:v>
      </x:c>
      <x:c r="G2933" t="str">
        <x:v>Office Supplies</x:v>
      </x:c>
      <x:c r="H2933" t="str">
        <x:v>Art</x:v>
      </x:c>
      <x:c r="I2933" s="22" t="n">
        <x:v>8.64</x:v>
      </x:c>
      <x:c r="J2933" s="24" t="n">
        <x:v>3</x:v>
      </x:c>
      <x:c r="K2933" s="26" t="n">
        <x:v>0</x:v>
      </x:c>
      <x:c r="L2933" s="22" t="n">
        <x:v>2.5056</x:v>
      </x:c>
      <x:c r="M2933" t="n">
        <x:v>2017</x:v>
      </x:c>
      <x:c r="N2933" s="20" t="n">
        <x:v>42887</x:v>
      </x:c>
    </x:row>
    <x:row r="2934" ht="18" customHeight="1">
      <x:c r="A2934" t="str">
        <x:v>US-2017-120390</x:v>
      </x:c>
      <x:c r="B2934" s="18" t="n">
        <x:v>43027</x:v>
      </x:c>
      <x:c r="C2934" t="str">
        <x:v>TH-21550</x:v>
      </x:c>
      <x:c r="D2934" t="str">
        <x:v>Tracy Hopkins</x:v>
      </x:c>
      <x:c r="E2934" t="str">
        <x:v>Home Office</x:v>
      </x:c>
      <x:c r="F2934" t="str">
        <x:v>South</x:v>
      </x:c>
      <x:c r="G2934" t="str">
        <x:v>Office Supplies</x:v>
      </x:c>
      <x:c r="H2934" t="str">
        <x:v>Binders</x:v>
      </x:c>
      <x:c r="I2934" s="22" t="n">
        <x:v>1633.1880000000003</x:v>
      </x:c>
      <x:c r="J2934" s="24" t="n">
        <x:v>4</x:v>
      </x:c>
      <x:c r="K2934" s="26" t="n">
        <x:v>0.7</x:v>
      </x:c>
      <x:c r="L2934" s="22" t="n">
        <x:v>-1306.5504</x:v>
      </x:c>
      <x:c r="M2934" t="n">
        <x:v>2017</x:v>
      </x:c>
      <x:c r="N2934" s="20" t="n">
        <x:v>43009</x:v>
      </x:c>
    </x:row>
    <x:row r="2935" ht="18" customHeight="1">
      <x:c r="A2935" t="str">
        <x:v>CA-2017-143434</x:v>
      </x:c>
      <x:c r="B2935" s="18" t="n">
        <x:v>43057</x:v>
      </x:c>
      <x:c r="C2935" t="str">
        <x:v>ME-17320</x:v>
      </x:c>
      <x:c r="D2935" t="str">
        <x:v>Maria Etezadi</x:v>
      </x:c>
      <x:c r="E2935" t="str">
        <x:v>Home Office</x:v>
      </x:c>
      <x:c r="F2935" t="str">
        <x:v>Central</x:v>
      </x:c>
      <x:c r="G2935" t="str">
        <x:v>Furniture</x:v>
      </x:c>
      <x:c r="H2935" t="str">
        <x:v>Furnishings</x:v>
      </x:c>
      <x:c r="I2935" s="22" t="n">
        <x:v>19.76</x:v>
      </x:c>
      <x:c r="J2935" s="24" t="n">
        <x:v>4</x:v>
      </x:c>
      <x:c r="K2935" s="26" t="n">
        <x:v>0</x:v>
      </x:c>
      <x:c r="L2935" s="22" t="n">
        <x:v>8.2992</x:v>
      </x:c>
      <x:c r="M2935" t="n">
        <x:v>2017</x:v>
      </x:c>
      <x:c r="N2935" s="20" t="n">
        <x:v>43040</x:v>
      </x:c>
    </x:row>
    <x:row r="2936" ht="18" customHeight="1">
      <x:c r="A2936" t="str">
        <x:v>CA-2015-168564</x:v>
      </x:c>
      <x:c r="B2936" s="18" t="n">
        <x:v>42224</x:v>
      </x:c>
      <x:c r="C2936" t="str">
        <x:v>TT-21220</x:v>
      </x:c>
      <x:c r="D2936" t="str">
        <x:v>Thomas Thornton</x:v>
      </x:c>
      <x:c r="E2936" t="str">
        <x:v>Consumer</x:v>
      </x:c>
      <x:c r="F2936" t="str">
        <x:v>West</x:v>
      </x:c>
      <x:c r="G2936" t="str">
        <x:v>Office Supplies</x:v>
      </x:c>
      <x:c r="H2936" t="str">
        <x:v>Binders</x:v>
      </x:c>
      <x:c r="I2936" s="22" t="n">
        <x:v>6.6080000000000005</x:v>
      </x:c>
      <x:c r="J2936" s="24" t="n">
        <x:v>2</x:v>
      </x:c>
      <x:c r="K2936" s="26" t="n">
        <x:v>0.2</x:v>
      </x:c>
      <x:c r="L2936" s="22" t="n">
        <x:v>2.2302</x:v>
      </x:c>
      <x:c r="M2936" t="n">
        <x:v>2015</x:v>
      </x:c>
      <x:c r="N2936" s="20" t="n">
        <x:v>42217</x:v>
      </x:c>
    </x:row>
    <x:row r="2937" ht="18" customHeight="1">
      <x:c r="A2937" t="str">
        <x:v>CA-2015-168564</x:v>
      </x:c>
      <x:c r="B2937" s="18" t="n">
        <x:v>42224</x:v>
      </x:c>
      <x:c r="C2937" t="str">
        <x:v>TT-21220</x:v>
      </x:c>
      <x:c r="D2937" t="str">
        <x:v>Thomas Thornton</x:v>
      </x:c>
      <x:c r="E2937" t="str">
        <x:v>Consumer</x:v>
      </x:c>
      <x:c r="F2937" t="str">
        <x:v>West</x:v>
      </x:c>
      <x:c r="G2937" t="str">
        <x:v>Office Supplies</x:v>
      </x:c>
      <x:c r="H2937" t="str">
        <x:v>Binders</x:v>
      </x:c>
      <x:c r="I2937" s="22" t="n">
        <x:v>7.28</x:v>
      </x:c>
      <x:c r="J2937" s="24" t="n">
        <x:v>2</x:v>
      </x:c>
      <x:c r="K2937" s="26" t="n">
        <x:v>0.2</x:v>
      </x:c>
      <x:c r="L2937" s="22" t="n">
        <x:v>2.7299999999999995</x:v>
      </x:c>
      <x:c r="M2937" t="n">
        <x:v>2015</x:v>
      </x:c>
      <x:c r="N2937" s="20" t="n">
        <x:v>42217</x:v>
      </x:c>
    </x:row>
    <x:row r="2938" ht="18" customHeight="1">
      <x:c r="A2938" t="str">
        <x:v>CA-2015-168564</x:v>
      </x:c>
      <x:c r="B2938" s="18" t="n">
        <x:v>42224</x:v>
      </x:c>
      <x:c r="C2938" t="str">
        <x:v>TT-21220</x:v>
      </x:c>
      <x:c r="D2938" t="str">
        <x:v>Thomas Thornton</x:v>
      </x:c>
      <x:c r="E2938" t="str">
        <x:v>Consumer</x:v>
      </x:c>
      <x:c r="F2938" t="str">
        <x:v>West</x:v>
      </x:c>
      <x:c r="G2938" t="str">
        <x:v>Furniture</x:v>
      </x:c>
      <x:c r="H2938" t="str">
        <x:v>Chairs</x:v>
      </x:c>
      <x:c r="I2938" s="22" t="n">
        <x:v>144.784</x:v>
      </x:c>
      <x:c r="J2938" s="24" t="n">
        <x:v>1</x:v>
      </x:c>
      <x:c r="K2938" s="26" t="n">
        <x:v>0.2</x:v>
      </x:c>
      <x:c r="L2938" s="22" t="n">
        <x:v>10.858800000000002</x:v>
      </x:c>
      <x:c r="M2938" t="n">
        <x:v>2015</x:v>
      </x:c>
      <x:c r="N2938" s="20" t="n">
        <x:v>42217</x:v>
      </x:c>
    </x:row>
    <x:row r="2939" ht="18" customHeight="1">
      <x:c r="A2939" t="str">
        <x:v>US-2016-169040</x:v>
      </x:c>
      <x:c r="B2939" s="18" t="n">
        <x:v>42710</x:v>
      </x:c>
      <x:c r="C2939" t="str">
        <x:v>GT-14710</x:v>
      </x:c>
      <x:c r="D2939" t="str">
        <x:v>Greg Tran</x:v>
      </x:c>
      <x:c r="E2939" t="str">
        <x:v>Consumer</x:v>
      </x:c>
      <x:c r="F2939" t="str">
        <x:v>West</x:v>
      </x:c>
      <x:c r="G2939" t="str">
        <x:v>Technology</x:v>
      </x:c>
      <x:c r="H2939" t="str">
        <x:v>Phones</x:v>
      </x:c>
      <x:c r="I2939" s="22" t="n">
        <x:v>156.79200000000003</x:v>
      </x:c>
      <x:c r="J2939" s="24" t="n">
        <x:v>1</x:v>
      </x:c>
      <x:c r="K2939" s="26" t="n">
        <x:v>0.2</x:v>
      </x:c>
      <x:c r="L2939" s="22" t="n">
        <x:v>13.719300000000004</x:v>
      </x:c>
      <x:c r="M2939" t="n">
        <x:v>2016</x:v>
      </x:c>
      <x:c r="N2939" s="20" t="n">
        <x:v>42705</x:v>
      </x:c>
    </x:row>
    <x:row r="2940" ht="18" customHeight="1">
      <x:c r="A2940" t="str">
        <x:v>US-2016-169040</x:v>
      </x:c>
      <x:c r="B2940" s="18" t="n">
        <x:v>42710</x:v>
      </x:c>
      <x:c r="C2940" t="str">
        <x:v>GT-14710</x:v>
      </x:c>
      <x:c r="D2940" t="str">
        <x:v>Greg Tran</x:v>
      </x:c>
      <x:c r="E2940" t="str">
        <x:v>Consumer</x:v>
      </x:c>
      <x:c r="F2940" t="str">
        <x:v>West</x:v>
      </x:c>
      <x:c r="G2940" t="str">
        <x:v>Technology</x:v>
      </x:c>
      <x:c r="H2940" t="str">
        <x:v>Phones</x:v>
      </x:c>
      <x:c r="I2940" s="22" t="n">
        <x:v>431.97600000000006</x:v>
      </x:c>
      <x:c r="J2940" s="24" t="n">
        <x:v>3</x:v>
      </x:c>
      <x:c r="K2940" s="26" t="n">
        <x:v>0.2</x:v>
      </x:c>
      <x:c r="L2940" s="22" t="n">
        <x:v>26.998499999999993</x:v>
      </x:c>
      <x:c r="M2940" t="n">
        <x:v>2016</x:v>
      </x:c>
      <x:c r="N2940" s="20" t="n">
        <x:v>42705</x:v>
      </x:c>
    </x:row>
    <x:row r="2941" ht="18" customHeight="1">
      <x:c r="A2941" t="str">
        <x:v>US-2016-169040</x:v>
      </x:c>
      <x:c r="B2941" s="18" t="n">
        <x:v>42710</x:v>
      </x:c>
      <x:c r="C2941" t="str">
        <x:v>GT-14710</x:v>
      </x:c>
      <x:c r="D2941" t="str">
        <x:v>Greg Tran</x:v>
      </x:c>
      <x:c r="E2941" t="str">
        <x:v>Consumer</x:v>
      </x:c>
      <x:c r="F2941" t="str">
        <x:v>West</x:v>
      </x:c>
      <x:c r="G2941" t="str">
        <x:v>Office Supplies</x:v>
      </x:c>
      <x:c r="H2941" t="str">
        <x:v>Envelopes</x:v>
      </x:c>
      <x:c r="I2941" s="22" t="n">
        <x:v>35.89</x:v>
      </x:c>
      <x:c r="J2941" s="24" t="n">
        <x:v>1</x:v>
      </x:c>
      <x:c r="K2941" s="26" t="n">
        <x:v>0</x:v>
      </x:c>
      <x:c r="L2941" s="22" t="n">
        <x:v>16.150499999999997</x:v>
      </x:c>
      <x:c r="M2941" t="n">
        <x:v>2016</x:v>
      </x:c>
      <x:c r="N2941" s="20" t="n">
        <x:v>42705</x:v>
      </x:c>
    </x:row>
    <x:row r="2942" ht="18" customHeight="1">
      <x:c r="A2942" t="str">
        <x:v>US-2016-169040</x:v>
      </x:c>
      <x:c r="B2942" s="18" t="n">
        <x:v>42710</x:v>
      </x:c>
      <x:c r="C2942" t="str">
        <x:v>GT-14710</x:v>
      </x:c>
      <x:c r="D2942" t="str">
        <x:v>Greg Tran</x:v>
      </x:c>
      <x:c r="E2942" t="str">
        <x:v>Consumer</x:v>
      </x:c>
      <x:c r="F2942" t="str">
        <x:v>West</x:v>
      </x:c>
      <x:c r="G2942" t="str">
        <x:v>Office Supplies</x:v>
      </x:c>
      <x:c r="H2942" t="str">
        <x:v>Binders</x:v>
      </x:c>
      <x:c r="I2942" s="22" t="n">
        <x:v>47.208</x:v>
      </x:c>
      <x:c r="J2942" s="24" t="n">
        <x:v>7</x:v>
      </x:c>
      <x:c r="K2942" s="26" t="n">
        <x:v>0.2</x:v>
      </x:c>
      <x:c r="L2942" s="22" t="n">
        <x:v>15.342599999999997</x:v>
      </x:c>
      <x:c r="M2942" t="n">
        <x:v>2016</x:v>
      </x:c>
      <x:c r="N2942" s="20" t="n">
        <x:v>42705</x:v>
      </x:c>
    </x:row>
    <x:row r="2943" ht="18" customHeight="1">
      <x:c r="A2943" t="str">
        <x:v>US-2016-169040</x:v>
      </x:c>
      <x:c r="B2943" s="18" t="n">
        <x:v>42710</x:v>
      </x:c>
      <x:c r="C2943" t="str">
        <x:v>GT-14710</x:v>
      </x:c>
      <x:c r="D2943" t="str">
        <x:v>Greg Tran</x:v>
      </x:c>
      <x:c r="E2943" t="str">
        <x:v>Consumer</x:v>
      </x:c>
      <x:c r="F2943" t="str">
        <x:v>West</x:v>
      </x:c>
      <x:c r="G2943" t="str">
        <x:v>Office Supplies</x:v>
      </x:c>
      <x:c r="H2943" t="str">
        <x:v>Paper</x:v>
      </x:c>
      <x:c r="I2943" s="22" t="n">
        <x:v>248.07999999999998</x:v>
      </x:c>
      <x:c r="J2943" s="24" t="n">
        <x:v>7</x:v>
      </x:c>
      <x:c r="K2943" s="26" t="n">
        <x:v>0</x:v>
      </x:c>
      <x:c r="L2943" s="22" t="n">
        <x:v>116.59759999999997</x:v>
      </x:c>
      <x:c r="M2943" t="n">
        <x:v>2016</x:v>
      </x:c>
      <x:c r="N2943" s="20" t="n">
        <x:v>42705</x:v>
      </x:c>
    </x:row>
    <x:row r="2944" ht="18" customHeight="1">
      <x:c r="A2944" t="str">
        <x:v>US-2016-169040</x:v>
      </x:c>
      <x:c r="B2944" s="18" t="n">
        <x:v>42710</x:v>
      </x:c>
      <x:c r="C2944" t="str">
        <x:v>GT-14710</x:v>
      </x:c>
      <x:c r="D2944" t="str">
        <x:v>Greg Tran</x:v>
      </x:c>
      <x:c r="E2944" t="str">
        <x:v>Consumer</x:v>
      </x:c>
      <x:c r="F2944" t="str">
        <x:v>West</x:v>
      </x:c>
      <x:c r="G2944" t="str">
        <x:v>Office Supplies</x:v>
      </x:c>
      <x:c r="H2944" t="str">
        <x:v>Paper</x:v>
      </x:c>
      <x:c r="I2944" s="22" t="n">
        <x:v>189.7</x:v>
      </x:c>
      <x:c r="J2944" s="24" t="n">
        <x:v>5</x:v>
      </x:c>
      <x:c r="K2944" s="26" t="n">
        <x:v>0</x:v>
      </x:c>
      <x:c r="L2944" s="22" t="n">
        <x:v>89.15899999999999</x:v>
      </x:c>
      <x:c r="M2944" t="n">
        <x:v>2016</x:v>
      </x:c>
      <x:c r="N2944" s="20" t="n">
        <x:v>42705</x:v>
      </x:c>
    </x:row>
    <x:row r="2945" ht="18" customHeight="1">
      <x:c r="A2945" t="str">
        <x:v>US-2016-169040</x:v>
      </x:c>
      <x:c r="B2945" s="18" t="n">
        <x:v>42710</x:v>
      </x:c>
      <x:c r="C2945" t="str">
        <x:v>GT-14710</x:v>
      </x:c>
      <x:c r="D2945" t="str">
        <x:v>Greg Tran</x:v>
      </x:c>
      <x:c r="E2945" t="str">
        <x:v>Consumer</x:v>
      </x:c>
      <x:c r="F2945" t="str">
        <x:v>West</x:v>
      </x:c>
      <x:c r="G2945" t="str">
        <x:v>Office Supplies</x:v>
      </x:c>
      <x:c r="H2945" t="str">
        <x:v>Binders</x:v>
      </x:c>
      <x:c r="I2945" s="22" t="n">
        <x:v>59.80800000000001</x:v>
      </x:c>
      <x:c r="J2945" s="24" t="n">
        <x:v>3</x:v>
      </x:c>
      <x:c r="K2945" s="26" t="n">
        <x:v>0.2</x:v>
      </x:c>
      <x:c r="L2945" s="22" t="n">
        <x:v>19.4376</x:v>
      </x:c>
      <x:c r="M2945" t="n">
        <x:v>2016</x:v>
      </x:c>
      <x:c r="N2945" s="20" t="n">
        <x:v>42705</x:v>
      </x:c>
    </x:row>
    <x:row r="2946" ht="18" customHeight="1">
      <x:c r="A2946" t="str">
        <x:v>CA-2017-155880</x:v>
      </x:c>
      <x:c r="B2946" s="18" t="n">
        <x:v>42819</x:v>
      </x:c>
      <x:c r="C2946" t="str">
        <x:v>JD-16150</x:v>
      </x:c>
      <x:c r="D2946" t="str">
        <x:v>Justin Deggeller</x:v>
      </x:c>
      <x:c r="E2946" t="str">
        <x:v>Corporate</x:v>
      </x:c>
      <x:c r="F2946" t="str">
        <x:v>Central</x:v>
      </x:c>
      <x:c r="G2946" t="str">
        <x:v>Furniture</x:v>
      </x:c>
      <x:c r="H2946" t="str">
        <x:v>Chairs</x:v>
      </x:c>
      <x:c r="I2946" s="22" t="n">
        <x:v>90.99</x:v>
      </x:c>
      <x:c r="J2946" s="24" t="n">
        <x:v>1</x:v>
      </x:c>
      <x:c r="K2946" s="26" t="n">
        <x:v>0</x:v>
      </x:c>
      <x:c r="L2946" s="22" t="n">
        <x:v>14.558400000000006</x:v>
      </x:c>
      <x:c r="M2946" t="n">
        <x:v>2017</x:v>
      </x:c>
      <x:c r="N2946" s="20" t="n">
        <x:v>42795</x:v>
      </x:c>
    </x:row>
    <x:row r="2947" ht="18" customHeight="1">
      <x:c r="A2947" t="str">
        <x:v>CA-2017-155880</x:v>
      </x:c>
      <x:c r="B2947" s="18" t="n">
        <x:v>42819</x:v>
      </x:c>
      <x:c r="C2947" t="str">
        <x:v>JD-16150</x:v>
      </x:c>
      <x:c r="D2947" t="str">
        <x:v>Justin Deggeller</x:v>
      </x:c>
      <x:c r="E2947" t="str">
        <x:v>Corporate</x:v>
      </x:c>
      <x:c r="F2947" t="str">
        <x:v>Central</x:v>
      </x:c>
      <x:c r="G2947" t="str">
        <x:v>Furniture</x:v>
      </x:c>
      <x:c r="H2947" t="str">
        <x:v>Chairs</x:v>
      </x:c>
      <x:c r="I2947" s="22" t="n">
        <x:v>1526.5600000000002</x:v>
      </x:c>
      <x:c r="J2947" s="24" t="n">
        <x:v>7</x:v>
      </x:c>
      <x:c r="K2947" s="26" t="n">
        <x:v>0</x:v>
      </x:c>
      <x:c r="L2947" s="22" t="n">
        <x:v>427.43679999999995</x:v>
      </x:c>
      <x:c r="M2947" t="n">
        <x:v>2017</x:v>
      </x:c>
      <x:c r="N2947" s="20" t="n">
        <x:v>42795</x:v>
      </x:c>
    </x:row>
    <x:row r="2948" ht="18" customHeight="1">
      <x:c r="A2948" t="str">
        <x:v>CA-2017-155880</x:v>
      </x:c>
      <x:c r="B2948" s="18" t="n">
        <x:v>42819</x:v>
      </x:c>
      <x:c r="C2948" t="str">
        <x:v>JD-16150</x:v>
      </x:c>
      <x:c r="D2948" t="str">
        <x:v>Justin Deggeller</x:v>
      </x:c>
      <x:c r="E2948" t="str">
        <x:v>Corporate</x:v>
      </x:c>
      <x:c r="F2948" t="str">
        <x:v>Central</x:v>
      </x:c>
      <x:c r="G2948" t="str">
        <x:v>Furniture</x:v>
      </x:c>
      <x:c r="H2948" t="str">
        <x:v>Chairs</x:v>
      </x:c>
      <x:c r="I2948" s="22" t="n">
        <x:v>368.96999999999997</x:v>
      </x:c>
      <x:c r="J2948" s="24" t="n">
        <x:v>3</x:v>
      </x:c>
      <x:c r="K2948" s="26" t="n">
        <x:v>0</x:v>
      </x:c>
      <x:c r="L2948" s="22" t="n">
        <x:v>40.58669999999998</x:v>
      </x:c>
      <x:c r="M2948" t="n">
        <x:v>2017</x:v>
      </x:c>
      <x:c r="N2948" s="20" t="n">
        <x:v>42795</x:v>
      </x:c>
    </x:row>
    <x:row r="2949" ht="18" customHeight="1">
      <x:c r="A2949" t="str">
        <x:v>CA-2017-126242</x:v>
      </x:c>
      <x:c r="B2949" s="18" t="n">
        <x:v>43058</x:v>
      </x:c>
      <x:c r="C2949" t="str">
        <x:v>MC-18100</x:v>
      </x:c>
      <x:c r="D2949" t="str">
        <x:v>Mick Crebagga</x:v>
      </x:c>
      <x:c r="E2949" t="str">
        <x:v>Consumer</x:v>
      </x:c>
      <x:c r="F2949" t="str">
        <x:v>West</x:v>
      </x:c>
      <x:c r="G2949" t="str">
        <x:v>Office Supplies</x:v>
      </x:c>
      <x:c r="H2949" t="str">
        <x:v>Storage</x:v>
      </x:c>
      <x:c r="I2949" s="22" t="n">
        <x:v>305.01</x:v>
      </x:c>
      <x:c r="J2949" s="24" t="n">
        <x:v>9</x:v>
      </x:c>
      <x:c r="K2949" s="26" t="n">
        <x:v>0</x:v>
      </x:c>
      <x:c r="L2949" s="22" t="n">
        <x:v>76.2525</x:v>
      </x:c>
      <x:c r="M2949" t="n">
        <x:v>2017</x:v>
      </x:c>
      <x:c r="N2949" s="20" t="n">
        <x:v>43040</x:v>
      </x:c>
    </x:row>
    <x:row r="2950" ht="18" customHeight="1">
      <x:c r="A2950" t="str">
        <x:v>CA-2017-126242</x:v>
      </x:c>
      <x:c r="B2950" s="18" t="n">
        <x:v>43058</x:v>
      </x:c>
      <x:c r="C2950" t="str">
        <x:v>MC-18100</x:v>
      </x:c>
      <x:c r="D2950" t="str">
        <x:v>Mick Crebagga</x:v>
      </x:c>
      <x:c r="E2950" t="str">
        <x:v>Consumer</x:v>
      </x:c>
      <x:c r="F2950" t="str">
        <x:v>West</x:v>
      </x:c>
      <x:c r="G2950" t="str">
        <x:v>Furniture</x:v>
      </x:c>
      <x:c r="H2950" t="str">
        <x:v>Furnishings</x:v>
      </x:c>
      <x:c r="I2950" s="22" t="n">
        <x:v>18.7</x:v>
      </x:c>
      <x:c r="J2950" s="24" t="n">
        <x:v>1</x:v>
      </x:c>
      <x:c r="K2950" s="26" t="n">
        <x:v>0</x:v>
      </x:c>
      <x:c r="L2950" s="22" t="n">
        <x:v>7.106</x:v>
      </x:c>
      <x:c r="M2950" t="n">
        <x:v>2017</x:v>
      </x:c>
      <x:c r="N2950" s="20" t="n">
        <x:v>43040</x:v>
      </x:c>
    </x:row>
    <x:row r="2951" ht="18" customHeight="1">
      <x:c r="A2951" t="str">
        <x:v>CA-2016-166443</x:v>
      </x:c>
      <x:c r="B2951" s="18" t="n">
        <x:v>42678</x:v>
      </x:c>
      <x:c r="C2951" t="str">
        <x:v>LH-17020</x:v>
      </x:c>
      <x:c r="D2951" t="str">
        <x:v>Lisa Hazard</x:v>
      </x:c>
      <x:c r="E2951" t="str">
        <x:v>Consumer</x:v>
      </x:c>
      <x:c r="F2951" t="str">
        <x:v>West</x:v>
      </x:c>
      <x:c r="G2951" t="str">
        <x:v>Furniture</x:v>
      </x:c>
      <x:c r="H2951" t="str">
        <x:v>Furnishings</x:v>
      </x:c>
      <x:c r="I2951" s="22" t="n">
        <x:v>38.29</x:v>
      </x:c>
      <x:c r="J2951" s="24" t="n">
        <x:v>7</x:v>
      </x:c>
      <x:c r="K2951" s="26" t="n">
        <x:v>0</x:v>
      </x:c>
      <x:c r="L2951" s="22" t="n">
        <x:v>16.4647</x:v>
      </x:c>
      <x:c r="M2951" t="n">
        <x:v>2016</x:v>
      </x:c>
      <x:c r="N2951" s="20" t="n">
        <x:v>42675</x:v>
      </x:c>
    </x:row>
    <x:row r="2952" ht="18" customHeight="1">
      <x:c r="A2952" t="str">
        <x:v>CA-2017-169859</x:v>
      </x:c>
      <x:c r="B2952" s="18" t="n">
        <x:v>43083</x:v>
      </x:c>
      <x:c r="C2952" t="str">
        <x:v>MP-18175</x:v>
      </x:c>
      <x:c r="D2952" t="str">
        <x:v>Mike Pelletier</x:v>
      </x:c>
      <x:c r="E2952" t="str">
        <x:v>Home Office</x:v>
      </x:c>
      <x:c r="F2952" t="str">
        <x:v>West</x:v>
      </x:c>
      <x:c r="G2952" t="str">
        <x:v>Furniture</x:v>
      </x:c>
      <x:c r="H2952" t="str">
        <x:v>Furnishings</x:v>
      </x:c>
      <x:c r="I2952" s="22" t="n">
        <x:v>26.25</x:v>
      </x:c>
      <x:c r="J2952" s="24" t="n">
        <x:v>3</x:v>
      </x:c>
      <x:c r="K2952" s="26" t="n">
        <x:v>0</x:v>
      </x:c>
      <x:c r="L2952" s="22" t="n">
        <x:v>11.025000000000002</x:v>
      </x:c>
      <x:c r="M2952" t="n">
        <x:v>2017</x:v>
      </x:c>
      <x:c r="N2952" s="20" t="n">
        <x:v>43070</x:v>
      </x:c>
    </x:row>
    <x:row r="2953" ht="18" customHeight="1">
      <x:c r="A2953" t="str">
        <x:v>CA-2017-169859</x:v>
      </x:c>
      <x:c r="B2953" s="18" t="n">
        <x:v>43083</x:v>
      </x:c>
      <x:c r="C2953" t="str">
        <x:v>MP-18175</x:v>
      </x:c>
      <x:c r="D2953" t="str">
        <x:v>Mike Pelletier</x:v>
      </x:c>
      <x:c r="E2953" t="str">
        <x:v>Home Office</x:v>
      </x:c>
      <x:c r="F2953" t="str">
        <x:v>West</x:v>
      </x:c>
      <x:c r="G2953" t="str">
        <x:v>Office Supplies</x:v>
      </x:c>
      <x:c r="H2953" t="str">
        <x:v>Binders</x:v>
      </x:c>
      <x:c r="I2953" s="22" t="n">
        <x:v>64.96</x:v>
      </x:c>
      <x:c r="J2953" s="24" t="n">
        <x:v>14</x:v>
      </x:c>
      <x:c r="K2953" s="26" t="n">
        <x:v>0.2</x:v>
      </x:c>
      <x:c r="L2953" s="22" t="n">
        <x:v>22.736</x:v>
      </x:c>
      <x:c r="M2953" t="n">
        <x:v>2017</x:v>
      </x:c>
      <x:c r="N2953" s="20" t="n">
        <x:v>43070</x:v>
      </x:c>
    </x:row>
    <x:row r="2954" ht="18" customHeight="1">
      <x:c r="A2954" t="str">
        <x:v>CA-2017-169859</x:v>
      </x:c>
      <x:c r="B2954" s="18" t="n">
        <x:v>43083</x:v>
      </x:c>
      <x:c r="C2954" t="str">
        <x:v>MP-18175</x:v>
      </x:c>
      <x:c r="D2954" t="str">
        <x:v>Mike Pelletier</x:v>
      </x:c>
      <x:c r="E2954" t="str">
        <x:v>Home Office</x:v>
      </x:c>
      <x:c r="F2954" t="str">
        <x:v>West</x:v>
      </x:c>
      <x:c r="G2954" t="str">
        <x:v>Office Supplies</x:v>
      </x:c>
      <x:c r="H2954" t="str">
        <x:v>Envelopes</x:v>
      </x:c>
      <x:c r="I2954" s="22" t="n">
        <x:v>43.7</x:v>
      </x:c>
      <x:c r="J2954" s="24" t="n">
        <x:v>5</x:v>
      </x:c>
      <x:c r="K2954" s="26" t="n">
        <x:v>0</x:v>
      </x:c>
      <x:c r="L2954" s="22" t="n">
        <x:v>20.539</x:v>
      </x:c>
      <x:c r="M2954" t="n">
        <x:v>2017</x:v>
      </x:c>
      <x:c r="N2954" s="20" t="n">
        <x:v>43070</x:v>
      </x:c>
    </x:row>
    <x:row r="2955" ht="18" customHeight="1">
      <x:c r="A2955" t="str">
        <x:v>CA-2017-134915</x:v>
      </x:c>
      <x:c r="B2955" s="18" t="n">
        <x:v>43051</x:v>
      </x:c>
      <x:c r="C2955" t="str">
        <x:v>EM-14140</x:v>
      </x:c>
      <x:c r="D2955" t="str">
        <x:v>Eugene Moren</x:v>
      </x:c>
      <x:c r="E2955" t="str">
        <x:v>Home Office</x:v>
      </x:c>
      <x:c r="F2955" t="str">
        <x:v>West</x:v>
      </x:c>
      <x:c r="G2955" t="str">
        <x:v>Technology</x:v>
      </x:c>
      <x:c r="H2955" t="str">
        <x:v>Accessories</x:v>
      </x:c>
      <x:c r="I2955" s="22" t="n">
        <x:v>41.6</x:v>
      </x:c>
      <x:c r="J2955" s="24" t="n">
        <x:v>4</x:v>
      </x:c>
      <x:c r="K2955" s="26" t="n">
        <x:v>0.2</x:v>
      </x:c>
      <x:c r="L2955" s="22" t="n">
        <x:v>12.999999999999998</x:v>
      </x:c>
      <x:c r="M2955" t="n">
        <x:v>2017</x:v>
      </x:c>
      <x:c r="N2955" s="20" t="n">
        <x:v>43040</x:v>
      </x:c>
    </x:row>
    <x:row r="2956" ht="18" customHeight="1">
      <x:c r="A2956" t="str">
        <x:v>CA-2017-134915</x:v>
      </x:c>
      <x:c r="B2956" s="18" t="n">
        <x:v>43051</x:v>
      </x:c>
      <x:c r="C2956" t="str">
        <x:v>EM-14140</x:v>
      </x:c>
      <x:c r="D2956" t="str">
        <x:v>Eugene Moren</x:v>
      </x:c>
      <x:c r="E2956" t="str">
        <x:v>Home Office</x:v>
      </x:c>
      <x:c r="F2956" t="str">
        <x:v>West</x:v>
      </x:c>
      <x:c r="G2956" t="str">
        <x:v>Office Supplies</x:v>
      </x:c>
      <x:c r="H2956" t="str">
        <x:v>Paper</x:v>
      </x:c>
      <x:c r="I2956" s="22" t="n">
        <x:v>23.120000000000005</x:v>
      </x:c>
      <x:c r="J2956" s="24" t="n">
        <x:v>5</x:v>
      </x:c>
      <x:c r="K2956" s="26" t="n">
        <x:v>0.2</x:v>
      </x:c>
      <x:c r="L2956" s="22" t="n">
        <x:v>8.381</x:v>
      </x:c>
      <x:c r="M2956" t="n">
        <x:v>2017</x:v>
      </x:c>
      <x:c r="N2956" s="20" t="n">
        <x:v>43040</x:v>
      </x:c>
    </x:row>
    <x:row r="2957" ht="18" customHeight="1">
      <x:c r="A2957" t="str">
        <x:v>CA-2017-134915</x:v>
      </x:c>
      <x:c r="B2957" s="18" t="n">
        <x:v>43051</x:v>
      </x:c>
      <x:c r="C2957" t="str">
        <x:v>EM-14140</x:v>
      </x:c>
      <x:c r="D2957" t="str">
        <x:v>Eugene Moren</x:v>
      </x:c>
      <x:c r="E2957" t="str">
        <x:v>Home Office</x:v>
      </x:c>
      <x:c r="F2957" t="str">
        <x:v>West</x:v>
      </x:c>
      <x:c r="G2957" t="str">
        <x:v>Furniture</x:v>
      </x:c>
      <x:c r="H2957" t="str">
        <x:v>Chairs</x:v>
      </x:c>
      <x:c r="I2957" s="22" t="n">
        <x:v>113.88800000000002</x:v>
      </x:c>
      <x:c r="J2957" s="24" t="n">
        <x:v>2</x:v>
      </x:c>
      <x:c r="K2957" s="26" t="n">
        <x:v>0.2</x:v>
      </x:c>
      <x:c r="L2957" s="22" t="n">
        <x:v>9.9652</x:v>
      </x:c>
      <x:c r="M2957" t="n">
        <x:v>2017</x:v>
      </x:c>
      <x:c r="N2957" s="20" t="n">
        <x:v>43040</x:v>
      </x:c>
    </x:row>
    <x:row r="2958" ht="18" customHeight="1">
      <x:c r="A2958" t="str">
        <x:v>CA-2017-134915</x:v>
      </x:c>
      <x:c r="B2958" s="18" t="n">
        <x:v>43051</x:v>
      </x:c>
      <x:c r="C2958" t="str">
        <x:v>EM-14140</x:v>
      </x:c>
      <x:c r="D2958" t="str">
        <x:v>Eugene Moren</x:v>
      </x:c>
      <x:c r="E2958" t="str">
        <x:v>Home Office</x:v>
      </x:c>
      <x:c r="F2958" t="str">
        <x:v>West</x:v>
      </x:c>
      <x:c r="G2958" t="str">
        <x:v>Furniture</x:v>
      </x:c>
      <x:c r="H2958" t="str">
        <x:v>Furnishings</x:v>
      </x:c>
      <x:c r="I2958" s="22" t="n">
        <x:v>113.56800000000001</x:v>
      </x:c>
      <x:c r="J2958" s="24" t="n">
        <x:v>2</x:v>
      </x:c>
      <x:c r="K2958" s="26" t="n">
        <x:v>0.2</x:v>
      </x:c>
      <x:c r="L2958" s="22" t="n">
        <x:v>-5.6784000000000034</x:v>
      </x:c>
      <x:c r="M2958" t="n">
        <x:v>2017</x:v>
      </x:c>
      <x:c r="N2958" s="20" t="n">
        <x:v>43040</x:v>
      </x:c>
    </x:row>
    <x:row r="2959" ht="18" customHeight="1">
      <x:c r="A2959" t="str">
        <x:v>CA-2017-134915</x:v>
      </x:c>
      <x:c r="B2959" s="18" t="n">
        <x:v>43051</x:v>
      </x:c>
      <x:c r="C2959" t="str">
        <x:v>EM-14140</x:v>
      </x:c>
      <x:c r="D2959" t="str">
        <x:v>Eugene Moren</x:v>
      </x:c>
      <x:c r="E2959" t="str">
        <x:v>Home Office</x:v>
      </x:c>
      <x:c r="F2959" t="str">
        <x:v>West</x:v>
      </x:c>
      <x:c r="G2959" t="str">
        <x:v>Technology</x:v>
      </x:c>
      <x:c r="H2959" t="str">
        <x:v>Phones</x:v>
      </x:c>
      <x:c r="I2959" s="22" t="n">
        <x:v>7.920000000000001</x:v>
      </x:c>
      <x:c r="J2959" s="24" t="n">
        <x:v>2</x:v>
      </x:c>
      <x:c r="K2959" s="26" t="n">
        <x:v>0.2</x:v>
      </x:c>
      <x:c r="L2959" s="22" t="n">
        <x:v>0.6929999999999998</x:v>
      </x:c>
      <x:c r="M2959" t="n">
        <x:v>2017</x:v>
      </x:c>
      <x:c r="N2959" s="20" t="n">
        <x:v>43040</x:v>
      </x:c>
    </x:row>
    <x:row r="2960" ht="18" customHeight="1">
      <x:c r="A2960" t="str">
        <x:v>CA-2017-134915</x:v>
      </x:c>
      <x:c r="B2960" s="18" t="n">
        <x:v>43051</x:v>
      </x:c>
      <x:c r="C2960" t="str">
        <x:v>EM-14140</x:v>
      </x:c>
      <x:c r="D2960" t="str">
        <x:v>Eugene Moren</x:v>
      </x:c>
      <x:c r="E2960" t="str">
        <x:v>Home Office</x:v>
      </x:c>
      <x:c r="F2960" t="str">
        <x:v>West</x:v>
      </x:c>
      <x:c r="G2960" t="str">
        <x:v>Technology</x:v>
      </x:c>
      <x:c r="H2960" t="str">
        <x:v>Phones</x:v>
      </x:c>
      <x:c r="I2960" s="22" t="n">
        <x:v>671.984</x:v>
      </x:c>
      <x:c r="J2960" s="24" t="n">
        <x:v>2</x:v>
      </x:c>
      <x:c r="K2960" s="26" t="n">
        <x:v>0.2</x:v>
      </x:c>
      <x:c r="L2960" s="22" t="n">
        <x:v>50.39880000000002</x:v>
      </x:c>
      <x:c r="M2960" t="n">
        <x:v>2017</x:v>
      </x:c>
      <x:c r="N2960" s="20" t="n">
        <x:v>43040</x:v>
      </x:c>
    </x:row>
    <x:row r="2961" ht="18" customHeight="1">
      <x:c r="A2961" t="str">
        <x:v>CA-2016-153353</x:v>
      </x:c>
      <x:c r="B2961" s="18" t="n">
        <x:v>42600</x:v>
      </x:c>
      <x:c r="C2961" t="str">
        <x:v>GG-14650</x:v>
      </x:c>
      <x:c r="D2961" t="str">
        <x:v>Greg Guthrie</x:v>
      </x:c>
      <x:c r="E2961" t="str">
        <x:v>Corporate</x:v>
      </x:c>
      <x:c r="F2961" t="str">
        <x:v>East</x:v>
      </x:c>
      <x:c r="G2961" t="str">
        <x:v>Technology</x:v>
      </x:c>
      <x:c r="H2961" t="str">
        <x:v>Phones</x:v>
      </x:c>
      <x:c r="I2961" s="22" t="n">
        <x:v>39.99</x:v>
      </x:c>
      <x:c r="J2961" s="24" t="n">
        <x:v>1</x:v>
      </x:c>
      <x:c r="K2961" s="26" t="n">
        <x:v>0</x:v>
      </x:c>
      <x:c r="L2961" s="22" t="n">
        <x:v>11.597099999999998</x:v>
      </x:c>
      <x:c r="M2961" t="n">
        <x:v>2016</x:v>
      </x:c>
      <x:c r="N2961" s="20" t="n">
        <x:v>42583</x:v>
      </x:c>
    </x:row>
    <x:row r="2962" ht="18" customHeight="1">
      <x:c r="A2962" t="str">
        <x:v>CA-2017-123638</x:v>
      </x:c>
      <x:c r="B2962" s="18" t="n">
        <x:v>42913</x:v>
      </x:c>
      <x:c r="C2962" t="str">
        <x:v>MA-17995</x:v>
      </x:c>
      <x:c r="D2962" t="str">
        <x:v>Michelle Arnett</x:v>
      </x:c>
      <x:c r="E2962" t="str">
        <x:v>Home Office</x:v>
      </x:c>
      <x:c r="F2962" t="str">
        <x:v>East</x:v>
      </x:c>
      <x:c r="G2962" t="str">
        <x:v>Furniture</x:v>
      </x:c>
      <x:c r="H2962" t="str">
        <x:v>Chairs</x:v>
      </x:c>
      <x:c r="I2962" s="22" t="n">
        <x:v>191.64600000000002</x:v>
      </x:c>
      <x:c r="J2962" s="24" t="n">
        <x:v>3</x:v>
      </x:c>
      <x:c r="K2962" s="26" t="n">
        <x:v>0.1</x:v>
      </x:c>
      <x:c r="L2962" s="22" t="n">
        <x:v>31.94100000000001</x:v>
      </x:c>
      <x:c r="M2962" t="n">
        <x:v>2017</x:v>
      </x:c>
      <x:c r="N2962" s="20" t="n">
        <x:v>42887</x:v>
      </x:c>
    </x:row>
    <x:row r="2963" ht="18" customHeight="1">
      <x:c r="A2963" t="str">
        <x:v>CA-2017-168900</x:v>
      </x:c>
      <x:c r="B2963" s="18" t="n">
        <x:v>42859</x:v>
      </x:c>
      <x:c r="C2963" t="str">
        <x:v>SH-20395</x:v>
      </x:c>
      <x:c r="D2963" t="str">
        <x:v>Shahid Hopkins</x:v>
      </x:c>
      <x:c r="E2963" t="str">
        <x:v>Consumer</x:v>
      </x:c>
      <x:c r="F2963" t="str">
        <x:v>East</x:v>
      </x:c>
      <x:c r="G2963" t="str">
        <x:v>Office Supplies</x:v>
      </x:c>
      <x:c r="H2963" t="str">
        <x:v>Binders</x:v>
      </x:c>
      <x:c r="I2963" s="22" t="n">
        <x:v>2.313</x:v>
      </x:c>
      <x:c r="J2963" s="24" t="n">
        <x:v>1</x:v>
      </x:c>
      <x:c r="K2963" s="26" t="n">
        <x:v>0.7</x:v>
      </x:c>
      <x:c r="L2963" s="22" t="n">
        <x:v>-1.9274999999999993</x:v>
      </x:c>
      <x:c r="M2963" t="n">
        <x:v>2017</x:v>
      </x:c>
      <x:c r="N2963" s="20" t="n">
        <x:v>42856</x:v>
      </x:c>
    </x:row>
    <x:row r="2964" ht="18" customHeight="1">
      <x:c r="A2964" t="str">
        <x:v>CA-2015-158456</x:v>
      </x:c>
      <x:c r="B2964" s="18" t="n">
        <x:v>42362</x:v>
      </x:c>
      <x:c r="C2964" t="str">
        <x:v>KT-16465</x:v>
      </x:c>
      <x:c r="D2964" t="str">
        <x:v>Kean Takahito</x:v>
      </x:c>
      <x:c r="E2964" t="str">
        <x:v>Consumer</x:v>
      </x:c>
      <x:c r="F2964" t="str">
        <x:v>West</x:v>
      </x:c>
      <x:c r="G2964" t="str">
        <x:v>Office Supplies</x:v>
      </x:c>
      <x:c r="H2964" t="str">
        <x:v>Binders</x:v>
      </x:c>
      <x:c r="I2964" s="22" t="n">
        <x:v>19.936000000000003</x:v>
      </x:c>
      <x:c r="J2964" s="24" t="n">
        <x:v>4</x:v>
      </x:c>
      <x:c r="K2964" s="26" t="n">
        <x:v>0.2</x:v>
      </x:c>
      <x:c r="L2964" s="22" t="n">
        <x:v>7.2268</x:v>
      </x:c>
      <x:c r="M2964" t="n">
        <x:v>2015</x:v>
      </x:c>
      <x:c r="N2964" s="20" t="n">
        <x:v>42339</x:v>
      </x:c>
    </x:row>
    <x:row r="2965" ht="18" customHeight="1">
      <x:c r="A2965" t="str">
        <x:v>CA-2015-158456</x:v>
      </x:c>
      <x:c r="B2965" s="18" t="n">
        <x:v>42362</x:v>
      </x:c>
      <x:c r="C2965" t="str">
        <x:v>KT-16465</x:v>
      </x:c>
      <x:c r="D2965" t="str">
        <x:v>Kean Takahito</x:v>
      </x:c>
      <x:c r="E2965" t="str">
        <x:v>Consumer</x:v>
      </x:c>
      <x:c r="F2965" t="str">
        <x:v>West</x:v>
      </x:c>
      <x:c r="G2965" t="str">
        <x:v>Office Supplies</x:v>
      </x:c>
      <x:c r="H2965" t="str">
        <x:v>Fasteners</x:v>
      </x:c>
      <x:c r="I2965" s="22" t="n">
        <x:v>45.92</x:v>
      </x:c>
      <x:c r="J2965" s="24" t="n">
        <x:v>4</x:v>
      </x:c>
      <x:c r="K2965" s="26" t="n">
        <x:v>0</x:v>
      </x:c>
      <x:c r="L2965" s="22" t="n">
        <x:v>21.5824</x:v>
      </x:c>
      <x:c r="M2965" t="n">
        <x:v>2015</x:v>
      </x:c>
      <x:c r="N2965" s="20" t="n">
        <x:v>42339</x:v>
      </x:c>
    </x:row>
    <x:row r="2966" ht="18" customHeight="1">
      <x:c r="A2966" t="str">
        <x:v>CA-2017-143665</x:v>
      </x:c>
      <x:c r="B2966" s="18" t="n">
        <x:v>42851</x:v>
      </x:c>
      <x:c r="C2966" t="str">
        <x:v>PO-19180</x:v>
      </x:c>
      <x:c r="D2966" t="str">
        <x:v>Philisse Overcash</x:v>
      </x:c>
      <x:c r="E2966" t="str">
        <x:v>Home Office</x:v>
      </x:c>
      <x:c r="F2966" t="str">
        <x:v>West</x:v>
      </x:c>
      <x:c r="G2966" t="str">
        <x:v>Office Supplies</x:v>
      </x:c>
      <x:c r="H2966" t="str">
        <x:v>Paper</x:v>
      </x:c>
      <x:c r="I2966" s="22" t="n">
        <x:v>20.34</x:v>
      </x:c>
      <x:c r="J2966" s="24" t="n">
        <x:v>3</x:v>
      </x:c>
      <x:c r="K2966" s="26" t="n">
        <x:v>0</x:v>
      </x:c>
      <x:c r="L2966" s="22" t="n">
        <x:v>9.356399999999999</x:v>
      </x:c>
      <x:c r="M2966" t="n">
        <x:v>2017</x:v>
      </x:c>
      <x:c r="N2966" s="20" t="n">
        <x:v>42826</x:v>
      </x:c>
    </x:row>
    <x:row r="2967" ht="18" customHeight="1">
      <x:c r="A2967" t="str">
        <x:v>CA-2017-143665</x:v>
      </x:c>
      <x:c r="B2967" s="18" t="n">
        <x:v>42851</x:v>
      </x:c>
      <x:c r="C2967" t="str">
        <x:v>PO-19180</x:v>
      </x:c>
      <x:c r="D2967" t="str">
        <x:v>Philisse Overcash</x:v>
      </x:c>
      <x:c r="E2967" t="str">
        <x:v>Home Office</x:v>
      </x:c>
      <x:c r="F2967" t="str">
        <x:v>West</x:v>
      </x:c>
      <x:c r="G2967" t="str">
        <x:v>Office Supplies</x:v>
      </x:c>
      <x:c r="H2967" t="str">
        <x:v>Labels</x:v>
      </x:c>
      <x:c r="I2967" s="22" t="n">
        <x:v>39.28</x:v>
      </x:c>
      <x:c r="J2967" s="24" t="n">
        <x:v>8</x:v>
      </x:c>
      <x:c r="K2967" s="26" t="n">
        <x:v>0</x:v>
      </x:c>
      <x:c r="L2967" s="22" t="n">
        <x:v>19.2472</x:v>
      </x:c>
      <x:c r="M2967" t="n">
        <x:v>2017</x:v>
      </x:c>
      <x:c r="N2967" s="20" t="n">
        <x:v>42826</x:v>
      </x:c>
    </x:row>
    <x:row r="2968" ht="18" customHeight="1">
      <x:c r="A2968" t="str">
        <x:v>CA-2017-137428</x:v>
      </x:c>
      <x:c r="B2968" s="18" t="n">
        <x:v>43085</x:v>
      </x:c>
      <x:c r="C2968" t="str">
        <x:v>AY-10555</x:v>
      </x:c>
      <x:c r="D2968" t="str">
        <x:v>Andy Yotov</x:v>
      </x:c>
      <x:c r="E2968" t="str">
        <x:v>Corporate</x:v>
      </x:c>
      <x:c r="F2968" t="str">
        <x:v>West</x:v>
      </x:c>
      <x:c r="G2968" t="str">
        <x:v>Furniture</x:v>
      </x:c>
      <x:c r="H2968" t="str">
        <x:v>Chairs</x:v>
      </x:c>
      <x:c r="I2968" s="22" t="n">
        <x:v>81.568</x:v>
      </x:c>
      <x:c r="J2968" s="24" t="n">
        <x:v>2</x:v>
      </x:c>
      <x:c r="K2968" s="26" t="n">
        <x:v>0.2</x:v>
      </x:c>
      <x:c r="L2968" s="22" t="n">
        <x:v>9.176399999999997</x:v>
      </x:c>
      <x:c r="M2968" t="n">
        <x:v>2017</x:v>
      </x:c>
      <x:c r="N2968" s="20" t="n">
        <x:v>43070</x:v>
      </x:c>
    </x:row>
    <x:row r="2969" ht="18" customHeight="1">
      <x:c r="A2969" t="str">
        <x:v>CA-2017-137428</x:v>
      </x:c>
      <x:c r="B2969" s="18" t="n">
        <x:v>43085</x:v>
      </x:c>
      <x:c r="C2969" t="str">
        <x:v>AY-10555</x:v>
      </x:c>
      <x:c r="D2969" t="str">
        <x:v>Andy Yotov</x:v>
      </x:c>
      <x:c r="E2969" t="str">
        <x:v>Corporate</x:v>
      </x:c>
      <x:c r="F2969" t="str">
        <x:v>West</x:v>
      </x:c>
      <x:c r="G2969" t="str">
        <x:v>Furniture</x:v>
      </x:c>
      <x:c r="H2969" t="str">
        <x:v>Chairs</x:v>
      </x:c>
      <x:c r="I2969" s="22" t="n">
        <x:v>97.18400000000001</x:v>
      </x:c>
      <x:c r="J2969" s="24" t="n">
        <x:v>2</x:v>
      </x:c>
      <x:c r="K2969" s="26" t="n">
        <x:v>0.2</x:v>
      </x:c>
      <x:c r="L2969" s="22" t="n">
        <x:v>6.074000000000002</x:v>
      </x:c>
      <x:c r="M2969" t="n">
        <x:v>2017</x:v>
      </x:c>
      <x:c r="N2969" s="20" t="n">
        <x:v>43070</x:v>
      </x:c>
    </x:row>
    <x:row r="2970" ht="18" customHeight="1">
      <x:c r="A2970" t="str">
        <x:v>CA-2017-137428</x:v>
      </x:c>
      <x:c r="B2970" s="18" t="n">
        <x:v>43085</x:v>
      </x:c>
      <x:c r="C2970" t="str">
        <x:v>AY-10555</x:v>
      </x:c>
      <x:c r="D2970" t="str">
        <x:v>Andy Yotov</x:v>
      </x:c>
      <x:c r="E2970" t="str">
        <x:v>Corporate</x:v>
      </x:c>
      <x:c r="F2970" t="str">
        <x:v>West</x:v>
      </x:c>
      <x:c r="G2970" t="str">
        <x:v>Office Supplies</x:v>
      </x:c>
      <x:c r="H2970" t="str">
        <x:v>Binders</x:v>
      </x:c>
      <x:c r="I2970" s="22" t="n">
        <x:v>24.320000000000004</x:v>
      </x:c>
      <x:c r="J2970" s="24" t="n">
        <x:v>5</x:v>
      </x:c>
      <x:c r="K2970" s="26" t="n">
        <x:v>0.2</x:v>
      </x:c>
      <x:c r="L2970" s="22" t="n">
        <x:v>8.207999999999998</x:v>
      </x:c>
      <x:c r="M2970" t="n">
        <x:v>2017</x:v>
      </x:c>
      <x:c r="N2970" s="20" t="n">
        <x:v>43070</x:v>
      </x:c>
    </x:row>
    <x:row r="2971" ht="18" customHeight="1">
      <x:c r="A2971" t="str">
        <x:v>CA-2017-137428</x:v>
      </x:c>
      <x:c r="B2971" s="18" t="n">
        <x:v>43085</x:v>
      </x:c>
      <x:c r="C2971" t="str">
        <x:v>AY-10555</x:v>
      </x:c>
      <x:c r="D2971" t="str">
        <x:v>Andy Yotov</x:v>
      </x:c>
      <x:c r="E2971" t="str">
        <x:v>Corporate</x:v>
      </x:c>
      <x:c r="F2971" t="str">
        <x:v>West</x:v>
      </x:c>
      <x:c r="G2971" t="str">
        <x:v>Furniture</x:v>
      </x:c>
      <x:c r="H2971" t="str">
        <x:v>Furnishings</x:v>
      </x:c>
      <x:c r="I2971" s="22" t="n">
        <x:v>18.96</x:v>
      </x:c>
      <x:c r="J2971" s="24" t="n">
        <x:v>2</x:v>
      </x:c>
      <x:c r="K2971" s="26" t="n">
        <x:v>0</x:v>
      </x:c>
      <x:c r="L2971" s="22" t="n">
        <x:v>7.584000000000001</x:v>
      </x:c>
      <x:c r="M2971" t="n">
        <x:v>2017</x:v>
      </x:c>
      <x:c r="N2971" s="20" t="n">
        <x:v>43070</x:v>
      </x:c>
    </x:row>
    <x:row r="2972" ht="18" customHeight="1">
      <x:c r="A2972" t="str">
        <x:v>CA-2014-162866</x:v>
      </x:c>
      <x:c r="B2972" s="18" t="n">
        <x:v>42000</x:v>
      </x:c>
      <x:c r="C2972" t="str">
        <x:v>Co-12640</x:v>
      </x:c>
      <x:c r="D2972" t="str">
        <x:v>Corey-Lock</x:v>
      </x:c>
      <x:c r="E2972" t="str">
        <x:v>Consumer</x:v>
      </x:c>
      <x:c r="F2972" t="str">
        <x:v>Central</x:v>
      </x:c>
      <x:c r="G2972" t="str">
        <x:v>Furniture</x:v>
      </x:c>
      <x:c r="H2972" t="str">
        <x:v>Furnishings</x:v>
      </x:c>
      <x:c r="I2972" s="22" t="n">
        <x:v>32.952000000000005</x:v>
      </x:c>
      <x:c r="J2972" s="24" t="n">
        <x:v>6</x:v>
      </x:c>
      <x:c r="K2972" s="26" t="n">
        <x:v>0.6</x:v>
      </x:c>
      <x:c r="L2972" s="22" t="n">
        <x:v>-19.771199999999997</x:v>
      </x:c>
      <x:c r="M2972" t="n">
        <x:v>2014</x:v>
      </x:c>
      <x:c r="N2972" s="20" t="n">
        <x:v>41974</x:v>
      </x:c>
    </x:row>
    <x:row r="2973" ht="18" customHeight="1">
      <x:c r="A2973" t="str">
        <x:v>CA-2014-162866</x:v>
      </x:c>
      <x:c r="B2973" s="18" t="n">
        <x:v>42000</x:v>
      </x:c>
      <x:c r="C2973" t="str">
        <x:v>Co-12640</x:v>
      </x:c>
      <x:c r="D2973" t="str">
        <x:v>Corey-Lock</x:v>
      </x:c>
      <x:c r="E2973" t="str">
        <x:v>Consumer</x:v>
      </x:c>
      <x:c r="F2973" t="str">
        <x:v>Central</x:v>
      </x:c>
      <x:c r="G2973" t="str">
        <x:v>Office Supplies</x:v>
      </x:c>
      <x:c r="H2973" t="str">
        <x:v>Storage</x:v>
      </x:c>
      <x:c r="I2973" s="22" t="n">
        <x:v>30.016000000000005</x:v>
      </x:c>
      <x:c r="J2973" s="24" t="n">
        <x:v>4</x:v>
      </x:c>
      <x:c r="K2973" s="26" t="n">
        <x:v>0.2</x:v>
      </x:c>
      <x:c r="L2973" s="22" t="n">
        <x:v>3.0016</x:v>
      </x:c>
      <x:c r="M2973" t="n">
        <x:v>2014</x:v>
      </x:c>
      <x:c r="N2973" s="20" t="n">
        <x:v>41974</x:v>
      </x:c>
    </x:row>
    <x:row r="2974" ht="18" customHeight="1">
      <x:c r="A2974" t="str">
        <x:v>CA-2017-167941</x:v>
      </x:c>
      <x:c r="B2974" s="18" t="n">
        <x:v>43045</x:v>
      </x:c>
      <x:c r="C2974" t="str">
        <x:v>JF-15565</x:v>
      </x:c>
      <x:c r="D2974" t="str">
        <x:v>Jill Fjeld</x:v>
      </x:c>
      <x:c r="E2974" t="str">
        <x:v>Consumer</x:v>
      </x:c>
      <x:c r="F2974" t="str">
        <x:v>South</x:v>
      </x:c>
      <x:c r="G2974" t="str">
        <x:v>Office Supplies</x:v>
      </x:c>
      <x:c r="H2974" t="str">
        <x:v>Appliances</x:v>
      </x:c>
      <x:c r="I2974" s="22" t="n">
        <x:v>499.58400000000006</x:v>
      </x:c>
      <x:c r="J2974" s="24" t="n">
        <x:v>3</x:v>
      </x:c>
      <x:c r="K2974" s="26" t="n">
        <x:v>0.2</x:v>
      </x:c>
      <x:c r="L2974" s="22" t="n">
        <x:v>43.713600000000014</x:v>
      </x:c>
      <x:c r="M2974" t="n">
        <x:v>2017</x:v>
      </x:c>
      <x:c r="N2974" s="20" t="n">
        <x:v>43040</x:v>
      </x:c>
    </x:row>
    <x:row r="2975" ht="18" customHeight="1">
      <x:c r="A2975" t="str">
        <x:v>CA-2017-167941</x:v>
      </x:c>
      <x:c r="B2975" s="18" t="n">
        <x:v>43045</x:v>
      </x:c>
      <x:c r="C2975" t="str">
        <x:v>JF-15565</x:v>
      </x:c>
      <x:c r="D2975" t="str">
        <x:v>Jill Fjeld</x:v>
      </x:c>
      <x:c r="E2975" t="str">
        <x:v>Consumer</x:v>
      </x:c>
      <x:c r="F2975" t="str">
        <x:v>South</x:v>
      </x:c>
      <x:c r="G2975" t="str">
        <x:v>Office Supplies</x:v>
      </x:c>
      <x:c r="H2975" t="str">
        <x:v>Paper</x:v>
      </x:c>
      <x:c r="I2975" s="22" t="n">
        <x:v>31.104000000000006</x:v>
      </x:c>
      <x:c r="J2975" s="24" t="n">
        <x:v>6</x:v>
      </x:c>
      <x:c r="K2975" s="26" t="n">
        <x:v>0.2</x:v>
      </x:c>
      <x:c r="L2975" s="22" t="n">
        <x:v>10.8864</x:v>
      </x:c>
      <x:c r="M2975" t="n">
        <x:v>2017</x:v>
      </x:c>
      <x:c r="N2975" s="20" t="n">
        <x:v>43040</x:v>
      </x:c>
    </x:row>
    <x:row r="2976" ht="18" customHeight="1">
      <x:c r="A2976" t="str">
        <x:v>CA-2017-167941</x:v>
      </x:c>
      <x:c r="B2976" s="18" t="n">
        <x:v>43045</x:v>
      </x:c>
      <x:c r="C2976" t="str">
        <x:v>JF-15565</x:v>
      </x:c>
      <x:c r="D2976" t="str">
        <x:v>Jill Fjeld</x:v>
      </x:c>
      <x:c r="E2976" t="str">
        <x:v>Consumer</x:v>
      </x:c>
      <x:c r="F2976" t="str">
        <x:v>South</x:v>
      </x:c>
      <x:c r="G2976" t="str">
        <x:v>Office Supplies</x:v>
      </x:c>
      <x:c r="H2976" t="str">
        <x:v>Binders</x:v>
      </x:c>
      <x:c r="I2976" s="22" t="n">
        <x:v>13.272000000000002</x:v>
      </x:c>
      <x:c r="J2976" s="24" t="n">
        <x:v>8</x:v>
      </x:c>
      <x:c r="K2976" s="26" t="n">
        <x:v>0.7</x:v>
      </x:c>
      <x:c r="L2976" s="22" t="n">
        <x:v>-10.6176</x:v>
      </x:c>
      <x:c r="M2976" t="n">
        <x:v>2017</x:v>
      </x:c>
      <x:c r="N2976" s="20" t="n">
        <x:v>43040</x:v>
      </x:c>
    </x:row>
    <x:row r="2977" ht="18" customHeight="1">
      <x:c r="A2977" t="str">
        <x:v>CA-2017-167941</x:v>
      </x:c>
      <x:c r="B2977" s="18" t="n">
        <x:v>43045</x:v>
      </x:c>
      <x:c r="C2977" t="str">
        <x:v>JF-15565</x:v>
      </x:c>
      <x:c r="D2977" t="str">
        <x:v>Jill Fjeld</x:v>
      </x:c>
      <x:c r="E2977" t="str">
        <x:v>Consumer</x:v>
      </x:c>
      <x:c r="F2977" t="str">
        <x:v>South</x:v>
      </x:c>
      <x:c r="G2977" t="str">
        <x:v>Furniture</x:v>
      </x:c>
      <x:c r="H2977" t="str">
        <x:v>Furnishings</x:v>
      </x:c>
      <x:c r="I2977" s="22" t="n">
        <x:v>28.272000000000006</x:v>
      </x:c>
      <x:c r="J2977" s="24" t="n">
        <x:v>2</x:v>
      </x:c>
      <x:c r="K2977" s="26" t="n">
        <x:v>0.2</x:v>
      </x:c>
      <x:c r="L2977" s="22" t="n">
        <x:v>6.3612</x:v>
      </x:c>
      <x:c r="M2977" t="n">
        <x:v>2017</x:v>
      </x:c>
      <x:c r="N2977" s="20" t="n">
        <x:v>43040</x:v>
      </x:c>
    </x:row>
    <x:row r="2978" ht="18" customHeight="1">
      <x:c r="A2978" t="str">
        <x:v>CA-2017-167941</x:v>
      </x:c>
      <x:c r="B2978" s="18" t="n">
        <x:v>43045</x:v>
      </x:c>
      <x:c r="C2978" t="str">
        <x:v>JF-15565</x:v>
      </x:c>
      <x:c r="D2978" t="str">
        <x:v>Jill Fjeld</x:v>
      </x:c>
      <x:c r="E2978" t="str">
        <x:v>Consumer</x:v>
      </x:c>
      <x:c r="F2978" t="str">
        <x:v>South</x:v>
      </x:c>
      <x:c r="G2978" t="str">
        <x:v>Office Supplies</x:v>
      </x:c>
      <x:c r="H2978" t="str">
        <x:v>Storage</x:v>
      </x:c>
      <x:c r="I2978" s="22" t="n">
        <x:v>259.136</x:v>
      </x:c>
      <x:c r="J2978" s="24" t="n">
        <x:v>4</x:v>
      </x:c>
      <x:c r="K2978" s="26" t="n">
        <x:v>0.2</x:v>
      </x:c>
      <x:c r="L2978" s="22" t="n">
        <x:v>-51.82720000000002</x:v>
      </x:c>
      <x:c r="M2978" t="n">
        <x:v>2017</x:v>
      </x:c>
      <x:c r="N2978" s="20" t="n">
        <x:v>43040</x:v>
      </x:c>
    </x:row>
    <x:row r="2979" ht="18" customHeight="1">
      <x:c r="A2979" t="str">
        <x:v>CA-2017-111808</x:v>
      </x:c>
      <x:c r="B2979" s="18" t="n">
        <x:v>43085</x:v>
      </x:c>
      <x:c r="C2979" t="str">
        <x:v>AR-10510</x:v>
      </x:c>
      <x:c r="D2979" t="str">
        <x:v>Andrew Roberts</x:v>
      </x:c>
      <x:c r="E2979" t="str">
        <x:v>Consumer</x:v>
      </x:c>
      <x:c r="F2979" t="str">
        <x:v>Central</x:v>
      </x:c>
      <x:c r="G2979" t="str">
        <x:v>Office Supplies</x:v>
      </x:c>
      <x:c r="H2979" t="str">
        <x:v>Binders</x:v>
      </x:c>
      <x:c r="I2979" s="22" t="n">
        <x:v>10.8</x:v>
      </x:c>
      <x:c r="J2979" s="24" t="n">
        <x:v>5</x:v>
      </x:c>
      <x:c r="K2979" s="26" t="n">
        <x:v>0</x:v>
      </x:c>
      <x:c r="L2979" s="22" t="n">
        <x:v>5.183999999999999</x:v>
      </x:c>
      <x:c r="M2979" t="n">
        <x:v>2017</x:v>
      </x:c>
      <x:c r="N2979" s="20" t="n">
        <x:v>43070</x:v>
      </x:c>
    </x:row>
    <x:row r="2980" ht="18" customHeight="1">
      <x:c r="A2980" t="str">
        <x:v>CA-2015-137512</x:v>
      </x:c>
      <x:c r="B2980" s="18" t="n">
        <x:v>42131</x:v>
      </x:c>
      <x:c r="C2980" t="str">
        <x:v>AG-10675</x:v>
      </x:c>
      <x:c r="D2980" t="str">
        <x:v>Anna Gayman</x:v>
      </x:c>
      <x:c r="E2980" t="str">
        <x:v>Consumer</x:v>
      </x:c>
      <x:c r="F2980" t="str">
        <x:v>Central</x:v>
      </x:c>
      <x:c r="G2980" t="str">
        <x:v>Furniture</x:v>
      </x:c>
      <x:c r="H2980" t="str">
        <x:v>Tables</x:v>
      </x:c>
      <x:c r="I2980" s="22" t="n">
        <x:v>244.00599999999997</x:v>
      </x:c>
      <x:c r="J2980" s="24" t="n">
        <x:v>2</x:v>
      </x:c>
      <x:c r="K2980" s="26" t="n">
        <x:v>0.3</x:v>
      </x:c>
      <x:c r="L2980" s="22" t="n">
        <x:v>-31.372200000000007</x:v>
      </x:c>
      <x:c r="M2980" t="n">
        <x:v>2015</x:v>
      </x:c>
      <x:c r="N2980" s="20" t="n">
        <x:v>42125</x:v>
      </x:c>
    </x:row>
    <x:row r="2981" ht="18" customHeight="1">
      <x:c r="A2981" t="str">
        <x:v>CA-2015-137512</x:v>
      </x:c>
      <x:c r="B2981" s="18" t="n">
        <x:v>42131</x:v>
      </x:c>
      <x:c r="C2981" t="str">
        <x:v>AG-10675</x:v>
      </x:c>
      <x:c r="D2981" t="str">
        <x:v>Anna Gayman</x:v>
      </x:c>
      <x:c r="E2981" t="str">
        <x:v>Consumer</x:v>
      </x:c>
      <x:c r="F2981" t="str">
        <x:v>Central</x:v>
      </x:c>
      <x:c r="G2981" t="str">
        <x:v>Office Supplies</x:v>
      </x:c>
      <x:c r="H2981" t="str">
        <x:v>Paper</x:v>
      </x:c>
      <x:c r="I2981" s="22" t="n">
        <x:v>15.936000000000002</x:v>
      </x:c>
      <x:c r="J2981" s="24" t="n">
        <x:v>4</x:v>
      </x:c>
      <x:c r="K2981" s="26" t="n">
        <x:v>0.2</x:v>
      </x:c>
      <x:c r="L2981" s="22" t="n">
        <x:v>5.378400000000001</x:v>
      </x:c>
      <x:c r="M2981" t="n">
        <x:v>2015</x:v>
      </x:c>
      <x:c r="N2981" s="20" t="n">
        <x:v>42125</x:v>
      </x:c>
    </x:row>
    <x:row r="2982" ht="18" customHeight="1">
      <x:c r="A2982" t="str">
        <x:v>CA-2017-139773</x:v>
      </x:c>
      <x:c r="B2982" s="18" t="n">
        <x:v>43073</x:v>
      </x:c>
      <x:c r="C2982" t="str">
        <x:v>DV-13045</x:v>
      </x:c>
      <x:c r="D2982" t="str">
        <x:v>Darrin Van Huff</x:v>
      </x:c>
      <x:c r="E2982" t="str">
        <x:v>Corporate</x:v>
      </x:c>
      <x:c r="F2982" t="str">
        <x:v>East</x:v>
      </x:c>
      <x:c r="G2982" t="str">
        <x:v>Furniture</x:v>
      </x:c>
      <x:c r="H2982" t="str">
        <x:v>Chairs</x:v>
      </x:c>
      <x:c r="I2982" s="22" t="n">
        <x:v>188.55199999999996</x:v>
      </x:c>
      <x:c r="J2982" s="24" t="n">
        <x:v>7</x:v>
      </x:c>
      <x:c r="K2982" s="26" t="n">
        <x:v>0.3</x:v>
      </x:c>
      <x:c r="L2982" s="22" t="n">
        <x:v>-2.693600000000032</x:v>
      </x:c>
      <x:c r="M2982" t="n">
        <x:v>2017</x:v>
      </x:c>
      <x:c r="N2982" s="20" t="n">
        <x:v>43070</x:v>
      </x:c>
    </x:row>
    <x:row r="2983" ht="18" customHeight="1">
      <x:c r="A2983" t="str">
        <x:v>CA-2017-134607</x:v>
      </x:c>
      <x:c r="B2983" s="18" t="n">
        <x:v>43011</x:v>
      </x:c>
      <x:c r="C2983" t="str">
        <x:v>HL-15040</x:v>
      </x:c>
      <x:c r="D2983" t="str">
        <x:v>Hunter Lopez</x:v>
      </x:c>
      <x:c r="E2983" t="str">
        <x:v>Consumer</x:v>
      </x:c>
      <x:c r="F2983" t="str">
        <x:v>East</x:v>
      </x:c>
      <x:c r="G2983" t="str">
        <x:v>Office Supplies</x:v>
      </x:c>
      <x:c r="H2983" t="str">
        <x:v>Storage</x:v>
      </x:c>
      <x:c r="I2983" s="22" t="n">
        <x:v>22.58</x:v>
      </x:c>
      <x:c r="J2983" s="24" t="n">
        <x:v>2</x:v>
      </x:c>
      <x:c r="K2983" s="26" t="n">
        <x:v>0</x:v>
      </x:c>
      <x:c r="L2983" s="22" t="n">
        <x:v>5.870799999999999</x:v>
      </x:c>
      <x:c r="M2983" t="n">
        <x:v>2017</x:v>
      </x:c>
      <x:c r="N2983" s="20" t="n">
        <x:v>43009</x:v>
      </x:c>
    </x:row>
    <x:row r="2984" ht="18" customHeight="1">
      <x:c r="A2984" t="str">
        <x:v>CA-2014-109232</x:v>
      </x:c>
      <x:c r="B2984" s="18" t="n">
        <x:v>41652</x:v>
      </x:c>
      <x:c r="C2984" t="str">
        <x:v>ND-18370</x:v>
      </x:c>
      <x:c r="D2984" t="str">
        <x:v>Natalie DeCherney</x:v>
      </x:c>
      <x:c r="E2984" t="str">
        <x:v>Consumer</x:v>
      </x:c>
      <x:c r="F2984" t="str">
        <x:v>South</x:v>
      </x:c>
      <x:c r="G2984" t="str">
        <x:v>Furniture</x:v>
      </x:c>
      <x:c r="H2984" t="str">
        <x:v>Chairs</x:v>
      </x:c>
      <x:c r="I2984" s="22" t="n">
        <x:v>545.9399999999999</x:v>
      </x:c>
      <x:c r="J2984" s="24" t="n">
        <x:v>6</x:v>
      </x:c>
      <x:c r="K2984" s="26" t="n">
        <x:v>0</x:v>
      </x:c>
      <x:c r="L2984" s="22" t="n">
        <x:v>87.35040000000004</x:v>
      </x:c>
      <x:c r="M2984" t="n">
        <x:v>2014</x:v>
      </x:c>
      <x:c r="N2984" s="20" t="n">
        <x:v>41640</x:v>
      </x:c>
    </x:row>
    <x:row r="2985" ht="18" customHeight="1">
      <x:c r="A2985" t="str">
        <x:v>CA-2015-139850</x:v>
      </x:c>
      <x:c r="B2985" s="18" t="n">
        <x:v>42167</x:v>
      </x:c>
      <x:c r="C2985" t="str">
        <x:v>GB-14575</x:v>
      </x:c>
      <x:c r="D2985" t="str">
        <x:v>Giulietta Baptist</x:v>
      </x:c>
      <x:c r="E2985" t="str">
        <x:v>Consumer</x:v>
      </x:c>
      <x:c r="F2985" t="str">
        <x:v>East</x:v>
      </x:c>
      <x:c r="G2985" t="str">
        <x:v>Office Supplies</x:v>
      </x:c>
      <x:c r="H2985" t="str">
        <x:v>Paper</x:v>
      </x:c>
      <x:c r="I2985" s="22" t="n">
        <x:v>20.736000000000004</x:v>
      </x:c>
      <x:c r="J2985" s="24" t="n">
        <x:v>4</x:v>
      </x:c>
      <x:c r="K2985" s="26" t="n">
        <x:v>0.2</x:v>
      </x:c>
      <x:c r="L2985" s="22" t="n">
        <x:v>7.2576</x:v>
      </x:c>
      <x:c r="M2985" t="n">
        <x:v>2015</x:v>
      </x:c>
      <x:c r="N2985" s="20" t="n">
        <x:v>42156</x:v>
      </x:c>
    </x:row>
    <x:row r="2986" ht="18" customHeight="1">
      <x:c r="A2986" t="str">
        <x:v>CA-2015-139850</x:v>
      </x:c>
      <x:c r="B2986" s="18" t="n">
        <x:v>42167</x:v>
      </x:c>
      <x:c r="C2986" t="str">
        <x:v>GB-14575</x:v>
      </x:c>
      <x:c r="D2986" t="str">
        <x:v>Giulietta Baptist</x:v>
      </x:c>
      <x:c r="E2986" t="str">
        <x:v>Consumer</x:v>
      </x:c>
      <x:c r="F2986" t="str">
        <x:v>East</x:v>
      </x:c>
      <x:c r="G2986" t="str">
        <x:v>Furniture</x:v>
      </x:c>
      <x:c r="H2986" t="str">
        <x:v>Furnishings</x:v>
      </x:c>
      <x:c r="I2986" s="22" t="n">
        <x:v>43.296</x:v>
      </x:c>
      <x:c r="J2986" s="24" t="n">
        <x:v>2</x:v>
      </x:c>
      <x:c r="K2986" s="26" t="n">
        <x:v>0.2</x:v>
      </x:c>
      <x:c r="L2986" s="22" t="n">
        <x:v>4.3295999999999975</x:v>
      </x:c>
      <x:c r="M2986" t="n">
        <x:v>2015</x:v>
      </x:c>
      <x:c r="N2986" s="20" t="n">
        <x:v>42156</x:v>
      </x:c>
    </x:row>
    <x:row r="2987" ht="18" customHeight="1">
      <x:c r="A2987" t="str">
        <x:v>CA-2014-131310</x:v>
      </x:c>
      <x:c r="B2987" s="18" t="n">
        <x:v>41832</x:v>
      </x:c>
      <x:c r="C2987" t="str">
        <x:v>CL-12565</x:v>
      </x:c>
      <x:c r="D2987" t="str">
        <x:v>Clay Ludtke</x:v>
      </x:c>
      <x:c r="E2987" t="str">
        <x:v>Consumer</x:v>
      </x:c>
      <x:c r="F2987" t="str">
        <x:v>West</x:v>
      </x:c>
      <x:c r="G2987" t="str">
        <x:v>Furniture</x:v>
      </x:c>
      <x:c r="H2987" t="str">
        <x:v>Chairs</x:v>
      </x:c>
      <x:c r="I2987" s="22" t="n">
        <x:v>123.136</x:v>
      </x:c>
      <x:c r="J2987" s="24" t="n">
        <x:v>4</x:v>
      </x:c>
      <x:c r="K2987" s="26" t="n">
        <x:v>0.2</x:v>
      </x:c>
      <x:c r="L2987" s="22" t="n">
        <x:v>13.85279999999998</x:v>
      </x:c>
      <x:c r="M2987" t="n">
        <x:v>2014</x:v>
      </x:c>
      <x:c r="N2987" s="20" t="n">
        <x:v>41821</x:v>
      </x:c>
    </x:row>
    <x:row r="2988" ht="18" customHeight="1">
      <x:c r="A2988" t="str">
        <x:v>CA-2014-131310</x:v>
      </x:c>
      <x:c r="B2988" s="18" t="n">
        <x:v>41832</x:v>
      </x:c>
      <x:c r="C2988" t="str">
        <x:v>CL-12565</x:v>
      </x:c>
      <x:c r="D2988" t="str">
        <x:v>Clay Ludtke</x:v>
      </x:c>
      <x:c r="E2988" t="str">
        <x:v>Consumer</x:v>
      </x:c>
      <x:c r="F2988" t="str">
        <x:v>West</x:v>
      </x:c>
      <x:c r="G2988" t="str">
        <x:v>Office Supplies</x:v>
      </x:c>
      <x:c r="H2988" t="str">
        <x:v>Binders</x:v>
      </x:c>
      <x:c r="I2988" s="22" t="n">
        <x:v>11.264000000000001</x:v>
      </x:c>
      <x:c r="J2988" s="24" t="n">
        <x:v>4</x:v>
      </x:c>
      <x:c r="K2988" s="26" t="n">
        <x:v>0.2</x:v>
      </x:c>
      <x:c r="L2988" s="22" t="n">
        <x:v>3.801599999999999</x:v>
      </x:c>
      <x:c r="M2988" t="n">
        <x:v>2014</x:v>
      </x:c>
      <x:c r="N2988" s="20" t="n">
        <x:v>41821</x:v>
      </x:c>
    </x:row>
    <x:row r="2989" ht="18" customHeight="1">
      <x:c r="A2989" t="str">
        <x:v>US-2014-112872</x:v>
      </x:c>
      <x:c r="B2989" s="18" t="n">
        <x:v>41979</x:v>
      </x:c>
      <x:c r="C2989" t="str">
        <x:v>RC-19960</x:v>
      </x:c>
      <x:c r="D2989" t="str">
        <x:v>Ryan Crowe</x:v>
      </x:c>
      <x:c r="E2989" t="str">
        <x:v>Consumer</x:v>
      </x:c>
      <x:c r="F2989" t="str">
        <x:v>West</x:v>
      </x:c>
      <x:c r="G2989" t="str">
        <x:v>Office Supplies</x:v>
      </x:c>
      <x:c r="H2989" t="str">
        <x:v>Storage</x:v>
      </x:c>
      <x:c r="I2989" s="22" t="n">
        <x:v>53.42400000000001</x:v>
      </x:c>
      <x:c r="J2989" s="24" t="n">
        <x:v>3</x:v>
      </x:c>
      <x:c r="K2989" s="26" t="n">
        <x:v>0.2</x:v>
      </x:c>
      <x:c r="L2989" s="22" t="n">
        <x:v>4.674600000000002</x:v>
      </x:c>
      <x:c r="M2989" t="n">
        <x:v>2014</x:v>
      </x:c>
      <x:c r="N2989" s="20" t="n">
        <x:v>41974</x:v>
      </x:c>
    </x:row>
    <x:row r="2990" ht="18" customHeight="1">
      <x:c r="A2990" t="str">
        <x:v>US-2014-112872</x:v>
      </x:c>
      <x:c r="B2990" s="18" t="n">
        <x:v>41979</x:v>
      </x:c>
      <x:c r="C2990" t="str">
        <x:v>RC-19960</x:v>
      </x:c>
      <x:c r="D2990" t="str">
        <x:v>Ryan Crowe</x:v>
      </x:c>
      <x:c r="E2990" t="str">
        <x:v>Consumer</x:v>
      </x:c>
      <x:c r="F2990" t="str">
        <x:v>West</x:v>
      </x:c>
      <x:c r="G2990" t="str">
        <x:v>Furniture</x:v>
      </x:c>
      <x:c r="H2990" t="str">
        <x:v>Tables</x:v>
      </x:c>
      <x:c r="I2990" s="22" t="n">
        <x:v>275.49</x:v>
      </x:c>
      <x:c r="J2990" s="24" t="n">
        <x:v>1</x:v>
      </x:c>
      <x:c r="K2990" s="26" t="n">
        <x:v>0.5</x:v>
      </x:c>
      <x:c r="L2990" s="22" t="n">
        <x:v>-170.80380000000002</x:v>
      </x:c>
      <x:c r="M2990" t="n">
        <x:v>2014</x:v>
      </x:c>
      <x:c r="N2990" s="20" t="n">
        <x:v>41974</x:v>
      </x:c>
    </x:row>
    <x:row r="2991" ht="18" customHeight="1">
      <x:c r="A2991" t="str">
        <x:v>CA-2016-139269</x:v>
      </x:c>
      <x:c r="B2991" s="18" t="n">
        <x:v>42515</x:v>
      </x:c>
      <x:c r="C2991" t="str">
        <x:v>JB-16045</x:v>
      </x:c>
      <x:c r="D2991" t="str">
        <x:v>Julia Barnett</x:v>
      </x:c>
      <x:c r="E2991" t="str">
        <x:v>Home Office</x:v>
      </x:c>
      <x:c r="F2991" t="str">
        <x:v>South</x:v>
      </x:c>
      <x:c r="G2991" t="str">
        <x:v>Furniture</x:v>
      </x:c>
      <x:c r="H2991" t="str">
        <x:v>Furnishings</x:v>
      </x:c>
      <x:c r="I2991" s="22" t="n">
        <x:v>24.96</x:v>
      </x:c>
      <x:c r="J2991" s="24" t="n">
        <x:v>4</x:v>
      </x:c>
      <x:c r="K2991" s="26" t="n">
        <x:v>0</x:v>
      </x:c>
      <x:c r="L2991" s="22" t="n">
        <x:v>6.240000000000002</x:v>
      </x:c>
      <x:c r="M2991" t="n">
        <x:v>2016</x:v>
      </x:c>
      <x:c r="N2991" s="20" t="n">
        <x:v>42491</x:v>
      </x:c>
    </x:row>
    <x:row r="2992" ht="18" customHeight="1">
      <x:c r="A2992" t="str">
        <x:v>CA-2016-139269</x:v>
      </x:c>
      <x:c r="B2992" s="18" t="n">
        <x:v>42515</x:v>
      </x:c>
      <x:c r="C2992" t="str">
        <x:v>JB-16045</x:v>
      </x:c>
      <x:c r="D2992" t="str">
        <x:v>Julia Barnett</x:v>
      </x:c>
      <x:c r="E2992" t="str">
        <x:v>Home Office</x:v>
      </x:c>
      <x:c r="F2992" t="str">
        <x:v>South</x:v>
      </x:c>
      <x:c r="G2992" t="str">
        <x:v>Office Supplies</x:v>
      </x:c>
      <x:c r="H2992" t="str">
        <x:v>Paper</x:v>
      </x:c>
      <x:c r="I2992" s="22" t="n">
        <x:v>19.36</x:v>
      </x:c>
      <x:c r="J2992" s="24" t="n">
        <x:v>2</x:v>
      </x:c>
      <x:c r="K2992" s="26" t="n">
        <x:v>0</x:v>
      </x:c>
      <x:c r="L2992" s="22" t="n">
        <x:v>9.2928</x:v>
      </x:c>
      <x:c r="M2992" t="n">
        <x:v>2016</x:v>
      </x:c>
      <x:c r="N2992" s="20" t="n">
        <x:v>42491</x:v>
      </x:c>
    </x:row>
    <x:row r="2993" ht="18" customHeight="1">
      <x:c r="A2993" t="str">
        <x:v>CA-2016-139269</x:v>
      </x:c>
      <x:c r="B2993" s="18" t="n">
        <x:v>42515</x:v>
      </x:c>
      <x:c r="C2993" t="str">
        <x:v>JB-16045</x:v>
      </x:c>
      <x:c r="D2993" t="str">
        <x:v>Julia Barnett</x:v>
      </x:c>
      <x:c r="E2993" t="str">
        <x:v>Home Office</x:v>
      </x:c>
      <x:c r="F2993" t="str">
        <x:v>South</x:v>
      </x:c>
      <x:c r="G2993" t="str">
        <x:v>Office Supplies</x:v>
      </x:c>
      <x:c r="H2993" t="str">
        <x:v>Storage</x:v>
      </x:c>
      <x:c r="I2993" s="22" t="n">
        <x:v>1267.6499999999999</x:v>
      </x:c>
      <x:c r="J2993" s="24" t="n">
        <x:v>9</x:v>
      </x:c>
      <x:c r="K2993" s="26" t="n">
        <x:v>0</x:v>
      </x:c>
      <x:c r="L2993" s="22" t="n">
        <x:v>152.118</x:v>
      </x:c>
      <x:c r="M2993" t="n">
        <x:v>2016</x:v>
      </x:c>
      <x:c r="N2993" s="20" t="n">
        <x:v>42491</x:v>
      </x:c>
    </x:row>
    <x:row r="2994" ht="18" customHeight="1">
      <x:c r="A2994" t="str">
        <x:v>CA-2016-139010</x:v>
      </x:c>
      <x:c r="B2994" s="18" t="n">
        <x:v>42421</x:v>
      </x:c>
      <x:c r="C2994" t="str">
        <x:v>MC-17635</x:v>
      </x:c>
      <x:c r="D2994" t="str">
        <x:v>Matthew Clasen</x:v>
      </x:c>
      <x:c r="E2994" t="str">
        <x:v>Corporate</x:v>
      </x:c>
      <x:c r="F2994" t="str">
        <x:v>West</x:v>
      </x:c>
      <x:c r="G2994" t="str">
        <x:v>Technology</x:v>
      </x:c>
      <x:c r="H2994" t="str">
        <x:v>Accessories</x:v>
      </x:c>
      <x:c r="I2994" s="22" t="n">
        <x:v>12.99</x:v>
      </x:c>
      <x:c r="J2994" s="24" t="n">
        <x:v>1</x:v>
      </x:c>
      <x:c r="K2994" s="26" t="n">
        <x:v>0</x:v>
      </x:c>
      <x:c r="L2994" s="22" t="n">
        <x:v>0.779399999999999</x:v>
      </x:c>
      <x:c r="M2994" t="n">
        <x:v>2016</x:v>
      </x:c>
      <x:c r="N2994" s="20" t="n">
        <x:v>42401</x:v>
      </x:c>
    </x:row>
    <x:row r="2995" ht="18" customHeight="1">
      <x:c r="A2995" t="str">
        <x:v>CA-2016-139010</x:v>
      </x:c>
      <x:c r="B2995" s="18" t="n">
        <x:v>42421</x:v>
      </x:c>
      <x:c r="C2995" t="str">
        <x:v>MC-17635</x:v>
      </x:c>
      <x:c r="D2995" t="str">
        <x:v>Matthew Clasen</x:v>
      </x:c>
      <x:c r="E2995" t="str">
        <x:v>Corporate</x:v>
      </x:c>
      <x:c r="F2995" t="str">
        <x:v>West</x:v>
      </x:c>
      <x:c r="G2995" t="str">
        <x:v>Office Supplies</x:v>
      </x:c>
      <x:c r="H2995" t="str">
        <x:v>Binders</x:v>
      </x:c>
      <x:c r="I2995" s="22" t="n">
        <x:v>18.56</x:v>
      </x:c>
      <x:c r="J2995" s="24" t="n">
        <x:v>4</x:v>
      </x:c>
      <x:c r="K2995" s="26" t="n">
        <x:v>0.2</x:v>
      </x:c>
      <x:c r="L2995" s="22" t="n">
        <x:v>6.4959999999999996</x:v>
      </x:c>
      <x:c r="M2995" t="n">
        <x:v>2016</x:v>
      </x:c>
      <x:c r="N2995" s="20" t="n">
        <x:v>42401</x:v>
      </x:c>
    </x:row>
    <x:row r="2996" ht="18" customHeight="1">
      <x:c r="A2996" t="str">
        <x:v>CA-2016-139010</x:v>
      </x:c>
      <x:c r="B2996" s="18" t="n">
        <x:v>42421</x:v>
      </x:c>
      <x:c r="C2996" t="str">
        <x:v>MC-17635</x:v>
      </x:c>
      <x:c r="D2996" t="str">
        <x:v>Matthew Clasen</x:v>
      </x:c>
      <x:c r="E2996" t="str">
        <x:v>Corporate</x:v>
      </x:c>
      <x:c r="F2996" t="str">
        <x:v>West</x:v>
      </x:c>
      <x:c r="G2996" t="str">
        <x:v>Office Supplies</x:v>
      </x:c>
      <x:c r="H2996" t="str">
        <x:v>Storage</x:v>
      </x:c>
      <x:c r="I2996" s="22" t="n">
        <x:v>449.15</x:v>
      </x:c>
      <x:c r="J2996" s="24" t="n">
        <x:v>5</x:v>
      </x:c>
      <x:c r="K2996" s="26" t="n">
        <x:v>0</x:v>
      </x:c>
      <x:c r="L2996" s="22" t="n">
        <x:v>8.98299999999999</x:v>
      </x:c>
      <x:c r="M2996" t="n">
        <x:v>2016</x:v>
      </x:c>
      <x:c r="N2996" s="20" t="n">
        <x:v>42401</x:v>
      </x:c>
    </x:row>
    <x:row r="2997" ht="18" customHeight="1">
      <x:c r="A2997" t="str">
        <x:v>CA-2016-139010</x:v>
      </x:c>
      <x:c r="B2997" s="18" t="n">
        <x:v>42421</x:v>
      </x:c>
      <x:c r="C2997" t="str">
        <x:v>MC-17635</x:v>
      </x:c>
      <x:c r="D2997" t="str">
        <x:v>Matthew Clasen</x:v>
      </x:c>
      <x:c r="E2997" t="str">
        <x:v>Corporate</x:v>
      </x:c>
      <x:c r="F2997" t="str">
        <x:v>West</x:v>
      </x:c>
      <x:c r="G2997" t="str">
        <x:v>Office Supplies</x:v>
      </x:c>
      <x:c r="H2997" t="str">
        <x:v>Binders</x:v>
      </x:c>
      <x:c r="I2997" s="22" t="n">
        <x:v>31.248000000000005</x:v>
      </x:c>
      <x:c r="J2997" s="24" t="n">
        <x:v>7</x:v>
      </x:c>
      <x:c r="K2997" s="26" t="n">
        <x:v>0.2</x:v>
      </x:c>
      <x:c r="L2997" s="22" t="n">
        <x:v>10.936799999999998</x:v>
      </x:c>
      <x:c r="M2997" t="n">
        <x:v>2016</x:v>
      </x:c>
      <x:c r="N2997" s="20" t="n">
        <x:v>42401</x:v>
      </x:c>
    </x:row>
    <x:row r="2998" ht="18" customHeight="1">
      <x:c r="A2998" t="str">
        <x:v>CA-2016-134376</x:v>
      </x:c>
      <x:c r="B2998" s="18" t="n">
        <x:v>42645</x:v>
      </x:c>
      <x:c r="C2998" t="str">
        <x:v>TT-21265</x:v>
      </x:c>
      <x:c r="D2998" t="str">
        <x:v>Tim Taslimi</x:v>
      </x:c>
      <x:c r="E2998" t="str">
        <x:v>Corporate</x:v>
      </x:c>
      <x:c r="F2998" t="str">
        <x:v>East</x:v>
      </x:c>
      <x:c r="G2998" t="str">
        <x:v>Office Supplies</x:v>
      </x:c>
      <x:c r="H2998" t="str">
        <x:v>Appliances</x:v>
      </x:c>
      <x:c r="I2998" s="22" t="n">
        <x:v>61.44</x:v>
      </x:c>
      <x:c r="J2998" s="24" t="n">
        <x:v>3</x:v>
      </x:c>
      <x:c r="K2998" s="26" t="n">
        <x:v>0</x:v>
      </x:c>
      <x:c r="L2998" s="22" t="n">
        <x:v>16.5888</x:v>
      </x:c>
      <x:c r="M2998" t="n">
        <x:v>2016</x:v>
      </x:c>
      <x:c r="N2998" s="20" t="n">
        <x:v>42644</x:v>
      </x:c>
    </x:row>
    <x:row r="2999" ht="18" customHeight="1">
      <x:c r="A2999" t="str">
        <x:v>CA-2017-147291</x:v>
      </x:c>
      <x:c r="B2999" s="18" t="n">
        <x:v>42805</x:v>
      </x:c>
      <x:c r="C2999" t="str">
        <x:v>MJ-17740</x:v>
      </x:c>
      <x:c r="D2999" t="str">
        <x:v>Max Jones</x:v>
      </x:c>
      <x:c r="E2999" t="str">
        <x:v>Consumer</x:v>
      </x:c>
      <x:c r="F2999" t="str">
        <x:v>Central</x:v>
      </x:c>
      <x:c r="G2999" t="str">
        <x:v>Office Supplies</x:v>
      </x:c>
      <x:c r="H2999" t="str">
        <x:v>Binders</x:v>
      </x:c>
      <x:c r="I2999" s="22" t="n">
        <x:v>895.92</x:v>
      </x:c>
      <x:c r="J2999" s="24" t="n">
        <x:v>4</x:v>
      </x:c>
      <x:c r="K2999" s="26" t="n">
        <x:v>0</x:v>
      </x:c>
      <x:c r="L2999" s="22" t="n">
        <x:v>421.08239999999995</x:v>
      </x:c>
      <x:c r="M2999" t="n">
        <x:v>2017</x:v>
      </x:c>
      <x:c r="N2999" s="20" t="n">
        <x:v>42795</x:v>
      </x:c>
    </x:row>
    <x:row r="3000" ht="18" customHeight="1">
      <x:c r="A3000" t="str">
        <x:v>CA-2016-112893</x:v>
      </x:c>
      <x:c r="B3000" s="18" t="n">
        <x:v>42622</x:v>
      </x:c>
      <x:c r="C3000" t="str">
        <x:v>AT-10735</x:v>
      </x:c>
      <x:c r="D3000" t="str">
        <x:v>Annie Thurman</x:v>
      </x:c>
      <x:c r="E3000" t="str">
        <x:v>Consumer</x:v>
      </x:c>
      <x:c r="F3000" t="str">
        <x:v>West</x:v>
      </x:c>
      <x:c r="G3000" t="str">
        <x:v>Office Supplies</x:v>
      </x:c>
      <x:c r="H3000" t="str">
        <x:v>Binders</x:v>
      </x:c>
      <x:c r="I3000" s="22" t="n">
        <x:v>55.36000000000001</x:v>
      </x:c>
      <x:c r="J3000" s="24" t="n">
        <x:v>4</x:v>
      </x:c>
      <x:c r="K3000" s="26" t="n">
        <x:v>0.2</x:v>
      </x:c>
      <x:c r="L3000" s="22" t="n">
        <x:v>18.683999999999997</x:v>
      </x:c>
      <x:c r="M3000" t="n">
        <x:v>2016</x:v>
      </x:c>
      <x:c r="N3000" s="20" t="n">
        <x:v>42614</x:v>
      </x:c>
    </x:row>
    <x:row r="3001" ht="18" customHeight="1">
      <x:c r="A3001" t="str">
        <x:v>US-2014-150532</x:v>
      </x:c>
      <x:c r="B3001" s="18" t="n">
        <x:v>41834</x:v>
      </x:c>
      <x:c r="C3001" t="str">
        <x:v>PB-19150</x:v>
      </x:c>
      <x:c r="D3001" t="str">
        <x:v>Philip Brown</x:v>
      </x:c>
      <x:c r="E3001" t="str">
        <x:v>Consumer</x:v>
      </x:c>
      <x:c r="F3001" t="str">
        <x:v>West</x:v>
      </x:c>
      <x:c r="G3001" t="str">
        <x:v>Office Supplies</x:v>
      </x:c>
      <x:c r="H3001" t="str">
        <x:v>Storage</x:v>
      </x:c>
      <x:c r="I3001" s="22" t="n">
        <x:v>55.92</x:v>
      </x:c>
      <x:c r="J3001" s="24" t="n">
        <x:v>5</x:v>
      </x:c>
      <x:c r="K3001" s="26" t="n">
        <x:v>0.2</x:v>
      </x:c>
      <x:c r="L3001" s="22" t="n">
        <x:v>6.291</x:v>
      </x:c>
      <x:c r="M3001" t="n">
        <x:v>2014</x:v>
      </x:c>
      <x:c r="N3001" s="20" t="n">
        <x:v>41821</x:v>
      </x:c>
    </x:row>
    <x:row r="3002" ht="18" customHeight="1">
      <x:c r="A3002" t="str">
        <x:v>CA-2014-138317</x:v>
      </x:c>
      <x:c r="B3002" s="18" t="n">
        <x:v>41811</x:v>
      </x:c>
      <x:c r="C3002" t="str">
        <x:v>NW-18400</x:v>
      </x:c>
      <x:c r="D3002" t="str">
        <x:v>Natalie Webber</x:v>
      </x:c>
      <x:c r="E3002" t="str">
        <x:v>Consumer</x:v>
      </x:c>
      <x:c r="F3002" t="str">
        <x:v>East</x:v>
      </x:c>
      <x:c r="G3002" t="str">
        <x:v>Office Supplies</x:v>
      </x:c>
      <x:c r="H3002" t="str">
        <x:v>Envelopes</x:v>
      </x:c>
      <x:c r="I3002" s="22" t="n">
        <x:v>24.896</x:v>
      </x:c>
      <x:c r="J3002" s="24" t="n">
        <x:v>4</x:v>
      </x:c>
      <x:c r="K3002" s="26" t="n">
        <x:v>0.2</x:v>
      </x:c>
      <x:c r="L3002" s="22" t="n">
        <x:v>8.4024</x:v>
      </x:c>
      <x:c r="M3002" t="n">
        <x:v>2014</x:v>
      </x:c>
      <x:c r="N3002" s="20" t="n">
        <x:v>41791</x:v>
      </x:c>
    </x:row>
    <x:row r="3003" ht="18" customHeight="1">
      <x:c r="A3003" t="str">
        <x:v>CA-2014-138317</x:v>
      </x:c>
      <x:c r="B3003" s="18" t="n">
        <x:v>41811</x:v>
      </x:c>
      <x:c r="C3003" t="str">
        <x:v>NW-18400</x:v>
      </x:c>
      <x:c r="D3003" t="str">
        <x:v>Natalie Webber</x:v>
      </x:c>
      <x:c r="E3003" t="str">
        <x:v>Consumer</x:v>
      </x:c>
      <x:c r="F3003" t="str">
        <x:v>East</x:v>
      </x:c>
      <x:c r="G3003" t="str">
        <x:v>Furniture</x:v>
      </x:c>
      <x:c r="H3003" t="str">
        <x:v>Furnishings</x:v>
      </x:c>
      <x:c r="I3003" s="22" t="n">
        <x:v>3.9840000000000004</x:v>
      </x:c>
      <x:c r="J3003" s="24" t="n">
        <x:v>1</x:v>
      </x:c>
      <x:c r="K3003" s="26" t="n">
        <x:v>0.2</x:v>
      </x:c>
      <x:c r="L3003" s="22" t="n">
        <x:v>0.6473999999999996</x:v>
      </x:c>
      <x:c r="M3003" t="n">
        <x:v>2014</x:v>
      </x:c>
      <x:c r="N3003" s="20" t="n">
        <x:v>41791</x:v>
      </x:c>
    </x:row>
    <x:row r="3004" ht="18" customHeight="1">
      <x:c r="A3004" t="str">
        <x:v>CA-2014-138317</x:v>
      </x:c>
      <x:c r="B3004" s="18" t="n">
        <x:v>41811</x:v>
      </x:c>
      <x:c r="C3004" t="str">
        <x:v>NW-18400</x:v>
      </x:c>
      <x:c r="D3004" t="str">
        <x:v>Natalie Webber</x:v>
      </x:c>
      <x:c r="E3004" t="str">
        <x:v>Consumer</x:v>
      </x:c>
      <x:c r="F3004" t="str">
        <x:v>East</x:v>
      </x:c>
      <x:c r="G3004" t="str">
        <x:v>Technology</x:v>
      </x:c>
      <x:c r="H3004" t="str">
        <x:v>Accessories</x:v>
      </x:c>
      <x:c r="I3004" s="22" t="n">
        <x:v>95.968</x:v>
      </x:c>
      <x:c r="J3004" s="24" t="n">
        <x:v>4</x:v>
      </x:c>
      <x:c r="K3004" s="26" t="n">
        <x:v>0.2</x:v>
      </x:c>
      <x:c r="L3004" s="22" t="n">
        <x:v>28.79040000000001</x:v>
      </x:c>
      <x:c r="M3004" t="n">
        <x:v>2014</x:v>
      </x:c>
      <x:c r="N3004" s="20" t="n">
        <x:v>41791</x:v>
      </x:c>
    </x:row>
    <x:row r="3005" ht="18" customHeight="1">
      <x:c r="A3005" t="str">
        <x:v>CA-2014-138317</x:v>
      </x:c>
      <x:c r="B3005" s="18" t="n">
        <x:v>41811</x:v>
      </x:c>
      <x:c r="C3005" t="str">
        <x:v>NW-18400</x:v>
      </x:c>
      <x:c r="D3005" t="str">
        <x:v>Natalie Webber</x:v>
      </x:c>
      <x:c r="E3005" t="str">
        <x:v>Consumer</x:v>
      </x:c>
      <x:c r="F3005" t="str">
        <x:v>East</x:v>
      </x:c>
      <x:c r="G3005" t="str">
        <x:v>Technology</x:v>
      </x:c>
      <x:c r="H3005" t="str">
        <x:v>Machines</x:v>
      </x:c>
      <x:c r="I3005" s="22" t="n">
        <x:v>206.99100000000004</x:v>
      </x:c>
      <x:c r="J3005" s="24" t="n">
        <x:v>3</x:v>
      </x:c>
      <x:c r="K3005" s="26" t="n">
        <x:v>0.7</x:v>
      </x:c>
      <x:c r="L3005" s="22" t="n">
        <x:v>-172.4925</x:v>
      </x:c>
      <x:c r="M3005" t="n">
        <x:v>2014</x:v>
      </x:c>
      <x:c r="N3005" s="20" t="n">
        <x:v>41791</x:v>
      </x:c>
    </x:row>
    <x:row r="3006" ht="18" customHeight="1">
      <x:c r="A3006" t="str">
        <x:v>CA-2014-138317</x:v>
      </x:c>
      <x:c r="B3006" s="18" t="n">
        <x:v>41811</x:v>
      </x:c>
      <x:c r="C3006" t="str">
        <x:v>NW-18400</x:v>
      </x:c>
      <x:c r="D3006" t="str">
        <x:v>Natalie Webber</x:v>
      </x:c>
      <x:c r="E3006" t="str">
        <x:v>Consumer</x:v>
      </x:c>
      <x:c r="F3006" t="str">
        <x:v>East</x:v>
      </x:c>
      <x:c r="G3006" t="str">
        <x:v>Office Supplies</x:v>
      </x:c>
      <x:c r="H3006" t="str">
        <x:v>Appliances</x:v>
      </x:c>
      <x:c r="I3006" s="22" t="n">
        <x:v>44.416000000000004</x:v>
      </x:c>
      <x:c r="J3006" s="24" t="n">
        <x:v>2</x:v>
      </x:c>
      <x:c r="K3006" s="26" t="n">
        <x:v>0.2</x:v>
      </x:c>
      <x:c r="L3006" s="22" t="n">
        <x:v>3.8864</x:v>
      </x:c>
      <x:c r="M3006" t="n">
        <x:v>2014</x:v>
      </x:c>
      <x:c r="N3006" s="20" t="n">
        <x:v>41791</x:v>
      </x:c>
    </x:row>
    <x:row r="3007" ht="18" customHeight="1">
      <x:c r="A3007" t="str">
        <x:v>CA-2014-138317</x:v>
      </x:c>
      <x:c r="B3007" s="18" t="n">
        <x:v>41811</x:v>
      </x:c>
      <x:c r="C3007" t="str">
        <x:v>NW-18400</x:v>
      </x:c>
      <x:c r="D3007" t="str">
        <x:v>Natalie Webber</x:v>
      </x:c>
      <x:c r="E3007" t="str">
        <x:v>Consumer</x:v>
      </x:c>
      <x:c r="F3007" t="str">
        <x:v>East</x:v>
      </x:c>
      <x:c r="G3007" t="str">
        <x:v>Office Supplies</x:v>
      </x:c>
      <x:c r="H3007" t="str">
        <x:v>Binders</x:v>
      </x:c>
      <x:c r="I3007" s="22" t="n">
        <x:v>9.006000000000002</x:v>
      </x:c>
      <x:c r="J3007" s="24" t="n">
        <x:v>2</x:v>
      </x:c>
      <x:c r="K3007" s="26" t="n">
        <x:v>0.7</x:v>
      </x:c>
      <x:c r="L3007" s="22" t="n">
        <x:v>-7.204800000000002</x:v>
      </x:c>
      <x:c r="M3007" t="n">
        <x:v>2014</x:v>
      </x:c>
      <x:c r="N3007" s="20" t="n">
        <x:v>41791</x:v>
      </x:c>
    </x:row>
    <x:row r="3008" ht="18" customHeight="1">
      <x:c r="A3008" t="str">
        <x:v>CA-2015-130610</x:v>
      </x:c>
      <x:c r="B3008" s="18" t="n">
        <x:v>42190</x:v>
      </x:c>
      <x:c r="C3008" t="str">
        <x:v>VP-21730</x:v>
      </x:c>
      <x:c r="D3008" t="str">
        <x:v>Victor Preis</x:v>
      </x:c>
      <x:c r="E3008" t="str">
        <x:v>Home Office</x:v>
      </x:c>
      <x:c r="F3008" t="str">
        <x:v>Central</x:v>
      </x:c>
      <x:c r="G3008" t="str">
        <x:v>Office Supplies</x:v>
      </x:c>
      <x:c r="H3008" t="str">
        <x:v>Binders</x:v>
      </x:c>
      <x:c r="I3008" s="22" t="n">
        <x:v>19</x:v>
      </x:c>
      <x:c r="J3008" s="24" t="n">
        <x:v>5</x:v>
      </x:c>
      <x:c r="K3008" s="26" t="n">
        <x:v>0</x:v>
      </x:c>
      <x:c r="L3008" s="22" t="n">
        <x:v>8.93</x:v>
      </x:c>
      <x:c r="M3008" t="n">
        <x:v>2015</x:v>
      </x:c>
      <x:c r="N3008" s="20" t="n">
        <x:v>42186</x:v>
      </x:c>
    </x:row>
    <x:row r="3009" ht="18" customHeight="1">
      <x:c r="A3009" t="str">
        <x:v>CA-2017-104381</x:v>
      </x:c>
      <x:c r="B3009" s="18" t="n">
        <x:v>43085</x:v>
      </x:c>
      <x:c r="C3009" t="str">
        <x:v>RD-19810</x:v>
      </x:c>
      <x:c r="D3009" t="str">
        <x:v>Ross DeVincentis</x:v>
      </x:c>
      <x:c r="E3009" t="str">
        <x:v>Home Office</x:v>
      </x:c>
      <x:c r="F3009" t="str">
        <x:v>East</x:v>
      </x:c>
      <x:c r="G3009" t="str">
        <x:v>Office Supplies</x:v>
      </x:c>
      <x:c r="H3009" t="str">
        <x:v>Binders</x:v>
      </x:c>
      <x:c r="I3009" s="22" t="n">
        <x:v>33.376</x:v>
      </x:c>
      <x:c r="J3009" s="24" t="n">
        <x:v>4</x:v>
      </x:c>
      <x:c r="K3009" s="26" t="n">
        <x:v>0.2</x:v>
      </x:c>
      <x:c r="L3009" s="22" t="n">
        <x:v>10.429999999999998</x:v>
      </x:c>
      <x:c r="M3009" t="n">
        <x:v>2017</x:v>
      </x:c>
      <x:c r="N3009" s="20" t="n">
        <x:v>43070</x:v>
      </x:c>
    </x:row>
    <x:row r="3010" ht="18" customHeight="1">
      <x:c r="A3010" t="str">
        <x:v>CA-2016-131499</x:v>
      </x:c>
      <x:c r="B3010" s="18" t="n">
        <x:v>42621</x:v>
      </x:c>
      <x:c r="C3010" t="str">
        <x:v>MG-17875</x:v>
      </x:c>
      <x:c r="D3010" t="str">
        <x:v>Michael Grace</x:v>
      </x:c>
      <x:c r="E3010" t="str">
        <x:v>Home Office</x:v>
      </x:c>
      <x:c r="F3010" t="str">
        <x:v>East</x:v>
      </x:c>
      <x:c r="G3010" t="str">
        <x:v>Office Supplies</x:v>
      </x:c>
      <x:c r="H3010" t="str">
        <x:v>Appliances</x:v>
      </x:c>
      <x:c r="I3010" s="22" t="n">
        <x:v>207.48</x:v>
      </x:c>
      <x:c r="J3010" s="24" t="n">
        <x:v>1</x:v>
      </x:c>
      <x:c r="K3010" s="26" t="n">
        <x:v>0</x:v>
      </x:c>
      <x:c r="L3010" s="22" t="n">
        <x:v>62.24399999999997</x:v>
      </x:c>
      <x:c r="M3010" t="n">
        <x:v>2016</x:v>
      </x:c>
      <x:c r="N3010" s="20" t="n">
        <x:v>42614</x:v>
      </x:c>
    </x:row>
    <x:row r="3011" ht="18" customHeight="1">
      <x:c r="A3011" t="str">
        <x:v>CA-2014-148761</x:v>
      </x:c>
      <x:c r="B3011" s="18" t="n">
        <x:v>41776</x:v>
      </x:c>
      <x:c r="C3011" t="str">
        <x:v>PA-19060</x:v>
      </x:c>
      <x:c r="D3011" t="str">
        <x:v>Pete Armstrong</x:v>
      </x:c>
      <x:c r="E3011" t="str">
        <x:v>Home Office</x:v>
      </x:c>
      <x:c r="F3011" t="str">
        <x:v>Central</x:v>
      </x:c>
      <x:c r="G3011" t="str">
        <x:v>Office Supplies</x:v>
      </x:c>
      <x:c r="H3011" t="str">
        <x:v>Binders</x:v>
      </x:c>
      <x:c r="I3011" s="22" t="n">
        <x:v>91.67999999999999</x:v>
      </x:c>
      <x:c r="J3011" s="24" t="n">
        <x:v>3</x:v>
      </x:c>
      <x:c r="K3011" s="26" t="n">
        <x:v>0</x:v>
      </x:c>
      <x:c r="L3011" s="22" t="n">
        <x:v>45.839999999999996</x:v>
      </x:c>
      <x:c r="M3011" t="n">
        <x:v>2014</x:v>
      </x:c>
      <x:c r="N3011" s="20" t="n">
        <x:v>41760</x:v>
      </x:c>
    </x:row>
    <x:row r="3012" ht="18" customHeight="1">
      <x:c r="A3012" t="str">
        <x:v>CA-2017-116519</x:v>
      </x:c>
      <x:c r="B3012" s="18" t="n">
        <x:v>43021</x:v>
      </x:c>
      <x:c r="C3012" t="str">
        <x:v>CR-12730</x:v>
      </x:c>
      <x:c r="D3012" t="str">
        <x:v>Craig Reiter</x:v>
      </x:c>
      <x:c r="E3012" t="str">
        <x:v>Consumer</x:v>
      </x:c>
      <x:c r="F3012" t="str">
        <x:v>East</x:v>
      </x:c>
      <x:c r="G3012" t="str">
        <x:v>Office Supplies</x:v>
      </x:c>
      <x:c r="H3012" t="str">
        <x:v>Appliances</x:v>
      </x:c>
      <x:c r="I3012" s="22" t="n">
        <x:v>904.9</x:v>
      </x:c>
      <x:c r="J3012" s="24" t="n">
        <x:v>5</x:v>
      </x:c>
      <x:c r="K3012" s="26" t="n">
        <x:v>0</x:v>
      </x:c>
      <x:c r="L3012" s="22" t="n">
        <x:v>253.37199999999996</x:v>
      </x:c>
      <x:c r="M3012" t="n">
        <x:v>2017</x:v>
      </x:c>
      <x:c r="N3012" s="20" t="n">
        <x:v>43009</x:v>
      </x:c>
    </x:row>
    <x:row r="3013" ht="18" customHeight="1">
      <x:c r="A3013" t="str">
        <x:v>CA-2014-130729</x:v>
      </x:c>
      <x:c r="B3013" s="18" t="n">
        <x:v>41936</x:v>
      </x:c>
      <x:c r="C3013" t="str">
        <x:v>AA-10375</x:v>
      </x:c>
      <x:c r="D3013" t="str">
        <x:v>Allen Armold</x:v>
      </x:c>
      <x:c r="E3013" t="str">
        <x:v>Consumer</x:v>
      </x:c>
      <x:c r="F3013" t="str">
        <x:v>West</x:v>
      </x:c>
      <x:c r="G3013" t="str">
        <x:v>Office Supplies</x:v>
      </x:c>
      <x:c r="H3013" t="str">
        <x:v>Binders</x:v>
      </x:c>
      <x:c r="I3013" s="22" t="n">
        <x:v>34.272</x:v>
      </x:c>
      <x:c r="J3013" s="24" t="n">
        <x:v>3</x:v>
      </x:c>
      <x:c r="K3013" s="26" t="n">
        <x:v>0.2</x:v>
      </x:c>
      <x:c r="L3013" s="22" t="n">
        <x:v>11.138399999999999</x:v>
      </x:c>
      <x:c r="M3013" t="n">
        <x:v>2014</x:v>
      </x:c>
      <x:c r="N3013" s="20" t="n">
        <x:v>41913</x:v>
      </x:c>
    </x:row>
    <x:row r="3014" ht="18" customHeight="1">
      <x:c r="A3014" t="str">
        <x:v>CA-2016-124772</x:v>
      </x:c>
      <x:c r="B3014" s="18" t="n">
        <x:v>42709</x:v>
      </x:c>
      <x:c r="C3014" t="str">
        <x:v>JG-15160</x:v>
      </x:c>
      <x:c r="D3014" t="str">
        <x:v>James Galang</x:v>
      </x:c>
      <x:c r="E3014" t="str">
        <x:v>Consumer</x:v>
      </x:c>
      <x:c r="F3014" t="str">
        <x:v>South</x:v>
      </x:c>
      <x:c r="G3014" t="str">
        <x:v>Furniture</x:v>
      </x:c>
      <x:c r="H3014" t="str">
        <x:v>Furnishings</x:v>
      </x:c>
      <x:c r="I3014" s="22" t="n">
        <x:v>191.82</x:v>
      </x:c>
      <x:c r="J3014" s="24" t="n">
        <x:v>3</x:v>
      </x:c>
      <x:c r="K3014" s="26" t="n">
        <x:v>0</x:v>
      </x:c>
      <x:c r="L3014" s="22" t="n">
        <x:v>74.8098</x:v>
      </x:c>
      <x:c r="M3014" t="n">
        <x:v>2016</x:v>
      </x:c>
      <x:c r="N3014" s="20" t="n">
        <x:v>42705</x:v>
      </x:c>
    </x:row>
    <x:row r="3015" ht="18" customHeight="1">
      <x:c r="A3015" t="str">
        <x:v>CA-2016-115525</x:v>
      </x:c>
      <x:c r="B3015" s="18" t="n">
        <x:v>42576</x:v>
      </x:c>
      <x:c r="C3015" t="str">
        <x:v>RR-19525</x:v>
      </x:c>
      <x:c r="D3015" t="str">
        <x:v>Rick Reed</x:v>
      </x:c>
      <x:c r="E3015" t="str">
        <x:v>Corporate</x:v>
      </x:c>
      <x:c r="F3015" t="str">
        <x:v>East</x:v>
      </x:c>
      <x:c r="G3015" t="str">
        <x:v>Office Supplies</x:v>
      </x:c>
      <x:c r="H3015" t="str">
        <x:v>Appliances</x:v>
      </x:c>
      <x:c r="I3015" s="22" t="n">
        <x:v>243.88000000000002</x:v>
      </x:c>
      <x:c r="J3015" s="24" t="n">
        <x:v>5</x:v>
      </x:c>
      <x:c r="K3015" s="26" t="n">
        <x:v>0.2</x:v>
      </x:c>
      <x:c r="L3015" s="22" t="n">
        <x:v>27.43649999999996</x:v>
      </x:c>
      <x:c r="M3015" t="n">
        <x:v>2016</x:v>
      </x:c>
      <x:c r="N3015" s="20" t="n">
        <x:v>42552</x:v>
      </x:c>
    </x:row>
    <x:row r="3016" ht="18" customHeight="1">
      <x:c r="A3016" t="str">
        <x:v>CA-2017-134845</x:v>
      </x:c>
      <x:c r="B3016" s="18" t="n">
        <x:v>42842</x:v>
      </x:c>
      <x:c r="C3016" t="str">
        <x:v>SR-20425</x:v>
      </x:c>
      <x:c r="D3016" t="str">
        <x:v>Sharelle Roach</x:v>
      </x:c>
      <x:c r="E3016" t="str">
        <x:v>Home Office</x:v>
      </x:c>
      <x:c r="F3016" t="str">
        <x:v>West</x:v>
      </x:c>
      <x:c r="G3016" t="str">
        <x:v>Office Supplies</x:v>
      </x:c>
      <x:c r="H3016" t="str">
        <x:v>Binders</x:v>
      </x:c>
      <x:c r="I3016" s="22" t="n">
        <x:v>12.030000000000001</x:v>
      </x:c>
      <x:c r="J3016" s="24" t="n">
        <x:v>5</x:v>
      </x:c>
      <x:c r="K3016" s="26" t="n">
        <x:v>0.7</x:v>
      </x:c>
      <x:c r="L3016" s="22" t="n">
        <x:v>-9.222999999999999</x:v>
      </x:c>
      <x:c r="M3016" t="n">
        <x:v>2017</x:v>
      </x:c>
      <x:c r="N3016" s="20" t="n">
        <x:v>42826</x:v>
      </x:c>
    </x:row>
    <x:row r="3017" ht="18" customHeight="1">
      <x:c r="A3017" t="str">
        <x:v>CA-2017-134845</x:v>
      </x:c>
      <x:c r="B3017" s="18" t="n">
        <x:v>42842</x:v>
      </x:c>
      <x:c r="C3017" t="str">
        <x:v>SR-20425</x:v>
      </x:c>
      <x:c r="D3017" t="str">
        <x:v>Sharelle Roach</x:v>
      </x:c>
      <x:c r="E3017" t="str">
        <x:v>Home Office</x:v>
      </x:c>
      <x:c r="F3017" t="str">
        <x:v>West</x:v>
      </x:c>
      <x:c r="G3017" t="str">
        <x:v>Technology</x:v>
      </x:c>
      <x:c r="H3017" t="str">
        <x:v>Machines</x:v>
      </x:c>
      <x:c r="I3017" s="22" t="n">
        <x:v>2549.9850000000006</x:v>
      </x:c>
      <x:c r="J3017" s="24" t="n">
        <x:v>5</x:v>
      </x:c>
      <x:c r="K3017" s="26" t="n">
        <x:v>0.7</x:v>
      </x:c>
      <x:c r="L3017" s="22" t="n">
        <x:v>-3399.980000000001</x:v>
      </x:c>
      <x:c r="M3017" t="n">
        <x:v>2017</x:v>
      </x:c>
      <x:c r="N3017" s="20" t="n">
        <x:v>42826</x:v>
      </x:c>
    </x:row>
    <x:row r="3018" ht="18" customHeight="1">
      <x:c r="A3018" t="str">
        <x:v>CA-2017-134845</x:v>
      </x:c>
      <x:c r="B3018" s="18" t="n">
        <x:v>42842</x:v>
      </x:c>
      <x:c r="C3018" t="str">
        <x:v>SR-20425</x:v>
      </x:c>
      <x:c r="D3018" t="str">
        <x:v>Sharelle Roach</x:v>
      </x:c>
      <x:c r="E3018" t="str">
        <x:v>Home Office</x:v>
      </x:c>
      <x:c r="F3018" t="str">
        <x:v>West</x:v>
      </x:c>
      <x:c r="G3018" t="str">
        <x:v>Office Supplies</x:v>
      </x:c>
      <x:c r="H3018" t="str">
        <x:v>Binders</x:v>
      </x:c>
      <x:c r="I3018" s="22" t="n">
        <x:v>21.594000000000005</x:v>
      </x:c>
      <x:c r="J3018" s="24" t="n">
        <x:v>2</x:v>
      </x:c>
      <x:c r="K3018" s="26" t="n">
        <x:v>0.7</x:v>
      </x:c>
      <x:c r="L3018" s="22" t="n">
        <x:v>-15.8356</x:v>
      </x:c>
      <x:c r="M3018" t="n">
        <x:v>2017</x:v>
      </x:c>
      <x:c r="N3018" s="20" t="n">
        <x:v>42826</x:v>
      </x:c>
    </x:row>
    <x:row r="3019" ht="18" customHeight="1">
      <x:c r="A3019" t="str">
        <x:v>CA-2017-134845</x:v>
      </x:c>
      <x:c r="B3019" s="18" t="n">
        <x:v>42842</x:v>
      </x:c>
      <x:c r="C3019" t="str">
        <x:v>SR-20425</x:v>
      </x:c>
      <x:c r="D3019" t="str">
        <x:v>Sharelle Roach</x:v>
      </x:c>
      <x:c r="E3019" t="str">
        <x:v>Home Office</x:v>
      </x:c>
      <x:c r="F3019" t="str">
        <x:v>West</x:v>
      </x:c>
      <x:c r="G3019" t="str">
        <x:v>Office Supplies</x:v>
      </x:c>
      <x:c r="H3019" t="str">
        <x:v>Binders</x:v>
      </x:c>
      <x:c r="I3019" s="22" t="n">
        <x:v>8.964000000000002</x:v>
      </x:c>
      <x:c r="J3019" s="24" t="n">
        <x:v>6</x:v>
      </x:c>
      <x:c r="K3019" s="26" t="n">
        <x:v>0.7</x:v>
      </x:c>
      <x:c r="L3019" s="22" t="n">
        <x:v>-6.573599999999999</x:v>
      </x:c>
      <x:c r="M3019" t="n">
        <x:v>2017</x:v>
      </x:c>
      <x:c r="N3019" s="20" t="n">
        <x:v>42826</x:v>
      </x:c>
    </x:row>
    <x:row r="3020" ht="18" customHeight="1">
      <x:c r="A3020" t="str">
        <x:v>CA-2017-134845</x:v>
      </x:c>
      <x:c r="B3020" s="18" t="n">
        <x:v>42842</x:v>
      </x:c>
      <x:c r="C3020" t="str">
        <x:v>SR-20425</x:v>
      </x:c>
      <x:c r="D3020" t="str">
        <x:v>Sharelle Roach</x:v>
      </x:c>
      <x:c r="E3020" t="str">
        <x:v>Home Office</x:v>
      </x:c>
      <x:c r="F3020" t="str">
        <x:v>West</x:v>
      </x:c>
      <x:c r="G3020" t="str">
        <x:v>Office Supplies</x:v>
      </x:c>
      <x:c r="H3020" t="str">
        <x:v>Paper</x:v>
      </x:c>
      <x:c r="I3020" s="22" t="n">
        <x:v>20.736000000000004</x:v>
      </x:c>
      <x:c r="J3020" s="24" t="n">
        <x:v>4</x:v>
      </x:c>
      <x:c r="K3020" s="26" t="n">
        <x:v>0.2</x:v>
      </x:c>
      <x:c r="L3020" s="22" t="n">
        <x:v>7.2576</x:v>
      </x:c>
      <x:c r="M3020" t="n">
        <x:v>2017</x:v>
      </x:c>
      <x:c r="N3020" s="20" t="n">
        <x:v>42826</x:v>
      </x:c>
    </x:row>
    <x:row r="3021" ht="18" customHeight="1">
      <x:c r="A3021" t="str">
        <x:v>US-2015-138919</x:v>
      </x:c>
      <x:c r="B3021" s="18" t="n">
        <x:v>42264</x:v>
      </x:c>
      <x:c r="C3021" t="str">
        <x:v>LS-16975</x:v>
      </x:c>
      <x:c r="D3021" t="str">
        <x:v>Lindsay Shagiari</x:v>
      </x:c>
      <x:c r="E3021" t="str">
        <x:v>Home Office</x:v>
      </x:c>
      <x:c r="F3021" t="str">
        <x:v>East</x:v>
      </x:c>
      <x:c r="G3021" t="str">
        <x:v>Furniture</x:v>
      </x:c>
      <x:c r="H3021" t="str">
        <x:v>Tables</x:v>
      </x:c>
      <x:c r="I3021" s="22" t="n">
        <x:v>344.22</x:v>
      </x:c>
      <x:c r="J3021" s="24" t="n">
        <x:v>2</x:v>
      </x:c>
      <x:c r="K3021" s="26" t="n">
        <x:v>0.4</x:v>
      </x:c>
      <x:c r="L3021" s="22" t="n">
        <x:v>-103.26600000000002</x:v>
      </x:c>
      <x:c r="M3021" t="n">
        <x:v>2015</x:v>
      </x:c>
      <x:c r="N3021" s="20" t="n">
        <x:v>42248</x:v>
      </x:c>
    </x:row>
    <x:row r="3022" ht="18" customHeight="1">
      <x:c r="A3022" t="str">
        <x:v>US-2016-160528</x:v>
      </x:c>
      <x:c r="B3022" s="18" t="n">
        <x:v>42605</x:v>
      </x:c>
      <x:c r="C3022" t="str">
        <x:v>MH-18115</x:v>
      </x:c>
      <x:c r="D3022" t="str">
        <x:v>Mick Hernandez</x:v>
      </x:c>
      <x:c r="E3022" t="str">
        <x:v>Home Office</x:v>
      </x:c>
      <x:c r="F3022" t="str">
        <x:v>Central</x:v>
      </x:c>
      <x:c r="G3022" t="str">
        <x:v>Office Supplies</x:v>
      </x:c>
      <x:c r="H3022" t="str">
        <x:v>Storage</x:v>
      </x:c>
      <x:c r="I3022" s="22" t="n">
        <x:v>727.296</x:v>
      </x:c>
      <x:c r="J3022" s="24" t="n">
        <x:v>8</x:v>
      </x:c>
      <x:c r="K3022" s="26" t="n">
        <x:v>0.2</x:v>
      </x:c>
      <x:c r="L3022" s="22" t="n">
        <x:v>-172.73280000000005</x:v>
      </x:c>
      <x:c r="M3022" t="n">
        <x:v>2016</x:v>
      </x:c>
      <x:c r="N3022" s="20" t="n">
        <x:v>42583</x:v>
      </x:c>
    </x:row>
    <x:row r="3023" ht="18" customHeight="1">
      <x:c r="A3023" t="str">
        <x:v>US-2016-160528</x:v>
      </x:c>
      <x:c r="B3023" s="18" t="n">
        <x:v>42605</x:v>
      </x:c>
      <x:c r="C3023" t="str">
        <x:v>MH-18115</x:v>
      </x:c>
      <x:c r="D3023" t="str">
        <x:v>Mick Hernandez</x:v>
      </x:c>
      <x:c r="E3023" t="str">
        <x:v>Home Office</x:v>
      </x:c>
      <x:c r="F3023" t="str">
        <x:v>Central</x:v>
      </x:c>
      <x:c r="G3023" t="str">
        <x:v>Furniture</x:v>
      </x:c>
      <x:c r="H3023" t="str">
        <x:v>Furnishings</x:v>
      </x:c>
      <x:c r="I3023" s="22" t="n">
        <x:v>22.608</x:v>
      </x:c>
      <x:c r="J3023" s="24" t="n">
        <x:v>3</x:v>
      </x:c>
      <x:c r="K3023" s="26" t="n">
        <x:v>0.6</x:v>
      </x:c>
      <x:c r="L3023" s="22" t="n">
        <x:v>-10.173599999999997</x:v>
      </x:c>
      <x:c r="M3023" t="n">
        <x:v>2016</x:v>
      </x:c>
      <x:c r="N3023" s="20" t="n">
        <x:v>42583</x:v>
      </x:c>
    </x:row>
    <x:row r="3024" ht="18" customHeight="1">
      <x:c r="A3024" t="str">
        <x:v>US-2016-160528</x:v>
      </x:c>
      <x:c r="B3024" s="18" t="n">
        <x:v>42605</x:v>
      </x:c>
      <x:c r="C3024" t="str">
        <x:v>MH-18115</x:v>
      </x:c>
      <x:c r="D3024" t="str">
        <x:v>Mick Hernandez</x:v>
      </x:c>
      <x:c r="E3024" t="str">
        <x:v>Home Office</x:v>
      </x:c>
      <x:c r="F3024" t="str">
        <x:v>Central</x:v>
      </x:c>
      <x:c r="G3024" t="str">
        <x:v>Technology</x:v>
      </x:c>
      <x:c r="H3024" t="str">
        <x:v>Accessories</x:v>
      </x:c>
      <x:c r="I3024" s="22" t="n">
        <x:v>666.4</x:v>
      </x:c>
      <x:c r="J3024" s="24" t="n">
        <x:v>7</x:v>
      </x:c>
      <x:c r="K3024" s="26" t="n">
        <x:v>0.2</x:v>
      </x:c>
      <x:c r="L3024" s="22" t="n">
        <x:v>-33.319999999999965</x:v>
      </x:c>
      <x:c r="M3024" t="n">
        <x:v>2016</x:v>
      </x:c>
      <x:c r="N3024" s="20" t="n">
        <x:v>42583</x:v>
      </x:c>
    </x:row>
    <x:row r="3025" ht="18" customHeight="1">
      <x:c r="A3025" t="str">
        <x:v>CA-2015-123568</x:v>
      </x:c>
      <x:c r="B3025" s="18" t="n">
        <x:v>42316</x:v>
      </x:c>
      <x:c r="C3025" t="str">
        <x:v>SC-20095</x:v>
      </x:c>
      <x:c r="D3025" t="str">
        <x:v>Sanjit Chand</x:v>
      </x:c>
      <x:c r="E3025" t="str">
        <x:v>Consumer</x:v>
      </x:c>
      <x:c r="F3025" t="str">
        <x:v>West</x:v>
      </x:c>
      <x:c r="G3025" t="str">
        <x:v>Office Supplies</x:v>
      </x:c>
      <x:c r="H3025" t="str">
        <x:v>Fasteners</x:v>
      </x:c>
      <x:c r="I3025" s="22" t="n">
        <x:v>5.04</x:v>
      </x:c>
      <x:c r="J3025" s="24" t="n">
        <x:v>3</x:v>
      </x:c>
      <x:c r="K3025" s="26" t="n">
        <x:v>0</x:v>
      </x:c>
      <x:c r="L3025" s="22" t="n">
        <x:v>0.20159999999999978</x:v>
      </x:c>
      <x:c r="M3025" t="n">
        <x:v>2015</x:v>
      </x:c>
      <x:c r="N3025" s="20" t="n">
        <x:v>42309</x:v>
      </x:c>
    </x:row>
    <x:row r="3026" ht="18" customHeight="1">
      <x:c r="A3026" t="str">
        <x:v>CA-2015-123568</x:v>
      </x:c>
      <x:c r="B3026" s="18" t="n">
        <x:v>42316</x:v>
      </x:c>
      <x:c r="C3026" t="str">
        <x:v>SC-20095</x:v>
      </x:c>
      <x:c r="D3026" t="str">
        <x:v>Sanjit Chand</x:v>
      </x:c>
      <x:c r="E3026" t="str">
        <x:v>Consumer</x:v>
      </x:c>
      <x:c r="F3026" t="str">
        <x:v>West</x:v>
      </x:c>
      <x:c r="G3026" t="str">
        <x:v>Office Supplies</x:v>
      </x:c>
      <x:c r="H3026" t="str">
        <x:v>Paper</x:v>
      </x:c>
      <x:c r="I3026" s="22" t="n">
        <x:v>92.94</x:v>
      </x:c>
      <x:c r="J3026" s="24" t="n">
        <x:v>3</x:v>
      </x:c>
      <x:c r="K3026" s="26" t="n">
        <x:v>0</x:v>
      </x:c>
      <x:c r="L3026" s="22" t="n">
        <x:v>41.82299999999999</x:v>
      </x:c>
      <x:c r="M3026" t="n">
        <x:v>2015</x:v>
      </x:c>
      <x:c r="N3026" s="20" t="n">
        <x:v>42309</x:v>
      </x:c>
    </x:row>
    <x:row r="3027" ht="18" customHeight="1">
      <x:c r="A3027" t="str">
        <x:v>CA-2015-123568</x:v>
      </x:c>
      <x:c r="B3027" s="18" t="n">
        <x:v>42316</x:v>
      </x:c>
      <x:c r="C3027" t="str">
        <x:v>SC-20095</x:v>
      </x:c>
      <x:c r="D3027" t="str">
        <x:v>Sanjit Chand</x:v>
      </x:c>
      <x:c r="E3027" t="str">
        <x:v>Consumer</x:v>
      </x:c>
      <x:c r="F3027" t="str">
        <x:v>West</x:v>
      </x:c>
      <x:c r="G3027" t="str">
        <x:v>Furniture</x:v>
      </x:c>
      <x:c r="H3027" t="str">
        <x:v>Furnishings</x:v>
      </x:c>
      <x:c r="I3027" s="22" t="n">
        <x:v>66.69</x:v>
      </x:c>
      <x:c r="J3027" s="24" t="n">
        <x:v>3</x:v>
      </x:c>
      <x:c r="K3027" s="26" t="n">
        <x:v>0</x:v>
      </x:c>
      <x:c r="L3027" s="22" t="n">
        <x:v>22.007699999999996</x:v>
      </x:c>
      <x:c r="M3027" t="n">
        <x:v>2015</x:v>
      </x:c>
      <x:c r="N3027" s="20" t="n">
        <x:v>42309</x:v>
      </x:c>
    </x:row>
    <x:row r="3028" ht="18" customHeight="1">
      <x:c r="A3028" t="str">
        <x:v>CA-2015-123568</x:v>
      </x:c>
      <x:c r="B3028" s="18" t="n">
        <x:v>42316</x:v>
      </x:c>
      <x:c r="C3028" t="str">
        <x:v>SC-20095</x:v>
      </x:c>
      <x:c r="D3028" t="str">
        <x:v>Sanjit Chand</x:v>
      </x:c>
      <x:c r="E3028" t="str">
        <x:v>Consumer</x:v>
      </x:c>
      <x:c r="F3028" t="str">
        <x:v>West</x:v>
      </x:c>
      <x:c r="G3028" t="str">
        <x:v>Office Supplies</x:v>
      </x:c>
      <x:c r="H3028" t="str">
        <x:v>Binders</x:v>
      </x:c>
      <x:c r="I3028" s="22" t="n">
        <x:v>91.68</x:v>
      </x:c>
      <x:c r="J3028" s="24" t="n">
        <x:v>5</x:v>
      </x:c>
      <x:c r="K3028" s="26" t="n">
        <x:v>0.2</x:v>
      </x:c>
      <x:c r="L3028" s="22" t="n">
        <x:v>28.65</x:v>
      </x:c>
      <x:c r="M3028" t="n">
        <x:v>2015</x:v>
      </x:c>
      <x:c r="N3028" s="20" t="n">
        <x:v>42309</x:v>
      </x:c>
    </x:row>
    <x:row r="3029" ht="18" customHeight="1">
      <x:c r="A3029" t="str">
        <x:v>CA-2017-124674</x:v>
      </x:c>
      <x:c r="B3029" s="18" t="n">
        <x:v>43056</x:v>
      </x:c>
      <x:c r="C3029" t="str">
        <x:v>JB-16000</x:v>
      </x:c>
      <x:c r="D3029" t="str">
        <x:v>Joy Bell-</x:v>
      </x:c>
      <x:c r="E3029" t="str">
        <x:v>Consumer</x:v>
      </x:c>
      <x:c r="F3029" t="str">
        <x:v>Central</x:v>
      </x:c>
      <x:c r="G3029" t="str">
        <x:v>Furniture</x:v>
      </x:c>
      <x:c r="H3029" t="str">
        <x:v>Bookcases</x:v>
      </x:c>
      <x:c r="I3029" s="22" t="n">
        <x:v>327.73279999999994</x:v>
      </x:c>
      <x:c r="J3029" s="24" t="n">
        <x:v>2</x:v>
      </x:c>
      <x:c r="K3029" s="26" t="n">
        <x:v>0.32</x:v>
      </x:c>
      <x:c r="L3029" s="22" t="n">
        <x:v>-14.458800000000025</x:v>
      </x:c>
      <x:c r="M3029" t="n">
        <x:v>2017</x:v>
      </x:c>
      <x:c r="N3029" s="20" t="n">
        <x:v>43040</x:v>
      </x:c>
    </x:row>
    <x:row r="3030" ht="18" customHeight="1">
      <x:c r="A3030" t="str">
        <x:v>CA-2015-164441</x:v>
      </x:c>
      <x:c r="B3030" s="18" t="n">
        <x:v>42316</x:v>
      </x:c>
      <x:c r="C3030" t="str">
        <x:v>AC-10450</x:v>
      </x:c>
      <x:c r="D3030" t="str">
        <x:v>Amy Cox</x:v>
      </x:c>
      <x:c r="E3030" t="str">
        <x:v>Consumer</x:v>
      </x:c>
      <x:c r="F3030" t="str">
        <x:v>East</x:v>
      </x:c>
      <x:c r="G3030" t="str">
        <x:v>Office Supplies</x:v>
      </x:c>
      <x:c r="H3030" t="str">
        <x:v>Binders</x:v>
      </x:c>
      <x:c r="I3030" s="22" t="n">
        <x:v>52.272000000000006</x:v>
      </x:c>
      <x:c r="J3030" s="24" t="n">
        <x:v>11</x:v>
      </x:c>
      <x:c r="K3030" s="26" t="n">
        <x:v>0.2</x:v>
      </x:c>
      <x:c r="L3030" s="22" t="n">
        <x:v>17.641799999999996</x:v>
      </x:c>
      <x:c r="M3030" t="n">
        <x:v>2015</x:v>
      </x:c>
      <x:c r="N3030" s="20" t="n">
        <x:v>42309</x:v>
      </x:c>
    </x:row>
    <x:row r="3031" ht="18" customHeight="1">
      <x:c r="A3031" t="str">
        <x:v>CA-2015-164441</x:v>
      </x:c>
      <x:c r="B3031" s="18" t="n">
        <x:v>42316</x:v>
      </x:c>
      <x:c r="C3031" t="str">
        <x:v>AC-10450</x:v>
      </x:c>
      <x:c r="D3031" t="str">
        <x:v>Amy Cox</x:v>
      </x:c>
      <x:c r="E3031" t="str">
        <x:v>Consumer</x:v>
      </x:c>
      <x:c r="F3031" t="str">
        <x:v>East</x:v>
      </x:c>
      <x:c r="G3031" t="str">
        <x:v>Office Supplies</x:v>
      </x:c>
      <x:c r="H3031" t="str">
        <x:v>Paper</x:v>
      </x:c>
      <x:c r="I3031" s="22" t="n">
        <x:v>17.94</x:v>
      </x:c>
      <x:c r="J3031" s="24" t="n">
        <x:v>3</x:v>
      </x:c>
      <x:c r="K3031" s="26" t="n">
        <x:v>0</x:v>
      </x:c>
      <x:c r="L3031" s="22" t="n">
        <x:v>8.073</x:v>
      </x:c>
      <x:c r="M3031" t="n">
        <x:v>2015</x:v>
      </x:c>
      <x:c r="N3031" s="20" t="n">
        <x:v>42309</x:v>
      </x:c>
    </x:row>
    <x:row r="3032" ht="18" customHeight="1">
      <x:c r="A3032" t="str">
        <x:v>CA-2017-169054</x:v>
      </x:c>
      <x:c r="B3032" s="18" t="n">
        <x:v>42847</x:v>
      </x:c>
      <x:c r="C3032" t="str">
        <x:v>MO-17800</x:v>
      </x:c>
      <x:c r="D3032" t="str">
        <x:v>Meg O'Connel</x:v>
      </x:c>
      <x:c r="E3032" t="str">
        <x:v>Home Office</x:v>
      </x:c>
      <x:c r="F3032" t="str">
        <x:v>East</x:v>
      </x:c>
      <x:c r="G3032" t="str">
        <x:v>Furniture</x:v>
      </x:c>
      <x:c r="H3032" t="str">
        <x:v>Furnishings</x:v>
      </x:c>
      <x:c r="I3032" s="22" t="n">
        <x:v>254.35200000000003</x:v>
      </x:c>
      <x:c r="J3032" s="24" t="n">
        <x:v>3</x:v>
      </x:c>
      <x:c r="K3032" s="26" t="n">
        <x:v>0.2</x:v>
      </x:c>
      <x:c r="L3032" s="22" t="n">
        <x:v>0</x:v>
      </x:c>
      <x:c r="M3032" t="n">
        <x:v>2017</x:v>
      </x:c>
      <x:c r="N3032" s="20" t="n">
        <x:v>42826</x:v>
      </x:c>
    </x:row>
    <x:row r="3033" ht="18" customHeight="1">
      <x:c r="A3033" t="str">
        <x:v>CA-2014-106719</x:v>
      </x:c>
      <x:c r="B3033" s="18" t="n">
        <x:v>41875</x:v>
      </x:c>
      <x:c r="C3033" t="str">
        <x:v>RB-19645</x:v>
      </x:c>
      <x:c r="D3033" t="str">
        <x:v>Robert Barroso</x:v>
      </x:c>
      <x:c r="E3033" t="str">
        <x:v>Corporate</x:v>
      </x:c>
      <x:c r="F3033" t="str">
        <x:v>West</x:v>
      </x:c>
      <x:c r="G3033" t="str">
        <x:v>Office Supplies</x:v>
      </x:c>
      <x:c r="H3033" t="str">
        <x:v>Binders</x:v>
      </x:c>
      <x:c r="I3033" s="22" t="n">
        <x:v>8.288</x:v>
      </x:c>
      <x:c r="J3033" s="24" t="n">
        <x:v>2</x:v>
      </x:c>
      <x:c r="K3033" s="26" t="n">
        <x:v>0.2</x:v>
      </x:c>
      <x:c r="L3033" s="22" t="n">
        <x:v>2.693599999999999</x:v>
      </x:c>
      <x:c r="M3033" t="n">
        <x:v>2014</x:v>
      </x:c>
      <x:c r="N3033" s="20" t="n">
        <x:v>41852</x:v>
      </x:c>
    </x:row>
    <x:row r="3034" ht="18" customHeight="1">
      <x:c r="A3034" t="str">
        <x:v>CA-2017-116855</x:v>
      </x:c>
      <x:c r="B3034" s="18" t="n">
        <x:v>43086</x:v>
      </x:c>
      <x:c r="C3034" t="str">
        <x:v>AI-10855</x:v>
      </x:c>
      <x:c r="D3034" t="str">
        <x:v>Arianne Irving</x:v>
      </x:c>
      <x:c r="E3034" t="str">
        <x:v>Consumer</x:v>
      </x:c>
      <x:c r="F3034" t="str">
        <x:v>South</x:v>
      </x:c>
      <x:c r="G3034" t="str">
        <x:v>Furniture</x:v>
      </x:c>
      <x:c r="H3034" t="str">
        <x:v>Chairs</x:v>
      </x:c>
      <x:c r="I3034" s="22" t="n">
        <x:v>504.90000000000003</x:v>
      </x:c>
      <x:c r="J3034" s="24" t="n">
        <x:v>5</x:v>
      </x:c>
      <x:c r="K3034" s="26" t="n">
        <x:v>0</x:v>
      </x:c>
      <x:c r="L3034" s="22" t="n">
        <x:v>80.78400000000002</x:v>
      </x:c>
      <x:c r="M3034" t="n">
        <x:v>2017</x:v>
      </x:c>
      <x:c r="N3034" s="20" t="n">
        <x:v>43070</x:v>
      </x:c>
    </x:row>
    <x:row r="3035" ht="18" customHeight="1">
      <x:c r="A3035" t="str">
        <x:v>US-2016-164189</x:v>
      </x:c>
      <x:c r="B3035" s="18" t="n">
        <x:v>42453</x:v>
      </x:c>
      <x:c r="C3035" t="str">
        <x:v>DR-12880</x:v>
      </x:c>
      <x:c r="D3035" t="str">
        <x:v>Dan Reichenbach</x:v>
      </x:c>
      <x:c r="E3035" t="str">
        <x:v>Corporate</x:v>
      </x:c>
      <x:c r="F3035" t="str">
        <x:v>West</x:v>
      </x:c>
      <x:c r="G3035" t="str">
        <x:v>Technology</x:v>
      </x:c>
      <x:c r="H3035" t="str">
        <x:v>Phones</x:v>
      </x:c>
      <x:c r="I3035" s="22" t="n">
        <x:v>403.168</x:v>
      </x:c>
      <x:c r="J3035" s="24" t="n">
        <x:v>4</x:v>
      </x:c>
      <x:c r="K3035" s="26" t="n">
        <x:v>0.2</x:v>
      </x:c>
      <x:c r="L3035" s="22" t="n">
        <x:v>25.198000000000008</x:v>
      </x:c>
      <x:c r="M3035" t="n">
        <x:v>2016</x:v>
      </x:c>
      <x:c r="N3035" s="20" t="n">
        <x:v>42430</x:v>
      </x:c>
    </x:row>
    <x:row r="3036" ht="18" customHeight="1">
      <x:c r="A3036" t="str">
        <x:v>CA-2015-168480</x:v>
      </x:c>
      <x:c r="B3036" s="18" t="n">
        <x:v>42268</x:v>
      </x:c>
      <x:c r="C3036" t="str">
        <x:v>DM-12955</x:v>
      </x:c>
      <x:c r="D3036" t="str">
        <x:v>Dario Medina</x:v>
      </x:c>
      <x:c r="E3036" t="str">
        <x:v>Corporate</x:v>
      </x:c>
      <x:c r="F3036" t="str">
        <x:v>Central</x:v>
      </x:c>
      <x:c r="G3036" t="str">
        <x:v>Furniture</x:v>
      </x:c>
      <x:c r="H3036" t="str">
        <x:v>Bookcases</x:v>
      </x:c>
      <x:c r="I3036" s="22" t="n">
        <x:v>194.32</x:v>
      </x:c>
      <x:c r="J3036" s="24" t="n">
        <x:v>4</x:v>
      </x:c>
      <x:c r="K3036" s="26" t="n">
        <x:v>0</x:v>
      </x:c>
      <x:c r="L3036" s="22" t="n">
        <x:v>31.091200000000015</x:v>
      </x:c>
      <x:c r="M3036" t="n">
        <x:v>2015</x:v>
      </x:c>
      <x:c r="N3036" s="20" t="n">
        <x:v>42248</x:v>
      </x:c>
    </x:row>
    <x:row r="3037" ht="18" customHeight="1">
      <x:c r="A3037" t="str">
        <x:v>CA-2015-168480</x:v>
      </x:c>
      <x:c r="B3037" s="18" t="n">
        <x:v>42268</x:v>
      </x:c>
      <x:c r="C3037" t="str">
        <x:v>DM-12955</x:v>
      </x:c>
      <x:c r="D3037" t="str">
        <x:v>Dario Medina</x:v>
      </x:c>
      <x:c r="E3037" t="str">
        <x:v>Corporate</x:v>
      </x:c>
      <x:c r="F3037" t="str">
        <x:v>Central</x:v>
      </x:c>
      <x:c r="G3037" t="str">
        <x:v>Office Supplies</x:v>
      </x:c>
      <x:c r="H3037" t="str">
        <x:v>Art</x:v>
      </x:c>
      <x:c r="I3037" s="22" t="n">
        <x:v>25.99</x:v>
      </x:c>
      <x:c r="J3037" s="24" t="n">
        <x:v>1</x:v>
      </x:c>
      <x:c r="K3037" s="26" t="n">
        <x:v>0</x:v>
      </x:c>
      <x:c r="L3037" s="22" t="n">
        <x:v>7.537099999999999</x:v>
      </x:c>
      <x:c r="M3037" t="n">
        <x:v>2015</x:v>
      </x:c>
      <x:c r="N3037" s="20" t="n">
        <x:v>42248</x:v>
      </x:c>
    </x:row>
    <x:row r="3038" ht="18" customHeight="1">
      <x:c r="A3038" t="str">
        <x:v>US-2016-114293</x:v>
      </x:c>
      <x:c r="B3038" s="18" t="n">
        <x:v>42695</x:v>
      </x:c>
      <x:c r="C3038" t="str">
        <x:v>JH-16180</x:v>
      </x:c>
      <x:c r="D3038" t="str">
        <x:v>Justin Hirsh</x:v>
      </x:c>
      <x:c r="E3038" t="str">
        <x:v>Consumer</x:v>
      </x:c>
      <x:c r="F3038" t="str">
        <x:v>West</x:v>
      </x:c>
      <x:c r="G3038" t="str">
        <x:v>Furniture</x:v>
      </x:c>
      <x:c r="H3038" t="str">
        <x:v>Chairs</x:v>
      </x:c>
      <x:c r="I3038" s="22" t="n">
        <x:v>195.136</x:v>
      </x:c>
      <x:c r="J3038" s="24" t="n">
        <x:v>4</x:v>
      </x:c>
      <x:c r="K3038" s="26" t="n">
        <x:v>0.2</x:v>
      </x:c>
      <x:c r="L3038" s="22" t="n">
        <x:v>-12.196000000000005</x:v>
      </x:c>
      <x:c r="M3038" t="n">
        <x:v>2016</x:v>
      </x:c>
      <x:c r="N3038" s="20" t="n">
        <x:v>42675</x:v>
      </x:c>
    </x:row>
    <x:row r="3039" ht="18" customHeight="1">
      <x:c r="A3039" t="str">
        <x:v>CA-2017-134173</x:v>
      </x:c>
      <x:c r="B3039" s="18" t="n">
        <x:v>42994</x:v>
      </x:c>
      <x:c r="C3039" t="str">
        <x:v>AB-10060</x:v>
      </x:c>
      <x:c r="D3039" t="str">
        <x:v>Adam Bellavance</x:v>
      </x:c>
      <x:c r="E3039" t="str">
        <x:v>Home Office</x:v>
      </x:c>
      <x:c r="F3039" t="str">
        <x:v>East</x:v>
      </x:c>
      <x:c r="G3039" t="str">
        <x:v>Office Supplies</x:v>
      </x:c>
      <x:c r="H3039" t="str">
        <x:v>Paper</x:v>
      </x:c>
      <x:c r="I3039" s="22" t="n">
        <x:v>20.736000000000004</x:v>
      </x:c>
      <x:c r="J3039" s="24" t="n">
        <x:v>4</x:v>
      </x:c>
      <x:c r="K3039" s="26" t="n">
        <x:v>0.2</x:v>
      </x:c>
      <x:c r="L3039" s="22" t="n">
        <x:v>7.2576</x:v>
      </x:c>
      <x:c r="M3039" t="n">
        <x:v>2017</x:v>
      </x:c>
      <x:c r="N3039" s="20" t="n">
        <x:v>42979</x:v>
      </x:c>
    </x:row>
    <x:row r="3040" ht="18" customHeight="1">
      <x:c r="A3040" t="str">
        <x:v>US-2015-123960</x:v>
      </x:c>
      <x:c r="B3040" s="18" t="n">
        <x:v>42166</x:v>
      </x:c>
      <x:c r="C3040" t="str">
        <x:v>BD-11605</x:v>
      </x:c>
      <x:c r="D3040" t="str">
        <x:v>Brian Dahlen</x:v>
      </x:c>
      <x:c r="E3040" t="str">
        <x:v>Consumer</x:v>
      </x:c>
      <x:c r="F3040" t="str">
        <x:v>South</x:v>
      </x:c>
      <x:c r="G3040" t="str">
        <x:v>Technology</x:v>
      </x:c>
      <x:c r="H3040" t="str">
        <x:v>Accessories</x:v>
      </x:c>
      <x:c r="I3040" s="22" t="n">
        <x:v>53.699999999999996</x:v>
      </x:c>
      <x:c r="J3040" s="24" t="n">
        <x:v>6</x:v>
      </x:c>
      <x:c r="K3040" s="26" t="n">
        <x:v>0</x:v>
      </x:c>
      <x:c r="L3040" s="22" t="n">
        <x:v>10.202999999999994</x:v>
      </x:c>
      <x:c r="M3040" t="n">
        <x:v>2015</x:v>
      </x:c>
      <x:c r="N3040" s="20" t="n">
        <x:v>42156</x:v>
      </x:c>
    </x:row>
    <x:row r="3041" ht="18" customHeight="1">
      <x:c r="A3041" t="str">
        <x:v>US-2015-123960</x:v>
      </x:c>
      <x:c r="B3041" s="18" t="n">
        <x:v>42166</x:v>
      </x:c>
      <x:c r="C3041" t="str">
        <x:v>BD-11605</x:v>
      </x:c>
      <x:c r="D3041" t="str">
        <x:v>Brian Dahlen</x:v>
      </x:c>
      <x:c r="E3041" t="str">
        <x:v>Consumer</x:v>
      </x:c>
      <x:c r="F3041" t="str">
        <x:v>South</x:v>
      </x:c>
      <x:c r="G3041" t="str">
        <x:v>Office Supplies</x:v>
      </x:c>
      <x:c r="H3041" t="str">
        <x:v>Binders</x:v>
      </x:c>
      <x:c r="I3041" s="22" t="n">
        <x:v>36.26</x:v>
      </x:c>
      <x:c r="J3041" s="24" t="n">
        <x:v>7</x:v>
      </x:c>
      <x:c r="K3041" s="26" t="n">
        <x:v>0</x:v>
      </x:c>
      <x:c r="L3041" s="22" t="n">
        <x:v>16.679599999999997</x:v>
      </x:c>
      <x:c r="M3041" t="n">
        <x:v>2015</x:v>
      </x:c>
      <x:c r="N3041" s="20" t="n">
        <x:v>42156</x:v>
      </x:c>
    </x:row>
    <x:row r="3042" ht="18" customHeight="1">
      <x:c r="A3042" t="str">
        <x:v>US-2015-123960</x:v>
      </x:c>
      <x:c r="B3042" s="18" t="n">
        <x:v>42166</x:v>
      </x:c>
      <x:c r="C3042" t="str">
        <x:v>BD-11605</x:v>
      </x:c>
      <x:c r="D3042" t="str">
        <x:v>Brian Dahlen</x:v>
      </x:c>
      <x:c r="E3042" t="str">
        <x:v>Consumer</x:v>
      </x:c>
      <x:c r="F3042" t="str">
        <x:v>South</x:v>
      </x:c>
      <x:c r="G3042" t="str">
        <x:v>Office Supplies</x:v>
      </x:c>
      <x:c r="H3042" t="str">
        <x:v>Art</x:v>
      </x:c>
      <x:c r="I3042" s="22" t="n">
        <x:v>56.3</x:v>
      </x:c>
      <x:c r="J3042" s="24" t="n">
        <x:v>2</x:v>
      </x:c>
      <x:c r="K3042" s="26" t="n">
        <x:v>0</x:v>
      </x:c>
      <x:c r="L3042" s="22" t="n">
        <x:v>15.764000000000003</x:v>
      </x:c>
      <x:c r="M3042" t="n">
        <x:v>2015</x:v>
      </x:c>
      <x:c r="N3042" s="20" t="n">
        <x:v>42156</x:v>
      </x:c>
    </x:row>
    <x:row r="3043" ht="18" customHeight="1">
      <x:c r="A3043" t="str">
        <x:v>US-2015-123960</x:v>
      </x:c>
      <x:c r="B3043" s="18" t="n">
        <x:v>42166</x:v>
      </x:c>
      <x:c r="C3043" t="str">
        <x:v>BD-11605</x:v>
      </x:c>
      <x:c r="D3043" t="str">
        <x:v>Brian Dahlen</x:v>
      </x:c>
      <x:c r="E3043" t="str">
        <x:v>Consumer</x:v>
      </x:c>
      <x:c r="F3043" t="str">
        <x:v>South</x:v>
      </x:c>
      <x:c r="G3043" t="str">
        <x:v>Office Supplies</x:v>
      </x:c>
      <x:c r="H3043" t="str">
        <x:v>Paper</x:v>
      </x:c>
      <x:c r="I3043" s="22" t="n">
        <x:v>32.400000000000006</x:v>
      </x:c>
      <x:c r="J3043" s="24" t="n">
        <x:v>5</x:v>
      </x:c>
      <x:c r="K3043" s="26" t="n">
        <x:v>0</x:v>
      </x:c>
      <x:c r="L3043" s="22" t="n">
        <x:v>15.552000000000001</x:v>
      </x:c>
      <x:c r="M3043" t="n">
        <x:v>2015</x:v>
      </x:c>
      <x:c r="N3043" s="20" t="n">
        <x:v>42156</x:v>
      </x:c>
    </x:row>
    <x:row r="3044" ht="18" customHeight="1">
      <x:c r="A3044" t="str">
        <x:v>US-2015-123960</x:v>
      </x:c>
      <x:c r="B3044" s="18" t="n">
        <x:v>42166</x:v>
      </x:c>
      <x:c r="C3044" t="str">
        <x:v>BD-11605</x:v>
      </x:c>
      <x:c r="D3044" t="str">
        <x:v>Brian Dahlen</x:v>
      </x:c>
      <x:c r="E3044" t="str">
        <x:v>Consumer</x:v>
      </x:c>
      <x:c r="F3044" t="str">
        <x:v>South</x:v>
      </x:c>
      <x:c r="G3044" t="str">
        <x:v>Furniture</x:v>
      </x:c>
      <x:c r="H3044" t="str">
        <x:v>Furnishings</x:v>
      </x:c>
      <x:c r="I3044" s="22" t="n">
        <x:v>29.16</x:v>
      </x:c>
      <x:c r="J3044" s="24" t="n">
        <x:v>2</x:v>
      </x:c>
      <x:c r="K3044" s="26" t="n">
        <x:v>0</x:v>
      </x:c>
      <x:c r="L3044" s="22" t="n">
        <x:v>10.789200000000001</x:v>
      </x:c>
      <x:c r="M3044" t="n">
        <x:v>2015</x:v>
      </x:c>
      <x:c r="N3044" s="20" t="n">
        <x:v>42156</x:v>
      </x:c>
    </x:row>
    <x:row r="3045" ht="18" customHeight="1">
      <x:c r="A3045" t="str">
        <x:v>CA-2017-101749</x:v>
      </x:c>
      <x:c r="B3045" s="18" t="n">
        <x:v>43011</x:v>
      </x:c>
      <x:c r="C3045" t="str">
        <x:v>AS-10045</x:v>
      </x:c>
      <x:c r="D3045" t="str">
        <x:v>Aaron Smayling</x:v>
      </x:c>
      <x:c r="E3045" t="str">
        <x:v>Corporate</x:v>
      </x:c>
      <x:c r="F3045" t="str">
        <x:v>West</x:v>
      </x:c>
      <x:c r="G3045" t="str">
        <x:v>Furniture</x:v>
      </x:c>
      <x:c r="H3045" t="str">
        <x:v>Tables</x:v>
      </x:c>
      <x:c r="I3045" s="22" t="n">
        <x:v>171.288</x:v>
      </x:c>
      <x:c r="J3045" s="24" t="n">
        <x:v>3</x:v>
      </x:c>
      <x:c r="K3045" s="26" t="n">
        <x:v>0.2</x:v>
      </x:c>
      <x:c r="L3045" s="22" t="n">
        <x:v>-6.423300000000026</x:v>
      </x:c>
      <x:c r="M3045" t="n">
        <x:v>2017</x:v>
      </x:c>
      <x:c r="N3045" s="20" t="n">
        <x:v>43009</x:v>
      </x:c>
    </x:row>
    <x:row r="3046" ht="18" customHeight="1">
      <x:c r="A3046" t="str">
        <x:v>US-2016-147991</x:v>
      </x:c>
      <x:c r="B3046" s="18" t="n">
        <x:v>42495</x:v>
      </x:c>
      <x:c r="C3046" t="str">
        <x:v>ZD-21925</x:v>
      </x:c>
      <x:c r="D3046" t="str">
        <x:v>Zuschuss Donatelli</x:v>
      </x:c>
      <x:c r="E3046" t="str">
        <x:v>Consumer</x:v>
      </x:c>
      <x:c r="F3046" t="str">
        <x:v>South</x:v>
      </x:c>
      <x:c r="G3046" t="str">
        <x:v>Furniture</x:v>
      </x:c>
      <x:c r="H3046" t="str">
        <x:v>Furnishings</x:v>
      </x:c>
      <x:c r="I3046" s="22" t="n">
        <x:v>16.72</x:v>
      </x:c>
      <x:c r="J3046" s="24" t="n">
        <x:v>5</x:v>
      </x:c>
      <x:c r="K3046" s="26" t="n">
        <x:v>0.2</x:v>
      </x:c>
      <x:c r="L3046" s="22" t="n">
        <x:v>3.3439999999999994</x:v>
      </x:c>
      <x:c r="M3046" t="n">
        <x:v>2016</x:v>
      </x:c>
      <x:c r="N3046" s="20" t="n">
        <x:v>42491</x:v>
      </x:c>
    </x:row>
    <x:row r="3047" ht="18" customHeight="1">
      <x:c r="A3047" t="str">
        <x:v>CA-2017-149559</x:v>
      </x:c>
      <x:c r="B3047" s="18" t="n">
        <x:v>42989</x:v>
      </x:c>
      <x:c r="C3047" t="str">
        <x:v>KF-16285</x:v>
      </x:c>
      <x:c r="D3047" t="str">
        <x:v>Karen Ferguson</x:v>
      </x:c>
      <x:c r="E3047" t="str">
        <x:v>Home Office</x:v>
      </x:c>
      <x:c r="F3047" t="str">
        <x:v>West</x:v>
      </x:c>
      <x:c r="G3047" t="str">
        <x:v>Office Supplies</x:v>
      </x:c>
      <x:c r="H3047" t="str">
        <x:v>Paper</x:v>
      </x:c>
      <x:c r="I3047" s="22" t="n">
        <x:v>12.96</x:v>
      </x:c>
      <x:c r="J3047" s="24" t="n">
        <x:v>2</x:v>
      </x:c>
      <x:c r="K3047" s="26" t="n">
        <x:v>0</x:v>
      </x:c>
      <x:c r="L3047" s="22" t="n">
        <x:v>6.2208000000000006</x:v>
      </x:c>
      <x:c r="M3047" t="n">
        <x:v>2017</x:v>
      </x:c>
      <x:c r="N3047" s="20" t="n">
        <x:v>42979</x:v>
      </x:c>
    </x:row>
    <x:row r="3048" ht="18" customHeight="1">
      <x:c r="A3048" t="str">
        <x:v>CA-2017-149559</x:v>
      </x:c>
      <x:c r="B3048" s="18" t="n">
        <x:v>42989</x:v>
      </x:c>
      <x:c r="C3048" t="str">
        <x:v>KF-16285</x:v>
      </x:c>
      <x:c r="D3048" t="str">
        <x:v>Karen Ferguson</x:v>
      </x:c>
      <x:c r="E3048" t="str">
        <x:v>Home Office</x:v>
      </x:c>
      <x:c r="F3048" t="str">
        <x:v>West</x:v>
      </x:c>
      <x:c r="G3048" t="str">
        <x:v>Office Supplies</x:v>
      </x:c>
      <x:c r="H3048" t="str">
        <x:v>Envelopes</x:v>
      </x:c>
      <x:c r="I3048" s="22" t="n">
        <x:v>22.18</x:v>
      </x:c>
      <x:c r="J3048" s="24" t="n">
        <x:v>2</x:v>
      </x:c>
      <x:c r="K3048" s="26" t="n">
        <x:v>0</x:v>
      </x:c>
      <x:c r="L3048" s="22" t="n">
        <x:v>10.8682</x:v>
      </x:c>
      <x:c r="M3048" t="n">
        <x:v>2017</x:v>
      </x:c>
      <x:c r="N3048" s="20" t="n">
        <x:v>42979</x:v>
      </x:c>
    </x:row>
    <x:row r="3049" ht="18" customHeight="1">
      <x:c r="A3049" t="str">
        <x:v>CA-2017-149559</x:v>
      </x:c>
      <x:c r="B3049" s="18" t="n">
        <x:v>42989</x:v>
      </x:c>
      <x:c r="C3049" t="str">
        <x:v>KF-16285</x:v>
      </x:c>
      <x:c r="D3049" t="str">
        <x:v>Karen Ferguson</x:v>
      </x:c>
      <x:c r="E3049" t="str">
        <x:v>Home Office</x:v>
      </x:c>
      <x:c r="F3049" t="str">
        <x:v>West</x:v>
      </x:c>
      <x:c r="G3049" t="str">
        <x:v>Furniture</x:v>
      </x:c>
      <x:c r="H3049" t="str">
        <x:v>Chairs</x:v>
      </x:c>
      <x:c r="I3049" s="22" t="n">
        <x:v>2054.2720000000004</x:v>
      </x:c>
      <x:c r="J3049" s="24" t="n">
        <x:v>8</x:v>
      </x:c>
      <x:c r="K3049" s="26" t="n">
        <x:v>0.2</x:v>
      </x:c>
      <x:c r="L3049" s="22" t="n">
        <x:v>256.78399999999976</x:v>
      </x:c>
      <x:c r="M3049" t="n">
        <x:v>2017</x:v>
      </x:c>
      <x:c r="N3049" s="20" t="n">
        <x:v>42979</x:v>
      </x:c>
    </x:row>
    <x:row r="3050" ht="18" customHeight="1">
      <x:c r="A3050" t="str">
        <x:v>CA-2015-135174</x:v>
      </x:c>
      <x:c r="B3050" s="18" t="n">
        <x:v>42124</x:v>
      </x:c>
      <x:c r="C3050" t="str">
        <x:v>BP-11230</x:v>
      </x:c>
      <x:c r="D3050" t="str">
        <x:v>Benjamin Patterson</x:v>
      </x:c>
      <x:c r="E3050" t="str">
        <x:v>Consumer</x:v>
      </x:c>
      <x:c r="F3050" t="str">
        <x:v>East</x:v>
      </x:c>
      <x:c r="G3050" t="str">
        <x:v>Technology</x:v>
      </x:c>
      <x:c r="H3050" t="str">
        <x:v>Phones</x:v>
      </x:c>
      <x:c r="I3050" s="22" t="n">
        <x:v>1022.97</x:v>
      </x:c>
      <x:c r="J3050" s="24" t="n">
        <x:v>5</x:v>
      </x:c>
      <x:c r="K3050" s="26" t="n">
        <x:v>0.4</x:v>
      </x:c>
      <x:c r="L3050" s="22" t="n">
        <x:v>-255.7425</x:v>
      </x:c>
      <x:c r="M3050" t="n">
        <x:v>2015</x:v>
      </x:c>
      <x:c r="N3050" s="20" t="n">
        <x:v>42095</x:v>
      </x:c>
    </x:row>
    <x:row r="3051" ht="18" customHeight="1">
      <x:c r="A3051" t="str">
        <x:v>CA-2017-125290</x:v>
      </x:c>
      <x:c r="B3051" s="18" t="n">
        <x:v>43045</x:v>
      </x:c>
      <x:c r="C3051" t="str">
        <x:v>CC-12430</x:v>
      </x:c>
      <x:c r="D3051" t="str">
        <x:v>Chuck Clark</x:v>
      </x:c>
      <x:c r="E3051" t="str">
        <x:v>Home Office</x:v>
      </x:c>
      <x:c r="F3051" t="str">
        <x:v>Central</x:v>
      </x:c>
      <x:c r="G3051" t="str">
        <x:v>Office Supplies</x:v>
      </x:c>
      <x:c r="H3051" t="str">
        <x:v>Art</x:v>
      </x:c>
      <x:c r="I3051" s="22" t="n">
        <x:v>13.899999999999999</x:v>
      </x:c>
      <x:c r="J3051" s="24" t="n">
        <x:v>5</x:v>
      </x:c>
      <x:c r="K3051" s="26" t="n">
        <x:v>0</x:v>
      </x:c>
      <x:c r="L3051" s="22" t="n">
        <x:v>3.6139999999999994</x:v>
      </x:c>
      <x:c r="M3051" t="n">
        <x:v>2017</x:v>
      </x:c>
      <x:c r="N3051" s="20" t="n">
        <x:v>43040</x:v>
      </x:c>
    </x:row>
    <x:row r="3052" ht="18" customHeight="1">
      <x:c r="A3052" t="str">
        <x:v>CA-2017-125290</x:v>
      </x:c>
      <x:c r="B3052" s="18" t="n">
        <x:v>43045</x:v>
      </x:c>
      <x:c r="C3052" t="str">
        <x:v>CC-12430</x:v>
      </x:c>
      <x:c r="D3052" t="str">
        <x:v>Chuck Clark</x:v>
      </x:c>
      <x:c r="E3052" t="str">
        <x:v>Home Office</x:v>
      </x:c>
      <x:c r="F3052" t="str">
        <x:v>Central</x:v>
      </x:c>
      <x:c r="G3052" t="str">
        <x:v>Office Supplies</x:v>
      </x:c>
      <x:c r="H3052" t="str">
        <x:v>Paper</x:v>
      </x:c>
      <x:c r="I3052" s="22" t="n">
        <x:v>26.38</x:v>
      </x:c>
      <x:c r="J3052" s="24" t="n">
        <x:v>1</x:v>
      </x:c>
      <x:c r="K3052" s="26" t="n">
        <x:v>0</x:v>
      </x:c>
      <x:c r="L3052" s="22" t="n">
        <x:v>12.134799999999998</x:v>
      </x:c>
      <x:c r="M3052" t="n">
        <x:v>2017</x:v>
      </x:c>
      <x:c r="N3052" s="20" t="n">
        <x:v>43040</x:v>
      </x:c>
    </x:row>
    <x:row r="3053" ht="18" customHeight="1">
      <x:c r="A3053" t="str">
        <x:v>CA-2014-137351</x:v>
      </x:c>
      <x:c r="B3053" s="18" t="n">
        <x:v>41912</x:v>
      </x:c>
      <x:c r="C3053" t="str">
        <x:v>DB-13615</x:v>
      </x:c>
      <x:c r="D3053" t="str">
        <x:v>Doug Bickford</x:v>
      </x:c>
      <x:c r="E3053" t="str">
        <x:v>Consumer</x:v>
      </x:c>
      <x:c r="F3053" t="str">
        <x:v>West</x:v>
      </x:c>
      <x:c r="G3053" t="str">
        <x:v>Office Supplies</x:v>
      </x:c>
      <x:c r="H3053" t="str">
        <x:v>Binders</x:v>
      </x:c>
      <x:c r="I3053" s="22" t="n">
        <x:v>43.176</x:v>
      </x:c>
      <x:c r="J3053" s="24" t="n">
        <x:v>7</x:v>
      </x:c>
      <x:c r="K3053" s="26" t="n">
        <x:v>0.2</x:v>
      </x:c>
      <x:c r="L3053" s="22" t="n">
        <x:v>13.4925</x:v>
      </x:c>
      <x:c r="M3053" t="n">
        <x:v>2014</x:v>
      </x:c>
      <x:c r="N3053" s="20" t="n">
        <x:v>41883</x:v>
      </x:c>
    </x:row>
    <x:row r="3054" ht="18" customHeight="1">
      <x:c r="A3054" t="str">
        <x:v>CA-2017-121419</x:v>
      </x:c>
      <x:c r="B3054" s="18" t="n">
        <x:v>42827</x:v>
      </x:c>
      <x:c r="C3054" t="str">
        <x:v>TC-21475</x:v>
      </x:c>
      <x:c r="D3054" t="str">
        <x:v>Tony Chapman</x:v>
      </x:c>
      <x:c r="E3054" t="str">
        <x:v>Home Office</x:v>
      </x:c>
      <x:c r="F3054" t="str">
        <x:v>South</x:v>
      </x:c>
      <x:c r="G3054" t="str">
        <x:v>Furniture</x:v>
      </x:c>
      <x:c r="H3054" t="str">
        <x:v>Tables</x:v>
      </x:c>
      <x:c r="I3054" s="22" t="n">
        <x:v>411.8</x:v>
      </x:c>
      <x:c r="J3054" s="24" t="n">
        <x:v>2</x:v>
      </x:c>
      <x:c r="K3054" s="26" t="n">
        <x:v>0</x:v>
      </x:c>
      <x:c r="L3054" s="22" t="n">
        <x:v>70.00599999999997</x:v>
      </x:c>
      <x:c r="M3054" t="n">
        <x:v>2017</x:v>
      </x:c>
      <x:c r="N3054" s="20" t="n">
        <x:v>42826</x:v>
      </x:c>
    </x:row>
    <x:row r="3055" ht="18" customHeight="1">
      <x:c r="A3055" t="str">
        <x:v>CA-2017-121419</x:v>
      </x:c>
      <x:c r="B3055" s="18" t="n">
        <x:v>42827</x:v>
      </x:c>
      <x:c r="C3055" t="str">
        <x:v>TC-21475</x:v>
      </x:c>
      <x:c r="D3055" t="str">
        <x:v>Tony Chapman</x:v>
      </x:c>
      <x:c r="E3055" t="str">
        <x:v>Home Office</x:v>
      </x:c>
      <x:c r="F3055" t="str">
        <x:v>South</x:v>
      </x:c>
      <x:c r="G3055" t="str">
        <x:v>Technology</x:v>
      </x:c>
      <x:c r="H3055" t="str">
        <x:v>Accessories</x:v>
      </x:c>
      <x:c r="I3055" s="22" t="n">
        <x:v>360</x:v>
      </x:c>
      <x:c r="J3055" s="24" t="n">
        <x:v>4</x:v>
      </x:c>
      <x:c r="K3055" s="26" t="n">
        <x:v>0</x:v>
      </x:c>
      <x:c r="L3055" s="22" t="n">
        <x:v>129.6</x:v>
      </x:c>
      <x:c r="M3055" t="n">
        <x:v>2017</x:v>
      </x:c>
      <x:c r="N3055" s="20" t="n">
        <x:v>42826</x:v>
      </x:c>
    </x:row>
    <x:row r="3056" ht="18" customHeight="1">
      <x:c r="A3056" t="str">
        <x:v>US-2017-148054</x:v>
      </x:c>
      <x:c r="B3056" s="18" t="n">
        <x:v>43014</x:v>
      </x:c>
      <x:c r="C3056" t="str">
        <x:v>NZ-18565</x:v>
      </x:c>
      <x:c r="D3056" t="str">
        <x:v>Nick Zandusky</x:v>
      </x:c>
      <x:c r="E3056" t="str">
        <x:v>Home Office</x:v>
      </x:c>
      <x:c r="F3056" t="str">
        <x:v>West</x:v>
      </x:c>
      <x:c r="G3056" t="str">
        <x:v>Furniture</x:v>
      </x:c>
      <x:c r="H3056" t="str">
        <x:v>Furnishings</x:v>
      </x:c>
      <x:c r="I3056" s="22" t="n">
        <x:v>41.96</x:v>
      </x:c>
      <x:c r="J3056" s="24" t="n">
        <x:v>2</x:v>
      </x:c>
      <x:c r="K3056" s="26" t="n">
        <x:v>0</x:v>
      </x:c>
      <x:c r="L3056" s="22" t="n">
        <x:v>2.937199999999997</x:v>
      </x:c>
      <x:c r="M3056" t="n">
        <x:v>2017</x:v>
      </x:c>
      <x:c r="N3056" s="20" t="n">
        <x:v>43009</x:v>
      </x:c>
    </x:row>
    <x:row r="3057" ht="18" customHeight="1">
      <x:c r="A3057" t="str">
        <x:v>US-2017-148054</x:v>
      </x:c>
      <x:c r="B3057" s="18" t="n">
        <x:v>43014</x:v>
      </x:c>
      <x:c r="C3057" t="str">
        <x:v>NZ-18565</x:v>
      </x:c>
      <x:c r="D3057" t="str">
        <x:v>Nick Zandusky</x:v>
      </x:c>
      <x:c r="E3057" t="str">
        <x:v>Home Office</x:v>
      </x:c>
      <x:c r="F3057" t="str">
        <x:v>West</x:v>
      </x:c>
      <x:c r="G3057" t="str">
        <x:v>Office Supplies</x:v>
      </x:c>
      <x:c r="H3057" t="str">
        <x:v>Appliances</x:v>
      </x:c>
      <x:c r="I3057" s="22" t="n">
        <x:v>227.84</x:v>
      </x:c>
      <x:c r="J3057" s="24" t="n">
        <x:v>4</x:v>
      </x:c>
      <x:c r="K3057" s="26" t="n">
        <x:v>0</x:v>
      </x:c>
      <x:c r="L3057" s="22" t="n">
        <x:v>66.07359999999997</x:v>
      </x:c>
      <x:c r="M3057" t="n">
        <x:v>2017</x:v>
      </x:c>
      <x:c r="N3057" s="20" t="n">
        <x:v>43009</x:v>
      </x:c>
    </x:row>
    <x:row r="3058" ht="18" customHeight="1">
      <x:c r="A3058" t="str">
        <x:v>US-2017-148054</x:v>
      </x:c>
      <x:c r="B3058" s="18" t="n">
        <x:v>43014</x:v>
      </x:c>
      <x:c r="C3058" t="str">
        <x:v>NZ-18565</x:v>
      </x:c>
      <x:c r="D3058" t="str">
        <x:v>Nick Zandusky</x:v>
      </x:c>
      <x:c r="E3058" t="str">
        <x:v>Home Office</x:v>
      </x:c>
      <x:c r="F3058" t="str">
        <x:v>West</x:v>
      </x:c>
      <x:c r="G3058" t="str">
        <x:v>Office Supplies</x:v>
      </x:c>
      <x:c r="H3058" t="str">
        <x:v>Paper</x:v>
      </x:c>
      <x:c r="I3058" s="22" t="n">
        <x:v>37.94</x:v>
      </x:c>
      <x:c r="J3058" s="24" t="n">
        <x:v>2</x:v>
      </x:c>
      <x:c r="K3058" s="26" t="n">
        <x:v>0</x:v>
      </x:c>
      <x:c r="L3058" s="22" t="n">
        <x:v>18.211199999999998</x:v>
      </x:c>
      <x:c r="M3058" t="n">
        <x:v>2017</x:v>
      </x:c>
      <x:c r="N3058" s="20" t="n">
        <x:v>43009</x:v>
      </x:c>
    </x:row>
    <x:row r="3059" ht="18" customHeight="1">
      <x:c r="A3059" t="str">
        <x:v>CA-2016-128517</x:v>
      </x:c>
      <x:c r="B3059" s="18" t="n">
        <x:v>42469</x:v>
      </x:c>
      <x:c r="C3059" t="str">
        <x:v>SW-20350</x:v>
      </x:c>
      <x:c r="D3059" t="str">
        <x:v>Sean Wendt</x:v>
      </x:c>
      <x:c r="E3059" t="str">
        <x:v>Home Office</x:v>
      </x:c>
      <x:c r="F3059" t="str">
        <x:v>Central</x:v>
      </x:c>
      <x:c r="G3059" t="str">
        <x:v>Technology</x:v>
      </x:c>
      <x:c r="H3059" t="str">
        <x:v>Phones</x:v>
      </x:c>
      <x:c r="I3059" s="22" t="n">
        <x:v>517.9</x:v>
      </x:c>
      <x:c r="J3059" s="24" t="n">
        <x:v>2</x:v>
      </x:c>
      <x:c r="K3059" s="26" t="n">
        <x:v>0</x:v>
      </x:c>
      <x:c r="L3059" s="22" t="n">
        <x:v>134.654</x:v>
      </x:c>
      <x:c r="M3059" t="n">
        <x:v>2016</x:v>
      </x:c>
      <x:c r="N3059" s="20" t="n">
        <x:v>42461</x:v>
      </x:c>
    </x:row>
    <x:row r="3060" ht="18" customHeight="1">
      <x:c r="A3060" t="str">
        <x:v>CA-2016-128517</x:v>
      </x:c>
      <x:c r="B3060" s="18" t="n">
        <x:v>42469</x:v>
      </x:c>
      <x:c r="C3060" t="str">
        <x:v>SW-20350</x:v>
      </x:c>
      <x:c r="D3060" t="str">
        <x:v>Sean Wendt</x:v>
      </x:c>
      <x:c r="E3060" t="str">
        <x:v>Home Office</x:v>
      </x:c>
      <x:c r="F3060" t="str">
        <x:v>Central</x:v>
      </x:c>
      <x:c r="G3060" t="str">
        <x:v>Office Supplies</x:v>
      </x:c>
      <x:c r="H3060" t="str">
        <x:v>Binders</x:v>
      </x:c>
      <x:c r="I3060" s="22" t="n">
        <x:v>5.28</x:v>
      </x:c>
      <x:c r="J3060" s="24" t="n">
        <x:v>2</x:v>
      </x:c>
      <x:c r="K3060" s="26" t="n">
        <x:v>0</x:v>
      </x:c>
      <x:c r="L3060" s="22" t="n">
        <x:v>2.4288</x:v>
      </x:c>
      <x:c r="M3060" t="n">
        <x:v>2016</x:v>
      </x:c>
      <x:c r="N3060" s="20" t="n">
        <x:v>42461</x:v>
      </x:c>
    </x:row>
    <x:row r="3061" ht="18" customHeight="1">
      <x:c r="A3061" t="str">
        <x:v>US-2015-100377</x:v>
      </x:c>
      <x:c r="B3061" s="18" t="n">
        <x:v>42244</x:v>
      </x:c>
      <x:c r="C3061" t="str">
        <x:v>TS-21370</x:v>
      </x:c>
      <x:c r="D3061" t="str">
        <x:v>Todd Sumrall</x:v>
      </x:c>
      <x:c r="E3061" t="str">
        <x:v>Corporate</x:v>
      </x:c>
      <x:c r="F3061" t="str">
        <x:v>Central</x:v>
      </x:c>
      <x:c r="G3061" t="str">
        <x:v>Technology</x:v>
      </x:c>
      <x:c r="H3061" t="str">
        <x:v>Copiers</x:v>
      </x:c>
      <x:c r="I3061" s="22" t="n">
        <x:v>2799.9600000000005</x:v>
      </x:c>
      <x:c r="J3061" s="24" t="n">
        <x:v>5</x:v>
      </x:c>
      <x:c r="K3061" s="26" t="n">
        <x:v>0.2</x:v>
      </x:c>
      <x:c r="L3061" s="22" t="n">
        <x:v>874.9874999999998</x:v>
      </x:c>
      <x:c r="M3061" t="n">
        <x:v>2015</x:v>
      </x:c>
      <x:c r="N3061" s="20" t="n">
        <x:v>42217</x:v>
      </x:c>
    </x:row>
    <x:row r="3062" ht="18" customHeight="1">
      <x:c r="A3062" t="str">
        <x:v>CA-2017-131492</x:v>
      </x:c>
      <x:c r="B3062" s="18" t="n">
        <x:v>43027</x:v>
      </x:c>
      <x:c r="C3062" t="str">
        <x:v>HH-15010</x:v>
      </x:c>
      <x:c r="D3062" t="str">
        <x:v>Hilary Holden</x:v>
      </x:c>
      <x:c r="E3062" t="str">
        <x:v>Corporate</x:v>
      </x:c>
      <x:c r="F3062" t="str">
        <x:v>West</x:v>
      </x:c>
      <x:c r="G3062" t="str">
        <x:v>Office Supplies</x:v>
      </x:c>
      <x:c r="H3062" t="str">
        <x:v>Envelopes</x:v>
      </x:c>
      <x:c r="I3062" s="22" t="n">
        <x:v>8.96</x:v>
      </x:c>
      <x:c r="J3062" s="24" t="n">
        <x:v>2</x:v>
      </x:c>
      <x:c r="K3062" s="26" t="n">
        <x:v>0</x:v>
      </x:c>
      <x:c r="L3062" s="22" t="n">
        <x:v>4.300800000000001</x:v>
      </x:c>
      <x:c r="M3062" t="n">
        <x:v>2017</x:v>
      </x:c>
      <x:c r="N3062" s="20" t="n">
        <x:v>43009</x:v>
      </x:c>
    </x:row>
    <x:row r="3063" ht="18" customHeight="1">
      <x:c r="A3063" t="str">
        <x:v>CA-2017-131492</x:v>
      </x:c>
      <x:c r="B3063" s="18" t="n">
        <x:v>43027</x:v>
      </x:c>
      <x:c r="C3063" t="str">
        <x:v>HH-15010</x:v>
      </x:c>
      <x:c r="D3063" t="str">
        <x:v>Hilary Holden</x:v>
      </x:c>
      <x:c r="E3063" t="str">
        <x:v>Corporate</x:v>
      </x:c>
      <x:c r="F3063" t="str">
        <x:v>West</x:v>
      </x:c>
      <x:c r="G3063" t="str">
        <x:v>Office Supplies</x:v>
      </x:c>
      <x:c r="H3063" t="str">
        <x:v>Labels</x:v>
      </x:c>
      <x:c r="I3063" s="22" t="n">
        <x:v>31.5</x:v>
      </x:c>
      <x:c r="J3063" s="24" t="n">
        <x:v>10</x:v>
      </x:c>
      <x:c r="K3063" s="26" t="n">
        <x:v>0</x:v>
      </x:c>
      <x:c r="L3063" s="22" t="n">
        <x:v>15.120000000000001</x:v>
      </x:c>
      <x:c r="M3063" t="n">
        <x:v>2017</x:v>
      </x:c>
      <x:c r="N3063" s="20" t="n">
        <x:v>43009</x:v>
      </x:c>
    </x:row>
    <x:row r="3064" ht="18" customHeight="1">
      <x:c r="A3064" t="str">
        <x:v>CA-2017-131492</x:v>
      </x:c>
      <x:c r="B3064" s="18" t="n">
        <x:v>43027</x:v>
      </x:c>
      <x:c r="C3064" t="str">
        <x:v>HH-15010</x:v>
      </x:c>
      <x:c r="D3064" t="str">
        <x:v>Hilary Holden</x:v>
      </x:c>
      <x:c r="E3064" t="str">
        <x:v>Corporate</x:v>
      </x:c>
      <x:c r="F3064" t="str">
        <x:v>West</x:v>
      </x:c>
      <x:c r="G3064" t="str">
        <x:v>Furniture</x:v>
      </x:c>
      <x:c r="H3064" t="str">
        <x:v>Furnishings</x:v>
      </x:c>
      <x:c r="I3064" s="22" t="n">
        <x:v>30.56</x:v>
      </x:c>
      <x:c r="J3064" s="24" t="n">
        <x:v>2</x:v>
      </x:c>
      <x:c r="K3064" s="26" t="n">
        <x:v>0</x:v>
      </x:c>
      <x:c r="L3064" s="22" t="n">
        <x:v>10.3904</x:v>
      </x:c>
      <x:c r="M3064" t="n">
        <x:v>2017</x:v>
      </x:c>
      <x:c r="N3064" s="20" t="n">
        <x:v>43009</x:v>
      </x:c>
    </x:row>
    <x:row r="3065" ht="18" customHeight="1">
      <x:c r="A3065" t="str">
        <x:v>CA-2017-131492</x:v>
      </x:c>
      <x:c r="B3065" s="18" t="n">
        <x:v>43027</x:v>
      </x:c>
      <x:c r="C3065" t="str">
        <x:v>HH-15010</x:v>
      </x:c>
      <x:c r="D3065" t="str">
        <x:v>Hilary Holden</x:v>
      </x:c>
      <x:c r="E3065" t="str">
        <x:v>Corporate</x:v>
      </x:c>
      <x:c r="F3065" t="str">
        <x:v>West</x:v>
      </x:c>
      <x:c r="G3065" t="str">
        <x:v>Furniture</x:v>
      </x:c>
      <x:c r="H3065" t="str">
        <x:v>Tables</x:v>
      </x:c>
      <x:c r="I3065" s="22" t="n">
        <x:v>24.368000000000002</x:v>
      </x:c>
      <x:c r="J3065" s="24" t="n">
        <x:v>2</x:v>
      </x:c>
      <x:c r="K3065" s="26" t="n">
        <x:v>0.2</x:v>
      </x:c>
      <x:c r="L3065" s="22" t="n">
        <x:v>-3.350600000000002</x:v>
      </x:c>
      <x:c r="M3065" t="n">
        <x:v>2017</x:v>
      </x:c>
      <x:c r="N3065" s="20" t="n">
        <x:v>43009</x:v>
      </x:c>
    </x:row>
    <x:row r="3066" ht="18" customHeight="1">
      <x:c r="A3066" t="str">
        <x:v>CA-2016-144554</x:v>
      </x:c>
      <x:c r="B3066" s="18" t="n">
        <x:v>42681</x:v>
      </x:c>
      <x:c r="C3066" t="str">
        <x:v>DM-13345</x:v>
      </x:c>
      <x:c r="D3066" t="str">
        <x:v>Denise Monton</x:v>
      </x:c>
      <x:c r="E3066" t="str">
        <x:v>Corporate</x:v>
      </x:c>
      <x:c r="F3066" t="str">
        <x:v>East</x:v>
      </x:c>
      <x:c r="G3066" t="str">
        <x:v>Technology</x:v>
      </x:c>
      <x:c r="H3066" t="str">
        <x:v>Accessories</x:v>
      </x:c>
      <x:c r="I3066" s="22" t="n">
        <x:v>119.97600000000001</x:v>
      </x:c>
      <x:c r="J3066" s="24" t="n">
        <x:v>3</x:v>
      </x:c>
      <x:c r="K3066" s="26" t="n">
        <x:v>0.2</x:v>
      </x:c>
      <x:c r="L3066" s="22" t="n">
        <x:v>22.49549999999999</x:v>
      </x:c>
      <x:c r="M3066" t="n">
        <x:v>2016</x:v>
      </x:c>
      <x:c r="N3066" s="20" t="n">
        <x:v>42675</x:v>
      </x:c>
    </x:row>
    <x:row r="3067" ht="18" customHeight="1">
      <x:c r="A3067" t="str">
        <x:v>CA-2017-127621</x:v>
      </x:c>
      <x:c r="B3067" s="18" t="n">
        <x:v>42797</x:v>
      </x:c>
      <x:c r="C3067" t="str">
        <x:v>RE-19450</x:v>
      </x:c>
      <x:c r="D3067" t="str">
        <x:v>Richard Eichhorn</x:v>
      </x:c>
      <x:c r="E3067" t="str">
        <x:v>Consumer</x:v>
      </x:c>
      <x:c r="F3067" t="str">
        <x:v>Central</x:v>
      </x:c>
      <x:c r="G3067" t="str">
        <x:v>Office Supplies</x:v>
      </x:c>
      <x:c r="H3067" t="str">
        <x:v>Paper</x:v>
      </x:c>
      <x:c r="I3067" s="22" t="n">
        <x:v>26.880000000000003</x:v>
      </x:c>
      <x:c r="J3067" s="24" t="n">
        <x:v>8</x:v>
      </x:c>
      <x:c r="K3067" s="26" t="n">
        <x:v>0.2</x:v>
      </x:c>
      <x:c r="L3067" s="22" t="n">
        <x:v>9.743999999999998</x:v>
      </x:c>
      <x:c r="M3067" t="n">
        <x:v>2017</x:v>
      </x:c>
      <x:c r="N3067" s="20" t="n">
        <x:v>42795</x:v>
      </x:c>
    </x:row>
    <x:row r="3068" ht="18" customHeight="1">
      <x:c r="A3068" t="str">
        <x:v>CA-2015-145184</x:v>
      </x:c>
      <x:c r="B3068" s="18" t="n">
        <x:v>42335</x:v>
      </x:c>
      <x:c r="C3068" t="str">
        <x:v>JD-16150</x:v>
      </x:c>
      <x:c r="D3068" t="str">
        <x:v>Justin Deggeller</x:v>
      </x:c>
      <x:c r="E3068" t="str">
        <x:v>Corporate</x:v>
      </x:c>
      <x:c r="F3068" t="str">
        <x:v>East</x:v>
      </x:c>
      <x:c r="G3068" t="str">
        <x:v>Technology</x:v>
      </x:c>
      <x:c r="H3068" t="str">
        <x:v>Phones</x:v>
      </x:c>
      <x:c r="I3068" s="22" t="n">
        <x:v>83.97</x:v>
      </x:c>
      <x:c r="J3068" s="24" t="n">
        <x:v>3</x:v>
      </x:c>
      <x:c r="K3068" s="26" t="n">
        <x:v>0</x:v>
      </x:c>
      <x:c r="L3068" s="22" t="n">
        <x:v>23.511599999999998</x:v>
      </x:c>
      <x:c r="M3068" t="n">
        <x:v>2015</x:v>
      </x:c>
      <x:c r="N3068" s="20" t="n">
        <x:v>42309</x:v>
      </x:c>
    </x:row>
    <x:row r="3069" ht="18" customHeight="1">
      <x:c r="A3069" t="str">
        <x:v>CA-2015-145184</x:v>
      </x:c>
      <x:c r="B3069" s="18" t="n">
        <x:v>42335</x:v>
      </x:c>
      <x:c r="C3069" t="str">
        <x:v>JD-16150</x:v>
      </x:c>
      <x:c r="D3069" t="str">
        <x:v>Justin Deggeller</x:v>
      </x:c>
      <x:c r="E3069" t="str">
        <x:v>Corporate</x:v>
      </x:c>
      <x:c r="F3069" t="str">
        <x:v>East</x:v>
      </x:c>
      <x:c r="G3069" t="str">
        <x:v>Technology</x:v>
      </x:c>
      <x:c r="H3069" t="str">
        <x:v>Accessories</x:v>
      </x:c>
      <x:c r="I3069" s="22" t="n">
        <x:v>104.97</x:v>
      </x:c>
      <x:c r="J3069" s="24" t="n">
        <x:v>3</x:v>
      </x:c>
      <x:c r="K3069" s="26" t="n">
        <x:v>0</x:v>
      </x:c>
      <x:c r="L3069" s="22" t="n">
        <x:v>7.347900000000003</x:v>
      </x:c>
      <x:c r="M3069" t="n">
        <x:v>2015</x:v>
      </x:c>
      <x:c r="N3069" s="20" t="n">
        <x:v>42309</x:v>
      </x:c>
    </x:row>
    <x:row r="3070" ht="18" customHeight="1">
      <x:c r="A3070" t="str">
        <x:v>CA-2017-106859</x:v>
      </x:c>
      <x:c r="B3070" s="18" t="n">
        <x:v>42807</x:v>
      </x:c>
      <x:c r="C3070" t="str">
        <x:v>BF-11215</x:v>
      </x:c>
      <x:c r="D3070" t="str">
        <x:v>Benjamin Farhat</x:v>
      </x:c>
      <x:c r="E3070" t="str">
        <x:v>Home Office</x:v>
      </x:c>
      <x:c r="F3070" t="str">
        <x:v>West</x:v>
      </x:c>
      <x:c r="G3070" t="str">
        <x:v>Office Supplies</x:v>
      </x:c>
      <x:c r="H3070" t="str">
        <x:v>Storage</x:v>
      </x:c>
      <x:c r="I3070" s="22" t="n">
        <x:v>90.8</x:v>
      </x:c>
      <x:c r="J3070" s="24" t="n">
        <x:v>8</x:v>
      </x:c>
      <x:c r="K3070" s="26" t="n">
        <x:v>0</x:v>
      </x:c>
      <x:c r="L3070" s="22" t="n">
        <x:v>25.424000000000007</x:v>
      </x:c>
      <x:c r="M3070" t="n">
        <x:v>2017</x:v>
      </x:c>
      <x:c r="N3070" s="20" t="n">
        <x:v>42795</x:v>
      </x:c>
    </x:row>
    <x:row r="3071" ht="18" customHeight="1">
      <x:c r="A3071" t="str">
        <x:v>CA-2017-106859</x:v>
      </x:c>
      <x:c r="B3071" s="18" t="n">
        <x:v>42807</x:v>
      </x:c>
      <x:c r="C3071" t="str">
        <x:v>BF-11215</x:v>
      </x:c>
      <x:c r="D3071" t="str">
        <x:v>Benjamin Farhat</x:v>
      </x:c>
      <x:c r="E3071" t="str">
        <x:v>Home Office</x:v>
      </x:c>
      <x:c r="F3071" t="str">
        <x:v>West</x:v>
      </x:c>
      <x:c r="G3071" t="str">
        <x:v>Technology</x:v>
      </x:c>
      <x:c r="H3071" t="str">
        <x:v>Phones</x:v>
      </x:c>
      <x:c r="I3071" s="22" t="n">
        <x:v>140.736</x:v>
      </x:c>
      <x:c r="J3071" s="24" t="n">
        <x:v>8</x:v>
      </x:c>
      <x:c r="K3071" s="26" t="n">
        <x:v>0.2</x:v>
      </x:c>
      <x:c r="L3071" s="22" t="n">
        <x:v>49.2576</x:v>
      </x:c>
      <x:c r="M3071" t="n">
        <x:v>2017</x:v>
      </x:c>
      <x:c r="N3071" s="20" t="n">
        <x:v>42795</x:v>
      </x:c>
    </x:row>
    <x:row r="3072" ht="18" customHeight="1">
      <x:c r="A3072" t="str">
        <x:v>CA-2017-106859</x:v>
      </x:c>
      <x:c r="B3072" s="18" t="n">
        <x:v>42807</x:v>
      </x:c>
      <x:c r="C3072" t="str">
        <x:v>BF-11215</x:v>
      </x:c>
      <x:c r="D3072" t="str">
        <x:v>Benjamin Farhat</x:v>
      </x:c>
      <x:c r="E3072" t="str">
        <x:v>Home Office</x:v>
      </x:c>
      <x:c r="F3072" t="str">
        <x:v>West</x:v>
      </x:c>
      <x:c r="G3072" t="str">
        <x:v>Technology</x:v>
      </x:c>
      <x:c r="H3072" t="str">
        <x:v>Accessories</x:v>
      </x:c>
      <x:c r="I3072" s="22" t="n">
        <x:v>214.95000000000002</x:v>
      </x:c>
      <x:c r="J3072" s="24" t="n">
        <x:v>5</x:v>
      </x:c>
      <x:c r="K3072" s="26" t="n">
        <x:v>0</x:v>
      </x:c>
      <x:c r="L3072" s="22" t="n">
        <x:v>88.12950000000001</x:v>
      </x:c>
      <x:c r="M3072" t="n">
        <x:v>2017</x:v>
      </x:c>
      <x:c r="N3072" s="20" t="n">
        <x:v>42795</x:v>
      </x:c>
    </x:row>
    <x:row r="3073" ht="18" customHeight="1">
      <x:c r="A3073" t="str">
        <x:v>CA-2017-106859</x:v>
      </x:c>
      <x:c r="B3073" s="18" t="n">
        <x:v>42807</x:v>
      </x:c>
      <x:c r="C3073" t="str">
        <x:v>BF-11215</x:v>
      </x:c>
      <x:c r="D3073" t="str">
        <x:v>Benjamin Farhat</x:v>
      </x:c>
      <x:c r="E3073" t="str">
        <x:v>Home Office</x:v>
      </x:c>
      <x:c r="F3073" t="str">
        <x:v>West</x:v>
      </x:c>
      <x:c r="G3073" t="str">
        <x:v>Office Supplies</x:v>
      </x:c>
      <x:c r="H3073" t="str">
        <x:v>Paper</x:v>
      </x:c>
      <x:c r="I3073" s="22" t="n">
        <x:v>45.36</x:v>
      </x:c>
      <x:c r="J3073" s="24" t="n">
        <x:v>7</x:v>
      </x:c>
      <x:c r="K3073" s="26" t="n">
        <x:v>0</x:v>
      </x:c>
      <x:c r="L3073" s="22" t="n">
        <x:v>21.772800000000004</x:v>
      </x:c>
      <x:c r="M3073" t="n">
        <x:v>2017</x:v>
      </x:c>
      <x:c r="N3073" s="20" t="n">
        <x:v>42795</x:v>
      </x:c>
    </x:row>
    <x:row r="3074" ht="18" customHeight="1">
      <x:c r="A3074" t="str">
        <x:v>CA-2017-106859</x:v>
      </x:c>
      <x:c r="B3074" s="18" t="n">
        <x:v>42807</x:v>
      </x:c>
      <x:c r="C3074" t="str">
        <x:v>BF-11215</x:v>
      </x:c>
      <x:c r="D3074" t="str">
        <x:v>Benjamin Farhat</x:v>
      </x:c>
      <x:c r="E3074" t="str">
        <x:v>Home Office</x:v>
      </x:c>
      <x:c r="F3074" t="str">
        <x:v>West</x:v>
      </x:c>
      <x:c r="G3074" t="str">
        <x:v>Office Supplies</x:v>
      </x:c>
      <x:c r="H3074" t="str">
        <x:v>Paper</x:v>
      </x:c>
      <x:c r="I3074" s="22" t="n">
        <x:v>288.24</x:v>
      </x:c>
      <x:c r="J3074" s="24" t="n">
        <x:v>6</x:v>
      </x:c>
      <x:c r="K3074" s="26" t="n">
        <x:v>0</x:v>
      </x:c>
      <x:c r="L3074" s="22" t="n">
        <x:v>138.35519999999997</x:v>
      </x:c>
      <x:c r="M3074" t="n">
        <x:v>2017</x:v>
      </x:c>
      <x:c r="N3074" s="20" t="n">
        <x:v>42795</x:v>
      </x:c>
    </x:row>
    <x:row r="3075" ht="18" customHeight="1">
      <x:c r="A3075" t="str">
        <x:v>US-2017-120089</x:v>
      </x:c>
      <x:c r="B3075" s="18" t="n">
        <x:v>43069</x:v>
      </x:c>
      <x:c r="C3075" t="str">
        <x:v>ML-17755</x:v>
      </x:c>
      <x:c r="D3075" t="str">
        <x:v>Max Ludwig</x:v>
      </x:c>
      <x:c r="E3075" t="str">
        <x:v>Home Office</x:v>
      </x:c>
      <x:c r="F3075" t="str">
        <x:v>East</x:v>
      </x:c>
      <x:c r="G3075" t="str">
        <x:v>Office Supplies</x:v>
      </x:c>
      <x:c r="H3075" t="str">
        <x:v>Appliances</x:v>
      </x:c>
      <x:c r="I3075" s="22" t="n">
        <x:v>663.936</x:v>
      </x:c>
      <x:c r="J3075" s="24" t="n">
        <x:v>4</x:v>
      </x:c>
      <x:c r="K3075" s="26" t="n">
        <x:v>0.2</x:v>
      </x:c>
      <x:c r="L3075" s="22" t="n">
        <x:v>82.99199999999988</x:v>
      </x:c>
      <x:c r="M3075" t="n">
        <x:v>2017</x:v>
      </x:c>
      <x:c r="N3075" s="20" t="n">
        <x:v>43040</x:v>
      </x:c>
    </x:row>
    <x:row r="3076" ht="18" customHeight="1">
      <x:c r="A3076" t="str">
        <x:v>CA-2014-119375</x:v>
      </x:c>
      <x:c r="B3076" s="18" t="n">
        <x:v>41960</x:v>
      </x:c>
      <x:c r="C3076" t="str">
        <x:v>YC-21895</x:v>
      </x:c>
      <x:c r="D3076" t="str">
        <x:v>Yoseph Carroll</x:v>
      </x:c>
      <x:c r="E3076" t="str">
        <x:v>Corporate</x:v>
      </x:c>
      <x:c r="F3076" t="str">
        <x:v>East</x:v>
      </x:c>
      <x:c r="G3076" t="str">
        <x:v>Office Supplies</x:v>
      </x:c>
      <x:c r="H3076" t="str">
        <x:v>Storage</x:v>
      </x:c>
      <x:c r="I3076" s="22" t="n">
        <x:v>2934.33</x:v>
      </x:c>
      <x:c r="J3076" s="24" t="n">
        <x:v>7</x:v>
      </x:c>
      <x:c r="K3076" s="26" t="n">
        <x:v>0</x:v>
      </x:c>
      <x:c r="L3076" s="22" t="n">
        <x:v>792.2691000000002</x:v>
      </x:c>
      <x:c r="M3076" t="n">
        <x:v>2014</x:v>
      </x:c>
      <x:c r="N3076" s="20" t="n">
        <x:v>41944</x:v>
      </x:c>
    </x:row>
    <x:row r="3077" ht="18" customHeight="1">
      <x:c r="A3077" t="str">
        <x:v>CA-2014-119375</x:v>
      </x:c>
      <x:c r="B3077" s="18" t="n">
        <x:v>41960</x:v>
      </x:c>
      <x:c r="C3077" t="str">
        <x:v>YC-21895</x:v>
      </x:c>
      <x:c r="D3077" t="str">
        <x:v>Yoseph Carroll</x:v>
      </x:c>
      <x:c r="E3077" t="str">
        <x:v>Corporate</x:v>
      </x:c>
      <x:c r="F3077" t="str">
        <x:v>East</x:v>
      </x:c>
      <x:c r="G3077" t="str">
        <x:v>Furniture</x:v>
      </x:c>
      <x:c r="H3077" t="str">
        <x:v>Furnishings</x:v>
      </x:c>
      <x:c r="I3077" s="22" t="n">
        <x:v>124.41</x:v>
      </x:c>
      <x:c r="J3077" s="24" t="n">
        <x:v>3</x:v>
      </x:c>
      <x:c r="K3077" s="26" t="n">
        <x:v>0</x:v>
      </x:c>
      <x:c r="L3077" s="22" t="n">
        <x:v>14.929199999999994</x:v>
      </x:c>
      <x:c r="M3077" t="n">
        <x:v>2014</x:v>
      </x:c>
      <x:c r="N3077" s="20" t="n">
        <x:v>41944</x:v>
      </x:c>
    </x:row>
    <x:row r="3078" ht="18" customHeight="1">
      <x:c r="A3078" t="str">
        <x:v>CA-2014-119375</x:v>
      </x:c>
      <x:c r="B3078" s="18" t="n">
        <x:v>41960</x:v>
      </x:c>
      <x:c r="C3078" t="str">
        <x:v>YC-21895</x:v>
      </x:c>
      <x:c r="D3078" t="str">
        <x:v>Yoseph Carroll</x:v>
      </x:c>
      <x:c r="E3078" t="str">
        <x:v>Corporate</x:v>
      </x:c>
      <x:c r="F3078" t="str">
        <x:v>East</x:v>
      </x:c>
      <x:c r="G3078" t="str">
        <x:v>Office Supplies</x:v>
      </x:c>
      <x:c r="H3078" t="str">
        <x:v>Art</x:v>
      </x:c>
      <x:c r="I3078" s="22" t="n">
        <x:v>57.75</x:v>
      </x:c>
      <x:c r="J3078" s="24" t="n">
        <x:v>5</x:v>
      </x:c>
      <x:c r="K3078" s="26" t="n">
        <x:v>0</x:v>
      </x:c>
      <x:c r="L3078" s="22" t="n">
        <x:v>26.564999999999998</x:v>
      </x:c>
      <x:c r="M3078" t="n">
        <x:v>2014</x:v>
      </x:c>
      <x:c r="N3078" s="20" t="n">
        <x:v>41944</x:v>
      </x:c>
    </x:row>
    <x:row r="3079" ht="18" customHeight="1">
      <x:c r="A3079" t="str">
        <x:v>CA-2016-125206</x:v>
      </x:c>
      <x:c r="B3079" s="18" t="n">
        <x:v>42372</x:v>
      </x:c>
      <x:c r="C3079" t="str">
        <x:v>LR-16915</x:v>
      </x:c>
      <x:c r="D3079" t="str">
        <x:v>Lena Radford</x:v>
      </x:c>
      <x:c r="E3079" t="str">
        <x:v>Consumer</x:v>
      </x:c>
      <x:c r="F3079" t="str">
        <x:v>West</x:v>
      </x:c>
      <x:c r="G3079" t="str">
        <x:v>Office Supplies</x:v>
      </x:c>
      <x:c r="H3079" t="str">
        <x:v>Storage</x:v>
      </x:c>
      <x:c r="I3079" s="22" t="n">
        <x:v>114.46</x:v>
      </x:c>
      <x:c r="J3079" s="24" t="n">
        <x:v>2</x:v>
      </x:c>
      <x:c r="K3079" s="26" t="n">
        <x:v>0</x:v>
      </x:c>
      <x:c r="L3079" s="22" t="n">
        <x:v>28.614999999999995</x:v>
      </x:c>
      <x:c r="M3079" t="n">
        <x:v>2016</x:v>
      </x:c>
      <x:c r="N3079" s="20" t="n">
        <x:v>42370</x:v>
      </x:c>
    </x:row>
    <x:row r="3080" ht="18" customHeight="1">
      <x:c r="A3080" t="str">
        <x:v>CA-2015-126137</x:v>
      </x:c>
      <x:c r="B3080" s="18" t="n">
        <x:v>42280</x:v>
      </x:c>
      <x:c r="C3080" t="str">
        <x:v>BS-11755</x:v>
      </x:c>
      <x:c r="D3080" t="str">
        <x:v>Bruce Stewart</x:v>
      </x:c>
      <x:c r="E3080" t="str">
        <x:v>Consumer</x:v>
      </x:c>
      <x:c r="F3080" t="str">
        <x:v>West</x:v>
      </x:c>
      <x:c r="G3080" t="str">
        <x:v>Furniture</x:v>
      </x:c>
      <x:c r="H3080" t="str">
        <x:v>Bookcases</x:v>
      </x:c>
      <x:c r="I3080" s="22" t="n">
        <x:v>120.666</x:v>
      </x:c>
      <x:c r="J3080" s="24" t="n">
        <x:v>2</x:v>
      </x:c>
      <x:c r="K3080" s="26" t="n">
        <x:v>0.15</x:v>
      </x:c>
      <x:c r="L3080" s="22" t="n">
        <x:v>18.454800000000002</x:v>
      </x:c>
      <x:c r="M3080" t="n">
        <x:v>2015</x:v>
      </x:c>
      <x:c r="N3080" s="20" t="n">
        <x:v>42278</x:v>
      </x:c>
    </x:row>
    <x:row r="3081" ht="18" customHeight="1">
      <x:c r="A3081" t="str">
        <x:v>CA-2014-143903</x:v>
      </x:c>
      <x:c r="B3081" s="18" t="n">
        <x:v>41840</x:v>
      </x:c>
      <x:c r="C3081" t="str">
        <x:v>KM-16375</x:v>
      </x:c>
      <x:c r="D3081" t="str">
        <x:v>Katherine Murray</x:v>
      </x:c>
      <x:c r="E3081" t="str">
        <x:v>Home Office</x:v>
      </x:c>
      <x:c r="F3081" t="str">
        <x:v>Central</x:v>
      </x:c>
      <x:c r="G3081" t="str">
        <x:v>Office Supplies</x:v>
      </x:c>
      <x:c r="H3081" t="str">
        <x:v>Storage</x:v>
      </x:c>
      <x:c r="I3081" s="22" t="n">
        <x:v>342.86400000000003</x:v>
      </x:c>
      <x:c r="J3081" s="24" t="n">
        <x:v>3</x:v>
      </x:c>
      <x:c r="K3081" s="26" t="n">
        <x:v>0.2</x:v>
      </x:c>
      <x:c r="L3081" s="22" t="n">
        <x:v>38.57219999999995</x:v>
      </x:c>
      <x:c r="M3081" t="n">
        <x:v>2014</x:v>
      </x:c>
      <x:c r="N3081" s="20" t="n">
        <x:v>41821</x:v>
      </x:c>
    </x:row>
    <x:row r="3082" ht="18" customHeight="1">
      <x:c r="A3082" t="str">
        <x:v>CA-2014-143903</x:v>
      </x:c>
      <x:c r="B3082" s="18" t="n">
        <x:v>41840</x:v>
      </x:c>
      <x:c r="C3082" t="str">
        <x:v>KM-16375</x:v>
      </x:c>
      <x:c r="D3082" t="str">
        <x:v>Katherine Murray</x:v>
      </x:c>
      <x:c r="E3082" t="str">
        <x:v>Home Office</x:v>
      </x:c>
      <x:c r="F3082" t="str">
        <x:v>Central</x:v>
      </x:c>
      <x:c r="G3082" t="str">
        <x:v>Furniture</x:v>
      </x:c>
      <x:c r="H3082" t="str">
        <x:v>Furnishings</x:v>
      </x:c>
      <x:c r="I3082" s="22" t="n">
        <x:v>16.74</x:v>
      </x:c>
      <x:c r="J3082" s="24" t="n">
        <x:v>5</x:v>
      </x:c>
      <x:c r="K3082" s="26" t="n">
        <x:v>0.6</x:v>
      </x:c>
      <x:c r="L3082" s="22" t="n">
        <x:v>-14.228999999999997</x:v>
      </x:c>
      <x:c r="M3082" t="n">
        <x:v>2014</x:v>
      </x:c>
      <x:c r="N3082" s="20" t="n">
        <x:v>41821</x:v>
      </x:c>
    </x:row>
    <x:row r="3083" ht="18" customHeight="1">
      <x:c r="A3083" t="str">
        <x:v>CA-2014-143903</x:v>
      </x:c>
      <x:c r="B3083" s="18" t="n">
        <x:v>41840</x:v>
      </x:c>
      <x:c r="C3083" t="str">
        <x:v>KM-16375</x:v>
      </x:c>
      <x:c r="D3083" t="str">
        <x:v>Katherine Murray</x:v>
      </x:c>
      <x:c r="E3083" t="str">
        <x:v>Home Office</x:v>
      </x:c>
      <x:c r="F3083" t="str">
        <x:v>Central</x:v>
      </x:c>
      <x:c r="G3083" t="str">
        <x:v>Furniture</x:v>
      </x:c>
      <x:c r="H3083" t="str">
        <x:v>Chairs</x:v>
      </x:c>
      <x:c r="I3083" s="22" t="n">
        <x:v>981.372</x:v>
      </x:c>
      <x:c r="J3083" s="24" t="n">
        <x:v>2</x:v>
      </x:c>
      <x:c r="K3083" s="26" t="n">
        <x:v>0.3</x:v>
      </x:c>
      <x:c r="L3083" s="22" t="n">
        <x:v>-140.19599999999997</x:v>
      </x:c>
      <x:c r="M3083" t="n">
        <x:v>2014</x:v>
      </x:c>
      <x:c r="N3083" s="20" t="n">
        <x:v>41821</x:v>
      </x:c>
    </x:row>
    <x:row r="3084" ht="18" customHeight="1">
      <x:c r="A3084" t="str">
        <x:v>CA-2014-104780</x:v>
      </x:c>
      <x:c r="B3084" s="18" t="n">
        <x:v>41780</x:v>
      </x:c>
      <x:c r="C3084" t="str">
        <x:v>BT-11530</x:v>
      </x:c>
      <x:c r="D3084" t="str">
        <x:v>Bradley Talbott</x:v>
      </x:c>
      <x:c r="E3084" t="str">
        <x:v>Home Office</x:v>
      </x:c>
      <x:c r="F3084" t="str">
        <x:v>West</x:v>
      </x:c>
      <x:c r="G3084" t="str">
        <x:v>Office Supplies</x:v>
      </x:c>
      <x:c r="H3084" t="str">
        <x:v>Art</x:v>
      </x:c>
      <x:c r="I3084" s="22" t="n">
        <x:v>31.84</x:v>
      </x:c>
      <x:c r="J3084" s="24" t="n">
        <x:v>8</x:v>
      </x:c>
      <x:c r="K3084" s="26" t="n">
        <x:v>0</x:v>
      </x:c>
      <x:c r="L3084" s="22" t="n">
        <x:v>10.507199999999997</x:v>
      </x:c>
      <x:c r="M3084" t="n">
        <x:v>2014</x:v>
      </x:c>
      <x:c r="N3084" s="20" t="n">
        <x:v>41760</x:v>
      </x:c>
    </x:row>
    <x:row r="3085" ht="18" customHeight="1">
      <x:c r="A3085" t="str">
        <x:v>CA-2017-101182</x:v>
      </x:c>
      <x:c r="B3085" s="18" t="n">
        <x:v>42982</x:v>
      </x:c>
      <x:c r="C3085" t="str">
        <x:v>KB-16405</x:v>
      </x:c>
      <x:c r="D3085" t="str">
        <x:v>Katrina Bavinger</x:v>
      </x:c>
      <x:c r="E3085" t="str">
        <x:v>Home Office</x:v>
      </x:c>
      <x:c r="F3085" t="str">
        <x:v>West</x:v>
      </x:c>
      <x:c r="G3085" t="str">
        <x:v>Office Supplies</x:v>
      </x:c>
      <x:c r="H3085" t="str">
        <x:v>Paper</x:v>
      </x:c>
      <x:c r="I3085" s="22" t="n">
        <x:v>12.96</x:v>
      </x:c>
      <x:c r="J3085" s="24" t="n">
        <x:v>2</x:v>
      </x:c>
      <x:c r="K3085" s="26" t="n">
        <x:v>0</x:v>
      </x:c>
      <x:c r="L3085" s="22" t="n">
        <x:v>6.2208000000000006</x:v>
      </x:c>
      <x:c r="M3085" t="n">
        <x:v>2017</x:v>
      </x:c>
      <x:c r="N3085" s="20" t="n">
        <x:v>42979</x:v>
      </x:c>
    </x:row>
    <x:row r="3086" ht="18" customHeight="1">
      <x:c r="A3086" t="str">
        <x:v>CA-2017-101182</x:v>
      </x:c>
      <x:c r="B3086" s="18" t="n">
        <x:v>42982</x:v>
      </x:c>
      <x:c r="C3086" t="str">
        <x:v>KB-16405</x:v>
      </x:c>
      <x:c r="D3086" t="str">
        <x:v>Katrina Bavinger</x:v>
      </x:c>
      <x:c r="E3086" t="str">
        <x:v>Home Office</x:v>
      </x:c>
      <x:c r="F3086" t="str">
        <x:v>West</x:v>
      </x:c>
      <x:c r="G3086" t="str">
        <x:v>Technology</x:v>
      </x:c>
      <x:c r="H3086" t="str">
        <x:v>Phones</x:v>
      </x:c>
      <x:c r="I3086" s="22" t="n">
        <x:v>43.176</x:v>
      </x:c>
      <x:c r="J3086" s="24" t="n">
        <x:v>3</x:v>
      </x:c>
      <x:c r="K3086" s="26" t="n">
        <x:v>0.2</x:v>
      </x:c>
      <x:c r="L3086" s="22" t="n">
        <x:v>15.1116</x:v>
      </x:c>
      <x:c r="M3086" t="n">
        <x:v>2017</x:v>
      </x:c>
      <x:c r="N3086" s="20" t="n">
        <x:v>42979</x:v>
      </x:c>
    </x:row>
    <x:row r="3087" ht="18" customHeight="1">
      <x:c r="A3087" t="str">
        <x:v>US-2017-132297</x:v>
      </x:c>
      <x:c r="B3087" s="18" t="n">
        <x:v>42882</x:v>
      </x:c>
      <x:c r="C3087" t="str">
        <x:v>DW-13480</x:v>
      </x:c>
      <x:c r="D3087" t="str">
        <x:v>Dianna Wilson</x:v>
      </x:c>
      <x:c r="E3087" t="str">
        <x:v>Home Office</x:v>
      </x:c>
      <x:c r="F3087" t="str">
        <x:v>South</x:v>
      </x:c>
      <x:c r="G3087" t="str">
        <x:v>Office Supplies</x:v>
      </x:c>
      <x:c r="H3087" t="str">
        <x:v>Binders</x:v>
      </x:c>
      <x:c r="I3087" s="22" t="n">
        <x:v>58.34</x:v>
      </x:c>
      <x:c r="J3087" s="24" t="n">
        <x:v>2</x:v>
      </x:c>
      <x:c r="K3087" s="26" t="n">
        <x:v>0</x:v>
      </x:c>
      <x:c r="L3087" s="22" t="n">
        <x:v>28.0032</x:v>
      </x:c>
      <x:c r="M3087" t="n">
        <x:v>2017</x:v>
      </x:c>
      <x:c r="N3087" s="20" t="n">
        <x:v>42856</x:v>
      </x:c>
    </x:row>
    <x:row r="3088" ht="18" customHeight="1">
      <x:c r="A3088" t="str">
        <x:v>US-2017-132297</x:v>
      </x:c>
      <x:c r="B3088" s="18" t="n">
        <x:v>42882</x:v>
      </x:c>
      <x:c r="C3088" t="str">
        <x:v>DW-13480</x:v>
      </x:c>
      <x:c r="D3088" t="str">
        <x:v>Dianna Wilson</x:v>
      </x:c>
      <x:c r="E3088" t="str">
        <x:v>Home Office</x:v>
      </x:c>
      <x:c r="F3088" t="str">
        <x:v>South</x:v>
      </x:c>
      <x:c r="G3088" t="str">
        <x:v>Technology</x:v>
      </x:c>
      <x:c r="H3088" t="str">
        <x:v>Phones</x:v>
      </x:c>
      <x:c r="I3088" s="22" t="n">
        <x:v>539.97</x:v>
      </x:c>
      <x:c r="J3088" s="24" t="n">
        <x:v>3</x:v>
      </x:c>
      <x:c r="K3088" s="26" t="n">
        <x:v>0</x:v>
      </x:c>
      <x:c r="L3088" s="22" t="n">
        <x:v>134.9925</x:v>
      </x:c>
      <x:c r="M3088" t="n">
        <x:v>2017</x:v>
      </x:c>
      <x:c r="N3088" s="20" t="n">
        <x:v>42856</x:v>
      </x:c>
    </x:row>
    <x:row r="3089" ht="18" customHeight="1">
      <x:c r="A3089" t="str">
        <x:v>CA-2014-100328</x:v>
      </x:c>
      <x:c r="B3089" s="18" t="n">
        <x:v>41667</x:v>
      </x:c>
      <x:c r="C3089" t="str">
        <x:v>JC-15340</x:v>
      </x:c>
      <x:c r="D3089" t="str">
        <x:v>Jasper Cacioppo</x:v>
      </x:c>
      <x:c r="E3089" t="str">
        <x:v>Consumer</x:v>
      </x:c>
      <x:c r="F3089" t="str">
        <x:v>East</x:v>
      </x:c>
      <x:c r="G3089" t="str">
        <x:v>Office Supplies</x:v>
      </x:c>
      <x:c r="H3089" t="str">
        <x:v>Binders</x:v>
      </x:c>
      <x:c r="I3089" s="22" t="n">
        <x:v>3.9280000000000004</x:v>
      </x:c>
      <x:c r="J3089" s="24" t="n">
        <x:v>1</x:v>
      </x:c>
      <x:c r="K3089" s="26" t="n">
        <x:v>0.2</x:v>
      </x:c>
      <x:c r="L3089" s="22" t="n">
        <x:v>1.3256999999999999</x:v>
      </x:c>
      <x:c r="M3089" t="n">
        <x:v>2014</x:v>
      </x:c>
      <x:c r="N3089" s="20" t="n">
        <x:v>41640</x:v>
      </x:c>
    </x:row>
    <x:row r="3090" ht="18" customHeight="1">
      <x:c r="A3090" t="str">
        <x:v>CA-2017-118773</x:v>
      </x:c>
      <x:c r="B3090" s="18" t="n">
        <x:v>42775</x:v>
      </x:c>
      <x:c r="C3090" t="str">
        <x:v>TP-21415</x:v>
      </x:c>
      <x:c r="D3090" t="str">
        <x:v>Tom Prescott</x:v>
      </x:c>
      <x:c r="E3090" t="str">
        <x:v>Consumer</x:v>
      </x:c>
      <x:c r="F3090" t="str">
        <x:v>Central</x:v>
      </x:c>
      <x:c r="G3090" t="str">
        <x:v>Office Supplies</x:v>
      </x:c>
      <x:c r="H3090" t="str">
        <x:v>Binders</x:v>
      </x:c>
      <x:c r="I3090" s="22" t="n">
        <x:v>252.78399999999996</x:v>
      </x:c>
      <x:c r="J3090" s="24" t="n">
        <x:v>4</x:v>
      </x:c>
      <x:c r="K3090" s="26" t="n">
        <x:v>0.8</x:v>
      </x:c>
      <x:c r="L3090" s="22" t="n">
        <x:v>-417.09360000000004</x:v>
      </x:c>
      <x:c r="M3090" t="n">
        <x:v>2017</x:v>
      </x:c>
      <x:c r="N3090" s="20" t="n">
        <x:v>42767</x:v>
      </x:c>
    </x:row>
    <x:row r="3091" ht="18" customHeight="1">
      <x:c r="A3091" t="str">
        <x:v>CA-2017-118773</x:v>
      </x:c>
      <x:c r="B3091" s="18" t="n">
        <x:v>42775</x:v>
      </x:c>
      <x:c r="C3091" t="str">
        <x:v>TP-21415</x:v>
      </x:c>
      <x:c r="D3091" t="str">
        <x:v>Tom Prescott</x:v>
      </x:c>
      <x:c r="E3091" t="str">
        <x:v>Consumer</x:v>
      </x:c>
      <x:c r="F3091" t="str">
        <x:v>Central</x:v>
      </x:c>
      <x:c r="G3091" t="str">
        <x:v>Technology</x:v>
      </x:c>
      <x:c r="H3091" t="str">
        <x:v>Accessories</x:v>
      </x:c>
      <x:c r="I3091" s="22" t="n">
        <x:v>127.984</x:v>
      </x:c>
      <x:c r="J3091" s="24" t="n">
        <x:v>2</x:v>
      </x:c>
      <x:c r="K3091" s="26" t="n">
        <x:v>0.2</x:v>
      </x:c>
      <x:c r="L3091" s="22" t="n">
        <x:v>15.997999999999987</x:v>
      </x:c>
      <x:c r="M3091" t="n">
        <x:v>2017</x:v>
      </x:c>
      <x:c r="N3091" s="20" t="n">
        <x:v>42767</x:v>
      </x:c>
    </x:row>
    <x:row r="3092" ht="18" customHeight="1">
      <x:c r="A3092" t="str">
        <x:v>CA-2017-118773</x:v>
      </x:c>
      <x:c r="B3092" s="18" t="n">
        <x:v>42775</x:v>
      </x:c>
      <x:c r="C3092" t="str">
        <x:v>TP-21415</x:v>
      </x:c>
      <x:c r="D3092" t="str">
        <x:v>Tom Prescott</x:v>
      </x:c>
      <x:c r="E3092" t="str">
        <x:v>Consumer</x:v>
      </x:c>
      <x:c r="F3092" t="str">
        <x:v>Central</x:v>
      </x:c>
      <x:c r="G3092" t="str">
        <x:v>Furniture</x:v>
      </x:c>
      <x:c r="H3092" t="str">
        <x:v>Furnishings</x:v>
      </x:c>
      <x:c r="I3092" s="22" t="n">
        <x:v>3.9840000000000004</x:v>
      </x:c>
      <x:c r="J3092" s="24" t="n">
        <x:v>2</x:v>
      </x:c>
      <x:c r="K3092" s="26" t="n">
        <x:v>0.6</x:v>
      </x:c>
      <x:c r="L3092" s="22" t="n">
        <x:v>-2.6892000000000005</x:v>
      </x:c>
      <x:c r="M3092" t="n">
        <x:v>2017</x:v>
      </x:c>
      <x:c r="N3092" s="20" t="n">
        <x:v>42767</x:v>
      </x:c>
    </x:row>
    <x:row r="3093" ht="18" customHeight="1">
      <x:c r="A3093" t="str">
        <x:v>CA-2017-118773</x:v>
      </x:c>
      <x:c r="B3093" s="18" t="n">
        <x:v>42775</x:v>
      </x:c>
      <x:c r="C3093" t="str">
        <x:v>TP-21415</x:v>
      </x:c>
      <x:c r="D3093" t="str">
        <x:v>Tom Prescott</x:v>
      </x:c>
      <x:c r="E3093" t="str">
        <x:v>Consumer</x:v>
      </x:c>
      <x:c r="F3093" t="str">
        <x:v>Central</x:v>
      </x:c>
      <x:c r="G3093" t="str">
        <x:v>Office Supplies</x:v>
      </x:c>
      <x:c r="H3093" t="str">
        <x:v>Appliances</x:v>
      </x:c>
      <x:c r="I3093" s="22" t="n">
        <x:v>12.991999999999996</x:v>
      </x:c>
      <x:c r="J3093" s="24" t="n">
        <x:v>2</x:v>
      </x:c>
      <x:c r="K3093" s="26" t="n">
        <x:v>0.8</x:v>
      </x:c>
      <x:c r="L3093" s="22" t="n">
        <x:v>-32.480000000000004</x:v>
      </x:c>
      <x:c r="M3093" t="n">
        <x:v>2017</x:v>
      </x:c>
      <x:c r="N3093" s="20" t="n">
        <x:v>42767</x:v>
      </x:c>
    </x:row>
    <x:row r="3094" ht="18" customHeight="1">
      <x:c r="A3094" t="str">
        <x:v>US-2017-159205</x:v>
      </x:c>
      <x:c r="B3094" s="18" t="n">
        <x:v>42825</x:v>
      </x:c>
      <x:c r="C3094" t="str">
        <x:v>DB-12910</x:v>
      </x:c>
      <x:c r="D3094" t="str">
        <x:v>Daniel Byrd</x:v>
      </x:c>
      <x:c r="E3094" t="str">
        <x:v>Home Office</x:v>
      </x:c>
      <x:c r="F3094" t="str">
        <x:v>South</x:v>
      </x:c>
      <x:c r="G3094" t="str">
        <x:v>Furniture</x:v>
      </x:c>
      <x:c r="H3094" t="str">
        <x:v>Furnishings</x:v>
      </x:c>
      <x:c r="I3094" s="22" t="n">
        <x:v>61</x:v>
      </x:c>
      <x:c r="J3094" s="24" t="n">
        <x:v>5</x:v>
      </x:c>
      <x:c r="K3094" s="26" t="n">
        <x:v>0</x:v>
      </x:c>
      <x:c r="L3094" s="22" t="n">
        <x:v>25.620000000000005</x:v>
      </x:c>
      <x:c r="M3094" t="n">
        <x:v>2017</x:v>
      </x:c>
      <x:c r="N3094" s="20" t="n">
        <x:v>42795</x:v>
      </x:c>
    </x:row>
    <x:row r="3095" ht="18" customHeight="1">
      <x:c r="A3095" t="str">
        <x:v>US-2017-159205</x:v>
      </x:c>
      <x:c r="B3095" s="18" t="n">
        <x:v>42825</x:v>
      </x:c>
      <x:c r="C3095" t="str">
        <x:v>DB-12910</x:v>
      </x:c>
      <x:c r="D3095" t="str">
        <x:v>Daniel Byrd</x:v>
      </x:c>
      <x:c r="E3095" t="str">
        <x:v>Home Office</x:v>
      </x:c>
      <x:c r="F3095" t="str">
        <x:v>South</x:v>
      </x:c>
      <x:c r="G3095" t="str">
        <x:v>Technology</x:v>
      </x:c>
      <x:c r="H3095" t="str">
        <x:v>Phones</x:v>
      </x:c>
      <x:c r="I3095" s="22" t="n">
        <x:v>671.93</x:v>
      </x:c>
      <x:c r="J3095" s="24" t="n">
        <x:v>7</x:v>
      </x:c>
      <x:c r="K3095" s="26" t="n">
        <x:v>0</x:v>
      </x:c>
      <x:c r="L3095" s="22" t="n">
        <x:v>188.1404</x:v>
      </x:c>
      <x:c r="M3095" t="n">
        <x:v>2017</x:v>
      </x:c>
      <x:c r="N3095" s="20" t="n">
        <x:v>42795</x:v>
      </x:c>
    </x:row>
    <x:row r="3096" ht="18" customHeight="1">
      <x:c r="A3096" t="str">
        <x:v>CA-2016-112123</x:v>
      </x:c>
      <x:c r="B3096" s="18" t="n">
        <x:v>42432</x:v>
      </x:c>
      <x:c r="C3096" t="str">
        <x:v>BH-11710</x:v>
      </x:c>
      <x:c r="D3096" t="str">
        <x:v>Brosina Hoffman</x:v>
      </x:c>
      <x:c r="E3096" t="str">
        <x:v>Consumer</x:v>
      </x:c>
      <x:c r="F3096" t="str">
        <x:v>East</x:v>
      </x:c>
      <x:c r="G3096" t="str">
        <x:v>Office Supplies</x:v>
      </x:c>
      <x:c r="H3096" t="str">
        <x:v>Binders</x:v>
      </x:c>
      <x:c r="I3096" s="22" t="n">
        <x:v>447.85999999999996</x:v>
      </x:c>
      <x:c r="J3096" s="24" t="n">
        <x:v>7</x:v>
      </x:c>
      <x:c r="K3096" s="26" t="n">
        <x:v>0</x:v>
      </x:c>
      <x:c r="L3096" s="22" t="n">
        <x:v>219.4514</x:v>
      </x:c>
      <x:c r="M3096" t="n">
        <x:v>2016</x:v>
      </x:c>
      <x:c r="N3096" s="20" t="n">
        <x:v>42430</x:v>
      </x:c>
    </x:row>
    <x:row r="3097" ht="18" customHeight="1">
      <x:c r="A3097" t="str">
        <x:v>CA-2016-112123</x:v>
      </x:c>
      <x:c r="B3097" s="18" t="n">
        <x:v>42432</x:v>
      </x:c>
      <x:c r="C3097" t="str">
        <x:v>BH-11710</x:v>
      </x:c>
      <x:c r="D3097" t="str">
        <x:v>Brosina Hoffman</x:v>
      </x:c>
      <x:c r="E3097" t="str">
        <x:v>Consumer</x:v>
      </x:c>
      <x:c r="F3097" t="str">
        <x:v>East</x:v>
      </x:c>
      <x:c r="G3097" t="str">
        <x:v>Technology</x:v>
      </x:c>
      <x:c r="H3097" t="str">
        <x:v>Phones</x:v>
      </x:c>
      <x:c r="I3097" s="22" t="n">
        <x:v>479.95</x:v>
      </x:c>
      <x:c r="J3097" s="24" t="n">
        <x:v>5</x:v>
      </x:c>
      <x:c r="K3097" s="26" t="n">
        <x:v>0</x:v>
      </x:c>
      <x:c r="L3097" s="22" t="n">
        <x:v>129.5865</x:v>
      </x:c>
      <x:c r="M3097" t="n">
        <x:v>2016</x:v>
      </x:c>
      <x:c r="N3097" s="20" t="n">
        <x:v>42430</x:v>
      </x:c>
    </x:row>
    <x:row r="3098" ht="18" customHeight="1">
      <x:c r="A3098" t="str">
        <x:v>CA-2016-112123</x:v>
      </x:c>
      <x:c r="B3098" s="18" t="n">
        <x:v>42432</x:v>
      </x:c>
      <x:c r="C3098" t="str">
        <x:v>BH-11710</x:v>
      </x:c>
      <x:c r="D3098" t="str">
        <x:v>Brosina Hoffman</x:v>
      </x:c>
      <x:c r="E3098" t="str">
        <x:v>Consumer</x:v>
      </x:c>
      <x:c r="F3098" t="str">
        <x:v>East</x:v>
      </x:c>
      <x:c r="G3098" t="str">
        <x:v>Office Supplies</x:v>
      </x:c>
      <x:c r="H3098" t="str">
        <x:v>Paper</x:v>
      </x:c>
      <x:c r="I3098" s="22" t="n">
        <x:v>166.44</x:v>
      </x:c>
      <x:c r="J3098" s="24" t="n">
        <x:v>3</x:v>
      </x:c>
      <x:c r="K3098" s="26" t="n">
        <x:v>0</x:v>
      </x:c>
      <x:c r="L3098" s="22" t="n">
        <x:v>79.8912</x:v>
      </x:c>
      <x:c r="M3098" t="n">
        <x:v>2016</x:v>
      </x:c>
      <x:c r="N3098" s="20" t="n">
        <x:v>42430</x:v>
      </x:c>
    </x:row>
    <x:row r="3099" ht="18" customHeight="1">
      <x:c r="A3099" t="str">
        <x:v>CA-2015-114468</x:v>
      </x:c>
      <x:c r="B3099" s="18" t="n">
        <x:v>42239</x:v>
      </x:c>
      <x:c r="C3099" t="str">
        <x:v>TD-20995</x:v>
      </x:c>
      <x:c r="D3099" t="str">
        <x:v>Tamara Dahlen</x:v>
      </x:c>
      <x:c r="E3099" t="str">
        <x:v>Consumer</x:v>
      </x:c>
      <x:c r="F3099" t="str">
        <x:v>Central</x:v>
      </x:c>
      <x:c r="G3099" t="str">
        <x:v>Office Supplies</x:v>
      </x:c>
      <x:c r="H3099" t="str">
        <x:v>Supplies</x:v>
      </x:c>
      <x:c r="I3099" s="22" t="n">
        <x:v>31.680000000000003</x:v>
      </x:c>
      <x:c r="J3099" s="24" t="n">
        <x:v>4</x:v>
      </x:c>
      <x:c r="K3099" s="26" t="n">
        <x:v>0.2</x:v>
      </x:c>
      <x:c r="L3099" s="22" t="n">
        <x:v>2.7719999999999994</x:v>
      </x:c>
      <x:c r="M3099" t="n">
        <x:v>2015</x:v>
      </x:c>
      <x:c r="N3099" s="20" t="n">
        <x:v>42217</x:v>
      </x:c>
    </x:row>
    <x:row r="3100" ht="18" customHeight="1">
      <x:c r="A3100" t="str">
        <x:v>CA-2015-114468</x:v>
      </x:c>
      <x:c r="B3100" s="18" t="n">
        <x:v>42239</x:v>
      </x:c>
      <x:c r="C3100" t="str">
        <x:v>TD-20995</x:v>
      </x:c>
      <x:c r="D3100" t="str">
        <x:v>Tamara Dahlen</x:v>
      </x:c>
      <x:c r="E3100" t="str">
        <x:v>Consumer</x:v>
      </x:c>
      <x:c r="F3100" t="str">
        <x:v>Central</x:v>
      </x:c>
      <x:c r="G3100" t="str">
        <x:v>Office Supplies</x:v>
      </x:c>
      <x:c r="H3100" t="str">
        <x:v>Paper</x:v>
      </x:c>
      <x:c r="I3100" s="22" t="n">
        <x:v>10.368000000000002</x:v>
      </x:c>
      <x:c r="J3100" s="24" t="n">
        <x:v>2</x:v>
      </x:c>
      <x:c r="K3100" s="26" t="n">
        <x:v>0.2</x:v>
      </x:c>
      <x:c r="L3100" s="22" t="n">
        <x:v>3.6288</x:v>
      </x:c>
      <x:c r="M3100" t="n">
        <x:v>2015</x:v>
      </x:c>
      <x:c r="N3100" s="20" t="n">
        <x:v>42217</x:v>
      </x:c>
    </x:row>
    <x:row r="3101" ht="18" customHeight="1">
      <x:c r="A3101" t="str">
        <x:v>CA-2015-114468</x:v>
      </x:c>
      <x:c r="B3101" s="18" t="n">
        <x:v>42239</x:v>
      </x:c>
      <x:c r="C3101" t="str">
        <x:v>TD-20995</x:v>
      </x:c>
      <x:c r="D3101" t="str">
        <x:v>Tamara Dahlen</x:v>
      </x:c>
      <x:c r="E3101" t="str">
        <x:v>Consumer</x:v>
      </x:c>
      <x:c r="F3101" t="str">
        <x:v>Central</x:v>
      </x:c>
      <x:c r="G3101" t="str">
        <x:v>Office Supplies</x:v>
      </x:c>
      <x:c r="H3101" t="str">
        <x:v>Fasteners</x:v>
      </x:c>
      <x:c r="I3101" s="22" t="n">
        <x:v>12.032</x:v>
      </x:c>
      <x:c r="J3101" s="24" t="n">
        <x:v>8</x:v>
      </x:c>
      <x:c r="K3101" s="26" t="n">
        <x:v>0.2</x:v>
      </x:c>
      <x:c r="L3101" s="22" t="n">
        <x:v>2.2559999999999993</x:v>
      </x:c>
      <x:c r="M3101" t="n">
        <x:v>2015</x:v>
      </x:c>
      <x:c r="N3101" s="20" t="n">
        <x:v>42217</x:v>
      </x:c>
    </x:row>
    <x:row r="3102" ht="18" customHeight="1">
      <x:c r="A3102" t="str">
        <x:v>CA-2015-114468</x:v>
      </x:c>
      <x:c r="B3102" s="18" t="n">
        <x:v>42239</x:v>
      </x:c>
      <x:c r="C3102" t="str">
        <x:v>TD-20995</x:v>
      </x:c>
      <x:c r="D3102" t="str">
        <x:v>Tamara Dahlen</x:v>
      </x:c>
      <x:c r="E3102" t="str">
        <x:v>Consumer</x:v>
      </x:c>
      <x:c r="F3102" t="str">
        <x:v>Central</x:v>
      </x:c>
      <x:c r="G3102" t="str">
        <x:v>Office Supplies</x:v>
      </x:c>
      <x:c r="H3102" t="str">
        <x:v>Appliances</x:v>
      </x:c>
      <x:c r="I3102" s="22" t="n">
        <x:v>5.767999999999999</x:v>
      </x:c>
      <x:c r="J3102" s="24" t="n">
        <x:v>2</x:v>
      </x:c>
      <x:c r="K3102" s="26" t="n">
        <x:v>0.8</x:v>
      </x:c>
      <x:c r="L3102" s="22" t="n">
        <x:v>-13.554800000000004</x:v>
      </x:c>
      <x:c r="M3102" t="n">
        <x:v>2015</x:v>
      </x:c>
      <x:c r="N3102" s="20" t="n">
        <x:v>42217</x:v>
      </x:c>
    </x:row>
    <x:row r="3103" ht="18" customHeight="1">
      <x:c r="A3103" t="str">
        <x:v>CA-2017-135692</x:v>
      </x:c>
      <x:c r="B3103" s="18" t="n">
        <x:v>42852</x:v>
      </x:c>
      <x:c r="C3103" t="str">
        <x:v>CV-12805</x:v>
      </x:c>
      <x:c r="D3103" t="str">
        <x:v>Cynthia Voltz</x:v>
      </x:c>
      <x:c r="E3103" t="str">
        <x:v>Corporate</x:v>
      </x:c>
      <x:c r="F3103" t="str">
        <x:v>Central</x:v>
      </x:c>
      <x:c r="G3103" t="str">
        <x:v>Office Supplies</x:v>
      </x:c>
      <x:c r="H3103" t="str">
        <x:v>Labels</x:v>
      </x:c>
      <x:c r="I3103" s="22" t="n">
        <x:v>33.12</x:v>
      </x:c>
      <x:c r="J3103" s="24" t="n">
        <x:v>4</x:v>
      </x:c>
      <x:c r="K3103" s="26" t="n">
        <x:v>0.2</x:v>
      </x:c>
      <x:c r="L3103" s="22" t="n">
        <x:v>11.592</x:v>
      </x:c>
      <x:c r="M3103" t="n">
        <x:v>2017</x:v>
      </x:c>
      <x:c r="N3103" s="20" t="n">
        <x:v>42826</x:v>
      </x:c>
    </x:row>
    <x:row r="3104" ht="18" customHeight="1">
      <x:c r="A3104" t="str">
        <x:v>CA-2017-135692</x:v>
      </x:c>
      <x:c r="B3104" s="18" t="n">
        <x:v>42852</x:v>
      </x:c>
      <x:c r="C3104" t="str">
        <x:v>CV-12805</x:v>
      </x:c>
      <x:c r="D3104" t="str">
        <x:v>Cynthia Voltz</x:v>
      </x:c>
      <x:c r="E3104" t="str">
        <x:v>Corporate</x:v>
      </x:c>
      <x:c r="F3104" t="str">
        <x:v>Central</x:v>
      </x:c>
      <x:c r="G3104" t="str">
        <x:v>Furniture</x:v>
      </x:c>
      <x:c r="H3104" t="str">
        <x:v>Bookcases</x:v>
      </x:c>
      <x:c r="I3104" s="22" t="n">
        <x:v>220.26559999999998</x:v>
      </x:c>
      <x:c r="J3104" s="24" t="n">
        <x:v>4</x:v>
      </x:c>
      <x:c r="K3104" s="26" t="n">
        <x:v>0.32</x:v>
      </x:c>
      <x:c r="L3104" s="22" t="n">
        <x:v>-42.1096</x:v>
      </x:c>
      <x:c r="M3104" t="n">
        <x:v>2017</x:v>
      </x:c>
      <x:c r="N3104" s="20" t="n">
        <x:v>42826</x:v>
      </x:c>
    </x:row>
    <x:row r="3105" ht="18" customHeight="1">
      <x:c r="A3105" t="str">
        <x:v>CA-2017-131233</x:v>
      </x:c>
      <x:c r="B3105" s="18" t="n">
        <x:v>42839</x:v>
      </x:c>
      <x:c r="C3105" t="str">
        <x:v>CS-12355</x:v>
      </x:c>
      <x:c r="D3105" t="str">
        <x:v>Christine Sundaresam</x:v>
      </x:c>
      <x:c r="E3105" t="str">
        <x:v>Consumer</x:v>
      </x:c>
      <x:c r="F3105" t="str">
        <x:v>East</x:v>
      </x:c>
      <x:c r="G3105" t="str">
        <x:v>Office Supplies</x:v>
      </x:c>
      <x:c r="H3105" t="str">
        <x:v>Binders</x:v>
      </x:c>
      <x:c r="I3105" s="22" t="n">
        <x:v>10.776000000000002</x:v>
      </x:c>
      <x:c r="J3105" s="24" t="n">
        <x:v>3</x:v>
      </x:c>
      <x:c r="K3105" s="26" t="n">
        <x:v>0.2</x:v>
      </x:c>
      <x:c r="L3105" s="22" t="n">
        <x:v>3.502199999999999</x:v>
      </x:c>
      <x:c r="M3105" t="n">
        <x:v>2017</x:v>
      </x:c>
      <x:c r="N3105" s="20" t="n">
        <x:v>42826</x:v>
      </x:c>
    </x:row>
    <x:row r="3106" ht="18" customHeight="1">
      <x:c r="A3106" t="str">
        <x:v>CA-2017-131233</x:v>
      </x:c>
      <x:c r="B3106" s="18" t="n">
        <x:v>42839</x:v>
      </x:c>
      <x:c r="C3106" t="str">
        <x:v>CS-12355</x:v>
      </x:c>
      <x:c r="D3106" t="str">
        <x:v>Christine Sundaresam</x:v>
      </x:c>
      <x:c r="E3106" t="str">
        <x:v>Consumer</x:v>
      </x:c>
      <x:c r="F3106" t="str">
        <x:v>East</x:v>
      </x:c>
      <x:c r="G3106" t="str">
        <x:v>Furniture</x:v>
      </x:c>
      <x:c r="H3106" t="str">
        <x:v>Bookcases</x:v>
      </x:c>
      <x:c r="I3106" s="22" t="n">
        <x:v>242.35200000000003</x:v>
      </x:c>
      <x:c r="J3106" s="24" t="n">
        <x:v>3</x:v>
      </x:c>
      <x:c r="K3106" s="26" t="n">
        <x:v>0.2</x:v>
      </x:c>
      <x:c r="L3106" s="22" t="n">
        <x:v>9.088199999999972</x:v>
      </x:c>
      <x:c r="M3106" t="n">
        <x:v>2017</x:v>
      </x:c>
      <x:c r="N3106" s="20" t="n">
        <x:v>42826</x:v>
      </x:c>
    </x:row>
    <x:row r="3107" ht="18" customHeight="1">
      <x:c r="A3107" t="str">
        <x:v>CA-2017-119578</x:v>
      </x:c>
      <x:c r="B3107" s="18" t="n">
        <x:v>43091</x:v>
      </x:c>
      <x:c r="C3107" t="str">
        <x:v>JG-15310</x:v>
      </x:c>
      <x:c r="D3107" t="str">
        <x:v>Jason Gross</x:v>
      </x:c>
      <x:c r="E3107" t="str">
        <x:v>Corporate</x:v>
      </x:c>
      <x:c r="F3107" t="str">
        <x:v>East</x:v>
      </x:c>
      <x:c r="G3107" t="str">
        <x:v>Office Supplies</x:v>
      </x:c>
      <x:c r="H3107" t="str">
        <x:v>Supplies</x:v>
      </x:c>
      <x:c r="I3107" s="22" t="n">
        <x:v>695.16</x:v>
      </x:c>
      <x:c r="J3107" s="24" t="n">
        <x:v>6</x:v>
      </x:c>
      <x:c r="K3107" s="26" t="n">
        <x:v>0</x:v>
      </x:c>
      <x:c r="L3107" s="22" t="n">
        <x:v>34.75799999999995</x:v>
      </x:c>
      <x:c r="M3107" t="n">
        <x:v>2017</x:v>
      </x:c>
      <x:c r="N3107" s="20" t="n">
        <x:v>43070</x:v>
      </x:c>
    </x:row>
    <x:row r="3108" ht="18" customHeight="1">
      <x:c r="A3108" t="str">
        <x:v>CA-2017-119578</x:v>
      </x:c>
      <x:c r="B3108" s="18" t="n">
        <x:v>43091</x:v>
      </x:c>
      <x:c r="C3108" t="str">
        <x:v>JG-15310</x:v>
      </x:c>
      <x:c r="D3108" t="str">
        <x:v>Jason Gross</x:v>
      </x:c>
      <x:c r="E3108" t="str">
        <x:v>Corporate</x:v>
      </x:c>
      <x:c r="F3108" t="str">
        <x:v>East</x:v>
      </x:c>
      <x:c r="G3108" t="str">
        <x:v>Furniture</x:v>
      </x:c>
      <x:c r="H3108" t="str">
        <x:v>Bookcases</x:v>
      </x:c>
      <x:c r="I3108" s="22" t="n">
        <x:v>220.98</x:v>
      </x:c>
      <x:c r="J3108" s="24" t="n">
        <x:v>1</x:v>
      </x:c>
      <x:c r="K3108" s="26" t="n">
        <x:v>0</x:v>
      </x:c>
      <x:c r="L3108" s="22" t="n">
        <x:v>50.8254</x:v>
      </x:c>
      <x:c r="M3108" t="n">
        <x:v>2017</x:v>
      </x:c>
      <x:c r="N3108" s="20" t="n">
        <x:v>43070</x:v>
      </x:c>
    </x:row>
    <x:row r="3109" ht="18" customHeight="1">
      <x:c r="A3109" t="str">
        <x:v>CA-2016-124562</x:v>
      </x:c>
      <x:c r="B3109" s="18" t="n">
        <x:v>42712</x:v>
      </x:c>
      <x:c r="C3109" t="str">
        <x:v>JP-16135</x:v>
      </x:c>
      <x:c r="D3109" t="str">
        <x:v>Julie Prescott</x:v>
      </x:c>
      <x:c r="E3109" t="str">
        <x:v>Home Office</x:v>
      </x:c>
      <x:c r="F3109" t="str">
        <x:v>East</x:v>
      </x:c>
      <x:c r="G3109" t="str">
        <x:v>Office Supplies</x:v>
      </x:c>
      <x:c r="H3109" t="str">
        <x:v>Binders</x:v>
      </x:c>
      <x:c r="I3109" s="22" t="n">
        <x:v>12.957</x:v>
      </x:c>
      <x:c r="J3109" s="24" t="n">
        <x:v>7</x:v>
      </x:c>
      <x:c r="K3109" s="26" t="n">
        <x:v>0.7</x:v>
      </x:c>
      <x:c r="L3109" s="22" t="n">
        <x:v>-9.501800000000003</x:v>
      </x:c>
      <x:c r="M3109" t="n">
        <x:v>2016</x:v>
      </x:c>
      <x:c r="N3109" s="20" t="n">
        <x:v>42705</x:v>
      </x:c>
    </x:row>
    <x:row r="3110" ht="18" customHeight="1">
      <x:c r="A3110" t="str">
        <x:v>US-2017-140074</x:v>
      </x:c>
      <x:c r="B3110" s="18" t="n">
        <x:v>42817</x:v>
      </x:c>
      <x:c r="C3110" t="str">
        <x:v>EC-14050</x:v>
      </x:c>
      <x:c r="D3110" t="str">
        <x:v>Erin Creighton</x:v>
      </x:c>
      <x:c r="E3110" t="str">
        <x:v>Consumer</x:v>
      </x:c>
      <x:c r="F3110" t="str">
        <x:v>East</x:v>
      </x:c>
      <x:c r="G3110" t="str">
        <x:v>Office Supplies</x:v>
      </x:c>
      <x:c r="H3110" t="str">
        <x:v>Paper</x:v>
      </x:c>
      <x:c r="I3110" s="22" t="n">
        <x:v>25.68</x:v>
      </x:c>
      <x:c r="J3110" s="24" t="n">
        <x:v>6</x:v>
      </x:c>
      <x:c r="K3110" s="26" t="n">
        <x:v>0</x:v>
      </x:c>
      <x:c r="L3110" s="22" t="n">
        <x:v>11.555999999999997</x:v>
      </x:c>
      <x:c r="M3110" t="n">
        <x:v>2017</x:v>
      </x:c>
      <x:c r="N3110" s="20" t="n">
        <x:v>42795</x:v>
      </x:c>
    </x:row>
    <x:row r="3111" ht="18" customHeight="1">
      <x:c r="A3111" t="str">
        <x:v>CA-2016-103037</x:v>
      </x:c>
      <x:c r="B3111" s="18" t="n">
        <x:v>42576</x:v>
      </x:c>
      <x:c r="C3111" t="str">
        <x:v>KH-16630</x:v>
      </x:c>
      <x:c r="D3111" t="str">
        <x:v>Ken Heidel</x:v>
      </x:c>
      <x:c r="E3111" t="str">
        <x:v>Corporate</x:v>
      </x:c>
      <x:c r="F3111" t="str">
        <x:v>Central</x:v>
      </x:c>
      <x:c r="G3111" t="str">
        <x:v>Office Supplies</x:v>
      </x:c>
      <x:c r="H3111" t="str">
        <x:v>Labels</x:v>
      </x:c>
      <x:c r="I3111" s="22" t="n">
        <x:v>15.712000000000002</x:v>
      </x:c>
      <x:c r="J3111" s="24" t="n">
        <x:v>4</x:v>
      </x:c>
      <x:c r="K3111" s="26" t="n">
        <x:v>0.2</x:v>
      </x:c>
      <x:c r="L3111" s="22" t="n">
        <x:v>5.695599999999999</x:v>
      </x:c>
      <x:c r="M3111" t="n">
        <x:v>2016</x:v>
      </x:c>
      <x:c r="N3111" s="20" t="n">
        <x:v>42552</x:v>
      </x:c>
    </x:row>
    <x:row r="3112" ht="18" customHeight="1">
      <x:c r="A3112" t="str">
        <x:v>CA-2017-127460</x:v>
      </x:c>
      <x:c r="B3112" s="18" t="n">
        <x:v>42926</x:v>
      </x:c>
      <x:c r="C3112" t="str">
        <x:v>FG-14260</x:v>
      </x:c>
      <x:c r="D3112" t="str">
        <x:v>Frank Gastineau</x:v>
      </x:c>
      <x:c r="E3112" t="str">
        <x:v>Home Office</x:v>
      </x:c>
      <x:c r="F3112" t="str">
        <x:v>Central</x:v>
      </x:c>
      <x:c r="G3112" t="str">
        <x:v>Office Supplies</x:v>
      </x:c>
      <x:c r="H3112" t="str">
        <x:v>Storage</x:v>
      </x:c>
      <x:c r="I3112" s="22" t="n">
        <x:v>298.464</x:v>
      </x:c>
      <x:c r="J3112" s="24" t="n">
        <x:v>6</x:v>
      </x:c>
      <x:c r="K3112" s="26" t="n">
        <x:v>0.2</x:v>
      </x:c>
      <x:c r="L3112" s="22" t="n">
        <x:v>26.115600000000015</x:v>
      </x:c>
      <x:c r="M3112" t="n">
        <x:v>2017</x:v>
      </x:c>
      <x:c r="N3112" s="20" t="n">
        <x:v>42917</x:v>
      </x:c>
    </x:row>
    <x:row r="3113" ht="18" customHeight="1">
      <x:c r="A3113" t="str">
        <x:v>CA-2016-121671</x:v>
      </x:c>
      <x:c r="B3113" s="18" t="n">
        <x:v>42568</x:v>
      </x:c>
      <x:c r="C3113" t="str">
        <x:v>AA-10480</x:v>
      </x:c>
      <x:c r="D3113" t="str">
        <x:v>Andrew Allen</x:v>
      </x:c>
      <x:c r="E3113" t="str">
        <x:v>Consumer</x:v>
      </x:c>
      <x:c r="F3113" t="str">
        <x:v>Central</x:v>
      </x:c>
      <x:c r="G3113" t="str">
        <x:v>Office Supplies</x:v>
      </x:c>
      <x:c r="H3113" t="str">
        <x:v>Paper</x:v>
      </x:c>
      <x:c r="I3113" s="22" t="n">
        <x:v>21.93</x:v>
      </x:c>
      <x:c r="J3113" s="24" t="n">
        <x:v>3</x:v>
      </x:c>
      <x:c r="K3113" s="26" t="n">
        <x:v>0</x:v>
      </x:c>
      <x:c r="L3113" s="22" t="n">
        <x:v>10.087799999999998</x:v>
      </x:c>
      <x:c r="M3113" t="n">
        <x:v>2016</x:v>
      </x:c>
      <x:c r="N3113" s="20" t="n">
        <x:v>42552</x:v>
      </x:c>
    </x:row>
    <x:row r="3114" ht="18" customHeight="1">
      <x:c r="A3114" t="str">
        <x:v>CA-2016-121671</x:v>
      </x:c>
      <x:c r="B3114" s="18" t="n">
        <x:v>42568</x:v>
      </x:c>
      <x:c r="C3114" t="str">
        <x:v>AA-10480</x:v>
      </x:c>
      <x:c r="D3114" t="str">
        <x:v>Andrew Allen</x:v>
      </x:c>
      <x:c r="E3114" t="str">
        <x:v>Consumer</x:v>
      </x:c>
      <x:c r="F3114" t="str">
        <x:v>Central</x:v>
      </x:c>
      <x:c r="G3114" t="str">
        <x:v>Office Supplies</x:v>
      </x:c>
      <x:c r="H3114" t="str">
        <x:v>Storage</x:v>
      </x:c>
      <x:c r="I3114" s="22" t="n">
        <x:v>242.94</x:v>
      </x:c>
      <x:c r="J3114" s="24" t="n">
        <x:v>3</x:v>
      </x:c>
      <x:c r="K3114" s="26" t="n">
        <x:v>0</x:v>
      </x:c>
      <x:c r="L3114" s="22" t="n">
        <x:v>4.858800000000016</x:v>
      </x:c>
      <x:c r="M3114" t="n">
        <x:v>2016</x:v>
      </x:c>
      <x:c r="N3114" s="20" t="n">
        <x:v>42552</x:v>
      </x:c>
    </x:row>
    <x:row r="3115" ht="18" customHeight="1">
      <x:c r="A3115" t="str">
        <x:v>CA-2016-121671</x:v>
      </x:c>
      <x:c r="B3115" s="18" t="n">
        <x:v>42568</x:v>
      </x:c>
      <x:c r="C3115" t="str">
        <x:v>AA-10480</x:v>
      </x:c>
      <x:c r="D3115" t="str">
        <x:v>Andrew Allen</x:v>
      </x:c>
      <x:c r="E3115" t="str">
        <x:v>Consumer</x:v>
      </x:c>
      <x:c r="F3115" t="str">
        <x:v>Central</x:v>
      </x:c>
      <x:c r="G3115" t="str">
        <x:v>Office Supplies</x:v>
      </x:c>
      <x:c r="H3115" t="str">
        <x:v>Paper</x:v>
      </x:c>
      <x:c r="I3115" s="22" t="n">
        <x:v>7.64</x:v>
      </x:c>
      <x:c r="J3115" s="24" t="n">
        <x:v>1</x:v>
      </x:c>
      <x:c r="K3115" s="26" t="n">
        <x:v>0</x:v>
      </x:c>
      <x:c r="L3115" s="22" t="n">
        <x:v>3.7436</x:v>
      </x:c>
      <x:c r="M3115" t="n">
        <x:v>2016</x:v>
      </x:c>
      <x:c r="N3115" s="20" t="n">
        <x:v>42552</x:v>
      </x:c>
    </x:row>
    <x:row r="3116" ht="18" customHeight="1">
      <x:c r="A3116" t="str">
        <x:v>CA-2016-121671</x:v>
      </x:c>
      <x:c r="B3116" s="18" t="n">
        <x:v>42568</x:v>
      </x:c>
      <x:c r="C3116" t="str">
        <x:v>AA-10480</x:v>
      </x:c>
      <x:c r="D3116" t="str">
        <x:v>Andrew Allen</x:v>
      </x:c>
      <x:c r="E3116" t="str">
        <x:v>Consumer</x:v>
      </x:c>
      <x:c r="F3116" t="str">
        <x:v>Central</x:v>
      </x:c>
      <x:c r="G3116" t="str">
        <x:v>Office Supplies</x:v>
      </x:c>
      <x:c r="H3116" t="str">
        <x:v>Paper</x:v>
      </x:c>
      <x:c r="I3116" s="22" t="n">
        <x:v>51.84</x:v>
      </x:c>
      <x:c r="J3116" s="24" t="n">
        <x:v>8</x:v>
      </x:c>
      <x:c r="K3116" s="26" t="n">
        <x:v>0</x:v>
      </x:c>
      <x:c r="L3116" s="22" t="n">
        <x:v>25.401600000000002</x:v>
      </x:c>
      <x:c r="M3116" t="n">
        <x:v>2016</x:v>
      </x:c>
      <x:c r="N3116" s="20" t="n">
        <x:v>42552</x:v>
      </x:c>
    </x:row>
    <x:row r="3117" ht="18" customHeight="1">
      <x:c r="A3117" t="str">
        <x:v>CA-2016-121671</x:v>
      </x:c>
      <x:c r="B3117" s="18" t="n">
        <x:v>42568</x:v>
      </x:c>
      <x:c r="C3117" t="str">
        <x:v>AA-10480</x:v>
      </x:c>
      <x:c r="D3117" t="str">
        <x:v>Andrew Allen</x:v>
      </x:c>
      <x:c r="E3117" t="str">
        <x:v>Consumer</x:v>
      </x:c>
      <x:c r="F3117" t="str">
        <x:v>Central</x:v>
      </x:c>
      <x:c r="G3117" t="str">
        <x:v>Office Supplies</x:v>
      </x:c>
      <x:c r="H3117" t="str">
        <x:v>Storage</x:v>
      </x:c>
      <x:c r="I3117" s="22" t="n">
        <x:v>265.17</x:v>
      </x:c>
      <x:c r="J3117" s="24" t="n">
        <x:v>1</x:v>
      </x:c>
      <x:c r="K3117" s="26" t="n">
        <x:v>0</x:v>
      </x:c>
      <x:c r="L3117" s="22" t="n">
        <x:v>47.73059999999998</x:v>
      </x:c>
      <x:c r="M3117" t="n">
        <x:v>2016</x:v>
      </x:c>
      <x:c r="N3117" s="20" t="n">
        <x:v>42552</x:v>
      </x:c>
    </x:row>
    <x:row r="3118" ht="18" customHeight="1">
      <x:c r="A3118" t="str">
        <x:v>CA-2016-150350</x:v>
      </x:c>
      <x:c r="B3118" s="18" t="n">
        <x:v>42605</x:v>
      </x:c>
      <x:c r="C3118" t="str">
        <x:v>MS-17770</x:v>
      </x:c>
      <x:c r="D3118" t="str">
        <x:v>Maxwell Schwartz</x:v>
      </x:c>
      <x:c r="E3118" t="str">
        <x:v>Consumer</x:v>
      </x:c>
      <x:c r="F3118" t="str">
        <x:v>West</x:v>
      </x:c>
      <x:c r="G3118" t="str">
        <x:v>Technology</x:v>
      </x:c>
      <x:c r="H3118" t="str">
        <x:v>Machines</x:v>
      </x:c>
      <x:c r="I3118" s="22" t="n">
        <x:v>837.5999999999999</x:v>
      </x:c>
      <x:c r="J3118" s="24" t="n">
        <x:v>3</x:v>
      </x:c>
      <x:c r="K3118" s="26" t="n">
        <x:v>0.2</x:v>
      </x:c>
      <x:c r="L3118" s="22" t="n">
        <x:v>62.82000000000005</x:v>
      </x:c>
      <x:c r="M3118" t="n">
        <x:v>2016</x:v>
      </x:c>
      <x:c r="N3118" s="20" t="n">
        <x:v>42583</x:v>
      </x:c>
    </x:row>
    <x:row r="3119" ht="18" customHeight="1">
      <x:c r="A3119" t="str">
        <x:v>CA-2016-150350</x:v>
      </x:c>
      <x:c r="B3119" s="18" t="n">
        <x:v>42605</x:v>
      </x:c>
      <x:c r="C3119" t="str">
        <x:v>MS-17770</x:v>
      </x:c>
      <x:c r="D3119" t="str">
        <x:v>Maxwell Schwartz</x:v>
      </x:c>
      <x:c r="E3119" t="str">
        <x:v>Consumer</x:v>
      </x:c>
      <x:c r="F3119" t="str">
        <x:v>West</x:v>
      </x:c>
      <x:c r="G3119" t="str">
        <x:v>Office Supplies</x:v>
      </x:c>
      <x:c r="H3119" t="str">
        <x:v>Envelopes</x:v>
      </x:c>
      <x:c r="I3119" s="22" t="n">
        <x:v>135.9</x:v>
      </x:c>
      <x:c r="J3119" s="24" t="n">
        <x:v>5</x:v>
      </x:c>
      <x:c r="K3119" s="26" t="n">
        <x:v>0</x:v>
      </x:c>
      <x:c r="L3119" s="22" t="n">
        <x:v>63.873</x:v>
      </x:c>
      <x:c r="M3119" t="n">
        <x:v>2016</x:v>
      </x:c>
      <x:c r="N3119" s="20" t="n">
        <x:v>42583</x:v>
      </x:c>
    </x:row>
    <x:row r="3120" ht="18" customHeight="1">
      <x:c r="A3120" t="str">
        <x:v>CA-2016-150350</x:v>
      </x:c>
      <x:c r="B3120" s="18" t="n">
        <x:v>42605</x:v>
      </x:c>
      <x:c r="C3120" t="str">
        <x:v>MS-17770</x:v>
      </x:c>
      <x:c r="D3120" t="str">
        <x:v>Maxwell Schwartz</x:v>
      </x:c>
      <x:c r="E3120" t="str">
        <x:v>Consumer</x:v>
      </x:c>
      <x:c r="F3120" t="str">
        <x:v>West</x:v>
      </x:c>
      <x:c r="G3120" t="str">
        <x:v>Office Supplies</x:v>
      </x:c>
      <x:c r="H3120" t="str">
        <x:v>Paper</x:v>
      </x:c>
      <x:c r="I3120" s="22" t="n">
        <x:v>34.68</x:v>
      </x:c>
      <x:c r="J3120" s="24" t="n">
        <x:v>6</x:v>
      </x:c>
      <x:c r="K3120" s="26" t="n">
        <x:v>0</x:v>
      </x:c>
      <x:c r="L3120" s="22" t="n">
        <x:v>16.9932</x:v>
      </x:c>
      <x:c r="M3120" t="n">
        <x:v>2016</x:v>
      </x:c>
      <x:c r="N3120" s="20" t="n">
        <x:v>42583</x:v>
      </x:c>
    </x:row>
    <x:row r="3121" ht="18" customHeight="1">
      <x:c r="A3121" t="str">
        <x:v>CA-2016-150350</x:v>
      </x:c>
      <x:c r="B3121" s="18" t="n">
        <x:v>42605</x:v>
      </x:c>
      <x:c r="C3121" t="str">
        <x:v>MS-17770</x:v>
      </x:c>
      <x:c r="D3121" t="str">
        <x:v>Maxwell Schwartz</x:v>
      </x:c>
      <x:c r="E3121" t="str">
        <x:v>Consumer</x:v>
      </x:c>
      <x:c r="F3121" t="str">
        <x:v>West</x:v>
      </x:c>
      <x:c r="G3121" t="str">
        <x:v>Furniture</x:v>
      </x:c>
      <x:c r="H3121" t="str">
        <x:v>Chairs</x:v>
      </x:c>
      <x:c r="I3121" s="22" t="n">
        <x:v>532.7040000000001</x:v>
      </x:c>
      <x:c r="J3121" s="24" t="n">
        <x:v>6</x:v>
      </x:c>
      <x:c r="K3121" s="26" t="n">
        <x:v>0.2</x:v>
      </x:c>
      <x:c r="L3121" s="22" t="n">
        <x:v>-39.952800000000025</x:v>
      </x:c>
      <x:c r="M3121" t="n">
        <x:v>2016</x:v>
      </x:c>
      <x:c r="N3121" s="20" t="n">
        <x:v>42583</x:v>
      </x:c>
    </x:row>
    <x:row r="3122" ht="18" customHeight="1">
      <x:c r="A3122" t="str">
        <x:v>CA-2016-150350</x:v>
      </x:c>
      <x:c r="B3122" s="18" t="n">
        <x:v>42605</x:v>
      </x:c>
      <x:c r="C3122" t="str">
        <x:v>MS-17770</x:v>
      </x:c>
      <x:c r="D3122" t="str">
        <x:v>Maxwell Schwartz</x:v>
      </x:c>
      <x:c r="E3122" t="str">
        <x:v>Consumer</x:v>
      </x:c>
      <x:c r="F3122" t="str">
        <x:v>West</x:v>
      </x:c>
      <x:c r="G3122" t="str">
        <x:v>Office Supplies</x:v>
      </x:c>
      <x:c r="H3122" t="str">
        <x:v>Appliances</x:v>
      </x:c>
      <x:c r="I3122" s="22" t="n">
        <x:v>43.099999999999994</x:v>
      </x:c>
      <x:c r="J3122" s="24" t="n">
        <x:v>5</x:v>
      </x:c>
      <x:c r="K3122" s="26" t="n">
        <x:v>0</x:v>
      </x:c>
      <x:c r="L3122" s="22" t="n">
        <x:v>11.206</x:v>
      </x:c>
      <x:c r="M3122" t="n">
        <x:v>2016</x:v>
      </x:c>
      <x:c r="N3122" s="20" t="n">
        <x:v>42583</x:v>
      </x:c>
    </x:row>
    <x:row r="3123" ht="18" customHeight="1">
      <x:c r="A3123" t="str">
        <x:v>CA-2016-150350</x:v>
      </x:c>
      <x:c r="B3123" s="18" t="n">
        <x:v>42605</x:v>
      </x:c>
      <x:c r="C3123" t="str">
        <x:v>MS-17770</x:v>
      </x:c>
      <x:c r="D3123" t="str">
        <x:v>Maxwell Schwartz</x:v>
      </x:c>
      <x:c r="E3123" t="str">
        <x:v>Consumer</x:v>
      </x:c>
      <x:c r="F3123" t="str">
        <x:v>West</x:v>
      </x:c>
      <x:c r="G3123" t="str">
        <x:v>Office Supplies</x:v>
      </x:c>
      <x:c r="H3123" t="str">
        <x:v>Supplies</x:v>
      </x:c>
      <x:c r="I3123" s="22" t="n">
        <x:v>15.88</x:v>
      </x:c>
      <x:c r="J3123" s="24" t="n">
        <x:v>4</x:v>
      </x:c>
      <x:c r="K3123" s="26" t="n">
        <x:v>0</x:v>
      </x:c>
      <x:c r="L3123" s="22" t="n">
        <x:v>0.15879999999999939</x:v>
      </x:c>
      <x:c r="M3123" t="n">
        <x:v>2016</x:v>
      </x:c>
      <x:c r="N3123" s="20" t="n">
        <x:v>42583</x:v>
      </x:c>
    </x:row>
    <x:row r="3124" ht="18" customHeight="1">
      <x:c r="A3124" t="str">
        <x:v>CA-2015-121720</x:v>
      </x:c>
      <x:c r="B3124" s="18" t="n">
        <x:v>42166</x:v>
      </x:c>
      <x:c r="C3124" t="str">
        <x:v>JE-15610</x:v>
      </x:c>
      <x:c r="D3124" t="str">
        <x:v>Jim Epp</x:v>
      </x:c>
      <x:c r="E3124" t="str">
        <x:v>Corporate</x:v>
      </x:c>
      <x:c r="F3124" t="str">
        <x:v>South</x:v>
      </x:c>
      <x:c r="G3124" t="str">
        <x:v>Furniture</x:v>
      </x:c>
      <x:c r="H3124" t="str">
        <x:v>Chairs</x:v>
      </x:c>
      <x:c r="I3124" s="22" t="n">
        <x:v>1123.92</x:v>
      </x:c>
      <x:c r="J3124" s="24" t="n">
        <x:v>5</x:v>
      </x:c>
      <x:c r="K3124" s="26" t="n">
        <x:v>0.2</x:v>
      </x:c>
      <x:c r="L3124" s="22" t="n">
        <x:v>-182.63700000000017</x:v>
      </x:c>
      <x:c r="M3124" t="n">
        <x:v>2015</x:v>
      </x:c>
      <x:c r="N3124" s="20" t="n">
        <x:v>42156</x:v>
      </x:c>
    </x:row>
    <x:row r="3125" ht="18" customHeight="1">
      <x:c r="A3125" t="str">
        <x:v>CA-2015-121720</x:v>
      </x:c>
      <x:c r="B3125" s="18" t="n">
        <x:v>42166</x:v>
      </x:c>
      <x:c r="C3125" t="str">
        <x:v>JE-15610</x:v>
      </x:c>
      <x:c r="D3125" t="str">
        <x:v>Jim Epp</x:v>
      </x:c>
      <x:c r="E3125" t="str">
        <x:v>Corporate</x:v>
      </x:c>
      <x:c r="F3125" t="str">
        <x:v>South</x:v>
      </x:c>
      <x:c r="G3125" t="str">
        <x:v>Technology</x:v>
      </x:c>
      <x:c r="H3125" t="str">
        <x:v>Phones</x:v>
      </x:c>
      <x:c r="I3125" s="22" t="n">
        <x:v>249.58400000000003</x:v>
      </x:c>
      <x:c r="J3125" s="24" t="n">
        <x:v>2</x:v>
      </x:c>
      <x:c r="K3125" s="26" t="n">
        <x:v>0.2</x:v>
      </x:c>
      <x:c r="L3125" s="22" t="n">
        <x:v>31.197999999999986</x:v>
      </x:c>
      <x:c r="M3125" t="n">
        <x:v>2015</x:v>
      </x:c>
      <x:c r="N3125" s="20" t="n">
        <x:v>42156</x:v>
      </x:c>
    </x:row>
    <x:row r="3126" ht="18" customHeight="1">
      <x:c r="A3126" t="str">
        <x:v>CA-2015-121720</x:v>
      </x:c>
      <x:c r="B3126" s="18" t="n">
        <x:v>42166</x:v>
      </x:c>
      <x:c r="C3126" t="str">
        <x:v>JE-15610</x:v>
      </x:c>
      <x:c r="D3126" t="str">
        <x:v>Jim Epp</x:v>
      </x:c>
      <x:c r="E3126" t="str">
        <x:v>Corporate</x:v>
      </x:c>
      <x:c r="F3126" t="str">
        <x:v>South</x:v>
      </x:c>
      <x:c r="G3126" t="str">
        <x:v>Furniture</x:v>
      </x:c>
      <x:c r="H3126" t="str">
        <x:v>Furnishings</x:v>
      </x:c>
      <x:c r="I3126" s="22" t="n">
        <x:v>48.672</x:v>
      </x:c>
      <x:c r="J3126" s="24" t="n">
        <x:v>3</x:v>
      </x:c>
      <x:c r="K3126" s="26" t="n">
        <x:v>0.2</x:v>
      </x:c>
      <x:c r="L3126" s="22" t="n">
        <x:v>7.300799999999999</x:v>
      </x:c>
      <x:c r="M3126" t="n">
        <x:v>2015</x:v>
      </x:c>
      <x:c r="N3126" s="20" t="n">
        <x:v>42156</x:v>
      </x:c>
    </x:row>
    <x:row r="3127" ht="18" customHeight="1">
      <x:c r="A3127" t="str">
        <x:v>CA-2015-121720</x:v>
      </x:c>
      <x:c r="B3127" s="18" t="n">
        <x:v>42166</x:v>
      </x:c>
      <x:c r="C3127" t="str">
        <x:v>JE-15610</x:v>
      </x:c>
      <x:c r="D3127" t="str">
        <x:v>Jim Epp</x:v>
      </x:c>
      <x:c r="E3127" t="str">
        <x:v>Corporate</x:v>
      </x:c>
      <x:c r="F3127" t="str">
        <x:v>South</x:v>
      </x:c>
      <x:c r="G3127" t="str">
        <x:v>Office Supplies</x:v>
      </x:c>
      <x:c r="H3127" t="str">
        <x:v>Art</x:v>
      </x:c>
      <x:c r="I3127" s="22" t="n">
        <x:v>60.768</x:v>
      </x:c>
      <x:c r="J3127" s="24" t="n">
        <x:v>2</x:v>
      </x:c>
      <x:c r="K3127" s="26" t="n">
        <x:v>0.2</x:v>
      </x:c>
      <x:c r="L3127" s="22" t="n">
        <x:v>7.595999999999989</x:v>
      </x:c>
      <x:c r="M3127" t="n">
        <x:v>2015</x:v>
      </x:c>
      <x:c r="N3127" s="20" t="n">
        <x:v>42156</x:v>
      </x:c>
    </x:row>
    <x:row r="3128" ht="18" customHeight="1">
      <x:c r="A3128" t="str">
        <x:v>CA-2015-121720</x:v>
      </x:c>
      <x:c r="B3128" s="18" t="n">
        <x:v>42166</x:v>
      </x:c>
      <x:c r="C3128" t="str">
        <x:v>JE-15610</x:v>
      </x:c>
      <x:c r="D3128" t="str">
        <x:v>Jim Epp</x:v>
      </x:c>
      <x:c r="E3128" t="str">
        <x:v>Corporate</x:v>
      </x:c>
      <x:c r="F3128" t="str">
        <x:v>South</x:v>
      </x:c>
      <x:c r="G3128" t="str">
        <x:v>Office Supplies</x:v>
      </x:c>
      <x:c r="H3128" t="str">
        <x:v>Binders</x:v>
      </x:c>
      <x:c r="I3128" s="22" t="n">
        <x:v>78.60000000000001</x:v>
      </x:c>
      <x:c r="J3128" s="24" t="n">
        <x:v>5</x:v>
      </x:c>
      <x:c r="K3128" s="26" t="n">
        <x:v>0.7</x:v>
      </x:c>
      <x:c r="L3128" s="22" t="n">
        <x:v>-62.88000000000001</x:v>
      </x:c>
      <x:c r="M3128" t="n">
        <x:v>2015</x:v>
      </x:c>
      <x:c r="N3128" s="20" t="n">
        <x:v>42156</x:v>
      </x:c>
    </x:row>
    <x:row r="3129" ht="18" customHeight="1">
      <x:c r="A3129" t="str">
        <x:v>CA-2015-121720</x:v>
      </x:c>
      <x:c r="B3129" s="18" t="n">
        <x:v>42166</x:v>
      </x:c>
      <x:c r="C3129" t="str">
        <x:v>JE-15610</x:v>
      </x:c>
      <x:c r="D3129" t="str">
        <x:v>Jim Epp</x:v>
      </x:c>
      <x:c r="E3129" t="str">
        <x:v>Corporate</x:v>
      </x:c>
      <x:c r="F3129" t="str">
        <x:v>South</x:v>
      </x:c>
      <x:c r="G3129" t="str">
        <x:v>Office Supplies</x:v>
      </x:c>
      <x:c r="H3129" t="str">
        <x:v>Binders</x:v>
      </x:c>
      <x:c r="I3129" s="22" t="n">
        <x:v>3.7680000000000007</x:v>
      </x:c>
      <x:c r="J3129" s="24" t="n">
        <x:v>2</x:v>
      </x:c>
      <x:c r="K3129" s="26" t="n">
        <x:v>0.7</x:v>
      </x:c>
      <x:c r="L3129" s="22" t="n">
        <x:v>-3.1400000000000006</x:v>
      </x:c>
      <x:c r="M3129" t="n">
        <x:v>2015</x:v>
      </x:c>
      <x:c r="N3129" s="20" t="n">
        <x:v>42156</x:v>
      </x:c>
    </x:row>
    <x:row r="3130" ht="18" customHeight="1">
      <x:c r="A3130" t="str">
        <x:v>CA-2015-121720</x:v>
      </x:c>
      <x:c r="B3130" s="18" t="n">
        <x:v>42166</x:v>
      </x:c>
      <x:c r="C3130" t="str">
        <x:v>JE-15610</x:v>
      </x:c>
      <x:c r="D3130" t="str">
        <x:v>Jim Epp</x:v>
      </x:c>
      <x:c r="E3130" t="str">
        <x:v>Corporate</x:v>
      </x:c>
      <x:c r="F3130" t="str">
        <x:v>South</x:v>
      </x:c>
      <x:c r="G3130" t="str">
        <x:v>Office Supplies</x:v>
      </x:c>
      <x:c r="H3130" t="str">
        <x:v>Storage</x:v>
      </x:c>
      <x:c r="I3130" s="22" t="n">
        <x:v>1036.624</x:v>
      </x:c>
      <x:c r="J3130" s="24" t="n">
        <x:v>2</x:v>
      </x:c>
      <x:c r="K3130" s="26" t="n">
        <x:v>0.2</x:v>
      </x:c>
      <x:c r="L3130" s="22" t="n">
        <x:v>51.831200000000024</x:v>
      </x:c>
      <x:c r="M3130" t="n">
        <x:v>2015</x:v>
      </x:c>
      <x:c r="N3130" s="20" t="n">
        <x:v>42156</x:v>
      </x:c>
    </x:row>
    <x:row r="3131" ht="18" customHeight="1">
      <x:c r="A3131" t="str">
        <x:v>CA-2015-121720</x:v>
      </x:c>
      <x:c r="B3131" s="18" t="n">
        <x:v>42166</x:v>
      </x:c>
      <x:c r="C3131" t="str">
        <x:v>JE-15610</x:v>
      </x:c>
      <x:c r="D3131" t="str">
        <x:v>Jim Epp</x:v>
      </x:c>
      <x:c r="E3131" t="str">
        <x:v>Corporate</x:v>
      </x:c>
      <x:c r="F3131" t="str">
        <x:v>South</x:v>
      </x:c>
      <x:c r="G3131" t="str">
        <x:v>Office Supplies</x:v>
      </x:c>
      <x:c r="H3131" t="str">
        <x:v>Storage</x:v>
      </x:c>
      <x:c r="I3131" s="22" t="n">
        <x:v>563.808</x:v>
      </x:c>
      <x:c r="J3131" s="24" t="n">
        <x:v>4</x:v>
      </x:c>
      <x:c r="K3131" s="26" t="n">
        <x:v>0.2</x:v>
      </x:c>
      <x:c r="L3131" s="22" t="n">
        <x:v>21.142799999999966</x:v>
      </x:c>
      <x:c r="M3131" t="n">
        <x:v>2015</x:v>
      </x:c>
      <x:c r="N3131" s="20" t="n">
        <x:v>42156</x:v>
      </x:c>
    </x:row>
    <x:row r="3132" ht="18" customHeight="1">
      <x:c r="A3132" t="str">
        <x:v>CA-2017-149895</x:v>
      </x:c>
      <x:c r="B3132" s="18" t="n">
        <x:v>42986</x:v>
      </x:c>
      <x:c r="C3132" t="str">
        <x:v>EB-14110</x:v>
      </x:c>
      <x:c r="D3132" t="str">
        <x:v>Eugene Barchas</x:v>
      </x:c>
      <x:c r="E3132" t="str">
        <x:v>Consumer</x:v>
      </x:c>
      <x:c r="F3132" t="str">
        <x:v>East</x:v>
      </x:c>
      <x:c r="G3132" t="str">
        <x:v>Technology</x:v>
      </x:c>
      <x:c r="H3132" t="str">
        <x:v>Phones</x:v>
      </x:c>
      <x:c r="I3132" s="22" t="n">
        <x:v>258.52799999999996</x:v>
      </x:c>
      <x:c r="J3132" s="24" t="n">
        <x:v>2</x:v>
      </x:c>
      <x:c r="K3132" s="26" t="n">
        <x:v>0.4</x:v>
      </x:c>
      <x:c r="L3132" s="22" t="n">
        <x:v>-47.39680000000001</x:v>
      </x:c>
      <x:c r="M3132" t="n">
        <x:v>2017</x:v>
      </x:c>
      <x:c r="N3132" s="20" t="n">
        <x:v>42979</x:v>
      </x:c>
    </x:row>
    <x:row r="3133" ht="18" customHeight="1">
      <x:c r="A3133" t="str">
        <x:v>CA-2017-147564</x:v>
      </x:c>
      <x:c r="B3133" s="18" t="n">
        <x:v>43010</x:v>
      </x:c>
      <x:c r="C3133" t="str">
        <x:v>BP-11155</x:v>
      </x:c>
      <x:c r="D3133" t="str">
        <x:v>Becky Pak</x:v>
      </x:c>
      <x:c r="E3133" t="str">
        <x:v>Consumer</x:v>
      </x:c>
      <x:c r="F3133" t="str">
        <x:v>East</x:v>
      </x:c>
      <x:c r="G3133" t="str">
        <x:v>Office Supplies</x:v>
      </x:c>
      <x:c r="H3133" t="str">
        <x:v>Paper</x:v>
      </x:c>
      <x:c r="I3133" s="22" t="n">
        <x:v>49.12</x:v>
      </x:c>
      <x:c r="J3133" s="24" t="n">
        <x:v>4</x:v>
      </x:c>
      <x:c r="K3133" s="26" t="n">
        <x:v>0</x:v>
      </x:c>
      <x:c r="L3133" s="22" t="n">
        <x:v>23.086399999999998</x:v>
      </x:c>
      <x:c r="M3133" t="n">
        <x:v>2017</x:v>
      </x:c>
      <x:c r="N3133" s="20" t="n">
        <x:v>43009</x:v>
      </x:c>
    </x:row>
    <x:row r="3134" ht="18" customHeight="1">
      <x:c r="A3134" t="str">
        <x:v>CA-2014-136399</x:v>
      </x:c>
      <x:c r="B3134" s="18" t="n">
        <x:v>41989</x:v>
      </x:c>
      <x:c r="C3134" t="str">
        <x:v>CC-12100</x:v>
      </x:c>
      <x:c r="D3134" t="str">
        <x:v>Chad Cunningham</x:v>
      </x:c>
      <x:c r="E3134" t="str">
        <x:v>Home Office</x:v>
      </x:c>
      <x:c r="F3134" t="str">
        <x:v>West</x:v>
      </x:c>
      <x:c r="G3134" t="str">
        <x:v>Furniture</x:v>
      </x:c>
      <x:c r="H3134" t="str">
        <x:v>Furnishings</x:v>
      </x:c>
      <x:c r="I3134" s="22" t="n">
        <x:v>44.46</x:v>
      </x:c>
      <x:c r="J3134" s="24" t="n">
        <x:v>2</x:v>
      </x:c>
      <x:c r="K3134" s="26" t="n">
        <x:v>0</x:v>
      </x:c>
      <x:c r="L3134" s="22" t="n">
        <x:v>14.671799999999998</x:v>
      </x:c>
      <x:c r="M3134" t="n">
        <x:v>2014</x:v>
      </x:c>
      <x:c r="N3134" s="20" t="n">
        <x:v>41974</x:v>
      </x:c>
    </x:row>
    <x:row r="3135" ht="18" customHeight="1">
      <x:c r="A3135" t="str">
        <x:v>CA-2014-136399</x:v>
      </x:c>
      <x:c r="B3135" s="18" t="n">
        <x:v>41989</x:v>
      </x:c>
      <x:c r="C3135" t="str">
        <x:v>CC-12100</x:v>
      </x:c>
      <x:c r="D3135" t="str">
        <x:v>Chad Cunningham</x:v>
      </x:c>
      <x:c r="E3135" t="str">
        <x:v>Home Office</x:v>
      </x:c>
      <x:c r="F3135" t="str">
        <x:v>West</x:v>
      </x:c>
      <x:c r="G3135" t="str">
        <x:v>Furniture</x:v>
      </x:c>
      <x:c r="H3135" t="str">
        <x:v>Chairs</x:v>
      </x:c>
      <x:c r="I3135" s="22" t="n">
        <x:v>241.56799999999998</x:v>
      </x:c>
      <x:c r="J3135" s="24" t="n">
        <x:v>2</x:v>
      </x:c>
      <x:c r="K3135" s="26" t="n">
        <x:v>0.2</x:v>
      </x:c>
      <x:c r="L3135" s="22" t="n">
        <x:v>18.11760000000001</x:v>
      </x:c>
      <x:c r="M3135" t="n">
        <x:v>2014</x:v>
      </x:c>
      <x:c r="N3135" s="20" t="n">
        <x:v>41974</x:v>
      </x:c>
    </x:row>
    <x:row r="3136" ht="18" customHeight="1">
      <x:c r="A3136" t="str">
        <x:v>CA-2014-136399</x:v>
      </x:c>
      <x:c r="B3136" s="18" t="n">
        <x:v>41989</x:v>
      </x:c>
      <x:c r="C3136" t="str">
        <x:v>CC-12100</x:v>
      </x:c>
      <x:c r="D3136" t="str">
        <x:v>Chad Cunningham</x:v>
      </x:c>
      <x:c r="E3136" t="str">
        <x:v>Home Office</x:v>
      </x:c>
      <x:c r="F3136" t="str">
        <x:v>West</x:v>
      </x:c>
      <x:c r="G3136" t="str">
        <x:v>Technology</x:v>
      </x:c>
      <x:c r="H3136" t="str">
        <x:v>Accessories</x:v>
      </x:c>
      <x:c r="I3136" s="22" t="n">
        <x:v>395</x:v>
      </x:c>
      <x:c r="J3136" s="24" t="n">
        <x:v>5</x:v>
      </x:c>
      <x:c r="K3136" s="26" t="n">
        <x:v>0</x:v>
      </x:c>
      <x:c r="L3136" s="22" t="n">
        <x:v>39.49999999999996</x:v>
      </x:c>
      <x:c r="M3136" t="n">
        <x:v>2014</x:v>
      </x:c>
      <x:c r="N3136" s="20" t="n">
        <x:v>41974</x:v>
      </x:c>
    </x:row>
    <x:row r="3137" ht="18" customHeight="1">
      <x:c r="A3137" t="str">
        <x:v>CA-2014-136399</x:v>
      </x:c>
      <x:c r="B3137" s="18" t="n">
        <x:v>41989</x:v>
      </x:c>
      <x:c r="C3137" t="str">
        <x:v>CC-12100</x:v>
      </x:c>
      <x:c r="D3137" t="str">
        <x:v>Chad Cunningham</x:v>
      </x:c>
      <x:c r="E3137" t="str">
        <x:v>Home Office</x:v>
      </x:c>
      <x:c r="F3137" t="str">
        <x:v>West</x:v>
      </x:c>
      <x:c r="G3137" t="str">
        <x:v>Technology</x:v>
      </x:c>
      <x:c r="H3137" t="str">
        <x:v>Phones</x:v>
      </x:c>
      <x:c r="I3137" s="22" t="n">
        <x:v>627.1680000000001</x:v>
      </x:c>
      <x:c r="J3137" s="24" t="n">
        <x:v>4</x:v>
      </x:c>
      <x:c r="K3137" s="26" t="n">
        <x:v>0.2</x:v>
      </x:c>
      <x:c r="L3137" s="22" t="n">
        <x:v>70.55639999999994</x:v>
      </x:c>
      <x:c r="M3137" t="n">
        <x:v>2014</x:v>
      </x:c>
      <x:c r="N3137" s="20" t="n">
        <x:v>41974</x:v>
      </x:c>
    </x:row>
    <x:row r="3138" ht="18" customHeight="1">
      <x:c r="A3138" t="str">
        <x:v>CA-2014-107916</x:v>
      </x:c>
      <x:c r="B3138" s="18" t="n">
        <x:v>41875</x:v>
      </x:c>
      <x:c r="C3138" t="str">
        <x:v>JP-15460</x:v>
      </x:c>
      <x:c r="D3138" t="str">
        <x:v>Jennifer Patt</x:v>
      </x:c>
      <x:c r="E3138" t="str">
        <x:v>Corporate</x:v>
      </x:c>
      <x:c r="F3138" t="str">
        <x:v>East</x:v>
      </x:c>
      <x:c r="G3138" t="str">
        <x:v>Furniture</x:v>
      </x:c>
      <x:c r="H3138" t="str">
        <x:v>Furnishings</x:v>
      </x:c>
      <x:c r="I3138" s="22" t="n">
        <x:v>13.28</x:v>
      </x:c>
      <x:c r="J3138" s="24" t="n">
        <x:v>2</x:v>
      </x:c>
      <x:c r="K3138" s="26" t="n">
        <x:v>0</x:v>
      </x:c>
      <x:c r="L3138" s="22" t="n">
        <x:v>6.3744</x:v>
      </x:c>
      <x:c r="M3138" t="n">
        <x:v>2014</x:v>
      </x:c>
      <x:c r="N3138" s="20" t="n">
        <x:v>41852</x:v>
      </x:c>
    </x:row>
    <x:row r="3139" ht="18" customHeight="1">
      <x:c r="A3139" t="str">
        <x:v>CA-2014-107916</x:v>
      </x:c>
      <x:c r="B3139" s="18" t="n">
        <x:v>41875</x:v>
      </x:c>
      <x:c r="C3139" t="str">
        <x:v>JP-15460</x:v>
      </x:c>
      <x:c r="D3139" t="str">
        <x:v>Jennifer Patt</x:v>
      </x:c>
      <x:c r="E3139" t="str">
        <x:v>Corporate</x:v>
      </x:c>
      <x:c r="F3139" t="str">
        <x:v>East</x:v>
      </x:c>
      <x:c r="G3139" t="str">
        <x:v>Office Supplies</x:v>
      </x:c>
      <x:c r="H3139" t="str">
        <x:v>Binders</x:v>
      </x:c>
      <x:c r="I3139" s="22" t="n">
        <x:v>12.672</x:v>
      </x:c>
      <x:c r="J3139" s="24" t="n">
        <x:v>3</x:v>
      </x:c>
      <x:c r="K3139" s="26" t="n">
        <x:v>0.2</x:v>
      </x:c>
      <x:c r="L3139" s="22" t="n">
        <x:v>4.435200000000001</x:v>
      </x:c>
      <x:c r="M3139" t="n">
        <x:v>2014</x:v>
      </x:c>
      <x:c r="N3139" s="20" t="n">
        <x:v>41852</x:v>
      </x:c>
    </x:row>
    <x:row r="3140" ht="18" customHeight="1">
      <x:c r="A3140" t="str">
        <x:v>CA-2017-164168</x:v>
      </x:c>
      <x:c r="B3140" s="18" t="n">
        <x:v>43051</x:v>
      </x:c>
      <x:c r="C3140" t="str">
        <x:v>LS-16975</x:v>
      </x:c>
      <x:c r="D3140" t="str">
        <x:v>Lindsay Shagiari</x:v>
      </x:c>
      <x:c r="E3140" t="str">
        <x:v>Home Office</x:v>
      </x:c>
      <x:c r="F3140" t="str">
        <x:v>Central</x:v>
      </x:c>
      <x:c r="G3140" t="str">
        <x:v>Office Supplies</x:v>
      </x:c>
      <x:c r="H3140" t="str">
        <x:v>Binders</x:v>
      </x:c>
      <x:c r="I3140" s="22" t="n">
        <x:v>30.55999999999999</x:v>
      </x:c>
      <x:c r="J3140" s="24" t="n">
        <x:v>5</x:v>
      </x:c>
      <x:c r="K3140" s="26" t="n">
        <x:v>0.8</x:v>
      </x:c>
      <x:c r="L3140" s="22" t="n">
        <x:v>-45.84000000000002</x:v>
      </x:c>
      <x:c r="M3140" t="n">
        <x:v>2017</x:v>
      </x:c>
      <x:c r="N3140" s="20" t="n">
        <x:v>43040</x:v>
      </x:c>
    </x:row>
    <x:row r="3141" ht="18" customHeight="1">
      <x:c r="A3141" t="str">
        <x:v>CA-2017-164168</x:v>
      </x:c>
      <x:c r="B3141" s="18" t="n">
        <x:v>43051</x:v>
      </x:c>
      <x:c r="C3141" t="str">
        <x:v>LS-16975</x:v>
      </x:c>
      <x:c r="D3141" t="str">
        <x:v>Lindsay Shagiari</x:v>
      </x:c>
      <x:c r="E3141" t="str">
        <x:v>Home Office</x:v>
      </x:c>
      <x:c r="F3141" t="str">
        <x:v>Central</x:v>
      </x:c>
      <x:c r="G3141" t="str">
        <x:v>Office Supplies</x:v>
      </x:c>
      <x:c r="H3141" t="str">
        <x:v>Storage</x:v>
      </x:c>
      <x:c r="I3141" s="22" t="n">
        <x:v>77.952</x:v>
      </x:c>
      <x:c r="J3141" s="24" t="n">
        <x:v>3</x:v>
      </x:c>
      <x:c r="K3141" s="26" t="n">
        <x:v>0.2</x:v>
      </x:c>
      <x:c r="L3141" s="22" t="n">
        <x:v>-15.590400000000002</x:v>
      </x:c>
      <x:c r="M3141" t="n">
        <x:v>2017</x:v>
      </x:c>
      <x:c r="N3141" s="20" t="n">
        <x:v>43040</x:v>
      </x:c>
    </x:row>
    <x:row r="3142" ht="18" customHeight="1">
      <x:c r="A3142" t="str">
        <x:v>CA-2017-164168</x:v>
      </x:c>
      <x:c r="B3142" s="18" t="n">
        <x:v>43051</x:v>
      </x:c>
      <x:c r="C3142" t="str">
        <x:v>LS-16975</x:v>
      </x:c>
      <x:c r="D3142" t="str">
        <x:v>Lindsay Shagiari</x:v>
      </x:c>
      <x:c r="E3142" t="str">
        <x:v>Home Office</x:v>
      </x:c>
      <x:c r="F3142" t="str">
        <x:v>Central</x:v>
      </x:c>
      <x:c r="G3142" t="str">
        <x:v>Technology</x:v>
      </x:c>
      <x:c r="H3142" t="str">
        <x:v>Phones</x:v>
      </x:c>
      <x:c r="I3142" s="22" t="n">
        <x:v>67.992</x:v>
      </x:c>
      <x:c r="J3142" s="24" t="n">
        <x:v>1</x:v>
      </x:c>
      <x:c r="K3142" s="26" t="n">
        <x:v>0.2</x:v>
      </x:c>
      <x:c r="L3142" s="22" t="n">
        <x:v>8.498999999999992</x:v>
      </x:c>
      <x:c r="M3142" t="n">
        <x:v>2017</x:v>
      </x:c>
      <x:c r="N3142" s="20" t="n">
        <x:v>43040</x:v>
      </x:c>
    </x:row>
    <x:row r="3143" ht="18" customHeight="1">
      <x:c r="A3143" t="str">
        <x:v>CA-2017-164168</x:v>
      </x:c>
      <x:c r="B3143" s="18" t="n">
        <x:v>43051</x:v>
      </x:c>
      <x:c r="C3143" t="str">
        <x:v>LS-16975</x:v>
      </x:c>
      <x:c r="D3143" t="str">
        <x:v>Lindsay Shagiari</x:v>
      </x:c>
      <x:c r="E3143" t="str">
        <x:v>Home Office</x:v>
      </x:c>
      <x:c r="F3143" t="str">
        <x:v>Central</x:v>
      </x:c>
      <x:c r="G3143" t="str">
        <x:v>Office Supplies</x:v>
      </x:c>
      <x:c r="H3143" t="str">
        <x:v>Envelopes</x:v>
      </x:c>
      <x:c r="I3143" s="22" t="n">
        <x:v>12.224</x:v>
      </x:c>
      <x:c r="J3143" s="24" t="n">
        <x:v>2</x:v>
      </x:c>
      <x:c r="K3143" s="26" t="n">
        <x:v>0.2</x:v>
      </x:c>
      <x:c r="L3143" s="22" t="n">
        <x:v>4.4312</x:v>
      </x:c>
      <x:c r="M3143" t="n">
        <x:v>2017</x:v>
      </x:c>
      <x:c r="N3143" s="20" t="n">
        <x:v>43040</x:v>
      </x:c>
    </x:row>
    <x:row r="3144" ht="18" customHeight="1">
      <x:c r="A3144" t="str">
        <x:v>CA-2017-164168</x:v>
      </x:c>
      <x:c r="B3144" s="18" t="n">
        <x:v>43051</x:v>
      </x:c>
      <x:c r="C3144" t="str">
        <x:v>LS-16975</x:v>
      </x:c>
      <x:c r="D3144" t="str">
        <x:v>Lindsay Shagiari</x:v>
      </x:c>
      <x:c r="E3144" t="str">
        <x:v>Home Office</x:v>
      </x:c>
      <x:c r="F3144" t="str">
        <x:v>Central</x:v>
      </x:c>
      <x:c r="G3144" t="str">
        <x:v>Technology</x:v>
      </x:c>
      <x:c r="H3144" t="str">
        <x:v>Accessories</x:v>
      </x:c>
      <x:c r="I3144" s="22" t="n">
        <x:v>44.784</x:v>
      </x:c>
      <x:c r="J3144" s="24" t="n">
        <x:v>2</x:v>
      </x:c>
      <x:c r="K3144" s="26" t="n">
        <x:v>0.2</x:v>
      </x:c>
      <x:c r="L3144" s="22" t="n">
        <x:v>-0.5598000000000045</x:v>
      </x:c>
      <x:c r="M3144" t="n">
        <x:v>2017</x:v>
      </x:c>
      <x:c r="N3144" s="20" t="n">
        <x:v>43040</x:v>
      </x:c>
    </x:row>
    <x:row r="3145" ht="18" customHeight="1">
      <x:c r="A3145" t="str">
        <x:v>CA-2017-164168</x:v>
      </x:c>
      <x:c r="B3145" s="18" t="n">
        <x:v>43051</x:v>
      </x:c>
      <x:c r="C3145" t="str">
        <x:v>LS-16975</x:v>
      </x:c>
      <x:c r="D3145" t="str">
        <x:v>Lindsay Shagiari</x:v>
      </x:c>
      <x:c r="E3145" t="str">
        <x:v>Home Office</x:v>
      </x:c>
      <x:c r="F3145" t="str">
        <x:v>Central</x:v>
      </x:c>
      <x:c r="G3145" t="str">
        <x:v>Furniture</x:v>
      </x:c>
      <x:c r="H3145" t="str">
        <x:v>Furnishings</x:v>
      </x:c>
      <x:c r="I3145" s="22" t="n">
        <x:v>22.848</x:v>
      </x:c>
      <x:c r="J3145" s="24" t="n">
        <x:v>3</x:v>
      </x:c>
      <x:c r="K3145" s="26" t="n">
        <x:v>0.6</x:v>
      </x:c>
      <x:c r="L3145" s="22" t="n">
        <x:v>-17.707200000000007</x:v>
      </x:c>
      <x:c r="M3145" t="n">
        <x:v>2017</x:v>
      </x:c>
      <x:c r="N3145" s="20" t="n">
        <x:v>43040</x:v>
      </x:c>
    </x:row>
    <x:row r="3146" ht="18" customHeight="1">
      <x:c r="A3146" t="str">
        <x:v>CA-2015-112557</x:v>
      </x:c>
      <x:c r="B3146" s="18" t="n">
        <x:v>42119</x:v>
      </x:c>
      <x:c r="C3146" t="str">
        <x:v>JL-15850</x:v>
      </x:c>
      <x:c r="D3146" t="str">
        <x:v>John Lucas</x:v>
      </x:c>
      <x:c r="E3146" t="str">
        <x:v>Consumer</x:v>
      </x:c>
      <x:c r="F3146" t="str">
        <x:v>East</x:v>
      </x:c>
      <x:c r="G3146" t="str">
        <x:v>Office Supplies</x:v>
      </x:c>
      <x:c r="H3146" t="str">
        <x:v>Appliances</x:v>
      </x:c>
      <x:c r="I3146" s="22" t="n">
        <x:v>206.43</x:v>
      </x:c>
      <x:c r="J3146" s="24" t="n">
        <x:v>3</x:v>
      </x:c>
      <x:c r="K3146" s="26" t="n">
        <x:v>0</x:v>
      </x:c>
      <x:c r="L3146" s="22" t="n">
        <x:v>90.82920000000001</x:v>
      </x:c>
      <x:c r="M3146" t="n">
        <x:v>2015</x:v>
      </x:c>
      <x:c r="N3146" s="20" t="n">
        <x:v>42095</x:v>
      </x:c>
    </x:row>
    <x:row r="3147" ht="18" customHeight="1">
      <x:c r="A3147" t="str">
        <x:v>US-2014-122959</x:v>
      </x:c>
      <x:c r="B3147" s="18" t="n">
        <x:v>41985</x:v>
      </x:c>
      <x:c r="C3147" t="str">
        <x:v>CY-12745</x:v>
      </x:c>
      <x:c r="D3147" t="str">
        <x:v>Craig Yedwab</x:v>
      </x:c>
      <x:c r="E3147" t="str">
        <x:v>Corporate</x:v>
      </x:c>
      <x:c r="F3147" t="str">
        <x:v>Central</x:v>
      </x:c>
      <x:c r="G3147" t="str">
        <x:v>Office Supplies</x:v>
      </x:c>
      <x:c r="H3147" t="str">
        <x:v>Binders</x:v>
      </x:c>
      <x:c r="I3147" s="22" t="n">
        <x:v>210.39199999999997</x:v>
      </x:c>
      <x:c r="J3147" s="24" t="n">
        <x:v>2</x:v>
      </x:c>
      <x:c r="K3147" s="26" t="n">
        <x:v>0.8</x:v>
      </x:c>
      <x:c r="L3147" s="22" t="n">
        <x:v>-336.62720000000013</x:v>
      </x:c>
      <x:c r="M3147" t="n">
        <x:v>2014</x:v>
      </x:c>
      <x:c r="N3147" s="20" t="n">
        <x:v>41974</x:v>
      </x:c>
    </x:row>
    <x:row r="3148" ht="18" customHeight="1">
      <x:c r="A3148" t="str">
        <x:v>CA-2017-162572</x:v>
      </x:c>
      <x:c r="B3148" s="18" t="n">
        <x:v>43003</x:v>
      </x:c>
      <x:c r="C3148" t="str">
        <x:v>RB-19360</x:v>
      </x:c>
      <x:c r="D3148" t="str">
        <x:v>Raymond Buch</x:v>
      </x:c>
      <x:c r="E3148" t="str">
        <x:v>Consumer</x:v>
      </x:c>
      <x:c r="F3148" t="str">
        <x:v>East</x:v>
      </x:c>
      <x:c r="G3148" t="str">
        <x:v>Technology</x:v>
      </x:c>
      <x:c r="H3148" t="str">
        <x:v>Accessories</x:v>
      </x:c>
      <x:c r="I3148" s="22" t="n">
        <x:v>119.96000000000001</x:v>
      </x:c>
      <x:c r="J3148" s="24" t="n">
        <x:v>5</x:v>
      </x:c>
      <x:c r="K3148" s="26" t="n">
        <x:v>0.2</x:v>
      </x:c>
      <x:c r="L3148" s="22" t="n">
        <x:v>35.98800000000001</x:v>
      </x:c>
      <x:c r="M3148" t="n">
        <x:v>2017</x:v>
      </x:c>
      <x:c r="N3148" s="20" t="n">
        <x:v>42979</x:v>
      </x:c>
    </x:row>
    <x:row r="3149" ht="18" customHeight="1">
      <x:c r="A3149" t="str">
        <x:v>CA-2017-162572</x:v>
      </x:c>
      <x:c r="B3149" s="18" t="n">
        <x:v>43003</x:v>
      </x:c>
      <x:c r="C3149" t="str">
        <x:v>RB-19360</x:v>
      </x:c>
      <x:c r="D3149" t="str">
        <x:v>Raymond Buch</x:v>
      </x:c>
      <x:c r="E3149" t="str">
        <x:v>Consumer</x:v>
      </x:c>
      <x:c r="F3149" t="str">
        <x:v>East</x:v>
      </x:c>
      <x:c r="G3149" t="str">
        <x:v>Office Supplies</x:v>
      </x:c>
      <x:c r="H3149" t="str">
        <x:v>Art</x:v>
      </x:c>
      <x:c r="I3149" s="22" t="n">
        <x:v>10.608</x:v>
      </x:c>
      <x:c r="J3149" s="24" t="n">
        <x:v>6</x:v>
      </x:c>
      <x:c r="K3149" s="26" t="n">
        <x:v>0.2</x:v>
      </x:c>
      <x:c r="L3149" s="22" t="n">
        <x:v>0.9281999999999999</x:v>
      </x:c>
      <x:c r="M3149" t="n">
        <x:v>2017</x:v>
      </x:c>
      <x:c r="N3149" s="20" t="n">
        <x:v>42979</x:v>
      </x:c>
    </x:row>
    <x:row r="3150" ht="18" customHeight="1">
      <x:c r="A3150" t="str">
        <x:v>US-2016-148110</x:v>
      </x:c>
      <x:c r="B3150" s="18" t="n">
        <x:v>42618</x:v>
      </x:c>
      <x:c r="C3150" t="str">
        <x:v>AR-10825</x:v>
      </x:c>
      <x:c r="D3150" t="str">
        <x:v>Anthony Rawles</x:v>
      </x:c>
      <x:c r="E3150" t="str">
        <x:v>Corporate</x:v>
      </x:c>
      <x:c r="F3150" t="str">
        <x:v>Central</x:v>
      </x:c>
      <x:c r="G3150" t="str">
        <x:v>Furniture</x:v>
      </x:c>
      <x:c r="H3150" t="str">
        <x:v>Chairs</x:v>
      </x:c>
      <x:c r="I3150" s="22" t="n">
        <x:v>347.802</x:v>
      </x:c>
      <x:c r="J3150" s="24" t="n">
        <x:v>7</x:v>
      </x:c>
      <x:c r="K3150" s="26" t="n">
        <x:v>0.3</x:v>
      </x:c>
      <x:c r="L3150" s="22" t="n">
        <x:v>-24.84299999999996</x:v>
      </x:c>
      <x:c r="M3150" t="n">
        <x:v>2016</x:v>
      </x:c>
      <x:c r="N3150" s="20" t="n">
        <x:v>42614</x:v>
      </x:c>
    </x:row>
    <x:row r="3151" ht="18" customHeight="1">
      <x:c r="A3151" t="str">
        <x:v>CA-2017-131828</x:v>
      </x:c>
      <x:c r="B3151" s="18" t="n">
        <x:v>42777</x:v>
      </x:c>
      <x:c r="C3151" t="str">
        <x:v>CS-11845</x:v>
      </x:c>
      <x:c r="D3151" t="str">
        <x:v>Cari Sayre</x:v>
      </x:c>
      <x:c r="E3151" t="str">
        <x:v>Corporate</x:v>
      </x:c>
      <x:c r="F3151" t="str">
        <x:v>West</x:v>
      </x:c>
      <x:c r="G3151" t="str">
        <x:v>Furniture</x:v>
      </x:c>
      <x:c r="H3151" t="str">
        <x:v>Chairs</x:v>
      </x:c>
      <x:c r="I3151" s="22" t="n">
        <x:v>963.1360000000001</x:v>
      </x:c>
      <x:c r="J3151" s="24" t="n">
        <x:v>4</x:v>
      </x:c>
      <x:c r="K3151" s="26" t="n">
        <x:v>0.2</x:v>
      </x:c>
      <x:c r="L3151" s="22" t="n">
        <x:v>108.35279999999986</x:v>
      </x:c>
      <x:c r="M3151" t="n">
        <x:v>2017</x:v>
      </x:c>
      <x:c r="N3151" s="20" t="n">
        <x:v>42767</x:v>
      </x:c>
    </x:row>
    <x:row r="3152" ht="18" customHeight="1">
      <x:c r="A3152" t="str">
        <x:v>CA-2017-131828</x:v>
      </x:c>
      <x:c r="B3152" s="18" t="n">
        <x:v>42777</x:v>
      </x:c>
      <x:c r="C3152" t="str">
        <x:v>CS-11845</x:v>
      </x:c>
      <x:c r="D3152" t="str">
        <x:v>Cari Sayre</x:v>
      </x:c>
      <x:c r="E3152" t="str">
        <x:v>Corporate</x:v>
      </x:c>
      <x:c r="F3152" t="str">
        <x:v>West</x:v>
      </x:c>
      <x:c r="G3152" t="str">
        <x:v>Technology</x:v>
      </x:c>
      <x:c r="H3152" t="str">
        <x:v>Phones</x:v>
      </x:c>
      <x:c r="I3152" s="22" t="n">
        <x:v>88.77600000000001</x:v>
      </x:c>
      <x:c r="J3152" s="24" t="n">
        <x:v>3</x:v>
      </x:c>
      <x:c r="K3152" s="26" t="n">
        <x:v>0.2</x:v>
      </x:c>
      <x:c r="L3152" s="22" t="n">
        <x:v>7.767900000000001</x:v>
      </x:c>
      <x:c r="M3152" t="n">
        <x:v>2017</x:v>
      </x:c>
      <x:c r="N3152" s="20" t="n">
        <x:v>42767</x:v>
      </x:c>
    </x:row>
    <x:row r="3153" ht="18" customHeight="1">
      <x:c r="A3153" t="str">
        <x:v>CA-2014-109218</x:v>
      </x:c>
      <x:c r="B3153" s="18" t="n">
        <x:v>41820</x:v>
      </x:c>
      <x:c r="C3153" t="str">
        <x:v>AR-10825</x:v>
      </x:c>
      <x:c r="D3153" t="str">
        <x:v>Anthony Rawles</x:v>
      </x:c>
      <x:c r="E3153" t="str">
        <x:v>Corporate</x:v>
      </x:c>
      <x:c r="F3153" t="str">
        <x:v>West</x:v>
      </x:c>
      <x:c r="G3153" t="str">
        <x:v>Office Supplies</x:v>
      </x:c>
      <x:c r="H3153" t="str">
        <x:v>Art</x:v>
      </x:c>
      <x:c r="I3153" s="22" t="n">
        <x:v>32.400000000000006</x:v>
      </x:c>
      <x:c r="J3153" s="24" t="n">
        <x:v>5</x:v>
      </x:c>
      <x:c r="K3153" s="26" t="n">
        <x:v>0</x:v>
      </x:c>
      <x:c r="L3153" s="22" t="n">
        <x:v>10.367999999999999</x:v>
      </x:c>
      <x:c r="M3153" t="n">
        <x:v>2014</x:v>
      </x:c>
      <x:c r="N3153" s="20" t="n">
        <x:v>41791</x:v>
      </x:c>
    </x:row>
    <x:row r="3154" ht="18" customHeight="1">
      <x:c r="A3154" t="str">
        <x:v>CA-2016-120558</x:v>
      </x:c>
      <x:c r="B3154" s="18" t="n">
        <x:v>42528</x:v>
      </x:c>
      <x:c r="C3154" t="str">
        <x:v>RD-19810</x:v>
      </x:c>
      <x:c r="D3154" t="str">
        <x:v>Ross DeVincentis</x:v>
      </x:c>
      <x:c r="E3154" t="str">
        <x:v>Home Office</x:v>
      </x:c>
      <x:c r="F3154" t="str">
        <x:v>East</x:v>
      </x:c>
      <x:c r="G3154" t="str">
        <x:v>Office Supplies</x:v>
      </x:c>
      <x:c r="H3154" t="str">
        <x:v>Paper</x:v>
      </x:c>
      <x:c r="I3154" s="22" t="n">
        <x:v>32.400000000000006</x:v>
      </x:c>
      <x:c r="J3154" s="24" t="n">
        <x:v>5</x:v>
      </x:c>
      <x:c r="K3154" s="26" t="n">
        <x:v>0</x:v>
      </x:c>
      <x:c r="L3154" s="22" t="n">
        <x:v>15.552000000000001</x:v>
      </x:c>
      <x:c r="M3154" t="n">
        <x:v>2016</x:v>
      </x:c>
      <x:c r="N3154" s="20" t="n">
        <x:v>42522</x:v>
      </x:c>
    </x:row>
    <x:row r="3155" ht="18" customHeight="1">
      <x:c r="A3155" t="str">
        <x:v>US-2014-109036</x:v>
      </x:c>
      <x:c r="B3155" s="18" t="n">
        <x:v>41993</x:v>
      </x:c>
      <x:c r="C3155" t="str">
        <x:v>KH-16510</x:v>
      </x:c>
      <x:c r="D3155" t="str">
        <x:v>Keith Herrera</x:v>
      </x:c>
      <x:c r="E3155" t="str">
        <x:v>Consumer</x:v>
      </x:c>
      <x:c r="F3155" t="str">
        <x:v>West</x:v>
      </x:c>
      <x:c r="G3155" t="str">
        <x:v>Office Supplies</x:v>
      </x:c>
      <x:c r="H3155" t="str">
        <x:v>Labels</x:v>
      </x:c>
      <x:c r="I3155" s="22" t="n">
        <x:v>31.049999999999997</x:v>
      </x:c>
      <x:c r="J3155" s="24" t="n">
        <x:v>3</x:v>
      </x:c>
      <x:c r="K3155" s="26" t="n">
        <x:v>0</x:v>
      </x:c>
      <x:c r="L3155" s="22" t="n">
        <x:v>14.904</x:v>
      </x:c>
      <x:c r="M3155" t="n">
        <x:v>2014</x:v>
      </x:c>
      <x:c r="N3155" s="20" t="n">
        <x:v>41974</x:v>
      </x:c>
    </x:row>
    <x:row r="3156" ht="18" customHeight="1">
      <x:c r="A3156" t="str">
        <x:v>CA-2015-147830</x:v>
      </x:c>
      <x:c r="B3156" s="18" t="n">
        <x:v>42353</x:v>
      </x:c>
      <x:c r="C3156" t="str">
        <x:v>NF-18385</x:v>
      </x:c>
      <x:c r="D3156" t="str">
        <x:v>Natalie Fritzler</x:v>
      </x:c>
      <x:c r="E3156" t="str">
        <x:v>Consumer</x:v>
      </x:c>
      <x:c r="F3156" t="str">
        <x:v>East</x:v>
      </x:c>
      <x:c r="G3156" t="str">
        <x:v>Technology</x:v>
      </x:c>
      <x:c r="H3156" t="str">
        <x:v>Accessories</x:v>
      </x:c>
      <x:c r="I3156" s="22" t="n">
        <x:v>2025.3600000000001</x:v>
      </x:c>
      <x:c r="J3156" s="24" t="n">
        <x:v>6</x:v>
      </x:c>
      <x:c r="K3156" s="26" t="n">
        <x:v>0.2</x:v>
      </x:c>
      <x:c r="L3156" s="22" t="n">
        <x:v>607.6080000000001</x:v>
      </x:c>
      <x:c r="M3156" t="n">
        <x:v>2015</x:v>
      </x:c>
      <x:c r="N3156" s="20" t="n">
        <x:v>42339</x:v>
      </x:c>
    </x:row>
    <x:row r="3157" ht="18" customHeight="1">
      <x:c r="A3157" t="str">
        <x:v>CA-2015-147830</x:v>
      </x:c>
      <x:c r="B3157" s="18" t="n">
        <x:v>42353</x:v>
      </x:c>
      <x:c r="C3157" t="str">
        <x:v>NF-18385</x:v>
      </x:c>
      <x:c r="D3157" t="str">
        <x:v>Natalie Fritzler</x:v>
      </x:c>
      <x:c r="E3157" t="str">
        <x:v>Consumer</x:v>
      </x:c>
      <x:c r="F3157" t="str">
        <x:v>East</x:v>
      </x:c>
      <x:c r="G3157" t="str">
        <x:v>Technology</x:v>
      </x:c>
      <x:c r="H3157" t="str">
        <x:v>Machines</x:v>
      </x:c>
      <x:c r="I3157" s="22" t="n">
        <x:v>1799.9940000000001</x:v>
      </x:c>
      <x:c r="J3157" s="24" t="n">
        <x:v>2</x:v>
      </x:c>
      <x:c r="K3157" s="26" t="n">
        <x:v>0.7</x:v>
      </x:c>
      <x:c r="L3157" s="22" t="n">
        <x:v>-2639.9912000000004</x:v>
      </x:c>
      <x:c r="M3157" t="n">
        <x:v>2015</x:v>
      </x:c>
      <x:c r="N3157" s="20" t="n">
        <x:v>42339</x:v>
      </x:c>
    </x:row>
    <x:row r="3158" ht="18" customHeight="1">
      <x:c r="A3158" t="str">
        <x:v>CA-2015-147830</x:v>
      </x:c>
      <x:c r="B3158" s="18" t="n">
        <x:v>42353</x:v>
      </x:c>
      <x:c r="C3158" t="str">
        <x:v>NF-18385</x:v>
      </x:c>
      <x:c r="D3158" t="str">
        <x:v>Natalie Fritzler</x:v>
      </x:c>
      <x:c r="E3158" t="str">
        <x:v>Consumer</x:v>
      </x:c>
      <x:c r="F3158" t="str">
        <x:v>East</x:v>
      </x:c>
      <x:c r="G3158" t="str">
        <x:v>Technology</x:v>
      </x:c>
      <x:c r="H3158" t="str">
        <x:v>Phones</x:v>
      </x:c>
      <x:c r="I3158" s="22" t="n">
        <x:v>101.98799999999999</x:v>
      </x:c>
      <x:c r="J3158" s="24" t="n">
        <x:v>2</x:v>
      </x:c>
      <x:c r="K3158" s="26" t="n">
        <x:v>0.4</x:v>
      </x:c>
      <x:c r="L3158" s="22" t="n">
        <x:v>-16.99800000000002</x:v>
      </x:c>
      <x:c r="M3158" t="n">
        <x:v>2015</x:v>
      </x:c>
      <x:c r="N3158" s="20" t="n">
        <x:v>42339</x:v>
      </x:c>
    </x:row>
    <x:row r="3159" ht="18" customHeight="1">
      <x:c r="A3159" t="str">
        <x:v>CA-2015-147830</x:v>
      </x:c>
      <x:c r="B3159" s="18" t="n">
        <x:v>42353</x:v>
      </x:c>
      <x:c r="C3159" t="str">
        <x:v>NF-18385</x:v>
      </x:c>
      <x:c r="D3159" t="str">
        <x:v>Natalie Fritzler</x:v>
      </x:c>
      <x:c r="E3159" t="str">
        <x:v>Consumer</x:v>
      </x:c>
      <x:c r="F3159" t="str">
        <x:v>East</x:v>
      </x:c>
      <x:c r="G3159" t="str">
        <x:v>Furniture</x:v>
      </x:c>
      <x:c r="H3159" t="str">
        <x:v>Furnishings</x:v>
      </x:c>
      <x:c r="I3159" s="22" t="n">
        <x:v>262.864</x:v>
      </x:c>
      <x:c r="J3159" s="24" t="n">
        <x:v>7</x:v>
      </x:c>
      <x:c r="K3159" s="26" t="n">
        <x:v>0.2</x:v>
      </x:c>
      <x:c r="L3159" s="22" t="n">
        <x:v>69.00180000000002</x:v>
      </x:c>
      <x:c r="M3159" t="n">
        <x:v>2015</x:v>
      </x:c>
      <x:c r="N3159" s="20" t="n">
        <x:v>42339</x:v>
      </x:c>
    </x:row>
    <x:row r="3160" ht="18" customHeight="1">
      <x:c r="A3160" t="str">
        <x:v>CA-2017-150497</x:v>
      </x:c>
      <x:c r="B3160" s="18" t="n">
        <x:v>42936</x:v>
      </x:c>
      <x:c r="C3160" t="str">
        <x:v>SM-20950</x:v>
      </x:c>
      <x:c r="D3160" t="str">
        <x:v>Suzanne McNair</x:v>
      </x:c>
      <x:c r="E3160" t="str">
        <x:v>Corporate</x:v>
      </x:c>
      <x:c r="F3160" t="str">
        <x:v>Central</x:v>
      </x:c>
      <x:c r="G3160" t="str">
        <x:v>Office Supplies</x:v>
      </x:c>
      <x:c r="H3160" t="str">
        <x:v>Binders</x:v>
      </x:c>
      <x:c r="I3160" s="22" t="n">
        <x:v>735.98</x:v>
      </x:c>
      <x:c r="J3160" s="24" t="n">
        <x:v>2</x:v>
      </x:c>
      <x:c r="K3160" s="26" t="n">
        <x:v>0</x:v>
      </x:c>
      <x:c r="L3160" s="22" t="n">
        <x:v>331.191</x:v>
      </x:c>
      <x:c r="M3160" t="n">
        <x:v>2017</x:v>
      </x:c>
      <x:c r="N3160" s="20" t="n">
        <x:v>42917</x:v>
      </x:c>
    </x:row>
    <x:row r="3161" ht="18" customHeight="1">
      <x:c r="A3161" t="str">
        <x:v>CA-2014-128986</x:v>
      </x:c>
      <x:c r="B3161" s="18" t="n">
        <x:v>41854</x:v>
      </x:c>
      <x:c r="C3161" t="str">
        <x:v>GH-14410</x:v>
      </x:c>
      <x:c r="D3161" t="str">
        <x:v>Gary Hansen</x:v>
      </x:c>
      <x:c r="E3161" t="str">
        <x:v>Home Office</x:v>
      </x:c>
      <x:c r="F3161" t="str">
        <x:v>West</x:v>
      </x:c>
      <x:c r="G3161" t="str">
        <x:v>Office Supplies</x:v>
      </x:c>
      <x:c r="H3161" t="str">
        <x:v>Paper</x:v>
      </x:c>
      <x:c r="I3161" s="22" t="n">
        <x:v>93.024</x:v>
      </x:c>
      <x:c r="J3161" s="24" t="n">
        <x:v>3</x:v>
      </x:c>
      <x:c r="K3161" s="26" t="n">
        <x:v>0.2</x:v>
      </x:c>
      <x:c r="L3161" s="22" t="n">
        <x:v>33.721199999999996</x:v>
      </x:c>
      <x:c r="M3161" t="n">
        <x:v>2014</x:v>
      </x:c>
      <x:c r="N3161" s="20" t="n">
        <x:v>41852</x:v>
      </x:c>
    </x:row>
    <x:row r="3162" ht="18" customHeight="1">
      <x:c r="A3162" t="str">
        <x:v>CA-2015-139584</x:v>
      </x:c>
      <x:c r="B3162" s="18" t="n">
        <x:v>42240</x:v>
      </x:c>
      <x:c r="C3162" t="str">
        <x:v>EM-13810</x:v>
      </x:c>
      <x:c r="D3162" t="str">
        <x:v>Eleni McCrary</x:v>
      </x:c>
      <x:c r="E3162" t="str">
        <x:v>Corporate</x:v>
      </x:c>
      <x:c r="F3162" t="str">
        <x:v>East</x:v>
      </x:c>
      <x:c r="G3162" t="str">
        <x:v>Furniture</x:v>
      </x:c>
      <x:c r="H3162" t="str">
        <x:v>Tables</x:v>
      </x:c>
      <x:c r="I3162" s="22" t="n">
        <x:v>284.364</x:v>
      </x:c>
      <x:c r="J3162" s="24" t="n">
        <x:v>2</x:v>
      </x:c>
      <x:c r="K3162" s="26" t="n">
        <x:v>0.4</x:v>
      </x:c>
      <x:c r="L3162" s="22" t="n">
        <x:v>-75.83040000000005</x:v>
      </x:c>
      <x:c r="M3162" t="n">
        <x:v>2015</x:v>
      </x:c>
      <x:c r="N3162" s="20" t="n">
        <x:v>42217</x:v>
      </x:c>
    </x:row>
    <x:row r="3163" ht="18" customHeight="1">
      <x:c r="A3163" t="str">
        <x:v>CA-2015-139584</x:v>
      </x:c>
      <x:c r="B3163" s="18" t="n">
        <x:v>42240</x:v>
      </x:c>
      <x:c r="C3163" t="str">
        <x:v>EM-13810</x:v>
      </x:c>
      <x:c r="D3163" t="str">
        <x:v>Eleni McCrary</x:v>
      </x:c>
      <x:c r="E3163" t="str">
        <x:v>Corporate</x:v>
      </x:c>
      <x:c r="F3163" t="str">
        <x:v>East</x:v>
      </x:c>
      <x:c r="G3163" t="str">
        <x:v>Technology</x:v>
      </x:c>
      <x:c r="H3163" t="str">
        <x:v>Accessories</x:v>
      </x:c>
      <x:c r="I3163" s="22" t="n">
        <x:v>26</x:v>
      </x:c>
      <x:c r="J3163" s="24" t="n">
        <x:v>2</x:v>
      </x:c>
      <x:c r="K3163" s="26" t="n">
        <x:v>0</x:v>
      </x:c>
      <x:c r="L3163" s="22" t="n">
        <x:v>11.7</x:v>
      </x:c>
      <x:c r="M3163" t="n">
        <x:v>2015</x:v>
      </x:c>
      <x:c r="N3163" s="20" t="n">
        <x:v>42217</x:v>
      </x:c>
    </x:row>
    <x:row r="3164" ht="18" customHeight="1">
      <x:c r="A3164" t="str">
        <x:v>US-2016-162677</x:v>
      </x:c>
      <x:c r="B3164" s="18" t="n">
        <x:v>42455</x:v>
      </x:c>
      <x:c r="C3164" t="str">
        <x:v>DB-13210</x:v>
      </x:c>
      <x:c r="D3164" t="str">
        <x:v>Dean Braden</x:v>
      </x:c>
      <x:c r="E3164" t="str">
        <x:v>Consumer</x:v>
      </x:c>
      <x:c r="F3164" t="str">
        <x:v>South</x:v>
      </x:c>
      <x:c r="G3164" t="str">
        <x:v>Office Supplies</x:v>
      </x:c>
      <x:c r="H3164" t="str">
        <x:v>Storage</x:v>
      </x:c>
      <x:c r="I3164" s="22" t="n">
        <x:v>67.64</x:v>
      </x:c>
      <x:c r="J3164" s="24" t="n">
        <x:v>5</x:v>
      </x:c>
      <x:c r="K3164" s="26" t="n">
        <x:v>0.2</x:v>
      </x:c>
      <x:c r="L3164" s="22" t="n">
        <x:v>5.918499999999998</x:v>
      </x:c>
      <x:c r="M3164" t="n">
        <x:v>2016</x:v>
      </x:c>
      <x:c r="N3164" s="20" t="n">
        <x:v>42430</x:v>
      </x:c>
    </x:row>
    <x:row r="3165" ht="18" customHeight="1">
      <x:c r="A3165" t="str">
        <x:v>US-2016-162677</x:v>
      </x:c>
      <x:c r="B3165" s="18" t="n">
        <x:v>42455</x:v>
      </x:c>
      <x:c r="C3165" t="str">
        <x:v>DB-13210</x:v>
      </x:c>
      <x:c r="D3165" t="str">
        <x:v>Dean Braden</x:v>
      </x:c>
      <x:c r="E3165" t="str">
        <x:v>Consumer</x:v>
      </x:c>
      <x:c r="F3165" t="str">
        <x:v>South</x:v>
      </x:c>
      <x:c r="G3165" t="str">
        <x:v>Technology</x:v>
      </x:c>
      <x:c r="H3165" t="str">
        <x:v>Accessories</x:v>
      </x:c>
      <x:c r="I3165" s="22" t="n">
        <x:v>119.97600000000001</x:v>
      </x:c>
      <x:c r="J3165" s="24" t="n">
        <x:v>3</x:v>
      </x:c>
      <x:c r="K3165" s="26" t="n">
        <x:v>0.2</x:v>
      </x:c>
      <x:c r="L3165" s="22" t="n">
        <x:v>-17.99640000000002</x:v>
      </x:c>
      <x:c r="M3165" t="n">
        <x:v>2016</x:v>
      </x:c>
      <x:c r="N3165" s="20" t="n">
        <x:v>42430</x:v>
      </x:c>
    </x:row>
    <x:row r="3166" ht="18" customHeight="1">
      <x:c r="A3166" t="str">
        <x:v>US-2014-150924</x:v>
      </x:c>
      <x:c r="B3166" s="18" t="n">
        <x:v>41894</x:v>
      </x:c>
      <x:c r="C3166" t="str">
        <x:v>PT-19090</x:v>
      </x:c>
      <x:c r="D3166" t="str">
        <x:v>Pete Takahito</x:v>
      </x:c>
      <x:c r="E3166" t="str">
        <x:v>Consumer</x:v>
      </x:c>
      <x:c r="F3166" t="str">
        <x:v>Central</x:v>
      </x:c>
      <x:c r="G3166" t="str">
        <x:v>Office Supplies</x:v>
      </x:c>
      <x:c r="H3166" t="str">
        <x:v>Binders</x:v>
      </x:c>
      <x:c r="I3166" s="22" t="n">
        <x:v>5.179999999999999</x:v>
      </x:c>
      <x:c r="J3166" s="24" t="n">
        <x:v>5</x:v>
      </x:c>
      <x:c r="K3166" s="26" t="n">
        <x:v>0.8</x:v>
      </x:c>
      <x:c r="L3166" s="22" t="n">
        <x:v>-8.029</x:v>
      </x:c>
      <x:c r="M3166" t="n">
        <x:v>2014</x:v>
      </x:c>
      <x:c r="N3166" s="20" t="n">
        <x:v>41883</x:v>
      </x:c>
    </x:row>
    <x:row r="3167" ht="18" customHeight="1">
      <x:c r="A3167" t="str">
        <x:v>CA-2014-153969</x:v>
      </x:c>
      <x:c r="B3167" s="18" t="n">
        <x:v>41903</x:v>
      </x:c>
      <x:c r="C3167" t="str">
        <x:v>HF-14995</x:v>
      </x:c>
      <x:c r="D3167" t="str">
        <x:v>Herbert Flentye</x:v>
      </x:c>
      <x:c r="E3167" t="str">
        <x:v>Consumer</x:v>
      </x:c>
      <x:c r="F3167" t="str">
        <x:v>West</x:v>
      </x:c>
      <x:c r="G3167" t="str">
        <x:v>Office Supplies</x:v>
      </x:c>
      <x:c r="H3167" t="str">
        <x:v>Envelopes</x:v>
      </x:c>
      <x:c r="I3167" s="22" t="n">
        <x:v>15.56</x:v>
      </x:c>
      <x:c r="J3167" s="24" t="n">
        <x:v>2</x:v>
      </x:c>
      <x:c r="K3167" s="26" t="n">
        <x:v>0</x:v>
      </x:c>
      <x:c r="L3167" s="22" t="n">
        <x:v>7.3132</x:v>
      </x:c>
      <x:c r="M3167" t="n">
        <x:v>2014</x:v>
      </x:c>
      <x:c r="N3167" s="20" t="n">
        <x:v>41883</x:v>
      </x:c>
    </x:row>
    <x:row r="3168" ht="18" customHeight="1">
      <x:c r="A3168" t="str">
        <x:v>CA-2014-153969</x:v>
      </x:c>
      <x:c r="B3168" s="18" t="n">
        <x:v>41903</x:v>
      </x:c>
      <x:c r="C3168" t="str">
        <x:v>HF-14995</x:v>
      </x:c>
      <x:c r="D3168" t="str">
        <x:v>Herbert Flentye</x:v>
      </x:c>
      <x:c r="E3168" t="str">
        <x:v>Consumer</x:v>
      </x:c>
      <x:c r="F3168" t="str">
        <x:v>West</x:v>
      </x:c>
      <x:c r="G3168" t="str">
        <x:v>Office Supplies</x:v>
      </x:c>
      <x:c r="H3168" t="str">
        <x:v>Envelopes</x:v>
      </x:c>
      <x:c r="I3168" s="22" t="n">
        <x:v>78.35</x:v>
      </x:c>
      <x:c r="J3168" s="24" t="n">
        <x:v>5</x:v>
      </x:c>
      <x:c r="K3168" s="26" t="n">
        <x:v>0</x:v>
      </x:c>
      <x:c r="L3168" s="22" t="n">
        <x:v>36.82449999999999</x:v>
      </x:c>
      <x:c r="M3168" t="n">
        <x:v>2014</x:v>
      </x:c>
      <x:c r="N3168" s="20" t="n">
        <x:v>41883</x:v>
      </x:c>
    </x:row>
    <x:row r="3169" ht="18" customHeight="1">
      <x:c r="A3169" t="str">
        <x:v>CA-2014-153969</x:v>
      </x:c>
      <x:c r="B3169" s="18" t="n">
        <x:v>41903</x:v>
      </x:c>
      <x:c r="C3169" t="str">
        <x:v>HF-14995</x:v>
      </x:c>
      <x:c r="D3169" t="str">
        <x:v>Herbert Flentye</x:v>
      </x:c>
      <x:c r="E3169" t="str">
        <x:v>Consumer</x:v>
      </x:c>
      <x:c r="F3169" t="str">
        <x:v>West</x:v>
      </x:c>
      <x:c r="G3169" t="str">
        <x:v>Office Supplies</x:v>
      </x:c>
      <x:c r="H3169" t="str">
        <x:v>Art</x:v>
      </x:c>
      <x:c r="I3169" s="22" t="n">
        <x:v>59.519999999999996</x:v>
      </x:c>
      <x:c r="J3169" s="24" t="n">
        <x:v>3</x:v>
      </x:c>
      <x:c r="K3169" s="26" t="n">
        <x:v>0</x:v>
      </x:c>
      <x:c r="L3169" s="22" t="n">
        <x:v>15.475200000000001</x:v>
      </x:c>
      <x:c r="M3169" t="n">
        <x:v>2014</x:v>
      </x:c>
      <x:c r="N3169" s="20" t="n">
        <x:v>41883</x:v>
      </x:c>
    </x:row>
    <x:row r="3170" ht="18" customHeight="1">
      <x:c r="A3170" t="str">
        <x:v>CA-2014-153969</x:v>
      </x:c>
      <x:c r="B3170" s="18" t="n">
        <x:v>41903</x:v>
      </x:c>
      <x:c r="C3170" t="str">
        <x:v>HF-14995</x:v>
      </x:c>
      <x:c r="D3170" t="str">
        <x:v>Herbert Flentye</x:v>
      </x:c>
      <x:c r="E3170" t="str">
        <x:v>Consumer</x:v>
      </x:c>
      <x:c r="F3170" t="str">
        <x:v>West</x:v>
      </x:c>
      <x:c r="G3170" t="str">
        <x:v>Office Supplies</x:v>
      </x:c>
      <x:c r="H3170" t="str">
        <x:v>Paper</x:v>
      </x:c>
      <x:c r="I3170" s="22" t="n">
        <x:v>38.52</x:v>
      </x:c>
      <x:c r="J3170" s="24" t="n">
        <x:v>9</x:v>
      </x:c>
      <x:c r="K3170" s="26" t="n">
        <x:v>0</x:v>
      </x:c>
      <x:c r="L3170" s="22" t="n">
        <x:v>17.333999999999996</x:v>
      </x:c>
      <x:c r="M3170" t="n">
        <x:v>2014</x:v>
      </x:c>
      <x:c r="N3170" s="20" t="n">
        <x:v>41883</x:v>
      </x:c>
    </x:row>
    <x:row r="3171" ht="18" customHeight="1">
      <x:c r="A3171" t="str">
        <x:v>CA-2014-153969</x:v>
      </x:c>
      <x:c r="B3171" s="18" t="n">
        <x:v>41903</x:v>
      </x:c>
      <x:c r="C3171" t="str">
        <x:v>HF-14995</x:v>
      </x:c>
      <x:c r="D3171" t="str">
        <x:v>Herbert Flentye</x:v>
      </x:c>
      <x:c r="E3171" t="str">
        <x:v>Consumer</x:v>
      </x:c>
      <x:c r="F3171" t="str">
        <x:v>West</x:v>
      </x:c>
      <x:c r="G3171" t="str">
        <x:v>Technology</x:v>
      </x:c>
      <x:c r="H3171" t="str">
        <x:v>Phones</x:v>
      </x:c>
      <x:c r="I3171" s="22" t="n">
        <x:v>239.98400000000004</x:v>
      </x:c>
      <x:c r="J3171" s="24" t="n">
        <x:v>2</x:v>
      </x:c>
      <x:c r="K3171" s="26" t="n">
        <x:v>0.2</x:v>
      </x:c>
      <x:c r="L3171" s="22" t="n">
        <x:v>23.998400000000004</x:v>
      </x:c>
      <x:c r="M3171" t="n">
        <x:v>2014</x:v>
      </x:c>
      <x:c r="N3171" s="20" t="n">
        <x:v>41883</x:v>
      </x:c>
    </x:row>
    <x:row r="3172" ht="18" customHeight="1">
      <x:c r="A3172" t="str">
        <x:v>CA-2014-153969</x:v>
      </x:c>
      <x:c r="B3172" s="18" t="n">
        <x:v>41903</x:v>
      </x:c>
      <x:c r="C3172" t="str">
        <x:v>HF-14995</x:v>
      </x:c>
      <x:c r="D3172" t="str">
        <x:v>Herbert Flentye</x:v>
      </x:c>
      <x:c r="E3172" t="str">
        <x:v>Consumer</x:v>
      </x:c>
      <x:c r="F3172" t="str">
        <x:v>West</x:v>
      </x:c>
      <x:c r="G3172" t="str">
        <x:v>Office Supplies</x:v>
      </x:c>
      <x:c r="H3172" t="str">
        <x:v>Paper</x:v>
      </x:c>
      <x:c r="I3172" s="22" t="n">
        <x:v>19.35</x:v>
      </x:c>
      <x:c r="J3172" s="24" t="n">
        <x:v>3</x:v>
      </x:c>
      <x:c r="K3172" s="26" t="n">
        <x:v>0</x:v>
      </x:c>
      <x:c r="L3172" s="22" t="n">
        <x:v>9.4815</x:v>
      </x:c>
      <x:c r="M3172" t="n">
        <x:v>2014</x:v>
      </x:c>
      <x:c r="N3172" s="20" t="n">
        <x:v>41883</x:v>
      </x:c>
    </x:row>
    <x:row r="3173" ht="18" customHeight="1">
      <x:c r="A3173" t="str">
        <x:v>CA-2016-146682</x:v>
      </x:c>
      <x:c r="B3173" s="18" t="n">
        <x:v>42672</x:v>
      </x:c>
      <x:c r="C3173" t="str">
        <x:v>KW-16435</x:v>
      </x:c>
      <x:c r="D3173" t="str">
        <x:v>Katrina Willman</x:v>
      </x:c>
      <x:c r="E3173" t="str">
        <x:v>Consumer</x:v>
      </x:c>
      <x:c r="F3173" t="str">
        <x:v>Central</x:v>
      </x:c>
      <x:c r="G3173" t="str">
        <x:v>Furniture</x:v>
      </x:c>
      <x:c r="H3173" t="str">
        <x:v>Furnishings</x:v>
      </x:c>
      <x:c r="I3173" s="22" t="n">
        <x:v>67</x:v>
      </x:c>
      <x:c r="J3173" s="24" t="n">
        <x:v>5</x:v>
      </x:c>
      <x:c r="K3173" s="26" t="n">
        <x:v>0</x:v>
      </x:c>
      <x:c r="L3173" s="22" t="n">
        <x:v>32.16</x:v>
      </x:c>
      <x:c r="M3173" t="n">
        <x:v>2016</x:v>
      </x:c>
      <x:c r="N3173" s="20" t="n">
        <x:v>42644</x:v>
      </x:c>
    </x:row>
    <x:row r="3174" ht="18" customHeight="1">
      <x:c r="A3174" t="str">
        <x:v>CA-2016-138695</x:v>
      </x:c>
      <x:c r="B3174" s="18" t="n">
        <x:v>42518</x:v>
      </x:c>
      <x:c r="C3174" t="str">
        <x:v>KC-16675</x:v>
      </x:c>
      <x:c r="D3174" t="str">
        <x:v>Kimberly Carter</x:v>
      </x:c>
      <x:c r="E3174" t="str">
        <x:v>Corporate</x:v>
      </x:c>
      <x:c r="F3174" t="str">
        <x:v>South</x:v>
      </x:c>
      <x:c r="G3174" t="str">
        <x:v>Furniture</x:v>
      </x:c>
      <x:c r="H3174" t="str">
        <x:v>Chairs</x:v>
      </x:c>
      <x:c r="I3174" s="22" t="n">
        <x:v>390.272</x:v>
      </x:c>
      <x:c r="J3174" s="24" t="n">
        <x:v>8</x:v>
      </x:c>
      <x:c r="K3174" s="26" t="n">
        <x:v>0.2</x:v>
      </x:c>
      <x:c r="L3174" s="22" t="n">
        <x:v>-24.39200000000001</x:v>
      </x:c>
      <x:c r="M3174" t="n">
        <x:v>2016</x:v>
      </x:c>
      <x:c r="N3174" s="20" t="n">
        <x:v>42491</x:v>
      </x:c>
    </x:row>
    <x:row r="3175" ht="18" customHeight="1">
      <x:c r="A3175" t="str">
        <x:v>CA-2016-138695</x:v>
      </x:c>
      <x:c r="B3175" s="18" t="n">
        <x:v>42518</x:v>
      </x:c>
      <x:c r="C3175" t="str">
        <x:v>KC-16675</x:v>
      </x:c>
      <x:c r="D3175" t="str">
        <x:v>Kimberly Carter</x:v>
      </x:c>
      <x:c r="E3175" t="str">
        <x:v>Corporate</x:v>
      </x:c>
      <x:c r="F3175" t="str">
        <x:v>South</x:v>
      </x:c>
      <x:c r="G3175" t="str">
        <x:v>Office Supplies</x:v>
      </x:c>
      <x:c r="H3175" t="str">
        <x:v>Paper</x:v>
      </x:c>
      <x:c r="I3175" s="22" t="n">
        <x:v>62.19200000000001</x:v>
      </x:c>
      <x:c r="J3175" s="24" t="n">
        <x:v>13</x:v>
      </x:c>
      <x:c r="K3175" s="26" t="n">
        <x:v>0.2</x:v>
      </x:c>
      <x:c r="L3175" s="22" t="n">
        <x:v>19.434999999999995</x:v>
      </x:c>
      <x:c r="M3175" t="n">
        <x:v>2016</x:v>
      </x:c>
      <x:c r="N3175" s="20" t="n">
        <x:v>42491</x:v>
      </x:c>
    </x:row>
    <x:row r="3176" ht="18" customHeight="1">
      <x:c r="A3176" t="str">
        <x:v>CA-2017-107461</x:v>
      </x:c>
      <x:c r="B3176" s="18" t="n">
        <x:v>43090</x:v>
      </x:c>
      <x:c r="C3176" t="str">
        <x:v>PK-19075</x:v>
      </x:c>
      <x:c r="D3176" t="str">
        <x:v>Pete Kriz</x:v>
      </x:c>
      <x:c r="E3176" t="str">
        <x:v>Consumer</x:v>
      </x:c>
      <x:c r="F3176" t="str">
        <x:v>South</x:v>
      </x:c>
      <x:c r="G3176" t="str">
        <x:v>Office Supplies</x:v>
      </x:c>
      <x:c r="H3176" t="str">
        <x:v>Binders</x:v>
      </x:c>
      <x:c r="I3176" s="22" t="n">
        <x:v>23.88</x:v>
      </x:c>
      <x:c r="J3176" s="24" t="n">
        <x:v>6</x:v>
      </x:c>
      <x:c r="K3176" s="26" t="n">
        <x:v>0</x:v>
      </x:c>
      <x:c r="L3176" s="22" t="n">
        <x:v>11.223600000000001</x:v>
      </x:c>
      <x:c r="M3176" t="n">
        <x:v>2017</x:v>
      </x:c>
      <x:c r="N3176" s="20" t="n">
        <x:v>43070</x:v>
      </x:c>
    </x:row>
    <x:row r="3177" ht="18" customHeight="1">
      <x:c r="A3177" t="str">
        <x:v>US-2016-133879</x:v>
      </x:c>
      <x:c r="B3177" s="18" t="n">
        <x:v>42450</x:v>
      </x:c>
      <x:c r="C3177" t="str">
        <x:v>KT-16465</x:v>
      </x:c>
      <x:c r="D3177" t="str">
        <x:v>Kean Takahito</x:v>
      </x:c>
      <x:c r="E3177" t="str">
        <x:v>Consumer</x:v>
      </x:c>
      <x:c r="F3177" t="str">
        <x:v>Central</x:v>
      </x:c>
      <x:c r="G3177" t="str">
        <x:v>Office Supplies</x:v>
      </x:c>
      <x:c r="H3177" t="str">
        <x:v>Binders</x:v>
      </x:c>
      <x:c r="I3177" s="22" t="n">
        <x:v>3.1679999999999993</x:v>
      </x:c>
      <x:c r="J3177" s="24" t="n">
        <x:v>2</x:v>
      </x:c>
      <x:c r="K3177" s="26" t="n">
        <x:v>0.8</x:v>
      </x:c>
      <x:c r="L3177" s="22" t="n">
        <x:v>-4.752000000000001</x:v>
      </x:c>
      <x:c r="M3177" t="n">
        <x:v>2016</x:v>
      </x:c>
      <x:c r="N3177" s="20" t="n">
        <x:v>42430</x:v>
      </x:c>
    </x:row>
    <x:row r="3178" ht="18" customHeight="1">
      <x:c r="A3178" t="str">
        <x:v>US-2016-133879</x:v>
      </x:c>
      <x:c r="B3178" s="18" t="n">
        <x:v>42450</x:v>
      </x:c>
      <x:c r="C3178" t="str">
        <x:v>KT-16465</x:v>
      </x:c>
      <x:c r="D3178" t="str">
        <x:v>Kean Takahito</x:v>
      </x:c>
      <x:c r="E3178" t="str">
        <x:v>Consumer</x:v>
      </x:c>
      <x:c r="F3178" t="str">
        <x:v>Central</x:v>
      </x:c>
      <x:c r="G3178" t="str">
        <x:v>Furniture</x:v>
      </x:c>
      <x:c r="H3178" t="str">
        <x:v>Chairs</x:v>
      </x:c>
      <x:c r="I3178" s="22" t="n">
        <x:v>528.43</x:v>
      </x:c>
      <x:c r="J3178" s="24" t="n">
        <x:v>5</x:v>
      </x:c>
      <x:c r="K3178" s="26" t="n">
        <x:v>0.3</x:v>
      </x:c>
      <x:c r="L3178" s="22" t="n">
        <x:v>0</x:v>
      </x:c>
      <x:c r="M3178" t="n">
        <x:v>2016</x:v>
      </x:c>
      <x:c r="N3178" s="20" t="n">
        <x:v>42430</x:v>
      </x:c>
    </x:row>
    <x:row r="3179" ht="18" customHeight="1">
      <x:c r="A3179" t="str">
        <x:v>US-2016-133879</x:v>
      </x:c>
      <x:c r="B3179" s="18" t="n">
        <x:v>42450</x:v>
      </x:c>
      <x:c r="C3179" t="str">
        <x:v>KT-16465</x:v>
      </x:c>
      <x:c r="D3179" t="str">
        <x:v>Kean Takahito</x:v>
      </x:c>
      <x:c r="E3179" t="str">
        <x:v>Consumer</x:v>
      </x:c>
      <x:c r="F3179" t="str">
        <x:v>Central</x:v>
      </x:c>
      <x:c r="G3179" t="str">
        <x:v>Office Supplies</x:v>
      </x:c>
      <x:c r="H3179" t="str">
        <x:v>Art</x:v>
      </x:c>
      <x:c r="I3179" s="22" t="n">
        <x:v>13.392000000000001</x:v>
      </x:c>
      <x:c r="J3179" s="24" t="n">
        <x:v>3</x:v>
      </x:c>
      <x:c r="K3179" s="26" t="n">
        <x:v>0.2</x:v>
      </x:c>
      <x:c r="L3179" s="22" t="n">
        <x:v>1.5065999999999975</x:v>
      </x:c>
      <x:c r="M3179" t="n">
        <x:v>2016</x:v>
      </x:c>
      <x:c r="N3179" s="20" t="n">
        <x:v>42430</x:v>
      </x:c>
    </x:row>
    <x:row r="3180" ht="18" customHeight="1">
      <x:c r="A3180" t="str">
        <x:v>CA-2017-157483</x:v>
      </x:c>
      <x:c r="B3180" s="18" t="n">
        <x:v>43050</x:v>
      </x:c>
      <x:c r="C3180" t="str">
        <x:v>EP-13915</x:v>
      </x:c>
      <x:c r="D3180" t="str">
        <x:v>Emily Phan</x:v>
      </x:c>
      <x:c r="E3180" t="str">
        <x:v>Consumer</x:v>
      </x:c>
      <x:c r="F3180" t="str">
        <x:v>Central</x:v>
      </x:c>
      <x:c r="G3180" t="str">
        <x:v>Office Supplies</x:v>
      </x:c>
      <x:c r="H3180" t="str">
        <x:v>Art</x:v>
      </x:c>
      <x:c r="I3180" s="22" t="n">
        <x:v>181.86</x:v>
      </x:c>
      <x:c r="J3180" s="24" t="n">
        <x:v>7</x:v>
      </x:c>
      <x:c r="K3180" s="26" t="n">
        <x:v>0</x:v>
      </x:c>
      <x:c r="L3180" s="22" t="n">
        <x:v>50.9208</x:v>
      </x:c>
      <x:c r="M3180" t="n">
        <x:v>2017</x:v>
      </x:c>
      <x:c r="N3180" s="20" t="n">
        <x:v>43040</x:v>
      </x:c>
    </x:row>
    <x:row r="3181" ht="18" customHeight="1">
      <x:c r="A3181" t="str">
        <x:v>US-2017-132059</x:v>
      </x:c>
      <x:c r="B3181" s="18" t="n">
        <x:v>43001</x:v>
      </x:c>
      <x:c r="C3181" t="str">
        <x:v>AP-10915</x:v>
      </x:c>
      <x:c r="D3181" t="str">
        <x:v>Arthur Prichep</x:v>
      </x:c>
      <x:c r="E3181" t="str">
        <x:v>Consumer</x:v>
      </x:c>
      <x:c r="F3181" t="str">
        <x:v>West</x:v>
      </x:c>
      <x:c r="G3181" t="str">
        <x:v>Furniture</x:v>
      </x:c>
      <x:c r="H3181" t="str">
        <x:v>Bookcases</x:v>
      </x:c>
      <x:c r="I3181" s="22" t="n">
        <x:v>180.58800000000005</x:v>
      </x:c>
      <x:c r="J3181" s="24" t="n">
        <x:v>2</x:v>
      </x:c>
      <x:c r="K3181" s="26" t="n">
        <x:v>0.7</x:v>
      </x:c>
      <x:c r="L3181" s="22" t="n">
        <x:v>-240.78400000000005</x:v>
      </x:c>
      <x:c r="M3181" t="n">
        <x:v>2017</x:v>
      </x:c>
      <x:c r="N3181" s="20" t="n">
        <x:v>42979</x:v>
      </x:c>
    </x:row>
    <x:row r="3182" ht="18" customHeight="1">
      <x:c r="A3182" t="str">
        <x:v>US-2017-132059</x:v>
      </x:c>
      <x:c r="B3182" s="18" t="n">
        <x:v>43001</x:v>
      </x:c>
      <x:c r="C3182" t="str">
        <x:v>AP-10915</x:v>
      </x:c>
      <x:c r="D3182" t="str">
        <x:v>Arthur Prichep</x:v>
      </x:c>
      <x:c r="E3182" t="str">
        <x:v>Consumer</x:v>
      </x:c>
      <x:c r="F3182" t="str">
        <x:v>West</x:v>
      </x:c>
      <x:c r="G3182" t="str">
        <x:v>Technology</x:v>
      </x:c>
      <x:c r="H3182" t="str">
        <x:v>Accessories</x:v>
      </x:c>
      <x:c r="I3182" s="22" t="n">
        <x:v>47.984</x:v>
      </x:c>
      <x:c r="J3182" s="24" t="n">
        <x:v>2</x:v>
      </x:c>
      <x:c r="K3182" s="26" t="n">
        <x:v>0.2</x:v>
      </x:c>
      <x:c r="L3182" s="22" t="n">
        <x:v>0.5997999999999966</x:v>
      </x:c>
      <x:c r="M3182" t="n">
        <x:v>2017</x:v>
      </x:c>
      <x:c r="N3182" s="20" t="n">
        <x:v>42979</x:v>
      </x:c>
    </x:row>
    <x:row r="3183" ht="18" customHeight="1">
      <x:c r="A3183" t="str">
        <x:v>CA-2017-122280</x:v>
      </x:c>
      <x:c r="B3183" s="18" t="n">
        <x:v>42988</x:v>
      </x:c>
      <x:c r="C3183" t="str">
        <x:v>SH-20395</x:v>
      </x:c>
      <x:c r="D3183" t="str">
        <x:v>Shahid Hopkins</x:v>
      </x:c>
      <x:c r="E3183" t="str">
        <x:v>Consumer</x:v>
      </x:c>
      <x:c r="F3183" t="str">
        <x:v>East</x:v>
      </x:c>
      <x:c r="G3183" t="str">
        <x:v>Office Supplies</x:v>
      </x:c>
      <x:c r="H3183" t="str">
        <x:v>Paper</x:v>
      </x:c>
      <x:c r="I3183" s="22" t="n">
        <x:v>18.76</x:v>
      </x:c>
      <x:c r="J3183" s="24" t="n">
        <x:v>2</x:v>
      </x:c>
      <x:c r="K3183" s="26" t="n">
        <x:v>0</x:v>
      </x:c>
      <x:c r="L3183" s="22" t="n">
        <x:v>9.004800000000001</x:v>
      </x:c>
      <x:c r="M3183" t="n">
        <x:v>2017</x:v>
      </x:c>
      <x:c r="N3183" s="20" t="n">
        <x:v>42979</x:v>
      </x:c>
    </x:row>
    <x:row r="3184" ht="18" customHeight="1">
      <x:c r="A3184" t="str">
        <x:v>CA-2017-105235</x:v>
      </x:c>
      <x:c r="B3184" s="18" t="n">
        <x:v>43074</x:v>
      </x:c>
      <x:c r="C3184" t="str">
        <x:v>SM-20950</x:v>
      </x:c>
      <x:c r="D3184" t="str">
        <x:v>Suzanne McNair</x:v>
      </x:c>
      <x:c r="E3184" t="str">
        <x:v>Corporate</x:v>
      </x:c>
      <x:c r="F3184" t="str">
        <x:v>East</x:v>
      </x:c>
      <x:c r="G3184" t="str">
        <x:v>Furniture</x:v>
      </x:c>
      <x:c r="H3184" t="str">
        <x:v>Furnishings</x:v>
      </x:c>
      <x:c r="I3184" s="22" t="n">
        <x:v>20.94</x:v>
      </x:c>
      <x:c r="J3184" s="24" t="n">
        <x:v>3</x:v>
      </x:c>
      <x:c r="K3184" s="26" t="n">
        <x:v>0</x:v>
      </x:c>
      <x:c r="L3184" s="22" t="n">
        <x:v>6.072599999999999</x:v>
      </x:c>
      <x:c r="M3184" t="n">
        <x:v>2017</x:v>
      </x:c>
      <x:c r="N3184" s="20" t="n">
        <x:v>43070</x:v>
      </x:c>
    </x:row>
    <x:row r="3185" ht="18" customHeight="1">
      <x:c r="A3185" t="str">
        <x:v>CA-2017-105235</x:v>
      </x:c>
      <x:c r="B3185" s="18" t="n">
        <x:v>43074</x:v>
      </x:c>
      <x:c r="C3185" t="str">
        <x:v>SM-20950</x:v>
      </x:c>
      <x:c r="D3185" t="str">
        <x:v>Suzanne McNair</x:v>
      </x:c>
      <x:c r="E3185" t="str">
        <x:v>Corporate</x:v>
      </x:c>
      <x:c r="F3185" t="str">
        <x:v>East</x:v>
      </x:c>
      <x:c r="G3185" t="str">
        <x:v>Furniture</x:v>
      </x:c>
      <x:c r="H3185" t="str">
        <x:v>Furnishings</x:v>
      </x:c>
      <x:c r="I3185" s="22" t="n">
        <x:v>58.68</x:v>
      </x:c>
      <x:c r="J3185" s="24" t="n">
        <x:v>2</x:v>
      </x:c>
      <x:c r="K3185" s="26" t="n">
        <x:v>0</x:v>
      </x:c>
      <x:c r="L3185" s="22" t="n">
        <x:v>18.190799999999996</x:v>
      </x:c>
      <x:c r="M3185" t="n">
        <x:v>2017</x:v>
      </x:c>
      <x:c r="N3185" s="20" t="n">
        <x:v>43070</x:v>
      </x:c>
    </x:row>
    <x:row r="3186" ht="18" customHeight="1">
      <x:c r="A3186" t="str">
        <x:v>CA-2017-105235</x:v>
      </x:c>
      <x:c r="B3186" s="18" t="n">
        <x:v>43074</x:v>
      </x:c>
      <x:c r="C3186" t="str">
        <x:v>SM-20950</x:v>
      </x:c>
      <x:c r="D3186" t="str">
        <x:v>Suzanne McNair</x:v>
      </x:c>
      <x:c r="E3186" t="str">
        <x:v>Corporate</x:v>
      </x:c>
      <x:c r="F3186" t="str">
        <x:v>East</x:v>
      </x:c>
      <x:c r="G3186" t="str">
        <x:v>Office Supplies</x:v>
      </x:c>
      <x:c r="H3186" t="str">
        <x:v>Appliances</x:v>
      </x:c>
      <x:c r="I3186" s="22" t="n">
        <x:v>254.89999999999998</x:v>
      </x:c>
      <x:c r="J3186" s="24" t="n">
        <x:v>5</x:v>
      </x:c>
      <x:c r="K3186" s="26" t="n">
        <x:v>0</x:v>
      </x:c>
      <x:c r="L3186" s="22" t="n">
        <x:v>68.82300000000001</x:v>
      </x:c>
      <x:c r="M3186" t="n">
        <x:v>2017</x:v>
      </x:c>
      <x:c r="N3186" s="20" t="n">
        <x:v>43070</x:v>
      </x:c>
    </x:row>
    <x:row r="3187" ht="18" customHeight="1">
      <x:c r="A3187" t="str">
        <x:v>CA-2017-152912</x:v>
      </x:c>
      <x:c r="B3187" s="18" t="n">
        <x:v>43048</x:v>
      </x:c>
      <x:c r="C3187" t="str">
        <x:v>BM-11650</x:v>
      </x:c>
      <x:c r="D3187" t="str">
        <x:v>Brian Moss</x:v>
      </x:c>
      <x:c r="E3187" t="str">
        <x:v>Corporate</x:v>
      </x:c>
      <x:c r="F3187" t="str">
        <x:v>East</x:v>
      </x:c>
      <x:c r="G3187" t="str">
        <x:v>Office Supplies</x:v>
      </x:c>
      <x:c r="H3187" t="str">
        <x:v>Binders</x:v>
      </x:c>
      <x:c r="I3187" s="22" t="n">
        <x:v>9.64</x:v>
      </x:c>
      <x:c r="J3187" s="24" t="n">
        <x:v>2</x:v>
      </x:c>
      <x:c r="K3187" s="26" t="n">
        <x:v>0</x:v>
      </x:c>
      <x:c r="L3187" s="22" t="n">
        <x:v>4.4344</x:v>
      </x:c>
      <x:c r="M3187" t="n">
        <x:v>2017</x:v>
      </x:c>
      <x:c r="N3187" s="20" t="n">
        <x:v>43040</x:v>
      </x:c>
    </x:row>
    <x:row r="3188" ht="18" customHeight="1">
      <x:c r="A3188" t="str">
        <x:v>CA-2017-152912</x:v>
      </x:c>
      <x:c r="B3188" s="18" t="n">
        <x:v>43048</x:v>
      </x:c>
      <x:c r="C3188" t="str">
        <x:v>BM-11650</x:v>
      </x:c>
      <x:c r="D3188" t="str">
        <x:v>Brian Moss</x:v>
      </x:c>
      <x:c r="E3188" t="str">
        <x:v>Corporate</x:v>
      </x:c>
      <x:c r="F3188" t="str">
        <x:v>East</x:v>
      </x:c>
      <x:c r="G3188" t="str">
        <x:v>Technology</x:v>
      </x:c>
      <x:c r="H3188" t="str">
        <x:v>Accessories</x:v>
      </x:c>
      <x:c r="I3188" s="22" t="n">
        <x:v>826.6200000000001</x:v>
      </x:c>
      <x:c r="J3188" s="24" t="n">
        <x:v>3</x:v>
      </x:c>
      <x:c r="K3188" s="26" t="n">
        <x:v>0</x:v>
      </x:c>
      <x:c r="L3188" s="22" t="n">
        <x:v>355.4466000000001</x:v>
      </x:c>
      <x:c r="M3188" t="n">
        <x:v>2017</x:v>
      </x:c>
      <x:c r="N3188" s="20" t="n">
        <x:v>43040</x:v>
      </x:c>
    </x:row>
    <x:row r="3189" ht="18" customHeight="1">
      <x:c r="A3189" t="str">
        <x:v>CA-2017-152912</x:v>
      </x:c>
      <x:c r="B3189" s="18" t="n">
        <x:v>43048</x:v>
      </x:c>
      <x:c r="C3189" t="str">
        <x:v>BM-11650</x:v>
      </x:c>
      <x:c r="D3189" t="str">
        <x:v>Brian Moss</x:v>
      </x:c>
      <x:c r="E3189" t="str">
        <x:v>Corporate</x:v>
      </x:c>
      <x:c r="F3189" t="str">
        <x:v>East</x:v>
      </x:c>
      <x:c r="G3189" t="str">
        <x:v>Office Supplies</x:v>
      </x:c>
      <x:c r="H3189" t="str">
        <x:v>Storage</x:v>
      </x:c>
      <x:c r="I3189" s="22" t="n">
        <x:v>1633.14</x:v>
      </x:c>
      <x:c r="J3189" s="24" t="n">
        <x:v>9</x:v>
      </x:c>
      <x:c r="K3189" s="26" t="n">
        <x:v>0</x:v>
      </x:c>
      <x:c r="L3189" s="22" t="n">
        <x:v>473.61059999999975</x:v>
      </x:c>
      <x:c r="M3189" t="n">
        <x:v>2017</x:v>
      </x:c>
      <x:c r="N3189" s="20" t="n">
        <x:v>43040</x:v>
      </x:c>
    </x:row>
    <x:row r="3190" ht="18" customHeight="1">
      <x:c r="A3190" t="str">
        <x:v>CA-2017-152912</x:v>
      </x:c>
      <x:c r="B3190" s="18" t="n">
        <x:v>43048</x:v>
      </x:c>
      <x:c r="C3190" t="str">
        <x:v>BM-11650</x:v>
      </x:c>
      <x:c r="D3190" t="str">
        <x:v>Brian Moss</x:v>
      </x:c>
      <x:c r="E3190" t="str">
        <x:v>Corporate</x:v>
      </x:c>
      <x:c r="F3190" t="str">
        <x:v>East</x:v>
      </x:c>
      <x:c r="G3190" t="str">
        <x:v>Office Supplies</x:v>
      </x:c>
      <x:c r="H3190" t="str">
        <x:v>Storage</x:v>
      </x:c>
      <x:c r="I3190" s="22" t="n">
        <x:v>544.38</x:v>
      </x:c>
      <x:c r="J3190" s="24" t="n">
        <x:v>3</x:v>
      </x:c>
      <x:c r="K3190" s="26" t="n">
        <x:v>0</x:v>
      </x:c>
      <x:c r="L3190" s="22" t="n">
        <x:v>157.87019999999993</x:v>
      </x:c>
      <x:c r="M3190" t="n">
        <x:v>2017</x:v>
      </x:c>
      <x:c r="N3190" s="20" t="n">
        <x:v>43040</x:v>
      </x:c>
    </x:row>
    <x:row r="3191" ht="18" customHeight="1">
      <x:c r="A3191" t="str">
        <x:v>CA-2014-123498</x:v>
      </x:c>
      <x:c r="B3191" s="18" t="n">
        <x:v>41950</x:v>
      </x:c>
      <x:c r="C3191" t="str">
        <x:v>TC-20980</x:v>
      </x:c>
      <x:c r="D3191" t="str">
        <x:v>Tamara Chand</x:v>
      </x:c>
      <x:c r="E3191" t="str">
        <x:v>Corporate</x:v>
      </x:c>
      <x:c r="F3191" t="str">
        <x:v>Central</x:v>
      </x:c>
      <x:c r="G3191" t="str">
        <x:v>Office Supplies</x:v>
      </x:c>
      <x:c r="H3191" t="str">
        <x:v>Binders</x:v>
      </x:c>
      <x:c r="I3191" s="22" t="n">
        <x:v>26.045999999999992</x:v>
      </x:c>
      <x:c r="J3191" s="24" t="n">
        <x:v>3</x:v>
      </x:c>
      <x:c r="K3191" s="26" t="n">
        <x:v>0.8</x:v>
      </x:c>
      <x:c r="L3191" s="22" t="n">
        <x:v>-44.2782</x:v>
      </x:c>
      <x:c r="M3191" t="n">
        <x:v>2014</x:v>
      </x:c>
      <x:c r="N3191" s="20" t="n">
        <x:v>41944</x:v>
      </x:c>
    </x:row>
    <x:row r="3192" ht="18" customHeight="1">
      <x:c r="A3192" t="str">
        <x:v>CA-2014-123498</x:v>
      </x:c>
      <x:c r="B3192" s="18" t="n">
        <x:v>41950</x:v>
      </x:c>
      <x:c r="C3192" t="str">
        <x:v>TC-20980</x:v>
      </x:c>
      <x:c r="D3192" t="str">
        <x:v>Tamara Chand</x:v>
      </x:c>
      <x:c r="E3192" t="str">
        <x:v>Corporate</x:v>
      </x:c>
      <x:c r="F3192" t="str">
        <x:v>Central</x:v>
      </x:c>
      <x:c r="G3192" t="str">
        <x:v>Office Supplies</x:v>
      </x:c>
      <x:c r="H3192" t="str">
        <x:v>Envelopes</x:v>
      </x:c>
      <x:c r="I3192" s="22" t="n">
        <x:v>74.352</x:v>
      </x:c>
      <x:c r="J3192" s="24" t="n">
        <x:v>3</x:v>
      </x:c>
      <x:c r="K3192" s="26" t="n">
        <x:v>0.2</x:v>
      </x:c>
      <x:c r="L3192" s="22" t="n">
        <x:v>26.952599999999997</x:v>
      </x:c>
      <x:c r="M3192" t="n">
        <x:v>2014</x:v>
      </x:c>
      <x:c r="N3192" s="20" t="n">
        <x:v>41944</x:v>
      </x:c>
    </x:row>
    <x:row r="3193" ht="18" customHeight="1">
      <x:c r="A3193" t="str">
        <x:v>CA-2017-159352</x:v>
      </x:c>
      <x:c r="B3193" s="18" t="n">
        <x:v>42806</x:v>
      </x:c>
      <x:c r="C3193" t="str">
        <x:v>KB-16585</x:v>
      </x:c>
      <x:c r="D3193" t="str">
        <x:v>Ken Black</x:v>
      </x:c>
      <x:c r="E3193" t="str">
        <x:v>Corporate</x:v>
      </x:c>
      <x:c r="F3193" t="str">
        <x:v>East</x:v>
      </x:c>
      <x:c r="G3193" t="str">
        <x:v>Technology</x:v>
      </x:c>
      <x:c r="H3193" t="str">
        <x:v>Phones</x:v>
      </x:c>
      <x:c r="I3193" s="22" t="n">
        <x:v>69.93</x:v>
      </x:c>
      <x:c r="J3193" s="24" t="n">
        <x:v>7</x:v>
      </x:c>
      <x:c r="K3193" s="26" t="n">
        <x:v>0</x:v>
      </x:c>
      <x:c r="L3193" s="22" t="n">
        <x:v>32.1678</x:v>
      </x:c>
      <x:c r="M3193" t="n">
        <x:v>2017</x:v>
      </x:c>
      <x:c r="N3193" s="20" t="n">
        <x:v>42795</x:v>
      </x:c>
    </x:row>
    <x:row r="3194" ht="18" customHeight="1">
      <x:c r="A3194" t="str">
        <x:v>US-2017-146416</x:v>
      </x:c>
      <x:c r="B3194" s="18" t="n">
        <x:v>43028</x:v>
      </x:c>
      <x:c r="C3194" t="str">
        <x:v>JE-16165</x:v>
      </x:c>
      <x:c r="D3194" t="str">
        <x:v>Justin Ellison</x:v>
      </x:c>
      <x:c r="E3194" t="str">
        <x:v>Corporate</x:v>
      </x:c>
      <x:c r="F3194" t="str">
        <x:v>West</x:v>
      </x:c>
      <x:c r="G3194" t="str">
        <x:v>Office Supplies</x:v>
      </x:c>
      <x:c r="H3194" t="str">
        <x:v>Labels</x:v>
      </x:c>
      <x:c r="I3194" s="22" t="n">
        <x:v>3.75</x:v>
      </x:c>
      <x:c r="J3194" s="24" t="n">
        <x:v>1</x:v>
      </x:c>
      <x:c r="K3194" s="26" t="n">
        <x:v>0</x:v>
      </x:c>
      <x:c r="L3194" s="22" t="n">
        <x:v>1.7999999999999998</x:v>
      </x:c>
      <x:c r="M3194" t="n">
        <x:v>2017</x:v>
      </x:c>
      <x:c r="N3194" s="20" t="n">
        <x:v>43009</x:v>
      </x:c>
    </x:row>
    <x:row r="3195" ht="18" customHeight="1">
      <x:c r="A3195" t="str">
        <x:v>US-2017-146416</x:v>
      </x:c>
      <x:c r="B3195" s="18" t="n">
        <x:v>43028</x:v>
      </x:c>
      <x:c r="C3195" t="str">
        <x:v>JE-16165</x:v>
      </x:c>
      <x:c r="D3195" t="str">
        <x:v>Justin Ellison</x:v>
      </x:c>
      <x:c r="E3195" t="str">
        <x:v>Corporate</x:v>
      </x:c>
      <x:c r="F3195" t="str">
        <x:v>West</x:v>
      </x:c>
      <x:c r="G3195" t="str">
        <x:v>Office Supplies</x:v>
      </x:c>
      <x:c r="H3195" t="str">
        <x:v>Binders</x:v>
      </x:c>
      <x:c r="I3195" s="22" t="n">
        <x:v>20.928</x:v>
      </x:c>
      <x:c r="J3195" s="24" t="n">
        <x:v>4</x:v>
      </x:c>
      <x:c r="K3195" s="26" t="n">
        <x:v>0.2</x:v>
      </x:c>
      <x:c r="L3195" s="22" t="n">
        <x:v>7.5864</x:v>
      </x:c>
      <x:c r="M3195" t="n">
        <x:v>2017</x:v>
      </x:c>
      <x:c r="N3195" s="20" t="n">
        <x:v>43009</x:v>
      </x:c>
    </x:row>
    <x:row r="3196" ht="18" customHeight="1">
      <x:c r="A3196" t="str">
        <x:v>US-2015-163783</x:v>
      </x:c>
      <x:c r="B3196" s="18" t="n">
        <x:v>42365</x:v>
      </x:c>
      <x:c r="C3196" t="str">
        <x:v>DR-12940</x:v>
      </x:c>
      <x:c r="D3196" t="str">
        <x:v>Daniel Raglin</x:v>
      </x:c>
      <x:c r="E3196" t="str">
        <x:v>Home Office</x:v>
      </x:c>
      <x:c r="F3196" t="str">
        <x:v>Central</x:v>
      </x:c>
      <x:c r="G3196" t="str">
        <x:v>Office Supplies</x:v>
      </x:c>
      <x:c r="H3196" t="str">
        <x:v>Storage</x:v>
      </x:c>
      <x:c r="I3196" s="22" t="n">
        <x:v>12.672</x:v>
      </x:c>
      <x:c r="J3196" s="24" t="n">
        <x:v>3</x:v>
      </x:c>
      <x:c r="K3196" s="26" t="n">
        <x:v>0.2</x:v>
      </x:c>
      <x:c r="L3196" s="22" t="n">
        <x:v>-3.168</x:v>
      </x:c>
      <x:c r="M3196" t="n">
        <x:v>2015</x:v>
      </x:c>
      <x:c r="N3196" s="20" t="n">
        <x:v>42339</x:v>
      </x:c>
    </x:row>
    <x:row r="3197" ht="18" customHeight="1">
      <x:c r="A3197" t="str">
        <x:v>CA-2017-123981</x:v>
      </x:c>
      <x:c r="B3197" s="18" t="n">
        <x:v>43010</x:v>
      </x:c>
      <x:c r="C3197" t="str">
        <x:v>RW-19630</x:v>
      </x:c>
      <x:c r="D3197" t="str">
        <x:v>Rob Williams</x:v>
      </x:c>
      <x:c r="E3197" t="str">
        <x:v>Corporate</x:v>
      </x:c>
      <x:c r="F3197" t="str">
        <x:v>East</x:v>
      </x:c>
      <x:c r="G3197" t="str">
        <x:v>Technology</x:v>
      </x:c>
      <x:c r="H3197" t="str">
        <x:v>Phones</x:v>
      </x:c>
      <x:c r="I3197" s="22" t="n">
        <x:v>65.99</x:v>
      </x:c>
      <x:c r="J3197" s="24" t="n">
        <x:v>1</x:v>
      </x:c>
      <x:c r="K3197" s="26" t="n">
        <x:v>0</x:v>
      </x:c>
      <x:c r="L3197" s="22" t="n">
        <x:v>17.157400000000003</x:v>
      </x:c>
      <x:c r="M3197" t="n">
        <x:v>2017</x:v>
      </x:c>
      <x:c r="N3197" s="20" t="n">
        <x:v>43009</x:v>
      </x:c>
    </x:row>
    <x:row r="3198" ht="18" customHeight="1">
      <x:c r="A3198" t="str">
        <x:v>CA-2017-158953</x:v>
      </x:c>
      <x:c r="B3198" s="18" t="n">
        <x:v>42890</x:v>
      </x:c>
      <x:c r="C3198" t="str">
        <x:v>ML-18040</x:v>
      </x:c>
      <x:c r="D3198" t="str">
        <x:v>Michelle Lonsdale</x:v>
      </x:c>
      <x:c r="E3198" t="str">
        <x:v>Corporate</x:v>
      </x:c>
      <x:c r="F3198" t="str">
        <x:v>Central</x:v>
      </x:c>
      <x:c r="G3198" t="str">
        <x:v>Office Supplies</x:v>
      </x:c>
      <x:c r="H3198" t="str">
        <x:v>Binders</x:v>
      </x:c>
      <x:c r="I3198" s="22" t="n">
        <x:v>6.369999999999998</x:v>
      </x:c>
      <x:c r="J3198" s="24" t="n">
        <x:v>7</x:v>
      </x:c>
      <x:c r="K3198" s="26" t="n">
        <x:v>0.8</x:v>
      </x:c>
      <x:c r="L3198" s="22" t="n">
        <x:v>-9.555000000000001</x:v>
      </x:c>
      <x:c r="M3198" t="n">
        <x:v>2017</x:v>
      </x:c>
      <x:c r="N3198" s="20" t="n">
        <x:v>42887</x:v>
      </x:c>
    </x:row>
    <x:row r="3199" ht="18" customHeight="1">
      <x:c r="A3199" t="str">
        <x:v>CA-2014-165428</x:v>
      </x:c>
      <x:c r="B3199" s="18" t="n">
        <x:v>41883</x:v>
      </x:c>
      <x:c r="C3199" t="str">
        <x:v>JL-15130</x:v>
      </x:c>
      <x:c r="D3199" t="str">
        <x:v>Jack Lebron</x:v>
      </x:c>
      <x:c r="E3199" t="str">
        <x:v>Consumer</x:v>
      </x:c>
      <x:c r="F3199" t="str">
        <x:v>Central</x:v>
      </x:c>
      <x:c r="G3199" t="str">
        <x:v>Office Supplies</x:v>
      </x:c>
      <x:c r="H3199" t="str">
        <x:v>Binders</x:v>
      </x:c>
      <x:c r="I3199" s="22" t="n">
        <x:v>3.6479999999999992</x:v>
      </x:c>
      <x:c r="J3199" s="24" t="n">
        <x:v>3</x:v>
      </x:c>
      <x:c r="K3199" s="26" t="n">
        <x:v>0.8</x:v>
      </x:c>
      <x:c r="L3199" s="22" t="n">
        <x:v>-6.019200000000003</x:v>
      </x:c>
      <x:c r="M3199" t="n">
        <x:v>2014</x:v>
      </x:c>
      <x:c r="N3199" s="20" t="n">
        <x:v>41883</x:v>
      </x:c>
    </x:row>
    <x:row r="3200" ht="18" customHeight="1">
      <x:c r="A3200" t="str">
        <x:v>CA-2014-165428</x:v>
      </x:c>
      <x:c r="B3200" s="18" t="n">
        <x:v>41883</x:v>
      </x:c>
      <x:c r="C3200" t="str">
        <x:v>JL-15130</x:v>
      </x:c>
      <x:c r="D3200" t="str">
        <x:v>Jack Lebron</x:v>
      </x:c>
      <x:c r="E3200" t="str">
        <x:v>Consumer</x:v>
      </x:c>
      <x:c r="F3200" t="str">
        <x:v>Central</x:v>
      </x:c>
      <x:c r="G3200" t="str">
        <x:v>Office Supplies</x:v>
      </x:c>
      <x:c r="H3200" t="str">
        <x:v>Paper</x:v>
      </x:c>
      <x:c r="I3200" s="22" t="n">
        <x:v>31.104000000000006</x:v>
      </x:c>
      <x:c r="J3200" s="24" t="n">
        <x:v>6</x:v>
      </x:c>
      <x:c r="K3200" s="26" t="n">
        <x:v>0.2</x:v>
      </x:c>
      <x:c r="L3200" s="22" t="n">
        <x:v>10.8864</x:v>
      </x:c>
      <x:c r="M3200" t="n">
        <x:v>2014</x:v>
      </x:c>
      <x:c r="N3200" s="20" t="n">
        <x:v>41883</x:v>
      </x:c>
    </x:row>
    <x:row r="3201" ht="18" customHeight="1">
      <x:c r="A3201" t="str">
        <x:v>CA-2016-169026</x:v>
      </x:c>
      <x:c r="B3201" s="18" t="n">
        <x:v>42590</x:v>
      </x:c>
      <x:c r="C3201" t="str">
        <x:v>CM-12655</x:v>
      </x:c>
      <x:c r="D3201" t="str">
        <x:v>Corinna Mitchell</x:v>
      </x:c>
      <x:c r="E3201" t="str">
        <x:v>Home Office</x:v>
      </x:c>
      <x:c r="F3201" t="str">
        <x:v>South</x:v>
      </x:c>
      <x:c r="G3201" t="str">
        <x:v>Office Supplies</x:v>
      </x:c>
      <x:c r="H3201" t="str">
        <x:v>Fasteners</x:v>
      </x:c>
      <x:c r="I3201" s="22" t="n">
        <x:v>23.34</x:v>
      </x:c>
      <x:c r="J3201" s="24" t="n">
        <x:v>3</x:v>
      </x:c>
      <x:c r="K3201" s="26" t="n">
        <x:v>0</x:v>
      </x:c>
      <x:c r="L3201" s="22" t="n">
        <x:v>0.2333999999999996</x:v>
      </x:c>
      <x:c r="M3201" t="n">
        <x:v>2016</x:v>
      </x:c>
      <x:c r="N3201" s="20" t="n">
        <x:v>42583</x:v>
      </x:c>
    </x:row>
    <x:row r="3202" ht="18" customHeight="1">
      <x:c r="A3202" t="str">
        <x:v>CA-2017-109750</x:v>
      </x:c>
      <x:c r="B3202" s="18" t="n">
        <x:v>42938</x:v>
      </x:c>
      <x:c r="C3202" t="str">
        <x:v>FH-14365</x:v>
      </x:c>
      <x:c r="D3202" t="str">
        <x:v>Fred Hopkins</x:v>
      </x:c>
      <x:c r="E3202" t="str">
        <x:v>Corporate</x:v>
      </x:c>
      <x:c r="F3202" t="str">
        <x:v>East</x:v>
      </x:c>
      <x:c r="G3202" t="str">
        <x:v>Technology</x:v>
      </x:c>
      <x:c r="H3202" t="str">
        <x:v>Phones</x:v>
      </x:c>
      <x:c r="I3202" s="22" t="n">
        <x:v>29.97</x:v>
      </x:c>
      <x:c r="J3202" s="24" t="n">
        <x:v>3</x:v>
      </x:c>
      <x:c r="K3202" s="26" t="n">
        <x:v>0</x:v>
      </x:c>
      <x:c r="L3202" s="22" t="n">
        <x:v>14.085899999999999</x:v>
      </x:c>
      <x:c r="M3202" t="n">
        <x:v>2017</x:v>
      </x:c>
      <x:c r="N3202" s="20" t="n">
        <x:v>42917</x:v>
      </x:c>
    </x:row>
    <x:row r="3203" ht="18" customHeight="1">
      <x:c r="A3203" t="str">
        <x:v>CA-2015-149384</x:v>
      </x:c>
      <x:c r="B3203" s="18" t="n">
        <x:v>42195</x:v>
      </x:c>
      <x:c r="C3203" t="str">
        <x:v>EH-13945</x:v>
      </x:c>
      <x:c r="D3203" t="str">
        <x:v>Eric Hoffmann</x:v>
      </x:c>
      <x:c r="E3203" t="str">
        <x:v>Consumer</x:v>
      </x:c>
      <x:c r="F3203" t="str">
        <x:v>West</x:v>
      </x:c>
      <x:c r="G3203" t="str">
        <x:v>Office Supplies</x:v>
      </x:c>
      <x:c r="H3203" t="str">
        <x:v>Binders</x:v>
      </x:c>
      <x:c r="I3203" s="22" t="n">
        <x:v>3.366000000000001</x:v>
      </x:c>
      <x:c r="J3203" s="24" t="n">
        <x:v>3</x:v>
      </x:c>
      <x:c r="K3203" s="26" t="n">
        <x:v>0.7</x:v>
      </x:c>
      <x:c r="L3203" s="22" t="n">
        <x:v>-2.243999999999999</x:v>
      </x:c>
      <x:c r="M3203" t="n">
        <x:v>2015</x:v>
      </x:c>
      <x:c r="N3203" s="20" t="n">
        <x:v>42186</x:v>
      </x:c>
    </x:row>
    <x:row r="3204" ht="18" customHeight="1">
      <x:c r="A3204" t="str">
        <x:v>CA-2014-131527</x:v>
      </x:c>
      <x:c r="B3204" s="18" t="n">
        <x:v>41974</x:v>
      </x:c>
      <x:c r="C3204" t="str">
        <x:v>TB-21280</x:v>
      </x:c>
      <x:c r="D3204" t="str">
        <x:v>Toby Braunhardt</x:v>
      </x:c>
      <x:c r="E3204" t="str">
        <x:v>Consumer</x:v>
      </x:c>
      <x:c r="F3204" t="str">
        <x:v>South</x:v>
      </x:c>
      <x:c r="G3204" t="str">
        <x:v>Technology</x:v>
      </x:c>
      <x:c r="H3204" t="str">
        <x:v>Phones</x:v>
      </x:c>
      <x:c r="I3204" s="22" t="n">
        <x:v>95.968</x:v>
      </x:c>
      <x:c r="J3204" s="24" t="n">
        <x:v>4</x:v>
      </x:c>
      <x:c r="K3204" s="26" t="n">
        <x:v>0.2</x:v>
      </x:c>
      <x:c r="L3204" s="22" t="n">
        <x:v>9.596800000000005</x:v>
      </x:c>
      <x:c r="M3204" t="n">
        <x:v>2014</x:v>
      </x:c>
      <x:c r="N3204" s="20" t="n">
        <x:v>41974</x:v>
      </x:c>
    </x:row>
    <x:row r="3205" ht="18" customHeight="1">
      <x:c r="A3205" t="str">
        <x:v>CA-2017-164000</x:v>
      </x:c>
      <x:c r="B3205" s="18" t="n">
        <x:v>43087</x:v>
      </x:c>
      <x:c r="C3205" t="str">
        <x:v>AH-10030</x:v>
      </x:c>
      <x:c r="D3205" t="str">
        <x:v>Aaron Hawkins</x:v>
      </x:c>
      <x:c r="E3205" t="str">
        <x:v>Corporate</x:v>
      </x:c>
      <x:c r="F3205" t="str">
        <x:v>East</x:v>
      </x:c>
      <x:c r="G3205" t="str">
        <x:v>Office Supplies</x:v>
      </x:c>
      <x:c r="H3205" t="str">
        <x:v>Art</x:v>
      </x:c>
      <x:c r="I3205" s="22" t="n">
        <x:v>18.704</x:v>
      </x:c>
      <x:c r="J3205" s="24" t="n">
        <x:v>7</x:v>
      </x:c>
      <x:c r="K3205" s="26" t="n">
        <x:v>0.2</x:v>
      </x:c>
      <x:c r="L3205" s="22" t="n">
        <x:v>2.3379999999999983</x:v>
      </x:c>
      <x:c r="M3205" t="n">
        <x:v>2017</x:v>
      </x:c>
      <x:c r="N3205" s="20" t="n">
        <x:v>43070</x:v>
      </x:c>
    </x:row>
    <x:row r="3206" ht="18" customHeight="1">
      <x:c r="A3206" t="str">
        <x:v>CA-2014-164224</x:v>
      </x:c>
      <x:c r="B3206" s="18" t="n">
        <x:v>41777</x:v>
      </x:c>
      <x:c r="C3206" t="str">
        <x:v>TT-21070</x:v>
      </x:c>
      <x:c r="D3206" t="str">
        <x:v>Ted Trevino</x:v>
      </x:c>
      <x:c r="E3206" t="str">
        <x:v>Consumer</x:v>
      </x:c>
      <x:c r="F3206" t="str">
        <x:v>East</x:v>
      </x:c>
      <x:c r="G3206" t="str">
        <x:v>Furniture</x:v>
      </x:c>
      <x:c r="H3206" t="str">
        <x:v>Furnishings</x:v>
      </x:c>
      <x:c r="I3206" s="22" t="n">
        <x:v>149.232</x:v>
      </x:c>
      <x:c r="J3206" s="24" t="n">
        <x:v>3</x:v>
      </x:c>
      <x:c r="K3206" s="26" t="n">
        <x:v>0.2</x:v>
      </x:c>
      <x:c r="L3206" s="22" t="n">
        <x:v>3.730800000000002</x:v>
      </x:c>
      <x:c r="M3206" t="n">
        <x:v>2014</x:v>
      </x:c>
      <x:c r="N3206" s="20" t="n">
        <x:v>41760</x:v>
      </x:c>
    </x:row>
    <x:row r="3207" ht="18" customHeight="1">
      <x:c r="A3207" t="str">
        <x:v>CA-2014-164224</x:v>
      </x:c>
      <x:c r="B3207" s="18" t="n">
        <x:v>41777</x:v>
      </x:c>
      <x:c r="C3207" t="str">
        <x:v>TT-21070</x:v>
      </x:c>
      <x:c r="D3207" t="str">
        <x:v>Ted Trevino</x:v>
      </x:c>
      <x:c r="E3207" t="str">
        <x:v>Consumer</x:v>
      </x:c>
      <x:c r="F3207" t="str">
        <x:v>East</x:v>
      </x:c>
      <x:c r="G3207" t="str">
        <x:v>Office Supplies</x:v>
      </x:c>
      <x:c r="H3207" t="str">
        <x:v>Paper</x:v>
      </x:c>
      <x:c r="I3207" s="22" t="n">
        <x:v>15.936000000000002</x:v>
      </x:c>
      <x:c r="J3207" s="24" t="n">
        <x:v>4</x:v>
      </x:c>
      <x:c r="K3207" s="26" t="n">
        <x:v>0.2</x:v>
      </x:c>
      <x:c r="L3207" s="22" t="n">
        <x:v>5.7768000000000015</x:v>
      </x:c>
      <x:c r="M3207" t="n">
        <x:v>2014</x:v>
      </x:c>
      <x:c r="N3207" s="20" t="n">
        <x:v>41760</x:v>
      </x:c>
    </x:row>
    <x:row r="3208" ht="18" customHeight="1">
      <x:c r="A3208" t="str">
        <x:v>CA-2014-158372</x:v>
      </x:c>
      <x:c r="B3208" s="18" t="n">
        <x:v>41953</x:v>
      </x:c>
      <x:c r="C3208" t="str">
        <x:v>RD-19900</x:v>
      </x:c>
      <x:c r="D3208" t="str">
        <x:v>Ruben Dartt</x:v>
      </x:c>
      <x:c r="E3208" t="str">
        <x:v>Consumer</x:v>
      </x:c>
      <x:c r="F3208" t="str">
        <x:v>West</x:v>
      </x:c>
      <x:c r="G3208" t="str">
        <x:v>Technology</x:v>
      </x:c>
      <x:c r="H3208" t="str">
        <x:v>Phones</x:v>
      </x:c>
      <x:c r="I3208" s="22" t="n">
        <x:v>601.536</x:v>
      </x:c>
      <x:c r="J3208" s="24" t="n">
        <x:v>8</x:v>
      </x:c>
      <x:c r="K3208" s="26" t="n">
        <x:v>0.2</x:v>
      </x:c>
      <x:c r="L3208" s="22" t="n">
        <x:v>60.15360000000001</x:v>
      </x:c>
      <x:c r="M3208" t="n">
        <x:v>2014</x:v>
      </x:c>
      <x:c r="N3208" s="20" t="n">
        <x:v>41944</x:v>
      </x:c>
    </x:row>
    <x:row r="3209" ht="18" customHeight="1">
      <x:c r="A3209" t="str">
        <x:v>CA-2014-158372</x:v>
      </x:c>
      <x:c r="B3209" s="18" t="n">
        <x:v>41953</x:v>
      </x:c>
      <x:c r="C3209" t="str">
        <x:v>RD-19900</x:v>
      </x:c>
      <x:c r="D3209" t="str">
        <x:v>Ruben Dartt</x:v>
      </x:c>
      <x:c r="E3209" t="str">
        <x:v>Consumer</x:v>
      </x:c>
      <x:c r="F3209" t="str">
        <x:v>West</x:v>
      </x:c>
      <x:c r="G3209" t="str">
        <x:v>Technology</x:v>
      </x:c>
      <x:c r="H3209" t="str">
        <x:v>Accessories</x:v>
      </x:c>
      <x:c r="I3209" s="22" t="n">
        <x:v>10.99</x:v>
      </x:c>
      <x:c r="J3209" s="24" t="n">
        <x:v>1</x:v>
      </x:c>
      <x:c r="K3209" s="26" t="n">
        <x:v>0</x:v>
      </x:c>
      <x:c r="L3209" s="22" t="n">
        <x:v>4.2861</x:v>
      </x:c>
      <x:c r="M3209" t="n">
        <x:v>2014</x:v>
      </x:c>
      <x:c r="N3209" s="20" t="n">
        <x:v>41944</x:v>
      </x:c>
    </x:row>
    <x:row r="3210" ht="18" customHeight="1">
      <x:c r="A3210" t="str">
        <x:v>CA-2014-158372</x:v>
      </x:c>
      <x:c r="B3210" s="18" t="n">
        <x:v>41953</x:v>
      </x:c>
      <x:c r="C3210" t="str">
        <x:v>RD-19900</x:v>
      </x:c>
      <x:c r="D3210" t="str">
        <x:v>Ruben Dartt</x:v>
      </x:c>
      <x:c r="E3210" t="str">
        <x:v>Consumer</x:v>
      </x:c>
      <x:c r="F3210" t="str">
        <x:v>West</x:v>
      </x:c>
      <x:c r="G3210" t="str">
        <x:v>Furniture</x:v>
      </x:c>
      <x:c r="H3210" t="str">
        <x:v>Furnishings</x:v>
      </x:c>
      <x:c r="I3210" s="22" t="n">
        <x:v>39.88</x:v>
      </x:c>
      <x:c r="J3210" s="24" t="n">
        <x:v>2</x:v>
      </x:c>
      <x:c r="K3210" s="26" t="n">
        <x:v>0</x:v>
      </x:c>
      <x:c r="L3210" s="22" t="n">
        <x:v>11.166400000000003</x:v>
      </x:c>
      <x:c r="M3210" t="n">
        <x:v>2014</x:v>
      </x:c>
      <x:c r="N3210" s="20" t="n">
        <x:v>41944</x:v>
      </x:c>
    </x:row>
    <x:row r="3211" ht="18" customHeight="1">
      <x:c r="A3211" t="str">
        <x:v>CA-2014-158372</x:v>
      </x:c>
      <x:c r="B3211" s="18" t="n">
        <x:v>41953</x:v>
      </x:c>
      <x:c r="C3211" t="str">
        <x:v>RD-19900</x:v>
      </x:c>
      <x:c r="D3211" t="str">
        <x:v>Ruben Dartt</x:v>
      </x:c>
      <x:c r="E3211" t="str">
        <x:v>Consumer</x:v>
      </x:c>
      <x:c r="F3211" t="str">
        <x:v>West</x:v>
      </x:c>
      <x:c r="G3211" t="str">
        <x:v>Office Supplies</x:v>
      </x:c>
      <x:c r="H3211" t="str">
        <x:v>Paper</x:v>
      </x:c>
      <x:c r="I3211" s="22" t="n">
        <x:v>62.24</x:v>
      </x:c>
      <x:c r="J3211" s="24" t="n">
        <x:v>8</x:v>
      </x:c>
      <x:c r="K3211" s="26" t="n">
        <x:v>0</x:v>
      </x:c>
      <x:c r="L3211" s="22" t="n">
        <x:v>28.007999999999996</x:v>
      </x:c>
      <x:c r="M3211" t="n">
        <x:v>2014</x:v>
      </x:c>
      <x:c r="N3211" s="20" t="n">
        <x:v>41944</x:v>
      </x:c>
    </x:row>
    <x:row r="3212" ht="18" customHeight="1">
      <x:c r="A3212" t="str">
        <x:v>CA-2014-158372</x:v>
      </x:c>
      <x:c r="B3212" s="18" t="n">
        <x:v>41953</x:v>
      </x:c>
      <x:c r="C3212" t="str">
        <x:v>RD-19900</x:v>
      </x:c>
      <x:c r="D3212" t="str">
        <x:v>Ruben Dartt</x:v>
      </x:c>
      <x:c r="E3212" t="str">
        <x:v>Consumer</x:v>
      </x:c>
      <x:c r="F3212" t="str">
        <x:v>West</x:v>
      </x:c>
      <x:c r="G3212" t="str">
        <x:v>Furniture</x:v>
      </x:c>
      <x:c r="H3212" t="str">
        <x:v>Furnishings</x:v>
      </x:c>
      <x:c r="I3212" s="22" t="n">
        <x:v>53.2</x:v>
      </x:c>
      <x:c r="J3212" s="24" t="n">
        <x:v>5</x:v>
      </x:c>
      <x:c r="K3212" s="26" t="n">
        <x:v>0</x:v>
      </x:c>
      <x:c r="L3212" s="22" t="n">
        <x:v>14.896000000000003</x:v>
      </x:c>
      <x:c r="M3212" t="n">
        <x:v>2014</x:v>
      </x:c>
      <x:c r="N3212" s="20" t="n">
        <x:v>41944</x:v>
      </x:c>
    </x:row>
    <x:row r="3213" ht="18" customHeight="1">
      <x:c r="A3213" t="str">
        <x:v>CA-2014-158372</x:v>
      </x:c>
      <x:c r="B3213" s="18" t="n">
        <x:v>41953</x:v>
      </x:c>
      <x:c r="C3213" t="str">
        <x:v>RD-19900</x:v>
      </x:c>
      <x:c r="D3213" t="str">
        <x:v>Ruben Dartt</x:v>
      </x:c>
      <x:c r="E3213" t="str">
        <x:v>Consumer</x:v>
      </x:c>
      <x:c r="F3213" t="str">
        <x:v>West</x:v>
      </x:c>
      <x:c r="G3213" t="str">
        <x:v>Office Supplies</x:v>
      </x:c>
      <x:c r="H3213" t="str">
        <x:v>Labels</x:v>
      </x:c>
      <x:c r="I3213" s="22" t="n">
        <x:v>39.84</x:v>
      </x:c>
      <x:c r="J3213" s="24" t="n">
        <x:v>8</x:v>
      </x:c>
      <x:c r="K3213" s="26" t="n">
        <x:v>0</x:v>
      </x:c>
      <x:c r="L3213" s="22" t="n">
        <x:v>18.3264</x:v>
      </x:c>
      <x:c r="M3213" t="n">
        <x:v>2014</x:v>
      </x:c>
      <x:c r="N3213" s="20" t="n">
        <x:v>41944</x:v>
      </x:c>
    </x:row>
    <x:row r="3214" ht="18" customHeight="1">
      <x:c r="A3214" t="str">
        <x:v>CA-2016-108882</x:v>
      </x:c>
      <x:c r="B3214" s="18" t="n">
        <x:v>42378</x:v>
      </x:c>
      <x:c r="C3214" t="str">
        <x:v>LA-16780</x:v>
      </x:c>
      <x:c r="D3214" t="str">
        <x:v>Laura Armstrong</x:v>
      </x:c>
      <x:c r="E3214" t="str">
        <x:v>Corporate</x:v>
      </x:c>
      <x:c r="F3214" t="str">
        <x:v>West</x:v>
      </x:c>
      <x:c r="G3214" t="str">
        <x:v>Technology</x:v>
      </x:c>
      <x:c r="H3214" t="str">
        <x:v>Accessories</x:v>
      </x:c>
      <x:c r="I3214" s="22" t="n">
        <x:v>349.95</x:v>
      </x:c>
      <x:c r="J3214" s="24" t="n">
        <x:v>5</x:v>
      </x:c>
      <x:c r="K3214" s="26" t="n">
        <x:v>0</x:v>
      </x:c>
      <x:c r="L3214" s="22" t="n">
        <x:v>118.98299999999999</x:v>
      </x:c>
      <x:c r="M3214" t="n">
        <x:v>2016</x:v>
      </x:c>
      <x:c r="N3214" s="20" t="n">
        <x:v>42370</x:v>
      </x:c>
    </x:row>
    <x:row r="3215" ht="18" customHeight="1">
      <x:c r="A3215" t="str">
        <x:v>CA-2016-108882</x:v>
      </x:c>
      <x:c r="B3215" s="18" t="n">
        <x:v>42378</x:v>
      </x:c>
      <x:c r="C3215" t="str">
        <x:v>LA-16780</x:v>
      </x:c>
      <x:c r="D3215" t="str">
        <x:v>Laura Armstrong</x:v>
      </x:c>
      <x:c r="E3215" t="str">
        <x:v>Corporate</x:v>
      </x:c>
      <x:c r="F3215" t="str">
        <x:v>West</x:v>
      </x:c>
      <x:c r="G3215" t="str">
        <x:v>Technology</x:v>
      </x:c>
      <x:c r="H3215" t="str">
        <x:v>Phones</x:v>
      </x:c>
      <x:c r="I3215" s="22" t="n">
        <x:v>377.92800000000005</x:v>
      </x:c>
      <x:c r="J3215" s="24" t="n">
        <x:v>9</x:v>
      </x:c>
      <x:c r="K3215" s="26" t="n">
        <x:v>0.2</x:v>
      </x:c>
      <x:c r="L3215" s="22" t="n">
        <x:v>141.723</x:v>
      </x:c>
      <x:c r="M3215" t="n">
        <x:v>2016</x:v>
      </x:c>
      <x:c r="N3215" s="20" t="n">
        <x:v>42370</x:v>
      </x:c>
    </x:row>
    <x:row r="3216" ht="18" customHeight="1">
      <x:c r="A3216" t="str">
        <x:v>US-2017-108245</x:v>
      </x:c>
      <x:c r="B3216" s="18" t="n">
        <x:v>43000</x:v>
      </x:c>
      <x:c r="C3216" t="str">
        <x:v>SH-19975</x:v>
      </x:c>
      <x:c r="D3216" t="str">
        <x:v>Sally Hughsby</x:v>
      </x:c>
      <x:c r="E3216" t="str">
        <x:v>Corporate</x:v>
      </x:c>
      <x:c r="F3216" t="str">
        <x:v>Central</x:v>
      </x:c>
      <x:c r="G3216" t="str">
        <x:v>Office Supplies</x:v>
      </x:c>
      <x:c r="H3216" t="str">
        <x:v>Envelopes</x:v>
      </x:c>
      <x:c r="I3216" s="22" t="n">
        <x:v>13.392000000000001</x:v>
      </x:c>
      <x:c r="J3216" s="24" t="n">
        <x:v>3</x:v>
      </x:c>
      <x:c r="K3216" s="26" t="n">
        <x:v>0.2</x:v>
      </x:c>
      <x:c r="L3216" s="22" t="n">
        <x:v>5.022</x:v>
      </x:c>
      <x:c r="M3216" t="n">
        <x:v>2017</x:v>
      </x:c>
      <x:c r="N3216" s="20" t="n">
        <x:v>42979</x:v>
      </x:c>
    </x:row>
    <x:row r="3217" ht="18" customHeight="1">
      <x:c r="A3217" t="str">
        <x:v>US-2017-108245</x:v>
      </x:c>
      <x:c r="B3217" s="18" t="n">
        <x:v>43000</x:v>
      </x:c>
      <x:c r="C3217" t="str">
        <x:v>SH-19975</x:v>
      </x:c>
      <x:c r="D3217" t="str">
        <x:v>Sally Hughsby</x:v>
      </x:c>
      <x:c r="E3217" t="str">
        <x:v>Corporate</x:v>
      </x:c>
      <x:c r="F3217" t="str">
        <x:v>Central</x:v>
      </x:c>
      <x:c r="G3217" t="str">
        <x:v>Office Supplies</x:v>
      </x:c>
      <x:c r="H3217" t="str">
        <x:v>Binders</x:v>
      </x:c>
      <x:c r="I3217" s="22" t="n">
        <x:v>11.227999999999998</x:v>
      </x:c>
      <x:c r="J3217" s="24" t="n">
        <x:v>7</x:v>
      </x:c>
      <x:c r="K3217" s="26" t="n">
        <x:v>0.8</x:v>
      </x:c>
      <x:c r="L3217" s="22" t="n">
        <x:v>-18.52620000000001</x:v>
      </x:c>
      <x:c r="M3217" t="n">
        <x:v>2017</x:v>
      </x:c>
      <x:c r="N3217" s="20" t="n">
        <x:v>42979</x:v>
      </x:c>
    </x:row>
    <x:row r="3218" ht="18" customHeight="1">
      <x:c r="A3218" t="str">
        <x:v>CA-2014-142314</x:v>
      </x:c>
      <x:c r="B3218" s="18" t="n">
        <x:v>41996</x:v>
      </x:c>
      <x:c r="C3218" t="str">
        <x:v>SF-20200</x:v>
      </x:c>
      <x:c r="D3218" t="str">
        <x:v>Sarah Foster</x:v>
      </x:c>
      <x:c r="E3218" t="str">
        <x:v>Consumer</x:v>
      </x:c>
      <x:c r="F3218" t="str">
        <x:v>Central</x:v>
      </x:c>
      <x:c r="G3218" t="str">
        <x:v>Office Supplies</x:v>
      </x:c>
      <x:c r="H3218" t="str">
        <x:v>Appliances</x:v>
      </x:c>
      <x:c r="I3218" s="22" t="n">
        <x:v>207.24</x:v>
      </x:c>
      <x:c r="J3218" s="24" t="n">
        <x:v>11</x:v>
      </x:c>
      <x:c r="K3218" s="26" t="n">
        <x:v>0</x:v>
      </x:c>
      <x:c r="L3218" s="22" t="n">
        <x:v>58.0272</x:v>
      </x:c>
      <x:c r="M3218" t="n">
        <x:v>2014</x:v>
      </x:c>
      <x:c r="N3218" s="20" t="n">
        <x:v>41974</x:v>
      </x:c>
    </x:row>
    <x:row r="3219" ht="18" customHeight="1">
      <x:c r="A3219" t="str">
        <x:v>CA-2016-132409</x:v>
      </x:c>
      <x:c r="B3219" s="18" t="n">
        <x:v>42516</x:v>
      </x:c>
      <x:c r="C3219" t="str">
        <x:v>TH-21235</x:v>
      </x:c>
      <x:c r="D3219" t="str">
        <x:v>Tiffany House</x:v>
      </x:c>
      <x:c r="E3219" t="str">
        <x:v>Corporate</x:v>
      </x:c>
      <x:c r="F3219" t="str">
        <x:v>East</x:v>
      </x:c>
      <x:c r="G3219" t="str">
        <x:v>Office Supplies</x:v>
      </x:c>
      <x:c r="H3219" t="str">
        <x:v>Art</x:v>
      </x:c>
      <x:c r="I3219" s="22" t="n">
        <x:v>1.504</x:v>
      </x:c>
      <x:c r="J3219" s="24" t="n">
        <x:v>1</x:v>
      </x:c>
      <x:c r="K3219" s="26" t="n">
        <x:v>0.2</x:v>
      </x:c>
      <x:c r="L3219" s="22" t="n">
        <x:v>0.1691999999999999</x:v>
      </x:c>
      <x:c r="M3219" t="n">
        <x:v>2016</x:v>
      </x:c>
      <x:c r="N3219" s="20" t="n">
        <x:v>42491</x:v>
      </x:c>
    </x:row>
    <x:row r="3220" ht="18" customHeight="1">
      <x:c r="A3220" t="str">
        <x:v>CA-2016-132409</x:v>
      </x:c>
      <x:c r="B3220" s="18" t="n">
        <x:v>42516</x:v>
      </x:c>
      <x:c r="C3220" t="str">
        <x:v>TH-21235</x:v>
      </x:c>
      <x:c r="D3220" t="str">
        <x:v>Tiffany House</x:v>
      </x:c>
      <x:c r="E3220" t="str">
        <x:v>Corporate</x:v>
      </x:c>
      <x:c r="F3220" t="str">
        <x:v>East</x:v>
      </x:c>
      <x:c r="G3220" t="str">
        <x:v>Office Supplies</x:v>
      </x:c>
      <x:c r="H3220" t="str">
        <x:v>Appliances</x:v>
      </x:c>
      <x:c r="I3220" s="22" t="n">
        <x:v>34.848000000000006</x:v>
      </x:c>
      <x:c r="J3220" s="24" t="n">
        <x:v>2</x:v>
      </x:c>
      <x:c r="K3220" s="26" t="n">
        <x:v>0.2</x:v>
      </x:c>
      <x:c r="L3220" s="22" t="n">
        <x:v>6.533999999999997</x:v>
      </x:c>
      <x:c r="M3220" t="n">
        <x:v>2016</x:v>
      </x:c>
      <x:c r="N3220" s="20" t="n">
        <x:v>42491</x:v>
      </x:c>
    </x:row>
    <x:row r="3221" ht="18" customHeight="1">
      <x:c r="A3221" t="str">
        <x:v>CA-2017-150189</x:v>
      </x:c>
      <x:c r="B3221" s="18" t="n">
        <x:v>42924</x:v>
      </x:c>
      <x:c r="C3221" t="str">
        <x:v>VG-21790</x:v>
      </x:c>
      <x:c r="D3221" t="str">
        <x:v>Vivek Gonzalez</x:v>
      </x:c>
      <x:c r="E3221" t="str">
        <x:v>Consumer</x:v>
      </x:c>
      <x:c r="F3221" t="str">
        <x:v>West</x:v>
      </x:c>
      <x:c r="G3221" t="str">
        <x:v>Office Supplies</x:v>
      </x:c>
      <x:c r="H3221" t="str">
        <x:v>Labels</x:v>
      </x:c>
      <x:c r="I3221" s="22" t="n">
        <x:v>75.17999999999999</x:v>
      </x:c>
      <x:c r="J3221" s="24" t="n">
        <x:v>6</x:v>
      </x:c>
      <x:c r="K3221" s="26" t="n">
        <x:v>0</x:v>
      </x:c>
      <x:c r="L3221" s="22" t="n">
        <x:v>35.334599999999995</x:v>
      </x:c>
      <x:c r="M3221" t="n">
        <x:v>2017</x:v>
      </x:c>
      <x:c r="N3221" s="20" t="n">
        <x:v>42917</x:v>
      </x:c>
    </x:row>
    <x:row r="3222" ht="18" customHeight="1">
      <x:c r="A3222" t="str">
        <x:v>CA-2014-114433</x:v>
      </x:c>
      <x:c r="B3222" s="18" t="n">
        <x:v>41772</x:v>
      </x:c>
      <x:c r="C3222" t="str">
        <x:v>NP-18325</x:v>
      </x:c>
      <x:c r="D3222" t="str">
        <x:v>Naresj Patel</x:v>
      </x:c>
      <x:c r="E3222" t="str">
        <x:v>Consumer</x:v>
      </x:c>
      <x:c r="F3222" t="str">
        <x:v>West</x:v>
      </x:c>
      <x:c r="G3222" t="str">
        <x:v>Technology</x:v>
      </x:c>
      <x:c r="H3222" t="str">
        <x:v>Accessories</x:v>
      </x:c>
      <x:c r="I3222" s="22" t="n">
        <x:v>149.97</x:v>
      </x:c>
      <x:c r="J3222" s="24" t="n">
        <x:v>3</x:v>
      </x:c>
      <x:c r="K3222" s="26" t="n">
        <x:v>0</x:v>
      </x:c>
      <x:c r="L3222" s="22" t="n">
        <x:v>52.48949999999999</x:v>
      </x:c>
      <x:c r="M3222" t="n">
        <x:v>2014</x:v>
      </x:c>
      <x:c r="N3222" s="20" t="n">
        <x:v>41760</x:v>
      </x:c>
    </x:row>
    <x:row r="3223" ht="18" customHeight="1">
      <x:c r="A3223" t="str">
        <x:v>CA-2017-104640</x:v>
      </x:c>
      <x:c r="B3223" s="18" t="n">
        <x:v>43049</x:v>
      </x:c>
      <x:c r="C3223" t="str">
        <x:v>FH-14275</x:v>
      </x:c>
      <x:c r="D3223" t="str">
        <x:v>Frank Hawley</x:v>
      </x:c>
      <x:c r="E3223" t="str">
        <x:v>Corporate</x:v>
      </x:c>
      <x:c r="F3223" t="str">
        <x:v>East</x:v>
      </x:c>
      <x:c r="G3223" t="str">
        <x:v>Office Supplies</x:v>
      </x:c>
      <x:c r="H3223" t="str">
        <x:v>Binders</x:v>
      </x:c>
      <x:c r="I3223" s="22" t="n">
        <x:v>931.1760000000002</x:v>
      </x:c>
      <x:c r="J3223" s="24" t="n">
        <x:v>3</x:v>
      </x:c>
      <x:c r="K3223" s="26" t="n">
        <x:v>0.2</x:v>
      </x:c>
      <x:c r="L3223" s="22" t="n">
        <x:v>314.2719</x:v>
      </x:c>
      <x:c r="M3223" t="n">
        <x:v>2017</x:v>
      </x:c>
      <x:c r="N3223" s="20" t="n">
        <x:v>43040</x:v>
      </x:c>
    </x:row>
    <x:row r="3224" ht="18" customHeight="1">
      <x:c r="A3224" t="str">
        <x:v>CA-2017-104640</x:v>
      </x:c>
      <x:c r="B3224" s="18" t="n">
        <x:v>43049</x:v>
      </x:c>
      <x:c r="C3224" t="str">
        <x:v>FH-14275</x:v>
      </x:c>
      <x:c r="D3224" t="str">
        <x:v>Frank Hawley</x:v>
      </x:c>
      <x:c r="E3224" t="str">
        <x:v>Corporate</x:v>
      </x:c>
      <x:c r="F3224" t="str">
        <x:v>East</x:v>
      </x:c>
      <x:c r="G3224" t="str">
        <x:v>Technology</x:v>
      </x:c>
      <x:c r="H3224" t="str">
        <x:v>Phones</x:v>
      </x:c>
      <x:c r="I3224" s="22" t="n">
        <x:v>430.88</x:v>
      </x:c>
      <x:c r="J3224" s="24" t="n">
        <x:v>2</x:v>
      </x:c>
      <x:c r="K3224" s="26" t="n">
        <x:v>0</x:v>
      </x:c>
      <x:c r="L3224" s="22" t="n">
        <x:v>124.95519999999999</x:v>
      </x:c>
      <x:c r="M3224" t="n">
        <x:v>2017</x:v>
      </x:c>
      <x:c r="N3224" s="20" t="n">
        <x:v>43040</x:v>
      </x:c>
    </x:row>
    <x:row r="3225" ht="18" customHeight="1">
      <x:c r="A3225" t="str">
        <x:v>US-2015-137008</x:v>
      </x:c>
      <x:c r="B3225" s="18" t="n">
        <x:v>42279</x:v>
      </x:c>
      <x:c r="C3225" t="str">
        <x:v>JP-15460</x:v>
      </x:c>
      <x:c r="D3225" t="str">
        <x:v>Jennifer Patt</x:v>
      </x:c>
      <x:c r="E3225" t="str">
        <x:v>Corporate</x:v>
      </x:c>
      <x:c r="F3225" t="str">
        <x:v>East</x:v>
      </x:c>
      <x:c r="G3225" t="str">
        <x:v>Office Supplies</x:v>
      </x:c>
      <x:c r="H3225" t="str">
        <x:v>Paper</x:v>
      </x:c>
      <x:c r="I3225" s="22" t="n">
        <x:v>94.85</x:v>
      </x:c>
      <x:c r="J3225" s="24" t="n">
        <x:v>5</x:v>
      </x:c>
      <x:c r="K3225" s="26" t="n">
        <x:v>0</x:v>
      </x:c>
      <x:c r="L3225" s="22" t="n">
        <x:v>45.52799999999999</x:v>
      </x:c>
      <x:c r="M3225" t="n">
        <x:v>2015</x:v>
      </x:c>
      <x:c r="N3225" s="20" t="n">
        <x:v>42278</x:v>
      </x:c>
    </x:row>
    <x:row r="3226" ht="18" customHeight="1">
      <x:c r="A3226" t="str">
        <x:v>US-2015-137008</x:v>
      </x:c>
      <x:c r="B3226" s="18" t="n">
        <x:v>42279</x:v>
      </x:c>
      <x:c r="C3226" t="str">
        <x:v>JP-15460</x:v>
      </x:c>
      <x:c r="D3226" t="str">
        <x:v>Jennifer Patt</x:v>
      </x:c>
      <x:c r="E3226" t="str">
        <x:v>Corporate</x:v>
      </x:c>
      <x:c r="F3226" t="str">
        <x:v>East</x:v>
      </x:c>
      <x:c r="G3226" t="str">
        <x:v>Office Supplies</x:v>
      </x:c>
      <x:c r="H3226" t="str">
        <x:v>Envelopes</x:v>
      </x:c>
      <x:c r="I3226" s="22" t="n">
        <x:v>51.12</x:v>
      </x:c>
      <x:c r="J3226" s="24" t="n">
        <x:v>4</x:v>
      </x:c>
      <x:c r="K3226" s="26" t="n">
        <x:v>0</x:v>
      </x:c>
      <x:c r="L3226" s="22" t="n">
        <x:v>23.003999999999998</x:v>
      </x:c>
      <x:c r="M3226" t="n">
        <x:v>2015</x:v>
      </x:c>
      <x:c r="N3226" s="20" t="n">
        <x:v>42278</x:v>
      </x:c>
    </x:row>
    <x:row r="3227" ht="18" customHeight="1">
      <x:c r="A3227" t="str">
        <x:v>US-2015-137008</x:v>
      </x:c>
      <x:c r="B3227" s="18" t="n">
        <x:v>42279</x:v>
      </x:c>
      <x:c r="C3227" t="str">
        <x:v>JP-15460</x:v>
      </x:c>
      <x:c r="D3227" t="str">
        <x:v>Jennifer Patt</x:v>
      </x:c>
      <x:c r="E3227" t="str">
        <x:v>Corporate</x:v>
      </x:c>
      <x:c r="F3227" t="str">
        <x:v>East</x:v>
      </x:c>
      <x:c r="G3227" t="str">
        <x:v>Technology</x:v>
      </x:c>
      <x:c r="H3227" t="str">
        <x:v>Accessories</x:v>
      </x:c>
      <x:c r="I3227" s="22" t="n">
        <x:v>90</x:v>
      </x:c>
      <x:c r="J3227" s="24" t="n">
        <x:v>1</x:v>
      </x:c>
      <x:c r="K3227" s="26" t="n">
        <x:v>0</x:v>
      </x:c>
      <x:c r="L3227" s="22" t="n">
        <x:v>32.4</x:v>
      </x:c>
      <x:c r="M3227" t="n">
        <x:v>2015</x:v>
      </x:c>
      <x:c r="N3227" s="20" t="n">
        <x:v>42278</x:v>
      </x:c>
    </x:row>
    <x:row r="3228" ht="18" customHeight="1">
      <x:c r="A3228" t="str">
        <x:v>CA-2014-108189</x:v>
      </x:c>
      <x:c r="B3228" s="18" t="n">
        <x:v>41914</x:v>
      </x:c>
      <x:c r="C3228" t="str">
        <x:v>ES-14080</x:v>
      </x:c>
      <x:c r="D3228" t="str">
        <x:v>Erin Smith</x:v>
      </x:c>
      <x:c r="E3228" t="str">
        <x:v>Corporate</x:v>
      </x:c>
      <x:c r="F3228" t="str">
        <x:v>West</x:v>
      </x:c>
      <x:c r="G3228" t="str">
        <x:v>Office Supplies</x:v>
      </x:c>
      <x:c r="H3228" t="str">
        <x:v>Paper</x:v>
      </x:c>
      <x:c r="I3228" s="22" t="n">
        <x:v>9.408</x:v>
      </x:c>
      <x:c r="J3228" s="24" t="n">
        <x:v>2</x:v>
      </x:c>
      <x:c r="K3228" s="26" t="n">
        <x:v>0.2</x:v>
      </x:c>
      <x:c r="L3228" s="22" t="n">
        <x:v>3.4103999999999997</x:v>
      </x:c>
      <x:c r="M3228" t="n">
        <x:v>2014</x:v>
      </x:c>
      <x:c r="N3228" s="20" t="n">
        <x:v>41913</x:v>
      </x:c>
    </x:row>
    <x:row r="3229" ht="18" customHeight="1">
      <x:c r="A3229" t="str">
        <x:v>CA-2014-108189</x:v>
      </x:c>
      <x:c r="B3229" s="18" t="n">
        <x:v>41914</x:v>
      </x:c>
      <x:c r="C3229" t="str">
        <x:v>ES-14080</x:v>
      </x:c>
      <x:c r="D3229" t="str">
        <x:v>Erin Smith</x:v>
      </x:c>
      <x:c r="E3229" t="str">
        <x:v>Corporate</x:v>
      </x:c>
      <x:c r="F3229" t="str">
        <x:v>West</x:v>
      </x:c>
      <x:c r="G3229" t="str">
        <x:v>Office Supplies</x:v>
      </x:c>
      <x:c r="H3229" t="str">
        <x:v>Fasteners</x:v>
      </x:c>
      <x:c r="I3229" s="22" t="n">
        <x:v>4.672</x:v>
      </x:c>
      <x:c r="J3229" s="24" t="n">
        <x:v>2</x:v>
      </x:c>
      <x:c r="K3229" s="26" t="n">
        <x:v>0.2</x:v>
      </x:c>
      <x:c r="L3229" s="22" t="n">
        <x:v>1.4599999999999997</x:v>
      </x:c>
      <x:c r="M3229" t="n">
        <x:v>2014</x:v>
      </x:c>
      <x:c r="N3229" s="20" t="n">
        <x:v>41913</x:v>
      </x:c>
    </x:row>
    <x:row r="3230" ht="18" customHeight="1">
      <x:c r="A3230" t="str">
        <x:v>CA-2014-108189</x:v>
      </x:c>
      <x:c r="B3230" s="18" t="n">
        <x:v>41914</x:v>
      </x:c>
      <x:c r="C3230" t="str">
        <x:v>ES-14080</x:v>
      </x:c>
      <x:c r="D3230" t="str">
        <x:v>Erin Smith</x:v>
      </x:c>
      <x:c r="E3230" t="str">
        <x:v>Corporate</x:v>
      </x:c>
      <x:c r="F3230" t="str">
        <x:v>West</x:v>
      </x:c>
      <x:c r="G3230" t="str">
        <x:v>Technology</x:v>
      </x:c>
      <x:c r="H3230" t="str">
        <x:v>Phones</x:v>
      </x:c>
      <x:c r="I3230" s="22" t="n">
        <x:v>318.40000000000003</x:v>
      </x:c>
      <x:c r="J3230" s="24" t="n">
        <x:v>2</x:v>
      </x:c>
      <x:c r="K3230" s="26" t="n">
        <x:v>0.2</x:v>
      </x:c>
      <x:c r="L3230" s="22" t="n">
        <x:v>107.46</x:v>
      </x:c>
      <x:c r="M3230" t="n">
        <x:v>2014</x:v>
      </x:c>
      <x:c r="N3230" s="20" t="n">
        <x:v>41913</x:v>
      </x:c>
    </x:row>
    <x:row r="3231" ht="18" customHeight="1">
      <x:c r="A3231" t="str">
        <x:v>CA-2014-108189</x:v>
      </x:c>
      <x:c r="B3231" s="18" t="n">
        <x:v>41914</x:v>
      </x:c>
      <x:c r="C3231" t="str">
        <x:v>ES-14080</x:v>
      </x:c>
      <x:c r="D3231" t="str">
        <x:v>Erin Smith</x:v>
      </x:c>
      <x:c r="E3231" t="str">
        <x:v>Corporate</x:v>
      </x:c>
      <x:c r="F3231" t="str">
        <x:v>West</x:v>
      </x:c>
      <x:c r="G3231" t="str">
        <x:v>Office Supplies</x:v>
      </x:c>
      <x:c r="H3231" t="str">
        <x:v>Envelopes</x:v>
      </x:c>
      <x:c r="I3231" s="22" t="n">
        <x:v>12.768</x:v>
      </x:c>
      <x:c r="J3231" s="24" t="n">
        <x:v>6</x:v>
      </x:c>
      <x:c r="K3231" s="26" t="n">
        <x:v>0.2</x:v>
      </x:c>
      <x:c r="L3231" s="22" t="n">
        <x:v>4.628400000000001</x:v>
      </x:c>
      <x:c r="M3231" t="n">
        <x:v>2014</x:v>
      </x:c>
      <x:c r="N3231" s="20" t="n">
        <x:v>41913</x:v>
      </x:c>
    </x:row>
    <x:row r="3232" ht="18" customHeight="1">
      <x:c r="A3232" t="str">
        <x:v>CA-2014-108189</x:v>
      </x:c>
      <x:c r="B3232" s="18" t="n">
        <x:v>41914</x:v>
      </x:c>
      <x:c r="C3232" t="str">
        <x:v>ES-14080</x:v>
      </x:c>
      <x:c r="D3232" t="str">
        <x:v>Erin Smith</x:v>
      </x:c>
      <x:c r="E3232" t="str">
        <x:v>Corporate</x:v>
      </x:c>
      <x:c r="F3232" t="str">
        <x:v>West</x:v>
      </x:c>
      <x:c r="G3232" t="str">
        <x:v>Office Supplies</x:v>
      </x:c>
      <x:c r="H3232" t="str">
        <x:v>Supplies</x:v>
      </x:c>
      <x:c r="I3232" s="22" t="n">
        <x:v>15.36</x:v>
      </x:c>
      <x:c r="J3232" s="24" t="n">
        <x:v>2</x:v>
      </x:c>
      <x:c r="K3232" s="26" t="n">
        <x:v>0.2</x:v>
      </x:c>
      <x:c r="L3232" s="22" t="n">
        <x:v>-3.2639999999999993</x:v>
      </x:c>
      <x:c r="M3232" t="n">
        <x:v>2014</x:v>
      </x:c>
      <x:c r="N3232" s="20" t="n">
        <x:v>41913</x:v>
      </x:c>
    </x:row>
    <x:row r="3233" ht="18" customHeight="1">
      <x:c r="A3233" t="str">
        <x:v>CA-2014-108189</x:v>
      </x:c>
      <x:c r="B3233" s="18" t="n">
        <x:v>41914</x:v>
      </x:c>
      <x:c r="C3233" t="str">
        <x:v>ES-14080</x:v>
      </x:c>
      <x:c r="D3233" t="str">
        <x:v>Erin Smith</x:v>
      </x:c>
      <x:c r="E3233" t="str">
        <x:v>Corporate</x:v>
      </x:c>
      <x:c r="F3233" t="str">
        <x:v>West</x:v>
      </x:c>
      <x:c r="G3233" t="str">
        <x:v>Technology</x:v>
      </x:c>
      <x:c r="H3233" t="str">
        <x:v>Phones</x:v>
      </x:c>
      <x:c r="I3233" s="22" t="n">
        <x:v>230.376</x:v>
      </x:c>
      <x:c r="J3233" s="24" t="n">
        <x:v>3</x:v>
      </x:c>
      <x:c r="K3233" s="26" t="n">
        <x:v>0.2</x:v>
      </x:c>
      <x:c r="L3233" s="22" t="n">
        <x:v>20.15789999999999</x:v>
      </x:c>
      <x:c r="M3233" t="n">
        <x:v>2014</x:v>
      </x:c>
      <x:c r="N3233" s="20" t="n">
        <x:v>41913</x:v>
      </x:c>
    </x:row>
    <x:row r="3234" ht="18" customHeight="1">
      <x:c r="A3234" t="str">
        <x:v>CA-2014-108189</x:v>
      </x:c>
      <x:c r="B3234" s="18" t="n">
        <x:v>41914</x:v>
      </x:c>
      <x:c r="C3234" t="str">
        <x:v>ES-14080</x:v>
      </x:c>
      <x:c r="D3234" t="str">
        <x:v>Erin Smith</x:v>
      </x:c>
      <x:c r="E3234" t="str">
        <x:v>Corporate</x:v>
      </x:c>
      <x:c r="F3234" t="str">
        <x:v>West</x:v>
      </x:c>
      <x:c r="G3234" t="str">
        <x:v>Technology</x:v>
      </x:c>
      <x:c r="H3234" t="str">
        <x:v>Accessories</x:v>
      </x:c>
      <x:c r="I3234" s="22" t="n">
        <x:v>7.16</x:v>
      </x:c>
      <x:c r="J3234" s="24" t="n">
        <x:v>1</x:v>
      </x:c>
      <x:c r="K3234" s="26" t="n">
        <x:v>0.2</x:v>
      </x:c>
      <x:c r="L3234" s="22" t="n">
        <x:v>-0.08950000000000102</x:v>
      </x:c>
      <x:c r="M3234" t="n">
        <x:v>2014</x:v>
      </x:c>
      <x:c r="N3234" s="20" t="n">
        <x:v>41913</x:v>
      </x:c>
    </x:row>
    <x:row r="3235" ht="18" customHeight="1">
      <x:c r="A3235" t="str">
        <x:v>CA-2014-154641</x:v>
      </x:c>
      <x:c r="B3235" s="18" t="n">
        <x:v>41862</x:v>
      </x:c>
      <x:c r="C3235" t="str">
        <x:v>KL-16645</x:v>
      </x:c>
      <x:c r="D3235" t="str">
        <x:v>Ken Lonsdale</x:v>
      </x:c>
      <x:c r="E3235" t="str">
        <x:v>Consumer</x:v>
      </x:c>
      <x:c r="F3235" t="str">
        <x:v>East</x:v>
      </x:c>
      <x:c r="G3235" t="str">
        <x:v>Office Supplies</x:v>
      </x:c>
      <x:c r="H3235" t="str">
        <x:v>Storage</x:v>
      </x:c>
      <x:c r="I3235" s="22" t="n">
        <x:v>375.34</x:v>
      </x:c>
      <x:c r="J3235" s="24" t="n">
        <x:v>1</x:v>
      </x:c>
      <x:c r="K3235" s="26" t="n">
        <x:v>0</x:v>
      </x:c>
      <x:c r="L3235" s="22" t="n">
        <x:v>18.766999999999996</x:v>
      </x:c>
      <x:c r="M3235" t="n">
        <x:v>2014</x:v>
      </x:c>
      <x:c r="N3235" s="20" t="n">
        <x:v>41852</x:v>
      </x:c>
    </x:row>
    <x:row r="3236" ht="18" customHeight="1">
      <x:c r="A3236" t="str">
        <x:v>CA-2017-131625</x:v>
      </x:c>
      <x:c r="B3236" s="18" t="n">
        <x:v>42979</x:v>
      </x:c>
      <x:c r="C3236" t="str">
        <x:v>BN-11515</x:v>
      </x:c>
      <x:c r="D3236" t="str">
        <x:v>Bradley Nguyen</x:v>
      </x:c>
      <x:c r="E3236" t="str">
        <x:v>Consumer</x:v>
      </x:c>
      <x:c r="F3236" t="str">
        <x:v>East</x:v>
      </x:c>
      <x:c r="G3236" t="str">
        <x:v>Furniture</x:v>
      </x:c>
      <x:c r="H3236" t="str">
        <x:v>Furnishings</x:v>
      </x:c>
      <x:c r="I3236" s="22" t="n">
        <x:v>114.9</x:v>
      </x:c>
      <x:c r="J3236" s="24" t="n">
        <x:v>5</x:v>
      </x:c>
      <x:c r="K3236" s="26" t="n">
        <x:v>0</x:v>
      </x:c>
      <x:c r="L3236" s="22" t="n">
        <x:v>39.066</x:v>
      </x:c>
      <x:c r="M3236" t="n">
        <x:v>2017</x:v>
      </x:c>
      <x:c r="N3236" s="20" t="n">
        <x:v>42979</x:v>
      </x:c>
    </x:row>
    <x:row r="3237" ht="18" customHeight="1">
      <x:c r="A3237" t="str">
        <x:v>US-2017-156356</x:v>
      </x:c>
      <x:c r="B3237" s="18" t="n">
        <x:v>42841</x:v>
      </x:c>
      <x:c r="C3237" t="str">
        <x:v>ND-18370</x:v>
      </x:c>
      <x:c r="D3237" t="str">
        <x:v>Natalie DeCherney</x:v>
      </x:c>
      <x:c r="E3237" t="str">
        <x:v>Consumer</x:v>
      </x:c>
      <x:c r="F3237" t="str">
        <x:v>Central</x:v>
      </x:c>
      <x:c r="G3237" t="str">
        <x:v>Office Supplies</x:v>
      </x:c>
      <x:c r="H3237" t="str">
        <x:v>Binders</x:v>
      </x:c>
      <x:c r="I3237" s="22" t="n">
        <x:v>26.045999999999992</x:v>
      </x:c>
      <x:c r="J3237" s="24" t="n">
        <x:v>3</x:v>
      </x:c>
      <x:c r="K3237" s="26" t="n">
        <x:v>0.8</x:v>
      </x:c>
      <x:c r="L3237" s="22" t="n">
        <x:v>-44.2782</x:v>
      </x:c>
      <x:c r="M3237" t="n">
        <x:v>2017</x:v>
      </x:c>
      <x:c r="N3237" s="20" t="n">
        <x:v>42826</x:v>
      </x:c>
    </x:row>
    <x:row r="3238" ht="18" customHeight="1">
      <x:c r="A3238" t="str">
        <x:v>US-2017-156356</x:v>
      </x:c>
      <x:c r="B3238" s="18" t="n">
        <x:v>42841</x:v>
      </x:c>
      <x:c r="C3238" t="str">
        <x:v>ND-18370</x:v>
      </x:c>
      <x:c r="D3238" t="str">
        <x:v>Natalie DeCherney</x:v>
      </x:c>
      <x:c r="E3238" t="str">
        <x:v>Consumer</x:v>
      </x:c>
      <x:c r="F3238" t="str">
        <x:v>Central</x:v>
      </x:c>
      <x:c r="G3238" t="str">
        <x:v>Office Supplies</x:v>
      </x:c>
      <x:c r="H3238" t="str">
        <x:v>Binders</x:v>
      </x:c>
      <x:c r="I3238" s="22" t="n">
        <x:v>2.8959999999999995</x:v>
      </x:c>
      <x:c r="J3238" s="24" t="n">
        <x:v>1</x:v>
      </x:c>
      <x:c r="K3238" s="26" t="n">
        <x:v>0.8</x:v>
      </x:c>
      <x:c r="L3238" s="22" t="n">
        <x:v>-4.778400000000001</x:v>
      </x:c>
      <x:c r="M3238" t="n">
        <x:v>2017</x:v>
      </x:c>
      <x:c r="N3238" s="20" t="n">
        <x:v>42826</x:v>
      </x:c>
    </x:row>
    <x:row r="3239" ht="18" customHeight="1">
      <x:c r="A3239" t="str">
        <x:v>US-2017-156356</x:v>
      </x:c>
      <x:c r="B3239" s="18" t="n">
        <x:v>42841</x:v>
      </x:c>
      <x:c r="C3239" t="str">
        <x:v>ND-18370</x:v>
      </x:c>
      <x:c r="D3239" t="str">
        <x:v>Natalie DeCherney</x:v>
      </x:c>
      <x:c r="E3239" t="str">
        <x:v>Consumer</x:v>
      </x:c>
      <x:c r="F3239" t="str">
        <x:v>Central</x:v>
      </x:c>
      <x:c r="G3239" t="str">
        <x:v>Office Supplies</x:v>
      </x:c>
      <x:c r="H3239" t="str">
        <x:v>Storage</x:v>
      </x:c>
      <x:c r="I3239" s="22" t="n">
        <x:v>32.544000000000004</x:v>
      </x:c>
      <x:c r="J3239" s="24" t="n">
        <x:v>2</x:v>
      </x:c>
      <x:c r="K3239" s="26" t="n">
        <x:v>0.2</x:v>
      </x:c>
      <x:c r="L3239" s="22" t="n">
        <x:v>-7.729200000000004</x:v>
      </x:c>
      <x:c r="M3239" t="n">
        <x:v>2017</x:v>
      </x:c>
      <x:c r="N3239" s="20" t="n">
        <x:v>42826</x:v>
      </x:c>
    </x:row>
    <x:row r="3240" ht="18" customHeight="1">
      <x:c r="A3240" t="str">
        <x:v>CA-2016-138933</x:v>
      </x:c>
      <x:c r="B3240" s="18" t="n">
        <x:v>42484</x:v>
      </x:c>
      <x:c r="C3240" t="str">
        <x:v>JL-15130</x:v>
      </x:c>
      <x:c r="D3240" t="str">
        <x:v>Jack Lebron</x:v>
      </x:c>
      <x:c r="E3240" t="str">
        <x:v>Consumer</x:v>
      </x:c>
      <x:c r="F3240" t="str">
        <x:v>West</x:v>
      </x:c>
      <x:c r="G3240" t="str">
        <x:v>Office Supplies</x:v>
      </x:c>
      <x:c r="H3240" t="str">
        <x:v>Binders</x:v>
      </x:c>
      <x:c r="I3240" s="22" t="n">
        <x:v>3.9840000000000004</x:v>
      </x:c>
      <x:c r="J3240" s="24" t="n">
        <x:v>1</x:v>
      </x:c>
      <x:c r="K3240" s="26" t="n">
        <x:v>0.2</x:v>
      </x:c>
      <x:c r="L3240" s="22" t="n">
        <x:v>1.3944</x:v>
      </x:c>
      <x:c r="M3240" t="n">
        <x:v>2016</x:v>
      </x:c>
      <x:c r="N3240" s="20" t="n">
        <x:v>42461</x:v>
      </x:c>
    </x:row>
    <x:row r="3241" ht="18" customHeight="1">
      <x:c r="A3241" t="str">
        <x:v>CA-2016-140746</x:v>
      </x:c>
      <x:c r="B3241" s="18" t="n">
        <x:v>42384</x:v>
      </x:c>
      <x:c r="C3241" t="str">
        <x:v>RC-19825</x:v>
      </x:c>
      <x:c r="D3241" t="str">
        <x:v>Roy Collins</x:v>
      </x:c>
      <x:c r="E3241" t="str">
        <x:v>Consumer</x:v>
      </x:c>
      <x:c r="F3241" t="str">
        <x:v>East</x:v>
      </x:c>
      <x:c r="G3241" t="str">
        <x:v>Furniture</x:v>
      </x:c>
      <x:c r="H3241" t="str">
        <x:v>Tables</x:v>
      </x:c>
      <x:c r="I3241" s="22" t="n">
        <x:v>181.79699999999997</x:v>
      </x:c>
      <x:c r="J3241" s="24" t="n">
        <x:v>1</x:v>
      </x:c>
      <x:c r="K3241" s="26" t="n">
        <x:v>0.3</x:v>
      </x:c>
      <x:c r="L3241" s="22" t="n">
        <x:v>-15.5826</x:v>
      </x:c>
      <x:c r="M3241" t="n">
        <x:v>2016</x:v>
      </x:c>
      <x:c r="N3241" s="20" t="n">
        <x:v>42370</x:v>
      </x:c>
    </x:row>
    <x:row r="3242" ht="18" customHeight="1">
      <x:c r="A3242" t="str">
        <x:v>CA-2016-146836</x:v>
      </x:c>
      <x:c r="B3242" s="18" t="n">
        <x:v>42492</x:v>
      </x:c>
      <x:c r="C3242" t="str">
        <x:v>CC-12475</x:v>
      </x:c>
      <x:c r="D3242" t="str">
        <x:v>Cindy Chapman</x:v>
      </x:c>
      <x:c r="E3242" t="str">
        <x:v>Consumer</x:v>
      </x:c>
      <x:c r="F3242" t="str">
        <x:v>East</x:v>
      </x:c>
      <x:c r="G3242" t="str">
        <x:v>Office Supplies</x:v>
      </x:c>
      <x:c r="H3242" t="str">
        <x:v>Storage</x:v>
      </x:c>
      <x:c r="I3242" s="22" t="n">
        <x:v>44.94</x:v>
      </x:c>
      <x:c r="J3242" s="24" t="n">
        <x:v>3</x:v>
      </x:c>
      <x:c r="K3242" s="26" t="n">
        <x:v>0</x:v>
      </x:c>
      <x:c r="L3242" s="22" t="n">
        <x:v>12.5832</x:v>
      </x:c>
      <x:c r="M3242" t="n">
        <x:v>2016</x:v>
      </x:c>
      <x:c r="N3242" s="20" t="n">
        <x:v>42491</x:v>
      </x:c>
    </x:row>
    <x:row r="3243" ht="18" customHeight="1">
      <x:c r="A3243" t="str">
        <x:v>CA-2016-146836</x:v>
      </x:c>
      <x:c r="B3243" s="18" t="n">
        <x:v>42492</x:v>
      </x:c>
      <x:c r="C3243" t="str">
        <x:v>CC-12475</x:v>
      </x:c>
      <x:c r="D3243" t="str">
        <x:v>Cindy Chapman</x:v>
      </x:c>
      <x:c r="E3243" t="str">
        <x:v>Consumer</x:v>
      </x:c>
      <x:c r="F3243" t="str">
        <x:v>East</x:v>
      </x:c>
      <x:c r="G3243" t="str">
        <x:v>Office Supplies</x:v>
      </x:c>
      <x:c r="H3243" t="str">
        <x:v>Binders</x:v>
      </x:c>
      <x:c r="I3243" s="22" t="n">
        <x:v>45.576</x:v>
      </x:c>
      <x:c r="J3243" s="24" t="n">
        <x:v>3</x:v>
      </x:c>
      <x:c r="K3243" s="26" t="n">
        <x:v>0.2</x:v>
      </x:c>
      <x:c r="L3243" s="22" t="n">
        <x:v>15.951599999999997</x:v>
      </x:c>
      <x:c r="M3243" t="n">
        <x:v>2016</x:v>
      </x:c>
      <x:c r="N3243" s="20" t="n">
        <x:v>42491</x:v>
      </x:c>
    </x:row>
    <x:row r="3244" ht="18" customHeight="1">
      <x:c r="A3244" t="str">
        <x:v>US-2016-127971</x:v>
      </x:c>
      <x:c r="B3244" s="18" t="n">
        <x:v>42694</x:v>
      </x:c>
      <x:c r="C3244" t="str">
        <x:v>DW-13195</x:v>
      </x:c>
      <x:c r="D3244" t="str">
        <x:v>David Wiener</x:v>
      </x:c>
      <x:c r="E3244" t="str">
        <x:v>Corporate</x:v>
      </x:c>
      <x:c r="F3244" t="str">
        <x:v>Central</x:v>
      </x:c>
      <x:c r="G3244" t="str">
        <x:v>Furniture</x:v>
      </x:c>
      <x:c r="H3244" t="str">
        <x:v>Chairs</x:v>
      </x:c>
      <x:c r="I3244" s="22" t="n">
        <x:v>318.43</x:v>
      </x:c>
      <x:c r="J3244" s="24" t="n">
        <x:v>5</x:v>
      </x:c>
      <x:c r="K3244" s="26" t="n">
        <x:v>0.3</x:v>
      </x:c>
      <x:c r="L3244" s="22" t="n">
        <x:v>-77.33300000000001</x:v>
      </x:c>
      <x:c r="M3244" t="n">
        <x:v>2016</x:v>
      </x:c>
      <x:c r="N3244" s="20" t="n">
        <x:v>42675</x:v>
      </x:c>
    </x:row>
    <x:row r="3245" ht="18" customHeight="1">
      <x:c r="A3245" t="str">
        <x:v>US-2016-127971</x:v>
      </x:c>
      <x:c r="B3245" s="18" t="n">
        <x:v>42694</x:v>
      </x:c>
      <x:c r="C3245" t="str">
        <x:v>DW-13195</x:v>
      </x:c>
      <x:c r="D3245" t="str">
        <x:v>David Wiener</x:v>
      </x:c>
      <x:c r="E3245" t="str">
        <x:v>Corporate</x:v>
      </x:c>
      <x:c r="F3245" t="str">
        <x:v>Central</x:v>
      </x:c>
      <x:c r="G3245" t="str">
        <x:v>Technology</x:v>
      </x:c>
      <x:c r="H3245" t="str">
        <x:v>Phones</x:v>
      </x:c>
      <x:c r="I3245" s="22" t="n">
        <x:v>122.91999999999999</x:v>
      </x:c>
      <x:c r="J3245" s="24" t="n">
        <x:v>7</x:v>
      </x:c>
      <x:c r="K3245" s="26" t="n">
        <x:v>0.2</x:v>
      </x:c>
      <x:c r="L3245" s="22" t="n">
        <x:v>46.095000000000006</x:v>
      </x:c>
      <x:c r="M3245" t="n">
        <x:v>2016</x:v>
      </x:c>
      <x:c r="N3245" s="20" t="n">
        <x:v>42675</x:v>
      </x:c>
    </x:row>
    <x:row r="3246" ht="18" customHeight="1">
      <x:c r="A3246" t="str">
        <x:v>US-2016-127971</x:v>
      </x:c>
      <x:c r="B3246" s="18" t="n">
        <x:v>42694</x:v>
      </x:c>
      <x:c r="C3246" t="str">
        <x:v>DW-13195</x:v>
      </x:c>
      <x:c r="D3246" t="str">
        <x:v>David Wiener</x:v>
      </x:c>
      <x:c r="E3246" t="str">
        <x:v>Corporate</x:v>
      </x:c>
      <x:c r="F3246" t="str">
        <x:v>Central</x:v>
      </x:c>
      <x:c r="G3246" t="str">
        <x:v>Furniture</x:v>
      </x:c>
      <x:c r="H3246" t="str">
        <x:v>Furnishings</x:v>
      </x:c>
      <x:c r="I3246" s="22" t="n">
        <x:v>7.068</x:v>
      </x:c>
      <x:c r="J3246" s="24" t="n">
        <x:v>3</x:v>
      </x:c>
      <x:c r="K3246" s="26" t="n">
        <x:v>0.6</x:v>
      </x:c>
      <x:c r="L3246" s="22" t="n">
        <x:v>-2.8271999999999995</x:v>
      </x:c>
      <x:c r="M3246" t="n">
        <x:v>2016</x:v>
      </x:c>
      <x:c r="N3246" s="20" t="n">
        <x:v>42675</x:v>
      </x:c>
    </x:row>
    <x:row r="3247" ht="18" customHeight="1">
      <x:c r="A3247" t="str">
        <x:v>US-2016-140809</x:v>
      </x:c>
      <x:c r="B3247" s="18" t="n">
        <x:v>42401</x:v>
      </x:c>
      <x:c r="C3247" t="str">
        <x:v>CK-12760</x:v>
      </x:c>
      <x:c r="D3247" t="str">
        <x:v>Cyma Kinney</x:v>
      </x:c>
      <x:c r="E3247" t="str">
        <x:v>Corporate</x:v>
      </x:c>
      <x:c r="F3247" t="str">
        <x:v>South</x:v>
      </x:c>
      <x:c r="G3247" t="str">
        <x:v>Office Supplies</x:v>
      </x:c>
      <x:c r="H3247" t="str">
        <x:v>Storage</x:v>
      </x:c>
      <x:c r="I3247" s="22" t="n">
        <x:v>56.449999999999996</x:v>
      </x:c>
      <x:c r="J3247" s="24" t="n">
        <x:v>5</x:v>
      </x:c>
      <x:c r="K3247" s="26" t="n">
        <x:v>0</x:v>
      </x:c>
      <x:c r="L3247" s="22" t="n">
        <x:v>14.676999999999998</x:v>
      </x:c>
      <x:c r="M3247" t="n">
        <x:v>2016</x:v>
      </x:c>
      <x:c r="N3247" s="20" t="n">
        <x:v>42401</x:v>
      </x:c>
    </x:row>
    <x:row r="3248" ht="18" customHeight="1">
      <x:c r="A3248" t="str">
        <x:v>CA-2017-114524</x:v>
      </x:c>
      <x:c r="B3248" s="18" t="n">
        <x:v>42825</x:v>
      </x:c>
      <x:c r="C3248" t="str">
        <x:v>EG-13900</x:v>
      </x:c>
      <x:c r="D3248" t="str">
        <x:v>Emily Grady</x:v>
      </x:c>
      <x:c r="E3248" t="str">
        <x:v>Consumer</x:v>
      </x:c>
      <x:c r="F3248" t="str">
        <x:v>Central</x:v>
      </x:c>
      <x:c r="G3248" t="str">
        <x:v>Office Supplies</x:v>
      </x:c>
      <x:c r="H3248" t="str">
        <x:v>Binders</x:v>
      </x:c>
      <x:c r="I3248" s="22" t="n">
        <x:v>13.467999999999998</x:v>
      </x:c>
      <x:c r="J3248" s="24" t="n">
        <x:v>13</x:v>
      </x:c>
      <x:c r="K3248" s="26" t="n">
        <x:v>0.8</x:v>
      </x:c>
      <x:c r="L3248" s="22" t="n">
        <x:v>-22.895600000000005</x:v>
      </x:c>
      <x:c r="M3248" t="n">
        <x:v>2017</x:v>
      </x:c>
      <x:c r="N3248" s="20" t="n">
        <x:v>42795</x:v>
      </x:c>
    </x:row>
    <x:row r="3249" ht="18" customHeight="1">
      <x:c r="A3249" t="str">
        <x:v>CA-2017-113355</x:v>
      </x:c>
      <x:c r="B3249" s="18" t="n">
        <x:v>43070</x:v>
      </x:c>
      <x:c r="C3249" t="str">
        <x:v>SJ-20215</x:v>
      </x:c>
      <x:c r="D3249" t="str">
        <x:v>Sarah Jordon</x:v>
      </x:c>
      <x:c r="E3249" t="str">
        <x:v>Consumer</x:v>
      </x:c>
      <x:c r="F3249" t="str">
        <x:v>Central</x:v>
      </x:c>
      <x:c r="G3249" t="str">
        <x:v>Technology</x:v>
      </x:c>
      <x:c r="H3249" t="str">
        <x:v>Phones</x:v>
      </x:c>
      <x:c r="I3249" s="22" t="n">
        <x:v>219.80000000000004</x:v>
      </x:c>
      <x:c r="J3249" s="24" t="n">
        <x:v>5</x:v>
      </x:c>
      <x:c r="K3249" s="26" t="n">
        <x:v>0.2</x:v>
      </x:c>
      <x:c r="L3249" s="22" t="n">
        <x:v>24.72749999999997</x:v>
      </x:c>
      <x:c r="M3249" t="n">
        <x:v>2017</x:v>
      </x:c>
      <x:c r="N3249" s="20" t="n">
        <x:v>43070</x:v>
      </x:c>
    </x:row>
    <x:row r="3250" ht="18" customHeight="1">
      <x:c r="A3250" t="str">
        <x:v>CA-2017-113355</x:v>
      </x:c>
      <x:c r="B3250" s="18" t="n">
        <x:v>43070</x:v>
      </x:c>
      <x:c r="C3250" t="str">
        <x:v>SJ-20215</x:v>
      </x:c>
      <x:c r="D3250" t="str">
        <x:v>Sarah Jordon</x:v>
      </x:c>
      <x:c r="E3250" t="str">
        <x:v>Consumer</x:v>
      </x:c>
      <x:c r="F3250" t="str">
        <x:v>Central</x:v>
      </x:c>
      <x:c r="G3250" t="str">
        <x:v>Furniture</x:v>
      </x:c>
      <x:c r="H3250" t="str">
        <x:v>Chairs</x:v>
      </x:c>
      <x:c r="I3250" s="22" t="n">
        <x:v>317.058</x:v>
      </x:c>
      <x:c r="J3250" s="24" t="n">
        <x:v>3</x:v>
      </x:c>
      <x:c r="K3250" s="26" t="n">
        <x:v>0.3</x:v>
      </x:c>
      <x:c r="L3250" s="22" t="n">
        <x:v>-18.117599999999996</x:v>
      </x:c>
      <x:c r="M3250" t="n">
        <x:v>2017</x:v>
      </x:c>
      <x:c r="N3250" s="20" t="n">
        <x:v>43070</x:v>
      </x:c>
    </x:row>
    <x:row r="3251" ht="18" customHeight="1">
      <x:c r="A3251" t="str">
        <x:v>US-2017-140907</x:v>
      </x:c>
      <x:c r="B3251" s="18" t="n">
        <x:v>43079</x:v>
      </x:c>
      <x:c r="C3251" t="str">
        <x:v>BP-11185</x:v>
      </x:c>
      <x:c r="D3251" t="str">
        <x:v>Ben Peterman</x:v>
      </x:c>
      <x:c r="E3251" t="str">
        <x:v>Corporate</x:v>
      </x:c>
      <x:c r="F3251" t="str">
        <x:v>West</x:v>
      </x:c>
      <x:c r="G3251" t="str">
        <x:v>Technology</x:v>
      </x:c>
      <x:c r="H3251" t="str">
        <x:v>Accessories</x:v>
      </x:c>
      <x:c r="I3251" s="22" t="n">
        <x:v>49.08</x:v>
      </x:c>
      <x:c r="J3251" s="24" t="n">
        <x:v>3</x:v>
      </x:c>
      <x:c r="K3251" s="26" t="n">
        <x:v>0</x:v>
      </x:c>
      <x:c r="L3251" s="22" t="n">
        <x:v>4.907999999999998</x:v>
      </x:c>
      <x:c r="M3251" t="n">
        <x:v>2017</x:v>
      </x:c>
      <x:c r="N3251" s="20" t="n">
        <x:v>43070</x:v>
      </x:c>
    </x:row>
    <x:row r="3252" ht="18" customHeight="1">
      <x:c r="A3252" t="str">
        <x:v>US-2017-140907</x:v>
      </x:c>
      <x:c r="B3252" s="18" t="n">
        <x:v>43079</x:v>
      </x:c>
      <x:c r="C3252" t="str">
        <x:v>BP-11185</x:v>
      </x:c>
      <x:c r="D3252" t="str">
        <x:v>Ben Peterman</x:v>
      </x:c>
      <x:c r="E3252" t="str">
        <x:v>Corporate</x:v>
      </x:c>
      <x:c r="F3252" t="str">
        <x:v>West</x:v>
      </x:c>
      <x:c r="G3252" t="str">
        <x:v>Office Supplies</x:v>
      </x:c>
      <x:c r="H3252" t="str">
        <x:v>Storage</x:v>
      </x:c>
      <x:c r="I3252" s="22" t="n">
        <x:v>324.90000000000003</x:v>
      </x:c>
      <x:c r="J3252" s="24" t="n">
        <x:v>5</x:v>
      </x:c>
      <x:c r="K3252" s="26" t="n">
        <x:v>0</x:v>
      </x:c>
      <x:c r="L3252" s="22" t="n">
        <x:v>38.988000000000014</x:v>
      </x:c>
      <x:c r="M3252" t="n">
        <x:v>2017</x:v>
      </x:c>
      <x:c r="N3252" s="20" t="n">
        <x:v>43070</x:v>
      </x:c>
    </x:row>
    <x:row r="3253" ht="18" customHeight="1">
      <x:c r="A3253" t="str">
        <x:v>US-2017-140907</x:v>
      </x:c>
      <x:c r="B3253" s="18" t="n">
        <x:v>43079</x:v>
      </x:c>
      <x:c r="C3253" t="str">
        <x:v>BP-11185</x:v>
      </x:c>
      <x:c r="D3253" t="str">
        <x:v>Ben Peterman</x:v>
      </x:c>
      <x:c r="E3253" t="str">
        <x:v>Corporate</x:v>
      </x:c>
      <x:c r="F3253" t="str">
        <x:v>West</x:v>
      </x:c>
      <x:c r="G3253" t="str">
        <x:v>Office Supplies</x:v>
      </x:c>
      <x:c r="H3253" t="str">
        <x:v>Art</x:v>
      </x:c>
      <x:c r="I3253" s="22" t="n">
        <x:v>18.240000000000002</x:v>
      </x:c>
      <x:c r="J3253" s="24" t="n">
        <x:v>3</x:v>
      </x:c>
      <x:c r="K3253" s="26" t="n">
        <x:v>0</x:v>
      </x:c>
      <x:c r="L3253" s="22" t="n">
        <x:v>5.289599999999998</x:v>
      </x:c>
      <x:c r="M3253" t="n">
        <x:v>2017</x:v>
      </x:c>
      <x:c r="N3253" s="20" t="n">
        <x:v>43070</x:v>
      </x:c>
    </x:row>
    <x:row r="3254" ht="18" customHeight="1">
      <x:c r="A3254" t="str">
        <x:v>CA-2016-159730</x:v>
      </x:c>
      <x:c r="B3254" s="18" t="n">
        <x:v>42630</x:v>
      </x:c>
      <x:c r="C3254" t="str">
        <x:v>SJ-20125</x:v>
      </x:c>
      <x:c r="D3254" t="str">
        <x:v>Sanjit Jacobs</x:v>
      </x:c>
      <x:c r="E3254" t="str">
        <x:v>Home Office</x:v>
      </x:c>
      <x:c r="F3254" t="str">
        <x:v>West</x:v>
      </x:c>
      <x:c r="G3254" t="str">
        <x:v>Furniture</x:v>
      </x:c>
      <x:c r="H3254" t="str">
        <x:v>Chairs</x:v>
      </x:c>
      <x:c r="I3254" s="22" t="n">
        <x:v>113.88800000000002</x:v>
      </x:c>
      <x:c r="J3254" s="24" t="n">
        <x:v>2</x:v>
      </x:c>
      <x:c r="K3254" s="26" t="n">
        <x:v>0.2</x:v>
      </x:c>
      <x:c r="L3254" s="22" t="n">
        <x:v>9.9652</x:v>
      </x:c>
      <x:c r="M3254" t="n">
        <x:v>2016</x:v>
      </x:c>
      <x:c r="N3254" s="20" t="n">
        <x:v>42614</x:v>
      </x:c>
    </x:row>
    <x:row r="3255" ht="18" customHeight="1">
      <x:c r="A3255" t="str">
        <x:v>CA-2016-159730</x:v>
      </x:c>
      <x:c r="B3255" s="18" t="n">
        <x:v>42630</x:v>
      </x:c>
      <x:c r="C3255" t="str">
        <x:v>SJ-20125</x:v>
      </x:c>
      <x:c r="D3255" t="str">
        <x:v>Sanjit Jacobs</x:v>
      </x:c>
      <x:c r="E3255" t="str">
        <x:v>Home Office</x:v>
      </x:c>
      <x:c r="F3255" t="str">
        <x:v>West</x:v>
      </x:c>
      <x:c r="G3255" t="str">
        <x:v>Technology</x:v>
      </x:c>
      <x:c r="H3255" t="str">
        <x:v>Phones</x:v>
      </x:c>
      <x:c r="I3255" s="22" t="n">
        <x:v>105.584</x:v>
      </x:c>
      <x:c r="J3255" s="24" t="n">
        <x:v>2</x:v>
      </x:c>
      <x:c r="K3255" s="26" t="n">
        <x:v>0.2</x:v>
      </x:c>
      <x:c r="L3255" s="22" t="n">
        <x:v>7.9188000000000045</x:v>
      </x:c>
      <x:c r="M3255" t="n">
        <x:v>2016</x:v>
      </x:c>
      <x:c r="N3255" s="20" t="n">
        <x:v>42614</x:v>
      </x:c>
    </x:row>
    <x:row r="3256" ht="18" customHeight="1">
      <x:c r="A3256" t="str">
        <x:v>CA-2016-157868</x:v>
      </x:c>
      <x:c r="B3256" s="18" t="n">
        <x:v>42727</x:v>
      </x:c>
      <x:c r="C3256" t="str">
        <x:v>MC-17590</x:v>
      </x:c>
      <x:c r="D3256" t="str">
        <x:v>Matt Collister</x:v>
      </x:c>
      <x:c r="E3256" t="str">
        <x:v>Corporate</x:v>
      </x:c>
      <x:c r="F3256" t="str">
        <x:v>Central</x:v>
      </x:c>
      <x:c r="G3256" t="str">
        <x:v>Office Supplies</x:v>
      </x:c>
      <x:c r="H3256" t="str">
        <x:v>Fasteners</x:v>
      </x:c>
      <x:c r="I3256" s="22" t="n">
        <x:v>24.849999999999998</x:v>
      </x:c>
      <x:c r="J3256" s="24" t="n">
        <x:v>7</x:v>
      </x:c>
      <x:c r="K3256" s="26" t="n">
        <x:v>0</x:v>
      </x:c>
      <x:c r="L3256" s="22" t="n">
        <x:v>11.679499999999999</x:v>
      </x:c>
      <x:c r="M3256" t="n">
        <x:v>2016</x:v>
      </x:c>
      <x:c r="N3256" s="20" t="n">
        <x:v>42705</x:v>
      </x:c>
    </x:row>
    <x:row r="3257" ht="18" customHeight="1">
      <x:c r="A3257" t="str">
        <x:v>CA-2017-119389</x:v>
      </x:c>
      <x:c r="B3257" s="18" t="n">
        <x:v>42842</x:v>
      </x:c>
      <x:c r="C3257" t="str">
        <x:v>BG-11740</x:v>
      </x:c>
      <x:c r="D3257" t="str">
        <x:v>Bruce Geld</x:v>
      </x:c>
      <x:c r="E3257" t="str">
        <x:v>Consumer</x:v>
      </x:c>
      <x:c r="F3257" t="str">
        <x:v>East</x:v>
      </x:c>
      <x:c r="G3257" t="str">
        <x:v>Furniture</x:v>
      </x:c>
      <x:c r="H3257" t="str">
        <x:v>Furnishings</x:v>
      </x:c>
      <x:c r="I3257" s="22" t="n">
        <x:v>60.312</x:v>
      </x:c>
      <x:c r="J3257" s="24" t="n">
        <x:v>3</x:v>
      </x:c>
      <x:c r="K3257" s="26" t="n">
        <x:v>0.2</x:v>
      </x:c>
      <x:c r="L3257" s="22" t="n">
        <x:v>5.2773</x:v>
      </x:c>
      <x:c r="M3257" t="n">
        <x:v>2017</x:v>
      </x:c>
      <x:c r="N3257" s="20" t="n">
        <x:v>42826</x:v>
      </x:c>
    </x:row>
    <x:row r="3258" ht="18" customHeight="1">
      <x:c r="A3258" t="str">
        <x:v>CA-2017-110373</x:v>
      </x:c>
      <x:c r="B3258" s="18" t="n">
        <x:v>43035</x:v>
      </x:c>
      <x:c r="C3258" t="str">
        <x:v>MA-17560</x:v>
      </x:c>
      <x:c r="D3258" t="str">
        <x:v>Matt Abelman</x:v>
      </x:c>
      <x:c r="E3258" t="str">
        <x:v>Home Office</x:v>
      </x:c>
      <x:c r="F3258" t="str">
        <x:v>Central</x:v>
      </x:c>
      <x:c r="G3258" t="str">
        <x:v>Office Supplies</x:v>
      </x:c>
      <x:c r="H3258" t="str">
        <x:v>Art</x:v>
      </x:c>
      <x:c r="I3258" s="22" t="n">
        <x:v>7.055999999999999</x:v>
      </x:c>
      <x:c r="J3258" s="24" t="n">
        <x:v>3</x:v>
      </x:c>
      <x:c r="K3258" s="26" t="n">
        <x:v>0.2</x:v>
      </x:c>
      <x:c r="L3258" s="22" t="n">
        <x:v>2.205</x:v>
      </x:c>
      <x:c r="M3258" t="n">
        <x:v>2017</x:v>
      </x:c>
      <x:c r="N3258" s="20" t="n">
        <x:v>43009</x:v>
      </x:c>
    </x:row>
    <x:row r="3259" ht="18" customHeight="1">
      <x:c r="A3259" t="str">
        <x:v>CA-2017-110373</x:v>
      </x:c>
      <x:c r="B3259" s="18" t="n">
        <x:v>43035</x:v>
      </x:c>
      <x:c r="C3259" t="str">
        <x:v>MA-17560</x:v>
      </x:c>
      <x:c r="D3259" t="str">
        <x:v>Matt Abelman</x:v>
      </x:c>
      <x:c r="E3259" t="str">
        <x:v>Home Office</x:v>
      </x:c>
      <x:c r="F3259" t="str">
        <x:v>Central</x:v>
      </x:c>
      <x:c r="G3259" t="str">
        <x:v>Technology</x:v>
      </x:c>
      <x:c r="H3259" t="str">
        <x:v>Phones</x:v>
      </x:c>
      <x:c r="I3259" s="22" t="n">
        <x:v>27.183999999999997</x:v>
      </x:c>
      <x:c r="J3259" s="24" t="n">
        <x:v>2</x:v>
      </x:c>
      <x:c r="K3259" s="26" t="n">
        <x:v>0.2</x:v>
      </x:c>
      <x:c r="L3259" s="22" t="n">
        <x:v>2.0387999999999984</x:v>
      </x:c>
      <x:c r="M3259" t="n">
        <x:v>2017</x:v>
      </x:c>
      <x:c r="N3259" s="20" t="n">
        <x:v>43009</x:v>
      </x:c>
    </x:row>
    <x:row r="3260" ht="18" customHeight="1">
      <x:c r="A3260" t="str">
        <x:v>CA-2016-155474</x:v>
      </x:c>
      <x:c r="B3260" s="18" t="n">
        <x:v>42559</x:v>
      </x:c>
      <x:c r="C3260" t="str">
        <x:v>CC-12220</x:v>
      </x:c>
      <x:c r="D3260" t="str">
        <x:v>Chris Cortes</x:v>
      </x:c>
      <x:c r="E3260" t="str">
        <x:v>Consumer</x:v>
      </x:c>
      <x:c r="F3260" t="str">
        <x:v>West</x:v>
      </x:c>
      <x:c r="G3260" t="str">
        <x:v>Technology</x:v>
      </x:c>
      <x:c r="H3260" t="str">
        <x:v>Phones</x:v>
      </x:c>
      <x:c r="I3260" s="22" t="n">
        <x:v>107.984</x:v>
      </x:c>
      <x:c r="J3260" s="24" t="n">
        <x:v>1</x:v>
      </x:c>
      <x:c r="K3260" s="26" t="n">
        <x:v>0.2</x:v>
      </x:c>
      <x:c r="L3260" s="22" t="n">
        <x:v>9.448599999999995</x:v>
      </x:c>
      <x:c r="M3260" t="n">
        <x:v>2016</x:v>
      </x:c>
      <x:c r="N3260" s="20" t="n">
        <x:v>42552</x:v>
      </x:c>
    </x:row>
    <x:row r="3261" ht="18" customHeight="1">
      <x:c r="A3261" t="str">
        <x:v>CA-2016-155474</x:v>
      </x:c>
      <x:c r="B3261" s="18" t="n">
        <x:v>42559</x:v>
      </x:c>
      <x:c r="C3261" t="str">
        <x:v>CC-12220</x:v>
      </x:c>
      <x:c r="D3261" t="str">
        <x:v>Chris Cortes</x:v>
      </x:c>
      <x:c r="E3261" t="str">
        <x:v>Consumer</x:v>
      </x:c>
      <x:c r="F3261" t="str">
        <x:v>West</x:v>
      </x:c>
      <x:c r="G3261" t="str">
        <x:v>Office Supplies</x:v>
      </x:c>
      <x:c r="H3261" t="str">
        <x:v>Binders</x:v>
      </x:c>
      <x:c r="I3261" s="22" t="n">
        <x:v>19.296</x:v>
      </x:c>
      <x:c r="J3261" s="24" t="n">
        <x:v>3</x:v>
      </x:c>
      <x:c r="K3261" s="26" t="n">
        <x:v>0.2</x:v>
      </x:c>
      <x:c r="L3261" s="22" t="n">
        <x:v>6.029999999999999</x:v>
      </x:c>
      <x:c r="M3261" t="n">
        <x:v>2016</x:v>
      </x:c>
      <x:c r="N3261" s="20" t="n">
        <x:v>42552</x:v>
      </x:c>
    </x:row>
    <x:row r="3262" ht="18" customHeight="1">
      <x:c r="A3262" t="str">
        <x:v>CA-2015-155453</x:v>
      </x:c>
      <x:c r="B3262" s="18" t="n">
        <x:v>42225</x:v>
      </x:c>
      <x:c r="C3262" t="str">
        <x:v>RA-19885</x:v>
      </x:c>
      <x:c r="D3262" t="str">
        <x:v>Ruben Ausman</x:v>
      </x:c>
      <x:c r="E3262" t="str">
        <x:v>Corporate</x:v>
      </x:c>
      <x:c r="F3262" t="str">
        <x:v>South</x:v>
      </x:c>
      <x:c r="G3262" t="str">
        <x:v>Office Supplies</x:v>
      </x:c>
      <x:c r="H3262" t="str">
        <x:v>Labels</x:v>
      </x:c>
      <x:c r="I3262" s="22" t="n">
        <x:v>4.608</x:v>
      </x:c>
      <x:c r="J3262" s="24" t="n">
        <x:v>2</x:v>
      </x:c>
      <x:c r="K3262" s="26" t="n">
        <x:v>0.2</x:v>
      </x:c>
      <x:c r="L3262" s="22" t="n">
        <x:v>1.6704</x:v>
      </x:c>
      <x:c r="M3262" t="n">
        <x:v>2015</x:v>
      </x:c>
      <x:c r="N3262" s="20" t="n">
        <x:v>42217</x:v>
      </x:c>
    </x:row>
    <x:row r="3263" ht="18" customHeight="1">
      <x:c r="A3263" t="str">
        <x:v>US-2016-161844</x:v>
      </x:c>
      <x:c r="B3263" s="18" t="n">
        <x:v>42713</x:v>
      </x:c>
      <x:c r="C3263" t="str">
        <x:v>DK-12835</x:v>
      </x:c>
      <x:c r="D3263" t="str">
        <x:v>Damala Kotsonis</x:v>
      </x:c>
      <x:c r="E3263" t="str">
        <x:v>Corporate</x:v>
      </x:c>
      <x:c r="F3263" t="str">
        <x:v>South</x:v>
      </x:c>
      <x:c r="G3263" t="str">
        <x:v>Furniture</x:v>
      </x:c>
      <x:c r="H3263" t="str">
        <x:v>Tables</x:v>
      </x:c>
      <x:c r="I3263" s="22" t="n">
        <x:v>79.97399999999999</x:v>
      </x:c>
      <x:c r="J3263" s="24" t="n">
        <x:v>3</x:v>
      </x:c>
      <x:c r="K3263" s="26" t="n">
        <x:v>0.4</x:v>
      </x:c>
      <x:c r="L3263" s="22" t="n">
        <x:v>-29.323800000000006</x:v>
      </x:c>
      <x:c r="M3263" t="n">
        <x:v>2016</x:v>
      </x:c>
      <x:c r="N3263" s="20" t="n">
        <x:v>42705</x:v>
      </x:c>
    </x:row>
    <x:row r="3264" ht="18" customHeight="1">
      <x:c r="A3264" t="str">
        <x:v>US-2016-161844</x:v>
      </x:c>
      <x:c r="B3264" s="18" t="n">
        <x:v>42713</x:v>
      </x:c>
      <x:c r="C3264" t="str">
        <x:v>DK-12835</x:v>
      </x:c>
      <x:c r="D3264" t="str">
        <x:v>Damala Kotsonis</x:v>
      </x:c>
      <x:c r="E3264" t="str">
        <x:v>Corporate</x:v>
      </x:c>
      <x:c r="F3264" t="str">
        <x:v>South</x:v>
      </x:c>
      <x:c r="G3264" t="str">
        <x:v>Office Supplies</x:v>
      </x:c>
      <x:c r="H3264" t="str">
        <x:v>Binders</x:v>
      </x:c>
      <x:c r="I3264" s="22" t="n">
        <x:v>2.9460000000000006</x:v>
      </x:c>
      <x:c r="J3264" s="24" t="n">
        <x:v>2</x:v>
      </x:c>
      <x:c r="K3264" s="26" t="n">
        <x:v>0.7</x:v>
      </x:c>
      <x:c r="L3264" s="22" t="n">
        <x:v>-2.0622</x:v>
      </x:c>
      <x:c r="M3264" t="n">
        <x:v>2016</x:v>
      </x:c>
      <x:c r="N3264" s="20" t="n">
        <x:v>42705</x:v>
      </x:c>
    </x:row>
    <x:row r="3265" ht="18" customHeight="1">
      <x:c r="A3265" t="str">
        <x:v>US-2016-162103</x:v>
      </x:c>
      <x:c r="B3265" s="18" t="n">
        <x:v>42687</x:v>
      </x:c>
      <x:c r="C3265" t="str">
        <x:v>LB-16795</x:v>
      </x:c>
      <x:c r="D3265" t="str">
        <x:v>Laurel Beltran</x:v>
      </x:c>
      <x:c r="E3265" t="str">
        <x:v>Home Office</x:v>
      </x:c>
      <x:c r="F3265" t="str">
        <x:v>Central</x:v>
      </x:c>
      <x:c r="G3265" t="str">
        <x:v>Office Supplies</x:v>
      </x:c>
      <x:c r="H3265" t="str">
        <x:v>Binders</x:v>
      </x:c>
      <x:c r="I3265" s="22" t="n">
        <x:v>3.1359999999999992</x:v>
      </x:c>
      <x:c r="J3265" s="24" t="n">
        <x:v>2</x:v>
      </x:c>
      <x:c r="K3265" s="26" t="n">
        <x:v>0.8</x:v>
      </x:c>
      <x:c r="L3265" s="22" t="n">
        <x:v>-4.704000000000001</x:v>
      </x:c>
      <x:c r="M3265" t="n">
        <x:v>2016</x:v>
      </x:c>
      <x:c r="N3265" s="20" t="n">
        <x:v>42675</x:v>
      </x:c>
    </x:row>
    <x:row r="3266" ht="18" customHeight="1">
      <x:c r="A3266" t="str">
        <x:v>CA-2014-151554</x:v>
      </x:c>
      <x:c r="B3266" s="18" t="n">
        <x:v>41957</x:v>
      </x:c>
      <x:c r="C3266" t="str">
        <x:v>CM-11815</x:v>
      </x:c>
      <x:c r="D3266" t="str">
        <x:v>Candace McMahon</x:v>
      </x:c>
      <x:c r="E3266" t="str">
        <x:v>Corporate</x:v>
      </x:c>
      <x:c r="F3266" t="str">
        <x:v>Central</x:v>
      </x:c>
      <x:c r="G3266" t="str">
        <x:v>Office Supplies</x:v>
      </x:c>
      <x:c r="H3266" t="str">
        <x:v>Paper</x:v>
      </x:c>
      <x:c r="I3266" s="22" t="n">
        <x:v>20.736000000000004</x:v>
      </x:c>
      <x:c r="J3266" s="24" t="n">
        <x:v>4</x:v>
      </x:c>
      <x:c r="K3266" s="26" t="n">
        <x:v>0.2</x:v>
      </x:c>
      <x:c r="L3266" s="22" t="n">
        <x:v>7.2576</x:v>
      </x:c>
      <x:c r="M3266" t="n">
        <x:v>2014</x:v>
      </x:c>
      <x:c r="N3266" s="20" t="n">
        <x:v>41944</x:v>
      </x:c>
    </x:row>
    <x:row r="3267" ht="18" customHeight="1">
      <x:c r="A3267" t="str">
        <x:v>CA-2014-140662</x:v>
      </x:c>
      <x:c r="B3267" s="18" t="n">
        <x:v>41960</x:v>
      </x:c>
      <x:c r="C3267" t="str">
        <x:v>TS-21205</x:v>
      </x:c>
      <x:c r="D3267" t="str">
        <x:v>Thomas Seio</x:v>
      </x:c>
      <x:c r="E3267" t="str">
        <x:v>Corporate</x:v>
      </x:c>
      <x:c r="F3267" t="str">
        <x:v>West</x:v>
      </x:c>
      <x:c r="G3267" t="str">
        <x:v>Technology</x:v>
      </x:c>
      <x:c r="H3267" t="str">
        <x:v>Accessories</x:v>
      </x:c>
      <x:c r="I3267" s="22" t="n">
        <x:v>99.98</x:v>
      </x:c>
      <x:c r="J3267" s="24" t="n">
        <x:v>2</x:v>
      </x:c>
      <x:c r="K3267" s="26" t="n">
        <x:v>0</x:v>
      </x:c>
      <x:c r="L3267" s="22" t="n">
        <x:v>7.9983999999999895</x:v>
      </x:c>
      <x:c r="M3267" t="n">
        <x:v>2014</x:v>
      </x:c>
      <x:c r="N3267" s="20" t="n">
        <x:v>41944</x:v>
      </x:c>
    </x:row>
    <x:row r="3268" ht="18" customHeight="1">
      <x:c r="A3268" t="str">
        <x:v>CA-2014-140662</x:v>
      </x:c>
      <x:c r="B3268" s="18" t="n">
        <x:v>41960</x:v>
      </x:c>
      <x:c r="C3268" t="str">
        <x:v>TS-21205</x:v>
      </x:c>
      <x:c r="D3268" t="str">
        <x:v>Thomas Seio</x:v>
      </x:c>
      <x:c r="E3268" t="str">
        <x:v>Corporate</x:v>
      </x:c>
      <x:c r="F3268" t="str">
        <x:v>West</x:v>
      </x:c>
      <x:c r="G3268" t="str">
        <x:v>Office Supplies</x:v>
      </x:c>
      <x:c r="H3268" t="str">
        <x:v>Paper</x:v>
      </x:c>
      <x:c r="I3268" s="22" t="n">
        <x:v>733.9499999999999</x:v>
      </x:c>
      <x:c r="J3268" s="24" t="n">
        <x:v>7</x:v>
      </x:c>
      <x:c r="K3268" s="26" t="n">
        <x:v>0</x:v>
      </x:c>
      <x:c r="L3268" s="22" t="n">
        <x:v>352.296</x:v>
      </x:c>
      <x:c r="M3268" t="n">
        <x:v>2014</x:v>
      </x:c>
      <x:c r="N3268" s="20" t="n">
        <x:v>41944</x:v>
      </x:c>
    </x:row>
    <x:row r="3269" ht="18" customHeight="1">
      <x:c r="A3269" t="str">
        <x:v>CA-2014-140662</x:v>
      </x:c>
      <x:c r="B3269" s="18" t="n">
        <x:v>41960</x:v>
      </x:c>
      <x:c r="C3269" t="str">
        <x:v>TS-21205</x:v>
      </x:c>
      <x:c r="D3269" t="str">
        <x:v>Thomas Seio</x:v>
      </x:c>
      <x:c r="E3269" t="str">
        <x:v>Corporate</x:v>
      </x:c>
      <x:c r="F3269" t="str">
        <x:v>West</x:v>
      </x:c>
      <x:c r="G3269" t="str">
        <x:v>Office Supplies</x:v>
      </x:c>
      <x:c r="H3269" t="str">
        <x:v>Appliances</x:v>
      </x:c>
      <x:c r="I3269" s="22" t="n">
        <x:v>241.44</x:v>
      </x:c>
      <x:c r="J3269" s="24" t="n">
        <x:v>3</x:v>
      </x:c>
      <x:c r="K3269" s="26" t="n">
        <x:v>0</x:v>
      </x:c>
      <x:c r="L3269" s="22" t="n">
        <x:v>72.43199999999999</x:v>
      </x:c>
      <x:c r="M3269" t="n">
        <x:v>2014</x:v>
      </x:c>
      <x:c r="N3269" s="20" t="n">
        <x:v>41944</x:v>
      </x:c>
    </x:row>
    <x:row r="3270" ht="18" customHeight="1">
      <x:c r="A3270" t="str">
        <x:v>CA-2016-122518</x:v>
      </x:c>
      <x:c r="B3270" s="18" t="n">
        <x:v>42433</x:v>
      </x:c>
      <x:c r="C3270" t="str">
        <x:v>RF-19345</x:v>
      </x:c>
      <x:c r="D3270" t="str">
        <x:v>Randy Ferguson</x:v>
      </x:c>
      <x:c r="E3270" t="str">
        <x:v>Corporate</x:v>
      </x:c>
      <x:c r="F3270" t="str">
        <x:v>South</x:v>
      </x:c>
      <x:c r="G3270" t="str">
        <x:v>Office Supplies</x:v>
      </x:c>
      <x:c r="H3270" t="str">
        <x:v>Labels</x:v>
      </x:c>
      <x:c r="I3270" s="22" t="n">
        <x:v>10.08</x:v>
      </x:c>
      <x:c r="J3270" s="24" t="n">
        <x:v>4</x:v>
      </x:c>
      <x:c r="K3270" s="26" t="n">
        <x:v>0.2</x:v>
      </x:c>
      <x:c r="L3270" s="22" t="n">
        <x:v>3.528</x:v>
      </x:c>
      <x:c r="M3270" t="n">
        <x:v>2016</x:v>
      </x:c>
      <x:c r="N3270" s="20" t="n">
        <x:v>42430</x:v>
      </x:c>
    </x:row>
    <x:row r="3271" ht="18" customHeight="1">
      <x:c r="A3271" t="str">
        <x:v>US-2014-126571</x:v>
      </x:c>
      <x:c r="B3271" s="18" t="n">
        <x:v>41923</x:v>
      </x:c>
      <x:c r="C3271" t="str">
        <x:v>JF-15565</x:v>
      </x:c>
      <x:c r="D3271" t="str">
        <x:v>Jill Fjeld</x:v>
      </x:c>
      <x:c r="E3271" t="str">
        <x:v>Consumer</x:v>
      </x:c>
      <x:c r="F3271" t="str">
        <x:v>East</x:v>
      </x:c>
      <x:c r="G3271" t="str">
        <x:v>Office Supplies</x:v>
      </x:c>
      <x:c r="H3271" t="str">
        <x:v>Storage</x:v>
      </x:c>
      <x:c r="I3271" s="22" t="n">
        <x:v>281.904</x:v>
      </x:c>
      <x:c r="J3271" s="24" t="n">
        <x:v>2</x:v>
      </x:c>
      <x:c r="K3271" s="26" t="n">
        <x:v>0.2</x:v>
      </x:c>
      <x:c r="L3271" s="22" t="n">
        <x:v>10.571399999999983</x:v>
      </x:c>
      <x:c r="M3271" t="n">
        <x:v>2014</x:v>
      </x:c>
      <x:c r="N3271" s="20" t="n">
        <x:v>41913</x:v>
      </x:c>
    </x:row>
    <x:row r="3272" ht="18" customHeight="1">
      <x:c r="A3272" t="str">
        <x:v>US-2014-126571</x:v>
      </x:c>
      <x:c r="B3272" s="18" t="n">
        <x:v>41923</x:v>
      </x:c>
      <x:c r="C3272" t="str">
        <x:v>JF-15565</x:v>
      </x:c>
      <x:c r="D3272" t="str">
        <x:v>Jill Fjeld</x:v>
      </x:c>
      <x:c r="E3272" t="str">
        <x:v>Consumer</x:v>
      </x:c>
      <x:c r="F3272" t="str">
        <x:v>East</x:v>
      </x:c>
      <x:c r="G3272" t="str">
        <x:v>Office Supplies</x:v>
      </x:c>
      <x:c r="H3272" t="str">
        <x:v>Envelopes</x:v>
      </x:c>
      <x:c r="I3272" s="22" t="n">
        <x:v>201.43200000000002</x:v>
      </x:c>
      <x:c r="J3272" s="24" t="n">
        <x:v>3</x:v>
      </x:c>
      <x:c r="K3272" s="26" t="n">
        <x:v>0.2</x:v>
      </x:c>
      <x:c r="L3272" s="22" t="n">
        <x:v>67.98329999999999</x:v>
      </x:c>
      <x:c r="M3272" t="n">
        <x:v>2014</x:v>
      </x:c>
      <x:c r="N3272" s="20" t="n">
        <x:v>41913</x:v>
      </x:c>
    </x:row>
    <x:row r="3273" ht="18" customHeight="1">
      <x:c r="A3273" t="str">
        <x:v>CA-2014-143840</x:v>
      </x:c>
      <x:c r="B3273" s="18" t="n">
        <x:v>41781</x:v>
      </x:c>
      <x:c r="C3273" t="str">
        <x:v>EH-14185</x:v>
      </x:c>
      <x:c r="D3273" t="str">
        <x:v>Evan Henry</x:v>
      </x:c>
      <x:c r="E3273" t="str">
        <x:v>Consumer</x:v>
      </x:c>
      <x:c r="F3273" t="str">
        <x:v>South</x:v>
      </x:c>
      <x:c r="G3273" t="str">
        <x:v>Technology</x:v>
      </x:c>
      <x:c r="H3273" t="str">
        <x:v>Phones</x:v>
      </x:c>
      <x:c r="I3273" s="22" t="n">
        <x:v>135.98</x:v>
      </x:c>
      <x:c r="J3273" s="24" t="n">
        <x:v>2</x:v>
      </x:c>
      <x:c r="K3273" s="26" t="n">
        <x:v>0</x:v>
      </x:c>
      <x:c r="L3273" s="22" t="n">
        <x:v>33.995000000000005</x:v>
      </x:c>
      <x:c r="M3273" t="n">
        <x:v>2014</x:v>
      </x:c>
      <x:c r="N3273" s="20" t="n">
        <x:v>41760</x:v>
      </x:c>
    </x:row>
    <x:row r="3274" ht="18" customHeight="1">
      <x:c r="A3274" t="str">
        <x:v>CA-2014-143840</x:v>
      </x:c>
      <x:c r="B3274" s="18" t="n">
        <x:v>41781</x:v>
      </x:c>
      <x:c r="C3274" t="str">
        <x:v>EH-14185</x:v>
      </x:c>
      <x:c r="D3274" t="str">
        <x:v>Evan Henry</x:v>
      </x:c>
      <x:c r="E3274" t="str">
        <x:v>Consumer</x:v>
      </x:c>
      <x:c r="F3274" t="str">
        <x:v>South</x:v>
      </x:c>
      <x:c r="G3274" t="str">
        <x:v>Technology</x:v>
      </x:c>
      <x:c r="H3274" t="str">
        <x:v>Phones</x:v>
      </x:c>
      <x:c r="I3274" s="22" t="n">
        <x:v>44.95</x:v>
      </x:c>
      <x:c r="J3274" s="24" t="n">
        <x:v>1</x:v>
      </x:c>
      <x:c r="K3274" s="26" t="n">
        <x:v>0</x:v>
      </x:c>
      <x:c r="L3274" s="22" t="n">
        <x:v>12.585999999999999</x:v>
      </x:c>
      <x:c r="M3274" t="n">
        <x:v>2014</x:v>
      </x:c>
      <x:c r="N3274" s="20" t="n">
        <x:v>41760</x:v>
      </x:c>
    </x:row>
    <x:row r="3275" ht="18" customHeight="1">
      <x:c r="A3275" t="str">
        <x:v>CA-2014-115980</x:v>
      </x:c>
      <x:c r="B3275" s="18" t="n">
        <x:v>41835</x:v>
      </x:c>
      <x:c r="C3275" t="str">
        <x:v>VW-21775</x:v>
      </x:c>
      <x:c r="D3275" t="str">
        <x:v>Victoria Wilson</x:v>
      </x:c>
      <x:c r="E3275" t="str">
        <x:v>Corporate</x:v>
      </x:c>
      <x:c r="F3275" t="str">
        <x:v>Central</x:v>
      </x:c>
      <x:c r="G3275" t="str">
        <x:v>Technology</x:v>
      </x:c>
      <x:c r="H3275" t="str">
        <x:v>Accessories</x:v>
      </x:c>
      <x:c r="I3275" s="22" t="n">
        <x:v>2.9699999999999998</x:v>
      </x:c>
      <x:c r="J3275" s="24" t="n">
        <x:v>3</x:v>
      </x:c>
      <x:c r="K3275" s="26" t="n">
        <x:v>0</x:v>
      </x:c>
      <x:c r="L3275" s="22" t="n">
        <x:v>1.3068000000000004</x:v>
      </x:c>
      <x:c r="M3275" t="n">
        <x:v>2014</x:v>
      </x:c>
      <x:c r="N3275" s="20" t="n">
        <x:v>41821</x:v>
      </x:c>
    </x:row>
    <x:row r="3276" ht="18" customHeight="1">
      <x:c r="A3276" t="str">
        <x:v>CA-2014-115980</x:v>
      </x:c>
      <x:c r="B3276" s="18" t="n">
        <x:v>41835</x:v>
      </x:c>
      <x:c r="C3276" t="str">
        <x:v>VW-21775</x:v>
      </x:c>
      <x:c r="D3276" t="str">
        <x:v>Victoria Wilson</x:v>
      </x:c>
      <x:c r="E3276" t="str">
        <x:v>Corporate</x:v>
      </x:c>
      <x:c r="F3276" t="str">
        <x:v>Central</x:v>
      </x:c>
      <x:c r="G3276" t="str">
        <x:v>Office Supplies</x:v>
      </x:c>
      <x:c r="H3276" t="str">
        <x:v>Fasteners</x:v>
      </x:c>
      <x:c r="I3276" s="22" t="n">
        <x:v>6.540000000000001</x:v>
      </x:c>
      <x:c r="J3276" s="24" t="n">
        <x:v>3</x:v>
      </x:c>
      <x:c r="K3276" s="26" t="n">
        <x:v>0</x:v>
      </x:c>
      <x:c r="L3276" s="22" t="n">
        <x:v>2.6814000000000004</x:v>
      </x:c>
      <x:c r="M3276" t="n">
        <x:v>2014</x:v>
      </x:c>
      <x:c r="N3276" s="20" t="n">
        <x:v>41821</x:v>
      </x:c>
    </x:row>
    <x:row r="3277" ht="18" customHeight="1">
      <x:c r="A3277" t="str">
        <x:v>CA-2015-155145</x:v>
      </x:c>
      <x:c r="B3277" s="18" t="n">
        <x:v>42365</x:v>
      </x:c>
      <x:c r="C3277" t="str">
        <x:v>KN-16450</x:v>
      </x:c>
      <x:c r="D3277" t="str">
        <x:v>Kean Nguyen</x:v>
      </x:c>
      <x:c r="E3277" t="str">
        <x:v>Corporate</x:v>
      </x:c>
      <x:c r="F3277" t="str">
        <x:v>West</x:v>
      </x:c>
      <x:c r="G3277" t="str">
        <x:v>Technology</x:v>
      </x:c>
      <x:c r="H3277" t="str">
        <x:v>Accessories</x:v>
      </x:c>
      <x:c r="I3277" s="22" t="n">
        <x:v>7.92</x:v>
      </x:c>
      <x:c r="J3277" s="24" t="n">
        <x:v>8</x:v>
      </x:c>
      <x:c r="K3277" s="26" t="n">
        <x:v>0</x:v>
      </x:c>
      <x:c r="L3277" s="22" t="n">
        <x:v>3.484800000000001</x:v>
      </x:c>
      <x:c r="M3277" t="n">
        <x:v>2015</x:v>
      </x:c>
      <x:c r="N3277" s="20" t="n">
        <x:v>42339</x:v>
      </x:c>
    </x:row>
    <x:row r="3278" ht="18" customHeight="1">
      <x:c r="A3278" t="str">
        <x:v>CA-2015-146038</x:v>
      </x:c>
      <x:c r="B3278" s="18" t="n">
        <x:v>42044</x:v>
      </x:c>
      <x:c r="C3278" t="str">
        <x:v>SJ-20215</x:v>
      </x:c>
      <x:c r="D3278" t="str">
        <x:v>Sarah Jordon</x:v>
      </x:c>
      <x:c r="E3278" t="str">
        <x:v>Consumer</x:v>
      </x:c>
      <x:c r="F3278" t="str">
        <x:v>West</x:v>
      </x:c>
      <x:c r="G3278" t="str">
        <x:v>Furniture</x:v>
      </x:c>
      <x:c r="H3278" t="str">
        <x:v>Chairs</x:v>
      </x:c>
      <x:c r="I3278" s="22" t="n">
        <x:v>203.92</x:v>
      </x:c>
      <x:c r="J3278" s="24" t="n">
        <x:v>5</x:v>
      </x:c>
      <x:c r="K3278" s="26" t="n">
        <x:v>0.2</x:v>
      </x:c>
      <x:c r="L3278" s="22" t="n">
        <x:v>22.940999999999995</x:v>
      </x:c>
      <x:c r="M3278" t="n">
        <x:v>2015</x:v>
      </x:c>
      <x:c r="N3278" s="20" t="n">
        <x:v>42036</x:v>
      </x:c>
    </x:row>
    <x:row r="3279" ht="18" customHeight="1">
      <x:c r="A3279" t="str">
        <x:v>CA-2017-133865</x:v>
      </x:c>
      <x:c r="B3279" s="18" t="n">
        <x:v>42863</x:v>
      </x:c>
      <x:c r="C3279" t="str">
        <x:v>PS-19045</x:v>
      </x:c>
      <x:c r="D3279" t="str">
        <x:v>Penelope Sewall</x:v>
      </x:c>
      <x:c r="E3279" t="str">
        <x:v>Home Office</x:v>
      </x:c>
      <x:c r="F3279" t="str">
        <x:v>West</x:v>
      </x:c>
      <x:c r="G3279" t="str">
        <x:v>Technology</x:v>
      </x:c>
      <x:c r="H3279" t="str">
        <x:v>Copiers</x:v>
      </x:c>
      <x:c r="I3279" s="22" t="n">
        <x:v>3359.952</x:v>
      </x:c>
      <x:c r="J3279" s="24" t="n">
        <x:v>6</x:v>
      </x:c>
      <x:c r="K3279" s="26" t="n">
        <x:v>0.2</x:v>
      </x:c>
      <x:c r="L3279" s="22" t="n">
        <x:v>1049.985</x:v>
      </x:c>
      <x:c r="M3279" t="n">
        <x:v>2017</x:v>
      </x:c>
      <x:c r="N3279" s="20" t="n">
        <x:v>42856</x:v>
      </x:c>
    </x:row>
    <x:row r="3280" ht="18" customHeight="1">
      <x:c r="A3280" t="str">
        <x:v>CA-2017-116358</x:v>
      </x:c>
      <x:c r="B3280" s="18" t="n">
        <x:v>43041</x:v>
      </x:c>
      <x:c r="C3280" t="str">
        <x:v>KM-16225</x:v>
      </x:c>
      <x:c r="D3280" t="str">
        <x:v>Kalyca Meade</x:v>
      </x:c>
      <x:c r="E3280" t="str">
        <x:v>Corporate</x:v>
      </x:c>
      <x:c r="F3280" t="str">
        <x:v>Central</x:v>
      </x:c>
      <x:c r="G3280" t="str">
        <x:v>Office Supplies</x:v>
      </x:c>
      <x:c r="H3280" t="str">
        <x:v>Fasteners</x:v>
      </x:c>
      <x:c r="I3280" s="22" t="n">
        <x:v>18.240000000000002</x:v>
      </x:c>
      <x:c r="J3280" s="24" t="n">
        <x:v>3</x:v>
      </x:c>
      <x:c r="K3280" s="26" t="n">
        <x:v>0</x:v>
      </x:c>
      <x:c r="L3280" s="22" t="n">
        <x:v>9.120000000000001</x:v>
      </x:c>
      <x:c r="M3280" t="n">
        <x:v>2017</x:v>
      </x:c>
      <x:c r="N3280" s="20" t="n">
        <x:v>43040</x:v>
      </x:c>
    </x:row>
    <x:row r="3281" ht="18" customHeight="1">
      <x:c r="A3281" t="str">
        <x:v>CA-2017-116358</x:v>
      </x:c>
      <x:c r="B3281" s="18" t="n">
        <x:v>43041</x:v>
      </x:c>
      <x:c r="C3281" t="str">
        <x:v>KM-16225</x:v>
      </x:c>
      <x:c r="D3281" t="str">
        <x:v>Kalyca Meade</x:v>
      </x:c>
      <x:c r="E3281" t="str">
        <x:v>Corporate</x:v>
      </x:c>
      <x:c r="F3281" t="str">
        <x:v>Central</x:v>
      </x:c>
      <x:c r="G3281" t="str">
        <x:v>Office Supplies</x:v>
      </x:c>
      <x:c r="H3281" t="str">
        <x:v>Art</x:v>
      </x:c>
      <x:c r="I3281" s="22" t="n">
        <x:v>27.78</x:v>
      </x:c>
      <x:c r="J3281" s="24" t="n">
        <x:v>6</x:v>
      </x:c>
      <x:c r="K3281" s="26" t="n">
        <x:v>0</x:v>
      </x:c>
      <x:c r="L3281" s="22" t="n">
        <x:v>9.167399999999999</x:v>
      </x:c>
      <x:c r="M3281" t="n">
        <x:v>2017</x:v>
      </x:c>
      <x:c r="N3281" s="20" t="n">
        <x:v>43040</x:v>
      </x:c>
    </x:row>
    <x:row r="3282" ht="18" customHeight="1">
      <x:c r="A3282" t="str">
        <x:v>CA-2014-102988</x:v>
      </x:c>
      <x:c r="B3282" s="18" t="n">
        <x:v>41734</x:v>
      </x:c>
      <x:c r="C3282" t="str">
        <x:v>GM-14695</x:v>
      </x:c>
      <x:c r="D3282" t="str">
        <x:v>Greg Maxwell</x:v>
      </x:c>
      <x:c r="E3282" t="str">
        <x:v>Corporate</x:v>
      </x:c>
      <x:c r="F3282" t="str">
        <x:v>South</x:v>
      </x:c>
      <x:c r="G3282" t="str">
        <x:v>Office Supplies</x:v>
      </x:c>
      <x:c r="H3282" t="str">
        <x:v>Art</x:v>
      </x:c>
      <x:c r="I3282" s="22" t="n">
        <x:v>22.959999999999997</x:v>
      </x:c>
      <x:c r="J3282" s="24" t="n">
        <x:v>7</x:v>
      </x:c>
      <x:c r="K3282" s="26" t="n">
        <x:v>0</x:v>
      </x:c>
      <x:c r="L3282" s="22" t="n">
        <x:v>7.576799999999999</x:v>
      </x:c>
      <x:c r="M3282" t="n">
        <x:v>2014</x:v>
      </x:c>
      <x:c r="N3282" s="20" t="n">
        <x:v>41730</x:v>
      </x:c>
    </x:row>
    <x:row r="3283" ht="18" customHeight="1">
      <x:c r="A3283" t="str">
        <x:v>CA-2014-102988</x:v>
      </x:c>
      <x:c r="B3283" s="18" t="n">
        <x:v>41734</x:v>
      </x:c>
      <x:c r="C3283" t="str">
        <x:v>GM-14695</x:v>
      </x:c>
      <x:c r="D3283" t="str">
        <x:v>Greg Maxwell</x:v>
      </x:c>
      <x:c r="E3283" t="str">
        <x:v>Corporate</x:v>
      </x:c>
      <x:c r="F3283" t="str">
        <x:v>South</x:v>
      </x:c>
      <x:c r="G3283" t="str">
        <x:v>Technology</x:v>
      </x:c>
      <x:c r="H3283" t="str">
        <x:v>Phones</x:v>
      </x:c>
      <x:c r="I3283" s="22" t="n">
        <x:v>28.99</x:v>
      </x:c>
      <x:c r="J3283" s="24" t="n">
        <x:v>1</x:v>
      </x:c>
      <x:c r="K3283" s="26" t="n">
        <x:v>0</x:v>
      </x:c>
      <x:c r="L3283" s="22" t="n">
        <x:v>8.407099999999996</x:v>
      </x:c>
      <x:c r="M3283" t="n">
        <x:v>2014</x:v>
      </x:c>
      <x:c r="N3283" s="20" t="n">
        <x:v>41730</x:v>
      </x:c>
    </x:row>
    <x:row r="3284" ht="18" customHeight="1">
      <x:c r="A3284" t="str">
        <x:v>CA-2014-102988</x:v>
      </x:c>
      <x:c r="B3284" s="18" t="n">
        <x:v>41734</x:v>
      </x:c>
      <x:c r="C3284" t="str">
        <x:v>GM-14695</x:v>
      </x:c>
      <x:c r="D3284" t="str">
        <x:v>Greg Maxwell</x:v>
      </x:c>
      <x:c r="E3284" t="str">
        <x:v>Corporate</x:v>
      </x:c>
      <x:c r="F3284" t="str">
        <x:v>South</x:v>
      </x:c>
      <x:c r="G3284" t="str">
        <x:v>Office Supplies</x:v>
      </x:c>
      <x:c r="H3284" t="str">
        <x:v>Paper</x:v>
      </x:c>
      <x:c r="I3284" s="22" t="n">
        <x:v>12.96</x:v>
      </x:c>
      <x:c r="J3284" s="24" t="n">
        <x:v>2</x:v>
      </x:c>
      <x:c r="K3284" s="26" t="n">
        <x:v>0</x:v>
      </x:c>
      <x:c r="L3284" s="22" t="n">
        <x:v>6.3504000000000005</x:v>
      </x:c>
      <x:c r="M3284" t="n">
        <x:v>2014</x:v>
      </x:c>
      <x:c r="N3284" s="20" t="n">
        <x:v>41730</x:v>
      </x:c>
    </x:row>
    <x:row r="3285" ht="18" customHeight="1">
      <x:c r="A3285" t="str">
        <x:v>CA-2014-102988</x:v>
      </x:c>
      <x:c r="B3285" s="18" t="n">
        <x:v>41734</x:v>
      </x:c>
      <x:c r="C3285" t="str">
        <x:v>GM-14695</x:v>
      </x:c>
      <x:c r="D3285" t="str">
        <x:v>Greg Maxwell</x:v>
      </x:c>
      <x:c r="E3285" t="str">
        <x:v>Corporate</x:v>
      </x:c>
      <x:c r="F3285" t="str">
        <x:v>South</x:v>
      </x:c>
      <x:c r="G3285" t="str">
        <x:v>Office Supplies</x:v>
      </x:c>
      <x:c r="H3285" t="str">
        <x:v>Art</x:v>
      </x:c>
      <x:c r="I3285" s="22" t="n">
        <x:v>22.959999999999997</x:v>
      </x:c>
      <x:c r="J3285" s="24" t="n">
        <x:v>7</x:v>
      </x:c>
      <x:c r="K3285" s="26" t="n">
        <x:v>0</x:v>
      </x:c>
      <x:c r="L3285" s="22" t="n">
        <x:v>6.658399999999997</x:v>
      </x:c>
      <x:c r="M3285" t="n">
        <x:v>2014</x:v>
      </x:c>
      <x:c r="N3285" s="20" t="n">
        <x:v>41730</x:v>
      </x:c>
    </x:row>
    <x:row r="3286" ht="18" customHeight="1">
      <x:c r="A3286" t="str">
        <x:v>CA-2014-102988</x:v>
      </x:c>
      <x:c r="B3286" s="18" t="n">
        <x:v>41734</x:v>
      </x:c>
      <x:c r="C3286" t="str">
        <x:v>GM-14695</x:v>
      </x:c>
      <x:c r="D3286" t="str">
        <x:v>Greg Maxwell</x:v>
      </x:c>
      <x:c r="E3286" t="str">
        <x:v>Corporate</x:v>
      </x:c>
      <x:c r="F3286" t="str">
        <x:v>South</x:v>
      </x:c>
      <x:c r="G3286" t="str">
        <x:v>Office Supplies</x:v>
      </x:c>
      <x:c r="H3286" t="str">
        <x:v>Supplies</x:v>
      </x:c>
      <x:c r="I3286" s="22" t="n">
        <x:v>4164.049999999999</x:v>
      </x:c>
      <x:c r="J3286" s="24" t="n">
        <x:v>5</x:v>
      </x:c>
      <x:c r="K3286" s="26" t="n">
        <x:v>0</x:v>
      </x:c>
      <x:c r="L3286" s="22" t="n">
        <x:v>83.28100000000006</x:v>
      </x:c>
      <x:c r="M3286" t="n">
        <x:v>2014</x:v>
      </x:c>
      <x:c r="N3286" s="20" t="n">
        <x:v>41730</x:v>
      </x:c>
    </x:row>
    <x:row r="3287" ht="18" customHeight="1">
      <x:c r="A3287" t="str">
        <x:v>US-2014-117170</x:v>
      </x:c>
      <x:c r="B3287" s="18" t="n">
        <x:v>41899</x:v>
      </x:c>
      <x:c r="C3287" t="str">
        <x:v>KT-16465</x:v>
      </x:c>
      <x:c r="D3287" t="str">
        <x:v>Kean Takahito</x:v>
      </x:c>
      <x:c r="E3287" t="str">
        <x:v>Consumer</x:v>
      </x:c>
      <x:c r="F3287" t="str">
        <x:v>South</x:v>
      </x:c>
      <x:c r="G3287" t="str">
        <x:v>Technology</x:v>
      </x:c>
      <x:c r="H3287" t="str">
        <x:v>Accessories</x:v>
      </x:c>
      <x:c r="I3287" s="22" t="n">
        <x:v>47.984</x:v>
      </x:c>
      <x:c r="J3287" s="24" t="n">
        <x:v>2</x:v>
      </x:c>
      <x:c r="K3287" s="26" t="n">
        <x:v>0.2</x:v>
      </x:c>
      <x:c r="L3287" s="22" t="n">
        <x:v>13.1956</x:v>
      </x:c>
      <x:c r="M3287" t="n">
        <x:v>2014</x:v>
      </x:c>
      <x:c r="N3287" s="20" t="n">
        <x:v>41883</x:v>
      </x:c>
    </x:row>
    <x:row r="3288" ht="18" customHeight="1">
      <x:c r="A3288" t="str">
        <x:v>US-2014-117170</x:v>
      </x:c>
      <x:c r="B3288" s="18" t="n">
        <x:v>41899</x:v>
      </x:c>
      <x:c r="C3288" t="str">
        <x:v>KT-16465</x:v>
      </x:c>
      <x:c r="D3288" t="str">
        <x:v>Kean Takahito</x:v>
      </x:c>
      <x:c r="E3288" t="str">
        <x:v>Consumer</x:v>
      </x:c>
      <x:c r="F3288" t="str">
        <x:v>South</x:v>
      </x:c>
      <x:c r="G3288" t="str">
        <x:v>Office Supplies</x:v>
      </x:c>
      <x:c r="H3288" t="str">
        <x:v>Paper</x:v>
      </x:c>
      <x:c r="I3288" s="22" t="n">
        <x:v>4.6240000000000006</x:v>
      </x:c>
      <x:c r="J3288" s="24" t="n">
        <x:v>1</x:v>
      </x:c>
      <x:c r="K3288" s="26" t="n">
        <x:v>0.2</x:v>
      </x:c>
      <x:c r="L3288" s="22" t="n">
        <x:v>1.6762000000000001</x:v>
      </x:c>
      <x:c r="M3288" t="n">
        <x:v>2014</x:v>
      </x:c>
      <x:c r="N3288" s="20" t="n">
        <x:v>41883</x:v>
      </x:c>
    </x:row>
    <x:row r="3289" ht="18" customHeight="1">
      <x:c r="A3289" t="str">
        <x:v>CA-2014-159478</x:v>
      </x:c>
      <x:c r="B3289" s="18" t="n">
        <x:v>41912</x:v>
      </x:c>
      <x:c r="C3289" t="str">
        <x:v>MH-17785</x:v>
      </x:c>
      <x:c r="D3289" t="str">
        <x:v>Maya Herman</x:v>
      </x:c>
      <x:c r="E3289" t="str">
        <x:v>Corporate</x:v>
      </x:c>
      <x:c r="F3289" t="str">
        <x:v>East</x:v>
      </x:c>
      <x:c r="G3289" t="str">
        <x:v>Furniture</x:v>
      </x:c>
      <x:c r="H3289" t="str">
        <x:v>Furnishings</x:v>
      </x:c>
      <x:c r="I3289" s="22" t="n">
        <x:v>15.24</x:v>
      </x:c>
      <x:c r="J3289" s="24" t="n">
        <x:v>3</x:v>
      </x:c>
      <x:c r="K3289" s="26" t="n">
        <x:v>0</x:v>
      </x:c>
      <x:c r="L3289" s="22" t="n">
        <x:v>5.1815999999999995</x:v>
      </x:c>
      <x:c r="M3289" t="n">
        <x:v>2014</x:v>
      </x:c>
      <x:c r="N3289" s="20" t="n">
        <x:v>41883</x:v>
      </x:c>
    </x:row>
    <x:row r="3290" ht="18" customHeight="1">
      <x:c r="A3290" t="str">
        <x:v>CA-2014-103702</x:v>
      </x:c>
      <x:c r="B3290" s="18" t="n">
        <x:v>41894</x:v>
      </x:c>
      <x:c r="C3290" t="str">
        <x:v>AF-10885</x:v>
      </x:c>
      <x:c r="D3290" t="str">
        <x:v>Art Foster</x:v>
      </x:c>
      <x:c r="E3290" t="str">
        <x:v>Consumer</x:v>
      </x:c>
      <x:c r="F3290" t="str">
        <x:v>East</x:v>
      </x:c>
      <x:c r="G3290" t="str">
        <x:v>Office Supplies</x:v>
      </x:c>
      <x:c r="H3290" t="str">
        <x:v>Binders</x:v>
      </x:c>
      <x:c r="I3290" s="22" t="n">
        <x:v>63.92400000000001</x:v>
      </x:c>
      <x:c r="J3290" s="24" t="n">
        <x:v>7</x:v>
      </x:c>
      <x:c r="K3290" s="26" t="n">
        <x:v>0.7</x:v>
      </x:c>
      <x:c r="L3290" s="22" t="n">
        <x:v>-46.8776</x:v>
      </x:c>
      <x:c r="M3290" t="n">
        <x:v>2014</x:v>
      </x:c>
      <x:c r="N3290" s="20" t="n">
        <x:v>41883</x:v>
      </x:c>
    </x:row>
    <x:row r="3291" ht="18" customHeight="1">
      <x:c r="A3291" t="str">
        <x:v>CA-2017-150525</x:v>
      </x:c>
      <x:c r="B3291" s="18" t="n">
        <x:v>42786</x:v>
      </x:c>
      <x:c r="C3291" t="str">
        <x:v>JP-16135</x:v>
      </x:c>
      <x:c r="D3291" t="str">
        <x:v>Julie Prescott</x:v>
      </x:c>
      <x:c r="E3291" t="str">
        <x:v>Home Office</x:v>
      </x:c>
      <x:c r="F3291" t="str">
        <x:v>Central</x:v>
      </x:c>
      <x:c r="G3291" t="str">
        <x:v>Office Supplies</x:v>
      </x:c>
      <x:c r="H3291" t="str">
        <x:v>Art</x:v>
      </x:c>
      <x:c r="I3291" s="22" t="n">
        <x:v>6.56</x:v>
      </x:c>
      <x:c r="J3291" s="24" t="n">
        <x:v>2</x:v>
      </x:c>
      <x:c r="K3291" s="26" t="n">
        <x:v>0</x:v>
      </x:c>
      <x:c r="L3291" s="22" t="n">
        <x:v>1.9023999999999992</x:v>
      </x:c>
      <x:c r="M3291" t="n">
        <x:v>2017</x:v>
      </x:c>
      <x:c r="N3291" s="20" t="n">
        <x:v>42767</x:v>
      </x:c>
    </x:row>
    <x:row r="3292" ht="18" customHeight="1">
      <x:c r="A3292" t="str">
        <x:v>CA-2017-150525</x:v>
      </x:c>
      <x:c r="B3292" s="18" t="n">
        <x:v>42786</x:v>
      </x:c>
      <x:c r="C3292" t="str">
        <x:v>JP-16135</x:v>
      </x:c>
      <x:c r="D3292" t="str">
        <x:v>Julie Prescott</x:v>
      </x:c>
      <x:c r="E3292" t="str">
        <x:v>Home Office</x:v>
      </x:c>
      <x:c r="F3292" t="str">
        <x:v>Central</x:v>
      </x:c>
      <x:c r="G3292" t="str">
        <x:v>Office Supplies</x:v>
      </x:c>
      <x:c r="H3292" t="str">
        <x:v>Appliances</x:v>
      </x:c>
      <x:c r="I3292" s="22" t="n">
        <x:v>13.11</x:v>
      </x:c>
      <x:c r="J3292" s="24" t="n">
        <x:v>3</x:v>
      </x:c>
      <x:c r="K3292" s="26" t="n">
        <x:v>0</x:v>
      </x:c>
      <x:c r="L3292" s="22" t="n">
        <x:v>3.4086000000000003</x:v>
      </x:c>
      <x:c r="M3292" t="n">
        <x:v>2017</x:v>
      </x:c>
      <x:c r="N3292" s="20" t="n">
        <x:v>42767</x:v>
      </x:c>
    </x:row>
    <x:row r="3293" ht="18" customHeight="1">
      <x:c r="A3293" t="str">
        <x:v>CA-2015-157770</x:v>
      </x:c>
      <x:c r="B3293" s="18" t="n">
        <x:v>42351</x:v>
      </x:c>
      <x:c r="C3293" t="str">
        <x:v>RD-19585</x:v>
      </x:c>
      <x:c r="D3293" t="str">
        <x:v>Rob Dowd</x:v>
      </x:c>
      <x:c r="E3293" t="str">
        <x:v>Consumer</x:v>
      </x:c>
      <x:c r="F3293" t="str">
        <x:v>West</x:v>
      </x:c>
      <x:c r="G3293" t="str">
        <x:v>Technology</x:v>
      </x:c>
      <x:c r="H3293" t="str">
        <x:v>Phones</x:v>
      </x:c>
      <x:c r="I3293" s="22" t="n">
        <x:v>494.3760000000001</x:v>
      </x:c>
      <x:c r="J3293" s="24" t="n">
        <x:v>3</x:v>
      </x:c>
      <x:c r="K3293" s="26" t="n">
        <x:v>0.2</x:v>
      </x:c>
      <x:c r="L3293" s="22" t="n">
        <x:v>49.437599999999975</x:v>
      </x:c>
      <x:c r="M3293" t="n">
        <x:v>2015</x:v>
      </x:c>
      <x:c r="N3293" s="20" t="n">
        <x:v>42339</x:v>
      </x:c>
    </x:row>
    <x:row r="3294" ht="18" customHeight="1">
      <x:c r="A3294" t="str">
        <x:v>CA-2015-157770</x:v>
      </x:c>
      <x:c r="B3294" s="18" t="n">
        <x:v>42351</x:v>
      </x:c>
      <x:c r="C3294" t="str">
        <x:v>RD-19585</x:v>
      </x:c>
      <x:c r="D3294" t="str">
        <x:v>Rob Dowd</x:v>
      </x:c>
      <x:c r="E3294" t="str">
        <x:v>Consumer</x:v>
      </x:c>
      <x:c r="F3294" t="str">
        <x:v>West</x:v>
      </x:c>
      <x:c r="G3294" t="str">
        <x:v>Office Supplies</x:v>
      </x:c>
      <x:c r="H3294" t="str">
        <x:v>Binders</x:v>
      </x:c>
      <x:c r="I3294" s="22" t="n">
        <x:v>29.2</x:v>
      </x:c>
      <x:c r="J3294" s="24" t="n">
        <x:v>5</x:v>
      </x:c>
      <x:c r="K3294" s="26" t="n">
        <x:v>0.2</x:v>
      </x:c>
      <x:c r="L3294" s="22" t="n">
        <x:v>9.854999999999997</x:v>
      </x:c>
      <x:c r="M3294" t="n">
        <x:v>2015</x:v>
      </x:c>
      <x:c r="N3294" s="20" t="n">
        <x:v>42339</x:v>
      </x:c>
    </x:row>
    <x:row r="3295" ht="18" customHeight="1">
      <x:c r="A3295" t="str">
        <x:v>CA-2015-157770</x:v>
      </x:c>
      <x:c r="B3295" s="18" t="n">
        <x:v>42351</x:v>
      </x:c>
      <x:c r="C3295" t="str">
        <x:v>RD-19585</x:v>
      </x:c>
      <x:c r="D3295" t="str">
        <x:v>Rob Dowd</x:v>
      </x:c>
      <x:c r="E3295" t="str">
        <x:v>Consumer</x:v>
      </x:c>
      <x:c r="F3295" t="str">
        <x:v>West</x:v>
      </x:c>
      <x:c r="G3295" t="str">
        <x:v>Technology</x:v>
      </x:c>
      <x:c r="H3295" t="str">
        <x:v>Accessories</x:v>
      </x:c>
      <x:c r="I3295" s="22" t="n">
        <x:v>248.85000000000002</x:v>
      </x:c>
      <x:c r="J3295" s="24" t="n">
        <x:v>5</x:v>
      </x:c>
      <x:c r="K3295" s="26" t="n">
        <x:v>0</x:v>
      </x:c>
      <x:c r="L3295" s="22" t="n">
        <x:v>27.373499999999993</x:v>
      </x:c>
      <x:c r="M3295" t="n">
        <x:v>2015</x:v>
      </x:c>
      <x:c r="N3295" s="20" t="n">
        <x:v>42339</x:v>
      </x:c>
    </x:row>
    <x:row r="3296" ht="18" customHeight="1">
      <x:c r="A3296" t="str">
        <x:v>CA-2015-157770</x:v>
      </x:c>
      <x:c r="B3296" s="18" t="n">
        <x:v>42351</x:v>
      </x:c>
      <x:c r="C3296" t="str">
        <x:v>RD-19585</x:v>
      </x:c>
      <x:c r="D3296" t="str">
        <x:v>Rob Dowd</x:v>
      </x:c>
      <x:c r="E3296" t="str">
        <x:v>Consumer</x:v>
      </x:c>
      <x:c r="F3296" t="str">
        <x:v>West</x:v>
      </x:c>
      <x:c r="G3296" t="str">
        <x:v>Technology</x:v>
      </x:c>
      <x:c r="H3296" t="str">
        <x:v>Accessories</x:v>
      </x:c>
      <x:c r="I3296" s="22" t="n">
        <x:v>36.24</x:v>
      </x:c>
      <x:c r="J3296" s="24" t="n">
        <x:v>1</x:v>
      </x:c>
      <x:c r="K3296" s="26" t="n">
        <x:v>0</x:v>
      </x:c>
      <x:c r="L3296" s="22" t="n">
        <x:v>15.2208</x:v>
      </x:c>
      <x:c r="M3296" t="n">
        <x:v>2015</x:v>
      </x:c>
      <x:c r="N3296" s="20" t="n">
        <x:v>42339</x:v>
      </x:c>
    </x:row>
    <x:row r="3297" ht="18" customHeight="1">
      <x:c r="A3297" t="str">
        <x:v>CA-2016-167290</x:v>
      </x:c>
      <x:c r="B3297" s="18" t="n">
        <x:v>42673</x:v>
      </x:c>
      <x:c r="C3297" t="str">
        <x:v>JF-15295</x:v>
      </x:c>
      <x:c r="D3297" t="str">
        <x:v>Jason Fortune-</x:v>
      </x:c>
      <x:c r="E3297" t="str">
        <x:v>Consumer</x:v>
      </x:c>
      <x:c r="F3297" t="str">
        <x:v>Central</x:v>
      </x:c>
      <x:c r="G3297" t="str">
        <x:v>Office Supplies</x:v>
      </x:c>
      <x:c r="H3297" t="str">
        <x:v>Art</x:v>
      </x:c>
      <x:c r="I3297" s="22" t="n">
        <x:v>11.68</x:v>
      </x:c>
      <x:c r="J3297" s="24" t="n">
        <x:v>2</x:v>
      </x:c>
      <x:c r="K3297" s="26" t="n">
        <x:v>0</x:v>
      </x:c>
      <x:c r="L3297" s="22" t="n">
        <x:v>3.5039999999999996</x:v>
      </x:c>
      <x:c r="M3297" t="n">
        <x:v>2016</x:v>
      </x:c>
      <x:c r="N3297" s="20" t="n">
        <x:v>42644</x:v>
      </x:c>
    </x:row>
    <x:row r="3298" ht="18" customHeight="1">
      <x:c r="A3298" t="str">
        <x:v>CA-2014-106264</x:v>
      </x:c>
      <x:c r="B3298" s="18" t="n">
        <x:v>41999</x:v>
      </x:c>
      <x:c r="C3298" t="str">
        <x:v>CK-12595</x:v>
      </x:c>
      <x:c r="D3298" t="str">
        <x:v>Clytie Kelty</x:v>
      </x:c>
      <x:c r="E3298" t="str">
        <x:v>Consumer</x:v>
      </x:c>
      <x:c r="F3298" t="str">
        <x:v>West</x:v>
      </x:c>
      <x:c r="G3298" t="str">
        <x:v>Office Supplies</x:v>
      </x:c>
      <x:c r="H3298" t="str">
        <x:v>Supplies</x:v>
      </x:c>
      <x:c r="I3298" s="22" t="n">
        <x:v>11.91</x:v>
      </x:c>
      <x:c r="J3298" s="24" t="n">
        <x:v>3</x:v>
      </x:c>
      <x:c r="K3298" s="26" t="n">
        <x:v>0</x:v>
      </x:c>
      <x:c r="L3298" s="22" t="n">
        <x:v>0.11909999999999954</x:v>
      </x:c>
      <x:c r="M3298" t="n">
        <x:v>2014</x:v>
      </x:c>
      <x:c r="N3298" s="20" t="n">
        <x:v>41974</x:v>
      </x:c>
    </x:row>
    <x:row r="3299" ht="18" customHeight="1">
      <x:c r="A3299" t="str">
        <x:v>CA-2014-106264</x:v>
      </x:c>
      <x:c r="B3299" s="18" t="n">
        <x:v>41999</x:v>
      </x:c>
      <x:c r="C3299" t="str">
        <x:v>CK-12595</x:v>
      </x:c>
      <x:c r="D3299" t="str">
        <x:v>Clytie Kelty</x:v>
      </x:c>
      <x:c r="E3299" t="str">
        <x:v>Consumer</x:v>
      </x:c>
      <x:c r="F3299" t="str">
        <x:v>West</x:v>
      </x:c>
      <x:c r="G3299" t="str">
        <x:v>Furniture</x:v>
      </x:c>
      <x:c r="H3299" t="str">
        <x:v>Furnishings</x:v>
      </x:c>
      <x:c r="I3299" s="22" t="n">
        <x:v>3.48</x:v>
      </x:c>
      <x:c r="J3299" s="24" t="n">
        <x:v>2</x:v>
      </x:c>
      <x:c r="K3299" s="26" t="n">
        <x:v>0</x:v>
      </x:c>
      <x:c r="L3299" s="22" t="n">
        <x:v>1.1136</x:v>
      </x:c>
      <x:c r="M3299" t="n">
        <x:v>2014</x:v>
      </x:c>
      <x:c r="N3299" s="20" t="n">
        <x:v>41974</x:v>
      </x:c>
    </x:row>
    <x:row r="3300" ht="18" customHeight="1">
      <x:c r="A3300" t="str">
        <x:v>CA-2014-138023</x:v>
      </x:c>
      <x:c r="B3300" s="18" t="n">
        <x:v>41866</x:v>
      </x:c>
      <x:c r="C3300" t="str">
        <x:v>KH-16510</x:v>
      </x:c>
      <x:c r="D3300" t="str">
        <x:v>Keith Herrera</x:v>
      </x:c>
      <x:c r="E3300" t="str">
        <x:v>Consumer</x:v>
      </x:c>
      <x:c r="F3300" t="str">
        <x:v>Central</x:v>
      </x:c>
      <x:c r="G3300" t="str">
        <x:v>Office Supplies</x:v>
      </x:c>
      <x:c r="H3300" t="str">
        <x:v>Binders</x:v>
      </x:c>
      <x:c r="I3300" s="22" t="n">
        <x:v>30.959999999999994</x:v>
      </x:c>
      <x:c r="J3300" s="24" t="n">
        <x:v>8</x:v>
      </x:c>
      <x:c r="K3300" s="26" t="n">
        <x:v>0.8</x:v>
      </x:c>
      <x:c r="L3300" s="22" t="n">
        <x:v>-52.63200000000002</x:v>
      </x:c>
      <x:c r="M3300" t="n">
        <x:v>2014</x:v>
      </x:c>
      <x:c r="N3300" s="20" t="n">
        <x:v>41852</x:v>
      </x:c>
    </x:row>
    <x:row r="3301" ht="18" customHeight="1">
      <x:c r="A3301" t="str">
        <x:v>CA-2017-113418</x:v>
      </x:c>
      <x:c r="B3301" s="18" t="n">
        <x:v>43009</x:v>
      </x:c>
      <x:c r="C3301" t="str">
        <x:v>CM-12655</x:v>
      </x:c>
      <x:c r="D3301" t="str">
        <x:v>Corinna Mitchell</x:v>
      </x:c>
      <x:c r="E3301" t="str">
        <x:v>Home Office</x:v>
      </x:c>
      <x:c r="F3301" t="str">
        <x:v>East</x:v>
      </x:c>
      <x:c r="G3301" t="str">
        <x:v>Technology</x:v>
      </x:c>
      <x:c r="H3301" t="str">
        <x:v>Machines</x:v>
      </x:c>
      <x:c r="I3301" s="22" t="n">
        <x:v>1704.89</x:v>
      </x:c>
      <x:c r="J3301" s="24" t="n">
        <x:v>11</x:v>
      </x:c>
      <x:c r="K3301" s="26" t="n">
        <x:v>0</x:v>
      </x:c>
      <x:c r="L3301" s="22" t="n">
        <x:v>767.2004999999999</x:v>
      </x:c>
      <x:c r="M3301" t="n">
        <x:v>2017</x:v>
      </x:c>
      <x:c r="N3301" s="20" t="n">
        <x:v>43009</x:v>
      </x:c>
    </x:row>
    <x:row r="3302" ht="18" customHeight="1">
      <x:c r="A3302" t="str">
        <x:v>US-2015-110569</x:v>
      </x:c>
      <x:c r="B3302" s="18" t="n">
        <x:v>42147</x:v>
      </x:c>
      <x:c r="C3302" t="str">
        <x:v>EB-13870</x:v>
      </x:c>
      <x:c r="D3302" t="str">
        <x:v>Emily Burns</x:v>
      </x:c>
      <x:c r="E3302" t="str">
        <x:v>Consumer</x:v>
      </x:c>
      <x:c r="F3302" t="str">
        <x:v>West</x:v>
      </x:c>
      <x:c r="G3302" t="str">
        <x:v>Office Supplies</x:v>
      </x:c>
      <x:c r="H3302" t="str">
        <x:v>Binders</x:v>
      </x:c>
      <x:c r="I3302" s="22" t="n">
        <x:v>19.194000000000003</x:v>
      </x:c>
      <x:c r="J3302" s="24" t="n">
        <x:v>7</x:v>
      </x:c>
      <x:c r="K3302" s="26" t="n">
        <x:v>0.7</x:v>
      </x:c>
      <x:c r="L3302" s="22" t="n">
        <x:v>-12.796</x:v>
      </x:c>
      <x:c r="M3302" t="n">
        <x:v>2015</x:v>
      </x:c>
      <x:c r="N3302" s="20" t="n">
        <x:v>42125</x:v>
      </x:c>
    </x:row>
    <x:row r="3303" ht="18" customHeight="1">
      <x:c r="A3303" t="str">
        <x:v>US-2015-110569</x:v>
      </x:c>
      <x:c r="B3303" s="18" t="n">
        <x:v>42147</x:v>
      </x:c>
      <x:c r="C3303" t="str">
        <x:v>EB-13870</x:v>
      </x:c>
      <x:c r="D3303" t="str">
        <x:v>Emily Burns</x:v>
      </x:c>
      <x:c r="E3303" t="str">
        <x:v>Consumer</x:v>
      </x:c>
      <x:c r="F3303" t="str">
        <x:v>West</x:v>
      </x:c>
      <x:c r="G3303" t="str">
        <x:v>Office Supplies</x:v>
      </x:c>
      <x:c r="H3303" t="str">
        <x:v>Appliances</x:v>
      </x:c>
      <x:c r="I3303" s="22" t="n">
        <x:v>121.79200000000002</x:v>
      </x:c>
      <x:c r="J3303" s="24" t="n">
        <x:v>4</x:v>
      </x:c>
      <x:c r="K3303" s="26" t="n">
        <x:v>0.2</x:v>
      </x:c>
      <x:c r="L3303" s="22" t="n">
        <x:v>13.701599999999988</x:v>
      </x:c>
      <x:c r="M3303" t="n">
        <x:v>2015</x:v>
      </x:c>
      <x:c r="N3303" s="20" t="n">
        <x:v>42125</x:v>
      </x:c>
    </x:row>
    <x:row r="3304" ht="18" customHeight="1">
      <x:c r="A3304" t="str">
        <x:v>CA-2017-136308</x:v>
      </x:c>
      <x:c r="B3304" s="18" t="n">
        <x:v>43055</x:v>
      </x:c>
      <x:c r="C3304" t="str">
        <x:v>MW-18235</x:v>
      </x:c>
      <x:c r="D3304" t="str">
        <x:v>Mitch Willingham</x:v>
      </x:c>
      <x:c r="E3304" t="str">
        <x:v>Corporate</x:v>
      </x:c>
      <x:c r="F3304" t="str">
        <x:v>West</x:v>
      </x:c>
      <x:c r="G3304" t="str">
        <x:v>Technology</x:v>
      </x:c>
      <x:c r="H3304" t="str">
        <x:v>Machines</x:v>
      </x:c>
      <x:c r="I3304" s="22" t="n">
        <x:v>1919.976</x:v>
      </x:c>
      <x:c r="J3304" s="24" t="n">
        <x:v>3</x:v>
      </x:c>
      <x:c r="K3304" s="26" t="n">
        <x:v>0.2</x:v>
      </x:c>
      <x:c r="L3304" s="22" t="n">
        <x:v>215.99729999999977</x:v>
      </x:c>
      <x:c r="M3304" t="n">
        <x:v>2017</x:v>
      </x:c>
      <x:c r="N3304" s="20" t="n">
        <x:v>43040</x:v>
      </x:c>
    </x:row>
    <x:row r="3305" ht="18" customHeight="1">
      <x:c r="A3305" t="str">
        <x:v>US-2014-159926</x:v>
      </x:c>
      <x:c r="B3305" s="18" t="n">
        <x:v>41961</x:v>
      </x:c>
      <x:c r="C3305" t="str">
        <x:v>CS-11950</x:v>
      </x:c>
      <x:c r="D3305" t="str">
        <x:v>Carlos Soltero</x:v>
      </x:c>
      <x:c r="E3305" t="str">
        <x:v>Consumer</x:v>
      </x:c>
      <x:c r="F3305" t="str">
        <x:v>East</x:v>
      </x:c>
      <x:c r="G3305" t="str">
        <x:v>Office Supplies</x:v>
      </x:c>
      <x:c r="H3305" t="str">
        <x:v>Binders</x:v>
      </x:c>
      <x:c r="I3305" s="22" t="n">
        <x:v>50.99700000000001</x:v>
      </x:c>
      <x:c r="J3305" s="24" t="n">
        <x:v>1</x:v>
      </x:c>
      <x:c r="K3305" s="26" t="n">
        <x:v>0.7</x:v>
      </x:c>
      <x:c r="L3305" s="22" t="n">
        <x:v>-40.7976</x:v>
      </x:c>
      <x:c r="M3305" t="n">
        <x:v>2014</x:v>
      </x:c>
      <x:c r="N3305" s="20" t="n">
        <x:v>41944</x:v>
      </x:c>
    </x:row>
    <x:row r="3306" ht="18" customHeight="1">
      <x:c r="A3306" t="str">
        <x:v>US-2014-159926</x:v>
      </x:c>
      <x:c r="B3306" s="18" t="n">
        <x:v>41961</x:v>
      </x:c>
      <x:c r="C3306" t="str">
        <x:v>CS-11950</x:v>
      </x:c>
      <x:c r="D3306" t="str">
        <x:v>Carlos Soltero</x:v>
      </x:c>
      <x:c r="E3306" t="str">
        <x:v>Consumer</x:v>
      </x:c>
      <x:c r="F3306" t="str">
        <x:v>East</x:v>
      </x:c>
      <x:c r="G3306" t="str">
        <x:v>Office Supplies</x:v>
      </x:c>
      <x:c r="H3306" t="str">
        <x:v>Storage</x:v>
      </x:c>
      <x:c r="I3306" s="22" t="n">
        <x:v>76.792</x:v>
      </x:c>
      <x:c r="J3306" s="24" t="n">
        <x:v>1</x:v>
      </x:c>
      <x:c r="K3306" s="26" t="n">
        <x:v>0.2</x:v>
      </x:c>
      <x:c r="L3306" s="22" t="n">
        <x:v>-16.3183</x:v>
      </x:c>
      <x:c r="M3306" t="n">
        <x:v>2014</x:v>
      </x:c>
      <x:c r="N3306" s="20" t="n">
        <x:v>41944</x:v>
      </x:c>
    </x:row>
    <x:row r="3307" ht="18" customHeight="1">
      <x:c r="A3307" t="str">
        <x:v>US-2014-159926</x:v>
      </x:c>
      <x:c r="B3307" s="18" t="n">
        <x:v>41961</x:v>
      </x:c>
      <x:c r="C3307" t="str">
        <x:v>CS-11950</x:v>
      </x:c>
      <x:c r="D3307" t="str">
        <x:v>Carlos Soltero</x:v>
      </x:c>
      <x:c r="E3307" t="str">
        <x:v>Consumer</x:v>
      </x:c>
      <x:c r="F3307" t="str">
        <x:v>East</x:v>
      </x:c>
      <x:c r="G3307" t="str">
        <x:v>Technology</x:v>
      </x:c>
      <x:c r="H3307" t="str">
        <x:v>Phones</x:v>
      </x:c>
      <x:c r="I3307" s="22" t="n">
        <x:v>539.9639999999999</x:v>
      </x:c>
      <x:c r="J3307" s="24" t="n">
        <x:v>6</x:v>
      </x:c>
      <x:c r="K3307" s="26" t="n">
        <x:v>0.4</x:v>
      </x:c>
      <x:c r="L3307" s="22" t="n">
        <x:v>-107.99280000000002</x:v>
      </x:c>
      <x:c r="M3307" t="n">
        <x:v>2014</x:v>
      </x:c>
      <x:c r="N3307" s="20" t="n">
        <x:v>41944</x:v>
      </x:c>
    </x:row>
    <x:row r="3308" ht="18" customHeight="1">
      <x:c r="A3308" t="str">
        <x:v>US-2014-159926</x:v>
      </x:c>
      <x:c r="B3308" s="18" t="n">
        <x:v>41961</x:v>
      </x:c>
      <x:c r="C3308" t="str">
        <x:v>CS-11950</x:v>
      </x:c>
      <x:c r="D3308" t="str">
        <x:v>Carlos Soltero</x:v>
      </x:c>
      <x:c r="E3308" t="str">
        <x:v>Consumer</x:v>
      </x:c>
      <x:c r="F3308" t="str">
        <x:v>East</x:v>
      </x:c>
      <x:c r="G3308" t="str">
        <x:v>Furniture</x:v>
      </x:c>
      <x:c r="H3308" t="str">
        <x:v>Furnishings</x:v>
      </x:c>
      <x:c r="I3308" s="22" t="n">
        <x:v>60.312</x:v>
      </x:c>
      <x:c r="J3308" s="24" t="n">
        <x:v>3</x:v>
      </x:c>
      <x:c r="K3308" s="26" t="n">
        <x:v>0.2</x:v>
      </x:c>
      <x:c r="L3308" s="22" t="n">
        <x:v>5.2773</x:v>
      </x:c>
      <x:c r="M3308" t="n">
        <x:v>2014</x:v>
      </x:c>
      <x:c r="N3308" s="20" t="n">
        <x:v>41944</x:v>
      </x:c>
    </x:row>
    <x:row r="3309" ht="18" customHeight="1">
      <x:c r="A3309" t="str">
        <x:v>US-2014-159926</x:v>
      </x:c>
      <x:c r="B3309" s="18" t="n">
        <x:v>41961</x:v>
      </x:c>
      <x:c r="C3309" t="str">
        <x:v>CS-11950</x:v>
      </x:c>
      <x:c r="D3309" t="str">
        <x:v>Carlos Soltero</x:v>
      </x:c>
      <x:c r="E3309" t="str">
        <x:v>Consumer</x:v>
      </x:c>
      <x:c r="F3309" t="str">
        <x:v>East</x:v>
      </x:c>
      <x:c r="G3309" t="str">
        <x:v>Office Supplies</x:v>
      </x:c>
      <x:c r="H3309" t="str">
        <x:v>Binders</x:v>
      </x:c>
      <x:c r="I3309" s="22" t="n">
        <x:v>1.9440000000000004</x:v>
      </x:c>
      <x:c r="J3309" s="24" t="n">
        <x:v>3</x:v>
      </x:c>
      <x:c r="K3309" s="26" t="n">
        <x:v>0.7</x:v>
      </x:c>
      <x:c r="L3309" s="22" t="n">
        <x:v>-1.4255999999999998</x:v>
      </x:c>
      <x:c r="M3309" t="n">
        <x:v>2014</x:v>
      </x:c>
      <x:c r="N3309" s="20" t="n">
        <x:v>41944</x:v>
      </x:c>
    </x:row>
    <x:row r="3310" ht="18" customHeight="1">
      <x:c r="A3310" t="str">
        <x:v>CA-2014-104738</x:v>
      </x:c>
      <x:c r="B3310" s="18" t="n">
        <x:v>42003</x:v>
      </x:c>
      <x:c r="C3310" t="str">
        <x:v>SP-20620</x:v>
      </x:c>
      <x:c r="D3310" t="str">
        <x:v>Stefania Perrino</x:v>
      </x:c>
      <x:c r="E3310" t="str">
        <x:v>Corporate</x:v>
      </x:c>
      <x:c r="F3310" t="str">
        <x:v>Central</x:v>
      </x:c>
      <x:c r="G3310" t="str">
        <x:v>Office Supplies</x:v>
      </x:c>
      <x:c r="H3310" t="str">
        <x:v>Envelopes</x:v>
      </x:c>
      <x:c r="I3310" s="22" t="n">
        <x:v>12.984000000000002</x:v>
      </x:c>
      <x:c r="J3310" s="24" t="n">
        <x:v>3</x:v>
      </x:c>
      <x:c r="K3310" s="26" t="n">
        <x:v>0.2</x:v>
      </x:c>
      <x:c r="L3310" s="22" t="n">
        <x:v>4.7067</x:v>
      </x:c>
      <x:c r="M3310" t="n">
        <x:v>2014</x:v>
      </x:c>
      <x:c r="N3310" s="20" t="n">
        <x:v>41974</x:v>
      </x:c>
    </x:row>
    <x:row r="3311" ht="18" customHeight="1">
      <x:c r="A3311" t="str">
        <x:v>CA-2014-104738</x:v>
      </x:c>
      <x:c r="B3311" s="18" t="n">
        <x:v>42003</x:v>
      </x:c>
      <x:c r="C3311" t="str">
        <x:v>SP-20620</x:v>
      </x:c>
      <x:c r="D3311" t="str">
        <x:v>Stefania Perrino</x:v>
      </x:c>
      <x:c r="E3311" t="str">
        <x:v>Corporate</x:v>
      </x:c>
      <x:c r="F3311" t="str">
        <x:v>Central</x:v>
      </x:c>
      <x:c r="G3311" t="str">
        <x:v>Technology</x:v>
      </x:c>
      <x:c r="H3311" t="str">
        <x:v>Phones</x:v>
      </x:c>
      <x:c r="I3311" s="22" t="n">
        <x:v>217.58400000000003</x:v>
      </x:c>
      <x:c r="J3311" s="24" t="n">
        <x:v>2</x:v>
      </x:c>
      <x:c r="K3311" s="26" t="n">
        <x:v>0.2</x:v>
      </x:c>
      <x:c r="L3311" s="22" t="n">
        <x:v>19.03860000000001</x:v>
      </x:c>
      <x:c r="M3311" t="n">
        <x:v>2014</x:v>
      </x:c>
      <x:c r="N3311" s="20" t="n">
        <x:v>41974</x:v>
      </x:c>
    </x:row>
    <x:row r="3312" ht="18" customHeight="1">
      <x:c r="A3312" t="str">
        <x:v>CA-2014-104738</x:v>
      </x:c>
      <x:c r="B3312" s="18" t="n">
        <x:v>42003</x:v>
      </x:c>
      <x:c r="C3312" t="str">
        <x:v>SP-20620</x:v>
      </x:c>
      <x:c r="D3312" t="str">
        <x:v>Stefania Perrino</x:v>
      </x:c>
      <x:c r="E3312" t="str">
        <x:v>Corporate</x:v>
      </x:c>
      <x:c r="F3312" t="str">
        <x:v>Central</x:v>
      </x:c>
      <x:c r="G3312" t="str">
        <x:v>Technology</x:v>
      </x:c>
      <x:c r="H3312" t="str">
        <x:v>Phones</x:v>
      </x:c>
      <x:c r="I3312" s="22" t="n">
        <x:v>328.77600000000007</x:v>
      </x:c>
      <x:c r="J3312" s="24" t="n">
        <x:v>3</x:v>
      </x:c>
      <x:c r="K3312" s="26" t="n">
        <x:v>0.2</x:v>
      </x:c>
      <x:c r="L3312" s="22" t="n">
        <x:v>28.767899999999997</x:v>
      </x:c>
      <x:c r="M3312" t="n">
        <x:v>2014</x:v>
      </x:c>
      <x:c r="N3312" s="20" t="n">
        <x:v>41974</x:v>
      </x:c>
    </x:row>
    <x:row r="3313" ht="18" customHeight="1">
      <x:c r="A3313" t="str">
        <x:v>CA-2014-104738</x:v>
      </x:c>
      <x:c r="B3313" s="18" t="n">
        <x:v>42003</x:v>
      </x:c>
      <x:c r="C3313" t="str">
        <x:v>SP-20620</x:v>
      </x:c>
      <x:c r="D3313" t="str">
        <x:v>Stefania Perrino</x:v>
      </x:c>
      <x:c r="E3313" t="str">
        <x:v>Corporate</x:v>
      </x:c>
      <x:c r="F3313" t="str">
        <x:v>Central</x:v>
      </x:c>
      <x:c r="G3313" t="str">
        <x:v>Office Supplies</x:v>
      </x:c>
      <x:c r="H3313" t="str">
        <x:v>Binders</x:v>
      </x:c>
      <x:c r="I3313" s="22" t="n">
        <x:v>2.2859999999999996</x:v>
      </x:c>
      <x:c r="J3313" s="24" t="n">
        <x:v>3</x:v>
      </x:c>
      <x:c r="K3313" s="26" t="n">
        <x:v>0.8</x:v>
      </x:c>
      <x:c r="L3313" s="22" t="n">
        <x:v>-3.6576000000000004</x:v>
      </x:c>
      <x:c r="M3313" t="n">
        <x:v>2014</x:v>
      </x:c>
      <x:c r="N3313" s="20" t="n">
        <x:v>41974</x:v>
      </x:c>
    </x:row>
    <x:row r="3314" ht="18" customHeight="1">
      <x:c r="A3314" t="str">
        <x:v>CA-2014-104738</x:v>
      </x:c>
      <x:c r="B3314" s="18" t="n">
        <x:v>42003</x:v>
      </x:c>
      <x:c r="C3314" t="str">
        <x:v>SP-20620</x:v>
      </x:c>
      <x:c r="D3314" t="str">
        <x:v>Stefania Perrino</x:v>
      </x:c>
      <x:c r="E3314" t="str">
        <x:v>Corporate</x:v>
      </x:c>
      <x:c r="F3314" t="str">
        <x:v>Central</x:v>
      </x:c>
      <x:c r="G3314" t="str">
        <x:v>Technology</x:v>
      </x:c>
      <x:c r="H3314" t="str">
        <x:v>Accessories</x:v>
      </x:c>
      <x:c r="I3314" s="22" t="n">
        <x:v>47.984</x:v>
      </x:c>
      <x:c r="J3314" s="24" t="n">
        <x:v>2</x:v>
      </x:c>
      <x:c r="K3314" s="26" t="n">
        <x:v>0.2</x:v>
      </x:c>
      <x:c r="L3314" s="22" t="n">
        <x:v>14.395200000000004</x:v>
      </x:c>
      <x:c r="M3314" t="n">
        <x:v>2014</x:v>
      </x:c>
      <x:c r="N3314" s="20" t="n">
        <x:v>41974</x:v>
      </x:c>
    </x:row>
    <x:row r="3315" ht="18" customHeight="1">
      <x:c r="A3315" t="str">
        <x:v>CA-2015-144386</x:v>
      </x:c>
      <x:c r="B3315" s="18" t="n">
        <x:v>42313</x:v>
      </x:c>
      <x:c r="C3315" t="str">
        <x:v>GT-14635</x:v>
      </x:c>
      <x:c r="D3315" t="str">
        <x:v>Grant Thornton</x:v>
      </x:c>
      <x:c r="E3315" t="str">
        <x:v>Corporate</x:v>
      </x:c>
      <x:c r="F3315" t="str">
        <x:v>East</x:v>
      </x:c>
      <x:c r="G3315" t="str">
        <x:v>Office Supplies</x:v>
      </x:c>
      <x:c r="H3315" t="str">
        <x:v>Binders</x:v>
      </x:c>
      <x:c r="I3315" s="22" t="n">
        <x:v>25.344</x:v>
      </x:c>
      <x:c r="J3315" s="24" t="n">
        <x:v>6</x:v>
      </x:c>
      <x:c r="K3315" s="26" t="n">
        <x:v>0.2</x:v>
      </x:c>
      <x:c r="L3315" s="22" t="n">
        <x:v>8.870400000000002</x:v>
      </x:c>
      <x:c r="M3315" t="n">
        <x:v>2015</x:v>
      </x:c>
      <x:c r="N3315" s="20" t="n">
        <x:v>42309</x:v>
      </x:c>
    </x:row>
    <x:row r="3316" ht="18" customHeight="1">
      <x:c r="A3316" t="str">
        <x:v>CA-2016-111416</x:v>
      </x:c>
      <x:c r="B3316" s="18" t="n">
        <x:v>42630</x:v>
      </x:c>
      <x:c r="C3316" t="str">
        <x:v>LW-17215</x:v>
      </x:c>
      <x:c r="D3316" t="str">
        <x:v>Luke Weiss</x:v>
      </x:c>
      <x:c r="E3316" t="str">
        <x:v>Consumer</x:v>
      </x:c>
      <x:c r="F3316" t="str">
        <x:v>East</x:v>
      </x:c>
      <x:c r="G3316" t="str">
        <x:v>Office Supplies</x:v>
      </x:c>
      <x:c r="H3316" t="str">
        <x:v>Binders</x:v>
      </x:c>
      <x:c r="I3316" s="22" t="n">
        <x:v>232.40000000000003</x:v>
      </x:c>
      <x:c r="J3316" s="24" t="n">
        <x:v>5</x:v>
      </x:c>
      <x:c r="K3316" s="26" t="n">
        <x:v>0.2</x:v>
      </x:c>
      <x:c r="L3316" s="22" t="n">
        <x:v>78.43499999999999</x:v>
      </x:c>
      <x:c r="M3316" t="n">
        <x:v>2016</x:v>
      </x:c>
      <x:c r="N3316" s="20" t="n">
        <x:v>42614</x:v>
      </x:c>
    </x:row>
    <x:row r="3317" ht="18" customHeight="1">
      <x:c r="A3317" t="str">
        <x:v>CA-2016-162747</x:v>
      </x:c>
      <x:c r="B3317" s="18" t="n">
        <x:v>42449</x:v>
      </x:c>
      <x:c r="C3317" t="str">
        <x:v>AH-10030</x:v>
      </x:c>
      <x:c r="D3317" t="str">
        <x:v>Aaron Hawkins</x:v>
      </x:c>
      <x:c r="E3317" t="str">
        <x:v>Corporate</x:v>
      </x:c>
      <x:c r="F3317" t="str">
        <x:v>South</x:v>
      </x:c>
      <x:c r="G3317" t="str">
        <x:v>Furniture</x:v>
      </x:c>
      <x:c r="H3317" t="str">
        <x:v>Furnishings</x:v>
      </x:c>
      <x:c r="I3317" s="22" t="n">
        <x:v>86.45</x:v>
      </x:c>
      <x:c r="J3317" s="24" t="n">
        <x:v>7</x:v>
      </x:c>
      <x:c r="K3317" s="26" t="n">
        <x:v>0</x:v>
      </x:c>
      <x:c r="L3317" s="22" t="n">
        <x:v>38.038000000000004</x:v>
      </x:c>
      <x:c r="M3317" t="n">
        <x:v>2016</x:v>
      </x:c>
      <x:c r="N3317" s="20" t="n">
        <x:v>42430</x:v>
      </x:c>
    </x:row>
    <x:row r="3318" ht="18" customHeight="1">
      <x:c r="A3318" t="str">
        <x:v>US-2014-133130</x:v>
      </x:c>
      <x:c r="B3318" s="18" t="n">
        <x:v>41909</x:v>
      </x:c>
      <x:c r="C3318" t="str">
        <x:v>TH-21100</x:v>
      </x:c>
      <x:c r="D3318" t="str">
        <x:v>Thea Hendricks</x:v>
      </x:c>
      <x:c r="E3318" t="str">
        <x:v>Consumer</x:v>
      </x:c>
      <x:c r="F3318" t="str">
        <x:v>West</x:v>
      </x:c>
      <x:c r="G3318" t="str">
        <x:v>Furniture</x:v>
      </x:c>
      <x:c r="H3318" t="str">
        <x:v>Chairs</x:v>
      </x:c>
      <x:c r="I3318" s="22" t="n">
        <x:v>603.92</x:v>
      </x:c>
      <x:c r="J3318" s="24" t="n">
        <x:v>5</x:v>
      </x:c>
      <x:c r="K3318" s="26" t="n">
        <x:v>0.2</x:v>
      </x:c>
      <x:c r="L3318" s="22" t="n">
        <x:v>45.29400000000001</x:v>
      </x:c>
      <x:c r="M3318" t="n">
        <x:v>2014</x:v>
      </x:c>
      <x:c r="N3318" s="20" t="n">
        <x:v>41883</x:v>
      </x:c>
    </x:row>
    <x:row r="3319" ht="18" customHeight="1">
      <x:c r="A3319" t="str">
        <x:v>US-2014-133130</x:v>
      </x:c>
      <x:c r="B3319" s="18" t="n">
        <x:v>41909</x:v>
      </x:c>
      <x:c r="C3319" t="str">
        <x:v>TH-21100</x:v>
      </x:c>
      <x:c r="D3319" t="str">
        <x:v>Thea Hendricks</x:v>
      </x:c>
      <x:c r="E3319" t="str">
        <x:v>Consumer</x:v>
      </x:c>
      <x:c r="F3319" t="str">
        <x:v>West</x:v>
      </x:c>
      <x:c r="G3319" t="str">
        <x:v>Office Supplies</x:v>
      </x:c>
      <x:c r="H3319" t="str">
        <x:v>Paper</x:v>
      </x:c>
      <x:c r="I3319" s="22" t="n">
        <x:v>81.98</x:v>
      </x:c>
      <x:c r="J3319" s="24" t="n">
        <x:v>2</x:v>
      </x:c>
      <x:c r="K3319" s="26" t="n">
        <x:v>0</x:v>
      </x:c>
      <x:c r="L3319" s="22" t="n">
        <x:v>40.1702</x:v>
      </x:c>
      <x:c r="M3319" t="n">
        <x:v>2014</x:v>
      </x:c>
      <x:c r="N3319" s="20" t="n">
        <x:v>41883</x:v>
      </x:c>
    </x:row>
    <x:row r="3320" ht="18" customHeight="1">
      <x:c r="A3320" t="str">
        <x:v>CA-2017-169978</x:v>
      </x:c>
      <x:c r="B3320" s="18" t="n">
        <x:v>43093</x:v>
      </x:c>
      <x:c r="C3320" t="str">
        <x:v>HG-15025</x:v>
      </x:c>
      <x:c r="D3320" t="str">
        <x:v>Hunter Glantz</x:v>
      </x:c>
      <x:c r="E3320" t="str">
        <x:v>Consumer</x:v>
      </x:c>
      <x:c r="F3320" t="str">
        <x:v>East</x:v>
      </x:c>
      <x:c r="G3320" t="str">
        <x:v>Furniture</x:v>
      </x:c>
      <x:c r="H3320" t="str">
        <x:v>Chairs</x:v>
      </x:c>
      <x:c r="I3320" s="22" t="n">
        <x:v>271.764</x:v>
      </x:c>
      <x:c r="J3320" s="24" t="n">
        <x:v>2</x:v>
      </x:c>
      <x:c r="K3320" s="26" t="n">
        <x:v>0.1</x:v>
      </x:c>
      <x:c r="L3320" s="22" t="n">
        <x:v>48.31360000000001</x:v>
      </x:c>
      <x:c r="M3320" t="n">
        <x:v>2017</x:v>
      </x:c>
      <x:c r="N3320" s="20" t="n">
        <x:v>43070</x:v>
      </x:c>
    </x:row>
    <x:row r="3321" ht="18" customHeight="1">
      <x:c r="A3321" t="str">
        <x:v>CA-2017-169978</x:v>
      </x:c>
      <x:c r="B3321" s="18" t="n">
        <x:v>43093</x:v>
      </x:c>
      <x:c r="C3321" t="str">
        <x:v>HG-15025</x:v>
      </x:c>
      <x:c r="D3321" t="str">
        <x:v>Hunter Glantz</x:v>
      </x:c>
      <x:c r="E3321" t="str">
        <x:v>Consumer</x:v>
      </x:c>
      <x:c r="F3321" t="str">
        <x:v>East</x:v>
      </x:c>
      <x:c r="G3321" t="str">
        <x:v>Office Supplies</x:v>
      </x:c>
      <x:c r="H3321" t="str">
        <x:v>Binders</x:v>
      </x:c>
      <x:c r="I3321" s="22" t="n">
        <x:v>14.376000000000001</x:v>
      </x:c>
      <x:c r="J3321" s="24" t="n">
        <x:v>3</x:v>
      </x:c>
      <x:c r="K3321" s="26" t="n">
        <x:v>0.2</x:v>
      </x:c>
      <x:c r="L3321" s="22" t="n">
        <x:v>4.8519</x:v>
      </x:c>
      <x:c r="M3321" t="n">
        <x:v>2017</x:v>
      </x:c>
      <x:c r="N3321" s="20" t="n">
        <x:v>43070</x:v>
      </x:c>
    </x:row>
    <x:row r="3322" ht="18" customHeight="1">
      <x:c r="A3322" t="str">
        <x:v>CA-2017-161739</x:v>
      </x:c>
      <x:c r="B3322" s="18" t="n">
        <x:v>43049</x:v>
      </x:c>
      <x:c r="C3322" t="str">
        <x:v>EB-13750</x:v>
      </x:c>
      <x:c r="D3322" t="str">
        <x:v>Edward Becker</x:v>
      </x:c>
      <x:c r="E3322" t="str">
        <x:v>Corporate</x:v>
      </x:c>
      <x:c r="F3322" t="str">
        <x:v>Central</x:v>
      </x:c>
      <x:c r="G3322" t="str">
        <x:v>Furniture</x:v>
      </x:c>
      <x:c r="H3322" t="str">
        <x:v>Furnishings</x:v>
      </x:c>
      <x:c r="I3322" s="22" t="n">
        <x:v>341.96</x:v>
      </x:c>
      <x:c r="J3322" s="24" t="n">
        <x:v>5</x:v>
      </x:c>
      <x:c r="K3322" s="26" t="n">
        <x:v>0.6</x:v>
      </x:c>
      <x:c r="L3322" s="22" t="n">
        <x:v>-427.45000000000005</x:v>
      </x:c>
      <x:c r="M3322" t="n">
        <x:v>2017</x:v>
      </x:c>
      <x:c r="N3322" s="20" t="n">
        <x:v>43040</x:v>
      </x:c>
    </x:row>
    <x:row r="3323" ht="18" customHeight="1">
      <x:c r="A3323" t="str">
        <x:v>CA-2015-165057</x:v>
      </x:c>
      <x:c r="B3323" s="18" t="n">
        <x:v>42258</x:v>
      </x:c>
      <x:c r="C3323" t="str">
        <x:v>SC-20725</x:v>
      </x:c>
      <x:c r="D3323" t="str">
        <x:v>Steven Cartwright</x:v>
      </x:c>
      <x:c r="E3323" t="str">
        <x:v>Consumer</x:v>
      </x:c>
      <x:c r="F3323" t="str">
        <x:v>West</x:v>
      </x:c>
      <x:c r="G3323" t="str">
        <x:v>Office Supplies</x:v>
      </x:c>
      <x:c r="H3323" t="str">
        <x:v>Art</x:v>
      </x:c>
      <x:c r="I3323" s="22" t="n">
        <x:v>181.35</x:v>
      </x:c>
      <x:c r="J3323" s="24" t="n">
        <x:v>9</x:v>
      </x:c>
      <x:c r="K3323" s="26" t="n">
        <x:v>0</x:v>
      </x:c>
      <x:c r="L3323" s="22" t="n">
        <x:v>48.9645</x:v>
      </x:c>
      <x:c r="M3323" t="n">
        <x:v>2015</x:v>
      </x:c>
      <x:c r="N3323" s="20" t="n">
        <x:v>42248</x:v>
      </x:c>
    </x:row>
    <x:row r="3324" ht="18" customHeight="1">
      <x:c r="A3324" t="str">
        <x:v>CA-2015-165057</x:v>
      </x:c>
      <x:c r="B3324" s="18" t="n">
        <x:v>42258</x:v>
      </x:c>
      <x:c r="C3324" t="str">
        <x:v>SC-20725</x:v>
      </x:c>
      <x:c r="D3324" t="str">
        <x:v>Steven Cartwright</x:v>
      </x:c>
      <x:c r="E3324" t="str">
        <x:v>Consumer</x:v>
      </x:c>
      <x:c r="F3324" t="str">
        <x:v>West</x:v>
      </x:c>
      <x:c r="G3324" t="str">
        <x:v>Office Supplies</x:v>
      </x:c>
      <x:c r="H3324" t="str">
        <x:v>Labels</x:v>
      </x:c>
      <x:c r="I3324" s="22" t="n">
        <x:v>8.64</x:v>
      </x:c>
      <x:c r="J3324" s="24" t="n">
        <x:v>3</x:v>
      </x:c>
      <x:c r="K3324" s="26" t="n">
        <x:v>0</x:v>
      </x:c>
      <x:c r="L3324" s="22" t="n">
        <x:v>4.2336</x:v>
      </x:c>
      <x:c r="M3324" t="n">
        <x:v>2015</x:v>
      </x:c>
      <x:c r="N3324" s="20" t="n">
        <x:v>42248</x:v>
      </x:c>
    </x:row>
    <x:row r="3325" ht="18" customHeight="1">
      <x:c r="A3325" t="str">
        <x:v>CA-2014-134551</x:v>
      </x:c>
      <x:c r="B3325" s="18" t="n">
        <x:v>41993</x:v>
      </x:c>
      <x:c r="C3325" t="str">
        <x:v>TS-21505</x:v>
      </x:c>
      <x:c r="D3325" t="str">
        <x:v>Tony Sayre</x:v>
      </x:c>
      <x:c r="E3325" t="str">
        <x:v>Consumer</x:v>
      </x:c>
      <x:c r="F3325" t="str">
        <x:v>South</x:v>
      </x:c>
      <x:c r="G3325" t="str">
        <x:v>Office Supplies</x:v>
      </x:c>
      <x:c r="H3325" t="str">
        <x:v>Appliances</x:v>
      </x:c>
      <x:c r="I3325" s="22" t="n">
        <x:v>43.512</x:v>
      </x:c>
      <x:c r="J3325" s="24" t="n">
        <x:v>7</x:v>
      </x:c>
      <x:c r="K3325" s="26" t="n">
        <x:v>0.2</x:v>
      </x:c>
      <x:c r="L3325" s="22" t="n">
        <x:v>3.8073000000000015</x:v>
      </x:c>
      <x:c r="M3325" t="n">
        <x:v>2014</x:v>
      </x:c>
      <x:c r="N3325" s="20" t="n">
        <x:v>41974</x:v>
      </x:c>
    </x:row>
    <x:row r="3326" ht="18" customHeight="1">
      <x:c r="A3326" t="str">
        <x:v>CA-2014-134551</x:v>
      </x:c>
      <x:c r="B3326" s="18" t="n">
        <x:v>41993</x:v>
      </x:c>
      <x:c r="C3326" t="str">
        <x:v>TS-21505</x:v>
      </x:c>
      <x:c r="D3326" t="str">
        <x:v>Tony Sayre</x:v>
      </x:c>
      <x:c r="E3326" t="str">
        <x:v>Consumer</x:v>
      </x:c>
      <x:c r="F3326" t="str">
        <x:v>South</x:v>
      </x:c>
      <x:c r="G3326" t="str">
        <x:v>Furniture</x:v>
      </x:c>
      <x:c r="H3326" t="str">
        <x:v>Chairs</x:v>
      </x:c>
      <x:c r="I3326" s="22" t="n">
        <x:v>662.88</x:v>
      </x:c>
      <x:c r="J3326" s="24" t="n">
        <x:v>3</x:v>
      </x:c>
      <x:c r="K3326" s="26" t="n">
        <x:v>0.2</x:v>
      </x:c>
      <x:c r="L3326" s="22" t="n">
        <x:v>74.57399999999996</x:v>
      </x:c>
      <x:c r="M3326" t="n">
        <x:v>2014</x:v>
      </x:c>
      <x:c r="N3326" s="20" t="n">
        <x:v>41974</x:v>
      </x:c>
    </x:row>
    <x:row r="3327" ht="18" customHeight="1">
      <x:c r="A3327" t="str">
        <x:v>CA-2014-134551</x:v>
      </x:c>
      <x:c r="B3327" s="18" t="n">
        <x:v>41993</x:v>
      </x:c>
      <x:c r="C3327" t="str">
        <x:v>TS-21505</x:v>
      </x:c>
      <x:c r="D3327" t="str">
        <x:v>Tony Sayre</x:v>
      </x:c>
      <x:c r="E3327" t="str">
        <x:v>Consumer</x:v>
      </x:c>
      <x:c r="F3327" t="str">
        <x:v>South</x:v>
      </x:c>
      <x:c r="G3327" t="str">
        <x:v>Office Supplies</x:v>
      </x:c>
      <x:c r="H3327" t="str">
        <x:v>Paper</x:v>
      </x:c>
      <x:c r="I3327" s="22" t="n">
        <x:v>25.920000000000005</x:v>
      </x:c>
      <x:c r="J3327" s="24" t="n">
        <x:v>5</x:v>
      </x:c>
      <x:c r="K3327" s="26" t="n">
        <x:v>0.2</x:v>
      </x:c>
      <x:c r="L3327" s="22" t="n">
        <x:v>9.072</x:v>
      </x:c>
      <x:c r="M3327" t="n">
        <x:v>2014</x:v>
      </x:c>
      <x:c r="N3327" s="20" t="n">
        <x:v>41974</x:v>
      </x:c>
    </x:row>
    <x:row r="3328" ht="18" customHeight="1">
      <x:c r="A3328" t="str">
        <x:v>CA-2015-120810</x:v>
      </x:c>
      <x:c r="B3328" s="18" t="n">
        <x:v>42208</x:v>
      </x:c>
      <x:c r="C3328" t="str">
        <x:v>TH-21550</x:v>
      </x:c>
      <x:c r="D3328" t="str">
        <x:v>Tracy Hopkins</x:v>
      </x:c>
      <x:c r="E3328" t="str">
        <x:v>Home Office</x:v>
      </x:c>
      <x:c r="F3328" t="str">
        <x:v>East</x:v>
      </x:c>
      <x:c r="G3328" t="str">
        <x:v>Office Supplies</x:v>
      </x:c>
      <x:c r="H3328" t="str">
        <x:v>Appliances</x:v>
      </x:c>
      <x:c r="I3328" s="22" t="n">
        <x:v>68.94</x:v>
      </x:c>
      <x:c r="J3328" s="24" t="n">
        <x:v>3</x:v>
      </x:c>
      <x:c r="K3328" s="26" t="n">
        <x:v>0</x:v>
      </x:c>
      <x:c r="L3328" s="22" t="n">
        <x:v>20.681999999999995</x:v>
      </x:c>
      <x:c r="M3328" t="n">
        <x:v>2015</x:v>
      </x:c>
      <x:c r="N3328" s="20" t="n">
        <x:v>42186</x:v>
      </x:c>
    </x:row>
    <x:row r="3329" ht="18" customHeight="1">
      <x:c r="A3329" t="str">
        <x:v>CA-2015-120810</x:v>
      </x:c>
      <x:c r="B3329" s="18" t="n">
        <x:v>42208</x:v>
      </x:c>
      <x:c r="C3329" t="str">
        <x:v>TH-21550</x:v>
      </x:c>
      <x:c r="D3329" t="str">
        <x:v>Tracy Hopkins</x:v>
      </x:c>
      <x:c r="E3329" t="str">
        <x:v>Home Office</x:v>
      </x:c>
      <x:c r="F3329" t="str">
        <x:v>East</x:v>
      </x:c>
      <x:c r="G3329" t="str">
        <x:v>Furniture</x:v>
      </x:c>
      <x:c r="H3329" t="str">
        <x:v>Furnishings</x:v>
      </x:c>
      <x:c r="I3329" s="22" t="n">
        <x:v>128.82</x:v>
      </x:c>
      <x:c r="J3329" s="24" t="n">
        <x:v>3</x:v>
      </x:c>
      <x:c r="K3329" s="26" t="n">
        <x:v>0</x:v>
      </x:c>
      <x:c r="L3329" s="22" t="n">
        <x:v>50.2398</x:v>
      </x:c>
      <x:c r="M3329" t="n">
        <x:v>2015</x:v>
      </x:c>
      <x:c r="N3329" s="20" t="n">
        <x:v>42186</x:v>
      </x:c>
    </x:row>
    <x:row r="3330" ht="18" customHeight="1">
      <x:c r="A3330" t="str">
        <x:v>CA-2014-165309</x:v>
      </x:c>
      <x:c r="B3330" s="18" t="n">
        <x:v>41954</x:v>
      </x:c>
      <x:c r="C3330" t="str">
        <x:v>KD-16270</x:v>
      </x:c>
      <x:c r="D3330" t="str">
        <x:v>Karen Daniels</x:v>
      </x:c>
      <x:c r="E3330" t="str">
        <x:v>Consumer</x:v>
      </x:c>
      <x:c r="F3330" t="str">
        <x:v>Central</x:v>
      </x:c>
      <x:c r="G3330" t="str">
        <x:v>Office Supplies</x:v>
      </x:c>
      <x:c r="H3330" t="str">
        <x:v>Binders</x:v>
      </x:c>
      <x:c r="I3330" s="22" t="n">
        <x:v>896.9899999999998</x:v>
      </x:c>
      <x:c r="J3330" s="24" t="n">
        <x:v>5</x:v>
      </x:c>
      <x:c r="K3330" s="26" t="n">
        <x:v>0.8</x:v>
      </x:c>
      <x:c r="L3330" s="22" t="n">
        <x:v>-1480.033500000001</x:v>
      </x:c>
      <x:c r="M3330" t="n">
        <x:v>2014</x:v>
      </x:c>
      <x:c r="N3330" s="20" t="n">
        <x:v>41944</x:v>
      </x:c>
    </x:row>
    <x:row r="3331" ht="18" customHeight="1">
      <x:c r="A3331" t="str">
        <x:v>CA-2014-165309</x:v>
      </x:c>
      <x:c r="B3331" s="18" t="n">
        <x:v>41954</x:v>
      </x:c>
      <x:c r="C3331" t="str">
        <x:v>KD-16270</x:v>
      </x:c>
      <x:c r="D3331" t="str">
        <x:v>Karen Daniels</x:v>
      </x:c>
      <x:c r="E3331" t="str">
        <x:v>Consumer</x:v>
      </x:c>
      <x:c r="F3331" t="str">
        <x:v>Central</x:v>
      </x:c>
      <x:c r="G3331" t="str">
        <x:v>Office Supplies</x:v>
      </x:c>
      <x:c r="H3331" t="str">
        <x:v>Binders</x:v>
      </x:c>
      <x:c r="I3331" s="22" t="n">
        <x:v>1.2339999999999998</x:v>
      </x:c>
      <x:c r="J3331" s="24" t="n">
        <x:v>1</x:v>
      </x:c>
      <x:c r="K3331" s="26" t="n">
        <x:v>0.8</x:v>
      </x:c>
      <x:c r="L3331" s="22" t="n">
        <x:v>-1.9744000000000002</x:v>
      </x:c>
      <x:c r="M3331" t="n">
        <x:v>2014</x:v>
      </x:c>
      <x:c r="N3331" s="20" t="n">
        <x:v>41944</x:v>
      </x:c>
    </x:row>
    <x:row r="3332" ht="18" customHeight="1">
      <x:c r="A3332" t="str">
        <x:v>CA-2014-165309</x:v>
      </x:c>
      <x:c r="B3332" s="18" t="n">
        <x:v>41954</x:v>
      </x:c>
      <x:c r="C3332" t="str">
        <x:v>KD-16270</x:v>
      </x:c>
      <x:c r="D3332" t="str">
        <x:v>Karen Daniels</x:v>
      </x:c>
      <x:c r="E3332" t="str">
        <x:v>Consumer</x:v>
      </x:c>
      <x:c r="F3332" t="str">
        <x:v>Central</x:v>
      </x:c>
      <x:c r="G3332" t="str">
        <x:v>Office Supplies</x:v>
      </x:c>
      <x:c r="H3332" t="str">
        <x:v>Art</x:v>
      </x:c>
      <x:c r="I3332" s="22" t="n">
        <x:v>67.56</x:v>
      </x:c>
      <x:c r="J3332" s="24" t="n">
        <x:v>3</x:v>
      </x:c>
      <x:c r="K3332" s="26" t="n">
        <x:v>0.2</x:v>
      </x:c>
      <x:c r="L3332" s="22" t="n">
        <x:v>6.756000000000004</x:v>
      </x:c>
      <x:c r="M3332" t="n">
        <x:v>2014</x:v>
      </x:c>
      <x:c r="N3332" s="20" t="n">
        <x:v>41944</x:v>
      </x:c>
    </x:row>
    <x:row r="3333" ht="18" customHeight="1">
      <x:c r="A3333" t="str">
        <x:v>CA-2014-165309</x:v>
      </x:c>
      <x:c r="B3333" s="18" t="n">
        <x:v>41954</x:v>
      </x:c>
      <x:c r="C3333" t="str">
        <x:v>KD-16270</x:v>
      </x:c>
      <x:c r="D3333" t="str">
        <x:v>Karen Daniels</x:v>
      </x:c>
      <x:c r="E3333" t="str">
        <x:v>Consumer</x:v>
      </x:c>
      <x:c r="F3333" t="str">
        <x:v>Central</x:v>
      </x:c>
      <x:c r="G3333" t="str">
        <x:v>Office Supplies</x:v>
      </x:c>
      <x:c r="H3333" t="str">
        <x:v>Paper</x:v>
      </x:c>
      <x:c r="I3333" s="22" t="n">
        <x:v>21.720000000000002</x:v>
      </x:c>
      <x:c r="J3333" s="24" t="n">
        <x:v>5</x:v>
      </x:c>
      <x:c r="K3333" s="26" t="n">
        <x:v>0.2</x:v>
      </x:c>
      <x:c r="L3333" s="22" t="n">
        <x:v>7.873499999999999</x:v>
      </x:c>
      <x:c r="M3333" t="n">
        <x:v>2014</x:v>
      </x:c>
      <x:c r="N3333" s="20" t="n">
        <x:v>41944</x:v>
      </x:c>
    </x:row>
    <x:row r="3334" ht="18" customHeight="1">
      <x:c r="A3334" t="str">
        <x:v>CA-2014-165309</x:v>
      </x:c>
      <x:c r="B3334" s="18" t="n">
        <x:v>41954</x:v>
      </x:c>
      <x:c r="C3334" t="str">
        <x:v>KD-16270</x:v>
      </x:c>
      <x:c r="D3334" t="str">
        <x:v>Karen Daniels</x:v>
      </x:c>
      <x:c r="E3334" t="str">
        <x:v>Consumer</x:v>
      </x:c>
      <x:c r="F3334" t="str">
        <x:v>Central</x:v>
      </x:c>
      <x:c r="G3334" t="str">
        <x:v>Office Supplies</x:v>
      </x:c>
      <x:c r="H3334" t="str">
        <x:v>Paper</x:v>
      </x:c>
      <x:c r="I3334" s="22" t="n">
        <x:v>262.336</x:v>
      </x:c>
      <x:c r="J3334" s="24" t="n">
        <x:v>8</x:v>
      </x:c>
      <x:c r="K3334" s="26" t="n">
        <x:v>0.2</x:v>
      </x:c>
      <x:c r="L3334" s="22" t="n">
        <x:v>95.0968</x:v>
      </x:c>
      <x:c r="M3334" t="n">
        <x:v>2014</x:v>
      </x:c>
      <x:c r="N3334" s="20" t="n">
        <x:v>41944</x:v>
      </x:c>
    </x:row>
    <x:row r="3335" ht="18" customHeight="1">
      <x:c r="A3335" t="str">
        <x:v>CA-2014-165309</x:v>
      </x:c>
      <x:c r="B3335" s="18" t="n">
        <x:v>41954</x:v>
      </x:c>
      <x:c r="C3335" t="str">
        <x:v>KD-16270</x:v>
      </x:c>
      <x:c r="D3335" t="str">
        <x:v>Karen Daniels</x:v>
      </x:c>
      <x:c r="E3335" t="str">
        <x:v>Consumer</x:v>
      </x:c>
      <x:c r="F3335" t="str">
        <x:v>Central</x:v>
      </x:c>
      <x:c r="G3335" t="str">
        <x:v>Technology</x:v>
      </x:c>
      <x:c r="H3335" t="str">
        <x:v>Phones</x:v>
      </x:c>
      <x:c r="I3335" s="22" t="n">
        <x:v>148.48</x:v>
      </x:c>
      <x:c r="J3335" s="24" t="n">
        <x:v>2</x:v>
      </x:c>
      <x:c r="K3335" s="26" t="n">
        <x:v>0.2</x:v>
      </x:c>
      <x:c r="L3335" s="22" t="n">
        <x:v>16.703999999999986</x:v>
      </x:c>
      <x:c r="M3335" t="n">
        <x:v>2014</x:v>
      </x:c>
      <x:c r="N3335" s="20" t="n">
        <x:v>41944</x:v>
      </x:c>
    </x:row>
    <x:row r="3336" ht="18" customHeight="1">
      <x:c r="A3336" t="str">
        <x:v>CA-2014-165309</x:v>
      </x:c>
      <x:c r="B3336" s="18" t="n">
        <x:v>41954</x:v>
      </x:c>
      <x:c r="C3336" t="str">
        <x:v>KD-16270</x:v>
      </x:c>
      <x:c r="D3336" t="str">
        <x:v>Karen Daniels</x:v>
      </x:c>
      <x:c r="E3336" t="str">
        <x:v>Consumer</x:v>
      </x:c>
      <x:c r="F3336" t="str">
        <x:v>Central</x:v>
      </x:c>
      <x:c r="G3336" t="str">
        <x:v>Technology</x:v>
      </x:c>
      <x:c r="H3336" t="str">
        <x:v>Phones</x:v>
      </x:c>
      <x:c r="I3336" s="22" t="n">
        <x:v>241.176</x:v>
      </x:c>
      <x:c r="J3336" s="24" t="n">
        <x:v>3</x:v>
      </x:c>
      <x:c r="K3336" s="26" t="n">
        <x:v>0.2</x:v>
      </x:c>
      <x:c r="L3336" s="22" t="n">
        <x:v>15.07350000000001</x:v>
      </x:c>
      <x:c r="M3336" t="n">
        <x:v>2014</x:v>
      </x:c>
      <x:c r="N3336" s="20" t="n">
        <x:v>41944</x:v>
      </x:c>
    </x:row>
    <x:row r="3337" ht="18" customHeight="1">
      <x:c r="A3337" t="str">
        <x:v>CA-2017-122595</x:v>
      </x:c>
      <x:c r="B3337" s="18" t="n">
        <x:v>43083</x:v>
      </x:c>
      <x:c r="C3337" t="str">
        <x:v>GM-14455</x:v>
      </x:c>
      <x:c r="D3337" t="str">
        <x:v>Gary Mitchum</x:v>
      </x:c>
      <x:c r="E3337" t="str">
        <x:v>Home Office</x:v>
      </x:c>
      <x:c r="F3337" t="str">
        <x:v>Central</x:v>
      </x:c>
      <x:c r="G3337" t="str">
        <x:v>Technology</x:v>
      </x:c>
      <x:c r="H3337" t="str">
        <x:v>Accessories</x:v>
      </x:c>
      <x:c r="I3337" s="22" t="n">
        <x:v>227.976</x:v>
      </x:c>
      <x:c r="J3337" s="24" t="n">
        <x:v>3</x:v>
      </x:c>
      <x:c r="K3337" s="26" t="n">
        <x:v>0.2</x:v>
      </x:c>
      <x:c r="L3337" s="22" t="n">
        <x:v>28.496999999999957</x:v>
      </x:c>
      <x:c r="M3337" t="n">
        <x:v>2017</x:v>
      </x:c>
      <x:c r="N3337" s="20" t="n">
        <x:v>43070</x:v>
      </x:c>
    </x:row>
    <x:row r="3338" ht="18" customHeight="1">
      <x:c r="A3338" t="str">
        <x:v>CA-2017-122595</x:v>
      </x:c>
      <x:c r="B3338" s="18" t="n">
        <x:v>43083</x:v>
      </x:c>
      <x:c r="C3338" t="str">
        <x:v>GM-14455</x:v>
      </x:c>
      <x:c r="D3338" t="str">
        <x:v>Gary Mitchum</x:v>
      </x:c>
      <x:c r="E3338" t="str">
        <x:v>Home Office</x:v>
      </x:c>
      <x:c r="F3338" t="str">
        <x:v>Central</x:v>
      </x:c>
      <x:c r="G3338" t="str">
        <x:v>Technology</x:v>
      </x:c>
      <x:c r="H3338" t="str">
        <x:v>Phones</x:v>
      </x:c>
      <x:c r="I3338" s="22" t="n">
        <x:v>52.67999999999999</x:v>
      </x:c>
      <x:c r="J3338" s="24" t="n">
        <x:v>3</x:v>
      </x:c>
      <x:c r="K3338" s="26" t="n">
        <x:v>0.2</x:v>
      </x:c>
      <x:c r="L3338" s="22" t="n">
        <x:v>19.755</x:v>
      </x:c>
      <x:c r="M3338" t="n">
        <x:v>2017</x:v>
      </x:c>
      <x:c r="N3338" s="20" t="n">
        <x:v>43070</x:v>
      </x:c>
    </x:row>
    <x:row r="3339" ht="18" customHeight="1">
      <x:c r="A3339" t="str">
        <x:v>CA-2017-122595</x:v>
      </x:c>
      <x:c r="B3339" s="18" t="n">
        <x:v>43083</x:v>
      </x:c>
      <x:c r="C3339" t="str">
        <x:v>GM-14455</x:v>
      </x:c>
      <x:c r="D3339" t="str">
        <x:v>Gary Mitchum</x:v>
      </x:c>
      <x:c r="E3339" t="str">
        <x:v>Home Office</x:v>
      </x:c>
      <x:c r="F3339" t="str">
        <x:v>Central</x:v>
      </x:c>
      <x:c r="G3339" t="str">
        <x:v>Furniture</x:v>
      </x:c>
      <x:c r="H3339" t="str">
        <x:v>Furnishings</x:v>
      </x:c>
      <x:c r="I3339" s="22" t="n">
        <x:v>2.032</x:v>
      </x:c>
      <x:c r="J3339" s="24" t="n">
        <x:v>1</x:v>
      </x:c>
      <x:c r="K3339" s="26" t="n">
        <x:v>0.6</x:v>
      </x:c>
      <x:c r="L3339" s="22" t="n">
        <x:v>-1.3208000000000002</x:v>
      </x:c>
      <x:c r="M3339" t="n">
        <x:v>2017</x:v>
      </x:c>
      <x:c r="N3339" s="20" t="n">
        <x:v>43070</x:v>
      </x:c>
    </x:row>
    <x:row r="3340" ht="18" customHeight="1">
      <x:c r="A3340" t="str">
        <x:v>US-2017-109253</x:v>
      </x:c>
      <x:c r="B3340" s="18" t="n">
        <x:v>42968</x:v>
      </x:c>
      <x:c r="C3340" t="str">
        <x:v>PR-18880</x:v>
      </x:c>
      <x:c r="D3340" t="str">
        <x:v>Patrick Ryan</x:v>
      </x:c>
      <x:c r="E3340" t="str">
        <x:v>Consumer</x:v>
      </x:c>
      <x:c r="F3340" t="str">
        <x:v>West</x:v>
      </x:c>
      <x:c r="G3340" t="str">
        <x:v>Office Supplies</x:v>
      </x:c>
      <x:c r="H3340" t="str">
        <x:v>Art</x:v>
      </x:c>
      <x:c r="I3340" s="22" t="n">
        <x:v>17.12</x:v>
      </x:c>
      <x:c r="J3340" s="24" t="n">
        <x:v>4</x:v>
      </x:c>
      <x:c r="K3340" s="26" t="n">
        <x:v>0</x:v>
      </x:c>
      <x:c r="L3340" s="22" t="n">
        <x:v>4.9647999999999985</x:v>
      </x:c>
      <x:c r="M3340" t="n">
        <x:v>2017</x:v>
      </x:c>
      <x:c r="N3340" s="20" t="n">
        <x:v>42948</x:v>
      </x:c>
    </x:row>
    <x:row r="3341" ht="18" customHeight="1">
      <x:c r="A3341" t="str">
        <x:v>US-2017-109253</x:v>
      </x:c>
      <x:c r="B3341" s="18" t="n">
        <x:v>42968</x:v>
      </x:c>
      <x:c r="C3341" t="str">
        <x:v>PR-18880</x:v>
      </x:c>
      <x:c r="D3341" t="str">
        <x:v>Patrick Ryan</x:v>
      </x:c>
      <x:c r="E3341" t="str">
        <x:v>Consumer</x:v>
      </x:c>
      <x:c r="F3341" t="str">
        <x:v>West</x:v>
      </x:c>
      <x:c r="G3341" t="str">
        <x:v>Technology</x:v>
      </x:c>
      <x:c r="H3341" t="str">
        <x:v>Phones</x:v>
      </x:c>
      <x:c r="I3341" s="22" t="n">
        <x:v>431.9680000000001</x:v>
      </x:c>
      <x:c r="J3341" s="24" t="n">
        <x:v>4</x:v>
      </x:c>
      <x:c r="K3341" s="26" t="n">
        <x:v>0.2</x:v>
      </x:c>
      <x:c r="L3341" s="22" t="n">
        <x:v>37.797199999999975</x:v>
      </x:c>
      <x:c r="M3341" t="n">
        <x:v>2017</x:v>
      </x:c>
      <x:c r="N3341" s="20" t="n">
        <x:v>42948</x:v>
      </x:c>
    </x:row>
    <x:row r="3342" ht="18" customHeight="1">
      <x:c r="A3342" t="str">
        <x:v>US-2017-109253</x:v>
      </x:c>
      <x:c r="B3342" s="18" t="n">
        <x:v>42968</x:v>
      </x:c>
      <x:c r="C3342" t="str">
        <x:v>PR-18880</x:v>
      </x:c>
      <x:c r="D3342" t="str">
        <x:v>Patrick Ryan</x:v>
      </x:c>
      <x:c r="E3342" t="str">
        <x:v>Consumer</x:v>
      </x:c>
      <x:c r="F3342" t="str">
        <x:v>West</x:v>
      </x:c>
      <x:c r="G3342" t="str">
        <x:v>Furniture</x:v>
      </x:c>
      <x:c r="H3342" t="str">
        <x:v>Furnishings</x:v>
      </x:c>
      <x:c r="I3342" s="22" t="n">
        <x:v>129.92</x:v>
      </x:c>
      <x:c r="J3342" s="24" t="n">
        <x:v>4</x:v>
      </x:c>
      <x:c r="K3342" s="26" t="n">
        <x:v>0</x:v>
      </x:c>
      <x:c r="L3342" s="22" t="n">
        <x:v>10.393599999999992</x:v>
      </x:c>
      <x:c r="M3342" t="n">
        <x:v>2017</x:v>
      </x:c>
      <x:c r="N3342" s="20" t="n">
        <x:v>42948</x:v>
      </x:c>
    </x:row>
    <x:row r="3343" ht="18" customHeight="1">
      <x:c r="A3343" t="str">
        <x:v>US-2017-109253</x:v>
      </x:c>
      <x:c r="B3343" s="18" t="n">
        <x:v>42968</x:v>
      </x:c>
      <x:c r="C3343" t="str">
        <x:v>PR-18880</x:v>
      </x:c>
      <x:c r="D3343" t="str">
        <x:v>Patrick Ryan</x:v>
      </x:c>
      <x:c r="E3343" t="str">
        <x:v>Consumer</x:v>
      </x:c>
      <x:c r="F3343" t="str">
        <x:v>West</x:v>
      </x:c>
      <x:c r="G3343" t="str">
        <x:v>Furniture</x:v>
      </x:c>
      <x:c r="H3343" t="str">
        <x:v>Tables</x:v>
      </x:c>
      <x:c r="I3343" s="22" t="n">
        <x:v>568.7280000000001</x:v>
      </x:c>
      <x:c r="J3343" s="24" t="n">
        <x:v>3</x:v>
      </x:c>
      <x:c r="K3343" s="26" t="n">
        <x:v>0.2</x:v>
      </x:c>
      <x:c r="L3343" s="22" t="n">
        <x:v>28.436399999999935</x:v>
      </x:c>
      <x:c r="M3343" t="n">
        <x:v>2017</x:v>
      </x:c>
      <x:c r="N3343" s="20" t="n">
        <x:v>42948</x:v>
      </x:c>
    </x:row>
    <x:row r="3344" ht="18" customHeight="1">
      <x:c r="A3344" t="str">
        <x:v>US-2017-109253</x:v>
      </x:c>
      <x:c r="B3344" s="18" t="n">
        <x:v>42968</x:v>
      </x:c>
      <x:c r="C3344" t="str">
        <x:v>PR-18880</x:v>
      </x:c>
      <x:c r="D3344" t="str">
        <x:v>Patrick Ryan</x:v>
      </x:c>
      <x:c r="E3344" t="str">
        <x:v>Consumer</x:v>
      </x:c>
      <x:c r="F3344" t="str">
        <x:v>West</x:v>
      </x:c>
      <x:c r="G3344" t="str">
        <x:v>Office Supplies</x:v>
      </x:c>
      <x:c r="H3344" t="str">
        <x:v>Binders</x:v>
      </x:c>
      <x:c r="I3344" s="22" t="n">
        <x:v>117.144</x:v>
      </x:c>
      <x:c r="J3344" s="24" t="n">
        <x:v>9</x:v>
      </x:c>
      <x:c r="K3344" s="26" t="n">
        <x:v>0.2</x:v>
      </x:c>
      <x:c r="L3344" s="22" t="n">
        <x:v>42.46469999999999</x:v>
      </x:c>
      <x:c r="M3344" t="n">
        <x:v>2017</x:v>
      </x:c>
      <x:c r="N3344" s="20" t="n">
        <x:v>42948</x:v>
      </x:c>
    </x:row>
    <x:row r="3345" ht="18" customHeight="1">
      <x:c r="A3345" t="str">
        <x:v>US-2017-109253</x:v>
      </x:c>
      <x:c r="B3345" s="18" t="n">
        <x:v>42968</x:v>
      </x:c>
      <x:c r="C3345" t="str">
        <x:v>PR-18880</x:v>
      </x:c>
      <x:c r="D3345" t="str">
        <x:v>Patrick Ryan</x:v>
      </x:c>
      <x:c r="E3345" t="str">
        <x:v>Consumer</x:v>
      </x:c>
      <x:c r="F3345" t="str">
        <x:v>West</x:v>
      </x:c>
      <x:c r="G3345" t="str">
        <x:v>Office Supplies</x:v>
      </x:c>
      <x:c r="H3345" t="str">
        <x:v>Appliances</x:v>
      </x:c>
      <x:c r="I3345" s="22" t="n">
        <x:v>203.52</x:v>
      </x:c>
      <x:c r="J3345" s="24" t="n">
        <x:v>3</x:v>
      </x:c>
      <x:c r="K3345" s="26" t="n">
        <x:v>0</x:v>
      </x:c>
      <x:c r="L3345" s="22" t="n">
        <x:v>54.9504</x:v>
      </x:c>
      <x:c r="M3345" t="n">
        <x:v>2017</x:v>
      </x:c>
      <x:c r="N3345" s="20" t="n">
        <x:v>42948</x:v>
      </x:c>
    </x:row>
    <x:row r="3346" ht="18" customHeight="1">
      <x:c r="A3346" t="str">
        <x:v>US-2017-109253</x:v>
      </x:c>
      <x:c r="B3346" s="18" t="n">
        <x:v>42968</x:v>
      </x:c>
      <x:c r="C3346" t="str">
        <x:v>PR-18880</x:v>
      </x:c>
      <x:c r="D3346" t="str">
        <x:v>Patrick Ryan</x:v>
      </x:c>
      <x:c r="E3346" t="str">
        <x:v>Consumer</x:v>
      </x:c>
      <x:c r="F3346" t="str">
        <x:v>West</x:v>
      </x:c>
      <x:c r="G3346" t="str">
        <x:v>Office Supplies</x:v>
      </x:c>
      <x:c r="H3346" t="str">
        <x:v>Labels</x:v>
      </x:c>
      <x:c r="I3346" s="22" t="n">
        <x:v>51.75</x:v>
      </x:c>
      <x:c r="J3346" s="24" t="n">
        <x:v>5</x:v>
      </x:c>
      <x:c r="K3346" s="26" t="n">
        <x:v>0</x:v>
      </x:c>
      <x:c r="L3346" s="22" t="n">
        <x:v>24.84</x:v>
      </x:c>
      <x:c r="M3346" t="n">
        <x:v>2017</x:v>
      </x:c>
      <x:c r="N3346" s="20" t="n">
        <x:v>42948</x:v>
      </x:c>
    </x:row>
    <x:row r="3347" ht="18" customHeight="1">
      <x:c r="A3347" t="str">
        <x:v>CA-2016-145982</x:v>
      </x:c>
      <x:c r="B3347" s="18" t="n">
        <x:v>42609</x:v>
      </x:c>
      <x:c r="C3347" t="str">
        <x:v>TB-21055</x:v>
      </x:c>
      <x:c r="D3347" t="str">
        <x:v>Ted Butterfield</x:v>
      </x:c>
      <x:c r="E3347" t="str">
        <x:v>Consumer</x:v>
      </x:c>
      <x:c r="F3347" t="str">
        <x:v>East</x:v>
      </x:c>
      <x:c r="G3347" t="str">
        <x:v>Office Supplies</x:v>
      </x:c>
      <x:c r="H3347" t="str">
        <x:v>Paper</x:v>
      </x:c>
      <x:c r="I3347" s="22" t="n">
        <x:v>122.97</x:v>
      </x:c>
      <x:c r="J3347" s="24" t="n">
        <x:v>3</x:v>
      </x:c>
      <x:c r="K3347" s="26" t="n">
        <x:v>0</x:v>
      </x:c>
      <x:c r="L3347" s="22" t="n">
        <x:v>60.255300000000005</x:v>
      </x:c>
      <x:c r="M3347" t="n">
        <x:v>2016</x:v>
      </x:c>
      <x:c r="N3347" s="20" t="n">
        <x:v>42583</x:v>
      </x:c>
    </x:row>
    <x:row r="3348" ht="18" customHeight="1">
      <x:c r="A3348" t="str">
        <x:v>CA-2016-145982</x:v>
      </x:c>
      <x:c r="B3348" s="18" t="n">
        <x:v>42609</x:v>
      </x:c>
      <x:c r="C3348" t="str">
        <x:v>TB-21055</x:v>
      </x:c>
      <x:c r="D3348" t="str">
        <x:v>Ted Butterfield</x:v>
      </x:c>
      <x:c r="E3348" t="str">
        <x:v>Consumer</x:v>
      </x:c>
      <x:c r="F3348" t="str">
        <x:v>East</x:v>
      </x:c>
      <x:c r="G3348" t="str">
        <x:v>Furniture</x:v>
      </x:c>
      <x:c r="H3348" t="str">
        <x:v>Tables</x:v>
      </x:c>
      <x:c r="I3348" s="22" t="n">
        <x:v>244.61499999999998</x:v>
      </x:c>
      <x:c r="J3348" s="24" t="n">
        <x:v>1</x:v>
      </x:c>
      <x:c r="K3348" s="26" t="n">
        <x:v>0.3</x:v>
      </x:c>
      <x:c r="L3348" s="22" t="n">
        <x:v>20.967</x:v>
      </x:c>
      <x:c r="M3348" t="n">
        <x:v>2016</x:v>
      </x:c>
      <x:c r="N3348" s="20" t="n">
        <x:v>42583</x:v>
      </x:c>
    </x:row>
    <x:row r="3349" ht="18" customHeight="1">
      <x:c r="A3349" t="str">
        <x:v>CA-2016-145982</x:v>
      </x:c>
      <x:c r="B3349" s="18" t="n">
        <x:v>42609</x:v>
      </x:c>
      <x:c r="C3349" t="str">
        <x:v>TB-21055</x:v>
      </x:c>
      <x:c r="D3349" t="str">
        <x:v>Ted Butterfield</x:v>
      </x:c>
      <x:c r="E3349" t="str">
        <x:v>Consumer</x:v>
      </x:c>
      <x:c r="F3349" t="str">
        <x:v>East</x:v>
      </x:c>
      <x:c r="G3349" t="str">
        <x:v>Technology</x:v>
      </x:c>
      <x:c r="H3349" t="str">
        <x:v>Phones</x:v>
      </x:c>
      <x:c r="I3349" s="22" t="n">
        <x:v>59.97</x:v>
      </x:c>
      <x:c r="J3349" s="24" t="n">
        <x:v>3</x:v>
      </x:c>
      <x:c r="K3349" s="26" t="n">
        <x:v>0</x:v>
      </x:c>
      <x:c r="L3349" s="22" t="n">
        <x:v>28.785599999999995</x:v>
      </x:c>
      <x:c r="M3349" t="n">
        <x:v>2016</x:v>
      </x:c>
      <x:c r="N3349" s="20" t="n">
        <x:v>42583</x:v>
      </x:c>
    </x:row>
    <x:row r="3350" ht="18" customHeight="1">
      <x:c r="A3350" t="str">
        <x:v>CA-2016-145982</x:v>
      </x:c>
      <x:c r="B3350" s="18" t="n">
        <x:v>42609</x:v>
      </x:c>
      <x:c r="C3350" t="str">
        <x:v>TB-21055</x:v>
      </x:c>
      <x:c r="D3350" t="str">
        <x:v>Ted Butterfield</x:v>
      </x:c>
      <x:c r="E3350" t="str">
        <x:v>Consumer</x:v>
      </x:c>
      <x:c r="F3350" t="str">
        <x:v>East</x:v>
      </x:c>
      <x:c r="G3350" t="str">
        <x:v>Office Supplies</x:v>
      </x:c>
      <x:c r="H3350" t="str">
        <x:v>Paper</x:v>
      </x:c>
      <x:c r="I3350" s="22" t="n">
        <x:v>81.54</x:v>
      </x:c>
      <x:c r="J3350" s="24" t="n">
        <x:v>9</x:v>
      </x:c>
      <x:c r="K3350" s="26" t="n">
        <x:v>0</x:v>
      </x:c>
      <x:c r="L3350" s="22" t="n">
        <x:v>36.693</x:v>
      </x:c>
      <x:c r="M3350" t="n">
        <x:v>2016</x:v>
      </x:c>
      <x:c r="N3350" s="20" t="n">
        <x:v>42583</x:v>
      </x:c>
    </x:row>
    <x:row r="3351" ht="18" customHeight="1">
      <x:c r="A3351" t="str">
        <x:v>CA-2016-145982</x:v>
      </x:c>
      <x:c r="B3351" s="18" t="n">
        <x:v>42609</x:v>
      </x:c>
      <x:c r="C3351" t="str">
        <x:v>TB-21055</x:v>
      </x:c>
      <x:c r="D3351" t="str">
        <x:v>Ted Butterfield</x:v>
      </x:c>
      <x:c r="E3351" t="str">
        <x:v>Consumer</x:v>
      </x:c>
      <x:c r="F3351" t="str">
        <x:v>East</x:v>
      </x:c>
      <x:c r="G3351" t="str">
        <x:v>Office Supplies</x:v>
      </x:c>
      <x:c r="H3351" t="str">
        <x:v>Fasteners</x:v>
      </x:c>
      <x:c r="I3351" s="22" t="n">
        <x:v>11.68</x:v>
      </x:c>
      <x:c r="J3351" s="24" t="n">
        <x:v>4</x:v>
      </x:c>
      <x:c r="K3351" s="26" t="n">
        <x:v>0</x:v>
      </x:c>
      <x:c r="L3351" s="22" t="n">
        <x:v>5.255999999999999</x:v>
      </x:c>
      <x:c r="M3351" t="n">
        <x:v>2016</x:v>
      </x:c>
      <x:c r="N3351" s="20" t="n">
        <x:v>42583</x:v>
      </x:c>
    </x:row>
    <x:row r="3352" ht="18" customHeight="1">
      <x:c r="A3352" t="str">
        <x:v>CA-2016-145982</x:v>
      </x:c>
      <x:c r="B3352" s="18" t="n">
        <x:v>42609</x:v>
      </x:c>
      <x:c r="C3352" t="str">
        <x:v>TB-21055</x:v>
      </x:c>
      <x:c r="D3352" t="str">
        <x:v>Ted Butterfield</x:v>
      </x:c>
      <x:c r="E3352" t="str">
        <x:v>Consumer</x:v>
      </x:c>
      <x:c r="F3352" t="str">
        <x:v>East</x:v>
      </x:c>
      <x:c r="G3352" t="str">
        <x:v>Office Supplies</x:v>
      </x:c>
      <x:c r="H3352" t="str">
        <x:v>Binders</x:v>
      </x:c>
      <x:c r="I3352" s="22" t="n">
        <x:v>29</x:v>
      </x:c>
      <x:c r="J3352" s="24" t="n">
        <x:v>5</x:v>
      </x:c>
      <x:c r="K3352" s="26" t="n">
        <x:v>0</x:v>
      </x:c>
      <x:c r="L3352" s="22" t="n">
        <x:v>13.919999999999998</x:v>
      </x:c>
      <x:c r="M3352" t="n">
        <x:v>2016</x:v>
      </x:c>
      <x:c r="N3352" s="20" t="n">
        <x:v>42583</x:v>
      </x:c>
    </x:row>
    <x:row r="3353" ht="18" customHeight="1">
      <x:c r="A3353" t="str">
        <x:v>CA-2015-112014</x:v>
      </x:c>
      <x:c r="B3353" s="18" t="n">
        <x:v>42229</x:v>
      </x:c>
      <x:c r="C3353" t="str">
        <x:v>ON-18715</x:v>
      </x:c>
      <x:c r="D3353" t="str">
        <x:v>Odella Nelson</x:v>
      </x:c>
      <x:c r="E3353" t="str">
        <x:v>Corporate</x:v>
      </x:c>
      <x:c r="F3353" t="str">
        <x:v>West</x:v>
      </x:c>
      <x:c r="G3353" t="str">
        <x:v>Office Supplies</x:v>
      </x:c>
      <x:c r="H3353" t="str">
        <x:v>Art</x:v>
      </x:c>
      <x:c r="I3353" s="22" t="n">
        <x:v>50.8</x:v>
      </x:c>
      <x:c r="J3353" s="24" t="n">
        <x:v>5</x:v>
      </x:c>
      <x:c r="K3353" s="26" t="n">
        <x:v>0</x:v>
      </x:c>
      <x:c r="L3353" s="22" t="n">
        <x:v>13.208000000000002</x:v>
      </x:c>
      <x:c r="M3353" t="n">
        <x:v>2015</x:v>
      </x:c>
      <x:c r="N3353" s="20" t="n">
        <x:v>42217</x:v>
      </x:c>
    </x:row>
    <x:row r="3354" ht="18" customHeight="1">
      <x:c r="A3354" t="str">
        <x:v>CA-2017-154732</x:v>
      </x:c>
      <x:c r="B3354" s="18" t="n">
        <x:v>43044</x:v>
      </x:c>
      <x:c r="C3354" t="str">
        <x:v>AH-10195</x:v>
      </x:c>
      <x:c r="D3354" t="str">
        <x:v>Alan Haines</x:v>
      </x:c>
      <x:c r="E3354" t="str">
        <x:v>Corporate</x:v>
      </x:c>
      <x:c r="F3354" t="str">
        <x:v>Central</x:v>
      </x:c>
      <x:c r="G3354" t="str">
        <x:v>Office Supplies</x:v>
      </x:c>
      <x:c r="H3354" t="str">
        <x:v>Binders</x:v>
      </x:c>
      <x:c r="I3354" s="22" t="n">
        <x:v>16.029999999999998</x:v>
      </x:c>
      <x:c r="J3354" s="24" t="n">
        <x:v>5</x:v>
      </x:c>
      <x:c r="K3354" s="26" t="n">
        <x:v>0.8</x:v>
      </x:c>
      <x:c r="L3354" s="22" t="n">
        <x:v>-25.648000000000003</x:v>
      </x:c>
      <x:c r="M3354" t="n">
        <x:v>2017</x:v>
      </x:c>
      <x:c r="N3354" s="20" t="n">
        <x:v>43040</x:v>
      </x:c>
    </x:row>
    <x:row r="3355" ht="18" customHeight="1">
      <x:c r="A3355" t="str">
        <x:v>US-2016-157308</x:v>
      </x:c>
      <x:c r="B3355" s="18" t="n">
        <x:v>42599</x:v>
      </x:c>
      <x:c r="C3355" t="str">
        <x:v>NM-18520</x:v>
      </x:c>
      <x:c r="D3355" t="str">
        <x:v>Neoma Murray</x:v>
      </x:c>
      <x:c r="E3355" t="str">
        <x:v>Consumer</x:v>
      </x:c>
      <x:c r="F3355" t="str">
        <x:v>West</x:v>
      </x:c>
      <x:c r="G3355" t="str">
        <x:v>Office Supplies</x:v>
      </x:c>
      <x:c r="H3355" t="str">
        <x:v>Binders</x:v>
      </x:c>
      <x:c r="I3355" s="22" t="n">
        <x:v>15.712000000000002</x:v>
      </x:c>
      <x:c r="J3355" s="24" t="n">
        <x:v>4</x:v>
      </x:c>
      <x:c r="K3355" s="26" t="n">
        <x:v>0.2</x:v>
      </x:c>
      <x:c r="L3355" s="22" t="n">
        <x:v>5.695599999999999</x:v>
      </x:c>
      <x:c r="M3355" t="n">
        <x:v>2016</x:v>
      </x:c>
      <x:c r="N3355" s="20" t="n">
        <x:v>42583</x:v>
      </x:c>
    </x:row>
    <x:row r="3356" ht="18" customHeight="1">
      <x:c r="A3356" t="str">
        <x:v>CA-2016-147536</x:v>
      </x:c>
      <x:c r="B3356" s="18" t="n">
        <x:v>42730</x:v>
      </x:c>
      <x:c r="C3356" t="str">
        <x:v>AR-10510</x:v>
      </x:c>
      <x:c r="D3356" t="str">
        <x:v>Andrew Roberts</x:v>
      </x:c>
      <x:c r="E3356" t="str">
        <x:v>Consumer</x:v>
      </x:c>
      <x:c r="F3356" t="str">
        <x:v>East</x:v>
      </x:c>
      <x:c r="G3356" t="str">
        <x:v>Technology</x:v>
      </x:c>
      <x:c r="H3356" t="str">
        <x:v>Accessories</x:v>
      </x:c>
      <x:c r="I3356" s="22" t="n">
        <x:v>89.97</x:v>
      </x:c>
      <x:c r="J3356" s="24" t="n">
        <x:v>3</x:v>
      </x:c>
      <x:c r="K3356" s="26" t="n">
        <x:v>0</x:v>
      </x:c>
      <x:c r="L3356" s="22" t="n">
        <x:v>18.893699999999995</x:v>
      </x:c>
      <x:c r="M3356" t="n">
        <x:v>2016</x:v>
      </x:c>
      <x:c r="N3356" s="20" t="n">
        <x:v>42705</x:v>
      </x:c>
    </x:row>
    <x:row r="3357" ht="18" customHeight="1">
      <x:c r="A3357" t="str">
        <x:v>US-2014-134733</x:v>
      </x:c>
      <x:c r="B3357" s="18" t="n">
        <x:v>41905</x:v>
      </x:c>
      <x:c r="C3357" t="str">
        <x:v>BM-11650</x:v>
      </x:c>
      <x:c r="D3357" t="str">
        <x:v>Brian Moss</x:v>
      </x:c>
      <x:c r="E3357" t="str">
        <x:v>Corporate</x:v>
      </x:c>
      <x:c r="F3357" t="str">
        <x:v>West</x:v>
      </x:c>
      <x:c r="G3357" t="str">
        <x:v>Furniture</x:v>
      </x:c>
      <x:c r="H3357" t="str">
        <x:v>Bookcases</x:v>
      </x:c>
      <x:c r="I3357" s="22" t="n">
        <x:v>435.999</x:v>
      </x:c>
      <x:c r="J3357" s="24" t="n">
        <x:v>3</x:v>
      </x:c>
      <x:c r="K3357" s="26" t="n">
        <x:v>0.15</x:v>
      </x:c>
      <x:c r="L3357" s="22" t="n">
        <x:v>20.517599999999987</x:v>
      </x:c>
      <x:c r="M3357" t="n">
        <x:v>2014</x:v>
      </x:c>
      <x:c r="N3357" s="20" t="n">
        <x:v>41883</x:v>
      </x:c>
    </x:row>
    <x:row r="3358" ht="18" customHeight="1">
      <x:c r="A3358" t="str">
        <x:v>US-2014-134733</x:v>
      </x:c>
      <x:c r="B3358" s="18" t="n">
        <x:v>41905</x:v>
      </x:c>
      <x:c r="C3358" t="str">
        <x:v>BM-11650</x:v>
      </x:c>
      <x:c r="D3358" t="str">
        <x:v>Brian Moss</x:v>
      </x:c>
      <x:c r="E3358" t="str">
        <x:v>Corporate</x:v>
      </x:c>
      <x:c r="F3358" t="str">
        <x:v>West</x:v>
      </x:c>
      <x:c r="G3358" t="str">
        <x:v>Technology</x:v>
      </x:c>
      <x:c r="H3358" t="str">
        <x:v>Phones</x:v>
      </x:c>
      <x:c r="I3358" s="22" t="n">
        <x:v>83.98400000000001</x:v>
      </x:c>
      <x:c r="J3358" s="24" t="n">
        <x:v>2</x:v>
      </x:c>
      <x:c r="K3358" s="26" t="n">
        <x:v>0.2</x:v>
      </x:c>
      <x:c r="L3358" s="22" t="n">
        <x:v>31.494</x:v>
      </x:c>
      <x:c r="M3358" t="n">
        <x:v>2014</x:v>
      </x:c>
      <x:c r="N3358" s="20" t="n">
        <x:v>41883</x:v>
      </x:c>
    </x:row>
    <x:row r="3359" ht="18" customHeight="1">
      <x:c r="A3359" t="str">
        <x:v>US-2014-150434</x:v>
      </x:c>
      <x:c r="B3359" s="18" t="n">
        <x:v>41839</x:v>
      </x:c>
      <x:c r="C3359" t="str">
        <x:v>CA-12310</x:v>
      </x:c>
      <x:c r="D3359" t="str">
        <x:v>Christine Abelman</x:v>
      </x:c>
      <x:c r="E3359" t="str">
        <x:v>Corporate</x:v>
      </x:c>
      <x:c r="F3359" t="str">
        <x:v>East</x:v>
      </x:c>
      <x:c r="G3359" t="str">
        <x:v>Technology</x:v>
      </x:c>
      <x:c r="H3359" t="str">
        <x:v>Phones</x:v>
      </x:c>
      <x:c r="I3359" s="22" t="n">
        <x:v>359.98</x:v>
      </x:c>
      <x:c r="J3359" s="24" t="n">
        <x:v>2</x:v>
      </x:c>
      <x:c r="K3359" s="26" t="n">
        <x:v>0</x:v>
      </x:c>
      <x:c r="L3359" s="22" t="n">
        <x:v>93.59480000000002</x:v>
      </x:c>
      <x:c r="M3359" t="n">
        <x:v>2014</x:v>
      </x:c>
      <x:c r="N3359" s="20" t="n">
        <x:v>41821</x:v>
      </x:c>
    </x:row>
    <x:row r="3360" ht="18" customHeight="1">
      <x:c r="A3360" t="str">
        <x:v>US-2014-150434</x:v>
      </x:c>
      <x:c r="B3360" s="18" t="n">
        <x:v>41839</x:v>
      </x:c>
      <x:c r="C3360" t="str">
        <x:v>CA-12310</x:v>
      </x:c>
      <x:c r="D3360" t="str">
        <x:v>Christine Abelman</x:v>
      </x:c>
      <x:c r="E3360" t="str">
        <x:v>Corporate</x:v>
      </x:c>
      <x:c r="F3360" t="str">
        <x:v>East</x:v>
      </x:c>
      <x:c r="G3360" t="str">
        <x:v>Furniture</x:v>
      </x:c>
      <x:c r="H3360" t="str">
        <x:v>Tables</x:v>
      </x:c>
      <x:c r="I3360" s="22" t="n">
        <x:v>70.55999999999999</x:v>
      </x:c>
      <x:c r="J3360" s="24" t="n">
        <x:v>1</x:v>
      </x:c>
      <x:c r="K3360" s="26" t="n">
        <x:v>0.3</x:v>
      </x:c>
      <x:c r="L3360" s="22" t="n">
        <x:v>-4.032</x:v>
      </x:c>
      <x:c r="M3360" t="n">
        <x:v>2014</x:v>
      </x:c>
      <x:c r="N3360" s="20" t="n">
        <x:v>41821</x:v>
      </x:c>
    </x:row>
    <x:row r="3361" ht="18" customHeight="1">
      <x:c r="A3361" t="str">
        <x:v>US-2014-150434</x:v>
      </x:c>
      <x:c r="B3361" s="18" t="n">
        <x:v>41839</x:v>
      </x:c>
      <x:c r="C3361" t="str">
        <x:v>CA-12310</x:v>
      </x:c>
      <x:c r="D3361" t="str">
        <x:v>Christine Abelman</x:v>
      </x:c>
      <x:c r="E3361" t="str">
        <x:v>Corporate</x:v>
      </x:c>
      <x:c r="F3361" t="str">
        <x:v>East</x:v>
      </x:c>
      <x:c r="G3361" t="str">
        <x:v>Office Supplies</x:v>
      </x:c>
      <x:c r="H3361" t="str">
        <x:v>Binders</x:v>
      </x:c>
      <x:c r="I3361" s="22" t="n">
        <x:v>20.88</x:v>
      </x:c>
      <x:c r="J3361" s="24" t="n">
        <x:v>2</x:v>
      </x:c>
      <x:c r="K3361" s="26" t="n">
        <x:v>0</x:v>
      </x:c>
      <x:c r="L3361" s="22" t="n">
        <x:v>9.6048</x:v>
      </x:c>
      <x:c r="M3361" t="n">
        <x:v>2014</x:v>
      </x:c>
      <x:c r="N3361" s="20" t="n">
        <x:v>41821</x:v>
      </x:c>
    </x:row>
    <x:row r="3362" ht="18" customHeight="1">
      <x:c r="A3362" t="str">
        <x:v>US-2014-150434</x:v>
      </x:c>
      <x:c r="B3362" s="18" t="n">
        <x:v>41839</x:v>
      </x:c>
      <x:c r="C3362" t="str">
        <x:v>CA-12310</x:v>
      </x:c>
      <x:c r="D3362" t="str">
        <x:v>Christine Abelman</x:v>
      </x:c>
      <x:c r="E3362" t="str">
        <x:v>Corporate</x:v>
      </x:c>
      <x:c r="F3362" t="str">
        <x:v>East</x:v>
      </x:c>
      <x:c r="G3362" t="str">
        <x:v>Office Supplies</x:v>
      </x:c>
      <x:c r="H3362" t="str">
        <x:v>Binders</x:v>
      </x:c>
      <x:c r="I3362" s="22" t="n">
        <x:v>3.81</x:v>
      </x:c>
      <x:c r="J3362" s="24" t="n">
        <x:v>1</x:v>
      </x:c>
      <x:c r="K3362" s="26" t="n">
        <x:v>0</x:v>
      </x:c>
      <x:c r="L3362" s="22" t="n">
        <x:v>1.8288</x:v>
      </x:c>
      <x:c r="M3362" t="n">
        <x:v>2014</x:v>
      </x:c>
      <x:c r="N3362" s="20" t="n">
        <x:v>41821</x:v>
      </x:c>
    </x:row>
    <x:row r="3363" ht="18" customHeight="1">
      <x:c r="A3363" t="str">
        <x:v>CA-2017-100335</x:v>
      </x:c>
      <x:c r="B3363" s="18" t="n">
        <x:v>42985</x:v>
      </x:c>
      <x:c r="C3363" t="str">
        <x:v>NF-18595</x:v>
      </x:c>
      <x:c r="D3363" t="str">
        <x:v>Nicole Fjeld</x:v>
      </x:c>
      <x:c r="E3363" t="str">
        <x:v>Home Office</x:v>
      </x:c>
      <x:c r="F3363" t="str">
        <x:v>Central</x:v>
      </x:c>
      <x:c r="G3363" t="str">
        <x:v>Office Supplies</x:v>
      </x:c>
      <x:c r="H3363" t="str">
        <x:v>Paper</x:v>
      </x:c>
      <x:c r="I3363" s="22" t="n">
        <x:v>73.008</x:v>
      </x:c>
      <x:c r="J3363" s="24" t="n">
        <x:v>9</x:v>
      </x:c>
      <x:c r="K3363" s="26" t="n">
        <x:v>0.2</x:v>
      </x:c>
      <x:c r="L3363" s="22" t="n">
        <x:v>26.465400000000006</x:v>
      </x:c>
      <x:c r="M3363" t="n">
        <x:v>2017</x:v>
      </x:c>
      <x:c r="N3363" s="20" t="n">
        <x:v>42979</x:v>
      </x:c>
    </x:row>
    <x:row r="3364" ht="18" customHeight="1">
      <x:c r="A3364" t="str">
        <x:v>CA-2016-139234</x:v>
      </x:c>
      <x:c r="B3364" s="18" t="n">
        <x:v>42496</x:v>
      </x:c>
      <x:c r="C3364" t="str">
        <x:v>AF-10870</x:v>
      </x:c>
      <x:c r="D3364" t="str">
        <x:v>Art Ferguson</x:v>
      </x:c>
      <x:c r="E3364" t="str">
        <x:v>Consumer</x:v>
      </x:c>
      <x:c r="F3364" t="str">
        <x:v>Central</x:v>
      </x:c>
      <x:c r="G3364" t="str">
        <x:v>Office Supplies</x:v>
      </x:c>
      <x:c r="H3364" t="str">
        <x:v>Binders</x:v>
      </x:c>
      <x:c r="I3364" s="22" t="n">
        <x:v>3.2079999999999993</x:v>
      </x:c>
      <x:c r="J3364" s="24" t="n">
        <x:v>2</x:v>
      </x:c>
      <x:c r="K3364" s="26" t="n">
        <x:v>0.8</x:v>
      </x:c>
      <x:c r="L3364" s="22" t="n">
        <x:v>-5.293200000000002</x:v>
      </x:c>
      <x:c r="M3364" t="n">
        <x:v>2016</x:v>
      </x:c>
      <x:c r="N3364" s="20" t="n">
        <x:v>42491</x:v>
      </x:c>
    </x:row>
    <x:row r="3365" ht="18" customHeight="1">
      <x:c r="A3365" t="str">
        <x:v>CA-2016-139234</x:v>
      </x:c>
      <x:c r="B3365" s="18" t="n">
        <x:v>42496</x:v>
      </x:c>
      <x:c r="C3365" t="str">
        <x:v>AF-10870</x:v>
      </x:c>
      <x:c r="D3365" t="str">
        <x:v>Art Ferguson</x:v>
      </x:c>
      <x:c r="E3365" t="str">
        <x:v>Consumer</x:v>
      </x:c>
      <x:c r="F3365" t="str">
        <x:v>Central</x:v>
      </x:c>
      <x:c r="G3365" t="str">
        <x:v>Technology</x:v>
      </x:c>
      <x:c r="H3365" t="str">
        <x:v>Accessories</x:v>
      </x:c>
      <x:c r="I3365" s="22" t="n">
        <x:v>26.176000000000002</x:v>
      </x:c>
      <x:c r="J3365" s="24" t="n">
        <x:v>2</x:v>
      </x:c>
      <x:c r="K3365" s="26" t="n">
        <x:v>0.2</x:v>
      </x:c>
      <x:c r="L3365" s="22" t="n">
        <x:v>-3.272000000000002</x:v>
      </x:c>
      <x:c r="M3365" t="n">
        <x:v>2016</x:v>
      </x:c>
      <x:c r="N3365" s="20" t="n">
        <x:v>42491</x:v>
      </x:c>
    </x:row>
    <x:row r="3366" ht="18" customHeight="1">
      <x:c r="A3366" t="str">
        <x:v>US-2015-142020</x:v>
      </x:c>
      <x:c r="B3366" s="18" t="n">
        <x:v>42159</x:v>
      </x:c>
      <x:c r="C3366" t="str">
        <x:v>TC-21535</x:v>
      </x:c>
      <x:c r="D3366" t="str">
        <x:v>Tracy Collins</x:v>
      </x:c>
      <x:c r="E3366" t="str">
        <x:v>Home Office</x:v>
      </x:c>
      <x:c r="F3366" t="str">
        <x:v>East</x:v>
      </x:c>
      <x:c r="G3366" t="str">
        <x:v>Office Supplies</x:v>
      </x:c>
      <x:c r="H3366" t="str">
        <x:v>Paper</x:v>
      </x:c>
      <x:c r="I3366" s="22" t="n">
        <x:v>30.44</x:v>
      </x:c>
      <x:c r="J3366" s="24" t="n">
        <x:v>4</x:v>
      </x:c>
      <x:c r="K3366" s="26" t="n">
        <x:v>0</x:v>
      </x:c>
      <x:c r="L3366" s="22" t="n">
        <x:v>14.306799999999999</x:v>
      </x:c>
      <x:c r="M3366" t="n">
        <x:v>2015</x:v>
      </x:c>
      <x:c r="N3366" s="20" t="n">
        <x:v>42156</x:v>
      </x:c>
    </x:row>
    <x:row r="3367" ht="18" customHeight="1">
      <x:c r="A3367" t="str">
        <x:v>US-2015-142020</x:v>
      </x:c>
      <x:c r="B3367" s="18" t="n">
        <x:v>42159</x:v>
      </x:c>
      <x:c r="C3367" t="str">
        <x:v>TC-21535</x:v>
      </x:c>
      <x:c r="D3367" t="str">
        <x:v>Tracy Collins</x:v>
      </x:c>
      <x:c r="E3367" t="str">
        <x:v>Home Office</x:v>
      </x:c>
      <x:c r="F3367" t="str">
        <x:v>East</x:v>
      </x:c>
      <x:c r="G3367" t="str">
        <x:v>Furniture</x:v>
      </x:c>
      <x:c r="H3367" t="str">
        <x:v>Furnishings</x:v>
      </x:c>
      <x:c r="I3367" s="22" t="n">
        <x:v>35.28</x:v>
      </x:c>
      <x:c r="J3367" s="24" t="n">
        <x:v>3</x:v>
      </x:c>
      <x:c r="K3367" s="26" t="n">
        <x:v>0</x:v>
      </x:c>
      <x:c r="L3367" s="22" t="n">
        <x:v>11.995199999999997</x:v>
      </x:c>
      <x:c r="M3367" t="n">
        <x:v>2015</x:v>
      </x:c>
      <x:c r="N3367" s="20" t="n">
        <x:v>42156</x:v>
      </x:c>
    </x:row>
    <x:row r="3368" ht="18" customHeight="1">
      <x:c r="A3368" t="str">
        <x:v>CA-2015-139962</x:v>
      </x:c>
      <x:c r="B3368" s="18" t="n">
        <x:v>42351</x:v>
      </x:c>
      <x:c r="C3368" t="str">
        <x:v>Dp-13240</x:v>
      </x:c>
      <x:c r="D3368" t="str">
        <x:v>Dean percer</x:v>
      </x:c>
      <x:c r="E3368" t="str">
        <x:v>Home Office</x:v>
      </x:c>
      <x:c r="F3368" t="str">
        <x:v>East</x:v>
      </x:c>
      <x:c r="G3368" t="str">
        <x:v>Office Supplies</x:v>
      </x:c>
      <x:c r="H3368" t="str">
        <x:v>Paper</x:v>
      </x:c>
      <x:c r="I3368" s="22" t="n">
        <x:v>19.44</x:v>
      </x:c>
      <x:c r="J3368" s="24" t="n">
        <x:v>3</x:v>
      </x:c>
      <x:c r="K3368" s="26" t="n">
        <x:v>0</x:v>
      </x:c>
      <x:c r="L3368" s="22" t="n">
        <x:v>9.3312</x:v>
      </x:c>
      <x:c r="M3368" t="n">
        <x:v>2015</x:v>
      </x:c>
      <x:c r="N3368" s="20" t="n">
        <x:v>42339</x:v>
      </x:c>
    </x:row>
    <x:row r="3369" ht="18" customHeight="1">
      <x:c r="A3369" t="str">
        <x:v>CA-2015-139962</x:v>
      </x:c>
      <x:c r="B3369" s="18" t="n">
        <x:v>42351</x:v>
      </x:c>
      <x:c r="C3369" t="str">
        <x:v>Dp-13240</x:v>
      </x:c>
      <x:c r="D3369" t="str">
        <x:v>Dean percer</x:v>
      </x:c>
      <x:c r="E3369" t="str">
        <x:v>Home Office</x:v>
      </x:c>
      <x:c r="F3369" t="str">
        <x:v>East</x:v>
      </x:c>
      <x:c r="G3369" t="str">
        <x:v>Office Supplies</x:v>
      </x:c>
      <x:c r="H3369" t="str">
        <x:v>Binders</x:v>
      </x:c>
      <x:c r="I3369" s="22" t="n">
        <x:v>37.88</x:v>
      </x:c>
      <x:c r="J3369" s="24" t="n">
        <x:v>2</x:v>
      </x:c>
      <x:c r="K3369" s="26" t="n">
        <x:v>0</x:v>
      </x:c>
      <x:c r="L3369" s="22" t="n">
        <x:v>18.94</x:v>
      </x:c>
      <x:c r="M3369" t="n">
        <x:v>2015</x:v>
      </x:c>
      <x:c r="N3369" s="20" t="n">
        <x:v>42339</x:v>
      </x:c>
    </x:row>
    <x:row r="3370" ht="18" customHeight="1">
      <x:c r="A3370" t="str">
        <x:v>CA-2016-130050</x:v>
      </x:c>
      <x:c r="B3370" s="18" t="n">
        <x:v>42567</x:v>
      </x:c>
      <x:c r="C3370" t="str">
        <x:v>MC-17425</x:v>
      </x:c>
      <x:c r="D3370" t="str">
        <x:v>Mark Cousins</x:v>
      </x:c>
      <x:c r="E3370" t="str">
        <x:v>Corporate</x:v>
      </x:c>
      <x:c r="F3370" t="str">
        <x:v>Central</x:v>
      </x:c>
      <x:c r="G3370" t="str">
        <x:v>Furniture</x:v>
      </x:c>
      <x:c r="H3370" t="str">
        <x:v>Furnishings</x:v>
      </x:c>
      <x:c r="I3370" s="22" t="n">
        <x:v>9.552</x:v>
      </x:c>
      <x:c r="J3370" s="24" t="n">
        <x:v>3</x:v>
      </x:c>
      <x:c r="K3370" s="26" t="n">
        <x:v>0.6</x:v>
      </x:c>
      <x:c r="L3370" s="22" t="n">
        <x:v>-3.8207999999999984</x:v>
      </x:c>
      <x:c r="M3370" t="n">
        <x:v>2016</x:v>
      </x:c>
      <x:c r="N3370" s="20" t="n">
        <x:v>42552</x:v>
      </x:c>
    </x:row>
    <x:row r="3371" ht="18" customHeight="1">
      <x:c r="A3371" t="str">
        <x:v>CA-2014-115161</x:v>
      </x:c>
      <x:c r="B3371" s="18" t="n">
        <x:v>41670</x:v>
      </x:c>
      <x:c r="C3371" t="str">
        <x:v>LC-17050</x:v>
      </x:c>
      <x:c r="D3371" t="str">
        <x:v>Liz Carlisle</x:v>
      </x:c>
      <x:c r="E3371" t="str">
        <x:v>Consumer</x:v>
      </x:c>
      <x:c r="F3371" t="str">
        <x:v>West</x:v>
      </x:c>
      <x:c r="G3371" t="str">
        <x:v>Furniture</x:v>
      </x:c>
      <x:c r="H3371" t="str">
        <x:v>Bookcases</x:v>
      </x:c>
      <x:c r="I3371" s="22" t="n">
        <x:v>290.666</x:v>
      </x:c>
      <x:c r="J3371" s="24" t="n">
        <x:v>2</x:v>
      </x:c>
      <x:c r="K3371" s="26" t="n">
        <x:v>0.15</x:v>
      </x:c>
      <x:c r="L3371" s="22" t="n">
        <x:v>3.4195999999999884</x:v>
      </x:c>
      <x:c r="M3371" t="n">
        <x:v>2014</x:v>
      </x:c>
      <x:c r="N3371" s="20" t="n">
        <x:v>41640</x:v>
      </x:c>
    </x:row>
    <x:row r="3372" ht="18" customHeight="1">
      <x:c r="A3372" t="str">
        <x:v>CA-2014-165379</x:v>
      </x:c>
      <x:c r="B3372" s="18" t="n">
        <x:v>41829</x:v>
      </x:c>
      <x:c r="C3372" t="str">
        <x:v>BM-11650</x:v>
      </x:c>
      <x:c r="D3372" t="str">
        <x:v>Brian Moss</x:v>
      </x:c>
      <x:c r="E3372" t="str">
        <x:v>Corporate</x:v>
      </x:c>
      <x:c r="F3372" t="str">
        <x:v>Central</x:v>
      </x:c>
      <x:c r="G3372" t="str">
        <x:v>Office Supplies</x:v>
      </x:c>
      <x:c r="H3372" t="str">
        <x:v>Paper</x:v>
      </x:c>
      <x:c r="I3372" s="22" t="n">
        <x:v>10.368000000000002</x:v>
      </x:c>
      <x:c r="J3372" s="24" t="n">
        <x:v>2</x:v>
      </x:c>
      <x:c r="K3372" s="26" t="n">
        <x:v>0.2</x:v>
      </x:c>
      <x:c r="L3372" s="22" t="n">
        <x:v>3.6288</x:v>
      </x:c>
      <x:c r="M3372" t="n">
        <x:v>2014</x:v>
      </x:c>
      <x:c r="N3372" s="20" t="n">
        <x:v>41821</x:v>
      </x:c>
    </x:row>
    <x:row r="3373" ht="18" customHeight="1">
      <x:c r="A3373" t="str">
        <x:v>CA-2014-165379</x:v>
      </x:c>
      <x:c r="B3373" s="18" t="n">
        <x:v>41829</x:v>
      </x:c>
      <x:c r="C3373" t="str">
        <x:v>BM-11650</x:v>
      </x:c>
      <x:c r="D3373" t="str">
        <x:v>Brian Moss</x:v>
      </x:c>
      <x:c r="E3373" t="str">
        <x:v>Corporate</x:v>
      </x:c>
      <x:c r="F3373" t="str">
        <x:v>Central</x:v>
      </x:c>
      <x:c r="G3373" t="str">
        <x:v>Office Supplies</x:v>
      </x:c>
      <x:c r="H3373" t="str">
        <x:v>Paper</x:v>
      </x:c>
      <x:c r="I3373" s="22" t="n">
        <x:v>14.352000000000002</x:v>
      </x:c>
      <x:c r="J3373" s="24" t="n">
        <x:v>3</x:v>
      </x:c>
      <x:c r="K3373" s="26" t="n">
        <x:v>0.2</x:v>
      </x:c>
      <x:c r="L3373" s="22" t="n">
        <x:v>4.484999999999999</x:v>
      </x:c>
      <x:c r="M3373" t="n">
        <x:v>2014</x:v>
      </x:c>
      <x:c r="N3373" s="20" t="n">
        <x:v>41821</x:v>
      </x:c>
    </x:row>
    <x:row r="3374" ht="18" customHeight="1">
      <x:c r="A3374" t="str">
        <x:v>CA-2015-115511</x:v>
      </x:c>
      <x:c r="B3374" s="18" t="n">
        <x:v>42329</x:v>
      </x:c>
      <x:c r="C3374" t="str">
        <x:v>NW-18400</x:v>
      </x:c>
      <x:c r="D3374" t="str">
        <x:v>Natalie Webber</x:v>
      </x:c>
      <x:c r="E3374" t="str">
        <x:v>Consumer</x:v>
      </x:c>
      <x:c r="F3374" t="str">
        <x:v>West</x:v>
      </x:c>
      <x:c r="G3374" t="str">
        <x:v>Furniture</x:v>
      </x:c>
      <x:c r="H3374" t="str">
        <x:v>Bookcases</x:v>
      </x:c>
      <x:c r="I3374" s="22" t="n">
        <x:v>141.96</x:v>
      </x:c>
      <x:c r="J3374" s="24" t="n">
        <x:v>2</x:v>
      </x:c>
      <x:c r="K3374" s="26" t="n">
        <x:v>0</x:v>
      </x:c>
      <x:c r="L3374" s="22" t="n">
        <x:v>41.16839999999999</x:v>
      </x:c>
      <x:c r="M3374" t="n">
        <x:v>2015</x:v>
      </x:c>
      <x:c r="N3374" s="20" t="n">
        <x:v>42309</x:v>
      </x:c>
    </x:row>
    <x:row r="3375" ht="18" customHeight="1">
      <x:c r="A3375" t="str">
        <x:v>CA-2015-115511</x:v>
      </x:c>
      <x:c r="B3375" s="18" t="n">
        <x:v>42329</x:v>
      </x:c>
      <x:c r="C3375" t="str">
        <x:v>NW-18400</x:v>
      </x:c>
      <x:c r="D3375" t="str">
        <x:v>Natalie Webber</x:v>
      </x:c>
      <x:c r="E3375" t="str">
        <x:v>Consumer</x:v>
      </x:c>
      <x:c r="F3375" t="str">
        <x:v>West</x:v>
      </x:c>
      <x:c r="G3375" t="str">
        <x:v>Office Supplies</x:v>
      </x:c>
      <x:c r="H3375" t="str">
        <x:v>Binders</x:v>
      </x:c>
      <x:c r="I3375" s="22" t="n">
        <x:v>66.048</x:v>
      </x:c>
      <x:c r="J3375" s="24" t="n">
        <x:v>4</x:v>
      </x:c>
      <x:c r="K3375" s="26" t="n">
        <x:v>0.2</x:v>
      </x:c>
      <x:c r="L3375" s="22" t="n">
        <x:v>23.116799999999998</x:v>
      </x:c>
      <x:c r="M3375" t="n">
        <x:v>2015</x:v>
      </x:c>
      <x:c r="N3375" s="20" t="n">
        <x:v>42309</x:v>
      </x:c>
    </x:row>
    <x:row r="3376" ht="18" customHeight="1">
      <x:c r="A3376" t="str">
        <x:v>CA-2016-134887</x:v>
      </x:c>
      <x:c r="B3376" s="18" t="n">
        <x:v>42454</x:v>
      </x:c>
      <x:c r="C3376" t="str">
        <x:v>TB-21280</x:v>
      </x:c>
      <x:c r="D3376" t="str">
        <x:v>Toby Braunhardt</x:v>
      </x:c>
      <x:c r="E3376" t="str">
        <x:v>Consumer</x:v>
      </x:c>
      <x:c r="F3376" t="str">
        <x:v>Central</x:v>
      </x:c>
      <x:c r="G3376" t="str">
        <x:v>Technology</x:v>
      </x:c>
      <x:c r="H3376" t="str">
        <x:v>Accessories</x:v>
      </x:c>
      <x:c r="I3376" s="22" t="n">
        <x:v>1287.45</x:v>
      </x:c>
      <x:c r="J3376" s="24" t="n">
        <x:v>5</x:v>
      </x:c>
      <x:c r="K3376" s="26" t="n">
        <x:v>0</x:v>
      </x:c>
      <x:c r="L3376" s="22" t="n">
        <x:v>244.61549999999988</x:v>
      </x:c>
      <x:c r="M3376" t="n">
        <x:v>2016</x:v>
      </x:c>
      <x:c r="N3376" s="20" t="n">
        <x:v>42430</x:v>
      </x:c>
    </x:row>
    <x:row r="3377" ht="18" customHeight="1">
      <x:c r="A3377" t="str">
        <x:v>CA-2017-123778</x:v>
      </x:c>
      <x:c r="B3377" s="18" t="n">
        <x:v>43001</x:v>
      </x:c>
      <x:c r="C3377" t="str">
        <x:v>BS-11755</x:v>
      </x:c>
      <x:c r="D3377" t="str">
        <x:v>Bruce Stewart</x:v>
      </x:c>
      <x:c r="E3377" t="str">
        <x:v>Consumer</x:v>
      </x:c>
      <x:c r="F3377" t="str">
        <x:v>West</x:v>
      </x:c>
      <x:c r="G3377" t="str">
        <x:v>Office Supplies</x:v>
      </x:c>
      <x:c r="H3377" t="str">
        <x:v>Binders</x:v>
      </x:c>
      <x:c r="I3377" s="22" t="n">
        <x:v>25.824</x:v>
      </x:c>
      <x:c r="J3377" s="24" t="n">
        <x:v>6</x:v>
      </x:c>
      <x:c r="K3377" s="26" t="n">
        <x:v>0.2</x:v>
      </x:c>
      <x:c r="L3377" s="22" t="n">
        <x:v>9.0384</x:v>
      </x:c>
      <x:c r="M3377" t="n">
        <x:v>2017</x:v>
      </x:c>
      <x:c r="N3377" s="20" t="n">
        <x:v>42979</x:v>
      </x:c>
    </x:row>
    <x:row r="3378" ht="18" customHeight="1">
      <x:c r="A3378" t="str">
        <x:v>CA-2017-123778</x:v>
      </x:c>
      <x:c r="B3378" s="18" t="n">
        <x:v>43001</x:v>
      </x:c>
      <x:c r="C3378" t="str">
        <x:v>BS-11755</x:v>
      </x:c>
      <x:c r="D3378" t="str">
        <x:v>Bruce Stewart</x:v>
      </x:c>
      <x:c r="E3378" t="str">
        <x:v>Consumer</x:v>
      </x:c>
      <x:c r="F3378" t="str">
        <x:v>West</x:v>
      </x:c>
      <x:c r="G3378" t="str">
        <x:v>Office Supplies</x:v>
      </x:c>
      <x:c r="H3378" t="str">
        <x:v>Appliances</x:v>
      </x:c>
      <x:c r="I3378" s="22" t="n">
        <x:v>160.96</x:v>
      </x:c>
      <x:c r="J3378" s="24" t="n">
        <x:v>2</x:v>
      </x:c>
      <x:c r="K3378" s="26" t="n">
        <x:v>0</x:v>
      </x:c>
      <x:c r="L3378" s="22" t="n">
        <x:v>48.288</x:v>
      </x:c>
      <x:c r="M3378" t="n">
        <x:v>2017</x:v>
      </x:c>
      <x:c r="N3378" s="20" t="n">
        <x:v>42979</x:v>
      </x:c>
    </x:row>
    <x:row r="3379" ht="18" customHeight="1">
      <x:c r="A3379" t="str">
        <x:v>CA-2015-161718</x:v>
      </x:c>
      <x:c r="B3379" s="18" t="n">
        <x:v>42342</x:v>
      </x:c>
      <x:c r="C3379" t="str">
        <x:v>SO-20335</x:v>
      </x:c>
      <x:c r="D3379" t="str">
        <x:v>Sean O'Donnell</x:v>
      </x:c>
      <x:c r="E3379" t="str">
        <x:v>Consumer</x:v>
      </x:c>
      <x:c r="F3379" t="str">
        <x:v>East</x:v>
      </x:c>
      <x:c r="G3379" t="str">
        <x:v>Furniture</x:v>
      </x:c>
      <x:c r="H3379" t="str">
        <x:v>Furnishings</x:v>
      </x:c>
      <x:c r="I3379" s="22" t="n">
        <x:v>28.44</x:v>
      </x:c>
      <x:c r="J3379" s="24" t="n">
        <x:v>3</x:v>
      </x:c>
      <x:c r="K3379" s="26" t="n">
        <x:v>0</x:v>
      </x:c>
      <x:c r="L3379" s="22" t="n">
        <x:v>11.376000000000001</x:v>
      </x:c>
      <x:c r="M3379" t="n">
        <x:v>2015</x:v>
      </x:c>
      <x:c r="N3379" s="20" t="n">
        <x:v>42339</x:v>
      </x:c>
    </x:row>
    <x:row r="3380" ht="18" customHeight="1">
      <x:c r="A3380" t="str">
        <x:v>CA-2015-161718</x:v>
      </x:c>
      <x:c r="B3380" s="18" t="n">
        <x:v>42342</x:v>
      </x:c>
      <x:c r="C3380" t="str">
        <x:v>SO-20335</x:v>
      </x:c>
      <x:c r="D3380" t="str">
        <x:v>Sean O'Donnell</x:v>
      </x:c>
      <x:c r="E3380" t="str">
        <x:v>Consumer</x:v>
      </x:c>
      <x:c r="F3380" t="str">
        <x:v>East</x:v>
      </x:c>
      <x:c r="G3380" t="str">
        <x:v>Furniture</x:v>
      </x:c>
      <x:c r="H3380" t="str">
        <x:v>Chairs</x:v>
      </x:c>
      <x:c r="I3380" s="22" t="n">
        <x:v>364.41</x:v>
      </x:c>
      <x:c r="J3380" s="24" t="n">
        <x:v>5</x:v>
      </x:c>
      <x:c r="K3380" s="26" t="n">
        <x:v>0.1</x:v>
      </x:c>
      <x:c r="L3380" s="22" t="n">
        <x:v>8.09800000000002</x:v>
      </x:c>
      <x:c r="M3380" t="n">
        <x:v>2015</x:v>
      </x:c>
      <x:c r="N3380" s="20" t="n">
        <x:v>42339</x:v>
      </x:c>
    </x:row>
    <x:row r="3381" ht="18" customHeight="1">
      <x:c r="A3381" t="str">
        <x:v>CA-2015-161718</x:v>
      </x:c>
      <x:c r="B3381" s="18" t="n">
        <x:v>42342</x:v>
      </x:c>
      <x:c r="C3381" t="str">
        <x:v>SO-20335</x:v>
      </x:c>
      <x:c r="D3381" t="str">
        <x:v>Sean O'Donnell</x:v>
      </x:c>
      <x:c r="E3381" t="str">
        <x:v>Consumer</x:v>
      </x:c>
      <x:c r="F3381" t="str">
        <x:v>East</x:v>
      </x:c>
      <x:c r="G3381" t="str">
        <x:v>Technology</x:v>
      </x:c>
      <x:c r="H3381" t="str">
        <x:v>Phones</x:v>
      </x:c>
      <x:c r="I3381" s="22" t="n">
        <x:v>39.96</x:v>
      </x:c>
      <x:c r="J3381" s="24" t="n">
        <x:v>4</x:v>
      </x:c>
      <x:c r="K3381" s="26" t="n">
        <x:v>0</x:v>
      </x:c>
      <x:c r="L3381" s="22" t="n">
        <x:v>10.389600000000002</x:v>
      </x:c>
      <x:c r="M3381" t="n">
        <x:v>2015</x:v>
      </x:c>
      <x:c r="N3381" s="20" t="n">
        <x:v>42339</x:v>
      </x:c>
    </x:row>
    <x:row r="3382" ht="18" customHeight="1">
      <x:c r="A3382" t="str">
        <x:v>CA-2015-161718</x:v>
      </x:c>
      <x:c r="B3382" s="18" t="n">
        <x:v>42342</x:v>
      </x:c>
      <x:c r="C3382" t="str">
        <x:v>SO-20335</x:v>
      </x:c>
      <x:c r="D3382" t="str">
        <x:v>Sean O'Donnell</x:v>
      </x:c>
      <x:c r="E3382" t="str">
        <x:v>Consumer</x:v>
      </x:c>
      <x:c r="F3382" t="str">
        <x:v>East</x:v>
      </x:c>
      <x:c r="G3382" t="str">
        <x:v>Furniture</x:v>
      </x:c>
      <x:c r="H3382" t="str">
        <x:v>Chairs</x:v>
      </x:c>
      <x:c r="I3382" s="22" t="n">
        <x:v>361.764</x:v>
      </x:c>
      <x:c r="J3382" s="24" t="n">
        <x:v>2</x:v>
      </x:c>
      <x:c r="K3382" s="26" t="n">
        <x:v>0.1</x:v>
      </x:c>
      <x:c r="L3382" s="22" t="n">
        <x:v>68.3332</x:v>
      </x:c>
      <x:c r="M3382" t="n">
        <x:v>2015</x:v>
      </x:c>
      <x:c r="N3382" s="20" t="n">
        <x:v>42339</x:v>
      </x:c>
    </x:row>
    <x:row r="3383" ht="18" customHeight="1">
      <x:c r="A3383" t="str">
        <x:v>CA-2016-100671</x:v>
      </x:c>
      <x:c r="B3383" s="18" t="n">
        <x:v>42675</x:v>
      </x:c>
      <x:c r="C3383" t="str">
        <x:v>CS-12490</x:v>
      </x:c>
      <x:c r="D3383" t="str">
        <x:v>Cindy Schnelling</x:v>
      </x:c>
      <x:c r="E3383" t="str">
        <x:v>Corporate</x:v>
      </x:c>
      <x:c r="F3383" t="str">
        <x:v>Central</x:v>
      </x:c>
      <x:c r="G3383" t="str">
        <x:v>Office Supplies</x:v>
      </x:c>
      <x:c r="H3383" t="str">
        <x:v>Storage</x:v>
      </x:c>
      <x:c r="I3383" s="22" t="n">
        <x:v>111.67200000000001</x:v>
      </x:c>
      <x:c r="J3383" s="24" t="n">
        <x:v>9</x:v>
      </x:c>
      <x:c r="K3383" s="26" t="n">
        <x:v>0.2</x:v>
      </x:c>
      <x:c r="L3383" s="22" t="n">
        <x:v>6.979499999999991</x:v>
      </x:c>
      <x:c r="M3383" t="n">
        <x:v>2016</x:v>
      </x:c>
      <x:c r="N3383" s="20" t="n">
        <x:v>42675</x:v>
      </x:c>
    </x:row>
    <x:row r="3384" ht="18" customHeight="1">
      <x:c r="A3384" t="str">
        <x:v>CA-2017-142867</x:v>
      </x:c>
      <x:c r="B3384" s="18" t="n">
        <x:v>42811</x:v>
      </x:c>
      <x:c r="C3384" t="str">
        <x:v>PO-19180</x:v>
      </x:c>
      <x:c r="D3384" t="str">
        <x:v>Philisse Overcash</x:v>
      </x:c>
      <x:c r="E3384" t="str">
        <x:v>Home Office</x:v>
      </x:c>
      <x:c r="F3384" t="str">
        <x:v>Central</x:v>
      </x:c>
      <x:c r="G3384" t="str">
        <x:v>Office Supplies</x:v>
      </x:c>
      <x:c r="H3384" t="str">
        <x:v>Binders</x:v>
      </x:c>
      <x:c r="I3384" s="22" t="n">
        <x:v>13.775999999999996</x:v>
      </x:c>
      <x:c r="J3384" s="24" t="n">
        <x:v>6</x:v>
      </x:c>
      <x:c r="K3384" s="26" t="n">
        <x:v>0.8</x:v>
      </x:c>
      <x:c r="L3384" s="22" t="n">
        <x:v>-22.04160000000001</x:v>
      </x:c>
      <x:c r="M3384" t="n">
        <x:v>2017</x:v>
      </x:c>
      <x:c r="N3384" s="20" t="n">
        <x:v>42795</x:v>
      </x:c>
    </x:row>
    <x:row r="3385" ht="18" customHeight="1">
      <x:c r="A3385" t="str">
        <x:v>CA-2017-142867</x:v>
      </x:c>
      <x:c r="B3385" s="18" t="n">
        <x:v>42811</x:v>
      </x:c>
      <x:c r="C3385" t="str">
        <x:v>PO-19180</x:v>
      </x:c>
      <x:c r="D3385" t="str">
        <x:v>Philisse Overcash</x:v>
      </x:c>
      <x:c r="E3385" t="str">
        <x:v>Home Office</x:v>
      </x:c>
      <x:c r="F3385" t="str">
        <x:v>Central</x:v>
      </x:c>
      <x:c r="G3385" t="str">
        <x:v>Office Supplies</x:v>
      </x:c>
      <x:c r="H3385" t="str">
        <x:v>Paper</x:v>
      </x:c>
      <x:c r="I3385" s="22" t="n">
        <x:v>10.272000000000002</x:v>
      </x:c>
      <x:c r="J3385" s="24" t="n">
        <x:v>3</x:v>
      </x:c>
      <x:c r="K3385" s="26" t="n">
        <x:v>0.2</x:v>
      </x:c>
      <x:c r="L3385" s="22" t="n">
        <x:v>3.209999999999998</x:v>
      </x:c>
      <x:c r="M3385" t="n">
        <x:v>2017</x:v>
      </x:c>
      <x:c r="N3385" s="20" t="n">
        <x:v>42795</x:v>
      </x:c>
    </x:row>
    <x:row r="3386" ht="18" customHeight="1">
      <x:c r="A3386" t="str">
        <x:v>CA-2017-103156</x:v>
      </x:c>
      <x:c r="B3386" s="18" t="n">
        <x:v>43062</x:v>
      </x:c>
      <x:c r="C3386" t="str">
        <x:v>TD-20995</x:v>
      </x:c>
      <x:c r="D3386" t="str">
        <x:v>Tamara Dahlen</x:v>
      </x:c>
      <x:c r="E3386" t="str">
        <x:v>Consumer</x:v>
      </x:c>
      <x:c r="F3386" t="str">
        <x:v>East</x:v>
      </x:c>
      <x:c r="G3386" t="str">
        <x:v>Furniture</x:v>
      </x:c>
      <x:c r="H3386" t="str">
        <x:v>Furnishings</x:v>
      </x:c>
      <x:c r="I3386" s="22" t="n">
        <x:v>24.048000000000002</x:v>
      </x:c>
      <x:c r="J3386" s="24" t="n">
        <x:v>9</x:v>
      </x:c>
      <x:c r="K3386" s="26" t="n">
        <x:v>0.2</x:v>
      </x:c>
      <x:c r="L3386" s="22" t="n">
        <x:v>7.214400000000001</x:v>
      </x:c>
      <x:c r="M3386" t="n">
        <x:v>2017</x:v>
      </x:c>
      <x:c r="N3386" s="20" t="n">
        <x:v>43040</x:v>
      </x:c>
    </x:row>
    <x:row r="3387" ht="18" customHeight="1">
      <x:c r="A3387" t="str">
        <x:v>US-2017-162208</x:v>
      </x:c>
      <x:c r="B3387" s="18" t="n">
        <x:v>42974</x:v>
      </x:c>
      <x:c r="C3387" t="str">
        <x:v>SP-20620</x:v>
      </x:c>
      <x:c r="D3387" t="str">
        <x:v>Stefania Perrino</x:v>
      </x:c>
      <x:c r="E3387" t="str">
        <x:v>Corporate</x:v>
      </x:c>
      <x:c r="F3387" t="str">
        <x:v>South</x:v>
      </x:c>
      <x:c r="G3387" t="str">
        <x:v>Office Supplies</x:v>
      </x:c>
      <x:c r="H3387" t="str">
        <x:v>Envelopes</x:v>
      </x:c>
      <x:c r="I3387" s="22" t="n">
        <x:v>2.8960000000000004</x:v>
      </x:c>
      <x:c r="J3387" s="24" t="n">
        <x:v>1</x:v>
      </x:c>
      <x:c r="K3387" s="26" t="n">
        <x:v>0.2</x:v>
      </x:c>
      <x:c r="L3387" s="22" t="n">
        <x:v>0.9773999999999999</x:v>
      </x:c>
      <x:c r="M3387" t="n">
        <x:v>2017</x:v>
      </x:c>
      <x:c r="N3387" s="20" t="n">
        <x:v>42948</x:v>
      </x:c>
    </x:row>
    <x:row r="3388" ht="18" customHeight="1">
      <x:c r="A3388" t="str">
        <x:v>CA-2015-130659</x:v>
      </x:c>
      <x:c r="B3388" s="18" t="n">
        <x:v>42342</x:v>
      </x:c>
      <x:c r="C3388" t="str">
        <x:v>MS-17365</x:v>
      </x:c>
      <x:c r="D3388" t="str">
        <x:v>Maribeth Schnelling</x:v>
      </x:c>
      <x:c r="E3388" t="str">
        <x:v>Consumer</x:v>
      </x:c>
      <x:c r="F3388" t="str">
        <x:v>East</x:v>
      </x:c>
      <x:c r="G3388" t="str">
        <x:v>Office Supplies</x:v>
      </x:c>
      <x:c r="H3388" t="str">
        <x:v>Envelopes</x:v>
      </x:c>
      <x:c r="I3388" s="22" t="n">
        <x:v>17.94</x:v>
      </x:c>
      <x:c r="J3388" s="24" t="n">
        <x:v>3</x:v>
      </x:c>
      <x:c r="K3388" s="26" t="n">
        <x:v>0</x:v>
      </x:c>
      <x:c r="L3388" s="22" t="n">
        <x:v>8.790600000000001</x:v>
      </x:c>
      <x:c r="M3388" t="n">
        <x:v>2015</x:v>
      </x:c>
      <x:c r="N3388" s="20" t="n">
        <x:v>42339</x:v>
      </x:c>
    </x:row>
    <x:row r="3389" ht="18" customHeight="1">
      <x:c r="A3389" t="str">
        <x:v>CA-2015-130659</x:v>
      </x:c>
      <x:c r="B3389" s="18" t="n">
        <x:v>42342</x:v>
      </x:c>
      <x:c r="C3389" t="str">
        <x:v>MS-17365</x:v>
      </x:c>
      <x:c r="D3389" t="str">
        <x:v>Maribeth Schnelling</x:v>
      </x:c>
      <x:c r="E3389" t="str">
        <x:v>Consumer</x:v>
      </x:c>
      <x:c r="F3389" t="str">
        <x:v>East</x:v>
      </x:c>
      <x:c r="G3389" t="str">
        <x:v>Furniture</x:v>
      </x:c>
      <x:c r="H3389" t="str">
        <x:v>Chairs</x:v>
      </x:c>
      <x:c r="I3389" s="22" t="n">
        <x:v>384.174</x:v>
      </x:c>
      <x:c r="J3389" s="24" t="n">
        <x:v>7</x:v>
      </x:c>
      <x:c r="K3389" s="26" t="n">
        <x:v>0.1</x:v>
      </x:c>
      <x:c r="L3389" s="22" t="n">
        <x:v>29.88019999999998</x:v>
      </x:c>
      <x:c r="M3389" t="n">
        <x:v>2015</x:v>
      </x:c>
      <x:c r="N3389" s="20" t="n">
        <x:v>42339</x:v>
      </x:c>
    </x:row>
    <x:row r="3390" ht="18" customHeight="1">
      <x:c r="A3390" t="str">
        <x:v>CA-2015-130659</x:v>
      </x:c>
      <x:c r="B3390" s="18" t="n">
        <x:v>42342</x:v>
      </x:c>
      <x:c r="C3390" t="str">
        <x:v>MS-17365</x:v>
      </x:c>
      <x:c r="D3390" t="str">
        <x:v>Maribeth Schnelling</x:v>
      </x:c>
      <x:c r="E3390" t="str">
        <x:v>Consumer</x:v>
      </x:c>
      <x:c r="F3390" t="str">
        <x:v>East</x:v>
      </x:c>
      <x:c r="G3390" t="str">
        <x:v>Technology</x:v>
      </x:c>
      <x:c r="H3390" t="str">
        <x:v>Phones</x:v>
      </x:c>
      <x:c r="I3390" s="22" t="n">
        <x:v>1799.75</x:v>
      </x:c>
      <x:c r="J3390" s="24" t="n">
        <x:v>5</x:v>
      </x:c>
      <x:c r="K3390" s="26" t="n">
        <x:v>0</x:v>
      </x:c>
      <x:c r="L3390" s="22" t="n">
        <x:v>539.925</x:v>
      </x:c>
      <x:c r="M3390" t="n">
        <x:v>2015</x:v>
      </x:c>
      <x:c r="N3390" s="20" t="n">
        <x:v>42339</x:v>
      </x:c>
    </x:row>
    <x:row r="3391" ht="18" customHeight="1">
      <x:c r="A3391" t="str">
        <x:v>CA-2017-148404</x:v>
      </x:c>
      <x:c r="B3391" s="18" t="n">
        <x:v>43015</x:v>
      </x:c>
      <x:c r="C3391" t="str">
        <x:v>Dp-13240</x:v>
      </x:c>
      <x:c r="D3391" t="str">
        <x:v>Dean percer</x:v>
      </x:c>
      <x:c r="E3391" t="str">
        <x:v>Home Office</x:v>
      </x:c>
      <x:c r="F3391" t="str">
        <x:v>South</x:v>
      </x:c>
      <x:c r="G3391" t="str">
        <x:v>Office Supplies</x:v>
      </x:c>
      <x:c r="H3391" t="str">
        <x:v>Storage</x:v>
      </x:c>
      <x:c r="I3391" s="22" t="n">
        <x:v>580.672</x:v>
      </x:c>
      <x:c r="J3391" s="24" t="n">
        <x:v>4</x:v>
      </x:c>
      <x:c r="K3391" s="26" t="n">
        <x:v>0.2</x:v>
      </x:c>
      <x:c r="L3391" s="22" t="n">
        <x:v>65.3255999999999</x:v>
      </x:c>
      <x:c r="M3391" t="n">
        <x:v>2017</x:v>
      </x:c>
      <x:c r="N3391" s="20" t="n">
        <x:v>43009</x:v>
      </x:c>
    </x:row>
    <x:row r="3392" ht="18" customHeight="1">
      <x:c r="A3392" t="str">
        <x:v>CA-2017-148404</x:v>
      </x:c>
      <x:c r="B3392" s="18" t="n">
        <x:v>43015</x:v>
      </x:c>
      <x:c r="C3392" t="str">
        <x:v>Dp-13240</x:v>
      </x:c>
      <x:c r="D3392" t="str">
        <x:v>Dean percer</x:v>
      </x:c>
      <x:c r="E3392" t="str">
        <x:v>Home Office</x:v>
      </x:c>
      <x:c r="F3392" t="str">
        <x:v>South</x:v>
      </x:c>
      <x:c r="G3392" t="str">
        <x:v>Office Supplies</x:v>
      </x:c>
      <x:c r="H3392" t="str">
        <x:v>Fasteners</x:v>
      </x:c>
      <x:c r="I3392" s="22" t="n">
        <x:v>18.936</x:v>
      </x:c>
      <x:c r="J3392" s="24" t="n">
        <x:v>3</x:v>
      </x:c>
      <x:c r="K3392" s="26" t="n">
        <x:v>0.2</x:v>
      </x:c>
      <x:c r="L3392" s="22" t="n">
        <x:v>5.917499999999999</x:v>
      </x:c>
      <x:c r="M3392" t="n">
        <x:v>2017</x:v>
      </x:c>
      <x:c r="N3392" s="20" t="n">
        <x:v>43009</x:v>
      </x:c>
    </x:row>
    <x:row r="3393" ht="18" customHeight="1">
      <x:c r="A3393" t="str">
        <x:v>CA-2017-148404</x:v>
      </x:c>
      <x:c r="B3393" s="18" t="n">
        <x:v>43015</x:v>
      </x:c>
      <x:c r="C3393" t="str">
        <x:v>Dp-13240</x:v>
      </x:c>
      <x:c r="D3393" t="str">
        <x:v>Dean percer</x:v>
      </x:c>
      <x:c r="E3393" t="str">
        <x:v>Home Office</x:v>
      </x:c>
      <x:c r="F3393" t="str">
        <x:v>South</x:v>
      </x:c>
      <x:c r="G3393" t="str">
        <x:v>Technology</x:v>
      </x:c>
      <x:c r="H3393" t="str">
        <x:v>Phones</x:v>
      </x:c>
      <x:c r="I3393" s="22" t="n">
        <x:v>222.38400000000001</x:v>
      </x:c>
      <x:c r="J3393" s="24" t="n">
        <x:v>2</x:v>
      </x:c>
      <x:c r="K3393" s="26" t="n">
        <x:v>0.2</x:v>
      </x:c>
      <x:c r="L3393" s="22" t="n">
        <x:v>16.678799999999995</x:v>
      </x:c>
      <x:c r="M3393" t="n">
        <x:v>2017</x:v>
      </x:c>
      <x:c r="N3393" s="20" t="n">
        <x:v>43009</x:v>
      </x:c>
    </x:row>
    <x:row r="3394" ht="18" customHeight="1">
      <x:c r="A3394" t="str">
        <x:v>CA-2017-148404</x:v>
      </x:c>
      <x:c r="B3394" s="18" t="n">
        <x:v>43015</x:v>
      </x:c>
      <x:c r="C3394" t="str">
        <x:v>Dp-13240</x:v>
      </x:c>
      <x:c r="D3394" t="str">
        <x:v>Dean percer</x:v>
      </x:c>
      <x:c r="E3394" t="str">
        <x:v>Home Office</x:v>
      </x:c>
      <x:c r="F3394" t="str">
        <x:v>South</x:v>
      </x:c>
      <x:c r="G3394" t="str">
        <x:v>Office Supplies</x:v>
      </x:c>
      <x:c r="H3394" t="str">
        <x:v>Binders</x:v>
      </x:c>
      <x:c r="I3394" s="22" t="n">
        <x:v>50.454000000000015</x:v>
      </x:c>
      <x:c r="J3394" s="24" t="n">
        <x:v>6</x:v>
      </x:c>
      <x:c r="K3394" s="26" t="n">
        <x:v>0.7</x:v>
      </x:c>
      <x:c r="L3394" s="22" t="n">
        <x:v>-33.635999999999996</x:v>
      </x:c>
      <x:c r="M3394" t="n">
        <x:v>2017</x:v>
      </x:c>
      <x:c r="N3394" s="20" t="n">
        <x:v>43009</x:v>
      </x:c>
    </x:row>
    <x:row r="3395" ht="18" customHeight="1">
      <x:c r="A3395" t="str">
        <x:v>CA-2017-148404</x:v>
      </x:c>
      <x:c r="B3395" s="18" t="n">
        <x:v>43015</x:v>
      </x:c>
      <x:c r="C3395" t="str">
        <x:v>Dp-13240</x:v>
      </x:c>
      <x:c r="D3395" t="str">
        <x:v>Dean percer</x:v>
      </x:c>
      <x:c r="E3395" t="str">
        <x:v>Home Office</x:v>
      </x:c>
      <x:c r="F3395" t="str">
        <x:v>South</x:v>
      </x:c>
      <x:c r="G3395" t="str">
        <x:v>Furniture</x:v>
      </x:c>
      <x:c r="H3395" t="str">
        <x:v>Tables</x:v>
      </x:c>
      <x:c r="I3395" s="22" t="n">
        <x:v>154.764</x:v>
      </x:c>
      <x:c r="J3395" s="24" t="n">
        <x:v>3</x:v>
      </x:c>
      <x:c r="K3395" s="26" t="n">
        <x:v>0.4</x:v>
      </x:c>
      <x:c r="L3395" s="22" t="n">
        <x:v>-36.11160000000001</x:v>
      </x:c>
      <x:c r="M3395" t="n">
        <x:v>2017</x:v>
      </x:c>
      <x:c r="N3395" s="20" t="n">
        <x:v>43009</x:v>
      </x:c>
    </x:row>
    <x:row r="3396" ht="18" customHeight="1">
      <x:c r="A3396" t="str">
        <x:v>CA-2017-101077</x:v>
      </x:c>
      <x:c r="B3396" s="18" t="n">
        <x:v>42819</x:v>
      </x:c>
      <x:c r="C3396" t="str">
        <x:v>DB-13660</x:v>
      </x:c>
      <x:c r="D3396" t="str">
        <x:v>Duane Benoit</x:v>
      </x:c>
      <x:c r="E3396" t="str">
        <x:v>Consumer</x:v>
      </x:c>
      <x:c r="F3396" t="str">
        <x:v>Central</x:v>
      </x:c>
      <x:c r="G3396" t="str">
        <x:v>Office Supplies</x:v>
      </x:c>
      <x:c r="H3396" t="str">
        <x:v>Paper</x:v>
      </x:c>
      <x:c r="I3396" s="22" t="n">
        <x:v>6.848000000000001</x:v>
      </x:c>
      <x:c r="J3396" s="24" t="n">
        <x:v>2</x:v>
      </x:c>
      <x:c r="K3396" s="26" t="n">
        <x:v>0.2</x:v>
      </x:c>
      <x:c r="L3396" s="22" t="n">
        <x:v>2.1399999999999992</x:v>
      </x:c>
      <x:c r="M3396" t="n">
        <x:v>2017</x:v>
      </x:c>
      <x:c r="N3396" s="20" t="n">
        <x:v>42795</x:v>
      </x:c>
    </x:row>
    <x:row r="3397" ht="18" customHeight="1">
      <x:c r="A3397" t="str">
        <x:v>CA-2014-166471</x:v>
      </x:c>
      <x:c r="B3397" s="18" t="n">
        <x:v>41860</x:v>
      </x:c>
      <x:c r="C3397" t="str">
        <x:v>MG-17650</x:v>
      </x:c>
      <x:c r="D3397" t="str">
        <x:v>Matthew Grinstein</x:v>
      </x:c>
      <x:c r="E3397" t="str">
        <x:v>Home Office</x:v>
      </x:c>
      <x:c r="F3397" t="str">
        <x:v>West</x:v>
      </x:c>
      <x:c r="G3397" t="str">
        <x:v>Technology</x:v>
      </x:c>
      <x:c r="H3397" t="str">
        <x:v>Phones</x:v>
      </x:c>
      <x:c r="I3397" s="22" t="n">
        <x:v>1091.1680000000001</x:v>
      </x:c>
      <x:c r="J3397" s="24" t="n">
        <x:v>4</x:v>
      </x:c>
      <x:c r="K3397" s="26" t="n">
        <x:v>0.2</x:v>
      </x:c>
      <x:c r="L3397" s="22" t="n">
        <x:v>68.19799999999998</x:v>
      </x:c>
      <x:c r="M3397" t="n">
        <x:v>2014</x:v>
      </x:c>
      <x:c r="N3397" s="20" t="n">
        <x:v>41852</x:v>
      </x:c>
    </x:row>
    <x:row r="3398" ht="18" customHeight="1">
      <x:c r="A3398" t="str">
        <x:v>CA-2014-166471</x:v>
      </x:c>
      <x:c r="B3398" s="18" t="n">
        <x:v>41860</x:v>
      </x:c>
      <x:c r="C3398" t="str">
        <x:v>MG-17650</x:v>
      </x:c>
      <x:c r="D3398" t="str">
        <x:v>Matthew Grinstein</x:v>
      </x:c>
      <x:c r="E3398" t="str">
        <x:v>Home Office</x:v>
      </x:c>
      <x:c r="F3398" t="str">
        <x:v>West</x:v>
      </x:c>
      <x:c r="G3398" t="str">
        <x:v>Technology</x:v>
      </x:c>
      <x:c r="H3398" t="str">
        <x:v>Phones</x:v>
      </x:c>
      <x:c r="I3398" s="22" t="n">
        <x:v>219.168</x:v>
      </x:c>
      <x:c r="J3398" s="24" t="n">
        <x:v>2</x:v>
      </x:c>
      <x:c r="K3398" s="26" t="n">
        <x:v>0.2</x:v>
      </x:c>
      <x:c r="L3398" s="22" t="n">
        <x:v>-43.83360000000002</x:v>
      </x:c>
      <x:c r="M3398" t="n">
        <x:v>2014</x:v>
      </x:c>
      <x:c r="N3398" s="20" t="n">
        <x:v>41852</x:v>
      </x:c>
    </x:row>
    <x:row r="3399" ht="18" customHeight="1">
      <x:c r="A3399" t="str">
        <x:v>CA-2014-105340</x:v>
      </x:c>
      <x:c r="B3399" s="18" t="n">
        <x:v>41965</x:v>
      </x:c>
      <x:c r="C3399" t="str">
        <x:v>EH-14185</x:v>
      </x:c>
      <x:c r="D3399" t="str">
        <x:v>Evan Henry</x:v>
      </x:c>
      <x:c r="E3399" t="str">
        <x:v>Consumer</x:v>
      </x:c>
      <x:c r="F3399" t="str">
        <x:v>Central</x:v>
      </x:c>
      <x:c r="G3399" t="str">
        <x:v>Office Supplies</x:v>
      </x:c>
      <x:c r="H3399" t="str">
        <x:v>Binders</x:v>
      </x:c>
      <x:c r="I3399" s="22" t="n">
        <x:v>6.927999999999998</x:v>
      </x:c>
      <x:c r="J3399" s="24" t="n">
        <x:v>1</x:v>
      </x:c>
      <x:c r="K3399" s="26" t="n">
        <x:v>0.8</x:v>
      </x:c>
      <x:c r="L3399" s="22" t="n">
        <x:v>-11.084800000000005</x:v>
      </x:c>
      <x:c r="M3399" t="n">
        <x:v>2014</x:v>
      </x:c>
      <x:c r="N3399" s="20" t="n">
        <x:v>41944</x:v>
      </x:c>
    </x:row>
    <x:row r="3400" ht="18" customHeight="1">
      <x:c r="A3400" t="str">
        <x:v>US-2017-131583</x:v>
      </x:c>
      <x:c r="B3400" s="18" t="n">
        <x:v>42896</x:v>
      </x:c>
      <x:c r="C3400" t="str">
        <x:v>CL-11890</x:v>
      </x:c>
      <x:c r="D3400" t="str">
        <x:v>Carl Ludwig</x:v>
      </x:c>
      <x:c r="E3400" t="str">
        <x:v>Consumer</x:v>
      </x:c>
      <x:c r="F3400" t="str">
        <x:v>East</x:v>
      </x:c>
      <x:c r="G3400" t="str">
        <x:v>Office Supplies</x:v>
      </x:c>
      <x:c r="H3400" t="str">
        <x:v>Paper</x:v>
      </x:c>
      <x:c r="I3400" s="22" t="n">
        <x:v>40.032000000000004</x:v>
      </x:c>
      <x:c r="J3400" s="24" t="n">
        <x:v>6</x:v>
      </x:c>
      <x:c r="K3400" s="26" t="n">
        <x:v>0.2</x:v>
      </x:c>
      <x:c r="L3400" s="22" t="n">
        <x:v>15.011999999999999</x:v>
      </x:c>
      <x:c r="M3400" t="n">
        <x:v>2017</x:v>
      </x:c>
      <x:c r="N3400" s="20" t="n">
        <x:v>42887</x:v>
      </x:c>
    </x:row>
    <x:row r="3401" ht="18" customHeight="1">
      <x:c r="A3401" t="str">
        <x:v>US-2017-148362</x:v>
      </x:c>
      <x:c r="B3401" s="18" t="n">
        <x:v>42917</x:v>
      </x:c>
      <x:c r="C3401" t="str">
        <x:v>KF-16285</x:v>
      </x:c>
      <x:c r="D3401" t="str">
        <x:v>Karen Ferguson</x:v>
      </x:c>
      <x:c r="E3401" t="str">
        <x:v>Home Office</x:v>
      </x:c>
      <x:c r="F3401" t="str">
        <x:v>Central</x:v>
      </x:c>
      <x:c r="G3401" t="str">
        <x:v>Office Supplies</x:v>
      </x:c>
      <x:c r="H3401" t="str">
        <x:v>Storage</x:v>
      </x:c>
      <x:c r="I3401" s="22" t="n">
        <x:v>443.92</x:v>
      </x:c>
      <x:c r="J3401" s="24" t="n">
        <x:v>4</x:v>
      </x:c>
      <x:c r="K3401" s="26" t="n">
        <x:v>0</x:v>
      </x:c>
      <x:c r="L3401" s="22" t="n">
        <x:v>13.317600000000027</x:v>
      </x:c>
      <x:c r="M3401" t="n">
        <x:v>2017</x:v>
      </x:c>
      <x:c r="N3401" s="20" t="n">
        <x:v>42917</x:v>
      </x:c>
    </x:row>
    <x:row r="3402" ht="18" customHeight="1">
      <x:c r="A3402" t="str">
        <x:v>US-2017-148362</x:v>
      </x:c>
      <x:c r="B3402" s="18" t="n">
        <x:v>42917</x:v>
      </x:c>
      <x:c r="C3402" t="str">
        <x:v>KF-16285</x:v>
      </x:c>
      <x:c r="D3402" t="str">
        <x:v>Karen Ferguson</x:v>
      </x:c>
      <x:c r="E3402" t="str">
        <x:v>Home Office</x:v>
      </x:c>
      <x:c r="F3402" t="str">
        <x:v>Central</x:v>
      </x:c>
      <x:c r="G3402" t="str">
        <x:v>Office Supplies</x:v>
      </x:c>
      <x:c r="H3402" t="str">
        <x:v>Binders</x:v>
      </x:c>
      <x:c r="I3402" s="22" t="n">
        <x:v>169.99</x:v>
      </x:c>
      <x:c r="J3402" s="24" t="n">
        <x:v>1</x:v>
      </x:c>
      <x:c r="K3402" s="26" t="n">
        <x:v>0</x:v>
      </x:c>
      <x:c r="L3402" s="22" t="n">
        <x:v>78.19539999999999</x:v>
      </x:c>
      <x:c r="M3402" t="n">
        <x:v>2017</x:v>
      </x:c>
      <x:c r="N3402" s="20" t="n">
        <x:v>42917</x:v>
      </x:c>
    </x:row>
    <x:row r="3403" ht="18" customHeight="1">
      <x:c r="A3403" t="str">
        <x:v>US-2017-148362</x:v>
      </x:c>
      <x:c r="B3403" s="18" t="n">
        <x:v>42917</x:v>
      </x:c>
      <x:c r="C3403" t="str">
        <x:v>KF-16285</x:v>
      </x:c>
      <x:c r="D3403" t="str">
        <x:v>Karen Ferguson</x:v>
      </x:c>
      <x:c r="E3403" t="str">
        <x:v>Home Office</x:v>
      </x:c>
      <x:c r="F3403" t="str">
        <x:v>Central</x:v>
      </x:c>
      <x:c r="G3403" t="str">
        <x:v>Office Supplies</x:v>
      </x:c>
      <x:c r="H3403" t="str">
        <x:v>Paper</x:v>
      </x:c>
      <x:c r="I3403" s="22" t="n">
        <x:v>25.92</x:v>
      </x:c>
      <x:c r="J3403" s="24" t="n">
        <x:v>4</x:v>
      </x:c>
      <x:c r="K3403" s="26" t="n">
        <x:v>0</x:v>
      </x:c>
      <x:c r="L3403" s="22" t="n">
        <x:v>12.441600000000001</x:v>
      </x:c>
      <x:c r="M3403" t="n">
        <x:v>2017</x:v>
      </x:c>
      <x:c r="N3403" s="20" t="n">
        <x:v>42917</x:v>
      </x:c>
    </x:row>
    <x:row r="3404" ht="18" customHeight="1">
      <x:c r="A3404" t="str">
        <x:v>CA-2014-102274</x:v>
      </x:c>
      <x:c r="B3404" s="18" t="n">
        <x:v>41964</x:v>
      </x:c>
      <x:c r="C3404" t="str">
        <x:v>DH-13075</x:v>
      </x:c>
      <x:c r="D3404" t="str">
        <x:v>Dave Hallsten</x:v>
      </x:c>
      <x:c r="E3404" t="str">
        <x:v>Corporate</x:v>
      </x:c>
      <x:c r="F3404" t="str">
        <x:v>South</x:v>
      </x:c>
      <x:c r="G3404" t="str">
        <x:v>Technology</x:v>
      </x:c>
      <x:c r="H3404" t="str">
        <x:v>Phones</x:v>
      </x:c>
      <x:c r="I3404" s="22" t="n">
        <x:v>36.99</x:v>
      </x:c>
      <x:c r="J3404" s="24" t="n">
        <x:v>1</x:v>
      </x:c>
      <x:c r="K3404" s="26" t="n">
        <x:v>0</x:v>
      </x:c>
      <x:c r="L3404" s="22" t="n">
        <x:v>9.987300000000001</x:v>
      </x:c>
      <x:c r="M3404" t="n">
        <x:v>2014</x:v>
      </x:c>
      <x:c r="N3404" s="20" t="n">
        <x:v>41944</x:v>
      </x:c>
    </x:row>
    <x:row r="3405" ht="18" customHeight="1">
      <x:c r="A3405" t="str">
        <x:v>CA-2014-102274</x:v>
      </x:c>
      <x:c r="B3405" s="18" t="n">
        <x:v>41964</x:v>
      </x:c>
      <x:c r="C3405" t="str">
        <x:v>DH-13075</x:v>
      </x:c>
      <x:c r="D3405" t="str">
        <x:v>Dave Hallsten</x:v>
      </x:c>
      <x:c r="E3405" t="str">
        <x:v>Corporate</x:v>
      </x:c>
      <x:c r="F3405" t="str">
        <x:v>South</x:v>
      </x:c>
      <x:c r="G3405" t="str">
        <x:v>Office Supplies</x:v>
      </x:c>
      <x:c r="H3405" t="str">
        <x:v>Paper</x:v>
      </x:c>
      <x:c r="I3405" s="22" t="n">
        <x:v>629.0999999999999</x:v>
      </x:c>
      <x:c r="J3405" s="24" t="n">
        <x:v>6</x:v>
      </x:c>
      <x:c r="K3405" s="26" t="n">
        <x:v>0</x:v>
      </x:c>
      <x:c r="L3405" s="22" t="n">
        <x:v>301.96799999999996</x:v>
      </x:c>
      <x:c r="M3405" t="n">
        <x:v>2014</x:v>
      </x:c>
      <x:c r="N3405" s="20" t="n">
        <x:v>41944</x:v>
      </x:c>
    </x:row>
    <x:row r="3406" ht="18" customHeight="1">
      <x:c r="A3406" t="str">
        <x:v>CA-2014-102274</x:v>
      </x:c>
      <x:c r="B3406" s="18" t="n">
        <x:v>41964</x:v>
      </x:c>
      <x:c r="C3406" t="str">
        <x:v>DH-13075</x:v>
      </x:c>
      <x:c r="D3406" t="str">
        <x:v>Dave Hallsten</x:v>
      </x:c>
      <x:c r="E3406" t="str">
        <x:v>Corporate</x:v>
      </x:c>
      <x:c r="F3406" t="str">
        <x:v>South</x:v>
      </x:c>
      <x:c r="G3406" t="str">
        <x:v>Office Supplies</x:v>
      </x:c>
      <x:c r="H3406" t="str">
        <x:v>Storage</x:v>
      </x:c>
      <x:c r="I3406" s="22" t="n">
        <x:v>193.95000000000002</x:v>
      </x:c>
      <x:c r="J3406" s="24" t="n">
        <x:v>3</x:v>
      </x:c>
      <x:c r="K3406" s="26" t="n">
        <x:v>0</x:v>
      </x:c>
      <x:c r="L3406" s="22" t="n">
        <x:v>9.697499999999984</x:v>
      </x:c>
      <x:c r="M3406" t="n">
        <x:v>2014</x:v>
      </x:c>
      <x:c r="N3406" s="20" t="n">
        <x:v>41944</x:v>
      </x:c>
    </x:row>
    <x:row r="3407" ht="18" customHeight="1">
      <x:c r="A3407" t="str">
        <x:v>CA-2014-102274</x:v>
      </x:c>
      <x:c r="B3407" s="18" t="n">
        <x:v>41964</x:v>
      </x:c>
      <x:c r="C3407" t="str">
        <x:v>DH-13075</x:v>
      </x:c>
      <x:c r="D3407" t="str">
        <x:v>Dave Hallsten</x:v>
      </x:c>
      <x:c r="E3407" t="str">
        <x:v>Corporate</x:v>
      </x:c>
      <x:c r="F3407" t="str">
        <x:v>South</x:v>
      </x:c>
      <x:c r="G3407" t="str">
        <x:v>Office Supplies</x:v>
      </x:c>
      <x:c r="H3407" t="str">
        <x:v>Art</x:v>
      </x:c>
      <x:c r="I3407" s="22" t="n">
        <x:v>5.46</x:v>
      </x:c>
      <x:c r="J3407" s="24" t="n">
        <x:v>3</x:v>
      </x:c>
      <x:c r="K3407" s="26" t="n">
        <x:v>0</x:v>
      </x:c>
      <x:c r="L3407" s="22" t="n">
        <x:v>1.4742000000000002</x:v>
      </x:c>
      <x:c r="M3407" t="n">
        <x:v>2014</x:v>
      </x:c>
      <x:c r="N3407" s="20" t="n">
        <x:v>41944</x:v>
      </x:c>
    </x:row>
    <x:row r="3408" ht="18" customHeight="1">
      <x:c r="A3408" t="str">
        <x:v>CA-2015-129700</x:v>
      </x:c>
      <x:c r="B3408" s="18" t="n">
        <x:v>42128</x:v>
      </x:c>
      <x:c r="C3408" t="str">
        <x:v>LA-16780</x:v>
      </x:c>
      <x:c r="D3408" t="str">
        <x:v>Laura Armstrong</x:v>
      </x:c>
      <x:c r="E3408" t="str">
        <x:v>Corporate</x:v>
      </x:c>
      <x:c r="F3408" t="str">
        <x:v>Central</x:v>
      </x:c>
      <x:c r="G3408" t="str">
        <x:v>Furniture</x:v>
      </x:c>
      <x:c r="H3408" t="str">
        <x:v>Furnishings</x:v>
      </x:c>
      <x:c r="I3408" s="22" t="n">
        <x:v>22.288</x:v>
      </x:c>
      <x:c r="J3408" s="24" t="n">
        <x:v>7</x:v>
      </x:c>
      <x:c r="K3408" s="26" t="n">
        <x:v>0.6</x:v>
      </x:c>
      <x:c r="L3408" s="22" t="n">
        <x:v>-8.915199999999999</x:v>
      </x:c>
      <x:c r="M3408" t="n">
        <x:v>2015</x:v>
      </x:c>
      <x:c r="N3408" s="20" t="n">
        <x:v>42125</x:v>
      </x:c>
    </x:row>
    <x:row r="3409" ht="18" customHeight="1">
      <x:c r="A3409" t="str">
        <x:v>CA-2017-168739</x:v>
      </x:c>
      <x:c r="B3409" s="18" t="n">
        <x:v>42884</x:v>
      </x:c>
      <x:c r="C3409" t="str">
        <x:v>HZ-14950</x:v>
      </x:c>
      <x:c r="D3409" t="str">
        <x:v>Henia Zydlo</x:v>
      </x:c>
      <x:c r="E3409" t="str">
        <x:v>Consumer</x:v>
      </x:c>
      <x:c r="F3409" t="str">
        <x:v>Central</x:v>
      </x:c>
      <x:c r="G3409" t="str">
        <x:v>Furniture</x:v>
      </x:c>
      <x:c r="H3409" t="str">
        <x:v>Furnishings</x:v>
      </x:c>
      <x:c r="I3409" s="22" t="n">
        <x:v>65.424</x:v>
      </x:c>
      <x:c r="J3409" s="24" t="n">
        <x:v>4</x:v>
      </x:c>
      <x:c r="K3409" s="26" t="n">
        <x:v>0.6</x:v>
      </x:c>
      <x:c r="L3409" s="22" t="n">
        <x:v>-52.33919999999999</x:v>
      </x:c>
      <x:c r="M3409" t="n">
        <x:v>2017</x:v>
      </x:c>
      <x:c r="N3409" s="20" t="n">
        <x:v>42856</x:v>
      </x:c>
    </x:row>
    <x:row r="3410" ht="18" customHeight="1">
      <x:c r="A3410" t="str">
        <x:v>CA-2015-152527</x:v>
      </x:c>
      <x:c r="B3410" s="18" t="n">
        <x:v>42294</x:v>
      </x:c>
      <x:c r="C3410" t="str">
        <x:v>CM-12190</x:v>
      </x:c>
      <x:c r="D3410" t="str">
        <x:v>Charlotte Melton</x:v>
      </x:c>
      <x:c r="E3410" t="str">
        <x:v>Consumer</x:v>
      </x:c>
      <x:c r="F3410" t="str">
        <x:v>West</x:v>
      </x:c>
      <x:c r="G3410" t="str">
        <x:v>Office Supplies</x:v>
      </x:c>
      <x:c r="H3410" t="str">
        <x:v>Storage</x:v>
      </x:c>
      <x:c r="I3410" s="22" t="n">
        <x:v>77.88</x:v>
      </x:c>
      <x:c r="J3410" s="24" t="n">
        <x:v>2</x:v>
      </x:c>
      <x:c r="K3410" s="26" t="n">
        <x:v>0</x:v>
      </x:c>
      <x:c r="L3410" s="22" t="n">
        <x:v>3.8939999999999912</x:v>
      </x:c>
      <x:c r="M3410" t="n">
        <x:v>2015</x:v>
      </x:c>
      <x:c r="N3410" s="20" t="n">
        <x:v>42278</x:v>
      </x:c>
    </x:row>
    <x:row r="3411" ht="18" customHeight="1">
      <x:c r="A3411" t="str">
        <x:v>US-2014-150119</x:v>
      </x:c>
      <x:c r="B3411" s="18" t="n">
        <x:v>41752</x:v>
      </x:c>
      <x:c r="C3411" t="str">
        <x:v>LB-16795</x:v>
      </x:c>
      <x:c r="D3411" t="str">
        <x:v>Laurel Beltran</x:v>
      </x:c>
      <x:c r="E3411" t="str">
        <x:v>Home Office</x:v>
      </x:c>
      <x:c r="F3411" t="str">
        <x:v>East</x:v>
      </x:c>
      <x:c r="G3411" t="str">
        <x:v>Furniture</x:v>
      </x:c>
      <x:c r="H3411" t="str">
        <x:v>Chairs</x:v>
      </x:c>
      <x:c r="I3411" s="22" t="n">
        <x:v>281.37199999999996</x:v>
      </x:c>
      <x:c r="J3411" s="24" t="n">
        <x:v>2</x:v>
      </x:c>
      <x:c r="K3411" s="26" t="n">
        <x:v>0.3</x:v>
      </x:c>
      <x:c r="L3411" s="22" t="n">
        <x:v>-12.05879999999999</x:v>
      </x:c>
      <x:c r="M3411" t="n">
        <x:v>2014</x:v>
      </x:c>
      <x:c r="N3411" s="20" t="n">
        <x:v>41730</x:v>
      </x:c>
    </x:row>
    <x:row r="3412" ht="18" customHeight="1">
      <x:c r="A3412" t="str">
        <x:v>US-2014-150119</x:v>
      </x:c>
      <x:c r="B3412" s="18" t="n">
        <x:v>41752</x:v>
      </x:c>
      <x:c r="C3412" t="str">
        <x:v>LB-16795</x:v>
      </x:c>
      <x:c r="D3412" t="str">
        <x:v>Laurel Beltran</x:v>
      </x:c>
      <x:c r="E3412" t="str">
        <x:v>Home Office</x:v>
      </x:c>
      <x:c r="F3412" t="str">
        <x:v>East</x:v>
      </x:c>
      <x:c r="G3412" t="str">
        <x:v>Office Supplies</x:v>
      </x:c>
      <x:c r="H3412" t="str">
        <x:v>Binders</x:v>
      </x:c>
      <x:c r="I3412" s="22" t="n">
        <x:v>7.488000000000001</x:v>
      </x:c>
      <x:c r="J3412" s="24" t="n">
        <x:v>8</x:v>
      </x:c>
      <x:c r="K3412" s="26" t="n">
        <x:v>0.7</x:v>
      </x:c>
      <x:c r="L3412" s="22" t="n">
        <x:v>-5.241599999999998</x:v>
      </x:c>
      <x:c r="M3412" t="n">
        <x:v>2014</x:v>
      </x:c>
      <x:c r="N3412" s="20" t="n">
        <x:v>41730</x:v>
      </x:c>
    </x:row>
    <x:row r="3413" ht="18" customHeight="1">
      <x:c r="A3413" t="str">
        <x:v>US-2014-150119</x:v>
      </x:c>
      <x:c r="B3413" s="18" t="n">
        <x:v>41752</x:v>
      </x:c>
      <x:c r="C3413" t="str">
        <x:v>LB-16795</x:v>
      </x:c>
      <x:c r="D3413" t="str">
        <x:v>Laurel Beltran</x:v>
      </x:c>
      <x:c r="E3413" t="str">
        <x:v>Home Office</x:v>
      </x:c>
      <x:c r="F3413" t="str">
        <x:v>East</x:v>
      </x:c>
      <x:c r="G3413" t="str">
        <x:v>Furniture</x:v>
      </x:c>
      <x:c r="H3413" t="str">
        <x:v>Furnishings</x:v>
      </x:c>
      <x:c r="I3413" s="22" t="n">
        <x:v>22.336000000000002</x:v>
      </x:c>
      <x:c r="J3413" s="24" t="n">
        <x:v>4</x:v>
      </x:c>
      <x:c r="K3413" s="26" t="n">
        <x:v>0.2</x:v>
      </x:c>
      <x:c r="L3413" s="22" t="n">
        <x:v>7.8176</x:v>
      </x:c>
      <x:c r="M3413" t="n">
        <x:v>2014</x:v>
      </x:c>
      <x:c r="N3413" s="20" t="n">
        <x:v>41730</x:v>
      </x:c>
    </x:row>
    <x:row r="3414" ht="18" customHeight="1">
      <x:c r="A3414" t="str">
        <x:v>US-2017-150847</x:v>
      </x:c>
      <x:c r="B3414" s="18" t="n">
        <x:v>42855</x:v>
      </x:c>
      <x:c r="C3414" t="str">
        <x:v>JF-15490</x:v>
      </x:c>
      <x:c r="D3414" t="str">
        <x:v>Jeremy Farry</x:v>
      </x:c>
      <x:c r="E3414" t="str">
        <x:v>Consumer</x:v>
      </x:c>
      <x:c r="F3414" t="str">
        <x:v>East</x:v>
      </x:c>
      <x:c r="G3414" t="str">
        <x:v>Office Supplies</x:v>
      </x:c>
      <x:c r="H3414" t="str">
        <x:v>Paper</x:v>
      </x:c>
      <x:c r="I3414" s="22" t="n">
        <x:v>10.368000000000002</x:v>
      </x:c>
      <x:c r="J3414" s="24" t="n">
        <x:v>2</x:v>
      </x:c>
      <x:c r="K3414" s="26" t="n">
        <x:v>0.2</x:v>
      </x:c>
      <x:c r="L3414" s="22" t="n">
        <x:v>3.6288</x:v>
      </x:c>
      <x:c r="M3414" t="n">
        <x:v>2017</x:v>
      </x:c>
      <x:c r="N3414" s="20" t="n">
        <x:v>42826</x:v>
      </x:c>
    </x:row>
    <x:row r="3415" ht="18" customHeight="1">
      <x:c r="A3415" t="str">
        <x:v>CA-2016-100244</x:v>
      </x:c>
      <x:c r="B3415" s="18" t="n">
        <x:v>42633</x:v>
      </x:c>
      <x:c r="C3415" t="str">
        <x:v>GM-14695</x:v>
      </x:c>
      <x:c r="D3415" t="str">
        <x:v>Greg Maxwell</x:v>
      </x:c>
      <x:c r="E3415" t="str">
        <x:v>Corporate</x:v>
      </x:c>
      <x:c r="F3415" t="str">
        <x:v>West</x:v>
      </x:c>
      <x:c r="G3415" t="str">
        <x:v>Office Supplies</x:v>
      </x:c>
      <x:c r="H3415" t="str">
        <x:v>Paper</x:v>
      </x:c>
      <x:c r="I3415" s="22" t="n">
        <x:v>65.78999999999999</x:v>
      </x:c>
      <x:c r="J3415" s="24" t="n">
        <x:v>9</x:v>
      </x:c>
      <x:c r="K3415" s="26" t="n">
        <x:v>0</x:v>
      </x:c>
      <x:c r="L3415" s="22" t="n">
        <x:v>30.263399999999997</x:v>
      </x:c>
      <x:c r="M3415" t="n">
        <x:v>2016</x:v>
      </x:c>
      <x:c r="N3415" s="20" t="n">
        <x:v>42614</x:v>
      </x:c>
    </x:row>
    <x:row r="3416" ht="18" customHeight="1">
      <x:c r="A3416" t="str">
        <x:v>CA-2016-100244</x:v>
      </x:c>
      <x:c r="B3416" s="18" t="n">
        <x:v>42633</x:v>
      </x:c>
      <x:c r="C3416" t="str">
        <x:v>GM-14695</x:v>
      </x:c>
      <x:c r="D3416" t="str">
        <x:v>Greg Maxwell</x:v>
      </x:c>
      <x:c r="E3416" t="str">
        <x:v>Corporate</x:v>
      </x:c>
      <x:c r="F3416" t="str">
        <x:v>West</x:v>
      </x:c>
      <x:c r="G3416" t="str">
        <x:v>Office Supplies</x:v>
      </x:c>
      <x:c r="H3416" t="str">
        <x:v>Binders</x:v>
      </x:c>
      <x:c r="I3416" s="22" t="n">
        <x:v>271.98400000000004</x:v>
      </x:c>
      <x:c r="J3416" s="24" t="n">
        <x:v>2</x:v>
      </x:c>
      <x:c r="K3416" s="26" t="n">
        <x:v>0.2</x:v>
      </x:c>
      <x:c r="L3416" s="22" t="n">
        <x:v>88.39479999999998</x:v>
      </x:c>
      <x:c r="M3416" t="n">
        <x:v>2016</x:v>
      </x:c>
      <x:c r="N3416" s="20" t="n">
        <x:v>42614</x:v>
      </x:c>
    </x:row>
    <x:row r="3417" ht="18" customHeight="1">
      <x:c r="A3417" t="str">
        <x:v>CA-2016-100244</x:v>
      </x:c>
      <x:c r="B3417" s="18" t="n">
        <x:v>42633</x:v>
      </x:c>
      <x:c r="C3417" t="str">
        <x:v>GM-14695</x:v>
      </x:c>
      <x:c r="D3417" t="str">
        <x:v>Greg Maxwell</x:v>
      </x:c>
      <x:c r="E3417" t="str">
        <x:v>Corporate</x:v>
      </x:c>
      <x:c r="F3417" t="str">
        <x:v>West</x:v>
      </x:c>
      <x:c r="G3417" t="str">
        <x:v>Office Supplies</x:v>
      </x:c>
      <x:c r="H3417" t="str">
        <x:v>Art</x:v>
      </x:c>
      <x:c r="I3417" s="22" t="n">
        <x:v>11.76</x:v>
      </x:c>
      <x:c r="J3417" s="24" t="n">
        <x:v>4</x:v>
      </x:c>
      <x:c r="K3417" s="26" t="n">
        <x:v>0</x:v>
      </x:c>
      <x:c r="L3417" s="22" t="n">
        <x:v>3.1752000000000002</x:v>
      </x:c>
      <x:c r="M3417" t="n">
        <x:v>2016</x:v>
      </x:c>
      <x:c r="N3417" s="20" t="n">
        <x:v>42614</x:v>
      </x:c>
    </x:row>
    <x:row r="3418" ht="18" customHeight="1">
      <x:c r="A3418" t="str">
        <x:v>CA-2016-100244</x:v>
      </x:c>
      <x:c r="B3418" s="18" t="n">
        <x:v>42633</x:v>
      </x:c>
      <x:c r="C3418" t="str">
        <x:v>GM-14695</x:v>
      </x:c>
      <x:c r="D3418" t="str">
        <x:v>Greg Maxwell</x:v>
      </x:c>
      <x:c r="E3418" t="str">
        <x:v>Corporate</x:v>
      </x:c>
      <x:c r="F3418" t="str">
        <x:v>West</x:v>
      </x:c>
      <x:c r="G3418" t="str">
        <x:v>Office Supplies</x:v>
      </x:c>
      <x:c r="H3418" t="str">
        <x:v>Paper</x:v>
      </x:c>
      <x:c r="I3418" s="22" t="n">
        <x:v>77.52</x:v>
      </x:c>
      <x:c r="J3418" s="24" t="n">
        <x:v>2</x:v>
      </x:c>
      <x:c r="K3418" s="26" t="n">
        <x:v>0</x:v>
      </x:c>
      <x:c r="L3418" s="22" t="n">
        <x:v>37.9848</x:v>
      </x:c>
      <x:c r="M3418" t="n">
        <x:v>2016</x:v>
      </x:c>
      <x:c r="N3418" s="20" t="n">
        <x:v>42614</x:v>
      </x:c>
    </x:row>
    <x:row r="3419" ht="18" customHeight="1">
      <x:c r="A3419" t="str">
        <x:v>CA-2016-100244</x:v>
      </x:c>
      <x:c r="B3419" s="18" t="n">
        <x:v>42633</x:v>
      </x:c>
      <x:c r="C3419" t="str">
        <x:v>GM-14695</x:v>
      </x:c>
      <x:c r="D3419" t="str">
        <x:v>Greg Maxwell</x:v>
      </x:c>
      <x:c r="E3419" t="str">
        <x:v>Corporate</x:v>
      </x:c>
      <x:c r="F3419" t="str">
        <x:v>West</x:v>
      </x:c>
      <x:c r="G3419" t="str">
        <x:v>Office Supplies</x:v>
      </x:c>
      <x:c r="H3419" t="str">
        <x:v>Binders</x:v>
      </x:c>
      <x:c r="I3419" s="22" t="n">
        <x:v>48.64</x:v>
      </x:c>
      <x:c r="J3419" s="24" t="n">
        <x:v>2</x:v>
      </x:c>
      <x:c r="K3419" s="26" t="n">
        <x:v>0.2</x:v>
      </x:c>
      <x:c r="L3419" s="22" t="n">
        <x:v>15.807999999999996</x:v>
      </x:c>
      <x:c r="M3419" t="n">
        <x:v>2016</x:v>
      </x:c>
      <x:c r="N3419" s="20" t="n">
        <x:v>42614</x:v>
      </x:c>
    </x:row>
    <x:row r="3420" ht="18" customHeight="1">
      <x:c r="A3420" t="str">
        <x:v>CA-2016-116540</x:v>
      </x:c>
      <x:c r="B3420" s="18" t="n">
        <x:v>42615</x:v>
      </x:c>
      <x:c r="C3420" t="str">
        <x:v>SS-20590</x:v>
      </x:c>
      <x:c r="D3420" t="str">
        <x:v>Sonia Sunley</x:v>
      </x:c>
      <x:c r="E3420" t="str">
        <x:v>Consumer</x:v>
      </x:c>
      <x:c r="F3420" t="str">
        <x:v>Central</x:v>
      </x:c>
      <x:c r="G3420" t="str">
        <x:v>Office Supplies</x:v>
      </x:c>
      <x:c r="H3420" t="str">
        <x:v>Fasteners</x:v>
      </x:c>
      <x:c r="I3420" s="22" t="n">
        <x:v>1.81</x:v>
      </x:c>
      <x:c r="J3420" s="24" t="n">
        <x:v>1</x:v>
      </x:c>
      <x:c r="K3420" s="26" t="n">
        <x:v>0</x:v>
      </x:c>
      <x:c r="L3420" s="22" t="n">
        <x:v>0.6516</x:v>
      </x:c>
      <x:c r="M3420" t="n">
        <x:v>2016</x:v>
      </x:c>
      <x:c r="N3420" s="20" t="n">
        <x:v>42614</x:v>
      </x:c>
    </x:row>
    <x:row r="3421" ht="18" customHeight="1">
      <x:c r="A3421" t="str">
        <x:v>CA-2016-116540</x:v>
      </x:c>
      <x:c r="B3421" s="18" t="n">
        <x:v>42615</x:v>
      </x:c>
      <x:c r="C3421" t="str">
        <x:v>SS-20590</x:v>
      </x:c>
      <x:c r="D3421" t="str">
        <x:v>Sonia Sunley</x:v>
      </x:c>
      <x:c r="E3421" t="str">
        <x:v>Consumer</x:v>
      </x:c>
      <x:c r="F3421" t="str">
        <x:v>Central</x:v>
      </x:c>
      <x:c r="G3421" t="str">
        <x:v>Office Supplies</x:v>
      </x:c>
      <x:c r="H3421" t="str">
        <x:v>Binders</x:v>
      </x:c>
      <x:c r="I3421" s="22" t="n">
        <x:v>8.26</x:v>
      </x:c>
      <x:c r="J3421" s="24" t="n">
        <x:v>2</x:v>
      </x:c>
      <x:c r="K3421" s="26" t="n">
        <x:v>0</x:v>
      </x:c>
      <x:c r="L3421" s="22" t="n">
        <x:v>3.8822</x:v>
      </x:c>
      <x:c r="M3421" t="n">
        <x:v>2016</x:v>
      </x:c>
      <x:c r="N3421" s="20" t="n">
        <x:v>42614</x:v>
      </x:c>
    </x:row>
    <x:row r="3422" ht="18" customHeight="1">
      <x:c r="A3422" t="str">
        <x:v>CA-2015-151841</x:v>
      </x:c>
      <x:c r="B3422" s="18" t="n">
        <x:v>42121</x:v>
      </x:c>
      <x:c r="C3422" t="str">
        <x:v>TC-21475</x:v>
      </x:c>
      <x:c r="D3422" t="str">
        <x:v>Tony Chapman</x:v>
      </x:c>
      <x:c r="E3422" t="str">
        <x:v>Home Office</x:v>
      </x:c>
      <x:c r="F3422" t="str">
        <x:v>West</x:v>
      </x:c>
      <x:c r="G3422" t="str">
        <x:v>Office Supplies</x:v>
      </x:c>
      <x:c r="H3422" t="str">
        <x:v>Appliances</x:v>
      </x:c>
      <x:c r="I3422" s="22" t="n">
        <x:v>43.56000000000001</x:v>
      </x:c>
      <x:c r="J3422" s="24" t="n">
        <x:v>5</x:v>
      </x:c>
      <x:c r="K3422" s="26" t="n">
        <x:v>0.2</x:v>
      </x:c>
      <x:c r="L3422" s="22" t="n">
        <x:v>3.2669999999999995</x:v>
      </x:c>
      <x:c r="M3422" t="n">
        <x:v>2015</x:v>
      </x:c>
      <x:c r="N3422" s="20" t="n">
        <x:v>42095</x:v>
      </x:c>
    </x:row>
    <x:row r="3423" ht="18" customHeight="1">
      <x:c r="A3423" t="str">
        <x:v>CA-2015-151841</x:v>
      </x:c>
      <x:c r="B3423" s="18" t="n">
        <x:v>42121</x:v>
      </x:c>
      <x:c r="C3423" t="str">
        <x:v>TC-21475</x:v>
      </x:c>
      <x:c r="D3423" t="str">
        <x:v>Tony Chapman</x:v>
      </x:c>
      <x:c r="E3423" t="str">
        <x:v>Home Office</x:v>
      </x:c>
      <x:c r="F3423" t="str">
        <x:v>West</x:v>
      </x:c>
      <x:c r="G3423" t="str">
        <x:v>Office Supplies</x:v>
      </x:c>
      <x:c r="H3423" t="str">
        <x:v>Supplies</x:v>
      </x:c>
      <x:c r="I3423" s="22" t="n">
        <x:v>5.84</x:v>
      </x:c>
      <x:c r="J3423" s="24" t="n">
        <x:v>2</x:v>
      </x:c>
      <x:c r="K3423" s="26" t="n">
        <x:v>0.2</x:v>
      </x:c>
      <x:c r="L3423" s="22" t="n">
        <x:v>0.7299999999999995</x:v>
      </x:c>
      <x:c r="M3423" t="n">
        <x:v>2015</x:v>
      </x:c>
      <x:c r="N3423" s="20" t="n">
        <x:v>42095</x:v>
      </x:c>
    </x:row>
    <x:row r="3424" ht="18" customHeight="1">
      <x:c r="A3424" t="str">
        <x:v>CA-2015-150791</x:v>
      </x:c>
      <x:c r="B3424" s="18" t="n">
        <x:v>42253</x:v>
      </x:c>
      <x:c r="C3424" t="str">
        <x:v>CC-12430</x:v>
      </x:c>
      <x:c r="D3424" t="str">
        <x:v>Chuck Clark</x:v>
      </x:c>
      <x:c r="E3424" t="str">
        <x:v>Home Office</x:v>
      </x:c>
      <x:c r="F3424" t="str">
        <x:v>East</x:v>
      </x:c>
      <x:c r="G3424" t="str">
        <x:v>Furniture</x:v>
      </x:c>
      <x:c r="H3424" t="str">
        <x:v>Chairs</x:v>
      </x:c>
      <x:c r="I3424" s="22" t="n">
        <x:v>271.764</x:v>
      </x:c>
      <x:c r="J3424" s="24" t="n">
        <x:v>2</x:v>
      </x:c>
      <x:c r="K3424" s="26" t="n">
        <x:v>0.1</x:v>
      </x:c>
      <x:c r="L3424" s="22" t="n">
        <x:v>60.39199999999997</x:v>
      </x:c>
      <x:c r="M3424" t="n">
        <x:v>2015</x:v>
      </x:c>
      <x:c r="N3424" s="20" t="n">
        <x:v>42248</x:v>
      </x:c>
    </x:row>
    <x:row r="3425" ht="18" customHeight="1">
      <x:c r="A3425" t="str">
        <x:v>CA-2016-134803</x:v>
      </x:c>
      <x:c r="B3425" s="18" t="n">
        <x:v>42518</x:v>
      </x:c>
      <x:c r="C3425" t="str">
        <x:v>CL-12565</x:v>
      </x:c>
      <x:c r="D3425" t="str">
        <x:v>Clay Ludtke</x:v>
      </x:c>
      <x:c r="E3425" t="str">
        <x:v>Consumer</x:v>
      </x:c>
      <x:c r="F3425" t="str">
        <x:v>West</x:v>
      </x:c>
      <x:c r="G3425" t="str">
        <x:v>Office Supplies</x:v>
      </x:c>
      <x:c r="H3425" t="str">
        <x:v>Appliances</x:v>
      </x:c>
      <x:c r="I3425" s="22" t="n">
        <x:v>262.24</x:v>
      </x:c>
      <x:c r="J3425" s="24" t="n">
        <x:v>2</x:v>
      </x:c>
      <x:c r="K3425" s="26" t="n">
        <x:v>0</x:v>
      </x:c>
      <x:c r="L3425" s="22" t="n">
        <x:v>78.672</x:v>
      </x:c>
      <x:c r="M3425" t="n">
        <x:v>2016</x:v>
      </x:c>
      <x:c r="N3425" s="20" t="n">
        <x:v>42491</x:v>
      </x:c>
    </x:row>
    <x:row r="3426" ht="18" customHeight="1">
      <x:c r="A3426" t="str">
        <x:v>CA-2016-134803</x:v>
      </x:c>
      <x:c r="B3426" s="18" t="n">
        <x:v>42518</x:v>
      </x:c>
      <x:c r="C3426" t="str">
        <x:v>CL-12565</x:v>
      </x:c>
      <x:c r="D3426" t="str">
        <x:v>Clay Ludtke</x:v>
      </x:c>
      <x:c r="E3426" t="str">
        <x:v>Consumer</x:v>
      </x:c>
      <x:c r="F3426" t="str">
        <x:v>West</x:v>
      </x:c>
      <x:c r="G3426" t="str">
        <x:v>Office Supplies</x:v>
      </x:c>
      <x:c r="H3426" t="str">
        <x:v>Paper</x:v>
      </x:c>
      <x:c r="I3426" s="22" t="n">
        <x:v>182.72</x:v>
      </x:c>
      <x:c r="J3426" s="24" t="n">
        <x:v>8</x:v>
      </x:c>
      <x:c r="K3426" s="26" t="n">
        <x:v>0</x:v>
      </x:c>
      <x:c r="L3426" s="22" t="n">
        <x:v>84.0512</x:v>
      </x:c>
      <x:c r="M3426" t="n">
        <x:v>2016</x:v>
      </x:c>
      <x:c r="N3426" s="20" t="n">
        <x:v>42491</x:v>
      </x:c>
    </x:row>
    <x:row r="3427" ht="18" customHeight="1">
      <x:c r="A3427" t="str">
        <x:v>CA-2016-134803</x:v>
      </x:c>
      <x:c r="B3427" s="18" t="n">
        <x:v>42518</x:v>
      </x:c>
      <x:c r="C3427" t="str">
        <x:v>CL-12565</x:v>
      </x:c>
      <x:c r="D3427" t="str">
        <x:v>Clay Ludtke</x:v>
      </x:c>
      <x:c r="E3427" t="str">
        <x:v>Consumer</x:v>
      </x:c>
      <x:c r="F3427" t="str">
        <x:v>West</x:v>
      </x:c>
      <x:c r="G3427" t="str">
        <x:v>Technology</x:v>
      </x:c>
      <x:c r="H3427" t="str">
        <x:v>Accessories</x:v>
      </x:c>
      <x:c r="I3427" s="22" t="n">
        <x:v>131.6</x:v>
      </x:c>
      <x:c r="J3427" s="24" t="n">
        <x:v>7</x:v>
      </x:c>
      <x:c r="K3427" s="26" t="n">
        <x:v>0</x:v>
      </x:c>
      <x:c r="L3427" s="22" t="n">
        <x:v>7.896000000000001</x:v>
      </x:c>
      <x:c r="M3427" t="n">
        <x:v>2016</x:v>
      </x:c>
      <x:c r="N3427" s="20" t="n">
        <x:v>42491</x:v>
      </x:c>
    </x:row>
    <x:row r="3428" ht="18" customHeight="1">
      <x:c r="A3428" t="str">
        <x:v>CA-2016-134803</x:v>
      </x:c>
      <x:c r="B3428" s="18" t="n">
        <x:v>42518</x:v>
      </x:c>
      <x:c r="C3428" t="str">
        <x:v>CL-12565</x:v>
      </x:c>
      <x:c r="D3428" t="str">
        <x:v>Clay Ludtke</x:v>
      </x:c>
      <x:c r="E3428" t="str">
        <x:v>Consumer</x:v>
      </x:c>
      <x:c r="F3428" t="str">
        <x:v>West</x:v>
      </x:c>
      <x:c r="G3428" t="str">
        <x:v>Office Supplies</x:v>
      </x:c>
      <x:c r="H3428" t="str">
        <x:v>Binders</x:v>
      </x:c>
      <x:c r="I3428" s="22" t="n">
        <x:v>22.72</x:v>
      </x:c>
      <x:c r="J3428" s="24" t="n">
        <x:v>4</x:v>
      </x:c>
      <x:c r="K3428" s="26" t="n">
        <x:v>0.2</x:v>
      </x:c>
      <x:c r="L3428" s="22" t="n">
        <x:v>7.383999999999999</x:v>
      </x:c>
      <x:c r="M3428" t="n">
        <x:v>2016</x:v>
      </x:c>
      <x:c r="N3428" s="20" t="n">
        <x:v>42491</x:v>
      </x:c>
    </x:row>
    <x:row r="3429" ht="18" customHeight="1">
      <x:c r="A3429" t="str">
        <x:v>CA-2016-134803</x:v>
      </x:c>
      <x:c r="B3429" s="18" t="n">
        <x:v>42518</x:v>
      </x:c>
      <x:c r="C3429" t="str">
        <x:v>CL-12565</x:v>
      </x:c>
      <x:c r="D3429" t="str">
        <x:v>Clay Ludtke</x:v>
      </x:c>
      <x:c r="E3429" t="str">
        <x:v>Consumer</x:v>
      </x:c>
      <x:c r="F3429" t="str">
        <x:v>West</x:v>
      </x:c>
      <x:c r="G3429" t="str">
        <x:v>Technology</x:v>
      </x:c>
      <x:c r="H3429" t="str">
        <x:v>Machines</x:v>
      </x:c>
      <x:c r="I3429" s="22" t="n">
        <x:v>558.4</x:v>
      </x:c>
      <x:c r="J3429" s="24" t="n">
        <x:v>2</x:v>
      </x:c>
      <x:c r="K3429" s="26" t="n">
        <x:v>0.2</x:v>
      </x:c>
      <x:c r="L3429" s="22" t="n">
        <x:v>41.880000000000024</x:v>
      </x:c>
      <x:c r="M3429" t="n">
        <x:v>2016</x:v>
      </x:c>
      <x:c r="N3429" s="20" t="n">
        <x:v>42491</x:v>
      </x:c>
    </x:row>
    <x:row r="3430" ht="18" customHeight="1">
      <x:c r="A3430" t="str">
        <x:v>CA-2015-153381</x:v>
      </x:c>
      <x:c r="B3430" s="18" t="n">
        <x:v>42271</x:v>
      </x:c>
      <x:c r="C3430" t="str">
        <x:v>DE-13255</x:v>
      </x:c>
      <x:c r="D3430" t="str">
        <x:v>Deanra Eno</x:v>
      </x:c>
      <x:c r="E3430" t="str">
        <x:v>Home Office</x:v>
      </x:c>
      <x:c r="F3430" t="str">
        <x:v>Central</x:v>
      </x:c>
      <x:c r="G3430" t="str">
        <x:v>Office Supplies</x:v>
      </x:c>
      <x:c r="H3430" t="str">
        <x:v>Binders</x:v>
      </x:c>
      <x:c r="I3430" s="22" t="n">
        <x:v>15.24</x:v>
      </x:c>
      <x:c r="J3430" s="24" t="n">
        <x:v>4</x:v>
      </x:c>
      <x:c r="K3430" s="26" t="n">
        <x:v>0</x:v>
      </x:c>
      <x:c r="L3430" s="22" t="n">
        <x:v>6.857999999999999</x:v>
      </x:c>
      <x:c r="M3430" t="n">
        <x:v>2015</x:v>
      </x:c>
      <x:c r="N3430" s="20" t="n">
        <x:v>42248</x:v>
      </x:c>
    </x:row>
    <x:row r="3431" ht="18" customHeight="1">
      <x:c r="A3431" t="str">
        <x:v>CA-2015-153381</x:v>
      </x:c>
      <x:c r="B3431" s="18" t="n">
        <x:v>42271</x:v>
      </x:c>
      <x:c r="C3431" t="str">
        <x:v>DE-13255</x:v>
      </x:c>
      <x:c r="D3431" t="str">
        <x:v>Deanra Eno</x:v>
      </x:c>
      <x:c r="E3431" t="str">
        <x:v>Home Office</x:v>
      </x:c>
      <x:c r="F3431" t="str">
        <x:v>Central</x:v>
      </x:c>
      <x:c r="G3431" t="str">
        <x:v>Furniture</x:v>
      </x:c>
      <x:c r="H3431" t="str">
        <x:v>Chairs</x:v>
      </x:c>
      <x:c r="I3431" s="22" t="n">
        <x:v>1408.1</x:v>
      </x:c>
      <x:c r="J3431" s="24" t="n">
        <x:v>10</x:v>
      </x:c>
      <x:c r="K3431" s="26" t="n">
        <x:v>0</x:v>
      </x:c>
      <x:c r="L3431" s="22" t="n">
        <x:v>394.26800000000003</x:v>
      </x:c>
      <x:c r="M3431" t="n">
        <x:v>2015</x:v>
      </x:c>
      <x:c r="N3431" s="20" t="n">
        <x:v>42248</x:v>
      </x:c>
    </x:row>
    <x:row r="3432" ht="18" customHeight="1">
      <x:c r="A3432" t="str">
        <x:v>US-2017-111024</x:v>
      </x:c>
      <x:c r="B3432" s="18" t="n">
        <x:v>42919</x:v>
      </x:c>
      <x:c r="C3432" t="str">
        <x:v>SZ-20035</x:v>
      </x:c>
      <x:c r="D3432" t="str">
        <x:v>Sam Zeldin</x:v>
      </x:c>
      <x:c r="E3432" t="str">
        <x:v>Home Office</x:v>
      </x:c>
      <x:c r="F3432" t="str">
        <x:v>East</x:v>
      </x:c>
      <x:c r="G3432" t="str">
        <x:v>Office Supplies</x:v>
      </x:c>
      <x:c r="H3432" t="str">
        <x:v>Paper</x:v>
      </x:c>
      <x:c r="I3432" s="22" t="n">
        <x:v>32.896</x:v>
      </x:c>
      <x:c r="J3432" s="24" t="n">
        <x:v>4</x:v>
      </x:c>
      <x:c r="K3432" s="26" t="n">
        <x:v>0.2</x:v>
      </x:c>
      <x:c r="L3432" s="22" t="n">
        <x:v>11.102399999999996</x:v>
      </x:c>
      <x:c r="M3432" t="n">
        <x:v>2017</x:v>
      </x:c>
      <x:c r="N3432" s="20" t="n">
        <x:v>42917</x:v>
      </x:c>
    </x:row>
    <x:row r="3433" ht="18" customHeight="1">
      <x:c r="A3433" t="str">
        <x:v>US-2017-111024</x:v>
      </x:c>
      <x:c r="B3433" s="18" t="n">
        <x:v>42919</x:v>
      </x:c>
      <x:c r="C3433" t="str">
        <x:v>SZ-20035</x:v>
      </x:c>
      <x:c r="D3433" t="str">
        <x:v>Sam Zeldin</x:v>
      </x:c>
      <x:c r="E3433" t="str">
        <x:v>Home Office</x:v>
      </x:c>
      <x:c r="F3433" t="str">
        <x:v>East</x:v>
      </x:c>
      <x:c r="G3433" t="str">
        <x:v>Furniture</x:v>
      </x:c>
      <x:c r="H3433" t="str">
        <x:v>Tables</x:v>
      </x:c>
      <x:c r="I3433" s="22" t="n">
        <x:v>215.148</x:v>
      </x:c>
      <x:c r="J3433" s="24" t="n">
        <x:v>2</x:v>
      </x:c>
      <x:c r="K3433" s="26" t="n">
        <x:v>0.4</x:v>
      </x:c>
      <x:c r="L3433" s="22" t="n">
        <x:v>-103.98819999999998</x:v>
      </x:c>
      <x:c r="M3433" t="n">
        <x:v>2017</x:v>
      </x:c>
      <x:c r="N3433" s="20" t="n">
        <x:v>42917</x:v>
      </x:c>
    </x:row>
    <x:row r="3434" ht="18" customHeight="1">
      <x:c r="A3434" t="str">
        <x:v>US-2017-111024</x:v>
      </x:c>
      <x:c r="B3434" s="18" t="n">
        <x:v>42919</x:v>
      </x:c>
      <x:c r="C3434" t="str">
        <x:v>SZ-20035</x:v>
      </x:c>
      <x:c r="D3434" t="str">
        <x:v>Sam Zeldin</x:v>
      </x:c>
      <x:c r="E3434" t="str">
        <x:v>Home Office</x:v>
      </x:c>
      <x:c r="F3434" t="str">
        <x:v>East</x:v>
      </x:c>
      <x:c r="G3434" t="str">
        <x:v>Office Supplies</x:v>
      </x:c>
      <x:c r="H3434" t="str">
        <x:v>Paper</x:v>
      </x:c>
      <x:c r="I3434" s="22" t="n">
        <x:v>30.96</x:v>
      </x:c>
      <x:c r="J3434" s="24" t="n">
        <x:v>6</x:v>
      </x:c>
      <x:c r="K3434" s="26" t="n">
        <x:v>0.2</x:v>
      </x:c>
      <x:c r="L3434" s="22" t="n">
        <x:v>11.223</x:v>
      </x:c>
      <x:c r="M3434" t="n">
        <x:v>2017</x:v>
      </x:c>
      <x:c r="N3434" s="20" t="n">
        <x:v>42917</x:v>
      </x:c>
    </x:row>
    <x:row r="3435" ht="18" customHeight="1">
      <x:c r="A3435" t="str">
        <x:v>CA-2017-148264</x:v>
      </x:c>
      <x:c r="B3435" s="18" t="n">
        <x:v>43077</x:v>
      </x:c>
      <x:c r="C3435" t="str">
        <x:v>LF-17185</x:v>
      </x:c>
      <x:c r="D3435" t="str">
        <x:v>Luke Foster</x:v>
      </x:c>
      <x:c r="E3435" t="str">
        <x:v>Consumer</x:v>
      </x:c>
      <x:c r="F3435" t="str">
        <x:v>West</x:v>
      </x:c>
      <x:c r="G3435" t="str">
        <x:v>Office Supplies</x:v>
      </x:c>
      <x:c r="H3435" t="str">
        <x:v>Storage</x:v>
      </x:c>
      <x:c r="I3435" s="22" t="n">
        <x:v>29.79</x:v>
      </x:c>
      <x:c r="J3435" s="24" t="n">
        <x:v>3</x:v>
      </x:c>
      <x:c r="K3435" s="26" t="n">
        <x:v>0</x:v>
      </x:c>
      <x:c r="L3435" s="22" t="n">
        <x:v>8.639099999999996</x:v>
      </x:c>
      <x:c r="M3435" t="n">
        <x:v>2017</x:v>
      </x:c>
      <x:c r="N3435" s="20" t="n">
        <x:v>43070</x:v>
      </x:c>
    </x:row>
    <x:row r="3436" ht="18" customHeight="1">
      <x:c r="A3436" t="str">
        <x:v>CA-2017-148264</x:v>
      </x:c>
      <x:c r="B3436" s="18" t="n">
        <x:v>43077</x:v>
      </x:c>
      <x:c r="C3436" t="str">
        <x:v>LF-17185</x:v>
      </x:c>
      <x:c r="D3436" t="str">
        <x:v>Luke Foster</x:v>
      </x:c>
      <x:c r="E3436" t="str">
        <x:v>Consumer</x:v>
      </x:c>
      <x:c r="F3436" t="str">
        <x:v>West</x:v>
      </x:c>
      <x:c r="G3436" t="str">
        <x:v>Furniture</x:v>
      </x:c>
      <x:c r="H3436" t="str">
        <x:v>Furnishings</x:v>
      </x:c>
      <x:c r="I3436" s="22" t="n">
        <x:v>128.9</x:v>
      </x:c>
      <x:c r="J3436" s="24" t="n">
        <x:v>2</x:v>
      </x:c>
      <x:c r="K3436" s="26" t="n">
        <x:v>0</x:v>
      </x:c>
      <x:c r="L3436" s="22" t="n">
        <x:v>15.468000000000004</x:v>
      </x:c>
      <x:c r="M3436" t="n">
        <x:v>2017</x:v>
      </x:c>
      <x:c r="N3436" s="20" t="n">
        <x:v>43070</x:v>
      </x:c>
    </x:row>
    <x:row r="3437" ht="18" customHeight="1">
      <x:c r="A3437" t="str">
        <x:v>CA-2017-148264</x:v>
      </x:c>
      <x:c r="B3437" s="18" t="n">
        <x:v>43077</x:v>
      </x:c>
      <x:c r="C3437" t="str">
        <x:v>LF-17185</x:v>
      </x:c>
      <x:c r="D3437" t="str">
        <x:v>Luke Foster</x:v>
      </x:c>
      <x:c r="E3437" t="str">
        <x:v>Consumer</x:v>
      </x:c>
      <x:c r="F3437" t="str">
        <x:v>West</x:v>
      </x:c>
      <x:c r="G3437" t="str">
        <x:v>Office Supplies</x:v>
      </x:c>
      <x:c r="H3437" t="str">
        <x:v>Paper</x:v>
      </x:c>
      <x:c r="I3437" s="22" t="n">
        <x:v>60.12</x:v>
      </x:c>
      <x:c r="J3437" s="24" t="n">
        <x:v>9</x:v>
      </x:c>
      <x:c r="K3437" s="26" t="n">
        <x:v>0</x:v>
      </x:c>
      <x:c r="L3437" s="22" t="n">
        <x:v>28.857599999999998</x:v>
      </x:c>
      <x:c r="M3437" t="n">
        <x:v>2017</x:v>
      </x:c>
      <x:c r="N3437" s="20" t="n">
        <x:v>43070</x:v>
      </x:c>
    </x:row>
    <x:row r="3438" ht="18" customHeight="1">
      <x:c r="A3438" t="str">
        <x:v>CA-2017-131212</x:v>
      </x:c>
      <x:c r="B3438" s="18" t="n">
        <x:v>43074</x:v>
      </x:c>
      <x:c r="C3438" t="str">
        <x:v>AB-10165</x:v>
      </x:c>
      <x:c r="D3438" t="str">
        <x:v>Alan Barnes</x:v>
      </x:c>
      <x:c r="E3438" t="str">
        <x:v>Consumer</x:v>
      </x:c>
      <x:c r="F3438" t="str">
        <x:v>West</x:v>
      </x:c>
      <x:c r="G3438" t="str">
        <x:v>Office Supplies</x:v>
      </x:c>
      <x:c r="H3438" t="str">
        <x:v>Binders</x:v>
      </x:c>
      <x:c r="I3438" s="22" t="n">
        <x:v>24.816000000000003</x:v>
      </x:c>
      <x:c r="J3438" s="24" t="n">
        <x:v>3</x:v>
      </x:c>
      <x:c r="K3438" s="26" t="n">
        <x:v>0.2</x:v>
      </x:c>
      <x:c r="L3438" s="22" t="n">
        <x:v>8.375399999999999</x:v>
      </x:c>
      <x:c r="M3438" t="n">
        <x:v>2017</x:v>
      </x:c>
      <x:c r="N3438" s="20" t="n">
        <x:v>43070</x:v>
      </x:c>
    </x:row>
    <x:row r="3439" ht="18" customHeight="1">
      <x:c r="A3439" t="str">
        <x:v>CA-2017-131212</x:v>
      </x:c>
      <x:c r="B3439" s="18" t="n">
        <x:v>43074</x:v>
      </x:c>
      <x:c r="C3439" t="str">
        <x:v>AB-10165</x:v>
      </x:c>
      <x:c r="D3439" t="str">
        <x:v>Alan Barnes</x:v>
      </x:c>
      <x:c r="E3439" t="str">
        <x:v>Consumer</x:v>
      </x:c>
      <x:c r="F3439" t="str">
        <x:v>West</x:v>
      </x:c>
      <x:c r="G3439" t="str">
        <x:v>Office Supplies</x:v>
      </x:c>
      <x:c r="H3439" t="str">
        <x:v>Binders</x:v>
      </x:c>
      <x:c r="I3439" s="22" t="n">
        <x:v>14.976000000000003</x:v>
      </x:c>
      <x:c r="J3439" s="24" t="n">
        <x:v>6</x:v>
      </x:c>
      <x:c r="K3439" s="26" t="n">
        <x:v>0.2</x:v>
      </x:c>
      <x:c r="L3439" s="22" t="n">
        <x:v>5.428799999999998</x:v>
      </x:c>
      <x:c r="M3439" t="n">
        <x:v>2017</x:v>
      </x:c>
      <x:c r="N3439" s="20" t="n">
        <x:v>43070</x:v>
      </x:c>
    </x:row>
    <x:row r="3440" ht="18" customHeight="1">
      <x:c r="A3440" t="str">
        <x:v>US-2015-100531</x:v>
      </x:c>
      <x:c r="B3440" s="18" t="n">
        <x:v>42274</x:v>
      </x:c>
      <x:c r="C3440" t="str">
        <x:v>NM-18520</x:v>
      </x:c>
      <x:c r="D3440" t="str">
        <x:v>Neoma Murray</x:v>
      </x:c>
      <x:c r="E3440" t="str">
        <x:v>Consumer</x:v>
      </x:c>
      <x:c r="F3440" t="str">
        <x:v>Central</x:v>
      </x:c>
      <x:c r="G3440" t="str">
        <x:v>Office Supplies</x:v>
      </x:c>
      <x:c r="H3440" t="str">
        <x:v>Binders</x:v>
      </x:c>
      <x:c r="I3440" s="22" t="n">
        <x:v>15.079999999999998</x:v>
      </x:c>
      <x:c r="J3440" s="24" t="n">
        <x:v>2</x:v>
      </x:c>
      <x:c r="K3440" s="26" t="n">
        <x:v>0.8</x:v>
      </x:c>
      <x:c r="L3440" s="22" t="n">
        <x:v>-22.620000000000005</x:v>
      </x:c>
      <x:c r="M3440" t="n">
        <x:v>2015</x:v>
      </x:c>
      <x:c r="N3440" s="20" t="n">
        <x:v>42248</x:v>
      </x:c>
    </x:row>
    <x:row r="3441" ht="18" customHeight="1">
      <x:c r="A3441" t="str">
        <x:v>US-2015-100531</x:v>
      </x:c>
      <x:c r="B3441" s="18" t="n">
        <x:v>42274</x:v>
      </x:c>
      <x:c r="C3441" t="str">
        <x:v>NM-18520</x:v>
      </x:c>
      <x:c r="D3441" t="str">
        <x:v>Neoma Murray</x:v>
      </x:c>
      <x:c r="E3441" t="str">
        <x:v>Consumer</x:v>
      </x:c>
      <x:c r="F3441" t="str">
        <x:v>Central</x:v>
      </x:c>
      <x:c r="G3441" t="str">
        <x:v>Furniture</x:v>
      </x:c>
      <x:c r="H3441" t="str">
        <x:v>Furnishings</x:v>
      </x:c>
      <x:c r="I3441" s="22" t="n">
        <x:v>24.288</x:v>
      </x:c>
      <x:c r="J3441" s="24" t="n">
        <x:v>3</x:v>
      </x:c>
      <x:c r="K3441" s="26" t="n">
        <x:v>0.6</x:v>
      </x:c>
      <x:c r="L3441" s="22" t="n">
        <x:v>-12.751199999999997</x:v>
      </x:c>
      <x:c r="M3441" t="n">
        <x:v>2015</x:v>
      </x:c>
      <x:c r="N3441" s="20" t="n">
        <x:v>42248</x:v>
      </x:c>
    </x:row>
    <x:row r="3442" ht="18" customHeight="1">
      <x:c r="A3442" t="str">
        <x:v>CA-2017-152583</x:v>
      </x:c>
      <x:c r="B3442" s="18" t="n">
        <x:v>43038</x:v>
      </x:c>
      <x:c r="C3442" t="str">
        <x:v>RA-19945</x:v>
      </x:c>
      <x:c r="D3442" t="str">
        <x:v>Ryan Akin</x:v>
      </x:c>
      <x:c r="E3442" t="str">
        <x:v>Consumer</x:v>
      </x:c>
      <x:c r="F3442" t="str">
        <x:v>Central</x:v>
      </x:c>
      <x:c r="G3442" t="str">
        <x:v>Furniture</x:v>
      </x:c>
      <x:c r="H3442" t="str">
        <x:v>Furnishings</x:v>
      </x:c>
      <x:c r="I3442" s="22" t="n">
        <x:v>16.192</x:v>
      </x:c>
      <x:c r="J3442" s="24" t="n">
        <x:v>2</x:v>
      </x:c>
      <x:c r="K3442" s="26" t="n">
        <x:v>0.6</x:v>
      </x:c>
      <x:c r="L3442" s="22" t="n">
        <x:v>-8.500799999999998</x:v>
      </x:c>
      <x:c r="M3442" t="n">
        <x:v>2017</x:v>
      </x:c>
      <x:c r="N3442" s="20" t="n">
        <x:v>43009</x:v>
      </x:c>
    </x:row>
    <x:row r="3443" ht="18" customHeight="1">
      <x:c r="A3443" t="str">
        <x:v>CA-2017-152583</x:v>
      </x:c>
      <x:c r="B3443" s="18" t="n">
        <x:v>43038</x:v>
      </x:c>
      <x:c r="C3443" t="str">
        <x:v>RA-19945</x:v>
      </x:c>
      <x:c r="D3443" t="str">
        <x:v>Ryan Akin</x:v>
      </x:c>
      <x:c r="E3443" t="str">
        <x:v>Consumer</x:v>
      </x:c>
      <x:c r="F3443" t="str">
        <x:v>Central</x:v>
      </x:c>
      <x:c r="G3443" t="str">
        <x:v>Furniture</x:v>
      </x:c>
      <x:c r="H3443" t="str">
        <x:v>Tables</x:v>
      </x:c>
      <x:c r="I3443" s="22" t="n">
        <x:v>251.00599999999997</x:v>
      </x:c>
      <x:c r="J3443" s="24" t="n">
        <x:v>2</x:v>
      </x:c>
      <x:c r="K3443" s="26" t="n">
        <x:v>0.3</x:v>
      </x:c>
      <x:c r="L3443" s="22" t="n">
        <x:v>-68.13019999999999</x:v>
      </x:c>
      <x:c r="M3443" t="n">
        <x:v>2017</x:v>
      </x:c>
      <x:c r="N3443" s="20" t="n">
        <x:v>43009</x:v>
      </x:c>
    </x:row>
    <x:row r="3444" ht="18" customHeight="1">
      <x:c r="A3444" t="str">
        <x:v>CA-2017-152583</x:v>
      </x:c>
      <x:c r="B3444" s="18" t="n">
        <x:v>43038</x:v>
      </x:c>
      <x:c r="C3444" t="str">
        <x:v>RA-19945</x:v>
      </x:c>
      <x:c r="D3444" t="str">
        <x:v>Ryan Akin</x:v>
      </x:c>
      <x:c r="E3444" t="str">
        <x:v>Consumer</x:v>
      </x:c>
      <x:c r="F3444" t="str">
        <x:v>Central</x:v>
      </x:c>
      <x:c r="G3444" t="str">
        <x:v>Office Supplies</x:v>
      </x:c>
      <x:c r="H3444" t="str">
        <x:v>Storage</x:v>
      </x:c>
      <x:c r="I3444" s="22" t="n">
        <x:v>54.192</x:v>
      </x:c>
      <x:c r="J3444" s="24" t="n">
        <x:v>6</x:v>
      </x:c>
      <x:c r="K3444" s="26" t="n">
        <x:v>0.2</x:v>
      </x:c>
      <x:c r="L3444" s="22" t="n">
        <x:v>4.064399999999997</x:v>
      </x:c>
      <x:c r="M3444" t="n">
        <x:v>2017</x:v>
      </x:c>
      <x:c r="N3444" s="20" t="n">
        <x:v>43009</x:v>
      </x:c>
    </x:row>
    <x:row r="3445" ht="18" customHeight="1">
      <x:c r="A3445" t="str">
        <x:v>CA-2015-144099</x:v>
      </x:c>
      <x:c r="B3445" s="18" t="n">
        <x:v>42337</x:v>
      </x:c>
      <x:c r="C3445" t="str">
        <x:v>PO-19195</x:v>
      </x:c>
      <x:c r="D3445" t="str">
        <x:v>Phillina Ober</x:v>
      </x:c>
      <x:c r="E3445" t="str">
        <x:v>Home Office</x:v>
      </x:c>
      <x:c r="F3445" t="str">
        <x:v>West</x:v>
      </x:c>
      <x:c r="G3445" t="str">
        <x:v>Office Supplies</x:v>
      </x:c>
      <x:c r="H3445" t="str">
        <x:v>Binders</x:v>
      </x:c>
      <x:c r="I3445" s="22" t="n">
        <x:v>4.304</x:v>
      </x:c>
      <x:c r="J3445" s="24" t="n">
        <x:v>1</x:v>
      </x:c>
      <x:c r="K3445" s="26" t="n">
        <x:v>0.2</x:v>
      </x:c>
      <x:c r="L3445" s="22" t="n">
        <x:v>1.5602</x:v>
      </x:c>
      <x:c r="M3445" t="n">
        <x:v>2015</x:v>
      </x:c>
      <x:c r="N3445" s="20" t="n">
        <x:v>42309</x:v>
      </x:c>
    </x:row>
    <x:row r="3446" ht="18" customHeight="1">
      <x:c r="A3446" t="str">
        <x:v>CA-2014-158337</x:v>
      </x:c>
      <x:c r="B3446" s="18" t="n">
        <x:v>41709</x:v>
      </x:c>
      <x:c r="C3446" t="str">
        <x:v>KA-16525</x:v>
      </x:c>
      <x:c r="D3446" t="str">
        <x:v>Kelly Andreada</x:v>
      </x:c>
      <x:c r="E3446" t="str">
        <x:v>Consumer</x:v>
      </x:c>
      <x:c r="F3446" t="str">
        <x:v>East</x:v>
      </x:c>
      <x:c r="G3446" t="str">
        <x:v>Office Supplies</x:v>
      </x:c>
      <x:c r="H3446" t="str">
        <x:v>Paper</x:v>
      </x:c>
      <x:c r="I3446" s="22" t="n">
        <x:v>108.92</x:v>
      </x:c>
      <x:c r="J3446" s="24" t="n">
        <x:v>14</x:v>
      </x:c>
      <x:c r="K3446" s="26" t="n">
        <x:v>0</x:v>
      </x:c>
      <x:c r="L3446" s="22" t="n">
        <x:v>49.013999999999996</x:v>
      </x:c>
      <x:c r="M3446" t="n">
        <x:v>2014</x:v>
      </x:c>
      <x:c r="N3446" s="20" t="n">
        <x:v>41699</x:v>
      </x:c>
    </x:row>
    <x:row r="3447" ht="18" customHeight="1">
      <x:c r="A3447" t="str">
        <x:v>CA-2017-168858</x:v>
      </x:c>
      <x:c r="B3447" s="18" t="n">
        <x:v>43058</x:v>
      </x:c>
      <x:c r="C3447" t="str">
        <x:v>JD-16150</x:v>
      </x:c>
      <x:c r="D3447" t="str">
        <x:v>Justin Deggeller</x:v>
      </x:c>
      <x:c r="E3447" t="str">
        <x:v>Corporate</x:v>
      </x:c>
      <x:c r="F3447" t="str">
        <x:v>East</x:v>
      </x:c>
      <x:c r="G3447" t="str">
        <x:v>Office Supplies</x:v>
      </x:c>
      <x:c r="H3447" t="str">
        <x:v>Envelopes</x:v>
      </x:c>
      <x:c r="I3447" s="22" t="n">
        <x:v>16.740000000000002</x:v>
      </x:c>
      <x:c r="J3447" s="24" t="n">
        <x:v>3</x:v>
      </x:c>
      <x:c r="K3447" s="26" t="n">
        <x:v>0</x:v>
      </x:c>
      <x:c r="L3447" s="22" t="n">
        <x:v>8.370000000000001</x:v>
      </x:c>
      <x:c r="M3447" t="n">
        <x:v>2017</x:v>
      </x:c>
      <x:c r="N3447" s="20" t="n">
        <x:v>43040</x:v>
      </x:c>
    </x:row>
    <x:row r="3448" ht="18" customHeight="1">
      <x:c r="A3448" t="str">
        <x:v>CA-2017-168858</x:v>
      </x:c>
      <x:c r="B3448" s="18" t="n">
        <x:v>43058</x:v>
      </x:c>
      <x:c r="C3448" t="str">
        <x:v>JD-16150</x:v>
      </x:c>
      <x:c r="D3448" t="str">
        <x:v>Justin Deggeller</x:v>
      </x:c>
      <x:c r="E3448" t="str">
        <x:v>Corporate</x:v>
      </x:c>
      <x:c r="F3448" t="str">
        <x:v>East</x:v>
      </x:c>
      <x:c r="G3448" t="str">
        <x:v>Office Supplies</x:v>
      </x:c>
      <x:c r="H3448" t="str">
        <x:v>Appliances</x:v>
      </x:c>
      <x:c r="I3448" s="22" t="n">
        <x:v>2504.74</x:v>
      </x:c>
      <x:c r="J3448" s="24" t="n">
        <x:v>7</x:v>
      </x:c>
      <x:c r="K3448" s="26" t="n">
        <x:v>0</x:v>
      </x:c>
      <x:c r="L3448" s="22" t="n">
        <x:v>626.185</x:v>
      </x:c>
      <x:c r="M3448" t="n">
        <x:v>2017</x:v>
      </x:c>
      <x:c r="N3448" s="20" t="n">
        <x:v>43040</x:v>
      </x:c>
    </x:row>
    <x:row r="3449" ht="18" customHeight="1">
      <x:c r="A3449" t="str">
        <x:v>CA-2016-116344</x:v>
      </x:c>
      <x:c r="B3449" s="18" t="n">
        <x:v>42580</x:v>
      </x:c>
      <x:c r="C3449" t="str">
        <x:v>JO-15145</x:v>
      </x:c>
      <x:c r="D3449" t="str">
        <x:v>Jack O'Briant</x:v>
      </x:c>
      <x:c r="E3449" t="str">
        <x:v>Corporate</x:v>
      </x:c>
      <x:c r="F3449" t="str">
        <x:v>East</x:v>
      </x:c>
      <x:c r="G3449" t="str">
        <x:v>Office Supplies</x:v>
      </x:c>
      <x:c r="H3449" t="str">
        <x:v>Storage</x:v>
      </x:c>
      <x:c r="I3449" s="22" t="n">
        <x:v>84.784</x:v>
      </x:c>
      <x:c r="J3449" s="24" t="n">
        <x:v>2</x:v>
      </x:c>
      <x:c r="K3449" s="26" t="n">
        <x:v>0.2</x:v>
      </x:c>
      <x:c r="L3449" s="22" t="n">
        <x:v>-16.956800000000005</x:v>
      </x:c>
      <x:c r="M3449" t="n">
        <x:v>2016</x:v>
      </x:c>
      <x:c r="N3449" s="20" t="n">
        <x:v>42552</x:v>
      </x:c>
    </x:row>
    <x:row r="3450" ht="18" customHeight="1">
      <x:c r="A3450" t="str">
        <x:v>CA-2015-131779</x:v>
      </x:c>
      <x:c r="B3450" s="18" t="n">
        <x:v>42167</x:v>
      </x:c>
      <x:c r="C3450" t="str">
        <x:v>LE-16810</x:v>
      </x:c>
      <x:c r="D3450" t="str">
        <x:v>Laurel Elliston</x:v>
      </x:c>
      <x:c r="E3450" t="str">
        <x:v>Consumer</x:v>
      </x:c>
      <x:c r="F3450" t="str">
        <x:v>East</x:v>
      </x:c>
      <x:c r="G3450" t="str">
        <x:v>Office Supplies</x:v>
      </x:c>
      <x:c r="H3450" t="str">
        <x:v>Storage</x:v>
      </x:c>
      <x:c r="I3450" s="22" t="n">
        <x:v>29.900000000000002</x:v>
      </x:c>
      <x:c r="J3450" s="24" t="n">
        <x:v>5</x:v>
      </x:c>
      <x:c r="K3450" s="26" t="n">
        <x:v>0</x:v>
      </x:c>
      <x:c r="L3450" s="22" t="n">
        <x:v>5.0829999999999975</x:v>
      </x:c>
      <x:c r="M3450" t="n">
        <x:v>2015</x:v>
      </x:c>
      <x:c r="N3450" s="20" t="n">
        <x:v>42156</x:v>
      </x:c>
    </x:row>
    <x:row r="3451" ht="18" customHeight="1">
      <x:c r="A3451" t="str">
        <x:v>CA-2016-158869</x:v>
      </x:c>
      <x:c r="B3451" s="18" t="n">
        <x:v>42588</x:v>
      </x:c>
      <x:c r="C3451" t="str">
        <x:v>AH-10690</x:v>
      </x:c>
      <x:c r="D3451" t="str">
        <x:v>Anna Häberlin</x:v>
      </x:c>
      <x:c r="E3451" t="str">
        <x:v>Corporate</x:v>
      </x:c>
      <x:c r="F3451" t="str">
        <x:v>East</x:v>
      </x:c>
      <x:c r="G3451" t="str">
        <x:v>Office Supplies</x:v>
      </x:c>
      <x:c r="H3451" t="str">
        <x:v>Paper</x:v>
      </x:c>
      <x:c r="I3451" s="22" t="n">
        <x:v>70.88</x:v>
      </x:c>
      <x:c r="J3451" s="24" t="n">
        <x:v>2</x:v>
      </x:c>
      <x:c r="K3451" s="26" t="n">
        <x:v>0</x:v>
      </x:c>
      <x:c r="L3451" s="22" t="n">
        <x:v>33.313599999999994</x:v>
      </x:c>
      <x:c r="M3451" t="n">
        <x:v>2016</x:v>
      </x:c>
      <x:c r="N3451" s="20" t="n">
        <x:v>42583</x:v>
      </x:c>
    </x:row>
    <x:row r="3452" ht="18" customHeight="1">
      <x:c r="A3452" t="str">
        <x:v>CA-2017-102554</x:v>
      </x:c>
      <x:c r="B3452" s="18" t="n">
        <x:v>42897</x:v>
      </x:c>
      <x:c r="C3452" t="str">
        <x:v>KN-16705</x:v>
      </x:c>
      <x:c r="D3452" t="str">
        <x:v>Kristina Nunn</x:v>
      </x:c>
      <x:c r="E3452" t="str">
        <x:v>Home Office</x:v>
      </x:c>
      <x:c r="F3452" t="str">
        <x:v>South</x:v>
      </x:c>
      <x:c r="G3452" t="str">
        <x:v>Office Supplies</x:v>
      </x:c>
      <x:c r="H3452" t="str">
        <x:v>Art</x:v>
      </x:c>
      <x:c r="I3452" s="22" t="n">
        <x:v>3.76</x:v>
      </x:c>
      <x:c r="J3452" s="24" t="n">
        <x:v>2</x:v>
      </x:c>
      <x:c r="K3452" s="26" t="n">
        <x:v>0</x:v>
      </x:c>
      <x:c r="L3452" s="22" t="n">
        <x:v>1.0903999999999998</x:v>
      </x:c>
      <x:c r="M3452" t="n">
        <x:v>2017</x:v>
      </x:c>
      <x:c r="N3452" s="20" t="n">
        <x:v>42887</x:v>
      </x:c>
    </x:row>
    <x:row r="3453" ht="18" customHeight="1">
      <x:c r="A3453" t="str">
        <x:v>CA-2016-162614</x:v>
      </x:c>
      <x:c r="B3453" s="18" t="n">
        <x:v>42650</x:v>
      </x:c>
      <x:c r="C3453" t="str">
        <x:v>TB-21250</x:v>
      </x:c>
      <x:c r="D3453" t="str">
        <x:v>Tim Brockman</x:v>
      </x:c>
      <x:c r="E3453" t="str">
        <x:v>Consumer</x:v>
      </x:c>
      <x:c r="F3453" t="str">
        <x:v>West</x:v>
      </x:c>
      <x:c r="G3453" t="str">
        <x:v>Office Supplies</x:v>
      </x:c>
      <x:c r="H3453" t="str">
        <x:v>Binders</x:v>
      </x:c>
      <x:c r="I3453" s="22" t="n">
        <x:v>27.264</x:v>
      </x:c>
      <x:c r="J3453" s="24" t="n">
        <x:v>2</x:v>
      </x:c>
      <x:c r="K3453" s="26" t="n">
        <x:v>0.2</x:v>
      </x:c>
      <x:c r="L3453" s="22" t="n">
        <x:v>8.860799999999998</x:v>
      </x:c>
      <x:c r="M3453" t="n">
        <x:v>2016</x:v>
      </x:c>
      <x:c r="N3453" s="20" t="n">
        <x:v>42644</x:v>
      </x:c>
    </x:row>
    <x:row r="3454" ht="18" customHeight="1">
      <x:c r="A3454" t="str">
        <x:v>CA-2014-168592</x:v>
      </x:c>
      <x:c r="B3454" s="18" t="n">
        <x:v>41890</x:v>
      </x:c>
      <x:c r="C3454" t="str">
        <x:v>DP-13390</x:v>
      </x:c>
      <x:c r="D3454" t="str">
        <x:v>Dennis Pardue</x:v>
      </x:c>
      <x:c r="E3454" t="str">
        <x:v>Home Office</x:v>
      </x:c>
      <x:c r="F3454" t="str">
        <x:v>West</x:v>
      </x:c>
      <x:c r="G3454" t="str">
        <x:v>Office Supplies</x:v>
      </x:c>
      <x:c r="H3454" t="str">
        <x:v>Appliances</x:v>
      </x:c>
      <x:c r="I3454" s="22" t="n">
        <x:v>56.65</x:v>
      </x:c>
      <x:c r="J3454" s="24" t="n">
        <x:v>5</x:v>
      </x:c>
      <x:c r="K3454" s="26" t="n">
        <x:v>0</x:v>
      </x:c>
      <x:c r="L3454" s="22" t="n">
        <x:v>24.359500000000004</x:v>
      </x:c>
      <x:c r="M3454" t="n">
        <x:v>2014</x:v>
      </x:c>
      <x:c r="N3454" s="20" t="n">
        <x:v>41883</x:v>
      </x:c>
    </x:row>
    <x:row r="3455" ht="18" customHeight="1">
      <x:c r="A3455" t="str">
        <x:v>CA-2014-168592</x:v>
      </x:c>
      <x:c r="B3455" s="18" t="n">
        <x:v>41890</x:v>
      </x:c>
      <x:c r="C3455" t="str">
        <x:v>DP-13390</x:v>
      </x:c>
      <x:c r="D3455" t="str">
        <x:v>Dennis Pardue</x:v>
      </x:c>
      <x:c r="E3455" t="str">
        <x:v>Home Office</x:v>
      </x:c>
      <x:c r="F3455" t="str">
        <x:v>West</x:v>
      </x:c>
      <x:c r="G3455" t="str">
        <x:v>Office Supplies</x:v>
      </x:c>
      <x:c r="H3455" t="str">
        <x:v>Storage</x:v>
      </x:c>
      <x:c r="I3455" s="22" t="n">
        <x:v>14.97</x:v>
      </x:c>
      <x:c r="J3455" s="24" t="n">
        <x:v>1</x:v>
      </x:c>
      <x:c r="K3455" s="26" t="n">
        <x:v>0</x:v>
      </x:c>
      <x:c r="L3455" s="22" t="n">
        <x:v>4.191600000000001</x:v>
      </x:c>
      <x:c r="M3455" t="n">
        <x:v>2014</x:v>
      </x:c>
      <x:c r="N3455" s="20" t="n">
        <x:v>41883</x:v>
      </x:c>
    </x:row>
    <x:row r="3456" ht="18" customHeight="1">
      <x:c r="A3456" t="str">
        <x:v>CA-2014-168592</x:v>
      </x:c>
      <x:c r="B3456" s="18" t="n">
        <x:v>41890</x:v>
      </x:c>
      <x:c r="C3456" t="str">
        <x:v>DP-13390</x:v>
      </x:c>
      <x:c r="D3456" t="str">
        <x:v>Dennis Pardue</x:v>
      </x:c>
      <x:c r="E3456" t="str">
        <x:v>Home Office</x:v>
      </x:c>
      <x:c r="F3456" t="str">
        <x:v>West</x:v>
      </x:c>
      <x:c r="G3456" t="str">
        <x:v>Office Supplies</x:v>
      </x:c>
      <x:c r="H3456" t="str">
        <x:v>Fasteners</x:v>
      </x:c>
      <x:c r="I3456" s="22" t="n">
        <x:v>4.02</x:v>
      </x:c>
      <x:c r="J3456" s="24" t="n">
        <x:v>2</x:v>
      </x:c>
      <x:c r="K3456" s="26" t="n">
        <x:v>0</x:v>
      </x:c>
      <x:c r="L3456" s="22" t="n">
        <x:v>1.9697999999999998</x:v>
      </x:c>
      <x:c r="M3456" t="n">
        <x:v>2014</x:v>
      </x:c>
      <x:c r="N3456" s="20" t="n">
        <x:v>41883</x:v>
      </x:c>
    </x:row>
    <x:row r="3457" ht="18" customHeight="1">
      <x:c r="A3457" t="str">
        <x:v>CA-2014-157609</x:v>
      </x:c>
      <x:c r="B3457" s="18" t="n">
        <x:v>41714</x:v>
      </x:c>
      <x:c r="C3457" t="str">
        <x:v>KN-16705</x:v>
      </x:c>
      <x:c r="D3457" t="str">
        <x:v>Kristina Nunn</x:v>
      </x:c>
      <x:c r="E3457" t="str">
        <x:v>Home Office</x:v>
      </x:c>
      <x:c r="F3457" t="str">
        <x:v>South</x:v>
      </x:c>
      <x:c r="G3457" t="str">
        <x:v>Technology</x:v>
      </x:c>
      <x:c r="H3457" t="str">
        <x:v>Phones</x:v>
      </x:c>
      <x:c r="I3457" s="22" t="n">
        <x:v>471.92</x:v>
      </x:c>
      <x:c r="J3457" s="24" t="n">
        <x:v>2</x:v>
      </x:c>
      <x:c r="K3457" s="26" t="n">
        <x:v>0.2</x:v>
      </x:c>
      <x:c r="L3457" s="22" t="n">
        <x:v>29.49500000000002</x:v>
      </x:c>
      <x:c r="M3457" t="n">
        <x:v>2014</x:v>
      </x:c>
      <x:c r="N3457" s="20" t="n">
        <x:v>41699</x:v>
      </x:c>
    </x:row>
    <x:row r="3458" ht="18" customHeight="1">
      <x:c r="A3458" t="str">
        <x:v>CA-2015-153325</x:v>
      </x:c>
      <x:c r="B3458" s="18" t="n">
        <x:v>42064</x:v>
      </x:c>
      <x:c r="C3458" t="str">
        <x:v>ST-20530</x:v>
      </x:c>
      <x:c r="D3458" t="str">
        <x:v>Shui Tom</x:v>
      </x:c>
      <x:c r="E3458" t="str">
        <x:v>Consumer</x:v>
      </x:c>
      <x:c r="F3458" t="str">
        <x:v>South</x:v>
      </x:c>
      <x:c r="G3458" t="str">
        <x:v>Office Supplies</x:v>
      </x:c>
      <x:c r="H3458" t="str">
        <x:v>Binders</x:v>
      </x:c>
      <x:c r="I3458" s="22" t="n">
        <x:v>58.72</x:v>
      </x:c>
      <x:c r="J3458" s="24" t="n">
        <x:v>4</x:v>
      </x:c>
      <x:c r="K3458" s="26" t="n">
        <x:v>0</x:v>
      </x:c>
      <x:c r="L3458" s="22" t="n">
        <x:v>27.0112</x:v>
      </x:c>
      <x:c r="M3458" t="n">
        <x:v>2015</x:v>
      </x:c>
      <x:c r="N3458" s="20" t="n">
        <x:v>42064</x:v>
      </x:c>
    </x:row>
    <x:row r="3459" ht="18" customHeight="1">
      <x:c r="A3459" t="str">
        <x:v>CA-2015-153626</x:v>
      </x:c>
      <x:c r="B3459" s="18" t="n">
        <x:v>42194</x:v>
      </x:c>
      <x:c r="C3459" t="str">
        <x:v>EB-13870</x:v>
      </x:c>
      <x:c r="D3459" t="str">
        <x:v>Emily Burns</x:v>
      </x:c>
      <x:c r="E3459" t="str">
        <x:v>Consumer</x:v>
      </x:c>
      <x:c r="F3459" t="str">
        <x:v>South</x:v>
      </x:c>
      <x:c r="G3459" t="str">
        <x:v>Office Supplies</x:v>
      </x:c>
      <x:c r="H3459" t="str">
        <x:v>Art</x:v>
      </x:c>
      <x:c r="I3459" s="22" t="n">
        <x:v>5.16</x:v>
      </x:c>
      <x:c r="J3459" s="24" t="n">
        <x:v>3</x:v>
      </x:c>
      <x:c r="K3459" s="26" t="n">
        <x:v>0.2</x:v>
      </x:c>
      <x:c r="L3459" s="22" t="n">
        <x:v>0.8384999999999994</x:v>
      </x:c>
      <x:c r="M3459" t="n">
        <x:v>2015</x:v>
      </x:c>
      <x:c r="N3459" s="20" t="n">
        <x:v>42186</x:v>
      </x:c>
    </x:row>
    <x:row r="3460" ht="18" customHeight="1">
      <x:c r="A3460" t="str">
        <x:v>CA-2016-166485</x:v>
      </x:c>
      <x:c r="B3460" s="18" t="n">
        <x:v>42420</x:v>
      </x:c>
      <x:c r="C3460" t="str">
        <x:v>AH-10210</x:v>
      </x:c>
      <x:c r="D3460" t="str">
        <x:v>Alan Hwang</x:v>
      </x:c>
      <x:c r="E3460" t="str">
        <x:v>Consumer</x:v>
      </x:c>
      <x:c r="F3460" t="str">
        <x:v>South</x:v>
      </x:c>
      <x:c r="G3460" t="str">
        <x:v>Office Supplies</x:v>
      </x:c>
      <x:c r="H3460" t="str">
        <x:v>Paper</x:v>
      </x:c>
      <x:c r="I3460" s="22" t="n">
        <x:v>16.496000000000002</x:v>
      </x:c>
      <x:c r="J3460" s="24" t="n">
        <x:v>2</x:v>
      </x:c>
      <x:c r="K3460" s="26" t="n">
        <x:v>0.2</x:v>
      </x:c>
      <x:c r="L3460" s="22" t="n">
        <x:v>5.567399999999999</x:v>
      </x:c>
      <x:c r="M3460" t="n">
        <x:v>2016</x:v>
      </x:c>
      <x:c r="N3460" s="20" t="n">
        <x:v>42401</x:v>
      </x:c>
    </x:row>
    <x:row r="3461" ht="18" customHeight="1">
      <x:c r="A3461" t="str">
        <x:v>CA-2017-136448</x:v>
      </x:c>
      <x:c r="B3461" s="18" t="n">
        <x:v>42994</x:v>
      </x:c>
      <x:c r="C3461" t="str">
        <x:v>AS-10090</x:v>
      </x:c>
      <x:c r="D3461" t="str">
        <x:v>Adam Shillingsburg</x:v>
      </x:c>
      <x:c r="E3461" t="str">
        <x:v>Consumer</x:v>
      </x:c>
      <x:c r="F3461" t="str">
        <x:v>East</x:v>
      </x:c>
      <x:c r="G3461" t="str">
        <x:v>Technology</x:v>
      </x:c>
      <x:c r="H3461" t="str">
        <x:v>Accessories</x:v>
      </x:c>
      <x:c r="I3461" s="22" t="n">
        <x:v>71.976</x:v>
      </x:c>
      <x:c r="J3461" s="24" t="n">
        <x:v>3</x:v>
      </x:c>
      <x:c r="K3461" s="26" t="n">
        <x:v>0.2</x:v>
      </x:c>
      <x:c r="L3461" s="22" t="n">
        <x:v>19.793400000000005</x:v>
      </x:c>
      <x:c r="M3461" t="n">
        <x:v>2017</x:v>
      </x:c>
      <x:c r="N3461" s="20" t="n">
        <x:v>42979</x:v>
      </x:c>
    </x:row>
    <x:row r="3462" ht="18" customHeight="1">
      <x:c r="A3462" t="str">
        <x:v>CA-2017-136448</x:v>
      </x:c>
      <x:c r="B3462" s="18" t="n">
        <x:v>42994</x:v>
      </x:c>
      <x:c r="C3462" t="str">
        <x:v>AS-10090</x:v>
      </x:c>
      <x:c r="D3462" t="str">
        <x:v>Adam Shillingsburg</x:v>
      </x:c>
      <x:c r="E3462" t="str">
        <x:v>Consumer</x:v>
      </x:c>
      <x:c r="F3462" t="str">
        <x:v>East</x:v>
      </x:c>
      <x:c r="G3462" t="str">
        <x:v>Furniture</x:v>
      </x:c>
      <x:c r="H3462" t="str">
        <x:v>Furnishings</x:v>
      </x:c>
      <x:c r="I3462" s="22" t="n">
        <x:v>22.512000000000004</x:v>
      </x:c>
      <x:c r="J3462" s="24" t="n">
        <x:v>3</x:v>
      </x:c>
      <x:c r="K3462" s="26" t="n">
        <x:v>0.2</x:v>
      </x:c>
      <x:c r="L3462" s="22" t="n">
        <x:v>2.2512</x:v>
      </x:c>
      <x:c r="M3462" t="n">
        <x:v>2017</x:v>
      </x:c>
      <x:c r="N3462" s="20" t="n">
        <x:v>42979</x:v>
      </x:c>
    </x:row>
    <x:row r="3463" ht="18" customHeight="1">
      <x:c r="A3463" t="str">
        <x:v>CA-2017-136448</x:v>
      </x:c>
      <x:c r="B3463" s="18" t="n">
        <x:v>42994</x:v>
      </x:c>
      <x:c r="C3463" t="str">
        <x:v>AS-10090</x:v>
      </x:c>
      <x:c r="D3463" t="str">
        <x:v>Adam Shillingsburg</x:v>
      </x:c>
      <x:c r="E3463" t="str">
        <x:v>Consumer</x:v>
      </x:c>
      <x:c r="F3463" t="str">
        <x:v>East</x:v>
      </x:c>
      <x:c r="G3463" t="str">
        <x:v>Office Supplies</x:v>
      </x:c>
      <x:c r="H3463" t="str">
        <x:v>Binders</x:v>
      </x:c>
      <x:c r="I3463" s="22" t="n">
        <x:v>3.444000000000001</x:v>
      </x:c>
      <x:c r="J3463" s="24" t="n">
        <x:v>2</x:v>
      </x:c>
      <x:c r="K3463" s="26" t="n">
        <x:v>0.7</x:v>
      </x:c>
      <x:c r="L3463" s="22" t="n">
        <x:v>-2.7551999999999994</x:v>
      </x:c>
      <x:c r="M3463" t="n">
        <x:v>2017</x:v>
      </x:c>
      <x:c r="N3463" s="20" t="n">
        <x:v>42979</x:v>
      </x:c>
    </x:row>
    <x:row r="3464" ht="18" customHeight="1">
      <x:c r="A3464" t="str">
        <x:v>CA-2017-136448</x:v>
      </x:c>
      <x:c r="B3464" s="18" t="n">
        <x:v>42994</x:v>
      </x:c>
      <x:c r="C3464" t="str">
        <x:v>AS-10090</x:v>
      </x:c>
      <x:c r="D3464" t="str">
        <x:v>Adam Shillingsburg</x:v>
      </x:c>
      <x:c r="E3464" t="str">
        <x:v>Consumer</x:v>
      </x:c>
      <x:c r="F3464" t="str">
        <x:v>East</x:v>
      </x:c>
      <x:c r="G3464" t="str">
        <x:v>Office Supplies</x:v>
      </x:c>
      <x:c r="H3464" t="str">
        <x:v>Binders</x:v>
      </x:c>
      <x:c r="I3464" s="22" t="n">
        <x:v>538.1940000000001</x:v>
      </x:c>
      <x:c r="J3464" s="24" t="n">
        <x:v>2</x:v>
      </x:c>
      <x:c r="K3464" s="26" t="n">
        <x:v>0.7</x:v>
      </x:c>
      <x:c r="L3464" s="22" t="n">
        <x:v>-412.6153999999999</x:v>
      </x:c>
      <x:c r="M3464" t="n">
        <x:v>2017</x:v>
      </x:c>
      <x:c r="N3464" s="20" t="n">
        <x:v>42979</x:v>
      </x:c>
    </x:row>
    <x:row r="3465" ht="18" customHeight="1">
      <x:c r="A3465" t="str">
        <x:v>CA-2017-136448</x:v>
      </x:c>
      <x:c r="B3465" s="18" t="n">
        <x:v>42994</x:v>
      </x:c>
      <x:c r="C3465" t="str">
        <x:v>AS-10090</x:v>
      </x:c>
      <x:c r="D3465" t="str">
        <x:v>Adam Shillingsburg</x:v>
      </x:c>
      <x:c r="E3465" t="str">
        <x:v>Consumer</x:v>
      </x:c>
      <x:c r="F3465" t="str">
        <x:v>East</x:v>
      </x:c>
      <x:c r="G3465" t="str">
        <x:v>Technology</x:v>
      </x:c>
      <x:c r="H3465" t="str">
        <x:v>Accessories</x:v>
      </x:c>
      <x:c r="I3465" s="22" t="n">
        <x:v>47.984</x:v>
      </x:c>
      <x:c r="J3465" s="24" t="n">
        <x:v>2</x:v>
      </x:c>
      <x:c r="K3465" s="26" t="n">
        <x:v>0.2</x:v>
      </x:c>
      <x:c r="L3465" s="22" t="n">
        <x:v>14.395200000000004</x:v>
      </x:c>
      <x:c r="M3465" t="n">
        <x:v>2017</x:v>
      </x:c>
      <x:c r="N3465" s="20" t="n">
        <x:v>42979</x:v>
      </x:c>
    </x:row>
    <x:row r="3466" ht="18" customHeight="1">
      <x:c r="A3466" t="str">
        <x:v>CA-2017-114258</x:v>
      </x:c>
      <x:c r="B3466" s="18" t="n">
        <x:v>43044</x:v>
      </x:c>
      <x:c r="C3466" t="str">
        <x:v>EM-13825</x:v>
      </x:c>
      <x:c r="D3466" t="str">
        <x:v>Elizabeth Moffitt</x:v>
      </x:c>
      <x:c r="E3466" t="str">
        <x:v>Corporate</x:v>
      </x:c>
      <x:c r="F3466" t="str">
        <x:v>Central</x:v>
      </x:c>
      <x:c r="G3466" t="str">
        <x:v>Technology</x:v>
      </x:c>
      <x:c r="H3466" t="str">
        <x:v>Phones</x:v>
      </x:c>
      <x:c r="I3466" s="22" t="n">
        <x:v>492.76800000000003</x:v>
      </x:c>
      <x:c r="J3466" s="24" t="n">
        <x:v>4</x:v>
      </x:c>
      <x:c r="K3466" s="26" t="n">
        <x:v>0.2</x:v>
      </x:c>
      <x:c r="L3466" s="22" t="n">
        <x:v>55.436399999999935</x:v>
      </x:c>
      <x:c r="M3466" t="n">
        <x:v>2017</x:v>
      </x:c>
      <x:c r="N3466" s="20" t="n">
        <x:v>43040</x:v>
      </x:c>
    </x:row>
    <x:row r="3467" ht="18" customHeight="1">
      <x:c r="A3467" t="str">
        <x:v>CA-2015-152611</x:v>
      </x:c>
      <x:c r="B3467" s="18" t="n">
        <x:v>42055</x:v>
      </x:c>
      <x:c r="C3467" t="str">
        <x:v>KA-16525</x:v>
      </x:c>
      <x:c r="D3467" t="str">
        <x:v>Kelly Andreada</x:v>
      </x:c>
      <x:c r="E3467" t="str">
        <x:v>Consumer</x:v>
      </x:c>
      <x:c r="F3467" t="str">
        <x:v>East</x:v>
      </x:c>
      <x:c r="G3467" t="str">
        <x:v>Office Supplies</x:v>
      </x:c>
      <x:c r="H3467" t="str">
        <x:v>Art</x:v>
      </x:c>
      <x:c r="I3467" s="22" t="n">
        <x:v>286.78999999999996</x:v>
      </x:c>
      <x:c r="J3467" s="24" t="n">
        <x:v>7</x:v>
      </x:c>
      <x:c r="K3467" s="26" t="n">
        <x:v>0</x:v>
      </x:c>
      <x:c r="L3467" s="22" t="n">
        <x:v>74.56540000000001</x:v>
      </x:c>
      <x:c r="M3467" t="n">
        <x:v>2015</x:v>
      </x:c>
      <x:c r="N3467" s="20" t="n">
        <x:v>42036</x:v>
      </x:c>
    </x:row>
    <x:row r="3468" ht="18" customHeight="1">
      <x:c r="A3468" t="str">
        <x:v>CA-2016-165470</x:v>
      </x:c>
      <x:c r="B3468" s="18" t="n">
        <x:v>42699</x:v>
      </x:c>
      <x:c r="C3468" t="str">
        <x:v>HJ-14875</x:v>
      </x:c>
      <x:c r="D3468" t="str">
        <x:v>Heather Jas</x:v>
      </x:c>
      <x:c r="E3468" t="str">
        <x:v>Home Office</x:v>
      </x:c>
      <x:c r="F3468" t="str">
        <x:v>South</x:v>
      </x:c>
      <x:c r="G3468" t="str">
        <x:v>Office Supplies</x:v>
      </x:c>
      <x:c r="H3468" t="str">
        <x:v>Paper</x:v>
      </x:c>
      <x:c r="I3468" s="22" t="n">
        <x:v>5.08</x:v>
      </x:c>
      <x:c r="J3468" s="24" t="n">
        <x:v>1</x:v>
      </x:c>
      <x:c r="K3468" s="26" t="n">
        <x:v>0.2</x:v>
      </x:c>
      <x:c r="L3468" s="22" t="n">
        <x:v>1.6509999999999998</x:v>
      </x:c>
      <x:c r="M3468" t="n">
        <x:v>2016</x:v>
      </x:c>
      <x:c r="N3468" s="20" t="n">
        <x:v>42675</x:v>
      </x:c>
    </x:row>
    <x:row r="3469" ht="18" customHeight="1">
      <x:c r="A3469" t="str">
        <x:v>CA-2017-128699</x:v>
      </x:c>
      <x:c r="B3469" s="18" t="n">
        <x:v>43072</x:v>
      </x:c>
      <x:c r="C3469" t="str">
        <x:v>ND-18370</x:v>
      </x:c>
      <x:c r="D3469" t="str">
        <x:v>Natalie DeCherney</x:v>
      </x:c>
      <x:c r="E3469" t="str">
        <x:v>Consumer</x:v>
      </x:c>
      <x:c r="F3469" t="str">
        <x:v>South</x:v>
      </x:c>
      <x:c r="G3469" t="str">
        <x:v>Technology</x:v>
      </x:c>
      <x:c r="H3469" t="str">
        <x:v>Accessories</x:v>
      </x:c>
      <x:c r="I3469" s="22" t="n">
        <x:v>47.992000000000004</x:v>
      </x:c>
      <x:c r="J3469" s="24" t="n">
        <x:v>1</x:v>
      </x:c>
      <x:c r="K3469" s="26" t="n">
        <x:v>0.2</x:v>
      </x:c>
      <x:c r="L3469" s="22" t="n">
        <x:v>7.198799999999995</x:v>
      </x:c>
      <x:c r="M3469" t="n">
        <x:v>2017</x:v>
      </x:c>
      <x:c r="N3469" s="20" t="n">
        <x:v>43070</x:v>
      </x:c>
    </x:row>
    <x:row r="3470" ht="18" customHeight="1">
      <x:c r="A3470" t="str">
        <x:v>US-2015-147242</x:v>
      </x:c>
      <x:c r="B3470" s="18" t="n">
        <x:v>42257</x:v>
      </x:c>
      <x:c r="C3470" t="str">
        <x:v>EH-13765</x:v>
      </x:c>
      <x:c r="D3470" t="str">
        <x:v>Edward Hooks</x:v>
      </x:c>
      <x:c r="E3470" t="str">
        <x:v>Corporate</x:v>
      </x:c>
      <x:c r="F3470" t="str">
        <x:v>East</x:v>
      </x:c>
      <x:c r="G3470" t="str">
        <x:v>Office Supplies</x:v>
      </x:c>
      <x:c r="H3470" t="str">
        <x:v>Appliances</x:v>
      </x:c>
      <x:c r="I3470" s="22" t="n">
        <x:v>61.96</x:v>
      </x:c>
      <x:c r="J3470" s="24" t="n">
        <x:v>2</x:v>
      </x:c>
      <x:c r="K3470" s="26" t="n">
        <x:v>0</x:v>
      </x:c>
      <x:c r="L3470" s="22" t="n">
        <x:v>16.1096</x:v>
      </x:c>
      <x:c r="M3470" t="n">
        <x:v>2015</x:v>
      </x:c>
      <x:c r="N3470" s="20" t="n">
        <x:v>42248</x:v>
      </x:c>
    </x:row>
    <x:row r="3471" ht="18" customHeight="1">
      <x:c r="A3471" t="str">
        <x:v>US-2015-147242</x:v>
      </x:c>
      <x:c r="B3471" s="18" t="n">
        <x:v>42257</x:v>
      </x:c>
      <x:c r="C3471" t="str">
        <x:v>EH-13765</x:v>
      </x:c>
      <x:c r="D3471" t="str">
        <x:v>Edward Hooks</x:v>
      </x:c>
      <x:c r="E3471" t="str">
        <x:v>Corporate</x:v>
      </x:c>
      <x:c r="F3471" t="str">
        <x:v>East</x:v>
      </x:c>
      <x:c r="G3471" t="str">
        <x:v>Furniture</x:v>
      </x:c>
      <x:c r="H3471" t="str">
        <x:v>Bookcases</x:v>
      </x:c>
      <x:c r="I3471" s="22" t="n">
        <x:v>361.96</x:v>
      </x:c>
      <x:c r="J3471" s="24" t="n">
        <x:v>2</x:v>
      </x:c>
      <x:c r="K3471" s="26" t="n">
        <x:v>0</x:v>
      </x:c>
      <x:c r="L3471" s="22" t="n">
        <x:v>83.25079999999997</x:v>
      </x:c>
      <x:c r="M3471" t="n">
        <x:v>2015</x:v>
      </x:c>
      <x:c r="N3471" s="20" t="n">
        <x:v>42248</x:v>
      </x:c>
    </x:row>
    <x:row r="3472" ht="18" customHeight="1">
      <x:c r="A3472" t="str">
        <x:v>US-2015-147242</x:v>
      </x:c>
      <x:c r="B3472" s="18" t="n">
        <x:v>42257</x:v>
      </x:c>
      <x:c r="C3472" t="str">
        <x:v>EH-13765</x:v>
      </x:c>
      <x:c r="D3472" t="str">
        <x:v>Edward Hooks</x:v>
      </x:c>
      <x:c r="E3472" t="str">
        <x:v>Corporate</x:v>
      </x:c>
      <x:c r="F3472" t="str">
        <x:v>East</x:v>
      </x:c>
      <x:c r="G3472" t="str">
        <x:v>Office Supplies</x:v>
      </x:c>
      <x:c r="H3472" t="str">
        <x:v>Paper</x:v>
      </x:c>
      <x:c r="I3472" s="22" t="n">
        <x:v>278.82</x:v>
      </x:c>
      <x:c r="J3472" s="24" t="n">
        <x:v>9</x:v>
      </x:c>
      <x:c r="K3472" s="26" t="n">
        <x:v>0</x:v>
      </x:c>
      <x:c r="L3472" s="22" t="n">
        <x:v>125.469</x:v>
      </x:c>
      <x:c r="M3472" t="n">
        <x:v>2015</x:v>
      </x:c>
      <x:c r="N3472" s="20" t="n">
        <x:v>42248</x:v>
      </x:c>
    </x:row>
    <x:row r="3473" ht="18" customHeight="1">
      <x:c r="A3473" t="str">
        <x:v>CA-2016-146143</x:v>
      </x:c>
      <x:c r="B3473" s="18" t="n">
        <x:v>42718</x:v>
      </x:c>
      <x:c r="C3473" t="str">
        <x:v>MC-17845</x:v>
      </x:c>
      <x:c r="D3473" t="str">
        <x:v>Michael Chen</x:v>
      </x:c>
      <x:c r="E3473" t="str">
        <x:v>Consumer</x:v>
      </x:c>
      <x:c r="F3473" t="str">
        <x:v>South</x:v>
      </x:c>
      <x:c r="G3473" t="str">
        <x:v>Furniture</x:v>
      </x:c>
      <x:c r="H3473" t="str">
        <x:v>Furnishings</x:v>
      </x:c>
      <x:c r="I3473" s="22" t="n">
        <x:v>133.38</x:v>
      </x:c>
      <x:c r="J3473" s="24" t="n">
        <x:v>6</x:v>
      </x:c>
      <x:c r="K3473" s="26" t="n">
        <x:v>0</x:v>
      </x:c>
      <x:c r="L3473" s="22" t="n">
        <x:v>58.68720000000001</x:v>
      </x:c>
      <x:c r="M3473" t="n">
        <x:v>2016</x:v>
      </x:c>
      <x:c r="N3473" s="20" t="n">
        <x:v>42705</x:v>
      </x:c>
    </x:row>
    <x:row r="3474" ht="18" customHeight="1">
      <x:c r="A3474" t="str">
        <x:v>CA-2015-100888</x:v>
      </x:c>
      <x:c r="B3474" s="18" t="n">
        <x:v>42100</x:v>
      </x:c>
      <x:c r="C3474" t="str">
        <x:v>MH-17455</x:v>
      </x:c>
      <x:c r="D3474" t="str">
        <x:v>Mark Hamilton</x:v>
      </x:c>
      <x:c r="E3474" t="str">
        <x:v>Consumer</x:v>
      </x:c>
      <x:c r="F3474" t="str">
        <x:v>South</x:v>
      </x:c>
      <x:c r="G3474" t="str">
        <x:v>Office Supplies</x:v>
      </x:c>
      <x:c r="H3474" t="str">
        <x:v>Paper</x:v>
      </x:c>
      <x:c r="I3474" s="22" t="n">
        <x:v>47.952000000000005</x:v>
      </x:c>
      <x:c r="J3474" s="24" t="n">
        <x:v>3</x:v>
      </x:c>
      <x:c r="K3474" s="26" t="n">
        <x:v>0.2</x:v>
      </x:c>
      <x:c r="L3474" s="22" t="n">
        <x:v>16.183799999999998</x:v>
      </x:c>
      <x:c r="M3474" t="n">
        <x:v>2015</x:v>
      </x:c>
      <x:c r="N3474" s="20" t="n">
        <x:v>42095</x:v>
      </x:c>
    </x:row>
    <x:row r="3475" ht="18" customHeight="1">
      <x:c r="A3475" t="str">
        <x:v>US-2016-150035</x:v>
      </x:c>
      <x:c r="B3475" s="18" t="n">
        <x:v>42705</x:v>
      </x:c>
      <x:c r="C3475" t="str">
        <x:v>CL-11890</x:v>
      </x:c>
      <x:c r="D3475" t="str">
        <x:v>Carl Ludwig</x:v>
      </x:c>
      <x:c r="E3475" t="str">
        <x:v>Consumer</x:v>
      </x:c>
      <x:c r="F3475" t="str">
        <x:v>West</x:v>
      </x:c>
      <x:c r="G3475" t="str">
        <x:v>Furniture</x:v>
      </x:c>
      <x:c r="H3475" t="str">
        <x:v>Furnishings</x:v>
      </x:c>
      <x:c r="I3475" s="22" t="n">
        <x:v>16.74</x:v>
      </x:c>
      <x:c r="J3475" s="24" t="n">
        <x:v>2</x:v>
      </x:c>
      <x:c r="K3475" s="26" t="n">
        <x:v>0</x:v>
      </x:c>
      <x:c r="L3475" s="22" t="n">
        <x:v>4.352399999999999</x:v>
      </x:c>
      <x:c r="M3475" t="n">
        <x:v>2016</x:v>
      </x:c>
      <x:c r="N3475" s="20" t="n">
        <x:v>42705</x:v>
      </x:c>
    </x:row>
    <x:row r="3476" ht="18" customHeight="1">
      <x:c r="A3476" t="str">
        <x:v>CA-2017-122644</x:v>
      </x:c>
      <x:c r="B3476" s="18" t="n">
        <x:v>43051</x:v>
      </x:c>
      <x:c r="C3476" t="str">
        <x:v>SF-20965</x:v>
      </x:c>
      <x:c r="D3476" t="str">
        <x:v>Sylvia Foulston</x:v>
      </x:c>
      <x:c r="E3476" t="str">
        <x:v>Corporate</x:v>
      </x:c>
      <x:c r="F3476" t="str">
        <x:v>East</x:v>
      </x:c>
      <x:c r="G3476" t="str">
        <x:v>Office Supplies</x:v>
      </x:c>
      <x:c r="H3476" t="str">
        <x:v>Paper</x:v>
      </x:c>
      <x:c r="I3476" s="22" t="n">
        <x:v>10.848</x:v>
      </x:c>
      <x:c r="J3476" s="24" t="n">
        <x:v>2</x:v>
      </x:c>
      <x:c r="K3476" s="26" t="n">
        <x:v>0.2</x:v>
      </x:c>
      <x:c r="L3476" s="22" t="n">
        <x:v>3.5255999999999994</x:v>
      </x:c>
      <x:c r="M3476" t="n">
        <x:v>2017</x:v>
      </x:c>
      <x:c r="N3476" s="20" t="n">
        <x:v>43040</x:v>
      </x:c>
    </x:row>
    <x:row r="3477" ht="18" customHeight="1">
      <x:c r="A3477" t="str">
        <x:v>CA-2017-122644</x:v>
      </x:c>
      <x:c r="B3477" s="18" t="n">
        <x:v>43051</x:v>
      </x:c>
      <x:c r="C3477" t="str">
        <x:v>SF-20965</x:v>
      </x:c>
      <x:c r="D3477" t="str">
        <x:v>Sylvia Foulston</x:v>
      </x:c>
      <x:c r="E3477" t="str">
        <x:v>Corporate</x:v>
      </x:c>
      <x:c r="F3477" t="str">
        <x:v>East</x:v>
      </x:c>
      <x:c r="G3477" t="str">
        <x:v>Technology</x:v>
      </x:c>
      <x:c r="H3477" t="str">
        <x:v>Accessories</x:v>
      </x:c>
      <x:c r="I3477" s="22" t="n">
        <x:v>18.544</x:v>
      </x:c>
      <x:c r="J3477" s="24" t="n">
        <x:v>2</x:v>
      </x:c>
      <x:c r="K3477" s="26" t="n">
        <x:v>0.2</x:v>
      </x:c>
      <x:c r="L3477" s="22" t="n">
        <x:v>3.013399999999998</x:v>
      </x:c>
      <x:c r="M3477" t="n">
        <x:v>2017</x:v>
      </x:c>
      <x:c r="N3477" s="20" t="n">
        <x:v>43040</x:v>
      </x:c>
    </x:row>
    <x:row r="3478" ht="18" customHeight="1">
      <x:c r="A3478" t="str">
        <x:v>CA-2017-111815</x:v>
      </x:c>
      <x:c r="B3478" s="18" t="n">
        <x:v>42797</x:v>
      </x:c>
      <x:c r="C3478" t="str">
        <x:v>EP-13915</x:v>
      </x:c>
      <x:c r="D3478" t="str">
        <x:v>Emily Phan</x:v>
      </x:c>
      <x:c r="E3478" t="str">
        <x:v>Consumer</x:v>
      </x:c>
      <x:c r="F3478" t="str">
        <x:v>Central</x:v>
      </x:c>
      <x:c r="G3478" t="str">
        <x:v>Furniture</x:v>
      </x:c>
      <x:c r="H3478" t="str">
        <x:v>Chairs</x:v>
      </x:c>
      <x:c r="I3478" s="22" t="n">
        <x:v>180.98</x:v>
      </x:c>
      <x:c r="J3478" s="24" t="n">
        <x:v>1</x:v>
      </x:c>
      <x:c r="K3478" s="26" t="n">
        <x:v>0</x:v>
      </x:c>
      <x:c r="L3478" s="22" t="n">
        <x:v>47.0548</x:v>
      </x:c>
      <x:c r="M3478" t="n">
        <x:v>2017</x:v>
      </x:c>
      <x:c r="N3478" s="20" t="n">
        <x:v>42795</x:v>
      </x:c>
    </x:row>
    <x:row r="3479" ht="18" customHeight="1">
      <x:c r="A3479" t="str">
        <x:v>CA-2017-111815</x:v>
      </x:c>
      <x:c r="B3479" s="18" t="n">
        <x:v>42797</x:v>
      </x:c>
      <x:c r="C3479" t="str">
        <x:v>EP-13915</x:v>
      </x:c>
      <x:c r="D3479" t="str">
        <x:v>Emily Phan</x:v>
      </x:c>
      <x:c r="E3479" t="str">
        <x:v>Consumer</x:v>
      </x:c>
      <x:c r="F3479" t="str">
        <x:v>Central</x:v>
      </x:c>
      <x:c r="G3479" t="str">
        <x:v>Technology</x:v>
      </x:c>
      <x:c r="H3479" t="str">
        <x:v>Accessories</x:v>
      </x:c>
      <x:c r="I3479" s="22" t="n">
        <x:v>99.98</x:v>
      </x:c>
      <x:c r="J3479" s="24" t="n">
        <x:v>2</x:v>
      </x:c>
      <x:c r="K3479" s="26" t="n">
        <x:v>0</x:v>
      </x:c>
      <x:c r="L3479" s="22" t="n">
        <x:v>42.991400000000006</x:v>
      </x:c>
      <x:c r="M3479" t="n">
        <x:v>2017</x:v>
      </x:c>
      <x:c r="N3479" s="20" t="n">
        <x:v>42795</x:v>
      </x:c>
    </x:row>
    <x:row r="3480" ht="18" customHeight="1">
      <x:c r="A3480" t="str">
        <x:v>CA-2016-144911</x:v>
      </x:c>
      <x:c r="B3480" s="18" t="n">
        <x:v>42701</x:v>
      </x:c>
      <x:c r="C3480" t="str">
        <x:v>RW-19630</x:v>
      </x:c>
      <x:c r="D3480" t="str">
        <x:v>Rob Williams</x:v>
      </x:c>
      <x:c r="E3480" t="str">
        <x:v>Corporate</x:v>
      </x:c>
      <x:c r="F3480" t="str">
        <x:v>Central</x:v>
      </x:c>
      <x:c r="G3480" t="str">
        <x:v>Technology</x:v>
      </x:c>
      <x:c r="H3480" t="str">
        <x:v>Accessories</x:v>
      </x:c>
      <x:c r="I3480" s="22" t="n">
        <x:v>34.95</x:v>
      </x:c>
      <x:c r="J3480" s="24" t="n">
        <x:v>5</x:v>
      </x:c>
      <x:c r="K3480" s="26" t="n">
        <x:v>0</x:v>
      </x:c>
      <x:c r="L3480" s="22" t="n">
        <x:v>15.378000000000004</x:v>
      </x:c>
      <x:c r="M3480" t="n">
        <x:v>2016</x:v>
      </x:c>
      <x:c r="N3480" s="20" t="n">
        <x:v>42675</x:v>
      </x:c>
    </x:row>
    <x:row r="3481" ht="18" customHeight="1">
      <x:c r="A3481" t="str">
        <x:v>CA-2016-144911</x:v>
      </x:c>
      <x:c r="B3481" s="18" t="n">
        <x:v>42701</x:v>
      </x:c>
      <x:c r="C3481" t="str">
        <x:v>RW-19630</x:v>
      </x:c>
      <x:c r="D3481" t="str">
        <x:v>Rob Williams</x:v>
      </x:c>
      <x:c r="E3481" t="str">
        <x:v>Corporate</x:v>
      </x:c>
      <x:c r="F3481" t="str">
        <x:v>Central</x:v>
      </x:c>
      <x:c r="G3481" t="str">
        <x:v>Office Supplies</x:v>
      </x:c>
      <x:c r="H3481" t="str">
        <x:v>Binders</x:v>
      </x:c>
      <x:c r="I3481" s="22" t="n">
        <x:v>152</x:v>
      </x:c>
      <x:c r="J3481" s="24" t="n">
        <x:v>5</x:v>
      </x:c>
      <x:c r="K3481" s="26" t="n">
        <x:v>0</x:v>
      </x:c>
      <x:c r="L3481" s="22" t="n">
        <x:v>69.91999999999999</x:v>
      </x:c>
      <x:c r="M3481" t="n">
        <x:v>2016</x:v>
      </x:c>
      <x:c r="N3481" s="20" t="n">
        <x:v>42675</x:v>
      </x:c>
    </x:row>
    <x:row r="3482" ht="18" customHeight="1">
      <x:c r="A3482" t="str">
        <x:v>CA-2014-143385</x:v>
      </x:c>
      <x:c r="B3482" s="18" t="n">
        <x:v>41882</x:v>
      </x:c>
      <x:c r="C3482" t="str">
        <x:v>SJ-20500</x:v>
      </x:c>
      <x:c r="D3482" t="str">
        <x:v>Shirley Jackson</x:v>
      </x:c>
      <x:c r="E3482" t="str">
        <x:v>Consumer</x:v>
      </x:c>
      <x:c r="F3482" t="str">
        <x:v>West</x:v>
      </x:c>
      <x:c r="G3482" t="str">
        <x:v>Technology</x:v>
      </x:c>
      <x:c r="H3482" t="str">
        <x:v>Accessories</x:v>
      </x:c>
      <x:c r="I3482" s="22" t="n">
        <x:v>92.52</x:v>
      </x:c>
      <x:c r="J3482" s="24" t="n">
        <x:v>9</x:v>
      </x:c>
      <x:c r="K3482" s="26" t="n">
        <x:v>0</x:v>
      </x:c>
      <x:c r="L3482" s="22" t="n">
        <x:v>18.50399999999999</x:v>
      </x:c>
      <x:c r="M3482" t="n">
        <x:v>2014</x:v>
      </x:c>
      <x:c r="N3482" s="20" t="n">
        <x:v>41852</x:v>
      </x:c>
    </x:row>
    <x:row r="3483" ht="18" customHeight="1">
      <x:c r="A3483" t="str">
        <x:v>CA-2016-131289</x:v>
      </x:c>
      <x:c r="B3483" s="18" t="n">
        <x:v>42712</x:v>
      </x:c>
      <x:c r="C3483" t="str">
        <x:v>SP-20620</x:v>
      </x:c>
      <x:c r="D3483" t="str">
        <x:v>Stefania Perrino</x:v>
      </x:c>
      <x:c r="E3483" t="str">
        <x:v>Corporate</x:v>
      </x:c>
      <x:c r="F3483" t="str">
        <x:v>West</x:v>
      </x:c>
      <x:c r="G3483" t="str">
        <x:v>Office Supplies</x:v>
      </x:c>
      <x:c r="H3483" t="str">
        <x:v>Art</x:v>
      </x:c>
      <x:c r="I3483" s="22" t="n">
        <x:v>8.56</x:v>
      </x:c>
      <x:c r="J3483" s="24" t="n">
        <x:v>2</x:v>
      </x:c>
      <x:c r="K3483" s="26" t="n">
        <x:v>0</x:v>
      </x:c>
      <x:c r="L3483" s="22" t="n">
        <x:v>2.4823999999999993</x:v>
      </x:c>
      <x:c r="M3483" t="n">
        <x:v>2016</x:v>
      </x:c>
      <x:c r="N3483" s="20" t="n">
        <x:v>42705</x:v>
      </x:c>
    </x:row>
    <x:row r="3484" ht="18" customHeight="1">
      <x:c r="A3484" t="str">
        <x:v>CA-2016-131289</x:v>
      </x:c>
      <x:c r="B3484" s="18" t="n">
        <x:v>42712</x:v>
      </x:c>
      <x:c r="C3484" t="str">
        <x:v>SP-20620</x:v>
      </x:c>
      <x:c r="D3484" t="str">
        <x:v>Stefania Perrino</x:v>
      </x:c>
      <x:c r="E3484" t="str">
        <x:v>Corporate</x:v>
      </x:c>
      <x:c r="F3484" t="str">
        <x:v>West</x:v>
      </x:c>
      <x:c r="G3484" t="str">
        <x:v>Office Supplies</x:v>
      </x:c>
      <x:c r="H3484" t="str">
        <x:v>Paper</x:v>
      </x:c>
      <x:c r="I3484" s="22" t="n">
        <x:v>45.36</x:v>
      </x:c>
      <x:c r="J3484" s="24" t="n">
        <x:v>7</x:v>
      </x:c>
      <x:c r="K3484" s="26" t="n">
        <x:v>0</x:v>
      </x:c>
      <x:c r="L3484" s="22" t="n">
        <x:v>21.772800000000004</x:v>
      </x:c>
      <x:c r="M3484" t="n">
        <x:v>2016</x:v>
      </x:c>
      <x:c r="N3484" s="20" t="n">
        <x:v>42705</x:v>
      </x:c>
    </x:row>
    <x:row r="3485" ht="18" customHeight="1">
      <x:c r="A3485" t="str">
        <x:v>CA-2016-131289</x:v>
      </x:c>
      <x:c r="B3485" s="18" t="n">
        <x:v>42712</x:v>
      </x:c>
      <x:c r="C3485" t="str">
        <x:v>SP-20620</x:v>
      </x:c>
      <x:c r="D3485" t="str">
        <x:v>Stefania Perrino</x:v>
      </x:c>
      <x:c r="E3485" t="str">
        <x:v>Corporate</x:v>
      </x:c>
      <x:c r="F3485" t="str">
        <x:v>West</x:v>
      </x:c>
      <x:c r="G3485" t="str">
        <x:v>Furniture</x:v>
      </x:c>
      <x:c r="H3485" t="str">
        <x:v>Tables</x:v>
      </x:c>
      <x:c r="I3485" s="22" t="n">
        <x:v>1421.6640000000002</x:v>
      </x:c>
      <x:c r="J3485" s="24" t="n">
        <x:v>6</x:v>
      </x:c>
      <x:c r="K3485" s="26" t="n">
        <x:v>0.2</x:v>
      </x:c>
      <x:c r="L3485" s="22" t="n">
        <x:v>-195.47879999999998</x:v>
      </x:c>
      <x:c r="M3485" t="n">
        <x:v>2016</x:v>
      </x:c>
      <x:c r="N3485" s="20" t="n">
        <x:v>42705</x:v>
      </x:c>
    </x:row>
    <x:row r="3486" ht="18" customHeight="1">
      <x:c r="A3486" t="str">
        <x:v>CA-2014-124023</x:v>
      </x:c>
      <x:c r="B3486" s="18" t="n">
        <x:v>41736</x:v>
      </x:c>
      <x:c r="C3486" t="str">
        <x:v>PJ-19015</x:v>
      </x:c>
      <x:c r="D3486" t="str">
        <x:v>Pauline Johnson</x:v>
      </x:c>
      <x:c r="E3486" t="str">
        <x:v>Consumer</x:v>
      </x:c>
      <x:c r="F3486" t="str">
        <x:v>South</x:v>
      </x:c>
      <x:c r="G3486" t="str">
        <x:v>Furniture</x:v>
      </x:c>
      <x:c r="H3486" t="str">
        <x:v>Furnishings</x:v>
      </x:c>
      <x:c r="I3486" s="22" t="n">
        <x:v>8.96</x:v>
      </x:c>
      <x:c r="J3486" s="24" t="n">
        <x:v>2</x:v>
      </x:c>
      <x:c r="K3486" s="26" t="n">
        <x:v>0</x:v>
      </x:c>
      <x:c r="L3486" s="22" t="n">
        <x:v>2.7775999999999996</x:v>
      </x:c>
      <x:c r="M3486" t="n">
        <x:v>2014</x:v>
      </x:c>
      <x:c r="N3486" s="20" t="n">
        <x:v>41730</x:v>
      </x:c>
    </x:row>
    <x:row r="3487" ht="18" customHeight="1">
      <x:c r="A3487" t="str">
        <x:v>CA-2014-124688</x:v>
      </x:c>
      <x:c r="B3487" s="18" t="n">
        <x:v>41878</x:v>
      </x:c>
      <x:c r="C3487" t="str">
        <x:v>CC-12610</x:v>
      </x:c>
      <x:c r="D3487" t="str">
        <x:v>Corey Catlett</x:v>
      </x:c>
      <x:c r="E3487" t="str">
        <x:v>Corporate</x:v>
      </x:c>
      <x:c r="F3487" t="str">
        <x:v>South</x:v>
      </x:c>
      <x:c r="G3487" t="str">
        <x:v>Technology</x:v>
      </x:c>
      <x:c r="H3487" t="str">
        <x:v>Phones</x:v>
      </x:c>
      <x:c r="I3487" s="22" t="n">
        <x:v>579.9499999999999</x:v>
      </x:c>
      <x:c r="J3487" s="24" t="n">
        <x:v>5</x:v>
      </x:c>
      <x:c r="K3487" s="26" t="n">
        <x:v>0</x:v>
      </x:c>
      <x:c r="L3487" s="22" t="n">
        <x:v>168.18549999999993</x:v>
      </x:c>
      <x:c r="M3487" t="n">
        <x:v>2014</x:v>
      </x:c>
      <x:c r="N3487" s="20" t="n">
        <x:v>41852</x:v>
      </x:c>
    </x:row>
    <x:row r="3488" ht="18" customHeight="1">
      <x:c r="A3488" t="str">
        <x:v>CA-2014-124688</x:v>
      </x:c>
      <x:c r="B3488" s="18" t="n">
        <x:v>41878</x:v>
      </x:c>
      <x:c r="C3488" t="str">
        <x:v>CC-12610</x:v>
      </x:c>
      <x:c r="D3488" t="str">
        <x:v>Corey Catlett</x:v>
      </x:c>
      <x:c r="E3488" t="str">
        <x:v>Corporate</x:v>
      </x:c>
      <x:c r="F3488" t="str">
        <x:v>South</x:v>
      </x:c>
      <x:c r="G3488" t="str">
        <x:v>Furniture</x:v>
      </x:c>
      <x:c r="H3488" t="str">
        <x:v>Furnishings</x:v>
      </x:c>
      <x:c r="I3488" s="22" t="n">
        <x:v>29.12</x:v>
      </x:c>
      <x:c r="J3488" s="24" t="n">
        <x:v>4</x:v>
      </x:c>
      <x:c r="K3488" s="26" t="n">
        <x:v>0</x:v>
      </x:c>
      <x:c r="L3488" s="22" t="n">
        <x:v>12.521600000000003</x:v>
      </x:c>
      <x:c r="M3488" t="n">
        <x:v>2014</x:v>
      </x:c>
      <x:c r="N3488" s="20" t="n">
        <x:v>41852</x:v>
      </x:c>
    </x:row>
    <x:row r="3489" ht="18" customHeight="1">
      <x:c r="A3489" t="str">
        <x:v>CA-2014-124688</x:v>
      </x:c>
      <x:c r="B3489" s="18" t="n">
        <x:v>41878</x:v>
      </x:c>
      <x:c r="C3489" t="str">
        <x:v>CC-12610</x:v>
      </x:c>
      <x:c r="D3489" t="str">
        <x:v>Corey Catlett</x:v>
      </x:c>
      <x:c r="E3489" t="str">
        <x:v>Corporate</x:v>
      </x:c>
      <x:c r="F3489" t="str">
        <x:v>South</x:v>
      </x:c>
      <x:c r="G3489" t="str">
        <x:v>Furniture</x:v>
      </x:c>
      <x:c r="H3489" t="str">
        <x:v>Tables</x:v>
      </x:c>
      <x:c r="I3489" s="22" t="n">
        <x:v>1202.94</x:v>
      </x:c>
      <x:c r="J3489" s="24" t="n">
        <x:v>3</x:v>
      </x:c>
      <x:c r="K3489" s="26" t="n">
        <x:v>0</x:v>
      </x:c>
      <x:c r="L3489" s="22" t="n">
        <x:v>300.735</x:v>
      </x:c>
      <x:c r="M3489" t="n">
        <x:v>2014</x:v>
      </x:c>
      <x:c r="N3489" s="20" t="n">
        <x:v>41852</x:v>
      </x:c>
    </x:row>
    <x:row r="3490" ht="18" customHeight="1">
      <x:c r="A3490" t="str">
        <x:v>CA-2016-151169</x:v>
      </x:c>
      <x:c r="B3490" s="18" t="n">
        <x:v>42664</x:v>
      </x:c>
      <x:c r="C3490" t="str">
        <x:v>MY-18295</x:v>
      </x:c>
      <x:c r="D3490" t="str">
        <x:v>Muhammed Yedwab</x:v>
      </x:c>
      <x:c r="E3490" t="str">
        <x:v>Corporate</x:v>
      </x:c>
      <x:c r="F3490" t="str">
        <x:v>East</x:v>
      </x:c>
      <x:c r="G3490" t="str">
        <x:v>Office Supplies</x:v>
      </x:c>
      <x:c r="H3490" t="str">
        <x:v>Binders</x:v>
      </x:c>
      <x:c r="I3490" s="22" t="n">
        <x:v>7.92</x:v>
      </x:c>
      <x:c r="J3490" s="24" t="n">
        <x:v>4</x:v>
      </x:c>
      <x:c r="K3490" s="26" t="n">
        <x:v>0</x:v>
      </x:c>
      <x:c r="L3490" s="22" t="n">
        <x:v>3.564</x:v>
      </x:c>
      <x:c r="M3490" t="n">
        <x:v>2016</x:v>
      </x:c>
      <x:c r="N3490" s="20" t="n">
        <x:v>42644</x:v>
      </x:c>
    </x:row>
    <x:row r="3491" ht="18" customHeight="1">
      <x:c r="A3491" t="str">
        <x:v>US-2016-134761</x:v>
      </x:c>
      <x:c r="B3491" s="18" t="n">
        <x:v>42704</x:v>
      </x:c>
      <x:c r="C3491" t="str">
        <x:v>DB-13210</x:v>
      </x:c>
      <x:c r="D3491" t="str">
        <x:v>Dean Braden</x:v>
      </x:c>
      <x:c r="E3491" t="str">
        <x:v>Consumer</x:v>
      </x:c>
      <x:c r="F3491" t="str">
        <x:v>South</x:v>
      </x:c>
      <x:c r="G3491" t="str">
        <x:v>Technology</x:v>
      </x:c>
      <x:c r="H3491" t="str">
        <x:v>Phones</x:v>
      </x:c>
      <x:c r="I3491" s="22" t="n">
        <x:v>36.192</x:v>
      </x:c>
      <x:c r="J3491" s="24" t="n">
        <x:v>1</x:v>
      </x:c>
      <x:c r="K3491" s="26" t="n">
        <x:v>0.2</x:v>
      </x:c>
      <x:c r="L3491" s="22" t="n">
        <x:v>2.7143999999999995</x:v>
      </x:c>
      <x:c r="M3491" t="n">
        <x:v>2016</x:v>
      </x:c>
      <x:c r="N3491" s="20" t="n">
        <x:v>42675</x:v>
      </x:c>
    </x:row>
    <x:row r="3492" ht="18" customHeight="1">
      <x:c r="A3492" t="str">
        <x:v>CA-2017-120705</x:v>
      </x:c>
      <x:c r="B3492" s="18" t="n">
        <x:v>42983</x:v>
      </x:c>
      <x:c r="C3492" t="str">
        <x:v>MG-17875</x:v>
      </x:c>
      <x:c r="D3492" t="str">
        <x:v>Michael Grace</x:v>
      </x:c>
      <x:c r="E3492" t="str">
        <x:v>Home Office</x:v>
      </x:c>
      <x:c r="F3492" t="str">
        <x:v>South</x:v>
      </x:c>
      <x:c r="G3492" t="str">
        <x:v>Office Supplies</x:v>
      </x:c>
      <x:c r="H3492" t="str">
        <x:v>Storage</x:v>
      </x:c>
      <x:c r="I3492" s="22" t="n">
        <x:v>147.184</x:v>
      </x:c>
      <x:c r="J3492" s="24" t="n">
        <x:v>2</x:v>
      </x:c>
      <x:c r="K3492" s="26" t="n">
        <x:v>0.2</x:v>
      </x:c>
      <x:c r="L3492" s="22" t="n">
        <x:v>-29.436800000000012</x:v>
      </x:c>
      <x:c r="M3492" t="n">
        <x:v>2017</x:v>
      </x:c>
      <x:c r="N3492" s="20" t="n">
        <x:v>42979</x:v>
      </x:c>
    </x:row>
    <x:row r="3493" ht="18" customHeight="1">
      <x:c r="A3493" t="str">
        <x:v>CA-2015-157322</x:v>
      </x:c>
      <x:c r="B3493" s="18" t="n">
        <x:v>42187</x:v>
      </x:c>
      <x:c r="C3493" t="str">
        <x:v>RH-19600</x:v>
      </x:c>
      <x:c r="D3493" t="str">
        <x:v>Rob Haberlin</x:v>
      </x:c>
      <x:c r="E3493" t="str">
        <x:v>Consumer</x:v>
      </x:c>
      <x:c r="F3493" t="str">
        <x:v>Central</x:v>
      </x:c>
      <x:c r="G3493" t="str">
        <x:v>Furniture</x:v>
      </x:c>
      <x:c r="H3493" t="str">
        <x:v>Chairs</x:v>
      </x:c>
      <x:c r="I3493" s="22" t="n">
        <x:v>408.422</x:v>
      </x:c>
      <x:c r="J3493" s="24" t="n">
        <x:v>2</x:v>
      </x:c>
      <x:c r="K3493" s="26" t="n">
        <x:v>0.3</x:v>
      </x:c>
      <x:c r="L3493" s="22" t="n">
        <x:v>-5.834600000000023</x:v>
      </x:c>
      <x:c r="M3493" t="n">
        <x:v>2015</x:v>
      </x:c>
      <x:c r="N3493" s="20" t="n">
        <x:v>42186</x:v>
      </x:c>
    </x:row>
    <x:row r="3494" ht="18" customHeight="1">
      <x:c r="A3494" t="str">
        <x:v>CA-2015-157322</x:v>
      </x:c>
      <x:c r="B3494" s="18" t="n">
        <x:v>42187</x:v>
      </x:c>
      <x:c r="C3494" t="str">
        <x:v>RH-19600</x:v>
      </x:c>
      <x:c r="D3494" t="str">
        <x:v>Rob Haberlin</x:v>
      </x:c>
      <x:c r="E3494" t="str">
        <x:v>Consumer</x:v>
      </x:c>
      <x:c r="F3494" t="str">
        <x:v>Central</x:v>
      </x:c>
      <x:c r="G3494" t="str">
        <x:v>Furniture</x:v>
      </x:c>
      <x:c r="H3494" t="str">
        <x:v>Chairs</x:v>
      </x:c>
      <x:c r="I3494" s="22" t="n">
        <x:v>382.116</x:v>
      </x:c>
      <x:c r="J3494" s="24" t="n">
        <x:v>6</x:v>
      </x:c>
      <x:c r="K3494" s="26" t="n">
        <x:v>0.3</x:v>
      </x:c>
      <x:c r="L3494" s="22" t="n">
        <x:v>-92.79960000000003</x:v>
      </x:c>
      <x:c r="M3494" t="n">
        <x:v>2015</x:v>
      </x:c>
      <x:c r="N3494" s="20" t="n">
        <x:v>42186</x:v>
      </x:c>
    </x:row>
    <x:row r="3495" ht="18" customHeight="1">
      <x:c r="A3495" t="str">
        <x:v>CA-2015-157322</x:v>
      </x:c>
      <x:c r="B3495" s="18" t="n">
        <x:v>42187</x:v>
      </x:c>
      <x:c r="C3495" t="str">
        <x:v>RH-19600</x:v>
      </x:c>
      <x:c r="D3495" t="str">
        <x:v>Rob Haberlin</x:v>
      </x:c>
      <x:c r="E3495" t="str">
        <x:v>Consumer</x:v>
      </x:c>
      <x:c r="F3495" t="str">
        <x:v>Central</x:v>
      </x:c>
      <x:c r="G3495" t="str">
        <x:v>Office Supplies</x:v>
      </x:c>
      <x:c r="H3495" t="str">
        <x:v>Storage</x:v>
      </x:c>
      <x:c r="I3495" s="22" t="n">
        <x:v>68.6</x:v>
      </x:c>
      <x:c r="J3495" s="24" t="n">
        <x:v>5</x:v>
      </x:c>
      <x:c r="K3495" s="26" t="n">
        <x:v>0.2</x:v>
      </x:c>
      <x:c r="L3495" s="22" t="n">
        <x:v>6.002499999999998</x:v>
      </x:c>
      <x:c r="M3495" t="n">
        <x:v>2015</x:v>
      </x:c>
      <x:c r="N3495" s="20" t="n">
        <x:v>42186</x:v>
      </x:c>
    </x:row>
    <x:row r="3496" ht="18" customHeight="1">
      <x:c r="A3496" t="str">
        <x:v>CA-2015-157322</x:v>
      </x:c>
      <x:c r="B3496" s="18" t="n">
        <x:v>42187</x:v>
      </x:c>
      <x:c r="C3496" t="str">
        <x:v>RH-19600</x:v>
      </x:c>
      <x:c r="D3496" t="str">
        <x:v>Rob Haberlin</x:v>
      </x:c>
      <x:c r="E3496" t="str">
        <x:v>Consumer</x:v>
      </x:c>
      <x:c r="F3496" t="str">
        <x:v>Central</x:v>
      </x:c>
      <x:c r="G3496" t="str">
        <x:v>Office Supplies</x:v>
      </x:c>
      <x:c r="H3496" t="str">
        <x:v>Storage</x:v>
      </x:c>
      <x:c r="I3496" s="22" t="n">
        <x:v>435.504</x:v>
      </x:c>
      <x:c r="J3496" s="24" t="n">
        <x:v>3</x:v>
      </x:c>
      <x:c r="K3496" s="26" t="n">
        <x:v>0.2</x:v>
      </x:c>
      <x:c r="L3496" s="22" t="n">
        <x:v>48.99419999999992</x:v>
      </x:c>
      <x:c r="M3496" t="n">
        <x:v>2015</x:v>
      </x:c>
      <x:c r="N3496" s="20" t="n">
        <x:v>42186</x:v>
      </x:c>
    </x:row>
    <x:row r="3497" ht="18" customHeight="1">
      <x:c r="A3497" t="str">
        <x:v>CA-2015-157322</x:v>
      </x:c>
      <x:c r="B3497" s="18" t="n">
        <x:v>42187</x:v>
      </x:c>
      <x:c r="C3497" t="str">
        <x:v>RH-19600</x:v>
      </x:c>
      <x:c r="D3497" t="str">
        <x:v>Rob Haberlin</x:v>
      </x:c>
      <x:c r="E3497" t="str">
        <x:v>Consumer</x:v>
      </x:c>
      <x:c r="F3497" t="str">
        <x:v>Central</x:v>
      </x:c>
      <x:c r="G3497" t="str">
        <x:v>Office Supplies</x:v>
      </x:c>
      <x:c r="H3497" t="str">
        <x:v>Paper</x:v>
      </x:c>
      <x:c r="I3497" s="22" t="n">
        <x:v>11.168000000000001</x:v>
      </x:c>
      <x:c r="J3497" s="24" t="n">
        <x:v>2</x:v>
      </x:c>
      <x:c r="K3497" s="26" t="n">
        <x:v>0.2</x:v>
      </x:c>
      <x:c r="L3497" s="22" t="n">
        <x:v>3.7692</x:v>
      </x:c>
      <x:c r="M3497" t="n">
        <x:v>2015</x:v>
      </x:c>
      <x:c r="N3497" s="20" t="n">
        <x:v>42186</x:v>
      </x:c>
    </x:row>
    <x:row r="3498" ht="18" customHeight="1">
      <x:c r="A3498" t="str">
        <x:v>CA-2017-142034</x:v>
      </x:c>
      <x:c r="B3498" s="18" t="n">
        <x:v>43002</x:v>
      </x:c>
      <x:c r="C3498" t="str">
        <x:v>KB-16240</x:v>
      </x:c>
      <x:c r="D3498" t="str">
        <x:v>Karen Bern</x:v>
      </x:c>
      <x:c r="E3498" t="str">
        <x:v>Corporate</x:v>
      </x:c>
      <x:c r="F3498" t="str">
        <x:v>Central</x:v>
      </x:c>
      <x:c r="G3498" t="str">
        <x:v>Technology</x:v>
      </x:c>
      <x:c r="H3498" t="str">
        <x:v>Accessories</x:v>
      </x:c>
      <x:c r="I3498" s="22" t="n">
        <x:v>72</x:v>
      </x:c>
      <x:c r="J3498" s="24" t="n">
        <x:v>4</x:v>
      </x:c>
      <x:c r="K3498" s="26" t="n">
        <x:v>0</x:v>
      </x:c>
      <x:c r="L3498" s="22" t="n">
        <x:v>12.959999999999994</x:v>
      </x:c>
      <x:c r="M3498" t="n">
        <x:v>2017</x:v>
      </x:c>
      <x:c r="N3498" s="20" t="n">
        <x:v>42979</x:v>
      </x:c>
    </x:row>
    <x:row r="3499" ht="18" customHeight="1">
      <x:c r="A3499" t="str">
        <x:v>CA-2017-142034</x:v>
      </x:c>
      <x:c r="B3499" s="18" t="n">
        <x:v>43002</x:v>
      </x:c>
      <x:c r="C3499" t="str">
        <x:v>KB-16240</x:v>
      </x:c>
      <x:c r="D3499" t="str">
        <x:v>Karen Bern</x:v>
      </x:c>
      <x:c r="E3499" t="str">
        <x:v>Corporate</x:v>
      </x:c>
      <x:c r="F3499" t="str">
        <x:v>Central</x:v>
      </x:c>
      <x:c r="G3499" t="str">
        <x:v>Technology</x:v>
      </x:c>
      <x:c r="H3499" t="str">
        <x:v>Accessories</x:v>
      </x:c>
      <x:c r="I3499" s="22" t="n">
        <x:v>655.9000000000001</x:v>
      </x:c>
      <x:c r="J3499" s="24" t="n">
        <x:v>5</x:v>
      </x:c>
      <x:c r="K3499" s="26" t="n">
        <x:v>0</x:v>
      </x:c>
      <x:c r="L3499" s="22" t="n">
        <x:v>275.478</x:v>
      </x:c>
      <x:c r="M3499" t="n">
        <x:v>2017</x:v>
      </x:c>
      <x:c r="N3499" s="20" t="n">
        <x:v>42979</x:v>
      </x:c>
    </x:row>
    <x:row r="3500" ht="18" customHeight="1">
      <x:c r="A3500" t="str">
        <x:v>CA-2017-142034</x:v>
      </x:c>
      <x:c r="B3500" s="18" t="n">
        <x:v>43002</x:v>
      </x:c>
      <x:c r="C3500" t="str">
        <x:v>KB-16240</x:v>
      </x:c>
      <x:c r="D3500" t="str">
        <x:v>Karen Bern</x:v>
      </x:c>
      <x:c r="E3500" t="str">
        <x:v>Corporate</x:v>
      </x:c>
      <x:c r="F3500" t="str">
        <x:v>Central</x:v>
      </x:c>
      <x:c r="G3500" t="str">
        <x:v>Furniture</x:v>
      </x:c>
      <x:c r="H3500" t="str">
        <x:v>Chairs</x:v>
      </x:c>
      <x:c r="I3500" s="22" t="n">
        <x:v>603.92</x:v>
      </x:c>
      <x:c r="J3500" s="24" t="n">
        <x:v>4</x:v>
      </x:c>
      <x:c r="K3500" s="26" t="n">
        <x:v>0</x:v>
      </x:c>
      <x:c r="L3500" s="22" t="n">
        <x:v>181.17599999999993</x:v>
      </x:c>
      <x:c r="M3500" t="n">
        <x:v>2017</x:v>
      </x:c>
      <x:c r="N3500" s="20" t="n">
        <x:v>42979</x:v>
      </x:c>
    </x:row>
    <x:row r="3501" ht="18" customHeight="1">
      <x:c r="A3501" t="str">
        <x:v>CA-2016-107328</x:v>
      </x:c>
      <x:c r="B3501" s="18" t="n">
        <x:v>42590</x:v>
      </x:c>
      <x:c r="C3501" t="str">
        <x:v>CA-12055</x:v>
      </x:c>
      <x:c r="D3501" t="str">
        <x:v>Cathy Armstrong</x:v>
      </x:c>
      <x:c r="E3501" t="str">
        <x:v>Home Office</x:v>
      </x:c>
      <x:c r="F3501" t="str">
        <x:v>West</x:v>
      </x:c>
      <x:c r="G3501" t="str">
        <x:v>Furniture</x:v>
      </x:c>
      <x:c r="H3501" t="str">
        <x:v>Tables</x:v>
      </x:c>
      <x:c r="I3501" s="22" t="n">
        <x:v>513.024</x:v>
      </x:c>
      <x:c r="J3501" s="24" t="n">
        <x:v>2</x:v>
      </x:c>
      <x:c r="K3501" s="26" t="n">
        <x:v>0.2</x:v>
      </x:c>
      <x:c r="L3501" s="22" t="n">
        <x:v>12.82559999999998</x:v>
      </x:c>
      <x:c r="M3501" t="n">
        <x:v>2016</x:v>
      </x:c>
      <x:c r="N3501" s="20" t="n">
        <x:v>42583</x:v>
      </x:c>
    </x:row>
    <x:row r="3502" ht="18" customHeight="1">
      <x:c r="A3502" t="str">
        <x:v>CA-2016-107328</x:v>
      </x:c>
      <x:c r="B3502" s="18" t="n">
        <x:v>42590</x:v>
      </x:c>
      <x:c r="C3502" t="str">
        <x:v>CA-12055</x:v>
      </x:c>
      <x:c r="D3502" t="str">
        <x:v>Cathy Armstrong</x:v>
      </x:c>
      <x:c r="E3502" t="str">
        <x:v>Home Office</x:v>
      </x:c>
      <x:c r="F3502" t="str">
        <x:v>West</x:v>
      </x:c>
      <x:c r="G3502" t="str">
        <x:v>Office Supplies</x:v>
      </x:c>
      <x:c r="H3502" t="str">
        <x:v>Appliances</x:v>
      </x:c>
      <x:c r="I3502" s="22" t="n">
        <x:v>487.91999999999996</x:v>
      </x:c>
      <x:c r="J3502" s="24" t="n">
        <x:v>6</x:v>
      </x:c>
      <x:c r="K3502" s="26" t="n">
        <x:v>0</x:v>
      </x:c>
      <x:c r="L3502" s="22" t="n">
        <x:v>136.61759999999998</x:v>
      </x:c>
      <x:c r="M3502" t="n">
        <x:v>2016</x:v>
      </x:c>
      <x:c r="N3502" s="20" t="n">
        <x:v>42583</x:v>
      </x:c>
    </x:row>
    <x:row r="3503" ht="18" customHeight="1">
      <x:c r="A3503" t="str">
        <x:v>CA-2016-107328</x:v>
      </x:c>
      <x:c r="B3503" s="18" t="n">
        <x:v>42590</x:v>
      </x:c>
      <x:c r="C3503" t="str">
        <x:v>CA-12055</x:v>
      </x:c>
      <x:c r="D3503" t="str">
        <x:v>Cathy Armstrong</x:v>
      </x:c>
      <x:c r="E3503" t="str">
        <x:v>Home Office</x:v>
      </x:c>
      <x:c r="F3503" t="str">
        <x:v>West</x:v>
      </x:c>
      <x:c r="G3503" t="str">
        <x:v>Office Supplies</x:v>
      </x:c>
      <x:c r="H3503" t="str">
        <x:v>Binders</x:v>
      </x:c>
      <x:c r="I3503" s="22" t="n">
        <x:v>15.24</x:v>
      </x:c>
      <x:c r="J3503" s="24" t="n">
        <x:v>5</x:v>
      </x:c>
      <x:c r="K3503" s="26" t="n">
        <x:v>0.2</x:v>
      </x:c>
      <x:c r="L3503" s="22" t="n">
        <x:v>5.334</x:v>
      </x:c>
      <x:c r="M3503" t="n">
        <x:v>2016</x:v>
      </x:c>
      <x:c r="N3503" s="20" t="n">
        <x:v>42583</x:v>
      </x:c>
    </x:row>
    <x:row r="3504" ht="18" customHeight="1">
      <x:c r="A3504" t="str">
        <x:v>CA-2016-108616</x:v>
      </x:c>
      <x:c r="B3504" s="18" t="n">
        <x:v>42642</x:v>
      </x:c>
      <x:c r="C3504" t="str">
        <x:v>JK-15730</x:v>
      </x:c>
      <x:c r="D3504" t="str">
        <x:v>Joe Kamberova</x:v>
      </x:c>
      <x:c r="E3504" t="str">
        <x:v>Consumer</x:v>
      </x:c>
      <x:c r="F3504" t="str">
        <x:v>South</x:v>
      </x:c>
      <x:c r="G3504" t="str">
        <x:v>Technology</x:v>
      </x:c>
      <x:c r="H3504" t="str">
        <x:v>Accessories</x:v>
      </x:c>
      <x:c r="I3504" s="22" t="n">
        <x:v>209.96999999999997</x:v>
      </x:c>
      <x:c r="J3504" s="24" t="n">
        <x:v>3</x:v>
      </x:c>
      <x:c r="K3504" s="26" t="n">
        <x:v>0</x:v>
      </x:c>
      <x:c r="L3504" s="22" t="n">
        <x:v>71.3898</x:v>
      </x:c>
      <x:c r="M3504" t="n">
        <x:v>2016</x:v>
      </x:c>
      <x:c r="N3504" s="20" t="n">
        <x:v>42614</x:v>
      </x:c>
    </x:row>
    <x:row r="3505" ht="18" customHeight="1">
      <x:c r="A3505" t="str">
        <x:v>CA-2016-108616</x:v>
      </x:c>
      <x:c r="B3505" s="18" t="n">
        <x:v>42642</x:v>
      </x:c>
      <x:c r="C3505" t="str">
        <x:v>JK-15730</x:v>
      </x:c>
      <x:c r="D3505" t="str">
        <x:v>Joe Kamberova</x:v>
      </x:c>
      <x:c r="E3505" t="str">
        <x:v>Consumer</x:v>
      </x:c>
      <x:c r="F3505" t="str">
        <x:v>South</x:v>
      </x:c>
      <x:c r="G3505" t="str">
        <x:v>Office Supplies</x:v>
      </x:c>
      <x:c r="H3505" t="str">
        <x:v>Binders</x:v>
      </x:c>
      <x:c r="I3505" s="22" t="n">
        <x:v>62.94</x:v>
      </x:c>
      <x:c r="J3505" s="24" t="n">
        <x:v>3</x:v>
      </x:c>
      <x:c r="K3505" s="26" t="n">
        <x:v>0</x:v>
      </x:c>
      <x:c r="L3505" s="22" t="n">
        <x:v>30.211199999999998</x:v>
      </x:c>
      <x:c r="M3505" t="n">
        <x:v>2016</x:v>
      </x:c>
      <x:c r="N3505" s="20" t="n">
        <x:v>42614</x:v>
      </x:c>
    </x:row>
    <x:row r="3506" ht="18" customHeight="1">
      <x:c r="A3506" t="str">
        <x:v>CA-2016-108616</x:v>
      </x:c>
      <x:c r="B3506" s="18" t="n">
        <x:v>42642</x:v>
      </x:c>
      <x:c r="C3506" t="str">
        <x:v>JK-15730</x:v>
      </x:c>
      <x:c r="D3506" t="str">
        <x:v>Joe Kamberova</x:v>
      </x:c>
      <x:c r="E3506" t="str">
        <x:v>Consumer</x:v>
      </x:c>
      <x:c r="F3506" t="str">
        <x:v>South</x:v>
      </x:c>
      <x:c r="G3506" t="str">
        <x:v>Office Supplies</x:v>
      </x:c>
      <x:c r="H3506" t="str">
        <x:v>Art</x:v>
      </x:c>
      <x:c r="I3506" s="22" t="n">
        <x:v>25.919999999999998</x:v>
      </x:c>
      <x:c r="J3506" s="24" t="n">
        <x:v>9</x:v>
      </x:c>
      <x:c r="K3506" s="26" t="n">
        <x:v>0</x:v>
      </x:c>
      <x:c r="L3506" s="22" t="n">
        <x:v>7.775999999999999</x:v>
      </x:c>
      <x:c r="M3506" t="n">
        <x:v>2016</x:v>
      </x:c>
      <x:c r="N3506" s="20" t="n">
        <x:v>42614</x:v>
      </x:c>
    </x:row>
    <x:row r="3507" ht="18" customHeight="1">
      <x:c r="A3507" t="str">
        <x:v>CA-2017-125115</x:v>
      </x:c>
      <x:c r="B3507" s="18" t="n">
        <x:v>42835</x:v>
      </x:c>
      <x:c r="C3507" t="str">
        <x:v>RD-19930</x:v>
      </x:c>
      <x:c r="D3507" t="str">
        <x:v>Russell D'Ascenzo</x:v>
      </x:c>
      <x:c r="E3507" t="str">
        <x:v>Consumer</x:v>
      </x:c>
      <x:c r="F3507" t="str">
        <x:v>Central</x:v>
      </x:c>
      <x:c r="G3507" t="str">
        <x:v>Office Supplies</x:v>
      </x:c>
      <x:c r="H3507" t="str">
        <x:v>Paper</x:v>
      </x:c>
      <x:c r="I3507" s="22" t="n">
        <x:v>10.368000000000002</x:v>
      </x:c>
      <x:c r="J3507" s="24" t="n">
        <x:v>2</x:v>
      </x:c>
      <x:c r="K3507" s="26" t="n">
        <x:v>0.2</x:v>
      </x:c>
      <x:c r="L3507" s="22" t="n">
        <x:v>3.6288</x:v>
      </x:c>
      <x:c r="M3507" t="n">
        <x:v>2017</x:v>
      </x:c>
      <x:c r="N3507" s="20" t="n">
        <x:v>42826</x:v>
      </x:c>
    </x:row>
    <x:row r="3508" ht="18" customHeight="1">
      <x:c r="A3508" t="str">
        <x:v>CA-2017-125115</x:v>
      </x:c>
      <x:c r="B3508" s="18" t="n">
        <x:v>42835</x:v>
      </x:c>
      <x:c r="C3508" t="str">
        <x:v>RD-19930</x:v>
      </x:c>
      <x:c r="D3508" t="str">
        <x:v>Russell D'Ascenzo</x:v>
      </x:c>
      <x:c r="E3508" t="str">
        <x:v>Consumer</x:v>
      </x:c>
      <x:c r="F3508" t="str">
        <x:v>Central</x:v>
      </x:c>
      <x:c r="G3508" t="str">
        <x:v>Technology</x:v>
      </x:c>
      <x:c r="H3508" t="str">
        <x:v>Accessories</x:v>
      </x:c>
      <x:c r="I3508" s="22" t="n">
        <x:v>95.736</x:v>
      </x:c>
      <x:c r="J3508" s="24" t="n">
        <x:v>3</x:v>
      </x:c>
      <x:c r="K3508" s="26" t="n">
        <x:v>0.2</x:v>
      </x:c>
      <x:c r="L3508" s="22" t="n">
        <x:v>20.3439</x:v>
      </x:c>
      <x:c r="M3508" t="n">
        <x:v>2017</x:v>
      </x:c>
      <x:c r="N3508" s="20" t="n">
        <x:v>42826</x:v>
      </x:c>
    </x:row>
    <x:row r="3509" ht="18" customHeight="1">
      <x:c r="A3509" t="str">
        <x:v>CA-2016-150945</x:v>
      </x:c>
      <x:c r="B3509" s="18" t="n">
        <x:v>42722</x:v>
      </x:c>
      <x:c r="C3509" t="str">
        <x:v>JK-16120</x:v>
      </x:c>
      <x:c r="D3509" t="str">
        <x:v>Julie Kriz</x:v>
      </x:c>
      <x:c r="E3509" t="str">
        <x:v>Home Office</x:v>
      </x:c>
      <x:c r="F3509" t="str">
        <x:v>East</x:v>
      </x:c>
      <x:c r="G3509" t="str">
        <x:v>Office Supplies</x:v>
      </x:c>
      <x:c r="H3509" t="str">
        <x:v>Storage</x:v>
      </x:c>
      <x:c r="I3509" s="22" t="n">
        <x:v>900.08</x:v>
      </x:c>
      <x:c r="J3509" s="24" t="n">
        <x:v>4</x:v>
      </x:c>
      <x:c r="K3509" s="26" t="n">
        <x:v>0</x:v>
      </x:c>
      <x:c r="L3509" s="22" t="n">
        <x:v>117.0104</x:v>
      </x:c>
      <x:c r="M3509" t="n">
        <x:v>2016</x:v>
      </x:c>
      <x:c r="N3509" s="20" t="n">
        <x:v>42705</x:v>
      </x:c>
    </x:row>
    <x:row r="3510" ht="18" customHeight="1">
      <x:c r="A3510" t="str">
        <x:v>CA-2014-166863</x:v>
      </x:c>
      <x:c r="B3510" s="18" t="n">
        <x:v>41810</x:v>
      </x:c>
      <x:c r="C3510" t="str">
        <x:v>SC-20020</x:v>
      </x:c>
      <x:c r="D3510" t="str">
        <x:v>Sam Craven</x:v>
      </x:c>
      <x:c r="E3510" t="str">
        <x:v>Consumer</x:v>
      </x:c>
      <x:c r="F3510" t="str">
        <x:v>Central</x:v>
      </x:c>
      <x:c r="G3510" t="str">
        <x:v>Technology</x:v>
      </x:c>
      <x:c r="H3510" t="str">
        <x:v>Phones</x:v>
      </x:c>
      <x:c r="I3510" s="22" t="n">
        <x:v>201.584</x:v>
      </x:c>
      <x:c r="J3510" s="24" t="n">
        <x:v>2</x:v>
      </x:c>
      <x:c r="K3510" s="26" t="n">
        <x:v>0.2</x:v>
      </x:c>
      <x:c r="L3510" s="22" t="n">
        <x:v>20.158400000000015</x:v>
      </x:c>
      <x:c r="M3510" t="n">
        <x:v>2014</x:v>
      </x:c>
      <x:c r="N3510" s="20" t="n">
        <x:v>41791</x:v>
      </x:c>
    </x:row>
    <x:row r="3511" ht="18" customHeight="1">
      <x:c r="A3511" t="str">
        <x:v>CA-2014-166863</x:v>
      </x:c>
      <x:c r="B3511" s="18" t="n">
        <x:v>41810</x:v>
      </x:c>
      <x:c r="C3511" t="str">
        <x:v>SC-20020</x:v>
      </x:c>
      <x:c r="D3511" t="str">
        <x:v>Sam Craven</x:v>
      </x:c>
      <x:c r="E3511" t="str">
        <x:v>Consumer</x:v>
      </x:c>
      <x:c r="F3511" t="str">
        <x:v>Central</x:v>
      </x:c>
      <x:c r="G3511" t="str">
        <x:v>Office Supplies</x:v>
      </x:c>
      <x:c r="H3511" t="str">
        <x:v>Binders</x:v>
      </x:c>
      <x:c r="I3511" s="22" t="n">
        <x:v>3.3919999999999995</x:v>
      </x:c>
      <x:c r="J3511" s="24" t="n">
        <x:v>4</x:v>
      </x:c>
      <x:c r="K3511" s="26" t="n">
        <x:v>0.8</x:v>
      </x:c>
      <x:c r="L3511" s="22" t="n">
        <x:v>-5.088000000000001</x:v>
      </x:c>
      <x:c r="M3511" t="n">
        <x:v>2014</x:v>
      </x:c>
      <x:c r="N3511" s="20" t="n">
        <x:v>41791</x:v>
      </x:c>
    </x:row>
    <x:row r="3512" ht="18" customHeight="1">
      <x:c r="A3512" t="str">
        <x:v>CA-2014-166863</x:v>
      </x:c>
      <x:c r="B3512" s="18" t="n">
        <x:v>41810</x:v>
      </x:c>
      <x:c r="C3512" t="str">
        <x:v>SC-20020</x:v>
      </x:c>
      <x:c r="D3512" t="str">
        <x:v>Sam Craven</x:v>
      </x:c>
      <x:c r="E3512" t="str">
        <x:v>Consumer</x:v>
      </x:c>
      <x:c r="F3512" t="str">
        <x:v>Central</x:v>
      </x:c>
      <x:c r="G3512" t="str">
        <x:v>Furniture</x:v>
      </x:c>
      <x:c r="H3512" t="str">
        <x:v>Bookcases</x:v>
      </x:c>
      <x:c r="I3512" s="22" t="n">
        <x:v>193.0656</x:v>
      </x:c>
      <x:c r="J3512" s="24" t="n">
        <x:v>4</x:v>
      </x:c>
      <x:c r="K3512" s="26" t="n">
        <x:v>0.32</x:v>
      </x:c>
      <x:c r="L3512" s="22" t="n">
        <x:v>-19.874399999999994</x:v>
      </x:c>
      <x:c r="M3512" t="n">
        <x:v>2014</x:v>
      </x:c>
      <x:c r="N3512" s="20" t="n">
        <x:v>41791</x:v>
      </x:c>
    </x:row>
    <x:row r="3513" ht="18" customHeight="1">
      <x:c r="A3513" t="str">
        <x:v>CA-2014-166863</x:v>
      </x:c>
      <x:c r="B3513" s="18" t="n">
        <x:v>41810</x:v>
      </x:c>
      <x:c r="C3513" t="str">
        <x:v>SC-20020</x:v>
      </x:c>
      <x:c r="D3513" t="str">
        <x:v>Sam Craven</x:v>
      </x:c>
      <x:c r="E3513" t="str">
        <x:v>Consumer</x:v>
      </x:c>
      <x:c r="F3513" t="str">
        <x:v>Central</x:v>
      </x:c>
      <x:c r="G3513" t="str">
        <x:v>Office Supplies</x:v>
      </x:c>
      <x:c r="H3513" t="str">
        <x:v>Paper</x:v>
      </x:c>
      <x:c r="I3513" s="22" t="n">
        <x:v>15.552000000000003</x:v>
      </x:c>
      <x:c r="J3513" s="24" t="n">
        <x:v>3</x:v>
      </x:c>
      <x:c r="K3513" s="26" t="n">
        <x:v>0.2</x:v>
      </x:c>
      <x:c r="L3513" s="22" t="n">
        <x:v>5.4432</x:v>
      </x:c>
      <x:c r="M3513" t="n">
        <x:v>2014</x:v>
      </x:c>
      <x:c r="N3513" s="20" t="n">
        <x:v>41791</x:v>
      </x:c>
    </x:row>
    <x:row r="3514" ht="18" customHeight="1">
      <x:c r="A3514" t="str">
        <x:v>CA-2014-166863</x:v>
      </x:c>
      <x:c r="B3514" s="18" t="n">
        <x:v>41810</x:v>
      </x:c>
      <x:c r="C3514" t="str">
        <x:v>SC-20020</x:v>
      </x:c>
      <x:c r="D3514" t="str">
        <x:v>Sam Craven</x:v>
      </x:c>
      <x:c r="E3514" t="str">
        <x:v>Consumer</x:v>
      </x:c>
      <x:c r="F3514" t="str">
        <x:v>Central</x:v>
      </x:c>
      <x:c r="G3514" t="str">
        <x:v>Office Supplies</x:v>
      </x:c>
      <x:c r="H3514" t="str">
        <x:v>Paper</x:v>
      </x:c>
      <x:c r="I3514" s="22" t="n">
        <x:v>11.648000000000001</x:v>
      </x:c>
      <x:c r="J3514" s="24" t="n">
        <x:v>2</x:v>
      </x:c>
      <x:c r="K3514" s="26" t="n">
        <x:v>0.2</x:v>
      </x:c>
      <x:c r="L3514" s="22" t="n">
        <x:v>4.0768</x:v>
      </x:c>
      <x:c r="M3514" t="n">
        <x:v>2014</x:v>
      </x:c>
      <x:c r="N3514" s="20" t="n">
        <x:v>41791</x:v>
      </x:c>
    </x:row>
    <x:row r="3515" ht="18" customHeight="1">
      <x:c r="A3515" t="str">
        <x:v>CA-2014-166863</x:v>
      </x:c>
      <x:c r="B3515" s="18" t="n">
        <x:v>41810</x:v>
      </x:c>
      <x:c r="C3515" t="str">
        <x:v>SC-20020</x:v>
      </x:c>
      <x:c r="D3515" t="str">
        <x:v>Sam Craven</x:v>
      </x:c>
      <x:c r="E3515" t="str">
        <x:v>Consumer</x:v>
      </x:c>
      <x:c r="F3515" t="str">
        <x:v>Central</x:v>
      </x:c>
      <x:c r="G3515" t="str">
        <x:v>Technology</x:v>
      </x:c>
      <x:c r="H3515" t="str">
        <x:v>Machines</x:v>
      </x:c>
      <x:c r="I3515" s="22" t="n">
        <x:v>418.8</x:v>
      </x:c>
      <x:c r="J3515" s="24" t="n">
        <x:v>2</x:v>
      </x:c>
      <x:c r="K3515" s="26" t="n">
        <x:v>0.4</x:v>
      </x:c>
      <x:c r="L3515" s="22" t="n">
        <x:v>-97.71999999999997</x:v>
      </x:c>
      <x:c r="M3515" t="n">
        <x:v>2014</x:v>
      </x:c>
      <x:c r="N3515" s="20" t="n">
        <x:v>41791</x:v>
      </x:c>
    </x:row>
    <x:row r="3516" ht="18" customHeight="1">
      <x:c r="A3516" t="str">
        <x:v>CA-2014-166863</x:v>
      </x:c>
      <x:c r="B3516" s="18" t="n">
        <x:v>41810</x:v>
      </x:c>
      <x:c r="C3516" t="str">
        <x:v>SC-20020</x:v>
      </x:c>
      <x:c r="D3516" t="str">
        <x:v>Sam Craven</x:v>
      </x:c>
      <x:c r="E3516" t="str">
        <x:v>Consumer</x:v>
      </x:c>
      <x:c r="F3516" t="str">
        <x:v>Central</x:v>
      </x:c>
      <x:c r="G3516" t="str">
        <x:v>Office Supplies</x:v>
      </x:c>
      <x:c r="H3516" t="str">
        <x:v>Storage</x:v>
      </x:c>
      <x:c r="I3516" s="22" t="n">
        <x:v>509.48800000000006</x:v>
      </x:c>
      <x:c r="J3516" s="24" t="n">
        <x:v>7</x:v>
      </x:c>
      <x:c r="K3516" s="26" t="n">
        <x:v>0.2</x:v>
      </x:c>
      <x:c r="L3516" s="22" t="n">
        <x:v>-127.37200000000001</x:v>
      </x:c>
      <x:c r="M3516" t="n">
        <x:v>2014</x:v>
      </x:c>
      <x:c r="N3516" s="20" t="n">
        <x:v>41791</x:v>
      </x:c>
    </x:row>
    <x:row r="3517" ht="18" customHeight="1">
      <x:c r="A3517" t="str">
        <x:v>CA-2017-140326</x:v>
      </x:c>
      <x:c r="B3517" s="18" t="n">
        <x:v>42982</x:v>
      </x:c>
      <x:c r="C3517" t="str">
        <x:v>HW-14935</x:v>
      </x:c>
      <x:c r="D3517" t="str">
        <x:v>Helen Wasserman</x:v>
      </x:c>
      <x:c r="E3517" t="str">
        <x:v>Corporate</x:v>
      </x:c>
      <x:c r="F3517" t="str">
        <x:v>Central</x:v>
      </x:c>
      <x:c r="G3517" t="str">
        <x:v>Furniture</x:v>
      </x:c>
      <x:c r="H3517" t="str">
        <x:v>Bookcases</x:v>
      </x:c>
      <x:c r="I3517" s="22" t="n">
        <x:v>825.174</x:v>
      </x:c>
      <x:c r="J3517" s="24" t="n">
        <x:v>9</x:v>
      </x:c>
      <x:c r="K3517" s="26" t="n">
        <x:v>0.3</x:v>
      </x:c>
      <x:c r="L3517" s="22" t="n">
        <x:v>-117.88199999999998</x:v>
      </x:c>
      <x:c r="M3517" t="n">
        <x:v>2017</x:v>
      </x:c>
      <x:c r="N3517" s="20" t="n">
        <x:v>42979</x:v>
      </x:c>
    </x:row>
    <x:row r="3518" ht="18" customHeight="1">
      <x:c r="A3518" t="str">
        <x:v>CA-2017-140326</x:v>
      </x:c>
      <x:c r="B3518" s="18" t="n">
        <x:v>42982</x:v>
      </x:c>
      <x:c r="C3518" t="str">
        <x:v>HW-14935</x:v>
      </x:c>
      <x:c r="D3518" t="str">
        <x:v>Helen Wasserman</x:v>
      </x:c>
      <x:c r="E3518" t="str">
        <x:v>Corporate</x:v>
      </x:c>
      <x:c r="F3518" t="str">
        <x:v>Central</x:v>
      </x:c>
      <x:c r="G3518" t="str">
        <x:v>Office Supplies</x:v>
      </x:c>
      <x:c r="H3518" t="str">
        <x:v>Paper</x:v>
      </x:c>
      <x:c r="I3518" s="22" t="n">
        <x:v>17.76</x:v>
      </x:c>
      <x:c r="J3518" s="24" t="n">
        <x:v>3</x:v>
      </x:c>
      <x:c r="K3518" s="26" t="n">
        <x:v>0.2</x:v>
      </x:c>
      <x:c r="L3518" s="22" t="n">
        <x:v>5.55</x:v>
      </x:c>
      <x:c r="M3518" t="n">
        <x:v>2017</x:v>
      </x:c>
      <x:c r="N3518" s="20" t="n">
        <x:v>42979</x:v>
      </x:c>
    </x:row>
    <x:row r="3519" ht="18" customHeight="1">
      <x:c r="A3519" t="str">
        <x:v>CA-2017-140326</x:v>
      </x:c>
      <x:c r="B3519" s="18" t="n">
        <x:v>42982</x:v>
      </x:c>
      <x:c r="C3519" t="str">
        <x:v>HW-14935</x:v>
      </x:c>
      <x:c r="D3519" t="str">
        <x:v>Helen Wasserman</x:v>
      </x:c>
      <x:c r="E3519" t="str">
        <x:v>Corporate</x:v>
      </x:c>
      <x:c r="F3519" t="str">
        <x:v>Central</x:v>
      </x:c>
      <x:c r="G3519" t="str">
        <x:v>Office Supplies</x:v>
      </x:c>
      <x:c r="H3519" t="str">
        <x:v>Art</x:v>
      </x:c>
      <x:c r="I3519" s="22" t="n">
        <x:v>6.911999999999999</x:v>
      </x:c>
      <x:c r="J3519" s="24" t="n">
        <x:v>3</x:v>
      </x:c>
      <x:c r="K3519" s="26" t="n">
        <x:v>0.2</x:v>
      </x:c>
      <x:c r="L3519" s="22" t="n">
        <x:v>0.8639999999999999</x:v>
      </x:c>
      <x:c r="M3519" t="n">
        <x:v>2017</x:v>
      </x:c>
      <x:c r="N3519" s="20" t="n">
        <x:v>42979</x:v>
      </x:c>
    </x:row>
    <x:row r="3520" ht="18" customHeight="1">
      <x:c r="A3520" t="str">
        <x:v>CA-2016-168536</x:v>
      </x:c>
      <x:c r="B3520" s="18" t="n">
        <x:v>42724</x:v>
      </x:c>
      <x:c r="C3520" t="str">
        <x:v>SC-20800</x:v>
      </x:c>
      <x:c r="D3520" t="str">
        <x:v>Stuart Calhoun</x:v>
      </x:c>
      <x:c r="E3520" t="str">
        <x:v>Consumer</x:v>
      </x:c>
      <x:c r="F3520" t="str">
        <x:v>South</x:v>
      </x:c>
      <x:c r="G3520" t="str">
        <x:v>Technology</x:v>
      </x:c>
      <x:c r="H3520" t="str">
        <x:v>Accessories</x:v>
      </x:c>
      <x:c r="I3520" s="22" t="n">
        <x:v>66.30000000000001</x:v>
      </x:c>
      <x:c r="J3520" s="24" t="n">
        <x:v>3</x:v>
      </x:c>
      <x:c r="K3520" s="26" t="n">
        <x:v>0</x:v>
      </x:c>
      <x:c r="L3520" s="22" t="n">
        <x:v>8.619000000000003</x:v>
      </x:c>
      <x:c r="M3520" t="n">
        <x:v>2016</x:v>
      </x:c>
      <x:c r="N3520" s="20" t="n">
        <x:v>42705</x:v>
      </x:c>
    </x:row>
    <x:row r="3521" ht="18" customHeight="1">
      <x:c r="A3521" t="str">
        <x:v>US-2016-113649</x:v>
      </x:c>
      <x:c r="B3521" s="18" t="n">
        <x:v>42591</x:v>
      </x:c>
      <x:c r="C3521" t="str">
        <x:v>HA-14920</x:v>
      </x:c>
      <x:c r="D3521" t="str">
        <x:v>Helen Andreada</x:v>
      </x:c>
      <x:c r="E3521" t="str">
        <x:v>Consumer</x:v>
      </x:c>
      <x:c r="F3521" t="str">
        <x:v>South</x:v>
      </x:c>
      <x:c r="G3521" t="str">
        <x:v>Office Supplies</x:v>
      </x:c>
      <x:c r="H3521" t="str">
        <x:v>Paper</x:v>
      </x:c>
      <x:c r="I3521" s="22" t="n">
        <x:v>30.816000000000003</x:v>
      </x:c>
      <x:c r="J3521" s="24" t="n">
        <x:v>9</x:v>
      </x:c>
      <x:c r="K3521" s="26" t="n">
        <x:v>0.2</x:v>
      </x:c>
      <x:c r="L3521" s="22" t="n">
        <x:v>9.629999999999995</x:v>
      </x:c>
      <x:c r="M3521" t="n">
        <x:v>2016</x:v>
      </x:c>
      <x:c r="N3521" s="20" t="n">
        <x:v>42583</x:v>
      </x:c>
    </x:row>
    <x:row r="3522" ht="18" customHeight="1">
      <x:c r="A3522" t="str">
        <x:v>US-2016-113649</x:v>
      </x:c>
      <x:c r="B3522" s="18" t="n">
        <x:v>42591</x:v>
      </x:c>
      <x:c r="C3522" t="str">
        <x:v>HA-14920</x:v>
      </x:c>
      <x:c r="D3522" t="str">
        <x:v>Helen Andreada</x:v>
      </x:c>
      <x:c r="E3522" t="str">
        <x:v>Consumer</x:v>
      </x:c>
      <x:c r="F3522" t="str">
        <x:v>South</x:v>
      </x:c>
      <x:c r="G3522" t="str">
        <x:v>Technology</x:v>
      </x:c>
      <x:c r="H3522" t="str">
        <x:v>Phones</x:v>
      </x:c>
      <x:c r="I3522" s="22" t="n">
        <x:v>44.784</x:v>
      </x:c>
      <x:c r="J3522" s="24" t="n">
        <x:v>2</x:v>
      </x:c>
      <x:c r="K3522" s="26" t="n">
        <x:v>0.2</x:v>
      </x:c>
      <x:c r="L3522" s="22" t="n">
        <x:v>4.478399999999999</x:v>
      </x:c>
      <x:c r="M3522" t="n">
        <x:v>2016</x:v>
      </x:c>
      <x:c r="N3522" s="20" t="n">
        <x:v>42583</x:v>
      </x:c>
    </x:row>
    <x:row r="3523" ht="18" customHeight="1">
      <x:c r="A3523" t="str">
        <x:v>US-2016-113649</x:v>
      </x:c>
      <x:c r="B3523" s="18" t="n">
        <x:v>42591</x:v>
      </x:c>
      <x:c r="C3523" t="str">
        <x:v>HA-14920</x:v>
      </x:c>
      <x:c r="D3523" t="str">
        <x:v>Helen Andreada</x:v>
      </x:c>
      <x:c r="E3523" t="str">
        <x:v>Consumer</x:v>
      </x:c>
      <x:c r="F3523" t="str">
        <x:v>South</x:v>
      </x:c>
      <x:c r="G3523" t="str">
        <x:v>Office Supplies</x:v>
      </x:c>
      <x:c r="H3523" t="str">
        <x:v>Appliances</x:v>
      </x:c>
      <x:c r="I3523" s="22" t="n">
        <x:v>569.536</x:v>
      </x:c>
      <x:c r="J3523" s="24" t="n">
        <x:v>4</x:v>
      </x:c>
      <x:c r="K3523" s="26" t="n">
        <x:v>0.2</x:v>
      </x:c>
      <x:c r="L3523" s="22" t="n">
        <x:v>64.07279999999994</x:v>
      </x:c>
      <x:c r="M3523" t="n">
        <x:v>2016</x:v>
      </x:c>
      <x:c r="N3523" s="20" t="n">
        <x:v>42583</x:v>
      </x:c>
    </x:row>
    <x:row r="3524" ht="18" customHeight="1">
      <x:c r="A3524" t="str">
        <x:v>CA-2015-124975</x:v>
      </x:c>
      <x:c r="B3524" s="18" t="n">
        <x:v>42177</x:v>
      </x:c>
      <x:c r="C3524" t="str">
        <x:v>MG-17875</x:v>
      </x:c>
      <x:c r="D3524" t="str">
        <x:v>Michael Grace</x:v>
      </x:c>
      <x:c r="E3524" t="str">
        <x:v>Home Office</x:v>
      </x:c>
      <x:c r="F3524" t="str">
        <x:v>Central</x:v>
      </x:c>
      <x:c r="G3524" t="str">
        <x:v>Furniture</x:v>
      </x:c>
      <x:c r="H3524" t="str">
        <x:v>Tables</x:v>
      </x:c>
      <x:c r="I3524" s="22" t="n">
        <x:v>796.4250000000001</x:v>
      </x:c>
      <x:c r="J3524" s="24" t="n">
        <x:v>7</x:v>
      </x:c>
      <x:c r="K3524" s="26" t="n">
        <x:v>0.5</x:v>
      </x:c>
      <x:c r="L3524" s="22" t="n">
        <x:v>-525.6405000000002</x:v>
      </x:c>
      <x:c r="M3524" t="n">
        <x:v>2015</x:v>
      </x:c>
      <x:c r="N3524" s="20" t="n">
        <x:v>42156</x:v>
      </x:c>
    </x:row>
    <x:row r="3525" ht="18" customHeight="1">
      <x:c r="A3525" t="str">
        <x:v>CA-2015-168767</x:v>
      </x:c>
      <x:c r="B3525" s="18" t="n">
        <x:v>42104</x:v>
      </x:c>
      <x:c r="C3525" t="str">
        <x:v>DM-12955</x:v>
      </x:c>
      <x:c r="D3525" t="str">
        <x:v>Dario Medina</x:v>
      </x:c>
      <x:c r="E3525" t="str">
        <x:v>Corporate</x:v>
      </x:c>
      <x:c r="F3525" t="str">
        <x:v>West</x:v>
      </x:c>
      <x:c r="G3525" t="str">
        <x:v>Office Supplies</x:v>
      </x:c>
      <x:c r="H3525" t="str">
        <x:v>Binders</x:v>
      </x:c>
      <x:c r="I3525" s="22" t="n">
        <x:v>12.832</x:v>
      </x:c>
      <x:c r="J3525" s="24" t="n">
        <x:v>2</x:v>
      </x:c>
      <x:c r="K3525" s="26" t="n">
        <x:v>0.2</x:v>
      </x:c>
      <x:c r="L3525" s="22" t="n">
        <x:v>4.330799999999998</x:v>
      </x:c>
      <x:c r="M3525" t="n">
        <x:v>2015</x:v>
      </x:c>
      <x:c r="N3525" s="20" t="n">
        <x:v>42095</x:v>
      </x:c>
    </x:row>
    <x:row r="3526" ht="18" customHeight="1">
      <x:c r="A3526" t="str">
        <x:v>CA-2016-114482</x:v>
      </x:c>
      <x:c r="B3526" s="18" t="n">
        <x:v>42695</x:v>
      </x:c>
      <x:c r="C3526" t="str">
        <x:v>DM-13345</x:v>
      </x:c>
      <x:c r="D3526" t="str">
        <x:v>Denise Monton</x:v>
      </x:c>
      <x:c r="E3526" t="str">
        <x:v>Corporate</x:v>
      </x:c>
      <x:c r="F3526" t="str">
        <x:v>Central</x:v>
      </x:c>
      <x:c r="G3526" t="str">
        <x:v>Office Supplies</x:v>
      </x:c>
      <x:c r="H3526" t="str">
        <x:v>Paper</x:v>
      </x:c>
      <x:c r="I3526" s="22" t="n">
        <x:v>40.46</x:v>
      </x:c>
      <x:c r="J3526" s="24" t="n">
        <x:v>7</x:v>
      </x:c>
      <x:c r="K3526" s="26" t="n">
        <x:v>0</x:v>
      </x:c>
      <x:c r="L3526" s="22" t="n">
        <x:v>19.825400000000002</x:v>
      </x:c>
      <x:c r="M3526" t="n">
        <x:v>2016</x:v>
      </x:c>
      <x:c r="N3526" s="20" t="n">
        <x:v>42675</x:v>
      </x:c>
    </x:row>
    <x:row r="3527" ht="18" customHeight="1">
      <x:c r="A3527" t="str">
        <x:v>CA-2016-114482</x:v>
      </x:c>
      <x:c r="B3527" s="18" t="n">
        <x:v>42695</x:v>
      </x:c>
      <x:c r="C3527" t="str">
        <x:v>DM-13345</x:v>
      </x:c>
      <x:c r="D3527" t="str">
        <x:v>Denise Monton</x:v>
      </x:c>
      <x:c r="E3527" t="str">
        <x:v>Corporate</x:v>
      </x:c>
      <x:c r="F3527" t="str">
        <x:v>Central</x:v>
      </x:c>
      <x:c r="G3527" t="str">
        <x:v>Technology</x:v>
      </x:c>
      <x:c r="H3527" t="str">
        <x:v>Phones</x:v>
      </x:c>
      <x:c r="I3527" s="22" t="n">
        <x:v>404.93999999999994</x:v>
      </x:c>
      <x:c r="J3527" s="24" t="n">
        <x:v>3</x:v>
      </x:c>
      <x:c r="K3527" s="26" t="n">
        <x:v>0</x:v>
      </x:c>
      <x:c r="L3527" s="22" t="n">
        <x:v>109.33379999999998</x:v>
      </x:c>
      <x:c r="M3527" t="n">
        <x:v>2016</x:v>
      </x:c>
      <x:c r="N3527" s="20" t="n">
        <x:v>42675</x:v>
      </x:c>
    </x:row>
    <x:row r="3528" ht="18" customHeight="1">
      <x:c r="A3528" t="str">
        <x:v>CA-2016-137673</x:v>
      </x:c>
      <x:c r="B3528" s="18" t="n">
        <x:v>42618</x:v>
      </x:c>
      <x:c r="C3528" t="str">
        <x:v>ML-17395</x:v>
      </x:c>
      <x:c r="D3528" t="str">
        <x:v>Marina Lichtenstein</x:v>
      </x:c>
      <x:c r="E3528" t="str">
        <x:v>Corporate</x:v>
      </x:c>
      <x:c r="F3528" t="str">
        <x:v>West</x:v>
      </x:c>
      <x:c r="G3528" t="str">
        <x:v>Technology</x:v>
      </x:c>
      <x:c r="H3528" t="str">
        <x:v>Accessories</x:v>
      </x:c>
      <x:c r="I3528" s="22" t="n">
        <x:v>116</x:v>
      </x:c>
      <x:c r="J3528" s="24" t="n">
        <x:v>8</x:v>
      </x:c>
      <x:c r="K3528" s="26" t="n">
        <x:v>0</x:v>
      </x:c>
      <x:c r="L3528" s="22" t="n">
        <x:v>29</x:v>
      </x:c>
      <x:c r="M3528" t="n">
        <x:v>2016</x:v>
      </x:c>
      <x:c r="N3528" s="20" t="n">
        <x:v>42614</x:v>
      </x:c>
    </x:row>
    <x:row r="3529" ht="18" customHeight="1">
      <x:c r="A3529" t="str">
        <x:v>CA-2016-132731</x:v>
      </x:c>
      <x:c r="B3529" s="18" t="n">
        <x:v>42698</x:v>
      </x:c>
      <x:c r="C3529" t="str">
        <x:v>GA-14515</x:v>
      </x:c>
      <x:c r="D3529" t="str">
        <x:v>George Ashbrook</x:v>
      </x:c>
      <x:c r="E3529" t="str">
        <x:v>Consumer</x:v>
      </x:c>
      <x:c r="F3529" t="str">
        <x:v>Central</x:v>
      </x:c>
      <x:c r="G3529" t="str">
        <x:v>Technology</x:v>
      </x:c>
      <x:c r="H3529" t="str">
        <x:v>Phones</x:v>
      </x:c>
      <x:c r="I3529" s="22" t="n">
        <x:v>657.5520000000001</x:v>
      </x:c>
      <x:c r="J3529" s="24" t="n">
        <x:v>6</x:v>
      </x:c>
      <x:c r="K3529" s="26" t="n">
        <x:v>0.2</x:v>
      </x:c>
      <x:c r="L3529" s="22" t="n">
        <x:v>49.31639999999999</x:v>
      </x:c>
      <x:c r="M3529" t="n">
        <x:v>2016</x:v>
      </x:c>
      <x:c r="N3529" s="20" t="n">
        <x:v>42675</x:v>
      </x:c>
    </x:row>
    <x:row r="3530" ht="18" customHeight="1">
      <x:c r="A3530" t="str">
        <x:v>CA-2017-148922</x:v>
      </x:c>
      <x:c r="B3530" s="18" t="n">
        <x:v>43079</x:v>
      </x:c>
      <x:c r="C3530" t="str">
        <x:v>SU-20665</x:v>
      </x:c>
      <x:c r="D3530" t="str">
        <x:v>Stephanie Ulpright</x:v>
      </x:c>
      <x:c r="E3530" t="str">
        <x:v>Home Office</x:v>
      </x:c>
      <x:c r="F3530" t="str">
        <x:v>South</x:v>
      </x:c>
      <x:c r="G3530" t="str">
        <x:v>Technology</x:v>
      </x:c>
      <x:c r="H3530" t="str">
        <x:v>Accessories</x:v>
      </x:c>
      <x:c r="I3530" s="22" t="n">
        <x:v>599.97</x:v>
      </x:c>
      <x:c r="J3530" s="24" t="n">
        <x:v>3</x:v>
      </x:c>
      <x:c r="K3530" s="26" t="n">
        <x:v>0</x:v>
      </x:c>
      <x:c r="L3530" s="22" t="n">
        <x:v>257.98710000000005</x:v>
      </x:c>
      <x:c r="M3530" t="n">
        <x:v>2017</x:v>
      </x:c>
      <x:c r="N3530" s="20" t="n">
        <x:v>43070</x:v>
      </x:c>
    </x:row>
    <x:row r="3531" ht="18" customHeight="1">
      <x:c r="A3531" t="str">
        <x:v>CA-2017-148922</x:v>
      </x:c>
      <x:c r="B3531" s="18" t="n">
        <x:v>43079</x:v>
      </x:c>
      <x:c r="C3531" t="str">
        <x:v>SU-20665</x:v>
      </x:c>
      <x:c r="D3531" t="str">
        <x:v>Stephanie Ulpright</x:v>
      </x:c>
      <x:c r="E3531" t="str">
        <x:v>Home Office</x:v>
      </x:c>
      <x:c r="F3531" t="str">
        <x:v>South</x:v>
      </x:c>
      <x:c r="G3531" t="str">
        <x:v>Technology</x:v>
      </x:c>
      <x:c r="H3531" t="str">
        <x:v>Phones</x:v>
      </x:c>
      <x:c r="I3531" s="22" t="n">
        <x:v>38.97</x:v>
      </x:c>
      <x:c r="J3531" s="24" t="n">
        <x:v>3</x:v>
      </x:c>
      <x:c r="K3531" s="26" t="n">
        <x:v>0</x:v>
      </x:c>
      <x:c r="L3531" s="22" t="n">
        <x:v>0.7794000000000008</x:v>
      </x:c>
      <x:c r="M3531" t="n">
        <x:v>2017</x:v>
      </x:c>
      <x:c r="N3531" s="20" t="n">
        <x:v>43070</x:v>
      </x:c>
    </x:row>
    <x:row r="3532" ht="18" customHeight="1">
      <x:c r="A3532" t="str">
        <x:v>CA-2017-148922</x:v>
      </x:c>
      <x:c r="B3532" s="18" t="n">
        <x:v>43079</x:v>
      </x:c>
      <x:c r="C3532" t="str">
        <x:v>SU-20665</x:v>
      </x:c>
      <x:c r="D3532" t="str">
        <x:v>Stephanie Ulpright</x:v>
      </x:c>
      <x:c r="E3532" t="str">
        <x:v>Home Office</x:v>
      </x:c>
      <x:c r="F3532" t="str">
        <x:v>South</x:v>
      </x:c>
      <x:c r="G3532" t="str">
        <x:v>Office Supplies</x:v>
      </x:c>
      <x:c r="H3532" t="str">
        <x:v>Binders</x:v>
      </x:c>
      <x:c r="I3532" s="22" t="n">
        <x:v>45.84</x:v>
      </x:c>
      <x:c r="J3532" s="24" t="n">
        <x:v>8</x:v>
      </x:c>
      <x:c r="K3532" s="26" t="n">
        <x:v>0</x:v>
      </x:c>
      <x:c r="L3532" s="22" t="n">
        <x:v>22.0032</x:v>
      </x:c>
      <x:c r="M3532" t="n">
        <x:v>2017</x:v>
      </x:c>
      <x:c r="N3532" s="20" t="n">
        <x:v>43070</x:v>
      </x:c>
    </x:row>
    <x:row r="3533" ht="18" customHeight="1">
      <x:c r="A3533" t="str">
        <x:v>CA-2016-130680</x:v>
      </x:c>
      <x:c r="B3533" s="18" t="n">
        <x:v>42545</x:v>
      </x:c>
      <x:c r="C3533" t="str">
        <x:v>BD-11320</x:v>
      </x:c>
      <x:c r="D3533" t="str">
        <x:v>Bill Donatelli</x:v>
      </x:c>
      <x:c r="E3533" t="str">
        <x:v>Consumer</x:v>
      </x:c>
      <x:c r="F3533" t="str">
        <x:v>West</x:v>
      </x:c>
      <x:c r="G3533" t="str">
        <x:v>Technology</x:v>
      </x:c>
      <x:c r="H3533" t="str">
        <x:v>Phones</x:v>
      </x:c>
      <x:c r="I3533" s="22" t="n">
        <x:v>38.24</x:v>
      </x:c>
      <x:c r="J3533" s="24" t="n">
        <x:v>4</x:v>
      </x:c>
      <x:c r="K3533" s="26" t="n">
        <x:v>0.2</x:v>
      </x:c>
      <x:c r="L3533" s="22" t="n">
        <x:v>-9.56</x:v>
      </x:c>
      <x:c r="M3533" t="n">
        <x:v>2016</x:v>
      </x:c>
      <x:c r="N3533" s="20" t="n">
        <x:v>42522</x:v>
      </x:c>
    </x:row>
    <x:row r="3534" ht="18" customHeight="1">
      <x:c r="A3534" t="str">
        <x:v>CA-2015-141145</x:v>
      </x:c>
      <x:c r="B3534" s="18" t="n">
        <x:v>42264</x:v>
      </x:c>
      <x:c r="C3534" t="str">
        <x:v>DB-13405</x:v>
      </x:c>
      <x:c r="D3534" t="str">
        <x:v>Denny Blanton</x:v>
      </x:c>
      <x:c r="E3534" t="str">
        <x:v>Consumer</x:v>
      </x:c>
      <x:c r="F3534" t="str">
        <x:v>South</x:v>
      </x:c>
      <x:c r="G3534" t="str">
        <x:v>Technology</x:v>
      </x:c>
      <x:c r="H3534" t="str">
        <x:v>Accessories</x:v>
      </x:c>
      <x:c r="I3534" s="22" t="n">
        <x:v>87.168</x:v>
      </x:c>
      <x:c r="J3534" s="24" t="n">
        <x:v>3</x:v>
      </x:c>
      <x:c r="K3534" s="26" t="n">
        <x:v>0.2</x:v>
      </x:c>
      <x:c r="L3534" s="22" t="n">
        <x:v>10.895999999999987</x:v>
      </x:c>
      <x:c r="M3534" t="n">
        <x:v>2015</x:v>
      </x:c>
      <x:c r="N3534" s="20" t="n">
        <x:v>42248</x:v>
      </x:c>
    </x:row>
    <x:row r="3535" ht="18" customHeight="1">
      <x:c r="A3535" t="str">
        <x:v>US-2016-152835</x:v>
      </x:c>
      <x:c r="B3535" s="18" t="n">
        <x:v>42509</x:v>
      </x:c>
      <x:c r="C3535" t="str">
        <x:v>RP-19855</x:v>
      </x:c>
      <x:c r="D3535" t="str">
        <x:v>Roy Phan</x:v>
      </x:c>
      <x:c r="E3535" t="str">
        <x:v>Corporate</x:v>
      </x:c>
      <x:c r="F3535" t="str">
        <x:v>Central</x:v>
      </x:c>
      <x:c r="G3535" t="str">
        <x:v>Office Supplies</x:v>
      </x:c>
      <x:c r="H3535" t="str">
        <x:v>Art</x:v>
      </x:c>
      <x:c r="I3535" s="22" t="n">
        <x:v>21.400000000000002</x:v>
      </x:c>
      <x:c r="J3535" s="24" t="n">
        <x:v>5</x:v>
      </x:c>
      <x:c r="K3535" s="26" t="n">
        <x:v>0</x:v>
      </x:c>
      <x:c r="L3535" s="22" t="n">
        <x:v>6.205999999999998</x:v>
      </x:c>
      <x:c r="M3535" t="n">
        <x:v>2016</x:v>
      </x:c>
      <x:c r="N3535" s="20" t="n">
        <x:v>42491</x:v>
      </x:c>
    </x:row>
    <x:row r="3536" ht="18" customHeight="1">
      <x:c r="A3536" t="str">
        <x:v>CA-2016-155565</x:v>
      </x:c>
      <x:c r="B3536" s="18" t="n">
        <x:v>42518</x:v>
      </x:c>
      <x:c r="C3536" t="str">
        <x:v>EH-13765</x:v>
      </x:c>
      <x:c r="D3536" t="str">
        <x:v>Edward Hooks</x:v>
      </x:c>
      <x:c r="E3536" t="str">
        <x:v>Corporate</x:v>
      </x:c>
      <x:c r="F3536" t="str">
        <x:v>East</x:v>
      </x:c>
      <x:c r="G3536" t="str">
        <x:v>Office Supplies</x:v>
      </x:c>
      <x:c r="H3536" t="str">
        <x:v>Supplies</x:v>
      </x:c>
      <x:c r="I3536" s="22" t="n">
        <x:v>54.900000000000006</x:v>
      </x:c>
      <x:c r="J3536" s="24" t="n">
        <x:v>5</x:v>
      </x:c>
      <x:c r="K3536" s="26" t="n">
        <x:v>0</x:v>
      </x:c>
      <x:c r="L3536" s="22" t="n">
        <x:v>15.372000000000003</x:v>
      </x:c>
      <x:c r="M3536" t="n">
        <x:v>2016</x:v>
      </x:c>
      <x:c r="N3536" s="20" t="n">
        <x:v>42491</x:v>
      </x:c>
    </x:row>
    <x:row r="3537" ht="18" customHeight="1">
      <x:c r="A3537" t="str">
        <x:v>CA-2014-110849</x:v>
      </x:c>
      <x:c r="B3537" s="18" t="n">
        <x:v>41747</x:v>
      </x:c>
      <x:c r="C3537" t="str">
        <x:v>JL-15835</x:v>
      </x:c>
      <x:c r="D3537" t="str">
        <x:v>John Lee</x:v>
      </x:c>
      <x:c r="E3537" t="str">
        <x:v>Consumer</x:v>
      </x:c>
      <x:c r="F3537" t="str">
        <x:v>West</x:v>
      </x:c>
      <x:c r="G3537" t="str">
        <x:v>Technology</x:v>
      </x:c>
      <x:c r="H3537" t="str">
        <x:v>Machines</x:v>
      </x:c>
      <x:c r="I3537" s="22" t="n">
        <x:v>287.968</x:v>
      </x:c>
      <x:c r="J3537" s="24" t="n">
        <x:v>4</x:v>
      </x:c>
      <x:c r="K3537" s="26" t="n">
        <x:v>0.2</x:v>
      </x:c>
      <x:c r="L3537" s="22" t="n">
        <x:v>97.18919999999999</x:v>
      </x:c>
      <x:c r="M3537" t="n">
        <x:v>2014</x:v>
      </x:c>
      <x:c r="N3537" s="20" t="n">
        <x:v>41730</x:v>
      </x:c>
    </x:row>
    <x:row r="3538" ht="18" customHeight="1">
      <x:c r="A3538" t="str">
        <x:v>CA-2014-110849</x:v>
      </x:c>
      <x:c r="B3538" s="18" t="n">
        <x:v>41747</x:v>
      </x:c>
      <x:c r="C3538" t="str">
        <x:v>JL-15835</x:v>
      </x:c>
      <x:c r="D3538" t="str">
        <x:v>John Lee</x:v>
      </x:c>
      <x:c r="E3538" t="str">
        <x:v>Consumer</x:v>
      </x:c>
      <x:c r="F3538" t="str">
        <x:v>West</x:v>
      </x:c>
      <x:c r="G3538" t="str">
        <x:v>Office Supplies</x:v>
      </x:c>
      <x:c r="H3538" t="str">
        <x:v>Art</x:v>
      </x:c>
      <x:c r="I3538" s="22" t="n">
        <x:v>13.12</x:v>
      </x:c>
      <x:c r="J3538" s="24" t="n">
        <x:v>4</x:v>
      </x:c>
      <x:c r="K3538" s="26" t="n">
        <x:v>0</x:v>
      </x:c>
      <x:c r="L3538" s="22" t="n">
        <x:v>3.8047999999999984</x:v>
      </x:c>
      <x:c r="M3538" t="n">
        <x:v>2014</x:v>
      </x:c>
      <x:c r="N3538" s="20" t="n">
        <x:v>41730</x:v>
      </x:c>
    </x:row>
    <x:row r="3539" ht="18" customHeight="1">
      <x:c r="A3539" t="str">
        <x:v>CA-2014-110849</x:v>
      </x:c>
      <x:c r="B3539" s="18" t="n">
        <x:v>41747</x:v>
      </x:c>
      <x:c r="C3539" t="str">
        <x:v>JL-15835</x:v>
      </x:c>
      <x:c r="D3539" t="str">
        <x:v>John Lee</x:v>
      </x:c>
      <x:c r="E3539" t="str">
        <x:v>Consumer</x:v>
      </x:c>
      <x:c r="F3539" t="str">
        <x:v>West</x:v>
      </x:c>
      <x:c r="G3539" t="str">
        <x:v>Office Supplies</x:v>
      </x:c>
      <x:c r="H3539" t="str">
        <x:v>Art</x:v>
      </x:c>
      <x:c r="I3539" s="22" t="n">
        <x:v>10.75</x:v>
      </x:c>
      <x:c r="J3539" s="24" t="n">
        <x:v>5</x:v>
      </x:c>
      <x:c r="K3539" s="26" t="n">
        <x:v>0</x:v>
      </x:c>
      <x:c r="L3539" s="22" t="n">
        <x:v>3.547499999999999</x:v>
      </x:c>
      <x:c r="M3539" t="n">
        <x:v>2014</x:v>
      </x:c>
      <x:c r="N3539" s="20" t="n">
        <x:v>41730</x:v>
      </x:c>
    </x:row>
    <x:row r="3540" ht="18" customHeight="1">
      <x:c r="A3540" t="str">
        <x:v>CA-2014-110849</x:v>
      </x:c>
      <x:c r="B3540" s="18" t="n">
        <x:v>41747</x:v>
      </x:c>
      <x:c r="C3540" t="str">
        <x:v>JL-15835</x:v>
      </x:c>
      <x:c r="D3540" t="str">
        <x:v>John Lee</x:v>
      </x:c>
      <x:c r="E3540" t="str">
        <x:v>Consumer</x:v>
      </x:c>
      <x:c r="F3540" t="str">
        <x:v>West</x:v>
      </x:c>
      <x:c r="G3540" t="str">
        <x:v>Office Supplies</x:v>
      </x:c>
      <x:c r="H3540" t="str">
        <x:v>Fasteners</x:v>
      </x:c>
      <x:c r="I3540" s="22" t="n">
        <x:v>11.62</x:v>
      </x:c>
      <x:c r="J3540" s="24" t="n">
        <x:v>2</x:v>
      </x:c>
      <x:c r="K3540" s="26" t="n">
        <x:v>0</x:v>
      </x:c>
      <x:c r="L3540" s="22" t="n">
        <x:v>3.6022</x:v>
      </x:c>
      <x:c r="M3540" t="n">
        <x:v>2014</x:v>
      </x:c>
      <x:c r="N3540" s="20" t="n">
        <x:v>41730</x:v>
      </x:c>
    </x:row>
    <x:row r="3541" ht="18" customHeight="1">
      <x:c r="A3541" t="str">
        <x:v>CA-2016-145842</x:v>
      </x:c>
      <x:c r="B3541" s="18" t="n">
        <x:v>42538</x:v>
      </x:c>
      <x:c r="C3541" t="str">
        <x:v>FM-14380</x:v>
      </x:c>
      <x:c r="D3541" t="str">
        <x:v>Fred McMath</x:v>
      </x:c>
      <x:c r="E3541" t="str">
        <x:v>Consumer</x:v>
      </x:c>
      <x:c r="F3541" t="str">
        <x:v>East</x:v>
      </x:c>
      <x:c r="G3541" t="str">
        <x:v>Office Supplies</x:v>
      </x:c>
      <x:c r="H3541" t="str">
        <x:v>Storage</x:v>
      </x:c>
      <x:c r="I3541" s="22" t="n">
        <x:v>40.74</x:v>
      </x:c>
      <x:c r="J3541" s="24" t="n">
        <x:v>3</x:v>
      </x:c>
      <x:c r="K3541" s="26" t="n">
        <x:v>0</x:v>
      </x:c>
      <x:c r="L3541" s="22" t="n">
        <x:v>0.4073999999999991</x:v>
      </x:c>
      <x:c r="M3541" t="n">
        <x:v>2016</x:v>
      </x:c>
      <x:c r="N3541" s="20" t="n">
        <x:v>42522</x:v>
      </x:c>
    </x:row>
    <x:row r="3542" ht="18" customHeight="1">
      <x:c r="A3542" t="str">
        <x:v>CA-2014-158771</x:v>
      </x:c>
      <x:c r="B3542" s="18" t="n">
        <x:v>41768</x:v>
      </x:c>
      <x:c r="C3542" t="str">
        <x:v>SB-20290</x:v>
      </x:c>
      <x:c r="D3542" t="str">
        <x:v>Sean Braxton</x:v>
      </x:c>
      <x:c r="E3542" t="str">
        <x:v>Corporate</x:v>
      </x:c>
      <x:c r="F3542" t="str">
        <x:v>South</x:v>
      </x:c>
      <x:c r="G3542" t="str">
        <x:v>Office Supplies</x:v>
      </x:c>
      <x:c r="H3542" t="str">
        <x:v>Storage</x:v>
      </x:c>
      <x:c r="I3542" s="22" t="n">
        <x:v>83.25</x:v>
      </x:c>
      <x:c r="J3542" s="24" t="n">
        <x:v>3</x:v>
      </x:c>
      <x:c r="K3542" s="26" t="n">
        <x:v>0</x:v>
      </x:c>
      <x:c r="L3542" s="22" t="n">
        <x:v>14.984999999999992</x:v>
      </x:c>
      <x:c r="M3542" t="n">
        <x:v>2014</x:v>
      </x:c>
      <x:c r="N3542" s="20" t="n">
        <x:v>41760</x:v>
      </x:c>
    </x:row>
    <x:row r="3543" ht="18" customHeight="1">
      <x:c r="A3543" t="str">
        <x:v>CA-2014-158771</x:v>
      </x:c>
      <x:c r="B3543" s="18" t="n">
        <x:v>41768</x:v>
      </x:c>
      <x:c r="C3543" t="str">
        <x:v>SB-20290</x:v>
      </x:c>
      <x:c r="D3543" t="str">
        <x:v>Sean Braxton</x:v>
      </x:c>
      <x:c r="E3543" t="str">
        <x:v>Corporate</x:v>
      </x:c>
      <x:c r="F3543" t="str">
        <x:v>South</x:v>
      </x:c>
      <x:c r="G3543" t="str">
        <x:v>Office Supplies</x:v>
      </x:c>
      <x:c r="H3543" t="str">
        <x:v>Labels</x:v>
      </x:c>
      <x:c r="I3543" s="22" t="n">
        <x:v>9.45</x:v>
      </x:c>
      <x:c r="J3543" s="24" t="n">
        <x:v>3</x:v>
      </x:c>
      <x:c r="K3543" s="26" t="n">
        <x:v>0</x:v>
      </x:c>
      <x:c r="L3543" s="22" t="n">
        <x:v>4.536</x:v>
      </x:c>
      <x:c r="M3543" t="n">
        <x:v>2014</x:v>
      </x:c>
      <x:c r="N3543" s="20" t="n">
        <x:v>41760</x:v>
      </x:c>
    </x:row>
    <x:row r="3544" ht="18" customHeight="1">
      <x:c r="A3544" t="str">
        <x:v>CA-2014-158771</x:v>
      </x:c>
      <x:c r="B3544" s="18" t="n">
        <x:v>41768</x:v>
      </x:c>
      <x:c r="C3544" t="str">
        <x:v>SB-20290</x:v>
      </x:c>
      <x:c r="D3544" t="str">
        <x:v>Sean Braxton</x:v>
      </x:c>
      <x:c r="E3544" t="str">
        <x:v>Corporate</x:v>
      </x:c>
      <x:c r="F3544" t="str">
        <x:v>South</x:v>
      </x:c>
      <x:c r="G3544" t="str">
        <x:v>Office Supplies</x:v>
      </x:c>
      <x:c r="H3544" t="str">
        <x:v>Labels</x:v>
      </x:c>
      <x:c r="I3544" s="22" t="n">
        <x:v>20.65</x:v>
      </x:c>
      <x:c r="J3544" s="24" t="n">
        <x:v>5</x:v>
      </x:c>
      <x:c r="K3544" s="26" t="n">
        <x:v>0</x:v>
      </x:c>
      <x:c r="L3544" s="22" t="n">
        <x:v>9.498999999999999</x:v>
      </x:c>
      <x:c r="M3544" t="n">
        <x:v>2014</x:v>
      </x:c>
      <x:c r="N3544" s="20" t="n">
        <x:v>41760</x:v>
      </x:c>
    </x:row>
    <x:row r="3545" ht="18" customHeight="1">
      <x:c r="A3545" t="str">
        <x:v>CA-2014-158771</x:v>
      </x:c>
      <x:c r="B3545" s="18" t="n">
        <x:v>41768</x:v>
      </x:c>
      <x:c r="C3545" t="str">
        <x:v>SB-20290</x:v>
      </x:c>
      <x:c r="D3545" t="str">
        <x:v>Sean Braxton</x:v>
      </x:c>
      <x:c r="E3545" t="str">
        <x:v>Corporate</x:v>
      </x:c>
      <x:c r="F3545" t="str">
        <x:v>South</x:v>
      </x:c>
      <x:c r="G3545" t="str">
        <x:v>Office Supplies</x:v>
      </x:c>
      <x:c r="H3545" t="str">
        <x:v>Paper</x:v>
      </x:c>
      <x:c r="I3545" s="22" t="n">
        <x:v>45.36</x:v>
      </x:c>
      <x:c r="J3545" s="24" t="n">
        <x:v>7</x:v>
      </x:c>
      <x:c r="K3545" s="26" t="n">
        <x:v>0</x:v>
      </x:c>
      <x:c r="L3545" s="22" t="n">
        <x:v>21.772800000000004</x:v>
      </x:c>
      <x:c r="M3545" t="n">
        <x:v>2014</x:v>
      </x:c>
      <x:c r="N3545" s="20" t="n">
        <x:v>41760</x:v>
      </x:c>
    </x:row>
    <x:row r="3546" ht="18" customHeight="1">
      <x:c r="A3546" t="str">
        <x:v>CA-2016-157511</x:v>
      </x:c>
      <x:c r="B3546" s="18" t="n">
        <x:v>42631</x:v>
      </x:c>
      <x:c r="C3546" t="str">
        <x:v>SV-20365</x:v>
      </x:c>
      <x:c r="D3546" t="str">
        <x:v>Seth Vernon</x:v>
      </x:c>
      <x:c r="E3546" t="str">
        <x:v>Consumer</x:v>
      </x:c>
      <x:c r="F3546" t="str">
        <x:v>East</x:v>
      </x:c>
      <x:c r="G3546" t="str">
        <x:v>Furniture</x:v>
      </x:c>
      <x:c r="H3546" t="str">
        <x:v>Furnishings</x:v>
      </x:c>
      <x:c r="I3546" s="22" t="n">
        <x:v>5.352</x:v>
      </x:c>
      <x:c r="J3546" s="24" t="n">
        <x:v>3</x:v>
      </x:c>
      <x:c r="K3546" s="26" t="n">
        <x:v>0.2</x:v>
      </x:c>
      <x:c r="L3546" s="22" t="n">
        <x:v>1.6056</x:v>
      </x:c>
      <x:c r="M3546" t="n">
        <x:v>2016</x:v>
      </x:c>
      <x:c r="N3546" s="20" t="n">
        <x:v>42614</x:v>
      </x:c>
    </x:row>
    <x:row r="3547" ht="18" customHeight="1">
      <x:c r="A3547" t="str">
        <x:v>CA-2016-157511</x:v>
      </x:c>
      <x:c r="B3547" s="18" t="n">
        <x:v>42631</x:v>
      </x:c>
      <x:c r="C3547" t="str">
        <x:v>SV-20365</x:v>
      </x:c>
      <x:c r="D3547" t="str">
        <x:v>Seth Vernon</x:v>
      </x:c>
      <x:c r="E3547" t="str">
        <x:v>Consumer</x:v>
      </x:c>
      <x:c r="F3547" t="str">
        <x:v>East</x:v>
      </x:c>
      <x:c r="G3547" t="str">
        <x:v>Furniture</x:v>
      </x:c>
      <x:c r="H3547" t="str">
        <x:v>Chairs</x:v>
      </x:c>
      <x:c r="I3547" s="22" t="n">
        <x:v>99.372</x:v>
      </x:c>
      <x:c r="J3547" s="24" t="n">
        <x:v>2</x:v>
      </x:c>
      <x:c r="K3547" s="26" t="n">
        <x:v>0.3</x:v>
      </x:c>
      <x:c r="L3547" s="22" t="n">
        <x:v>-7.097999999999992</x:v>
      </x:c>
      <x:c r="M3547" t="n">
        <x:v>2016</x:v>
      </x:c>
      <x:c r="N3547" s="20" t="n">
        <x:v>42614</x:v>
      </x:c>
    </x:row>
    <x:row r="3548" ht="18" customHeight="1">
      <x:c r="A3548" t="str">
        <x:v>CA-2016-157511</x:v>
      </x:c>
      <x:c r="B3548" s="18" t="n">
        <x:v>42631</x:v>
      </x:c>
      <x:c r="C3548" t="str">
        <x:v>SV-20365</x:v>
      </x:c>
      <x:c r="D3548" t="str">
        <x:v>Seth Vernon</x:v>
      </x:c>
      <x:c r="E3548" t="str">
        <x:v>Consumer</x:v>
      </x:c>
      <x:c r="F3548" t="str">
        <x:v>East</x:v>
      </x:c>
      <x:c r="G3548" t="str">
        <x:v>Office Supplies</x:v>
      </x:c>
      <x:c r="H3548" t="str">
        <x:v>Art</x:v>
      </x:c>
      <x:c r="I3548" s="22" t="n">
        <x:v>2.672</x:v>
      </x:c>
      <x:c r="J3548" s="24" t="n">
        <x:v>1</x:v>
      </x:c>
      <x:c r="K3548" s="26" t="n">
        <x:v>0.2</x:v>
      </x:c>
      <x:c r="L3548" s="22" t="n">
        <x:v>0.3673999999999996</x:v>
      </x:c>
      <x:c r="M3548" t="n">
        <x:v>2016</x:v>
      </x:c>
      <x:c r="N3548" s="20" t="n">
        <x:v>42614</x:v>
      </x:c>
    </x:row>
    <x:row r="3549" ht="18" customHeight="1">
      <x:c r="A3549" t="str">
        <x:v>CA-2017-121216</x:v>
      </x:c>
      <x:c r="B3549" s="18" t="n">
        <x:v>43092</x:v>
      </x:c>
      <x:c r="C3549" t="str">
        <x:v>MM-17920</x:v>
      </x:c>
      <x:c r="D3549" t="str">
        <x:v>Michael Moore</x:v>
      </x:c>
      <x:c r="E3549" t="str">
        <x:v>Consumer</x:v>
      </x:c>
      <x:c r="F3549" t="str">
        <x:v>Central</x:v>
      </x:c>
      <x:c r="G3549" t="str">
        <x:v>Office Supplies</x:v>
      </x:c>
      <x:c r="H3549" t="str">
        <x:v>Paper</x:v>
      </x:c>
      <x:c r="I3549" s="22" t="n">
        <x:v>28.672000000000004</x:v>
      </x:c>
      <x:c r="J3549" s="24" t="n">
        <x:v>8</x:v>
      </x:c>
      <x:c r="K3549" s="26" t="n">
        <x:v>0.2</x:v>
      </x:c>
      <x:c r="L3549" s="22" t="n">
        <x:v>10.393600000000001</x:v>
      </x:c>
      <x:c r="M3549" t="n">
        <x:v>2017</x:v>
      </x:c>
      <x:c r="N3549" s="20" t="n">
        <x:v>43070</x:v>
      </x:c>
    </x:row>
    <x:row r="3550" ht="18" customHeight="1">
      <x:c r="A3550" t="str">
        <x:v>CA-2017-121216</x:v>
      </x:c>
      <x:c r="B3550" s="18" t="n">
        <x:v>43092</x:v>
      </x:c>
      <x:c r="C3550" t="str">
        <x:v>MM-17920</x:v>
      </x:c>
      <x:c r="D3550" t="str">
        <x:v>Michael Moore</x:v>
      </x:c>
      <x:c r="E3550" t="str">
        <x:v>Consumer</x:v>
      </x:c>
      <x:c r="F3550" t="str">
        <x:v>Central</x:v>
      </x:c>
      <x:c r="G3550" t="str">
        <x:v>Office Supplies</x:v>
      </x:c>
      <x:c r="H3550" t="str">
        <x:v>Appliances</x:v>
      </x:c>
      <x:c r="I3550" s="22" t="n">
        <x:v>29.311999999999994</x:v>
      </x:c>
      <x:c r="J3550" s="24" t="n">
        <x:v>8</x:v>
      </x:c>
      <x:c r="K3550" s="26" t="n">
        <x:v>0.8</x:v>
      </x:c>
      <x:c r="L3550" s="22" t="n">
        <x:v>-74.74560000000001</x:v>
      </x:c>
      <x:c r="M3550" t="n">
        <x:v>2017</x:v>
      </x:c>
      <x:c r="N3550" s="20" t="n">
        <x:v>43070</x:v>
      </x:c>
    </x:row>
    <x:row r="3551" ht="18" customHeight="1">
      <x:c r="A3551" t="str">
        <x:v>CA-2017-155292</x:v>
      </x:c>
      <x:c r="B3551" s="18" t="n">
        <x:v>43038</x:v>
      </x:c>
      <x:c r="C3551" t="str">
        <x:v>RD-19810</x:v>
      </x:c>
      <x:c r="D3551" t="str">
        <x:v>Ross DeVincentis</x:v>
      </x:c>
      <x:c r="E3551" t="str">
        <x:v>Home Office</x:v>
      </x:c>
      <x:c r="F3551" t="str">
        <x:v>South</x:v>
      </x:c>
      <x:c r="G3551" t="str">
        <x:v>Office Supplies</x:v>
      </x:c>
      <x:c r="H3551" t="str">
        <x:v>Storage</x:v>
      </x:c>
      <x:c r="I3551" s="22" t="n">
        <x:v>105.98</x:v>
      </x:c>
      <x:c r="J3551" s="24" t="n">
        <x:v>7</x:v>
      </x:c>
      <x:c r="K3551" s="26" t="n">
        <x:v>0</x:v>
      </x:c>
      <x:c r="L3551" s="22" t="n">
        <x:v>4.239199999999993</x:v>
      </x:c>
      <x:c r="M3551" t="n">
        <x:v>2017</x:v>
      </x:c>
      <x:c r="N3551" s="20" t="n">
        <x:v>43009</x:v>
      </x:c>
    </x:row>
    <x:row r="3552" ht="18" customHeight="1">
      <x:c r="A3552" t="str">
        <x:v>CA-2017-155292</x:v>
      </x:c>
      <x:c r="B3552" s="18" t="n">
        <x:v>43038</x:v>
      </x:c>
      <x:c r="C3552" t="str">
        <x:v>RD-19810</x:v>
      </x:c>
      <x:c r="D3552" t="str">
        <x:v>Ross DeVincentis</x:v>
      </x:c>
      <x:c r="E3552" t="str">
        <x:v>Home Office</x:v>
      </x:c>
      <x:c r="F3552" t="str">
        <x:v>South</x:v>
      </x:c>
      <x:c r="G3552" t="str">
        <x:v>Office Supplies</x:v>
      </x:c>
      <x:c r="H3552" t="str">
        <x:v>Supplies</x:v>
      </x:c>
      <x:c r="I3552" s="22" t="n">
        <x:v>35.06</x:v>
      </x:c>
      <x:c r="J3552" s="24" t="n">
        <x:v>2</x:v>
      </x:c>
      <x:c r="K3552" s="26" t="n">
        <x:v>0</x:v>
      </x:c>
      <x:c r="L3552" s="22" t="n">
        <x:v>10.517999999999997</x:v>
      </x:c>
      <x:c r="M3552" t="n">
        <x:v>2017</x:v>
      </x:c>
      <x:c r="N3552" s="20" t="n">
        <x:v>43009</x:v>
      </x:c>
    </x:row>
    <x:row r="3553" ht="18" customHeight="1">
      <x:c r="A3553" t="str">
        <x:v>CA-2017-155292</x:v>
      </x:c>
      <x:c r="B3553" s="18" t="n">
        <x:v>43038</x:v>
      </x:c>
      <x:c r="C3553" t="str">
        <x:v>RD-19810</x:v>
      </x:c>
      <x:c r="D3553" t="str">
        <x:v>Ross DeVincentis</x:v>
      </x:c>
      <x:c r="E3553" t="str">
        <x:v>Home Office</x:v>
      </x:c>
      <x:c r="F3553" t="str">
        <x:v>South</x:v>
      </x:c>
      <x:c r="G3553" t="str">
        <x:v>Furniture</x:v>
      </x:c>
      <x:c r="H3553" t="str">
        <x:v>Chairs</x:v>
      </x:c>
      <x:c r="I3553" s="22" t="n">
        <x:v>33.94</x:v>
      </x:c>
      <x:c r="J3553" s="24" t="n">
        <x:v>1</x:v>
      </x:c>
      <x:c r="K3553" s="26" t="n">
        <x:v>0</x:v>
      </x:c>
      <x:c r="L3553" s="22" t="n">
        <x:v>9.163799999999998</x:v>
      </x:c>
      <x:c r="M3553" t="n">
        <x:v>2017</x:v>
      </x:c>
      <x:c r="N3553" s="20" t="n">
        <x:v>43009</x:v>
      </x:c>
    </x:row>
    <x:row r="3554" ht="18" customHeight="1">
      <x:c r="A3554" t="str">
        <x:v>CA-2017-155292</x:v>
      </x:c>
      <x:c r="B3554" s="18" t="n">
        <x:v>43038</x:v>
      </x:c>
      <x:c r="C3554" t="str">
        <x:v>RD-19810</x:v>
      </x:c>
      <x:c r="D3554" t="str">
        <x:v>Ross DeVincentis</x:v>
      </x:c>
      <x:c r="E3554" t="str">
        <x:v>Home Office</x:v>
      </x:c>
      <x:c r="F3554" t="str">
        <x:v>South</x:v>
      </x:c>
      <x:c r="G3554" t="str">
        <x:v>Office Supplies</x:v>
      </x:c>
      <x:c r="H3554" t="str">
        <x:v>Labels</x:v>
      </x:c>
      <x:c r="I3554" s="22" t="n">
        <x:v>30</x:v>
      </x:c>
      <x:c r="J3554" s="24" t="n">
        <x:v>8</x:v>
      </x:c>
      <x:c r="K3554" s="26" t="n">
        <x:v>0</x:v>
      </x:c>
      <x:c r="L3554" s="22" t="n">
        <x:v>14.399999999999999</x:v>
      </x:c>
      <x:c r="M3554" t="n">
        <x:v>2017</x:v>
      </x:c>
      <x:c r="N3554" s="20" t="n">
        <x:v>43009</x:v>
      </x:c>
    </x:row>
    <x:row r="3555" ht="18" customHeight="1">
      <x:c r="A3555" t="str">
        <x:v>CA-2016-152555</x:v>
      </x:c>
      <x:c r="B3555" s="18" t="n">
        <x:v>42458</x:v>
      </x:c>
      <x:c r="C3555" t="str">
        <x:v>ME-17320</x:v>
      </x:c>
      <x:c r="D3555" t="str">
        <x:v>Maria Etezadi</x:v>
      </x:c>
      <x:c r="E3555" t="str">
        <x:v>Home Office</x:v>
      </x:c>
      <x:c r="F3555" t="str">
        <x:v>Central</x:v>
      </x:c>
      <x:c r="G3555" t="str">
        <x:v>Office Supplies</x:v>
      </x:c>
      <x:c r="H3555" t="str">
        <x:v>Paper</x:v>
      </x:c>
      <x:c r="I3555" s="22" t="n">
        <x:v>45.528</x:v>
      </x:c>
      <x:c r="J3555" s="24" t="n">
        <x:v>3</x:v>
      </x:c>
      <x:c r="K3555" s="26" t="n">
        <x:v>0.2</x:v>
      </x:c>
      <x:c r="L3555" s="22" t="n">
        <x:v>15.934799999999997</x:v>
      </x:c>
      <x:c r="M3555" t="n">
        <x:v>2016</x:v>
      </x:c>
      <x:c r="N3555" s="20" t="n">
        <x:v>42430</x:v>
      </x:c>
    </x:row>
    <x:row r="3556" ht="18" customHeight="1">
      <x:c r="A3556" t="str">
        <x:v>CA-2016-152555</x:v>
      </x:c>
      <x:c r="B3556" s="18" t="n">
        <x:v>42458</x:v>
      </x:c>
      <x:c r="C3556" t="str">
        <x:v>ME-17320</x:v>
      </x:c>
      <x:c r="D3556" t="str">
        <x:v>Maria Etezadi</x:v>
      </x:c>
      <x:c r="E3556" t="str">
        <x:v>Home Office</x:v>
      </x:c>
      <x:c r="F3556" t="str">
        <x:v>Central</x:v>
      </x:c>
      <x:c r="G3556" t="str">
        <x:v>Furniture</x:v>
      </x:c>
      <x:c r="H3556" t="str">
        <x:v>Chairs</x:v>
      </x:c>
      <x:c r="I3556" s="22" t="n">
        <x:v>844.1159999999999</x:v>
      </x:c>
      <x:c r="J3556" s="24" t="n">
        <x:v>6</x:v>
      </x:c>
      <x:c r="K3556" s="26" t="n">
        <x:v>0.3</x:v>
      </x:c>
      <x:c r="L3556" s="22" t="n">
        <x:v>-36.1764</x:v>
      </x:c>
      <x:c r="M3556" t="n">
        <x:v>2016</x:v>
      </x:c>
      <x:c r="N3556" s="20" t="n">
        <x:v>42430</x:v>
      </x:c>
    </x:row>
    <x:row r="3557" ht="18" customHeight="1">
      <x:c r="A3557" t="str">
        <x:v>CA-2016-152555</x:v>
      </x:c>
      <x:c r="B3557" s="18" t="n">
        <x:v>42458</x:v>
      </x:c>
      <x:c r="C3557" t="str">
        <x:v>ME-17320</x:v>
      </x:c>
      <x:c r="D3557" t="str">
        <x:v>Maria Etezadi</x:v>
      </x:c>
      <x:c r="E3557" t="str">
        <x:v>Home Office</x:v>
      </x:c>
      <x:c r="F3557" t="str">
        <x:v>Central</x:v>
      </x:c>
      <x:c r="G3557" t="str">
        <x:v>Technology</x:v>
      </x:c>
      <x:c r="H3557" t="str">
        <x:v>Phones</x:v>
      </x:c>
      <x:c r="I3557" s="22" t="n">
        <x:v>812.736</x:v>
      </x:c>
      <x:c r="J3557" s="24" t="n">
        <x:v>8</x:v>
      </x:c>
      <x:c r="K3557" s="26" t="n">
        <x:v>0.2</x:v>
      </x:c>
      <x:c r="L3557" s="22" t="n">
        <x:v>60.95519999999996</x:v>
      </x:c>
      <x:c r="M3557" t="n">
        <x:v>2016</x:v>
      </x:c>
      <x:c r="N3557" s="20" t="n">
        <x:v>42430</x:v>
      </x:c>
    </x:row>
    <x:row r="3558" ht="18" customHeight="1">
      <x:c r="A3558" t="str">
        <x:v>CA-2017-107832</x:v>
      </x:c>
      <x:c r="B3558" s="18" t="n">
        <x:v>43062</x:v>
      </x:c>
      <x:c r="C3558" t="str">
        <x:v>FH-14275</x:v>
      </x:c>
      <x:c r="D3558" t="str">
        <x:v>Frank Hawley</x:v>
      </x:c>
      <x:c r="E3558" t="str">
        <x:v>Corporate</x:v>
      </x:c>
      <x:c r="F3558" t="str">
        <x:v>East</x:v>
      </x:c>
      <x:c r="G3558" t="str">
        <x:v>Office Supplies</x:v>
      </x:c>
      <x:c r="H3558" t="str">
        <x:v>Binders</x:v>
      </x:c>
      <x:c r="I3558" s="22" t="n">
        <x:v>7.476000000000002</x:v>
      </x:c>
      <x:c r="J3558" s="24" t="n">
        <x:v>1</x:v>
      </x:c>
      <x:c r="K3558" s="26" t="n">
        <x:v>0.7</x:v>
      </x:c>
      <x:c r="L3558" s="22" t="n">
        <x:v>-5.980799999999999</x:v>
      </x:c>
      <x:c r="M3558" t="n">
        <x:v>2017</x:v>
      </x:c>
      <x:c r="N3558" s="20" t="n">
        <x:v>43040</x:v>
      </x:c>
    </x:row>
    <x:row r="3559" ht="18" customHeight="1">
      <x:c r="A3559" t="str">
        <x:v>CA-2014-120838</x:v>
      </x:c>
      <x:c r="B3559" s="18" t="n">
        <x:v>41721</x:v>
      </x:c>
      <x:c r="C3559" t="str">
        <x:v>PO-18865</x:v>
      </x:c>
      <x:c r="D3559" t="str">
        <x:v>Patrick O'Donnell</x:v>
      </x:c>
      <x:c r="E3559" t="str">
        <x:v>Consumer</x:v>
      </x:c>
      <x:c r="F3559" t="str">
        <x:v>West</x:v>
      </x:c>
      <x:c r="G3559" t="str">
        <x:v>Office Supplies</x:v>
      </x:c>
      <x:c r="H3559" t="str">
        <x:v>Storage</x:v>
      </x:c>
      <x:c r="I3559" s="22" t="n">
        <x:v>330.4</x:v>
      </x:c>
      <x:c r="J3559" s="24" t="n">
        <x:v>2</x:v>
      </x:c>
      <x:c r="K3559" s="26" t="n">
        <x:v>0</x:v>
      </x:c>
      <x:c r="L3559" s="22" t="n">
        <x:v>85.904</x:v>
      </x:c>
      <x:c r="M3559" t="n">
        <x:v>2014</x:v>
      </x:c>
      <x:c r="N3559" s="20" t="n">
        <x:v>41699</x:v>
      </x:c>
    </x:row>
    <x:row r="3560" ht="18" customHeight="1">
      <x:c r="A3560" t="str">
        <x:v>CA-2014-120838</x:v>
      </x:c>
      <x:c r="B3560" s="18" t="n">
        <x:v>41721</x:v>
      </x:c>
      <x:c r="C3560" t="str">
        <x:v>PO-18865</x:v>
      </x:c>
      <x:c r="D3560" t="str">
        <x:v>Patrick O'Donnell</x:v>
      </x:c>
      <x:c r="E3560" t="str">
        <x:v>Consumer</x:v>
      </x:c>
      <x:c r="F3560" t="str">
        <x:v>West</x:v>
      </x:c>
      <x:c r="G3560" t="str">
        <x:v>Technology</x:v>
      </x:c>
      <x:c r="H3560" t="str">
        <x:v>Phones</x:v>
      </x:c>
      <x:c r="I3560" s="22" t="n">
        <x:v>604.752</x:v>
      </x:c>
      <x:c r="J3560" s="24" t="n">
        <x:v>6</x:v>
      </x:c>
      <x:c r="K3560" s="26" t="n">
        <x:v>0.2</x:v>
      </x:c>
      <x:c r="L3560" s="22" t="n">
        <x:v>37.797000000000025</x:v>
      </x:c>
      <x:c r="M3560" t="n">
        <x:v>2014</x:v>
      </x:c>
      <x:c r="N3560" s="20" t="n">
        <x:v>41699</x:v>
      </x:c>
    </x:row>
    <x:row r="3561" ht="18" customHeight="1">
      <x:c r="A3561" t="str">
        <x:v>CA-2017-118542</x:v>
      </x:c>
      <x:c r="B3561" s="18" t="n">
        <x:v>43070</x:v>
      </x:c>
      <x:c r="C3561" t="str">
        <x:v>CC-12550</x:v>
      </x:c>
      <x:c r="D3561" t="str">
        <x:v>Clay Cheatham</x:v>
      </x:c>
      <x:c r="E3561" t="str">
        <x:v>Consumer</x:v>
      </x:c>
      <x:c r="F3561" t="str">
        <x:v>West</x:v>
      </x:c>
      <x:c r="G3561" t="str">
        <x:v>Office Supplies</x:v>
      </x:c>
      <x:c r="H3561" t="str">
        <x:v>Paper</x:v>
      </x:c>
      <x:c r="I3561" s="22" t="n">
        <x:v>45.36</x:v>
      </x:c>
      <x:c r="J3561" s="24" t="n">
        <x:v>7</x:v>
      </x:c>
      <x:c r="K3561" s="26" t="n">
        <x:v>0</x:v>
      </x:c>
      <x:c r="L3561" s="22" t="n">
        <x:v>21.772800000000004</x:v>
      </x:c>
      <x:c r="M3561" t="n">
        <x:v>2017</x:v>
      </x:c>
      <x:c r="N3561" s="20" t="n">
        <x:v>43070</x:v>
      </x:c>
    </x:row>
    <x:row r="3562" ht="18" customHeight="1">
      <x:c r="A3562" t="str">
        <x:v>CA-2017-118542</x:v>
      </x:c>
      <x:c r="B3562" s="18" t="n">
        <x:v>43070</x:v>
      </x:c>
      <x:c r="C3562" t="str">
        <x:v>CC-12550</x:v>
      </x:c>
      <x:c r="D3562" t="str">
        <x:v>Clay Cheatham</x:v>
      </x:c>
      <x:c r="E3562" t="str">
        <x:v>Consumer</x:v>
      </x:c>
      <x:c r="F3562" t="str">
        <x:v>West</x:v>
      </x:c>
      <x:c r="G3562" t="str">
        <x:v>Office Supplies</x:v>
      </x:c>
      <x:c r="H3562" t="str">
        <x:v>Binders</x:v>
      </x:c>
      <x:c r="I3562" s="22" t="n">
        <x:v>10.128</x:v>
      </x:c>
      <x:c r="J3562" s="24" t="n">
        <x:v>2</x:v>
      </x:c>
      <x:c r="K3562" s="26" t="n">
        <x:v>0.2</x:v>
      </x:c>
      <x:c r="L3562" s="22" t="n">
        <x:v>3.6714</x:v>
      </x:c>
      <x:c r="M3562" t="n">
        <x:v>2017</x:v>
      </x:c>
      <x:c r="N3562" s="20" t="n">
        <x:v>43070</x:v>
      </x:c>
    </x:row>
    <x:row r="3563" ht="18" customHeight="1">
      <x:c r="A3563" t="str">
        <x:v>CA-2017-152737</x:v>
      </x:c>
      <x:c r="B3563" s="18" t="n">
        <x:v>43046</x:v>
      </x:c>
      <x:c r="C3563" t="str">
        <x:v>TS-21505</x:v>
      </x:c>
      <x:c r="D3563" t="str">
        <x:v>Tony Sayre</x:v>
      </x:c>
      <x:c r="E3563" t="str">
        <x:v>Consumer</x:v>
      </x:c>
      <x:c r="F3563" t="str">
        <x:v>West</x:v>
      </x:c>
      <x:c r="G3563" t="str">
        <x:v>Office Supplies</x:v>
      </x:c>
      <x:c r="H3563" t="str">
        <x:v>Binders</x:v>
      </x:c>
      <x:c r="I3563" s="22" t="n">
        <x:v>21.792</x:v>
      </x:c>
      <x:c r="J3563" s="24" t="n">
        <x:v>4</x:v>
      </x:c>
      <x:c r="K3563" s="26" t="n">
        <x:v>0.2</x:v>
      </x:c>
      <x:c r="L3563" s="22" t="n">
        <x:v>7.627199999999998</x:v>
      </x:c>
      <x:c r="M3563" t="n">
        <x:v>2017</x:v>
      </x:c>
      <x:c r="N3563" s="20" t="n">
        <x:v>43040</x:v>
      </x:c>
    </x:row>
    <x:row r="3564" ht="18" customHeight="1">
      <x:c r="A3564" t="str">
        <x:v>CA-2017-152737</x:v>
      </x:c>
      <x:c r="B3564" s="18" t="n">
        <x:v>43046</x:v>
      </x:c>
      <x:c r="C3564" t="str">
        <x:v>TS-21505</x:v>
      </x:c>
      <x:c r="D3564" t="str">
        <x:v>Tony Sayre</x:v>
      </x:c>
      <x:c r="E3564" t="str">
        <x:v>Consumer</x:v>
      </x:c>
      <x:c r="F3564" t="str">
        <x:v>West</x:v>
      </x:c>
      <x:c r="G3564" t="str">
        <x:v>Technology</x:v>
      </x:c>
      <x:c r="H3564" t="str">
        <x:v>Accessories</x:v>
      </x:c>
      <x:c r="I3564" s="22" t="n">
        <x:v>439.8</x:v>
      </x:c>
      <x:c r="J3564" s="24" t="n">
        <x:v>4</x:v>
      </x:c>
      <x:c r="K3564" s="26" t="n">
        <x:v>0</x:v>
      </x:c>
      <x:c r="L3564" s="22" t="n">
        <x:v>145.13400000000001</x:v>
      </x:c>
      <x:c r="M3564" t="n">
        <x:v>2017</x:v>
      </x:c>
      <x:c r="N3564" s="20" t="n">
        <x:v>43040</x:v>
      </x:c>
    </x:row>
    <x:row r="3565" ht="18" customHeight="1">
      <x:c r="A3565" t="str">
        <x:v>CA-2017-109757</x:v>
      </x:c>
      <x:c r="B3565" s="18" t="n">
        <x:v>42982</x:v>
      </x:c>
      <x:c r="C3565" t="str">
        <x:v>MD-17350</x:v>
      </x:c>
      <x:c r="D3565" t="str">
        <x:v>Maribeth Dona</x:v>
      </x:c>
      <x:c r="E3565" t="str">
        <x:v>Consumer</x:v>
      </x:c>
      <x:c r="F3565" t="str">
        <x:v>East</x:v>
      </x:c>
      <x:c r="G3565" t="str">
        <x:v>Office Supplies</x:v>
      </x:c>
      <x:c r="H3565" t="str">
        <x:v>Art</x:v>
      </x:c>
      <x:c r="I3565" s="22" t="n">
        <x:v>8.256</x:v>
      </x:c>
      <x:c r="J3565" s="24" t="n">
        <x:v>4</x:v>
      </x:c>
      <x:c r="K3565" s="26" t="n">
        <x:v>0.2</x:v>
      </x:c>
      <x:c r="L3565" s="22" t="n">
        <x:v>0.6192000000000002</x:v>
      </x:c>
      <x:c r="M3565" t="n">
        <x:v>2017</x:v>
      </x:c>
      <x:c r="N3565" s="20" t="n">
        <x:v>42979</x:v>
      </x:c>
    </x:row>
    <x:row r="3566" ht="18" customHeight="1">
      <x:c r="A3566" t="str">
        <x:v>CA-2017-109757</x:v>
      </x:c>
      <x:c r="B3566" s="18" t="n">
        <x:v>42982</x:v>
      </x:c>
      <x:c r="C3566" t="str">
        <x:v>MD-17350</x:v>
      </x:c>
      <x:c r="D3566" t="str">
        <x:v>Maribeth Dona</x:v>
      </x:c>
      <x:c r="E3566" t="str">
        <x:v>Consumer</x:v>
      </x:c>
      <x:c r="F3566" t="str">
        <x:v>East</x:v>
      </x:c>
      <x:c r="G3566" t="str">
        <x:v>Office Supplies</x:v>
      </x:c>
      <x:c r="H3566" t="str">
        <x:v>Binders</x:v>
      </x:c>
      <x:c r="I3566" s="22" t="n">
        <x:v>25.560000000000002</x:v>
      </x:c>
      <x:c r="J3566" s="24" t="n">
        <x:v>5</x:v>
      </x:c>
      <x:c r="K3566" s="26" t="n">
        <x:v>0.7</x:v>
      </x:c>
      <x:c r="L3566" s="22" t="n">
        <x:v>-20.448</x:v>
      </x:c>
      <x:c r="M3566" t="n">
        <x:v>2017</x:v>
      </x:c>
      <x:c r="N3566" s="20" t="n">
        <x:v>42979</x:v>
      </x:c>
    </x:row>
    <x:row r="3567" ht="18" customHeight="1">
      <x:c r="A3567" t="str">
        <x:v>CA-2017-109757</x:v>
      </x:c>
      <x:c r="B3567" s="18" t="n">
        <x:v>42982</x:v>
      </x:c>
      <x:c r="C3567" t="str">
        <x:v>MD-17350</x:v>
      </x:c>
      <x:c r="D3567" t="str">
        <x:v>Maribeth Dona</x:v>
      </x:c>
      <x:c r="E3567" t="str">
        <x:v>Consumer</x:v>
      </x:c>
      <x:c r="F3567" t="str">
        <x:v>East</x:v>
      </x:c>
      <x:c r="G3567" t="str">
        <x:v>Office Supplies</x:v>
      </x:c>
      <x:c r="H3567" t="str">
        <x:v>Binders</x:v>
      </x:c>
      <x:c r="I3567" s="22" t="n">
        <x:v>4.368000000000001</x:v>
      </x:c>
      <x:c r="J3567" s="24" t="n">
        <x:v>2</x:v>
      </x:c>
      <x:c r="K3567" s="26" t="n">
        <x:v>0.7</x:v>
      </x:c>
      <x:c r="L3567" s="22" t="n">
        <x:v>-3.0576</x:v>
      </x:c>
      <x:c r="M3567" t="n">
        <x:v>2017</x:v>
      </x:c>
      <x:c r="N3567" s="20" t="n">
        <x:v>42979</x:v>
      </x:c>
    </x:row>
    <x:row r="3568" ht="18" customHeight="1">
      <x:c r="A3568" t="str">
        <x:v>CA-2017-109757</x:v>
      </x:c>
      <x:c r="B3568" s="18" t="n">
        <x:v>42982</x:v>
      </x:c>
      <x:c r="C3568" t="str">
        <x:v>MD-17350</x:v>
      </x:c>
      <x:c r="D3568" t="str">
        <x:v>Maribeth Dona</x:v>
      </x:c>
      <x:c r="E3568" t="str">
        <x:v>Consumer</x:v>
      </x:c>
      <x:c r="F3568" t="str">
        <x:v>East</x:v>
      </x:c>
      <x:c r="G3568" t="str">
        <x:v>Office Supplies</x:v>
      </x:c>
      <x:c r="H3568" t="str">
        <x:v>Paper</x:v>
      </x:c>
      <x:c r="I3568" s="22" t="n">
        <x:v>11.520000000000001</x:v>
      </x:c>
      <x:c r="J3568" s="24" t="n">
        <x:v>4</x:v>
      </x:c>
      <x:c r="K3568" s="26" t="n">
        <x:v>0.2</x:v>
      </x:c>
      <x:c r="L3568" s="22" t="n">
        <x:v>3.7439999999999993</x:v>
      </x:c>
      <x:c r="M3568" t="n">
        <x:v>2017</x:v>
      </x:c>
      <x:c r="N3568" s="20" t="n">
        <x:v>42979</x:v>
      </x:c>
    </x:row>
    <x:row r="3569" ht="18" customHeight="1">
      <x:c r="A3569" t="str">
        <x:v>CA-2016-130029</x:v>
      </x:c>
      <x:c r="B3569" s="18" t="n">
        <x:v>42554</x:v>
      </x:c>
      <x:c r="C3569" t="str">
        <x:v>GT-14755</x:v>
      </x:c>
      <x:c r="D3569" t="str">
        <x:v>Guy Thornton</x:v>
      </x:c>
      <x:c r="E3569" t="str">
        <x:v>Consumer</x:v>
      </x:c>
      <x:c r="F3569" t="str">
        <x:v>West</x:v>
      </x:c>
      <x:c r="G3569" t="str">
        <x:v>Office Supplies</x:v>
      </x:c>
      <x:c r="H3569" t="str">
        <x:v>Paper</x:v>
      </x:c>
      <x:c r="I3569" s="22" t="n">
        <x:v>12.96</x:v>
      </x:c>
      <x:c r="J3569" s="24" t="n">
        <x:v>2</x:v>
      </x:c>
      <x:c r="K3569" s="26" t="n">
        <x:v>0</x:v>
      </x:c>
      <x:c r="L3569" s="22" t="n">
        <x:v>6.2208000000000006</x:v>
      </x:c>
      <x:c r="M3569" t="n">
        <x:v>2016</x:v>
      </x:c>
      <x:c r="N3569" s="20" t="n">
        <x:v>42552</x:v>
      </x:c>
    </x:row>
    <x:row r="3570" ht="18" customHeight="1">
      <x:c r="A3570" t="str">
        <x:v>CA-2016-130029</x:v>
      </x:c>
      <x:c r="B3570" s="18" t="n">
        <x:v>42554</x:v>
      </x:c>
      <x:c r="C3570" t="str">
        <x:v>GT-14755</x:v>
      </x:c>
      <x:c r="D3570" t="str">
        <x:v>Guy Thornton</x:v>
      </x:c>
      <x:c r="E3570" t="str">
        <x:v>Consumer</x:v>
      </x:c>
      <x:c r="F3570" t="str">
        <x:v>West</x:v>
      </x:c>
      <x:c r="G3570" t="str">
        <x:v>Office Supplies</x:v>
      </x:c>
      <x:c r="H3570" t="str">
        <x:v>Fasteners</x:v>
      </x:c>
      <x:c r="I3570" s="22" t="n">
        <x:v>3.96</x:v>
      </x:c>
      <x:c r="J3570" s="24" t="n">
        <x:v>2</x:v>
      </x:c>
      <x:c r="K3570" s="26" t="n">
        <x:v>0</x:v>
      </x:c>
      <x:c r="L3570" s="22" t="n">
        <x:v>0.07920000000000016</x:v>
      </x:c>
      <x:c r="M3570" t="n">
        <x:v>2016</x:v>
      </x:c>
      <x:c r="N3570" s="20" t="n">
        <x:v>42552</x:v>
      </x:c>
    </x:row>
    <x:row r="3571" ht="18" customHeight="1">
      <x:c r="A3571" t="str">
        <x:v>CA-2017-103877</x:v>
      </x:c>
      <x:c r="B3571" s="18" t="n">
        <x:v>42985</x:v>
      </x:c>
      <x:c r="C3571" t="str">
        <x:v>RD-19660</x:v>
      </x:c>
      <x:c r="D3571" t="str">
        <x:v>Robert Dilbeck</x:v>
      </x:c>
      <x:c r="E3571" t="str">
        <x:v>Home Office</x:v>
      </x:c>
      <x:c r="F3571" t="str">
        <x:v>Central</x:v>
      </x:c>
      <x:c r="G3571" t="str">
        <x:v>Office Supplies</x:v>
      </x:c>
      <x:c r="H3571" t="str">
        <x:v>Binders</x:v>
      </x:c>
      <x:c r="I3571" s="22" t="n">
        <x:v>1577.94</x:v>
      </x:c>
      <x:c r="J3571" s="24" t="n">
        <x:v>3</x:v>
      </x:c>
      <x:c r="K3571" s="26" t="n">
        <x:v>0</x:v>
      </x:c>
      <x:c r="L3571" s="22" t="n">
        <x:v>757.4112</x:v>
      </x:c>
      <x:c r="M3571" t="n">
        <x:v>2017</x:v>
      </x:c>
      <x:c r="N3571" s="20" t="n">
        <x:v>42979</x:v>
      </x:c>
    </x:row>
    <x:row r="3572" ht="18" customHeight="1">
      <x:c r="A3572" t="str">
        <x:v>CA-2016-137176</x:v>
      </x:c>
      <x:c r="B3572" s="18" t="n">
        <x:v>42622</x:v>
      </x:c>
      <x:c r="C3572" t="str">
        <x:v>DB-12910</x:v>
      </x:c>
      <x:c r="D3572" t="str">
        <x:v>Daniel Byrd</x:v>
      </x:c>
      <x:c r="E3572" t="str">
        <x:v>Home Office</x:v>
      </x:c>
      <x:c r="F3572" t="str">
        <x:v>Central</x:v>
      </x:c>
      <x:c r="G3572" t="str">
        <x:v>Furniture</x:v>
      </x:c>
      <x:c r="H3572" t="str">
        <x:v>Furnishings</x:v>
      </x:c>
      <x:c r="I3572" s="22" t="n">
        <x:v>15.008000000000003</x:v>
      </x:c>
      <x:c r="J3572" s="24" t="n">
        <x:v>4</x:v>
      </x:c>
      <x:c r="K3572" s="26" t="n">
        <x:v>0.6</x:v>
      </x:c>
      <x:c r="L3572" s="22" t="n">
        <x:v>-12.0064</x:v>
      </x:c>
      <x:c r="M3572" t="n">
        <x:v>2016</x:v>
      </x:c>
      <x:c r="N3572" s="20" t="n">
        <x:v>42614</x:v>
      </x:c>
    </x:row>
    <x:row r="3573" ht="18" customHeight="1">
      <x:c r="A3573" t="str">
        <x:v>CA-2017-168109</x:v>
      </x:c>
      <x:c r="B3573" s="18" t="n">
        <x:v>42919</x:v>
      </x:c>
      <x:c r="C3573" t="str">
        <x:v>JK-15640</x:v>
      </x:c>
      <x:c r="D3573" t="str">
        <x:v>Jim Kriz</x:v>
      </x:c>
      <x:c r="E3573" t="str">
        <x:v>Home Office</x:v>
      </x:c>
      <x:c r="F3573" t="str">
        <x:v>West</x:v>
      </x:c>
      <x:c r="G3573" t="str">
        <x:v>Technology</x:v>
      </x:c>
      <x:c r="H3573" t="str">
        <x:v>Accessories</x:v>
      </x:c>
      <x:c r="I3573" s="22" t="n">
        <x:v>59.98</x:v>
      </x:c>
      <x:c r="J3573" s="24" t="n">
        <x:v>2</x:v>
      </x:c>
      <x:c r="K3573" s="26" t="n">
        <x:v>0</x:v>
      </x:c>
      <x:c r="L3573" s="22" t="n">
        <x:v>26.391200000000005</x:v>
      </x:c>
      <x:c r="M3573" t="n">
        <x:v>2017</x:v>
      </x:c>
      <x:c r="N3573" s="20" t="n">
        <x:v>42917</x:v>
      </x:c>
    </x:row>
    <x:row r="3574" ht="18" customHeight="1">
      <x:c r="A3574" t="str">
        <x:v>CA-2017-168109</x:v>
      </x:c>
      <x:c r="B3574" s="18" t="n">
        <x:v>42919</x:v>
      </x:c>
      <x:c r="C3574" t="str">
        <x:v>JK-15640</x:v>
      </x:c>
      <x:c r="D3574" t="str">
        <x:v>Jim Kriz</x:v>
      </x:c>
      <x:c r="E3574" t="str">
        <x:v>Home Office</x:v>
      </x:c>
      <x:c r="F3574" t="str">
        <x:v>West</x:v>
      </x:c>
      <x:c r="G3574" t="str">
        <x:v>Technology</x:v>
      </x:c>
      <x:c r="H3574" t="str">
        <x:v>Machines</x:v>
      </x:c>
      <x:c r="I3574" s="22" t="n">
        <x:v>2395.2000000000003</x:v>
      </x:c>
      <x:c r="J3574" s="24" t="n">
        <x:v>6</x:v>
      </x:c>
      <x:c r="K3574" s="26" t="n">
        <x:v>0.2</x:v>
      </x:c>
      <x:c r="L3574" s="22" t="n">
        <x:v>209.58000000000004</x:v>
      </x:c>
      <x:c r="M3574" t="n">
        <x:v>2017</x:v>
      </x:c>
      <x:c r="N3574" s="20" t="n">
        <x:v>42917</x:v>
      </x:c>
    </x:row>
    <x:row r="3575" ht="18" customHeight="1">
      <x:c r="A3575" t="str">
        <x:v>CA-2017-168109</x:v>
      </x:c>
      <x:c r="B3575" s="18" t="n">
        <x:v>42919</x:v>
      </x:c>
      <x:c r="C3575" t="str">
        <x:v>JK-15640</x:v>
      </x:c>
      <x:c r="D3575" t="str">
        <x:v>Jim Kriz</x:v>
      </x:c>
      <x:c r="E3575" t="str">
        <x:v>Home Office</x:v>
      </x:c>
      <x:c r="F3575" t="str">
        <x:v>West</x:v>
      </x:c>
      <x:c r="G3575" t="str">
        <x:v>Technology</x:v>
      </x:c>
      <x:c r="H3575" t="str">
        <x:v>Accessories</x:v>
      </x:c>
      <x:c r="I3575" s="22" t="n">
        <x:v>1687.8</x:v>
      </x:c>
      <x:c r="J3575" s="24" t="n">
        <x:v>4</x:v>
      </x:c>
      <x:c r="K3575" s="26" t="n">
        <x:v>0</x:v>
      </x:c>
      <x:c r="L3575" s="22" t="n">
        <x:v>742.6320000000001</x:v>
      </x:c>
      <x:c r="M3575" t="n">
        <x:v>2017</x:v>
      </x:c>
      <x:c r="N3575" s="20" t="n">
        <x:v>42917</x:v>
      </x:c>
    </x:row>
    <x:row r="3576" ht="18" customHeight="1">
      <x:c r="A3576" t="str">
        <x:v>CA-2017-168109</x:v>
      </x:c>
      <x:c r="B3576" s="18" t="n">
        <x:v>42919</x:v>
      </x:c>
      <x:c r="C3576" t="str">
        <x:v>JK-15640</x:v>
      </x:c>
      <x:c r="D3576" t="str">
        <x:v>Jim Kriz</x:v>
      </x:c>
      <x:c r="E3576" t="str">
        <x:v>Home Office</x:v>
      </x:c>
      <x:c r="F3576" t="str">
        <x:v>West</x:v>
      </x:c>
      <x:c r="G3576" t="str">
        <x:v>Technology</x:v>
      </x:c>
      <x:c r="H3576" t="str">
        <x:v>Phones</x:v>
      </x:c>
      <x:c r="I3576" s="22" t="n">
        <x:v>7.992000000000001</x:v>
      </x:c>
      <x:c r="J3576" s="24" t="n">
        <x:v>1</x:v>
      </x:c>
      <x:c r="K3576" s="26" t="n">
        <x:v>0.2</x:v>
      </x:c>
      <x:c r="L3576" s="22" t="n">
        <x:v>2.6972999999999994</x:v>
      </x:c>
      <x:c r="M3576" t="n">
        <x:v>2017</x:v>
      </x:c>
      <x:c r="N3576" s="20" t="n">
        <x:v>42917</x:v>
      </x:c>
    </x:row>
    <x:row r="3577" ht="18" customHeight="1">
      <x:c r="A3577" t="str">
        <x:v>US-2017-126081</x:v>
      </x:c>
      <x:c r="B3577" s="18" t="n">
        <x:v>42915</x:v>
      </x:c>
      <x:c r="C3577" t="str">
        <x:v>FC-14335</x:v>
      </x:c>
      <x:c r="D3577" t="str">
        <x:v>Fred Chung</x:v>
      </x:c>
      <x:c r="E3577" t="str">
        <x:v>Corporate</x:v>
      </x:c>
      <x:c r="F3577" t="str">
        <x:v>Central</x:v>
      </x:c>
      <x:c r="G3577" t="str">
        <x:v>Office Supplies</x:v>
      </x:c>
      <x:c r="H3577" t="str">
        <x:v>Paper</x:v>
      </x:c>
      <x:c r="I3577" s="22" t="n">
        <x:v>5.184000000000001</x:v>
      </x:c>
      <x:c r="J3577" s="24" t="n">
        <x:v>1</x:v>
      </x:c>
      <x:c r="K3577" s="26" t="n">
        <x:v>0.2</x:v>
      </x:c>
      <x:c r="L3577" s="22" t="n">
        <x:v>1.8144</x:v>
      </x:c>
      <x:c r="M3577" t="n">
        <x:v>2017</x:v>
      </x:c>
      <x:c r="N3577" s="20" t="n">
        <x:v>42887</x:v>
      </x:c>
    </x:row>
    <x:row r="3578" ht="18" customHeight="1">
      <x:c r="A3578" t="str">
        <x:v>CA-2017-117023</x:v>
      </x:c>
      <x:c r="B3578" s="18" t="n">
        <x:v>42954</x:v>
      </x:c>
      <x:c r="C3578" t="str">
        <x:v>JW-15955</x:v>
      </x:c>
      <x:c r="D3578" t="str">
        <x:v>Joni Wasserman</x:v>
      </x:c>
      <x:c r="E3578" t="str">
        <x:v>Consumer</x:v>
      </x:c>
      <x:c r="F3578" t="str">
        <x:v>East</x:v>
      </x:c>
      <x:c r="G3578" t="str">
        <x:v>Office Supplies</x:v>
      </x:c>
      <x:c r="H3578" t="str">
        <x:v>Art</x:v>
      </x:c>
      <x:c r="I3578" s="22" t="n">
        <x:v>11.68</x:v>
      </x:c>
      <x:c r="J3578" s="24" t="n">
        <x:v>2</x:v>
      </x:c>
      <x:c r="K3578" s="26" t="n">
        <x:v>0</x:v>
      </x:c>
      <x:c r="L3578" s="22" t="n">
        <x:v>5.489599999999999</x:v>
      </x:c>
      <x:c r="M3578" t="n">
        <x:v>2017</x:v>
      </x:c>
      <x:c r="N3578" s="20" t="n">
        <x:v>42948</x:v>
      </x:c>
    </x:row>
    <x:row r="3579" ht="18" customHeight="1">
      <x:c r="A3579" t="str">
        <x:v>CA-2017-117023</x:v>
      </x:c>
      <x:c r="B3579" s="18" t="n">
        <x:v>42954</x:v>
      </x:c>
      <x:c r="C3579" t="str">
        <x:v>JW-15955</x:v>
      </x:c>
      <x:c r="D3579" t="str">
        <x:v>Joni Wasserman</x:v>
      </x:c>
      <x:c r="E3579" t="str">
        <x:v>Consumer</x:v>
      </x:c>
      <x:c r="F3579" t="str">
        <x:v>East</x:v>
      </x:c>
      <x:c r="G3579" t="str">
        <x:v>Office Supplies</x:v>
      </x:c>
      <x:c r="H3579" t="str">
        <x:v>Art</x:v>
      </x:c>
      <x:c r="I3579" s="22" t="n">
        <x:v>104.80000000000001</x:v>
      </x:c>
      <x:c r="J3579" s="24" t="n">
        <x:v>10</x:v>
      </x:c>
      <x:c r="K3579" s="26" t="n">
        <x:v>0</x:v>
      </x:c>
      <x:c r="L3579" s="22" t="n">
        <x:v>26.200000000000003</x:v>
      </x:c>
      <x:c r="M3579" t="n">
        <x:v>2017</x:v>
      </x:c>
      <x:c r="N3579" s="20" t="n">
        <x:v>42948</x:v>
      </x:c>
    </x:row>
    <x:row r="3580" ht="18" customHeight="1">
      <x:c r="A3580" t="str">
        <x:v>CA-2015-143532</x:v>
      </x:c>
      <x:c r="B3580" s="18" t="n">
        <x:v>42082</x:v>
      </x:c>
      <x:c r="C3580" t="str">
        <x:v>DC-12850</x:v>
      </x:c>
      <x:c r="D3580" t="str">
        <x:v>Dan Campbell</x:v>
      </x:c>
      <x:c r="E3580" t="str">
        <x:v>Consumer</x:v>
      </x:c>
      <x:c r="F3580" t="str">
        <x:v>South</x:v>
      </x:c>
      <x:c r="G3580" t="str">
        <x:v>Office Supplies</x:v>
      </x:c>
      <x:c r="H3580" t="str">
        <x:v>Paper</x:v>
      </x:c>
      <x:c r="I3580" s="22" t="n">
        <x:v>14.496000000000002</x:v>
      </x:c>
      <x:c r="J3580" s="24" t="n">
        <x:v>3</x:v>
      </x:c>
      <x:c r="K3580" s="26" t="n">
        <x:v>0.2</x:v>
      </x:c>
      <x:c r="L3580" s="22" t="n">
        <x:v>4.8924</x:v>
      </x:c>
      <x:c r="M3580" t="n">
        <x:v>2015</x:v>
      </x:c>
      <x:c r="N3580" s="20" t="n">
        <x:v>42064</x:v>
      </x:c>
    </x:row>
    <x:row r="3581" ht="18" customHeight="1">
      <x:c r="A3581" t="str">
        <x:v>CA-2016-103163</x:v>
      </x:c>
      <x:c r="B3581" s="18" t="n">
        <x:v>42528</x:v>
      </x:c>
      <x:c r="C3581" t="str">
        <x:v>FM-14290</x:v>
      </x:c>
      <x:c r="D3581" t="str">
        <x:v>Frank Merwin</x:v>
      </x:c>
      <x:c r="E3581" t="str">
        <x:v>Home Office</x:v>
      </x:c>
      <x:c r="F3581" t="str">
        <x:v>West</x:v>
      </x:c>
      <x:c r="G3581" t="str">
        <x:v>Office Supplies</x:v>
      </x:c>
      <x:c r="H3581" t="str">
        <x:v>Binders</x:v>
      </x:c>
      <x:c r="I3581" s="22" t="n">
        <x:v>4.784000000000001</x:v>
      </x:c>
      <x:c r="J3581" s="24" t="n">
        <x:v>1</x:v>
      </x:c>
      <x:c r="K3581" s="26" t="n">
        <x:v>0.2</x:v>
      </x:c>
      <x:c r="L3581" s="22" t="n">
        <x:v>1.5547999999999997</x:v>
      </x:c>
      <x:c r="M3581" t="n">
        <x:v>2016</x:v>
      </x:c>
      <x:c r="N3581" s="20" t="n">
        <x:v>42522</x:v>
      </x:c>
    </x:row>
    <x:row r="3582" ht="18" customHeight="1">
      <x:c r="A3582" t="str">
        <x:v>CA-2016-103163</x:v>
      </x:c>
      <x:c r="B3582" s="18" t="n">
        <x:v>42528</x:v>
      </x:c>
      <x:c r="C3582" t="str">
        <x:v>FM-14290</x:v>
      </x:c>
      <x:c r="D3582" t="str">
        <x:v>Frank Merwin</x:v>
      </x:c>
      <x:c r="E3582" t="str">
        <x:v>Home Office</x:v>
      </x:c>
      <x:c r="F3582" t="str">
        <x:v>West</x:v>
      </x:c>
      <x:c r="G3582" t="str">
        <x:v>Office Supplies</x:v>
      </x:c>
      <x:c r="H3582" t="str">
        <x:v>Paper</x:v>
      </x:c>
      <x:c r="I3582" s="22" t="n">
        <x:v>4.73</x:v>
      </x:c>
      <x:c r="J3582" s="24" t="n">
        <x:v>1</x:v>
      </x:c>
      <x:c r="K3582" s="26" t="n">
        <x:v>0</x:v>
      </x:c>
      <x:c r="L3582" s="22" t="n">
        <x:v>2.3177000000000003</x:v>
      </x:c>
      <x:c r="M3582" t="n">
        <x:v>2016</x:v>
      </x:c>
      <x:c r="N3582" s="20" t="n">
        <x:v>42522</x:v>
      </x:c>
    </x:row>
    <x:row r="3583" ht="18" customHeight="1">
      <x:c r="A3583" t="str">
        <x:v>CA-2016-104157</x:v>
      </x:c>
      <x:c r="B3583" s="18" t="n">
        <x:v>42576</x:v>
      </x:c>
      <x:c r="C3583" t="str">
        <x:v>MT-17815</x:v>
      </x:c>
      <x:c r="D3583" t="str">
        <x:v>Meg Tillman</x:v>
      </x:c>
      <x:c r="E3583" t="str">
        <x:v>Consumer</x:v>
      </x:c>
      <x:c r="F3583" t="str">
        <x:v>South</x:v>
      </x:c>
      <x:c r="G3583" t="str">
        <x:v>Office Supplies</x:v>
      </x:c>
      <x:c r="H3583" t="str">
        <x:v>Storage</x:v>
      </x:c>
      <x:c r="I3583" s="22" t="n">
        <x:v>7.89</x:v>
      </x:c>
      <x:c r="J3583" s="24" t="n">
        <x:v>1</x:v>
      </x:c>
      <x:c r="K3583" s="26" t="n">
        <x:v>0</x:v>
      </x:c>
      <x:c r="L3583" s="22" t="n">
        <x:v>0.315599999999999</x:v>
      </x:c>
      <x:c r="M3583" t="n">
        <x:v>2016</x:v>
      </x:c>
      <x:c r="N3583" s="20" t="n">
        <x:v>42552</x:v>
      </x:c>
    </x:row>
    <x:row r="3584" ht="18" customHeight="1">
      <x:c r="A3584" t="str">
        <x:v>CA-2016-104157</x:v>
      </x:c>
      <x:c r="B3584" s="18" t="n">
        <x:v>42576</x:v>
      </x:c>
      <x:c r="C3584" t="str">
        <x:v>MT-17815</x:v>
      </x:c>
      <x:c r="D3584" t="str">
        <x:v>Meg Tillman</x:v>
      </x:c>
      <x:c r="E3584" t="str">
        <x:v>Consumer</x:v>
      </x:c>
      <x:c r="F3584" t="str">
        <x:v>South</x:v>
      </x:c>
      <x:c r="G3584" t="str">
        <x:v>Office Supplies</x:v>
      </x:c>
      <x:c r="H3584" t="str">
        <x:v>Paper</x:v>
      </x:c>
      <x:c r="I3584" s="22" t="n">
        <x:v>65.5</x:v>
      </x:c>
      <x:c r="J3584" s="24" t="n">
        <x:v>5</x:v>
      </x:c>
      <x:c r="K3584" s="26" t="n">
        <x:v>0</x:v>
      </x:c>
      <x:c r="L3584" s="22" t="n">
        <x:v>32.095</x:v>
      </x:c>
      <x:c r="M3584" t="n">
        <x:v>2016</x:v>
      </x:c>
      <x:c r="N3584" s="20" t="n">
        <x:v>42552</x:v>
      </x:c>
    </x:row>
    <x:row r="3585" ht="18" customHeight="1">
      <x:c r="A3585" t="str">
        <x:v>CA-2016-104157</x:v>
      </x:c>
      <x:c r="B3585" s="18" t="n">
        <x:v>42576</x:v>
      </x:c>
      <x:c r="C3585" t="str">
        <x:v>MT-17815</x:v>
      </x:c>
      <x:c r="D3585" t="str">
        <x:v>Meg Tillman</x:v>
      </x:c>
      <x:c r="E3585" t="str">
        <x:v>Consumer</x:v>
      </x:c>
      <x:c r="F3585" t="str">
        <x:v>South</x:v>
      </x:c>
      <x:c r="G3585" t="str">
        <x:v>Furniture</x:v>
      </x:c>
      <x:c r="H3585" t="str">
        <x:v>Tables</x:v>
      </x:c>
      <x:c r="I3585" s="22" t="n">
        <x:v>2430.08</x:v>
      </x:c>
      <x:c r="J3585" s="24" t="n">
        <x:v>8</x:v>
      </x:c>
      <x:c r="K3585" s="26" t="n">
        <x:v>0</x:v>
      </x:c>
      <x:c r="L3585" s="22" t="n">
        <x:v>388.81280000000015</x:v>
      </x:c>
      <x:c r="M3585" t="n">
        <x:v>2016</x:v>
      </x:c>
      <x:c r="N3585" s="20" t="n">
        <x:v>42552</x:v>
      </x:c>
    </x:row>
    <x:row r="3586" ht="18" customHeight="1">
      <x:c r="A3586" t="str">
        <x:v>CA-2017-117807</x:v>
      </x:c>
      <x:c r="B3586" s="18" t="n">
        <x:v>43009</x:v>
      </x:c>
      <x:c r="C3586" t="str">
        <x:v>DK-13090</x:v>
      </x:c>
      <x:c r="D3586" t="str">
        <x:v>Dave Kipp</x:v>
      </x:c>
      <x:c r="E3586" t="str">
        <x:v>Consumer</x:v>
      </x:c>
      <x:c r="F3586" t="str">
        <x:v>Central</x:v>
      </x:c>
      <x:c r="G3586" t="str">
        <x:v>Office Supplies</x:v>
      </x:c>
      <x:c r="H3586" t="str">
        <x:v>Paper</x:v>
      </x:c>
      <x:c r="I3586" s="22" t="n">
        <x:v>104.85</x:v>
      </x:c>
      <x:c r="J3586" s="24" t="n">
        <x:v>1</x:v>
      </x:c>
      <x:c r="K3586" s="26" t="n">
        <x:v>0</x:v>
      </x:c>
      <x:c r="L3586" s="22" t="n">
        <x:v>50.327999999999996</x:v>
      </x:c>
      <x:c r="M3586" t="n">
        <x:v>2017</x:v>
      </x:c>
      <x:c r="N3586" s="20" t="n">
        <x:v>43009</x:v>
      </x:c>
    </x:row>
    <x:row r="3587" ht="18" customHeight="1">
      <x:c r="A3587" t="str">
        <x:v>CA-2015-121650</x:v>
      </x:c>
      <x:c r="B3587" s="18" t="n">
        <x:v>42348</x:v>
      </x:c>
      <x:c r="C3587" t="str">
        <x:v>KD-16495</x:v>
      </x:c>
      <x:c r="D3587" t="str">
        <x:v>Keith Dawkins</x:v>
      </x:c>
      <x:c r="E3587" t="str">
        <x:v>Corporate</x:v>
      </x:c>
      <x:c r="F3587" t="str">
        <x:v>Central</x:v>
      </x:c>
      <x:c r="G3587" t="str">
        <x:v>Office Supplies</x:v>
      </x:c>
      <x:c r="H3587" t="str">
        <x:v>Art</x:v>
      </x:c>
      <x:c r="I3587" s="22" t="n">
        <x:v>3.9</x:v>
      </x:c>
      <x:c r="J3587" s="24" t="n">
        <x:v>2</x:v>
      </x:c>
      <x:c r="K3587" s="26" t="n">
        <x:v>0</x:v>
      </x:c>
      <x:c r="L3587" s="22" t="n">
        <x:v>1.521</x:v>
      </x:c>
      <x:c r="M3587" t="n">
        <x:v>2015</x:v>
      </x:c>
      <x:c r="N3587" s="20" t="n">
        <x:v>42339</x:v>
      </x:c>
    </x:row>
    <x:row r="3588" ht="18" customHeight="1">
      <x:c r="A3588" t="str">
        <x:v>CA-2015-121650</x:v>
      </x:c>
      <x:c r="B3588" s="18" t="n">
        <x:v>42348</x:v>
      </x:c>
      <x:c r="C3588" t="str">
        <x:v>KD-16495</x:v>
      </x:c>
      <x:c r="D3588" t="str">
        <x:v>Keith Dawkins</x:v>
      </x:c>
      <x:c r="E3588" t="str">
        <x:v>Corporate</x:v>
      </x:c>
      <x:c r="F3588" t="str">
        <x:v>Central</x:v>
      </x:c>
      <x:c r="G3588" t="str">
        <x:v>Furniture</x:v>
      </x:c>
      <x:c r="H3588" t="str">
        <x:v>Tables</x:v>
      </x:c>
      <x:c r="I3588" s="22" t="n">
        <x:v>801.96</x:v>
      </x:c>
      <x:c r="J3588" s="24" t="n">
        <x:v>2</x:v>
      </x:c>
      <x:c r="K3588" s="26" t="n">
        <x:v>0</x:v>
      </x:c>
      <x:c r="L3588" s="22" t="n">
        <x:v>200.49</x:v>
      </x:c>
      <x:c r="M3588" t="n">
        <x:v>2015</x:v>
      </x:c>
      <x:c r="N3588" s="20" t="n">
        <x:v>42339</x:v>
      </x:c>
    </x:row>
    <x:row r="3589" ht="18" customHeight="1">
      <x:c r="A3589" t="str">
        <x:v>CA-2015-121650</x:v>
      </x:c>
      <x:c r="B3589" s="18" t="n">
        <x:v>42348</x:v>
      </x:c>
      <x:c r="C3589" t="str">
        <x:v>KD-16495</x:v>
      </x:c>
      <x:c r="D3589" t="str">
        <x:v>Keith Dawkins</x:v>
      </x:c>
      <x:c r="E3589" t="str">
        <x:v>Corporate</x:v>
      </x:c>
      <x:c r="F3589" t="str">
        <x:v>Central</x:v>
      </x:c>
      <x:c r="G3589" t="str">
        <x:v>Furniture</x:v>
      </x:c>
      <x:c r="H3589" t="str">
        <x:v>Chairs</x:v>
      </x:c>
      <x:c r="I3589" s="22" t="n">
        <x:v>191.96</x:v>
      </x:c>
      <x:c r="J3589" s="24" t="n">
        <x:v>2</x:v>
      </x:c>
      <x:c r="K3589" s="26" t="n">
        <x:v>0</x:v>
      </x:c>
      <x:c r="L3589" s="22" t="n">
        <x:v>32.63319999999999</x:v>
      </x:c>
      <x:c r="M3589" t="n">
        <x:v>2015</x:v>
      </x:c>
      <x:c r="N3589" s="20" t="n">
        <x:v>42339</x:v>
      </x:c>
    </x:row>
    <x:row r="3590" ht="18" customHeight="1">
      <x:c r="A3590" t="str">
        <x:v>CA-2015-121650</x:v>
      </x:c>
      <x:c r="B3590" s="18" t="n">
        <x:v>42348</x:v>
      </x:c>
      <x:c r="C3590" t="str">
        <x:v>KD-16495</x:v>
      </x:c>
      <x:c r="D3590" t="str">
        <x:v>Keith Dawkins</x:v>
      </x:c>
      <x:c r="E3590" t="str">
        <x:v>Corporate</x:v>
      </x:c>
      <x:c r="F3590" t="str">
        <x:v>Central</x:v>
      </x:c>
      <x:c r="G3590" t="str">
        <x:v>Office Supplies</x:v>
      </x:c>
      <x:c r="H3590" t="str">
        <x:v>Labels</x:v>
      </x:c>
      <x:c r="I3590" s="22" t="n">
        <x:v>2.61</x:v>
      </x:c>
      <x:c r="J3590" s="24" t="n">
        <x:v>1</x:v>
      </x:c>
      <x:c r="K3590" s="26" t="n">
        <x:v>0</x:v>
      </x:c>
      <x:c r="L3590" s="22" t="n">
        <x:v>1.2006</x:v>
      </x:c>
      <x:c r="M3590" t="n">
        <x:v>2015</x:v>
      </x:c>
      <x:c r="N3590" s="20" t="n">
        <x:v>42339</x:v>
      </x:c>
    </x:row>
    <x:row r="3591" ht="18" customHeight="1">
      <x:c r="A3591" t="str">
        <x:v>CA-2017-161823</x:v>
      </x:c>
      <x:c r="B3591" s="18" t="n">
        <x:v>42981</x:v>
      </x:c>
      <x:c r="C3591" t="str">
        <x:v>AG-10300</x:v>
      </x:c>
      <x:c r="D3591" t="str">
        <x:v>Aleksandra Gannaway</x:v>
      </x:c>
      <x:c r="E3591" t="str">
        <x:v>Corporate</x:v>
      </x:c>
      <x:c r="F3591" t="str">
        <x:v>West</x:v>
      </x:c>
      <x:c r="G3591" t="str">
        <x:v>Office Supplies</x:v>
      </x:c>
      <x:c r="H3591" t="str">
        <x:v>Art</x:v>
      </x:c>
      <x:c r="I3591" s="22" t="n">
        <x:v>5.96</x:v>
      </x:c>
      <x:c r="J3591" s="24" t="n">
        <x:v>2</x:v>
      </x:c>
      <x:c r="K3591" s="26" t="n">
        <x:v>0</x:v>
      </x:c>
      <x:c r="L3591" s="22" t="n">
        <x:v>1.6688</x:v>
      </x:c>
      <x:c r="M3591" t="n">
        <x:v>2017</x:v>
      </x:c>
      <x:c r="N3591" s="20" t="n">
        <x:v>42979</x:v>
      </x:c>
    </x:row>
    <x:row r="3592" ht="18" customHeight="1">
      <x:c r="A3592" t="str">
        <x:v>CA-2017-121839</x:v>
      </x:c>
      <x:c r="B3592" s="18" t="n">
        <x:v>43002</x:v>
      </x:c>
      <x:c r="C3592" t="str">
        <x:v>MH-18115</x:v>
      </x:c>
      <x:c r="D3592" t="str">
        <x:v>Mick Hernandez</x:v>
      </x:c>
      <x:c r="E3592" t="str">
        <x:v>Home Office</x:v>
      </x:c>
      <x:c r="F3592" t="str">
        <x:v>East</x:v>
      </x:c>
      <x:c r="G3592" t="str">
        <x:v>Technology</x:v>
      </x:c>
      <x:c r="H3592" t="str">
        <x:v>Phones</x:v>
      </x:c>
      <x:c r="I3592" s="22" t="n">
        <x:v>1169.694</x:v>
      </x:c>
      <x:c r="J3592" s="24" t="n">
        <x:v>3</x:v>
      </x:c>
      <x:c r="K3592" s="26" t="n">
        <x:v>0.4</x:v>
      </x:c>
      <x:c r="L3592" s="22" t="n">
        <x:v>-253.43369999999993</x:v>
      </x:c>
      <x:c r="M3592" t="n">
        <x:v>2017</x:v>
      </x:c>
      <x:c r="N3592" s="20" t="n">
        <x:v>42979</x:v>
      </x:c>
    </x:row>
    <x:row r="3593" ht="18" customHeight="1">
      <x:c r="A3593" t="str">
        <x:v>CA-2017-158729</x:v>
      </x:c>
      <x:c r="B3593" s="18" t="n">
        <x:v>43088</x:v>
      </x:c>
      <x:c r="C3593" t="str">
        <x:v>AC-10450</x:v>
      </x:c>
      <x:c r="D3593" t="str">
        <x:v>Amy Cox</x:v>
      </x:c>
      <x:c r="E3593" t="str">
        <x:v>Consumer</x:v>
      </x:c>
      <x:c r="F3593" t="str">
        <x:v>South</x:v>
      </x:c>
      <x:c r="G3593" t="str">
        <x:v>Office Supplies</x:v>
      </x:c>
      <x:c r="H3593" t="str">
        <x:v>Supplies</x:v>
      </x:c>
      <x:c r="I3593" s="22" t="n">
        <x:v>1665.62</x:v>
      </x:c>
      <x:c r="J3593" s="24" t="n">
        <x:v>2</x:v>
      </x:c>
      <x:c r="K3593" s="26" t="n">
        <x:v>0</x:v>
      </x:c>
      <x:c r="L3593" s="22" t="n">
        <x:v>33.312400000000025</x:v>
      </x:c>
      <x:c r="M3593" t="n">
        <x:v>2017</x:v>
      </x:c>
      <x:c r="N3593" s="20" t="n">
        <x:v>43070</x:v>
      </x:c>
    </x:row>
    <x:row r="3594" ht="18" customHeight="1">
      <x:c r="A3594" t="str">
        <x:v>CA-2017-146535</x:v>
      </x:c>
      <x:c r="B3594" s="18" t="n">
        <x:v>43063</x:v>
      </x:c>
      <x:c r="C3594" t="str">
        <x:v>FM-14290</x:v>
      </x:c>
      <x:c r="D3594" t="str">
        <x:v>Frank Merwin</x:v>
      </x:c>
      <x:c r="E3594" t="str">
        <x:v>Home Office</x:v>
      </x:c>
      <x:c r="F3594" t="str">
        <x:v>South</x:v>
      </x:c>
      <x:c r="G3594" t="str">
        <x:v>Office Supplies</x:v>
      </x:c>
      <x:c r="H3594" t="str">
        <x:v>Binders</x:v>
      </x:c>
      <x:c r="I3594" s="22" t="n">
        <x:v>2.88</x:v>
      </x:c>
      <x:c r="J3594" s="24" t="n">
        <x:v>1</x:v>
      </x:c>
      <x:c r="K3594" s="26" t="n">
        <x:v>0</x:v>
      </x:c>
      <x:c r="L3594" s="22" t="n">
        <x:v>1.4112</x:v>
      </x:c>
      <x:c r="M3594" t="n">
        <x:v>2017</x:v>
      </x:c>
      <x:c r="N3594" s="20" t="n">
        <x:v>43040</x:v>
      </x:c>
    </x:row>
    <x:row r="3595" ht="18" customHeight="1">
      <x:c r="A3595" t="str">
        <x:v>CA-2017-146535</x:v>
      </x:c>
      <x:c r="B3595" s="18" t="n">
        <x:v>43063</x:v>
      </x:c>
      <x:c r="C3595" t="str">
        <x:v>FM-14290</x:v>
      </x:c>
      <x:c r="D3595" t="str">
        <x:v>Frank Merwin</x:v>
      </x:c>
      <x:c r="E3595" t="str">
        <x:v>Home Office</x:v>
      </x:c>
      <x:c r="F3595" t="str">
        <x:v>South</x:v>
      </x:c>
      <x:c r="G3595" t="str">
        <x:v>Office Supplies</x:v>
      </x:c>
      <x:c r="H3595" t="str">
        <x:v>Storage</x:v>
      </x:c>
      <x:c r="I3595" s="22" t="n">
        <x:v>1443.96</x:v>
      </x:c>
      <x:c r="J3595" s="24" t="n">
        <x:v>12</x:v>
      </x:c>
      <x:c r="K3595" s="26" t="n">
        <x:v>0</x:v>
      </x:c>
      <x:c r="L3595" s="22" t="n">
        <x:v>375.42959999999994</x:v>
      </x:c>
      <x:c r="M3595" t="n">
        <x:v>2017</x:v>
      </x:c>
      <x:c r="N3595" s="20" t="n">
        <x:v>43040</x:v>
      </x:c>
    </x:row>
    <x:row r="3596" ht="18" customHeight="1">
      <x:c r="A3596" t="str">
        <x:v>CA-2014-154186</x:v>
      </x:c>
      <x:c r="B3596" s="18" t="n">
        <x:v>41986</x:v>
      </x:c>
      <x:c r="C3596" t="str">
        <x:v>RA-19285</x:v>
      </x:c>
      <x:c r="D3596" t="str">
        <x:v>Ralph Arnett</x:v>
      </x:c>
      <x:c r="E3596" t="str">
        <x:v>Consumer</x:v>
      </x:c>
      <x:c r="F3596" t="str">
        <x:v>Central</x:v>
      </x:c>
      <x:c r="G3596" t="str">
        <x:v>Office Supplies</x:v>
      </x:c>
      <x:c r="H3596" t="str">
        <x:v>Supplies</x:v>
      </x:c>
      <x:c r="I3596" s="22" t="n">
        <x:v>2.92</x:v>
      </x:c>
      <x:c r="J3596" s="24" t="n">
        <x:v>1</x:v>
      </x:c>
      <x:c r="K3596" s="26" t="n">
        <x:v>0.2</x:v>
      </x:c>
      <x:c r="L3596" s="22" t="n">
        <x:v>0.36499999999999977</x:v>
      </x:c>
      <x:c r="M3596" t="n">
        <x:v>2014</x:v>
      </x:c>
      <x:c r="N3596" s="20" t="n">
        <x:v>41974</x:v>
      </x:c>
    </x:row>
    <x:row r="3597" ht="18" customHeight="1">
      <x:c r="A3597" t="str">
        <x:v>CA-2016-108434</x:v>
      </x:c>
      <x:c r="B3597" s="18" t="n">
        <x:v>42709</x:v>
      </x:c>
      <x:c r="C3597" t="str">
        <x:v>JG-15160</x:v>
      </x:c>
      <x:c r="D3597" t="str">
        <x:v>James Galang</x:v>
      </x:c>
      <x:c r="E3597" t="str">
        <x:v>Consumer</x:v>
      </x:c>
      <x:c r="F3597" t="str">
        <x:v>East</x:v>
      </x:c>
      <x:c r="G3597" t="str">
        <x:v>Office Supplies</x:v>
      </x:c>
      <x:c r="H3597" t="str">
        <x:v>Storage</x:v>
      </x:c>
      <x:c r="I3597" s="22" t="n">
        <x:v>465.18</x:v>
      </x:c>
      <x:c r="J3597" s="24" t="n">
        <x:v>3</x:v>
      </x:c>
      <x:c r="K3597" s="26" t="n">
        <x:v>0</x:v>
      </x:c>
      <x:c r="L3597" s="22" t="n">
        <x:v>120.94680000000001</x:v>
      </x:c>
      <x:c r="M3597" t="n">
        <x:v>2016</x:v>
      </x:c>
      <x:c r="N3597" s="20" t="n">
        <x:v>42705</x:v>
      </x:c>
    </x:row>
    <x:row r="3598" ht="18" customHeight="1">
      <x:c r="A3598" t="str">
        <x:v>CA-2016-164154</x:v>
      </x:c>
      <x:c r="B3598" s="18" t="n">
        <x:v>42624</x:v>
      </x:c>
      <x:c r="C3598" t="str">
        <x:v>NZ-18565</x:v>
      </x:c>
      <x:c r="D3598" t="str">
        <x:v>Nick Zandusky</x:v>
      </x:c>
      <x:c r="E3598" t="str">
        <x:v>Home Office</x:v>
      </x:c>
      <x:c r="F3598" t="str">
        <x:v>East</x:v>
      </x:c>
      <x:c r="G3598" t="str">
        <x:v>Office Supplies</x:v>
      </x:c>
      <x:c r="H3598" t="str">
        <x:v>Binders</x:v>
      </x:c>
      <x:c r="I3598" s="22" t="n">
        <x:v>22.428000000000004</x:v>
      </x:c>
      <x:c r="J3598" s="24" t="n">
        <x:v>3</x:v>
      </x:c>
      <x:c r="K3598" s="26" t="n">
        <x:v>0.7</x:v>
      </x:c>
      <x:c r="L3598" s="22" t="n">
        <x:v>-17.942399999999992</x:v>
      </x:c>
      <x:c r="M3598" t="n">
        <x:v>2016</x:v>
      </x:c>
      <x:c r="N3598" s="20" t="n">
        <x:v>42614</x:v>
      </x:c>
    </x:row>
    <x:row r="3599" ht="18" customHeight="1">
      <x:c r="A3599" t="str">
        <x:v>CA-2016-164154</x:v>
      </x:c>
      <x:c r="B3599" s="18" t="n">
        <x:v>42624</x:v>
      </x:c>
      <x:c r="C3599" t="str">
        <x:v>NZ-18565</x:v>
      </x:c>
      <x:c r="D3599" t="str">
        <x:v>Nick Zandusky</x:v>
      </x:c>
      <x:c r="E3599" t="str">
        <x:v>Home Office</x:v>
      </x:c>
      <x:c r="F3599" t="str">
        <x:v>East</x:v>
      </x:c>
      <x:c r="G3599" t="str">
        <x:v>Office Supplies</x:v>
      </x:c>
      <x:c r="H3599" t="str">
        <x:v>Storage</x:v>
      </x:c>
      <x:c r="I3599" s="22" t="n">
        <x:v>37.52000000000001</x:v>
      </x:c>
      <x:c r="J3599" s="24" t="n">
        <x:v>5</x:v>
      </x:c>
      <x:c r="K3599" s="26" t="n">
        <x:v>0.2</x:v>
      </x:c>
      <x:c r="L3599" s="22" t="n">
        <x:v>3.751999999999999</x:v>
      </x:c>
      <x:c r="M3599" t="n">
        <x:v>2016</x:v>
      </x:c>
      <x:c r="N3599" s="20" t="n">
        <x:v>42614</x:v>
      </x:c>
    </x:row>
    <x:row r="3600" ht="18" customHeight="1">
      <x:c r="A3600" t="str">
        <x:v>CA-2017-148012</x:v>
      </x:c>
      <x:c r="B3600" s="18" t="n">
        <x:v>43078</x:v>
      </x:c>
      <x:c r="C3600" t="str">
        <x:v>KM-16225</x:v>
      </x:c>
      <x:c r="D3600" t="str">
        <x:v>Kalyca Meade</x:v>
      </x:c>
      <x:c r="E3600" t="str">
        <x:v>Corporate</x:v>
      </x:c>
      <x:c r="F3600" t="str">
        <x:v>East</x:v>
      </x:c>
      <x:c r="G3600" t="str">
        <x:v>Office Supplies</x:v>
      </x:c>
      <x:c r="H3600" t="str">
        <x:v>Art</x:v>
      </x:c>
      <x:c r="I3600" s="22" t="n">
        <x:v>2.624</x:v>
      </x:c>
      <x:c r="J3600" s="24" t="n">
        <x:v>1</x:v>
      </x:c>
      <x:c r="K3600" s="26" t="n">
        <x:v>0.2</x:v>
      </x:c>
      <x:c r="L3600" s="22" t="n">
        <x:v>0.4263999999999998</x:v>
      </x:c>
      <x:c r="M3600" t="n">
        <x:v>2017</x:v>
      </x:c>
      <x:c r="N3600" s="20" t="n">
        <x:v>43070</x:v>
      </x:c>
    </x:row>
    <x:row r="3601" ht="18" customHeight="1">
      <x:c r="A3601" t="str">
        <x:v>CA-2014-102869</x:v>
      </x:c>
      <x:c r="B3601" s="18" t="n">
        <x:v>41891</x:v>
      </x:c>
      <x:c r="C3601" t="str">
        <x:v>LC-17140</x:v>
      </x:c>
      <x:c r="D3601" t="str">
        <x:v>Logan Currie</x:v>
      </x:c>
      <x:c r="E3601" t="str">
        <x:v>Consumer</x:v>
      </x:c>
      <x:c r="F3601" t="str">
        <x:v>East</x:v>
      </x:c>
      <x:c r="G3601" t="str">
        <x:v>Office Supplies</x:v>
      </x:c>
      <x:c r="H3601" t="str">
        <x:v>Paper</x:v>
      </x:c>
      <x:c r="I3601" s="22" t="n">
        <x:v>15.552000000000003</x:v>
      </x:c>
      <x:c r="J3601" s="24" t="n">
        <x:v>3</x:v>
      </x:c>
      <x:c r="K3601" s="26" t="n">
        <x:v>0.2</x:v>
      </x:c>
      <x:c r="L3601" s="22" t="n">
        <x:v>5.4432</x:v>
      </x:c>
      <x:c r="M3601" t="n">
        <x:v>2014</x:v>
      </x:c>
      <x:c r="N3601" s="20" t="n">
        <x:v>41883</x:v>
      </x:c>
    </x:row>
    <x:row r="3602" ht="18" customHeight="1">
      <x:c r="A3602" t="str">
        <x:v>CA-2014-102869</x:v>
      </x:c>
      <x:c r="B3602" s="18" t="n">
        <x:v>41891</x:v>
      </x:c>
      <x:c r="C3602" t="str">
        <x:v>LC-17140</x:v>
      </x:c>
      <x:c r="D3602" t="str">
        <x:v>Logan Currie</x:v>
      </x:c>
      <x:c r="E3602" t="str">
        <x:v>Consumer</x:v>
      </x:c>
      <x:c r="F3602" t="str">
        <x:v>East</x:v>
      </x:c>
      <x:c r="G3602" t="str">
        <x:v>Technology</x:v>
      </x:c>
      <x:c r="H3602" t="str">
        <x:v>Accessories</x:v>
      </x:c>
      <x:c r="I3602" s="22" t="n">
        <x:v>64.70400000000001</x:v>
      </x:c>
      <x:c r="J3602" s="24" t="n">
        <x:v>6</x:v>
      </x:c>
      <x:c r="K3602" s="26" t="n">
        <x:v>0.2</x:v>
      </x:c>
      <x:c r="L3602" s="22" t="n">
        <x:v>-4.852800000000002</x:v>
      </x:c>
      <x:c r="M3602" t="n">
        <x:v>2014</x:v>
      </x:c>
      <x:c r="N3602" s="20" t="n">
        <x:v>41883</x:v>
      </x:c>
    </x:row>
    <x:row r="3603" ht="18" customHeight="1">
      <x:c r="A3603" t="str">
        <x:v>CA-2014-102869</x:v>
      </x:c>
      <x:c r="B3603" s="18" t="n">
        <x:v>41891</x:v>
      </x:c>
      <x:c r="C3603" t="str">
        <x:v>LC-17140</x:v>
      </x:c>
      <x:c r="D3603" t="str">
        <x:v>Logan Currie</x:v>
      </x:c>
      <x:c r="E3603" t="str">
        <x:v>Consumer</x:v>
      </x:c>
      <x:c r="F3603" t="str">
        <x:v>East</x:v>
      </x:c>
      <x:c r="G3603" t="str">
        <x:v>Furniture</x:v>
      </x:c>
      <x:c r="H3603" t="str">
        <x:v>Furnishings</x:v>
      </x:c>
      <x:c r="I3603" s="22" t="n">
        <x:v>17.472</x:v>
      </x:c>
      <x:c r="J3603" s="24" t="n">
        <x:v>3</x:v>
      </x:c>
      <x:c r="K3603" s="26" t="n">
        <x:v>0.2</x:v>
      </x:c>
      <x:c r="L3603" s="22" t="n">
        <x:v>5.023200000000001</x:v>
      </x:c>
      <x:c r="M3603" t="n">
        <x:v>2014</x:v>
      </x:c>
      <x:c r="N3603" s="20" t="n">
        <x:v>41883</x:v>
      </x:c>
    </x:row>
    <x:row r="3604" ht="18" customHeight="1">
      <x:c r="A3604" t="str">
        <x:v>CA-2014-102869</x:v>
      </x:c>
      <x:c r="B3604" s="18" t="n">
        <x:v>41891</x:v>
      </x:c>
      <x:c r="C3604" t="str">
        <x:v>LC-17140</x:v>
      </x:c>
      <x:c r="D3604" t="str">
        <x:v>Logan Currie</x:v>
      </x:c>
      <x:c r="E3604" t="str">
        <x:v>Consumer</x:v>
      </x:c>
      <x:c r="F3604" t="str">
        <x:v>East</x:v>
      </x:c>
      <x:c r="G3604" t="str">
        <x:v>Technology</x:v>
      </x:c>
      <x:c r="H3604" t="str">
        <x:v>Phones</x:v>
      </x:c>
      <x:c r="I3604" s="22" t="n">
        <x:v>135.516</x:v>
      </x:c>
      <x:c r="J3604" s="24" t="n">
        <x:v>1</x:v>
      </x:c>
      <x:c r="K3604" s="26" t="n">
        <x:v>0.4</x:v>
      </x:c>
      <x:c r="L3604" s="22" t="n">
        <x:v>-31.620400000000004</x:v>
      </x:c>
      <x:c r="M3604" t="n">
        <x:v>2014</x:v>
      </x:c>
      <x:c r="N3604" s="20" t="n">
        <x:v>41883</x:v>
      </x:c>
    </x:row>
    <x:row r="3605" ht="18" customHeight="1">
      <x:c r="A3605" t="str">
        <x:v>CA-2017-138310</x:v>
      </x:c>
      <x:c r="B3605" s="18" t="n">
        <x:v>42912</x:v>
      </x:c>
      <x:c r="C3605" t="str">
        <x:v>NP-18700</x:v>
      </x:c>
      <x:c r="D3605" t="str">
        <x:v>Nora Preis</x:v>
      </x:c>
      <x:c r="E3605" t="str">
        <x:v>Consumer</x:v>
      </x:c>
      <x:c r="F3605" t="str">
        <x:v>West</x:v>
      </x:c>
      <x:c r="G3605" t="str">
        <x:v>Technology</x:v>
      </x:c>
      <x:c r="H3605" t="str">
        <x:v>Accessories</x:v>
      </x:c>
      <x:c r="I3605" s="22" t="n">
        <x:v>431.92800000000005</x:v>
      </x:c>
      <x:c r="J3605" s="24" t="n">
        <x:v>9</x:v>
      </x:c>
      <x:c r="K3605" s="26" t="n">
        <x:v>0.2</x:v>
      </x:c>
      <x:c r="L3605" s="22" t="n">
        <x:v>64.78919999999995</x:v>
      </x:c>
      <x:c r="M3605" t="n">
        <x:v>2017</x:v>
      </x:c>
      <x:c r="N3605" s="20" t="n">
        <x:v>42887</x:v>
      </x:c>
    </x:row>
    <x:row r="3606" ht="18" customHeight="1">
      <x:c r="A3606" t="str">
        <x:v>CA-2014-159835</x:v>
      </x:c>
      <x:c r="B3606" s="18" t="n">
        <x:v>41960</x:v>
      </x:c>
      <x:c r="C3606" t="str">
        <x:v>RB-19330</x:v>
      </x:c>
      <x:c r="D3606" t="str">
        <x:v>Randy Bradley</x:v>
      </x:c>
      <x:c r="E3606" t="str">
        <x:v>Consumer</x:v>
      </x:c>
      <x:c r="F3606" t="str">
        <x:v>East</x:v>
      </x:c>
      <x:c r="G3606" t="str">
        <x:v>Office Supplies</x:v>
      </x:c>
      <x:c r="H3606" t="str">
        <x:v>Paper</x:v>
      </x:c>
      <x:c r="I3606" s="22" t="n">
        <x:v>12.448</x:v>
      </x:c>
      <x:c r="J3606" s="24" t="n">
        <x:v>2</x:v>
      </x:c>
      <x:c r="K3606" s="26" t="n">
        <x:v>0.2</x:v>
      </x:c>
      <x:c r="L3606" s="22" t="n">
        <x:v>3.889999999999999</x:v>
      </x:c>
      <x:c r="M3606" t="n">
        <x:v>2014</x:v>
      </x:c>
      <x:c r="N3606" s="20" t="n">
        <x:v>41944</x:v>
      </x:c>
    </x:row>
    <x:row r="3607" ht="18" customHeight="1">
      <x:c r="A3607" t="str">
        <x:v>CA-2014-159835</x:v>
      </x:c>
      <x:c r="B3607" s="18" t="n">
        <x:v>41960</x:v>
      </x:c>
      <x:c r="C3607" t="str">
        <x:v>RB-19330</x:v>
      </x:c>
      <x:c r="D3607" t="str">
        <x:v>Randy Bradley</x:v>
      </x:c>
      <x:c r="E3607" t="str">
        <x:v>Consumer</x:v>
      </x:c>
      <x:c r="F3607" t="str">
        <x:v>East</x:v>
      </x:c>
      <x:c r="G3607" t="str">
        <x:v>Furniture</x:v>
      </x:c>
      <x:c r="H3607" t="str">
        <x:v>Chairs</x:v>
      </x:c>
      <x:c r="I3607" s="22" t="n">
        <x:v>657.93</x:v>
      </x:c>
      <x:c r="J3607" s="24" t="n">
        <x:v>5</x:v>
      </x:c>
      <x:c r="K3607" s="26" t="n">
        <x:v>0.3</x:v>
      </x:c>
      <x:c r="L3607" s="22" t="n">
        <x:v>-93.98999999999995</x:v>
      </x:c>
      <x:c r="M3607" t="n">
        <x:v>2014</x:v>
      </x:c>
      <x:c r="N3607" s="20" t="n">
        <x:v>41944</x:v>
      </x:c>
    </x:row>
    <x:row r="3608" ht="18" customHeight="1">
      <x:c r="A3608" t="str">
        <x:v>CA-2017-112956</x:v>
      </x:c>
      <x:c r="B3608" s="18" t="n">
        <x:v>42968</x:v>
      </x:c>
      <x:c r="C3608" t="str">
        <x:v>TH-21550</x:v>
      </x:c>
      <x:c r="D3608" t="str">
        <x:v>Tracy Hopkins</x:v>
      </x:c>
      <x:c r="E3608" t="str">
        <x:v>Home Office</x:v>
      </x:c>
      <x:c r="F3608" t="str">
        <x:v>East</x:v>
      </x:c>
      <x:c r="G3608" t="str">
        <x:v>Office Supplies</x:v>
      </x:c>
      <x:c r="H3608" t="str">
        <x:v>Paper</x:v>
      </x:c>
      <x:c r="I3608" s="22" t="n">
        <x:v>277.4</x:v>
      </x:c>
      <x:c r="J3608" s="24" t="n">
        <x:v>5</x:v>
      </x:c>
      <x:c r="K3608" s="26" t="n">
        <x:v>0</x:v>
      </x:c>
      <x:c r="L3608" s="22" t="n">
        <x:v>133.152</x:v>
      </x:c>
      <x:c r="M3608" t="n">
        <x:v>2017</x:v>
      </x:c>
      <x:c r="N3608" s="20" t="n">
        <x:v>42948</x:v>
      </x:c>
    </x:row>
    <x:row r="3609" ht="18" customHeight="1">
      <x:c r="A3609" t="str">
        <x:v>CA-2017-112956</x:v>
      </x:c>
      <x:c r="B3609" s="18" t="n">
        <x:v>42968</x:v>
      </x:c>
      <x:c r="C3609" t="str">
        <x:v>TH-21550</x:v>
      </x:c>
      <x:c r="D3609" t="str">
        <x:v>Tracy Hopkins</x:v>
      </x:c>
      <x:c r="E3609" t="str">
        <x:v>Home Office</x:v>
      </x:c>
      <x:c r="F3609" t="str">
        <x:v>East</x:v>
      </x:c>
      <x:c r="G3609" t="str">
        <x:v>Furniture</x:v>
      </x:c>
      <x:c r="H3609" t="str">
        <x:v>Furnishings</x:v>
      </x:c>
      <x:c r="I3609" s="22" t="n">
        <x:v>25.16</x:v>
      </x:c>
      <x:c r="J3609" s="24" t="n">
        <x:v>2</x:v>
      </x:c>
      <x:c r="K3609" s="26" t="n">
        <x:v>0</x:v>
      </x:c>
      <x:c r="L3609" s="22" t="n">
        <x:v>8.554399999999998</x:v>
      </x:c>
      <x:c r="M3609" t="n">
        <x:v>2017</x:v>
      </x:c>
      <x:c r="N3609" s="20" t="n">
        <x:v>42948</x:v>
      </x:c>
    </x:row>
    <x:row r="3610" ht="18" customHeight="1">
      <x:c r="A3610" t="str">
        <x:v>CA-2017-112956</x:v>
      </x:c>
      <x:c r="B3610" s="18" t="n">
        <x:v>42968</x:v>
      </x:c>
      <x:c r="C3610" t="str">
        <x:v>TH-21550</x:v>
      </x:c>
      <x:c r="D3610" t="str">
        <x:v>Tracy Hopkins</x:v>
      </x:c>
      <x:c r="E3610" t="str">
        <x:v>Home Office</x:v>
      </x:c>
      <x:c r="F3610" t="str">
        <x:v>East</x:v>
      </x:c>
      <x:c r="G3610" t="str">
        <x:v>Furniture</x:v>
      </x:c>
      <x:c r="H3610" t="str">
        <x:v>Furnishings</x:v>
      </x:c>
      <x:c r="I3610" s="22" t="n">
        <x:v>91.92</x:v>
      </x:c>
      <x:c r="J3610" s="24" t="n">
        <x:v>4</x:v>
      </x:c>
      <x:c r="K3610" s="26" t="n">
        <x:v>0</x:v>
      </x:c>
      <x:c r="L3610" s="22" t="n">
        <x:v>31.2528</x:v>
      </x:c>
      <x:c r="M3610" t="n">
        <x:v>2017</x:v>
      </x:c>
      <x:c r="N3610" s="20" t="n">
        <x:v>42948</x:v>
      </x:c>
    </x:row>
    <x:row r="3611" ht="18" customHeight="1">
      <x:c r="A3611" t="str">
        <x:v>CA-2016-119683</x:v>
      </x:c>
      <x:c r="B3611" s="18" t="n">
        <x:v>42441</x:v>
      </x:c>
      <x:c r="C3611" t="str">
        <x:v>CK-12595</x:v>
      </x:c>
      <x:c r="D3611" t="str">
        <x:v>Clytie Kelty</x:v>
      </x:c>
      <x:c r="E3611" t="str">
        <x:v>Consumer</x:v>
      </x:c>
      <x:c r="F3611" t="str">
        <x:v>East</x:v>
      </x:c>
      <x:c r="G3611" t="str">
        <x:v>Office Supplies</x:v>
      </x:c>
      <x:c r="H3611" t="str">
        <x:v>Envelopes</x:v>
      </x:c>
      <x:c r="I3611" s="22" t="n">
        <x:v>29.339999999999996</x:v>
      </x:c>
      <x:c r="J3611" s="24" t="n">
        <x:v>3</x:v>
      </x:c>
      <x:c r="K3611" s="26" t="n">
        <x:v>0</x:v>
      </x:c>
      <x:c r="L3611" s="22" t="n">
        <x:v>13.496399999999998</x:v>
      </x:c>
      <x:c r="M3611" t="n">
        <x:v>2016</x:v>
      </x:c>
      <x:c r="N3611" s="20" t="n">
        <x:v>42430</x:v>
      </x:c>
    </x:row>
    <x:row r="3612" ht="18" customHeight="1">
      <x:c r="A3612" t="str">
        <x:v>CA-2014-163559</x:v>
      </x:c>
      <x:c r="B3612" s="18" t="n">
        <x:v>41905</x:v>
      </x:c>
      <x:c r="C3612" t="str">
        <x:v>ST-20530</x:v>
      </x:c>
      <x:c r="D3612" t="str">
        <x:v>Shui Tom</x:v>
      </x:c>
      <x:c r="E3612" t="str">
        <x:v>Consumer</x:v>
      </x:c>
      <x:c r="F3612" t="str">
        <x:v>East</x:v>
      </x:c>
      <x:c r="G3612" t="str">
        <x:v>Office Supplies</x:v>
      </x:c>
      <x:c r="H3612" t="str">
        <x:v>Binders</x:v>
      </x:c>
      <x:c r="I3612" s="22" t="n">
        <x:v>139.44</x:v>
      </x:c>
      <x:c r="J3612" s="24" t="n">
        <x:v>3</x:v>
      </x:c>
      <x:c r="K3612" s="26" t="n">
        <x:v>0.2</x:v>
      </x:c>
      <x:c r="L3612" s="22" t="n">
        <x:v>47.06099999999999</x:v>
      </x:c>
      <x:c r="M3612" t="n">
        <x:v>2014</x:v>
      </x:c>
      <x:c r="N3612" s="20" t="n">
        <x:v>41883</x:v>
      </x:c>
    </x:row>
    <x:row r="3613" ht="18" customHeight="1">
      <x:c r="A3613" t="str">
        <x:v>CA-2014-140228</x:v>
      </x:c>
      <x:c r="B3613" s="18" t="n">
        <x:v>41757</x:v>
      </x:c>
      <x:c r="C3613" t="str">
        <x:v>GB-14530</x:v>
      </x:c>
      <x:c r="D3613" t="str">
        <x:v>George Bell</x:v>
      </x:c>
      <x:c r="E3613" t="str">
        <x:v>Corporate</x:v>
      </x:c>
      <x:c r="F3613" t="str">
        <x:v>East</x:v>
      </x:c>
      <x:c r="G3613" t="str">
        <x:v>Office Supplies</x:v>
      </x:c>
      <x:c r="H3613" t="str">
        <x:v>Labels</x:v>
      </x:c>
      <x:c r="I3613" s="22" t="n">
        <x:v>6.911999999999999</x:v>
      </x:c>
      <x:c r="J3613" s="24" t="n">
        <x:v>3</x:v>
      </x:c>
      <x:c r="K3613" s="26" t="n">
        <x:v>0.2</x:v>
      </x:c>
      <x:c r="L3613" s="22" t="n">
        <x:v>2.5056000000000003</x:v>
      </x:c>
      <x:c r="M3613" t="n">
        <x:v>2014</x:v>
      </x:c>
      <x:c r="N3613" s="20" t="n">
        <x:v>41730</x:v>
      </x:c>
    </x:row>
    <x:row r="3614" ht="18" customHeight="1">
      <x:c r="A3614" t="str">
        <x:v>CA-2014-140228</x:v>
      </x:c>
      <x:c r="B3614" s="18" t="n">
        <x:v>41757</x:v>
      </x:c>
      <x:c r="C3614" t="str">
        <x:v>GB-14530</x:v>
      </x:c>
      <x:c r="D3614" t="str">
        <x:v>George Bell</x:v>
      </x:c>
      <x:c r="E3614" t="str">
        <x:v>Corporate</x:v>
      </x:c>
      <x:c r="F3614" t="str">
        <x:v>East</x:v>
      </x:c>
      <x:c r="G3614" t="str">
        <x:v>Office Supplies</x:v>
      </x:c>
      <x:c r="H3614" t="str">
        <x:v>Storage</x:v>
      </x:c>
      <x:c r="I3614" s="22" t="n">
        <x:v>27.096</x:v>
      </x:c>
      <x:c r="J3614" s="24" t="n">
        <x:v>3</x:v>
      </x:c>
      <x:c r="K3614" s="26" t="n">
        <x:v>0.2</x:v>
      </x:c>
      <x:c r="L3614" s="22" t="n">
        <x:v>2.0321999999999987</x:v>
      </x:c>
      <x:c r="M3614" t="n">
        <x:v>2014</x:v>
      </x:c>
      <x:c r="N3614" s="20" t="n">
        <x:v>41730</x:v>
      </x:c>
    </x:row>
    <x:row r="3615" ht="18" customHeight="1">
      <x:c r="A3615" t="str">
        <x:v>CA-2014-140228</x:v>
      </x:c>
      <x:c r="B3615" s="18" t="n">
        <x:v>41757</x:v>
      </x:c>
      <x:c r="C3615" t="str">
        <x:v>GB-14530</x:v>
      </x:c>
      <x:c r="D3615" t="str">
        <x:v>George Bell</x:v>
      </x:c>
      <x:c r="E3615" t="str">
        <x:v>Corporate</x:v>
      </x:c>
      <x:c r="F3615" t="str">
        <x:v>East</x:v>
      </x:c>
      <x:c r="G3615" t="str">
        <x:v>Office Supplies</x:v>
      </x:c>
      <x:c r="H3615" t="str">
        <x:v>Storage</x:v>
      </x:c>
      <x:c r="I3615" s="22" t="n">
        <x:v>177.568</x:v>
      </x:c>
      <x:c r="J3615" s="24" t="n">
        <x:v>2</x:v>
      </x:c>
      <x:c r="K3615" s="26" t="n">
        <x:v>0.2</x:v>
      </x:c>
      <x:c r="L3615" s="22" t="n">
        <x:v>-37.73319999999999</x:v>
      </x:c>
      <x:c r="M3615" t="n">
        <x:v>2014</x:v>
      </x:c>
      <x:c r="N3615" s="20" t="n">
        <x:v>41730</x:v>
      </x:c>
    </x:row>
    <x:row r="3616" ht="18" customHeight="1">
      <x:c r="A3616" t="str">
        <x:v>US-2016-131674</x:v>
      </x:c>
      <x:c r="B3616" s="18" t="n">
        <x:v>42703</x:v>
      </x:c>
      <x:c r="C3616" t="str">
        <x:v>NC-18535</x:v>
      </x:c>
      <x:c r="D3616" t="str">
        <x:v>Nick Crebassa</x:v>
      </x:c>
      <x:c r="E3616" t="str">
        <x:v>Corporate</x:v>
      </x:c>
      <x:c r="F3616" t="str">
        <x:v>Central</x:v>
      </x:c>
      <x:c r="G3616" t="str">
        <x:v>Technology</x:v>
      </x:c>
      <x:c r="H3616" t="str">
        <x:v>Accessories</x:v>
      </x:c>
      <x:c r="I3616" s="22" t="n">
        <x:v>58.416</x:v>
      </x:c>
      <x:c r="J3616" s="24" t="n">
        <x:v>2</x:v>
      </x:c>
      <x:c r="K3616" s="26" t="n">
        <x:v>0.2</x:v>
      </x:c>
      <x:c r="L3616" s="22" t="n">
        <x:v>16.794600000000003</x:v>
      </x:c>
      <x:c r="M3616" t="n">
        <x:v>2016</x:v>
      </x:c>
      <x:c r="N3616" s="20" t="n">
        <x:v>42675</x:v>
      </x:c>
    </x:row>
    <x:row r="3617" ht="18" customHeight="1">
      <x:c r="A3617" t="str">
        <x:v>CA-2015-110093</x:v>
      </x:c>
      <x:c r="B3617" s="18" t="n">
        <x:v>42341</x:v>
      </x:c>
      <x:c r="C3617" t="str">
        <x:v>AB-10255</x:v>
      </x:c>
      <x:c r="D3617" t="str">
        <x:v>Alejandro Ballentine</x:v>
      </x:c>
      <x:c r="E3617" t="str">
        <x:v>Home Office</x:v>
      </x:c>
      <x:c r="F3617" t="str">
        <x:v>East</x:v>
      </x:c>
      <x:c r="G3617" t="str">
        <x:v>Office Supplies</x:v>
      </x:c>
      <x:c r="H3617" t="str">
        <x:v>Paper</x:v>
      </x:c>
      <x:c r="I3617" s="22" t="n">
        <x:v>16.448</x:v>
      </x:c>
      <x:c r="J3617" s="24" t="n">
        <x:v>2</x:v>
      </x:c>
      <x:c r="K3617" s="26" t="n">
        <x:v>0.2</x:v>
      </x:c>
      <x:c r="L3617" s="22" t="n">
        <x:v>5.551199999999998</x:v>
      </x:c>
      <x:c r="M3617" t="n">
        <x:v>2015</x:v>
      </x:c>
      <x:c r="N3617" s="20" t="n">
        <x:v>42339</x:v>
      </x:c>
    </x:row>
    <x:row r="3618" ht="18" customHeight="1">
      <x:c r="A3618" t="str">
        <x:v>CA-2015-110093</x:v>
      </x:c>
      <x:c r="B3618" s="18" t="n">
        <x:v>42341</x:v>
      </x:c>
      <x:c r="C3618" t="str">
        <x:v>AB-10255</x:v>
      </x:c>
      <x:c r="D3618" t="str">
        <x:v>Alejandro Ballentine</x:v>
      </x:c>
      <x:c r="E3618" t="str">
        <x:v>Home Office</x:v>
      </x:c>
      <x:c r="F3618" t="str">
        <x:v>East</x:v>
      </x:c>
      <x:c r="G3618" t="str">
        <x:v>Technology</x:v>
      </x:c>
      <x:c r="H3618" t="str">
        <x:v>Accessories</x:v>
      </x:c>
      <x:c r="I3618" s="22" t="n">
        <x:v>36.784</x:v>
      </x:c>
      <x:c r="J3618" s="24" t="n">
        <x:v>2</x:v>
      </x:c>
      <x:c r="K3618" s="26" t="n">
        <x:v>0.2</x:v>
      </x:c>
      <x:c r="L3618" s="22" t="n">
        <x:v>10.5754</x:v>
      </x:c>
      <x:c r="M3618" t="n">
        <x:v>2015</x:v>
      </x:c>
      <x:c r="N3618" s="20" t="n">
        <x:v>42339</x:v>
      </x:c>
    </x:row>
    <x:row r="3619" ht="18" customHeight="1">
      <x:c r="A3619" t="str">
        <x:v>CA-2017-112529</x:v>
      </x:c>
      <x:c r="B3619" s="18" t="n">
        <x:v>43058</x:v>
      </x:c>
      <x:c r="C3619" t="str">
        <x:v>SC-20770</x:v>
      </x:c>
      <x:c r="D3619" t="str">
        <x:v>Stewart Carmichael</x:v>
      </x:c>
      <x:c r="E3619" t="str">
        <x:v>Corporate</x:v>
      </x:c>
      <x:c r="F3619" t="str">
        <x:v>Central</x:v>
      </x:c>
      <x:c r="G3619" t="str">
        <x:v>Furniture</x:v>
      </x:c>
      <x:c r="H3619" t="str">
        <x:v>Tables</x:v>
      </x:c>
      <x:c r="I3619" s="22" t="n">
        <x:v>718.1159999999999</x:v>
      </x:c>
      <x:c r="J3619" s="24" t="n">
        <x:v>6</x:v>
      </x:c>
      <x:c r="K3619" s="26" t="n">
        <x:v>0.3</x:v>
      </x:c>
      <x:c r="L3619" s="22" t="n">
        <x:v>-71.8116</x:v>
      </x:c>
      <x:c r="M3619" t="n">
        <x:v>2017</x:v>
      </x:c>
      <x:c r="N3619" s="20" t="n">
        <x:v>43040</x:v>
      </x:c>
    </x:row>
    <x:row r="3620" ht="18" customHeight="1">
      <x:c r="A3620" t="str">
        <x:v>CA-2017-112529</x:v>
      </x:c>
      <x:c r="B3620" s="18" t="n">
        <x:v>43058</x:v>
      </x:c>
      <x:c r="C3620" t="str">
        <x:v>SC-20770</x:v>
      </x:c>
      <x:c r="D3620" t="str">
        <x:v>Stewart Carmichael</x:v>
      </x:c>
      <x:c r="E3620" t="str">
        <x:v>Corporate</x:v>
      </x:c>
      <x:c r="F3620" t="str">
        <x:v>Central</x:v>
      </x:c>
      <x:c r="G3620" t="str">
        <x:v>Office Supplies</x:v>
      </x:c>
      <x:c r="H3620" t="str">
        <x:v>Art</x:v>
      </x:c>
      <x:c r="I3620" s="22" t="n">
        <x:v>31.776</x:v>
      </x:c>
      <x:c r="J3620" s="24" t="n">
        <x:v>4</x:v>
      </x:c>
      <x:c r="K3620" s="26" t="n">
        <x:v>0.2</x:v>
      </x:c>
      <x:c r="L3620" s="22" t="n">
        <x:v>8.738400000000002</x:v>
      </x:c>
      <x:c r="M3620" t="n">
        <x:v>2017</x:v>
      </x:c>
      <x:c r="N3620" s="20" t="n">
        <x:v>43040</x:v>
      </x:c>
    </x:row>
    <x:row r="3621" ht="18" customHeight="1">
      <x:c r="A3621" t="str">
        <x:v>CA-2016-154536</x:v>
      </x:c>
      <x:c r="B3621" s="18" t="n">
        <x:v>42618</x:v>
      </x:c>
      <x:c r="C3621" t="str">
        <x:v>JC-15340</x:v>
      </x:c>
      <x:c r="D3621" t="str">
        <x:v>Jasper Cacioppo</x:v>
      </x:c>
      <x:c r="E3621" t="str">
        <x:v>Consumer</x:v>
      </x:c>
      <x:c r="F3621" t="str">
        <x:v>East</x:v>
      </x:c>
      <x:c r="G3621" t="str">
        <x:v>Office Supplies</x:v>
      </x:c>
      <x:c r="H3621" t="str">
        <x:v>Binders</x:v>
      </x:c>
      <x:c r="I3621" s="22" t="n">
        <x:v>9.555000000000001</x:v>
      </x:c>
      <x:c r="J3621" s="24" t="n">
        <x:v>5</x:v>
      </x:c>
      <x:c r="K3621" s="26" t="n">
        <x:v>0.7</x:v>
      </x:c>
      <x:c r="L3621" s="22" t="n">
        <x:v>-7.325499999999998</x:v>
      </x:c>
      <x:c r="M3621" t="n">
        <x:v>2016</x:v>
      </x:c>
      <x:c r="N3621" s="20" t="n">
        <x:v>42614</x:v>
      </x:c>
    </x:row>
    <x:row r="3622" ht="18" customHeight="1">
      <x:c r="A3622" t="str">
        <x:v>CA-2017-141929</x:v>
      </x:c>
      <x:c r="B3622" s="18" t="n">
        <x:v>42982</x:v>
      </x:c>
      <x:c r="C3622" t="str">
        <x:v>RA-19285</x:v>
      </x:c>
      <x:c r="D3622" t="str">
        <x:v>Ralph Arnett</x:v>
      </x:c>
      <x:c r="E3622" t="str">
        <x:v>Consumer</x:v>
      </x:c>
      <x:c r="F3622" t="str">
        <x:v>West</x:v>
      </x:c>
      <x:c r="G3622" t="str">
        <x:v>Office Supplies</x:v>
      </x:c>
      <x:c r="H3622" t="str">
        <x:v>Binders</x:v>
      </x:c>
      <x:c r="I3622" s="22" t="n">
        <x:v>487.98400000000004</x:v>
      </x:c>
      <x:c r="J3622" s="24" t="n">
        <x:v>2</x:v>
      </x:c>
      <x:c r="K3622" s="26" t="n">
        <x:v>0.2</x:v>
      </x:c>
      <x:c r="L3622" s="22" t="n">
        <x:v>152.49499999999998</x:v>
      </x:c>
      <x:c r="M3622" t="n">
        <x:v>2017</x:v>
      </x:c>
      <x:c r="N3622" s="20" t="n">
        <x:v>42979</x:v>
      </x:c>
    </x:row>
    <x:row r="3623" ht="18" customHeight="1">
      <x:c r="A3623" t="str">
        <x:v>CA-2017-141929</x:v>
      </x:c>
      <x:c r="B3623" s="18" t="n">
        <x:v>42982</x:v>
      </x:c>
      <x:c r="C3623" t="str">
        <x:v>RA-19285</x:v>
      </x:c>
      <x:c r="D3623" t="str">
        <x:v>Ralph Arnett</x:v>
      </x:c>
      <x:c r="E3623" t="str">
        <x:v>Consumer</x:v>
      </x:c>
      <x:c r="F3623" t="str">
        <x:v>West</x:v>
      </x:c>
      <x:c r="G3623" t="str">
        <x:v>Technology</x:v>
      </x:c>
      <x:c r="H3623" t="str">
        <x:v>Phones</x:v>
      </x:c>
      <x:c r="I3623" s="22" t="n">
        <x:v>5.5600000000000005</x:v>
      </x:c>
      <x:c r="J3623" s="24" t="n">
        <x:v>1</x:v>
      </x:c>
      <x:c r="K3623" s="26" t="n">
        <x:v>0.2</x:v>
      </x:c>
      <x:c r="L3623" s="22" t="n">
        <x:v>1.7374999999999998</x:v>
      </x:c>
      <x:c r="M3623" t="n">
        <x:v>2017</x:v>
      </x:c>
      <x:c r="N3623" s="20" t="n">
        <x:v>42979</x:v>
      </x:c>
    </x:row>
    <x:row r="3624" ht="18" customHeight="1">
      <x:c r="A3624" t="str">
        <x:v>CA-2017-141929</x:v>
      </x:c>
      <x:c r="B3624" s="18" t="n">
        <x:v>42982</x:v>
      </x:c>
      <x:c r="C3624" t="str">
        <x:v>RA-19285</x:v>
      </x:c>
      <x:c r="D3624" t="str">
        <x:v>Ralph Arnett</x:v>
      </x:c>
      <x:c r="E3624" t="str">
        <x:v>Consumer</x:v>
      </x:c>
      <x:c r="F3624" t="str">
        <x:v>West</x:v>
      </x:c>
      <x:c r="G3624" t="str">
        <x:v>Office Supplies</x:v>
      </x:c>
      <x:c r="H3624" t="str">
        <x:v>Storage</x:v>
      </x:c>
      <x:c r="I3624" s="22" t="n">
        <x:v>217.85</x:v>
      </x:c>
      <x:c r="J3624" s="24" t="n">
        <x:v>5</x:v>
      </x:c>
      <x:c r="K3624" s="26" t="n">
        <x:v>0</x:v>
      </x:c>
      <x:c r="L3624" s="22" t="n">
        <x:v>65.35499999999999</x:v>
      </x:c>
      <x:c r="M3624" t="n">
        <x:v>2017</x:v>
      </x:c>
      <x:c r="N3624" s="20" t="n">
        <x:v>42979</x:v>
      </x:c>
    </x:row>
    <x:row r="3625" ht="18" customHeight="1">
      <x:c r="A3625" t="str">
        <x:v>CA-2016-109743</x:v>
      </x:c>
      <x:c r="B3625" s="18" t="n">
        <x:v>42635</x:v>
      </x:c>
      <x:c r="C3625" t="str">
        <x:v>SH-19975</x:v>
      </x:c>
      <x:c r="D3625" t="str">
        <x:v>Sally Hughsby</x:v>
      </x:c>
      <x:c r="E3625" t="str">
        <x:v>Corporate</x:v>
      </x:c>
      <x:c r="F3625" t="str">
        <x:v>South</x:v>
      </x:c>
      <x:c r="G3625" t="str">
        <x:v>Office Supplies</x:v>
      </x:c>
      <x:c r="H3625" t="str">
        <x:v>Art</x:v>
      </x:c>
      <x:c r="I3625" s="22" t="n">
        <x:v>40.775999999999996</x:v>
      </x:c>
      <x:c r="J3625" s="24" t="n">
        <x:v>3</x:v>
      </x:c>
      <x:c r="K3625" s="26" t="n">
        <x:v>0.2</x:v>
      </x:c>
      <x:c r="L3625" s="22" t="n">
        <x:v>4.587299999999994</x:v>
      </x:c>
      <x:c r="M3625" t="n">
        <x:v>2016</x:v>
      </x:c>
      <x:c r="N3625" s="20" t="n">
        <x:v>42614</x:v>
      </x:c>
    </x:row>
    <x:row r="3626" ht="18" customHeight="1">
      <x:c r="A3626" t="str">
        <x:v>CA-2016-109743</x:v>
      </x:c>
      <x:c r="B3626" s="18" t="n">
        <x:v>42635</x:v>
      </x:c>
      <x:c r="C3626" t="str">
        <x:v>SH-19975</x:v>
      </x:c>
      <x:c r="D3626" t="str">
        <x:v>Sally Hughsby</x:v>
      </x:c>
      <x:c r="E3626" t="str">
        <x:v>Corporate</x:v>
      </x:c>
      <x:c r="F3626" t="str">
        <x:v>South</x:v>
      </x:c>
      <x:c r="G3626" t="str">
        <x:v>Technology</x:v>
      </x:c>
      <x:c r="H3626" t="str">
        <x:v>Phones</x:v>
      </x:c>
      <x:c r="I3626" s="22" t="n">
        <x:v>63.93600000000001</x:v>
      </x:c>
      <x:c r="J3626" s="24" t="n">
        <x:v>8</x:v>
      </x:c>
      <x:c r="K3626" s="26" t="n">
        <x:v>0.2</x:v>
      </x:c>
      <x:c r="L3626" s="22" t="n">
        <x:v>5.5944</x:v>
      </x:c>
      <x:c r="M3626" t="n">
        <x:v>2016</x:v>
      </x:c>
      <x:c r="N3626" s="20" t="n">
        <x:v>42614</x:v>
      </x:c>
    </x:row>
    <x:row r="3627" ht="18" customHeight="1">
      <x:c r="A3627" t="str">
        <x:v>CA-2014-159184</x:v>
      </x:c>
      <x:c r="B3627" s="18" t="n">
        <x:v>41896</x:v>
      </x:c>
      <x:c r="C3627" t="str">
        <x:v>JC-15775</x:v>
      </x:c>
      <x:c r="D3627" t="str">
        <x:v>John Castell</x:v>
      </x:c>
      <x:c r="E3627" t="str">
        <x:v>Consumer</x:v>
      </x:c>
      <x:c r="F3627" t="str">
        <x:v>South</x:v>
      </x:c>
      <x:c r="G3627" t="str">
        <x:v>Furniture</x:v>
      </x:c>
      <x:c r="H3627" t="str">
        <x:v>Furnishings</x:v>
      </x:c>
      <x:c r="I3627" s="22" t="n">
        <x:v>142.4</x:v>
      </x:c>
      <x:c r="J3627" s="24" t="n">
        <x:v>5</x:v>
      </x:c>
      <x:c r="K3627" s="26" t="n">
        <x:v>0</x:v>
      </x:c>
      <x:c r="L3627" s="22" t="n">
        <x:v>52.688</x:v>
      </x:c>
      <x:c r="M3627" t="n">
        <x:v>2014</x:v>
      </x:c>
      <x:c r="N3627" s="20" t="n">
        <x:v>41883</x:v>
      </x:c>
    </x:row>
    <x:row r="3628" ht="18" customHeight="1">
      <x:c r="A3628" t="str">
        <x:v>CA-2014-159184</x:v>
      </x:c>
      <x:c r="B3628" s="18" t="n">
        <x:v>41896</x:v>
      </x:c>
      <x:c r="C3628" t="str">
        <x:v>JC-15775</x:v>
      </x:c>
      <x:c r="D3628" t="str">
        <x:v>John Castell</x:v>
      </x:c>
      <x:c r="E3628" t="str">
        <x:v>Consumer</x:v>
      </x:c>
      <x:c r="F3628" t="str">
        <x:v>South</x:v>
      </x:c>
      <x:c r="G3628" t="str">
        <x:v>Office Supplies</x:v>
      </x:c>
      <x:c r="H3628" t="str">
        <x:v>Binders</x:v>
      </x:c>
      <x:c r="I3628" s="22" t="n">
        <x:v>7.16</x:v>
      </x:c>
      <x:c r="J3628" s="24" t="n">
        <x:v>2</x:v>
      </x:c>
      <x:c r="K3628" s="26" t="n">
        <x:v>0</x:v>
      </x:c>
      <x:c r="L3628" s="22" t="n">
        <x:v>3.4368</x:v>
      </x:c>
      <x:c r="M3628" t="n">
        <x:v>2014</x:v>
      </x:c>
      <x:c r="N3628" s="20" t="n">
        <x:v>41883</x:v>
      </x:c>
    </x:row>
    <x:row r="3629" ht="18" customHeight="1">
      <x:c r="A3629" t="str">
        <x:v>CA-2017-113530</x:v>
      </x:c>
      <x:c r="B3629" s="18" t="n">
        <x:v>42874</x:v>
      </x:c>
      <x:c r="C3629" t="str">
        <x:v>BC-11125</x:v>
      </x:c>
      <x:c r="D3629" t="str">
        <x:v>Becky Castell</x:v>
      </x:c>
      <x:c r="E3629" t="str">
        <x:v>Home Office</x:v>
      </x:c>
      <x:c r="F3629" t="str">
        <x:v>West</x:v>
      </x:c>
      <x:c r="G3629" t="str">
        <x:v>Furniture</x:v>
      </x:c>
      <x:c r="H3629" t="str">
        <x:v>Chairs</x:v>
      </x:c>
      <x:c r="I3629" s="22" t="n">
        <x:v>681.4080000000001</x:v>
      </x:c>
      <x:c r="J3629" s="24" t="n">
        <x:v>12</x:v>
      </x:c>
      <x:c r="K3629" s="26" t="n">
        <x:v>0.2</x:v>
      </x:c>
      <x:c r="L3629" s="22" t="n">
        <x:v>42.58800000000002</x:v>
      </x:c>
      <x:c r="M3629" t="n">
        <x:v>2017</x:v>
      </x:c>
      <x:c r="N3629" s="20" t="n">
        <x:v>42856</x:v>
      </x:c>
    </x:row>
    <x:row r="3630" ht="18" customHeight="1">
      <x:c r="A3630" t="str">
        <x:v>CA-2017-113530</x:v>
      </x:c>
      <x:c r="B3630" s="18" t="n">
        <x:v>42874</x:v>
      </x:c>
      <x:c r="C3630" t="str">
        <x:v>BC-11125</x:v>
      </x:c>
      <x:c r="D3630" t="str">
        <x:v>Becky Castell</x:v>
      </x:c>
      <x:c r="E3630" t="str">
        <x:v>Home Office</x:v>
      </x:c>
      <x:c r="F3630" t="str">
        <x:v>West</x:v>
      </x:c>
      <x:c r="G3630" t="str">
        <x:v>Office Supplies</x:v>
      </x:c>
      <x:c r="H3630" t="str">
        <x:v>Art</x:v>
      </x:c>
      <x:c r="I3630" s="22" t="n">
        <x:v>3.52</x:v>
      </x:c>
      <x:c r="J3630" s="24" t="n">
        <x:v>2</x:v>
      </x:c>
      <x:c r="K3630" s="26" t="n">
        <x:v>0</x:v>
      </x:c>
      <x:c r="L3630" s="22" t="n">
        <x:v>1.0208</x:v>
      </x:c>
      <x:c r="M3630" t="n">
        <x:v>2017</x:v>
      </x:c>
      <x:c r="N3630" s="20" t="n">
        <x:v>42856</x:v>
      </x:c>
    </x:row>
    <x:row r="3631" ht="18" customHeight="1">
      <x:c r="A3631" t="str">
        <x:v>CA-2017-113530</x:v>
      </x:c>
      <x:c r="B3631" s="18" t="n">
        <x:v>42874</x:v>
      </x:c>
      <x:c r="C3631" t="str">
        <x:v>BC-11125</x:v>
      </x:c>
      <x:c r="D3631" t="str">
        <x:v>Becky Castell</x:v>
      </x:c>
      <x:c r="E3631" t="str">
        <x:v>Home Office</x:v>
      </x:c>
      <x:c r="F3631" t="str">
        <x:v>West</x:v>
      </x:c>
      <x:c r="G3631" t="str">
        <x:v>Office Supplies</x:v>
      </x:c>
      <x:c r="H3631" t="str">
        <x:v>Art</x:v>
      </x:c>
      <x:c r="I3631" s="22" t="n">
        <x:v>5.58</x:v>
      </x:c>
      <x:c r="J3631" s="24" t="n">
        <x:v>1</x:v>
      </x:c>
      <x:c r="K3631" s="26" t="n">
        <x:v>0</x:v>
      </x:c>
      <x:c r="L3631" s="22" t="n">
        <x:v>1.3949999999999996</x:v>
      </x:c>
      <x:c r="M3631" t="n">
        <x:v>2017</x:v>
      </x:c>
      <x:c r="N3631" s="20" t="n">
        <x:v>42856</x:v>
      </x:c>
    </x:row>
    <x:row r="3632" ht="18" customHeight="1">
      <x:c r="A3632" t="str">
        <x:v>CA-2017-113530</x:v>
      </x:c>
      <x:c r="B3632" s="18" t="n">
        <x:v>42874</x:v>
      </x:c>
      <x:c r="C3632" t="str">
        <x:v>BC-11125</x:v>
      </x:c>
      <x:c r="D3632" t="str">
        <x:v>Becky Castell</x:v>
      </x:c>
      <x:c r="E3632" t="str">
        <x:v>Home Office</x:v>
      </x:c>
      <x:c r="F3632" t="str">
        <x:v>West</x:v>
      </x:c>
      <x:c r="G3632" t="str">
        <x:v>Technology</x:v>
      </x:c>
      <x:c r="H3632" t="str">
        <x:v>Accessories</x:v>
      </x:c>
      <x:c r="I3632" s="22" t="n">
        <x:v>36.32</x:v>
      </x:c>
      <x:c r="J3632" s="24" t="n">
        <x:v>1</x:v>
      </x:c>
      <x:c r="K3632" s="26" t="n">
        <x:v>0</x:v>
      </x:c>
      <x:c r="L3632" s="22" t="n">
        <x:v>10.895999999999997</x:v>
      </x:c>
      <x:c r="M3632" t="n">
        <x:v>2017</x:v>
      </x:c>
      <x:c r="N3632" s="20" t="n">
        <x:v>42856</x:v>
      </x:c>
    </x:row>
    <x:row r="3633" ht="18" customHeight="1">
      <x:c r="A3633" t="str">
        <x:v>CA-2014-169726</x:v>
      </x:c>
      <x:c r="B3633" s="18" t="n">
        <x:v>41860</x:v>
      </x:c>
      <x:c r="C3633" t="str">
        <x:v>JH-15985</x:v>
      </x:c>
      <x:c r="D3633" t="str">
        <x:v>Joseph Holt</x:v>
      </x:c>
      <x:c r="E3633" t="str">
        <x:v>Consumer</x:v>
      </x:c>
      <x:c r="F3633" t="str">
        <x:v>West</x:v>
      </x:c>
      <x:c r="G3633" t="str">
        <x:v>Office Supplies</x:v>
      </x:c>
      <x:c r="H3633" t="str">
        <x:v>Binders</x:v>
      </x:c>
      <x:c r="I3633" s="22" t="n">
        <x:v>2060.744</x:v>
      </x:c>
      <x:c r="J3633" s="24" t="n">
        <x:v>7</x:v>
      </x:c>
      <x:c r="K3633" s="26" t="n">
        <x:v>0.2</x:v>
      </x:c>
      <x:c r="L3633" s="22" t="n">
        <x:v>643.9825</x:v>
      </x:c>
      <x:c r="M3633" t="n">
        <x:v>2014</x:v>
      </x:c>
      <x:c r="N3633" s="20" t="n">
        <x:v>41852</x:v>
      </x:c>
    </x:row>
    <x:row r="3634" ht="18" customHeight="1">
      <x:c r="A3634" t="str">
        <x:v>CA-2017-155957</x:v>
      </x:c>
      <x:c r="B3634" s="18" t="n">
        <x:v>43065</x:v>
      </x:c>
      <x:c r="C3634" t="str">
        <x:v>CC-12610</x:v>
      </x:c>
      <x:c r="D3634" t="str">
        <x:v>Corey Catlett</x:v>
      </x:c>
      <x:c r="E3634" t="str">
        <x:v>Corporate</x:v>
      </x:c>
      <x:c r="F3634" t="str">
        <x:v>East</x:v>
      </x:c>
      <x:c r="G3634" t="str">
        <x:v>Office Supplies</x:v>
      </x:c>
      <x:c r="H3634" t="str">
        <x:v>Appliances</x:v>
      </x:c>
      <x:c r="I3634" s="22" t="n">
        <x:v>52.272000000000006</x:v>
      </x:c>
      <x:c r="J3634" s="24" t="n">
        <x:v>3</x:v>
      </x:c>
      <x:c r="K3634" s="26" t="n">
        <x:v>0.2</x:v>
      </x:c>
      <x:c r="L3634" s="22" t="n">
        <x:v>9.800999999999998</x:v>
      </x:c>
      <x:c r="M3634" t="n">
        <x:v>2017</x:v>
      </x:c>
      <x:c r="N3634" s="20" t="n">
        <x:v>43040</x:v>
      </x:c>
    </x:row>
    <x:row r="3635" ht="18" customHeight="1">
      <x:c r="A3635" t="str">
        <x:v>CA-2017-155957</x:v>
      </x:c>
      <x:c r="B3635" s="18" t="n">
        <x:v>43065</x:v>
      </x:c>
      <x:c r="C3635" t="str">
        <x:v>CC-12610</x:v>
      </x:c>
      <x:c r="D3635" t="str">
        <x:v>Corey Catlett</x:v>
      </x:c>
      <x:c r="E3635" t="str">
        <x:v>Corporate</x:v>
      </x:c>
      <x:c r="F3635" t="str">
        <x:v>East</x:v>
      </x:c>
      <x:c r="G3635" t="str">
        <x:v>Office Supplies</x:v>
      </x:c>
      <x:c r="H3635" t="str">
        <x:v>Appliances</x:v>
      </x:c>
      <x:c r="I3635" s="22" t="n">
        <x:v>213.13600000000002</x:v>
      </x:c>
      <x:c r="J3635" s="24" t="n">
        <x:v>7</x:v>
      </x:c>
      <x:c r="K3635" s="26" t="n">
        <x:v>0.2</x:v>
      </x:c>
      <x:c r="L3635" s="22" t="n">
        <x:v>23.977799999999988</x:v>
      </x:c>
      <x:c r="M3635" t="n">
        <x:v>2017</x:v>
      </x:c>
      <x:c r="N3635" s="20" t="n">
        <x:v>43040</x:v>
      </x:c>
    </x:row>
    <x:row r="3636" ht="18" customHeight="1">
      <x:c r="A3636" t="str">
        <x:v>CA-2017-132178</x:v>
      </x:c>
      <x:c r="B3636" s="18" t="n">
        <x:v>42858</x:v>
      </x:c>
      <x:c r="C3636" t="str">
        <x:v>DB-12970</x:v>
      </x:c>
      <x:c r="D3636" t="str">
        <x:v>Darren Budd</x:v>
      </x:c>
      <x:c r="E3636" t="str">
        <x:v>Corporate</x:v>
      </x:c>
      <x:c r="F3636" t="str">
        <x:v>West</x:v>
      </x:c>
      <x:c r="G3636" t="str">
        <x:v>Office Supplies</x:v>
      </x:c>
      <x:c r="H3636" t="str">
        <x:v>Storage</x:v>
      </x:c>
      <x:c r="I3636" s="22" t="n">
        <x:v>69.52</x:v>
      </x:c>
      <x:c r="J3636" s="24" t="n">
        <x:v>2</x:v>
      </x:c>
      <x:c r="K3636" s="26" t="n">
        <x:v>0</x:v>
      </x:c>
      <x:c r="L3636" s="22" t="n">
        <x:v>19.465600000000002</x:v>
      </x:c>
      <x:c r="M3636" t="n">
        <x:v>2017</x:v>
      </x:c>
      <x:c r="N3636" s="20" t="n">
        <x:v>42856</x:v>
      </x:c>
    </x:row>
    <x:row r="3637" ht="18" customHeight="1">
      <x:c r="A3637" t="str">
        <x:v>CA-2017-132178</x:v>
      </x:c>
      <x:c r="B3637" s="18" t="n">
        <x:v>42858</x:v>
      </x:c>
      <x:c r="C3637" t="str">
        <x:v>DB-12970</x:v>
      </x:c>
      <x:c r="D3637" t="str">
        <x:v>Darren Budd</x:v>
      </x:c>
      <x:c r="E3637" t="str">
        <x:v>Corporate</x:v>
      </x:c>
      <x:c r="F3637" t="str">
        <x:v>West</x:v>
      </x:c>
      <x:c r="G3637" t="str">
        <x:v>Office Supplies</x:v>
      </x:c>
      <x:c r="H3637" t="str">
        <x:v>Storage</x:v>
      </x:c>
      <x:c r="I3637" s="22" t="n">
        <x:v>763.44</x:v>
      </x:c>
      <x:c r="J3637" s="24" t="n">
        <x:v>8</x:v>
      </x:c>
      <x:c r="K3637" s="26" t="n">
        <x:v>0</x:v>
      </x:c>
      <x:c r="L3637" s="22" t="n">
        <x:v>45.80639999999994</x:v>
      </x:c>
      <x:c r="M3637" t="n">
        <x:v>2017</x:v>
      </x:c>
      <x:c r="N3637" s="20" t="n">
        <x:v>42856</x:v>
      </x:c>
    </x:row>
    <x:row r="3638" ht="18" customHeight="1">
      <x:c r="A3638" t="str">
        <x:v>CA-2016-145177</x:v>
      </x:c>
      <x:c r="B3638" s="18" t="n">
        <x:v>42684</x:v>
      </x:c>
      <x:c r="C3638" t="str">
        <x:v>PP-18955</x:v>
      </x:c>
      <x:c r="D3638" t="str">
        <x:v>Paul Prost</x:v>
      </x:c>
      <x:c r="E3638" t="str">
        <x:v>Home Office</x:v>
      </x:c>
      <x:c r="F3638" t="str">
        <x:v>East</x:v>
      </x:c>
      <x:c r="G3638" t="str">
        <x:v>Office Supplies</x:v>
      </x:c>
      <x:c r="H3638" t="str">
        <x:v>Labels</x:v>
      </x:c>
      <x:c r="I3638" s="22" t="n">
        <x:v>9.216</x:v>
      </x:c>
      <x:c r="J3638" s="24" t="n">
        <x:v>4</x:v>
      </x:c>
      <x:c r="K3638" s="26" t="n">
        <x:v>0.2</x:v>
      </x:c>
      <x:c r="L3638" s="22" t="n">
        <x:v>3.3408</x:v>
      </x:c>
      <x:c r="M3638" t="n">
        <x:v>2016</x:v>
      </x:c>
      <x:c r="N3638" s="20" t="n">
        <x:v>42675</x:v>
      </x:c>
    </x:row>
    <x:row r="3639" ht="18" customHeight="1">
      <x:c r="A3639" t="str">
        <x:v>CA-2016-145177</x:v>
      </x:c>
      <x:c r="B3639" s="18" t="n">
        <x:v>42684</x:v>
      </x:c>
      <x:c r="C3639" t="str">
        <x:v>PP-18955</x:v>
      </x:c>
      <x:c r="D3639" t="str">
        <x:v>Paul Prost</x:v>
      </x:c>
      <x:c r="E3639" t="str">
        <x:v>Home Office</x:v>
      </x:c>
      <x:c r="F3639" t="str">
        <x:v>East</x:v>
      </x:c>
      <x:c r="G3639" t="str">
        <x:v>Technology</x:v>
      </x:c>
      <x:c r="H3639" t="str">
        <x:v>Phones</x:v>
      </x:c>
      <x:c r="I3639" s="22" t="n">
        <x:v>41.958</x:v>
      </x:c>
      <x:c r="J3639" s="24" t="n">
        <x:v>7</x:v>
      </x:c>
      <x:c r="K3639" s="26" t="n">
        <x:v>0.4</x:v>
      </x:c>
      <x:c r="L3639" s="22" t="n">
        <x:v>-9.790199999999999</x:v>
      </x:c>
      <x:c r="M3639" t="n">
        <x:v>2016</x:v>
      </x:c>
      <x:c r="N3639" s="20" t="n">
        <x:v>42675</x:v>
      </x:c>
    </x:row>
    <x:row r="3640" ht="18" customHeight="1">
      <x:c r="A3640" t="str">
        <x:v>CA-2016-145177</x:v>
      </x:c>
      <x:c r="B3640" s="18" t="n">
        <x:v>42684</x:v>
      </x:c>
      <x:c r="C3640" t="str">
        <x:v>PP-18955</x:v>
      </x:c>
      <x:c r="D3640" t="str">
        <x:v>Paul Prost</x:v>
      </x:c>
      <x:c r="E3640" t="str">
        <x:v>Home Office</x:v>
      </x:c>
      <x:c r="F3640" t="str">
        <x:v>East</x:v>
      </x:c>
      <x:c r="G3640" t="str">
        <x:v>Office Supplies</x:v>
      </x:c>
      <x:c r="H3640" t="str">
        <x:v>Paper</x:v>
      </x:c>
      <x:c r="I3640" s="22" t="n">
        <x:v>89.568</x:v>
      </x:c>
      <x:c r="J3640" s="24" t="n">
        <x:v>2</x:v>
      </x:c>
      <x:c r="K3640" s="26" t="n">
        <x:v>0.2</x:v>
      </x:c>
      <x:c r="L3640" s="22" t="n">
        <x:v>32.4684</x:v>
      </x:c>
      <x:c r="M3640" t="n">
        <x:v>2016</x:v>
      </x:c>
      <x:c r="N3640" s="20" t="n">
        <x:v>42675</x:v>
      </x:c>
    </x:row>
    <x:row r="3641" ht="18" customHeight="1">
      <x:c r="A3641" t="str">
        <x:v>CA-2016-145177</x:v>
      </x:c>
      <x:c r="B3641" s="18" t="n">
        <x:v>42684</x:v>
      </x:c>
      <x:c r="C3641" t="str">
        <x:v>PP-18955</x:v>
      </x:c>
      <x:c r="D3641" t="str">
        <x:v>Paul Prost</x:v>
      </x:c>
      <x:c r="E3641" t="str">
        <x:v>Home Office</x:v>
      </x:c>
      <x:c r="F3641" t="str">
        <x:v>East</x:v>
      </x:c>
      <x:c r="G3641" t="str">
        <x:v>Office Supplies</x:v>
      </x:c>
      <x:c r="H3641" t="str">
        <x:v>Paper</x:v>
      </x:c>
      <x:c r="I3641" s="22" t="n">
        <x:v>22.248</x:v>
      </x:c>
      <x:c r="J3641" s="24" t="n">
        <x:v>3</x:v>
      </x:c>
      <x:c r="K3641" s="26" t="n">
        <x:v>0.2</x:v>
      </x:c>
      <x:c r="L3641" s="22" t="n">
        <x:v>7.508699999999998</x:v>
      </x:c>
      <x:c r="M3641" t="n">
        <x:v>2016</x:v>
      </x:c>
      <x:c r="N3641" s="20" t="n">
        <x:v>42675</x:v>
      </x:c>
    </x:row>
    <x:row r="3642" ht="18" customHeight="1">
      <x:c r="A3642" t="str">
        <x:v>CA-2016-145177</x:v>
      </x:c>
      <x:c r="B3642" s="18" t="n">
        <x:v>42684</x:v>
      </x:c>
      <x:c r="C3642" t="str">
        <x:v>PP-18955</x:v>
      </x:c>
      <x:c r="D3642" t="str">
        <x:v>Paul Prost</x:v>
      </x:c>
      <x:c r="E3642" t="str">
        <x:v>Home Office</x:v>
      </x:c>
      <x:c r="F3642" t="str">
        <x:v>East</x:v>
      </x:c>
      <x:c r="G3642" t="str">
        <x:v>Office Supplies</x:v>
      </x:c>
      <x:c r="H3642" t="str">
        <x:v>Appliances</x:v>
      </x:c>
      <x:c r="I3642" s="22" t="n">
        <x:v>334.88000000000005</x:v>
      </x:c>
      <x:c r="J3642" s="24" t="n">
        <x:v>4</x:v>
      </x:c>
      <x:c r="K3642" s="26" t="n">
        <x:v>0.2</x:v>
      </x:c>
      <x:c r="L3642" s="22" t="n">
        <x:v>29.30199999999998</x:v>
      </x:c>
      <x:c r="M3642" t="n">
        <x:v>2016</x:v>
      </x:c>
      <x:c r="N3642" s="20" t="n">
        <x:v>42675</x:v>
      </x:c>
    </x:row>
    <x:row r="3643" ht="18" customHeight="1">
      <x:c r="A3643" t="str">
        <x:v>CA-2016-145177</x:v>
      </x:c>
      <x:c r="B3643" s="18" t="n">
        <x:v>42684</x:v>
      </x:c>
      <x:c r="C3643" t="str">
        <x:v>PP-18955</x:v>
      </x:c>
      <x:c r="D3643" t="str">
        <x:v>Paul Prost</x:v>
      </x:c>
      <x:c r="E3643" t="str">
        <x:v>Home Office</x:v>
      </x:c>
      <x:c r="F3643" t="str">
        <x:v>East</x:v>
      </x:c>
      <x:c r="G3643" t="str">
        <x:v>Furniture</x:v>
      </x:c>
      <x:c r="H3643" t="str">
        <x:v>Furnishings</x:v>
      </x:c>
      <x:c r="I3643" s="22" t="n">
        <x:v>148.288</x:v>
      </x:c>
      <x:c r="J3643" s="24" t="n">
        <x:v>7</x:v>
      </x:c>
      <x:c r="K3643" s="26" t="n">
        <x:v>0.2</x:v>
      </x:c>
      <x:c r="L3643" s="22" t="n">
        <x:v>29.657599999999988</x:v>
      </x:c>
      <x:c r="M3643" t="n">
        <x:v>2016</x:v>
      </x:c>
      <x:c r="N3643" s="20" t="n">
        <x:v>42675</x:v>
      </x:c>
    </x:row>
    <x:row r="3644" ht="18" customHeight="1">
      <x:c r="A3644" t="str">
        <x:v>CA-2016-145177</x:v>
      </x:c>
      <x:c r="B3644" s="18" t="n">
        <x:v>42684</x:v>
      </x:c>
      <x:c r="C3644" t="str">
        <x:v>PP-18955</x:v>
      </x:c>
      <x:c r="D3644" t="str">
        <x:v>Paul Prost</x:v>
      </x:c>
      <x:c r="E3644" t="str">
        <x:v>Home Office</x:v>
      </x:c>
      <x:c r="F3644" t="str">
        <x:v>East</x:v>
      </x:c>
      <x:c r="G3644" t="str">
        <x:v>Office Supplies</x:v>
      </x:c>
      <x:c r="H3644" t="str">
        <x:v>Paper</x:v>
      </x:c>
      <x:c r="I3644" s="22" t="n">
        <x:v>4.6240000000000006</x:v>
      </x:c>
      <x:c r="J3644" s="24" t="n">
        <x:v>1</x:v>
      </x:c>
      <x:c r="K3644" s="26" t="n">
        <x:v>0.2</x:v>
      </x:c>
      <x:c r="L3644" s="22" t="n">
        <x:v>1.6762000000000001</x:v>
      </x:c>
      <x:c r="M3644" t="n">
        <x:v>2016</x:v>
      </x:c>
      <x:c r="N3644" s="20" t="n">
        <x:v>42675</x:v>
      </x:c>
    </x:row>
    <x:row r="3645" ht="18" customHeight="1">
      <x:c r="A3645" t="str">
        <x:v>CA-2016-145177</x:v>
      </x:c>
      <x:c r="B3645" s="18" t="n">
        <x:v>42684</x:v>
      </x:c>
      <x:c r="C3645" t="str">
        <x:v>PP-18955</x:v>
      </x:c>
      <x:c r="D3645" t="str">
        <x:v>Paul Prost</x:v>
      </x:c>
      <x:c r="E3645" t="str">
        <x:v>Home Office</x:v>
      </x:c>
      <x:c r="F3645" t="str">
        <x:v>East</x:v>
      </x:c>
      <x:c r="G3645" t="str">
        <x:v>Technology</x:v>
      </x:c>
      <x:c r="H3645" t="str">
        <x:v>Accessories</x:v>
      </x:c>
      <x:c r="I3645" s="22" t="n">
        <x:v>178.92000000000002</x:v>
      </x:c>
      <x:c r="J3645" s="24" t="n">
        <x:v>7</x:v>
      </x:c>
      <x:c r="K3645" s="26" t="n">
        <x:v>0.2</x:v>
      </x:c>
      <x:c r="L3645" s="22" t="n">
        <x:v>-29.074500000000008</x:v>
      </x:c>
      <x:c r="M3645" t="n">
        <x:v>2016</x:v>
      </x:c>
      <x:c r="N3645" s="20" t="n">
        <x:v>42675</x:v>
      </x:c>
    </x:row>
    <x:row r="3646" ht="18" customHeight="1">
      <x:c r="A3646" t="str">
        <x:v>CA-2016-145177</x:v>
      </x:c>
      <x:c r="B3646" s="18" t="n">
        <x:v>42684</x:v>
      </x:c>
      <x:c r="C3646" t="str">
        <x:v>PP-18955</x:v>
      </x:c>
      <x:c r="D3646" t="str">
        <x:v>Paul Prost</x:v>
      </x:c>
      <x:c r="E3646" t="str">
        <x:v>Home Office</x:v>
      </x:c>
      <x:c r="F3646" t="str">
        <x:v>East</x:v>
      </x:c>
      <x:c r="G3646" t="str">
        <x:v>Office Supplies</x:v>
      </x:c>
      <x:c r="H3646" t="str">
        <x:v>Binders</x:v>
      </x:c>
      <x:c r="I3646" s="22" t="n">
        <x:v>69.888</x:v>
      </x:c>
      <x:c r="J3646" s="24" t="n">
        <x:v>7</x:v>
      </x:c>
      <x:c r="K3646" s="26" t="n">
        <x:v>0.7</x:v>
      </x:c>
      <x:c r="L3646" s="22" t="n">
        <x:v>-46.592</x:v>
      </x:c>
      <x:c r="M3646" t="n">
        <x:v>2016</x:v>
      </x:c>
      <x:c r="N3646" s="20" t="n">
        <x:v>42675</x:v>
      </x:c>
    </x:row>
    <x:row r="3647" ht="18" customHeight="1">
      <x:c r="A3647" t="str">
        <x:v>CA-2014-156594</x:v>
      </x:c>
      <x:c r="B3647" s="18" t="n">
        <x:v>41993</x:v>
      </x:c>
      <x:c r="C3647" t="str">
        <x:v>MC-17845</x:v>
      </x:c>
      <x:c r="D3647" t="str">
        <x:v>Michael Chen</x:v>
      </x:c>
      <x:c r="E3647" t="str">
        <x:v>Consumer</x:v>
      </x:c>
      <x:c r="F3647" t="str">
        <x:v>West</x:v>
      </x:c>
      <x:c r="G3647" t="str">
        <x:v>Office Supplies</x:v>
      </x:c>
      <x:c r="H3647" t="str">
        <x:v>Binders</x:v>
      </x:c>
      <x:c r="I3647" s="22" t="n">
        <x:v>487.98400000000004</x:v>
      </x:c>
      <x:c r="J3647" s="24" t="n">
        <x:v>2</x:v>
      </x:c>
      <x:c r="K3647" s="26" t="n">
        <x:v>0.2</x:v>
      </x:c>
      <x:c r="L3647" s="22" t="n">
        <x:v>152.49499999999998</x:v>
      </x:c>
      <x:c r="M3647" t="n">
        <x:v>2014</x:v>
      </x:c>
      <x:c r="N3647" s="20" t="n">
        <x:v>41974</x:v>
      </x:c>
    </x:row>
    <x:row r="3648" ht="18" customHeight="1">
      <x:c r="A3648" t="str">
        <x:v>CA-2014-156594</x:v>
      </x:c>
      <x:c r="B3648" s="18" t="n">
        <x:v>41993</x:v>
      </x:c>
      <x:c r="C3648" t="str">
        <x:v>MC-17845</x:v>
      </x:c>
      <x:c r="D3648" t="str">
        <x:v>Michael Chen</x:v>
      </x:c>
      <x:c r="E3648" t="str">
        <x:v>Consumer</x:v>
      </x:c>
      <x:c r="F3648" t="str">
        <x:v>West</x:v>
      </x:c>
      <x:c r="G3648" t="str">
        <x:v>Office Supplies</x:v>
      </x:c>
      <x:c r="H3648" t="str">
        <x:v>Art</x:v>
      </x:c>
      <x:c r="I3648" s="22" t="n">
        <x:v>47.3</x:v>
      </x:c>
      <x:c r="J3648" s="24" t="n">
        <x:v>2</x:v>
      </x:c>
      <x:c r="K3648" s="26" t="n">
        <x:v>0</x:v>
      </x:c>
      <x:c r="L3648" s="22" t="n">
        <x:v>12.298000000000002</x:v>
      </x:c>
      <x:c r="M3648" t="n">
        <x:v>2014</x:v>
      </x:c>
      <x:c r="N3648" s="20" t="n">
        <x:v>41974</x:v>
      </x:c>
    </x:row>
    <x:row r="3649" ht="18" customHeight="1">
      <x:c r="A3649" t="str">
        <x:v>CA-2014-156594</x:v>
      </x:c>
      <x:c r="B3649" s="18" t="n">
        <x:v>41993</x:v>
      </x:c>
      <x:c r="C3649" t="str">
        <x:v>MC-17845</x:v>
      </x:c>
      <x:c r="D3649" t="str">
        <x:v>Michael Chen</x:v>
      </x:c>
      <x:c r="E3649" t="str">
        <x:v>Consumer</x:v>
      </x:c>
      <x:c r="F3649" t="str">
        <x:v>West</x:v>
      </x:c>
      <x:c r="G3649" t="str">
        <x:v>Office Supplies</x:v>
      </x:c>
      <x:c r="H3649" t="str">
        <x:v>Art</x:v>
      </x:c>
      <x:c r="I3649" s="22" t="n">
        <x:v>4.13</x:v>
      </x:c>
      <x:c r="J3649" s="24" t="n">
        <x:v>1</x:v>
      </x:c>
      <x:c r="K3649" s="26" t="n">
        <x:v>0</x:v>
      </x:c>
      <x:c r="L3649" s="22" t="n">
        <x:v>1.1564</x:v>
      </x:c>
      <x:c r="M3649" t="n">
        <x:v>2014</x:v>
      </x:c>
      <x:c r="N3649" s="20" t="n">
        <x:v>41974</x:v>
      </x:c>
    </x:row>
    <x:row r="3650" ht="18" customHeight="1">
      <x:c r="A3650" t="str">
        <x:v>CA-2014-156594</x:v>
      </x:c>
      <x:c r="B3650" s="18" t="n">
        <x:v>41993</x:v>
      </x:c>
      <x:c r="C3650" t="str">
        <x:v>MC-17845</x:v>
      </x:c>
      <x:c r="D3650" t="str">
        <x:v>Michael Chen</x:v>
      </x:c>
      <x:c r="E3650" t="str">
        <x:v>Consumer</x:v>
      </x:c>
      <x:c r="F3650" t="str">
        <x:v>West</x:v>
      </x:c>
      <x:c r="G3650" t="str">
        <x:v>Office Supplies</x:v>
      </x:c>
      <x:c r="H3650" t="str">
        <x:v>Binders</x:v>
      </x:c>
      <x:c r="I3650" s="22" t="n">
        <x:v>155.12</x:v>
      </x:c>
      <x:c r="J3650" s="24" t="n">
        <x:v>5</x:v>
      </x:c>
      <x:c r="K3650" s="26" t="n">
        <x:v>0.2</x:v>
      </x:c>
      <x:c r="L3650" s="22" t="n">
        <x:v>50.41399999999999</x:v>
      </x:c>
      <x:c r="M3650" t="n">
        <x:v>2014</x:v>
      </x:c>
      <x:c r="N3650" s="20" t="n">
        <x:v>41974</x:v>
      </x:c>
    </x:row>
    <x:row r="3651" ht="18" customHeight="1">
      <x:c r="A3651" t="str">
        <x:v>CA-2014-146528</x:v>
      </x:c>
      <x:c r="B3651" s="18" t="n">
        <x:v>41845</x:v>
      </x:c>
      <x:c r="C3651" t="str">
        <x:v>VF-21715</x:v>
      </x:c>
      <x:c r="D3651" t="str">
        <x:v>Vicky Freymann</x:v>
      </x:c>
      <x:c r="E3651" t="str">
        <x:v>Home Office</x:v>
      </x:c>
      <x:c r="F3651" t="str">
        <x:v>West</x:v>
      </x:c>
      <x:c r="G3651" t="str">
        <x:v>Office Supplies</x:v>
      </x:c>
      <x:c r="H3651" t="str">
        <x:v>Paper</x:v>
      </x:c>
      <x:c r="I3651" s="22" t="n">
        <x:v>6.48</x:v>
      </x:c>
      <x:c r="J3651" s="24" t="n">
        <x:v>1</x:v>
      </x:c>
      <x:c r="K3651" s="26" t="n">
        <x:v>0</x:v>
      </x:c>
      <x:c r="L3651" s="22" t="n">
        <x:v>3.1752000000000002</x:v>
      </x:c>
      <x:c r="M3651" t="n">
        <x:v>2014</x:v>
      </x:c>
      <x:c r="N3651" s="20" t="n">
        <x:v>41821</x:v>
      </x:c>
    </x:row>
    <x:row r="3652" ht="18" customHeight="1">
      <x:c r="A3652" t="str">
        <x:v>CA-2014-146528</x:v>
      </x:c>
      <x:c r="B3652" s="18" t="n">
        <x:v>41845</x:v>
      </x:c>
      <x:c r="C3652" t="str">
        <x:v>VF-21715</x:v>
      </x:c>
      <x:c r="D3652" t="str">
        <x:v>Vicky Freymann</x:v>
      </x:c>
      <x:c r="E3652" t="str">
        <x:v>Home Office</x:v>
      </x:c>
      <x:c r="F3652" t="str">
        <x:v>West</x:v>
      </x:c>
      <x:c r="G3652" t="str">
        <x:v>Office Supplies</x:v>
      </x:c>
      <x:c r="H3652" t="str">
        <x:v>Supplies</x:v>
      </x:c>
      <x:c r="I3652" s="22" t="n">
        <x:v>15.52</x:v>
      </x:c>
      <x:c r="J3652" s="24" t="n">
        <x:v>4</x:v>
      </x:c>
      <x:c r="K3652" s="26" t="n">
        <x:v>0</x:v>
      </x:c>
      <x:c r="L3652" s="22" t="n">
        <x:v>4.500799999999998</x:v>
      </x:c>
      <x:c r="M3652" t="n">
        <x:v>2014</x:v>
      </x:c>
      <x:c r="N3652" s="20" t="n">
        <x:v>41821</x:v>
      </x:c>
    </x:row>
    <x:row r="3653" ht="18" customHeight="1">
      <x:c r="A3653" t="str">
        <x:v>CA-2015-168459</x:v>
      </x:c>
      <x:c r="B3653" s="18" t="n">
        <x:v>42330</x:v>
      </x:c>
      <x:c r="C3653" t="str">
        <x:v>MC-17275</x:v>
      </x:c>
      <x:c r="D3653" t="str">
        <x:v>Marc Crier</x:v>
      </x:c>
      <x:c r="E3653" t="str">
        <x:v>Consumer</x:v>
      </x:c>
      <x:c r="F3653" t="str">
        <x:v>South</x:v>
      </x:c>
      <x:c r="G3653" t="str">
        <x:v>Office Supplies</x:v>
      </x:c>
      <x:c r="H3653" t="str">
        <x:v>Binders</x:v>
      </x:c>
      <x:c r="I3653" s="22" t="n">
        <x:v>2.9460000000000006</x:v>
      </x:c>
      <x:c r="J3653" s="24" t="n">
        <x:v>2</x:v>
      </x:c>
      <x:c r="K3653" s="26" t="n">
        <x:v>0.7</x:v>
      </x:c>
      <x:c r="L3653" s="22" t="n">
        <x:v>-2.0622</x:v>
      </x:c>
      <x:c r="M3653" t="n">
        <x:v>2015</x:v>
      </x:c>
      <x:c r="N3653" s="20" t="n">
        <x:v>42309</x:v>
      </x:c>
    </x:row>
    <x:row r="3654" ht="18" customHeight="1">
      <x:c r="A3654" t="str">
        <x:v>CA-2015-168459</x:v>
      </x:c>
      <x:c r="B3654" s="18" t="n">
        <x:v>42330</x:v>
      </x:c>
      <x:c r="C3654" t="str">
        <x:v>MC-17275</x:v>
      </x:c>
      <x:c r="D3654" t="str">
        <x:v>Marc Crier</x:v>
      </x:c>
      <x:c r="E3654" t="str">
        <x:v>Consumer</x:v>
      </x:c>
      <x:c r="F3654" t="str">
        <x:v>South</x:v>
      </x:c>
      <x:c r="G3654" t="str">
        <x:v>Office Supplies</x:v>
      </x:c>
      <x:c r="H3654" t="str">
        <x:v>Fasteners</x:v>
      </x:c>
      <x:c r="I3654" s="22" t="n">
        <x:v>55.104000000000006</x:v>
      </x:c>
      <x:c r="J3654" s="24" t="n">
        <x:v>6</x:v>
      </x:c>
      <x:c r="K3654" s="26" t="n">
        <x:v>0.2</x:v>
      </x:c>
      <x:c r="L3654" s="22" t="n">
        <x:v>18.597599999999993</x:v>
      </x:c>
      <x:c r="M3654" t="n">
        <x:v>2015</x:v>
      </x:c>
      <x:c r="N3654" s="20" t="n">
        <x:v>42309</x:v>
      </x:c>
    </x:row>
    <x:row r="3655" ht="18" customHeight="1">
      <x:c r="A3655" t="str">
        <x:v>CA-2017-109960</x:v>
      </x:c>
      <x:c r="B3655" s="18" t="n">
        <x:v>43078</x:v>
      </x:c>
      <x:c r="C3655" t="str">
        <x:v>DB-13210</x:v>
      </x:c>
      <x:c r="D3655" t="str">
        <x:v>Dean Braden</x:v>
      </x:c>
      <x:c r="E3655" t="str">
        <x:v>Consumer</x:v>
      </x:c>
      <x:c r="F3655" t="str">
        <x:v>Central</x:v>
      </x:c>
      <x:c r="G3655" t="str">
        <x:v>Technology</x:v>
      </x:c>
      <x:c r="H3655" t="str">
        <x:v>Accessories</x:v>
      </x:c>
      <x:c r="I3655" s="22" t="n">
        <x:v>104.88</x:v>
      </x:c>
      <x:c r="J3655" s="24" t="n">
        <x:v>6</x:v>
      </x:c>
      <x:c r="K3655" s="26" t="n">
        <x:v>0</x:v>
      </x:c>
      <x:c r="L3655" s="22" t="n">
        <x:v>41.952000000000005</x:v>
      </x:c>
      <x:c r="M3655" t="n">
        <x:v>2017</x:v>
      </x:c>
      <x:c r="N3655" s="20" t="n">
        <x:v>43070</x:v>
      </x:c>
    </x:row>
    <x:row r="3656" ht="18" customHeight="1">
      <x:c r="A3656" t="str">
        <x:v>CA-2017-109960</x:v>
      </x:c>
      <x:c r="B3656" s="18" t="n">
        <x:v>43078</x:v>
      </x:c>
      <x:c r="C3656" t="str">
        <x:v>DB-13210</x:v>
      </x:c>
      <x:c r="D3656" t="str">
        <x:v>Dean Braden</x:v>
      </x:c>
      <x:c r="E3656" t="str">
        <x:v>Consumer</x:v>
      </x:c>
      <x:c r="F3656" t="str">
        <x:v>Central</x:v>
      </x:c>
      <x:c r="G3656" t="str">
        <x:v>Office Supplies</x:v>
      </x:c>
      <x:c r="H3656" t="str">
        <x:v>Art</x:v>
      </x:c>
      <x:c r="I3656" s="22" t="n">
        <x:v>34.7</x:v>
      </x:c>
      <x:c r="J3656" s="24" t="n">
        <x:v>5</x:v>
      </x:c>
      <x:c r="K3656" s="26" t="n">
        <x:v>0</x:v>
      </x:c>
      <x:c r="L3656" s="22" t="n">
        <x:v>12.492</x:v>
      </x:c>
      <x:c r="M3656" t="n">
        <x:v>2017</x:v>
      </x:c>
      <x:c r="N3656" s="20" t="n">
        <x:v>43070</x:v>
      </x:c>
    </x:row>
    <x:row r="3657" ht="18" customHeight="1">
      <x:c r="A3657" t="str">
        <x:v>CA-2017-109960</x:v>
      </x:c>
      <x:c r="B3657" s="18" t="n">
        <x:v>43078</x:v>
      </x:c>
      <x:c r="C3657" t="str">
        <x:v>DB-13210</x:v>
      </x:c>
      <x:c r="D3657" t="str">
        <x:v>Dean Braden</x:v>
      </x:c>
      <x:c r="E3657" t="str">
        <x:v>Consumer</x:v>
      </x:c>
      <x:c r="F3657" t="str">
        <x:v>Central</x:v>
      </x:c>
      <x:c r="G3657" t="str">
        <x:v>Office Supplies</x:v>
      </x:c>
      <x:c r="H3657" t="str">
        <x:v>Binders</x:v>
      </x:c>
      <x:c r="I3657" s="22" t="n">
        <x:v>33.72</x:v>
      </x:c>
      <x:c r="J3657" s="24" t="n">
        <x:v>4</x:v>
      </x:c>
      <x:c r="K3657" s="26" t="n">
        <x:v>0</x:v>
      </x:c>
      <x:c r="L3657" s="22" t="n">
        <x:v>15.511199999999999</x:v>
      </x:c>
      <x:c r="M3657" t="n">
        <x:v>2017</x:v>
      </x:c>
      <x:c r="N3657" s="20" t="n">
        <x:v>43070</x:v>
      </x:c>
    </x:row>
    <x:row r="3658" ht="18" customHeight="1">
      <x:c r="A3658" t="str">
        <x:v>CA-2017-109960</x:v>
      </x:c>
      <x:c r="B3658" s="18" t="n">
        <x:v>43078</x:v>
      </x:c>
      <x:c r="C3658" t="str">
        <x:v>DB-13210</x:v>
      </x:c>
      <x:c r="D3658" t="str">
        <x:v>Dean Braden</x:v>
      </x:c>
      <x:c r="E3658" t="str">
        <x:v>Consumer</x:v>
      </x:c>
      <x:c r="F3658" t="str">
        <x:v>Central</x:v>
      </x:c>
      <x:c r="G3658" t="str">
        <x:v>Office Supplies</x:v>
      </x:c>
      <x:c r="H3658" t="str">
        <x:v>Paper</x:v>
      </x:c>
      <x:c r="I3658" s="22" t="n">
        <x:v>14.940000000000001</x:v>
      </x:c>
      <x:c r="J3658" s="24" t="n">
        <x:v>3</x:v>
      </x:c>
      <x:c r="K3658" s="26" t="n">
        <x:v>0</x:v>
      </x:c>
      <x:c r="L3658" s="22" t="n">
        <x:v>7.021800000000001</x:v>
      </x:c>
      <x:c r="M3658" t="n">
        <x:v>2017</x:v>
      </x:c>
      <x:c r="N3658" s="20" t="n">
        <x:v>43070</x:v>
      </x:c>
    </x:row>
    <x:row r="3659" ht="18" customHeight="1">
      <x:c r="A3659" t="str">
        <x:v>CA-2017-133004</x:v>
      </x:c>
      <x:c r="B3659" s="18" t="n">
        <x:v>42978</x:v>
      </x:c>
      <x:c r="C3659" t="str">
        <x:v>AJ-10945</x:v>
      </x:c>
      <x:c r="D3659" t="str">
        <x:v>Ashley Jarboe</x:v>
      </x:c>
      <x:c r="E3659" t="str">
        <x:v>Consumer</x:v>
      </x:c>
      <x:c r="F3659" t="str">
        <x:v>Central</x:v>
      </x:c>
      <x:c r="G3659" t="str">
        <x:v>Office Supplies</x:v>
      </x:c>
      <x:c r="H3659" t="str">
        <x:v>Appliances</x:v>
      </x:c>
      <x:c r="I3659" s="22" t="n">
        <x:v>638.73</x:v>
      </x:c>
      <x:c r="J3659" s="24" t="n">
        <x:v>9</x:v>
      </x:c>
      <x:c r="K3659" s="26" t="n">
        <x:v>0</x:v>
      </x:c>
      <x:c r="L3659" s="22" t="n">
        <x:v>166.0698</x:v>
      </x:c>
      <x:c r="M3659" t="n">
        <x:v>2017</x:v>
      </x:c>
      <x:c r="N3659" s="20" t="n">
        <x:v>42948</x:v>
      </x:c>
    </x:row>
    <x:row r="3660" ht="18" customHeight="1">
      <x:c r="A3660" t="str">
        <x:v>CA-2017-168102</x:v>
      </x:c>
      <x:c r="B3660" s="18" t="n">
        <x:v>42849</x:v>
      </x:c>
      <x:c r="C3660" t="str">
        <x:v>CP-12340</x:v>
      </x:c>
      <x:c r="D3660" t="str">
        <x:v>Christine Phan</x:v>
      </x:c>
      <x:c r="E3660" t="str">
        <x:v>Corporate</x:v>
      </x:c>
      <x:c r="F3660" t="str">
        <x:v>South</x:v>
      </x:c>
      <x:c r="G3660" t="str">
        <x:v>Office Supplies</x:v>
      </x:c>
      <x:c r="H3660" t="str">
        <x:v>Storage</x:v>
      </x:c>
      <x:c r="I3660" s="22" t="n">
        <x:v>113.56800000000001</x:v>
      </x:c>
      <x:c r="J3660" s="24" t="n">
        <x:v>2</x:v>
      </x:c>
      <x:c r="K3660" s="26" t="n">
        <x:v>0.2</x:v>
      </x:c>
      <x:c r="L3660" s="22" t="n">
        <x:v>-21.29400000000002</x:v>
      </x:c>
      <x:c r="M3660" t="n">
        <x:v>2017</x:v>
      </x:c>
      <x:c r="N3660" s="20" t="n">
        <x:v>42826</x:v>
      </x:c>
    </x:row>
    <x:row r="3661" ht="18" customHeight="1">
      <x:c r="A3661" t="str">
        <x:v>CA-2017-158036</x:v>
      </x:c>
      <x:c r="B3661" s="18" t="n">
        <x:v>42986</x:v>
      </x:c>
      <x:c r="C3661" t="str">
        <x:v>DB-13555</x:v>
      </x:c>
      <x:c r="D3661" t="str">
        <x:v>Dorothy Badders</x:v>
      </x:c>
      <x:c r="E3661" t="str">
        <x:v>Corporate</x:v>
      </x:c>
      <x:c r="F3661" t="str">
        <x:v>East</x:v>
      </x:c>
      <x:c r="G3661" t="str">
        <x:v>Technology</x:v>
      </x:c>
      <x:c r="H3661" t="str">
        <x:v>Accessories</x:v>
      </x:c>
      <x:c r="I3661" s="22" t="n">
        <x:v>9.096</x:v>
      </x:c>
      <x:c r="J3661" s="24" t="n">
        <x:v>1</x:v>
      </x:c>
      <x:c r="K3661" s="26" t="n">
        <x:v>0.2</x:v>
      </x:c>
      <x:c r="L3661" s="22" t="n">
        <x:v>1.7054999999999998</x:v>
      </x:c>
      <x:c r="M3661" t="n">
        <x:v>2017</x:v>
      </x:c>
      <x:c r="N3661" s="20" t="n">
        <x:v>42979</x:v>
      </x:c>
    </x:row>
    <x:row r="3662" ht="18" customHeight="1">
      <x:c r="A3662" t="str">
        <x:v>CA-2015-128083</x:v>
      </x:c>
      <x:c r="B3662" s="18" t="n">
        <x:v>42075</x:v>
      </x:c>
      <x:c r="C3662" t="str">
        <x:v>EB-13750</x:v>
      </x:c>
      <x:c r="D3662" t="str">
        <x:v>Edward Becker</x:v>
      </x:c>
      <x:c r="E3662" t="str">
        <x:v>Corporate</x:v>
      </x:c>
      <x:c r="F3662" t="str">
        <x:v>South</x:v>
      </x:c>
      <x:c r="G3662" t="str">
        <x:v>Office Supplies</x:v>
      </x:c>
      <x:c r="H3662" t="str">
        <x:v>Envelopes</x:v>
      </x:c>
      <x:c r="I3662" s="22" t="n">
        <x:v>8.688</x:v>
      </x:c>
      <x:c r="J3662" s="24" t="n">
        <x:v>3</x:v>
      </x:c>
      <x:c r="K3662" s="26" t="n">
        <x:v>0.2</x:v>
      </x:c>
      <x:c r="L3662" s="22" t="n">
        <x:v>2.9322000000000004</x:v>
      </x:c>
      <x:c r="M3662" t="n">
        <x:v>2015</x:v>
      </x:c>
      <x:c r="N3662" s="20" t="n">
        <x:v>42064</x:v>
      </x:c>
    </x:row>
    <x:row r="3663" ht="18" customHeight="1">
      <x:c r="A3663" t="str">
        <x:v>CA-2015-128083</x:v>
      </x:c>
      <x:c r="B3663" s="18" t="n">
        <x:v>42075</x:v>
      </x:c>
      <x:c r="C3663" t="str">
        <x:v>EB-13750</x:v>
      </x:c>
      <x:c r="D3663" t="str">
        <x:v>Edward Becker</x:v>
      </x:c>
      <x:c r="E3663" t="str">
        <x:v>Corporate</x:v>
      </x:c>
      <x:c r="F3663" t="str">
        <x:v>South</x:v>
      </x:c>
      <x:c r="G3663" t="str">
        <x:v>Furniture</x:v>
      </x:c>
      <x:c r="H3663" t="str">
        <x:v>Furnishings</x:v>
      </x:c>
      <x:c r="I3663" s="22" t="n">
        <x:v>30.880000000000003</x:v>
      </x:c>
      <x:c r="J3663" s="24" t="n">
        <x:v>4</x:v>
      </x:c>
      <x:c r="K3663" s="26" t="n">
        <x:v>0.2</x:v>
      </x:c>
      <x:c r="L3663" s="22" t="n">
        <x:v>3.8599999999999977</x:v>
      </x:c>
      <x:c r="M3663" t="n">
        <x:v>2015</x:v>
      </x:c>
      <x:c r="N3663" s="20" t="n">
        <x:v>42064</x:v>
      </x:c>
    </x:row>
    <x:row r="3664" ht="18" customHeight="1">
      <x:c r="A3664" t="str">
        <x:v>CA-2015-128083</x:v>
      </x:c>
      <x:c r="B3664" s="18" t="n">
        <x:v>42075</x:v>
      </x:c>
      <x:c r="C3664" t="str">
        <x:v>EB-13750</x:v>
      </x:c>
      <x:c r="D3664" t="str">
        <x:v>Edward Becker</x:v>
      </x:c>
      <x:c r="E3664" t="str">
        <x:v>Corporate</x:v>
      </x:c>
      <x:c r="F3664" t="str">
        <x:v>South</x:v>
      </x:c>
      <x:c r="G3664" t="str">
        <x:v>Furniture</x:v>
      </x:c>
      <x:c r="H3664" t="str">
        <x:v>Furnishings</x:v>
      </x:c>
      <x:c r="I3664" s="22" t="n">
        <x:v>6.408</x:v>
      </x:c>
      <x:c r="J3664" s="24" t="n">
        <x:v>3</x:v>
      </x:c>
      <x:c r="K3664" s="26" t="n">
        <x:v>0.2</x:v>
      </x:c>
      <x:c r="L3664" s="22" t="n">
        <x:v>1.4418</x:v>
      </x:c>
      <x:c r="M3664" t="n">
        <x:v>2015</x:v>
      </x:c>
      <x:c r="N3664" s="20" t="n">
        <x:v>42064</x:v>
      </x:c>
    </x:row>
    <x:row r="3665" ht="18" customHeight="1">
      <x:c r="A3665" t="str">
        <x:v>CA-2016-161676</x:v>
      </x:c>
      <x:c r="B3665" s="18" t="n">
        <x:v>42569</x:v>
      </x:c>
      <x:c r="C3665" t="str">
        <x:v>JP-15460</x:v>
      </x:c>
      <x:c r="D3665" t="str">
        <x:v>Jennifer Patt</x:v>
      </x:c>
      <x:c r="E3665" t="str">
        <x:v>Corporate</x:v>
      </x:c>
      <x:c r="F3665" t="str">
        <x:v>West</x:v>
      </x:c>
      <x:c r="G3665" t="str">
        <x:v>Office Supplies</x:v>
      </x:c>
      <x:c r="H3665" t="str">
        <x:v>Supplies</x:v>
      </x:c>
      <x:c r="I3665" s="22" t="n">
        <x:v>33.8</x:v>
      </x:c>
      <x:c r="J3665" s="24" t="n">
        <x:v>5</x:v>
      </x:c>
      <x:c r="K3665" s="26" t="n">
        <x:v>0.2</x:v>
      </x:c>
      <x:c r="L3665" s="22" t="n">
        <x:v>4.224999999999998</x:v>
      </x:c>
      <x:c r="M3665" t="n">
        <x:v>2016</x:v>
      </x:c>
      <x:c r="N3665" s="20" t="n">
        <x:v>42552</x:v>
      </x:c>
    </x:row>
    <x:row r="3666" ht="18" customHeight="1">
      <x:c r="A3666" t="str">
        <x:v>CA-2016-155005</x:v>
      </x:c>
      <x:c r="B3666" s="18" t="n">
        <x:v>42534</x:v>
      </x:c>
      <x:c r="C3666" t="str">
        <x:v>SC-20050</x:v>
      </x:c>
      <x:c r="D3666" t="str">
        <x:v>Sample Company A</x:v>
      </x:c>
      <x:c r="E3666" t="str">
        <x:v>Home Office</x:v>
      </x:c>
      <x:c r="F3666" t="str">
        <x:v>Central</x:v>
      </x:c>
      <x:c r="G3666" t="str">
        <x:v>Technology</x:v>
      </x:c>
      <x:c r="H3666" t="str">
        <x:v>Phones</x:v>
      </x:c>
      <x:c r="I3666" s="22" t="n">
        <x:v>377.96999999999997</x:v>
      </x:c>
      <x:c r="J3666" s="24" t="n">
        <x:v>3</x:v>
      </x:c>
      <x:c r="K3666" s="26" t="n">
        <x:v>0</x:v>
      </x:c>
      <x:c r="L3666" s="22" t="n">
        <x:v>94.4925</x:v>
      </x:c>
      <x:c r="M3666" t="n">
        <x:v>2016</x:v>
      </x:c>
      <x:c r="N3666" s="20" t="n">
        <x:v>42522</x:v>
      </x:c>
    </x:row>
    <x:row r="3667" ht="18" customHeight="1">
      <x:c r="A3667" t="str">
        <x:v>US-2017-129777</x:v>
      </x:c>
      <x:c r="B3667" s="18" t="n">
        <x:v>42919</x:v>
      </x:c>
      <x:c r="C3667" t="str">
        <x:v>FM-14290</x:v>
      </x:c>
      <x:c r="D3667" t="str">
        <x:v>Frank Merwin</x:v>
      </x:c>
      <x:c r="E3667" t="str">
        <x:v>Home Office</x:v>
      </x:c>
      <x:c r="F3667" t="str">
        <x:v>East</x:v>
      </x:c>
      <x:c r="G3667" t="str">
        <x:v>Technology</x:v>
      </x:c>
      <x:c r="H3667" t="str">
        <x:v>Accessories</x:v>
      </x:c>
      <x:c r="I3667" s="22" t="n">
        <x:v>258.9</x:v>
      </x:c>
      <x:c r="J3667" s="24" t="n">
        <x:v>10</x:v>
      </x:c>
      <x:c r="K3667" s="26" t="n">
        <x:v>0</x:v>
      </x:c>
      <x:c r="L3667" s="22" t="n">
        <x:v>93.204</x:v>
      </x:c>
      <x:c r="M3667" t="n">
        <x:v>2017</x:v>
      </x:c>
      <x:c r="N3667" s="20" t="n">
        <x:v>42917</x:v>
      </x:c>
    </x:row>
    <x:row r="3668" ht="18" customHeight="1">
      <x:c r="A3668" t="str">
        <x:v>US-2017-129777</x:v>
      </x:c>
      <x:c r="B3668" s="18" t="n">
        <x:v>42919</x:v>
      </x:c>
      <x:c r="C3668" t="str">
        <x:v>FM-14290</x:v>
      </x:c>
      <x:c r="D3668" t="str">
        <x:v>Frank Merwin</x:v>
      </x:c>
      <x:c r="E3668" t="str">
        <x:v>Home Office</x:v>
      </x:c>
      <x:c r="F3668" t="str">
        <x:v>East</x:v>
      </x:c>
      <x:c r="G3668" t="str">
        <x:v>Office Supplies</x:v>
      </x:c>
      <x:c r="H3668" t="str">
        <x:v>Paper</x:v>
      </x:c>
      <x:c r="I3668" s="22" t="n">
        <x:v>24.56</x:v>
      </x:c>
      <x:c r="J3668" s="24" t="n">
        <x:v>2</x:v>
      </x:c>
      <x:c r="K3668" s="26" t="n">
        <x:v>0</x:v>
      </x:c>
      <x:c r="L3668" s="22" t="n">
        <x:v>11.543199999999999</x:v>
      </x:c>
      <x:c r="M3668" t="n">
        <x:v>2017</x:v>
      </x:c>
      <x:c r="N3668" s="20" t="n">
        <x:v>42917</x:v>
      </x:c>
    </x:row>
    <x:row r="3669" ht="18" customHeight="1">
      <x:c r="A3669" t="str">
        <x:v>CA-2014-129364</x:v>
      </x:c>
      <x:c r="B3669" s="18" t="n">
        <x:v>41981</x:v>
      </x:c>
      <x:c r="C3669" t="str">
        <x:v>TB-21250</x:v>
      </x:c>
      <x:c r="D3669" t="str">
        <x:v>Tim Brockman</x:v>
      </x:c>
      <x:c r="E3669" t="str">
        <x:v>Consumer</x:v>
      </x:c>
      <x:c r="F3669" t="str">
        <x:v>West</x:v>
      </x:c>
      <x:c r="G3669" t="str">
        <x:v>Office Supplies</x:v>
      </x:c>
      <x:c r="H3669" t="str">
        <x:v>Labels</x:v>
      </x:c>
      <x:c r="I3669" s="22" t="n">
        <x:v>27.888</x:v>
      </x:c>
      <x:c r="J3669" s="24" t="n">
        <x:v>7</x:v>
      </x:c>
      <x:c r="K3669" s="26" t="n">
        <x:v>0.2</x:v>
      </x:c>
      <x:c r="L3669" s="22" t="n">
        <x:v>9.063599999999997</x:v>
      </x:c>
      <x:c r="M3669" t="n">
        <x:v>2014</x:v>
      </x:c>
      <x:c r="N3669" s="20" t="n">
        <x:v>41974</x:v>
      </x:c>
    </x:row>
    <x:row r="3670" ht="18" customHeight="1">
      <x:c r="A3670" t="str">
        <x:v>CA-2014-129364</x:v>
      </x:c>
      <x:c r="B3670" s="18" t="n">
        <x:v>41981</x:v>
      </x:c>
      <x:c r="C3670" t="str">
        <x:v>TB-21250</x:v>
      </x:c>
      <x:c r="D3670" t="str">
        <x:v>Tim Brockman</x:v>
      </x:c>
      <x:c r="E3670" t="str">
        <x:v>Consumer</x:v>
      </x:c>
      <x:c r="F3670" t="str">
        <x:v>West</x:v>
      </x:c>
      <x:c r="G3670" t="str">
        <x:v>Office Supplies</x:v>
      </x:c>
      <x:c r="H3670" t="str">
        <x:v>Binders</x:v>
      </x:c>
      <x:c r="I3670" s="22" t="n">
        <x:v>6.456</x:v>
      </x:c>
      <x:c r="J3670" s="24" t="n">
        <x:v>4</x:v>
      </x:c>
      <x:c r="K3670" s="26" t="n">
        <x:v>0.7</x:v>
      </x:c>
      <x:c r="L3670" s="22" t="n">
        <x:v>-4.519199999999998</x:v>
      </x:c>
      <x:c r="M3670" t="n">
        <x:v>2014</x:v>
      </x:c>
      <x:c r="N3670" s="20" t="n">
        <x:v>41974</x:v>
      </x:c>
    </x:row>
    <x:row r="3671" ht="18" customHeight="1">
      <x:c r="A3671" t="str">
        <x:v>CA-2014-129364</x:v>
      </x:c>
      <x:c r="B3671" s="18" t="n">
        <x:v>41981</x:v>
      </x:c>
      <x:c r="C3671" t="str">
        <x:v>TB-21250</x:v>
      </x:c>
      <x:c r="D3671" t="str">
        <x:v>Tim Brockman</x:v>
      </x:c>
      <x:c r="E3671" t="str">
        <x:v>Consumer</x:v>
      </x:c>
      <x:c r="F3671" t="str">
        <x:v>West</x:v>
      </x:c>
      <x:c r="G3671" t="str">
        <x:v>Technology</x:v>
      </x:c>
      <x:c r="H3671" t="str">
        <x:v>Phones</x:v>
      </x:c>
      <x:c r="I3671" s="22" t="n">
        <x:v>52.67999999999999</x:v>
      </x:c>
      <x:c r="J3671" s="24" t="n">
        <x:v>3</x:v>
      </x:c>
      <x:c r="K3671" s="26" t="n">
        <x:v>0.2</x:v>
      </x:c>
      <x:c r="L3671" s="22" t="n">
        <x:v>19.755</x:v>
      </x:c>
      <x:c r="M3671" t="n">
        <x:v>2014</x:v>
      </x:c>
      <x:c r="N3671" s="20" t="n">
        <x:v>41974</x:v>
      </x:c>
    </x:row>
    <x:row r="3672" ht="18" customHeight="1">
      <x:c r="A3672" t="str">
        <x:v>CA-2014-129364</x:v>
      </x:c>
      <x:c r="B3672" s="18" t="n">
        <x:v>41981</x:v>
      </x:c>
      <x:c r="C3672" t="str">
        <x:v>TB-21250</x:v>
      </x:c>
      <x:c r="D3672" t="str">
        <x:v>Tim Brockman</x:v>
      </x:c>
      <x:c r="E3672" t="str">
        <x:v>Consumer</x:v>
      </x:c>
      <x:c r="F3672" t="str">
        <x:v>West</x:v>
      </x:c>
      <x:c r="G3672" t="str">
        <x:v>Office Supplies</x:v>
      </x:c>
      <x:c r="H3672" t="str">
        <x:v>Supplies</x:v>
      </x:c>
      <x:c r="I3672" s="22" t="n">
        <x:v>13.88</x:v>
      </x:c>
      <x:c r="J3672" s="24" t="n">
        <x:v>5</x:v>
      </x:c>
      <x:c r="K3672" s="26" t="n">
        <x:v>0.2</x:v>
      </x:c>
      <x:c r="L3672" s="22" t="n">
        <x:v>-2.6025000000000014</x:v>
      </x:c>
      <x:c r="M3672" t="n">
        <x:v>2014</x:v>
      </x:c>
      <x:c r="N3672" s="20" t="n">
        <x:v>41974</x:v>
      </x:c>
    </x:row>
    <x:row r="3673" ht="18" customHeight="1">
      <x:c r="A3673" t="str">
        <x:v>CA-2014-129364</x:v>
      </x:c>
      <x:c r="B3673" s="18" t="n">
        <x:v>41981</x:v>
      </x:c>
      <x:c r="C3673" t="str">
        <x:v>TB-21250</x:v>
      </x:c>
      <x:c r="D3673" t="str">
        <x:v>Tim Brockman</x:v>
      </x:c>
      <x:c r="E3673" t="str">
        <x:v>Consumer</x:v>
      </x:c>
      <x:c r="F3673" t="str">
        <x:v>West</x:v>
      </x:c>
      <x:c r="G3673" t="str">
        <x:v>Technology</x:v>
      </x:c>
      <x:c r="H3673" t="str">
        <x:v>Accessories</x:v>
      </x:c>
      <x:c r="I3673" s="22" t="n">
        <x:v>103.92000000000002</x:v>
      </x:c>
      <x:c r="J3673" s="24" t="n">
        <x:v>10</x:v>
      </x:c>
      <x:c r="K3673" s="26" t="n">
        <x:v>0.2</x:v>
      </x:c>
      <x:c r="L3673" s="22" t="n">
        <x:v>-18.186000000000014</x:v>
      </x:c>
      <x:c r="M3673" t="n">
        <x:v>2014</x:v>
      </x:c>
      <x:c r="N3673" s="20" t="n">
        <x:v>41974</x:v>
      </x:c>
    </x:row>
    <x:row r="3674" ht="18" customHeight="1">
      <x:c r="A3674" t="str">
        <x:v>CA-2014-129364</x:v>
      </x:c>
      <x:c r="B3674" s="18" t="n">
        <x:v>41981</x:v>
      </x:c>
      <x:c r="C3674" t="str">
        <x:v>TB-21250</x:v>
      </x:c>
      <x:c r="D3674" t="str">
        <x:v>Tim Brockman</x:v>
      </x:c>
      <x:c r="E3674" t="str">
        <x:v>Consumer</x:v>
      </x:c>
      <x:c r="F3674" t="str">
        <x:v>West</x:v>
      </x:c>
      <x:c r="G3674" t="str">
        <x:v>Office Supplies</x:v>
      </x:c>
      <x:c r="H3674" t="str">
        <x:v>Labels</x:v>
      </x:c>
      <x:c r="I3674" s="22" t="n">
        <x:v>11.52</x:v>
      </x:c>
      <x:c r="J3674" s="24" t="n">
        <x:v>5</x:v>
      </x:c>
      <x:c r="K3674" s="26" t="n">
        <x:v>0.2</x:v>
      </x:c>
      <x:c r="L3674" s="22" t="n">
        <x:v>3.743999999999999</x:v>
      </x:c>
      <x:c r="M3674" t="n">
        <x:v>2014</x:v>
      </x:c>
      <x:c r="N3674" s="20" t="n">
        <x:v>41974</x:v>
      </x:c>
    </x:row>
    <x:row r="3675" ht="18" customHeight="1">
      <x:c r="A3675" t="str">
        <x:v>CA-2014-129364</x:v>
      </x:c>
      <x:c r="B3675" s="18" t="n">
        <x:v>41981</x:v>
      </x:c>
      <x:c r="C3675" t="str">
        <x:v>TB-21250</x:v>
      </x:c>
      <x:c r="D3675" t="str">
        <x:v>Tim Brockman</x:v>
      </x:c>
      <x:c r="E3675" t="str">
        <x:v>Consumer</x:v>
      </x:c>
      <x:c r="F3675" t="str">
        <x:v>West</x:v>
      </x:c>
      <x:c r="G3675" t="str">
        <x:v>Office Supplies</x:v>
      </x:c>
      <x:c r="H3675" t="str">
        <x:v>Paper</x:v>
      </x:c>
      <x:c r="I3675" s="22" t="n">
        <x:v>10.368000000000002</x:v>
      </x:c>
      <x:c r="J3675" s="24" t="n">
        <x:v>2</x:v>
      </x:c>
      <x:c r="K3675" s="26" t="n">
        <x:v>0.2</x:v>
      </x:c>
      <x:c r="L3675" s="22" t="n">
        <x:v>3.6288</x:v>
      </x:c>
      <x:c r="M3675" t="n">
        <x:v>2014</x:v>
      </x:c>
      <x:c r="N3675" s="20" t="n">
        <x:v>41974</x:v>
      </x:c>
    </x:row>
    <x:row r="3676" ht="18" customHeight="1">
      <x:c r="A3676" t="str">
        <x:v>CA-2014-129364</x:v>
      </x:c>
      <x:c r="B3676" s="18" t="n">
        <x:v>41981</x:v>
      </x:c>
      <x:c r="C3676" t="str">
        <x:v>TB-21250</x:v>
      </x:c>
      <x:c r="D3676" t="str">
        <x:v>Tim Brockman</x:v>
      </x:c>
      <x:c r="E3676" t="str">
        <x:v>Consumer</x:v>
      </x:c>
      <x:c r="F3676" t="str">
        <x:v>West</x:v>
      </x:c>
      <x:c r="G3676" t="str">
        <x:v>Office Supplies</x:v>
      </x:c>
      <x:c r="H3676" t="str">
        <x:v>Storage</x:v>
      </x:c>
      <x:c r="I3676" s="22" t="n">
        <x:v>39.072</x:v>
      </x:c>
      <x:c r="J3676" s="24" t="n">
        <x:v>3</x:v>
      </x:c>
      <x:c r="K3676" s="26" t="n">
        <x:v>0.2</x:v>
      </x:c>
      <x:c r="L3676" s="22" t="n">
        <x:v>2.9304000000000023</x:v>
      </x:c>
      <x:c r="M3676" t="n">
        <x:v>2014</x:v>
      </x:c>
      <x:c r="N3676" s="20" t="n">
        <x:v>41974</x:v>
      </x:c>
    </x:row>
    <x:row r="3677" ht="18" customHeight="1">
      <x:c r="A3677" t="str">
        <x:v>CA-2016-104969</x:v>
      </x:c>
      <x:c r="B3677" s="18" t="n">
        <x:v>42468</x:v>
      </x:c>
      <x:c r="C3677" t="str">
        <x:v>EH-14125</x:v>
      </x:c>
      <x:c r="D3677" t="str">
        <x:v>Eugene Hildebrand</x:v>
      </x:c>
      <x:c r="E3677" t="str">
        <x:v>Home Office</x:v>
      </x:c>
      <x:c r="F3677" t="str">
        <x:v>East</x:v>
      </x:c>
      <x:c r="G3677" t="str">
        <x:v>Office Supplies</x:v>
      </x:c>
      <x:c r="H3677" t="str">
        <x:v>Envelopes</x:v>
      </x:c>
      <x:c r="I3677" s="22" t="n">
        <x:v>8.872</x:v>
      </x:c>
      <x:c r="J3677" s="24" t="n">
        <x:v>1</x:v>
      </x:c>
      <x:c r="K3677" s="26" t="n">
        <x:v>0.2</x:v>
      </x:c>
      <x:c r="L3677" s="22" t="n">
        <x:v>3.2161</x:v>
      </x:c>
      <x:c r="M3677" t="n">
        <x:v>2016</x:v>
      </x:c>
      <x:c r="N3677" s="20" t="n">
        <x:v>42461</x:v>
      </x:c>
    </x:row>
    <x:row r="3678" ht="18" customHeight="1">
      <x:c r="A3678" t="str">
        <x:v>CA-2016-104969</x:v>
      </x:c>
      <x:c r="B3678" s="18" t="n">
        <x:v>42468</x:v>
      </x:c>
      <x:c r="C3678" t="str">
        <x:v>EH-14125</x:v>
      </x:c>
      <x:c r="D3678" t="str">
        <x:v>Eugene Hildebrand</x:v>
      </x:c>
      <x:c r="E3678" t="str">
        <x:v>Home Office</x:v>
      </x:c>
      <x:c r="F3678" t="str">
        <x:v>East</x:v>
      </x:c>
      <x:c r="G3678" t="str">
        <x:v>Office Supplies</x:v>
      </x:c>
      <x:c r="H3678" t="str">
        <x:v>Binders</x:v>
      </x:c>
      <x:c r="I3678" s="22" t="n">
        <x:v>121.10400000000003</x:v>
      </x:c>
      <x:c r="J3678" s="24" t="n">
        <x:v>6</x:v>
      </x:c>
      <x:c r="K3678" s="26" t="n">
        <x:v>0.7</x:v>
      </x:c>
      <x:c r="L3678" s="22" t="n">
        <x:v>-100.91999999999999</x:v>
      </x:c>
      <x:c r="M3678" t="n">
        <x:v>2016</x:v>
      </x:c>
      <x:c r="N3678" s="20" t="n">
        <x:v>42461</x:v>
      </x:c>
    </x:row>
    <x:row r="3679" ht="18" customHeight="1">
      <x:c r="A3679" t="str">
        <x:v>CA-2017-154109</x:v>
      </x:c>
      <x:c r="B3679" s="18" t="n">
        <x:v>43045</x:v>
      </x:c>
      <x:c r="C3679" t="str">
        <x:v>ML-17410</x:v>
      </x:c>
      <x:c r="D3679" t="str">
        <x:v>Maris LaWare</x:v>
      </x:c>
      <x:c r="E3679" t="str">
        <x:v>Consumer</x:v>
      </x:c>
      <x:c r="F3679" t="str">
        <x:v>East</x:v>
      </x:c>
      <x:c r="G3679" t="str">
        <x:v>Furniture</x:v>
      </x:c>
      <x:c r="H3679" t="str">
        <x:v>Chairs</x:v>
      </x:c>
      <x:c r="I3679" s="22" t="n">
        <x:v>127.372</x:v>
      </x:c>
      <x:c r="J3679" s="24" t="n">
        <x:v>2</x:v>
      </x:c>
      <x:c r="K3679" s="26" t="n">
        <x:v>0.3</x:v>
      </x:c>
      <x:c r="L3679" s="22" t="n">
        <x:v>-30.933200000000006</x:v>
      </x:c>
      <x:c r="M3679" t="n">
        <x:v>2017</x:v>
      </x:c>
      <x:c r="N3679" s="20" t="n">
        <x:v>43040</x:v>
      </x:c>
    </x:row>
    <x:row r="3680" ht="18" customHeight="1">
      <x:c r="A3680" t="str">
        <x:v>CA-2017-154109</x:v>
      </x:c>
      <x:c r="B3680" s="18" t="n">
        <x:v>43045</x:v>
      </x:c>
      <x:c r="C3680" t="str">
        <x:v>ML-17410</x:v>
      </x:c>
      <x:c r="D3680" t="str">
        <x:v>Maris LaWare</x:v>
      </x:c>
      <x:c r="E3680" t="str">
        <x:v>Consumer</x:v>
      </x:c>
      <x:c r="F3680" t="str">
        <x:v>East</x:v>
      </x:c>
      <x:c r="G3680" t="str">
        <x:v>Office Supplies</x:v>
      </x:c>
      <x:c r="H3680" t="str">
        <x:v>Paper</x:v>
      </x:c>
      <x:c r="I3680" s="22" t="n">
        <x:v>47.952000000000005</x:v>
      </x:c>
      <x:c r="J3680" s="24" t="n">
        <x:v>3</x:v>
      </x:c>
      <x:c r="K3680" s="26" t="n">
        <x:v>0.2</x:v>
      </x:c>
      <x:c r="L3680" s="22" t="n">
        <x:v>16.183799999999998</x:v>
      </x:c>
      <x:c r="M3680" t="n">
        <x:v>2017</x:v>
      </x:c>
      <x:c r="N3680" s="20" t="n">
        <x:v>43040</x:v>
      </x:c>
    </x:row>
    <x:row r="3681" ht="18" customHeight="1">
      <x:c r="A3681" t="str">
        <x:v>CA-2015-156440</x:v>
      </x:c>
      <x:c r="B3681" s="18" t="n">
        <x:v>42343</x:v>
      </x:c>
      <x:c r="C3681" t="str">
        <x:v>MH-17620</x:v>
      </x:c>
      <x:c r="D3681" t="str">
        <x:v>Matt Hagelstein</x:v>
      </x:c>
      <x:c r="E3681" t="str">
        <x:v>Corporate</x:v>
      </x:c>
      <x:c r="F3681" t="str">
        <x:v>West</x:v>
      </x:c>
      <x:c r="G3681" t="str">
        <x:v>Furniture</x:v>
      </x:c>
      <x:c r="H3681" t="str">
        <x:v>Furnishings</x:v>
      </x:c>
      <x:c r="I3681" s="22" t="n">
        <x:v>44.46</x:v>
      </x:c>
      <x:c r="J3681" s="24" t="n">
        <x:v>2</x:v>
      </x:c>
      <x:c r="K3681" s="26" t="n">
        <x:v>0</x:v>
      </x:c>
      <x:c r="L3681" s="22" t="n">
        <x:v>14.671799999999998</x:v>
      </x:c>
      <x:c r="M3681" t="n">
        <x:v>2015</x:v>
      </x:c>
      <x:c r="N3681" s="20" t="n">
        <x:v>42339</x:v>
      </x:c>
    </x:row>
    <x:row r="3682" ht="18" customHeight="1">
      <x:c r="A3682" t="str">
        <x:v>CA-2015-132626</x:v>
      </x:c>
      <x:c r="B3682" s="18" t="n">
        <x:v>42194</x:v>
      </x:c>
      <x:c r="C3682" t="str">
        <x:v>BT-11680</x:v>
      </x:c>
      <x:c r="D3682" t="str">
        <x:v>Brian Thompson</x:v>
      </x:c>
      <x:c r="E3682" t="str">
        <x:v>Consumer</x:v>
      </x:c>
      <x:c r="F3682" t="str">
        <x:v>East</x:v>
      </x:c>
      <x:c r="G3682" t="str">
        <x:v>Office Supplies</x:v>
      </x:c>
      <x:c r="H3682" t="str">
        <x:v>Fasteners</x:v>
      </x:c>
      <x:c r="I3682" s="22" t="n">
        <x:v>15.8</x:v>
      </x:c>
      <x:c r="J3682" s="24" t="n">
        <x:v>4</x:v>
      </x:c>
      <x:c r="K3682" s="26" t="n">
        <x:v>0</x:v>
      </x:c>
      <x:c r="L3682" s="22" t="n">
        <x:v>5.055999999999999</x:v>
      </x:c>
      <x:c r="M3682" t="n">
        <x:v>2015</x:v>
      </x:c>
      <x:c r="N3682" s="20" t="n">
        <x:v>42186</x:v>
      </x:c>
    </x:row>
    <x:row r="3683" ht="18" customHeight="1">
      <x:c r="A3683" t="str">
        <x:v>CA-2015-132626</x:v>
      </x:c>
      <x:c r="B3683" s="18" t="n">
        <x:v>42194</x:v>
      </x:c>
      <x:c r="C3683" t="str">
        <x:v>BT-11680</x:v>
      </x:c>
      <x:c r="D3683" t="str">
        <x:v>Brian Thompson</x:v>
      </x:c>
      <x:c r="E3683" t="str">
        <x:v>Consumer</x:v>
      </x:c>
      <x:c r="F3683" t="str">
        <x:v>East</x:v>
      </x:c>
      <x:c r="G3683" t="str">
        <x:v>Technology</x:v>
      </x:c>
      <x:c r="H3683" t="str">
        <x:v>Machines</x:v>
      </x:c>
      <x:c r="I3683" s="22" t="n">
        <x:v>464.97</x:v>
      </x:c>
      <x:c r="J3683" s="24" t="n">
        <x:v>3</x:v>
      </x:c>
      <x:c r="K3683" s="26" t="n">
        <x:v>0</x:v>
      </x:c>
      <x:c r="L3683" s="22" t="n">
        <x:v>209.23649999999998</x:v>
      </x:c>
      <x:c r="M3683" t="n">
        <x:v>2015</x:v>
      </x:c>
      <x:c r="N3683" s="20" t="n">
        <x:v>42186</x:v>
      </x:c>
    </x:row>
    <x:row r="3684" ht="18" customHeight="1">
      <x:c r="A3684" t="str">
        <x:v>CA-2015-132626</x:v>
      </x:c>
      <x:c r="B3684" s="18" t="n">
        <x:v>42194</x:v>
      </x:c>
      <x:c r="C3684" t="str">
        <x:v>BT-11680</x:v>
      </x:c>
      <x:c r="D3684" t="str">
        <x:v>Brian Thompson</x:v>
      </x:c>
      <x:c r="E3684" t="str">
        <x:v>Consumer</x:v>
      </x:c>
      <x:c r="F3684" t="str">
        <x:v>East</x:v>
      </x:c>
      <x:c r="G3684" t="str">
        <x:v>Furniture</x:v>
      </x:c>
      <x:c r="H3684" t="str">
        <x:v>Furnishings</x:v>
      </x:c>
      <x:c r="I3684" s="22" t="n">
        <x:v>181.96</x:v>
      </x:c>
      <x:c r="J3684" s="24" t="n">
        <x:v>2</x:v>
      </x:c>
      <x:c r="K3684" s="26" t="n">
        <x:v>0</x:v>
      </x:c>
      <x:c r="L3684" s="22" t="n">
        <x:v>20.015600000000006</x:v>
      </x:c>
      <x:c r="M3684" t="n">
        <x:v>2015</x:v>
      </x:c>
      <x:c r="N3684" s="20" t="n">
        <x:v>42186</x:v>
      </x:c>
    </x:row>
    <x:row r="3685" ht="18" customHeight="1">
      <x:c r="A3685" t="str">
        <x:v>CA-2015-132626</x:v>
      </x:c>
      <x:c r="B3685" s="18" t="n">
        <x:v>42194</x:v>
      </x:c>
      <x:c r="C3685" t="str">
        <x:v>BT-11680</x:v>
      </x:c>
      <x:c r="D3685" t="str">
        <x:v>Brian Thompson</x:v>
      </x:c>
      <x:c r="E3685" t="str">
        <x:v>Consumer</x:v>
      </x:c>
      <x:c r="F3685" t="str">
        <x:v>East</x:v>
      </x:c>
      <x:c r="G3685" t="str">
        <x:v>Office Supplies</x:v>
      </x:c>
      <x:c r="H3685" t="str">
        <x:v>Labels</x:v>
      </x:c>
      <x:c r="I3685" s="22" t="n">
        <x:v>12.39</x:v>
      </x:c>
      <x:c r="J3685" s="24" t="n">
        <x:v>3</x:v>
      </x:c>
      <x:c r="K3685" s="26" t="n">
        <x:v>0</x:v>
      </x:c>
      <x:c r="L3685" s="22" t="n">
        <x:v>5.6994</x:v>
      </x:c>
      <x:c r="M3685" t="n">
        <x:v>2015</x:v>
      </x:c>
      <x:c r="N3685" s="20" t="n">
        <x:v>42186</x:v>
      </x:c>
    </x:row>
    <x:row r="3686" ht="18" customHeight="1">
      <x:c r="A3686" t="str">
        <x:v>CA-2015-132626</x:v>
      </x:c>
      <x:c r="B3686" s="18" t="n">
        <x:v>42194</x:v>
      </x:c>
      <x:c r="C3686" t="str">
        <x:v>BT-11680</x:v>
      </x:c>
      <x:c r="D3686" t="str">
        <x:v>Brian Thompson</x:v>
      </x:c>
      <x:c r="E3686" t="str">
        <x:v>Consumer</x:v>
      </x:c>
      <x:c r="F3686" t="str">
        <x:v>East</x:v>
      </x:c>
      <x:c r="G3686" t="str">
        <x:v>Office Supplies</x:v>
      </x:c>
      <x:c r="H3686" t="str">
        <x:v>Binders</x:v>
      </x:c>
      <x:c r="I3686" s="22" t="n">
        <x:v>84.09</x:v>
      </x:c>
      <x:c r="J3686" s="24" t="n">
        <x:v>3</x:v>
      </x:c>
      <x:c r="K3686" s="26" t="n">
        <x:v>0</x:v>
      </x:c>
      <x:c r="L3686" s="22" t="n">
        <x:v>42.045</x:v>
      </x:c>
      <x:c r="M3686" t="n">
        <x:v>2015</x:v>
      </x:c>
      <x:c r="N3686" s="20" t="n">
        <x:v>42186</x:v>
      </x:c>
    </x:row>
    <x:row r="3687" ht="18" customHeight="1">
      <x:c r="A3687" t="str">
        <x:v>CA-2015-132626</x:v>
      </x:c>
      <x:c r="B3687" s="18" t="n">
        <x:v>42194</x:v>
      </x:c>
      <x:c r="C3687" t="str">
        <x:v>BT-11680</x:v>
      </x:c>
      <x:c r="D3687" t="str">
        <x:v>Brian Thompson</x:v>
      </x:c>
      <x:c r="E3687" t="str">
        <x:v>Consumer</x:v>
      </x:c>
      <x:c r="F3687" t="str">
        <x:v>East</x:v>
      </x:c>
      <x:c r="G3687" t="str">
        <x:v>Office Supplies</x:v>
      </x:c>
      <x:c r="H3687" t="str">
        <x:v>Art</x:v>
      </x:c>
      <x:c r="I3687" s="22" t="n">
        <x:v>79.36</x:v>
      </x:c>
      <x:c r="J3687" s="24" t="n">
        <x:v>4</x:v>
      </x:c>
      <x:c r="K3687" s="26" t="n">
        <x:v>0</x:v>
      </x:c>
      <x:c r="L3687" s="22" t="n">
        <x:v>32.537600000000005</x:v>
      </x:c>
      <x:c r="M3687" t="n">
        <x:v>2015</x:v>
      </x:c>
      <x:c r="N3687" s="20" t="n">
        <x:v>42186</x:v>
      </x:c>
    </x:row>
    <x:row r="3688" ht="18" customHeight="1">
      <x:c r="A3688" t="str">
        <x:v>CA-2015-132626</x:v>
      </x:c>
      <x:c r="B3688" s="18" t="n">
        <x:v>42194</x:v>
      </x:c>
      <x:c r="C3688" t="str">
        <x:v>BT-11680</x:v>
      </x:c>
      <x:c r="D3688" t="str">
        <x:v>Brian Thompson</x:v>
      </x:c>
      <x:c r="E3688" t="str">
        <x:v>Consumer</x:v>
      </x:c>
      <x:c r="F3688" t="str">
        <x:v>East</x:v>
      </x:c>
      <x:c r="G3688" t="str">
        <x:v>Office Supplies</x:v>
      </x:c>
      <x:c r="H3688" t="str">
        <x:v>Binders</x:v>
      </x:c>
      <x:c r="I3688" s="22" t="n">
        <x:v>153.35999999999999</x:v>
      </x:c>
      <x:c r="J3688" s="24" t="n">
        <x:v>9</x:v>
      </x:c>
      <x:c r="K3688" s="26" t="n">
        <x:v>0</x:v>
      </x:c>
      <x:c r="L3688" s="22" t="n">
        <x:v>70.54559999999998</x:v>
      </x:c>
      <x:c r="M3688" t="n">
        <x:v>2015</x:v>
      </x:c>
      <x:c r="N3688" s="20" t="n">
        <x:v>42186</x:v>
      </x:c>
    </x:row>
    <x:row r="3689" ht="18" customHeight="1">
      <x:c r="A3689" t="str">
        <x:v>CA-2015-132626</x:v>
      </x:c>
      <x:c r="B3689" s="18" t="n">
        <x:v>42194</x:v>
      </x:c>
      <x:c r="C3689" t="str">
        <x:v>BT-11680</x:v>
      </x:c>
      <x:c r="D3689" t="str">
        <x:v>Brian Thompson</x:v>
      </x:c>
      <x:c r="E3689" t="str">
        <x:v>Consumer</x:v>
      </x:c>
      <x:c r="F3689" t="str">
        <x:v>East</x:v>
      </x:c>
      <x:c r="G3689" t="str">
        <x:v>Office Supplies</x:v>
      </x:c>
      <x:c r="H3689" t="str">
        <x:v>Binders</x:v>
      </x:c>
      <x:c r="I3689" s="22" t="n">
        <x:v>43.68</x:v>
      </x:c>
      <x:c r="J3689" s="24" t="n">
        <x:v>6</x:v>
      </x:c>
      <x:c r="K3689" s="26" t="n">
        <x:v>0</x:v>
      </x:c>
      <x:c r="L3689" s="22" t="n">
        <x:v>21.403200000000002</x:v>
      </x:c>
      <x:c r="M3689" t="n">
        <x:v>2015</x:v>
      </x:c>
      <x:c r="N3689" s="20" t="n">
        <x:v>42186</x:v>
      </x:c>
    </x:row>
    <x:row r="3690" ht="18" customHeight="1">
      <x:c r="A3690" t="str">
        <x:v>CA-2015-132626</x:v>
      </x:c>
      <x:c r="B3690" s="18" t="n">
        <x:v>42194</x:v>
      </x:c>
      <x:c r="C3690" t="str">
        <x:v>BT-11680</x:v>
      </x:c>
      <x:c r="D3690" t="str">
        <x:v>Brian Thompson</x:v>
      </x:c>
      <x:c r="E3690" t="str">
        <x:v>Consumer</x:v>
      </x:c>
      <x:c r="F3690" t="str">
        <x:v>East</x:v>
      </x:c>
      <x:c r="G3690" t="str">
        <x:v>Office Supplies</x:v>
      </x:c>
      <x:c r="H3690" t="str">
        <x:v>Storage</x:v>
      </x:c>
      <x:c r="I3690" s="22" t="n">
        <x:v>98.21</x:v>
      </x:c>
      <x:c r="J3690" s="24" t="n">
        <x:v>7</x:v>
      </x:c>
      <x:c r="K3690" s="26" t="n">
        <x:v>0</x:v>
      </x:c>
      <x:c r="L3690" s="22" t="n">
        <x:v>28.480899999999984</x:v>
      </x:c>
      <x:c r="M3690" t="n">
        <x:v>2015</x:v>
      </x:c>
      <x:c r="N3690" s="20" t="n">
        <x:v>42186</x:v>
      </x:c>
    </x:row>
    <x:row r="3691" ht="18" customHeight="1">
      <x:c r="A3691" t="str">
        <x:v>CA-2016-102792</x:v>
      </x:c>
      <x:c r="B3691" s="18" t="n">
        <x:v>42717</x:v>
      </x:c>
      <x:c r="C3691" t="str">
        <x:v>JC-15340</x:v>
      </x:c>
      <x:c r="D3691" t="str">
        <x:v>Jasper Cacioppo</x:v>
      </x:c>
      <x:c r="E3691" t="str">
        <x:v>Consumer</x:v>
      </x:c>
      <x:c r="F3691" t="str">
        <x:v>West</x:v>
      </x:c>
      <x:c r="G3691" t="str">
        <x:v>Office Supplies</x:v>
      </x:c>
      <x:c r="H3691" t="str">
        <x:v>Art</x:v>
      </x:c>
      <x:c r="I3691" s="22" t="n">
        <x:v>9.84</x:v>
      </x:c>
      <x:c r="J3691" s="24" t="n">
        <x:v>3</x:v>
      </x:c>
      <x:c r="K3691" s="26" t="n">
        <x:v>0</x:v>
      </x:c>
      <x:c r="L3691" s="22" t="n">
        <x:v>3.2471999999999994</x:v>
      </x:c>
      <x:c r="M3691" t="n">
        <x:v>2016</x:v>
      </x:c>
      <x:c r="N3691" s="20" t="n">
        <x:v>42705</x:v>
      </x:c>
    </x:row>
    <x:row r="3692" ht="18" customHeight="1">
      <x:c r="A3692" t="str">
        <x:v>CA-2016-108567</x:v>
      </x:c>
      <x:c r="B3692" s="18" t="n">
        <x:v>42510</x:v>
      </x:c>
      <x:c r="C3692" t="str">
        <x:v>DB-13210</x:v>
      </x:c>
      <x:c r="D3692" t="str">
        <x:v>Dean Braden</x:v>
      </x:c>
      <x:c r="E3692" t="str">
        <x:v>Consumer</x:v>
      </x:c>
      <x:c r="F3692" t="str">
        <x:v>South</x:v>
      </x:c>
      <x:c r="G3692" t="str">
        <x:v>Office Supplies</x:v>
      </x:c>
      <x:c r="H3692" t="str">
        <x:v>Binders</x:v>
      </x:c>
      <x:c r="I3692" s="22" t="n">
        <x:v>2.6940000000000004</x:v>
      </x:c>
      <x:c r="J3692" s="24" t="n">
        <x:v>2</x:v>
      </x:c>
      <x:c r="K3692" s="26" t="n">
        <x:v>0.7</x:v>
      </x:c>
      <x:c r="L3692" s="22" t="n">
        <x:v>-2.245</x:v>
      </x:c>
      <x:c r="M3692" t="n">
        <x:v>2016</x:v>
      </x:c>
      <x:c r="N3692" s="20" t="n">
        <x:v>42491</x:v>
      </x:c>
    </x:row>
    <x:row r="3693" ht="18" customHeight="1">
      <x:c r="A3693" t="str">
        <x:v>CA-2017-140760</x:v>
      </x:c>
      <x:c r="B3693" s="18" t="n">
        <x:v>42888</x:v>
      </x:c>
      <x:c r="C3693" t="str">
        <x:v>DO-13435</x:v>
      </x:c>
      <x:c r="D3693" t="str">
        <x:v>Denny Ordway</x:v>
      </x:c>
      <x:c r="E3693" t="str">
        <x:v>Consumer</x:v>
      </x:c>
      <x:c r="F3693" t="str">
        <x:v>West</x:v>
      </x:c>
      <x:c r="G3693" t="str">
        <x:v>Office Supplies</x:v>
      </x:c>
      <x:c r="H3693" t="str">
        <x:v>Paper</x:v>
      </x:c>
      <x:c r="I3693" s="22" t="n">
        <x:v>25.344</x:v>
      </x:c>
      <x:c r="J3693" s="24" t="n">
        <x:v>6</x:v>
      </x:c>
      <x:c r="K3693" s="26" t="n">
        <x:v>0.2</x:v>
      </x:c>
      <x:c r="L3693" s="22" t="n">
        <x:v>7.92</x:v>
      </x:c>
      <x:c r="M3693" t="n">
        <x:v>2017</x:v>
      </x:c>
      <x:c r="N3693" s="20" t="n">
        <x:v>42887</x:v>
      </x:c>
    </x:row>
    <x:row r="3694" ht="18" customHeight="1">
      <x:c r="A3694" t="str">
        <x:v>CA-2017-140760</x:v>
      </x:c>
      <x:c r="B3694" s="18" t="n">
        <x:v>42888</x:v>
      </x:c>
      <x:c r="C3694" t="str">
        <x:v>DO-13435</x:v>
      </x:c>
      <x:c r="D3694" t="str">
        <x:v>Denny Ordway</x:v>
      </x:c>
      <x:c r="E3694" t="str">
        <x:v>Consumer</x:v>
      </x:c>
      <x:c r="F3694" t="str">
        <x:v>West</x:v>
      </x:c>
      <x:c r="G3694" t="str">
        <x:v>Office Supplies</x:v>
      </x:c>
      <x:c r="H3694" t="str">
        <x:v>Envelopes</x:v>
      </x:c>
      <x:c r="I3694" s="22" t="n">
        <x:v>43.92</x:v>
      </x:c>
      <x:c r="J3694" s="24" t="n">
        <x:v>5</x:v>
      </x:c>
      <x:c r="K3694" s="26" t="n">
        <x:v>0.2</x:v>
      </x:c>
      <x:c r="L3694" s="22" t="n">
        <x:v>15.921000000000003</x:v>
      </x:c>
      <x:c r="M3694" t="n">
        <x:v>2017</x:v>
      </x:c>
      <x:c r="N3694" s="20" t="n">
        <x:v>42887</x:v>
      </x:c>
    </x:row>
    <x:row r="3695" ht="18" customHeight="1">
      <x:c r="A3695" t="str">
        <x:v>US-2015-131359</x:v>
      </x:c>
      <x:c r="B3695" s="18" t="n">
        <x:v>42307</x:v>
      </x:c>
      <x:c r="C3695" t="str">
        <x:v>FA-14230</x:v>
      </x:c>
      <x:c r="D3695" t="str">
        <x:v>Frank Atkinson</x:v>
      </x:c>
      <x:c r="E3695" t="str">
        <x:v>Corporate</x:v>
      </x:c>
      <x:c r="F3695" t="str">
        <x:v>West</x:v>
      </x:c>
      <x:c r="G3695" t="str">
        <x:v>Technology</x:v>
      </x:c>
      <x:c r="H3695" t="str">
        <x:v>Machines</x:v>
      </x:c>
      <x:c r="I3695" s="22" t="n">
        <x:v>59.99400000000001</x:v>
      </x:c>
      <x:c r="J3695" s="24" t="n">
        <x:v>2</x:v>
      </x:c>
      <x:c r="K3695" s="26" t="n">
        <x:v>0.7</x:v>
      </x:c>
      <x:c r="L3695" s="22" t="n">
        <x:v>-45.995400000000004</x:v>
      </x:c>
      <x:c r="M3695" t="n">
        <x:v>2015</x:v>
      </x:c>
      <x:c r="N3695" s="20" t="n">
        <x:v>42278</x:v>
      </x:c>
    </x:row>
    <x:row r="3696" ht="18" customHeight="1">
      <x:c r="A3696" t="str">
        <x:v>US-2015-131359</x:v>
      </x:c>
      <x:c r="B3696" s="18" t="n">
        <x:v>42307</x:v>
      </x:c>
      <x:c r="C3696" t="str">
        <x:v>FA-14230</x:v>
      </x:c>
      <x:c r="D3696" t="str">
        <x:v>Frank Atkinson</x:v>
      </x:c>
      <x:c r="E3696" t="str">
        <x:v>Corporate</x:v>
      </x:c>
      <x:c r="F3696" t="str">
        <x:v>West</x:v>
      </x:c>
      <x:c r="G3696" t="str">
        <x:v>Technology</x:v>
      </x:c>
      <x:c r="H3696" t="str">
        <x:v>Copiers</x:v>
      </x:c>
      <x:c r="I3696" s="22" t="n">
        <x:v>439.992</x:v>
      </x:c>
      <x:c r="J3696" s="24" t="n">
        <x:v>1</x:v>
      </x:c>
      <x:c r="K3696" s="26" t="n">
        <x:v>0.2</x:v>
      </x:c>
      <x:c r="L3696" s="22" t="n">
        <x:v>164.997</x:v>
      </x:c>
      <x:c r="M3696" t="n">
        <x:v>2015</x:v>
      </x:c>
      <x:c r="N3696" s="20" t="n">
        <x:v>42278</x:v>
      </x:c>
    </x:row>
    <x:row r="3697" ht="18" customHeight="1">
      <x:c r="A3697" t="str">
        <x:v>US-2015-131359</x:v>
      </x:c>
      <x:c r="B3697" s="18" t="n">
        <x:v>42307</x:v>
      </x:c>
      <x:c r="C3697" t="str">
        <x:v>FA-14230</x:v>
      </x:c>
      <x:c r="D3697" t="str">
        <x:v>Frank Atkinson</x:v>
      </x:c>
      <x:c r="E3697" t="str">
        <x:v>Corporate</x:v>
      </x:c>
      <x:c r="F3697" t="str">
        <x:v>West</x:v>
      </x:c>
      <x:c r="G3697" t="str">
        <x:v>Technology</x:v>
      </x:c>
      <x:c r="H3697" t="str">
        <x:v>Phones</x:v>
      </x:c>
      <x:c r="I3697" s="22" t="n">
        <x:v>87.96</x:v>
      </x:c>
      <x:c r="J3697" s="24" t="n">
        <x:v>5</x:v>
      </x:c>
      <x:c r="K3697" s="26" t="n">
        <x:v>0.2</x:v>
      </x:c>
      <x:c r="L3697" s="22" t="n">
        <x:v>30.785999999999998</x:v>
      </x:c>
      <x:c r="M3697" t="n">
        <x:v>2015</x:v>
      </x:c>
      <x:c r="N3697" s="20" t="n">
        <x:v>42278</x:v>
      </x:c>
    </x:row>
    <x:row r="3698" ht="18" customHeight="1">
      <x:c r="A3698" t="str">
        <x:v>US-2015-131359</x:v>
      </x:c>
      <x:c r="B3698" s="18" t="n">
        <x:v>42307</x:v>
      </x:c>
      <x:c r="C3698" t="str">
        <x:v>FA-14230</x:v>
      </x:c>
      <x:c r="D3698" t="str">
        <x:v>Frank Atkinson</x:v>
      </x:c>
      <x:c r="E3698" t="str">
        <x:v>Corporate</x:v>
      </x:c>
      <x:c r="F3698" t="str">
        <x:v>West</x:v>
      </x:c>
      <x:c r="G3698" t="str">
        <x:v>Furniture</x:v>
      </x:c>
      <x:c r="H3698" t="str">
        <x:v>Furnishings</x:v>
      </x:c>
      <x:c r="I3698" s="22" t="n">
        <x:v>15.488</x:v>
      </x:c>
      <x:c r="J3698" s="24" t="n">
        <x:v>4</x:v>
      </x:c>
      <x:c r="K3698" s="26" t="n">
        <x:v>0.2</x:v>
      </x:c>
      <x:c r="L3698" s="22" t="n">
        <x:v>3.6784</x:v>
      </x:c>
      <x:c r="M3698" t="n">
        <x:v>2015</x:v>
      </x:c>
      <x:c r="N3698" s="20" t="n">
        <x:v>42278</x:v>
      </x:c>
    </x:row>
    <x:row r="3699" ht="18" customHeight="1">
      <x:c r="A3699" t="str">
        <x:v>CA-2016-142097</x:v>
      </x:c>
      <x:c r="B3699" s="18" t="n">
        <x:v>42658</x:v>
      </x:c>
      <x:c r="C3699" t="str">
        <x:v>QJ-19255</x:v>
      </x:c>
      <x:c r="D3699" t="str">
        <x:v>Quincy Jones</x:v>
      </x:c>
      <x:c r="E3699" t="str">
        <x:v>Corporate</x:v>
      </x:c>
      <x:c r="F3699" t="str">
        <x:v>South</x:v>
      </x:c>
      <x:c r="G3699" t="str">
        <x:v>Office Supplies</x:v>
      </x:c>
      <x:c r="H3699" t="str">
        <x:v>Binders</x:v>
      </x:c>
      <x:c r="I3699" s="22" t="n">
        <x:v>232.96</x:v>
      </x:c>
      <x:c r="J3699" s="24" t="n">
        <x:v>7</x:v>
      </x:c>
      <x:c r="K3699" s="26" t="n">
        <x:v>0</x:v>
      </x:c>
      <x:c r="L3699" s="22" t="n">
        <x:v>116.48</x:v>
      </x:c>
      <x:c r="M3699" t="n">
        <x:v>2016</x:v>
      </x:c>
      <x:c r="N3699" s="20" t="n">
        <x:v>42644</x:v>
      </x:c>
    </x:row>
    <x:row r="3700" ht="18" customHeight="1">
      <x:c r="A3700" t="str">
        <x:v>CA-2016-142097</x:v>
      </x:c>
      <x:c r="B3700" s="18" t="n">
        <x:v>42658</x:v>
      </x:c>
      <x:c r="C3700" t="str">
        <x:v>QJ-19255</x:v>
      </x:c>
      <x:c r="D3700" t="str">
        <x:v>Quincy Jones</x:v>
      </x:c>
      <x:c r="E3700" t="str">
        <x:v>Corporate</x:v>
      </x:c>
      <x:c r="F3700" t="str">
        <x:v>South</x:v>
      </x:c>
      <x:c r="G3700" t="str">
        <x:v>Office Supplies</x:v>
      </x:c>
      <x:c r="H3700" t="str">
        <x:v>Envelopes</x:v>
      </x:c>
      <x:c r="I3700" s="22" t="n">
        <x:v>66.53999999999999</x:v>
      </x:c>
      <x:c r="J3700" s="24" t="n">
        <x:v>6</x:v>
      </x:c>
      <x:c r="K3700" s="26" t="n">
        <x:v>0</x:v>
      </x:c>
      <x:c r="L3700" s="22" t="n">
        <x:v>32.6046</x:v>
      </x:c>
      <x:c r="M3700" t="n">
        <x:v>2016</x:v>
      </x:c>
      <x:c r="N3700" s="20" t="n">
        <x:v>42644</x:v>
      </x:c>
    </x:row>
    <x:row r="3701" ht="18" customHeight="1">
      <x:c r="A3701" t="str">
        <x:v>CA-2016-142097</x:v>
      </x:c>
      <x:c r="B3701" s="18" t="n">
        <x:v>42658</x:v>
      </x:c>
      <x:c r="C3701" t="str">
        <x:v>QJ-19255</x:v>
      </x:c>
      <x:c r="D3701" t="str">
        <x:v>Quincy Jones</x:v>
      </x:c>
      <x:c r="E3701" t="str">
        <x:v>Corporate</x:v>
      </x:c>
      <x:c r="F3701" t="str">
        <x:v>South</x:v>
      </x:c>
      <x:c r="G3701" t="str">
        <x:v>Office Supplies</x:v>
      </x:c>
      <x:c r="H3701" t="str">
        <x:v>Appliances</x:v>
      </x:c>
      <x:c r="I3701" s="22" t="n">
        <x:v>43.26</x:v>
      </x:c>
      <x:c r="J3701" s="24" t="n">
        <x:v>3</x:v>
      </x:c>
      <x:c r="K3701" s="26" t="n">
        <x:v>0</x:v>
      </x:c>
      <x:c r="L3701" s="22" t="n">
        <x:v>14.275799999999998</x:v>
      </x:c>
      <x:c r="M3701" t="n">
        <x:v>2016</x:v>
      </x:c>
      <x:c r="N3701" s="20" t="n">
        <x:v>42644</x:v>
      </x:c>
    </x:row>
    <x:row r="3702" ht="18" customHeight="1">
      <x:c r="A3702" t="str">
        <x:v>CA-2015-151680</x:v>
      </x:c>
      <x:c r="B3702" s="18" t="n">
        <x:v>42327</x:v>
      </x:c>
      <x:c r="C3702" t="str">
        <x:v>TC-21475</x:v>
      </x:c>
      <x:c r="D3702" t="str">
        <x:v>Tony Chapman</x:v>
      </x:c>
      <x:c r="E3702" t="str">
        <x:v>Home Office</x:v>
      </x:c>
      <x:c r="F3702" t="str">
        <x:v>West</x:v>
      </x:c>
      <x:c r="G3702" t="str">
        <x:v>Furniture</x:v>
      </x:c>
      <x:c r="H3702" t="str">
        <x:v>Furnishings</x:v>
      </x:c>
      <x:c r="I3702" s="22" t="n">
        <x:v>141.96</x:v>
      </x:c>
      <x:c r="J3702" s="24" t="n">
        <x:v>2</x:v>
      </x:c>
      <x:c r="K3702" s="26" t="n">
        <x:v>0</x:v>
      </x:c>
      <x:c r="L3702" s="22" t="n">
        <x:v>22.7136</x:v>
      </x:c>
      <x:c r="M3702" t="n">
        <x:v>2015</x:v>
      </x:c>
      <x:c r="N3702" s="20" t="n">
        <x:v>42309</x:v>
      </x:c>
    </x:row>
    <x:row r="3703" ht="18" customHeight="1">
      <x:c r="A3703" t="str">
        <x:v>CA-2014-140039</x:v>
      </x:c>
      <x:c r="B3703" s="18" t="n">
        <x:v>41895</x:v>
      </x:c>
      <x:c r="C3703" t="str">
        <x:v>ON-18715</x:v>
      </x:c>
      <x:c r="D3703" t="str">
        <x:v>Odella Nelson</x:v>
      </x:c>
      <x:c r="E3703" t="str">
        <x:v>Corporate</x:v>
      </x:c>
      <x:c r="F3703" t="str">
        <x:v>West</x:v>
      </x:c>
      <x:c r="G3703" t="str">
        <x:v>Office Supplies</x:v>
      </x:c>
      <x:c r="H3703" t="str">
        <x:v>Storage</x:v>
      </x:c>
      <x:c r="I3703" s="22" t="n">
        <x:v>79.4</x:v>
      </x:c>
      <x:c r="J3703" s="24" t="n">
        <x:v>5</x:v>
      </x:c>
      <x:c r="K3703" s="26" t="n">
        <x:v>0.2</x:v>
      </x:c>
      <x:c r="L3703" s="22" t="n">
        <x:v>5.955000000000005</x:v>
      </x:c>
      <x:c r="M3703" t="n">
        <x:v>2014</x:v>
      </x:c>
      <x:c r="N3703" s="20" t="n">
        <x:v>41883</x:v>
      </x:c>
    </x:row>
    <x:row r="3704" ht="18" customHeight="1">
      <x:c r="A3704" t="str">
        <x:v>CA-2017-160416</x:v>
      </x:c>
      <x:c r="B3704" s="18" t="n">
        <x:v>43052</x:v>
      </x:c>
      <x:c r="C3704" t="str">
        <x:v>AD-10180</x:v>
      </x:c>
      <x:c r="D3704" t="str">
        <x:v>Alan Dominguez</x:v>
      </x:c>
      <x:c r="E3704" t="str">
        <x:v>Home Office</x:v>
      </x:c>
      <x:c r="F3704" t="str">
        <x:v>East</x:v>
      </x:c>
      <x:c r="G3704" t="str">
        <x:v>Technology</x:v>
      </x:c>
      <x:c r="H3704" t="str">
        <x:v>Accessories</x:v>
      </x:c>
      <x:c r="I3704" s="22" t="n">
        <x:v>163.96</x:v>
      </x:c>
      <x:c r="J3704" s="24" t="n">
        <x:v>4</x:v>
      </x:c>
      <x:c r="K3704" s="26" t="n">
        <x:v>0</x:v>
      </x:c>
      <x:c r="L3704" s="22" t="n">
        <x:v>70.50280000000001</x:v>
      </x:c>
      <x:c r="M3704" t="n">
        <x:v>2017</x:v>
      </x:c>
      <x:c r="N3704" s="20" t="n">
        <x:v>43040</x:v>
      </x:c>
    </x:row>
    <x:row r="3705" ht="18" customHeight="1">
      <x:c r="A3705" t="str">
        <x:v>CA-2017-169411</x:v>
      </x:c>
      <x:c r="B3705" s="18" t="n">
        <x:v>43093</x:v>
      </x:c>
      <x:c r="C3705" t="str">
        <x:v>AC-10615</x:v>
      </x:c>
      <x:c r="D3705" t="str">
        <x:v>Ann Chong</x:v>
      </x:c>
      <x:c r="E3705" t="str">
        <x:v>Corporate</x:v>
      </x:c>
      <x:c r="F3705" t="str">
        <x:v>East</x:v>
      </x:c>
      <x:c r="G3705" t="str">
        <x:v>Furniture</x:v>
      </x:c>
      <x:c r="H3705" t="str">
        <x:v>Furnishings</x:v>
      </x:c>
      <x:c r="I3705" s="22" t="n">
        <x:v>37.93</x:v>
      </x:c>
      <x:c r="J3705" s="24" t="n">
        <x:v>1</x:v>
      </x:c>
      <x:c r="K3705" s="26" t="n">
        <x:v>0</x:v>
      </x:c>
      <x:c r="L3705" s="22" t="n">
        <x:v>6.827399999999997</x:v>
      </x:c>
      <x:c r="M3705" t="n">
        <x:v>2017</x:v>
      </x:c>
      <x:c r="N3705" s="20" t="n">
        <x:v>43070</x:v>
      </x:c>
    </x:row>
    <x:row r="3706" ht="18" customHeight="1">
      <x:c r="A3706" t="str">
        <x:v>CA-2016-126543</x:v>
      </x:c>
      <x:c r="B3706" s="18" t="n">
        <x:v>42378</x:v>
      </x:c>
      <x:c r="C3706" t="str">
        <x:v>MF-17665</x:v>
      </x:c>
      <x:c r="D3706" t="str">
        <x:v>Maureen Fritzler</x:v>
      </x:c>
      <x:c r="E3706" t="str">
        <x:v>Corporate</x:v>
      </x:c>
      <x:c r="F3706" t="str">
        <x:v>East</x:v>
      </x:c>
      <x:c r="G3706" t="str">
        <x:v>Furniture</x:v>
      </x:c>
      <x:c r="H3706" t="str">
        <x:v>Furnishings</x:v>
      </x:c>
      <x:c r="I3706" s="22" t="n">
        <x:v>15.168000000000001</x:v>
      </x:c>
      <x:c r="J3706" s="24" t="n">
        <x:v>2</x:v>
      </x:c>
      <x:c r="K3706" s="26" t="n">
        <x:v>0.2</x:v>
      </x:c>
      <x:c r="L3706" s="22" t="n">
        <x:v>3.792000000000001</x:v>
      </x:c>
      <x:c r="M3706" t="n">
        <x:v>2016</x:v>
      </x:c>
      <x:c r="N3706" s="20" t="n">
        <x:v>42370</x:v>
      </x:c>
    </x:row>
    <x:row r="3707" ht="18" customHeight="1">
      <x:c r="A3707" t="str">
        <x:v>CA-2015-104941</x:v>
      </x:c>
      <x:c r="B3707" s="18" t="n">
        <x:v>42168</x:v>
      </x:c>
      <x:c r="C3707" t="str">
        <x:v>DH-13075</x:v>
      </x:c>
      <x:c r="D3707" t="str">
        <x:v>Dave Hallsten</x:v>
      </x:c>
      <x:c r="E3707" t="str">
        <x:v>Corporate</x:v>
      </x:c>
      <x:c r="F3707" t="str">
        <x:v>South</x:v>
      </x:c>
      <x:c r="G3707" t="str">
        <x:v>Office Supplies</x:v>
      </x:c>
      <x:c r="H3707" t="str">
        <x:v>Art</x:v>
      </x:c>
      <x:c r="I3707" s="22" t="n">
        <x:v>24.78</x:v>
      </x:c>
      <x:c r="J3707" s="24" t="n">
        <x:v>6</x:v>
      </x:c>
      <x:c r="K3707" s="26" t="n">
        <x:v>0</x:v>
      </x:c>
      <x:c r="L3707" s="22" t="n">
        <x:v>6.938400000000001</x:v>
      </x:c>
      <x:c r="M3707" t="n">
        <x:v>2015</x:v>
      </x:c>
      <x:c r="N3707" s="20" t="n">
        <x:v>42156</x:v>
      </x:c>
    </x:row>
    <x:row r="3708" ht="18" customHeight="1">
      <x:c r="A3708" t="str">
        <x:v>CA-2015-104941</x:v>
      </x:c>
      <x:c r="B3708" s="18" t="n">
        <x:v>42168</x:v>
      </x:c>
      <x:c r="C3708" t="str">
        <x:v>DH-13075</x:v>
      </x:c>
      <x:c r="D3708" t="str">
        <x:v>Dave Hallsten</x:v>
      </x:c>
      <x:c r="E3708" t="str">
        <x:v>Corporate</x:v>
      </x:c>
      <x:c r="F3708" t="str">
        <x:v>South</x:v>
      </x:c>
      <x:c r="G3708" t="str">
        <x:v>Office Supplies</x:v>
      </x:c>
      <x:c r="H3708" t="str">
        <x:v>Binders</x:v>
      </x:c>
      <x:c r="I3708" s="22" t="n">
        <x:v>19.14</x:v>
      </x:c>
      <x:c r="J3708" s="24" t="n">
        <x:v>3</x:v>
      </x:c>
      <x:c r="K3708" s="26" t="n">
        <x:v>0</x:v>
      </x:c>
      <x:c r="L3708" s="22" t="n">
        <x:v>8.8044</x:v>
      </x:c>
      <x:c r="M3708" t="n">
        <x:v>2015</x:v>
      </x:c>
      <x:c r="N3708" s="20" t="n">
        <x:v>42156</x:v>
      </x:c>
    </x:row>
    <x:row r="3709" ht="18" customHeight="1">
      <x:c r="A3709" t="str">
        <x:v>CA-2015-104941</x:v>
      </x:c>
      <x:c r="B3709" s="18" t="n">
        <x:v>42168</x:v>
      </x:c>
      <x:c r="C3709" t="str">
        <x:v>DH-13075</x:v>
      </x:c>
      <x:c r="D3709" t="str">
        <x:v>Dave Hallsten</x:v>
      </x:c>
      <x:c r="E3709" t="str">
        <x:v>Corporate</x:v>
      </x:c>
      <x:c r="F3709" t="str">
        <x:v>South</x:v>
      </x:c>
      <x:c r="G3709" t="str">
        <x:v>Technology</x:v>
      </x:c>
      <x:c r="H3709" t="str">
        <x:v>Copiers</x:v>
      </x:c>
      <x:c r="I3709" s="22" t="n">
        <x:v>899.97</x:v>
      </x:c>
      <x:c r="J3709" s="24" t="n">
        <x:v>3</x:v>
      </x:c>
      <x:c r="K3709" s="26" t="n">
        <x:v>0</x:v>
      </x:c>
      <x:c r="L3709" s="22" t="n">
        <x:v>314.9895</x:v>
      </x:c>
      <x:c r="M3709" t="n">
        <x:v>2015</x:v>
      </x:c>
      <x:c r="N3709" s="20" t="n">
        <x:v>42156</x:v>
      </x:c>
    </x:row>
    <x:row r="3710" ht="18" customHeight="1">
      <x:c r="A3710" t="str">
        <x:v>CA-2015-104941</x:v>
      </x:c>
      <x:c r="B3710" s="18" t="n">
        <x:v>42168</x:v>
      </x:c>
      <x:c r="C3710" t="str">
        <x:v>DH-13075</x:v>
      </x:c>
      <x:c r="D3710" t="str">
        <x:v>Dave Hallsten</x:v>
      </x:c>
      <x:c r="E3710" t="str">
        <x:v>Corporate</x:v>
      </x:c>
      <x:c r="F3710" t="str">
        <x:v>South</x:v>
      </x:c>
      <x:c r="G3710" t="str">
        <x:v>Office Supplies</x:v>
      </x:c>
      <x:c r="H3710" t="str">
        <x:v>Paper</x:v>
      </x:c>
      <x:c r="I3710" s="22" t="n">
        <x:v>32.400000000000006</x:v>
      </x:c>
      <x:c r="J3710" s="24" t="n">
        <x:v>5</x:v>
      </x:c>
      <x:c r="K3710" s="26" t="n">
        <x:v>0</x:v>
      </x:c>
      <x:c r="L3710" s="22" t="n">
        <x:v>15.552000000000001</x:v>
      </x:c>
      <x:c r="M3710" t="n">
        <x:v>2015</x:v>
      </x:c>
      <x:c r="N3710" s="20" t="n">
        <x:v>42156</x:v>
      </x:c>
    </x:row>
    <x:row r="3711" ht="18" customHeight="1">
      <x:c r="A3711" t="str">
        <x:v>CA-2017-160087</x:v>
      </x:c>
      <x:c r="B3711" s="18" t="n">
        <x:v>42812</x:v>
      </x:c>
      <x:c r="C3711" t="str">
        <x:v>EN-13780</x:v>
      </x:c>
      <x:c r="D3711" t="str">
        <x:v>Edward Nazzal</x:v>
      </x:c>
      <x:c r="E3711" t="str">
        <x:v>Consumer</x:v>
      </x:c>
      <x:c r="F3711" t="str">
        <x:v>Central</x:v>
      </x:c>
      <x:c r="G3711" t="str">
        <x:v>Office Supplies</x:v>
      </x:c>
      <x:c r="H3711" t="str">
        <x:v>Art</x:v>
      </x:c>
      <x:c r="I3711" s="22" t="n">
        <x:v>23.832</x:v>
      </x:c>
      <x:c r="J3711" s="24" t="n">
        <x:v>3</x:v>
      </x:c>
      <x:c r="K3711" s="26" t="n">
        <x:v>0.2</x:v>
      </x:c>
      <x:c r="L3711" s="22" t="n">
        <x:v>6.553800000000001</x:v>
      </x:c>
      <x:c r="M3711" t="n">
        <x:v>2017</x:v>
      </x:c>
      <x:c r="N3711" s="20" t="n">
        <x:v>42795</x:v>
      </x:c>
    </x:row>
    <x:row r="3712" ht="18" customHeight="1">
      <x:c r="A3712" t="str">
        <x:v>CA-2014-120544</x:v>
      </x:c>
      <x:c r="B3712" s="18" t="n">
        <x:v>41966</x:v>
      </x:c>
      <x:c r="C3712" t="str">
        <x:v>SS-20140</x:v>
      </x:c>
      <x:c r="D3712" t="str">
        <x:v>Saphhira Shifley</x:v>
      </x:c>
      <x:c r="E3712" t="str">
        <x:v>Corporate</x:v>
      </x:c>
      <x:c r="F3712" t="str">
        <x:v>Central</x:v>
      </x:c>
      <x:c r="G3712" t="str">
        <x:v>Furniture</x:v>
      </x:c>
      <x:c r="H3712" t="str">
        <x:v>Furnishings</x:v>
      </x:c>
      <x:c r="I3712" s="22" t="n">
        <x:v>6.368</x:v>
      </x:c>
      <x:c r="J3712" s="24" t="n">
        <x:v>2</x:v>
      </x:c>
      <x:c r="K3712" s="26" t="n">
        <x:v>0.6</x:v>
      </x:c>
      <x:c r="L3712" s="22" t="n">
        <x:v>-2.5471999999999984</x:v>
      </x:c>
      <x:c r="M3712" t="n">
        <x:v>2014</x:v>
      </x:c>
      <x:c r="N3712" s="20" t="n">
        <x:v>41944</x:v>
      </x:c>
    </x:row>
    <x:row r="3713" ht="18" customHeight="1">
      <x:c r="A3713" t="str">
        <x:v>CA-2014-120544</x:v>
      </x:c>
      <x:c r="B3713" s="18" t="n">
        <x:v>41966</x:v>
      </x:c>
      <x:c r="C3713" t="str">
        <x:v>SS-20140</x:v>
      </x:c>
      <x:c r="D3713" t="str">
        <x:v>Saphhira Shifley</x:v>
      </x:c>
      <x:c r="E3713" t="str">
        <x:v>Corporate</x:v>
      </x:c>
      <x:c r="F3713" t="str">
        <x:v>Central</x:v>
      </x:c>
      <x:c r="G3713" t="str">
        <x:v>Office Supplies</x:v>
      </x:c>
      <x:c r="H3713" t="str">
        <x:v>Appliances</x:v>
      </x:c>
      <x:c r="I3713" s="22" t="n">
        <x:v>34.175999999999995</x:v>
      </x:c>
      <x:c r="J3713" s="24" t="n">
        <x:v>3</x:v>
      </x:c>
      <x:c r="K3713" s="26" t="n">
        <x:v>0.8</x:v>
      </x:c>
      <x:c r="L3713" s="22" t="n">
        <x:v>-87.14880000000002</x:v>
      </x:c>
      <x:c r="M3713" t="n">
        <x:v>2014</x:v>
      </x:c>
      <x:c r="N3713" s="20" t="n">
        <x:v>41944</x:v>
      </x:c>
    </x:row>
    <x:row r="3714" ht="18" customHeight="1">
      <x:c r="A3714" t="str">
        <x:v>CA-2014-120544</x:v>
      </x:c>
      <x:c r="B3714" s="18" t="n">
        <x:v>41966</x:v>
      </x:c>
      <x:c r="C3714" t="str">
        <x:v>SS-20140</x:v>
      </x:c>
      <x:c r="D3714" t="str">
        <x:v>Saphhira Shifley</x:v>
      </x:c>
      <x:c r="E3714" t="str">
        <x:v>Corporate</x:v>
      </x:c>
      <x:c r="F3714" t="str">
        <x:v>Central</x:v>
      </x:c>
      <x:c r="G3714" t="str">
        <x:v>Technology</x:v>
      </x:c>
      <x:c r="H3714" t="str">
        <x:v>Accessories</x:v>
      </x:c>
      <x:c r="I3714" s="22" t="n">
        <x:v>5.5440000000000005</x:v>
      </x:c>
      <x:c r="J3714" s="24" t="n">
        <x:v>7</x:v>
      </x:c>
      <x:c r="K3714" s="26" t="n">
        <x:v>0.2</x:v>
      </x:c>
      <x:c r="L3714" s="22" t="n">
        <x:v>1.6632000000000007</x:v>
      </x:c>
      <x:c r="M3714" t="n">
        <x:v>2014</x:v>
      </x:c>
      <x:c r="N3714" s="20" t="n">
        <x:v>41944</x:v>
      </x:c>
    </x:row>
    <x:row r="3715" ht="18" customHeight="1">
      <x:c r="A3715" t="str">
        <x:v>CA-2017-113670</x:v>
      </x:c>
      <x:c r="B3715" s="18" t="n">
        <x:v>43023</x:v>
      </x:c>
      <x:c r="C3715" t="str">
        <x:v>RS-19765</x:v>
      </x:c>
      <x:c r="D3715" t="str">
        <x:v>Roland Schwarz</x:v>
      </x:c>
      <x:c r="E3715" t="str">
        <x:v>Corporate</x:v>
      </x:c>
      <x:c r="F3715" t="str">
        <x:v>West</x:v>
      </x:c>
      <x:c r="G3715" t="str">
        <x:v>Furniture</x:v>
      </x:c>
      <x:c r="H3715" t="str">
        <x:v>Tables</x:v>
      </x:c>
      <x:c r="I3715" s="22" t="n">
        <x:v>510.24</x:v>
      </x:c>
      <x:c r="J3715" s="24" t="n">
        <x:v>3</x:v>
      </x:c>
      <x:c r="K3715" s="26" t="n">
        <x:v>0.2</x:v>
      </x:c>
      <x:c r="L3715" s="22" t="n">
        <x:v>6.3779999999999575</x:v>
      </x:c>
      <x:c r="M3715" t="n">
        <x:v>2017</x:v>
      </x:c>
      <x:c r="N3715" s="20" t="n">
        <x:v>43009</x:v>
      </x:c>
    </x:row>
    <x:row r="3716" ht="18" customHeight="1">
      <x:c r="A3716" t="str">
        <x:v>CA-2017-113670</x:v>
      </x:c>
      <x:c r="B3716" s="18" t="n">
        <x:v>43023</x:v>
      </x:c>
      <x:c r="C3716" t="str">
        <x:v>RS-19765</x:v>
      </x:c>
      <x:c r="D3716" t="str">
        <x:v>Roland Schwarz</x:v>
      </x:c>
      <x:c r="E3716" t="str">
        <x:v>Corporate</x:v>
      </x:c>
      <x:c r="F3716" t="str">
        <x:v>West</x:v>
      </x:c>
      <x:c r="G3716" t="str">
        <x:v>Office Supplies</x:v>
      </x:c>
      <x:c r="H3716" t="str">
        <x:v>Paper</x:v>
      </x:c>
      <x:c r="I3716" s="22" t="n">
        <x:v>204.95000000000002</x:v>
      </x:c>
      <x:c r="J3716" s="24" t="n">
        <x:v>5</x:v>
      </x:c>
      <x:c r="K3716" s="26" t="n">
        <x:v>0</x:v>
      </x:c>
      <x:c r="L3716" s="22" t="n">
        <x:v>100.4255</x:v>
      </x:c>
      <x:c r="M3716" t="n">
        <x:v>2017</x:v>
      </x:c>
      <x:c r="N3716" s="20" t="n">
        <x:v>43009</x:v>
      </x:c>
    </x:row>
    <x:row r="3717" ht="18" customHeight="1">
      <x:c r="A3717" t="str">
        <x:v>CA-2017-166198</x:v>
      </x:c>
      <x:c r="B3717" s="18" t="n">
        <x:v>42846</x:v>
      </x:c>
      <x:c r="C3717" t="str">
        <x:v>JW-15955</x:v>
      </x:c>
      <x:c r="D3717" t="str">
        <x:v>Joni Wasserman</x:v>
      </x:c>
      <x:c r="E3717" t="str">
        <x:v>Consumer</x:v>
      </x:c>
      <x:c r="F3717" t="str">
        <x:v>West</x:v>
      </x:c>
      <x:c r="G3717" t="str">
        <x:v>Technology</x:v>
      </x:c>
      <x:c r="H3717" t="str">
        <x:v>Accessories</x:v>
      </x:c>
      <x:c r="I3717" s="22" t="n">
        <x:v>11.54</x:v>
      </x:c>
      <x:c r="J3717" s="24" t="n">
        <x:v>1</x:v>
      </x:c>
      <x:c r="K3717" s="26" t="n">
        <x:v>0</x:v>
      </x:c>
      <x:c r="L3717" s="22" t="n">
        <x:v>3.4619999999999997</x:v>
      </x:c>
      <x:c r="M3717" t="n">
        <x:v>2017</x:v>
      </x:c>
      <x:c r="N3717" s="20" t="n">
        <x:v>42826</x:v>
      </x:c>
    </x:row>
    <x:row r="3718" ht="18" customHeight="1">
      <x:c r="A3718" t="str">
        <x:v>CA-2017-166198</x:v>
      </x:c>
      <x:c r="B3718" s="18" t="n">
        <x:v>42846</x:v>
      </x:c>
      <x:c r="C3718" t="str">
        <x:v>JW-15955</x:v>
      </x:c>
      <x:c r="D3718" t="str">
        <x:v>Joni Wasserman</x:v>
      </x:c>
      <x:c r="E3718" t="str">
        <x:v>Consumer</x:v>
      </x:c>
      <x:c r="F3718" t="str">
        <x:v>West</x:v>
      </x:c>
      <x:c r="G3718" t="str">
        <x:v>Furniture</x:v>
      </x:c>
      <x:c r="H3718" t="str">
        <x:v>Furnishings</x:v>
      </x:c>
      <x:c r="I3718" s="22" t="n">
        <x:v>162.60000000000002</x:v>
      </x:c>
      <x:c r="J3718" s="24" t="n">
        <x:v>3</x:v>
      </x:c>
      <x:c r="K3718" s="26" t="n">
        <x:v>0</x:v>
      </x:c>
      <x:c r="L3718" s="22" t="n">
        <x:v>34.145999999999994</x:v>
      </x:c>
      <x:c r="M3718" t="n">
        <x:v>2017</x:v>
      </x:c>
      <x:c r="N3718" s="20" t="n">
        <x:v>42826</x:v>
      </x:c>
    </x:row>
    <x:row r="3719" ht="18" customHeight="1">
      <x:c r="A3719" t="str">
        <x:v>CA-2014-135608</x:v>
      </x:c>
      <x:c r="B3719" s="18" t="n">
        <x:v>41981</x:v>
      </x:c>
      <x:c r="C3719" t="str">
        <x:v>JK-15625</x:v>
      </x:c>
      <x:c r="D3719" t="str">
        <x:v>Jim Karlsson</x:v>
      </x:c>
      <x:c r="E3719" t="str">
        <x:v>Consumer</x:v>
      </x:c>
      <x:c r="F3719" t="str">
        <x:v>West</x:v>
      </x:c>
      <x:c r="G3719" t="str">
        <x:v>Office Supplies</x:v>
      </x:c>
      <x:c r="H3719" t="str">
        <x:v>Paper</x:v>
      </x:c>
      <x:c r="I3719" s="22" t="n">
        <x:v>45.68</x:v>
      </x:c>
      <x:c r="J3719" s="24" t="n">
        <x:v>2</x:v>
      </x:c>
      <x:c r="K3719" s="26" t="n">
        <x:v>0</x:v>
      </x:c>
      <x:c r="L3719" s="22" t="n">
        <x:v>21.0128</x:v>
      </x:c>
      <x:c r="M3719" t="n">
        <x:v>2014</x:v>
      </x:c>
      <x:c r="N3719" s="20" t="n">
        <x:v>41974</x:v>
      </x:c>
    </x:row>
    <x:row r="3720" ht="18" customHeight="1">
      <x:c r="A3720" t="str">
        <x:v>CA-2014-135608</x:v>
      </x:c>
      <x:c r="B3720" s="18" t="n">
        <x:v>41981</x:v>
      </x:c>
      <x:c r="C3720" t="str">
        <x:v>JK-15625</x:v>
      </x:c>
      <x:c r="D3720" t="str">
        <x:v>Jim Karlsson</x:v>
      </x:c>
      <x:c r="E3720" t="str">
        <x:v>Consumer</x:v>
      </x:c>
      <x:c r="F3720" t="str">
        <x:v>West</x:v>
      </x:c>
      <x:c r="G3720" t="str">
        <x:v>Furniture</x:v>
      </x:c>
      <x:c r="H3720" t="str">
        <x:v>Chairs</x:v>
      </x:c>
      <x:c r="I3720" s="22" t="n">
        <x:v>603.92</x:v>
      </x:c>
      <x:c r="J3720" s="24" t="n">
        <x:v>5</x:v>
      </x:c>
      <x:c r="K3720" s="26" t="n">
        <x:v>0.2</x:v>
      </x:c>
      <x:c r="L3720" s="22" t="n">
        <x:v>45.29400000000001</x:v>
      </x:c>
      <x:c r="M3720" t="n">
        <x:v>2014</x:v>
      </x:c>
      <x:c r="N3720" s="20" t="n">
        <x:v>41974</x:v>
      </x:c>
    </x:row>
    <x:row r="3721" ht="18" customHeight="1">
      <x:c r="A3721" t="str">
        <x:v>CA-2017-144568</x:v>
      </x:c>
      <x:c r="B3721" s="18" t="n">
        <x:v>42884</x:v>
      </x:c>
      <x:c r="C3721" t="str">
        <x:v>JO-15550</x:v>
      </x:c>
      <x:c r="D3721" t="str">
        <x:v>Jesus Ocampo</x:v>
      </x:c>
      <x:c r="E3721" t="str">
        <x:v>Home Office</x:v>
      </x:c>
      <x:c r="F3721" t="str">
        <x:v>Central</x:v>
      </x:c>
      <x:c r="G3721" t="str">
        <x:v>Office Supplies</x:v>
      </x:c>
      <x:c r="H3721" t="str">
        <x:v>Fasteners</x:v>
      </x:c>
      <x:c r="I3721" s="22" t="n">
        <x:v>23.55</x:v>
      </x:c>
      <x:c r="J3721" s="24" t="n">
        <x:v>5</x:v>
      </x:c>
      <x:c r="K3721" s="26" t="n">
        <x:v>0</x:v>
      </x:c>
      <x:c r="L3721" s="22" t="n">
        <x:v>1.1775000000000002</x:v>
      </x:c>
      <x:c r="M3721" t="n">
        <x:v>2017</x:v>
      </x:c>
      <x:c r="N3721" s="20" t="n">
        <x:v>42856</x:v>
      </x:c>
    </x:row>
    <x:row r="3722" ht="18" customHeight="1">
      <x:c r="A3722" t="str">
        <x:v>CA-2016-142370</x:v>
      </x:c>
      <x:c r="B3722" s="18" t="n">
        <x:v>42632</x:v>
      </x:c>
      <x:c r="C3722" t="str">
        <x:v>TP-21130</x:v>
      </x:c>
      <x:c r="D3722" t="str">
        <x:v>Theone Pippenger</x:v>
      </x:c>
      <x:c r="E3722" t="str">
        <x:v>Consumer</x:v>
      </x:c>
      <x:c r="F3722" t="str">
        <x:v>South</x:v>
      </x:c>
      <x:c r="G3722" t="str">
        <x:v>Office Supplies</x:v>
      </x:c>
      <x:c r="H3722" t="str">
        <x:v>Supplies</x:v>
      </x:c>
      <x:c r="I3722" s="22" t="n">
        <x:v>5.04</x:v>
      </x:c>
      <x:c r="J3722" s="24" t="n">
        <x:v>2</x:v>
      </x:c>
      <x:c r="K3722" s="26" t="n">
        <x:v>0</x:v>
      </x:c>
      <x:c r="L3722" s="22" t="n">
        <x:v>0.15120000000000022</x:v>
      </x:c>
      <x:c r="M3722" t="n">
        <x:v>2016</x:v>
      </x:c>
      <x:c r="N3722" s="20" t="n">
        <x:v>42614</x:v>
      </x:c>
    </x:row>
    <x:row r="3723" ht="18" customHeight="1">
      <x:c r="A3723" t="str">
        <x:v>CA-2016-142370</x:v>
      </x:c>
      <x:c r="B3723" s="18" t="n">
        <x:v>42632</x:v>
      </x:c>
      <x:c r="C3723" t="str">
        <x:v>TP-21130</x:v>
      </x:c>
      <x:c r="D3723" t="str">
        <x:v>Theone Pippenger</x:v>
      </x:c>
      <x:c r="E3723" t="str">
        <x:v>Consumer</x:v>
      </x:c>
      <x:c r="F3723" t="str">
        <x:v>South</x:v>
      </x:c>
      <x:c r="G3723" t="str">
        <x:v>Technology</x:v>
      </x:c>
      <x:c r="H3723" t="str">
        <x:v>Accessories</x:v>
      </x:c>
      <x:c r="I3723" s="22" t="n">
        <x:v>249.95000000000002</x:v>
      </x:c>
      <x:c r="J3723" s="24" t="n">
        <x:v>5</x:v>
      </x:c>
      <x:c r="K3723" s="26" t="n">
        <x:v>0</x:v>
      </x:c>
      <x:c r="L3723" s="22" t="n">
        <x:v>107.47850000000001</x:v>
      </x:c>
      <x:c r="M3723" t="n">
        <x:v>2016</x:v>
      </x:c>
      <x:c r="N3723" s="20" t="n">
        <x:v>42614</x:v>
      </x:c>
    </x:row>
    <x:row r="3724" ht="18" customHeight="1">
      <x:c r="A3724" t="str">
        <x:v>CA-2016-105900</x:v>
      </x:c>
      <x:c r="B3724" s="18" t="n">
        <x:v>42630</x:v>
      </x:c>
      <x:c r="C3724" t="str">
        <x:v>BS-11590</x:v>
      </x:c>
      <x:c r="D3724" t="str">
        <x:v>Brendan Sweed</x:v>
      </x:c>
      <x:c r="E3724" t="str">
        <x:v>Corporate</x:v>
      </x:c>
      <x:c r="F3724" t="str">
        <x:v>Central</x:v>
      </x:c>
      <x:c r="G3724" t="str">
        <x:v>Office Supplies</x:v>
      </x:c>
      <x:c r="H3724" t="str">
        <x:v>Art</x:v>
      </x:c>
      <x:c r="I3724" s="22" t="n">
        <x:v>33.4</x:v>
      </x:c>
      <x:c r="J3724" s="24" t="n">
        <x:v>5</x:v>
      </x:c>
      <x:c r="K3724" s="26" t="n">
        <x:v>0</x:v>
      </x:c>
      <x:c r="L3724" s="22" t="n">
        <x:v>12.357999999999997</x:v>
      </x:c>
      <x:c r="M3724" t="n">
        <x:v>2016</x:v>
      </x:c>
      <x:c r="N3724" s="20" t="n">
        <x:v>42614</x:v>
      </x:c>
    </x:row>
    <x:row r="3725" ht="18" customHeight="1">
      <x:c r="A3725" t="str">
        <x:v>CA-2016-151155</x:v>
      </x:c>
      <x:c r="B3725" s="18" t="n">
        <x:v>42724</x:v>
      </x:c>
      <x:c r="C3725" t="str">
        <x:v>AB-10255</x:v>
      </x:c>
      <x:c r="D3725" t="str">
        <x:v>Alejandro Ballentine</x:v>
      </x:c>
      <x:c r="E3725" t="str">
        <x:v>Home Office</x:v>
      </x:c>
      <x:c r="F3725" t="str">
        <x:v>South</x:v>
      </x:c>
      <x:c r="G3725" t="str">
        <x:v>Furniture</x:v>
      </x:c>
      <x:c r="H3725" t="str">
        <x:v>Furnishings</x:v>
      </x:c>
      <x:c r="I3725" s="22" t="n">
        <x:v>18.92</x:v>
      </x:c>
      <x:c r="J3725" s="24" t="n">
        <x:v>4</x:v>
      </x:c>
      <x:c r="K3725" s="26" t="n">
        <x:v>0</x:v>
      </x:c>
      <x:c r="L3725" s="22" t="n">
        <x:v>7.378800000000002</x:v>
      </x:c>
      <x:c r="M3725" t="n">
        <x:v>2016</x:v>
      </x:c>
      <x:c r="N3725" s="20" t="n">
        <x:v>42705</x:v>
      </x:c>
    </x:row>
    <x:row r="3726" ht="18" customHeight="1">
      <x:c r="A3726" t="str">
        <x:v>CA-2016-151155</x:v>
      </x:c>
      <x:c r="B3726" s="18" t="n">
        <x:v>42724</x:v>
      </x:c>
      <x:c r="C3726" t="str">
        <x:v>AB-10255</x:v>
      </x:c>
      <x:c r="D3726" t="str">
        <x:v>Alejandro Ballentine</x:v>
      </x:c>
      <x:c r="E3726" t="str">
        <x:v>Home Office</x:v>
      </x:c>
      <x:c r="F3726" t="str">
        <x:v>South</x:v>
      </x:c>
      <x:c r="G3726" t="str">
        <x:v>Office Supplies</x:v>
      </x:c>
      <x:c r="H3726" t="str">
        <x:v>Binders</x:v>
      </x:c>
      <x:c r="I3726" s="22" t="n">
        <x:v>15.42</x:v>
      </x:c>
      <x:c r="J3726" s="24" t="n">
        <x:v>2</x:v>
      </x:c>
      <x:c r="K3726" s="26" t="n">
        <x:v>0</x:v>
      </x:c>
      <x:c r="L3726" s="22" t="n">
        <x:v>6.939</x:v>
      </x:c>
      <x:c r="M3726" t="n">
        <x:v>2016</x:v>
      </x:c>
      <x:c r="N3726" s="20" t="n">
        <x:v>42705</x:v>
      </x:c>
    </x:row>
    <x:row r="3727" ht="18" customHeight="1">
      <x:c r="A3727" t="str">
        <x:v>CA-2017-144036</x:v>
      </x:c>
      <x:c r="B3727" s="18" t="n">
        <x:v>43061</x:v>
      </x:c>
      <x:c r="C3727" t="str">
        <x:v>FO-14305</x:v>
      </x:c>
      <x:c r="D3727" t="str">
        <x:v>Frank Olsen</x:v>
      </x:c>
      <x:c r="E3727" t="str">
        <x:v>Consumer</x:v>
      </x:c>
      <x:c r="F3727" t="str">
        <x:v>Central</x:v>
      </x:c>
      <x:c r="G3727" t="str">
        <x:v>Office Supplies</x:v>
      </x:c>
      <x:c r="H3727" t="str">
        <x:v>Art</x:v>
      </x:c>
      <x:c r="I3727" s="22" t="n">
        <x:v>35.712</x:v>
      </x:c>
      <x:c r="J3727" s="24" t="n">
        <x:v>8</x:v>
      </x:c>
      <x:c r="K3727" s="26" t="n">
        <x:v>0.2</x:v>
      </x:c>
      <x:c r="L3727" s="22" t="n">
        <x:v>2.2319999999999958</x:v>
      </x:c>
      <x:c r="M3727" t="n">
        <x:v>2017</x:v>
      </x:c>
      <x:c r="N3727" s="20" t="n">
        <x:v>43040</x:v>
      </x:c>
    </x:row>
    <x:row r="3728" ht="18" customHeight="1">
      <x:c r="A3728" t="str">
        <x:v>US-2014-169789</x:v>
      </x:c>
      <x:c r="B3728" s="18" t="n">
        <x:v>42003</x:v>
      </x:c>
      <x:c r="C3728" t="str">
        <x:v>MF-17665</x:v>
      </x:c>
      <x:c r="D3728" t="str">
        <x:v>Maureen Fritzler</x:v>
      </x:c>
      <x:c r="E3728" t="str">
        <x:v>Corporate</x:v>
      </x:c>
      <x:c r="F3728" t="str">
        <x:v>West</x:v>
      </x:c>
      <x:c r="G3728" t="str">
        <x:v>Office Supplies</x:v>
      </x:c>
      <x:c r="H3728" t="str">
        <x:v>Binders</x:v>
      </x:c>
      <x:c r="I3728" s="22" t="n">
        <x:v>551.9850000000001</x:v>
      </x:c>
      <x:c r="J3728" s="24" t="n">
        <x:v>5</x:v>
      </x:c>
      <x:c r="K3728" s="26" t="n">
        <x:v>0.7</x:v>
      </x:c>
      <x:c r="L3728" s="22" t="n">
        <x:v>-459.9875000000002</x:v>
      </x:c>
      <x:c r="M3728" t="n">
        <x:v>2014</x:v>
      </x:c>
      <x:c r="N3728" s="20" t="n">
        <x:v>41974</x:v>
      </x:c>
    </x:row>
    <x:row r="3729" ht="18" customHeight="1">
      <x:c r="A3729" t="str">
        <x:v>CA-2017-127264</x:v>
      </x:c>
      <x:c r="B3729" s="18" t="n">
        <x:v>42828</x:v>
      </x:c>
      <x:c r="C3729" t="str">
        <x:v>SA-20830</x:v>
      </x:c>
      <x:c r="D3729" t="str">
        <x:v>Sue Ann Reed</x:v>
      </x:c>
      <x:c r="E3729" t="str">
        <x:v>Consumer</x:v>
      </x:c>
      <x:c r="F3729" t="str">
        <x:v>Central</x:v>
      </x:c>
      <x:c r="G3729" t="str">
        <x:v>Office Supplies</x:v>
      </x:c>
      <x:c r="H3729" t="str">
        <x:v>Art</x:v>
      </x:c>
      <x:c r="I3729" s="22" t="n">
        <x:v>7.055999999999999</x:v>
      </x:c>
      <x:c r="J3729" s="24" t="n">
        <x:v>3</x:v>
      </x:c>
      <x:c r="K3729" s="26" t="n">
        <x:v>0.2</x:v>
      </x:c>
      <x:c r="L3729" s="22" t="n">
        <x:v>2.205</x:v>
      </x:c>
      <x:c r="M3729" t="n">
        <x:v>2017</x:v>
      </x:c>
      <x:c r="N3729" s="20" t="n">
        <x:v>42826</x:v>
      </x:c>
    </x:row>
    <x:row r="3730" ht="18" customHeight="1">
      <x:c r="A3730" t="str">
        <x:v>CA-2016-151512</x:v>
      </x:c>
      <x:c r="B3730" s="18" t="n">
        <x:v>42730</x:v>
      </x:c>
      <x:c r="C3730" t="str">
        <x:v>SH-19975</x:v>
      </x:c>
      <x:c r="D3730" t="str">
        <x:v>Sally Hughsby</x:v>
      </x:c>
      <x:c r="E3730" t="str">
        <x:v>Corporate</x:v>
      </x:c>
      <x:c r="F3730" t="str">
        <x:v>West</x:v>
      </x:c>
      <x:c r="G3730" t="str">
        <x:v>Office Supplies</x:v>
      </x:c>
      <x:c r="H3730" t="str">
        <x:v>Appliances</x:v>
      </x:c>
      <x:c r="I3730" s="22" t="n">
        <x:v>18.72</x:v>
      </x:c>
      <x:c r="J3730" s="24" t="n">
        <x:v>2</x:v>
      </x:c>
      <x:c r="K3730" s="26" t="n">
        <x:v>0.2</x:v>
      </x:c>
      <x:c r="L3730" s="22" t="n">
        <x:v>3.51</x:v>
      </x:c>
      <x:c r="M3730" t="n">
        <x:v>2016</x:v>
      </x:c>
      <x:c r="N3730" s="20" t="n">
        <x:v>42705</x:v>
      </x:c>
    </x:row>
    <x:row r="3731" ht="18" customHeight="1">
      <x:c r="A3731" t="str">
        <x:v>CA-2016-165169</x:v>
      </x:c>
      <x:c r="B3731" s="18" t="n">
        <x:v>42526</x:v>
      </x:c>
      <x:c r="C3731" t="str">
        <x:v>JL-15235</x:v>
      </x:c>
      <x:c r="D3731" t="str">
        <x:v>Janet Lee</x:v>
      </x:c>
      <x:c r="E3731" t="str">
        <x:v>Consumer</x:v>
      </x:c>
      <x:c r="F3731" t="str">
        <x:v>East</x:v>
      </x:c>
      <x:c r="G3731" t="str">
        <x:v>Office Supplies</x:v>
      </x:c>
      <x:c r="H3731" t="str">
        <x:v>Storage</x:v>
      </x:c>
      <x:c r="I3731" s="22" t="n">
        <x:v>360.38</x:v>
      </x:c>
      <x:c r="J3731" s="24" t="n">
        <x:v>2</x:v>
      </x:c>
      <x:c r="K3731" s="26" t="n">
        <x:v>0</x:v>
      </x:c>
      <x:c r="L3731" s="22" t="n">
        <x:v>93.6988</x:v>
      </x:c>
      <x:c r="M3731" t="n">
        <x:v>2016</x:v>
      </x:c>
      <x:c r="N3731" s="20" t="n">
        <x:v>42522</x:v>
      </x:c>
    </x:row>
    <x:row r="3732" ht="18" customHeight="1">
      <x:c r="A3732" t="str">
        <x:v>CA-2016-165169</x:v>
      </x:c>
      <x:c r="B3732" s="18" t="n">
        <x:v>42526</x:v>
      </x:c>
      <x:c r="C3732" t="str">
        <x:v>JL-15235</x:v>
      </x:c>
      <x:c r="D3732" t="str">
        <x:v>Janet Lee</x:v>
      </x:c>
      <x:c r="E3732" t="str">
        <x:v>Consumer</x:v>
      </x:c>
      <x:c r="F3732" t="str">
        <x:v>East</x:v>
      </x:c>
      <x:c r="G3732" t="str">
        <x:v>Office Supplies</x:v>
      </x:c>
      <x:c r="H3732" t="str">
        <x:v>Art</x:v>
      </x:c>
      <x:c r="I3732" s="22" t="n">
        <x:v>11.16</x:v>
      </x:c>
      <x:c r="J3732" s="24" t="n">
        <x:v>2</x:v>
      </x:c>
      <x:c r="K3732" s="26" t="n">
        <x:v>0</x:v>
      </x:c>
      <x:c r="L3732" s="22" t="n">
        <x:v>2.789999999999999</x:v>
      </x:c>
      <x:c r="M3732" t="n">
        <x:v>2016</x:v>
      </x:c>
      <x:c r="N3732" s="20" t="n">
        <x:v>42522</x:v>
      </x:c>
    </x:row>
    <x:row r="3733" ht="18" customHeight="1">
      <x:c r="A3733" t="str">
        <x:v>CA-2016-165169</x:v>
      </x:c>
      <x:c r="B3733" s="18" t="n">
        <x:v>42526</x:v>
      </x:c>
      <x:c r="C3733" t="str">
        <x:v>JL-15235</x:v>
      </x:c>
      <x:c r="D3733" t="str">
        <x:v>Janet Lee</x:v>
      </x:c>
      <x:c r="E3733" t="str">
        <x:v>Consumer</x:v>
      </x:c>
      <x:c r="F3733" t="str">
        <x:v>East</x:v>
      </x:c>
      <x:c r="G3733" t="str">
        <x:v>Office Supplies</x:v>
      </x:c>
      <x:c r="H3733" t="str">
        <x:v>Labels</x:v>
      </x:c>
      <x:c r="I3733" s="22" t="n">
        <x:v>14.940000000000001</x:v>
      </x:c>
      <x:c r="J3733" s="24" t="n">
        <x:v>3</x:v>
      </x:c>
      <x:c r="K3733" s="26" t="n">
        <x:v>0</x:v>
      </x:c>
      <x:c r="L3733" s="22" t="n">
        <x:v>6.8724</x:v>
      </x:c>
      <x:c r="M3733" t="n">
        <x:v>2016</x:v>
      </x:c>
      <x:c r="N3733" s="20" t="n">
        <x:v>42522</x:v>
      </x:c>
    </x:row>
    <x:row r="3734" ht="18" customHeight="1">
      <x:c r="A3734" t="str">
        <x:v>CA-2015-109575</x:v>
      </x:c>
      <x:c r="B3734" s="18" t="n">
        <x:v>42265</x:v>
      </x:c>
      <x:c r="C3734" t="str">
        <x:v>KH-16630</x:v>
      </x:c>
      <x:c r="D3734" t="str">
        <x:v>Ken Heidel</x:v>
      </x:c>
      <x:c r="E3734" t="str">
        <x:v>Corporate</x:v>
      </x:c>
      <x:c r="F3734" t="str">
        <x:v>East</x:v>
      </x:c>
      <x:c r="G3734" t="str">
        <x:v>Office Supplies</x:v>
      </x:c>
      <x:c r="H3734" t="str">
        <x:v>Storage</x:v>
      </x:c>
      <x:c r="I3734" s="22" t="n">
        <x:v>41.96</x:v>
      </x:c>
      <x:c r="J3734" s="24" t="n">
        <x:v>2</x:v>
      </x:c>
      <x:c r="K3734" s="26" t="n">
        <x:v>0</x:v>
      </x:c>
      <x:c r="L3734" s="22" t="n">
        <x:v>7.9724</x:v>
      </x:c>
      <x:c r="M3734" t="n">
        <x:v>2015</x:v>
      </x:c>
      <x:c r="N3734" s="20" t="n">
        <x:v>42248</x:v>
      </x:c>
    </x:row>
    <x:row r="3735" ht="18" customHeight="1">
      <x:c r="A3735" t="str">
        <x:v>CA-2015-109575</x:v>
      </x:c>
      <x:c r="B3735" s="18" t="n">
        <x:v>42265</x:v>
      </x:c>
      <x:c r="C3735" t="str">
        <x:v>KH-16630</x:v>
      </x:c>
      <x:c r="D3735" t="str">
        <x:v>Ken Heidel</x:v>
      </x:c>
      <x:c r="E3735" t="str">
        <x:v>Corporate</x:v>
      </x:c>
      <x:c r="F3735" t="str">
        <x:v>East</x:v>
      </x:c>
      <x:c r="G3735" t="str">
        <x:v>Office Supplies</x:v>
      </x:c>
      <x:c r="H3735" t="str">
        <x:v>Storage</x:v>
      </x:c>
      <x:c r="I3735" s="22" t="n">
        <x:v>636.86</x:v>
      </x:c>
      <x:c r="J3735" s="24" t="n">
        <x:v>7</x:v>
      </x:c>
      <x:c r="K3735" s="26" t="n">
        <x:v>0</x:v>
      </x:c>
      <x:c r="L3735" s="22" t="n">
        <x:v>0</x:v>
      </x:c>
      <x:c r="M3735" t="n">
        <x:v>2015</x:v>
      </x:c>
      <x:c r="N3735" s="20" t="n">
        <x:v>42248</x:v>
      </x:c>
    </x:row>
    <x:row r="3736" ht="18" customHeight="1">
      <x:c r="A3736" t="str">
        <x:v>CA-2015-109575</x:v>
      </x:c>
      <x:c r="B3736" s="18" t="n">
        <x:v>42265</x:v>
      </x:c>
      <x:c r="C3736" t="str">
        <x:v>KH-16630</x:v>
      </x:c>
      <x:c r="D3736" t="str">
        <x:v>Ken Heidel</x:v>
      </x:c>
      <x:c r="E3736" t="str">
        <x:v>Corporate</x:v>
      </x:c>
      <x:c r="F3736" t="str">
        <x:v>East</x:v>
      </x:c>
      <x:c r="G3736" t="str">
        <x:v>Technology</x:v>
      </x:c>
      <x:c r="H3736" t="str">
        <x:v>Phones</x:v>
      </x:c>
      <x:c r="I3736" s="22" t="n">
        <x:v>499.99</x:v>
      </x:c>
      <x:c r="J3736" s="24" t="n">
        <x:v>1</x:v>
      </x:c>
      <x:c r="K3736" s="26" t="n">
        <x:v>0</x:v>
      </x:c>
      <x:c r="L3736" s="22" t="n">
        <x:v>129.99740000000003</x:v>
      </x:c>
      <x:c r="M3736" t="n">
        <x:v>2015</x:v>
      </x:c>
      <x:c r="N3736" s="20" t="n">
        <x:v>42248</x:v>
      </x:c>
    </x:row>
    <x:row r="3737" ht="18" customHeight="1">
      <x:c r="A3737" t="str">
        <x:v>CA-2015-109575</x:v>
      </x:c>
      <x:c r="B3737" s="18" t="n">
        <x:v>42265</x:v>
      </x:c>
      <x:c r="C3737" t="str">
        <x:v>KH-16630</x:v>
      </x:c>
      <x:c r="D3737" t="str">
        <x:v>Ken Heidel</x:v>
      </x:c>
      <x:c r="E3737" t="str">
        <x:v>Corporate</x:v>
      </x:c>
      <x:c r="F3737" t="str">
        <x:v>East</x:v>
      </x:c>
      <x:c r="G3737" t="str">
        <x:v>Technology</x:v>
      </x:c>
      <x:c r="H3737" t="str">
        <x:v>Phones</x:v>
      </x:c>
      <x:c r="I3737" s="22" t="n">
        <x:v>1259.93</x:v>
      </x:c>
      <x:c r="J3737" s="24" t="n">
        <x:v>7</x:v>
      </x:c>
      <x:c r="K3737" s="26" t="n">
        <x:v>0</x:v>
      </x:c>
      <x:c r="L3737" s="22" t="n">
        <x:v>327.58180000000004</x:v>
      </x:c>
      <x:c r="M3737" t="n">
        <x:v>2015</x:v>
      </x:c>
      <x:c r="N3737" s="20" t="n">
        <x:v>42248</x:v>
      </x:c>
    </x:row>
    <x:row r="3738" ht="18" customHeight="1">
      <x:c r="A3738" t="str">
        <x:v>CA-2015-109575</x:v>
      </x:c>
      <x:c r="B3738" s="18" t="n">
        <x:v>42265</x:v>
      </x:c>
      <x:c r="C3738" t="str">
        <x:v>KH-16630</x:v>
      </x:c>
      <x:c r="D3738" t="str">
        <x:v>Ken Heidel</x:v>
      </x:c>
      <x:c r="E3738" t="str">
        <x:v>Corporate</x:v>
      </x:c>
      <x:c r="F3738" t="str">
        <x:v>East</x:v>
      </x:c>
      <x:c r="G3738" t="str">
        <x:v>Office Supplies</x:v>
      </x:c>
      <x:c r="H3738" t="str">
        <x:v>Binders</x:v>
      </x:c>
      <x:c r="I3738" s="22" t="n">
        <x:v>65.08</x:v>
      </x:c>
      <x:c r="J3738" s="24" t="n">
        <x:v>4</x:v>
      </x:c>
      <x:c r="K3738" s="26" t="n">
        <x:v>0</x:v>
      </x:c>
      <x:c r="L3738" s="22" t="n">
        <x:v>31.889199999999995</x:v>
      </x:c>
      <x:c r="M3738" t="n">
        <x:v>2015</x:v>
      </x:c>
      <x:c r="N3738" s="20" t="n">
        <x:v>42248</x:v>
      </x:c>
    </x:row>
    <x:row r="3739" ht="18" customHeight="1">
      <x:c r="A3739" t="str">
        <x:v>CA-2017-168193</x:v>
      </x:c>
      <x:c r="B3739" s="18" t="n">
        <x:v>42800</x:v>
      </x:c>
      <x:c r="C3739" t="str">
        <x:v>RM-19750</x:v>
      </x:c>
      <x:c r="D3739" t="str">
        <x:v>Roland Murray</x:v>
      </x:c>
      <x:c r="E3739" t="str">
        <x:v>Consumer</x:v>
      </x:c>
      <x:c r="F3739" t="str">
        <x:v>East</x:v>
      </x:c>
      <x:c r="G3739" t="str">
        <x:v>Office Supplies</x:v>
      </x:c>
      <x:c r="H3739" t="str">
        <x:v>Paper</x:v>
      </x:c>
      <x:c r="I3739" s="22" t="n">
        <x:v>26.38</x:v>
      </x:c>
      <x:c r="J3739" s="24" t="n">
        <x:v>1</x:v>
      </x:c>
      <x:c r="K3739" s="26" t="n">
        <x:v>0</x:v>
      </x:c>
      <x:c r="L3739" s="22" t="n">
        <x:v>12.134799999999998</x:v>
      </x:c>
      <x:c r="M3739" t="n">
        <x:v>2017</x:v>
      </x:c>
      <x:c r="N3739" s="20" t="n">
        <x:v>42795</x:v>
      </x:c>
    </x:row>
    <x:row r="3740" ht="18" customHeight="1">
      <x:c r="A3740" t="str">
        <x:v>CA-2017-168193</x:v>
      </x:c>
      <x:c r="B3740" s="18" t="n">
        <x:v>42800</x:v>
      </x:c>
      <x:c r="C3740" t="str">
        <x:v>RM-19750</x:v>
      </x:c>
      <x:c r="D3740" t="str">
        <x:v>Roland Murray</x:v>
      </x:c>
      <x:c r="E3740" t="str">
        <x:v>Consumer</x:v>
      </x:c>
      <x:c r="F3740" t="str">
        <x:v>East</x:v>
      </x:c>
      <x:c r="G3740" t="str">
        <x:v>Furniture</x:v>
      </x:c>
      <x:c r="H3740" t="str">
        <x:v>Furnishings</x:v>
      </x:c>
      <x:c r="I3740" s="22" t="n">
        <x:v>71.97</x:v>
      </x:c>
      <x:c r="J3740" s="24" t="n">
        <x:v>3</x:v>
      </x:c>
      <x:c r="K3740" s="26" t="n">
        <x:v>0</x:v>
      </x:c>
      <x:c r="L3740" s="22" t="n">
        <x:v>16.553099999999993</x:v>
      </x:c>
      <x:c r="M3740" t="n">
        <x:v>2017</x:v>
      </x:c>
      <x:c r="N3740" s="20" t="n">
        <x:v>42795</x:v>
      </x:c>
    </x:row>
    <x:row r="3741" ht="18" customHeight="1">
      <x:c r="A3741" t="str">
        <x:v>CA-2016-115476</x:v>
      </x:c>
      <x:c r="B3741" s="18" t="n">
        <x:v>42446</x:v>
      </x:c>
      <x:c r="C3741" t="str">
        <x:v>VM-21835</x:v>
      </x:c>
      <x:c r="D3741" t="str">
        <x:v>Vivian Mathis</x:v>
      </x:c>
      <x:c r="E3741" t="str">
        <x:v>Consumer</x:v>
      </x:c>
      <x:c r="F3741" t="str">
        <x:v>East</x:v>
      </x:c>
      <x:c r="G3741" t="str">
        <x:v>Technology</x:v>
      </x:c>
      <x:c r="H3741" t="str">
        <x:v>Phones</x:v>
      </x:c>
      <x:c r="I3741" s="22" t="n">
        <x:v>129.98</x:v>
      </x:c>
      <x:c r="J3741" s="24" t="n">
        <x:v>2</x:v>
      </x:c>
      <x:c r="K3741" s="26" t="n">
        <x:v>0</x:v>
      </x:c>
      <x:c r="L3741" s="22" t="n">
        <x:v>62.3904</x:v>
      </x:c>
      <x:c r="M3741" t="n">
        <x:v>2016</x:v>
      </x:c>
      <x:c r="N3741" s="20" t="n">
        <x:v>42430</x:v>
      </x:c>
    </x:row>
    <x:row r="3742" ht="18" customHeight="1">
      <x:c r="A3742" t="str">
        <x:v>CA-2016-115476</x:v>
      </x:c>
      <x:c r="B3742" s="18" t="n">
        <x:v>42446</x:v>
      </x:c>
      <x:c r="C3742" t="str">
        <x:v>VM-21835</x:v>
      </x:c>
      <x:c r="D3742" t="str">
        <x:v>Vivian Mathis</x:v>
      </x:c>
      <x:c r="E3742" t="str">
        <x:v>Consumer</x:v>
      </x:c>
      <x:c r="F3742" t="str">
        <x:v>East</x:v>
      </x:c>
      <x:c r="G3742" t="str">
        <x:v>Office Supplies</x:v>
      </x:c>
      <x:c r="H3742" t="str">
        <x:v>Binders</x:v>
      </x:c>
      <x:c r="I3742" s="22" t="n">
        <x:v>32.54</x:v>
      </x:c>
      <x:c r="J3742" s="24" t="n">
        <x:v>2</x:v>
      </x:c>
      <x:c r="K3742" s="26" t="n">
        <x:v>0</x:v>
      </x:c>
      <x:c r="L3742" s="22" t="n">
        <x:v>15.944599999999998</x:v>
      </x:c>
      <x:c r="M3742" t="n">
        <x:v>2016</x:v>
      </x:c>
      <x:c r="N3742" s="20" t="n">
        <x:v>42430</x:v>
      </x:c>
    </x:row>
    <x:row r="3743" ht="18" customHeight="1">
      <x:c r="A3743" t="str">
        <x:v>CA-2016-133340</x:v>
      </x:c>
      <x:c r="B3743" s="18" t="n">
        <x:v>42713</x:v>
      </x:c>
      <x:c r="C3743" t="str">
        <x:v>LH-17155</x:v>
      </x:c>
      <x:c r="D3743" t="str">
        <x:v>Logan Haushalter</x:v>
      </x:c>
      <x:c r="E3743" t="str">
        <x:v>Consumer</x:v>
      </x:c>
      <x:c r="F3743" t="str">
        <x:v>Central</x:v>
      </x:c>
      <x:c r="G3743" t="str">
        <x:v>Technology</x:v>
      </x:c>
      <x:c r="H3743" t="str">
        <x:v>Phones</x:v>
      </x:c>
      <x:c r="I3743" s="22" t="n">
        <x:v>10.9</x:v>
      </x:c>
      <x:c r="J3743" s="24" t="n">
        <x:v>1</x:v>
      </x:c>
      <x:c r="K3743" s="26" t="n">
        <x:v>0</x:v>
      </x:c>
      <x:c r="L3743" s="22" t="n">
        <x:v>3.0520000000000005</x:v>
      </x:c>
      <x:c r="M3743" t="n">
        <x:v>2016</x:v>
      </x:c>
      <x:c r="N3743" s="20" t="n">
        <x:v>42705</x:v>
      </x:c>
    </x:row>
    <x:row r="3744" ht="18" customHeight="1">
      <x:c r="A3744" t="str">
        <x:v>CA-2016-133340</x:v>
      </x:c>
      <x:c r="B3744" s="18" t="n">
        <x:v>42713</x:v>
      </x:c>
      <x:c r="C3744" t="str">
        <x:v>LH-17155</x:v>
      </x:c>
      <x:c r="D3744" t="str">
        <x:v>Logan Haushalter</x:v>
      </x:c>
      <x:c r="E3744" t="str">
        <x:v>Consumer</x:v>
      </x:c>
      <x:c r="F3744" t="str">
        <x:v>Central</x:v>
      </x:c>
      <x:c r="G3744" t="str">
        <x:v>Technology</x:v>
      </x:c>
      <x:c r="H3744" t="str">
        <x:v>Accessories</x:v>
      </x:c>
      <x:c r="I3744" s="22" t="n">
        <x:v>59.98</x:v>
      </x:c>
      <x:c r="J3744" s="24" t="n">
        <x:v>2</x:v>
      </x:c>
      <x:c r="K3744" s="26" t="n">
        <x:v>0</x:v>
      </x:c>
      <x:c r="L3744" s="22" t="n">
        <x:v>25.1916</x:v>
      </x:c>
      <x:c r="M3744" t="n">
        <x:v>2016</x:v>
      </x:c>
      <x:c r="N3744" s="20" t="n">
        <x:v>42705</x:v>
      </x:c>
    </x:row>
    <x:row r="3745" ht="18" customHeight="1">
      <x:c r="A3745" t="str">
        <x:v>CA-2016-133340</x:v>
      </x:c>
      <x:c r="B3745" s="18" t="n">
        <x:v>42713</x:v>
      </x:c>
      <x:c r="C3745" t="str">
        <x:v>LH-17155</x:v>
      </x:c>
      <x:c r="D3745" t="str">
        <x:v>Logan Haushalter</x:v>
      </x:c>
      <x:c r="E3745" t="str">
        <x:v>Consumer</x:v>
      </x:c>
      <x:c r="F3745" t="str">
        <x:v>Central</x:v>
      </x:c>
      <x:c r="G3745" t="str">
        <x:v>Office Supplies</x:v>
      </x:c>
      <x:c r="H3745" t="str">
        <x:v>Appliances</x:v>
      </x:c>
      <x:c r="I3745" s="22" t="n">
        <x:v>61.929</x:v>
      </x:c>
      <x:c r="J3745" s="24" t="n">
        <x:v>1</x:v>
      </x:c>
      <x:c r="K3745" s="26" t="n">
        <x:v>0.1</x:v>
      </x:c>
      <x:c r="L3745" s="22" t="n">
        <x:v>23.395400000000002</x:v>
      </x:c>
      <x:c r="M3745" t="n">
        <x:v>2016</x:v>
      </x:c>
      <x:c r="N3745" s="20" t="n">
        <x:v>42705</x:v>
      </x:c>
    </x:row>
    <x:row r="3746" ht="18" customHeight="1">
      <x:c r="A3746" t="str">
        <x:v>CA-2016-137848</x:v>
      </x:c>
      <x:c r="B3746" s="18" t="n">
        <x:v>42384</x:v>
      </x:c>
      <x:c r="C3746" t="str">
        <x:v>WB-21850</x:v>
      </x:c>
      <x:c r="D3746" t="str">
        <x:v>William Brown</x:v>
      </x:c>
      <x:c r="E3746" t="str">
        <x:v>Consumer</x:v>
      </x:c>
      <x:c r="F3746" t="str">
        <x:v>East</x:v>
      </x:c>
      <x:c r="G3746" t="str">
        <x:v>Office Supplies</x:v>
      </x:c>
      <x:c r="H3746" t="str">
        <x:v>Envelopes</x:v>
      </x:c>
      <x:c r="I3746" s="22" t="n">
        <x:v>16.52</x:v>
      </x:c>
      <x:c r="J3746" s="24" t="n">
        <x:v>4</x:v>
      </x:c>
      <x:c r="K3746" s="26" t="n">
        <x:v>0</x:v>
      </x:c>
      <x:c r="L3746" s="22" t="n">
        <x:v>7.5992</x:v>
      </x:c>
      <x:c r="M3746" t="n">
        <x:v>2016</x:v>
      </x:c>
      <x:c r="N3746" s="20" t="n">
        <x:v>42370</x:v>
      </x:c>
    </x:row>
    <x:row r="3747" ht="18" customHeight="1">
      <x:c r="A3747" t="str">
        <x:v>CA-2016-137848</x:v>
      </x:c>
      <x:c r="B3747" s="18" t="n">
        <x:v>42384</x:v>
      </x:c>
      <x:c r="C3747" t="str">
        <x:v>WB-21850</x:v>
      </x:c>
      <x:c r="D3747" t="str">
        <x:v>William Brown</x:v>
      </x:c>
      <x:c r="E3747" t="str">
        <x:v>Consumer</x:v>
      </x:c>
      <x:c r="F3747" t="str">
        <x:v>East</x:v>
      </x:c>
      <x:c r="G3747" t="str">
        <x:v>Office Supplies</x:v>
      </x:c>
      <x:c r="H3747" t="str">
        <x:v>Paper</x:v>
      </x:c>
      <x:c r="I3747" s="22" t="n">
        <x:v>60.12</x:v>
      </x:c>
      <x:c r="J3747" s="24" t="n">
        <x:v>9</x:v>
      </x:c>
      <x:c r="K3747" s="26" t="n">
        <x:v>0</x:v>
      </x:c>
      <x:c r="L3747" s="22" t="n">
        <x:v>28.857599999999998</x:v>
      </x:c>
      <x:c r="M3747" t="n">
        <x:v>2016</x:v>
      </x:c>
      <x:c r="N3747" s="20" t="n">
        <x:v>42370</x:v>
      </x:c>
    </x:row>
    <x:row r="3748" ht="18" customHeight="1">
      <x:c r="A3748" t="str">
        <x:v>CA-2016-137848</x:v>
      </x:c>
      <x:c r="B3748" s="18" t="n">
        <x:v>42384</x:v>
      </x:c>
      <x:c r="C3748" t="str">
        <x:v>WB-21850</x:v>
      </x:c>
      <x:c r="D3748" t="str">
        <x:v>William Brown</x:v>
      </x:c>
      <x:c r="E3748" t="str">
        <x:v>Consumer</x:v>
      </x:c>
      <x:c r="F3748" t="str">
        <x:v>East</x:v>
      </x:c>
      <x:c r="G3748" t="str">
        <x:v>Office Supplies</x:v>
      </x:c>
      <x:c r="H3748" t="str">
        <x:v>Binders</x:v>
      </x:c>
      <x:c r="I3748" s="22" t="n">
        <x:v>49.536</x:v>
      </x:c>
      <x:c r="J3748" s="24" t="n">
        <x:v>3</x:v>
      </x:c>
      <x:c r="K3748" s="26" t="n">
        <x:v>0.2</x:v>
      </x:c>
      <x:c r="L3748" s="22" t="n">
        <x:v>17.3376</x:v>
      </x:c>
      <x:c r="M3748" t="n">
        <x:v>2016</x:v>
      </x:c>
      <x:c r="N3748" s="20" t="n">
        <x:v>42370</x:v>
      </x:c>
    </x:row>
    <x:row r="3749" ht="18" customHeight="1">
      <x:c r="A3749" t="str">
        <x:v>CA-2014-113047</x:v>
      </x:c>
      <x:c r="B3749" s="18" t="n">
        <x:v>41936</x:v>
      </x:c>
      <x:c r="C3749" t="str">
        <x:v>AP-10915</x:v>
      </x:c>
      <x:c r="D3749" t="str">
        <x:v>Arthur Prichep</x:v>
      </x:c>
      <x:c r="E3749" t="str">
        <x:v>Consumer</x:v>
      </x:c>
      <x:c r="F3749" t="str">
        <x:v>South</x:v>
      </x:c>
      <x:c r="G3749" t="str">
        <x:v>Office Supplies</x:v>
      </x:c>
      <x:c r="H3749" t="str">
        <x:v>Fasteners</x:v>
      </x:c>
      <x:c r="I3749" s="22" t="n">
        <x:v>11.850000000000001</x:v>
      </x:c>
      <x:c r="J3749" s="24" t="n">
        <x:v>3</x:v>
      </x:c>
      <x:c r="K3749" s="26" t="n">
        <x:v>0</x:v>
      </x:c>
      <x:c r="L3749" s="22" t="n">
        <x:v>3.7919999999999994</x:v>
      </x:c>
      <x:c r="M3749" t="n">
        <x:v>2014</x:v>
      </x:c>
      <x:c r="N3749" s="20" t="n">
        <x:v>41913</x:v>
      </x:c>
    </x:row>
    <x:row r="3750" ht="18" customHeight="1">
      <x:c r="A3750" t="str">
        <x:v>CA-2016-149979</x:v>
      </x:c>
      <x:c r="B3750" s="18" t="n">
        <x:v>42636</x:v>
      </x:c>
      <x:c r="C3750" t="str">
        <x:v>RA-19915</x:v>
      </x:c>
      <x:c r="D3750" t="str">
        <x:v>Russell Applegate</x:v>
      </x:c>
      <x:c r="E3750" t="str">
        <x:v>Consumer</x:v>
      </x:c>
      <x:c r="F3750" t="str">
        <x:v>South</x:v>
      </x:c>
      <x:c r="G3750" t="str">
        <x:v>Office Supplies</x:v>
      </x:c>
      <x:c r="H3750" t="str">
        <x:v>Storage</x:v>
      </x:c>
      <x:c r="I3750" s="22" t="n">
        <x:v>118.25</x:v>
      </x:c>
      <x:c r="J3750" s="24" t="n">
        <x:v>5</x:v>
      </x:c>
      <x:c r="K3750" s="26" t="n">
        <x:v>0</x:v>
      </x:c>
      <x:c r="L3750" s="22" t="n">
        <x:v>34.2925</x:v>
      </x:c>
      <x:c r="M3750" t="n">
        <x:v>2016</x:v>
      </x:c>
      <x:c r="N3750" s="20" t="n">
        <x:v>42614</x:v>
      </x:c>
    </x:row>
    <x:row r="3751" ht="18" customHeight="1">
      <x:c r="A3751" t="str">
        <x:v>CA-2016-149979</x:v>
      </x:c>
      <x:c r="B3751" s="18" t="n">
        <x:v>42636</x:v>
      </x:c>
      <x:c r="C3751" t="str">
        <x:v>RA-19915</x:v>
      </x:c>
      <x:c r="D3751" t="str">
        <x:v>Russell Applegate</x:v>
      </x:c>
      <x:c r="E3751" t="str">
        <x:v>Consumer</x:v>
      </x:c>
      <x:c r="F3751" t="str">
        <x:v>South</x:v>
      </x:c>
      <x:c r="G3751" t="str">
        <x:v>Furniture</x:v>
      </x:c>
      <x:c r="H3751" t="str">
        <x:v>Chairs</x:v>
      </x:c>
      <x:c r="I3751" s="22" t="n">
        <x:v>368.96999999999997</x:v>
      </x:c>
      <x:c r="J3751" s="24" t="n">
        <x:v>3</x:v>
      </x:c>
      <x:c r="K3751" s="26" t="n">
        <x:v>0</x:v>
      </x:c>
      <x:c r="L3751" s="22" t="n">
        <x:v>81.1734</x:v>
      </x:c>
      <x:c r="M3751" t="n">
        <x:v>2016</x:v>
      </x:c>
      <x:c r="N3751" s="20" t="n">
        <x:v>42614</x:v>
      </x:c>
    </x:row>
    <x:row r="3752" ht="18" customHeight="1">
      <x:c r="A3752" t="str">
        <x:v>CA-2017-161956</x:v>
      </x:c>
      <x:c r="B3752" s="18" t="n">
        <x:v>42974</x:v>
      </x:c>
      <x:c r="C3752" t="str">
        <x:v>DR-12880</x:v>
      </x:c>
      <x:c r="D3752" t="str">
        <x:v>Dan Reichenbach</x:v>
      </x:c>
      <x:c r="E3752" t="str">
        <x:v>Corporate</x:v>
      </x:c>
      <x:c r="F3752" t="str">
        <x:v>West</x:v>
      </x:c>
      <x:c r="G3752" t="str">
        <x:v>Furniture</x:v>
      </x:c>
      <x:c r="H3752" t="str">
        <x:v>Furnishings</x:v>
      </x:c>
      <x:c r="I3752" s="22" t="n">
        <x:v>198.46</x:v>
      </x:c>
      <x:c r="J3752" s="24" t="n">
        <x:v>2</x:v>
      </x:c>
      <x:c r="K3752" s="26" t="n">
        <x:v>0</x:v>
      </x:c>
      <x:c r="L3752" s="22" t="n">
        <x:v>99.23</x:v>
      </x:c>
      <x:c r="M3752" t="n">
        <x:v>2017</x:v>
      </x:c>
      <x:c r="N3752" s="20" t="n">
        <x:v>42948</x:v>
      </x:c>
    </x:row>
    <x:row r="3753" ht="18" customHeight="1">
      <x:c r="A3753" t="str">
        <x:v>CA-2017-161956</x:v>
      </x:c>
      <x:c r="B3753" s="18" t="n">
        <x:v>42974</x:v>
      </x:c>
      <x:c r="C3753" t="str">
        <x:v>DR-12880</x:v>
      </x:c>
      <x:c r="D3753" t="str">
        <x:v>Dan Reichenbach</x:v>
      </x:c>
      <x:c r="E3753" t="str">
        <x:v>Corporate</x:v>
      </x:c>
      <x:c r="F3753" t="str">
        <x:v>West</x:v>
      </x:c>
      <x:c r="G3753" t="str">
        <x:v>Office Supplies</x:v>
      </x:c>
      <x:c r="H3753" t="str">
        <x:v>Appliances</x:v>
      </x:c>
      <x:c r="I3753" s="22" t="n">
        <x:v>321.92</x:v>
      </x:c>
      <x:c r="J3753" s="24" t="n">
        <x:v>4</x:v>
      </x:c>
      <x:c r="K3753" s="26" t="n">
        <x:v>0</x:v>
      </x:c>
      <x:c r="L3753" s="22" t="n">
        <x:v>96.576</x:v>
      </x:c>
      <x:c r="M3753" t="n">
        <x:v>2017</x:v>
      </x:c>
      <x:c r="N3753" s="20" t="n">
        <x:v>42948</x:v>
      </x:c>
    </x:row>
    <x:row r="3754" ht="18" customHeight="1">
      <x:c r="A3754" t="str">
        <x:v>CA-2017-161956</x:v>
      </x:c>
      <x:c r="B3754" s="18" t="n">
        <x:v>42974</x:v>
      </x:c>
      <x:c r="C3754" t="str">
        <x:v>DR-12880</x:v>
      </x:c>
      <x:c r="D3754" t="str">
        <x:v>Dan Reichenbach</x:v>
      </x:c>
      <x:c r="E3754" t="str">
        <x:v>Corporate</x:v>
      </x:c>
      <x:c r="F3754" t="str">
        <x:v>West</x:v>
      </x:c>
      <x:c r="G3754" t="str">
        <x:v>Technology</x:v>
      </x:c>
      <x:c r="H3754" t="str">
        <x:v>Copiers</x:v>
      </x:c>
      <x:c r="I3754" s="22" t="n">
        <x:v>879.984</x:v>
      </x:c>
      <x:c r="J3754" s="24" t="n">
        <x:v>2</x:v>
      </x:c>
      <x:c r="K3754" s="26" t="n">
        <x:v>0.2</x:v>
      </x:c>
      <x:c r="L3754" s="22" t="n">
        <x:v>329.994</x:v>
      </x:c>
      <x:c r="M3754" t="n">
        <x:v>2017</x:v>
      </x:c>
      <x:c r="N3754" s="20" t="n">
        <x:v>42948</x:v>
      </x:c>
    </x:row>
    <x:row r="3755" ht="18" customHeight="1">
      <x:c r="A3755" t="str">
        <x:v>CA-2017-161956</x:v>
      </x:c>
      <x:c r="B3755" s="18" t="n">
        <x:v>42974</x:v>
      </x:c>
      <x:c r="C3755" t="str">
        <x:v>DR-12880</x:v>
      </x:c>
      <x:c r="D3755" t="str">
        <x:v>Dan Reichenbach</x:v>
      </x:c>
      <x:c r="E3755" t="str">
        <x:v>Corporate</x:v>
      </x:c>
      <x:c r="F3755" t="str">
        <x:v>West</x:v>
      </x:c>
      <x:c r="G3755" t="str">
        <x:v>Office Supplies</x:v>
      </x:c>
      <x:c r="H3755" t="str">
        <x:v>Supplies</x:v>
      </x:c>
      <x:c r="I3755" s="22" t="n">
        <x:v>28.4</x:v>
      </x:c>
      <x:c r="J3755" s="24" t="n">
        <x:v>5</x:v>
      </x:c>
      <x:c r="K3755" s="26" t="n">
        <x:v>0</x:v>
      </x:c>
      <x:c r="L3755" s="22" t="n">
        <x:v>8.235999999999999</x:v>
      </x:c>
      <x:c r="M3755" t="n">
        <x:v>2017</x:v>
      </x:c>
      <x:c r="N3755" s="20" t="n">
        <x:v>42948</x:v>
      </x:c>
    </x:row>
    <x:row r="3756" ht="18" customHeight="1">
      <x:c r="A3756" t="str">
        <x:v>CA-2017-161956</x:v>
      </x:c>
      <x:c r="B3756" s="18" t="n">
        <x:v>42974</x:v>
      </x:c>
      <x:c r="C3756" t="str">
        <x:v>DR-12880</x:v>
      </x:c>
      <x:c r="D3756" t="str">
        <x:v>Dan Reichenbach</x:v>
      </x:c>
      <x:c r="E3756" t="str">
        <x:v>Corporate</x:v>
      </x:c>
      <x:c r="F3756" t="str">
        <x:v>West</x:v>
      </x:c>
      <x:c r="G3756" t="str">
        <x:v>Furniture</x:v>
      </x:c>
      <x:c r="H3756" t="str">
        <x:v>Chairs</x:v>
      </x:c>
      <x:c r="I3756" s="22" t="n">
        <x:v>230.28000000000003</x:v>
      </x:c>
      <x:c r="J3756" s="24" t="n">
        <x:v>3</x:v>
      </x:c>
      <x:c r="K3756" s="26" t="n">
        <x:v>0.2</x:v>
      </x:c>
      <x:c r="L3756" s="22" t="n">
        <x:v>23.02799999999999</x:v>
      </x:c>
      <x:c r="M3756" t="n">
        <x:v>2017</x:v>
      </x:c>
      <x:c r="N3756" s="20" t="n">
        <x:v>42948</x:v>
      </x:c>
    </x:row>
    <x:row r="3757" ht="18" customHeight="1">
      <x:c r="A3757" t="str">
        <x:v>CA-2017-161956</x:v>
      </x:c>
      <x:c r="B3757" s="18" t="n">
        <x:v>42974</x:v>
      </x:c>
      <x:c r="C3757" t="str">
        <x:v>DR-12880</x:v>
      </x:c>
      <x:c r="D3757" t="str">
        <x:v>Dan Reichenbach</x:v>
      </x:c>
      <x:c r="E3757" t="str">
        <x:v>Corporate</x:v>
      </x:c>
      <x:c r="F3757" t="str">
        <x:v>West</x:v>
      </x:c>
      <x:c r="G3757" t="str">
        <x:v>Office Supplies</x:v>
      </x:c>
      <x:c r="H3757" t="str">
        <x:v>Paper</x:v>
      </x:c>
      <x:c r="I3757" s="22" t="n">
        <x:v>116.28</x:v>
      </x:c>
      <x:c r="J3757" s="24" t="n">
        <x:v>3</x:v>
      </x:c>
      <x:c r="K3757" s="26" t="n">
        <x:v>0</x:v>
      </x:c>
      <x:c r="L3757" s="22" t="n">
        <x:v>56.977199999999996</x:v>
      </x:c>
      <x:c r="M3757" t="n">
        <x:v>2017</x:v>
      </x:c>
      <x:c r="N3757" s="20" t="n">
        <x:v>42948</x:v>
      </x:c>
    </x:row>
    <x:row r="3758" ht="18" customHeight="1">
      <x:c r="A3758" t="str">
        <x:v>CA-2017-161956</x:v>
      </x:c>
      <x:c r="B3758" s="18" t="n">
        <x:v>42974</x:v>
      </x:c>
      <x:c r="C3758" t="str">
        <x:v>DR-12880</x:v>
      </x:c>
      <x:c r="D3758" t="str">
        <x:v>Dan Reichenbach</x:v>
      </x:c>
      <x:c r="E3758" t="str">
        <x:v>Corporate</x:v>
      </x:c>
      <x:c r="F3758" t="str">
        <x:v>West</x:v>
      </x:c>
      <x:c r="G3758" t="str">
        <x:v>Office Supplies</x:v>
      </x:c>
      <x:c r="H3758" t="str">
        <x:v>Binders</x:v>
      </x:c>
      <x:c r="I3758" s="22" t="n">
        <x:v>841.5680000000001</x:v>
      </x:c>
      <x:c r="J3758" s="24" t="n">
        <x:v>2</x:v>
      </x:c>
      <x:c r="K3758" s="26" t="n">
        <x:v>0.2</x:v>
      </x:c>
      <x:c r="L3758" s="22" t="n">
        <x:v>294.5487999999999</x:v>
      </x:c>
      <x:c r="M3758" t="n">
        <x:v>2017</x:v>
      </x:c>
      <x:c r="N3758" s="20" t="n">
        <x:v>42948</x:v>
      </x:c>
    </x:row>
    <x:row r="3759" ht="18" customHeight="1">
      <x:c r="A3759" t="str">
        <x:v>CA-2017-161956</x:v>
      </x:c>
      <x:c r="B3759" s="18" t="n">
        <x:v>42974</x:v>
      </x:c>
      <x:c r="C3759" t="str">
        <x:v>DR-12880</x:v>
      </x:c>
      <x:c r="D3759" t="str">
        <x:v>Dan Reichenbach</x:v>
      </x:c>
      <x:c r="E3759" t="str">
        <x:v>Corporate</x:v>
      </x:c>
      <x:c r="F3759" t="str">
        <x:v>West</x:v>
      </x:c>
      <x:c r="G3759" t="str">
        <x:v>Office Supplies</x:v>
      </x:c>
      <x:c r="H3759" t="str">
        <x:v>Storage</x:v>
      </x:c>
      <x:c r="I3759" s="22" t="n">
        <x:v>354.90000000000003</x:v>
      </x:c>
      <x:c r="J3759" s="24" t="n">
        <x:v>5</x:v>
      </x:c>
      <x:c r="K3759" s="26" t="n">
        <x:v>0</x:v>
      </x:c>
      <x:c r="L3759" s="22" t="n">
        <x:v>17.744999999999962</x:v>
      </x:c>
      <x:c r="M3759" t="n">
        <x:v>2017</x:v>
      </x:c>
      <x:c r="N3759" s="20" t="n">
        <x:v>42948</x:v>
      </x:c>
    </x:row>
    <x:row r="3760" ht="18" customHeight="1">
      <x:c r="A3760" t="str">
        <x:v>CA-2016-116799</x:v>
      </x:c>
      <x:c r="B3760" s="18" t="n">
        <x:v>42432</x:v>
      </x:c>
      <x:c r="C3760" t="str">
        <x:v>JG-15310</x:v>
      </x:c>
      <x:c r="D3760" t="str">
        <x:v>Jason Gross</x:v>
      </x:c>
      <x:c r="E3760" t="str">
        <x:v>Corporate</x:v>
      </x:c>
      <x:c r="F3760" t="str">
        <x:v>Central</x:v>
      </x:c>
      <x:c r="G3760" t="str">
        <x:v>Office Supplies</x:v>
      </x:c>
      <x:c r="H3760" t="str">
        <x:v>Paper</x:v>
      </x:c>
      <x:c r="I3760" s="22" t="n">
        <x:v>42.784</x:v>
      </x:c>
      <x:c r="J3760" s="24" t="n">
        <x:v>7</x:v>
      </x:c>
      <x:c r="K3760" s="26" t="n">
        <x:v>0.2</x:v>
      </x:c>
      <x:c r="L3760" s="22" t="n">
        <x:v>15.509199999999998</x:v>
      </x:c>
      <x:c r="M3760" t="n">
        <x:v>2016</x:v>
      </x:c>
      <x:c r="N3760" s="20" t="n">
        <x:v>42430</x:v>
      </x:c>
    </x:row>
    <x:row r="3761" ht="18" customHeight="1">
      <x:c r="A3761" t="str">
        <x:v>CA-2016-116799</x:v>
      </x:c>
      <x:c r="B3761" s="18" t="n">
        <x:v>42432</x:v>
      </x:c>
      <x:c r="C3761" t="str">
        <x:v>JG-15310</x:v>
      </x:c>
      <x:c r="D3761" t="str">
        <x:v>Jason Gross</x:v>
      </x:c>
      <x:c r="E3761" t="str">
        <x:v>Corporate</x:v>
      </x:c>
      <x:c r="F3761" t="str">
        <x:v>Central</x:v>
      </x:c>
      <x:c r="G3761" t="str">
        <x:v>Furniture</x:v>
      </x:c>
      <x:c r="H3761" t="str">
        <x:v>Chairs</x:v>
      </x:c>
      <x:c r="I3761" s="22" t="n">
        <x:v>563.4299999999998</x:v>
      </x:c>
      <x:c r="J3761" s="24" t="n">
        <x:v>5</x:v>
      </x:c>
      <x:c r="K3761" s="26" t="n">
        <x:v>0.3</x:v>
      </x:c>
      <x:c r="L3761" s="22" t="n">
        <x:v>-56.34300000000002</x:v>
      </x:c>
      <x:c r="M3761" t="n">
        <x:v>2016</x:v>
      </x:c>
      <x:c r="N3761" s="20" t="n">
        <x:v>42430</x:v>
      </x:c>
    </x:row>
    <x:row r="3762" ht="18" customHeight="1">
      <x:c r="A3762" t="str">
        <x:v>CA-2016-111283</x:v>
      </x:c>
      <x:c r="B3762" s="18" t="n">
        <x:v>42429</x:v>
      </x:c>
      <x:c r="C3762" t="str">
        <x:v>LC-16870</x:v>
      </x:c>
      <x:c r="D3762" t="str">
        <x:v>Lena Cacioppo</x:v>
      </x:c>
      <x:c r="E3762" t="str">
        <x:v>Consumer</x:v>
      </x:c>
      <x:c r="F3762" t="str">
        <x:v>East</x:v>
      </x:c>
      <x:c r="G3762" t="str">
        <x:v>Office Supplies</x:v>
      </x:c>
      <x:c r="H3762" t="str">
        <x:v>Art</x:v>
      </x:c>
      <x:c r="I3762" s="22" t="n">
        <x:v>111.104</x:v>
      </x:c>
      <x:c r="J3762" s="24" t="n">
        <x:v>7</x:v>
      </x:c>
      <x:c r="K3762" s="26" t="n">
        <x:v>0.2</x:v>
      </x:c>
      <x:c r="L3762" s="22" t="n">
        <x:v>8.332800000000002</x:v>
      </x:c>
      <x:c r="M3762" t="n">
        <x:v>2016</x:v>
      </x:c>
      <x:c r="N3762" s="20" t="n">
        <x:v>42401</x:v>
      </x:c>
    </x:row>
    <x:row r="3763" ht="18" customHeight="1">
      <x:c r="A3763" t="str">
        <x:v>CA-2015-167745</x:v>
      </x:c>
      <x:c r="B3763" s="18" t="n">
        <x:v>42265</x:v>
      </x:c>
      <x:c r="C3763" t="str">
        <x:v>GB-14530</x:v>
      </x:c>
      <x:c r="D3763" t="str">
        <x:v>George Bell</x:v>
      </x:c>
      <x:c r="E3763" t="str">
        <x:v>Corporate</x:v>
      </x:c>
      <x:c r="F3763" t="str">
        <x:v>West</x:v>
      </x:c>
      <x:c r="G3763" t="str">
        <x:v>Office Supplies</x:v>
      </x:c>
      <x:c r="H3763" t="str">
        <x:v>Art</x:v>
      </x:c>
      <x:c r="I3763" s="22" t="n">
        <x:v>11.68</x:v>
      </x:c>
      <x:c r="J3763" s="24" t="n">
        <x:v>2</x:v>
      </x:c>
      <x:c r="K3763" s="26" t="n">
        <x:v>0</x:v>
      </x:c>
      <x:c r="L3763" s="22" t="n">
        <x:v>5.489599999999999</x:v>
      </x:c>
      <x:c r="M3763" t="n">
        <x:v>2015</x:v>
      </x:c>
      <x:c r="N3763" s="20" t="n">
        <x:v>42248</x:v>
      </x:c>
    </x:row>
    <x:row r="3764" ht="18" customHeight="1">
      <x:c r="A3764" t="str">
        <x:v>CA-2015-167745</x:v>
      </x:c>
      <x:c r="B3764" s="18" t="n">
        <x:v>42265</x:v>
      </x:c>
      <x:c r="C3764" t="str">
        <x:v>GB-14530</x:v>
      </x:c>
      <x:c r="D3764" t="str">
        <x:v>George Bell</x:v>
      </x:c>
      <x:c r="E3764" t="str">
        <x:v>Corporate</x:v>
      </x:c>
      <x:c r="F3764" t="str">
        <x:v>West</x:v>
      </x:c>
      <x:c r="G3764" t="str">
        <x:v>Office Supplies</x:v>
      </x:c>
      <x:c r="H3764" t="str">
        <x:v>Supplies</x:v>
      </x:c>
      <x:c r="I3764" s="22" t="n">
        <x:v>16.9</x:v>
      </x:c>
      <x:c r="J3764" s="24" t="n">
        <x:v>2</x:v>
      </x:c>
      <x:c r="K3764" s="26" t="n">
        <x:v>0</x:v>
      </x:c>
      <x:c r="L3764" s="22" t="n">
        <x:v>5.0699999999999985</x:v>
      </x:c>
      <x:c r="M3764" t="n">
        <x:v>2015</x:v>
      </x:c>
      <x:c r="N3764" s="20" t="n">
        <x:v>42248</x:v>
      </x:c>
    </x:row>
    <x:row r="3765" ht="18" customHeight="1">
      <x:c r="A3765" t="str">
        <x:v>CA-2015-167745</x:v>
      </x:c>
      <x:c r="B3765" s="18" t="n">
        <x:v>42265</x:v>
      </x:c>
      <x:c r="C3765" t="str">
        <x:v>GB-14530</x:v>
      </x:c>
      <x:c r="D3765" t="str">
        <x:v>George Bell</x:v>
      </x:c>
      <x:c r="E3765" t="str">
        <x:v>Corporate</x:v>
      </x:c>
      <x:c r="F3765" t="str">
        <x:v>West</x:v>
      </x:c>
      <x:c r="G3765" t="str">
        <x:v>Furniture</x:v>
      </x:c>
      <x:c r="H3765" t="str">
        <x:v>Furnishings</x:v>
      </x:c>
      <x:c r="I3765" s="22" t="n">
        <x:v>24.4</x:v>
      </x:c>
      <x:c r="J3765" s="24" t="n">
        <x:v>2</x:v>
      </x:c>
      <x:c r="K3765" s="26" t="n">
        <x:v>0</x:v>
      </x:c>
      <x:c r="L3765" s="22" t="n">
        <x:v>10.248000000000001</x:v>
      </x:c>
      <x:c r="M3765" t="n">
        <x:v>2015</x:v>
      </x:c>
      <x:c r="N3765" s="20" t="n">
        <x:v>42248</x:v>
      </x:c>
    </x:row>
    <x:row r="3766" ht="18" customHeight="1">
      <x:c r="A3766" t="str">
        <x:v>CA-2017-104577</x:v>
      </x:c>
      <x:c r="B3766" s="18" t="n">
        <x:v>42867</x:v>
      </x:c>
      <x:c r="C3766" t="str">
        <x:v>CK-12205</x:v>
      </x:c>
      <x:c r="D3766" t="str">
        <x:v>Chloris Kastensmidt</x:v>
      </x:c>
      <x:c r="E3766" t="str">
        <x:v>Consumer</x:v>
      </x:c>
      <x:c r="F3766" t="str">
        <x:v>East</x:v>
      </x:c>
      <x:c r="G3766" t="str">
        <x:v>Office Supplies</x:v>
      </x:c>
      <x:c r="H3766" t="str">
        <x:v>Paper</x:v>
      </x:c>
      <x:c r="I3766" s="22" t="n">
        <x:v>87.6</x:v>
      </x:c>
      <x:c r="J3766" s="24" t="n">
        <x:v>5</x:v>
      </x:c>
      <x:c r="K3766" s="26" t="n">
        <x:v>0</x:v>
      </x:c>
      <x:c r="L3766" s="22" t="n">
        <x:v>42.047999999999995</x:v>
      </x:c>
      <x:c r="M3766" t="n">
        <x:v>2017</x:v>
      </x:c>
      <x:c r="N3766" s="20" t="n">
        <x:v>42856</x:v>
      </x:c>
    </x:row>
    <x:row r="3767" ht="18" customHeight="1">
      <x:c r="A3767" t="str">
        <x:v>CA-2016-156251</x:v>
      </x:c>
      <x:c r="B3767" s="18" t="n">
        <x:v>42595</x:v>
      </x:c>
      <x:c r="C3767" t="str">
        <x:v>TS-21160</x:v>
      </x:c>
      <x:c r="D3767" t="str">
        <x:v>Theresa Swint</x:v>
      </x:c>
      <x:c r="E3767" t="str">
        <x:v>Corporate</x:v>
      </x:c>
      <x:c r="F3767" t="str">
        <x:v>Central</x:v>
      </x:c>
      <x:c r="G3767" t="str">
        <x:v>Furniture</x:v>
      </x:c>
      <x:c r="H3767" t="str">
        <x:v>Bookcases</x:v>
      </x:c>
      <x:c r="I3767" s="22" t="n">
        <x:v>241.96</x:v>
      </x:c>
      <x:c r="J3767" s="24" t="n">
        <x:v>2</x:v>
      </x:c>
      <x:c r="K3767" s="26" t="n">
        <x:v>0</x:v>
      </x:c>
      <x:c r="L3767" s="22" t="n">
        <x:v>24.195999999999998</x:v>
      </x:c>
      <x:c r="M3767" t="n">
        <x:v>2016</x:v>
      </x:c>
      <x:c r="N3767" s="20" t="n">
        <x:v>42583</x:v>
      </x:c>
    </x:row>
    <x:row r="3768" ht="18" customHeight="1">
      <x:c r="A3768" t="str">
        <x:v>CA-2016-156251</x:v>
      </x:c>
      <x:c r="B3768" s="18" t="n">
        <x:v>42595</x:v>
      </x:c>
      <x:c r="C3768" t="str">
        <x:v>TS-21160</x:v>
      </x:c>
      <x:c r="D3768" t="str">
        <x:v>Theresa Swint</x:v>
      </x:c>
      <x:c r="E3768" t="str">
        <x:v>Corporate</x:v>
      </x:c>
      <x:c r="F3768" t="str">
        <x:v>Central</x:v>
      </x:c>
      <x:c r="G3768" t="str">
        <x:v>Office Supplies</x:v>
      </x:c>
      <x:c r="H3768" t="str">
        <x:v>Binders</x:v>
      </x:c>
      <x:c r="I3768" s="22" t="n">
        <x:v>8.52</x:v>
      </x:c>
      <x:c r="J3768" s="24" t="n">
        <x:v>3</x:v>
      </x:c>
      <x:c r="K3768" s="26" t="n">
        <x:v>0</x:v>
      </x:c>
      <x:c r="L3768" s="22" t="n">
        <x:v>4.174799999999999</x:v>
      </x:c>
      <x:c r="M3768" t="n">
        <x:v>2016</x:v>
      </x:c>
      <x:c r="N3768" s="20" t="n">
        <x:v>42583</x:v>
      </x:c>
    </x:row>
    <x:row r="3769" ht="18" customHeight="1">
      <x:c r="A3769" t="str">
        <x:v>CA-2017-125878</x:v>
      </x:c>
      <x:c r="B3769" s="18" t="n">
        <x:v>42791</x:v>
      </x:c>
      <x:c r="C3769" t="str">
        <x:v>MH-18025</x:v>
      </x:c>
      <x:c r="D3769" t="str">
        <x:v>Michelle Huthwaite</x:v>
      </x:c>
      <x:c r="E3769" t="str">
        <x:v>Consumer</x:v>
      </x:c>
      <x:c r="F3769" t="str">
        <x:v>Central</x:v>
      </x:c>
      <x:c r="G3769" t="str">
        <x:v>Office Supplies</x:v>
      </x:c>
      <x:c r="H3769" t="str">
        <x:v>Binders</x:v>
      </x:c>
      <x:c r="I3769" s="22" t="n">
        <x:v>1.7879999999999996</x:v>
      </x:c>
      <x:c r="J3769" s="24" t="n">
        <x:v>3</x:v>
      </x:c>
      <x:c r="K3769" s="26" t="n">
        <x:v>0.8</x:v>
      </x:c>
      <x:c r="L3769" s="22" t="n">
        <x:v>-3.0396</x:v>
      </x:c>
      <x:c r="M3769" t="n">
        <x:v>2017</x:v>
      </x:c>
      <x:c r="N3769" s="20" t="n">
        <x:v>42767</x:v>
      </x:c>
    </x:row>
    <x:row r="3770" ht="18" customHeight="1">
      <x:c r="A3770" t="str">
        <x:v>CA-2016-163153</x:v>
      </x:c>
      <x:c r="B3770" s="18" t="n">
        <x:v>42450</x:v>
      </x:c>
      <x:c r="C3770" t="str">
        <x:v>DM-12955</x:v>
      </x:c>
      <x:c r="D3770" t="str">
        <x:v>Dario Medina</x:v>
      </x:c>
      <x:c r="E3770" t="str">
        <x:v>Corporate</x:v>
      </x:c>
      <x:c r="F3770" t="str">
        <x:v>Central</x:v>
      </x:c>
      <x:c r="G3770" t="str">
        <x:v>Furniture</x:v>
      </x:c>
      <x:c r="H3770" t="str">
        <x:v>Tables</x:v>
      </x:c>
      <x:c r="I3770" s="22" t="n">
        <x:v>99.372</x:v>
      </x:c>
      <x:c r="J3770" s="24" t="n">
        <x:v>2</x:v>
      </x:c>
      <x:c r="K3770" s="26" t="n">
        <x:v>0.3</x:v>
      </x:c>
      <x:c r="L3770" s="22" t="n">
        <x:v>-1.4196000000000097</x:v>
      </x:c>
      <x:c r="M3770" t="n">
        <x:v>2016</x:v>
      </x:c>
      <x:c r="N3770" s="20" t="n">
        <x:v>42430</x:v>
      </x:c>
    </x:row>
    <x:row r="3771" ht="18" customHeight="1">
      <x:c r="A3771" t="str">
        <x:v>CA-2016-163153</x:v>
      </x:c>
      <x:c r="B3771" s="18" t="n">
        <x:v>42450</x:v>
      </x:c>
      <x:c r="C3771" t="str">
        <x:v>DM-12955</x:v>
      </x:c>
      <x:c r="D3771" t="str">
        <x:v>Dario Medina</x:v>
      </x:c>
      <x:c r="E3771" t="str">
        <x:v>Corporate</x:v>
      </x:c>
      <x:c r="F3771" t="str">
        <x:v>Central</x:v>
      </x:c>
      <x:c r="G3771" t="str">
        <x:v>Office Supplies</x:v>
      </x:c>
      <x:c r="H3771" t="str">
        <x:v>Art</x:v>
      </x:c>
      <x:c r="I3771" s="22" t="n">
        <x:v>1.344</x:v>
      </x:c>
      <x:c r="J3771" s="24" t="n">
        <x:v>1</x:v>
      </x:c>
      <x:c r="K3771" s="26" t="n">
        <x:v>0.2</x:v>
      </x:c>
      <x:c r="L3771" s="22" t="n">
        <x:v>0.504</x:v>
      </x:c>
      <x:c r="M3771" t="n">
        <x:v>2016</x:v>
      </x:c>
      <x:c r="N3771" s="20" t="n">
        <x:v>42430</x:v>
      </x:c>
    </x:row>
    <x:row r="3772" ht="18" customHeight="1">
      <x:c r="A3772" t="str">
        <x:v>CA-2015-103205</x:v>
      </x:c>
      <x:c r="B3772" s="18" t="n">
        <x:v>42346</x:v>
      </x:c>
      <x:c r="C3772" t="str">
        <x:v>JJ-15760</x:v>
      </x:c>
      <x:c r="D3772" t="str">
        <x:v>Joel Jenkins</x:v>
      </x:c>
      <x:c r="E3772" t="str">
        <x:v>Home Office</x:v>
      </x:c>
      <x:c r="F3772" t="str">
        <x:v>Central</x:v>
      </x:c>
      <x:c r="G3772" t="str">
        <x:v>Technology</x:v>
      </x:c>
      <x:c r="H3772" t="str">
        <x:v>Phones</x:v>
      </x:c>
      <x:c r="I3772" s="22" t="n">
        <x:v>119.96000000000001</x:v>
      </x:c>
      <x:c r="J3772" s="24" t="n">
        <x:v>5</x:v>
      </x:c>
      <x:c r="K3772" s="26" t="n">
        <x:v>0.2</x:v>
      </x:c>
      <x:c r="L3772" s="22" t="n">
        <x:v>11.996000000000002</x:v>
      </x:c>
      <x:c r="M3772" t="n">
        <x:v>2015</x:v>
      </x:c>
      <x:c r="N3772" s="20" t="n">
        <x:v>42339</x:v>
      </x:c>
    </x:row>
    <x:row r="3773" ht="18" customHeight="1">
      <x:c r="A3773" t="str">
        <x:v>CA-2014-153913</x:v>
      </x:c>
      <x:c r="B3773" s="18" t="n">
        <x:v>41989</x:v>
      </x:c>
      <x:c r="C3773" t="str">
        <x:v>KB-16585</x:v>
      </x:c>
      <x:c r="D3773" t="str">
        <x:v>Ken Black</x:v>
      </x:c>
      <x:c r="E3773" t="str">
        <x:v>Corporate</x:v>
      </x:c>
      <x:c r="F3773" t="str">
        <x:v>South</x:v>
      </x:c>
      <x:c r="G3773" t="str">
        <x:v>Furniture</x:v>
      </x:c>
      <x:c r="H3773" t="str">
        <x:v>Chairs</x:v>
      </x:c>
      <x:c r="I3773" s="22" t="n">
        <x:v>1013.8320000000001</x:v>
      </x:c>
      <x:c r="J3773" s="24" t="n">
        <x:v>9</x:v>
      </x:c>
      <x:c r="K3773" s="26" t="n">
        <x:v>0.2</x:v>
      </x:c>
      <x:c r="L3773" s="22" t="n">
        <x:v>101.38319999999999</x:v>
      </x:c>
      <x:c r="M3773" t="n">
        <x:v>2014</x:v>
      </x:c>
      <x:c r="N3773" s="20" t="n">
        <x:v>41974</x:v>
      </x:c>
    </x:row>
    <x:row r="3774" ht="18" customHeight="1">
      <x:c r="A3774" t="str">
        <x:v>CA-2014-153913</x:v>
      </x:c>
      <x:c r="B3774" s="18" t="n">
        <x:v>41989</x:v>
      </x:c>
      <x:c r="C3774" t="str">
        <x:v>KB-16585</x:v>
      </x:c>
      <x:c r="D3774" t="str">
        <x:v>Ken Black</x:v>
      </x:c>
      <x:c r="E3774" t="str">
        <x:v>Corporate</x:v>
      </x:c>
      <x:c r="F3774" t="str">
        <x:v>South</x:v>
      </x:c>
      <x:c r="G3774" t="str">
        <x:v>Office Supplies</x:v>
      </x:c>
      <x:c r="H3774" t="str">
        <x:v>Fasteners</x:v>
      </x:c>
      <x:c r="I3774" s="22" t="n">
        <x:v>1.984</x:v>
      </x:c>
      <x:c r="J3774" s="24" t="n">
        <x:v>2</x:v>
      </x:c>
      <x:c r="K3774" s="26" t="n">
        <x:v>0.2</x:v>
      </x:c>
      <x:c r="L3774" s="22" t="n">
        <x:v>0.6696</x:v>
      </x:c>
      <x:c r="M3774" t="n">
        <x:v>2014</x:v>
      </x:c>
      <x:c r="N3774" s="20" t="n">
        <x:v>41974</x:v>
      </x:c>
    </x:row>
    <x:row r="3775" ht="18" customHeight="1">
      <x:c r="A3775" t="str">
        <x:v>CA-2016-155530</x:v>
      </x:c>
      <x:c r="B3775" s="18" t="n">
        <x:v>42721</x:v>
      </x:c>
      <x:c r="C3775" t="str">
        <x:v>CM-12160</x:v>
      </x:c>
      <x:c r="D3775" t="str">
        <x:v>Charles McCrossin</x:v>
      </x:c>
      <x:c r="E3775" t="str">
        <x:v>Consumer</x:v>
      </x:c>
      <x:c r="F3775" t="str">
        <x:v>West</x:v>
      </x:c>
      <x:c r="G3775" t="str">
        <x:v>Furniture</x:v>
      </x:c>
      <x:c r="H3775" t="str">
        <x:v>Tables</x:v>
      </x:c>
      <x:c r="I3775" s="22" t="n">
        <x:v>2003.52</x:v>
      </x:c>
      <x:c r="J3775" s="24" t="n">
        <x:v>6</x:v>
      </x:c>
      <x:c r="K3775" s="26" t="n">
        <x:v>0.2</x:v>
      </x:c>
      <x:c r="L3775" s="22" t="n">
        <x:v>-325.57200000000023</x:v>
      </x:c>
      <x:c r="M3775" t="n">
        <x:v>2016</x:v>
      </x:c>
      <x:c r="N3775" s="20" t="n">
        <x:v>42705</x:v>
      </x:c>
    </x:row>
    <x:row r="3776" ht="18" customHeight="1">
      <x:c r="A3776" t="str">
        <x:v>US-2016-101196</x:v>
      </x:c>
      <x:c r="B3776" s="18" t="n">
        <x:v>42502</x:v>
      </x:c>
      <x:c r="C3776" t="str">
        <x:v>FM-14215</x:v>
      </x:c>
      <x:c r="D3776" t="str">
        <x:v>Filia McAdams</x:v>
      </x:c>
      <x:c r="E3776" t="str">
        <x:v>Corporate</x:v>
      </x:c>
      <x:c r="F3776" t="str">
        <x:v>East</x:v>
      </x:c>
      <x:c r="G3776" t="str">
        <x:v>Office Supplies</x:v>
      </x:c>
      <x:c r="H3776" t="str">
        <x:v>Storage</x:v>
      </x:c>
      <x:c r="I3776" s="22" t="n">
        <x:v>82.368</x:v>
      </x:c>
      <x:c r="J3776" s="24" t="n">
        <x:v>2</x:v>
      </x:c>
      <x:c r="K3776" s="26" t="n">
        <x:v>0.2</x:v>
      </x:c>
      <x:c r="L3776" s="22" t="n">
        <x:v>-19.562399999999997</x:v>
      </x:c>
      <x:c r="M3776" t="n">
        <x:v>2016</x:v>
      </x:c>
      <x:c r="N3776" s="20" t="n">
        <x:v>42491</x:v>
      </x:c>
    </x:row>
    <x:row r="3777" ht="18" customHeight="1">
      <x:c r="A3777" t="str">
        <x:v>CA-2014-115357</x:v>
      </x:c>
      <x:c r="B3777" s="18" t="n">
        <x:v>41857</x:v>
      </x:c>
      <x:c r="C3777" t="str">
        <x:v>RF-19735</x:v>
      </x:c>
      <x:c r="D3777" t="str">
        <x:v>Roland Fjeld</x:v>
      </x:c>
      <x:c r="E3777" t="str">
        <x:v>Consumer</x:v>
      </x:c>
      <x:c r="F3777" t="str">
        <x:v>South</x:v>
      </x:c>
      <x:c r="G3777" t="str">
        <x:v>Technology</x:v>
      </x:c>
      <x:c r="H3777" t="str">
        <x:v>Accessories</x:v>
      </x:c>
      <x:c r="I3777" s="22" t="n">
        <x:v>62.91</x:v>
      </x:c>
      <x:c r="J3777" s="24" t="n">
        <x:v>3</x:v>
      </x:c>
      <x:c r="K3777" s="26" t="n">
        <x:v>0</x:v>
      </x:c>
      <x:c r="L3777" s="22" t="n">
        <x:v>22.647599999999997</x:v>
      </x:c>
      <x:c r="M3777" t="n">
        <x:v>2014</x:v>
      </x:c>
      <x:c r="N3777" s="20" t="n">
        <x:v>41852</x:v>
      </x:c>
    </x:row>
    <x:row r="3778" ht="18" customHeight="1">
      <x:c r="A3778" t="str">
        <x:v>US-2014-102715</x:v>
      </x:c>
      <x:c r="B3778" s="18" t="n">
        <x:v>41740</x:v>
      </x:c>
      <x:c r="C3778" t="str">
        <x:v>JK-15370</x:v>
      </x:c>
      <x:c r="D3778" t="str">
        <x:v>Jay Kimmel</x:v>
      </x:c>
      <x:c r="E3778" t="str">
        <x:v>Consumer</x:v>
      </x:c>
      <x:c r="F3778" t="str">
        <x:v>South</x:v>
      </x:c>
      <x:c r="G3778" t="str">
        <x:v>Office Supplies</x:v>
      </x:c>
      <x:c r="H3778" t="str">
        <x:v>Fasteners</x:v>
      </x:c>
      <x:c r="I3778" s="22" t="n">
        <x:v>6.911999999999999</x:v>
      </x:c>
      <x:c r="J3778" s="24" t="n">
        <x:v>3</x:v>
      </x:c>
      <x:c r="K3778" s="26" t="n">
        <x:v>0.2</x:v>
      </x:c>
      <x:c r="L3778" s="22" t="n">
        <x:v>2.3327999999999998</x:v>
      </x:c>
      <x:c r="M3778" t="n">
        <x:v>2014</x:v>
      </x:c>
      <x:c r="N3778" s="20" t="n">
        <x:v>41730</x:v>
      </x:c>
    </x:row>
    <x:row r="3779" ht="18" customHeight="1">
      <x:c r="A3779" t="str">
        <x:v>US-2014-102715</x:v>
      </x:c>
      <x:c r="B3779" s="18" t="n">
        <x:v>41740</x:v>
      </x:c>
      <x:c r="C3779" t="str">
        <x:v>JK-15370</x:v>
      </x:c>
      <x:c r="D3779" t="str">
        <x:v>Jay Kimmel</x:v>
      </x:c>
      <x:c r="E3779" t="str">
        <x:v>Consumer</x:v>
      </x:c>
      <x:c r="F3779" t="str">
        <x:v>South</x:v>
      </x:c>
      <x:c r="G3779" t="str">
        <x:v>Technology</x:v>
      </x:c>
      <x:c r="H3779" t="str">
        <x:v>Accessories</x:v>
      </x:c>
      <x:c r="I3779" s="22" t="n">
        <x:v>383.97600000000006</x:v>
      </x:c>
      <x:c r="J3779" s="24" t="n">
        <x:v>3</x:v>
      </x:c>
      <x:c r="K3779" s="26" t="n">
        <x:v>0.2</x:v>
      </x:c>
      <x:c r="L3779" s="22" t="n">
        <x:v>81.59490000000001</x:v>
      </x:c>
      <x:c r="M3779" t="n">
        <x:v>2014</x:v>
      </x:c>
      <x:c r="N3779" s="20" t="n">
        <x:v>41730</x:v>
      </x:c>
    </x:row>
    <x:row r="3780" ht="18" customHeight="1">
      <x:c r="A3780" t="str">
        <x:v>US-2014-102715</x:v>
      </x:c>
      <x:c r="B3780" s="18" t="n">
        <x:v>41740</x:v>
      </x:c>
      <x:c r="C3780" t="str">
        <x:v>JK-15370</x:v>
      </x:c>
      <x:c r="D3780" t="str">
        <x:v>Jay Kimmel</x:v>
      </x:c>
      <x:c r="E3780" t="str">
        <x:v>Consumer</x:v>
      </x:c>
      <x:c r="F3780" t="str">
        <x:v>South</x:v>
      </x:c>
      <x:c r="G3780" t="str">
        <x:v>Office Supplies</x:v>
      </x:c>
      <x:c r="H3780" t="str">
        <x:v>Paper</x:v>
      </x:c>
      <x:c r="I3780" s="22" t="n">
        <x:v>10.368000000000002</x:v>
      </x:c>
      <x:c r="J3780" s="24" t="n">
        <x:v>2</x:v>
      </x:c>
      <x:c r="K3780" s="26" t="n">
        <x:v>0.2</x:v>
      </x:c>
      <x:c r="L3780" s="22" t="n">
        <x:v>3.6288</x:v>
      </x:c>
      <x:c r="M3780" t="n">
        <x:v>2014</x:v>
      </x:c>
      <x:c r="N3780" s="20" t="n">
        <x:v>41730</x:v>
      </x:c>
    </x:row>
    <x:row r="3781" ht="18" customHeight="1">
      <x:c r="A3781" t="str">
        <x:v>US-2014-102715</x:v>
      </x:c>
      <x:c r="B3781" s="18" t="n">
        <x:v>41740</x:v>
      </x:c>
      <x:c r="C3781" t="str">
        <x:v>JK-15370</x:v>
      </x:c>
      <x:c r="D3781" t="str">
        <x:v>Jay Kimmel</x:v>
      </x:c>
      <x:c r="E3781" t="str">
        <x:v>Consumer</x:v>
      </x:c>
      <x:c r="F3781" t="str">
        <x:v>South</x:v>
      </x:c>
      <x:c r="G3781" t="str">
        <x:v>Technology</x:v>
      </x:c>
      <x:c r="H3781" t="str">
        <x:v>Accessories</x:v>
      </x:c>
      <x:c r="I3781" s="22" t="n">
        <x:v>335.944</x:v>
      </x:c>
      <x:c r="J3781" s="24" t="n">
        <x:v>7</x:v>
      </x:c>
      <x:c r="K3781" s="26" t="n">
        <x:v>0.2</x:v>
      </x:c>
      <x:c r="L3781" s="22" t="n">
        <x:v>41.992999999999995</x:v>
      </x:c>
      <x:c r="M3781" t="n">
        <x:v>2014</x:v>
      </x:c>
      <x:c r="N3781" s="20" t="n">
        <x:v>41730</x:v>
      </x:c>
    </x:row>
    <x:row r="3782" ht="18" customHeight="1">
      <x:c r="A3782" t="str">
        <x:v>CA-2015-107937</x:v>
      </x:c>
      <x:c r="B3782" s="18" t="n">
        <x:v>42127</x:v>
      </x:c>
      <x:c r="C3782" t="str">
        <x:v>JB-16045</x:v>
      </x:c>
      <x:c r="D3782" t="str">
        <x:v>Julia Barnett</x:v>
      </x:c>
      <x:c r="E3782" t="str">
        <x:v>Home Office</x:v>
      </x:c>
      <x:c r="F3782" t="str">
        <x:v>West</x:v>
      </x:c>
      <x:c r="G3782" t="str">
        <x:v>Furniture</x:v>
      </x:c>
      <x:c r="H3782" t="str">
        <x:v>Furnishings</x:v>
      </x:c>
      <x:c r="I3782" s="22" t="n">
        <x:v>665.88</x:v>
      </x:c>
      <x:c r="J3782" s="24" t="n">
        <x:v>6</x:v>
      </x:c>
      <x:c r="K3782" s="26" t="n">
        <x:v>0</x:v>
      </x:c>
      <x:c r="L3782" s="22" t="n">
        <x:v>106.54079999999999</x:v>
      </x:c>
      <x:c r="M3782" t="n">
        <x:v>2015</x:v>
      </x:c>
      <x:c r="N3782" s="20" t="n">
        <x:v>42125</x:v>
      </x:c>
    </x:row>
    <x:row r="3783" ht="18" customHeight="1">
      <x:c r="A3783" t="str">
        <x:v>US-2017-148768</x:v>
      </x:c>
      <x:c r="B3783" s="18" t="n">
        <x:v>43069</x:v>
      </x:c>
      <x:c r="C3783" t="str">
        <x:v>PN-18775</x:v>
      </x:c>
      <x:c r="D3783" t="str">
        <x:v>Parhena Norris</x:v>
      </x:c>
      <x:c r="E3783" t="str">
        <x:v>Home Office</x:v>
      </x:c>
      <x:c r="F3783" t="str">
        <x:v>South</x:v>
      </x:c>
      <x:c r="G3783" t="str">
        <x:v>Technology</x:v>
      </x:c>
      <x:c r="H3783" t="str">
        <x:v>Phones</x:v>
      </x:c>
      <x:c r="I3783" s="22" t="n">
        <x:v>71.976</x:v>
      </x:c>
      <x:c r="J3783" s="24" t="n">
        <x:v>3</x:v>
      </x:c>
      <x:c r="K3783" s="26" t="n">
        <x:v>0.2</x:v>
      </x:c>
      <x:c r="L3783" s="22" t="n">
        <x:v>8.99699999999999</x:v>
      </x:c>
      <x:c r="M3783" t="n">
        <x:v>2017</x:v>
      </x:c>
      <x:c r="N3783" s="20" t="n">
        <x:v>43040</x:v>
      </x:c>
    </x:row>
    <x:row r="3784" ht="18" customHeight="1">
      <x:c r="A3784" t="str">
        <x:v>CA-2017-118521</x:v>
      </x:c>
      <x:c r="B3784" s="18" t="n">
        <x:v>42782</x:v>
      </x:c>
      <x:c r="C3784" t="str">
        <x:v>LF-17185</x:v>
      </x:c>
      <x:c r="D3784" t="str">
        <x:v>Luke Foster</x:v>
      </x:c>
      <x:c r="E3784" t="str">
        <x:v>Consumer</x:v>
      </x:c>
      <x:c r="F3784" t="str">
        <x:v>East</x:v>
      </x:c>
      <x:c r="G3784" t="str">
        <x:v>Office Supplies</x:v>
      </x:c>
      <x:c r="H3784" t="str">
        <x:v>Paper</x:v>
      </x:c>
      <x:c r="I3784" s="22" t="n">
        <x:v>37.94</x:v>
      </x:c>
      <x:c r="J3784" s="24" t="n">
        <x:v>2</x:v>
      </x:c>
      <x:c r="K3784" s="26" t="n">
        <x:v>0</x:v>
      </x:c>
      <x:c r="L3784" s="22" t="n">
        <x:v>18.211199999999998</x:v>
      </x:c>
      <x:c r="M3784" t="n">
        <x:v>2017</x:v>
      </x:c>
      <x:c r="N3784" s="20" t="n">
        <x:v>42767</x:v>
      </x:c>
    </x:row>
    <x:row r="3785" ht="18" customHeight="1">
      <x:c r="A3785" t="str">
        <x:v>CA-2014-149643</x:v>
      </x:c>
      <x:c r="B3785" s="18" t="n">
        <x:v>41959</x:v>
      </x:c>
      <x:c r="C3785" t="str">
        <x:v>RH-19510</x:v>
      </x:c>
      <x:c r="D3785" t="str">
        <x:v>Rick Huthwaite</x:v>
      </x:c>
      <x:c r="E3785" t="str">
        <x:v>Home Office</x:v>
      </x:c>
      <x:c r="F3785" t="str">
        <x:v>Central</x:v>
      </x:c>
      <x:c r="G3785" t="str">
        <x:v>Technology</x:v>
      </x:c>
      <x:c r="H3785" t="str">
        <x:v>Phones</x:v>
      </x:c>
      <x:c r="I3785" s="22" t="n">
        <x:v>273.96</x:v>
      </x:c>
      <x:c r="J3785" s="24" t="n">
        <x:v>2</x:v>
      </x:c>
      <x:c r="K3785" s="26" t="n">
        <x:v>0</x:v>
      </x:c>
      <x:c r="L3785" s="22" t="n">
        <x:v>10.958399999999983</x:v>
      </x:c>
      <x:c r="M3785" t="n">
        <x:v>2014</x:v>
      </x:c>
      <x:c r="N3785" s="20" t="n">
        <x:v>41944</x:v>
      </x:c>
    </x:row>
    <x:row r="3786" ht="18" customHeight="1">
      <x:c r="A3786" t="str">
        <x:v>CA-2015-135314</x:v>
      </x:c>
      <x:c r="B3786" s="18" t="n">
        <x:v>42194</x:v>
      </x:c>
      <x:c r="C3786" t="str">
        <x:v>MC-17575</x:v>
      </x:c>
      <x:c r="D3786" t="str">
        <x:v>Matt Collins</x:v>
      </x:c>
      <x:c r="E3786" t="str">
        <x:v>Consumer</x:v>
      </x:c>
      <x:c r="F3786" t="str">
        <x:v>East</x:v>
      </x:c>
      <x:c r="G3786" t="str">
        <x:v>Technology</x:v>
      </x:c>
      <x:c r="H3786" t="str">
        <x:v>Phones</x:v>
      </x:c>
      <x:c r="I3786" s="22" t="n">
        <x:v>269.98199999999997</x:v>
      </x:c>
      <x:c r="J3786" s="24" t="n">
        <x:v>3</x:v>
      </x:c>
      <x:c r="K3786" s="26" t="n">
        <x:v>0.4</x:v>
      </x:c>
      <x:c r="L3786" s="22" t="n">
        <x:v>40.497299999999996</x:v>
      </x:c>
      <x:c r="M3786" t="n">
        <x:v>2015</x:v>
      </x:c>
      <x:c r="N3786" s="20" t="n">
        <x:v>42186</x:v>
      </x:c>
    </x:row>
    <x:row r="3787" ht="18" customHeight="1">
      <x:c r="A3787" t="str">
        <x:v>CA-2017-165204</x:v>
      </x:c>
      <x:c r="B3787" s="18" t="n">
        <x:v>43052</x:v>
      </x:c>
      <x:c r="C3787" t="str">
        <x:v>MN-17935</x:v>
      </x:c>
      <x:c r="D3787" t="str">
        <x:v>Michael Nguyen</x:v>
      </x:c>
      <x:c r="E3787" t="str">
        <x:v>Consumer</x:v>
      </x:c>
      <x:c r="F3787" t="str">
        <x:v>South</x:v>
      </x:c>
      <x:c r="G3787" t="str">
        <x:v>Office Supplies</x:v>
      </x:c>
      <x:c r="H3787" t="str">
        <x:v>Paper</x:v>
      </x:c>
      <x:c r="I3787" s="22" t="n">
        <x:v>8.904</x:v>
      </x:c>
      <x:c r="J3787" s="24" t="n">
        <x:v>3</x:v>
      </x:c>
      <x:c r="K3787" s="26" t="n">
        <x:v>0.2</x:v>
      </x:c>
      <x:c r="L3787" s="22" t="n">
        <x:v>3.3389999999999995</x:v>
      </x:c>
      <x:c r="M3787" t="n">
        <x:v>2017</x:v>
      </x:c>
      <x:c r="N3787" s="20" t="n">
        <x:v>43040</x:v>
      </x:c>
    </x:row>
    <x:row r="3788" ht="18" customHeight="1">
      <x:c r="A3788" t="str">
        <x:v>CA-2017-165204</x:v>
      </x:c>
      <x:c r="B3788" s="18" t="n">
        <x:v>43052</x:v>
      </x:c>
      <x:c r="C3788" t="str">
        <x:v>MN-17935</x:v>
      </x:c>
      <x:c r="D3788" t="str">
        <x:v>Michael Nguyen</x:v>
      </x:c>
      <x:c r="E3788" t="str">
        <x:v>Consumer</x:v>
      </x:c>
      <x:c r="F3788" t="str">
        <x:v>South</x:v>
      </x:c>
      <x:c r="G3788" t="str">
        <x:v>Office Supplies</x:v>
      </x:c>
      <x:c r="H3788" t="str">
        <x:v>Storage</x:v>
      </x:c>
      <x:c r="I3788" s="22" t="n">
        <x:v>720.0640000000001</x:v>
      </x:c>
      <x:c r="J3788" s="24" t="n">
        <x:v>4</x:v>
      </x:c>
      <x:c r="K3788" s="26" t="n">
        <x:v>0.2</x:v>
      </x:c>
      <x:c r="L3788" s="22" t="n">
        <x:v>-63.005600000000015</x:v>
      </x:c>
      <x:c r="M3788" t="n">
        <x:v>2017</x:v>
      </x:c>
      <x:c r="N3788" s="20" t="n">
        <x:v>43040</x:v>
      </x:c>
    </x:row>
    <x:row r="3789" ht="18" customHeight="1">
      <x:c r="A3789" t="str">
        <x:v>CA-2017-125752</x:v>
      </x:c>
      <x:c r="B3789" s="18" t="n">
        <x:v>42947</x:v>
      </x:c>
      <x:c r="C3789" t="str">
        <x:v>EH-14125</x:v>
      </x:c>
      <x:c r="D3789" t="str">
        <x:v>Eugene Hildebrand</x:v>
      </x:c>
      <x:c r="E3789" t="str">
        <x:v>Home Office</x:v>
      </x:c>
      <x:c r="F3789" t="str">
        <x:v>South</x:v>
      </x:c>
      <x:c r="G3789" t="str">
        <x:v>Technology</x:v>
      </x:c>
      <x:c r="H3789" t="str">
        <x:v>Accessories</x:v>
      </x:c>
      <x:c r="I3789" s="22" t="n">
        <x:v>41.42400000000001</x:v>
      </x:c>
      <x:c r="J3789" s="24" t="n">
        <x:v>2</x:v>
      </x:c>
      <x:c r="K3789" s="26" t="n">
        <x:v>0.2</x:v>
      </x:c>
      <x:c r="L3789" s="22" t="n">
        <x:v>8.284799999999997</x:v>
      </x:c>
      <x:c r="M3789" t="n">
        <x:v>2017</x:v>
      </x:c>
      <x:c r="N3789" s="20" t="n">
        <x:v>42917</x:v>
      </x:c>
    </x:row>
    <x:row r="3790" ht="18" customHeight="1">
      <x:c r="A3790" t="str">
        <x:v>CA-2017-112487</x:v>
      </x:c>
      <x:c r="B3790" s="18" t="n">
        <x:v>43095</x:v>
      </x:c>
      <x:c r="C3790" t="str">
        <x:v>TC-21535</x:v>
      </x:c>
      <x:c r="D3790" t="str">
        <x:v>Tracy Collins</x:v>
      </x:c>
      <x:c r="E3790" t="str">
        <x:v>Home Office</x:v>
      </x:c>
      <x:c r="F3790" t="str">
        <x:v>East</x:v>
      </x:c>
      <x:c r="G3790" t="str">
        <x:v>Office Supplies</x:v>
      </x:c>
      <x:c r="H3790" t="str">
        <x:v>Binders</x:v>
      </x:c>
      <x:c r="I3790" s="22" t="n">
        <x:v>3.132</x:v>
      </x:c>
      <x:c r="J3790" s="24" t="n">
        <x:v>2</x:v>
      </x:c>
      <x:c r="K3790" s="26" t="n">
        <x:v>0.7</x:v>
      </x:c>
      <x:c r="L3790" s="22" t="n">
        <x:v>-2.6099999999999994</x:v>
      </x:c>
      <x:c r="M3790" t="n">
        <x:v>2017</x:v>
      </x:c>
      <x:c r="N3790" s="20" t="n">
        <x:v>43070</x:v>
      </x:c>
    </x:row>
    <x:row r="3791" ht="18" customHeight="1">
      <x:c r="A3791" t="str">
        <x:v>CA-2016-144218</x:v>
      </x:c>
      <x:c r="B3791" s="18" t="n">
        <x:v>42674</x:v>
      </x:c>
      <x:c r="C3791" t="str">
        <x:v>JD-15895</x:v>
      </x:c>
      <x:c r="D3791" t="str">
        <x:v>Jonathan Doherty</x:v>
      </x:c>
      <x:c r="E3791" t="str">
        <x:v>Corporate</x:v>
      </x:c>
      <x:c r="F3791" t="str">
        <x:v>West</x:v>
      </x:c>
      <x:c r="G3791" t="str">
        <x:v>Office Supplies</x:v>
      </x:c>
      <x:c r="H3791" t="str">
        <x:v>Storage</x:v>
      </x:c>
      <x:c r="I3791" s="22" t="n">
        <x:v>1085.42</x:v>
      </x:c>
      <x:c r="J3791" s="24" t="n">
        <x:v>7</x:v>
      </x:c>
      <x:c r="K3791" s="26" t="n">
        <x:v>0</x:v>
      </x:c>
      <x:c r="L3791" s="22" t="n">
        <x:v>282.2092</x:v>
      </x:c>
      <x:c r="M3791" t="n">
        <x:v>2016</x:v>
      </x:c>
      <x:c r="N3791" s="20" t="n">
        <x:v>42644</x:v>
      </x:c>
    </x:row>
    <x:row r="3792" ht="18" customHeight="1">
      <x:c r="A3792" t="str">
        <x:v>CA-2016-169971</x:v>
      </x:c>
      <x:c r="B3792" s="18" t="n">
        <x:v>42617</x:v>
      </x:c>
      <x:c r="C3792" t="str">
        <x:v>IL-15100</x:v>
      </x:c>
      <x:c r="D3792" t="str">
        <x:v>Ivan Liston</x:v>
      </x:c>
      <x:c r="E3792" t="str">
        <x:v>Consumer</x:v>
      </x:c>
      <x:c r="F3792" t="str">
        <x:v>Central</x:v>
      </x:c>
      <x:c r="G3792" t="str">
        <x:v>Office Supplies</x:v>
      </x:c>
      <x:c r="H3792" t="str">
        <x:v>Art</x:v>
      </x:c>
      <x:c r="I3792" s="22" t="n">
        <x:v>3.912</x:v>
      </x:c>
      <x:c r="J3792" s="24" t="n">
        <x:v>1</x:v>
      </x:c>
      <x:c r="K3792" s="26" t="n">
        <x:v>0.2</x:v>
      </x:c>
      <x:c r="L3792" s="22" t="n">
        <x:v>1.0269000000000001</x:v>
      </x:c>
      <x:c r="M3792" t="n">
        <x:v>2016</x:v>
      </x:c>
      <x:c r="N3792" s="20" t="n">
        <x:v>42614</x:v>
      </x:c>
    </x:row>
    <x:row r="3793" ht="18" customHeight="1">
      <x:c r="A3793" t="str">
        <x:v>CA-2016-169971</x:v>
      </x:c>
      <x:c r="B3793" s="18" t="n">
        <x:v>42617</x:v>
      </x:c>
      <x:c r="C3793" t="str">
        <x:v>IL-15100</x:v>
      </x:c>
      <x:c r="D3793" t="str">
        <x:v>Ivan Liston</x:v>
      </x:c>
      <x:c r="E3793" t="str">
        <x:v>Consumer</x:v>
      </x:c>
      <x:c r="F3793" t="str">
        <x:v>Central</x:v>
      </x:c>
      <x:c r="G3793" t="str">
        <x:v>Office Supplies</x:v>
      </x:c>
      <x:c r="H3793" t="str">
        <x:v>Art</x:v>
      </x:c>
      <x:c r="I3793" s="22" t="n">
        <x:v>62.376000000000005</x:v>
      </x:c>
      <x:c r="J3793" s="24" t="n">
        <x:v>3</x:v>
      </x:c>
      <x:c r="K3793" s="26" t="n">
        <x:v>0.2</x:v>
      </x:c>
      <x:c r="L3793" s="22" t="n">
        <x:v>7.017299999999995</x:v>
      </x:c>
      <x:c r="M3793" t="n">
        <x:v>2016</x:v>
      </x:c>
      <x:c r="N3793" s="20" t="n">
        <x:v>42614</x:v>
      </x:c>
    </x:row>
    <x:row r="3794" ht="18" customHeight="1">
      <x:c r="A3794" t="str">
        <x:v>US-2016-133508</x:v>
      </x:c>
      <x:c r="B3794" s="18" t="n">
        <x:v>42477</x:v>
      </x:c>
      <x:c r="C3794" t="str">
        <x:v>SW-20350</x:v>
      </x:c>
      <x:c r="D3794" t="str">
        <x:v>Sean Wendt</x:v>
      </x:c>
      <x:c r="E3794" t="str">
        <x:v>Home Office</x:v>
      </x:c>
      <x:c r="F3794" t="str">
        <x:v>Central</x:v>
      </x:c>
      <x:c r="G3794" t="str">
        <x:v>Office Supplies</x:v>
      </x:c>
      <x:c r="H3794" t="str">
        <x:v>Fasteners</x:v>
      </x:c>
      <x:c r="I3794" s="22" t="n">
        <x:v>29.049999999999997</x:v>
      </x:c>
      <x:c r="J3794" s="24" t="n">
        <x:v>5</x:v>
      </x:c>
      <x:c r="K3794" s="26" t="n">
        <x:v>0</x:v>
      </x:c>
      <x:c r="L3794" s="22" t="n">
        <x:v>9.0055</x:v>
      </x:c>
      <x:c r="M3794" t="n">
        <x:v>2016</x:v>
      </x:c>
      <x:c r="N3794" s="20" t="n">
        <x:v>42461</x:v>
      </x:c>
    </x:row>
    <x:row r="3795" ht="18" customHeight="1">
      <x:c r="A3795" t="str">
        <x:v>CA-2014-107139</x:v>
      </x:c>
      <x:c r="B3795" s="18" t="n">
        <x:v>41825</x:v>
      </x:c>
      <x:c r="C3795" t="str">
        <x:v>DP-13390</x:v>
      </x:c>
      <x:c r="D3795" t="str">
        <x:v>Dennis Pardue</x:v>
      </x:c>
      <x:c r="E3795" t="str">
        <x:v>Home Office</x:v>
      </x:c>
      <x:c r="F3795" t="str">
        <x:v>West</x:v>
      </x:c>
      <x:c r="G3795" t="str">
        <x:v>Office Supplies</x:v>
      </x:c>
      <x:c r="H3795" t="str">
        <x:v>Binders</x:v>
      </x:c>
      <x:c r="I3795" s="22" t="n">
        <x:v>180.96000000000004</x:v>
      </x:c>
      <x:c r="J3795" s="24" t="n">
        <x:v>6</x:v>
      </x:c>
      <x:c r="K3795" s="26" t="n">
        <x:v>0.2</x:v>
      </x:c>
      <x:c r="L3795" s="22" t="n">
        <x:v>67.86</x:v>
      </x:c>
      <x:c r="M3795" t="n">
        <x:v>2014</x:v>
      </x:c>
      <x:c r="N3795" s="20" t="n">
        <x:v>41821</x:v>
      </x:c>
    </x:row>
    <x:row r="3796" ht="18" customHeight="1">
      <x:c r="A3796" t="str">
        <x:v>CA-2015-111325</x:v>
      </x:c>
      <x:c r="B3796" s="18" t="n">
        <x:v>42062</x:v>
      </x:c>
      <x:c r="C3796" t="str">
        <x:v>BT-11395</x:v>
      </x:c>
      <x:c r="D3796" t="str">
        <x:v>Bill Tyler</x:v>
      </x:c>
      <x:c r="E3796" t="str">
        <x:v>Corporate</x:v>
      </x:c>
      <x:c r="F3796" t="str">
        <x:v>East</x:v>
      </x:c>
      <x:c r="G3796" t="str">
        <x:v>Office Supplies</x:v>
      </x:c>
      <x:c r="H3796" t="str">
        <x:v>Binders</x:v>
      </x:c>
      <x:c r="I3796" s="22" t="n">
        <x:v>4.4190000000000005</x:v>
      </x:c>
      <x:c r="J3796" s="24" t="n">
        <x:v>3</x:v>
      </x:c>
      <x:c r="K3796" s="26" t="n">
        <x:v>0.7</x:v>
      </x:c>
      <x:c r="L3796" s="22" t="n">
        <x:v>-3.3879</x:v>
      </x:c>
      <x:c r="M3796" t="n">
        <x:v>2015</x:v>
      </x:c>
      <x:c r="N3796" s="20" t="n">
        <x:v>42036</x:v>
      </x:c>
    </x:row>
    <x:row r="3797" ht="18" customHeight="1">
      <x:c r="A3797" t="str">
        <x:v>CA-2015-111325</x:v>
      </x:c>
      <x:c r="B3797" s="18" t="n">
        <x:v>42062</x:v>
      </x:c>
      <x:c r="C3797" t="str">
        <x:v>BT-11395</x:v>
      </x:c>
      <x:c r="D3797" t="str">
        <x:v>Bill Tyler</x:v>
      </x:c>
      <x:c r="E3797" t="str">
        <x:v>Corporate</x:v>
      </x:c>
      <x:c r="F3797" t="str">
        <x:v>East</x:v>
      </x:c>
      <x:c r="G3797" t="str">
        <x:v>Office Supplies</x:v>
      </x:c>
      <x:c r="H3797" t="str">
        <x:v>Art</x:v>
      </x:c>
      <x:c r="I3797" s="22" t="n">
        <x:v>16.032</x:v>
      </x:c>
      <x:c r="J3797" s="24" t="n">
        <x:v>6</x:v>
      </x:c>
      <x:c r="K3797" s="26" t="n">
        <x:v>0.2</x:v>
      </x:c>
      <x:c r="L3797" s="22" t="n">
        <x:v>2.204399999999998</x:v>
      </x:c>
      <x:c r="M3797" t="n">
        <x:v>2015</x:v>
      </x:c>
      <x:c r="N3797" s="20" t="n">
        <x:v>42036</x:v>
      </x:c>
    </x:row>
    <x:row r="3798" ht="18" customHeight="1">
      <x:c r="A3798" t="str">
        <x:v>CA-2015-163762</x:v>
      </x:c>
      <x:c r="B3798" s="18" t="n">
        <x:v>42335</x:v>
      </x:c>
      <x:c r="C3798" t="str">
        <x:v>JE-15475</x:v>
      </x:c>
      <x:c r="D3798" t="str">
        <x:v>Jeremy Ellison</x:v>
      </x:c>
      <x:c r="E3798" t="str">
        <x:v>Consumer</x:v>
      </x:c>
      <x:c r="F3798" t="str">
        <x:v>East</x:v>
      </x:c>
      <x:c r="G3798" t="str">
        <x:v>Office Supplies</x:v>
      </x:c>
      <x:c r="H3798" t="str">
        <x:v>Art</x:v>
      </x:c>
      <x:c r="I3798" s="22" t="n">
        <x:v>29.79</x:v>
      </x:c>
      <x:c r="J3798" s="24" t="n">
        <x:v>3</x:v>
      </x:c>
      <x:c r="K3798" s="26" t="n">
        <x:v>0</x:v>
      </x:c>
      <x:c r="L3798" s="22" t="n">
        <x:v>12.511800000000001</x:v>
      </x:c>
      <x:c r="M3798" t="n">
        <x:v>2015</x:v>
      </x:c>
      <x:c r="N3798" s="20" t="n">
        <x:v>42309</x:v>
      </x:c>
    </x:row>
    <x:row r="3799" ht="18" customHeight="1">
      <x:c r="A3799" t="str">
        <x:v>US-2014-117163</x:v>
      </x:c>
      <x:c r="B3799" s="18" t="n">
        <x:v>41666</x:v>
      </x:c>
      <x:c r="C3799" t="str">
        <x:v>EJ-13720</x:v>
      </x:c>
      <x:c r="D3799" t="str">
        <x:v>Ed Jacobs</x:v>
      </x:c>
      <x:c r="E3799" t="str">
        <x:v>Consumer</x:v>
      </x:c>
      <x:c r="F3799" t="str">
        <x:v>West</x:v>
      </x:c>
      <x:c r="G3799" t="str">
        <x:v>Office Supplies</x:v>
      </x:c>
      <x:c r="H3799" t="str">
        <x:v>Storage</x:v>
      </x:c>
      <x:c r="I3799" s="22" t="n">
        <x:v>57.23</x:v>
      </x:c>
      <x:c r="J3799" s="24" t="n">
        <x:v>1</x:v>
      </x:c>
      <x:c r="K3799" s="26" t="n">
        <x:v>0</x:v>
      </x:c>
      <x:c r="L3799" s="22" t="n">
        <x:v>14.307499999999997</x:v>
      </x:c>
      <x:c r="M3799" t="n">
        <x:v>2014</x:v>
      </x:c>
      <x:c r="N3799" s="20" t="n">
        <x:v>41640</x:v>
      </x:c>
    </x:row>
    <x:row r="3800" ht="18" customHeight="1">
      <x:c r="A3800" t="str">
        <x:v>US-2014-117163</x:v>
      </x:c>
      <x:c r="B3800" s="18" t="n">
        <x:v>41666</x:v>
      </x:c>
      <x:c r="C3800" t="str">
        <x:v>EJ-13720</x:v>
      </x:c>
      <x:c r="D3800" t="str">
        <x:v>Ed Jacobs</x:v>
      </x:c>
      <x:c r="E3800" t="str">
        <x:v>Consumer</x:v>
      </x:c>
      <x:c r="F3800" t="str">
        <x:v>West</x:v>
      </x:c>
      <x:c r="G3800" t="str">
        <x:v>Furniture</x:v>
      </x:c>
      <x:c r="H3800" t="str">
        <x:v>Tables</x:v>
      </x:c>
      <x:c r="I3800" s="22" t="n">
        <x:v>333</x:v>
      </x:c>
      <x:c r="J3800" s="24" t="n">
        <x:v>3</x:v>
      </x:c>
      <x:c r="K3800" s="26" t="n">
        <x:v>0.2</x:v>
      </x:c>
      <x:c r="L3800" s="22" t="n">
        <x:v>-16.64999999999999</x:v>
      </x:c>
      <x:c r="M3800" t="n">
        <x:v>2014</x:v>
      </x:c>
      <x:c r="N3800" s="20" t="n">
        <x:v>41640</x:v>
      </x:c>
    </x:row>
    <x:row r="3801" ht="18" customHeight="1">
      <x:c r="A3801" t="str">
        <x:v>US-2014-117163</x:v>
      </x:c>
      <x:c r="B3801" s="18" t="n">
        <x:v>41666</x:v>
      </x:c>
      <x:c r="C3801" t="str">
        <x:v>EJ-13720</x:v>
      </x:c>
      <x:c r="D3801" t="str">
        <x:v>Ed Jacobs</x:v>
      </x:c>
      <x:c r="E3801" t="str">
        <x:v>Consumer</x:v>
      </x:c>
      <x:c r="F3801" t="str">
        <x:v>West</x:v>
      </x:c>
      <x:c r="G3801" t="str">
        <x:v>Office Supplies</x:v>
      </x:c>
      <x:c r="H3801" t="str">
        <x:v>Art</x:v>
      </x:c>
      <x:c r="I3801" s="22" t="n">
        <x:v>36.44</x:v>
      </x:c>
      <x:c r="J3801" s="24" t="n">
        <x:v>4</x:v>
      </x:c>
      <x:c r="K3801" s="26" t="n">
        <x:v>0</x:v>
      </x:c>
      <x:c r="L3801" s="22" t="n">
        <x:v>12.025199999999998</x:v>
      </x:c>
      <x:c r="M3801" t="n">
        <x:v>2014</x:v>
      </x:c>
      <x:c r="N3801" s="20" t="n">
        <x:v>41640</x:v>
      </x:c>
    </x:row>
    <x:row r="3802" ht="18" customHeight="1">
      <x:c r="A3802" t="str">
        <x:v>CA-2017-121314</x:v>
      </x:c>
      <x:c r="B3802" s="18" t="n">
        <x:v>43001</x:v>
      </x:c>
      <x:c r="C3802" t="str">
        <x:v>BE-11410</x:v>
      </x:c>
      <x:c r="D3802" t="str">
        <x:v>Bobby Elias</x:v>
      </x:c>
      <x:c r="E3802" t="str">
        <x:v>Consumer</x:v>
      </x:c>
      <x:c r="F3802" t="str">
        <x:v>South</x:v>
      </x:c>
      <x:c r="G3802" t="str">
        <x:v>Office Supplies</x:v>
      </x:c>
      <x:c r="H3802" t="str">
        <x:v>Paper</x:v>
      </x:c>
      <x:c r="I3802" s="22" t="n">
        <x:v>251.64</x:v>
      </x:c>
      <x:c r="J3802" s="24" t="n">
        <x:v>3</x:v>
      </x:c>
      <x:c r="K3802" s="26" t="n">
        <x:v>0.2</x:v>
      </x:c>
      <x:c r="L3802" s="22" t="n">
        <x:v>88.07399999999998</x:v>
      </x:c>
      <x:c r="M3802" t="n">
        <x:v>2017</x:v>
      </x:c>
      <x:c r="N3802" s="20" t="n">
        <x:v>42979</x:v>
      </x:c>
    </x:row>
    <x:row r="3803" ht="18" customHeight="1">
      <x:c r="A3803" t="str">
        <x:v>CA-2017-147760</x:v>
      </x:c>
      <x:c r="B3803" s="18" t="n">
        <x:v>43043</x:v>
      </x:c>
      <x:c r="C3803" t="str">
        <x:v>KL-16555</x:v>
      </x:c>
      <x:c r="D3803" t="str">
        <x:v>Kelly Lampkin</x:v>
      </x:c>
      <x:c r="E3803" t="str">
        <x:v>Corporate</x:v>
      </x:c>
      <x:c r="F3803" t="str">
        <x:v>South</x:v>
      </x:c>
      <x:c r="G3803" t="str">
        <x:v>Furniture</x:v>
      </x:c>
      <x:c r="H3803" t="str">
        <x:v>Tables</x:v>
      </x:c>
      <x:c r="I3803" s="22" t="n">
        <x:v>523.764</x:v>
      </x:c>
      <x:c r="J3803" s="24" t="n">
        <x:v>3</x:v>
      </x:c>
      <x:c r="K3803" s="26" t="n">
        <x:v>0.4</x:v>
      </x:c>
      <x:c r="L3803" s="22" t="n">
        <x:v>-192.04680000000008</x:v>
      </x:c>
      <x:c r="M3803" t="n">
        <x:v>2017</x:v>
      </x:c>
      <x:c r="N3803" s="20" t="n">
        <x:v>43040</x:v>
      </x:c>
    </x:row>
    <x:row r="3804" ht="18" customHeight="1">
      <x:c r="A3804" t="str">
        <x:v>CA-2017-147760</x:v>
      </x:c>
      <x:c r="B3804" s="18" t="n">
        <x:v>43043</x:v>
      </x:c>
      <x:c r="C3804" t="str">
        <x:v>KL-16555</x:v>
      </x:c>
      <x:c r="D3804" t="str">
        <x:v>Kelly Lampkin</x:v>
      </x:c>
      <x:c r="E3804" t="str">
        <x:v>Corporate</x:v>
      </x:c>
      <x:c r="F3804" t="str">
        <x:v>South</x:v>
      </x:c>
      <x:c r="G3804" t="str">
        <x:v>Technology</x:v>
      </x:c>
      <x:c r="H3804" t="str">
        <x:v>Phones</x:v>
      </x:c>
      <x:c r="I3804" s="22" t="n">
        <x:v>1359.96</x:v>
      </x:c>
      <x:c r="J3804" s="24" t="n">
        <x:v>5</x:v>
      </x:c>
      <x:c r="K3804" s="26" t="n">
        <x:v>0.2</x:v>
      </x:c>
      <x:c r="L3804" s="22" t="n">
        <x:v>118.99650000000003</x:v>
      </x:c>
      <x:c r="M3804" t="n">
        <x:v>2017</x:v>
      </x:c>
      <x:c r="N3804" s="20" t="n">
        <x:v>43040</x:v>
      </x:c>
    </x:row>
    <x:row r="3805" ht="18" customHeight="1">
      <x:c r="A3805" t="str">
        <x:v>CA-2016-156503</x:v>
      </x:c>
      <x:c r="B3805" s="18" t="n">
        <x:v>42657</x:v>
      </x:c>
      <x:c r="C3805" t="str">
        <x:v>NC-18415</x:v>
      </x:c>
      <x:c r="D3805" t="str">
        <x:v>Nathan Cano</x:v>
      </x:c>
      <x:c r="E3805" t="str">
        <x:v>Consumer</x:v>
      </x:c>
      <x:c r="F3805" t="str">
        <x:v>South</x:v>
      </x:c>
      <x:c r="G3805" t="str">
        <x:v>Furniture</x:v>
      </x:c>
      <x:c r="H3805" t="str">
        <x:v>Chairs</x:v>
      </x:c>
      <x:c r="I3805" s="22" t="n">
        <x:v>102.59200000000001</x:v>
      </x:c>
      <x:c r="J3805" s="24" t="n">
        <x:v>1</x:v>
      </x:c>
      <x:c r="K3805" s="26" t="n">
        <x:v>0.2</x:v>
      </x:c>
      <x:c r="L3805" s="22" t="n">
        <x:v>10.2592</x:v>
      </x:c>
      <x:c r="M3805" t="n">
        <x:v>2016</x:v>
      </x:c>
      <x:c r="N3805" s="20" t="n">
        <x:v>42644</x:v>
      </x:c>
    </x:row>
    <x:row r="3806" ht="18" customHeight="1">
      <x:c r="A3806" t="str">
        <x:v>CA-2016-156503</x:v>
      </x:c>
      <x:c r="B3806" s="18" t="n">
        <x:v>42657</x:v>
      </x:c>
      <x:c r="C3806" t="str">
        <x:v>NC-18415</x:v>
      </x:c>
      <x:c r="D3806" t="str">
        <x:v>Nathan Cano</x:v>
      </x:c>
      <x:c r="E3806" t="str">
        <x:v>Consumer</x:v>
      </x:c>
      <x:c r="F3806" t="str">
        <x:v>South</x:v>
      </x:c>
      <x:c r="G3806" t="str">
        <x:v>Technology</x:v>
      </x:c>
      <x:c r="H3806" t="str">
        <x:v>Accessories</x:v>
      </x:c>
      <x:c r="I3806" s="22" t="n">
        <x:v>22.704</x:v>
      </x:c>
      <x:c r="J3806" s="24" t="n">
        <x:v>1</x:v>
      </x:c>
      <x:c r="K3806" s="26" t="n">
        <x:v>0.2</x:v>
      </x:c>
      <x:c r="L3806" s="22" t="n">
        <x:v>5.9597999999999995</x:v>
      </x:c>
      <x:c r="M3806" t="n">
        <x:v>2016</x:v>
      </x:c>
      <x:c r="N3806" s="20" t="n">
        <x:v>42644</x:v>
      </x:c>
    </x:row>
    <x:row r="3807" ht="18" customHeight="1">
      <x:c r="A3807" t="str">
        <x:v>CA-2016-156503</x:v>
      </x:c>
      <x:c r="B3807" s="18" t="n">
        <x:v>42657</x:v>
      </x:c>
      <x:c r="C3807" t="str">
        <x:v>NC-18415</x:v>
      </x:c>
      <x:c r="D3807" t="str">
        <x:v>Nathan Cano</x:v>
      </x:c>
      <x:c r="E3807" t="str">
        <x:v>Consumer</x:v>
      </x:c>
      <x:c r="F3807" t="str">
        <x:v>South</x:v>
      </x:c>
      <x:c r="G3807" t="str">
        <x:v>Office Supplies</x:v>
      </x:c>
      <x:c r="H3807" t="str">
        <x:v>Paper</x:v>
      </x:c>
      <x:c r="I3807" s="22" t="n">
        <x:v>93.024</x:v>
      </x:c>
      <x:c r="J3807" s="24" t="n">
        <x:v>3</x:v>
      </x:c>
      <x:c r="K3807" s="26" t="n">
        <x:v>0.2</x:v>
      </x:c>
      <x:c r="L3807" s="22" t="n">
        <x:v>33.721199999999996</x:v>
      </x:c>
      <x:c r="M3807" t="n">
        <x:v>2016</x:v>
      </x:c>
      <x:c r="N3807" s="20" t="n">
        <x:v>42644</x:v>
      </x:c>
    </x:row>
    <x:row r="3808" ht="18" customHeight="1">
      <x:c r="A3808" t="str">
        <x:v>CA-2016-156503</x:v>
      </x:c>
      <x:c r="B3808" s="18" t="n">
        <x:v>42657</x:v>
      </x:c>
      <x:c r="C3808" t="str">
        <x:v>NC-18415</x:v>
      </x:c>
      <x:c r="D3808" t="str">
        <x:v>Nathan Cano</x:v>
      </x:c>
      <x:c r="E3808" t="str">
        <x:v>Consumer</x:v>
      </x:c>
      <x:c r="F3808" t="str">
        <x:v>South</x:v>
      </x:c>
      <x:c r="G3808" t="str">
        <x:v>Office Supplies</x:v>
      </x:c>
      <x:c r="H3808" t="str">
        <x:v>Supplies</x:v>
      </x:c>
      <x:c r="I3808" s="22" t="n">
        <x:v>12.768</x:v>
      </x:c>
      <x:c r="J3808" s="24" t="n">
        <x:v>2</x:v>
      </x:c>
      <x:c r="K3808" s="26" t="n">
        <x:v>0.2</x:v>
      </x:c>
      <x:c r="L3808" s="22" t="n">
        <x:v>1.436399999999999</x:v>
      </x:c>
      <x:c r="M3808" t="n">
        <x:v>2016</x:v>
      </x:c>
      <x:c r="N3808" s="20" t="n">
        <x:v>42644</x:v>
      </x:c>
    </x:row>
    <x:row r="3809" ht="18" customHeight="1">
      <x:c r="A3809" t="str">
        <x:v>CA-2016-156503</x:v>
      </x:c>
      <x:c r="B3809" s="18" t="n">
        <x:v>42657</x:v>
      </x:c>
      <x:c r="C3809" t="str">
        <x:v>NC-18415</x:v>
      </x:c>
      <x:c r="D3809" t="str">
        <x:v>Nathan Cano</x:v>
      </x:c>
      <x:c r="E3809" t="str">
        <x:v>Consumer</x:v>
      </x:c>
      <x:c r="F3809" t="str">
        <x:v>South</x:v>
      </x:c>
      <x:c r="G3809" t="str">
        <x:v>Office Supplies</x:v>
      </x:c>
      <x:c r="H3809" t="str">
        <x:v>Envelopes</x:v>
      </x:c>
      <x:c r="I3809" s="22" t="n">
        <x:v>35.008</x:v>
      </x:c>
      <x:c r="J3809" s="24" t="n">
        <x:v>4</x:v>
      </x:c>
      <x:c r="K3809" s="26" t="n">
        <x:v>0.2</x:v>
      </x:c>
      <x:c r="L3809" s="22" t="n">
        <x:v>13.127999999999998</x:v>
      </x:c>
      <x:c r="M3809" t="n">
        <x:v>2016</x:v>
      </x:c>
      <x:c r="N3809" s="20" t="n">
        <x:v>42644</x:v>
      </x:c>
    </x:row>
    <x:row r="3810" ht="18" customHeight="1">
      <x:c r="A3810" t="str">
        <x:v>CA-2016-156503</x:v>
      </x:c>
      <x:c r="B3810" s="18" t="n">
        <x:v>42657</x:v>
      </x:c>
      <x:c r="C3810" t="str">
        <x:v>NC-18415</x:v>
      </x:c>
      <x:c r="D3810" t="str">
        <x:v>Nathan Cano</x:v>
      </x:c>
      <x:c r="E3810" t="str">
        <x:v>Consumer</x:v>
      </x:c>
      <x:c r="F3810" t="str">
        <x:v>South</x:v>
      </x:c>
      <x:c r="G3810" t="str">
        <x:v>Office Supplies</x:v>
      </x:c>
      <x:c r="H3810" t="str">
        <x:v>Paper</x:v>
      </x:c>
      <x:c r="I3810" s="22" t="n">
        <x:v>39.152</x:v>
      </x:c>
      <x:c r="J3810" s="24" t="n">
        <x:v>1</x:v>
      </x:c>
      <x:c r="K3810" s="26" t="n">
        <x:v>0.2</x:v>
      </x:c>
      <x:c r="L3810" s="22" t="n">
        <x:v>14.681999999999999</x:v>
      </x:c>
      <x:c r="M3810" t="n">
        <x:v>2016</x:v>
      </x:c>
      <x:c r="N3810" s="20" t="n">
        <x:v>42644</x:v>
      </x:c>
    </x:row>
    <x:row r="3811" ht="18" customHeight="1">
      <x:c r="A3811" t="str">
        <x:v>CA-2015-113628</x:v>
      </x:c>
      <x:c r="B3811" s="18" t="n">
        <x:v>42320</x:v>
      </x:c>
      <x:c r="C3811" t="str">
        <x:v>AH-10690</x:v>
      </x:c>
      <x:c r="D3811" t="str">
        <x:v>Anna Häberlin</x:v>
      </x:c>
      <x:c r="E3811" t="str">
        <x:v>Corporate</x:v>
      </x:c>
      <x:c r="F3811" t="str">
        <x:v>South</x:v>
      </x:c>
      <x:c r="G3811" t="str">
        <x:v>Office Supplies</x:v>
      </x:c>
      <x:c r="H3811" t="str">
        <x:v>Art</x:v>
      </x:c>
      <x:c r="I3811" s="22" t="n">
        <x:v>11.76</x:v>
      </x:c>
      <x:c r="J3811" s="24" t="n">
        <x:v>5</x:v>
      </x:c>
      <x:c r="K3811" s="26" t="n">
        <x:v>0.2</x:v>
      </x:c>
      <x:c r="L3811" s="22" t="n">
        <x:v>1.322999999999999</x:v>
      </x:c>
      <x:c r="M3811" t="n">
        <x:v>2015</x:v>
      </x:c>
      <x:c r="N3811" s="20" t="n">
        <x:v>42309</x:v>
      </x:c>
    </x:row>
    <x:row r="3812" ht="18" customHeight="1">
      <x:c r="A3812" t="str">
        <x:v>CA-2015-113628</x:v>
      </x:c>
      <x:c r="B3812" s="18" t="n">
        <x:v>42320</x:v>
      </x:c>
      <x:c r="C3812" t="str">
        <x:v>AH-10690</x:v>
      </x:c>
      <x:c r="D3812" t="str">
        <x:v>Anna Häberlin</x:v>
      </x:c>
      <x:c r="E3812" t="str">
        <x:v>Corporate</x:v>
      </x:c>
      <x:c r="F3812" t="str">
        <x:v>South</x:v>
      </x:c>
      <x:c r="G3812" t="str">
        <x:v>Office Supplies</x:v>
      </x:c>
      <x:c r="H3812" t="str">
        <x:v>Binders</x:v>
      </x:c>
      <x:c r="I3812" s="22" t="n">
        <x:v>5.238000000000001</x:v>
      </x:c>
      <x:c r="J3812" s="24" t="n">
        <x:v>2</x:v>
      </x:c>
      <x:c r="K3812" s="26" t="n">
        <x:v>0.7</x:v>
      </x:c>
      <x:c r="L3812" s="22" t="n">
        <x:v>-4.0158000000000005</x:v>
      </x:c>
      <x:c r="M3812" t="n">
        <x:v>2015</x:v>
      </x:c>
      <x:c r="N3812" s="20" t="n">
        <x:v>42309</x:v>
      </x:c>
    </x:row>
    <x:row r="3813" ht="18" customHeight="1">
      <x:c r="A3813" t="str">
        <x:v>CA-2015-113628</x:v>
      </x:c>
      <x:c r="B3813" s="18" t="n">
        <x:v>42320</x:v>
      </x:c>
      <x:c r="C3813" t="str">
        <x:v>AH-10690</x:v>
      </x:c>
      <x:c r="D3813" t="str">
        <x:v>Anna Häberlin</x:v>
      </x:c>
      <x:c r="E3813" t="str">
        <x:v>Corporate</x:v>
      </x:c>
      <x:c r="F3813" t="str">
        <x:v>South</x:v>
      </x:c>
      <x:c r="G3813" t="str">
        <x:v>Office Supplies</x:v>
      </x:c>
      <x:c r="H3813" t="str">
        <x:v>Binders</x:v>
      </x:c>
      <x:c r="I3813" s="22" t="n">
        <x:v>4.662</x:v>
      </x:c>
      <x:c r="J3813" s="24" t="n">
        <x:v>3</x:v>
      </x:c>
      <x:c r="K3813" s="26" t="n">
        <x:v>0.7</x:v>
      </x:c>
      <x:c r="L3813" s="22" t="n">
        <x:v>-3.7295999999999996</x:v>
      </x:c>
      <x:c r="M3813" t="n">
        <x:v>2015</x:v>
      </x:c>
      <x:c r="N3813" s="20" t="n">
        <x:v>42309</x:v>
      </x:c>
    </x:row>
    <x:row r="3814" ht="18" customHeight="1">
      <x:c r="A3814" t="str">
        <x:v>CA-2015-113628</x:v>
      </x:c>
      <x:c r="B3814" s="18" t="n">
        <x:v>42320</x:v>
      </x:c>
      <x:c r="C3814" t="str">
        <x:v>AH-10690</x:v>
      </x:c>
      <x:c r="D3814" t="str">
        <x:v>Anna Häberlin</x:v>
      </x:c>
      <x:c r="E3814" t="str">
        <x:v>Corporate</x:v>
      </x:c>
      <x:c r="F3814" t="str">
        <x:v>South</x:v>
      </x:c>
      <x:c r="G3814" t="str">
        <x:v>Furniture</x:v>
      </x:c>
      <x:c r="H3814" t="str">
        <x:v>Chairs</x:v>
      </x:c>
      <x:c r="I3814" s="22" t="n">
        <x:v>523.92</x:v>
      </x:c>
      <x:c r="J3814" s="24" t="n">
        <x:v>5</x:v>
      </x:c>
      <x:c r="K3814" s="26" t="n">
        <x:v>0.2</x:v>
      </x:c>
      <x:c r="L3814" s="22" t="n">
        <x:v>-72.03900000000004</x:v>
      </x:c>
      <x:c r="M3814" t="n">
        <x:v>2015</x:v>
      </x:c>
      <x:c r="N3814" s="20" t="n">
        <x:v>42309</x:v>
      </x:c>
    </x:row>
    <x:row r="3815" ht="18" customHeight="1">
      <x:c r="A3815" t="str">
        <x:v>CA-2015-113628</x:v>
      </x:c>
      <x:c r="B3815" s="18" t="n">
        <x:v>42320</x:v>
      </x:c>
      <x:c r="C3815" t="str">
        <x:v>AH-10690</x:v>
      </x:c>
      <x:c r="D3815" t="str">
        <x:v>Anna Häberlin</x:v>
      </x:c>
      <x:c r="E3815" t="str">
        <x:v>Corporate</x:v>
      </x:c>
      <x:c r="F3815" t="str">
        <x:v>South</x:v>
      </x:c>
      <x:c r="G3815" t="str">
        <x:v>Technology</x:v>
      </x:c>
      <x:c r="H3815" t="str">
        <x:v>Phones</x:v>
      </x:c>
      <x:c r="I3815" s="22" t="n">
        <x:v>100.792</x:v>
      </x:c>
      <x:c r="J3815" s="24" t="n">
        <x:v>1</x:v>
      </x:c>
      <x:c r="K3815" s="26" t="n">
        <x:v>0.2</x:v>
      </x:c>
      <x:c r="L3815" s="22" t="n">
        <x:v>10.079200000000007</x:v>
      </x:c>
      <x:c r="M3815" t="n">
        <x:v>2015</x:v>
      </x:c>
      <x:c r="N3815" s="20" t="n">
        <x:v>42309</x:v>
      </x:c>
    </x:row>
    <x:row r="3816" ht="18" customHeight="1">
      <x:c r="A3816" t="str">
        <x:v>CA-2015-113628</x:v>
      </x:c>
      <x:c r="B3816" s="18" t="n">
        <x:v>42320</x:v>
      </x:c>
      <x:c r="C3816" t="str">
        <x:v>AH-10690</x:v>
      </x:c>
      <x:c r="D3816" t="str">
        <x:v>Anna Häberlin</x:v>
      </x:c>
      <x:c r="E3816" t="str">
        <x:v>Corporate</x:v>
      </x:c>
      <x:c r="F3816" t="str">
        <x:v>South</x:v>
      </x:c>
      <x:c r="G3816" t="str">
        <x:v>Furniture</x:v>
      </x:c>
      <x:c r="H3816" t="str">
        <x:v>Chairs</x:v>
      </x:c>
      <x:c r="I3816" s="22" t="n">
        <x:v>146.13600000000002</x:v>
      </x:c>
      <x:c r="J3816" s="24" t="n">
        <x:v>3</x:v>
      </x:c>
      <x:c r="K3816" s="26" t="n">
        <x:v>0.2</x:v>
      </x:c>
      <x:c r="L3816" s="22" t="n">
        <x:v>16.440299999999986</x:v>
      </x:c>
      <x:c r="M3816" t="n">
        <x:v>2015</x:v>
      </x:c>
      <x:c r="N3816" s="20" t="n">
        <x:v>42309</x:v>
      </x:c>
    </x:row>
    <x:row r="3817" ht="18" customHeight="1">
      <x:c r="A3817" t="str">
        <x:v>CA-2017-147753</x:v>
      </x:c>
      <x:c r="B3817" s="18" t="n">
        <x:v>42799</x:v>
      </x:c>
      <x:c r="C3817" t="str">
        <x:v>PK-19075</x:v>
      </x:c>
      <x:c r="D3817" t="str">
        <x:v>Pete Kriz</x:v>
      </x:c>
      <x:c r="E3817" t="str">
        <x:v>Consumer</x:v>
      </x:c>
      <x:c r="F3817" t="str">
        <x:v>Central</x:v>
      </x:c>
      <x:c r="G3817" t="str">
        <x:v>Office Supplies</x:v>
      </x:c>
      <x:c r="H3817" t="str">
        <x:v>Labels</x:v>
      </x:c>
      <x:c r="I3817" s="22" t="n">
        <x:v>25.06</x:v>
      </x:c>
      <x:c r="J3817" s="24" t="n">
        <x:v>2</x:v>
      </x:c>
      <x:c r="K3817" s="26" t="n">
        <x:v>0</x:v>
      </x:c>
      <x:c r="L3817" s="22" t="n">
        <x:v>11.778199999999998</x:v>
      </x:c>
      <x:c r="M3817" t="n">
        <x:v>2017</x:v>
      </x:c>
      <x:c r="N3817" s="20" t="n">
        <x:v>42795</x:v>
      </x:c>
    </x:row>
    <x:row r="3818" ht="18" customHeight="1">
      <x:c r="A3818" t="str">
        <x:v>CA-2015-103961</x:v>
      </x:c>
      <x:c r="B3818" s="18" t="n">
        <x:v>42313</x:v>
      </x:c>
      <x:c r="C3818" t="str">
        <x:v>NG-18430</x:v>
      </x:c>
      <x:c r="D3818" t="str">
        <x:v>Nathan Gelder</x:v>
      </x:c>
      <x:c r="E3818" t="str">
        <x:v>Consumer</x:v>
      </x:c>
      <x:c r="F3818" t="str">
        <x:v>Central</x:v>
      </x:c>
      <x:c r="G3818" t="str">
        <x:v>Office Supplies</x:v>
      </x:c>
      <x:c r="H3818" t="str">
        <x:v>Labels</x:v>
      </x:c>
      <x:c r="I3818" s="22" t="n">
        <x:v>19.824</x:v>
      </x:c>
      <x:c r="J3818" s="24" t="n">
        <x:v>6</x:v>
      </x:c>
      <x:c r="K3818" s="26" t="n">
        <x:v>0.2</x:v>
      </x:c>
      <x:c r="L3818" s="22" t="n">
        <x:v>6.442799999999999</x:v>
      </x:c>
      <x:c r="M3818" t="n">
        <x:v>2015</x:v>
      </x:c>
      <x:c r="N3818" s="20" t="n">
        <x:v>42309</x:v>
      </x:c>
    </x:row>
    <x:row r="3819" ht="18" customHeight="1">
      <x:c r="A3819" t="str">
        <x:v>CA-2016-152471</x:v>
      </x:c>
      <x:c r="B3819" s="18" t="n">
        <x:v>42559</x:v>
      </x:c>
      <x:c r="C3819" t="str">
        <x:v>ZD-21925</x:v>
      </x:c>
      <x:c r="D3819" t="str">
        <x:v>Zuschuss Donatelli</x:v>
      </x:c>
      <x:c r="E3819" t="str">
        <x:v>Consumer</x:v>
      </x:c>
      <x:c r="F3819" t="str">
        <x:v>South</x:v>
      </x:c>
      <x:c r="G3819" t="str">
        <x:v>Technology</x:v>
      </x:c>
      <x:c r="H3819" t="str">
        <x:v>Phones</x:v>
      </x:c>
      <x:c r="I3819" s="22" t="n">
        <x:v>823.9600000000002</x:v>
      </x:c>
      <x:c r="J3819" s="24" t="n">
        <x:v>5</x:v>
      </x:c>
      <x:c r="K3819" s="26" t="n">
        <x:v>0.2</x:v>
      </x:c>
      <x:c r="L3819" s="22" t="n">
        <x:v>51.497499999999974</x:v>
      </x:c>
      <x:c r="M3819" t="n">
        <x:v>2016</x:v>
      </x:c>
      <x:c r="N3819" s="20" t="n">
        <x:v>42552</x:v>
      </x:c>
    </x:row>
    <x:row r="3820" ht="18" customHeight="1">
      <x:c r="A3820" t="str">
        <x:v>CA-2016-152471</x:v>
      </x:c>
      <x:c r="B3820" s="18" t="n">
        <x:v>42559</x:v>
      </x:c>
      <x:c r="C3820" t="str">
        <x:v>ZD-21925</x:v>
      </x:c>
      <x:c r="D3820" t="str">
        <x:v>Zuschuss Donatelli</x:v>
      </x:c>
      <x:c r="E3820" t="str">
        <x:v>Consumer</x:v>
      </x:c>
      <x:c r="F3820" t="str">
        <x:v>South</x:v>
      </x:c>
      <x:c r="G3820" t="str">
        <x:v>Office Supplies</x:v>
      </x:c>
      <x:c r="H3820" t="str">
        <x:v>Paper</x:v>
      </x:c>
      <x:c r="I3820" s="22" t="n">
        <x:v>15.984000000000002</x:v>
      </x:c>
      <x:c r="J3820" s="24" t="n">
        <x:v>2</x:v>
      </x:c>
      <x:c r="K3820" s="26" t="n">
        <x:v>0.2</x:v>
      </x:c>
      <x:c r="L3820" s="22" t="n">
        <x:v>4.994999999999999</x:v>
      </x:c>
      <x:c r="M3820" t="n">
        <x:v>2016</x:v>
      </x:c>
      <x:c r="N3820" s="20" t="n">
        <x:v>42552</x:v>
      </x:c>
    </x:row>
    <x:row r="3821" ht="18" customHeight="1">
      <x:c r="A3821" t="str">
        <x:v>CA-2015-102582</x:v>
      </x:c>
      <x:c r="B3821" s="18" t="n">
        <x:v>42262</x:v>
      </x:c>
      <x:c r="C3821" t="str">
        <x:v>NW-18400</x:v>
      </x:c>
      <x:c r="D3821" t="str">
        <x:v>Natalie Webber</x:v>
      </x:c>
      <x:c r="E3821" t="str">
        <x:v>Consumer</x:v>
      </x:c>
      <x:c r="F3821" t="str">
        <x:v>South</x:v>
      </x:c>
      <x:c r="G3821" t="str">
        <x:v>Furniture</x:v>
      </x:c>
      <x:c r="H3821" t="str">
        <x:v>Tables</x:v>
      </x:c>
      <x:c r="I3821" s="22" t="n">
        <x:v>801.96</x:v>
      </x:c>
      <x:c r="J3821" s="24" t="n">
        <x:v>2</x:v>
      </x:c>
      <x:c r="K3821" s="26" t="n">
        <x:v>0</x:v>
      </x:c>
      <x:c r="L3821" s="22" t="n">
        <x:v>200.49</x:v>
      </x:c>
      <x:c r="M3821" t="n">
        <x:v>2015</x:v>
      </x:c>
      <x:c r="N3821" s="20" t="n">
        <x:v>42248</x:v>
      </x:c>
    </x:row>
    <x:row r="3822" ht="18" customHeight="1">
      <x:c r="A3822" t="str">
        <x:v>CA-2015-102582</x:v>
      </x:c>
      <x:c r="B3822" s="18" t="n">
        <x:v>42262</x:v>
      </x:c>
      <x:c r="C3822" t="str">
        <x:v>NW-18400</x:v>
      </x:c>
      <x:c r="D3822" t="str">
        <x:v>Natalie Webber</x:v>
      </x:c>
      <x:c r="E3822" t="str">
        <x:v>Consumer</x:v>
      </x:c>
      <x:c r="F3822" t="str">
        <x:v>South</x:v>
      </x:c>
      <x:c r="G3822" t="str">
        <x:v>Technology</x:v>
      </x:c>
      <x:c r="H3822" t="str">
        <x:v>Phones</x:v>
      </x:c>
      <x:c r="I3822" s="22" t="n">
        <x:v>59.97</x:v>
      </x:c>
      <x:c r="J3822" s="24" t="n">
        <x:v>3</x:v>
      </x:c>
      <x:c r="K3822" s="26" t="n">
        <x:v>0</x:v>
      </x:c>
      <x:c r="L3822" s="22" t="n">
        <x:v>0</x:v>
      </x:c>
      <x:c r="M3822" t="n">
        <x:v>2015</x:v>
      </x:c>
      <x:c r="N3822" s="20" t="n">
        <x:v>42248</x:v>
      </x:c>
    </x:row>
    <x:row r="3823" ht="18" customHeight="1">
      <x:c r="A3823" t="str">
        <x:v>CA-2015-102582</x:v>
      </x:c>
      <x:c r="B3823" s="18" t="n">
        <x:v>42262</x:v>
      </x:c>
      <x:c r="C3823" t="str">
        <x:v>NW-18400</x:v>
      </x:c>
      <x:c r="D3823" t="str">
        <x:v>Natalie Webber</x:v>
      </x:c>
      <x:c r="E3823" t="str">
        <x:v>Consumer</x:v>
      </x:c>
      <x:c r="F3823" t="str">
        <x:v>South</x:v>
      </x:c>
      <x:c r="G3823" t="str">
        <x:v>Furniture</x:v>
      </x:c>
      <x:c r="H3823" t="str">
        <x:v>Chairs</x:v>
      </x:c>
      <x:c r="I3823" s="22" t="n">
        <x:v>1056.86</x:v>
      </x:c>
      <x:c r="J3823" s="24" t="n">
        <x:v>7</x:v>
      </x:c>
      <x:c r="K3823" s="26" t="n">
        <x:v>0</x:v>
      </x:c>
      <x:c r="L3823" s="22" t="n">
        <x:v>306.4893999999999</x:v>
      </x:c>
      <x:c r="M3823" t="n">
        <x:v>2015</x:v>
      </x:c>
      <x:c r="N3823" s="20" t="n">
        <x:v>42248</x:v>
      </x:c>
    </x:row>
    <x:row r="3824" ht="18" customHeight="1">
      <x:c r="A3824" t="str">
        <x:v>CA-2017-141873</x:v>
      </x:c>
      <x:c r="B3824" s="18" t="n">
        <x:v>43017</x:v>
      </x:c>
      <x:c r="C3824" t="str">
        <x:v>HG-14845</x:v>
      </x:c>
      <x:c r="D3824" t="str">
        <x:v>Harry Greene</x:v>
      </x:c>
      <x:c r="E3824" t="str">
        <x:v>Consumer</x:v>
      </x:c>
      <x:c r="F3824" t="str">
        <x:v>East</x:v>
      </x:c>
      <x:c r="G3824" t="str">
        <x:v>Office Supplies</x:v>
      </x:c>
      <x:c r="H3824" t="str">
        <x:v>Binders</x:v>
      </x:c>
      <x:c r="I3824" s="22" t="n">
        <x:v>12.816</x:v>
      </x:c>
      <x:c r="J3824" s="24" t="n">
        <x:v>3</x:v>
      </x:c>
      <x:c r="K3824" s="26" t="n">
        <x:v>0.2</x:v>
      </x:c>
      <x:c r="L3824" s="22" t="n">
        <x:v>4.325399999999998</x:v>
      </x:c>
      <x:c r="M3824" t="n">
        <x:v>2017</x:v>
      </x:c>
      <x:c r="N3824" s="20" t="n">
        <x:v>43009</x:v>
      </x:c>
    </x:row>
    <x:row r="3825" ht="18" customHeight="1">
      <x:c r="A3825" t="str">
        <x:v>CA-2017-141873</x:v>
      </x:c>
      <x:c r="B3825" s="18" t="n">
        <x:v>43017</x:v>
      </x:c>
      <x:c r="C3825" t="str">
        <x:v>HG-14845</x:v>
      </x:c>
      <x:c r="D3825" t="str">
        <x:v>Harry Greene</x:v>
      </x:c>
      <x:c r="E3825" t="str">
        <x:v>Consumer</x:v>
      </x:c>
      <x:c r="F3825" t="str">
        <x:v>East</x:v>
      </x:c>
      <x:c r="G3825" t="str">
        <x:v>Furniture</x:v>
      </x:c>
      <x:c r="H3825" t="str">
        <x:v>Bookcases</x:v>
      </x:c>
      <x:c r="I3825" s="22" t="n">
        <x:v>314.352</x:v>
      </x:c>
      <x:c r="J3825" s="24" t="n">
        <x:v>3</x:v>
      </x:c>
      <x:c r="K3825" s="26" t="n">
        <x:v>0.2</x:v>
      </x:c>
      <x:c r="L3825" s="22" t="n">
        <x:v>-15.71759999999999</x:v>
      </x:c>
      <x:c r="M3825" t="n">
        <x:v>2017</x:v>
      </x:c>
      <x:c r="N3825" s="20" t="n">
        <x:v>43009</x:v>
      </x:c>
    </x:row>
    <x:row r="3826" ht="18" customHeight="1">
      <x:c r="A3826" t="str">
        <x:v>CA-2017-141873</x:v>
      </x:c>
      <x:c r="B3826" s="18" t="n">
        <x:v>43017</x:v>
      </x:c>
      <x:c r="C3826" t="str">
        <x:v>HG-14845</x:v>
      </x:c>
      <x:c r="D3826" t="str">
        <x:v>Harry Greene</x:v>
      </x:c>
      <x:c r="E3826" t="str">
        <x:v>Consumer</x:v>
      </x:c>
      <x:c r="F3826" t="str">
        <x:v>East</x:v>
      </x:c>
      <x:c r="G3826" t="str">
        <x:v>Office Supplies</x:v>
      </x:c>
      <x:c r="H3826" t="str">
        <x:v>Paper</x:v>
      </x:c>
      <x:c r="I3826" s="22" t="n">
        <x:v>18.98</x:v>
      </x:c>
      <x:c r="J3826" s="24" t="n">
        <x:v>2</x:v>
      </x:c>
      <x:c r="K3826" s="26" t="n">
        <x:v>0</x:v>
      </x:c>
      <x:c r="L3826" s="22" t="n">
        <x:v>8.9206</x:v>
      </x:c>
      <x:c r="M3826" t="n">
        <x:v>2017</x:v>
      </x:c>
      <x:c r="N3826" s="20" t="n">
        <x:v>43009</x:v>
      </x:c>
    </x:row>
    <x:row r="3827" ht="18" customHeight="1">
      <x:c r="A3827" t="str">
        <x:v>CA-2017-141873</x:v>
      </x:c>
      <x:c r="B3827" s="18" t="n">
        <x:v>43017</x:v>
      </x:c>
      <x:c r="C3827" t="str">
        <x:v>HG-14845</x:v>
      </x:c>
      <x:c r="D3827" t="str">
        <x:v>Harry Greene</x:v>
      </x:c>
      <x:c r="E3827" t="str">
        <x:v>Consumer</x:v>
      </x:c>
      <x:c r="F3827" t="str">
        <x:v>East</x:v>
      </x:c>
      <x:c r="G3827" t="str">
        <x:v>Office Supplies</x:v>
      </x:c>
      <x:c r="H3827" t="str">
        <x:v>Binders</x:v>
      </x:c>
      <x:c r="I3827" s="22" t="n">
        <x:v>18.240000000000002</x:v>
      </x:c>
      <x:c r="J3827" s="24" t="n">
        <x:v>6</x:v>
      </x:c>
      <x:c r="K3827" s="26" t="n">
        <x:v>0.2</x:v>
      </x:c>
      <x:c r="L3827" s="22" t="n">
        <x:v>6.156000000000001</x:v>
      </x:c>
      <x:c r="M3827" t="n">
        <x:v>2017</x:v>
      </x:c>
      <x:c r="N3827" s="20" t="n">
        <x:v>43009</x:v>
      </x:c>
    </x:row>
    <x:row r="3828" ht="18" customHeight="1">
      <x:c r="A3828" t="str">
        <x:v>CA-2015-140984</x:v>
      </x:c>
      <x:c r="B3828" s="18" t="n">
        <x:v>42261</x:v>
      </x:c>
      <x:c r="C3828" t="str">
        <x:v>CC-12685</x:v>
      </x:c>
      <x:c r="D3828" t="str">
        <x:v>Craig Carroll</x:v>
      </x:c>
      <x:c r="E3828" t="str">
        <x:v>Consumer</x:v>
      </x:c>
      <x:c r="F3828" t="str">
        <x:v>East</x:v>
      </x:c>
      <x:c r="G3828" t="str">
        <x:v>Office Supplies</x:v>
      </x:c>
      <x:c r="H3828" t="str">
        <x:v>Storage</x:v>
      </x:c>
      <x:c r="I3828" s="22" t="n">
        <x:v>991.1999999999999</x:v>
      </x:c>
      <x:c r="J3828" s="24" t="n">
        <x:v>6</x:v>
      </x:c>
      <x:c r="K3828" s="26" t="n">
        <x:v>0</x:v>
      </x:c>
      <x:c r="L3828" s="22" t="n">
        <x:v>257.712</x:v>
      </x:c>
      <x:c r="M3828" t="n">
        <x:v>2015</x:v>
      </x:c>
      <x:c r="N3828" s="20" t="n">
        <x:v>42248</x:v>
      </x:c>
    </x:row>
    <x:row r="3829" ht="18" customHeight="1">
      <x:c r="A3829" t="str">
        <x:v>CA-2015-140984</x:v>
      </x:c>
      <x:c r="B3829" s="18" t="n">
        <x:v>42261</x:v>
      </x:c>
      <x:c r="C3829" t="str">
        <x:v>CC-12685</x:v>
      </x:c>
      <x:c r="D3829" t="str">
        <x:v>Craig Carroll</x:v>
      </x:c>
      <x:c r="E3829" t="str">
        <x:v>Consumer</x:v>
      </x:c>
      <x:c r="F3829" t="str">
        <x:v>East</x:v>
      </x:c>
      <x:c r="G3829" t="str">
        <x:v>Technology</x:v>
      </x:c>
      <x:c r="H3829" t="str">
        <x:v>Copiers</x:v>
      </x:c>
      <x:c r="I3829" s="22" t="n">
        <x:v>879.984</x:v>
      </x:c>
      <x:c r="J3829" s="24" t="n">
        <x:v>2</x:v>
      </x:c>
      <x:c r="K3829" s="26" t="n">
        <x:v>0.2</x:v>
      </x:c>
      <x:c r="L3829" s="22" t="n">
        <x:v>329.994</x:v>
      </x:c>
      <x:c r="M3829" t="n">
        <x:v>2015</x:v>
      </x:c>
      <x:c r="N3829" s="20" t="n">
        <x:v>42248</x:v>
      </x:c>
    </x:row>
    <x:row r="3830" ht="18" customHeight="1">
      <x:c r="A3830" t="str">
        <x:v>CA-2015-140984</x:v>
      </x:c>
      <x:c r="B3830" s="18" t="n">
        <x:v>42261</x:v>
      </x:c>
      <x:c r="C3830" t="str">
        <x:v>CC-12685</x:v>
      </x:c>
      <x:c r="D3830" t="str">
        <x:v>Craig Carroll</x:v>
      </x:c>
      <x:c r="E3830" t="str">
        <x:v>Consumer</x:v>
      </x:c>
      <x:c r="F3830" t="str">
        <x:v>East</x:v>
      </x:c>
      <x:c r="G3830" t="str">
        <x:v>Office Supplies</x:v>
      </x:c>
      <x:c r="H3830" t="str">
        <x:v>Binders</x:v>
      </x:c>
      <x:c r="I3830" s="22" t="n">
        <x:v>12.96</x:v>
      </x:c>
      <x:c r="J3830" s="24" t="n">
        <x:v>9</x:v>
      </x:c>
      <x:c r="K3830" s="26" t="n">
        <x:v>0.2</x:v>
      </x:c>
      <x:c r="L3830" s="22" t="n">
        <x:v>4.536</x:v>
      </x:c>
      <x:c r="M3830" t="n">
        <x:v>2015</x:v>
      </x:c>
      <x:c r="N3830" s="20" t="n">
        <x:v>42248</x:v>
      </x:c>
    </x:row>
    <x:row r="3831" ht="18" customHeight="1">
      <x:c r="A3831" t="str">
        <x:v>CA-2014-132801</x:v>
      </x:c>
      <x:c r="B3831" s="18" t="n">
        <x:v>41919</x:v>
      </x:c>
      <x:c r="C3831" t="str">
        <x:v>JG-15805</x:v>
      </x:c>
      <x:c r="D3831" t="str">
        <x:v>John Grady</x:v>
      </x:c>
      <x:c r="E3831" t="str">
        <x:v>Corporate</x:v>
      </x:c>
      <x:c r="F3831" t="str">
        <x:v>Central</x:v>
      </x:c>
      <x:c r="G3831" t="str">
        <x:v>Office Supplies</x:v>
      </x:c>
      <x:c r="H3831" t="str">
        <x:v>Storage</x:v>
      </x:c>
      <x:c r="I3831" s="22" t="n">
        <x:v>107.44</x:v>
      </x:c>
      <x:c r="J3831" s="24" t="n">
        <x:v>10</x:v>
      </x:c>
      <x:c r="K3831" s="26" t="n">
        <x:v>0.2</x:v>
      </x:c>
      <x:c r="L3831" s="22" t="n">
        <x:v>10.744000000000007</x:v>
      </x:c>
      <x:c r="M3831" t="n">
        <x:v>2014</x:v>
      </x:c>
      <x:c r="N3831" s="20" t="n">
        <x:v>41913</x:v>
      </x:c>
    </x:row>
    <x:row r="3832" ht="18" customHeight="1">
      <x:c r="A3832" t="str">
        <x:v>CA-2017-141733</x:v>
      </x:c>
      <x:c r="B3832" s="18" t="n">
        <x:v>42862</x:v>
      </x:c>
      <x:c r="C3832" t="str">
        <x:v>RW-19540</x:v>
      </x:c>
      <x:c r="D3832" t="str">
        <x:v>Rick Wilson</x:v>
      </x:c>
      <x:c r="E3832" t="str">
        <x:v>Corporate</x:v>
      </x:c>
      <x:c r="F3832" t="str">
        <x:v>Central</x:v>
      </x:c>
      <x:c r="G3832" t="str">
        <x:v>Furniture</x:v>
      </x:c>
      <x:c r="H3832" t="str">
        <x:v>Chairs</x:v>
      </x:c>
      <x:c r="I3832" s="22" t="n">
        <x:v>1458.65</x:v>
      </x:c>
      <x:c r="J3832" s="24" t="n">
        <x:v>5</x:v>
      </x:c>
      <x:c r="K3832" s="26" t="n">
        <x:v>0</x:v>
      </x:c>
      <x:c r="L3832" s="22" t="n">
        <x:v>423.00849999999997</x:v>
      </x:c>
      <x:c r="M3832" t="n">
        <x:v>2017</x:v>
      </x:c>
      <x:c r="N3832" s="20" t="n">
        <x:v>42856</x:v>
      </x:c>
    </x:row>
    <x:row r="3833" ht="18" customHeight="1">
      <x:c r="A3833" t="str">
        <x:v>CA-2017-141733</x:v>
      </x:c>
      <x:c r="B3833" s="18" t="n">
        <x:v>42862</x:v>
      </x:c>
      <x:c r="C3833" t="str">
        <x:v>RW-19540</x:v>
      </x:c>
      <x:c r="D3833" t="str">
        <x:v>Rick Wilson</x:v>
      </x:c>
      <x:c r="E3833" t="str">
        <x:v>Corporate</x:v>
      </x:c>
      <x:c r="F3833" t="str">
        <x:v>Central</x:v>
      </x:c>
      <x:c r="G3833" t="str">
        <x:v>Furniture</x:v>
      </x:c>
      <x:c r="H3833" t="str">
        <x:v>Chairs</x:v>
      </x:c>
      <x:c r="I3833" s="22" t="n">
        <x:v>26.64</x:v>
      </x:c>
      <x:c r="J3833" s="24" t="n">
        <x:v>1</x:v>
      </x:c>
      <x:c r="K3833" s="26" t="n">
        <x:v>0</x:v>
      </x:c>
      <x:c r="L3833" s="22" t="n">
        <x:v>7.459199999999999</x:v>
      </x:c>
      <x:c r="M3833" t="n">
        <x:v>2017</x:v>
      </x:c>
      <x:c r="N3833" s="20" t="n">
        <x:v>42856</x:v>
      </x:c>
    </x:row>
    <x:row r="3834" ht="18" customHeight="1">
      <x:c r="A3834" t="str">
        <x:v>CA-2017-141733</x:v>
      </x:c>
      <x:c r="B3834" s="18" t="n">
        <x:v>42862</x:v>
      </x:c>
      <x:c r="C3834" t="str">
        <x:v>RW-19540</x:v>
      </x:c>
      <x:c r="D3834" t="str">
        <x:v>Rick Wilson</x:v>
      </x:c>
      <x:c r="E3834" t="str">
        <x:v>Corporate</x:v>
      </x:c>
      <x:c r="F3834" t="str">
        <x:v>Central</x:v>
      </x:c>
      <x:c r="G3834" t="str">
        <x:v>Furniture</x:v>
      </x:c>
      <x:c r="H3834" t="str">
        <x:v>Chairs</x:v>
      </x:c>
      <x:c r="I3834" s="22" t="n">
        <x:v>476.8</x:v>
      </x:c>
      <x:c r="J3834" s="24" t="n">
        <x:v>2</x:v>
      </x:c>
      <x:c r="K3834" s="26" t="n">
        <x:v>0</x:v>
      </x:c>
      <x:c r="L3834" s="22" t="n">
        <x:v>119.19999999999999</x:v>
      </x:c>
      <x:c r="M3834" t="n">
        <x:v>2017</x:v>
      </x:c>
      <x:c r="N3834" s="20" t="n">
        <x:v>42856</x:v>
      </x:c>
    </x:row>
    <x:row r="3835" ht="18" customHeight="1">
      <x:c r="A3835" t="str">
        <x:v>CA-2017-141733</x:v>
      </x:c>
      <x:c r="B3835" s="18" t="n">
        <x:v>42862</x:v>
      </x:c>
      <x:c r="C3835" t="str">
        <x:v>RW-19540</x:v>
      </x:c>
      <x:c r="D3835" t="str">
        <x:v>Rick Wilson</x:v>
      </x:c>
      <x:c r="E3835" t="str">
        <x:v>Corporate</x:v>
      </x:c>
      <x:c r="F3835" t="str">
        <x:v>Central</x:v>
      </x:c>
      <x:c r="G3835" t="str">
        <x:v>Office Supplies</x:v>
      </x:c>
      <x:c r="H3835" t="str">
        <x:v>Appliances</x:v>
      </x:c>
      <x:c r="I3835" s="22" t="n">
        <x:v>87.444</x:v>
      </x:c>
      <x:c r="J3835" s="24" t="n">
        <x:v>2</x:v>
      </x:c>
      <x:c r="K3835" s="26" t="n">
        <x:v>0.1</x:v>
      </x:c>
      <x:c r="L3835" s="22" t="n">
        <x:v>18.460399999999986</x:v>
      </x:c>
      <x:c r="M3835" t="n">
        <x:v>2017</x:v>
      </x:c>
      <x:c r="N3835" s="20" t="n">
        <x:v>42856</x:v>
      </x:c>
    </x:row>
    <x:row r="3836" ht="18" customHeight="1">
      <x:c r="A3836" t="str">
        <x:v>US-2015-111927</x:v>
      </x:c>
      <x:c r="B3836" s="18" t="n">
        <x:v>42322</x:v>
      </x:c>
      <x:c r="C3836" t="str">
        <x:v>LS-17230</x:v>
      </x:c>
      <x:c r="D3836" t="str">
        <x:v>Lycoris Saunders</x:v>
      </x:c>
      <x:c r="E3836" t="str">
        <x:v>Consumer</x:v>
      </x:c>
      <x:c r="F3836" t="str">
        <x:v>East</x:v>
      </x:c>
      <x:c r="G3836" t="str">
        <x:v>Furniture</x:v>
      </x:c>
      <x:c r="H3836" t="str">
        <x:v>Furnishings</x:v>
      </x:c>
      <x:c r="I3836" s="22" t="n">
        <x:v>76.14</x:v>
      </x:c>
      <x:c r="J3836" s="24" t="n">
        <x:v>3</x:v>
      </x:c>
      <x:c r="K3836" s="26" t="n">
        <x:v>0</x:v>
      </x:c>
      <x:c r="L3836" s="22" t="n">
        <x:v>26.648999999999997</x:v>
      </x:c>
      <x:c r="M3836" t="n">
        <x:v>2015</x:v>
      </x:c>
      <x:c r="N3836" s="20" t="n">
        <x:v>42309</x:v>
      </x:c>
    </x:row>
    <x:row r="3837" ht="18" customHeight="1">
      <x:c r="A3837" t="str">
        <x:v>US-2015-111927</x:v>
      </x:c>
      <x:c r="B3837" s="18" t="n">
        <x:v>42322</x:v>
      </x:c>
      <x:c r="C3837" t="str">
        <x:v>LS-17230</x:v>
      </x:c>
      <x:c r="D3837" t="str">
        <x:v>Lycoris Saunders</x:v>
      </x:c>
      <x:c r="E3837" t="str">
        <x:v>Consumer</x:v>
      </x:c>
      <x:c r="F3837" t="str">
        <x:v>East</x:v>
      </x:c>
      <x:c r="G3837" t="str">
        <x:v>Office Supplies</x:v>
      </x:c>
      <x:c r="H3837" t="str">
        <x:v>Binders</x:v>
      </x:c>
      <x:c r="I3837" s="22" t="n">
        <x:v>19.96</x:v>
      </x:c>
      <x:c r="J3837" s="24" t="n">
        <x:v>2</x:v>
      </x:c>
      <x:c r="K3837" s="26" t="n">
        <x:v>0</x:v>
      </x:c>
      <x:c r="L3837" s="22" t="n">
        <x:v>9.3812</x:v>
      </x:c>
      <x:c r="M3837" t="n">
        <x:v>2015</x:v>
      </x:c>
      <x:c r="N3837" s="20" t="n">
        <x:v>42309</x:v>
      </x:c>
    </x:row>
    <x:row r="3838" ht="18" customHeight="1">
      <x:c r="A3838" t="str">
        <x:v>CA-2014-105984</x:v>
      </x:c>
      <x:c r="B3838" s="18" t="n">
        <x:v>41967</x:v>
      </x:c>
      <x:c r="C3838" t="str">
        <x:v>MY-18295</x:v>
      </x:c>
      <x:c r="D3838" t="str">
        <x:v>Muhammed Yedwab</x:v>
      </x:c>
      <x:c r="E3838" t="str">
        <x:v>Corporate</x:v>
      </x:c>
      <x:c r="F3838" t="str">
        <x:v>East</x:v>
      </x:c>
      <x:c r="G3838" t="str">
        <x:v>Technology</x:v>
      </x:c>
      <x:c r="H3838" t="str">
        <x:v>Phones</x:v>
      </x:c>
      <x:c r="I3838" s="22" t="n">
        <x:v>1049.97</x:v>
      </x:c>
      <x:c r="J3838" s="24" t="n">
        <x:v>5</x:v>
      </x:c>
      <x:c r="K3838" s="26" t="n">
        <x:v>0.4</x:v>
      </x:c>
      <x:c r="L3838" s="22" t="n">
        <x:v>-209.99399999999991</x:v>
      </x:c>
      <x:c r="M3838" t="n">
        <x:v>2014</x:v>
      </x:c>
      <x:c r="N3838" s="20" t="n">
        <x:v>41944</x:v>
      </x:c>
    </x:row>
    <x:row r="3839" ht="18" customHeight="1">
      <x:c r="A3839" t="str">
        <x:v>CA-2014-105984</x:v>
      </x:c>
      <x:c r="B3839" s="18" t="n">
        <x:v>41967</x:v>
      </x:c>
      <x:c r="C3839" t="str">
        <x:v>MY-18295</x:v>
      </x:c>
      <x:c r="D3839" t="str">
        <x:v>Muhammed Yedwab</x:v>
      </x:c>
      <x:c r="E3839" t="str">
        <x:v>Corporate</x:v>
      </x:c>
      <x:c r="F3839" t="str">
        <x:v>East</x:v>
      </x:c>
      <x:c r="G3839" t="str">
        <x:v>Furniture</x:v>
      </x:c>
      <x:c r="H3839" t="str">
        <x:v>Chairs</x:v>
      </x:c>
      <x:c r="I3839" s="22" t="n">
        <x:v>611.058</x:v>
      </x:c>
      <x:c r="J3839" s="24" t="n">
        <x:v>3</x:v>
      </x:c>
      <x:c r="K3839" s="26" t="n">
        <x:v>0.3</x:v>
      </x:c>
      <x:c r="L3839" s="22" t="n">
        <x:v>-34.91760000000002</x:v>
      </x:c>
      <x:c r="M3839" t="n">
        <x:v>2014</x:v>
      </x:c>
      <x:c r="N3839" s="20" t="n">
        <x:v>41944</x:v>
      </x:c>
    </x:row>
    <x:row r="3840" ht="18" customHeight="1">
      <x:c r="A3840" t="str">
        <x:v>CA-2014-100363</x:v>
      </x:c>
      <x:c r="B3840" s="18" t="n">
        <x:v>41737</x:v>
      </x:c>
      <x:c r="C3840" t="str">
        <x:v>JM-15655</x:v>
      </x:c>
      <x:c r="D3840" t="str">
        <x:v>Jim Mitchum</x:v>
      </x:c>
      <x:c r="E3840" t="str">
        <x:v>Corporate</x:v>
      </x:c>
      <x:c r="F3840" t="str">
        <x:v>West</x:v>
      </x:c>
      <x:c r="G3840" t="str">
        <x:v>Office Supplies</x:v>
      </x:c>
      <x:c r="H3840" t="str">
        <x:v>Fasteners</x:v>
      </x:c>
      <x:c r="I3840" s="22" t="n">
        <x:v>2.368</x:v>
      </x:c>
      <x:c r="J3840" s="24" t="n">
        <x:v>2</x:v>
      </x:c>
      <x:c r="K3840" s="26" t="n">
        <x:v>0.2</x:v>
      </x:c>
      <x:c r="L3840" s="22" t="n">
        <x:v>0.8287999999999999</x:v>
      </x:c>
      <x:c r="M3840" t="n">
        <x:v>2014</x:v>
      </x:c>
      <x:c r="N3840" s="20" t="n">
        <x:v>41730</x:v>
      </x:c>
    </x:row>
    <x:row r="3841" ht="18" customHeight="1">
      <x:c r="A3841" t="str">
        <x:v>CA-2014-100363</x:v>
      </x:c>
      <x:c r="B3841" s="18" t="n">
        <x:v>41737</x:v>
      </x:c>
      <x:c r="C3841" t="str">
        <x:v>JM-15655</x:v>
      </x:c>
      <x:c r="D3841" t="str">
        <x:v>Jim Mitchum</x:v>
      </x:c>
      <x:c r="E3841" t="str">
        <x:v>Corporate</x:v>
      </x:c>
      <x:c r="F3841" t="str">
        <x:v>West</x:v>
      </x:c>
      <x:c r="G3841" t="str">
        <x:v>Office Supplies</x:v>
      </x:c>
      <x:c r="H3841" t="str">
        <x:v>Paper</x:v>
      </x:c>
      <x:c r="I3841" s="22" t="n">
        <x:v>19.008000000000003</x:v>
      </x:c>
      <x:c r="J3841" s="24" t="n">
        <x:v>3</x:v>
      </x:c>
      <x:c r="K3841" s="26" t="n">
        <x:v>0.2</x:v>
      </x:c>
      <x:c r="L3841" s="22" t="n">
        <x:v>6.890399999999998</x:v>
      </x:c>
      <x:c r="M3841" t="n">
        <x:v>2014</x:v>
      </x:c>
      <x:c r="N3841" s="20" t="n">
        <x:v>41730</x:v>
      </x:c>
    </x:row>
    <x:row r="3842" ht="18" customHeight="1">
      <x:c r="A3842" t="str">
        <x:v>CA-2014-126760</x:v>
      </x:c>
      <x:c r="B3842" s="18" t="n">
        <x:v>41846</x:v>
      </x:c>
      <x:c r="C3842" t="str">
        <x:v>KM-16720</x:v>
      </x:c>
      <x:c r="D3842" t="str">
        <x:v>Kunst Miller</x:v>
      </x:c>
      <x:c r="E3842" t="str">
        <x:v>Consumer</x:v>
      </x:c>
      <x:c r="F3842" t="str">
        <x:v>West</x:v>
      </x:c>
      <x:c r="G3842" t="str">
        <x:v>Technology</x:v>
      </x:c>
      <x:c r="H3842" t="str">
        <x:v>Phones</x:v>
      </x:c>
      <x:c r="I3842" s="22" t="n">
        <x:v>911.984</x:v>
      </x:c>
      <x:c r="J3842" s="24" t="n">
        <x:v>2</x:v>
      </x:c>
      <x:c r="K3842" s="26" t="n">
        <x:v>0.2</x:v>
      </x:c>
      <x:c r="L3842" s="22" t="n">
        <x:v>113.9979999999999</x:v>
      </x:c>
      <x:c r="M3842" t="n">
        <x:v>2014</x:v>
      </x:c>
      <x:c r="N3842" s="20" t="n">
        <x:v>41821</x:v>
      </x:c>
    </x:row>
    <x:row r="3843" ht="18" customHeight="1">
      <x:c r="A3843" t="str">
        <x:v>CA-2014-126760</x:v>
      </x:c>
      <x:c r="B3843" s="18" t="n">
        <x:v>41846</x:v>
      </x:c>
      <x:c r="C3843" t="str">
        <x:v>KM-16720</x:v>
      </x:c>
      <x:c r="D3843" t="str">
        <x:v>Kunst Miller</x:v>
      </x:c>
      <x:c r="E3843" t="str">
        <x:v>Consumer</x:v>
      </x:c>
      <x:c r="F3843" t="str">
        <x:v>West</x:v>
      </x:c>
      <x:c r="G3843" t="str">
        <x:v>Furniture</x:v>
      </x:c>
      <x:c r="H3843" t="str">
        <x:v>Chairs</x:v>
      </x:c>
      <x:c r="I3843" s="22" t="n">
        <x:v>674.3520000000001</x:v>
      </x:c>
      <x:c r="J3843" s="24" t="n">
        <x:v>3</x:v>
      </x:c>
      <x:c r="K3843" s="26" t="n">
        <x:v>0.2</x:v>
      </x:c>
      <x:c r="L3843" s="22" t="n">
        <x:v>-109.58220000000011</x:v>
      </x:c>
      <x:c r="M3843" t="n">
        <x:v>2014</x:v>
      </x:c>
      <x:c r="N3843" s="20" t="n">
        <x:v>41821</x:v>
      </x:c>
    </x:row>
    <x:row r="3844" ht="18" customHeight="1">
      <x:c r="A3844" t="str">
        <x:v>CA-2014-126760</x:v>
      </x:c>
      <x:c r="B3844" s="18" t="n">
        <x:v>41846</x:v>
      </x:c>
      <x:c r="C3844" t="str">
        <x:v>KM-16720</x:v>
      </x:c>
      <x:c r="D3844" t="str">
        <x:v>Kunst Miller</x:v>
      </x:c>
      <x:c r="E3844" t="str">
        <x:v>Consumer</x:v>
      </x:c>
      <x:c r="F3844" t="str">
        <x:v>West</x:v>
      </x:c>
      <x:c r="G3844" t="str">
        <x:v>Furniture</x:v>
      </x:c>
      <x:c r="H3844" t="str">
        <x:v>Furnishings</x:v>
      </x:c>
      <x:c r="I3844" s="22" t="n">
        <x:v>134.01</x:v>
      </x:c>
      <x:c r="J3844" s="24" t="n">
        <x:v>9</x:v>
      </x:c>
      <x:c r="K3844" s="26" t="n">
        <x:v>0</x:v>
      </x:c>
      <x:c r="L3844" s="22" t="n">
        <x:v>36.182700000000004</x:v>
      </x:c>
      <x:c r="M3844" t="n">
        <x:v>2014</x:v>
      </x:c>
      <x:c r="N3844" s="20" t="n">
        <x:v>41821</x:v>
      </x:c>
    </x:row>
    <x:row r="3845" ht="18" customHeight="1">
      <x:c r="A3845" t="str">
        <x:v>CA-2014-126760</x:v>
      </x:c>
      <x:c r="B3845" s="18" t="n">
        <x:v>41846</x:v>
      </x:c>
      <x:c r="C3845" t="str">
        <x:v>KM-16720</x:v>
      </x:c>
      <x:c r="D3845" t="str">
        <x:v>Kunst Miller</x:v>
      </x:c>
      <x:c r="E3845" t="str">
        <x:v>Consumer</x:v>
      </x:c>
      <x:c r="F3845" t="str">
        <x:v>West</x:v>
      </x:c>
      <x:c r="G3845" t="str">
        <x:v>Technology</x:v>
      </x:c>
      <x:c r="H3845" t="str">
        <x:v>Accessories</x:v>
      </x:c>
      <x:c r="I3845" s="22" t="n">
        <x:v>170.97</x:v>
      </x:c>
      <x:c r="J3845" s="24" t="n">
        <x:v>3</x:v>
      </x:c>
      <x:c r="K3845" s="26" t="n">
        <x:v>0</x:v>
      </x:c>
      <x:c r="L3845" s="22" t="n">
        <x:v>70.0977</x:v>
      </x:c>
      <x:c r="M3845" t="n">
        <x:v>2014</x:v>
      </x:c>
      <x:c r="N3845" s="20" t="n">
        <x:v>41821</x:v>
      </x:c>
    </x:row>
    <x:row r="3846" ht="18" customHeight="1">
      <x:c r="A3846" t="str">
        <x:v>US-2014-109162</x:v>
      </x:c>
      <x:c r="B3846" s="18" t="n">
        <x:v>41798</x:v>
      </x:c>
      <x:c r="C3846" t="str">
        <x:v>KE-16420</x:v>
      </x:c>
      <x:c r="D3846" t="str">
        <x:v>Katrina Edelman</x:v>
      </x:c>
      <x:c r="E3846" t="str">
        <x:v>Corporate</x:v>
      </x:c>
      <x:c r="F3846" t="str">
        <x:v>South</x:v>
      </x:c>
      <x:c r="G3846" t="str">
        <x:v>Furniture</x:v>
      </x:c>
      <x:c r="H3846" t="str">
        <x:v>Chairs</x:v>
      </x:c>
      <x:c r="I3846" s="22" t="n">
        <x:v>170.35200000000003</x:v>
      </x:c>
      <x:c r="J3846" s="24" t="n">
        <x:v>3</x:v>
      </x:c>
      <x:c r="K3846" s="26" t="n">
        <x:v>0.2</x:v>
      </x:c>
      <x:c r="L3846" s="22" t="n">
        <x:v>10.647000000000006</x:v>
      </x:c>
      <x:c r="M3846" t="n">
        <x:v>2014</x:v>
      </x:c>
      <x:c r="N3846" s="20" t="n">
        <x:v>41791</x:v>
      </x:c>
    </x:row>
    <x:row r="3847" ht="18" customHeight="1">
      <x:c r="A3847" t="str">
        <x:v>CA-2014-101931</x:v>
      </x:c>
      <x:c r="B3847" s="18" t="n">
        <x:v>41940</x:v>
      </x:c>
      <x:c r="C3847" t="str">
        <x:v>TS-21370</x:v>
      </x:c>
      <x:c r="D3847" t="str">
        <x:v>Todd Sumrall</x:v>
      </x:c>
      <x:c r="E3847" t="str">
        <x:v>Corporate</x:v>
      </x:c>
      <x:c r="F3847" t="str">
        <x:v>West</x:v>
      </x:c>
      <x:c r="G3847" t="str">
        <x:v>Office Supplies</x:v>
      </x:c>
      <x:c r="H3847" t="str">
        <x:v>Binders</x:v>
      </x:c>
      <x:c r="I3847" s="22" t="n">
        <x:v>7.184000000000001</x:v>
      </x:c>
      <x:c r="J3847" s="24" t="n">
        <x:v>2</x:v>
      </x:c>
      <x:c r="K3847" s="26" t="n">
        <x:v>0.2</x:v>
      </x:c>
      <x:c r="L3847" s="22" t="n">
        <x:v>2.244999999999999</x:v>
      </x:c>
      <x:c r="M3847" t="n">
        <x:v>2014</x:v>
      </x:c>
      <x:c r="N3847" s="20" t="n">
        <x:v>41913</x:v>
      </x:c>
    </x:row>
    <x:row r="3848" ht="18" customHeight="1">
      <x:c r="A3848" t="str">
        <x:v>CA-2014-101931</x:v>
      </x:c>
      <x:c r="B3848" s="18" t="n">
        <x:v>41940</x:v>
      </x:c>
      <x:c r="C3848" t="str">
        <x:v>TS-21370</x:v>
      </x:c>
      <x:c r="D3848" t="str">
        <x:v>Todd Sumrall</x:v>
      </x:c>
      <x:c r="E3848" t="str">
        <x:v>Corporate</x:v>
      </x:c>
      <x:c r="F3848" t="str">
        <x:v>West</x:v>
      </x:c>
      <x:c r="G3848" t="str">
        <x:v>Office Supplies</x:v>
      </x:c>
      <x:c r="H3848" t="str">
        <x:v>Supplies</x:v>
      </x:c>
      <x:c r="I3848" s="22" t="n">
        <x:v>6.28</x:v>
      </x:c>
      <x:c r="J3848" s="24" t="n">
        <x:v>2</x:v>
      </x:c>
      <x:c r="K3848" s="26" t="n">
        <x:v>0</x:v>
      </x:c>
      <x:c r="L3848" s="22" t="n">
        <x:v>0.06280000000000019</x:v>
      </x:c>
      <x:c r="M3848" t="n">
        <x:v>2014</x:v>
      </x:c>
      <x:c r="N3848" s="20" t="n">
        <x:v>41913</x:v>
      </x:c>
    </x:row>
    <x:row r="3849" ht="18" customHeight="1">
      <x:c r="A3849" t="str">
        <x:v>CA-2014-101931</x:v>
      </x:c>
      <x:c r="B3849" s="18" t="n">
        <x:v>41940</x:v>
      </x:c>
      <x:c r="C3849" t="str">
        <x:v>TS-21370</x:v>
      </x:c>
      <x:c r="D3849" t="str">
        <x:v>Todd Sumrall</x:v>
      </x:c>
      <x:c r="E3849" t="str">
        <x:v>Corporate</x:v>
      </x:c>
      <x:c r="F3849" t="str">
        <x:v>West</x:v>
      </x:c>
      <x:c r="G3849" t="str">
        <x:v>Office Supplies</x:v>
      </x:c>
      <x:c r="H3849" t="str">
        <x:v>Supplies</x:v>
      </x:c>
      <x:c r="I3849" s="22" t="n">
        <x:v>480.74</x:v>
      </x:c>
      <x:c r="J3849" s="24" t="n">
        <x:v>2</x:v>
      </x:c>
      <x:c r="K3849" s="26" t="n">
        <x:v>0</x:v>
      </x:c>
      <x:c r="L3849" s="22" t="n">
        <x:v>14.422200000000032</x:v>
      </x:c>
      <x:c r="M3849" t="n">
        <x:v>2014</x:v>
      </x:c>
      <x:c r="N3849" s="20" t="n">
        <x:v>41913</x:v>
      </x:c>
    </x:row>
    <x:row r="3850" ht="18" customHeight="1">
      <x:c r="A3850" t="str">
        <x:v>CA-2014-101931</x:v>
      </x:c>
      <x:c r="B3850" s="18" t="n">
        <x:v>41940</x:v>
      </x:c>
      <x:c r="C3850" t="str">
        <x:v>TS-21370</x:v>
      </x:c>
      <x:c r="D3850" t="str">
        <x:v>Todd Sumrall</x:v>
      </x:c>
      <x:c r="E3850" t="str">
        <x:v>Corporate</x:v>
      </x:c>
      <x:c r="F3850" t="str">
        <x:v>West</x:v>
      </x:c>
      <x:c r="G3850" t="str">
        <x:v>Furniture</x:v>
      </x:c>
      <x:c r="H3850" t="str">
        <x:v>Bookcases</x:v>
      </x:c>
      <x:c r="I3850" s="22" t="n">
        <x:v>616.998</x:v>
      </x:c>
      <x:c r="J3850" s="24" t="n">
        <x:v>6</x:v>
      </x:c>
      <x:c r="K3850" s="26" t="n">
        <x:v>0.15</x:v>
      </x:c>
      <x:c r="L3850" s="22" t="n">
        <x:v>-36.294</x:v>
      </x:c>
      <x:c r="M3850" t="n">
        <x:v>2014</x:v>
      </x:c>
      <x:c r="N3850" s="20" t="n">
        <x:v>41913</x:v>
      </x:c>
    </x:row>
    <x:row r="3851" ht="18" customHeight="1">
      <x:c r="A3851" t="str">
        <x:v>CA-2014-101931</x:v>
      </x:c>
      <x:c r="B3851" s="18" t="n">
        <x:v>41940</x:v>
      </x:c>
      <x:c r="C3851" t="str">
        <x:v>TS-21370</x:v>
      </x:c>
      <x:c r="D3851" t="str">
        <x:v>Todd Sumrall</x:v>
      </x:c>
      <x:c r="E3851" t="str">
        <x:v>Corporate</x:v>
      </x:c>
      <x:c r="F3851" t="str">
        <x:v>West</x:v>
      </x:c>
      <x:c r="G3851" t="str">
        <x:v>Office Supplies</x:v>
      </x:c>
      <x:c r="H3851" t="str">
        <x:v>Storage</x:v>
      </x:c>
      <x:c r="I3851" s="22" t="n">
        <x:v>141.4</x:v>
      </x:c>
      <x:c r="J3851" s="24" t="n">
        <x:v>5</x:v>
      </x:c>
      <x:c r="K3851" s="26" t="n">
        <x:v>0</x:v>
      </x:c>
      <x:c r="L3851" s="22" t="n">
        <x:v>38.178</x:v>
      </x:c>
      <x:c r="M3851" t="n">
        <x:v>2014</x:v>
      </x:c>
      <x:c r="N3851" s="20" t="n">
        <x:v>41913</x:v>
      </x:c>
    </x:row>
    <x:row r="3852" ht="18" customHeight="1">
      <x:c r="A3852" t="str">
        <x:v>CA-2017-129000</x:v>
      </x:c>
      <x:c r="B3852" s="18" t="n">
        <x:v>43064</x:v>
      </x:c>
      <x:c r="C3852" t="str">
        <x:v>SZ-20035</x:v>
      </x:c>
      <x:c r="D3852" t="str">
        <x:v>Sam Zeldin</x:v>
      </x:c>
      <x:c r="E3852" t="str">
        <x:v>Home Office</x:v>
      </x:c>
      <x:c r="F3852" t="str">
        <x:v>Central</x:v>
      </x:c>
      <x:c r="G3852" t="str">
        <x:v>Office Supplies</x:v>
      </x:c>
      <x:c r="H3852" t="str">
        <x:v>Storage</x:v>
      </x:c>
      <x:c r="I3852" s="22" t="n">
        <x:v>501.81000000000006</x:v>
      </x:c>
      <x:c r="J3852" s="24" t="n">
        <x:v>3</x:v>
      </x:c>
      <x:c r="K3852" s="26" t="n">
        <x:v>0</x:v>
      </x:c>
      <x:c r="L3852" s="22" t="n">
        <x:v>0</x:v>
      </x:c>
      <x:c r="M3852" t="n">
        <x:v>2017</x:v>
      </x:c>
      <x:c r="N3852" s="20" t="n">
        <x:v>43040</x:v>
      </x:c>
    </x:row>
    <x:row r="3853" ht="18" customHeight="1">
      <x:c r="A3853" t="str">
        <x:v>CA-2017-161053</x:v>
      </x:c>
      <x:c r="B3853" s="18" t="n">
        <x:v>43000</x:v>
      </x:c>
      <x:c r="C3853" t="str">
        <x:v>JE-15745</x:v>
      </x:c>
      <x:c r="D3853" t="str">
        <x:v>Joel Eaton</x:v>
      </x:c>
      <x:c r="E3853" t="str">
        <x:v>Consumer</x:v>
      </x:c>
      <x:c r="F3853" t="str">
        <x:v>South</x:v>
      </x:c>
      <x:c r="G3853" t="str">
        <x:v>Office Supplies</x:v>
      </x:c>
      <x:c r="H3853" t="str">
        <x:v>Binders</x:v>
      </x:c>
      <x:c r="I3853" s="22" t="n">
        <x:v>691.96</x:v>
      </x:c>
      <x:c r="J3853" s="24" t="n">
        <x:v>4</x:v>
      </x:c>
      <x:c r="K3853" s="26" t="n">
        <x:v>0</x:v>
      </x:c>
      <x:c r="L3853" s="22" t="n">
        <x:v>318.3016</x:v>
      </x:c>
      <x:c r="M3853" t="n">
        <x:v>2017</x:v>
      </x:c>
      <x:c r="N3853" s="20" t="n">
        <x:v>42979</x:v>
      </x:c>
    </x:row>
    <x:row r="3854" ht="18" customHeight="1">
      <x:c r="A3854" t="str">
        <x:v>CA-2017-161053</x:v>
      </x:c>
      <x:c r="B3854" s="18" t="n">
        <x:v>43000</x:v>
      </x:c>
      <x:c r="C3854" t="str">
        <x:v>JE-15745</x:v>
      </x:c>
      <x:c r="D3854" t="str">
        <x:v>Joel Eaton</x:v>
      </x:c>
      <x:c r="E3854" t="str">
        <x:v>Consumer</x:v>
      </x:c>
      <x:c r="F3854" t="str">
        <x:v>South</x:v>
      </x:c>
      <x:c r="G3854" t="str">
        <x:v>Technology</x:v>
      </x:c>
      <x:c r="H3854" t="str">
        <x:v>Accessories</x:v>
      </x:c>
      <x:c r="I3854" s="22" t="n">
        <x:v>34.95</x:v>
      </x:c>
      <x:c r="J3854" s="24" t="n">
        <x:v>5</x:v>
      </x:c>
      <x:c r="K3854" s="26" t="n">
        <x:v>0</x:v>
      </x:c>
      <x:c r="L3854" s="22" t="n">
        <x:v>15.378000000000004</x:v>
      </x:c>
      <x:c r="M3854" t="n">
        <x:v>2017</x:v>
      </x:c>
      <x:c r="N3854" s="20" t="n">
        <x:v>42979</x:v>
      </x:c>
    </x:row>
    <x:row r="3855" ht="18" customHeight="1">
      <x:c r="A3855" t="str">
        <x:v>CA-2015-142377</x:v>
      </x:c>
      <x:c r="B3855" s="18" t="n">
        <x:v>42342</x:v>
      </x:c>
      <x:c r="C3855" t="str">
        <x:v>MS-17980</x:v>
      </x:c>
      <x:c r="D3855" t="str">
        <x:v>Michael Stewart</x:v>
      </x:c>
      <x:c r="E3855" t="str">
        <x:v>Corporate</x:v>
      </x:c>
      <x:c r="F3855" t="str">
        <x:v>Central</x:v>
      </x:c>
      <x:c r="G3855" t="str">
        <x:v>Office Supplies</x:v>
      </x:c>
      <x:c r="H3855" t="str">
        <x:v>Paper</x:v>
      </x:c>
      <x:c r="I3855" s="22" t="n">
        <x:v>85.96</x:v>
      </x:c>
      <x:c r="J3855" s="24" t="n">
        <x:v>7</x:v>
      </x:c>
      <x:c r="K3855" s="26" t="n">
        <x:v>0</x:v>
      </x:c>
      <x:c r="L3855" s="22" t="n">
        <x:v>40.401199999999996</x:v>
      </x:c>
      <x:c r="M3855" t="n">
        <x:v>2015</x:v>
      </x:c>
      <x:c r="N3855" s="20" t="n">
        <x:v>42339</x:v>
      </x:c>
    </x:row>
    <x:row r="3856" ht="18" customHeight="1">
      <x:c r="A3856" t="str">
        <x:v>CA-2015-127593</x:v>
      </x:c>
      <x:c r="B3856" s="18" t="n">
        <x:v>42268</x:v>
      </x:c>
      <x:c r="C3856" t="str">
        <x:v>DH-13675</x:v>
      </x:c>
      <x:c r="D3856" t="str">
        <x:v>Duane Huffman</x:v>
      </x:c>
      <x:c r="E3856" t="str">
        <x:v>Home Office</x:v>
      </x:c>
      <x:c r="F3856" t="str">
        <x:v>East</x:v>
      </x:c>
      <x:c r="G3856" t="str">
        <x:v>Furniture</x:v>
      </x:c>
      <x:c r="H3856" t="str">
        <x:v>Furnishings</x:v>
      </x:c>
      <x:c r="I3856" s="22" t="n">
        <x:v>85.3</x:v>
      </x:c>
      <x:c r="J3856" s="24" t="n">
        <x:v>2</x:v>
      </x:c>
      <x:c r="K3856" s="26" t="n">
        <x:v>0</x:v>
      </x:c>
      <x:c r="L3856" s="22" t="n">
        <x:v>14.50099999999999</x:v>
      </x:c>
      <x:c r="M3856" t="n">
        <x:v>2015</x:v>
      </x:c>
      <x:c r="N3856" s="20" t="n">
        <x:v>42248</x:v>
      </x:c>
    </x:row>
    <x:row r="3857" ht="18" customHeight="1">
      <x:c r="A3857" t="str">
        <x:v>CA-2017-130526</x:v>
      </x:c>
      <x:c r="B3857" s="18" t="n">
        <x:v>43065</x:v>
      </x:c>
      <x:c r="C3857" t="str">
        <x:v>GT-14755</x:v>
      </x:c>
      <x:c r="D3857" t="str">
        <x:v>Guy Thornton</x:v>
      </x:c>
      <x:c r="E3857" t="str">
        <x:v>Consumer</x:v>
      </x:c>
      <x:c r="F3857" t="str">
        <x:v>Central</x:v>
      </x:c>
      <x:c r="G3857" t="str">
        <x:v>Office Supplies</x:v>
      </x:c>
      <x:c r="H3857" t="str">
        <x:v>Binders</x:v>
      </x:c>
      <x:c r="I3857" s="22" t="n">
        <x:v>33.56799999999999</x:v>
      </x:c>
      <x:c r="J3857" s="24" t="n">
        <x:v>8</x:v>
      </x:c>
      <x:c r="K3857" s="26" t="n">
        <x:v>0.8</x:v>
      </x:c>
      <x:c r="L3857" s="22" t="n">
        <x:v>-53.708800000000025</x:v>
      </x:c>
      <x:c r="M3857" t="n">
        <x:v>2017</x:v>
      </x:c>
      <x:c r="N3857" s="20" t="n">
        <x:v>43040</x:v>
      </x:c>
    </x:row>
    <x:row r="3858" ht="18" customHeight="1">
      <x:c r="A3858" t="str">
        <x:v>US-2017-131849</x:v>
      </x:c>
      <x:c r="B3858" s="18" t="n">
        <x:v>42892</x:v>
      </x:c>
      <x:c r="C3858" t="str">
        <x:v>GH-14410</x:v>
      </x:c>
      <x:c r="D3858" t="str">
        <x:v>Gary Hansen</x:v>
      </x:c>
      <x:c r="E3858" t="str">
        <x:v>Home Office</x:v>
      </x:c>
      <x:c r="F3858" t="str">
        <x:v>West</x:v>
      </x:c>
      <x:c r="G3858" t="str">
        <x:v>Furniture</x:v>
      </x:c>
      <x:c r="H3858" t="str">
        <x:v>Furnishings</x:v>
      </x:c>
      <x:c r="I3858" s="22" t="n">
        <x:v>4.95</x:v>
      </x:c>
      <x:c r="J3858" s="24" t="n">
        <x:v>1</x:v>
      </x:c>
      <x:c r="K3858" s="26" t="n">
        <x:v>0</x:v>
      </x:c>
      <x:c r="L3858" s="22" t="n">
        <x:v>2.1780000000000004</x:v>
      </x:c>
      <x:c r="M3858" t="n">
        <x:v>2017</x:v>
      </x:c>
      <x:c r="N3858" s="20" t="n">
        <x:v>42887</x:v>
      </x:c>
    </x:row>
    <x:row r="3859" ht="18" customHeight="1">
      <x:c r="A3859" t="str">
        <x:v>US-2017-131849</x:v>
      </x:c>
      <x:c r="B3859" s="18" t="n">
        <x:v>42892</x:v>
      </x:c>
      <x:c r="C3859" t="str">
        <x:v>GH-14410</x:v>
      </x:c>
      <x:c r="D3859" t="str">
        <x:v>Gary Hansen</x:v>
      </x:c>
      <x:c r="E3859" t="str">
        <x:v>Home Office</x:v>
      </x:c>
      <x:c r="F3859" t="str">
        <x:v>West</x:v>
      </x:c>
      <x:c r="G3859" t="str">
        <x:v>Office Supplies</x:v>
      </x:c>
      <x:c r="H3859" t="str">
        <x:v>Storage</x:v>
      </x:c>
      <x:c r="I3859" s="22" t="n">
        <x:v>26.400000000000002</x:v>
      </x:c>
      <x:c r="J3859" s="24" t="n">
        <x:v>5</x:v>
      </x:c>
      <x:c r="K3859" s="26" t="n">
        <x:v>0</x:v>
      </x:c>
      <x:c r="L3859" s="22" t="n">
        <x:v>0</x:v>
      </x:c>
      <x:c r="M3859" t="n">
        <x:v>2017</x:v>
      </x:c>
      <x:c r="N3859" s="20" t="n">
        <x:v>42887</x:v>
      </x:c>
    </x:row>
    <x:row r="3860" ht="18" customHeight="1">
      <x:c r="A3860" t="str">
        <x:v>US-2017-105389</x:v>
      </x:c>
      <x:c r="B3860" s="18" t="n">
        <x:v>43031</x:v>
      </x:c>
      <x:c r="C3860" t="str">
        <x:v>DM-13015</x:v>
      </x:c>
      <x:c r="D3860" t="str">
        <x:v>Darrin Martin</x:v>
      </x:c>
      <x:c r="E3860" t="str">
        <x:v>Consumer</x:v>
      </x:c>
      <x:c r="F3860" t="str">
        <x:v>Central</x:v>
      </x:c>
      <x:c r="G3860" t="str">
        <x:v>Office Supplies</x:v>
      </x:c>
      <x:c r="H3860" t="str">
        <x:v>Binders</x:v>
      </x:c>
      <x:c r="I3860" s="22" t="n">
        <x:v>3.563999999999999</x:v>
      </x:c>
      <x:c r="J3860" s="24" t="n">
        <x:v>3</x:v>
      </x:c>
      <x:c r="K3860" s="26" t="n">
        <x:v>0.8</x:v>
      </x:c>
      <x:c r="L3860" s="22" t="n">
        <x:v>-6.237000000000002</x:v>
      </x:c>
      <x:c r="M3860" t="n">
        <x:v>2017</x:v>
      </x:c>
      <x:c r="N3860" s="20" t="n">
        <x:v>43009</x:v>
      </x:c>
    </x:row>
    <x:row r="3861" ht="18" customHeight="1">
      <x:c r="A3861" t="str">
        <x:v>US-2017-105389</x:v>
      </x:c>
      <x:c r="B3861" s="18" t="n">
        <x:v>43031</x:v>
      </x:c>
      <x:c r="C3861" t="str">
        <x:v>DM-13015</x:v>
      </x:c>
      <x:c r="D3861" t="str">
        <x:v>Darrin Martin</x:v>
      </x:c>
      <x:c r="E3861" t="str">
        <x:v>Consumer</x:v>
      </x:c>
      <x:c r="F3861" t="str">
        <x:v>Central</x:v>
      </x:c>
      <x:c r="G3861" t="str">
        <x:v>Technology</x:v>
      </x:c>
      <x:c r="H3861" t="str">
        <x:v>Phones</x:v>
      </x:c>
      <x:c r="I3861" s="22" t="n">
        <x:v>823.9600000000002</x:v>
      </x:c>
      <x:c r="J3861" s="24" t="n">
        <x:v>5</x:v>
      </x:c>
      <x:c r="K3861" s="26" t="n">
        <x:v>0.2</x:v>
      </x:c>
      <x:c r="L3861" s="22" t="n">
        <x:v>51.497499999999974</x:v>
      </x:c>
      <x:c r="M3861" t="n">
        <x:v>2017</x:v>
      </x:c>
      <x:c r="N3861" s="20" t="n">
        <x:v>43009</x:v>
      </x:c>
    </x:row>
    <x:row r="3862" ht="18" customHeight="1">
      <x:c r="A3862" t="str">
        <x:v>US-2017-105389</x:v>
      </x:c>
      <x:c r="B3862" s="18" t="n">
        <x:v>43031</x:v>
      </x:c>
      <x:c r="C3862" t="str">
        <x:v>DM-13015</x:v>
      </x:c>
      <x:c r="D3862" t="str">
        <x:v>Darrin Martin</x:v>
      </x:c>
      <x:c r="E3862" t="str">
        <x:v>Consumer</x:v>
      </x:c>
      <x:c r="F3862" t="str">
        <x:v>Central</x:v>
      </x:c>
      <x:c r="G3862" t="str">
        <x:v>Office Supplies</x:v>
      </x:c>
      <x:c r="H3862" t="str">
        <x:v>Art</x:v>
      </x:c>
      <x:c r="I3862" s="22" t="n">
        <x:v>10.272000000000002</x:v>
      </x:c>
      <x:c r="J3862" s="24" t="n">
        <x:v>3</x:v>
      </x:c>
      <x:c r="K3862" s="26" t="n">
        <x:v>0.2</x:v>
      </x:c>
      <x:c r="L3862" s="22" t="n">
        <x:v>0.8988</x:v>
      </x:c>
      <x:c r="M3862" t="n">
        <x:v>2017</x:v>
      </x:c>
      <x:c r="N3862" s="20" t="n">
        <x:v>43009</x:v>
      </x:c>
    </x:row>
    <x:row r="3863" ht="18" customHeight="1">
      <x:c r="A3863" t="str">
        <x:v>CA-2014-140816</x:v>
      </x:c>
      <x:c r="B3863" s="18" t="n">
        <x:v>41993</x:v>
      </x:c>
      <x:c r="C3863" t="str">
        <x:v>TC-21295</x:v>
      </x:c>
      <x:c r="D3863" t="str">
        <x:v>Toby Carlisle</x:v>
      </x:c>
      <x:c r="E3863" t="str">
        <x:v>Consumer</x:v>
      </x:c>
      <x:c r="F3863" t="str">
        <x:v>West</x:v>
      </x:c>
      <x:c r="G3863" t="str">
        <x:v>Technology</x:v>
      </x:c>
      <x:c r="H3863" t="str">
        <x:v>Accessories</x:v>
      </x:c>
      <x:c r="I3863" s="22" t="n">
        <x:v>447.94399999999996</x:v>
      </x:c>
      <x:c r="J3863" s="24" t="n">
        <x:v>7</x:v>
      </x:c>
      <x:c r="K3863" s="26" t="n">
        <x:v>0.2</x:v>
      </x:c>
      <x:c r="L3863" s="22" t="n">
        <x:v>89.58879999999999</x:v>
      </x:c>
      <x:c r="M3863" t="n">
        <x:v>2014</x:v>
      </x:c>
      <x:c r="N3863" s="20" t="n">
        <x:v>41974</x:v>
      </x:c>
    </x:row>
    <x:row r="3864" ht="18" customHeight="1">
      <x:c r="A3864" t="str">
        <x:v>CA-2017-154039</x:v>
      </x:c>
      <x:c r="B3864" s="18" t="n">
        <x:v>42783</x:v>
      </x:c>
      <x:c r="C3864" t="str">
        <x:v>JK-16120</x:v>
      </x:c>
      <x:c r="D3864" t="str">
        <x:v>Julie Kriz</x:v>
      </x:c>
      <x:c r="E3864" t="str">
        <x:v>Home Office</x:v>
      </x:c>
      <x:c r="F3864" t="str">
        <x:v>Central</x:v>
      </x:c>
      <x:c r="G3864" t="str">
        <x:v>Furniture</x:v>
      </x:c>
      <x:c r="H3864" t="str">
        <x:v>Tables</x:v>
      </x:c>
      <x:c r="I3864" s="22" t="n">
        <x:v>480.96</x:v>
      </x:c>
      <x:c r="J3864" s="24" t="n">
        <x:v>3</x:v>
      </x:c>
      <x:c r="K3864" s="26" t="n">
        <x:v>0.5</x:v>
      </x:c>
      <x:c r="L3864" s="22" t="n">
        <x:v>-269.3376</x:v>
      </x:c>
      <x:c r="M3864" t="n">
        <x:v>2017</x:v>
      </x:c>
      <x:c r="N3864" s="20" t="n">
        <x:v>42767</x:v>
      </x:c>
    </x:row>
    <x:row r="3865" ht="18" customHeight="1">
      <x:c r="A3865" t="str">
        <x:v>CA-2017-154039</x:v>
      </x:c>
      <x:c r="B3865" s="18" t="n">
        <x:v>42783</x:v>
      </x:c>
      <x:c r="C3865" t="str">
        <x:v>JK-16120</x:v>
      </x:c>
      <x:c r="D3865" t="str">
        <x:v>Julie Kriz</x:v>
      </x:c>
      <x:c r="E3865" t="str">
        <x:v>Home Office</x:v>
      </x:c>
      <x:c r="F3865" t="str">
        <x:v>Central</x:v>
      </x:c>
      <x:c r="G3865" t="str">
        <x:v>Technology</x:v>
      </x:c>
      <x:c r="H3865" t="str">
        <x:v>Phones</x:v>
      </x:c>
      <x:c r="I3865" s="22" t="n">
        <x:v>124.79200000000002</x:v>
      </x:c>
      <x:c r="J3865" s="24" t="n">
        <x:v>1</x:v>
      </x:c>
      <x:c r="K3865" s="26" t="n">
        <x:v>0.2</x:v>
      </x:c>
      <x:c r="L3865" s="22" t="n">
        <x:v>10.919299999999996</x:v>
      </x:c>
      <x:c r="M3865" t="n">
        <x:v>2017</x:v>
      </x:c>
      <x:c r="N3865" s="20" t="n">
        <x:v>42767</x:v>
      </x:c>
    </x:row>
    <x:row r="3866" ht="18" customHeight="1">
      <x:c r="A3866" t="str">
        <x:v>CA-2014-135755</x:v>
      </x:c>
      <x:c r="B3866" s="18" t="n">
        <x:v>41762</x:v>
      </x:c>
      <x:c r="C3866" t="str">
        <x:v>NC-18415</x:v>
      </x:c>
      <x:c r="D3866" t="str">
        <x:v>Nathan Cano</x:v>
      </x:c>
      <x:c r="E3866" t="str">
        <x:v>Consumer</x:v>
      </x:c>
      <x:c r="F3866" t="str">
        <x:v>East</x:v>
      </x:c>
      <x:c r="G3866" t="str">
        <x:v>Office Supplies</x:v>
      </x:c>
      <x:c r="H3866" t="str">
        <x:v>Binders</x:v>
      </x:c>
      <x:c r="I3866" s="22" t="n">
        <x:v>40.176</x:v>
      </x:c>
      <x:c r="J3866" s="24" t="n">
        <x:v>3</x:v>
      </x:c>
      <x:c r="K3866" s="26" t="n">
        <x:v>0.2</x:v>
      </x:c>
      <x:c r="L3866" s="22" t="n">
        <x:v>14.563799999999997</x:v>
      </x:c>
      <x:c r="M3866" t="n">
        <x:v>2014</x:v>
      </x:c>
      <x:c r="N3866" s="20" t="n">
        <x:v>41760</x:v>
      </x:c>
    </x:row>
    <x:row r="3867" ht="18" customHeight="1">
      <x:c r="A3867" t="str">
        <x:v>CA-2014-135755</x:v>
      </x:c>
      <x:c r="B3867" s="18" t="n">
        <x:v>41762</x:v>
      </x:c>
      <x:c r="C3867" t="str">
        <x:v>NC-18415</x:v>
      </x:c>
      <x:c r="D3867" t="str">
        <x:v>Nathan Cano</x:v>
      </x:c>
      <x:c r="E3867" t="str">
        <x:v>Consumer</x:v>
      </x:c>
      <x:c r="F3867" t="str">
        <x:v>East</x:v>
      </x:c>
      <x:c r="G3867" t="str">
        <x:v>Office Supplies</x:v>
      </x:c>
      <x:c r="H3867" t="str">
        <x:v>Binders</x:v>
      </x:c>
      <x:c r="I3867" s="22" t="n">
        <x:v>10.896</x:v>
      </x:c>
      <x:c r="J3867" s="24" t="n">
        <x:v>3</x:v>
      </x:c>
      <x:c r="K3867" s="26" t="n">
        <x:v>0.2</x:v>
      </x:c>
      <x:c r="L3867" s="22" t="n">
        <x:v>3.9497999999999998</x:v>
      </x:c>
      <x:c r="M3867" t="n">
        <x:v>2014</x:v>
      </x:c>
      <x:c r="N3867" s="20" t="n">
        <x:v>41760</x:v>
      </x:c>
    </x:row>
    <x:row r="3868" ht="18" customHeight="1">
      <x:c r="A3868" t="str">
        <x:v>CA-2017-123246</x:v>
      </x:c>
      <x:c r="B3868" s="18" t="n">
        <x:v>43025</x:v>
      </x:c>
      <x:c r="C3868" t="str">
        <x:v>AJ-10960</x:v>
      </x:c>
      <x:c r="D3868" t="str">
        <x:v>Astrea Jones</x:v>
      </x:c>
      <x:c r="E3868" t="str">
        <x:v>Consumer</x:v>
      </x:c>
      <x:c r="F3868" t="str">
        <x:v>West</x:v>
      </x:c>
      <x:c r="G3868" t="str">
        <x:v>Office Supplies</x:v>
      </x:c>
      <x:c r="H3868" t="str">
        <x:v>Art</x:v>
      </x:c>
      <x:c r="I3868" s="22" t="n">
        <x:v>10.64</x:v>
      </x:c>
      <x:c r="J3868" s="24" t="n">
        <x:v>4</x:v>
      </x:c>
      <x:c r="K3868" s="26" t="n">
        <x:v>0</x:v>
      </x:c>
      <x:c r="L3868" s="22" t="n">
        <x:v>2.7664</x:v>
      </x:c>
      <x:c r="M3868" t="n">
        <x:v>2017</x:v>
      </x:c>
      <x:c r="N3868" s="20" t="n">
        <x:v>43009</x:v>
      </x:c>
    </x:row>
    <x:row r="3869" ht="18" customHeight="1">
      <x:c r="A3869" t="str">
        <x:v>CA-2015-157133</x:v>
      </x:c>
      <x:c r="B3869" s="18" t="n">
        <x:v>42336</x:v>
      </x:c>
      <x:c r="C3869" t="str">
        <x:v>LC-16885</x:v>
      </x:c>
      <x:c r="D3869" t="str">
        <x:v>Lena Creighton</x:v>
      </x:c>
      <x:c r="E3869" t="str">
        <x:v>Consumer</x:v>
      </x:c>
      <x:c r="F3869" t="str">
        <x:v>Central</x:v>
      </x:c>
      <x:c r="G3869" t="str">
        <x:v>Furniture</x:v>
      </x:c>
      <x:c r="H3869" t="str">
        <x:v>Furnishings</x:v>
      </x:c>
      <x:c r="I3869" s="22" t="n">
        <x:v>151.96</x:v>
      </x:c>
      <x:c r="J3869" s="24" t="n">
        <x:v>5</x:v>
      </x:c>
      <x:c r="K3869" s="26" t="n">
        <x:v>0.6</x:v>
      </x:c>
      <x:c r="L3869" s="22" t="n">
        <x:v>-182.35200000000003</x:v>
      </x:c>
      <x:c r="M3869" t="n">
        <x:v>2015</x:v>
      </x:c>
      <x:c r="N3869" s="20" t="n">
        <x:v>42309</x:v>
      </x:c>
    </x:row>
    <x:row r="3870" ht="18" customHeight="1">
      <x:c r="A3870" t="str">
        <x:v>CA-2014-124709</x:v>
      </x:c>
      <x:c r="B3870" s="18" t="n">
        <x:v>41847</x:v>
      </x:c>
      <x:c r="C3870" t="str">
        <x:v>GW-14605</x:v>
      </x:c>
      <x:c r="D3870" t="str">
        <x:v>Giulietta Weimer</x:v>
      </x:c>
      <x:c r="E3870" t="str">
        <x:v>Consumer</x:v>
      </x:c>
      <x:c r="F3870" t="str">
        <x:v>West</x:v>
      </x:c>
      <x:c r="G3870" t="str">
        <x:v>Technology</x:v>
      </x:c>
      <x:c r="H3870" t="str">
        <x:v>Accessories</x:v>
      </x:c>
      <x:c r="I3870" s="22" t="n">
        <x:v>238</x:v>
      </x:c>
      <x:c r="J3870" s="24" t="n">
        <x:v>2</x:v>
      </x:c>
      <x:c r="K3870" s="26" t="n">
        <x:v>0</x:v>
      </x:c>
      <x:c r="L3870" s="22" t="n">
        <x:v>38.08000000000001</x:v>
      </x:c>
      <x:c r="M3870" t="n">
        <x:v>2014</x:v>
      </x:c>
      <x:c r="N3870" s="20" t="n">
        <x:v>41821</x:v>
      </x:c>
    </x:row>
    <x:row r="3871" ht="18" customHeight="1">
      <x:c r="A3871" t="str">
        <x:v>CA-2017-146360</x:v>
      </x:c>
      <x:c r="B3871" s="18" t="n">
        <x:v>42848</x:v>
      </x:c>
      <x:c r="C3871" t="str">
        <x:v>SC-20305</x:v>
      </x:c>
      <x:c r="D3871" t="str">
        <x:v>Sean Christensen</x:v>
      </x:c>
      <x:c r="E3871" t="str">
        <x:v>Consumer</x:v>
      </x:c>
      <x:c r="F3871" t="str">
        <x:v>Central</x:v>
      </x:c>
      <x:c r="G3871" t="str">
        <x:v>Technology</x:v>
      </x:c>
      <x:c r="H3871" t="str">
        <x:v>Accessories</x:v>
      </x:c>
      <x:c r="I3871" s="22" t="n">
        <x:v>155.34</x:v>
      </x:c>
      <x:c r="J3871" s="24" t="n">
        <x:v>6</x:v>
      </x:c>
      <x:c r="K3871" s="26" t="n">
        <x:v>0</x:v>
      </x:c>
      <x:c r="L3871" s="22" t="n">
        <x:v>55.922399999999996</x:v>
      </x:c>
      <x:c r="M3871" t="n">
        <x:v>2017</x:v>
      </x:c>
      <x:c r="N3871" s="20" t="n">
        <x:v>42826</x:v>
      </x:c>
    </x:row>
    <x:row r="3872" ht="18" customHeight="1">
      <x:c r="A3872" t="str">
        <x:v>CA-2015-132486</x:v>
      </x:c>
      <x:c r="B3872" s="18" t="n">
        <x:v>42300</x:v>
      </x:c>
      <x:c r="C3872" t="str">
        <x:v>JF-15355</x:v>
      </x:c>
      <x:c r="D3872" t="str">
        <x:v>Jay Fein</x:v>
      </x:c>
      <x:c r="E3872" t="str">
        <x:v>Consumer</x:v>
      </x:c>
      <x:c r="F3872" t="str">
        <x:v>West</x:v>
      </x:c>
      <x:c r="G3872" t="str">
        <x:v>Technology</x:v>
      </x:c>
      <x:c r="H3872" t="str">
        <x:v>Accessories</x:v>
      </x:c>
      <x:c r="I3872" s="22" t="n">
        <x:v>148.32</x:v>
      </x:c>
      <x:c r="J3872" s="24" t="n">
        <x:v>9</x:v>
      </x:c>
      <x:c r="K3872" s="26" t="n">
        <x:v>0</x:v>
      </x:c>
      <x:c r="L3872" s="22" t="n">
        <x:v>63.77760000000001</x:v>
      </x:c>
      <x:c r="M3872" t="n">
        <x:v>2015</x:v>
      </x:c>
      <x:c r="N3872" s="20" t="n">
        <x:v>42278</x:v>
      </x:c>
    </x:row>
    <x:row r="3873" ht="18" customHeight="1">
      <x:c r="A3873" t="str">
        <x:v>CA-2015-132486</x:v>
      </x:c>
      <x:c r="B3873" s="18" t="n">
        <x:v>42300</x:v>
      </x:c>
      <x:c r="C3873" t="str">
        <x:v>JF-15355</x:v>
      </x:c>
      <x:c r="D3873" t="str">
        <x:v>Jay Fein</x:v>
      </x:c>
      <x:c r="E3873" t="str">
        <x:v>Consumer</x:v>
      </x:c>
      <x:c r="F3873" t="str">
        <x:v>West</x:v>
      </x:c>
      <x:c r="G3873" t="str">
        <x:v>Furniture</x:v>
      </x:c>
      <x:c r="H3873" t="str">
        <x:v>Chairs</x:v>
      </x:c>
      <x:c r="I3873" s="22" t="n">
        <x:v>240.78400000000002</x:v>
      </x:c>
      <x:c r="J3873" s="24" t="n">
        <x:v>1</x:v>
      </x:c>
      <x:c r="K3873" s="26" t="n">
        <x:v>0.2</x:v>
      </x:c>
      <x:c r="L3873" s="22" t="n">
        <x:v>27.088199999999965</x:v>
      </x:c>
      <x:c r="M3873" t="n">
        <x:v>2015</x:v>
      </x:c>
      <x:c r="N3873" s="20" t="n">
        <x:v>42278</x:v>
      </x:c>
    </x:row>
    <x:row r="3874" ht="18" customHeight="1">
      <x:c r="A3874" t="str">
        <x:v>CA-2015-132486</x:v>
      </x:c>
      <x:c r="B3874" s="18" t="n">
        <x:v>42300</x:v>
      </x:c>
      <x:c r="C3874" t="str">
        <x:v>JF-15355</x:v>
      </x:c>
      <x:c r="D3874" t="str">
        <x:v>Jay Fein</x:v>
      </x:c>
      <x:c r="E3874" t="str">
        <x:v>Consumer</x:v>
      </x:c>
      <x:c r="F3874" t="str">
        <x:v>West</x:v>
      </x:c>
      <x:c r="G3874" t="str">
        <x:v>Furniture</x:v>
      </x:c>
      <x:c r="H3874" t="str">
        <x:v>Chairs</x:v>
      </x:c>
      <x:c r="I3874" s="22" t="n">
        <x:v>191.96800000000002</x:v>
      </x:c>
      <x:c r="J3874" s="24" t="n">
        <x:v>7</x:v>
      </x:c>
      <x:c r="K3874" s="26" t="n">
        <x:v>0.2</x:v>
      </x:c>
      <x:c r="L3874" s="22" t="n">
        <x:v>16.797200000000004</x:v>
      </x:c>
      <x:c r="M3874" t="n">
        <x:v>2015</x:v>
      </x:c>
      <x:c r="N3874" s="20" t="n">
        <x:v>42278</x:v>
      </x:c>
    </x:row>
    <x:row r="3875" ht="18" customHeight="1">
      <x:c r="A3875" t="str">
        <x:v>CA-2015-132486</x:v>
      </x:c>
      <x:c r="B3875" s="18" t="n">
        <x:v>42300</x:v>
      </x:c>
      <x:c r="C3875" t="str">
        <x:v>JF-15355</x:v>
      </x:c>
      <x:c r="D3875" t="str">
        <x:v>Jay Fein</x:v>
      </x:c>
      <x:c r="E3875" t="str">
        <x:v>Consumer</x:v>
      </x:c>
      <x:c r="F3875" t="str">
        <x:v>West</x:v>
      </x:c>
      <x:c r="G3875" t="str">
        <x:v>Office Supplies</x:v>
      </x:c>
      <x:c r="H3875" t="str">
        <x:v>Paper</x:v>
      </x:c>
      <x:c r="I3875" s="22" t="n">
        <x:v>11.56</x:v>
      </x:c>
      <x:c r="J3875" s="24" t="n">
        <x:v>2</x:v>
      </x:c>
      <x:c r="K3875" s="26" t="n">
        <x:v>0</x:v>
      </x:c>
      <x:c r="L3875" s="22" t="n">
        <x:v>5.6644000000000005</x:v>
      </x:c>
      <x:c r="M3875" t="n">
        <x:v>2015</x:v>
      </x:c>
      <x:c r="N3875" s="20" t="n">
        <x:v>42278</x:v>
      </x:c>
    </x:row>
    <x:row r="3876" ht="18" customHeight="1">
      <x:c r="A3876" t="str">
        <x:v>CA-2015-132486</x:v>
      </x:c>
      <x:c r="B3876" s="18" t="n">
        <x:v>42300</x:v>
      </x:c>
      <x:c r="C3876" t="str">
        <x:v>JF-15355</x:v>
      </x:c>
      <x:c r="D3876" t="str">
        <x:v>Jay Fein</x:v>
      </x:c>
      <x:c r="E3876" t="str">
        <x:v>Consumer</x:v>
      </x:c>
      <x:c r="F3876" t="str">
        <x:v>West</x:v>
      </x:c>
      <x:c r="G3876" t="str">
        <x:v>Office Supplies</x:v>
      </x:c>
      <x:c r="H3876" t="str">
        <x:v>Envelopes</x:v>
      </x:c>
      <x:c r="I3876" s="22" t="n">
        <x:v>11.8</x:v>
      </x:c>
      <x:c r="J3876" s="24" t="n">
        <x:v>4</x:v>
      </x:c>
      <x:c r="K3876" s="26" t="n">
        <x:v>0</x:v>
      </x:c>
      <x:c r="L3876" s="22" t="n">
        <x:v>5.664</x:v>
      </x:c>
      <x:c r="M3876" t="n">
        <x:v>2015</x:v>
      </x:c>
      <x:c r="N3876" s="20" t="n">
        <x:v>42278</x:v>
      </x:c>
    </x:row>
    <x:row r="3877" ht="18" customHeight="1">
      <x:c r="A3877" t="str">
        <x:v>CA-2015-132486</x:v>
      </x:c>
      <x:c r="B3877" s="18" t="n">
        <x:v>42300</x:v>
      </x:c>
      <x:c r="C3877" t="str">
        <x:v>JF-15355</x:v>
      </x:c>
      <x:c r="D3877" t="str">
        <x:v>Jay Fein</x:v>
      </x:c>
      <x:c r="E3877" t="str">
        <x:v>Consumer</x:v>
      </x:c>
      <x:c r="F3877" t="str">
        <x:v>West</x:v>
      </x:c>
      <x:c r="G3877" t="str">
        <x:v>Furniture</x:v>
      </x:c>
      <x:c r="H3877" t="str">
        <x:v>Chairs</x:v>
      </x:c>
      <x:c r="I3877" s="22" t="n">
        <x:v>842.3520000000001</x:v>
      </x:c>
      <x:c r="J3877" s="24" t="n">
        <x:v>3</x:v>
      </x:c>
      <x:c r="K3877" s="26" t="n">
        <x:v>0.2</x:v>
      </x:c>
      <x:c r="L3877" s="22" t="n">
        <x:v>42.11760000000004</x:v>
      </x:c>
      <x:c r="M3877" t="n">
        <x:v>2015</x:v>
      </x:c>
      <x:c r="N3877" s="20" t="n">
        <x:v>42278</x:v>
      </x:c>
    </x:row>
    <x:row r="3878" ht="18" customHeight="1">
      <x:c r="A3878" t="str">
        <x:v>CA-2016-136231</x:v>
      </x:c>
      <x:c r="B3878" s="18" t="n">
        <x:v>42618</x:v>
      </x:c>
      <x:c r="C3878" t="str">
        <x:v>DM-13015</x:v>
      </x:c>
      <x:c r="D3878" t="str">
        <x:v>Darrin Martin</x:v>
      </x:c>
      <x:c r="E3878" t="str">
        <x:v>Consumer</x:v>
      </x:c>
      <x:c r="F3878" t="str">
        <x:v>South</x:v>
      </x:c>
      <x:c r="G3878" t="str">
        <x:v>Office Supplies</x:v>
      </x:c>
      <x:c r="H3878" t="str">
        <x:v>Envelopes</x:v>
      </x:c>
      <x:c r="I3878" s="22" t="n">
        <x:v>23.472</x:v>
      </x:c>
      <x:c r="J3878" s="24" t="n">
        <x:v>3</x:v>
      </x:c>
      <x:c r="K3878" s="26" t="n">
        <x:v>0.2</x:v>
      </x:c>
      <x:c r="L3878" s="22" t="n">
        <x:v>7.628399999999997</x:v>
      </x:c>
      <x:c r="M3878" t="n">
        <x:v>2016</x:v>
      </x:c>
      <x:c r="N3878" s="20" t="n">
        <x:v>42614</x:v>
      </x:c>
    </x:row>
    <x:row r="3879" ht="18" customHeight="1">
      <x:c r="A3879" t="str">
        <x:v>CA-2016-136231</x:v>
      </x:c>
      <x:c r="B3879" s="18" t="n">
        <x:v>42618</x:v>
      </x:c>
      <x:c r="C3879" t="str">
        <x:v>DM-13015</x:v>
      </x:c>
      <x:c r="D3879" t="str">
        <x:v>Darrin Martin</x:v>
      </x:c>
      <x:c r="E3879" t="str">
        <x:v>Consumer</x:v>
      </x:c>
      <x:c r="F3879" t="str">
        <x:v>South</x:v>
      </x:c>
      <x:c r="G3879" t="str">
        <x:v>Office Supplies</x:v>
      </x:c>
      <x:c r="H3879" t="str">
        <x:v>Binders</x:v>
      </x:c>
      <x:c r="I3879" s="22" t="n">
        <x:v>86.058</x:v>
      </x:c>
      <x:c r="J3879" s="24" t="n">
        <x:v>7</x:v>
      </x:c>
      <x:c r="K3879" s="26" t="n">
        <x:v>0.7</x:v>
      </x:c>
      <x:c r="L3879" s="22" t="n">
        <x:v>-63.10919999999999</x:v>
      </x:c>
      <x:c r="M3879" t="n">
        <x:v>2016</x:v>
      </x:c>
      <x:c r="N3879" s="20" t="n">
        <x:v>42614</x:v>
      </x:c>
    </x:row>
    <x:row r="3880" ht="18" customHeight="1">
      <x:c r="A3880" t="str">
        <x:v>CA-2016-136231</x:v>
      </x:c>
      <x:c r="B3880" s="18" t="n">
        <x:v>42618</x:v>
      </x:c>
      <x:c r="C3880" t="str">
        <x:v>DM-13015</x:v>
      </x:c>
      <x:c r="D3880" t="str">
        <x:v>Darrin Martin</x:v>
      </x:c>
      <x:c r="E3880" t="str">
        <x:v>Consumer</x:v>
      </x:c>
      <x:c r="F3880" t="str">
        <x:v>South</x:v>
      </x:c>
      <x:c r="G3880" t="str">
        <x:v>Technology</x:v>
      </x:c>
      <x:c r="H3880" t="str">
        <x:v>Phones</x:v>
      </x:c>
      <x:c r="I3880" s="22" t="n">
        <x:v>108.78399999999999</x:v>
      </x:c>
      <x:c r="J3880" s="24" t="n">
        <x:v>2</x:v>
      </x:c>
      <x:c r="K3880" s="26" t="n">
        <x:v>0.2</x:v>
      </x:c>
      <x:c r="L3880" s="22" t="n">
        <x:v>6.799000000000007</x:v>
      </x:c>
      <x:c r="M3880" t="n">
        <x:v>2016</x:v>
      </x:c>
      <x:c r="N3880" s="20" t="n">
        <x:v>42614</x:v>
      </x:c>
    </x:row>
    <x:row r="3881" ht="18" customHeight="1">
      <x:c r="A3881" t="str">
        <x:v>CA-2016-136231</x:v>
      </x:c>
      <x:c r="B3881" s="18" t="n">
        <x:v>42618</x:v>
      </x:c>
      <x:c r="C3881" t="str">
        <x:v>DM-13015</x:v>
      </x:c>
      <x:c r="D3881" t="str">
        <x:v>Darrin Martin</x:v>
      </x:c>
      <x:c r="E3881" t="str">
        <x:v>Consumer</x:v>
      </x:c>
      <x:c r="F3881" t="str">
        <x:v>South</x:v>
      </x:c>
      <x:c r="G3881" t="str">
        <x:v>Office Supplies</x:v>
      </x:c>
      <x:c r="H3881" t="str">
        <x:v>Paper</x:v>
      </x:c>
      <x:c r="I3881" s="22" t="n">
        <x:v>10.272000000000002</x:v>
      </x:c>
      <x:c r="J3881" s="24" t="n">
        <x:v>3</x:v>
      </x:c>
      <x:c r="K3881" s="26" t="n">
        <x:v>0.2</x:v>
      </x:c>
      <x:c r="L3881" s="22" t="n">
        <x:v>3.209999999999998</x:v>
      </x:c>
      <x:c r="M3881" t="n">
        <x:v>2016</x:v>
      </x:c>
      <x:c r="N3881" s="20" t="n">
        <x:v>42614</x:v>
      </x:c>
    </x:row>
    <x:row r="3882" ht="18" customHeight="1">
      <x:c r="A3882" t="str">
        <x:v>CA-2016-140641</x:v>
      </x:c>
      <x:c r="B3882" s="18" t="n">
        <x:v>42671</x:v>
      </x:c>
      <x:c r="C3882" t="str">
        <x:v>EP-13915</x:v>
      </x:c>
      <x:c r="D3882" t="str">
        <x:v>Emily Phan</x:v>
      </x:c>
      <x:c r="E3882" t="str">
        <x:v>Consumer</x:v>
      </x:c>
      <x:c r="F3882" t="str">
        <x:v>South</x:v>
      </x:c>
      <x:c r="G3882" t="str">
        <x:v>Office Supplies</x:v>
      </x:c>
      <x:c r="H3882" t="str">
        <x:v>Binders</x:v>
      </x:c>
      <x:c r="I3882" s="22" t="n">
        <x:v>38.19000000000001</x:v>
      </x:c>
      <x:c r="J3882" s="24" t="n">
        <x:v>5</x:v>
      </x:c>
      <x:c r="K3882" s="26" t="n">
        <x:v>0.7</x:v>
      </x:c>
      <x:c r="L3882" s="22" t="n">
        <x:v>-26.732999999999997</x:v>
      </x:c>
      <x:c r="M3882" t="n">
        <x:v>2016</x:v>
      </x:c>
      <x:c r="N3882" s="20" t="n">
        <x:v>42644</x:v>
      </x:c>
    </x:row>
    <x:row r="3883" ht="18" customHeight="1">
      <x:c r="A3883" t="str">
        <x:v>CA-2014-151001</x:v>
      </x:c>
      <x:c r="B3883" s="18" t="n">
        <x:v>41734</x:v>
      </x:c>
      <x:c r="C3883" t="str">
        <x:v>JG-15805</x:v>
      </x:c>
      <x:c r="D3883" t="str">
        <x:v>John Grady</x:v>
      </x:c>
      <x:c r="E3883" t="str">
        <x:v>Corporate</x:v>
      </x:c>
      <x:c r="F3883" t="str">
        <x:v>Central</x:v>
      </x:c>
      <x:c r="G3883" t="str">
        <x:v>Office Supplies</x:v>
      </x:c>
      <x:c r="H3883" t="str">
        <x:v>Storage</x:v>
      </x:c>
      <x:c r="I3883" s="22" t="n">
        <x:v>49.632000000000005</x:v>
      </x:c>
      <x:c r="J3883" s="24" t="n">
        <x:v>4</x:v>
      </x:c>
      <x:c r="K3883" s="26" t="n">
        <x:v>0.2</x:v>
      </x:c>
      <x:c r="L3883" s="22" t="n">
        <x:v>3.7224000000000004</x:v>
      </x:c>
      <x:c r="M3883" t="n">
        <x:v>2014</x:v>
      </x:c>
      <x:c r="N3883" s="20" t="n">
        <x:v>41730</x:v>
      </x:c>
    </x:row>
    <x:row r="3884" ht="18" customHeight="1">
      <x:c r="A3884" t="str">
        <x:v>CA-2014-151001</x:v>
      </x:c>
      <x:c r="B3884" s="18" t="n">
        <x:v>41734</x:v>
      </x:c>
      <x:c r="C3884" t="str">
        <x:v>JG-15805</x:v>
      </x:c>
      <x:c r="D3884" t="str">
        <x:v>John Grady</x:v>
      </x:c>
      <x:c r="E3884" t="str">
        <x:v>Corporate</x:v>
      </x:c>
      <x:c r="F3884" t="str">
        <x:v>Central</x:v>
      </x:c>
      <x:c r="G3884" t="str">
        <x:v>Office Supplies</x:v>
      </x:c>
      <x:c r="H3884" t="str">
        <x:v>Storage</x:v>
      </x:c>
      <x:c r="I3884" s="22" t="n">
        <x:v>52.096000000000004</x:v>
      </x:c>
      <x:c r="J3884" s="24" t="n">
        <x:v>4</x:v>
      </x:c>
      <x:c r="K3884" s="26" t="n">
        <x:v>0.2</x:v>
      </x:c>
      <x:c r="L3884" s="22" t="n">
        <x:v>3.907200000000003</x:v>
      </x:c>
      <x:c r="M3884" t="n">
        <x:v>2014</x:v>
      </x:c>
      <x:c r="N3884" s="20" t="n">
        <x:v>41730</x:v>
      </x:c>
    </x:row>
    <x:row r="3885" ht="18" customHeight="1">
      <x:c r="A3885" t="str">
        <x:v>CA-2015-129896</x:v>
      </x:c>
      <x:c r="B3885" s="18" t="n">
        <x:v>42170</x:v>
      </x:c>
      <x:c r="C3885" t="str">
        <x:v>PF-19120</x:v>
      </x:c>
      <x:c r="D3885" t="str">
        <x:v>Peter Fuller</x:v>
      </x:c>
      <x:c r="E3885" t="str">
        <x:v>Consumer</x:v>
      </x:c>
      <x:c r="F3885" t="str">
        <x:v>West</x:v>
      </x:c>
      <x:c r="G3885" t="str">
        <x:v>Office Supplies</x:v>
      </x:c>
      <x:c r="H3885" t="str">
        <x:v>Paper</x:v>
      </x:c>
      <x:c r="I3885" s="22" t="n">
        <x:v>9.568000000000001</x:v>
      </x:c>
      <x:c r="J3885" s="24" t="n">
        <x:v>2</x:v>
      </x:c>
      <x:c r="K3885" s="26" t="n">
        <x:v>0.2</x:v>
      </x:c>
      <x:c r="L3885" s="22" t="n">
        <x:v>2.9899999999999993</x:v>
      </x:c>
      <x:c r="M3885" t="n">
        <x:v>2015</x:v>
      </x:c>
      <x:c r="N3885" s="20" t="n">
        <x:v>42156</x:v>
      </x:c>
    </x:row>
    <x:row r="3886" ht="18" customHeight="1">
      <x:c r="A3886" t="str">
        <x:v>CA-2015-129896</x:v>
      </x:c>
      <x:c r="B3886" s="18" t="n">
        <x:v>42170</x:v>
      </x:c>
      <x:c r="C3886" t="str">
        <x:v>PF-19120</x:v>
      </x:c>
      <x:c r="D3886" t="str">
        <x:v>Peter Fuller</x:v>
      </x:c>
      <x:c r="E3886" t="str">
        <x:v>Consumer</x:v>
      </x:c>
      <x:c r="F3886" t="str">
        <x:v>West</x:v>
      </x:c>
      <x:c r="G3886" t="str">
        <x:v>Office Supplies</x:v>
      </x:c>
      <x:c r="H3886" t="str">
        <x:v>Storage</x:v>
      </x:c>
      <x:c r="I3886" s="22" t="n">
        <x:v>82.368</x:v>
      </x:c>
      <x:c r="J3886" s="24" t="n">
        <x:v>2</x:v>
      </x:c>
      <x:c r="K3886" s="26" t="n">
        <x:v>0.2</x:v>
      </x:c>
      <x:c r="L3886" s="22" t="n">
        <x:v>-19.562399999999997</x:v>
      </x:c>
      <x:c r="M3886" t="n">
        <x:v>2015</x:v>
      </x:c>
      <x:c r="N3886" s="20" t="n">
        <x:v>42156</x:v>
      </x:c>
    </x:row>
    <x:row r="3887" ht="18" customHeight="1">
      <x:c r="A3887" t="str">
        <x:v>CA-2015-129896</x:v>
      </x:c>
      <x:c r="B3887" s="18" t="n">
        <x:v>42170</x:v>
      </x:c>
      <x:c r="C3887" t="str">
        <x:v>PF-19120</x:v>
      </x:c>
      <x:c r="D3887" t="str">
        <x:v>Peter Fuller</x:v>
      </x:c>
      <x:c r="E3887" t="str">
        <x:v>Consumer</x:v>
      </x:c>
      <x:c r="F3887" t="str">
        <x:v>West</x:v>
      </x:c>
      <x:c r="G3887" t="str">
        <x:v>Furniture</x:v>
      </x:c>
      <x:c r="H3887" t="str">
        <x:v>Furnishings</x:v>
      </x:c>
      <x:c r="I3887" s="22" t="n">
        <x:v>364.70400000000006</x:v>
      </x:c>
      <x:c r="J3887" s="24" t="n">
        <x:v>6</x:v>
      </x:c>
      <x:c r="K3887" s="26" t="n">
        <x:v>0.2</x:v>
      </x:c>
      <x:c r="L3887" s="22" t="n">
        <x:v>-36.47040000000004</x:v>
      </x:c>
      <x:c r="M3887" t="n">
        <x:v>2015</x:v>
      </x:c>
      <x:c r="N3887" s="20" t="n">
        <x:v>42156</x:v>
      </x:c>
    </x:row>
    <x:row r="3888" ht="18" customHeight="1">
      <x:c r="A3888" t="str">
        <x:v>CA-2015-129896</x:v>
      </x:c>
      <x:c r="B3888" s="18" t="n">
        <x:v>42170</x:v>
      </x:c>
      <x:c r="C3888" t="str">
        <x:v>PF-19120</x:v>
      </x:c>
      <x:c r="D3888" t="str">
        <x:v>Peter Fuller</x:v>
      </x:c>
      <x:c r="E3888" t="str">
        <x:v>Consumer</x:v>
      </x:c>
      <x:c r="F3888" t="str">
        <x:v>West</x:v>
      </x:c>
      <x:c r="G3888" t="str">
        <x:v>Furniture</x:v>
      </x:c>
      <x:c r="H3888" t="str">
        <x:v>Furnishings</x:v>
      </x:c>
      <x:c r="I3888" s="22" t="n">
        <x:v>40.256</x:v>
      </x:c>
      <x:c r="J3888" s="24" t="n">
        <x:v>4</x:v>
      </x:c>
      <x:c r="K3888" s="26" t="n">
        <x:v>0.2</x:v>
      </x:c>
      <x:c r="L3888" s="22" t="n">
        <x:v>11.070400000000003</x:v>
      </x:c>
      <x:c r="M3888" t="n">
        <x:v>2015</x:v>
      </x:c>
      <x:c r="N3888" s="20" t="n">
        <x:v>42156</x:v>
      </x:c>
    </x:row>
    <x:row r="3889" ht="18" customHeight="1">
      <x:c r="A3889" t="str">
        <x:v>CA-2014-152849</x:v>
      </x:c>
      <x:c r="B3889" s="18" t="n">
        <x:v>41825</x:v>
      </x:c>
      <x:c r="C3889" t="str">
        <x:v>DW-13195</x:v>
      </x:c>
      <x:c r="D3889" t="str">
        <x:v>David Wiener</x:v>
      </x:c>
      <x:c r="E3889" t="str">
        <x:v>Corporate</x:v>
      </x:c>
      <x:c r="F3889" t="str">
        <x:v>South</x:v>
      </x:c>
      <x:c r="G3889" t="str">
        <x:v>Office Supplies</x:v>
      </x:c>
      <x:c r="H3889" t="str">
        <x:v>Art</x:v>
      </x:c>
      <x:c r="I3889" s="22" t="n">
        <x:v>4.368</x:v>
      </x:c>
      <x:c r="J3889" s="24" t="n">
        <x:v>3</x:v>
      </x:c>
      <x:c r="K3889" s="26" t="n">
        <x:v>0.2</x:v>
      </x:c>
      <x:c r="L3889" s="22" t="n">
        <x:v>0.3822000000000001</x:v>
      </x:c>
      <x:c r="M3889" t="n">
        <x:v>2014</x:v>
      </x:c>
      <x:c r="N3889" s="20" t="n">
        <x:v>41821</x:v>
      </x:c>
    </x:row>
    <x:row r="3890" ht="18" customHeight="1">
      <x:c r="A3890" t="str">
        <x:v>US-2017-127341</x:v>
      </x:c>
      <x:c r="B3890" s="18" t="n">
        <x:v>42764</x:v>
      </x:c>
      <x:c r="C3890" t="str">
        <x:v>CK-12595</x:v>
      </x:c>
      <x:c r="D3890" t="str">
        <x:v>Clytie Kelty</x:v>
      </x:c>
      <x:c r="E3890" t="str">
        <x:v>Consumer</x:v>
      </x:c>
      <x:c r="F3890" t="str">
        <x:v>Central</x:v>
      </x:c>
      <x:c r="G3890" t="str">
        <x:v>Office Supplies</x:v>
      </x:c>
      <x:c r="H3890" t="str">
        <x:v>Binders</x:v>
      </x:c>
      <x:c r="I3890" s="22" t="n">
        <x:v>12.127999999999997</x:v>
      </x:c>
      <x:c r="J3890" s="24" t="n">
        <x:v>4</x:v>
      </x:c>
      <x:c r="K3890" s="26" t="n">
        <x:v>0.8</x:v>
      </x:c>
      <x:c r="L3890" s="22" t="n">
        <x:v>-20.617600000000003</x:v>
      </x:c>
      <x:c r="M3890" t="n">
        <x:v>2017</x:v>
      </x:c>
      <x:c r="N3890" s="20" t="n">
        <x:v>42736</x:v>
      </x:c>
    </x:row>
    <x:row r="3891" ht="18" customHeight="1">
      <x:c r="A3891" t="str">
        <x:v>CA-2016-167759</x:v>
      </x:c>
      <x:c r="B3891" s="18" t="n">
        <x:v>42432</x:v>
      </x:c>
      <x:c r="C3891" t="str">
        <x:v>CC-12670</x:v>
      </x:c>
      <x:c r="D3891" t="str">
        <x:v>Craig Carreira</x:v>
      </x:c>
      <x:c r="E3891" t="str">
        <x:v>Consumer</x:v>
      </x:c>
      <x:c r="F3891" t="str">
        <x:v>Central</x:v>
      </x:c>
      <x:c r="G3891" t="str">
        <x:v>Technology</x:v>
      </x:c>
      <x:c r="H3891" t="str">
        <x:v>Phones</x:v>
      </x:c>
      <x:c r="I3891" s="22" t="n">
        <x:v>134.85000000000002</x:v>
      </x:c>
      <x:c r="J3891" s="24" t="n">
        <x:v>3</x:v>
      </x:c>
      <x:c r="K3891" s="26" t="n">
        <x:v>0</x:v>
      </x:c>
      <x:c r="L3891" s="22" t="n">
        <x:v>37.757999999999996</x:v>
      </x:c>
      <x:c r="M3891" t="n">
        <x:v>2016</x:v>
      </x:c>
      <x:c r="N3891" s="20" t="n">
        <x:v>42430</x:v>
      </x:c>
    </x:row>
    <x:row r="3892" ht="18" customHeight="1">
      <x:c r="A3892" t="str">
        <x:v>CA-2014-100895</x:v>
      </x:c>
      <x:c r="B3892" s="18" t="n">
        <x:v>41792</x:v>
      </x:c>
      <x:c r="C3892" t="str">
        <x:v>SV-20785</x:v>
      </x:c>
      <x:c r="D3892" t="str">
        <x:v>Stewart Visinsky</x:v>
      </x:c>
      <x:c r="E3892" t="str">
        <x:v>Consumer</x:v>
      </x:c>
      <x:c r="F3892" t="str">
        <x:v>South</x:v>
      </x:c>
      <x:c r="G3892" t="str">
        <x:v>Office Supplies</x:v>
      </x:c>
      <x:c r="H3892" t="str">
        <x:v>Art</x:v>
      </x:c>
      <x:c r="I3892" s="22" t="n">
        <x:v>8.56</x:v>
      </x:c>
      <x:c r="J3892" s="24" t="n">
        <x:v>2</x:v>
      </x:c>
      <x:c r="K3892" s="26" t="n">
        <x:v>0</x:v>
      </x:c>
      <x:c r="L3892" s="22" t="n">
        <x:v>2.6536</x:v>
      </x:c>
      <x:c r="M3892" t="n">
        <x:v>2014</x:v>
      </x:c>
      <x:c r="N3892" s="20" t="n">
        <x:v>41791</x:v>
      </x:c>
    </x:row>
    <x:row r="3893" ht="18" customHeight="1">
      <x:c r="A3893" t="str">
        <x:v>CA-2014-100895</x:v>
      </x:c>
      <x:c r="B3893" s="18" t="n">
        <x:v>41792</x:v>
      </x:c>
      <x:c r="C3893" t="str">
        <x:v>SV-20785</x:v>
      </x:c>
      <x:c r="D3893" t="str">
        <x:v>Stewart Visinsky</x:v>
      </x:c>
      <x:c r="E3893" t="str">
        <x:v>Consumer</x:v>
      </x:c>
      <x:c r="F3893" t="str">
        <x:v>South</x:v>
      </x:c>
      <x:c r="G3893" t="str">
        <x:v>Technology</x:v>
      </x:c>
      <x:c r="H3893" t="str">
        <x:v>Phones</x:v>
      </x:c>
      <x:c r="I3893" s="22" t="n">
        <x:v>239.96999999999997</x:v>
      </x:c>
      <x:c r="J3893" s="24" t="n">
        <x:v>3</x:v>
      </x:c>
      <x:c r="K3893" s="26" t="n">
        <x:v>0</x:v>
      </x:c>
      <x:c r="L3893" s="22" t="n">
        <x:v>67.1916</x:v>
      </x:c>
      <x:c r="M3893" t="n">
        <x:v>2014</x:v>
      </x:c>
      <x:c r="N3893" s="20" t="n">
        <x:v>41791</x:v>
      </x:c>
    </x:row>
    <x:row r="3894" ht="18" customHeight="1">
      <x:c r="A3894" t="str">
        <x:v>CA-2014-100895</x:v>
      </x:c>
      <x:c r="B3894" s="18" t="n">
        <x:v>41792</x:v>
      </x:c>
      <x:c r="C3894" t="str">
        <x:v>SV-20785</x:v>
      </x:c>
      <x:c r="D3894" t="str">
        <x:v>Stewart Visinsky</x:v>
      </x:c>
      <x:c r="E3894" t="str">
        <x:v>Consumer</x:v>
      </x:c>
      <x:c r="F3894" t="str">
        <x:v>South</x:v>
      </x:c>
      <x:c r="G3894" t="str">
        <x:v>Office Supplies</x:v>
      </x:c>
      <x:c r="H3894" t="str">
        <x:v>Storage</x:v>
      </x:c>
      <x:c r="I3894" s="22" t="n">
        <x:v>356.94</x:v>
      </x:c>
      <x:c r="J3894" s="24" t="n">
        <x:v>2</x:v>
      </x:c>
      <x:c r="K3894" s="26" t="n">
        <x:v>0</x:v>
      </x:c>
      <x:c r="L3894" s="22" t="n">
        <x:v>107.08199999999997</x:v>
      </x:c>
      <x:c r="M3894" t="n">
        <x:v>2014</x:v>
      </x:c>
      <x:c r="N3894" s="20" t="n">
        <x:v>41791</x:v>
      </x:c>
    </x:row>
    <x:row r="3895" ht="18" customHeight="1">
      <x:c r="A3895" t="str">
        <x:v>US-2016-163881</x:v>
      </x:c>
      <x:c r="B3895" s="18" t="n">
        <x:v>42698</x:v>
      </x:c>
      <x:c r="C3895" t="str">
        <x:v>SP-20860</x:v>
      </x:c>
      <x:c r="D3895" t="str">
        <x:v>Sung Pak</x:v>
      </x:c>
      <x:c r="E3895" t="str">
        <x:v>Corporate</x:v>
      </x:c>
      <x:c r="F3895" t="str">
        <x:v>West</x:v>
      </x:c>
      <x:c r="G3895" t="str">
        <x:v>Technology</x:v>
      </x:c>
      <x:c r="H3895" t="str">
        <x:v>Accessories</x:v>
      </x:c>
      <x:c r="I3895" s="22" t="n">
        <x:v>659.9</x:v>
      </x:c>
      <x:c r="J3895" s="24" t="n">
        <x:v>2</x:v>
      </x:c>
      <x:c r="K3895" s="26" t="n">
        <x:v>0</x:v>
      </x:c>
      <x:c r="L3895" s="22" t="n">
        <x:v>217.76699999999994</x:v>
      </x:c>
      <x:c r="M3895" t="n">
        <x:v>2016</x:v>
      </x:c>
      <x:c r="N3895" s="20" t="n">
        <x:v>42675</x:v>
      </x:c>
    </x:row>
    <x:row r="3896" ht="18" customHeight="1">
      <x:c r="A3896" t="str">
        <x:v>US-2016-163881</x:v>
      </x:c>
      <x:c r="B3896" s="18" t="n">
        <x:v>42698</x:v>
      </x:c>
      <x:c r="C3896" t="str">
        <x:v>SP-20860</x:v>
      </x:c>
      <x:c r="D3896" t="str">
        <x:v>Sung Pak</x:v>
      </x:c>
      <x:c r="E3896" t="str">
        <x:v>Corporate</x:v>
      </x:c>
      <x:c r="F3896" t="str">
        <x:v>West</x:v>
      </x:c>
      <x:c r="G3896" t="str">
        <x:v>Furniture</x:v>
      </x:c>
      <x:c r="H3896" t="str">
        <x:v>Chairs</x:v>
      </x:c>
      <x:c r="I3896" s="22" t="n">
        <x:v>1684.7520000000002</x:v>
      </x:c>
      <x:c r="J3896" s="24" t="n">
        <x:v>6</x:v>
      </x:c>
      <x:c r="K3896" s="26" t="n">
        <x:v>0.2</x:v>
      </x:c>
      <x:c r="L3896" s="22" t="n">
        <x:v>210.59399999999977</x:v>
      </x:c>
      <x:c r="M3896" t="n">
        <x:v>2016</x:v>
      </x:c>
      <x:c r="N3896" s="20" t="n">
        <x:v>42675</x:v>
      </x:c>
    </x:row>
    <x:row r="3897" ht="18" customHeight="1">
      <x:c r="A3897" t="str">
        <x:v>US-2016-163881</x:v>
      </x:c>
      <x:c r="B3897" s="18" t="n">
        <x:v>42698</x:v>
      </x:c>
      <x:c r="C3897" t="str">
        <x:v>SP-20860</x:v>
      </x:c>
      <x:c r="D3897" t="str">
        <x:v>Sung Pak</x:v>
      </x:c>
      <x:c r="E3897" t="str">
        <x:v>Corporate</x:v>
      </x:c>
      <x:c r="F3897" t="str">
        <x:v>West</x:v>
      </x:c>
      <x:c r="G3897" t="str">
        <x:v>Technology</x:v>
      </x:c>
      <x:c r="H3897" t="str">
        <x:v>Accessories</x:v>
      </x:c>
      <x:c r="I3897" s="22" t="n">
        <x:v>559.92</x:v>
      </x:c>
      <x:c r="J3897" s="24" t="n">
        <x:v>8</x:v>
      </x:c>
      <x:c r="K3897" s="26" t="n">
        <x:v>0</x:v>
      </x:c>
      <x:c r="L3897" s="22" t="n">
        <x:v>190.37279999999998</x:v>
      </x:c>
      <x:c r="M3897" t="n">
        <x:v>2016</x:v>
      </x:c>
      <x:c r="N3897" s="20" t="n">
        <x:v>42675</x:v>
      </x:c>
    </x:row>
    <x:row r="3898" ht="18" customHeight="1">
      <x:c r="A3898" t="str">
        <x:v>US-2016-144547</x:v>
      </x:c>
      <x:c r="B3898" s="18" t="n">
        <x:v>42684</x:v>
      </x:c>
      <x:c r="C3898" t="str">
        <x:v>MS-17770</x:v>
      </x:c>
      <x:c r="D3898" t="str">
        <x:v>Maxwell Schwartz</x:v>
      </x:c>
      <x:c r="E3898" t="str">
        <x:v>Consumer</x:v>
      </x:c>
      <x:c r="F3898" t="str">
        <x:v>Central</x:v>
      </x:c>
      <x:c r="G3898" t="str">
        <x:v>Technology</x:v>
      </x:c>
      <x:c r="H3898" t="str">
        <x:v>Accessories</x:v>
      </x:c>
      <x:c r="I3898" s="22" t="n">
        <x:v>279.944</x:v>
      </x:c>
      <x:c r="J3898" s="24" t="n">
        <x:v>7</x:v>
      </x:c>
      <x:c r="K3898" s="26" t="n">
        <x:v>0.2</x:v>
      </x:c>
      <x:c r="L3898" s="22" t="n">
        <x:v>48.9902</x:v>
      </x:c>
      <x:c r="M3898" t="n">
        <x:v>2016</x:v>
      </x:c>
      <x:c r="N3898" s="20" t="n">
        <x:v>42675</x:v>
      </x:c>
    </x:row>
    <x:row r="3899" ht="18" customHeight="1">
      <x:c r="A3899" t="str">
        <x:v>US-2014-112200</x:v>
      </x:c>
      <x:c r="B3899" s="18" t="n">
        <x:v>41965</x:v>
      </x:c>
      <x:c r="C3899" t="str">
        <x:v>TC-21475</x:v>
      </x:c>
      <x:c r="D3899" t="str">
        <x:v>Tony Chapman</x:v>
      </x:c>
      <x:c r="E3899" t="str">
        <x:v>Home Office</x:v>
      </x:c>
      <x:c r="F3899" t="str">
        <x:v>Central</x:v>
      </x:c>
      <x:c r="G3899" t="str">
        <x:v>Office Supplies</x:v>
      </x:c>
      <x:c r="H3899" t="str">
        <x:v>Binders</x:v>
      </x:c>
      <x:c r="I3899" s="22" t="n">
        <x:v>9.979999999999997</x:v>
      </x:c>
      <x:c r="J3899" s="24" t="n">
        <x:v>5</x:v>
      </x:c>
      <x:c r="K3899" s="26" t="n">
        <x:v>0.8</x:v>
      </x:c>
      <x:c r="L3899" s="22" t="n">
        <x:v>-16.467000000000002</x:v>
      </x:c>
      <x:c r="M3899" t="n">
        <x:v>2014</x:v>
      </x:c>
      <x:c r="N3899" s="20" t="n">
        <x:v>41944</x:v>
      </x:c>
    </x:row>
    <x:row r="3900" ht="18" customHeight="1">
      <x:c r="A3900" t="str">
        <x:v>CA-2017-110212</x:v>
      </x:c>
      <x:c r="B3900" s="18" t="n">
        <x:v>42856</x:v>
      </x:c>
      <x:c r="C3900" t="str">
        <x:v>SJ-20125</x:v>
      </x:c>
      <x:c r="D3900" t="str">
        <x:v>Sanjit Jacobs</x:v>
      </x:c>
      <x:c r="E3900" t="str">
        <x:v>Home Office</x:v>
      </x:c>
      <x:c r="F3900" t="str">
        <x:v>South</x:v>
      </x:c>
      <x:c r="G3900" t="str">
        <x:v>Technology</x:v>
      </x:c>
      <x:c r="H3900" t="str">
        <x:v>Accessories</x:v>
      </x:c>
      <x:c r="I3900" s="22" t="n">
        <x:v>48.9</x:v>
      </x:c>
      <x:c r="J3900" s="24" t="n">
        <x:v>5</x:v>
      </x:c>
      <x:c r="K3900" s="26" t="n">
        <x:v>0</x:v>
      </x:c>
      <x:c r="L3900" s="22" t="n">
        <x:v>18.093</x:v>
      </x:c>
      <x:c r="M3900" t="n">
        <x:v>2017</x:v>
      </x:c>
      <x:c r="N3900" s="20" t="n">
        <x:v>42856</x:v>
      </x:c>
    </x:row>
    <x:row r="3901" ht="18" customHeight="1">
      <x:c r="A3901" t="str">
        <x:v>CA-2017-134285</x:v>
      </x:c>
      <x:c r="B3901" s="18" t="n">
        <x:v>43076</x:v>
      </x:c>
      <x:c r="C3901" t="str">
        <x:v>DS-13180</x:v>
      </x:c>
      <x:c r="D3901" t="str">
        <x:v>David Smith</x:v>
      </x:c>
      <x:c r="E3901" t="str">
        <x:v>Corporate</x:v>
      </x:c>
      <x:c r="F3901" t="str">
        <x:v>Central</x:v>
      </x:c>
      <x:c r="G3901" t="str">
        <x:v>Office Supplies</x:v>
      </x:c>
      <x:c r="H3901" t="str">
        <x:v>Fasteners</x:v>
      </x:c>
      <x:c r="I3901" s="22" t="n">
        <x:v>3.5519999999999996</x:v>
      </x:c>
      <x:c r="J3901" s="24" t="n">
        <x:v>3</x:v>
      </x:c>
      <x:c r="K3901" s="26" t="n">
        <x:v>0.2</x:v>
      </x:c>
      <x:c r="L3901" s="22" t="n">
        <x:v>1.2431999999999999</x:v>
      </x:c>
      <x:c r="M3901" t="n">
        <x:v>2017</x:v>
      </x:c>
      <x:c r="N3901" s="20" t="n">
        <x:v>43070</x:v>
      </x:c>
    </x:row>
    <x:row r="3902" ht="18" customHeight="1">
      <x:c r="A3902" t="str">
        <x:v>CA-2017-134285</x:v>
      </x:c>
      <x:c r="B3902" s="18" t="n">
        <x:v>43076</x:v>
      </x:c>
      <x:c r="C3902" t="str">
        <x:v>DS-13180</x:v>
      </x:c>
      <x:c r="D3902" t="str">
        <x:v>David Smith</x:v>
      </x:c>
      <x:c r="E3902" t="str">
        <x:v>Corporate</x:v>
      </x:c>
      <x:c r="F3902" t="str">
        <x:v>Central</x:v>
      </x:c>
      <x:c r="G3902" t="str">
        <x:v>Office Supplies</x:v>
      </x:c>
      <x:c r="H3902" t="str">
        <x:v>Paper</x:v>
      </x:c>
      <x:c r="I3902" s="22" t="n">
        <x:v>15.552000000000003</x:v>
      </x:c>
      <x:c r="J3902" s="24" t="n">
        <x:v>3</x:v>
      </x:c>
      <x:c r="K3902" s="26" t="n">
        <x:v>0.2</x:v>
      </x:c>
      <x:c r="L3902" s="22" t="n">
        <x:v>5.4432</x:v>
      </x:c>
      <x:c r="M3902" t="n">
        <x:v>2017</x:v>
      </x:c>
      <x:c r="N3902" s="20" t="n">
        <x:v>43070</x:v>
      </x:c>
    </x:row>
    <x:row r="3903" ht="18" customHeight="1">
      <x:c r="A3903" t="str">
        <x:v>CA-2017-102267</x:v>
      </x:c>
      <x:c r="B3903" s="18" t="n">
        <x:v>43069</x:v>
      </x:c>
      <x:c r="C3903" t="str">
        <x:v>SC-20800</x:v>
      </x:c>
      <x:c r="D3903" t="str">
        <x:v>Stuart Calhoun</x:v>
      </x:c>
      <x:c r="E3903" t="str">
        <x:v>Consumer</x:v>
      </x:c>
      <x:c r="F3903" t="str">
        <x:v>Central</x:v>
      </x:c>
      <x:c r="G3903" t="str">
        <x:v>Office Supplies</x:v>
      </x:c>
      <x:c r="H3903" t="str">
        <x:v>Fasteners</x:v>
      </x:c>
      <x:c r="I3903" s="22" t="n">
        <x:v>2.368</x:v>
      </x:c>
      <x:c r="J3903" s="24" t="n">
        <x:v>2</x:v>
      </x:c>
      <x:c r="K3903" s="26" t="n">
        <x:v>0.2</x:v>
      </x:c>
      <x:c r="L3903" s="22" t="n">
        <x:v>0.8287999999999999</x:v>
      </x:c>
      <x:c r="M3903" t="n">
        <x:v>2017</x:v>
      </x:c>
      <x:c r="N3903" s="20" t="n">
        <x:v>43040</x:v>
      </x:c>
    </x:row>
    <x:row r="3904" ht="18" customHeight="1">
      <x:c r="A3904" t="str">
        <x:v>CA-2017-157980</x:v>
      </x:c>
      <x:c r="B3904" s="18" t="n">
        <x:v>43076</x:v>
      </x:c>
      <x:c r="C3904" t="str">
        <x:v>SH-20395</x:v>
      </x:c>
      <x:c r="D3904" t="str">
        <x:v>Shahid Hopkins</x:v>
      </x:c>
      <x:c r="E3904" t="str">
        <x:v>Consumer</x:v>
      </x:c>
      <x:c r="F3904" t="str">
        <x:v>East</x:v>
      </x:c>
      <x:c r="G3904" t="str">
        <x:v>Technology</x:v>
      </x:c>
      <x:c r="H3904" t="str">
        <x:v>Accessories</x:v>
      </x:c>
      <x:c r="I3904" s="22" t="n">
        <x:v>127.984</x:v>
      </x:c>
      <x:c r="J3904" s="24" t="n">
        <x:v>2</x:v>
      </x:c>
      <x:c r="K3904" s="26" t="n">
        <x:v>0.2</x:v>
      </x:c>
      <x:c r="L3904" s="22" t="n">
        <x:v>25.596799999999998</x:v>
      </x:c>
      <x:c r="M3904" t="n">
        <x:v>2017</x:v>
      </x:c>
      <x:c r="N3904" s="20" t="n">
        <x:v>43070</x:v>
      </x:c>
    </x:row>
    <x:row r="3905" ht="18" customHeight="1">
      <x:c r="A3905" t="str">
        <x:v>CA-2015-121097</x:v>
      </x:c>
      <x:c r="B3905" s="18" t="n">
        <x:v>42007</x:v>
      </x:c>
      <x:c r="C3905" t="str">
        <x:v>SF-20965</x:v>
      </x:c>
      <x:c r="D3905" t="str">
        <x:v>Sylvia Foulston</x:v>
      </x:c>
      <x:c r="E3905" t="str">
        <x:v>Corporate</x:v>
      </x:c>
      <x:c r="F3905" t="str">
        <x:v>Central</x:v>
      </x:c>
      <x:c r="G3905" t="str">
        <x:v>Office Supplies</x:v>
      </x:c>
      <x:c r="H3905" t="str">
        <x:v>Paper</x:v>
      </x:c>
      <x:c r="I3905" s="22" t="n">
        <x:v>10.368000000000002</x:v>
      </x:c>
      <x:c r="J3905" s="24" t="n">
        <x:v>2</x:v>
      </x:c>
      <x:c r="K3905" s="26" t="n">
        <x:v>0.2</x:v>
      </x:c>
      <x:c r="L3905" s="22" t="n">
        <x:v>3.6288</x:v>
      </x:c>
      <x:c r="M3905" t="n">
        <x:v>2015</x:v>
      </x:c>
      <x:c r="N3905" s="20" t="n">
        <x:v>42005</x:v>
      </x:c>
    </x:row>
    <x:row r="3906" ht="18" customHeight="1">
      <x:c r="A3906" t="str">
        <x:v>CA-2015-151043</x:v>
      </x:c>
      <x:c r="B3906" s="18" t="n">
        <x:v>42322</x:v>
      </x:c>
      <x:c r="C3906" t="str">
        <x:v>MG-17680</x:v>
      </x:c>
      <x:c r="D3906" t="str">
        <x:v>Maureen Gastineau</x:v>
      </x:c>
      <x:c r="E3906" t="str">
        <x:v>Home Office</x:v>
      </x:c>
      <x:c r="F3906" t="str">
        <x:v>East</x:v>
      </x:c>
      <x:c r="G3906" t="str">
        <x:v>Technology</x:v>
      </x:c>
      <x:c r="H3906" t="str">
        <x:v>Accessories</x:v>
      </x:c>
      <x:c r="I3906" s="22" t="n">
        <x:v>47.984</x:v>
      </x:c>
      <x:c r="J3906" s="24" t="n">
        <x:v>2</x:v>
      </x:c>
      <x:c r="K3906" s="26" t="n">
        <x:v>0.2</x:v>
      </x:c>
      <x:c r="L3906" s="22" t="n">
        <x:v>-1.199600000000002</x:v>
      </x:c>
      <x:c r="M3906" t="n">
        <x:v>2015</x:v>
      </x:c>
      <x:c r="N3906" s="20" t="n">
        <x:v>42309</x:v>
      </x:c>
    </x:row>
    <x:row r="3907" ht="18" customHeight="1">
      <x:c r="A3907" t="str">
        <x:v>US-2015-119312</x:v>
      </x:c>
      <x:c r="B3907" s="18" t="n">
        <x:v>42279</x:v>
      </x:c>
      <x:c r="C3907" t="str">
        <x:v>CS-12400</x:v>
      </x:c>
      <x:c r="D3907" t="str">
        <x:v>Christopher Schild</x:v>
      </x:c>
      <x:c r="E3907" t="str">
        <x:v>Home Office</x:v>
      </x:c>
      <x:c r="F3907" t="str">
        <x:v>West</x:v>
      </x:c>
      <x:c r="G3907" t="str">
        <x:v>Office Supplies</x:v>
      </x:c>
      <x:c r="H3907" t="str">
        <x:v>Storage</x:v>
      </x:c>
      <x:c r="I3907" s="22" t="n">
        <x:v>270.34</x:v>
      </x:c>
      <x:c r="J3907" s="24" t="n">
        <x:v>14</x:v>
      </x:c>
      <x:c r="K3907" s="26" t="n">
        <x:v>0</x:v>
      </x:c>
      <x:c r="L3907" s="22" t="n">
        <x:v>75.6952</x:v>
      </x:c>
      <x:c r="M3907" t="n">
        <x:v>2015</x:v>
      </x:c>
      <x:c r="N3907" s="20" t="n">
        <x:v>42278</x:v>
      </x:c>
    </x:row>
    <x:row r="3908" ht="18" customHeight="1">
      <x:c r="A3908" t="str">
        <x:v>CA-2015-167010</x:v>
      </x:c>
      <x:c r="B3908" s="18" t="n">
        <x:v>42099</x:v>
      </x:c>
      <x:c r="C3908" t="str">
        <x:v>VT-21700</x:v>
      </x:c>
      <x:c r="D3908" t="str">
        <x:v>Valerie Takahito</x:v>
      </x:c>
      <x:c r="E3908" t="str">
        <x:v>Home Office</x:v>
      </x:c>
      <x:c r="F3908" t="str">
        <x:v>East</x:v>
      </x:c>
      <x:c r="G3908" t="str">
        <x:v>Office Supplies</x:v>
      </x:c>
      <x:c r="H3908" t="str">
        <x:v>Appliances</x:v>
      </x:c>
      <x:c r="I3908" s="22" t="n">
        <x:v>98.112</x:v>
      </x:c>
      <x:c r="J3908" s="24" t="n">
        <x:v>7</x:v>
      </x:c>
      <x:c r="K3908" s="26" t="n">
        <x:v>0.2</x:v>
      </x:c>
      <x:c r="L3908" s="22" t="n">
        <x:v>18.396</x:v>
      </x:c>
      <x:c r="M3908" t="n">
        <x:v>2015</x:v>
      </x:c>
      <x:c r="N3908" s="20" t="n">
        <x:v>42095</x:v>
      </x:c>
    </x:row>
    <x:row r="3909" ht="18" customHeight="1">
      <x:c r="A3909" t="str">
        <x:v>CA-2015-167010</x:v>
      </x:c>
      <x:c r="B3909" s="18" t="n">
        <x:v>42099</x:v>
      </x:c>
      <x:c r="C3909" t="str">
        <x:v>VT-21700</x:v>
      </x:c>
      <x:c r="D3909" t="str">
        <x:v>Valerie Takahito</x:v>
      </x:c>
      <x:c r="E3909" t="str">
        <x:v>Home Office</x:v>
      </x:c>
      <x:c r="F3909" t="str">
        <x:v>East</x:v>
      </x:c>
      <x:c r="G3909" t="str">
        <x:v>Office Supplies</x:v>
      </x:c>
      <x:c r="H3909" t="str">
        <x:v>Storage</x:v>
      </x:c>
      <x:c r="I3909" s="22" t="n">
        <x:v>563.808</x:v>
      </x:c>
      <x:c r="J3909" s="24" t="n">
        <x:v>4</x:v>
      </x:c>
      <x:c r="K3909" s="26" t="n">
        <x:v>0.2</x:v>
      </x:c>
      <x:c r="L3909" s="22" t="n">
        <x:v>21.142799999999966</x:v>
      </x:c>
      <x:c r="M3909" t="n">
        <x:v>2015</x:v>
      </x:c>
      <x:c r="N3909" s="20" t="n">
        <x:v>42095</x:v>
      </x:c>
    </x:row>
    <x:row r="3910" ht="18" customHeight="1">
      <x:c r="A3910" t="str">
        <x:v>CA-2015-167010</x:v>
      </x:c>
      <x:c r="B3910" s="18" t="n">
        <x:v>42099</x:v>
      </x:c>
      <x:c r="C3910" t="str">
        <x:v>VT-21700</x:v>
      </x:c>
      <x:c r="D3910" t="str">
        <x:v>Valerie Takahito</x:v>
      </x:c>
      <x:c r="E3910" t="str">
        <x:v>Home Office</x:v>
      </x:c>
      <x:c r="F3910" t="str">
        <x:v>East</x:v>
      </x:c>
      <x:c r="G3910" t="str">
        <x:v>Office Supplies</x:v>
      </x:c>
      <x:c r="H3910" t="str">
        <x:v>Binders</x:v>
      </x:c>
      <x:c r="I3910" s="22" t="n">
        <x:v>10.428</x:v>
      </x:c>
      <x:c r="J3910" s="24" t="n">
        <x:v>4</x:v>
      </x:c>
      <x:c r="K3910" s="26" t="n">
        <x:v>0.7</x:v>
      </x:c>
      <x:c r="L3910" s="22" t="n">
        <x:v>-6.951999999999998</x:v>
      </x:c>
      <x:c r="M3910" t="n">
        <x:v>2015</x:v>
      </x:c>
      <x:c r="N3910" s="20" t="n">
        <x:v>42095</x:v>
      </x:c>
    </x:row>
    <x:row r="3911" ht="18" customHeight="1">
      <x:c r="A3911" t="str">
        <x:v>CA-2015-167010</x:v>
      </x:c>
      <x:c r="B3911" s="18" t="n">
        <x:v>42099</x:v>
      </x:c>
      <x:c r="C3911" t="str">
        <x:v>VT-21700</x:v>
      </x:c>
      <x:c r="D3911" t="str">
        <x:v>Valerie Takahito</x:v>
      </x:c>
      <x:c r="E3911" t="str">
        <x:v>Home Office</x:v>
      </x:c>
      <x:c r="F3911" t="str">
        <x:v>East</x:v>
      </x:c>
      <x:c r="G3911" t="str">
        <x:v>Furniture</x:v>
      </x:c>
      <x:c r="H3911" t="str">
        <x:v>Furnishings</x:v>
      </x:c>
      <x:c r="I3911" s="22" t="n">
        <x:v>547.136</x:v>
      </x:c>
      <x:c r="J3911" s="24" t="n">
        <x:v>4</x:v>
      </x:c>
      <x:c r="K3911" s="26" t="n">
        <x:v>0.2</x:v>
      </x:c>
      <x:c r="L3911" s="22" t="n">
        <x:v>-68.39200000000005</x:v>
      </x:c>
      <x:c r="M3911" t="n">
        <x:v>2015</x:v>
      </x:c>
      <x:c r="N3911" s="20" t="n">
        <x:v>42095</x:v>
      </x:c>
    </x:row>
    <x:row r="3912" ht="18" customHeight="1">
      <x:c r="A3912" t="str">
        <x:v>CA-2015-167010</x:v>
      </x:c>
      <x:c r="B3912" s="18" t="n">
        <x:v>42099</x:v>
      </x:c>
      <x:c r="C3912" t="str">
        <x:v>VT-21700</x:v>
      </x:c>
      <x:c r="D3912" t="str">
        <x:v>Valerie Takahito</x:v>
      </x:c>
      <x:c r="E3912" t="str">
        <x:v>Home Office</x:v>
      </x:c>
      <x:c r="F3912" t="str">
        <x:v>East</x:v>
      </x:c>
      <x:c r="G3912" t="str">
        <x:v>Technology</x:v>
      </x:c>
      <x:c r="H3912" t="str">
        <x:v>Phones</x:v>
      </x:c>
      <x:c r="I3912" s="22" t="n">
        <x:v>14.850000000000001</x:v>
      </x:c>
      <x:c r="J3912" s="24" t="n">
        <x:v>5</x:v>
      </x:c>
      <x:c r="K3912" s="26" t="n">
        <x:v>0.4</x:v>
      </x:c>
      <x:c r="L3912" s="22" t="n">
        <x:v>-3.2175000000000002</x:v>
      </x:c>
      <x:c r="M3912" t="n">
        <x:v>2015</x:v>
      </x:c>
      <x:c r="N3912" s="20" t="n">
        <x:v>42095</x:v>
      </x:c>
    </x:row>
    <x:row r="3913" ht="18" customHeight="1">
      <x:c r="A3913" t="str">
        <x:v>CA-2015-167010</x:v>
      </x:c>
      <x:c r="B3913" s="18" t="n">
        <x:v>42099</x:v>
      </x:c>
      <x:c r="C3913" t="str">
        <x:v>VT-21700</x:v>
      </x:c>
      <x:c r="D3913" t="str">
        <x:v>Valerie Takahito</x:v>
      </x:c>
      <x:c r="E3913" t="str">
        <x:v>Home Office</x:v>
      </x:c>
      <x:c r="F3913" t="str">
        <x:v>East</x:v>
      </x:c>
      <x:c r="G3913" t="str">
        <x:v>Technology</x:v>
      </x:c>
      <x:c r="H3913" t="str">
        <x:v>Phones</x:v>
      </x:c>
      <x:c r="I3913" s="22" t="n">
        <x:v>41.988</x:v>
      </x:c>
      <x:c r="J3913" s="24" t="n">
        <x:v>2</x:v>
      </x:c>
      <x:c r="K3913" s="26" t="n">
        <x:v>0.4</x:v>
      </x:c>
      <x:c r="L3913" s="22" t="n">
        <x:v>-9.797200000000004</x:v>
      </x:c>
      <x:c r="M3913" t="n">
        <x:v>2015</x:v>
      </x:c>
      <x:c r="N3913" s="20" t="n">
        <x:v>42095</x:v>
      </x:c>
    </x:row>
    <x:row r="3914" ht="18" customHeight="1">
      <x:c r="A3914" t="str">
        <x:v>CA-2015-167010</x:v>
      </x:c>
      <x:c r="B3914" s="18" t="n">
        <x:v>42099</x:v>
      </x:c>
      <x:c r="C3914" t="str">
        <x:v>VT-21700</x:v>
      </x:c>
      <x:c r="D3914" t="str">
        <x:v>Valerie Takahito</x:v>
      </x:c>
      <x:c r="E3914" t="str">
        <x:v>Home Office</x:v>
      </x:c>
      <x:c r="F3914" t="str">
        <x:v>East</x:v>
      </x:c>
      <x:c r="G3914" t="str">
        <x:v>Furniture</x:v>
      </x:c>
      <x:c r="H3914" t="str">
        <x:v>Furnishings</x:v>
      </x:c>
      <x:c r="I3914" s="22" t="n">
        <x:v>7.5840000000000005</x:v>
      </x:c>
      <x:c r="J3914" s="24" t="n">
        <x:v>1</x:v>
      </x:c>
      <x:c r="K3914" s="26" t="n">
        <x:v>0.2</x:v>
      </x:c>
      <x:c r="L3914" s="22" t="n">
        <x:v>2.37</x:v>
      </x:c>
      <x:c r="M3914" t="n">
        <x:v>2015</x:v>
      </x:c>
      <x:c r="N3914" s="20" t="n">
        <x:v>42095</x:v>
      </x:c>
    </x:row>
    <x:row r="3915" ht="18" customHeight="1">
      <x:c r="A3915" t="str">
        <x:v>CA-2015-167010</x:v>
      </x:c>
      <x:c r="B3915" s="18" t="n">
        <x:v>42099</x:v>
      </x:c>
      <x:c r="C3915" t="str">
        <x:v>VT-21700</x:v>
      </x:c>
      <x:c r="D3915" t="str">
        <x:v>Valerie Takahito</x:v>
      </x:c>
      <x:c r="E3915" t="str">
        <x:v>Home Office</x:v>
      </x:c>
      <x:c r="F3915" t="str">
        <x:v>East</x:v>
      </x:c>
      <x:c r="G3915" t="str">
        <x:v>Furniture</x:v>
      </x:c>
      <x:c r="H3915" t="str">
        <x:v>Bookcases</x:v>
      </x:c>
      <x:c r="I3915" s="22" t="n">
        <x:v>352.45</x:v>
      </x:c>
      <x:c r="J3915" s="24" t="n">
        <x:v>5</x:v>
      </x:c>
      <x:c r="K3915" s="26" t="n">
        <x:v>0.5</x:v>
      </x:c>
      <x:c r="L3915" s="22" t="n">
        <x:v>-211.47</x:v>
      </x:c>
      <x:c r="M3915" t="n">
        <x:v>2015</x:v>
      </x:c>
      <x:c r="N3915" s="20" t="n">
        <x:v>42095</x:v>
      </x:c>
    </x:row>
    <x:row r="3916" ht="18" customHeight="1">
      <x:c r="A3916" t="str">
        <x:v>CA-2017-126788</x:v>
      </x:c>
      <x:c r="B3916" s="18" t="n">
        <x:v>42891</x:v>
      </x:c>
      <x:c r="C3916" t="str">
        <x:v>AB-10105</x:v>
      </x:c>
      <x:c r="D3916" t="str">
        <x:v>Adrian Barton</x:v>
      </x:c>
      <x:c r="E3916" t="str">
        <x:v>Consumer</x:v>
      </x:c>
      <x:c r="F3916" t="str">
        <x:v>Central</x:v>
      </x:c>
      <x:c r="G3916" t="str">
        <x:v>Technology</x:v>
      </x:c>
      <x:c r="H3916" t="str">
        <x:v>Phones</x:v>
      </x:c>
      <x:c r="I3916" s="22" t="n">
        <x:v>470.3760000000001</x:v>
      </x:c>
      <x:c r="J3916" s="24" t="n">
        <x:v>3</x:v>
      </x:c>
      <x:c r="K3916" s="26" t="n">
        <x:v>0.2</x:v>
      </x:c>
      <x:c r="L3916" s="22" t="n">
        <x:v>52.917299999999955</x:v>
      </x:c>
      <x:c r="M3916" t="n">
        <x:v>2017</x:v>
      </x:c>
      <x:c r="N3916" s="20" t="n">
        <x:v>42887</x:v>
      </x:c>
    </x:row>
    <x:row r="3917" ht="18" customHeight="1">
      <x:c r="A3917" t="str">
        <x:v>CA-2017-148068</x:v>
      </x:c>
      <x:c r="B3917" s="18" t="n">
        <x:v>42996</x:v>
      </x:c>
      <x:c r="C3917" t="str">
        <x:v>MM-18280</x:v>
      </x:c>
      <x:c r="D3917" t="str">
        <x:v>Muhammed MacIntyre</x:v>
      </x:c>
      <x:c r="E3917" t="str">
        <x:v>Corporate</x:v>
      </x:c>
      <x:c r="F3917" t="str">
        <x:v>East</x:v>
      </x:c>
      <x:c r="G3917" t="str">
        <x:v>Office Supplies</x:v>
      </x:c>
      <x:c r="H3917" t="str">
        <x:v>Paper</x:v>
      </x:c>
      <x:c r="I3917" s="22" t="n">
        <x:v>19.44</x:v>
      </x:c>
      <x:c r="J3917" s="24" t="n">
        <x:v>3</x:v>
      </x:c>
      <x:c r="K3917" s="26" t="n">
        <x:v>0</x:v>
      </x:c>
      <x:c r="L3917" s="22" t="n">
        <x:v>9.3312</x:v>
      </x:c>
      <x:c r="M3917" t="n">
        <x:v>2017</x:v>
      </x:c>
      <x:c r="N3917" s="20" t="n">
        <x:v>42979</x:v>
      </x:c>
    </x:row>
    <x:row r="3918" ht="18" customHeight="1">
      <x:c r="A3918" t="str">
        <x:v>CA-2017-148068</x:v>
      </x:c>
      <x:c r="B3918" s="18" t="n">
        <x:v>42996</x:v>
      </x:c>
      <x:c r="C3918" t="str">
        <x:v>MM-18280</x:v>
      </x:c>
      <x:c r="D3918" t="str">
        <x:v>Muhammed MacIntyre</x:v>
      </x:c>
      <x:c r="E3918" t="str">
        <x:v>Corporate</x:v>
      </x:c>
      <x:c r="F3918" t="str">
        <x:v>East</x:v>
      </x:c>
      <x:c r="G3918" t="str">
        <x:v>Furniture</x:v>
      </x:c>
      <x:c r="H3918" t="str">
        <x:v>Furnishings</x:v>
      </x:c>
      <x:c r="I3918" s="22" t="n">
        <x:v>9.82</x:v>
      </x:c>
      <x:c r="J3918" s="24" t="n">
        <x:v>2</x:v>
      </x:c>
      <x:c r="K3918" s="26" t="n">
        <x:v>0</x:v>
      </x:c>
      <x:c r="L3918" s="22" t="n">
        <x:v>3.2405999999999997</x:v>
      </x:c>
      <x:c r="M3918" t="n">
        <x:v>2017</x:v>
      </x:c>
      <x:c r="N3918" s="20" t="n">
        <x:v>42979</x:v>
      </x:c>
    </x:row>
    <x:row r="3919" ht="18" customHeight="1">
      <x:c r="A3919" t="str">
        <x:v>US-2017-142573</x:v>
      </x:c>
      <x:c r="B3919" s="18" t="n">
        <x:v>42934</x:v>
      </x:c>
      <x:c r="C3919" t="str">
        <x:v>ML-17410</x:v>
      </x:c>
      <x:c r="D3919" t="str">
        <x:v>Maris LaWare</x:v>
      </x:c>
      <x:c r="E3919" t="str">
        <x:v>Consumer</x:v>
      </x:c>
      <x:c r="F3919" t="str">
        <x:v>West</x:v>
      </x:c>
      <x:c r="G3919" t="str">
        <x:v>Furniture</x:v>
      </x:c>
      <x:c r="H3919" t="str">
        <x:v>Tables</x:v>
      </x:c>
      <x:c r="I3919" s="22" t="n">
        <x:v>801.5999999999999</x:v>
      </x:c>
      <x:c r="J3919" s="24" t="n">
        <x:v>5</x:v>
      </x:c>
      <x:c r="K3919" s="26" t="n">
        <x:v>0.5</x:v>
      </x:c>
      <x:c r="L3919" s="22" t="n">
        <x:v>-448.89599999999996</x:v>
      </x:c>
      <x:c r="M3919" t="n">
        <x:v>2017</x:v>
      </x:c>
      <x:c r="N3919" s="20" t="n">
        <x:v>42917</x:v>
      </x:c>
    </x:row>
    <x:row r="3920" ht="18" customHeight="1">
      <x:c r="A3920" t="str">
        <x:v>US-2017-142573</x:v>
      </x:c>
      <x:c r="B3920" s="18" t="n">
        <x:v>42934</x:v>
      </x:c>
      <x:c r="C3920" t="str">
        <x:v>ML-17410</x:v>
      </x:c>
      <x:c r="D3920" t="str">
        <x:v>Maris LaWare</x:v>
      </x:c>
      <x:c r="E3920" t="str">
        <x:v>Consumer</x:v>
      </x:c>
      <x:c r="F3920" t="str">
        <x:v>West</x:v>
      </x:c>
      <x:c r="G3920" t="str">
        <x:v>Furniture</x:v>
      </x:c>
      <x:c r="H3920" t="str">
        <x:v>Chairs</x:v>
      </x:c>
      <x:c r="I3920" s="22" t="n">
        <x:v>161.568</x:v>
      </x:c>
      <x:c r="J3920" s="24" t="n">
        <x:v>2</x:v>
      </x:c>
      <x:c r="K3920" s="26" t="n">
        <x:v>0.2</x:v>
      </x:c>
      <x:c r="L3920" s="22" t="n">
        <x:v>10.098000000000006</x:v>
      </x:c>
      <x:c r="M3920" t="n">
        <x:v>2017</x:v>
      </x:c>
      <x:c r="N3920" s="20" t="n">
        <x:v>42917</x:v>
      </x:c>
    </x:row>
    <x:row r="3921" ht="18" customHeight="1">
      <x:c r="A3921" t="str">
        <x:v>US-2017-142573</x:v>
      </x:c>
      <x:c r="B3921" s="18" t="n">
        <x:v>42934</x:v>
      </x:c>
      <x:c r="C3921" t="str">
        <x:v>ML-17410</x:v>
      </x:c>
      <x:c r="D3921" t="str">
        <x:v>Maris LaWare</x:v>
      </x:c>
      <x:c r="E3921" t="str">
        <x:v>Consumer</x:v>
      </x:c>
      <x:c r="F3921" t="str">
        <x:v>West</x:v>
      </x:c>
      <x:c r="G3921" t="str">
        <x:v>Office Supplies</x:v>
      </x:c>
      <x:c r="H3921" t="str">
        <x:v>Paper</x:v>
      </x:c>
      <x:c r="I3921" s="22" t="n">
        <x:v>16.096</x:v>
      </x:c>
      <x:c r="J3921" s="24" t="n">
        <x:v>2</x:v>
      </x:c>
      <x:c r="K3921" s="26" t="n">
        <x:v>0.2</x:v>
      </x:c>
      <x:c r="L3921" s="22" t="n">
        <x:v>5.2312</x:v>
      </x:c>
      <x:c r="M3921" t="n">
        <x:v>2017</x:v>
      </x:c>
      <x:c r="N3921" s="20" t="n">
        <x:v>42917</x:v>
      </x:c>
    </x:row>
    <x:row r="3922" ht="18" customHeight="1">
      <x:c r="A3922" t="str">
        <x:v>US-2017-142573</x:v>
      </x:c>
      <x:c r="B3922" s="18" t="n">
        <x:v>42934</x:v>
      </x:c>
      <x:c r="C3922" t="str">
        <x:v>ML-17410</x:v>
      </x:c>
      <x:c r="D3922" t="str">
        <x:v>Maris LaWare</x:v>
      </x:c>
      <x:c r="E3922" t="str">
        <x:v>Consumer</x:v>
      </x:c>
      <x:c r="F3922" t="str">
        <x:v>West</x:v>
      </x:c>
      <x:c r="G3922" t="str">
        <x:v>Office Supplies</x:v>
      </x:c>
      <x:c r="H3922" t="str">
        <x:v>Binders</x:v>
      </x:c>
      <x:c r="I3922" s="22" t="n">
        <x:v>7.656000000000001</x:v>
      </x:c>
      <x:c r="J3922" s="24" t="n">
        <x:v>4</x:v>
      </x:c>
      <x:c r="K3922" s="26" t="n">
        <x:v>0.7</x:v>
      </x:c>
      <x:c r="L3922" s="22" t="n">
        <x:v>-6.124799999999999</x:v>
      </x:c>
      <x:c r="M3922" t="n">
        <x:v>2017</x:v>
      </x:c>
      <x:c r="N3922" s="20" t="n">
        <x:v>42917</x:v>
      </x:c>
    </x:row>
    <x:row r="3923" ht="18" customHeight="1">
      <x:c r="A3923" t="str">
        <x:v>US-2017-142573</x:v>
      </x:c>
      <x:c r="B3923" s="18" t="n">
        <x:v>42934</x:v>
      </x:c>
      <x:c r="C3923" t="str">
        <x:v>ML-17410</x:v>
      </x:c>
      <x:c r="D3923" t="str">
        <x:v>Maris LaWare</x:v>
      </x:c>
      <x:c r="E3923" t="str">
        <x:v>Consumer</x:v>
      </x:c>
      <x:c r="F3923" t="str">
        <x:v>West</x:v>
      </x:c>
      <x:c r="G3923" t="str">
        <x:v>Furniture</x:v>
      </x:c>
      <x:c r="H3923" t="str">
        <x:v>Chairs</x:v>
      </x:c>
      <x:c r="I3923" s="22" t="n">
        <x:v>311.97600000000006</x:v>
      </x:c>
      <x:c r="J3923" s="24" t="n">
        <x:v>3</x:v>
      </x:c>
      <x:c r="K3923" s="26" t="n">
        <x:v>0.2</x:v>
      </x:c>
      <x:c r="L3923" s="22" t="n">
        <x:v>-42.89670000000001</x:v>
      </x:c>
      <x:c r="M3923" t="n">
        <x:v>2017</x:v>
      </x:c>
      <x:c r="N3923" s="20" t="n">
        <x:v>42917</x:v>
      </x:c>
    </x:row>
    <x:row r="3924" ht="18" customHeight="1">
      <x:c r="A3924" t="str">
        <x:v>US-2015-148817</x:v>
      </x:c>
      <x:c r="B3924" s="18" t="n">
        <x:v>42339</x:v>
      </x:c>
      <x:c r="C3924" t="str">
        <x:v>KD-16495</x:v>
      </x:c>
      <x:c r="D3924" t="str">
        <x:v>Keith Dawkins</x:v>
      </x:c>
      <x:c r="E3924" t="str">
        <x:v>Corporate</x:v>
      </x:c>
      <x:c r="F3924" t="str">
        <x:v>South</x:v>
      </x:c>
      <x:c r="G3924" t="str">
        <x:v>Office Supplies</x:v>
      </x:c>
      <x:c r="H3924" t="str">
        <x:v>Storage</x:v>
      </x:c>
      <x:c r="I3924" s="22" t="n">
        <x:v>61.68</x:v>
      </x:c>
      <x:c r="J3924" s="24" t="n">
        <x:v>4</x:v>
      </x:c>
      <x:c r="K3924" s="26" t="n">
        <x:v>0</x:v>
      </x:c>
      <x:c r="L3924" s="22" t="n">
        <x:v>16.653600000000004</x:v>
      </x:c>
      <x:c r="M3924" t="n">
        <x:v>2015</x:v>
      </x:c>
      <x:c r="N3924" s="20" t="n">
        <x:v>42339</x:v>
      </x:c>
    </x:row>
    <x:row r="3925" ht="18" customHeight="1">
      <x:c r="A3925" t="str">
        <x:v>US-2015-148817</x:v>
      </x:c>
      <x:c r="B3925" s="18" t="n">
        <x:v>42339</x:v>
      </x:c>
      <x:c r="C3925" t="str">
        <x:v>KD-16495</x:v>
      </x:c>
      <x:c r="D3925" t="str">
        <x:v>Keith Dawkins</x:v>
      </x:c>
      <x:c r="E3925" t="str">
        <x:v>Corporate</x:v>
      </x:c>
      <x:c r="F3925" t="str">
        <x:v>South</x:v>
      </x:c>
      <x:c r="G3925" t="str">
        <x:v>Office Supplies</x:v>
      </x:c>
      <x:c r="H3925" t="str">
        <x:v>Binders</x:v>
      </x:c>
      <x:c r="I3925" s="22" t="n">
        <x:v>63.96</x:v>
      </x:c>
      <x:c r="J3925" s="24" t="n">
        <x:v>4</x:v>
      </x:c>
      <x:c r="K3925" s="26" t="n">
        <x:v>0</x:v>
      </x:c>
      <x:c r="L3925" s="22" t="n">
        <x:v>30.7008</x:v>
      </x:c>
      <x:c r="M3925" t="n">
        <x:v>2015</x:v>
      </x:c>
      <x:c r="N3925" s="20" t="n">
        <x:v>42339</x:v>
      </x:c>
    </x:row>
    <x:row r="3926" ht="18" customHeight="1">
      <x:c r="A3926" t="str">
        <x:v>CA-2016-110044</x:v>
      </x:c>
      <x:c r="B3926" s="18" t="n">
        <x:v>42549</x:v>
      </x:c>
      <x:c r="C3926" t="str">
        <x:v>RF-19735</x:v>
      </x:c>
      <x:c r="D3926" t="str">
        <x:v>Roland Fjeld</x:v>
      </x:c>
      <x:c r="E3926" t="str">
        <x:v>Consumer</x:v>
      </x:c>
      <x:c r="F3926" t="str">
        <x:v>Central</x:v>
      </x:c>
      <x:c r="G3926" t="str">
        <x:v>Technology</x:v>
      </x:c>
      <x:c r="H3926" t="str">
        <x:v>Phones</x:v>
      </x:c>
      <x:c r="I3926" s="22" t="n">
        <x:v>359.97600000000006</x:v>
      </x:c>
      <x:c r="J3926" s="24" t="n">
        <x:v>3</x:v>
      </x:c>
      <x:c r="K3926" s="26" t="n">
        <x:v>0.2</x:v>
      </x:c>
      <x:c r="L3926" s="22" t="n">
        <x:v>35.997600000000006</x:v>
      </x:c>
      <x:c r="M3926" t="n">
        <x:v>2016</x:v>
      </x:c>
      <x:c r="N3926" s="20" t="n">
        <x:v>42522</x:v>
      </x:c>
    </x:row>
    <x:row r="3927" ht="18" customHeight="1">
      <x:c r="A3927" t="str">
        <x:v>CA-2017-146920</x:v>
      </x:c>
      <x:c r="B3927" s="18" t="n">
        <x:v>42975</x:v>
      </x:c>
      <x:c r="C3927" t="str">
        <x:v>SC-20305</x:v>
      </x:c>
      <x:c r="D3927" t="str">
        <x:v>Sean Christensen</x:v>
      </x:c>
      <x:c r="E3927" t="str">
        <x:v>Consumer</x:v>
      </x:c>
      <x:c r="F3927" t="str">
        <x:v>Central</x:v>
      </x:c>
      <x:c r="G3927" t="str">
        <x:v>Office Supplies</x:v>
      </x:c>
      <x:c r="H3927" t="str">
        <x:v>Paper</x:v>
      </x:c>
      <x:c r="I3927" s="22" t="n">
        <x:v>25.344</x:v>
      </x:c>
      <x:c r="J3927" s="24" t="n">
        <x:v>6</x:v>
      </x:c>
      <x:c r="K3927" s="26" t="n">
        <x:v>0.2</x:v>
      </x:c>
      <x:c r="L3927" s="22" t="n">
        <x:v>7.92</x:v>
      </x:c>
      <x:c r="M3927" t="n">
        <x:v>2017</x:v>
      </x:c>
      <x:c r="N3927" s="20" t="n">
        <x:v>42948</x:v>
      </x:c>
    </x:row>
    <x:row r="3928" ht="18" customHeight="1">
      <x:c r="A3928" t="str">
        <x:v>CA-2017-146920</x:v>
      </x:c>
      <x:c r="B3928" s="18" t="n">
        <x:v>42975</x:v>
      </x:c>
      <x:c r="C3928" t="str">
        <x:v>SC-20305</x:v>
      </x:c>
      <x:c r="D3928" t="str">
        <x:v>Sean Christensen</x:v>
      </x:c>
      <x:c r="E3928" t="str">
        <x:v>Consumer</x:v>
      </x:c>
      <x:c r="F3928" t="str">
        <x:v>Central</x:v>
      </x:c>
      <x:c r="G3928" t="str">
        <x:v>Office Supplies</x:v>
      </x:c>
      <x:c r="H3928" t="str">
        <x:v>Paper</x:v>
      </x:c>
      <x:c r="I3928" s="22" t="n">
        <x:v>26.720000000000002</x:v>
      </x:c>
      <x:c r="J3928" s="24" t="n">
        <x:v>5</x:v>
      </x:c>
      <x:c r="K3928" s="26" t="n">
        <x:v>0.2</x:v>
      </x:c>
      <x:c r="L3928" s="22" t="n">
        <x:v>9.352</x:v>
      </x:c>
      <x:c r="M3928" t="n">
        <x:v>2017</x:v>
      </x:c>
      <x:c r="N3928" s="20" t="n">
        <x:v>42948</x:v>
      </x:c>
    </x:row>
    <x:row r="3929" ht="18" customHeight="1">
      <x:c r="A3929" t="str">
        <x:v>CA-2014-103940</x:v>
      </x:c>
      <x:c r="B3929" s="18" t="n">
        <x:v>41899</x:v>
      </x:c>
      <x:c r="C3929" t="str">
        <x:v>BN-11515</x:v>
      </x:c>
      <x:c r="D3929" t="str">
        <x:v>Bradley Nguyen</x:v>
      </x:c>
      <x:c r="E3929" t="str">
        <x:v>Consumer</x:v>
      </x:c>
      <x:c r="F3929" t="str">
        <x:v>West</x:v>
      </x:c>
      <x:c r="G3929" t="str">
        <x:v>Office Supplies</x:v>
      </x:c>
      <x:c r="H3929" t="str">
        <x:v>Storage</x:v>
      </x:c>
      <x:c r="I3929" s="22" t="n">
        <x:v>30.28</x:v>
      </x:c>
      <x:c r="J3929" s="24" t="n">
        <x:v>2</x:v>
      </x:c>
      <x:c r="K3929" s="26" t="n">
        <x:v>0</x:v>
      </x:c>
      <x:c r="L3929" s="22" t="n">
        <x:v>1.211199999999998</x:v>
      </x:c>
      <x:c r="M3929" t="n">
        <x:v>2014</x:v>
      </x:c>
      <x:c r="N3929" s="20" t="n">
        <x:v>41883</x:v>
      </x:c>
    </x:row>
    <x:row r="3930" ht="18" customHeight="1">
      <x:c r="A3930" t="str">
        <x:v>CA-2014-103940</x:v>
      </x:c>
      <x:c r="B3930" s="18" t="n">
        <x:v>41899</x:v>
      </x:c>
      <x:c r="C3930" t="str">
        <x:v>BN-11515</x:v>
      </x:c>
      <x:c r="D3930" t="str">
        <x:v>Bradley Nguyen</x:v>
      </x:c>
      <x:c r="E3930" t="str">
        <x:v>Consumer</x:v>
      </x:c>
      <x:c r="F3930" t="str">
        <x:v>West</x:v>
      </x:c>
      <x:c r="G3930" t="str">
        <x:v>Office Supplies</x:v>
      </x:c>
      <x:c r="H3930" t="str">
        <x:v>Storage</x:v>
      </x:c>
      <x:c r="I3930" s="22" t="n">
        <x:v>57.92999999999999</x:v>
      </x:c>
      <x:c r="J3930" s="24" t="n">
        <x:v>3</x:v>
      </x:c>
      <x:c r="K3930" s="26" t="n">
        <x:v>0</x:v>
      </x:c>
      <x:c r="L3930" s="22" t="n">
        <x:v>16.2204</x:v>
      </x:c>
      <x:c r="M3930" t="n">
        <x:v>2014</x:v>
      </x:c>
      <x:c r="N3930" s="20" t="n">
        <x:v>41883</x:v>
      </x:c>
    </x:row>
    <x:row r="3931" ht="18" customHeight="1">
      <x:c r="A3931" t="str">
        <x:v>CA-2014-103940</x:v>
      </x:c>
      <x:c r="B3931" s="18" t="n">
        <x:v>41899</x:v>
      </x:c>
      <x:c r="C3931" t="str">
        <x:v>BN-11515</x:v>
      </x:c>
      <x:c r="D3931" t="str">
        <x:v>Bradley Nguyen</x:v>
      </x:c>
      <x:c r="E3931" t="str">
        <x:v>Consumer</x:v>
      </x:c>
      <x:c r="F3931" t="str">
        <x:v>West</x:v>
      </x:c>
      <x:c r="G3931" t="str">
        <x:v>Furniture</x:v>
      </x:c>
      <x:c r="H3931" t="str">
        <x:v>Furnishings</x:v>
      </x:c>
      <x:c r="I3931" s="22" t="n">
        <x:v>35.34</x:v>
      </x:c>
      <x:c r="J3931" s="24" t="n">
        <x:v>2</x:v>
      </x:c>
      <x:c r="K3931" s="26" t="n">
        <x:v>0</x:v>
      </x:c>
      <x:c r="L3931" s="22" t="n">
        <x:v>13.429200000000002</x:v>
      </x:c>
      <x:c r="M3931" t="n">
        <x:v>2014</x:v>
      </x:c>
      <x:c r="N3931" s="20" t="n">
        <x:v>41883</x:v>
      </x:c>
    </x:row>
    <x:row r="3932" ht="18" customHeight="1">
      <x:c r="A3932" t="str">
        <x:v>CA-2014-103940</x:v>
      </x:c>
      <x:c r="B3932" s="18" t="n">
        <x:v>41899</x:v>
      </x:c>
      <x:c r="C3932" t="str">
        <x:v>BN-11515</x:v>
      </x:c>
      <x:c r="D3932" t="str">
        <x:v>Bradley Nguyen</x:v>
      </x:c>
      <x:c r="E3932" t="str">
        <x:v>Consumer</x:v>
      </x:c>
      <x:c r="F3932" t="str">
        <x:v>West</x:v>
      </x:c>
      <x:c r="G3932" t="str">
        <x:v>Office Supplies</x:v>
      </x:c>
      <x:c r="H3932" t="str">
        <x:v>Binders</x:v>
      </x:c>
      <x:c r="I3932" s="22" t="n">
        <x:v>137.24</x:v>
      </x:c>
      <x:c r="J3932" s="24" t="n">
        <x:v>5</x:v>
      </x:c>
      <x:c r="K3932" s="26" t="n">
        <x:v>0.2</x:v>
      </x:c>
      <x:c r="L3932" s="22" t="n">
        <x:v>46.3185</x:v>
      </x:c>
      <x:c r="M3932" t="n">
        <x:v>2014</x:v>
      </x:c>
      <x:c r="N3932" s="20" t="n">
        <x:v>41883</x:v>
      </x:c>
    </x:row>
    <x:row r="3933" ht="18" customHeight="1">
      <x:c r="A3933" t="str">
        <x:v>CA-2016-162082</x:v>
      </x:c>
      <x:c r="B3933" s="18" t="n">
        <x:v>42443</x:v>
      </x:c>
      <x:c r="C3933" t="str">
        <x:v>JS-15880</x:v>
      </x:c>
      <x:c r="D3933" t="str">
        <x:v>John Stevenson</x:v>
      </x:c>
      <x:c r="E3933" t="str">
        <x:v>Consumer</x:v>
      </x:c>
      <x:c r="F3933" t="str">
        <x:v>Central</x:v>
      </x:c>
      <x:c r="G3933" t="str">
        <x:v>Furniture</x:v>
      </x:c>
      <x:c r="H3933" t="str">
        <x:v>Bookcases</x:v>
      </x:c>
      <x:c r="I3933" s="22" t="n">
        <x:v>241.332</x:v>
      </x:c>
      <x:c r="J3933" s="24" t="n">
        <x:v>5</x:v>
      </x:c>
      <x:c r="K3933" s="26" t="n">
        <x:v>0.32</x:v>
      </x:c>
      <x:c r="L3933" s="22" t="n">
        <x:v>-14.195999999999998</x:v>
      </x:c>
      <x:c r="M3933" t="n">
        <x:v>2016</x:v>
      </x:c>
      <x:c r="N3933" s="20" t="n">
        <x:v>42430</x:v>
      </x:c>
    </x:row>
    <x:row r="3934" ht="18" customHeight="1">
      <x:c r="A3934" t="str">
        <x:v>CA-2016-162082</x:v>
      </x:c>
      <x:c r="B3934" s="18" t="n">
        <x:v>42443</x:v>
      </x:c>
      <x:c r="C3934" t="str">
        <x:v>JS-15880</x:v>
      </x:c>
      <x:c r="D3934" t="str">
        <x:v>John Stevenson</x:v>
      </x:c>
      <x:c r="E3934" t="str">
        <x:v>Consumer</x:v>
      </x:c>
      <x:c r="F3934" t="str">
        <x:v>Central</x:v>
      </x:c>
      <x:c r="G3934" t="str">
        <x:v>Office Supplies</x:v>
      </x:c>
      <x:c r="H3934" t="str">
        <x:v>Paper</x:v>
      </x:c>
      <x:c r="I3934" s="22" t="n">
        <x:v>5.184000000000001</x:v>
      </x:c>
      <x:c r="J3934" s="24" t="n">
        <x:v>1</x:v>
      </x:c>
      <x:c r="K3934" s="26" t="n">
        <x:v>0.2</x:v>
      </x:c>
      <x:c r="L3934" s="22" t="n">
        <x:v>1.8792</x:v>
      </x:c>
      <x:c r="M3934" t="n">
        <x:v>2016</x:v>
      </x:c>
      <x:c r="N3934" s="20" t="n">
        <x:v>42430</x:v>
      </x:c>
    </x:row>
    <x:row r="3935" ht="18" customHeight="1">
      <x:c r="A3935" t="str">
        <x:v>CA-2016-162082</x:v>
      </x:c>
      <x:c r="B3935" s="18" t="n">
        <x:v>42443</x:v>
      </x:c>
      <x:c r="C3935" t="str">
        <x:v>JS-15880</x:v>
      </x:c>
      <x:c r="D3935" t="str">
        <x:v>John Stevenson</x:v>
      </x:c>
      <x:c r="E3935" t="str">
        <x:v>Consumer</x:v>
      </x:c>
      <x:c r="F3935" t="str">
        <x:v>Central</x:v>
      </x:c>
      <x:c r="G3935" t="str">
        <x:v>Office Supplies</x:v>
      </x:c>
      <x:c r="H3935" t="str">
        <x:v>Art</x:v>
      </x:c>
      <x:c r="I3935" s="22" t="n">
        <x:v>145.544</x:v>
      </x:c>
      <x:c r="J3935" s="24" t="n">
        <x:v>7</x:v>
      </x:c>
      <x:c r="K3935" s="26" t="n">
        <x:v>0.2</x:v>
      </x:c>
      <x:c r="L3935" s="22" t="n">
        <x:v>16.373699999999992</x:v>
      </x:c>
      <x:c r="M3935" t="n">
        <x:v>2016</x:v>
      </x:c>
      <x:c r="N3935" s="20" t="n">
        <x:v>42430</x:v>
      </x:c>
    </x:row>
    <x:row r="3936" ht="18" customHeight="1">
      <x:c r="A3936" t="str">
        <x:v>CA-2016-132094</x:v>
      </x:c>
      <x:c r="B3936" s="18" t="n">
        <x:v>42608</x:v>
      </x:c>
      <x:c r="C3936" t="str">
        <x:v>VG-21805</x:v>
      </x:c>
      <x:c r="D3936" t="str">
        <x:v>Vivek Grady</x:v>
      </x:c>
      <x:c r="E3936" t="str">
        <x:v>Corporate</x:v>
      </x:c>
      <x:c r="F3936" t="str">
        <x:v>East</x:v>
      </x:c>
      <x:c r="G3936" t="str">
        <x:v>Office Supplies</x:v>
      </x:c>
      <x:c r="H3936" t="str">
        <x:v>Art</x:v>
      </x:c>
      <x:c r="I3936" s="22" t="n">
        <x:v>5.4719999999999995</x:v>
      </x:c>
      <x:c r="J3936" s="24" t="n">
        <x:v>3</x:v>
      </x:c>
      <x:c r="K3936" s="26" t="n">
        <x:v>0.2</x:v>
      </x:c>
      <x:c r="L3936" s="22" t="n">
        <x:v>1.6416000000000004</x:v>
      </x:c>
      <x:c r="M3936" t="n">
        <x:v>2016</x:v>
      </x:c>
      <x:c r="N3936" s="20" t="n">
        <x:v>42583</x:v>
      </x:c>
    </x:row>
    <x:row r="3937" ht="18" customHeight="1">
      <x:c r="A3937" t="str">
        <x:v>CA-2016-132094</x:v>
      </x:c>
      <x:c r="B3937" s="18" t="n">
        <x:v>42608</x:v>
      </x:c>
      <x:c r="C3937" t="str">
        <x:v>VG-21805</x:v>
      </x:c>
      <x:c r="D3937" t="str">
        <x:v>Vivek Grady</x:v>
      </x:c>
      <x:c r="E3937" t="str">
        <x:v>Corporate</x:v>
      </x:c>
      <x:c r="F3937" t="str">
        <x:v>East</x:v>
      </x:c>
      <x:c r="G3937" t="str">
        <x:v>Technology</x:v>
      </x:c>
      <x:c r="H3937" t="str">
        <x:v>Accessories</x:v>
      </x:c>
      <x:c r="I3937" s="22" t="n">
        <x:v>47.984</x:v>
      </x:c>
      <x:c r="J3937" s="24" t="n">
        <x:v>2</x:v>
      </x:c>
      <x:c r="K3937" s="26" t="n">
        <x:v>0.2</x:v>
      </x:c>
      <x:c r="L3937" s="22" t="n">
        <x:v>13.1956</x:v>
      </x:c>
      <x:c r="M3937" t="n">
        <x:v>2016</x:v>
      </x:c>
      <x:c r="N3937" s="20" t="n">
        <x:v>42583</x:v>
      </x:c>
    </x:row>
    <x:row r="3938" ht="18" customHeight="1">
      <x:c r="A3938" t="str">
        <x:v>CA-2017-123001</x:v>
      </x:c>
      <x:c r="B3938" s="18" t="n">
        <x:v>42980</x:v>
      </x:c>
      <x:c r="C3938" t="str">
        <x:v>AW-10840</x:v>
      </x:c>
      <x:c r="D3938" t="str">
        <x:v>Anthony Witt</x:v>
      </x:c>
      <x:c r="E3938" t="str">
        <x:v>Consumer</x:v>
      </x:c>
      <x:c r="F3938" t="str">
        <x:v>West</x:v>
      </x:c>
      <x:c r="G3938" t="str">
        <x:v>Office Supplies</x:v>
      </x:c>
      <x:c r="H3938" t="str">
        <x:v>Art</x:v>
      </x:c>
      <x:c r="I3938" s="22" t="n">
        <x:v>9.399999999999999</x:v>
      </x:c>
      <x:c r="J3938" s="24" t="n">
        <x:v>5</x:v>
      </x:c>
      <x:c r="K3938" s="26" t="n">
        <x:v>0</x:v>
      </x:c>
      <x:c r="L3938" s="22" t="n">
        <x:v>2.7259999999999995</x:v>
      </x:c>
      <x:c r="M3938" t="n">
        <x:v>2017</x:v>
      </x:c>
      <x:c r="N3938" s="20" t="n">
        <x:v>42979</x:v>
      </x:c>
    </x:row>
    <x:row r="3939" ht="18" customHeight="1">
      <x:c r="A3939" t="str">
        <x:v>CA-2017-123001</x:v>
      </x:c>
      <x:c r="B3939" s="18" t="n">
        <x:v>42980</x:v>
      </x:c>
      <x:c r="C3939" t="str">
        <x:v>AW-10840</x:v>
      </x:c>
      <x:c r="D3939" t="str">
        <x:v>Anthony Witt</x:v>
      </x:c>
      <x:c r="E3939" t="str">
        <x:v>Consumer</x:v>
      </x:c>
      <x:c r="F3939" t="str">
        <x:v>West</x:v>
      </x:c>
      <x:c r="G3939" t="str">
        <x:v>Office Supplies</x:v>
      </x:c>
      <x:c r="H3939" t="str">
        <x:v>Labels</x:v>
      </x:c>
      <x:c r="I3939" s="22" t="n">
        <x:v>74</x:v>
      </x:c>
      <x:c r="J3939" s="24" t="n">
        <x:v>5</x:v>
      </x:c>
      <x:c r="K3939" s="26" t="n">
        <x:v>0</x:v>
      </x:c>
      <x:c r="L3939" s="22" t="n">
        <x:v>37</x:v>
      </x:c>
      <x:c r="M3939" t="n">
        <x:v>2017</x:v>
      </x:c>
      <x:c r="N3939" s="20" t="n">
        <x:v>42979</x:v>
      </x:c>
    </x:row>
    <x:row r="3940" ht="18" customHeight="1">
      <x:c r="A3940" t="str">
        <x:v>CA-2017-123001</x:v>
      </x:c>
      <x:c r="B3940" s="18" t="n">
        <x:v>42980</x:v>
      </x:c>
      <x:c r="C3940" t="str">
        <x:v>AW-10840</x:v>
      </x:c>
      <x:c r="D3940" t="str">
        <x:v>Anthony Witt</x:v>
      </x:c>
      <x:c r="E3940" t="str">
        <x:v>Consumer</x:v>
      </x:c>
      <x:c r="F3940" t="str">
        <x:v>West</x:v>
      </x:c>
      <x:c r="G3940" t="str">
        <x:v>Technology</x:v>
      </x:c>
      <x:c r="H3940" t="str">
        <x:v>Phones</x:v>
      </x:c>
      <x:c r="I3940" s="22" t="n">
        <x:v>201.584</x:v>
      </x:c>
      <x:c r="J3940" s="24" t="n">
        <x:v>2</x:v>
      </x:c>
      <x:c r="K3940" s="26" t="n">
        <x:v>0.2</x:v>
      </x:c>
      <x:c r="L3940" s="22" t="n">
        <x:v>12.599000000000004</x:v>
      </x:c>
      <x:c r="M3940" t="n">
        <x:v>2017</x:v>
      </x:c>
      <x:c r="N3940" s="20" t="n">
        <x:v>42979</x:v>
      </x:c>
    </x:row>
    <x:row r="3941" ht="18" customHeight="1">
      <x:c r="A3941" t="str">
        <x:v>CA-2015-118955</x:v>
      </x:c>
      <x:c r="B3941" s="18" t="n">
        <x:v>42171</x:v>
      </x:c>
      <x:c r="C3941" t="str">
        <x:v>LS-17230</x:v>
      </x:c>
      <x:c r="D3941" t="str">
        <x:v>Lycoris Saunders</x:v>
      </x:c>
      <x:c r="E3941" t="str">
        <x:v>Consumer</x:v>
      </x:c>
      <x:c r="F3941" t="str">
        <x:v>Central</x:v>
      </x:c>
      <x:c r="G3941" t="str">
        <x:v>Office Supplies</x:v>
      </x:c>
      <x:c r="H3941" t="str">
        <x:v>Envelopes</x:v>
      </x:c>
      <x:c r="I3941" s="22" t="n">
        <x:v>28.752000000000002</x:v>
      </x:c>
      <x:c r="J3941" s="24" t="n">
        <x:v>3</x:v>
      </x:c>
      <x:c r="K3941" s="26" t="n">
        <x:v>0.2</x:v>
      </x:c>
      <x:c r="L3941" s="22" t="n">
        <x:v>9.344399999999998</x:v>
      </x:c>
      <x:c r="M3941" t="n">
        <x:v>2015</x:v>
      </x:c>
      <x:c r="N3941" s="20" t="n">
        <x:v>42156</x:v>
      </x:c>
    </x:row>
    <x:row r="3942" ht="18" customHeight="1">
      <x:c r="A3942" t="str">
        <x:v>CA-2015-118955</x:v>
      </x:c>
      <x:c r="B3942" s="18" t="n">
        <x:v>42171</x:v>
      </x:c>
      <x:c r="C3942" t="str">
        <x:v>LS-17230</x:v>
      </x:c>
      <x:c r="D3942" t="str">
        <x:v>Lycoris Saunders</x:v>
      </x:c>
      <x:c r="E3942" t="str">
        <x:v>Consumer</x:v>
      </x:c>
      <x:c r="F3942" t="str">
        <x:v>Central</x:v>
      </x:c>
      <x:c r="G3942" t="str">
        <x:v>Office Supplies</x:v>
      </x:c>
      <x:c r="H3942" t="str">
        <x:v>Paper</x:v>
      </x:c>
      <x:c r="I3942" s="22" t="n">
        <x:v>27.216</x:v>
      </x:c>
      <x:c r="J3942" s="24" t="n">
        <x:v>3</x:v>
      </x:c>
      <x:c r="K3942" s="26" t="n">
        <x:v>0.2</x:v>
      </x:c>
      <x:c r="L3942" s="22" t="n">
        <x:v>9.865799999999998</x:v>
      </x:c>
      <x:c r="M3942" t="n">
        <x:v>2015</x:v>
      </x:c>
      <x:c r="N3942" s="20" t="n">
        <x:v>42156</x:v>
      </x:c>
    </x:row>
    <x:row r="3943" ht="18" customHeight="1">
      <x:c r="A3943" t="str">
        <x:v>CA-2015-118955</x:v>
      </x:c>
      <x:c r="B3943" s="18" t="n">
        <x:v>42171</x:v>
      </x:c>
      <x:c r="C3943" t="str">
        <x:v>LS-17230</x:v>
      </x:c>
      <x:c r="D3943" t="str">
        <x:v>Lycoris Saunders</x:v>
      </x:c>
      <x:c r="E3943" t="str">
        <x:v>Consumer</x:v>
      </x:c>
      <x:c r="F3943" t="str">
        <x:v>Central</x:v>
      </x:c>
      <x:c r="G3943" t="str">
        <x:v>Furniture</x:v>
      </x:c>
      <x:c r="H3943" t="str">
        <x:v>Chairs</x:v>
      </x:c>
      <x:c r="I3943" s="22" t="n">
        <x:v>197.37199999999999</x:v>
      </x:c>
      <x:c r="J3943" s="24" t="n">
        <x:v>2</x:v>
      </x:c>
      <x:c r="K3943" s="26" t="n">
        <x:v>0.3</x:v>
      </x:c>
      <x:c r="L3943" s="22" t="n">
        <x:v>-25.376400000000018</x:v>
      </x:c>
      <x:c r="M3943" t="n">
        <x:v>2015</x:v>
      </x:c>
      <x:c r="N3943" s="20" t="n">
        <x:v>42156</x:v>
      </x:c>
    </x:row>
    <x:row r="3944" ht="18" customHeight="1">
      <x:c r="A3944" t="str">
        <x:v>US-2016-143448</x:v>
      </x:c>
      <x:c r="B3944" s="18" t="n">
        <x:v>42714</x:v>
      </x:c>
      <x:c r="C3944" t="str">
        <x:v>MH-17455</x:v>
      </x:c>
      <x:c r="D3944" t="str">
        <x:v>Mark Hamilton</x:v>
      </x:c>
      <x:c r="E3944" t="str">
        <x:v>Consumer</x:v>
      </x:c>
      <x:c r="F3944" t="str">
        <x:v>Central</x:v>
      </x:c>
      <x:c r="G3944" t="str">
        <x:v>Furniture</x:v>
      </x:c>
      <x:c r="H3944" t="str">
        <x:v>Chairs</x:v>
      </x:c>
      <x:c r="I3944" s="22" t="n">
        <x:v>1424.9</x:v>
      </x:c>
      <x:c r="J3944" s="24" t="n">
        <x:v>5</x:v>
      </x:c>
      <x:c r="K3944" s="26" t="n">
        <x:v>0</x:v>
      </x:c>
      <x:c r="L3944" s="22" t="n">
        <x:v>356.225</x:v>
      </x:c>
      <x:c r="M3944" t="n">
        <x:v>2016</x:v>
      </x:c>
      <x:c r="N3944" s="20" t="n">
        <x:v>42705</x:v>
      </x:c>
    </x:row>
    <x:row r="3945" ht="18" customHeight="1">
      <x:c r="A3945" t="str">
        <x:v>CA-2017-117863</x:v>
      </x:c>
      <x:c r="B3945" s="18" t="n">
        <x:v>42873</x:v>
      </x:c>
      <x:c r="C3945" t="str">
        <x:v>TS-21340</x:v>
      </x:c>
      <x:c r="D3945" t="str">
        <x:v>Toby Swindell</x:v>
      </x:c>
      <x:c r="E3945" t="str">
        <x:v>Consumer</x:v>
      </x:c>
      <x:c r="F3945" t="str">
        <x:v>East</x:v>
      </x:c>
      <x:c r="G3945" t="str">
        <x:v>Furniture</x:v>
      </x:c>
      <x:c r="H3945" t="str">
        <x:v>Furnishings</x:v>
      </x:c>
      <x:c r="I3945" s="22" t="n">
        <x:v>14.56</x:v>
      </x:c>
      <x:c r="J3945" s="24" t="n">
        <x:v>2</x:v>
      </x:c>
      <x:c r="K3945" s="26" t="n">
        <x:v>0</x:v>
      </x:c>
      <x:c r="L3945" s="22" t="n">
        <x:v>6.2608000000000015</x:v>
      </x:c>
      <x:c r="M3945" t="n">
        <x:v>2017</x:v>
      </x:c>
      <x:c r="N3945" s="20" t="n">
        <x:v>42856</x:v>
      </x:c>
    </x:row>
    <x:row r="3946" ht="18" customHeight="1">
      <x:c r="A3946" t="str">
        <x:v>CA-2017-117863</x:v>
      </x:c>
      <x:c r="B3946" s="18" t="n">
        <x:v>42873</x:v>
      </x:c>
      <x:c r="C3946" t="str">
        <x:v>TS-21340</x:v>
      </x:c>
      <x:c r="D3946" t="str">
        <x:v>Toby Swindell</x:v>
      </x:c>
      <x:c r="E3946" t="str">
        <x:v>Consumer</x:v>
      </x:c>
      <x:c r="F3946" t="str">
        <x:v>East</x:v>
      </x:c>
      <x:c r="G3946" t="str">
        <x:v>Office Supplies</x:v>
      </x:c>
      <x:c r="H3946" t="str">
        <x:v>Binders</x:v>
      </x:c>
      <x:c r="I3946" s="22" t="n">
        <x:v>3.048</x:v>
      </x:c>
      <x:c r="J3946" s="24" t="n">
        <x:v>1</x:v>
      </x:c>
      <x:c r="K3946" s="26" t="n">
        <x:v>0.2</x:v>
      </x:c>
      <x:c r="L3946" s="22" t="n">
        <x:v>1.0286999999999997</x:v>
      </x:c>
      <x:c r="M3946" t="n">
        <x:v>2017</x:v>
      </x:c>
      <x:c r="N3946" s="20" t="n">
        <x:v>42856</x:v>
      </x:c>
    </x:row>
    <x:row r="3947" ht="18" customHeight="1">
      <x:c r="A3947" t="str">
        <x:v>CA-2017-160458</x:v>
      </x:c>
      <x:c r="B3947" s="18" t="n">
        <x:v>42882</x:v>
      </x:c>
      <x:c r="C3947" t="str">
        <x:v>EH-13945</x:v>
      </x:c>
      <x:c r="D3947" t="str">
        <x:v>Eric Hoffmann</x:v>
      </x:c>
      <x:c r="E3947" t="str">
        <x:v>Consumer</x:v>
      </x:c>
      <x:c r="F3947" t="str">
        <x:v>South</x:v>
      </x:c>
      <x:c r="G3947" t="str">
        <x:v>Office Supplies</x:v>
      </x:c>
      <x:c r="H3947" t="str">
        <x:v>Paper</x:v>
      </x:c>
      <x:c r="I3947" s="22" t="n">
        <x:v>25.920000000000005</x:v>
      </x:c>
      <x:c r="J3947" s="24" t="n">
        <x:v>5</x:v>
      </x:c>
      <x:c r="K3947" s="26" t="n">
        <x:v>0.2</x:v>
      </x:c>
      <x:c r="L3947" s="22" t="n">
        <x:v>9.072</x:v>
      </x:c>
      <x:c r="M3947" t="n">
        <x:v>2017</x:v>
      </x:c>
      <x:c r="N3947" s="20" t="n">
        <x:v>42856</x:v>
      </x:c>
    </x:row>
    <x:row r="3948" ht="18" customHeight="1">
      <x:c r="A3948" t="str">
        <x:v>US-2016-142685</x:v>
      </x:c>
      <x:c r="B3948" s="18" t="n">
        <x:v>42544</x:v>
      </x:c>
      <x:c r="C3948" t="str">
        <x:v>MG-17695</x:v>
      </x:c>
      <x:c r="D3948" t="str">
        <x:v>Maureen Gnade</x:v>
      </x:c>
      <x:c r="E3948" t="str">
        <x:v>Consumer</x:v>
      </x:c>
      <x:c r="F3948" t="str">
        <x:v>East</x:v>
      </x:c>
      <x:c r="G3948" t="str">
        <x:v>Office Supplies</x:v>
      </x:c>
      <x:c r="H3948" t="str">
        <x:v>Supplies</x:v>
      </x:c>
      <x:c r="I3948" s="22" t="n">
        <x:v>835.1700000000001</x:v>
      </x:c>
      <x:c r="J3948" s="24" t="n">
        <x:v>7</x:v>
      </x:c>
      <x:c r="K3948" s="26" t="n">
        <x:v>0</x:v>
      </x:c>
      <x:c r="L3948" s="22" t="n">
        <x:v>16.703400000000016</x:v>
      </x:c>
      <x:c r="M3948" t="n">
        <x:v>2016</x:v>
      </x:c>
      <x:c r="N3948" s="20" t="n">
        <x:v>42522</x:v>
      </x:c>
    </x:row>
    <x:row r="3949" ht="18" customHeight="1">
      <x:c r="A3949" t="str">
        <x:v>CA-2016-133144</x:v>
      </x:c>
      <x:c r="B3949" s="18" t="n">
        <x:v>42506</x:v>
      </x:c>
      <x:c r="C3949" t="str">
        <x:v>DO-13435</x:v>
      </x:c>
      <x:c r="D3949" t="str">
        <x:v>Denny Ordway</x:v>
      </x:c>
      <x:c r="E3949" t="str">
        <x:v>Consumer</x:v>
      </x:c>
      <x:c r="F3949" t="str">
        <x:v>West</x:v>
      </x:c>
      <x:c r="G3949" t="str">
        <x:v>Office Supplies</x:v>
      </x:c>
      <x:c r="H3949" t="str">
        <x:v>Paper</x:v>
      </x:c>
      <x:c r="I3949" s="22" t="n">
        <x:v>17.34</x:v>
      </x:c>
      <x:c r="J3949" s="24" t="n">
        <x:v>3</x:v>
      </x:c>
      <x:c r="K3949" s="26" t="n">
        <x:v>0</x:v>
      </x:c>
      <x:c r="L3949" s="22" t="n">
        <x:v>8.4966</x:v>
      </x:c>
      <x:c r="M3949" t="n">
        <x:v>2016</x:v>
      </x:c>
      <x:c r="N3949" s="20" t="n">
        <x:v>42491</x:v>
      </x:c>
    </x:row>
    <x:row r="3950" ht="18" customHeight="1">
      <x:c r="A3950" t="str">
        <x:v>CA-2017-167871</x:v>
      </x:c>
      <x:c r="B3950" s="18" t="n">
        <x:v>43057</x:v>
      </x:c>
      <x:c r="C3950" t="str">
        <x:v>AF-10870</x:v>
      </x:c>
      <x:c r="D3950" t="str">
        <x:v>Art Ferguson</x:v>
      </x:c>
      <x:c r="E3950" t="str">
        <x:v>Consumer</x:v>
      </x:c>
      <x:c r="F3950" t="str">
        <x:v>South</x:v>
      </x:c>
      <x:c r="G3950" t="str">
        <x:v>Office Supplies</x:v>
      </x:c>
      <x:c r="H3950" t="str">
        <x:v>Paper</x:v>
      </x:c>
      <x:c r="I3950" s="22" t="n">
        <x:v>44.384</x:v>
      </x:c>
      <x:c r="J3950" s="24" t="n">
        <x:v>1</x:v>
      </x:c>
      <x:c r="K3950" s="26" t="n">
        <x:v>0.2</x:v>
      </x:c>
      <x:c r="L3950" s="22" t="n">
        <x:v>15.534399999999998</x:v>
      </x:c>
      <x:c r="M3950" t="n">
        <x:v>2017</x:v>
      </x:c>
      <x:c r="N3950" s="20" t="n">
        <x:v>43040</x:v>
      </x:c>
    </x:row>
    <x:row r="3951" ht="18" customHeight="1">
      <x:c r="A3951" t="str">
        <x:v>CA-2017-167871</x:v>
      </x:c>
      <x:c r="B3951" s="18" t="n">
        <x:v>43057</x:v>
      </x:c>
      <x:c r="C3951" t="str">
        <x:v>AF-10870</x:v>
      </x:c>
      <x:c r="D3951" t="str">
        <x:v>Art Ferguson</x:v>
      </x:c>
      <x:c r="E3951" t="str">
        <x:v>Consumer</x:v>
      </x:c>
      <x:c r="F3951" t="str">
        <x:v>South</x:v>
      </x:c>
      <x:c r="G3951" t="str">
        <x:v>Office Supplies</x:v>
      </x:c>
      <x:c r="H3951" t="str">
        <x:v>Supplies</x:v>
      </x:c>
      <x:c r="I3951" s="22" t="n">
        <x:v>2.9440000000000004</x:v>
      </x:c>
      <x:c r="J3951" s="24" t="n">
        <x:v>1</x:v>
      </x:c>
      <x:c r="K3951" s="26" t="n">
        <x:v>0.2</x:v>
      </x:c>
      <x:c r="L3951" s="22" t="n">
        <x:v>-0.6624000000000002</x:v>
      </x:c>
      <x:c r="M3951" t="n">
        <x:v>2017</x:v>
      </x:c>
      <x:c r="N3951" s="20" t="n">
        <x:v>43040</x:v>
      </x:c>
    </x:row>
    <x:row r="3952" ht="18" customHeight="1">
      <x:c r="A3952" t="str">
        <x:v>CA-2016-119963</x:v>
      </x:c>
      <x:c r="B3952" s="18" t="n">
        <x:v>42692</x:v>
      </x:c>
      <x:c r="C3952" t="str">
        <x:v>SN-20710</x:v>
      </x:c>
      <x:c r="D3952" t="str">
        <x:v>Steve Nguyen</x:v>
      </x:c>
      <x:c r="E3952" t="str">
        <x:v>Home Office</x:v>
      </x:c>
      <x:c r="F3952" t="str">
        <x:v>Central</x:v>
      </x:c>
      <x:c r="G3952" t="str">
        <x:v>Office Supplies</x:v>
      </x:c>
      <x:c r="H3952" t="str">
        <x:v>Art</x:v>
      </x:c>
      <x:c r="I3952" s="22" t="n">
        <x:v>6.368</x:v>
      </x:c>
      <x:c r="J3952" s="24" t="n">
        <x:v>2</x:v>
      </x:c>
      <x:c r="K3952" s="26" t="n">
        <x:v>0.2</x:v>
      </x:c>
      <x:c r="L3952" s="22" t="n">
        <x:v>1.0347999999999993</x:v>
      </x:c>
      <x:c r="M3952" t="n">
        <x:v>2016</x:v>
      </x:c>
      <x:c r="N3952" s="20" t="n">
        <x:v>42675</x:v>
      </x:c>
    </x:row>
    <x:row r="3953" ht="18" customHeight="1">
      <x:c r="A3953" t="str">
        <x:v>CA-2016-119963</x:v>
      </x:c>
      <x:c r="B3953" s="18" t="n">
        <x:v>42692</x:v>
      </x:c>
      <x:c r="C3953" t="str">
        <x:v>SN-20710</x:v>
      </x:c>
      <x:c r="D3953" t="str">
        <x:v>Steve Nguyen</x:v>
      </x:c>
      <x:c r="E3953" t="str">
        <x:v>Home Office</x:v>
      </x:c>
      <x:c r="F3953" t="str">
        <x:v>Central</x:v>
      </x:c>
      <x:c r="G3953" t="str">
        <x:v>Office Supplies</x:v>
      </x:c>
      <x:c r="H3953" t="str">
        <x:v>Labels</x:v>
      </x:c>
      <x:c r="I3953" s="22" t="n">
        <x:v>48.848000000000006</x:v>
      </x:c>
      <x:c r="J3953" s="24" t="n">
        <x:v>2</x:v>
      </x:c>
      <x:c r="K3953" s="26" t="n">
        <x:v>0.2</x:v>
      </x:c>
      <x:c r="L3953" s="22" t="n">
        <x:v>15.8756</x:v>
      </x:c>
      <x:c r="M3953" t="n">
        <x:v>2016</x:v>
      </x:c>
      <x:c r="N3953" s="20" t="n">
        <x:v>42675</x:v>
      </x:c>
    </x:row>
    <x:row r="3954" ht="18" customHeight="1">
      <x:c r="A3954" t="str">
        <x:v>CA-2016-119963</x:v>
      </x:c>
      <x:c r="B3954" s="18" t="n">
        <x:v>42692</x:v>
      </x:c>
      <x:c r="C3954" t="str">
        <x:v>SN-20710</x:v>
      </x:c>
      <x:c r="D3954" t="str">
        <x:v>Steve Nguyen</x:v>
      </x:c>
      <x:c r="E3954" t="str">
        <x:v>Home Office</x:v>
      </x:c>
      <x:c r="F3954" t="str">
        <x:v>Central</x:v>
      </x:c>
      <x:c r="G3954" t="str">
        <x:v>Office Supplies</x:v>
      </x:c>
      <x:c r="H3954" t="str">
        <x:v>Paper</x:v>
      </x:c>
      <x:c r="I3954" s="22" t="n">
        <x:v>19.648</x:v>
      </x:c>
      <x:c r="J3954" s="24" t="n">
        <x:v>2</x:v>
      </x:c>
      <x:c r="K3954" s="26" t="n">
        <x:v>0.2</x:v>
      </x:c>
      <x:c r="L3954" s="22" t="n">
        <x:v>6.631199999999999</x:v>
      </x:c>
      <x:c r="M3954" t="n">
        <x:v>2016</x:v>
      </x:c>
      <x:c r="N3954" s="20" t="n">
        <x:v>42675</x:v>
      </x:c>
    </x:row>
    <x:row r="3955" ht="18" customHeight="1">
      <x:c r="A3955" t="str">
        <x:v>CA-2016-119963</x:v>
      </x:c>
      <x:c r="B3955" s="18" t="n">
        <x:v>42692</x:v>
      </x:c>
      <x:c r="C3955" t="str">
        <x:v>SN-20710</x:v>
      </x:c>
      <x:c r="D3955" t="str">
        <x:v>Steve Nguyen</x:v>
      </x:c>
      <x:c r="E3955" t="str">
        <x:v>Home Office</x:v>
      </x:c>
      <x:c r="F3955" t="str">
        <x:v>Central</x:v>
      </x:c>
      <x:c r="G3955" t="str">
        <x:v>Furniture</x:v>
      </x:c>
      <x:c r="H3955" t="str">
        <x:v>Chairs</x:v>
      </x:c>
      <x:c r="I3955" s="22" t="n">
        <x:v>255.108</x:v>
      </x:c>
      <x:c r="J3955" s="24" t="n">
        <x:v>6</x:v>
      </x:c>
      <x:c r="K3955" s="26" t="n">
        <x:v>0.3</x:v>
      </x:c>
      <x:c r="L3955" s="22" t="n">
        <x:v>-18.221999999999994</x:v>
      </x:c>
      <x:c r="M3955" t="n">
        <x:v>2016</x:v>
      </x:c>
      <x:c r="N3955" s="20" t="n">
        <x:v>42675</x:v>
      </x:c>
    </x:row>
    <x:row r="3956" ht="18" customHeight="1">
      <x:c r="A3956" t="str">
        <x:v>CA-2014-121167</x:v>
      </x:c>
      <x:c r="B3956" s="18" t="n">
        <x:v>41971</x:v>
      </x:c>
      <x:c r="C3956" t="str">
        <x:v>MO-17500</x:v>
      </x:c>
      <x:c r="D3956" t="str">
        <x:v>Mary O'Rourke</x:v>
      </x:c>
      <x:c r="E3956" t="str">
        <x:v>Consumer</x:v>
      </x:c>
      <x:c r="F3956" t="str">
        <x:v>East</x:v>
      </x:c>
      <x:c r="G3956" t="str">
        <x:v>Office Supplies</x:v>
      </x:c>
      <x:c r="H3956" t="str">
        <x:v>Binders</x:v>
      </x:c>
      <x:c r="I3956" s="22" t="n">
        <x:v>17.248</x:v>
      </x:c>
      <x:c r="J3956" s="24" t="n">
        <x:v>2</x:v>
      </x:c>
      <x:c r="K3956" s="26" t="n">
        <x:v>0.2</x:v>
      </x:c>
      <x:c r="L3956" s="22" t="n">
        <x:v>6.036799999999999</x:v>
      </x:c>
      <x:c r="M3956" t="n">
        <x:v>2014</x:v>
      </x:c>
      <x:c r="N3956" s="20" t="n">
        <x:v>41944</x:v>
      </x:c>
    </x:row>
    <x:row r="3957" ht="18" customHeight="1">
      <x:c r="A3957" t="str">
        <x:v>US-2016-151862</x:v>
      </x:c>
      <x:c r="B3957" s="18" t="n">
        <x:v>42430</x:v>
      </x:c>
      <x:c r="C3957" t="str">
        <x:v>ON-18715</x:v>
      </x:c>
      <x:c r="D3957" t="str">
        <x:v>Odella Nelson</x:v>
      </x:c>
      <x:c r="E3957" t="str">
        <x:v>Corporate</x:v>
      </x:c>
      <x:c r="F3957" t="str">
        <x:v>West</x:v>
      </x:c>
      <x:c r="G3957" t="str">
        <x:v>Technology</x:v>
      </x:c>
      <x:c r="H3957" t="str">
        <x:v>Phones</x:v>
      </x:c>
      <x:c r="I3957" s="22" t="n">
        <x:v>159.984</x:v>
      </x:c>
      <x:c r="J3957" s="24" t="n">
        <x:v>2</x:v>
      </x:c>
      <x:c r="K3957" s="26" t="n">
        <x:v>0.2</x:v>
      </x:c>
      <x:c r="L3957" s="22" t="n">
        <x:v>13.998599999999989</x:v>
      </x:c>
      <x:c r="M3957" t="n">
        <x:v>2016</x:v>
      </x:c>
      <x:c r="N3957" s="20" t="n">
        <x:v>42430</x:v>
      </x:c>
    </x:row>
    <x:row r="3958" ht="18" customHeight="1">
      <x:c r="A3958" t="str">
        <x:v>CA-2017-152961</x:v>
      </x:c>
      <x:c r="B3958" s="18" t="n">
        <x:v>42750</x:v>
      </x:c>
      <x:c r="C3958" t="str">
        <x:v>SC-20095</x:v>
      </x:c>
      <x:c r="D3958" t="str">
        <x:v>Sanjit Chand</x:v>
      </x:c>
      <x:c r="E3958" t="str">
        <x:v>Consumer</x:v>
      </x:c>
      <x:c r="F3958" t="str">
        <x:v>East</x:v>
      </x:c>
      <x:c r="G3958" t="str">
        <x:v>Office Supplies</x:v>
      </x:c>
      <x:c r="H3958" t="str">
        <x:v>Paper</x:v>
      </x:c>
      <x:c r="I3958" s="22" t="n">
        <x:v>12.7</x:v>
      </x:c>
      <x:c r="J3958" s="24" t="n">
        <x:v>2</x:v>
      </x:c>
      <x:c r="K3958" s="26" t="n">
        <x:v>0</x:v>
      </x:c>
      <x:c r="L3958" s="22" t="n">
        <x:v>5.842</x:v>
      </x:c>
      <x:c r="M3958" t="n">
        <x:v>2017</x:v>
      </x:c>
      <x:c r="N3958" s="20" t="n">
        <x:v>42736</x:v>
      </x:c>
    </x:row>
    <x:row r="3959" ht="18" customHeight="1">
      <x:c r="A3959" t="str">
        <x:v>CA-2014-133228</x:v>
      </x:c>
      <x:c r="B3959" s="18" t="n">
        <x:v>41733</x:v>
      </x:c>
      <x:c r="C3959" t="str">
        <x:v>MS-17710</x:v>
      </x:c>
      <x:c r="D3959" t="str">
        <x:v>Maurice Satty</x:v>
      </x:c>
      <x:c r="E3959" t="str">
        <x:v>Consumer</x:v>
      </x:c>
      <x:c r="F3959" t="str">
        <x:v>Central</x:v>
      </x:c>
      <x:c r="G3959" t="str">
        <x:v>Furniture</x:v>
      </x:c>
      <x:c r="H3959" t="str">
        <x:v>Furnishings</x:v>
      </x:c>
      <x:c r="I3959" s="22" t="n">
        <x:v>5.47</x:v>
      </x:c>
      <x:c r="J3959" s="24" t="n">
        <x:v>1</x:v>
      </x:c>
      <x:c r="K3959" s="26" t="n">
        <x:v>0</x:v>
      </x:c>
      <x:c r="L3959" s="22" t="n">
        <x:v>2.3521</x:v>
      </x:c>
      <x:c r="M3959" t="n">
        <x:v>2014</x:v>
      </x:c>
      <x:c r="N3959" s="20" t="n">
        <x:v>41730</x:v>
      </x:c>
    </x:row>
    <x:row r="3960" ht="18" customHeight="1">
      <x:c r="A3960" t="str">
        <x:v>CA-2014-133228</x:v>
      </x:c>
      <x:c r="B3960" s="18" t="n">
        <x:v>41733</x:v>
      </x:c>
      <x:c r="C3960" t="str">
        <x:v>MS-17710</x:v>
      </x:c>
      <x:c r="D3960" t="str">
        <x:v>Maurice Satty</x:v>
      </x:c>
      <x:c r="E3960" t="str">
        <x:v>Consumer</x:v>
      </x:c>
      <x:c r="F3960" t="str">
        <x:v>Central</x:v>
      </x:c>
      <x:c r="G3960" t="str">
        <x:v>Office Supplies</x:v>
      </x:c>
      <x:c r="H3960" t="str">
        <x:v>Art</x:v>
      </x:c>
      <x:c r="I3960" s="22" t="n">
        <x:v>79.36</x:v>
      </x:c>
      <x:c r="J3960" s="24" t="n">
        <x:v>4</x:v>
      </x:c>
      <x:c r="K3960" s="26" t="n">
        <x:v>0</x:v>
      </x:c>
      <x:c r="L3960" s="22" t="n">
        <x:v>23.807999999999993</x:v>
      </x:c>
      <x:c r="M3960" t="n">
        <x:v>2014</x:v>
      </x:c>
      <x:c r="N3960" s="20" t="n">
        <x:v>41730</x:v>
      </x:c>
    </x:row>
    <x:row r="3961" ht="18" customHeight="1">
      <x:c r="A3961" t="str">
        <x:v>CA-2016-114951</x:v>
      </x:c>
      <x:c r="B3961" s="18" t="n">
        <x:v>42547</x:v>
      </x:c>
      <x:c r="C3961" t="str">
        <x:v>DN-13690</x:v>
      </x:c>
      <x:c r="D3961" t="str">
        <x:v>Duane Noonan</x:v>
      </x:c>
      <x:c r="E3961" t="str">
        <x:v>Consumer</x:v>
      </x:c>
      <x:c r="F3961" t="str">
        <x:v>West</x:v>
      </x:c>
      <x:c r="G3961" t="str">
        <x:v>Furniture</x:v>
      </x:c>
      <x:c r="H3961" t="str">
        <x:v>Furnishings</x:v>
      </x:c>
      <x:c r="I3961" s="22" t="n">
        <x:v>22.14</x:v>
      </x:c>
      <x:c r="J3961" s="24" t="n">
        <x:v>3</x:v>
      </x:c>
      <x:c r="K3961" s="26" t="n">
        <x:v>0</x:v>
      </x:c>
      <x:c r="L3961" s="22" t="n">
        <x:v>6.420599999999998</x:v>
      </x:c>
      <x:c r="M3961" t="n">
        <x:v>2016</x:v>
      </x:c>
      <x:c r="N3961" s="20" t="n">
        <x:v>42522</x:v>
      </x:c>
    </x:row>
    <x:row r="3962" ht="18" customHeight="1">
      <x:c r="A3962" t="str">
        <x:v>CA-2016-156573</x:v>
      </x:c>
      <x:c r="B3962" s="18" t="n">
        <x:v>42519</x:v>
      </x:c>
      <x:c r="C3962" t="str">
        <x:v>RB-19360</x:v>
      </x:c>
      <x:c r="D3962" t="str">
        <x:v>Raymond Buch</x:v>
      </x:c>
      <x:c r="E3962" t="str">
        <x:v>Consumer</x:v>
      </x:c>
      <x:c r="F3962" t="str">
        <x:v>South</x:v>
      </x:c>
      <x:c r="G3962" t="str">
        <x:v>Office Supplies</x:v>
      </x:c>
      <x:c r="H3962" t="str">
        <x:v>Binders</x:v>
      </x:c>
      <x:c r="I3962" s="22" t="n">
        <x:v>11.277000000000001</x:v>
      </x:c>
      <x:c r="J3962" s="24" t="n">
        <x:v>3</x:v>
      </x:c>
      <x:c r="K3962" s="26" t="n">
        <x:v>0.7</x:v>
      </x:c>
      <x:c r="L3962" s="22" t="n">
        <x:v>-8.645699999999998</x:v>
      </x:c>
      <x:c r="M3962" t="n">
        <x:v>2016</x:v>
      </x:c>
      <x:c r="N3962" s="20" t="n">
        <x:v>42491</x:v>
      </x:c>
    </x:row>
    <x:row r="3963" ht="18" customHeight="1">
      <x:c r="A3963" t="str">
        <x:v>CA-2016-156573</x:v>
      </x:c>
      <x:c r="B3963" s="18" t="n">
        <x:v>42519</x:v>
      </x:c>
      <x:c r="C3963" t="str">
        <x:v>RB-19360</x:v>
      </x:c>
      <x:c r="D3963" t="str">
        <x:v>Raymond Buch</x:v>
      </x:c>
      <x:c r="E3963" t="str">
        <x:v>Consumer</x:v>
      </x:c>
      <x:c r="F3963" t="str">
        <x:v>South</x:v>
      </x:c>
      <x:c r="G3963" t="str">
        <x:v>Office Supplies</x:v>
      </x:c>
      <x:c r="H3963" t="str">
        <x:v>Art</x:v>
      </x:c>
      <x:c r="I3963" s="22" t="n">
        <x:v>4.4479999999999995</x:v>
      </x:c>
      <x:c r="J3963" s="24" t="n">
        <x:v>2</x:v>
      </x:c>
      <x:c r="K3963" s="26" t="n">
        <x:v>0.2</x:v>
      </x:c>
      <x:c r="L3963" s="22" t="n">
        <x:v>0.3335999999999999</x:v>
      </x:c>
      <x:c r="M3963" t="n">
        <x:v>2016</x:v>
      </x:c>
      <x:c r="N3963" s="20" t="n">
        <x:v>42491</x:v>
      </x:c>
    </x:row>
    <x:row r="3964" ht="18" customHeight="1">
      <x:c r="A3964" t="str">
        <x:v>CA-2016-156573</x:v>
      </x:c>
      <x:c r="B3964" s="18" t="n">
        <x:v>42519</x:v>
      </x:c>
      <x:c r="C3964" t="str">
        <x:v>RB-19360</x:v>
      </x:c>
      <x:c r="D3964" t="str">
        <x:v>Raymond Buch</x:v>
      </x:c>
      <x:c r="E3964" t="str">
        <x:v>Consumer</x:v>
      </x:c>
      <x:c r="F3964" t="str">
        <x:v>South</x:v>
      </x:c>
      <x:c r="G3964" t="str">
        <x:v>Furniture</x:v>
      </x:c>
      <x:c r="H3964" t="str">
        <x:v>Furnishings</x:v>
      </x:c>
      <x:c r="I3964" s="22" t="n">
        <x:v>44.76</x:v>
      </x:c>
      <x:c r="J3964" s="24" t="n">
        <x:v>3</x:v>
      </x:c>
      <x:c r="K3964" s="26" t="n">
        <x:v>0.2</x:v>
      </x:c>
      <x:c r="L3964" s="22" t="n">
        <x:v>14.546999999999995</x:v>
      </x:c>
      <x:c r="M3964" t="n">
        <x:v>2016</x:v>
      </x:c>
      <x:c r="N3964" s="20" t="n">
        <x:v>42491</x:v>
      </x:c>
    </x:row>
    <x:row r="3965" ht="18" customHeight="1">
      <x:c r="A3965" t="str">
        <x:v>CA-2015-113901</x:v>
      </x:c>
      <x:c r="B3965" s="18" t="n">
        <x:v>42296</x:v>
      </x:c>
      <x:c r="C3965" t="str">
        <x:v>NH-18610</x:v>
      </x:c>
      <x:c r="D3965" t="str">
        <x:v>Nicole Hansen</x:v>
      </x:c>
      <x:c r="E3965" t="str">
        <x:v>Corporate</x:v>
      </x:c>
      <x:c r="F3965" t="str">
        <x:v>Central</x:v>
      </x:c>
      <x:c r="G3965" t="str">
        <x:v>Office Supplies</x:v>
      </x:c>
      <x:c r="H3965" t="str">
        <x:v>Binders</x:v>
      </x:c>
      <x:c r="I3965" s="22" t="n">
        <x:v>38.28</x:v>
      </x:c>
      <x:c r="J3965" s="24" t="n">
        <x:v>6</x:v>
      </x:c>
      <x:c r="K3965" s="26" t="n">
        <x:v>0</x:v>
      </x:c>
      <x:c r="L3965" s="22" t="n">
        <x:v>17.6088</x:v>
      </x:c>
      <x:c r="M3965" t="n">
        <x:v>2015</x:v>
      </x:c>
      <x:c r="N3965" s="20" t="n">
        <x:v>42278</x:v>
      </x:c>
    </x:row>
    <x:row r="3966" ht="18" customHeight="1">
      <x:c r="A3966" t="str">
        <x:v>CA-2015-113901</x:v>
      </x:c>
      <x:c r="B3966" s="18" t="n">
        <x:v>42296</x:v>
      </x:c>
      <x:c r="C3966" t="str">
        <x:v>NH-18610</x:v>
      </x:c>
      <x:c r="D3966" t="str">
        <x:v>Nicole Hansen</x:v>
      </x:c>
      <x:c r="E3966" t="str">
        <x:v>Corporate</x:v>
      </x:c>
      <x:c r="F3966" t="str">
        <x:v>Central</x:v>
      </x:c>
      <x:c r="G3966" t="str">
        <x:v>Technology</x:v>
      </x:c>
      <x:c r="H3966" t="str">
        <x:v>Phones</x:v>
      </x:c>
      <x:c r="I3966" s="22" t="n">
        <x:v>149.95</x:v>
      </x:c>
      <x:c r="J3966" s="24" t="n">
        <x:v>5</x:v>
      </x:c>
      <x:c r="K3966" s="26" t="n">
        <x:v>0</x:v>
      </x:c>
      <x:c r="L3966" s="22" t="n">
        <x:v>44.984999999999985</x:v>
      </x:c>
      <x:c r="M3966" t="n">
        <x:v>2015</x:v>
      </x:c>
      <x:c r="N3966" s="20" t="n">
        <x:v>42278</x:v>
      </x:c>
    </x:row>
    <x:row r="3967" ht="18" customHeight="1">
      <x:c r="A3967" t="str">
        <x:v>CA-2017-134838</x:v>
      </x:c>
      <x:c r="B3967" s="18" t="n">
        <x:v>42785</x:v>
      </x:c>
      <x:c r="C3967" t="str">
        <x:v>ED-13885</x:v>
      </x:c>
      <x:c r="D3967" t="str">
        <x:v>Emily Ducich</x:v>
      </x:c>
      <x:c r="E3967" t="str">
        <x:v>Home Office</x:v>
      </x:c>
      <x:c r="F3967" t="str">
        <x:v>West</x:v>
      </x:c>
      <x:c r="G3967" t="str">
        <x:v>Office Supplies</x:v>
      </x:c>
      <x:c r="H3967" t="str">
        <x:v>Art</x:v>
      </x:c>
      <x:c r="I3967" s="22" t="n">
        <x:v>12.84</x:v>
      </x:c>
      <x:c r="J3967" s="24" t="n">
        <x:v>3</x:v>
      </x:c>
      <x:c r="K3967" s="26" t="n">
        <x:v>0</x:v>
      </x:c>
      <x:c r="L3967" s="22" t="n">
        <x:v>3.4668000000000005</x:v>
      </x:c>
      <x:c r="M3967" t="n">
        <x:v>2017</x:v>
      </x:c>
      <x:c r="N3967" s="20" t="n">
        <x:v>42767</x:v>
      </x:c>
    </x:row>
    <x:row r="3968" ht="18" customHeight="1">
      <x:c r="A3968" t="str">
        <x:v>CA-2017-134838</x:v>
      </x:c>
      <x:c r="B3968" s="18" t="n">
        <x:v>42785</x:v>
      </x:c>
      <x:c r="C3968" t="str">
        <x:v>ED-13885</x:v>
      </x:c>
      <x:c r="D3968" t="str">
        <x:v>Emily Ducich</x:v>
      </x:c>
      <x:c r="E3968" t="str">
        <x:v>Home Office</x:v>
      </x:c>
      <x:c r="F3968" t="str">
        <x:v>West</x:v>
      </x:c>
      <x:c r="G3968" t="str">
        <x:v>Furniture</x:v>
      </x:c>
      <x:c r="H3968" t="str">
        <x:v>Furnishings</x:v>
      </x:c>
      <x:c r="I3968" s="22" t="n">
        <x:v>44.67</x:v>
      </x:c>
      <x:c r="J3968" s="24" t="n">
        <x:v>3</x:v>
      </x:c>
      <x:c r="K3968" s="26" t="n">
        <x:v>0</x:v>
      </x:c>
      <x:c r="L3968" s="22" t="n">
        <x:v>12.060900000000002</x:v>
      </x:c>
      <x:c r="M3968" t="n">
        <x:v>2017</x:v>
      </x:c>
      <x:c r="N3968" s="20" t="n">
        <x:v>42767</x:v>
      </x:c>
    </x:row>
    <x:row r="3969" ht="18" customHeight="1">
      <x:c r="A3969" t="str">
        <x:v>CA-2016-120257</x:v>
      </x:c>
      <x:c r="B3969" s="18" t="n">
        <x:v>42635</x:v>
      </x:c>
      <x:c r="C3969" t="str">
        <x:v>PW-19240</x:v>
      </x:c>
      <x:c r="D3969" t="str">
        <x:v>Pierre Wener</x:v>
      </x:c>
      <x:c r="E3969" t="str">
        <x:v>Consumer</x:v>
      </x:c>
      <x:c r="F3969" t="str">
        <x:v>East</x:v>
      </x:c>
      <x:c r="G3969" t="str">
        <x:v>Office Supplies</x:v>
      </x:c>
      <x:c r="H3969" t="str">
        <x:v>Art</x:v>
      </x:c>
      <x:c r="I3969" s="22" t="n">
        <x:v>7.872</x:v>
      </x:c>
      <x:c r="J3969" s="24" t="n">
        <x:v>3</x:v>
      </x:c>
      <x:c r="K3969" s="26" t="n">
        <x:v>0.2</x:v>
      </x:c>
      <x:c r="L3969" s="22" t="n">
        <x:v>0.8855999999999988</x:v>
      </x:c>
      <x:c r="M3969" t="n">
        <x:v>2016</x:v>
      </x:c>
      <x:c r="N3969" s="20" t="n">
        <x:v>42614</x:v>
      </x:c>
    </x:row>
    <x:row r="3970" ht="18" customHeight="1">
      <x:c r="A3970" t="str">
        <x:v>CA-2014-164910</x:v>
      </x:c>
      <x:c r="B3970" s="18" t="n">
        <x:v>41955</x:v>
      </x:c>
      <x:c r="C3970" t="str">
        <x:v>DM-13345</x:v>
      </x:c>
      <x:c r="D3970" t="str">
        <x:v>Denise Monton</x:v>
      </x:c>
      <x:c r="E3970" t="str">
        <x:v>Corporate</x:v>
      </x:c>
      <x:c r="F3970" t="str">
        <x:v>South</x:v>
      </x:c>
      <x:c r="G3970" t="str">
        <x:v>Office Supplies</x:v>
      </x:c>
      <x:c r="H3970" t="str">
        <x:v>Art</x:v>
      </x:c>
      <x:c r="I3970" s="22" t="n">
        <x:v>7.872</x:v>
      </x:c>
      <x:c r="J3970" s="24" t="n">
        <x:v>3</x:v>
      </x:c>
      <x:c r="K3970" s="26" t="n">
        <x:v>0.2</x:v>
      </x:c>
      <x:c r="L3970" s="22" t="n">
        <x:v>0.8855999999999988</x:v>
      </x:c>
      <x:c r="M3970" t="n">
        <x:v>2014</x:v>
      </x:c>
      <x:c r="N3970" s="20" t="n">
        <x:v>41944</x:v>
      </x:c>
    </x:row>
    <x:row r="3971" ht="18" customHeight="1">
      <x:c r="A3971" t="str">
        <x:v>CA-2016-149902</x:v>
      </x:c>
      <x:c r="B3971" s="18" t="n">
        <x:v>42461</x:v>
      </x:c>
      <x:c r="C3971" t="str">
        <x:v>DW-13540</x:v>
      </x:c>
      <x:c r="D3971" t="str">
        <x:v>Don Weiss</x:v>
      </x:c>
      <x:c r="E3971" t="str">
        <x:v>Consumer</x:v>
      </x:c>
      <x:c r="F3971" t="str">
        <x:v>East</x:v>
      </x:c>
      <x:c r="G3971" t="str">
        <x:v>Office Supplies</x:v>
      </x:c>
      <x:c r="H3971" t="str">
        <x:v>Art</x:v>
      </x:c>
      <x:c r="I3971" s="22" t="n">
        <x:v>88.04</x:v>
      </x:c>
      <x:c r="J3971" s="24" t="n">
        <x:v>4</x:v>
      </x:c>
      <x:c r="K3971" s="26" t="n">
        <x:v>0</x:v>
      </x:c>
      <x:c r="L3971" s="22" t="n">
        <x:v>22.8904</x:v>
      </x:c>
      <x:c r="M3971" t="n">
        <x:v>2016</x:v>
      </x:c>
      <x:c r="N3971" s="20" t="n">
        <x:v>42461</x:v>
      </x:c>
    </x:row>
    <x:row r="3972" ht="18" customHeight="1">
      <x:c r="A3972" t="str">
        <x:v>CA-2016-146010</x:v>
      </x:c>
      <x:c r="B3972" s="18" t="n">
        <x:v>42510</x:v>
      </x:c>
      <x:c r="C3972" t="str">
        <x:v>EH-14125</x:v>
      </x:c>
      <x:c r="D3972" t="str">
        <x:v>Eugene Hildebrand</x:v>
      </x:c>
      <x:c r="E3972" t="str">
        <x:v>Home Office</x:v>
      </x:c>
      <x:c r="F3972" t="str">
        <x:v>West</x:v>
      </x:c>
      <x:c r="G3972" t="str">
        <x:v>Office Supplies</x:v>
      </x:c>
      <x:c r="H3972" t="str">
        <x:v>Binders</x:v>
      </x:c>
      <x:c r="I3972" s="22" t="n">
        <x:v>40.63500000000001</x:v>
      </x:c>
      <x:c r="J3972" s="24" t="n">
        <x:v>7</x:v>
      </x:c>
      <x:c r="K3972" s="26" t="n">
        <x:v>0.7</x:v>
      </x:c>
      <x:c r="L3972" s="22" t="n">
        <x:v>-32.507999999999996</x:v>
      </x:c>
      <x:c r="M3972" t="n">
        <x:v>2016</x:v>
      </x:c>
      <x:c r="N3972" s="20" t="n">
        <x:v>42491</x:v>
      </x:c>
    </x:row>
    <x:row r="3973" ht="18" customHeight="1">
      <x:c r="A3973" t="str">
        <x:v>US-2015-163685</x:v>
      </x:c>
      <x:c r="B3973" s="18" t="n">
        <x:v>42156</x:v>
      </x:c>
      <x:c r="C3973" t="str">
        <x:v>KE-16420</x:v>
      </x:c>
      <x:c r="D3973" t="str">
        <x:v>Katrina Edelman</x:v>
      </x:c>
      <x:c r="E3973" t="str">
        <x:v>Corporate</x:v>
      </x:c>
      <x:c r="F3973" t="str">
        <x:v>Central</x:v>
      </x:c>
      <x:c r="G3973" t="str">
        <x:v>Office Supplies</x:v>
      </x:c>
      <x:c r="H3973" t="str">
        <x:v>Binders</x:v>
      </x:c>
      <x:c r="I3973" s="22" t="n">
        <x:v>5.727999999999999</x:v>
      </x:c>
      <x:c r="J3973" s="24" t="n">
        <x:v>8</x:v>
      </x:c>
      <x:c r="K3973" s="26" t="n">
        <x:v>0.8</x:v>
      </x:c>
      <x:c r="L3973" s="22" t="n">
        <x:v>-9.164800000000003</x:v>
      </x:c>
      <x:c r="M3973" t="n">
        <x:v>2015</x:v>
      </x:c>
      <x:c r="N3973" s="20" t="n">
        <x:v>42156</x:v>
      </x:c>
    </x:row>
    <x:row r="3974" ht="18" customHeight="1">
      <x:c r="A3974" t="str">
        <x:v>US-2015-163685</x:v>
      </x:c>
      <x:c r="B3974" s="18" t="n">
        <x:v>42156</x:v>
      </x:c>
      <x:c r="C3974" t="str">
        <x:v>KE-16420</x:v>
      </x:c>
      <x:c r="D3974" t="str">
        <x:v>Katrina Edelman</x:v>
      </x:c>
      <x:c r="E3974" t="str">
        <x:v>Corporate</x:v>
      </x:c>
      <x:c r="F3974" t="str">
        <x:v>Central</x:v>
      </x:c>
      <x:c r="G3974" t="str">
        <x:v>Office Supplies</x:v>
      </x:c>
      <x:c r="H3974" t="str">
        <x:v>Paper</x:v>
      </x:c>
      <x:c r="I3974" s="22" t="n">
        <x:v>42.24</x:v>
      </x:c>
      <x:c r="J3974" s="24" t="n">
        <x:v>10</x:v>
      </x:c>
      <x:c r="K3974" s="26" t="n">
        <x:v>0.2</x:v>
      </x:c>
      <x:c r="L3974" s="22" t="n">
        <x:v>13.199999999999998</x:v>
      </x:c>
      <x:c r="M3974" t="n">
        <x:v>2015</x:v>
      </x:c>
      <x:c r="N3974" s="20" t="n">
        <x:v>42156</x:v>
      </x:c>
    </x:row>
    <x:row r="3975" ht="18" customHeight="1">
      <x:c r="A3975" t="str">
        <x:v>CA-2014-135090</x:v>
      </x:c>
      <x:c r="B3975" s="18" t="n">
        <x:v>41965</x:v>
      </x:c>
      <x:c r="C3975" t="str">
        <x:v>SP-20920</x:v>
      </x:c>
      <x:c r="D3975" t="str">
        <x:v>Susan Pistek</x:v>
      </x:c>
      <x:c r="E3975" t="str">
        <x:v>Consumer</x:v>
      </x:c>
      <x:c r="F3975" t="str">
        <x:v>West</x:v>
      </x:c>
      <x:c r="G3975" t="str">
        <x:v>Office Supplies</x:v>
      </x:c>
      <x:c r="H3975" t="str">
        <x:v>Paper</x:v>
      </x:c>
      <x:c r="I3975" s="22" t="n">
        <x:v>53.82000000000001</x:v>
      </x:c>
      <x:c r="J3975" s="24" t="n">
        <x:v>9</x:v>
      </x:c>
      <x:c r="K3975" s="26" t="n">
        <x:v>0</x:v>
      </x:c>
      <x:c r="L3975" s="22" t="n">
        <x:v>24.218999999999998</x:v>
      </x:c>
      <x:c r="M3975" t="n">
        <x:v>2014</x:v>
      </x:c>
      <x:c r="N3975" s="20" t="n">
        <x:v>41944</x:v>
      </x:c>
    </x:row>
    <x:row r="3976" ht="18" customHeight="1">
      <x:c r="A3976" t="str">
        <x:v>CA-2015-132374</x:v>
      </x:c>
      <x:c r="B3976" s="18" t="n">
        <x:v>42057</x:v>
      </x:c>
      <x:c r="C3976" t="str">
        <x:v>PS-19045</x:v>
      </x:c>
      <x:c r="D3976" t="str">
        <x:v>Penelope Sewall</x:v>
      </x:c>
      <x:c r="E3976" t="str">
        <x:v>Home Office</x:v>
      </x:c>
      <x:c r="F3976" t="str">
        <x:v>Central</x:v>
      </x:c>
      <x:c r="G3976" t="str">
        <x:v>Office Supplies</x:v>
      </x:c>
      <x:c r="H3976" t="str">
        <x:v>Art</x:v>
      </x:c>
      <x:c r="I3976" s="22" t="n">
        <x:v>79.36</x:v>
      </x:c>
      <x:c r="J3976" s="24" t="n">
        <x:v>4</x:v>
      </x:c>
      <x:c r="K3976" s="26" t="n">
        <x:v>0</x:v>
      </x:c>
      <x:c r="L3976" s="22" t="n">
        <x:v>20.6336</x:v>
      </x:c>
      <x:c r="M3976" t="n">
        <x:v>2015</x:v>
      </x:c>
      <x:c r="N3976" s="20" t="n">
        <x:v>42036</x:v>
      </x:c>
    </x:row>
    <x:row r="3977" ht="18" customHeight="1">
      <x:c r="A3977" t="str">
        <x:v>CA-2016-167556</x:v>
      </x:c>
      <x:c r="B3977" s="18" t="n">
        <x:v>42458</x:v>
      </x:c>
      <x:c r="C3977" t="str">
        <x:v>JM-15250</x:v>
      </x:c>
      <x:c r="D3977" t="str">
        <x:v>Janet Martin</x:v>
      </x:c>
      <x:c r="E3977" t="str">
        <x:v>Consumer</x:v>
      </x:c>
      <x:c r="F3977" t="str">
        <x:v>East</x:v>
      </x:c>
      <x:c r="G3977" t="str">
        <x:v>Office Supplies</x:v>
      </x:c>
      <x:c r="H3977" t="str">
        <x:v>Paper</x:v>
      </x:c>
      <x:c r="I3977" s="22" t="n">
        <x:v>13.48</x:v>
      </x:c>
      <x:c r="J3977" s="24" t="n">
        <x:v>2</x:v>
      </x:c>
      <x:c r="K3977" s="26" t="n">
        <x:v>0</x:v>
      </x:c>
      <x:c r="L3977" s="22" t="n">
        <x:v>6.74</x:v>
      </x:c>
      <x:c r="M3977" t="n">
        <x:v>2016</x:v>
      </x:c>
      <x:c r="N3977" s="20" t="n">
        <x:v>42430</x:v>
      </x:c>
    </x:row>
    <x:row r="3978" ht="18" customHeight="1">
      <x:c r="A3978" t="str">
        <x:v>CA-2016-167556</x:v>
      </x:c>
      <x:c r="B3978" s="18" t="n">
        <x:v>42458</x:v>
      </x:c>
      <x:c r="C3978" t="str">
        <x:v>JM-15250</x:v>
      </x:c>
      <x:c r="D3978" t="str">
        <x:v>Janet Martin</x:v>
      </x:c>
      <x:c r="E3978" t="str">
        <x:v>Consumer</x:v>
      </x:c>
      <x:c r="F3978" t="str">
        <x:v>East</x:v>
      </x:c>
      <x:c r="G3978" t="str">
        <x:v>Office Supplies</x:v>
      </x:c>
      <x:c r="H3978" t="str">
        <x:v>Binders</x:v>
      </x:c>
      <x:c r="I3978" s="22" t="n">
        <x:v>29.800000000000004</x:v>
      </x:c>
      <x:c r="J3978" s="24" t="n">
        <x:v>5</x:v>
      </x:c>
      <x:c r="K3978" s="26" t="n">
        <x:v>0.2</x:v>
      </x:c>
      <x:c r="L3978" s="22" t="n">
        <x:v>9.312499999999998</x:v>
      </x:c>
      <x:c r="M3978" t="n">
        <x:v>2016</x:v>
      </x:c>
      <x:c r="N3978" s="20" t="n">
        <x:v>42430</x:v>
      </x:c>
    </x:row>
    <x:row r="3979" ht="18" customHeight="1">
      <x:c r="A3979" t="str">
        <x:v>CA-2016-167556</x:v>
      </x:c>
      <x:c r="B3979" s="18" t="n">
        <x:v>42458</x:v>
      </x:c>
      <x:c r="C3979" t="str">
        <x:v>JM-15250</x:v>
      </x:c>
      <x:c r="D3979" t="str">
        <x:v>Janet Martin</x:v>
      </x:c>
      <x:c r="E3979" t="str">
        <x:v>Consumer</x:v>
      </x:c>
      <x:c r="F3979" t="str">
        <x:v>East</x:v>
      </x:c>
      <x:c r="G3979" t="str">
        <x:v>Furniture</x:v>
      </x:c>
      <x:c r="H3979" t="str">
        <x:v>Furnishings</x:v>
      </x:c>
      <x:c r="I3979" s="22" t="n">
        <x:v>414</x:v>
      </x:c>
      <x:c r="J3979" s="24" t="n">
        <x:v>8</x:v>
      </x:c>
      <x:c r="K3979" s="26" t="n">
        <x:v>0</x:v>
      </x:c>
      <x:c r="L3979" s="22" t="n">
        <x:v>124.19999999999999</x:v>
      </x:c>
      <x:c r="M3979" t="n">
        <x:v>2016</x:v>
      </x:c>
      <x:c r="N3979" s="20" t="n">
        <x:v>42430</x:v>
      </x:c>
    </x:row>
    <x:row r="3980" ht="18" customHeight="1">
      <x:c r="A3980" t="str">
        <x:v>CA-2016-167556</x:v>
      </x:c>
      <x:c r="B3980" s="18" t="n">
        <x:v>42458</x:v>
      </x:c>
      <x:c r="C3980" t="str">
        <x:v>JM-15250</x:v>
      </x:c>
      <x:c r="D3980" t="str">
        <x:v>Janet Martin</x:v>
      </x:c>
      <x:c r="E3980" t="str">
        <x:v>Consumer</x:v>
      </x:c>
      <x:c r="F3980" t="str">
        <x:v>East</x:v>
      </x:c>
      <x:c r="G3980" t="str">
        <x:v>Office Supplies</x:v>
      </x:c>
      <x:c r="H3980" t="str">
        <x:v>Binders</x:v>
      </x:c>
      <x:c r="I3980" s="22" t="n">
        <x:v>41.328</x:v>
      </x:c>
      <x:c r="J3980" s="24" t="n">
        <x:v>7</x:v>
      </x:c>
      <x:c r="K3980" s="26" t="n">
        <x:v>0.2</x:v>
      </x:c>
      <x:c r="L3980" s="22" t="n">
        <x:v>14.9814</x:v>
      </x:c>
      <x:c r="M3980" t="n">
        <x:v>2016</x:v>
      </x:c>
      <x:c r="N3980" s="20" t="n">
        <x:v>42430</x:v>
      </x:c>
    </x:row>
    <x:row r="3981" ht="18" customHeight="1">
      <x:c r="A3981" t="str">
        <x:v>US-2016-116400</x:v>
      </x:c>
      <x:c r="B3981" s="18" t="n">
        <x:v>42665</x:v>
      </x:c>
      <x:c r="C3981" t="str">
        <x:v>EB-13930</x:v>
      </x:c>
      <x:c r="D3981" t="str">
        <x:v>Eric Barreto</x:v>
      </x:c>
      <x:c r="E3981" t="str">
        <x:v>Consumer</x:v>
      </x:c>
      <x:c r="F3981" t="str">
        <x:v>South</x:v>
      </x:c>
      <x:c r="G3981" t="str">
        <x:v>Furniture</x:v>
      </x:c>
      <x:c r="H3981" t="str">
        <x:v>Furnishings</x:v>
      </x:c>
      <x:c r="I3981" s="22" t="n">
        <x:v>39.92</x:v>
      </x:c>
      <x:c r="J3981" s="24" t="n">
        <x:v>4</x:v>
      </x:c>
      <x:c r="K3981" s="26" t="n">
        <x:v>0</x:v>
      </x:c>
      <x:c r="L3981" s="22" t="n">
        <x:v>11.177600000000002</x:v>
      </x:c>
      <x:c r="M3981" t="n">
        <x:v>2016</x:v>
      </x:c>
      <x:c r="N3981" s="20" t="n">
        <x:v>42644</x:v>
      </x:c>
    </x:row>
    <x:row r="3982" ht="18" customHeight="1">
      <x:c r="A3982" t="str">
        <x:v>CA-2017-101308</x:v>
      </x:c>
      <x:c r="B3982" s="18" t="n">
        <x:v>43010</x:v>
      </x:c>
      <x:c r="C3982" t="str">
        <x:v>FG-14260</x:v>
      </x:c>
      <x:c r="D3982" t="str">
        <x:v>Frank Gastineau</x:v>
      </x:c>
      <x:c r="E3982" t="str">
        <x:v>Home Office</x:v>
      </x:c>
      <x:c r="F3982" t="str">
        <x:v>West</x:v>
      </x:c>
      <x:c r="G3982" t="str">
        <x:v>Office Supplies</x:v>
      </x:c>
      <x:c r="H3982" t="str">
        <x:v>Fasteners</x:v>
      </x:c>
      <x:c r="I3982" s="22" t="n">
        <x:v>8.94</x:v>
      </x:c>
      <x:c r="J3982" s="24" t="n">
        <x:v>3</x:v>
      </x:c>
      <x:c r="K3982" s="26" t="n">
        <x:v>0</x:v>
      </x:c>
      <x:c r="L3982" s="22" t="n">
        <x:v>4.112399999999999</x:v>
      </x:c>
      <x:c r="M3982" t="n">
        <x:v>2017</x:v>
      </x:c>
      <x:c r="N3982" s="20" t="n">
        <x:v>43009</x:v>
      </x:c>
    </x:row>
    <x:row r="3983" ht="18" customHeight="1">
      <x:c r="A3983" t="str">
        <x:v>CA-2017-101308</x:v>
      </x:c>
      <x:c r="B3983" s="18" t="n">
        <x:v>43010</x:v>
      </x:c>
      <x:c r="C3983" t="str">
        <x:v>FG-14260</x:v>
      </x:c>
      <x:c r="D3983" t="str">
        <x:v>Frank Gastineau</x:v>
      </x:c>
      <x:c r="E3983" t="str">
        <x:v>Home Office</x:v>
      </x:c>
      <x:c r="F3983" t="str">
        <x:v>West</x:v>
      </x:c>
      <x:c r="G3983" t="str">
        <x:v>Technology</x:v>
      </x:c>
      <x:c r="H3983" t="str">
        <x:v>Phones</x:v>
      </x:c>
      <x:c r="I3983" s="22" t="n">
        <x:v>84.784</x:v>
      </x:c>
      <x:c r="J3983" s="24" t="n">
        <x:v>2</x:v>
      </x:c>
      <x:c r="K3983" s="26" t="n">
        <x:v>0.2</x:v>
      </x:c>
      <x:c r="L3983" s="22" t="n">
        <x:v>-20.136200000000006</x:v>
      </x:c>
      <x:c r="M3983" t="n">
        <x:v>2017</x:v>
      </x:c>
      <x:c r="N3983" s="20" t="n">
        <x:v>43009</x:v>
      </x:c>
    </x:row>
    <x:row r="3984" ht="18" customHeight="1">
      <x:c r="A3984" t="str">
        <x:v>CA-2014-114517</x:v>
      </x:c>
      <x:c r="B3984" s="18" t="n">
        <x:v>41996</x:v>
      </x:c>
      <x:c r="C3984" t="str">
        <x:v>TH-21235</x:v>
      </x:c>
      <x:c r="D3984" t="str">
        <x:v>Tiffany House</x:v>
      </x:c>
      <x:c r="E3984" t="str">
        <x:v>Corporate</x:v>
      </x:c>
      <x:c r="F3984" t="str">
        <x:v>East</x:v>
      </x:c>
      <x:c r="G3984" t="str">
        <x:v>Furniture</x:v>
      </x:c>
      <x:c r="H3984" t="str">
        <x:v>Tables</x:v>
      </x:c>
      <x:c r="I3984" s="22" t="n">
        <x:v>53.315999999999995</x:v>
      </x:c>
      <x:c r="J3984" s="24" t="n">
        <x:v>2</x:v>
      </x:c>
      <x:c r="K3984" s="26" t="n">
        <x:v>0.4</x:v>
      </x:c>
      <x:c r="L3984" s="22" t="n">
        <x:v>-19.549200000000006</x:v>
      </x:c>
      <x:c r="M3984" t="n">
        <x:v>2014</x:v>
      </x:c>
      <x:c r="N3984" s="20" t="n">
        <x:v>41974</x:v>
      </x:c>
    </x:row>
    <x:row r="3985" ht="18" customHeight="1">
      <x:c r="A3985" t="str">
        <x:v>CA-2014-114517</x:v>
      </x:c>
      <x:c r="B3985" s="18" t="n">
        <x:v>41996</x:v>
      </x:c>
      <x:c r="C3985" t="str">
        <x:v>TH-21235</x:v>
      </x:c>
      <x:c r="D3985" t="str">
        <x:v>Tiffany House</x:v>
      </x:c>
      <x:c r="E3985" t="str">
        <x:v>Corporate</x:v>
      </x:c>
      <x:c r="F3985" t="str">
        <x:v>East</x:v>
      </x:c>
      <x:c r="G3985" t="str">
        <x:v>Office Supplies</x:v>
      </x:c>
      <x:c r="H3985" t="str">
        <x:v>Appliances</x:v>
      </x:c>
      <x:c r="I3985" s="22" t="n">
        <x:v>56.519999999999996</x:v>
      </x:c>
      <x:c r="J3985" s="24" t="n">
        <x:v>3</x:v>
      </x:c>
      <x:c r="K3985" s="26" t="n">
        <x:v>0</x:v>
      </x:c>
      <x:c r="L3985" s="22" t="n">
        <x:v>15.8256</x:v>
      </x:c>
      <x:c r="M3985" t="n">
        <x:v>2014</x:v>
      </x:c>
      <x:c r="N3985" s="20" t="n">
        <x:v>41974</x:v>
      </x:c>
    </x:row>
    <x:row r="3986" ht="18" customHeight="1">
      <x:c r="A3986" t="str">
        <x:v>CA-2017-119564</x:v>
      </x:c>
      <x:c r="B3986" s="18" t="n">
        <x:v>43084</x:v>
      </x:c>
      <x:c r="C3986" t="str">
        <x:v>PL-18925</x:v>
      </x:c>
      <x:c r="D3986" t="str">
        <x:v>Paul Lucas</x:v>
      </x:c>
      <x:c r="E3986" t="str">
        <x:v>Home Office</x:v>
      </x:c>
      <x:c r="F3986" t="str">
        <x:v>West</x:v>
      </x:c>
      <x:c r="G3986" t="str">
        <x:v>Furniture</x:v>
      </x:c>
      <x:c r="H3986" t="str">
        <x:v>Furnishings</x:v>
      </x:c>
      <x:c r="I3986" s="22" t="n">
        <x:v>22.77</x:v>
      </x:c>
      <x:c r="J3986" s="24" t="n">
        <x:v>3</x:v>
      </x:c>
      <x:c r="K3986" s="26" t="n">
        <x:v>0</x:v>
      </x:c>
      <x:c r="L3986" s="22" t="n">
        <x:v>9.7911</x:v>
      </x:c>
      <x:c r="M3986" t="n">
        <x:v>2017</x:v>
      </x:c>
      <x:c r="N3986" s="20" t="n">
        <x:v>43070</x:v>
      </x:c>
    </x:row>
    <x:row r="3987" ht="18" customHeight="1">
      <x:c r="A3987" t="str">
        <x:v>CA-2016-135265</x:v>
      </x:c>
      <x:c r="B3987" s="18" t="n">
        <x:v>42558</x:v>
      </x:c>
      <x:c r="C3987" t="str">
        <x:v>CC-12370</x:v>
      </x:c>
      <x:c r="D3987" t="str">
        <x:v>Christopher Conant</x:v>
      </x:c>
      <x:c r="E3987" t="str">
        <x:v>Consumer</x:v>
      </x:c>
      <x:c r="F3987" t="str">
        <x:v>West</x:v>
      </x:c>
      <x:c r="G3987" t="str">
        <x:v>Furniture</x:v>
      </x:c>
      <x:c r="H3987" t="str">
        <x:v>Chairs</x:v>
      </x:c>
      <x:c r="I3987" s="22" t="n">
        <x:v>287.968</x:v>
      </x:c>
      <x:c r="J3987" s="24" t="n">
        <x:v>4</x:v>
      </x:c>
      <x:c r="K3987" s="26" t="n">
        <x:v>0.2</x:v>
      </x:c>
      <x:c r="L3987" s="22" t="n">
        <x:v>-3.599600000000052</x:v>
      </x:c>
      <x:c r="M3987" t="n">
        <x:v>2016</x:v>
      </x:c>
      <x:c r="N3987" s="20" t="n">
        <x:v>42552</x:v>
      </x:c>
    </x:row>
    <x:row r="3988" ht="18" customHeight="1">
      <x:c r="A3988" t="str">
        <x:v>CA-2016-135265</x:v>
      </x:c>
      <x:c r="B3988" s="18" t="n">
        <x:v>42558</x:v>
      </x:c>
      <x:c r="C3988" t="str">
        <x:v>CC-12370</x:v>
      </x:c>
      <x:c r="D3988" t="str">
        <x:v>Christopher Conant</x:v>
      </x:c>
      <x:c r="E3988" t="str">
        <x:v>Consumer</x:v>
      </x:c>
      <x:c r="F3988" t="str">
        <x:v>West</x:v>
      </x:c>
      <x:c r="G3988" t="str">
        <x:v>Technology</x:v>
      </x:c>
      <x:c r="H3988" t="str">
        <x:v>Copiers</x:v>
      </x:c>
      <x:c r="I3988" s="22" t="n">
        <x:v>2799.9600000000005</x:v>
      </x:c>
      <x:c r="J3988" s="24" t="n">
        <x:v>5</x:v>
      </x:c>
      <x:c r="K3988" s="26" t="n">
        <x:v>0.2</x:v>
      </x:c>
      <x:c r="L3988" s="22" t="n">
        <x:v>944.9864999999999</x:v>
      </x:c>
      <x:c r="M3988" t="n">
        <x:v>2016</x:v>
      </x:c>
      <x:c r="N3988" s="20" t="n">
        <x:v>42552</x:v>
      </x:c>
    </x:row>
    <x:row r="3989" ht="18" customHeight="1">
      <x:c r="A3989" t="str">
        <x:v>CA-2016-135265</x:v>
      </x:c>
      <x:c r="B3989" s="18" t="n">
        <x:v>42558</x:v>
      </x:c>
      <x:c r="C3989" t="str">
        <x:v>CC-12370</x:v>
      </x:c>
      <x:c r="D3989" t="str">
        <x:v>Christopher Conant</x:v>
      </x:c>
      <x:c r="E3989" t="str">
        <x:v>Consumer</x:v>
      </x:c>
      <x:c r="F3989" t="str">
        <x:v>West</x:v>
      </x:c>
      <x:c r="G3989" t="str">
        <x:v>Office Supplies</x:v>
      </x:c>
      <x:c r="H3989" t="str">
        <x:v>Paper</x:v>
      </x:c>
      <x:c r="I3989" s="22" t="n">
        <x:v>48.94</x:v>
      </x:c>
      <x:c r="J3989" s="24" t="n">
        <x:v>1</x:v>
      </x:c>
      <x:c r="K3989" s="26" t="n">
        <x:v>0</x:v>
      </x:c>
      <x:c r="L3989" s="22" t="n">
        <x:v>24.47</x:v>
      </x:c>
      <x:c r="M3989" t="n">
        <x:v>2016</x:v>
      </x:c>
      <x:c r="N3989" s="20" t="n">
        <x:v>42552</x:v>
      </x:c>
    </x:row>
    <x:row r="3990" ht="18" customHeight="1">
      <x:c r="A3990" t="str">
        <x:v>CA-2016-108735</x:v>
      </x:c>
      <x:c r="B3990" s="18" t="n">
        <x:v>42477</x:v>
      </x:c>
      <x:c r="C3990" t="str">
        <x:v>JM-15535</x:v>
      </x:c>
      <x:c r="D3990" t="str">
        <x:v>Jessica Myrick</x:v>
      </x:c>
      <x:c r="E3990" t="str">
        <x:v>Consumer</x:v>
      </x:c>
      <x:c r="F3990" t="str">
        <x:v>West</x:v>
      </x:c>
      <x:c r="G3990" t="str">
        <x:v>Furniture</x:v>
      </x:c>
      <x:c r="H3990" t="str">
        <x:v>Bookcases</x:v>
      </x:c>
      <x:c r="I3990" s="22" t="n">
        <x:v>257.499</x:v>
      </x:c>
      <x:c r="J3990" s="24" t="n">
        <x:v>3</x:v>
      </x:c>
      <x:c r="K3990" s="26" t="n">
        <x:v>0.15</x:v>
      </x:c>
      <x:c r="L3990" s="22" t="n">
        <x:v>24.235199999999978</x:v>
      </x:c>
      <x:c r="M3990" t="n">
        <x:v>2016</x:v>
      </x:c>
      <x:c r="N3990" s="20" t="n">
        <x:v>42461</x:v>
      </x:c>
    </x:row>
    <x:row r="3991" ht="18" customHeight="1">
      <x:c r="A3991" t="str">
        <x:v>CA-2017-112333</x:v>
      </x:c>
      <x:c r="B3991" s="18" t="n">
        <x:v>42833</x:v>
      </x:c>
      <x:c r="C3991" t="str">
        <x:v>KF-16285</x:v>
      </x:c>
      <x:c r="D3991" t="str">
        <x:v>Karen Ferguson</x:v>
      </x:c>
      <x:c r="E3991" t="str">
        <x:v>Home Office</x:v>
      </x:c>
      <x:c r="F3991" t="str">
        <x:v>East</x:v>
      </x:c>
      <x:c r="G3991" t="str">
        <x:v>Office Supplies</x:v>
      </x:c>
      <x:c r="H3991" t="str">
        <x:v>Storage</x:v>
      </x:c>
      <x:c r="I3991" s="22" t="n">
        <x:v>2591.56</x:v>
      </x:c>
      <x:c r="J3991" s="24" t="n">
        <x:v>4</x:v>
      </x:c>
      <x:c r="K3991" s="26" t="n">
        <x:v>0</x:v>
      </x:c>
      <x:c r="L3991" s="22" t="n">
        <x:v>621.9744000000001</x:v>
      </x:c>
      <x:c r="M3991" t="n">
        <x:v>2017</x:v>
      </x:c>
      <x:c r="N3991" s="20" t="n">
        <x:v>42826</x:v>
      </x:c>
    </x:row>
    <x:row r="3992" ht="18" customHeight="1">
      <x:c r="A3992" t="str">
        <x:v>CA-2017-112333</x:v>
      </x:c>
      <x:c r="B3992" s="18" t="n">
        <x:v>42833</x:v>
      </x:c>
      <x:c r="C3992" t="str">
        <x:v>KF-16285</x:v>
      </x:c>
      <x:c r="D3992" t="str">
        <x:v>Karen Ferguson</x:v>
      </x:c>
      <x:c r="E3992" t="str">
        <x:v>Home Office</x:v>
      </x:c>
      <x:c r="F3992" t="str">
        <x:v>East</x:v>
      </x:c>
      <x:c r="G3992" t="str">
        <x:v>Office Supplies</x:v>
      </x:c>
      <x:c r="H3992" t="str">
        <x:v>Appliances</x:v>
      </x:c>
      <x:c r="I3992" s="22" t="n">
        <x:v>41.95</x:v>
      </x:c>
      <x:c r="J3992" s="24" t="n">
        <x:v>5</x:v>
      </x:c>
      <x:c r="K3992" s="26" t="n">
        <x:v>0</x:v>
      </x:c>
      <x:c r="L3992" s="22" t="n">
        <x:v>10.4875</x:v>
      </x:c>
      <x:c r="M3992" t="n">
        <x:v>2017</x:v>
      </x:c>
      <x:c r="N3992" s="20" t="n">
        <x:v>42826</x:v>
      </x:c>
    </x:row>
    <x:row r="3993" ht="18" customHeight="1">
      <x:c r="A3993" t="str">
        <x:v>US-2016-159415</x:v>
      </x:c>
      <x:c r="B3993" s="18" t="n">
        <x:v>42477</x:v>
      </x:c>
      <x:c r="C3993" t="str">
        <x:v>CS-12175</x:v>
      </x:c>
      <x:c r="D3993" t="str">
        <x:v>Charles Sheldon</x:v>
      </x:c>
      <x:c r="E3993" t="str">
        <x:v>Corporate</x:v>
      </x:c>
      <x:c r="F3993" t="str">
        <x:v>South</x:v>
      </x:c>
      <x:c r="G3993" t="str">
        <x:v>Furniture</x:v>
      </x:c>
      <x:c r="H3993" t="str">
        <x:v>Furnishings</x:v>
      </x:c>
      <x:c r="I3993" s="22" t="n">
        <x:v>79.12</x:v>
      </x:c>
      <x:c r="J3993" s="24" t="n">
        <x:v>5</x:v>
      </x:c>
      <x:c r="K3993" s="26" t="n">
        <x:v>0.2</x:v>
      </x:c>
      <x:c r="L3993" s="22" t="n">
        <x:v>13.845999999999997</x:v>
      </x:c>
      <x:c r="M3993" t="n">
        <x:v>2016</x:v>
      </x:c>
      <x:c r="N3993" s="20" t="n">
        <x:v>42461</x:v>
      </x:c>
    </x:row>
    <x:row r="3994" ht="18" customHeight="1">
      <x:c r="A3994" t="str">
        <x:v>CA-2014-122588</x:v>
      </x:c>
      <x:c r="B3994" s="18" t="n">
        <x:v>41968</x:v>
      </x:c>
      <x:c r="C3994" t="str">
        <x:v>AR-10540</x:v>
      </x:c>
      <x:c r="D3994" t="str">
        <x:v>Andy Reiter</x:v>
      </x:c>
      <x:c r="E3994" t="str">
        <x:v>Consumer</x:v>
      </x:c>
      <x:c r="F3994" t="str">
        <x:v>East</x:v>
      </x:c>
      <x:c r="G3994" t="str">
        <x:v>Furniture</x:v>
      </x:c>
      <x:c r="H3994" t="str">
        <x:v>Furnishings</x:v>
      </x:c>
      <x:c r="I3994" s="22" t="n">
        <x:v>52.96</x:v>
      </x:c>
      <x:c r="J3994" s="24" t="n">
        <x:v>2</x:v>
      </x:c>
      <x:c r="K3994" s="26" t="n">
        <x:v>0</x:v>
      </x:c>
      <x:c r="L3994" s="22" t="n">
        <x:v>20.1248</x:v>
      </x:c>
      <x:c r="M3994" t="n">
        <x:v>2014</x:v>
      </x:c>
      <x:c r="N3994" s="20" t="n">
        <x:v>41944</x:v>
      </x:c>
    </x:row>
    <x:row r="3995" ht="18" customHeight="1">
      <x:c r="A3995" t="str">
        <x:v>CA-2014-137589</x:v>
      </x:c>
      <x:c r="B3995" s="18" t="n">
        <x:v>41946</x:v>
      </x:c>
      <x:c r="C3995" t="str">
        <x:v>MS-17770</x:v>
      </x:c>
      <x:c r="D3995" t="str">
        <x:v>Maxwell Schwartz</x:v>
      </x:c>
      <x:c r="E3995" t="str">
        <x:v>Consumer</x:v>
      </x:c>
      <x:c r="F3995" t="str">
        <x:v>East</x:v>
      </x:c>
      <x:c r="G3995" t="str">
        <x:v>Office Supplies</x:v>
      </x:c>
      <x:c r="H3995" t="str">
        <x:v>Supplies</x:v>
      </x:c>
      <x:c r="I3995" s="22" t="n">
        <x:v>286.34400000000005</x:v>
      </x:c>
      <x:c r="J3995" s="24" t="n">
        <x:v>3</x:v>
      </x:c>
      <x:c r="K3995" s="26" t="n">
        <x:v>0.2</x:v>
      </x:c>
      <x:c r="L3995" s="22" t="n">
        <x:v>-64.4274</x:v>
      </x:c>
      <x:c r="M3995" t="n">
        <x:v>2014</x:v>
      </x:c>
      <x:c r="N3995" s="20" t="n">
        <x:v>41944</x:v>
      </x:c>
    </x:row>
    <x:row r="3996" ht="18" customHeight="1">
      <x:c r="A3996" t="str">
        <x:v>CA-2015-161998</x:v>
      </x:c>
      <x:c r="B3996" s="18" t="n">
        <x:v>42125</x:v>
      </x:c>
      <x:c r="C3996" t="str">
        <x:v>DB-13120</x:v>
      </x:c>
      <x:c r="D3996" t="str">
        <x:v>David Bremer</x:v>
      </x:c>
      <x:c r="E3996" t="str">
        <x:v>Corporate</x:v>
      </x:c>
      <x:c r="F3996" t="str">
        <x:v>South</x:v>
      </x:c>
      <x:c r="G3996" t="str">
        <x:v>Furniture</x:v>
      </x:c>
      <x:c r="H3996" t="str">
        <x:v>Furnishings</x:v>
      </x:c>
      <x:c r="I3996" s="22" t="n">
        <x:v>63.55200000000001</x:v>
      </x:c>
      <x:c r="J3996" s="24" t="n">
        <x:v>3</x:v>
      </x:c>
      <x:c r="K3996" s="26" t="n">
        <x:v>0.2</x:v>
      </x:c>
      <x:c r="L3996" s="22" t="n">
        <x:v>14.299199999999999</x:v>
      </x:c>
      <x:c r="M3996" t="n">
        <x:v>2015</x:v>
      </x:c>
      <x:c r="N3996" s="20" t="n">
        <x:v>42125</x:v>
      </x:c>
    </x:row>
    <x:row r="3997" ht="18" customHeight="1">
      <x:c r="A3997" t="str">
        <x:v>CA-2015-161998</x:v>
      </x:c>
      <x:c r="B3997" s="18" t="n">
        <x:v>42125</x:v>
      </x:c>
      <x:c r="C3997" t="str">
        <x:v>DB-13120</x:v>
      </x:c>
      <x:c r="D3997" t="str">
        <x:v>David Bremer</x:v>
      </x:c>
      <x:c r="E3997" t="str">
        <x:v>Corporate</x:v>
      </x:c>
      <x:c r="F3997" t="str">
        <x:v>South</x:v>
      </x:c>
      <x:c r="G3997" t="str">
        <x:v>Office Supplies</x:v>
      </x:c>
      <x:c r="H3997" t="str">
        <x:v>Supplies</x:v>
      </x:c>
      <x:c r="I3997" s="22" t="n">
        <x:v>41.376</x:v>
      </x:c>
      <x:c r="J3997" s="24" t="n">
        <x:v>3</x:v>
      </x:c>
      <x:c r="K3997" s="26" t="n">
        <x:v>0.2</x:v>
      </x:c>
      <x:c r="L3997" s="22" t="n">
        <x:v>4.654799999999993</x:v>
      </x:c>
      <x:c r="M3997" t="n">
        <x:v>2015</x:v>
      </x:c>
      <x:c r="N3997" s="20" t="n">
        <x:v>42125</x:v>
      </x:c>
    </x:row>
    <x:row r="3998" ht="18" customHeight="1">
      <x:c r="A3998" t="str">
        <x:v>CA-2015-161998</x:v>
      </x:c>
      <x:c r="B3998" s="18" t="n">
        <x:v>42125</x:v>
      </x:c>
      <x:c r="C3998" t="str">
        <x:v>DB-13120</x:v>
      </x:c>
      <x:c r="D3998" t="str">
        <x:v>David Bremer</x:v>
      </x:c>
      <x:c r="E3998" t="str">
        <x:v>Corporate</x:v>
      </x:c>
      <x:c r="F3998" t="str">
        <x:v>South</x:v>
      </x:c>
      <x:c r="G3998" t="str">
        <x:v>Office Supplies</x:v>
      </x:c>
      <x:c r="H3998" t="str">
        <x:v>Art</x:v>
      </x:c>
      <x:c r="I3998" s="22" t="n">
        <x:v>172.704</x:v>
      </x:c>
      <x:c r="J3998" s="24" t="n">
        <x:v>6</x:v>
      </x:c>
      <x:c r="K3998" s="26" t="n">
        <x:v>0.2</x:v>
      </x:c>
      <x:c r="L3998" s="22" t="n">
        <x:v>10.793999999999983</x:v>
      </x:c>
      <x:c r="M3998" t="n">
        <x:v>2015</x:v>
      </x:c>
      <x:c r="N3998" s="20" t="n">
        <x:v>42125</x:v>
      </x:c>
    </x:row>
    <x:row r="3999" ht="18" customHeight="1">
      <x:c r="A3999" t="str">
        <x:v>CA-2015-105627</x:v>
      </x:c>
      <x:c r="B3999" s="18" t="n">
        <x:v>42071</x:v>
      </x:c>
      <x:c r="C3999" t="str">
        <x:v>DK-12895</x:v>
      </x:c>
      <x:c r="D3999" t="str">
        <x:v>Dana Kaydos</x:v>
      </x:c>
      <x:c r="E3999" t="str">
        <x:v>Consumer</x:v>
      </x:c>
      <x:c r="F3999" t="str">
        <x:v>Central</x:v>
      </x:c>
      <x:c r="G3999" t="str">
        <x:v>Furniture</x:v>
      </x:c>
      <x:c r="H3999" t="str">
        <x:v>Bookcases</x:v>
      </x:c>
      <x:c r="I3999" s="22" t="n">
        <x:v>512.9399999999999</x:v>
      </x:c>
      <x:c r="J3999" s="24" t="n">
        <x:v>3</x:v>
      </x:c>
      <x:c r="K3999" s="26" t="n">
        <x:v>0</x:v>
      </x:c>
      <x:c r="L3999" s="22" t="n">
        <x:v>97.45859999999999</x:v>
      </x:c>
      <x:c r="M3999" t="n">
        <x:v>2015</x:v>
      </x:c>
      <x:c r="N3999" s="20" t="n">
        <x:v>42064</x:v>
      </x:c>
    </x:row>
    <x:row r="4000" ht="18" customHeight="1">
      <x:c r="A4000" t="str">
        <x:v>CA-2015-105627</x:v>
      </x:c>
      <x:c r="B4000" s="18" t="n">
        <x:v>42071</x:v>
      </x:c>
      <x:c r="C4000" t="str">
        <x:v>DK-12895</x:v>
      </x:c>
      <x:c r="D4000" t="str">
        <x:v>Dana Kaydos</x:v>
      </x:c>
      <x:c r="E4000" t="str">
        <x:v>Consumer</x:v>
      </x:c>
      <x:c r="F4000" t="str">
        <x:v>Central</x:v>
      </x:c>
      <x:c r="G4000" t="str">
        <x:v>Furniture</x:v>
      </x:c>
      <x:c r="H4000" t="str">
        <x:v>Chairs</x:v>
      </x:c>
      <x:c r="I4000" s="22" t="n">
        <x:v>860.93</x:v>
      </x:c>
      <x:c r="J4000" s="24" t="n">
        <x:v>7</x:v>
      </x:c>
      <x:c r="K4000" s="26" t="n">
        <x:v>0</x:v>
      </x:c>
      <x:c r="L4000" s="22" t="n">
        <x:v>189.40460000000002</x:v>
      </x:c>
      <x:c r="M4000" t="n">
        <x:v>2015</x:v>
      </x:c>
      <x:c r="N4000" s="20" t="n">
        <x:v>42064</x:v>
      </x:c>
    </x:row>
    <x:row r="4001" ht="18" customHeight="1">
      <x:c r="A4001" t="str">
        <x:v>CA-2015-105627</x:v>
      </x:c>
      <x:c r="B4001" s="18" t="n">
        <x:v>42071</x:v>
      </x:c>
      <x:c r="C4001" t="str">
        <x:v>DK-12895</x:v>
      </x:c>
      <x:c r="D4001" t="str">
        <x:v>Dana Kaydos</x:v>
      </x:c>
      <x:c r="E4001" t="str">
        <x:v>Consumer</x:v>
      </x:c>
      <x:c r="F4001" t="str">
        <x:v>Central</x:v>
      </x:c>
      <x:c r="G4001" t="str">
        <x:v>Technology</x:v>
      </x:c>
      <x:c r="H4001" t="str">
        <x:v>Phones</x:v>
      </x:c>
      <x:c r="I4001" s="22" t="n">
        <x:v>769.95</x:v>
      </x:c>
      <x:c r="J4001" s="24" t="n">
        <x:v>5</x:v>
      </x:c>
      <x:c r="K4001" s="26" t="n">
        <x:v>0</x:v>
      </x:c>
      <x:c r="L4001" s="22" t="n">
        <x:v>223.28549999999993</x:v>
      </x:c>
      <x:c r="M4001" t="n">
        <x:v>2015</x:v>
      </x:c>
      <x:c r="N4001" s="20" t="n">
        <x:v>42064</x:v>
      </x:c>
    </x:row>
    <x:row r="4002" ht="18" customHeight="1">
      <x:c r="A4002" t="str">
        <x:v>CA-2015-105627</x:v>
      </x:c>
      <x:c r="B4002" s="18" t="n">
        <x:v>42071</x:v>
      </x:c>
      <x:c r="C4002" t="str">
        <x:v>DK-12895</x:v>
      </x:c>
      <x:c r="D4002" t="str">
        <x:v>Dana Kaydos</x:v>
      </x:c>
      <x:c r="E4002" t="str">
        <x:v>Consumer</x:v>
      </x:c>
      <x:c r="F4002" t="str">
        <x:v>Central</x:v>
      </x:c>
      <x:c r="G4002" t="str">
        <x:v>Office Supplies</x:v>
      </x:c>
      <x:c r="H4002" t="str">
        <x:v>Art</x:v>
      </x:c>
      <x:c r="I4002" s="22" t="n">
        <x:v>14.98</x:v>
      </x:c>
      <x:c r="J4002" s="24" t="n">
        <x:v>1</x:v>
      </x:c>
      <x:c r="K4002" s="26" t="n">
        <x:v>0</x:v>
      </x:c>
      <x:c r="L4002" s="22" t="n">
        <x:v>4.494</x:v>
      </x:c>
      <x:c r="M4002" t="n">
        <x:v>2015</x:v>
      </x:c>
      <x:c r="N4002" s="20" t="n">
        <x:v>42064</x:v>
      </x:c>
    </x:row>
    <x:row r="4003" ht="18" customHeight="1">
      <x:c r="A4003" t="str">
        <x:v>CA-2015-105627</x:v>
      </x:c>
      <x:c r="B4003" s="18" t="n">
        <x:v>42071</x:v>
      </x:c>
      <x:c r="C4003" t="str">
        <x:v>DK-12895</x:v>
      </x:c>
      <x:c r="D4003" t="str">
        <x:v>Dana Kaydos</x:v>
      </x:c>
      <x:c r="E4003" t="str">
        <x:v>Consumer</x:v>
      </x:c>
      <x:c r="F4003" t="str">
        <x:v>Central</x:v>
      </x:c>
      <x:c r="G4003" t="str">
        <x:v>Furniture</x:v>
      </x:c>
      <x:c r="H4003" t="str">
        <x:v>Furnishings</x:v>
      </x:c>
      <x:c r="I4003" s="22" t="n">
        <x:v>373.08</x:v>
      </x:c>
      <x:c r="J4003" s="24" t="n">
        <x:v>6</x:v>
      </x:c>
      <x:c r="K4003" s="26" t="n">
        <x:v>0</x:v>
      </x:c>
      <x:c r="L4003" s="22" t="n">
        <x:v>82.0776</x:v>
      </x:c>
      <x:c r="M4003" t="n">
        <x:v>2015</x:v>
      </x:c>
      <x:c r="N4003" s="20" t="n">
        <x:v>42064</x:v>
      </x:c>
    </x:row>
    <x:row r="4004" ht="18" customHeight="1">
      <x:c r="A4004" t="str">
        <x:v>US-2015-149629</x:v>
      </x:c>
      <x:c r="B4004" s="18" t="n">
        <x:v>42202</x:v>
      </x:c>
      <x:c r="C4004" t="str">
        <x:v>MP-17965</x:v>
      </x:c>
      <x:c r="D4004" t="str">
        <x:v>Michael Paige</x:v>
      </x:c>
      <x:c r="E4004" t="str">
        <x:v>Corporate</x:v>
      </x:c>
      <x:c r="F4004" t="str">
        <x:v>South</x:v>
      </x:c>
      <x:c r="G4004" t="str">
        <x:v>Furniture</x:v>
      </x:c>
      <x:c r="H4004" t="str">
        <x:v>Bookcases</x:v>
      </x:c>
      <x:c r="I4004" s="22" t="n">
        <x:v>231.92000000000002</x:v>
      </x:c>
      <x:c r="J4004" s="24" t="n">
        <x:v>5</x:v>
      </x:c>
      <x:c r="K4004" s="26" t="n">
        <x:v>0.2</x:v>
      </x:c>
      <x:c r="L4004" s="22" t="n">
        <x:v>5.798000000000002</x:v>
      </x:c>
      <x:c r="M4004" t="n">
        <x:v>2015</x:v>
      </x:c>
      <x:c r="N4004" s="20" t="n">
        <x:v>42186</x:v>
      </x:c>
    </x:row>
    <x:row r="4005" ht="18" customHeight="1">
      <x:c r="A4005" t="str">
        <x:v>CA-2014-116834</x:v>
      </x:c>
      <x:c r="B4005" s="18" t="n">
        <x:v>41923</x:v>
      </x:c>
      <x:c r="C4005" t="str">
        <x:v>Dp-13240</x:v>
      </x:c>
      <x:c r="D4005" t="str">
        <x:v>Dean percer</x:v>
      </x:c>
      <x:c r="E4005" t="str">
        <x:v>Home Office</x:v>
      </x:c>
      <x:c r="F4005" t="str">
        <x:v>West</x:v>
      </x:c>
      <x:c r="G4005" t="str">
        <x:v>Furniture</x:v>
      </x:c>
      <x:c r="H4005" t="str">
        <x:v>Furnishings</x:v>
      </x:c>
      <x:c r="I4005" s="22" t="n">
        <x:v>63.47</x:v>
      </x:c>
      <x:c r="J4005" s="24" t="n">
        <x:v>11</x:v>
      </x:c>
      <x:c r="K4005" s="26" t="n">
        <x:v>0</x:v>
      </x:c>
      <x:c r="L4005" s="22" t="n">
        <x:v>19.040999999999997</x:v>
      </x:c>
      <x:c r="M4005" t="n">
        <x:v>2014</x:v>
      </x:c>
      <x:c r="N4005" s="20" t="n">
        <x:v>41913</x:v>
      </x:c>
    </x:row>
    <x:row r="4006" ht="18" customHeight="1">
      <x:c r="A4006" t="str">
        <x:v>CA-2014-116834</x:v>
      </x:c>
      <x:c r="B4006" s="18" t="n">
        <x:v>41923</x:v>
      </x:c>
      <x:c r="C4006" t="str">
        <x:v>Dp-13240</x:v>
      </x:c>
      <x:c r="D4006" t="str">
        <x:v>Dean percer</x:v>
      </x:c>
      <x:c r="E4006" t="str">
        <x:v>Home Office</x:v>
      </x:c>
      <x:c r="F4006" t="str">
        <x:v>West</x:v>
      </x:c>
      <x:c r="G4006" t="str">
        <x:v>Technology</x:v>
      </x:c>
      <x:c r="H4006" t="str">
        <x:v>Accessories</x:v>
      </x:c>
      <x:c r="I4006" s="22" t="n">
        <x:v>345</x:v>
      </x:c>
      <x:c r="J4006" s="24" t="n">
        <x:v>5</x:v>
      </x:c>
      <x:c r="K4006" s="26" t="n">
        <x:v>0</x:v>
      </x:c>
      <x:c r="L4006" s="22" t="n">
        <x:v>58.649999999999984</x:v>
      </x:c>
      <x:c r="M4006" t="n">
        <x:v>2014</x:v>
      </x:c>
      <x:c r="N4006" s="20" t="n">
        <x:v>41913</x:v>
      </x:c>
    </x:row>
    <x:row r="4007" ht="18" customHeight="1">
      <x:c r="A4007" t="str">
        <x:v>CA-2016-145730</x:v>
      </x:c>
      <x:c r="B4007" s="18" t="n">
        <x:v>42432</x:v>
      </x:c>
      <x:c r="C4007" t="str">
        <x:v>CC-12220</x:v>
      </x:c>
      <x:c r="D4007" t="str">
        <x:v>Chris Cortes</x:v>
      </x:c>
      <x:c r="E4007" t="str">
        <x:v>Consumer</x:v>
      </x:c>
      <x:c r="F4007" t="str">
        <x:v>Central</x:v>
      </x:c>
      <x:c r="G4007" t="str">
        <x:v>Furniture</x:v>
      </x:c>
      <x:c r="H4007" t="str">
        <x:v>Tables</x:v>
      </x:c>
      <x:c r="I4007" s="22" t="n">
        <x:v>637.896</x:v>
      </x:c>
      <x:c r="J4007" s="24" t="n">
        <x:v>3</x:v>
      </x:c>
      <x:c r="K4007" s="26" t="n">
        <x:v>0.3</x:v>
      </x:c>
      <x:c r="L4007" s="22" t="n">
        <x:v>-127.57919999999996</x:v>
      </x:c>
      <x:c r="M4007" t="n">
        <x:v>2016</x:v>
      </x:c>
      <x:c r="N4007" s="20" t="n">
        <x:v>42430</x:v>
      </x:c>
    </x:row>
    <x:row r="4008" ht="18" customHeight="1">
      <x:c r="A4008" t="str">
        <x:v>CA-2016-145730</x:v>
      </x:c>
      <x:c r="B4008" s="18" t="n">
        <x:v>42432</x:v>
      </x:c>
      <x:c r="C4008" t="str">
        <x:v>CC-12220</x:v>
      </x:c>
      <x:c r="D4008" t="str">
        <x:v>Chris Cortes</x:v>
      </x:c>
      <x:c r="E4008" t="str">
        <x:v>Consumer</x:v>
      </x:c>
      <x:c r="F4008" t="str">
        <x:v>Central</x:v>
      </x:c>
      <x:c r="G4008" t="str">
        <x:v>Technology</x:v>
      </x:c>
      <x:c r="H4008" t="str">
        <x:v>Machines</x:v>
      </x:c>
      <x:c r="I4008" s="22" t="n">
        <x:v>287.90999999999997</x:v>
      </x:c>
      <x:c r="J4008" s="24" t="n">
        <x:v>3</x:v>
      </x:c>
      <x:c r="K4008" s="26" t="n">
        <x:v>0.4</x:v>
      </x:c>
      <x:c r="L4008" s="22" t="n">
        <x:v>33.58949999999999</x:v>
      </x:c>
      <x:c r="M4008" t="n">
        <x:v>2016</x:v>
      </x:c>
      <x:c r="N4008" s="20" t="n">
        <x:v>42430</x:v>
      </x:c>
    </x:row>
    <x:row r="4009" ht="18" customHeight="1">
      <x:c r="A4009" t="str">
        <x:v>CA-2016-145730</x:v>
      </x:c>
      <x:c r="B4009" s="18" t="n">
        <x:v>42432</x:v>
      </x:c>
      <x:c r="C4009" t="str">
        <x:v>CC-12220</x:v>
      </x:c>
      <x:c r="D4009" t="str">
        <x:v>Chris Cortes</x:v>
      </x:c>
      <x:c r="E4009" t="str">
        <x:v>Consumer</x:v>
      </x:c>
      <x:c r="F4009" t="str">
        <x:v>Central</x:v>
      </x:c>
      <x:c r="G4009" t="str">
        <x:v>Office Supplies</x:v>
      </x:c>
      <x:c r="H4009" t="str">
        <x:v>Envelopes</x:v>
      </x:c>
      <x:c r="I4009" s="22" t="n">
        <x:v>36.6</x:v>
      </x:c>
      <x:c r="J4009" s="24" t="n">
        <x:v>3</x:v>
      </x:c>
      <x:c r="K4009" s="26" t="n">
        <x:v>0.2</x:v>
      </x:c>
      <x:c r="L4009" s="22" t="n">
        <x:v>11.894999999999994</x:v>
      </x:c>
      <x:c r="M4009" t="n">
        <x:v>2016</x:v>
      </x:c>
      <x:c r="N4009" s="20" t="n">
        <x:v>42430</x:v>
      </x:c>
    </x:row>
    <x:row r="4010" ht="18" customHeight="1">
      <x:c r="A4010" t="str">
        <x:v>US-2015-168732</x:v>
      </x:c>
      <x:c r="B4010" s="18" t="n">
        <x:v>42348</x:v>
      </x:c>
      <x:c r="C4010" t="str">
        <x:v>KM-16660</x:v>
      </x:c>
      <x:c r="D4010" t="str">
        <x:v>Khloe Miller</x:v>
      </x:c>
      <x:c r="E4010" t="str">
        <x:v>Consumer</x:v>
      </x:c>
      <x:c r="F4010" t="str">
        <x:v>South</x:v>
      </x:c>
      <x:c r="G4010" t="str">
        <x:v>Office Supplies</x:v>
      </x:c>
      <x:c r="H4010" t="str">
        <x:v>Art</x:v>
      </x:c>
      <x:c r="I4010" s="22" t="n">
        <x:v>1.78</x:v>
      </x:c>
      <x:c r="J4010" s="24" t="n">
        <x:v>1</x:v>
      </x:c>
      <x:c r="K4010" s="26" t="n">
        <x:v>0</x:v>
      </x:c>
      <x:c r="L4010" s="22" t="n">
        <x:v>0.49839999999999995</x:v>
      </x:c>
      <x:c r="M4010" t="n">
        <x:v>2015</x:v>
      </x:c>
      <x:c r="N4010" s="20" t="n">
        <x:v>42339</x:v>
      </x:c>
    </x:row>
    <x:row r="4011" ht="18" customHeight="1">
      <x:c r="A4011" t="str">
        <x:v>US-2015-168732</x:v>
      </x:c>
      <x:c r="B4011" s="18" t="n">
        <x:v>42348</x:v>
      </x:c>
      <x:c r="C4011" t="str">
        <x:v>KM-16660</x:v>
      </x:c>
      <x:c r="D4011" t="str">
        <x:v>Khloe Miller</x:v>
      </x:c>
      <x:c r="E4011" t="str">
        <x:v>Consumer</x:v>
      </x:c>
      <x:c r="F4011" t="str">
        <x:v>South</x:v>
      </x:c>
      <x:c r="G4011" t="str">
        <x:v>Office Supplies</x:v>
      </x:c>
      <x:c r="H4011" t="str">
        <x:v>Paper</x:v>
      </x:c>
      <x:c r="I4011" s="22" t="n">
        <x:v>25.92</x:v>
      </x:c>
      <x:c r="J4011" s="24" t="n">
        <x:v>4</x:v>
      </x:c>
      <x:c r="K4011" s="26" t="n">
        <x:v>0</x:v>
      </x:c>
      <x:c r="L4011" s="22" t="n">
        <x:v>12.441600000000001</x:v>
      </x:c>
      <x:c r="M4011" t="n">
        <x:v>2015</x:v>
      </x:c>
      <x:c r="N4011" s="20" t="n">
        <x:v>42339</x:v>
      </x:c>
    </x:row>
    <x:row r="4012" ht="18" customHeight="1">
      <x:c r="A4012" t="str">
        <x:v>US-2015-168732</x:v>
      </x:c>
      <x:c r="B4012" s="18" t="n">
        <x:v>42348</x:v>
      </x:c>
      <x:c r="C4012" t="str">
        <x:v>KM-16660</x:v>
      </x:c>
      <x:c r="D4012" t="str">
        <x:v>Khloe Miller</x:v>
      </x:c>
      <x:c r="E4012" t="str">
        <x:v>Consumer</x:v>
      </x:c>
      <x:c r="F4012" t="str">
        <x:v>South</x:v>
      </x:c>
      <x:c r="G4012" t="str">
        <x:v>Technology</x:v>
      </x:c>
      <x:c r="H4012" t="str">
        <x:v>Accessories</x:v>
      </x:c>
      <x:c r="I4012" s="22" t="n">
        <x:v>101.94</x:v>
      </x:c>
      <x:c r="J4012" s="24" t="n">
        <x:v>6</x:v>
      </x:c>
      <x:c r="K4012" s="26" t="n">
        <x:v>0</x:v>
      </x:c>
      <x:c r="L4012" s="22" t="n">
        <x:v>21.4074</x:v>
      </x:c>
      <x:c r="M4012" t="n">
        <x:v>2015</x:v>
      </x:c>
      <x:c r="N4012" s="20" t="n">
        <x:v>42339</x:v>
      </x:c>
    </x:row>
    <x:row r="4013" ht="18" customHeight="1">
      <x:c r="A4013" t="str">
        <x:v>CA-2015-107468</x:v>
      </x:c>
      <x:c r="B4013" s="18" t="n">
        <x:v>42356</x:v>
      </x:c>
      <x:c r="C4013" t="str">
        <x:v>MK-17905</x:v>
      </x:c>
      <x:c r="D4013" t="str">
        <x:v>Michael Kennedy</x:v>
      </x:c>
      <x:c r="E4013" t="str">
        <x:v>Corporate</x:v>
      </x:c>
      <x:c r="F4013" t="str">
        <x:v>West</x:v>
      </x:c>
      <x:c r="G4013" t="str">
        <x:v>Office Supplies</x:v>
      </x:c>
      <x:c r="H4013" t="str">
        <x:v>Art</x:v>
      </x:c>
      <x:c r="I4013" s="22" t="n">
        <x:v>6.848000000000001</x:v>
      </x:c>
      <x:c r="J4013" s="24" t="n">
        <x:v>2</x:v>
      </x:c>
      <x:c r="K4013" s="26" t="n">
        <x:v>0.2</x:v>
      </x:c>
      <x:c r="L4013" s="22" t="n">
        <x:v>0.5992000000000002</x:v>
      </x:c>
      <x:c r="M4013" t="n">
        <x:v>2015</x:v>
      </x:c>
      <x:c r="N4013" s="20" t="n">
        <x:v>42339</x:v>
      </x:c>
    </x:row>
    <x:row r="4014" ht="18" customHeight="1">
      <x:c r="A4014" t="str">
        <x:v>CA-2017-144463</x:v>
      </x:c>
      <x:c r="B4014" s="18" t="n">
        <x:v>42736</x:v>
      </x:c>
      <x:c r="C4014" t="str">
        <x:v>SC-20725</x:v>
      </x:c>
      <x:c r="D4014" t="str">
        <x:v>Steven Cartwright</x:v>
      </x:c>
      <x:c r="E4014" t="str">
        <x:v>Consumer</x:v>
      </x:c>
      <x:c r="F4014" t="str">
        <x:v>West</x:v>
      </x:c>
      <x:c r="G4014" t="str">
        <x:v>Furniture</x:v>
      </x:c>
      <x:c r="H4014" t="str">
        <x:v>Furnishings</x:v>
      </x:c>
      <x:c r="I4014" s="22" t="n">
        <x:v>474.43</x:v>
      </x:c>
      <x:c r="J4014" s="24" t="n">
        <x:v>11</x:v>
      </x:c>
      <x:c r="K4014" s="26" t="n">
        <x:v>0</x:v>
      </x:c>
      <x:c r="L4014" s="22" t="n">
        <x:v>199.26060000000004</x:v>
      </x:c>
      <x:c r="M4014" t="n">
        <x:v>2017</x:v>
      </x:c>
      <x:c r="N4014" s="20" t="n">
        <x:v>42736</x:v>
      </x:c>
    </x:row>
    <x:row r="4015" ht="18" customHeight="1">
      <x:c r="A4015" t="str">
        <x:v>CA-2017-100811</x:v>
      </x:c>
      <x:c r="B4015" s="18" t="n">
        <x:v>43060</x:v>
      </x:c>
      <x:c r="C4015" t="str">
        <x:v>CC-12475</x:v>
      </x:c>
      <x:c r="D4015" t="str">
        <x:v>Cindy Chapman</x:v>
      </x:c>
      <x:c r="E4015" t="str">
        <x:v>Consumer</x:v>
      </x:c>
      <x:c r="F4015" t="str">
        <x:v>East</x:v>
      </x:c>
      <x:c r="G4015" t="str">
        <x:v>Office Supplies</x:v>
      </x:c>
      <x:c r="H4015" t="str">
        <x:v>Paper</x:v>
      </x:c>
      <x:c r="I4015" s="22" t="n">
        <x:v>8.448</x:v>
      </x:c>
      <x:c r="J4015" s="24" t="n">
        <x:v>2</x:v>
      </x:c>
      <x:c r="K4015" s="26" t="n">
        <x:v>0.2</x:v>
      </x:c>
      <x:c r="L4015" s="22" t="n">
        <x:v>2.6399999999999997</x:v>
      </x:c>
      <x:c r="M4015" t="n">
        <x:v>2017</x:v>
      </x:c>
      <x:c r="N4015" s="20" t="n">
        <x:v>43040</x:v>
      </x:c>
    </x:row>
    <x:row r="4016" ht="18" customHeight="1">
      <x:c r="A4016" t="str">
        <x:v>CA-2017-100811</x:v>
      </x:c>
      <x:c r="B4016" s="18" t="n">
        <x:v>43060</x:v>
      </x:c>
      <x:c r="C4016" t="str">
        <x:v>CC-12475</x:v>
      </x:c>
      <x:c r="D4016" t="str">
        <x:v>Cindy Chapman</x:v>
      </x:c>
      <x:c r="E4016" t="str">
        <x:v>Consumer</x:v>
      </x:c>
      <x:c r="F4016" t="str">
        <x:v>East</x:v>
      </x:c>
      <x:c r="G4016" t="str">
        <x:v>Office Supplies</x:v>
      </x:c>
      <x:c r="H4016" t="str">
        <x:v>Storage</x:v>
      </x:c>
      <x:c r="I4016" s="22" t="n">
        <x:v>39.296</x:v>
      </x:c>
      <x:c r="J4016" s="24" t="n">
        <x:v>4</x:v>
      </x:c>
      <x:c r="K4016" s="26" t="n">
        <x:v>0.2</x:v>
      </x:c>
      <x:c r="L4016" s="22" t="n">
        <x:v>3.929599999999999</x:v>
      </x:c>
      <x:c r="M4016" t="n">
        <x:v>2017</x:v>
      </x:c>
      <x:c r="N4016" s="20" t="n">
        <x:v>43040</x:v>
      </x:c>
    </x:row>
    <x:row r="4017" ht="18" customHeight="1">
      <x:c r="A4017" t="str">
        <x:v>CA-2015-153612</x:v>
      </x:c>
      <x:c r="B4017" s="18" t="n">
        <x:v>42360</x:v>
      </x:c>
      <x:c r="C4017" t="str">
        <x:v>BT-11305</x:v>
      </x:c>
      <x:c r="D4017" t="str">
        <x:v>Beth Thompson</x:v>
      </x:c>
      <x:c r="E4017" t="str">
        <x:v>Home Office</x:v>
      </x:c>
      <x:c r="F4017" t="str">
        <x:v>Central</x:v>
      </x:c>
      <x:c r="G4017" t="str">
        <x:v>Office Supplies</x:v>
      </x:c>
      <x:c r="H4017" t="str">
        <x:v>Art</x:v>
      </x:c>
      <x:c r="I4017" s="22" t="n">
        <x:v>17.12</x:v>
      </x:c>
      <x:c r="J4017" s="24" t="n">
        <x:v>4</x:v>
      </x:c>
      <x:c r="K4017" s="26" t="n">
        <x:v>0</x:v>
      </x:c>
      <x:c r="L4017" s="22" t="n">
        <x:v>4.9647999999999985</x:v>
      </x:c>
      <x:c r="M4017" t="n">
        <x:v>2015</x:v>
      </x:c>
      <x:c r="N4017" s="20" t="n">
        <x:v>42339</x:v>
      </x:c>
    </x:row>
    <x:row r="4018" ht="18" customHeight="1">
      <x:c r="A4018" t="str">
        <x:v>CA-2015-165624</x:v>
      </x:c>
      <x:c r="B4018" s="18" t="n">
        <x:v>42239</x:v>
      </x:c>
      <x:c r="C4018" t="str">
        <x:v>FH-14350</x:v>
      </x:c>
      <x:c r="D4018" t="str">
        <x:v>Fred Harton</x:v>
      </x:c>
      <x:c r="E4018" t="str">
        <x:v>Consumer</x:v>
      </x:c>
      <x:c r="F4018" t="str">
        <x:v>South</x:v>
      </x:c>
      <x:c r="G4018" t="str">
        <x:v>Office Supplies</x:v>
      </x:c>
      <x:c r="H4018" t="str">
        <x:v>Appliances</x:v>
      </x:c>
      <x:c r="I4018" s="22" t="n">
        <x:v>542.9399999999999</x:v>
      </x:c>
      <x:c r="J4018" s="24" t="n">
        <x:v>3</x:v>
      </x:c>
      <x:c r="K4018" s="26" t="n">
        <x:v>0</x:v>
      </x:c>
      <x:c r="L4018" s="22" t="n">
        <x:v>152.02319999999997</x:v>
      </x:c>
      <x:c r="M4018" t="n">
        <x:v>2015</x:v>
      </x:c>
      <x:c r="N4018" s="20" t="n">
        <x:v>42217</x:v>
      </x:c>
    </x:row>
    <x:row r="4019" ht="18" customHeight="1">
      <x:c r="A4019" t="str">
        <x:v>CA-2015-165624</x:v>
      </x:c>
      <x:c r="B4019" s="18" t="n">
        <x:v>42239</x:v>
      </x:c>
      <x:c r="C4019" t="str">
        <x:v>FH-14350</x:v>
      </x:c>
      <x:c r="D4019" t="str">
        <x:v>Fred Harton</x:v>
      </x:c>
      <x:c r="E4019" t="str">
        <x:v>Consumer</x:v>
      </x:c>
      <x:c r="F4019" t="str">
        <x:v>South</x:v>
      </x:c>
      <x:c r="G4019" t="str">
        <x:v>Office Supplies</x:v>
      </x:c>
      <x:c r="H4019" t="str">
        <x:v>Labels</x:v>
      </x:c>
      <x:c r="I4019" s="22" t="n">
        <x:v>8.64</x:v>
      </x:c>
      <x:c r="J4019" s="24" t="n">
        <x:v>3</x:v>
      </x:c>
      <x:c r="K4019" s="26" t="n">
        <x:v>0</x:v>
      </x:c>
      <x:c r="L4019" s="22" t="n">
        <x:v>4.2336</x:v>
      </x:c>
      <x:c r="M4019" t="n">
        <x:v>2015</x:v>
      </x:c>
      <x:c r="N4019" s="20" t="n">
        <x:v>42217</x:v>
      </x:c>
    </x:row>
    <x:row r="4020" ht="18" customHeight="1">
      <x:c r="A4020" t="str">
        <x:v>CA-2015-165624</x:v>
      </x:c>
      <x:c r="B4020" s="18" t="n">
        <x:v>42239</x:v>
      </x:c>
      <x:c r="C4020" t="str">
        <x:v>FH-14350</x:v>
      </x:c>
      <x:c r="D4020" t="str">
        <x:v>Fred Harton</x:v>
      </x:c>
      <x:c r="E4020" t="str">
        <x:v>Consumer</x:v>
      </x:c>
      <x:c r="F4020" t="str">
        <x:v>South</x:v>
      </x:c>
      <x:c r="G4020" t="str">
        <x:v>Office Supplies</x:v>
      </x:c>
      <x:c r="H4020" t="str">
        <x:v>Paper</x:v>
      </x:c>
      <x:c r="I4020" s="22" t="n">
        <x:v>193.79999999999998</x:v>
      </x:c>
      <x:c r="J4020" s="24" t="n">
        <x:v>5</x:v>
      </x:c>
      <x:c r="K4020" s="26" t="n">
        <x:v>0</x:v>
      </x:c>
      <x:c r="L4020" s="22" t="n">
        <x:v>94.962</x:v>
      </x:c>
      <x:c r="M4020" t="n">
        <x:v>2015</x:v>
      </x:c>
      <x:c r="N4020" s="20" t="n">
        <x:v>42217</x:v>
      </x:c>
    </x:row>
    <x:row r="4021" ht="18" customHeight="1">
      <x:c r="A4021" t="str">
        <x:v>CA-2015-165624</x:v>
      </x:c>
      <x:c r="B4021" s="18" t="n">
        <x:v>42239</x:v>
      </x:c>
      <x:c r="C4021" t="str">
        <x:v>FH-14350</x:v>
      </x:c>
      <x:c r="D4021" t="str">
        <x:v>Fred Harton</x:v>
      </x:c>
      <x:c r="E4021" t="str">
        <x:v>Consumer</x:v>
      </x:c>
      <x:c r="F4021" t="str">
        <x:v>South</x:v>
      </x:c>
      <x:c r="G4021" t="str">
        <x:v>Office Supplies</x:v>
      </x:c>
      <x:c r="H4021" t="str">
        <x:v>Paper</x:v>
      </x:c>
      <x:c r="I4021" s="22" t="n">
        <x:v>21.400000000000002</x:v>
      </x:c>
      <x:c r="J4021" s="24" t="n">
        <x:v>5</x:v>
      </x:c>
      <x:c r="K4021" s="26" t="n">
        <x:v>0</x:v>
      </x:c>
      <x:c r="L4021" s="22" t="n">
        <x:v>9.629999999999999</x:v>
      </x:c>
      <x:c r="M4021" t="n">
        <x:v>2015</x:v>
      </x:c>
      <x:c r="N4021" s="20" t="n">
        <x:v>42217</x:v>
      </x:c>
    </x:row>
    <x:row r="4022" ht="18" customHeight="1">
      <x:c r="A4022" t="str">
        <x:v>CA-2015-165624</x:v>
      </x:c>
      <x:c r="B4022" s="18" t="n">
        <x:v>42239</x:v>
      </x:c>
      <x:c r="C4022" t="str">
        <x:v>FH-14350</x:v>
      </x:c>
      <x:c r="D4022" t="str">
        <x:v>Fred Harton</x:v>
      </x:c>
      <x:c r="E4022" t="str">
        <x:v>Consumer</x:v>
      </x:c>
      <x:c r="F4022" t="str">
        <x:v>South</x:v>
      </x:c>
      <x:c r="G4022" t="str">
        <x:v>Office Supplies</x:v>
      </x:c>
      <x:c r="H4022" t="str">
        <x:v>Paper</x:v>
      </x:c>
      <x:c r="I4022" s="22" t="n">
        <x:v>97.88</x:v>
      </x:c>
      <x:c r="J4022" s="24" t="n">
        <x:v>2</x:v>
      </x:c>
      <x:c r="K4022" s="26" t="n">
        <x:v>0</x:v>
      </x:c>
      <x:c r="L4022" s="22" t="n">
        <x:v>48.94</x:v>
      </x:c>
      <x:c r="M4022" t="n">
        <x:v>2015</x:v>
      </x:c>
      <x:c r="N4022" s="20" t="n">
        <x:v>42217</x:v>
      </x:c>
    </x:row>
    <x:row r="4023" ht="18" customHeight="1">
      <x:c r="A4023" t="str">
        <x:v>CA-2015-165624</x:v>
      </x:c>
      <x:c r="B4023" s="18" t="n">
        <x:v>42239</x:v>
      </x:c>
      <x:c r="C4023" t="str">
        <x:v>FH-14350</x:v>
      </x:c>
      <x:c r="D4023" t="str">
        <x:v>Fred Harton</x:v>
      </x:c>
      <x:c r="E4023" t="str">
        <x:v>Consumer</x:v>
      </x:c>
      <x:c r="F4023" t="str">
        <x:v>South</x:v>
      </x:c>
      <x:c r="G4023" t="str">
        <x:v>Technology</x:v>
      </x:c>
      <x:c r="H4023" t="str">
        <x:v>Accessories</x:v>
      </x:c>
      <x:c r="I4023" s="22" t="n">
        <x:v>251.91</x:v>
      </x:c>
      <x:c r="J4023" s="24" t="n">
        <x:v>9</x:v>
      </x:c>
      <x:c r="K4023" s="26" t="n">
        <x:v>0</x:v>
      </x:c>
      <x:c r="L4023" s="22" t="n">
        <x:v>47.86289999999998</x:v>
      </x:c>
      <x:c r="M4023" t="n">
        <x:v>2015</x:v>
      </x:c>
      <x:c r="N4023" s="20" t="n">
        <x:v>42217</x:v>
      </x:c>
    </x:row>
    <x:row r="4024" ht="18" customHeight="1">
      <x:c r="A4024" t="str">
        <x:v>CA-2015-165624</x:v>
      </x:c>
      <x:c r="B4024" s="18" t="n">
        <x:v>42239</x:v>
      </x:c>
      <x:c r="C4024" t="str">
        <x:v>FH-14350</x:v>
      </x:c>
      <x:c r="D4024" t="str">
        <x:v>Fred Harton</x:v>
      </x:c>
      <x:c r="E4024" t="str">
        <x:v>Consumer</x:v>
      </x:c>
      <x:c r="F4024" t="str">
        <x:v>South</x:v>
      </x:c>
      <x:c r="G4024" t="str">
        <x:v>Office Supplies</x:v>
      </x:c>
      <x:c r="H4024" t="str">
        <x:v>Appliances</x:v>
      </x:c>
      <x:c r="I4024" s="22" t="n">
        <x:v>25.86</x:v>
      </x:c>
      <x:c r="J4024" s="24" t="n">
        <x:v>3</x:v>
      </x:c>
      <x:c r="K4024" s="26" t="n">
        <x:v>0</x:v>
      </x:c>
      <x:c r="L4024" s="22" t="n">
        <x:v>6.7236</x:v>
      </x:c>
      <x:c r="M4024" t="n">
        <x:v>2015</x:v>
      </x:c>
      <x:c r="N4024" s="20" t="n">
        <x:v>42217</x:v>
      </x:c>
    </x:row>
    <x:row r="4025" ht="18" customHeight="1">
      <x:c r="A4025" t="str">
        <x:v>CA-2014-154963</x:v>
      </x:c>
      <x:c r="B4025" s="18" t="n">
        <x:v>41812</x:v>
      </x:c>
      <x:c r="C4025" t="str">
        <x:v>AA-10645</x:v>
      </x:c>
      <x:c r="D4025" t="str">
        <x:v>Anna Andreadi</x:v>
      </x:c>
      <x:c r="E4025" t="str">
        <x:v>Consumer</x:v>
      </x:c>
      <x:c r="F4025" t="str">
        <x:v>East</x:v>
      </x:c>
      <x:c r="G4025" t="str">
        <x:v>Furniture</x:v>
      </x:c>
      <x:c r="H4025" t="str">
        <x:v>Chairs</x:v>
      </x:c>
      <x:c r="I4025" s="22" t="n">
        <x:v>170.058</x:v>
      </x:c>
      <x:c r="J4025" s="24" t="n">
        <x:v>3</x:v>
      </x:c>
      <x:c r="K4025" s="26" t="n">
        <x:v>0.3</x:v>
      </x:c>
      <x:c r="L4025" s="22" t="n">
        <x:v>-4.858799999999988</x:v>
      </x:c>
      <x:c r="M4025" t="n">
        <x:v>2014</x:v>
      </x:c>
      <x:c r="N4025" s="20" t="n">
        <x:v>41791</x:v>
      </x:c>
    </x:row>
    <x:row r="4026" ht="18" customHeight="1">
      <x:c r="A4026" t="str">
        <x:v>CA-2014-154963</x:v>
      </x:c>
      <x:c r="B4026" s="18" t="n">
        <x:v>41812</x:v>
      </x:c>
      <x:c r="C4026" t="str">
        <x:v>AA-10645</x:v>
      </x:c>
      <x:c r="D4026" t="str">
        <x:v>Anna Andreadi</x:v>
      </x:c>
      <x:c r="E4026" t="str">
        <x:v>Consumer</x:v>
      </x:c>
      <x:c r="F4026" t="str">
        <x:v>East</x:v>
      </x:c>
      <x:c r="G4026" t="str">
        <x:v>Technology</x:v>
      </x:c>
      <x:c r="H4026" t="str">
        <x:v>Phones</x:v>
      </x:c>
      <x:c r="I4026" s="22" t="n">
        <x:v>82.78200000000001</x:v>
      </x:c>
      <x:c r="J4026" s="24" t="n">
        <x:v>3</x:v>
      </x:c>
      <x:c r="K4026" s="26" t="n">
        <x:v>0.4</x:v>
      </x:c>
      <x:c r="L4026" s="22" t="n">
        <x:v>-15.176700000000004</x:v>
      </x:c>
      <x:c r="M4026" t="n">
        <x:v>2014</x:v>
      </x:c>
      <x:c r="N4026" s="20" t="n">
        <x:v>41791</x:v>
      </x:c>
    </x:row>
    <x:row r="4027" ht="18" customHeight="1">
      <x:c r="A4027" t="str">
        <x:v>CA-2014-154963</x:v>
      </x:c>
      <x:c r="B4027" s="18" t="n">
        <x:v>41812</x:v>
      </x:c>
      <x:c r="C4027" t="str">
        <x:v>AA-10645</x:v>
      </x:c>
      <x:c r="D4027" t="str">
        <x:v>Anna Andreadi</x:v>
      </x:c>
      <x:c r="E4027" t="str">
        <x:v>Consumer</x:v>
      </x:c>
      <x:c r="F4027" t="str">
        <x:v>East</x:v>
      </x:c>
      <x:c r="G4027" t="str">
        <x:v>Furniture</x:v>
      </x:c>
      <x:c r="H4027" t="str">
        <x:v>Chairs</x:v>
      </x:c>
      <x:c r="I4027" s="22" t="n">
        <x:v>853.9299999999998</x:v>
      </x:c>
      <x:c r="J4027" s="24" t="n">
        <x:v>5</x:v>
      </x:c>
      <x:c r="K4027" s="26" t="n">
        <x:v>0.3</x:v>
      </x:c>
      <x:c r="L4027" s="22" t="n">
        <x:v>0</x:v>
      </x:c>
      <x:c r="M4027" t="n">
        <x:v>2014</x:v>
      </x:c>
      <x:c r="N4027" s="20" t="n">
        <x:v>41791</x:v>
      </x:c>
    </x:row>
    <x:row r="4028" ht="18" customHeight="1">
      <x:c r="A4028" t="str">
        <x:v>CA-2017-130764</x:v>
      </x:c>
      <x:c r="B4028" s="18" t="n">
        <x:v>43035</x:v>
      </x:c>
      <x:c r="C4028" t="str">
        <x:v>JO-15145</x:v>
      </x:c>
      <x:c r="D4028" t="str">
        <x:v>Jack O'Briant</x:v>
      </x:c>
      <x:c r="E4028" t="str">
        <x:v>Corporate</x:v>
      </x:c>
      <x:c r="F4028" t="str">
        <x:v>West</x:v>
      </x:c>
      <x:c r="G4028" t="str">
        <x:v>Furniture</x:v>
      </x:c>
      <x:c r="H4028" t="str">
        <x:v>Bookcases</x:v>
      </x:c>
      <x:c r="I4028" s="22" t="n">
        <x:v>556.665</x:v>
      </x:c>
      <x:c r="J4028" s="24" t="n">
        <x:v>5</x:v>
      </x:c>
      <x:c r="K4028" s="26" t="n">
        <x:v>0.15</x:v>
      </x:c>
      <x:c r="L4028" s="22" t="n">
        <x:v>6.549000000000021</x:v>
      </x:c>
      <x:c r="M4028" t="n">
        <x:v>2017</x:v>
      </x:c>
      <x:c r="N4028" s="20" t="n">
        <x:v>43009</x:v>
      </x:c>
    </x:row>
    <x:row r="4029" ht="18" customHeight="1">
      <x:c r="A4029" t="str">
        <x:v>CA-2017-130764</x:v>
      </x:c>
      <x:c r="B4029" s="18" t="n">
        <x:v>43035</x:v>
      </x:c>
      <x:c r="C4029" t="str">
        <x:v>JO-15145</x:v>
      </x:c>
      <x:c r="D4029" t="str">
        <x:v>Jack O'Briant</x:v>
      </x:c>
      <x:c r="E4029" t="str">
        <x:v>Corporate</x:v>
      </x:c>
      <x:c r="F4029" t="str">
        <x:v>West</x:v>
      </x:c>
      <x:c r="G4029" t="str">
        <x:v>Technology</x:v>
      </x:c>
      <x:c r="H4029" t="str">
        <x:v>Phones</x:v>
      </x:c>
      <x:c r="I4029" s="22" t="n">
        <x:v>95.84</x:v>
      </x:c>
      <x:c r="J4029" s="24" t="n">
        <x:v>4</x:v>
      </x:c>
      <x:c r="K4029" s="26" t="n">
        <x:v>0.2</x:v>
      </x:c>
      <x:c r="L4029" s="22" t="n">
        <x:v>34.742</x:v>
      </x:c>
      <x:c r="M4029" t="n">
        <x:v>2017</x:v>
      </x:c>
      <x:c r="N4029" s="20" t="n">
        <x:v>43009</x:v>
      </x:c>
    </x:row>
    <x:row r="4030" ht="18" customHeight="1">
      <x:c r="A4030" t="str">
        <x:v>CA-2017-139311</x:v>
      </x:c>
      <x:c r="B4030" s="18" t="n">
        <x:v>42958</x:v>
      </x:c>
      <x:c r="C4030" t="str">
        <x:v>SF-20965</x:v>
      </x:c>
      <x:c r="D4030" t="str">
        <x:v>Sylvia Foulston</x:v>
      </x:c>
      <x:c r="E4030" t="str">
        <x:v>Corporate</x:v>
      </x:c>
      <x:c r="F4030" t="str">
        <x:v>Central</x:v>
      </x:c>
      <x:c r="G4030" t="str">
        <x:v>Office Supplies</x:v>
      </x:c>
      <x:c r="H4030" t="str">
        <x:v>Paper</x:v>
      </x:c>
      <x:c r="I4030" s="22" t="n">
        <x:v>29.664</x:v>
      </x:c>
      <x:c r="J4030" s="24" t="n">
        <x:v>4</x:v>
      </x:c>
      <x:c r="K4030" s="26" t="n">
        <x:v>0.2</x:v>
      </x:c>
      <x:c r="L4030" s="22" t="n">
        <x:v>10.011599999999998</x:v>
      </x:c>
      <x:c r="M4030" t="n">
        <x:v>2017</x:v>
      </x:c>
      <x:c r="N4030" s="20" t="n">
        <x:v>42948</x:v>
      </x:c>
    </x:row>
    <x:row r="4031" ht="18" customHeight="1">
      <x:c r="A4031" t="str">
        <x:v>CA-2017-139311</x:v>
      </x:c>
      <x:c r="B4031" s="18" t="n">
        <x:v>42958</x:v>
      </x:c>
      <x:c r="C4031" t="str">
        <x:v>SF-20965</x:v>
      </x:c>
      <x:c r="D4031" t="str">
        <x:v>Sylvia Foulston</x:v>
      </x:c>
      <x:c r="E4031" t="str">
        <x:v>Corporate</x:v>
      </x:c>
      <x:c r="F4031" t="str">
        <x:v>Central</x:v>
      </x:c>
      <x:c r="G4031" t="str">
        <x:v>Office Supplies</x:v>
      </x:c>
      <x:c r="H4031" t="str">
        <x:v>Art</x:v>
      </x:c>
      <x:c r="I4031" s="22" t="n">
        <x:v>9.184000000000001</x:v>
      </x:c>
      <x:c r="J4031" s="24" t="n">
        <x:v>7</x:v>
      </x:c>
      <x:c r="K4031" s="26" t="n">
        <x:v>0.2</x:v>
      </x:c>
      <x:c r="L4031" s="22" t="n">
        <x:v>2.869999999999999</x:v>
      </x:c>
      <x:c r="M4031" t="n">
        <x:v>2017</x:v>
      </x:c>
      <x:c r="N4031" s="20" t="n">
        <x:v>42948</x:v>
      </x:c>
    </x:row>
    <x:row r="4032" ht="18" customHeight="1">
      <x:c r="A4032" t="str">
        <x:v>CA-2017-139311</x:v>
      </x:c>
      <x:c r="B4032" s="18" t="n">
        <x:v>42958</x:v>
      </x:c>
      <x:c r="C4032" t="str">
        <x:v>SF-20965</x:v>
      </x:c>
      <x:c r="D4032" t="str">
        <x:v>Sylvia Foulston</x:v>
      </x:c>
      <x:c r="E4032" t="str">
        <x:v>Corporate</x:v>
      </x:c>
      <x:c r="F4032" t="str">
        <x:v>Central</x:v>
      </x:c>
      <x:c r="G4032" t="str">
        <x:v>Technology</x:v>
      </x:c>
      <x:c r="H4032" t="str">
        <x:v>Phones</x:v>
      </x:c>
      <x:c r="I4032" s="22" t="n">
        <x:v>153.584</x:v>
      </x:c>
      <x:c r="J4032" s="24" t="n">
        <x:v>2</x:v>
      </x:c>
      <x:c r="K4032" s="26" t="n">
        <x:v>0.2</x:v>
      </x:c>
      <x:c r="L4032" s="22" t="n">
        <x:v>13.438599999999994</x:v>
      </x:c>
      <x:c r="M4032" t="n">
        <x:v>2017</x:v>
      </x:c>
      <x:c r="N4032" s="20" t="n">
        <x:v>42948</x:v>
      </x:c>
    </x:row>
    <x:row r="4033" ht="18" customHeight="1">
      <x:c r="A4033" t="str">
        <x:v>CA-2017-139311</x:v>
      </x:c>
      <x:c r="B4033" s="18" t="n">
        <x:v>42958</x:v>
      </x:c>
      <x:c r="C4033" t="str">
        <x:v>SF-20965</x:v>
      </x:c>
      <x:c r="D4033" t="str">
        <x:v>Sylvia Foulston</x:v>
      </x:c>
      <x:c r="E4033" t="str">
        <x:v>Corporate</x:v>
      </x:c>
      <x:c r="F4033" t="str">
        <x:v>Central</x:v>
      </x:c>
      <x:c r="G4033" t="str">
        <x:v>Office Supplies</x:v>
      </x:c>
      <x:c r="H4033" t="str">
        <x:v>Binders</x:v>
      </x:c>
      <x:c r="I4033" s="22" t="n">
        <x:v>12.863999999999995</x:v>
      </x:c>
      <x:c r="J4033" s="24" t="n">
        <x:v>8</x:v>
      </x:c>
      <x:c r="K4033" s="26" t="n">
        <x:v>0.8</x:v>
      </x:c>
      <x:c r="L4033" s="22" t="n">
        <x:v>-22.512</x:v>
      </x:c>
      <x:c r="M4033" t="n">
        <x:v>2017</x:v>
      </x:c>
      <x:c r="N4033" s="20" t="n">
        <x:v>42948</x:v>
      </x:c>
    </x:row>
    <x:row r="4034" ht="18" customHeight="1">
      <x:c r="A4034" t="str">
        <x:v>CA-2017-124296</x:v>
      </x:c>
      <x:c r="B4034" s="18" t="n">
        <x:v>43093</x:v>
      </x:c>
      <x:c r="C4034" t="str">
        <x:v>CS-12355</x:v>
      </x:c>
      <x:c r="D4034" t="str">
        <x:v>Christine Sundaresam</x:v>
      </x:c>
      <x:c r="E4034" t="str">
        <x:v>Consumer</x:v>
      </x:c>
      <x:c r="F4034" t="str">
        <x:v>South</x:v>
      </x:c>
      <x:c r="G4034" t="str">
        <x:v>Technology</x:v>
      </x:c>
      <x:c r="H4034" t="str">
        <x:v>Machines</x:v>
      </x:c>
      <x:c r="I4034" s="22" t="n">
        <x:v>479.97</x:v>
      </x:c>
      <x:c r="J4034" s="24" t="n">
        <x:v>3</x:v>
      </x:c>
      <x:c r="K4034" s="26" t="n">
        <x:v>0</x:v>
      </x:c>
      <x:c r="L4034" s="22" t="n">
        <x:v>239.985</x:v>
      </x:c>
      <x:c r="M4034" t="n">
        <x:v>2017</x:v>
      </x:c>
      <x:c r="N4034" s="20" t="n">
        <x:v>43070</x:v>
      </x:c>
    </x:row>
    <x:row r="4035" ht="18" customHeight="1">
      <x:c r="A4035" t="str">
        <x:v>CA-2017-124296</x:v>
      </x:c>
      <x:c r="B4035" s="18" t="n">
        <x:v>43093</x:v>
      </x:c>
      <x:c r="C4035" t="str">
        <x:v>CS-12355</x:v>
      </x:c>
      <x:c r="D4035" t="str">
        <x:v>Christine Sundaresam</x:v>
      </x:c>
      <x:c r="E4035" t="str">
        <x:v>Consumer</x:v>
      </x:c>
      <x:c r="F4035" t="str">
        <x:v>South</x:v>
      </x:c>
      <x:c r="G4035" t="str">
        <x:v>Furniture</x:v>
      </x:c>
      <x:c r="H4035" t="str">
        <x:v>Chairs</x:v>
      </x:c>
      <x:c r="I4035" s="22" t="n">
        <x:v>232.88</x:v>
      </x:c>
      <x:c r="J4035" s="24" t="n">
        <x:v>4</x:v>
      </x:c>
      <x:c r="K4035" s="26" t="n">
        <x:v>0</x:v>
      </x:c>
      <x:c r="L4035" s="22" t="n">
        <x:v>60.5488</x:v>
      </x:c>
      <x:c r="M4035" t="n">
        <x:v>2017</x:v>
      </x:c>
      <x:c r="N4035" s="20" t="n">
        <x:v>43070</x:v>
      </x:c>
    </x:row>
    <x:row r="4036" ht="18" customHeight="1">
      <x:c r="A4036" t="str">
        <x:v>CA-2016-169957</x:v>
      </x:c>
      <x:c r="B4036" s="18" t="n">
        <x:v>42639</x:v>
      </x:c>
      <x:c r="C4036" t="str">
        <x:v>SN-20710</x:v>
      </x:c>
      <x:c r="D4036" t="str">
        <x:v>Steve Nguyen</x:v>
      </x:c>
      <x:c r="E4036" t="str">
        <x:v>Home Office</x:v>
      </x:c>
      <x:c r="F4036" t="str">
        <x:v>West</x:v>
      </x:c>
      <x:c r="G4036" t="str">
        <x:v>Office Supplies</x:v>
      </x:c>
      <x:c r="H4036" t="str">
        <x:v>Appliances</x:v>
      </x:c>
      <x:c r="I4036" s="22" t="n">
        <x:v>236.88</x:v>
      </x:c>
      <x:c r="J4036" s="24" t="n">
        <x:v>6</x:v>
      </x:c>
      <x:c r="K4036" s="26" t="n">
        <x:v>0</x:v>
      </x:c>
      <x:c r="L4036" s="22" t="n">
        <x:v>66.3264</x:v>
      </x:c>
      <x:c r="M4036" t="n">
        <x:v>2016</x:v>
      </x:c>
      <x:c r="N4036" s="20" t="n">
        <x:v>42614</x:v>
      </x:c>
    </x:row>
    <x:row r="4037" ht="18" customHeight="1">
      <x:c r="A4037" t="str">
        <x:v>CA-2016-169957</x:v>
      </x:c>
      <x:c r="B4037" s="18" t="n">
        <x:v>42639</x:v>
      </x:c>
      <x:c r="C4037" t="str">
        <x:v>SN-20710</x:v>
      </x:c>
      <x:c r="D4037" t="str">
        <x:v>Steve Nguyen</x:v>
      </x:c>
      <x:c r="E4037" t="str">
        <x:v>Home Office</x:v>
      </x:c>
      <x:c r="F4037" t="str">
        <x:v>West</x:v>
      </x:c>
      <x:c r="G4037" t="str">
        <x:v>Office Supplies</x:v>
      </x:c>
      <x:c r="H4037" t="str">
        <x:v>Paper</x:v>
      </x:c>
      <x:c r="I4037" s="22" t="n">
        <x:v>29.900000000000002</x:v>
      </x:c>
      <x:c r="J4037" s="24" t="n">
        <x:v>5</x:v>
      </x:c>
      <x:c r="K4037" s="26" t="n">
        <x:v>0</x:v>
      </x:c>
      <x:c r="L4037" s="22" t="n">
        <x:v>14.651</x:v>
      </x:c>
      <x:c r="M4037" t="n">
        <x:v>2016</x:v>
      </x:c>
      <x:c r="N4037" s="20" t="n">
        <x:v>42614</x:v>
      </x:c>
    </x:row>
    <x:row r="4038" ht="18" customHeight="1">
      <x:c r="A4038" t="str">
        <x:v>CA-2016-169957</x:v>
      </x:c>
      <x:c r="B4038" s="18" t="n">
        <x:v>42639</x:v>
      </x:c>
      <x:c r="C4038" t="str">
        <x:v>SN-20710</x:v>
      </x:c>
      <x:c r="D4038" t="str">
        <x:v>Steve Nguyen</x:v>
      </x:c>
      <x:c r="E4038" t="str">
        <x:v>Home Office</x:v>
      </x:c>
      <x:c r="F4038" t="str">
        <x:v>West</x:v>
      </x:c>
      <x:c r="G4038" t="str">
        <x:v>Technology</x:v>
      </x:c>
      <x:c r="H4038" t="str">
        <x:v>Accessories</x:v>
      </x:c>
      <x:c r="I4038" s="22" t="n">
        <x:v>100</x:v>
      </x:c>
      <x:c r="J4038" s="24" t="n">
        <x:v>4</x:v>
      </x:c>
      <x:c r="K4038" s="26" t="n">
        <x:v>0</x:v>
      </x:c>
      <x:c r="L4038" s="22" t="n">
        <x:v>21</x:v>
      </x:c>
      <x:c r="M4038" t="n">
        <x:v>2016</x:v>
      </x:c>
      <x:c r="N4038" s="20" t="n">
        <x:v>42614</x:v>
      </x:c>
    </x:row>
    <x:row r="4039" ht="18" customHeight="1">
      <x:c r="A4039" t="str">
        <x:v>US-2016-108777</x:v>
      </x:c>
      <x:c r="B4039" s="18" t="n">
        <x:v>42716</x:v>
      </x:c>
      <x:c r="C4039" t="str">
        <x:v>JM-15655</x:v>
      </x:c>
      <x:c r="D4039" t="str">
        <x:v>Jim Mitchum</x:v>
      </x:c>
      <x:c r="E4039" t="str">
        <x:v>Corporate</x:v>
      </x:c>
      <x:c r="F4039" t="str">
        <x:v>East</x:v>
      </x:c>
      <x:c r="G4039" t="str">
        <x:v>Office Supplies</x:v>
      </x:c>
      <x:c r="H4039" t="str">
        <x:v>Binders</x:v>
      </x:c>
      <x:c r="I4039" s="22" t="n">
        <x:v>18.693</x:v>
      </x:c>
      <x:c r="J4039" s="24" t="n">
        <x:v>3</x:v>
      </x:c>
      <x:c r="K4039" s="26" t="n">
        <x:v>0.7</x:v>
      </x:c>
      <x:c r="L4039" s="22" t="n">
        <x:v>-14.331299999999992</x:v>
      </x:c>
      <x:c r="M4039" t="n">
        <x:v>2016</x:v>
      </x:c>
      <x:c r="N4039" s="20" t="n">
        <x:v>42705</x:v>
      </x:c>
    </x:row>
    <x:row r="4040" ht="18" customHeight="1">
      <x:c r="A4040" t="str">
        <x:v>US-2016-108777</x:v>
      </x:c>
      <x:c r="B4040" s="18" t="n">
        <x:v>42716</x:v>
      </x:c>
      <x:c r="C4040" t="str">
        <x:v>JM-15655</x:v>
      </x:c>
      <x:c r="D4040" t="str">
        <x:v>Jim Mitchum</x:v>
      </x:c>
      <x:c r="E4040" t="str">
        <x:v>Corporate</x:v>
      </x:c>
      <x:c r="F4040" t="str">
        <x:v>East</x:v>
      </x:c>
      <x:c r="G4040" t="str">
        <x:v>Technology</x:v>
      </x:c>
      <x:c r="H4040" t="str">
        <x:v>Accessories</x:v>
      </x:c>
      <x:c r="I4040" s="22" t="n">
        <x:v>383.952</x:v>
      </x:c>
      <x:c r="J4040" s="24" t="n">
        <x:v>6</x:v>
      </x:c>
      <x:c r="K4040" s="26" t="n">
        <x:v>0.2</x:v>
      </x:c>
      <x:c r="L4040" s="22" t="n">
        <x:v>76.79039999999998</x:v>
      </x:c>
      <x:c r="M4040" t="n">
        <x:v>2016</x:v>
      </x:c>
      <x:c r="N4040" s="20" t="n">
        <x:v>42705</x:v>
      </x:c>
    </x:row>
    <x:row r="4041" ht="18" customHeight="1">
      <x:c r="A4041" t="str">
        <x:v>CA-2015-148859</x:v>
      </x:c>
      <x:c r="B4041" s="18" t="n">
        <x:v>42366</x:v>
      </x:c>
      <x:c r="C4041" t="str">
        <x:v>FH-14350</x:v>
      </x:c>
      <x:c r="D4041" t="str">
        <x:v>Fred Harton</x:v>
      </x:c>
      <x:c r="E4041" t="str">
        <x:v>Consumer</x:v>
      </x:c>
      <x:c r="F4041" t="str">
        <x:v>Central</x:v>
      </x:c>
      <x:c r="G4041" t="str">
        <x:v>Office Supplies</x:v>
      </x:c>
      <x:c r="H4041" t="str">
        <x:v>Storage</x:v>
      </x:c>
      <x:c r="I4041" s="22" t="n">
        <x:v>24.816000000000003</x:v>
      </x:c>
      <x:c r="J4041" s="24" t="n">
        <x:v>2</x:v>
      </x:c>
      <x:c r="K4041" s="26" t="n">
        <x:v>0.2</x:v>
      </x:c>
      <x:c r="L4041" s="22" t="n">
        <x:v>1.5509999999999984</x:v>
      </x:c>
      <x:c r="M4041" t="n">
        <x:v>2015</x:v>
      </x:c>
      <x:c r="N4041" s="20" t="n">
        <x:v>42339</x:v>
      </x:c>
    </x:row>
    <x:row r="4042" ht="18" customHeight="1">
      <x:c r="A4042" t="str">
        <x:v>CA-2014-110786</x:v>
      </x:c>
      <x:c r="B4042" s="18" t="n">
        <x:v>42002</x:v>
      </x:c>
      <x:c r="C4042" t="str">
        <x:v>AJ-10795</x:v>
      </x:c>
      <x:c r="D4042" t="str">
        <x:v>Anthony Johnson</x:v>
      </x:c>
      <x:c r="E4042" t="str">
        <x:v>Corporate</x:v>
      </x:c>
      <x:c r="F4042" t="str">
        <x:v>West</x:v>
      </x:c>
      <x:c r="G4042" t="str">
        <x:v>Furniture</x:v>
      </x:c>
      <x:c r="H4042" t="str">
        <x:v>Furnishings</x:v>
      </x:c>
      <x:c r="I4042" s="22" t="n">
        <x:v>24.900000000000002</x:v>
      </x:c>
      <x:c r="J4042" s="24" t="n">
        <x:v>5</x:v>
      </x:c>
      <x:c r="K4042" s="26" t="n">
        <x:v>0</x:v>
      </x:c>
      <x:c r="L4042" s="22" t="n">
        <x:v>8.216999999999999</x:v>
      </x:c>
      <x:c r="M4042" t="n">
        <x:v>2014</x:v>
      </x:c>
      <x:c r="N4042" s="20" t="n">
        <x:v>41974</x:v>
      </x:c>
    </x:row>
    <x:row r="4043" ht="18" customHeight="1">
      <x:c r="A4043" t="str">
        <x:v>CA-2014-110786</x:v>
      </x:c>
      <x:c r="B4043" s="18" t="n">
        <x:v>42002</x:v>
      </x:c>
      <x:c r="C4043" t="str">
        <x:v>AJ-10795</x:v>
      </x:c>
      <x:c r="D4043" t="str">
        <x:v>Anthony Johnson</x:v>
      </x:c>
      <x:c r="E4043" t="str">
        <x:v>Corporate</x:v>
      </x:c>
      <x:c r="F4043" t="str">
        <x:v>West</x:v>
      </x:c>
      <x:c r="G4043" t="str">
        <x:v>Office Supplies</x:v>
      </x:c>
      <x:c r="H4043" t="str">
        <x:v>Paper</x:v>
      </x:c>
      <x:c r="I4043" s="22" t="n">
        <x:v>21.12</x:v>
      </x:c>
      <x:c r="J4043" s="24" t="n">
        <x:v>4</x:v>
      </x:c>
      <x:c r="K4043" s="26" t="n">
        <x:v>0</x:v>
      </x:c>
      <x:c r="L4043" s="22" t="n">
        <x:v>9.504</x:v>
      </x:c>
      <x:c r="M4043" t="n">
        <x:v>2014</x:v>
      </x:c>
      <x:c r="N4043" s="20" t="n">
        <x:v>41974</x:v>
      </x:c>
    </x:row>
    <x:row r="4044" ht="18" customHeight="1">
      <x:c r="A4044" t="str">
        <x:v>CA-2014-110786</x:v>
      </x:c>
      <x:c r="B4044" s="18" t="n">
        <x:v>42002</x:v>
      </x:c>
      <x:c r="C4044" t="str">
        <x:v>AJ-10795</x:v>
      </x:c>
      <x:c r="D4044" t="str">
        <x:v>Anthony Johnson</x:v>
      </x:c>
      <x:c r="E4044" t="str">
        <x:v>Corporate</x:v>
      </x:c>
      <x:c r="F4044" t="str">
        <x:v>West</x:v>
      </x:c>
      <x:c r="G4044" t="str">
        <x:v>Technology</x:v>
      </x:c>
      <x:c r="H4044" t="str">
        <x:v>Machines</x:v>
      </x:c>
      <x:c r="I4044" s="22" t="n">
        <x:v>767.9520000000001</x:v>
      </x:c>
      <x:c r="J4044" s="24" t="n">
        <x:v>6</x:v>
      </x:c>
      <x:c r="K4044" s="26" t="n">
        <x:v>0.2</x:v>
      </x:c>
      <x:c r="L4044" s="22" t="n">
        <x:v>287.98199999999997</x:v>
      </x:c>
      <x:c r="M4044" t="n">
        <x:v>2014</x:v>
      </x:c>
      <x:c r="N4044" s="20" t="n">
        <x:v>41974</x:v>
      </x:c>
    </x:row>
    <x:row r="4045" ht="18" customHeight="1">
      <x:c r="A4045" t="str">
        <x:v>CA-2014-110786</x:v>
      </x:c>
      <x:c r="B4045" s="18" t="n">
        <x:v>42002</x:v>
      </x:c>
      <x:c r="C4045" t="str">
        <x:v>AJ-10795</x:v>
      </x:c>
      <x:c r="D4045" t="str">
        <x:v>Anthony Johnson</x:v>
      </x:c>
      <x:c r="E4045" t="str">
        <x:v>Corporate</x:v>
      </x:c>
      <x:c r="F4045" t="str">
        <x:v>West</x:v>
      </x:c>
      <x:c r="G4045" t="str">
        <x:v>Office Supplies</x:v>
      </x:c>
      <x:c r="H4045" t="str">
        <x:v>Binders</x:v>
      </x:c>
      <x:c r="I4045" s="22" t="n">
        <x:v>14.352000000000002</x:v>
      </x:c>
      <x:c r="J4045" s="24" t="n">
        <x:v>3</x:v>
      </x:c>
      <x:c r="K4045" s="26" t="n">
        <x:v>0.2</x:v>
      </x:c>
      <x:c r="L4045" s="22" t="n">
        <x:v>4.664399999999999</x:v>
      </x:c>
      <x:c r="M4045" t="n">
        <x:v>2014</x:v>
      </x:c>
      <x:c r="N4045" s="20" t="n">
        <x:v>41974</x:v>
      </x:c>
    </x:row>
    <x:row r="4046" ht="18" customHeight="1">
      <x:c r="A4046" t="str">
        <x:v>CA-2014-110786</x:v>
      </x:c>
      <x:c r="B4046" s="18" t="n">
        <x:v>42002</x:v>
      </x:c>
      <x:c r="C4046" t="str">
        <x:v>AJ-10795</x:v>
      </x:c>
      <x:c r="D4046" t="str">
        <x:v>Anthony Johnson</x:v>
      </x:c>
      <x:c r="E4046" t="str">
        <x:v>Corporate</x:v>
      </x:c>
      <x:c r="F4046" t="str">
        <x:v>West</x:v>
      </x:c>
      <x:c r="G4046" t="str">
        <x:v>Technology</x:v>
      </x:c>
      <x:c r="H4046" t="str">
        <x:v>Phones</x:v>
      </x:c>
      <x:c r="I4046" s="22" t="n">
        <x:v>191.976</x:v>
      </x:c>
      <x:c r="J4046" s="24" t="n">
        <x:v>3</x:v>
      </x:c>
      <x:c r="K4046" s="26" t="n">
        <x:v>0.2</x:v>
      </x:c>
      <x:c r="L4046" s="22" t="n">
        <x:v>19.197599999999994</x:v>
      </x:c>
      <x:c r="M4046" t="n">
        <x:v>2014</x:v>
      </x:c>
      <x:c r="N4046" s="20" t="n">
        <x:v>41974</x:v>
      </x:c>
    </x:row>
    <x:row r="4047" ht="18" customHeight="1">
      <x:c r="A4047" t="str">
        <x:v>CA-2014-110786</x:v>
      </x:c>
      <x:c r="B4047" s="18" t="n">
        <x:v>42002</x:v>
      </x:c>
      <x:c r="C4047" t="str">
        <x:v>AJ-10795</x:v>
      </x:c>
      <x:c r="D4047" t="str">
        <x:v>Anthony Johnson</x:v>
      </x:c>
      <x:c r="E4047" t="str">
        <x:v>Corporate</x:v>
      </x:c>
      <x:c r="F4047" t="str">
        <x:v>West</x:v>
      </x:c>
      <x:c r="G4047" t="str">
        <x:v>Office Supplies</x:v>
      </x:c>
      <x:c r="H4047" t="str">
        <x:v>Labels</x:v>
      </x:c>
      <x:c r="I4047" s="22" t="n">
        <x:v>274.77</x:v>
      </x:c>
      <x:c r="J4047" s="24" t="n">
        <x:v>9</x:v>
      </x:c>
      <x:c r="K4047" s="26" t="n">
        <x:v>0</x:v>
      </x:c>
      <x:c r="L4047" s="22" t="n">
        <x:v>126.39420000000001</x:v>
      </x:c>
      <x:c r="M4047" t="n">
        <x:v>2014</x:v>
      </x:c>
      <x:c r="N4047" s="20" t="n">
        <x:v>41974</x:v>
      </x:c>
    </x:row>
    <x:row r="4048" ht="18" customHeight="1">
      <x:c r="A4048" t="str">
        <x:v>CA-2014-110786</x:v>
      </x:c>
      <x:c r="B4048" s="18" t="n">
        <x:v>42002</x:v>
      </x:c>
      <x:c r="C4048" t="str">
        <x:v>AJ-10795</x:v>
      </x:c>
      <x:c r="D4048" t="str">
        <x:v>Anthony Johnson</x:v>
      </x:c>
      <x:c r="E4048" t="str">
        <x:v>Corporate</x:v>
      </x:c>
      <x:c r="F4048" t="str">
        <x:v>West</x:v>
      </x:c>
      <x:c r="G4048" t="str">
        <x:v>Furniture</x:v>
      </x:c>
      <x:c r="H4048" t="str">
        <x:v>Furnishings</x:v>
      </x:c>
      <x:c r="I4048" s="22" t="n">
        <x:v>70.56</x:v>
      </x:c>
      <x:c r="J4048" s="24" t="n">
        <x:v>6</x:v>
      </x:c>
      <x:c r="K4048" s="26" t="n">
        <x:v>0</x:v>
      </x:c>
      <x:c r="L4048" s="22" t="n">
        <x:v>23.990399999999994</x:v>
      </x:c>
      <x:c r="M4048" t="n">
        <x:v>2014</x:v>
      </x:c>
      <x:c r="N4048" s="20" t="n">
        <x:v>41974</x:v>
      </x:c>
    </x:row>
    <x:row r="4049" ht="18" customHeight="1">
      <x:c r="A4049" t="str">
        <x:v>CA-2015-137750</x:v>
      </x:c>
      <x:c r="B4049" s="18" t="n">
        <x:v>42180</x:v>
      </x:c>
      <x:c r="C4049" t="str">
        <x:v>JF-15565</x:v>
      </x:c>
      <x:c r="D4049" t="str">
        <x:v>Jill Fjeld</x:v>
      </x:c>
      <x:c r="E4049" t="str">
        <x:v>Consumer</x:v>
      </x:c>
      <x:c r="F4049" t="str">
        <x:v>West</x:v>
      </x:c>
      <x:c r="G4049" t="str">
        <x:v>Furniture</x:v>
      </x:c>
      <x:c r="H4049" t="str">
        <x:v>Furnishings</x:v>
      </x:c>
      <x:c r="I4049" s="22" t="n">
        <x:v>204.85</x:v>
      </x:c>
      <x:c r="J4049" s="24" t="n">
        <x:v>5</x:v>
      </x:c>
      <x:c r="K4049" s="26" t="n">
        <x:v>0</x:v>
      </x:c>
      <x:c r="L4049" s="22" t="n">
        <x:v>57.35800000000001</x:v>
      </x:c>
      <x:c r="M4049" t="n">
        <x:v>2015</x:v>
      </x:c>
      <x:c r="N4049" s="20" t="n">
        <x:v>42156</x:v>
      </x:c>
    </x:row>
    <x:row r="4050" ht="18" customHeight="1">
      <x:c r="A4050" t="str">
        <x:v>CA-2015-136378</x:v>
      </x:c>
      <x:c r="B4050" s="18" t="n">
        <x:v>42096</x:v>
      </x:c>
      <x:c r="C4050" t="str">
        <x:v>CS-11845</x:v>
      </x:c>
      <x:c r="D4050" t="str">
        <x:v>Cari Sayre</x:v>
      </x:c>
      <x:c r="E4050" t="str">
        <x:v>Corporate</x:v>
      </x:c>
      <x:c r="F4050" t="str">
        <x:v>Central</x:v>
      </x:c>
      <x:c r="G4050" t="str">
        <x:v>Office Supplies</x:v>
      </x:c>
      <x:c r="H4050" t="str">
        <x:v>Binders</x:v>
      </x:c>
      <x:c r="I4050" s="22" t="n">
        <x:v>9.155999999999997</x:v>
      </x:c>
      <x:c r="J4050" s="24" t="n">
        <x:v>3</x:v>
      </x:c>
      <x:c r="K4050" s="26" t="n">
        <x:v>0.8</x:v>
      </x:c>
      <x:c r="L4050" s="22" t="n">
        <x:v>-13.734000000000002</x:v>
      </x:c>
      <x:c r="M4050" t="n">
        <x:v>2015</x:v>
      </x:c>
      <x:c r="N4050" s="20" t="n">
        <x:v>42095</x:v>
      </x:c>
    </x:row>
    <x:row r="4051" ht="18" customHeight="1">
      <x:c r="A4051" t="str">
        <x:v>CA-2017-100356</x:v>
      </x:c>
      <x:c r="B4051" s="18" t="n">
        <x:v>43029</x:v>
      </x:c>
      <x:c r="C4051" t="str">
        <x:v>SP-20920</x:v>
      </x:c>
      <x:c r="D4051" t="str">
        <x:v>Susan Pistek</x:v>
      </x:c>
      <x:c r="E4051" t="str">
        <x:v>Consumer</x:v>
      </x:c>
      <x:c r="F4051" t="str">
        <x:v>Central</x:v>
      </x:c>
      <x:c r="G4051" t="str">
        <x:v>Office Supplies</x:v>
      </x:c>
      <x:c r="H4051" t="str">
        <x:v>Appliances</x:v>
      </x:c>
      <x:c r="I4051" s="22" t="n">
        <x:v>23.991999999999994</x:v>
      </x:c>
      <x:c r="J4051" s="24" t="n">
        <x:v>2</x:v>
      </x:c>
      <x:c r="K4051" s="26" t="n">
        <x:v>0.8</x:v>
      </x:c>
      <x:c r="L4051" s="22" t="n">
        <x:v>-62.3792</x:v>
      </x:c>
      <x:c r="M4051" t="n">
        <x:v>2017</x:v>
      </x:c>
      <x:c r="N4051" s="20" t="n">
        <x:v>43009</x:v>
      </x:c>
    </x:row>
    <x:row r="4052" ht="18" customHeight="1">
      <x:c r="A4052" t="str">
        <x:v>US-2015-166520</x:v>
      </x:c>
      <x:c r="B4052" s="18" t="n">
        <x:v>42201</x:v>
      </x:c>
      <x:c r="C4052" t="str">
        <x:v>KE-16420</x:v>
      </x:c>
      <x:c r="D4052" t="str">
        <x:v>Katrina Edelman</x:v>
      </x:c>
      <x:c r="E4052" t="str">
        <x:v>Corporate</x:v>
      </x:c>
      <x:c r="F4052" t="str">
        <x:v>East</x:v>
      </x:c>
      <x:c r="G4052" t="str">
        <x:v>Office Supplies</x:v>
      </x:c>
      <x:c r="H4052" t="str">
        <x:v>Paper</x:v>
      </x:c>
      <x:c r="I4052" s="22" t="n">
        <x:v>80.88</x:v>
      </x:c>
      <x:c r="J4052" s="24" t="n">
        <x:v>3</x:v>
      </x:c>
      <x:c r="K4052" s="26" t="n">
        <x:v>0</x:v>
      </x:c>
      <x:c r="L4052" s="22" t="n">
        <x:v>39.6312</x:v>
      </x:c>
      <x:c r="M4052" t="n">
        <x:v>2015</x:v>
      </x:c>
      <x:c r="N4052" s="20" t="n">
        <x:v>42186</x:v>
      </x:c>
    </x:row>
    <x:row r="4053" ht="18" customHeight="1">
      <x:c r="A4053" t="str">
        <x:v>US-2015-166520</x:v>
      </x:c>
      <x:c r="B4053" s="18" t="n">
        <x:v>42201</x:v>
      </x:c>
      <x:c r="C4053" t="str">
        <x:v>KE-16420</x:v>
      </x:c>
      <x:c r="D4053" t="str">
        <x:v>Katrina Edelman</x:v>
      </x:c>
      <x:c r="E4053" t="str">
        <x:v>Corporate</x:v>
      </x:c>
      <x:c r="F4053" t="str">
        <x:v>East</x:v>
      </x:c>
      <x:c r="G4053" t="str">
        <x:v>Technology</x:v>
      </x:c>
      <x:c r="H4053" t="str">
        <x:v>Accessories</x:v>
      </x:c>
      <x:c r="I4053" s="22" t="n">
        <x:v>599.9</x:v>
      </x:c>
      <x:c r="J4053" s="24" t="n">
        <x:v>10</x:v>
      </x:c>
      <x:c r="K4053" s="26" t="n">
        <x:v>0</x:v>
      </x:c>
      <x:c r="L4053" s="22" t="n">
        <x:v>191.96799999999996</x:v>
      </x:c>
      <x:c r="M4053" t="n">
        <x:v>2015</x:v>
      </x:c>
      <x:c r="N4053" s="20" t="n">
        <x:v>42186</x:v>
      </x:c>
    </x:row>
    <x:row r="4054" ht="18" customHeight="1">
      <x:c r="A4054" t="str">
        <x:v>CA-2017-136350</x:v>
      </x:c>
      <x:c r="B4054" s="18" t="n">
        <x:v>42910</x:v>
      </x:c>
      <x:c r="C4054" t="str">
        <x:v>GA-14515</x:v>
      </x:c>
      <x:c r="D4054" t="str">
        <x:v>George Ashbrook</x:v>
      </x:c>
      <x:c r="E4054" t="str">
        <x:v>Consumer</x:v>
      </x:c>
      <x:c r="F4054" t="str">
        <x:v>East</x:v>
      </x:c>
      <x:c r="G4054" t="str">
        <x:v>Furniture</x:v>
      </x:c>
      <x:c r="H4054" t="str">
        <x:v>Furnishings</x:v>
      </x:c>
      <x:c r="I4054" s="22" t="n">
        <x:v>276.69</x:v>
      </x:c>
      <x:c r="J4054" s="24" t="n">
        <x:v>3</x:v>
      </x:c>
      <x:c r="K4054" s="26" t="n">
        <x:v>0</x:v>
      </x:c>
      <x:c r="L4054" s="22" t="n">
        <x:v>49.804199999999994</x:v>
      </x:c>
      <x:c r="M4054" t="n">
        <x:v>2017</x:v>
      </x:c>
      <x:c r="N4054" s="20" t="n">
        <x:v>42887</x:v>
      </x:c>
    </x:row>
    <x:row r="4055" ht="18" customHeight="1">
      <x:c r="A4055" t="str">
        <x:v>CA-2017-136350</x:v>
      </x:c>
      <x:c r="B4055" s="18" t="n">
        <x:v>42910</x:v>
      </x:c>
      <x:c r="C4055" t="str">
        <x:v>GA-14515</x:v>
      </x:c>
      <x:c r="D4055" t="str">
        <x:v>George Ashbrook</x:v>
      </x:c>
      <x:c r="E4055" t="str">
        <x:v>Consumer</x:v>
      </x:c>
      <x:c r="F4055" t="str">
        <x:v>East</x:v>
      </x:c>
      <x:c r="G4055" t="str">
        <x:v>Furniture</x:v>
      </x:c>
      <x:c r="H4055" t="str">
        <x:v>Chairs</x:v>
      </x:c>
      <x:c r="I4055" s="22" t="n">
        <x:v>172.764</x:v>
      </x:c>
      <x:c r="J4055" s="24" t="n">
        <x:v>2</x:v>
      </x:c>
      <x:c r="K4055" s="26" t="n">
        <x:v>0.1</x:v>
      </x:c>
      <x:c r="L4055" s="22" t="n">
        <x:v>32.633200000000016</x:v>
      </x:c>
      <x:c r="M4055" t="n">
        <x:v>2017</x:v>
      </x:c>
      <x:c r="N4055" s="20" t="n">
        <x:v>42887</x:v>
      </x:c>
    </x:row>
    <x:row r="4056" ht="18" customHeight="1">
      <x:c r="A4056" t="str">
        <x:v>CA-2014-122931</x:v>
      </x:c>
      <x:c r="B4056" s="18" t="n">
        <x:v>41911</x:v>
      </x:c>
      <x:c r="C4056" t="str">
        <x:v>SM-20950</x:v>
      </x:c>
      <x:c r="D4056" t="str">
        <x:v>Suzanne McNair</x:v>
      </x:c>
      <x:c r="E4056" t="str">
        <x:v>Corporate</x:v>
      </x:c>
      <x:c r="F4056" t="str">
        <x:v>East</x:v>
      </x:c>
      <x:c r="G4056" t="str">
        <x:v>Office Supplies</x:v>
      </x:c>
      <x:c r="H4056" t="str">
        <x:v>Art</x:v>
      </x:c>
      <x:c r="I4056" s="22" t="n">
        <x:v>4.224</x:v>
      </x:c>
      <x:c r="J4056" s="24" t="n">
        <x:v>3</x:v>
      </x:c>
      <x:c r="K4056" s="26" t="n">
        <x:v>0.2</x:v>
      </x:c>
      <x:c r="L4056" s="22" t="n">
        <x:v>1.4783999999999997</x:v>
      </x:c>
      <x:c r="M4056" t="n">
        <x:v>2014</x:v>
      </x:c>
      <x:c r="N4056" s="20" t="n">
        <x:v>41883</x:v>
      </x:c>
    </x:row>
    <x:row r="4057" ht="18" customHeight="1">
      <x:c r="A4057" t="str">
        <x:v>CA-2014-122931</x:v>
      </x:c>
      <x:c r="B4057" s="18" t="n">
        <x:v>41911</x:v>
      </x:c>
      <x:c r="C4057" t="str">
        <x:v>SM-20950</x:v>
      </x:c>
      <x:c r="D4057" t="str">
        <x:v>Suzanne McNair</x:v>
      </x:c>
      <x:c r="E4057" t="str">
        <x:v>Corporate</x:v>
      </x:c>
      <x:c r="F4057" t="str">
        <x:v>East</x:v>
      </x:c>
      <x:c r="G4057" t="str">
        <x:v>Furniture</x:v>
      </x:c>
      <x:c r="H4057" t="str">
        <x:v>Tables</x:v>
      </x:c>
      <x:c r="I4057" s="22" t="n">
        <x:v>409.272</x:v>
      </x:c>
      <x:c r="J4057" s="24" t="n">
        <x:v>2</x:v>
      </x:c>
      <x:c r="K4057" s="26" t="n">
        <x:v>0.4</x:v>
      </x:c>
      <x:c r="L4057" s="22" t="n">
        <x:v>-81.8544</x:v>
      </x:c>
      <x:c r="M4057" t="n">
        <x:v>2014</x:v>
      </x:c>
      <x:c r="N4057" s="20" t="n">
        <x:v>41883</x:v>
      </x:c>
    </x:row>
    <x:row r="4058" ht="18" customHeight="1">
      <x:c r="A4058" t="str">
        <x:v>CA-2014-122931</x:v>
      </x:c>
      <x:c r="B4058" s="18" t="n">
        <x:v>41911</x:v>
      </x:c>
      <x:c r="C4058" t="str">
        <x:v>SM-20950</x:v>
      </x:c>
      <x:c r="D4058" t="str">
        <x:v>Suzanne McNair</x:v>
      </x:c>
      <x:c r="E4058" t="str">
        <x:v>Corporate</x:v>
      </x:c>
      <x:c r="F4058" t="str">
        <x:v>East</x:v>
      </x:c>
      <x:c r="G4058" t="str">
        <x:v>Office Supplies</x:v>
      </x:c>
      <x:c r="H4058" t="str">
        <x:v>Labels</x:v>
      </x:c>
      <x:c r="I4058" s="22" t="n">
        <x:v>55.44</x:v>
      </x:c>
      <x:c r="J4058" s="24" t="n">
        <x:v>11</x:v>
      </x:c>
      <x:c r="K4058" s="26" t="n">
        <x:v>0.2</x:v>
      </x:c>
      <x:c r="L4058" s="22" t="n">
        <x:v>18.017999999999997</x:v>
      </x:c>
      <x:c r="M4058" t="n">
        <x:v>2014</x:v>
      </x:c>
      <x:c r="N4058" s="20" t="n">
        <x:v>41883</x:v>
      </x:c>
    </x:row>
    <x:row r="4059" ht="18" customHeight="1">
      <x:c r="A4059" t="str">
        <x:v>CA-2014-122931</x:v>
      </x:c>
      <x:c r="B4059" s="18" t="n">
        <x:v>41911</x:v>
      </x:c>
      <x:c r="C4059" t="str">
        <x:v>SM-20950</x:v>
      </x:c>
      <x:c r="D4059" t="str">
        <x:v>Suzanne McNair</x:v>
      </x:c>
      <x:c r="E4059" t="str">
        <x:v>Corporate</x:v>
      </x:c>
      <x:c r="F4059" t="str">
        <x:v>East</x:v>
      </x:c>
      <x:c r="G4059" t="str">
        <x:v>Office Supplies</x:v>
      </x:c>
      <x:c r="H4059" t="str">
        <x:v>Paper</x:v>
      </x:c>
      <x:c r="I4059" s="22" t="n">
        <x:v>20.928</x:v>
      </x:c>
      <x:c r="J4059" s="24" t="n">
        <x:v>4</x:v>
      </x:c>
      <x:c r="K4059" s="26" t="n">
        <x:v>0.2</x:v>
      </x:c>
      <x:c r="L4059" s="22" t="n">
        <x:v>6.8016</x:v>
      </x:c>
      <x:c r="M4059" t="n">
        <x:v>2014</x:v>
      </x:c>
      <x:c r="N4059" s="20" t="n">
        <x:v>41883</x:v>
      </x:c>
    </x:row>
    <x:row r="4060" ht="18" customHeight="1">
      <x:c r="A4060" t="str">
        <x:v>CA-2014-122931</x:v>
      </x:c>
      <x:c r="B4060" s="18" t="n">
        <x:v>41911</x:v>
      </x:c>
      <x:c r="C4060" t="str">
        <x:v>SM-20950</x:v>
      </x:c>
      <x:c r="D4060" t="str">
        <x:v>Suzanne McNair</x:v>
      </x:c>
      <x:c r="E4060" t="str">
        <x:v>Corporate</x:v>
      </x:c>
      <x:c r="F4060" t="str">
        <x:v>East</x:v>
      </x:c>
      <x:c r="G4060" t="str">
        <x:v>Office Supplies</x:v>
      </x:c>
      <x:c r="H4060" t="str">
        <x:v>Storage</x:v>
      </x:c>
      <x:c r="I4060" s="22" t="n">
        <x:v>1801.632</x:v>
      </x:c>
      <x:c r="J4060" s="24" t="n">
        <x:v>6</x:v>
      </x:c>
      <x:c r="K4060" s="26" t="n">
        <x:v>0.2</x:v>
      </x:c>
      <x:c r="L4060" s="22" t="n">
        <x:v>-337.80600000000004</x:v>
      </x:c>
      <x:c r="M4060" t="n">
        <x:v>2014</x:v>
      </x:c>
      <x:c r="N4060" s="20" t="n">
        <x:v>41883</x:v>
      </x:c>
    </x:row>
    <x:row r="4061" ht="18" customHeight="1">
      <x:c r="A4061" t="str">
        <x:v>CA-2014-122931</x:v>
      </x:c>
      <x:c r="B4061" s="18" t="n">
        <x:v>41911</x:v>
      </x:c>
      <x:c r="C4061" t="str">
        <x:v>SM-20950</x:v>
      </x:c>
      <x:c r="D4061" t="str">
        <x:v>Suzanne McNair</x:v>
      </x:c>
      <x:c r="E4061" t="str">
        <x:v>Corporate</x:v>
      </x:c>
      <x:c r="F4061" t="str">
        <x:v>East</x:v>
      </x:c>
      <x:c r="G4061" t="str">
        <x:v>Furniture</x:v>
      </x:c>
      <x:c r="H4061" t="str">
        <x:v>Tables</x:v>
      </x:c>
      <x:c r="I4061" s="22" t="n">
        <x:v>67.17599999999999</x:v>
      </x:c>
      <x:c r="J4061" s="24" t="n">
        <x:v>1</x:v>
      </x:c>
      <x:c r="K4061" s="26" t="n">
        <x:v>0.4</x:v>
      </x:c>
      <x:c r="L4061" s="22" t="n">
        <x:v>-20.152800000000006</x:v>
      </x:c>
      <x:c r="M4061" t="n">
        <x:v>2014</x:v>
      </x:c>
      <x:c r="N4061" s="20" t="n">
        <x:v>41883</x:v>
      </x:c>
    </x:row>
    <x:row r="4062" ht="18" customHeight="1">
      <x:c r="A4062" t="str">
        <x:v>CA-2014-163034</x:v>
      </x:c>
      <x:c r="B4062" s="18" t="n">
        <x:v>41967</x:v>
      </x:c>
      <x:c r="C4062" t="str">
        <x:v>DK-12985</x:v>
      </x:c>
      <x:c r="D4062" t="str">
        <x:v>Darren Koutras</x:v>
      </x:c>
      <x:c r="E4062" t="str">
        <x:v>Consumer</x:v>
      </x:c>
      <x:c r="F4062" t="str">
        <x:v>Central</x:v>
      </x:c>
      <x:c r="G4062" t="str">
        <x:v>Office Supplies</x:v>
      </x:c>
      <x:c r="H4062" t="str">
        <x:v>Storage</x:v>
      </x:c>
      <x:c r="I4062" s="22" t="n">
        <x:v>646.2</x:v>
      </x:c>
      <x:c r="J4062" s="24" t="n">
        <x:v>5</x:v>
      </x:c>
      <x:c r="K4062" s="26" t="n">
        <x:v>0.2</x:v>
      </x:c>
      <x:c r="L4062" s="22" t="n">
        <x:v>-8.077499999999986</x:v>
      </x:c>
      <x:c r="M4062" t="n">
        <x:v>2014</x:v>
      </x:c>
      <x:c r="N4062" s="20" t="n">
        <x:v>41944</x:v>
      </x:c>
    </x:row>
    <x:row r="4063" ht="18" customHeight="1">
      <x:c r="A4063" t="str">
        <x:v>CA-2015-124058</x:v>
      </x:c>
      <x:c r="B4063" s="18" t="n">
        <x:v>42328</x:v>
      </x:c>
      <x:c r="C4063" t="str">
        <x:v>LC-16885</x:v>
      </x:c>
      <x:c r="D4063" t="str">
        <x:v>Lena Creighton</x:v>
      </x:c>
      <x:c r="E4063" t="str">
        <x:v>Consumer</x:v>
      </x:c>
      <x:c r="F4063" t="str">
        <x:v>West</x:v>
      </x:c>
      <x:c r="G4063" t="str">
        <x:v>Technology</x:v>
      </x:c>
      <x:c r="H4063" t="str">
        <x:v>Phones</x:v>
      </x:c>
      <x:c r="I4063" s="22" t="n">
        <x:v>72.74400000000001</x:v>
      </x:c>
      <x:c r="J4063" s="24" t="n">
        <x:v>7</x:v>
      </x:c>
      <x:c r="K4063" s="26" t="n">
        <x:v>0.2</x:v>
      </x:c>
      <x:c r="L4063" s="22" t="n">
        <x:v>-15.458100000000007</x:v>
      </x:c>
      <x:c r="M4063" t="n">
        <x:v>2015</x:v>
      </x:c>
      <x:c r="N4063" s="20" t="n">
        <x:v>42309</x:v>
      </x:c>
    </x:row>
    <x:row r="4064" ht="18" customHeight="1">
      <x:c r="A4064" t="str">
        <x:v>CA-2015-124058</x:v>
      </x:c>
      <x:c r="B4064" s="18" t="n">
        <x:v>42328</x:v>
      </x:c>
      <x:c r="C4064" t="str">
        <x:v>LC-16885</x:v>
      </x:c>
      <x:c r="D4064" t="str">
        <x:v>Lena Creighton</x:v>
      </x:c>
      <x:c r="E4064" t="str">
        <x:v>Consumer</x:v>
      </x:c>
      <x:c r="F4064" t="str">
        <x:v>West</x:v>
      </x:c>
      <x:c r="G4064" t="str">
        <x:v>Furniture</x:v>
      </x:c>
      <x:c r="H4064" t="str">
        <x:v>Chairs</x:v>
      </x:c>
      <x:c r="I4064" s="22" t="n">
        <x:v>572.1600000000001</x:v>
      </x:c>
      <x:c r="J4064" s="24" t="n">
        <x:v>3</x:v>
      </x:c>
      <x:c r="K4064" s="26" t="n">
        <x:v>0.2</x:v>
      </x:c>
      <x:c r="L4064" s="22" t="n">
        <x:v>35.75999999999996</x:v>
      </x:c>
      <x:c r="M4064" t="n">
        <x:v>2015</x:v>
      </x:c>
      <x:c r="N4064" s="20" t="n">
        <x:v>42309</x:v>
      </x:c>
    </x:row>
    <x:row r="4065" ht="18" customHeight="1">
      <x:c r="A4065" t="str">
        <x:v>CA-2016-129196</x:v>
      </x:c>
      <x:c r="B4065" s="18" t="n">
        <x:v>42675</x:v>
      </x:c>
      <x:c r="C4065" t="str">
        <x:v>XP-21865</x:v>
      </x:c>
      <x:c r="D4065" t="str">
        <x:v>Xylona Preis</x:v>
      </x:c>
      <x:c r="E4065" t="str">
        <x:v>Consumer</x:v>
      </x:c>
      <x:c r="F4065" t="str">
        <x:v>Central</x:v>
      </x:c>
      <x:c r="G4065" t="str">
        <x:v>Technology</x:v>
      </x:c>
      <x:c r="H4065" t="str">
        <x:v>Accessories</x:v>
      </x:c>
      <x:c r="I4065" s="22" t="n">
        <x:v>68.112</x:v>
      </x:c>
      <x:c r="J4065" s="24" t="n">
        <x:v>3</x:v>
      </x:c>
      <x:c r="K4065" s="26" t="n">
        <x:v>0.2</x:v>
      </x:c>
      <x:c r="L4065" s="22" t="n">
        <x:v>17.879399999999997</x:v>
      </x:c>
      <x:c r="M4065" t="n">
        <x:v>2016</x:v>
      </x:c>
      <x:c r="N4065" s="20" t="n">
        <x:v>42675</x:v>
      </x:c>
    </x:row>
    <x:row r="4066" ht="18" customHeight="1">
      <x:c r="A4066" t="str">
        <x:v>US-2015-138716</x:v>
      </x:c>
      <x:c r="B4066" s="18" t="n">
        <x:v>42264</x:v>
      </x:c>
      <x:c r="C4066" t="str">
        <x:v>CS-11845</x:v>
      </x:c>
      <x:c r="D4066" t="str">
        <x:v>Cari Sayre</x:v>
      </x:c>
      <x:c r="E4066" t="str">
        <x:v>Corporate</x:v>
      </x:c>
      <x:c r="F4066" t="str">
        <x:v>West</x:v>
      </x:c>
      <x:c r="G4066" t="str">
        <x:v>Office Supplies</x:v>
      </x:c>
      <x:c r="H4066" t="str">
        <x:v>Binders</x:v>
      </x:c>
      <x:c r="I4066" s="22" t="n">
        <x:v>25.031999999999996</x:v>
      </x:c>
      <x:c r="J4066" s="24" t="n">
        <x:v>3</x:v>
      </x:c>
      <x:c r="K4066" s="26" t="n">
        <x:v>0.2</x:v>
      </x:c>
      <x:c r="L4066" s="22" t="n">
        <x:v>7.822499999999998</x:v>
      </x:c>
      <x:c r="M4066" t="n">
        <x:v>2015</x:v>
      </x:c>
      <x:c r="N4066" s="20" t="n">
        <x:v>42248</x:v>
      </x:c>
    </x:row>
    <x:row r="4067" ht="18" customHeight="1">
      <x:c r="A4067" t="str">
        <x:v>US-2016-122182</x:v>
      </x:c>
      <x:c r="B4067" s="18" t="n">
        <x:v>42439</x:v>
      </x:c>
      <x:c r="C4067" t="str">
        <x:v>BD-11770</x:v>
      </x:c>
      <x:c r="D4067" t="str">
        <x:v>Bryan Davis</x:v>
      </x:c>
      <x:c r="E4067" t="str">
        <x:v>Consumer</x:v>
      </x:c>
      <x:c r="F4067" t="str">
        <x:v>East</x:v>
      </x:c>
      <x:c r="G4067" t="str">
        <x:v>Technology</x:v>
      </x:c>
      <x:c r="H4067" t="str">
        <x:v>Accessories</x:v>
      </x:c>
      <x:c r="I4067" s="22" t="n">
        <x:v>39.992000000000004</x:v>
      </x:c>
      <x:c r="J4067" s="24" t="n">
        <x:v>1</x:v>
      </x:c>
      <x:c r="K4067" s="26" t="n">
        <x:v>0.2</x:v>
      </x:c>
      <x:c r="L4067" s="22" t="n">
        <x:v>7.498499999999996</x:v>
      </x:c>
      <x:c r="M4067" t="n">
        <x:v>2016</x:v>
      </x:c>
      <x:c r="N4067" s="20" t="n">
        <x:v>42430</x:v>
      </x:c>
    </x:row>
    <x:row r="4068" ht="18" customHeight="1">
      <x:c r="A4068" t="str">
        <x:v>US-2014-130358</x:v>
      </x:c>
      <x:c r="B4068" s="18" t="n">
        <x:v>41813</x:v>
      </x:c>
      <x:c r="C4068" t="str">
        <x:v>DL-13330</x:v>
      </x:c>
      <x:c r="D4068" t="str">
        <x:v>Denise Leinenbach</x:v>
      </x:c>
      <x:c r="E4068" t="str">
        <x:v>Consumer</x:v>
      </x:c>
      <x:c r="F4068" t="str">
        <x:v>South</x:v>
      </x:c>
      <x:c r="G4068" t="str">
        <x:v>Office Supplies</x:v>
      </x:c>
      <x:c r="H4068" t="str">
        <x:v>Art</x:v>
      </x:c>
      <x:c r="I4068" s="22" t="n">
        <x:v>20.016</x:v>
      </x:c>
      <x:c r="J4068" s="24" t="n">
        <x:v>9</x:v>
      </x:c>
      <x:c r="K4068" s="26" t="n">
        <x:v>0.2</x:v>
      </x:c>
      <x:c r="L4068" s="22" t="n">
        <x:v>1.7514000000000003</x:v>
      </x:c>
      <x:c r="M4068" t="n">
        <x:v>2014</x:v>
      </x:c>
      <x:c r="N4068" s="20" t="n">
        <x:v>41791</x:v>
      </x:c>
    </x:row>
    <x:row r="4069" ht="18" customHeight="1">
      <x:c r="A4069" t="str">
        <x:v>US-2014-130358</x:v>
      </x:c>
      <x:c r="B4069" s="18" t="n">
        <x:v>41813</x:v>
      </x:c>
      <x:c r="C4069" t="str">
        <x:v>DL-13330</x:v>
      </x:c>
      <x:c r="D4069" t="str">
        <x:v>Denise Leinenbach</x:v>
      </x:c>
      <x:c r="E4069" t="str">
        <x:v>Consumer</x:v>
      </x:c>
      <x:c r="F4069" t="str">
        <x:v>South</x:v>
      </x:c>
      <x:c r="G4069" t="str">
        <x:v>Office Supplies</x:v>
      </x:c>
      <x:c r="H4069" t="str">
        <x:v>Supplies</x:v>
      </x:c>
      <x:c r="I4069" s="22" t="n">
        <x:v>3.104</x:v>
      </x:c>
      <x:c r="J4069" s="24" t="n">
        <x:v>1</x:v>
      </x:c>
      <x:c r="K4069" s="26" t="n">
        <x:v>0.2</x:v>
      </x:c>
      <x:c r="L4069" s="22" t="n">
        <x:v>0.3491999999999995</x:v>
      </x:c>
      <x:c r="M4069" t="n">
        <x:v>2014</x:v>
      </x:c>
      <x:c r="N4069" s="20" t="n">
        <x:v>41791</x:v>
      </x:c>
    </x:row>
    <x:row r="4070" ht="18" customHeight="1">
      <x:c r="A4070" t="str">
        <x:v>CA-2014-102673</x:v>
      </x:c>
      <x:c r="B4070" s="18" t="n">
        <x:v>41944</x:v>
      </x:c>
      <x:c r="C4070" t="str">
        <x:v>KH-16630</x:v>
      </x:c>
      <x:c r="D4070" t="str">
        <x:v>Ken Heidel</x:v>
      </x:c>
      <x:c r="E4070" t="str">
        <x:v>Corporate</x:v>
      </x:c>
      <x:c r="F4070" t="str">
        <x:v>South</x:v>
      </x:c>
      <x:c r="G4070" t="str">
        <x:v>Office Supplies</x:v>
      </x:c>
      <x:c r="H4070" t="str">
        <x:v>Fasteners</x:v>
      </x:c>
      <x:c r="I4070" s="22" t="n">
        <x:v>7.52</x:v>
      </x:c>
      <x:c r="J4070" s="24" t="n">
        <x:v>5</x:v>
      </x:c>
      <x:c r="K4070" s="26" t="n">
        <x:v>0.2</x:v>
      </x:c>
      <x:c r="L4070" s="22" t="n">
        <x:v>1.4099999999999997</x:v>
      </x:c>
      <x:c r="M4070" t="n">
        <x:v>2014</x:v>
      </x:c>
      <x:c r="N4070" s="20" t="n">
        <x:v>41944</x:v>
      </x:c>
    </x:row>
    <x:row r="4071" ht="18" customHeight="1">
      <x:c r="A4071" t="str">
        <x:v>CA-2014-102673</x:v>
      </x:c>
      <x:c r="B4071" s="18" t="n">
        <x:v>41944</x:v>
      </x:c>
      <x:c r="C4071" t="str">
        <x:v>KH-16630</x:v>
      </x:c>
      <x:c r="D4071" t="str">
        <x:v>Ken Heidel</x:v>
      </x:c>
      <x:c r="E4071" t="str">
        <x:v>Corporate</x:v>
      </x:c>
      <x:c r="F4071" t="str">
        <x:v>South</x:v>
      </x:c>
      <x:c r="G4071" t="str">
        <x:v>Office Supplies</x:v>
      </x:c>
      <x:c r="H4071" t="str">
        <x:v>Art</x:v>
      </x:c>
      <x:c r="I4071" s="22" t="n">
        <x:v>10.272000000000002</x:v>
      </x:c>
      <x:c r="J4071" s="24" t="n">
        <x:v>3</x:v>
      </x:c>
      <x:c r="K4071" s="26" t="n">
        <x:v>0.2</x:v>
      </x:c>
      <x:c r="L4071" s="22" t="n">
        <x:v>0.8988</x:v>
      </x:c>
      <x:c r="M4071" t="n">
        <x:v>2014</x:v>
      </x:c>
      <x:c r="N4071" s="20" t="n">
        <x:v>41944</x:v>
      </x:c>
    </x:row>
    <x:row r="4072" ht="18" customHeight="1">
      <x:c r="A4072" t="str">
        <x:v>CA-2014-102673</x:v>
      </x:c>
      <x:c r="B4072" s="18" t="n">
        <x:v>41944</x:v>
      </x:c>
      <x:c r="C4072" t="str">
        <x:v>KH-16630</x:v>
      </x:c>
      <x:c r="D4072" t="str">
        <x:v>Ken Heidel</x:v>
      </x:c>
      <x:c r="E4072" t="str">
        <x:v>Corporate</x:v>
      </x:c>
      <x:c r="F4072" t="str">
        <x:v>South</x:v>
      </x:c>
      <x:c r="G4072" t="str">
        <x:v>Office Supplies</x:v>
      </x:c>
      <x:c r="H4072" t="str">
        <x:v>Labels</x:v>
      </x:c>
      <x:c r="I4072" s="22" t="n">
        <x:v>47.80800000000001</x:v>
      </x:c>
      <x:c r="J4072" s="24" t="n">
        <x:v>12</x:v>
      </x:c>
      <x:c r="K4072" s="26" t="n">
        <x:v>0.2</x:v>
      </x:c>
      <x:c r="L4072" s="22" t="n">
        <x:v>15.537599999999998</x:v>
      </x:c>
      <x:c r="M4072" t="n">
        <x:v>2014</x:v>
      </x:c>
      <x:c r="N4072" s="20" t="n">
        <x:v>41944</x:v>
      </x:c>
    </x:row>
    <x:row r="4073" ht="18" customHeight="1">
      <x:c r="A4073" t="str">
        <x:v>CA-2014-102673</x:v>
      </x:c>
      <x:c r="B4073" s="18" t="n">
        <x:v>41944</x:v>
      </x:c>
      <x:c r="C4073" t="str">
        <x:v>KH-16630</x:v>
      </x:c>
      <x:c r="D4073" t="str">
        <x:v>Ken Heidel</x:v>
      </x:c>
      <x:c r="E4073" t="str">
        <x:v>Corporate</x:v>
      </x:c>
      <x:c r="F4073" t="str">
        <x:v>South</x:v>
      </x:c>
      <x:c r="G4073" t="str">
        <x:v>Technology</x:v>
      </x:c>
      <x:c r="H4073" t="str">
        <x:v>Phones</x:v>
      </x:c>
      <x:c r="I4073" s="22" t="n">
        <x:v>978.8399999999999</x:v>
      </x:c>
      <x:c r="J4073" s="24" t="n">
        <x:v>9</x:v>
      </x:c>
      <x:c r="K4073" s="26" t="n">
        <x:v>0.2</x:v>
      </x:c>
      <x:c r="L4073" s="22" t="n">
        <x:v>110.1194999999999</x:v>
      </x:c>
      <x:c r="M4073" t="n">
        <x:v>2014</x:v>
      </x:c>
      <x:c r="N4073" s="20" t="n">
        <x:v>41944</x:v>
      </x:c>
    </x:row>
    <x:row r="4074" ht="18" customHeight="1">
      <x:c r="A4074" t="str">
        <x:v>CA-2016-145303</x:v>
      </x:c>
      <x:c r="B4074" s="18" t="n">
        <x:v>42610</x:v>
      </x:c>
      <x:c r="C4074" t="str">
        <x:v>TP-21415</x:v>
      </x:c>
      <x:c r="D4074" t="str">
        <x:v>Tom Prescott</x:v>
      </x:c>
      <x:c r="E4074" t="str">
        <x:v>Consumer</x:v>
      </x:c>
      <x:c r="F4074" t="str">
        <x:v>Central</x:v>
      </x:c>
      <x:c r="G4074" t="str">
        <x:v>Office Supplies</x:v>
      </x:c>
      <x:c r="H4074" t="str">
        <x:v>Binders</x:v>
      </x:c>
      <x:c r="I4074" s="22" t="n">
        <x:v>13.139999999999997</x:v>
      </x:c>
      <x:c r="J4074" s="24" t="n">
        <x:v>9</x:v>
      </x:c>
      <x:c r="K4074" s="26" t="n">
        <x:v>0.8</x:v>
      </x:c>
      <x:c r="L4074" s="22" t="n">
        <x:v>-21.681000000000004</x:v>
      </x:c>
      <x:c r="M4074" t="n">
        <x:v>2016</x:v>
      </x:c>
      <x:c r="N4074" s="20" t="n">
        <x:v>42583</x:v>
      </x:c>
    </x:row>
    <x:row r="4075" ht="18" customHeight="1">
      <x:c r="A4075" t="str">
        <x:v>CA-2016-145303</x:v>
      </x:c>
      <x:c r="B4075" s="18" t="n">
        <x:v>42610</x:v>
      </x:c>
      <x:c r="C4075" t="str">
        <x:v>TP-21415</x:v>
      </x:c>
      <x:c r="D4075" t="str">
        <x:v>Tom Prescott</x:v>
      </x:c>
      <x:c r="E4075" t="str">
        <x:v>Consumer</x:v>
      </x:c>
      <x:c r="F4075" t="str">
        <x:v>Central</x:v>
      </x:c>
      <x:c r="G4075" t="str">
        <x:v>Office Supplies</x:v>
      </x:c>
      <x:c r="H4075" t="str">
        <x:v>Binders</x:v>
      </x:c>
      <x:c r="I4075" s="22" t="n">
        <x:v>10.023999999999997</x:v>
      </x:c>
      <x:c r="J4075" s="24" t="n">
        <x:v>4</x:v>
      </x:c>
      <x:c r="K4075" s="26" t="n">
        <x:v>0.8</x:v>
      </x:c>
      <x:c r="L4075" s="22" t="n">
        <x:v>-16.539600000000007</x:v>
      </x:c>
      <x:c r="M4075" t="n">
        <x:v>2016</x:v>
      </x:c>
      <x:c r="N4075" s="20" t="n">
        <x:v>42583</x:v>
      </x:c>
    </x:row>
    <x:row r="4076" ht="18" customHeight="1">
      <x:c r="A4076" t="str">
        <x:v>CA-2016-145303</x:v>
      </x:c>
      <x:c r="B4076" s="18" t="n">
        <x:v>42610</x:v>
      </x:c>
      <x:c r="C4076" t="str">
        <x:v>TP-21415</x:v>
      </x:c>
      <x:c r="D4076" t="str">
        <x:v>Tom Prescott</x:v>
      </x:c>
      <x:c r="E4076" t="str">
        <x:v>Consumer</x:v>
      </x:c>
      <x:c r="F4076" t="str">
        <x:v>Central</x:v>
      </x:c>
      <x:c r="G4076" t="str">
        <x:v>Furniture</x:v>
      </x:c>
      <x:c r="H4076" t="str">
        <x:v>Bookcases</x:v>
      </x:c>
      <x:c r="I4076" s="22" t="n">
        <x:v>156.37279999999998</x:v>
      </x:c>
      <x:c r="J4076" s="24" t="n">
        <x:v>2</x:v>
      </x:c>
      <x:c r="K4076" s="26" t="n">
        <x:v>0.32</x:v>
      </x:c>
      <x:c r="L4076" s="22" t="n">
        <x:v>-52.89080000000003</x:v>
      </x:c>
      <x:c r="M4076" t="n">
        <x:v>2016</x:v>
      </x:c>
      <x:c r="N4076" s="20" t="n">
        <x:v>42583</x:v>
      </x:c>
    </x:row>
    <x:row r="4077" ht="18" customHeight="1">
      <x:c r="A4077" t="str">
        <x:v>CA-2015-156104</x:v>
      </x:c>
      <x:c r="B4077" s="18" t="n">
        <x:v>42344</x:v>
      </x:c>
      <x:c r="C4077" t="str">
        <x:v>NP-18685</x:v>
      </x:c>
      <x:c r="D4077" t="str">
        <x:v>Nora Pelletier</x:v>
      </x:c>
      <x:c r="E4077" t="str">
        <x:v>Home Office</x:v>
      </x:c>
      <x:c r="F4077" t="str">
        <x:v>Central</x:v>
      </x:c>
      <x:c r="G4077" t="str">
        <x:v>Technology</x:v>
      </x:c>
      <x:c r="H4077" t="str">
        <x:v>Copiers</x:v>
      </x:c>
      <x:c r="I4077" s="22" t="n">
        <x:v>999.98</x:v>
      </x:c>
      <x:c r="J4077" s="24" t="n">
        <x:v>2</x:v>
      </x:c>
      <x:c r="K4077" s="26" t="n">
        <x:v>0</x:v>
      </x:c>
      <x:c r="L4077" s="22" t="n">
        <x:v>449.991</x:v>
      </x:c>
      <x:c r="M4077" t="n">
        <x:v>2015</x:v>
      </x:c>
      <x:c r="N4077" s="20" t="n">
        <x:v>42339</x:v>
      </x:c>
    </x:row>
    <x:row r="4078" ht="18" customHeight="1">
      <x:c r="A4078" t="str">
        <x:v>US-2015-164308</x:v>
      </x:c>
      <x:c r="B4078" s="18" t="n">
        <x:v>42271</x:v>
      </x:c>
      <x:c r="C4078" t="str">
        <x:v>SC-20680</x:v>
      </x:c>
      <x:c r="D4078" t="str">
        <x:v>Steve Carroll</x:v>
      </x:c>
      <x:c r="E4078" t="str">
        <x:v>Home Office</x:v>
      </x:c>
      <x:c r="F4078" t="str">
        <x:v>Central</x:v>
      </x:c>
      <x:c r="G4078" t="str">
        <x:v>Technology</x:v>
      </x:c>
      <x:c r="H4078" t="str">
        <x:v>Phones</x:v>
      </x:c>
      <x:c r="I4078" s="22" t="n">
        <x:v>821.94</x:v>
      </x:c>
      <x:c r="J4078" s="24" t="n">
        <x:v>6</x:v>
      </x:c>
      <x:c r="K4078" s="26" t="n">
        <x:v>0</x:v>
      </x:c>
      <x:c r="L4078" s="22" t="n">
        <x:v>213.70440000000002</x:v>
      </x:c>
      <x:c r="M4078" t="n">
        <x:v>2015</x:v>
      </x:c>
      <x:c r="N4078" s="20" t="n">
        <x:v>42248</x:v>
      </x:c>
    </x:row>
    <x:row r="4079" ht="18" customHeight="1">
      <x:c r="A4079" t="str">
        <x:v>CA-2017-108112</x:v>
      </x:c>
      <x:c r="B4079" s="18" t="n">
        <x:v>43054</x:v>
      </x:c>
      <x:c r="C4079" t="str">
        <x:v>DK-12895</x:v>
      </x:c>
      <x:c r="D4079" t="str">
        <x:v>Dana Kaydos</x:v>
      </x:c>
      <x:c r="E4079" t="str">
        <x:v>Consumer</x:v>
      </x:c>
      <x:c r="F4079" t="str">
        <x:v>South</x:v>
      </x:c>
      <x:c r="G4079" t="str">
        <x:v>Furniture</x:v>
      </x:c>
      <x:c r="H4079" t="str">
        <x:v>Furnishings</x:v>
      </x:c>
      <x:c r="I4079" s="22" t="n">
        <x:v>220.064</x:v>
      </x:c>
      <x:c r="J4079" s="24" t="n">
        <x:v>4</x:v>
      </x:c>
      <x:c r="K4079" s="26" t="n">
        <x:v>0.2</x:v>
      </x:c>
      <x:c r="L4079" s="22" t="n">
        <x:v>55.01600000000001</x:v>
      </x:c>
      <x:c r="M4079" t="n">
        <x:v>2017</x:v>
      </x:c>
      <x:c r="N4079" s="20" t="n">
        <x:v>43040</x:v>
      </x:c>
    </x:row>
    <x:row r="4080" ht="18" customHeight="1">
      <x:c r="A4080" t="str">
        <x:v>CA-2017-108112</x:v>
      </x:c>
      <x:c r="B4080" s="18" t="n">
        <x:v>43054</x:v>
      </x:c>
      <x:c r="C4080" t="str">
        <x:v>DK-12895</x:v>
      </x:c>
      <x:c r="D4080" t="str">
        <x:v>Dana Kaydos</x:v>
      </x:c>
      <x:c r="E4080" t="str">
        <x:v>Consumer</x:v>
      </x:c>
      <x:c r="F4080" t="str">
        <x:v>South</x:v>
      </x:c>
      <x:c r="G4080" t="str">
        <x:v>Furniture</x:v>
      </x:c>
      <x:c r="H4080" t="str">
        <x:v>Furnishings</x:v>
      </x:c>
      <x:c r="I4080" s="22" t="n">
        <x:v>339.136</x:v>
      </x:c>
      <x:c r="J4080" s="24" t="n">
        <x:v>4</x:v>
      </x:c>
      <x:c r="K4080" s="26" t="n">
        <x:v>0.2</x:v>
      </x:c>
      <x:c r="L4080" s="22" t="n">
        <x:v>0</x:v>
      </x:c>
      <x:c r="M4080" t="n">
        <x:v>2017</x:v>
      </x:c>
      <x:c r="N4080" s="20" t="n">
        <x:v>43040</x:v>
      </x:c>
    </x:row>
    <x:row r="4081" ht="18" customHeight="1">
      <x:c r="A4081" t="str">
        <x:v>CA-2015-100685</x:v>
      </x:c>
      <x:c r="B4081" s="18" t="n">
        <x:v>42357</x:v>
      </x:c>
      <x:c r="C4081" t="str">
        <x:v>SM-20950</x:v>
      </x:c>
      <x:c r="D4081" t="str">
        <x:v>Suzanne McNair</x:v>
      </x:c>
      <x:c r="E4081" t="str">
        <x:v>Corporate</x:v>
      </x:c>
      <x:c r="F4081" t="str">
        <x:v>Central</x:v>
      </x:c>
      <x:c r="G4081" t="str">
        <x:v>Office Supplies</x:v>
      </x:c>
      <x:c r="H4081" t="str">
        <x:v>Binders</x:v>
      </x:c>
      <x:c r="I4081" s="22" t="n">
        <x:v>7.04</x:v>
      </x:c>
      <x:c r="J4081" s="24" t="n">
        <x:v>2</x:v>
      </x:c>
      <x:c r="K4081" s="26" t="n">
        <x:v>0</x:v>
      </x:c>
      <x:c r="L4081" s="22" t="n">
        <x:v>3.3087999999999997</x:v>
      </x:c>
      <x:c r="M4081" t="n">
        <x:v>2015</x:v>
      </x:c>
      <x:c r="N4081" s="20" t="n">
        <x:v>42339</x:v>
      </x:c>
    </x:row>
    <x:row r="4082" ht="18" customHeight="1">
      <x:c r="A4082" t="str">
        <x:v>CA-2015-100685</x:v>
      </x:c>
      <x:c r="B4082" s="18" t="n">
        <x:v>42357</x:v>
      </x:c>
      <x:c r="C4082" t="str">
        <x:v>SM-20950</x:v>
      </x:c>
      <x:c r="D4082" t="str">
        <x:v>Suzanne McNair</x:v>
      </x:c>
      <x:c r="E4082" t="str">
        <x:v>Corporate</x:v>
      </x:c>
      <x:c r="F4082" t="str">
        <x:v>Central</x:v>
      </x:c>
      <x:c r="G4082" t="str">
        <x:v>Office Supplies</x:v>
      </x:c>
      <x:c r="H4082" t="str">
        <x:v>Fasteners</x:v>
      </x:c>
      <x:c r="I4082" s="22" t="n">
        <x:v>5.04</x:v>
      </x:c>
      <x:c r="J4082" s="24" t="n">
        <x:v>4</x:v>
      </x:c>
      <x:c r="K4082" s="26" t="n">
        <x:v>0</x:v>
      </x:c>
      <x:c r="L4082" s="22" t="n">
        <x:v>0.2016</x:v>
      </x:c>
      <x:c r="M4082" t="n">
        <x:v>2015</x:v>
      </x:c>
      <x:c r="N4082" s="20" t="n">
        <x:v>42339</x:v>
      </x:c>
    </x:row>
    <x:row r="4083" ht="18" customHeight="1">
      <x:c r="A4083" t="str">
        <x:v>CA-2015-100685</x:v>
      </x:c>
      <x:c r="B4083" s="18" t="n">
        <x:v>42357</x:v>
      </x:c>
      <x:c r="C4083" t="str">
        <x:v>SM-20950</x:v>
      </x:c>
      <x:c r="D4083" t="str">
        <x:v>Suzanne McNair</x:v>
      </x:c>
      <x:c r="E4083" t="str">
        <x:v>Corporate</x:v>
      </x:c>
      <x:c r="F4083" t="str">
        <x:v>Central</x:v>
      </x:c>
      <x:c r="G4083" t="str">
        <x:v>Office Supplies</x:v>
      </x:c>
      <x:c r="H4083" t="str">
        <x:v>Paper</x:v>
      </x:c>
      <x:c r="I4083" s="22" t="n">
        <x:v>116.28</x:v>
      </x:c>
      <x:c r="J4083" s="24" t="n">
        <x:v>3</x:v>
      </x:c>
      <x:c r="K4083" s="26" t="n">
        <x:v>0</x:v>
      </x:c>
      <x:c r="L4083" s="22" t="n">
        <x:v>56.977199999999996</x:v>
      </x:c>
      <x:c r="M4083" t="n">
        <x:v>2015</x:v>
      </x:c>
      <x:c r="N4083" s="20" t="n">
        <x:v>42339</x:v>
      </x:c>
    </x:row>
    <x:row r="4084" ht="18" customHeight="1">
      <x:c r="A4084" t="str">
        <x:v>CA-2015-165414</x:v>
      </x:c>
      <x:c r="B4084" s="18" t="n">
        <x:v>42359</x:v>
      </x:c>
      <x:c r="C4084" t="str">
        <x:v>LS-17245</x:v>
      </x:c>
      <x:c r="D4084" t="str">
        <x:v>Lynn Smith</x:v>
      </x:c>
      <x:c r="E4084" t="str">
        <x:v>Consumer</x:v>
      </x:c>
      <x:c r="F4084" t="str">
        <x:v>South</x:v>
      </x:c>
      <x:c r="G4084" t="str">
        <x:v>Technology</x:v>
      </x:c>
      <x:c r="H4084" t="str">
        <x:v>Phones</x:v>
      </x:c>
      <x:c r="I4084" s="22" t="n">
        <x:v>47.976</x:v>
      </x:c>
      <x:c r="J4084" s="24" t="n">
        <x:v>3</x:v>
      </x:c>
      <x:c r="K4084" s="26" t="n">
        <x:v>0.2</x:v>
      </x:c>
      <x:c r="L4084" s="22" t="n">
        <x:v>4.797600000000003</x:v>
      </x:c>
      <x:c r="M4084" t="n">
        <x:v>2015</x:v>
      </x:c>
      <x:c r="N4084" s="20" t="n">
        <x:v>42339</x:v>
      </x:c>
    </x:row>
    <x:row r="4085" ht="18" customHeight="1">
      <x:c r="A4085" t="str">
        <x:v>CA-2016-140417</x:v>
      </x:c>
      <x:c r="B4085" s="18" t="n">
        <x:v>42638</x:v>
      </x:c>
      <x:c r="C4085" t="str">
        <x:v>KE-16420</x:v>
      </x:c>
      <x:c r="D4085" t="str">
        <x:v>Katrina Edelman</x:v>
      </x:c>
      <x:c r="E4085" t="str">
        <x:v>Corporate</x:v>
      </x:c>
      <x:c r="F4085" t="str">
        <x:v>West</x:v>
      </x:c>
      <x:c r="G4085" t="str">
        <x:v>Office Supplies</x:v>
      </x:c>
      <x:c r="H4085" t="str">
        <x:v>Paper</x:v>
      </x:c>
      <x:c r="I4085" s="22" t="n">
        <x:v>60.048</x:v>
      </x:c>
      <x:c r="J4085" s="24" t="n">
        <x:v>9</x:v>
      </x:c>
      <x:c r="K4085" s="26" t="n">
        <x:v>0.2</x:v>
      </x:c>
      <x:c r="L4085" s="22" t="n">
        <x:v>22.518</x:v>
      </x:c>
      <x:c r="M4085" t="n">
        <x:v>2016</x:v>
      </x:c>
      <x:c r="N4085" s="20" t="n">
        <x:v>42614</x:v>
      </x:c>
    </x:row>
    <x:row r="4086" ht="18" customHeight="1">
      <x:c r="A4086" t="str">
        <x:v>CA-2016-140417</x:v>
      </x:c>
      <x:c r="B4086" s="18" t="n">
        <x:v>42638</x:v>
      </x:c>
      <x:c r="C4086" t="str">
        <x:v>KE-16420</x:v>
      </x:c>
      <x:c r="D4086" t="str">
        <x:v>Katrina Edelman</x:v>
      </x:c>
      <x:c r="E4086" t="str">
        <x:v>Corporate</x:v>
      </x:c>
      <x:c r="F4086" t="str">
        <x:v>West</x:v>
      </x:c>
      <x:c r="G4086" t="str">
        <x:v>Office Supplies</x:v>
      </x:c>
      <x:c r="H4086" t="str">
        <x:v>Binders</x:v>
      </x:c>
      <x:c r="I4086" s="22" t="n">
        <x:v>5.022</x:v>
      </x:c>
      <x:c r="J4086" s="24" t="n">
        <x:v>1</x:v>
      </x:c>
      <x:c r="K4086" s="26" t="n">
        <x:v>0.7</x:v>
      </x:c>
      <x:c r="L4086" s="22" t="n">
        <x:v>-3.5153999999999996</x:v>
      </x:c>
      <x:c r="M4086" t="n">
        <x:v>2016</x:v>
      </x:c>
      <x:c r="N4086" s="20" t="n">
        <x:v>42614</x:v>
      </x:c>
    </x:row>
    <x:row r="4087" ht="18" customHeight="1">
      <x:c r="A4087" t="str">
        <x:v>US-2017-151316</x:v>
      </x:c>
      <x:c r="B4087" s="18" t="n">
        <x:v>42910</x:v>
      </x:c>
      <x:c r="C4087" t="str">
        <x:v>MC-17635</x:v>
      </x:c>
      <x:c r="D4087" t="str">
        <x:v>Matthew Clasen</x:v>
      </x:c>
      <x:c r="E4087" t="str">
        <x:v>Corporate</x:v>
      </x:c>
      <x:c r="F4087" t="str">
        <x:v>Central</x:v>
      </x:c>
      <x:c r="G4087" t="str">
        <x:v>Office Supplies</x:v>
      </x:c>
      <x:c r="H4087" t="str">
        <x:v>Binders</x:v>
      </x:c>
      <x:c r="I4087" s="22" t="n">
        <x:v>182.99399999999997</x:v>
      </x:c>
      <x:c r="J4087" s="24" t="n">
        <x:v>3</x:v>
      </x:c>
      <x:c r="K4087" s="26" t="n">
        <x:v>0.8</x:v>
      </x:c>
      <x:c r="L4087" s="22" t="n">
        <x:v>-320.23950000000013</x:v>
      </x:c>
      <x:c r="M4087" t="n">
        <x:v>2017</x:v>
      </x:c>
      <x:c r="N4087" s="20" t="n">
        <x:v>42887</x:v>
      </x:c>
    </x:row>
    <x:row r="4088" ht="18" customHeight="1">
      <x:c r="A4088" t="str">
        <x:v>US-2017-151316</x:v>
      </x:c>
      <x:c r="B4088" s="18" t="n">
        <x:v>42910</x:v>
      </x:c>
      <x:c r="C4088" t="str">
        <x:v>MC-17635</x:v>
      </x:c>
      <x:c r="D4088" t="str">
        <x:v>Matthew Clasen</x:v>
      </x:c>
      <x:c r="E4088" t="str">
        <x:v>Corporate</x:v>
      </x:c>
      <x:c r="F4088" t="str">
        <x:v>Central</x:v>
      </x:c>
      <x:c r="G4088" t="str">
        <x:v>Office Supplies</x:v>
      </x:c>
      <x:c r="H4088" t="str">
        <x:v>Paper</x:v>
      </x:c>
      <x:c r="I4088" s="22" t="n">
        <x:v>10.272000000000002</x:v>
      </x:c>
      <x:c r="J4088" s="24" t="n">
        <x:v>3</x:v>
      </x:c>
      <x:c r="K4088" s="26" t="n">
        <x:v>0.2</x:v>
      </x:c>
      <x:c r="L4088" s="22" t="n">
        <x:v>3.209999999999998</x:v>
      </x:c>
      <x:c r="M4088" t="n">
        <x:v>2017</x:v>
      </x:c>
      <x:c r="N4088" s="20" t="n">
        <x:v>42887</x:v>
      </x:c>
    </x:row>
    <x:row r="4089" ht="18" customHeight="1">
      <x:c r="A4089" t="str">
        <x:v>CA-2017-163692</x:v>
      </x:c>
      <x:c r="B4089" s="18" t="n">
        <x:v>42985</x:v>
      </x:c>
      <x:c r="C4089" t="str">
        <x:v>Dp-13240</x:v>
      </x:c>
      <x:c r="D4089" t="str">
        <x:v>Dean percer</x:v>
      </x:c>
      <x:c r="E4089" t="str">
        <x:v>Home Office</x:v>
      </x:c>
      <x:c r="F4089" t="str">
        <x:v>West</x:v>
      </x:c>
      <x:c r="G4089" t="str">
        <x:v>Office Supplies</x:v>
      </x:c>
      <x:c r="H4089" t="str">
        <x:v>Binders</x:v>
      </x:c>
      <x:c r="I4089" s="22" t="n">
        <x:v>7.857000000000002</x:v>
      </x:c>
      <x:c r="J4089" s="24" t="n">
        <x:v>3</x:v>
      </x:c>
      <x:c r="K4089" s="26" t="n">
        <x:v>0.7</x:v>
      </x:c>
      <x:c r="L4089" s="22" t="n">
        <x:v>-6.0237</x:v>
      </x:c>
      <x:c r="M4089" t="n">
        <x:v>2017</x:v>
      </x:c>
      <x:c r="N4089" s="20" t="n">
        <x:v>42979</x:v>
      </x:c>
    </x:row>
    <x:row r="4090" ht="18" customHeight="1">
      <x:c r="A4090" t="str">
        <x:v>CA-2016-111913</x:v>
      </x:c>
      <x:c r="B4090" s="18" t="n">
        <x:v>42586</x:v>
      </x:c>
      <x:c r="C4090" t="str">
        <x:v>LC-16930</x:v>
      </x:c>
      <x:c r="D4090" t="str">
        <x:v>Linda Cazamias</x:v>
      </x:c>
      <x:c r="E4090" t="str">
        <x:v>Corporate</x:v>
      </x:c>
      <x:c r="F4090" t="str">
        <x:v>West</x:v>
      </x:c>
      <x:c r="G4090" t="str">
        <x:v>Technology</x:v>
      </x:c>
      <x:c r="H4090" t="str">
        <x:v>Phones</x:v>
      </x:c>
      <x:c r="I4090" s="22" t="n">
        <x:v>302.384</x:v>
      </x:c>
      <x:c r="J4090" s="24" t="n">
        <x:v>2</x:v>
      </x:c>
      <x:c r="K4090" s="26" t="n">
        <x:v>0.2</x:v>
      </x:c>
      <x:c r="L4090" s="22" t="n">
        <x:v>30.238400000000013</x:v>
      </x:c>
      <x:c r="M4090" t="n">
        <x:v>2016</x:v>
      </x:c>
      <x:c r="N4090" s="20" t="n">
        <x:v>42583</x:v>
      </x:c>
    </x:row>
    <x:row r="4091" ht="18" customHeight="1">
      <x:c r="A4091" t="str">
        <x:v>CA-2016-111913</x:v>
      </x:c>
      <x:c r="B4091" s="18" t="n">
        <x:v>42586</x:v>
      </x:c>
      <x:c r="C4091" t="str">
        <x:v>LC-16930</x:v>
      </x:c>
      <x:c r="D4091" t="str">
        <x:v>Linda Cazamias</x:v>
      </x:c>
      <x:c r="E4091" t="str">
        <x:v>Corporate</x:v>
      </x:c>
      <x:c r="F4091" t="str">
        <x:v>West</x:v>
      </x:c>
      <x:c r="G4091" t="str">
        <x:v>Office Supplies</x:v>
      </x:c>
      <x:c r="H4091" t="str">
        <x:v>Binders</x:v>
      </x:c>
      <x:c r="I4091" s="22" t="n">
        <x:v>20.952</x:v>
      </x:c>
      <x:c r="J4091" s="24" t="n">
        <x:v>3</x:v>
      </x:c>
      <x:c r="K4091" s="26" t="n">
        <x:v>0.2</x:v>
      </x:c>
      <x:c r="L4091" s="22" t="n">
        <x:v>7.071299999999998</x:v>
      </x:c>
      <x:c r="M4091" t="n">
        <x:v>2016</x:v>
      </x:c>
      <x:c r="N4091" s="20" t="n">
        <x:v>42583</x:v>
      </x:c>
    </x:row>
    <x:row r="4092" ht="18" customHeight="1">
      <x:c r="A4092" t="str">
        <x:v>CA-2016-111913</x:v>
      </x:c>
      <x:c r="B4092" s="18" t="n">
        <x:v>42586</x:v>
      </x:c>
      <x:c r="C4092" t="str">
        <x:v>LC-16930</x:v>
      </x:c>
      <x:c r="D4092" t="str">
        <x:v>Linda Cazamias</x:v>
      </x:c>
      <x:c r="E4092" t="str">
        <x:v>Corporate</x:v>
      </x:c>
      <x:c r="F4092" t="str">
        <x:v>West</x:v>
      </x:c>
      <x:c r="G4092" t="str">
        <x:v>Office Supplies</x:v>
      </x:c>
      <x:c r="H4092" t="str">
        <x:v>Binders</x:v>
      </x:c>
      <x:c r="I4092" s="22" t="n">
        <x:v>11.784</x:v>
      </x:c>
      <x:c r="J4092" s="24" t="n">
        <x:v>3</x:v>
      </x:c>
      <x:c r="K4092" s="26" t="n">
        <x:v>0.2</x:v>
      </x:c>
      <x:c r="L4092" s="22" t="n">
        <x:v>3.9770999999999996</x:v>
      </x:c>
      <x:c r="M4092" t="n">
        <x:v>2016</x:v>
      </x:c>
      <x:c r="N4092" s="20" t="n">
        <x:v>42583</x:v>
      </x:c>
    </x:row>
    <x:row r="4093" ht="18" customHeight="1">
      <x:c r="A4093" t="str">
        <x:v>US-2014-156559</x:v>
      </x:c>
      <x:c r="B4093" s="18" t="n">
        <x:v>41870</x:v>
      </x:c>
      <x:c r="C4093" t="str">
        <x:v>LH-16900</x:v>
      </x:c>
      <x:c r="D4093" t="str">
        <x:v>Lena Hernandez</x:v>
      </x:c>
      <x:c r="E4093" t="str">
        <x:v>Consumer</x:v>
      </x:c>
      <x:c r="F4093" t="str">
        <x:v>South</x:v>
      </x:c>
      <x:c r="G4093" t="str">
        <x:v>Furniture</x:v>
      </x:c>
      <x:c r="H4093" t="str">
        <x:v>Bookcases</x:v>
      </x:c>
      <x:c r="I4093" s="22" t="n">
        <x:v>638.82</x:v>
      </x:c>
      <x:c r="J4093" s="24" t="n">
        <x:v>9</x:v>
      </x:c>
      <x:c r="K4093" s="26" t="n">
        <x:v>0</x:v>
      </x:c>
      <x:c r="L4093" s="22" t="n">
        <x:v>172.4814</x:v>
      </x:c>
      <x:c r="M4093" t="n">
        <x:v>2014</x:v>
      </x:c>
      <x:c r="N4093" s="20" t="n">
        <x:v>41852</x:v>
      </x:c>
    </x:row>
    <x:row r="4094" ht="18" customHeight="1">
      <x:c r="A4094" t="str">
        <x:v>CA-2016-161473</x:v>
      </x:c>
      <x:c r="B4094" s="18" t="n">
        <x:v>42461</x:v>
      </x:c>
      <x:c r="C4094" t="str">
        <x:v>TB-21175</x:v>
      </x:c>
      <x:c r="D4094" t="str">
        <x:v>Thomas Boland</x:v>
      </x:c>
      <x:c r="E4094" t="str">
        <x:v>Corporate</x:v>
      </x:c>
      <x:c r="F4094" t="str">
        <x:v>East</x:v>
      </x:c>
      <x:c r="G4094" t="str">
        <x:v>Office Supplies</x:v>
      </x:c>
      <x:c r="H4094" t="str">
        <x:v>Labels</x:v>
      </x:c>
      <x:c r="I4094" s="22" t="n">
        <x:v>20.7</x:v>
      </x:c>
      <x:c r="J4094" s="24" t="n">
        <x:v>2</x:v>
      </x:c>
      <x:c r="K4094" s="26" t="n">
        <x:v>0</x:v>
      </x:c>
      <x:c r="L4094" s="22" t="n">
        <x:v>9.936</x:v>
      </x:c>
      <x:c r="M4094" t="n">
        <x:v>2016</x:v>
      </x:c>
      <x:c r="N4094" s="20" t="n">
        <x:v>42461</x:v>
      </x:c>
    </x:row>
    <x:row r="4095" ht="18" customHeight="1">
      <x:c r="A4095" t="str">
        <x:v>CA-2016-161473</x:v>
      </x:c>
      <x:c r="B4095" s="18" t="n">
        <x:v>42461</x:v>
      </x:c>
      <x:c r="C4095" t="str">
        <x:v>TB-21175</x:v>
      </x:c>
      <x:c r="D4095" t="str">
        <x:v>Thomas Boland</x:v>
      </x:c>
      <x:c r="E4095" t="str">
        <x:v>Corporate</x:v>
      </x:c>
      <x:c r="F4095" t="str">
        <x:v>East</x:v>
      </x:c>
      <x:c r="G4095" t="str">
        <x:v>Office Supplies</x:v>
      </x:c>
      <x:c r="H4095" t="str">
        <x:v>Supplies</x:v>
      </x:c>
      <x:c r="I4095" s="22" t="n">
        <x:v>10.95</x:v>
      </x:c>
      <x:c r="J4095" s="24" t="n">
        <x:v>3</x:v>
      </x:c>
      <x:c r="K4095" s="26" t="n">
        <x:v>0</x:v>
      </x:c>
      <x:c r="L4095" s="22" t="n">
        <x:v>3.2849999999999993</x:v>
      </x:c>
      <x:c r="M4095" t="n">
        <x:v>2016</x:v>
      </x:c>
      <x:c r="N4095" s="20" t="n">
        <x:v>42461</x:v>
      </x:c>
    </x:row>
    <x:row r="4096" ht="18" customHeight="1">
      <x:c r="A4096" t="str">
        <x:v>CA-2016-161473</x:v>
      </x:c>
      <x:c r="B4096" s="18" t="n">
        <x:v>42461</x:v>
      </x:c>
      <x:c r="C4096" t="str">
        <x:v>TB-21175</x:v>
      </x:c>
      <x:c r="D4096" t="str">
        <x:v>Thomas Boland</x:v>
      </x:c>
      <x:c r="E4096" t="str">
        <x:v>Corporate</x:v>
      </x:c>
      <x:c r="F4096" t="str">
        <x:v>East</x:v>
      </x:c>
      <x:c r="G4096" t="str">
        <x:v>Office Supplies</x:v>
      </x:c>
      <x:c r="H4096" t="str">
        <x:v>Binders</x:v>
      </x:c>
      <x:c r="I4096" s="22" t="n">
        <x:v>14.352000000000002</x:v>
      </x:c>
      <x:c r="J4096" s="24" t="n">
        <x:v>3</x:v>
      </x:c>
      <x:c r="K4096" s="26" t="n">
        <x:v>0.2</x:v>
      </x:c>
      <x:c r="L4096" s="22" t="n">
        <x:v>4.664399999999999</x:v>
      </x:c>
      <x:c r="M4096" t="n">
        <x:v>2016</x:v>
      </x:c>
      <x:c r="N4096" s="20" t="n">
        <x:v>42461</x:v>
      </x:c>
    </x:row>
    <x:row r="4097" ht="18" customHeight="1">
      <x:c r="A4097" t="str">
        <x:v>CA-2017-166576</x:v>
      </x:c>
      <x:c r="B4097" s="18" t="n">
        <x:v>42871</x:v>
      </x:c>
      <x:c r="C4097" t="str">
        <x:v>JM-15865</x:v>
      </x:c>
      <x:c r="D4097" t="str">
        <x:v>John Murray</x:v>
      </x:c>
      <x:c r="E4097" t="str">
        <x:v>Consumer</x:v>
      </x:c>
      <x:c r="F4097" t="str">
        <x:v>East</x:v>
      </x:c>
      <x:c r="G4097" t="str">
        <x:v>Office Supplies</x:v>
      </x:c>
      <x:c r="H4097" t="str">
        <x:v>Storage</x:v>
      </x:c>
      <x:c r="I4097" s="22" t="n">
        <x:v>221.024</x:v>
      </x:c>
      <x:c r="J4097" s="24" t="n">
        <x:v>2</x:v>
      </x:c>
      <x:c r="K4097" s="26" t="n">
        <x:v>0.2</x:v>
      </x:c>
      <x:c r="L4097" s="22" t="n">
        <x:v>-55.256</x:v>
      </x:c>
      <x:c r="M4097" t="n">
        <x:v>2017</x:v>
      </x:c>
      <x:c r="N4097" s="20" t="n">
        <x:v>42856</x:v>
      </x:c>
    </x:row>
    <x:row r="4098" ht="18" customHeight="1">
      <x:c r="A4098" t="str">
        <x:v>CA-2015-102491</x:v>
      </x:c>
      <x:c r="B4098" s="18" t="n">
        <x:v>42240</x:v>
      </x:c>
      <x:c r="C4098" t="str">
        <x:v>KW-16435</x:v>
      </x:c>
      <x:c r="D4098" t="str">
        <x:v>Katrina Willman</x:v>
      </x:c>
      <x:c r="E4098" t="str">
        <x:v>Consumer</x:v>
      </x:c>
      <x:c r="F4098" t="str">
        <x:v>South</x:v>
      </x:c>
      <x:c r="G4098" t="str">
        <x:v>Technology</x:v>
      </x:c>
      <x:c r="H4098" t="str">
        <x:v>Machines</x:v>
      </x:c>
      <x:c r="I4098" s="22" t="n">
        <x:v>3080</x:v>
      </x:c>
      <x:c r="J4098" s="24" t="n">
        <x:v>7</x:v>
      </x:c>
      <x:c r="K4098" s="26" t="n">
        <x:v>0</x:v>
      </x:c>
      <x:c r="L4098" s="22" t="n">
        <x:v>1416.7999999999997</x:v>
      </x:c>
      <x:c r="M4098" t="n">
        <x:v>2015</x:v>
      </x:c>
      <x:c r="N4098" s="20" t="n">
        <x:v>42217</x:v>
      </x:c>
    </x:row>
    <x:row r="4099" ht="18" customHeight="1">
      <x:c r="A4099" t="str">
        <x:v>CA-2015-102491</x:v>
      </x:c>
      <x:c r="B4099" s="18" t="n">
        <x:v>42240</x:v>
      </x:c>
      <x:c r="C4099" t="str">
        <x:v>KW-16435</x:v>
      </x:c>
      <x:c r="D4099" t="str">
        <x:v>Katrina Willman</x:v>
      </x:c>
      <x:c r="E4099" t="str">
        <x:v>Consumer</x:v>
      </x:c>
      <x:c r="F4099" t="str">
        <x:v>South</x:v>
      </x:c>
      <x:c r="G4099" t="str">
        <x:v>Technology</x:v>
      </x:c>
      <x:c r="H4099" t="str">
        <x:v>Accessories</x:v>
      </x:c>
      <x:c r="I4099" s="22" t="n">
        <x:v>79.96</x:v>
      </x:c>
      <x:c r="J4099" s="24" t="n">
        <x:v>4</x:v>
      </x:c>
      <x:c r="K4099" s="26" t="n">
        <x:v>0</x:v>
      </x:c>
      <x:c r="L4099" s="22" t="n">
        <x:v>18.3908</x:v>
      </x:c>
      <x:c r="M4099" t="n">
        <x:v>2015</x:v>
      </x:c>
      <x:c r="N4099" s="20" t="n">
        <x:v>42217</x:v>
      </x:c>
    </x:row>
    <x:row r="4100" ht="18" customHeight="1">
      <x:c r="A4100" t="str">
        <x:v>CA-2015-102491</x:v>
      </x:c>
      <x:c r="B4100" s="18" t="n">
        <x:v>42240</x:v>
      </x:c>
      <x:c r="C4100" t="str">
        <x:v>KW-16435</x:v>
      </x:c>
      <x:c r="D4100" t="str">
        <x:v>Katrina Willman</x:v>
      </x:c>
      <x:c r="E4100" t="str">
        <x:v>Consumer</x:v>
      </x:c>
      <x:c r="F4100" t="str">
        <x:v>South</x:v>
      </x:c>
      <x:c r="G4100" t="str">
        <x:v>Technology</x:v>
      </x:c>
      <x:c r="H4100" t="str">
        <x:v>Phones</x:v>
      </x:c>
      <x:c r="I4100" s="22" t="n">
        <x:v>587.97</x:v>
      </x:c>
      <x:c r="J4100" s="24" t="n">
        <x:v>3</x:v>
      </x:c>
      <x:c r="K4100" s="26" t="n">
        <x:v>0</x:v>
      </x:c>
      <x:c r="L4100" s="22" t="n">
        <x:v>170.51129999999998</x:v>
      </x:c>
      <x:c r="M4100" t="n">
        <x:v>2015</x:v>
      </x:c>
      <x:c r="N4100" s="20" t="n">
        <x:v>42217</x:v>
      </x:c>
    </x:row>
    <x:row r="4101" ht="18" customHeight="1">
      <x:c r="A4101" t="str">
        <x:v>CA-2014-116904</x:v>
      </x:c>
      <x:c r="B4101" s="18" t="n">
        <x:v>41905</x:v>
      </x:c>
      <x:c r="C4101" t="str">
        <x:v>SC-20095</x:v>
      </x:c>
      <x:c r="D4101" t="str">
        <x:v>Sanjit Chand</x:v>
      </x:c>
      <x:c r="E4101" t="str">
        <x:v>Consumer</x:v>
      </x:c>
      <x:c r="F4101" t="str">
        <x:v>Central</x:v>
      </x:c>
      <x:c r="G4101" t="str">
        <x:v>Office Supplies</x:v>
      </x:c>
      <x:c r="H4101" t="str">
        <x:v>Paper</x:v>
      </x:c>
      <x:c r="I4101" s="22" t="n">
        <x:v>32.400000000000006</x:v>
      </x:c>
      <x:c r="J4101" s="24" t="n">
        <x:v>5</x:v>
      </x:c>
      <x:c r="K4101" s="26" t="n">
        <x:v>0</x:v>
      </x:c>
      <x:c r="L4101" s="22" t="n">
        <x:v>15.552000000000001</x:v>
      </x:c>
      <x:c r="M4101" t="n">
        <x:v>2014</x:v>
      </x:c>
      <x:c r="N4101" s="20" t="n">
        <x:v>41883</x:v>
      </x:c>
    </x:row>
    <x:row r="4102" ht="18" customHeight="1">
      <x:c r="A4102" t="str">
        <x:v>CA-2014-116904</x:v>
      </x:c>
      <x:c r="B4102" s="18" t="n">
        <x:v>41905</x:v>
      </x:c>
      <x:c r="C4102" t="str">
        <x:v>SC-20095</x:v>
      </x:c>
      <x:c r="D4102" t="str">
        <x:v>Sanjit Chand</x:v>
      </x:c>
      <x:c r="E4102" t="str">
        <x:v>Consumer</x:v>
      </x:c>
      <x:c r="F4102" t="str">
        <x:v>Central</x:v>
      </x:c>
      <x:c r="G4102" t="str">
        <x:v>Office Supplies</x:v>
      </x:c>
      <x:c r="H4102" t="str">
        <x:v>Storage</x:v>
      </x:c>
      <x:c r="I4102" s="22" t="n">
        <x:v>404.90000000000003</x:v>
      </x:c>
      <x:c r="J4102" s="24" t="n">
        <x:v>5</x:v>
      </x:c>
      <x:c r="K4102" s="26" t="n">
        <x:v>0</x:v>
      </x:c>
      <x:c r="L4102" s="22" t="n">
        <x:v>16.195999999999984</x:v>
      </x:c>
      <x:c r="M4102" t="n">
        <x:v>2014</x:v>
      </x:c>
      <x:c r="N4102" s="20" t="n">
        <x:v>41883</x:v>
      </x:c>
    </x:row>
    <x:row r="4103" ht="18" customHeight="1">
      <x:c r="A4103" t="str">
        <x:v>CA-2014-116904</x:v>
      </x:c>
      <x:c r="B4103" s="18" t="n">
        <x:v>41905</x:v>
      </x:c>
      <x:c r="C4103" t="str">
        <x:v>SC-20095</x:v>
      </x:c>
      <x:c r="D4103" t="str">
        <x:v>Sanjit Chand</x:v>
      </x:c>
      <x:c r="E4103" t="str">
        <x:v>Consumer</x:v>
      </x:c>
      <x:c r="F4103" t="str">
        <x:v>Central</x:v>
      </x:c>
      <x:c r="G4103" t="str">
        <x:v>Office Supplies</x:v>
      </x:c>
      <x:c r="H4103" t="str">
        <x:v>Binders</x:v>
      </x:c>
      <x:c r="I4103" s="22" t="n">
        <x:v>9449.95</x:v>
      </x:c>
      <x:c r="J4103" s="24" t="n">
        <x:v>5</x:v>
      </x:c>
      <x:c r="K4103" s="26" t="n">
        <x:v>0</x:v>
      </x:c>
      <x:c r="L4103" s="22" t="n">
        <x:v>4630.4755000000005</x:v>
      </x:c>
      <x:c r="M4103" t="n">
        <x:v>2014</x:v>
      </x:c>
      <x:c r="N4103" s="20" t="n">
        <x:v>41883</x:v>
      </x:c>
    </x:row>
    <x:row r="4104" ht="18" customHeight="1">
      <x:c r="A4104" t="str">
        <x:v>CA-2014-116904</x:v>
      </x:c>
      <x:c r="B4104" s="18" t="n">
        <x:v>41905</x:v>
      </x:c>
      <x:c r="C4104" t="str">
        <x:v>SC-20095</x:v>
      </x:c>
      <x:c r="D4104" t="str">
        <x:v>Sanjit Chand</x:v>
      </x:c>
      <x:c r="E4104" t="str">
        <x:v>Consumer</x:v>
      </x:c>
      <x:c r="F4104" t="str">
        <x:v>Central</x:v>
      </x:c>
      <x:c r="G4104" t="str">
        <x:v>Office Supplies</x:v>
      </x:c>
      <x:c r="H4104" t="str">
        <x:v>Binders</x:v>
      </x:c>
      <x:c r="I4104" s="22" t="n">
        <x:v>12.94</x:v>
      </x:c>
      <x:c r="J4104" s="24" t="n">
        <x:v>2</x:v>
      </x:c>
      <x:c r="K4104" s="26" t="n">
        <x:v>0</x:v>
      </x:c>
      <x:c r="L4104" s="22" t="n">
        <x:v>6.47</x:v>
      </x:c>
      <x:c r="M4104" t="n">
        <x:v>2014</x:v>
      </x:c>
      <x:c r="N4104" s="20" t="n">
        <x:v>41883</x:v>
      </x:c>
    </x:row>
    <x:row r="4105" ht="18" customHeight="1">
      <x:c r="A4105" t="str">
        <x:v>US-2017-102288</x:v>
      </x:c>
      <x:c r="B4105" s="18" t="n">
        <x:v>42905</x:v>
      </x:c>
      <x:c r="C4105" t="str">
        <x:v>ZC-21910</x:v>
      </x:c>
      <x:c r="D4105" t="str">
        <x:v>Zuschuss Carroll</x:v>
      </x:c>
      <x:c r="E4105" t="str">
        <x:v>Consumer</x:v>
      </x:c>
      <x:c r="F4105" t="str">
        <x:v>Central</x:v>
      </x:c>
      <x:c r="G4105" t="str">
        <x:v>Office Supplies</x:v>
      </x:c>
      <x:c r="H4105" t="str">
        <x:v>Appliances</x:v>
      </x:c>
      <x:c r="I4105" s="22" t="n">
        <x:v>2.2639999999999993</x:v>
      </x:c>
      <x:c r="J4105" s="24" t="n">
        <x:v>1</x:v>
      </x:c>
      <x:c r="K4105" s="26" t="n">
        <x:v>0.8</x:v>
      </x:c>
      <x:c r="L4105" s="22" t="n">
        <x:v>-5.207200000000001</x:v>
      </x:c>
      <x:c r="M4105" t="n">
        <x:v>2017</x:v>
      </x:c>
      <x:c r="N4105" s="20" t="n">
        <x:v>42887</x:v>
      </x:c>
    </x:row>
    <x:row r="4106" ht="18" customHeight="1">
      <x:c r="A4106" t="str">
        <x:v>US-2017-102288</x:v>
      </x:c>
      <x:c r="B4106" s="18" t="n">
        <x:v>42905</x:v>
      </x:c>
      <x:c r="C4106" t="str">
        <x:v>ZC-21910</x:v>
      </x:c>
      <x:c r="D4106" t="str">
        <x:v>Zuschuss Carroll</x:v>
      </x:c>
      <x:c r="E4106" t="str">
        <x:v>Consumer</x:v>
      </x:c>
      <x:c r="F4106" t="str">
        <x:v>Central</x:v>
      </x:c>
      <x:c r="G4106" t="str">
        <x:v>Office Supplies</x:v>
      </x:c>
      <x:c r="H4106" t="str">
        <x:v>Appliances</x:v>
      </x:c>
      <x:c r="I4106" s="22" t="n">
        <x:v>0.44399999999999995</x:v>
      </x:c>
      <x:c r="J4106" s="24" t="n">
        <x:v>1</x:v>
      </x:c>
      <x:c r="K4106" s="26" t="n">
        <x:v>0.8</x:v>
      </x:c>
      <x:c r="L4106" s="22" t="n">
        <x:v>-1.1100000000000003</x:v>
      </x:c>
      <x:c r="M4106" t="n">
        <x:v>2017</x:v>
      </x:c>
      <x:c r="N4106" s="20" t="n">
        <x:v>42887</x:v>
      </x:c>
    </x:row>
    <x:row r="4107" ht="18" customHeight="1">
      <x:c r="A4107" t="str">
        <x:v>US-2017-102288</x:v>
      </x:c>
      <x:c r="B4107" s="18" t="n">
        <x:v>42905</x:v>
      </x:c>
      <x:c r="C4107" t="str">
        <x:v>ZC-21910</x:v>
      </x:c>
      <x:c r="D4107" t="str">
        <x:v>Zuschuss Carroll</x:v>
      </x:c>
      <x:c r="E4107" t="str">
        <x:v>Consumer</x:v>
      </x:c>
      <x:c r="F4107" t="str">
        <x:v>Central</x:v>
      </x:c>
      <x:c r="G4107" t="str">
        <x:v>Office Supplies</x:v>
      </x:c>
      <x:c r="H4107" t="str">
        <x:v>Paper</x:v>
      </x:c>
      <x:c r="I4107" s="22" t="n">
        <x:v>146.17600000000002</x:v>
      </x:c>
      <x:c r="J4107" s="24" t="n">
        <x:v>8</x:v>
      </x:c>
      <x:c r="K4107" s="26" t="n">
        <x:v>0.2</x:v>
      </x:c>
      <x:c r="L4107" s="22" t="n">
        <x:v>47.50719999999999</x:v>
      </x:c>
      <x:c r="M4107" t="n">
        <x:v>2017</x:v>
      </x:c>
      <x:c r="N4107" s="20" t="n">
        <x:v>42887</x:v>
      </x:c>
    </x:row>
    <x:row r="4108" ht="18" customHeight="1">
      <x:c r="A4108" t="str">
        <x:v>CA-2017-137456</x:v>
      </x:c>
      <x:c r="B4108" s="18" t="n">
        <x:v>43090</x:v>
      </x:c>
      <x:c r="C4108" t="str">
        <x:v>RB-19465</x:v>
      </x:c>
      <x:c r="D4108" t="str">
        <x:v>Rick Bensley</x:v>
      </x:c>
      <x:c r="E4108" t="str">
        <x:v>Home Office</x:v>
      </x:c>
      <x:c r="F4108" t="str">
        <x:v>Central</x:v>
      </x:c>
      <x:c r="G4108" t="str">
        <x:v>Furniture</x:v>
      </x:c>
      <x:c r="H4108" t="str">
        <x:v>Furnishings</x:v>
      </x:c>
      <x:c r="I4108" s="22" t="n">
        <x:v>15.92</x:v>
      </x:c>
      <x:c r="J4108" s="24" t="n">
        <x:v>2</x:v>
      </x:c>
      <x:c r="K4108" s="26" t="n">
        <x:v>0</x:v>
      </x:c>
      <x:c r="L4108" s="22" t="n">
        <x:v>7.004800000000001</x:v>
      </x:c>
      <x:c r="M4108" t="n">
        <x:v>2017</x:v>
      </x:c>
      <x:c r="N4108" s="20" t="n">
        <x:v>43070</x:v>
      </x:c>
    </x:row>
    <x:row r="4109" ht="18" customHeight="1">
      <x:c r="A4109" t="str">
        <x:v>US-2017-155999</x:v>
      </x:c>
      <x:c r="B4109" s="18" t="n">
        <x:v>42954</x:v>
      </x:c>
      <x:c r="C4109" t="str">
        <x:v>JK-15370</x:v>
      </x:c>
      <x:c r="D4109" t="str">
        <x:v>Jay Kimmel</x:v>
      </x:c>
      <x:c r="E4109" t="str">
        <x:v>Consumer</x:v>
      </x:c>
      <x:c r="F4109" t="str">
        <x:v>West</x:v>
      </x:c>
      <x:c r="G4109" t="str">
        <x:v>Technology</x:v>
      </x:c>
      <x:c r="H4109" t="str">
        <x:v>Phones</x:v>
      </x:c>
      <x:c r="I4109" s="22" t="n">
        <x:v>159.96000000000004</x:v>
      </x:c>
      <x:c r="J4109" s="24" t="n">
        <x:v>5</x:v>
      </x:c>
      <x:c r="K4109" s="26" t="n">
        <x:v>0.2</x:v>
      </x:c>
      <x:c r="L4109" s="22" t="n">
        <x:v>17.99549999999998</x:v>
      </x:c>
      <x:c r="M4109" t="n">
        <x:v>2017</x:v>
      </x:c>
      <x:c r="N4109" s="20" t="n">
        <x:v>42948</x:v>
      </x:c>
    </x:row>
    <x:row r="4110" ht="18" customHeight="1">
      <x:c r="A4110" t="str">
        <x:v>US-2017-155999</x:v>
      </x:c>
      <x:c r="B4110" s="18" t="n">
        <x:v>42954</x:v>
      </x:c>
      <x:c r="C4110" t="str">
        <x:v>JK-15370</x:v>
      </x:c>
      <x:c r="D4110" t="str">
        <x:v>Jay Kimmel</x:v>
      </x:c>
      <x:c r="E4110" t="str">
        <x:v>Consumer</x:v>
      </x:c>
      <x:c r="F4110" t="str">
        <x:v>West</x:v>
      </x:c>
      <x:c r="G4110" t="str">
        <x:v>Office Supplies</x:v>
      </x:c>
      <x:c r="H4110" t="str">
        <x:v>Binders</x:v>
      </x:c>
      <x:c r="I4110" s="22" t="n">
        <x:v>13.76</x:v>
      </x:c>
      <x:c r="J4110" s="24" t="n">
        <x:v>2</x:v>
      </x:c>
      <x:c r="K4110" s="26" t="n">
        <x:v>0.2</x:v>
      </x:c>
      <x:c r="L4110" s="22" t="n">
        <x:v>4.644</x:v>
      </x:c>
      <x:c r="M4110" t="n">
        <x:v>2017</x:v>
      </x:c>
      <x:c r="N4110" s="20" t="n">
        <x:v>42948</x:v>
      </x:c>
    </x:row>
    <x:row r="4111" ht="18" customHeight="1">
      <x:c r="A4111" t="str">
        <x:v>US-2016-148334</x:v>
      </x:c>
      <x:c r="B4111" s="18" t="n">
        <x:v>42604</x:v>
      </x:c>
      <x:c r="C4111" t="str">
        <x:v>DD-13570</x:v>
      </x:c>
      <x:c r="D4111" t="str">
        <x:v>Dorothy Dickinson</x:v>
      </x:c>
      <x:c r="E4111" t="str">
        <x:v>Consumer</x:v>
      </x:c>
      <x:c r="F4111" t="str">
        <x:v>Central</x:v>
      </x:c>
      <x:c r="G4111" t="str">
        <x:v>Office Supplies</x:v>
      </x:c>
      <x:c r="H4111" t="str">
        <x:v>Binders</x:v>
      </x:c>
      <x:c r="I4111" s="22" t="n">
        <x:v>4.3119999999999985</x:v>
      </x:c>
      <x:c r="J4111" s="24" t="n">
        <x:v>2</x:v>
      </x:c>
      <x:c r="K4111" s="26" t="n">
        <x:v>0.8</x:v>
      </x:c>
      <x:c r="L4111" s="22" t="n">
        <x:v>-6.899200000000002</x:v>
      </x:c>
      <x:c r="M4111" t="n">
        <x:v>2016</x:v>
      </x:c>
      <x:c r="N4111" s="20" t="n">
        <x:v>42583</x:v>
      </x:c>
    </x:row>
    <x:row r="4112" ht="18" customHeight="1">
      <x:c r="A4112" t="str">
        <x:v>CA-2015-105599</x:v>
      </x:c>
      <x:c r="B4112" s="18" t="n">
        <x:v>42254</x:v>
      </x:c>
      <x:c r="C4112" t="str">
        <x:v>MC-17275</x:v>
      </x:c>
      <x:c r="D4112" t="str">
        <x:v>Marc Crier</x:v>
      </x:c>
      <x:c r="E4112" t="str">
        <x:v>Consumer</x:v>
      </x:c>
      <x:c r="F4112" t="str">
        <x:v>East</x:v>
      </x:c>
      <x:c r="G4112" t="str">
        <x:v>Office Supplies</x:v>
      </x:c>
      <x:c r="H4112" t="str">
        <x:v>Storage</x:v>
      </x:c>
      <x:c r="I4112" s="22" t="n">
        <x:v>13.96</x:v>
      </x:c>
      <x:c r="J4112" s="24" t="n">
        <x:v>2</x:v>
      </x:c>
      <x:c r="K4112" s="26" t="n">
        <x:v>0</x:v>
      </x:c>
      <x:c r="L4112" s="22" t="n">
        <x:v>0.27919999999999945</x:v>
      </x:c>
      <x:c r="M4112" t="n">
        <x:v>2015</x:v>
      </x:c>
      <x:c r="N4112" s="20" t="n">
        <x:v>42248</x:v>
      </x:c>
    </x:row>
    <x:row r="4113" ht="18" customHeight="1">
      <x:c r="A4113" t="str">
        <x:v>CA-2015-105599</x:v>
      </x:c>
      <x:c r="B4113" s="18" t="n">
        <x:v>42254</x:v>
      </x:c>
      <x:c r="C4113" t="str">
        <x:v>MC-17275</x:v>
      </x:c>
      <x:c r="D4113" t="str">
        <x:v>Marc Crier</x:v>
      </x:c>
      <x:c r="E4113" t="str">
        <x:v>Consumer</x:v>
      </x:c>
      <x:c r="F4113" t="str">
        <x:v>East</x:v>
      </x:c>
      <x:c r="G4113" t="str">
        <x:v>Furniture</x:v>
      </x:c>
      <x:c r="H4113" t="str">
        <x:v>Tables</x:v>
      </x:c>
      <x:c r="I4113" s="22" t="n">
        <x:v>27.414</x:v>
      </x:c>
      <x:c r="J4113" s="24" t="n">
        <x:v>3</x:v>
      </x:c>
      <x:c r="K4113" s="26" t="n">
        <x:v>0.4</x:v>
      </x:c>
      <x:c r="L4113" s="22" t="n">
        <x:v>-14.163900000000005</x:v>
      </x:c>
      <x:c r="M4113" t="n">
        <x:v>2015</x:v>
      </x:c>
      <x:c r="N4113" s="20" t="n">
        <x:v>42248</x:v>
      </x:c>
    </x:row>
    <x:row r="4114" ht="18" customHeight="1">
      <x:c r="A4114" t="str">
        <x:v>CA-2015-153717</x:v>
      </x:c>
      <x:c r="B4114" s="18" t="n">
        <x:v>42363</x:v>
      </x:c>
      <x:c r="C4114" t="str">
        <x:v>DL-13495</x:v>
      </x:c>
      <x:c r="D4114" t="str">
        <x:v>Dionis Lloyd</x:v>
      </x:c>
      <x:c r="E4114" t="str">
        <x:v>Corporate</x:v>
      </x:c>
      <x:c r="F4114" t="str">
        <x:v>Central</x:v>
      </x:c>
      <x:c r="G4114" t="str">
        <x:v>Technology</x:v>
      </x:c>
      <x:c r="H4114" t="str">
        <x:v>Phones</x:v>
      </x:c>
      <x:c r="I4114" s="22" t="n">
        <x:v>73.98</x:v>
      </x:c>
      <x:c r="J4114" s="24" t="n">
        <x:v>2</x:v>
      </x:c>
      <x:c r="K4114" s="26" t="n">
        <x:v>0</x:v>
      </x:c>
      <x:c r="L4114" s="22" t="n">
        <x:v>19.974600000000002</x:v>
      </x:c>
      <x:c r="M4114" t="n">
        <x:v>2015</x:v>
      </x:c>
      <x:c r="N4114" s="20" t="n">
        <x:v>42339</x:v>
      </x:c>
    </x:row>
    <x:row r="4115" ht="18" customHeight="1">
      <x:c r="A4115" t="str">
        <x:v>CA-2015-153717</x:v>
      </x:c>
      <x:c r="B4115" s="18" t="n">
        <x:v>42363</x:v>
      </x:c>
      <x:c r="C4115" t="str">
        <x:v>DL-13495</x:v>
      </x:c>
      <x:c r="D4115" t="str">
        <x:v>Dionis Lloyd</x:v>
      </x:c>
      <x:c r="E4115" t="str">
        <x:v>Corporate</x:v>
      </x:c>
      <x:c r="F4115" t="str">
        <x:v>Central</x:v>
      </x:c>
      <x:c r="G4115" t="str">
        <x:v>Furniture</x:v>
      </x:c>
      <x:c r="H4115" t="str">
        <x:v>Bookcases</x:v>
      </x:c>
      <x:c r="I4115" s="22" t="n">
        <x:v>160.98</x:v>
      </x:c>
      <x:c r="J4115" s="24" t="n">
        <x:v>1</x:v>
      </x:c>
      <x:c r="K4115" s="26" t="n">
        <x:v>0</x:v>
      </x:c>
      <x:c r="L4115" s="22" t="n">
        <x:v>20.927400000000006</x:v>
      </x:c>
      <x:c r="M4115" t="n">
        <x:v>2015</x:v>
      </x:c>
      <x:c r="N4115" s="20" t="n">
        <x:v>42339</x:v>
      </x:c>
    </x:row>
    <x:row r="4116" ht="18" customHeight="1">
      <x:c r="A4116" t="str">
        <x:v>CA-2015-153717</x:v>
      </x:c>
      <x:c r="B4116" s="18" t="n">
        <x:v>42363</x:v>
      </x:c>
      <x:c r="C4116" t="str">
        <x:v>DL-13495</x:v>
      </x:c>
      <x:c r="D4116" t="str">
        <x:v>Dionis Lloyd</x:v>
      </x:c>
      <x:c r="E4116" t="str">
        <x:v>Corporate</x:v>
      </x:c>
      <x:c r="F4116" t="str">
        <x:v>Central</x:v>
      </x:c>
      <x:c r="G4116" t="str">
        <x:v>Office Supplies</x:v>
      </x:c>
      <x:c r="H4116" t="str">
        <x:v>Paper</x:v>
      </x:c>
      <x:c r="I4116" s="22" t="n">
        <x:v>17.34</x:v>
      </x:c>
      <x:c r="J4116" s="24" t="n">
        <x:v>3</x:v>
      </x:c>
      <x:c r="K4116" s="26" t="n">
        <x:v>0</x:v>
      </x:c>
      <x:c r="L4116" s="22" t="n">
        <x:v>8.4966</x:v>
      </x:c>
      <x:c r="M4116" t="n">
        <x:v>2015</x:v>
      </x:c>
      <x:c r="N4116" s="20" t="n">
        <x:v>42339</x:v>
      </x:c>
    </x:row>
    <x:row r="4117" ht="18" customHeight="1">
      <x:c r="A4117" t="str">
        <x:v>CA-2015-153717</x:v>
      </x:c>
      <x:c r="B4117" s="18" t="n">
        <x:v>42363</x:v>
      </x:c>
      <x:c r="C4117" t="str">
        <x:v>DL-13495</x:v>
      </x:c>
      <x:c r="D4117" t="str">
        <x:v>Dionis Lloyd</x:v>
      </x:c>
      <x:c r="E4117" t="str">
        <x:v>Corporate</x:v>
      </x:c>
      <x:c r="F4117" t="str">
        <x:v>Central</x:v>
      </x:c>
      <x:c r="G4117" t="str">
        <x:v>Office Supplies</x:v>
      </x:c>
      <x:c r="H4117" t="str">
        <x:v>Art</x:v>
      </x:c>
      <x:c r="I4117" s="22" t="n">
        <x:v>3.28</x:v>
      </x:c>
      <x:c r="J4117" s="24" t="n">
        <x:v>1</x:v>
      </x:c>
      <x:c r="K4117" s="26" t="n">
        <x:v>0</x:v>
      </x:c>
      <x:c r="L4117" s="22" t="n">
        <x:v>0.9511999999999996</x:v>
      </x:c>
      <x:c r="M4117" t="n">
        <x:v>2015</x:v>
      </x:c>
      <x:c r="N4117" s="20" t="n">
        <x:v>42339</x:v>
      </x:c>
    </x:row>
    <x:row r="4118" ht="18" customHeight="1">
      <x:c r="A4118" t="str">
        <x:v>CA-2015-116687</x:v>
      </x:c>
      <x:c r="B4118" s="18" t="n">
        <x:v>42126</x:v>
      </x:c>
      <x:c r="C4118" t="str">
        <x:v>NC-18625</x:v>
      </x:c>
      <x:c r="D4118" t="str">
        <x:v>Noah Childs</x:v>
      </x:c>
      <x:c r="E4118" t="str">
        <x:v>Corporate</x:v>
      </x:c>
      <x:c r="F4118" t="str">
        <x:v>Central</x:v>
      </x:c>
      <x:c r="G4118" t="str">
        <x:v>Office Supplies</x:v>
      </x:c>
      <x:c r="H4118" t="str">
        <x:v>Labels</x:v>
      </x:c>
      <x:c r="I4118" s="22" t="n">
        <x:v>8.856</x:v>
      </x:c>
      <x:c r="J4118" s="24" t="n">
        <x:v>3</x:v>
      </x:c>
      <x:c r="K4118" s="26" t="n">
        <x:v>0.2</x:v>
      </x:c>
      <x:c r="L4118" s="22" t="n">
        <x:v>2.9888999999999997</x:v>
      </x:c>
      <x:c r="M4118" t="n">
        <x:v>2015</x:v>
      </x:c>
      <x:c r="N4118" s="20" t="n">
        <x:v>42125</x:v>
      </x:c>
    </x:row>
    <x:row r="4119" ht="18" customHeight="1">
      <x:c r="A4119" t="str">
        <x:v>CA-2015-116687</x:v>
      </x:c>
      <x:c r="B4119" s="18" t="n">
        <x:v>42126</x:v>
      </x:c>
      <x:c r="C4119" t="str">
        <x:v>NC-18625</x:v>
      </x:c>
      <x:c r="D4119" t="str">
        <x:v>Noah Childs</x:v>
      </x:c>
      <x:c r="E4119" t="str">
        <x:v>Corporate</x:v>
      </x:c>
      <x:c r="F4119" t="str">
        <x:v>Central</x:v>
      </x:c>
      <x:c r="G4119" t="str">
        <x:v>Technology</x:v>
      </x:c>
      <x:c r="H4119" t="str">
        <x:v>Phones</x:v>
      </x:c>
      <x:c r="I4119" s="22" t="n">
        <x:v>158.376</x:v>
      </x:c>
      <x:c r="J4119" s="24" t="n">
        <x:v>3</x:v>
      </x:c>
      <x:c r="K4119" s="26" t="n">
        <x:v>0.2</x:v>
      </x:c>
      <x:c r="L4119" s="22" t="n">
        <x:v>13.857900000000008</x:v>
      </x:c>
      <x:c r="M4119" t="n">
        <x:v>2015</x:v>
      </x:c>
      <x:c r="N4119" s="20" t="n">
        <x:v>42125</x:v>
      </x:c>
    </x:row>
    <x:row r="4120" ht="18" customHeight="1">
      <x:c r="A4120" t="str">
        <x:v>CA-2016-163573</x:v>
      </x:c>
      <x:c r="B4120" s="18" t="n">
        <x:v>42698</x:v>
      </x:c>
      <x:c r="C4120" t="str">
        <x:v>AC-10450</x:v>
      </x:c>
      <x:c r="D4120" t="str">
        <x:v>Amy Cox</x:v>
      </x:c>
      <x:c r="E4120" t="str">
        <x:v>Consumer</x:v>
      </x:c>
      <x:c r="F4120" t="str">
        <x:v>West</x:v>
      </x:c>
      <x:c r="G4120" t="str">
        <x:v>Office Supplies</x:v>
      </x:c>
      <x:c r="H4120" t="str">
        <x:v>Binders</x:v>
      </x:c>
      <x:c r="I4120" s="22" t="n">
        <x:v>1219.96</x:v>
      </x:c>
      <x:c r="J4120" s="24" t="n">
        <x:v>5</x:v>
      </x:c>
      <x:c r="K4120" s="26" t="n">
        <x:v>0.2</x:v>
      </x:c>
      <x:c r="L4120" s="22" t="n">
        <x:v>381.23749999999995</x:v>
      </x:c>
      <x:c r="M4120" t="n">
        <x:v>2016</x:v>
      </x:c>
      <x:c r="N4120" s="20" t="n">
        <x:v>42675</x:v>
      </x:c>
    </x:row>
    <x:row r="4121" ht="18" customHeight="1">
      <x:c r="A4121" t="str">
        <x:v>CA-2015-153416</x:v>
      </x:c>
      <x:c r="B4121" s="18" t="n">
        <x:v>42332</x:v>
      </x:c>
      <x:c r="C4121" t="str">
        <x:v>TS-21340</x:v>
      </x:c>
      <x:c r="D4121" t="str">
        <x:v>Toby Swindell</x:v>
      </x:c>
      <x:c r="E4121" t="str">
        <x:v>Consumer</x:v>
      </x:c>
      <x:c r="F4121" t="str">
        <x:v>West</x:v>
      </x:c>
      <x:c r="G4121" t="str">
        <x:v>Office Supplies</x:v>
      </x:c>
      <x:c r="H4121" t="str">
        <x:v>Binders</x:v>
      </x:c>
      <x:c r="I4121" s="22" t="n">
        <x:v>3.168</x:v>
      </x:c>
      <x:c r="J4121" s="24" t="n">
        <x:v>2</x:v>
      </x:c>
      <x:c r="K4121" s="26" t="n">
        <x:v>0.2</x:v>
      </x:c>
      <x:c r="L4121" s="22" t="n">
        <x:v>0.99</x:v>
      </x:c>
      <x:c r="M4121" t="n">
        <x:v>2015</x:v>
      </x:c>
      <x:c r="N4121" s="20" t="n">
        <x:v>42309</x:v>
      </x:c>
    </x:row>
    <x:row r="4122" ht="18" customHeight="1">
      <x:c r="A4122" t="str">
        <x:v>CA-2015-153416</x:v>
      </x:c>
      <x:c r="B4122" s="18" t="n">
        <x:v>42332</x:v>
      </x:c>
      <x:c r="C4122" t="str">
        <x:v>TS-21340</x:v>
      </x:c>
      <x:c r="D4122" t="str">
        <x:v>Toby Swindell</x:v>
      </x:c>
      <x:c r="E4122" t="str">
        <x:v>Consumer</x:v>
      </x:c>
      <x:c r="F4122" t="str">
        <x:v>West</x:v>
      </x:c>
      <x:c r="G4122" t="str">
        <x:v>Office Supplies</x:v>
      </x:c>
      <x:c r="H4122" t="str">
        <x:v>Paper</x:v>
      </x:c>
      <x:c r="I4122" s="22" t="n">
        <x:v>19.44</x:v>
      </x:c>
      <x:c r="J4122" s="24" t="n">
        <x:v>3</x:v>
      </x:c>
      <x:c r="K4122" s="26" t="n">
        <x:v>0</x:v>
      </x:c>
      <x:c r="L4122" s="22" t="n">
        <x:v>9.3312</x:v>
      </x:c>
      <x:c r="M4122" t="n">
        <x:v>2015</x:v>
      </x:c>
      <x:c r="N4122" s="20" t="n">
        <x:v>42309</x:v>
      </x:c>
    </x:row>
    <x:row r="4123" ht="18" customHeight="1">
      <x:c r="A4123" t="str">
        <x:v>CA-2015-153416</x:v>
      </x:c>
      <x:c r="B4123" s="18" t="n">
        <x:v>42332</x:v>
      </x:c>
      <x:c r="C4123" t="str">
        <x:v>TS-21340</x:v>
      </x:c>
      <x:c r="D4123" t="str">
        <x:v>Toby Swindell</x:v>
      </x:c>
      <x:c r="E4123" t="str">
        <x:v>Consumer</x:v>
      </x:c>
      <x:c r="F4123" t="str">
        <x:v>West</x:v>
      </x:c>
      <x:c r="G4123" t="str">
        <x:v>Office Supplies</x:v>
      </x:c>
      <x:c r="H4123" t="str">
        <x:v>Storage</x:v>
      </x:c>
      <x:c r="I4123" s="22" t="n">
        <x:v>454.86</x:v>
      </x:c>
      <x:c r="J4123" s="24" t="n">
        <x:v>7</x:v>
      </x:c>
      <x:c r="K4123" s="26" t="n">
        <x:v>0</x:v>
      </x:c>
      <x:c r="L4123" s="22" t="n">
        <x:v>54.58320000000002</x:v>
      </x:c>
      <x:c r="M4123" t="n">
        <x:v>2015</x:v>
      </x:c>
      <x:c r="N4123" s="20" t="n">
        <x:v>42309</x:v>
      </x:c>
    </x:row>
    <x:row r="4124" ht="18" customHeight="1">
      <x:c r="A4124" t="str">
        <x:v>CA-2015-153416</x:v>
      </x:c>
      <x:c r="B4124" s="18" t="n">
        <x:v>42332</x:v>
      </x:c>
      <x:c r="C4124" t="str">
        <x:v>TS-21340</x:v>
      </x:c>
      <x:c r="D4124" t="str">
        <x:v>Toby Swindell</x:v>
      </x:c>
      <x:c r="E4124" t="str">
        <x:v>Consumer</x:v>
      </x:c>
      <x:c r="F4124" t="str">
        <x:v>West</x:v>
      </x:c>
      <x:c r="G4124" t="str">
        <x:v>Office Supplies</x:v>
      </x:c>
      <x:c r="H4124" t="str">
        <x:v>Binders</x:v>
      </x:c>
      <x:c r="I4124" s="22" t="n">
        <x:v>91.392</x:v>
      </x:c>
      <x:c r="J4124" s="24" t="n">
        <x:v>8</x:v>
      </x:c>
      <x:c r="K4124" s="26" t="n">
        <x:v>0.2</x:v>
      </x:c>
      <x:c r="L4124" s="22" t="n">
        <x:v>29.702399999999997</x:v>
      </x:c>
      <x:c r="M4124" t="n">
        <x:v>2015</x:v>
      </x:c>
      <x:c r="N4124" s="20" t="n">
        <x:v>42309</x:v>
      </x:c>
    </x:row>
    <x:row r="4125" ht="18" customHeight="1">
      <x:c r="A4125" t="str">
        <x:v>CA-2017-117394</x:v>
      </x:c>
      <x:c r="B4125" s="18" t="n">
        <x:v>42982</x:v>
      </x:c>
      <x:c r="C4125" t="str">
        <x:v>MM-17920</x:v>
      </x:c>
      <x:c r="D4125" t="str">
        <x:v>Michael Moore</x:v>
      </x:c>
      <x:c r="E4125" t="str">
        <x:v>Consumer</x:v>
      </x:c>
      <x:c r="F4125" t="str">
        <x:v>East</x:v>
      </x:c>
      <x:c r="G4125" t="str">
        <x:v>Technology</x:v>
      </x:c>
      <x:c r="H4125" t="str">
        <x:v>Accessories</x:v>
      </x:c>
      <x:c r="I4125" s="22" t="n">
        <x:v>19.040000000000003</x:v>
      </x:c>
      <x:c r="J4125" s="24" t="n">
        <x:v>4</x:v>
      </x:c>
      <x:c r="K4125" s="26" t="n">
        <x:v>0.2</x:v>
      </x:c>
      <x:c r="L4125" s="22" t="n">
        <x:v>-1.428</x:v>
      </x:c>
      <x:c r="M4125" t="n">
        <x:v>2017</x:v>
      </x:c>
      <x:c r="N4125" s="20" t="n">
        <x:v>42979</x:v>
      </x:c>
    </x:row>
    <x:row r="4126" ht="18" customHeight="1">
      <x:c r="A4126" t="str">
        <x:v>CA-2017-133823</x:v>
      </x:c>
      <x:c r="B4126" s="18" t="n">
        <x:v>42866</x:v>
      </x:c>
      <x:c r="C4126" t="str">
        <x:v>LP-17080</x:v>
      </x:c>
      <x:c r="D4126" t="str">
        <x:v>Liz Pelletier</x:v>
      </x:c>
      <x:c r="E4126" t="str">
        <x:v>Consumer</x:v>
      </x:c>
      <x:c r="F4126" t="str">
        <x:v>West</x:v>
      </x:c>
      <x:c r="G4126" t="str">
        <x:v>Office Supplies</x:v>
      </x:c>
      <x:c r="H4126" t="str">
        <x:v>Paper</x:v>
      </x:c>
      <x:c r="I4126" s="22" t="n">
        <x:v>37.44</x:v>
      </x:c>
      <x:c r="J4126" s="24" t="n">
        <x:v>6</x:v>
      </x:c>
      <x:c r="K4126" s="26" t="n">
        <x:v>0</x:v>
      </x:c>
      <x:c r="L4126" s="22" t="n">
        <x:v>16.848</x:v>
      </x:c>
      <x:c r="M4126" t="n">
        <x:v>2017</x:v>
      </x:c>
      <x:c r="N4126" s="20" t="n">
        <x:v>42856</x:v>
      </x:c>
    </x:row>
    <x:row r="4127" ht="18" customHeight="1">
      <x:c r="A4127" t="str">
        <x:v>CA-2017-133823</x:v>
      </x:c>
      <x:c r="B4127" s="18" t="n">
        <x:v>42866</x:v>
      </x:c>
      <x:c r="C4127" t="str">
        <x:v>LP-17080</x:v>
      </x:c>
      <x:c r="D4127" t="str">
        <x:v>Liz Pelletier</x:v>
      </x:c>
      <x:c r="E4127" t="str">
        <x:v>Consumer</x:v>
      </x:c>
      <x:c r="F4127" t="str">
        <x:v>West</x:v>
      </x:c>
      <x:c r="G4127" t="str">
        <x:v>Office Supplies</x:v>
      </x:c>
      <x:c r="H4127" t="str">
        <x:v>Labels</x:v>
      </x:c>
      <x:c r="I4127" s="22" t="n">
        <x:v>37.589999999999996</x:v>
      </x:c>
      <x:c r="J4127" s="24" t="n">
        <x:v>3</x:v>
      </x:c>
      <x:c r="K4127" s="26" t="n">
        <x:v>0</x:v>
      </x:c>
      <x:c r="L4127" s="22" t="n">
        <x:v>17.667299999999997</x:v>
      </x:c>
      <x:c r="M4127" t="n">
        <x:v>2017</x:v>
      </x:c>
      <x:c r="N4127" s="20" t="n">
        <x:v>42856</x:v>
      </x:c>
    </x:row>
    <x:row r="4128" ht="18" customHeight="1">
      <x:c r="A4128" t="str">
        <x:v>CA-2017-133823</x:v>
      </x:c>
      <x:c r="B4128" s="18" t="n">
        <x:v>42866</x:v>
      </x:c>
      <x:c r="C4128" t="str">
        <x:v>LP-17080</x:v>
      </x:c>
      <x:c r="D4128" t="str">
        <x:v>Liz Pelletier</x:v>
      </x:c>
      <x:c r="E4128" t="str">
        <x:v>Consumer</x:v>
      </x:c>
      <x:c r="F4128" t="str">
        <x:v>West</x:v>
      </x:c>
      <x:c r="G4128" t="str">
        <x:v>Office Supplies</x:v>
      </x:c>
      <x:c r="H4128" t="str">
        <x:v>Binders</x:v>
      </x:c>
      <x:c r="I4128" s="22" t="n">
        <x:v>26.032</x:v>
      </x:c>
      <x:c r="J4128" s="24" t="n">
        <x:v>2</x:v>
      </x:c>
      <x:c r="K4128" s="26" t="n">
        <x:v>0.2</x:v>
      </x:c>
      <x:c r="L4128" s="22" t="n">
        <x:v>9.436599999999999</x:v>
      </x:c>
      <x:c r="M4128" t="n">
        <x:v>2017</x:v>
      </x:c>
      <x:c r="N4128" s="20" t="n">
        <x:v>42856</x:v>
      </x:c>
    </x:row>
    <x:row r="4129" ht="18" customHeight="1">
      <x:c r="A4129" t="str">
        <x:v>CA-2014-127523</x:v>
      </x:c>
      <x:c r="B4129" s="18" t="n">
        <x:v>41770</x:v>
      </x:c>
      <x:c r="C4129" t="str">
        <x:v>BG-11695</x:v>
      </x:c>
      <x:c r="D4129" t="str">
        <x:v>Brooke Gillingham</x:v>
      </x:c>
      <x:c r="E4129" t="str">
        <x:v>Corporate</x:v>
      </x:c>
      <x:c r="F4129" t="str">
        <x:v>East</x:v>
      </x:c>
      <x:c r="G4129" t="str">
        <x:v>Office Supplies</x:v>
      </x:c>
      <x:c r="H4129" t="str">
        <x:v>Appliances</x:v>
      </x:c>
      <x:c r="I4129" s="22" t="n">
        <x:v>35.910000000000004</x:v>
      </x:c>
      <x:c r="J4129" s="24" t="n">
        <x:v>3</x:v>
      </x:c>
      <x:c r="K4129" s="26" t="n">
        <x:v>0</x:v>
      </x:c>
      <x:c r="L4129" s="22" t="n">
        <x:v>9.695699999999999</x:v>
      </x:c>
      <x:c r="M4129" t="n">
        <x:v>2014</x:v>
      </x:c>
      <x:c r="N4129" s="20" t="n">
        <x:v>41760</x:v>
      </x:c>
    </x:row>
    <x:row r="4130" ht="18" customHeight="1">
      <x:c r="A4130" t="str">
        <x:v>CA-2017-123239</x:v>
      </x:c>
      <x:c r="B4130" s="18" t="n">
        <x:v>42943</x:v>
      </x:c>
      <x:c r="C4130" t="str">
        <x:v>MG-18145</x:v>
      </x:c>
      <x:c r="D4130" t="str">
        <x:v>Mike Gockenbach</x:v>
      </x:c>
      <x:c r="E4130" t="str">
        <x:v>Consumer</x:v>
      </x:c>
      <x:c r="F4130" t="str">
        <x:v>South</x:v>
      </x:c>
      <x:c r="G4130" t="str">
        <x:v>Furniture</x:v>
      </x:c>
      <x:c r="H4130" t="str">
        <x:v>Furnishings</x:v>
      </x:c>
      <x:c r="I4130" s="22" t="n">
        <x:v>91.03200000000001</x:v>
      </x:c>
      <x:c r="J4130" s="24" t="n">
        <x:v>3</x:v>
      </x:c>
      <x:c r="K4130" s="26" t="n">
        <x:v>0.2</x:v>
      </x:c>
      <x:c r="L4130" s="22" t="n">
        <x:v>-2.275800000000011</x:v>
      </x:c>
      <x:c r="M4130" t="n">
        <x:v>2017</x:v>
      </x:c>
      <x:c r="N4130" s="20" t="n">
        <x:v>42917</x:v>
      </x:c>
    </x:row>
    <x:row r="4131" ht="18" customHeight="1">
      <x:c r="A4131" t="str">
        <x:v>CA-2017-156769</x:v>
      </x:c>
      <x:c r="B4131" s="18" t="n">
        <x:v>42861</x:v>
      </x:c>
      <x:c r="C4131" t="str">
        <x:v>GZ-14470</x:v>
      </x:c>
      <x:c r="D4131" t="str">
        <x:v>Gary Zandusky</x:v>
      </x:c>
      <x:c r="E4131" t="str">
        <x:v>Consumer</x:v>
      </x:c>
      <x:c r="F4131" t="str">
        <x:v>South</x:v>
      </x:c>
      <x:c r="G4131" t="str">
        <x:v>Office Supplies</x:v>
      </x:c>
      <x:c r="H4131" t="str">
        <x:v>Art</x:v>
      </x:c>
      <x:c r="I4131" s="22" t="n">
        <x:v>54.66</x:v>
      </x:c>
      <x:c r="J4131" s="24" t="n">
        <x:v>6</x:v>
      </x:c>
      <x:c r="K4131" s="26" t="n">
        <x:v>0</x:v>
      </x:c>
      <x:c r="L4131" s="22" t="n">
        <x:v>18.037799999999997</x:v>
      </x:c>
      <x:c r="M4131" t="n">
        <x:v>2017</x:v>
      </x:c>
      <x:c r="N4131" s="20" t="n">
        <x:v>42856</x:v>
      </x:c>
    </x:row>
    <x:row r="4132" ht="18" customHeight="1">
      <x:c r="A4132" t="str">
        <x:v>CA-2014-127299</x:v>
      </x:c>
      <x:c r="B4132" s="18" t="n">
        <x:v>41901</x:v>
      </x:c>
      <x:c r="C4132" t="str">
        <x:v>JL-15835</x:v>
      </x:c>
      <x:c r="D4132" t="str">
        <x:v>John Lee</x:v>
      </x:c>
      <x:c r="E4132" t="str">
        <x:v>Consumer</x:v>
      </x:c>
      <x:c r="F4132" t="str">
        <x:v>South</x:v>
      </x:c>
      <x:c r="G4132" t="str">
        <x:v>Office Supplies</x:v>
      </x:c>
      <x:c r="H4132" t="str">
        <x:v>Storage</x:v>
      </x:c>
      <x:c r="I4132" s="22" t="n">
        <x:v>67.344</x:v>
      </x:c>
      <x:c r="J4132" s="24" t="n">
        <x:v>6</x:v>
      </x:c>
      <x:c r="K4132" s="26" t="n">
        <x:v>0.2</x:v>
      </x:c>
      <x:c r="L4132" s="22" t="n">
        <x:v>7.576199999999989</x:v>
      </x:c>
      <x:c r="M4132" t="n">
        <x:v>2014</x:v>
      </x:c>
      <x:c r="N4132" s="20" t="n">
        <x:v>41883</x:v>
      </x:c>
    </x:row>
    <x:row r="4133" ht="18" customHeight="1">
      <x:c r="A4133" t="str">
        <x:v>CA-2014-127299</x:v>
      </x:c>
      <x:c r="B4133" s="18" t="n">
        <x:v>41901</x:v>
      </x:c>
      <x:c r="C4133" t="str">
        <x:v>JL-15835</x:v>
      </x:c>
      <x:c r="D4133" t="str">
        <x:v>John Lee</x:v>
      </x:c>
      <x:c r="E4133" t="str">
        <x:v>Consumer</x:v>
      </x:c>
      <x:c r="F4133" t="str">
        <x:v>South</x:v>
      </x:c>
      <x:c r="G4133" t="str">
        <x:v>Technology</x:v>
      </x:c>
      <x:c r="H4133" t="str">
        <x:v>Machines</x:v>
      </x:c>
      <x:c r="I4133" s="22" t="n">
        <x:v>2624.985</x:v>
      </x:c>
      <x:c r="J4133" s="24" t="n">
        <x:v>3</x:v>
      </x:c>
      <x:c r="K4133" s="26" t="n">
        <x:v>0.5</x:v>
      </x:c>
      <x:c r="L4133" s="22" t="n">
        <x:v>-944.9946000000004</x:v>
      </x:c>
      <x:c r="M4133" t="n">
        <x:v>2014</x:v>
      </x:c>
      <x:c r="N4133" s="20" t="n">
        <x:v>41883</x:v>
      </x:c>
    </x:row>
    <x:row r="4134" ht="18" customHeight="1">
      <x:c r="A4134" t="str">
        <x:v>CA-2015-121272</x:v>
      </x:c>
      <x:c r="B4134" s="18" t="n">
        <x:v>42092</x:v>
      </x:c>
      <x:c r="C4134" t="str">
        <x:v>DO-13435</x:v>
      </x:c>
      <x:c r="D4134" t="str">
        <x:v>Denny Ordway</x:v>
      </x:c>
      <x:c r="E4134" t="str">
        <x:v>Consumer</x:v>
      </x:c>
      <x:c r="F4134" t="str">
        <x:v>West</x:v>
      </x:c>
      <x:c r="G4134" t="str">
        <x:v>Office Supplies</x:v>
      </x:c>
      <x:c r="H4134" t="str">
        <x:v>Appliances</x:v>
      </x:c>
      <x:c r="I4134" s="22" t="n">
        <x:v>73.28</x:v>
      </x:c>
      <x:c r="J4134" s="24" t="n">
        <x:v>4</x:v>
      </x:c>
      <x:c r="K4134" s="26" t="n">
        <x:v>0</x:v>
      </x:c>
      <x:c r="L4134" s="22" t="n">
        <x:v>21.251199999999997</x:v>
      </x:c>
      <x:c r="M4134" t="n">
        <x:v>2015</x:v>
      </x:c>
      <x:c r="N4134" s="20" t="n">
        <x:v>42064</x:v>
      </x:c>
    </x:row>
    <x:row r="4135" ht="18" customHeight="1">
      <x:c r="A4135" t="str">
        <x:v>CA-2014-115336</x:v>
      </x:c>
      <x:c r="B4135" s="18" t="n">
        <x:v>41961</x:v>
      </x:c>
      <x:c r="C4135" t="str">
        <x:v>AB-10600</x:v>
      </x:c>
      <x:c r="D4135" t="str">
        <x:v>Ann Blume</x:v>
      </x:c>
      <x:c r="E4135" t="str">
        <x:v>Corporate</x:v>
      </x:c>
      <x:c r="F4135" t="str">
        <x:v>Central</x:v>
      </x:c>
      <x:c r="G4135" t="str">
        <x:v>Office Supplies</x:v>
      </x:c>
      <x:c r="H4135" t="str">
        <x:v>Binders</x:v>
      </x:c>
      <x:c r="I4135" s="22" t="n">
        <x:v>14.479999999999997</x:v>
      </x:c>
      <x:c r="J4135" s="24" t="n">
        <x:v>5</x:v>
      </x:c>
      <x:c r="K4135" s="26" t="n">
        <x:v>0.8</x:v>
      </x:c>
      <x:c r="L4135" s="22" t="n">
        <x:v>-23.89200000000001</x:v>
      </x:c>
      <x:c r="M4135" t="n">
        <x:v>2014</x:v>
      </x:c>
      <x:c r="N4135" s="20" t="n">
        <x:v>41944</x:v>
      </x:c>
    </x:row>
    <x:row r="4136" ht="18" customHeight="1">
      <x:c r="A4136" t="str">
        <x:v>CA-2015-111703</x:v>
      </x:c>
      <x:c r="B4136" s="18" t="n">
        <x:v>42187</x:v>
      </x:c>
      <x:c r="C4136" t="str">
        <x:v>KB-16315</x:v>
      </x:c>
      <x:c r="D4136" t="str">
        <x:v>Karl Braun</x:v>
      </x:c>
      <x:c r="E4136" t="str">
        <x:v>Consumer</x:v>
      </x:c>
      <x:c r="F4136" t="str">
        <x:v>South</x:v>
      </x:c>
      <x:c r="G4136" t="str">
        <x:v>Office Supplies</x:v>
      </x:c>
      <x:c r="H4136" t="str">
        <x:v>Paper</x:v>
      </x:c>
      <x:c r="I4136" s="22" t="n">
        <x:v>11.952000000000002</x:v>
      </x:c>
      <x:c r="J4136" s="24" t="n">
        <x:v>3</x:v>
      </x:c>
      <x:c r="K4136" s="26" t="n">
        <x:v>0.2</x:v>
      </x:c>
      <x:c r="L4136" s="22" t="n">
        <x:v>4.0338</x:v>
      </x:c>
      <x:c r="M4136" t="n">
        <x:v>2015</x:v>
      </x:c>
      <x:c r="N4136" s="20" t="n">
        <x:v>42186</x:v>
      </x:c>
    </x:row>
    <x:row r="4137" ht="18" customHeight="1">
      <x:c r="A4137" t="str">
        <x:v>CA-2015-111703</x:v>
      </x:c>
      <x:c r="B4137" s="18" t="n">
        <x:v>42187</x:v>
      </x:c>
      <x:c r="C4137" t="str">
        <x:v>KB-16315</x:v>
      </x:c>
      <x:c r="D4137" t="str">
        <x:v>Karl Braun</x:v>
      </x:c>
      <x:c r="E4137" t="str">
        <x:v>Consumer</x:v>
      </x:c>
      <x:c r="F4137" t="str">
        <x:v>South</x:v>
      </x:c>
      <x:c r="G4137" t="str">
        <x:v>Office Supplies</x:v>
      </x:c>
      <x:c r="H4137" t="str">
        <x:v>Paper</x:v>
      </x:c>
      <x:c r="I4137" s="22" t="n">
        <x:v>15.552000000000003</x:v>
      </x:c>
      <x:c r="J4137" s="24" t="n">
        <x:v>3</x:v>
      </x:c>
      <x:c r="K4137" s="26" t="n">
        <x:v>0.2</x:v>
      </x:c>
      <x:c r="L4137" s="22" t="n">
        <x:v>5.6376</x:v>
      </x:c>
      <x:c r="M4137" t="n">
        <x:v>2015</x:v>
      </x:c>
      <x:c r="N4137" s="20" t="n">
        <x:v>42186</x:v>
      </x:c>
    </x:row>
    <x:row r="4138" ht="18" customHeight="1">
      <x:c r="A4138" t="str">
        <x:v>CA-2014-128839</x:v>
      </x:c>
      <x:c r="B4138" s="18" t="n">
        <x:v>41890</x:v>
      </x:c>
      <x:c r="C4138" t="str">
        <x:v>TT-21070</x:v>
      </x:c>
      <x:c r="D4138" t="str">
        <x:v>Ted Trevino</x:v>
      </x:c>
      <x:c r="E4138" t="str">
        <x:v>Consumer</x:v>
      </x:c>
      <x:c r="F4138" t="str">
        <x:v>South</x:v>
      </x:c>
      <x:c r="G4138" t="str">
        <x:v>Office Supplies</x:v>
      </x:c>
      <x:c r="H4138" t="str">
        <x:v>Fasteners</x:v>
      </x:c>
      <x:c r="I4138" s="22" t="n">
        <x:v>45</x:v>
      </x:c>
      <x:c r="J4138" s="24" t="n">
        <x:v>9</x:v>
      </x:c>
      <x:c r="K4138" s="26" t="n">
        <x:v>0</x:v>
      </x:c>
      <x:c r="L4138" s="22" t="n">
        <x:v>21.599999999999998</x:v>
      </x:c>
      <x:c r="M4138" t="n">
        <x:v>2014</x:v>
      </x:c>
      <x:c r="N4138" s="20" t="n">
        <x:v>41883</x:v>
      </x:c>
    </x:row>
    <x:row r="4139" ht="18" customHeight="1">
      <x:c r="A4139" t="str">
        <x:v>CA-2014-128839</x:v>
      </x:c>
      <x:c r="B4139" s="18" t="n">
        <x:v>41890</x:v>
      </x:c>
      <x:c r="C4139" t="str">
        <x:v>TT-21070</x:v>
      </x:c>
      <x:c r="D4139" t="str">
        <x:v>Ted Trevino</x:v>
      </x:c>
      <x:c r="E4139" t="str">
        <x:v>Consumer</x:v>
      </x:c>
      <x:c r="F4139" t="str">
        <x:v>South</x:v>
      </x:c>
      <x:c r="G4139" t="str">
        <x:v>Technology</x:v>
      </x:c>
      <x:c r="H4139" t="str">
        <x:v>Machines</x:v>
      </x:c>
      <x:c r="I4139" s="22" t="n">
        <x:v>209.96999999999997</x:v>
      </x:c>
      <x:c r="J4139" s="24" t="n">
        <x:v>3</x:v>
      </x:c>
      <x:c r="K4139" s="26" t="n">
        <x:v>0</x:v>
      </x:c>
      <x:c r="L4139" s="22" t="n">
        <x:v>90.28710000000001</x:v>
      </x:c>
      <x:c r="M4139" t="n">
        <x:v>2014</x:v>
      </x:c>
      <x:c r="N4139" s="20" t="n">
        <x:v>41883</x:v>
      </x:c>
    </x:row>
    <x:row r="4140" ht="18" customHeight="1">
      <x:c r="A4140" t="str">
        <x:v>CA-2017-105914</x:v>
      </x:c>
      <x:c r="B4140" s="18" t="n">
        <x:v>43010</x:v>
      </x:c>
      <x:c r="C4140" t="str">
        <x:v>PV-18985</x:v>
      </x:c>
      <x:c r="D4140" t="str">
        <x:v>Paul Van Hugh</x:v>
      </x:c>
      <x:c r="E4140" t="str">
        <x:v>Home Office</x:v>
      </x:c>
      <x:c r="F4140" t="str">
        <x:v>West</x:v>
      </x:c>
      <x:c r="G4140" t="str">
        <x:v>Office Supplies</x:v>
      </x:c>
      <x:c r="H4140" t="str">
        <x:v>Binders</x:v>
      </x:c>
      <x:c r="I4140" s="22" t="n">
        <x:v>112.12000000000002</x:v>
      </x:c>
      <x:c r="J4140" s="24" t="n">
        <x:v>5</x:v>
      </x:c>
      <x:c r="K4140" s="26" t="n">
        <x:v>0.2</x:v>
      </x:c>
      <x:c r="L4140" s="22" t="n">
        <x:v>42.045</x:v>
      </x:c>
      <x:c r="M4140" t="n">
        <x:v>2017</x:v>
      </x:c>
      <x:c r="N4140" s="20" t="n">
        <x:v>43009</x:v>
      </x:c>
    </x:row>
    <x:row r="4141" ht="18" customHeight="1">
      <x:c r="A4141" t="str">
        <x:v>CA-2017-105914</x:v>
      </x:c>
      <x:c r="B4141" s="18" t="n">
        <x:v>43010</x:v>
      </x:c>
      <x:c r="C4141" t="str">
        <x:v>PV-18985</x:v>
      </x:c>
      <x:c r="D4141" t="str">
        <x:v>Paul Van Hugh</x:v>
      </x:c>
      <x:c r="E4141" t="str">
        <x:v>Home Office</x:v>
      </x:c>
      <x:c r="F4141" t="str">
        <x:v>West</x:v>
      </x:c>
      <x:c r="G4141" t="str">
        <x:v>Office Supplies</x:v>
      </x:c>
      <x:c r="H4141" t="str">
        <x:v>Storage</x:v>
      </x:c>
      <x:c r="I4141" s="22" t="n">
        <x:v>1575.14</x:v>
      </x:c>
      <x:c r="J4141" s="24" t="n">
        <x:v>7</x:v>
      </x:c>
      <x:c r="K4141" s="26" t="n">
        <x:v>0</x:v>
      </x:c>
      <x:c r="L4141" s="22" t="n">
        <x:v>204.7682</x:v>
      </x:c>
      <x:c r="M4141" t="n">
        <x:v>2017</x:v>
      </x:c>
      <x:c r="N4141" s="20" t="n">
        <x:v>43009</x:v>
      </x:c>
    </x:row>
    <x:row r="4142" ht="18" customHeight="1">
      <x:c r="A4142" t="str">
        <x:v>CA-2017-110926</x:v>
      </x:c>
      <x:c r="B4142" s="18" t="n">
        <x:v>43058</x:v>
      </x:c>
      <x:c r="C4142" t="str">
        <x:v>DD-13570</x:v>
      </x:c>
      <x:c r="D4142" t="str">
        <x:v>Dorothy Dickinson</x:v>
      </x:c>
      <x:c r="E4142" t="str">
        <x:v>Consumer</x:v>
      </x:c>
      <x:c r="F4142" t="str">
        <x:v>South</x:v>
      </x:c>
      <x:c r="G4142" t="str">
        <x:v>Office Supplies</x:v>
      </x:c>
      <x:c r="H4142" t="str">
        <x:v>Fasteners</x:v>
      </x:c>
      <x:c r="I4142" s="22" t="n">
        <x:v>25.060000000000002</x:v>
      </x:c>
      <x:c r="J4142" s="24" t="n">
        <x:v>7</x:v>
      </x:c>
      <x:c r="K4142" s="26" t="n">
        <x:v>0</x:v>
      </x:c>
      <x:c r="L4142" s="22" t="n">
        <x:v>12.530000000000001</x:v>
      </x:c>
      <x:c r="M4142" t="n">
        <x:v>2017</x:v>
      </x:c>
      <x:c r="N4142" s="20" t="n">
        <x:v>43040</x:v>
      </x:c>
    </x:row>
    <x:row r="4143" ht="18" customHeight="1">
      <x:c r="A4143" t="str">
        <x:v>CA-2016-117226</x:v>
      </x:c>
      <x:c r="B4143" s="18" t="n">
        <x:v>42734</x:v>
      </x:c>
      <x:c r="C4143" t="str">
        <x:v>KD-16495</x:v>
      </x:c>
      <x:c r="D4143" t="str">
        <x:v>Keith Dawkins</x:v>
      </x:c>
      <x:c r="E4143" t="str">
        <x:v>Corporate</x:v>
      </x:c>
      <x:c r="F4143" t="str">
        <x:v>Central</x:v>
      </x:c>
      <x:c r="G4143" t="str">
        <x:v>Office Supplies</x:v>
      </x:c>
      <x:c r="H4143" t="str">
        <x:v>Binders</x:v>
      </x:c>
      <x:c r="I4143" s="22" t="n">
        <x:v>6.923999999999998</x:v>
      </x:c>
      <x:c r="J4143" s="24" t="n">
        <x:v>6</x:v>
      </x:c>
      <x:c r="K4143" s="26" t="n">
        <x:v>0.8</x:v>
      </x:c>
      <x:c r="L4143" s="22" t="n">
        <x:v>-10.386</x:v>
      </x:c>
      <x:c r="M4143" t="n">
        <x:v>2016</x:v>
      </x:c>
      <x:c r="N4143" s="20" t="n">
        <x:v>42705</x:v>
      </x:c>
    </x:row>
    <x:row r="4144" ht="18" customHeight="1">
      <x:c r="A4144" t="str">
        <x:v>CA-2017-127313</x:v>
      </x:c>
      <x:c r="B4144" s="18" t="n">
        <x:v>43070</x:v>
      </x:c>
      <x:c r="C4144" t="str">
        <x:v>RA-19285</x:v>
      </x:c>
      <x:c r="D4144" t="str">
        <x:v>Ralph Arnett</x:v>
      </x:c>
      <x:c r="E4144" t="str">
        <x:v>Consumer</x:v>
      </x:c>
      <x:c r="F4144" t="str">
        <x:v>East</x:v>
      </x:c>
      <x:c r="G4144" t="str">
        <x:v>Office Supplies</x:v>
      </x:c>
      <x:c r="H4144" t="str">
        <x:v>Storage</x:v>
      </x:c>
      <x:c r="I4144" s="22" t="n">
        <x:v>37.392</x:v>
      </x:c>
      <x:c r="J4144" s="24" t="n">
        <x:v>3</x:v>
      </x:c>
      <x:c r="K4144" s="26" t="n">
        <x:v>0.2</x:v>
      </x:c>
      <x:c r="L4144" s="22" t="n">
        <x:v>2.336999999999998</x:v>
      </x:c>
      <x:c r="M4144" t="n">
        <x:v>2017</x:v>
      </x:c>
      <x:c r="N4144" s="20" t="n">
        <x:v>43070</x:v>
      </x:c>
    </x:row>
    <x:row r="4145" ht="18" customHeight="1">
      <x:c r="A4145" t="str">
        <x:v>CA-2017-127313</x:v>
      </x:c>
      <x:c r="B4145" s="18" t="n">
        <x:v>43070</x:v>
      </x:c>
      <x:c r="C4145" t="str">
        <x:v>RA-19285</x:v>
      </x:c>
      <x:c r="D4145" t="str">
        <x:v>Ralph Arnett</x:v>
      </x:c>
      <x:c r="E4145" t="str">
        <x:v>Consumer</x:v>
      </x:c>
      <x:c r="F4145" t="str">
        <x:v>East</x:v>
      </x:c>
      <x:c r="G4145" t="str">
        <x:v>Furniture</x:v>
      </x:c>
      <x:c r="H4145" t="str">
        <x:v>Furnishings</x:v>
      </x:c>
      <x:c r="I4145" s="22" t="n">
        <x:v>79.12</x:v>
      </x:c>
      <x:c r="J4145" s="24" t="n">
        <x:v>5</x:v>
      </x:c>
      <x:c r="K4145" s="26" t="n">
        <x:v>0.2</x:v>
      </x:c>
      <x:c r="L4145" s="22" t="n">
        <x:v>13.845999999999997</x:v>
      </x:c>
      <x:c r="M4145" t="n">
        <x:v>2017</x:v>
      </x:c>
      <x:c r="N4145" s="20" t="n">
        <x:v>43070</x:v>
      </x:c>
    </x:row>
    <x:row r="4146" ht="18" customHeight="1">
      <x:c r="A4146" t="str">
        <x:v>CA-2016-136287</x:v>
      </x:c>
      <x:c r="B4146" s="18" t="n">
        <x:v>42534</x:v>
      </x:c>
      <x:c r="C4146" t="str">
        <x:v>SS-20590</x:v>
      </x:c>
      <x:c r="D4146" t="str">
        <x:v>Sonia Sunley</x:v>
      </x:c>
      <x:c r="E4146" t="str">
        <x:v>Consumer</x:v>
      </x:c>
      <x:c r="F4146" t="str">
        <x:v>Central</x:v>
      </x:c>
      <x:c r="G4146" t="str">
        <x:v>Office Supplies</x:v>
      </x:c>
      <x:c r="H4146" t="str">
        <x:v>Labels</x:v>
      </x:c>
      <x:c r="I4146" s="22" t="n">
        <x:v>18.9</x:v>
      </x:c>
      <x:c r="J4146" s="24" t="n">
        <x:v>3</x:v>
      </x:c>
      <x:c r="K4146" s="26" t="n">
        <x:v>0</x:v>
      </x:c>
      <x:c r="L4146" s="22" t="n">
        <x:v>8.693999999999999</x:v>
      </x:c>
      <x:c r="M4146" t="n">
        <x:v>2016</x:v>
      </x:c>
      <x:c r="N4146" s="20" t="n">
        <x:v>42522</x:v>
      </x:c>
    </x:row>
    <x:row r="4147" ht="18" customHeight="1">
      <x:c r="A4147" t="str">
        <x:v>US-2014-107699</x:v>
      </x:c>
      <x:c r="B4147" s="18" t="n">
        <x:v>41778</x:v>
      </x:c>
      <x:c r="C4147" t="str">
        <x:v>JH-15820</x:v>
      </x:c>
      <x:c r="D4147" t="str">
        <x:v>John Huston</x:v>
      </x:c>
      <x:c r="E4147" t="str">
        <x:v>Consumer</x:v>
      </x:c>
      <x:c r="F4147" t="str">
        <x:v>Central</x:v>
      </x:c>
      <x:c r="G4147" t="str">
        <x:v>Office Supplies</x:v>
      </x:c>
      <x:c r="H4147" t="str">
        <x:v>Binders</x:v>
      </x:c>
      <x:c r="I4147" s="22" t="n">
        <x:v>57.42</x:v>
      </x:c>
      <x:c r="J4147" s="24" t="n">
        <x:v>9</x:v>
      </x:c>
      <x:c r="K4147" s="26" t="n">
        <x:v>0</x:v>
      </x:c>
      <x:c r="L4147" s="22" t="n">
        <x:v>26.413199999999996</x:v>
      </x:c>
      <x:c r="M4147" t="n">
        <x:v>2014</x:v>
      </x:c>
      <x:c r="N4147" s="20" t="n">
        <x:v>41760</x:v>
      </x:c>
    </x:row>
    <x:row r="4148" ht="18" customHeight="1">
      <x:c r="A4148" t="str">
        <x:v>CA-2017-112725</x:v>
      </x:c>
      <x:c r="B4148" s="18" t="n">
        <x:v>42765</x:v>
      </x:c>
      <x:c r="C4148" t="str">
        <x:v>EH-14125</x:v>
      </x:c>
      <x:c r="D4148" t="str">
        <x:v>Eugene Hildebrand</x:v>
      </x:c>
      <x:c r="E4148" t="str">
        <x:v>Home Office</x:v>
      </x:c>
      <x:c r="F4148" t="str">
        <x:v>West</x:v>
      </x:c>
      <x:c r="G4148" t="str">
        <x:v>Office Supplies</x:v>
      </x:c>
      <x:c r="H4148" t="str">
        <x:v>Art</x:v>
      </x:c>
      <x:c r="I4148" s="22" t="n">
        <x:v>12.74</x:v>
      </x:c>
      <x:c r="J4148" s="24" t="n">
        <x:v>7</x:v>
      </x:c>
      <x:c r="K4148" s="26" t="n">
        <x:v>0</x:v>
      </x:c>
      <x:c r="L4148" s="22" t="n">
        <x:v>5.733</x:v>
      </x:c>
      <x:c r="M4148" t="n">
        <x:v>2017</x:v>
      </x:c>
      <x:c r="N4148" s="20" t="n">
        <x:v>42736</x:v>
      </x:c>
    </x:row>
    <x:row r="4149" ht="18" customHeight="1">
      <x:c r="A4149" t="str">
        <x:v>CA-2017-112725</x:v>
      </x:c>
      <x:c r="B4149" s="18" t="n">
        <x:v>42765</x:v>
      </x:c>
      <x:c r="C4149" t="str">
        <x:v>EH-14125</x:v>
      </x:c>
      <x:c r="D4149" t="str">
        <x:v>Eugene Hildebrand</x:v>
      </x:c>
      <x:c r="E4149" t="str">
        <x:v>Home Office</x:v>
      </x:c>
      <x:c r="F4149" t="str">
        <x:v>West</x:v>
      </x:c>
      <x:c r="G4149" t="str">
        <x:v>Office Supplies</x:v>
      </x:c>
      <x:c r="H4149" t="str">
        <x:v>Art</x:v>
      </x:c>
      <x:c r="I4149" s="22" t="n">
        <x:v>8.82</x:v>
      </x:c>
      <x:c r="J4149" s="24" t="n">
        <x:v>3</x:v>
      </x:c>
      <x:c r="K4149" s="26" t="n">
        <x:v>0</x:v>
      </x:c>
      <x:c r="L4149" s="22" t="n">
        <x:v>2.3814</x:v>
      </x:c>
      <x:c r="M4149" t="n">
        <x:v>2017</x:v>
      </x:c>
      <x:c r="N4149" s="20" t="n">
        <x:v>42736</x:v>
      </x:c>
    </x:row>
    <x:row r="4150" ht="18" customHeight="1">
      <x:c r="A4150" t="str">
        <x:v>CA-2017-112725</x:v>
      </x:c>
      <x:c r="B4150" s="18" t="n">
        <x:v>42765</x:v>
      </x:c>
      <x:c r="C4150" t="str">
        <x:v>EH-14125</x:v>
      </x:c>
      <x:c r="D4150" t="str">
        <x:v>Eugene Hildebrand</x:v>
      </x:c>
      <x:c r="E4150" t="str">
        <x:v>Home Office</x:v>
      </x:c>
      <x:c r="F4150" t="str">
        <x:v>West</x:v>
      </x:c>
      <x:c r="G4150" t="str">
        <x:v>Furniture</x:v>
      </x:c>
      <x:c r="H4150" t="str">
        <x:v>Chairs</x:v>
      </x:c>
      <x:c r="I4150" s="22" t="n">
        <x:v>120.78399999999999</x:v>
      </x:c>
      <x:c r="J4150" s="24" t="n">
        <x:v>1</x:v>
      </x:c>
      <x:c r="K4150" s="26" t="n">
        <x:v>0.2</x:v>
      </x:c>
      <x:c r="L4150" s="22" t="n">
        <x:v>-13.5882</x:v>
      </x:c>
      <x:c r="M4150" t="n">
        <x:v>2017</x:v>
      </x:c>
      <x:c r="N4150" s="20" t="n">
        <x:v>42736</x:v>
      </x:c>
    </x:row>
    <x:row r="4151" ht="18" customHeight="1">
      <x:c r="A4151" t="str">
        <x:v>CA-2015-136196</x:v>
      </x:c>
      <x:c r="B4151" s="18" t="n">
        <x:v>42336</x:v>
      </x:c>
      <x:c r="C4151" t="str">
        <x:v>TP-21415</x:v>
      </x:c>
      <x:c r="D4151" t="str">
        <x:v>Tom Prescott</x:v>
      </x:c>
      <x:c r="E4151" t="str">
        <x:v>Consumer</x:v>
      </x:c>
      <x:c r="F4151" t="str">
        <x:v>East</x:v>
      </x:c>
      <x:c r="G4151" t="str">
        <x:v>Furniture</x:v>
      </x:c>
      <x:c r="H4151" t="str">
        <x:v>Furnishings</x:v>
      </x:c>
      <x:c r="I4151" s="22" t="n">
        <x:v>322.59000000000003</x:v>
      </x:c>
      <x:c r="J4151" s="24" t="n">
        <x:v>3</x:v>
      </x:c>
      <x:c r="K4151" s="26" t="n">
        <x:v>0</x:v>
      </x:c>
      <x:c r="L4151" s="22" t="n">
        <x:v>64.518</x:v>
      </x:c>
      <x:c r="M4151" t="n">
        <x:v>2015</x:v>
      </x:c>
      <x:c r="N4151" s="20" t="n">
        <x:v>42309</x:v>
      </x:c>
    </x:row>
    <x:row r="4152" ht="18" customHeight="1">
      <x:c r="A4152" t="str">
        <x:v>CA-2017-106068</x:v>
      </x:c>
      <x:c r="B4152" s="18" t="n">
        <x:v>43031</x:v>
      </x:c>
      <x:c r="C4152" t="str">
        <x:v>RB-19330</x:v>
      </x:c>
      <x:c r="D4152" t="str">
        <x:v>Randy Bradley</x:v>
      </x:c>
      <x:c r="E4152" t="str">
        <x:v>Consumer</x:v>
      </x:c>
      <x:c r="F4152" t="str">
        <x:v>Central</x:v>
      </x:c>
      <x:c r="G4152" t="str">
        <x:v>Office Supplies</x:v>
      </x:c>
      <x:c r="H4152" t="str">
        <x:v>Binders</x:v>
      </x:c>
      <x:c r="I4152" s="22" t="n">
        <x:v>9.761999999999997</x:v>
      </x:c>
      <x:c r="J4152" s="24" t="n">
        <x:v>3</x:v>
      </x:c>
      <x:c r="K4152" s="26" t="n">
        <x:v>0.8</x:v>
      </x:c>
      <x:c r="L4152" s="22" t="n">
        <x:v>-15.131100000000004</x:v>
      </x:c>
      <x:c r="M4152" t="n">
        <x:v>2017</x:v>
      </x:c>
      <x:c r="N4152" s="20" t="n">
        <x:v>43009</x:v>
      </x:c>
    </x:row>
    <x:row r="4153" ht="18" customHeight="1">
      <x:c r="A4153" t="str">
        <x:v>CA-2017-106068</x:v>
      </x:c>
      <x:c r="B4153" s="18" t="n">
        <x:v>43031</x:v>
      </x:c>
      <x:c r="C4153" t="str">
        <x:v>RB-19330</x:v>
      </x:c>
      <x:c r="D4153" t="str">
        <x:v>Randy Bradley</x:v>
      </x:c>
      <x:c r="E4153" t="str">
        <x:v>Consumer</x:v>
      </x:c>
      <x:c r="F4153" t="str">
        <x:v>Central</x:v>
      </x:c>
      <x:c r="G4153" t="str">
        <x:v>Office Supplies</x:v>
      </x:c>
      <x:c r="H4153" t="str">
        <x:v>Storage</x:v>
      </x:c>
      <x:c r="I4153" s="22" t="n">
        <x:v>13.719999999999999</x:v>
      </x:c>
      <x:c r="J4153" s="24" t="n">
        <x:v>1</x:v>
      </x:c>
      <x:c r="K4153" s="26" t="n">
        <x:v>0.2</x:v>
      </x:c>
      <x:c r="L4153" s="22" t="n">
        <x:v>1.2005</x:v>
      </x:c>
      <x:c r="M4153" t="n">
        <x:v>2017</x:v>
      </x:c>
      <x:c r="N4153" s="20" t="n">
        <x:v>43009</x:v>
      </x:c>
    </x:row>
    <x:row r="4154" ht="18" customHeight="1">
      <x:c r="A4154" t="str">
        <x:v>CA-2017-106068</x:v>
      </x:c>
      <x:c r="B4154" s="18" t="n">
        <x:v>43031</x:v>
      </x:c>
      <x:c r="C4154" t="str">
        <x:v>RB-19330</x:v>
      </x:c>
      <x:c r="D4154" t="str">
        <x:v>Randy Bradley</x:v>
      </x:c>
      <x:c r="E4154" t="str">
        <x:v>Consumer</x:v>
      </x:c>
      <x:c r="F4154" t="str">
        <x:v>Central</x:v>
      </x:c>
      <x:c r="G4154" t="str">
        <x:v>Technology</x:v>
      </x:c>
      <x:c r="H4154" t="str">
        <x:v>Accessories</x:v>
      </x:c>
      <x:c r="I4154" s="22" t="n">
        <x:v>55.2</x:v>
      </x:c>
      <x:c r="J4154" s="24" t="n">
        <x:v>1</x:v>
      </x:c>
      <x:c r="K4154" s="26" t="n">
        <x:v>0.2</x:v>
      </x:c>
      <x:c r="L4154" s="22" t="n">
        <x:v>-2.070000000000004</x:v>
      </x:c>
      <x:c r="M4154" t="n">
        <x:v>2017</x:v>
      </x:c>
      <x:c r="N4154" s="20" t="n">
        <x:v>43009</x:v>
      </x:c>
    </x:row>
    <x:row r="4155" ht="18" customHeight="1">
      <x:c r="A4155" t="str">
        <x:v>CA-2017-106068</x:v>
      </x:c>
      <x:c r="B4155" s="18" t="n">
        <x:v>43031</x:v>
      </x:c>
      <x:c r="C4155" t="str">
        <x:v>RB-19330</x:v>
      </x:c>
      <x:c r="D4155" t="str">
        <x:v>Randy Bradley</x:v>
      </x:c>
      <x:c r="E4155" t="str">
        <x:v>Consumer</x:v>
      </x:c>
      <x:c r="F4155" t="str">
        <x:v>Central</x:v>
      </x:c>
      <x:c r="G4155" t="str">
        <x:v>Office Supplies</x:v>
      </x:c>
      <x:c r="H4155" t="str">
        <x:v>Storage</x:v>
      </x:c>
      <x:c r="I4155" s="22" t="n">
        <x:v>259.136</x:v>
      </x:c>
      <x:c r="J4155" s="24" t="n">
        <x:v>4</x:v>
      </x:c>
      <x:c r="K4155" s="26" t="n">
        <x:v>0.2</x:v>
      </x:c>
      <x:c r="L4155" s="22" t="n">
        <x:v>-58.305599999999984</x:v>
      </x:c>
      <x:c r="M4155" t="n">
        <x:v>2017</x:v>
      </x:c>
      <x:c r="N4155" s="20" t="n">
        <x:v>43009</x:v>
      </x:c>
    </x:row>
    <x:row r="4156" ht="18" customHeight="1">
      <x:c r="A4156" t="str">
        <x:v>CA-2017-100160</x:v>
      </x:c>
      <x:c r="B4156" s="18" t="n">
        <x:v>42985</x:v>
      </x:c>
      <x:c r="C4156" t="str">
        <x:v>CB-12025</x:v>
      </x:c>
      <x:c r="D4156" t="str">
        <x:v>Cassandra Brandow</x:v>
      </x:c>
      <x:c r="E4156" t="str">
        <x:v>Consumer</x:v>
      </x:c>
      <x:c r="F4156" t="str">
        <x:v>East</x:v>
      </x:c>
      <x:c r="G4156" t="str">
        <x:v>Office Supplies</x:v>
      </x:c>
      <x:c r="H4156" t="str">
        <x:v>Labels</x:v>
      </x:c>
      <x:c r="I4156" s="22" t="n">
        <x:v>29.24</x:v>
      </x:c>
      <x:c r="J4156" s="24" t="n">
        <x:v>5</x:v>
      </x:c>
      <x:c r="K4156" s="26" t="n">
        <x:v>0.2</x:v>
      </x:c>
      <x:c r="L4156" s="22" t="n">
        <x:v>9.868500000000001</x:v>
      </x:c>
      <x:c r="M4156" t="n">
        <x:v>2017</x:v>
      </x:c>
      <x:c r="N4156" s="20" t="n">
        <x:v>42979</x:v>
      </x:c>
    </x:row>
    <x:row r="4157" ht="18" customHeight="1">
      <x:c r="A4157" t="str">
        <x:v>CA-2017-100160</x:v>
      </x:c>
      <x:c r="B4157" s="18" t="n">
        <x:v>42985</x:v>
      </x:c>
      <x:c r="C4157" t="str">
        <x:v>CB-12025</x:v>
      </x:c>
      <x:c r="D4157" t="str">
        <x:v>Cassandra Brandow</x:v>
      </x:c>
      <x:c r="E4157" t="str">
        <x:v>Consumer</x:v>
      </x:c>
      <x:c r="F4157" t="str">
        <x:v>East</x:v>
      </x:c>
      <x:c r="G4157" t="str">
        <x:v>Office Supplies</x:v>
      </x:c>
      <x:c r="H4157" t="str">
        <x:v>Paper</x:v>
      </x:c>
      <x:c r="I4157" s="22" t="n">
        <x:v>15.552000000000003</x:v>
      </x:c>
      <x:c r="J4157" s="24" t="n">
        <x:v>3</x:v>
      </x:c>
      <x:c r="K4157" s="26" t="n">
        <x:v>0.2</x:v>
      </x:c>
      <x:c r="L4157" s="22" t="n">
        <x:v>5.4432</x:v>
      </x:c>
      <x:c r="M4157" t="n">
        <x:v>2017</x:v>
      </x:c>
      <x:c r="N4157" s="20" t="n">
        <x:v>42979</x:v>
      </x:c>
    </x:row>
    <x:row r="4158" ht="18" customHeight="1">
      <x:c r="A4158" t="str">
        <x:v>CA-2017-100160</x:v>
      </x:c>
      <x:c r="B4158" s="18" t="n">
        <x:v>42985</x:v>
      </x:c>
      <x:c r="C4158" t="str">
        <x:v>CB-12025</x:v>
      </x:c>
      <x:c r="D4158" t="str">
        <x:v>Cassandra Brandow</x:v>
      </x:c>
      <x:c r="E4158" t="str">
        <x:v>Consumer</x:v>
      </x:c>
      <x:c r="F4158" t="str">
        <x:v>East</x:v>
      </x:c>
      <x:c r="G4158" t="str">
        <x:v>Office Supplies</x:v>
      </x:c>
      <x:c r="H4158" t="str">
        <x:v>Envelopes</x:v>
      </x:c>
      <x:c r="I4158" s="22" t="n">
        <x:v>4.896000000000001</x:v>
      </x:c>
      <x:c r="J4158" s="24" t="n">
        <x:v>3</x:v>
      </x:c>
      <x:c r="K4158" s="26" t="n">
        <x:v>0.2</x:v>
      </x:c>
      <x:c r="L4158" s="22" t="n">
        <x:v>1.6523999999999992</x:v>
      </x:c>
      <x:c r="M4158" t="n">
        <x:v>2017</x:v>
      </x:c>
      <x:c r="N4158" s="20" t="n">
        <x:v>42979</x:v>
      </x:c>
    </x:row>
    <x:row r="4159" ht="18" customHeight="1">
      <x:c r="A4159" t="str">
        <x:v>CA-2016-139689</x:v>
      </x:c>
      <x:c r="B4159" s="18" t="n">
        <x:v>42733</x:v>
      </x:c>
      <x:c r="C4159" t="str">
        <x:v>MP-17965</x:v>
      </x:c>
      <x:c r="D4159" t="str">
        <x:v>Michael Paige</x:v>
      </x:c>
      <x:c r="E4159" t="str">
        <x:v>Corporate</x:v>
      </x:c>
      <x:c r="F4159" t="str">
        <x:v>South</x:v>
      </x:c>
      <x:c r="G4159" t="str">
        <x:v>Office Supplies</x:v>
      </x:c>
      <x:c r="H4159" t="str">
        <x:v>Binders</x:v>
      </x:c>
      <x:c r="I4159" s="22" t="n">
        <x:v>38.088</x:v>
      </x:c>
      <x:c r="J4159" s="24" t="n">
        <x:v>4</x:v>
      </x:c>
      <x:c r="K4159" s="26" t="n">
        <x:v>0.7</x:v>
      </x:c>
      <x:c r="L4159" s="22" t="n">
        <x:v>-27.93119999999999</x:v>
      </x:c>
      <x:c r="M4159" t="n">
        <x:v>2016</x:v>
      </x:c>
      <x:c r="N4159" s="20" t="n">
        <x:v>42705</x:v>
      </x:c>
    </x:row>
    <x:row r="4160" ht="18" customHeight="1">
      <x:c r="A4160" t="str">
        <x:v>CA-2016-139689</x:v>
      </x:c>
      <x:c r="B4160" s="18" t="n">
        <x:v>42733</x:v>
      </x:c>
      <x:c r="C4160" t="str">
        <x:v>MP-17965</x:v>
      </x:c>
      <x:c r="D4160" t="str">
        <x:v>Michael Paige</x:v>
      </x:c>
      <x:c r="E4160" t="str">
        <x:v>Corporate</x:v>
      </x:c>
      <x:c r="F4160" t="str">
        <x:v>South</x:v>
      </x:c>
      <x:c r="G4160" t="str">
        <x:v>Office Supplies</x:v>
      </x:c>
      <x:c r="H4160" t="str">
        <x:v>Binders</x:v>
      </x:c>
      <x:c r="I4160" s="22" t="n">
        <x:v>2.8080000000000007</x:v>
      </x:c>
      <x:c r="J4160" s="24" t="n">
        <x:v>3</x:v>
      </x:c>
      <x:c r="K4160" s="26" t="n">
        <x:v>0.7</x:v>
      </x:c>
      <x:c r="L4160" s="22" t="n">
        <x:v>-1.9656000000000002</x:v>
      </x:c>
      <x:c r="M4160" t="n">
        <x:v>2016</x:v>
      </x:c>
      <x:c r="N4160" s="20" t="n">
        <x:v>42705</x:v>
      </x:c>
    </x:row>
    <x:row r="4161" ht="18" customHeight="1">
      <x:c r="A4161" t="str">
        <x:v>CA-2015-101091</x:v>
      </x:c>
      <x:c r="B4161" s="18" t="n">
        <x:v>42343</x:v>
      </x:c>
      <x:c r="C4161" t="str">
        <x:v>SW-20245</x:v>
      </x:c>
      <x:c r="D4161" t="str">
        <x:v>Scot Wooten</x:v>
      </x:c>
      <x:c r="E4161" t="str">
        <x:v>Consumer</x:v>
      </x:c>
      <x:c r="F4161" t="str">
        <x:v>East</x:v>
      </x:c>
      <x:c r="G4161" t="str">
        <x:v>Technology</x:v>
      </x:c>
      <x:c r="H4161" t="str">
        <x:v>Accessories</x:v>
      </x:c>
      <x:c r="I4161" s="22" t="n">
        <x:v>47.984</x:v>
      </x:c>
      <x:c r="J4161" s="24" t="n">
        <x:v>2</x:v>
      </x:c>
      <x:c r="K4161" s="26" t="n">
        <x:v>0.2</x:v>
      </x:c>
      <x:c r="L4161" s="22" t="n">
        <x:v>0.5997999999999966</x:v>
      </x:c>
      <x:c r="M4161" t="n">
        <x:v>2015</x:v>
      </x:c>
      <x:c r="N4161" s="20" t="n">
        <x:v>42339</x:v>
      </x:c>
    </x:row>
    <x:row r="4162" ht="18" customHeight="1">
      <x:c r="A4162" t="str">
        <x:v>CA-2015-101091</x:v>
      </x:c>
      <x:c r="B4162" s="18" t="n">
        <x:v>42343</x:v>
      </x:c>
      <x:c r="C4162" t="str">
        <x:v>SW-20245</x:v>
      </x:c>
      <x:c r="D4162" t="str">
        <x:v>Scot Wooten</x:v>
      </x:c>
      <x:c r="E4162" t="str">
        <x:v>Consumer</x:v>
      </x:c>
      <x:c r="F4162" t="str">
        <x:v>East</x:v>
      </x:c>
      <x:c r="G4162" t="str">
        <x:v>Office Supplies</x:v>
      </x:c>
      <x:c r="H4162" t="str">
        <x:v>Binders</x:v>
      </x:c>
      <x:c r="I4162" s="22" t="n">
        <x:v>26.064000000000007</x:v>
      </x:c>
      <x:c r="J4162" s="24" t="n">
        <x:v>6</x:v>
      </x:c>
      <x:c r="K4162" s="26" t="n">
        <x:v>0.7</x:v>
      </x:c>
      <x:c r="L4162" s="22" t="n">
        <x:v>-19.98239999999999</x:v>
      </x:c>
      <x:c r="M4162" t="n">
        <x:v>2015</x:v>
      </x:c>
      <x:c r="N4162" s="20" t="n">
        <x:v>42339</x:v>
      </x:c>
    </x:row>
    <x:row r="4163" ht="18" customHeight="1">
      <x:c r="A4163" t="str">
        <x:v>CA-2014-126907</x:v>
      </x:c>
      <x:c r="B4163" s="18" t="n">
        <x:v>41944</x:v>
      </x:c>
      <x:c r="C4163" t="str">
        <x:v>SM-20950</x:v>
      </x:c>
      <x:c r="D4163" t="str">
        <x:v>Suzanne McNair</x:v>
      </x:c>
      <x:c r="E4163" t="str">
        <x:v>Corporate</x:v>
      </x:c>
      <x:c r="F4163" t="str">
        <x:v>Central</x:v>
      </x:c>
      <x:c r="G4163" t="str">
        <x:v>Office Supplies</x:v>
      </x:c>
      <x:c r="H4163" t="str">
        <x:v>Paper</x:v>
      </x:c>
      <x:c r="I4163" s="22" t="n">
        <x:v>15.696000000000002</x:v>
      </x:c>
      <x:c r="J4163" s="24" t="n">
        <x:v>3</x:v>
      </x:c>
      <x:c r="K4163" s="26" t="n">
        <x:v>0.2</x:v>
      </x:c>
      <x:c r="L4163" s="22" t="n">
        <x:v>5.1011999999999995</x:v>
      </x:c>
      <x:c r="M4163" t="n">
        <x:v>2014</x:v>
      </x:c>
      <x:c r="N4163" s="20" t="n">
        <x:v>41944</x:v>
      </x:c>
    </x:row>
    <x:row r="4164" ht="18" customHeight="1">
      <x:c r="A4164" t="str">
        <x:v>US-2016-164588</x:v>
      </x:c>
      <x:c r="B4164" s="18" t="n">
        <x:v>42476</x:v>
      </x:c>
      <x:c r="C4164" t="str">
        <x:v>AP-10915</x:v>
      </x:c>
      <x:c r="D4164" t="str">
        <x:v>Arthur Prichep</x:v>
      </x:c>
      <x:c r="E4164" t="str">
        <x:v>Consumer</x:v>
      </x:c>
      <x:c r="F4164" t="str">
        <x:v>South</x:v>
      </x:c>
      <x:c r="G4164" t="str">
        <x:v>Office Supplies</x:v>
      </x:c>
      <x:c r="H4164" t="str">
        <x:v>Art</x:v>
      </x:c>
      <x:c r="I4164" s="22" t="n">
        <x:v>12.84</x:v>
      </x:c>
      <x:c r="J4164" s="24" t="n">
        <x:v>3</x:v>
      </x:c>
      <x:c r="K4164" s="26" t="n">
        <x:v>0</x:v>
      </x:c>
      <x:c r="L4164" s="22" t="n">
        <x:v>3.723599999999999</x:v>
      </x:c>
      <x:c r="M4164" t="n">
        <x:v>2016</x:v>
      </x:c>
      <x:c r="N4164" s="20" t="n">
        <x:v>42461</x:v>
      </x:c>
    </x:row>
    <x:row r="4165" ht="18" customHeight="1">
      <x:c r="A4165" t="str">
        <x:v>CA-2017-115546</x:v>
      </x:c>
      <x:c r="B4165" s="18" t="n">
        <x:v>42869</x:v>
      </x:c>
      <x:c r="C4165" t="str">
        <x:v>AH-10465</x:v>
      </x:c>
      <x:c r="D4165" t="str">
        <x:v>Amy Hunt</x:v>
      </x:c>
      <x:c r="E4165" t="str">
        <x:v>Consumer</x:v>
      </x:c>
      <x:c r="F4165" t="str">
        <x:v>East</x:v>
      </x:c>
      <x:c r="G4165" t="str">
        <x:v>Technology</x:v>
      </x:c>
      <x:c r="H4165" t="str">
        <x:v>Phones</x:v>
      </x:c>
      <x:c r="I4165" s="22" t="n">
        <x:v>539.97</x:v>
      </x:c>
      <x:c r="J4165" s="24" t="n">
        <x:v>3</x:v>
      </x:c>
      <x:c r="K4165" s="26" t="n">
        <x:v>0</x:v>
      </x:c>
      <x:c r="L4165" s="22" t="n">
        <x:v>134.9925</x:v>
      </x:c>
      <x:c r="M4165" t="n">
        <x:v>2017</x:v>
      </x:c>
      <x:c r="N4165" s="20" t="n">
        <x:v>42856</x:v>
      </x:c>
    </x:row>
    <x:row r="4166" ht="18" customHeight="1">
      <x:c r="A4166" t="str">
        <x:v>CA-2017-115546</x:v>
      </x:c>
      <x:c r="B4166" s="18" t="n">
        <x:v>42869</x:v>
      </x:c>
      <x:c r="C4166" t="str">
        <x:v>AH-10465</x:v>
      </x:c>
      <x:c r="D4166" t="str">
        <x:v>Amy Hunt</x:v>
      </x:c>
      <x:c r="E4166" t="str">
        <x:v>Consumer</x:v>
      </x:c>
      <x:c r="F4166" t="str">
        <x:v>East</x:v>
      </x:c>
      <x:c r="G4166" t="str">
        <x:v>Office Supplies</x:v>
      </x:c>
      <x:c r="H4166" t="str">
        <x:v>Storage</x:v>
      </x:c>
      <x:c r="I4166" s="22" t="n">
        <x:v>22.58</x:v>
      </x:c>
      <x:c r="J4166" s="24" t="n">
        <x:v>2</x:v>
      </x:c>
      <x:c r="K4166" s="26" t="n">
        <x:v>0</x:v>
      </x:c>
      <x:c r="L4166" s="22" t="n">
        <x:v>5.870799999999999</x:v>
      </x:c>
      <x:c r="M4166" t="n">
        <x:v>2017</x:v>
      </x:c>
      <x:c r="N4166" s="20" t="n">
        <x:v>42856</x:v>
      </x:c>
    </x:row>
    <x:row r="4167" ht="18" customHeight="1">
      <x:c r="A4167" t="str">
        <x:v>CA-2015-163587</x:v>
      </x:c>
      <x:c r="B4167" s="18" t="n">
        <x:v>42077</x:v>
      </x:c>
      <x:c r="C4167" t="str">
        <x:v>EP-13915</x:v>
      </x:c>
      <x:c r="D4167" t="str">
        <x:v>Emily Phan</x:v>
      </x:c>
      <x:c r="E4167" t="str">
        <x:v>Consumer</x:v>
      </x:c>
      <x:c r="F4167" t="str">
        <x:v>East</x:v>
      </x:c>
      <x:c r="G4167" t="str">
        <x:v>Office Supplies</x:v>
      </x:c>
      <x:c r="H4167" t="str">
        <x:v>Labels</x:v>
      </x:c>
      <x:c r="I4167" s="22" t="n">
        <x:v>16.52</x:v>
      </x:c>
      <x:c r="J4167" s="24" t="n">
        <x:v>4</x:v>
      </x:c>
      <x:c r="K4167" s="26" t="n">
        <x:v>0</x:v>
      </x:c>
      <x:c r="L4167" s="22" t="n">
        <x:v>7.5992</x:v>
      </x:c>
      <x:c r="M4167" t="n">
        <x:v>2015</x:v>
      </x:c>
      <x:c r="N4167" s="20" t="n">
        <x:v>42064</x:v>
      </x:c>
    </x:row>
    <x:row r="4168" ht="18" customHeight="1">
      <x:c r="A4168" t="str">
        <x:v>CA-2015-163587</x:v>
      </x:c>
      <x:c r="B4168" s="18" t="n">
        <x:v>42077</x:v>
      </x:c>
      <x:c r="C4168" t="str">
        <x:v>EP-13915</x:v>
      </x:c>
      <x:c r="D4168" t="str">
        <x:v>Emily Phan</x:v>
      </x:c>
      <x:c r="E4168" t="str">
        <x:v>Consumer</x:v>
      </x:c>
      <x:c r="F4168" t="str">
        <x:v>East</x:v>
      </x:c>
      <x:c r="G4168" t="str">
        <x:v>Office Supplies</x:v>
      </x:c>
      <x:c r="H4168" t="str">
        <x:v>Binders</x:v>
      </x:c>
      <x:c r="I4168" s="22" t="n">
        <x:v>671.9399999999999</x:v>
      </x:c>
      <x:c r="J4168" s="24" t="n">
        <x:v>3</x:v>
      </x:c>
      <x:c r="K4168" s="26" t="n">
        <x:v>0</x:v>
      </x:c>
      <x:c r="L4168" s="22" t="n">
        <x:v>315.81179999999995</x:v>
      </x:c>
      <x:c r="M4168" t="n">
        <x:v>2015</x:v>
      </x:c>
      <x:c r="N4168" s="20" t="n">
        <x:v>42064</x:v>
      </x:c>
    </x:row>
    <x:row r="4169" ht="18" customHeight="1">
      <x:c r="A4169" t="str">
        <x:v>US-2017-106131</x:v>
      </x:c>
      <x:c r="B4169" s="18" t="n">
        <x:v>42749</x:v>
      </x:c>
      <x:c r="C4169" t="str">
        <x:v>TP-21565</x:v>
      </x:c>
      <x:c r="D4169" t="str">
        <x:v>Tracy Poddar</x:v>
      </x:c>
      <x:c r="E4169" t="str">
        <x:v>Corporate</x:v>
      </x:c>
      <x:c r="F4169" t="str">
        <x:v>West</x:v>
      </x:c>
      <x:c r="G4169" t="str">
        <x:v>Technology</x:v>
      </x:c>
      <x:c r="H4169" t="str">
        <x:v>Accessories</x:v>
      </x:c>
      <x:c r="I4169" s="22" t="n">
        <x:v>169.06400000000002</x:v>
      </x:c>
      <x:c r="J4169" s="24" t="n">
        <x:v>7</x:v>
      </x:c>
      <x:c r="K4169" s="26" t="n">
        <x:v>0.2</x:v>
      </x:c>
      <x:c r="L4169" s="22" t="n">
        <x:v>-14.793099999999995</x:v>
      </x:c>
      <x:c r="M4169" t="n">
        <x:v>2017</x:v>
      </x:c>
      <x:c r="N4169" s="20" t="n">
        <x:v>42736</x:v>
      </x:c>
    </x:row>
    <x:row r="4170" ht="18" customHeight="1">
      <x:c r="A4170" t="str">
        <x:v>US-2017-106131</x:v>
      </x:c>
      <x:c r="B4170" s="18" t="n">
        <x:v>42749</x:v>
      </x:c>
      <x:c r="C4170" t="str">
        <x:v>TP-21565</x:v>
      </x:c>
      <x:c r="D4170" t="str">
        <x:v>Tracy Poddar</x:v>
      </x:c>
      <x:c r="E4170" t="str">
        <x:v>Corporate</x:v>
      </x:c>
      <x:c r="F4170" t="str">
        <x:v>West</x:v>
      </x:c>
      <x:c r="G4170" t="str">
        <x:v>Office Supplies</x:v>
      </x:c>
      <x:c r="H4170" t="str">
        <x:v>Storage</x:v>
      </x:c>
      <x:c r="I4170" s="22" t="n">
        <x:v>168.624</x:v>
      </x:c>
      <x:c r="J4170" s="24" t="n">
        <x:v>9</x:v>
      </x:c>
      <x:c r="K4170" s="26" t="n">
        <x:v>0.2</x:v>
      </x:c>
      <x:c r="L4170" s="22" t="n">
        <x:v>14.754599999999996</x:v>
      </x:c>
      <x:c r="M4170" t="n">
        <x:v>2017</x:v>
      </x:c>
      <x:c r="N4170" s="20" t="n">
        <x:v>42736</x:v>
      </x:c>
    </x:row>
    <x:row r="4171" ht="18" customHeight="1">
      <x:c r="A4171" t="str">
        <x:v>CA-2015-160213</x:v>
      </x:c>
      <x:c r="B4171" s="18" t="n">
        <x:v>42071</x:v>
      </x:c>
      <x:c r="C4171" t="str">
        <x:v>AR-10825</x:v>
      </x:c>
      <x:c r="D4171" t="str">
        <x:v>Anthony Rawles</x:v>
      </x:c>
      <x:c r="E4171" t="str">
        <x:v>Corporate</x:v>
      </x:c>
      <x:c r="F4171" t="str">
        <x:v>East</x:v>
      </x:c>
      <x:c r="G4171" t="str">
        <x:v>Office Supplies</x:v>
      </x:c>
      <x:c r="H4171" t="str">
        <x:v>Paper</x:v>
      </x:c>
      <x:c r="I4171" s="22" t="n">
        <x:v>19.44</x:v>
      </x:c>
      <x:c r="J4171" s="24" t="n">
        <x:v>3</x:v>
      </x:c>
      <x:c r="K4171" s="26" t="n">
        <x:v>0</x:v>
      </x:c>
      <x:c r="L4171" s="22" t="n">
        <x:v>9.3312</x:v>
      </x:c>
      <x:c r="M4171" t="n">
        <x:v>2015</x:v>
      </x:c>
      <x:c r="N4171" s="20" t="n">
        <x:v>42064</x:v>
      </x:c>
    </x:row>
    <x:row r="4172" ht="18" customHeight="1">
      <x:c r="A4172" t="str">
        <x:v>CA-2014-157924</x:v>
      </x:c>
      <x:c r="B4172" s="18" t="n">
        <x:v>41923</x:v>
      </x:c>
      <x:c r="C4172" t="str">
        <x:v>HA-14920</x:v>
      </x:c>
      <x:c r="D4172" t="str">
        <x:v>Helen Andreada</x:v>
      </x:c>
      <x:c r="E4172" t="str">
        <x:v>Consumer</x:v>
      </x:c>
      <x:c r="F4172" t="str">
        <x:v>West</x:v>
      </x:c>
      <x:c r="G4172" t="str">
        <x:v>Office Supplies</x:v>
      </x:c>
      <x:c r="H4172" t="str">
        <x:v>Storage</x:v>
      </x:c>
      <x:c r="I4172" s="22" t="n">
        <x:v>31.92</x:v>
      </x:c>
      <x:c r="J4172" s="24" t="n">
        <x:v>4</x:v>
      </x:c>
      <x:c r="K4172" s="26" t="n">
        <x:v>0</x:v>
      </x:c>
      <x:c r="L4172" s="22" t="n">
        <x:v>8.299199999999999</x:v>
      </x:c>
      <x:c r="M4172" t="n">
        <x:v>2014</x:v>
      </x:c>
      <x:c r="N4172" s="20" t="n">
        <x:v>41913</x:v>
      </x:c>
    </x:row>
    <x:row r="4173" ht="18" customHeight="1">
      <x:c r="A4173" t="str">
        <x:v>CA-2014-157924</x:v>
      </x:c>
      <x:c r="B4173" s="18" t="n">
        <x:v>41923</x:v>
      </x:c>
      <x:c r="C4173" t="str">
        <x:v>HA-14920</x:v>
      </x:c>
      <x:c r="D4173" t="str">
        <x:v>Helen Andreada</x:v>
      </x:c>
      <x:c r="E4173" t="str">
        <x:v>Consumer</x:v>
      </x:c>
      <x:c r="F4173" t="str">
        <x:v>West</x:v>
      </x:c>
      <x:c r="G4173" t="str">
        <x:v>Furniture</x:v>
      </x:c>
      <x:c r="H4173" t="str">
        <x:v>Chairs</x:v>
      </x:c>
      <x:c r="I4173" s="22" t="n">
        <x:v>433.56800000000004</x:v>
      </x:c>
      <x:c r="J4173" s="24" t="n">
        <x:v>2</x:v>
      </x:c>
      <x:c r="K4173" s="26" t="n">
        <x:v>0.2</x:v>
      </x:c>
      <x:c r="L4173" s="22" t="n">
        <x:v>-65.03520000000005</x:v>
      </x:c>
      <x:c r="M4173" t="n">
        <x:v>2014</x:v>
      </x:c>
      <x:c r="N4173" s="20" t="n">
        <x:v>41913</x:v>
      </x:c>
    </x:row>
    <x:row r="4174" ht="18" customHeight="1">
      <x:c r="A4174" t="str">
        <x:v>CA-2015-100216</x:v>
      </x:c>
      <x:c r="B4174" s="18" t="n">
        <x:v>42107</x:v>
      </x:c>
      <x:c r="C4174" t="str">
        <x:v>HJ-14875</x:v>
      </x:c>
      <x:c r="D4174" t="str">
        <x:v>Heather Jas</x:v>
      </x:c>
      <x:c r="E4174" t="str">
        <x:v>Home Office</x:v>
      </x:c>
      <x:c r="F4174" t="str">
        <x:v>West</x:v>
      </x:c>
      <x:c r="G4174" t="str">
        <x:v>Office Supplies</x:v>
      </x:c>
      <x:c r="H4174" t="str">
        <x:v>Paper</x:v>
      </x:c>
      <x:c r="I4174" s="22" t="n">
        <x:v>31.104000000000006</x:v>
      </x:c>
      <x:c r="J4174" s="24" t="n">
        <x:v>6</x:v>
      </x:c>
      <x:c r="K4174" s="26" t="n">
        <x:v>0.2</x:v>
      </x:c>
      <x:c r="L4174" s="22" t="n">
        <x:v>10.8864</x:v>
      </x:c>
      <x:c r="M4174" t="n">
        <x:v>2015</x:v>
      </x:c>
      <x:c r="N4174" s="20" t="n">
        <x:v>42095</x:v>
      </x:c>
    </x:row>
    <x:row r="4175" ht="18" customHeight="1">
      <x:c r="A4175" t="str">
        <x:v>CA-2015-100216</x:v>
      </x:c>
      <x:c r="B4175" s="18" t="n">
        <x:v>42107</x:v>
      </x:c>
      <x:c r="C4175" t="str">
        <x:v>HJ-14875</x:v>
      </x:c>
      <x:c r="D4175" t="str">
        <x:v>Heather Jas</x:v>
      </x:c>
      <x:c r="E4175" t="str">
        <x:v>Home Office</x:v>
      </x:c>
      <x:c r="F4175" t="str">
        <x:v>West</x:v>
      </x:c>
      <x:c r="G4175" t="str">
        <x:v>Office Supplies</x:v>
      </x:c>
      <x:c r="H4175" t="str">
        <x:v>Paper</x:v>
      </x:c>
      <x:c r="I4175" s="22" t="n">
        <x:v>54.816</x:v>
      </x:c>
      <x:c r="J4175" s="24" t="n">
        <x:v>3</x:v>
      </x:c>
      <x:c r="K4175" s="26" t="n">
        <x:v>0.2</x:v>
      </x:c>
      <x:c r="L4175" s="22" t="n">
        <x:v>17.815199999999997</x:v>
      </x:c>
      <x:c r="M4175" t="n">
        <x:v>2015</x:v>
      </x:c>
      <x:c r="N4175" s="20" t="n">
        <x:v>42095</x:v>
      </x:c>
    </x:row>
    <x:row r="4176" ht="18" customHeight="1">
      <x:c r="A4176" t="str">
        <x:v>CA-2017-100601</x:v>
      </x:c>
      <x:c r="B4176" s="18" t="n">
        <x:v>43055</x:v>
      </x:c>
      <x:c r="C4176" t="str">
        <x:v>JK-15370</x:v>
      </x:c>
      <x:c r="D4176" t="str">
        <x:v>Jay Kimmel</x:v>
      </x:c>
      <x:c r="E4176" t="str">
        <x:v>Consumer</x:v>
      </x:c>
      <x:c r="F4176" t="str">
        <x:v>West</x:v>
      </x:c>
      <x:c r="G4176" t="str">
        <x:v>Office Supplies</x:v>
      </x:c>
      <x:c r="H4176" t="str">
        <x:v>Storage</x:v>
      </x:c>
      <x:c r="I4176" s="22" t="n">
        <x:v>48.86</x:v>
      </x:c>
      <x:c r="J4176" s="24" t="n">
        <x:v>7</x:v>
      </x:c>
      <x:c r="K4176" s="26" t="n">
        <x:v>0</x:v>
      </x:c>
      <x:c r="L4176" s="22" t="n">
        <x:v>0.9771999999999981</x:v>
      </x:c>
      <x:c r="M4176" t="n">
        <x:v>2017</x:v>
      </x:c>
      <x:c r="N4176" s="20" t="n">
        <x:v>43040</x:v>
      </x:c>
    </x:row>
    <x:row r="4177" ht="18" customHeight="1">
      <x:c r="A4177" t="str">
        <x:v>CA-2016-152163</x:v>
      </x:c>
      <x:c r="B4177" s="18" t="n">
        <x:v>42552</x:v>
      </x:c>
      <x:c r="C4177" t="str">
        <x:v>JF-15355</x:v>
      </x:c>
      <x:c r="D4177" t="str">
        <x:v>Jay Fein</x:v>
      </x:c>
      <x:c r="E4177" t="str">
        <x:v>Consumer</x:v>
      </x:c>
      <x:c r="F4177" t="str">
        <x:v>South</x:v>
      </x:c>
      <x:c r="G4177" t="str">
        <x:v>Office Supplies</x:v>
      </x:c>
      <x:c r="H4177" t="str">
        <x:v>Binders</x:v>
      </x:c>
      <x:c r="I4177" s="22" t="n">
        <x:v>14.2</x:v>
      </x:c>
      <x:c r="J4177" s="24" t="n">
        <x:v>2</x:v>
      </x:c>
      <x:c r="K4177" s="26" t="n">
        <x:v>0</x:v>
      </x:c>
      <x:c r="L4177" s="22" t="n">
        <x:v>6.531999999999999</x:v>
      </x:c>
      <x:c r="M4177" t="n">
        <x:v>2016</x:v>
      </x:c>
      <x:c r="N4177" s="20" t="n">
        <x:v>42552</x:v>
      </x:c>
    </x:row>
    <x:row r="4178" ht="18" customHeight="1">
      <x:c r="A4178" t="str">
        <x:v>CA-2016-152163</x:v>
      </x:c>
      <x:c r="B4178" s="18" t="n">
        <x:v>42552</x:v>
      </x:c>
      <x:c r="C4178" t="str">
        <x:v>JF-15355</x:v>
      </x:c>
      <x:c r="D4178" t="str">
        <x:v>Jay Fein</x:v>
      </x:c>
      <x:c r="E4178" t="str">
        <x:v>Consumer</x:v>
      </x:c>
      <x:c r="F4178" t="str">
        <x:v>South</x:v>
      </x:c>
      <x:c r="G4178" t="str">
        <x:v>Office Supplies</x:v>
      </x:c>
      <x:c r="H4178" t="str">
        <x:v>Paper</x:v>
      </x:c>
      <x:c r="I4178" s="22" t="n">
        <x:v>12.96</x:v>
      </x:c>
      <x:c r="J4178" s="24" t="n">
        <x:v>2</x:v>
      </x:c>
      <x:c r="K4178" s="26" t="n">
        <x:v>0</x:v>
      </x:c>
      <x:c r="L4178" s="22" t="n">
        <x:v>6.2208000000000006</x:v>
      </x:c>
      <x:c r="M4178" t="n">
        <x:v>2016</x:v>
      </x:c>
      <x:c r="N4178" s="20" t="n">
        <x:v>42552</x:v>
      </x:c>
    </x:row>
    <x:row r="4179" ht="18" customHeight="1">
      <x:c r="A4179" t="str">
        <x:v>CA-2016-152163</x:v>
      </x:c>
      <x:c r="B4179" s="18" t="n">
        <x:v>42552</x:v>
      </x:c>
      <x:c r="C4179" t="str">
        <x:v>JF-15355</x:v>
      </x:c>
      <x:c r="D4179" t="str">
        <x:v>Jay Fein</x:v>
      </x:c>
      <x:c r="E4179" t="str">
        <x:v>Consumer</x:v>
      </x:c>
      <x:c r="F4179" t="str">
        <x:v>South</x:v>
      </x:c>
      <x:c r="G4179" t="str">
        <x:v>Office Supplies</x:v>
      </x:c>
      <x:c r="H4179" t="str">
        <x:v>Binders</x:v>
      </x:c>
      <x:c r="I4179" s="22" t="n">
        <x:v>58.34</x:v>
      </x:c>
      <x:c r="J4179" s="24" t="n">
        <x:v>2</x:v>
      </x:c>
      <x:c r="K4179" s="26" t="n">
        <x:v>0</x:v>
      </x:c>
      <x:c r="L4179" s="22" t="n">
        <x:v>28.0032</x:v>
      </x:c>
      <x:c r="M4179" t="n">
        <x:v>2016</x:v>
      </x:c>
      <x:c r="N4179" s="20" t="n">
        <x:v>42552</x:v>
      </x:c>
    </x:row>
    <x:row r="4180" ht="18" customHeight="1">
      <x:c r="A4180" t="str">
        <x:v>CA-2015-154340</x:v>
      </x:c>
      <x:c r="B4180" s="18" t="n">
        <x:v>42337</x:v>
      </x:c>
      <x:c r="C4180" t="str">
        <x:v>EK-13795</x:v>
      </x:c>
      <x:c r="D4180" t="str">
        <x:v>Eileen Kiefer</x:v>
      </x:c>
      <x:c r="E4180" t="str">
        <x:v>Home Office</x:v>
      </x:c>
      <x:c r="F4180" t="str">
        <x:v>West</x:v>
      </x:c>
      <x:c r="G4180" t="str">
        <x:v>Office Supplies</x:v>
      </x:c>
      <x:c r="H4180" t="str">
        <x:v>Art</x:v>
      </x:c>
      <x:c r="I4180" s="22" t="n">
        <x:v>56.3</x:v>
      </x:c>
      <x:c r="J4180" s="24" t="n">
        <x:v>2</x:v>
      </x:c>
      <x:c r="K4180" s="26" t="n">
        <x:v>0</x:v>
      </x:c>
      <x:c r="L4180" s="22" t="n">
        <x:v>15.764000000000003</x:v>
      </x:c>
      <x:c r="M4180" t="n">
        <x:v>2015</x:v>
      </x:c>
      <x:c r="N4180" s="20" t="n">
        <x:v>42309</x:v>
      </x:c>
    </x:row>
    <x:row r="4181" ht="18" customHeight="1">
      <x:c r="A4181" t="str">
        <x:v>CA-2014-128846</x:v>
      </x:c>
      <x:c r="B4181" s="18" t="n">
        <x:v>41736</x:v>
      </x:c>
      <x:c r="C4181" t="str">
        <x:v>RS-19765</x:v>
      </x:c>
      <x:c r="D4181" t="str">
        <x:v>Roland Schwarz</x:v>
      </x:c>
      <x:c r="E4181" t="str">
        <x:v>Corporate</x:v>
      </x:c>
      <x:c r="F4181" t="str">
        <x:v>South</x:v>
      </x:c>
      <x:c r="G4181" t="str">
        <x:v>Technology</x:v>
      </x:c>
      <x:c r="H4181" t="str">
        <x:v>Phones</x:v>
      </x:c>
      <x:c r="I4181" s="22" t="n">
        <x:v>629.9499999999999</x:v>
      </x:c>
      <x:c r="J4181" s="24" t="n">
        <x:v>5</x:v>
      </x:c>
      <x:c r="K4181" s="26" t="n">
        <x:v>0</x:v>
      </x:c>
      <x:c r="L4181" s="22" t="n">
        <x:v>163.78700000000003</x:v>
      </x:c>
      <x:c r="M4181" t="n">
        <x:v>2014</x:v>
      </x:c>
      <x:c r="N4181" s="20" t="n">
        <x:v>41730</x:v>
      </x:c>
    </x:row>
    <x:row r="4182" ht="18" customHeight="1">
      <x:c r="A4182" t="str">
        <x:v>CA-2014-128846</x:v>
      </x:c>
      <x:c r="B4182" s="18" t="n">
        <x:v>41736</x:v>
      </x:c>
      <x:c r="C4182" t="str">
        <x:v>RS-19765</x:v>
      </x:c>
      <x:c r="D4182" t="str">
        <x:v>Roland Schwarz</x:v>
      </x:c>
      <x:c r="E4182" t="str">
        <x:v>Corporate</x:v>
      </x:c>
      <x:c r="F4182" t="str">
        <x:v>South</x:v>
      </x:c>
      <x:c r="G4182" t="str">
        <x:v>Office Supplies</x:v>
      </x:c>
      <x:c r="H4182" t="str">
        <x:v>Paper</x:v>
      </x:c>
      <x:c r="I4182" s="22" t="n">
        <x:v>122.97</x:v>
      </x:c>
      <x:c r="J4182" s="24" t="n">
        <x:v>3</x:v>
      </x:c>
      <x:c r="K4182" s="26" t="n">
        <x:v>0</x:v>
      </x:c>
      <x:c r="L4182" s="22" t="n">
        <x:v>60.255300000000005</x:v>
      </x:c>
      <x:c r="M4182" t="n">
        <x:v>2014</x:v>
      </x:c>
      <x:c r="N4182" s="20" t="n">
        <x:v>41730</x:v>
      </x:c>
    </x:row>
    <x:row r="4183" ht="18" customHeight="1">
      <x:c r="A4183" t="str">
        <x:v>CA-2016-148593</x:v>
      </x:c>
      <x:c r="B4183" s="18" t="n">
        <x:v>42537</x:v>
      </x:c>
      <x:c r="C4183" t="str">
        <x:v>BD-11320</x:v>
      </x:c>
      <x:c r="D4183" t="str">
        <x:v>Bill Donatelli</x:v>
      </x:c>
      <x:c r="E4183" t="str">
        <x:v>Consumer</x:v>
      </x:c>
      <x:c r="F4183" t="str">
        <x:v>West</x:v>
      </x:c>
      <x:c r="G4183" t="str">
        <x:v>Office Supplies</x:v>
      </x:c>
      <x:c r="H4183" t="str">
        <x:v>Paper</x:v>
      </x:c>
      <x:c r="I4183" s="22" t="n">
        <x:v>46.349999999999994</x:v>
      </x:c>
      <x:c r="J4183" s="24" t="n">
        <x:v>5</x:v>
      </x:c>
      <x:c r="K4183" s="26" t="n">
        <x:v>0</x:v>
      </x:c>
      <x:c r="L4183" s="22" t="n">
        <x:v>21.784499999999998</x:v>
      </x:c>
      <x:c r="M4183" t="n">
        <x:v>2016</x:v>
      </x:c>
      <x:c r="N4183" s="20" t="n">
        <x:v>42522</x:v>
      </x:c>
    </x:row>
    <x:row r="4184" ht="18" customHeight="1">
      <x:c r="A4184" t="str">
        <x:v>US-2017-119039</x:v>
      </x:c>
      <x:c r="B4184" s="18" t="n">
        <x:v>42800</x:v>
      </x:c>
      <x:c r="C4184" t="str">
        <x:v>BF-11170</x:v>
      </x:c>
      <x:c r="D4184" t="str">
        <x:v>Ben Ferrer</x:v>
      </x:c>
      <x:c r="E4184" t="str">
        <x:v>Home Office</x:v>
      </x:c>
      <x:c r="F4184" t="str">
        <x:v>West</x:v>
      </x:c>
      <x:c r="G4184" t="str">
        <x:v>Office Supplies</x:v>
      </x:c>
      <x:c r="H4184" t="str">
        <x:v>Binders</x:v>
      </x:c>
      <x:c r="I4184" s="22" t="n">
        <x:v>14.976</x:v>
      </x:c>
      <x:c r="J4184" s="24" t="n">
        <x:v>9</x:v>
      </x:c>
      <x:c r="K4184" s="26" t="n">
        <x:v>0.2</x:v>
      </x:c>
      <x:c r="L4184" s="22" t="n">
        <x:v>5.428800000000001</x:v>
      </x:c>
      <x:c r="M4184" t="n">
        <x:v>2017</x:v>
      </x:c>
      <x:c r="N4184" s="20" t="n">
        <x:v>42795</x:v>
      </x:c>
    </x:row>
    <x:row r="4185" ht="18" customHeight="1">
      <x:c r="A4185" t="str">
        <x:v>CA-2017-128426</x:v>
      </x:c>
      <x:c r="B4185" s="18" t="n">
        <x:v>43015</x:v>
      </x:c>
      <x:c r="C4185" t="str">
        <x:v>JK-15730</x:v>
      </x:c>
      <x:c r="D4185" t="str">
        <x:v>Joe Kamberova</x:v>
      </x:c>
      <x:c r="E4185" t="str">
        <x:v>Consumer</x:v>
      </x:c>
      <x:c r="F4185" t="str">
        <x:v>Central</x:v>
      </x:c>
      <x:c r="G4185" t="str">
        <x:v>Office Supplies</x:v>
      </x:c>
      <x:c r="H4185" t="str">
        <x:v>Binders</x:v>
      </x:c>
      <x:c r="I4185" s="22" t="n">
        <x:v>4.239999999999999</x:v>
      </x:c>
      <x:c r="J4185" s="24" t="n">
        <x:v>5</x:v>
      </x:c>
      <x:c r="K4185" s="26" t="n">
        <x:v>0.8</x:v>
      </x:c>
      <x:c r="L4185" s="22" t="n">
        <x:v>-6.359999999999999</x:v>
      </x:c>
      <x:c r="M4185" t="n">
        <x:v>2017</x:v>
      </x:c>
      <x:c r="N4185" s="20" t="n">
        <x:v>43009</x:v>
      </x:c>
    </x:row>
    <x:row r="4186" ht="18" customHeight="1">
      <x:c r="A4186" t="str">
        <x:v>US-2017-136868</x:v>
      </x:c>
      <x:c r="B4186" s="18" t="n">
        <x:v>43014</x:v>
      </x:c>
      <x:c r="C4186" t="str">
        <x:v>CR-12820</x:v>
      </x:c>
      <x:c r="D4186" t="str">
        <x:v>Cyra Reiten</x:v>
      </x:c>
      <x:c r="E4186" t="str">
        <x:v>Home Office</x:v>
      </x:c>
      <x:c r="F4186" t="str">
        <x:v>East</x:v>
      </x:c>
      <x:c r="G4186" t="str">
        <x:v>Technology</x:v>
      </x:c>
      <x:c r="H4186" t="str">
        <x:v>Accessories</x:v>
      </x:c>
      <x:c r="I4186" s="22" t="n">
        <x:v>319.96</x:v>
      </x:c>
      <x:c r="J4186" s="24" t="n">
        <x:v>4</x:v>
      </x:c>
      <x:c r="K4186" s="26" t="n">
        <x:v>0</x:v>
      </x:c>
      <x:c r="L4186" s="22" t="n">
        <x:v>115.1856</x:v>
      </x:c>
      <x:c r="M4186" t="n">
        <x:v>2017</x:v>
      </x:c>
      <x:c r="N4186" s="20" t="n">
        <x:v>43009</x:v>
      </x:c>
    </x:row>
    <x:row r="4187" ht="18" customHeight="1">
      <x:c r="A4187" t="str">
        <x:v>US-2017-136868</x:v>
      </x:c>
      <x:c r="B4187" s="18" t="n">
        <x:v>43014</x:v>
      </x:c>
      <x:c r="C4187" t="str">
        <x:v>CR-12820</x:v>
      </x:c>
      <x:c r="D4187" t="str">
        <x:v>Cyra Reiten</x:v>
      </x:c>
      <x:c r="E4187" t="str">
        <x:v>Home Office</x:v>
      </x:c>
      <x:c r="F4187" t="str">
        <x:v>East</x:v>
      </x:c>
      <x:c r="G4187" t="str">
        <x:v>Office Supplies</x:v>
      </x:c>
      <x:c r="H4187" t="str">
        <x:v>Paper</x:v>
      </x:c>
      <x:c r="I4187" s="22" t="n">
        <x:v>17.04</x:v>
      </x:c>
      <x:c r="J4187" s="24" t="n">
        <x:v>3</x:v>
      </x:c>
      <x:c r="K4187" s="26" t="n">
        <x:v>0</x:v>
      </x:c>
      <x:c r="L4187" s="22" t="n">
        <x:v>7.667999999999999</x:v>
      </x:c>
      <x:c r="M4187" t="n">
        <x:v>2017</x:v>
      </x:c>
      <x:c r="N4187" s="20" t="n">
        <x:v>43009</x:v>
      </x:c>
    </x:row>
    <x:row r="4188" ht="18" customHeight="1">
      <x:c r="A4188" t="str">
        <x:v>US-2017-136868</x:v>
      </x:c>
      <x:c r="B4188" s="18" t="n">
        <x:v>43014</x:v>
      </x:c>
      <x:c r="C4188" t="str">
        <x:v>CR-12820</x:v>
      </x:c>
      <x:c r="D4188" t="str">
        <x:v>Cyra Reiten</x:v>
      </x:c>
      <x:c r="E4188" t="str">
        <x:v>Home Office</x:v>
      </x:c>
      <x:c r="F4188" t="str">
        <x:v>East</x:v>
      </x:c>
      <x:c r="G4188" t="str">
        <x:v>Office Supplies</x:v>
      </x:c>
      <x:c r="H4188" t="str">
        <x:v>Storage</x:v>
      </x:c>
      <x:c r="I4188" s="22" t="n">
        <x:v>344.90999999999997</x:v>
      </x:c>
      <x:c r="J4188" s="24" t="n">
        <x:v>3</x:v>
      </x:c>
      <x:c r="K4188" s="26" t="n">
        <x:v>0</x:v>
      </x:c>
      <x:c r="L4188" s="22" t="n">
        <x:v>10.347300000000004</x:v>
      </x:c>
      <x:c r="M4188" t="n">
        <x:v>2017</x:v>
      </x:c>
      <x:c r="N4188" s="20" t="n">
        <x:v>43009</x:v>
      </x:c>
    </x:row>
    <x:row r="4189" ht="18" customHeight="1">
      <x:c r="A4189" t="str">
        <x:v>CA-2016-143749</x:v>
      </x:c>
      <x:c r="B4189" s="18" t="n">
        <x:v>42709</x:v>
      </x:c>
      <x:c r="C4189" t="str">
        <x:v>AG-10300</x:v>
      </x:c>
      <x:c r="D4189" t="str">
        <x:v>Aleksandra Gannaway</x:v>
      </x:c>
      <x:c r="E4189" t="str">
        <x:v>Corporate</x:v>
      </x:c>
      <x:c r="F4189" t="str">
        <x:v>East</x:v>
      </x:c>
      <x:c r="G4189" t="str">
        <x:v>Furniture</x:v>
      </x:c>
      <x:c r="H4189" t="str">
        <x:v>Bookcases</x:v>
      </x:c>
      <x:c r="I4189" s="22" t="n">
        <x:v>81.94</x:v>
      </x:c>
      <x:c r="J4189" s="24" t="n">
        <x:v>1</x:v>
      </x:c>
      <x:c r="K4189" s="26" t="n">
        <x:v>0</x:v>
      </x:c>
      <x:c r="L4189" s="22" t="n">
        <x:v>20.485</x:v>
      </x:c>
      <x:c r="M4189" t="n">
        <x:v>2016</x:v>
      </x:c>
      <x:c r="N4189" s="20" t="n">
        <x:v>42705</x:v>
      </x:c>
    </x:row>
    <x:row r="4190" ht="18" customHeight="1">
      <x:c r="A4190" t="str">
        <x:v>CA-2016-111493</x:v>
      </x:c>
      <x:c r="B4190" s="18" t="n">
        <x:v>42664</x:v>
      </x:c>
      <x:c r="C4190" t="str">
        <x:v>CM-12160</x:v>
      </x:c>
      <x:c r="D4190" t="str">
        <x:v>Charles McCrossin</x:v>
      </x:c>
      <x:c r="E4190" t="str">
        <x:v>Consumer</x:v>
      </x:c>
      <x:c r="F4190" t="str">
        <x:v>East</x:v>
      </x:c>
      <x:c r="G4190" t="str">
        <x:v>Technology</x:v>
      </x:c>
      <x:c r="H4190" t="str">
        <x:v>Accessories</x:v>
      </x:c>
      <x:c r="I4190" s="22" t="n">
        <x:v>98.16</x:v>
      </x:c>
      <x:c r="J4190" s="24" t="n">
        <x:v>6</x:v>
      </x:c>
      <x:c r="K4190" s="26" t="n">
        <x:v>0</x:v>
      </x:c>
      <x:c r="L4190" s="22" t="n">
        <x:v>9.815999999999995</x:v>
      </x:c>
      <x:c r="M4190" t="n">
        <x:v>2016</x:v>
      </x:c>
      <x:c r="N4190" s="20" t="n">
        <x:v>42644</x:v>
      </x:c>
    </x:row>
    <x:row r="4191" ht="18" customHeight="1">
      <x:c r="A4191" t="str">
        <x:v>CA-2017-112536</x:v>
      </x:c>
      <x:c r="B4191" s="18" t="n">
        <x:v>42873</x:v>
      </x:c>
      <x:c r="C4191" t="str">
        <x:v>SG-20890</x:v>
      </x:c>
      <x:c r="D4191" t="str">
        <x:v>Susan Gilcrest</x:v>
      </x:c>
      <x:c r="E4191" t="str">
        <x:v>Corporate</x:v>
      </x:c>
      <x:c r="F4191" t="str">
        <x:v>Central</x:v>
      </x:c>
      <x:c r="G4191" t="str">
        <x:v>Office Supplies</x:v>
      </x:c>
      <x:c r="H4191" t="str">
        <x:v>Binders</x:v>
      </x:c>
      <x:c r="I4191" s="22" t="n">
        <x:v>6.873999999999999</x:v>
      </x:c>
      <x:c r="J4191" s="24" t="n">
        <x:v>7</x:v>
      </x:c>
      <x:c r="K4191" s="26" t="n">
        <x:v>0.8</x:v>
      </x:c>
      <x:c r="L4191" s="22" t="n">
        <x:v>-10.654700000000002</x:v>
      </x:c>
      <x:c r="M4191" t="n">
        <x:v>2017</x:v>
      </x:c>
      <x:c r="N4191" s="20" t="n">
        <x:v>42856</x:v>
      </x:c>
    </x:row>
    <x:row r="4192" ht="18" customHeight="1">
      <x:c r="A4192" t="str">
        <x:v>CA-2017-112536</x:v>
      </x:c>
      <x:c r="B4192" s="18" t="n">
        <x:v>42873</x:v>
      </x:c>
      <x:c r="C4192" t="str">
        <x:v>SG-20890</x:v>
      </x:c>
      <x:c r="D4192" t="str">
        <x:v>Susan Gilcrest</x:v>
      </x:c>
      <x:c r="E4192" t="str">
        <x:v>Corporate</x:v>
      </x:c>
      <x:c r="F4192" t="str">
        <x:v>Central</x:v>
      </x:c>
      <x:c r="G4192" t="str">
        <x:v>Office Supplies</x:v>
      </x:c>
      <x:c r="H4192" t="str">
        <x:v>Binders</x:v>
      </x:c>
      <x:c r="I4192" s="22" t="n">
        <x:v>1.9959999999999996</x:v>
      </x:c>
      <x:c r="J4192" s="24" t="n">
        <x:v>1</x:v>
      </x:c>
      <x:c r="K4192" s="26" t="n">
        <x:v>0.8</x:v>
      </x:c>
      <x:c r="L4192" s="22" t="n">
        <x:v>-3.293400000000001</x:v>
      </x:c>
      <x:c r="M4192" t="n">
        <x:v>2017</x:v>
      </x:c>
      <x:c r="N4192" s="20" t="n">
        <x:v>42856</x:v>
      </x:c>
    </x:row>
    <x:row r="4193" ht="18" customHeight="1">
      <x:c r="A4193" t="str">
        <x:v>CA-2017-112536</x:v>
      </x:c>
      <x:c r="B4193" s="18" t="n">
        <x:v>42873</x:v>
      </x:c>
      <x:c r="C4193" t="str">
        <x:v>SG-20890</x:v>
      </x:c>
      <x:c r="D4193" t="str">
        <x:v>Susan Gilcrest</x:v>
      </x:c>
      <x:c r="E4193" t="str">
        <x:v>Corporate</x:v>
      </x:c>
      <x:c r="F4193" t="str">
        <x:v>Central</x:v>
      </x:c>
      <x:c r="G4193" t="str">
        <x:v>Office Supplies</x:v>
      </x:c>
      <x:c r="H4193" t="str">
        <x:v>Storage</x:v>
      </x:c>
      <x:c r="I4193" s="22" t="n">
        <x:v>8.928</x:v>
      </x:c>
      <x:c r="J4193" s="24" t="n">
        <x:v>2</x:v>
      </x:c>
      <x:c r="K4193" s="26" t="n">
        <x:v>0.2</x:v>
      </x:c>
      <x:c r="L4193" s="22" t="n">
        <x:v>0.6696</x:v>
      </x:c>
      <x:c r="M4193" t="n">
        <x:v>2017</x:v>
      </x:c>
      <x:c r="N4193" s="20" t="n">
        <x:v>42856</x:v>
      </x:c>
    </x:row>
    <x:row r="4194" ht="18" customHeight="1">
      <x:c r="A4194" t="str">
        <x:v>CA-2016-157714</x:v>
      </x:c>
      <x:c r="B4194" s="18" t="n">
        <x:v>42639</x:v>
      </x:c>
      <x:c r="C4194" t="str">
        <x:v>CS-12175</x:v>
      </x:c>
      <x:c r="D4194" t="str">
        <x:v>Charles Sheldon</x:v>
      </x:c>
      <x:c r="E4194" t="str">
        <x:v>Corporate</x:v>
      </x:c>
      <x:c r="F4194" t="str">
        <x:v>Central</x:v>
      </x:c>
      <x:c r="G4194" t="str">
        <x:v>Office Supplies</x:v>
      </x:c>
      <x:c r="H4194" t="str">
        <x:v>Paper</x:v>
      </x:c>
      <x:c r="I4194" s="22" t="n">
        <x:v>9.99</x:v>
      </x:c>
      <x:c r="J4194" s="24" t="n">
        <x:v>1</x:v>
      </x:c>
      <x:c r="K4194" s="26" t="n">
        <x:v>0</x:v>
      </x:c>
      <x:c r="L4194" s="22" t="n">
        <x:v>4.4955</x:v>
      </x:c>
      <x:c r="M4194" t="n">
        <x:v>2016</x:v>
      </x:c>
      <x:c r="N4194" s="20" t="n">
        <x:v>42614</x:v>
      </x:c>
    </x:row>
    <x:row r="4195" ht="18" customHeight="1">
      <x:c r="A4195" t="str">
        <x:v>CA-2017-166709</x:v>
      </x:c>
      <x:c r="B4195" s="18" t="n">
        <x:v>43056</x:v>
      </x:c>
      <x:c r="C4195" t="str">
        <x:v>HL-15040</x:v>
      </x:c>
      <x:c r="D4195" t="str">
        <x:v>Hunter Lopez</x:v>
      </x:c>
      <x:c r="E4195" t="str">
        <x:v>Consumer</x:v>
      </x:c>
      <x:c r="F4195" t="str">
        <x:v>East</x:v>
      </x:c>
      <x:c r="G4195" t="str">
        <x:v>Technology</x:v>
      </x:c>
      <x:c r="H4195" t="str">
        <x:v>Copiers</x:v>
      </x:c>
      <x:c r="I4195" s="22" t="n">
        <x:v>10499.97</x:v>
      </x:c>
      <x:c r="J4195" s="24" t="n">
        <x:v>3</x:v>
      </x:c>
      <x:c r="K4195" s="26" t="n">
        <x:v>0</x:v>
      </x:c>
      <x:c r="L4195" s="22" t="n">
        <x:v>5039.9856</x:v>
      </x:c>
      <x:c r="M4195" t="n">
        <x:v>2017</x:v>
      </x:c>
      <x:c r="N4195" s="20" t="n">
        <x:v>43040</x:v>
      </x:c>
    </x:row>
    <x:row r="4196" ht="18" customHeight="1">
      <x:c r="A4196" t="str">
        <x:v>CA-2015-129392</x:v>
      </x:c>
      <x:c r="B4196" s="18" t="n">
        <x:v>42193</x:v>
      </x:c>
      <x:c r="C4196" t="str">
        <x:v>DM-13015</x:v>
      </x:c>
      <x:c r="D4196" t="str">
        <x:v>Darrin Martin</x:v>
      </x:c>
      <x:c r="E4196" t="str">
        <x:v>Consumer</x:v>
      </x:c>
      <x:c r="F4196" t="str">
        <x:v>Central</x:v>
      </x:c>
      <x:c r="G4196" t="str">
        <x:v>Office Supplies</x:v>
      </x:c>
      <x:c r="H4196" t="str">
        <x:v>Paper</x:v>
      </x:c>
      <x:c r="I4196" s="22" t="n">
        <x:v>21.12</x:v>
      </x:c>
      <x:c r="J4196" s="24" t="n">
        <x:v>5</x:v>
      </x:c>
      <x:c r="K4196" s="26" t="n">
        <x:v>0.2</x:v>
      </x:c>
      <x:c r="L4196" s="22" t="n">
        <x:v>6.599999999999999</x:v>
      </x:c>
      <x:c r="M4196" t="n">
        <x:v>2015</x:v>
      </x:c>
      <x:c r="N4196" s="20" t="n">
        <x:v>42186</x:v>
      </x:c>
    </x:row>
    <x:row r="4197" ht="18" customHeight="1">
      <x:c r="A4197" t="str">
        <x:v>CA-2015-150875</x:v>
      </x:c>
      <x:c r="B4197" s="18" t="n">
        <x:v>42324</x:v>
      </x:c>
      <x:c r="C4197" t="str">
        <x:v>HK-14890</x:v>
      </x:c>
      <x:c r="D4197" t="str">
        <x:v>Heather Kirkland</x:v>
      </x:c>
      <x:c r="E4197" t="str">
        <x:v>Corporate</x:v>
      </x:c>
      <x:c r="F4197" t="str">
        <x:v>West</x:v>
      </x:c>
      <x:c r="G4197" t="str">
        <x:v>Furniture</x:v>
      </x:c>
      <x:c r="H4197" t="str">
        <x:v>Tables</x:v>
      </x:c>
      <x:c r="I4197" s="22" t="n">
        <x:v>696.42</x:v>
      </x:c>
      <x:c r="J4197" s="24" t="n">
        <x:v>2</x:v>
      </x:c>
      <x:c r="K4197" s="26" t="n">
        <x:v>0</x:v>
      </x:c>
      <x:c r="L4197" s="22" t="n">
        <x:v>160.1766</x:v>
      </x:c>
      <x:c r="M4197" t="n">
        <x:v>2015</x:v>
      </x:c>
      <x:c r="N4197" s="20" t="n">
        <x:v>42309</x:v>
      </x:c>
    </x:row>
    <x:row r="4198" ht="18" customHeight="1">
      <x:c r="A4198" t="str">
        <x:v>CA-2015-150875</x:v>
      </x:c>
      <x:c r="B4198" s="18" t="n">
        <x:v>42324</x:v>
      </x:c>
      <x:c r="C4198" t="str">
        <x:v>HK-14890</x:v>
      </x:c>
      <x:c r="D4198" t="str">
        <x:v>Heather Kirkland</x:v>
      </x:c>
      <x:c r="E4198" t="str">
        <x:v>Corporate</x:v>
      </x:c>
      <x:c r="F4198" t="str">
        <x:v>West</x:v>
      </x:c>
      <x:c r="G4198" t="str">
        <x:v>Technology</x:v>
      </x:c>
      <x:c r="H4198" t="str">
        <x:v>Phones</x:v>
      </x:c>
      <x:c r="I4198" s="22" t="n">
        <x:v>304.776</x:v>
      </x:c>
      <x:c r="J4198" s="24" t="n">
        <x:v>3</x:v>
      </x:c>
      <x:c r="K4198" s="26" t="n">
        <x:v>0.2</x:v>
      </x:c>
      <x:c r="L4198" s="22" t="n">
        <x:v>22.858199999999982</x:v>
      </x:c>
      <x:c r="M4198" t="n">
        <x:v>2015</x:v>
      </x:c>
      <x:c r="N4198" s="20" t="n">
        <x:v>42309</x:v>
      </x:c>
    </x:row>
    <x:row r="4199" ht="18" customHeight="1">
      <x:c r="A4199" t="str">
        <x:v>CA-2015-154200</x:v>
      </x:c>
      <x:c r="B4199" s="18" t="n">
        <x:v>42173</x:v>
      </x:c>
      <x:c r="C4199" t="str">
        <x:v>BG-11740</x:v>
      </x:c>
      <x:c r="D4199" t="str">
        <x:v>Bruce Geld</x:v>
      </x:c>
      <x:c r="E4199" t="str">
        <x:v>Consumer</x:v>
      </x:c>
      <x:c r="F4199" t="str">
        <x:v>West</x:v>
      </x:c>
      <x:c r="G4199" t="str">
        <x:v>Office Supplies</x:v>
      </x:c>
      <x:c r="H4199" t="str">
        <x:v>Art</x:v>
      </x:c>
      <x:c r="I4199" s="22" t="n">
        <x:v>51.98</x:v>
      </x:c>
      <x:c r="J4199" s="24" t="n">
        <x:v>2</x:v>
      </x:c>
      <x:c r="K4199" s="26" t="n">
        <x:v>0</x:v>
      </x:c>
      <x:c r="L4199" s="22" t="n">
        <x:v>15.074199999999998</x:v>
      </x:c>
      <x:c r="M4199" t="n">
        <x:v>2015</x:v>
      </x:c>
      <x:c r="N4199" s="20" t="n">
        <x:v>42156</x:v>
      </x:c>
    </x:row>
    <x:row r="4200" ht="18" customHeight="1">
      <x:c r="A4200" t="str">
        <x:v>CA-2016-124233</x:v>
      </x:c>
      <x:c r="B4200" s="18" t="n">
        <x:v>42468</x:v>
      </x:c>
      <x:c r="C4200" t="str">
        <x:v>CK-12595</x:v>
      </x:c>
      <x:c r="D4200" t="str">
        <x:v>Clytie Kelty</x:v>
      </x:c>
      <x:c r="E4200" t="str">
        <x:v>Consumer</x:v>
      </x:c>
      <x:c r="F4200" t="str">
        <x:v>West</x:v>
      </x:c>
      <x:c r="G4200" t="str">
        <x:v>Furniture</x:v>
      </x:c>
      <x:c r="H4200" t="str">
        <x:v>Furnishings</x:v>
      </x:c>
      <x:c r="I4200" s="22" t="n">
        <x:v>24.700000000000003</x:v>
      </x:c>
      <x:c r="J4200" s="24" t="n">
        <x:v>5</x:v>
      </x:c>
      <x:c r="K4200" s="26" t="n">
        <x:v>0</x:v>
      </x:c>
      <x:c r="L4200" s="22" t="n">
        <x:v>10.374</x:v>
      </x:c>
      <x:c r="M4200" t="n">
        <x:v>2016</x:v>
      </x:c>
      <x:c r="N4200" s="20" t="n">
        <x:v>42461</x:v>
      </x:c>
    </x:row>
    <x:row r="4201" ht="18" customHeight="1">
      <x:c r="A4201" t="str">
        <x:v>US-2015-134271</x:v>
      </x:c>
      <x:c r="B4201" s="18" t="n">
        <x:v>42112</x:v>
      </x:c>
      <x:c r="C4201" t="str">
        <x:v>RF-19735</x:v>
      </x:c>
      <x:c r="D4201" t="str">
        <x:v>Roland Fjeld</x:v>
      </x:c>
      <x:c r="E4201" t="str">
        <x:v>Consumer</x:v>
      </x:c>
      <x:c r="F4201" t="str">
        <x:v>East</x:v>
      </x:c>
      <x:c r="G4201" t="str">
        <x:v>Office Supplies</x:v>
      </x:c>
      <x:c r="H4201" t="str">
        <x:v>Labels</x:v>
      </x:c>
      <x:c r="I4201" s="22" t="n">
        <x:v>21.93</x:v>
      </x:c>
      <x:c r="J4201" s="24" t="n">
        <x:v>3</x:v>
      </x:c>
      <x:c r="K4201" s="26" t="n">
        <x:v>0</x:v>
      </x:c>
      <x:c r="L4201" s="22" t="n">
        <x:v>10.307099999999998</x:v>
      </x:c>
      <x:c r="M4201" t="n">
        <x:v>2015</x:v>
      </x:c>
      <x:c r="N4201" s="20" t="n">
        <x:v>42095</x:v>
      </x:c>
    </x:row>
    <x:row r="4202" ht="18" customHeight="1">
      <x:c r="A4202" t="str">
        <x:v>US-2016-161683</x:v>
      </x:c>
      <x:c r="B4202" s="18" t="n">
        <x:v>42707</x:v>
      </x:c>
      <x:c r="C4202" t="str">
        <x:v>CJ-12010</x:v>
      </x:c>
      <x:c r="D4202" t="str">
        <x:v>Caroline Jumper</x:v>
      </x:c>
      <x:c r="E4202" t="str">
        <x:v>Consumer</x:v>
      </x:c>
      <x:c r="F4202" t="str">
        <x:v>East</x:v>
      </x:c>
      <x:c r="G4202" t="str">
        <x:v>Office Supplies</x:v>
      </x:c>
      <x:c r="H4202" t="str">
        <x:v>Appliances</x:v>
      </x:c>
      <x:c r="I4202" s="22" t="n">
        <x:v>394.81600000000003</x:v>
      </x:c>
      <x:c r="J4202" s="24" t="n">
        <x:v>4</x:v>
      </x:c>
      <x:c r="K4202" s="26" t="n">
        <x:v>0.2</x:v>
      </x:c>
      <x:c r="L4202" s="22" t="n">
        <x:v>93.7688</x:v>
      </x:c>
      <x:c r="M4202" t="n">
        <x:v>2016</x:v>
      </x:c>
      <x:c r="N4202" s="20" t="n">
        <x:v>42705</x:v>
      </x:c>
    </x:row>
    <x:row r="4203" ht="18" customHeight="1">
      <x:c r="A4203" t="str">
        <x:v>US-2016-161683</x:v>
      </x:c>
      <x:c r="B4203" s="18" t="n">
        <x:v>42707</x:v>
      </x:c>
      <x:c r="C4203" t="str">
        <x:v>CJ-12010</x:v>
      </x:c>
      <x:c r="D4203" t="str">
        <x:v>Caroline Jumper</x:v>
      </x:c>
      <x:c r="E4203" t="str">
        <x:v>Consumer</x:v>
      </x:c>
      <x:c r="F4203" t="str">
        <x:v>East</x:v>
      </x:c>
      <x:c r="G4203" t="str">
        <x:v>Office Supplies</x:v>
      </x:c>
      <x:c r="H4203" t="str">
        <x:v>Binders</x:v>
      </x:c>
      <x:c r="I4203" s="22" t="n">
        <x:v>18.192000000000004</x:v>
      </x:c>
      <x:c r="J4203" s="24" t="n">
        <x:v>4</x:v>
      </x:c>
      <x:c r="K4203" s="26" t="n">
        <x:v>0.7</x:v>
      </x:c>
      <x:c r="L4203" s="22" t="n">
        <x:v>-14.553600000000003</x:v>
      </x:c>
      <x:c r="M4203" t="n">
        <x:v>2016</x:v>
      </x:c>
      <x:c r="N4203" s="20" t="n">
        <x:v>42705</x:v>
      </x:c>
    </x:row>
    <x:row r="4204" ht="18" customHeight="1">
      <x:c r="A4204" t="str">
        <x:v>CA-2015-143105</x:v>
      </x:c>
      <x:c r="B4204" s="18" t="n">
        <x:v>42348</x:v>
      </x:c>
      <x:c r="C4204" t="str">
        <x:v>MA-17560</x:v>
      </x:c>
      <x:c r="D4204" t="str">
        <x:v>Matt Abelman</x:v>
      </x:c>
      <x:c r="E4204" t="str">
        <x:v>Home Office</x:v>
      </x:c>
      <x:c r="F4204" t="str">
        <x:v>East</x:v>
      </x:c>
      <x:c r="G4204" t="str">
        <x:v>Office Supplies</x:v>
      </x:c>
      <x:c r="H4204" t="str">
        <x:v>Labels</x:v>
      </x:c>
      <x:c r="I4204" s="22" t="n">
        <x:v>7.31</x:v>
      </x:c>
      <x:c r="J4204" s="24" t="n">
        <x:v>1</x:v>
      </x:c>
      <x:c r="K4204" s="26" t="n">
        <x:v>0</x:v>
      </x:c>
      <x:c r="L4204" s="22" t="n">
        <x:v>3.4356999999999998</x:v>
      </x:c>
      <x:c r="M4204" t="n">
        <x:v>2015</x:v>
      </x:c>
      <x:c r="N4204" s="20" t="n">
        <x:v>42339</x:v>
      </x:c>
    </x:row>
    <x:row r="4205" ht="18" customHeight="1">
      <x:c r="A4205" t="str">
        <x:v>CA-2015-143105</x:v>
      </x:c>
      <x:c r="B4205" s="18" t="n">
        <x:v>42348</x:v>
      </x:c>
      <x:c r="C4205" t="str">
        <x:v>MA-17560</x:v>
      </x:c>
      <x:c r="D4205" t="str">
        <x:v>Matt Abelman</x:v>
      </x:c>
      <x:c r="E4205" t="str">
        <x:v>Home Office</x:v>
      </x:c>
      <x:c r="F4205" t="str">
        <x:v>East</x:v>
      </x:c>
      <x:c r="G4205" t="str">
        <x:v>Technology</x:v>
      </x:c>
      <x:c r="H4205" t="str">
        <x:v>Copiers</x:v>
      </x:c>
      <x:c r="I4205" s="22" t="n">
        <x:v>799.984</x:v>
      </x:c>
      <x:c r="J4205" s="24" t="n">
        <x:v>2</x:v>
      </x:c>
      <x:c r="K4205" s="26" t="n">
        <x:v>0.2</x:v>
      </x:c>
      <x:c r="L4205" s="22" t="n">
        <x:v>249.99499999999998</x:v>
      </x:c>
      <x:c r="M4205" t="n">
        <x:v>2015</x:v>
      </x:c>
      <x:c r="N4205" s="20" t="n">
        <x:v>42339</x:v>
      </x:c>
    </x:row>
    <x:row r="4206" ht="18" customHeight="1">
      <x:c r="A4206" t="str">
        <x:v>CA-2015-143105</x:v>
      </x:c>
      <x:c r="B4206" s="18" t="n">
        <x:v>42348</x:v>
      </x:c>
      <x:c r="C4206" t="str">
        <x:v>MA-17560</x:v>
      </x:c>
      <x:c r="D4206" t="str">
        <x:v>Matt Abelman</x:v>
      </x:c>
      <x:c r="E4206" t="str">
        <x:v>Home Office</x:v>
      </x:c>
      <x:c r="F4206" t="str">
        <x:v>East</x:v>
      </x:c>
      <x:c r="G4206" t="str">
        <x:v>Office Supplies</x:v>
      </x:c>
      <x:c r="H4206" t="str">
        <x:v>Paper</x:v>
      </x:c>
      <x:c r="I4206" s="22" t="n">
        <x:v>41.28</x:v>
      </x:c>
      <x:c r="J4206" s="24" t="n">
        <x:v>6</x:v>
      </x:c>
      <x:c r="K4206" s="26" t="n">
        <x:v>0</x:v>
      </x:c>
      <x:c r="L4206" s="22" t="n">
        <x:v>18.988799999999998</x:v>
      </x:c>
      <x:c r="M4206" t="n">
        <x:v>2015</x:v>
      </x:c>
      <x:c r="N4206" s="20" t="n">
        <x:v>42339</x:v>
      </x:c>
    </x:row>
    <x:row r="4207" ht="18" customHeight="1">
      <x:c r="A4207" t="str">
        <x:v>CA-2015-143105</x:v>
      </x:c>
      <x:c r="B4207" s="18" t="n">
        <x:v>42348</x:v>
      </x:c>
      <x:c r="C4207" t="str">
        <x:v>MA-17560</x:v>
      </x:c>
      <x:c r="D4207" t="str">
        <x:v>Matt Abelman</x:v>
      </x:c>
      <x:c r="E4207" t="str">
        <x:v>Home Office</x:v>
      </x:c>
      <x:c r="F4207" t="str">
        <x:v>East</x:v>
      </x:c>
      <x:c r="G4207" t="str">
        <x:v>Office Supplies</x:v>
      </x:c>
      <x:c r="H4207" t="str">
        <x:v>Paper</x:v>
      </x:c>
      <x:c r="I4207" s="22" t="n">
        <x:v>184.66</x:v>
      </x:c>
      <x:c r="J4207" s="24" t="n">
        <x:v>7</x:v>
      </x:c>
      <x:c r="K4207" s="26" t="n">
        <x:v>0</x:v>
      </x:c>
      <x:c r="L4207" s="22" t="n">
        <x:v>84.94359999999999</x:v>
      </x:c>
      <x:c r="M4207" t="n">
        <x:v>2015</x:v>
      </x:c>
      <x:c r="N4207" s="20" t="n">
        <x:v>42339</x:v>
      </x:c>
    </x:row>
    <x:row r="4208" ht="18" customHeight="1">
      <x:c r="A4208" t="str">
        <x:v>CA-2014-145387</x:v>
      </x:c>
      <x:c r="B4208" s="18" t="n">
        <x:v>41943</x:v>
      </x:c>
      <x:c r="C4208" t="str">
        <x:v>AM-10705</x:v>
      </x:c>
      <x:c r="D4208" t="str">
        <x:v>Anne McFarland</x:v>
      </x:c>
      <x:c r="E4208" t="str">
        <x:v>Consumer</x:v>
      </x:c>
      <x:c r="F4208" t="str">
        <x:v>East</x:v>
      </x:c>
      <x:c r="G4208" t="str">
        <x:v>Office Supplies</x:v>
      </x:c>
      <x:c r="H4208" t="str">
        <x:v>Art</x:v>
      </x:c>
      <x:c r="I4208" s="22" t="n">
        <x:v>49.25</x:v>
      </x:c>
      <x:c r="J4208" s="24" t="n">
        <x:v>5</x:v>
      </x:c>
      <x:c r="K4208" s="26" t="n">
        <x:v>0</x:v>
      </x:c>
      <x:c r="L4208" s="22" t="n">
        <x:v>18.715000000000003</x:v>
      </x:c>
      <x:c r="M4208" t="n">
        <x:v>2014</x:v>
      </x:c>
      <x:c r="N4208" s="20" t="n">
        <x:v>41913</x:v>
      </x:c>
    </x:row>
    <x:row r="4209" ht="18" customHeight="1">
      <x:c r="A4209" t="str">
        <x:v>CA-2014-145387</x:v>
      </x:c>
      <x:c r="B4209" s="18" t="n">
        <x:v>41943</x:v>
      </x:c>
      <x:c r="C4209" t="str">
        <x:v>AM-10705</x:v>
      </x:c>
      <x:c r="D4209" t="str">
        <x:v>Anne McFarland</x:v>
      </x:c>
      <x:c r="E4209" t="str">
        <x:v>Consumer</x:v>
      </x:c>
      <x:c r="F4209" t="str">
        <x:v>East</x:v>
      </x:c>
      <x:c r="G4209" t="str">
        <x:v>Office Supplies</x:v>
      </x:c>
      <x:c r="H4209" t="str">
        <x:v>Paper</x:v>
      </x:c>
      <x:c r="I4209" s="22" t="n">
        <x:v>10.16</x:v>
      </x:c>
      <x:c r="J4209" s="24" t="n">
        <x:v>2</x:v>
      </x:c>
      <x:c r="K4209" s="26" t="n">
        <x:v>0</x:v>
      </x:c>
      <x:c r="L4209" s="22" t="n">
        <x:v>4.7752</x:v>
      </x:c>
      <x:c r="M4209" t="n">
        <x:v>2014</x:v>
      </x:c>
      <x:c r="N4209" s="20" t="n">
        <x:v>41913</x:v>
      </x:c>
    </x:row>
    <x:row r="4210" ht="18" customHeight="1">
      <x:c r="A4210" t="str">
        <x:v>CA-2014-145387</x:v>
      </x:c>
      <x:c r="B4210" s="18" t="n">
        <x:v>41943</x:v>
      </x:c>
      <x:c r="C4210" t="str">
        <x:v>AM-10705</x:v>
      </x:c>
      <x:c r="D4210" t="str">
        <x:v>Anne McFarland</x:v>
      </x:c>
      <x:c r="E4210" t="str">
        <x:v>Consumer</x:v>
      </x:c>
      <x:c r="F4210" t="str">
        <x:v>East</x:v>
      </x:c>
      <x:c r="G4210" t="str">
        <x:v>Furniture</x:v>
      </x:c>
      <x:c r="H4210" t="str">
        <x:v>Furnishings</x:v>
      </x:c>
      <x:c r="I4210" s="22" t="n">
        <x:v>14.76</x:v>
      </x:c>
      <x:c r="J4210" s="24" t="n">
        <x:v>2</x:v>
      </x:c>
      <x:c r="K4210" s="26" t="n">
        <x:v>0</x:v>
      </x:c>
      <x:c r="L4210" s="22" t="n">
        <x:v>4.280399999999998</x:v>
      </x:c>
      <x:c r="M4210" t="n">
        <x:v>2014</x:v>
      </x:c>
      <x:c r="N4210" s="20" t="n">
        <x:v>41913</x:v>
      </x:c>
    </x:row>
    <x:row r="4211" ht="18" customHeight="1">
      <x:c r="A4211" t="str">
        <x:v>CA-2014-145387</x:v>
      </x:c>
      <x:c r="B4211" s="18" t="n">
        <x:v>41943</x:v>
      </x:c>
      <x:c r="C4211" t="str">
        <x:v>AM-10705</x:v>
      </x:c>
      <x:c r="D4211" t="str">
        <x:v>Anne McFarland</x:v>
      </x:c>
      <x:c r="E4211" t="str">
        <x:v>Consumer</x:v>
      </x:c>
      <x:c r="F4211" t="str">
        <x:v>East</x:v>
      </x:c>
      <x:c r="G4211" t="str">
        <x:v>Office Supplies</x:v>
      </x:c>
      <x:c r="H4211" t="str">
        <x:v>Binders</x:v>
      </x:c>
      <x:c r="I4211" s="22" t="n">
        <x:v>34.08</x:v>
      </x:c>
      <x:c r="J4211" s="24" t="n">
        <x:v>2</x:v>
      </x:c>
      <x:c r="K4211" s="26" t="n">
        <x:v>0</x:v>
      </x:c>
      <x:c r="L4211" s="22" t="n">
        <x:v>15.676799999999997</x:v>
      </x:c>
      <x:c r="M4211" t="n">
        <x:v>2014</x:v>
      </x:c>
      <x:c r="N4211" s="20" t="n">
        <x:v>41913</x:v>
      </x:c>
    </x:row>
    <x:row r="4212" ht="18" customHeight="1">
      <x:c r="A4212" t="str">
        <x:v>CA-2014-145387</x:v>
      </x:c>
      <x:c r="B4212" s="18" t="n">
        <x:v>41943</x:v>
      </x:c>
      <x:c r="C4212" t="str">
        <x:v>AM-10705</x:v>
      </x:c>
      <x:c r="D4212" t="str">
        <x:v>Anne McFarland</x:v>
      </x:c>
      <x:c r="E4212" t="str">
        <x:v>Consumer</x:v>
      </x:c>
      <x:c r="F4212" t="str">
        <x:v>East</x:v>
      </x:c>
      <x:c r="G4212" t="str">
        <x:v>Furniture</x:v>
      </x:c>
      <x:c r="H4212" t="str">
        <x:v>Furnishings</x:v>
      </x:c>
      <x:c r="I4212" s="22" t="n">
        <x:v>17.669999999999998</x:v>
      </x:c>
      <x:c r="J4212" s="24" t="n">
        <x:v>3</x:v>
      </x:c>
      <x:c r="K4212" s="26" t="n">
        <x:v>0</x:v>
      </x:c>
      <x:c r="L4212" s="22" t="n">
        <x:v>7.774800000000001</x:v>
      </x:c>
      <x:c r="M4212" t="n">
        <x:v>2014</x:v>
      </x:c>
      <x:c r="N4212" s="20" t="n">
        <x:v>41913</x:v>
      </x:c>
    </x:row>
    <x:row r="4213" ht="18" customHeight="1">
      <x:c r="A4213" t="str">
        <x:v>CA-2014-145387</x:v>
      </x:c>
      <x:c r="B4213" s="18" t="n">
        <x:v>41943</x:v>
      </x:c>
      <x:c r="C4213" t="str">
        <x:v>AM-10705</x:v>
      </x:c>
      <x:c r="D4213" t="str">
        <x:v>Anne McFarland</x:v>
      </x:c>
      <x:c r="E4213" t="str">
        <x:v>Consumer</x:v>
      </x:c>
      <x:c r="F4213" t="str">
        <x:v>East</x:v>
      </x:c>
      <x:c r="G4213" t="str">
        <x:v>Furniture</x:v>
      </x:c>
      <x:c r="H4213" t="str">
        <x:v>Chairs</x:v>
      </x:c>
      <x:c r="I4213" s="22" t="n">
        <x:v>1604.9</x:v>
      </x:c>
      <x:c r="J4213" s="24" t="n">
        <x:v>5</x:v>
      </x:c>
      <x:c r="K4213" s="26" t="n">
        <x:v>0</x:v>
      </x:c>
      <x:c r="L4213" s="22" t="n">
        <x:v>481.4699999999999</x:v>
      </x:c>
      <x:c r="M4213" t="n">
        <x:v>2014</x:v>
      </x:c>
      <x:c r="N4213" s="20" t="n">
        <x:v>41913</x:v>
      </x:c>
    </x:row>
    <x:row r="4214" ht="18" customHeight="1">
      <x:c r="A4214" t="str">
        <x:v>CA-2014-145387</x:v>
      </x:c>
      <x:c r="B4214" s="18" t="n">
        <x:v>41943</x:v>
      </x:c>
      <x:c r="C4214" t="str">
        <x:v>AM-10705</x:v>
      </x:c>
      <x:c r="D4214" t="str">
        <x:v>Anne McFarland</x:v>
      </x:c>
      <x:c r="E4214" t="str">
        <x:v>Consumer</x:v>
      </x:c>
      <x:c r="F4214" t="str">
        <x:v>East</x:v>
      </x:c>
      <x:c r="G4214" t="str">
        <x:v>Furniture</x:v>
      </x:c>
      <x:c r="H4214" t="str">
        <x:v>Tables</x:v>
      </x:c>
      <x:c r="I4214" s="22" t="n">
        <x:v>385.686</x:v>
      </x:c>
      <x:c r="J4214" s="24" t="n">
        <x:v>1</x:v>
      </x:c>
      <x:c r="K4214" s="26" t="n">
        <x:v>0.3</x:v>
      </x:c>
      <x:c r="L4214" s="22" t="n">
        <x:v>-60.607800000000026</x:v>
      </x:c>
      <x:c r="M4214" t="n">
        <x:v>2014</x:v>
      </x:c>
      <x:c r="N4214" s="20" t="n">
        <x:v>41913</x:v>
      </x:c>
    </x:row>
    <x:row r="4215" ht="18" customHeight="1">
      <x:c r="A4215" t="str">
        <x:v>CA-2017-109715</x:v>
      </x:c>
      <x:c r="B4215" s="18" t="n">
        <x:v>43078</x:v>
      </x:c>
      <x:c r="C4215" t="str">
        <x:v>AH-10585</x:v>
      </x:c>
      <x:c r="D4215" t="str">
        <x:v>Angele Hood</x:v>
      </x:c>
      <x:c r="E4215" t="str">
        <x:v>Consumer</x:v>
      </x:c>
      <x:c r="F4215" t="str">
        <x:v>Central</x:v>
      </x:c>
      <x:c r="G4215" t="str">
        <x:v>Office Supplies</x:v>
      </x:c>
      <x:c r="H4215" t="str">
        <x:v>Paper</x:v>
      </x:c>
      <x:c r="I4215" s="22" t="n">
        <x:v>15.984000000000002</x:v>
      </x:c>
      <x:c r="J4215" s="24" t="n">
        <x:v>2</x:v>
      </x:c>
      <x:c r="K4215" s="26" t="n">
        <x:v>0.2</x:v>
      </x:c>
      <x:c r="L4215" s="22" t="n">
        <x:v>4.994999999999999</x:v>
      </x:c>
      <x:c r="M4215" t="n">
        <x:v>2017</x:v>
      </x:c>
      <x:c r="N4215" s="20" t="n">
        <x:v>43070</x:v>
      </x:c>
    </x:row>
    <x:row r="4216" ht="18" customHeight="1">
      <x:c r="A4216" t="str">
        <x:v>CA-2014-166457</x:v>
      </x:c>
      <x:c r="B4216" s="18" t="n">
        <x:v>41764</x:v>
      </x:c>
      <x:c r="C4216" t="str">
        <x:v>PF-19120</x:v>
      </x:c>
      <x:c r="D4216" t="str">
        <x:v>Peter Fuller</x:v>
      </x:c>
      <x:c r="E4216" t="str">
        <x:v>Consumer</x:v>
      </x:c>
      <x:c r="F4216" t="str">
        <x:v>South</x:v>
      </x:c>
      <x:c r="G4216" t="str">
        <x:v>Office Supplies</x:v>
      </x:c>
      <x:c r="H4216" t="str">
        <x:v>Paper</x:v>
      </x:c>
      <x:c r="I4216" s="22" t="n">
        <x:v>9.42</x:v>
      </x:c>
      <x:c r="J4216" s="24" t="n">
        <x:v>3</x:v>
      </x:c>
      <x:c r="K4216" s="26" t="n">
        <x:v>0</x:v>
      </x:c>
      <x:c r="L4216" s="22" t="n">
        <x:v>4.238999999999999</x:v>
      </x:c>
      <x:c r="M4216" t="n">
        <x:v>2014</x:v>
      </x:c>
      <x:c r="N4216" s="20" t="n">
        <x:v>41760</x:v>
      </x:c>
    </x:row>
    <x:row r="4217" ht="18" customHeight="1">
      <x:c r="A4217" t="str">
        <x:v>CA-2014-166457</x:v>
      </x:c>
      <x:c r="B4217" s="18" t="n">
        <x:v>41764</x:v>
      </x:c>
      <x:c r="C4217" t="str">
        <x:v>PF-19120</x:v>
      </x:c>
      <x:c r="D4217" t="str">
        <x:v>Peter Fuller</x:v>
      </x:c>
      <x:c r="E4217" t="str">
        <x:v>Consumer</x:v>
      </x:c>
      <x:c r="F4217" t="str">
        <x:v>South</x:v>
      </x:c>
      <x:c r="G4217" t="str">
        <x:v>Office Supplies</x:v>
      </x:c>
      <x:c r="H4217" t="str">
        <x:v>Art</x:v>
      </x:c>
      <x:c r="I4217" s="22" t="n">
        <x:v>6.56</x:v>
      </x:c>
      <x:c r="J4217" s="24" t="n">
        <x:v>2</x:v>
      </x:c>
      <x:c r="K4217" s="26" t="n">
        <x:v>0</x:v>
      </x:c>
      <x:c r="L4217" s="22" t="n">
        <x:v>1.9023999999999992</x:v>
      </x:c>
      <x:c r="M4217" t="n">
        <x:v>2014</x:v>
      </x:c>
      <x:c r="N4217" s="20" t="n">
        <x:v>41760</x:v>
      </x:c>
    </x:row>
    <x:row r="4218" ht="18" customHeight="1">
      <x:c r="A4218" t="str">
        <x:v>CA-2014-166457</x:v>
      </x:c>
      <x:c r="B4218" s="18" t="n">
        <x:v>41764</x:v>
      </x:c>
      <x:c r="C4218" t="str">
        <x:v>PF-19120</x:v>
      </x:c>
      <x:c r="D4218" t="str">
        <x:v>Peter Fuller</x:v>
      </x:c>
      <x:c r="E4218" t="str">
        <x:v>Consumer</x:v>
      </x:c>
      <x:c r="F4218" t="str">
        <x:v>South</x:v>
      </x:c>
      <x:c r="G4218" t="str">
        <x:v>Office Supplies</x:v>
      </x:c>
      <x:c r="H4218" t="str">
        <x:v>Paper</x:v>
      </x:c>
      <x:c r="I4218" s="22" t="n">
        <x:v>24.56</x:v>
      </x:c>
      <x:c r="J4218" s="24" t="n">
        <x:v>2</x:v>
      </x:c>
      <x:c r="K4218" s="26" t="n">
        <x:v>0</x:v>
      </x:c>
      <x:c r="L4218" s="22" t="n">
        <x:v>11.543199999999999</x:v>
      </x:c>
      <x:c r="M4218" t="n">
        <x:v>2014</x:v>
      </x:c>
      <x:c r="N4218" s="20" t="n">
        <x:v>41760</x:v>
      </x:c>
    </x:row>
    <x:row r="4219" ht="18" customHeight="1">
      <x:c r="A4219" t="str">
        <x:v>CA-2016-164637</x:v>
      </x:c>
      <x:c r="B4219" s="18" t="n">
        <x:v>42433</x:v>
      </x:c>
      <x:c r="C4219" t="str">
        <x:v>RD-19480</x:v>
      </x:c>
      <x:c r="D4219" t="str">
        <x:v>Rick Duston</x:v>
      </x:c>
      <x:c r="E4219" t="str">
        <x:v>Consumer</x:v>
      </x:c>
      <x:c r="F4219" t="str">
        <x:v>Central</x:v>
      </x:c>
      <x:c r="G4219" t="str">
        <x:v>Office Supplies</x:v>
      </x:c>
      <x:c r="H4219" t="str">
        <x:v>Binders</x:v>
      </x:c>
      <x:c r="I4219" s="22" t="n">
        <x:v>128.39999999999998</x:v>
      </x:c>
      <x:c r="J4219" s="24" t="n">
        <x:v>3</x:v>
      </x:c>
      <x:c r="K4219" s="26" t="n">
        <x:v>0</x:v>
      </x:c>
      <x:c r="L4219" s="22" t="n">
        <x:v>64.19999999999999</x:v>
      </x:c>
      <x:c r="M4219" t="n">
        <x:v>2016</x:v>
      </x:c>
      <x:c r="N4219" s="20" t="n">
        <x:v>42430</x:v>
      </x:c>
    </x:row>
    <x:row r="4220" ht="18" customHeight="1">
      <x:c r="A4220" t="str">
        <x:v>CA-2014-103590</x:v>
      </x:c>
      <x:c r="B4220" s="18" t="n">
        <x:v>41973</x:v>
      </x:c>
      <x:c r="C4220" t="str">
        <x:v>JL-15505</x:v>
      </x:c>
      <x:c r="D4220" t="str">
        <x:v>Jeremy Lonsdale</x:v>
      </x:c>
      <x:c r="E4220" t="str">
        <x:v>Consumer</x:v>
      </x:c>
      <x:c r="F4220" t="str">
        <x:v>East</x:v>
      </x:c>
      <x:c r="G4220" t="str">
        <x:v>Office Supplies</x:v>
      </x:c>
      <x:c r="H4220" t="str">
        <x:v>Envelopes</x:v>
      </x:c>
      <x:c r="I4220" s="22" t="n">
        <x:v>62.28</x:v>
      </x:c>
      <x:c r="J4220" s="24" t="n">
        <x:v>4</x:v>
      </x:c>
      <x:c r="K4220" s="26" t="n">
        <x:v>0</x:v>
      </x:c>
      <x:c r="L4220" s="22" t="n">
        <x:v>29.2716</x:v>
      </x:c>
      <x:c r="M4220" t="n">
        <x:v>2014</x:v>
      </x:c>
      <x:c r="N4220" s="20" t="n">
        <x:v>41944</x:v>
      </x:c>
    </x:row>
    <x:row r="4221" ht="18" customHeight="1">
      <x:c r="A4221" t="str">
        <x:v>CA-2015-111234</x:v>
      </x:c>
      <x:c r="B4221" s="18" t="n">
        <x:v>42053</x:v>
      </x:c>
      <x:c r="C4221" t="str">
        <x:v>AB-10600</x:v>
      </x:c>
      <x:c r="D4221" t="str">
        <x:v>Ann Blume</x:v>
      </x:c>
      <x:c r="E4221" t="str">
        <x:v>Corporate</x:v>
      </x:c>
      <x:c r="F4221" t="str">
        <x:v>West</x:v>
      </x:c>
      <x:c r="G4221" t="str">
        <x:v>Office Supplies</x:v>
      </x:c>
      <x:c r="H4221" t="str">
        <x:v>Labels</x:v>
      </x:c>
      <x:c r="I4221" s="22" t="n">
        <x:v>9.24</x:v>
      </x:c>
      <x:c r="J4221" s="24" t="n">
        <x:v>3</x:v>
      </x:c>
      <x:c r="K4221" s="26" t="n">
        <x:v>0</x:v>
      </x:c>
      <x:c r="L4221" s="22" t="n">
        <x:v>4.4352</x:v>
      </x:c>
      <x:c r="M4221" t="n">
        <x:v>2015</x:v>
      </x:c>
      <x:c r="N4221" s="20" t="n">
        <x:v>42036</x:v>
      </x:c>
    </x:row>
    <x:row r="4222" ht="18" customHeight="1">
      <x:c r="A4222" t="str">
        <x:v>CA-2017-149881</x:v>
      </x:c>
      <x:c r="B4222" s="18" t="n">
        <x:v>42826</x:v>
      </x:c>
      <x:c r="C4222" t="str">
        <x:v>NC-18535</x:v>
      </x:c>
      <x:c r="D4222" t="str">
        <x:v>Nick Crebassa</x:v>
      </x:c>
      <x:c r="E4222" t="str">
        <x:v>Corporate</x:v>
      </x:c>
      <x:c r="F4222" t="str">
        <x:v>West</x:v>
      </x:c>
      <x:c r="G4222" t="str">
        <x:v>Furniture</x:v>
      </x:c>
      <x:c r="H4222" t="str">
        <x:v>Bookcases</x:v>
      </x:c>
      <x:c r="I4222" s="22" t="n">
        <x:v>482.664</x:v>
      </x:c>
      <x:c r="J4222" s="24" t="n">
        <x:v>8</x:v>
      </x:c>
      <x:c r="K4222" s="26" t="n">
        <x:v>0.15</x:v>
      </x:c>
      <x:c r="L4222" s="22" t="n">
        <x:v>85.17599999999997</x:v>
      </x:c>
      <x:c r="M4222" t="n">
        <x:v>2017</x:v>
      </x:c>
      <x:c r="N4222" s="20" t="n">
        <x:v>42826</x:v>
      </x:c>
    </x:row>
    <x:row r="4223" ht="18" customHeight="1">
      <x:c r="A4223" t="str">
        <x:v>CA-2017-149881</x:v>
      </x:c>
      <x:c r="B4223" s="18" t="n">
        <x:v>42826</x:v>
      </x:c>
      <x:c r="C4223" t="str">
        <x:v>NC-18535</x:v>
      </x:c>
      <x:c r="D4223" t="str">
        <x:v>Nick Crebassa</x:v>
      </x:c>
      <x:c r="E4223" t="str">
        <x:v>Corporate</x:v>
      </x:c>
      <x:c r="F4223" t="str">
        <x:v>West</x:v>
      </x:c>
      <x:c r="G4223" t="str">
        <x:v>Technology</x:v>
      </x:c>
      <x:c r="H4223" t="str">
        <x:v>Machines</x:v>
      </x:c>
      <x:c r="I4223" s="22" t="n">
        <x:v>4799.9839999999995</x:v>
      </x:c>
      <x:c r="J4223" s="24" t="n">
        <x:v>2</x:v>
      </x:c>
      <x:c r="K4223" s="26" t="n">
        <x:v>0.2</x:v>
      </x:c>
      <x:c r="L4223" s="22" t="n">
        <x:v>359.9987999999996</x:v>
      </x:c>
      <x:c r="M4223" t="n">
        <x:v>2017</x:v>
      </x:c>
      <x:c r="N4223" s="20" t="n">
        <x:v>42826</x:v>
      </x:c>
    </x:row>
    <x:row r="4224" ht="18" customHeight="1">
      <x:c r="A4224" t="str">
        <x:v>CA-2017-134565</x:v>
      </x:c>
      <x:c r="B4224" s="18" t="n">
        <x:v>42897</x:v>
      </x:c>
      <x:c r="C4224" t="str">
        <x:v>TB-21400</x:v>
      </x:c>
      <x:c r="D4224" t="str">
        <x:v>Tom Boeckenhauer</x:v>
      </x:c>
      <x:c r="E4224" t="str">
        <x:v>Consumer</x:v>
      </x:c>
      <x:c r="F4224" t="str">
        <x:v>West</x:v>
      </x:c>
      <x:c r="G4224" t="str">
        <x:v>Office Supplies</x:v>
      </x:c>
      <x:c r="H4224" t="str">
        <x:v>Paper</x:v>
      </x:c>
      <x:c r="I4224" s="22" t="n">
        <x:v>37.94</x:v>
      </x:c>
      <x:c r="J4224" s="24" t="n">
        <x:v>2</x:v>
      </x:c>
      <x:c r="K4224" s="26" t="n">
        <x:v>0</x:v>
      </x:c>
      <x:c r="L4224" s="22" t="n">
        <x:v>18.211199999999998</x:v>
      </x:c>
      <x:c r="M4224" t="n">
        <x:v>2017</x:v>
      </x:c>
      <x:c r="N4224" s="20" t="n">
        <x:v>42887</x:v>
      </x:c>
    </x:row>
    <x:row r="4225" ht="18" customHeight="1">
      <x:c r="A4225" t="str">
        <x:v>CA-2017-134565</x:v>
      </x:c>
      <x:c r="B4225" s="18" t="n">
        <x:v>42897</x:v>
      </x:c>
      <x:c r="C4225" t="str">
        <x:v>TB-21400</x:v>
      </x:c>
      <x:c r="D4225" t="str">
        <x:v>Tom Boeckenhauer</x:v>
      </x:c>
      <x:c r="E4225" t="str">
        <x:v>Consumer</x:v>
      </x:c>
      <x:c r="F4225" t="str">
        <x:v>West</x:v>
      </x:c>
      <x:c r="G4225" t="str">
        <x:v>Office Supplies</x:v>
      </x:c>
      <x:c r="H4225" t="str">
        <x:v>Binders</x:v>
      </x:c>
      <x:c r="I4225" s="22" t="n">
        <x:v>18.288</x:v>
      </x:c>
      <x:c r="J4225" s="24" t="n">
        <x:v>6</x:v>
      </x:c>
      <x:c r="K4225" s="26" t="n">
        <x:v>0.2</x:v>
      </x:c>
      <x:c r="L4225" s="22" t="n">
        <x:v>6.6293999999999995</x:v>
      </x:c>
      <x:c r="M4225" t="n">
        <x:v>2017</x:v>
      </x:c>
      <x:c r="N4225" s="20" t="n">
        <x:v>42887</x:v>
      </x:c>
    </x:row>
    <x:row r="4226" ht="18" customHeight="1">
      <x:c r="A4226" t="str">
        <x:v>CA-2017-134565</x:v>
      </x:c>
      <x:c r="B4226" s="18" t="n">
        <x:v>42897</x:v>
      </x:c>
      <x:c r="C4226" t="str">
        <x:v>TB-21400</x:v>
      </x:c>
      <x:c r="D4226" t="str">
        <x:v>Tom Boeckenhauer</x:v>
      </x:c>
      <x:c r="E4226" t="str">
        <x:v>Consumer</x:v>
      </x:c>
      <x:c r="F4226" t="str">
        <x:v>West</x:v>
      </x:c>
      <x:c r="G4226" t="str">
        <x:v>Technology</x:v>
      </x:c>
      <x:c r="H4226" t="str">
        <x:v>Machines</x:v>
      </x:c>
      <x:c r="I4226" s="22" t="n">
        <x:v>385.80000000000007</x:v>
      </x:c>
      <x:c r="J4226" s="24" t="n">
        <x:v>5</x:v>
      </x:c>
      <x:c r="K4226" s="26" t="n">
        <x:v>0.2</x:v>
      </x:c>
      <x:c r="L4226" s="22" t="n">
        <x:v>130.20749999999998</x:v>
      </x:c>
      <x:c r="M4226" t="n">
        <x:v>2017</x:v>
      </x:c>
      <x:c r="N4226" s="20" t="n">
        <x:v>42887</x:v>
      </x:c>
    </x:row>
    <x:row r="4227" ht="18" customHeight="1">
      <x:c r="A4227" t="str">
        <x:v>CA-2017-134565</x:v>
      </x:c>
      <x:c r="B4227" s="18" t="n">
        <x:v>42897</x:v>
      </x:c>
      <x:c r="C4227" t="str">
        <x:v>TB-21400</x:v>
      </x:c>
      <x:c r="D4227" t="str">
        <x:v>Tom Boeckenhauer</x:v>
      </x:c>
      <x:c r="E4227" t="str">
        <x:v>Consumer</x:v>
      </x:c>
      <x:c r="F4227" t="str">
        <x:v>West</x:v>
      </x:c>
      <x:c r="G4227" t="str">
        <x:v>Office Supplies</x:v>
      </x:c>
      <x:c r="H4227" t="str">
        <x:v>Storage</x:v>
      </x:c>
      <x:c r="I4227" s="22" t="n">
        <x:v>102.96</x:v>
      </x:c>
      <x:c r="J4227" s="24" t="n">
        <x:v>2</x:v>
      </x:c>
      <x:c r="K4227" s="26" t="n">
        <x:v>0</x:v>
      </x:c>
      <x:c r="L4227" s="22" t="n">
        <x:v>1.029600000000002</x:v>
      </x:c>
      <x:c r="M4227" t="n">
        <x:v>2017</x:v>
      </x:c>
      <x:c r="N4227" s="20" t="n">
        <x:v>42887</x:v>
      </x:c>
    </x:row>
    <x:row r="4228" ht="18" customHeight="1">
      <x:c r="A4228" t="str">
        <x:v>CA-2017-134565</x:v>
      </x:c>
      <x:c r="B4228" s="18" t="n">
        <x:v>42897</x:v>
      </x:c>
      <x:c r="C4228" t="str">
        <x:v>TB-21400</x:v>
      </x:c>
      <x:c r="D4228" t="str">
        <x:v>Tom Boeckenhauer</x:v>
      </x:c>
      <x:c r="E4228" t="str">
        <x:v>Consumer</x:v>
      </x:c>
      <x:c r="F4228" t="str">
        <x:v>West</x:v>
      </x:c>
      <x:c r="G4228" t="str">
        <x:v>Furniture</x:v>
      </x:c>
      <x:c r="H4228" t="str">
        <x:v>Bookcases</x:v>
      </x:c>
      <x:c r="I4228" s="22" t="n">
        <x:v>174.42000000000002</x:v>
      </x:c>
      <x:c r="J4228" s="24" t="n">
        <x:v>3</x:v>
      </x:c>
      <x:c r="K4228" s="26" t="n">
        <x:v>0</x:v>
      </x:c>
      <x:c r="L4228" s="22" t="n">
        <x:v>41.860800000000005</x:v>
      </x:c>
      <x:c r="M4228" t="n">
        <x:v>2017</x:v>
      </x:c>
      <x:c r="N4228" s="20" t="n">
        <x:v>42887</x:v>
      </x:c>
    </x:row>
    <x:row r="4229" ht="18" customHeight="1">
      <x:c r="A4229" t="str">
        <x:v>CA-2016-108644</x:v>
      </x:c>
      <x:c r="B4229" s="18" t="n">
        <x:v>42643</x:v>
      </x:c>
      <x:c r="C4229" t="str">
        <x:v>SJ-20215</x:v>
      </x:c>
      <x:c r="D4229" t="str">
        <x:v>Sarah Jordon</x:v>
      </x:c>
      <x:c r="E4229" t="str">
        <x:v>Consumer</x:v>
      </x:c>
      <x:c r="F4229" t="str">
        <x:v>Central</x:v>
      </x:c>
      <x:c r="G4229" t="str">
        <x:v>Office Supplies</x:v>
      </x:c>
      <x:c r="H4229" t="str">
        <x:v>Binders</x:v>
      </x:c>
      <x:c r="I4229" s="22" t="n">
        <x:v>1.9639999999999995</x:v>
      </x:c>
      <x:c r="J4229" s="24" t="n">
        <x:v>2</x:v>
      </x:c>
      <x:c r="K4229" s="26" t="n">
        <x:v>0.8</x:v>
      </x:c>
      <x:c r="L4229" s="22" t="n">
        <x:v>-3.2406000000000006</x:v>
      </x:c>
      <x:c r="M4229" t="n">
        <x:v>2016</x:v>
      </x:c>
      <x:c r="N4229" s="20" t="n">
        <x:v>42614</x:v>
      </x:c>
    </x:row>
    <x:row r="4230" ht="18" customHeight="1">
      <x:c r="A4230" t="str">
        <x:v>US-2014-102631</x:v>
      </x:c>
      <x:c r="B4230" s="18" t="n">
        <x:v>41986</x:v>
      </x:c>
      <x:c r="C4230" t="str">
        <x:v>EB-13840</x:v>
      </x:c>
      <x:c r="D4230" t="str">
        <x:v>Ellis Ballard</x:v>
      </x:c>
      <x:c r="E4230" t="str">
        <x:v>Corporate</x:v>
      </x:c>
      <x:c r="F4230" t="str">
        <x:v>Central</x:v>
      </x:c>
      <x:c r="G4230" t="str">
        <x:v>Furniture</x:v>
      </x:c>
      <x:c r="H4230" t="str">
        <x:v>Furnishings</x:v>
      </x:c>
      <x:c r="I4230" s="22" t="n">
        <x:v>94.428</x:v>
      </x:c>
      <x:c r="J4230" s="24" t="n">
        <x:v>3</x:v>
      </x:c>
      <x:c r="K4230" s="26" t="n">
        <x:v>0.6</x:v>
      </x:c>
      <x:c r="L4230" s="22" t="n">
        <x:v>-42.49259999999998</x:v>
      </x:c>
      <x:c r="M4230" t="n">
        <x:v>2014</x:v>
      </x:c>
      <x:c r="N4230" s="20" t="n">
        <x:v>41974</x:v>
      </x:c>
    </x:row>
    <x:row r="4231" ht="18" customHeight="1">
      <x:c r="A4231" t="str">
        <x:v>CA-2017-120327</x:v>
      </x:c>
      <x:c r="B4231" s="18" t="n">
        <x:v>43050</x:v>
      </x:c>
      <x:c r="C4231" t="str">
        <x:v>WB-21850</x:v>
      </x:c>
      <x:c r="D4231" t="str">
        <x:v>William Brown</x:v>
      </x:c>
      <x:c r="E4231" t="str">
        <x:v>Consumer</x:v>
      </x:c>
      <x:c r="F4231" t="str">
        <x:v>Central</x:v>
      </x:c>
      <x:c r="G4231" t="str">
        <x:v>Office Supplies</x:v>
      </x:c>
      <x:c r="H4231" t="str">
        <x:v>Fasteners</x:v>
      </x:c>
      <x:c r="I4231" s="22" t="n">
        <x:v>45.92</x:v>
      </x:c>
      <x:c r="J4231" s="24" t="n">
        <x:v>4</x:v>
      </x:c>
      <x:c r="K4231" s="26" t="n">
        <x:v>0</x:v>
      </x:c>
      <x:c r="L4231" s="22" t="n">
        <x:v>21.5824</x:v>
      </x:c>
      <x:c r="M4231" t="n">
        <x:v>2017</x:v>
      </x:c>
      <x:c r="N4231" s="20" t="n">
        <x:v>43040</x:v>
      </x:c>
    </x:row>
    <x:row r="4232" ht="18" customHeight="1">
      <x:c r="A4232" t="str">
        <x:v>CA-2015-154970</x:v>
      </x:c>
      <x:c r="B4232" s="18" t="n">
        <x:v>42009</x:v>
      </x:c>
      <x:c r="C4232" t="str">
        <x:v>SR-20740</x:v>
      </x:c>
      <x:c r="D4232" t="str">
        <x:v>Steven Roelle</x:v>
      </x:c>
      <x:c r="E4232" t="str">
        <x:v>Home Office</x:v>
      </x:c>
      <x:c r="F4232" t="str">
        <x:v>West</x:v>
      </x:c>
      <x:c r="G4232" t="str">
        <x:v>Furniture</x:v>
      </x:c>
      <x:c r="H4232" t="str">
        <x:v>Chairs</x:v>
      </x:c>
      <x:c r="I4232" s="22" t="n">
        <x:v>61.584</x:v>
      </x:c>
      <x:c r="J4232" s="24" t="n">
        <x:v>1</x:v>
      </x:c>
      <x:c r="K4232" s="26" t="n">
        <x:v>0.2</x:v>
      </x:c>
      <x:c r="L4232" s="22" t="n">
        <x:v>-6.928200000000004</x:v>
      </x:c>
      <x:c r="M4232" t="n">
        <x:v>2015</x:v>
      </x:c>
      <x:c r="N4232" s="20" t="n">
        <x:v>42005</x:v>
      </x:c>
    </x:row>
    <x:row r="4233" ht="18" customHeight="1">
      <x:c r="A4233" t="str">
        <x:v>CA-2016-113803</x:v>
      </x:c>
      <x:c r="B4233" s="18" t="n">
        <x:v>42453</x:v>
      </x:c>
      <x:c r="C4233" t="str">
        <x:v>VG-21805</x:v>
      </x:c>
      <x:c r="D4233" t="str">
        <x:v>Vivek Grady</x:v>
      </x:c>
      <x:c r="E4233" t="str">
        <x:v>Corporate</x:v>
      </x:c>
      <x:c r="F4233" t="str">
        <x:v>Central</x:v>
      </x:c>
      <x:c r="G4233" t="str">
        <x:v>Office Supplies</x:v>
      </x:c>
      <x:c r="H4233" t="str">
        <x:v>Paper</x:v>
      </x:c>
      <x:c r="I4233" s="22" t="n">
        <x:v>22.48</x:v>
      </x:c>
      <x:c r="J4233" s="24" t="n">
        <x:v>1</x:v>
      </x:c>
      <x:c r="K4233" s="26" t="n">
        <x:v>0</x:v>
      </x:c>
      <x:c r="L4233" s="22" t="n">
        <x:v>10.3408</x:v>
      </x:c>
      <x:c r="M4233" t="n">
        <x:v>2016</x:v>
      </x:c>
      <x:c r="N4233" s="20" t="n">
        <x:v>42430</x:v>
      </x:c>
    </x:row>
    <x:row r="4234" ht="18" customHeight="1">
      <x:c r="A4234" t="str">
        <x:v>CA-2017-100223</x:v>
      </x:c>
      <x:c r="B4234" s="18" t="n">
        <x:v>42921</x:v>
      </x:c>
      <x:c r="C4234" t="str">
        <x:v>LS-16945</x:v>
      </x:c>
      <x:c r="D4234" t="str">
        <x:v>Linda Southworth</x:v>
      </x:c>
      <x:c r="E4234" t="str">
        <x:v>Corporate</x:v>
      </x:c>
      <x:c r="F4234" t="str">
        <x:v>Central</x:v>
      </x:c>
      <x:c r="G4234" t="str">
        <x:v>Furniture</x:v>
      </x:c>
      <x:c r="H4234" t="str">
        <x:v>Furnishings</x:v>
      </x:c>
      <x:c r="I4234" s="22" t="n">
        <x:v>332.028</x:v>
      </x:c>
      <x:c r="J4234" s="24" t="n">
        <x:v>9</x:v>
      </x:c>
      <x:c r="K4234" s="26" t="n">
        <x:v>0.6</x:v>
      </x:c>
      <x:c r="L4234" s="22" t="n">
        <x:v>-348.62940000000003</x:v>
      </x:c>
      <x:c r="M4234" t="n">
        <x:v>2017</x:v>
      </x:c>
      <x:c r="N4234" s="20" t="n">
        <x:v>42917</x:v>
      </x:c>
    </x:row>
    <x:row r="4235" ht="18" customHeight="1">
      <x:c r="A4235" t="str">
        <x:v>CA-2017-100223</x:v>
      </x:c>
      <x:c r="B4235" s="18" t="n">
        <x:v>42921</x:v>
      </x:c>
      <x:c r="C4235" t="str">
        <x:v>LS-16945</x:v>
      </x:c>
      <x:c r="D4235" t="str">
        <x:v>Linda Southworth</x:v>
      </x:c>
      <x:c r="E4235" t="str">
        <x:v>Corporate</x:v>
      </x:c>
      <x:c r="F4235" t="str">
        <x:v>Central</x:v>
      </x:c>
      <x:c r="G4235" t="str">
        <x:v>Office Supplies</x:v>
      </x:c>
      <x:c r="H4235" t="str">
        <x:v>Binders</x:v>
      </x:c>
      <x:c r="I4235" s="22" t="n">
        <x:v>11.393999999999998</x:v>
      </x:c>
      <x:c r="J4235" s="24" t="n">
        <x:v>9</x:v>
      </x:c>
      <x:c r="K4235" s="26" t="n">
        <x:v>0.8</x:v>
      </x:c>
      <x:c r="L4235" s="22" t="n">
        <x:v>-17.6607</x:v>
      </x:c>
      <x:c r="M4235" t="n">
        <x:v>2017</x:v>
      </x:c>
      <x:c r="N4235" s="20" t="n">
        <x:v>42917</x:v>
      </x:c>
    </x:row>
    <x:row r="4236" ht="18" customHeight="1">
      <x:c r="A4236" t="str">
        <x:v>CA-2017-100223</x:v>
      </x:c>
      <x:c r="B4236" s="18" t="n">
        <x:v>42921</x:v>
      </x:c>
      <x:c r="C4236" t="str">
        <x:v>LS-16945</x:v>
      </x:c>
      <x:c r="D4236" t="str">
        <x:v>Linda Southworth</x:v>
      </x:c>
      <x:c r="E4236" t="str">
        <x:v>Corporate</x:v>
      </x:c>
      <x:c r="F4236" t="str">
        <x:v>Central</x:v>
      </x:c>
      <x:c r="G4236" t="str">
        <x:v>Office Supplies</x:v>
      </x:c>
      <x:c r="H4236" t="str">
        <x:v>Paper</x:v>
      </x:c>
      <x:c r="I4236" s="22" t="n">
        <x:v>15.552000000000003</x:v>
      </x:c>
      <x:c r="J4236" s="24" t="n">
        <x:v>3</x:v>
      </x:c>
      <x:c r="K4236" s="26" t="n">
        <x:v>0.2</x:v>
      </x:c>
      <x:c r="L4236" s="22" t="n">
        <x:v>5.6376</x:v>
      </x:c>
      <x:c r="M4236" t="n">
        <x:v>2017</x:v>
      </x:c>
      <x:c r="N4236" s="20" t="n">
        <x:v>42917</x:v>
      </x:c>
    </x:row>
    <x:row r="4237" ht="18" customHeight="1">
      <x:c r="A4237" t="str">
        <x:v>CA-2017-100223</x:v>
      </x:c>
      <x:c r="B4237" s="18" t="n">
        <x:v>42921</x:v>
      </x:c>
      <x:c r="C4237" t="str">
        <x:v>LS-16945</x:v>
      </x:c>
      <x:c r="D4237" t="str">
        <x:v>Linda Southworth</x:v>
      </x:c>
      <x:c r="E4237" t="str">
        <x:v>Corporate</x:v>
      </x:c>
      <x:c r="F4237" t="str">
        <x:v>Central</x:v>
      </x:c>
      <x:c r="G4237" t="str">
        <x:v>Office Supplies</x:v>
      </x:c>
      <x:c r="H4237" t="str">
        <x:v>Paper</x:v>
      </x:c>
      <x:c r="I4237" s="22" t="n">
        <x:v>31.104000000000006</x:v>
      </x:c>
      <x:c r="J4237" s="24" t="n">
        <x:v>6</x:v>
      </x:c>
      <x:c r="K4237" s="26" t="n">
        <x:v>0.2</x:v>
      </x:c>
      <x:c r="L4237" s="22" t="n">
        <x:v>11.2752</x:v>
      </x:c>
      <x:c r="M4237" t="n">
        <x:v>2017</x:v>
      </x:c>
      <x:c r="N4237" s="20" t="n">
        <x:v>42917</x:v>
      </x:c>
    </x:row>
    <x:row r="4238" ht="18" customHeight="1">
      <x:c r="A4238" t="str">
        <x:v>CA-2017-100223</x:v>
      </x:c>
      <x:c r="B4238" s="18" t="n">
        <x:v>42921</x:v>
      </x:c>
      <x:c r="C4238" t="str">
        <x:v>LS-16945</x:v>
      </x:c>
      <x:c r="D4238" t="str">
        <x:v>Linda Southworth</x:v>
      </x:c>
      <x:c r="E4238" t="str">
        <x:v>Corporate</x:v>
      </x:c>
      <x:c r="F4238" t="str">
        <x:v>Central</x:v>
      </x:c>
      <x:c r="G4238" t="str">
        <x:v>Office Supplies</x:v>
      </x:c>
      <x:c r="H4238" t="str">
        <x:v>Binders</x:v>
      </x:c>
      <x:c r="I4238" s="22" t="n">
        <x:v>6.315999999999998</x:v>
      </x:c>
      <x:c r="J4238" s="24" t="n">
        <x:v>1</x:v>
      </x:c>
      <x:c r="K4238" s="26" t="n">
        <x:v>0.8</x:v>
      </x:c>
      <x:c r="L4238" s="22" t="n">
        <x:v>-10.421400000000002</x:v>
      </x:c>
      <x:c r="M4238" t="n">
        <x:v>2017</x:v>
      </x:c>
      <x:c r="N4238" s="20" t="n">
        <x:v>42917</x:v>
      </x:c>
    </x:row>
    <x:row r="4239" ht="18" customHeight="1">
      <x:c r="A4239" t="str">
        <x:v>CA-2014-168823</x:v>
      </x:c>
      <x:c r="B4239" s="18" t="n">
        <x:v>41903</x:v>
      </x:c>
      <x:c r="C4239" t="str">
        <x:v>MA-17560</x:v>
      </x:c>
      <x:c r="D4239" t="str">
        <x:v>Matt Abelman</x:v>
      </x:c>
      <x:c r="E4239" t="str">
        <x:v>Home Office</x:v>
      </x:c>
      <x:c r="F4239" t="str">
        <x:v>East</x:v>
      </x:c>
      <x:c r="G4239" t="str">
        <x:v>Office Supplies</x:v>
      </x:c>
      <x:c r="H4239" t="str">
        <x:v>Paper</x:v>
      </x:c>
      <x:c r="I4239" s="22" t="n">
        <x:v>11.352000000000002</x:v>
      </x:c>
      <x:c r="J4239" s="24" t="n">
        <x:v>3</x:v>
      </x:c>
      <x:c r="K4239" s="26" t="n">
        <x:v>0.2</x:v>
      </x:c>
      <x:c r="L4239" s="22" t="n">
        <x:v>4.1151</x:v>
      </x:c>
      <x:c r="M4239" t="n">
        <x:v>2014</x:v>
      </x:c>
      <x:c r="N4239" s="20" t="n">
        <x:v>41883</x:v>
      </x:c>
    </x:row>
    <x:row r="4240" ht="18" customHeight="1">
      <x:c r="A4240" t="str">
        <x:v>CA-2014-168823</x:v>
      </x:c>
      <x:c r="B4240" s="18" t="n">
        <x:v>41903</x:v>
      </x:c>
      <x:c r="C4240" t="str">
        <x:v>MA-17560</x:v>
      </x:c>
      <x:c r="D4240" t="str">
        <x:v>Matt Abelman</x:v>
      </x:c>
      <x:c r="E4240" t="str">
        <x:v>Home Office</x:v>
      </x:c>
      <x:c r="F4240" t="str">
        <x:v>East</x:v>
      </x:c>
      <x:c r="G4240" t="str">
        <x:v>Office Supplies</x:v>
      </x:c>
      <x:c r="H4240" t="str">
        <x:v>Labels</x:v>
      </x:c>
      <x:c r="I4240" s="22" t="n">
        <x:v>20.808000000000003</x:v>
      </x:c>
      <x:c r="J4240" s="24" t="n">
        <x:v>9</x:v>
      </x:c>
      <x:c r="K4240" s="26" t="n">
        <x:v>0.2</x:v>
      </x:c>
      <x:c r="L4240" s="22" t="n">
        <x:v>7.0226999999999995</x:v>
      </x:c>
      <x:c r="M4240" t="n">
        <x:v>2014</x:v>
      </x:c>
      <x:c r="N4240" s="20" t="n">
        <x:v>41883</x:v>
      </x:c>
    </x:row>
    <x:row r="4241" ht="18" customHeight="1">
      <x:c r="A4241" t="str">
        <x:v>CA-2016-162404</x:v>
      </x:c>
      <x:c r="B4241" s="18" t="n">
        <x:v>42574</x:v>
      </x:c>
      <x:c r="C4241" t="str">
        <x:v>NF-18475</x:v>
      </x:c>
      <x:c r="D4241" t="str">
        <x:v>Neil Französisch</x:v>
      </x:c>
      <x:c r="E4241" t="str">
        <x:v>Home Office</x:v>
      </x:c>
      <x:c r="F4241" t="str">
        <x:v>Central</x:v>
      </x:c>
      <x:c r="G4241" t="str">
        <x:v>Office Supplies</x:v>
      </x:c>
      <x:c r="H4241" t="str">
        <x:v>Binders</x:v>
      </x:c>
      <x:c r="I4241" s="22" t="n">
        <x:v>11.415999999999997</x:v>
      </x:c>
      <x:c r="J4241" s="24" t="n">
        <x:v>4</x:v>
      </x:c>
      <x:c r="K4241" s="26" t="n">
        <x:v>0.8</x:v>
      </x:c>
      <x:c r="L4241" s="22" t="n">
        <x:v>-18.836400000000005</x:v>
      </x:c>
      <x:c r="M4241" t="n">
        <x:v>2016</x:v>
      </x:c>
      <x:c r="N4241" s="20" t="n">
        <x:v>42552</x:v>
      </x:c>
    </x:row>
    <x:row r="4242" ht="18" customHeight="1">
      <x:c r="A4242" t="str">
        <x:v>CA-2017-104024</x:v>
      </x:c>
      <x:c r="B4242" s="18" t="n">
        <x:v>42976</x:v>
      </x:c>
      <x:c r="C4242" t="str">
        <x:v>MD-17860</x:v>
      </x:c>
      <x:c r="D4242" t="str">
        <x:v>Michael Dominguez</x:v>
      </x:c>
      <x:c r="E4242" t="str">
        <x:v>Corporate</x:v>
      </x:c>
      <x:c r="F4242" t="str">
        <x:v>East</x:v>
      </x:c>
      <x:c r="G4242" t="str">
        <x:v>Office Supplies</x:v>
      </x:c>
      <x:c r="H4242" t="str">
        <x:v>Art</x:v>
      </x:c>
      <x:c r="I4242" s="22" t="n">
        <x:v>9.408000000000001</x:v>
      </x:c>
      <x:c r="J4242" s="24" t="n">
        <x:v>7</x:v>
      </x:c>
      <x:c r="K4242" s="26" t="n">
        <x:v>0.2</x:v>
      </x:c>
      <x:c r="L4242" s="22" t="n">
        <x:v>0.7056000000000004</x:v>
      </x:c>
      <x:c r="M4242" t="n">
        <x:v>2017</x:v>
      </x:c>
      <x:c r="N4242" s="20" t="n">
        <x:v>42948</x:v>
      </x:c>
    </x:row>
    <x:row r="4243" ht="18" customHeight="1">
      <x:c r="A4243" t="str">
        <x:v>CA-2017-147144</x:v>
      </x:c>
      <x:c r="B4243" s="18" t="n">
        <x:v>42820</x:v>
      </x:c>
      <x:c r="C4243" t="str">
        <x:v>MZ-17335</x:v>
      </x:c>
      <x:c r="D4243" t="str">
        <x:v>Maria Zettner</x:v>
      </x:c>
      <x:c r="E4243" t="str">
        <x:v>Home Office</x:v>
      </x:c>
      <x:c r="F4243" t="str">
        <x:v>West</x:v>
      </x:c>
      <x:c r="G4243" t="str">
        <x:v>Office Supplies</x:v>
      </x:c>
      <x:c r="H4243" t="str">
        <x:v>Art</x:v>
      </x:c>
      <x:c r="I4243" s="22" t="n">
        <x:v>19.83</x:v>
      </x:c>
      <x:c r="J4243" s="24" t="n">
        <x:v>1</x:v>
      </x:c>
      <x:c r="K4243" s="26" t="n">
        <x:v>0</x:v>
      </x:c>
      <x:c r="L4243" s="22" t="n">
        <x:v>5.948999999999998</x:v>
      </x:c>
      <x:c r="M4243" t="n">
        <x:v>2017</x:v>
      </x:c>
      <x:c r="N4243" s="20" t="n">
        <x:v>42795</x:v>
      </x:c>
    </x:row>
    <x:row r="4244" ht="18" customHeight="1">
      <x:c r="A4244" t="str">
        <x:v>CA-2017-158673</x:v>
      </x:c>
      <x:c r="B4244" s="18" t="n">
        <x:v>43098</x:v>
      </x:c>
      <x:c r="C4244" t="str">
        <x:v>KB-16600</x:v>
      </x:c>
      <x:c r="D4244" t="str">
        <x:v>Ken Brennan</x:v>
      </x:c>
      <x:c r="E4244" t="str">
        <x:v>Corporate</x:v>
      </x:c>
      <x:c r="F4244" t="str">
        <x:v>Central</x:v>
      </x:c>
      <x:c r="G4244" t="str">
        <x:v>Office Supplies</x:v>
      </x:c>
      <x:c r="H4244" t="str">
        <x:v>Paper</x:v>
      </x:c>
      <x:c r="I4244" s="22" t="n">
        <x:v>209.7</x:v>
      </x:c>
      <x:c r="J4244" s="24" t="n">
        <x:v>2</x:v>
      </x:c>
      <x:c r="K4244" s="26" t="n">
        <x:v>0</x:v>
      </x:c>
      <x:c r="L4244" s="22" t="n">
        <x:v>100.65599999999999</x:v>
      </x:c>
      <x:c r="M4244" t="n">
        <x:v>2017</x:v>
      </x:c>
      <x:c r="N4244" s="20" t="n">
        <x:v>43070</x:v>
      </x:c>
    </x:row>
    <x:row r="4245" ht="18" customHeight="1">
      <x:c r="A4245" t="str">
        <x:v>CA-2014-133704</x:v>
      </x:c>
      <x:c r="B4245" s="18" t="n">
        <x:v>41902</x:v>
      </x:c>
      <x:c r="C4245" t="str">
        <x:v>MA-17995</x:v>
      </x:c>
      <x:c r="D4245" t="str">
        <x:v>Michelle Arnett</x:v>
      </x:c>
      <x:c r="E4245" t="str">
        <x:v>Home Office</x:v>
      </x:c>
      <x:c r="F4245" t="str">
        <x:v>West</x:v>
      </x:c>
      <x:c r="G4245" t="str">
        <x:v>Office Supplies</x:v>
      </x:c>
      <x:c r="H4245" t="str">
        <x:v>Appliances</x:v>
      </x:c>
      <x:c r="I4245" s="22" t="n">
        <x:v>43.92</x:v>
      </x:c>
      <x:c r="J4245" s="24" t="n">
        <x:v>4</x:v>
      </x:c>
      <x:c r="K4245" s="26" t="n">
        <x:v>0</x:v>
      </x:c>
      <x:c r="L4245" s="22" t="n">
        <x:v>11.858400000000003</x:v>
      </x:c>
      <x:c r="M4245" t="n">
        <x:v>2014</x:v>
      </x:c>
      <x:c r="N4245" s="20" t="n">
        <x:v>41883</x:v>
      </x:c>
    </x:row>
    <x:row r="4246" ht="18" customHeight="1">
      <x:c r="A4246" t="str">
        <x:v>CA-2014-133704</x:v>
      </x:c>
      <x:c r="B4246" s="18" t="n">
        <x:v>41902</x:v>
      </x:c>
      <x:c r="C4246" t="str">
        <x:v>MA-17995</x:v>
      </x:c>
      <x:c r="D4246" t="str">
        <x:v>Michelle Arnett</x:v>
      </x:c>
      <x:c r="E4246" t="str">
        <x:v>Home Office</x:v>
      </x:c>
      <x:c r="F4246" t="str">
        <x:v>West</x:v>
      </x:c>
      <x:c r="G4246" t="str">
        <x:v>Office Supplies</x:v>
      </x:c>
      <x:c r="H4246" t="str">
        <x:v>Binders</x:v>
      </x:c>
      <x:c r="I4246" s="22" t="n">
        <x:v>20.232</x:v>
      </x:c>
      <x:c r="J4246" s="24" t="n">
        <x:v>3</x:v>
      </x:c>
      <x:c r="K4246" s="26" t="n">
        <x:v>0.2</x:v>
      </x:c>
      <x:c r="L4246" s="22" t="n">
        <x:v>6.575399999999998</x:v>
      </x:c>
      <x:c r="M4246" t="n">
        <x:v>2014</x:v>
      </x:c>
      <x:c r="N4246" s="20" t="n">
        <x:v>41883</x:v>
      </x:c>
    </x:row>
    <x:row r="4247" ht="18" customHeight="1">
      <x:c r="A4247" t="str">
        <x:v>CA-2016-159142</x:v>
      </x:c>
      <x:c r="B4247" s="18" t="n">
        <x:v>42464</x:v>
      </x:c>
      <x:c r="C4247" t="str">
        <x:v>ME-17320</x:v>
      </x:c>
      <x:c r="D4247" t="str">
        <x:v>Maria Etezadi</x:v>
      </x:c>
      <x:c r="E4247" t="str">
        <x:v>Home Office</x:v>
      </x:c>
      <x:c r="F4247" t="str">
        <x:v>South</x:v>
      </x:c>
      <x:c r="G4247" t="str">
        <x:v>Technology</x:v>
      </x:c>
      <x:c r="H4247" t="str">
        <x:v>Phones</x:v>
      </x:c>
      <x:c r="I4247" s="22" t="n">
        <x:v>149.97</x:v>
      </x:c>
      <x:c r="J4247" s="24" t="n">
        <x:v>3</x:v>
      </x:c>
      <x:c r="K4247" s="26" t="n">
        <x:v>0</x:v>
      </x:c>
      <x:c r="L4247" s="22" t="n">
        <x:v>5.9987999999999815</x:v>
      </x:c>
      <x:c r="M4247" t="n">
        <x:v>2016</x:v>
      </x:c>
      <x:c r="N4247" s="20" t="n">
        <x:v>42461</x:v>
      </x:c>
    </x:row>
    <x:row r="4248" ht="18" customHeight="1">
      <x:c r="A4248" t="str">
        <x:v>CA-2016-159142</x:v>
      </x:c>
      <x:c r="B4248" s="18" t="n">
        <x:v>42464</x:v>
      </x:c>
      <x:c r="C4248" t="str">
        <x:v>ME-17320</x:v>
      </x:c>
      <x:c r="D4248" t="str">
        <x:v>Maria Etezadi</x:v>
      </x:c>
      <x:c r="E4248" t="str">
        <x:v>Home Office</x:v>
      </x:c>
      <x:c r="F4248" t="str">
        <x:v>South</x:v>
      </x:c>
      <x:c r="G4248" t="str">
        <x:v>Office Supplies</x:v>
      </x:c>
      <x:c r="H4248" t="str">
        <x:v>Paper</x:v>
      </x:c>
      <x:c r="I4248" s="22" t="n">
        <x:v>27.81</x:v>
      </x:c>
      <x:c r="J4248" s="24" t="n">
        <x:v>3</x:v>
      </x:c>
      <x:c r="K4248" s="26" t="n">
        <x:v>0</x:v>
      </x:c>
      <x:c r="L4248" s="22" t="n">
        <x:v>13.070699999999999</x:v>
      </x:c>
      <x:c r="M4248" t="n">
        <x:v>2016</x:v>
      </x:c>
      <x:c r="N4248" s="20" t="n">
        <x:v>42461</x:v>
      </x:c>
    </x:row>
    <x:row r="4249" ht="18" customHeight="1">
      <x:c r="A4249" t="str">
        <x:v>CA-2014-138436</x:v>
      </x:c>
      <x:c r="B4249" s="18" t="n">
        <x:v>41724</x:v>
      </x:c>
      <x:c r="C4249" t="str">
        <x:v>JD-15895</x:v>
      </x:c>
      <x:c r="D4249" t="str">
        <x:v>Jonathan Doherty</x:v>
      </x:c>
      <x:c r="E4249" t="str">
        <x:v>Corporate</x:v>
      </x:c>
      <x:c r="F4249" t="str">
        <x:v>West</x:v>
      </x:c>
      <x:c r="G4249" t="str">
        <x:v>Technology</x:v>
      </x:c>
      <x:c r="H4249" t="str">
        <x:v>Accessories</x:v>
      </x:c>
      <x:c r="I4249" s="22" t="n">
        <x:v>66.30000000000001</x:v>
      </x:c>
      <x:c r="J4249" s="24" t="n">
        <x:v>3</x:v>
      </x:c>
      <x:c r="K4249" s="26" t="n">
        <x:v>0</x:v>
      </x:c>
      <x:c r="L4249" s="22" t="n">
        <x:v>8.619000000000003</x:v>
      </x:c>
      <x:c r="M4249" t="n">
        <x:v>2014</x:v>
      </x:c>
      <x:c r="N4249" s="20" t="n">
        <x:v>41699</x:v>
      </x:c>
    </x:row>
    <x:row r="4250" ht="18" customHeight="1">
      <x:c r="A4250" t="str">
        <x:v>CA-2017-117702</x:v>
      </x:c>
      <x:c r="B4250" s="18" t="n">
        <x:v>43067</x:v>
      </x:c>
      <x:c r="C4250" t="str">
        <x:v>LS-16975</x:v>
      </x:c>
      <x:c r="D4250" t="str">
        <x:v>Lindsay Shagiari</x:v>
      </x:c>
      <x:c r="E4250" t="str">
        <x:v>Home Office</x:v>
      </x:c>
      <x:c r="F4250" t="str">
        <x:v>East</x:v>
      </x:c>
      <x:c r="G4250" t="str">
        <x:v>Office Supplies</x:v>
      </x:c>
      <x:c r="H4250" t="str">
        <x:v>Art</x:v>
      </x:c>
      <x:c r="I4250" s="22" t="n">
        <x:v>1.64</x:v>
      </x:c>
      <x:c r="J4250" s="24" t="n">
        <x:v>1</x:v>
      </x:c>
      <x:c r="K4250" s="26" t="n">
        <x:v>0</x:v>
      </x:c>
      <x:c r="L4250" s="22" t="n">
        <x:v>0.7379999999999999</x:v>
      </x:c>
      <x:c r="M4250" t="n">
        <x:v>2017</x:v>
      </x:c>
      <x:c r="N4250" s="20" t="n">
        <x:v>43040</x:v>
      </x:c>
    </x:row>
    <x:row r="4251" ht="18" customHeight="1">
      <x:c r="A4251" t="str">
        <x:v>CA-2017-117702</x:v>
      </x:c>
      <x:c r="B4251" s="18" t="n">
        <x:v>43067</x:v>
      </x:c>
      <x:c r="C4251" t="str">
        <x:v>LS-16975</x:v>
      </x:c>
      <x:c r="D4251" t="str">
        <x:v>Lindsay Shagiari</x:v>
      </x:c>
      <x:c r="E4251" t="str">
        <x:v>Home Office</x:v>
      </x:c>
      <x:c r="F4251" t="str">
        <x:v>East</x:v>
      </x:c>
      <x:c r="G4251" t="str">
        <x:v>Furniture</x:v>
      </x:c>
      <x:c r="H4251" t="str">
        <x:v>Furnishings</x:v>
      </x:c>
      <x:c r="I4251" s="22" t="n">
        <x:v>1049.2</x:v>
      </x:c>
      <x:c r="J4251" s="24" t="n">
        <x:v>5</x:v>
      </x:c>
      <x:c r="K4251" s="26" t="n">
        <x:v>0</x:v>
      </x:c>
      <x:c r="L4251" s="22" t="n">
        <x:v>272.79200000000003</x:v>
      </x:c>
      <x:c r="M4251" t="n">
        <x:v>2017</x:v>
      </x:c>
      <x:c r="N4251" s="20" t="n">
        <x:v>43040</x:v>
      </x:c>
    </x:row>
    <x:row r="4252" ht="18" customHeight="1">
      <x:c r="A4252" t="str">
        <x:v>CA-2017-117702</x:v>
      </x:c>
      <x:c r="B4252" s="18" t="n">
        <x:v>43067</x:v>
      </x:c>
      <x:c r="C4252" t="str">
        <x:v>LS-16975</x:v>
      </x:c>
      <x:c r="D4252" t="str">
        <x:v>Lindsay Shagiari</x:v>
      </x:c>
      <x:c r="E4252" t="str">
        <x:v>Home Office</x:v>
      </x:c>
      <x:c r="F4252" t="str">
        <x:v>East</x:v>
      </x:c>
      <x:c r="G4252" t="str">
        <x:v>Furniture</x:v>
      </x:c>
      <x:c r="H4252" t="str">
        <x:v>Furnishings</x:v>
      </x:c>
      <x:c r="I4252" s="22" t="n">
        <x:v>20.9</x:v>
      </x:c>
      <x:c r="J4252" s="24" t="n">
        <x:v>5</x:v>
      </x:c>
      <x:c r="K4252" s="26" t="n">
        <x:v>0</x:v>
      </x:c>
      <x:c r="L4252" s="22" t="n">
        <x:v>7.523999999999999</x:v>
      </x:c>
      <x:c r="M4252" t="n">
        <x:v>2017</x:v>
      </x:c>
      <x:c r="N4252" s="20" t="n">
        <x:v>43040</x:v>
      </x:c>
    </x:row>
    <x:row r="4253" ht="18" customHeight="1">
      <x:c r="A4253" t="str">
        <x:v>CA-2016-157336</x:v>
      </x:c>
      <x:c r="B4253" s="18" t="n">
        <x:v>42705</x:v>
      </x:c>
      <x:c r="C4253" t="str">
        <x:v>SJ-20500</x:v>
      </x:c>
      <x:c r="D4253" t="str">
        <x:v>Shirley Jackson</x:v>
      </x:c>
      <x:c r="E4253" t="str">
        <x:v>Consumer</x:v>
      </x:c>
      <x:c r="F4253" t="str">
        <x:v>East</x:v>
      </x:c>
      <x:c r="G4253" t="str">
        <x:v>Office Supplies</x:v>
      </x:c>
      <x:c r="H4253" t="str">
        <x:v>Binders</x:v>
      </x:c>
      <x:c r="I4253" s="22" t="n">
        <x:v>88.08</x:v>
      </x:c>
      <x:c r="J4253" s="24" t="n">
        <x:v>6</x:v>
      </x:c>
      <x:c r="K4253" s="26" t="n">
        <x:v>0</x:v>
      </x:c>
      <x:c r="L4253" s="22" t="n">
        <x:v>40.516799999999996</x:v>
      </x:c>
      <x:c r="M4253" t="n">
        <x:v>2016</x:v>
      </x:c>
      <x:c r="N4253" s="20" t="n">
        <x:v>42705</x:v>
      </x:c>
    </x:row>
    <x:row r="4254" ht="18" customHeight="1">
      <x:c r="A4254" t="str">
        <x:v>CA-2016-157336</x:v>
      </x:c>
      <x:c r="B4254" s="18" t="n">
        <x:v>42705</x:v>
      </x:c>
      <x:c r="C4254" t="str">
        <x:v>SJ-20500</x:v>
      </x:c>
      <x:c r="D4254" t="str">
        <x:v>Shirley Jackson</x:v>
      </x:c>
      <x:c r="E4254" t="str">
        <x:v>Consumer</x:v>
      </x:c>
      <x:c r="F4254" t="str">
        <x:v>East</x:v>
      </x:c>
      <x:c r="G4254" t="str">
        <x:v>Furniture</x:v>
      </x:c>
      <x:c r="H4254" t="str">
        <x:v>Chairs</x:v>
      </x:c>
      <x:c r="I4254" s="22" t="n">
        <x:v>751.92</x:v>
      </x:c>
      <x:c r="J4254" s="24" t="n">
        <x:v>4</x:v>
      </x:c>
      <x:c r="K4254" s="26" t="n">
        <x:v>0</x:v>
      </x:c>
      <x:c r="L4254" s="22" t="n">
        <x:v>150.38400000000001</x:v>
      </x:c>
      <x:c r="M4254" t="n">
        <x:v>2016</x:v>
      </x:c>
      <x:c r="N4254" s="20" t="n">
        <x:v>42705</x:v>
      </x:c>
    </x:row>
    <x:row r="4255" ht="18" customHeight="1">
      <x:c r="A4255" t="str">
        <x:v>CA-2014-168130</x:v>
      </x:c>
      <x:c r="B4255" s="18" t="n">
        <x:v>41901</x:v>
      </x:c>
      <x:c r="C4255" t="str">
        <x:v>BS-11365</x:v>
      </x:c>
      <x:c r="D4255" t="str">
        <x:v>Bill Shonely</x:v>
      </x:c>
      <x:c r="E4255" t="str">
        <x:v>Corporate</x:v>
      </x:c>
      <x:c r="F4255" t="str">
        <x:v>East</x:v>
      </x:c>
      <x:c r="G4255" t="str">
        <x:v>Furniture</x:v>
      </x:c>
      <x:c r="H4255" t="str">
        <x:v>Chairs</x:v>
      </x:c>
      <x:c r="I4255" s="22" t="n">
        <x:v>887.103</x:v>
      </x:c>
      <x:c r="J4255" s="24" t="n">
        <x:v>7</x:v>
      </x:c>
      <x:c r="K4255" s="26" t="n">
        <x:v>0.1</x:v>
      </x:c>
      <x:c r="L4255" s="22" t="n">
        <x:v>177.42059999999998</x:v>
      </x:c>
      <x:c r="M4255" t="n">
        <x:v>2014</x:v>
      </x:c>
      <x:c r="N4255" s="20" t="n">
        <x:v>41883</x:v>
      </x:c>
    </x:row>
    <x:row r="4256" ht="18" customHeight="1">
      <x:c r="A4256" t="str">
        <x:v>CA-2015-155068</x:v>
      </x:c>
      <x:c r="B4256" s="18" t="n">
        <x:v>42300</x:v>
      </x:c>
      <x:c r="C4256" t="str">
        <x:v>RA-19285</x:v>
      </x:c>
      <x:c r="D4256" t="str">
        <x:v>Ralph Arnett</x:v>
      </x:c>
      <x:c r="E4256" t="str">
        <x:v>Consumer</x:v>
      </x:c>
      <x:c r="F4256" t="str">
        <x:v>South</x:v>
      </x:c>
      <x:c r="G4256" t="str">
        <x:v>Technology</x:v>
      </x:c>
      <x:c r="H4256" t="str">
        <x:v>Phones</x:v>
      </x:c>
      <x:c r="I4256" s="22" t="n">
        <x:v>55.944</x:v>
      </x:c>
      <x:c r="J4256" s="24" t="n">
        <x:v>7</x:v>
      </x:c>
      <x:c r="K4256" s="26" t="n">
        <x:v>0.2</x:v>
      </x:c>
      <x:c r="L4256" s="22" t="n">
        <x:v>-13.286700000000002</x:v>
      </x:c>
      <x:c r="M4256" t="n">
        <x:v>2015</x:v>
      </x:c>
      <x:c r="N4256" s="20" t="n">
        <x:v>42278</x:v>
      </x:c>
    </x:row>
    <x:row r="4257" ht="18" customHeight="1">
      <x:c r="A4257" t="str">
        <x:v>CA-2015-155068</x:v>
      </x:c>
      <x:c r="B4257" s="18" t="n">
        <x:v>42300</x:v>
      </x:c>
      <x:c r="C4257" t="str">
        <x:v>RA-19285</x:v>
      </x:c>
      <x:c r="D4257" t="str">
        <x:v>Ralph Arnett</x:v>
      </x:c>
      <x:c r="E4257" t="str">
        <x:v>Consumer</x:v>
      </x:c>
      <x:c r="F4257" t="str">
        <x:v>South</x:v>
      </x:c>
      <x:c r="G4257" t="str">
        <x:v>Office Supplies</x:v>
      </x:c>
      <x:c r="H4257" t="str">
        <x:v>Art</x:v>
      </x:c>
      <x:c r="I4257" s="22" t="n">
        <x:v>10.688</x:v>
      </x:c>
      <x:c r="J4257" s="24" t="n">
        <x:v>2</x:v>
      </x:c>
      <x:c r="K4257" s="26" t="n">
        <x:v>0.2</x:v>
      </x:c>
      <x:c r="L4257" s="22" t="n">
        <x:v>2.271199999999999</x:v>
      </x:c>
      <x:c r="M4257" t="n">
        <x:v>2015</x:v>
      </x:c>
      <x:c r="N4257" s="20" t="n">
        <x:v>42278</x:v>
      </x:c>
    </x:row>
    <x:row r="4258" ht="18" customHeight="1">
      <x:c r="A4258" t="str">
        <x:v>CA-2015-155068</x:v>
      </x:c>
      <x:c r="B4258" s="18" t="n">
        <x:v>42300</x:v>
      </x:c>
      <x:c r="C4258" t="str">
        <x:v>RA-19285</x:v>
      </x:c>
      <x:c r="D4258" t="str">
        <x:v>Ralph Arnett</x:v>
      </x:c>
      <x:c r="E4258" t="str">
        <x:v>Consumer</x:v>
      </x:c>
      <x:c r="F4258" t="str">
        <x:v>South</x:v>
      </x:c>
      <x:c r="G4258" t="str">
        <x:v>Technology</x:v>
      </x:c>
      <x:c r="H4258" t="str">
        <x:v>Phones</x:v>
      </x:c>
      <x:c r="I4258" s="22" t="n">
        <x:v>11.824</x:v>
      </x:c>
      <x:c r="J4258" s="24" t="n">
        <x:v>2</x:v>
      </x:c>
      <x:c r="K4258" s="26" t="n">
        <x:v>0.2</x:v>
      </x:c>
      <x:c r="L4258" s="22" t="n">
        <x:v>1.0346000000000006</x:v>
      </x:c>
      <x:c r="M4258" t="n">
        <x:v>2015</x:v>
      </x:c>
      <x:c r="N4258" s="20" t="n">
        <x:v>42278</x:v>
      </x:c>
    </x:row>
    <x:row r="4259" ht="18" customHeight="1">
      <x:c r="A4259" t="str">
        <x:v>CA-2017-163160</x:v>
      </x:c>
      <x:c r="B4259" s="18" t="n">
        <x:v>43021</x:v>
      </x:c>
      <x:c r="C4259" t="str">
        <x:v>TS-21610</x:v>
      </x:c>
      <x:c r="D4259" t="str">
        <x:v>Troy Staebel</x:v>
      </x:c>
      <x:c r="E4259" t="str">
        <x:v>Consumer</x:v>
      </x:c>
      <x:c r="F4259" t="str">
        <x:v>Central</x:v>
      </x:c>
      <x:c r="G4259" t="str">
        <x:v>Office Supplies</x:v>
      </x:c>
      <x:c r="H4259" t="str">
        <x:v>Paper</x:v>
      </x:c>
      <x:c r="I4259" s="22" t="n">
        <x:v>63.312</x:v>
      </x:c>
      <x:c r="J4259" s="24" t="n">
        <x:v>3</x:v>
      </x:c>
      <x:c r="K4259" s="26" t="n">
        <x:v>0.2</x:v>
      </x:c>
      <x:c r="L4259" s="22" t="n">
        <x:v>20.576399999999996</x:v>
      </x:c>
      <x:c r="M4259" t="n">
        <x:v>2017</x:v>
      </x:c>
      <x:c r="N4259" s="20" t="n">
        <x:v>43009</x:v>
      </x:c>
    </x:row>
    <x:row r="4260" ht="18" customHeight="1">
      <x:c r="A4260" t="str">
        <x:v>CA-2017-163160</x:v>
      </x:c>
      <x:c r="B4260" s="18" t="n">
        <x:v>43021</x:v>
      </x:c>
      <x:c r="C4260" t="str">
        <x:v>TS-21610</x:v>
      </x:c>
      <x:c r="D4260" t="str">
        <x:v>Troy Staebel</x:v>
      </x:c>
      <x:c r="E4260" t="str">
        <x:v>Consumer</x:v>
      </x:c>
      <x:c r="F4260" t="str">
        <x:v>Central</x:v>
      </x:c>
      <x:c r="G4260" t="str">
        <x:v>Office Supplies</x:v>
      </x:c>
      <x:c r="H4260" t="str">
        <x:v>Binders</x:v>
      </x:c>
      <x:c r="I4260" s="22" t="n">
        <x:v>96.78399999999998</x:v>
      </x:c>
      <x:c r="J4260" s="24" t="n">
        <x:v>4</x:v>
      </x:c>
      <x:c r="K4260" s="26" t="n">
        <x:v>0.8</x:v>
      </x:c>
      <x:c r="L4260" s="22" t="n">
        <x:v>-145.17600000000002</x:v>
      </x:c>
      <x:c r="M4260" t="n">
        <x:v>2017</x:v>
      </x:c>
      <x:c r="N4260" s="20" t="n">
        <x:v>43009</x:v>
      </x:c>
    </x:row>
    <x:row r="4261" ht="18" customHeight="1">
      <x:c r="A4261" t="str">
        <x:v>CA-2017-163160</x:v>
      </x:c>
      <x:c r="B4261" s="18" t="n">
        <x:v>43021</x:v>
      </x:c>
      <x:c r="C4261" t="str">
        <x:v>TS-21610</x:v>
      </x:c>
      <x:c r="D4261" t="str">
        <x:v>Troy Staebel</x:v>
      </x:c>
      <x:c r="E4261" t="str">
        <x:v>Consumer</x:v>
      </x:c>
      <x:c r="F4261" t="str">
        <x:v>Central</x:v>
      </x:c>
      <x:c r="G4261" t="str">
        <x:v>Furniture</x:v>
      </x:c>
      <x:c r="H4261" t="str">
        <x:v>Furnishings</x:v>
      </x:c>
      <x:c r="I4261" s="22" t="n">
        <x:v>10.476</x:v>
      </x:c>
      <x:c r="J4261" s="24" t="n">
        <x:v>3</x:v>
      </x:c>
      <x:c r="K4261" s="26" t="n">
        <x:v>0.6</x:v>
      </x:c>
      <x:c r="L4261" s="22" t="n">
        <x:v>-6.809400000000004</x:v>
      </x:c>
      <x:c r="M4261" t="n">
        <x:v>2017</x:v>
      </x:c>
      <x:c r="N4261" s="20" t="n">
        <x:v>43009</x:v>
      </x:c>
    </x:row>
    <x:row r="4262" ht="18" customHeight="1">
      <x:c r="A4262" t="str">
        <x:v>CA-2015-101924</x:v>
      </x:c>
      <x:c r="B4262" s="18" t="n">
        <x:v>42251</x:v>
      </x:c>
      <x:c r="C4262" t="str">
        <x:v>KB-16585</x:v>
      </x:c>
      <x:c r="D4262" t="str">
        <x:v>Ken Black</x:v>
      </x:c>
      <x:c r="E4262" t="str">
        <x:v>Corporate</x:v>
      </x:c>
      <x:c r="F4262" t="str">
        <x:v>West</x:v>
      </x:c>
      <x:c r="G4262" t="str">
        <x:v>Office Supplies</x:v>
      </x:c>
      <x:c r="H4262" t="str">
        <x:v>Binders</x:v>
      </x:c>
      <x:c r="I4262" s="22" t="n">
        <x:v>9.762</x:v>
      </x:c>
      <x:c r="J4262" s="24" t="n">
        <x:v>2</x:v>
      </x:c>
      <x:c r="K4262" s="26" t="n">
        <x:v>0.7</x:v>
      </x:c>
      <x:c r="L4262" s="22" t="n">
        <x:v>-6.833400000000001</x:v>
      </x:c>
      <x:c r="M4262" t="n">
        <x:v>2015</x:v>
      </x:c>
      <x:c r="N4262" s="20" t="n">
        <x:v>42248</x:v>
      </x:c>
    </x:row>
    <x:row r="4263" ht="18" customHeight="1">
      <x:c r="A4263" t="str">
        <x:v>CA-2016-124793</x:v>
      </x:c>
      <x:c r="B4263" s="18" t="n">
        <x:v>42443</x:v>
      </x:c>
      <x:c r="C4263" t="str">
        <x:v>MM-18280</x:v>
      </x:c>
      <x:c r="D4263" t="str">
        <x:v>Muhammed MacIntyre</x:v>
      </x:c>
      <x:c r="E4263" t="str">
        <x:v>Corporate</x:v>
      </x:c>
      <x:c r="F4263" t="str">
        <x:v>West</x:v>
      </x:c>
      <x:c r="G4263" t="str">
        <x:v>Furniture</x:v>
      </x:c>
      <x:c r="H4263" t="str">
        <x:v>Chairs</x:v>
      </x:c>
      <x:c r="I4263" s="22" t="n">
        <x:v>196.784</x:v>
      </x:c>
      <x:c r="J4263" s="24" t="n">
        <x:v>2</x:v>
      </x:c>
      <x:c r="K4263" s="26" t="n">
        <x:v>0.2</x:v>
      </x:c>
      <x:c r="L4263" s="22" t="n">
        <x:v>-22.138200000000012</x:v>
      </x:c>
      <x:c r="M4263" t="n">
        <x:v>2016</x:v>
      </x:c>
      <x:c r="N4263" s="20" t="n">
        <x:v>42430</x:v>
      </x:c>
    </x:row>
    <x:row r="4264" ht="18" customHeight="1">
      <x:c r="A4264" t="str">
        <x:v>CA-2017-118367</x:v>
      </x:c>
      <x:c r="B4264" s="18" t="n">
        <x:v>43036</x:v>
      </x:c>
      <x:c r="C4264" t="str">
        <x:v>LO-17170</x:v>
      </x:c>
      <x:c r="D4264" t="str">
        <x:v>Lori Olson</x:v>
      </x:c>
      <x:c r="E4264" t="str">
        <x:v>Corporate</x:v>
      </x:c>
      <x:c r="F4264" t="str">
        <x:v>East</x:v>
      </x:c>
      <x:c r="G4264" t="str">
        <x:v>Office Supplies</x:v>
      </x:c>
      <x:c r="H4264" t="str">
        <x:v>Envelopes</x:v>
      </x:c>
      <x:c r="I4264" s="22" t="n">
        <x:v>47.98</x:v>
      </x:c>
      <x:c r="J4264" s="24" t="n">
        <x:v>2</x:v>
      </x:c>
      <x:c r="K4264" s="26" t="n">
        <x:v>0</x:v>
      </x:c>
      <x:c r="L4264" s="22" t="n">
        <x:v>23.99</x:v>
      </x:c>
      <x:c r="M4264" t="n">
        <x:v>2017</x:v>
      </x:c>
      <x:c r="N4264" s="20" t="n">
        <x:v>43009</x:v>
      </x:c>
    </x:row>
    <x:row r="4265" ht="18" customHeight="1">
      <x:c r="A4265" t="str">
        <x:v>CA-2017-164819</x:v>
      </x:c>
      <x:c r="B4265" s="18" t="n">
        <x:v>43023</x:v>
      </x:c>
      <x:c r="C4265" t="str">
        <x:v>RS-19420</x:v>
      </x:c>
      <x:c r="D4265" t="str">
        <x:v>Ricardo Sperren</x:v>
      </x:c>
      <x:c r="E4265" t="str">
        <x:v>Corporate</x:v>
      </x:c>
      <x:c r="F4265" t="str">
        <x:v>East</x:v>
      </x:c>
      <x:c r="G4265" t="str">
        <x:v>Office Supplies</x:v>
      </x:c>
      <x:c r="H4265" t="str">
        <x:v>Labels</x:v>
      </x:c>
      <x:c r="I4265" s="22" t="n">
        <x:v>13.049999999999999</x:v>
      </x:c>
      <x:c r="J4265" s="24" t="n">
        <x:v>5</x:v>
      </x:c>
      <x:c r="K4265" s="26" t="n">
        <x:v>0</x:v>
      </x:c>
      <x:c r="L4265" s="22" t="n">
        <x:v>6.002999999999999</x:v>
      </x:c>
      <x:c r="M4265" t="n">
        <x:v>2017</x:v>
      </x:c>
      <x:c r="N4265" s="20" t="n">
        <x:v>43009</x:v>
      </x:c>
    </x:row>
    <x:row r="4266" ht="18" customHeight="1">
      <x:c r="A4266" t="str">
        <x:v>CA-2017-158344</x:v>
      </x:c>
      <x:c r="B4266" s="18" t="n">
        <x:v>42954</x:v>
      </x:c>
      <x:c r="C4266" t="str">
        <x:v>CC-12475</x:v>
      </x:c>
      <x:c r="D4266" t="str">
        <x:v>Cindy Chapman</x:v>
      </x:c>
      <x:c r="E4266" t="str">
        <x:v>Consumer</x:v>
      </x:c>
      <x:c r="F4266" t="str">
        <x:v>Central</x:v>
      </x:c>
      <x:c r="G4266" t="str">
        <x:v>Technology</x:v>
      </x:c>
      <x:c r="H4266" t="str">
        <x:v>Accessories</x:v>
      </x:c>
      <x:c r="I4266" s="22" t="n">
        <x:v>63.96</x:v>
      </x:c>
      <x:c r="J4266" s="24" t="n">
        <x:v>4</x:v>
      </x:c>
      <x:c r="K4266" s="26" t="n">
        <x:v>0</x:v>
      </x:c>
      <x:c r="L4266" s="22" t="n">
        <x:v>19.827599999999997</x:v>
      </x:c>
      <x:c r="M4266" t="n">
        <x:v>2017</x:v>
      </x:c>
      <x:c r="N4266" s="20" t="n">
        <x:v>42948</x:v>
      </x:c>
    </x:row>
    <x:row r="4267" ht="18" customHeight="1">
      <x:c r="A4267" t="str">
        <x:v>CA-2017-123351</x:v>
      </x:c>
      <x:c r="B4267" s="18" t="n">
        <x:v>42999</x:v>
      </x:c>
      <x:c r="C4267" t="str">
        <x:v>KT-16480</x:v>
      </x:c>
      <x:c r="D4267" t="str">
        <x:v>Kean Thornton</x:v>
      </x:c>
      <x:c r="E4267" t="str">
        <x:v>Consumer</x:v>
      </x:c>
      <x:c r="F4267" t="str">
        <x:v>South</x:v>
      </x:c>
      <x:c r="G4267" t="str">
        <x:v>Office Supplies</x:v>
      </x:c>
      <x:c r="H4267" t="str">
        <x:v>Appliances</x:v>
      </x:c>
      <x:c r="I4267" s="22" t="n">
        <x:v>80.48</x:v>
      </x:c>
      <x:c r="J4267" s="24" t="n">
        <x:v>1</x:v>
      </x:c>
      <x:c r="K4267" s="26" t="n">
        <x:v>0</x:v>
      </x:c>
      <x:c r="L4267" s="22" t="n">
        <x:v>24.144</x:v>
      </x:c>
      <x:c r="M4267" t="n">
        <x:v>2017</x:v>
      </x:c>
      <x:c r="N4267" s="20" t="n">
        <x:v>42979</x:v>
      </x:c>
    </x:row>
    <x:row r="4268" ht="18" customHeight="1">
      <x:c r="A4268" t="str">
        <x:v>CA-2017-110429</x:v>
      </x:c>
      <x:c r="B4268" s="18" t="n">
        <x:v>43042</x:v>
      </x:c>
      <x:c r="C4268" t="str">
        <x:v>DM-13015</x:v>
      </x:c>
      <x:c r="D4268" t="str">
        <x:v>Darrin Martin</x:v>
      </x:c>
      <x:c r="E4268" t="str">
        <x:v>Consumer</x:v>
      </x:c>
      <x:c r="F4268" t="str">
        <x:v>East</x:v>
      </x:c>
      <x:c r="G4268" t="str">
        <x:v>Office Supplies</x:v>
      </x:c>
      <x:c r="H4268" t="str">
        <x:v>Binders</x:v>
      </x:c>
      <x:c r="I4268" s="22" t="n">
        <x:v>11.673000000000002</x:v>
      </x:c>
      <x:c r="J4268" s="24" t="n">
        <x:v>3</x:v>
      </x:c>
      <x:c r="K4268" s="26" t="n">
        <x:v>0.7</x:v>
      </x:c>
      <x:c r="L4268" s="22" t="n">
        <x:v>-7.782</x:v>
      </x:c>
      <x:c r="M4268" t="n">
        <x:v>2017</x:v>
      </x:c>
      <x:c r="N4268" s="20" t="n">
        <x:v>43040</x:v>
      </x:c>
    </x:row>
    <x:row r="4269" ht="18" customHeight="1">
      <x:c r="A4269" t="str">
        <x:v>US-2016-131611</x:v>
      </x:c>
      <x:c r="B4269" s="18" t="n">
        <x:v>42679</x:v>
      </x:c>
      <x:c r="C4269" t="str">
        <x:v>EP-13915</x:v>
      </x:c>
      <x:c r="D4269" t="str">
        <x:v>Emily Phan</x:v>
      </x:c>
      <x:c r="E4269" t="str">
        <x:v>Consumer</x:v>
      </x:c>
      <x:c r="F4269" t="str">
        <x:v>Central</x:v>
      </x:c>
      <x:c r="G4269" t="str">
        <x:v>Furniture</x:v>
      </x:c>
      <x:c r="H4269" t="str">
        <x:v>Tables</x:v>
      </x:c>
      <x:c r="I4269" s="22" t="n">
        <x:v>863.1279999999999</x:v>
      </x:c>
      <x:c r="J4269" s="24" t="n">
        <x:v>8</x:v>
      </x:c>
      <x:c r="K4269" s="26" t="n">
        <x:v>0.3</x:v>
      </x:c>
      <x:c r="L4269" s="22" t="n">
        <x:v>-160.29520000000008</x:v>
      </x:c>
      <x:c r="M4269" t="n">
        <x:v>2016</x:v>
      </x:c>
      <x:c r="N4269" s="20" t="n">
        <x:v>42675</x:v>
      </x:c>
    </x:row>
    <x:row r="4270" ht="18" customHeight="1">
      <x:c r="A4270" t="str">
        <x:v>US-2016-131611</x:v>
      </x:c>
      <x:c r="B4270" s="18" t="n">
        <x:v>42679</x:v>
      </x:c>
      <x:c r="C4270" t="str">
        <x:v>EP-13915</x:v>
      </x:c>
      <x:c r="D4270" t="str">
        <x:v>Emily Phan</x:v>
      </x:c>
      <x:c r="E4270" t="str">
        <x:v>Consumer</x:v>
      </x:c>
      <x:c r="F4270" t="str">
        <x:v>Central</x:v>
      </x:c>
      <x:c r="G4270" t="str">
        <x:v>Office Supplies</x:v>
      </x:c>
      <x:c r="H4270" t="str">
        <x:v>Binders</x:v>
      </x:c>
      <x:c r="I4270" s="22" t="n">
        <x:v>3.563999999999999</x:v>
      </x:c>
      <x:c r="J4270" s="24" t="n">
        <x:v>3</x:v>
      </x:c>
      <x:c r="K4270" s="26" t="n">
        <x:v>0.8</x:v>
      </x:c>
      <x:c r="L4270" s="22" t="n">
        <x:v>-6.237000000000002</x:v>
      </x:c>
      <x:c r="M4270" t="n">
        <x:v>2016</x:v>
      </x:c>
      <x:c r="N4270" s="20" t="n">
        <x:v>42675</x:v>
      </x:c>
    </x:row>
    <x:row r="4271" ht="18" customHeight="1">
      <x:c r="A4271" t="str">
        <x:v>US-2016-131611</x:v>
      </x:c>
      <x:c r="B4271" s="18" t="n">
        <x:v>42679</x:v>
      </x:c>
      <x:c r="C4271" t="str">
        <x:v>EP-13915</x:v>
      </x:c>
      <x:c r="D4271" t="str">
        <x:v>Emily Phan</x:v>
      </x:c>
      <x:c r="E4271" t="str">
        <x:v>Consumer</x:v>
      </x:c>
      <x:c r="F4271" t="str">
        <x:v>Central</x:v>
      </x:c>
      <x:c r="G4271" t="str">
        <x:v>Furniture</x:v>
      </x:c>
      <x:c r="H4271" t="str">
        <x:v>Bookcases</x:v>
      </x:c>
      <x:c r="I4271" s="22" t="n">
        <x:v>956.6647999999999</x:v>
      </x:c>
      <x:c r="J4271" s="24" t="n">
        <x:v>7</x:v>
      </x:c>
      <x:c r="K4271" s="26" t="n">
        <x:v>0.32</x:v>
      </x:c>
      <x:c r="L4271" s="22" t="n">
        <x:v>-225.09759999999991</x:v>
      </x:c>
      <x:c r="M4271" t="n">
        <x:v>2016</x:v>
      </x:c>
      <x:c r="N4271" s="20" t="n">
        <x:v>42675</x:v>
      </x:c>
    </x:row>
    <x:row r="4272" ht="18" customHeight="1">
      <x:c r="A4272" t="str">
        <x:v>US-2016-131611</x:v>
      </x:c>
      <x:c r="B4272" s="18" t="n">
        <x:v>42679</x:v>
      </x:c>
      <x:c r="C4272" t="str">
        <x:v>EP-13915</x:v>
      </x:c>
      <x:c r="D4272" t="str">
        <x:v>Emily Phan</x:v>
      </x:c>
      <x:c r="E4272" t="str">
        <x:v>Consumer</x:v>
      </x:c>
      <x:c r="F4272" t="str">
        <x:v>Central</x:v>
      </x:c>
      <x:c r="G4272" t="str">
        <x:v>Office Supplies</x:v>
      </x:c>
      <x:c r="H4272" t="str">
        <x:v>Binders</x:v>
      </x:c>
      <x:c r="I4272" s="22" t="n">
        <x:v>12.587999999999997</x:v>
      </x:c>
      <x:c r="J4272" s="24" t="n">
        <x:v>3</x:v>
      </x:c>
      <x:c r="K4272" s="26" t="n">
        <x:v>0.8</x:v>
      </x:c>
      <x:c r="L4272" s="22" t="n">
        <x:v>-20.140800000000006</x:v>
      </x:c>
      <x:c r="M4272" t="n">
        <x:v>2016</x:v>
      </x:c>
      <x:c r="N4272" s="20" t="n">
        <x:v>42675</x:v>
      </x:c>
    </x:row>
    <x:row r="4273" ht="18" customHeight="1">
      <x:c r="A4273" t="str">
        <x:v>US-2016-131611</x:v>
      </x:c>
      <x:c r="B4273" s="18" t="n">
        <x:v>42679</x:v>
      </x:c>
      <x:c r="C4273" t="str">
        <x:v>EP-13915</x:v>
      </x:c>
      <x:c r="D4273" t="str">
        <x:v>Emily Phan</x:v>
      </x:c>
      <x:c r="E4273" t="str">
        <x:v>Consumer</x:v>
      </x:c>
      <x:c r="F4273" t="str">
        <x:v>Central</x:v>
      </x:c>
      <x:c r="G4273" t="str">
        <x:v>Technology</x:v>
      </x:c>
      <x:c r="H4273" t="str">
        <x:v>Accessories</x:v>
      </x:c>
      <x:c r="I4273" s="22" t="n">
        <x:v>171.96</x:v>
      </x:c>
      <x:c r="J4273" s="24" t="n">
        <x:v>5</x:v>
      </x:c>
      <x:c r="K4273" s="26" t="n">
        <x:v>0.2</x:v>
      </x:c>
      <x:c r="L4273" s="22" t="n">
        <x:v>45.139500000000005</x:v>
      </x:c>
      <x:c r="M4273" t="n">
        <x:v>2016</x:v>
      </x:c>
      <x:c r="N4273" s="20" t="n">
        <x:v>42675</x:v>
      </x:c>
    </x:row>
    <x:row r="4274" ht="18" customHeight="1">
      <x:c r="A4274" t="str">
        <x:v>US-2017-124821</x:v>
      </x:c>
      <x:c r="B4274" s="18" t="n">
        <x:v>42911</x:v>
      </x:c>
      <x:c r="C4274" t="str">
        <x:v>AM-10705</x:v>
      </x:c>
      <x:c r="D4274" t="str">
        <x:v>Anne McFarland</x:v>
      </x:c>
      <x:c r="E4274" t="str">
        <x:v>Consumer</x:v>
      </x:c>
      <x:c r="F4274" t="str">
        <x:v>West</x:v>
      </x:c>
      <x:c r="G4274" t="str">
        <x:v>Furniture</x:v>
      </x:c>
      <x:c r="H4274" t="str">
        <x:v>Tables</x:v>
      </x:c>
      <x:c r="I4274" s="22" t="n">
        <x:v>871.4</x:v>
      </x:c>
      <x:c r="J4274" s="24" t="n">
        <x:v>4</x:v>
      </x:c>
      <x:c r="K4274" s="26" t="n">
        <x:v>0</x:v>
      </x:c>
      <x:c r="L4274" s="22" t="n">
        <x:v>148.13799999999992</x:v>
      </x:c>
      <x:c r="M4274" t="n">
        <x:v>2017</x:v>
      </x:c>
      <x:c r="N4274" s="20" t="n">
        <x:v>42887</x:v>
      </x:c>
    </x:row>
    <x:row r="4275" ht="18" customHeight="1">
      <x:c r="A4275" t="str">
        <x:v>CA-2015-166975</x:v>
      </x:c>
      <x:c r="B4275" s="18" t="n">
        <x:v>42334</x:v>
      </x:c>
      <x:c r="C4275" t="str">
        <x:v>SH-20635</x:v>
      </x:c>
      <x:c r="D4275" t="str">
        <x:v>Stefanie Holloman</x:v>
      </x:c>
      <x:c r="E4275" t="str">
        <x:v>Corporate</x:v>
      </x:c>
      <x:c r="F4275" t="str">
        <x:v>South</x:v>
      </x:c>
      <x:c r="G4275" t="str">
        <x:v>Furniture</x:v>
      </x:c>
      <x:c r="H4275" t="str">
        <x:v>Furnishings</x:v>
      </x:c>
      <x:c r="I4275" s="22" t="n">
        <x:v>692.472</x:v>
      </x:c>
      <x:c r="J4275" s="24" t="n">
        <x:v>11</x:v>
      </x:c>
      <x:c r="K4275" s="26" t="n">
        <x:v>0.2</x:v>
      </x:c>
      <x:c r="L4275" s="22" t="n">
        <x:v>190.42980000000006</x:v>
      </x:c>
      <x:c r="M4275" t="n">
        <x:v>2015</x:v>
      </x:c>
      <x:c r="N4275" s="20" t="n">
        <x:v>42309</x:v>
      </x:c>
    </x:row>
    <x:row r="4276" ht="18" customHeight="1">
      <x:c r="A4276" t="str">
        <x:v>CA-2016-123806</x:v>
      </x:c>
      <x:c r="B4276" s="18" t="n">
        <x:v>42698</x:v>
      </x:c>
      <x:c r="C4276" t="str">
        <x:v>LA-16780</x:v>
      </x:c>
      <x:c r="D4276" t="str">
        <x:v>Laura Armstrong</x:v>
      </x:c>
      <x:c r="E4276" t="str">
        <x:v>Corporate</x:v>
      </x:c>
      <x:c r="F4276" t="str">
        <x:v>East</x:v>
      </x:c>
      <x:c r="G4276" t="str">
        <x:v>Furniture</x:v>
      </x:c>
      <x:c r="H4276" t="str">
        <x:v>Furnishings</x:v>
      </x:c>
      <x:c r="I4276" s="22" t="n">
        <x:v>207.76</x:v>
      </x:c>
      <x:c r="J4276" s="24" t="n">
        <x:v>4</x:v>
      </x:c>
      <x:c r="K4276" s="26" t="n">
        <x:v>0</x:v>
      </x:c>
      <x:c r="L4276" s="22" t="n">
        <x:v>85.1816</x:v>
      </x:c>
      <x:c r="M4276" t="n">
        <x:v>2016</x:v>
      </x:c>
      <x:c r="N4276" s="20" t="n">
        <x:v>42675</x:v>
      </x:c>
    </x:row>
    <x:row r="4277" ht="18" customHeight="1">
      <x:c r="A4277" t="str">
        <x:v>US-2017-158505</x:v>
      </x:c>
      <x:c r="B4277" s="18" t="n">
        <x:v>42937</x:v>
      </x:c>
      <x:c r="C4277" t="str">
        <x:v>SF-20200</x:v>
      </x:c>
      <x:c r="D4277" t="str">
        <x:v>Sarah Foster</x:v>
      </x:c>
      <x:c r="E4277" t="str">
        <x:v>Consumer</x:v>
      </x:c>
      <x:c r="F4277" t="str">
        <x:v>West</x:v>
      </x:c>
      <x:c r="G4277" t="str">
        <x:v>Technology</x:v>
      </x:c>
      <x:c r="H4277" t="str">
        <x:v>Phones</x:v>
      </x:c>
      <x:c r="I4277" s="22" t="n">
        <x:v>71.92800000000001</x:v>
      </x:c>
      <x:c r="J4277" s="24" t="n">
        <x:v>9</x:v>
      </x:c>
      <x:c r="K4277" s="26" t="n">
        <x:v>0.2</x:v>
      </x:c>
      <x:c r="L4277" s="22" t="n">
        <x:v>6.293699999999998</x:v>
      </x:c>
      <x:c r="M4277" t="n">
        <x:v>2017</x:v>
      </x:c>
      <x:c r="N4277" s="20" t="n">
        <x:v>42917</x:v>
      </x:c>
    </x:row>
    <x:row r="4278" ht="18" customHeight="1">
      <x:c r="A4278" t="str">
        <x:v>US-2017-158505</x:v>
      </x:c>
      <x:c r="B4278" s="18" t="n">
        <x:v>42937</x:v>
      </x:c>
      <x:c r="C4278" t="str">
        <x:v>SF-20200</x:v>
      </x:c>
      <x:c r="D4278" t="str">
        <x:v>Sarah Foster</x:v>
      </x:c>
      <x:c r="E4278" t="str">
        <x:v>Consumer</x:v>
      </x:c>
      <x:c r="F4278" t="str">
        <x:v>West</x:v>
      </x:c>
      <x:c r="G4278" t="str">
        <x:v>Office Supplies</x:v>
      </x:c>
      <x:c r="H4278" t="str">
        <x:v>Art</x:v>
      </x:c>
      <x:c r="I4278" s="22" t="n">
        <x:v>25.99</x:v>
      </x:c>
      <x:c r="J4278" s="24" t="n">
        <x:v>1</x:v>
      </x:c>
      <x:c r="K4278" s="26" t="n">
        <x:v>0</x:v>
      </x:c>
      <x:c r="L4278" s="22" t="n">
        <x:v>7.537099999999999</x:v>
      </x:c>
      <x:c r="M4278" t="n">
        <x:v>2017</x:v>
      </x:c>
      <x:c r="N4278" s="20" t="n">
        <x:v>42917</x:v>
      </x:c>
    </x:row>
    <x:row r="4279" ht="18" customHeight="1">
      <x:c r="A4279" t="str">
        <x:v>CA-2015-142692</x:v>
      </x:c>
      <x:c r="B4279" s="18" t="n">
        <x:v>42300</x:v>
      </x:c>
      <x:c r="C4279" t="str">
        <x:v>AG-10495</x:v>
      </x:c>
      <x:c r="D4279" t="str">
        <x:v>Andrew Gjertsen</x:v>
      </x:c>
      <x:c r="E4279" t="str">
        <x:v>Corporate</x:v>
      </x:c>
      <x:c r="F4279" t="str">
        <x:v>West</x:v>
      </x:c>
      <x:c r="G4279" t="str">
        <x:v>Office Supplies</x:v>
      </x:c>
      <x:c r="H4279" t="str">
        <x:v>Binders</x:v>
      </x:c>
      <x:c r="I4279" s="22" t="n">
        <x:v>3.5920000000000005</x:v>
      </x:c>
      <x:c r="J4279" s="24" t="n">
        <x:v>1</x:v>
      </x:c>
      <x:c r="K4279" s="26" t="n">
        <x:v>0.2</x:v>
      </x:c>
      <x:c r="L4279" s="22" t="n">
        <x:v>1.1224999999999996</x:v>
      </x:c>
      <x:c r="M4279" t="n">
        <x:v>2015</x:v>
      </x:c>
      <x:c r="N4279" s="20" t="n">
        <x:v>42278</x:v>
      </x:c>
    </x:row>
    <x:row r="4280" ht="18" customHeight="1">
      <x:c r="A4280" t="str">
        <x:v>CA-2015-123456</x:v>
      </x:c>
      <x:c r="B4280" s="18" t="n">
        <x:v>42194</x:v>
      </x:c>
      <x:c r="C4280" t="str">
        <x:v>KN-16450</x:v>
      </x:c>
      <x:c r="D4280" t="str">
        <x:v>Kean Nguyen</x:v>
      </x:c>
      <x:c r="E4280" t="str">
        <x:v>Corporate</x:v>
      </x:c>
      <x:c r="F4280" t="str">
        <x:v>Central</x:v>
      </x:c>
      <x:c r="G4280" t="str">
        <x:v>Office Supplies</x:v>
      </x:c>
      <x:c r="H4280" t="str">
        <x:v>Appliances</x:v>
      </x:c>
      <x:c r="I4280" s="22" t="n">
        <x:v>48.63199999999999</x:v>
      </x:c>
      <x:c r="J4280" s="24" t="n">
        <x:v>2</x:v>
      </x:c>
      <x:c r="K4280" s="26" t="n">
        <x:v>0.8</x:v>
      </x:c>
      <x:c r="L4280" s="22" t="n">
        <x:v>-121.58000000000004</x:v>
      </x:c>
      <x:c r="M4280" t="n">
        <x:v>2015</x:v>
      </x:c>
      <x:c r="N4280" s="20" t="n">
        <x:v>42186</x:v>
      </x:c>
    </x:row>
    <x:row r="4281" ht="18" customHeight="1">
      <x:c r="A4281" t="str">
        <x:v>CA-2017-151358</x:v>
      </x:c>
      <x:c r="B4281" s="18" t="n">
        <x:v>42965</x:v>
      </x:c>
      <x:c r="C4281" t="str">
        <x:v>NF-18595</x:v>
      </x:c>
      <x:c r="D4281" t="str">
        <x:v>Nicole Fjeld</x:v>
      </x:c>
      <x:c r="E4281" t="str">
        <x:v>Home Office</x:v>
      </x:c>
      <x:c r="F4281" t="str">
        <x:v>West</x:v>
      </x:c>
      <x:c r="G4281" t="str">
        <x:v>Office Supplies</x:v>
      </x:c>
      <x:c r="H4281" t="str">
        <x:v>Storage</x:v>
      </x:c>
      <x:c r="I4281" s="22" t="n">
        <x:v>323.1</x:v>
      </x:c>
      <x:c r="J4281" s="24" t="n">
        <x:v>2</x:v>
      </x:c>
      <x:c r="K4281" s="26" t="n">
        <x:v>0</x:v>
      </x:c>
      <x:c r="L4281" s="22" t="n">
        <x:v>61.38900000000001</x:v>
      </x:c>
      <x:c r="M4281" t="n">
        <x:v>2017</x:v>
      </x:c>
      <x:c r="N4281" s="20" t="n">
        <x:v>42948</x:v>
      </x:c>
    </x:row>
    <x:row r="4282" ht="18" customHeight="1">
      <x:c r="A4282" t="str">
        <x:v>US-2016-107440</x:v>
      </x:c>
      <x:c r="B4282" s="18" t="n">
        <x:v>42476</x:v>
      </x:c>
      <x:c r="C4282" t="str">
        <x:v>BS-11365</x:v>
      </x:c>
      <x:c r="D4282" t="str">
        <x:v>Bill Shonely</x:v>
      </x:c>
      <x:c r="E4282" t="str">
        <x:v>Corporate</x:v>
      </x:c>
      <x:c r="F4282" t="str">
        <x:v>East</x:v>
      </x:c>
      <x:c r="G4282" t="str">
        <x:v>Technology</x:v>
      </x:c>
      <x:c r="H4282" t="str">
        <x:v>Machines</x:v>
      </x:c>
      <x:c r="I4282" s="22" t="n">
        <x:v>9099.93</x:v>
      </x:c>
      <x:c r="J4282" s="24" t="n">
        <x:v>7</x:v>
      </x:c>
      <x:c r="K4282" s="26" t="n">
        <x:v>0</x:v>
      </x:c>
      <x:c r="L4282" s="22" t="n">
        <x:v>2365.9817999999996</x:v>
      </x:c>
      <x:c r="M4282" t="n">
        <x:v>2016</x:v>
      </x:c>
      <x:c r="N4282" s="20" t="n">
        <x:v>42461</x:v>
      </x:c>
    </x:row>
    <x:row r="4283" ht="18" customHeight="1">
      <x:c r="A4283" t="str">
        <x:v>US-2016-107440</x:v>
      </x:c>
      <x:c r="B4283" s="18" t="n">
        <x:v>42476</x:v>
      </x:c>
      <x:c r="C4283" t="str">
        <x:v>BS-11365</x:v>
      </x:c>
      <x:c r="D4283" t="str">
        <x:v>Bill Shonely</x:v>
      </x:c>
      <x:c r="E4283" t="str">
        <x:v>Corporate</x:v>
      </x:c>
      <x:c r="F4283" t="str">
        <x:v>East</x:v>
      </x:c>
      <x:c r="G4283" t="str">
        <x:v>Furniture</x:v>
      </x:c>
      <x:c r="H4283" t="str">
        <x:v>Furnishings</x:v>
      </x:c>
      <x:c r="I4283" s="22" t="n">
        <x:v>9.96</x:v>
      </x:c>
      <x:c r="J4283" s="24" t="n">
        <x:v>2</x:v>
      </x:c>
      <x:c r="K4283" s="26" t="n">
        <x:v>0</x:v>
      </x:c>
      <x:c r="L4283" s="22" t="n">
        <x:v>3.2867999999999995</x:v>
      </x:c>
      <x:c r="M4283" t="n">
        <x:v>2016</x:v>
      </x:c>
      <x:c r="N4283" s="20" t="n">
        <x:v>42461</x:v>
      </x:c>
    </x:row>
    <x:row r="4284" ht="18" customHeight="1">
      <x:c r="A4284" t="str">
        <x:v>US-2016-107440</x:v>
      </x:c>
      <x:c r="B4284" s="18" t="n">
        <x:v>42476</x:v>
      </x:c>
      <x:c r="C4284" t="str">
        <x:v>BS-11365</x:v>
      </x:c>
      <x:c r="D4284" t="str">
        <x:v>Bill Shonely</x:v>
      </x:c>
      <x:c r="E4284" t="str">
        <x:v>Corporate</x:v>
      </x:c>
      <x:c r="F4284" t="str">
        <x:v>East</x:v>
      </x:c>
      <x:c r="G4284" t="str">
        <x:v>Office Supplies</x:v>
      </x:c>
      <x:c r="H4284" t="str">
        <x:v>Binders</x:v>
      </x:c>
      <x:c r="I4284" s="22" t="n">
        <x:v>25.299999999999997</x:v>
      </x:c>
      <x:c r="J4284" s="24" t="n">
        <x:v>5</x:v>
      </x:c>
      <x:c r="K4284" s="26" t="n">
        <x:v>0</x:v>
      </x:c>
      <x:c r="L4284" s="22" t="n">
        <x:v>11.890999999999998</x:v>
      </x:c>
      <x:c r="M4284" t="n">
        <x:v>2016</x:v>
      </x:c>
      <x:c r="N4284" s="20" t="n">
        <x:v>42461</x:v>
      </x:c>
    </x:row>
    <x:row r="4285" ht="18" customHeight="1">
      <x:c r="A4285" t="str">
        <x:v>CA-2014-166989</x:v>
      </x:c>
      <x:c r="B4285" s="18" t="n">
        <x:v>41957</x:v>
      </x:c>
      <x:c r="C4285" t="str">
        <x:v>RM-19675</x:v>
      </x:c>
      <x:c r="D4285" t="str">
        <x:v>Robert Marley</x:v>
      </x:c>
      <x:c r="E4285" t="str">
        <x:v>Home Office</x:v>
      </x:c>
      <x:c r="F4285" t="str">
        <x:v>East</x:v>
      </x:c>
      <x:c r="G4285" t="str">
        <x:v>Office Supplies</x:v>
      </x:c>
      <x:c r="H4285" t="str">
        <x:v>Paper</x:v>
      </x:c>
      <x:c r="I4285" s="22" t="n">
        <x:v>11.36</x:v>
      </x:c>
      <x:c r="J4285" s="24" t="n">
        <x:v>2</x:v>
      </x:c>
      <x:c r="K4285" s="26" t="n">
        <x:v>0</x:v>
      </x:c>
      <x:c r="L4285" s="22" t="n">
        <x:v>5.225599999999999</x:v>
      </x:c>
      <x:c r="M4285" t="n">
        <x:v>2014</x:v>
      </x:c>
      <x:c r="N4285" s="20" t="n">
        <x:v>41944</x:v>
      </x:c>
    </x:row>
    <x:row r="4286" ht="18" customHeight="1">
      <x:c r="A4286" t="str">
        <x:v>CA-2014-166989</x:v>
      </x:c>
      <x:c r="B4286" s="18" t="n">
        <x:v>41957</x:v>
      </x:c>
      <x:c r="C4286" t="str">
        <x:v>RM-19675</x:v>
      </x:c>
      <x:c r="D4286" t="str">
        <x:v>Robert Marley</x:v>
      </x:c>
      <x:c r="E4286" t="str">
        <x:v>Home Office</x:v>
      </x:c>
      <x:c r="F4286" t="str">
        <x:v>East</x:v>
      </x:c>
      <x:c r="G4286" t="str">
        <x:v>Furniture</x:v>
      </x:c>
      <x:c r="H4286" t="str">
        <x:v>Chairs</x:v>
      </x:c>
      <x:c r="I4286" s="22" t="n">
        <x:v>69.264</x:v>
      </x:c>
      <x:c r="J4286" s="24" t="n">
        <x:v>2</x:v>
      </x:c>
      <x:c r="K4286" s="26" t="n">
        <x:v>0.1</x:v>
      </x:c>
      <x:c r="L4286" s="22" t="n">
        <x:v>14.62239999999999</x:v>
      </x:c>
      <x:c r="M4286" t="n">
        <x:v>2014</x:v>
      </x:c>
      <x:c r="N4286" s="20" t="n">
        <x:v>41944</x:v>
      </x:c>
    </x:row>
    <x:row r="4287" ht="18" customHeight="1">
      <x:c r="A4287" t="str">
        <x:v>CA-2014-103100</x:v>
      </x:c>
      <x:c r="B4287" s="18" t="n">
        <x:v>41993</x:v>
      </x:c>
      <x:c r="C4287" t="str">
        <x:v>AB-10105</x:v>
      </x:c>
      <x:c r="D4287" t="str">
        <x:v>Adrian Barton</x:v>
      </x:c>
      <x:c r="E4287" t="str">
        <x:v>Consumer</x:v>
      </x:c>
      <x:c r="F4287" t="str">
        <x:v>Central</x:v>
      </x:c>
      <x:c r="G4287" t="str">
        <x:v>Office Supplies</x:v>
      </x:c>
      <x:c r="H4287" t="str">
        <x:v>Labels</x:v>
      </x:c>
      <x:c r="I4287" s="22" t="n">
        <x:v>3.69</x:v>
      </x:c>
      <x:c r="J4287" s="24" t="n">
        <x:v>1</x:v>
      </x:c>
      <x:c r="K4287" s="26" t="n">
        <x:v>0</x:v>
      </x:c>
      <x:c r="L4287" s="22" t="n">
        <x:v>1.7343</x:v>
      </x:c>
      <x:c r="M4287" t="n">
        <x:v>2014</x:v>
      </x:c>
      <x:c r="N4287" s="20" t="n">
        <x:v>41974</x:v>
      </x:c>
    </x:row>
    <x:row r="4288" ht="18" customHeight="1">
      <x:c r="A4288" t="str">
        <x:v>CA-2014-103100</x:v>
      </x:c>
      <x:c r="B4288" s="18" t="n">
        <x:v>41993</x:v>
      </x:c>
      <x:c r="C4288" t="str">
        <x:v>AB-10105</x:v>
      </x:c>
      <x:c r="D4288" t="str">
        <x:v>Adrian Barton</x:v>
      </x:c>
      <x:c r="E4288" t="str">
        <x:v>Consumer</x:v>
      </x:c>
      <x:c r="F4288" t="str">
        <x:v>Central</x:v>
      </x:c>
      <x:c r="G4288" t="str">
        <x:v>Office Supplies</x:v>
      </x:c>
      <x:c r="H4288" t="str">
        <x:v>Binders</x:v>
      </x:c>
      <x:c r="I4288" s="22" t="n">
        <x:v>1103.97</x:v>
      </x:c>
      <x:c r="J4288" s="24" t="n">
        <x:v>3</x:v>
      </x:c>
      <x:c r="K4288" s="26" t="n">
        <x:v>0</x:v>
      </x:c>
      <x:c r="L4288" s="22" t="n">
        <x:v>496.78649999999993</x:v>
      </x:c>
      <x:c r="M4288" t="n">
        <x:v>2014</x:v>
      </x:c>
      <x:c r="N4288" s="20" t="n">
        <x:v>41974</x:v>
      </x:c>
    </x:row>
    <x:row r="4289" ht="18" customHeight="1">
      <x:c r="A4289" t="str">
        <x:v>CA-2015-105690</x:v>
      </x:c>
      <x:c r="B4289" s="18" t="n">
        <x:v>42329</x:v>
      </x:c>
      <x:c r="C4289" t="str">
        <x:v>CA-11965</x:v>
      </x:c>
      <x:c r="D4289" t="str">
        <x:v>Carol Adams</x:v>
      </x:c>
      <x:c r="E4289" t="str">
        <x:v>Corporate</x:v>
      </x:c>
      <x:c r="F4289" t="str">
        <x:v>Central</x:v>
      </x:c>
      <x:c r="G4289" t="str">
        <x:v>Furniture</x:v>
      </x:c>
      <x:c r="H4289" t="str">
        <x:v>Bookcases</x:v>
      </x:c>
      <x:c r="I4289" s="22" t="n">
        <x:v>246.13279999999997</x:v>
      </x:c>
      <x:c r="J4289" s="24" t="n">
        <x:v>2</x:v>
      </x:c>
      <x:c r="K4289" s="26" t="n">
        <x:v>0.32</x:v>
      </x:c>
      <x:c r="L4289" s="22" t="n">
        <x:v>-76.01159999999997</x:v>
      </x:c>
      <x:c r="M4289" t="n">
        <x:v>2015</x:v>
      </x:c>
      <x:c r="N4289" s="20" t="n">
        <x:v>42309</x:v>
      </x:c>
    </x:row>
    <x:row r="4290" ht="18" customHeight="1">
      <x:c r="A4290" t="str">
        <x:v>CA-2015-105690</x:v>
      </x:c>
      <x:c r="B4290" s="18" t="n">
        <x:v>42329</x:v>
      </x:c>
      <x:c r="C4290" t="str">
        <x:v>CA-11965</x:v>
      </x:c>
      <x:c r="D4290" t="str">
        <x:v>Carol Adams</x:v>
      </x:c>
      <x:c r="E4290" t="str">
        <x:v>Corporate</x:v>
      </x:c>
      <x:c r="F4290" t="str">
        <x:v>Central</x:v>
      </x:c>
      <x:c r="G4290" t="str">
        <x:v>Office Supplies</x:v>
      </x:c>
      <x:c r="H4290" t="str">
        <x:v>Labels</x:v>
      </x:c>
      <x:c r="I4290" s="22" t="n">
        <x:v>11.696</x:v>
      </x:c>
      <x:c r="J4290" s="24" t="n">
        <x:v>2</x:v>
      </x:c>
      <x:c r="K4290" s="26" t="n">
        <x:v>0.2</x:v>
      </x:c>
      <x:c r="L4290" s="22" t="n">
        <x:v>3.9473999999999996</x:v>
      </x:c>
      <x:c r="M4290" t="n">
        <x:v>2015</x:v>
      </x:c>
      <x:c r="N4290" s="20" t="n">
        <x:v>42309</x:v>
      </x:c>
    </x:row>
    <x:row r="4291" ht="18" customHeight="1">
      <x:c r="A4291" t="str">
        <x:v>CA-2015-105690</x:v>
      </x:c>
      <x:c r="B4291" s="18" t="n">
        <x:v>42329</x:v>
      </x:c>
      <x:c r="C4291" t="str">
        <x:v>CA-11965</x:v>
      </x:c>
      <x:c r="D4291" t="str">
        <x:v>Carol Adams</x:v>
      </x:c>
      <x:c r="E4291" t="str">
        <x:v>Corporate</x:v>
      </x:c>
      <x:c r="F4291" t="str">
        <x:v>Central</x:v>
      </x:c>
      <x:c r="G4291" t="str">
        <x:v>Technology</x:v>
      </x:c>
      <x:c r="H4291" t="str">
        <x:v>Copiers</x:v>
      </x:c>
      <x:c r="I4291" s="22" t="n">
        <x:v>439.992</x:v>
      </x:c>
      <x:c r="J4291" s="24" t="n">
        <x:v>1</x:v>
      </x:c>
      <x:c r="K4291" s="26" t="n">
        <x:v>0.2</x:v>
      </x:c>
      <x:c r="L4291" s="22" t="n">
        <x:v>164.997</x:v>
      </x:c>
      <x:c r="M4291" t="n">
        <x:v>2015</x:v>
      </x:c>
      <x:c r="N4291" s="20" t="n">
        <x:v>42309</x:v>
      </x:c>
    </x:row>
    <x:row r="4292" ht="18" customHeight="1">
      <x:c r="A4292" t="str">
        <x:v>CA-2017-127516</x:v>
      </x:c>
      <x:c r="B4292" s="18" t="n">
        <x:v>43097</x:v>
      </x:c>
      <x:c r="C4292" t="str">
        <x:v>EH-14005</x:v>
      </x:c>
      <x:c r="D4292" t="str">
        <x:v>Erica Hernandez</x:v>
      </x:c>
      <x:c r="E4292" t="str">
        <x:v>Home Office</x:v>
      </x:c>
      <x:c r="F4292" t="str">
        <x:v>South</x:v>
      </x:c>
      <x:c r="G4292" t="str">
        <x:v>Office Supplies</x:v>
      </x:c>
      <x:c r="H4292" t="str">
        <x:v>Storage</x:v>
      </x:c>
      <x:c r="I4292" s="22" t="n">
        <x:v>64.784</x:v>
      </x:c>
      <x:c r="J4292" s="24" t="n">
        <x:v>1</x:v>
      </x:c>
      <x:c r="K4292" s="26" t="n">
        <x:v>0.2</x:v>
      </x:c>
      <x:c r="L4292" s="22" t="n">
        <x:v>-12.956800000000005</x:v>
      </x:c>
      <x:c r="M4292" t="n">
        <x:v>2017</x:v>
      </x:c>
      <x:c r="N4292" s="20" t="n">
        <x:v>43070</x:v>
      </x:c>
    </x:row>
    <x:row r="4293" ht="18" customHeight="1">
      <x:c r="A4293" t="str">
        <x:v>US-2015-117184</x:v>
      </x:c>
      <x:c r="B4293" s="18" t="n">
        <x:v>42141</x:v>
      </x:c>
      <x:c r="C4293" t="str">
        <x:v>ON-18715</x:v>
      </x:c>
      <x:c r="D4293" t="str">
        <x:v>Odella Nelson</x:v>
      </x:c>
      <x:c r="E4293" t="str">
        <x:v>Corporate</x:v>
      </x:c>
      <x:c r="F4293" t="str">
        <x:v>Central</x:v>
      </x:c>
      <x:c r="G4293" t="str">
        <x:v>Office Supplies</x:v>
      </x:c>
      <x:c r="H4293" t="str">
        <x:v>Binders</x:v>
      </x:c>
      <x:c r="I4293" s="22" t="n">
        <x:v>33.279999999999994</x:v>
      </x:c>
      <x:c r="J4293" s="24" t="n">
        <x:v>5</x:v>
      </x:c>
      <x:c r="K4293" s="26" t="n">
        <x:v>0.8</x:v>
      </x:c>
      <x:c r="L4293" s="22" t="n">
        <x:v>-49.92</x:v>
      </x:c>
      <x:c r="M4293" t="n">
        <x:v>2015</x:v>
      </x:c>
      <x:c r="N4293" s="20" t="n">
        <x:v>42125</x:v>
      </x:c>
    </x:row>
    <x:row r="4294" ht="18" customHeight="1">
      <x:c r="A4294" t="str">
        <x:v>US-2015-117184</x:v>
      </x:c>
      <x:c r="B4294" s="18" t="n">
        <x:v>42141</x:v>
      </x:c>
      <x:c r="C4294" t="str">
        <x:v>ON-18715</x:v>
      </x:c>
      <x:c r="D4294" t="str">
        <x:v>Odella Nelson</x:v>
      </x:c>
      <x:c r="E4294" t="str">
        <x:v>Corporate</x:v>
      </x:c>
      <x:c r="F4294" t="str">
        <x:v>Central</x:v>
      </x:c>
      <x:c r="G4294" t="str">
        <x:v>Office Supplies</x:v>
      </x:c>
      <x:c r="H4294" t="str">
        <x:v>Paper</x:v>
      </x:c>
      <x:c r="I4294" s="22" t="n">
        <x:v>14.088000000000001</x:v>
      </x:c>
      <x:c r="J4294" s="24" t="n">
        <x:v>3</x:v>
      </x:c>
      <x:c r="K4294" s="26" t="n">
        <x:v>0.2</x:v>
      </x:c>
      <x:c r="L4294" s="22" t="n">
        <x:v>4.9308</x:v>
      </x:c>
      <x:c r="M4294" t="n">
        <x:v>2015</x:v>
      </x:c>
      <x:c r="N4294" s="20" t="n">
        <x:v>42125</x:v>
      </x:c>
    </x:row>
    <x:row r="4295" ht="18" customHeight="1">
      <x:c r="A4295" t="str">
        <x:v>CA-2017-102407</x:v>
      </x:c>
      <x:c r="B4295" s="18" t="n">
        <x:v>43078</x:v>
      </x:c>
      <x:c r="C4295" t="str">
        <x:v>AT-10435</x:v>
      </x:c>
      <x:c r="D4295" t="str">
        <x:v>Alyssa Tate</x:v>
      </x:c>
      <x:c r="E4295" t="str">
        <x:v>Home Office</x:v>
      </x:c>
      <x:c r="F4295" t="str">
        <x:v>West</x:v>
      </x:c>
      <x:c r="G4295" t="str">
        <x:v>Office Supplies</x:v>
      </x:c>
      <x:c r="H4295" t="str">
        <x:v>Art</x:v>
      </x:c>
      <x:c r="I4295" s="22" t="n">
        <x:v>11.16</x:v>
      </x:c>
      <x:c r="J4295" s="24" t="n">
        <x:v>2</x:v>
      </x:c>
      <x:c r="K4295" s="26" t="n">
        <x:v>0</x:v>
      </x:c>
      <x:c r="L4295" s="22" t="n">
        <x:v>2.789999999999999</x:v>
      </x:c>
      <x:c r="M4295" t="n">
        <x:v>2017</x:v>
      </x:c>
      <x:c r="N4295" s="20" t="n">
        <x:v>43070</x:v>
      </x:c>
    </x:row>
    <x:row r="4296" ht="18" customHeight="1">
      <x:c r="A4296" t="str">
        <x:v>CA-2017-102407</x:v>
      </x:c>
      <x:c r="B4296" s="18" t="n">
        <x:v>43078</x:v>
      </x:c>
      <x:c r="C4296" t="str">
        <x:v>AT-10435</x:v>
      </x:c>
      <x:c r="D4296" t="str">
        <x:v>Alyssa Tate</x:v>
      </x:c>
      <x:c r="E4296" t="str">
        <x:v>Home Office</x:v>
      </x:c>
      <x:c r="F4296" t="str">
        <x:v>West</x:v>
      </x:c>
      <x:c r="G4296" t="str">
        <x:v>Furniture</x:v>
      </x:c>
      <x:c r="H4296" t="str">
        <x:v>Tables</x:v>
      </x:c>
      <x:c r="I4296" s="22" t="n">
        <x:v>896.328</x:v>
      </x:c>
      <x:c r="J4296" s="24" t="n">
        <x:v>9</x:v>
      </x:c>
      <x:c r="K4296" s="26" t="n">
        <x:v>0.2</x:v>
      </x:c>
      <x:c r="L4296" s="22" t="n">
        <x:v>22.408199999999994</x:v>
      </x:c>
      <x:c r="M4296" t="n">
        <x:v>2017</x:v>
      </x:c>
      <x:c r="N4296" s="20" t="n">
        <x:v>43070</x:v>
      </x:c>
    </x:row>
    <x:row r="4297" ht="18" customHeight="1">
      <x:c r="A4297" t="str">
        <x:v>CA-2017-102407</x:v>
      </x:c>
      <x:c r="B4297" s="18" t="n">
        <x:v>43078</x:v>
      </x:c>
      <x:c r="C4297" t="str">
        <x:v>AT-10435</x:v>
      </x:c>
      <x:c r="D4297" t="str">
        <x:v>Alyssa Tate</x:v>
      </x:c>
      <x:c r="E4297" t="str">
        <x:v>Home Office</x:v>
      </x:c>
      <x:c r="F4297" t="str">
        <x:v>West</x:v>
      </x:c>
      <x:c r="G4297" t="str">
        <x:v>Office Supplies</x:v>
      </x:c>
      <x:c r="H4297" t="str">
        <x:v>Appliances</x:v>
      </x:c>
      <x:c r="I4297" s="22" t="n">
        <x:v>189</x:v>
      </x:c>
      <x:c r="J4297" s="24" t="n">
        <x:v>1</x:v>
      </x:c>
      <x:c r="K4297" s="26" t="n">
        <x:v>0</x:v>
      </x:c>
      <x:c r="L4297" s="22" t="n">
        <x:v>68.03999999999999</x:v>
      </x:c>
      <x:c r="M4297" t="n">
        <x:v>2017</x:v>
      </x:c>
      <x:c r="N4297" s="20" t="n">
        <x:v>43070</x:v>
      </x:c>
    </x:row>
    <x:row r="4298" ht="18" customHeight="1">
      <x:c r="A4298" t="str">
        <x:v>CA-2017-130967</x:v>
      </x:c>
      <x:c r="B4298" s="18" t="n">
        <x:v>42804</x:v>
      </x:c>
      <x:c r="C4298" t="str">
        <x:v>EB-13870</x:v>
      </x:c>
      <x:c r="D4298" t="str">
        <x:v>Emily Burns</x:v>
      </x:c>
      <x:c r="E4298" t="str">
        <x:v>Consumer</x:v>
      </x:c>
      <x:c r="F4298" t="str">
        <x:v>East</x:v>
      </x:c>
      <x:c r="G4298" t="str">
        <x:v>Technology</x:v>
      </x:c>
      <x:c r="H4298" t="str">
        <x:v>Phones</x:v>
      </x:c>
      <x:c r="I4298" s="22" t="n">
        <x:v>53.982</x:v>
      </x:c>
      <x:c r="J4298" s="24" t="n">
        <x:v>3</x:v>
      </x:c>
      <x:c r="K4298" s="26" t="n">
        <x:v>0.4</x:v>
      </x:c>
      <x:c r="L4298" s="22" t="n">
        <x:v>-10.796399999999995</x:v>
      </x:c>
      <x:c r="M4298" t="n">
        <x:v>2017</x:v>
      </x:c>
      <x:c r="N4298" s="20" t="n">
        <x:v>42795</x:v>
      </x:c>
    </x:row>
    <x:row r="4299" ht="18" customHeight="1">
      <x:c r="A4299" t="str">
        <x:v>CA-2017-101581</x:v>
      </x:c>
      <x:c r="B4299" s="18" t="n">
        <x:v>43030</x:v>
      </x:c>
      <x:c r="C4299" t="str">
        <x:v>DW-13195</x:v>
      </x:c>
      <x:c r="D4299" t="str">
        <x:v>David Wiener</x:v>
      </x:c>
      <x:c r="E4299" t="str">
        <x:v>Corporate</x:v>
      </x:c>
      <x:c r="F4299" t="str">
        <x:v>West</x:v>
      </x:c>
      <x:c r="G4299" t="str">
        <x:v>Furniture</x:v>
      </x:c>
      <x:c r="H4299" t="str">
        <x:v>Tables</x:v>
      </x:c>
      <x:c r="I4299" s="22" t="n">
        <x:v>177.225</x:v>
      </x:c>
      <x:c r="J4299" s="24" t="n">
        <x:v>5</x:v>
      </x:c>
      <x:c r="K4299" s="26" t="n">
        <x:v>0.5</x:v>
      </x:c>
      <x:c r="L4299" s="22" t="n">
        <x:v>-120.51299999999998</x:v>
      </x:c>
      <x:c r="M4299" t="n">
        <x:v>2017</x:v>
      </x:c>
      <x:c r="N4299" s="20" t="n">
        <x:v>43009</x:v>
      </x:c>
    </x:row>
    <x:row r="4300" ht="18" customHeight="1">
      <x:c r="A4300" t="str">
        <x:v>CA-2017-169124</x:v>
      </x:c>
      <x:c r="B4300" s="18" t="n">
        <x:v>42919</x:v>
      </x:c>
      <x:c r="C4300" t="str">
        <x:v>MB-17305</x:v>
      </x:c>
      <x:c r="D4300" t="str">
        <x:v>Maria Bertelson</x:v>
      </x:c>
      <x:c r="E4300" t="str">
        <x:v>Consumer</x:v>
      </x:c>
      <x:c r="F4300" t="str">
        <x:v>West</x:v>
      </x:c>
      <x:c r="G4300" t="str">
        <x:v>Furniture</x:v>
      </x:c>
      <x:c r="H4300" t="str">
        <x:v>Furnishings</x:v>
      </x:c>
      <x:c r="I4300" s="22" t="n">
        <x:v>129.39000000000001</x:v>
      </x:c>
      <x:c r="J4300" s="24" t="n">
        <x:v>3</x:v>
      </x:c>
      <x:c r="K4300" s="26" t="n">
        <x:v>0</x:v>
      </x:c>
      <x:c r="L4300" s="22" t="n">
        <x:v>54.34380000000001</x:v>
      </x:c>
      <x:c r="M4300" t="n">
        <x:v>2017</x:v>
      </x:c>
      <x:c r="N4300" s="20" t="n">
        <x:v>42917</x:v>
      </x:c>
    </x:row>
    <x:row r="4301" ht="18" customHeight="1">
      <x:c r="A4301" t="str">
        <x:v>CA-2017-117261</x:v>
      </x:c>
      <x:c r="B4301" s="18" t="n">
        <x:v>42982</x:v>
      </x:c>
      <x:c r="C4301" t="str">
        <x:v>TH-21235</x:v>
      </x:c>
      <x:c r="D4301" t="str">
        <x:v>Tiffany House</x:v>
      </x:c>
      <x:c r="E4301" t="str">
        <x:v>Corporate</x:v>
      </x:c>
      <x:c r="F4301" t="str">
        <x:v>West</x:v>
      </x:c>
      <x:c r="G4301" t="str">
        <x:v>Office Supplies</x:v>
      </x:c>
      <x:c r="H4301" t="str">
        <x:v>Storage</x:v>
      </x:c>
      <x:c r="I4301" s="22" t="n">
        <x:v>54.32</x:v>
      </x:c>
      <x:c r="J4301" s="24" t="n">
        <x:v>4</x:v>
      </x:c>
      <x:c r="K4301" s="26" t="n">
        <x:v>0</x:v>
      </x:c>
      <x:c r="L4301" s="22" t="n">
        <x:v>0.5431999999999988</x:v>
      </x:c>
      <x:c r="M4301" t="n">
        <x:v>2017</x:v>
      </x:c>
      <x:c r="N4301" s="20" t="n">
        <x:v>42979</x:v>
      </x:c>
    </x:row>
    <x:row r="4302" ht="18" customHeight="1">
      <x:c r="A4302" t="str">
        <x:v>CA-2017-129021</x:v>
      </x:c>
      <x:c r="B4302" s="18" t="n">
        <x:v>42970</x:v>
      </x:c>
      <x:c r="C4302" t="str">
        <x:v>PO-18850</x:v>
      </x:c>
      <x:c r="D4302" t="str">
        <x:v>Patrick O'Brill</x:v>
      </x:c>
      <x:c r="E4302" t="str">
        <x:v>Consumer</x:v>
      </x:c>
      <x:c r="F4302" t="str">
        <x:v>South</x:v>
      </x:c>
      <x:c r="G4302" t="str">
        <x:v>Technology</x:v>
      </x:c>
      <x:c r="H4302" t="str">
        <x:v>Phones</x:v>
      </x:c>
      <x:c r="I4302" s="22" t="n">
        <x:v>4367.896000000001</x:v>
      </x:c>
      <x:c r="J4302" s="24" t="n">
        <x:v>13</x:v>
      </x:c>
      <x:c r="K4302" s="26" t="n">
        <x:v>0.2</x:v>
      </x:c>
      <x:c r="L4302" s="22" t="n">
        <x:v>327.59220000000005</x:v>
      </x:c>
      <x:c r="M4302" t="n">
        <x:v>2017</x:v>
      </x:c>
      <x:c r="N4302" s="20" t="n">
        <x:v>42948</x:v>
      </x:c>
    </x:row>
    <x:row r="4303" ht="18" customHeight="1">
      <x:c r="A4303" t="str">
        <x:v>CA-2017-129021</x:v>
      </x:c>
      <x:c r="B4303" s="18" t="n">
        <x:v>42970</x:v>
      </x:c>
      <x:c r="C4303" t="str">
        <x:v>PO-18850</x:v>
      </x:c>
      <x:c r="D4303" t="str">
        <x:v>Patrick O'Brill</x:v>
      </x:c>
      <x:c r="E4303" t="str">
        <x:v>Consumer</x:v>
      </x:c>
      <x:c r="F4303" t="str">
        <x:v>South</x:v>
      </x:c>
      <x:c r="G4303" t="str">
        <x:v>Office Supplies</x:v>
      </x:c>
      <x:c r="H4303" t="str">
        <x:v>Paper</x:v>
      </x:c>
      <x:c r="I4303" s="22" t="n">
        <x:v>49.568000000000005</x:v>
      </x:c>
      <x:c r="J4303" s="24" t="n">
        <x:v>2</x:v>
      </x:c>
      <x:c r="K4303" s="26" t="n">
        <x:v>0.2</x:v>
      </x:c>
      <x:c r="L4303" s="22" t="n">
        <x:v>15.489999999999997</x:v>
      </x:c>
      <x:c r="M4303" t="n">
        <x:v>2017</x:v>
      </x:c>
      <x:c r="N4303" s="20" t="n">
        <x:v>42948</x:v>
      </x:c>
    </x:row>
    <x:row r="4304" ht="18" customHeight="1">
      <x:c r="A4304" t="str">
        <x:v>CA-2017-129021</x:v>
      </x:c>
      <x:c r="B4304" s="18" t="n">
        <x:v>42970</x:v>
      </x:c>
      <x:c r="C4304" t="str">
        <x:v>PO-18850</x:v>
      </x:c>
      <x:c r="D4304" t="str">
        <x:v>Patrick O'Brill</x:v>
      </x:c>
      <x:c r="E4304" t="str">
        <x:v>Consumer</x:v>
      </x:c>
      <x:c r="F4304" t="str">
        <x:v>South</x:v>
      </x:c>
      <x:c r="G4304" t="str">
        <x:v>Office Supplies</x:v>
      </x:c>
      <x:c r="H4304" t="str">
        <x:v>Appliances</x:v>
      </x:c>
      <x:c r="I4304" s="22" t="n">
        <x:v>161.376</x:v>
      </x:c>
      <x:c r="J4304" s="24" t="n">
        <x:v>6</x:v>
      </x:c>
      <x:c r="K4304" s="26" t="n">
        <x:v>0.2</x:v>
      </x:c>
      <x:c r="L4304" s="22" t="n">
        <x:v>12.103199999999994</x:v>
      </x:c>
      <x:c r="M4304" t="n">
        <x:v>2017</x:v>
      </x:c>
      <x:c r="N4304" s="20" t="n">
        <x:v>42948</x:v>
      </x:c>
    </x:row>
    <x:row r="4305" ht="18" customHeight="1">
      <x:c r="A4305" t="str">
        <x:v>CA-2017-129021</x:v>
      </x:c>
      <x:c r="B4305" s="18" t="n">
        <x:v>42970</x:v>
      </x:c>
      <x:c r="C4305" t="str">
        <x:v>PO-18850</x:v>
      </x:c>
      <x:c r="D4305" t="str">
        <x:v>Patrick O'Brill</x:v>
      </x:c>
      <x:c r="E4305" t="str">
        <x:v>Consumer</x:v>
      </x:c>
      <x:c r="F4305" t="str">
        <x:v>South</x:v>
      </x:c>
      <x:c r="G4305" t="str">
        <x:v>Furniture</x:v>
      </x:c>
      <x:c r="H4305" t="str">
        <x:v>Furnishings</x:v>
      </x:c>
      <x:c r="I4305" s="22" t="n">
        <x:v>2.7840000000000003</x:v>
      </x:c>
      <x:c r="J4305" s="24" t="n">
        <x:v>2</x:v>
      </x:c>
      <x:c r="K4305" s="26" t="n">
        <x:v>0.2</x:v>
      </x:c>
      <x:c r="L4305" s="22" t="n">
        <x:v>0.41759999999999986</x:v>
      </x:c>
      <x:c r="M4305" t="n">
        <x:v>2017</x:v>
      </x:c>
      <x:c r="N4305" s="20" t="n">
        <x:v>42948</x:v>
      </x:c>
    </x:row>
    <x:row r="4306" ht="18" customHeight="1">
      <x:c r="A4306" t="str">
        <x:v>CA-2017-129021</x:v>
      </x:c>
      <x:c r="B4306" s="18" t="n">
        <x:v>42970</x:v>
      </x:c>
      <x:c r="C4306" t="str">
        <x:v>PO-18850</x:v>
      </x:c>
      <x:c r="D4306" t="str">
        <x:v>Patrick O'Brill</x:v>
      </x:c>
      <x:c r="E4306" t="str">
        <x:v>Consumer</x:v>
      </x:c>
      <x:c r="F4306" t="str">
        <x:v>South</x:v>
      </x:c>
      <x:c r="G4306" t="str">
        <x:v>Office Supplies</x:v>
      </x:c>
      <x:c r="H4306" t="str">
        <x:v>Paper</x:v>
      </x:c>
      <x:c r="I4306" s="22" t="n">
        <x:v>8.72</x:v>
      </x:c>
      <x:c r="J4306" s="24" t="n">
        <x:v>5</x:v>
      </x:c>
      <x:c r="K4306" s="26" t="n">
        <x:v>0.2</x:v>
      </x:c>
      <x:c r="L4306" s="22" t="n">
        <x:v>2.942999999999999</x:v>
      </x:c>
      <x:c r="M4306" t="n">
        <x:v>2017</x:v>
      </x:c>
      <x:c r="N4306" s="20" t="n">
        <x:v>42948</x:v>
      </x:c>
    </x:row>
    <x:row r="4307" ht="18" customHeight="1">
      <x:c r="A4307" t="str">
        <x:v>CA-2014-123253</x:v>
      </x:c>
      <x:c r="B4307" s="18" t="n">
        <x:v>41873</x:v>
      </x:c>
      <x:c r="C4307" t="str">
        <x:v>DE-13255</x:v>
      </x:c>
      <x:c r="D4307" t="str">
        <x:v>Deanra Eno</x:v>
      </x:c>
      <x:c r="E4307" t="str">
        <x:v>Home Office</x:v>
      </x:c>
      <x:c r="F4307" t="str">
        <x:v>East</x:v>
      </x:c>
      <x:c r="G4307" t="str">
        <x:v>Office Supplies</x:v>
      </x:c>
      <x:c r="H4307" t="str">
        <x:v>Art</x:v>
      </x:c>
      <x:c r="I4307" s="22" t="n">
        <x:v>3.912</x:v>
      </x:c>
      <x:c r="J4307" s="24" t="n">
        <x:v>1</x:v>
      </x:c>
      <x:c r="K4307" s="26" t="n">
        <x:v>0.2</x:v>
      </x:c>
      <x:c r="L4307" s="22" t="n">
        <x:v>1.0269000000000001</x:v>
      </x:c>
      <x:c r="M4307" t="n">
        <x:v>2014</x:v>
      </x:c>
      <x:c r="N4307" s="20" t="n">
        <x:v>41852</x:v>
      </x:c>
    </x:row>
    <x:row r="4308" ht="18" customHeight="1">
      <x:c r="A4308" t="str">
        <x:v>CA-2016-121601</x:v>
      </x:c>
      <x:c r="B4308" s="18" t="n">
        <x:v>42647</x:v>
      </x:c>
      <x:c r="C4308" t="str">
        <x:v>MO-17500</x:v>
      </x:c>
      <x:c r="D4308" t="str">
        <x:v>Mary O'Rourke</x:v>
      </x:c>
      <x:c r="E4308" t="str">
        <x:v>Consumer</x:v>
      </x:c>
      <x:c r="F4308" t="str">
        <x:v>Central</x:v>
      </x:c>
      <x:c r="G4308" t="str">
        <x:v>Office Supplies</x:v>
      </x:c>
      <x:c r="H4308" t="str">
        <x:v>Envelopes</x:v>
      </x:c>
      <x:c r="I4308" s="22" t="n">
        <x:v>59.751999999999995</x:v>
      </x:c>
      <x:c r="J4308" s="24" t="n">
        <x:v>7</x:v>
      </x:c>
      <x:c r="K4308" s="26" t="n">
        <x:v>0.2</x:v>
      </x:c>
      <x:c r="L4308" s="22" t="n">
        <x:v>19.4194</x:v>
      </x:c>
      <x:c r="M4308" t="n">
        <x:v>2016</x:v>
      </x:c>
      <x:c r="N4308" s="20" t="n">
        <x:v>42644</x:v>
      </x:c>
    </x:row>
    <x:row r="4309" ht="18" customHeight="1">
      <x:c r="A4309" t="str">
        <x:v>CA-2014-162278</x:v>
      </x:c>
      <x:c r="B4309" s="18" t="n">
        <x:v>41938</x:v>
      </x:c>
      <x:c r="C4309" t="str">
        <x:v>AH-10585</x:v>
      </x:c>
      <x:c r="D4309" t="str">
        <x:v>Angele Hood</x:v>
      </x:c>
      <x:c r="E4309" t="str">
        <x:v>Consumer</x:v>
      </x:c>
      <x:c r="F4309" t="str">
        <x:v>West</x:v>
      </x:c>
      <x:c r="G4309" t="str">
        <x:v>Furniture</x:v>
      </x:c>
      <x:c r="H4309" t="str">
        <x:v>Furnishings</x:v>
      </x:c>
      <x:c r="I4309" s="22" t="n">
        <x:v>63.92</x:v>
      </x:c>
      <x:c r="J4309" s="24" t="n">
        <x:v>4</x:v>
      </x:c>
      <x:c r="K4309" s="26" t="n">
        <x:v>0</x:v>
      </x:c>
      <x:c r="L4309" s="22" t="n">
        <x:v>3.195999999999998</x:v>
      </x:c>
      <x:c r="M4309" t="n">
        <x:v>2014</x:v>
      </x:c>
      <x:c r="N4309" s="20" t="n">
        <x:v>41913</x:v>
      </x:c>
    </x:row>
    <x:row r="4310" ht="18" customHeight="1">
      <x:c r="A4310" t="str">
        <x:v>CA-2014-162278</x:v>
      </x:c>
      <x:c r="B4310" s="18" t="n">
        <x:v>41938</x:v>
      </x:c>
      <x:c r="C4310" t="str">
        <x:v>AH-10585</x:v>
      </x:c>
      <x:c r="D4310" t="str">
        <x:v>Angele Hood</x:v>
      </x:c>
      <x:c r="E4310" t="str">
        <x:v>Consumer</x:v>
      </x:c>
      <x:c r="F4310" t="str">
        <x:v>West</x:v>
      </x:c>
      <x:c r="G4310" t="str">
        <x:v>Technology</x:v>
      </x:c>
      <x:c r="H4310" t="str">
        <x:v>Phones</x:v>
      </x:c>
      <x:c r="I4310" s="22" t="n">
        <x:v>383.96000000000004</x:v>
      </x:c>
      <x:c r="J4310" s="24" t="n">
        <x:v>5</x:v>
      </x:c>
      <x:c r="K4310" s="26" t="n">
        <x:v>0.2</x:v>
      </x:c>
      <x:c r="L4310" s="22" t="n">
        <x:v>38.396000000000015</x:v>
      </x:c>
      <x:c r="M4310" t="n">
        <x:v>2014</x:v>
      </x:c>
      <x:c r="N4310" s="20" t="n">
        <x:v>41913</x:v>
      </x:c>
    </x:row>
    <x:row r="4311" ht="18" customHeight="1">
      <x:c r="A4311" t="str">
        <x:v>CA-2016-161095</x:v>
      </x:c>
      <x:c r="B4311" s="18" t="n">
        <x:v>42549</x:v>
      </x:c>
      <x:c r="C4311" t="str">
        <x:v>CS-12250</x:v>
      </x:c>
      <x:c r="D4311" t="str">
        <x:v>Chris Selesnick</x:v>
      </x:c>
      <x:c r="E4311" t="str">
        <x:v>Corporate</x:v>
      </x:c>
      <x:c r="F4311" t="str">
        <x:v>West</x:v>
      </x:c>
      <x:c r="G4311" t="str">
        <x:v>Office Supplies</x:v>
      </x:c>
      <x:c r="H4311" t="str">
        <x:v>Binders</x:v>
      </x:c>
      <x:c r="I4311" s="22" t="n">
        <x:v>7.752000000000001</x:v>
      </x:c>
      <x:c r="J4311" s="24" t="n">
        <x:v>3</x:v>
      </x:c>
      <x:c r="K4311" s="26" t="n">
        <x:v>0.2</x:v>
      </x:c>
      <x:c r="L4311" s="22" t="n">
        <x:v>2.8101</x:v>
      </x:c>
      <x:c r="M4311" t="n">
        <x:v>2016</x:v>
      </x:c>
      <x:c r="N4311" s="20" t="n">
        <x:v>42522</x:v>
      </x:c>
    </x:row>
    <x:row r="4312" ht="18" customHeight="1">
      <x:c r="A4312" t="str">
        <x:v>CA-2016-161095</x:v>
      </x:c>
      <x:c r="B4312" s="18" t="n">
        <x:v>42549</x:v>
      </x:c>
      <x:c r="C4312" t="str">
        <x:v>CS-12250</x:v>
      </x:c>
      <x:c r="D4312" t="str">
        <x:v>Chris Selesnick</x:v>
      </x:c>
      <x:c r="E4312" t="str">
        <x:v>Corporate</x:v>
      </x:c>
      <x:c r="F4312" t="str">
        <x:v>West</x:v>
      </x:c>
      <x:c r="G4312" t="str">
        <x:v>Office Supplies</x:v>
      </x:c>
      <x:c r="H4312" t="str">
        <x:v>Binders</x:v>
      </x:c>
      <x:c r="I4312" s="22" t="n">
        <x:v>33.568000000000005</x:v>
      </x:c>
      <x:c r="J4312" s="24" t="n">
        <x:v>2</x:v>
      </x:c>
      <x:c r="K4312" s="26" t="n">
        <x:v>0.2</x:v>
      </x:c>
      <x:c r="L4312" s="22" t="n">
        <x:v>11.748799999999997</x:v>
      </x:c>
      <x:c r="M4312" t="n">
        <x:v>2016</x:v>
      </x:c>
      <x:c r="N4312" s="20" t="n">
        <x:v>42522</x:v>
      </x:c>
    </x:row>
    <x:row r="4313" ht="18" customHeight="1">
      <x:c r="A4313" t="str">
        <x:v>CA-2014-125829</x:v>
      </x:c>
      <x:c r="B4313" s="18" t="n">
        <x:v>41947</x:v>
      </x:c>
      <x:c r="C4313" t="str">
        <x:v>WB-21850</x:v>
      </x:c>
      <x:c r="D4313" t="str">
        <x:v>William Brown</x:v>
      </x:c>
      <x:c r="E4313" t="str">
        <x:v>Consumer</x:v>
      </x:c>
      <x:c r="F4313" t="str">
        <x:v>West</x:v>
      </x:c>
      <x:c r="G4313" t="str">
        <x:v>Technology</x:v>
      </x:c>
      <x:c r="H4313" t="str">
        <x:v>Phones</x:v>
      </x:c>
      <x:c r="I4313" s="22" t="n">
        <x:v>666.344</x:v>
      </x:c>
      <x:c r="J4313" s="24" t="n">
        <x:v>7</x:v>
      </x:c>
      <x:c r="K4313" s="26" t="n">
        <x:v>0.2</x:v>
      </x:c>
      <x:c r="L4313" s="22" t="n">
        <x:v>66.63439999999997</x:v>
      </x:c>
      <x:c r="M4313" t="n">
        <x:v>2014</x:v>
      </x:c>
      <x:c r="N4313" s="20" t="n">
        <x:v>41944</x:v>
      </x:c>
    </x:row>
    <x:row r="4314" ht="18" customHeight="1">
      <x:c r="A4314" t="str">
        <x:v>CA-2014-125829</x:v>
      </x:c>
      <x:c r="B4314" s="18" t="n">
        <x:v>41947</x:v>
      </x:c>
      <x:c r="C4314" t="str">
        <x:v>WB-21850</x:v>
      </x:c>
      <x:c r="D4314" t="str">
        <x:v>William Brown</x:v>
      </x:c>
      <x:c r="E4314" t="str">
        <x:v>Consumer</x:v>
      </x:c>
      <x:c r="F4314" t="str">
        <x:v>West</x:v>
      </x:c>
      <x:c r="G4314" t="str">
        <x:v>Furniture</x:v>
      </x:c>
      <x:c r="H4314" t="str">
        <x:v>Tables</x:v>
      </x:c>
      <x:c r="I4314" s="22" t="n">
        <x:v>573.728</x:v>
      </x:c>
      <x:c r="J4314" s="24" t="n">
        <x:v>4</x:v>
      </x:c>
      <x:c r="K4314" s="26" t="n">
        <x:v>0.2</x:v>
      </x:c>
      <x:c r="L4314" s="22" t="n">
        <x:v>-64.54439999999997</x:v>
      </x:c>
      <x:c r="M4314" t="n">
        <x:v>2014</x:v>
      </x:c>
      <x:c r="N4314" s="20" t="n">
        <x:v>41944</x:v>
      </x:c>
    </x:row>
    <x:row r="4315" ht="18" customHeight="1">
      <x:c r="A4315" t="str">
        <x:v>CA-2014-125829</x:v>
      </x:c>
      <x:c r="B4315" s="18" t="n">
        <x:v>41947</x:v>
      </x:c>
      <x:c r="C4315" t="str">
        <x:v>WB-21850</x:v>
      </x:c>
      <x:c r="D4315" t="str">
        <x:v>William Brown</x:v>
      </x:c>
      <x:c r="E4315" t="str">
        <x:v>Consumer</x:v>
      </x:c>
      <x:c r="F4315" t="str">
        <x:v>West</x:v>
      </x:c>
      <x:c r="G4315" t="str">
        <x:v>Office Supplies</x:v>
      </x:c>
      <x:c r="H4315" t="str">
        <x:v>Binders</x:v>
      </x:c>
      <x:c r="I4315" s="22" t="n">
        <x:v>21.936000000000003</x:v>
      </x:c>
      <x:c r="J4315" s="24" t="n">
        <x:v>3</x:v>
      </x:c>
      <x:c r="K4315" s="26" t="n">
        <x:v>0.2</x:v>
      </x:c>
      <x:c r="L4315" s="22" t="n">
        <x:v>8.225999999999999</x:v>
      </x:c>
      <x:c r="M4315" t="n">
        <x:v>2014</x:v>
      </x:c>
      <x:c r="N4315" s="20" t="n">
        <x:v>41944</x:v>
      </x:c>
    </x:row>
    <x:row r="4316" ht="18" customHeight="1">
      <x:c r="A4316" t="str">
        <x:v>CA-2014-125829</x:v>
      </x:c>
      <x:c r="B4316" s="18" t="n">
        <x:v>41947</x:v>
      </x:c>
      <x:c r="C4316" t="str">
        <x:v>WB-21850</x:v>
      </x:c>
      <x:c r="D4316" t="str">
        <x:v>William Brown</x:v>
      </x:c>
      <x:c r="E4316" t="str">
        <x:v>Consumer</x:v>
      </x:c>
      <x:c r="F4316" t="str">
        <x:v>West</x:v>
      </x:c>
      <x:c r="G4316" t="str">
        <x:v>Office Supplies</x:v>
      </x:c>
      <x:c r="H4316" t="str">
        <x:v>Paper</x:v>
      </x:c>
      <x:c r="I4316" s="22" t="n">
        <x:v>19.44</x:v>
      </x:c>
      <x:c r="J4316" s="24" t="n">
        <x:v>3</x:v>
      </x:c>
      <x:c r="K4316" s="26" t="n">
        <x:v>0</x:v>
      </x:c>
      <x:c r="L4316" s="22" t="n">
        <x:v>9.3312</x:v>
      </x:c>
      <x:c r="M4316" t="n">
        <x:v>2014</x:v>
      </x:c>
      <x:c r="N4316" s="20" t="n">
        <x:v>41944</x:v>
      </x:c>
    </x:row>
    <x:row r="4317" ht="18" customHeight="1">
      <x:c r="A4317" t="str">
        <x:v>CA-2014-125829</x:v>
      </x:c>
      <x:c r="B4317" s="18" t="n">
        <x:v>41947</x:v>
      </x:c>
      <x:c r="C4317" t="str">
        <x:v>WB-21850</x:v>
      </x:c>
      <x:c r="D4317" t="str">
        <x:v>William Brown</x:v>
      </x:c>
      <x:c r="E4317" t="str">
        <x:v>Consumer</x:v>
      </x:c>
      <x:c r="F4317" t="str">
        <x:v>West</x:v>
      </x:c>
      <x:c r="G4317" t="str">
        <x:v>Technology</x:v>
      </x:c>
      <x:c r="H4317" t="str">
        <x:v>Machines</x:v>
      </x:c>
      <x:c r="I4317" s="22" t="n">
        <x:v>447.9680000000001</x:v>
      </x:c>
      <x:c r="J4317" s="24" t="n">
        <x:v>4</x:v>
      </x:c>
      <x:c r="K4317" s="26" t="n">
        <x:v>0.2</x:v>
      </x:c>
      <x:c r="L4317" s="22" t="n">
        <x:v>139.98999999999995</x:v>
      </x:c>
      <x:c r="M4317" t="n">
        <x:v>2014</x:v>
      </x:c>
      <x:c r="N4317" s="20" t="n">
        <x:v>41944</x:v>
      </x:c>
    </x:row>
    <x:row r="4318" ht="18" customHeight="1">
      <x:c r="A4318" t="str">
        <x:v>CA-2014-123127</x:v>
      </x:c>
      <x:c r="B4318" s="18" t="n">
        <x:v>41890</x:v>
      </x:c>
      <x:c r="C4318" t="str">
        <x:v>SP-20620</x:v>
      </x:c>
      <x:c r="D4318" t="str">
        <x:v>Stefania Perrino</x:v>
      </x:c>
      <x:c r="E4318" t="str">
        <x:v>Corporate</x:v>
      </x:c>
      <x:c r="F4318" t="str">
        <x:v>East</x:v>
      </x:c>
      <x:c r="G4318" t="str">
        <x:v>Office Supplies</x:v>
      </x:c>
      <x:c r="H4318" t="str">
        <x:v>Appliances</x:v>
      </x:c>
      <x:c r="I4318" s="22" t="n">
        <x:v>16.78</x:v>
      </x:c>
      <x:c r="J4318" s="24" t="n">
        <x:v>2</x:v>
      </x:c>
      <x:c r="K4318" s="26" t="n">
        <x:v>0</x:v>
      </x:c>
      <x:c r="L4318" s="22" t="n">
        <x:v>4.195</x:v>
      </x:c>
      <x:c r="M4318" t="n">
        <x:v>2014</x:v>
      </x:c>
      <x:c r="N4318" s="20" t="n">
        <x:v>41883</x:v>
      </x:c>
    </x:row>
    <x:row r="4319" ht="18" customHeight="1">
      <x:c r="A4319" t="str">
        <x:v>CA-2015-115945</x:v>
      </x:c>
      <x:c r="B4319" s="18" t="n">
        <x:v>42180</x:v>
      </x:c>
      <x:c r="C4319" t="str">
        <x:v>AB-10165</x:v>
      </x:c>
      <x:c r="D4319" t="str">
        <x:v>Alan Barnes</x:v>
      </x:c>
      <x:c r="E4319" t="str">
        <x:v>Consumer</x:v>
      </x:c>
      <x:c r="F4319" t="str">
        <x:v>West</x:v>
      </x:c>
      <x:c r="G4319" t="str">
        <x:v>Office Supplies</x:v>
      </x:c>
      <x:c r="H4319" t="str">
        <x:v>Art</x:v>
      </x:c>
      <x:c r="I4319" s="22" t="n">
        <x:v>20.96</x:v>
      </x:c>
      <x:c r="J4319" s="24" t="n">
        <x:v>2</x:v>
      </x:c>
      <x:c r="K4319" s="26" t="n">
        <x:v>0</x:v>
      </x:c>
      <x:c r="L4319" s="22" t="n">
        <x:v>5.24</x:v>
      </x:c>
      <x:c r="M4319" t="n">
        <x:v>2015</x:v>
      </x:c>
      <x:c r="N4319" s="20" t="n">
        <x:v>42156</x:v>
      </x:c>
    </x:row>
    <x:row r="4320" ht="18" customHeight="1">
      <x:c r="A4320" t="str">
        <x:v>CA-2015-115945</x:v>
      </x:c>
      <x:c r="B4320" s="18" t="n">
        <x:v>42180</x:v>
      </x:c>
      <x:c r="C4320" t="str">
        <x:v>AB-10165</x:v>
      </x:c>
      <x:c r="D4320" t="str">
        <x:v>Alan Barnes</x:v>
      </x:c>
      <x:c r="E4320" t="str">
        <x:v>Consumer</x:v>
      </x:c>
      <x:c r="F4320" t="str">
        <x:v>West</x:v>
      </x:c>
      <x:c r="G4320" t="str">
        <x:v>Office Supplies</x:v>
      </x:c>
      <x:c r="H4320" t="str">
        <x:v>Binders</x:v>
      </x:c>
      <x:c r="I4320" s="22" t="n">
        <x:v>88.752</x:v>
      </x:c>
      <x:c r="J4320" s="24" t="n">
        <x:v>3</x:v>
      </x:c>
      <x:c r="K4320" s="26" t="n">
        <x:v>0.2</x:v>
      </x:c>
      <x:c r="L4320" s="22" t="n">
        <x:v>27.734999999999996</x:v>
      </x:c>
      <x:c r="M4320" t="n">
        <x:v>2015</x:v>
      </x:c>
      <x:c r="N4320" s="20" t="n">
        <x:v>42156</x:v>
      </x:c>
    </x:row>
    <x:row r="4321" ht="18" customHeight="1">
      <x:c r="A4321" t="str">
        <x:v>CA-2015-115945</x:v>
      </x:c>
      <x:c r="B4321" s="18" t="n">
        <x:v>42180</x:v>
      </x:c>
      <x:c r="C4321" t="str">
        <x:v>AB-10165</x:v>
      </x:c>
      <x:c r="D4321" t="str">
        <x:v>Alan Barnes</x:v>
      </x:c>
      <x:c r="E4321" t="str">
        <x:v>Consumer</x:v>
      </x:c>
      <x:c r="F4321" t="str">
        <x:v>West</x:v>
      </x:c>
      <x:c r="G4321" t="str">
        <x:v>Office Supplies</x:v>
      </x:c>
      <x:c r="H4321" t="str">
        <x:v>Storage</x:v>
      </x:c>
      <x:c r="I4321" s="22" t="n">
        <x:v>304.23</x:v>
      </x:c>
      <x:c r="J4321" s="24" t="n">
        <x:v>3</x:v>
      </x:c>
      <x:c r="K4321" s="26" t="n">
        <x:v>0</x:v>
      </x:c>
      <x:c r="L4321" s="22" t="n">
        <x:v>9.126899999999992</x:v>
      </x:c>
      <x:c r="M4321" t="n">
        <x:v>2015</x:v>
      </x:c>
      <x:c r="N4321" s="20" t="n">
        <x:v>42156</x:v>
      </x:c>
    </x:row>
    <x:row r="4322" ht="18" customHeight="1">
      <x:c r="A4322" t="str">
        <x:v>CA-2015-136735</x:v>
      </x:c>
      <x:c r="B4322" s="18" t="n">
        <x:v>42211</x:v>
      </x:c>
      <x:c r="C4322" t="str">
        <x:v>HA-14920</x:v>
      </x:c>
      <x:c r="D4322" t="str">
        <x:v>Helen Andreada</x:v>
      </x:c>
      <x:c r="E4322" t="str">
        <x:v>Consumer</x:v>
      </x:c>
      <x:c r="F4322" t="str">
        <x:v>West</x:v>
      </x:c>
      <x:c r="G4322" t="str">
        <x:v>Office Supplies</x:v>
      </x:c>
      <x:c r="H4322" t="str">
        <x:v>Envelopes</x:v>
      </x:c>
      <x:c r="I4322" s="22" t="n">
        <x:v>167.86</x:v>
      </x:c>
      <x:c r="J4322" s="24" t="n">
        <x:v>2</x:v>
      </x:c>
      <x:c r="K4322" s="26" t="n">
        <x:v>0</x:v>
      </x:c>
      <x:c r="L4322" s="22" t="n">
        <x:v>78.8942</x:v>
      </x:c>
      <x:c r="M4322" t="n">
        <x:v>2015</x:v>
      </x:c>
      <x:c r="N4322" s="20" t="n">
        <x:v>42186</x:v>
      </x:c>
    </x:row>
    <x:row r="4323" ht="18" customHeight="1">
      <x:c r="A4323" t="str">
        <x:v>US-2017-136189</x:v>
      </x:c>
      <x:c r="B4323" s="18" t="n">
        <x:v>43076</x:v>
      </x:c>
      <x:c r="C4323" t="str">
        <x:v>DC-13285</x:v>
      </x:c>
      <x:c r="D4323" t="str">
        <x:v>Debra Catini</x:v>
      </x:c>
      <x:c r="E4323" t="str">
        <x:v>Consumer</x:v>
      </x:c>
      <x:c r="F4323" t="str">
        <x:v>South</x:v>
      </x:c>
      <x:c r="G4323" t="str">
        <x:v>Furniture</x:v>
      </x:c>
      <x:c r="H4323" t="str">
        <x:v>Furnishings</x:v>
      </x:c>
      <x:c r="I4323" s="22" t="n">
        <x:v>82.38</x:v>
      </x:c>
      <x:c r="J4323" s="24" t="n">
        <x:v>6</x:v>
      </x:c>
      <x:c r="K4323" s="26" t="n">
        <x:v>0</x:v>
      </x:c>
      <x:c r="L4323" s="22" t="n">
        <x:v>25.537799999999997</x:v>
      </x:c>
      <x:c r="M4323" t="n">
        <x:v>2017</x:v>
      </x:c>
      <x:c r="N4323" s="20" t="n">
        <x:v>43070</x:v>
      </x:c>
    </x:row>
    <x:row r="4324" ht="18" customHeight="1">
      <x:c r="A4324" t="str">
        <x:v>CA-2014-152345</x:v>
      </x:c>
      <x:c r="B4324" s="18" t="n">
        <x:v>42002</x:v>
      </x:c>
      <x:c r="C4324" t="str">
        <x:v>ST-20530</x:v>
      </x:c>
      <x:c r="D4324" t="str">
        <x:v>Shui Tom</x:v>
      </x:c>
      <x:c r="E4324" t="str">
        <x:v>Consumer</x:v>
      </x:c>
      <x:c r="F4324" t="str">
        <x:v>West</x:v>
      </x:c>
      <x:c r="G4324" t="str">
        <x:v>Technology</x:v>
      </x:c>
      <x:c r="H4324" t="str">
        <x:v>Phones</x:v>
      </x:c>
      <x:c r="I4324" s="22" t="n">
        <x:v>23.976000000000003</x:v>
      </x:c>
      <x:c r="J4324" s="24" t="n">
        <x:v>3</x:v>
      </x:c>
      <x:c r="K4324" s="26" t="n">
        <x:v>0.2</x:v>
      </x:c>
      <x:c r="L4324" s="22" t="n">
        <x:v>-5.694300000000001</x:v>
      </x:c>
      <x:c r="M4324" t="n">
        <x:v>2014</x:v>
      </x:c>
      <x:c r="N4324" s="20" t="n">
        <x:v>41974</x:v>
      </x:c>
    </x:row>
    <x:row r="4325" ht="18" customHeight="1">
      <x:c r="A4325" t="str">
        <x:v>CA-2014-152345</x:v>
      </x:c>
      <x:c r="B4325" s="18" t="n">
        <x:v>42002</x:v>
      </x:c>
      <x:c r="C4325" t="str">
        <x:v>ST-20530</x:v>
      </x:c>
      <x:c r="D4325" t="str">
        <x:v>Shui Tom</x:v>
      </x:c>
      <x:c r="E4325" t="str">
        <x:v>Consumer</x:v>
      </x:c>
      <x:c r="F4325" t="str">
        <x:v>West</x:v>
      </x:c>
      <x:c r="G4325" t="str">
        <x:v>Office Supplies</x:v>
      </x:c>
      <x:c r="H4325" t="str">
        <x:v>Storage</x:v>
      </x:c>
      <x:c r="I4325" s="22" t="n">
        <x:v>33.29</x:v>
      </x:c>
      <x:c r="J4325" s="24" t="n">
        <x:v>1</x:v>
      </x:c>
      <x:c r="K4325" s="26" t="n">
        <x:v>0</x:v>
      </x:c>
      <x:c r="L4325" s="22" t="n">
        <x:v>7.989599999999999</x:v>
      </x:c>
      <x:c r="M4325" t="n">
        <x:v>2014</x:v>
      </x:c>
      <x:c r="N4325" s="20" t="n">
        <x:v>41974</x:v>
      </x:c>
    </x:row>
    <x:row r="4326" ht="18" customHeight="1">
      <x:c r="A4326" t="str">
        <x:v>US-2015-147662</x:v>
      </x:c>
      <x:c r="B4326" s="18" t="n">
        <x:v>42049</x:v>
      </x:c>
      <x:c r="C4326" t="str">
        <x:v>KB-16315</x:v>
      </x:c>
      <x:c r="D4326" t="str">
        <x:v>Karl Braun</x:v>
      </x:c>
      <x:c r="E4326" t="str">
        <x:v>Consumer</x:v>
      </x:c>
      <x:c r="F4326" t="str">
        <x:v>East</x:v>
      </x:c>
      <x:c r="G4326" t="str">
        <x:v>Office Supplies</x:v>
      </x:c>
      <x:c r="H4326" t="str">
        <x:v>Binders</x:v>
      </x:c>
      <x:c r="I4326" s="22" t="n">
        <x:v>14.952000000000004</x:v>
      </x:c>
      <x:c r="J4326" s="24" t="n">
        <x:v>2</x:v>
      </x:c>
      <x:c r="K4326" s="26" t="n">
        <x:v>0.7</x:v>
      </x:c>
      <x:c r="L4326" s="22" t="n">
        <x:v>-11.961599999999997</x:v>
      </x:c>
      <x:c r="M4326" t="n">
        <x:v>2015</x:v>
      </x:c>
      <x:c r="N4326" s="20" t="n">
        <x:v>42036</x:v>
      </x:c>
    </x:row>
    <x:row r="4327" ht="18" customHeight="1">
      <x:c r="A4327" t="str">
        <x:v>US-2015-147662</x:v>
      </x:c>
      <x:c r="B4327" s="18" t="n">
        <x:v>42049</x:v>
      </x:c>
      <x:c r="C4327" t="str">
        <x:v>KB-16315</x:v>
      </x:c>
      <x:c r="D4327" t="str">
        <x:v>Karl Braun</x:v>
      </x:c>
      <x:c r="E4327" t="str">
        <x:v>Consumer</x:v>
      </x:c>
      <x:c r="F4327" t="str">
        <x:v>East</x:v>
      </x:c>
      <x:c r="G4327" t="str">
        <x:v>Technology</x:v>
      </x:c>
      <x:c r="H4327" t="str">
        <x:v>Phones</x:v>
      </x:c>
      <x:c r="I4327" s="22" t="n">
        <x:v>323.98199999999997</x:v>
      </x:c>
      <x:c r="J4327" s="24" t="n">
        <x:v>3</x:v>
      </x:c>
      <x:c r="K4327" s="26" t="n">
        <x:v>0.4</x:v>
      </x:c>
      <x:c r="L4327" s="22" t="n">
        <x:v>-80.99550000000002</x:v>
      </x:c>
      <x:c r="M4327" t="n">
        <x:v>2015</x:v>
      </x:c>
      <x:c r="N4327" s="20" t="n">
        <x:v>42036</x:v>
      </x:c>
    </x:row>
    <x:row r="4328" ht="18" customHeight="1">
      <x:c r="A4328" t="str">
        <x:v>US-2015-147662</x:v>
      </x:c>
      <x:c r="B4328" s="18" t="n">
        <x:v>42049</x:v>
      </x:c>
      <x:c r="C4328" t="str">
        <x:v>KB-16315</x:v>
      </x:c>
      <x:c r="D4328" t="str">
        <x:v>Karl Braun</x:v>
      </x:c>
      <x:c r="E4328" t="str">
        <x:v>Consumer</x:v>
      </x:c>
      <x:c r="F4328" t="str">
        <x:v>East</x:v>
      </x:c>
      <x:c r="G4328" t="str">
        <x:v>Office Supplies</x:v>
      </x:c>
      <x:c r="H4328" t="str">
        <x:v>Binders</x:v>
      </x:c>
      <x:c r="I4328" s="22" t="n">
        <x:v>2.2860000000000005</x:v>
      </x:c>
      <x:c r="J4328" s="24" t="n">
        <x:v>2</x:v>
      </x:c>
      <x:c r="K4328" s="26" t="n">
        <x:v>0.7</x:v>
      </x:c>
      <x:c r="L4328" s="22" t="n">
        <x:v>-1.6763999999999997</x:v>
      </x:c>
      <x:c r="M4328" t="n">
        <x:v>2015</x:v>
      </x:c>
      <x:c r="N4328" s="20" t="n">
        <x:v>42036</x:v>
      </x:c>
    </x:row>
    <x:row r="4329" ht="18" customHeight="1">
      <x:c r="A4329" t="str">
        <x:v>US-2015-147662</x:v>
      </x:c>
      <x:c r="B4329" s="18" t="n">
        <x:v>42049</x:v>
      </x:c>
      <x:c r="C4329" t="str">
        <x:v>KB-16315</x:v>
      </x:c>
      <x:c r="D4329" t="str">
        <x:v>Karl Braun</x:v>
      </x:c>
      <x:c r="E4329" t="str">
        <x:v>Consumer</x:v>
      </x:c>
      <x:c r="F4329" t="str">
        <x:v>East</x:v>
      </x:c>
      <x:c r="G4329" t="str">
        <x:v>Office Supplies</x:v>
      </x:c>
      <x:c r="H4329" t="str">
        <x:v>Art</x:v>
      </x:c>
      <x:c r="I4329" s="22" t="n">
        <x:v>14.352000000000002</x:v>
      </x:c>
      <x:c r="J4329" s="24" t="n">
        <x:v>3</x:v>
      </x:c>
      <x:c r="K4329" s="26" t="n">
        <x:v>0.2</x:v>
      </x:c>
      <x:c r="L4329" s="22" t="n">
        <x:v>0.8969999999999998</x:v>
      </x:c>
      <x:c r="M4329" t="n">
        <x:v>2015</x:v>
      </x:c>
      <x:c r="N4329" s="20" t="n">
        <x:v>42036</x:v>
      </x:c>
    </x:row>
    <x:row r="4330" ht="18" customHeight="1">
      <x:c r="A4330" t="str">
        <x:v>US-2015-147662</x:v>
      </x:c>
      <x:c r="B4330" s="18" t="n">
        <x:v>42049</x:v>
      </x:c>
      <x:c r="C4330" t="str">
        <x:v>KB-16315</x:v>
      </x:c>
      <x:c r="D4330" t="str">
        <x:v>Karl Braun</x:v>
      </x:c>
      <x:c r="E4330" t="str">
        <x:v>Consumer</x:v>
      </x:c>
      <x:c r="F4330" t="str">
        <x:v>East</x:v>
      </x:c>
      <x:c r="G4330" t="str">
        <x:v>Technology</x:v>
      </x:c>
      <x:c r="H4330" t="str">
        <x:v>Accessories</x:v>
      </x:c>
      <x:c r="I4330" s="22" t="n">
        <x:v>71.976</x:v>
      </x:c>
      <x:c r="J4330" s="24" t="n">
        <x:v>3</x:v>
      </x:c>
      <x:c r="K4330" s="26" t="n">
        <x:v>0.2</x:v>
      </x:c>
      <x:c r="L4330" s="22" t="n">
        <x:v>0.8996999999999957</x:v>
      </x:c>
      <x:c r="M4330" t="n">
        <x:v>2015</x:v>
      </x:c>
      <x:c r="N4330" s="20" t="n">
        <x:v>42036</x:v>
      </x:c>
    </x:row>
    <x:row r="4331" ht="18" customHeight="1">
      <x:c r="A4331" t="str">
        <x:v>CA-2016-153346</x:v>
      </x:c>
      <x:c r="B4331" s="18" t="n">
        <x:v>42394</x:v>
      </x:c>
      <x:c r="C4331" t="str">
        <x:v>TB-21355</x:v>
      </x:c>
      <x:c r="D4331" t="str">
        <x:v>Todd Boyes</x:v>
      </x:c>
      <x:c r="E4331" t="str">
        <x:v>Corporate</x:v>
      </x:c>
      <x:c r="F4331" t="str">
        <x:v>East</x:v>
      </x:c>
      <x:c r="G4331" t="str">
        <x:v>Office Supplies</x:v>
      </x:c>
      <x:c r="H4331" t="str">
        <x:v>Art</x:v>
      </x:c>
      <x:c r="I4331" s="22" t="n">
        <x:v>9.209999999999999</x:v>
      </x:c>
      <x:c r="J4331" s="24" t="n">
        <x:v>3</x:v>
      </x:c>
      <x:c r="K4331" s="26" t="n">
        <x:v>0</x:v>
      </x:c>
      <x:c r="L4331" s="22" t="n">
        <x:v>2.3025</x:v>
      </x:c>
      <x:c r="M4331" t="n">
        <x:v>2016</x:v>
      </x:c>
      <x:c r="N4331" s="20" t="n">
        <x:v>42370</x:v>
      </x:c>
    </x:row>
    <x:row r="4332" ht="18" customHeight="1">
      <x:c r="A4332" t="str">
        <x:v>CA-2016-153346</x:v>
      </x:c>
      <x:c r="B4332" s="18" t="n">
        <x:v>42394</x:v>
      </x:c>
      <x:c r="C4332" t="str">
        <x:v>TB-21355</x:v>
      </x:c>
      <x:c r="D4332" t="str">
        <x:v>Todd Boyes</x:v>
      </x:c>
      <x:c r="E4332" t="str">
        <x:v>Corporate</x:v>
      </x:c>
      <x:c r="F4332" t="str">
        <x:v>East</x:v>
      </x:c>
      <x:c r="G4332" t="str">
        <x:v>Office Supplies</x:v>
      </x:c>
      <x:c r="H4332" t="str">
        <x:v>Paper</x:v>
      </x:c>
      <x:c r="I4332" s="22" t="n">
        <x:v>18</x:v>
      </x:c>
      <x:c r="J4332" s="24" t="n">
        <x:v>5</x:v>
      </x:c>
      <x:c r="K4332" s="26" t="n">
        <x:v>0</x:v>
      </x:c>
      <x:c r="L4332" s="22" t="n">
        <x:v>8.28</x:v>
      </x:c>
      <x:c r="M4332" t="n">
        <x:v>2016</x:v>
      </x:c>
      <x:c r="N4332" s="20" t="n">
        <x:v>42370</x:v>
      </x:c>
    </x:row>
    <x:row r="4333" ht="18" customHeight="1">
      <x:c r="A4333" t="str">
        <x:v>CA-2017-118360</x:v>
      </x:c>
      <x:c r="B4333" s="18" t="n">
        <x:v>42826</x:v>
      </x:c>
      <x:c r="C4333" t="str">
        <x:v>JC-15775</x:v>
      </x:c>
      <x:c r="D4333" t="str">
        <x:v>John Castell</x:v>
      </x:c>
      <x:c r="E4333" t="str">
        <x:v>Consumer</x:v>
      </x:c>
      <x:c r="F4333" t="str">
        <x:v>East</x:v>
      </x:c>
      <x:c r="G4333" t="str">
        <x:v>Office Supplies</x:v>
      </x:c>
      <x:c r="H4333" t="str">
        <x:v>Paper</x:v>
      </x:c>
      <x:c r="I4333" s="22" t="n">
        <x:v>42.92999999999999</x:v>
      </x:c>
      <x:c r="J4333" s="24" t="n">
        <x:v>9</x:v>
      </x:c>
      <x:c r="K4333" s="26" t="n">
        <x:v>0</x:v>
      </x:c>
      <x:c r="L4333" s="22" t="n">
        <x:v>19.318499999999997</x:v>
      </x:c>
      <x:c r="M4333" t="n">
        <x:v>2017</x:v>
      </x:c>
      <x:c r="N4333" s="20" t="n">
        <x:v>42826</x:v>
      </x:c>
    </x:row>
    <x:row r="4334" ht="18" customHeight="1">
      <x:c r="A4334" t="str">
        <x:v>CA-2017-149853</x:v>
      </x:c>
      <x:c r="B4334" s="18" t="n">
        <x:v>43011</x:v>
      </x:c>
      <x:c r="C4334" t="str">
        <x:v>PO-18850</x:v>
      </x:c>
      <x:c r="D4334" t="str">
        <x:v>Patrick O'Brill</x:v>
      </x:c>
      <x:c r="E4334" t="str">
        <x:v>Consumer</x:v>
      </x:c>
      <x:c r="F4334" t="str">
        <x:v>South</x:v>
      </x:c>
      <x:c r="G4334" t="str">
        <x:v>Office Supplies</x:v>
      </x:c>
      <x:c r="H4334" t="str">
        <x:v>Paper</x:v>
      </x:c>
      <x:c r="I4334" s="22" t="n">
        <x:v>15.552000000000003</x:v>
      </x:c>
      <x:c r="J4334" s="24" t="n">
        <x:v>3</x:v>
      </x:c>
      <x:c r="K4334" s="26" t="n">
        <x:v>0.2</x:v>
      </x:c>
      <x:c r="L4334" s="22" t="n">
        <x:v>5.4432</x:v>
      </x:c>
      <x:c r="M4334" t="n">
        <x:v>2017</x:v>
      </x:c>
      <x:c r="N4334" s="20" t="n">
        <x:v>43009</x:v>
      </x:c>
    </x:row>
    <x:row r="4335" ht="18" customHeight="1">
      <x:c r="A4335" t="str">
        <x:v>CA-2017-149853</x:v>
      </x:c>
      <x:c r="B4335" s="18" t="n">
        <x:v>43011</x:v>
      </x:c>
      <x:c r="C4335" t="str">
        <x:v>PO-18850</x:v>
      </x:c>
      <x:c r="D4335" t="str">
        <x:v>Patrick O'Brill</x:v>
      </x:c>
      <x:c r="E4335" t="str">
        <x:v>Consumer</x:v>
      </x:c>
      <x:c r="F4335" t="str">
        <x:v>South</x:v>
      </x:c>
      <x:c r="G4335" t="str">
        <x:v>Office Supplies</x:v>
      </x:c>
      <x:c r="H4335" t="str">
        <x:v>Appliances</x:v>
      </x:c>
      <x:c r="I4335" s="22" t="n">
        <x:v>17.92</x:v>
      </x:c>
      <x:c r="J4335" s="24" t="n">
        <x:v>5</x:v>
      </x:c>
      <x:c r="K4335" s="26" t="n">
        <x:v>0.2</x:v>
      </x:c>
      <x:c r="L4335" s="22" t="n">
        <x:v>1.12</x:v>
      </x:c>
      <x:c r="M4335" t="n">
        <x:v>2017</x:v>
      </x:c>
      <x:c r="N4335" s="20" t="n">
        <x:v>43009</x:v>
      </x:c>
    </x:row>
    <x:row r="4336" ht="18" customHeight="1">
      <x:c r="A4336" t="str">
        <x:v>CA-2017-107909</x:v>
      </x:c>
      <x:c r="B4336" s="18" t="n">
        <x:v>42979</x:v>
      </x:c>
      <x:c r="C4336" t="str">
        <x:v>SS-20875</x:v>
      </x:c>
      <x:c r="D4336" t="str">
        <x:v>Sung Shariari</x:v>
      </x:c>
      <x:c r="E4336" t="str">
        <x:v>Consumer</x:v>
      </x:c>
      <x:c r="F4336" t="str">
        <x:v>West</x:v>
      </x:c>
      <x:c r="G4336" t="str">
        <x:v>Technology</x:v>
      </x:c>
      <x:c r="H4336" t="str">
        <x:v>Accessories</x:v>
      </x:c>
      <x:c r="I4336" s="22" t="n">
        <x:v>19.99</x:v>
      </x:c>
      <x:c r="J4336" s="24" t="n">
        <x:v>1</x:v>
      </x:c>
      <x:c r="K4336" s="26" t="n">
        <x:v>0</x:v>
      </x:c>
      <x:c r="L4336" s="22" t="n">
        <x:v>6.796599999999998</x:v>
      </x:c>
      <x:c r="M4336" t="n">
        <x:v>2017</x:v>
      </x:c>
      <x:c r="N4336" s="20" t="n">
        <x:v>42979</x:v>
      </x:c>
    </x:row>
    <x:row r="4337" ht="18" customHeight="1">
      <x:c r="A4337" t="str">
        <x:v>CA-2017-107909</x:v>
      </x:c>
      <x:c r="B4337" s="18" t="n">
        <x:v>42979</x:v>
      </x:c>
      <x:c r="C4337" t="str">
        <x:v>SS-20875</x:v>
      </x:c>
      <x:c r="D4337" t="str">
        <x:v>Sung Shariari</x:v>
      </x:c>
      <x:c r="E4337" t="str">
        <x:v>Consumer</x:v>
      </x:c>
      <x:c r="F4337" t="str">
        <x:v>West</x:v>
      </x:c>
      <x:c r="G4337" t="str">
        <x:v>Office Supplies</x:v>
      </x:c>
      <x:c r="H4337" t="str">
        <x:v>Binders</x:v>
      </x:c>
      <x:c r="I4337" s="22" t="n">
        <x:v>22.92</x:v>
      </x:c>
      <x:c r="J4337" s="24" t="n">
        <x:v>5</x:v>
      </x:c>
      <x:c r="K4337" s="26" t="n">
        <x:v>0.2</x:v>
      </x:c>
      <x:c r="L4337" s="22" t="n">
        <x:v>8.021999999999998</x:v>
      </x:c>
      <x:c r="M4337" t="n">
        <x:v>2017</x:v>
      </x:c>
      <x:c r="N4337" s="20" t="n">
        <x:v>42979</x:v>
      </x:c>
    </x:row>
    <x:row r="4338" ht="18" customHeight="1">
      <x:c r="A4338" t="str">
        <x:v>CA-2015-112375</x:v>
      </x:c>
      <x:c r="B4338" s="18" t="n">
        <x:v>42359</x:v>
      </x:c>
      <x:c r="C4338" t="str">
        <x:v>RD-19720</x:v>
      </x:c>
      <x:c r="D4338" t="str">
        <x:v>Roger Demir</x:v>
      </x:c>
      <x:c r="E4338" t="str">
        <x:v>Consumer</x:v>
      </x:c>
      <x:c r="F4338" t="str">
        <x:v>South</x:v>
      </x:c>
      <x:c r="G4338" t="str">
        <x:v>Technology</x:v>
      </x:c>
      <x:c r="H4338" t="str">
        <x:v>Accessories</x:v>
      </x:c>
      <x:c r="I4338" s="22" t="n">
        <x:v>50.88</x:v>
      </x:c>
      <x:c r="J4338" s="24" t="n">
        <x:v>6</x:v>
      </x:c>
      <x:c r="K4338" s="26" t="n">
        <x:v>0.2</x:v>
      </x:c>
      <x:c r="L4338" s="22" t="n">
        <x:v>14.628000000000005</x:v>
      </x:c>
      <x:c r="M4338" t="n">
        <x:v>2015</x:v>
      </x:c>
      <x:c r="N4338" s="20" t="n">
        <x:v>42339</x:v>
      </x:c>
    </x:row>
    <x:row r="4339" ht="18" customHeight="1">
      <x:c r="A4339" t="str">
        <x:v>CA-2015-112375</x:v>
      </x:c>
      <x:c r="B4339" s="18" t="n">
        <x:v>42359</x:v>
      </x:c>
      <x:c r="C4339" t="str">
        <x:v>RD-19720</x:v>
      </x:c>
      <x:c r="D4339" t="str">
        <x:v>Roger Demir</x:v>
      </x:c>
      <x:c r="E4339" t="str">
        <x:v>Consumer</x:v>
      </x:c>
      <x:c r="F4339" t="str">
        <x:v>South</x:v>
      </x:c>
      <x:c r="G4339" t="str">
        <x:v>Office Supplies</x:v>
      </x:c>
      <x:c r="H4339" t="str">
        <x:v>Envelopes</x:v>
      </x:c>
      <x:c r="I4339" s="22" t="n">
        <x:v>27.312</x:v>
      </x:c>
      <x:c r="J4339" s="24" t="n">
        <x:v>2</x:v>
      </x:c>
      <x:c r="K4339" s="26" t="n">
        <x:v>0.2</x:v>
      </x:c>
      <x:c r="L4339" s="22" t="n">
        <x:v>9.2178</x:v>
      </x:c>
      <x:c r="M4339" t="n">
        <x:v>2015</x:v>
      </x:c>
      <x:c r="N4339" s="20" t="n">
        <x:v>42339</x:v>
      </x:c>
    </x:row>
    <x:row r="4340" ht="18" customHeight="1">
      <x:c r="A4340" t="str">
        <x:v>CA-2015-154795</x:v>
      </x:c>
      <x:c r="B4340" s="18" t="n">
        <x:v>42358</x:v>
      </x:c>
      <x:c r="C4340" t="str">
        <x:v>GZ-14470</x:v>
      </x:c>
      <x:c r="D4340" t="str">
        <x:v>Gary Zandusky</x:v>
      </x:c>
      <x:c r="E4340" t="str">
        <x:v>Consumer</x:v>
      </x:c>
      <x:c r="F4340" t="str">
        <x:v>West</x:v>
      </x:c>
      <x:c r="G4340" t="str">
        <x:v>Office Supplies</x:v>
      </x:c>
      <x:c r="H4340" t="str">
        <x:v>Envelopes</x:v>
      </x:c>
      <x:c r="I4340" s="22" t="n">
        <x:v>7.920000000000001</x:v>
      </x:c>
      <x:c r="J4340" s="24" t="n">
        <x:v>1</x:v>
      </x:c>
      <x:c r="K4340" s="26" t="n">
        <x:v>0.2</x:v>
      </x:c>
      <x:c r="L4340" s="22" t="n">
        <x:v>2.7719999999999994</x:v>
      </x:c>
      <x:c r="M4340" t="n">
        <x:v>2015</x:v>
      </x:c>
      <x:c r="N4340" s="20" t="n">
        <x:v>42339</x:v>
      </x:c>
    </x:row>
    <x:row r="4341" ht="18" customHeight="1">
      <x:c r="A4341" t="str">
        <x:v>CA-2015-154795</x:v>
      </x:c>
      <x:c r="B4341" s="18" t="n">
        <x:v>42358</x:v>
      </x:c>
      <x:c r="C4341" t="str">
        <x:v>GZ-14470</x:v>
      </x:c>
      <x:c r="D4341" t="str">
        <x:v>Gary Zandusky</x:v>
      </x:c>
      <x:c r="E4341" t="str">
        <x:v>Consumer</x:v>
      </x:c>
      <x:c r="F4341" t="str">
        <x:v>West</x:v>
      </x:c>
      <x:c r="G4341" t="str">
        <x:v>Furniture</x:v>
      </x:c>
      <x:c r="H4341" t="str">
        <x:v>Furnishings</x:v>
      </x:c>
      <x:c r="I4341" s="22" t="n">
        <x:v>14.368000000000002</x:v>
      </x:c>
      <x:c r="J4341" s="24" t="n">
        <x:v>2</x:v>
      </x:c>
      <x:c r="K4341" s="26" t="n">
        <x:v>0.2</x:v>
      </x:c>
      <x:c r="L4341" s="22" t="n">
        <x:v>3.9512</x:v>
      </x:c>
      <x:c r="M4341" t="n">
        <x:v>2015</x:v>
      </x:c>
      <x:c r="N4341" s="20" t="n">
        <x:v>42339</x:v>
      </x:c>
    </x:row>
    <x:row r="4342" ht="18" customHeight="1">
      <x:c r="A4342" t="str">
        <x:v>CA-2015-125234</x:v>
      </x:c>
      <x:c r="B4342" s="18" t="n">
        <x:v>42335</x:v>
      </x:c>
      <x:c r="C4342" t="str">
        <x:v>SN-20710</x:v>
      </x:c>
      <x:c r="D4342" t="str">
        <x:v>Steve Nguyen</x:v>
      </x:c>
      <x:c r="E4342" t="str">
        <x:v>Home Office</x:v>
      </x:c>
      <x:c r="F4342" t="str">
        <x:v>West</x:v>
      </x:c>
      <x:c r="G4342" t="str">
        <x:v>Technology</x:v>
      </x:c>
      <x:c r="H4342" t="str">
        <x:v>Accessories</x:v>
      </x:c>
      <x:c r="I4342" s="22" t="n">
        <x:v>107.97</x:v>
      </x:c>
      <x:c r="J4342" s="24" t="n">
        <x:v>3</x:v>
      </x:c>
      <x:c r="K4342" s="26" t="n">
        <x:v>0</x:v>
      </x:c>
      <x:c r="L4342" s="22" t="n">
        <x:v>22.6737</x:v>
      </x:c>
      <x:c r="M4342" t="n">
        <x:v>2015</x:v>
      </x:c>
      <x:c r="N4342" s="20" t="n">
        <x:v>42309</x:v>
      </x:c>
    </x:row>
    <x:row r="4343" ht="18" customHeight="1">
      <x:c r="A4343" t="str">
        <x:v>CA-2015-125234</x:v>
      </x:c>
      <x:c r="B4343" s="18" t="n">
        <x:v>42335</x:v>
      </x:c>
      <x:c r="C4343" t="str">
        <x:v>SN-20710</x:v>
      </x:c>
      <x:c r="D4343" t="str">
        <x:v>Steve Nguyen</x:v>
      </x:c>
      <x:c r="E4343" t="str">
        <x:v>Home Office</x:v>
      </x:c>
      <x:c r="F4343" t="str">
        <x:v>West</x:v>
      </x:c>
      <x:c r="G4343" t="str">
        <x:v>Office Supplies</x:v>
      </x:c>
      <x:c r="H4343" t="str">
        <x:v>Paper</x:v>
      </x:c>
      <x:c r="I4343" s="22" t="n">
        <x:v>113.82</x:v>
      </x:c>
      <x:c r="J4343" s="24" t="n">
        <x:v>3</x:v>
      </x:c>
      <x:c r="K4343" s="26" t="n">
        <x:v>0</x:v>
      </x:c>
      <x:c r="L4343" s="22" t="n">
        <x:v>53.49539999999999</x:v>
      </x:c>
      <x:c r="M4343" t="n">
        <x:v>2015</x:v>
      </x:c>
      <x:c r="N4343" s="20" t="n">
        <x:v>42309</x:v>
      </x:c>
    </x:row>
    <x:row r="4344" ht="18" customHeight="1">
      <x:c r="A4344" t="str">
        <x:v>CA-2017-133501</x:v>
      </x:c>
      <x:c r="B4344" s="18" t="n">
        <x:v>42974</x:v>
      </x:c>
      <x:c r="C4344" t="str">
        <x:v>DK-12895</x:v>
      </x:c>
      <x:c r="D4344" t="str">
        <x:v>Dana Kaydos</x:v>
      </x:c>
      <x:c r="E4344" t="str">
        <x:v>Consumer</x:v>
      </x:c>
      <x:c r="F4344" t="str">
        <x:v>South</x:v>
      </x:c>
      <x:c r="G4344" t="str">
        <x:v>Office Supplies</x:v>
      </x:c>
      <x:c r="H4344" t="str">
        <x:v>Paper</x:v>
      </x:c>
      <x:c r="I4344" s="22" t="n">
        <x:v>5.184000000000001</x:v>
      </x:c>
      <x:c r="J4344" s="24" t="n">
        <x:v>1</x:v>
      </x:c>
      <x:c r="K4344" s="26" t="n">
        <x:v>0.2</x:v>
      </x:c>
      <x:c r="L4344" s="22" t="n">
        <x:v>1.8144</x:v>
      </x:c>
      <x:c r="M4344" t="n">
        <x:v>2017</x:v>
      </x:c>
      <x:c r="N4344" s="20" t="n">
        <x:v>42948</x:v>
      </x:c>
    </x:row>
    <x:row r="4345" ht="18" customHeight="1">
      <x:c r="A4345" t="str">
        <x:v>US-2014-129609</x:v>
      </x:c>
      <x:c r="B4345" s="18" t="n">
        <x:v>41720</x:v>
      </x:c>
      <x:c r="C4345" t="str">
        <x:v>VM-21835</x:v>
      </x:c>
      <x:c r="D4345" t="str">
        <x:v>Vivian Mathis</x:v>
      </x:c>
      <x:c r="E4345" t="str">
        <x:v>Consumer</x:v>
      </x:c>
      <x:c r="F4345" t="str">
        <x:v>Central</x:v>
      </x:c>
      <x:c r="G4345" t="str">
        <x:v>Office Supplies</x:v>
      </x:c>
      <x:c r="H4345" t="str">
        <x:v>Art</x:v>
      </x:c>
      <x:c r="I4345" s="22" t="n">
        <x:v>16.28</x:v>
      </x:c>
      <x:c r="J4345" s="24" t="n">
        <x:v>2</x:v>
      </x:c>
      <x:c r="K4345" s="26" t="n">
        <x:v>0</x:v>
      </x:c>
      <x:c r="L4345" s="22" t="n">
        <x:v>6.5120000000000005</x:v>
      </x:c>
      <x:c r="M4345" t="n">
        <x:v>2014</x:v>
      </x:c>
      <x:c r="N4345" s="20" t="n">
        <x:v>41699</x:v>
      </x:c>
    </x:row>
    <x:row r="4346" ht="18" customHeight="1">
      <x:c r="A4346" t="str">
        <x:v>CA-2017-130309</x:v>
      </x:c>
      <x:c r="B4346" s="18" t="n">
        <x:v>43086</x:v>
      </x:c>
      <x:c r="C4346" t="str">
        <x:v>GB-14575</x:v>
      </x:c>
      <x:c r="D4346" t="str">
        <x:v>Giulietta Baptist</x:v>
      </x:c>
      <x:c r="E4346" t="str">
        <x:v>Consumer</x:v>
      </x:c>
      <x:c r="F4346" t="str">
        <x:v>South</x:v>
      </x:c>
      <x:c r="G4346" t="str">
        <x:v>Office Supplies</x:v>
      </x:c>
      <x:c r="H4346" t="str">
        <x:v>Storage</x:v>
      </x:c>
      <x:c r="I4346" s="22" t="n">
        <x:v>544.38</x:v>
      </x:c>
      <x:c r="J4346" s="24" t="n">
        <x:v>3</x:v>
      </x:c>
      <x:c r="K4346" s="26" t="n">
        <x:v>0</x:v>
      </x:c>
      <x:c r="L4346" s="22" t="n">
        <x:v>157.87019999999993</x:v>
      </x:c>
      <x:c r="M4346" t="n">
        <x:v>2017</x:v>
      </x:c>
      <x:c r="N4346" s="20" t="n">
        <x:v>43070</x:v>
      </x:c>
    </x:row>
    <x:row r="4347" ht="18" customHeight="1">
      <x:c r="A4347" t="str">
        <x:v>CA-2017-105410</x:v>
      </x:c>
      <x:c r="B4347" s="18" t="n">
        <x:v>42813</x:v>
      </x:c>
      <x:c r="C4347" t="str">
        <x:v>ND-18370</x:v>
      </x:c>
      <x:c r="D4347" t="str">
        <x:v>Natalie DeCherney</x:v>
      </x:c>
      <x:c r="E4347" t="str">
        <x:v>Consumer</x:v>
      </x:c>
      <x:c r="F4347" t="str">
        <x:v>West</x:v>
      </x:c>
      <x:c r="G4347" t="str">
        <x:v>Office Supplies</x:v>
      </x:c>
      <x:c r="H4347" t="str">
        <x:v>Binders</x:v>
      </x:c>
      <x:c r="I4347" s="22" t="n">
        <x:v>19.824</x:v>
      </x:c>
      <x:c r="J4347" s="24" t="n">
        <x:v>6</x:v>
      </x:c>
      <x:c r="K4347" s="26" t="n">
        <x:v>0.2</x:v>
      </x:c>
      <x:c r="L4347" s="22" t="n">
        <x:v>6.690599999999999</x:v>
      </x:c>
      <x:c r="M4347" t="n">
        <x:v>2017</x:v>
      </x:c>
      <x:c r="N4347" s="20" t="n">
        <x:v>42795</x:v>
      </x:c>
    </x:row>
    <x:row r="4348" ht="18" customHeight="1">
      <x:c r="A4348" t="str">
        <x:v>CA-2017-105410</x:v>
      </x:c>
      <x:c r="B4348" s="18" t="n">
        <x:v>42813</x:v>
      </x:c>
      <x:c r="C4348" t="str">
        <x:v>ND-18370</x:v>
      </x:c>
      <x:c r="D4348" t="str">
        <x:v>Natalie DeCherney</x:v>
      </x:c>
      <x:c r="E4348" t="str">
        <x:v>Consumer</x:v>
      </x:c>
      <x:c r="F4348" t="str">
        <x:v>West</x:v>
      </x:c>
      <x:c r="G4348" t="str">
        <x:v>Technology</x:v>
      </x:c>
      <x:c r="H4348" t="str">
        <x:v>Phones</x:v>
      </x:c>
      <x:c r="I4348" s="22" t="n">
        <x:v>657.504</x:v>
      </x:c>
      <x:c r="J4348" s="24" t="n">
        <x:v>6</x:v>
      </x:c>
      <x:c r="K4348" s="26" t="n">
        <x:v>0.2</x:v>
      </x:c>
      <x:c r="L4348" s="22" t="n">
        <x:v>-131.50080000000005</x:v>
      </x:c>
      <x:c r="M4348" t="n">
        <x:v>2017</x:v>
      </x:c>
      <x:c r="N4348" s="20" t="n">
        <x:v>42795</x:v>
      </x:c>
    </x:row>
    <x:row r="4349" ht="18" customHeight="1">
      <x:c r="A4349" t="str">
        <x:v>CA-2017-105410</x:v>
      </x:c>
      <x:c r="B4349" s="18" t="n">
        <x:v>42813</x:v>
      </x:c>
      <x:c r="C4349" t="str">
        <x:v>ND-18370</x:v>
      </x:c>
      <x:c r="D4349" t="str">
        <x:v>Natalie DeCherney</x:v>
      </x:c>
      <x:c r="E4349" t="str">
        <x:v>Consumer</x:v>
      </x:c>
      <x:c r="F4349" t="str">
        <x:v>West</x:v>
      </x:c>
      <x:c r="G4349" t="str">
        <x:v>Technology</x:v>
      </x:c>
      <x:c r="H4349" t="str">
        <x:v>Accessories</x:v>
      </x:c>
      <x:c r="I4349" s="22" t="n">
        <x:v>99.54</x:v>
      </x:c>
      <x:c r="J4349" s="24" t="n">
        <x:v>2</x:v>
      </x:c>
      <x:c r="K4349" s="26" t="n">
        <x:v>0</x:v>
      </x:c>
      <x:c r="L4349" s="22" t="n">
        <x:v>10.949399999999997</x:v>
      </x:c>
      <x:c r="M4349" t="n">
        <x:v>2017</x:v>
      </x:c>
      <x:c r="N4349" s="20" t="n">
        <x:v>42795</x:v>
      </x:c>
    </x:row>
    <x:row r="4350" ht="18" customHeight="1">
      <x:c r="A4350" t="str">
        <x:v>CA-2017-105410</x:v>
      </x:c>
      <x:c r="B4350" s="18" t="n">
        <x:v>42813</x:v>
      </x:c>
      <x:c r="C4350" t="str">
        <x:v>ND-18370</x:v>
      </x:c>
      <x:c r="D4350" t="str">
        <x:v>Natalie DeCherney</x:v>
      </x:c>
      <x:c r="E4350" t="str">
        <x:v>Consumer</x:v>
      </x:c>
      <x:c r="F4350" t="str">
        <x:v>West</x:v>
      </x:c>
      <x:c r="G4350" t="str">
        <x:v>Technology</x:v>
      </x:c>
      <x:c r="H4350" t="str">
        <x:v>Accessories</x:v>
      </x:c>
      <x:c r="I4350" s="22" t="n">
        <x:v>199.96</x:v>
      </x:c>
      <x:c r="J4350" s="24" t="n">
        <x:v>4</x:v>
      </x:c>
      <x:c r="K4350" s="26" t="n">
        <x:v>0</x:v>
      </x:c>
      <x:c r="L4350" s="22" t="n">
        <x:v>85.98280000000001</x:v>
      </x:c>
      <x:c r="M4350" t="n">
        <x:v>2017</x:v>
      </x:c>
      <x:c r="N4350" s="20" t="n">
        <x:v>42795</x:v>
      </x:c>
    </x:row>
    <x:row r="4351" ht="18" customHeight="1">
      <x:c r="A4351" t="str">
        <x:v>CA-2016-120355</x:v>
      </x:c>
      <x:c r="B4351" s="18" t="n">
        <x:v>42631</x:v>
      </x:c>
      <x:c r="C4351" t="str">
        <x:v>MM-17260</x:v>
      </x:c>
      <x:c r="D4351" t="str">
        <x:v>Magdelene Morse</x:v>
      </x:c>
      <x:c r="E4351" t="str">
        <x:v>Consumer</x:v>
      </x:c>
      <x:c r="F4351" t="str">
        <x:v>East</x:v>
      </x:c>
      <x:c r="G4351" t="str">
        <x:v>Furniture</x:v>
      </x:c>
      <x:c r="H4351" t="str">
        <x:v>Chairs</x:v>
      </x:c>
      <x:c r="I4351" s="22" t="n">
        <x:v>631.782</x:v>
      </x:c>
      <x:c r="J4351" s="24" t="n">
        <x:v>2</x:v>
      </x:c>
      <x:c r="K4351" s="26" t="n">
        <x:v>0.1</x:v>
      </x:c>
      <x:c r="L4351" s="22" t="n">
        <x:v>140.39599999999993</x:v>
      </x:c>
      <x:c r="M4351" t="n">
        <x:v>2016</x:v>
      </x:c>
      <x:c r="N4351" s="20" t="n">
        <x:v>42614</x:v>
      </x:c>
    </x:row>
    <x:row r="4352" ht="18" customHeight="1">
      <x:c r="A4352" t="str">
        <x:v>CA-2016-120355</x:v>
      </x:c>
      <x:c r="B4352" s="18" t="n">
        <x:v>42631</x:v>
      </x:c>
      <x:c r="C4352" t="str">
        <x:v>MM-17260</x:v>
      </x:c>
      <x:c r="D4352" t="str">
        <x:v>Magdelene Morse</x:v>
      </x:c>
      <x:c r="E4352" t="str">
        <x:v>Consumer</x:v>
      </x:c>
      <x:c r="F4352" t="str">
        <x:v>East</x:v>
      </x:c>
      <x:c r="G4352" t="str">
        <x:v>Furniture</x:v>
      </x:c>
      <x:c r="H4352" t="str">
        <x:v>Furnishings</x:v>
      </x:c>
      <x:c r="I4352" s="22" t="n">
        <x:v>60.72</x:v>
      </x:c>
      <x:c r="J4352" s="24" t="n">
        <x:v>3</x:v>
      </x:c>
      <x:c r="K4352" s="26" t="n">
        <x:v>0</x:v>
      </x:c>
      <x:c r="L4352" s="22" t="n">
        <x:v>26.1096</x:v>
      </x:c>
      <x:c r="M4352" t="n">
        <x:v>2016</x:v>
      </x:c>
      <x:c r="N4352" s="20" t="n">
        <x:v>42614</x:v>
      </x:c>
    </x:row>
    <x:row r="4353" ht="18" customHeight="1">
      <x:c r="A4353" t="str">
        <x:v>CA-2017-169894</x:v>
      </x:c>
      <x:c r="B4353" s="18" t="n">
        <x:v>43063</x:v>
      </x:c>
      <x:c r="C4353" t="str">
        <x:v>MV-17485</x:v>
      </x:c>
      <x:c r="D4353" t="str">
        <x:v>Mark Van Huff</x:v>
      </x:c>
      <x:c r="E4353" t="str">
        <x:v>Consumer</x:v>
      </x:c>
      <x:c r="F4353" t="str">
        <x:v>West</x:v>
      </x:c>
      <x:c r="G4353" t="str">
        <x:v>Office Supplies</x:v>
      </x:c>
      <x:c r="H4353" t="str">
        <x:v>Binders</x:v>
      </x:c>
      <x:c r="I4353" s="22" t="n">
        <x:v>20.724000000000004</x:v>
      </x:c>
      <x:c r="J4353" s="24" t="n">
        <x:v>2</x:v>
      </x:c>
      <x:c r="K4353" s="26" t="n">
        <x:v>0.7</x:v>
      </x:c>
      <x:c r="L4353" s="22" t="n">
        <x:v>-15.197599999999994</x:v>
      </x:c>
      <x:c r="M4353" t="n">
        <x:v>2017</x:v>
      </x:c>
      <x:c r="N4353" s="20" t="n">
        <x:v>43040</x:v>
      </x:c>
    </x:row>
    <x:row r="4354" ht="18" customHeight="1">
      <x:c r="A4354" t="str">
        <x:v>CA-2017-169894</x:v>
      </x:c>
      <x:c r="B4354" s="18" t="n">
        <x:v>43063</x:v>
      </x:c>
      <x:c r="C4354" t="str">
        <x:v>MV-17485</x:v>
      </x:c>
      <x:c r="D4354" t="str">
        <x:v>Mark Van Huff</x:v>
      </x:c>
      <x:c r="E4354" t="str">
        <x:v>Consumer</x:v>
      </x:c>
      <x:c r="F4354" t="str">
        <x:v>West</x:v>
      </x:c>
      <x:c r="G4354" t="str">
        <x:v>Office Supplies</x:v>
      </x:c>
      <x:c r="H4354" t="str">
        <x:v>Storage</x:v>
      </x:c>
      <x:c r="I4354" s="22" t="n">
        <x:v>415.87200000000007</x:v>
      </x:c>
      <x:c r="J4354" s="24" t="n">
        <x:v>8</x:v>
      </x:c>
      <x:c r="K4354" s="26" t="n">
        <x:v>0.2</x:v>
      </x:c>
      <x:c r="L4354" s="22" t="n">
        <x:v>-41.587199999999996</x:v>
      </x:c>
      <x:c r="M4354" t="n">
        <x:v>2017</x:v>
      </x:c>
      <x:c r="N4354" s="20" t="n">
        <x:v>43040</x:v>
      </x:c>
    </x:row>
    <x:row r="4355" ht="18" customHeight="1">
      <x:c r="A4355" t="str">
        <x:v>US-2017-100482</x:v>
      </x:c>
      <x:c r="B4355" s="18" t="n">
        <x:v>42836</x:v>
      </x:c>
      <x:c r="C4355" t="str">
        <x:v>JL-15130</x:v>
      </x:c>
      <x:c r="D4355" t="str">
        <x:v>Jack Lebron</x:v>
      </x:c>
      <x:c r="E4355" t="str">
        <x:v>Consumer</x:v>
      </x:c>
      <x:c r="F4355" t="str">
        <x:v>East</x:v>
      </x:c>
      <x:c r="G4355" t="str">
        <x:v>Office Supplies</x:v>
      </x:c>
      <x:c r="H4355" t="str">
        <x:v>Storage</x:v>
      </x:c>
      <x:c r="I4355" s="22" t="n">
        <x:v>16.768</x:v>
      </x:c>
      <x:c r="J4355" s="24" t="n">
        <x:v>2</x:v>
      </x:c>
      <x:c r="K4355" s="26" t="n">
        <x:v>0.2</x:v>
      </x:c>
      <x:c r="L4355" s="22" t="n">
        <x:v>1.4672</x:v>
      </x:c>
      <x:c r="M4355" t="n">
        <x:v>2017</x:v>
      </x:c>
      <x:c r="N4355" s="20" t="n">
        <x:v>42826</x:v>
      </x:c>
    </x:row>
    <x:row r="4356" ht="18" customHeight="1">
      <x:c r="A4356" t="str">
        <x:v>US-2017-100482</x:v>
      </x:c>
      <x:c r="B4356" s="18" t="n">
        <x:v>42836</x:v>
      </x:c>
      <x:c r="C4356" t="str">
        <x:v>JL-15130</x:v>
      </x:c>
      <x:c r="D4356" t="str">
        <x:v>Jack Lebron</x:v>
      </x:c>
      <x:c r="E4356" t="str">
        <x:v>Consumer</x:v>
      </x:c>
      <x:c r="F4356" t="str">
        <x:v>East</x:v>
      </x:c>
      <x:c r="G4356" t="str">
        <x:v>Technology</x:v>
      </x:c>
      <x:c r="H4356" t="str">
        <x:v>Accessories</x:v>
      </x:c>
      <x:c r="I4356" s="22" t="n">
        <x:v>27.12</x:v>
      </x:c>
      <x:c r="J4356" s="24" t="n">
        <x:v>2</x:v>
      </x:c>
      <x:c r="K4356" s="26" t="n">
        <x:v>0.2</x:v>
      </x:c>
      <x:c r="L4356" s="22" t="n">
        <x:v>-4.746000000000001</x:v>
      </x:c>
      <x:c r="M4356" t="n">
        <x:v>2017</x:v>
      </x:c>
      <x:c r="N4356" s="20" t="n">
        <x:v>42826</x:v>
      </x:c>
    </x:row>
    <x:row r="4357" ht="18" customHeight="1">
      <x:c r="A4357" t="str">
        <x:v>CA-2017-107748</x:v>
      </x:c>
      <x:c r="B4357" s="18" t="n">
        <x:v>43079</x:v>
      </x:c>
      <x:c r="C4357" t="str">
        <x:v>AG-10330</x:v>
      </x:c>
      <x:c r="D4357" t="str">
        <x:v>Alex Grayson</x:v>
      </x:c>
      <x:c r="E4357" t="str">
        <x:v>Consumer</x:v>
      </x:c>
      <x:c r="F4357" t="str">
        <x:v>West</x:v>
      </x:c>
      <x:c r="G4357" t="str">
        <x:v>Technology</x:v>
      </x:c>
      <x:c r="H4357" t="str">
        <x:v>Phones</x:v>
      </x:c>
      <x:c r="I4357" s="22" t="n">
        <x:v>95.84</x:v>
      </x:c>
      <x:c r="J4357" s="24" t="n">
        <x:v>4</x:v>
      </x:c>
      <x:c r="K4357" s="26" t="n">
        <x:v>0.2</x:v>
      </x:c>
      <x:c r="L4357" s="22" t="n">
        <x:v>34.742</x:v>
      </x:c>
      <x:c r="M4357" t="n">
        <x:v>2017</x:v>
      </x:c>
      <x:c r="N4357" s="20" t="n">
        <x:v>43070</x:v>
      </x:c>
    </x:row>
    <x:row r="4358" ht="18" customHeight="1">
      <x:c r="A4358" t="str">
        <x:v>CA-2017-107748</x:v>
      </x:c>
      <x:c r="B4358" s="18" t="n">
        <x:v>43079</x:v>
      </x:c>
      <x:c r="C4358" t="str">
        <x:v>AG-10330</x:v>
      </x:c>
      <x:c r="D4358" t="str">
        <x:v>Alex Grayson</x:v>
      </x:c>
      <x:c r="E4358" t="str">
        <x:v>Consumer</x:v>
      </x:c>
      <x:c r="F4358" t="str">
        <x:v>West</x:v>
      </x:c>
      <x:c r="G4358" t="str">
        <x:v>Office Supplies</x:v>
      </x:c>
      <x:c r="H4358" t="str">
        <x:v>Paper</x:v>
      </x:c>
      <x:c r="I4358" s="22" t="n">
        <x:v>12.96</x:v>
      </x:c>
      <x:c r="J4358" s="24" t="n">
        <x:v>2</x:v>
      </x:c>
      <x:c r="K4358" s="26" t="n">
        <x:v>0</x:v>
      </x:c>
      <x:c r="L4358" s="22" t="n">
        <x:v>6.2208000000000006</x:v>
      </x:c>
      <x:c r="M4358" t="n">
        <x:v>2017</x:v>
      </x:c>
      <x:c r="N4358" s="20" t="n">
        <x:v>43070</x:v>
      </x:c>
    </x:row>
    <x:row r="4359" ht="18" customHeight="1">
      <x:c r="A4359" t="str">
        <x:v>CA-2017-153654</x:v>
      </x:c>
      <x:c r="B4359" s="18" t="n">
        <x:v>43063</x:v>
      </x:c>
      <x:c r="C4359" t="str">
        <x:v>MD-17860</x:v>
      </x:c>
      <x:c r="D4359" t="str">
        <x:v>Michael Dominguez</x:v>
      </x:c>
      <x:c r="E4359" t="str">
        <x:v>Corporate</x:v>
      </x:c>
      <x:c r="F4359" t="str">
        <x:v>South</x:v>
      </x:c>
      <x:c r="G4359" t="str">
        <x:v>Office Supplies</x:v>
      </x:c>
      <x:c r="H4359" t="str">
        <x:v>Binders</x:v>
      </x:c>
      <x:c r="I4359" s="22" t="n">
        <x:v>19.008000000000003</x:v>
      </x:c>
      <x:c r="J4359" s="24" t="n">
        <x:v>8</x:v>
      </x:c>
      <x:c r="K4359" s="26" t="n">
        <x:v>0.7</x:v>
      </x:c>
      <x:c r="L4359" s="22" t="n">
        <x:v>-12.671999999999997</x:v>
      </x:c>
      <x:c r="M4359" t="n">
        <x:v>2017</x:v>
      </x:c>
      <x:c r="N4359" s="20" t="n">
        <x:v>43040</x:v>
      </x:c>
    </x:row>
    <x:row r="4360" ht="18" customHeight="1">
      <x:c r="A4360" t="str">
        <x:v>CA-2015-155600</x:v>
      </x:c>
      <x:c r="B4360" s="18" t="n">
        <x:v>42342</x:v>
      </x:c>
      <x:c r="C4360" t="str">
        <x:v>RO-19780</x:v>
      </x:c>
      <x:c r="D4360" t="str">
        <x:v>Rose O'Brian</x:v>
      </x:c>
      <x:c r="E4360" t="str">
        <x:v>Consumer</x:v>
      </x:c>
      <x:c r="F4360" t="str">
        <x:v>South</x:v>
      </x:c>
      <x:c r="G4360" t="str">
        <x:v>Office Supplies</x:v>
      </x:c>
      <x:c r="H4360" t="str">
        <x:v>Binders</x:v>
      </x:c>
      <x:c r="I4360" s="22" t="n">
        <x:v>1598.0580000000002</x:v>
      </x:c>
      <x:c r="J4360" s="24" t="n">
        <x:v>7</x:v>
      </x:c>
      <x:c r="K4360" s="26" t="n">
        <x:v>0.7</x:v>
      </x:c>
      <x:c r="L4360" s="22" t="n">
        <x:v>-1065.3719999999998</x:v>
      </x:c>
      <x:c r="M4360" t="n">
        <x:v>2015</x:v>
      </x:c>
      <x:c r="N4360" s="20" t="n">
        <x:v>42339</x:v>
      </x:c>
    </x:row>
    <x:row r="4361" ht="18" customHeight="1">
      <x:c r="A4361" t="str">
        <x:v>CA-2015-155600</x:v>
      </x:c>
      <x:c r="B4361" s="18" t="n">
        <x:v>42342</x:v>
      </x:c>
      <x:c r="C4361" t="str">
        <x:v>RO-19780</x:v>
      </x:c>
      <x:c r="D4361" t="str">
        <x:v>Rose O'Brian</x:v>
      </x:c>
      <x:c r="E4361" t="str">
        <x:v>Consumer</x:v>
      </x:c>
      <x:c r="F4361" t="str">
        <x:v>South</x:v>
      </x:c>
      <x:c r="G4361" t="str">
        <x:v>Office Supplies</x:v>
      </x:c>
      <x:c r="H4361" t="str">
        <x:v>Art</x:v>
      </x:c>
      <x:c r="I4361" s="22" t="n">
        <x:v>36.96</x:v>
      </x:c>
      <x:c r="J4361" s="24" t="n">
        <x:v>4</x:v>
      </x:c>
      <x:c r="K4361" s="26" t="n">
        <x:v>0.2</x:v>
      </x:c>
      <x:c r="L4361" s="22" t="n">
        <x:v>12.011999999999999</x:v>
      </x:c>
      <x:c r="M4361" t="n">
        <x:v>2015</x:v>
      </x:c>
      <x:c r="N4361" s="20" t="n">
        <x:v>42339</x:v>
      </x:c>
    </x:row>
    <x:row r="4362" ht="18" customHeight="1">
      <x:c r="A4362" t="str">
        <x:v>CA-2017-162565</x:v>
      </x:c>
      <x:c r="B4362" s="18" t="n">
        <x:v>43080</x:v>
      </x:c>
      <x:c r="C4362" t="str">
        <x:v>RR-19315</x:v>
      </x:c>
      <x:c r="D4362" t="str">
        <x:v>Ralph Ritter</x:v>
      </x:c>
      <x:c r="E4362" t="str">
        <x:v>Consumer</x:v>
      </x:c>
      <x:c r="F4362" t="str">
        <x:v>Central</x:v>
      </x:c>
      <x:c r="G4362" t="str">
        <x:v>Office Supplies</x:v>
      </x:c>
      <x:c r="H4362" t="str">
        <x:v>Paper</x:v>
      </x:c>
      <x:c r="I4362" s="22" t="n">
        <x:v>10.368000000000002</x:v>
      </x:c>
      <x:c r="J4362" s="24" t="n">
        <x:v>2</x:v>
      </x:c>
      <x:c r="K4362" s="26" t="n">
        <x:v>0.2</x:v>
      </x:c>
      <x:c r="L4362" s="22" t="n">
        <x:v>3.6288</x:v>
      </x:c>
      <x:c r="M4362" t="n">
        <x:v>2017</x:v>
      </x:c>
      <x:c r="N4362" s="20" t="n">
        <x:v>43070</x:v>
      </x:c>
    </x:row>
    <x:row r="4363" ht="18" customHeight="1">
      <x:c r="A4363" t="str">
        <x:v>CA-2017-162565</x:v>
      </x:c>
      <x:c r="B4363" s="18" t="n">
        <x:v>43080</x:v>
      </x:c>
      <x:c r="C4363" t="str">
        <x:v>RR-19315</x:v>
      </x:c>
      <x:c r="D4363" t="str">
        <x:v>Ralph Ritter</x:v>
      </x:c>
      <x:c r="E4363" t="str">
        <x:v>Consumer</x:v>
      </x:c>
      <x:c r="F4363" t="str">
        <x:v>Central</x:v>
      </x:c>
      <x:c r="G4363" t="str">
        <x:v>Furniture</x:v>
      </x:c>
      <x:c r="H4363" t="str">
        <x:v>Furnishings</x:v>
      </x:c>
      <x:c r="I4363" s="22" t="n">
        <x:v>77.72000000000001</x:v>
      </x:c>
      <x:c r="J4363" s="24" t="n">
        <x:v>1</x:v>
      </x:c>
      <x:c r="K4363" s="26" t="n">
        <x:v>0.6</x:v>
      </x:c>
      <x:c r="L4363" s="22" t="n">
        <x:v>-66.062</x:v>
      </x:c>
      <x:c r="M4363" t="n">
        <x:v>2017</x:v>
      </x:c>
      <x:c r="N4363" s="20" t="n">
        <x:v>43070</x:v>
      </x:c>
    </x:row>
    <x:row r="4364" ht="18" customHeight="1">
      <x:c r="A4364" t="str">
        <x:v>CA-2017-162565</x:v>
      </x:c>
      <x:c r="B4364" s="18" t="n">
        <x:v>43080</x:v>
      </x:c>
      <x:c r="C4364" t="str">
        <x:v>RR-19315</x:v>
      </x:c>
      <x:c r="D4364" t="str">
        <x:v>Ralph Ritter</x:v>
      </x:c>
      <x:c r="E4364" t="str">
        <x:v>Consumer</x:v>
      </x:c>
      <x:c r="F4364" t="str">
        <x:v>Central</x:v>
      </x:c>
      <x:c r="G4364" t="str">
        <x:v>Furniture</x:v>
      </x:c>
      <x:c r="H4364" t="str">
        <x:v>Chairs</x:v>
      </x:c>
      <x:c r="I4364" s="22" t="n">
        <x:v>520.4639999999999</x:v>
      </x:c>
      <x:c r="J4364" s="24" t="n">
        <x:v>2</x:v>
      </x:c>
      <x:c r="K4364" s="26" t="n">
        <x:v>0.3</x:v>
      </x:c>
      <x:c r="L4364" s="22" t="n">
        <x:v>-14.870399999999961</x:v>
      </x:c>
      <x:c r="M4364" t="n">
        <x:v>2017</x:v>
      </x:c>
      <x:c r="N4364" s="20" t="n">
        <x:v>43070</x:v>
      </x:c>
    </x:row>
    <x:row r="4365" ht="18" customHeight="1">
      <x:c r="A4365" t="str">
        <x:v>CA-2016-127642</x:v>
      </x:c>
      <x:c r="B4365" s="18" t="n">
        <x:v>42511</x:v>
      </x:c>
      <x:c r="C4365" t="str">
        <x:v>CP-12340</x:v>
      </x:c>
      <x:c r="D4365" t="str">
        <x:v>Christine Phan</x:v>
      </x:c>
      <x:c r="E4365" t="str">
        <x:v>Corporate</x:v>
      </x:c>
      <x:c r="F4365" t="str">
        <x:v>East</x:v>
      </x:c>
      <x:c r="G4365" t="str">
        <x:v>Office Supplies</x:v>
      </x:c>
      <x:c r="H4365" t="str">
        <x:v>Paper</x:v>
      </x:c>
      <x:c r="I4365" s="22" t="n">
        <x:v>111.96</x:v>
      </x:c>
      <x:c r="J4365" s="24" t="n">
        <x:v>2</x:v>
      </x:c>
      <x:c r="K4365" s="26" t="n">
        <x:v>0</x:v>
      </x:c>
      <x:c r="L4365" s="22" t="n">
        <x:v>54.8604</x:v>
      </x:c>
      <x:c r="M4365" t="n">
        <x:v>2016</x:v>
      </x:c>
      <x:c r="N4365" s="20" t="n">
        <x:v>42491</x:v>
      </x:c>
    </x:row>
    <x:row r="4366" ht="18" customHeight="1">
      <x:c r="A4366" t="str">
        <x:v>US-2017-163195</x:v>
      </x:c>
      <x:c r="B4366" s="18" t="n">
        <x:v>42783</x:v>
      </x:c>
      <x:c r="C4366" t="str">
        <x:v>LL-16840</x:v>
      </x:c>
      <x:c r="D4366" t="str">
        <x:v>Lauren Leatherbury</x:v>
      </x:c>
      <x:c r="E4366" t="str">
        <x:v>Consumer</x:v>
      </x:c>
      <x:c r="F4366" t="str">
        <x:v>South</x:v>
      </x:c>
      <x:c r="G4366" t="str">
        <x:v>Technology</x:v>
      </x:c>
      <x:c r="H4366" t="str">
        <x:v>Phones</x:v>
      </x:c>
      <x:c r="I4366" s="22" t="n">
        <x:v>29.160000000000004</x:v>
      </x:c>
      <x:c r="J4366" s="24" t="n">
        <x:v>3</x:v>
      </x:c>
      <x:c r="K4366" s="26" t="n">
        <x:v>0</x:v>
      </x:c>
      <x:c r="L4366" s="22" t="n">
        <x:v>8.456399999999999</x:v>
      </x:c>
      <x:c r="M4366" t="n">
        <x:v>2017</x:v>
      </x:c>
      <x:c r="N4366" s="20" t="n">
        <x:v>42767</x:v>
      </x:c>
    </x:row>
    <x:row r="4367" ht="18" customHeight="1">
      <x:c r="A4367" t="str">
        <x:v>CA-2017-111332</x:v>
      </x:c>
      <x:c r="B4367" s="18" t="n">
        <x:v>42875</x:v>
      </x:c>
      <x:c r="C4367" t="str">
        <x:v>NC-18340</x:v>
      </x:c>
      <x:c r="D4367" t="str">
        <x:v>Nat Carroll</x:v>
      </x:c>
      <x:c r="E4367" t="str">
        <x:v>Consumer</x:v>
      </x:c>
      <x:c r="F4367" t="str">
        <x:v>Central</x:v>
      </x:c>
      <x:c r="G4367" t="str">
        <x:v>Office Supplies</x:v>
      </x:c>
      <x:c r="H4367" t="str">
        <x:v>Art</x:v>
      </x:c>
      <x:c r="I4367" s="22" t="n">
        <x:v>131.94</x:v>
      </x:c>
      <x:c r="J4367" s="24" t="n">
        <x:v>3</x:v>
      </x:c>
      <x:c r="K4367" s="26" t="n">
        <x:v>0</x:v>
      </x:c>
      <x:c r="L4367" s="22" t="n">
        <x:v>35.6238</x:v>
      </x:c>
      <x:c r="M4367" t="n">
        <x:v>2017</x:v>
      </x:c>
      <x:c r="N4367" s="20" t="n">
        <x:v>42856</x:v>
      </x:c>
    </x:row>
    <x:row r="4368" ht="18" customHeight="1">
      <x:c r="A4368" t="str">
        <x:v>CA-2017-111332</x:v>
      </x:c>
      <x:c r="B4368" s="18" t="n">
        <x:v>42875</x:v>
      </x:c>
      <x:c r="C4368" t="str">
        <x:v>NC-18340</x:v>
      </x:c>
      <x:c r="D4368" t="str">
        <x:v>Nat Carroll</x:v>
      </x:c>
      <x:c r="E4368" t="str">
        <x:v>Consumer</x:v>
      </x:c>
      <x:c r="F4368" t="str">
        <x:v>Central</x:v>
      </x:c>
      <x:c r="G4368" t="str">
        <x:v>Office Supplies</x:v>
      </x:c>
      <x:c r="H4368" t="str">
        <x:v>Art</x:v>
      </x:c>
      <x:c r="I4368" s="22" t="n">
        <x:v>25.92</x:v>
      </x:c>
      <x:c r="J4368" s="24" t="n">
        <x:v>4</x:v>
      </x:c>
      <x:c r="K4368" s="26" t="n">
        <x:v>0</x:v>
      </x:c>
      <x:c r="L4368" s="22" t="n">
        <x:v>8.2944</x:v>
      </x:c>
      <x:c r="M4368" t="n">
        <x:v>2017</x:v>
      </x:c>
      <x:c r="N4368" s="20" t="n">
        <x:v>42856</x:v>
      </x:c>
    </x:row>
    <x:row r="4369" ht="18" customHeight="1">
      <x:c r="A4369" t="str">
        <x:v>CA-2017-111332</x:v>
      </x:c>
      <x:c r="B4369" s="18" t="n">
        <x:v>42875</x:v>
      </x:c>
      <x:c r="C4369" t="str">
        <x:v>NC-18340</x:v>
      </x:c>
      <x:c r="D4369" t="str">
        <x:v>Nat Carroll</x:v>
      </x:c>
      <x:c r="E4369" t="str">
        <x:v>Consumer</x:v>
      </x:c>
      <x:c r="F4369" t="str">
        <x:v>Central</x:v>
      </x:c>
      <x:c r="G4369" t="str">
        <x:v>Office Supplies</x:v>
      </x:c>
      <x:c r="H4369" t="str">
        <x:v>Storage</x:v>
      </x:c>
      <x:c r="I4369" s="22" t="n">
        <x:v>704.76</x:v>
      </x:c>
      <x:c r="J4369" s="24" t="n">
        <x:v>4</x:v>
      </x:c>
      <x:c r="K4369" s="26" t="n">
        <x:v>0</x:v>
      </x:c>
      <x:c r="L4369" s="22" t="n">
        <x:v>162.09479999999996</x:v>
      </x:c>
      <x:c r="M4369" t="n">
        <x:v>2017</x:v>
      </x:c>
      <x:c r="N4369" s="20" t="n">
        <x:v>42856</x:v>
      </x:c>
    </x:row>
    <x:row r="4370" ht="18" customHeight="1">
      <x:c r="A4370" t="str">
        <x:v>CA-2017-111332</x:v>
      </x:c>
      <x:c r="B4370" s="18" t="n">
        <x:v>42875</x:v>
      </x:c>
      <x:c r="C4370" t="str">
        <x:v>NC-18340</x:v>
      </x:c>
      <x:c r="D4370" t="str">
        <x:v>Nat Carroll</x:v>
      </x:c>
      <x:c r="E4370" t="str">
        <x:v>Consumer</x:v>
      </x:c>
      <x:c r="F4370" t="str">
        <x:v>Central</x:v>
      </x:c>
      <x:c r="G4370" t="str">
        <x:v>Office Supplies</x:v>
      </x:c>
      <x:c r="H4370" t="str">
        <x:v>Fasteners</x:v>
      </x:c>
      <x:c r="I4370" s="22" t="n">
        <x:v>7.41</x:v>
      </x:c>
      <x:c r="J4370" s="24" t="n">
        <x:v>3</x:v>
      </x:c>
      <x:c r="K4370" s="26" t="n">
        <x:v>0</x:v>
      </x:c>
      <x:c r="L4370" s="22" t="n">
        <x:v>3.4827000000000004</x:v>
      </x:c>
      <x:c r="M4370" t="n">
        <x:v>2017</x:v>
      </x:c>
      <x:c r="N4370" s="20" t="n">
        <x:v>42856</x:v>
      </x:c>
    </x:row>
    <x:row r="4371" ht="18" customHeight="1">
      <x:c r="A4371" t="str">
        <x:v>CA-2017-111332</x:v>
      </x:c>
      <x:c r="B4371" s="18" t="n">
        <x:v>42875</x:v>
      </x:c>
      <x:c r="C4371" t="str">
        <x:v>NC-18340</x:v>
      </x:c>
      <x:c r="D4371" t="str">
        <x:v>Nat Carroll</x:v>
      </x:c>
      <x:c r="E4371" t="str">
        <x:v>Consumer</x:v>
      </x:c>
      <x:c r="F4371" t="str">
        <x:v>Central</x:v>
      </x:c>
      <x:c r="G4371" t="str">
        <x:v>Office Supplies</x:v>
      </x:c>
      <x:c r="H4371" t="str">
        <x:v>Art</x:v>
      </x:c>
      <x:c r="I4371" s="22" t="n">
        <x:v>21.5</x:v>
      </x:c>
      <x:c r="J4371" s="24" t="n">
        <x:v>10</x:v>
      </x:c>
      <x:c r="K4371" s="26" t="n">
        <x:v>0</x:v>
      </x:c>
      <x:c r="L4371" s="22" t="n">
        <x:v>7.094999999999998</x:v>
      </x:c>
      <x:c r="M4371" t="n">
        <x:v>2017</x:v>
      </x:c>
      <x:c r="N4371" s="20" t="n">
        <x:v>42856</x:v>
      </x:c>
    </x:row>
    <x:row r="4372" ht="18" customHeight="1">
      <x:c r="A4372" t="str">
        <x:v>CA-2017-117044</x:v>
      </x:c>
      <x:c r="B4372" s="18" t="n">
        <x:v>42989</x:v>
      </x:c>
      <x:c r="C4372" t="str">
        <x:v>HA-14920</x:v>
      </x:c>
      <x:c r="D4372" t="str">
        <x:v>Helen Andreada</x:v>
      </x:c>
      <x:c r="E4372" t="str">
        <x:v>Consumer</x:v>
      </x:c>
      <x:c r="F4372" t="str">
        <x:v>Central</x:v>
      </x:c>
      <x:c r="G4372" t="str">
        <x:v>Office Supplies</x:v>
      </x:c>
      <x:c r="H4372" t="str">
        <x:v>Fasteners</x:v>
      </x:c>
      <x:c r="I4372" s="22" t="n">
        <x:v>10.528</x:v>
      </x:c>
      <x:c r="J4372" s="24" t="n">
        <x:v>4</x:v>
      </x:c>
      <x:c r="K4372" s="26" t="n">
        <x:v>0.2</x:v>
      </x:c>
      <x:c r="L4372" s="22" t="n">
        <x:v>3.2899999999999996</x:v>
      </x:c>
      <x:c r="M4372" t="n">
        <x:v>2017</x:v>
      </x:c>
      <x:c r="N4372" s="20" t="n">
        <x:v>42979</x:v>
      </x:c>
    </x:row>
    <x:row r="4373" ht="18" customHeight="1">
      <x:c r="A4373" t="str">
        <x:v>CA-2017-117044</x:v>
      </x:c>
      <x:c r="B4373" s="18" t="n">
        <x:v>42989</x:v>
      </x:c>
      <x:c r="C4373" t="str">
        <x:v>HA-14920</x:v>
      </x:c>
      <x:c r="D4373" t="str">
        <x:v>Helen Andreada</x:v>
      </x:c>
      <x:c r="E4373" t="str">
        <x:v>Consumer</x:v>
      </x:c>
      <x:c r="F4373" t="str">
        <x:v>Central</x:v>
      </x:c>
      <x:c r="G4373" t="str">
        <x:v>Office Supplies</x:v>
      </x:c>
      <x:c r="H4373" t="str">
        <x:v>Paper</x:v>
      </x:c>
      <x:c r="I4373" s="22" t="n">
        <x:v>20.544000000000004</x:v>
      </x:c>
      <x:c r="J4373" s="24" t="n">
        <x:v>6</x:v>
      </x:c>
      <x:c r="K4373" s="26" t="n">
        <x:v>0.2</x:v>
      </x:c>
      <x:c r="L4373" s="22" t="n">
        <x:v>6.419999999999996</x:v>
      </x:c>
      <x:c r="M4373" t="n">
        <x:v>2017</x:v>
      </x:c>
      <x:c r="N4373" s="20" t="n">
        <x:v>42979</x:v>
      </x:c>
    </x:row>
    <x:row r="4374" ht="18" customHeight="1">
      <x:c r="A4374" t="str">
        <x:v>US-2016-165078</x:v>
      </x:c>
      <x:c r="B4374" s="18" t="n">
        <x:v>42679</x:v>
      </x:c>
      <x:c r="C4374" t="str">
        <x:v>MA-17995</x:v>
      </x:c>
      <x:c r="D4374" t="str">
        <x:v>Michelle Arnett</x:v>
      </x:c>
      <x:c r="E4374" t="str">
        <x:v>Home Office</x:v>
      </x:c>
      <x:c r="F4374" t="str">
        <x:v>Central</x:v>
      </x:c>
      <x:c r="G4374" t="str">
        <x:v>Office Supplies</x:v>
      </x:c>
      <x:c r="H4374" t="str">
        <x:v>Binders</x:v>
      </x:c>
      <x:c r="I4374" s="22" t="n">
        <x:v>104.9</x:v>
      </x:c>
      <x:c r="J4374" s="24" t="n">
        <x:v>5</x:v>
      </x:c>
      <x:c r="K4374" s="26" t="n">
        <x:v>0</x:v>
      </x:c>
      <x:c r="L4374" s="22" t="n">
        <x:v>50.352</x:v>
      </x:c>
      <x:c r="M4374" t="n">
        <x:v>2016</x:v>
      </x:c>
      <x:c r="N4374" s="20" t="n">
        <x:v>42675</x:v>
      </x:c>
    </x:row>
    <x:row r="4375" ht="18" customHeight="1">
      <x:c r="A4375" t="str">
        <x:v>US-2016-165078</x:v>
      </x:c>
      <x:c r="B4375" s="18" t="n">
        <x:v>42679</x:v>
      </x:c>
      <x:c r="C4375" t="str">
        <x:v>MA-17995</x:v>
      </x:c>
      <x:c r="D4375" t="str">
        <x:v>Michelle Arnett</x:v>
      </x:c>
      <x:c r="E4375" t="str">
        <x:v>Home Office</x:v>
      </x:c>
      <x:c r="F4375" t="str">
        <x:v>Central</x:v>
      </x:c>
      <x:c r="G4375" t="str">
        <x:v>Office Supplies</x:v>
      </x:c>
      <x:c r="H4375" t="str">
        <x:v>Art</x:v>
      </x:c>
      <x:c r="I4375" s="22" t="n">
        <x:v>39.68</x:v>
      </x:c>
      <x:c r="J4375" s="24" t="n">
        <x:v>2</x:v>
      </x:c>
      <x:c r="K4375" s="26" t="n">
        <x:v>0</x:v>
      </x:c>
      <x:c r="L4375" s="22" t="n">
        <x:v>16.268800000000002</x:v>
      </x:c>
      <x:c r="M4375" t="n">
        <x:v>2016</x:v>
      </x:c>
      <x:c r="N4375" s="20" t="n">
        <x:v>42675</x:v>
      </x:c>
    </x:row>
    <x:row r="4376" ht="18" customHeight="1">
      <x:c r="A4376" t="str">
        <x:v>US-2016-165078</x:v>
      </x:c>
      <x:c r="B4376" s="18" t="n">
        <x:v>42679</x:v>
      </x:c>
      <x:c r="C4376" t="str">
        <x:v>MA-17995</x:v>
      </x:c>
      <x:c r="D4376" t="str">
        <x:v>Michelle Arnett</x:v>
      </x:c>
      <x:c r="E4376" t="str">
        <x:v>Home Office</x:v>
      </x:c>
      <x:c r="F4376" t="str">
        <x:v>Central</x:v>
      </x:c>
      <x:c r="G4376" t="str">
        <x:v>Office Supplies</x:v>
      </x:c>
      <x:c r="H4376" t="str">
        <x:v>Labels</x:v>
      </x:c>
      <x:c r="I4376" s="22" t="n">
        <x:v>51.75</x:v>
      </x:c>
      <x:c r="J4376" s="24" t="n">
        <x:v>5</x:v>
      </x:c>
      <x:c r="K4376" s="26" t="n">
        <x:v>0</x:v>
      </x:c>
      <x:c r="L4376" s="22" t="n">
        <x:v>24.84</x:v>
      </x:c>
      <x:c r="M4376" t="n">
        <x:v>2016</x:v>
      </x:c>
      <x:c r="N4376" s="20" t="n">
        <x:v>42675</x:v>
      </x:c>
    </x:row>
    <x:row r="4377" ht="18" customHeight="1">
      <x:c r="A4377" t="str">
        <x:v>US-2017-169320</x:v>
      </x:c>
      <x:c r="B4377" s="18" t="n">
        <x:v>42939</x:v>
      </x:c>
      <x:c r="C4377" t="str">
        <x:v>LH-16900</x:v>
      </x:c>
      <x:c r="D4377" t="str">
        <x:v>Lena Hernandez</x:v>
      </x:c>
      <x:c r="E4377" t="str">
        <x:v>Consumer</x:v>
      </x:c>
      <x:c r="F4377" t="str">
        <x:v>Central</x:v>
      </x:c>
      <x:c r="G4377" t="str">
        <x:v>Office Supplies</x:v>
      </x:c>
      <x:c r="H4377" t="str">
        <x:v>Art</x:v>
      </x:c>
      <x:c r="I4377" s="22" t="n">
        <x:v>11.68</x:v>
      </x:c>
      <x:c r="J4377" s="24" t="n">
        <x:v>2</x:v>
      </x:c>
      <x:c r="K4377" s="26" t="n">
        <x:v>0</x:v>
      </x:c>
      <x:c r="L4377" s="22" t="n">
        <x:v>5.489599999999999</x:v>
      </x:c>
      <x:c r="M4377" t="n">
        <x:v>2017</x:v>
      </x:c>
      <x:c r="N4377" s="20" t="n">
        <x:v>42917</x:v>
      </x:c>
    </x:row>
    <x:row r="4378" ht="18" customHeight="1">
      <x:c r="A4378" t="str">
        <x:v>US-2017-169320</x:v>
      </x:c>
      <x:c r="B4378" s="18" t="n">
        <x:v>42939</x:v>
      </x:c>
      <x:c r="C4378" t="str">
        <x:v>LH-16900</x:v>
      </x:c>
      <x:c r="D4378" t="str">
        <x:v>Lena Hernandez</x:v>
      </x:c>
      <x:c r="E4378" t="str">
        <x:v>Consumer</x:v>
      </x:c>
      <x:c r="F4378" t="str">
        <x:v>Central</x:v>
      </x:c>
      <x:c r="G4378" t="str">
        <x:v>Technology</x:v>
      </x:c>
      <x:c r="H4378" t="str">
        <x:v>Accessories</x:v>
      </x:c>
      <x:c r="I4378" s="22" t="n">
        <x:v>159.75</x:v>
      </x:c>
      <x:c r="J4378" s="24" t="n">
        <x:v>5</x:v>
      </x:c>
      <x:c r="K4378" s="26" t="n">
        <x:v>0</x:v>
      </x:c>
      <x:c r="L4378" s="22" t="n">
        <x:v>11.182499999999997</x:v>
      </x:c>
      <x:c r="M4378" t="n">
        <x:v>2017</x:v>
      </x:c>
      <x:c r="N4378" s="20" t="n">
        <x:v>42917</x:v>
      </x:c>
    </x:row>
    <x:row r="4379" ht="18" customHeight="1">
      <x:c r="A4379" t="str">
        <x:v>CA-2016-158575</x:v>
      </x:c>
      <x:c r="B4379" s="18" t="n">
        <x:v>42692</x:v>
      </x:c>
      <x:c r="C4379" t="str">
        <x:v>SB-20290</x:v>
      </x:c>
      <x:c r="D4379" t="str">
        <x:v>Sean Braxton</x:v>
      </x:c>
      <x:c r="E4379" t="str">
        <x:v>Corporate</x:v>
      </x:c>
      <x:c r="F4379" t="str">
        <x:v>East</x:v>
      </x:c>
      <x:c r="G4379" t="str">
        <x:v>Office Supplies</x:v>
      </x:c>
      <x:c r="H4379" t="str">
        <x:v>Appliances</x:v>
      </x:c>
      <x:c r="I4379" s="22" t="n">
        <x:v>103.96799999999999</x:v>
      </x:c>
      <x:c r="J4379" s="24" t="n">
        <x:v>6</x:v>
      </x:c>
      <x:c r="K4379" s="26" t="n">
        <x:v>0.2</x:v>
      </x:c>
      <x:c r="L4379" s="22" t="n">
        <x:v>16.894799999999996</x:v>
      </x:c>
      <x:c r="M4379" t="n">
        <x:v>2016</x:v>
      </x:c>
      <x:c r="N4379" s="20" t="n">
        <x:v>42675</x:v>
      </x:c>
    </x:row>
    <x:row r="4380" ht="18" customHeight="1">
      <x:c r="A4380" t="str">
        <x:v>CA-2014-166954</x:v>
      </x:c>
      <x:c r="B4380" s="18" t="n">
        <x:v>41754</x:v>
      </x:c>
      <x:c r="C4380" t="str">
        <x:v>BT-11305</x:v>
      </x:c>
      <x:c r="D4380" t="str">
        <x:v>Beth Thompson</x:v>
      </x:c>
      <x:c r="E4380" t="str">
        <x:v>Home Office</x:v>
      </x:c>
      <x:c r="F4380" t="str">
        <x:v>West</x:v>
      </x:c>
      <x:c r="G4380" t="str">
        <x:v>Furniture</x:v>
      </x:c>
      <x:c r="H4380" t="str">
        <x:v>Furnishings</x:v>
      </x:c>
      <x:c r="I4380" s="22" t="n">
        <x:v>303.25</x:v>
      </x:c>
      <x:c r="J4380" s="24" t="n">
        <x:v>5</x:v>
      </x:c>
      <x:c r="K4380" s="26" t="n">
        <x:v>0</x:v>
      </x:c>
      <x:c r="L4380" s="22" t="n">
        <x:v>63.6825</x:v>
      </x:c>
      <x:c r="M4380" t="n">
        <x:v>2014</x:v>
      </x:c>
      <x:c r="N4380" s="20" t="n">
        <x:v>41730</x:v>
      </x:c>
    </x:row>
    <x:row r="4381" ht="18" customHeight="1">
      <x:c r="A4381" t="str">
        <x:v>CA-2014-166954</x:v>
      </x:c>
      <x:c r="B4381" s="18" t="n">
        <x:v>41754</x:v>
      </x:c>
      <x:c r="C4381" t="str">
        <x:v>BT-11305</x:v>
      </x:c>
      <x:c r="D4381" t="str">
        <x:v>Beth Thompson</x:v>
      </x:c>
      <x:c r="E4381" t="str">
        <x:v>Home Office</x:v>
      </x:c>
      <x:c r="F4381" t="str">
        <x:v>West</x:v>
      </x:c>
      <x:c r="G4381" t="str">
        <x:v>Office Supplies</x:v>
      </x:c>
      <x:c r="H4381" t="str">
        <x:v>Appliances</x:v>
      </x:c>
      <x:c r="I4381" s="22" t="n">
        <x:v>270.71999999999997</x:v>
      </x:c>
      <x:c r="J4381" s="24" t="n">
        <x:v>3</x:v>
      </x:c>
      <x:c r="K4381" s="26" t="n">
        <x:v>0</x:v>
      </x:c>
      <x:c r="L4381" s="22" t="n">
        <x:v>78.50879999999997</x:v>
      </x:c>
      <x:c r="M4381" t="n">
        <x:v>2014</x:v>
      </x:c>
      <x:c r="N4381" s="20" t="n">
        <x:v>41730</x:v>
      </x:c>
    </x:row>
    <x:row r="4382" ht="18" customHeight="1">
      <x:c r="A4382" t="str">
        <x:v>CA-2014-166954</x:v>
      </x:c>
      <x:c r="B4382" s="18" t="n">
        <x:v>41754</x:v>
      </x:c>
      <x:c r="C4382" t="str">
        <x:v>BT-11305</x:v>
      </x:c>
      <x:c r="D4382" t="str">
        <x:v>Beth Thompson</x:v>
      </x:c>
      <x:c r="E4382" t="str">
        <x:v>Home Office</x:v>
      </x:c>
      <x:c r="F4382" t="str">
        <x:v>West</x:v>
      </x:c>
      <x:c r="G4382" t="str">
        <x:v>Furniture</x:v>
      </x:c>
      <x:c r="H4382" t="str">
        <x:v>Chairs</x:v>
      </x:c>
      <x:c r="I4382" s="22" t="n">
        <x:v>1487.04</x:v>
      </x:c>
      <x:c r="J4382" s="24" t="n">
        <x:v>5</x:v>
      </x:c>
      <x:c r="K4382" s="26" t="n">
        <x:v>0.2</x:v>
      </x:c>
      <x:c r="L4382" s="22" t="n">
        <x:v>148.70400000000006</x:v>
      </x:c>
      <x:c r="M4382" t="n">
        <x:v>2014</x:v>
      </x:c>
      <x:c r="N4382" s="20" t="n">
        <x:v>41730</x:v>
      </x:c>
    </x:row>
    <x:row r="4383" ht="18" customHeight="1">
      <x:c r="A4383" t="str">
        <x:v>CA-2015-140830</x:v>
      </x:c>
      <x:c r="B4383" s="18" t="n">
        <x:v>42338</x:v>
      </x:c>
      <x:c r="C4383" t="str">
        <x:v>PS-18970</x:v>
      </x:c>
      <x:c r="D4383" t="str">
        <x:v>Paul Stevenson</x:v>
      </x:c>
      <x:c r="E4383" t="str">
        <x:v>Home Office</x:v>
      </x:c>
      <x:c r="F4383" t="str">
        <x:v>South</x:v>
      </x:c>
      <x:c r="G4383" t="str">
        <x:v>Office Supplies</x:v>
      </x:c>
      <x:c r="H4383" t="str">
        <x:v>Envelopes</x:v>
      </x:c>
      <x:c r="I4383" s="22" t="n">
        <x:v>17.48</x:v>
      </x:c>
      <x:c r="J4383" s="24" t="n">
        <x:v>2</x:v>
      </x:c>
      <x:c r="K4383" s="26" t="n">
        <x:v>0</x:v>
      </x:c>
      <x:c r="L4383" s="22" t="n">
        <x:v>8.2156</x:v>
      </x:c>
      <x:c r="M4383" t="n">
        <x:v>2015</x:v>
      </x:c>
      <x:c r="N4383" s="20" t="n">
        <x:v>42309</x:v>
      </x:c>
    </x:row>
    <x:row r="4384" ht="18" customHeight="1">
      <x:c r="A4384" t="str">
        <x:v>CA-2015-140830</x:v>
      </x:c>
      <x:c r="B4384" s="18" t="n">
        <x:v>42338</x:v>
      </x:c>
      <x:c r="C4384" t="str">
        <x:v>PS-18970</x:v>
      </x:c>
      <x:c r="D4384" t="str">
        <x:v>Paul Stevenson</x:v>
      </x:c>
      <x:c r="E4384" t="str">
        <x:v>Home Office</x:v>
      </x:c>
      <x:c r="F4384" t="str">
        <x:v>South</x:v>
      </x:c>
      <x:c r="G4384" t="str">
        <x:v>Office Supplies</x:v>
      </x:c>
      <x:c r="H4384" t="str">
        <x:v>Envelopes</x:v>
      </x:c>
      <x:c r="I4384" s="22" t="n">
        <x:v>71.88</x:v>
      </x:c>
      <x:c r="J4384" s="24" t="n">
        <x:v>2</x:v>
      </x:c>
      <x:c r="K4384" s="26" t="n">
        <x:v>0</x:v>
      </x:c>
      <x:c r="L4384" s="22" t="n">
        <x:v>32.346</x:v>
      </x:c>
      <x:c r="M4384" t="n">
        <x:v>2015</x:v>
      </x:c>
      <x:c r="N4384" s="20" t="n">
        <x:v>42309</x:v>
      </x:c>
    </x:row>
    <x:row r="4385" ht="18" customHeight="1">
      <x:c r="A4385" t="str">
        <x:v>CA-2015-152891</x:v>
      </x:c>
      <x:c r="B4385" s="18" t="n">
        <x:v>42302</x:v>
      </x:c>
      <x:c r="C4385" t="str">
        <x:v>TB-21625</x:v>
      </x:c>
      <x:c r="D4385" t="str">
        <x:v>Trudy Brown</x:v>
      </x:c>
      <x:c r="E4385" t="str">
        <x:v>Consumer</x:v>
      </x:c>
      <x:c r="F4385" t="str">
        <x:v>West</x:v>
      </x:c>
      <x:c r="G4385" t="str">
        <x:v>Office Supplies</x:v>
      </x:c>
      <x:c r="H4385" t="str">
        <x:v>Art</x:v>
      </x:c>
      <x:c r="I4385" s="22" t="n">
        <x:v>60.449999999999996</x:v>
      </x:c>
      <x:c r="J4385" s="24" t="n">
        <x:v>3</x:v>
      </x:c>
      <x:c r="K4385" s="26" t="n">
        <x:v>0</x:v>
      </x:c>
      <x:c r="L4385" s="22" t="n">
        <x:v>16.3215</x:v>
      </x:c>
      <x:c r="M4385" t="n">
        <x:v>2015</x:v>
      </x:c>
      <x:c r="N4385" s="20" t="n">
        <x:v>42278</x:v>
      </x:c>
    </x:row>
    <x:row r="4386" ht="18" customHeight="1">
      <x:c r="A4386" t="str">
        <x:v>CA-2015-152891</x:v>
      </x:c>
      <x:c r="B4386" s="18" t="n">
        <x:v>42302</x:v>
      </x:c>
      <x:c r="C4386" t="str">
        <x:v>TB-21625</x:v>
      </x:c>
      <x:c r="D4386" t="str">
        <x:v>Trudy Brown</x:v>
      </x:c>
      <x:c r="E4386" t="str">
        <x:v>Consumer</x:v>
      </x:c>
      <x:c r="F4386" t="str">
        <x:v>West</x:v>
      </x:c>
      <x:c r="G4386" t="str">
        <x:v>Furniture</x:v>
      </x:c>
      <x:c r="H4386" t="str">
        <x:v>Tables</x:v>
      </x:c>
      <x:c r="I4386" s="22" t="n">
        <x:v>253.176</x:v>
      </x:c>
      <x:c r="J4386" s="24" t="n">
        <x:v>3</x:v>
      </x:c>
      <x:c r="K4386" s="26" t="n">
        <x:v>0.2</x:v>
      </x:c>
      <x:c r="L4386" s="22" t="n">
        <x:v>-31.64700000000002</x:v>
      </x:c>
      <x:c r="M4386" t="n">
        <x:v>2015</x:v>
      </x:c>
      <x:c r="N4386" s="20" t="n">
        <x:v>42278</x:v>
      </x:c>
    </x:row>
    <x:row r="4387" ht="18" customHeight="1">
      <x:c r="A4387" t="str">
        <x:v>US-2015-122784</x:v>
      </x:c>
      <x:c r="B4387" s="18" t="n">
        <x:v>42205</x:v>
      </x:c>
      <x:c r="C4387" t="str">
        <x:v>RA-19915</x:v>
      </x:c>
      <x:c r="D4387" t="str">
        <x:v>Russell Applegate</x:v>
      </x:c>
      <x:c r="E4387" t="str">
        <x:v>Consumer</x:v>
      </x:c>
      <x:c r="F4387" t="str">
        <x:v>Central</x:v>
      </x:c>
      <x:c r="G4387" t="str">
        <x:v>Office Supplies</x:v>
      </x:c>
      <x:c r="H4387" t="str">
        <x:v>Binders</x:v>
      </x:c>
      <x:c r="I4387" s="22" t="n">
        <x:v>2.879999999999999</x:v>
      </x:c>
      <x:c r="J4387" s="24" t="n">
        <x:v>5</x:v>
      </x:c>
      <x:c r="K4387" s="26" t="n">
        <x:v>0.8</x:v>
      </x:c>
      <x:c r="L4387" s="22" t="n">
        <x:v>-4.4639999999999995</x:v>
      </x:c>
      <x:c r="M4387" t="n">
        <x:v>2015</x:v>
      </x:c>
      <x:c r="N4387" s="20" t="n">
        <x:v>42186</x:v>
      </x:c>
    </x:row>
    <x:row r="4388" ht="18" customHeight="1">
      <x:c r="A4388" t="str">
        <x:v>US-2015-122784</x:v>
      </x:c>
      <x:c r="B4388" s="18" t="n">
        <x:v>42205</x:v>
      </x:c>
      <x:c r="C4388" t="str">
        <x:v>RA-19915</x:v>
      </x:c>
      <x:c r="D4388" t="str">
        <x:v>Russell Applegate</x:v>
      </x:c>
      <x:c r="E4388" t="str">
        <x:v>Consumer</x:v>
      </x:c>
      <x:c r="F4388" t="str">
        <x:v>Central</x:v>
      </x:c>
      <x:c r="G4388" t="str">
        <x:v>Furniture</x:v>
      </x:c>
      <x:c r="H4388" t="str">
        <x:v>Bookcases</x:v>
      </x:c>
      <x:c r="I4388" s="22" t="n">
        <x:v>384.94399999999996</x:v>
      </x:c>
      <x:c r="J4388" s="24" t="n">
        <x:v>4</x:v>
      </x:c>
      <x:c r="K4388" s="26" t="n">
        <x:v>0.3</x:v>
      </x:c>
      <x:c r="L4388" s="22" t="n">
        <x:v>-126.48159999999999</x:v>
      </x:c>
      <x:c r="M4388" t="n">
        <x:v>2015</x:v>
      </x:c>
      <x:c r="N4388" s="20" t="n">
        <x:v>42186</x:v>
      </x:c>
    </x:row>
    <x:row r="4389" ht="18" customHeight="1">
      <x:c r="A4389" t="str">
        <x:v>US-2015-122784</x:v>
      </x:c>
      <x:c r="B4389" s="18" t="n">
        <x:v>42205</x:v>
      </x:c>
      <x:c r="C4389" t="str">
        <x:v>RA-19915</x:v>
      </x:c>
      <x:c r="D4389" t="str">
        <x:v>Russell Applegate</x:v>
      </x:c>
      <x:c r="E4389" t="str">
        <x:v>Consumer</x:v>
      </x:c>
      <x:c r="F4389" t="str">
        <x:v>Central</x:v>
      </x:c>
      <x:c r="G4389" t="str">
        <x:v>Technology</x:v>
      </x:c>
      <x:c r="H4389" t="str">
        <x:v>Phones</x:v>
      </x:c>
      <x:c r="I4389" s="22" t="n">
        <x:v>153.584</x:v>
      </x:c>
      <x:c r="J4389" s="24" t="n">
        <x:v>2</x:v>
      </x:c>
      <x:c r="K4389" s="26" t="n">
        <x:v>0.2</x:v>
      </x:c>
      <x:c r="L4389" s="22" t="n">
        <x:v>13.438599999999994</x:v>
      </x:c>
      <x:c r="M4389" t="n">
        <x:v>2015</x:v>
      </x:c>
      <x:c r="N4389" s="20" t="n">
        <x:v>42186</x:v>
      </x:c>
    </x:row>
    <x:row r="4390" ht="18" customHeight="1">
      <x:c r="A4390" t="str">
        <x:v>US-2015-122784</x:v>
      </x:c>
      <x:c r="B4390" s="18" t="n">
        <x:v>42205</x:v>
      </x:c>
      <x:c r="C4390" t="str">
        <x:v>RA-19915</x:v>
      </x:c>
      <x:c r="D4390" t="str">
        <x:v>Russell Applegate</x:v>
      </x:c>
      <x:c r="E4390" t="str">
        <x:v>Consumer</x:v>
      </x:c>
      <x:c r="F4390" t="str">
        <x:v>Central</x:v>
      </x:c>
      <x:c r="G4390" t="str">
        <x:v>Furniture</x:v>
      </x:c>
      <x:c r="H4390" t="str">
        <x:v>Bookcases</x:v>
      </x:c>
      <x:c r="I4390" s="22" t="n">
        <x:v>913.4300000000001</x:v>
      </x:c>
      <x:c r="J4390" s="24" t="n">
        <x:v>5</x:v>
      </x:c>
      <x:c r="K4390" s="26" t="n">
        <x:v>0.3</x:v>
      </x:c>
      <x:c r="L4390" s="22" t="n">
        <x:v>-52.19599999999991</x:v>
      </x:c>
      <x:c r="M4390" t="n">
        <x:v>2015</x:v>
      </x:c>
      <x:c r="N4390" s="20" t="n">
        <x:v>42186</x:v>
      </x:c>
    </x:row>
    <x:row r="4391" ht="18" customHeight="1">
      <x:c r="A4391" t="str">
        <x:v>CA-2016-156811</x:v>
      </x:c>
      <x:c r="B4391" s="18" t="n">
        <x:v>42670</x:v>
      </x:c>
      <x:c r="C4391" t="str">
        <x:v>BP-11095</x:v>
      </x:c>
      <x:c r="D4391" t="str">
        <x:v>Bart Pistole</x:v>
      </x:c>
      <x:c r="E4391" t="str">
        <x:v>Corporate</x:v>
      </x:c>
      <x:c r="F4391" t="str">
        <x:v>West</x:v>
      </x:c>
      <x:c r="G4391" t="str">
        <x:v>Office Supplies</x:v>
      </x:c>
      <x:c r="H4391" t="str">
        <x:v>Appliances</x:v>
      </x:c>
      <x:c r="I4391" s="22" t="n">
        <x:v>43.92</x:v>
      </x:c>
      <x:c r="J4391" s="24" t="n">
        <x:v>4</x:v>
      </x:c>
      <x:c r="K4391" s="26" t="n">
        <x:v>0</x:v>
      </x:c>
      <x:c r="L4391" s="22" t="n">
        <x:v>11.858400000000003</x:v>
      </x:c>
      <x:c r="M4391" t="n">
        <x:v>2016</x:v>
      </x:c>
      <x:c r="N4391" s="20" t="n">
        <x:v>42644</x:v>
      </x:c>
    </x:row>
    <x:row r="4392" ht="18" customHeight="1">
      <x:c r="A4392" t="str">
        <x:v>CA-2016-156811</x:v>
      </x:c>
      <x:c r="B4392" s="18" t="n">
        <x:v>42670</x:v>
      </x:c>
      <x:c r="C4392" t="str">
        <x:v>BP-11095</x:v>
      </x:c>
      <x:c r="D4392" t="str">
        <x:v>Bart Pistole</x:v>
      </x:c>
      <x:c r="E4392" t="str">
        <x:v>Corporate</x:v>
      </x:c>
      <x:c r="F4392" t="str">
        <x:v>West</x:v>
      </x:c>
      <x:c r="G4392" t="str">
        <x:v>Office Supplies</x:v>
      </x:c>
      <x:c r="H4392" t="str">
        <x:v>Binders</x:v>
      </x:c>
      <x:c r="I4392" s="22" t="n">
        <x:v>25.031999999999996</x:v>
      </x:c>
      <x:c r="J4392" s="24" t="n">
        <x:v>3</x:v>
      </x:c>
      <x:c r="K4392" s="26" t="n">
        <x:v>0.2</x:v>
      </x:c>
      <x:c r="L4392" s="22" t="n">
        <x:v>7.822499999999998</x:v>
      </x:c>
      <x:c r="M4392" t="n">
        <x:v>2016</x:v>
      </x:c>
      <x:c r="N4392" s="20" t="n">
        <x:v>42644</x:v>
      </x:c>
    </x:row>
    <x:row r="4393" ht="18" customHeight="1">
      <x:c r="A4393" t="str">
        <x:v>CA-2017-111556</x:v>
      </x:c>
      <x:c r="B4393" s="18" t="n">
        <x:v>43059</x:v>
      </x:c>
      <x:c r="C4393" t="str">
        <x:v>CD-11920</x:v>
      </x:c>
      <x:c r="D4393" t="str">
        <x:v>Carlos Daly</x:v>
      </x:c>
      <x:c r="E4393" t="str">
        <x:v>Consumer</x:v>
      </x:c>
      <x:c r="F4393" t="str">
        <x:v>East</x:v>
      </x:c>
      <x:c r="G4393" t="str">
        <x:v>Office Supplies</x:v>
      </x:c>
      <x:c r="H4393" t="str">
        <x:v>Paper</x:v>
      </x:c>
      <x:c r="I4393" s="22" t="n">
        <x:v>46.76</x:v>
      </x:c>
      <x:c r="J4393" s="24" t="n">
        <x:v>7</x:v>
      </x:c>
      <x:c r="K4393" s="26" t="n">
        <x:v>0</x:v>
      </x:c>
      <x:c r="L4393" s="22" t="n">
        <x:v>22.4448</x:v>
      </x:c>
      <x:c r="M4393" t="n">
        <x:v>2017</x:v>
      </x:c>
      <x:c r="N4393" s="20" t="n">
        <x:v>43040</x:v>
      </x:c>
    </x:row>
    <x:row r="4394" ht="18" customHeight="1">
      <x:c r="A4394" t="str">
        <x:v>CA-2017-111556</x:v>
      </x:c>
      <x:c r="B4394" s="18" t="n">
        <x:v>43059</x:v>
      </x:c>
      <x:c r="C4394" t="str">
        <x:v>CD-11920</x:v>
      </x:c>
      <x:c r="D4394" t="str">
        <x:v>Carlos Daly</x:v>
      </x:c>
      <x:c r="E4394" t="str">
        <x:v>Consumer</x:v>
      </x:c>
      <x:c r="F4394" t="str">
        <x:v>East</x:v>
      </x:c>
      <x:c r="G4394" t="str">
        <x:v>Furniture</x:v>
      </x:c>
      <x:c r="H4394" t="str">
        <x:v>Bookcases</x:v>
      </x:c>
      <x:c r="I4394" s="22" t="n">
        <x:v>183.96800000000002</x:v>
      </x:c>
      <x:c r="J4394" s="24" t="n">
        <x:v>2</x:v>
      </x:c>
      <x:c r="K4394" s="26" t="n">
        <x:v>0.2</x:v>
      </x:c>
      <x:c r="L4394" s="22" t="n">
        <x:v>-25.29560000000002</x:v>
      </x:c>
      <x:c r="M4394" t="n">
        <x:v>2017</x:v>
      </x:c>
      <x:c r="N4394" s="20" t="n">
        <x:v>43040</x:v>
      </x:c>
    </x:row>
    <x:row r="4395" ht="18" customHeight="1">
      <x:c r="A4395" t="str">
        <x:v>CA-2017-111556</x:v>
      </x:c>
      <x:c r="B4395" s="18" t="n">
        <x:v>43059</x:v>
      </x:c>
      <x:c r="C4395" t="str">
        <x:v>CD-11920</x:v>
      </x:c>
      <x:c r="D4395" t="str">
        <x:v>Carlos Daly</x:v>
      </x:c>
      <x:c r="E4395" t="str">
        <x:v>Consumer</x:v>
      </x:c>
      <x:c r="F4395" t="str">
        <x:v>East</x:v>
      </x:c>
      <x:c r="G4395" t="str">
        <x:v>Technology</x:v>
      </x:c>
      <x:c r="H4395" t="str">
        <x:v>Phones</x:v>
      </x:c>
      <x:c r="I4395" s="22" t="n">
        <x:v>1259.97</x:v>
      </x:c>
      <x:c r="J4395" s="24" t="n">
        <x:v>3</x:v>
      </x:c>
      <x:c r="K4395" s="26" t="n">
        <x:v>0</x:v>
      </x:c>
      <x:c r="L4395" s="22" t="n">
        <x:v>327.59220000000005</x:v>
      </x:c>
      <x:c r="M4395" t="n">
        <x:v>2017</x:v>
      </x:c>
      <x:c r="N4395" s="20" t="n">
        <x:v>43040</x:v>
      </x:c>
    </x:row>
    <x:row r="4396" ht="18" customHeight="1">
      <x:c r="A4396" t="str">
        <x:v>CA-2017-111556</x:v>
      </x:c>
      <x:c r="B4396" s="18" t="n">
        <x:v>43059</x:v>
      </x:c>
      <x:c r="C4396" t="str">
        <x:v>CD-11920</x:v>
      </x:c>
      <x:c r="D4396" t="str">
        <x:v>Carlos Daly</x:v>
      </x:c>
      <x:c r="E4396" t="str">
        <x:v>Consumer</x:v>
      </x:c>
      <x:c r="F4396" t="str">
        <x:v>East</x:v>
      </x:c>
      <x:c r="G4396" t="str">
        <x:v>Office Supplies</x:v>
      </x:c>
      <x:c r="H4396" t="str">
        <x:v>Art</x:v>
      </x:c>
      <x:c r="I4396" s="22" t="n">
        <x:v>68.97</x:v>
      </x:c>
      <x:c r="J4396" s="24" t="n">
        <x:v>3</x:v>
      </x:c>
      <x:c r="K4396" s="26" t="n">
        <x:v>0</x:v>
      </x:c>
      <x:c r="L4396" s="22" t="n">
        <x:v>19.311600000000002</x:v>
      </x:c>
      <x:c r="M4396" t="n">
        <x:v>2017</x:v>
      </x:c>
      <x:c r="N4396" s="20" t="n">
        <x:v>43040</x:v>
      </x:c>
    </x:row>
    <x:row r="4397" ht="18" customHeight="1">
      <x:c r="A4397" t="str">
        <x:v>CA-2016-108868</x:v>
      </x:c>
      <x:c r="B4397" s="18" t="n">
        <x:v>42621</x:v>
      </x:c>
      <x:c r="C4397" t="str">
        <x:v>KB-16585</x:v>
      </x:c>
      <x:c r="D4397" t="str">
        <x:v>Ken Black</x:v>
      </x:c>
      <x:c r="E4397" t="str">
        <x:v>Corporate</x:v>
      </x:c>
      <x:c r="F4397" t="str">
        <x:v>Central</x:v>
      </x:c>
      <x:c r="G4397" t="str">
        <x:v>Office Supplies</x:v>
      </x:c>
      <x:c r="H4397" t="str">
        <x:v>Art</x:v>
      </x:c>
      <x:c r="I4397" s="22" t="n">
        <x:v>70.368</x:v>
      </x:c>
      <x:c r="J4397" s="24" t="n">
        <x:v>2</x:v>
      </x:c>
      <x:c r="K4397" s="26" t="n">
        <x:v>0.2</x:v>
      </x:c>
      <x:c r="L4397" s="22" t="n">
        <x:v>6.157200000000003</x:v>
      </x:c>
      <x:c r="M4397" t="n">
        <x:v>2016</x:v>
      </x:c>
      <x:c r="N4397" s="20" t="n">
        <x:v>42614</x:v>
      </x:c>
    </x:row>
    <x:row r="4398" ht="18" customHeight="1">
      <x:c r="A4398" t="str">
        <x:v>CA-2016-108868</x:v>
      </x:c>
      <x:c r="B4398" s="18" t="n">
        <x:v>42621</x:v>
      </x:c>
      <x:c r="C4398" t="str">
        <x:v>KB-16585</x:v>
      </x:c>
      <x:c r="D4398" t="str">
        <x:v>Ken Black</x:v>
      </x:c>
      <x:c r="E4398" t="str">
        <x:v>Corporate</x:v>
      </x:c>
      <x:c r="F4398" t="str">
        <x:v>Central</x:v>
      </x:c>
      <x:c r="G4398" t="str">
        <x:v>Technology</x:v>
      </x:c>
      <x:c r="H4398" t="str">
        <x:v>Phones</x:v>
      </x:c>
      <x:c r="I4398" s="22" t="n">
        <x:v>59.96000000000001</x:v>
      </x:c>
      <x:c r="J4398" s="24" t="n">
        <x:v>5</x:v>
      </x:c>
      <x:c r="K4398" s="26" t="n">
        <x:v>0.2</x:v>
      </x:c>
      <x:c r="L4398" s="22" t="n">
        <x:v>21.735500000000002</x:v>
      </x:c>
      <x:c r="M4398" t="n">
        <x:v>2016</x:v>
      </x:c>
      <x:c r="N4398" s="20" t="n">
        <x:v>42614</x:v>
      </x:c>
    </x:row>
    <x:row r="4399" ht="18" customHeight="1">
      <x:c r="A4399" t="str">
        <x:v>CA-2014-142965</x:v>
      </x:c>
      <x:c r="B4399" s="18" t="n">
        <x:v>41840</x:v>
      </x:c>
      <x:c r="C4399" t="str">
        <x:v>SW-20245</x:v>
      </x:c>
      <x:c r="D4399" t="str">
        <x:v>Scot Wooten</x:v>
      </x:c>
      <x:c r="E4399" t="str">
        <x:v>Consumer</x:v>
      </x:c>
      <x:c r="F4399" t="str">
        <x:v>East</x:v>
      </x:c>
      <x:c r="G4399" t="str">
        <x:v>Office Supplies</x:v>
      </x:c>
      <x:c r="H4399" t="str">
        <x:v>Storage</x:v>
      </x:c>
      <x:c r="I4399" s="22" t="n">
        <x:v>25.983999999999998</x:v>
      </x:c>
      <x:c r="J4399" s="24" t="n">
        <x:v>1</x:v>
      </x:c>
      <x:c r="K4399" s="26" t="n">
        <x:v>0.2</x:v>
      </x:c>
      <x:c r="L4399" s="22" t="n">
        <x:v>-5.1968000000000005</x:v>
      </x:c>
      <x:c r="M4399" t="n">
        <x:v>2014</x:v>
      </x:c>
      <x:c r="N4399" s="20" t="n">
        <x:v>41821</x:v>
      </x:c>
    </x:row>
    <x:row r="4400" ht="18" customHeight="1">
      <x:c r="A4400" t="str">
        <x:v>CA-2014-142965</x:v>
      </x:c>
      <x:c r="B4400" s="18" t="n">
        <x:v>41840</x:v>
      </x:c>
      <x:c r="C4400" t="str">
        <x:v>SW-20245</x:v>
      </x:c>
      <x:c r="D4400" t="str">
        <x:v>Scot Wooten</x:v>
      </x:c>
      <x:c r="E4400" t="str">
        <x:v>Consumer</x:v>
      </x:c>
      <x:c r="F4400" t="str">
        <x:v>East</x:v>
      </x:c>
      <x:c r="G4400" t="str">
        <x:v>Office Supplies</x:v>
      </x:c>
      <x:c r="H4400" t="str">
        <x:v>Binders</x:v>
      </x:c>
      <x:c r="I4400" s="22" t="n">
        <x:v>27.360000000000003</x:v>
      </x:c>
      <x:c r="J4400" s="24" t="n">
        <x:v>3</x:v>
      </x:c>
      <x:c r="K4400" s="26" t="n">
        <x:v>0.7</x:v>
      </x:c>
      <x:c r="L4400" s="22" t="n">
        <x:v>-21.88799999999999</x:v>
      </x:c>
      <x:c r="M4400" t="n">
        <x:v>2014</x:v>
      </x:c>
      <x:c r="N4400" s="20" t="n">
        <x:v>41821</x:v>
      </x:c>
    </x:row>
    <x:row r="4401" ht="18" customHeight="1">
      <x:c r="A4401" t="str">
        <x:v>CA-2016-148740</x:v>
      </x:c>
      <x:c r="B4401" s="18" t="n">
        <x:v>42689</x:v>
      </x:c>
      <x:c r="C4401" t="str">
        <x:v>AH-10690</x:v>
      </x:c>
      <x:c r="D4401" t="str">
        <x:v>Anna Häberlin</x:v>
      </x:c>
      <x:c r="E4401" t="str">
        <x:v>Corporate</x:v>
      </x:c>
      <x:c r="F4401" t="str">
        <x:v>West</x:v>
      </x:c>
      <x:c r="G4401" t="str">
        <x:v>Technology</x:v>
      </x:c>
      <x:c r="H4401" t="str">
        <x:v>Phones</x:v>
      </x:c>
      <x:c r="I4401" s="22" t="n">
        <x:v>361.37600000000003</x:v>
      </x:c>
      <x:c r="J4401" s="24" t="n">
        <x:v>2</x:v>
      </x:c>
      <x:c r="K4401" s="26" t="n">
        <x:v>0.2</x:v>
      </x:c>
      <x:c r="L4401" s="22" t="n">
        <x:v>27.1032</x:v>
      </x:c>
      <x:c r="M4401" t="n">
        <x:v>2016</x:v>
      </x:c>
      <x:c r="N4401" s="20" t="n">
        <x:v>42675</x:v>
      </x:c>
    </x:row>
    <x:row r="4402" ht="18" customHeight="1">
      <x:c r="A4402" t="str">
        <x:v>US-2014-138758</x:v>
      </x:c>
      <x:c r="B4402" s="18" t="n">
        <x:v>41827</x:v>
      </x:c>
      <x:c r="C4402" t="str">
        <x:v>JL-15835</x:v>
      </x:c>
      <x:c r="D4402" t="str">
        <x:v>John Lee</x:v>
      </x:c>
      <x:c r="E4402" t="str">
        <x:v>Consumer</x:v>
      </x:c>
      <x:c r="F4402" t="str">
        <x:v>East</x:v>
      </x:c>
      <x:c r="G4402" t="str">
        <x:v>Furniture</x:v>
      </x:c>
      <x:c r="H4402" t="str">
        <x:v>Chairs</x:v>
      </x:c>
      <x:c r="I4402" s="22" t="n">
        <x:v>172.18599999999998</x:v>
      </x:c>
      <x:c r="J4402" s="24" t="n">
        <x:v>2</x:v>
      </x:c>
      <x:c r="K4402" s="26" t="n">
        <x:v>0.3</x:v>
      </x:c>
      <x:c r="L4402" s="22" t="n">
        <x:v>-46.73620000000001</x:v>
      </x:c>
      <x:c r="M4402" t="n">
        <x:v>2014</x:v>
      </x:c>
      <x:c r="N4402" s="20" t="n">
        <x:v>41821</x:v>
      </x:c>
    </x:row>
    <x:row r="4403" ht="18" customHeight="1">
      <x:c r="A4403" t="str">
        <x:v>US-2014-138758</x:v>
      </x:c>
      <x:c r="B4403" s="18" t="n">
        <x:v>41827</x:v>
      </x:c>
      <x:c r="C4403" t="str">
        <x:v>JL-15835</x:v>
      </x:c>
      <x:c r="D4403" t="str">
        <x:v>John Lee</x:v>
      </x:c>
      <x:c r="E4403" t="str">
        <x:v>Consumer</x:v>
      </x:c>
      <x:c r="F4403" t="str">
        <x:v>East</x:v>
      </x:c>
      <x:c r="G4403" t="str">
        <x:v>Furniture</x:v>
      </x:c>
      <x:c r="H4403" t="str">
        <x:v>Furnishings</x:v>
      </x:c>
      <x:c r="I4403" s="22" t="n">
        <x:v>69.00800000000001</x:v>
      </x:c>
      <x:c r="J4403" s="24" t="n">
        <x:v>2</x:v>
      </x:c>
      <x:c r="K4403" s="26" t="n">
        <x:v>0.2</x:v>
      </x:c>
      <x:c r="L4403" s="22" t="n">
        <x:v>12.0764</x:v>
      </x:c>
      <x:c r="M4403" t="n">
        <x:v>2014</x:v>
      </x:c>
      <x:c r="N4403" s="20" t="n">
        <x:v>41821</x:v>
      </x:c>
    </x:row>
    <x:row r="4404" ht="18" customHeight="1">
      <x:c r="A4404" t="str">
        <x:v>CA-2016-131737</x:v>
      </x:c>
      <x:c r="B4404" s="18" t="n">
        <x:v>42446</x:v>
      </x:c>
      <x:c r="C4404" t="str">
        <x:v>GZ-14470</x:v>
      </x:c>
      <x:c r="D4404" t="str">
        <x:v>Gary Zandusky</x:v>
      </x:c>
      <x:c r="E4404" t="str">
        <x:v>Consumer</x:v>
      </x:c>
      <x:c r="F4404" t="str">
        <x:v>East</x:v>
      </x:c>
      <x:c r="G4404" t="str">
        <x:v>Office Supplies</x:v>
      </x:c>
      <x:c r="H4404" t="str">
        <x:v>Envelopes</x:v>
      </x:c>
      <x:c r="I4404" s="22" t="n">
        <x:v>199.89999999999998</x:v>
      </x:c>
      <x:c r="J4404" s="24" t="n">
        <x:v>5</x:v>
      </x:c>
      <x:c r="K4404" s="26" t="n">
        <x:v>0</x:v>
      </x:c>
      <x:c r="L4404" s="22" t="n">
        <x:v>89.95499999999998</x:v>
      </x:c>
      <x:c r="M4404" t="n">
        <x:v>2016</x:v>
      </x:c>
      <x:c r="N4404" s="20" t="n">
        <x:v>42430</x:v>
      </x:c>
    </x:row>
    <x:row r="4405" ht="18" customHeight="1">
      <x:c r="A4405" t="str">
        <x:v>CA-2016-131737</x:v>
      </x:c>
      <x:c r="B4405" s="18" t="n">
        <x:v>42446</x:v>
      </x:c>
      <x:c r="C4405" t="str">
        <x:v>GZ-14470</x:v>
      </x:c>
      <x:c r="D4405" t="str">
        <x:v>Gary Zandusky</x:v>
      </x:c>
      <x:c r="E4405" t="str">
        <x:v>Consumer</x:v>
      </x:c>
      <x:c r="F4405" t="str">
        <x:v>East</x:v>
      </x:c>
      <x:c r="G4405" t="str">
        <x:v>Office Supplies</x:v>
      </x:c>
      <x:c r="H4405" t="str">
        <x:v>Appliances</x:v>
      </x:c>
      <x:c r="I4405" s="22" t="n">
        <x:v>901.9499999999999</x:v>
      </x:c>
      <x:c r="J4405" s="24" t="n">
        <x:v>3</x:v>
      </x:c>
      <x:c r="K4405" s="26" t="n">
        <x:v>0</x:v>
      </x:c>
      <x:c r="L4405" s="22" t="n">
        <x:v>297.64349999999996</x:v>
      </x:c>
      <x:c r="M4405" t="n">
        <x:v>2016</x:v>
      </x:c>
      <x:c r="N4405" s="20" t="n">
        <x:v>42430</x:v>
      </x:c>
    </x:row>
    <x:row r="4406" ht="18" customHeight="1">
      <x:c r="A4406" t="str">
        <x:v>CA-2016-131737</x:v>
      </x:c>
      <x:c r="B4406" s="18" t="n">
        <x:v>42446</x:v>
      </x:c>
      <x:c r="C4406" t="str">
        <x:v>GZ-14470</x:v>
      </x:c>
      <x:c r="D4406" t="str">
        <x:v>Gary Zandusky</x:v>
      </x:c>
      <x:c r="E4406" t="str">
        <x:v>Consumer</x:v>
      </x:c>
      <x:c r="F4406" t="str">
        <x:v>East</x:v>
      </x:c>
      <x:c r="G4406" t="str">
        <x:v>Furniture</x:v>
      </x:c>
      <x:c r="H4406" t="str">
        <x:v>Furnishings</x:v>
      </x:c>
      <x:c r="I4406" s="22" t="n">
        <x:v>971.5</x:v>
      </x:c>
      <x:c r="J4406" s="24" t="n">
        <x:v>5</x:v>
      </x:c>
      <x:c r="K4406" s="26" t="n">
        <x:v>0</x:v>
      </x:c>
      <x:c r="L4406" s="22" t="n">
        <x:v>252.59</x:v>
      </x:c>
      <x:c r="M4406" t="n">
        <x:v>2016</x:v>
      </x:c>
      <x:c r="N4406" s="20" t="n">
        <x:v>42430</x:v>
      </x:c>
    </x:row>
    <x:row r="4407" ht="18" customHeight="1">
      <x:c r="A4407" t="str">
        <x:v>CA-2016-114538</x:v>
      </x:c>
      <x:c r="B4407" s="18" t="n">
        <x:v>42730</x:v>
      </x:c>
      <x:c r="C4407" t="str">
        <x:v>RC-19825</x:v>
      </x:c>
      <x:c r="D4407" t="str">
        <x:v>Roy Collins</x:v>
      </x:c>
      <x:c r="E4407" t="str">
        <x:v>Consumer</x:v>
      </x:c>
      <x:c r="F4407" t="str">
        <x:v>West</x:v>
      </x:c>
      <x:c r="G4407" t="str">
        <x:v>Office Supplies</x:v>
      </x:c>
      <x:c r="H4407" t="str">
        <x:v>Art</x:v>
      </x:c>
      <x:c r="I4407" s="22" t="n">
        <x:v>11.328000000000001</x:v>
      </x:c>
      <x:c r="J4407" s="24" t="n">
        <x:v>2</x:v>
      </x:c>
      <x:c r="K4407" s="26" t="n">
        <x:v>0.2</x:v>
      </x:c>
      <x:c r="L4407" s="22" t="n">
        <x:v>2.5488000000000004</x:v>
      </x:c>
      <x:c r="M4407" t="n">
        <x:v>2016</x:v>
      </x:c>
      <x:c r="N4407" s="20" t="n">
        <x:v>42705</x:v>
      </x:c>
    </x:row>
    <x:row r="4408" ht="18" customHeight="1">
      <x:c r="A4408" t="str">
        <x:v>CA-2014-127936</x:v>
      </x:c>
      <x:c r="B4408" s="18" t="n">
        <x:v>41884</x:v>
      </x:c>
      <x:c r="C4408" t="str">
        <x:v>CL-12565</x:v>
      </x:c>
      <x:c r="D4408" t="str">
        <x:v>Clay Ludtke</x:v>
      </x:c>
      <x:c r="E4408" t="str">
        <x:v>Consumer</x:v>
      </x:c>
      <x:c r="F4408" t="str">
        <x:v>East</x:v>
      </x:c>
      <x:c r="G4408" t="str">
        <x:v>Office Supplies</x:v>
      </x:c>
      <x:c r="H4408" t="str">
        <x:v>Art</x:v>
      </x:c>
      <x:c r="I4408" s="22" t="n">
        <x:v>21.240000000000002</x:v>
      </x:c>
      <x:c r="J4408" s="24" t="n">
        <x:v>3</x:v>
      </x:c>
      <x:c r="K4408" s="26" t="n">
        <x:v>0</x:v>
      </x:c>
      <x:c r="L4408" s="22" t="n">
        <x:v>8.071200000000001</x:v>
      </x:c>
      <x:c r="M4408" t="n">
        <x:v>2014</x:v>
      </x:c>
      <x:c r="N4408" s="20" t="n">
        <x:v>41883</x:v>
      </x:c>
    </x:row>
    <x:row r="4409" ht="18" customHeight="1">
      <x:c r="A4409" t="str">
        <x:v>CA-2015-164336</x:v>
      </x:c>
      <x:c r="B4409" s="18" t="n">
        <x:v>42190</x:v>
      </x:c>
      <x:c r="C4409" t="str">
        <x:v>MW-18220</x:v>
      </x:c>
      <x:c r="D4409" t="str">
        <x:v>Mitch Webber</x:v>
      </x:c>
      <x:c r="E4409" t="str">
        <x:v>Consumer</x:v>
      </x:c>
      <x:c r="F4409" t="str">
        <x:v>East</x:v>
      </x:c>
      <x:c r="G4409" t="str">
        <x:v>Technology</x:v>
      </x:c>
      <x:c r="H4409" t="str">
        <x:v>Accessories</x:v>
      </x:c>
      <x:c r="I4409" s="22" t="n">
        <x:v>34.800000000000004</x:v>
      </x:c>
      <x:c r="J4409" s="24" t="n">
        <x:v>3</x:v>
      </x:c>
      <x:c r="K4409" s="26" t="n">
        <x:v>0.2</x:v>
      </x:c>
      <x:c r="L4409" s="22" t="n">
        <x:v>2.174999999999999</x:v>
      </x:c>
      <x:c r="M4409" t="n">
        <x:v>2015</x:v>
      </x:c>
      <x:c r="N4409" s="20" t="n">
        <x:v>42186</x:v>
      </x:c>
    </x:row>
    <x:row r="4410" ht="18" customHeight="1">
      <x:c r="A4410" t="str">
        <x:v>CA-2015-164336</x:v>
      </x:c>
      <x:c r="B4410" s="18" t="n">
        <x:v>42190</x:v>
      </x:c>
      <x:c r="C4410" t="str">
        <x:v>MW-18220</x:v>
      </x:c>
      <x:c r="D4410" t="str">
        <x:v>Mitch Webber</x:v>
      </x:c>
      <x:c r="E4410" t="str">
        <x:v>Consumer</x:v>
      </x:c>
      <x:c r="F4410" t="str">
        <x:v>East</x:v>
      </x:c>
      <x:c r="G4410" t="str">
        <x:v>Office Supplies</x:v>
      </x:c>
      <x:c r="H4410" t="str">
        <x:v>Storage</x:v>
      </x:c>
      <x:c r="I4410" s="22" t="n">
        <x:v>38.976</x:v>
      </x:c>
      <x:c r="J4410" s="24" t="n">
        <x:v>3</x:v>
      </x:c>
      <x:c r="K4410" s="26" t="n">
        <x:v>0.2</x:v>
      </x:c>
      <x:c r="L4410" s="22" t="n">
        <x:v>-2.436</x:v>
      </x:c>
      <x:c r="M4410" t="n">
        <x:v>2015</x:v>
      </x:c>
      <x:c r="N4410" s="20" t="n">
        <x:v>42186</x:v>
      </x:c>
    </x:row>
    <x:row r="4411" ht="18" customHeight="1">
      <x:c r="A4411" t="str">
        <x:v>CA-2016-100041</x:v>
      </x:c>
      <x:c r="B4411" s="18" t="n">
        <x:v>42694</x:v>
      </x:c>
      <x:c r="C4411" t="str">
        <x:v>BF-10975</x:v>
      </x:c>
      <x:c r="D4411" t="str">
        <x:v>Barbara Fisher</x:v>
      </x:c>
      <x:c r="E4411" t="str">
        <x:v>Corporate</x:v>
      </x:c>
      <x:c r="F4411" t="str">
        <x:v>Central</x:v>
      </x:c>
      <x:c r="G4411" t="str">
        <x:v>Office Supplies</x:v>
      </x:c>
      <x:c r="H4411" t="str">
        <x:v>Paper</x:v>
      </x:c>
      <x:c r="I4411" s="22" t="n">
        <x:v>9.08</x:v>
      </x:c>
      <x:c r="J4411" s="24" t="n">
        <x:v>2</x:v>
      </x:c>
      <x:c r="K4411" s="26" t="n">
        <x:v>0</x:v>
      </x:c>
      <x:c r="L4411" s="22" t="n">
        <x:v>4.085999999999999</x:v>
      </x:c>
      <x:c r="M4411" t="n">
        <x:v>2016</x:v>
      </x:c>
      <x:c r="N4411" s="20" t="n">
        <x:v>42675</x:v>
      </x:c>
    </x:row>
    <x:row r="4412" ht="18" customHeight="1">
      <x:c r="A4412" t="str">
        <x:v>CA-2016-100041</x:v>
      </x:c>
      <x:c r="B4412" s="18" t="n">
        <x:v>42694</x:v>
      </x:c>
      <x:c r="C4412" t="str">
        <x:v>BF-10975</x:v>
      </x:c>
      <x:c r="D4412" t="str">
        <x:v>Barbara Fisher</x:v>
      </x:c>
      <x:c r="E4412" t="str">
        <x:v>Corporate</x:v>
      </x:c>
      <x:c r="F4412" t="str">
        <x:v>Central</x:v>
      </x:c>
      <x:c r="G4412" t="str">
        <x:v>Office Supplies</x:v>
      </x:c>
      <x:c r="H4412" t="str">
        <x:v>Paper</x:v>
      </x:c>
      <x:c r="I4412" s="22" t="n">
        <x:v>314.54999999999995</x:v>
      </x:c>
      <x:c r="J4412" s="24" t="n">
        <x:v>3</x:v>
      </x:c>
      <x:c r="K4412" s="26" t="n">
        <x:v>0</x:v>
      </x:c>
      <x:c r="L4412" s="22" t="n">
        <x:v>150.98399999999998</x:v>
      </x:c>
      <x:c r="M4412" t="n">
        <x:v>2016</x:v>
      </x:c>
      <x:c r="N4412" s="20" t="n">
        <x:v>42675</x:v>
      </x:c>
    </x:row>
    <x:row r="4413" ht="18" customHeight="1">
      <x:c r="A4413" t="str">
        <x:v>CA-2016-100041</x:v>
      </x:c>
      <x:c r="B4413" s="18" t="n">
        <x:v>42694</x:v>
      </x:c>
      <x:c r="C4413" t="str">
        <x:v>BF-10975</x:v>
      </x:c>
      <x:c r="D4413" t="str">
        <x:v>Barbara Fisher</x:v>
      </x:c>
      <x:c r="E4413" t="str">
        <x:v>Corporate</x:v>
      </x:c>
      <x:c r="F4413" t="str">
        <x:v>Central</x:v>
      </x:c>
      <x:c r="G4413" t="str">
        <x:v>Office Supplies</x:v>
      </x:c>
      <x:c r="H4413" t="str">
        <x:v>Binders</x:v>
      </x:c>
      <x:c r="I4413" s="22" t="n">
        <x:v>4.91</x:v>
      </x:c>
      <x:c r="J4413" s="24" t="n">
        <x:v>1</x:v>
      </x:c>
      <x:c r="K4413" s="26" t="n">
        <x:v>0</x:v>
      </x:c>
      <x:c r="L4413" s="22" t="n">
        <x:v>2.3077</x:v>
      </x:c>
      <x:c r="M4413" t="n">
        <x:v>2016</x:v>
      </x:c>
      <x:c r="N4413" s="20" t="n">
        <x:v>42675</x:v>
      </x:c>
    </x:row>
    <x:row r="4414" ht="18" customHeight="1">
      <x:c r="A4414" t="str">
        <x:v>US-2014-154879</x:v>
      </x:c>
      <x:c r="B4414" s="18" t="n">
        <x:v>41765</x:v>
      </x:c>
      <x:c r="C4414" t="str">
        <x:v>SN-20710</x:v>
      </x:c>
      <x:c r="D4414" t="str">
        <x:v>Steve Nguyen</x:v>
      </x:c>
      <x:c r="E4414" t="str">
        <x:v>Home Office</x:v>
      </x:c>
      <x:c r="F4414" t="str">
        <x:v>West</x:v>
      </x:c>
      <x:c r="G4414" t="str">
        <x:v>Office Supplies</x:v>
      </x:c>
      <x:c r="H4414" t="str">
        <x:v>Labels</x:v>
      </x:c>
      <x:c r="I4414" s="22" t="n">
        <x:v>5.78</x:v>
      </x:c>
      <x:c r="J4414" s="24" t="n">
        <x:v>2</x:v>
      </x:c>
      <x:c r="K4414" s="26" t="n">
        <x:v>0</x:v>
      </x:c>
      <x:c r="L4414" s="22" t="n">
        <x:v>2.7166</x:v>
      </x:c>
      <x:c r="M4414" t="n">
        <x:v>2014</x:v>
      </x:c>
      <x:c r="N4414" s="20" t="n">
        <x:v>41760</x:v>
      </x:c>
    </x:row>
    <x:row r="4415" ht="18" customHeight="1">
      <x:c r="A4415" t="str">
        <x:v>US-2014-154879</x:v>
      </x:c>
      <x:c r="B4415" s="18" t="n">
        <x:v>41765</x:v>
      </x:c>
      <x:c r="C4415" t="str">
        <x:v>SN-20710</x:v>
      </x:c>
      <x:c r="D4415" t="str">
        <x:v>Steve Nguyen</x:v>
      </x:c>
      <x:c r="E4415" t="str">
        <x:v>Home Office</x:v>
      </x:c>
      <x:c r="F4415" t="str">
        <x:v>West</x:v>
      </x:c>
      <x:c r="G4415" t="str">
        <x:v>Office Supplies</x:v>
      </x:c>
      <x:c r="H4415" t="str">
        <x:v>Art</x:v>
      </x:c>
      <x:c r="I4415" s="22" t="n">
        <x:v>107.94</x:v>
      </x:c>
      <x:c r="J4415" s="24" t="n">
        <x:v>6</x:v>
      </x:c>
      <x:c r="K4415" s="26" t="n">
        <x:v>0</x:v>
      </x:c>
      <x:c r="L4415" s="22" t="n">
        <x:v>30.223200000000002</x:v>
      </x:c>
      <x:c r="M4415" t="n">
        <x:v>2014</x:v>
      </x:c>
      <x:c r="N4415" s="20" t="n">
        <x:v>41760</x:v>
      </x:c>
    </x:row>
    <x:row r="4416" ht="18" customHeight="1">
      <x:c r="A4416" t="str">
        <x:v>CA-2014-130624</x:v>
      </x:c>
      <x:c r="B4416" s="18" t="n">
        <x:v>41811</x:v>
      </x:c>
      <x:c r="C4416" t="str">
        <x:v>TB-21280</x:v>
      </x:c>
      <x:c r="D4416" t="str">
        <x:v>Toby Braunhardt</x:v>
      </x:c>
      <x:c r="E4416" t="str">
        <x:v>Consumer</x:v>
      </x:c>
      <x:c r="F4416" t="str">
        <x:v>East</x:v>
      </x:c>
      <x:c r="G4416" t="str">
        <x:v>Office Supplies</x:v>
      </x:c>
      <x:c r="H4416" t="str">
        <x:v>Paper</x:v>
      </x:c>
      <x:c r="I4416" s="22" t="n">
        <x:v>19.65</x:v>
      </x:c>
      <x:c r="J4416" s="24" t="n">
        <x:v>3</x:v>
      </x:c>
      <x:c r="K4416" s="26" t="n">
        <x:v>0</x:v>
      </x:c>
      <x:c r="L4416" s="22" t="n">
        <x:v>9.039</x:v>
      </x:c>
      <x:c r="M4416" t="n">
        <x:v>2014</x:v>
      </x:c>
      <x:c r="N4416" s="20" t="n">
        <x:v>41791</x:v>
      </x:c>
    </x:row>
    <x:row r="4417" ht="18" customHeight="1">
      <x:c r="A4417" t="str">
        <x:v>CA-2014-130624</x:v>
      </x:c>
      <x:c r="B4417" s="18" t="n">
        <x:v>41811</x:v>
      </x:c>
      <x:c r="C4417" t="str">
        <x:v>TB-21280</x:v>
      </x:c>
      <x:c r="D4417" t="str">
        <x:v>Toby Braunhardt</x:v>
      </x:c>
      <x:c r="E4417" t="str">
        <x:v>Consumer</x:v>
      </x:c>
      <x:c r="F4417" t="str">
        <x:v>East</x:v>
      </x:c>
      <x:c r="G4417" t="str">
        <x:v>Technology</x:v>
      </x:c>
      <x:c r="H4417" t="str">
        <x:v>Phones</x:v>
      </x:c>
      <x:c r="I4417" s="22" t="n">
        <x:v>617.97</x:v>
      </x:c>
      <x:c r="J4417" s="24" t="n">
        <x:v>3</x:v>
      </x:c>
      <x:c r="K4417" s="26" t="n">
        <x:v>0</x:v>
      </x:c>
      <x:c r="L4417" s="22" t="n">
        <x:v>160.6722</x:v>
      </x:c>
      <x:c r="M4417" t="n">
        <x:v>2014</x:v>
      </x:c>
      <x:c r="N4417" s="20" t="n">
        <x:v>41791</x:v>
      </x:c>
    </x:row>
    <x:row r="4418" ht="18" customHeight="1">
      <x:c r="A4418" t="str">
        <x:v>CA-2014-130624</x:v>
      </x:c>
      <x:c r="B4418" s="18" t="n">
        <x:v>41811</x:v>
      </x:c>
      <x:c r="C4418" t="str">
        <x:v>TB-21280</x:v>
      </x:c>
      <x:c r="D4418" t="str">
        <x:v>Toby Braunhardt</x:v>
      </x:c>
      <x:c r="E4418" t="str">
        <x:v>Consumer</x:v>
      </x:c>
      <x:c r="F4418" t="str">
        <x:v>East</x:v>
      </x:c>
      <x:c r="G4418" t="str">
        <x:v>Office Supplies</x:v>
      </x:c>
      <x:c r="H4418" t="str">
        <x:v>Appliances</x:v>
      </x:c>
      <x:c r="I4418" s="22" t="n">
        <x:v>59.699999999999996</x:v>
      </x:c>
      <x:c r="J4418" s="24" t="n">
        <x:v>3</x:v>
      </x:c>
      <x:c r="K4418" s="26" t="n">
        <x:v>0</x:v>
      </x:c>
      <x:c r="L4418" s="22" t="n">
        <x:v>26.864999999999995</x:v>
      </x:c>
      <x:c r="M4418" t="n">
        <x:v>2014</x:v>
      </x:c>
      <x:c r="N4418" s="20" t="n">
        <x:v>41791</x:v>
      </x:c>
    </x:row>
    <x:row r="4419" ht="18" customHeight="1">
      <x:c r="A4419" t="str">
        <x:v>CA-2017-132339</x:v>
      </x:c>
      <x:c r="B4419" s="18" t="n">
        <x:v>42966</x:v>
      </x:c>
      <x:c r="C4419" t="str">
        <x:v>JB-15400</x:v>
      </x:c>
      <x:c r="D4419" t="str">
        <x:v>Jennifer Braxton</x:v>
      </x:c>
      <x:c r="E4419" t="str">
        <x:v>Corporate</x:v>
      </x:c>
      <x:c r="F4419" t="str">
        <x:v>East</x:v>
      </x:c>
      <x:c r="G4419" t="str">
        <x:v>Office Supplies</x:v>
      </x:c>
      <x:c r="H4419" t="str">
        <x:v>Binders</x:v>
      </x:c>
      <x:c r="I4419" s="22" t="n">
        <x:v>387.99</x:v>
      </x:c>
      <x:c r="J4419" s="24" t="n">
        <x:v>1</x:v>
      </x:c>
      <x:c r="K4419" s="26" t="n">
        <x:v>0</x:v>
      </x:c>
      <x:c r="L4419" s="22" t="n">
        <x:v>182.3553</x:v>
      </x:c>
      <x:c r="M4419" t="n">
        <x:v>2017</x:v>
      </x:c>
      <x:c r="N4419" s="20" t="n">
        <x:v>42948</x:v>
      </x:c>
    </x:row>
    <x:row r="4420" ht="18" customHeight="1">
      <x:c r="A4420" t="str">
        <x:v>CA-2014-153983</x:v>
      </x:c>
      <x:c r="B4420" s="18" t="n">
        <x:v>41972</x:v>
      </x:c>
      <x:c r="C4420" t="str">
        <x:v>AH-10210</x:v>
      </x:c>
      <x:c r="D4420" t="str">
        <x:v>Alan Hwang</x:v>
      </x:c>
      <x:c r="E4420" t="str">
        <x:v>Consumer</x:v>
      </x:c>
      <x:c r="F4420" t="str">
        <x:v>West</x:v>
      </x:c>
      <x:c r="G4420" t="str">
        <x:v>Technology</x:v>
      </x:c>
      <x:c r="H4420" t="str">
        <x:v>Phones</x:v>
      </x:c>
      <x:c r="I4420" s="22" t="n">
        <x:v>575.92</x:v>
      </x:c>
      <x:c r="J4420" s="24" t="n">
        <x:v>2</x:v>
      </x:c>
      <x:c r="K4420" s="26" t="n">
        <x:v>0.2</x:v>
      </x:c>
      <x:c r="L4420" s="22" t="n">
        <x:v>71.98999999999998</x:v>
      </x:c>
      <x:c r="M4420" t="n">
        <x:v>2014</x:v>
      </x:c>
      <x:c r="N4420" s="20" t="n">
        <x:v>41944</x:v>
      </x:c>
    </x:row>
    <x:row r="4421" ht="18" customHeight="1">
      <x:c r="A4421" t="str">
        <x:v>CA-2014-153983</x:v>
      </x:c>
      <x:c r="B4421" s="18" t="n">
        <x:v>41972</x:v>
      </x:c>
      <x:c r="C4421" t="str">
        <x:v>AH-10210</x:v>
      </x:c>
      <x:c r="D4421" t="str">
        <x:v>Alan Hwang</x:v>
      </x:c>
      <x:c r="E4421" t="str">
        <x:v>Consumer</x:v>
      </x:c>
      <x:c r="F4421" t="str">
        <x:v>West</x:v>
      </x:c>
      <x:c r="G4421" t="str">
        <x:v>Office Supplies</x:v>
      </x:c>
      <x:c r="H4421" t="str">
        <x:v>Fasteners</x:v>
      </x:c>
      <x:c r="I4421" s="22" t="n">
        <x:v>30.4</x:v>
      </x:c>
      <x:c r="J4421" s="24" t="n">
        <x:v>5</x:v>
      </x:c>
      <x:c r="K4421" s="26" t="n">
        <x:v>0</x:v>
      </x:c>
      <x:c r="L4421" s="22" t="n">
        <x:v>15.2</x:v>
      </x:c>
      <x:c r="M4421" t="n">
        <x:v>2014</x:v>
      </x:c>
      <x:c r="N4421" s="20" t="n">
        <x:v>41944</x:v>
      </x:c>
    </x:row>
    <x:row r="4422" ht="18" customHeight="1">
      <x:c r="A4422" t="str">
        <x:v>CA-2017-112900</x:v>
      </x:c>
      <x:c r="B4422" s="18" t="n">
        <x:v>42834</x:v>
      </x:c>
      <x:c r="C4422" t="str">
        <x:v>KL-16645</x:v>
      </x:c>
      <x:c r="D4422" t="str">
        <x:v>Ken Lonsdale</x:v>
      </x:c>
      <x:c r="E4422" t="str">
        <x:v>Consumer</x:v>
      </x:c>
      <x:c r="F4422" t="str">
        <x:v>Central</x:v>
      </x:c>
      <x:c r="G4422" t="str">
        <x:v>Office Supplies</x:v>
      </x:c>
      <x:c r="H4422" t="str">
        <x:v>Binders</x:v>
      </x:c>
      <x:c r="I4422" s="22" t="n">
        <x:v>478.24</x:v>
      </x:c>
      <x:c r="J4422" s="24" t="n">
        <x:v>8</x:v>
      </x:c>
      <x:c r="K4422" s="26" t="n">
        <x:v>0</x:v>
      </x:c>
      <x:c r="L4422" s="22" t="n">
        <x:v>219.99039999999997</x:v>
      </x:c>
      <x:c r="M4422" t="n">
        <x:v>2017</x:v>
      </x:c>
      <x:c r="N4422" s="20" t="n">
        <x:v>42826</x:v>
      </x:c>
    </x:row>
    <x:row r="4423" ht="18" customHeight="1">
      <x:c r="A4423" t="str">
        <x:v>CA-2014-160157</x:v>
      </x:c>
      <x:c r="B4423" s="18" t="n">
        <x:v>41993</x:v>
      </x:c>
      <x:c r="C4423" t="str">
        <x:v>MH-17455</x:v>
      </x:c>
      <x:c r="D4423" t="str">
        <x:v>Mark Hamilton</x:v>
      </x:c>
      <x:c r="E4423" t="str">
        <x:v>Consumer</x:v>
      </x:c>
      <x:c r="F4423" t="str">
        <x:v>East</x:v>
      </x:c>
      <x:c r="G4423" t="str">
        <x:v>Furniture</x:v>
      </x:c>
      <x:c r="H4423" t="str">
        <x:v>Furnishings</x:v>
      </x:c>
      <x:c r="I4423" s="22" t="n">
        <x:v>190.848</x:v>
      </x:c>
      <x:c r="J4423" s="24" t="n">
        <x:v>3</x:v>
      </x:c>
      <x:c r="K4423" s="26" t="n">
        <x:v>0.2</x:v>
      </x:c>
      <x:c r="L4423" s="22" t="n">
        <x:v>-21.470400000000026</x:v>
      </x:c>
      <x:c r="M4423" t="n">
        <x:v>2014</x:v>
      </x:c>
      <x:c r="N4423" s="20" t="n">
        <x:v>41974</x:v>
      </x:c>
    </x:row>
    <x:row r="4424" ht="18" customHeight="1">
      <x:c r="A4424" t="str">
        <x:v>CA-2014-139633</x:v>
      </x:c>
      <x:c r="B4424" s="18" t="n">
        <x:v>41990</x:v>
      </x:c>
      <x:c r="C4424" t="str">
        <x:v>EC-14050</x:v>
      </x:c>
      <x:c r="D4424" t="str">
        <x:v>Erin Creighton</x:v>
      </x:c>
      <x:c r="E4424" t="str">
        <x:v>Consumer</x:v>
      </x:c>
      <x:c r="F4424" t="str">
        <x:v>East</x:v>
      </x:c>
      <x:c r="G4424" t="str">
        <x:v>Office Supplies</x:v>
      </x:c>
      <x:c r="H4424" t="str">
        <x:v>Binders</x:v>
      </x:c>
      <x:c r="I4424" s="22" t="n">
        <x:v>5.484000000000001</x:v>
      </x:c>
      <x:c r="J4424" s="24" t="n">
        <x:v>4</x:v>
      </x:c>
      <x:c r="K4424" s="26" t="n">
        <x:v>0.7</x:v>
      </x:c>
      <x:c r="L4424" s="22" t="n">
        <x:v>-4.021599999999999</x:v>
      </x:c>
      <x:c r="M4424" t="n">
        <x:v>2014</x:v>
      </x:c>
      <x:c r="N4424" s="20" t="n">
        <x:v>41974</x:v>
      </x:c>
    </x:row>
    <x:row r="4425" ht="18" customHeight="1">
      <x:c r="A4425" t="str">
        <x:v>CA-2015-163090</x:v>
      </x:c>
      <x:c r="B4425" s="18" t="n">
        <x:v>42325</x:v>
      </x:c>
      <x:c r="C4425" t="str">
        <x:v>GH-14665</x:v>
      </x:c>
      <x:c r="D4425" t="str">
        <x:v>Greg Hansen</x:v>
      </x:c>
      <x:c r="E4425" t="str">
        <x:v>Consumer</x:v>
      </x:c>
      <x:c r="F4425" t="str">
        <x:v>Central</x:v>
      </x:c>
      <x:c r="G4425" t="str">
        <x:v>Office Supplies</x:v>
      </x:c>
      <x:c r="H4425" t="str">
        <x:v>Supplies</x:v>
      </x:c>
      <x:c r="I4425" s="22" t="n">
        <x:v>40.92</x:v>
      </x:c>
      <x:c r="J4425" s="24" t="n">
        <x:v>5</x:v>
      </x:c>
      <x:c r="K4425" s="26" t="n">
        <x:v>0.2</x:v>
      </x:c>
      <x:c r="L4425" s="22" t="n">
        <x:v>3.0690000000000026</x:v>
      </x:c>
      <x:c r="M4425" t="n">
        <x:v>2015</x:v>
      </x:c>
      <x:c r="N4425" s="20" t="n">
        <x:v>42309</x:v>
      </x:c>
    </x:row>
    <x:row r="4426" ht="18" customHeight="1">
      <x:c r="A4426" t="str">
        <x:v>CA-2014-117016</x:v>
      </x:c>
      <x:c r="B4426" s="18" t="n">
        <x:v>41702</x:v>
      </x:c>
      <x:c r="C4426" t="str">
        <x:v>SC-20095</x:v>
      </x:c>
      <x:c r="D4426" t="str">
        <x:v>Sanjit Chand</x:v>
      </x:c>
      <x:c r="E4426" t="str">
        <x:v>Consumer</x:v>
      </x:c>
      <x:c r="F4426" t="str">
        <x:v>South</x:v>
      </x:c>
      <x:c r="G4426" t="str">
        <x:v>Office Supplies</x:v>
      </x:c>
      <x:c r="H4426" t="str">
        <x:v>Art</x:v>
      </x:c>
      <x:c r="I4426" s="22" t="n">
        <x:v>15.552000000000003</x:v>
      </x:c>
      <x:c r="J4426" s="24" t="n">
        <x:v>3</x:v>
      </x:c>
      <x:c r="K4426" s="26" t="n">
        <x:v>0.2</x:v>
      </x:c>
      <x:c r="L4426" s="22" t="n">
        <x:v>2.332799999999999</x:v>
      </x:c>
      <x:c r="M4426" t="n">
        <x:v>2014</x:v>
      </x:c>
      <x:c r="N4426" s="20" t="n">
        <x:v>41699</x:v>
      </x:c>
    </x:row>
    <x:row r="4427" ht="18" customHeight="1">
      <x:c r="A4427" t="str">
        <x:v>CA-2017-159464</x:v>
      </x:c>
      <x:c r="B4427" s="18" t="n">
        <x:v>42873</x:v>
      </x:c>
      <x:c r="C4427" t="str">
        <x:v>TB-21355</x:v>
      </x:c>
      <x:c r="D4427" t="str">
        <x:v>Todd Boyes</x:v>
      </x:c>
      <x:c r="E4427" t="str">
        <x:v>Corporate</x:v>
      </x:c>
      <x:c r="F4427" t="str">
        <x:v>South</x:v>
      </x:c>
      <x:c r="G4427" t="str">
        <x:v>Office Supplies</x:v>
      </x:c>
      <x:c r="H4427" t="str">
        <x:v>Appliances</x:v>
      </x:c>
      <x:c r="I4427" s="22" t="n">
        <x:v>17.24</x:v>
      </x:c>
      <x:c r="J4427" s="24" t="n">
        <x:v>2</x:v>
      </x:c>
      <x:c r="K4427" s="26" t="n">
        <x:v>0</x:v>
      </x:c>
      <x:c r="L4427" s="22" t="n">
        <x:v>4.4824</x:v>
      </x:c>
      <x:c r="M4427" t="n">
        <x:v>2017</x:v>
      </x:c>
      <x:c r="N4427" s="20" t="n">
        <x:v>42856</x:v>
      </x:c>
    </x:row>
    <x:row r="4428" ht="18" customHeight="1">
      <x:c r="A4428" t="str">
        <x:v>CA-2017-159464</x:v>
      </x:c>
      <x:c r="B4428" s="18" t="n">
        <x:v>42873</x:v>
      </x:c>
      <x:c r="C4428" t="str">
        <x:v>TB-21355</x:v>
      </x:c>
      <x:c r="D4428" t="str">
        <x:v>Todd Boyes</x:v>
      </x:c>
      <x:c r="E4428" t="str">
        <x:v>Corporate</x:v>
      </x:c>
      <x:c r="F4428" t="str">
        <x:v>South</x:v>
      </x:c>
      <x:c r="G4428" t="str">
        <x:v>Furniture</x:v>
      </x:c>
      <x:c r="H4428" t="str">
        <x:v>Bookcases</x:v>
      </x:c>
      <x:c r="I4428" s="22" t="n">
        <x:v>302.94</x:v>
      </x:c>
      <x:c r="J4428" s="24" t="n">
        <x:v>3</x:v>
      </x:c>
      <x:c r="K4428" s="26" t="n">
        <x:v>0</x:v>
      </x:c>
      <x:c r="L4428" s="22" t="n">
        <x:v>75.73500000000001</x:v>
      </x:c>
      <x:c r="M4428" t="n">
        <x:v>2017</x:v>
      </x:c>
      <x:c r="N4428" s="20" t="n">
        <x:v>42856</x:v>
      </x:c>
    </x:row>
    <x:row r="4429" ht="18" customHeight="1">
      <x:c r="A4429" t="str">
        <x:v>CA-2017-159464</x:v>
      </x:c>
      <x:c r="B4429" s="18" t="n">
        <x:v>42873</x:v>
      </x:c>
      <x:c r="C4429" t="str">
        <x:v>TB-21355</x:v>
      </x:c>
      <x:c r="D4429" t="str">
        <x:v>Todd Boyes</x:v>
      </x:c>
      <x:c r="E4429" t="str">
        <x:v>Corporate</x:v>
      </x:c>
      <x:c r="F4429" t="str">
        <x:v>South</x:v>
      </x:c>
      <x:c r="G4429" t="str">
        <x:v>Technology</x:v>
      </x:c>
      <x:c r="H4429" t="str">
        <x:v>Phones</x:v>
      </x:c>
      <x:c r="I4429" s="22" t="n">
        <x:v>34.75</x:v>
      </x:c>
      <x:c r="J4429" s="24" t="n">
        <x:v>5</x:v>
      </x:c>
      <x:c r="K4429" s="26" t="n">
        <x:v>0</x:v>
      </x:c>
      <x:c r="L4429" s="22" t="n">
        <x:v>15.6375</x:v>
      </x:c>
      <x:c r="M4429" t="n">
        <x:v>2017</x:v>
      </x:c>
      <x:c r="N4429" s="20" t="n">
        <x:v>42856</x:v>
      </x:c>
    </x:row>
    <x:row r="4430" ht="18" customHeight="1">
      <x:c r="A4430" t="str">
        <x:v>CA-2017-159464</x:v>
      </x:c>
      <x:c r="B4430" s="18" t="n">
        <x:v>42873</x:v>
      </x:c>
      <x:c r="C4430" t="str">
        <x:v>TB-21355</x:v>
      </x:c>
      <x:c r="D4430" t="str">
        <x:v>Todd Boyes</x:v>
      </x:c>
      <x:c r="E4430" t="str">
        <x:v>Corporate</x:v>
      </x:c>
      <x:c r="F4430" t="str">
        <x:v>South</x:v>
      </x:c>
      <x:c r="G4430" t="str">
        <x:v>Office Supplies</x:v>
      </x:c>
      <x:c r="H4430" t="str">
        <x:v>Binders</x:v>
      </x:c>
      <x:c r="I4430" s="22" t="n">
        <x:v>113.94</x:v>
      </x:c>
      <x:c r="J4430" s="24" t="n">
        <x:v>6</x:v>
      </x:c>
      <x:c r="K4430" s="26" t="n">
        <x:v>0</x:v>
      </x:c>
      <x:c r="L4430" s="22" t="n">
        <x:v>54.691199999999995</x:v>
      </x:c>
      <x:c r="M4430" t="n">
        <x:v>2017</x:v>
      </x:c>
      <x:c r="N4430" s="20" t="n">
        <x:v>42856</x:v>
      </x:c>
    </x:row>
    <x:row r="4431" ht="18" customHeight="1">
      <x:c r="A4431" t="str">
        <x:v>CA-2017-159464</x:v>
      </x:c>
      <x:c r="B4431" s="18" t="n">
        <x:v>42873</x:v>
      </x:c>
      <x:c r="C4431" t="str">
        <x:v>TB-21355</x:v>
      </x:c>
      <x:c r="D4431" t="str">
        <x:v>Todd Boyes</x:v>
      </x:c>
      <x:c r="E4431" t="str">
        <x:v>Corporate</x:v>
      </x:c>
      <x:c r="F4431" t="str">
        <x:v>South</x:v>
      </x:c>
      <x:c r="G4431" t="str">
        <x:v>Technology</x:v>
      </x:c>
      <x:c r="H4431" t="str">
        <x:v>Phones</x:v>
      </x:c>
      <x:c r="I4431" s="22" t="n">
        <x:v>55.98</x:v>
      </x:c>
      <x:c r="J4431" s="24" t="n">
        <x:v>2</x:v>
      </x:c>
      <x:c r="K4431" s="26" t="n">
        <x:v>0</x:v>
      </x:c>
      <x:c r="L4431" s="22" t="n">
        <x:v>15.674399999999999</x:v>
      </x:c>
      <x:c r="M4431" t="n">
        <x:v>2017</x:v>
      </x:c>
      <x:c r="N4431" s="20" t="n">
        <x:v>42856</x:v>
      </x:c>
    </x:row>
    <x:row r="4432" ht="18" customHeight="1">
      <x:c r="A4432" t="str">
        <x:v>US-2017-103226</x:v>
      </x:c>
      <x:c r="B4432" s="18" t="n">
        <x:v>43000</x:v>
      </x:c>
      <x:c r="C4432" t="str">
        <x:v>DW-13195</x:v>
      </x:c>
      <x:c r="D4432" t="str">
        <x:v>David Wiener</x:v>
      </x:c>
      <x:c r="E4432" t="str">
        <x:v>Corporate</x:v>
      </x:c>
      <x:c r="F4432" t="str">
        <x:v>West</x:v>
      </x:c>
      <x:c r="G4432" t="str">
        <x:v>Office Supplies</x:v>
      </x:c>
      <x:c r="H4432" t="str">
        <x:v>Paper</x:v>
      </x:c>
      <x:c r="I4432" s="22" t="n">
        <x:v>27.18</x:v>
      </x:c>
      <x:c r="J4432" s="24" t="n">
        <x:v>3</x:v>
      </x:c>
      <x:c r="K4432" s="26" t="n">
        <x:v>0</x:v>
      </x:c>
      <x:c r="L4432" s="22" t="n">
        <x:v>12.231</x:v>
      </x:c>
      <x:c r="M4432" t="n">
        <x:v>2017</x:v>
      </x:c>
      <x:c r="N4432" s="20" t="n">
        <x:v>42979</x:v>
      </x:c>
    </x:row>
    <x:row r="4433" ht="18" customHeight="1">
      <x:c r="A4433" t="str">
        <x:v>CA-2017-119452</x:v>
      </x:c>
      <x:c r="B4433" s="18" t="n">
        <x:v>42815</x:v>
      </x:c>
      <x:c r="C4433" t="str">
        <x:v>CL-12565</x:v>
      </x:c>
      <x:c r="D4433" t="str">
        <x:v>Clay Ludtke</x:v>
      </x:c>
      <x:c r="E4433" t="str">
        <x:v>Consumer</x:v>
      </x:c>
      <x:c r="F4433" t="str">
        <x:v>Central</x:v>
      </x:c>
      <x:c r="G4433" t="str">
        <x:v>Furniture</x:v>
      </x:c>
      <x:c r="H4433" t="str">
        <x:v>Chairs</x:v>
      </x:c>
      <x:c r="I4433" s="22" t="n">
        <x:v>1805.88</x:v>
      </x:c>
      <x:c r="J4433" s="24" t="n">
        <x:v>6</x:v>
      </x:c>
      <x:c r="K4433" s="26" t="n">
        <x:v>0</x:v>
      </x:c>
      <x:c r="L4433" s="22" t="n">
        <x:v>523.7051999999999</x:v>
      </x:c>
      <x:c r="M4433" t="n">
        <x:v>2017</x:v>
      </x:c>
      <x:c r="N4433" s="20" t="n">
        <x:v>42795</x:v>
      </x:c>
    </x:row>
    <x:row r="4434" ht="18" customHeight="1">
      <x:c r="A4434" t="str">
        <x:v>CA-2017-147725</x:v>
      </x:c>
      <x:c r="B4434" s="18" t="n">
        <x:v>42992</x:v>
      </x:c>
      <x:c r="C4434" t="str">
        <x:v>LT-17110</x:v>
      </x:c>
      <x:c r="D4434" t="str">
        <x:v>Liz Thompson</x:v>
      </x:c>
      <x:c r="E4434" t="str">
        <x:v>Consumer</x:v>
      </x:c>
      <x:c r="F4434" t="str">
        <x:v>East</x:v>
      </x:c>
      <x:c r="G4434" t="str">
        <x:v>Office Supplies</x:v>
      </x:c>
      <x:c r="H4434" t="str">
        <x:v>Art</x:v>
      </x:c>
      <x:c r="I4434" s="22" t="n">
        <x:v>70.94999999999999</x:v>
      </x:c>
      <x:c r="J4434" s="24" t="n">
        <x:v>3</x:v>
      </x:c>
      <x:c r="K4434" s="26" t="n">
        <x:v>0</x:v>
      </x:c>
      <x:c r="L4434" s="22" t="n">
        <x:v>18.447000000000003</x:v>
      </x:c>
      <x:c r="M4434" t="n">
        <x:v>2017</x:v>
      </x:c>
      <x:c r="N4434" s="20" t="n">
        <x:v>42979</x:v>
      </x:c>
    </x:row>
    <x:row r="4435" ht="18" customHeight="1">
      <x:c r="A4435" t="str">
        <x:v>CA-2016-168893</x:v>
      </x:c>
      <x:c r="B4435" s="18" t="n">
        <x:v>42677</x:v>
      </x:c>
      <x:c r="C4435" t="str">
        <x:v>AP-10915</x:v>
      </x:c>
      <x:c r="D4435" t="str">
        <x:v>Arthur Prichep</x:v>
      </x:c>
      <x:c r="E4435" t="str">
        <x:v>Consumer</x:v>
      </x:c>
      <x:c r="F4435" t="str">
        <x:v>South</x:v>
      </x:c>
      <x:c r="G4435" t="str">
        <x:v>Office Supplies</x:v>
      </x:c>
      <x:c r="H4435" t="str">
        <x:v>Fasteners</x:v>
      </x:c>
      <x:c r="I4435" s="22" t="n">
        <x:v>20</x:v>
      </x:c>
      <x:c r="J4435" s="24" t="n">
        <x:v>4</x:v>
      </x:c>
      <x:c r="K4435" s="26" t="n">
        <x:v>0</x:v>
      </x:c>
      <x:c r="L4435" s="22" t="n">
        <x:v>9.6</x:v>
      </x:c>
      <x:c r="M4435" t="n">
        <x:v>2016</x:v>
      </x:c>
      <x:c r="N4435" s="20" t="n">
        <x:v>42675</x:v>
      </x:c>
    </x:row>
    <x:row r="4436" ht="18" customHeight="1">
      <x:c r="A4436" t="str">
        <x:v>CA-2016-168893</x:v>
      </x:c>
      <x:c r="B4436" s="18" t="n">
        <x:v>42677</x:v>
      </x:c>
      <x:c r="C4436" t="str">
        <x:v>AP-10915</x:v>
      </x:c>
      <x:c r="D4436" t="str">
        <x:v>Arthur Prichep</x:v>
      </x:c>
      <x:c r="E4436" t="str">
        <x:v>Consumer</x:v>
      </x:c>
      <x:c r="F4436" t="str">
        <x:v>South</x:v>
      </x:c>
      <x:c r="G4436" t="str">
        <x:v>Office Supplies</x:v>
      </x:c>
      <x:c r="H4436" t="str">
        <x:v>Art</x:v>
      </x:c>
      <x:c r="I4436" s="22" t="n">
        <x:v>7.98</x:v>
      </x:c>
      <x:c r="J4436" s="24" t="n">
        <x:v>3</x:v>
      </x:c>
      <x:c r="K4436" s="26" t="n">
        <x:v>0</x:v>
      </x:c>
      <x:c r="L4436" s="22" t="n">
        <x:v>2.0747999999999998</x:v>
      </x:c>
      <x:c r="M4436" t="n">
        <x:v>2016</x:v>
      </x:c>
      <x:c r="N4436" s="20" t="n">
        <x:v>42675</x:v>
      </x:c>
    </x:row>
    <x:row r="4437" ht="18" customHeight="1">
      <x:c r="A4437" t="str">
        <x:v>CA-2016-168893</x:v>
      </x:c>
      <x:c r="B4437" s="18" t="n">
        <x:v>42677</x:v>
      </x:c>
      <x:c r="C4437" t="str">
        <x:v>AP-10915</x:v>
      </x:c>
      <x:c r="D4437" t="str">
        <x:v>Arthur Prichep</x:v>
      </x:c>
      <x:c r="E4437" t="str">
        <x:v>Consumer</x:v>
      </x:c>
      <x:c r="F4437" t="str">
        <x:v>South</x:v>
      </x:c>
      <x:c r="G4437" t="str">
        <x:v>Furniture</x:v>
      </x:c>
      <x:c r="H4437" t="str">
        <x:v>Furnishings</x:v>
      </x:c>
      <x:c r="I4437" s="22" t="n">
        <x:v>24.1</x:v>
      </x:c>
      <x:c r="J4437" s="24" t="n">
        <x:v>5</x:v>
      </x:c>
      <x:c r="K4437" s="26" t="n">
        <x:v>0</x:v>
      </x:c>
      <x:c r="L4437" s="22" t="n">
        <x:v>9.158000000000001</x:v>
      </x:c>
      <x:c r="M4437" t="n">
        <x:v>2016</x:v>
      </x:c>
      <x:c r="N4437" s="20" t="n">
        <x:v>42675</x:v>
      </x:c>
    </x:row>
    <x:row r="4438" ht="18" customHeight="1">
      <x:c r="A4438" t="str">
        <x:v>CA-2016-168893</x:v>
      </x:c>
      <x:c r="B4438" s="18" t="n">
        <x:v>42677</x:v>
      </x:c>
      <x:c r="C4438" t="str">
        <x:v>AP-10915</x:v>
      </x:c>
      <x:c r="D4438" t="str">
        <x:v>Arthur Prichep</x:v>
      </x:c>
      <x:c r="E4438" t="str">
        <x:v>Consumer</x:v>
      </x:c>
      <x:c r="F4438" t="str">
        <x:v>South</x:v>
      </x:c>
      <x:c r="G4438" t="str">
        <x:v>Office Supplies</x:v>
      </x:c>
      <x:c r="H4438" t="str">
        <x:v>Art</x:v>
      </x:c>
      <x:c r="I4438" s="22" t="n">
        <x:v>8.75</x:v>
      </x:c>
      <x:c r="J4438" s="24" t="n">
        <x:v>1</x:v>
      </x:c>
      <x:c r="K4438" s="26" t="n">
        <x:v>0</x:v>
      </x:c>
      <x:c r="L4438" s="22" t="n">
        <x:v>2.624999999999999</x:v>
      </x:c>
      <x:c r="M4438" t="n">
        <x:v>2016</x:v>
      </x:c>
      <x:c r="N4438" s="20" t="n">
        <x:v>42675</x:v>
      </x:c>
    </x:row>
    <x:row r="4439" ht="18" customHeight="1">
      <x:c r="A4439" t="str">
        <x:v>CA-2016-168893</x:v>
      </x:c>
      <x:c r="B4439" s="18" t="n">
        <x:v>42677</x:v>
      </x:c>
      <x:c r="C4439" t="str">
        <x:v>AP-10915</x:v>
      </x:c>
      <x:c r="D4439" t="str">
        <x:v>Arthur Prichep</x:v>
      </x:c>
      <x:c r="E4439" t="str">
        <x:v>Consumer</x:v>
      </x:c>
      <x:c r="F4439" t="str">
        <x:v>South</x:v>
      </x:c>
      <x:c r="G4439" t="str">
        <x:v>Furniture</x:v>
      </x:c>
      <x:c r="H4439" t="str">
        <x:v>Tables</x:v>
      </x:c>
      <x:c r="I4439" s="22" t="n">
        <x:v>842.94</x:v>
      </x:c>
      <x:c r="J4439" s="24" t="n">
        <x:v>3</x:v>
      </x:c>
      <x:c r="K4439" s="26" t="n">
        <x:v>0</x:v>
      </x:c>
      <x:c r="L4439" s="22" t="n">
        <x:v>160.1586</x:v>
      </x:c>
      <x:c r="M4439" t="n">
        <x:v>2016</x:v>
      </x:c>
      <x:c r="N4439" s="20" t="n">
        <x:v>42675</x:v>
      </x:c>
    </x:row>
    <x:row r="4440" ht="18" customHeight="1">
      <x:c r="A4440" t="str">
        <x:v>CA-2016-163398</x:v>
      </x:c>
      <x:c r="B4440" s="18" t="n">
        <x:v>42493</x:v>
      </x:c>
      <x:c r="C4440" t="str">
        <x:v>CB-12415</x:v>
      </x:c>
      <x:c r="D4440" t="str">
        <x:v>Christy Brittain</x:v>
      </x:c>
      <x:c r="E4440" t="str">
        <x:v>Consumer</x:v>
      </x:c>
      <x:c r="F4440" t="str">
        <x:v>Central</x:v>
      </x:c>
      <x:c r="G4440" t="str">
        <x:v>Office Supplies</x:v>
      </x:c>
      <x:c r="H4440" t="str">
        <x:v>Binders</x:v>
      </x:c>
      <x:c r="I4440" s="22" t="n">
        <x:v>2.1819999999999995</x:v>
      </x:c>
      <x:c r="J4440" s="24" t="n">
        <x:v>1</x:v>
      </x:c>
      <x:c r="K4440" s="26" t="n">
        <x:v>0.8</x:v>
      </x:c>
      <x:c r="L4440" s="22" t="n">
        <x:v>-3.6003</x:v>
      </x:c>
      <x:c r="M4440" t="n">
        <x:v>2016</x:v>
      </x:c>
      <x:c r="N4440" s="20" t="n">
        <x:v>42491</x:v>
      </x:c>
    </x:row>
    <x:row r="4441" ht="18" customHeight="1">
      <x:c r="A4441" t="str">
        <x:v>CA-2016-163398</x:v>
      </x:c>
      <x:c r="B4441" s="18" t="n">
        <x:v>42493</x:v>
      </x:c>
      <x:c r="C4441" t="str">
        <x:v>CB-12415</x:v>
      </x:c>
      <x:c r="D4441" t="str">
        <x:v>Christy Brittain</x:v>
      </x:c>
      <x:c r="E4441" t="str">
        <x:v>Consumer</x:v>
      </x:c>
      <x:c r="F4441" t="str">
        <x:v>Central</x:v>
      </x:c>
      <x:c r="G4441" t="str">
        <x:v>Office Supplies</x:v>
      </x:c>
      <x:c r="H4441" t="str">
        <x:v>Art</x:v>
      </x:c>
      <x:c r="I4441" s="22" t="n">
        <x:v>27.384</x:v>
      </x:c>
      <x:c r="J4441" s="24" t="n">
        <x:v>7</x:v>
      </x:c>
      <x:c r="K4441" s="26" t="n">
        <x:v>0.2</x:v>
      </x:c>
      <x:c r="L4441" s="22" t="n">
        <x:v>2.738400000000002</x:v>
      </x:c>
      <x:c r="M4441" t="n">
        <x:v>2016</x:v>
      </x:c>
      <x:c r="N4441" s="20" t="n">
        <x:v>42491</x:v>
      </x:c>
    </x:row>
    <x:row r="4442" ht="18" customHeight="1">
      <x:c r="A4442" t="str">
        <x:v>CA-2016-163398</x:v>
      </x:c>
      <x:c r="B4442" s="18" t="n">
        <x:v>42493</x:v>
      </x:c>
      <x:c r="C4442" t="str">
        <x:v>CB-12415</x:v>
      </x:c>
      <x:c r="D4442" t="str">
        <x:v>Christy Brittain</x:v>
      </x:c>
      <x:c r="E4442" t="str">
        <x:v>Consumer</x:v>
      </x:c>
      <x:c r="F4442" t="str">
        <x:v>Central</x:v>
      </x:c>
      <x:c r="G4442" t="str">
        <x:v>Office Supplies</x:v>
      </x:c>
      <x:c r="H4442" t="str">
        <x:v>Appliances</x:v>
      </x:c>
      <x:c r="I4442" s="22" t="n">
        <x:v>26.40599999999999</x:v>
      </x:c>
      <x:c r="J4442" s="24" t="n">
        <x:v>3</x:v>
      </x:c>
      <x:c r="K4442" s="26" t="n">
        <x:v>0.8</x:v>
      </x:c>
      <x:c r="L4442" s="22" t="n">
        <x:v>-71.2962</x:v>
      </x:c>
      <x:c r="M4442" t="n">
        <x:v>2016</x:v>
      </x:c>
      <x:c r="N4442" s="20" t="n">
        <x:v>42491</x:v>
      </x:c>
    </x:row>
    <x:row r="4443" ht="18" customHeight="1">
      <x:c r="A4443" t="str">
        <x:v>CA-2016-162726</x:v>
      </x:c>
      <x:c r="B4443" s="18" t="n">
        <x:v>42731</x:v>
      </x:c>
      <x:c r="C4443" t="str">
        <x:v>MT-17815</x:v>
      </x:c>
      <x:c r="D4443" t="str">
        <x:v>Meg Tillman</x:v>
      </x:c>
      <x:c r="E4443" t="str">
        <x:v>Consumer</x:v>
      </x:c>
      <x:c r="F4443" t="str">
        <x:v>Central</x:v>
      </x:c>
      <x:c r="G4443" t="str">
        <x:v>Office Supplies</x:v>
      </x:c>
      <x:c r="H4443" t="str">
        <x:v>Paper</x:v>
      </x:c>
      <x:c r="I4443" s="22" t="n">
        <x:v>10.368000000000002</x:v>
      </x:c>
      <x:c r="J4443" s="24" t="n">
        <x:v>2</x:v>
      </x:c>
      <x:c r="K4443" s="26" t="n">
        <x:v>0.2</x:v>
      </x:c>
      <x:c r="L4443" s="22" t="n">
        <x:v>3.6288</x:v>
      </x:c>
      <x:c r="M4443" t="n">
        <x:v>2016</x:v>
      </x:c>
      <x:c r="N4443" s="20" t="n">
        <x:v>42705</x:v>
      </x:c>
    </x:row>
    <x:row r="4444" ht="18" customHeight="1">
      <x:c r="A4444" t="str">
        <x:v>CA-2016-162726</x:v>
      </x:c>
      <x:c r="B4444" s="18" t="n">
        <x:v>42731</x:v>
      </x:c>
      <x:c r="C4444" t="str">
        <x:v>MT-17815</x:v>
      </x:c>
      <x:c r="D4444" t="str">
        <x:v>Meg Tillman</x:v>
      </x:c>
      <x:c r="E4444" t="str">
        <x:v>Consumer</x:v>
      </x:c>
      <x:c r="F4444" t="str">
        <x:v>Central</x:v>
      </x:c>
      <x:c r="G4444" t="str">
        <x:v>Office Supplies</x:v>
      </x:c>
      <x:c r="H4444" t="str">
        <x:v>Paper</x:v>
      </x:c>
      <x:c r="I4444" s="22" t="n">
        <x:v>23.680000000000003</x:v>
      </x:c>
      <x:c r="J4444" s="24" t="n">
        <x:v>4</x:v>
      </x:c>
      <x:c r="K4444" s="26" t="n">
        <x:v>0.2</x:v>
      </x:c>
      <x:c r="L4444" s="22" t="n">
        <x:v>7.3999999999999995</x:v>
      </x:c>
      <x:c r="M4444" t="n">
        <x:v>2016</x:v>
      </x:c>
      <x:c r="N4444" s="20" t="n">
        <x:v>42705</x:v>
      </x:c>
    </x:row>
    <x:row r="4445" ht="18" customHeight="1">
      <x:c r="A4445" t="str">
        <x:v>US-2016-111290</x:v>
      </x:c>
      <x:c r="B4445" s="18" t="n">
        <x:v>42573</x:v>
      </x:c>
      <x:c r="C4445" t="str">
        <x:v>DK-13375</x:v>
      </x:c>
      <x:c r="D4445" t="str">
        <x:v>Dennis Kane</x:v>
      </x:c>
      <x:c r="E4445" t="str">
        <x:v>Consumer</x:v>
      </x:c>
      <x:c r="F4445" t="str">
        <x:v>Central</x:v>
      </x:c>
      <x:c r="G4445" t="str">
        <x:v>Technology</x:v>
      </x:c>
      <x:c r="H4445" t="str">
        <x:v>Accessories</x:v>
      </x:c>
      <x:c r="I4445" s="22" t="n">
        <x:v>109.95</x:v>
      </x:c>
      <x:c r="J4445" s="24" t="n">
        <x:v>1</x:v>
      </x:c>
      <x:c r="K4445" s="26" t="n">
        <x:v>0</x:v>
      </x:c>
      <x:c r="L4445" s="22" t="n">
        <x:v>36.283500000000004</x:v>
      </x:c>
      <x:c r="M4445" t="n">
        <x:v>2016</x:v>
      </x:c>
      <x:c r="N4445" s="20" t="n">
        <x:v>42552</x:v>
      </x:c>
    </x:row>
    <x:row r="4446" ht="18" customHeight="1">
      <x:c r="A4446" t="str">
        <x:v>US-2016-111290</x:v>
      </x:c>
      <x:c r="B4446" s="18" t="n">
        <x:v>42573</x:v>
      </x:c>
      <x:c r="C4446" t="str">
        <x:v>DK-13375</x:v>
      </x:c>
      <x:c r="D4446" t="str">
        <x:v>Dennis Kane</x:v>
      </x:c>
      <x:c r="E4446" t="str">
        <x:v>Consumer</x:v>
      </x:c>
      <x:c r="F4446" t="str">
        <x:v>Central</x:v>
      </x:c>
      <x:c r="G4446" t="str">
        <x:v>Office Supplies</x:v>
      </x:c>
      <x:c r="H4446" t="str">
        <x:v>Storage</x:v>
      </x:c>
      <x:c r="I4446" s="22" t="n">
        <x:v>965.8499999999999</x:v>
      </x:c>
      <x:c r="J4446" s="24" t="n">
        <x:v>5</x:v>
      </x:c>
      <x:c r="K4446" s="26" t="n">
        <x:v>0</x:v>
      </x:c>
      <x:c r="L4446" s="22" t="n">
        <x:v>135.21900000000002</x:v>
      </x:c>
      <x:c r="M4446" t="n">
        <x:v>2016</x:v>
      </x:c>
      <x:c r="N4446" s="20" t="n">
        <x:v>42552</x:v>
      </x:c>
    </x:row>
    <x:row r="4447" ht="18" customHeight="1">
      <x:c r="A4447" t="str">
        <x:v>US-2016-111290</x:v>
      </x:c>
      <x:c r="B4447" s="18" t="n">
        <x:v>42573</x:v>
      </x:c>
      <x:c r="C4447" t="str">
        <x:v>DK-13375</x:v>
      </x:c>
      <x:c r="D4447" t="str">
        <x:v>Dennis Kane</x:v>
      </x:c>
      <x:c r="E4447" t="str">
        <x:v>Consumer</x:v>
      </x:c>
      <x:c r="F4447" t="str">
        <x:v>Central</x:v>
      </x:c>
      <x:c r="G4447" t="str">
        <x:v>Office Supplies</x:v>
      </x:c>
      <x:c r="H4447" t="str">
        <x:v>Art</x:v>
      </x:c>
      <x:c r="I4447" s="22" t="n">
        <x:v>29.2</x:v>
      </x:c>
      <x:c r="J4447" s="24" t="n">
        <x:v>5</x:v>
      </x:c>
      <x:c r="K4447" s="26" t="n">
        <x:v>0</x:v>
      </x:c>
      <x:c r="L4447" s="22" t="n">
        <x:v>10.511999999999999</x:v>
      </x:c>
      <x:c r="M4447" t="n">
        <x:v>2016</x:v>
      </x:c>
      <x:c r="N4447" s="20" t="n">
        <x:v>42552</x:v>
      </x:c>
    </x:row>
    <x:row r="4448" ht="18" customHeight="1">
      <x:c r="A4448" t="str">
        <x:v>US-2016-111290</x:v>
      </x:c>
      <x:c r="B4448" s="18" t="n">
        <x:v>42573</x:v>
      </x:c>
      <x:c r="C4448" t="str">
        <x:v>DK-13375</x:v>
      </x:c>
      <x:c r="D4448" t="str">
        <x:v>Dennis Kane</x:v>
      </x:c>
      <x:c r="E4448" t="str">
        <x:v>Consumer</x:v>
      </x:c>
      <x:c r="F4448" t="str">
        <x:v>Central</x:v>
      </x:c>
      <x:c r="G4448" t="str">
        <x:v>Office Supplies</x:v>
      </x:c>
      <x:c r="H4448" t="str">
        <x:v>Paper</x:v>
      </x:c>
      <x:c r="I4448" s="22" t="n">
        <x:v>32.400000000000006</x:v>
      </x:c>
      <x:c r="J4448" s="24" t="n">
        <x:v>5</x:v>
      </x:c>
      <x:c r="K4448" s="26" t="n">
        <x:v>0</x:v>
      </x:c>
      <x:c r="L4448" s="22" t="n">
        <x:v>15.552000000000001</x:v>
      </x:c>
      <x:c r="M4448" t="n">
        <x:v>2016</x:v>
      </x:c>
      <x:c r="N4448" s="20" t="n">
        <x:v>42552</x:v>
      </x:c>
    </x:row>
    <x:row r="4449" ht="18" customHeight="1">
      <x:c r="A4449" t="str">
        <x:v>US-2014-147704</x:v>
      </x:c>
      <x:c r="B4449" s="18" t="n">
        <x:v>41959</x:v>
      </x:c>
      <x:c r="C4449" t="str">
        <x:v>SR-20740</x:v>
      </x:c>
      <x:c r="D4449" t="str">
        <x:v>Steven Roelle</x:v>
      </x:c>
      <x:c r="E4449" t="str">
        <x:v>Home Office</x:v>
      </x:c>
      <x:c r="F4449" t="str">
        <x:v>Central</x:v>
      </x:c>
      <x:c r="G4449" t="str">
        <x:v>Office Supplies</x:v>
      </x:c>
      <x:c r="H4449" t="str">
        <x:v>Envelopes</x:v>
      </x:c>
      <x:c r="I4449" s="22" t="n">
        <x:v>78.35</x:v>
      </x:c>
      <x:c r="J4449" s="24" t="n">
        <x:v>5</x:v>
      </x:c>
      <x:c r="K4449" s="26" t="n">
        <x:v>0</x:v>
      </x:c>
      <x:c r="L4449" s="22" t="n">
        <x:v>36.82449999999999</x:v>
      </x:c>
      <x:c r="M4449" t="n">
        <x:v>2014</x:v>
      </x:c>
      <x:c r="N4449" s="20" t="n">
        <x:v>41944</x:v>
      </x:c>
    </x:row>
    <x:row r="4450" ht="18" customHeight="1">
      <x:c r="A4450" t="str">
        <x:v>US-2014-147704</x:v>
      </x:c>
      <x:c r="B4450" s="18" t="n">
        <x:v>41959</x:v>
      </x:c>
      <x:c r="C4450" t="str">
        <x:v>SR-20740</x:v>
      </x:c>
      <x:c r="D4450" t="str">
        <x:v>Steven Roelle</x:v>
      </x:c>
      <x:c r="E4450" t="str">
        <x:v>Home Office</x:v>
      </x:c>
      <x:c r="F4450" t="str">
        <x:v>Central</x:v>
      </x:c>
      <x:c r="G4450" t="str">
        <x:v>Office Supplies</x:v>
      </x:c>
      <x:c r="H4450" t="str">
        <x:v>Paper</x:v>
      </x:c>
      <x:c r="I4450" s="22" t="n">
        <x:v>31.68</x:v>
      </x:c>
      <x:c r="J4450" s="24" t="n">
        <x:v>6</x:v>
      </x:c>
      <x:c r="K4450" s="26" t="n">
        <x:v>0</x:v>
      </x:c>
      <x:c r="L4450" s="22" t="n">
        <x:v>14.256</x:v>
      </x:c>
      <x:c r="M4450" t="n">
        <x:v>2014</x:v>
      </x:c>
      <x:c r="N4450" s="20" t="n">
        <x:v>41944</x:v>
      </x:c>
    </x:row>
    <x:row r="4451" ht="18" customHeight="1">
      <x:c r="A4451" t="str">
        <x:v>US-2014-147704</x:v>
      </x:c>
      <x:c r="B4451" s="18" t="n">
        <x:v>41959</x:v>
      </x:c>
      <x:c r="C4451" t="str">
        <x:v>SR-20740</x:v>
      </x:c>
      <x:c r="D4451" t="str">
        <x:v>Steven Roelle</x:v>
      </x:c>
      <x:c r="E4451" t="str">
        <x:v>Home Office</x:v>
      </x:c>
      <x:c r="F4451" t="str">
        <x:v>Central</x:v>
      </x:c>
      <x:c r="G4451" t="str">
        <x:v>Office Supplies</x:v>
      </x:c>
      <x:c r="H4451" t="str">
        <x:v>Binders</x:v>
      </x:c>
      <x:c r="I4451" s="22" t="n">
        <x:v>29.12</x:v>
      </x:c>
      <x:c r="J4451" s="24" t="n">
        <x:v>4</x:v>
      </x:c>
      <x:c r="K4451" s="26" t="n">
        <x:v>0</x:v>
      </x:c>
      <x:c r="L4451" s="22" t="n">
        <x:v>14.2688</x:v>
      </x:c>
      <x:c r="M4451" t="n">
        <x:v>2014</x:v>
      </x:c>
      <x:c r="N4451" s="20" t="n">
        <x:v>41944</x:v>
      </x:c>
    </x:row>
    <x:row r="4452" ht="18" customHeight="1">
      <x:c r="A4452" t="str">
        <x:v>US-2014-147704</x:v>
      </x:c>
      <x:c r="B4452" s="18" t="n">
        <x:v>41959</x:v>
      </x:c>
      <x:c r="C4452" t="str">
        <x:v>SR-20740</x:v>
      </x:c>
      <x:c r="D4452" t="str">
        <x:v>Steven Roelle</x:v>
      </x:c>
      <x:c r="E4452" t="str">
        <x:v>Home Office</x:v>
      </x:c>
      <x:c r="F4452" t="str">
        <x:v>Central</x:v>
      </x:c>
      <x:c r="G4452" t="str">
        <x:v>Office Supplies</x:v>
      </x:c>
      <x:c r="H4452" t="str">
        <x:v>Storage</x:v>
      </x:c>
      <x:c r="I4452" s="22" t="n">
        <x:v>169.45</x:v>
      </x:c>
      <x:c r="J4452" s="24" t="n">
        <x:v>5</x:v>
      </x:c>
      <x:c r="K4452" s="26" t="n">
        <x:v>0</x:v>
      </x:c>
      <x:c r="L4452" s="22" t="n">
        <x:v>42.3625</x:v>
      </x:c>
      <x:c r="M4452" t="n">
        <x:v>2014</x:v>
      </x:c>
      <x:c r="N4452" s="20" t="n">
        <x:v>41944</x:v>
      </x:c>
    </x:row>
    <x:row r="4453" ht="18" customHeight="1">
      <x:c r="A4453" t="str">
        <x:v>CA-2015-121965</x:v>
      </x:c>
      <x:c r="B4453" s="18" t="n">
        <x:v>42174</x:v>
      </x:c>
      <x:c r="C4453" t="str">
        <x:v>LH-17155</x:v>
      </x:c>
      <x:c r="D4453" t="str">
        <x:v>Logan Haushalter</x:v>
      </x:c>
      <x:c r="E4453" t="str">
        <x:v>Consumer</x:v>
      </x:c>
      <x:c r="F4453" t="str">
        <x:v>West</x:v>
      </x:c>
      <x:c r="G4453" t="str">
        <x:v>Furniture</x:v>
      </x:c>
      <x:c r="H4453" t="str">
        <x:v>Furnishings</x:v>
      </x:c>
      <x:c r="I4453" s="22" t="n">
        <x:v>12.56</x:v>
      </x:c>
      <x:c r="J4453" s="24" t="n">
        <x:v>2</x:v>
      </x:c>
      <x:c r="K4453" s="26" t="n">
        <x:v>0</x:v>
      </x:c>
      <x:c r="L4453" s="22" t="n">
        <x:v>4.0192</x:v>
      </x:c>
      <x:c r="M4453" t="n">
        <x:v>2015</x:v>
      </x:c>
      <x:c r="N4453" s="20" t="n">
        <x:v>42156</x:v>
      </x:c>
    </x:row>
    <x:row r="4454" ht="18" customHeight="1">
      <x:c r="A4454" t="str">
        <x:v>CA-2015-121965</x:v>
      </x:c>
      <x:c r="B4454" s="18" t="n">
        <x:v>42174</x:v>
      </x:c>
      <x:c r="C4454" t="str">
        <x:v>LH-17155</x:v>
      </x:c>
      <x:c r="D4454" t="str">
        <x:v>Logan Haushalter</x:v>
      </x:c>
      <x:c r="E4454" t="str">
        <x:v>Consumer</x:v>
      </x:c>
      <x:c r="F4454" t="str">
        <x:v>West</x:v>
      </x:c>
      <x:c r="G4454" t="str">
        <x:v>Office Supplies</x:v>
      </x:c>
      <x:c r="H4454" t="str">
        <x:v>Paper</x:v>
      </x:c>
      <x:c r="I4454" s="22" t="n">
        <x:v>6.48</x:v>
      </x:c>
      <x:c r="J4454" s="24" t="n">
        <x:v>1</x:v>
      </x:c>
      <x:c r="K4454" s="26" t="n">
        <x:v>0</x:v>
      </x:c>
      <x:c r="L4454" s="22" t="n">
        <x:v>3.1104000000000003</x:v>
      </x:c>
      <x:c r="M4454" t="n">
        <x:v>2015</x:v>
      </x:c>
      <x:c r="N4454" s="20" t="n">
        <x:v>42156</x:v>
      </x:c>
    </x:row>
    <x:row r="4455" ht="18" customHeight="1">
      <x:c r="A4455" t="str">
        <x:v>CA-2015-121965</x:v>
      </x:c>
      <x:c r="B4455" s="18" t="n">
        <x:v>42174</x:v>
      </x:c>
      <x:c r="C4455" t="str">
        <x:v>LH-17155</x:v>
      </x:c>
      <x:c r="D4455" t="str">
        <x:v>Logan Haushalter</x:v>
      </x:c>
      <x:c r="E4455" t="str">
        <x:v>Consumer</x:v>
      </x:c>
      <x:c r="F4455" t="str">
        <x:v>West</x:v>
      </x:c>
      <x:c r="G4455" t="str">
        <x:v>Office Supplies</x:v>
      </x:c>
      <x:c r="H4455" t="str">
        <x:v>Envelopes</x:v>
      </x:c>
      <x:c r="I4455" s="22" t="n">
        <x:v>186.69</x:v>
      </x:c>
      <x:c r="J4455" s="24" t="n">
        <x:v>3</x:v>
      </x:c>
      <x:c r="K4455" s="26" t="n">
        <x:v>0</x:v>
      </x:c>
      <x:c r="L4455" s="22" t="n">
        <x:v>87.74429999999998</x:v>
      </x:c>
      <x:c r="M4455" t="n">
        <x:v>2015</x:v>
      </x:c>
      <x:c r="N4455" s="20" t="n">
        <x:v>42156</x:v>
      </x:c>
    </x:row>
    <x:row r="4456" ht="18" customHeight="1">
      <x:c r="A4456" t="str">
        <x:v>CA-2016-147137</x:v>
      </x:c>
      <x:c r="B4456" s="18" t="n">
        <x:v>42555</x:v>
      </x:c>
      <x:c r="C4456" t="str">
        <x:v>AA-10645</x:v>
      </x:c>
      <x:c r="D4456" t="str">
        <x:v>Anna Andreadi</x:v>
      </x:c>
      <x:c r="E4456" t="str">
        <x:v>Consumer</x:v>
      </x:c>
      <x:c r="F4456" t="str">
        <x:v>West</x:v>
      </x:c>
      <x:c r="G4456" t="str">
        <x:v>Furniture</x:v>
      </x:c>
      <x:c r="H4456" t="str">
        <x:v>Furnishings</x:v>
      </x:c>
      <x:c r="I4456" s="22" t="n">
        <x:v>25.4</x:v>
      </x:c>
      <x:c r="J4456" s="24" t="n">
        <x:v>5</x:v>
      </x:c>
      <x:c r="K4456" s="26" t="n">
        <x:v>0</x:v>
      </x:c>
      <x:c r="L4456" s="22" t="n">
        <x:v>8.636</x:v>
      </x:c>
      <x:c r="M4456" t="n">
        <x:v>2016</x:v>
      </x:c>
      <x:c r="N4456" s="20" t="n">
        <x:v>42552</x:v>
      </x:c>
    </x:row>
    <x:row r="4457" ht="18" customHeight="1">
      <x:c r="A4457" t="str">
        <x:v>CA-2016-147137</x:v>
      </x:c>
      <x:c r="B4457" s="18" t="n">
        <x:v>42555</x:v>
      </x:c>
      <x:c r="C4457" t="str">
        <x:v>AA-10645</x:v>
      </x:c>
      <x:c r="D4457" t="str">
        <x:v>Anna Andreadi</x:v>
      </x:c>
      <x:c r="E4457" t="str">
        <x:v>Consumer</x:v>
      </x:c>
      <x:c r="F4457" t="str">
        <x:v>West</x:v>
      </x:c>
      <x:c r="G4457" t="str">
        <x:v>Office Supplies</x:v>
      </x:c>
      <x:c r="H4457" t="str">
        <x:v>Envelopes</x:v>
      </x:c>
      <x:c r="I4457" s="22" t="n">
        <x:v>43.96</x:v>
      </x:c>
      <x:c r="J4457" s="24" t="n">
        <x:v>2</x:v>
      </x:c>
      <x:c r="K4457" s="26" t="n">
        <x:v>0</x:v>
      </x:c>
      <x:c r="L4457" s="22" t="n">
        <x:v>20.6612</x:v>
      </x:c>
      <x:c r="M4457" t="n">
        <x:v>2016</x:v>
      </x:c>
      <x:c r="N4457" s="20" t="n">
        <x:v>42552</x:v>
      </x:c>
    </x:row>
    <x:row r="4458" ht="18" customHeight="1">
      <x:c r="A4458" t="str">
        <x:v>CA-2016-147137</x:v>
      </x:c>
      <x:c r="B4458" s="18" t="n">
        <x:v>42555</x:v>
      </x:c>
      <x:c r="C4458" t="str">
        <x:v>AA-10645</x:v>
      </x:c>
      <x:c r="D4458" t="str">
        <x:v>Anna Andreadi</x:v>
      </x:c>
      <x:c r="E4458" t="str">
        <x:v>Consumer</x:v>
      </x:c>
      <x:c r="F4458" t="str">
        <x:v>West</x:v>
      </x:c>
      <x:c r="G4458" t="str">
        <x:v>Furniture</x:v>
      </x:c>
      <x:c r="H4458" t="str">
        <x:v>Bookcases</x:v>
      </x:c>
      <x:c r="I4458" s="22" t="n">
        <x:v>1279.165</x:v>
      </x:c>
      <x:c r="J4458" s="24" t="n">
        <x:v>5</x:v>
      </x:c>
      <x:c r="K4458" s="26" t="n">
        <x:v>0.15</x:v>
      </x:c>
      <x:c r="L4458" s="22" t="n">
        <x:v>225.73499999999993</x:v>
      </x:c>
      <x:c r="M4458" t="n">
        <x:v>2016</x:v>
      </x:c>
      <x:c r="N4458" s="20" t="n">
        <x:v>42552</x:v>
      </x:c>
    </x:row>
    <x:row r="4459" ht="18" customHeight="1">
      <x:c r="A4459" t="str">
        <x:v>CA-2016-147137</x:v>
      </x:c>
      <x:c r="B4459" s="18" t="n">
        <x:v>42555</x:v>
      </x:c>
      <x:c r="C4459" t="str">
        <x:v>AA-10645</x:v>
      </x:c>
      <x:c r="D4459" t="str">
        <x:v>Anna Andreadi</x:v>
      </x:c>
      <x:c r="E4459" t="str">
        <x:v>Consumer</x:v>
      </x:c>
      <x:c r="F4459" t="str">
        <x:v>West</x:v>
      </x:c>
      <x:c r="G4459" t="str">
        <x:v>Office Supplies</x:v>
      </x:c>
      <x:c r="H4459" t="str">
        <x:v>Storage</x:v>
      </x:c>
      <x:c r="I4459" s="22" t="n">
        <x:v>27.92</x:v>
      </x:c>
      <x:c r="J4459" s="24" t="n">
        <x:v>4</x:v>
      </x:c>
      <x:c r="K4459" s="26" t="n">
        <x:v>0</x:v>
      </x:c>
      <x:c r="L4459" s="22" t="n">
        <x:v>0.5583999999999989</x:v>
      </x:c>
      <x:c r="M4459" t="n">
        <x:v>2016</x:v>
      </x:c>
      <x:c r="N4459" s="20" t="n">
        <x:v>42552</x:v>
      </x:c>
    </x:row>
    <x:row r="4460" ht="18" customHeight="1">
      <x:c r="A4460" t="str">
        <x:v>US-2015-146745</x:v>
      </x:c>
      <x:c r="B4460" s="18" t="n">
        <x:v>42250</x:v>
      </x:c>
      <x:c r="C4460" t="str">
        <x:v>AS-10630</x:v>
      </x:c>
      <x:c r="D4460" t="str">
        <x:v>Ann Steele</x:v>
      </x:c>
      <x:c r="E4460" t="str">
        <x:v>Home Office</x:v>
      </x:c>
      <x:c r="F4460" t="str">
        <x:v>West</x:v>
      </x:c>
      <x:c r="G4460" t="str">
        <x:v>Furniture</x:v>
      </x:c>
      <x:c r="H4460" t="str">
        <x:v>Chairs</x:v>
      </x:c>
      <x:c r="I4460" s="22" t="n">
        <x:v>129.568</x:v>
      </x:c>
      <x:c r="J4460" s="24" t="n">
        <x:v>2</x:v>
      </x:c>
      <x:c r="K4460" s="26" t="n">
        <x:v>0.2</x:v>
      </x:c>
      <x:c r="L4460" s="22" t="n">
        <x:v>-12.956799999999994</x:v>
      </x:c>
      <x:c r="M4460" t="n">
        <x:v>2015</x:v>
      </x:c>
      <x:c r="N4460" s="20" t="n">
        <x:v>42248</x:v>
      </x:c>
    </x:row>
    <x:row r="4461" ht="18" customHeight="1">
      <x:c r="A4461" t="str">
        <x:v>US-2015-146745</x:v>
      </x:c>
      <x:c r="B4461" s="18" t="n">
        <x:v>42250</x:v>
      </x:c>
      <x:c r="C4461" t="str">
        <x:v>AS-10630</x:v>
      </x:c>
      <x:c r="D4461" t="str">
        <x:v>Ann Steele</x:v>
      </x:c>
      <x:c r="E4461" t="str">
        <x:v>Home Office</x:v>
      </x:c>
      <x:c r="F4461" t="str">
        <x:v>West</x:v>
      </x:c>
      <x:c r="G4461" t="str">
        <x:v>Office Supplies</x:v>
      </x:c>
      <x:c r="H4461" t="str">
        <x:v>Binders</x:v>
      </x:c>
      <x:c r="I4461" s="22" t="n">
        <x:v>6.368</x:v>
      </x:c>
      <x:c r="J4461" s="24" t="n">
        <x:v>2</x:v>
      </x:c>
      <x:c r="K4461" s="26" t="n">
        <x:v>0.2</x:v>
      </x:c>
      <x:c r="L4461" s="22" t="n">
        <x:v>2.1492</x:v>
      </x:c>
      <x:c r="M4461" t="n">
        <x:v>2015</x:v>
      </x:c>
      <x:c r="N4461" s="20" t="n">
        <x:v>42248</x:v>
      </x:c>
    </x:row>
    <x:row r="4462" ht="18" customHeight="1">
      <x:c r="A4462" t="str">
        <x:v>CA-2017-115175</x:v>
      </x:c>
      <x:c r="B4462" s="18" t="n">
        <x:v>42954</x:v>
      </x:c>
      <x:c r="C4462" t="str">
        <x:v>MC-17575</x:v>
      </x:c>
      <x:c r="D4462" t="str">
        <x:v>Matt Collins</x:v>
      </x:c>
      <x:c r="E4462" t="str">
        <x:v>Consumer</x:v>
      </x:c>
      <x:c r="F4462" t="str">
        <x:v>West</x:v>
      </x:c>
      <x:c r="G4462" t="str">
        <x:v>Office Supplies</x:v>
      </x:c>
      <x:c r="H4462" t="str">
        <x:v>Paper</x:v>
      </x:c>
      <x:c r="I4462" s="22" t="n">
        <x:v>244.54999999999998</x:v>
      </x:c>
      <x:c r="J4462" s="24" t="n">
        <x:v>5</x:v>
      </x:c>
      <x:c r="K4462" s="26" t="n">
        <x:v>0</x:v>
      </x:c>
      <x:c r="L4462" s="22" t="n">
        <x:v>114.93849999999998</x:v>
      </x:c>
      <x:c r="M4462" t="n">
        <x:v>2017</x:v>
      </x:c>
      <x:c r="N4462" s="20" t="n">
        <x:v>42948</x:v>
      </x:c>
    </x:row>
    <x:row r="4463" ht="18" customHeight="1">
      <x:c r="A4463" t="str">
        <x:v>CA-2017-105851</x:v>
      </x:c>
      <x:c r="B4463" s="18" t="n">
        <x:v>42807</x:v>
      </x:c>
      <x:c r="C4463" t="str">
        <x:v>SE-20110</x:v>
      </x:c>
      <x:c r="D4463" t="str">
        <x:v>Sanjit Engle</x:v>
      </x:c>
      <x:c r="E4463" t="str">
        <x:v>Consumer</x:v>
      </x:c>
      <x:c r="F4463" t="str">
        <x:v>West</x:v>
      </x:c>
      <x:c r="G4463" t="str">
        <x:v>Office Supplies</x:v>
      </x:c>
      <x:c r="H4463" t="str">
        <x:v>Supplies</x:v>
      </x:c>
      <x:c r="I4463" s="22" t="n">
        <x:v>1332.496</x:v>
      </x:c>
      <x:c r="J4463" s="24" t="n">
        <x:v>2</x:v>
      </x:c>
      <x:c r="K4463" s="26" t="n">
        <x:v>0.2</x:v>
      </x:c>
      <x:c r="L4463" s="22" t="n">
        <x:v>-299.8116</x:v>
      </x:c>
      <x:c r="M4463" t="n">
        <x:v>2017</x:v>
      </x:c>
      <x:c r="N4463" s="20" t="n">
        <x:v>42795</x:v>
      </x:c>
    </x:row>
    <x:row r="4464" ht="18" customHeight="1">
      <x:c r="A4464" t="str">
        <x:v>US-2017-125717</x:v>
      </x:c>
      <x:c r="B4464" s="18" t="n">
        <x:v>43006</x:v>
      </x:c>
      <x:c r="C4464" t="str">
        <x:v>DS-13030</x:v>
      </x:c>
      <x:c r="D4464" t="str">
        <x:v>Darrin Sayre</x:v>
      </x:c>
      <x:c r="E4464" t="str">
        <x:v>Home Office</x:v>
      </x:c>
      <x:c r="F4464" t="str">
        <x:v>West</x:v>
      </x:c>
      <x:c r="G4464" t="str">
        <x:v>Furniture</x:v>
      </x:c>
      <x:c r="H4464" t="str">
        <x:v>Furnishings</x:v>
      </x:c>
      <x:c r="I4464" s="22" t="n">
        <x:v>32.776</x:v>
      </x:c>
      <x:c r="J4464" s="24" t="n">
        <x:v>1</x:v>
      </x:c>
      <x:c r="K4464" s="26" t="n">
        <x:v>0.2</x:v>
      </x:c>
      <x:c r="L4464" s="22" t="n">
        <x:v>3.2776000000000014</x:v>
      </x:c>
      <x:c r="M4464" t="n">
        <x:v>2017</x:v>
      </x:c>
      <x:c r="N4464" s="20" t="n">
        <x:v>42979</x:v>
      </x:c>
    </x:row>
    <x:row r="4465" ht="18" customHeight="1">
      <x:c r="A4465" t="str">
        <x:v>US-2017-125717</x:v>
      </x:c>
      <x:c r="B4465" s="18" t="n">
        <x:v>43006</x:v>
      </x:c>
      <x:c r="C4465" t="str">
        <x:v>DS-13030</x:v>
      </x:c>
      <x:c r="D4465" t="str">
        <x:v>Darrin Sayre</x:v>
      </x:c>
      <x:c r="E4465" t="str">
        <x:v>Home Office</x:v>
      </x:c>
      <x:c r="F4465" t="str">
        <x:v>West</x:v>
      </x:c>
      <x:c r="G4465" t="str">
        <x:v>Office Supplies</x:v>
      </x:c>
      <x:c r="H4465" t="str">
        <x:v>Storage</x:v>
      </x:c>
      <x:c r="I4465" s="22" t="n">
        <x:v>147.184</x:v>
      </x:c>
      <x:c r="J4465" s="24" t="n">
        <x:v>2</x:v>
      </x:c>
      <x:c r="K4465" s="26" t="n">
        <x:v>0.2</x:v>
      </x:c>
      <x:c r="L4465" s="22" t="n">
        <x:v>-29.436800000000012</x:v>
      </x:c>
      <x:c r="M4465" t="n">
        <x:v>2017</x:v>
      </x:c>
      <x:c r="N4465" s="20" t="n">
        <x:v>42979</x:v>
      </x:c>
    </x:row>
    <x:row r="4466" ht="18" customHeight="1">
      <x:c r="A4466" t="str">
        <x:v>US-2017-125717</x:v>
      </x:c>
      <x:c r="B4466" s="18" t="n">
        <x:v>43006</x:v>
      </x:c>
      <x:c r="C4466" t="str">
        <x:v>DS-13030</x:v>
      </x:c>
      <x:c r="D4466" t="str">
        <x:v>Darrin Sayre</x:v>
      </x:c>
      <x:c r="E4466" t="str">
        <x:v>Home Office</x:v>
      </x:c>
      <x:c r="F4466" t="str">
        <x:v>West</x:v>
      </x:c>
      <x:c r="G4466" t="str">
        <x:v>Technology</x:v>
      </x:c>
      <x:c r="H4466" t="str">
        <x:v>Accessories</x:v>
      </x:c>
      <x:c r="I4466" s="22" t="n">
        <x:v>54.38400000000001</x:v>
      </x:c>
      <x:c r="J4466" s="24" t="n">
        <x:v>2</x:v>
      </x:c>
      <x:c r="K4466" s="26" t="n">
        <x:v>0.2</x:v>
      </x:c>
      <x:c r="L4466" s="22" t="n">
        <x:v>1.359599999999995</x:v>
      </x:c>
      <x:c r="M4466" t="n">
        <x:v>2017</x:v>
      </x:c>
      <x:c r="N4466" s="20" t="n">
        <x:v>42979</x:v>
      </x:c>
    </x:row>
    <x:row r="4467" ht="18" customHeight="1">
      <x:c r="A4467" t="str">
        <x:v>US-2017-125717</x:v>
      </x:c>
      <x:c r="B4467" s="18" t="n">
        <x:v>43006</x:v>
      </x:c>
      <x:c r="C4467" t="str">
        <x:v>DS-13030</x:v>
      </x:c>
      <x:c r="D4467" t="str">
        <x:v>Darrin Sayre</x:v>
      </x:c>
      <x:c r="E4467" t="str">
        <x:v>Home Office</x:v>
      </x:c>
      <x:c r="F4467" t="str">
        <x:v>West</x:v>
      </x:c>
      <x:c r="G4467" t="str">
        <x:v>Office Supplies</x:v>
      </x:c>
      <x:c r="H4467" t="str">
        <x:v>Binders</x:v>
      </x:c>
      <x:c r="I4467" s="22" t="n">
        <x:v>76.77600000000001</x:v>
      </x:c>
      <x:c r="J4467" s="24" t="n">
        <x:v>4</x:v>
      </x:c>
      <x:c r="K4467" s="26" t="n">
        <x:v>0.7</x:v>
      </x:c>
      <x:c r="L4467" s="22" t="n">
        <x:v>-58.86159999999998</x:v>
      </x:c>
      <x:c r="M4467" t="n">
        <x:v>2017</x:v>
      </x:c>
      <x:c r="N4467" s="20" t="n">
        <x:v>42979</x:v>
      </x:c>
    </x:row>
    <x:row r="4468" ht="18" customHeight="1">
      <x:c r="A4468" t="str">
        <x:v>US-2017-125717</x:v>
      </x:c>
      <x:c r="B4468" s="18" t="n">
        <x:v>43006</x:v>
      </x:c>
      <x:c r="C4468" t="str">
        <x:v>DS-13030</x:v>
      </x:c>
      <x:c r="D4468" t="str">
        <x:v>Darrin Sayre</x:v>
      </x:c>
      <x:c r="E4468" t="str">
        <x:v>Home Office</x:v>
      </x:c>
      <x:c r="F4468" t="str">
        <x:v>West</x:v>
      </x:c>
      <x:c r="G4468" t="str">
        <x:v>Office Supplies</x:v>
      </x:c>
      <x:c r="H4468" t="str">
        <x:v>Paper</x:v>
      </x:c>
      <x:c r="I4468" s="22" t="n">
        <x:v>14.352000000000002</x:v>
      </x:c>
      <x:c r="J4468" s="24" t="n">
        <x:v>3</x:v>
      </x:c>
      <x:c r="K4468" s="26" t="n">
        <x:v>0.2</x:v>
      </x:c>
      <x:c r="L4468" s="22" t="n">
        <x:v>5.2026</x:v>
      </x:c>
      <x:c r="M4468" t="n">
        <x:v>2017</x:v>
      </x:c>
      <x:c r="N4468" s="20" t="n">
        <x:v>42979</x:v>
      </x:c>
    </x:row>
    <x:row r="4469" ht="18" customHeight="1">
      <x:c r="A4469" t="str">
        <x:v>US-2017-125717</x:v>
      </x:c>
      <x:c r="B4469" s="18" t="n">
        <x:v>43006</x:v>
      </x:c>
      <x:c r="C4469" t="str">
        <x:v>DS-13030</x:v>
      </x:c>
      <x:c r="D4469" t="str">
        <x:v>Darrin Sayre</x:v>
      </x:c>
      <x:c r="E4469" t="str">
        <x:v>Home Office</x:v>
      </x:c>
      <x:c r="F4469" t="str">
        <x:v>West</x:v>
      </x:c>
      <x:c r="G4469" t="str">
        <x:v>Office Supplies</x:v>
      </x:c>
      <x:c r="H4469" t="str">
        <x:v>Appliances</x:v>
      </x:c>
      <x:c r="I4469" s="22" t="n">
        <x:v>209.79200000000003</x:v>
      </x:c>
      <x:c r="J4469" s="24" t="n">
        <x:v>2</x:v>
      </x:c>
      <x:c r="K4469" s="26" t="n">
        <x:v>0.2</x:v>
      </x:c>
      <x:c r="L4469" s="22" t="n">
        <x:v>26.22399999999999</x:v>
      </x:c>
      <x:c r="M4469" t="n">
        <x:v>2017</x:v>
      </x:c>
      <x:c r="N4469" s="20" t="n">
        <x:v>42979</x:v>
      </x:c>
    </x:row>
    <x:row r="4470" ht="18" customHeight="1">
      <x:c r="A4470" t="str">
        <x:v>CA-2015-163895</x:v>
      </x:c>
      <x:c r="B4470" s="18" t="n">
        <x:v>42223</x:v>
      </x:c>
      <x:c r="C4470" t="str">
        <x:v>NS-18640</x:v>
      </x:c>
      <x:c r="D4470" t="str">
        <x:v>Noel Staavos</x:v>
      </x:c>
      <x:c r="E4470" t="str">
        <x:v>Corporate</x:v>
      </x:c>
      <x:c r="F4470" t="str">
        <x:v>West</x:v>
      </x:c>
      <x:c r="G4470" t="str">
        <x:v>Office Supplies</x:v>
      </x:c>
      <x:c r="H4470" t="str">
        <x:v>Binders</x:v>
      </x:c>
      <x:c r="I4470" s="22" t="n">
        <x:v>3.3040000000000003</x:v>
      </x:c>
      <x:c r="J4470" s="24" t="n">
        <x:v>1</x:v>
      </x:c>
      <x:c r="K4470" s="26" t="n">
        <x:v>0.2</x:v>
      </x:c>
      <x:c r="L4470" s="22" t="n">
        <x:v>1.1151</x:v>
      </x:c>
      <x:c r="M4470" t="n">
        <x:v>2015</x:v>
      </x:c>
      <x:c r="N4470" s="20" t="n">
        <x:v>42217</x:v>
      </x:c>
    </x:row>
    <x:row r="4471" ht="18" customHeight="1">
      <x:c r="A4471" t="str">
        <x:v>CA-2017-168641</x:v>
      </x:c>
      <x:c r="B4471" s="18" t="n">
        <x:v>43063</x:v>
      </x:c>
      <x:c r="C4471" t="str">
        <x:v>KA-16525</x:v>
      </x:c>
      <x:c r="D4471" t="str">
        <x:v>Kelly Andreada</x:v>
      </x:c>
      <x:c r="E4471" t="str">
        <x:v>Consumer</x:v>
      </x:c>
      <x:c r="F4471" t="str">
        <x:v>East</x:v>
      </x:c>
      <x:c r="G4471" t="str">
        <x:v>Office Supplies</x:v>
      </x:c>
      <x:c r="H4471" t="str">
        <x:v>Art</x:v>
      </x:c>
      <x:c r="I4471" s="22" t="n">
        <x:v>16.38</x:v>
      </x:c>
      <x:c r="J4471" s="24" t="n">
        <x:v>9</x:v>
      </x:c>
      <x:c r="K4471" s="26" t="n">
        <x:v>0</x:v>
      </x:c>
      <x:c r="L4471" s="22" t="n">
        <x:v>7.3709999999999996</x:v>
      </x:c>
      <x:c r="M4471" t="n">
        <x:v>2017</x:v>
      </x:c>
      <x:c r="N4471" s="20" t="n">
        <x:v>43040</x:v>
      </x:c>
    </x:row>
    <x:row r="4472" ht="18" customHeight="1">
      <x:c r="A4472" t="str">
        <x:v>CA-2017-168641</x:v>
      </x:c>
      <x:c r="B4472" s="18" t="n">
        <x:v>43063</x:v>
      </x:c>
      <x:c r="C4472" t="str">
        <x:v>KA-16525</x:v>
      </x:c>
      <x:c r="D4472" t="str">
        <x:v>Kelly Andreada</x:v>
      </x:c>
      <x:c r="E4472" t="str">
        <x:v>Consumer</x:v>
      </x:c>
      <x:c r="F4472" t="str">
        <x:v>East</x:v>
      </x:c>
      <x:c r="G4472" t="str">
        <x:v>Office Supplies</x:v>
      </x:c>
      <x:c r="H4472" t="str">
        <x:v>Envelopes</x:v>
      </x:c>
      <x:c r="I4472" s="22" t="n">
        <x:v>167.96</x:v>
      </x:c>
      <x:c r="J4472" s="24" t="n">
        <x:v>2</x:v>
      </x:c>
      <x:c r="K4472" s="26" t="n">
        <x:v>0</x:v>
      </x:c>
      <x:c r="L4472" s="22" t="n">
        <x:v>78.9412</x:v>
      </x:c>
      <x:c r="M4472" t="n">
        <x:v>2017</x:v>
      </x:c>
      <x:c r="N4472" s="20" t="n">
        <x:v>43040</x:v>
      </x:c>
    </x:row>
    <x:row r="4473" ht="18" customHeight="1">
      <x:c r="A4473" t="str">
        <x:v>CA-2017-168641</x:v>
      </x:c>
      <x:c r="B4473" s="18" t="n">
        <x:v>43063</x:v>
      </x:c>
      <x:c r="C4473" t="str">
        <x:v>KA-16525</x:v>
      </x:c>
      <x:c r="D4473" t="str">
        <x:v>Kelly Andreada</x:v>
      </x:c>
      <x:c r="E4473" t="str">
        <x:v>Consumer</x:v>
      </x:c>
      <x:c r="F4473" t="str">
        <x:v>East</x:v>
      </x:c>
      <x:c r="G4473" t="str">
        <x:v>Furniture</x:v>
      </x:c>
      <x:c r="H4473" t="str">
        <x:v>Bookcases</x:v>
      </x:c>
      <x:c r="I4473" s="22" t="n">
        <x:v>321.568</x:v>
      </x:c>
      <x:c r="J4473" s="24" t="n">
        <x:v>2</x:v>
      </x:c>
      <x:c r="K4473" s="26" t="n">
        <x:v>0.2</x:v>
      </x:c>
      <x:c r="L4473" s="22" t="n">
        <x:v>-16.078399999999988</x:v>
      </x:c>
      <x:c r="M4473" t="n">
        <x:v>2017</x:v>
      </x:c>
      <x:c r="N4473" s="20" t="n">
        <x:v>43040</x:v>
      </x:c>
    </x:row>
    <x:row r="4474" ht="18" customHeight="1">
      <x:c r="A4474" t="str">
        <x:v>CA-2017-168641</x:v>
      </x:c>
      <x:c r="B4474" s="18" t="n">
        <x:v>43063</x:v>
      </x:c>
      <x:c r="C4474" t="str">
        <x:v>KA-16525</x:v>
      </x:c>
      <x:c r="D4474" t="str">
        <x:v>Kelly Andreada</x:v>
      </x:c>
      <x:c r="E4474" t="str">
        <x:v>Consumer</x:v>
      </x:c>
      <x:c r="F4474" t="str">
        <x:v>East</x:v>
      </x:c>
      <x:c r="G4474" t="str">
        <x:v>Office Supplies</x:v>
      </x:c>
      <x:c r="H4474" t="str">
        <x:v>Paper</x:v>
      </x:c>
      <x:c r="I4474" s="22" t="n">
        <x:v>12.96</x:v>
      </x:c>
      <x:c r="J4474" s="24" t="n">
        <x:v>2</x:v>
      </x:c>
      <x:c r="K4474" s="26" t="n">
        <x:v>0</x:v>
      </x:c>
      <x:c r="L4474" s="22" t="n">
        <x:v>6.2208000000000006</x:v>
      </x:c>
      <x:c r="M4474" t="n">
        <x:v>2017</x:v>
      </x:c>
      <x:c r="N4474" s="20" t="n">
        <x:v>43040</x:v>
      </x:c>
    </x:row>
    <x:row r="4475" ht="18" customHeight="1">
      <x:c r="A4475" t="str">
        <x:v>CA-2017-156895</x:v>
      </x:c>
      <x:c r="B4475" s="18" t="n">
        <x:v>42863</x:v>
      </x:c>
      <x:c r="C4475" t="str">
        <x:v>DJ-13510</x:v>
      </x:c>
      <x:c r="D4475" t="str">
        <x:v>Don Jones</x:v>
      </x:c>
      <x:c r="E4475" t="str">
        <x:v>Corporate</x:v>
      </x:c>
      <x:c r="F4475" t="str">
        <x:v>East</x:v>
      </x:c>
      <x:c r="G4475" t="str">
        <x:v>Furniture</x:v>
      </x:c>
      <x:c r="H4475" t="str">
        <x:v>Chairs</x:v>
      </x:c>
      <x:c r="I4475" s="22" t="n">
        <x:v>128.058</x:v>
      </x:c>
      <x:c r="J4475" s="24" t="n">
        <x:v>3</x:v>
      </x:c>
      <x:c r="K4475" s="26" t="n">
        <x:v>0.3</x:v>
      </x:c>
      <x:c r="L4475" s="22" t="n">
        <x:v>-23.782199999999996</x:v>
      </x:c>
      <x:c r="M4475" t="n">
        <x:v>2017</x:v>
      </x:c>
      <x:c r="N4475" s="20" t="n">
        <x:v>42856</x:v>
      </x:c>
    </x:row>
    <x:row r="4476" ht="18" customHeight="1">
      <x:c r="A4476" t="str">
        <x:v>CA-2017-121300</x:v>
      </x:c>
      <x:c r="B4476" s="18" t="n">
        <x:v>43007</x:v>
      </x:c>
      <x:c r="C4476" t="str">
        <x:v>MG-17680</x:v>
      </x:c>
      <x:c r="D4476" t="str">
        <x:v>Maureen Gastineau</x:v>
      </x:c>
      <x:c r="E4476" t="str">
        <x:v>Home Office</x:v>
      </x:c>
      <x:c r="F4476" t="str">
        <x:v>East</x:v>
      </x:c>
      <x:c r="G4476" t="str">
        <x:v>Furniture</x:v>
      </x:c>
      <x:c r="H4476" t="str">
        <x:v>Chairs</x:v>
      </x:c>
      <x:c r="I4476" s="22" t="n">
        <x:v>63.686</x:v>
      </x:c>
      <x:c r="J4476" s="24" t="n">
        <x:v>1</x:v>
      </x:c>
      <x:c r="K4476" s="26" t="n">
        <x:v>0.3</x:v>
      </x:c>
      <x:c r="L4476" s="22" t="n">
        <x:v>-15.466600000000003</x:v>
      </x:c>
      <x:c r="M4476" t="n">
        <x:v>2017</x:v>
      </x:c>
      <x:c r="N4476" s="20" t="n">
        <x:v>42979</x:v>
      </x:c>
    </x:row>
    <x:row r="4477" ht="18" customHeight="1">
      <x:c r="A4477" t="str">
        <x:v>CA-2017-121300</x:v>
      </x:c>
      <x:c r="B4477" s="18" t="n">
        <x:v>43007</x:v>
      </x:c>
      <x:c r="C4477" t="str">
        <x:v>MG-17680</x:v>
      </x:c>
      <x:c r="D4477" t="str">
        <x:v>Maureen Gastineau</x:v>
      </x:c>
      <x:c r="E4477" t="str">
        <x:v>Home Office</x:v>
      </x:c>
      <x:c r="F4477" t="str">
        <x:v>East</x:v>
      </x:c>
      <x:c r="G4477" t="str">
        <x:v>Technology</x:v>
      </x:c>
      <x:c r="H4477" t="str">
        <x:v>Accessories</x:v>
      </x:c>
      <x:c r="I4477" s="22" t="n">
        <x:v>239.976</x:v>
      </x:c>
      <x:c r="J4477" s="24" t="n">
        <x:v>3</x:v>
      </x:c>
      <x:c r="K4477" s="26" t="n">
        <x:v>0.2</x:v>
      </x:c>
      <x:c r="L4477" s="22" t="n">
        <x:v>65.99340000000001</x:v>
      </x:c>
      <x:c r="M4477" t="n">
        <x:v>2017</x:v>
      </x:c>
      <x:c r="N4477" s="20" t="n">
        <x:v>42979</x:v>
      </x:c>
    </x:row>
    <x:row r="4478" ht="18" customHeight="1">
      <x:c r="A4478" t="str">
        <x:v>CA-2017-121300</x:v>
      </x:c>
      <x:c r="B4478" s="18" t="n">
        <x:v>43007</x:v>
      </x:c>
      <x:c r="C4478" t="str">
        <x:v>MG-17680</x:v>
      </x:c>
      <x:c r="D4478" t="str">
        <x:v>Maureen Gastineau</x:v>
      </x:c>
      <x:c r="E4478" t="str">
        <x:v>Home Office</x:v>
      </x:c>
      <x:c r="F4478" t="str">
        <x:v>East</x:v>
      </x:c>
      <x:c r="G4478" t="str">
        <x:v>Furniture</x:v>
      </x:c>
      <x:c r="H4478" t="str">
        <x:v>Tables</x:v>
      </x:c>
      <x:c r="I4478" s="22" t="n">
        <x:v>344.22</x:v>
      </x:c>
      <x:c r="J4478" s="24" t="n">
        <x:v>2</x:v>
      </x:c>
      <x:c r="K4478" s="26" t="n">
        <x:v>0.4</x:v>
      </x:c>
      <x:c r="L4478" s="22" t="n">
        <x:v>-189.32100000000003</x:v>
      </x:c>
      <x:c r="M4478" t="n">
        <x:v>2017</x:v>
      </x:c>
      <x:c r="N4478" s="20" t="n">
        <x:v>42979</x:v>
      </x:c>
    </x:row>
    <x:row r="4479" ht="18" customHeight="1">
      <x:c r="A4479" t="str">
        <x:v>CA-2017-121300</x:v>
      </x:c>
      <x:c r="B4479" s="18" t="n">
        <x:v>43007</x:v>
      </x:c>
      <x:c r="C4479" t="str">
        <x:v>MG-17680</x:v>
      </x:c>
      <x:c r="D4479" t="str">
        <x:v>Maureen Gastineau</x:v>
      </x:c>
      <x:c r="E4479" t="str">
        <x:v>Home Office</x:v>
      </x:c>
      <x:c r="F4479" t="str">
        <x:v>East</x:v>
      </x:c>
      <x:c r="G4479" t="str">
        <x:v>Office Supplies</x:v>
      </x:c>
      <x:c r="H4479" t="str">
        <x:v>Paper</x:v>
      </x:c>
      <x:c r="I4479" s="22" t="n">
        <x:v>15.552000000000003</x:v>
      </x:c>
      <x:c r="J4479" s="24" t="n">
        <x:v>3</x:v>
      </x:c>
      <x:c r="K4479" s="26" t="n">
        <x:v>0.2</x:v>
      </x:c>
      <x:c r="L4479" s="22" t="n">
        <x:v>5.4432</x:v>
      </x:c>
      <x:c r="M4479" t="n">
        <x:v>2017</x:v>
      </x:c>
      <x:c r="N4479" s="20" t="n">
        <x:v>42979</x:v>
      </x:c>
    </x:row>
    <x:row r="4480" ht="18" customHeight="1">
      <x:c r="A4480" t="str">
        <x:v>CA-2017-121300</x:v>
      </x:c>
      <x:c r="B4480" s="18" t="n">
        <x:v>43007</x:v>
      </x:c>
      <x:c r="C4480" t="str">
        <x:v>MG-17680</x:v>
      </x:c>
      <x:c r="D4480" t="str">
        <x:v>Maureen Gastineau</x:v>
      </x:c>
      <x:c r="E4480" t="str">
        <x:v>Home Office</x:v>
      </x:c>
      <x:c r="F4480" t="str">
        <x:v>East</x:v>
      </x:c>
      <x:c r="G4480" t="str">
        <x:v>Furniture</x:v>
      </x:c>
      <x:c r="H4480" t="str">
        <x:v>Furnishings</x:v>
      </x:c>
      <x:c r="I4480" s="22" t="n">
        <x:v>21.248</x:v>
      </x:c>
      <x:c r="J4480" s="24" t="n">
        <x:v>4</x:v>
      </x:c>
      <x:c r="K4480" s="26" t="n">
        <x:v>0.2</x:v>
      </x:c>
      <x:c r="L4480" s="22" t="n">
        <x:v>7.436799999999999</x:v>
      </x:c>
      <x:c r="M4480" t="n">
        <x:v>2017</x:v>
      </x:c>
      <x:c r="N4480" s="20" t="n">
        <x:v>42979</x:v>
      </x:c>
    </x:row>
    <x:row r="4481" ht="18" customHeight="1">
      <x:c r="A4481" t="str">
        <x:v>CA-2017-121300</x:v>
      </x:c>
      <x:c r="B4481" s="18" t="n">
        <x:v>43007</x:v>
      </x:c>
      <x:c r="C4481" t="str">
        <x:v>MG-17680</x:v>
      </x:c>
      <x:c r="D4481" t="str">
        <x:v>Maureen Gastineau</x:v>
      </x:c>
      <x:c r="E4481" t="str">
        <x:v>Home Office</x:v>
      </x:c>
      <x:c r="F4481" t="str">
        <x:v>East</x:v>
      </x:c>
      <x:c r="G4481" t="str">
        <x:v>Office Supplies</x:v>
      </x:c>
      <x:c r="H4481" t="str">
        <x:v>Paper</x:v>
      </x:c>
      <x:c r="I4481" s="22" t="n">
        <x:v>8.448</x:v>
      </x:c>
      <x:c r="J4481" s="24" t="n">
        <x:v>2</x:v>
      </x:c>
      <x:c r="K4481" s="26" t="n">
        <x:v>0.2</x:v>
      </x:c>
      <x:c r="L4481" s="22" t="n">
        <x:v>2.6399999999999997</x:v>
      </x:c>
      <x:c r="M4481" t="n">
        <x:v>2017</x:v>
      </x:c>
      <x:c r="N4481" s="20" t="n">
        <x:v>42979</x:v>
      </x:c>
    </x:row>
    <x:row r="4482" ht="18" customHeight="1">
      <x:c r="A4482" t="str">
        <x:v>CA-2017-130211</x:v>
      </x:c>
      <x:c r="B4482" s="18" t="n">
        <x:v>43030</x:v>
      </x:c>
      <x:c r="C4482" t="str">
        <x:v>BD-11620</x:v>
      </x:c>
      <x:c r="D4482" t="str">
        <x:v>Brian DeCherney</x:v>
      </x:c>
      <x:c r="E4482" t="str">
        <x:v>Consumer</x:v>
      </x:c>
      <x:c r="F4482" t="str">
        <x:v>Central</x:v>
      </x:c>
      <x:c r="G4482" t="str">
        <x:v>Office Supplies</x:v>
      </x:c>
      <x:c r="H4482" t="str">
        <x:v>Storage</x:v>
      </x:c>
      <x:c r="I4482" s="22" t="n">
        <x:v>333.09000000000003</x:v>
      </x:c>
      <x:c r="J4482" s="24" t="n">
        <x:v>3</x:v>
      </x:c>
      <x:c r="K4482" s="26" t="n">
        <x:v>0</x:v>
      </x:c>
      <x:c r="L4482" s="22" t="n">
        <x:v>23.316299999999984</x:v>
      </x:c>
      <x:c r="M4482" t="n">
        <x:v>2017</x:v>
      </x:c>
      <x:c r="N4482" s="20" t="n">
        <x:v>43009</x:v>
      </x:c>
    </x:row>
    <x:row r="4483" ht="18" customHeight="1">
      <x:c r="A4483" t="str">
        <x:v>CA-2017-130211</x:v>
      </x:c>
      <x:c r="B4483" s="18" t="n">
        <x:v>43030</x:v>
      </x:c>
      <x:c r="C4483" t="str">
        <x:v>BD-11620</x:v>
      </x:c>
      <x:c r="D4483" t="str">
        <x:v>Brian DeCherney</x:v>
      </x:c>
      <x:c r="E4483" t="str">
        <x:v>Consumer</x:v>
      </x:c>
      <x:c r="F4483" t="str">
        <x:v>Central</x:v>
      </x:c>
      <x:c r="G4483" t="str">
        <x:v>Furniture</x:v>
      </x:c>
      <x:c r="H4483" t="str">
        <x:v>Tables</x:v>
      </x:c>
      <x:c r="I4483" s="22" t="n">
        <x:v>248.98</x:v>
      </x:c>
      <x:c r="J4483" s="24" t="n">
        <x:v>2</x:v>
      </x:c>
      <x:c r="K4483" s="26" t="n">
        <x:v>0</x:v>
      </x:c>
      <x:c r="L4483" s="22" t="n">
        <x:v>54.7756</x:v>
      </x:c>
      <x:c r="M4483" t="n">
        <x:v>2017</x:v>
      </x:c>
      <x:c r="N4483" s="20" t="n">
        <x:v>43009</x:v>
      </x:c>
    </x:row>
    <x:row r="4484" ht="18" customHeight="1">
      <x:c r="A4484" t="str">
        <x:v>CA-2014-147235</x:v>
      </x:c>
      <x:c r="B4484" s="18" t="n">
        <x:v>41722</x:v>
      </x:c>
      <x:c r="C4484" t="str">
        <x:v>CD-11920</x:v>
      </x:c>
      <x:c r="D4484" t="str">
        <x:v>Carlos Daly</x:v>
      </x:c>
      <x:c r="E4484" t="str">
        <x:v>Consumer</x:v>
      </x:c>
      <x:c r="F4484" t="str">
        <x:v>East</x:v>
      </x:c>
      <x:c r="G4484" t="str">
        <x:v>Office Supplies</x:v>
      </x:c>
      <x:c r="H4484" t="str">
        <x:v>Paper</x:v>
      </x:c>
      <x:c r="I4484" s="22" t="n">
        <x:v>24.900000000000002</x:v>
      </x:c>
      <x:c r="J4484" s="24" t="n">
        <x:v>5</x:v>
      </x:c>
      <x:c r="K4484" s="26" t="n">
        <x:v>0</x:v>
      </x:c>
      <x:c r="L4484" s="22" t="n">
        <x:v>11.703000000000001</x:v>
      </x:c>
      <x:c r="M4484" t="n">
        <x:v>2014</x:v>
      </x:c>
      <x:c r="N4484" s="20" t="n">
        <x:v>41699</x:v>
      </x:c>
    </x:row>
    <x:row r="4485" ht="18" customHeight="1">
      <x:c r="A4485" t="str">
        <x:v>CA-2016-109365</x:v>
      </x:c>
      <x:c r="B4485" s="18" t="n">
        <x:v>42677</x:v>
      </x:c>
      <x:c r="C4485" t="str">
        <x:v>XP-21865</x:v>
      </x:c>
      <x:c r="D4485" t="str">
        <x:v>Xylona Preis</x:v>
      </x:c>
      <x:c r="E4485" t="str">
        <x:v>Consumer</x:v>
      </x:c>
      <x:c r="F4485" t="str">
        <x:v>West</x:v>
      </x:c>
      <x:c r="G4485" t="str">
        <x:v>Office Supplies</x:v>
      </x:c>
      <x:c r="H4485" t="str">
        <x:v>Fasteners</x:v>
      </x:c>
      <x:c r="I4485" s="22" t="n">
        <x:v>15.260000000000002</x:v>
      </x:c>
      <x:c r="J4485" s="24" t="n">
        <x:v>7</x:v>
      </x:c>
      <x:c r="K4485" s="26" t="n">
        <x:v>0</x:v>
      </x:c>
      <x:c r="L4485" s="22" t="n">
        <x:v>5.0358</x:v>
      </x:c>
      <x:c r="M4485" t="n">
        <x:v>2016</x:v>
      </x:c>
      <x:c r="N4485" s="20" t="n">
        <x:v>42675</x:v>
      </x:c>
    </x:row>
    <x:row r="4486" ht="18" customHeight="1">
      <x:c r="A4486" t="str">
        <x:v>CA-2016-109365</x:v>
      </x:c>
      <x:c r="B4486" s="18" t="n">
        <x:v>42677</x:v>
      </x:c>
      <x:c r="C4486" t="str">
        <x:v>XP-21865</x:v>
      </x:c>
      <x:c r="D4486" t="str">
        <x:v>Xylona Preis</x:v>
      </x:c>
      <x:c r="E4486" t="str">
        <x:v>Consumer</x:v>
      </x:c>
      <x:c r="F4486" t="str">
        <x:v>West</x:v>
      </x:c>
      <x:c r="G4486" t="str">
        <x:v>Office Supplies</x:v>
      </x:c>
      <x:c r="H4486" t="str">
        <x:v>Appliances</x:v>
      </x:c>
      <x:c r="I4486" s="22" t="n">
        <x:v>43.32</x:v>
      </x:c>
      <x:c r="J4486" s="24" t="n">
        <x:v>2</x:v>
      </x:c>
      <x:c r="K4486" s="26" t="n">
        <x:v>0</x:v>
      </x:c>
      <x:c r="L4486" s="22" t="n">
        <x:v>14.295599999999997</x:v>
      </x:c>
      <x:c r="M4486" t="n">
        <x:v>2016</x:v>
      </x:c>
      <x:c r="N4486" s="20" t="n">
        <x:v>42675</x:v>
      </x:c>
    </x:row>
    <x:row r="4487" ht="18" customHeight="1">
      <x:c r="A4487" t="str">
        <x:v>CA-2016-109365</x:v>
      </x:c>
      <x:c r="B4487" s="18" t="n">
        <x:v>42677</x:v>
      </x:c>
      <x:c r="C4487" t="str">
        <x:v>XP-21865</x:v>
      </x:c>
      <x:c r="D4487" t="str">
        <x:v>Xylona Preis</x:v>
      </x:c>
      <x:c r="E4487" t="str">
        <x:v>Consumer</x:v>
      </x:c>
      <x:c r="F4487" t="str">
        <x:v>West</x:v>
      </x:c>
      <x:c r="G4487" t="str">
        <x:v>Office Supplies</x:v>
      </x:c>
      <x:c r="H4487" t="str">
        <x:v>Binders</x:v>
      </x:c>
      <x:c r="I4487" s="22" t="n">
        <x:v>43.584</x:v>
      </x:c>
      <x:c r="J4487" s="24" t="n">
        <x:v>12</x:v>
      </x:c>
      <x:c r="K4487" s="26" t="n">
        <x:v>0.2</x:v>
      </x:c>
      <x:c r="L4487" s="22" t="n">
        <x:v>15.799199999999999</x:v>
      </x:c>
      <x:c r="M4487" t="n">
        <x:v>2016</x:v>
      </x:c>
      <x:c r="N4487" s="20" t="n">
        <x:v>42675</x:v>
      </x:c>
    </x:row>
    <x:row r="4488" ht="18" customHeight="1">
      <x:c r="A4488" t="str">
        <x:v>CA-2016-109365</x:v>
      </x:c>
      <x:c r="B4488" s="18" t="n">
        <x:v>42677</x:v>
      </x:c>
      <x:c r="C4488" t="str">
        <x:v>XP-21865</x:v>
      </x:c>
      <x:c r="D4488" t="str">
        <x:v>Xylona Preis</x:v>
      </x:c>
      <x:c r="E4488" t="str">
        <x:v>Consumer</x:v>
      </x:c>
      <x:c r="F4488" t="str">
        <x:v>West</x:v>
      </x:c>
      <x:c r="G4488" t="str">
        <x:v>Office Supplies</x:v>
      </x:c>
      <x:c r="H4488" t="str">
        <x:v>Paper</x:v>
      </x:c>
      <x:c r="I4488" s="22" t="n">
        <x:v>116.28</x:v>
      </x:c>
      <x:c r="J4488" s="24" t="n">
        <x:v>3</x:v>
      </x:c>
      <x:c r="K4488" s="26" t="n">
        <x:v>0</x:v>
      </x:c>
      <x:c r="L4488" s="22" t="n">
        <x:v>56.977199999999996</x:v>
      </x:c>
      <x:c r="M4488" t="n">
        <x:v>2016</x:v>
      </x:c>
      <x:c r="N4488" s="20" t="n">
        <x:v>42675</x:v>
      </x:c>
    </x:row>
    <x:row r="4489" ht="18" customHeight="1">
      <x:c r="A4489" t="str">
        <x:v>CA-2016-109365</x:v>
      </x:c>
      <x:c r="B4489" s="18" t="n">
        <x:v>42677</x:v>
      </x:c>
      <x:c r="C4489" t="str">
        <x:v>XP-21865</x:v>
      </x:c>
      <x:c r="D4489" t="str">
        <x:v>Xylona Preis</x:v>
      </x:c>
      <x:c r="E4489" t="str">
        <x:v>Consumer</x:v>
      </x:c>
      <x:c r="F4489" t="str">
        <x:v>West</x:v>
      </x:c>
      <x:c r="G4489" t="str">
        <x:v>Office Supplies</x:v>
      </x:c>
      <x:c r="H4489" t="str">
        <x:v>Binders</x:v>
      </x:c>
      <x:c r="I4489" s="22" t="n">
        <x:v>9.296</x:v>
      </x:c>
      <x:c r="J4489" s="24" t="n">
        <x:v>2</x:v>
      </x:c>
      <x:c r="K4489" s="26" t="n">
        <x:v>0.2</x:v>
      </x:c>
      <x:c r="L4489" s="22" t="n">
        <x:v>3.0211999999999994</x:v>
      </x:c>
      <x:c r="M4489" t="n">
        <x:v>2016</x:v>
      </x:c>
      <x:c r="N4489" s="20" t="n">
        <x:v>42675</x:v>
      </x:c>
    </x:row>
    <x:row r="4490" ht="18" customHeight="1">
      <x:c r="A4490" t="str">
        <x:v>CA-2016-109365</x:v>
      </x:c>
      <x:c r="B4490" s="18" t="n">
        <x:v>42677</x:v>
      </x:c>
      <x:c r="C4490" t="str">
        <x:v>XP-21865</x:v>
      </x:c>
      <x:c r="D4490" t="str">
        <x:v>Xylona Preis</x:v>
      </x:c>
      <x:c r="E4490" t="str">
        <x:v>Consumer</x:v>
      </x:c>
      <x:c r="F4490" t="str">
        <x:v>West</x:v>
      </x:c>
      <x:c r="G4490" t="str">
        <x:v>Office Supplies</x:v>
      </x:c>
      <x:c r="H4490" t="str">
        <x:v>Paper</x:v>
      </x:c>
      <x:c r="I4490" s="22" t="n">
        <x:v>19.44</x:v>
      </x:c>
      <x:c r="J4490" s="24" t="n">
        <x:v>3</x:v>
      </x:c>
      <x:c r="K4490" s="26" t="n">
        <x:v>0</x:v>
      </x:c>
      <x:c r="L4490" s="22" t="n">
        <x:v>9.3312</x:v>
      </x:c>
      <x:c r="M4490" t="n">
        <x:v>2016</x:v>
      </x:c>
      <x:c r="N4490" s="20" t="n">
        <x:v>42675</x:v>
      </x:c>
    </x:row>
    <x:row r="4491" ht="18" customHeight="1">
      <x:c r="A4491" t="str">
        <x:v>CA-2016-109365</x:v>
      </x:c>
      <x:c r="B4491" s="18" t="n">
        <x:v>42677</x:v>
      </x:c>
      <x:c r="C4491" t="str">
        <x:v>XP-21865</x:v>
      </x:c>
      <x:c r="D4491" t="str">
        <x:v>Xylona Preis</x:v>
      </x:c>
      <x:c r="E4491" t="str">
        <x:v>Consumer</x:v>
      </x:c>
      <x:c r="F4491" t="str">
        <x:v>West</x:v>
      </x:c>
      <x:c r="G4491" t="str">
        <x:v>Office Supplies</x:v>
      </x:c>
      <x:c r="H4491" t="str">
        <x:v>Paper</x:v>
      </x:c>
      <x:c r="I4491" s="22" t="n">
        <x:v>314.54999999999995</x:v>
      </x:c>
      <x:c r="J4491" s="24" t="n">
        <x:v>3</x:v>
      </x:c>
      <x:c r="K4491" s="26" t="n">
        <x:v>0</x:v>
      </x:c>
      <x:c r="L4491" s="22" t="n">
        <x:v>150.98399999999998</x:v>
      </x:c>
      <x:c r="M4491" t="n">
        <x:v>2016</x:v>
      </x:c>
      <x:c r="N4491" s="20" t="n">
        <x:v>42675</x:v>
      </x:c>
    </x:row>
    <x:row r="4492" ht="18" customHeight="1">
      <x:c r="A4492" t="str">
        <x:v>CA-2015-162621</x:v>
      </x:c>
      <x:c r="B4492" s="18" t="n">
        <x:v>42252</x:v>
      </x:c>
      <x:c r="C4492" t="str">
        <x:v>CA-12055</x:v>
      </x:c>
      <x:c r="D4492" t="str">
        <x:v>Cathy Armstrong</x:v>
      </x:c>
      <x:c r="E4492" t="str">
        <x:v>Home Office</x:v>
      </x:c>
      <x:c r="F4492" t="str">
        <x:v>Central</x:v>
      </x:c>
      <x:c r="G4492" t="str">
        <x:v>Office Supplies</x:v>
      </x:c>
      <x:c r="H4492" t="str">
        <x:v>Binders</x:v>
      </x:c>
      <x:c r="I4492" s="22" t="n">
        <x:v>16.269999999999996</x:v>
      </x:c>
      <x:c r="J4492" s="24" t="n">
        <x:v>5</x:v>
      </x:c>
      <x:c r="K4492" s="26" t="n">
        <x:v>0.8</x:v>
      </x:c>
      <x:c r="L4492" s="22" t="n">
        <x:v>-25.218500000000006</x:v>
      </x:c>
      <x:c r="M4492" t="n">
        <x:v>2015</x:v>
      </x:c>
      <x:c r="N4492" s="20" t="n">
        <x:v>42248</x:v>
      </x:c>
    </x:row>
    <x:row r="4493" ht="18" customHeight="1">
      <x:c r="A4493" t="str">
        <x:v>CA-2015-162621</x:v>
      </x:c>
      <x:c r="B4493" s="18" t="n">
        <x:v>42252</x:v>
      </x:c>
      <x:c r="C4493" t="str">
        <x:v>CA-12055</x:v>
      </x:c>
      <x:c r="D4493" t="str">
        <x:v>Cathy Armstrong</x:v>
      </x:c>
      <x:c r="E4493" t="str">
        <x:v>Home Office</x:v>
      </x:c>
      <x:c r="F4493" t="str">
        <x:v>Central</x:v>
      </x:c>
      <x:c r="G4493" t="str">
        <x:v>Office Supplies</x:v>
      </x:c>
      <x:c r="H4493" t="str">
        <x:v>Supplies</x:v>
      </x:c>
      <x:c r="I4493" s="22" t="n">
        <x:v>69.12</x:v>
      </x:c>
      <x:c r="J4493" s="24" t="n">
        <x:v>9</x:v>
      </x:c>
      <x:c r="K4493" s="26" t="n">
        <x:v>0.2</x:v>
      </x:c>
      <x:c r="L4493" s="22" t="n">
        <x:v>-14.687999999999999</x:v>
      </x:c>
      <x:c r="M4493" t="n">
        <x:v>2015</x:v>
      </x:c>
      <x:c r="N4493" s="20" t="n">
        <x:v>42248</x:v>
      </x:c>
    </x:row>
    <x:row r="4494" ht="18" customHeight="1">
      <x:c r="A4494" t="str">
        <x:v>CA-2015-162621</x:v>
      </x:c>
      <x:c r="B4494" s="18" t="n">
        <x:v>42252</x:v>
      </x:c>
      <x:c r="C4494" t="str">
        <x:v>CA-12055</x:v>
      </x:c>
      <x:c r="D4494" t="str">
        <x:v>Cathy Armstrong</x:v>
      </x:c>
      <x:c r="E4494" t="str">
        <x:v>Home Office</x:v>
      </x:c>
      <x:c r="F4494" t="str">
        <x:v>Central</x:v>
      </x:c>
      <x:c r="G4494" t="str">
        <x:v>Office Supplies</x:v>
      </x:c>
      <x:c r="H4494" t="str">
        <x:v>Binders</x:v>
      </x:c>
      <x:c r="I4494" s="22" t="n">
        <x:v>4.469999999999999</x:v>
      </x:c>
      <x:c r="J4494" s="24" t="n">
        <x:v>3</x:v>
      </x:c>
      <x:c r="K4494" s="26" t="n">
        <x:v>0.8</x:v>
      </x:c>
      <x:c r="L4494" s="22" t="n">
        <x:v>-7.822500000000002</x:v>
      </x:c>
      <x:c r="M4494" t="n">
        <x:v>2015</x:v>
      </x:c>
      <x:c r="N4494" s="20" t="n">
        <x:v>42248</x:v>
      </x:c>
    </x:row>
    <x:row r="4495" ht="18" customHeight="1">
      <x:c r="A4495" t="str">
        <x:v>CA-2017-105921</x:v>
      </x:c>
      <x:c r="B4495" s="18" t="n">
        <x:v>42961</x:v>
      </x:c>
      <x:c r="C4495" t="str">
        <x:v>JM-15250</x:v>
      </x:c>
      <x:c r="D4495" t="str">
        <x:v>Janet Martin</x:v>
      </x:c>
      <x:c r="E4495" t="str">
        <x:v>Consumer</x:v>
      </x:c>
      <x:c r="F4495" t="str">
        <x:v>West</x:v>
      </x:c>
      <x:c r="G4495" t="str">
        <x:v>Furniture</x:v>
      </x:c>
      <x:c r="H4495" t="str">
        <x:v>Tables</x:v>
      </x:c>
      <x:c r="I4495" s="22" t="n">
        <x:v>418.29599999999994</x:v>
      </x:c>
      <x:c r="J4495" s="24" t="n">
        <x:v>3</x:v>
      </x:c>
      <x:c r="K4495" s="26" t="n">
        <x:v>0.2</x:v>
      </x:c>
      <x:c r="L4495" s="22" t="n">
        <x:v>5.2287000000000035</x:v>
      </x:c>
      <x:c r="M4495" t="n">
        <x:v>2017</x:v>
      </x:c>
      <x:c r="N4495" s="20" t="n">
        <x:v>42948</x:v>
      </x:c>
    </x:row>
    <x:row r="4496" ht="18" customHeight="1">
      <x:c r="A4496" t="str">
        <x:v>CA-2014-150798</x:v>
      </x:c>
      <x:c r="B4496" s="18" t="n">
        <x:v>41974</x:v>
      </x:c>
      <x:c r="C4496" t="str">
        <x:v>JK-15730</x:v>
      </x:c>
      <x:c r="D4496" t="str">
        <x:v>Joe Kamberova</x:v>
      </x:c>
      <x:c r="E4496" t="str">
        <x:v>Consumer</x:v>
      </x:c>
      <x:c r="F4496" t="str">
        <x:v>East</x:v>
      </x:c>
      <x:c r="G4496" t="str">
        <x:v>Technology</x:v>
      </x:c>
      <x:c r="H4496" t="str">
        <x:v>Copiers</x:v>
      </x:c>
      <x:c r="I4496" s="22" t="n">
        <x:v>659.9879999999999</x:v>
      </x:c>
      <x:c r="J4496" s="24" t="n">
        <x:v>2</x:v>
      </x:c>
      <x:c r="K4496" s="26" t="n">
        <x:v>0.4</x:v>
      </x:c>
      <x:c r="L4496" s="22" t="n">
        <x:v>109.99799999999999</x:v>
      </x:c>
      <x:c r="M4496" t="n">
        <x:v>2014</x:v>
      </x:c>
      <x:c r="N4496" s="20" t="n">
        <x:v>41974</x:v>
      </x:c>
    </x:row>
    <x:row r="4497" ht="18" customHeight="1">
      <x:c r="A4497" t="str">
        <x:v>CA-2014-150798</x:v>
      </x:c>
      <x:c r="B4497" s="18" t="n">
        <x:v>41974</x:v>
      </x:c>
      <x:c r="C4497" t="str">
        <x:v>JK-15730</x:v>
      </x:c>
      <x:c r="D4497" t="str">
        <x:v>Joe Kamberova</x:v>
      </x:c>
      <x:c r="E4497" t="str">
        <x:v>Consumer</x:v>
      </x:c>
      <x:c r="F4497" t="str">
        <x:v>East</x:v>
      </x:c>
      <x:c r="G4497" t="str">
        <x:v>Furniture</x:v>
      </x:c>
      <x:c r="H4497" t="str">
        <x:v>Furnishings</x:v>
      </x:c>
      <x:c r="I4497" s="22" t="n">
        <x:v>8.128</x:v>
      </x:c>
      <x:c r="J4497" s="24" t="n">
        <x:v>2</x:v>
      </x:c>
      <x:c r="K4497" s="26" t="n">
        <x:v>0.2</x:v>
      </x:c>
      <x:c r="L4497" s="22" t="n">
        <x:v>1.4223999999999997</x:v>
      </x:c>
      <x:c r="M4497" t="n">
        <x:v>2014</x:v>
      </x:c>
      <x:c r="N4497" s="20" t="n">
        <x:v>41974</x:v>
      </x:c>
    </x:row>
    <x:row r="4498" ht="18" customHeight="1">
      <x:c r="A4498" t="str">
        <x:v>CA-2014-150798</x:v>
      </x:c>
      <x:c r="B4498" s="18" t="n">
        <x:v>41974</x:v>
      </x:c>
      <x:c r="C4498" t="str">
        <x:v>JK-15730</x:v>
      </x:c>
      <x:c r="D4498" t="str">
        <x:v>Joe Kamberova</x:v>
      </x:c>
      <x:c r="E4498" t="str">
        <x:v>Consumer</x:v>
      </x:c>
      <x:c r="F4498" t="str">
        <x:v>East</x:v>
      </x:c>
      <x:c r="G4498" t="str">
        <x:v>Office Supplies</x:v>
      </x:c>
      <x:c r="H4498" t="str">
        <x:v>Paper</x:v>
      </x:c>
      <x:c r="I4498" s="22" t="n">
        <x:v>36.28800000000001</x:v>
      </x:c>
      <x:c r="J4498" s="24" t="n">
        <x:v>7</x:v>
      </x:c>
      <x:c r="K4498" s="26" t="n">
        <x:v>0.2</x:v>
      </x:c>
      <x:c r="L4498" s="22" t="n">
        <x:v>12.700800000000001</x:v>
      </x:c>
      <x:c r="M4498" t="n">
        <x:v>2014</x:v>
      </x:c>
      <x:c r="N4498" s="20" t="n">
        <x:v>41974</x:v>
      </x:c>
    </x:row>
    <x:row r="4499" ht="18" customHeight="1">
      <x:c r="A4499" t="str">
        <x:v>CA-2014-150798</x:v>
      </x:c>
      <x:c r="B4499" s="18" t="n">
        <x:v>41974</x:v>
      </x:c>
      <x:c r="C4499" t="str">
        <x:v>JK-15730</x:v>
      </x:c>
      <x:c r="D4499" t="str">
        <x:v>Joe Kamberova</x:v>
      </x:c>
      <x:c r="E4499" t="str">
        <x:v>Consumer</x:v>
      </x:c>
      <x:c r="F4499" t="str">
        <x:v>East</x:v>
      </x:c>
      <x:c r="G4499" t="str">
        <x:v>Furniture</x:v>
      </x:c>
      <x:c r="H4499" t="str">
        <x:v>Chairs</x:v>
      </x:c>
      <x:c r="I4499" s="22" t="n">
        <x:v>909.7199999999998</x:v>
      </x:c>
      <x:c r="J4499" s="24" t="n">
        <x:v>6</x:v>
      </x:c>
      <x:c r="K4499" s="26" t="n">
        <x:v>0.3</x:v>
      </x:c>
      <x:c r="L4499" s="22" t="n">
        <x:v>-51.983999999999924</x:v>
      </x:c>
      <x:c r="M4499" t="n">
        <x:v>2014</x:v>
      </x:c>
      <x:c r="N4499" s="20" t="n">
        <x:v>41974</x:v>
      </x:c>
    </x:row>
    <x:row r="4500" ht="18" customHeight="1">
      <x:c r="A4500" t="str">
        <x:v>CA-2017-112753</x:v>
      </x:c>
      <x:c r="B4500" s="18" t="n">
        <x:v>42904</x:v>
      </x:c>
      <x:c r="C4500" t="str">
        <x:v>CC-12670</x:v>
      </x:c>
      <x:c r="D4500" t="str">
        <x:v>Craig Carreira</x:v>
      </x:c>
      <x:c r="E4500" t="str">
        <x:v>Consumer</x:v>
      </x:c>
      <x:c r="F4500" t="str">
        <x:v>West</x:v>
      </x:c>
      <x:c r="G4500" t="str">
        <x:v>Furniture</x:v>
      </x:c>
      <x:c r="H4500" t="str">
        <x:v>Bookcases</x:v>
      </x:c>
      <x:c r="I4500" s="22" t="n">
        <x:v>917.9234999999999</x:v>
      </x:c>
      <x:c r="J4500" s="24" t="n">
        <x:v>9</x:v>
      </x:c>
      <x:c r="K4500" s="26" t="n">
        <x:v>0.15</x:v>
      </x:c>
      <x:c r="L4500" s="22" t="n">
        <x:v>75.5936999999999</x:v>
      </x:c>
      <x:c r="M4500" t="n">
        <x:v>2017</x:v>
      </x:c>
      <x:c r="N4500" s="20" t="n">
        <x:v>42887</x:v>
      </x:c>
    </x:row>
    <x:row r="4501" ht="18" customHeight="1">
      <x:c r="A4501" t="str">
        <x:v>CA-2017-112753</x:v>
      </x:c>
      <x:c r="B4501" s="18" t="n">
        <x:v>42904</x:v>
      </x:c>
      <x:c r="C4501" t="str">
        <x:v>CC-12670</x:v>
      </x:c>
      <x:c r="D4501" t="str">
        <x:v>Craig Carreira</x:v>
      </x:c>
      <x:c r="E4501" t="str">
        <x:v>Consumer</x:v>
      </x:c>
      <x:c r="F4501" t="str">
        <x:v>West</x:v>
      </x:c>
      <x:c r="G4501" t="str">
        <x:v>Office Supplies</x:v>
      </x:c>
      <x:c r="H4501" t="str">
        <x:v>Paper</x:v>
      </x:c>
      <x:c r="I4501" s="22" t="n">
        <x:v>38.88</x:v>
      </x:c>
      <x:c r="J4501" s="24" t="n">
        <x:v>6</x:v>
      </x:c>
      <x:c r="K4501" s="26" t="n">
        <x:v>0</x:v>
      </x:c>
      <x:c r="L4501" s="22" t="n">
        <x:v>19.0512</x:v>
      </x:c>
      <x:c r="M4501" t="n">
        <x:v>2017</x:v>
      </x:c>
      <x:c r="N4501" s="20" t="n">
        <x:v>42887</x:v>
      </x:c>
    </x:row>
    <x:row r="4502" ht="18" customHeight="1">
      <x:c r="A4502" t="str">
        <x:v>CA-2017-155075</x:v>
      </x:c>
      <x:c r="B4502" s="18" t="n">
        <x:v>43071</x:v>
      </x:c>
      <x:c r="C4502" t="str">
        <x:v>GW-14605</x:v>
      </x:c>
      <x:c r="D4502" t="str">
        <x:v>Giulietta Weimer</x:v>
      </x:c>
      <x:c r="E4502" t="str">
        <x:v>Consumer</x:v>
      </x:c>
      <x:c r="F4502" t="str">
        <x:v>East</x:v>
      </x:c>
      <x:c r="G4502" t="str">
        <x:v>Office Supplies</x:v>
      </x:c>
      <x:c r="H4502" t="str">
        <x:v>Binders</x:v>
      </x:c>
      <x:c r="I4502" s="22" t="n">
        <x:v>631.1760000000002</x:v>
      </x:c>
      <x:c r="J4502" s="24" t="n">
        <x:v>4</x:v>
      </x:c>
      <x:c r="K4502" s="26" t="n">
        <x:v>0.7</x:v>
      </x:c>
      <x:c r="L4502" s="22" t="n">
        <x:v>-462.8624</x:v>
      </x:c>
      <x:c r="M4502" t="n">
        <x:v>2017</x:v>
      </x:c>
      <x:c r="N4502" s="20" t="n">
        <x:v>43070</x:v>
      </x:c>
    </x:row>
    <x:row r="4503" ht="18" customHeight="1">
      <x:c r="A4503" t="str">
        <x:v>CA-2014-103401</x:v>
      </x:c>
      <x:c r="B4503" s="18" t="n">
        <x:v>41964</x:v>
      </x:c>
      <x:c r="C4503" t="str">
        <x:v>GR-14560</x:v>
      </x:c>
      <x:c r="D4503" t="str">
        <x:v>Georgia Rosenberg</x:v>
      </x:c>
      <x:c r="E4503" t="str">
        <x:v>Corporate</x:v>
      </x:c>
      <x:c r="F4503" t="str">
        <x:v>West</x:v>
      </x:c>
      <x:c r="G4503" t="str">
        <x:v>Office Supplies</x:v>
      </x:c>
      <x:c r="H4503" t="str">
        <x:v>Paper</x:v>
      </x:c>
      <x:c r="I4503" s="22" t="n">
        <x:v>12.96</x:v>
      </x:c>
      <x:c r="J4503" s="24" t="n">
        <x:v>2</x:v>
      </x:c>
      <x:c r="K4503" s="26" t="n">
        <x:v>0</x:v>
      </x:c>
      <x:c r="L4503" s="22" t="n">
        <x:v>6.2208000000000006</x:v>
      </x:c>
      <x:c r="M4503" t="n">
        <x:v>2014</x:v>
      </x:c>
      <x:c r="N4503" s="20" t="n">
        <x:v>41944</x:v>
      </x:c>
    </x:row>
    <x:row r="4504" ht="18" customHeight="1">
      <x:c r="A4504" t="str">
        <x:v>CA-2016-124814</x:v>
      </x:c>
      <x:c r="B4504" s="18" t="n">
        <x:v>42470</x:v>
      </x:c>
      <x:c r="C4504" t="str">
        <x:v>FM-14215</x:v>
      </x:c>
      <x:c r="D4504" t="str">
        <x:v>Filia McAdams</x:v>
      </x:c>
      <x:c r="E4504" t="str">
        <x:v>Corporate</x:v>
      </x:c>
      <x:c r="F4504" t="str">
        <x:v>West</x:v>
      </x:c>
      <x:c r="G4504" t="str">
        <x:v>Office Supplies</x:v>
      </x:c>
      <x:c r="H4504" t="str">
        <x:v>Paper</x:v>
      </x:c>
      <x:c r="I4504" s="22" t="n">
        <x:v>12.96</x:v>
      </x:c>
      <x:c r="J4504" s="24" t="n">
        <x:v>2</x:v>
      </x:c>
      <x:c r="K4504" s="26" t="n">
        <x:v>0</x:v>
      </x:c>
      <x:c r="L4504" s="22" t="n">
        <x:v>6.2208000000000006</x:v>
      </x:c>
      <x:c r="M4504" t="n">
        <x:v>2016</x:v>
      </x:c>
      <x:c r="N4504" s="20" t="n">
        <x:v>42461</x:v>
      </x:c>
    </x:row>
    <x:row r="4505" ht="18" customHeight="1">
      <x:c r="A4505" t="str">
        <x:v>CA-2016-124814</x:v>
      </x:c>
      <x:c r="B4505" s="18" t="n">
        <x:v>42470</x:v>
      </x:c>
      <x:c r="C4505" t="str">
        <x:v>FM-14215</x:v>
      </x:c>
      <x:c r="D4505" t="str">
        <x:v>Filia McAdams</x:v>
      </x:c>
      <x:c r="E4505" t="str">
        <x:v>Corporate</x:v>
      </x:c>
      <x:c r="F4505" t="str">
        <x:v>West</x:v>
      </x:c>
      <x:c r="G4505" t="str">
        <x:v>Office Supplies</x:v>
      </x:c>
      <x:c r="H4505" t="str">
        <x:v>Binders</x:v>
      </x:c>
      <x:c r="I4505" s="22" t="n">
        <x:v>23.2</x:v>
      </x:c>
      <x:c r="J4505" s="24" t="n">
        <x:v>5</x:v>
      </x:c>
      <x:c r="K4505" s="26" t="n">
        <x:v>0.2</x:v>
      </x:c>
      <x:c r="L4505" s="22" t="n">
        <x:v>8.119999999999997</x:v>
      </x:c>
      <x:c r="M4505" t="n">
        <x:v>2016</x:v>
      </x:c>
      <x:c r="N4505" s="20" t="n">
        <x:v>42461</x:v>
      </x:c>
    </x:row>
    <x:row r="4506" ht="18" customHeight="1">
      <x:c r="A4506" t="str">
        <x:v>CA-2014-116757</x:v>
      </x:c>
      <x:c r="B4506" s="18" t="n">
        <x:v>41820</x:v>
      </x:c>
      <x:c r="C4506" t="str">
        <x:v>MS-17980</x:v>
      </x:c>
      <x:c r="D4506" t="str">
        <x:v>Michael Stewart</x:v>
      </x:c>
      <x:c r="E4506" t="str">
        <x:v>Corporate</x:v>
      </x:c>
      <x:c r="F4506" t="str">
        <x:v>Central</x:v>
      </x:c>
      <x:c r="G4506" t="str">
        <x:v>Office Supplies</x:v>
      </x:c>
      <x:c r="H4506" t="str">
        <x:v>Paper</x:v>
      </x:c>
      <x:c r="I4506" s="22" t="n">
        <x:v>25.920000000000005</x:v>
      </x:c>
      <x:c r="J4506" s="24" t="n">
        <x:v>5</x:v>
      </x:c>
      <x:c r="K4506" s="26" t="n">
        <x:v>0.2</x:v>
      </x:c>
      <x:c r="L4506" s="22" t="n">
        <x:v>9.072</x:v>
      </x:c>
      <x:c r="M4506" t="n">
        <x:v>2014</x:v>
      </x:c>
      <x:c r="N4506" s="20" t="n">
        <x:v>41791</x:v>
      </x:c>
    </x:row>
    <x:row r="4507" ht="18" customHeight="1">
      <x:c r="A4507" t="str">
        <x:v>CA-2014-116757</x:v>
      </x:c>
      <x:c r="B4507" s="18" t="n">
        <x:v>41820</x:v>
      </x:c>
      <x:c r="C4507" t="str">
        <x:v>MS-17980</x:v>
      </x:c>
      <x:c r="D4507" t="str">
        <x:v>Michael Stewart</x:v>
      </x:c>
      <x:c r="E4507" t="str">
        <x:v>Corporate</x:v>
      </x:c>
      <x:c r="F4507" t="str">
        <x:v>Central</x:v>
      </x:c>
      <x:c r="G4507" t="str">
        <x:v>Office Supplies</x:v>
      </x:c>
      <x:c r="H4507" t="str">
        <x:v>Fasteners</x:v>
      </x:c>
      <x:c r="I4507" s="22" t="n">
        <x:v>21.312000000000005</x:v>
      </x:c>
      <x:c r="J4507" s="24" t="n">
        <x:v>6</x:v>
      </x:c>
      <x:c r="K4507" s="26" t="n">
        <x:v>0.2</x:v>
      </x:c>
      <x:c r="L4507" s="22" t="n">
        <x:v>7.1928</x:v>
      </x:c>
      <x:c r="M4507" t="n">
        <x:v>2014</x:v>
      </x:c>
      <x:c r="N4507" s="20" t="n">
        <x:v>41791</x:v>
      </x:c>
    </x:row>
    <x:row r="4508" ht="18" customHeight="1">
      <x:c r="A4508" t="str">
        <x:v>US-2014-138247</x:v>
      </x:c>
      <x:c r="B4508" s="18" t="n">
        <x:v>41997</x:v>
      </x:c>
      <x:c r="C4508" t="str">
        <x:v>BF-11170</x:v>
      </x:c>
      <x:c r="D4508" t="str">
        <x:v>Ben Ferrer</x:v>
      </x:c>
      <x:c r="E4508" t="str">
        <x:v>Home Office</x:v>
      </x:c>
      <x:c r="F4508" t="str">
        <x:v>West</x:v>
      </x:c>
      <x:c r="G4508" t="str">
        <x:v>Technology</x:v>
      </x:c>
      <x:c r="H4508" t="str">
        <x:v>Phones</x:v>
      </x:c>
      <x:c r="I4508" s="22" t="n">
        <x:v>173.65600000000003</x:v>
      </x:c>
      <x:c r="J4508" s="24" t="n">
        <x:v>7</x:v>
      </x:c>
      <x:c r="K4508" s="26" t="n">
        <x:v>0.2</x:v>
      </x:c>
      <x:c r="L4508" s="22" t="n">
        <x:v>17.365599999999993</x:v>
      </x:c>
      <x:c r="M4508" t="n">
        <x:v>2014</x:v>
      </x:c>
      <x:c r="N4508" s="20" t="n">
        <x:v>41974</x:v>
      </x:c>
    </x:row>
    <x:row r="4509" ht="18" customHeight="1">
      <x:c r="A4509" t="str">
        <x:v>US-2014-138247</x:v>
      </x:c>
      <x:c r="B4509" s="18" t="n">
        <x:v>41997</x:v>
      </x:c>
      <x:c r="C4509" t="str">
        <x:v>BF-11170</x:v>
      </x:c>
      <x:c r="D4509" t="str">
        <x:v>Ben Ferrer</x:v>
      </x:c>
      <x:c r="E4509" t="str">
        <x:v>Home Office</x:v>
      </x:c>
      <x:c r="F4509" t="str">
        <x:v>West</x:v>
      </x:c>
      <x:c r="G4509" t="str">
        <x:v>Office Supplies</x:v>
      </x:c>
      <x:c r="H4509" t="str">
        <x:v>Appliances</x:v>
      </x:c>
      <x:c r="I4509" s="22" t="n">
        <x:v>361.96</x:v>
      </x:c>
      <x:c r="J4509" s="24" t="n">
        <x:v>2</x:v>
      </x:c>
      <x:c r="K4509" s="26" t="n">
        <x:v>0</x:v>
      </x:c>
      <x:c r="L4509" s="22" t="n">
        <x:v>101.34879999999998</x:v>
      </x:c>
      <x:c r="M4509" t="n">
        <x:v>2014</x:v>
      </x:c>
      <x:c r="N4509" s="20" t="n">
        <x:v>41974</x:v>
      </x:c>
    </x:row>
    <x:row r="4510" ht="18" customHeight="1">
      <x:c r="A4510" t="str">
        <x:v>US-2014-138247</x:v>
      </x:c>
      <x:c r="B4510" s="18" t="n">
        <x:v>41997</x:v>
      </x:c>
      <x:c r="C4510" t="str">
        <x:v>BF-11170</x:v>
      </x:c>
      <x:c r="D4510" t="str">
        <x:v>Ben Ferrer</x:v>
      </x:c>
      <x:c r="E4510" t="str">
        <x:v>Home Office</x:v>
      </x:c>
      <x:c r="F4510" t="str">
        <x:v>West</x:v>
      </x:c>
      <x:c r="G4510" t="str">
        <x:v>Technology</x:v>
      </x:c>
      <x:c r="H4510" t="str">
        <x:v>Accessories</x:v>
      </x:c>
      <x:c r="I4510" s="22" t="n">
        <x:v>62.849999999999994</x:v>
      </x:c>
      <x:c r="J4510" s="24" t="n">
        <x:v>3</x:v>
      </x:c>
      <x:c r="K4510" s="26" t="n">
        <x:v>0</x:v>
      </x:c>
      <x:c r="L4510" s="22" t="n">
        <x:v>13.1985</x:v>
      </x:c>
      <x:c r="M4510" t="n">
        <x:v>2014</x:v>
      </x:c>
      <x:c r="N4510" s="20" t="n">
        <x:v>41974</x:v>
      </x:c>
    </x:row>
    <x:row r="4511" ht="18" customHeight="1">
      <x:c r="A4511" t="str">
        <x:v>US-2014-138247</x:v>
      </x:c>
      <x:c r="B4511" s="18" t="n">
        <x:v>41997</x:v>
      </x:c>
      <x:c r="C4511" t="str">
        <x:v>BF-11170</x:v>
      </x:c>
      <x:c r="D4511" t="str">
        <x:v>Ben Ferrer</x:v>
      </x:c>
      <x:c r="E4511" t="str">
        <x:v>Home Office</x:v>
      </x:c>
      <x:c r="F4511" t="str">
        <x:v>West</x:v>
      </x:c>
      <x:c r="G4511" t="str">
        <x:v>Technology</x:v>
      </x:c>
      <x:c r="H4511" t="str">
        <x:v>Phones</x:v>
      </x:c>
      <x:c r="I4511" s="22" t="n">
        <x:v>818.3760000000001</x:v>
      </x:c>
      <x:c r="J4511" s="24" t="n">
        <x:v>3</x:v>
      </x:c>
      <x:c r="K4511" s="26" t="n">
        <x:v>0.2</x:v>
      </x:c>
      <x:c r="L4511" s="22" t="n">
        <x:v>51.148499999999984</x:v>
      </x:c>
      <x:c r="M4511" t="n">
        <x:v>2014</x:v>
      </x:c>
      <x:c r="N4511" s="20" t="n">
        <x:v>41974</x:v>
      </x:c>
    </x:row>
    <x:row r="4512" ht="18" customHeight="1">
      <x:c r="A4512" t="str">
        <x:v>US-2014-138247</x:v>
      </x:c>
      <x:c r="B4512" s="18" t="n">
        <x:v>41997</x:v>
      </x:c>
      <x:c r="C4512" t="str">
        <x:v>BF-11170</x:v>
      </x:c>
      <x:c r="D4512" t="str">
        <x:v>Ben Ferrer</x:v>
      </x:c>
      <x:c r="E4512" t="str">
        <x:v>Home Office</x:v>
      </x:c>
      <x:c r="F4512" t="str">
        <x:v>West</x:v>
      </x:c>
      <x:c r="G4512" t="str">
        <x:v>Office Supplies</x:v>
      </x:c>
      <x:c r="H4512" t="str">
        <x:v>Storage</x:v>
      </x:c>
      <x:c r="I4512" s="22" t="n">
        <x:v>20.34</x:v>
      </x:c>
      <x:c r="J4512" s="24" t="n">
        <x:v>1</x:v>
      </x:c>
      <x:c r="K4512" s="26" t="n">
        <x:v>0</x:v>
      </x:c>
      <x:c r="L4512" s="22" t="n">
        <x:v>0.20339999999999847</x:v>
      </x:c>
      <x:c r="M4512" t="n">
        <x:v>2014</x:v>
      </x:c>
      <x:c r="N4512" s="20" t="n">
        <x:v>41974</x:v>
      </x:c>
    </x:row>
    <x:row r="4513" ht="18" customHeight="1">
      <x:c r="A4513" t="str">
        <x:v>US-2014-138247</x:v>
      </x:c>
      <x:c r="B4513" s="18" t="n">
        <x:v>41997</x:v>
      </x:c>
      <x:c r="C4513" t="str">
        <x:v>BF-11170</x:v>
      </x:c>
      <x:c r="D4513" t="str">
        <x:v>Ben Ferrer</x:v>
      </x:c>
      <x:c r="E4513" t="str">
        <x:v>Home Office</x:v>
      </x:c>
      <x:c r="F4513" t="str">
        <x:v>West</x:v>
      </x:c>
      <x:c r="G4513" t="str">
        <x:v>Furniture</x:v>
      </x:c>
      <x:c r="H4513" t="str">
        <x:v>Furnishings</x:v>
      </x:c>
      <x:c r="I4513" s="22" t="n">
        <x:v>23.99</x:v>
      </x:c>
      <x:c r="J4513" s="24" t="n">
        <x:v>1</x:v>
      </x:c>
      <x:c r="K4513" s="26" t="n">
        <x:v>0</x:v>
      </x:c>
      <x:c r="L4513" s="22" t="n">
        <x:v>5.517699999999998</x:v>
      </x:c>
      <x:c r="M4513" t="n">
        <x:v>2014</x:v>
      </x:c>
      <x:c r="N4513" s="20" t="n">
        <x:v>41974</x:v>
      </x:c>
    </x:row>
    <x:row r="4514" ht="18" customHeight="1">
      <x:c r="A4514" t="str">
        <x:v>CA-2017-167003</x:v>
      </x:c>
      <x:c r="B4514" s="18" t="n">
        <x:v>42878</x:v>
      </x:c>
      <x:c r="C4514" t="str">
        <x:v>VS-21820</x:v>
      </x:c>
      <x:c r="D4514" t="str">
        <x:v>Vivek Sundaresam</x:v>
      </x:c>
      <x:c r="E4514" t="str">
        <x:v>Consumer</x:v>
      </x:c>
      <x:c r="F4514" t="str">
        <x:v>West</x:v>
      </x:c>
      <x:c r="G4514" t="str">
        <x:v>Furniture</x:v>
      </x:c>
      <x:c r="H4514" t="str">
        <x:v>Tables</x:v>
      </x:c>
      <x:c r="I4514" s="22" t="n">
        <x:v>171.288</x:v>
      </x:c>
      <x:c r="J4514" s="24" t="n">
        <x:v>3</x:v>
      </x:c>
      <x:c r="K4514" s="26" t="n">
        <x:v>0.2</x:v>
      </x:c>
      <x:c r="L4514" s="22" t="n">
        <x:v>-6.423300000000026</x:v>
      </x:c>
      <x:c r="M4514" t="n">
        <x:v>2017</x:v>
      </x:c>
      <x:c r="N4514" s="20" t="n">
        <x:v>42856</x:v>
      </x:c>
    </x:row>
    <x:row r="4515" ht="18" customHeight="1">
      <x:c r="A4515" t="str">
        <x:v>CA-2016-119935</x:v>
      </x:c>
      <x:c r="B4515" s="18" t="n">
        <x:v>42684</x:v>
      </x:c>
      <x:c r="C4515" t="str">
        <x:v>KM-16225</x:v>
      </x:c>
      <x:c r="D4515" t="str">
        <x:v>Kalyca Meade</x:v>
      </x:c>
      <x:c r="E4515" t="str">
        <x:v>Corporate</x:v>
      </x:c>
      <x:c r="F4515" t="str">
        <x:v>Central</x:v>
      </x:c>
      <x:c r="G4515" t="str">
        <x:v>Furniture</x:v>
      </x:c>
      <x:c r="H4515" t="str">
        <x:v>Furnishings</x:v>
      </x:c>
      <x:c r="I4515" s="22" t="n">
        <x:v>37.3</x:v>
      </x:c>
      <x:c r="J4515" s="24" t="n">
        <x:v>2</x:v>
      </x:c>
      <x:c r="K4515" s="26" t="n">
        <x:v>0</x:v>
      </x:c>
      <x:c r="L4515" s="22" t="n">
        <x:v>17.157999999999998</x:v>
      </x:c>
      <x:c r="M4515" t="n">
        <x:v>2016</x:v>
      </x:c>
      <x:c r="N4515" s="20" t="n">
        <x:v>42675</x:v>
      </x:c>
    </x:row>
    <x:row r="4516" ht="18" customHeight="1">
      <x:c r="A4516" t="str">
        <x:v>CA-2016-119935</x:v>
      </x:c>
      <x:c r="B4516" s="18" t="n">
        <x:v>42684</x:v>
      </x:c>
      <x:c r="C4516" t="str">
        <x:v>KM-16225</x:v>
      </x:c>
      <x:c r="D4516" t="str">
        <x:v>Kalyca Meade</x:v>
      </x:c>
      <x:c r="E4516" t="str">
        <x:v>Corporate</x:v>
      </x:c>
      <x:c r="F4516" t="str">
        <x:v>Central</x:v>
      </x:c>
      <x:c r="G4516" t="str">
        <x:v>Office Supplies</x:v>
      </x:c>
      <x:c r="H4516" t="str">
        <x:v>Binders</x:v>
      </x:c>
      <x:c r="I4516" s="22" t="n">
        <x:v>81.96</x:v>
      </x:c>
      <x:c r="J4516" s="24" t="n">
        <x:v>2</x:v>
      </x:c>
      <x:c r="K4516" s="26" t="n">
        <x:v>0</x:v>
      </x:c>
      <x:c r="L4516" s="22" t="n">
        <x:v>39.340799999999994</x:v>
      </x:c>
      <x:c r="M4516" t="n">
        <x:v>2016</x:v>
      </x:c>
      <x:c r="N4516" s="20" t="n">
        <x:v>42675</x:v>
      </x:c>
    </x:row>
    <x:row r="4517" ht="18" customHeight="1">
      <x:c r="A4517" t="str">
        <x:v>CA-2016-118969</x:v>
      </x:c>
      <x:c r="B4517" s="18" t="n">
        <x:v>42645</x:v>
      </x:c>
      <x:c r="C4517" t="str">
        <x:v>LP-17095</x:v>
      </x:c>
      <x:c r="D4517" t="str">
        <x:v>Liz Preis</x:v>
      </x:c>
      <x:c r="E4517" t="str">
        <x:v>Consumer</x:v>
      </x:c>
      <x:c r="F4517" t="str">
        <x:v>West</x:v>
      </x:c>
      <x:c r="G4517" t="str">
        <x:v>Office Supplies</x:v>
      </x:c>
      <x:c r="H4517" t="str">
        <x:v>Binders</x:v>
      </x:c>
      <x:c r="I4517" s="22" t="n">
        <x:v>54.79200000000001</x:v>
      </x:c>
      <x:c r="J4517" s="24" t="n">
        <x:v>6</x:v>
      </x:c>
      <x:c r="K4517" s="26" t="n">
        <x:v>0.7</x:v>
      </x:c>
      <x:c r="L4517" s="22" t="n">
        <x:v>-40.18079999999999</x:v>
      </x:c>
      <x:c r="M4517" t="n">
        <x:v>2016</x:v>
      </x:c>
      <x:c r="N4517" s="20" t="n">
        <x:v>42644</x:v>
      </x:c>
    </x:row>
    <x:row r="4518" ht="18" customHeight="1">
      <x:c r="A4518" t="str">
        <x:v>CA-2016-145240</x:v>
      </x:c>
      <x:c r="B4518" s="18" t="n">
        <x:v>42619</x:v>
      </x:c>
      <x:c r="C4518" t="str">
        <x:v>BG-11740</x:v>
      </x:c>
      <x:c r="D4518" t="str">
        <x:v>Bruce Geld</x:v>
      </x:c>
      <x:c r="E4518" t="str">
        <x:v>Consumer</x:v>
      </x:c>
      <x:c r="F4518" t="str">
        <x:v>Central</x:v>
      </x:c>
      <x:c r="G4518" t="str">
        <x:v>Office Supplies</x:v>
      </x:c>
      <x:c r="H4518" t="str">
        <x:v>Storage</x:v>
      </x:c>
      <x:c r="I4518" s="22" t="n">
        <x:v>10.784</x:v>
      </x:c>
      <x:c r="J4518" s="24" t="n">
        <x:v>1</x:v>
      </x:c>
      <x:c r="K4518" s="26" t="n">
        <x:v>0.2</x:v>
      </x:c>
      <x:c r="L4518" s="22" t="n">
        <x:v>0.8087999999999993</x:v>
      </x:c>
      <x:c r="M4518" t="n">
        <x:v>2016</x:v>
      </x:c>
      <x:c r="N4518" s="20" t="n">
        <x:v>42614</x:v>
      </x:c>
    </x:row>
    <x:row r="4519" ht="18" customHeight="1">
      <x:c r="A4519" t="str">
        <x:v>CA-2016-120873</x:v>
      </x:c>
      <x:c r="B4519" s="18" t="n">
        <x:v>42670</x:v>
      </x:c>
      <x:c r="C4519" t="str">
        <x:v>BW-11200</x:v>
      </x:c>
      <x:c r="D4519" t="str">
        <x:v>Ben Wallace</x:v>
      </x:c>
      <x:c r="E4519" t="str">
        <x:v>Consumer</x:v>
      </x:c>
      <x:c r="F4519" t="str">
        <x:v>South</x:v>
      </x:c>
      <x:c r="G4519" t="str">
        <x:v>Furniture</x:v>
      </x:c>
      <x:c r="H4519" t="str">
        <x:v>Chairs</x:v>
      </x:c>
      <x:c r="I4519" s="22" t="n">
        <x:v>290.98</x:v>
      </x:c>
      <x:c r="J4519" s="24" t="n">
        <x:v>1</x:v>
      </x:c>
      <x:c r="K4519" s="26" t="n">
        <x:v>0</x:v>
      </x:c>
      <x:c r="L4519" s="22" t="n">
        <x:v>75.6548</x:v>
      </x:c>
      <x:c r="M4519" t="n">
        <x:v>2016</x:v>
      </x:c>
      <x:c r="N4519" s="20" t="n">
        <x:v>42644</x:v>
      </x:c>
    </x:row>
    <x:row r="4520" ht="18" customHeight="1">
      <x:c r="A4520" t="str">
        <x:v>US-2017-111920</x:v>
      </x:c>
      <x:c r="B4520" s="18" t="n">
        <x:v>43030</x:v>
      </x:c>
      <x:c r="C4520" t="str">
        <x:v>PS-18970</x:v>
      </x:c>
      <x:c r="D4520" t="str">
        <x:v>Paul Stevenson</x:v>
      </x:c>
      <x:c r="E4520" t="str">
        <x:v>Home Office</x:v>
      </x:c>
      <x:c r="F4520" t="str">
        <x:v>Central</x:v>
      </x:c>
      <x:c r="G4520" t="str">
        <x:v>Office Supplies</x:v>
      </x:c>
      <x:c r="H4520" t="str">
        <x:v>Art</x:v>
      </x:c>
      <x:c r="I4520" s="22" t="n">
        <x:v>36.44</x:v>
      </x:c>
      <x:c r="J4520" s="24" t="n">
        <x:v>4</x:v>
      </x:c>
      <x:c r="K4520" s="26" t="n">
        <x:v>0</x:v>
      </x:c>
      <x:c r="L4520" s="22" t="n">
        <x:v>12.025199999999998</x:v>
      </x:c>
      <x:c r="M4520" t="n">
        <x:v>2017</x:v>
      </x:c>
      <x:c r="N4520" s="20" t="n">
        <x:v>43009</x:v>
      </x:c>
    </x:row>
    <x:row r="4521" ht="18" customHeight="1">
      <x:c r="A4521" t="str">
        <x:v>US-2016-128678</x:v>
      </x:c>
      <x:c r="B4521" s="18" t="n">
        <x:v>42628</x:v>
      </x:c>
      <x:c r="C4521" t="str">
        <x:v>RB-19570</x:v>
      </x:c>
      <x:c r="D4521" t="str">
        <x:v>Rob Beeghly</x:v>
      </x:c>
      <x:c r="E4521" t="str">
        <x:v>Consumer</x:v>
      </x:c>
      <x:c r="F4521" t="str">
        <x:v>West</x:v>
      </x:c>
      <x:c r="G4521" t="str">
        <x:v>Office Supplies</x:v>
      </x:c>
      <x:c r="H4521" t="str">
        <x:v>Paper</x:v>
      </x:c>
      <x:c r="I4521" s="22" t="n">
        <x:v>21.400000000000002</x:v>
      </x:c>
      <x:c r="J4521" s="24" t="n">
        <x:v>5</x:v>
      </x:c>
      <x:c r="K4521" s="26" t="n">
        <x:v>0</x:v>
      </x:c>
      <x:c r="L4521" s="22" t="n">
        <x:v>10.058</x:v>
      </x:c>
      <x:c r="M4521" t="n">
        <x:v>2016</x:v>
      </x:c>
      <x:c r="N4521" s="20" t="n">
        <x:v>42614</x:v>
      </x:c>
    </x:row>
    <x:row r="4522" ht="18" customHeight="1">
      <x:c r="A4522" t="str">
        <x:v>US-2016-128678</x:v>
      </x:c>
      <x:c r="B4522" s="18" t="n">
        <x:v>42628</x:v>
      </x:c>
      <x:c r="C4522" t="str">
        <x:v>RB-19570</x:v>
      </x:c>
      <x:c r="D4522" t="str">
        <x:v>Rob Beeghly</x:v>
      </x:c>
      <x:c r="E4522" t="str">
        <x:v>Consumer</x:v>
      </x:c>
      <x:c r="F4522" t="str">
        <x:v>West</x:v>
      </x:c>
      <x:c r="G4522" t="str">
        <x:v>Office Supplies</x:v>
      </x:c>
      <x:c r="H4522" t="str">
        <x:v>Binders</x:v>
      </x:c>
      <x:c r="I4522" s="22" t="n">
        <x:v>48.664</x:v>
      </x:c>
      <x:c r="J4522" s="24" t="n">
        <x:v>7</x:v>
      </x:c>
      <x:c r="K4522" s="26" t="n">
        <x:v>0.2</x:v>
      </x:c>
      <x:c r="L4522" s="22" t="n">
        <x:v>15.8158</x:v>
      </x:c>
      <x:c r="M4522" t="n">
        <x:v>2016</x:v>
      </x:c>
      <x:c r="N4522" s="20" t="n">
        <x:v>42614</x:v>
      </x:c>
    </x:row>
    <x:row r="4523" ht="18" customHeight="1">
      <x:c r="A4523" t="str">
        <x:v>CA-2016-101385</x:v>
      </x:c>
      <x:c r="B4523" s="18" t="n">
        <x:v>42638</x:v>
      </x:c>
      <x:c r="C4523" t="str">
        <x:v>JW-16075</x:v>
      </x:c>
      <x:c r="D4523" t="str">
        <x:v>Julia West</x:v>
      </x:c>
      <x:c r="E4523" t="str">
        <x:v>Consumer</x:v>
      </x:c>
      <x:c r="F4523" t="str">
        <x:v>West</x:v>
      </x:c>
      <x:c r="G4523" t="str">
        <x:v>Office Supplies</x:v>
      </x:c>
      <x:c r="H4523" t="str">
        <x:v>Art</x:v>
      </x:c>
      <x:c r="I4523" s="22" t="n">
        <x:v>16.56</x:v>
      </x:c>
      <x:c r="J4523" s="24" t="n">
        <x:v>4</x:v>
      </x:c>
      <x:c r="K4523" s="26" t="n">
        <x:v>0</x:v>
      </x:c>
      <x:c r="L4523" s="22" t="n">
        <x:v>6.9552</x:v>
      </x:c>
      <x:c r="M4523" t="n">
        <x:v>2016</x:v>
      </x:c>
      <x:c r="N4523" s="20" t="n">
        <x:v>42614</x:v>
      </x:c>
    </x:row>
    <x:row r="4524" ht="18" customHeight="1">
      <x:c r="A4524" t="str">
        <x:v>CA-2017-107167</x:v>
      </x:c>
      <x:c r="B4524" s="18" t="n">
        <x:v>42896</x:v>
      </x:c>
      <x:c r="C4524" t="str">
        <x:v>ND-18460</x:v>
      </x:c>
      <x:c r="D4524" t="str">
        <x:v>Neil Ducich</x:v>
      </x:c>
      <x:c r="E4524" t="str">
        <x:v>Corporate</x:v>
      </x:c>
      <x:c r="F4524" t="str">
        <x:v>South</x:v>
      </x:c>
      <x:c r="G4524" t="str">
        <x:v>Office Supplies</x:v>
      </x:c>
      <x:c r="H4524" t="str">
        <x:v>Storage</x:v>
      </x:c>
      <x:c r="I4524" s="22" t="n">
        <x:v>1347.5200000000002</x:v>
      </x:c>
      <x:c r="J4524" s="24" t="n">
        <x:v>8</x:v>
      </x:c>
      <x:c r="K4524" s="26" t="n">
        <x:v>0.2</x:v>
      </x:c>
      <x:c r="L4524" s="22" t="n">
        <x:v>84.21999999999986</x:v>
      </x:c>
      <x:c r="M4524" t="n">
        <x:v>2017</x:v>
      </x:c>
      <x:c r="N4524" s="20" t="n">
        <x:v>42887</x:v>
      </x:c>
    </x:row>
    <x:row r="4525" ht="18" customHeight="1">
      <x:c r="A4525" t="str">
        <x:v>CA-2014-109491</x:v>
      </x:c>
      <x:c r="B4525" s="18" t="n">
        <x:v>41690</x:v>
      </x:c>
      <x:c r="C4525" t="str">
        <x:v>LC-16930</x:v>
      </x:c>
      <x:c r="D4525" t="str">
        <x:v>Linda Cazamias</x:v>
      </x:c>
      <x:c r="E4525" t="str">
        <x:v>Corporate</x:v>
      </x:c>
      <x:c r="F4525" t="str">
        <x:v>Central</x:v>
      </x:c>
      <x:c r="G4525" t="str">
        <x:v>Technology</x:v>
      </x:c>
      <x:c r="H4525" t="str">
        <x:v>Accessories</x:v>
      </x:c>
      <x:c r="I4525" s="22" t="n">
        <x:v>62.31</x:v>
      </x:c>
      <x:c r="J4525" s="24" t="n">
        <x:v>3</x:v>
      </x:c>
      <x:c r="K4525" s="26" t="n">
        <x:v>0</x:v>
      </x:c>
      <x:c r="L4525" s="22" t="n">
        <x:v>22.4316</x:v>
      </x:c>
      <x:c r="M4525" t="n">
        <x:v>2014</x:v>
      </x:c>
      <x:c r="N4525" s="20" t="n">
        <x:v>41671</x:v>
      </x:c>
    </x:row>
    <x:row r="4526" ht="18" customHeight="1">
      <x:c r="A4526" t="str">
        <x:v>CA-2014-109491</x:v>
      </x:c>
      <x:c r="B4526" s="18" t="n">
        <x:v>41690</x:v>
      </x:c>
      <x:c r="C4526" t="str">
        <x:v>LC-16930</x:v>
      </x:c>
      <x:c r="D4526" t="str">
        <x:v>Linda Cazamias</x:v>
      </x:c>
      <x:c r="E4526" t="str">
        <x:v>Corporate</x:v>
      </x:c>
      <x:c r="F4526" t="str">
        <x:v>Central</x:v>
      </x:c>
      <x:c r="G4526" t="str">
        <x:v>Furniture</x:v>
      </x:c>
      <x:c r="H4526" t="str">
        <x:v>Furnishings</x:v>
      </x:c>
      <x:c r="I4526" s="22" t="n">
        <x:v>20.32</x:v>
      </x:c>
      <x:c r="J4526" s="24" t="n">
        <x:v>4</x:v>
      </x:c>
      <x:c r="K4526" s="26" t="n">
        <x:v>0</x:v>
      </x:c>
      <x:c r="L4526" s="22" t="n">
        <x:v>6.908799999999999</x:v>
      </x:c>
      <x:c r="M4526" t="n">
        <x:v>2014</x:v>
      </x:c>
      <x:c r="N4526" s="20" t="n">
        <x:v>41671</x:v>
      </x:c>
    </x:row>
    <x:row r="4527" ht="18" customHeight="1">
      <x:c r="A4527" t="str">
        <x:v>CA-2017-105445</x:v>
      </x:c>
      <x:c r="B4527" s="18" t="n">
        <x:v>42786</x:v>
      </x:c>
      <x:c r="C4527" t="str">
        <x:v>BP-11095</x:v>
      </x:c>
      <x:c r="D4527" t="str">
        <x:v>Bart Pistole</x:v>
      </x:c>
      <x:c r="E4527" t="str">
        <x:v>Corporate</x:v>
      </x:c>
      <x:c r="F4527" t="str">
        <x:v>West</x:v>
      </x:c>
      <x:c r="G4527" t="str">
        <x:v>Office Supplies</x:v>
      </x:c>
      <x:c r="H4527" t="str">
        <x:v>Fasteners</x:v>
      </x:c>
      <x:c r="I4527" s="22" t="n">
        <x:v>9.432</x:v>
      </x:c>
      <x:c r="J4527" s="24" t="n">
        <x:v>3</x:v>
      </x:c>
      <x:c r="K4527" s="26" t="n">
        <x:v>0.2</x:v>
      </x:c>
      <x:c r="L4527" s="22" t="n">
        <x:v>3.065399999999999</x:v>
      </x:c>
      <x:c r="M4527" t="n">
        <x:v>2017</x:v>
      </x:c>
      <x:c r="N4527" s="20" t="n">
        <x:v>42767</x:v>
      </x:c>
    </x:row>
    <x:row r="4528" ht="18" customHeight="1">
      <x:c r="A4528" t="str">
        <x:v>CA-2014-107454</x:v>
      </x:c>
      <x:c r="B4528" s="18" t="n">
        <x:v>41945</x:v>
      </x:c>
      <x:c r="C4528" t="str">
        <x:v>RD-19720</x:v>
      </x:c>
      <x:c r="D4528" t="str">
        <x:v>Roger Demir</x:v>
      </x:c>
      <x:c r="E4528" t="str">
        <x:v>Consumer</x:v>
      </x:c>
      <x:c r="F4528" t="str">
        <x:v>East</x:v>
      </x:c>
      <x:c r="G4528" t="str">
        <x:v>Office Supplies</x:v>
      </x:c>
      <x:c r="H4528" t="str">
        <x:v>Labels</x:v>
      </x:c>
      <x:c r="I4528" s="22" t="n">
        <x:v>34.86</x:v>
      </x:c>
      <x:c r="J4528" s="24" t="n">
        <x:v>7</x:v>
      </x:c>
      <x:c r="K4528" s="26" t="n">
        <x:v>0</x:v>
      </x:c>
      <x:c r="L4528" s="22" t="n">
        <x:v>16.0356</x:v>
      </x:c>
      <x:c r="M4528" t="n">
        <x:v>2014</x:v>
      </x:c>
      <x:c r="N4528" s="20" t="n">
        <x:v>41944</x:v>
      </x:c>
    </x:row>
    <x:row r="4529" ht="18" customHeight="1">
      <x:c r="A4529" t="str">
        <x:v>CA-2014-107454</x:v>
      </x:c>
      <x:c r="B4529" s="18" t="n">
        <x:v>41945</x:v>
      </x:c>
      <x:c r="C4529" t="str">
        <x:v>RD-19720</x:v>
      </x:c>
      <x:c r="D4529" t="str">
        <x:v>Roger Demir</x:v>
      </x:c>
      <x:c r="E4529" t="str">
        <x:v>Consumer</x:v>
      </x:c>
      <x:c r="F4529" t="str">
        <x:v>East</x:v>
      </x:c>
      <x:c r="G4529" t="str">
        <x:v>Furniture</x:v>
      </x:c>
      <x:c r="H4529" t="str">
        <x:v>Furnishings</x:v>
      </x:c>
      <x:c r="I4529" s="22" t="n">
        <x:v>89.34</x:v>
      </x:c>
      <x:c r="J4529" s="24" t="n">
        <x:v>6</x:v>
      </x:c>
      <x:c r="K4529" s="26" t="n">
        <x:v>0</x:v>
      </x:c>
      <x:c r="L4529" s="22" t="n">
        <x:v>24.121800000000004</x:v>
      </x:c>
      <x:c r="M4529" t="n">
        <x:v>2014</x:v>
      </x:c>
      <x:c r="N4529" s="20" t="n">
        <x:v>41944</x:v>
      </x:c>
    </x:row>
    <x:row r="4530" ht="18" customHeight="1">
      <x:c r="A4530" t="str">
        <x:v>US-2017-105046</x:v>
      </x:c>
      <x:c r="B4530" s="18" t="n">
        <x:v>42933</x:v>
      </x:c>
      <x:c r="C4530" t="str">
        <x:v>BE-11335</x:v>
      </x:c>
      <x:c r="D4530" t="str">
        <x:v>Bill Eplett</x:v>
      </x:c>
      <x:c r="E4530" t="str">
        <x:v>Home Office</x:v>
      </x:c>
      <x:c r="F4530" t="str">
        <x:v>East</x:v>
      </x:c>
      <x:c r="G4530" t="str">
        <x:v>Technology</x:v>
      </x:c>
      <x:c r="H4530" t="str">
        <x:v>Phones</x:v>
      </x:c>
      <x:c r="I4530" s="22" t="n">
        <x:v>269.98</x:v>
      </x:c>
      <x:c r="J4530" s="24" t="n">
        <x:v>2</x:v>
      </x:c>
      <x:c r="K4530" s="26" t="n">
        <x:v>0</x:v>
      </x:c>
      <x:c r="L4530" s="22" t="n">
        <x:v>67.495</x:v>
      </x:c>
      <x:c r="M4530" t="n">
        <x:v>2017</x:v>
      </x:c>
      <x:c r="N4530" s="20" t="n">
        <x:v>42917</x:v>
      </x:c>
    </x:row>
    <x:row r="4531" ht="18" customHeight="1">
      <x:c r="A4531" t="str">
        <x:v>US-2017-105046</x:v>
      </x:c>
      <x:c r="B4531" s="18" t="n">
        <x:v>42933</x:v>
      </x:c>
      <x:c r="C4531" t="str">
        <x:v>BE-11335</x:v>
      </x:c>
      <x:c r="D4531" t="str">
        <x:v>Bill Eplett</x:v>
      </x:c>
      <x:c r="E4531" t="str">
        <x:v>Home Office</x:v>
      </x:c>
      <x:c r="F4531" t="str">
        <x:v>East</x:v>
      </x:c>
      <x:c r="G4531" t="str">
        <x:v>Office Supplies</x:v>
      </x:c>
      <x:c r="H4531" t="str">
        <x:v>Paper</x:v>
      </x:c>
      <x:c r="I4531" s="22" t="n">
        <x:v>99.9</x:v>
      </x:c>
      <x:c r="J4531" s="24" t="n">
        <x:v>5</x:v>
      </x:c>
      <x:c r="K4531" s="26" t="n">
        <x:v>0</x:v>
      </x:c>
      <x:c r="L4531" s="22" t="n">
        <x:v>47.952000000000005</x:v>
      </x:c>
      <x:c r="M4531" t="n">
        <x:v>2017</x:v>
      </x:c>
      <x:c r="N4531" s="20" t="n">
        <x:v>42917</x:v>
      </x:c>
    </x:row>
    <x:row r="4532" ht="18" customHeight="1">
      <x:c r="A4532" t="str">
        <x:v>US-2017-105046</x:v>
      </x:c>
      <x:c r="B4532" s="18" t="n">
        <x:v>42933</x:v>
      </x:c>
      <x:c r="C4532" t="str">
        <x:v>BE-11335</x:v>
      </x:c>
      <x:c r="D4532" t="str">
        <x:v>Bill Eplett</x:v>
      </x:c>
      <x:c r="E4532" t="str">
        <x:v>Home Office</x:v>
      </x:c>
      <x:c r="F4532" t="str">
        <x:v>East</x:v>
      </x:c>
      <x:c r="G4532" t="str">
        <x:v>Furniture</x:v>
      </x:c>
      <x:c r="H4532" t="str">
        <x:v>Furnishings</x:v>
      </x:c>
      <x:c r="I4532" s="22" t="n">
        <x:v>39.08</x:v>
      </x:c>
      <x:c r="J4532" s="24" t="n">
        <x:v>4</x:v>
      </x:c>
      <x:c r="K4532" s="26" t="n">
        <x:v>0</x:v>
      </x:c>
      <x:c r="L4532" s="22" t="n">
        <x:v>14.459599999999998</x:v>
      </x:c>
      <x:c r="M4532" t="n">
        <x:v>2017</x:v>
      </x:c>
      <x:c r="N4532" s="20" t="n">
        <x:v>42917</x:v>
      </x:c>
    </x:row>
    <x:row r="4533" ht="18" customHeight="1">
      <x:c r="A4533" t="str">
        <x:v>CA-2017-152856</x:v>
      </x:c>
      <x:c r="B4533" s="18" t="n">
        <x:v>42986</x:v>
      </x:c>
      <x:c r="C4533" t="str">
        <x:v>RS-19765</x:v>
      </x:c>
      <x:c r="D4533" t="str">
        <x:v>Roland Schwarz</x:v>
      </x:c>
      <x:c r="E4533" t="str">
        <x:v>Corporate</x:v>
      </x:c>
      <x:c r="F4533" t="str">
        <x:v>East</x:v>
      </x:c>
      <x:c r="G4533" t="str">
        <x:v>Technology</x:v>
      </x:c>
      <x:c r="H4533" t="str">
        <x:v>Accessories</x:v>
      </x:c>
      <x:c r="I4533" s="22" t="n">
        <x:v>116.832</x:v>
      </x:c>
      <x:c r="J4533" s="24" t="n">
        <x:v>4</x:v>
      </x:c>
      <x:c r="K4533" s="26" t="n">
        <x:v>0.2</x:v>
      </x:c>
      <x:c r="L4533" s="22" t="n">
        <x:v>33.589200000000005</x:v>
      </x:c>
      <x:c r="M4533" t="n">
        <x:v>2017</x:v>
      </x:c>
      <x:c r="N4533" s="20" t="n">
        <x:v>42979</x:v>
      </x:c>
    </x:row>
    <x:row r="4534" ht="18" customHeight="1">
      <x:c r="A4534" t="str">
        <x:v>CA-2016-134691</x:v>
      </x:c>
      <x:c r="B4534" s="18" t="n">
        <x:v>42688</x:v>
      </x:c>
      <x:c r="C4534" t="str">
        <x:v>KC-16540</x:v>
      </x:c>
      <x:c r="D4534" t="str">
        <x:v>Kelly Collister</x:v>
      </x:c>
      <x:c r="E4534" t="str">
        <x:v>Consumer</x:v>
      </x:c>
      <x:c r="F4534" t="str">
        <x:v>Central</x:v>
      </x:c>
      <x:c r="G4534" t="str">
        <x:v>Office Supplies</x:v>
      </x:c>
      <x:c r="H4534" t="str">
        <x:v>Binders</x:v>
      </x:c>
      <x:c r="I4534" s="22" t="n">
        <x:v>2.2959999999999994</x:v>
      </x:c>
      <x:c r="J4534" s="24" t="n">
        <x:v>2</x:v>
      </x:c>
      <x:c r="K4534" s="26" t="n">
        <x:v>0.8</x:v>
      </x:c>
      <x:c r="L4534" s="22" t="n">
        <x:v>-3.903200000000001</x:v>
      </x:c>
      <x:c r="M4534" t="n">
        <x:v>2016</x:v>
      </x:c>
      <x:c r="N4534" s="20" t="n">
        <x:v>42675</x:v>
      </x:c>
    </x:row>
    <x:row r="4535" ht="18" customHeight="1">
      <x:c r="A4535" t="str">
        <x:v>CA-2016-118759</x:v>
      </x:c>
      <x:c r="B4535" s="18" t="n">
        <x:v>42688</x:v>
      </x:c>
      <x:c r="C4535" t="str">
        <x:v>MB-17305</x:v>
      </x:c>
      <x:c r="D4535" t="str">
        <x:v>Maria Bertelson</x:v>
      </x:c>
      <x:c r="E4535" t="str">
        <x:v>Consumer</x:v>
      </x:c>
      <x:c r="F4535" t="str">
        <x:v>East</x:v>
      </x:c>
      <x:c r="G4535" t="str">
        <x:v>Furniture</x:v>
      </x:c>
      <x:c r="H4535" t="str">
        <x:v>Chairs</x:v>
      </x:c>
      <x:c r="I4535" s="22" t="n">
        <x:v>408.006</x:v>
      </x:c>
      <x:c r="J4535" s="24" t="n">
        <x:v>2</x:v>
      </x:c>
      <x:c r="K4535" s="26" t="n">
        <x:v>0.1</x:v>
      </x:c>
      <x:c r="L4535" s="22" t="n">
        <x:v>72.5344</x:v>
      </x:c>
      <x:c r="M4535" t="n">
        <x:v>2016</x:v>
      </x:c>
      <x:c r="N4535" s="20" t="n">
        <x:v>42675</x:v>
      </x:c>
    </x:row>
    <x:row r="4536" ht="18" customHeight="1">
      <x:c r="A4536" t="str">
        <x:v>CA-2016-118759</x:v>
      </x:c>
      <x:c r="B4536" s="18" t="n">
        <x:v>42688</x:v>
      </x:c>
      <x:c r="C4536" t="str">
        <x:v>MB-17305</x:v>
      </x:c>
      <x:c r="D4536" t="str">
        <x:v>Maria Bertelson</x:v>
      </x:c>
      <x:c r="E4536" t="str">
        <x:v>Consumer</x:v>
      </x:c>
      <x:c r="F4536" t="str">
        <x:v>East</x:v>
      </x:c>
      <x:c r="G4536" t="str">
        <x:v>Office Supplies</x:v>
      </x:c>
      <x:c r="H4536" t="str">
        <x:v>Storage</x:v>
      </x:c>
      <x:c r="I4536" s="22" t="n">
        <x:v>40.44</x:v>
      </x:c>
      <x:c r="J4536" s="24" t="n">
        <x:v>3</x:v>
      </x:c>
      <x:c r="K4536" s="26" t="n">
        <x:v>0</x:v>
      </x:c>
      <x:c r="L4536" s="22" t="n">
        <x:v>10.514399999999998</x:v>
      </x:c>
      <x:c r="M4536" t="n">
        <x:v>2016</x:v>
      </x:c>
      <x:c r="N4536" s="20" t="n">
        <x:v>42675</x:v>
      </x:c>
    </x:row>
    <x:row r="4537" ht="18" customHeight="1">
      <x:c r="A4537" t="str">
        <x:v>CA-2014-140403</x:v>
      </x:c>
      <x:c r="B4537" s="18" t="n">
        <x:v>41922</x:v>
      </x:c>
      <x:c r="C4537" t="str">
        <x:v>TN-21040</x:v>
      </x:c>
      <x:c r="D4537" t="str">
        <x:v>Tanja Norvell</x:v>
      </x:c>
      <x:c r="E4537" t="str">
        <x:v>Home Office</x:v>
      </x:c>
      <x:c r="F4537" t="str">
        <x:v>West</x:v>
      </x:c>
      <x:c r="G4537" t="str">
        <x:v>Furniture</x:v>
      </x:c>
      <x:c r="H4537" t="str">
        <x:v>Chairs</x:v>
      </x:c>
      <x:c r="I4537" s="22" t="n">
        <x:v>122.352</x:v>
      </x:c>
      <x:c r="J4537" s="24" t="n">
        <x:v>3</x:v>
      </x:c>
      <x:c r="K4537" s="26" t="n">
        <x:v>0.2</x:v>
      </x:c>
      <x:c r="L4537" s="22" t="n">
        <x:v>13.764599999999994</x:v>
      </x:c>
      <x:c r="M4537" t="n">
        <x:v>2014</x:v>
      </x:c>
      <x:c r="N4537" s="20" t="n">
        <x:v>41913</x:v>
      </x:c>
    </x:row>
    <x:row r="4538" ht="18" customHeight="1">
      <x:c r="A4538" t="str">
        <x:v>CA-2014-140403</x:v>
      </x:c>
      <x:c r="B4538" s="18" t="n">
        <x:v>41922</x:v>
      </x:c>
      <x:c r="C4538" t="str">
        <x:v>TN-21040</x:v>
      </x:c>
      <x:c r="D4538" t="str">
        <x:v>Tanja Norvell</x:v>
      </x:c>
      <x:c r="E4538" t="str">
        <x:v>Home Office</x:v>
      </x:c>
      <x:c r="F4538" t="str">
        <x:v>West</x:v>
      </x:c>
      <x:c r="G4538" t="str">
        <x:v>Office Supplies</x:v>
      </x:c>
      <x:c r="H4538" t="str">
        <x:v>Envelopes</x:v>
      </x:c>
      <x:c r="I4538" s="22" t="n">
        <x:v>15.28</x:v>
      </x:c>
      <x:c r="J4538" s="24" t="n">
        <x:v>2</x:v>
      </x:c>
      <x:c r="K4538" s="26" t="n">
        <x:v>0</x:v>
      </x:c>
      <x:c r="L4538" s="22" t="n">
        <x:v>7.4872</x:v>
      </x:c>
      <x:c r="M4538" t="n">
        <x:v>2014</x:v>
      </x:c>
      <x:c r="N4538" s="20" t="n">
        <x:v>41913</x:v>
      </x:c>
    </x:row>
    <x:row r="4539" ht="18" customHeight="1">
      <x:c r="A4539" t="str">
        <x:v>CA-2015-163104</x:v>
      </x:c>
      <x:c r="B4539" s="18" t="n">
        <x:v>42082</x:v>
      </x:c>
      <x:c r="C4539" t="str">
        <x:v>MC-18130</x:v>
      </x:c>
      <x:c r="D4539" t="str">
        <x:v>Mike Caudle</x:v>
      </x:c>
      <x:c r="E4539" t="str">
        <x:v>Corporate</x:v>
      </x:c>
      <x:c r="F4539" t="str">
        <x:v>West</x:v>
      </x:c>
      <x:c r="G4539" t="str">
        <x:v>Office Supplies</x:v>
      </x:c>
      <x:c r="H4539" t="str">
        <x:v>Paper</x:v>
      </x:c>
      <x:c r="I4539" s="22" t="n">
        <x:v>11.96</x:v>
      </x:c>
      <x:c r="J4539" s="24" t="n">
        <x:v>2</x:v>
      </x:c>
      <x:c r="K4539" s="26" t="n">
        <x:v>0</x:v>
      </x:c>
      <x:c r="L4539" s="22" t="n">
        <x:v>5.8604</x:v>
      </x:c>
      <x:c r="M4539" t="n">
        <x:v>2015</x:v>
      </x:c>
      <x:c r="N4539" s="20" t="n">
        <x:v>42064</x:v>
      </x:c>
    </x:row>
    <x:row r="4540" ht="18" customHeight="1">
      <x:c r="A4540" t="str">
        <x:v>CA-2017-138464</x:v>
      </x:c>
      <x:c r="B4540" s="18" t="n">
        <x:v>42924</x:v>
      </x:c>
      <x:c r="C4540" t="str">
        <x:v>VF-21715</x:v>
      </x:c>
      <x:c r="D4540" t="str">
        <x:v>Vicky Freymann</x:v>
      </x:c>
      <x:c r="E4540" t="str">
        <x:v>Home Office</x:v>
      </x:c>
      <x:c r="F4540" t="str">
        <x:v>West</x:v>
      </x:c>
      <x:c r="G4540" t="str">
        <x:v>Furniture</x:v>
      </x:c>
      <x:c r="H4540" t="str">
        <x:v>Furnishings</x:v>
      </x:c>
      <x:c r="I4540" s="22" t="n">
        <x:v>15.84</x:v>
      </x:c>
      <x:c r="J4540" s="24" t="n">
        <x:v>3</x:v>
      </x:c>
      <x:c r="K4540" s="26" t="n">
        <x:v>0</x:v>
      </x:c>
      <x:c r="L4540" s="22" t="n">
        <x:v>4.910399999999999</x:v>
      </x:c>
      <x:c r="M4540" t="n">
        <x:v>2017</x:v>
      </x:c>
      <x:c r="N4540" s="20" t="n">
        <x:v>42917</x:v>
      </x:c>
    </x:row>
    <x:row r="4541" ht="18" customHeight="1">
      <x:c r="A4541" t="str">
        <x:v>CA-2017-138464</x:v>
      </x:c>
      <x:c r="B4541" s="18" t="n">
        <x:v>42924</x:v>
      </x:c>
      <x:c r="C4541" t="str">
        <x:v>VF-21715</x:v>
      </x:c>
      <x:c r="D4541" t="str">
        <x:v>Vicky Freymann</x:v>
      </x:c>
      <x:c r="E4541" t="str">
        <x:v>Home Office</x:v>
      </x:c>
      <x:c r="F4541" t="str">
        <x:v>West</x:v>
      </x:c>
      <x:c r="G4541" t="str">
        <x:v>Office Supplies</x:v>
      </x:c>
      <x:c r="H4541" t="str">
        <x:v>Binders</x:v>
      </x:c>
      <x:c r="I4541" s="22" t="n">
        <x:v>86.376</x:v>
      </x:c>
      <x:c r="J4541" s="24" t="n">
        <x:v>3</x:v>
      </x:c>
      <x:c r="K4541" s="26" t="n">
        <x:v>0.2</x:v>
      </x:c>
      <x:c r="L4541" s="22" t="n">
        <x:v>30.231600000000007</x:v>
      </x:c>
      <x:c r="M4541" t="n">
        <x:v>2017</x:v>
      </x:c>
      <x:c r="N4541" s="20" t="n">
        <x:v>42917</x:v>
      </x:c>
    </x:row>
    <x:row r="4542" ht="18" customHeight="1">
      <x:c r="A4542" t="str">
        <x:v>CA-2017-138464</x:v>
      </x:c>
      <x:c r="B4542" s="18" t="n">
        <x:v>42924</x:v>
      </x:c>
      <x:c r="C4542" t="str">
        <x:v>VF-21715</x:v>
      </x:c>
      <x:c r="D4542" t="str">
        <x:v>Vicky Freymann</x:v>
      </x:c>
      <x:c r="E4542" t="str">
        <x:v>Home Office</x:v>
      </x:c>
      <x:c r="F4542" t="str">
        <x:v>West</x:v>
      </x:c>
      <x:c r="G4542" t="str">
        <x:v>Office Supplies</x:v>
      </x:c>
      <x:c r="H4542" t="str">
        <x:v>Art</x:v>
      </x:c>
      <x:c r="I4542" s="22" t="n">
        <x:v>18.240000000000002</x:v>
      </x:c>
      <x:c r="J4542" s="24" t="n">
        <x:v>3</x:v>
      </x:c>
      <x:c r="K4542" s="26" t="n">
        <x:v>0</x:v>
      </x:c>
      <x:c r="L4542" s="22" t="n">
        <x:v>6.201599999999999</x:v>
      </x:c>
      <x:c r="M4542" t="n">
        <x:v>2017</x:v>
      </x:c>
      <x:c r="N4542" s="20" t="n">
        <x:v>42917</x:v>
      </x:c>
    </x:row>
    <x:row r="4543" ht="18" customHeight="1">
      <x:c r="A4543" t="str">
        <x:v>CA-2017-138464</x:v>
      </x:c>
      <x:c r="B4543" s="18" t="n">
        <x:v>42924</x:v>
      </x:c>
      <x:c r="C4543" t="str">
        <x:v>VF-21715</x:v>
      </x:c>
      <x:c r="D4543" t="str">
        <x:v>Vicky Freymann</x:v>
      </x:c>
      <x:c r="E4543" t="str">
        <x:v>Home Office</x:v>
      </x:c>
      <x:c r="F4543" t="str">
        <x:v>West</x:v>
      </x:c>
      <x:c r="G4543" t="str">
        <x:v>Office Supplies</x:v>
      </x:c>
      <x:c r="H4543" t="str">
        <x:v>Art</x:v>
      </x:c>
      <x:c r="I4543" s="22" t="n">
        <x:v>13.12</x:v>
      </x:c>
      <x:c r="J4543" s="24" t="n">
        <x:v>4</x:v>
      </x:c>
      <x:c r="K4543" s="26" t="n">
        <x:v>0</x:v>
      </x:c>
      <x:c r="L4543" s="22" t="n">
        <x:v>4.329599999999999</x:v>
      </x:c>
      <x:c r="M4543" t="n">
        <x:v>2017</x:v>
      </x:c>
      <x:c r="N4543" s="20" t="n">
        <x:v>42917</x:v>
      </x:c>
    </x:row>
    <x:row r="4544" ht="18" customHeight="1">
      <x:c r="A4544" t="str">
        <x:v>CA-2015-104129</x:v>
      </x:c>
      <x:c r="B4544" s="18" t="n">
        <x:v>42062</x:v>
      </x:c>
      <x:c r="C4544" t="str">
        <x:v>ES-14080</x:v>
      </x:c>
      <x:c r="D4544" t="str">
        <x:v>Erin Smith</x:v>
      </x:c>
      <x:c r="E4544" t="str">
        <x:v>Corporate</x:v>
      </x:c>
      <x:c r="F4544" t="str">
        <x:v>East</x:v>
      </x:c>
      <x:c r="G4544" t="str">
        <x:v>Technology</x:v>
      </x:c>
      <x:c r="H4544" t="str">
        <x:v>Phones</x:v>
      </x:c>
      <x:c r="I4544" s="22" t="n">
        <x:v>105.98</x:v>
      </x:c>
      <x:c r="J4544" s="24" t="n">
        <x:v>2</x:v>
      </x:c>
      <x:c r="K4544" s="26" t="n">
        <x:v>0</x:v>
      </x:c>
      <x:c r="L4544" s="22" t="n">
        <x:v>1.0597999999999956</x:v>
      </x:c>
      <x:c r="M4544" t="n">
        <x:v>2015</x:v>
      </x:c>
      <x:c r="N4544" s="20" t="n">
        <x:v>42036</x:v>
      </x:c>
    </x:row>
    <x:row r="4545" ht="18" customHeight="1">
      <x:c r="A4545" t="str">
        <x:v>CA-2015-104129</x:v>
      </x:c>
      <x:c r="B4545" s="18" t="n">
        <x:v>42062</x:v>
      </x:c>
      <x:c r="C4545" t="str">
        <x:v>ES-14080</x:v>
      </x:c>
      <x:c r="D4545" t="str">
        <x:v>Erin Smith</x:v>
      </x:c>
      <x:c r="E4545" t="str">
        <x:v>Corporate</x:v>
      </x:c>
      <x:c r="F4545" t="str">
        <x:v>East</x:v>
      </x:c>
      <x:c r="G4545" t="str">
        <x:v>Furniture</x:v>
      </x:c>
      <x:c r="H4545" t="str">
        <x:v>Tables</x:v>
      </x:c>
      <x:c r="I4545" s="22" t="n">
        <x:v>493.9199999999999</x:v>
      </x:c>
      <x:c r="J4545" s="24" t="n">
        <x:v>7</x:v>
      </x:c>
      <x:c r="K4545" s="26" t="n">
        <x:v>0.3</x:v>
      </x:c>
      <x:c r="L4545" s="22" t="n">
        <x:v>-28.22399999999999</x:v>
      </x:c>
      <x:c r="M4545" t="n">
        <x:v>2015</x:v>
      </x:c>
      <x:c r="N4545" s="20" t="n">
        <x:v>42036</x:v>
      </x:c>
    </x:row>
    <x:row r="4546" ht="18" customHeight="1">
      <x:c r="A4546" t="str">
        <x:v>US-2017-132206</x:v>
      </x:c>
      <x:c r="B4546" s="18" t="n">
        <x:v>42902</x:v>
      </x:c>
      <x:c r="C4546" t="str">
        <x:v>MK-17905</x:v>
      </x:c>
      <x:c r="D4546" t="str">
        <x:v>Michael Kennedy</x:v>
      </x:c>
      <x:c r="E4546" t="str">
        <x:v>Corporate</x:v>
      </x:c>
      <x:c r="F4546" t="str">
        <x:v>Central</x:v>
      </x:c>
      <x:c r="G4546" t="str">
        <x:v>Office Supplies</x:v>
      </x:c>
      <x:c r="H4546" t="str">
        <x:v>Binders</x:v>
      </x:c>
      <x:c r="I4546" s="22" t="n">
        <x:v>5.935999999999999</x:v>
      </x:c>
      <x:c r="J4546" s="24" t="n">
        <x:v>7</x:v>
      </x:c>
      <x:c r="K4546" s="26" t="n">
        <x:v>0.8</x:v>
      </x:c>
      <x:c r="L4546" s="22" t="n">
        <x:v>-8.904000000000003</x:v>
      </x:c>
      <x:c r="M4546" t="n">
        <x:v>2017</x:v>
      </x:c>
      <x:c r="N4546" s="20" t="n">
        <x:v>42887</x:v>
      </x:c>
    </x:row>
    <x:row r="4547" ht="18" customHeight="1">
      <x:c r="A4547" t="str">
        <x:v>CA-2017-113474</x:v>
      </x:c>
      <x:c r="B4547" s="18" t="n">
        <x:v>42824</x:v>
      </x:c>
      <x:c r="C4547" t="str">
        <x:v>TM-21490</x:v>
      </x:c>
      <x:c r="D4547" t="str">
        <x:v>Tony Molinari</x:v>
      </x:c>
      <x:c r="E4547" t="str">
        <x:v>Consumer</x:v>
      </x:c>
      <x:c r="F4547" t="str">
        <x:v>Central</x:v>
      </x:c>
      <x:c r="G4547" t="str">
        <x:v>Office Supplies</x:v>
      </x:c>
      <x:c r="H4547" t="str">
        <x:v>Envelopes</x:v>
      </x:c>
      <x:c r="I4547" s="22" t="n">
        <x:v>325.86</x:v>
      </x:c>
      <x:c r="J4547" s="24" t="n">
        <x:v>2</x:v>
      </x:c>
      <x:c r="K4547" s="26" t="n">
        <x:v>0</x:v>
      </x:c>
      <x:c r="L4547" s="22" t="n">
        <x:v>149.8956</x:v>
      </x:c>
      <x:c r="M4547" t="n">
        <x:v>2017</x:v>
      </x:c>
      <x:c r="N4547" s="20" t="n">
        <x:v>42795</x:v>
      </x:c>
    </x:row>
    <x:row r="4548" ht="18" customHeight="1">
      <x:c r="A4548" t="str">
        <x:v>CA-2015-126557</x:v>
      </x:c>
      <x:c r="B4548" s="18" t="n">
        <x:v>42197</x:v>
      </x:c>
      <x:c r="C4548" t="str">
        <x:v>RL-19615</x:v>
      </x:c>
      <x:c r="D4548" t="str">
        <x:v>Rob Lucas</x:v>
      </x:c>
      <x:c r="E4548" t="str">
        <x:v>Consumer</x:v>
      </x:c>
      <x:c r="F4548" t="str">
        <x:v>Central</x:v>
      </x:c>
      <x:c r="G4548" t="str">
        <x:v>Furniture</x:v>
      </x:c>
      <x:c r="H4548" t="str">
        <x:v>Chairs</x:v>
      </x:c>
      <x:c r="I4548" s="22" t="n">
        <x:v>383.60699999999997</x:v>
      </x:c>
      <x:c r="J4548" s="24" t="n">
        <x:v>9</x:v>
      </x:c>
      <x:c r="K4548" s="26" t="n">
        <x:v>0.3</x:v>
      </x:c>
      <x:c r="L4548" s="22" t="n">
        <x:v>-5.4801000000000215</x:v>
      </x:c>
      <x:c r="M4548" t="n">
        <x:v>2015</x:v>
      </x:c>
      <x:c r="N4548" s="20" t="n">
        <x:v>42186</x:v>
      </x:c>
    </x:row>
    <x:row r="4549" ht="18" customHeight="1">
      <x:c r="A4549" t="str">
        <x:v>CA-2015-126557</x:v>
      </x:c>
      <x:c r="B4549" s="18" t="n">
        <x:v>42197</x:v>
      </x:c>
      <x:c r="C4549" t="str">
        <x:v>RL-19615</x:v>
      </x:c>
      <x:c r="D4549" t="str">
        <x:v>Rob Lucas</x:v>
      </x:c>
      <x:c r="E4549" t="str">
        <x:v>Consumer</x:v>
      </x:c>
      <x:c r="F4549" t="str">
        <x:v>Central</x:v>
      </x:c>
      <x:c r="G4549" t="str">
        <x:v>Technology</x:v>
      </x:c>
      <x:c r="H4549" t="str">
        <x:v>Phones</x:v>
      </x:c>
      <x:c r="I4549" s="22" t="n">
        <x:v>148.48</x:v>
      </x:c>
      <x:c r="J4549" s="24" t="n">
        <x:v>2</x:v>
      </x:c>
      <x:c r="K4549" s="26" t="n">
        <x:v>0.2</x:v>
      </x:c>
      <x:c r="L4549" s="22" t="n">
        <x:v>16.703999999999986</x:v>
      </x:c>
      <x:c r="M4549" t="n">
        <x:v>2015</x:v>
      </x:c>
      <x:c r="N4549" s="20" t="n">
        <x:v>42186</x:v>
      </x:c>
    </x:row>
    <x:row r="4550" ht="18" customHeight="1">
      <x:c r="A4550" t="str">
        <x:v>CA-2015-126557</x:v>
      </x:c>
      <x:c r="B4550" s="18" t="n">
        <x:v>42197</x:v>
      </x:c>
      <x:c r="C4550" t="str">
        <x:v>RL-19615</x:v>
      </x:c>
      <x:c r="D4550" t="str">
        <x:v>Rob Lucas</x:v>
      </x:c>
      <x:c r="E4550" t="str">
        <x:v>Consumer</x:v>
      </x:c>
      <x:c r="F4550" t="str">
        <x:v>Central</x:v>
      </x:c>
      <x:c r="G4550" t="str">
        <x:v>Technology</x:v>
      </x:c>
      <x:c r="H4550" t="str">
        <x:v>Phones</x:v>
      </x:c>
      <x:c r="I4550" s="22" t="n">
        <x:v>537.544</x:v>
      </x:c>
      <x:c r="J4550" s="24" t="n">
        <x:v>7</x:v>
      </x:c>
      <x:c r="K4550" s="26" t="n">
        <x:v>0.2</x:v>
      </x:c>
      <x:c r="L4550" s="22" t="n">
        <x:v>53.754400000000004</x:v>
      </x:c>
      <x:c r="M4550" t="n">
        <x:v>2015</x:v>
      </x:c>
      <x:c r="N4550" s="20" t="n">
        <x:v>42186</x:v>
      </x:c>
    </x:row>
    <x:row r="4551" ht="18" customHeight="1">
      <x:c r="A4551" t="str">
        <x:v>CA-2015-126557</x:v>
      </x:c>
      <x:c r="B4551" s="18" t="n">
        <x:v>42197</x:v>
      </x:c>
      <x:c r="C4551" t="str">
        <x:v>RL-19615</x:v>
      </x:c>
      <x:c r="D4551" t="str">
        <x:v>Rob Lucas</x:v>
      </x:c>
      <x:c r="E4551" t="str">
        <x:v>Consumer</x:v>
      </x:c>
      <x:c r="F4551" t="str">
        <x:v>Central</x:v>
      </x:c>
      <x:c r="G4551" t="str">
        <x:v>Office Supplies</x:v>
      </x:c>
      <x:c r="H4551" t="str">
        <x:v>Binders</x:v>
      </x:c>
      <x:c r="I4551" s="22" t="n">
        <x:v>1.9279999999999997</x:v>
      </x:c>
      <x:c r="J4551" s="24" t="n">
        <x:v>2</x:v>
      </x:c>
      <x:c r="K4551" s="26" t="n">
        <x:v>0.8</x:v>
      </x:c>
      <x:c r="L4551" s="22" t="n">
        <x:v>-2.9884000000000004</x:v>
      </x:c>
      <x:c r="M4551" t="n">
        <x:v>2015</x:v>
      </x:c>
      <x:c r="N4551" s="20" t="n">
        <x:v>42186</x:v>
      </x:c>
    </x:row>
    <x:row r="4552" ht="18" customHeight="1">
      <x:c r="A4552" t="str">
        <x:v>CA-2015-126557</x:v>
      </x:c>
      <x:c r="B4552" s="18" t="n">
        <x:v>42197</x:v>
      </x:c>
      <x:c r="C4552" t="str">
        <x:v>RL-19615</x:v>
      </x:c>
      <x:c r="D4552" t="str">
        <x:v>Rob Lucas</x:v>
      </x:c>
      <x:c r="E4552" t="str">
        <x:v>Consumer</x:v>
      </x:c>
      <x:c r="F4552" t="str">
        <x:v>Central</x:v>
      </x:c>
      <x:c r="G4552" t="str">
        <x:v>Office Supplies</x:v>
      </x:c>
      <x:c r="H4552" t="str">
        <x:v>Art</x:v>
      </x:c>
      <x:c r="I4552" s="22" t="n">
        <x:v>6.911999999999999</x:v>
      </x:c>
      <x:c r="J4552" s="24" t="n">
        <x:v>3</x:v>
      </x:c>
      <x:c r="K4552" s="26" t="n">
        <x:v>0.2</x:v>
      </x:c>
      <x:c r="L4552" s="22" t="n">
        <x:v>0.6912000000000003</x:v>
      </x:c>
      <x:c r="M4552" t="n">
        <x:v>2015</x:v>
      </x:c>
      <x:c r="N4552" s="20" t="n">
        <x:v>42186</x:v>
      </x:c>
    </x:row>
    <x:row r="4553" ht="18" customHeight="1">
      <x:c r="A4553" t="str">
        <x:v>CA-2015-126557</x:v>
      </x:c>
      <x:c r="B4553" s="18" t="n">
        <x:v>42197</x:v>
      </x:c>
      <x:c r="C4553" t="str">
        <x:v>RL-19615</x:v>
      </x:c>
      <x:c r="D4553" t="str">
        <x:v>Rob Lucas</x:v>
      </x:c>
      <x:c r="E4553" t="str">
        <x:v>Consumer</x:v>
      </x:c>
      <x:c r="F4553" t="str">
        <x:v>Central</x:v>
      </x:c>
      <x:c r="G4553" t="str">
        <x:v>Furniture</x:v>
      </x:c>
      <x:c r="H4553" t="str">
        <x:v>Furnishings</x:v>
      </x:c>
      <x:c r="I4553" s="22" t="n">
        <x:v>7.76</x:v>
      </x:c>
      <x:c r="J4553" s="24" t="n">
        <x:v>1</x:v>
      </x:c>
      <x:c r="K4553" s="26" t="n">
        <x:v>0.6</x:v>
      </x:c>
      <x:c r="L4553" s="22" t="n">
        <x:v>-2.1340000000000003</x:v>
      </x:c>
      <x:c r="M4553" t="n">
        <x:v>2015</x:v>
      </x:c>
      <x:c r="N4553" s="20" t="n">
        <x:v>42186</x:v>
      </x:c>
    </x:row>
    <x:row r="4554" ht="18" customHeight="1">
      <x:c r="A4554" t="str">
        <x:v>CA-2015-126557</x:v>
      </x:c>
      <x:c r="B4554" s="18" t="n">
        <x:v>42197</x:v>
      </x:c>
      <x:c r="C4554" t="str">
        <x:v>RL-19615</x:v>
      </x:c>
      <x:c r="D4554" t="str">
        <x:v>Rob Lucas</x:v>
      </x:c>
      <x:c r="E4554" t="str">
        <x:v>Consumer</x:v>
      </x:c>
      <x:c r="F4554" t="str">
        <x:v>Central</x:v>
      </x:c>
      <x:c r="G4554" t="str">
        <x:v>Technology</x:v>
      </x:c>
      <x:c r="H4554" t="str">
        <x:v>Phones</x:v>
      </x:c>
      <x:c r="I4554" s="22" t="n">
        <x:v>659.1680000000001</x:v>
      </x:c>
      <x:c r="J4554" s="24" t="n">
        <x:v>4</x:v>
      </x:c>
      <x:c r="K4554" s="26" t="n">
        <x:v>0.2</x:v>
      </x:c>
      <x:c r="L4554" s="22" t="n">
        <x:v>49.437599999999975</x:v>
      </x:c>
      <x:c r="M4554" t="n">
        <x:v>2015</x:v>
      </x:c>
      <x:c r="N4554" s="20" t="n">
        <x:v>42186</x:v>
      </x:c>
    </x:row>
    <x:row r="4555" ht="18" customHeight="1">
      <x:c r="A4555" t="str">
        <x:v>US-2017-107636</x:v>
      </x:c>
      <x:c r="B4555" s="18" t="n">
        <x:v>42855</x:v>
      </x:c>
      <x:c r="C4555" t="str">
        <x:v>NM-18520</x:v>
      </x:c>
      <x:c r="D4555" t="str">
        <x:v>Neoma Murray</x:v>
      </x:c>
      <x:c r="E4555" t="str">
        <x:v>Consumer</x:v>
      </x:c>
      <x:c r="F4555" t="str">
        <x:v>East</x:v>
      </x:c>
      <x:c r="G4555" t="str">
        <x:v>Office Supplies</x:v>
      </x:c>
      <x:c r="H4555" t="str">
        <x:v>Labels</x:v>
      </x:c>
      <x:c r="I4555" s="22" t="n">
        <x:v>5.76</x:v>
      </x:c>
      <x:c r="J4555" s="24" t="n">
        <x:v>2</x:v>
      </x:c>
      <x:c r="K4555" s="26" t="n">
        <x:v>0</x:v>
      </x:c>
      <x:c r="L4555" s="22" t="n">
        <x:v>2.8224</x:v>
      </x:c>
      <x:c r="M4555" t="n">
        <x:v>2017</x:v>
      </x:c>
      <x:c r="N4555" s="20" t="n">
        <x:v>42826</x:v>
      </x:c>
    </x:row>
    <x:row r="4556" ht="18" customHeight="1">
      <x:c r="A4556" t="str">
        <x:v>US-2014-165862</x:v>
      </x:c>
      <x:c r="B4556" s="18" t="n">
        <x:v>41833</x:v>
      </x:c>
      <x:c r="C4556" t="str">
        <x:v>GK-14620</x:v>
      </x:c>
      <x:c r="D4556" t="str">
        <x:v>Grace Kelly</x:v>
      </x:c>
      <x:c r="E4556" t="str">
        <x:v>Corporate</x:v>
      </x:c>
      <x:c r="F4556" t="str">
        <x:v>West</x:v>
      </x:c>
      <x:c r="G4556" t="str">
        <x:v>Furniture</x:v>
      </x:c>
      <x:c r="H4556" t="str">
        <x:v>Tables</x:v>
      </x:c>
      <x:c r="I4556" s="22" t="n">
        <x:v>351.216</x:v>
      </x:c>
      <x:c r="J4556" s="24" t="n">
        <x:v>3</x:v>
      </x:c>
      <x:c r="K4556" s="26" t="n">
        <x:v>0.2</x:v>
      </x:c>
      <x:c r="L4556" s="22" t="n">
        <x:v>4.390199999999979</x:v>
      </x:c>
      <x:c r="M4556" t="n">
        <x:v>2014</x:v>
      </x:c>
      <x:c r="N4556" s="20" t="n">
        <x:v>41821</x:v>
      </x:c>
    </x:row>
    <x:row r="4557" ht="18" customHeight="1">
      <x:c r="A4557" t="str">
        <x:v>US-2014-106334</x:v>
      </x:c>
      <x:c r="B4557" s="18" t="n">
        <x:v>42000</x:v>
      </x:c>
      <x:c r="C4557" t="str">
        <x:v>JF-15490</x:v>
      </x:c>
      <x:c r="D4557" t="str">
        <x:v>Jeremy Farry</x:v>
      </x:c>
      <x:c r="E4557" t="str">
        <x:v>Consumer</x:v>
      </x:c>
      <x:c r="F4557" t="str">
        <x:v>West</x:v>
      </x:c>
      <x:c r="G4557" t="str">
        <x:v>Furniture</x:v>
      </x:c>
      <x:c r="H4557" t="str">
        <x:v>Chairs</x:v>
      </x:c>
      <x:c r="I4557" s="22" t="n">
        <x:v>230.28000000000003</x:v>
      </x:c>
      <x:c r="J4557" s="24" t="n">
        <x:v>3</x:v>
      </x:c>
      <x:c r="K4557" s="26" t="n">
        <x:v>0.2</x:v>
      </x:c>
      <x:c r="L4557" s="22" t="n">
        <x:v>23.02799999999999</x:v>
      </x:c>
      <x:c r="M4557" t="n">
        <x:v>2014</x:v>
      </x:c>
      <x:c r="N4557" s="20" t="n">
        <x:v>41974</x:v>
      </x:c>
    </x:row>
    <x:row r="4558" ht="18" customHeight="1">
      <x:c r="A4558" t="str">
        <x:v>US-2014-106334</x:v>
      </x:c>
      <x:c r="B4558" s="18" t="n">
        <x:v>42000</x:v>
      </x:c>
      <x:c r="C4558" t="str">
        <x:v>JF-15490</x:v>
      </x:c>
      <x:c r="D4558" t="str">
        <x:v>Jeremy Farry</x:v>
      </x:c>
      <x:c r="E4558" t="str">
        <x:v>Consumer</x:v>
      </x:c>
      <x:c r="F4558" t="str">
        <x:v>West</x:v>
      </x:c>
      <x:c r="G4558" t="str">
        <x:v>Office Supplies</x:v>
      </x:c>
      <x:c r="H4558" t="str">
        <x:v>Paper</x:v>
      </x:c>
      <x:c r="I4558" s="22" t="n">
        <x:v>12.84</x:v>
      </x:c>
      <x:c r="J4558" s="24" t="n">
        <x:v>3</x:v>
      </x:c>
      <x:c r="K4558" s="26" t="n">
        <x:v>0</x:v>
      </x:c>
      <x:c r="L4558" s="22" t="n">
        <x:v>5.777999999999999</x:v>
      </x:c>
      <x:c r="M4558" t="n">
        <x:v>2014</x:v>
      </x:c>
      <x:c r="N4558" s="20" t="n">
        <x:v>41974</x:v>
      </x:c>
    </x:row>
    <x:row r="4559" ht="18" customHeight="1">
      <x:c r="A4559" t="str">
        <x:v>CA-2016-101448</x:v>
      </x:c>
      <x:c r="B4559" s="18" t="n">
        <x:v>42427</x:v>
      </x:c>
      <x:c r="C4559" t="str">
        <x:v>EB-13930</x:v>
      </x:c>
      <x:c r="D4559" t="str">
        <x:v>Eric Barreto</x:v>
      </x:c>
      <x:c r="E4559" t="str">
        <x:v>Consumer</x:v>
      </x:c>
      <x:c r="F4559" t="str">
        <x:v>Central</x:v>
      </x:c>
      <x:c r="G4559" t="str">
        <x:v>Office Supplies</x:v>
      </x:c>
      <x:c r="H4559" t="str">
        <x:v>Binders</x:v>
      </x:c>
      <x:c r="I4559" s="22" t="n">
        <x:v>56.82000000000001</x:v>
      </x:c>
      <x:c r="J4559" s="24" t="n">
        <x:v>3</x:v>
      </x:c>
      <x:c r="K4559" s="26" t="n">
        <x:v>0</x:v>
      </x:c>
      <x:c r="L4559" s="22" t="n">
        <x:v>28.410000000000004</x:v>
      </x:c>
      <x:c r="M4559" t="n">
        <x:v>2016</x:v>
      </x:c>
      <x:c r="N4559" s="20" t="n">
        <x:v>42401</x:v>
      </x:c>
    </x:row>
    <x:row r="4560" ht="18" customHeight="1">
      <x:c r="A4560" t="str">
        <x:v>CA-2015-130218</x:v>
      </x:c>
      <x:c r="B4560" s="18" t="n">
        <x:v>42086</x:v>
      </x:c>
      <x:c r="C4560" t="str">
        <x:v>SG-20470</x:v>
      </x:c>
      <x:c r="D4560" t="str">
        <x:v>Sheri Gordon</x:v>
      </x:c>
      <x:c r="E4560" t="str">
        <x:v>Consumer</x:v>
      </x:c>
      <x:c r="F4560" t="str">
        <x:v>South</x:v>
      </x:c>
      <x:c r="G4560" t="str">
        <x:v>Office Supplies</x:v>
      </x:c>
      <x:c r="H4560" t="str">
        <x:v>Fasteners</x:v>
      </x:c>
      <x:c r="I4560" s="22" t="n">
        <x:v>31.56</x:v>
      </x:c>
      <x:c r="J4560" s="24" t="n">
        <x:v>4</x:v>
      </x:c>
      <x:c r="K4560" s="26" t="n">
        <x:v>0</x:v>
      </x:c>
      <x:c r="L4560" s="22" t="n">
        <x:v>14.201999999999998</x:v>
      </x:c>
      <x:c r="M4560" t="n">
        <x:v>2015</x:v>
      </x:c>
      <x:c r="N4560" s="20" t="n">
        <x:v>42064</x:v>
      </x:c>
    </x:row>
    <x:row r="4561" ht="18" customHeight="1">
      <x:c r="A4561" t="str">
        <x:v>CA-2015-130218</x:v>
      </x:c>
      <x:c r="B4561" s="18" t="n">
        <x:v>42086</x:v>
      </x:c>
      <x:c r="C4561" t="str">
        <x:v>SG-20470</x:v>
      </x:c>
      <x:c r="D4561" t="str">
        <x:v>Sheri Gordon</x:v>
      </x:c>
      <x:c r="E4561" t="str">
        <x:v>Consumer</x:v>
      </x:c>
      <x:c r="F4561" t="str">
        <x:v>South</x:v>
      </x:c>
      <x:c r="G4561" t="str">
        <x:v>Office Supplies</x:v>
      </x:c>
      <x:c r="H4561" t="str">
        <x:v>Storage</x:v>
      </x:c>
      <x:c r="I4561" s="22" t="n">
        <x:v>27.92</x:v>
      </x:c>
      <x:c r="J4561" s="24" t="n">
        <x:v>4</x:v>
      </x:c>
      <x:c r="K4561" s="26" t="n">
        <x:v>0</x:v>
      </x:c>
      <x:c r="L4561" s="22" t="n">
        <x:v>0.5583999999999989</x:v>
      </x:c>
      <x:c r="M4561" t="n">
        <x:v>2015</x:v>
      </x:c>
      <x:c r="N4561" s="20" t="n">
        <x:v>42064</x:v>
      </x:c>
    </x:row>
    <x:row r="4562" ht="18" customHeight="1">
      <x:c r="A4562" t="str">
        <x:v>US-2017-117331</x:v>
      </x:c>
      <x:c r="B4562" s="18" t="n">
        <x:v>43029</x:v>
      </x:c>
      <x:c r="C4562" t="str">
        <x:v>ND-18370</x:v>
      </x:c>
      <x:c r="D4562" t="str">
        <x:v>Natalie DeCherney</x:v>
      </x:c>
      <x:c r="E4562" t="str">
        <x:v>Consumer</x:v>
      </x:c>
      <x:c r="F4562" t="str">
        <x:v>West</x:v>
      </x:c>
      <x:c r="G4562" t="str">
        <x:v>Office Supplies</x:v>
      </x:c>
      <x:c r="H4562" t="str">
        <x:v>Binders</x:v>
      </x:c>
      <x:c r="I4562" s="22" t="n">
        <x:v>8.559000000000001</x:v>
      </x:c>
      <x:c r="J4562" s="24" t="n">
        <x:v>1</x:v>
      </x:c>
      <x:c r="K4562" s="26" t="n">
        <x:v>0.7</x:v>
      </x:c>
      <x:c r="L4562" s="22" t="n">
        <x:v>-6.5619</x:v>
      </x:c>
      <x:c r="M4562" t="n">
        <x:v>2017</x:v>
      </x:c>
      <x:c r="N4562" s="20" t="n">
        <x:v>43009</x:v>
      </x:c>
    </x:row>
    <x:row r="4563" ht="18" customHeight="1">
      <x:c r="A4563" t="str">
        <x:v>CA-2014-127383</x:v>
      </x:c>
      <x:c r="B4563" s="18" t="n">
        <x:v>42004</x:v>
      </x:c>
      <x:c r="C4563" t="str">
        <x:v>CM-11815</x:v>
      </x:c>
      <x:c r="D4563" t="str">
        <x:v>Candace McMahon</x:v>
      </x:c>
      <x:c r="E4563" t="str">
        <x:v>Corporate</x:v>
      </x:c>
      <x:c r="F4563" t="str">
        <x:v>Central</x:v>
      </x:c>
      <x:c r="G4563" t="str">
        <x:v>Office Supplies</x:v>
      </x:c>
      <x:c r="H4563" t="str">
        <x:v>Envelopes</x:v>
      </x:c>
      <x:c r="I4563" s="22" t="n">
        <x:v>49.568000000000005</x:v>
      </x:c>
      <x:c r="J4563" s="24" t="n">
        <x:v>2</x:v>
      </x:c>
      <x:c r="K4563" s="26" t="n">
        <x:v>0.2</x:v>
      </x:c>
      <x:c r="L4563" s="22" t="n">
        <x:v>17.968399999999995</x:v>
      </x:c>
      <x:c r="M4563" t="n">
        <x:v>2014</x:v>
      </x:c>
      <x:c r="N4563" s="20" t="n">
        <x:v>41974</x:v>
      </x:c>
    </x:row>
    <x:row r="4564" ht="18" customHeight="1">
      <x:c r="A4564" t="str">
        <x:v>CA-2014-110219</x:v>
      </x:c>
      <x:c r="B4564" s="18" t="n">
        <x:v>41764</x:v>
      </x:c>
      <x:c r="C4564" t="str">
        <x:v>EB-13870</x:v>
      </x:c>
      <x:c r="D4564" t="str">
        <x:v>Emily Burns</x:v>
      </x:c>
      <x:c r="E4564" t="str">
        <x:v>Consumer</x:v>
      </x:c>
      <x:c r="F4564" t="str">
        <x:v>Central</x:v>
      </x:c>
      <x:c r="G4564" t="str">
        <x:v>Furniture</x:v>
      </x:c>
      <x:c r="H4564" t="str">
        <x:v>Chairs</x:v>
      </x:c>
      <x:c r="I4564" s="22" t="n">
        <x:v>127.869</x:v>
      </x:c>
      <x:c r="J4564" s="24" t="n">
        <x:v>3</x:v>
      </x:c>
      <x:c r="K4564" s="26" t="n">
        <x:v>0.3</x:v>
      </x:c>
      <x:c r="L4564" s="22" t="n">
        <x:v>-9.133500000000012</x:v>
      </x:c>
      <x:c r="M4564" t="n">
        <x:v>2014</x:v>
      </x:c>
      <x:c r="N4564" s="20" t="n">
        <x:v>41760</x:v>
      </x:c>
    </x:row>
    <x:row r="4565" ht="18" customHeight="1">
      <x:c r="A4565" t="str">
        <x:v>CA-2015-118871</x:v>
      </x:c>
      <x:c r="B4565" s="18" t="n">
        <x:v>42342</x:v>
      </x:c>
      <x:c r="C4565" t="str">
        <x:v>HM-14860</x:v>
      </x:c>
      <x:c r="D4565" t="str">
        <x:v>Harry Marie</x:v>
      </x:c>
      <x:c r="E4565" t="str">
        <x:v>Corporate</x:v>
      </x:c>
      <x:c r="F4565" t="str">
        <x:v>West</x:v>
      </x:c>
      <x:c r="G4565" t="str">
        <x:v>Office Supplies</x:v>
      </x:c>
      <x:c r="H4565" t="str">
        <x:v>Envelopes</x:v>
      </x:c>
      <x:c r="I4565" s="22" t="n">
        <x:v>271.44</x:v>
      </x:c>
      <x:c r="J4565" s="24" t="n">
        <x:v>3</x:v>
      </x:c>
      <x:c r="K4565" s="26" t="n">
        <x:v>0</x:v>
      </x:c>
      <x:c r="L4565" s="22" t="n">
        <x:v>122.148</x:v>
      </x:c>
      <x:c r="M4565" t="n">
        <x:v>2015</x:v>
      </x:c>
      <x:c r="N4565" s="20" t="n">
        <x:v>42339</x:v>
      </x:c>
    </x:row>
    <x:row r="4566" ht="18" customHeight="1">
      <x:c r="A4566" t="str">
        <x:v>CA-2015-118871</x:v>
      </x:c>
      <x:c r="B4566" s="18" t="n">
        <x:v>42342</x:v>
      </x:c>
      <x:c r="C4566" t="str">
        <x:v>HM-14860</x:v>
      </x:c>
      <x:c r="D4566" t="str">
        <x:v>Harry Marie</x:v>
      </x:c>
      <x:c r="E4566" t="str">
        <x:v>Corporate</x:v>
      </x:c>
      <x:c r="F4566" t="str">
        <x:v>West</x:v>
      </x:c>
      <x:c r="G4566" t="str">
        <x:v>Technology</x:v>
      </x:c>
      <x:c r="H4566" t="str">
        <x:v>Phones</x:v>
      </x:c>
      <x:c r="I4566" s="22" t="n">
        <x:v>110.352</x:v>
      </x:c>
      <x:c r="J4566" s="24" t="n">
        <x:v>3</x:v>
      </x:c>
      <x:c r="K4566" s="26" t="n">
        <x:v>0.2</x:v>
      </x:c>
      <x:c r="L4566" s="22" t="n">
        <x:v>8.276399999999995</x:v>
      </x:c>
      <x:c r="M4566" t="n">
        <x:v>2015</x:v>
      </x:c>
      <x:c r="N4566" s="20" t="n">
        <x:v>42339</x:v>
      </x:c>
    </x:row>
    <x:row r="4567" ht="18" customHeight="1">
      <x:c r="A4567" t="str">
        <x:v>CA-2015-118871</x:v>
      </x:c>
      <x:c r="B4567" s="18" t="n">
        <x:v>42342</x:v>
      </x:c>
      <x:c r="C4567" t="str">
        <x:v>HM-14860</x:v>
      </x:c>
      <x:c r="D4567" t="str">
        <x:v>Harry Marie</x:v>
      </x:c>
      <x:c r="E4567" t="str">
        <x:v>Corporate</x:v>
      </x:c>
      <x:c r="F4567" t="str">
        <x:v>West</x:v>
      </x:c>
      <x:c r="G4567" t="str">
        <x:v>Furniture</x:v>
      </x:c>
      <x:c r="H4567" t="str">
        <x:v>Furnishings</x:v>
      </x:c>
      <x:c r="I4567" s="22" t="n">
        <x:v>36.4</x:v>
      </x:c>
      <x:c r="J4567" s="24" t="n">
        <x:v>5</x:v>
      </x:c>
      <x:c r="K4567" s="26" t="n">
        <x:v>0</x:v>
      </x:c>
      <x:c r="L4567" s="22" t="n">
        <x:v>13.832</x:v>
      </x:c>
      <x:c r="M4567" t="n">
        <x:v>2015</x:v>
      </x:c>
      <x:c r="N4567" s="20" t="n">
        <x:v>42339</x:v>
      </x:c>
    </x:row>
    <x:row r="4568" ht="18" customHeight="1">
      <x:c r="A4568" t="str">
        <x:v>CA-2017-129490</x:v>
      </x:c>
      <x:c r="B4568" s="18" t="n">
        <x:v>43004</x:v>
      </x:c>
      <x:c r="C4568" t="str">
        <x:v>SJ-20125</x:v>
      </x:c>
      <x:c r="D4568" t="str">
        <x:v>Sanjit Jacobs</x:v>
      </x:c>
      <x:c r="E4568" t="str">
        <x:v>Home Office</x:v>
      </x:c>
      <x:c r="F4568" t="str">
        <x:v>South</x:v>
      </x:c>
      <x:c r="G4568" t="str">
        <x:v>Furniture</x:v>
      </x:c>
      <x:c r="H4568" t="str">
        <x:v>Chairs</x:v>
      </x:c>
      <x:c r="I4568" s="22" t="n">
        <x:v>419.13599999999997</x:v>
      </x:c>
      <x:c r="J4568" s="24" t="n">
        <x:v>4</x:v>
      </x:c>
      <x:c r="K4568" s="26" t="n">
        <x:v>0.2</x:v>
      </x:c>
      <x:c r="L4568" s="22" t="n">
        <x:v>-57.631200000000035</x:v>
      </x:c>
      <x:c r="M4568" t="n">
        <x:v>2017</x:v>
      </x:c>
      <x:c r="N4568" s="20" t="n">
        <x:v>42979</x:v>
      </x:c>
    </x:row>
    <x:row r="4569" ht="18" customHeight="1">
      <x:c r="A4569" t="str">
        <x:v>CA-2014-101175</x:v>
      </x:c>
      <x:c r="B4569" s="18" t="n">
        <x:v>41982</x:v>
      </x:c>
      <x:c r="C4569" t="str">
        <x:v>DM-12955</x:v>
      </x:c>
      <x:c r="D4569" t="str">
        <x:v>Dario Medina</x:v>
      </x:c>
      <x:c r="E4569" t="str">
        <x:v>Corporate</x:v>
      </x:c>
      <x:c r="F4569" t="str">
        <x:v>West</x:v>
      </x:c>
      <x:c r="G4569" t="str">
        <x:v>Office Supplies</x:v>
      </x:c>
      <x:c r="H4569" t="str">
        <x:v>Storage</x:v>
      </x:c>
      <x:c r="I4569" s="22" t="n">
        <x:v>100.70400000000001</x:v>
      </x:c>
      <x:c r="J4569" s="24" t="n">
        <x:v>6</x:v>
      </x:c>
      <x:c r="K4569" s="26" t="n">
        <x:v>0.2</x:v>
      </x:c>
      <x:c r="L4569" s="22" t="n">
        <x:v>-1.2588000000000008</x:v>
      </x:c>
      <x:c r="M4569" t="n">
        <x:v>2014</x:v>
      </x:c>
      <x:c r="N4569" s="20" t="n">
        <x:v>41974</x:v>
      </x:c>
    </x:row>
    <x:row r="4570" ht="18" customHeight="1">
      <x:c r="A4570" t="str">
        <x:v>US-2017-149510</x:v>
      </x:c>
      <x:c r="B4570" s="18" t="n">
        <x:v>43072</x:v>
      </x:c>
      <x:c r="C4570" t="str">
        <x:v>MC-17575</x:v>
      </x:c>
      <x:c r="D4570" t="str">
        <x:v>Matt Collins</x:v>
      </x:c>
      <x:c r="E4570" t="str">
        <x:v>Consumer</x:v>
      </x:c>
      <x:c r="F4570" t="str">
        <x:v>South</x:v>
      </x:c>
      <x:c r="G4570" t="str">
        <x:v>Office Supplies</x:v>
      </x:c>
      <x:c r="H4570" t="str">
        <x:v>Appliances</x:v>
      </x:c>
      <x:c r="I4570" s="22" t="n">
        <x:v>45.216</x:v>
      </x:c>
      <x:c r="J4570" s="24" t="n">
        <x:v>3</x:v>
      </x:c>
      <x:c r="K4570" s="26" t="n">
        <x:v>0.2</x:v>
      </x:c>
      <x:c r="L4570" s="22" t="n">
        <x:v>4.521599999999999</x:v>
      </x:c>
      <x:c r="M4570" t="n">
        <x:v>2017</x:v>
      </x:c>
      <x:c r="N4570" s="20" t="n">
        <x:v>43070</x:v>
      </x:c>
    </x:row>
    <x:row r="4571" ht="18" customHeight="1">
      <x:c r="A4571" t="str">
        <x:v>US-2017-149510</x:v>
      </x:c>
      <x:c r="B4571" s="18" t="n">
        <x:v>43072</x:v>
      </x:c>
      <x:c r="C4571" t="str">
        <x:v>MC-17575</x:v>
      </x:c>
      <x:c r="D4571" t="str">
        <x:v>Matt Collins</x:v>
      </x:c>
      <x:c r="E4571" t="str">
        <x:v>Consumer</x:v>
      </x:c>
      <x:c r="F4571" t="str">
        <x:v>South</x:v>
      </x:c>
      <x:c r="G4571" t="str">
        <x:v>Office Supplies</x:v>
      </x:c>
      <x:c r="H4571" t="str">
        <x:v>Binders</x:v>
      </x:c>
      <x:c r="I4571" s="22" t="n">
        <x:v>28.782000000000004</x:v>
      </x:c>
      <x:c r="J4571" s="24" t="n">
        <x:v>6</x:v>
      </x:c>
      <x:c r="K4571" s="26" t="n">
        <x:v>0.7</x:v>
      </x:c>
      <x:c r="L4571" s="22" t="n">
        <x:v>-21.1068</x:v>
      </x:c>
      <x:c r="M4571" t="n">
        <x:v>2017</x:v>
      </x:c>
      <x:c r="N4571" s="20" t="n">
        <x:v>43070</x:v>
      </x:c>
    </x:row>
    <x:row r="4572" ht="18" customHeight="1">
      <x:c r="A4572" t="str">
        <x:v>US-2017-149510</x:v>
      </x:c>
      <x:c r="B4572" s="18" t="n">
        <x:v>43072</x:v>
      </x:c>
      <x:c r="C4572" t="str">
        <x:v>MC-17575</x:v>
      </x:c>
      <x:c r="D4572" t="str">
        <x:v>Matt Collins</x:v>
      </x:c>
      <x:c r="E4572" t="str">
        <x:v>Consumer</x:v>
      </x:c>
      <x:c r="F4572" t="str">
        <x:v>South</x:v>
      </x:c>
      <x:c r="G4572" t="str">
        <x:v>Office Supplies</x:v>
      </x:c>
      <x:c r="H4572" t="str">
        <x:v>Paper</x:v>
      </x:c>
      <x:c r="I4572" s="22" t="n">
        <x:v>24.448</x:v>
      </x:c>
      <x:c r="J4572" s="24" t="n">
        <x:v>4</x:v>
      </x:c>
      <x:c r="K4572" s="26" t="n">
        <x:v>0.2</x:v>
      </x:c>
      <x:c r="L4572" s="22" t="n">
        <x:v>8.8624</x:v>
      </x:c>
      <x:c r="M4572" t="n">
        <x:v>2017</x:v>
      </x:c>
      <x:c r="N4572" s="20" t="n">
        <x:v>43070</x:v>
      </x:c>
    </x:row>
    <x:row r="4573" ht="18" customHeight="1">
      <x:c r="A4573" t="str">
        <x:v>CA-2015-111990</x:v>
      </x:c>
      <x:c r="B4573" s="18" t="n">
        <x:v>42316</x:v>
      </x:c>
      <x:c r="C4573" t="str">
        <x:v>DB-13660</x:v>
      </x:c>
      <x:c r="D4573" t="str">
        <x:v>Duane Benoit</x:v>
      </x:c>
      <x:c r="E4573" t="str">
        <x:v>Consumer</x:v>
      </x:c>
      <x:c r="F4573" t="str">
        <x:v>Central</x:v>
      </x:c>
      <x:c r="G4573" t="str">
        <x:v>Office Supplies</x:v>
      </x:c>
      <x:c r="H4573" t="str">
        <x:v>Binders</x:v>
      </x:c>
      <x:c r="I4573" s="22" t="n">
        <x:v>10.475999999999999</x:v>
      </x:c>
      <x:c r="J4573" s="24" t="n">
        <x:v>6</x:v>
      </x:c>
      <x:c r="K4573" s="26" t="n">
        <x:v>0.8</x:v>
      </x:c>
      <x:c r="L4573" s="22" t="n">
        <x:v>-17.285400000000006</x:v>
      </x:c>
      <x:c r="M4573" t="n">
        <x:v>2015</x:v>
      </x:c>
      <x:c r="N4573" s="20" t="n">
        <x:v>42309</x:v>
      </x:c>
    </x:row>
    <x:row r="4574" ht="18" customHeight="1">
      <x:c r="A4574" t="str">
        <x:v>CA-2014-169460</x:v>
      </x:c>
      <x:c r="B4574" s="18" t="n">
        <x:v>41748</x:v>
      </x:c>
      <x:c r="C4574" t="str">
        <x:v>NF-18595</x:v>
      </x:c>
      <x:c r="D4574" t="str">
        <x:v>Nicole Fjeld</x:v>
      </x:c>
      <x:c r="E4574" t="str">
        <x:v>Home Office</x:v>
      </x:c>
      <x:c r="F4574" t="str">
        <x:v>West</x:v>
      </x:c>
      <x:c r="G4574" t="str">
        <x:v>Furniture</x:v>
      </x:c>
      <x:c r="H4574" t="str">
        <x:v>Furnishings</x:v>
      </x:c>
      <x:c r="I4574" s="22" t="n">
        <x:v>76.14</x:v>
      </x:c>
      <x:c r="J4574" s="24" t="n">
        <x:v>3</x:v>
      </x:c>
      <x:c r="K4574" s="26" t="n">
        <x:v>0</x:v>
      </x:c>
      <x:c r="L4574" s="22" t="n">
        <x:v>26.648999999999997</x:v>
      </x:c>
      <x:c r="M4574" t="n">
        <x:v>2014</x:v>
      </x:c>
      <x:c r="N4574" s="20" t="n">
        <x:v>41730</x:v>
      </x:c>
    </x:row>
    <x:row r="4575" ht="18" customHeight="1">
      <x:c r="A4575" t="str">
        <x:v>US-2015-152128</x:v>
      </x:c>
      <x:c r="B4575" s="18" t="n">
        <x:v>42149</x:v>
      </x:c>
      <x:c r="C4575" t="str">
        <x:v>NM-18445</x:v>
      </x:c>
      <x:c r="D4575" t="str">
        <x:v>Nathan Mautz</x:v>
      </x:c>
      <x:c r="E4575" t="str">
        <x:v>Home Office</x:v>
      </x:c>
      <x:c r="F4575" t="str">
        <x:v>Central</x:v>
      </x:c>
      <x:c r="G4575" t="str">
        <x:v>Office Supplies</x:v>
      </x:c>
      <x:c r="H4575" t="str">
        <x:v>Art</x:v>
      </x:c>
      <x:c r="I4575" s="22" t="n">
        <x:v>21.240000000000002</x:v>
      </x:c>
      <x:c r="J4575" s="24" t="n">
        <x:v>3</x:v>
      </x:c>
      <x:c r="K4575" s="26" t="n">
        <x:v>0</x:v>
      </x:c>
      <x:c r="L4575" s="22" t="n">
        <x:v>8.071200000000001</x:v>
      </x:c>
      <x:c r="M4575" t="n">
        <x:v>2015</x:v>
      </x:c>
      <x:c r="N4575" s="20" t="n">
        <x:v>42125</x:v>
      </x:c>
    </x:row>
    <x:row r="4576" ht="18" customHeight="1">
      <x:c r="A4576" t="str">
        <x:v>US-2015-152128</x:v>
      </x:c>
      <x:c r="B4576" s="18" t="n">
        <x:v>42149</x:v>
      </x:c>
      <x:c r="C4576" t="str">
        <x:v>NM-18445</x:v>
      </x:c>
      <x:c r="D4576" t="str">
        <x:v>Nathan Mautz</x:v>
      </x:c>
      <x:c r="E4576" t="str">
        <x:v>Home Office</x:v>
      </x:c>
      <x:c r="F4576" t="str">
        <x:v>Central</x:v>
      </x:c>
      <x:c r="G4576" t="str">
        <x:v>Office Supplies</x:v>
      </x:c>
      <x:c r="H4576" t="str">
        <x:v>Binders</x:v>
      </x:c>
      <x:c r="I4576" s="22" t="n">
        <x:v>127.96</x:v>
      </x:c>
      <x:c r="J4576" s="24" t="n">
        <x:v>2</x:v>
      </x:c>
      <x:c r="K4576" s="26" t="n">
        <x:v>0</x:v>
      </x:c>
      <x:c r="L4576" s="22" t="n">
        <x:v>60.1412</x:v>
      </x:c>
      <x:c r="M4576" t="n">
        <x:v>2015</x:v>
      </x:c>
      <x:c r="N4576" s="20" t="n">
        <x:v>42125</x:v>
      </x:c>
    </x:row>
    <x:row r="4577" ht="18" customHeight="1">
      <x:c r="A4577" t="str">
        <x:v>CA-2017-126662</x:v>
      </x:c>
      <x:c r="B4577" s="18" t="n">
        <x:v>42933</x:v>
      </x:c>
      <x:c r="C4577" t="str">
        <x:v>AB-10255</x:v>
      </x:c>
      <x:c r="D4577" t="str">
        <x:v>Alejandro Ballentine</x:v>
      </x:c>
      <x:c r="E4577" t="str">
        <x:v>Home Office</x:v>
      </x:c>
      <x:c r="F4577" t="str">
        <x:v>West</x:v>
      </x:c>
      <x:c r="G4577" t="str">
        <x:v>Technology</x:v>
      </x:c>
      <x:c r="H4577" t="str">
        <x:v>Copiers</x:v>
      </x:c>
      <x:c r="I4577" s="22" t="n">
        <x:v>479.98400000000004</x:v>
      </x:c>
      <x:c r="J4577" s="24" t="n">
        <x:v>2</x:v>
      </x:c>
      <x:c r="K4577" s="26" t="n">
        <x:v>0.2</x:v>
      </x:c>
      <x:c r="L4577" s="22" t="n">
        <x:v>89.99699999999999</x:v>
      </x:c>
      <x:c r="M4577" t="n">
        <x:v>2017</x:v>
      </x:c>
      <x:c r="N4577" s="20" t="n">
        <x:v>42917</x:v>
      </x:c>
    </x:row>
    <x:row r="4578" ht="18" customHeight="1">
      <x:c r="A4578" t="str">
        <x:v>CA-2016-139395</x:v>
      </x:c>
      <x:c r="B4578" s="18" t="n">
        <x:v>42716</x:v>
      </x:c>
      <x:c r="C4578" t="str">
        <x:v>MG-17650</x:v>
      </x:c>
      <x:c r="D4578" t="str">
        <x:v>Matthew Grinstein</x:v>
      </x:c>
      <x:c r="E4578" t="str">
        <x:v>Home Office</x:v>
      </x:c>
      <x:c r="F4578" t="str">
        <x:v>Central</x:v>
      </x:c>
      <x:c r="G4578" t="str">
        <x:v>Technology</x:v>
      </x:c>
      <x:c r="H4578" t="str">
        <x:v>Phones</x:v>
      </x:c>
      <x:c r="I4578" s="22" t="n">
        <x:v>657.93</x:v>
      </x:c>
      <x:c r="J4578" s="24" t="n">
        <x:v>7</x:v>
      </x:c>
      <x:c r="K4578" s="26" t="n">
        <x:v>0</x:v>
      </x:c>
      <x:c r="L4578" s="22" t="n">
        <x:v>184.22039999999998</x:v>
      </x:c>
      <x:c r="M4578" t="n">
        <x:v>2016</x:v>
      </x:c>
      <x:c r="N4578" s="20" t="n">
        <x:v>42705</x:v>
      </x:c>
    </x:row>
    <x:row r="4579" ht="18" customHeight="1">
      <x:c r="A4579" t="str">
        <x:v>CA-2016-139395</x:v>
      </x:c>
      <x:c r="B4579" s="18" t="n">
        <x:v>42716</x:v>
      </x:c>
      <x:c r="C4579" t="str">
        <x:v>MG-17650</x:v>
      </x:c>
      <x:c r="D4579" t="str">
        <x:v>Matthew Grinstein</x:v>
      </x:c>
      <x:c r="E4579" t="str">
        <x:v>Home Office</x:v>
      </x:c>
      <x:c r="F4579" t="str">
        <x:v>Central</x:v>
      </x:c>
      <x:c r="G4579" t="str">
        <x:v>Furniture</x:v>
      </x:c>
      <x:c r="H4579" t="str">
        <x:v>Furnishings</x:v>
      </x:c>
      <x:c r="I4579" s="22" t="n">
        <x:v>33.48</x:v>
      </x:c>
      <x:c r="J4579" s="24" t="n">
        <x:v>4</x:v>
      </x:c>
      <x:c r="K4579" s="26" t="n">
        <x:v>0</x:v>
      </x:c>
      <x:c r="L4579" s="22" t="n">
        <x:v>8.704799999999999</x:v>
      </x:c>
      <x:c r="M4579" t="n">
        <x:v>2016</x:v>
      </x:c>
      <x:c r="N4579" s="20" t="n">
        <x:v>42705</x:v>
      </x:c>
    </x:row>
    <x:row r="4580" ht="18" customHeight="1">
      <x:c r="A4580" t="str">
        <x:v>CA-2016-139395</x:v>
      </x:c>
      <x:c r="B4580" s="18" t="n">
        <x:v>42716</x:v>
      </x:c>
      <x:c r="C4580" t="str">
        <x:v>MG-17650</x:v>
      </x:c>
      <x:c r="D4580" t="str">
        <x:v>Matthew Grinstein</x:v>
      </x:c>
      <x:c r="E4580" t="str">
        <x:v>Home Office</x:v>
      </x:c>
      <x:c r="F4580" t="str">
        <x:v>Central</x:v>
      </x:c>
      <x:c r="G4580" t="str">
        <x:v>Office Supplies</x:v>
      </x:c>
      <x:c r="H4580" t="str">
        <x:v>Art</x:v>
      </x:c>
      <x:c r="I4580" s="22" t="n">
        <x:v>13.899999999999999</x:v>
      </x:c>
      <x:c r="J4580" s="24" t="n">
        <x:v>5</x:v>
      </x:c>
      <x:c r="K4580" s="26" t="n">
        <x:v>0</x:v>
      </x:c>
      <x:c r="L4580" s="22" t="n">
        <x:v>3.6139999999999994</x:v>
      </x:c>
      <x:c r="M4580" t="n">
        <x:v>2016</x:v>
      </x:c>
      <x:c r="N4580" s="20" t="n">
        <x:v>42705</x:v>
      </x:c>
    </x:row>
    <x:row r="4581" ht="18" customHeight="1">
      <x:c r="A4581" t="str">
        <x:v>CA-2016-139395</x:v>
      </x:c>
      <x:c r="B4581" s="18" t="n">
        <x:v>42716</x:v>
      </x:c>
      <x:c r="C4581" t="str">
        <x:v>MG-17650</x:v>
      </x:c>
      <x:c r="D4581" t="str">
        <x:v>Matthew Grinstein</x:v>
      </x:c>
      <x:c r="E4581" t="str">
        <x:v>Home Office</x:v>
      </x:c>
      <x:c r="F4581" t="str">
        <x:v>Central</x:v>
      </x:c>
      <x:c r="G4581" t="str">
        <x:v>Office Supplies</x:v>
      </x:c>
      <x:c r="H4581" t="str">
        <x:v>Storage</x:v>
      </x:c>
      <x:c r="I4581" s="22" t="n">
        <x:v>26.86</x:v>
      </x:c>
      <x:c r="J4581" s="24" t="n">
        <x:v>2</x:v>
      </x:c>
      <x:c r="K4581" s="26" t="n">
        <x:v>0</x:v>
      </x:c>
      <x:c r="L4581" s="22" t="n">
        <x:v>6.715</x:v>
      </x:c>
      <x:c r="M4581" t="n">
        <x:v>2016</x:v>
      </x:c>
      <x:c r="N4581" s="20" t="n">
        <x:v>42705</x:v>
      </x:c>
    </x:row>
    <x:row r="4582" ht="18" customHeight="1">
      <x:c r="A4582" t="str">
        <x:v>US-2014-121734</x:v>
      </x:c>
      <x:c r="B4582" s="18" t="n">
        <x:v>41740</x:v>
      </x:c>
      <x:c r="C4582" t="str">
        <x:v>SE-20110</x:v>
      </x:c>
      <x:c r="D4582" t="str">
        <x:v>Sanjit Engle</x:v>
      </x:c>
      <x:c r="E4582" t="str">
        <x:v>Consumer</x:v>
      </x:c>
      <x:c r="F4582" t="str">
        <x:v>West</x:v>
      </x:c>
      <x:c r="G4582" t="str">
        <x:v>Office Supplies</x:v>
      </x:c>
      <x:c r="H4582" t="str">
        <x:v>Binders</x:v>
      </x:c>
      <x:c r="I4582" s="22" t="n">
        <x:v>9.584000000000001</x:v>
      </x:c>
      <x:c r="J4582" s="24" t="n">
        <x:v>1</x:v>
      </x:c>
      <x:c r="K4582" s="26" t="n">
        <x:v>0.2</x:v>
      </x:c>
      <x:c r="L4582" s="22" t="n">
        <x:v>3.3543999999999996</x:v>
      </x:c>
      <x:c r="M4582" t="n">
        <x:v>2014</x:v>
      </x:c>
      <x:c r="N4582" s="20" t="n">
        <x:v>41730</x:v>
      </x:c>
    </x:row>
    <x:row r="4583" ht="18" customHeight="1">
      <x:c r="A4583" t="str">
        <x:v>CA-2015-110947</x:v>
      </x:c>
      <x:c r="B4583" s="18" t="n">
        <x:v>42164</x:v>
      </x:c>
      <x:c r="C4583" t="str">
        <x:v>AG-10765</x:v>
      </x:c>
      <x:c r="D4583" t="str">
        <x:v>Anthony Garverick</x:v>
      </x:c>
      <x:c r="E4583" t="str">
        <x:v>Home Office</x:v>
      </x:c>
      <x:c r="F4583" t="str">
        <x:v>South</x:v>
      </x:c>
      <x:c r="G4583" t="str">
        <x:v>Office Supplies</x:v>
      </x:c>
      <x:c r="H4583" t="str">
        <x:v>Binders</x:v>
      </x:c>
      <x:c r="I4583" s="22" t="n">
        <x:v>113.10000000000001</x:v>
      </x:c>
      <x:c r="J4583" s="24" t="n">
        <x:v>3</x:v>
      </x:c>
      <x:c r="K4583" s="26" t="n">
        <x:v>0</x:v>
      </x:c>
      <x:c r="L4583" s="22" t="n">
        <x:v>56.550000000000004</x:v>
      </x:c>
      <x:c r="M4583" t="n">
        <x:v>2015</x:v>
      </x:c>
      <x:c r="N4583" s="20" t="n">
        <x:v>42156</x:v>
      </x:c>
    </x:row>
    <x:row r="4584" ht="18" customHeight="1">
      <x:c r="A4584" t="str">
        <x:v>US-2014-150126</x:v>
      </x:c>
      <x:c r="B4584" s="18" t="n">
        <x:v>41847</x:v>
      </x:c>
      <x:c r="C4584" t="str">
        <x:v>AS-10045</x:v>
      </x:c>
      <x:c r="D4584" t="str">
        <x:v>Aaron Smayling</x:v>
      </x:c>
      <x:c r="E4584" t="str">
        <x:v>Corporate</x:v>
      </x:c>
      <x:c r="F4584" t="str">
        <x:v>East</x:v>
      </x:c>
      <x:c r="G4584" t="str">
        <x:v>Office Supplies</x:v>
      </x:c>
      <x:c r="H4584" t="str">
        <x:v>Paper</x:v>
      </x:c>
      <x:c r="I4584" s="22" t="n">
        <x:v>65.78</x:v>
      </x:c>
      <x:c r="J4584" s="24" t="n">
        <x:v>11</x:v>
      </x:c>
      <x:c r="K4584" s="26" t="n">
        <x:v>0</x:v>
      </x:c>
      <x:c r="L4584" s="22" t="n">
        <x:v>32.2322</x:v>
      </x:c>
      <x:c r="M4584" t="n">
        <x:v>2014</x:v>
      </x:c>
      <x:c r="N4584" s="20" t="n">
        <x:v>41821</x:v>
      </x:c>
    </x:row>
    <x:row r="4585" ht="18" customHeight="1">
      <x:c r="A4585" t="str">
        <x:v>CA-2015-164427</x:v>
      </x:c>
      <x:c r="B4585" s="18" t="n">
        <x:v>42216</x:v>
      </x:c>
      <x:c r="C4585" t="str">
        <x:v>AR-10405</x:v>
      </x:c>
      <x:c r="D4585" t="str">
        <x:v>Allen Rosenblatt</x:v>
      </x:c>
      <x:c r="E4585" t="str">
        <x:v>Corporate</x:v>
      </x:c>
      <x:c r="F4585" t="str">
        <x:v>South</x:v>
      </x:c>
      <x:c r="G4585" t="str">
        <x:v>Technology</x:v>
      </x:c>
      <x:c r="H4585" t="str">
        <x:v>Accessories</x:v>
      </x:c>
      <x:c r="I4585" s="22" t="n">
        <x:v>239.70000000000002</x:v>
      </x:c>
      <x:c r="J4585" s="24" t="n">
        <x:v>6</x:v>
      </x:c>
      <x:c r="K4585" s="26" t="n">
        <x:v>0</x:v>
      </x:c>
      <x:c r="L4585" s="22" t="n">
        <x:v>105.46800000000002</x:v>
      </x:c>
      <x:c r="M4585" t="n">
        <x:v>2015</x:v>
      </x:c>
      <x:c r="N4585" s="20" t="n">
        <x:v>42186</x:v>
      </x:c>
    </x:row>
    <x:row r="4586" ht="18" customHeight="1">
      <x:c r="A4586" t="str">
        <x:v>CA-2016-120250</x:v>
      </x:c>
      <x:c r="B4586" s="18" t="n">
        <x:v>42632</x:v>
      </x:c>
      <x:c r="C4586" t="str">
        <x:v>AP-10720</x:v>
      </x:c>
      <x:c r="D4586" t="str">
        <x:v>Anne Pryor</x:v>
      </x:c>
      <x:c r="E4586" t="str">
        <x:v>Home Office</x:v>
      </x:c>
      <x:c r="F4586" t="str">
        <x:v>East</x:v>
      </x:c>
      <x:c r="G4586" t="str">
        <x:v>Furniture</x:v>
      </x:c>
      <x:c r="H4586" t="str">
        <x:v>Furnishings</x:v>
      </x:c>
      <x:c r="I4586" s="22" t="n">
        <x:v>25.632</x:v>
      </x:c>
      <x:c r="J4586" s="24" t="n">
        <x:v>3</x:v>
      </x:c>
      <x:c r="K4586" s="26" t="n">
        <x:v>0.2</x:v>
      </x:c>
      <x:c r="L4586" s="22" t="n">
        <x:v>3.8447999999999967</x:v>
      </x:c>
      <x:c r="M4586" t="n">
        <x:v>2016</x:v>
      </x:c>
      <x:c r="N4586" s="20" t="n">
        <x:v>42614</x:v>
      </x:c>
    </x:row>
    <x:row r="4587" ht="18" customHeight="1">
      <x:c r="A4587" t="str">
        <x:v>CA-2016-121993</x:v>
      </x:c>
      <x:c r="B4587" s="18" t="n">
        <x:v>42531</x:v>
      </x:c>
      <x:c r="C4587" t="str">
        <x:v>JB-16000</x:v>
      </x:c>
      <x:c r="D4587" t="str">
        <x:v>Joy Bell-</x:v>
      </x:c>
      <x:c r="E4587" t="str">
        <x:v>Consumer</x:v>
      </x:c>
      <x:c r="F4587" t="str">
        <x:v>East</x:v>
      </x:c>
      <x:c r="G4587" t="str">
        <x:v>Office Supplies</x:v>
      </x:c>
      <x:c r="H4587" t="str">
        <x:v>Labels</x:v>
      </x:c>
      <x:c r="I4587" s="22" t="n">
        <x:v>23.616</x:v>
      </x:c>
      <x:c r="J4587" s="24" t="n">
        <x:v>8</x:v>
      </x:c>
      <x:c r="K4587" s="26" t="n">
        <x:v>0.2</x:v>
      </x:c>
      <x:c r="L4587" s="22" t="n">
        <x:v>7.9704</x:v>
      </x:c>
      <x:c r="M4587" t="n">
        <x:v>2016</x:v>
      </x:c>
      <x:c r="N4587" s="20" t="n">
        <x:v>42522</x:v>
      </x:c>
    </x:row>
    <x:row r="4588" ht="18" customHeight="1">
      <x:c r="A4588" t="str">
        <x:v>US-2016-100405</x:v>
      </x:c>
      <x:c r="B4588" s="18" t="n">
        <x:v>42608</x:v>
      </x:c>
      <x:c r="C4588" t="str">
        <x:v>TS-21430</x:v>
      </x:c>
      <x:c r="D4588" t="str">
        <x:v>Tom Stivers</x:v>
      </x:c>
      <x:c r="E4588" t="str">
        <x:v>Corporate</x:v>
      </x:c>
      <x:c r="F4588" t="str">
        <x:v>West</x:v>
      </x:c>
      <x:c r="G4588" t="str">
        <x:v>Office Supplies</x:v>
      </x:c>
      <x:c r="H4588" t="str">
        <x:v>Art</x:v>
      </x:c>
      <x:c r="I4588" s="22" t="n">
        <x:v>8.26</x:v>
      </x:c>
      <x:c r="J4588" s="24" t="n">
        <x:v>2</x:v>
      </x:c>
      <x:c r="K4588" s="26" t="n">
        <x:v>0</x:v>
      </x:c>
      <x:c r="L4588" s="22" t="n">
        <x:v>3.7996</x:v>
      </x:c>
      <x:c r="M4588" t="n">
        <x:v>2016</x:v>
      </x:c>
      <x:c r="N4588" s="20" t="n">
        <x:v>42583</x:v>
      </x:c>
    </x:row>
    <x:row r="4589" ht="18" customHeight="1">
      <x:c r="A4589" t="str">
        <x:v>US-2017-163790</x:v>
      </x:c>
      <x:c r="B4589" s="18" t="n">
        <x:v>43041</x:v>
      </x:c>
      <x:c r="C4589" t="str">
        <x:v>NL-18310</x:v>
      </x:c>
      <x:c r="D4589" t="str">
        <x:v>Nancy Lomonaco</x:v>
      </x:c>
      <x:c r="E4589" t="str">
        <x:v>Home Office</x:v>
      </x:c>
      <x:c r="F4589" t="str">
        <x:v>West</x:v>
      </x:c>
      <x:c r="G4589" t="str">
        <x:v>Office Supplies</x:v>
      </x:c>
      <x:c r="H4589" t="str">
        <x:v>Envelopes</x:v>
      </x:c>
      <x:c r="I4589" s="22" t="n">
        <x:v>76.58</x:v>
      </x:c>
      <x:c r="J4589" s="24" t="n">
        <x:v>7</x:v>
      </x:c>
      <x:c r="K4589" s="26" t="n">
        <x:v>0</x:v>
      </x:c>
      <x:c r="L4589" s="22" t="n">
        <x:v>38.29</x:v>
      </x:c>
      <x:c r="M4589" t="n">
        <x:v>2017</x:v>
      </x:c>
      <x:c r="N4589" s="20" t="n">
        <x:v>43040</x:v>
      </x:c>
    </x:row>
    <x:row r="4590" ht="18" customHeight="1">
      <x:c r="A4590" t="str">
        <x:v>US-2017-163790</x:v>
      </x:c>
      <x:c r="B4590" s="18" t="n">
        <x:v>43041</x:v>
      </x:c>
      <x:c r="C4590" t="str">
        <x:v>NL-18310</x:v>
      </x:c>
      <x:c r="D4590" t="str">
        <x:v>Nancy Lomonaco</x:v>
      </x:c>
      <x:c r="E4590" t="str">
        <x:v>Home Office</x:v>
      </x:c>
      <x:c r="F4590" t="str">
        <x:v>West</x:v>
      </x:c>
      <x:c r="G4590" t="str">
        <x:v>Office Supplies</x:v>
      </x:c>
      <x:c r="H4590" t="str">
        <x:v>Art</x:v>
      </x:c>
      <x:c r="I4590" s="22" t="n">
        <x:v>8.8</x:v>
      </x:c>
      <x:c r="J4590" s="24" t="n">
        <x:v>5</x:v>
      </x:c>
      <x:c r="K4590" s="26" t="n">
        <x:v>0</x:v>
      </x:c>
      <x:c r="L4590" s="22" t="n">
        <x:v>4.224</x:v>
      </x:c>
      <x:c r="M4590" t="n">
        <x:v>2017</x:v>
      </x:c>
      <x:c r="N4590" s="20" t="n">
        <x:v>43040</x:v>
      </x:c>
    </x:row>
    <x:row r="4591" ht="18" customHeight="1">
      <x:c r="A4591" t="str">
        <x:v>US-2017-163790</x:v>
      </x:c>
      <x:c r="B4591" s="18" t="n">
        <x:v>43041</x:v>
      </x:c>
      <x:c r="C4591" t="str">
        <x:v>NL-18310</x:v>
      </x:c>
      <x:c r="D4591" t="str">
        <x:v>Nancy Lomonaco</x:v>
      </x:c>
      <x:c r="E4591" t="str">
        <x:v>Home Office</x:v>
      </x:c>
      <x:c r="F4591" t="str">
        <x:v>West</x:v>
      </x:c>
      <x:c r="G4591" t="str">
        <x:v>Office Supplies</x:v>
      </x:c>
      <x:c r="H4591" t="str">
        <x:v>Binders</x:v>
      </x:c>
      <x:c r="I4591" s="22" t="n">
        <x:v>590.352</x:v>
      </x:c>
      <x:c r="J4591" s="24" t="n">
        <x:v>6</x:v>
      </x:c>
      <x:c r="K4591" s="26" t="n">
        <x:v>0.2</x:v>
      </x:c>
      <x:c r="L4591" s="22" t="n">
        <x:v>206.62319999999997</x:v>
      </x:c>
      <x:c r="M4591" t="n">
        <x:v>2017</x:v>
      </x:c>
      <x:c r="N4591" s="20" t="n">
        <x:v>43040</x:v>
      </x:c>
    </x:row>
    <x:row r="4592" ht="18" customHeight="1">
      <x:c r="A4592" t="str">
        <x:v>US-2017-163790</x:v>
      </x:c>
      <x:c r="B4592" s="18" t="n">
        <x:v>43041</x:v>
      </x:c>
      <x:c r="C4592" t="str">
        <x:v>NL-18310</x:v>
      </x:c>
      <x:c r="D4592" t="str">
        <x:v>Nancy Lomonaco</x:v>
      </x:c>
      <x:c r="E4592" t="str">
        <x:v>Home Office</x:v>
      </x:c>
      <x:c r="F4592" t="str">
        <x:v>West</x:v>
      </x:c>
      <x:c r="G4592" t="str">
        <x:v>Office Supplies</x:v>
      </x:c>
      <x:c r="H4592" t="str">
        <x:v>Fasteners</x:v>
      </x:c>
      <x:c r="I4592" s="22" t="n">
        <x:v>5.58</x:v>
      </x:c>
      <x:c r="J4592" s="24" t="n">
        <x:v>3</x:v>
      </x:c>
      <x:c r="K4592" s="26" t="n">
        <x:v>0</x:v>
      </x:c>
      <x:c r="L4592" s="22" t="n">
        <x:v>0.16740000000000022</x:v>
      </x:c>
      <x:c r="M4592" t="n">
        <x:v>2017</x:v>
      </x:c>
      <x:c r="N4592" s="20" t="n">
        <x:v>43040</x:v>
      </x:c>
    </x:row>
    <x:row r="4593" ht="18" customHeight="1">
      <x:c r="A4593" t="str">
        <x:v>US-2017-163790</x:v>
      </x:c>
      <x:c r="B4593" s="18" t="n">
        <x:v>43041</x:v>
      </x:c>
      <x:c r="C4593" t="str">
        <x:v>NL-18310</x:v>
      </x:c>
      <x:c r="D4593" t="str">
        <x:v>Nancy Lomonaco</x:v>
      </x:c>
      <x:c r="E4593" t="str">
        <x:v>Home Office</x:v>
      </x:c>
      <x:c r="F4593" t="str">
        <x:v>West</x:v>
      </x:c>
      <x:c r="G4593" t="str">
        <x:v>Furniture</x:v>
      </x:c>
      <x:c r="H4593" t="str">
        <x:v>Furnishings</x:v>
      </x:c>
      <x:c r="I4593" s="22" t="n">
        <x:v>25.02</x:v>
      </x:c>
      <x:c r="J4593" s="24" t="n">
        <x:v>3</x:v>
      </x:c>
      <x:c r="K4593" s="26" t="n">
        <x:v>0</x:v>
      </x:c>
      <x:c r="L4593" s="22" t="n">
        <x:v>10.508400000000002</x:v>
      </x:c>
      <x:c r="M4593" t="n">
        <x:v>2017</x:v>
      </x:c>
      <x:c r="N4593" s="20" t="n">
        <x:v>43040</x:v>
      </x:c>
    </x:row>
    <x:row r="4594" ht="18" customHeight="1">
      <x:c r="A4594" t="str">
        <x:v>US-2017-163790</x:v>
      </x:c>
      <x:c r="B4594" s="18" t="n">
        <x:v>43041</x:v>
      </x:c>
      <x:c r="C4594" t="str">
        <x:v>NL-18310</x:v>
      </x:c>
      <x:c r="D4594" t="str">
        <x:v>Nancy Lomonaco</x:v>
      </x:c>
      <x:c r="E4594" t="str">
        <x:v>Home Office</x:v>
      </x:c>
      <x:c r="F4594" t="str">
        <x:v>West</x:v>
      </x:c>
      <x:c r="G4594" t="str">
        <x:v>Office Supplies</x:v>
      </x:c>
      <x:c r="H4594" t="str">
        <x:v>Storage</x:v>
      </x:c>
      <x:c r="I4594" s="22" t="n">
        <x:v>452.55000000000007</x:v>
      </x:c>
      <x:c r="J4594" s="24" t="n">
        <x:v>7</x:v>
      </x:c>
      <x:c r="K4594" s="26" t="n">
        <x:v>0</x:v>
      </x:c>
      <x:c r="L4594" s="22" t="n">
        <x:v>22.627499999999962</x:v>
      </x:c>
      <x:c r="M4594" t="n">
        <x:v>2017</x:v>
      </x:c>
      <x:c r="N4594" s="20" t="n">
        <x:v>43040</x:v>
      </x:c>
    </x:row>
    <x:row r="4595" ht="18" customHeight="1">
      <x:c r="A4595" t="str">
        <x:v>CA-2016-129868</x:v>
      </x:c>
      <x:c r="B4595" s="18" t="n">
        <x:v>42730</x:v>
      </x:c>
      <x:c r="C4595" t="str">
        <x:v>MC-18130</x:v>
      </x:c>
      <x:c r="D4595" t="str">
        <x:v>Mike Caudle</x:v>
      </x:c>
      <x:c r="E4595" t="str">
        <x:v>Corporate</x:v>
      </x:c>
      <x:c r="F4595" t="str">
        <x:v>West</x:v>
      </x:c>
      <x:c r="G4595" t="str">
        <x:v>Office Supplies</x:v>
      </x:c>
      <x:c r="H4595" t="str">
        <x:v>Supplies</x:v>
      </x:c>
      <x:c r="I4595" s="22" t="n">
        <x:v>17.76</x:v>
      </x:c>
      <x:c r="J4595" s="24" t="n">
        <x:v>2</x:v>
      </x:c>
      <x:c r="K4595" s="26" t="n">
        <x:v>0</x:v>
      </x:c>
      <x:c r="L4595" s="22" t="n">
        <x:v>4.972800000000001</x:v>
      </x:c>
      <x:c r="M4595" t="n">
        <x:v>2016</x:v>
      </x:c>
      <x:c r="N4595" s="20" t="n">
        <x:v>42705</x:v>
      </x:c>
    </x:row>
    <x:row r="4596" ht="18" customHeight="1">
      <x:c r="A4596" t="str">
        <x:v>CA-2016-129868</x:v>
      </x:c>
      <x:c r="B4596" s="18" t="n">
        <x:v>42730</x:v>
      </x:c>
      <x:c r="C4596" t="str">
        <x:v>MC-18130</x:v>
      </x:c>
      <x:c r="D4596" t="str">
        <x:v>Mike Caudle</x:v>
      </x:c>
      <x:c r="E4596" t="str">
        <x:v>Corporate</x:v>
      </x:c>
      <x:c r="F4596" t="str">
        <x:v>West</x:v>
      </x:c>
      <x:c r="G4596" t="str">
        <x:v>Technology</x:v>
      </x:c>
      <x:c r="H4596" t="str">
        <x:v>Phones</x:v>
      </x:c>
      <x:c r="I4596" s="22" t="n">
        <x:v>302.384</x:v>
      </x:c>
      <x:c r="J4596" s="24" t="n">
        <x:v>2</x:v>
      </x:c>
      <x:c r="K4596" s="26" t="n">
        <x:v>0.2</x:v>
      </x:c>
      <x:c r="L4596" s="22" t="n">
        <x:v>30.238400000000013</x:v>
      </x:c>
      <x:c r="M4596" t="n">
        <x:v>2016</x:v>
      </x:c>
      <x:c r="N4596" s="20" t="n">
        <x:v>42705</x:v>
      </x:c>
    </x:row>
    <x:row r="4597" ht="18" customHeight="1">
      <x:c r="A4597" t="str">
        <x:v>CA-2016-129868</x:v>
      </x:c>
      <x:c r="B4597" s="18" t="n">
        <x:v>42730</x:v>
      </x:c>
      <x:c r="C4597" t="str">
        <x:v>MC-18130</x:v>
      </x:c>
      <x:c r="D4597" t="str">
        <x:v>Mike Caudle</x:v>
      </x:c>
      <x:c r="E4597" t="str">
        <x:v>Corporate</x:v>
      </x:c>
      <x:c r="F4597" t="str">
        <x:v>West</x:v>
      </x:c>
      <x:c r="G4597" t="str">
        <x:v>Furniture</x:v>
      </x:c>
      <x:c r="H4597" t="str">
        <x:v>Chairs</x:v>
      </x:c>
      <x:c r="I4597" s="22" t="n">
        <x:v>146.352</x:v>
      </x:c>
      <x:c r="J4597" s="24" t="n">
        <x:v>3</x:v>
      </x:c>
      <x:c r="K4597" s="26" t="n">
        <x:v>0.2</x:v>
      </x:c>
      <x:c r="L4597" s="22" t="n">
        <x:v>-5.488200000000006</x:v>
      </x:c>
      <x:c r="M4597" t="n">
        <x:v>2016</x:v>
      </x:c>
      <x:c r="N4597" s="20" t="n">
        <x:v>42705</x:v>
      </x:c>
    </x:row>
    <x:row r="4598" ht="18" customHeight="1">
      <x:c r="A4598" t="str">
        <x:v>CA-2016-129868</x:v>
      </x:c>
      <x:c r="B4598" s="18" t="n">
        <x:v>42730</x:v>
      </x:c>
      <x:c r="C4598" t="str">
        <x:v>MC-18130</x:v>
      </x:c>
      <x:c r="D4598" t="str">
        <x:v>Mike Caudle</x:v>
      </x:c>
      <x:c r="E4598" t="str">
        <x:v>Corporate</x:v>
      </x:c>
      <x:c r="F4598" t="str">
        <x:v>West</x:v>
      </x:c>
      <x:c r="G4598" t="str">
        <x:v>Office Supplies</x:v>
      </x:c>
      <x:c r="H4598" t="str">
        <x:v>Appliances</x:v>
      </x:c>
      <x:c r="I4598" s="22" t="n">
        <x:v>7.9</x:v>
      </x:c>
      <x:c r="J4598" s="24" t="n">
        <x:v>2</x:v>
      </x:c>
      <x:c r="K4598" s="26" t="n">
        <x:v>0</x:v>
      </x:c>
      <x:c r="L4598" s="22" t="n">
        <x:v>2.0540000000000003</x:v>
      </x:c>
      <x:c r="M4598" t="n">
        <x:v>2016</x:v>
      </x:c>
      <x:c r="N4598" s="20" t="n">
        <x:v>42705</x:v>
      </x:c>
    </x:row>
    <x:row r="4599" ht="18" customHeight="1">
      <x:c r="A4599" t="str">
        <x:v>CA-2016-129868</x:v>
      </x:c>
      <x:c r="B4599" s="18" t="n">
        <x:v>42730</x:v>
      </x:c>
      <x:c r="C4599" t="str">
        <x:v>MC-18130</x:v>
      </x:c>
      <x:c r="D4599" t="str">
        <x:v>Mike Caudle</x:v>
      </x:c>
      <x:c r="E4599" t="str">
        <x:v>Corporate</x:v>
      </x:c>
      <x:c r="F4599" t="str">
        <x:v>West</x:v>
      </x:c>
      <x:c r="G4599" t="str">
        <x:v>Furniture</x:v>
      </x:c>
      <x:c r="H4599" t="str">
        <x:v>Tables</x:v>
      </x:c>
      <x:c r="I4599" s="22" t="n">
        <x:v>902.712</x:v>
      </x:c>
      <x:c r="J4599" s="24" t="n">
        <x:v>3</x:v>
      </x:c>
      <x:c r="K4599" s="26" t="n">
        <x:v>0.2</x:v>
      </x:c>
      <x:c r="L4599" s="22" t="n">
        <x:v>33.85170000000005</x:v>
      </x:c>
      <x:c r="M4599" t="n">
        <x:v>2016</x:v>
      </x:c>
      <x:c r="N4599" s="20" t="n">
        <x:v>42705</x:v>
      </x:c>
    </x:row>
    <x:row r="4600" ht="18" customHeight="1">
      <x:c r="A4600" t="str">
        <x:v>CA-2016-129868</x:v>
      </x:c>
      <x:c r="B4600" s="18" t="n">
        <x:v>42730</x:v>
      </x:c>
      <x:c r="C4600" t="str">
        <x:v>MC-18130</x:v>
      </x:c>
      <x:c r="D4600" t="str">
        <x:v>Mike Caudle</x:v>
      </x:c>
      <x:c r="E4600" t="str">
        <x:v>Corporate</x:v>
      </x:c>
      <x:c r="F4600" t="str">
        <x:v>West</x:v>
      </x:c>
      <x:c r="G4600" t="str">
        <x:v>Office Supplies</x:v>
      </x:c>
      <x:c r="H4600" t="str">
        <x:v>Art</x:v>
      </x:c>
      <x:c r="I4600" s="22" t="n">
        <x:v>53.97</x:v>
      </x:c>
      <x:c r="J4600" s="24" t="n">
        <x:v>3</x:v>
      </x:c>
      <x:c r="K4600" s="26" t="n">
        <x:v>0</x:v>
      </x:c>
      <x:c r="L4600" s="22" t="n">
        <x:v>15.111600000000001</x:v>
      </x:c>
      <x:c r="M4600" t="n">
        <x:v>2016</x:v>
      </x:c>
      <x:c r="N4600" s="20" t="n">
        <x:v>42705</x:v>
      </x:c>
    </x:row>
    <x:row r="4601" ht="18" customHeight="1">
      <x:c r="A4601" t="str">
        <x:v>CA-2016-140564</x:v>
      </x:c>
      <x:c r="B4601" s="18" t="n">
        <x:v>42709</x:v>
      </x:c>
      <x:c r="C4601" t="str">
        <x:v>TC-21475</x:v>
      </x:c>
      <x:c r="D4601" t="str">
        <x:v>Tony Chapman</x:v>
      </x:c>
      <x:c r="E4601" t="str">
        <x:v>Home Office</x:v>
      </x:c>
      <x:c r="F4601" t="str">
        <x:v>East</x:v>
      </x:c>
      <x:c r="G4601" t="str">
        <x:v>Office Supplies</x:v>
      </x:c>
      <x:c r="H4601" t="str">
        <x:v>Art</x:v>
      </x:c>
      <x:c r="I4601" s="22" t="n">
        <x:v>33.92</x:v>
      </x:c>
      <x:c r="J4601" s="24" t="n">
        <x:v>8</x:v>
      </x:c>
      <x:c r="K4601" s="26" t="n">
        <x:v>0</x:v>
      </x:c>
      <x:c r="L4601" s="22" t="n">
        <x:v>13.2288</x:v>
      </x:c>
      <x:c r="M4601" t="n">
        <x:v>2016</x:v>
      </x:c>
      <x:c r="N4601" s="20" t="n">
        <x:v>42705</x:v>
      </x:c>
    </x:row>
    <x:row r="4602" ht="18" customHeight="1">
      <x:c r="A4602" t="str">
        <x:v>US-2017-169502</x:v>
      </x:c>
      <x:c r="B4602" s="18" t="n">
        <x:v>42975</x:v>
      </x:c>
      <x:c r="C4602" t="str">
        <x:v>MG-17650</x:v>
      </x:c>
      <x:c r="D4602" t="str">
        <x:v>Matthew Grinstein</x:v>
      </x:c>
      <x:c r="E4602" t="str">
        <x:v>Home Office</x:v>
      </x:c>
      <x:c r="F4602" t="str">
        <x:v>Central</x:v>
      </x:c>
      <x:c r="G4602" t="str">
        <x:v>Office Supplies</x:v>
      </x:c>
      <x:c r="H4602" t="str">
        <x:v>Supplies</x:v>
      </x:c>
      <x:c r="I4602" s="22" t="n">
        <x:v>21.81</x:v>
      </x:c>
      <x:c r="J4602" s="24" t="n">
        <x:v>3</x:v>
      </x:c>
      <x:c r="K4602" s="26" t="n">
        <x:v>0</x:v>
      </x:c>
      <x:c r="L4602" s="22" t="n">
        <x:v>5.888700000000001</x:v>
      </x:c>
      <x:c r="M4602" t="n">
        <x:v>2017</x:v>
      </x:c>
      <x:c r="N4602" s="20" t="n">
        <x:v>42948</x:v>
      </x:c>
    </x:row>
    <x:row r="4603" ht="18" customHeight="1">
      <x:c r="A4603" t="str">
        <x:v>US-2017-169502</x:v>
      </x:c>
      <x:c r="B4603" s="18" t="n">
        <x:v>42975</x:v>
      </x:c>
      <x:c r="C4603" t="str">
        <x:v>MG-17650</x:v>
      </x:c>
      <x:c r="D4603" t="str">
        <x:v>Matthew Grinstein</x:v>
      </x:c>
      <x:c r="E4603" t="str">
        <x:v>Home Office</x:v>
      </x:c>
      <x:c r="F4603" t="str">
        <x:v>Central</x:v>
      </x:c>
      <x:c r="G4603" t="str">
        <x:v>Office Supplies</x:v>
      </x:c>
      <x:c r="H4603" t="str">
        <x:v>Appliances</x:v>
      </x:c>
      <x:c r="I4603" s="22" t="n">
        <x:v>91.6</x:v>
      </x:c>
      <x:c r="J4603" s="24" t="n">
        <x:v>5</x:v>
      </x:c>
      <x:c r="K4603" s="26" t="n">
        <x:v>0</x:v>
      </x:c>
      <x:c r="L4603" s="22" t="n">
        <x:v>26.563999999999997</x:v>
      </x:c>
      <x:c r="M4603" t="n">
        <x:v>2017</x:v>
      </x:c>
      <x:c r="N4603" s="20" t="n">
        <x:v>42948</x:v>
      </x:c>
    </x:row>
    <x:row r="4604" ht="18" customHeight="1">
      <x:c r="A4604" t="str">
        <x:v>CA-2015-146948</x:v>
      </x:c>
      <x:c r="B4604" s="18" t="n">
        <x:v>42201</x:v>
      </x:c>
      <x:c r="C4604" t="str">
        <x:v>MG-17890</x:v>
      </x:c>
      <x:c r="D4604" t="str">
        <x:v>Michael Granlund</x:v>
      </x:c>
      <x:c r="E4604" t="str">
        <x:v>Home Office</x:v>
      </x:c>
      <x:c r="F4604" t="str">
        <x:v>East</x:v>
      </x:c>
      <x:c r="G4604" t="str">
        <x:v>Furniture</x:v>
      </x:c>
      <x:c r="H4604" t="str">
        <x:v>Chairs</x:v>
      </x:c>
      <x:c r="I4604" s="22" t="n">
        <x:v>150.98</x:v>
      </x:c>
      <x:c r="J4604" s="24" t="n">
        <x:v>1</x:v>
      </x:c>
      <x:c r="K4604" s="26" t="n">
        <x:v>0</x:v>
      </x:c>
      <x:c r="L4604" s="22" t="n">
        <x:v>43.784199999999984</x:v>
      </x:c>
      <x:c r="M4604" t="n">
        <x:v>2015</x:v>
      </x:c>
      <x:c r="N4604" s="20" t="n">
        <x:v>42186</x:v>
      </x:c>
    </x:row>
    <x:row r="4605" ht="18" customHeight="1">
      <x:c r="A4605" t="str">
        <x:v>CA-2015-146948</x:v>
      </x:c>
      <x:c r="B4605" s="18" t="n">
        <x:v>42201</x:v>
      </x:c>
      <x:c r="C4605" t="str">
        <x:v>MG-17890</x:v>
      </x:c>
      <x:c r="D4605" t="str">
        <x:v>Michael Granlund</x:v>
      </x:c>
      <x:c r="E4605" t="str">
        <x:v>Home Office</x:v>
      </x:c>
      <x:c r="F4605" t="str">
        <x:v>East</x:v>
      </x:c>
      <x:c r="G4605" t="str">
        <x:v>Office Supplies</x:v>
      </x:c>
      <x:c r="H4605" t="str">
        <x:v>Envelopes</x:v>
      </x:c>
      <x:c r="I4605" s="22" t="n">
        <x:v>137.25</x:v>
      </x:c>
      <x:c r="J4605" s="24" t="n">
        <x:v>9</x:v>
      </x:c>
      <x:c r="K4605" s="26" t="n">
        <x:v>0</x:v>
      </x:c>
      <x:c r="L4605" s="22" t="n">
        <x:v>63.13499999999999</x:v>
      </x:c>
      <x:c r="M4605" t="n">
        <x:v>2015</x:v>
      </x:c>
      <x:c r="N4605" s="20" t="n">
        <x:v>42186</x:v>
      </x:c>
    </x:row>
    <x:row r="4606" ht="18" customHeight="1">
      <x:c r="A4606" t="str">
        <x:v>CA-2015-146948</x:v>
      </x:c>
      <x:c r="B4606" s="18" t="n">
        <x:v>42201</x:v>
      </x:c>
      <x:c r="C4606" t="str">
        <x:v>MG-17890</x:v>
      </x:c>
      <x:c r="D4606" t="str">
        <x:v>Michael Granlund</x:v>
      </x:c>
      <x:c r="E4606" t="str">
        <x:v>Home Office</x:v>
      </x:c>
      <x:c r="F4606" t="str">
        <x:v>East</x:v>
      </x:c>
      <x:c r="G4606" t="str">
        <x:v>Office Supplies</x:v>
      </x:c>
      <x:c r="H4606" t="str">
        <x:v>Fasteners</x:v>
      </x:c>
      <x:c r="I4606" s="22" t="n">
        <x:v>11.52</x:v>
      </x:c>
      <x:c r="J4606" s="24" t="n">
        <x:v>4</x:v>
      </x:c>
      <x:c r="K4606" s="26" t="n">
        <x:v>0</x:v>
      </x:c>
      <x:c r="L4606" s="22" t="n">
        <x:v>5.4144</x:v>
      </x:c>
      <x:c r="M4606" t="n">
        <x:v>2015</x:v>
      </x:c>
      <x:c r="N4606" s="20" t="n">
        <x:v>42186</x:v>
      </x:c>
    </x:row>
    <x:row r="4607" ht="18" customHeight="1">
      <x:c r="A4607" t="str">
        <x:v>US-2015-113327</x:v>
      </x:c>
      <x:c r="B4607" s="18" t="n">
        <x:v>42150</x:v>
      </x:c>
      <x:c r="C4607" t="str">
        <x:v>BF-11170</x:v>
      </x:c>
      <x:c r="D4607" t="str">
        <x:v>Ben Ferrer</x:v>
      </x:c>
      <x:c r="E4607" t="str">
        <x:v>Home Office</x:v>
      </x:c>
      <x:c r="F4607" t="str">
        <x:v>South</x:v>
      </x:c>
      <x:c r="G4607" t="str">
        <x:v>Office Supplies</x:v>
      </x:c>
      <x:c r="H4607" t="str">
        <x:v>Paper</x:v>
      </x:c>
      <x:c r="I4607" s="22" t="n">
        <x:v>18.272000000000002</x:v>
      </x:c>
      <x:c r="J4607" s="24" t="n">
        <x:v>1</x:v>
      </x:c>
      <x:c r="K4607" s="26" t="n">
        <x:v>0.2</x:v>
      </x:c>
      <x:c r="L4607" s="22" t="n">
        <x:v>5.938399999999999</x:v>
      </x:c>
      <x:c r="M4607" t="n">
        <x:v>2015</x:v>
      </x:c>
      <x:c r="N4607" s="20" t="n">
        <x:v>42125</x:v>
      </x:c>
    </x:row>
    <x:row r="4608" ht="18" customHeight="1">
      <x:c r="A4608" t="str">
        <x:v>US-2015-113327</x:v>
      </x:c>
      <x:c r="B4608" s="18" t="n">
        <x:v>42150</x:v>
      </x:c>
      <x:c r="C4608" t="str">
        <x:v>BF-11170</x:v>
      </x:c>
      <x:c r="D4608" t="str">
        <x:v>Ben Ferrer</x:v>
      </x:c>
      <x:c r="E4608" t="str">
        <x:v>Home Office</x:v>
      </x:c>
      <x:c r="F4608" t="str">
        <x:v>South</x:v>
      </x:c>
      <x:c r="G4608" t="str">
        <x:v>Office Supplies</x:v>
      </x:c>
      <x:c r="H4608" t="str">
        <x:v>Paper</x:v>
      </x:c>
      <x:c r="I4608" s="22" t="n">
        <x:v>153.728</x:v>
      </x:c>
      <x:c r="J4608" s="24" t="n">
        <x:v>4</x:v>
      </x:c>
      <x:c r="K4608" s="26" t="n">
        <x:v>0.2</x:v>
      </x:c>
      <x:c r="L4608" s="22" t="n">
        <x:v>53.804799999999986</x:v>
      </x:c>
      <x:c r="M4608" t="n">
        <x:v>2015</x:v>
      </x:c>
      <x:c r="N4608" s="20" t="n">
        <x:v>42125</x:v>
      </x:c>
    </x:row>
    <x:row r="4609" ht="18" customHeight="1">
      <x:c r="A4609" t="str">
        <x:v>US-2015-113327</x:v>
      </x:c>
      <x:c r="B4609" s="18" t="n">
        <x:v>42150</x:v>
      </x:c>
      <x:c r="C4609" t="str">
        <x:v>BF-11170</x:v>
      </x:c>
      <x:c r="D4609" t="str">
        <x:v>Ben Ferrer</x:v>
      </x:c>
      <x:c r="E4609" t="str">
        <x:v>Home Office</x:v>
      </x:c>
      <x:c r="F4609" t="str">
        <x:v>South</x:v>
      </x:c>
      <x:c r="G4609" t="str">
        <x:v>Office Supplies</x:v>
      </x:c>
      <x:c r="H4609" t="str">
        <x:v>Envelopes</x:v>
      </x:c>
      <x:c r="I4609" s="22" t="n">
        <x:v>12.224</x:v>
      </x:c>
      <x:c r="J4609" s="24" t="n">
        <x:v>2</x:v>
      </x:c>
      <x:c r="K4609" s="26" t="n">
        <x:v>0.2</x:v>
      </x:c>
      <x:c r="L4609" s="22" t="n">
        <x:v>4.4312</x:v>
      </x:c>
      <x:c r="M4609" t="n">
        <x:v>2015</x:v>
      </x:c>
      <x:c r="N4609" s="20" t="n">
        <x:v>42125</x:v>
      </x:c>
    </x:row>
    <x:row r="4610" ht="18" customHeight="1">
      <x:c r="A4610" t="str">
        <x:v>US-2015-113327</x:v>
      </x:c>
      <x:c r="B4610" s="18" t="n">
        <x:v>42150</x:v>
      </x:c>
      <x:c r="C4610" t="str">
        <x:v>BF-11170</x:v>
      </x:c>
      <x:c r="D4610" t="str">
        <x:v>Ben Ferrer</x:v>
      </x:c>
      <x:c r="E4610" t="str">
        <x:v>Home Office</x:v>
      </x:c>
      <x:c r="F4610" t="str">
        <x:v>South</x:v>
      </x:c>
      <x:c r="G4610" t="str">
        <x:v>Technology</x:v>
      </x:c>
      <x:c r="H4610" t="str">
        <x:v>Accessories</x:v>
      </x:c>
      <x:c r="I4610" s="22" t="n">
        <x:v>167.94400000000002</x:v>
      </x:c>
      <x:c r="J4610" s="24" t="n">
        <x:v>7</x:v>
      </x:c>
      <x:c r="K4610" s="26" t="n">
        <x:v>0.2</x:v>
      </x:c>
      <x:c r="L4610" s="22" t="n">
        <x:v>50.383200000000016</x:v>
      </x:c>
      <x:c r="M4610" t="n">
        <x:v>2015</x:v>
      </x:c>
      <x:c r="N4610" s="20" t="n">
        <x:v>42125</x:v>
      </x:c>
    </x:row>
    <x:row r="4611" ht="18" customHeight="1">
      <x:c r="A4611" t="str">
        <x:v>CA-2015-135020</x:v>
      </x:c>
      <x:c r="B4611" s="18" t="n">
        <x:v>42152</x:v>
      </x:c>
      <x:c r="C4611" t="str">
        <x:v>MS-17770</x:v>
      </x:c>
      <x:c r="D4611" t="str">
        <x:v>Maxwell Schwartz</x:v>
      </x:c>
      <x:c r="E4611" t="str">
        <x:v>Consumer</x:v>
      </x:c>
      <x:c r="F4611" t="str">
        <x:v>East</x:v>
      </x:c>
      <x:c r="G4611" t="str">
        <x:v>Technology</x:v>
      </x:c>
      <x:c r="H4611" t="str">
        <x:v>Phones</x:v>
      </x:c>
      <x:c r="I4611" s="22" t="n">
        <x:v>45.99</x:v>
      </x:c>
      <x:c r="J4611" s="24" t="n">
        <x:v>1</x:v>
      </x:c>
      <x:c r="K4611" s="26" t="n">
        <x:v>0</x:v>
      </x:c>
      <x:c r="L4611" s="22" t="n">
        <x:v>13.3371</x:v>
      </x:c>
      <x:c r="M4611" t="n">
        <x:v>2015</x:v>
      </x:c>
      <x:c r="N4611" s="20" t="n">
        <x:v>42125</x:v>
      </x:c>
    </x:row>
    <x:row r="4612" ht="18" customHeight="1">
      <x:c r="A4612" t="str">
        <x:v>CA-2015-135020</x:v>
      </x:c>
      <x:c r="B4612" s="18" t="n">
        <x:v>42152</x:v>
      </x:c>
      <x:c r="C4612" t="str">
        <x:v>MS-17770</x:v>
      </x:c>
      <x:c r="D4612" t="str">
        <x:v>Maxwell Schwartz</x:v>
      </x:c>
      <x:c r="E4612" t="str">
        <x:v>Consumer</x:v>
      </x:c>
      <x:c r="F4612" t="str">
        <x:v>East</x:v>
      </x:c>
      <x:c r="G4612" t="str">
        <x:v>Office Supplies</x:v>
      </x:c>
      <x:c r="H4612" t="str">
        <x:v>Storage</x:v>
      </x:c>
      <x:c r="I4612" s="22" t="n">
        <x:v>535.41</x:v>
      </x:c>
      <x:c r="J4612" s="24" t="n">
        <x:v>3</x:v>
      </x:c>
      <x:c r="K4612" s="26" t="n">
        <x:v>0</x:v>
      </x:c>
      <x:c r="L4612" s="22" t="n">
        <x:v>160.62299999999993</x:v>
      </x:c>
      <x:c r="M4612" t="n">
        <x:v>2015</x:v>
      </x:c>
      <x:c r="N4612" s="20" t="n">
        <x:v>42125</x:v>
      </x:c>
    </x:row>
    <x:row r="4613" ht="18" customHeight="1">
      <x:c r="A4613" t="str">
        <x:v>CA-2015-135020</x:v>
      </x:c>
      <x:c r="B4613" s="18" t="n">
        <x:v>42152</x:v>
      </x:c>
      <x:c r="C4613" t="str">
        <x:v>MS-17770</x:v>
      </x:c>
      <x:c r="D4613" t="str">
        <x:v>Maxwell Schwartz</x:v>
      </x:c>
      <x:c r="E4613" t="str">
        <x:v>Consumer</x:v>
      </x:c>
      <x:c r="F4613" t="str">
        <x:v>East</x:v>
      </x:c>
      <x:c r="G4613" t="str">
        <x:v>Office Supplies</x:v>
      </x:c>
      <x:c r="H4613" t="str">
        <x:v>Binders</x:v>
      </x:c>
      <x:c r="I4613" s="22" t="n">
        <x:v>6.096</x:v>
      </x:c>
      <x:c r="J4613" s="24" t="n">
        <x:v>2</x:v>
      </x:c>
      <x:c r="K4613" s="26" t="n">
        <x:v>0.2</x:v>
      </x:c>
      <x:c r="L4613" s="22" t="n">
        <x:v>2.0573999999999995</x:v>
      </x:c>
      <x:c r="M4613" t="n">
        <x:v>2015</x:v>
      </x:c>
      <x:c r="N4613" s="20" t="n">
        <x:v>42125</x:v>
      </x:c>
    </x:row>
    <x:row r="4614" ht="18" customHeight="1">
      <x:c r="A4614" t="str">
        <x:v>CA-2015-135020</x:v>
      </x:c>
      <x:c r="B4614" s="18" t="n">
        <x:v>42152</x:v>
      </x:c>
      <x:c r="C4614" t="str">
        <x:v>MS-17770</x:v>
      </x:c>
      <x:c r="D4614" t="str">
        <x:v>Maxwell Schwartz</x:v>
      </x:c>
      <x:c r="E4614" t="str">
        <x:v>Consumer</x:v>
      </x:c>
      <x:c r="F4614" t="str">
        <x:v>East</x:v>
      </x:c>
      <x:c r="G4614" t="str">
        <x:v>Office Supplies</x:v>
      </x:c>
      <x:c r="H4614" t="str">
        <x:v>Paper</x:v>
      </x:c>
      <x:c r="I4614" s="22" t="n">
        <x:v>45.36</x:v>
      </x:c>
      <x:c r="J4614" s="24" t="n">
        <x:v>7</x:v>
      </x:c>
      <x:c r="K4614" s="26" t="n">
        <x:v>0</x:v>
      </x:c>
      <x:c r="L4614" s="22" t="n">
        <x:v>21.772800000000004</x:v>
      </x:c>
      <x:c r="M4614" t="n">
        <x:v>2015</x:v>
      </x:c>
      <x:c r="N4614" s="20" t="n">
        <x:v>42125</x:v>
      </x:c>
    </x:row>
    <x:row r="4615" ht="18" customHeight="1">
      <x:c r="A4615" t="str">
        <x:v>US-2017-141852</x:v>
      </x:c>
      <x:c r="B4615" s="18" t="n">
        <x:v>43048</x:v>
      </x:c>
      <x:c r="C4615" t="str">
        <x:v>JE-15745</x:v>
      </x:c>
      <x:c r="D4615" t="str">
        <x:v>Joel Eaton</x:v>
      </x:c>
      <x:c r="E4615" t="str">
        <x:v>Consumer</x:v>
      </x:c>
      <x:c r="F4615" t="str">
        <x:v>West</x:v>
      </x:c>
      <x:c r="G4615" t="str">
        <x:v>Furniture</x:v>
      </x:c>
      <x:c r="H4615" t="str">
        <x:v>Furnishings</x:v>
      </x:c>
      <x:c r="I4615" s="22" t="n">
        <x:v>47.12</x:v>
      </x:c>
      <x:c r="J4615" s="24" t="n">
        <x:v>8</x:v>
      </x:c>
      <x:c r="K4615" s="26" t="n">
        <x:v>0</x:v>
      </x:c>
      <x:c r="L4615" s="22" t="n">
        <x:v>20.7328</x:v>
      </x:c>
      <x:c r="M4615" t="n">
        <x:v>2017</x:v>
      </x:c>
      <x:c r="N4615" s="20" t="n">
        <x:v>43040</x:v>
      </x:c>
    </x:row>
    <x:row r="4616" ht="18" customHeight="1">
      <x:c r="A4616" t="str">
        <x:v>CA-2016-109407</x:v>
      </x:c>
      <x:c r="B4616" s="18" t="n">
        <x:v>42393</x:v>
      </x:c>
      <x:c r="C4616" t="str">
        <x:v>HG-14965</x:v>
      </x:c>
      <x:c r="D4616" t="str">
        <x:v>Henry Goldwyn</x:v>
      </x:c>
      <x:c r="E4616" t="str">
        <x:v>Corporate</x:v>
      </x:c>
      <x:c r="F4616" t="str">
        <x:v>South</x:v>
      </x:c>
      <x:c r="G4616" t="str">
        <x:v>Office Supplies</x:v>
      </x:c>
      <x:c r="H4616" t="str">
        <x:v>Binders</x:v>
      </x:c>
      <x:c r="I4616" s="22" t="n">
        <x:v>31.36</x:v>
      </x:c>
      <x:c r="J4616" s="24" t="n">
        <x:v>4</x:v>
      </x:c>
      <x:c r="K4616" s="26" t="n">
        <x:v>0</x:v>
      </x:c>
      <x:c r="L4616" s="22" t="n">
        <x:v>15.68</x:v>
      </x:c>
      <x:c r="M4616" t="n">
        <x:v>2016</x:v>
      </x:c>
      <x:c r="N4616" s="20" t="n">
        <x:v>42370</x:v>
      </x:c>
    </x:row>
    <x:row r="4617" ht="18" customHeight="1">
      <x:c r="A4617" t="str">
        <x:v>US-2017-165953</x:v>
      </x:c>
      <x:c r="B4617" s="18" t="n">
        <x:v>42735</x:v>
      </x:c>
      <x:c r="C4617" t="str">
        <x:v>EP-13915</x:v>
      </x:c>
      <x:c r="D4617" t="str">
        <x:v>Emily Phan</x:v>
      </x:c>
      <x:c r="E4617" t="str">
        <x:v>Consumer</x:v>
      </x:c>
      <x:c r="F4617" t="str">
        <x:v>South</x:v>
      </x:c>
      <x:c r="G4617" t="str">
        <x:v>Office Supplies</x:v>
      </x:c>
      <x:c r="H4617" t="str">
        <x:v>Art</x:v>
      </x:c>
      <x:c r="I4617" s="22" t="n">
        <x:v>47.616</x:v>
      </x:c>
      <x:c r="J4617" s="24" t="n">
        <x:v>3</x:v>
      </x:c>
      <x:c r="K4617" s="26" t="n">
        <x:v>0.2</x:v>
      </x:c>
      <x:c r="L4617" s="22" t="n">
        <x:v>3.571200000000001</x:v>
      </x:c>
      <x:c r="M4617" t="n">
        <x:v>2016</x:v>
      </x:c>
      <x:c r="N4617" s="20" t="n">
        <x:v>42705</x:v>
      </x:c>
    </x:row>
    <x:row r="4618" ht="18" customHeight="1">
      <x:c r="A4618" t="str">
        <x:v>US-2017-165953</x:v>
      </x:c>
      <x:c r="B4618" s="18" t="n">
        <x:v>42735</x:v>
      </x:c>
      <x:c r="C4618" t="str">
        <x:v>EP-13915</x:v>
      </x:c>
      <x:c r="D4618" t="str">
        <x:v>Emily Phan</x:v>
      </x:c>
      <x:c r="E4618" t="str">
        <x:v>Consumer</x:v>
      </x:c>
      <x:c r="F4618" t="str">
        <x:v>South</x:v>
      </x:c>
      <x:c r="G4618" t="str">
        <x:v>Office Supplies</x:v>
      </x:c>
      <x:c r="H4618" t="str">
        <x:v>Paper</x:v>
      </x:c>
      <x:c r="I4618" s="22" t="n">
        <x:v>23.480000000000004</x:v>
      </x:c>
      <x:c r="J4618" s="24" t="n">
        <x:v>5</x:v>
      </x:c>
      <x:c r="K4618" s="26" t="n">
        <x:v>0.2</x:v>
      </x:c>
      <x:c r="L4618" s="22" t="n">
        <x:v>8.218</x:v>
      </x:c>
      <x:c r="M4618" t="n">
        <x:v>2016</x:v>
      </x:c>
      <x:c r="N4618" s="20" t="n">
        <x:v>42705</x:v>
      </x:c>
    </x:row>
    <x:row r="4619" ht="18" customHeight="1">
      <x:c r="A4619" t="str">
        <x:v>CA-2016-144540</x:v>
      </x:c>
      <x:c r="B4619" s="18" t="n">
        <x:v>42618</x:v>
      </x:c>
      <x:c r="C4619" t="str">
        <x:v>GH-14410</x:v>
      </x:c>
      <x:c r="D4619" t="str">
        <x:v>Gary Hansen</x:v>
      </x:c>
      <x:c r="E4619" t="str">
        <x:v>Home Office</x:v>
      </x:c>
      <x:c r="F4619" t="str">
        <x:v>Central</x:v>
      </x:c>
      <x:c r="G4619" t="str">
        <x:v>Office Supplies</x:v>
      </x:c>
      <x:c r="H4619" t="str">
        <x:v>Appliances</x:v>
      </x:c>
      <x:c r="I4619" s="22" t="n">
        <x:v>62.78999999999999</x:v>
      </x:c>
      <x:c r="J4619" s="24" t="n">
        <x:v>3</x:v>
      </x:c>
      <x:c r="K4619" s="26" t="n">
        <x:v>0.8</x:v>
      </x:c>
      <x:c r="L4619" s="22" t="n">
        <x:v>-166.39350000000002</x:v>
      </x:c>
      <x:c r="M4619" t="n">
        <x:v>2016</x:v>
      </x:c>
      <x:c r="N4619" s="20" t="n">
        <x:v>42614</x:v>
      </x:c>
    </x:row>
    <x:row r="4620" ht="18" customHeight="1">
      <x:c r="A4620" t="str">
        <x:v>CA-2016-144540</x:v>
      </x:c>
      <x:c r="B4620" s="18" t="n">
        <x:v>42618</x:v>
      </x:c>
      <x:c r="C4620" t="str">
        <x:v>GH-14410</x:v>
      </x:c>
      <x:c r="D4620" t="str">
        <x:v>Gary Hansen</x:v>
      </x:c>
      <x:c r="E4620" t="str">
        <x:v>Home Office</x:v>
      </x:c>
      <x:c r="F4620" t="str">
        <x:v>Central</x:v>
      </x:c>
      <x:c r="G4620" t="str">
        <x:v>Office Supplies</x:v>
      </x:c>
      <x:c r="H4620" t="str">
        <x:v>Fasteners</x:v>
      </x:c>
      <x:c r="I4620" s="22" t="n">
        <x:v>28.44</x:v>
      </x:c>
      <x:c r="J4620" s="24" t="n">
        <x:v>9</x:v>
      </x:c>
      <x:c r="K4620" s="26" t="n">
        <x:v>0.2</x:v>
      </x:c>
      <x:c r="L4620" s="22" t="n">
        <x:v>4.265999999999997</x:v>
      </x:c>
      <x:c r="M4620" t="n">
        <x:v>2016</x:v>
      </x:c>
      <x:c r="N4620" s="20" t="n">
        <x:v>42614</x:v>
      </x:c>
    </x:row>
    <x:row r="4621" ht="18" customHeight="1">
      <x:c r="A4621" t="str">
        <x:v>CA-2015-159863</x:v>
      </x:c>
      <x:c r="B4621" s="18" t="n">
        <x:v>42251</x:v>
      </x:c>
      <x:c r="C4621" t="str">
        <x:v>DS-13180</x:v>
      </x:c>
      <x:c r="D4621" t="str">
        <x:v>David Smith</x:v>
      </x:c>
      <x:c r="E4621" t="str">
        <x:v>Corporate</x:v>
      </x:c>
      <x:c r="F4621" t="str">
        <x:v>Central</x:v>
      </x:c>
      <x:c r="G4621" t="str">
        <x:v>Technology</x:v>
      </x:c>
      <x:c r="H4621" t="str">
        <x:v>Accessories</x:v>
      </x:c>
      <x:c r="I4621" s="22" t="n">
        <x:v>134.376</x:v>
      </x:c>
      <x:c r="J4621" s="24" t="n">
        <x:v>3</x:v>
      </x:c>
      <x:c r="K4621" s="26" t="n">
        <x:v>0.2</x:v>
      </x:c>
      <x:c r="L4621" s="22" t="n">
        <x:v>6.718800000000009</x:v>
      </x:c>
      <x:c r="M4621" t="n">
        <x:v>2015</x:v>
      </x:c>
      <x:c r="N4621" s="20" t="n">
        <x:v>42248</x:v>
      </x:c>
    </x:row>
    <x:row r="4622" ht="18" customHeight="1">
      <x:c r="A4622" t="str">
        <x:v>CA-2015-117800</x:v>
      </x:c>
      <x:c r="B4622" s="18" t="n">
        <x:v>42268</x:v>
      </x:c>
      <x:c r="C4622" t="str">
        <x:v>TH-21550</x:v>
      </x:c>
      <x:c r="D4622" t="str">
        <x:v>Tracy Hopkins</x:v>
      </x:c>
      <x:c r="E4622" t="str">
        <x:v>Home Office</x:v>
      </x:c>
      <x:c r="F4622" t="str">
        <x:v>East</x:v>
      </x:c>
      <x:c r="G4622" t="str">
        <x:v>Technology</x:v>
      </x:c>
      <x:c r="H4622" t="str">
        <x:v>Phones</x:v>
      </x:c>
      <x:c r="I4622" s="22" t="n">
        <x:v>589.9</x:v>
      </x:c>
      <x:c r="J4622" s="24" t="n">
        <x:v>2</x:v>
      </x:c>
      <x:c r="K4622" s="26" t="n">
        <x:v>0</x:v>
      </x:c>
      <x:c r="L4622" s="22" t="n">
        <x:v>147.47500000000002</x:v>
      </x:c>
      <x:c r="M4622" t="n">
        <x:v>2015</x:v>
      </x:c>
      <x:c r="N4622" s="20" t="n">
        <x:v>42248</x:v>
      </x:c>
    </x:row>
    <x:row r="4623" ht="18" customHeight="1">
      <x:c r="A4623" t="str">
        <x:v>CA-2015-117800</x:v>
      </x:c>
      <x:c r="B4623" s="18" t="n">
        <x:v>42268</x:v>
      </x:c>
      <x:c r="C4623" t="str">
        <x:v>TH-21550</x:v>
      </x:c>
      <x:c r="D4623" t="str">
        <x:v>Tracy Hopkins</x:v>
      </x:c>
      <x:c r="E4623" t="str">
        <x:v>Home Office</x:v>
      </x:c>
      <x:c r="F4623" t="str">
        <x:v>East</x:v>
      </x:c>
      <x:c r="G4623" t="str">
        <x:v>Furniture</x:v>
      </x:c>
      <x:c r="H4623" t="str">
        <x:v>Chairs</x:v>
      </x:c>
      <x:c r="I4623" s="22" t="n">
        <x:v>542.9399999999999</x:v>
      </x:c>
      <x:c r="J4623" s="24" t="n">
        <x:v>3</x:v>
      </x:c>
      <x:c r="K4623" s="26" t="n">
        <x:v>0</x:v>
      </x:c>
      <x:c r="L4623" s="22" t="n">
        <x:v>141.1644</x:v>
      </x:c>
      <x:c r="M4623" t="n">
        <x:v>2015</x:v>
      </x:c>
      <x:c r="N4623" s="20" t="n">
        <x:v>42248</x:v>
      </x:c>
    </x:row>
    <x:row r="4624" ht="18" customHeight="1">
      <x:c r="A4624" t="str">
        <x:v>CA-2017-145219</x:v>
      </x:c>
      <x:c r="B4624" s="18" t="n">
        <x:v>43093</x:v>
      </x:c>
      <x:c r="C4624" t="str">
        <x:v>RM-19675</x:v>
      </x:c>
      <x:c r="D4624" t="str">
        <x:v>Robert Marley</x:v>
      </x:c>
      <x:c r="E4624" t="str">
        <x:v>Home Office</x:v>
      </x:c>
      <x:c r="F4624" t="str">
        <x:v>West</x:v>
      </x:c>
      <x:c r="G4624" t="str">
        <x:v>Technology</x:v>
      </x:c>
      <x:c r="H4624" t="str">
        <x:v>Copiers</x:v>
      </x:c>
      <x:c r="I4624" s="22" t="n">
        <x:v>2879.952</x:v>
      </x:c>
      <x:c r="J4624" s="24" t="n">
        <x:v>6</x:v>
      </x:c>
      <x:c r="K4624" s="26" t="n">
        <x:v>0.2</x:v>
      </x:c>
      <x:c r="L4624" s="22" t="n">
        <x:v>1007.9831999999999</x:v>
      </x:c>
      <x:c r="M4624" t="n">
        <x:v>2017</x:v>
      </x:c>
      <x:c r="N4624" s="20" t="n">
        <x:v>43070</x:v>
      </x:c>
    </x:row>
    <x:row r="4625" ht="18" customHeight="1">
      <x:c r="A4625" t="str">
        <x:v>CA-2017-145219</x:v>
      </x:c>
      <x:c r="B4625" s="18" t="n">
        <x:v>43093</x:v>
      </x:c>
      <x:c r="C4625" t="str">
        <x:v>RM-19675</x:v>
      </x:c>
      <x:c r="D4625" t="str">
        <x:v>Robert Marley</x:v>
      </x:c>
      <x:c r="E4625" t="str">
        <x:v>Home Office</x:v>
      </x:c>
      <x:c r="F4625" t="str">
        <x:v>West</x:v>
      </x:c>
      <x:c r="G4625" t="str">
        <x:v>Office Supplies</x:v>
      </x:c>
      <x:c r="H4625" t="str">
        <x:v>Binders</x:v>
      </x:c>
      <x:c r="I4625" s="22" t="n">
        <x:v>90.48000000000002</x:v>
      </x:c>
      <x:c r="J4625" s="24" t="n">
        <x:v>3</x:v>
      </x:c>
      <x:c r="K4625" s="26" t="n">
        <x:v>0.2</x:v>
      </x:c>
      <x:c r="L4625" s="22" t="n">
        <x:v>33.93</x:v>
      </x:c>
      <x:c r="M4625" t="n">
        <x:v>2017</x:v>
      </x:c>
      <x:c r="N4625" s="20" t="n">
        <x:v>43070</x:v>
      </x:c>
    </x:row>
    <x:row r="4626" ht="18" customHeight="1">
      <x:c r="A4626" t="str">
        <x:v>CA-2015-161214</x:v>
      </x:c>
      <x:c r="B4626" s="18" t="n">
        <x:v>42282</x:v>
      </x:c>
      <x:c r="C4626" t="str">
        <x:v>SF-20965</x:v>
      </x:c>
      <x:c r="D4626" t="str">
        <x:v>Sylvia Foulston</x:v>
      </x:c>
      <x:c r="E4626" t="str">
        <x:v>Corporate</x:v>
      </x:c>
      <x:c r="F4626" t="str">
        <x:v>East</x:v>
      </x:c>
      <x:c r="G4626" t="str">
        <x:v>Office Supplies</x:v>
      </x:c>
      <x:c r="H4626" t="str">
        <x:v>Storage</x:v>
      </x:c>
      <x:c r="I4626" s="22" t="n">
        <x:v>77.55</x:v>
      </x:c>
      <x:c r="J4626" s="24" t="n">
        <x:v>5</x:v>
      </x:c>
      <x:c r="K4626" s="26" t="n">
        <x:v>0</x:v>
      </x:c>
      <x:c r="L4626" s="22" t="n">
        <x:v>21.714000000000002</x:v>
      </x:c>
      <x:c r="M4626" t="n">
        <x:v>2015</x:v>
      </x:c>
      <x:c r="N4626" s="20" t="n">
        <x:v>42278</x:v>
      </x:c>
    </x:row>
    <x:row r="4627" ht="18" customHeight="1">
      <x:c r="A4627" t="str">
        <x:v>CA-2017-147228</x:v>
      </x:c>
      <x:c r="B4627" s="18" t="n">
        <x:v>42987</x:v>
      </x:c>
      <x:c r="C4627" t="str">
        <x:v>SO-20335</x:v>
      </x:c>
      <x:c r="D4627" t="str">
        <x:v>Sean O'Donnell</x:v>
      </x:c>
      <x:c r="E4627" t="str">
        <x:v>Consumer</x:v>
      </x:c>
      <x:c r="F4627" t="str">
        <x:v>South</x:v>
      </x:c>
      <x:c r="G4627" t="str">
        <x:v>Office Supplies</x:v>
      </x:c>
      <x:c r="H4627" t="str">
        <x:v>Supplies</x:v>
      </x:c>
      <x:c r="I4627" s="22" t="n">
        <x:v>8.832</x:v>
      </x:c>
      <x:c r="J4627" s="24" t="n">
        <x:v>3</x:v>
      </x:c>
      <x:c r="K4627" s="26" t="n">
        <x:v>0.2</x:v>
      </x:c>
      <x:c r="L4627" s="22" t="n">
        <x:v>-1.9872000000000005</x:v>
      </x:c>
      <x:c r="M4627" t="n">
        <x:v>2017</x:v>
      </x:c>
      <x:c r="N4627" s="20" t="n">
        <x:v>42979</x:v>
      </x:c>
    </x:row>
    <x:row r="4628" ht="18" customHeight="1">
      <x:c r="A4628" t="str">
        <x:v>CA-2017-147228</x:v>
      </x:c>
      <x:c r="B4628" s="18" t="n">
        <x:v>42987</x:v>
      </x:c>
      <x:c r="C4628" t="str">
        <x:v>SO-20335</x:v>
      </x:c>
      <x:c r="D4628" t="str">
        <x:v>Sean O'Donnell</x:v>
      </x:c>
      <x:c r="E4628" t="str">
        <x:v>Consumer</x:v>
      </x:c>
      <x:c r="F4628" t="str">
        <x:v>South</x:v>
      </x:c>
      <x:c r="G4628" t="str">
        <x:v>Office Supplies</x:v>
      </x:c>
      <x:c r="H4628" t="str">
        <x:v>Paper</x:v>
      </x:c>
      <x:c r="I4628" s="22" t="n">
        <x:v>177.536</x:v>
      </x:c>
      <x:c r="J4628" s="24" t="n">
        <x:v>4</x:v>
      </x:c>
      <x:c r="K4628" s="26" t="n">
        <x:v>0.2</x:v>
      </x:c>
      <x:c r="L4628" s="22" t="n">
        <x:v>62.13759999999999</x:v>
      </x:c>
      <x:c r="M4628" t="n">
        <x:v>2017</x:v>
      </x:c>
      <x:c r="N4628" s="20" t="n">
        <x:v>42979</x:v>
      </x:c>
    </x:row>
    <x:row r="4629" ht="18" customHeight="1">
      <x:c r="A4629" t="str">
        <x:v>CA-2017-147228</x:v>
      </x:c>
      <x:c r="B4629" s="18" t="n">
        <x:v>42987</x:v>
      </x:c>
      <x:c r="C4629" t="str">
        <x:v>SO-20335</x:v>
      </x:c>
      <x:c r="D4629" t="str">
        <x:v>Sean O'Donnell</x:v>
      </x:c>
      <x:c r="E4629" t="str">
        <x:v>Consumer</x:v>
      </x:c>
      <x:c r="F4629" t="str">
        <x:v>South</x:v>
      </x:c>
      <x:c r="G4629" t="str">
        <x:v>Office Supplies</x:v>
      </x:c>
      <x:c r="H4629" t="str">
        <x:v>Storage</x:v>
      </x:c>
      <x:c r="I4629" s="22" t="n">
        <x:v>258.48</x:v>
      </x:c>
      <x:c r="J4629" s="24" t="n">
        <x:v>2</x:v>
      </x:c>
      <x:c r="K4629" s="26" t="n">
        <x:v>0.2</x:v>
      </x:c>
      <x:c r="L4629" s="22" t="n">
        <x:v>-3.2309999999999945</x:v>
      </x:c>
      <x:c r="M4629" t="n">
        <x:v>2017</x:v>
      </x:c>
      <x:c r="N4629" s="20" t="n">
        <x:v>42979</x:v>
      </x:c>
    </x:row>
    <x:row r="4630" ht="18" customHeight="1">
      <x:c r="A4630" t="str">
        <x:v>CA-2017-147228</x:v>
      </x:c>
      <x:c r="B4630" s="18" t="n">
        <x:v>42987</x:v>
      </x:c>
      <x:c r="C4630" t="str">
        <x:v>SO-20335</x:v>
      </x:c>
      <x:c r="D4630" t="str">
        <x:v>Sean O'Donnell</x:v>
      </x:c>
      <x:c r="E4630" t="str">
        <x:v>Consumer</x:v>
      </x:c>
      <x:c r="F4630" t="str">
        <x:v>South</x:v>
      </x:c>
      <x:c r="G4630" t="str">
        <x:v>Furniture</x:v>
      </x:c>
      <x:c r="H4630" t="str">
        <x:v>Furnishings</x:v>
      </x:c>
      <x:c r="I4630" s="22" t="n">
        <x:v>14.136</x:v>
      </x:c>
      <x:c r="J4630" s="24" t="n">
        <x:v>3</x:v>
      </x:c>
      <x:c r="K4630" s="26" t="n">
        <x:v>0.2</x:v>
      </x:c>
      <x:c r="L4630" s="22" t="n">
        <x:v>4.240800000000001</x:v>
      </x:c>
      <x:c r="M4630" t="n">
        <x:v>2017</x:v>
      </x:c>
      <x:c r="N4630" s="20" t="n">
        <x:v>42979</x:v>
      </x:c>
    </x:row>
    <x:row r="4631" ht="18" customHeight="1">
      <x:c r="A4631" t="str">
        <x:v>CA-2016-101336</x:v>
      </x:c>
      <x:c r="B4631" s="18" t="n">
        <x:v>42687</x:v>
      </x:c>
      <x:c r="C4631" t="str">
        <x:v>CK-12760</x:v>
      </x:c>
      <x:c r="D4631" t="str">
        <x:v>Cyma Kinney</x:v>
      </x:c>
      <x:c r="E4631" t="str">
        <x:v>Corporate</x:v>
      </x:c>
      <x:c r="F4631" t="str">
        <x:v>East</x:v>
      </x:c>
      <x:c r="G4631" t="str">
        <x:v>Office Supplies</x:v>
      </x:c>
      <x:c r="H4631" t="str">
        <x:v>Storage</x:v>
      </x:c>
      <x:c r="I4631" s="22" t="n">
        <x:v>77.55</x:v>
      </x:c>
      <x:c r="J4631" s="24" t="n">
        <x:v>5</x:v>
      </x:c>
      <x:c r="K4631" s="26" t="n">
        <x:v>0</x:v>
      </x:c>
      <x:c r="L4631" s="22" t="n">
        <x:v>20.163000000000004</x:v>
      </x:c>
      <x:c r="M4631" t="n">
        <x:v>2016</x:v>
      </x:c>
      <x:c r="N4631" s="20" t="n">
        <x:v>42675</x:v>
      </x:c>
    </x:row>
    <x:row r="4632" ht="18" customHeight="1">
      <x:c r="A4632" t="str">
        <x:v>CA-2016-101336</x:v>
      </x:c>
      <x:c r="B4632" s="18" t="n">
        <x:v>42687</x:v>
      </x:c>
      <x:c r="C4632" t="str">
        <x:v>CK-12760</x:v>
      </x:c>
      <x:c r="D4632" t="str">
        <x:v>Cyma Kinney</x:v>
      </x:c>
      <x:c r="E4632" t="str">
        <x:v>Corporate</x:v>
      </x:c>
      <x:c r="F4632" t="str">
        <x:v>East</x:v>
      </x:c>
      <x:c r="G4632" t="str">
        <x:v>Office Supplies</x:v>
      </x:c>
      <x:c r="H4632" t="str">
        <x:v>Storage</x:v>
      </x:c>
      <x:c r="I4632" s="22" t="n">
        <x:v>24.88</x:v>
      </x:c>
      <x:c r="J4632" s="24" t="n">
        <x:v>2</x:v>
      </x:c>
      <x:c r="K4632" s="26" t="n">
        <x:v>0</x:v>
      </x:c>
      <x:c r="L4632" s="22" t="n">
        <x:v>6.9664</x:v>
      </x:c>
      <x:c r="M4632" t="n">
        <x:v>2016</x:v>
      </x:c>
      <x:c r="N4632" s="20" t="n">
        <x:v>42675</x:v>
      </x:c>
    </x:row>
    <x:row r="4633" ht="18" customHeight="1">
      <x:c r="A4633" t="str">
        <x:v>CA-2016-101336</x:v>
      </x:c>
      <x:c r="B4633" s="18" t="n">
        <x:v>42687</x:v>
      </x:c>
      <x:c r="C4633" t="str">
        <x:v>CK-12760</x:v>
      </x:c>
      <x:c r="D4633" t="str">
        <x:v>Cyma Kinney</x:v>
      </x:c>
      <x:c r="E4633" t="str">
        <x:v>Corporate</x:v>
      </x:c>
      <x:c r="F4633" t="str">
        <x:v>East</x:v>
      </x:c>
      <x:c r="G4633" t="str">
        <x:v>Office Supplies</x:v>
      </x:c>
      <x:c r="H4633" t="str">
        <x:v>Art</x:v>
      </x:c>
      <x:c r="I4633" s="22" t="n">
        <x:v>140.75</x:v>
      </x:c>
      <x:c r="J4633" s="24" t="n">
        <x:v>5</x:v>
      </x:c>
      <x:c r="K4633" s="26" t="n">
        <x:v>0</x:v>
      </x:c>
      <x:c r="L4633" s="22" t="n">
        <x:v>39.41000000000001</x:v>
      </x:c>
      <x:c r="M4633" t="n">
        <x:v>2016</x:v>
      </x:c>
      <x:c r="N4633" s="20" t="n">
        <x:v>42675</x:v>
      </x:c>
    </x:row>
    <x:row r="4634" ht="18" customHeight="1">
      <x:c r="A4634" t="str">
        <x:v>CA-2016-101336</x:v>
      </x:c>
      <x:c r="B4634" s="18" t="n">
        <x:v>42687</x:v>
      </x:c>
      <x:c r="C4634" t="str">
        <x:v>CK-12760</x:v>
      </x:c>
      <x:c r="D4634" t="str">
        <x:v>Cyma Kinney</x:v>
      </x:c>
      <x:c r="E4634" t="str">
        <x:v>Corporate</x:v>
      </x:c>
      <x:c r="F4634" t="str">
        <x:v>East</x:v>
      </x:c>
      <x:c r="G4634" t="str">
        <x:v>Office Supplies</x:v>
      </x:c>
      <x:c r="H4634" t="str">
        <x:v>Storage</x:v>
      </x:c>
      <x:c r="I4634" s="22" t="n">
        <x:v>36.63</x:v>
      </x:c>
      <x:c r="J4634" s="24" t="n">
        <x:v>3</x:v>
      </x:c>
      <x:c r="K4634" s="26" t="n">
        <x:v>0</x:v>
      </x:c>
      <x:c r="L4634" s="22" t="n">
        <x:v>9.890100000000004</x:v>
      </x:c>
      <x:c r="M4634" t="n">
        <x:v>2016</x:v>
      </x:c>
      <x:c r="N4634" s="20" t="n">
        <x:v>42675</x:v>
      </x:c>
    </x:row>
    <x:row r="4635" ht="18" customHeight="1">
      <x:c r="A4635" t="str">
        <x:v>US-2015-126235</x:v>
      </x:c>
      <x:c r="B4635" s="18" t="n">
        <x:v>42292</x:v>
      </x:c>
      <x:c r="C4635" t="str">
        <x:v>GA-14725</x:v>
      </x:c>
      <x:c r="D4635" t="str">
        <x:v>Guy Armstrong</x:v>
      </x:c>
      <x:c r="E4635" t="str">
        <x:v>Consumer</x:v>
      </x:c>
      <x:c r="F4635" t="str">
        <x:v>Central</x:v>
      </x:c>
      <x:c r="G4635" t="str">
        <x:v>Furniture</x:v>
      </x:c>
      <x:c r="H4635" t="str">
        <x:v>Furnishings</x:v>
      </x:c>
      <x:c r="I4635" s="22" t="n">
        <x:v>17.14</x:v>
      </x:c>
      <x:c r="J4635" s="24" t="n">
        <x:v>2</x:v>
      </x:c>
      <x:c r="K4635" s="26" t="n">
        <x:v>0</x:v>
      </x:c>
      <x:c r="L4635" s="22" t="n">
        <x:v>6.170400000000001</x:v>
      </x:c>
      <x:c r="M4635" t="n">
        <x:v>2015</x:v>
      </x:c>
      <x:c r="N4635" s="20" t="n">
        <x:v>42278</x:v>
      </x:c>
    </x:row>
    <x:row r="4636" ht="18" customHeight="1">
      <x:c r="A4636" t="str">
        <x:v>CA-2017-168396</x:v>
      </x:c>
      <x:c r="B4636" s="18" t="n">
        <x:v>42950</x:v>
      </x:c>
      <x:c r="C4636" t="str">
        <x:v>BD-11725</x:v>
      </x:c>
      <x:c r="D4636" t="str">
        <x:v>Bruce Degenhardt</x:v>
      </x:c>
      <x:c r="E4636" t="str">
        <x:v>Consumer</x:v>
      </x:c>
      <x:c r="F4636" t="str">
        <x:v>West</x:v>
      </x:c>
      <x:c r="G4636" t="str">
        <x:v>Office Supplies</x:v>
      </x:c>
      <x:c r="H4636" t="str">
        <x:v>Labels</x:v>
      </x:c>
      <x:c r="I4636" s="22" t="n">
        <x:v>51.75</x:v>
      </x:c>
      <x:c r="J4636" s="24" t="n">
        <x:v>5</x:v>
      </x:c>
      <x:c r="K4636" s="26" t="n">
        <x:v>0</x:v>
      </x:c>
      <x:c r="L4636" s="22" t="n">
        <x:v>24.84</x:v>
      </x:c>
      <x:c r="M4636" t="n">
        <x:v>2017</x:v>
      </x:c>
      <x:c r="N4636" s="20" t="n">
        <x:v>42948</x:v>
      </x:c>
    </x:row>
    <x:row r="4637" ht="18" customHeight="1">
      <x:c r="A4637" t="str">
        <x:v>CA-2017-168396</x:v>
      </x:c>
      <x:c r="B4637" s="18" t="n">
        <x:v>42950</x:v>
      </x:c>
      <x:c r="C4637" t="str">
        <x:v>BD-11725</x:v>
      </x:c>
      <x:c r="D4637" t="str">
        <x:v>Bruce Degenhardt</x:v>
      </x:c>
      <x:c r="E4637" t="str">
        <x:v>Consumer</x:v>
      </x:c>
      <x:c r="F4637" t="str">
        <x:v>West</x:v>
      </x:c>
      <x:c r="G4637" t="str">
        <x:v>Furniture</x:v>
      </x:c>
      <x:c r="H4637" t="str">
        <x:v>Furnishings</x:v>
      </x:c>
      <x:c r="I4637" s="22" t="n">
        <x:v>123.96000000000001</x:v>
      </x:c>
      <x:c r="J4637" s="24" t="n">
        <x:v>3</x:v>
      </x:c>
      <x:c r="K4637" s="26" t="n">
        <x:v>0</x:v>
      </x:c>
      <x:c r="L4637" s="22" t="n">
        <x:v>11.156400000000005</x:v>
      </x:c>
      <x:c r="M4637" t="n">
        <x:v>2017</x:v>
      </x:c>
      <x:c r="N4637" s="20" t="n">
        <x:v>42948</x:v>
      </x:c>
    </x:row>
    <x:row r="4638" ht="18" customHeight="1">
      <x:c r="A4638" t="str">
        <x:v>CA-2015-130456</x:v>
      </x:c>
      <x:c r="B4638" s="18" t="n">
        <x:v>42237</x:v>
      </x:c>
      <x:c r="C4638" t="str">
        <x:v>DS-13180</x:v>
      </x:c>
      <x:c r="D4638" t="str">
        <x:v>David Smith</x:v>
      </x:c>
      <x:c r="E4638" t="str">
        <x:v>Corporate</x:v>
      </x:c>
      <x:c r="F4638" t="str">
        <x:v>West</x:v>
      </x:c>
      <x:c r="G4638" t="str">
        <x:v>Furniture</x:v>
      </x:c>
      <x:c r="H4638" t="str">
        <x:v>Bookcases</x:v>
      </x:c>
      <x:c r="I4638" s="22" t="n">
        <x:v>586.398</x:v>
      </x:c>
      <x:c r="J4638" s="24" t="n">
        <x:v>6</x:v>
      </x:c>
      <x:c r="K4638" s="26" t="n">
        <x:v>0.15</x:v>
      </x:c>
      <x:c r="L4638" s="22" t="n">
        <x:v>34.49399999999997</x:v>
      </x:c>
      <x:c r="M4638" t="n">
        <x:v>2015</x:v>
      </x:c>
      <x:c r="N4638" s="20" t="n">
        <x:v>42217</x:v>
      </x:c>
    </x:row>
    <x:row r="4639" ht="18" customHeight="1">
      <x:c r="A4639" t="str">
        <x:v>CA-2015-130456</x:v>
      </x:c>
      <x:c r="B4639" s="18" t="n">
        <x:v>42237</x:v>
      </x:c>
      <x:c r="C4639" t="str">
        <x:v>DS-13180</x:v>
      </x:c>
      <x:c r="D4639" t="str">
        <x:v>David Smith</x:v>
      </x:c>
      <x:c r="E4639" t="str">
        <x:v>Corporate</x:v>
      </x:c>
      <x:c r="F4639" t="str">
        <x:v>West</x:v>
      </x:c>
      <x:c r="G4639" t="str">
        <x:v>Office Supplies</x:v>
      </x:c>
      <x:c r="H4639" t="str">
        <x:v>Storage</x:v>
      </x:c>
      <x:c r="I4639" s="22" t="n">
        <x:v>80.98</x:v>
      </x:c>
      <x:c r="J4639" s="24" t="n">
        <x:v>1</x:v>
      </x:c>
      <x:c r="K4639" s="26" t="n">
        <x:v>0</x:v>
      </x:c>
      <x:c r="L4639" s="22" t="n">
        <x:v>3.2391999999999967</x:v>
      </x:c>
      <x:c r="M4639" t="n">
        <x:v>2015</x:v>
      </x:c>
      <x:c r="N4639" s="20" t="n">
        <x:v>42217</x:v>
      </x:c>
    </x:row>
    <x:row r="4640" ht="18" customHeight="1">
      <x:c r="A4640" t="str">
        <x:v>CA-2017-116288</x:v>
      </x:c>
      <x:c r="B4640" s="18" t="n">
        <x:v>42806</x:v>
      </x:c>
      <x:c r="C4640" t="str">
        <x:v>BS-11380</x:v>
      </x:c>
      <x:c r="D4640" t="str">
        <x:v>Bill Stewart</x:v>
      </x:c>
      <x:c r="E4640" t="str">
        <x:v>Corporate</x:v>
      </x:c>
      <x:c r="F4640" t="str">
        <x:v>West</x:v>
      </x:c>
      <x:c r="G4640" t="str">
        <x:v>Office Supplies</x:v>
      </x:c>
      <x:c r="H4640" t="str">
        <x:v>Storage</x:v>
      </x:c>
      <x:c r="I4640" s="22" t="n">
        <x:v>242.94</x:v>
      </x:c>
      <x:c r="J4640" s="24" t="n">
        <x:v>3</x:v>
      </x:c>
      <x:c r="K4640" s="26" t="n">
        <x:v>0</x:v>
      </x:c>
      <x:c r="L4640" s="22" t="n">
        <x:v>9.71759999999999</x:v>
      </x:c>
      <x:c r="M4640" t="n">
        <x:v>2017</x:v>
      </x:c>
      <x:c r="N4640" s="20" t="n">
        <x:v>42795</x:v>
      </x:c>
    </x:row>
    <x:row r="4641" ht="18" customHeight="1">
      <x:c r="A4641" t="str">
        <x:v>CA-2017-168228</x:v>
      </x:c>
      <x:c r="B4641" s="18" t="n">
        <x:v>42852</x:v>
      </x:c>
      <x:c r="C4641" t="str">
        <x:v>AP-10915</x:v>
      </x:c>
      <x:c r="D4641" t="str">
        <x:v>Arthur Prichep</x:v>
      </x:c>
      <x:c r="E4641" t="str">
        <x:v>Consumer</x:v>
      </x:c>
      <x:c r="F4641" t="str">
        <x:v>West</x:v>
      </x:c>
      <x:c r="G4641" t="str">
        <x:v>Office Supplies</x:v>
      </x:c>
      <x:c r="H4641" t="str">
        <x:v>Art</x:v>
      </x:c>
      <x:c r="I4641" s="22" t="n">
        <x:v>123.92</x:v>
      </x:c>
      <x:c r="J4641" s="24" t="n">
        <x:v>4</x:v>
      </x:c>
      <x:c r="K4641" s="26" t="n">
        <x:v>0</x:v>
      </x:c>
      <x:c r="L4641" s="22" t="n">
        <x:v>33.4584</x:v>
      </x:c>
      <x:c r="M4641" t="n">
        <x:v>2017</x:v>
      </x:c>
      <x:c r="N4641" s="20" t="n">
        <x:v>42826</x:v>
      </x:c>
    </x:row>
    <x:row r="4642" ht="18" customHeight="1">
      <x:c r="A4642" t="str">
        <x:v>CA-2017-168228</x:v>
      </x:c>
      <x:c r="B4642" s="18" t="n">
        <x:v>42852</x:v>
      </x:c>
      <x:c r="C4642" t="str">
        <x:v>AP-10915</x:v>
      </x:c>
      <x:c r="D4642" t="str">
        <x:v>Arthur Prichep</x:v>
      </x:c>
      <x:c r="E4642" t="str">
        <x:v>Consumer</x:v>
      </x:c>
      <x:c r="F4642" t="str">
        <x:v>West</x:v>
      </x:c>
      <x:c r="G4642" t="str">
        <x:v>Office Supplies</x:v>
      </x:c>
      <x:c r="H4642" t="str">
        <x:v>Art</x:v>
      </x:c>
      <x:c r="I4642" s="22" t="n">
        <x:v>12.39</x:v>
      </x:c>
      <x:c r="J4642" s="24" t="n">
        <x:v>3</x:v>
      </x:c>
      <x:c r="K4642" s="26" t="n">
        <x:v>0</x:v>
      </x:c>
      <x:c r="L4642" s="22" t="n">
        <x:v>5.6994</x:v>
      </x:c>
      <x:c r="M4642" t="n">
        <x:v>2017</x:v>
      </x:c>
      <x:c r="N4642" s="20" t="n">
        <x:v>42826</x:v>
      </x:c>
    </x:row>
    <x:row r="4643" ht="18" customHeight="1">
      <x:c r="A4643" t="str">
        <x:v>CA-2017-168228</x:v>
      </x:c>
      <x:c r="B4643" s="18" t="n">
        <x:v>42852</x:v>
      </x:c>
      <x:c r="C4643" t="str">
        <x:v>AP-10915</x:v>
      </x:c>
      <x:c r="D4643" t="str">
        <x:v>Arthur Prichep</x:v>
      </x:c>
      <x:c r="E4643" t="str">
        <x:v>Consumer</x:v>
      </x:c>
      <x:c r="F4643" t="str">
        <x:v>West</x:v>
      </x:c>
      <x:c r="G4643" t="str">
        <x:v>Office Supplies</x:v>
      </x:c>
      <x:c r="H4643" t="str">
        <x:v>Art</x:v>
      </x:c>
      <x:c r="I4643" s="22" t="n">
        <x:v>47.3</x:v>
      </x:c>
      <x:c r="J4643" s="24" t="n">
        <x:v>2</x:v>
      </x:c>
      <x:c r="K4643" s="26" t="n">
        <x:v>0</x:v>
      </x:c>
      <x:c r="L4643" s="22" t="n">
        <x:v>12.298000000000002</x:v>
      </x:c>
      <x:c r="M4643" t="n">
        <x:v>2017</x:v>
      </x:c>
      <x:c r="N4643" s="20" t="n">
        <x:v>42826</x:v>
      </x:c>
    </x:row>
    <x:row r="4644" ht="18" customHeight="1">
      <x:c r="A4644" t="str">
        <x:v>CA-2016-102162</x:v>
      </x:c>
      <x:c r="B4644" s="18" t="n">
        <x:v>42624</x:v>
      </x:c>
      <x:c r="C4644" t="str">
        <x:v>JF-15565</x:v>
      </x:c>
      <x:c r="D4644" t="str">
        <x:v>Jill Fjeld</x:v>
      </x:c>
      <x:c r="E4644" t="str">
        <x:v>Consumer</x:v>
      </x:c>
      <x:c r="F4644" t="str">
        <x:v>South</x:v>
      </x:c>
      <x:c r="G4644" t="str">
        <x:v>Technology</x:v>
      </x:c>
      <x:c r="H4644" t="str">
        <x:v>Copiers</x:v>
      </x:c>
      <x:c r="I4644" s="22" t="n">
        <x:v>1599.92</x:v>
      </x:c>
      <x:c r="J4644" s="24" t="n">
        <x:v>8</x:v>
      </x:c>
      <x:c r="K4644" s="26" t="n">
        <x:v>0</x:v>
      </x:c>
      <x:c r="L4644" s="22" t="n">
        <x:v>751.9624</x:v>
      </x:c>
      <x:c r="M4644" t="n">
        <x:v>2016</x:v>
      </x:c>
      <x:c r="N4644" s="20" t="n">
        <x:v>42614</x:v>
      </x:c>
    </x:row>
    <x:row r="4645" ht="18" customHeight="1">
      <x:c r="A4645" t="str">
        <x:v>CA-2016-102162</x:v>
      </x:c>
      <x:c r="B4645" s="18" t="n">
        <x:v>42624</x:v>
      </x:c>
      <x:c r="C4645" t="str">
        <x:v>JF-15565</x:v>
      </x:c>
      <x:c r="D4645" t="str">
        <x:v>Jill Fjeld</x:v>
      </x:c>
      <x:c r="E4645" t="str">
        <x:v>Consumer</x:v>
      </x:c>
      <x:c r="F4645" t="str">
        <x:v>South</x:v>
      </x:c>
      <x:c r="G4645" t="str">
        <x:v>Office Supplies</x:v>
      </x:c>
      <x:c r="H4645" t="str">
        <x:v>Envelopes</x:v>
      </x:c>
      <x:c r="I4645" s="22" t="n">
        <x:v>11.09</x:v>
      </x:c>
      <x:c r="J4645" s="24" t="n">
        <x:v>1</x:v>
      </x:c>
      <x:c r="K4645" s="26" t="n">
        <x:v>0</x:v>
      </x:c>
      <x:c r="L4645" s="22" t="n">
        <x:v>5.4341</x:v>
      </x:c>
      <x:c r="M4645" t="n">
        <x:v>2016</x:v>
      </x:c>
      <x:c r="N4645" s="20" t="n">
        <x:v>42614</x:v>
      </x:c>
    </x:row>
    <x:row r="4646" ht="18" customHeight="1">
      <x:c r="A4646" t="str">
        <x:v>CA-2017-130141</x:v>
      </x:c>
      <x:c r="B4646" s="18" t="n">
        <x:v>43030</x:v>
      </x:c>
      <x:c r="C4646" t="str">
        <x:v>HA-14905</x:v>
      </x:c>
      <x:c r="D4646" t="str">
        <x:v>Helen Abelman</x:v>
      </x:c>
      <x:c r="E4646" t="str">
        <x:v>Consumer</x:v>
      </x:c>
      <x:c r="F4646" t="str">
        <x:v>West</x:v>
      </x:c>
      <x:c r="G4646" t="str">
        <x:v>Office Supplies</x:v>
      </x:c>
      <x:c r="H4646" t="str">
        <x:v>Binders</x:v>
      </x:c>
      <x:c r="I4646" s="22" t="n">
        <x:v>3.1680000000000006</x:v>
      </x:c>
      <x:c r="J4646" s="24" t="n">
        <x:v>4</x:v>
      </x:c>
      <x:c r="K4646" s="26" t="n">
        <x:v>0.7</x:v>
      </x:c>
      <x:c r="L4646" s="22" t="n">
        <x:v>-2.5343999999999998</x:v>
      </x:c>
      <x:c r="M4646" t="n">
        <x:v>2017</x:v>
      </x:c>
      <x:c r="N4646" s="20" t="n">
        <x:v>43009</x:v>
      </x:c>
    </x:row>
    <x:row r="4647" ht="18" customHeight="1">
      <x:c r="A4647" t="str">
        <x:v>CA-2017-130141</x:v>
      </x:c>
      <x:c r="B4647" s="18" t="n">
        <x:v>43030</x:v>
      </x:c>
      <x:c r="C4647" t="str">
        <x:v>HA-14905</x:v>
      </x:c>
      <x:c r="D4647" t="str">
        <x:v>Helen Abelman</x:v>
      </x:c>
      <x:c r="E4647" t="str">
        <x:v>Consumer</x:v>
      </x:c>
      <x:c r="F4647" t="str">
        <x:v>West</x:v>
      </x:c>
      <x:c r="G4647" t="str">
        <x:v>Furniture</x:v>
      </x:c>
      <x:c r="H4647" t="str">
        <x:v>Chairs</x:v>
      </x:c>
      <x:c r="I4647" s="22" t="n">
        <x:v>579.136</x:v>
      </x:c>
      <x:c r="J4647" s="24" t="n">
        <x:v>4</x:v>
      </x:c>
      <x:c r="K4647" s="26" t="n">
        <x:v>0.2</x:v>
      </x:c>
      <x:c r="L4647" s="22" t="n">
        <x:v>-28.95679999999993</x:v>
      </x:c>
      <x:c r="M4647" t="n">
        <x:v>2017</x:v>
      </x:c>
      <x:c r="N4647" s="20" t="n">
        <x:v>43009</x:v>
      </x:c>
    </x:row>
    <x:row r="4648" ht="18" customHeight="1">
      <x:c r="A4648" t="str">
        <x:v>CA-2015-147501</x:v>
      </x:c>
      <x:c r="B4648" s="18" t="n">
        <x:v>42218</x:v>
      </x:c>
      <x:c r="C4648" t="str">
        <x:v>Co-12640</x:v>
      </x:c>
      <x:c r="D4648" t="str">
        <x:v>Corey-Lock</x:v>
      </x:c>
      <x:c r="E4648" t="str">
        <x:v>Consumer</x:v>
      </x:c>
      <x:c r="F4648" t="str">
        <x:v>West</x:v>
      </x:c>
      <x:c r="G4648" t="str">
        <x:v>Office Supplies</x:v>
      </x:c>
      <x:c r="H4648" t="str">
        <x:v>Binders</x:v>
      </x:c>
      <x:c r="I4648" s="22" t="n">
        <x:v>6.368</x:v>
      </x:c>
      <x:c r="J4648" s="24" t="n">
        <x:v>2</x:v>
      </x:c>
      <x:c r="K4648" s="26" t="n">
        <x:v>0.2</x:v>
      </x:c>
      <x:c r="L4648" s="22" t="n">
        <x:v>2.1492</x:v>
      </x:c>
      <x:c r="M4648" t="n">
        <x:v>2015</x:v>
      </x:c>
      <x:c r="N4648" s="20" t="n">
        <x:v>42217</x:v>
      </x:c>
    </x:row>
    <x:row r="4649" ht="18" customHeight="1">
      <x:c r="A4649" t="str">
        <x:v>CA-2015-147501</x:v>
      </x:c>
      <x:c r="B4649" s="18" t="n">
        <x:v>42218</x:v>
      </x:c>
      <x:c r="C4649" t="str">
        <x:v>Co-12640</x:v>
      </x:c>
      <x:c r="D4649" t="str">
        <x:v>Corey-Lock</x:v>
      </x:c>
      <x:c r="E4649" t="str">
        <x:v>Consumer</x:v>
      </x:c>
      <x:c r="F4649" t="str">
        <x:v>West</x:v>
      </x:c>
      <x:c r="G4649" t="str">
        <x:v>Technology</x:v>
      </x:c>
      <x:c r="H4649" t="str">
        <x:v>Machines</x:v>
      </x:c>
      <x:c r="I4649" s="22" t="n">
        <x:v>558.4</x:v>
      </x:c>
      <x:c r="J4649" s="24" t="n">
        <x:v>2</x:v>
      </x:c>
      <x:c r="K4649" s="26" t="n">
        <x:v>0.2</x:v>
      </x:c>
      <x:c r="L4649" s="22" t="n">
        <x:v>41.880000000000024</x:v>
      </x:c>
      <x:c r="M4649" t="n">
        <x:v>2015</x:v>
      </x:c>
      <x:c r="N4649" s="20" t="n">
        <x:v>42217</x:v>
      </x:c>
    </x:row>
    <x:row r="4650" ht="18" customHeight="1">
      <x:c r="A4650" t="str">
        <x:v>CA-2016-143910</x:v>
      </x:c>
      <x:c r="B4650" s="18" t="n">
        <x:v>42594</x:v>
      </x:c>
      <x:c r="C4650" t="str">
        <x:v>BC-11125</x:v>
      </x:c>
      <x:c r="D4650" t="str">
        <x:v>Becky Castell</x:v>
      </x:c>
      <x:c r="E4650" t="str">
        <x:v>Home Office</x:v>
      </x:c>
      <x:c r="F4650" t="str">
        <x:v>East</x:v>
      </x:c>
      <x:c r="G4650" t="str">
        <x:v>Furniture</x:v>
      </x:c>
      <x:c r="H4650" t="str">
        <x:v>Chairs</x:v>
      </x:c>
      <x:c r="I4650" s="22" t="n">
        <x:v>145.764</x:v>
      </x:c>
      <x:c r="J4650" s="24" t="n">
        <x:v>2</x:v>
      </x:c>
      <x:c r="K4650" s="26" t="n">
        <x:v>0.1</x:v>
      </x:c>
      <x:c r="L4650" s="22" t="n">
        <x:v>-8.098000000000017</x:v>
      </x:c>
      <x:c r="M4650" t="n">
        <x:v>2016</x:v>
      </x:c>
      <x:c r="N4650" s="20" t="n">
        <x:v>42583</x:v>
      </x:c>
    </x:row>
    <x:row r="4651" ht="18" customHeight="1">
      <x:c r="A4651" t="str">
        <x:v>CA-2014-146885</x:v>
      </x:c>
      <x:c r="B4651" s="18" t="n">
        <x:v>41789</x:v>
      </x:c>
      <x:c r="C4651" t="str">
        <x:v>EB-13840</x:v>
      </x:c>
      <x:c r="D4651" t="str">
        <x:v>Ellis Ballard</x:v>
      </x:c>
      <x:c r="E4651" t="str">
        <x:v>Corporate</x:v>
      </x:c>
      <x:c r="F4651" t="str">
        <x:v>South</x:v>
      </x:c>
      <x:c r="G4651" t="str">
        <x:v>Office Supplies</x:v>
      </x:c>
      <x:c r="H4651" t="str">
        <x:v>Paper</x:v>
      </x:c>
      <x:c r="I4651" s="22" t="n">
        <x:v>13.620000000000001</x:v>
      </x:c>
      <x:c r="J4651" s="24" t="n">
        <x:v>3</x:v>
      </x:c>
      <x:c r="K4651" s="26" t="n">
        <x:v>0</x:v>
      </x:c>
      <x:c r="L4651" s="22" t="n">
        <x:v>6.129</x:v>
      </x:c>
      <x:c r="M4651" t="n">
        <x:v>2014</x:v>
      </x:c>
      <x:c r="N4651" s="20" t="n">
        <x:v>41760</x:v>
      </x:c>
    </x:row>
    <x:row r="4652" ht="18" customHeight="1">
      <x:c r="A4652" t="str">
        <x:v>CA-2016-139556</x:v>
      </x:c>
      <x:c r="B4652" s="18" t="n">
        <x:v>42486</x:v>
      </x:c>
      <x:c r="C4652" t="str">
        <x:v>DB-13360</x:v>
      </x:c>
      <x:c r="D4652" t="str">
        <x:v>Dennis Bolton</x:v>
      </x:c>
      <x:c r="E4652" t="str">
        <x:v>Home Office</x:v>
      </x:c>
      <x:c r="F4652" t="str">
        <x:v>East</x:v>
      </x:c>
      <x:c r="G4652" t="str">
        <x:v>Furniture</x:v>
      </x:c>
      <x:c r="H4652" t="str">
        <x:v>Chairs</x:v>
      </x:c>
      <x:c r="I4652" s="22" t="n">
        <x:v>434.646</x:v>
      </x:c>
      <x:c r="J4652" s="24" t="n">
        <x:v>3</x:v>
      </x:c>
      <x:c r="K4652" s="26" t="n">
        <x:v>0.1</x:v>
      </x:c>
      <x:c r="L4652" s="22" t="n">
        <x:v>62.782199999999975</x:v>
      </x:c>
      <x:c r="M4652" t="n">
        <x:v>2016</x:v>
      </x:c>
      <x:c r="N4652" s="20" t="n">
        <x:v>42461</x:v>
      </x:c>
    </x:row>
    <x:row r="4653" ht="18" customHeight="1">
      <x:c r="A4653" t="str">
        <x:v>CA-2017-129357</x:v>
      </x:c>
      <x:c r="B4653" s="18" t="n">
        <x:v>42869</x:v>
      </x:c>
      <x:c r="C4653" t="str">
        <x:v>KB-16585</x:v>
      </x:c>
      <x:c r="D4653" t="str">
        <x:v>Ken Black</x:v>
      </x:c>
      <x:c r="E4653" t="str">
        <x:v>Corporate</x:v>
      </x:c>
      <x:c r="F4653" t="str">
        <x:v>West</x:v>
      </x:c>
      <x:c r="G4653" t="str">
        <x:v>Office Supplies</x:v>
      </x:c>
      <x:c r="H4653" t="str">
        <x:v>Paper</x:v>
      </x:c>
      <x:c r="I4653" s="22" t="n">
        <x:v>440.18999999999994</x:v>
      </x:c>
      <x:c r="J4653" s="24" t="n">
        <x:v>9</x:v>
      </x:c>
      <x:c r="K4653" s="26" t="n">
        <x:v>0</x:v>
      </x:c>
      <x:c r="L4653" s="22" t="n">
        <x:v>206.88929999999996</x:v>
      </x:c>
      <x:c r="M4653" t="n">
        <x:v>2017</x:v>
      </x:c>
      <x:c r="N4653" s="20" t="n">
        <x:v>42856</x:v>
      </x:c>
    </x:row>
    <x:row r="4654" ht="18" customHeight="1">
      <x:c r="A4654" t="str">
        <x:v>CA-2017-129357</x:v>
      </x:c>
      <x:c r="B4654" s="18" t="n">
        <x:v>42869</x:v>
      </x:c>
      <x:c r="C4654" t="str">
        <x:v>KB-16585</x:v>
      </x:c>
      <x:c r="D4654" t="str">
        <x:v>Ken Black</x:v>
      </x:c>
      <x:c r="E4654" t="str">
        <x:v>Corporate</x:v>
      </x:c>
      <x:c r="F4654" t="str">
        <x:v>West</x:v>
      </x:c>
      <x:c r="G4654" t="str">
        <x:v>Office Supplies</x:v>
      </x:c>
      <x:c r="H4654" t="str">
        <x:v>Supplies</x:v>
      </x:c>
      <x:c r="I4654" s="22" t="n">
        <x:v>64.4</x:v>
      </x:c>
      <x:c r="J4654" s="24" t="n">
        <x:v>5</x:v>
      </x:c>
      <x:c r="K4654" s="26" t="n">
        <x:v>0</x:v>
      </x:c>
      <x:c r="L4654" s="22" t="n">
        <x:v>1.9320000000000004</x:v>
      </x:c>
      <x:c r="M4654" t="n">
        <x:v>2017</x:v>
      </x:c>
      <x:c r="N4654" s="20" t="n">
        <x:v>42856</x:v>
      </x:c>
    </x:row>
    <x:row r="4655" ht="18" customHeight="1">
      <x:c r="A4655" t="str">
        <x:v>CA-2017-150987</x:v>
      </x:c>
      <x:c r="B4655" s="18" t="n">
        <x:v>42833</x:v>
      </x:c>
      <x:c r="C4655" t="str">
        <x:v>AH-10120</x:v>
      </x:c>
      <x:c r="D4655" t="str">
        <x:v>Adrian Hane</x:v>
      </x:c>
      <x:c r="E4655" t="str">
        <x:v>Home Office</x:v>
      </x:c>
      <x:c r="F4655" t="str">
        <x:v>West</x:v>
      </x:c>
      <x:c r="G4655" t="str">
        <x:v>Office Supplies</x:v>
      </x:c>
      <x:c r="H4655" t="str">
        <x:v>Paper</x:v>
      </x:c>
      <x:c r="I4655" s="22" t="n">
        <x:v>244.54999999999998</x:v>
      </x:c>
      <x:c r="J4655" s="24" t="n">
        <x:v>5</x:v>
      </x:c>
      <x:c r="K4655" s="26" t="n">
        <x:v>0</x:v>
      </x:c>
      <x:c r="L4655" s="22" t="n">
        <x:v>114.93849999999998</x:v>
      </x:c>
      <x:c r="M4655" t="n">
        <x:v>2017</x:v>
      </x:c>
      <x:c r="N4655" s="20" t="n">
        <x:v>42826</x:v>
      </x:c>
    </x:row>
    <x:row r="4656" ht="18" customHeight="1">
      <x:c r="A4656" t="str">
        <x:v>CA-2017-150987</x:v>
      </x:c>
      <x:c r="B4656" s="18" t="n">
        <x:v>42833</x:v>
      </x:c>
      <x:c r="C4656" t="str">
        <x:v>AH-10120</x:v>
      </x:c>
      <x:c r="D4656" t="str">
        <x:v>Adrian Hane</x:v>
      </x:c>
      <x:c r="E4656" t="str">
        <x:v>Home Office</x:v>
      </x:c>
      <x:c r="F4656" t="str">
        <x:v>West</x:v>
      </x:c>
      <x:c r="G4656" t="str">
        <x:v>Office Supplies</x:v>
      </x:c>
      <x:c r="H4656" t="str">
        <x:v>Paper</x:v>
      </x:c>
      <x:c r="I4656" s="22" t="n">
        <x:v>195.76</x:v>
      </x:c>
      <x:c r="J4656" s="24" t="n">
        <x:v>4</x:v>
      </x:c>
      <x:c r="K4656" s="26" t="n">
        <x:v>0</x:v>
      </x:c>
      <x:c r="L4656" s="22" t="n">
        <x:v>97.88</x:v>
      </x:c>
      <x:c r="M4656" t="n">
        <x:v>2017</x:v>
      </x:c>
      <x:c r="N4656" s="20" t="n">
        <x:v>42826</x:v>
      </x:c>
    </x:row>
    <x:row r="4657" ht="18" customHeight="1">
      <x:c r="A4657" t="str">
        <x:v>CA-2017-132647</x:v>
      </x:c>
      <x:c r="B4657" s="18" t="n">
        <x:v>42783</x:v>
      </x:c>
      <x:c r="C4657" t="str">
        <x:v>GH-14410</x:v>
      </x:c>
      <x:c r="D4657" t="str">
        <x:v>Gary Hansen</x:v>
      </x:c>
      <x:c r="E4657" t="str">
        <x:v>Home Office</x:v>
      </x:c>
      <x:c r="F4657" t="str">
        <x:v>East</x:v>
      </x:c>
      <x:c r="G4657" t="str">
        <x:v>Office Supplies</x:v>
      </x:c>
      <x:c r="H4657" t="str">
        <x:v>Paper</x:v>
      </x:c>
      <x:c r="I4657" s="22" t="n">
        <x:v>11.76</x:v>
      </x:c>
      <x:c r="J4657" s="24" t="n">
        <x:v>2</x:v>
      </x:c>
      <x:c r="K4657" s="26" t="n">
        <x:v>0</x:v>
      </x:c>
      <x:c r="L4657" s="22" t="n">
        <x:v>5.7623999999999995</x:v>
      </x:c>
      <x:c r="M4657" t="n">
        <x:v>2017</x:v>
      </x:c>
      <x:c r="N4657" s="20" t="n">
        <x:v>42767</x:v>
      </x:c>
    </x:row>
    <x:row r="4658" ht="18" customHeight="1">
      <x:c r="A4658" t="str">
        <x:v>CA-2017-132647</x:v>
      </x:c>
      <x:c r="B4658" s="18" t="n">
        <x:v>42783</x:v>
      </x:c>
      <x:c r="C4658" t="str">
        <x:v>GH-14410</x:v>
      </x:c>
      <x:c r="D4658" t="str">
        <x:v>Gary Hansen</x:v>
      </x:c>
      <x:c r="E4658" t="str">
        <x:v>Home Office</x:v>
      </x:c>
      <x:c r="F4658" t="str">
        <x:v>East</x:v>
      </x:c>
      <x:c r="G4658" t="str">
        <x:v>Office Supplies</x:v>
      </x:c>
      <x:c r="H4658" t="str">
        <x:v>Storage</x:v>
      </x:c>
      <x:c r="I4658" s="22" t="n">
        <x:v>166.45</x:v>
      </x:c>
      <x:c r="J4658" s="24" t="n">
        <x:v>5</x:v>
      </x:c>
      <x:c r="K4658" s="26" t="n">
        <x:v>0</x:v>
      </x:c>
      <x:c r="L4658" s="22" t="n">
        <x:v>39.94799999999999</x:v>
      </x:c>
      <x:c r="M4658" t="n">
        <x:v>2017</x:v>
      </x:c>
      <x:c r="N4658" s="20" t="n">
        <x:v>42767</x:v>
      </x:c>
    </x:row>
    <x:row r="4659" ht="18" customHeight="1">
      <x:c r="A4659" t="str">
        <x:v>CA-2017-159107</x:v>
      </x:c>
      <x:c r="B4659" s="18" t="n">
        <x:v>42910</x:v>
      </x:c>
      <x:c r="C4659" t="str">
        <x:v>KT-16480</x:v>
      </x:c>
      <x:c r="D4659" t="str">
        <x:v>Kean Thornton</x:v>
      </x:c>
      <x:c r="E4659" t="str">
        <x:v>Consumer</x:v>
      </x:c>
      <x:c r="F4659" t="str">
        <x:v>West</x:v>
      </x:c>
      <x:c r="G4659" t="str">
        <x:v>Office Supplies</x:v>
      </x:c>
      <x:c r="H4659" t="str">
        <x:v>Fasteners</x:v>
      </x:c>
      <x:c r="I4659" s="22" t="n">
        <x:v>2.88</x:v>
      </x:c>
      <x:c r="J4659" s="24" t="n">
        <x:v>1</x:v>
      </x:c>
      <x:c r="K4659" s="26" t="n">
        <x:v>0</x:v>
      </x:c>
      <x:c r="L4659" s="22" t="n">
        <x:v>1.3536</x:v>
      </x:c>
      <x:c r="M4659" t="n">
        <x:v>2017</x:v>
      </x:c>
      <x:c r="N4659" s="20" t="n">
        <x:v>42887</x:v>
      </x:c>
    </x:row>
    <x:row r="4660" ht="18" customHeight="1">
      <x:c r="A4660" t="str">
        <x:v>CA-2014-160738</x:v>
      </x:c>
      <x:c r="B4660" s="18" t="n">
        <x:v>41764</x:v>
      </x:c>
      <x:c r="C4660" t="str">
        <x:v>KH-16330</x:v>
      </x:c>
      <x:c r="D4660" t="str">
        <x:v>Katharine Harms</x:v>
      </x:c>
      <x:c r="E4660" t="str">
        <x:v>Corporate</x:v>
      </x:c>
      <x:c r="F4660" t="str">
        <x:v>Central</x:v>
      </x:c>
      <x:c r="G4660" t="str">
        <x:v>Office Supplies</x:v>
      </x:c>
      <x:c r="H4660" t="str">
        <x:v>Storage</x:v>
      </x:c>
      <x:c r="I4660" s="22" t="n">
        <x:v>45.248000000000005</x:v>
      </x:c>
      <x:c r="J4660" s="24" t="n">
        <x:v>2</x:v>
      </x:c>
      <x:c r="K4660" s="26" t="n">
        <x:v>0.2</x:v>
      </x:c>
      <x:c r="L4660" s="22" t="n">
        <x:v>3.959199999999999</x:v>
      </x:c>
      <x:c r="M4660" t="n">
        <x:v>2014</x:v>
      </x:c>
      <x:c r="N4660" s="20" t="n">
        <x:v>41760</x:v>
      </x:c>
    </x:row>
    <x:row r="4661" ht="18" customHeight="1">
      <x:c r="A4661" t="str">
        <x:v>CA-2015-112130</x:v>
      </x:c>
      <x:c r="B4661" s="18" t="n">
        <x:v>42127</x:v>
      </x:c>
      <x:c r="C4661" t="str">
        <x:v>SV-20785</x:v>
      </x:c>
      <x:c r="D4661" t="str">
        <x:v>Stewart Visinsky</x:v>
      </x:c>
      <x:c r="E4661" t="str">
        <x:v>Consumer</x:v>
      </x:c>
      <x:c r="F4661" t="str">
        <x:v>East</x:v>
      </x:c>
      <x:c r="G4661" t="str">
        <x:v>Office Supplies</x:v>
      </x:c>
      <x:c r="H4661" t="str">
        <x:v>Art</x:v>
      </x:c>
      <x:c r="I4661" s="22" t="n">
        <x:v>59.903999999999996</x:v>
      </x:c>
      <x:c r="J4661" s="24" t="n">
        <x:v>2</x:v>
      </x:c>
      <x:c r="K4661" s="26" t="n">
        <x:v>0.2</x:v>
      </x:c>
      <x:c r="L4661" s="22" t="n">
        <x:v>14.227200000000003</x:v>
      </x:c>
      <x:c r="M4661" t="n">
        <x:v>2015</x:v>
      </x:c>
      <x:c r="N4661" s="20" t="n">
        <x:v>42125</x:v>
      </x:c>
    </x:row>
    <x:row r="4662" ht="18" customHeight="1">
      <x:c r="A4662" t="str">
        <x:v>CA-2015-112130</x:v>
      </x:c>
      <x:c r="B4662" s="18" t="n">
        <x:v>42127</x:v>
      </x:c>
      <x:c r="C4662" t="str">
        <x:v>SV-20785</x:v>
      </x:c>
      <x:c r="D4662" t="str">
        <x:v>Stewart Visinsky</x:v>
      </x:c>
      <x:c r="E4662" t="str">
        <x:v>Consumer</x:v>
      </x:c>
      <x:c r="F4662" t="str">
        <x:v>East</x:v>
      </x:c>
      <x:c r="G4662" t="str">
        <x:v>Office Supplies</x:v>
      </x:c>
      <x:c r="H4662" t="str">
        <x:v>Appliances</x:v>
      </x:c>
      <x:c r="I4662" s="22" t="n">
        <x:v>23.696</x:v>
      </x:c>
      <x:c r="J4662" s="24" t="n">
        <x:v>2</x:v>
      </x:c>
      <x:c r="K4662" s="26" t="n">
        <x:v>0.2</x:v>
      </x:c>
      <x:c r="L4662" s="22" t="n">
        <x:v>6.5164</x:v>
      </x:c>
      <x:c r="M4662" t="n">
        <x:v>2015</x:v>
      </x:c>
      <x:c r="N4662" s="20" t="n">
        <x:v>42125</x:v>
      </x:c>
    </x:row>
    <x:row r="4663" ht="18" customHeight="1">
      <x:c r="A4663" t="str">
        <x:v>CA-2015-112130</x:v>
      </x:c>
      <x:c r="B4663" s="18" t="n">
        <x:v>42127</x:v>
      </x:c>
      <x:c r="C4663" t="str">
        <x:v>SV-20785</x:v>
      </x:c>
      <x:c r="D4663" t="str">
        <x:v>Stewart Visinsky</x:v>
      </x:c>
      <x:c r="E4663" t="str">
        <x:v>Consumer</x:v>
      </x:c>
      <x:c r="F4663" t="str">
        <x:v>East</x:v>
      </x:c>
      <x:c r="G4663" t="str">
        <x:v>Office Supplies</x:v>
      </x:c>
      <x:c r="H4663" t="str">
        <x:v>Paper</x:v>
      </x:c>
      <x:c r="I4663" s="22" t="n">
        <x:v>7.968000000000001</x:v>
      </x:c>
      <x:c r="J4663" s="24" t="n">
        <x:v>2</x:v>
      </x:c>
      <x:c r="K4663" s="26" t="n">
        <x:v>0.2</x:v>
      </x:c>
      <x:c r="L4663" s="22" t="n">
        <x:v>2.8884000000000007</x:v>
      </x:c>
      <x:c r="M4663" t="n">
        <x:v>2015</x:v>
      </x:c>
      <x:c r="N4663" s="20" t="n">
        <x:v>42125</x:v>
      </x:c>
    </x:row>
    <x:row r="4664" ht="18" customHeight="1">
      <x:c r="A4664" t="str">
        <x:v>CA-2015-112130</x:v>
      </x:c>
      <x:c r="B4664" s="18" t="n">
        <x:v>42127</x:v>
      </x:c>
      <x:c r="C4664" t="str">
        <x:v>SV-20785</x:v>
      </x:c>
      <x:c r="D4664" t="str">
        <x:v>Stewart Visinsky</x:v>
      </x:c>
      <x:c r="E4664" t="str">
        <x:v>Consumer</x:v>
      </x:c>
      <x:c r="F4664" t="str">
        <x:v>East</x:v>
      </x:c>
      <x:c r="G4664" t="str">
        <x:v>Office Supplies</x:v>
      </x:c>
      <x:c r="H4664" t="str">
        <x:v>Appliances</x:v>
      </x:c>
      <x:c r="I4664" s="22" t="n">
        <x:v>18.2</x:v>
      </x:c>
      <x:c r="J4664" s="24" t="n">
        <x:v>7</x:v>
      </x:c>
      <x:c r="K4664" s="26" t="n">
        <x:v>0.2</x:v>
      </x:c>
      <x:c r="L4664" s="22" t="n">
        <x:v>2.0474999999999994</x:v>
      </x:c>
      <x:c r="M4664" t="n">
        <x:v>2015</x:v>
      </x:c>
      <x:c r="N4664" s="20" t="n">
        <x:v>42125</x:v>
      </x:c>
    </x:row>
    <x:row r="4665" ht="18" customHeight="1">
      <x:c r="A4665" t="str">
        <x:v>CA-2015-112130</x:v>
      </x:c>
      <x:c r="B4665" s="18" t="n">
        <x:v>42127</x:v>
      </x:c>
      <x:c r="C4665" t="str">
        <x:v>SV-20785</x:v>
      </x:c>
      <x:c r="D4665" t="str">
        <x:v>Stewart Visinsky</x:v>
      </x:c>
      <x:c r="E4665" t="str">
        <x:v>Consumer</x:v>
      </x:c>
      <x:c r="F4665" t="str">
        <x:v>East</x:v>
      </x:c>
      <x:c r="G4665" t="str">
        <x:v>Technology</x:v>
      </x:c>
      <x:c r="H4665" t="str">
        <x:v>Accessories</x:v>
      </x:c>
      <x:c r="I4665" s="22" t="n">
        <x:v>27.552000000000003</x:v>
      </x:c>
      <x:c r="J4665" s="24" t="n">
        <x:v>3</x:v>
      </x:c>
      <x:c r="K4665" s="26" t="n">
        <x:v>0.2</x:v>
      </x:c>
      <x:c r="L4665" s="22" t="n">
        <x:v>-0.3444000000000047</x:v>
      </x:c>
      <x:c r="M4665" t="n">
        <x:v>2015</x:v>
      </x:c>
      <x:c r="N4665" s="20" t="n">
        <x:v>42125</x:v>
      </x:c>
    </x:row>
    <x:row r="4666" ht="18" customHeight="1">
      <x:c r="A4666" t="str">
        <x:v>CA-2015-112130</x:v>
      </x:c>
      <x:c r="B4666" s="18" t="n">
        <x:v>42127</x:v>
      </x:c>
      <x:c r="C4666" t="str">
        <x:v>SV-20785</x:v>
      </x:c>
      <x:c r="D4666" t="str">
        <x:v>Stewart Visinsky</x:v>
      </x:c>
      <x:c r="E4666" t="str">
        <x:v>Consumer</x:v>
      </x:c>
      <x:c r="F4666" t="str">
        <x:v>East</x:v>
      </x:c>
      <x:c r="G4666" t="str">
        <x:v>Furniture</x:v>
      </x:c>
      <x:c r="H4666" t="str">
        <x:v>Chairs</x:v>
      </x:c>
      <x:c r="I4666" s="22" t="n">
        <x:v>844.1159999999999</x:v>
      </x:c>
      <x:c r="J4666" s="24" t="n">
        <x:v>6</x:v>
      </x:c>
      <x:c r="K4666" s="26" t="n">
        <x:v>0.3</x:v>
      </x:c>
      <x:c r="L4666" s="22" t="n">
        <x:v>-36.1764</x:v>
      </x:c>
      <x:c r="M4666" t="n">
        <x:v>2015</x:v>
      </x:c>
      <x:c r="N4666" s="20" t="n">
        <x:v>42125</x:v>
      </x:c>
    </x:row>
    <x:row r="4667" ht="18" customHeight="1">
      <x:c r="A4667" t="str">
        <x:v>CA-2015-112130</x:v>
      </x:c>
      <x:c r="B4667" s="18" t="n">
        <x:v>42127</x:v>
      </x:c>
      <x:c r="C4667" t="str">
        <x:v>SV-20785</x:v>
      </x:c>
      <x:c r="D4667" t="str">
        <x:v>Stewart Visinsky</x:v>
      </x:c>
      <x:c r="E4667" t="str">
        <x:v>Consumer</x:v>
      </x:c>
      <x:c r="F4667" t="str">
        <x:v>East</x:v>
      </x:c>
      <x:c r="G4667" t="str">
        <x:v>Office Supplies</x:v>
      </x:c>
      <x:c r="H4667" t="str">
        <x:v>Storage</x:v>
      </x:c>
      <x:c r="I4667" s="22" t="n">
        <x:v>76.75200000000001</x:v>
      </x:c>
      <x:c r="J4667" s="24" t="n">
        <x:v>3</x:v>
      </x:c>
      <x:c r="K4667" s="26" t="n">
        <x:v>0.2</x:v>
      </x:c>
      <x:c r="L4667" s="22" t="n">
        <x:v>-9.594000000000001</x:v>
      </x:c>
      <x:c r="M4667" t="n">
        <x:v>2015</x:v>
      </x:c>
      <x:c r="N4667" s="20" t="n">
        <x:v>42125</x:v>
      </x:c>
    </x:row>
    <x:row r="4668" ht="18" customHeight="1">
      <x:c r="A4668" t="str">
        <x:v>CA-2016-111409</x:v>
      </x:c>
      <x:c r="B4668" s="18" t="n">
        <x:v>42631</x:v>
      </x:c>
      <x:c r="C4668" t="str">
        <x:v>PO-18850</x:v>
      </x:c>
      <x:c r="D4668" t="str">
        <x:v>Patrick O'Brill</x:v>
      </x:c>
      <x:c r="E4668" t="str">
        <x:v>Consumer</x:v>
      </x:c>
      <x:c r="F4668" t="str">
        <x:v>South</x:v>
      </x:c>
      <x:c r="G4668" t="str">
        <x:v>Office Supplies</x:v>
      </x:c>
      <x:c r="H4668" t="str">
        <x:v>Labels</x:v>
      </x:c>
      <x:c r="I4668" s="22" t="n">
        <x:v>3</x:v>
      </x:c>
      <x:c r="J4668" s="24" t="n">
        <x:v>1</x:v>
      </x:c>
      <x:c r="K4668" s="26" t="n">
        <x:v>0.2</x:v>
      </x:c>
      <x:c r="L4668" s="22" t="n">
        <x:v>1.0499999999999998</x:v>
      </x:c>
      <x:c r="M4668" t="n">
        <x:v>2016</x:v>
      </x:c>
      <x:c r="N4668" s="20" t="n">
        <x:v>42614</x:v>
      </x:c>
    </x:row>
    <x:row r="4669" ht="18" customHeight="1">
      <x:c r="A4669" t="str">
        <x:v>CA-2016-116232</x:v>
      </x:c>
      <x:c r="B4669" s="18" t="n">
        <x:v>42635</x:v>
      </x:c>
      <x:c r="C4669" t="str">
        <x:v>AC-10450</x:v>
      </x:c>
      <x:c r="D4669" t="str">
        <x:v>Amy Cox</x:v>
      </x:c>
      <x:c r="E4669" t="str">
        <x:v>Consumer</x:v>
      </x:c>
      <x:c r="F4669" t="str">
        <x:v>South</x:v>
      </x:c>
      <x:c r="G4669" t="str">
        <x:v>Office Supplies</x:v>
      </x:c>
      <x:c r="H4669" t="str">
        <x:v>Binders</x:v>
      </x:c>
      <x:c r="I4669" s="22" t="n">
        <x:v>7.506</x:v>
      </x:c>
      <x:c r="J4669" s="24" t="n">
        <x:v>9</x:v>
      </x:c>
      <x:c r="K4669" s="26" t="n">
        <x:v>0.7</x:v>
      </x:c>
      <x:c r="L4669" s="22" t="n">
        <x:v>-6.004799999999998</x:v>
      </x:c>
      <x:c r="M4669" t="n">
        <x:v>2016</x:v>
      </x:c>
      <x:c r="N4669" s="20" t="n">
        <x:v>42614</x:v>
      </x:c>
    </x:row>
    <x:row r="4670" ht="18" customHeight="1">
      <x:c r="A4670" t="str">
        <x:v>CA-2016-116232</x:v>
      </x:c>
      <x:c r="B4670" s="18" t="n">
        <x:v>42635</x:v>
      </x:c>
      <x:c r="C4670" t="str">
        <x:v>AC-10450</x:v>
      </x:c>
      <x:c r="D4670" t="str">
        <x:v>Amy Cox</x:v>
      </x:c>
      <x:c r="E4670" t="str">
        <x:v>Consumer</x:v>
      </x:c>
      <x:c r="F4670" t="str">
        <x:v>South</x:v>
      </x:c>
      <x:c r="G4670" t="str">
        <x:v>Office Supplies</x:v>
      </x:c>
      <x:c r="H4670" t="str">
        <x:v>Labels</x:v>
      </x:c>
      <x:c r="I4670" s="22" t="n">
        <x:v>16.56</x:v>
      </x:c>
      <x:c r="J4670" s="24" t="n">
        <x:v>2</x:v>
      </x:c>
      <x:c r="K4670" s="26" t="n">
        <x:v>0.2</x:v>
      </x:c>
      <x:c r="L4670" s="22" t="n">
        <x:v>5.796</x:v>
      </x:c>
      <x:c r="M4670" t="n">
        <x:v>2016</x:v>
      </x:c>
      <x:c r="N4670" s="20" t="n">
        <x:v>42614</x:v>
      </x:c>
    </x:row>
    <x:row r="4671" ht="18" customHeight="1">
      <x:c r="A4671" t="str">
        <x:v>CA-2016-116547</x:v>
      </x:c>
      <x:c r="B4671" s="18" t="n">
        <x:v>42379</x:v>
      </x:c>
      <x:c r="C4671" t="str">
        <x:v>KB-16585</x:v>
      </x:c>
      <x:c r="D4671" t="str">
        <x:v>Ken Black</x:v>
      </x:c>
      <x:c r="E4671" t="str">
        <x:v>Corporate</x:v>
      </x:c>
      <x:c r="F4671" t="str">
        <x:v>West</x:v>
      </x:c>
      <x:c r="G4671" t="str">
        <x:v>Furniture</x:v>
      </x:c>
      <x:c r="H4671" t="str">
        <x:v>Furnishings</x:v>
      </x:c>
      <x:c r="I4671" s="22" t="n">
        <x:v>79.92</x:v>
      </x:c>
      <x:c r="J4671" s="24" t="n">
        <x:v>4</x:v>
      </x:c>
      <x:c r="K4671" s="26" t="n">
        <x:v>0</x:v>
      </x:c>
      <x:c r="L4671" s="22" t="n">
        <x:v>34.36560000000001</x:v>
      </x:c>
      <x:c r="M4671" t="n">
        <x:v>2016</x:v>
      </x:c>
      <x:c r="N4671" s="20" t="n">
        <x:v>42370</x:v>
      </x:c>
    </x:row>
    <x:row r="4672" ht="18" customHeight="1">
      <x:c r="A4672" t="str">
        <x:v>CA-2016-116547</x:v>
      </x:c>
      <x:c r="B4672" s="18" t="n">
        <x:v>42379</x:v>
      </x:c>
      <x:c r="C4672" t="str">
        <x:v>KB-16585</x:v>
      </x:c>
      <x:c r="D4672" t="str">
        <x:v>Ken Black</x:v>
      </x:c>
      <x:c r="E4672" t="str">
        <x:v>Corporate</x:v>
      </x:c>
      <x:c r="F4672" t="str">
        <x:v>West</x:v>
      </x:c>
      <x:c r="G4672" t="str">
        <x:v>Technology</x:v>
      </x:c>
      <x:c r="H4672" t="str">
        <x:v>Accessories</x:v>
      </x:c>
      <x:c r="I4672" s="22" t="n">
        <x:v>69.98</x:v>
      </x:c>
      <x:c r="J4672" s="24" t="n">
        <x:v>2</x:v>
      </x:c>
      <x:c r="K4672" s="26" t="n">
        <x:v>0</x:v>
      </x:c>
      <x:c r="L4672" s="22" t="n">
        <x:v>13.296199999999999</x:v>
      </x:c>
      <x:c r="M4672" t="n">
        <x:v>2016</x:v>
      </x:c>
      <x:c r="N4672" s="20" t="n">
        <x:v>42370</x:v>
      </x:c>
    </x:row>
    <x:row r="4673" ht="18" customHeight="1">
      <x:c r="A4673" t="str">
        <x:v>US-2017-133200</x:v>
      </x:c>
      <x:c r="B4673" s="18" t="n">
        <x:v>42861</x:v>
      </x:c>
      <x:c r="C4673" t="str">
        <x:v>DB-13555</x:v>
      </x:c>
      <x:c r="D4673" t="str">
        <x:v>Dorothy Badders</x:v>
      </x:c>
      <x:c r="E4673" t="str">
        <x:v>Corporate</x:v>
      </x:c>
      <x:c r="F4673" t="str">
        <x:v>Central</x:v>
      </x:c>
      <x:c r="G4673" t="str">
        <x:v>Office Supplies</x:v>
      </x:c>
      <x:c r="H4673" t="str">
        <x:v>Binders</x:v>
      </x:c>
      <x:c r="I4673" s="22" t="n">
        <x:v>11.059999999999999</x:v>
      </x:c>
      <x:c r="J4673" s="24" t="n">
        <x:v>10</x:v>
      </x:c>
      <x:c r="K4673" s="26" t="n">
        <x:v>0.8</x:v>
      </x:c>
      <x:c r="L4673" s="22" t="n">
        <x:v>-18.802</x:v>
      </x:c>
      <x:c r="M4673" t="n">
        <x:v>2017</x:v>
      </x:c>
      <x:c r="N4673" s="20" t="n">
        <x:v>42856</x:v>
      </x:c>
    </x:row>
    <x:row r="4674" ht="18" customHeight="1">
      <x:c r="A4674" t="str">
        <x:v>US-2017-133200</x:v>
      </x:c>
      <x:c r="B4674" s="18" t="n">
        <x:v>42861</x:v>
      </x:c>
      <x:c r="C4674" t="str">
        <x:v>DB-13555</x:v>
      </x:c>
      <x:c r="D4674" t="str">
        <x:v>Dorothy Badders</x:v>
      </x:c>
      <x:c r="E4674" t="str">
        <x:v>Corporate</x:v>
      </x:c>
      <x:c r="F4674" t="str">
        <x:v>Central</x:v>
      </x:c>
      <x:c r="G4674" t="str">
        <x:v>Furniture</x:v>
      </x:c>
      <x:c r="H4674" t="str">
        <x:v>Bookcases</x:v>
      </x:c>
      <x:c r="I4674" s="22" t="n">
        <x:v>623.4648</x:v>
      </x:c>
      <x:c r="J4674" s="24" t="n">
        <x:v>7</x:v>
      </x:c>
      <x:c r="K4674" s="26" t="n">
        <x:v>0.32</x:v>
      </x:c>
      <x:c r="L4674" s="22" t="n">
        <x:v>-119.19180000000006</x:v>
      </x:c>
      <x:c r="M4674" t="n">
        <x:v>2017</x:v>
      </x:c>
      <x:c r="N4674" s="20" t="n">
        <x:v>42856</x:v>
      </x:c>
    </x:row>
    <x:row r="4675" ht="18" customHeight="1">
      <x:c r="A4675" t="str">
        <x:v>US-2017-133200</x:v>
      </x:c>
      <x:c r="B4675" s="18" t="n">
        <x:v>42861</x:v>
      </x:c>
      <x:c r="C4675" t="str">
        <x:v>DB-13555</x:v>
      </x:c>
      <x:c r="D4675" t="str">
        <x:v>Dorothy Badders</x:v>
      </x:c>
      <x:c r="E4675" t="str">
        <x:v>Corporate</x:v>
      </x:c>
      <x:c r="F4675" t="str">
        <x:v>Central</x:v>
      </x:c>
      <x:c r="G4675" t="str">
        <x:v>Office Supplies</x:v>
      </x:c>
      <x:c r="H4675" t="str">
        <x:v>Storage</x:v>
      </x:c>
      <x:c r="I4675" s="22" t="n">
        <x:v>772.6800000000001</x:v>
      </x:c>
      <x:c r="J4675" s="24" t="n">
        <x:v>5</x:v>
      </x:c>
      <x:c r="K4675" s="26" t="n">
        <x:v>0.2</x:v>
      </x:c>
      <x:c r="L4675" s="22" t="n">
        <x:v>-57.95099999999999</x:v>
      </x:c>
      <x:c r="M4675" t="n">
        <x:v>2017</x:v>
      </x:c>
      <x:c r="N4675" s="20" t="n">
        <x:v>42856</x:v>
      </x:c>
    </x:row>
    <x:row r="4676" ht="18" customHeight="1">
      <x:c r="A4676" t="str">
        <x:v>CA-2016-133550</x:v>
      </x:c>
      <x:c r="B4676" s="18" t="n">
        <x:v>42582</x:v>
      </x:c>
      <x:c r="C4676" t="str">
        <x:v>KL-16645</x:v>
      </x:c>
      <x:c r="D4676" t="str">
        <x:v>Ken Lonsdale</x:v>
      </x:c>
      <x:c r="E4676" t="str">
        <x:v>Consumer</x:v>
      </x:c>
      <x:c r="F4676" t="str">
        <x:v>Central</x:v>
      </x:c>
      <x:c r="G4676" t="str">
        <x:v>Office Supplies</x:v>
      </x:c>
      <x:c r="H4676" t="str">
        <x:v>Appliances</x:v>
      </x:c>
      <x:c r="I4676" s="22" t="n">
        <x:v>283.14000000000004</x:v>
      </x:c>
      <x:c r="J4676" s="24" t="n">
        <x:v>4</x:v>
      </x:c>
      <x:c r="K4676" s="26" t="n">
        <x:v>0.1</x:v>
      </x:c>
      <x:c r="L4676" s="22" t="n">
        <x:v>72.35799999999998</x:v>
      </x:c>
      <x:c r="M4676" t="n">
        <x:v>2016</x:v>
      </x:c>
      <x:c r="N4676" s="20" t="n">
        <x:v>42552</x:v>
      </x:c>
    </x:row>
    <x:row r="4677" ht="18" customHeight="1">
      <x:c r="A4677" t="str">
        <x:v>CA-2016-133550</x:v>
      </x:c>
      <x:c r="B4677" s="18" t="n">
        <x:v>42582</x:v>
      </x:c>
      <x:c r="C4677" t="str">
        <x:v>KL-16645</x:v>
      </x:c>
      <x:c r="D4677" t="str">
        <x:v>Ken Lonsdale</x:v>
      </x:c>
      <x:c r="E4677" t="str">
        <x:v>Consumer</x:v>
      </x:c>
      <x:c r="F4677" t="str">
        <x:v>Central</x:v>
      </x:c>
      <x:c r="G4677" t="str">
        <x:v>Technology</x:v>
      </x:c>
      <x:c r="H4677" t="str">
        <x:v>Phones</x:v>
      </x:c>
      <x:c r="I4677" s="22" t="n">
        <x:v>635.96</x:v>
      </x:c>
      <x:c r="J4677" s="24" t="n">
        <x:v>4</x:v>
      </x:c>
      <x:c r="K4677" s="26" t="n">
        <x:v>0</x:v>
      </x:c>
      <x:c r="L4677" s="22" t="n">
        <x:v>165.3496</x:v>
      </x:c>
      <x:c r="M4677" t="n">
        <x:v>2016</x:v>
      </x:c>
      <x:c r="N4677" s="20" t="n">
        <x:v>42552</x:v>
      </x:c>
    </x:row>
    <x:row r="4678" ht="18" customHeight="1">
      <x:c r="A4678" t="str">
        <x:v>CA-2016-133550</x:v>
      </x:c>
      <x:c r="B4678" s="18" t="n">
        <x:v>42582</x:v>
      </x:c>
      <x:c r="C4678" t="str">
        <x:v>KL-16645</x:v>
      </x:c>
      <x:c r="D4678" t="str">
        <x:v>Ken Lonsdale</x:v>
      </x:c>
      <x:c r="E4678" t="str">
        <x:v>Consumer</x:v>
      </x:c>
      <x:c r="F4678" t="str">
        <x:v>Central</x:v>
      </x:c>
      <x:c r="G4678" t="str">
        <x:v>Technology</x:v>
      </x:c>
      <x:c r="H4678" t="str">
        <x:v>Phones</x:v>
      </x:c>
      <x:c r="I4678" s="22" t="n">
        <x:v>118.99</x:v>
      </x:c>
      <x:c r="J4678" s="24" t="n">
        <x:v>1</x:v>
      </x:c>
      <x:c r="K4678" s="26" t="n">
        <x:v>0</x:v>
      </x:c>
      <x:c r="L4678" s="22" t="n">
        <x:v>33.3172</x:v>
      </x:c>
      <x:c r="M4678" t="n">
        <x:v>2016</x:v>
      </x:c>
      <x:c r="N4678" s="20" t="n">
        <x:v>42552</x:v>
      </x:c>
    </x:row>
    <x:row r="4679" ht="18" customHeight="1">
      <x:c r="A4679" t="str">
        <x:v>CA-2016-133550</x:v>
      </x:c>
      <x:c r="B4679" s="18" t="n">
        <x:v>42582</x:v>
      </x:c>
      <x:c r="C4679" t="str">
        <x:v>KL-16645</x:v>
      </x:c>
      <x:c r="D4679" t="str">
        <x:v>Ken Lonsdale</x:v>
      </x:c>
      <x:c r="E4679" t="str">
        <x:v>Consumer</x:v>
      </x:c>
      <x:c r="F4679" t="str">
        <x:v>Central</x:v>
      </x:c>
      <x:c r="G4679" t="str">
        <x:v>Furniture</x:v>
      </x:c>
      <x:c r="H4679" t="str">
        <x:v>Furnishings</x:v>
      </x:c>
      <x:c r="I4679" s="22" t="n">
        <x:v>272.94</x:v>
      </x:c>
      <x:c r="J4679" s="24" t="n">
        <x:v>3</x:v>
      </x:c>
      <x:c r="K4679" s="26" t="n">
        <x:v>0</x:v>
      </x:c>
      <x:c r="L4679" s="22" t="n">
        <x:v>30.02340000000001</x:v>
      </x:c>
      <x:c r="M4679" t="n">
        <x:v>2016</x:v>
      </x:c>
      <x:c r="N4679" s="20" t="n">
        <x:v>42552</x:v>
      </x:c>
    </x:row>
    <x:row r="4680" ht="18" customHeight="1">
      <x:c r="A4680" t="str">
        <x:v>CA-2017-139416</x:v>
      </x:c>
      <x:c r="B4680" s="18" t="n">
        <x:v>42821</x:v>
      </x:c>
      <x:c r="C4680" t="str">
        <x:v>AG-10270</x:v>
      </x:c>
      <x:c r="D4680" t="str">
        <x:v>Alejandro Grove</x:v>
      </x:c>
      <x:c r="E4680" t="str">
        <x:v>Consumer</x:v>
      </x:c>
      <x:c r="F4680" t="str">
        <x:v>East</x:v>
      </x:c>
      <x:c r="G4680" t="str">
        <x:v>Furniture</x:v>
      </x:c>
      <x:c r="H4680" t="str">
        <x:v>Furnishings</x:v>
      </x:c>
      <x:c r="I4680" s="22" t="n">
        <x:v>15.008000000000003</x:v>
      </x:c>
      <x:c r="J4680" s="24" t="n">
        <x:v>2</x:v>
      </x:c>
      <x:c r="K4680" s="26" t="n">
        <x:v>0.2</x:v>
      </x:c>
      <x:c r="L4680" s="22" t="n">
        <x:v>1.5008</x:v>
      </x:c>
      <x:c r="M4680" t="n">
        <x:v>2017</x:v>
      </x:c>
      <x:c r="N4680" s="20" t="n">
        <x:v>42795</x:v>
      </x:c>
    </x:row>
    <x:row r="4681" ht="18" customHeight="1">
      <x:c r="A4681" t="str">
        <x:v>CA-2014-114510</x:v>
      </x:c>
      <x:c r="B4681" s="18" t="n">
        <x:v>41712</x:v>
      </x:c>
      <x:c r="C4681" t="str">
        <x:v>JF-15295</x:v>
      </x:c>
      <x:c r="D4681" t="str">
        <x:v>Jason Fortune-</x:v>
      </x:c>
      <x:c r="E4681" t="str">
        <x:v>Consumer</x:v>
      </x:c>
      <x:c r="F4681" t="str">
        <x:v>West</x:v>
      </x:c>
      <x:c r="G4681" t="str">
        <x:v>Office Supplies</x:v>
      </x:c>
      <x:c r="H4681" t="str">
        <x:v>Binders</x:v>
      </x:c>
      <x:c r="I4681" s="22" t="n">
        <x:v>33.088</x:v>
      </x:c>
      <x:c r="J4681" s="24" t="n">
        <x:v>4</x:v>
      </x:c>
      <x:c r="K4681" s="26" t="n">
        <x:v>0.2</x:v>
      </x:c>
      <x:c r="L4681" s="22" t="n">
        <x:v>11.1672</x:v>
      </x:c>
      <x:c r="M4681" t="n">
        <x:v>2014</x:v>
      </x:c>
      <x:c r="N4681" s="20" t="n">
        <x:v>41699</x:v>
      </x:c>
    </x:row>
    <x:row r="4682" ht="18" customHeight="1">
      <x:c r="A4682" t="str">
        <x:v>CA-2014-114510</x:v>
      </x:c>
      <x:c r="B4682" s="18" t="n">
        <x:v>41712</x:v>
      </x:c>
      <x:c r="C4682" t="str">
        <x:v>JF-15295</x:v>
      </x:c>
      <x:c r="D4682" t="str">
        <x:v>Jason Fortune-</x:v>
      </x:c>
      <x:c r="E4682" t="str">
        <x:v>Consumer</x:v>
      </x:c>
      <x:c r="F4682" t="str">
        <x:v>West</x:v>
      </x:c>
      <x:c r="G4682" t="str">
        <x:v>Office Supplies</x:v>
      </x:c>
      <x:c r="H4682" t="str">
        <x:v>Storage</x:v>
      </x:c>
      <x:c r="I4682" s="22" t="n">
        <x:v>80.98</x:v>
      </x:c>
      <x:c r="J4682" s="24" t="n">
        <x:v>1</x:v>
      </x:c>
      <x:c r="K4682" s="26" t="n">
        <x:v>0</x:v>
      </x:c>
      <x:c r="L4682" s="22" t="n">
        <x:v>3.2391999999999967</x:v>
      </x:c>
      <x:c r="M4682" t="n">
        <x:v>2014</x:v>
      </x:c>
      <x:c r="N4682" s="20" t="n">
        <x:v>41699</x:v>
      </x:c>
    </x:row>
    <x:row r="4683" ht="18" customHeight="1">
      <x:c r="A4683" t="str">
        <x:v>CA-2014-114510</x:v>
      </x:c>
      <x:c r="B4683" s="18" t="n">
        <x:v>41712</x:v>
      </x:c>
      <x:c r="C4683" t="str">
        <x:v>JF-15295</x:v>
      </x:c>
      <x:c r="D4683" t="str">
        <x:v>Jason Fortune-</x:v>
      </x:c>
      <x:c r="E4683" t="str">
        <x:v>Consumer</x:v>
      </x:c>
      <x:c r="F4683" t="str">
        <x:v>West</x:v>
      </x:c>
      <x:c r="G4683" t="str">
        <x:v>Technology</x:v>
      </x:c>
      <x:c r="H4683" t="str">
        <x:v>Accessories</x:v>
      </x:c>
      <x:c r="I4683" s="22" t="n">
        <x:v>82.80000000000001</x:v>
      </x:c>
      <x:c r="J4683" s="24" t="n">
        <x:v>12</x:v>
      </x:c>
      <x:c r="K4683" s="26" t="n">
        <x:v>0</x:v>
      </x:c>
      <x:c r="L4683" s="22" t="n">
        <x:v>6.623999999999995</x:v>
      </x:c>
      <x:c r="M4683" t="n">
        <x:v>2014</x:v>
      </x:c>
      <x:c r="N4683" s="20" t="n">
        <x:v>41699</x:v>
      </x:c>
    </x:row>
    <x:row r="4684" ht="18" customHeight="1">
      <x:c r="A4684" t="str">
        <x:v>CA-2014-114510</x:v>
      </x:c>
      <x:c r="B4684" s="18" t="n">
        <x:v>41712</x:v>
      </x:c>
      <x:c r="C4684" t="str">
        <x:v>JF-15295</x:v>
      </x:c>
      <x:c r="D4684" t="str">
        <x:v>Jason Fortune-</x:v>
      </x:c>
      <x:c r="E4684" t="str">
        <x:v>Consumer</x:v>
      </x:c>
      <x:c r="F4684" t="str">
        <x:v>West</x:v>
      </x:c>
      <x:c r="G4684" t="str">
        <x:v>Office Supplies</x:v>
      </x:c>
      <x:c r="H4684" t="str">
        <x:v>Storage</x:v>
      </x:c>
      <x:c r="I4684" s="22" t="n">
        <x:v>21.36</x:v>
      </x:c>
      <x:c r="J4684" s="24" t="n">
        <x:v>2</x:v>
      </x:c>
      <x:c r="K4684" s="26" t="n">
        <x:v>0</x:v>
      </x:c>
      <x:c r="L4684" s="22" t="n">
        <x:v>5.767200000000001</x:v>
      </x:c>
      <x:c r="M4684" t="n">
        <x:v>2014</x:v>
      </x:c>
      <x:c r="N4684" s="20" t="n">
        <x:v>41699</x:v>
      </x:c>
    </x:row>
    <x:row r="4685" ht="18" customHeight="1">
      <x:c r="A4685" t="str">
        <x:v>CA-2014-114510</x:v>
      </x:c>
      <x:c r="B4685" s="18" t="n">
        <x:v>41712</x:v>
      </x:c>
      <x:c r="C4685" t="str">
        <x:v>JF-15295</x:v>
      </x:c>
      <x:c r="D4685" t="str">
        <x:v>Jason Fortune-</x:v>
      </x:c>
      <x:c r="E4685" t="str">
        <x:v>Consumer</x:v>
      </x:c>
      <x:c r="F4685" t="str">
        <x:v>West</x:v>
      </x:c>
      <x:c r="G4685" t="str">
        <x:v>Office Supplies</x:v>
      </x:c>
      <x:c r="H4685" t="str">
        <x:v>Binders</x:v>
      </x:c>
      <x:c r="I4685" s="22" t="n">
        <x:v>62.048</x:v>
      </x:c>
      <x:c r="J4685" s="24" t="n">
        <x:v>2</x:v>
      </x:c>
      <x:c r="K4685" s="26" t="n">
        <x:v>0.2</x:v>
      </x:c>
      <x:c r="L4685" s="22" t="n">
        <x:v>20.165599999999998</x:v>
      </x:c>
      <x:c r="M4685" t="n">
        <x:v>2014</x:v>
      </x:c>
      <x:c r="N4685" s="20" t="n">
        <x:v>41699</x:v>
      </x:c>
    </x:row>
    <x:row r="4686" ht="18" customHeight="1">
      <x:c r="A4686" t="str">
        <x:v>CA-2016-169215</x:v>
      </x:c>
      <x:c r="B4686" s="18" t="n">
        <x:v>42565</x:v>
      </x:c>
      <x:c r="C4686" t="str">
        <x:v>RE-19450</x:v>
      </x:c>
      <x:c r="D4686" t="str">
        <x:v>Richard Eichhorn</x:v>
      </x:c>
      <x:c r="E4686" t="str">
        <x:v>Consumer</x:v>
      </x:c>
      <x:c r="F4686" t="str">
        <x:v>East</x:v>
      </x:c>
      <x:c r="G4686" t="str">
        <x:v>Office Supplies</x:v>
      </x:c>
      <x:c r="H4686" t="str">
        <x:v>Fasteners</x:v>
      </x:c>
      <x:c r="I4686" s="22" t="n">
        <x:v>29.61</x:v>
      </x:c>
      <x:c r="J4686" s="24" t="n">
        <x:v>9</x:v>
      </x:c>
      <x:c r="K4686" s="26" t="n">
        <x:v>0</x:v>
      </x:c>
      <x:c r="L4686" s="22" t="n">
        <x:v>13.324499999999999</x:v>
      </x:c>
      <x:c r="M4686" t="n">
        <x:v>2016</x:v>
      </x:c>
      <x:c r="N4686" s="20" t="n">
        <x:v>42552</x:v>
      </x:c>
    </x:row>
    <x:row r="4687" ht="18" customHeight="1">
      <x:c r="A4687" t="str">
        <x:v>CA-2016-127698</x:v>
      </x:c>
      <x:c r="B4687" s="18" t="n">
        <x:v>42705</x:v>
      </x:c>
      <x:c r="C4687" t="str">
        <x:v>MV-18190</x:v>
      </x:c>
      <x:c r="D4687" t="str">
        <x:v>Mike Vittorini</x:v>
      </x:c>
      <x:c r="E4687" t="str">
        <x:v>Consumer</x:v>
      </x:c>
      <x:c r="F4687" t="str">
        <x:v>South</x:v>
      </x:c>
      <x:c r="G4687" t="str">
        <x:v>Technology</x:v>
      </x:c>
      <x:c r="H4687" t="str">
        <x:v>Phones</x:v>
      </x:c>
      <x:c r="I4687" s="22" t="n">
        <x:v>863.928</x:v>
      </x:c>
      <x:c r="J4687" s="24" t="n">
        <x:v>9</x:v>
      </x:c>
      <x:c r="K4687" s="26" t="n">
        <x:v>0.2</x:v>
      </x:c>
      <x:c r="L4687" s="22" t="n">
        <x:v>86.3928</x:v>
      </x:c>
      <x:c r="M4687" t="n">
        <x:v>2016</x:v>
      </x:c>
      <x:c r="N4687" s="20" t="n">
        <x:v>42705</x:v>
      </x:c>
    </x:row>
    <x:row r="4688" ht="18" customHeight="1">
      <x:c r="A4688" t="str">
        <x:v>CA-2016-159912</x:v>
      </x:c>
      <x:c r="B4688" s="18" t="n">
        <x:v>42611</x:v>
      </x:c>
      <x:c r="C4688" t="str">
        <x:v>GB-14530</x:v>
      </x:c>
      <x:c r="D4688" t="str">
        <x:v>George Bell</x:v>
      </x:c>
      <x:c r="E4688" t="str">
        <x:v>Corporate</x:v>
      </x:c>
      <x:c r="F4688" t="str">
        <x:v>East</x:v>
      </x:c>
      <x:c r="G4688" t="str">
        <x:v>Furniture</x:v>
      </x:c>
      <x:c r="H4688" t="str">
        <x:v>Tables</x:v>
      </x:c>
      <x:c r="I4688" s="22" t="n">
        <x:v>241.92</x:v>
      </x:c>
      <x:c r="J4688" s="24" t="n">
        <x:v>4</x:v>
      </x:c>
      <x:c r="K4688" s="26" t="n">
        <x:v>0.4</x:v>
      </x:c>
      <x:c r="L4688" s="22" t="n">
        <x:v>-56.44800000000001</x:v>
      </x:c>
      <x:c r="M4688" t="n">
        <x:v>2016</x:v>
      </x:c>
      <x:c r="N4688" s="20" t="n">
        <x:v>42583</x:v>
      </x:c>
    </x:row>
    <x:row r="4689" ht="18" customHeight="1">
      <x:c r="A4689" t="str">
        <x:v>CA-2016-159912</x:v>
      </x:c>
      <x:c r="B4689" s="18" t="n">
        <x:v>42611</x:v>
      </x:c>
      <x:c r="C4689" t="str">
        <x:v>GB-14530</x:v>
      </x:c>
      <x:c r="D4689" t="str">
        <x:v>George Bell</x:v>
      </x:c>
      <x:c r="E4689" t="str">
        <x:v>Corporate</x:v>
      </x:c>
      <x:c r="F4689" t="str">
        <x:v>East</x:v>
      </x:c>
      <x:c r="G4689" t="str">
        <x:v>Furniture</x:v>
      </x:c>
      <x:c r="H4689" t="str">
        <x:v>Bookcases</x:v>
      </x:c>
      <x:c r="I4689" s="22" t="n">
        <x:v>163.88</x:v>
      </x:c>
      <x:c r="J4689" s="24" t="n">
        <x:v>4</x:v>
      </x:c>
      <x:c r="K4689" s="26" t="n">
        <x:v>0.5</x:v>
      </x:c>
      <x:c r="L4689" s="22" t="n">
        <x:v>-81.94</x:v>
      </x:c>
      <x:c r="M4689" t="n">
        <x:v>2016</x:v>
      </x:c>
      <x:c r="N4689" s="20" t="n">
        <x:v>42583</x:v>
      </x:c>
    </x:row>
    <x:row r="4690" ht="18" customHeight="1">
      <x:c r="A4690" t="str">
        <x:v>CA-2016-159912</x:v>
      </x:c>
      <x:c r="B4690" s="18" t="n">
        <x:v>42611</x:v>
      </x:c>
      <x:c r="C4690" t="str">
        <x:v>GB-14530</x:v>
      </x:c>
      <x:c r="D4690" t="str">
        <x:v>George Bell</x:v>
      </x:c>
      <x:c r="E4690" t="str">
        <x:v>Corporate</x:v>
      </x:c>
      <x:c r="F4690" t="str">
        <x:v>East</x:v>
      </x:c>
      <x:c r="G4690" t="str">
        <x:v>Office Supplies</x:v>
      </x:c>
      <x:c r="H4690" t="str">
        <x:v>Binders</x:v>
      </x:c>
      <x:c r="I4690" s="22" t="n">
        <x:v>3.486</x:v>
      </x:c>
      <x:c r="J4690" s="24" t="n">
        <x:v>2</x:v>
      </x:c>
      <x:c r="K4690" s="26" t="n">
        <x:v>0.7</x:v>
      </x:c>
      <x:c r="L4690" s="22" t="n">
        <x:v>-2.7887999999999993</x:v>
      </x:c>
      <x:c r="M4690" t="n">
        <x:v>2016</x:v>
      </x:c>
      <x:c r="N4690" s="20" t="n">
        <x:v>42583</x:v>
      </x:c>
    </x:row>
    <x:row r="4691" ht="18" customHeight="1">
      <x:c r="A4691" t="str">
        <x:v>CA-2016-159912</x:v>
      </x:c>
      <x:c r="B4691" s="18" t="n">
        <x:v>42611</x:v>
      </x:c>
      <x:c r="C4691" t="str">
        <x:v>GB-14530</x:v>
      </x:c>
      <x:c r="D4691" t="str">
        <x:v>George Bell</x:v>
      </x:c>
      <x:c r="E4691" t="str">
        <x:v>Corporate</x:v>
      </x:c>
      <x:c r="F4691" t="str">
        <x:v>East</x:v>
      </x:c>
      <x:c r="G4691" t="str">
        <x:v>Office Supplies</x:v>
      </x:c>
      <x:c r="H4691" t="str">
        <x:v>Fasteners</x:v>
      </x:c>
      <x:c r="I4691" s="22" t="n">
        <x:v>10.584</x:v>
      </x:c>
      <x:c r="J4691" s="24" t="n">
        <x:v>7</x:v>
      </x:c>
      <x:c r="K4691" s="26" t="n">
        <x:v>0.2</x:v>
      </x:c>
      <x:c r="L4691" s="22" t="n">
        <x:v>-2.3813999999999993</x:v>
      </x:c>
      <x:c r="M4691" t="n">
        <x:v>2016</x:v>
      </x:c>
      <x:c r="N4691" s="20" t="n">
        <x:v>42583</x:v>
      </x:c>
    </x:row>
    <x:row r="4692" ht="18" customHeight="1">
      <x:c r="A4692" t="str">
        <x:v>CA-2016-101987</x:v>
      </x:c>
      <x:c r="B4692" s="18" t="n">
        <x:v>42545</x:v>
      </x:c>
      <x:c r="C4692" t="str">
        <x:v>HL-15040</x:v>
      </x:c>
      <x:c r="D4692" t="str">
        <x:v>Hunter Lopez</x:v>
      </x:c>
      <x:c r="E4692" t="str">
        <x:v>Consumer</x:v>
      </x:c>
      <x:c r="F4692" t="str">
        <x:v>Central</x:v>
      </x:c>
      <x:c r="G4692" t="str">
        <x:v>Technology</x:v>
      </x:c>
      <x:c r="H4692" t="str">
        <x:v>Phones</x:v>
      </x:c>
      <x:c r="I4692" s="22" t="n">
        <x:v>440.91</x:v>
      </x:c>
      <x:c r="J4692" s="24" t="n">
        <x:v>9</x:v>
      </x:c>
      <x:c r="K4692" s="26" t="n">
        <x:v>0</x:v>
      </x:c>
      <x:c r="L4692" s="22" t="n">
        <x:v>123.45480000000005</x:v>
      </x:c>
      <x:c r="M4692" t="n">
        <x:v>2016</x:v>
      </x:c>
      <x:c r="N4692" s="20" t="n">
        <x:v>42522</x:v>
      </x:c>
    </x:row>
    <x:row r="4693" ht="18" customHeight="1">
      <x:c r="A4693" t="str">
        <x:v>US-2017-154851</x:v>
      </x:c>
      <x:c r="B4693" s="18" t="n">
        <x:v>42824</x:v>
      </x:c>
      <x:c r="C4693" t="str">
        <x:v>BP-11155</x:v>
      </x:c>
      <x:c r="D4693" t="str">
        <x:v>Becky Pak</x:v>
      </x:c>
      <x:c r="E4693" t="str">
        <x:v>Consumer</x:v>
      </x:c>
      <x:c r="F4693" t="str">
        <x:v>East</x:v>
      </x:c>
      <x:c r="G4693" t="str">
        <x:v>Office Supplies</x:v>
      </x:c>
      <x:c r="H4693" t="str">
        <x:v>Binders</x:v>
      </x:c>
      <x:c r="I4693" s="22" t="n">
        <x:v>5.715000000000002</x:v>
      </x:c>
      <x:c r="J4693" s="24" t="n">
        <x:v>5</x:v>
      </x:c>
      <x:c r="K4693" s="26" t="n">
        <x:v>0.7</x:v>
      </x:c>
      <x:c r="L4693" s="22" t="n">
        <x:v>-4.762500000000001</x:v>
      </x:c>
      <x:c r="M4693" t="n">
        <x:v>2017</x:v>
      </x:c>
      <x:c r="N4693" s="20" t="n">
        <x:v>42795</x:v>
      </x:c>
    </x:row>
    <x:row r="4694" ht="18" customHeight="1">
      <x:c r="A4694" t="str">
        <x:v>CA-2014-138681</x:v>
      </x:c>
      <x:c r="B4694" s="18" t="n">
        <x:v>41993</x:v>
      </x:c>
      <x:c r="C4694" t="str">
        <x:v>CT-11995</x:v>
      </x:c>
      <x:c r="D4694" t="str">
        <x:v>Carol Triggs</x:v>
      </x:c>
      <x:c r="E4694" t="str">
        <x:v>Consumer</x:v>
      </x:c>
      <x:c r="F4694" t="str">
        <x:v>West</x:v>
      </x:c>
      <x:c r="G4694" t="str">
        <x:v>Furniture</x:v>
      </x:c>
      <x:c r="H4694" t="str">
        <x:v>Furnishings</x:v>
      </x:c>
      <x:c r="I4694" s="22" t="n">
        <x:v>51.967999999999996</x:v>
      </x:c>
      <x:c r="J4694" s="24" t="n">
        <x:v>2</x:v>
      </x:c>
      <x:c r="K4694" s="26" t="n">
        <x:v>0.2</x:v>
      </x:c>
      <x:c r="L4694" s="22" t="n">
        <x:v>10.393599999999998</x:v>
      </x:c>
      <x:c r="M4694" t="n">
        <x:v>2014</x:v>
      </x:c>
      <x:c r="N4694" s="20" t="n">
        <x:v>41974</x:v>
      </x:c>
    </x:row>
    <x:row r="4695" ht="18" customHeight="1">
      <x:c r="A4695" t="str">
        <x:v>CA-2014-138681</x:v>
      </x:c>
      <x:c r="B4695" s="18" t="n">
        <x:v>41993</x:v>
      </x:c>
      <x:c r="C4695" t="str">
        <x:v>CT-11995</x:v>
      </x:c>
      <x:c r="D4695" t="str">
        <x:v>Carol Triggs</x:v>
      </x:c>
      <x:c r="E4695" t="str">
        <x:v>Consumer</x:v>
      </x:c>
      <x:c r="F4695" t="str">
        <x:v>West</x:v>
      </x:c>
      <x:c r="G4695" t="str">
        <x:v>Technology</x:v>
      </x:c>
      <x:c r="H4695" t="str">
        <x:v>Accessories</x:v>
      </x:c>
      <x:c r="I4695" s="22" t="n">
        <x:v>71.976</x:v>
      </x:c>
      <x:c r="J4695" s="24" t="n">
        <x:v>3</x:v>
      </x:c>
      <x:c r="K4695" s="26" t="n">
        <x:v>0.2</x:v>
      </x:c>
      <x:c r="L4695" s="22" t="n">
        <x:v>21.59280000000001</x:v>
      </x:c>
      <x:c r="M4695" t="n">
        <x:v>2014</x:v>
      </x:c>
      <x:c r="N4695" s="20" t="n">
        <x:v>41974</x:v>
      </x:c>
    </x:row>
    <x:row r="4696" ht="18" customHeight="1">
      <x:c r="A4696" t="str">
        <x:v>CA-2014-138681</x:v>
      </x:c>
      <x:c r="B4696" s="18" t="n">
        <x:v>41993</x:v>
      </x:c>
      <x:c r="C4696" t="str">
        <x:v>CT-11995</x:v>
      </x:c>
      <x:c r="D4696" t="str">
        <x:v>Carol Triggs</x:v>
      </x:c>
      <x:c r="E4696" t="str">
        <x:v>Consumer</x:v>
      </x:c>
      <x:c r="F4696" t="str">
        <x:v>West</x:v>
      </x:c>
      <x:c r="G4696" t="str">
        <x:v>Furniture</x:v>
      </x:c>
      <x:c r="H4696" t="str">
        <x:v>Chairs</x:v>
      </x:c>
      <x:c r="I4696" s="22" t="n">
        <x:v>242.35200000000003</x:v>
      </x:c>
      <x:c r="J4696" s="24" t="n">
        <x:v>3</x:v>
      </x:c>
      <x:c r="K4696" s="26" t="n">
        <x:v>0.2</x:v>
      </x:c>
      <x:c r="L4696" s="22" t="n">
        <x:v>-42.411600000000035</x:v>
      </x:c>
      <x:c r="M4696" t="n">
        <x:v>2014</x:v>
      </x:c>
      <x:c r="N4696" s="20" t="n">
        <x:v>41974</x:v>
      </x:c>
    </x:row>
    <x:row r="4697" ht="18" customHeight="1">
      <x:c r="A4697" t="str">
        <x:v>CA-2014-138681</x:v>
      </x:c>
      <x:c r="B4697" s="18" t="n">
        <x:v>41993</x:v>
      </x:c>
      <x:c r="C4697" t="str">
        <x:v>CT-11995</x:v>
      </x:c>
      <x:c r="D4697" t="str">
        <x:v>Carol Triggs</x:v>
      </x:c>
      <x:c r="E4697" t="str">
        <x:v>Consumer</x:v>
      </x:c>
      <x:c r="F4697" t="str">
        <x:v>West</x:v>
      </x:c>
      <x:c r="G4697" t="str">
        <x:v>Office Supplies</x:v>
      </x:c>
      <x:c r="H4697" t="str">
        <x:v>Paper</x:v>
      </x:c>
      <x:c r="I4697" s="22" t="n">
        <x:v>221.92000000000002</x:v>
      </x:c>
      <x:c r="J4697" s="24" t="n">
        <x:v>5</x:v>
      </x:c>
      <x:c r="K4697" s="26" t="n">
        <x:v>0.2</x:v>
      </x:c>
      <x:c r="L4697" s="22" t="n">
        <x:v>77.67199999999998</x:v>
      </x:c>
      <x:c r="M4697" t="n">
        <x:v>2014</x:v>
      </x:c>
      <x:c r="N4697" s="20" t="n">
        <x:v>41974</x:v>
      </x:c>
    </x:row>
    <x:row r="4698" ht="18" customHeight="1">
      <x:c r="A4698" t="str">
        <x:v>CA-2014-138681</x:v>
      </x:c>
      <x:c r="B4698" s="18" t="n">
        <x:v>41993</x:v>
      </x:c>
      <x:c r="C4698" t="str">
        <x:v>CT-11995</x:v>
      </x:c>
      <x:c r="D4698" t="str">
        <x:v>Carol Triggs</x:v>
      </x:c>
      <x:c r="E4698" t="str">
        <x:v>Consumer</x:v>
      </x:c>
      <x:c r="F4698" t="str">
        <x:v>West</x:v>
      </x:c>
      <x:c r="G4698" t="str">
        <x:v>Office Supplies</x:v>
      </x:c>
      <x:c r="H4698" t="str">
        <x:v>Paper</x:v>
      </x:c>
      <x:c r="I4698" s="22" t="n">
        <x:v>8.448</x:v>
      </x:c>
      <x:c r="J4698" s="24" t="n">
        <x:v>2</x:v>
      </x:c>
      <x:c r="K4698" s="26" t="n">
        <x:v>0.2</x:v>
      </x:c>
      <x:c r="L4698" s="22" t="n">
        <x:v>2.6399999999999997</x:v>
      </x:c>
      <x:c r="M4698" t="n">
        <x:v>2014</x:v>
      </x:c>
      <x:c r="N4698" s="20" t="n">
        <x:v>41974</x:v>
      </x:c>
    </x:row>
    <x:row r="4699" ht="18" customHeight="1">
      <x:c r="A4699" t="str">
        <x:v>US-2015-138121</x:v>
      </x:c>
      <x:c r="B4699" s="18" t="n">
        <x:v>42355</x:v>
      </x:c>
      <x:c r="C4699" t="str">
        <x:v>JL-15835</x:v>
      </x:c>
      <x:c r="D4699" t="str">
        <x:v>John Lee</x:v>
      </x:c>
      <x:c r="E4699" t="str">
        <x:v>Consumer</x:v>
      </x:c>
      <x:c r="F4699" t="str">
        <x:v>Central</x:v>
      </x:c>
      <x:c r="G4699" t="str">
        <x:v>Office Supplies</x:v>
      </x:c>
      <x:c r="H4699" t="str">
        <x:v>Binders</x:v>
      </x:c>
      <x:c r="I4699" s="22" t="n">
        <x:v>29.52</x:v>
      </x:c>
      <x:c r="J4699" s="24" t="n">
        <x:v>4</x:v>
      </x:c>
      <x:c r="K4699" s="26" t="n">
        <x:v>0</x:v>
      </x:c>
      <x:c r="L4699" s="22" t="n">
        <x:v>14.4648</x:v>
      </x:c>
      <x:c r="M4699" t="n">
        <x:v>2015</x:v>
      </x:c>
      <x:c r="N4699" s="20" t="n">
        <x:v>42339</x:v>
      </x:c>
    </x:row>
    <x:row r="4700" ht="18" customHeight="1">
      <x:c r="A4700" t="str">
        <x:v>US-2015-138121</x:v>
      </x:c>
      <x:c r="B4700" s="18" t="n">
        <x:v>42355</x:v>
      </x:c>
      <x:c r="C4700" t="str">
        <x:v>JL-15835</x:v>
      </x:c>
      <x:c r="D4700" t="str">
        <x:v>John Lee</x:v>
      </x:c>
      <x:c r="E4700" t="str">
        <x:v>Consumer</x:v>
      </x:c>
      <x:c r="F4700" t="str">
        <x:v>Central</x:v>
      </x:c>
      <x:c r="G4700" t="str">
        <x:v>Furniture</x:v>
      </x:c>
      <x:c r="H4700" t="str">
        <x:v>Chairs</x:v>
      </x:c>
      <x:c r="I4700" s="22" t="n">
        <x:v>302.94</x:v>
      </x:c>
      <x:c r="J4700" s="24" t="n">
        <x:v>3</x:v>
      </x:c>
      <x:c r="K4700" s="26" t="n">
        <x:v>0</x:v>
      </x:c>
      <x:c r="L4700" s="22" t="n">
        <x:v>48.47040000000001</x:v>
      </x:c>
      <x:c r="M4700" t="n">
        <x:v>2015</x:v>
      </x:c>
      <x:c r="N4700" s="20" t="n">
        <x:v>42339</x:v>
      </x:c>
    </x:row>
    <x:row r="4701" ht="18" customHeight="1">
      <x:c r="A4701" t="str">
        <x:v>US-2015-138121</x:v>
      </x:c>
      <x:c r="B4701" s="18" t="n">
        <x:v>42355</x:v>
      </x:c>
      <x:c r="C4701" t="str">
        <x:v>JL-15835</x:v>
      </x:c>
      <x:c r="D4701" t="str">
        <x:v>John Lee</x:v>
      </x:c>
      <x:c r="E4701" t="str">
        <x:v>Consumer</x:v>
      </x:c>
      <x:c r="F4701" t="str">
        <x:v>Central</x:v>
      </x:c>
      <x:c r="G4701" t="str">
        <x:v>Furniture</x:v>
      </x:c>
      <x:c r="H4701" t="str">
        <x:v>Chairs</x:v>
      </x:c>
      <x:c r="I4701" s="22" t="n">
        <x:v>142.36</x:v>
      </x:c>
      <x:c r="J4701" s="24" t="n">
        <x:v>2</x:v>
      </x:c>
      <x:c r="K4701" s="26" t="n">
        <x:v>0</x:v>
      </x:c>
      <x:c r="L4701" s="22" t="n">
        <x:v>38.437200000000004</x:v>
      </x:c>
      <x:c r="M4701" t="n">
        <x:v>2015</x:v>
      </x:c>
      <x:c r="N4701" s="20" t="n">
        <x:v>42339</x:v>
      </x:c>
    </x:row>
    <x:row r="4702" ht="18" customHeight="1">
      <x:c r="A4702" t="str">
        <x:v>US-2015-138121</x:v>
      </x:c>
      <x:c r="B4702" s="18" t="n">
        <x:v>42355</x:v>
      </x:c>
      <x:c r="C4702" t="str">
        <x:v>JL-15835</x:v>
      </x:c>
      <x:c r="D4702" t="str">
        <x:v>John Lee</x:v>
      </x:c>
      <x:c r="E4702" t="str">
        <x:v>Consumer</x:v>
      </x:c>
      <x:c r="F4702" t="str">
        <x:v>Central</x:v>
      </x:c>
      <x:c r="G4702" t="str">
        <x:v>Furniture</x:v>
      </x:c>
      <x:c r="H4702" t="str">
        <x:v>Chairs</x:v>
      </x:c>
      <x:c r="I4702" s="22" t="n">
        <x:v>546.66</x:v>
      </x:c>
      <x:c r="J4702" s="24" t="n">
        <x:v>9</x:v>
      </x:c>
      <x:c r="K4702" s="26" t="n">
        <x:v>0</x:v>
      </x:c>
      <x:c r="L4702" s="22" t="n">
        <x:v>136.66500000000002</x:v>
      </x:c>
      <x:c r="M4702" t="n">
        <x:v>2015</x:v>
      </x:c>
      <x:c r="N4702" s="20" t="n">
        <x:v>42339</x:v>
      </x:c>
    </x:row>
    <x:row r="4703" ht="18" customHeight="1">
      <x:c r="A4703" t="str">
        <x:v>US-2015-138121</x:v>
      </x:c>
      <x:c r="B4703" s="18" t="n">
        <x:v>42355</x:v>
      </x:c>
      <x:c r="C4703" t="str">
        <x:v>JL-15835</x:v>
      </x:c>
      <x:c r="D4703" t="str">
        <x:v>John Lee</x:v>
      </x:c>
      <x:c r="E4703" t="str">
        <x:v>Consumer</x:v>
      </x:c>
      <x:c r="F4703" t="str">
        <x:v>Central</x:v>
      </x:c>
      <x:c r="G4703" t="str">
        <x:v>Furniture</x:v>
      </x:c>
      <x:c r="H4703" t="str">
        <x:v>Furnishings</x:v>
      </x:c>
      <x:c r="I4703" s="22" t="n">
        <x:v>212.13</x:v>
      </x:c>
      <x:c r="J4703" s="24" t="n">
        <x:v>3</x:v>
      </x:c>
      <x:c r="K4703" s="26" t="n">
        <x:v>0</x:v>
      </x:c>
      <x:c r="L4703" s="22" t="n">
        <x:v>14.849099999999979</x:v>
      </x:c>
      <x:c r="M4703" t="n">
        <x:v>2015</x:v>
      </x:c>
      <x:c r="N4703" s="20" t="n">
        <x:v>42339</x:v>
      </x:c>
    </x:row>
    <x:row r="4704" ht="18" customHeight="1">
      <x:c r="A4704" t="str">
        <x:v>CA-2017-140298</x:v>
      </x:c>
      <x:c r="B4704" s="18" t="n">
        <x:v>42866</x:v>
      </x:c>
      <x:c r="C4704" t="str">
        <x:v>JK-16120</x:v>
      </x:c>
      <x:c r="D4704" t="str">
        <x:v>Julie Kriz</x:v>
      </x:c>
      <x:c r="E4704" t="str">
        <x:v>Home Office</x:v>
      </x:c>
      <x:c r="F4704" t="str">
        <x:v>Central</x:v>
      </x:c>
      <x:c r="G4704" t="str">
        <x:v>Office Supplies</x:v>
      </x:c>
      <x:c r="H4704" t="str">
        <x:v>Art</x:v>
      </x:c>
      <x:c r="I4704" s="22" t="n">
        <x:v>5.248</x:v>
      </x:c>
      <x:c r="J4704" s="24" t="n">
        <x:v>2</x:v>
      </x:c>
      <x:c r="K4704" s="26" t="n">
        <x:v>0.2</x:v>
      </x:c>
      <x:c r="L4704" s="22" t="n">
        <x:v>0.5903999999999991</x:v>
      </x:c>
      <x:c r="M4704" t="n">
        <x:v>2017</x:v>
      </x:c>
      <x:c r="N4704" s="20" t="n">
        <x:v>42856</x:v>
      </x:c>
    </x:row>
    <x:row r="4705" ht="18" customHeight="1">
      <x:c r="A4705" t="str">
        <x:v>CA-2017-140298</x:v>
      </x:c>
      <x:c r="B4705" s="18" t="n">
        <x:v>42866</x:v>
      </x:c>
      <x:c r="C4705" t="str">
        <x:v>JK-16120</x:v>
      </x:c>
      <x:c r="D4705" t="str">
        <x:v>Julie Kriz</x:v>
      </x:c>
      <x:c r="E4705" t="str">
        <x:v>Home Office</x:v>
      </x:c>
      <x:c r="F4705" t="str">
        <x:v>Central</x:v>
      </x:c>
      <x:c r="G4705" t="str">
        <x:v>Office Supplies</x:v>
      </x:c>
      <x:c r="H4705" t="str">
        <x:v>Storage</x:v>
      </x:c>
      <x:c r="I4705" s="22" t="n">
        <x:v>74.416</x:v>
      </x:c>
      <x:c r="J4705" s="24" t="n">
        <x:v>2</x:v>
      </x:c>
      <x:c r="K4705" s="26" t="n">
        <x:v>0.2</x:v>
      </x:c>
      <x:c r="L4705" s="22" t="n">
        <x:v>-14.883200000000002</x:v>
      </x:c>
      <x:c r="M4705" t="n">
        <x:v>2017</x:v>
      </x:c>
      <x:c r="N4705" s="20" t="n">
        <x:v>42856</x:v>
      </x:c>
    </x:row>
    <x:row r="4706" ht="18" customHeight="1">
      <x:c r="A4706" t="str">
        <x:v>CA-2017-140298</x:v>
      </x:c>
      <x:c r="B4706" s="18" t="n">
        <x:v>42866</x:v>
      </x:c>
      <x:c r="C4706" t="str">
        <x:v>JK-16120</x:v>
      </x:c>
      <x:c r="D4706" t="str">
        <x:v>Julie Kriz</x:v>
      </x:c>
      <x:c r="E4706" t="str">
        <x:v>Home Office</x:v>
      </x:c>
      <x:c r="F4706" t="str">
        <x:v>Central</x:v>
      </x:c>
      <x:c r="G4706" t="str">
        <x:v>Office Supplies</x:v>
      </x:c>
      <x:c r="H4706" t="str">
        <x:v>Paper</x:v>
      </x:c>
      <x:c r="I4706" s="22" t="n">
        <x:v>6.848000000000001</x:v>
      </x:c>
      <x:c r="J4706" s="24" t="n">
        <x:v>2</x:v>
      </x:c>
      <x:c r="K4706" s="26" t="n">
        <x:v>0.2</x:v>
      </x:c>
      <x:c r="L4706" s="22" t="n">
        <x:v>2.1399999999999992</x:v>
      </x:c>
      <x:c r="M4706" t="n">
        <x:v>2017</x:v>
      </x:c>
      <x:c r="N4706" s="20" t="n">
        <x:v>42856</x:v>
      </x:c>
    </x:row>
    <x:row r="4707" ht="18" customHeight="1">
      <x:c r="A4707" t="str">
        <x:v>CA-2017-140298</x:v>
      </x:c>
      <x:c r="B4707" s="18" t="n">
        <x:v>42866</x:v>
      </x:c>
      <x:c r="C4707" t="str">
        <x:v>JK-16120</x:v>
      </x:c>
      <x:c r="D4707" t="str">
        <x:v>Julie Kriz</x:v>
      </x:c>
      <x:c r="E4707" t="str">
        <x:v>Home Office</x:v>
      </x:c>
      <x:c r="F4707" t="str">
        <x:v>Central</x:v>
      </x:c>
      <x:c r="G4707" t="str">
        <x:v>Furniture</x:v>
      </x:c>
      <x:c r="H4707" t="str">
        <x:v>Furnishings</x:v>
      </x:c>
      <x:c r="I4707" s="22" t="n">
        <x:v>7.9959999999999996</x:v>
      </x:c>
      <x:c r="J4707" s="24" t="n">
        <x:v>1</x:v>
      </x:c>
      <x:c r="K4707" s="26" t="n">
        <x:v>0.6</x:v>
      </x:c>
      <x:c r="L4707" s="22" t="n">
        <x:v>-6.996499999999999</x:v>
      </x:c>
      <x:c r="M4707" t="n">
        <x:v>2017</x:v>
      </x:c>
      <x:c r="N4707" s="20" t="n">
        <x:v>42856</x:v>
      </x:c>
    </x:row>
    <x:row r="4708" ht="18" customHeight="1">
      <x:c r="A4708" t="str">
        <x:v>CA-2016-166240</x:v>
      </x:c>
      <x:c r="B4708" s="18" t="n">
        <x:v>42545</x:v>
      </x:c>
      <x:c r="C4708" t="str">
        <x:v>DH-13075</x:v>
      </x:c>
      <x:c r="D4708" t="str">
        <x:v>Dave Hallsten</x:v>
      </x:c>
      <x:c r="E4708" t="str">
        <x:v>Corporate</x:v>
      </x:c>
      <x:c r="F4708" t="str">
        <x:v>Central</x:v>
      </x:c>
      <x:c r="G4708" t="str">
        <x:v>Office Supplies</x:v>
      </x:c>
      <x:c r="H4708" t="str">
        <x:v>Appliances</x:v>
      </x:c>
      <x:c r="I4708" s="22" t="n">
        <x:v>8.711999999999998</x:v>
      </x:c>
      <x:c r="J4708" s="24" t="n">
        <x:v>2</x:v>
      </x:c>
      <x:c r="K4708" s="26" t="n">
        <x:v>0.8</x:v>
      </x:c>
      <x:c r="L4708" s="22" t="n">
        <x:v>-19.602000000000007</x:v>
      </x:c>
      <x:c r="M4708" t="n">
        <x:v>2016</x:v>
      </x:c>
      <x:c r="N4708" s="20" t="n">
        <x:v>42522</x:v>
      </x:c>
    </x:row>
    <x:row r="4709" ht="18" customHeight="1">
      <x:c r="A4709" t="str">
        <x:v>CA-2016-158435</x:v>
      </x:c>
      <x:c r="B4709" s="18" t="n">
        <x:v>42507</x:v>
      </x:c>
      <x:c r="C4709" t="str">
        <x:v>AG-10900</x:v>
      </x:c>
      <x:c r="D4709" t="str">
        <x:v>Arthur Gainer</x:v>
      </x:c>
      <x:c r="E4709" t="str">
        <x:v>Consumer</x:v>
      </x:c>
      <x:c r="F4709" t="str">
        <x:v>East</x:v>
      </x:c>
      <x:c r="G4709" t="str">
        <x:v>Office Supplies</x:v>
      </x:c>
      <x:c r="H4709" t="str">
        <x:v>Supplies</x:v>
      </x:c>
      <x:c r="I4709" s="22" t="n">
        <x:v>65.17</x:v>
      </x:c>
      <x:c r="J4709" s="24" t="n">
        <x:v>7</x:v>
      </x:c>
      <x:c r="K4709" s="26" t="n">
        <x:v>0</x:v>
      </x:c>
      <x:c r="L4709" s="22" t="n">
        <x:v>18.899299999999997</x:v>
      </x:c>
      <x:c r="M4709" t="n">
        <x:v>2016</x:v>
      </x:c>
      <x:c r="N4709" s="20" t="n">
        <x:v>42491</x:v>
      </x:c>
    </x:row>
    <x:row r="4710" ht="18" customHeight="1">
      <x:c r="A4710" t="str">
        <x:v>CA-2016-158435</x:v>
      </x:c>
      <x:c r="B4710" s="18" t="n">
        <x:v>42507</x:v>
      </x:c>
      <x:c r="C4710" t="str">
        <x:v>AG-10900</x:v>
      </x:c>
      <x:c r="D4710" t="str">
        <x:v>Arthur Gainer</x:v>
      </x:c>
      <x:c r="E4710" t="str">
        <x:v>Consumer</x:v>
      </x:c>
      <x:c r="F4710" t="str">
        <x:v>East</x:v>
      </x:c>
      <x:c r="G4710" t="str">
        <x:v>Office Supplies</x:v>
      </x:c>
      <x:c r="H4710" t="str">
        <x:v>Labels</x:v>
      </x:c>
      <x:c r="I4710" s="22" t="n">
        <x:v>14.62</x:v>
      </x:c>
      <x:c r="J4710" s="24" t="n">
        <x:v>2</x:v>
      </x:c>
      <x:c r="K4710" s="26" t="n">
        <x:v>0</x:v>
      </x:c>
      <x:c r="L4710" s="22" t="n">
        <x:v>6.8713999999999995</x:v>
      </x:c>
      <x:c r="M4710" t="n">
        <x:v>2016</x:v>
      </x:c>
      <x:c r="N4710" s="20" t="n">
        <x:v>42491</x:v>
      </x:c>
    </x:row>
    <x:row r="4711" ht="18" customHeight="1">
      <x:c r="A4711" t="str">
        <x:v>CA-2016-158435</x:v>
      </x:c>
      <x:c r="B4711" s="18" t="n">
        <x:v>42507</x:v>
      </x:c>
      <x:c r="C4711" t="str">
        <x:v>AG-10900</x:v>
      </x:c>
      <x:c r="D4711" t="str">
        <x:v>Arthur Gainer</x:v>
      </x:c>
      <x:c r="E4711" t="str">
        <x:v>Consumer</x:v>
      </x:c>
      <x:c r="F4711" t="str">
        <x:v>East</x:v>
      </x:c>
      <x:c r="G4711" t="str">
        <x:v>Furniture</x:v>
      </x:c>
      <x:c r="H4711" t="str">
        <x:v>Furnishings</x:v>
      </x:c>
      <x:c r="I4711" s="22" t="n">
        <x:v>173.24</x:v>
      </x:c>
      <x:c r="J4711" s="24" t="n">
        <x:v>4</x:v>
      </x:c>
      <x:c r="K4711" s="26" t="n">
        <x:v>0</x:v>
      </x:c>
      <x:c r="L4711" s="22" t="n">
        <x:v>17.323999999999984</x:v>
      </x:c>
      <x:c r="M4711" t="n">
        <x:v>2016</x:v>
      </x:c>
      <x:c r="N4711" s="20" t="n">
        <x:v>42491</x:v>
      </x:c>
    </x:row>
    <x:row r="4712" ht="18" customHeight="1">
      <x:c r="A4712" t="str">
        <x:v>CA-2017-138149</x:v>
      </x:c>
      <x:c r="B4712" s="18" t="n">
        <x:v>42915</x:v>
      </x:c>
      <x:c r="C4712" t="str">
        <x:v>WB-21850</x:v>
      </x:c>
      <x:c r="D4712" t="str">
        <x:v>William Brown</x:v>
      </x:c>
      <x:c r="E4712" t="str">
        <x:v>Consumer</x:v>
      </x:c>
      <x:c r="F4712" t="str">
        <x:v>West</x:v>
      </x:c>
      <x:c r="G4712" t="str">
        <x:v>Office Supplies</x:v>
      </x:c>
      <x:c r="H4712" t="str">
        <x:v>Binders</x:v>
      </x:c>
      <x:c r="I4712" s="22" t="n">
        <x:v>895.92</x:v>
      </x:c>
      <x:c r="J4712" s="24" t="n">
        <x:v>5</x:v>
      </x:c>
      <x:c r="K4712" s="26" t="n">
        <x:v>0.2</x:v>
      </x:c>
      <x:c r="L4712" s="22" t="n">
        <x:v>302.37299999999993</x:v>
      </x:c>
      <x:c r="M4712" t="n">
        <x:v>2017</x:v>
      </x:c>
      <x:c r="N4712" s="20" t="n">
        <x:v>42887</x:v>
      </x:c>
    </x:row>
    <x:row r="4713" ht="18" customHeight="1">
      <x:c r="A4713" t="str">
        <x:v>CA-2017-138149</x:v>
      </x:c>
      <x:c r="B4713" s="18" t="n">
        <x:v>42915</x:v>
      </x:c>
      <x:c r="C4713" t="str">
        <x:v>WB-21850</x:v>
      </x:c>
      <x:c r="D4713" t="str">
        <x:v>William Brown</x:v>
      </x:c>
      <x:c r="E4713" t="str">
        <x:v>Consumer</x:v>
      </x:c>
      <x:c r="F4713" t="str">
        <x:v>West</x:v>
      </x:c>
      <x:c r="G4713" t="str">
        <x:v>Office Supplies</x:v>
      </x:c>
      <x:c r="H4713" t="str">
        <x:v>Storage</x:v>
      </x:c>
      <x:c r="I4713" s="22" t="n">
        <x:v>130.71</x:v>
      </x:c>
      <x:c r="J4713" s="24" t="n">
        <x:v>3</x:v>
      </x:c>
      <x:c r="K4713" s="26" t="n">
        <x:v>0</x:v>
      </x:c>
      <x:c r="L4713" s="22" t="n">
        <x:v>39.212999999999994</x:v>
      </x:c>
      <x:c r="M4713" t="n">
        <x:v>2017</x:v>
      </x:c>
      <x:c r="N4713" s="20" t="n">
        <x:v>42887</x:v>
      </x:c>
    </x:row>
    <x:row r="4714" ht="18" customHeight="1">
      <x:c r="A4714" t="str">
        <x:v>CA-2017-138149</x:v>
      </x:c>
      <x:c r="B4714" s="18" t="n">
        <x:v>42915</x:v>
      </x:c>
      <x:c r="C4714" t="str">
        <x:v>WB-21850</x:v>
      </x:c>
      <x:c r="D4714" t="str">
        <x:v>William Brown</x:v>
      </x:c>
      <x:c r="E4714" t="str">
        <x:v>Consumer</x:v>
      </x:c>
      <x:c r="F4714" t="str">
        <x:v>West</x:v>
      </x:c>
      <x:c r="G4714" t="str">
        <x:v>Office Supplies</x:v>
      </x:c>
      <x:c r="H4714" t="str">
        <x:v>Art</x:v>
      </x:c>
      <x:c r="I4714" s="22" t="n">
        <x:v>11.68</x:v>
      </x:c>
      <x:c r="J4714" s="24" t="n">
        <x:v>2</x:v>
      </x:c>
      <x:c r="K4714" s="26" t="n">
        <x:v>0</x:v>
      </x:c>
      <x:c r="L4714" s="22" t="n">
        <x:v>3.0367999999999995</x:v>
      </x:c>
      <x:c r="M4714" t="n">
        <x:v>2017</x:v>
      </x:c>
      <x:c r="N4714" s="20" t="n">
        <x:v>42887</x:v>
      </x:c>
    </x:row>
    <x:row r="4715" ht="18" customHeight="1">
      <x:c r="A4715" t="str">
        <x:v>CA-2017-138149</x:v>
      </x:c>
      <x:c r="B4715" s="18" t="n">
        <x:v>42915</x:v>
      </x:c>
      <x:c r="C4715" t="str">
        <x:v>WB-21850</x:v>
      </x:c>
      <x:c r="D4715" t="str">
        <x:v>William Brown</x:v>
      </x:c>
      <x:c r="E4715" t="str">
        <x:v>Consumer</x:v>
      </x:c>
      <x:c r="F4715" t="str">
        <x:v>West</x:v>
      </x:c>
      <x:c r="G4715" t="str">
        <x:v>Technology</x:v>
      </x:c>
      <x:c r="H4715" t="str">
        <x:v>Accessories</x:v>
      </x:c>
      <x:c r="I4715" s="22" t="n">
        <x:v>62.31</x:v>
      </x:c>
      <x:c r="J4715" s="24" t="n">
        <x:v>3</x:v>
      </x:c>
      <x:c r="K4715" s="26" t="n">
        <x:v>0</x:v>
      </x:c>
      <x:c r="L4715" s="22" t="n">
        <x:v>22.4316</x:v>
      </x:c>
      <x:c r="M4715" t="n">
        <x:v>2017</x:v>
      </x:c>
      <x:c r="N4715" s="20" t="n">
        <x:v>42887</x:v>
      </x:c>
    </x:row>
    <x:row r="4716" ht="18" customHeight="1">
      <x:c r="A4716" t="str">
        <x:v>CA-2014-112403</x:v>
      </x:c>
      <x:c r="B4716" s="18" t="n">
        <x:v>41729</x:v>
      </x:c>
      <x:c r="C4716" t="str">
        <x:v>JO-15280</x:v>
      </x:c>
      <x:c r="D4716" t="str">
        <x:v>Jas O'Carroll</x:v>
      </x:c>
      <x:c r="E4716" t="str">
        <x:v>Consumer</x:v>
      </x:c>
      <x:c r="F4716" t="str">
        <x:v>East</x:v>
      </x:c>
      <x:c r="G4716" t="str">
        <x:v>Office Supplies</x:v>
      </x:c>
      <x:c r="H4716" t="str">
        <x:v>Binders</x:v>
      </x:c>
      <x:c r="I4716" s="22" t="n">
        <x:v>0.8520000000000001</x:v>
      </x:c>
      <x:c r="J4716" s="24" t="n">
        <x:v>1</x:v>
      </x:c>
      <x:c r="K4716" s="26" t="n">
        <x:v>0.7</x:v>
      </x:c>
      <x:c r="L4716" s="22" t="n">
        <x:v>-0.5963999999999998</x:v>
      </x:c>
      <x:c r="M4716" t="n">
        <x:v>2014</x:v>
      </x:c>
      <x:c r="N4716" s="20" t="n">
        <x:v>41699</x:v>
      </x:c>
    </x:row>
    <x:row r="4717" ht="18" customHeight="1">
      <x:c r="A4717" t="str">
        <x:v>CA-2014-108273</x:v>
      </x:c>
      <x:c r="B4717" s="18" t="n">
        <x:v>41989</x:v>
      </x:c>
      <x:c r="C4717" t="str">
        <x:v>EJ-13720</x:v>
      </x:c>
      <x:c r="D4717" t="str">
        <x:v>Ed Jacobs</x:v>
      </x:c>
      <x:c r="E4717" t="str">
        <x:v>Consumer</x:v>
      </x:c>
      <x:c r="F4717" t="str">
        <x:v>Central</x:v>
      </x:c>
      <x:c r="G4717" t="str">
        <x:v>Office Supplies</x:v>
      </x:c>
      <x:c r="H4717" t="str">
        <x:v>Paper</x:v>
      </x:c>
      <x:c r="I4717" s="22" t="n">
        <x:v>36.28800000000001</x:v>
      </x:c>
      <x:c r="J4717" s="24" t="n">
        <x:v>7</x:v>
      </x:c>
      <x:c r="K4717" s="26" t="n">
        <x:v>0.2</x:v>
      </x:c>
      <x:c r="L4717" s="22" t="n">
        <x:v>12.700800000000001</x:v>
      </x:c>
      <x:c r="M4717" t="n">
        <x:v>2014</x:v>
      </x:c>
      <x:c r="N4717" s="20" t="n">
        <x:v>41974</x:v>
      </x:c>
    </x:row>
    <x:row r="4718" ht="18" customHeight="1">
      <x:c r="A4718" t="str">
        <x:v>CA-2014-108273</x:v>
      </x:c>
      <x:c r="B4718" s="18" t="n">
        <x:v>41989</x:v>
      </x:c>
      <x:c r="C4718" t="str">
        <x:v>EJ-13720</x:v>
      </x:c>
      <x:c r="D4718" t="str">
        <x:v>Ed Jacobs</x:v>
      </x:c>
      <x:c r="E4718" t="str">
        <x:v>Consumer</x:v>
      </x:c>
      <x:c r="F4718" t="str">
        <x:v>Central</x:v>
      </x:c>
      <x:c r="G4718" t="str">
        <x:v>Furniture</x:v>
      </x:c>
      <x:c r="H4718" t="str">
        <x:v>Furnishings</x:v>
      </x:c>
      <x:c r="I4718" s="22" t="n">
        <x:v>56.568</x:v>
      </x:c>
      <x:c r="J4718" s="24" t="n">
        <x:v>2</x:v>
      </x:c>
      <x:c r="K4718" s="26" t="n">
        <x:v>0.6</x:v>
      </x:c>
      <x:c r="L4718" s="22" t="n">
        <x:v>-74.9526</x:v>
      </x:c>
      <x:c r="M4718" t="n">
        <x:v>2014</x:v>
      </x:c>
      <x:c r="N4718" s="20" t="n">
        <x:v>41974</x:v>
      </x:c>
    </x:row>
    <x:row r="4719" ht="18" customHeight="1">
      <x:c r="A4719" t="str">
        <x:v>CA-2017-121643</x:v>
      </x:c>
      <x:c r="B4719" s="18" t="n">
        <x:v>42873</x:v>
      </x:c>
      <x:c r="C4719" t="str">
        <x:v>AB-10105</x:v>
      </x:c>
      <x:c r="D4719" t="str">
        <x:v>Adrian Barton</x:v>
      </x:c>
      <x:c r="E4719" t="str">
        <x:v>Consumer</x:v>
      </x:c>
      <x:c r="F4719" t="str">
        <x:v>West</x:v>
      </x:c>
      <x:c r="G4719" t="str">
        <x:v>Technology</x:v>
      </x:c>
      <x:c r="H4719" t="str">
        <x:v>Phones</x:v>
      </x:c>
      <x:c r="I4719" s="22" t="n">
        <x:v>344.704</x:v>
      </x:c>
      <x:c r="J4719" s="24" t="n">
        <x:v>2</x:v>
      </x:c>
      <x:c r="K4719" s="26" t="n">
        <x:v>0.2</x:v>
      </x:c>
      <x:c r="L4719" s="22" t="n">
        <x:v>38.77919999999999</x:v>
      </x:c>
      <x:c r="M4719" t="n">
        <x:v>2017</x:v>
      </x:c>
      <x:c r="N4719" s="20" t="n">
        <x:v>42856</x:v>
      </x:c>
    </x:row>
    <x:row r="4720" ht="18" customHeight="1">
      <x:c r="A4720" t="str">
        <x:v>US-2015-122910</x:v>
      </x:c>
      <x:c r="B4720" s="18" t="n">
        <x:v>42136</x:v>
      </x:c>
      <x:c r="C4720" t="str">
        <x:v>LT-16765</x:v>
      </x:c>
      <x:c r="D4720" t="str">
        <x:v>Larry Tron</x:v>
      </x:c>
      <x:c r="E4720" t="str">
        <x:v>Consumer</x:v>
      </x:c>
      <x:c r="F4720" t="str">
        <x:v>West</x:v>
      </x:c>
      <x:c r="G4720" t="str">
        <x:v>Technology</x:v>
      </x:c>
      <x:c r="H4720" t="str">
        <x:v>Phones</x:v>
      </x:c>
      <x:c r="I4720" s="22" t="n">
        <x:v>201.584</x:v>
      </x:c>
      <x:c r="J4720" s="24" t="n">
        <x:v>2</x:v>
      </x:c>
      <x:c r="K4720" s="26" t="n">
        <x:v>0.2</x:v>
      </x:c>
      <x:c r="L4720" s="22" t="n">
        <x:v>20.158400000000015</x:v>
      </x:c>
      <x:c r="M4720" t="n">
        <x:v>2015</x:v>
      </x:c>
      <x:c r="N4720" s="20" t="n">
        <x:v>42125</x:v>
      </x:c>
    </x:row>
    <x:row r="4721" ht="18" customHeight="1">
      <x:c r="A4721" t="str">
        <x:v>CA-2017-143126</x:v>
      </x:c>
      <x:c r="B4721" s="18" t="n">
        <x:v>43072</x:v>
      </x:c>
      <x:c r="C4721" t="str">
        <x:v>CM-12655</x:v>
      </x:c>
      <x:c r="D4721" t="str">
        <x:v>Corinna Mitchell</x:v>
      </x:c>
      <x:c r="E4721" t="str">
        <x:v>Home Office</x:v>
      </x:c>
      <x:c r="F4721" t="str">
        <x:v>West</x:v>
      </x:c>
      <x:c r="G4721" t="str">
        <x:v>Furniture</x:v>
      </x:c>
      <x:c r="H4721" t="str">
        <x:v>Tables</x:v>
      </x:c>
      <x:c r="I4721" s="22" t="n">
        <x:v>521.96</x:v>
      </x:c>
      <x:c r="J4721" s="24" t="n">
        <x:v>2</x:v>
      </x:c>
      <x:c r="K4721" s="26" t="n">
        <x:v>0</x:v>
      </x:c>
      <x:c r="L4721" s="22" t="n">
        <x:v>88.73319999999995</x:v>
      </x:c>
      <x:c r="M4721" t="n">
        <x:v>2017</x:v>
      </x:c>
      <x:c r="N4721" s="20" t="n">
        <x:v>43070</x:v>
      </x:c>
    </x:row>
    <x:row r="4722" ht="18" customHeight="1">
      <x:c r="A4722" t="str">
        <x:v>CA-2015-129042</x:v>
      </x:c>
      <x:c r="B4722" s="18" t="n">
        <x:v>42350</x:v>
      </x:c>
      <x:c r="C4722" t="str">
        <x:v>EM-13960</x:v>
      </x:c>
      <x:c r="D4722" t="str">
        <x:v>Eric Murdock</x:v>
      </x:c>
      <x:c r="E4722" t="str">
        <x:v>Consumer</x:v>
      </x:c>
      <x:c r="F4722" t="str">
        <x:v>East</x:v>
      </x:c>
      <x:c r="G4722" t="str">
        <x:v>Office Supplies</x:v>
      </x:c>
      <x:c r="H4722" t="str">
        <x:v>Art</x:v>
      </x:c>
      <x:c r="I4722" s="22" t="n">
        <x:v>8.22</x:v>
      </x:c>
      <x:c r="J4722" s="24" t="n">
        <x:v>3</x:v>
      </x:c>
      <x:c r="K4722" s="26" t="n">
        <x:v>0</x:v>
      </x:c>
      <x:c r="L4722" s="22" t="n">
        <x:v>2.2194000000000007</x:v>
      </x:c>
      <x:c r="M4722" t="n">
        <x:v>2015</x:v>
      </x:c>
      <x:c r="N4722" s="20" t="n">
        <x:v>42339</x:v>
      </x:c>
    </x:row>
    <x:row r="4723" ht="18" customHeight="1">
      <x:c r="A4723" t="str">
        <x:v>CA-2015-109736</x:v>
      </x:c>
      <x:c r="B4723" s="18" t="n">
        <x:v>42287</x:v>
      </x:c>
      <x:c r="C4723" t="str">
        <x:v>DJ-13420</x:v>
      </x:c>
      <x:c r="D4723" t="str">
        <x:v>Denny Joy</x:v>
      </x:c>
      <x:c r="E4723" t="str">
        <x:v>Corporate</x:v>
      </x:c>
      <x:c r="F4723" t="str">
        <x:v>West</x:v>
      </x:c>
      <x:c r="G4723" t="str">
        <x:v>Office Supplies</x:v>
      </x:c>
      <x:c r="H4723" t="str">
        <x:v>Paper</x:v>
      </x:c>
      <x:c r="I4723" s="22" t="n">
        <x:v>45.36</x:v>
      </x:c>
      <x:c r="J4723" s="24" t="n">
        <x:v>7</x:v>
      </x:c>
      <x:c r="K4723" s="26" t="n">
        <x:v>0</x:v>
      </x:c>
      <x:c r="L4723" s="22" t="n">
        <x:v>21.772800000000004</x:v>
      </x:c>
      <x:c r="M4723" t="n">
        <x:v>2015</x:v>
      </x:c>
      <x:c r="N4723" s="20" t="n">
        <x:v>42278</x:v>
      </x:c>
    </x:row>
    <x:row r="4724" ht="18" customHeight="1">
      <x:c r="A4724" t="str">
        <x:v>CA-2015-142601</x:v>
      </x:c>
      <x:c r="B4724" s="18" t="n">
        <x:v>42112</x:v>
      </x:c>
      <x:c r="C4724" t="str">
        <x:v>DE-13255</x:v>
      </x:c>
      <x:c r="D4724" t="str">
        <x:v>Deanra Eno</x:v>
      </x:c>
      <x:c r="E4724" t="str">
        <x:v>Home Office</x:v>
      </x:c>
      <x:c r="F4724" t="str">
        <x:v>West</x:v>
      </x:c>
      <x:c r="G4724" t="str">
        <x:v>Office Supplies</x:v>
      </x:c>
      <x:c r="H4724" t="str">
        <x:v>Storage</x:v>
      </x:c>
      <x:c r="I4724" s="22" t="n">
        <x:v>947.1700000000001</x:v>
      </x:c>
      <x:c r="J4724" s="24" t="n">
        <x:v>7</x:v>
      </x:c>
      <x:c r="K4724" s="26" t="n">
        <x:v>0</x:v>
      </x:c>
      <x:c r="L4724" s="22" t="n">
        <x:v>9.471700000000084</x:v>
      </x:c>
      <x:c r="M4724" t="n">
        <x:v>2015</x:v>
      </x:c>
      <x:c r="N4724" s="20" t="n">
        <x:v>42095</x:v>
      </x:c>
    </x:row>
    <x:row r="4725" ht="18" customHeight="1">
      <x:c r="A4725" t="str">
        <x:v>CA-2015-142601</x:v>
      </x:c>
      <x:c r="B4725" s="18" t="n">
        <x:v>42112</x:v>
      </x:c>
      <x:c r="C4725" t="str">
        <x:v>DE-13255</x:v>
      </x:c>
      <x:c r="D4725" t="str">
        <x:v>Deanra Eno</x:v>
      </x:c>
      <x:c r="E4725" t="str">
        <x:v>Home Office</x:v>
      </x:c>
      <x:c r="F4725" t="str">
        <x:v>West</x:v>
      </x:c>
      <x:c r="G4725" t="str">
        <x:v>Office Supplies</x:v>
      </x:c>
      <x:c r="H4725" t="str">
        <x:v>Paper</x:v>
      </x:c>
      <x:c r="I4725" s="22" t="n">
        <x:v>61.96</x:v>
      </x:c>
      <x:c r="J4725" s="24" t="n">
        <x:v>2</x:v>
      </x:c>
      <x:c r="K4725" s="26" t="n">
        <x:v>0</x:v>
      </x:c>
      <x:c r="L4725" s="22" t="n">
        <x:v>27.881999999999998</x:v>
      </x:c>
      <x:c r="M4725" t="n">
        <x:v>2015</x:v>
      </x:c>
      <x:c r="N4725" s="20" t="n">
        <x:v>42095</x:v>
      </x:c>
    </x:row>
    <x:row r="4726" ht="18" customHeight="1">
      <x:c r="A4726" t="str">
        <x:v>CA-2014-106229</x:v>
      </x:c>
      <x:c r="B4726" s="18" t="n">
        <x:v>41797</x:v>
      </x:c>
      <x:c r="C4726" t="str">
        <x:v>NR-18550</x:v>
      </x:c>
      <x:c r="D4726" t="str">
        <x:v>Nick Radford</x:v>
      </x:c>
      <x:c r="E4726" t="str">
        <x:v>Consumer</x:v>
      </x:c>
      <x:c r="F4726" t="str">
        <x:v>Central</x:v>
      </x:c>
      <x:c r="G4726" t="str">
        <x:v>Furniture</x:v>
      </x:c>
      <x:c r="H4726" t="str">
        <x:v>Tables</x:v>
      </x:c>
      <x:c r="I4726" s="22" t="n">
        <x:v>268.935</x:v>
      </x:c>
      <x:c r="J4726" s="24" t="n">
        <x:v>3</x:v>
      </x:c>
      <x:c r="K4726" s="26" t="n">
        <x:v>0.5</x:v>
      </x:c>
      <x:c r="L4726" s="22" t="n">
        <x:v>-209.7693</x:v>
      </x:c>
      <x:c r="M4726" t="n">
        <x:v>2014</x:v>
      </x:c>
      <x:c r="N4726" s="20" t="n">
        <x:v>41791</x:v>
      </x:c>
    </x:row>
    <x:row r="4727" ht="18" customHeight="1">
      <x:c r="A4727" t="str">
        <x:v>US-2017-135230</x:v>
      </x:c>
      <x:c r="B4727" s="18" t="n">
        <x:v>42979</x:v>
      </x:c>
      <x:c r="C4727" t="str">
        <x:v>CK-12325</x:v>
      </x:c>
      <x:c r="D4727" t="str">
        <x:v>Christine Kargatis</x:v>
      </x:c>
      <x:c r="E4727" t="str">
        <x:v>Home Office</x:v>
      </x:c>
      <x:c r="F4727" t="str">
        <x:v>West</x:v>
      </x:c>
      <x:c r="G4727" t="str">
        <x:v>Office Supplies</x:v>
      </x:c>
      <x:c r="H4727" t="str">
        <x:v>Art</x:v>
      </x:c>
      <x:c r="I4727" s="22" t="n">
        <x:v>7.58</x:v>
      </x:c>
      <x:c r="J4727" s="24" t="n">
        <x:v>1</x:v>
      </x:c>
      <x:c r="K4727" s="26" t="n">
        <x:v>0</x:v>
      </x:c>
      <x:c r="L4727" s="22" t="n">
        <x:v>2.9562</x:v>
      </x:c>
      <x:c r="M4727" t="n">
        <x:v>2017</x:v>
      </x:c>
      <x:c r="N4727" s="20" t="n">
        <x:v>42979</x:v>
      </x:c>
    </x:row>
    <x:row r="4728" ht="18" customHeight="1">
      <x:c r="A4728" t="str">
        <x:v>CA-2016-159653</x:v>
      </x:c>
      <x:c r="B4728" s="18" t="n">
        <x:v>42512</x:v>
      </x:c>
      <x:c r="C4728" t="str">
        <x:v>JF-15490</x:v>
      </x:c>
      <x:c r="D4728" t="str">
        <x:v>Jeremy Farry</x:v>
      </x:c>
      <x:c r="E4728" t="str">
        <x:v>Consumer</x:v>
      </x:c>
      <x:c r="F4728" t="str">
        <x:v>South</x:v>
      </x:c>
      <x:c r="G4728" t="str">
        <x:v>Office Supplies</x:v>
      </x:c>
      <x:c r="H4728" t="str">
        <x:v>Labels</x:v>
      </x:c>
      <x:c r="I4728" s="22" t="n">
        <x:v>14.73</x:v>
      </x:c>
      <x:c r="J4728" s="24" t="n">
        <x:v>3</x:v>
      </x:c>
      <x:c r="K4728" s="26" t="n">
        <x:v>0</x:v>
      </x:c>
      <x:c r="L4728" s="22" t="n">
        <x:v>7.2177</x:v>
      </x:c>
      <x:c r="M4728" t="n">
        <x:v>2016</x:v>
      </x:c>
      <x:c r="N4728" s="20" t="n">
        <x:v>42491</x:v>
      </x:c>
    </x:row>
    <x:row r="4729" ht="18" customHeight="1">
      <x:c r="A4729" t="str">
        <x:v>CA-2016-131968</x:v>
      </x:c>
      <x:c r="B4729" s="18" t="n">
        <x:v>42685</x:v>
      </x:c>
      <x:c r="C4729" t="str">
        <x:v>LB-16795</x:v>
      </x:c>
      <x:c r="D4729" t="str">
        <x:v>Laurel Beltran</x:v>
      </x:c>
      <x:c r="E4729" t="str">
        <x:v>Home Office</x:v>
      </x:c>
      <x:c r="F4729" t="str">
        <x:v>South</x:v>
      </x:c>
      <x:c r="G4729" t="str">
        <x:v>Office Supplies</x:v>
      </x:c>
      <x:c r="H4729" t="str">
        <x:v>Binders</x:v>
      </x:c>
      <x:c r="I4729" s="22" t="n">
        <x:v>9.888000000000002</x:v>
      </x:c>
      <x:c r="J4729" s="24" t="n">
        <x:v>2</x:v>
      </x:c>
      <x:c r="K4729" s="26" t="n">
        <x:v>0.7</x:v>
      </x:c>
      <x:c r="L4729" s="22" t="n">
        <x:v>-6.921599999999998</x:v>
      </x:c>
      <x:c r="M4729" t="n">
        <x:v>2016</x:v>
      </x:c>
      <x:c r="N4729" s="20" t="n">
        <x:v>42675</x:v>
      </x:c>
    </x:row>
    <x:row r="4730" ht="18" customHeight="1">
      <x:c r="A4730" t="str">
        <x:v>CA-2016-131968</x:v>
      </x:c>
      <x:c r="B4730" s="18" t="n">
        <x:v>42685</x:v>
      </x:c>
      <x:c r="C4730" t="str">
        <x:v>LB-16795</x:v>
      </x:c>
      <x:c r="D4730" t="str">
        <x:v>Laurel Beltran</x:v>
      </x:c>
      <x:c r="E4730" t="str">
        <x:v>Home Office</x:v>
      </x:c>
      <x:c r="F4730" t="str">
        <x:v>South</x:v>
      </x:c>
      <x:c r="G4730" t="str">
        <x:v>Office Supplies</x:v>
      </x:c>
      <x:c r="H4730" t="str">
        <x:v>Appliances</x:v>
      </x:c>
      <x:c r="I4730" s="22" t="n">
        <x:v>671.5440000000001</x:v>
      </x:c>
      <x:c r="J4730" s="24" t="n">
        <x:v>3</x:v>
      </x:c>
      <x:c r="K4730" s="26" t="n">
        <x:v>0.2</x:v>
      </x:c>
      <x:c r="L4730" s="22" t="n">
        <x:v>50.36579999999995</x:v>
      </x:c>
      <x:c r="M4730" t="n">
        <x:v>2016</x:v>
      </x:c>
      <x:c r="N4730" s="20" t="n">
        <x:v>42675</x:v>
      </x:c>
    </x:row>
    <x:row r="4731" ht="18" customHeight="1">
      <x:c r="A4731" t="str">
        <x:v>CA-2014-119151</x:v>
      </x:c>
      <x:c r="B4731" s="18" t="n">
        <x:v>41968</x:v>
      </x:c>
      <x:c r="C4731" t="str">
        <x:v>MP-18175</x:v>
      </x:c>
      <x:c r="D4731" t="str">
        <x:v>Mike Pelletier</x:v>
      </x:c>
      <x:c r="E4731" t="str">
        <x:v>Home Office</x:v>
      </x:c>
      <x:c r="F4731" t="str">
        <x:v>East</x:v>
      </x:c>
      <x:c r="G4731" t="str">
        <x:v>Office Supplies</x:v>
      </x:c>
      <x:c r="H4731" t="str">
        <x:v>Storage</x:v>
      </x:c>
      <x:c r="I4731" s="22" t="n">
        <x:v>1117.92</x:v>
      </x:c>
      <x:c r="J4731" s="24" t="n">
        <x:v>4</x:v>
      </x:c>
      <x:c r="K4731" s="26" t="n">
        <x:v>0</x:v>
      </x:c>
      <x:c r="L4731" s="22" t="n">
        <x:v>55.89599999999996</x:v>
      </x:c>
      <x:c r="M4731" t="n">
        <x:v>2014</x:v>
      </x:c>
      <x:c r="N4731" s="20" t="n">
        <x:v>41944</x:v>
      </x:c>
    </x:row>
    <x:row r="4732" ht="18" customHeight="1">
      <x:c r="A4732" t="str">
        <x:v>CA-2014-119151</x:v>
      </x:c>
      <x:c r="B4732" s="18" t="n">
        <x:v>41968</x:v>
      </x:c>
      <x:c r="C4732" t="str">
        <x:v>MP-18175</x:v>
      </x:c>
      <x:c r="D4732" t="str">
        <x:v>Mike Pelletier</x:v>
      </x:c>
      <x:c r="E4732" t="str">
        <x:v>Home Office</x:v>
      </x:c>
      <x:c r="F4732" t="str">
        <x:v>East</x:v>
      </x:c>
      <x:c r="G4732" t="str">
        <x:v>Furniture</x:v>
      </x:c>
      <x:c r="H4732" t="str">
        <x:v>Bookcases</x:v>
      </x:c>
      <x:c r="I4732" s="22" t="n">
        <x:v>275.952</x:v>
      </x:c>
      <x:c r="J4732" s="24" t="n">
        <x:v>3</x:v>
      </x:c>
      <x:c r="K4732" s="26" t="n">
        <x:v>0.2</x:v>
      </x:c>
      <x:c r="L4732" s="22" t="n">
        <x:v>-37.943400000000025</x:v>
      </x:c>
      <x:c r="M4732" t="n">
        <x:v>2014</x:v>
      </x:c>
      <x:c r="N4732" s="20" t="n">
        <x:v>41944</x:v>
      </x:c>
    </x:row>
    <x:row r="4733" ht="18" customHeight="1">
      <x:c r="A4733" t="str">
        <x:v>CA-2014-123323</x:v>
      </x:c>
      <x:c r="B4733" s="18" t="n">
        <x:v>41950</x:v>
      </x:c>
      <x:c r="C4733" t="str">
        <x:v>LH-16900</x:v>
      </x:c>
      <x:c r="D4733" t="str">
        <x:v>Lena Hernandez</x:v>
      </x:c>
      <x:c r="E4733" t="str">
        <x:v>Consumer</x:v>
      </x:c>
      <x:c r="F4733" t="str">
        <x:v>West</x:v>
      </x:c>
      <x:c r="G4733" t="str">
        <x:v>Office Supplies</x:v>
      </x:c>
      <x:c r="H4733" t="str">
        <x:v>Binders</x:v>
      </x:c>
      <x:c r="I4733" s="22" t="n">
        <x:v>123.14399999999999</x:v>
      </x:c>
      <x:c r="J4733" s="24" t="n">
        <x:v>7</x:v>
      </x:c>
      <x:c r="K4733" s="26" t="n">
        <x:v>0.2</x:v>
      </x:c>
      <x:c r="L4733" s="22" t="n">
        <x:v>46.17899999999999</x:v>
      </x:c>
      <x:c r="M4733" t="n">
        <x:v>2014</x:v>
      </x:c>
      <x:c r="N4733" s="20" t="n">
        <x:v>41944</x:v>
      </x:c>
    </x:row>
    <x:row r="4734" ht="18" customHeight="1">
      <x:c r="A4734" t="str">
        <x:v>CA-2016-124681</x:v>
      </x:c>
      <x:c r="B4734" s="18" t="n">
        <x:v>42569</x:v>
      </x:c>
      <x:c r="C4734" t="str">
        <x:v>SV-20935</x:v>
      </x:c>
      <x:c r="D4734" t="str">
        <x:v>Susan Vittorini</x:v>
      </x:c>
      <x:c r="E4734" t="str">
        <x:v>Consumer</x:v>
      </x:c>
      <x:c r="F4734" t="str">
        <x:v>Central</x:v>
      </x:c>
      <x:c r="G4734" t="str">
        <x:v>Technology</x:v>
      </x:c>
      <x:c r="H4734" t="str">
        <x:v>Accessories</x:v>
      </x:c>
      <x:c r="I4734" s="22" t="n">
        <x:v>15.576</x:v>
      </x:c>
      <x:c r="J4734" s="24" t="n">
        <x:v>3</x:v>
      </x:c>
      <x:c r="K4734" s="26" t="n">
        <x:v>0.2</x:v>
      </x:c>
      <x:c r="L4734" s="22" t="n">
        <x:v>3.3099</x:v>
      </x:c>
      <x:c r="M4734" t="n">
        <x:v>2016</x:v>
      </x:c>
      <x:c r="N4734" s="20" t="n">
        <x:v>42552</x:v>
      </x:c>
    </x:row>
    <x:row r="4735" ht="18" customHeight="1">
      <x:c r="A4735" t="str">
        <x:v>US-2015-103996</x:v>
      </x:c>
      <x:c r="B4735" s="18" t="n">
        <x:v>42092</x:v>
      </x:c>
      <x:c r="C4735" t="str">
        <x:v>RB-19435</x:v>
      </x:c>
      <x:c r="D4735" t="str">
        <x:v>Richard Bierner</x:v>
      </x:c>
      <x:c r="E4735" t="str">
        <x:v>Consumer</x:v>
      </x:c>
      <x:c r="F4735" t="str">
        <x:v>West</x:v>
      </x:c>
      <x:c r="G4735" t="str">
        <x:v>Office Supplies</x:v>
      </x:c>
      <x:c r="H4735" t="str">
        <x:v>Paper</x:v>
      </x:c>
      <x:c r="I4735" s="22" t="n">
        <x:v>212.64</x:v>
      </x:c>
      <x:c r="J4735" s="24" t="n">
        <x:v>6</x:v>
      </x:c>
      <x:c r="K4735" s="26" t="n">
        <x:v>0</x:v>
      </x:c>
      <x:c r="L4735" s="22" t="n">
        <x:v>99.94079999999998</x:v>
      </x:c>
      <x:c r="M4735" t="n">
        <x:v>2015</x:v>
      </x:c>
      <x:c r="N4735" s="20" t="n">
        <x:v>42064</x:v>
      </x:c>
    </x:row>
    <x:row r="4736" ht="18" customHeight="1">
      <x:c r="A4736" t="str">
        <x:v>US-2015-103996</x:v>
      </x:c>
      <x:c r="B4736" s="18" t="n">
        <x:v>42092</x:v>
      </x:c>
      <x:c r="C4736" t="str">
        <x:v>RB-19435</x:v>
      </x:c>
      <x:c r="D4736" t="str">
        <x:v>Richard Bierner</x:v>
      </x:c>
      <x:c r="E4736" t="str">
        <x:v>Consumer</x:v>
      </x:c>
      <x:c r="F4736" t="str">
        <x:v>West</x:v>
      </x:c>
      <x:c r="G4736" t="str">
        <x:v>Office Supplies</x:v>
      </x:c>
      <x:c r="H4736" t="str">
        <x:v>Paper</x:v>
      </x:c>
      <x:c r="I4736" s="22" t="n">
        <x:v>9.870000000000001</x:v>
      </x:c>
      <x:c r="J4736" s="24" t="n">
        <x:v>3</x:v>
      </x:c>
      <x:c r="K4736" s="26" t="n">
        <x:v>0</x:v>
      </x:c>
      <x:c r="L4736" s="22" t="n">
        <x:v>4.5402</x:v>
      </x:c>
      <x:c r="M4736" t="n">
        <x:v>2015</x:v>
      </x:c>
      <x:c r="N4736" s="20" t="n">
        <x:v>42064</x:v>
      </x:c>
    </x:row>
    <x:row r="4737" ht="18" customHeight="1">
      <x:c r="A4737" t="str">
        <x:v>US-2015-103996</x:v>
      </x:c>
      <x:c r="B4737" s="18" t="n">
        <x:v>42092</x:v>
      </x:c>
      <x:c r="C4737" t="str">
        <x:v>RB-19435</x:v>
      </x:c>
      <x:c r="D4737" t="str">
        <x:v>Richard Bierner</x:v>
      </x:c>
      <x:c r="E4737" t="str">
        <x:v>Consumer</x:v>
      </x:c>
      <x:c r="F4737" t="str">
        <x:v>West</x:v>
      </x:c>
      <x:c r="G4737" t="str">
        <x:v>Technology</x:v>
      </x:c>
      <x:c r="H4737" t="str">
        <x:v>Accessories</x:v>
      </x:c>
      <x:c r="I4737" s="22" t="n">
        <x:v>53.25</x:v>
      </x:c>
      <x:c r="J4737" s="24" t="n">
        <x:v>3</x:v>
      </x:c>
      <x:c r="K4737" s="26" t="n">
        <x:v>0</x:v>
      </x:c>
      <x:c r="L4737" s="22" t="n">
        <x:v>20.7675</x:v>
      </x:c>
      <x:c r="M4737" t="n">
        <x:v>2015</x:v>
      </x:c>
      <x:c r="N4737" s="20" t="n">
        <x:v>42064</x:v>
      </x:c>
    </x:row>
    <x:row r="4738" ht="18" customHeight="1">
      <x:c r="A4738" t="str">
        <x:v>US-2015-103996</x:v>
      </x:c>
      <x:c r="B4738" s="18" t="n">
        <x:v>42092</x:v>
      </x:c>
      <x:c r="C4738" t="str">
        <x:v>RB-19435</x:v>
      </x:c>
      <x:c r="D4738" t="str">
        <x:v>Richard Bierner</x:v>
      </x:c>
      <x:c r="E4738" t="str">
        <x:v>Consumer</x:v>
      </x:c>
      <x:c r="F4738" t="str">
        <x:v>West</x:v>
      </x:c>
      <x:c r="G4738" t="str">
        <x:v>Furniture</x:v>
      </x:c>
      <x:c r="H4738" t="str">
        <x:v>Furnishings</x:v>
      </x:c>
      <x:c r="I4738" s="22" t="n">
        <x:v>19.919999999999998</x:v>
      </x:c>
      <x:c r="J4738" s="24" t="n">
        <x:v>3</x:v>
      </x:c>
      <x:c r="K4738" s="26" t="n">
        <x:v>0</x:v>
      </x:c>
      <x:c r="L4738" s="22" t="n">
        <x:v>9.561599999999999</x:v>
      </x:c>
      <x:c r="M4738" t="n">
        <x:v>2015</x:v>
      </x:c>
      <x:c r="N4738" s="20" t="n">
        <x:v>42064</x:v>
      </x:c>
    </x:row>
    <x:row r="4739" ht="18" customHeight="1">
      <x:c r="A4739" t="str">
        <x:v>CA-2016-120530</x:v>
      </x:c>
      <x:c r="B4739" s="18" t="n">
        <x:v>42467</x:v>
      </x:c>
      <x:c r="C4739" t="str">
        <x:v>Dl-13600</x:v>
      </x:c>
      <x:c r="D4739" t="str">
        <x:v>Dorris liebe</x:v>
      </x:c>
      <x:c r="E4739" t="str">
        <x:v>Corporate</x:v>
      </x:c>
      <x:c r="F4739" t="str">
        <x:v>East</x:v>
      </x:c>
      <x:c r="G4739" t="str">
        <x:v>Furniture</x:v>
      </x:c>
      <x:c r="H4739" t="str">
        <x:v>Chairs</x:v>
      </x:c>
      <x:c r="I4739" s="22" t="n">
        <x:v>658.746</x:v>
      </x:c>
      <x:c r="J4739" s="24" t="n">
        <x:v>3</x:v>
      </x:c>
      <x:c r="K4739" s="26" t="n">
        <x:v>0.1</x:v>
      </x:c>
      <x:c r="L4739" s="22" t="n">
        <x:v>146.38799999999998</x:v>
      </x:c>
      <x:c r="M4739" t="n">
        <x:v>2016</x:v>
      </x:c>
      <x:c r="N4739" s="20" t="n">
        <x:v>42461</x:v>
      </x:c>
    </x:row>
    <x:row r="4740" ht="18" customHeight="1">
      <x:c r="A4740" t="str">
        <x:v>CA-2015-155054</x:v>
      </x:c>
      <x:c r="B4740" s="18" t="n">
        <x:v>42168</x:v>
      </x:c>
      <x:c r="C4740" t="str">
        <x:v>PS-19045</x:v>
      </x:c>
      <x:c r="D4740" t="str">
        <x:v>Penelope Sewall</x:v>
      </x:c>
      <x:c r="E4740" t="str">
        <x:v>Home Office</x:v>
      </x:c>
      <x:c r="F4740" t="str">
        <x:v>East</x:v>
      </x:c>
      <x:c r="G4740" t="str">
        <x:v>Office Supplies</x:v>
      </x:c>
      <x:c r="H4740" t="str">
        <x:v>Binders</x:v>
      </x:c>
      <x:c r="I4740" s="22" t="n">
        <x:v>8.26</x:v>
      </x:c>
      <x:c r="J4740" s="24" t="n">
        <x:v>2</x:v>
      </x:c>
      <x:c r="K4740" s="26" t="n">
        <x:v>0</x:v>
      </x:c>
      <x:c r="L4740" s="22" t="n">
        <x:v>3.8822</x:v>
      </x:c>
      <x:c r="M4740" t="n">
        <x:v>2015</x:v>
      </x:c>
      <x:c r="N4740" s="20" t="n">
        <x:v>42156</x:v>
      </x:c>
    </x:row>
    <x:row r="4741" ht="18" customHeight="1">
      <x:c r="A4741" t="str">
        <x:v>CA-2015-155054</x:v>
      </x:c>
      <x:c r="B4741" s="18" t="n">
        <x:v>42168</x:v>
      </x:c>
      <x:c r="C4741" t="str">
        <x:v>PS-19045</x:v>
      </x:c>
      <x:c r="D4741" t="str">
        <x:v>Penelope Sewall</x:v>
      </x:c>
      <x:c r="E4741" t="str">
        <x:v>Home Office</x:v>
      </x:c>
      <x:c r="F4741" t="str">
        <x:v>East</x:v>
      </x:c>
      <x:c r="G4741" t="str">
        <x:v>Office Supplies</x:v>
      </x:c>
      <x:c r="H4741" t="str">
        <x:v>Binders</x:v>
      </x:c>
      <x:c r="I4741" s="22" t="n">
        <x:v>29.84</x:v>
      </x:c>
      <x:c r="J4741" s="24" t="n">
        <x:v>2</x:v>
      </x:c>
      <x:c r="K4741" s="26" t="n">
        <x:v>0</x:v>
      </x:c>
      <x:c r="L4741" s="22" t="n">
        <x:v>13.427999999999997</x:v>
      </x:c>
      <x:c r="M4741" t="n">
        <x:v>2015</x:v>
      </x:c>
      <x:c r="N4741" s="20" t="n">
        <x:v>42156</x:v>
      </x:c>
    </x:row>
    <x:row r="4742" ht="18" customHeight="1">
      <x:c r="A4742" t="str">
        <x:v>CA-2015-155054</x:v>
      </x:c>
      <x:c r="B4742" s="18" t="n">
        <x:v>42168</x:v>
      </x:c>
      <x:c r="C4742" t="str">
        <x:v>PS-19045</x:v>
      </x:c>
      <x:c r="D4742" t="str">
        <x:v>Penelope Sewall</x:v>
      </x:c>
      <x:c r="E4742" t="str">
        <x:v>Home Office</x:v>
      </x:c>
      <x:c r="F4742" t="str">
        <x:v>East</x:v>
      </x:c>
      <x:c r="G4742" t="str">
        <x:v>Technology</x:v>
      </x:c>
      <x:c r="H4742" t="str">
        <x:v>Accessories</x:v>
      </x:c>
      <x:c r="I4742" s="22" t="n">
        <x:v>67.98</x:v>
      </x:c>
      <x:c r="J4742" s="24" t="n">
        <x:v>2</x:v>
      </x:c>
      <x:c r="K4742" s="26" t="n">
        <x:v>0</x:v>
      </x:c>
      <x:c r="L4742" s="22" t="n">
        <x:v>14.955599999999997</x:v>
      </x:c>
      <x:c r="M4742" t="n">
        <x:v>2015</x:v>
      </x:c>
      <x:c r="N4742" s="20" t="n">
        <x:v>42156</x:v>
      </x:c>
    </x:row>
    <x:row r="4743" ht="18" customHeight="1">
      <x:c r="A4743" t="str">
        <x:v>CA-2015-105725</x:v>
      </x:c>
      <x:c r="B4743" s="18" t="n">
        <x:v>42053</x:v>
      </x:c>
      <x:c r="C4743" t="str">
        <x:v>GT-14755</x:v>
      </x:c>
      <x:c r="D4743" t="str">
        <x:v>Guy Thornton</x:v>
      </x:c>
      <x:c r="E4743" t="str">
        <x:v>Consumer</x:v>
      </x:c>
      <x:c r="F4743" t="str">
        <x:v>West</x:v>
      </x:c>
      <x:c r="G4743" t="str">
        <x:v>Office Supplies</x:v>
      </x:c>
      <x:c r="H4743" t="str">
        <x:v>Labels</x:v>
      </x:c>
      <x:c r="I4743" s="22" t="n">
        <x:v>61.06</x:v>
      </x:c>
      <x:c r="J4743" s="24" t="n">
        <x:v>2</x:v>
      </x:c>
      <x:c r="K4743" s="26" t="n">
        <x:v>0</x:v>
      </x:c>
      <x:c r="L4743" s="22" t="n">
        <x:v>28.087600000000002</x:v>
      </x:c>
      <x:c r="M4743" t="n">
        <x:v>2015</x:v>
      </x:c>
      <x:c r="N4743" s="20" t="n">
        <x:v>42036</x:v>
      </x:c>
    </x:row>
    <x:row r="4744" ht="18" customHeight="1">
      <x:c r="A4744" t="str">
        <x:v>CA-2015-105725</x:v>
      </x:c>
      <x:c r="B4744" s="18" t="n">
        <x:v>42053</x:v>
      </x:c>
      <x:c r="C4744" t="str">
        <x:v>GT-14755</x:v>
      </x:c>
      <x:c r="D4744" t="str">
        <x:v>Guy Thornton</x:v>
      </x:c>
      <x:c r="E4744" t="str">
        <x:v>Consumer</x:v>
      </x:c>
      <x:c r="F4744" t="str">
        <x:v>West</x:v>
      </x:c>
      <x:c r="G4744" t="str">
        <x:v>Furniture</x:v>
      </x:c>
      <x:c r="H4744" t="str">
        <x:v>Tables</x:v>
      </x:c>
      <x:c r="I4744" s="22" t="n">
        <x:v>35.544000000000004</x:v>
      </x:c>
      <x:c r="J4744" s="24" t="n">
        <x:v>1</x:v>
      </x:c>
      <x:c r="K4744" s="26" t="n">
        <x:v>0.2</x:v>
      </x:c>
      <x:c r="L4744" s="22" t="n">
        <x:v>-0.888600000000002</x:v>
      </x:c>
      <x:c r="M4744" t="n">
        <x:v>2015</x:v>
      </x:c>
      <x:c r="N4744" s="20" t="n">
        <x:v>42036</x:v>
      </x:c>
    </x:row>
    <x:row r="4745" ht="18" customHeight="1">
      <x:c r="A4745" t="str">
        <x:v>CA-2017-164364</x:v>
      </x:c>
      <x:c r="B4745" s="18" t="n">
        <x:v>43051</x:v>
      </x:c>
      <x:c r="C4745" t="str">
        <x:v>CS-12355</x:v>
      </x:c>
      <x:c r="D4745" t="str">
        <x:v>Christine Sundaresam</x:v>
      </x:c>
      <x:c r="E4745" t="str">
        <x:v>Consumer</x:v>
      </x:c>
      <x:c r="F4745" t="str">
        <x:v>West</x:v>
      </x:c>
      <x:c r="G4745" t="str">
        <x:v>Office Supplies</x:v>
      </x:c>
      <x:c r="H4745" t="str">
        <x:v>Labels</x:v>
      </x:c>
      <x:c r="I4745" s="22" t="n">
        <x:v>9.96</x:v>
      </x:c>
      <x:c r="J4745" s="24" t="n">
        <x:v>2</x:v>
      </x:c>
      <x:c r="K4745" s="26" t="n">
        <x:v>0</x:v>
      </x:c>
      <x:c r="L4745" s="22" t="n">
        <x:v>4.5816</x:v>
      </x:c>
      <x:c r="M4745" t="n">
        <x:v>2017</x:v>
      </x:c>
      <x:c r="N4745" s="20" t="n">
        <x:v>43040</x:v>
      </x:c>
    </x:row>
    <x:row r="4746" ht="18" customHeight="1">
      <x:c r="A4746" t="str">
        <x:v>CA-2017-164364</x:v>
      </x:c>
      <x:c r="B4746" s="18" t="n">
        <x:v>43051</x:v>
      </x:c>
      <x:c r="C4746" t="str">
        <x:v>CS-12355</x:v>
      </x:c>
      <x:c r="D4746" t="str">
        <x:v>Christine Sundaresam</x:v>
      </x:c>
      <x:c r="E4746" t="str">
        <x:v>Consumer</x:v>
      </x:c>
      <x:c r="F4746" t="str">
        <x:v>West</x:v>
      </x:c>
      <x:c r="G4746" t="str">
        <x:v>Office Supplies</x:v>
      </x:c>
      <x:c r="H4746" t="str">
        <x:v>Art</x:v>
      </x:c>
      <x:c r="I4746" s="22" t="n">
        <x:v>9.209999999999999</x:v>
      </x:c>
      <x:c r="J4746" s="24" t="n">
        <x:v>3</x:v>
      </x:c>
      <x:c r="K4746" s="26" t="n">
        <x:v>0</x:v>
      </x:c>
      <x:c r="L4746" s="22" t="n">
        <x:v>2.3025</x:v>
      </x:c>
      <x:c r="M4746" t="n">
        <x:v>2017</x:v>
      </x:c>
      <x:c r="N4746" s="20" t="n">
        <x:v>43040</x:v>
      </x:c>
    </x:row>
    <x:row r="4747" ht="18" customHeight="1">
      <x:c r="A4747" t="str">
        <x:v>CA-2017-164364</x:v>
      </x:c>
      <x:c r="B4747" s="18" t="n">
        <x:v>43051</x:v>
      </x:c>
      <x:c r="C4747" t="str">
        <x:v>CS-12355</x:v>
      </x:c>
      <x:c r="D4747" t="str">
        <x:v>Christine Sundaresam</x:v>
      </x:c>
      <x:c r="E4747" t="str">
        <x:v>Consumer</x:v>
      </x:c>
      <x:c r="F4747" t="str">
        <x:v>West</x:v>
      </x:c>
      <x:c r="G4747" t="str">
        <x:v>Office Supplies</x:v>
      </x:c>
      <x:c r="H4747" t="str">
        <x:v>Supplies</x:v>
      </x:c>
      <x:c r="I4747" s="22" t="n">
        <x:v>27.93</x:v>
      </x:c>
      <x:c r="J4747" s="24" t="n">
        <x:v>3</x:v>
      </x:c>
      <x:c r="K4747" s="26" t="n">
        <x:v>0</x:v>
      </x:c>
      <x:c r="L4747" s="22" t="n">
        <x:v>8.099699999999999</x:v>
      </x:c>
      <x:c r="M4747" t="n">
        <x:v>2017</x:v>
      </x:c>
      <x:c r="N4747" s="20" t="n">
        <x:v>43040</x:v>
      </x:c>
    </x:row>
    <x:row r="4748" ht="18" customHeight="1">
      <x:c r="A4748" t="str">
        <x:v>CA-2017-168123</x:v>
      </x:c>
      <x:c r="B4748" s="18" t="n">
        <x:v>42799</x:v>
      </x:c>
      <x:c r="C4748" t="str">
        <x:v>JD-16060</x:v>
      </x:c>
      <x:c r="D4748" t="str">
        <x:v>Julia Dunbar</x:v>
      </x:c>
      <x:c r="E4748" t="str">
        <x:v>Consumer</x:v>
      </x:c>
      <x:c r="F4748" t="str">
        <x:v>Central</x:v>
      </x:c>
      <x:c r="G4748" t="str">
        <x:v>Office Supplies</x:v>
      </x:c>
      <x:c r="H4748" t="str">
        <x:v>Fasteners</x:v>
      </x:c>
      <x:c r="I4748" s="22" t="n">
        <x:v>7.9</x:v>
      </x:c>
      <x:c r="J4748" s="24" t="n">
        <x:v>2</x:v>
      </x:c>
      <x:c r="K4748" s="26" t="n">
        <x:v>0</x:v>
      </x:c>
      <x:c r="L4748" s="22" t="n">
        <x:v>2.5279999999999996</x:v>
      </x:c>
      <x:c r="M4748" t="n">
        <x:v>2017</x:v>
      </x:c>
      <x:c r="N4748" s="20" t="n">
        <x:v>42795</x:v>
      </x:c>
    </x:row>
    <x:row r="4749" ht="18" customHeight="1">
      <x:c r="A4749" t="str">
        <x:v>CA-2017-168123</x:v>
      </x:c>
      <x:c r="B4749" s="18" t="n">
        <x:v>42799</x:v>
      </x:c>
      <x:c r="C4749" t="str">
        <x:v>JD-16060</x:v>
      </x:c>
      <x:c r="D4749" t="str">
        <x:v>Julia Dunbar</x:v>
      </x:c>
      <x:c r="E4749" t="str">
        <x:v>Consumer</x:v>
      </x:c>
      <x:c r="F4749" t="str">
        <x:v>Central</x:v>
      </x:c>
      <x:c r="G4749" t="str">
        <x:v>Office Supplies</x:v>
      </x:c>
      <x:c r="H4749" t="str">
        <x:v>Storage</x:v>
      </x:c>
      <x:c r="I4749" s="22" t="n">
        <x:v>221.16</x:v>
      </x:c>
      <x:c r="J4749" s="24" t="n">
        <x:v>4</x:v>
      </x:c>
      <x:c r="K4749" s="26" t="n">
        <x:v>0</x:v>
      </x:c>
      <x:c r="L4749" s="22" t="n">
        <x:v>57.501599999999996</x:v>
      </x:c>
      <x:c r="M4749" t="n">
        <x:v>2017</x:v>
      </x:c>
      <x:c r="N4749" s="20" t="n">
        <x:v>42795</x:v>
      </x:c>
    </x:row>
    <x:row r="4750" ht="18" customHeight="1">
      <x:c r="A4750" t="str">
        <x:v>CA-2017-168123</x:v>
      </x:c>
      <x:c r="B4750" s="18" t="n">
        <x:v>42799</x:v>
      </x:c>
      <x:c r="C4750" t="str">
        <x:v>JD-16060</x:v>
      </x:c>
      <x:c r="D4750" t="str">
        <x:v>Julia Dunbar</x:v>
      </x:c>
      <x:c r="E4750" t="str">
        <x:v>Consumer</x:v>
      </x:c>
      <x:c r="F4750" t="str">
        <x:v>Central</x:v>
      </x:c>
      <x:c r="G4750" t="str">
        <x:v>Office Supplies</x:v>
      </x:c>
      <x:c r="H4750" t="str">
        <x:v>Binders</x:v>
      </x:c>
      <x:c r="I4750" s="22" t="n">
        <x:v>127.96</x:v>
      </x:c>
      <x:c r="J4750" s="24" t="n">
        <x:v>2</x:v>
      </x:c>
      <x:c r="K4750" s="26" t="n">
        <x:v>0</x:v>
      </x:c>
      <x:c r="L4750" s="22" t="n">
        <x:v>62.7004</x:v>
      </x:c>
      <x:c r="M4750" t="n">
        <x:v>2017</x:v>
      </x:c>
      <x:c r="N4750" s="20" t="n">
        <x:v>42795</x:v>
      </x:c>
    </x:row>
    <x:row r="4751" ht="18" customHeight="1">
      <x:c r="A4751" t="str">
        <x:v>CA-2017-168123</x:v>
      </x:c>
      <x:c r="B4751" s="18" t="n">
        <x:v>42799</x:v>
      </x:c>
      <x:c r="C4751" t="str">
        <x:v>JD-16060</x:v>
      </x:c>
      <x:c r="D4751" t="str">
        <x:v>Julia Dunbar</x:v>
      </x:c>
      <x:c r="E4751" t="str">
        <x:v>Consumer</x:v>
      </x:c>
      <x:c r="F4751" t="str">
        <x:v>Central</x:v>
      </x:c>
      <x:c r="G4751" t="str">
        <x:v>Office Supplies</x:v>
      </x:c>
      <x:c r="H4751" t="str">
        <x:v>Binders</x:v>
      </x:c>
      <x:c r="I4751" s="22" t="n">
        <x:v>18.69</x:v>
      </x:c>
      <x:c r="J4751" s="24" t="n">
        <x:v>3</x:v>
      </x:c>
      <x:c r="K4751" s="26" t="n">
        <x:v>0</x:v>
      </x:c>
      <x:c r="L4751" s="22" t="n">
        <x:v>9.158100000000001</x:v>
      </x:c>
      <x:c r="M4751" t="n">
        <x:v>2017</x:v>
      </x:c>
      <x:c r="N4751" s="20" t="n">
        <x:v>42795</x:v>
      </x:c>
    </x:row>
    <x:row r="4752" ht="18" customHeight="1">
      <x:c r="A4752" t="str">
        <x:v>CA-2016-120005</x:v>
      </x:c>
      <x:c r="B4752" s="18" t="n">
        <x:v>42432</x:v>
      </x:c>
      <x:c r="C4752" t="str">
        <x:v>TS-21160</x:v>
      </x:c>
      <x:c r="D4752" t="str">
        <x:v>Theresa Swint</x:v>
      </x:c>
      <x:c r="E4752" t="str">
        <x:v>Corporate</x:v>
      </x:c>
      <x:c r="F4752" t="str">
        <x:v>West</x:v>
      </x:c>
      <x:c r="G4752" t="str">
        <x:v>Office Supplies</x:v>
      </x:c>
      <x:c r="H4752" t="str">
        <x:v>Supplies</x:v>
      </x:c>
      <x:c r="I4752" s="22" t="n">
        <x:v>25.349999999999998</x:v>
      </x:c>
      <x:c r="J4752" s="24" t="n">
        <x:v>3</x:v>
      </x:c>
      <x:c r="K4752" s="26" t="n">
        <x:v>0</x:v>
      </x:c>
      <x:c r="L4752" s="22" t="n">
        <x:v>7.604999999999998</x:v>
      </x:c>
      <x:c r="M4752" t="n">
        <x:v>2016</x:v>
      </x:c>
      <x:c r="N4752" s="20" t="n">
        <x:v>42430</x:v>
      </x:c>
    </x:row>
    <x:row r="4753" ht="18" customHeight="1">
      <x:c r="A4753" t="str">
        <x:v>CA-2016-120005</x:v>
      </x:c>
      <x:c r="B4753" s="18" t="n">
        <x:v>42432</x:v>
      </x:c>
      <x:c r="C4753" t="str">
        <x:v>TS-21160</x:v>
      </x:c>
      <x:c r="D4753" t="str">
        <x:v>Theresa Swint</x:v>
      </x:c>
      <x:c r="E4753" t="str">
        <x:v>Corporate</x:v>
      </x:c>
      <x:c r="F4753" t="str">
        <x:v>West</x:v>
      </x:c>
      <x:c r="G4753" t="str">
        <x:v>Furniture</x:v>
      </x:c>
      <x:c r="H4753" t="str">
        <x:v>Furnishings</x:v>
      </x:c>
      <x:c r="I4753" s="22" t="n">
        <x:v>35.28</x:v>
      </x:c>
      <x:c r="J4753" s="24" t="n">
        <x:v>3</x:v>
      </x:c>
      <x:c r="K4753" s="26" t="n">
        <x:v>0</x:v>
      </x:c>
      <x:c r="L4753" s="22" t="n">
        <x:v>11.995199999999997</x:v>
      </x:c>
      <x:c r="M4753" t="n">
        <x:v>2016</x:v>
      </x:c>
      <x:c r="N4753" s="20" t="n">
        <x:v>42430</x:v>
      </x:c>
    </x:row>
    <x:row r="4754" ht="18" customHeight="1">
      <x:c r="A4754" t="str">
        <x:v>CA-2016-123526</x:v>
      </x:c>
      <x:c r="B4754" s="18" t="n">
        <x:v>42728</x:v>
      </x:c>
      <x:c r="C4754" t="str">
        <x:v>BV-11245</x:v>
      </x:c>
      <x:c r="D4754" t="str">
        <x:v>Benjamin Venier</x:v>
      </x:c>
      <x:c r="E4754" t="str">
        <x:v>Corporate</x:v>
      </x:c>
      <x:c r="F4754" t="str">
        <x:v>West</x:v>
      </x:c>
      <x:c r="G4754" t="str">
        <x:v>Office Supplies</x:v>
      </x:c>
      <x:c r="H4754" t="str">
        <x:v>Paper</x:v>
      </x:c>
      <x:c r="I4754" s="22" t="n">
        <x:v>33.4</x:v>
      </x:c>
      <x:c r="J4754" s="24" t="n">
        <x:v>5</x:v>
      </x:c>
      <x:c r="K4754" s="26" t="n">
        <x:v>0</x:v>
      </x:c>
      <x:c r="L4754" s="22" t="n">
        <x:v>16.032</x:v>
      </x:c>
      <x:c r="M4754" t="n">
        <x:v>2016</x:v>
      </x:c>
      <x:c r="N4754" s="20" t="n">
        <x:v>42705</x:v>
      </x:c>
    </x:row>
    <x:row r="4755" ht="18" customHeight="1">
      <x:c r="A4755" t="str">
        <x:v>CA-2016-127649</x:v>
      </x:c>
      <x:c r="B4755" s="18" t="n">
        <x:v>42650</x:v>
      </x:c>
      <x:c r="C4755" t="str">
        <x:v>DL-13495</x:v>
      </x:c>
      <x:c r="D4755" t="str">
        <x:v>Dionis Lloyd</x:v>
      </x:c>
      <x:c r="E4755" t="str">
        <x:v>Corporate</x:v>
      </x:c>
      <x:c r="F4755" t="str">
        <x:v>West</x:v>
      </x:c>
      <x:c r="G4755" t="str">
        <x:v>Technology</x:v>
      </x:c>
      <x:c r="H4755" t="str">
        <x:v>Machines</x:v>
      </x:c>
      <x:c r="I4755" s="22" t="n">
        <x:v>837.5999999999999</x:v>
      </x:c>
      <x:c r="J4755" s="24" t="n">
        <x:v>3</x:v>
      </x:c>
      <x:c r="K4755" s="26" t="n">
        <x:v>0.2</x:v>
      </x:c>
      <x:c r="L4755" s="22" t="n">
        <x:v>62.82000000000005</x:v>
      </x:c>
      <x:c r="M4755" t="n">
        <x:v>2016</x:v>
      </x:c>
      <x:c r="N4755" s="20" t="n">
        <x:v>42644</x:v>
      </x:c>
    </x:row>
    <x:row r="4756" ht="18" customHeight="1">
      <x:c r="A4756" t="str">
        <x:v>CA-2016-159989</x:v>
      </x:c>
      <x:c r="B4756" s="18" t="n">
        <x:v>42713</x:v>
      </x:c>
      <x:c r="C4756" t="str">
        <x:v>EB-13870</x:v>
      </x:c>
      <x:c r="D4756" t="str">
        <x:v>Emily Burns</x:v>
      </x:c>
      <x:c r="E4756" t="str">
        <x:v>Consumer</x:v>
      </x:c>
      <x:c r="F4756" t="str">
        <x:v>South</x:v>
      </x:c>
      <x:c r="G4756" t="str">
        <x:v>Technology</x:v>
      </x:c>
      <x:c r="H4756" t="str">
        <x:v>Phones</x:v>
      </x:c>
      <x:c r="I4756" s="22" t="n">
        <x:v>40.68</x:v>
      </x:c>
      <x:c r="J4756" s="24" t="n">
        <x:v>3</x:v>
      </x:c>
      <x:c r="K4756" s="26" t="n">
        <x:v>0.2</x:v>
      </x:c>
      <x:c r="L4756" s="22" t="n">
        <x:v>-9.153000000000004</x:v>
      </x:c>
      <x:c r="M4756" t="n">
        <x:v>2016</x:v>
      </x:c>
      <x:c r="N4756" s="20" t="n">
        <x:v>42705</x:v>
      </x:c>
    </x:row>
    <x:row r="4757" ht="18" customHeight="1">
      <x:c r="A4757" t="str">
        <x:v>CA-2017-103499</x:v>
      </x:c>
      <x:c r="B4757" s="18" t="n">
        <x:v>43059</x:v>
      </x:c>
      <x:c r="C4757" t="str">
        <x:v>ES-14020</x:v>
      </x:c>
      <x:c r="D4757" t="str">
        <x:v>Erica Smith</x:v>
      </x:c>
      <x:c r="E4757" t="str">
        <x:v>Consumer</x:v>
      </x:c>
      <x:c r="F4757" t="str">
        <x:v>South</x:v>
      </x:c>
      <x:c r="G4757" t="str">
        <x:v>Furniture</x:v>
      </x:c>
      <x:c r="H4757" t="str">
        <x:v>Chairs</x:v>
      </x:c>
      <x:c r="I4757" s="22" t="n">
        <x:v>209.56799999999998</x:v>
      </x:c>
      <x:c r="J4757" s="24" t="n">
        <x:v>2</x:v>
      </x:c>
      <x:c r="K4757" s="26" t="n">
        <x:v>0.2</x:v>
      </x:c>
      <x:c r="L4757" s="22" t="n">
        <x:v>-23.576400000000007</x:v>
      </x:c>
      <x:c r="M4757" t="n">
        <x:v>2017</x:v>
      </x:c>
      <x:c r="N4757" s="20" t="n">
        <x:v>43040</x:v>
      </x:c>
    </x:row>
    <x:row r="4758" ht="18" customHeight="1">
      <x:c r="A4758" t="str">
        <x:v>US-2015-167220</x:v>
      </x:c>
      <x:c r="B4758" s="18" t="n">
        <x:v>42350</x:v>
      </x:c>
      <x:c r="C4758" t="str">
        <x:v>JB-15925</x:v>
      </x:c>
      <x:c r="D4758" t="str">
        <x:v>Joni Blumstein</x:v>
      </x:c>
      <x:c r="E4758" t="str">
        <x:v>Consumer</x:v>
      </x:c>
      <x:c r="F4758" t="str">
        <x:v>Central</x:v>
      </x:c>
      <x:c r="G4758" t="str">
        <x:v>Technology</x:v>
      </x:c>
      <x:c r="H4758" t="str">
        <x:v>Accessories</x:v>
      </x:c>
      <x:c r="I4758" s="22" t="n">
        <x:v>22.368000000000002</x:v>
      </x:c>
      <x:c r="J4758" s="24" t="n">
        <x:v>4</x:v>
      </x:c>
      <x:c r="K4758" s="26" t="n">
        <x:v>0.2</x:v>
      </x:c>
      <x:c r="L4758" s="22" t="n">
        <x:v>6.430800000000001</x:v>
      </x:c>
      <x:c r="M4758" t="n">
        <x:v>2015</x:v>
      </x:c>
      <x:c r="N4758" s="20" t="n">
        <x:v>42339</x:v>
      </x:c>
    </x:row>
    <x:row r="4759" ht="18" customHeight="1">
      <x:c r="A4759" t="str">
        <x:v>CA-2017-126354</x:v>
      </x:c>
      <x:c r="B4759" s="18" t="n">
        <x:v>42769</x:v>
      </x:c>
      <x:c r="C4759" t="str">
        <x:v>SC-20380</x:v>
      </x:c>
      <x:c r="D4759" t="str">
        <x:v>Shahid Collister</x:v>
      </x:c>
      <x:c r="E4759" t="str">
        <x:v>Consumer</x:v>
      </x:c>
      <x:c r="F4759" t="str">
        <x:v>South</x:v>
      </x:c>
      <x:c r="G4759" t="str">
        <x:v>Office Supplies</x:v>
      </x:c>
      <x:c r="H4759" t="str">
        <x:v>Binders</x:v>
      </x:c>
      <x:c r="I4759" s="22" t="n">
        <x:v>3.8820000000000006</x:v>
      </x:c>
      <x:c r="J4759" s="24" t="n">
        <x:v>2</x:v>
      </x:c>
      <x:c r="K4759" s="26" t="n">
        <x:v>0.7</x:v>
      </x:c>
      <x:c r="L4759" s="22" t="n">
        <x:v>-2.588</x:v>
      </x:c>
      <x:c r="M4759" t="n">
        <x:v>2017</x:v>
      </x:c>
      <x:c r="N4759" s="20" t="n">
        <x:v>42767</x:v>
      </x:c>
    </x:row>
    <x:row r="4760" ht="18" customHeight="1">
      <x:c r="A4760" t="str">
        <x:v>CA-2017-126354</x:v>
      </x:c>
      <x:c r="B4760" s="18" t="n">
        <x:v>42769</x:v>
      </x:c>
      <x:c r="C4760" t="str">
        <x:v>SC-20380</x:v>
      </x:c>
      <x:c r="D4760" t="str">
        <x:v>Shahid Collister</x:v>
      </x:c>
      <x:c r="E4760" t="str">
        <x:v>Consumer</x:v>
      </x:c>
      <x:c r="F4760" t="str">
        <x:v>South</x:v>
      </x:c>
      <x:c r="G4760" t="str">
        <x:v>Office Supplies</x:v>
      </x:c>
      <x:c r="H4760" t="str">
        <x:v>Paper</x:v>
      </x:c>
      <x:c r="I4760" s="22" t="n">
        <x:v>115.296</x:v>
      </x:c>
      <x:c r="J4760" s="24" t="n">
        <x:v>3</x:v>
      </x:c>
      <x:c r="K4760" s="26" t="n">
        <x:v>0.2</x:v>
      </x:c>
      <x:c r="L4760" s="22" t="n">
        <x:v>40.353599999999986</x:v>
      </x:c>
      <x:c r="M4760" t="n">
        <x:v>2017</x:v>
      </x:c>
      <x:c r="N4760" s="20" t="n">
        <x:v>42767</x:v>
      </x:c>
    </x:row>
    <x:row r="4761" ht="18" customHeight="1">
      <x:c r="A4761" t="str">
        <x:v>CA-2017-169817</x:v>
      </x:c>
      <x:c r="B4761" s="18" t="n">
        <x:v>42999</x:v>
      </x:c>
      <x:c r="C4761" t="str">
        <x:v>EB-13870</x:v>
      </x:c>
      <x:c r="D4761" t="str">
        <x:v>Emily Burns</x:v>
      </x:c>
      <x:c r="E4761" t="str">
        <x:v>Consumer</x:v>
      </x:c>
      <x:c r="F4761" t="str">
        <x:v>East</x:v>
      </x:c>
      <x:c r="G4761" t="str">
        <x:v>Office Supplies</x:v>
      </x:c>
      <x:c r="H4761" t="str">
        <x:v>Binders</x:v>
      </x:c>
      <x:c r="I4761" s="22" t="n">
        <x:v>1.9080000000000004</x:v>
      </x:c>
      <x:c r="J4761" s="24" t="n">
        <x:v>2</x:v>
      </x:c>
      <x:c r="K4761" s="26" t="n">
        <x:v>0.7</x:v>
      </x:c>
      <x:c r="L4761" s="22" t="n">
        <x:v>-1.5264000000000002</x:v>
      </x:c>
      <x:c r="M4761" t="n">
        <x:v>2017</x:v>
      </x:c>
      <x:c r="N4761" s="20" t="n">
        <x:v>42979</x:v>
      </x:c>
    </x:row>
    <x:row r="4762" ht="18" customHeight="1">
      <x:c r="A4762" t="str">
        <x:v>US-2017-144582</x:v>
      </x:c>
      <x:c r="B4762" s="18" t="n">
        <x:v>42855</x:v>
      </x:c>
      <x:c r="C4762" t="str">
        <x:v>TC-21475</x:v>
      </x:c>
      <x:c r="D4762" t="str">
        <x:v>Tony Chapman</x:v>
      </x:c>
      <x:c r="E4762" t="str">
        <x:v>Home Office</x:v>
      </x:c>
      <x:c r="F4762" t="str">
        <x:v>Central</x:v>
      </x:c>
      <x:c r="G4762" t="str">
        <x:v>Office Supplies</x:v>
      </x:c>
      <x:c r="H4762" t="str">
        <x:v>Binders</x:v>
      </x:c>
      <x:c r="I4762" s="22" t="n">
        <x:v>43.37199999999999</x:v>
      </x:c>
      <x:c r="J4762" s="24" t="n">
        <x:v>7</x:v>
      </x:c>
      <x:c r="K4762" s="26" t="n">
        <x:v>0.8</x:v>
      </x:c>
      <x:c r="L4762" s="22" t="n">
        <x:v>-69.39520000000003</x:v>
      </x:c>
      <x:c r="M4762" t="n">
        <x:v>2017</x:v>
      </x:c>
      <x:c r="N4762" s="20" t="n">
        <x:v>42826</x:v>
      </x:c>
    </x:row>
    <x:row r="4763" ht="18" customHeight="1">
      <x:c r="A4763" t="str">
        <x:v>CA-2014-121573</x:v>
      </x:c>
      <x:c r="B4763" s="18" t="n">
        <x:v>41946</x:v>
      </x:c>
      <x:c r="C4763" t="str">
        <x:v>SG-20605</x:v>
      </x:c>
      <x:c r="D4763" t="str">
        <x:v>Speros Goranitis</x:v>
      </x:c>
      <x:c r="E4763" t="str">
        <x:v>Consumer</x:v>
      </x:c>
      <x:c r="F4763" t="str">
        <x:v>East</x:v>
      </x:c>
      <x:c r="G4763" t="str">
        <x:v>Technology</x:v>
      </x:c>
      <x:c r="H4763" t="str">
        <x:v>Phones</x:v>
      </x:c>
      <x:c r="I4763" s="22" t="n">
        <x:v>783.96</x:v>
      </x:c>
      <x:c r="J4763" s="24" t="n">
        <x:v>4</x:v>
      </x:c>
      <x:c r="K4763" s="26" t="n">
        <x:v>0</x:v>
      </x:c>
      <x:c r="L4763" s="22" t="n">
        <x:v>219.50880000000006</x:v>
      </x:c>
      <x:c r="M4763" t="n">
        <x:v>2014</x:v>
      </x:c>
      <x:c r="N4763" s="20" t="n">
        <x:v>41944</x:v>
      </x:c>
    </x:row>
    <x:row r="4764" ht="18" customHeight="1">
      <x:c r="A4764" t="str">
        <x:v>CA-2014-121573</x:v>
      </x:c>
      <x:c r="B4764" s="18" t="n">
        <x:v>41946</x:v>
      </x:c>
      <x:c r="C4764" t="str">
        <x:v>SG-20605</x:v>
      </x:c>
      <x:c r="D4764" t="str">
        <x:v>Speros Goranitis</x:v>
      </x:c>
      <x:c r="E4764" t="str">
        <x:v>Consumer</x:v>
      </x:c>
      <x:c r="F4764" t="str">
        <x:v>East</x:v>
      </x:c>
      <x:c r="G4764" t="str">
        <x:v>Office Supplies</x:v>
      </x:c>
      <x:c r="H4764" t="str">
        <x:v>Binders</x:v>
      </x:c>
      <x:c r="I4764" s="22" t="n">
        <x:v>48.896</x:v>
      </x:c>
      <x:c r="J4764" s="24" t="n">
        <x:v>2</x:v>
      </x:c>
      <x:c r="K4764" s="26" t="n">
        <x:v>0.2</x:v>
      </x:c>
      <x:c r="L4764" s="22" t="n">
        <x:v>18.336</x:v>
      </x:c>
      <x:c r="M4764" t="n">
        <x:v>2014</x:v>
      </x:c>
      <x:c r="N4764" s="20" t="n">
        <x:v>41944</x:v>
      </x:c>
    </x:row>
    <x:row r="4765" ht="18" customHeight="1">
      <x:c r="A4765" t="str">
        <x:v>CA-2014-121573</x:v>
      </x:c>
      <x:c r="B4765" s="18" t="n">
        <x:v>41946</x:v>
      </x:c>
      <x:c r="C4765" t="str">
        <x:v>SG-20605</x:v>
      </x:c>
      <x:c r="D4765" t="str">
        <x:v>Speros Goranitis</x:v>
      </x:c>
      <x:c r="E4765" t="str">
        <x:v>Consumer</x:v>
      </x:c>
      <x:c r="F4765" t="str">
        <x:v>East</x:v>
      </x:c>
      <x:c r="G4765" t="str">
        <x:v>Office Supplies</x:v>
      </x:c>
      <x:c r="H4765" t="str">
        <x:v>Binders</x:v>
      </x:c>
      <x:c r="I4765" s="22" t="n">
        <x:v>7.856000000000001</x:v>
      </x:c>
      <x:c r="J4765" s="24" t="n">
        <x:v>2</x:v>
      </x:c>
      <x:c r="K4765" s="26" t="n">
        <x:v>0.2</x:v>
      </x:c>
      <x:c r="L4765" s="22" t="n">
        <x:v>2.8477999999999994</x:v>
      </x:c>
      <x:c r="M4765" t="n">
        <x:v>2014</x:v>
      </x:c>
      <x:c r="N4765" s="20" t="n">
        <x:v>41944</x:v>
      </x:c>
    </x:row>
    <x:row r="4766" ht="18" customHeight="1">
      <x:c r="A4766" t="str">
        <x:v>CA-2016-117660</x:v>
      </x:c>
      <x:c r="B4766" s="18" t="n">
        <x:v>42734</x:v>
      </x:c>
      <x:c r="C4766" t="str">
        <x:v>BM-11785</x:v>
      </x:c>
      <x:c r="D4766" t="str">
        <x:v>Bryan Mills</x:v>
      </x:c>
      <x:c r="E4766" t="str">
        <x:v>Consumer</x:v>
      </x:c>
      <x:c r="F4766" t="str">
        <x:v>East</x:v>
      </x:c>
      <x:c r="G4766" t="str">
        <x:v>Office Supplies</x:v>
      </x:c>
      <x:c r="H4766" t="str">
        <x:v>Labels</x:v>
      </x:c>
      <x:c r="I4766" s="22" t="n">
        <x:v>5.904</x:v>
      </x:c>
      <x:c r="J4766" s="24" t="n">
        <x:v>2</x:v>
      </x:c>
      <x:c r="K4766" s="26" t="n">
        <x:v>0.2</x:v>
      </x:c>
      <x:c r="L4766" s="22" t="n">
        <x:v>1.9926</x:v>
      </x:c>
      <x:c r="M4766" t="n">
        <x:v>2016</x:v>
      </x:c>
      <x:c r="N4766" s="20" t="n">
        <x:v>42705</x:v>
      </x:c>
    </x:row>
    <x:row r="4767" ht="18" customHeight="1">
      <x:c r="A4767" t="str">
        <x:v>CA-2016-117660</x:v>
      </x:c>
      <x:c r="B4767" s="18" t="n">
        <x:v>42734</x:v>
      </x:c>
      <x:c r="C4767" t="str">
        <x:v>BM-11785</x:v>
      </x:c>
      <x:c r="D4767" t="str">
        <x:v>Bryan Mills</x:v>
      </x:c>
      <x:c r="E4767" t="str">
        <x:v>Consumer</x:v>
      </x:c>
      <x:c r="F4767" t="str">
        <x:v>East</x:v>
      </x:c>
      <x:c r="G4767" t="str">
        <x:v>Office Supplies</x:v>
      </x:c>
      <x:c r="H4767" t="str">
        <x:v>Supplies</x:v>
      </x:c>
      <x:c r="I4767" s="22" t="n">
        <x:v>13.712000000000002</x:v>
      </x:c>
      <x:c r="J4767" s="24" t="n">
        <x:v>2</x:v>
      </x:c>
      <x:c r="K4767" s="26" t="n">
        <x:v>0.2</x:v>
      </x:c>
      <x:c r="L4767" s="22" t="n">
        <x:v>1.0284</x:v>
      </x:c>
      <x:c r="M4767" t="n">
        <x:v>2016</x:v>
      </x:c>
      <x:c r="N4767" s="20" t="n">
        <x:v>42705</x:v>
      </x:c>
    </x:row>
    <x:row r="4768" ht="18" customHeight="1">
      <x:c r="A4768" t="str">
        <x:v>CA-2014-112851</x:v>
      </x:c>
      <x:c r="B4768" s="18" t="n">
        <x:v>41899</x:v>
      </x:c>
      <x:c r="C4768" t="str">
        <x:v>NR-18550</x:v>
      </x:c>
      <x:c r="D4768" t="str">
        <x:v>Nick Radford</x:v>
      </x:c>
      <x:c r="E4768" t="str">
        <x:v>Consumer</x:v>
      </x:c>
      <x:c r="F4768" t="str">
        <x:v>West</x:v>
      </x:c>
      <x:c r="G4768" t="str">
        <x:v>Office Supplies</x:v>
      </x:c>
      <x:c r="H4768" t="str">
        <x:v>Envelopes</x:v>
      </x:c>
      <x:c r="I4768" s="22" t="n">
        <x:v>182.94</x:v>
      </x:c>
      <x:c r="J4768" s="24" t="n">
        <x:v>3</x:v>
      </x:c>
      <x:c r="K4768" s="26" t="n">
        <x:v>0</x:v>
      </x:c>
      <x:c r="L4768" s="22" t="n">
        <x:v>85.98179999999999</x:v>
      </x:c>
      <x:c r="M4768" t="n">
        <x:v>2014</x:v>
      </x:c>
      <x:c r="N4768" s="20" t="n">
        <x:v>41883</x:v>
      </x:c>
    </x:row>
    <x:row r="4769" ht="18" customHeight="1">
      <x:c r="A4769" t="str">
        <x:v>CA-2017-123701</x:v>
      </x:c>
      <x:c r="B4769" s="18" t="n">
        <x:v>43063</x:v>
      </x:c>
      <x:c r="C4769" t="str">
        <x:v>PG-18820</x:v>
      </x:c>
      <x:c r="D4769" t="str">
        <x:v>Patrick Gardner</x:v>
      </x:c>
      <x:c r="E4769" t="str">
        <x:v>Consumer</x:v>
      </x:c>
      <x:c r="F4769" t="str">
        <x:v>West</x:v>
      </x:c>
      <x:c r="G4769" t="str">
        <x:v>Office Supplies</x:v>
      </x:c>
      <x:c r="H4769" t="str">
        <x:v>Art</x:v>
      </x:c>
      <x:c r="I4769" s="22" t="n">
        <x:v>27.76</x:v>
      </x:c>
      <x:c r="J4769" s="24" t="n">
        <x:v>4</x:v>
      </x:c>
      <x:c r="K4769" s="26" t="n">
        <x:v>0</x:v>
      </x:c>
      <x:c r="L4769" s="22" t="n">
        <x:v>9.9936</x:v>
      </x:c>
      <x:c r="M4769" t="n">
        <x:v>2017</x:v>
      </x:c>
      <x:c r="N4769" s="20" t="n">
        <x:v>43040</x:v>
      </x:c>
    </x:row>
    <x:row r="4770" ht="18" customHeight="1">
      <x:c r="A4770" t="str">
        <x:v>CA-2015-118227</x:v>
      </x:c>
      <x:c r="B4770" s="18" t="n">
        <x:v>42118</x:v>
      </x:c>
      <x:c r="C4770" t="str">
        <x:v>DB-13270</x:v>
      </x:c>
      <x:c r="D4770" t="str">
        <x:v>Deborah Brumfield</x:v>
      </x:c>
      <x:c r="E4770" t="str">
        <x:v>Home Office</x:v>
      </x:c>
      <x:c r="F4770" t="str">
        <x:v>East</x:v>
      </x:c>
      <x:c r="G4770" t="str">
        <x:v>Office Supplies</x:v>
      </x:c>
      <x:c r="H4770" t="str">
        <x:v>Art</x:v>
      </x:c>
      <x:c r="I4770" s="22" t="n">
        <x:v>25.99</x:v>
      </x:c>
      <x:c r="J4770" s="24" t="n">
        <x:v>1</x:v>
      </x:c>
      <x:c r="K4770" s="26" t="n">
        <x:v>0</x:v>
      </x:c>
      <x:c r="L4770" s="22" t="n">
        <x:v>7.537099999999999</x:v>
      </x:c>
      <x:c r="M4770" t="n">
        <x:v>2015</x:v>
      </x:c>
      <x:c r="N4770" s="20" t="n">
        <x:v>42095</x:v>
      </x:c>
    </x:row>
    <x:row r="4771" ht="18" customHeight="1">
      <x:c r="A4771" t="str">
        <x:v>CA-2015-123155</x:v>
      </x:c>
      <x:c r="B4771" s="18" t="n">
        <x:v>42072</x:v>
      </x:c>
      <x:c r="C4771" t="str">
        <x:v>NS-18640</x:v>
      </x:c>
      <x:c r="D4771" t="str">
        <x:v>Noel Staavos</x:v>
      </x:c>
      <x:c r="E4771" t="str">
        <x:v>Corporate</x:v>
      </x:c>
      <x:c r="F4771" t="str">
        <x:v>Central</x:v>
      </x:c>
      <x:c r="G4771" t="str">
        <x:v>Technology</x:v>
      </x:c>
      <x:c r="H4771" t="str">
        <x:v>Accessories</x:v>
      </x:c>
      <x:c r="I4771" s="22" t="n">
        <x:v>113.52000000000001</x:v>
      </x:c>
      <x:c r="J4771" s="24" t="n">
        <x:v>5</x:v>
      </x:c>
      <x:c r="K4771" s="26" t="n">
        <x:v>0.2</x:v>
      </x:c>
      <x:c r="L4771" s="22" t="n">
        <x:v>29.799</x:v>
      </x:c>
      <x:c r="M4771" t="n">
        <x:v>2015</x:v>
      </x:c>
      <x:c r="N4771" s="20" t="n">
        <x:v>42064</x:v>
      </x:c>
    </x:row>
    <x:row r="4772" ht="18" customHeight="1">
      <x:c r="A4772" t="str">
        <x:v>CA-2015-123155</x:v>
      </x:c>
      <x:c r="B4772" s="18" t="n">
        <x:v>42072</x:v>
      </x:c>
      <x:c r="C4772" t="str">
        <x:v>NS-18640</x:v>
      </x:c>
      <x:c r="D4772" t="str">
        <x:v>Noel Staavos</x:v>
      </x:c>
      <x:c r="E4772" t="str">
        <x:v>Corporate</x:v>
      </x:c>
      <x:c r="F4772" t="str">
        <x:v>Central</x:v>
      </x:c>
      <x:c r="G4772" t="str">
        <x:v>Technology</x:v>
      </x:c>
      <x:c r="H4772" t="str">
        <x:v>Phones</x:v>
      </x:c>
      <x:c r="I4772" s="22" t="n">
        <x:v>359.88</x:v>
      </x:c>
      <x:c r="J4772" s="24" t="n">
        <x:v>3</x:v>
      </x:c>
      <x:c r="K4772" s="26" t="n">
        <x:v>0.2</x:v>
      </x:c>
      <x:c r="L4772" s="22" t="n">
        <x:v>22.492499999999993</x:v>
      </x:c>
      <x:c r="M4772" t="n">
        <x:v>2015</x:v>
      </x:c>
      <x:c r="N4772" s="20" t="n">
        <x:v>42064</x:v>
      </x:c>
    </x:row>
    <x:row r="4773" ht="18" customHeight="1">
      <x:c r="A4773" t="str">
        <x:v>CA-2017-158883</x:v>
      </x:c>
      <x:c r="B4773" s="18" t="n">
        <x:v>42888</x:v>
      </x:c>
      <x:c r="C4773" t="str">
        <x:v>CS-11860</x:v>
      </x:c>
      <x:c r="D4773" t="str">
        <x:v>Cari Schnelling</x:v>
      </x:c>
      <x:c r="E4773" t="str">
        <x:v>Consumer</x:v>
      </x:c>
      <x:c r="F4773" t="str">
        <x:v>South</x:v>
      </x:c>
      <x:c r="G4773" t="str">
        <x:v>Office Supplies</x:v>
      </x:c>
      <x:c r="H4773" t="str">
        <x:v>Paper</x:v>
      </x:c>
      <x:c r="I4773" s="22" t="n">
        <x:v>25.344</x:v>
      </x:c>
      <x:c r="J4773" s="24" t="n">
        <x:v>4</x:v>
      </x:c>
      <x:c r="K4773" s="26" t="n">
        <x:v>0.2</x:v>
      </x:c>
      <x:c r="L4773" s="22" t="n">
        <x:v>9.187199999999999</x:v>
      </x:c>
      <x:c r="M4773" t="n">
        <x:v>2017</x:v>
      </x:c>
      <x:c r="N4773" s="20" t="n">
        <x:v>42887</x:v>
      </x:c>
    </x:row>
    <x:row r="4774" ht="18" customHeight="1">
      <x:c r="A4774" t="str">
        <x:v>US-2016-114888</x:v>
      </x:c>
      <x:c r="B4774" s="18" t="n">
        <x:v>42632</x:v>
      </x:c>
      <x:c r="C4774" t="str">
        <x:v>CC-12430</x:v>
      </x:c>
      <x:c r="D4774" t="str">
        <x:v>Chuck Clark</x:v>
      </x:c>
      <x:c r="E4774" t="str">
        <x:v>Home Office</x:v>
      </x:c>
      <x:c r="F4774" t="str">
        <x:v>West</x:v>
      </x:c>
      <x:c r="G4774" t="str">
        <x:v>Office Supplies</x:v>
      </x:c>
      <x:c r="H4774" t="str">
        <x:v>Binders</x:v>
      </x:c>
      <x:c r="I4774" s="22" t="n">
        <x:v>11.952000000000002</x:v>
      </x:c>
      <x:c r="J4774" s="24" t="n">
        <x:v>3</x:v>
      </x:c>
      <x:c r="K4774" s="26" t="n">
        <x:v>0.2</x:v>
      </x:c>
      <x:c r="L4774" s="22" t="n">
        <x:v>4.1832</x:v>
      </x:c>
      <x:c r="M4774" t="n">
        <x:v>2016</x:v>
      </x:c>
      <x:c r="N4774" s="20" t="n">
        <x:v>42614</x:v>
      </x:c>
    </x:row>
    <x:row r="4775" ht="18" customHeight="1">
      <x:c r="A4775" t="str">
        <x:v>US-2016-114888</x:v>
      </x:c>
      <x:c r="B4775" s="18" t="n">
        <x:v>42632</x:v>
      </x:c>
      <x:c r="C4775" t="str">
        <x:v>CC-12430</x:v>
      </x:c>
      <x:c r="D4775" t="str">
        <x:v>Chuck Clark</x:v>
      </x:c>
      <x:c r="E4775" t="str">
        <x:v>Home Office</x:v>
      </x:c>
      <x:c r="F4775" t="str">
        <x:v>West</x:v>
      </x:c>
      <x:c r="G4775" t="str">
        <x:v>Office Supplies</x:v>
      </x:c>
      <x:c r="H4775" t="str">
        <x:v>Supplies</x:v>
      </x:c>
      <x:c r="I4775" s="22" t="n">
        <x:v>6.24</x:v>
      </x:c>
      <x:c r="J4775" s="24" t="n">
        <x:v>3</x:v>
      </x:c>
      <x:c r="K4775" s="26" t="n">
        <x:v>0</x:v>
      </x:c>
      <x:c r="L4775" s="22" t="n">
        <x:v>1.8719999999999997</x:v>
      </x:c>
      <x:c r="M4775" t="n">
        <x:v>2016</x:v>
      </x:c>
      <x:c r="N4775" s="20" t="n">
        <x:v>42614</x:v>
      </x:c>
    </x:row>
    <x:row r="4776" ht="18" customHeight="1">
      <x:c r="A4776" t="str">
        <x:v>US-2014-167262</x:v>
      </x:c>
      <x:c r="B4776" s="18" t="n">
        <x:v>41943</x:v>
      </x:c>
      <x:c r="C4776" t="str">
        <x:v>AC-10450</x:v>
      </x:c>
      <x:c r="D4776" t="str">
        <x:v>Amy Cox</x:v>
      </x:c>
      <x:c r="E4776" t="str">
        <x:v>Consumer</x:v>
      </x:c>
      <x:c r="F4776" t="str">
        <x:v>West</x:v>
      </x:c>
      <x:c r="G4776" t="str">
        <x:v>Technology</x:v>
      </x:c>
      <x:c r="H4776" t="str">
        <x:v>Phones</x:v>
      </x:c>
      <x:c r="I4776" s="22" t="n">
        <x:v>742.336</x:v>
      </x:c>
      <x:c r="J4776" s="24" t="n">
        <x:v>8</x:v>
      </x:c>
      <x:c r="K4776" s="26" t="n">
        <x:v>0.2</x:v>
      </x:c>
      <x:c r="L4776" s="22" t="n">
        <x:v>83.51279999999991</x:v>
      </x:c>
      <x:c r="M4776" t="n">
        <x:v>2014</x:v>
      </x:c>
      <x:c r="N4776" s="20" t="n">
        <x:v>41913</x:v>
      </x:c>
    </x:row>
    <x:row r="4777" ht="18" customHeight="1">
      <x:c r="A4777" t="str">
        <x:v>CA-2017-119746</x:v>
      </x:c>
      <x:c r="B4777" s="18" t="n">
        <x:v>43062</x:v>
      </x:c>
      <x:c r="C4777" t="str">
        <x:v>CM-12385</x:v>
      </x:c>
      <x:c r="D4777" t="str">
        <x:v>Christopher Martinez</x:v>
      </x:c>
      <x:c r="E4777" t="str">
        <x:v>Consumer</x:v>
      </x:c>
      <x:c r="F4777" t="str">
        <x:v>Central</x:v>
      </x:c>
      <x:c r="G4777" t="str">
        <x:v>Furniture</x:v>
      </x:c>
      <x:c r="H4777" t="str">
        <x:v>Furnishings</x:v>
      </x:c>
      <x:c r="I4777" s="22" t="n">
        <x:v>6.464</x:v>
      </x:c>
      <x:c r="J4777" s="24" t="n">
        <x:v>1</x:v>
      </x:c>
      <x:c r="K4777" s="26" t="n">
        <x:v>0.6</x:v>
      </x:c>
      <x:c r="L4777" s="22" t="n">
        <x:v>-4.040000000000001</x:v>
      </x:c>
      <x:c r="M4777" t="n">
        <x:v>2017</x:v>
      </x:c>
      <x:c r="N4777" s="20" t="n">
        <x:v>43040</x:v>
      </x:c>
    </x:row>
    <x:row r="4778" ht="18" customHeight="1">
      <x:c r="A4778" t="str">
        <x:v>CA-2017-119746</x:v>
      </x:c>
      <x:c r="B4778" s="18" t="n">
        <x:v>43062</x:v>
      </x:c>
      <x:c r="C4778" t="str">
        <x:v>CM-12385</x:v>
      </x:c>
      <x:c r="D4778" t="str">
        <x:v>Christopher Martinez</x:v>
      </x:c>
      <x:c r="E4778" t="str">
        <x:v>Consumer</x:v>
      </x:c>
      <x:c r="F4778" t="str">
        <x:v>Central</x:v>
      </x:c>
      <x:c r="G4778" t="str">
        <x:v>Office Supplies</x:v>
      </x:c>
      <x:c r="H4778" t="str">
        <x:v>Labels</x:v>
      </x:c>
      <x:c r="I4778" s="22" t="n">
        <x:v>11.52</x:v>
      </x:c>
      <x:c r="J4778" s="24" t="n">
        <x:v>5</x:v>
      </x:c>
      <x:c r="K4778" s="26" t="n">
        <x:v>0.2</x:v>
      </x:c>
      <x:c r="L4778" s="22" t="n">
        <x:v>4.176</x:v>
      </x:c>
      <x:c r="M4778" t="n">
        <x:v>2017</x:v>
      </x:c>
      <x:c r="N4778" s="20" t="n">
        <x:v>43040</x:v>
      </x:c>
    </x:row>
    <x:row r="4779" ht="18" customHeight="1">
      <x:c r="A4779" t="str">
        <x:v>CA-2017-119746</x:v>
      </x:c>
      <x:c r="B4779" s="18" t="n">
        <x:v>43062</x:v>
      </x:c>
      <x:c r="C4779" t="str">
        <x:v>CM-12385</x:v>
      </x:c>
      <x:c r="D4779" t="str">
        <x:v>Christopher Martinez</x:v>
      </x:c>
      <x:c r="E4779" t="str">
        <x:v>Consumer</x:v>
      </x:c>
      <x:c r="F4779" t="str">
        <x:v>Central</x:v>
      </x:c>
      <x:c r="G4779" t="str">
        <x:v>Technology</x:v>
      </x:c>
      <x:c r="H4779" t="str">
        <x:v>Phones</x:v>
      </x:c>
      <x:c r="I4779" s="22" t="n">
        <x:v>222.38400000000001</x:v>
      </x:c>
      <x:c r="J4779" s="24" t="n">
        <x:v>2</x:v>
      </x:c>
      <x:c r="K4779" s="26" t="n">
        <x:v>0.2</x:v>
      </x:c>
      <x:c r="L4779" s="22" t="n">
        <x:v>16.678799999999995</x:v>
      </x:c>
      <x:c r="M4779" t="n">
        <x:v>2017</x:v>
      </x:c>
      <x:c r="N4779" s="20" t="n">
        <x:v>43040</x:v>
      </x:c>
    </x:row>
    <x:row r="4780" ht="18" customHeight="1">
      <x:c r="A4780" t="str">
        <x:v>CA-2017-108091</x:v>
      </x:c>
      <x:c r="B4780" s="18" t="n">
        <x:v>43055</x:v>
      </x:c>
      <x:c r="C4780" t="str">
        <x:v>EK-13795</x:v>
      </x:c>
      <x:c r="D4780" t="str">
        <x:v>Eileen Kiefer</x:v>
      </x:c>
      <x:c r="E4780" t="str">
        <x:v>Home Office</x:v>
      </x:c>
      <x:c r="F4780" t="str">
        <x:v>West</x:v>
      </x:c>
      <x:c r="G4780" t="str">
        <x:v>Office Supplies</x:v>
      </x:c>
      <x:c r="H4780" t="str">
        <x:v>Art</x:v>
      </x:c>
      <x:c r="I4780" s="22" t="n">
        <x:v>23.36</x:v>
      </x:c>
      <x:c r="J4780" s="24" t="n">
        <x:v>4</x:v>
      </x:c>
      <x:c r="K4780" s="26" t="n">
        <x:v>0</x:v>
      </x:c>
      <x:c r="L4780" s="22" t="n">
        <x:v>6.073599999999999</x:v>
      </x:c>
      <x:c r="M4780" t="n">
        <x:v>2017</x:v>
      </x:c>
      <x:c r="N4780" s="20" t="n">
        <x:v>43040</x:v>
      </x:c>
    </x:row>
    <x:row r="4781" ht="18" customHeight="1">
      <x:c r="A4781" t="str">
        <x:v>CA-2016-101630</x:v>
      </x:c>
      <x:c r="B4781" s="18" t="n">
        <x:v>42419</x:v>
      </x:c>
      <x:c r="C4781" t="str">
        <x:v>CK-12760</x:v>
      </x:c>
      <x:c r="D4781" t="str">
        <x:v>Cyma Kinney</x:v>
      </x:c>
      <x:c r="E4781" t="str">
        <x:v>Corporate</x:v>
      </x:c>
      <x:c r="F4781" t="str">
        <x:v>East</x:v>
      </x:c>
      <x:c r="G4781" t="str">
        <x:v>Office Supplies</x:v>
      </x:c>
      <x:c r="H4781" t="str">
        <x:v>Labels</x:v>
      </x:c>
      <x:c r="I4781" s="22" t="n">
        <x:v>8.67</x:v>
      </x:c>
      <x:c r="J4781" s="24" t="n">
        <x:v>3</x:v>
      </x:c>
      <x:c r="K4781" s="26" t="n">
        <x:v>0</x:v>
      </x:c>
      <x:c r="L4781" s="22" t="n">
        <x:v>4.0749</x:v>
      </x:c>
      <x:c r="M4781" t="n">
        <x:v>2016</x:v>
      </x:c>
      <x:c r="N4781" s="20" t="n">
        <x:v>42401</x:v>
      </x:c>
    </x:row>
    <x:row r="4782" ht="18" customHeight="1">
      <x:c r="A4782" t="str">
        <x:v>CA-2016-101630</x:v>
      </x:c>
      <x:c r="B4782" s="18" t="n">
        <x:v>42419</x:v>
      </x:c>
      <x:c r="C4782" t="str">
        <x:v>CK-12760</x:v>
      </x:c>
      <x:c r="D4782" t="str">
        <x:v>Cyma Kinney</x:v>
      </x:c>
      <x:c r="E4782" t="str">
        <x:v>Corporate</x:v>
      </x:c>
      <x:c r="F4782" t="str">
        <x:v>East</x:v>
      </x:c>
      <x:c r="G4782" t="str">
        <x:v>Office Supplies</x:v>
      </x:c>
      <x:c r="H4782" t="str">
        <x:v>Supplies</x:v>
      </x:c>
      <x:c r="I4782" s="22" t="n">
        <x:v>25.71</x:v>
      </x:c>
      <x:c r="J4782" s="24" t="n">
        <x:v>3</x:v>
      </x:c>
      <x:c r="K4782" s="26" t="n">
        <x:v>0</x:v>
      </x:c>
      <x:c r="L4782" s="22" t="n">
        <x:v>6.6846000000000005</x:v>
      </x:c>
      <x:c r="M4782" t="n">
        <x:v>2016</x:v>
      </x:c>
      <x:c r="N4782" s="20" t="n">
        <x:v>42401</x:v>
      </x:c>
    </x:row>
    <x:row r="4783" ht="18" customHeight="1">
      <x:c r="A4783" t="str">
        <x:v>CA-2017-132346</x:v>
      </x:c>
      <x:c r="B4783" s="18" t="n">
        <x:v>43046</x:v>
      </x:c>
      <x:c r="C4783" t="str">
        <x:v>PK-19075</x:v>
      </x:c>
      <x:c r="D4783" t="str">
        <x:v>Pete Kriz</x:v>
      </x:c>
      <x:c r="E4783" t="str">
        <x:v>Consumer</x:v>
      </x:c>
      <x:c r="F4783" t="str">
        <x:v>East</x:v>
      </x:c>
      <x:c r="G4783" t="str">
        <x:v>Office Supplies</x:v>
      </x:c>
      <x:c r="H4783" t="str">
        <x:v>Appliances</x:v>
      </x:c>
      <x:c r="I4783" s="22" t="n">
        <x:v>100.94</x:v>
      </x:c>
      <x:c r="J4783" s="24" t="n">
        <x:v>7</x:v>
      </x:c>
      <x:c r="K4783" s="26" t="n">
        <x:v>0</x:v>
      </x:c>
      <x:c r="L4783" s="22" t="n">
        <x:v>33.310199999999995</x:v>
      </x:c>
      <x:c r="M4783" t="n">
        <x:v>2017</x:v>
      </x:c>
      <x:c r="N4783" s="20" t="n">
        <x:v>43040</x:v>
      </x:c>
    </x:row>
    <x:row r="4784" ht="18" customHeight="1">
      <x:c r="A4784" t="str">
        <x:v>CA-2014-150301</x:v>
      </x:c>
      <x:c r="B4784" s="18" t="n">
        <x:v>41828</x:v>
      </x:c>
      <x:c r="C4784" t="str">
        <x:v>MH-18025</x:v>
      </x:c>
      <x:c r="D4784" t="str">
        <x:v>Michelle Huthwaite</x:v>
      </x:c>
      <x:c r="E4784" t="str">
        <x:v>Consumer</x:v>
      </x:c>
      <x:c r="F4784" t="str">
        <x:v>East</x:v>
      </x:c>
      <x:c r="G4784" t="str">
        <x:v>Furniture</x:v>
      </x:c>
      <x:c r="H4784" t="str">
        <x:v>Chairs</x:v>
      </x:c>
      <x:c r="I4784" s="22" t="n">
        <x:v>63.882000000000005</x:v>
      </x:c>
      <x:c r="J4784" s="24" t="n">
        <x:v>1</x:v>
      </x:c>
      <x:c r="K4784" s="26" t="n">
        <x:v>0.1</x:v>
      </x:c>
      <x:c r="L4784" s="22" t="n">
        <x:v>10.647000000000004</x:v>
      </x:c>
      <x:c r="M4784" t="n">
        <x:v>2014</x:v>
      </x:c>
      <x:c r="N4784" s="20" t="n">
        <x:v>41821</x:v>
      </x:c>
    </x:row>
    <x:row r="4785" ht="18" customHeight="1">
      <x:c r="A4785" t="str">
        <x:v>CA-2014-159310</x:v>
      </x:c>
      <x:c r="B4785" s="18" t="n">
        <x:v>41950</x:v>
      </x:c>
      <x:c r="C4785" t="str">
        <x:v>SC-20725</x:v>
      </x:c>
      <x:c r="D4785" t="str">
        <x:v>Steven Cartwright</x:v>
      </x:c>
      <x:c r="E4785" t="str">
        <x:v>Consumer</x:v>
      </x:c>
      <x:c r="F4785" t="str">
        <x:v>Central</x:v>
      </x:c>
      <x:c r="G4785" t="str">
        <x:v>Furniture</x:v>
      </x:c>
      <x:c r="H4785" t="str">
        <x:v>Chairs</x:v>
      </x:c>
      <x:c r="I4785" s="22" t="n">
        <x:v>683.1439999999999</x:v>
      </x:c>
      <x:c r="J4785" s="24" t="n">
        <x:v>4</x:v>
      </x:c>
      <x:c r="K4785" s="26" t="n">
        <x:v>0.3</x:v>
      </x:c>
      <x:c r="L4785" s="22" t="n">
        <x:v>0</x:v>
      </x:c>
      <x:c r="M4785" t="n">
        <x:v>2014</x:v>
      </x:c>
      <x:c r="N4785" s="20" t="n">
        <x:v>41944</x:v>
      </x:c>
    </x:row>
    <x:row r="4786" ht="18" customHeight="1">
      <x:c r="A4786" t="str">
        <x:v>CA-2014-159310</x:v>
      </x:c>
      <x:c r="B4786" s="18" t="n">
        <x:v>41950</x:v>
      </x:c>
      <x:c r="C4786" t="str">
        <x:v>SC-20725</x:v>
      </x:c>
      <x:c r="D4786" t="str">
        <x:v>Steven Cartwright</x:v>
      </x:c>
      <x:c r="E4786" t="str">
        <x:v>Consumer</x:v>
      </x:c>
      <x:c r="F4786" t="str">
        <x:v>Central</x:v>
      </x:c>
      <x:c r="G4786" t="str">
        <x:v>Office Supplies</x:v>
      </x:c>
      <x:c r="H4786" t="str">
        <x:v>Binders</x:v>
      </x:c>
      <x:c r="I4786" s="22" t="n">
        <x:v>1.4759999999999995</x:v>
      </x:c>
      <x:c r="J4786" s="24" t="n">
        <x:v>3</x:v>
      </x:c>
      <x:c r="K4786" s="26" t="n">
        <x:v>0.8</x:v>
      </x:c>
      <x:c r="L4786" s="22" t="n">
        <x:v>-2.214</x:v>
      </x:c>
      <x:c r="M4786" t="n">
        <x:v>2014</x:v>
      </x:c>
      <x:c r="N4786" s="20" t="n">
        <x:v>41944</x:v>
      </x:c>
    </x:row>
    <x:row r="4787" ht="18" customHeight="1">
      <x:c r="A4787" t="str">
        <x:v>CA-2014-159310</x:v>
      </x:c>
      <x:c r="B4787" s="18" t="n">
        <x:v>41950</x:v>
      </x:c>
      <x:c r="C4787" t="str">
        <x:v>SC-20725</x:v>
      </x:c>
      <x:c r="D4787" t="str">
        <x:v>Steven Cartwright</x:v>
      </x:c>
      <x:c r="E4787" t="str">
        <x:v>Consumer</x:v>
      </x:c>
      <x:c r="F4787" t="str">
        <x:v>Central</x:v>
      </x:c>
      <x:c r="G4787" t="str">
        <x:v>Office Supplies</x:v>
      </x:c>
      <x:c r="H4787" t="str">
        <x:v>Supplies</x:v>
      </x:c>
      <x:c r="I4787" s="22" t="n">
        <x:v>40.711999999999996</x:v>
      </x:c>
      <x:c r="J4787" s="24" t="n">
        <x:v>7</x:v>
      </x:c>
      <x:c r="K4787" s="26" t="n">
        <x:v>0.2</x:v>
      </x:c>
      <x:c r="L4787" s="22" t="n">
        <x:v>3.5623000000000022</x:v>
      </x:c>
      <x:c r="M4787" t="n">
        <x:v>2014</x:v>
      </x:c>
      <x:c r="N4787" s="20" t="n">
        <x:v>41944</x:v>
      </x:c>
    </x:row>
    <x:row r="4788" ht="18" customHeight="1">
      <x:c r="A4788" t="str">
        <x:v>US-2017-147984</x:v>
      </x:c>
      <x:c r="B4788" s="18" t="n">
        <x:v>42763</x:v>
      </x:c>
      <x:c r="C4788" t="str">
        <x:v>GB-14575</x:v>
      </x:c>
      <x:c r="D4788" t="str">
        <x:v>Giulietta Baptist</x:v>
      </x:c>
      <x:c r="E4788" t="str">
        <x:v>Consumer</x:v>
      </x:c>
      <x:c r="F4788" t="str">
        <x:v>Central</x:v>
      </x:c>
      <x:c r="G4788" t="str">
        <x:v>Office Supplies</x:v>
      </x:c>
      <x:c r="H4788" t="str">
        <x:v>Paper</x:v>
      </x:c>
      <x:c r="I4788" s="22" t="n">
        <x:v>279.9</x:v>
      </x:c>
      <x:c r="J4788" s="24" t="n">
        <x:v>5</x:v>
      </x:c>
      <x:c r="K4788" s="26" t="n">
        <x:v>0</x:v>
      </x:c>
      <x:c r="L4788" s="22" t="n">
        <x:v>137.151</x:v>
      </x:c>
      <x:c r="M4788" t="n">
        <x:v>2017</x:v>
      </x:c>
      <x:c r="N4788" s="20" t="n">
        <x:v>42736</x:v>
      </x:c>
    </x:row>
    <x:row r="4789" ht="18" customHeight="1">
      <x:c r="A4789" t="str">
        <x:v>CA-2015-104346</x:v>
      </x:c>
      <x:c r="B4789" s="18" t="n">
        <x:v>42349</x:v>
      </x:c>
      <x:c r="C4789" t="str">
        <x:v>IM-15070</x:v>
      </x:c>
      <x:c r="D4789" t="str">
        <x:v>Irene Maddox</x:v>
      </x:c>
      <x:c r="E4789" t="str">
        <x:v>Consumer</x:v>
      </x:c>
      <x:c r="F4789" t="str">
        <x:v>West</x:v>
      </x:c>
      <x:c r="G4789" t="str">
        <x:v>Office Supplies</x:v>
      </x:c>
      <x:c r="H4789" t="str">
        <x:v>Art</x:v>
      </x:c>
      <x:c r="I4789" s="22" t="n">
        <x:v>13.120000000000001</x:v>
      </x:c>
      <x:c r="J4789" s="24" t="n">
        <x:v>5</x:v>
      </x:c>
      <x:c r="K4789" s="26" t="n">
        <x:v>0.2</x:v>
      </x:c>
      <x:c r="L4789" s="22" t="n">
        <x:v>1.1480000000000006</x:v>
      </x:c>
      <x:c r="M4789" t="n">
        <x:v>2015</x:v>
      </x:c>
      <x:c r="N4789" s="20" t="n">
        <x:v>42339</x:v>
      </x:c>
    </x:row>
    <x:row r="4790" ht="18" customHeight="1">
      <x:c r="A4790" t="str">
        <x:v>CA-2015-104346</x:v>
      </x:c>
      <x:c r="B4790" s="18" t="n">
        <x:v>42349</x:v>
      </x:c>
      <x:c r="C4790" t="str">
        <x:v>IM-15070</x:v>
      </x:c>
      <x:c r="D4790" t="str">
        <x:v>Irene Maddox</x:v>
      </x:c>
      <x:c r="E4790" t="str">
        <x:v>Consumer</x:v>
      </x:c>
      <x:c r="F4790" t="str">
        <x:v>West</x:v>
      </x:c>
      <x:c r="G4790" t="str">
        <x:v>Furniture</x:v>
      </x:c>
      <x:c r="H4790" t="str">
        <x:v>Bookcases</x:v>
      </x:c>
      <x:c r="I4790" s="22" t="n">
        <x:v>69.57600000000001</x:v>
      </x:c>
      <x:c r="J4790" s="24" t="n">
        <x:v>4</x:v>
      </x:c>
      <x:c r="K4790" s="26" t="n">
        <x:v>0.7</x:v>
      </x:c>
      <x:c r="L4790" s="22" t="n">
        <x:v>-143.7904</x:v>
      </x:c>
      <x:c r="M4790" t="n">
        <x:v>2015</x:v>
      </x:c>
      <x:c r="N4790" s="20" t="n">
        <x:v>42339</x:v>
      </x:c>
    </x:row>
    <x:row r="4791" ht="18" customHeight="1">
      <x:c r="A4791" t="str">
        <x:v>CA-2015-104346</x:v>
      </x:c>
      <x:c r="B4791" s="18" t="n">
        <x:v>42349</x:v>
      </x:c>
      <x:c r="C4791" t="str">
        <x:v>IM-15070</x:v>
      </x:c>
      <x:c r="D4791" t="str">
        <x:v>Irene Maddox</x:v>
      </x:c>
      <x:c r="E4791" t="str">
        <x:v>Consumer</x:v>
      </x:c>
      <x:c r="F4791" t="str">
        <x:v>West</x:v>
      </x:c>
      <x:c r="G4791" t="str">
        <x:v>Office Supplies</x:v>
      </x:c>
      <x:c r="H4791" t="str">
        <x:v>Art</x:v>
      </x:c>
      <x:c r="I4791" s="22" t="n">
        <x:v>4.224</x:v>
      </x:c>
      <x:c r="J4791" s="24" t="n">
        <x:v>3</x:v>
      </x:c>
      <x:c r="K4791" s="26" t="n">
        <x:v>0.2</x:v>
      </x:c>
      <x:c r="L4791" s="22" t="n">
        <x:v>0.47519999999999984</x:v>
      </x:c>
      <x:c r="M4791" t="n">
        <x:v>2015</x:v>
      </x:c>
      <x:c r="N4791" s="20" t="n">
        <x:v>42339</x:v>
      </x:c>
    </x:row>
    <x:row r="4792" ht="18" customHeight="1">
      <x:c r="A4792" t="str">
        <x:v>CA-2015-104346</x:v>
      </x:c>
      <x:c r="B4792" s="18" t="n">
        <x:v>42349</x:v>
      </x:c>
      <x:c r="C4792" t="str">
        <x:v>IM-15070</x:v>
      </x:c>
      <x:c r="D4792" t="str">
        <x:v>Irene Maddox</x:v>
      </x:c>
      <x:c r="E4792" t="str">
        <x:v>Consumer</x:v>
      </x:c>
      <x:c r="F4792" t="str">
        <x:v>West</x:v>
      </x:c>
      <x:c r="G4792" t="str">
        <x:v>Technology</x:v>
      </x:c>
      <x:c r="H4792" t="str">
        <x:v>Accessories</x:v>
      </x:c>
      <x:c r="I4792" s="22" t="n">
        <x:v>58.08</x:v>
      </x:c>
      <x:c r="J4792" s="24" t="n">
        <x:v>4</x:v>
      </x:c>
      <x:c r="K4792" s="26" t="n">
        <x:v>0.2</x:v>
      </x:c>
      <x:c r="L4792" s="22" t="n">
        <x:v>-6.533999999999995</x:v>
      </x:c>
      <x:c r="M4792" t="n">
        <x:v>2015</x:v>
      </x:c>
      <x:c r="N4792" s="20" t="n">
        <x:v>42339</x:v>
      </x:c>
    </x:row>
    <x:row r="4793" ht="18" customHeight="1">
      <x:c r="A4793" t="str">
        <x:v>CA-2015-104346</x:v>
      </x:c>
      <x:c r="B4793" s="18" t="n">
        <x:v>42349</x:v>
      </x:c>
      <x:c r="C4793" t="str">
        <x:v>IM-15070</x:v>
      </x:c>
      <x:c r="D4793" t="str">
        <x:v>Irene Maddox</x:v>
      </x:c>
      <x:c r="E4793" t="str">
        <x:v>Consumer</x:v>
      </x:c>
      <x:c r="F4793" t="str">
        <x:v>West</x:v>
      </x:c>
      <x:c r="G4793" t="str">
        <x:v>Furniture</x:v>
      </x:c>
      <x:c r="H4793" t="str">
        <x:v>Furnishings</x:v>
      </x:c>
      <x:c r="I4793" s="22" t="n">
        <x:v>52.416000000000004</x:v>
      </x:c>
      <x:c r="J4793" s="24" t="n">
        <x:v>9</x:v>
      </x:c>
      <x:c r="K4793" s="26" t="n">
        <x:v>0.2</x:v>
      </x:c>
      <x:c r="L4793" s="22" t="n">
        <x:v>15.069600000000007</x:v>
      </x:c>
      <x:c r="M4793" t="n">
        <x:v>2015</x:v>
      </x:c>
      <x:c r="N4793" s="20" t="n">
        <x:v>42339</x:v>
      </x:c>
    </x:row>
    <x:row r="4794" ht="18" customHeight="1">
      <x:c r="A4794" t="str">
        <x:v>CA-2015-104346</x:v>
      </x:c>
      <x:c r="B4794" s="18" t="n">
        <x:v>42349</x:v>
      </x:c>
      <x:c r="C4794" t="str">
        <x:v>IM-15070</x:v>
      </x:c>
      <x:c r="D4794" t="str">
        <x:v>Irene Maddox</x:v>
      </x:c>
      <x:c r="E4794" t="str">
        <x:v>Consumer</x:v>
      </x:c>
      <x:c r="F4794" t="str">
        <x:v>West</x:v>
      </x:c>
      <x:c r="G4794" t="str">
        <x:v>Furniture</x:v>
      </x:c>
      <x:c r="H4794" t="str">
        <x:v>Furnishings</x:v>
      </x:c>
      <x:c r="I4794" s="22" t="n">
        <x:v>54.92000000000001</x:v>
      </x:c>
      <x:c r="J4794" s="24" t="n">
        <x:v>5</x:v>
      </x:c>
      <x:c r="K4794" s="26" t="n">
        <x:v>0.2</x:v>
      </x:c>
      <x:c r="L4794" s="22" t="n">
        <x:v>10.983999999999996</x:v>
      </x:c>
      <x:c r="M4794" t="n">
        <x:v>2015</x:v>
      </x:c>
      <x:c r="N4794" s="20" t="n">
        <x:v>42339</x:v>
      </x:c>
    </x:row>
    <x:row r="4795" ht="18" customHeight="1">
      <x:c r="A4795" t="str">
        <x:v>CA-2015-104346</x:v>
      </x:c>
      <x:c r="B4795" s="18" t="n">
        <x:v>42349</x:v>
      </x:c>
      <x:c r="C4795" t="str">
        <x:v>IM-15070</x:v>
      </x:c>
      <x:c r="D4795" t="str">
        <x:v>Irene Maddox</x:v>
      </x:c>
      <x:c r="E4795" t="str">
        <x:v>Consumer</x:v>
      </x:c>
      <x:c r="F4795" t="str">
        <x:v>West</x:v>
      </x:c>
      <x:c r="G4795" t="str">
        <x:v>Furniture</x:v>
      </x:c>
      <x:c r="H4795" t="str">
        <x:v>Tables</x:v>
      </x:c>
      <x:c r="I4795" s="22" t="n">
        <x:v>364.95</x:v>
      </x:c>
      <x:c r="J4795" s="24" t="n">
        <x:v>5</x:v>
      </x:c>
      <x:c r="K4795" s="26" t="n">
        <x:v>0.5</x:v>
      </x:c>
      <x:c r="L4795" s="22" t="n">
        <x:v>-248.16599999999994</x:v>
      </x:c>
      <x:c r="M4795" t="n">
        <x:v>2015</x:v>
      </x:c>
      <x:c r="N4795" s="20" t="n">
        <x:v>42339</x:v>
      </x:c>
    </x:row>
    <x:row r="4796" ht="18" customHeight="1">
      <x:c r="A4796" t="str">
        <x:v>CA-2015-104346</x:v>
      </x:c>
      <x:c r="B4796" s="18" t="n">
        <x:v>42349</x:v>
      </x:c>
      <x:c r="C4796" t="str">
        <x:v>IM-15070</x:v>
      </x:c>
      <x:c r="D4796" t="str">
        <x:v>Irene Maddox</x:v>
      </x:c>
      <x:c r="E4796" t="str">
        <x:v>Consumer</x:v>
      </x:c>
      <x:c r="F4796" t="str">
        <x:v>West</x:v>
      </x:c>
      <x:c r="G4796" t="str">
        <x:v>Office Supplies</x:v>
      </x:c>
      <x:c r="H4796" t="str">
        <x:v>Paper</x:v>
      </x:c>
      <x:c r="I4796" s="22" t="n">
        <x:v>85.056</x:v>
      </x:c>
      <x:c r="J4796" s="24" t="n">
        <x:v>3</x:v>
      </x:c>
      <x:c r="K4796" s="26" t="n">
        <x:v>0.2</x:v>
      </x:c>
      <x:c r="L4796" s="22" t="n">
        <x:v>28.70639999999999</x:v>
      </x:c>
      <x:c r="M4796" t="n">
        <x:v>2015</x:v>
      </x:c>
      <x:c r="N4796" s="20" t="n">
        <x:v>42339</x:v>
      </x:c>
    </x:row>
    <x:row r="4797" ht="18" customHeight="1">
      <x:c r="A4797" t="str">
        <x:v>CA-2015-104346</x:v>
      </x:c>
      <x:c r="B4797" s="18" t="n">
        <x:v>42349</x:v>
      </x:c>
      <x:c r="C4797" t="str">
        <x:v>IM-15070</x:v>
      </x:c>
      <x:c r="D4797" t="str">
        <x:v>Irene Maddox</x:v>
      </x:c>
      <x:c r="E4797" t="str">
        <x:v>Consumer</x:v>
      </x:c>
      <x:c r="F4797" t="str">
        <x:v>West</x:v>
      </x:c>
      <x:c r="G4797" t="str">
        <x:v>Office Supplies</x:v>
      </x:c>
      <x:c r="H4797" t="str">
        <x:v>Paper</x:v>
      </x:c>
      <x:c r="I4797" s="22" t="n">
        <x:v>27.695999999999998</x:v>
      </x:c>
      <x:c r="J4797" s="24" t="n">
        <x:v>3</x:v>
      </x:c>
      <x:c r="K4797" s="26" t="n">
        <x:v>0.2</x:v>
      </x:c>
      <x:c r="L4797" s="22" t="n">
        <x:v>9.693599999999996</x:v>
      </x:c>
      <x:c r="M4797" t="n">
        <x:v>2015</x:v>
      </x:c>
      <x:c r="N4797" s="20" t="n">
        <x:v>42339</x:v>
      </x:c>
    </x:row>
    <x:row r="4798" ht="18" customHeight="1">
      <x:c r="A4798" t="str">
        <x:v>US-2015-141684</x:v>
      </x:c>
      <x:c r="B4798" s="18" t="n">
        <x:v>42184</x:v>
      </x:c>
      <x:c r="C4798" t="str">
        <x:v>MM-18055</x:v>
      </x:c>
      <x:c r="D4798" t="str">
        <x:v>Michelle Moray</x:v>
      </x:c>
      <x:c r="E4798" t="str">
        <x:v>Consumer</x:v>
      </x:c>
      <x:c r="F4798" t="str">
        <x:v>East</x:v>
      </x:c>
      <x:c r="G4798" t="str">
        <x:v>Office Supplies</x:v>
      </x:c>
      <x:c r="H4798" t="str">
        <x:v>Paper</x:v>
      </x:c>
      <x:c r="I4798" s="22" t="n">
        <x:v>24.96</x:v>
      </x:c>
      <x:c r="J4798" s="24" t="n">
        <x:v>4</x:v>
      </x:c>
      <x:c r="K4798" s="26" t="n">
        <x:v>0</x:v>
      </x:c>
      <x:c r="L4798" s="22" t="n">
        <x:v>11.232</x:v>
      </x:c>
      <x:c r="M4798" t="n">
        <x:v>2015</x:v>
      </x:c>
      <x:c r="N4798" s="20" t="n">
        <x:v>42156</x:v>
      </x:c>
    </x:row>
    <x:row r="4799" ht="18" customHeight="1">
      <x:c r="A4799" t="str">
        <x:v>CA-2015-144722</x:v>
      </x:c>
      <x:c r="B4799" s="18" t="n">
        <x:v>42079</x:v>
      </x:c>
      <x:c r="C4799" t="str">
        <x:v>MF-18250</x:v>
      </x:c>
      <x:c r="D4799" t="str">
        <x:v>Monica Federle</x:v>
      </x:c>
      <x:c r="E4799" t="str">
        <x:v>Corporate</x:v>
      </x:c>
      <x:c r="F4799" t="str">
        <x:v>West</x:v>
      </x:c>
      <x:c r="G4799" t="str">
        <x:v>Furniture</x:v>
      </x:c>
      <x:c r="H4799" t="str">
        <x:v>Furnishings</x:v>
      </x:c>
      <x:c r="I4799" s="22" t="n">
        <x:v>43.13</x:v>
      </x:c>
      <x:c r="J4799" s="24" t="n">
        <x:v>1</x:v>
      </x:c>
      <x:c r="K4799" s="26" t="n">
        <x:v>0</x:v>
      </x:c>
      <x:c r="L4799" s="22" t="n">
        <x:v>18.114600000000003</x:v>
      </x:c>
      <x:c r="M4799" t="n">
        <x:v>2015</x:v>
      </x:c>
      <x:c r="N4799" s="20" t="n">
        <x:v>42064</x:v>
      </x:c>
    </x:row>
    <x:row r="4800" ht="18" customHeight="1">
      <x:c r="A4800" t="str">
        <x:v>CA-2015-120516</x:v>
      </x:c>
      <x:c r="B4800" s="18" t="n">
        <x:v>42229</x:v>
      </x:c>
      <x:c r="C4800" t="str">
        <x:v>CK-12595</x:v>
      </x:c>
      <x:c r="D4800" t="str">
        <x:v>Clytie Kelty</x:v>
      </x:c>
      <x:c r="E4800" t="str">
        <x:v>Consumer</x:v>
      </x:c>
      <x:c r="F4800" t="str">
        <x:v>South</x:v>
      </x:c>
      <x:c r="G4800" t="str">
        <x:v>Office Supplies</x:v>
      </x:c>
      <x:c r="H4800" t="str">
        <x:v>Binders</x:v>
      </x:c>
      <x:c r="I4800" s="22" t="n">
        <x:v>5.64</x:v>
      </x:c>
      <x:c r="J4800" s="24" t="n">
        <x:v>3</x:v>
      </x:c>
      <x:c r="K4800" s="26" t="n">
        <x:v>0</x:v>
      </x:c>
      <x:c r="L4800" s="22" t="n">
        <x:v>2.7071999999999994</x:v>
      </x:c>
      <x:c r="M4800" t="n">
        <x:v>2015</x:v>
      </x:c>
      <x:c r="N4800" s="20" t="n">
        <x:v>42217</x:v>
      </x:c>
    </x:row>
    <x:row r="4801" ht="18" customHeight="1">
      <x:c r="A4801" t="str">
        <x:v>US-2016-148901</x:v>
      </x:c>
      <x:c r="B4801" s="18" t="n">
        <x:v>42504</x:v>
      </x:c>
      <x:c r="C4801" t="str">
        <x:v>MK-17905</x:v>
      </x:c>
      <x:c r="D4801" t="str">
        <x:v>Michael Kennedy</x:v>
      </x:c>
      <x:c r="E4801" t="str">
        <x:v>Corporate</x:v>
      </x:c>
      <x:c r="F4801" t="str">
        <x:v>South</x:v>
      </x:c>
      <x:c r="G4801" t="str">
        <x:v>Office Supplies</x:v>
      </x:c>
      <x:c r="H4801" t="str">
        <x:v>Binders</x:v>
      </x:c>
      <x:c r="I4801" s="22" t="n">
        <x:v>57.58200000000001</x:v>
      </x:c>
      <x:c r="J4801" s="24" t="n">
        <x:v>3</x:v>
      </x:c>
      <x:c r="K4801" s="26" t="n">
        <x:v>0.7</x:v>
      </x:c>
      <x:c r="L4801" s="22" t="n">
        <x:v>-44.14619999999998</x:v>
      </x:c>
      <x:c r="M4801" t="n">
        <x:v>2016</x:v>
      </x:c>
      <x:c r="N4801" s="20" t="n">
        <x:v>42491</x:v>
      </x:c>
    </x:row>
    <x:row r="4802" ht="18" customHeight="1">
      <x:c r="A4802" t="str">
        <x:v>US-2016-148901</x:v>
      </x:c>
      <x:c r="B4802" s="18" t="n">
        <x:v>42504</x:v>
      </x:c>
      <x:c r="C4802" t="str">
        <x:v>MK-17905</x:v>
      </x:c>
      <x:c r="D4802" t="str">
        <x:v>Michael Kennedy</x:v>
      </x:c>
      <x:c r="E4802" t="str">
        <x:v>Corporate</x:v>
      </x:c>
      <x:c r="F4802" t="str">
        <x:v>South</x:v>
      </x:c>
      <x:c r="G4802" t="str">
        <x:v>Office Supplies</x:v>
      </x:c>
      <x:c r="H4802" t="str">
        <x:v>Paper</x:v>
      </x:c>
      <x:c r="I4802" s="22" t="n">
        <x:v>31.104000000000006</x:v>
      </x:c>
      <x:c r="J4802" s="24" t="n">
        <x:v>6</x:v>
      </x:c>
      <x:c r="K4802" s="26" t="n">
        <x:v>0.2</x:v>
      </x:c>
      <x:c r="L4802" s="22" t="n">
        <x:v>10.8864</x:v>
      </x:c>
      <x:c r="M4802" t="n">
        <x:v>2016</x:v>
      </x:c>
      <x:c r="N4802" s="20" t="n">
        <x:v>42491</x:v>
      </x:c>
    </x:row>
    <x:row r="4803" ht="18" customHeight="1">
      <x:c r="A4803" t="str">
        <x:v>US-2016-148901</x:v>
      </x:c>
      <x:c r="B4803" s="18" t="n">
        <x:v>42504</x:v>
      </x:c>
      <x:c r="C4803" t="str">
        <x:v>MK-17905</x:v>
      </x:c>
      <x:c r="D4803" t="str">
        <x:v>Michael Kennedy</x:v>
      </x:c>
      <x:c r="E4803" t="str">
        <x:v>Corporate</x:v>
      </x:c>
      <x:c r="F4803" t="str">
        <x:v>South</x:v>
      </x:c>
      <x:c r="G4803" t="str">
        <x:v>Furniture</x:v>
      </x:c>
      <x:c r="H4803" t="str">
        <x:v>Furnishings</x:v>
      </x:c>
      <x:c r="I4803" s="22" t="n">
        <x:v>30.192</x:v>
      </x:c>
      <x:c r="J4803" s="24" t="n">
        <x:v>3</x:v>
      </x:c>
      <x:c r="K4803" s="26" t="n">
        <x:v>0.2</x:v>
      </x:c>
      <x:c r="L4803" s="22" t="n">
        <x:v>8.302800000000003</x:v>
      </x:c>
      <x:c r="M4803" t="n">
        <x:v>2016</x:v>
      </x:c>
      <x:c r="N4803" s="20" t="n">
        <x:v>42491</x:v>
      </x:c>
    </x:row>
    <x:row r="4804" ht="18" customHeight="1">
      <x:c r="A4804" t="str">
        <x:v>US-2016-148901</x:v>
      </x:c>
      <x:c r="B4804" s="18" t="n">
        <x:v>42504</x:v>
      </x:c>
      <x:c r="C4804" t="str">
        <x:v>MK-17905</x:v>
      </x:c>
      <x:c r="D4804" t="str">
        <x:v>Michael Kennedy</x:v>
      </x:c>
      <x:c r="E4804" t="str">
        <x:v>Corporate</x:v>
      </x:c>
      <x:c r="F4804" t="str">
        <x:v>South</x:v>
      </x:c>
      <x:c r="G4804" t="str">
        <x:v>Technology</x:v>
      </x:c>
      <x:c r="H4804" t="str">
        <x:v>Phones</x:v>
      </x:c>
      <x:c r="I4804" s="22" t="n">
        <x:v>43.6</x:v>
      </x:c>
      <x:c r="J4804" s="24" t="n">
        <x:v>5</x:v>
      </x:c>
      <x:c r="K4804" s="26" t="n">
        <x:v>0.2</x:v>
      </x:c>
      <x:c r="L4804" s="22" t="n">
        <x:v>4.360000000000001</x:v>
      </x:c>
      <x:c r="M4804" t="n">
        <x:v>2016</x:v>
      </x:c>
      <x:c r="N4804" s="20" t="n">
        <x:v>42491</x:v>
      </x:c>
    </x:row>
    <x:row r="4805" ht="18" customHeight="1">
      <x:c r="A4805" t="str">
        <x:v>US-2016-148901</x:v>
      </x:c>
      <x:c r="B4805" s="18" t="n">
        <x:v>42504</x:v>
      </x:c>
      <x:c r="C4805" t="str">
        <x:v>MK-17905</x:v>
      </x:c>
      <x:c r="D4805" t="str">
        <x:v>Michael Kennedy</x:v>
      </x:c>
      <x:c r="E4805" t="str">
        <x:v>Corporate</x:v>
      </x:c>
      <x:c r="F4805" t="str">
        <x:v>South</x:v>
      </x:c>
      <x:c r="G4805" t="str">
        <x:v>Office Supplies</x:v>
      </x:c>
      <x:c r="H4805" t="str">
        <x:v>Art</x:v>
      </x:c>
      <x:c r="I4805" s="22" t="n">
        <x:v>4.768</x:v>
      </x:c>
      <x:c r="J4805" s="24" t="n">
        <x:v>2</x:v>
      </x:c>
      <x:c r="K4805" s="26" t="n">
        <x:v>0.2</x:v>
      </x:c>
      <x:c r="L4805" s="22" t="n">
        <x:v>0.41720000000000046</x:v>
      </x:c>
      <x:c r="M4805" t="n">
        <x:v>2016</x:v>
      </x:c>
      <x:c r="N4805" s="20" t="n">
        <x:v>42491</x:v>
      </x:c>
    </x:row>
    <x:row r="4806" ht="18" customHeight="1">
      <x:c r="A4806" t="str">
        <x:v>US-2016-148901</x:v>
      </x:c>
      <x:c r="B4806" s="18" t="n">
        <x:v>42504</x:v>
      </x:c>
      <x:c r="C4806" t="str">
        <x:v>MK-17905</x:v>
      </x:c>
      <x:c r="D4806" t="str">
        <x:v>Michael Kennedy</x:v>
      </x:c>
      <x:c r="E4806" t="str">
        <x:v>Corporate</x:v>
      </x:c>
      <x:c r="F4806" t="str">
        <x:v>South</x:v>
      </x:c>
      <x:c r="G4806" t="str">
        <x:v>Office Supplies</x:v>
      </x:c>
      <x:c r="H4806" t="str">
        <x:v>Binders</x:v>
      </x:c>
      <x:c r="I4806" s="22" t="n">
        <x:v>10.380000000000003</x:v>
      </x:c>
      <x:c r="J4806" s="24" t="n">
        <x:v>2</x:v>
      </x:c>
      <x:c r="K4806" s="26" t="n">
        <x:v>0.7</x:v>
      </x:c>
      <x:c r="L4806" s="22" t="n">
        <x:v>-7.611999999999998</x:v>
      </x:c>
      <x:c r="M4806" t="n">
        <x:v>2016</x:v>
      </x:c>
      <x:c r="N4806" s="20" t="n">
        <x:v>42491</x:v>
      </x:c>
    </x:row>
    <x:row r="4807" ht="18" customHeight="1">
      <x:c r="A4807" t="str">
        <x:v>US-2016-148901</x:v>
      </x:c>
      <x:c r="B4807" s="18" t="n">
        <x:v>42504</x:v>
      </x:c>
      <x:c r="C4807" t="str">
        <x:v>MK-17905</x:v>
      </x:c>
      <x:c r="D4807" t="str">
        <x:v>Michael Kennedy</x:v>
      </x:c>
      <x:c r="E4807" t="str">
        <x:v>Corporate</x:v>
      </x:c>
      <x:c r="F4807" t="str">
        <x:v>South</x:v>
      </x:c>
      <x:c r="G4807" t="str">
        <x:v>Office Supplies</x:v>
      </x:c>
      <x:c r="H4807" t="str">
        <x:v>Binders</x:v>
      </x:c>
      <x:c r="I4807" s="22" t="n">
        <x:v>13.392000000000003</x:v>
      </x:c>
      <x:c r="J4807" s="24" t="n">
        <x:v>8</x:v>
      </x:c>
      <x:c r="K4807" s="26" t="n">
        <x:v>0.7</x:v>
      </x:c>
      <x:c r="L4807" s="22" t="n">
        <x:v>-9.820799999999998</x:v>
      </x:c>
      <x:c r="M4807" t="n">
        <x:v>2016</x:v>
      </x:c>
      <x:c r="N4807" s="20" t="n">
        <x:v>42491</x:v>
      </x:c>
    </x:row>
    <x:row r="4808" ht="18" customHeight="1">
      <x:c r="A4808" t="str">
        <x:v>CA-2017-136364</x:v>
      </x:c>
      <x:c r="B4808" s="18" t="n">
        <x:v>42929</x:v>
      </x:c>
      <x:c r="C4808" t="str">
        <x:v>MH-17455</x:v>
      </x:c>
      <x:c r="D4808" t="str">
        <x:v>Mark Hamilton</x:v>
      </x:c>
      <x:c r="E4808" t="str">
        <x:v>Consumer</x:v>
      </x:c>
      <x:c r="F4808" t="str">
        <x:v>East</x:v>
      </x:c>
      <x:c r="G4808" t="str">
        <x:v>Technology</x:v>
      </x:c>
      <x:c r="H4808" t="str">
        <x:v>Phones</x:v>
      </x:c>
      <x:c r="I4808" s="22" t="n">
        <x:v>39.593999999999994</x:v>
      </x:c>
      <x:c r="J4808" s="24" t="n">
        <x:v>1</x:v>
      </x:c>
      <x:c r="K4808" s="26" t="n">
        <x:v>0.4</x:v>
      </x:c>
      <x:c r="L4808" s="22" t="n">
        <x:v>-7.258900000000004</x:v>
      </x:c>
      <x:c r="M4808" t="n">
        <x:v>2017</x:v>
      </x:c>
      <x:c r="N4808" s="20" t="n">
        <x:v>42917</x:v>
      </x:c>
    </x:row>
    <x:row r="4809" ht="18" customHeight="1">
      <x:c r="A4809" t="str">
        <x:v>CA-2017-136364</x:v>
      </x:c>
      <x:c r="B4809" s="18" t="n">
        <x:v>42929</x:v>
      </x:c>
      <x:c r="C4809" t="str">
        <x:v>MH-17455</x:v>
      </x:c>
      <x:c r="D4809" t="str">
        <x:v>Mark Hamilton</x:v>
      </x:c>
      <x:c r="E4809" t="str">
        <x:v>Consumer</x:v>
      </x:c>
      <x:c r="F4809" t="str">
        <x:v>East</x:v>
      </x:c>
      <x:c r="G4809" t="str">
        <x:v>Furniture</x:v>
      </x:c>
      <x:c r="H4809" t="str">
        <x:v>Furnishings</x:v>
      </x:c>
      <x:c r="I4809" s="22" t="n">
        <x:v>91.00800000000001</x:v>
      </x:c>
      <x:c r="J4809" s="24" t="n">
        <x:v>9</x:v>
      </x:c>
      <x:c r="K4809" s="26" t="n">
        <x:v>0.2</x:v>
      </x:c>
      <x:c r="L4809" s="22" t="n">
        <x:v>19.339199999999998</x:v>
      </x:c>
      <x:c r="M4809" t="n">
        <x:v>2017</x:v>
      </x:c>
      <x:c r="N4809" s="20" t="n">
        <x:v>42917</x:v>
      </x:c>
    </x:row>
    <x:row r="4810" ht="18" customHeight="1">
      <x:c r="A4810" t="str">
        <x:v>CA-2015-137708</x:v>
      </x:c>
      <x:c r="B4810" s="18" t="n">
        <x:v>42330</x:v>
      </x:c>
      <x:c r="C4810" t="str">
        <x:v>NG-18430</x:v>
      </x:c>
      <x:c r="D4810" t="str">
        <x:v>Nathan Gelder</x:v>
      </x:c>
      <x:c r="E4810" t="str">
        <x:v>Consumer</x:v>
      </x:c>
      <x:c r="F4810" t="str">
        <x:v>West</x:v>
      </x:c>
      <x:c r="G4810" t="str">
        <x:v>Office Supplies</x:v>
      </x:c>
      <x:c r="H4810" t="str">
        <x:v>Paper</x:v>
      </x:c>
      <x:c r="I4810" s="22" t="n">
        <x:v>37.94</x:v>
      </x:c>
      <x:c r="J4810" s="24" t="n">
        <x:v>2</x:v>
      </x:c>
      <x:c r="K4810" s="26" t="n">
        <x:v>0</x:v>
      </x:c>
      <x:c r="L4810" s="22" t="n">
        <x:v>18.211199999999998</x:v>
      </x:c>
      <x:c r="M4810" t="n">
        <x:v>2015</x:v>
      </x:c>
      <x:c r="N4810" s="20" t="n">
        <x:v>42309</x:v>
      </x:c>
    </x:row>
    <x:row r="4811" ht="18" customHeight="1">
      <x:c r="A4811" t="str">
        <x:v>CA-2015-137708</x:v>
      </x:c>
      <x:c r="B4811" s="18" t="n">
        <x:v>42330</x:v>
      </x:c>
      <x:c r="C4811" t="str">
        <x:v>NG-18430</x:v>
      </x:c>
      <x:c r="D4811" t="str">
        <x:v>Nathan Gelder</x:v>
      </x:c>
      <x:c r="E4811" t="str">
        <x:v>Consumer</x:v>
      </x:c>
      <x:c r="F4811" t="str">
        <x:v>West</x:v>
      </x:c>
      <x:c r="G4811" t="str">
        <x:v>Office Supplies</x:v>
      </x:c>
      <x:c r="H4811" t="str">
        <x:v>Paper</x:v>
      </x:c>
      <x:c r="I4811" s="22" t="n">
        <x:v>42.800000000000004</x:v>
      </x:c>
      <x:c r="J4811" s="24" t="n">
        <x:v>10</x:v>
      </x:c>
      <x:c r="K4811" s="26" t="n">
        <x:v>0</x:v>
      </x:c>
      <x:c r="L4811" s="22" t="n">
        <x:v>19.259999999999998</x:v>
      </x:c>
      <x:c r="M4811" t="n">
        <x:v>2015</x:v>
      </x:c>
      <x:c r="N4811" s="20" t="n">
        <x:v>42309</x:v>
      </x:c>
    </x:row>
    <x:row r="4812" ht="18" customHeight="1">
      <x:c r="A4812" t="str">
        <x:v>CA-2015-137708</x:v>
      </x:c>
      <x:c r="B4812" s="18" t="n">
        <x:v>42330</x:v>
      </x:c>
      <x:c r="C4812" t="str">
        <x:v>NG-18430</x:v>
      </x:c>
      <x:c r="D4812" t="str">
        <x:v>Nathan Gelder</x:v>
      </x:c>
      <x:c r="E4812" t="str">
        <x:v>Consumer</x:v>
      </x:c>
      <x:c r="F4812" t="str">
        <x:v>West</x:v>
      </x:c>
      <x:c r="G4812" t="str">
        <x:v>Office Supplies</x:v>
      </x:c>
      <x:c r="H4812" t="str">
        <x:v>Storage</x:v>
      </x:c>
      <x:c r="I4812" s="22" t="n">
        <x:v>33.63</x:v>
      </x:c>
      <x:c r="J4812" s="24" t="n">
        <x:v>3</x:v>
      </x:c>
      <x:c r="K4812" s="26" t="n">
        <x:v>0</x:v>
      </x:c>
      <x:c r="L4812" s="22" t="n">
        <x:v>10.088999999999999</x:v>
      </x:c>
      <x:c r="M4812" t="n">
        <x:v>2015</x:v>
      </x:c>
      <x:c r="N4812" s="20" t="n">
        <x:v>42309</x:v>
      </x:c>
    </x:row>
    <x:row r="4813" ht="18" customHeight="1">
      <x:c r="A4813" t="str">
        <x:v>CA-2014-149055</x:v>
      </x:c>
      <x:c r="B4813" s="18" t="n">
        <x:v>41966</x:v>
      </x:c>
      <x:c r="C4813" t="str">
        <x:v>PB-19210</x:v>
      </x:c>
      <x:c r="D4813" t="str">
        <x:v>Phillip Breyer</x:v>
      </x:c>
      <x:c r="E4813" t="str">
        <x:v>Corporate</x:v>
      </x:c>
      <x:c r="F4813" t="str">
        <x:v>East</x:v>
      </x:c>
      <x:c r="G4813" t="str">
        <x:v>Office Supplies</x:v>
      </x:c>
      <x:c r="H4813" t="str">
        <x:v>Envelopes</x:v>
      </x:c>
      <x:c r="I4813" s="22" t="n">
        <x:v>62.80800000000001</x:v>
      </x:c>
      <x:c r="J4813" s="24" t="n">
        <x:v>3</x:v>
      </x:c>
      <x:c r="K4813" s="26" t="n">
        <x:v>0.2</x:v>
      </x:c>
      <x:c r="L4813" s="22" t="n">
        <x:v>21.1977</x:v>
      </x:c>
      <x:c r="M4813" t="n">
        <x:v>2014</x:v>
      </x:c>
      <x:c r="N4813" s="20" t="n">
        <x:v>41944</x:v>
      </x:c>
    </x:row>
    <x:row r="4814" ht="18" customHeight="1">
      <x:c r="A4814" t="str">
        <x:v>CA-2015-151589</x:v>
      </x:c>
      <x:c r="B4814" s="18" t="n">
        <x:v>42365</x:v>
      </x:c>
      <x:c r="C4814" t="str">
        <x:v>RE-19450</x:v>
      </x:c>
      <x:c r="D4814" t="str">
        <x:v>Richard Eichhorn</x:v>
      </x:c>
      <x:c r="E4814" t="str">
        <x:v>Consumer</x:v>
      </x:c>
      <x:c r="F4814" t="str">
        <x:v>Central</x:v>
      </x:c>
      <x:c r="G4814" t="str">
        <x:v>Office Supplies</x:v>
      </x:c>
      <x:c r="H4814" t="str">
        <x:v>Paper</x:v>
      </x:c>
      <x:c r="I4814" s="22" t="n">
        <x:v>195.64</x:v>
      </x:c>
      <x:c r="J4814" s="24" t="n">
        <x:v>4</x:v>
      </x:c>
      <x:c r="K4814" s="26" t="n">
        <x:v>0</x:v>
      </x:c>
      <x:c r="L4814" s="22" t="n">
        <x:v>91.95079999999999</x:v>
      </x:c>
      <x:c r="M4814" t="n">
        <x:v>2015</x:v>
      </x:c>
      <x:c r="N4814" s="20" t="n">
        <x:v>42339</x:v>
      </x:c>
    </x:row>
    <x:row r="4815" ht="18" customHeight="1">
      <x:c r="A4815" t="str">
        <x:v>CA-2015-151589</x:v>
      </x:c>
      <x:c r="B4815" s="18" t="n">
        <x:v>42365</x:v>
      </x:c>
      <x:c r="C4815" t="str">
        <x:v>RE-19450</x:v>
      </x:c>
      <x:c r="D4815" t="str">
        <x:v>Richard Eichhorn</x:v>
      </x:c>
      <x:c r="E4815" t="str">
        <x:v>Consumer</x:v>
      </x:c>
      <x:c r="F4815" t="str">
        <x:v>Central</x:v>
      </x:c>
      <x:c r="G4815" t="str">
        <x:v>Technology</x:v>
      </x:c>
      <x:c r="H4815" t="str">
        <x:v>Phones</x:v>
      </x:c>
      <x:c r="I4815" s="22" t="n">
        <x:v>239.9</x:v>
      </x:c>
      <x:c r="J4815" s="24" t="n">
        <x:v>2</x:v>
      </x:c>
      <x:c r="K4815" s="26" t="n">
        <x:v>0</x:v>
      </x:c>
      <x:c r="L4815" s="22" t="n">
        <x:v>71.97</x:v>
      </x:c>
      <x:c r="M4815" t="n">
        <x:v>2015</x:v>
      </x:c>
      <x:c r="N4815" s="20" t="n">
        <x:v>42339</x:v>
      </x:c>
    </x:row>
    <x:row r="4816" ht="18" customHeight="1">
      <x:c r="A4816" t="str">
        <x:v>CA-2016-121370</x:v>
      </x:c>
      <x:c r="B4816" s="18" t="n">
        <x:v>42688</x:v>
      </x:c>
      <x:c r="C4816" t="str">
        <x:v>EB-14110</x:v>
      </x:c>
      <x:c r="D4816" t="str">
        <x:v>Eugene Barchas</x:v>
      </x:c>
      <x:c r="E4816" t="str">
        <x:v>Consumer</x:v>
      </x:c>
      <x:c r="F4816" t="str">
        <x:v>East</x:v>
      </x:c>
      <x:c r="G4816" t="str">
        <x:v>Furniture</x:v>
      </x:c>
      <x:c r="H4816" t="str">
        <x:v>Chairs</x:v>
      </x:c>
      <x:c r="I4816" s="22" t="n">
        <x:v>380.05799999999994</x:v>
      </x:c>
      <x:c r="J4816" s="24" t="n">
        <x:v>3</x:v>
      </x:c>
      <x:c r="K4816" s="26" t="n">
        <x:v>0.3</x:v>
      </x:c>
      <x:c r="L4816" s="22" t="n">
        <x:v>-21.717600000000004</x:v>
      </x:c>
      <x:c r="M4816" t="n">
        <x:v>2016</x:v>
      </x:c>
      <x:c r="N4816" s="20" t="n">
        <x:v>42675</x:v>
      </x:c>
    </x:row>
    <x:row r="4817" ht="18" customHeight="1">
      <x:c r="A4817" t="str">
        <x:v>CA-2016-121370</x:v>
      </x:c>
      <x:c r="B4817" s="18" t="n">
        <x:v>42688</x:v>
      </x:c>
      <x:c r="C4817" t="str">
        <x:v>EB-14110</x:v>
      </x:c>
      <x:c r="D4817" t="str">
        <x:v>Eugene Barchas</x:v>
      </x:c>
      <x:c r="E4817" t="str">
        <x:v>Consumer</x:v>
      </x:c>
      <x:c r="F4817" t="str">
        <x:v>East</x:v>
      </x:c>
      <x:c r="G4817" t="str">
        <x:v>Technology</x:v>
      </x:c>
      <x:c r="H4817" t="str">
        <x:v>Copiers</x:v>
      </x:c>
      <x:c r="I4817" s="22" t="n">
        <x:v>1199.9759999999999</x:v>
      </x:c>
      <x:c r="J4817" s="24" t="n">
        <x:v>4</x:v>
      </x:c>
      <x:c r="K4817" s="26" t="n">
        <x:v>0.4</x:v>
      </x:c>
      <x:c r="L4817" s="22" t="n">
        <x:v>179.9964</x:v>
      </x:c>
      <x:c r="M4817" t="n">
        <x:v>2016</x:v>
      </x:c>
      <x:c r="N4817" s="20" t="n">
        <x:v>42675</x:v>
      </x:c>
    </x:row>
    <x:row r="4818" ht="18" customHeight="1">
      <x:c r="A4818" t="str">
        <x:v>CA-2016-121370</x:v>
      </x:c>
      <x:c r="B4818" s="18" t="n">
        <x:v>42688</x:v>
      </x:c>
      <x:c r="C4818" t="str">
        <x:v>EB-14110</x:v>
      </x:c>
      <x:c r="D4818" t="str">
        <x:v>Eugene Barchas</x:v>
      </x:c>
      <x:c r="E4818" t="str">
        <x:v>Consumer</x:v>
      </x:c>
      <x:c r="F4818" t="str">
        <x:v>East</x:v>
      </x:c>
      <x:c r="G4818" t="str">
        <x:v>Furniture</x:v>
      </x:c>
      <x:c r="H4818" t="str">
        <x:v>Furnishings</x:v>
      </x:c>
      <x:c r="I4818" s="22" t="n">
        <x:v>48.576</x:v>
      </x:c>
      <x:c r="J4818" s="24" t="n">
        <x:v>3</x:v>
      </x:c>
      <x:c r="K4818" s="26" t="n">
        <x:v>0.2</x:v>
      </x:c>
      <x:c r="L4818" s="22" t="n">
        <x:v>9.715199999999994</x:v>
      </x:c>
      <x:c r="M4818" t="n">
        <x:v>2016</x:v>
      </x:c>
      <x:c r="N4818" s="20" t="n">
        <x:v>42675</x:v>
      </x:c>
    </x:row>
    <x:row r="4819" ht="18" customHeight="1">
      <x:c r="A4819" t="str">
        <x:v>CA-2016-111696</x:v>
      </x:c>
      <x:c r="B4819" s="18" t="n">
        <x:v>42498</x:v>
      </x:c>
      <x:c r="C4819" t="str">
        <x:v>TB-21625</x:v>
      </x:c>
      <x:c r="D4819" t="str">
        <x:v>Trudy Brown</x:v>
      </x:c>
      <x:c r="E4819" t="str">
        <x:v>Consumer</x:v>
      </x:c>
      <x:c r="F4819" t="str">
        <x:v>West</x:v>
      </x:c>
      <x:c r="G4819" t="str">
        <x:v>Office Supplies</x:v>
      </x:c>
      <x:c r="H4819" t="str">
        <x:v>Paper</x:v>
      </x:c>
      <x:c r="I4819" s="22" t="n">
        <x:v>17.94</x:v>
      </x:c>
      <x:c r="J4819" s="24" t="n">
        <x:v>3</x:v>
      </x:c>
      <x:c r="K4819" s="26" t="n">
        <x:v>0</x:v>
      </x:c>
      <x:c r="L4819" s="22" t="n">
        <x:v>8.073</x:v>
      </x:c>
      <x:c r="M4819" t="n">
        <x:v>2016</x:v>
      </x:c>
      <x:c r="N4819" s="20" t="n">
        <x:v>42491</x:v>
      </x:c>
    </x:row>
    <x:row r="4820" ht="18" customHeight="1">
      <x:c r="A4820" t="str">
        <x:v>CA-2014-139598</x:v>
      </x:c>
      <x:c r="B4820" s="18" t="n">
        <x:v>41999</x:v>
      </x:c>
      <x:c r="C4820" t="str">
        <x:v>MG-17695</x:v>
      </x:c>
      <x:c r="D4820" t="str">
        <x:v>Maureen Gnade</x:v>
      </x:c>
      <x:c r="E4820" t="str">
        <x:v>Consumer</x:v>
      </x:c>
      <x:c r="F4820" t="str">
        <x:v>East</x:v>
      </x:c>
      <x:c r="G4820" t="str">
        <x:v>Office Supplies</x:v>
      </x:c>
      <x:c r="H4820" t="str">
        <x:v>Paper</x:v>
      </x:c>
      <x:c r="I4820" s="22" t="n">
        <x:v>18.264000000000003</x:v>
      </x:c>
      <x:c r="J4820" s="24" t="n">
        <x:v>3</x:v>
      </x:c>
      <x:c r="K4820" s="26" t="n">
        <x:v>0.2</x:v>
      </x:c>
      <x:c r="L4820" s="22" t="n">
        <x:v>6.1640999999999995</x:v>
      </x:c>
      <x:c r="M4820" t="n">
        <x:v>2014</x:v>
      </x:c>
      <x:c r="N4820" s="20" t="n">
        <x:v>41974</x:v>
      </x:c>
    </x:row>
    <x:row r="4821" ht="18" customHeight="1">
      <x:c r="A4821" t="str">
        <x:v>CA-2014-139598</x:v>
      </x:c>
      <x:c r="B4821" s="18" t="n">
        <x:v>41999</x:v>
      </x:c>
      <x:c r="C4821" t="str">
        <x:v>MG-17695</x:v>
      </x:c>
      <x:c r="D4821" t="str">
        <x:v>Maureen Gnade</x:v>
      </x:c>
      <x:c r="E4821" t="str">
        <x:v>Consumer</x:v>
      </x:c>
      <x:c r="F4821" t="str">
        <x:v>East</x:v>
      </x:c>
      <x:c r="G4821" t="str">
        <x:v>Office Supplies</x:v>
      </x:c>
      <x:c r="H4821" t="str">
        <x:v>Appliances</x:v>
      </x:c>
      <x:c r="I4821" s="22" t="n">
        <x:v>34.656</x:v>
      </x:c>
      <x:c r="J4821" s="24" t="n">
        <x:v>2</x:v>
      </x:c>
      <x:c r="K4821" s="26" t="n">
        <x:v>0.2</x:v>
      </x:c>
      <x:c r="L4821" s="22" t="n">
        <x:v>5.631599999999997</x:v>
      </x:c>
      <x:c r="M4821" t="n">
        <x:v>2014</x:v>
      </x:c>
      <x:c r="N4821" s="20" t="n">
        <x:v>41974</x:v>
      </x:c>
    </x:row>
    <x:row r="4822" ht="18" customHeight="1">
      <x:c r="A4822" t="str">
        <x:v>CA-2014-139598</x:v>
      </x:c>
      <x:c r="B4822" s="18" t="n">
        <x:v>41999</x:v>
      </x:c>
      <x:c r="C4822" t="str">
        <x:v>MG-17695</x:v>
      </x:c>
      <x:c r="D4822" t="str">
        <x:v>Maureen Gnade</x:v>
      </x:c>
      <x:c r="E4822" t="str">
        <x:v>Consumer</x:v>
      </x:c>
      <x:c r="F4822" t="str">
        <x:v>East</x:v>
      </x:c>
      <x:c r="G4822" t="str">
        <x:v>Office Supplies</x:v>
      </x:c>
      <x:c r="H4822" t="str">
        <x:v>Appliances</x:v>
      </x:c>
      <x:c r="I4822" s="22" t="n">
        <x:v>81.552</x:v>
      </x:c>
      <x:c r="J4822" s="24" t="n">
        <x:v>2</x:v>
      </x:c>
      <x:c r="K4822" s="26" t="n">
        <x:v>0.2</x:v>
      </x:c>
      <x:c r="L4822" s="22" t="n">
        <x:v>8.155199999999997</x:v>
      </x:c>
      <x:c r="M4822" t="n">
        <x:v>2014</x:v>
      </x:c>
      <x:c r="N4822" s="20" t="n">
        <x:v>41974</x:v>
      </x:c>
    </x:row>
    <x:row r="4823" ht="18" customHeight="1">
      <x:c r="A4823" t="str">
        <x:v>CA-2014-139598</x:v>
      </x:c>
      <x:c r="B4823" s="18" t="n">
        <x:v>41999</x:v>
      </x:c>
      <x:c r="C4823" t="str">
        <x:v>MG-17695</x:v>
      </x:c>
      <x:c r="D4823" t="str">
        <x:v>Maureen Gnade</x:v>
      </x:c>
      <x:c r="E4823" t="str">
        <x:v>Consumer</x:v>
      </x:c>
      <x:c r="F4823" t="str">
        <x:v>East</x:v>
      </x:c>
      <x:c r="G4823" t="str">
        <x:v>Office Supplies</x:v>
      </x:c>
      <x:c r="H4823" t="str">
        <x:v>Storage</x:v>
      </x:c>
      <x:c r="I4823" s="22" t="n">
        <x:v>227.13600000000002</x:v>
      </x:c>
      <x:c r="J4823" s="24" t="n">
        <x:v>4</x:v>
      </x:c>
      <x:c r="K4823" s="26" t="n">
        <x:v>0.2</x:v>
      </x:c>
      <x:c r="L4823" s="22" t="n">
        <x:v>-42.58800000000004</x:v>
      </x:c>
      <x:c r="M4823" t="n">
        <x:v>2014</x:v>
      </x:c>
      <x:c r="N4823" s="20" t="n">
        <x:v>41974</x:v>
      </x:c>
    </x:row>
    <x:row r="4824" ht="18" customHeight="1">
      <x:c r="A4824" t="str">
        <x:v>CA-2017-117436</x:v>
      </x:c>
      <x:c r="B4824" s="18" t="n">
        <x:v>42894</x:v>
      </x:c>
      <x:c r="C4824" t="str">
        <x:v>LW-17125</x:v>
      </x:c>
      <x:c r="D4824" t="str">
        <x:v>Liz Willingham</x:v>
      </x:c>
      <x:c r="E4824" t="str">
        <x:v>Consumer</x:v>
      </x:c>
      <x:c r="F4824" t="str">
        <x:v>East</x:v>
      </x:c>
      <x:c r="G4824" t="str">
        <x:v>Office Supplies</x:v>
      </x:c>
      <x:c r="H4824" t="str">
        <x:v>Binders</x:v>
      </x:c>
      <x:c r="I4824" s="22" t="n">
        <x:v>10.36</x:v>
      </x:c>
      <x:c r="J4824" s="24" t="n">
        <x:v>2</x:v>
      </x:c>
      <x:c r="K4824" s="26" t="n">
        <x:v>0</x:v>
      </x:c>
      <x:c r="L4824" s="22" t="n">
        <x:v>5.0764</x:v>
      </x:c>
      <x:c r="M4824" t="n">
        <x:v>2017</x:v>
      </x:c>
      <x:c r="N4824" s="20" t="n">
        <x:v>42887</x:v>
      </x:c>
    </x:row>
    <x:row r="4825" ht="18" customHeight="1">
      <x:c r="A4825" t="str">
        <x:v>CA-2015-140025</x:v>
      </x:c>
      <x:c r="B4825" s="18" t="n">
        <x:v>42101</x:v>
      </x:c>
      <x:c r="C4825" t="str">
        <x:v>PF-19120</x:v>
      </x:c>
      <x:c r="D4825" t="str">
        <x:v>Peter Fuller</x:v>
      </x:c>
      <x:c r="E4825" t="str">
        <x:v>Consumer</x:v>
      </x:c>
      <x:c r="F4825" t="str">
        <x:v>Central</x:v>
      </x:c>
      <x:c r="G4825" t="str">
        <x:v>Office Supplies</x:v>
      </x:c>
      <x:c r="H4825" t="str">
        <x:v>Appliances</x:v>
      </x:c>
      <x:c r="I4825" s="22" t="n">
        <x:v>463.2479999999999</x:v>
      </x:c>
      <x:c r="J4825" s="24" t="n">
        <x:v>8</x:v>
      </x:c>
      <x:c r="K4825" s="26" t="n">
        <x:v>0.8</x:v>
      </x:c>
      <x:c r="L4825" s="22" t="n">
        <x:v>-1181.2824000000003</x:v>
      </x:c>
      <x:c r="M4825" t="n">
        <x:v>2015</x:v>
      </x:c>
      <x:c r="N4825" s="20" t="n">
        <x:v>42095</x:v>
      </x:c>
    </x:row>
    <x:row r="4826" ht="18" customHeight="1">
      <x:c r="A4826" t="str">
        <x:v>CA-2015-140025</x:v>
      </x:c>
      <x:c r="B4826" s="18" t="n">
        <x:v>42101</x:v>
      </x:c>
      <x:c r="C4826" t="str">
        <x:v>PF-19120</x:v>
      </x:c>
      <x:c r="D4826" t="str">
        <x:v>Peter Fuller</x:v>
      </x:c>
      <x:c r="E4826" t="str">
        <x:v>Consumer</x:v>
      </x:c>
      <x:c r="F4826" t="str">
        <x:v>Central</x:v>
      </x:c>
      <x:c r="G4826" t="str">
        <x:v>Technology</x:v>
      </x:c>
      <x:c r="H4826" t="str">
        <x:v>Accessories</x:v>
      </x:c>
      <x:c r="I4826" s="22" t="n">
        <x:v>383.952</x:v>
      </x:c>
      <x:c r="J4826" s="24" t="n">
        <x:v>6</x:v>
      </x:c>
      <x:c r="K4826" s="26" t="n">
        <x:v>0.2</x:v>
      </x:c>
      <x:c r="L4826" s="22" t="n">
        <x:v>47.99399999999997</x:v>
      </x:c>
      <x:c r="M4826" t="n">
        <x:v>2015</x:v>
      </x:c>
      <x:c r="N4826" s="20" t="n">
        <x:v>42095</x:v>
      </x:c>
    </x:row>
    <x:row r="4827" ht="18" customHeight="1">
      <x:c r="A4827" t="str">
        <x:v>CA-2016-134222</x:v>
      </x:c>
      <x:c r="B4827" s="18" t="n">
        <x:v>42561</x:v>
      </x:c>
      <x:c r="C4827" t="str">
        <x:v>NZ-18565</x:v>
      </x:c>
      <x:c r="D4827" t="str">
        <x:v>Nick Zandusky</x:v>
      </x:c>
      <x:c r="E4827" t="str">
        <x:v>Home Office</x:v>
      </x:c>
      <x:c r="F4827" t="str">
        <x:v>West</x:v>
      </x:c>
      <x:c r="G4827" t="str">
        <x:v>Office Supplies</x:v>
      </x:c>
      <x:c r="H4827" t="str">
        <x:v>Binders</x:v>
      </x:c>
      <x:c r="I4827" s="22" t="n">
        <x:v>44.85600000000001</x:v>
      </x:c>
      <x:c r="J4827" s="24" t="n">
        <x:v>6</x:v>
      </x:c>
      <x:c r="K4827" s="26" t="n">
        <x:v>0.7</x:v>
      </x:c>
      <x:c r="L4827" s="22" t="n">
        <x:v>-35.884799999999984</x:v>
      </x:c>
      <x:c r="M4827" t="n">
        <x:v>2016</x:v>
      </x:c>
      <x:c r="N4827" s="20" t="n">
        <x:v>42552</x:v>
      </x:c>
    </x:row>
    <x:row r="4828" ht="18" customHeight="1">
      <x:c r="A4828" t="str">
        <x:v>CA-2016-140018</x:v>
      </x:c>
      <x:c r="B4828" s="18" t="n">
        <x:v>42695</x:v>
      </x:c>
      <x:c r="C4828" t="str">
        <x:v>CK-12205</x:v>
      </x:c>
      <x:c r="D4828" t="str">
        <x:v>Chloris Kastensmidt</x:v>
      </x:c>
      <x:c r="E4828" t="str">
        <x:v>Consumer</x:v>
      </x:c>
      <x:c r="F4828" t="str">
        <x:v>East</x:v>
      </x:c>
      <x:c r="G4828" t="str">
        <x:v>Technology</x:v>
      </x:c>
      <x:c r="H4828" t="str">
        <x:v>Machines</x:v>
      </x:c>
      <x:c r="I4828" s="22" t="n">
        <x:v>30.345000000000006</x:v>
      </x:c>
      <x:c r="J4828" s="24" t="n">
        <x:v>7</x:v>
      </x:c>
      <x:c r="K4828" s="26" t="n">
        <x:v>0.7</x:v>
      </x:c>
      <x:c r="L4828" s="22" t="n">
        <x:v>-24.275999999999996</x:v>
      </x:c>
      <x:c r="M4828" t="n">
        <x:v>2016</x:v>
      </x:c>
      <x:c r="N4828" s="20" t="n">
        <x:v>42675</x:v>
      </x:c>
    </x:row>
    <x:row r="4829" ht="18" customHeight="1">
      <x:c r="A4829" t="str">
        <x:v>CA-2016-140018</x:v>
      </x:c>
      <x:c r="B4829" s="18" t="n">
        <x:v>42695</x:v>
      </x:c>
      <x:c r="C4829" t="str">
        <x:v>CK-12205</x:v>
      </x:c>
      <x:c r="D4829" t="str">
        <x:v>Chloris Kastensmidt</x:v>
      </x:c>
      <x:c r="E4829" t="str">
        <x:v>Consumer</x:v>
      </x:c>
      <x:c r="F4829" t="str">
        <x:v>East</x:v>
      </x:c>
      <x:c r="G4829" t="str">
        <x:v>Furniture</x:v>
      </x:c>
      <x:c r="H4829" t="str">
        <x:v>Chairs</x:v>
      </x:c>
      <x:c r="I4829" s="22" t="n">
        <x:v>127.554</x:v>
      </x:c>
      <x:c r="J4829" s="24" t="n">
        <x:v>3</x:v>
      </x:c>
      <x:c r="K4829" s="26" t="n">
        <x:v>0.3</x:v>
      </x:c>
      <x:c r="L4829" s="22" t="n">
        <x:v>-9.110999999999997</x:v>
      </x:c>
      <x:c r="M4829" t="n">
        <x:v>2016</x:v>
      </x:c>
      <x:c r="N4829" s="20" t="n">
        <x:v>42675</x:v>
      </x:c>
    </x:row>
    <x:row r="4830" ht="18" customHeight="1">
      <x:c r="A4830" t="str">
        <x:v>CA-2016-140018</x:v>
      </x:c>
      <x:c r="B4830" s="18" t="n">
        <x:v>42695</x:v>
      </x:c>
      <x:c r="C4830" t="str">
        <x:v>CK-12205</x:v>
      </x:c>
      <x:c r="D4830" t="str">
        <x:v>Chloris Kastensmidt</x:v>
      </x:c>
      <x:c r="E4830" t="str">
        <x:v>Consumer</x:v>
      </x:c>
      <x:c r="F4830" t="str">
        <x:v>East</x:v>
      </x:c>
      <x:c r="G4830" t="str">
        <x:v>Furniture</x:v>
      </x:c>
      <x:c r="H4830" t="str">
        <x:v>Furnishings</x:v>
      </x:c>
      <x:c r="I4830" s="22" t="n">
        <x:v>77.952</x:v>
      </x:c>
      <x:c r="J4830" s="24" t="n">
        <x:v>3</x:v>
      </x:c>
      <x:c r="K4830" s="26" t="n">
        <x:v>0.2</x:v>
      </x:c>
      <x:c r="L4830" s="22" t="n">
        <x:v>15.590399999999995</x:v>
      </x:c>
      <x:c r="M4830" t="n">
        <x:v>2016</x:v>
      </x:c>
      <x:c r="N4830" s="20" t="n">
        <x:v>42675</x:v>
      </x:c>
    </x:row>
    <x:row r="4831" ht="18" customHeight="1">
      <x:c r="A4831" t="str">
        <x:v>US-2017-136707</x:v>
      </x:c>
      <x:c r="B4831" s="18" t="n">
        <x:v>43051</x:v>
      </x:c>
      <x:c r="C4831" t="str">
        <x:v>JE-15610</x:v>
      </x:c>
      <x:c r="D4831" t="str">
        <x:v>Jim Epp</x:v>
      </x:c>
      <x:c r="E4831" t="str">
        <x:v>Corporate</x:v>
      </x:c>
      <x:c r="F4831" t="str">
        <x:v>West</x:v>
      </x:c>
      <x:c r="G4831" t="str">
        <x:v>Office Supplies</x:v>
      </x:c>
      <x:c r="H4831" t="str">
        <x:v>Binders</x:v>
      </x:c>
      <x:c r="I4831" s="22" t="n">
        <x:v>14.016</x:v>
      </x:c>
      <x:c r="J4831" s="24" t="n">
        <x:v>4</x:v>
      </x:c>
      <x:c r="K4831" s="26" t="n">
        <x:v>0.2</x:v>
      </x:c>
      <x:c r="L4831" s="22" t="n">
        <x:v>4.9056</x:v>
      </x:c>
      <x:c r="M4831" t="n">
        <x:v>2017</x:v>
      </x:c>
      <x:c r="N4831" s="20" t="n">
        <x:v>43040</x:v>
      </x:c>
    </x:row>
    <x:row r="4832" ht="18" customHeight="1">
      <x:c r="A4832" t="str">
        <x:v>CA-2014-152562</x:v>
      </x:c>
      <x:c r="B4832" s="18" t="n">
        <x:v>41944</x:v>
      </x:c>
      <x:c r="C4832" t="str">
        <x:v>JO-15145</x:v>
      </x:c>
      <x:c r="D4832" t="str">
        <x:v>Jack O'Briant</x:v>
      </x:c>
      <x:c r="E4832" t="str">
        <x:v>Corporate</x:v>
      </x:c>
      <x:c r="F4832" t="str">
        <x:v>South</x:v>
      </x:c>
      <x:c r="G4832" t="str">
        <x:v>Office Supplies</x:v>
      </x:c>
      <x:c r="H4832" t="str">
        <x:v>Storage</x:v>
      </x:c>
      <x:c r="I4832" s="22" t="n">
        <x:v>69.52</x:v>
      </x:c>
      <x:c r="J4832" s="24" t="n">
        <x:v>2</x:v>
      </x:c>
      <x:c r="K4832" s="26" t="n">
        <x:v>0</x:v>
      </x:c>
      <x:c r="L4832" s="22" t="n">
        <x:v>19.465600000000002</x:v>
      </x:c>
      <x:c r="M4832" t="n">
        <x:v>2014</x:v>
      </x:c>
      <x:c r="N4832" s="20" t="n">
        <x:v>41944</x:v>
      </x:c>
    </x:row>
    <x:row r="4833" ht="18" customHeight="1">
      <x:c r="A4833" t="str">
        <x:v>CA-2014-152562</x:v>
      </x:c>
      <x:c r="B4833" s="18" t="n">
        <x:v>41944</x:v>
      </x:c>
      <x:c r="C4833" t="str">
        <x:v>JO-15145</x:v>
      </x:c>
      <x:c r="D4833" t="str">
        <x:v>Jack O'Briant</x:v>
      </x:c>
      <x:c r="E4833" t="str">
        <x:v>Corporate</x:v>
      </x:c>
      <x:c r="F4833" t="str">
        <x:v>South</x:v>
      </x:c>
      <x:c r="G4833" t="str">
        <x:v>Office Supplies</x:v>
      </x:c>
      <x:c r="H4833" t="str">
        <x:v>Art</x:v>
      </x:c>
      <x:c r="I4833" s="22" t="n">
        <x:v>5.64</x:v>
      </x:c>
      <x:c r="J4833" s="24" t="n">
        <x:v>3</x:v>
      </x:c>
      <x:c r="K4833" s="26" t="n">
        <x:v>0</x:v>
      </x:c>
      <x:c r="L4833" s="22" t="n">
        <x:v>1.6355999999999997</x:v>
      </x:c>
      <x:c r="M4833" t="n">
        <x:v>2014</x:v>
      </x:c>
      <x:c r="N4833" s="20" t="n">
        <x:v>41944</x:v>
      </x:c>
    </x:row>
    <x:row r="4834" ht="18" customHeight="1">
      <x:c r="A4834" t="str">
        <x:v>CA-2016-152408</x:v>
      </x:c>
      <x:c r="B4834" s="18" t="n">
        <x:v>42505</x:v>
      </x:c>
      <x:c r="C4834" t="str">
        <x:v>TT-21220</x:v>
      </x:c>
      <x:c r="D4834" t="str">
        <x:v>Thomas Thornton</x:v>
      </x:c>
      <x:c r="E4834" t="str">
        <x:v>Consumer</x:v>
      </x:c>
      <x:c r="F4834" t="str">
        <x:v>East</x:v>
      </x:c>
      <x:c r="G4834" t="str">
        <x:v>Office Supplies</x:v>
      </x:c>
      <x:c r="H4834" t="str">
        <x:v>Binders</x:v>
      </x:c>
      <x:c r="I4834" s="22" t="n">
        <x:v>13.776000000000002</x:v>
      </x:c>
      <x:c r="J4834" s="24" t="n">
        <x:v>3</x:v>
      </x:c>
      <x:c r="K4834" s="26" t="n">
        <x:v>0.2</x:v>
      </x:c>
      <x:c r="L4834" s="22" t="n">
        <x:v>4.4772</x:v>
      </x:c>
      <x:c r="M4834" t="n">
        <x:v>2016</x:v>
      </x:c>
      <x:c r="N4834" s="20" t="n">
        <x:v>42491</x:v>
      </x:c>
    </x:row>
    <x:row r="4835" ht="18" customHeight="1">
      <x:c r="A4835" t="str">
        <x:v>CA-2014-120278</x:v>
      </x:c>
      <x:c r="B4835" s="18" t="n">
        <x:v>41950</x:v>
      </x:c>
      <x:c r="C4835" t="str">
        <x:v>MS-17365</x:v>
      </x:c>
      <x:c r="D4835" t="str">
        <x:v>Maribeth Schnelling</x:v>
      </x:c>
      <x:c r="E4835" t="str">
        <x:v>Consumer</x:v>
      </x:c>
      <x:c r="F4835" t="str">
        <x:v>Central</x:v>
      </x:c>
      <x:c r="G4835" t="str">
        <x:v>Office Supplies</x:v>
      </x:c>
      <x:c r="H4835" t="str">
        <x:v>Appliances</x:v>
      </x:c>
      <x:c r="I4835" s="22" t="n">
        <x:v>245.88</x:v>
      </x:c>
      <x:c r="J4835" s="24" t="n">
        <x:v>6</x:v>
      </x:c>
      <x:c r="K4835" s="26" t="n">
        <x:v>0</x:v>
      </x:c>
      <x:c r="L4835" s="22" t="n">
        <x:v>68.84639999999999</x:v>
      </x:c>
      <x:c r="M4835" t="n">
        <x:v>2014</x:v>
      </x:c>
      <x:c r="N4835" s="20" t="n">
        <x:v>41944</x:v>
      </x:c>
    </x:row>
    <x:row r="4836" ht="18" customHeight="1">
      <x:c r="A4836" t="str">
        <x:v>CA-2014-120278</x:v>
      </x:c>
      <x:c r="B4836" s="18" t="n">
        <x:v>41950</x:v>
      </x:c>
      <x:c r="C4836" t="str">
        <x:v>MS-17365</x:v>
      </x:c>
      <x:c r="D4836" t="str">
        <x:v>Maribeth Schnelling</x:v>
      </x:c>
      <x:c r="E4836" t="str">
        <x:v>Consumer</x:v>
      </x:c>
      <x:c r="F4836" t="str">
        <x:v>Central</x:v>
      </x:c>
      <x:c r="G4836" t="str">
        <x:v>Office Supplies</x:v>
      </x:c>
      <x:c r="H4836" t="str">
        <x:v>Storage</x:v>
      </x:c>
      <x:c r="I4836" s="22" t="n">
        <x:v>36.63</x:v>
      </x:c>
      <x:c r="J4836" s="24" t="n">
        <x:v>3</x:v>
      </x:c>
      <x:c r="K4836" s="26" t="n">
        <x:v>0</x:v>
      </x:c>
      <x:c r="L4836" s="22" t="n">
        <x:v>9.890100000000004</x:v>
      </x:c>
      <x:c r="M4836" t="n">
        <x:v>2014</x:v>
      </x:c>
      <x:c r="N4836" s="20" t="n">
        <x:v>41944</x:v>
      </x:c>
    </x:row>
    <x:row r="4837" ht="18" customHeight="1">
      <x:c r="A4837" t="str">
        <x:v>CA-2014-120278</x:v>
      </x:c>
      <x:c r="B4837" s="18" t="n">
        <x:v>41950</x:v>
      </x:c>
      <x:c r="C4837" t="str">
        <x:v>MS-17365</x:v>
      </x:c>
      <x:c r="D4837" t="str">
        <x:v>Maribeth Schnelling</x:v>
      </x:c>
      <x:c r="E4837" t="str">
        <x:v>Consumer</x:v>
      </x:c>
      <x:c r="F4837" t="str">
        <x:v>Central</x:v>
      </x:c>
      <x:c r="G4837" t="str">
        <x:v>Office Supplies</x:v>
      </x:c>
      <x:c r="H4837" t="str">
        <x:v>Storage</x:v>
      </x:c>
      <x:c r="I4837" s="22" t="n">
        <x:v>22.58</x:v>
      </x:c>
      <x:c r="J4837" s="24" t="n">
        <x:v>2</x:v>
      </x:c>
      <x:c r="K4837" s="26" t="n">
        <x:v>0</x:v>
      </x:c>
      <x:c r="L4837" s="22" t="n">
        <x:v>5.870799999999999</x:v>
      </x:c>
      <x:c r="M4837" t="n">
        <x:v>2014</x:v>
      </x:c>
      <x:c r="N4837" s="20" t="n">
        <x:v>41944</x:v>
      </x:c>
    </x:row>
    <x:row r="4838" ht="18" customHeight="1">
      <x:c r="A4838" t="str">
        <x:v>CA-2014-120278</x:v>
      </x:c>
      <x:c r="B4838" s="18" t="n">
        <x:v>41950</x:v>
      </x:c>
      <x:c r="C4838" t="str">
        <x:v>MS-17365</x:v>
      </x:c>
      <x:c r="D4838" t="str">
        <x:v>Maribeth Schnelling</x:v>
      </x:c>
      <x:c r="E4838" t="str">
        <x:v>Consumer</x:v>
      </x:c>
      <x:c r="F4838" t="str">
        <x:v>Central</x:v>
      </x:c>
      <x:c r="G4838" t="str">
        <x:v>Office Supplies</x:v>
      </x:c>
      <x:c r="H4838" t="str">
        <x:v>Binders</x:v>
      </x:c>
      <x:c r="I4838" s="22" t="n">
        <x:v>12.39</x:v>
      </x:c>
      <x:c r="J4838" s="24" t="n">
        <x:v>3</x:v>
      </x:c>
      <x:c r="K4838" s="26" t="n">
        <x:v>0</x:v>
      </x:c>
      <x:c r="L4838" s="22" t="n">
        <x:v>5.8233</x:v>
      </x:c>
      <x:c r="M4838" t="n">
        <x:v>2014</x:v>
      </x:c>
      <x:c r="N4838" s="20" t="n">
        <x:v>41944</x:v>
      </x:c>
    </x:row>
    <x:row r="4839" ht="18" customHeight="1">
      <x:c r="A4839" t="str">
        <x:v>CA-2017-167661</x:v>
      </x:c>
      <x:c r="B4839" s="18" t="n">
        <x:v>43013</x:v>
      </x:c>
      <x:c r="C4839" t="str">
        <x:v>MP-18175</x:v>
      </x:c>
      <x:c r="D4839" t="str">
        <x:v>Mike Pelletier</x:v>
      </x:c>
      <x:c r="E4839" t="str">
        <x:v>Home Office</x:v>
      </x:c>
      <x:c r="F4839" t="str">
        <x:v>West</x:v>
      </x:c>
      <x:c r="G4839" t="str">
        <x:v>Office Supplies</x:v>
      </x:c>
      <x:c r="H4839" t="str">
        <x:v>Binders</x:v>
      </x:c>
      <x:c r="I4839" s="22" t="n">
        <x:v>39.92</x:v>
      </x:c>
      <x:c r="J4839" s="24" t="n">
        <x:v>5</x:v>
      </x:c>
      <x:c r="K4839" s="26" t="n">
        <x:v>0.2</x:v>
      </x:c>
      <x:c r="L4839" s="22" t="n">
        <x:v>13.472999999999999</x:v>
      </x:c>
      <x:c r="M4839" t="n">
        <x:v>2017</x:v>
      </x:c>
      <x:c r="N4839" s="20" t="n">
        <x:v>43009</x:v>
      </x:c>
    </x:row>
    <x:row r="4840" ht="18" customHeight="1">
      <x:c r="A4840" t="str">
        <x:v>CA-2017-167661</x:v>
      </x:c>
      <x:c r="B4840" s="18" t="n">
        <x:v>43013</x:v>
      </x:c>
      <x:c r="C4840" t="str">
        <x:v>MP-18175</x:v>
      </x:c>
      <x:c r="D4840" t="str">
        <x:v>Mike Pelletier</x:v>
      </x:c>
      <x:c r="E4840" t="str">
        <x:v>Home Office</x:v>
      </x:c>
      <x:c r="F4840" t="str">
        <x:v>West</x:v>
      </x:c>
      <x:c r="G4840" t="str">
        <x:v>Office Supplies</x:v>
      </x:c>
      <x:c r="H4840" t="str">
        <x:v>Paper</x:v>
      </x:c>
      <x:c r="I4840" s="22" t="n">
        <x:v>61.96</x:v>
      </x:c>
      <x:c r="J4840" s="24" t="n">
        <x:v>2</x:v>
      </x:c>
      <x:c r="K4840" s="26" t="n">
        <x:v>0</x:v>
      </x:c>
      <x:c r="L4840" s="22" t="n">
        <x:v>27.881999999999998</x:v>
      </x:c>
      <x:c r="M4840" t="n">
        <x:v>2017</x:v>
      </x:c>
      <x:c r="N4840" s="20" t="n">
        <x:v>43009</x:v>
      </x:c>
    </x:row>
    <x:row r="4841" ht="18" customHeight="1">
      <x:c r="A4841" t="str">
        <x:v>CA-2017-167661</x:v>
      </x:c>
      <x:c r="B4841" s="18" t="n">
        <x:v>43013</x:v>
      </x:c>
      <x:c r="C4841" t="str">
        <x:v>MP-18175</x:v>
      </x:c>
      <x:c r="D4841" t="str">
        <x:v>Mike Pelletier</x:v>
      </x:c>
      <x:c r="E4841" t="str">
        <x:v>Home Office</x:v>
      </x:c>
      <x:c r="F4841" t="str">
        <x:v>West</x:v>
      </x:c>
      <x:c r="G4841" t="str">
        <x:v>Office Supplies</x:v>
      </x:c>
      <x:c r="H4841" t="str">
        <x:v>Binders</x:v>
      </x:c>
      <x:c r="I4841" s="22" t="n">
        <x:v>19.936000000000003</x:v>
      </x:c>
      <x:c r="J4841" s="24" t="n">
        <x:v>4</x:v>
      </x:c>
      <x:c r="K4841" s="26" t="n">
        <x:v>0.2</x:v>
      </x:c>
      <x:c r="L4841" s="22" t="n">
        <x:v>7.2268</x:v>
      </x:c>
      <x:c r="M4841" t="n">
        <x:v>2017</x:v>
      </x:c>
      <x:c r="N4841" s="20" t="n">
        <x:v>43009</x:v>
      </x:c>
    </x:row>
    <x:row r="4842" ht="18" customHeight="1">
      <x:c r="A4842" t="str">
        <x:v>CA-2017-106831</x:v>
      </x:c>
      <x:c r="B4842" s="18" t="n">
        <x:v>42887</x:v>
      </x:c>
      <x:c r="C4842" t="str">
        <x:v>FH-14350</x:v>
      </x:c>
      <x:c r="D4842" t="str">
        <x:v>Fred Harton</x:v>
      </x:c>
      <x:c r="E4842" t="str">
        <x:v>Consumer</x:v>
      </x:c>
      <x:c r="F4842" t="str">
        <x:v>East</x:v>
      </x:c>
      <x:c r="G4842" t="str">
        <x:v>Office Supplies</x:v>
      </x:c>
      <x:c r="H4842" t="str">
        <x:v>Binders</x:v>
      </x:c>
      <x:c r="I4842" s="22" t="n">
        <x:v>3.7980000000000005</x:v>
      </x:c>
      <x:c r="J4842" s="24" t="n">
        <x:v>2</x:v>
      </x:c>
      <x:c r="K4842" s="26" t="n">
        <x:v>0.7</x:v>
      </x:c>
      <x:c r="L4842" s="22" t="n">
        <x:v>-2.6586</x:v>
      </x:c>
      <x:c r="M4842" t="n">
        <x:v>2017</x:v>
      </x:c>
      <x:c r="N4842" s="20" t="n">
        <x:v>42887</x:v>
      </x:c>
    </x:row>
    <x:row r="4843" ht="18" customHeight="1">
      <x:c r="A4843" t="str">
        <x:v>CA-2017-106831</x:v>
      </x:c>
      <x:c r="B4843" s="18" t="n">
        <x:v>42887</x:v>
      </x:c>
      <x:c r="C4843" t="str">
        <x:v>FH-14350</x:v>
      </x:c>
      <x:c r="D4843" t="str">
        <x:v>Fred Harton</x:v>
      </x:c>
      <x:c r="E4843" t="str">
        <x:v>Consumer</x:v>
      </x:c>
      <x:c r="F4843" t="str">
        <x:v>East</x:v>
      </x:c>
      <x:c r="G4843" t="str">
        <x:v>Office Supplies</x:v>
      </x:c>
      <x:c r="H4843" t="str">
        <x:v>Paper</x:v>
      </x:c>
      <x:c r="I4843" s="22" t="n">
        <x:v>27.744000000000003</x:v>
      </x:c>
      <x:c r="J4843" s="24" t="n">
        <x:v>6</x:v>
      </x:c>
      <x:c r="K4843" s="26" t="n">
        <x:v>0.2</x:v>
      </x:c>
      <x:c r="L4843" s="22" t="n">
        <x:v>10.057200000000002</x:v>
      </x:c>
      <x:c r="M4843" t="n">
        <x:v>2017</x:v>
      </x:c>
      <x:c r="N4843" s="20" t="n">
        <x:v>42887</x:v>
      </x:c>
    </x:row>
    <x:row r="4844" ht="18" customHeight="1">
      <x:c r="A4844" t="str">
        <x:v>CA-2017-106831</x:v>
      </x:c>
      <x:c r="B4844" s="18" t="n">
        <x:v>42887</x:v>
      </x:c>
      <x:c r="C4844" t="str">
        <x:v>FH-14350</x:v>
      </x:c>
      <x:c r="D4844" t="str">
        <x:v>Fred Harton</x:v>
      </x:c>
      <x:c r="E4844" t="str">
        <x:v>Consumer</x:v>
      </x:c>
      <x:c r="F4844" t="str">
        <x:v>East</x:v>
      </x:c>
      <x:c r="G4844" t="str">
        <x:v>Technology</x:v>
      </x:c>
      <x:c r="H4844" t="str">
        <x:v>Phones</x:v>
      </x:c>
      <x:c r="I4844" s="22" t="n">
        <x:v>158.37599999999998</x:v>
      </x:c>
      <x:c r="J4844" s="24" t="n">
        <x:v>4</x:v>
      </x:c>
      <x:c r="K4844" s="26" t="n">
        <x:v>0.4</x:v>
      </x:c>
      <x:c r="L4844" s="22" t="n">
        <x:v>-34.31479999999999</x:v>
      </x:c>
      <x:c r="M4844" t="n">
        <x:v>2017</x:v>
      </x:c>
      <x:c r="N4844" s="20" t="n">
        <x:v>42887</x:v>
      </x:c>
    </x:row>
    <x:row r="4845" ht="18" customHeight="1">
      <x:c r="A4845" t="str">
        <x:v>CA-2017-154123</x:v>
      </x:c>
      <x:c r="B4845" s="18" t="n">
        <x:v>43059</x:v>
      </x:c>
      <x:c r="C4845" t="str">
        <x:v>SC-20050</x:v>
      </x:c>
      <x:c r="D4845" t="str">
        <x:v>Sample Company A</x:v>
      </x:c>
      <x:c r="E4845" t="str">
        <x:v>Home Office</x:v>
      </x:c>
      <x:c r="F4845" t="str">
        <x:v>South</x:v>
      </x:c>
      <x:c r="G4845" t="str">
        <x:v>Furniture</x:v>
      </x:c>
      <x:c r="H4845" t="str">
        <x:v>Furnishings</x:v>
      </x:c>
      <x:c r="I4845" s="22" t="n">
        <x:v>27.58</x:v>
      </x:c>
      <x:c r="J4845" s="24" t="n">
        <x:v>2</x:v>
      </x:c>
      <x:c r="K4845" s="26" t="n">
        <x:v>0</x:v>
      </x:c>
      <x:c r="L4845" s="22" t="n">
        <x:v>11.5836</x:v>
      </x:c>
      <x:c r="M4845" t="n">
        <x:v>2017</x:v>
      </x:c>
      <x:c r="N4845" s="20" t="n">
        <x:v>43040</x:v>
      </x:c>
    </x:row>
    <x:row r="4846" ht="18" customHeight="1">
      <x:c r="A4846" t="str">
        <x:v>CA-2016-136049</x:v>
      </x:c>
      <x:c r="B4846" s="18" t="n">
        <x:v>42727</x:v>
      </x:c>
      <x:c r="C4846" t="str">
        <x:v>NM-18520</x:v>
      </x:c>
      <x:c r="D4846" t="str">
        <x:v>Neoma Murray</x:v>
      </x:c>
      <x:c r="E4846" t="str">
        <x:v>Consumer</x:v>
      </x:c>
      <x:c r="F4846" t="str">
        <x:v>East</x:v>
      </x:c>
      <x:c r="G4846" t="str">
        <x:v>Office Supplies</x:v>
      </x:c>
      <x:c r="H4846" t="str">
        <x:v>Binders</x:v>
      </x:c>
      <x:c r="I4846" s="22" t="n">
        <x:v>5.553000000000001</x:v>
      </x:c>
      <x:c r="J4846" s="24" t="n">
        <x:v>3</x:v>
      </x:c>
      <x:c r="K4846" s="26" t="n">
        <x:v>0.7</x:v>
      </x:c>
      <x:c r="L4846" s="22" t="n">
        <x:v>-4.072200000000002</x:v>
      </x:c>
      <x:c r="M4846" t="n">
        <x:v>2016</x:v>
      </x:c>
      <x:c r="N4846" s="20" t="n">
        <x:v>42705</x:v>
      </x:c>
    </x:row>
    <x:row r="4847" ht="18" customHeight="1">
      <x:c r="A4847" t="str">
        <x:v>CA-2017-118402</x:v>
      </x:c>
      <x:c r="B4847" s="18" t="n">
        <x:v>43007</x:v>
      </x:c>
      <x:c r="C4847" t="str">
        <x:v>JO-15280</x:v>
      </x:c>
      <x:c r="D4847" t="str">
        <x:v>Jas O'Carroll</x:v>
      </x:c>
      <x:c r="E4847" t="str">
        <x:v>Consumer</x:v>
      </x:c>
      <x:c r="F4847" t="str">
        <x:v>South</x:v>
      </x:c>
      <x:c r="G4847" t="str">
        <x:v>Office Supplies</x:v>
      </x:c>
      <x:c r="H4847" t="str">
        <x:v>Storage</x:v>
      </x:c>
      <x:c r="I4847" s="22" t="n">
        <x:v>243.92</x:v>
      </x:c>
      <x:c r="J4847" s="24" t="n">
        <x:v>5</x:v>
      </x:c>
      <x:c r="K4847" s="26" t="n">
        <x:v>0.2</x:v>
      </x:c>
      <x:c r="L4847" s="22" t="n">
        <x:v>-54.882</x:v>
      </x:c>
      <x:c r="M4847" t="n">
        <x:v>2017</x:v>
      </x:c>
      <x:c r="N4847" s="20" t="n">
        <x:v>42979</x:v>
      </x:c>
    </x:row>
    <x:row r="4848" ht="18" customHeight="1">
      <x:c r="A4848" t="str">
        <x:v>US-2016-139388</x:v>
      </x:c>
      <x:c r="B4848" s="18" t="n">
        <x:v>42681</x:v>
      </x:c>
      <x:c r="C4848" t="str">
        <x:v>CC-12475</x:v>
      </x:c>
      <x:c r="D4848" t="str">
        <x:v>Cindy Chapman</x:v>
      </x:c>
      <x:c r="E4848" t="str">
        <x:v>Consumer</x:v>
      </x:c>
      <x:c r="F4848" t="str">
        <x:v>East</x:v>
      </x:c>
      <x:c r="G4848" t="str">
        <x:v>Office Supplies</x:v>
      </x:c>
      <x:c r="H4848" t="str">
        <x:v>Fasteners</x:v>
      </x:c>
      <x:c r="I4848" s="22" t="n">
        <x:v>14.96</x:v>
      </x:c>
      <x:c r="J4848" s="24" t="n">
        <x:v>4</x:v>
      </x:c>
      <x:c r="K4848" s="26" t="n">
        <x:v>0</x:v>
      </x:c>
      <x:c r="L4848" s="22" t="n">
        <x:v>0.2992000000000008</x:v>
      </x:c>
      <x:c r="M4848" t="n">
        <x:v>2016</x:v>
      </x:c>
      <x:c r="N4848" s="20" t="n">
        <x:v>42675</x:v>
      </x:c>
    </x:row>
    <x:row r="4849" ht="18" customHeight="1">
      <x:c r="A4849" t="str">
        <x:v>US-2014-128685</x:v>
      </x:c>
      <x:c r="B4849" s="18" t="n">
        <x:v>41733</x:v>
      </x:c>
      <x:c r="C4849" t="str">
        <x:v>MZ-17515</x:v>
      </x:c>
      <x:c r="D4849" t="str">
        <x:v>Mary Zewe</x:v>
      </x:c>
      <x:c r="E4849" t="str">
        <x:v>Corporate</x:v>
      </x:c>
      <x:c r="F4849" t="str">
        <x:v>West</x:v>
      </x:c>
      <x:c r="G4849" t="str">
        <x:v>Office Supplies</x:v>
      </x:c>
      <x:c r="H4849" t="str">
        <x:v>Binders</x:v>
      </x:c>
      <x:c r="I4849" s="22" t="n">
        <x:v>7.184000000000001</x:v>
      </x:c>
      <x:c r="J4849" s="24" t="n">
        <x:v>2</x:v>
      </x:c>
      <x:c r="K4849" s="26" t="n">
        <x:v>0.2</x:v>
      </x:c>
      <x:c r="L4849" s="22" t="n">
        <x:v>2.244999999999999</x:v>
      </x:c>
      <x:c r="M4849" t="n">
        <x:v>2014</x:v>
      </x:c>
      <x:c r="N4849" s="20" t="n">
        <x:v>41730</x:v>
      </x:c>
    </x:row>
    <x:row r="4850" ht="18" customHeight="1">
      <x:c r="A4850" t="str">
        <x:v>CA-2015-124044</x:v>
      </x:c>
      <x:c r="B4850" s="18" t="n">
        <x:v>42208</x:v>
      </x:c>
      <x:c r="C4850" t="str">
        <x:v>MS-17830</x:v>
      </x:c>
      <x:c r="D4850" t="str">
        <x:v>Melanie Seite</x:v>
      </x:c>
      <x:c r="E4850" t="str">
        <x:v>Consumer</x:v>
      </x:c>
      <x:c r="F4850" t="str">
        <x:v>East</x:v>
      </x:c>
      <x:c r="G4850" t="str">
        <x:v>Office Supplies</x:v>
      </x:c>
      <x:c r="H4850" t="str">
        <x:v>Binders</x:v>
      </x:c>
      <x:c r="I4850" s="22" t="n">
        <x:v>10.512</x:v>
      </x:c>
      <x:c r="J4850" s="24" t="n">
        <x:v>3</x:v>
      </x:c>
      <x:c r="K4850" s="26" t="n">
        <x:v>0.2</x:v>
      </x:c>
      <x:c r="L4850" s="22" t="n">
        <x:v>3.6792</x:v>
      </x:c>
      <x:c r="M4850" t="n">
        <x:v>2015</x:v>
      </x:c>
      <x:c r="N4850" s="20" t="n">
        <x:v>42186</x:v>
      </x:c>
    </x:row>
    <x:row r="4851" ht="18" customHeight="1">
      <x:c r="A4851" t="str">
        <x:v>CA-2014-164469</x:v>
      </x:c>
      <x:c r="B4851" s="18" t="n">
        <x:v>41815</x:v>
      </x:c>
      <x:c r="C4851" t="str">
        <x:v>GK-14620</x:v>
      </x:c>
      <x:c r="D4851" t="str">
        <x:v>Grace Kelly</x:v>
      </x:c>
      <x:c r="E4851" t="str">
        <x:v>Corporate</x:v>
      </x:c>
      <x:c r="F4851" t="str">
        <x:v>West</x:v>
      </x:c>
      <x:c r="G4851" t="str">
        <x:v>Technology</x:v>
      </x:c>
      <x:c r="H4851" t="str">
        <x:v>Phones</x:v>
      </x:c>
      <x:c r="I4851" s="22" t="n">
        <x:v>263.96000000000004</x:v>
      </x:c>
      <x:c r="J4851" s="24" t="n">
        <x:v>5</x:v>
      </x:c>
      <x:c r="K4851" s="26" t="n">
        <x:v>0.2</x:v>
      </x:c>
      <x:c r="L4851" s="22" t="n">
        <x:v>19.796999999999997</x:v>
      </x:c>
      <x:c r="M4851" t="n">
        <x:v>2014</x:v>
      </x:c>
      <x:c r="N4851" s="20" t="n">
        <x:v>41791</x:v>
      </x:c>
    </x:row>
    <x:row r="4852" ht="18" customHeight="1">
      <x:c r="A4852" t="str">
        <x:v>CA-2014-164469</x:v>
      </x:c>
      <x:c r="B4852" s="18" t="n">
        <x:v>41815</x:v>
      </x:c>
      <x:c r="C4852" t="str">
        <x:v>GK-14620</x:v>
      </x:c>
      <x:c r="D4852" t="str">
        <x:v>Grace Kelly</x:v>
      </x:c>
      <x:c r="E4852" t="str">
        <x:v>Corporate</x:v>
      </x:c>
      <x:c r="F4852" t="str">
        <x:v>West</x:v>
      </x:c>
      <x:c r="G4852" t="str">
        <x:v>Office Supplies</x:v>
      </x:c>
      <x:c r="H4852" t="str">
        <x:v>Art</x:v>
      </x:c>
      <x:c r="I4852" s="22" t="n">
        <x:v>71.632</x:v>
      </x:c>
      <x:c r="J4852" s="24" t="n">
        <x:v>11</x:v>
      </x:c>
      <x:c r="K4852" s="26" t="n">
        <x:v>0.2</x:v>
      </x:c>
      <x:c r="L4852" s="22" t="n">
        <x:v>17.908</x:v>
      </x:c>
      <x:c r="M4852" t="n">
        <x:v>2014</x:v>
      </x:c>
      <x:c r="N4852" s="20" t="n">
        <x:v>41791</x:v>
      </x:c>
    </x:row>
    <x:row r="4853" ht="18" customHeight="1">
      <x:c r="A4853" t="str">
        <x:v>CA-2014-164469</x:v>
      </x:c>
      <x:c r="B4853" s="18" t="n">
        <x:v>41815</x:v>
      </x:c>
      <x:c r="C4853" t="str">
        <x:v>GK-14620</x:v>
      </x:c>
      <x:c r="D4853" t="str">
        <x:v>Grace Kelly</x:v>
      </x:c>
      <x:c r="E4853" t="str">
        <x:v>Corporate</x:v>
      </x:c>
      <x:c r="F4853" t="str">
        <x:v>West</x:v>
      </x:c>
      <x:c r="G4853" t="str">
        <x:v>Office Supplies</x:v>
      </x:c>
      <x:c r="H4853" t="str">
        <x:v>Art</x:v>
      </x:c>
      <x:c r="I4853" s="22" t="n">
        <x:v>9.328000000000001</x:v>
      </x:c>
      <x:c r="J4853" s="24" t="n">
        <x:v>1</x:v>
      </x:c>
      <x:c r="K4853" s="26" t="n">
        <x:v>0.2</x:v>
      </x:c>
      <x:c r="L4853" s="22" t="n">
        <x:v>0.8162000000000007</x:v>
      </x:c>
      <x:c r="M4853" t="n">
        <x:v>2014</x:v>
      </x:c>
      <x:c r="N4853" s="20" t="n">
        <x:v>41791</x:v>
      </x:c>
    </x:row>
    <x:row r="4854" ht="18" customHeight="1">
      <x:c r="A4854" t="str">
        <x:v>CA-2014-107818</x:v>
      </x:c>
      <x:c r="B4854" s="18" t="n">
        <x:v>41890</x:v>
      </x:c>
      <x:c r="C4854" t="str">
        <x:v>MC-17275</x:v>
      </x:c>
      <x:c r="D4854" t="str">
        <x:v>Marc Crier</x:v>
      </x:c>
      <x:c r="E4854" t="str">
        <x:v>Consumer</x:v>
      </x:c>
      <x:c r="F4854" t="str">
        <x:v>West</x:v>
      </x:c>
      <x:c r="G4854" t="str">
        <x:v>Office Supplies</x:v>
      </x:c>
      <x:c r="H4854" t="str">
        <x:v>Art</x:v>
      </x:c>
      <x:c r="I4854" s="22" t="n">
        <x:v>5.88</x:v>
      </x:c>
      <x:c r="J4854" s="24" t="n">
        <x:v>2</x:v>
      </x:c>
      <x:c r="K4854" s="26" t="n">
        <x:v>0</x:v>
      </x:c>
      <x:c r="L4854" s="22" t="n">
        <x:v>2.646</x:v>
      </x:c>
      <x:c r="M4854" t="n">
        <x:v>2014</x:v>
      </x:c>
      <x:c r="N4854" s="20" t="n">
        <x:v>41883</x:v>
      </x:c>
    </x:row>
    <x:row r="4855" ht="18" customHeight="1">
      <x:c r="A4855" t="str">
        <x:v>CA-2014-107818</x:v>
      </x:c>
      <x:c r="B4855" s="18" t="n">
        <x:v>41890</x:v>
      </x:c>
      <x:c r="C4855" t="str">
        <x:v>MC-17275</x:v>
      </x:c>
      <x:c r="D4855" t="str">
        <x:v>Marc Crier</x:v>
      </x:c>
      <x:c r="E4855" t="str">
        <x:v>Consumer</x:v>
      </x:c>
      <x:c r="F4855" t="str">
        <x:v>West</x:v>
      </x:c>
      <x:c r="G4855" t="str">
        <x:v>Furniture</x:v>
      </x:c>
      <x:c r="H4855" t="str">
        <x:v>Chairs</x:v>
      </x:c>
      <x:c r="I4855" s="22" t="n">
        <x:v>975.92</x:v>
      </x:c>
      <x:c r="J4855" s="24" t="n">
        <x:v>5</x:v>
      </x:c>
      <x:c r="K4855" s="26" t="n">
        <x:v>0.2</x:v>
      </x:c>
      <x:c r="L4855" s="22" t="n">
        <x:v>121.98999999999992</x:v>
      </x:c>
      <x:c r="M4855" t="n">
        <x:v>2014</x:v>
      </x:c>
      <x:c r="N4855" s="20" t="n">
        <x:v>41883</x:v>
      </x:c>
    </x:row>
    <x:row r="4856" ht="18" customHeight="1">
      <x:c r="A4856" t="str">
        <x:v>CA-2014-107818</x:v>
      </x:c>
      <x:c r="B4856" s="18" t="n">
        <x:v>41890</x:v>
      </x:c>
      <x:c r="C4856" t="str">
        <x:v>MC-17275</x:v>
      </x:c>
      <x:c r="D4856" t="str">
        <x:v>Marc Crier</x:v>
      </x:c>
      <x:c r="E4856" t="str">
        <x:v>Consumer</x:v>
      </x:c>
      <x:c r="F4856" t="str">
        <x:v>West</x:v>
      </x:c>
      <x:c r="G4856" t="str">
        <x:v>Office Supplies</x:v>
      </x:c>
      <x:c r="H4856" t="str">
        <x:v>Art</x:v>
      </x:c>
      <x:c r="I4856" s="22" t="n">
        <x:v>303.84</x:v>
      </x:c>
      <x:c r="J4856" s="24" t="n">
        <x:v>8</x:v>
      </x:c>
      <x:c r="K4856" s="26" t="n">
        <x:v>0</x:v>
      </x:c>
      <x:c r="L4856" s="22" t="n">
        <x:v>91.15199999999996</x:v>
      </x:c>
      <x:c r="M4856" t="n">
        <x:v>2014</x:v>
      </x:c>
      <x:c r="N4856" s="20" t="n">
        <x:v>41883</x:v>
      </x:c>
    </x:row>
    <x:row r="4857" ht="18" customHeight="1">
      <x:c r="A4857" t="str">
        <x:v>CA-2014-107818</x:v>
      </x:c>
      <x:c r="B4857" s="18" t="n">
        <x:v>41890</x:v>
      </x:c>
      <x:c r="C4857" t="str">
        <x:v>MC-17275</x:v>
      </x:c>
      <x:c r="D4857" t="str">
        <x:v>Marc Crier</x:v>
      </x:c>
      <x:c r="E4857" t="str">
        <x:v>Consumer</x:v>
      </x:c>
      <x:c r="F4857" t="str">
        <x:v>West</x:v>
      </x:c>
      <x:c r="G4857" t="str">
        <x:v>Office Supplies</x:v>
      </x:c>
      <x:c r="H4857" t="str">
        <x:v>Storage</x:v>
      </x:c>
      <x:c r="I4857" s="22" t="n">
        <x:v>485.88</x:v>
      </x:c>
      <x:c r="J4857" s="24" t="n">
        <x:v>6</x:v>
      </x:c>
      <x:c r="K4857" s="26" t="n">
        <x:v>0</x:v>
      </x:c>
      <x:c r="L4857" s="22" t="n">
        <x:v>19.43519999999998</x:v>
      </x:c>
      <x:c r="M4857" t="n">
        <x:v>2014</x:v>
      </x:c>
      <x:c r="N4857" s="20" t="n">
        <x:v>41883</x:v>
      </x:c>
    </x:row>
    <x:row r="4858" ht="18" customHeight="1">
      <x:c r="A4858" t="str">
        <x:v>CA-2014-113320</x:v>
      </x:c>
      <x:c r="B4858" s="18" t="n">
        <x:v>41985</x:v>
      </x:c>
      <x:c r="C4858" t="str">
        <x:v>LH-17155</x:v>
      </x:c>
      <x:c r="D4858" t="str">
        <x:v>Logan Haushalter</x:v>
      </x:c>
      <x:c r="E4858" t="str">
        <x:v>Consumer</x:v>
      </x:c>
      <x:c r="F4858" t="str">
        <x:v>West</x:v>
      </x:c>
      <x:c r="G4858" t="str">
        <x:v>Furniture</x:v>
      </x:c>
      <x:c r="H4858" t="str">
        <x:v>Furnishings</x:v>
      </x:c>
      <x:c r="I4858" s="22" t="n">
        <x:v>12.54</x:v>
      </x:c>
      <x:c r="J4858" s="24" t="n">
        <x:v>3</x:v>
      </x:c>
      <x:c r="K4858" s="26" t="n">
        <x:v>0</x:v>
      </x:c>
      <x:c r="L4858" s="22" t="n">
        <x:v>4.5144</x:v>
      </x:c>
      <x:c r="M4858" t="n">
        <x:v>2014</x:v>
      </x:c>
      <x:c r="N4858" s="20" t="n">
        <x:v>41974</x:v>
      </x:c>
    </x:row>
    <x:row r="4859" ht="18" customHeight="1">
      <x:c r="A4859" t="str">
        <x:v>CA-2014-113320</x:v>
      </x:c>
      <x:c r="B4859" s="18" t="n">
        <x:v>41985</x:v>
      </x:c>
      <x:c r="C4859" t="str">
        <x:v>LH-17155</x:v>
      </x:c>
      <x:c r="D4859" t="str">
        <x:v>Logan Haushalter</x:v>
      </x:c>
      <x:c r="E4859" t="str">
        <x:v>Consumer</x:v>
      </x:c>
      <x:c r="F4859" t="str">
        <x:v>West</x:v>
      </x:c>
      <x:c r="G4859" t="str">
        <x:v>Office Supplies</x:v>
      </x:c>
      <x:c r="H4859" t="str">
        <x:v>Storage</x:v>
      </x:c>
      <x:c r="I4859" s="22" t="n">
        <x:v>8.94</x:v>
      </x:c>
      <x:c r="J4859" s="24" t="n">
        <x:v>3</x:v>
      </x:c>
      <x:c r="K4859" s="26" t="n">
        <x:v>0</x:v>
      </x:c>
      <x:c r="L4859" s="22" t="n">
        <x:v>0.625799999999999</x:v>
      </x:c>
      <x:c r="M4859" t="n">
        <x:v>2014</x:v>
      </x:c>
      <x:c r="N4859" s="20" t="n">
        <x:v>41974</x:v>
      </x:c>
    </x:row>
    <x:row r="4860" ht="18" customHeight="1">
      <x:c r="A4860" t="str">
        <x:v>CA-2014-113320</x:v>
      </x:c>
      <x:c r="B4860" s="18" t="n">
        <x:v>41985</x:v>
      </x:c>
      <x:c r="C4860" t="str">
        <x:v>LH-17155</x:v>
      </x:c>
      <x:c r="D4860" t="str">
        <x:v>Logan Haushalter</x:v>
      </x:c>
      <x:c r="E4860" t="str">
        <x:v>Consumer</x:v>
      </x:c>
      <x:c r="F4860" t="str">
        <x:v>West</x:v>
      </x:c>
      <x:c r="G4860" t="str">
        <x:v>Furniture</x:v>
      </x:c>
      <x:c r="H4860" t="str">
        <x:v>Furnishings</x:v>
      </x:c>
      <x:c r="I4860" s="22" t="n">
        <x:v>9.24</x:v>
      </x:c>
      <x:c r="J4860" s="24" t="n">
        <x:v>3</x:v>
      </x:c>
      <x:c r="K4860" s="26" t="n">
        <x:v>0</x:v>
      </x:c>
      <x:c r="L4860" s="22" t="n">
        <x:v>4.4352</x:v>
      </x:c>
      <x:c r="M4860" t="n">
        <x:v>2014</x:v>
      </x:c>
      <x:c r="N4860" s="20" t="n">
        <x:v>41974</x:v>
      </x:c>
    </x:row>
    <x:row r="4861" ht="18" customHeight="1">
      <x:c r="A4861" t="str">
        <x:v>CA-2015-137526</x:v>
      </x:c>
      <x:c r="B4861" s="18" t="n">
        <x:v>42017</x:v>
      </x:c>
      <x:c r="C4861" t="str">
        <x:v>PB-19150</x:v>
      </x:c>
      <x:c r="D4861" t="str">
        <x:v>Philip Brown</x:v>
      </x:c>
      <x:c r="E4861" t="str">
        <x:v>Consumer</x:v>
      </x:c>
      <x:c r="F4861" t="str">
        <x:v>West</x:v>
      </x:c>
      <x:c r="G4861" t="str">
        <x:v>Office Supplies</x:v>
      </x:c>
      <x:c r="H4861" t="str">
        <x:v>Binders</x:v>
      </x:c>
      <x:c r="I4861" s="22" t="n">
        <x:v>70.00800000000001</x:v>
      </x:c>
      <x:c r="J4861" s="24" t="n">
        <x:v>3</x:v>
      </x:c>
      <x:c r="K4861" s="26" t="n">
        <x:v>0.2</x:v>
      </x:c>
      <x:c r="L4861" s="22" t="n">
        <x:v>24.5028</x:v>
      </x:c>
      <x:c r="M4861" t="n">
        <x:v>2015</x:v>
      </x:c>
      <x:c r="N4861" s="20" t="n">
        <x:v>42005</x:v>
      </x:c>
    </x:row>
    <x:row r="4862" ht="18" customHeight="1">
      <x:c r="A4862" t="str">
        <x:v>CA-2015-137526</x:v>
      </x:c>
      <x:c r="B4862" s="18" t="n">
        <x:v>42017</x:v>
      </x:c>
      <x:c r="C4862" t="str">
        <x:v>PB-19150</x:v>
      </x:c>
      <x:c r="D4862" t="str">
        <x:v>Philip Brown</x:v>
      </x:c>
      <x:c r="E4862" t="str">
        <x:v>Consumer</x:v>
      </x:c>
      <x:c r="F4862" t="str">
        <x:v>West</x:v>
      </x:c>
      <x:c r="G4862" t="str">
        <x:v>Furniture</x:v>
      </x:c>
      <x:c r="H4862" t="str">
        <x:v>Furnishings</x:v>
      </x:c>
      <x:c r="I4862" s="22" t="n">
        <x:v>77.6</x:v>
      </x:c>
      <x:c r="J4862" s="24" t="n">
        <x:v>4</x:v>
      </x:c>
      <x:c r="K4862" s="26" t="n">
        <x:v>0</x:v>
      </x:c>
      <x:c r="L4862" s="22" t="n">
        <x:v>38.023999999999994</x:v>
      </x:c>
      <x:c r="M4862" t="n">
        <x:v>2015</x:v>
      </x:c>
      <x:c r="N4862" s="20" t="n">
        <x:v>42005</x:v>
      </x:c>
    </x:row>
    <x:row r="4863" ht="18" customHeight="1">
      <x:c r="A4863" t="str">
        <x:v>CA-2015-137526</x:v>
      </x:c>
      <x:c r="B4863" s="18" t="n">
        <x:v>42017</x:v>
      </x:c>
      <x:c r="C4863" t="str">
        <x:v>PB-19150</x:v>
      </x:c>
      <x:c r="D4863" t="str">
        <x:v>Philip Brown</x:v>
      </x:c>
      <x:c r="E4863" t="str">
        <x:v>Consumer</x:v>
      </x:c>
      <x:c r="F4863" t="str">
        <x:v>West</x:v>
      </x:c>
      <x:c r="G4863" t="str">
        <x:v>Furniture</x:v>
      </x:c>
      <x:c r="H4863" t="str">
        <x:v>Furnishings</x:v>
      </x:c>
      <x:c r="I4863" s="22" t="n">
        <x:v>464.84999999999997</x:v>
      </x:c>
      <x:c r="J4863" s="24" t="n">
        <x:v>9</x:v>
      </x:c>
      <x:c r="K4863" s="26" t="n">
        <x:v>0</x:v>
      </x:c>
      <x:c r="L4863" s="22" t="n">
        <x:v>92.96999999999998</x:v>
      </x:c>
      <x:c r="M4863" t="n">
        <x:v>2015</x:v>
      </x:c>
      <x:c r="N4863" s="20" t="n">
        <x:v>42005</x:v>
      </x:c>
    </x:row>
    <x:row r="4864" ht="18" customHeight="1">
      <x:c r="A4864" t="str">
        <x:v>CA-2017-136063</x:v>
      </x:c>
      <x:c r="B4864" s="18" t="n">
        <x:v>43084</x:v>
      </x:c>
      <x:c r="C4864" t="str">
        <x:v>SS-20140</x:v>
      </x:c>
      <x:c r="D4864" t="str">
        <x:v>Saphhira Shifley</x:v>
      </x:c>
      <x:c r="E4864" t="str">
        <x:v>Corporate</x:v>
      </x:c>
      <x:c r="F4864" t="str">
        <x:v>Central</x:v>
      </x:c>
      <x:c r="G4864" t="str">
        <x:v>Office Supplies</x:v>
      </x:c>
      <x:c r="H4864" t="str">
        <x:v>Art</x:v>
      </x:c>
      <x:c r="I4864" s="22" t="n">
        <x:v>10.192000000000002</x:v>
      </x:c>
      <x:c r="J4864" s="24" t="n">
        <x:v>7</x:v>
      </x:c>
      <x:c r="K4864" s="26" t="n">
        <x:v>0.2</x:v>
      </x:c>
      <x:c r="L4864" s="22" t="n">
        <x:v>1.0192</x:v>
      </x:c>
      <x:c r="M4864" t="n">
        <x:v>2017</x:v>
      </x:c>
      <x:c r="N4864" s="20" t="n">
        <x:v>43070</x:v>
      </x:c>
    </x:row>
    <x:row r="4865" ht="18" customHeight="1">
      <x:c r="A4865" t="str">
        <x:v>CA-2016-101546</x:v>
      </x:c>
      <x:c r="B4865" s="18" t="n">
        <x:v>42722</x:v>
      </x:c>
      <x:c r="C4865" t="str">
        <x:v>GK-14620</x:v>
      </x:c>
      <x:c r="D4865" t="str">
        <x:v>Grace Kelly</x:v>
      </x:c>
      <x:c r="E4865" t="str">
        <x:v>Corporate</x:v>
      </x:c>
      <x:c r="F4865" t="str">
        <x:v>East</x:v>
      </x:c>
      <x:c r="G4865" t="str">
        <x:v>Office Supplies</x:v>
      </x:c>
      <x:c r="H4865" t="str">
        <x:v>Binders</x:v>
      </x:c>
      <x:c r="I4865" s="22" t="n">
        <x:v>1793.98</x:v>
      </x:c>
      <x:c r="J4865" s="24" t="n">
        <x:v>2</x:v>
      </x:c>
      <x:c r="K4865" s="26" t="n">
        <x:v>0</x:v>
      </x:c>
      <x:c r="L4865" s="22" t="n">
        <x:v>843.1705999999999</x:v>
      </x:c>
      <x:c r="M4865" t="n">
        <x:v>2016</x:v>
      </x:c>
      <x:c r="N4865" s="20" t="n">
        <x:v>42705</x:v>
      </x:c>
    </x:row>
    <x:row r="4866" ht="18" customHeight="1">
      <x:c r="A4866" t="str">
        <x:v>CA-2014-138940</x:v>
      </x:c>
      <x:c r="B4866" s="18" t="n">
        <x:v>41740</x:v>
      </x:c>
      <x:c r="C4866" t="str">
        <x:v>GM-14455</x:v>
      </x:c>
      <x:c r="D4866" t="str">
        <x:v>Gary Mitchum</x:v>
      </x:c>
      <x:c r="E4866" t="str">
        <x:v>Home Office</x:v>
      </x:c>
      <x:c r="F4866" t="str">
        <x:v>Central</x:v>
      </x:c>
      <x:c r="G4866" t="str">
        <x:v>Technology</x:v>
      </x:c>
      <x:c r="H4866" t="str">
        <x:v>Phones</x:v>
      </x:c>
      <x:c r="I4866" s="22" t="n">
        <x:v>758.3520000000001</x:v>
      </x:c>
      <x:c r="J4866" s="24" t="n">
        <x:v>6</x:v>
      </x:c>
      <x:c r="K4866" s="26" t="n">
        <x:v>0.2</x:v>
      </x:c>
      <x:c r="L4866" s="22" t="n">
        <x:v>265.4232</x:v>
      </x:c>
      <x:c r="M4866" t="n">
        <x:v>2014</x:v>
      </x:c>
      <x:c r="N4866" s="20" t="n">
        <x:v>41730</x:v>
      </x:c>
    </x:row>
    <x:row r="4867" ht="18" customHeight="1">
      <x:c r="A4867" t="str">
        <x:v>CA-2016-125164</x:v>
      </x:c>
      <x:c r="B4867" s="18" t="n">
        <x:v>42684</x:v>
      </x:c>
      <x:c r="C4867" t="str">
        <x:v>SH-19975</x:v>
      </x:c>
      <x:c r="D4867" t="str">
        <x:v>Sally Hughsby</x:v>
      </x:c>
      <x:c r="E4867" t="str">
        <x:v>Corporate</x:v>
      </x:c>
      <x:c r="F4867" t="str">
        <x:v>East</x:v>
      </x:c>
      <x:c r="G4867" t="str">
        <x:v>Office Supplies</x:v>
      </x:c>
      <x:c r="H4867" t="str">
        <x:v>Binders</x:v>
      </x:c>
      <x:c r="I4867" s="22" t="n">
        <x:v>20.368000000000002</x:v>
      </x:c>
      <x:c r="J4867" s="24" t="n">
        <x:v>1</x:v>
      </x:c>
      <x:c r="K4867" s="26" t="n">
        <x:v>0.2</x:v>
      </x:c>
      <x:c r="L4867" s="22" t="n">
        <x:v>7.3834</x:v>
      </x:c>
      <x:c r="M4867" t="n">
        <x:v>2016</x:v>
      </x:c>
      <x:c r="N4867" s="20" t="n">
        <x:v>42675</x:v>
      </x:c>
    </x:row>
    <x:row r="4868" ht="18" customHeight="1">
      <x:c r="A4868" t="str">
        <x:v>CA-2016-125164</x:v>
      </x:c>
      <x:c r="B4868" s="18" t="n">
        <x:v>42684</x:v>
      </x:c>
      <x:c r="C4868" t="str">
        <x:v>SH-19975</x:v>
      </x:c>
      <x:c r="D4868" t="str">
        <x:v>Sally Hughsby</x:v>
      </x:c>
      <x:c r="E4868" t="str">
        <x:v>Corporate</x:v>
      </x:c>
      <x:c r="F4868" t="str">
        <x:v>East</x:v>
      </x:c>
      <x:c r="G4868" t="str">
        <x:v>Office Supplies</x:v>
      </x:c>
      <x:c r="H4868" t="str">
        <x:v>Binders</x:v>
      </x:c>
      <x:c r="I4868" s="22" t="n">
        <x:v>49.848</x:v>
      </x:c>
      <x:c r="J4868" s="24" t="n">
        <x:v>3</x:v>
      </x:c>
      <x:c r="K4868" s="26" t="n">
        <x:v>0.2</x:v>
      </x:c>
      <x:c r="L4868" s="22" t="n">
        <x:v>16.8237</x:v>
      </x:c>
      <x:c r="M4868" t="n">
        <x:v>2016</x:v>
      </x:c>
      <x:c r="N4868" s="20" t="n">
        <x:v>42675</x:v>
      </x:c>
    </x:row>
    <x:row r="4869" ht="18" customHeight="1">
      <x:c r="A4869" t="str">
        <x:v>CA-2017-163531</x:v>
      </x:c>
      <x:c r="B4869" s="18" t="n">
        <x:v>42912</x:v>
      </x:c>
      <x:c r="C4869" t="str">
        <x:v>SC-20725</x:v>
      </x:c>
      <x:c r="D4869" t="str">
        <x:v>Steven Cartwright</x:v>
      </x:c>
      <x:c r="E4869" t="str">
        <x:v>Consumer</x:v>
      </x:c>
      <x:c r="F4869" t="str">
        <x:v>East</x:v>
      </x:c>
      <x:c r="G4869" t="str">
        <x:v>Technology</x:v>
      </x:c>
      <x:c r="H4869" t="str">
        <x:v>Phones</x:v>
      </x:c>
      <x:c r="I4869" s="22" t="n">
        <x:v>239.96999999999997</x:v>
      </x:c>
      <x:c r="J4869" s="24" t="n">
        <x:v>3</x:v>
      </x:c>
      <x:c r="K4869" s="26" t="n">
        <x:v>0</x:v>
      </x:c>
      <x:c r="L4869" s="22" t="n">
        <x:v>67.1916</x:v>
      </x:c>
      <x:c r="M4869" t="n">
        <x:v>2017</x:v>
      </x:c>
      <x:c r="N4869" s="20" t="n">
        <x:v>42887</x:v>
      </x:c>
    </x:row>
    <x:row r="4870" ht="18" customHeight="1">
      <x:c r="A4870" t="str">
        <x:v>CA-2017-122490</x:v>
      </x:c>
      <x:c r="B4870" s="18" t="n">
        <x:v>43052</x:v>
      </x:c>
      <x:c r="C4870" t="str">
        <x:v>TT-21070</x:v>
      </x:c>
      <x:c r="D4870" t="str">
        <x:v>Ted Trevino</x:v>
      </x:c>
      <x:c r="E4870" t="str">
        <x:v>Consumer</x:v>
      </x:c>
      <x:c r="F4870" t="str">
        <x:v>West</x:v>
      </x:c>
      <x:c r="G4870" t="str">
        <x:v>Furniture</x:v>
      </x:c>
      <x:c r="H4870" t="str">
        <x:v>Chairs</x:v>
      </x:c>
      <x:c r="I4870" s="22" t="n">
        <x:v>2404.704</x:v>
      </x:c>
      <x:c r="J4870" s="24" t="n">
        <x:v>6</x:v>
      </x:c>
      <x:c r="K4870" s="26" t="n">
        <x:v>0.2</x:v>
      </x:c>
      <x:c r="L4870" s="22" t="n">
        <x:v>150.29399999999998</x:v>
      </x:c>
      <x:c r="M4870" t="n">
        <x:v>2017</x:v>
      </x:c>
      <x:c r="N4870" s="20" t="n">
        <x:v>43040</x:v>
      </x:c>
    </x:row>
    <x:row r="4871" ht="18" customHeight="1">
      <x:c r="A4871" t="str">
        <x:v>CA-2017-122490</x:v>
      </x:c>
      <x:c r="B4871" s="18" t="n">
        <x:v>43052</x:v>
      </x:c>
      <x:c r="C4871" t="str">
        <x:v>TT-21070</x:v>
      </x:c>
      <x:c r="D4871" t="str">
        <x:v>Ted Trevino</x:v>
      </x:c>
      <x:c r="E4871" t="str">
        <x:v>Consumer</x:v>
      </x:c>
      <x:c r="F4871" t="str">
        <x:v>West</x:v>
      </x:c>
      <x:c r="G4871" t="str">
        <x:v>Office Supplies</x:v>
      </x:c>
      <x:c r="H4871" t="str">
        <x:v>Binders</x:v>
      </x:c>
      <x:c r="I4871" s="22" t="n">
        <x:v>563.024</x:v>
      </x:c>
      <x:c r="J4871" s="24" t="n">
        <x:v>11</x:v>
      </x:c>
      <x:c r="K4871" s="26" t="n">
        <x:v>0.2</x:v>
      </x:c>
      <x:c r="L4871" s="22" t="n">
        <x:v>190.02059999999997</x:v>
      </x:c>
      <x:c r="M4871" t="n">
        <x:v>2017</x:v>
      </x:c>
      <x:c r="N4871" s="20" t="n">
        <x:v>43040</x:v>
      </x:c>
    </x:row>
    <x:row r="4872" ht="18" customHeight="1">
      <x:c r="A4872" t="str">
        <x:v>CA-2017-122490</x:v>
      </x:c>
      <x:c r="B4872" s="18" t="n">
        <x:v>43052</x:v>
      </x:c>
      <x:c r="C4872" t="str">
        <x:v>TT-21070</x:v>
      </x:c>
      <x:c r="D4872" t="str">
        <x:v>Ted Trevino</x:v>
      </x:c>
      <x:c r="E4872" t="str">
        <x:v>Consumer</x:v>
      </x:c>
      <x:c r="F4872" t="str">
        <x:v>West</x:v>
      </x:c>
      <x:c r="G4872" t="str">
        <x:v>Office Supplies</x:v>
      </x:c>
      <x:c r="H4872" t="str">
        <x:v>Storage</x:v>
      </x:c>
      <x:c r="I4872" s="22" t="n">
        <x:v>344.90999999999997</x:v>
      </x:c>
      <x:c r="J4872" s="24" t="n">
        <x:v>3</x:v>
      </x:c>
      <x:c r="K4872" s="26" t="n">
        <x:v>0</x:v>
      </x:c>
      <x:c r="L4872" s="22" t="n">
        <x:v>10.347300000000004</x:v>
      </x:c>
      <x:c r="M4872" t="n">
        <x:v>2017</x:v>
      </x:c>
      <x:c r="N4872" s="20" t="n">
        <x:v>43040</x:v>
      </x:c>
    </x:row>
    <x:row r="4873" ht="18" customHeight="1">
      <x:c r="A4873" t="str">
        <x:v>CA-2017-122490</x:v>
      </x:c>
      <x:c r="B4873" s="18" t="n">
        <x:v>43052</x:v>
      </x:c>
      <x:c r="C4873" t="str">
        <x:v>TT-21070</x:v>
      </x:c>
      <x:c r="D4873" t="str">
        <x:v>Ted Trevino</x:v>
      </x:c>
      <x:c r="E4873" t="str">
        <x:v>Consumer</x:v>
      </x:c>
      <x:c r="F4873" t="str">
        <x:v>West</x:v>
      </x:c>
      <x:c r="G4873" t="str">
        <x:v>Office Supplies</x:v>
      </x:c>
      <x:c r="H4873" t="str">
        <x:v>Labels</x:v>
      </x:c>
      <x:c r="I4873" s="22" t="n">
        <x:v>8.64</x:v>
      </x:c>
      <x:c r="J4873" s="24" t="n">
        <x:v>3</x:v>
      </x:c>
      <x:c r="K4873" s="26" t="n">
        <x:v>0</x:v>
      </x:c>
      <x:c r="L4873" s="22" t="n">
        <x:v>4.2336</x:v>
      </x:c>
      <x:c r="M4873" t="n">
        <x:v>2017</x:v>
      </x:c>
      <x:c r="N4873" s="20" t="n">
        <x:v>43040</x:v>
      </x:c>
    </x:row>
    <x:row r="4874" ht="18" customHeight="1">
      <x:c r="A4874" t="str">
        <x:v>CA-2017-131366</x:v>
      </x:c>
      <x:c r="B4874" s="18" t="n">
        <x:v>43063</x:v>
      </x:c>
      <x:c r="C4874" t="str">
        <x:v>SC-20440</x:v>
      </x:c>
      <x:c r="D4874" t="str">
        <x:v>Shaun Chance</x:v>
      </x:c>
      <x:c r="E4874" t="str">
        <x:v>Corporate</x:v>
      </x:c>
      <x:c r="F4874" t="str">
        <x:v>East</x:v>
      </x:c>
      <x:c r="G4874" t="str">
        <x:v>Technology</x:v>
      </x:c>
      <x:c r="H4874" t="str">
        <x:v>Phones</x:v>
      </x:c>
      <x:c r="I4874" s="22" t="n">
        <x:v>89.98799999999999</x:v>
      </x:c>
      <x:c r="J4874" s="24" t="n">
        <x:v>2</x:v>
      </x:c>
      <x:c r="K4874" s="26" t="n">
        <x:v>0.4</x:v>
      </x:c>
      <x:c r="L4874" s="22" t="n">
        <x:v>-14.998000000000012</x:v>
      </x:c>
      <x:c r="M4874" t="n">
        <x:v>2017</x:v>
      </x:c>
      <x:c r="N4874" s="20" t="n">
        <x:v>43040</x:v>
      </x:c>
    </x:row>
    <x:row r="4875" ht="18" customHeight="1">
      <x:c r="A4875" t="str">
        <x:v>CA-2017-131366</x:v>
      </x:c>
      <x:c r="B4875" s="18" t="n">
        <x:v>43063</x:v>
      </x:c>
      <x:c r="C4875" t="str">
        <x:v>SC-20440</x:v>
      </x:c>
      <x:c r="D4875" t="str">
        <x:v>Shaun Chance</x:v>
      </x:c>
      <x:c r="E4875" t="str">
        <x:v>Corporate</x:v>
      </x:c>
      <x:c r="F4875" t="str">
        <x:v>East</x:v>
      </x:c>
      <x:c r="G4875" t="str">
        <x:v>Office Supplies</x:v>
      </x:c>
      <x:c r="H4875" t="str">
        <x:v>Paper</x:v>
      </x:c>
      <x:c r="I4875" s="22" t="n">
        <x:v>229.544</x:v>
      </x:c>
      <x:c r="J4875" s="24" t="n">
        <x:v>7</x:v>
      </x:c>
      <x:c r="K4875" s="26" t="n">
        <x:v>0.2</x:v>
      </x:c>
      <x:c r="L4875" s="22" t="n">
        <x:v>83.2097</x:v>
      </x:c>
      <x:c r="M4875" t="n">
        <x:v>2017</x:v>
      </x:c>
      <x:c r="N4875" s="20" t="n">
        <x:v>43040</x:v>
      </x:c>
    </x:row>
    <x:row r="4876" ht="18" customHeight="1">
      <x:c r="A4876" t="str">
        <x:v>CA-2017-164042</x:v>
      </x:c>
      <x:c r="B4876" s="18" t="n">
        <x:v>42878</x:v>
      </x:c>
      <x:c r="C4876" t="str">
        <x:v>KL-16645</x:v>
      </x:c>
      <x:c r="D4876" t="str">
        <x:v>Ken Lonsdale</x:v>
      </x:c>
      <x:c r="E4876" t="str">
        <x:v>Consumer</x:v>
      </x:c>
      <x:c r="F4876" t="str">
        <x:v>Central</x:v>
      </x:c>
      <x:c r="G4876" t="str">
        <x:v>Office Supplies</x:v>
      </x:c>
      <x:c r="H4876" t="str">
        <x:v>Fasteners</x:v>
      </x:c>
      <x:c r="I4876" s="22" t="n">
        <x:v>1.8239999999999998</x:v>
      </x:c>
      <x:c r="J4876" s="24" t="n">
        <x:v>2</x:v>
      </x:c>
      <x:c r="K4876" s="26" t="n">
        <x:v>0.2</x:v>
      </x:c>
      <x:c r="L4876" s="22" t="n">
        <x:v>0.6155999999999999</x:v>
      </x:c>
      <x:c r="M4876" t="n">
        <x:v>2017</x:v>
      </x:c>
      <x:c r="N4876" s="20" t="n">
        <x:v>42856</x:v>
      </x:c>
    </x:row>
    <x:row r="4877" ht="18" customHeight="1">
      <x:c r="A4877" t="str">
        <x:v>CA-2017-164042</x:v>
      </x:c>
      <x:c r="B4877" s="18" t="n">
        <x:v>42878</x:v>
      </x:c>
      <x:c r="C4877" t="str">
        <x:v>KL-16645</x:v>
      </x:c>
      <x:c r="D4877" t="str">
        <x:v>Ken Lonsdale</x:v>
      </x:c>
      <x:c r="E4877" t="str">
        <x:v>Consumer</x:v>
      </x:c>
      <x:c r="F4877" t="str">
        <x:v>Central</x:v>
      </x:c>
      <x:c r="G4877" t="str">
        <x:v>Office Supplies</x:v>
      </x:c>
      <x:c r="H4877" t="str">
        <x:v>Appliances</x:v>
      </x:c>
      <x:c r="I4877" s="22" t="n">
        <x:v>18.319999999999997</x:v>
      </x:c>
      <x:c r="J4877" s="24" t="n">
        <x:v>5</x:v>
      </x:c>
      <x:c r="K4877" s="26" t="n">
        <x:v>0.8</x:v>
      </x:c>
      <x:c r="L4877" s="22" t="n">
        <x:v>-46.71600000000001</x:v>
      </x:c>
      <x:c r="M4877" t="n">
        <x:v>2017</x:v>
      </x:c>
      <x:c r="N4877" s="20" t="n">
        <x:v>42856</x:v>
      </x:c>
    </x:row>
    <x:row r="4878" ht="18" customHeight="1">
      <x:c r="A4878" t="str">
        <x:v>CA-2017-164042</x:v>
      </x:c>
      <x:c r="B4878" s="18" t="n">
        <x:v>42878</x:v>
      </x:c>
      <x:c r="C4878" t="str">
        <x:v>KL-16645</x:v>
      </x:c>
      <x:c r="D4878" t="str">
        <x:v>Ken Lonsdale</x:v>
      </x:c>
      <x:c r="E4878" t="str">
        <x:v>Consumer</x:v>
      </x:c>
      <x:c r="F4878" t="str">
        <x:v>Central</x:v>
      </x:c>
      <x:c r="G4878" t="str">
        <x:v>Office Supplies</x:v>
      </x:c>
      <x:c r="H4878" t="str">
        <x:v>Storage</x:v>
      </x:c>
      <x:c r="I4878" s="22" t="n">
        <x:v>48.816</x:v>
      </x:c>
      <x:c r="J4878" s="24" t="n">
        <x:v>3</x:v>
      </x:c>
      <x:c r="K4878" s="26" t="n">
        <x:v>0.2</x:v>
      </x:c>
      <x:c r="L4878" s="22" t="n">
        <x:v>-11.593800000000005</x:v>
      </x:c>
      <x:c r="M4878" t="n">
        <x:v>2017</x:v>
      </x:c>
      <x:c r="N4878" s="20" t="n">
        <x:v>42856</x:v>
      </x:c>
    </x:row>
    <x:row r="4879" ht="18" customHeight="1">
      <x:c r="A4879" t="str">
        <x:v>CA-2017-164042</x:v>
      </x:c>
      <x:c r="B4879" s="18" t="n">
        <x:v>42878</x:v>
      </x:c>
      <x:c r="C4879" t="str">
        <x:v>KL-16645</x:v>
      </x:c>
      <x:c r="D4879" t="str">
        <x:v>Ken Lonsdale</x:v>
      </x:c>
      <x:c r="E4879" t="str">
        <x:v>Consumer</x:v>
      </x:c>
      <x:c r="F4879" t="str">
        <x:v>Central</x:v>
      </x:c>
      <x:c r="G4879" t="str">
        <x:v>Office Supplies</x:v>
      </x:c>
      <x:c r="H4879" t="str">
        <x:v>Binders</x:v>
      </x:c>
      <x:c r="I4879" s="22" t="n">
        <x:v>1.1879999999999997</x:v>
      </x:c>
      <x:c r="J4879" s="24" t="n">
        <x:v>1</x:v>
      </x:c>
      <x:c r="K4879" s="26" t="n">
        <x:v>0.8</x:v>
      </x:c>
      <x:c r="L4879" s="22" t="n">
        <x:v>-1.9602000000000008</x:v>
      </x:c>
      <x:c r="M4879" t="n">
        <x:v>2017</x:v>
      </x:c>
      <x:c r="N4879" s="20" t="n">
        <x:v>42856</x:v>
      </x:c>
    </x:row>
    <x:row r="4880" ht="18" customHeight="1">
      <x:c r="A4880" t="str">
        <x:v>CA-2014-132864</x:v>
      </x:c>
      <x:c r="B4880" s="18" t="n">
        <x:v>41975</x:v>
      </x:c>
      <x:c r="C4880" t="str">
        <x:v>KN-16390</x:v>
      </x:c>
      <x:c r="D4880" t="str">
        <x:v>Katherine Nockton</x:v>
      </x:c>
      <x:c r="E4880" t="str">
        <x:v>Corporate</x:v>
      </x:c>
      <x:c r="F4880" t="str">
        <x:v>East</x:v>
      </x:c>
      <x:c r="G4880" t="str">
        <x:v>Technology</x:v>
      </x:c>
      <x:c r="H4880" t="str">
        <x:v>Accessories</x:v>
      </x:c>
      <x:c r="I4880" s="22" t="n">
        <x:v>119.80000000000001</x:v>
      </x:c>
      <x:c r="J4880" s="24" t="n">
        <x:v>5</x:v>
      </x:c>
      <x:c r="K4880" s="26" t="n">
        <x:v>0.2</x:v>
      </x:c>
      <x:c r="L4880" s="22" t="n">
        <x:v>29.950000000000003</x:v>
      </x:c>
      <x:c r="M4880" t="n">
        <x:v>2014</x:v>
      </x:c>
      <x:c r="N4880" s="20" t="n">
        <x:v>41974</x:v>
      </x:c>
    </x:row>
    <x:row r="4881" ht="18" customHeight="1">
      <x:c r="A4881" t="str">
        <x:v>US-2014-155817</x:v>
      </x:c>
      <x:c r="B4881" s="18" t="n">
        <x:v>41915</x:v>
      </x:c>
      <x:c r="C4881" t="str">
        <x:v>SL-20155</x:v>
      </x:c>
      <x:c r="D4881" t="str">
        <x:v>Sara Luxemburg</x:v>
      </x:c>
      <x:c r="E4881" t="str">
        <x:v>Home Office</x:v>
      </x:c>
      <x:c r="F4881" t="str">
        <x:v>South</x:v>
      </x:c>
      <x:c r="G4881" t="str">
        <x:v>Office Supplies</x:v>
      </x:c>
      <x:c r="H4881" t="str">
        <x:v>Storage</x:v>
      </x:c>
      <x:c r="I4881" s="22" t="n">
        <x:v>61.568</x:v>
      </x:c>
      <x:c r="J4881" s="24" t="n">
        <x:v>2</x:v>
      </x:c>
      <x:c r="K4881" s="26" t="n">
        <x:v>0.2</x:v>
      </x:c>
      <x:c r="L4881" s="22" t="n">
        <x:v>4.6175999999999995</x:v>
      </x:c>
      <x:c r="M4881" t="n">
        <x:v>2014</x:v>
      </x:c>
      <x:c r="N4881" s="20" t="n">
        <x:v>41913</x:v>
      </x:c>
    </x:row>
    <x:row r="4882" ht="18" customHeight="1">
      <x:c r="A4882" t="str">
        <x:v>US-2014-155817</x:v>
      </x:c>
      <x:c r="B4882" s="18" t="n">
        <x:v>41915</x:v>
      </x:c>
      <x:c r="C4882" t="str">
        <x:v>SL-20155</x:v>
      </x:c>
      <x:c r="D4882" t="str">
        <x:v>Sara Luxemburg</x:v>
      </x:c>
      <x:c r="E4882" t="str">
        <x:v>Home Office</x:v>
      </x:c>
      <x:c r="F4882" t="str">
        <x:v>South</x:v>
      </x:c>
      <x:c r="G4882" t="str">
        <x:v>Office Supplies</x:v>
      </x:c>
      <x:c r="H4882" t="str">
        <x:v>Art</x:v>
      </x:c>
      <x:c r="I4882" s="22" t="n">
        <x:v>6.192</x:v>
      </x:c>
      <x:c r="J4882" s="24" t="n">
        <x:v>3</x:v>
      </x:c>
      <x:c r="K4882" s="26" t="n">
        <x:v>0.2</x:v>
      </x:c>
      <x:c r="L4882" s="22" t="n">
        <x:v>0.46440000000000037</x:v>
      </x:c>
      <x:c r="M4882" t="n">
        <x:v>2014</x:v>
      </x:c>
      <x:c r="N4882" s="20" t="n">
        <x:v>41913</x:v>
      </x:c>
    </x:row>
    <x:row r="4883" ht="18" customHeight="1">
      <x:c r="A4883" t="str">
        <x:v>US-2016-131891</x:v>
      </x:c>
      <x:c r="B4883" s="18" t="n">
        <x:v>42580</x:v>
      </x:c>
      <x:c r="C4883" t="str">
        <x:v>PW-19240</x:v>
      </x:c>
      <x:c r="D4883" t="str">
        <x:v>Pierre Wener</x:v>
      </x:c>
      <x:c r="E4883" t="str">
        <x:v>Consumer</x:v>
      </x:c>
      <x:c r="F4883" t="str">
        <x:v>South</x:v>
      </x:c>
      <x:c r="G4883" t="str">
        <x:v>Office Supplies</x:v>
      </x:c>
      <x:c r="H4883" t="str">
        <x:v>Binders</x:v>
      </x:c>
      <x:c r="I4883" s="22" t="n">
        <x:v>2.2140000000000004</x:v>
      </x:c>
      <x:c r="J4883" s="24" t="n">
        <x:v>3</x:v>
      </x:c>
      <x:c r="K4883" s="26" t="n">
        <x:v>0.7</x:v>
      </x:c>
      <x:c r="L4883" s="22" t="n">
        <x:v>-1.4760000000000004</x:v>
      </x:c>
      <x:c r="M4883" t="n">
        <x:v>2016</x:v>
      </x:c>
      <x:c r="N4883" s="20" t="n">
        <x:v>42552</x:v>
      </x:c>
    </x:row>
    <x:row r="4884" ht="18" customHeight="1">
      <x:c r="A4884" t="str">
        <x:v>CA-2017-143567</x:v>
      </x:c>
      <x:c r="B4884" s="18" t="n">
        <x:v>43041</x:v>
      </x:c>
      <x:c r="C4884" t="str">
        <x:v>TB-21175</x:v>
      </x:c>
      <x:c r="D4884" t="str">
        <x:v>Thomas Boland</x:v>
      </x:c>
      <x:c r="E4884" t="str">
        <x:v>Corporate</x:v>
      </x:c>
      <x:c r="F4884" t="str">
        <x:v>South</x:v>
      </x:c>
      <x:c r="G4884" t="str">
        <x:v>Office Supplies</x:v>
      </x:c>
      <x:c r="H4884" t="str">
        <x:v>Envelopes</x:v>
      </x:c>
      <x:c r="I4884" s="22" t="n">
        <x:v>5.32</x:v>
      </x:c>
      <x:c r="J4884" s="24" t="n">
        <x:v>2</x:v>
      </x:c>
      <x:c r="K4884" s="26" t="n">
        <x:v>0</x:v>
      </x:c>
      <x:c r="L4884" s="22" t="n">
        <x:v>2.6068000000000002</x:v>
      </x:c>
      <x:c r="M4884" t="n">
        <x:v>2017</x:v>
      </x:c>
      <x:c r="N4884" s="20" t="n">
        <x:v>43040</x:v>
      </x:c>
    </x:row>
    <x:row r="4885" ht="18" customHeight="1">
      <x:c r="A4885" t="str">
        <x:v>CA-2017-143567</x:v>
      </x:c>
      <x:c r="B4885" s="18" t="n">
        <x:v>43041</x:v>
      </x:c>
      <x:c r="C4885" t="str">
        <x:v>TB-21175</x:v>
      </x:c>
      <x:c r="D4885" t="str">
        <x:v>Thomas Boland</x:v>
      </x:c>
      <x:c r="E4885" t="str">
        <x:v>Corporate</x:v>
      </x:c>
      <x:c r="F4885" t="str">
        <x:v>South</x:v>
      </x:c>
      <x:c r="G4885" t="str">
        <x:v>Furniture</x:v>
      </x:c>
      <x:c r="H4885" t="str">
        <x:v>Chairs</x:v>
      </x:c>
      <x:c r="I4885" s="22" t="n">
        <x:v>975.92</x:v>
      </x:c>
      <x:c r="J4885" s="24" t="n">
        <x:v>4</x:v>
      </x:c>
      <x:c r="K4885" s="26" t="n">
        <x:v>0</x:v>
      </x:c>
      <x:c r="L4885" s="22" t="n">
        <x:v>292.77599999999995</x:v>
      </x:c>
      <x:c r="M4885" t="n">
        <x:v>2017</x:v>
      </x:c>
      <x:c r="N4885" s="20" t="n">
        <x:v>43040</x:v>
      </x:c>
    </x:row>
    <x:row r="4886" ht="18" customHeight="1">
      <x:c r="A4886" t="str">
        <x:v>CA-2017-143567</x:v>
      </x:c>
      <x:c r="B4886" s="18" t="n">
        <x:v>43041</x:v>
      </x:c>
      <x:c r="C4886" t="str">
        <x:v>TB-21175</x:v>
      </x:c>
      <x:c r="D4886" t="str">
        <x:v>Thomas Boland</x:v>
      </x:c>
      <x:c r="E4886" t="str">
        <x:v>Corporate</x:v>
      </x:c>
      <x:c r="F4886" t="str">
        <x:v>South</x:v>
      </x:c>
      <x:c r="G4886" t="str">
        <x:v>Technology</x:v>
      </x:c>
      <x:c r="H4886" t="str">
        <x:v>Accessories</x:v>
      </x:c>
      <x:c r="I4886" s="22" t="n">
        <x:v>2249.91</x:v>
      </x:c>
      <x:c r="J4886" s="24" t="n">
        <x:v>9</x:v>
      </x:c>
      <x:c r="K4886" s="26" t="n">
        <x:v>0</x:v>
      </x:c>
      <x:c r="L4886" s="22" t="n">
        <x:v>517.4793000000001</x:v>
      </x:c>
      <x:c r="M4886" t="n">
        <x:v>2017</x:v>
      </x:c>
      <x:c r="N4886" s="20" t="n">
        <x:v>43040</x:v>
      </x:c>
    </x:row>
    <x:row r="4887" ht="18" customHeight="1">
      <x:c r="A4887" t="str">
        <x:v>CA-2017-143567</x:v>
      </x:c>
      <x:c r="B4887" s="18" t="n">
        <x:v>43041</x:v>
      </x:c>
      <x:c r="C4887" t="str">
        <x:v>TB-21175</x:v>
      </x:c>
      <x:c r="D4887" t="str">
        <x:v>Thomas Boland</x:v>
      </x:c>
      <x:c r="E4887" t="str">
        <x:v>Corporate</x:v>
      </x:c>
      <x:c r="F4887" t="str">
        <x:v>South</x:v>
      </x:c>
      <x:c r="G4887" t="str">
        <x:v>Office Supplies</x:v>
      </x:c>
      <x:c r="H4887" t="str">
        <x:v>Storage</x:v>
      </x:c>
      <x:c r="I4887" s="22" t="n">
        <x:v>59.92</x:v>
      </x:c>
      <x:c r="J4887" s="24" t="n">
        <x:v>4</x:v>
      </x:c>
      <x:c r="K4887" s="26" t="n">
        <x:v>0</x:v>
      </x:c>
      <x:c r="L4887" s="22" t="n">
        <x:v>16.7776</x:v>
      </x:c>
      <x:c r="M4887" t="n">
        <x:v>2017</x:v>
      </x:c>
      <x:c r="N4887" s="20" t="n">
        <x:v>43040</x:v>
      </x:c>
    </x:row>
    <x:row r="4888" ht="18" customHeight="1">
      <x:c r="A4888" t="str">
        <x:v>CA-2017-104080</x:v>
      </x:c>
      <x:c r="B4888" s="18" t="n">
        <x:v>42802</x:v>
      </x:c>
      <x:c r="C4888" t="str">
        <x:v>AH-10210</x:v>
      </x:c>
      <x:c r="D4888" t="str">
        <x:v>Alan Hwang</x:v>
      </x:c>
      <x:c r="E4888" t="str">
        <x:v>Consumer</x:v>
      </x:c>
      <x:c r="F4888" t="str">
        <x:v>West</x:v>
      </x:c>
      <x:c r="G4888" t="str">
        <x:v>Office Supplies</x:v>
      </x:c>
      <x:c r="H4888" t="str">
        <x:v>Binders</x:v>
      </x:c>
      <x:c r="I4888" s="22" t="n">
        <x:v>171.20000000000002</x:v>
      </x:c>
      <x:c r="J4888" s="24" t="n">
        <x:v>5</x:v>
      </x:c>
      <x:c r="K4888" s="26" t="n">
        <x:v>0.2</x:v>
      </x:c>
      <x:c r="L4888" s="22" t="n">
        <x:v>64.19999999999999</x:v>
      </x:c>
      <x:c r="M4888" t="n">
        <x:v>2017</x:v>
      </x:c>
      <x:c r="N4888" s="20" t="n">
        <x:v>42795</x:v>
      </x:c>
    </x:row>
    <x:row r="4889" ht="18" customHeight="1">
      <x:c r="A4889" t="str">
        <x:v>CA-2017-104080</x:v>
      </x:c>
      <x:c r="B4889" s="18" t="n">
        <x:v>42802</x:v>
      </x:c>
      <x:c r="C4889" t="str">
        <x:v>AH-10210</x:v>
      </x:c>
      <x:c r="D4889" t="str">
        <x:v>Alan Hwang</x:v>
      </x:c>
      <x:c r="E4889" t="str">
        <x:v>Consumer</x:v>
      </x:c>
      <x:c r="F4889" t="str">
        <x:v>West</x:v>
      </x:c>
      <x:c r="G4889" t="str">
        <x:v>Office Supplies</x:v>
      </x:c>
      <x:c r="H4889" t="str">
        <x:v>Art</x:v>
      </x:c>
      <x:c r="I4889" s="22" t="n">
        <x:v>3.36</x:v>
      </x:c>
      <x:c r="J4889" s="24" t="n">
        <x:v>2</x:v>
      </x:c>
      <x:c r="K4889" s="26" t="n">
        <x:v>0</x:v>
      </x:c>
      <x:c r="L4889" s="22" t="n">
        <x:v>0.8736000000000002</x:v>
      </x:c>
      <x:c r="M4889" t="n">
        <x:v>2017</x:v>
      </x:c>
      <x:c r="N4889" s="20" t="n">
        <x:v>42795</x:v>
      </x:c>
    </x:row>
    <x:row r="4890" ht="18" customHeight="1">
      <x:c r="A4890" t="str">
        <x:v>CA-2014-151379</x:v>
      </x:c>
      <x:c r="B4890" s="18" t="n">
        <x:v>41989</x:v>
      </x:c>
      <x:c r="C4890" t="str">
        <x:v>SC-20695</x:v>
      </x:c>
      <x:c r="D4890" t="str">
        <x:v>Steve Chapman</x:v>
      </x:c>
      <x:c r="E4890" t="str">
        <x:v>Corporate</x:v>
      </x:c>
      <x:c r="F4890" t="str">
        <x:v>Central</x:v>
      </x:c>
      <x:c r="G4890" t="str">
        <x:v>Office Supplies</x:v>
      </x:c>
      <x:c r="H4890" t="str">
        <x:v>Paper</x:v>
      </x:c>
      <x:c r="I4890" s="22" t="n">
        <x:v>114.2</x:v>
      </x:c>
      <x:c r="J4890" s="24" t="n">
        <x:v>5</x:v>
      </x:c>
      <x:c r="K4890" s="26" t="n">
        <x:v>0</x:v>
      </x:c>
      <x:c r="L4890" s="22" t="n">
        <x:v>52.532</x:v>
      </x:c>
      <x:c r="M4890" t="n">
        <x:v>2014</x:v>
      </x:c>
      <x:c r="N4890" s="20" t="n">
        <x:v>41974</x:v>
      </x:c>
    </x:row>
    <x:row r="4891" ht="18" customHeight="1">
      <x:c r="A4891" t="str">
        <x:v>CA-2016-163167</x:v>
      </x:c>
      <x:c r="B4891" s="18" t="n">
        <x:v>42702</x:v>
      </x:c>
      <x:c r="C4891" t="str">
        <x:v>RF-19345</x:v>
      </x:c>
      <x:c r="D4891" t="str">
        <x:v>Randy Ferguson</x:v>
      </x:c>
      <x:c r="E4891" t="str">
        <x:v>Corporate</x:v>
      </x:c>
      <x:c r="F4891" t="str">
        <x:v>South</x:v>
      </x:c>
      <x:c r="G4891" t="str">
        <x:v>Furniture</x:v>
      </x:c>
      <x:c r="H4891" t="str">
        <x:v>Chairs</x:v>
      </x:c>
      <x:c r="I4891" s="22" t="n">
        <x:v>182.67000000000002</x:v>
      </x:c>
      <x:c r="J4891" s="24" t="n">
        <x:v>3</x:v>
      </x:c>
      <x:c r="K4891" s="26" t="n">
        <x:v>0</x:v>
      </x:c>
      <x:c r="L4891" s="22" t="n">
        <x:v>52.97429999999999</x:v>
      </x:c>
      <x:c r="M4891" t="n">
        <x:v>2016</x:v>
      </x:c>
      <x:c r="N4891" s="20" t="n">
        <x:v>42675</x:v>
      </x:c>
    </x:row>
    <x:row r="4892" ht="18" customHeight="1">
      <x:c r="A4892" t="str">
        <x:v>CA-2016-163167</x:v>
      </x:c>
      <x:c r="B4892" s="18" t="n">
        <x:v>42702</x:v>
      </x:c>
      <x:c r="C4892" t="str">
        <x:v>RF-19345</x:v>
      </x:c>
      <x:c r="D4892" t="str">
        <x:v>Randy Ferguson</x:v>
      </x:c>
      <x:c r="E4892" t="str">
        <x:v>Corporate</x:v>
      </x:c>
      <x:c r="F4892" t="str">
        <x:v>South</x:v>
      </x:c>
      <x:c r="G4892" t="str">
        <x:v>Technology</x:v>
      </x:c>
      <x:c r="H4892" t="str">
        <x:v>Accessories</x:v>
      </x:c>
      <x:c r="I4892" s="22" t="n">
        <x:v>101.69999999999999</x:v>
      </x:c>
      <x:c r="J4892" s="24" t="n">
        <x:v>6</x:v>
      </x:c>
      <x:c r="K4892" s="26" t="n">
        <x:v>0</x:v>
      </x:c>
      <x:c r="L4892" s="22" t="n">
        <x:v>6.101999999999997</x:v>
      </x:c>
      <x:c r="M4892" t="n">
        <x:v>2016</x:v>
      </x:c>
      <x:c r="N4892" s="20" t="n">
        <x:v>42675</x:v>
      </x:c>
    </x:row>
    <x:row r="4893" ht="18" customHeight="1">
      <x:c r="A4893" t="str">
        <x:v>CA-2016-163167</x:v>
      </x:c>
      <x:c r="B4893" s="18" t="n">
        <x:v>42702</x:v>
      </x:c>
      <x:c r="C4893" t="str">
        <x:v>RF-19345</x:v>
      </x:c>
      <x:c r="D4893" t="str">
        <x:v>Randy Ferguson</x:v>
      </x:c>
      <x:c r="E4893" t="str">
        <x:v>Corporate</x:v>
      </x:c>
      <x:c r="F4893" t="str">
        <x:v>South</x:v>
      </x:c>
      <x:c r="G4893" t="str">
        <x:v>Office Supplies</x:v>
      </x:c>
      <x:c r="H4893" t="str">
        <x:v>Storage</x:v>
      </x:c>
      <x:c r="I4893" s="22" t="n">
        <x:v>1126.02</x:v>
      </x:c>
      <x:c r="J4893" s="24" t="n">
        <x:v>3</x:v>
      </x:c>
      <x:c r="K4893" s="26" t="n">
        <x:v>0</x:v>
      </x:c>
      <x:c r="L4893" s="22" t="n">
        <x:v>56.30099999999999</x:v>
      </x:c>
      <x:c r="M4893" t="n">
        <x:v>2016</x:v>
      </x:c>
      <x:c r="N4893" s="20" t="n">
        <x:v>42675</x:v>
      </x:c>
    </x:row>
    <x:row r="4894" ht="18" customHeight="1">
      <x:c r="A4894" t="str">
        <x:v>CA-2016-163167</x:v>
      </x:c>
      <x:c r="B4894" s="18" t="n">
        <x:v>42702</x:v>
      </x:c>
      <x:c r="C4894" t="str">
        <x:v>RF-19345</x:v>
      </x:c>
      <x:c r="D4894" t="str">
        <x:v>Randy Ferguson</x:v>
      </x:c>
      <x:c r="E4894" t="str">
        <x:v>Corporate</x:v>
      </x:c>
      <x:c r="F4894" t="str">
        <x:v>South</x:v>
      </x:c>
      <x:c r="G4894" t="str">
        <x:v>Office Supplies</x:v>
      </x:c>
      <x:c r="H4894" t="str">
        <x:v>Storage</x:v>
      </x:c>
      <x:c r="I4894" s="22" t="n">
        <x:v>1263.3000000000002</x:v>
      </x:c>
      <x:c r="J4894" s="24" t="n">
        <x:v>6</x:v>
      </x:c>
      <x:c r="K4894" s="26" t="n">
        <x:v>0</x:v>
      </x:c>
      <x:c r="L4894" s="22" t="n">
        <x:v>315.82499999999993</x:v>
      </x:c>
      <x:c r="M4894" t="n">
        <x:v>2016</x:v>
      </x:c>
      <x:c r="N4894" s="20" t="n">
        <x:v>42675</x:v>
      </x:c>
    </x:row>
    <x:row r="4895" ht="18" customHeight="1">
      <x:c r="A4895" t="str">
        <x:v>CA-2016-135776</x:v>
      </x:c>
      <x:c r="B4895" s="18" t="n">
        <x:v>42727</x:v>
      </x:c>
      <x:c r="C4895" t="str">
        <x:v>EH-13765</x:v>
      </x:c>
      <x:c r="D4895" t="str">
        <x:v>Edward Hooks</x:v>
      </x:c>
      <x:c r="E4895" t="str">
        <x:v>Corporate</x:v>
      </x:c>
      <x:c r="F4895" t="str">
        <x:v>West</x:v>
      </x:c>
      <x:c r="G4895" t="str">
        <x:v>Office Supplies</x:v>
      </x:c>
      <x:c r="H4895" t="str">
        <x:v>Art</x:v>
      </x:c>
      <x:c r="I4895" s="22" t="n">
        <x:v>8.82</x:v>
      </x:c>
      <x:c r="J4895" s="24" t="n">
        <x:v>3</x:v>
      </x:c>
      <x:c r="K4895" s="26" t="n">
        <x:v>0</x:v>
      </x:c>
      <x:c r="L4895" s="22" t="n">
        <x:v>2.5577999999999994</x:v>
      </x:c>
      <x:c r="M4895" t="n">
        <x:v>2016</x:v>
      </x:c>
      <x:c r="N4895" s="20" t="n">
        <x:v>42705</x:v>
      </x:c>
    </x:row>
    <x:row r="4896" ht="18" customHeight="1">
      <x:c r="A4896" t="str">
        <x:v>CA-2016-135776</x:v>
      </x:c>
      <x:c r="B4896" s="18" t="n">
        <x:v>42727</x:v>
      </x:c>
      <x:c r="C4896" t="str">
        <x:v>EH-13765</x:v>
      </x:c>
      <x:c r="D4896" t="str">
        <x:v>Edward Hooks</x:v>
      </x:c>
      <x:c r="E4896" t="str">
        <x:v>Corporate</x:v>
      </x:c>
      <x:c r="F4896" t="str">
        <x:v>West</x:v>
      </x:c>
      <x:c r="G4896" t="str">
        <x:v>Office Supplies</x:v>
      </x:c>
      <x:c r="H4896" t="str">
        <x:v>Paper</x:v>
      </x:c>
      <x:c r="I4896" s="22" t="n">
        <x:v>37.94</x:v>
      </x:c>
      <x:c r="J4896" s="24" t="n">
        <x:v>2</x:v>
      </x:c>
      <x:c r="K4896" s="26" t="n">
        <x:v>0</x:v>
      </x:c>
      <x:c r="L4896" s="22" t="n">
        <x:v>18.211199999999998</x:v>
      </x:c>
      <x:c r="M4896" t="n">
        <x:v>2016</x:v>
      </x:c>
      <x:c r="N4896" s="20" t="n">
        <x:v>42705</x:v>
      </x:c>
    </x:row>
    <x:row r="4897" ht="18" customHeight="1">
      <x:c r="A4897" t="str">
        <x:v>CA-2016-135776</x:v>
      </x:c>
      <x:c r="B4897" s="18" t="n">
        <x:v>42727</x:v>
      </x:c>
      <x:c r="C4897" t="str">
        <x:v>EH-13765</x:v>
      </x:c>
      <x:c r="D4897" t="str">
        <x:v>Edward Hooks</x:v>
      </x:c>
      <x:c r="E4897" t="str">
        <x:v>Corporate</x:v>
      </x:c>
      <x:c r="F4897" t="str">
        <x:v>West</x:v>
      </x:c>
      <x:c r="G4897" t="str">
        <x:v>Office Supplies</x:v>
      </x:c>
      <x:c r="H4897" t="str">
        <x:v>Art</x:v>
      </x:c>
      <x:c r="I4897" s="22" t="n">
        <x:v>4.2</x:v>
      </x:c>
      <x:c r="J4897" s="24" t="n">
        <x:v>2</x:v>
      </x:c>
      <x:c r="K4897" s="26" t="n">
        <x:v>0</x:v>
      </x:c>
      <x:c r="L4897" s="22" t="n">
        <x:v>1.1760000000000002</x:v>
      </x:c>
      <x:c r="M4897" t="n">
        <x:v>2016</x:v>
      </x:c>
      <x:c r="N4897" s="20" t="n">
        <x:v>42705</x:v>
      </x:c>
    </x:row>
    <x:row r="4898" ht="18" customHeight="1">
      <x:c r="A4898" t="str">
        <x:v>CA-2016-135776</x:v>
      </x:c>
      <x:c r="B4898" s="18" t="n">
        <x:v>42727</x:v>
      </x:c>
      <x:c r="C4898" t="str">
        <x:v>EH-13765</x:v>
      </x:c>
      <x:c r="D4898" t="str">
        <x:v>Edward Hooks</x:v>
      </x:c>
      <x:c r="E4898" t="str">
        <x:v>Corporate</x:v>
      </x:c>
      <x:c r="F4898" t="str">
        <x:v>West</x:v>
      </x:c>
      <x:c r="G4898" t="str">
        <x:v>Office Supplies</x:v>
      </x:c>
      <x:c r="H4898" t="str">
        <x:v>Storage</x:v>
      </x:c>
      <x:c r="I4898" s="22" t="n">
        <x:v>227.28</x:v>
      </x:c>
      <x:c r="J4898" s="24" t="n">
        <x:v>2</x:v>
      </x:c>
      <x:c r="K4898" s="26" t="n">
        <x:v>0</x:v>
      </x:c>
      <x:c r="L4898" s="22" t="n">
        <x:v>2.2727999999999895</x:v>
      </x:c>
      <x:c r="M4898" t="n">
        <x:v>2016</x:v>
      </x:c>
      <x:c r="N4898" s="20" t="n">
        <x:v>42705</x:v>
      </x:c>
    </x:row>
    <x:row r="4899" ht="18" customHeight="1">
      <x:c r="A4899" t="str">
        <x:v>CA-2016-135776</x:v>
      </x:c>
      <x:c r="B4899" s="18" t="n">
        <x:v>42727</x:v>
      </x:c>
      <x:c r="C4899" t="str">
        <x:v>EH-13765</x:v>
      </x:c>
      <x:c r="D4899" t="str">
        <x:v>Edward Hooks</x:v>
      </x:c>
      <x:c r="E4899" t="str">
        <x:v>Corporate</x:v>
      </x:c>
      <x:c r="F4899" t="str">
        <x:v>West</x:v>
      </x:c>
      <x:c r="G4899" t="str">
        <x:v>Office Supplies</x:v>
      </x:c>
      <x:c r="H4899" t="str">
        <x:v>Paper</x:v>
      </x:c>
      <x:c r="I4899" s="22" t="n">
        <x:v>47.9</x:v>
      </x:c>
      <x:c r="J4899" s="24" t="n">
        <x:v>1</x:v>
      </x:c>
      <x:c r="K4899" s="26" t="n">
        <x:v>0</x:v>
      </x:c>
      <x:c r="L4899" s="22" t="n">
        <x:v>22.991999999999997</x:v>
      </x:c>
      <x:c r="M4899" t="n">
        <x:v>2016</x:v>
      </x:c>
      <x:c r="N4899" s="20" t="n">
        <x:v>42705</x:v>
      </x:c>
    </x:row>
    <x:row r="4900" ht="18" customHeight="1">
      <x:c r="A4900" t="str">
        <x:v>CA-2016-135776</x:v>
      </x:c>
      <x:c r="B4900" s="18" t="n">
        <x:v>42727</x:v>
      </x:c>
      <x:c r="C4900" t="str">
        <x:v>EH-13765</x:v>
      </x:c>
      <x:c r="D4900" t="str">
        <x:v>Edward Hooks</x:v>
      </x:c>
      <x:c r="E4900" t="str">
        <x:v>Corporate</x:v>
      </x:c>
      <x:c r="F4900" t="str">
        <x:v>West</x:v>
      </x:c>
      <x:c r="G4900" t="str">
        <x:v>Office Supplies</x:v>
      </x:c>
      <x:c r="H4900" t="str">
        <x:v>Envelopes</x:v>
      </x:c>
      <x:c r="I4900" s="22" t="n">
        <x:v>61.96</x:v>
      </x:c>
      <x:c r="J4900" s="24" t="n">
        <x:v>2</x:v>
      </x:c>
      <x:c r="K4900" s="26" t="n">
        <x:v>0</x:v>
      </x:c>
      <x:c r="L4900" s="22" t="n">
        <x:v>30.3604</x:v>
      </x:c>
      <x:c r="M4900" t="n">
        <x:v>2016</x:v>
      </x:c>
      <x:c r="N4900" s="20" t="n">
        <x:v>42705</x:v>
      </x:c>
    </x:row>
    <x:row r="4901" ht="18" customHeight="1">
      <x:c r="A4901" t="str">
        <x:v>CA-2016-135776</x:v>
      </x:c>
      <x:c r="B4901" s="18" t="n">
        <x:v>42727</x:v>
      </x:c>
      <x:c r="C4901" t="str">
        <x:v>EH-13765</x:v>
      </x:c>
      <x:c r="D4901" t="str">
        <x:v>Edward Hooks</x:v>
      </x:c>
      <x:c r="E4901" t="str">
        <x:v>Corporate</x:v>
      </x:c>
      <x:c r="F4901" t="str">
        <x:v>West</x:v>
      </x:c>
      <x:c r="G4901" t="str">
        <x:v>Office Supplies</x:v>
      </x:c>
      <x:c r="H4901" t="str">
        <x:v>Storage</x:v>
      </x:c>
      <x:c r="I4901" s="22" t="n">
        <x:v>1117.92</x:v>
      </x:c>
      <x:c r="J4901" s="24" t="n">
        <x:v>4</x:v>
      </x:c>
      <x:c r="K4901" s="26" t="n">
        <x:v>0</x:v>
      </x:c>
      <x:c r="L4901" s="22" t="n">
        <x:v>55.89599999999996</x:v>
      </x:c>
      <x:c r="M4901" t="n">
        <x:v>2016</x:v>
      </x:c>
      <x:c r="N4901" s="20" t="n">
        <x:v>42705</x:v>
      </x:c>
    </x:row>
    <x:row r="4902" ht="18" customHeight="1">
      <x:c r="A4902" t="str">
        <x:v>US-2014-122021</x:v>
      </x:c>
      <x:c r="B4902" s="18" t="n">
        <x:v>41927</x:v>
      </x:c>
      <x:c r="C4902" t="str">
        <x:v>AC-10660</x:v>
      </x:c>
      <x:c r="D4902" t="str">
        <x:v>Anna Chung</x:v>
      </x:c>
      <x:c r="E4902" t="str">
        <x:v>Consumer</x:v>
      </x:c>
      <x:c r="F4902" t="str">
        <x:v>East</x:v>
      </x:c>
      <x:c r="G4902" t="str">
        <x:v>Furniture</x:v>
      </x:c>
      <x:c r="H4902" t="str">
        <x:v>Chairs</x:v>
      </x:c>
      <x:c r="I4902" s="22" t="n">
        <x:v>183.37199999999999</x:v>
      </x:c>
      <x:c r="J4902" s="24" t="n">
        <x:v>2</x:v>
      </x:c>
      <x:c r="K4902" s="26" t="n">
        <x:v>0.3</x:v>
      </x:c>
      <x:c r="L4902" s="22" t="n">
        <x:v>-7.858800000000002</x:v>
      </x:c>
      <x:c r="M4902" t="n">
        <x:v>2014</x:v>
      </x:c>
      <x:c r="N4902" s="20" t="n">
        <x:v>41913</x:v>
      </x:c>
    </x:row>
    <x:row r="4903" ht="18" customHeight="1">
      <x:c r="A4903" t="str">
        <x:v>US-2014-122021</x:v>
      </x:c>
      <x:c r="B4903" s="18" t="n">
        <x:v>41927</x:v>
      </x:c>
      <x:c r="C4903" t="str">
        <x:v>AC-10660</x:v>
      </x:c>
      <x:c r="D4903" t="str">
        <x:v>Anna Chung</x:v>
      </x:c>
      <x:c r="E4903" t="str">
        <x:v>Consumer</x:v>
      </x:c>
      <x:c r="F4903" t="str">
        <x:v>East</x:v>
      </x:c>
      <x:c r="G4903" t="str">
        <x:v>Office Supplies</x:v>
      </x:c>
      <x:c r="H4903" t="str">
        <x:v>Paper</x:v>
      </x:c>
      <x:c r="I4903" s="22" t="n">
        <x:v>7.968000000000001</x:v>
      </x:c>
      <x:c r="J4903" s="24" t="n">
        <x:v>2</x:v>
      </x:c>
      <x:c r="K4903" s="26" t="n">
        <x:v>0.2</x:v>
      </x:c>
      <x:c r="L4903" s="22" t="n">
        <x:v>2.8884000000000007</x:v>
      </x:c>
      <x:c r="M4903" t="n">
        <x:v>2014</x:v>
      </x:c>
      <x:c r="N4903" s="20" t="n">
        <x:v>41913</x:v>
      </x:c>
    </x:row>
    <x:row r="4904" ht="18" customHeight="1">
      <x:c r="A4904" t="str">
        <x:v>CA-2016-130484</x:v>
      </x:c>
      <x:c r="B4904" s="18" t="n">
        <x:v>42604</x:v>
      </x:c>
      <x:c r="C4904" t="str">
        <x:v>SG-20470</x:v>
      </x:c>
      <x:c r="D4904" t="str">
        <x:v>Sheri Gordon</x:v>
      </x:c>
      <x:c r="E4904" t="str">
        <x:v>Consumer</x:v>
      </x:c>
      <x:c r="F4904" t="str">
        <x:v>West</x:v>
      </x:c>
      <x:c r="G4904" t="str">
        <x:v>Office Supplies</x:v>
      </x:c>
      <x:c r="H4904" t="str">
        <x:v>Binders</x:v>
      </x:c>
      <x:c r="I4904" s="22" t="n">
        <x:v>26.352000000000004</x:v>
      </x:c>
      <x:c r="J4904" s="24" t="n">
        <x:v>8</x:v>
      </x:c>
      <x:c r="K4904" s="26" t="n">
        <x:v>0.7</x:v>
      </x:c>
      <x:c r="L4904" s="22" t="n">
        <x:v>-18.446399999999997</x:v>
      </x:c>
      <x:c r="M4904" t="n">
        <x:v>2016</x:v>
      </x:c>
      <x:c r="N4904" s="20" t="n">
        <x:v>42583</x:v>
      </x:c>
    </x:row>
    <x:row r="4905" ht="18" customHeight="1">
      <x:c r="A4905" t="str">
        <x:v>CA-2017-120936</x:v>
      </x:c>
      <x:c r="B4905" s="18" t="n">
        <x:v>43086</x:v>
      </x:c>
      <x:c r="C4905" t="str">
        <x:v>CA-12310</x:v>
      </x:c>
      <x:c r="D4905" t="str">
        <x:v>Christine Abelman</x:v>
      </x:c>
      <x:c r="E4905" t="str">
        <x:v>Corporate</x:v>
      </x:c>
      <x:c r="F4905" t="str">
        <x:v>West</x:v>
      </x:c>
      <x:c r="G4905" t="str">
        <x:v>Office Supplies</x:v>
      </x:c>
      <x:c r="H4905" t="str">
        <x:v>Storage</x:v>
      </x:c>
      <x:c r="I4905" s="22" t="n">
        <x:v>481.32</x:v>
      </x:c>
      <x:c r="J4905" s="24" t="n">
        <x:v>4</x:v>
      </x:c>
      <x:c r="K4905" s="26" t="n">
        <x:v>0</x:v>
      </x:c>
      <x:c r="L4905" s="22" t="n">
        <x:v>125.14319999999998</x:v>
      </x:c>
      <x:c r="M4905" t="n">
        <x:v>2017</x:v>
      </x:c>
      <x:c r="N4905" s="20" t="n">
        <x:v>43070</x:v>
      </x:c>
    </x:row>
    <x:row r="4906" ht="18" customHeight="1">
      <x:c r="A4906" t="str">
        <x:v>CA-2017-120936</x:v>
      </x:c>
      <x:c r="B4906" s="18" t="n">
        <x:v>43086</x:v>
      </x:c>
      <x:c r="C4906" t="str">
        <x:v>CA-12310</x:v>
      </x:c>
      <x:c r="D4906" t="str">
        <x:v>Christine Abelman</x:v>
      </x:c>
      <x:c r="E4906" t="str">
        <x:v>Corporate</x:v>
      </x:c>
      <x:c r="F4906" t="str">
        <x:v>West</x:v>
      </x:c>
      <x:c r="G4906" t="str">
        <x:v>Office Supplies</x:v>
      </x:c>
      <x:c r="H4906" t="str">
        <x:v>Supplies</x:v>
      </x:c>
      <x:c r="I4906" s="22" t="n">
        <x:v>13.98</x:v>
      </x:c>
      <x:c r="J4906" s="24" t="n">
        <x:v>1</x:v>
      </x:c>
      <x:c r="K4906" s="26" t="n">
        <x:v>0</x:v>
      </x:c>
      <x:c r="L4906" s="22" t="n">
        <x:v>3.6348000000000003</x:v>
      </x:c>
      <x:c r="M4906" t="n">
        <x:v>2017</x:v>
      </x:c>
      <x:c r="N4906" s="20" t="n">
        <x:v>43070</x:v>
      </x:c>
    </x:row>
    <x:row r="4907" ht="18" customHeight="1">
      <x:c r="A4907" t="str">
        <x:v>CA-2017-110884</x:v>
      </x:c>
      <x:c r="B4907" s="18" t="n">
        <x:v>42801</x:v>
      </x:c>
      <x:c r="C4907" t="str">
        <x:v>SH-20395</x:v>
      </x:c>
      <x:c r="D4907" t="str">
        <x:v>Shahid Hopkins</x:v>
      </x:c>
      <x:c r="E4907" t="str">
        <x:v>Consumer</x:v>
      </x:c>
      <x:c r="F4907" t="str">
        <x:v>East</x:v>
      </x:c>
      <x:c r="G4907" t="str">
        <x:v>Office Supplies</x:v>
      </x:c>
      <x:c r="H4907" t="str">
        <x:v>Binders</x:v>
      </x:c>
      <x:c r="I4907" s="22" t="n">
        <x:v>25.92</x:v>
      </x:c>
      <x:c r="J4907" s="24" t="n">
        <x:v>6</x:v>
      </x:c>
      <x:c r="K4907" s="26" t="n">
        <x:v>0.2</x:v>
      </x:c>
      <x:c r="L4907" s="22" t="n">
        <x:v>9.072</x:v>
      </x:c>
      <x:c r="M4907" t="n">
        <x:v>2017</x:v>
      </x:c>
      <x:c r="N4907" s="20" t="n">
        <x:v>42795</x:v>
      </x:c>
    </x:row>
    <x:row r="4908" ht="18" customHeight="1">
      <x:c r="A4908" t="str">
        <x:v>CA-2017-110884</x:v>
      </x:c>
      <x:c r="B4908" s="18" t="n">
        <x:v>42801</x:v>
      </x:c>
      <x:c r="C4908" t="str">
        <x:v>SH-20395</x:v>
      </x:c>
      <x:c r="D4908" t="str">
        <x:v>Shahid Hopkins</x:v>
      </x:c>
      <x:c r="E4908" t="str">
        <x:v>Consumer</x:v>
      </x:c>
      <x:c r="F4908" t="str">
        <x:v>East</x:v>
      </x:c>
      <x:c r="G4908" t="str">
        <x:v>Office Supplies</x:v>
      </x:c>
      <x:c r="H4908" t="str">
        <x:v>Labels</x:v>
      </x:c>
      <x:c r="I4908" s="22" t="n">
        <x:v>91.59</x:v>
      </x:c>
      <x:c r="J4908" s="24" t="n">
        <x:v>3</x:v>
      </x:c>
      <x:c r="K4908" s="26" t="n">
        <x:v>0</x:v>
      </x:c>
      <x:c r="L4908" s="22" t="n">
        <x:v>42.1314</x:v>
      </x:c>
      <x:c r="M4908" t="n">
        <x:v>2017</x:v>
      </x:c>
      <x:c r="N4908" s="20" t="n">
        <x:v>42795</x:v>
      </x:c>
    </x:row>
    <x:row r="4909" ht="18" customHeight="1">
      <x:c r="A4909" t="str">
        <x:v>US-2014-161613</x:v>
      </x:c>
      <x:c r="B4909" s="18" t="n">
        <x:v>41974</x:v>
      </x:c>
      <x:c r="C4909" t="str">
        <x:v>MC-17605</x:v>
      </x:c>
      <x:c r="D4909" t="str">
        <x:v>Matt Connell</x:v>
      </x:c>
      <x:c r="E4909" t="str">
        <x:v>Corporate</x:v>
      </x:c>
      <x:c r="F4909" t="str">
        <x:v>Central</x:v>
      </x:c>
      <x:c r="G4909" t="str">
        <x:v>Furniture</x:v>
      </x:c>
      <x:c r="H4909" t="str">
        <x:v>Chairs</x:v>
      </x:c>
      <x:c r="I4909" s="22" t="n">
        <x:v>674.058</x:v>
      </x:c>
      <x:c r="J4909" s="24" t="n">
        <x:v>3</x:v>
      </x:c>
      <x:c r="K4909" s="26" t="n">
        <x:v>0.3</x:v>
      </x:c>
      <x:c r="L4909" s="22" t="n">
        <x:v>-19.258800000000008</x:v>
      </x:c>
      <x:c r="M4909" t="n">
        <x:v>2014</x:v>
      </x:c>
      <x:c r="N4909" s="20" t="n">
        <x:v>41974</x:v>
      </x:c>
    </x:row>
    <x:row r="4910" ht="18" customHeight="1">
      <x:c r="A4910" t="str">
        <x:v>US-2014-146353</x:v>
      </x:c>
      <x:c r="B4910" s="18" t="n">
        <x:v>41926</x:v>
      </x:c>
      <x:c r="C4910" t="str">
        <x:v>JE-15610</x:v>
      </x:c>
      <x:c r="D4910" t="str">
        <x:v>Jim Epp</x:v>
      </x:c>
      <x:c r="E4910" t="str">
        <x:v>Corporate</x:v>
      </x:c>
      <x:c r="F4910" t="str">
        <x:v>East</x:v>
      </x:c>
      <x:c r="G4910" t="str">
        <x:v>Office Supplies</x:v>
      </x:c>
      <x:c r="H4910" t="str">
        <x:v>Binders</x:v>
      </x:c>
      <x:c r="I4910" s="22" t="n">
        <x:v>22.92</x:v>
      </x:c>
      <x:c r="J4910" s="24" t="n">
        <x:v>4</x:v>
      </x:c>
      <x:c r="K4910" s="26" t="n">
        <x:v>0</x:v>
      </x:c>
      <x:c r="L4910" s="22" t="n">
        <x:v>11.0016</x:v>
      </x:c>
      <x:c r="M4910" t="n">
        <x:v>2014</x:v>
      </x:c>
      <x:c r="N4910" s="20" t="n">
        <x:v>41913</x:v>
      </x:c>
    </x:row>
    <x:row r="4911" ht="18" customHeight="1">
      <x:c r="A4911" t="str">
        <x:v>US-2014-146353</x:v>
      </x:c>
      <x:c r="B4911" s="18" t="n">
        <x:v>41926</x:v>
      </x:c>
      <x:c r="C4911" t="str">
        <x:v>JE-15610</x:v>
      </x:c>
      <x:c r="D4911" t="str">
        <x:v>Jim Epp</x:v>
      </x:c>
      <x:c r="E4911" t="str">
        <x:v>Corporate</x:v>
      </x:c>
      <x:c r="F4911" t="str">
        <x:v>East</x:v>
      </x:c>
      <x:c r="G4911" t="str">
        <x:v>Office Supplies</x:v>
      </x:c>
      <x:c r="H4911" t="str">
        <x:v>Storage</x:v>
      </x:c>
      <x:c r="I4911" s="22" t="n">
        <x:v>269.9</x:v>
      </x:c>
      <x:c r="J4911" s="24" t="n">
        <x:v>5</x:v>
      </x:c>
      <x:c r="K4911" s="26" t="n">
        <x:v>0</x:v>
      </x:c>
      <x:c r="L4911" s="22" t="n">
        <x:v>16.19399999999999</x:v>
      </x:c>
      <x:c r="M4911" t="n">
        <x:v>2014</x:v>
      </x:c>
      <x:c r="N4911" s="20" t="n">
        <x:v>41913</x:v>
      </x:c>
    </x:row>
    <x:row r="4912" ht="18" customHeight="1">
      <x:c r="A4912" t="str">
        <x:v>CA-2014-133809</x:v>
      </x:c>
      <x:c r="B4912" s="18" t="n">
        <x:v>41961</x:v>
      </x:c>
      <x:c r="C4912" t="str">
        <x:v>MS-17530</x:v>
      </x:c>
      <x:c r="D4912" t="str">
        <x:v>MaryBeth Skach</x:v>
      </x:c>
      <x:c r="E4912" t="str">
        <x:v>Consumer</x:v>
      </x:c>
      <x:c r="F4912" t="str">
        <x:v>East</x:v>
      </x:c>
      <x:c r="G4912" t="str">
        <x:v>Office Supplies</x:v>
      </x:c>
      <x:c r="H4912" t="str">
        <x:v>Binders</x:v>
      </x:c>
      <x:c r="I4912" s="22" t="n">
        <x:v>11.808000000000002</x:v>
      </x:c>
      <x:c r="J4912" s="24" t="n">
        <x:v>8</x:v>
      </x:c>
      <x:c r="K4912" s="26" t="n">
        <x:v>0.7</x:v>
      </x:c>
      <x:c r="L4912" s="22" t="n">
        <x:v>-8.659200000000002</x:v>
      </x:c>
      <x:c r="M4912" t="n">
        <x:v>2014</x:v>
      </x:c>
      <x:c r="N4912" s="20" t="n">
        <x:v>41944</x:v>
      </x:c>
    </x:row>
    <x:row r="4913" ht="18" customHeight="1">
      <x:c r="A4913" t="str">
        <x:v>CA-2014-133809</x:v>
      </x:c>
      <x:c r="B4913" s="18" t="n">
        <x:v>41961</x:v>
      </x:c>
      <x:c r="C4913" t="str">
        <x:v>MS-17530</x:v>
      </x:c>
      <x:c r="D4913" t="str">
        <x:v>MaryBeth Skach</x:v>
      </x:c>
      <x:c r="E4913" t="str">
        <x:v>Consumer</x:v>
      </x:c>
      <x:c r="F4913" t="str">
        <x:v>East</x:v>
      </x:c>
      <x:c r="G4913" t="str">
        <x:v>Technology</x:v>
      </x:c>
      <x:c r="H4913" t="str">
        <x:v>Phones</x:v>
      </x:c>
      <x:c r="I4913" s="22" t="n">
        <x:v>9.588</x:v>
      </x:c>
      <x:c r="J4913" s="24" t="n">
        <x:v>2</x:v>
      </x:c>
      <x:c r="K4913" s="26" t="n">
        <x:v>0.4</x:v>
      </x:c>
      <x:c r="L4913" s="22" t="n">
        <x:v>-2.0774</x:v>
      </x:c>
      <x:c r="M4913" t="n">
        <x:v>2014</x:v>
      </x:c>
      <x:c r="N4913" s="20" t="n">
        <x:v>41944</x:v>
      </x:c>
    </x:row>
    <x:row r="4914" ht="18" customHeight="1">
      <x:c r="A4914" t="str">
        <x:v>CA-2017-127306</x:v>
      </x:c>
      <x:c r="B4914" s="18" t="n">
        <x:v>42749</x:v>
      </x:c>
      <x:c r="C4914" t="str">
        <x:v>BH-11710</x:v>
      </x:c>
      <x:c r="D4914" t="str">
        <x:v>Brosina Hoffman</x:v>
      </x:c>
      <x:c r="E4914" t="str">
        <x:v>Consumer</x:v>
      </x:c>
      <x:c r="F4914" t="str">
        <x:v>South</x:v>
      </x:c>
      <x:c r="G4914" t="str">
        <x:v>Office Supplies</x:v>
      </x:c>
      <x:c r="H4914" t="str">
        <x:v>Envelopes</x:v>
      </x:c>
      <x:c r="I4914" s="22" t="n">
        <x:v>18.336</x:v>
      </x:c>
      <x:c r="J4914" s="24" t="n">
        <x:v>3</x:v>
      </x:c>
      <x:c r="K4914" s="26" t="n">
        <x:v>0.2</x:v>
      </x:c>
      <x:c r="L4914" s="22" t="n">
        <x:v>6.646799999999999</x:v>
      </x:c>
      <x:c r="M4914" t="n">
        <x:v>2017</x:v>
      </x:c>
      <x:c r="N4914" s="20" t="n">
        <x:v>42736</x:v>
      </x:c>
    </x:row>
    <x:row r="4915" ht="18" customHeight="1">
      <x:c r="A4915" t="str">
        <x:v>CA-2017-127306</x:v>
      </x:c>
      <x:c r="B4915" s="18" t="n">
        <x:v>42749</x:v>
      </x:c>
      <x:c r="C4915" t="str">
        <x:v>BH-11710</x:v>
      </x:c>
      <x:c r="D4915" t="str">
        <x:v>Brosina Hoffman</x:v>
      </x:c>
      <x:c r="E4915" t="str">
        <x:v>Consumer</x:v>
      </x:c>
      <x:c r="F4915" t="str">
        <x:v>South</x:v>
      </x:c>
      <x:c r="G4915" t="str">
        <x:v>Office Supplies</x:v>
      </x:c>
      <x:c r="H4915" t="str">
        <x:v>Paper</x:v>
      </x:c>
      <x:c r="I4915" s="22" t="n">
        <x:v>36.28800000000001</x:v>
      </x:c>
      <x:c r="J4915" s="24" t="n">
        <x:v>7</x:v>
      </x:c>
      <x:c r="K4915" s="26" t="n">
        <x:v>0.2</x:v>
      </x:c>
      <x:c r="L4915" s="22" t="n">
        <x:v>12.700800000000001</x:v>
      </x:c>
      <x:c r="M4915" t="n">
        <x:v>2017</x:v>
      </x:c>
      <x:c r="N4915" s="20" t="n">
        <x:v>42736</x:v>
      </x:c>
    </x:row>
    <x:row r="4916" ht="18" customHeight="1">
      <x:c r="A4916" t="str">
        <x:v>CA-2017-127306</x:v>
      </x:c>
      <x:c r="B4916" s="18" t="n">
        <x:v>42749</x:v>
      </x:c>
      <x:c r="C4916" t="str">
        <x:v>BH-11710</x:v>
      </x:c>
      <x:c r="D4916" t="str">
        <x:v>Brosina Hoffman</x:v>
      </x:c>
      <x:c r="E4916" t="str">
        <x:v>Consumer</x:v>
      </x:c>
      <x:c r="F4916" t="str">
        <x:v>South</x:v>
      </x:c>
      <x:c r="G4916" t="str">
        <x:v>Technology</x:v>
      </x:c>
      <x:c r="H4916" t="str">
        <x:v>Phones</x:v>
      </x:c>
      <x:c r="I4916" s="22" t="n">
        <x:v>111.984</x:v>
      </x:c>
      <x:c r="J4916" s="24" t="n">
        <x:v>2</x:v>
      </x:c>
      <x:c r="K4916" s="26" t="n">
        <x:v>0.2</x:v>
      </x:c>
      <x:c r="L4916" s="22" t="n">
        <x:v>6.999000000000006</x:v>
      </x:c>
      <x:c r="M4916" t="n">
        <x:v>2017</x:v>
      </x:c>
      <x:c r="N4916" s="20" t="n">
        <x:v>42736</x:v>
      </x:c>
    </x:row>
    <x:row r="4917" ht="18" customHeight="1">
      <x:c r="A4917" t="str">
        <x:v>CA-2017-127306</x:v>
      </x:c>
      <x:c r="B4917" s="18" t="n">
        <x:v>42749</x:v>
      </x:c>
      <x:c r="C4917" t="str">
        <x:v>BH-11710</x:v>
      </x:c>
      <x:c r="D4917" t="str">
        <x:v>Brosina Hoffman</x:v>
      </x:c>
      <x:c r="E4917" t="str">
        <x:v>Consumer</x:v>
      </x:c>
      <x:c r="F4917" t="str">
        <x:v>South</x:v>
      </x:c>
      <x:c r="G4917" t="str">
        <x:v>Office Supplies</x:v>
      </x:c>
      <x:c r="H4917" t="str">
        <x:v>Binders</x:v>
      </x:c>
      <x:c r="I4917" s="22" t="n">
        <x:v>5.970000000000001</x:v>
      </x:c>
      <x:c r="J4917" s="24" t="n">
        <x:v>5</x:v>
      </x:c>
      <x:c r="K4917" s="26" t="n">
        <x:v>0.7</x:v>
      </x:c>
      <x:c r="L4917" s="22" t="n">
        <x:v>-4.577</x:v>
      </x:c>
      <x:c r="M4917" t="n">
        <x:v>2017</x:v>
      </x:c>
      <x:c r="N4917" s="20" t="n">
        <x:v>42736</x:v>
      </x:c>
    </x:row>
    <x:row r="4918" ht="18" customHeight="1">
      <x:c r="A4918" t="str">
        <x:v>CA-2017-127306</x:v>
      </x:c>
      <x:c r="B4918" s="18" t="n">
        <x:v>42749</x:v>
      </x:c>
      <x:c r="C4918" t="str">
        <x:v>BH-11710</x:v>
      </x:c>
      <x:c r="D4918" t="str">
        <x:v>Brosina Hoffman</x:v>
      </x:c>
      <x:c r="E4918" t="str">
        <x:v>Consumer</x:v>
      </x:c>
      <x:c r="F4918" t="str">
        <x:v>South</x:v>
      </x:c>
      <x:c r="G4918" t="str">
        <x:v>Office Supplies</x:v>
      </x:c>
      <x:c r="H4918" t="str">
        <x:v>Binders</x:v>
      </x:c>
      <x:c r="I4918" s="22" t="n">
        <x:v>2.508</x:v>
      </x:c>
      <x:c r="J4918" s="24" t="n">
        <x:v>2</x:v>
      </x:c>
      <x:c r="K4918" s="26" t="n">
        <x:v>0.7</x:v>
      </x:c>
      <x:c r="L4918" s="22" t="n">
        <x:v>-1.8392</x:v>
      </x:c>
      <x:c r="M4918" t="n">
        <x:v>2017</x:v>
      </x:c>
      <x:c r="N4918" s="20" t="n">
        <x:v>42736</x:v>
      </x:c>
    </x:row>
    <x:row r="4919" ht="18" customHeight="1">
      <x:c r="A4919" t="str">
        <x:v>CA-2015-161830</x:v>
      </x:c>
      <x:c r="B4919" s="18" t="n">
        <x:v>42271</x:v>
      </x:c>
      <x:c r="C4919" t="str">
        <x:v>ME-17725</x:v>
      </x:c>
      <x:c r="D4919" t="str">
        <x:v>Max Engle</x:v>
      </x:c>
      <x:c r="E4919" t="str">
        <x:v>Consumer</x:v>
      </x:c>
      <x:c r="F4919" t="str">
        <x:v>West</x:v>
      </x:c>
      <x:c r="G4919" t="str">
        <x:v>Office Supplies</x:v>
      </x:c>
      <x:c r="H4919" t="str">
        <x:v>Art</x:v>
      </x:c>
      <x:c r="I4919" s="22" t="n">
        <x:v>35.96</x:v>
      </x:c>
      <x:c r="J4919" s="24" t="n">
        <x:v>2</x:v>
      </x:c>
      <x:c r="K4919" s="26" t="n">
        <x:v>0</x:v>
      </x:c>
      <x:c r="L4919" s="22" t="n">
        <x:v>10.428399999999996</x:v>
      </x:c>
      <x:c r="M4919" t="n">
        <x:v>2015</x:v>
      </x:c>
      <x:c r="N4919" s="20" t="n">
        <x:v>42248</x:v>
      </x:c>
    </x:row>
    <x:row r="4920" ht="18" customHeight="1">
      <x:c r="A4920" t="str">
        <x:v>CA-2015-161830</x:v>
      </x:c>
      <x:c r="B4920" s="18" t="n">
        <x:v>42271</x:v>
      </x:c>
      <x:c r="C4920" t="str">
        <x:v>ME-17725</x:v>
      </x:c>
      <x:c r="D4920" t="str">
        <x:v>Max Engle</x:v>
      </x:c>
      <x:c r="E4920" t="str">
        <x:v>Consumer</x:v>
      </x:c>
      <x:c r="F4920" t="str">
        <x:v>West</x:v>
      </x:c>
      <x:c r="G4920" t="str">
        <x:v>Office Supplies</x:v>
      </x:c>
      <x:c r="H4920" t="str">
        <x:v>Binders</x:v>
      </x:c>
      <x:c r="I4920" s="22" t="n">
        <x:v>14.952000000000002</x:v>
      </x:c>
      <x:c r="J4920" s="24" t="n">
        <x:v>3</x:v>
      </x:c>
      <x:c r="K4920" s="26" t="n">
        <x:v>0.2</x:v>
      </x:c>
      <x:c r="L4920" s="22" t="n">
        <x:v>5.420100000000001</x:v>
      </x:c>
      <x:c r="M4920" t="n">
        <x:v>2015</x:v>
      </x:c>
      <x:c r="N4920" s="20" t="n">
        <x:v>42248</x:v>
      </x:c>
    </x:row>
    <x:row r="4921" ht="18" customHeight="1">
      <x:c r="A4921" t="str">
        <x:v>CA-2017-163125</x:v>
      </x:c>
      <x:c r="B4921" s="18" t="n">
        <x:v>43017</x:v>
      </x:c>
      <x:c r="C4921" t="str">
        <x:v>MB-17305</x:v>
      </x:c>
      <x:c r="D4921" t="str">
        <x:v>Maria Bertelson</x:v>
      </x:c>
      <x:c r="E4921" t="str">
        <x:v>Consumer</x:v>
      </x:c>
      <x:c r="F4921" t="str">
        <x:v>Central</x:v>
      </x:c>
      <x:c r="G4921" t="str">
        <x:v>Office Supplies</x:v>
      </x:c>
      <x:c r="H4921" t="str">
        <x:v>Art</x:v>
      </x:c>
      <x:c r="I4921" s="22" t="n">
        <x:v>67.144</x:v>
      </x:c>
      <x:c r="J4921" s="24" t="n">
        <x:v>7</x:v>
      </x:c>
      <x:c r="K4921" s="26" t="n">
        <x:v>0.2</x:v>
      </x:c>
      <x:c r="L4921" s="22" t="n">
        <x:v>5.875099999999996</x:v>
      </x:c>
      <x:c r="M4921" t="n">
        <x:v>2017</x:v>
      </x:c>
      <x:c r="N4921" s="20" t="n">
        <x:v>43009</x:v>
      </x:c>
    </x:row>
    <x:row r="4922" ht="18" customHeight="1">
      <x:c r="A4922" t="str">
        <x:v>CA-2017-163125</x:v>
      </x:c>
      <x:c r="B4922" s="18" t="n">
        <x:v>43017</x:v>
      </x:c>
      <x:c r="C4922" t="str">
        <x:v>MB-17305</x:v>
      </x:c>
      <x:c r="D4922" t="str">
        <x:v>Maria Bertelson</x:v>
      </x:c>
      <x:c r="E4922" t="str">
        <x:v>Consumer</x:v>
      </x:c>
      <x:c r="F4922" t="str">
        <x:v>Central</x:v>
      </x:c>
      <x:c r="G4922" t="str">
        <x:v>Furniture</x:v>
      </x:c>
      <x:c r="H4922" t="str">
        <x:v>Chairs</x:v>
      </x:c>
      <x:c r="I4922" s="22" t="n">
        <x:v>254.058</x:v>
      </x:c>
      <x:c r="J4922" s="24" t="n">
        <x:v>3</x:v>
      </x:c>
      <x:c r="K4922" s="26" t="n">
        <x:v>0.3</x:v>
      </x:c>
      <x:c r="L4922" s="22" t="n">
        <x:v>-32.66459999999999</x:v>
      </x:c>
      <x:c r="M4922" t="n">
        <x:v>2017</x:v>
      </x:c>
      <x:c r="N4922" s="20" t="n">
        <x:v>43009</x:v>
      </x:c>
    </x:row>
    <x:row r="4923" ht="18" customHeight="1">
      <x:c r="A4923" t="str">
        <x:v>CA-2016-160304</x:v>
      </x:c>
      <x:c r="B4923" s="18" t="n">
        <x:v>42371</x:v>
      </x:c>
      <x:c r="C4923" t="str">
        <x:v>BM-11575</x:v>
      </x:c>
      <x:c r="D4923" t="str">
        <x:v>Brendan Murry</x:v>
      </x:c>
      <x:c r="E4923" t="str">
        <x:v>Corporate</x:v>
      </x:c>
      <x:c r="F4923" t="str">
        <x:v>East</x:v>
      </x:c>
      <x:c r="G4923" t="str">
        <x:v>Furniture</x:v>
      </x:c>
      <x:c r="H4923" t="str">
        <x:v>Bookcases</x:v>
      </x:c>
      <x:c r="I4923" s="22" t="n">
        <x:v>173.94</x:v>
      </x:c>
      <x:c r="J4923" s="24" t="n">
        <x:v>3</x:v>
      </x:c>
      <x:c r="K4923" s="26" t="n">
        <x:v>0</x:v>
      </x:c>
      <x:c r="L4923" s="22" t="n">
        <x:v>38.2668</x:v>
      </x:c>
      <x:c r="M4923" t="n">
        <x:v>2016</x:v>
      </x:c>
      <x:c r="N4923" s="20" t="n">
        <x:v>42370</x:v>
      </x:c>
    </x:row>
    <x:row r="4924" ht="18" customHeight="1">
      <x:c r="A4924" t="str">
        <x:v>CA-2016-160304</x:v>
      </x:c>
      <x:c r="B4924" s="18" t="n">
        <x:v>42371</x:v>
      </x:c>
      <x:c r="C4924" t="str">
        <x:v>BM-11575</x:v>
      </x:c>
      <x:c r="D4924" t="str">
        <x:v>Brendan Murry</x:v>
      </x:c>
      <x:c r="E4924" t="str">
        <x:v>Corporate</x:v>
      </x:c>
      <x:c r="F4924" t="str">
        <x:v>East</x:v>
      </x:c>
      <x:c r="G4924" t="str">
        <x:v>Technology</x:v>
      </x:c>
      <x:c r="H4924" t="str">
        <x:v>Phones</x:v>
      </x:c>
      <x:c r="I4924" s="22" t="n">
        <x:v>231.98</x:v>
      </x:c>
      <x:c r="J4924" s="24" t="n">
        <x:v>2</x:v>
      </x:c>
      <x:c r="K4924" s="26" t="n">
        <x:v>0</x:v>
      </x:c>
      <x:c r="L4924" s="22" t="n">
        <x:v>67.27419999999998</x:v>
      </x:c>
      <x:c r="M4924" t="n">
        <x:v>2016</x:v>
      </x:c>
      <x:c r="N4924" s="20" t="n">
        <x:v>42370</x:v>
      </x:c>
    </x:row>
    <x:row r="4925" ht="18" customHeight="1">
      <x:c r="A4925" t="str">
        <x:v>CA-2017-101728</x:v>
      </x:c>
      <x:c r="B4925" s="18" t="n">
        <x:v>42966</x:v>
      </x:c>
      <x:c r="C4925" t="str">
        <x:v>SC-20575</x:v>
      </x:c>
      <x:c r="D4925" t="str">
        <x:v>Sonia Cooley</x:v>
      </x:c>
      <x:c r="E4925" t="str">
        <x:v>Consumer</x:v>
      </x:c>
      <x:c r="F4925" t="str">
        <x:v>Central</x:v>
      </x:c>
      <x:c r="G4925" t="str">
        <x:v>Office Supplies</x:v>
      </x:c>
      <x:c r="H4925" t="str">
        <x:v>Binders</x:v>
      </x:c>
      <x:c r="I4925" s="22" t="n">
        <x:v>2.2959999999999994</x:v>
      </x:c>
      <x:c r="J4925" s="24" t="n">
        <x:v>2</x:v>
      </x:c>
      <x:c r="K4925" s="26" t="n">
        <x:v>0.8</x:v>
      </x:c>
      <x:c r="L4925" s="22" t="n">
        <x:v>-3.903200000000001</x:v>
      </x:c>
      <x:c r="M4925" t="n">
        <x:v>2017</x:v>
      </x:c>
      <x:c r="N4925" s="20" t="n">
        <x:v>42948</x:v>
      </x:c>
    </x:row>
    <x:row r="4926" ht="18" customHeight="1">
      <x:c r="A4926" t="str">
        <x:v>CA-2017-114055</x:v>
      </x:c>
      <x:c r="B4926" s="18" t="n">
        <x:v>43094</x:v>
      </x:c>
      <x:c r="C4926" t="str">
        <x:v>MH-18115</x:v>
      </x:c>
      <x:c r="D4926" t="str">
        <x:v>Mick Hernandez</x:v>
      </x:c>
      <x:c r="E4926" t="str">
        <x:v>Home Office</x:v>
      </x:c>
      <x:c r="F4926" t="str">
        <x:v>South</x:v>
      </x:c>
      <x:c r="G4926" t="str">
        <x:v>Office Supplies</x:v>
      </x:c>
      <x:c r="H4926" t="str">
        <x:v>Paper</x:v>
      </x:c>
      <x:c r="I4926" s="22" t="n">
        <x:v>96.08</x:v>
      </x:c>
      <x:c r="J4926" s="24" t="n">
        <x:v>2</x:v>
      </x:c>
      <x:c r="K4926" s="26" t="n">
        <x:v>0</x:v>
      </x:c>
      <x:c r="L4926" s="22" t="n">
        <x:v>46.118399999999994</x:v>
      </x:c>
      <x:c r="M4926" t="n">
        <x:v>2017</x:v>
      </x:c>
      <x:c r="N4926" s="20" t="n">
        <x:v>43070</x:v>
      </x:c>
    </x:row>
    <x:row r="4927" ht="18" customHeight="1">
      <x:c r="A4927" t="str">
        <x:v>CA-2017-114055</x:v>
      </x:c>
      <x:c r="B4927" s="18" t="n">
        <x:v>43094</x:v>
      </x:c>
      <x:c r="C4927" t="str">
        <x:v>MH-18115</x:v>
      </x:c>
      <x:c r="D4927" t="str">
        <x:v>Mick Hernandez</x:v>
      </x:c>
      <x:c r="E4927" t="str">
        <x:v>Home Office</x:v>
      </x:c>
      <x:c r="F4927" t="str">
        <x:v>South</x:v>
      </x:c>
      <x:c r="G4927" t="str">
        <x:v>Office Supplies</x:v>
      </x:c>
      <x:c r="H4927" t="str">
        <x:v>Fasteners</x:v>
      </x:c>
      <x:c r="I4927" s="22" t="n">
        <x:v>3.62</x:v>
      </x:c>
      <x:c r="J4927" s="24" t="n">
        <x:v>2</x:v>
      </x:c>
      <x:c r="K4927" s="26" t="n">
        <x:v>0</x:v>
      </x:c>
      <x:c r="L4927" s="22" t="n">
        <x:v>1.1945999999999999</x:v>
      </x:c>
      <x:c r="M4927" t="n">
        <x:v>2017</x:v>
      </x:c>
      <x:c r="N4927" s="20" t="n">
        <x:v>43070</x:v>
      </x:c>
    </x:row>
    <x:row r="4928" ht="18" customHeight="1">
      <x:c r="A4928" t="str">
        <x:v>CA-2017-114055</x:v>
      </x:c>
      <x:c r="B4928" s="18" t="n">
        <x:v>43094</x:v>
      </x:c>
      <x:c r="C4928" t="str">
        <x:v>MH-18115</x:v>
      </x:c>
      <x:c r="D4928" t="str">
        <x:v>Mick Hernandez</x:v>
      </x:c>
      <x:c r="E4928" t="str">
        <x:v>Home Office</x:v>
      </x:c>
      <x:c r="F4928" t="str">
        <x:v>South</x:v>
      </x:c>
      <x:c r="G4928" t="str">
        <x:v>Office Supplies</x:v>
      </x:c>
      <x:c r="H4928" t="str">
        <x:v>Paper</x:v>
      </x:c>
      <x:c r="I4928" s="22" t="n">
        <x:v>629.0999999999999</x:v>
      </x:c>
      <x:c r="J4928" s="24" t="n">
        <x:v>6</x:v>
      </x:c>
      <x:c r="K4928" s="26" t="n">
        <x:v>0</x:v>
      </x:c>
      <x:c r="L4928" s="22" t="n">
        <x:v>301.96799999999996</x:v>
      </x:c>
      <x:c r="M4928" t="n">
        <x:v>2017</x:v>
      </x:c>
      <x:c r="N4928" s="20" t="n">
        <x:v>43070</x:v>
      </x:c>
    </x:row>
    <x:row r="4929" ht="18" customHeight="1">
      <x:c r="A4929" t="str">
        <x:v>CA-2017-114055</x:v>
      </x:c>
      <x:c r="B4929" s="18" t="n">
        <x:v>43094</x:v>
      </x:c>
      <x:c r="C4929" t="str">
        <x:v>MH-18115</x:v>
      </x:c>
      <x:c r="D4929" t="str">
        <x:v>Mick Hernandez</x:v>
      </x:c>
      <x:c r="E4929" t="str">
        <x:v>Home Office</x:v>
      </x:c>
      <x:c r="F4929" t="str">
        <x:v>South</x:v>
      </x:c>
      <x:c r="G4929" t="str">
        <x:v>Technology</x:v>
      </x:c>
      <x:c r="H4929" t="str">
        <x:v>Phones</x:v>
      </x:c>
      <x:c r="I4929" s="22" t="n">
        <x:v>90.48</x:v>
      </x:c>
      <x:c r="J4929" s="24" t="n">
        <x:v>2</x:v>
      </x:c>
      <x:c r="K4929" s="26" t="n">
        <x:v>0</x:v>
      </x:c>
      <x:c r="L4929" s="22" t="n">
        <x:v>23.5248</x:v>
      </x:c>
      <x:c r="M4929" t="n">
        <x:v>2017</x:v>
      </x:c>
      <x:c r="N4929" s="20" t="n">
        <x:v>43070</x:v>
      </x:c>
    </x:row>
    <x:row r="4930" ht="18" customHeight="1">
      <x:c r="A4930" t="str">
        <x:v>CA-2017-126438</x:v>
      </x:c>
      <x:c r="B4930" s="18" t="n">
        <x:v>42988</x:v>
      </x:c>
      <x:c r="C4930" t="str">
        <x:v>AR-10345</x:v>
      </x:c>
      <x:c r="D4930" t="str">
        <x:v>Alex Russell</x:v>
      </x:c>
      <x:c r="E4930" t="str">
        <x:v>Corporate</x:v>
      </x:c>
      <x:c r="F4930" t="str">
        <x:v>East</x:v>
      </x:c>
      <x:c r="G4930" t="str">
        <x:v>Office Supplies</x:v>
      </x:c>
      <x:c r="H4930" t="str">
        <x:v>Art</x:v>
      </x:c>
      <x:c r="I4930" s="22" t="n">
        <x:v>14.88</x:v>
      </x:c>
      <x:c r="J4930" s="24" t="n">
        <x:v>2</x:v>
      </x:c>
      <x:c r="K4930" s="26" t="n">
        <x:v>0</x:v>
      </x:c>
      <x:c r="L4930" s="22" t="n">
        <x:v>3.7200000000000006</x:v>
      </x:c>
      <x:c r="M4930" t="n">
        <x:v>2017</x:v>
      </x:c>
      <x:c r="N4930" s="20" t="n">
        <x:v>42979</x:v>
      </x:c>
    </x:row>
    <x:row r="4931" ht="18" customHeight="1">
      <x:c r="A4931" t="str">
        <x:v>CA-2017-117653</x:v>
      </x:c>
      <x:c r="B4931" s="18" t="n">
        <x:v>43027</x:v>
      </x:c>
      <x:c r="C4931" t="str">
        <x:v>MO-17500</x:v>
      </x:c>
      <x:c r="D4931" t="str">
        <x:v>Mary O'Rourke</x:v>
      </x:c>
      <x:c r="E4931" t="str">
        <x:v>Consumer</x:v>
      </x:c>
      <x:c r="F4931" t="str">
        <x:v>Central</x:v>
      </x:c>
      <x:c r="G4931" t="str">
        <x:v>Furniture</x:v>
      </x:c>
      <x:c r="H4931" t="str">
        <x:v>Tables</x:v>
      </x:c>
      <x:c r="I4931" s="22" t="n">
        <x:v>91.275</x:v>
      </x:c>
      <x:c r="J4931" s="24" t="n">
        <x:v>1</x:v>
      </x:c>
      <x:c r="K4931" s="26" t="n">
        <x:v>0.5</x:v>
      </x:c>
      <x:c r="L4931" s="22" t="n">
        <x:v>-67.5435</x:v>
      </x:c>
      <x:c r="M4931" t="n">
        <x:v>2017</x:v>
      </x:c>
      <x:c r="N4931" s="20" t="n">
        <x:v>43009</x:v>
      </x:c>
    </x:row>
    <x:row r="4932" ht="18" customHeight="1">
      <x:c r="A4932" t="str">
        <x:v>CA-2017-143245</x:v>
      </x:c>
      <x:c r="B4932" s="18" t="n">
        <x:v>43070</x:v>
      </x:c>
      <x:c r="C4932" t="str">
        <x:v>AD-10180</x:v>
      </x:c>
      <x:c r="D4932" t="str">
        <x:v>Alan Dominguez</x:v>
      </x:c>
      <x:c r="E4932" t="str">
        <x:v>Home Office</x:v>
      </x:c>
      <x:c r="F4932" t="str">
        <x:v>East</x:v>
      </x:c>
      <x:c r="G4932" t="str">
        <x:v>Office Supplies</x:v>
      </x:c>
      <x:c r="H4932" t="str">
        <x:v>Paper</x:v>
      </x:c>
      <x:c r="I4932" s="22" t="n">
        <x:v>19.44</x:v>
      </x:c>
      <x:c r="J4932" s="24" t="n">
        <x:v>3</x:v>
      </x:c>
      <x:c r="K4932" s="26" t="n">
        <x:v>0</x:v>
      </x:c>
      <x:c r="L4932" s="22" t="n">
        <x:v>9.3312</x:v>
      </x:c>
      <x:c r="M4932" t="n">
        <x:v>2017</x:v>
      </x:c>
      <x:c r="N4932" s="20" t="n">
        <x:v>43070</x:v>
      </x:c>
    </x:row>
    <x:row r="4933" ht="18" customHeight="1">
      <x:c r="A4933" t="str">
        <x:v>CA-2017-143245</x:v>
      </x:c>
      <x:c r="B4933" s="18" t="n">
        <x:v>43070</x:v>
      </x:c>
      <x:c r="C4933" t="str">
        <x:v>AD-10180</x:v>
      </x:c>
      <x:c r="D4933" t="str">
        <x:v>Alan Dominguez</x:v>
      </x:c>
      <x:c r="E4933" t="str">
        <x:v>Home Office</x:v>
      </x:c>
      <x:c r="F4933" t="str">
        <x:v>East</x:v>
      </x:c>
      <x:c r="G4933" t="str">
        <x:v>Furniture</x:v>
      </x:c>
      <x:c r="H4933" t="str">
        <x:v>Chairs</x:v>
      </x:c>
      <x:c r="I4933" s="22" t="n">
        <x:v>897.1500000000001</x:v>
      </x:c>
      <x:c r="J4933" s="24" t="n">
        <x:v>3</x:v>
      </x:c>
      <x:c r="K4933" s="26" t="n">
        <x:v>0</x:v>
      </x:c>
      <x:c r="L4933" s="22" t="n">
        <x:v>251.20200000000003</x:v>
      </x:c>
      <x:c r="M4933" t="n">
        <x:v>2017</x:v>
      </x:c>
      <x:c r="N4933" s="20" t="n">
        <x:v>43070</x:v>
      </x:c>
    </x:row>
    <x:row r="4934" ht="18" customHeight="1">
      <x:c r="A4934" t="str">
        <x:v>US-2014-138828</x:v>
      </x:c>
      <x:c r="B4934" s="18" t="n">
        <x:v>41884</x:v>
      </x:c>
      <x:c r="C4934" t="str">
        <x:v>KD-16345</x:v>
      </x:c>
      <x:c r="D4934" t="str">
        <x:v>Katherine Ducich</x:v>
      </x:c>
      <x:c r="E4934" t="str">
        <x:v>Consumer</x:v>
      </x:c>
      <x:c r="F4934" t="str">
        <x:v>East</x:v>
      </x:c>
      <x:c r="G4934" t="str">
        <x:v>Office Supplies</x:v>
      </x:c>
      <x:c r="H4934" t="str">
        <x:v>Art</x:v>
      </x:c>
      <x:c r="I4934" s="22" t="n">
        <x:v>57.75</x:v>
      </x:c>
      <x:c r="J4934" s="24" t="n">
        <x:v>5</x:v>
      </x:c>
      <x:c r="K4934" s="26" t="n">
        <x:v>0</x:v>
      </x:c>
      <x:c r="L4934" s="22" t="n">
        <x:v>16.17</x:v>
      </x:c>
      <x:c r="M4934" t="n">
        <x:v>2014</x:v>
      </x:c>
      <x:c r="N4934" s="20" t="n">
        <x:v>41883</x:v>
      </x:c>
    </x:row>
    <x:row r="4935" ht="18" customHeight="1">
      <x:c r="A4935" t="str">
        <x:v>US-2014-138828</x:v>
      </x:c>
      <x:c r="B4935" s="18" t="n">
        <x:v>41884</x:v>
      </x:c>
      <x:c r="C4935" t="str">
        <x:v>KD-16345</x:v>
      </x:c>
      <x:c r="D4935" t="str">
        <x:v>Katherine Ducich</x:v>
      </x:c>
      <x:c r="E4935" t="str">
        <x:v>Consumer</x:v>
      </x:c>
      <x:c r="F4935" t="str">
        <x:v>East</x:v>
      </x:c>
      <x:c r="G4935" t="str">
        <x:v>Office Supplies</x:v>
      </x:c>
      <x:c r="H4935" t="str">
        <x:v>Paper</x:v>
      </x:c>
      <x:c r="I4935" s="22" t="n">
        <x:v>14.940000000000001</x:v>
      </x:c>
      <x:c r="J4935" s="24" t="n">
        <x:v>3</x:v>
      </x:c>
      <x:c r="K4935" s="26" t="n">
        <x:v>0</x:v>
      </x:c>
      <x:c r="L4935" s="22" t="n">
        <x:v>7.021800000000001</x:v>
      </x:c>
      <x:c r="M4935" t="n">
        <x:v>2014</x:v>
      </x:c>
      <x:c r="N4935" s="20" t="n">
        <x:v>41883</x:v>
      </x:c>
    </x:row>
    <x:row r="4936" ht="18" customHeight="1">
      <x:c r="A4936" t="str">
        <x:v>CA-2017-143651</x:v>
      </x:c>
      <x:c r="B4936" s="18" t="n">
        <x:v>42819</x:v>
      </x:c>
      <x:c r="C4936" t="str">
        <x:v>FM-14215</x:v>
      </x:c>
      <x:c r="D4936" t="str">
        <x:v>Filia McAdams</x:v>
      </x:c>
      <x:c r="E4936" t="str">
        <x:v>Corporate</x:v>
      </x:c>
      <x:c r="F4936" t="str">
        <x:v>West</x:v>
      </x:c>
      <x:c r="G4936" t="str">
        <x:v>Office Supplies</x:v>
      </x:c>
      <x:c r="H4936" t="str">
        <x:v>Art</x:v>
      </x:c>
      <x:c r="I4936" s="22" t="n">
        <x:v>23.1</x:v>
      </x:c>
      <x:c r="J4936" s="24" t="n">
        <x:v>2</x:v>
      </x:c>
      <x:c r="K4936" s="26" t="n">
        <x:v>0</x:v>
      </x:c>
      <x:c r="L4936" s="22" t="n">
        <x:v>6.93</x:v>
      </x:c>
      <x:c r="M4936" t="n">
        <x:v>2017</x:v>
      </x:c>
      <x:c r="N4936" s="20" t="n">
        <x:v>42795</x:v>
      </x:c>
    </x:row>
    <x:row r="4937" ht="18" customHeight="1">
      <x:c r="A4937" t="str">
        <x:v>CA-2015-106978</x:v>
      </x:c>
      <x:c r="B4937" s="18" t="n">
        <x:v>42275</x:v>
      </x:c>
      <x:c r="C4937" t="str">
        <x:v>ZC-21910</x:v>
      </x:c>
      <x:c r="D4937" t="str">
        <x:v>Zuschuss Carroll</x:v>
      </x:c>
      <x:c r="E4937" t="str">
        <x:v>Consumer</x:v>
      </x:c>
      <x:c r="F4937" t="str">
        <x:v>West</x:v>
      </x:c>
      <x:c r="G4937" t="str">
        <x:v>Office Supplies</x:v>
      </x:c>
      <x:c r="H4937" t="str">
        <x:v>Envelopes</x:v>
      </x:c>
      <x:c r="I4937" s="22" t="n">
        <x:v>12.536000000000001</x:v>
      </x:c>
      <x:c r="J4937" s="24" t="n">
        <x:v>1</x:v>
      </x:c>
      <x:c r="K4937" s="26" t="n">
        <x:v>0.2</x:v>
      </x:c>
      <x:c r="L4937" s="22" t="n">
        <x:v>4.230899999999998</x:v>
      </x:c>
      <x:c r="M4937" t="n">
        <x:v>2015</x:v>
      </x:c>
      <x:c r="N4937" s="20" t="n">
        <x:v>42248</x:v>
      </x:c>
    </x:row>
    <x:row r="4938" ht="18" customHeight="1">
      <x:c r="A4938" t="str">
        <x:v>CA-2015-106978</x:v>
      </x:c>
      <x:c r="B4938" s="18" t="n">
        <x:v>42275</x:v>
      </x:c>
      <x:c r="C4938" t="str">
        <x:v>ZC-21910</x:v>
      </x:c>
      <x:c r="D4938" t="str">
        <x:v>Zuschuss Carroll</x:v>
      </x:c>
      <x:c r="E4938" t="str">
        <x:v>Consumer</x:v>
      </x:c>
      <x:c r="F4938" t="str">
        <x:v>West</x:v>
      </x:c>
      <x:c r="G4938" t="str">
        <x:v>Office Supplies</x:v>
      </x:c>
      <x:c r="H4938" t="str">
        <x:v>Binders</x:v>
      </x:c>
      <x:c r="I4938" s="22" t="n">
        <x:v>1.0800000000000003</x:v>
      </x:c>
      <x:c r="J4938" s="24" t="n">
        <x:v>2</x:v>
      </x:c>
      <x:c r="K4938" s="26" t="n">
        <x:v>0.7</x:v>
      </x:c>
      <x:c r="L4938" s="22" t="n">
        <x:v>-0.792</x:v>
      </x:c>
      <x:c r="M4938" t="n">
        <x:v>2015</x:v>
      </x:c>
      <x:c r="N4938" s="20" t="n">
        <x:v>42248</x:v>
      </x:c>
    </x:row>
    <x:row r="4939" ht="18" customHeight="1">
      <x:c r="A4939" t="str">
        <x:v>CA-2015-106978</x:v>
      </x:c>
      <x:c r="B4939" s="18" t="n">
        <x:v>42275</x:v>
      </x:c>
      <x:c r="C4939" t="str">
        <x:v>ZC-21910</x:v>
      </x:c>
      <x:c r="D4939" t="str">
        <x:v>Zuschuss Carroll</x:v>
      </x:c>
      <x:c r="E4939" t="str">
        <x:v>Consumer</x:v>
      </x:c>
      <x:c r="F4939" t="str">
        <x:v>West</x:v>
      </x:c>
      <x:c r="G4939" t="str">
        <x:v>Office Supplies</x:v>
      </x:c>
      <x:c r="H4939" t="str">
        <x:v>Fasteners</x:v>
      </x:c>
      <x:c r="I4939" s="22" t="n">
        <x:v>4.5120000000000005</x:v>
      </x:c>
      <x:c r="J4939" s="24" t="n">
        <x:v>3</x:v>
      </x:c>
      <x:c r="K4939" s="26" t="n">
        <x:v>0.2</x:v>
      </x:c>
      <x:c r="L4939" s="22" t="n">
        <x:v>0.8459999999999996</x:v>
      </x:c>
      <x:c r="M4939" t="n">
        <x:v>2015</x:v>
      </x:c>
      <x:c r="N4939" s="20" t="n">
        <x:v>42248</x:v>
      </x:c>
    </x:row>
    <x:row r="4940" ht="18" customHeight="1">
      <x:c r="A4940" t="str">
        <x:v>CA-2015-155124</x:v>
      </x:c>
      <x:c r="B4940" s="18" t="n">
        <x:v>42078</x:v>
      </x:c>
      <x:c r="C4940" t="str">
        <x:v>KS-16300</x:v>
      </x:c>
      <x:c r="D4940" t="str">
        <x:v>Karen Seio</x:v>
      </x:c>
      <x:c r="E4940" t="str">
        <x:v>Corporate</x:v>
      </x:c>
      <x:c r="F4940" t="str">
        <x:v>West</x:v>
      </x:c>
      <x:c r="G4940" t="str">
        <x:v>Technology</x:v>
      </x:c>
      <x:c r="H4940" t="str">
        <x:v>Phones</x:v>
      </x:c>
      <x:c r="I4940" s="22" t="n">
        <x:v>16.776000000000003</x:v>
      </x:c>
      <x:c r="J4940" s="24" t="n">
        <x:v>3</x:v>
      </x:c>
      <x:c r="K4940" s="26" t="n">
        <x:v>0.2</x:v>
      </x:c>
      <x:c r="L4940" s="22" t="n">
        <x:v>1.6776</x:v>
      </x:c>
      <x:c r="M4940" t="n">
        <x:v>2015</x:v>
      </x:c>
      <x:c r="N4940" s="20" t="n">
        <x:v>42064</x:v>
      </x:c>
    </x:row>
    <x:row r="4941" ht="18" customHeight="1">
      <x:c r="A4941" t="str">
        <x:v>CA-2017-150931</x:v>
      </x:c>
      <x:c r="B4941" s="18" t="n">
        <x:v>42741</x:v>
      </x:c>
      <x:c r="C4941" t="str">
        <x:v>DP-13390</x:v>
      </x:c>
      <x:c r="D4941" t="str">
        <x:v>Dennis Pardue</x:v>
      </x:c>
      <x:c r="E4941" t="str">
        <x:v>Home Office</x:v>
      </x:c>
      <x:c r="F4941" t="str">
        <x:v>South</x:v>
      </x:c>
      <x:c r="G4941" t="str">
        <x:v>Office Supplies</x:v>
      </x:c>
      <x:c r="H4941" t="str">
        <x:v>Binders</x:v>
      </x:c>
      <x:c r="I4941" s="22" t="n">
        <x:v>33.74</x:v>
      </x:c>
      <x:c r="J4941" s="24" t="n">
        <x:v>7</x:v>
      </x:c>
      <x:c r="K4941" s="26" t="n">
        <x:v>0</x:v>
      </x:c>
      <x:c r="L4941" s="22" t="n">
        <x:v>15.5204</x:v>
      </x:c>
      <x:c r="M4941" t="n">
        <x:v>2017</x:v>
      </x:c>
      <x:c r="N4941" s="20" t="n">
        <x:v>42736</x:v>
      </x:c>
    </x:row>
    <x:row r="4942" ht="18" customHeight="1">
      <x:c r="A4942" t="str">
        <x:v>CA-2014-157147</x:v>
      </x:c>
      <x:c r="B4942" s="18" t="n">
        <x:v>41652</x:v>
      </x:c>
      <x:c r="C4942" t="str">
        <x:v>BD-11605</x:v>
      </x:c>
      <x:c r="D4942" t="str">
        <x:v>Brian Dahlen</x:v>
      </x:c>
      <x:c r="E4942" t="str">
        <x:v>Consumer</x:v>
      </x:c>
      <x:c r="F4942" t="str">
        <x:v>West</x:v>
      </x:c>
      <x:c r="G4942" t="str">
        <x:v>Office Supplies</x:v>
      </x:c>
      <x:c r="H4942" t="str">
        <x:v>Storage</x:v>
      </x:c>
      <x:c r="I4942" s="22" t="n">
        <x:v>1325.8500000000001</x:v>
      </x:c>
      <x:c r="J4942" s="24" t="n">
        <x:v>5</x:v>
      </x:c>
      <x:c r="K4942" s="26" t="n">
        <x:v>0</x:v>
      </x:c>
      <x:c r="L4942" s="22" t="n">
        <x:v>238.6529999999999</x:v>
      </x:c>
      <x:c r="M4942" t="n">
        <x:v>2014</x:v>
      </x:c>
      <x:c r="N4942" s="20" t="n">
        <x:v>41640</x:v>
      </x:c>
    </x:row>
    <x:row r="4943" ht="18" customHeight="1">
      <x:c r="A4943" t="str">
        <x:v>CA-2014-157147</x:v>
      </x:c>
      <x:c r="B4943" s="18" t="n">
        <x:v>41652</x:v>
      </x:c>
      <x:c r="C4943" t="str">
        <x:v>BD-11605</x:v>
      </x:c>
      <x:c r="D4943" t="str">
        <x:v>Brian Dahlen</x:v>
      </x:c>
      <x:c r="E4943" t="str">
        <x:v>Consumer</x:v>
      </x:c>
      <x:c r="F4943" t="str">
        <x:v>West</x:v>
      </x:c>
      <x:c r="G4943" t="str">
        <x:v>Furniture</x:v>
      </x:c>
      <x:c r="H4943" t="str">
        <x:v>Bookcases</x:v>
      </x:c>
      <x:c r="I4943" s="22" t="n">
        <x:v>333.99899999999997</x:v>
      </x:c>
      <x:c r="J4943" s="24" t="n">
        <x:v>3</x:v>
      </x:c>
      <x:c r="K4943" s="26" t="n">
        <x:v>0.15</x:v>
      </x:c>
      <x:c r="L4943" s="22" t="n">
        <x:v>3.929400000000008</x:v>
      </x:c>
      <x:c r="M4943" t="n">
        <x:v>2014</x:v>
      </x:c>
      <x:c r="N4943" s="20" t="n">
        <x:v>41640</x:v>
      </x:c>
    </x:row>
    <x:row r="4944" ht="18" customHeight="1">
      <x:c r="A4944" t="str">
        <x:v>CA-2014-157147</x:v>
      </x:c>
      <x:c r="B4944" s="18" t="n">
        <x:v>41652</x:v>
      </x:c>
      <x:c r="C4944" t="str">
        <x:v>BD-11605</x:v>
      </x:c>
      <x:c r="D4944" t="str">
        <x:v>Brian Dahlen</x:v>
      </x:c>
      <x:c r="E4944" t="str">
        <x:v>Consumer</x:v>
      </x:c>
      <x:c r="F4944" t="str">
        <x:v>West</x:v>
      </x:c>
      <x:c r="G4944" t="str">
        <x:v>Office Supplies</x:v>
      </x:c>
      <x:c r="H4944" t="str">
        <x:v>Art</x:v>
      </x:c>
      <x:c r="I4944" s="22" t="n">
        <x:v>19.9</x:v>
      </x:c>
      <x:c r="J4944" s="24" t="n">
        <x:v>5</x:v>
      </x:c>
      <x:c r="K4944" s="26" t="n">
        <x:v>0</x:v>
      </x:c>
      <x:c r="L4944" s="22" t="n">
        <x:v>6.566999999999998</x:v>
      </x:c>
      <x:c r="M4944" t="n">
        <x:v>2014</x:v>
      </x:c>
      <x:c r="N4944" s="20" t="n">
        <x:v>41640</x:v>
      </x:c>
    </x:row>
    <x:row r="4945" ht="18" customHeight="1">
      <x:c r="A4945" t="str">
        <x:v>CA-2015-156482</x:v>
      </x:c>
      <x:c r="B4945" s="18" t="n">
        <x:v>42041</x:v>
      </x:c>
      <x:c r="C4945" t="str">
        <x:v>IL-15100</x:v>
      </x:c>
      <x:c r="D4945" t="str">
        <x:v>Ivan Liston</x:v>
      </x:c>
      <x:c r="E4945" t="str">
        <x:v>Consumer</x:v>
      </x:c>
      <x:c r="F4945" t="str">
        <x:v>East</x:v>
      </x:c>
      <x:c r="G4945" t="str">
        <x:v>Furniture</x:v>
      </x:c>
      <x:c r="H4945" t="str">
        <x:v>Chairs</x:v>
      </x:c>
      <x:c r="I4945" s="22" t="n">
        <x:v>1268.82</x:v>
      </x:c>
      <x:c r="J4945" s="24" t="n">
        <x:v>9</x:v>
      </x:c>
      <x:c r="K4945" s="26" t="n">
        <x:v>0</x:v>
      </x:c>
      <x:c r="L4945" s="22" t="n">
        <x:v>266.4521999999999</x:v>
      </x:c>
      <x:c r="M4945" t="n">
        <x:v>2015</x:v>
      </x:c>
      <x:c r="N4945" s="20" t="n">
        <x:v>42036</x:v>
      </x:c>
    </x:row>
    <x:row r="4946" ht="18" customHeight="1">
      <x:c r="A4946" t="str">
        <x:v>CA-2015-156482</x:v>
      </x:c>
      <x:c r="B4946" s="18" t="n">
        <x:v>42041</x:v>
      </x:c>
      <x:c r="C4946" t="str">
        <x:v>IL-15100</x:v>
      </x:c>
      <x:c r="D4946" t="str">
        <x:v>Ivan Liston</x:v>
      </x:c>
      <x:c r="E4946" t="str">
        <x:v>Consumer</x:v>
      </x:c>
      <x:c r="F4946" t="str">
        <x:v>East</x:v>
      </x:c>
      <x:c r="G4946" t="str">
        <x:v>Furniture</x:v>
      </x:c>
      <x:c r="H4946" t="str">
        <x:v>Bookcases</x:v>
      </x:c>
      <x:c r="I4946" s="22" t="n">
        <x:v>283.92</x:v>
      </x:c>
      <x:c r="J4946" s="24" t="n">
        <x:v>4</x:v>
      </x:c>
      <x:c r="K4946" s="26" t="n">
        <x:v>0</x:v>
      </x:c>
      <x:c r="L4946" s="22" t="n">
        <x:v>82.33679999999998</x:v>
      </x:c>
      <x:c r="M4946" t="n">
        <x:v>2015</x:v>
      </x:c>
      <x:c r="N4946" s="20" t="n">
        <x:v>42036</x:v>
      </x:c>
    </x:row>
    <x:row r="4947" ht="18" customHeight="1">
      <x:c r="A4947" t="str">
        <x:v>CA-2015-156482</x:v>
      </x:c>
      <x:c r="B4947" s="18" t="n">
        <x:v>42041</x:v>
      </x:c>
      <x:c r="C4947" t="str">
        <x:v>IL-15100</x:v>
      </x:c>
      <x:c r="D4947" t="str">
        <x:v>Ivan Liston</x:v>
      </x:c>
      <x:c r="E4947" t="str">
        <x:v>Consumer</x:v>
      </x:c>
      <x:c r="F4947" t="str">
        <x:v>East</x:v>
      </x:c>
      <x:c r="G4947" t="str">
        <x:v>Office Supplies</x:v>
      </x:c>
      <x:c r="H4947" t="str">
        <x:v>Art</x:v>
      </x:c>
      <x:c r="I4947" s="22" t="n">
        <x:v>5.68</x:v>
      </x:c>
      <x:c r="J4947" s="24" t="n">
        <x:v>2</x:v>
      </x:c>
      <x:c r="K4947" s="26" t="n">
        <x:v>0</x:v>
      </x:c>
      <x:c r="L4947" s="22" t="n">
        <x:v>1.7607999999999997</x:v>
      </x:c>
      <x:c r="M4947" t="n">
        <x:v>2015</x:v>
      </x:c>
      <x:c r="N4947" s="20" t="n">
        <x:v>42036</x:v>
      </x:c>
    </x:row>
    <x:row r="4948" ht="18" customHeight="1">
      <x:c r="A4948" t="str">
        <x:v>CA-2017-106782</x:v>
      </x:c>
      <x:c r="B4948" s="18" t="n">
        <x:v>43090</x:v>
      </x:c>
      <x:c r="C4948" t="str">
        <x:v>LP-17095</x:v>
      </x:c>
      <x:c r="D4948" t="str">
        <x:v>Liz Preis</x:v>
      </x:c>
      <x:c r="E4948" t="str">
        <x:v>Consumer</x:v>
      </x:c>
      <x:c r="F4948" t="str">
        <x:v>Central</x:v>
      </x:c>
      <x:c r="G4948" t="str">
        <x:v>Office Supplies</x:v>
      </x:c>
      <x:c r="H4948" t="str">
        <x:v>Storage</x:v>
      </x:c>
      <x:c r="I4948" s="22" t="n">
        <x:v>375.34</x:v>
      </x:c>
      <x:c r="J4948" s="24" t="n">
        <x:v>1</x:v>
      </x:c>
      <x:c r="K4948" s="26" t="n">
        <x:v>0</x:v>
      </x:c>
      <x:c r="L4948" s="22" t="n">
        <x:v>18.766999999999996</x:v>
      </x:c>
      <x:c r="M4948" t="n">
        <x:v>2017</x:v>
      </x:c>
      <x:c r="N4948" s="20" t="n">
        <x:v>43070</x:v>
      </x:c>
    </x:row>
    <x:row r="4949" ht="18" customHeight="1">
      <x:c r="A4949" t="str">
        <x:v>CA-2016-151372</x:v>
      </x:c>
      <x:c r="B4949" s="18" t="n">
        <x:v>42618</x:v>
      </x:c>
      <x:c r="C4949" t="str">
        <x:v>JH-15985</x:v>
      </x:c>
      <x:c r="D4949" t="str">
        <x:v>Joseph Holt</x:v>
      </x:c>
      <x:c r="E4949" t="str">
        <x:v>Consumer</x:v>
      </x:c>
      <x:c r="F4949" t="str">
        <x:v>West</x:v>
      </x:c>
      <x:c r="G4949" t="str">
        <x:v>Office Supplies</x:v>
      </x:c>
      <x:c r="H4949" t="str">
        <x:v>Paper</x:v>
      </x:c>
      <x:c r="I4949" s="22" t="n">
        <x:v>96.08</x:v>
      </x:c>
      <x:c r="J4949" s="24" t="n">
        <x:v>2</x:v>
      </x:c>
      <x:c r="K4949" s="26" t="n">
        <x:v>0</x:v>
      </x:c>
      <x:c r="L4949" s="22" t="n">
        <x:v>46.118399999999994</x:v>
      </x:c>
      <x:c r="M4949" t="n">
        <x:v>2016</x:v>
      </x:c>
      <x:c r="N4949" s="20" t="n">
        <x:v>42614</x:v>
      </x:c>
    </x:row>
    <x:row r="4950" ht="18" customHeight="1">
      <x:c r="A4950" t="str">
        <x:v>CA-2016-151372</x:v>
      </x:c>
      <x:c r="B4950" s="18" t="n">
        <x:v>42618</x:v>
      </x:c>
      <x:c r="C4950" t="str">
        <x:v>JH-15985</x:v>
      </x:c>
      <x:c r="D4950" t="str">
        <x:v>Joseph Holt</x:v>
      </x:c>
      <x:c r="E4950" t="str">
        <x:v>Consumer</x:v>
      </x:c>
      <x:c r="F4950" t="str">
        <x:v>West</x:v>
      </x:c>
      <x:c r="G4950" t="str">
        <x:v>Office Supplies</x:v>
      </x:c>
      <x:c r="H4950" t="str">
        <x:v>Binders</x:v>
      </x:c>
      <x:c r="I4950" s="22" t="n">
        <x:v>11.68</x:v>
      </x:c>
      <x:c r="J4950" s="24" t="n">
        <x:v>2</x:v>
      </x:c>
      <x:c r="K4950" s="26" t="n">
        <x:v>0.2</x:v>
      </x:c>
      <x:c r="L4950" s="22" t="n">
        <x:v>3.9419999999999993</x:v>
      </x:c>
      <x:c r="M4950" t="n">
        <x:v>2016</x:v>
      </x:c>
      <x:c r="N4950" s="20" t="n">
        <x:v>42614</x:v>
      </x:c>
    </x:row>
    <x:row r="4951" ht="18" customHeight="1">
      <x:c r="A4951" t="str">
        <x:v>CA-2016-151372</x:v>
      </x:c>
      <x:c r="B4951" s="18" t="n">
        <x:v>42618</x:v>
      </x:c>
      <x:c r="C4951" t="str">
        <x:v>JH-15985</x:v>
      </x:c>
      <x:c r="D4951" t="str">
        <x:v>Joseph Holt</x:v>
      </x:c>
      <x:c r="E4951" t="str">
        <x:v>Consumer</x:v>
      </x:c>
      <x:c r="F4951" t="str">
        <x:v>West</x:v>
      </x:c>
      <x:c r="G4951" t="str">
        <x:v>Office Supplies</x:v>
      </x:c>
      <x:c r="H4951" t="str">
        <x:v>Fasteners</x:v>
      </x:c>
      <x:c r="I4951" s="22" t="n">
        <x:v>4.36</x:v>
      </x:c>
      <x:c r="J4951" s="24" t="n">
        <x:v>2</x:v>
      </x:c>
      <x:c r="K4951" s="26" t="n">
        <x:v>0</x:v>
      </x:c>
      <x:c r="L4951" s="22" t="n">
        <x:v>1.7876000000000003</x:v>
      </x:c>
      <x:c r="M4951" t="n">
        <x:v>2016</x:v>
      </x:c>
      <x:c r="N4951" s="20" t="n">
        <x:v>42614</x:v>
      </x:c>
    </x:row>
    <x:row r="4952" ht="18" customHeight="1">
      <x:c r="A4952" t="str">
        <x:v>CA-2014-102085</x:v>
      </x:c>
      <x:c r="B4952" s="18" t="n">
        <x:v>41916</x:v>
      </x:c>
      <x:c r="C4952" t="str">
        <x:v>JD-16015</x:v>
      </x:c>
      <x:c r="D4952" t="str">
        <x:v>Joy Daniels</x:v>
      </x:c>
      <x:c r="E4952" t="str">
        <x:v>Consumer</x:v>
      </x:c>
      <x:c r="F4952" t="str">
        <x:v>West</x:v>
      </x:c>
      <x:c r="G4952" t="str">
        <x:v>Office Supplies</x:v>
      </x:c>
      <x:c r="H4952" t="str">
        <x:v>Labels</x:v>
      </x:c>
      <x:c r="I4952" s="22" t="n">
        <x:v>29.24</x:v>
      </x:c>
      <x:c r="J4952" s="24" t="n">
        <x:v>4</x:v>
      </x:c>
      <x:c r="K4952" s="26" t="n">
        <x:v>0</x:v>
      </x:c>
      <x:c r="L4952" s="22" t="n">
        <x:v>13.742799999999999</x:v>
      </x:c>
      <x:c r="M4952" t="n">
        <x:v>2014</x:v>
      </x:c>
      <x:c r="N4952" s="20" t="n">
        <x:v>41913</x:v>
      </x:c>
    </x:row>
    <x:row r="4953" ht="18" customHeight="1">
      <x:c r="A4953" t="str">
        <x:v>CA-2017-107125</x:v>
      </x:c>
      <x:c r="B4953" s="18" t="n">
        <x:v>43066</x:v>
      </x:c>
      <x:c r="C4953" t="str">
        <x:v>BD-11320</x:v>
      </x:c>
      <x:c r="D4953" t="str">
        <x:v>Bill Donatelli</x:v>
      </x:c>
      <x:c r="E4953" t="str">
        <x:v>Consumer</x:v>
      </x:c>
      <x:c r="F4953" t="str">
        <x:v>West</x:v>
      </x:c>
      <x:c r="G4953" t="str">
        <x:v>Office Supplies</x:v>
      </x:c>
      <x:c r="H4953" t="str">
        <x:v>Binders</x:v>
      </x:c>
      <x:c r="I4953" s="22" t="n">
        <x:v>117.48800000000001</x:v>
      </x:c>
      <x:c r="J4953" s="24" t="n">
        <x:v>7</x:v>
      </x:c>
      <x:c r="K4953" s="26" t="n">
        <x:v>0.2</x:v>
      </x:c>
      <x:c r="L4953" s="22" t="n">
        <x:v>41.12079999999999</x:v>
      </x:c>
      <x:c r="M4953" t="n">
        <x:v>2017</x:v>
      </x:c>
      <x:c r="N4953" s="20" t="n">
        <x:v>43040</x:v>
      </x:c>
    </x:row>
    <x:row r="4954" ht="18" customHeight="1">
      <x:c r="A4954" t="str">
        <x:v>CA-2017-107125</x:v>
      </x:c>
      <x:c r="B4954" s="18" t="n">
        <x:v>43066</x:v>
      </x:c>
      <x:c r="C4954" t="str">
        <x:v>BD-11320</x:v>
      </x:c>
      <x:c r="D4954" t="str">
        <x:v>Bill Donatelli</x:v>
      </x:c>
      <x:c r="E4954" t="str">
        <x:v>Consumer</x:v>
      </x:c>
      <x:c r="F4954" t="str">
        <x:v>West</x:v>
      </x:c>
      <x:c r="G4954" t="str">
        <x:v>Furniture</x:v>
      </x:c>
      <x:c r="H4954" t="str">
        <x:v>Furnishings</x:v>
      </x:c>
      <x:c r="I4954" s="22" t="n">
        <x:v>18.84</x:v>
      </x:c>
      <x:c r="J4954" s="24" t="n">
        <x:v>3</x:v>
      </x:c>
      <x:c r="K4954" s="26" t="n">
        <x:v>0</x:v>
      </x:c>
      <x:c r="L4954" s="22" t="n">
        <x:v>6.0287999999999995</x:v>
      </x:c>
      <x:c r="M4954" t="n">
        <x:v>2017</x:v>
      </x:c>
      <x:c r="N4954" s="20" t="n">
        <x:v>43040</x:v>
      </x:c>
    </x:row>
    <x:row r="4955" ht="18" customHeight="1">
      <x:c r="A4955" t="str">
        <x:v>CA-2016-125815</x:v>
      </x:c>
      <x:c r="B4955" s="18" t="n">
        <x:v>42671</x:v>
      </x:c>
      <x:c r="C4955" t="str">
        <x:v>DL-13330</x:v>
      </x:c>
      <x:c r="D4955" t="str">
        <x:v>Denise Leinenbach</x:v>
      </x:c>
      <x:c r="E4955" t="str">
        <x:v>Consumer</x:v>
      </x:c>
      <x:c r="F4955" t="str">
        <x:v>East</x:v>
      </x:c>
      <x:c r="G4955" t="str">
        <x:v>Office Supplies</x:v>
      </x:c>
      <x:c r="H4955" t="str">
        <x:v>Art</x:v>
      </x:c>
      <x:c r="I4955" s="22" t="n">
        <x:v>12.419999999999998</x:v>
      </x:c>
      <x:c r="J4955" s="24" t="n">
        <x:v>3</x:v>
      </x:c>
      <x:c r="K4955" s="26" t="n">
        <x:v>0</x:v>
      </x:c>
      <x:c r="L4955" s="22" t="n">
        <x:v>5.2164</x:v>
      </x:c>
      <x:c r="M4955" t="n">
        <x:v>2016</x:v>
      </x:c>
      <x:c r="N4955" s="20" t="n">
        <x:v>42644</x:v>
      </x:c>
    </x:row>
    <x:row r="4956" ht="18" customHeight="1">
      <x:c r="A4956" t="str">
        <x:v>CA-2015-144190</x:v>
      </x:c>
      <x:c r="B4956" s="18" t="n">
        <x:v>42164</x:v>
      </x:c>
      <x:c r="C4956" t="str">
        <x:v>NC-18415</x:v>
      </x:c>
      <x:c r="D4956" t="str">
        <x:v>Nathan Cano</x:v>
      </x:c>
      <x:c r="E4956" t="str">
        <x:v>Consumer</x:v>
      </x:c>
      <x:c r="F4956" t="str">
        <x:v>Central</x:v>
      </x:c>
      <x:c r="G4956" t="str">
        <x:v>Office Supplies</x:v>
      </x:c>
      <x:c r="H4956" t="str">
        <x:v>Paper</x:v>
      </x:c>
      <x:c r="I4956" s="22" t="n">
        <x:v>12.96</x:v>
      </x:c>
      <x:c r="J4956" s="24" t="n">
        <x:v>2</x:v>
      </x:c>
      <x:c r="K4956" s="26" t="n">
        <x:v>0</x:v>
      </x:c>
      <x:c r="L4956" s="22" t="n">
        <x:v>6.2208000000000006</x:v>
      </x:c>
      <x:c r="M4956" t="n">
        <x:v>2015</x:v>
      </x:c>
      <x:c r="N4956" s="20" t="n">
        <x:v>42156</x:v>
      </x:c>
    </x:row>
    <x:row r="4957" ht="18" customHeight="1">
      <x:c r="A4957" t="str">
        <x:v>CA-2017-117926</x:v>
      </x:c>
      <x:c r="B4957" s="18" t="n">
        <x:v>43077</x:v>
      </x:c>
      <x:c r="C4957" t="str">
        <x:v>AS-10225</x:v>
      </x:c>
      <x:c r="D4957" t="str">
        <x:v>Alan Schoenberger</x:v>
      </x:c>
      <x:c r="E4957" t="str">
        <x:v>Corporate</x:v>
      </x:c>
      <x:c r="F4957" t="str">
        <x:v>West</x:v>
      </x:c>
      <x:c r="G4957" t="str">
        <x:v>Office Supplies</x:v>
      </x:c>
      <x:c r="H4957" t="str">
        <x:v>Appliances</x:v>
      </x:c>
      <x:c r="I4957" s="22" t="n">
        <x:v>69.48</x:v>
      </x:c>
      <x:c r="J4957" s="24" t="n">
        <x:v>1</x:v>
      </x:c>
      <x:c r="K4957" s="26" t="n">
        <x:v>0</x:v>
      </x:c>
      <x:c r="L4957" s="22" t="n">
        <x:v>20.843999999999994</x:v>
      </x:c>
      <x:c r="M4957" t="n">
        <x:v>2017</x:v>
      </x:c>
      <x:c r="N4957" s="20" t="n">
        <x:v>43070</x:v>
      </x:c>
    </x:row>
    <x:row r="4958" ht="18" customHeight="1">
      <x:c r="A4958" t="str">
        <x:v>CA-2015-153906</x:v>
      </x:c>
      <x:c r="B4958" s="18" t="n">
        <x:v>42079</x:v>
      </x:c>
      <x:c r="C4958" t="str">
        <x:v>MS-17980</x:v>
      </x:c>
      <x:c r="D4958" t="str">
        <x:v>Michael Stewart</x:v>
      </x:c>
      <x:c r="E4958" t="str">
        <x:v>Corporate</x:v>
      </x:c>
      <x:c r="F4958" t="str">
        <x:v>East</x:v>
      </x:c>
      <x:c r="G4958" t="str">
        <x:v>Technology</x:v>
      </x:c>
      <x:c r="H4958" t="str">
        <x:v>Phones</x:v>
      </x:c>
      <x:c r="I4958" s="22" t="n">
        <x:v>85.9</x:v>
      </x:c>
      <x:c r="J4958" s="24" t="n">
        <x:v>2</x:v>
      </x:c>
      <x:c r="K4958" s="26" t="n">
        <x:v>0</x:v>
      </x:c>
      <x:c r="L4958" s="22" t="n">
        <x:v>2.576999999999998</x:v>
      </x:c>
      <x:c r="M4958" t="n">
        <x:v>2015</x:v>
      </x:c>
      <x:c r="N4958" s="20" t="n">
        <x:v>42064</x:v>
      </x:c>
    </x:row>
    <x:row r="4959" ht="18" customHeight="1">
      <x:c r="A4959" t="str">
        <x:v>CA-2014-160262</x:v>
      </x:c>
      <x:c r="B4959" s="18" t="n">
        <x:v>41799</x:v>
      </x:c>
      <x:c r="C4959" t="str">
        <x:v>TS-21205</x:v>
      </x:c>
      <x:c r="D4959" t="str">
        <x:v>Thomas Seio</x:v>
      </x:c>
      <x:c r="E4959" t="str">
        <x:v>Corporate</x:v>
      </x:c>
      <x:c r="F4959" t="str">
        <x:v>West</x:v>
      </x:c>
      <x:c r="G4959" t="str">
        <x:v>Office Supplies</x:v>
      </x:c>
      <x:c r="H4959" t="str">
        <x:v>Art</x:v>
      </x:c>
      <x:c r="I4959" s="22" t="n">
        <x:v>18.060000000000002</x:v>
      </x:c>
      <x:c r="J4959" s="24" t="n">
        <x:v>7</x:v>
      </x:c>
      <x:c r="K4959" s="26" t="n">
        <x:v>0</x:v>
      </x:c>
      <x:c r="L4959" s="22" t="n">
        <x:v>4.695600000000001</x:v>
      </x:c>
      <x:c r="M4959" t="n">
        <x:v>2014</x:v>
      </x:c>
      <x:c r="N4959" s="20" t="n">
        <x:v>41791</x:v>
      </x:c>
    </x:row>
    <x:row r="4960" ht="18" customHeight="1">
      <x:c r="A4960" t="str">
        <x:v>CA-2014-160262</x:v>
      </x:c>
      <x:c r="B4960" s="18" t="n">
        <x:v>41799</x:v>
      </x:c>
      <x:c r="C4960" t="str">
        <x:v>TS-21205</x:v>
      </x:c>
      <x:c r="D4960" t="str">
        <x:v>Thomas Seio</x:v>
      </x:c>
      <x:c r="E4960" t="str">
        <x:v>Corporate</x:v>
      </x:c>
      <x:c r="F4960" t="str">
        <x:v>West</x:v>
      </x:c>
      <x:c r="G4960" t="str">
        <x:v>Office Supplies</x:v>
      </x:c>
      <x:c r="H4960" t="str">
        <x:v>Paper</x:v>
      </x:c>
      <x:c r="I4960" s="22" t="n">
        <x:v>79.14</x:v>
      </x:c>
      <x:c r="J4960" s="24" t="n">
        <x:v>3</x:v>
      </x:c>
      <x:c r="K4960" s="26" t="n">
        <x:v>0</x:v>
      </x:c>
      <x:c r="L4960" s="22" t="n">
        <x:v>36.404399999999995</x:v>
      </x:c>
      <x:c r="M4960" t="n">
        <x:v>2014</x:v>
      </x:c>
      <x:c r="N4960" s="20" t="n">
        <x:v>41791</x:v>
      </x:c>
    </x:row>
    <x:row r="4961" ht="18" customHeight="1">
      <x:c r="A4961" t="str">
        <x:v>CA-2014-160262</x:v>
      </x:c>
      <x:c r="B4961" s="18" t="n">
        <x:v>41799</x:v>
      </x:c>
      <x:c r="C4961" t="str">
        <x:v>TS-21205</x:v>
      </x:c>
      <x:c r="D4961" t="str">
        <x:v>Thomas Seio</x:v>
      </x:c>
      <x:c r="E4961" t="str">
        <x:v>Corporate</x:v>
      </x:c>
      <x:c r="F4961" t="str">
        <x:v>West</x:v>
      </x:c>
      <x:c r="G4961" t="str">
        <x:v>Furniture</x:v>
      </x:c>
      <x:c r="H4961" t="str">
        <x:v>Furnishings</x:v>
      </x:c>
      <x:c r="I4961" s="22" t="n">
        <x:v>37.4</x:v>
      </x:c>
      <x:c r="J4961" s="24" t="n">
        <x:v>2</x:v>
      </x:c>
      <x:c r="K4961" s="26" t="n">
        <x:v>0</x:v>
      </x:c>
      <x:c r="L4961" s="22" t="n">
        <x:v>14.212</x:v>
      </x:c>
      <x:c r="M4961" t="n">
        <x:v>2014</x:v>
      </x:c>
      <x:c r="N4961" s="20" t="n">
        <x:v>41791</x:v>
      </x:c>
    </x:row>
    <x:row r="4962" ht="18" customHeight="1">
      <x:c r="A4962" t="str">
        <x:v>CA-2015-127607</x:v>
      </x:c>
      <x:c r="B4962" s="18" t="n">
        <x:v>42083</x:v>
      </x:c>
      <x:c r="C4962" t="str">
        <x:v>JK-15730</x:v>
      </x:c>
      <x:c r="D4962" t="str">
        <x:v>Joe Kamberova</x:v>
      </x:c>
      <x:c r="E4962" t="str">
        <x:v>Consumer</x:v>
      </x:c>
      <x:c r="F4962" t="str">
        <x:v>Central</x:v>
      </x:c>
      <x:c r="G4962" t="str">
        <x:v>Office Supplies</x:v>
      </x:c>
      <x:c r="H4962" t="str">
        <x:v>Binders</x:v>
      </x:c>
      <x:c r="I4962" s="22" t="n">
        <x:v>2.5119999999999996</x:v>
      </x:c>
      <x:c r="J4962" s="24" t="n">
        <x:v>2</x:v>
      </x:c>
      <x:c r="K4962" s="26" t="n">
        <x:v>0.8</x:v>
      </x:c>
      <x:c r="L4962" s="22" t="n">
        <x:v>-4.396000000000003</x:v>
      </x:c>
      <x:c r="M4962" t="n">
        <x:v>2015</x:v>
      </x:c>
      <x:c r="N4962" s="20" t="n">
        <x:v>42064</x:v>
      </x:c>
    </x:row>
    <x:row r="4963" ht="18" customHeight="1">
      <x:c r="A4963" t="str">
        <x:v>CA-2015-127607</x:v>
      </x:c>
      <x:c r="B4963" s="18" t="n">
        <x:v>42083</x:v>
      </x:c>
      <x:c r="C4963" t="str">
        <x:v>JK-15730</x:v>
      </x:c>
      <x:c r="D4963" t="str">
        <x:v>Joe Kamberova</x:v>
      </x:c>
      <x:c r="E4963" t="str">
        <x:v>Consumer</x:v>
      </x:c>
      <x:c r="F4963" t="str">
        <x:v>Central</x:v>
      </x:c>
      <x:c r="G4963" t="str">
        <x:v>Office Supplies</x:v>
      </x:c>
      <x:c r="H4963" t="str">
        <x:v>Fasteners</x:v>
      </x:c>
      <x:c r="I4963" s="22" t="n">
        <x:v>18.864</x:v>
      </x:c>
      <x:c r="J4963" s="24" t="n">
        <x:v>9</x:v>
      </x:c>
      <x:c r="K4963" s="26" t="n">
        <x:v>0.2</x:v>
      </x:c>
      <x:c r="L4963" s="22" t="n">
        <x:v>6.1308</x:v>
      </x:c>
      <x:c r="M4963" t="n">
        <x:v>2015</x:v>
      </x:c>
      <x:c r="N4963" s="20" t="n">
        <x:v>42064</x:v>
      </x:c>
    </x:row>
    <x:row r="4964" ht="18" customHeight="1">
      <x:c r="A4964" t="str">
        <x:v>CA-2016-166226</x:v>
      </x:c>
      <x:c r="B4964" s="18" t="n">
        <x:v>42692</x:v>
      </x:c>
      <x:c r="C4964" t="str">
        <x:v>TC-21535</x:v>
      </x:c>
      <x:c r="D4964" t="str">
        <x:v>Tracy Collins</x:v>
      </x:c>
      <x:c r="E4964" t="str">
        <x:v>Home Office</x:v>
      </x:c>
      <x:c r="F4964" t="str">
        <x:v>West</x:v>
      </x:c>
      <x:c r="G4964" t="str">
        <x:v>Technology</x:v>
      </x:c>
      <x:c r="H4964" t="str">
        <x:v>Phones</x:v>
      </x:c>
      <x:c r="I4964" s="22" t="n">
        <x:v>61.192</x:v>
      </x:c>
      <x:c r="J4964" s="24" t="n">
        <x:v>1</x:v>
      </x:c>
      <x:c r="K4964" s="26" t="n">
        <x:v>0.2</x:v>
      </x:c>
      <x:c r="L4964" s="22" t="n">
        <x:v>6.119200000000001</x:v>
      </x:c>
      <x:c r="M4964" t="n">
        <x:v>2016</x:v>
      </x:c>
      <x:c r="N4964" s="20" t="n">
        <x:v>42675</x:v>
      </x:c>
    </x:row>
    <x:row r="4965" ht="18" customHeight="1">
      <x:c r="A4965" t="str">
        <x:v>CA-2016-166226</x:v>
      </x:c>
      <x:c r="B4965" s="18" t="n">
        <x:v>42692</x:v>
      </x:c>
      <x:c r="C4965" t="str">
        <x:v>TC-21535</x:v>
      </x:c>
      <x:c r="D4965" t="str">
        <x:v>Tracy Collins</x:v>
      </x:c>
      <x:c r="E4965" t="str">
        <x:v>Home Office</x:v>
      </x:c>
      <x:c r="F4965" t="str">
        <x:v>West</x:v>
      </x:c>
      <x:c r="G4965" t="str">
        <x:v>Office Supplies</x:v>
      </x:c>
      <x:c r="H4965" t="str">
        <x:v>Appliances</x:v>
      </x:c>
      <x:c r="I4965" s="22" t="n">
        <x:v>67.84</x:v>
      </x:c>
      <x:c r="J4965" s="24" t="n">
        <x:v>1</x:v>
      </x:c>
      <x:c r="K4965" s="26" t="n">
        <x:v>0</x:v>
      </x:c>
      <x:c r="L4965" s="22" t="n">
        <x:v>18.3168</x:v>
      </x:c>
      <x:c r="M4965" t="n">
        <x:v>2016</x:v>
      </x:c>
      <x:c r="N4965" s="20" t="n">
        <x:v>42675</x:v>
      </x:c>
    </x:row>
    <x:row r="4966" ht="18" customHeight="1">
      <x:c r="A4966" t="str">
        <x:v>CA-2014-156587</x:v>
      </x:c>
      <x:c r="B4966" s="18" t="n">
        <x:v>41705</x:v>
      </x:c>
      <x:c r="C4966" t="str">
        <x:v>AB-10015</x:v>
      </x:c>
      <x:c r="D4966" t="str">
        <x:v>Aaron Bergman</x:v>
      </x:c>
      <x:c r="E4966" t="str">
        <x:v>Consumer</x:v>
      </x:c>
      <x:c r="F4966" t="str">
        <x:v>West</x:v>
      </x:c>
      <x:c r="G4966" t="str">
        <x:v>Furniture</x:v>
      </x:c>
      <x:c r="H4966" t="str">
        <x:v>Chairs</x:v>
      </x:c>
      <x:c r="I4966" s="22" t="n">
        <x:v>48.712</x:v>
      </x:c>
      <x:c r="J4966" s="24" t="n">
        <x:v>1</x:v>
      </x:c>
      <x:c r="K4966" s="26" t="n">
        <x:v>0.2</x:v>
      </x:c>
      <x:c r="L4966" s="22" t="n">
        <x:v>5.480099999999997</x:v>
      </x:c>
      <x:c r="M4966" t="n">
        <x:v>2014</x:v>
      </x:c>
      <x:c r="N4966" s="20" t="n">
        <x:v>41699</x:v>
      </x:c>
    </x:row>
    <x:row r="4967" ht="18" customHeight="1">
      <x:c r="A4967" t="str">
        <x:v>CA-2014-156587</x:v>
      </x:c>
      <x:c r="B4967" s="18" t="n">
        <x:v>41705</x:v>
      </x:c>
      <x:c r="C4967" t="str">
        <x:v>AB-10015</x:v>
      </x:c>
      <x:c r="D4967" t="str">
        <x:v>Aaron Bergman</x:v>
      </x:c>
      <x:c r="E4967" t="str">
        <x:v>Consumer</x:v>
      </x:c>
      <x:c r="F4967" t="str">
        <x:v>West</x:v>
      </x:c>
      <x:c r="G4967" t="str">
        <x:v>Office Supplies</x:v>
      </x:c>
      <x:c r="H4967" t="str">
        <x:v>Art</x:v>
      </x:c>
      <x:c r="I4967" s="22" t="n">
        <x:v>17.94</x:v>
      </x:c>
      <x:c r="J4967" s="24" t="n">
        <x:v>3</x:v>
      </x:c>
      <x:c r="K4967" s="26" t="n">
        <x:v>0</x:v>
      </x:c>
      <x:c r="L4967" s="22" t="n">
        <x:v>4.6644000000000005</x:v>
      </x:c>
      <x:c r="M4967" t="n">
        <x:v>2014</x:v>
      </x:c>
      <x:c r="N4967" s="20" t="n">
        <x:v>41699</x:v>
      </x:c>
    </x:row>
    <x:row r="4968" ht="18" customHeight="1">
      <x:c r="A4968" t="str">
        <x:v>CA-2014-156587</x:v>
      </x:c>
      <x:c r="B4968" s="18" t="n">
        <x:v>41705</x:v>
      </x:c>
      <x:c r="C4968" t="str">
        <x:v>AB-10015</x:v>
      </x:c>
      <x:c r="D4968" t="str">
        <x:v>Aaron Bergman</x:v>
      </x:c>
      <x:c r="E4968" t="str">
        <x:v>Consumer</x:v>
      </x:c>
      <x:c r="F4968" t="str">
        <x:v>West</x:v>
      </x:c>
      <x:c r="G4968" t="str">
        <x:v>Office Supplies</x:v>
      </x:c>
      <x:c r="H4968" t="str">
        <x:v>Storage</x:v>
      </x:c>
      <x:c r="I4968" s="22" t="n">
        <x:v>242.94</x:v>
      </x:c>
      <x:c r="J4968" s="24" t="n">
        <x:v>3</x:v>
      </x:c>
      <x:c r="K4968" s="26" t="n">
        <x:v>0</x:v>
      </x:c>
      <x:c r="L4968" s="22" t="n">
        <x:v>4.858800000000016</x:v>
      </x:c>
      <x:c r="M4968" t="n">
        <x:v>2014</x:v>
      </x:c>
      <x:c r="N4968" s="20" t="n">
        <x:v>41699</x:v>
      </x:c>
    </x:row>
    <x:row r="4969" ht="18" customHeight="1">
      <x:c r="A4969" t="str">
        <x:v>CA-2016-141180</x:v>
      </x:c>
      <x:c r="B4969" s="18" t="n">
        <x:v>42505</x:v>
      </x:c>
      <x:c r="C4969" t="str">
        <x:v>DP-13000</x:v>
      </x:c>
      <x:c r="D4969" t="str">
        <x:v>Darren Powers</x:v>
      </x:c>
      <x:c r="E4969" t="str">
        <x:v>Consumer</x:v>
      </x:c>
      <x:c r="F4969" t="str">
        <x:v>South</x:v>
      </x:c>
      <x:c r="G4969" t="str">
        <x:v>Office Supplies</x:v>
      </x:c>
      <x:c r="H4969" t="str">
        <x:v>Binders</x:v>
      </x:c>
      <x:c r="I4969" s="22" t="n">
        <x:v>7.764000000000001</x:v>
      </x:c>
      <x:c r="J4969" s="24" t="n">
        <x:v>4</x:v>
      </x:c>
      <x:c r="K4969" s="26" t="n">
        <x:v>0.7</x:v>
      </x:c>
      <x:c r="L4969" s="22" t="n">
        <x:v>-5.176</x:v>
      </x:c>
      <x:c r="M4969" t="n">
        <x:v>2016</x:v>
      </x:c>
      <x:c r="N4969" s="20" t="n">
        <x:v>42491</x:v>
      </x:c>
    </x:row>
    <x:row r="4970" ht="18" customHeight="1">
      <x:c r="A4970" t="str">
        <x:v>CA-2015-109708</x:v>
      </x:c>
      <x:c r="B4970" s="18" t="n">
        <x:v>42149</x:v>
      </x:c>
      <x:c r="C4970" t="str">
        <x:v>CY-12745</x:v>
      </x:c>
      <x:c r="D4970" t="str">
        <x:v>Craig Yedwab</x:v>
      </x:c>
      <x:c r="E4970" t="str">
        <x:v>Corporate</x:v>
      </x:c>
      <x:c r="F4970" t="str">
        <x:v>South</x:v>
      </x:c>
      <x:c r="G4970" t="str">
        <x:v>Technology</x:v>
      </x:c>
      <x:c r="H4970" t="str">
        <x:v>Phones</x:v>
      </x:c>
      <x:c r="I4970" s="22" t="n">
        <x:v>467.03999999999996</x:v>
      </x:c>
      <x:c r="J4970" s="24" t="n">
        <x:v>4</x:v>
      </x:c>
      <x:c r="K4970" s="26" t="n">
        <x:v>0.2</x:v>
      </x:c>
      <x:c r="L4970" s="22" t="n">
        <x:v>58.37999999999994</x:v>
      </x:c>
      <x:c r="M4970" t="n">
        <x:v>2015</x:v>
      </x:c>
      <x:c r="N4970" s="20" t="n">
        <x:v>42125</x:v>
      </x:c>
    </x:row>
    <x:row r="4971" ht="18" customHeight="1">
      <x:c r="A4971" t="str">
        <x:v>CA-2015-122406</x:v>
      </x:c>
      <x:c r="B4971" s="18" t="n">
        <x:v>42218</x:v>
      </x:c>
      <x:c r="C4971" t="str">
        <x:v>BE-11455</x:v>
      </x:c>
      <x:c r="D4971" t="str">
        <x:v>Brad Eason</x:v>
      </x:c>
      <x:c r="E4971" t="str">
        <x:v>Home Office</x:v>
      </x:c>
      <x:c r="F4971" t="str">
        <x:v>East</x:v>
      </x:c>
      <x:c r="G4971" t="str">
        <x:v>Technology</x:v>
      </x:c>
      <x:c r="H4971" t="str">
        <x:v>Phones</x:v>
      </x:c>
      <x:c r="I4971" s="22" t="n">
        <x:v>128.85000000000002</x:v>
      </x:c>
      <x:c r="J4971" s="24" t="n">
        <x:v>3</x:v>
      </x:c>
      <x:c r="K4971" s="26" t="n">
        <x:v>0</x:v>
      </x:c>
      <x:c r="L4971" s="22" t="n">
        <x:v>3.8654999999999973</x:v>
      </x:c>
      <x:c r="M4971" t="n">
        <x:v>2015</x:v>
      </x:c>
      <x:c r="N4971" s="20" t="n">
        <x:v>42217</x:v>
      </x:c>
    </x:row>
    <x:row r="4972" ht="18" customHeight="1">
      <x:c r="A4972" t="str">
        <x:v>CA-2015-122406</x:v>
      </x:c>
      <x:c r="B4972" s="18" t="n">
        <x:v>42218</x:v>
      </x:c>
      <x:c r="C4972" t="str">
        <x:v>BE-11455</x:v>
      </x:c>
      <x:c r="D4972" t="str">
        <x:v>Brad Eason</x:v>
      </x:c>
      <x:c r="E4972" t="str">
        <x:v>Home Office</x:v>
      </x:c>
      <x:c r="F4972" t="str">
        <x:v>East</x:v>
      </x:c>
      <x:c r="G4972" t="str">
        <x:v>Office Supplies</x:v>
      </x:c>
      <x:c r="H4972" t="str">
        <x:v>Paper</x:v>
      </x:c>
      <x:c r="I4972" s="22" t="n">
        <x:v>8.4</x:v>
      </x:c>
      <x:c r="J4972" s="24" t="n">
        <x:v>2</x:v>
      </x:c>
      <x:c r="K4972" s="26" t="n">
        <x:v>0</x:v>
      </x:c>
      <x:c r="L4972" s="22" t="n">
        <x:v>4.116</x:v>
      </x:c>
      <x:c r="M4972" t="n">
        <x:v>2015</x:v>
      </x:c>
      <x:c r="N4972" s="20" t="n">
        <x:v>42217</x:v>
      </x:c>
    </x:row>
    <x:row r="4973" ht="18" customHeight="1">
      <x:c r="A4973" t="str">
        <x:v>CA-2015-122406</x:v>
      </x:c>
      <x:c r="B4973" s="18" t="n">
        <x:v>42218</x:v>
      </x:c>
      <x:c r="C4973" t="str">
        <x:v>BE-11455</x:v>
      </x:c>
      <x:c r="D4973" t="str">
        <x:v>Brad Eason</x:v>
      </x:c>
      <x:c r="E4973" t="str">
        <x:v>Home Office</x:v>
      </x:c>
      <x:c r="F4973" t="str">
        <x:v>East</x:v>
      </x:c>
      <x:c r="G4973" t="str">
        <x:v>Technology</x:v>
      </x:c>
      <x:c r="H4973" t="str">
        <x:v>Accessories</x:v>
      </x:c>
      <x:c r="I4973" s="22" t="n">
        <x:v>199.98</x:v>
      </x:c>
      <x:c r="J4973" s="24" t="n">
        <x:v>2</x:v>
      </x:c>
      <x:c r="K4973" s="26" t="n">
        <x:v>0</x:v>
      </x:c>
      <x:c r="L4973" s="22" t="n">
        <x:v>83.9916</x:v>
      </x:c>
      <x:c r="M4973" t="n">
        <x:v>2015</x:v>
      </x:c>
      <x:c r="N4973" s="20" t="n">
        <x:v>42217</x:v>
      </x:c>
    </x:row>
    <x:row r="4974" ht="18" customHeight="1">
      <x:c r="A4974" t="str">
        <x:v>CA-2015-122406</x:v>
      </x:c>
      <x:c r="B4974" s="18" t="n">
        <x:v>42218</x:v>
      </x:c>
      <x:c r="C4974" t="str">
        <x:v>BE-11455</x:v>
      </x:c>
      <x:c r="D4974" t="str">
        <x:v>Brad Eason</x:v>
      </x:c>
      <x:c r="E4974" t="str">
        <x:v>Home Office</x:v>
      </x:c>
      <x:c r="F4974" t="str">
        <x:v>East</x:v>
      </x:c>
      <x:c r="G4974" t="str">
        <x:v>Furniture</x:v>
      </x:c>
      <x:c r="H4974" t="str">
        <x:v>Chairs</x:v>
      </x:c>
      <x:c r="I4974" s="22" t="n">
        <x:v>110.98</x:v>
      </x:c>
      <x:c r="J4974" s="24" t="n">
        <x:v>1</x:v>
      </x:c>
      <x:c r="K4974" s="26" t="n">
        <x:v>0</x:v>
      </x:c>
      <x:c r="L4974" s="22" t="n">
        <x:v>15.537199999999999</x:v>
      </x:c>
      <x:c r="M4974" t="n">
        <x:v>2015</x:v>
      </x:c>
      <x:c r="N4974" s="20" t="n">
        <x:v>42217</x:v>
      </x:c>
    </x:row>
    <x:row r="4975" ht="18" customHeight="1">
      <x:c r="A4975" t="str">
        <x:v>US-2016-153815</x:v>
      </x:c>
      <x:c r="B4975" s="18" t="n">
        <x:v>42680</x:v>
      </x:c>
      <x:c r="C4975" t="str">
        <x:v>KL-16555</x:v>
      </x:c>
      <x:c r="D4975" t="str">
        <x:v>Kelly Lampkin</x:v>
      </x:c>
      <x:c r="E4975" t="str">
        <x:v>Corporate</x:v>
      </x:c>
      <x:c r="F4975" t="str">
        <x:v>South</x:v>
      </x:c>
      <x:c r="G4975" t="str">
        <x:v>Furniture</x:v>
      </x:c>
      <x:c r="H4975" t="str">
        <x:v>Chairs</x:v>
      </x:c>
      <x:c r="I4975" s="22" t="n">
        <x:v>207.98400000000004</x:v>
      </x:c>
      <x:c r="J4975" s="24" t="n">
        <x:v>2</x:v>
      </x:c>
      <x:c r="K4975" s="26" t="n">
        <x:v>0.2</x:v>
      </x:c>
      <x:c r="L4975" s="22" t="n">
        <x:v>-28.597800000000007</x:v>
      </x:c>
      <x:c r="M4975" t="n">
        <x:v>2016</x:v>
      </x:c>
      <x:c r="N4975" s="20" t="n">
        <x:v>42675</x:v>
      </x:c>
    </x:row>
    <x:row r="4976" ht="18" customHeight="1">
      <x:c r="A4976" t="str">
        <x:v>US-2016-153815</x:v>
      </x:c>
      <x:c r="B4976" s="18" t="n">
        <x:v>42680</x:v>
      </x:c>
      <x:c r="C4976" t="str">
        <x:v>KL-16555</x:v>
      </x:c>
      <x:c r="D4976" t="str">
        <x:v>Kelly Lampkin</x:v>
      </x:c>
      <x:c r="E4976" t="str">
        <x:v>Corporate</x:v>
      </x:c>
      <x:c r="F4976" t="str">
        <x:v>South</x:v>
      </x:c>
      <x:c r="G4976" t="str">
        <x:v>Office Supplies</x:v>
      </x:c>
      <x:c r="H4976" t="str">
        <x:v>Paper</x:v>
      </x:c>
      <x:c r="I4976" s="22" t="n">
        <x:v>36.112</x:v>
      </x:c>
      <x:c r="J4976" s="24" t="n">
        <x:v>2</x:v>
      </x:c>
      <x:c r="K4976" s="26" t="n">
        <x:v>0.2</x:v>
      </x:c>
      <x:c r="L4976" s="22" t="n">
        <x:v>12.6392</x:v>
      </x:c>
      <x:c r="M4976" t="n">
        <x:v>2016</x:v>
      </x:c>
      <x:c r="N4976" s="20" t="n">
        <x:v>42675</x:v>
      </x:c>
    </x:row>
    <x:row r="4977" ht="18" customHeight="1">
      <x:c r="A4977" t="str">
        <x:v>US-2016-153815</x:v>
      </x:c>
      <x:c r="B4977" s="18" t="n">
        <x:v>42680</x:v>
      </x:c>
      <x:c r="C4977" t="str">
        <x:v>KL-16555</x:v>
      </x:c>
      <x:c r="D4977" t="str">
        <x:v>Kelly Lampkin</x:v>
      </x:c>
      <x:c r="E4977" t="str">
        <x:v>Corporate</x:v>
      </x:c>
      <x:c r="F4977" t="str">
        <x:v>South</x:v>
      </x:c>
      <x:c r="G4977" t="str">
        <x:v>Furniture</x:v>
      </x:c>
      <x:c r="H4977" t="str">
        <x:v>Furnishings</x:v>
      </x:c>
      <x:c r="I4977" s="22" t="n">
        <x:v>35.568000000000005</x:v>
      </x:c>
      <x:c r="J4977" s="24" t="n">
        <x:v>2</x:v>
      </x:c>
      <x:c r="K4977" s="26" t="n">
        <x:v>0.2</x:v>
      </x:c>
      <x:c r="L4977" s="22" t="n">
        <x:v>5.779799999999996</x:v>
      </x:c>
      <x:c r="M4977" t="n">
        <x:v>2016</x:v>
      </x:c>
      <x:c r="N4977" s="20" t="n">
        <x:v>42675</x:v>
      </x:c>
    </x:row>
    <x:row r="4978" ht="18" customHeight="1">
      <x:c r="A4978" t="str">
        <x:v>US-2016-153815</x:v>
      </x:c>
      <x:c r="B4978" s="18" t="n">
        <x:v>42680</x:v>
      </x:c>
      <x:c r="C4978" t="str">
        <x:v>KL-16555</x:v>
      </x:c>
      <x:c r="D4978" t="str">
        <x:v>Kelly Lampkin</x:v>
      </x:c>
      <x:c r="E4978" t="str">
        <x:v>Corporate</x:v>
      </x:c>
      <x:c r="F4978" t="str">
        <x:v>South</x:v>
      </x:c>
      <x:c r="G4978" t="str">
        <x:v>Office Supplies</x:v>
      </x:c>
      <x:c r="H4978" t="str">
        <x:v>Paper</x:v>
      </x:c>
      <x:c r="I4978" s="22" t="n">
        <x:v>88.768</x:v>
      </x:c>
      <x:c r="J4978" s="24" t="n">
        <x:v>2</x:v>
      </x:c>
      <x:c r="K4978" s="26" t="n">
        <x:v>0.2</x:v>
      </x:c>
      <x:c r="L4978" s="22" t="n">
        <x:v>31.068799999999996</x:v>
      </x:c>
      <x:c r="M4978" t="n">
        <x:v>2016</x:v>
      </x:c>
      <x:c r="N4978" s="20" t="n">
        <x:v>42675</x:v>
      </x:c>
    </x:row>
    <x:row r="4979" ht="18" customHeight="1">
      <x:c r="A4979" t="str">
        <x:v>CA-2016-164896</x:v>
      </x:c>
      <x:c r="B4979" s="18" t="n">
        <x:v>42681</x:v>
      </x:c>
      <x:c r="C4979" t="str">
        <x:v>PS-19045</x:v>
      </x:c>
      <x:c r="D4979" t="str">
        <x:v>Penelope Sewall</x:v>
      </x:c>
      <x:c r="E4979" t="str">
        <x:v>Home Office</x:v>
      </x:c>
      <x:c r="F4979" t="str">
        <x:v>West</x:v>
      </x:c>
      <x:c r="G4979" t="str">
        <x:v>Office Supplies</x:v>
      </x:c>
      <x:c r="H4979" t="str">
        <x:v>Paper</x:v>
      </x:c>
      <x:c r="I4979" s="22" t="n">
        <x:v>12.9</x:v>
      </x:c>
      <x:c r="J4979" s="24" t="n">
        <x:v>2</x:v>
      </x:c>
      <x:c r="K4979" s="26" t="n">
        <x:v>0</x:v>
      </x:c>
      <x:c r="L4979" s="22" t="n">
        <x:v>6.321</x:v>
      </x:c>
      <x:c r="M4979" t="n">
        <x:v>2016</x:v>
      </x:c>
      <x:c r="N4979" s="20" t="n">
        <x:v>42675</x:v>
      </x:c>
    </x:row>
    <x:row r="4980" ht="18" customHeight="1">
      <x:c r="A4980" t="str">
        <x:v>CA-2015-142202</x:v>
      </x:c>
      <x:c r="B4980" s="18" t="n">
        <x:v>42265</x:v>
      </x:c>
      <x:c r="C4980" t="str">
        <x:v>JR-16210</x:v>
      </x:c>
      <x:c r="D4980" t="str">
        <x:v>Justin Ritter</x:v>
      </x:c>
      <x:c r="E4980" t="str">
        <x:v>Corporate</x:v>
      </x:c>
      <x:c r="F4980" t="str">
        <x:v>South</x:v>
      </x:c>
      <x:c r="G4980" t="str">
        <x:v>Technology</x:v>
      </x:c>
      <x:c r="H4980" t="str">
        <x:v>Accessories</x:v>
      </x:c>
      <x:c r="I4980" s="22" t="n">
        <x:v>717.1200000000001</x:v>
      </x:c>
      <x:c r="J4980" s="24" t="n">
        <x:v>9</x:v>
      </x:c>
      <x:c r="K4980" s="26" t="n">
        <x:v>0.2</x:v>
      </x:c>
      <x:c r="L4980" s="22" t="n">
        <x:v>152.38799999999992</x:v>
      </x:c>
      <x:c r="M4980" t="n">
        <x:v>2015</x:v>
      </x:c>
      <x:c r="N4980" s="20" t="n">
        <x:v>42248</x:v>
      </x:c>
    </x:row>
    <x:row r="4981" ht="18" customHeight="1">
      <x:c r="A4981" t="str">
        <x:v>CA-2015-165050</x:v>
      </x:c>
      <x:c r="B4981" s="18" t="n">
        <x:v>42345</x:v>
      </x:c>
      <x:c r="C4981" t="str">
        <x:v>AH-10210</x:v>
      </x:c>
      <x:c r="D4981" t="str">
        <x:v>Alan Hwang</x:v>
      </x:c>
      <x:c r="E4981" t="str">
        <x:v>Consumer</x:v>
      </x:c>
      <x:c r="F4981" t="str">
        <x:v>East</x:v>
      </x:c>
      <x:c r="G4981" t="str">
        <x:v>Office Supplies</x:v>
      </x:c>
      <x:c r="H4981" t="str">
        <x:v>Binders</x:v>
      </x:c>
      <x:c r="I4981" s="22" t="n">
        <x:v>21.36</x:v>
      </x:c>
      <x:c r="J4981" s="24" t="n">
        <x:v>5</x:v>
      </x:c>
      <x:c r="K4981" s="26" t="n">
        <x:v>0.2</x:v>
      </x:c>
      <x:c r="L4981" s="22" t="n">
        <x:v>7.209</x:v>
      </x:c>
      <x:c r="M4981" t="n">
        <x:v>2015</x:v>
      </x:c>
      <x:c r="N4981" s="20" t="n">
        <x:v>42339</x:v>
      </x:c>
    </x:row>
    <x:row r="4982" ht="18" customHeight="1">
      <x:c r="A4982" t="str">
        <x:v>CA-2015-165050</x:v>
      </x:c>
      <x:c r="B4982" s="18" t="n">
        <x:v>42345</x:v>
      </x:c>
      <x:c r="C4982" t="str">
        <x:v>AH-10210</x:v>
      </x:c>
      <x:c r="D4982" t="str">
        <x:v>Alan Hwang</x:v>
      </x:c>
      <x:c r="E4982" t="str">
        <x:v>Consumer</x:v>
      </x:c>
      <x:c r="F4982" t="str">
        <x:v>East</x:v>
      </x:c>
      <x:c r="G4982" t="str">
        <x:v>Office Supplies</x:v>
      </x:c>
      <x:c r="H4982" t="str">
        <x:v>Binders</x:v>
      </x:c>
      <x:c r="I4982" s="22" t="n">
        <x:v>6.688</x:v>
      </x:c>
      <x:c r="J4982" s="24" t="n">
        <x:v>2</x:v>
      </x:c>
      <x:c r="K4982" s="26" t="n">
        <x:v>0.2</x:v>
      </x:c>
      <x:c r="L4982" s="22" t="n">
        <x:v>2.3407999999999998</x:v>
      </x:c>
      <x:c r="M4982" t="n">
        <x:v>2015</x:v>
      </x:c>
      <x:c r="N4982" s="20" t="n">
        <x:v>42339</x:v>
      </x:c>
    </x:row>
    <x:row r="4983" ht="18" customHeight="1">
      <x:c r="A4983" t="str">
        <x:v>CA-2015-165050</x:v>
      </x:c>
      <x:c r="B4983" s="18" t="n">
        <x:v>42345</x:v>
      </x:c>
      <x:c r="C4983" t="str">
        <x:v>AH-10210</x:v>
      </x:c>
      <x:c r="D4983" t="str">
        <x:v>Alan Hwang</x:v>
      </x:c>
      <x:c r="E4983" t="str">
        <x:v>Consumer</x:v>
      </x:c>
      <x:c r="F4983" t="str">
        <x:v>East</x:v>
      </x:c>
      <x:c r="G4983" t="str">
        <x:v>Technology</x:v>
      </x:c>
      <x:c r="H4983" t="str">
        <x:v>Phones</x:v>
      </x:c>
      <x:c r="I4983" s="22" t="n">
        <x:v>773.94</x:v>
      </x:c>
      <x:c r="J4983" s="24" t="n">
        <x:v>6</x:v>
      </x:c>
      <x:c r="K4983" s="26" t="n">
        <x:v>0</x:v>
      </x:c>
      <x:c r="L4983" s="22" t="n">
        <x:v>224.4426</x:v>
      </x:c>
      <x:c r="M4983" t="n">
        <x:v>2015</x:v>
      </x:c>
      <x:c r="N4983" s="20" t="n">
        <x:v>42339</x:v>
      </x:c>
    </x:row>
    <x:row r="4984" ht="18" customHeight="1">
      <x:c r="A4984" t="str">
        <x:v>US-2016-131114</x:v>
      </x:c>
      <x:c r="B4984" s="18" t="n">
        <x:v>42713</x:v>
      </x:c>
      <x:c r="C4984" t="str">
        <x:v>RW-19630</x:v>
      </x:c>
      <x:c r="D4984" t="str">
        <x:v>Rob Williams</x:v>
      </x:c>
      <x:c r="E4984" t="str">
        <x:v>Corporate</x:v>
      </x:c>
      <x:c r="F4984" t="str">
        <x:v>Central</x:v>
      </x:c>
      <x:c r="G4984" t="str">
        <x:v>Office Supplies</x:v>
      </x:c>
      <x:c r="H4984" t="str">
        <x:v>Supplies</x:v>
      </x:c>
      <x:c r="I4984" s="22" t="n">
        <x:v>20.568</x:v>
      </x:c>
      <x:c r="J4984" s="24" t="n">
        <x:v>3</x:v>
      </x:c>
      <x:c r="K4984" s="26" t="n">
        <x:v>0.2</x:v>
      </x:c>
      <x:c r="L4984" s="22" t="n">
        <x:v>1.5426000000000002</x:v>
      </x:c>
      <x:c r="M4984" t="n">
        <x:v>2016</x:v>
      </x:c>
      <x:c r="N4984" s="20" t="n">
        <x:v>42705</x:v>
      </x:c>
    </x:row>
    <x:row r="4985" ht="18" customHeight="1">
      <x:c r="A4985" t="str">
        <x:v>US-2016-131114</x:v>
      </x:c>
      <x:c r="B4985" s="18" t="n">
        <x:v>42713</x:v>
      </x:c>
      <x:c r="C4985" t="str">
        <x:v>RW-19630</x:v>
      </x:c>
      <x:c r="D4985" t="str">
        <x:v>Rob Williams</x:v>
      </x:c>
      <x:c r="E4985" t="str">
        <x:v>Corporate</x:v>
      </x:c>
      <x:c r="F4985" t="str">
        <x:v>Central</x:v>
      </x:c>
      <x:c r="G4985" t="str">
        <x:v>Office Supplies</x:v>
      </x:c>
      <x:c r="H4985" t="str">
        <x:v>Appliances</x:v>
      </x:c>
      <x:c r="I4985" s="22" t="n">
        <x:v>4.355999999999999</x:v>
      </x:c>
      <x:c r="J4985" s="24" t="n">
        <x:v>2</x:v>
      </x:c>
      <x:c r="K4985" s="26" t="n">
        <x:v>0.8</x:v>
      </x:c>
      <x:c r="L4985" s="22" t="n">
        <x:v>-11.761200000000002</x:v>
      </x:c>
      <x:c r="M4985" t="n">
        <x:v>2016</x:v>
      </x:c>
      <x:c r="N4985" s="20" t="n">
        <x:v>42705</x:v>
      </x:c>
    </x:row>
    <x:row r="4986" ht="18" customHeight="1">
      <x:c r="A4986" t="str">
        <x:v>US-2016-131114</x:v>
      </x:c>
      <x:c r="B4986" s="18" t="n">
        <x:v>42713</x:v>
      </x:c>
      <x:c r="C4986" t="str">
        <x:v>RW-19630</x:v>
      </x:c>
      <x:c r="D4986" t="str">
        <x:v>Rob Williams</x:v>
      </x:c>
      <x:c r="E4986" t="str">
        <x:v>Corporate</x:v>
      </x:c>
      <x:c r="F4986" t="str">
        <x:v>Central</x:v>
      </x:c>
      <x:c r="G4986" t="str">
        <x:v>Technology</x:v>
      </x:c>
      <x:c r="H4986" t="str">
        <x:v>Accessories</x:v>
      </x:c>
      <x:c r="I4986" s="22" t="n">
        <x:v>19.040000000000003</x:v>
      </x:c>
      <x:c r="J4986" s="24" t="n">
        <x:v>4</x:v>
      </x:c>
      <x:c r="K4986" s="26" t="n">
        <x:v>0.2</x:v>
      </x:c>
      <x:c r="L4986" s="22" t="n">
        <x:v>-1.428</x:v>
      </x:c>
      <x:c r="M4986" t="n">
        <x:v>2016</x:v>
      </x:c>
      <x:c r="N4986" s="20" t="n">
        <x:v>42705</x:v>
      </x:c>
    </x:row>
    <x:row r="4987" ht="18" customHeight="1">
      <x:c r="A4987" t="str">
        <x:v>CA-2014-160066</x:v>
      </x:c>
      <x:c r="B4987" s="18" t="n">
        <x:v>41959</x:v>
      </x:c>
      <x:c r="C4987" t="str">
        <x:v>AH-10075</x:v>
      </x:c>
      <x:c r="D4987" t="str">
        <x:v>Adam Hart</x:v>
      </x:c>
      <x:c r="E4987" t="str">
        <x:v>Corporate</x:v>
      </x:c>
      <x:c r="F4987" t="str">
        <x:v>West</x:v>
      </x:c>
      <x:c r="G4987" t="str">
        <x:v>Office Supplies</x:v>
      </x:c>
      <x:c r="H4987" t="str">
        <x:v>Labels</x:v>
      </x:c>
      <x:c r="I4987" s="22" t="n">
        <x:v>5.22</x:v>
      </x:c>
      <x:c r="J4987" s="24" t="n">
        <x:v>2</x:v>
      </x:c>
      <x:c r="K4987" s="26" t="n">
        <x:v>0</x:v>
      </x:c>
      <x:c r="L4987" s="22" t="n">
        <x:v>2.4012</x:v>
      </x:c>
      <x:c r="M4987" t="n">
        <x:v>2014</x:v>
      </x:c>
      <x:c r="N4987" s="20" t="n">
        <x:v>41944</x:v>
      </x:c>
    </x:row>
    <x:row r="4988" ht="18" customHeight="1">
      <x:c r="A4988" t="str">
        <x:v>CA-2016-109925</x:v>
      </x:c>
      <x:c r="B4988" s="18" t="n">
        <x:v>42680</x:v>
      </x:c>
      <x:c r="C4988" t="str">
        <x:v>IM-15070</x:v>
      </x:c>
      <x:c r="D4988" t="str">
        <x:v>Irene Maddox</x:v>
      </x:c>
      <x:c r="E4988" t="str">
        <x:v>Consumer</x:v>
      </x:c>
      <x:c r="F4988" t="str">
        <x:v>West</x:v>
      </x:c>
      <x:c r="G4988" t="str">
        <x:v>Office Supplies</x:v>
      </x:c>
      <x:c r="H4988" t="str">
        <x:v>Storage</x:v>
      </x:c>
      <x:c r="I4988" s="22" t="n">
        <x:v>84.84</x:v>
      </x:c>
      <x:c r="J4988" s="24" t="n">
        <x:v>3</x:v>
      </x:c>
      <x:c r="K4988" s="26" t="n">
        <x:v>0</x:v>
      </x:c>
      <x:c r="L4988" s="22" t="n">
        <x:v>22.9068</x:v>
      </x:c>
      <x:c r="M4988" t="n">
        <x:v>2016</x:v>
      </x:c>
      <x:c r="N4988" s="20" t="n">
        <x:v>42675</x:v>
      </x:c>
    </x:row>
    <x:row r="4989" ht="18" customHeight="1">
      <x:c r="A4989" t="str">
        <x:v>CA-2015-160696</x:v>
      </x:c>
      <x:c r="B4989" s="18" t="n">
        <x:v>42253</x:v>
      </x:c>
      <x:c r="C4989" t="str">
        <x:v>CK-12760</x:v>
      </x:c>
      <x:c r="D4989" t="str">
        <x:v>Cyma Kinney</x:v>
      </x:c>
      <x:c r="E4989" t="str">
        <x:v>Corporate</x:v>
      </x:c>
      <x:c r="F4989" t="str">
        <x:v>South</x:v>
      </x:c>
      <x:c r="G4989" t="str">
        <x:v>Office Supplies</x:v>
      </x:c>
      <x:c r="H4989" t="str">
        <x:v>Fasteners</x:v>
      </x:c>
      <x:c r="I4989" s="22" t="n">
        <x:v>7.240000000000001</x:v>
      </x:c>
      <x:c r="J4989" s="24" t="n">
        <x:v>5</x:v>
      </x:c>
      <x:c r="K4989" s="26" t="n">
        <x:v>0.2</x:v>
      </x:c>
      <x:c r="L4989" s="22" t="n">
        <x:v>1.1764999999999992</x:v>
      </x:c>
      <x:c r="M4989" t="n">
        <x:v>2015</x:v>
      </x:c>
      <x:c r="N4989" s="20" t="n">
        <x:v>42248</x:v>
      </x:c>
    </x:row>
    <x:row r="4990" ht="18" customHeight="1">
      <x:c r="A4990" t="str">
        <x:v>CA-2014-125171</x:v>
      </x:c>
      <x:c r="B4990" s="18" t="n">
        <x:v>41885</x:v>
      </x:c>
      <x:c r="C4990" t="str">
        <x:v>AG-10390</x:v>
      </x:c>
      <x:c r="D4990" t="str">
        <x:v>Allen Goldenen</x:v>
      </x:c>
      <x:c r="E4990" t="str">
        <x:v>Consumer</x:v>
      </x:c>
      <x:c r="F4990" t="str">
        <x:v>East</x:v>
      </x:c>
      <x:c r="G4990" t="str">
        <x:v>Office Supplies</x:v>
      </x:c>
      <x:c r="H4990" t="str">
        <x:v>Labels</x:v>
      </x:c>
      <x:c r="I4990" s="22" t="n">
        <x:v>14.399999999999999</x:v>
      </x:c>
      <x:c r="J4990" s="24" t="n">
        <x:v>5</x:v>
      </x:c>
      <x:c r="K4990" s="26" t="n">
        <x:v>0</x:v>
      </x:c>
      <x:c r="L4990" s="22" t="n">
        <x:v>7.056</x:v>
      </x:c>
      <x:c r="M4990" t="n">
        <x:v>2014</x:v>
      </x:c>
      <x:c r="N4990" s="20" t="n">
        <x:v>41883</x:v>
      </x:c>
    </x:row>
    <x:row r="4991" ht="18" customHeight="1">
      <x:c r="A4991" t="str">
        <x:v>CA-2016-149279</x:v>
      </x:c>
      <x:c r="B4991" s="18" t="n">
        <x:v>42484</x:v>
      </x:c>
      <x:c r="C4991" t="str">
        <x:v>CL-12700</x:v>
      </x:c>
      <x:c r="D4991" t="str">
        <x:v>Craig Leslie</x:v>
      </x:c>
      <x:c r="E4991" t="str">
        <x:v>Home Office</x:v>
      </x:c>
      <x:c r="F4991" t="str">
        <x:v>West</x:v>
      </x:c>
      <x:c r="G4991" t="str">
        <x:v>Office Supplies</x:v>
      </x:c>
      <x:c r="H4991" t="str">
        <x:v>Paper</x:v>
      </x:c>
      <x:c r="I4991" s="22" t="n">
        <x:v>15.552000000000003</x:v>
      </x:c>
      <x:c r="J4991" s="24" t="n">
        <x:v>3</x:v>
      </x:c>
      <x:c r="K4991" s="26" t="n">
        <x:v>0.2</x:v>
      </x:c>
      <x:c r="L4991" s="22" t="n">
        <x:v>5.4432</x:v>
      </x:c>
      <x:c r="M4991" t="n">
        <x:v>2016</x:v>
      </x:c>
      <x:c r="N4991" s="20" t="n">
        <x:v>42461</x:v>
      </x:c>
    </x:row>
    <x:row r="4992" ht="18" customHeight="1">
      <x:c r="A4992" t="str">
        <x:v>CA-2016-149279</x:v>
      </x:c>
      <x:c r="B4992" s="18" t="n">
        <x:v>42484</x:v>
      </x:c>
      <x:c r="C4992" t="str">
        <x:v>CL-12700</x:v>
      </x:c>
      <x:c r="D4992" t="str">
        <x:v>Craig Leslie</x:v>
      </x:c>
      <x:c r="E4992" t="str">
        <x:v>Home Office</x:v>
      </x:c>
      <x:c r="F4992" t="str">
        <x:v>West</x:v>
      </x:c>
      <x:c r="G4992" t="str">
        <x:v>Furniture</x:v>
      </x:c>
      <x:c r="H4992" t="str">
        <x:v>Chairs</x:v>
      </x:c>
      <x:c r="I4992" s="22" t="n">
        <x:v>1325.76</x:v>
      </x:c>
      <x:c r="J4992" s="24" t="n">
        <x:v>6</x:v>
      </x:c>
      <x:c r="K4992" s="26" t="n">
        <x:v>0.2</x:v>
      </x:c>
      <x:c r="L4992" s="22" t="n">
        <x:v>149.1479999999999</x:v>
      </x:c>
      <x:c r="M4992" t="n">
        <x:v>2016</x:v>
      </x:c>
      <x:c r="N4992" s="20" t="n">
        <x:v>42461</x:v>
      </x:c>
    </x:row>
    <x:row r="4993" ht="18" customHeight="1">
      <x:c r="A4993" t="str">
        <x:v>CA-2016-149279</x:v>
      </x:c>
      <x:c r="B4993" s="18" t="n">
        <x:v>42484</x:v>
      </x:c>
      <x:c r="C4993" t="str">
        <x:v>CL-12700</x:v>
      </x:c>
      <x:c r="D4993" t="str">
        <x:v>Craig Leslie</x:v>
      </x:c>
      <x:c r="E4993" t="str">
        <x:v>Home Office</x:v>
      </x:c>
      <x:c r="F4993" t="str">
        <x:v>West</x:v>
      </x:c>
      <x:c r="G4993" t="str">
        <x:v>Office Supplies</x:v>
      </x:c>
      <x:c r="H4993" t="str">
        <x:v>Binders</x:v>
      </x:c>
      <x:c r="I4993" s="22" t="n">
        <x:v>3.108</x:v>
      </x:c>
      <x:c r="J4993" s="24" t="n">
        <x:v>2</x:v>
      </x:c>
      <x:c r="K4993" s="26" t="n">
        <x:v>0.7</x:v>
      </x:c>
      <x:c r="L4993" s="22" t="n">
        <x:v>-2.1755999999999993</x:v>
      </x:c>
      <x:c r="M4993" t="n">
        <x:v>2016</x:v>
      </x:c>
      <x:c r="N4993" s="20" t="n">
        <x:v>42461</x:v>
      </x:c>
    </x:row>
    <x:row r="4994" ht="18" customHeight="1">
      <x:c r="A4994" t="str">
        <x:v>CA-2017-107321</x:v>
      </x:c>
      <x:c r="B4994" s="18" t="n">
        <x:v>42978</x:v>
      </x:c>
      <x:c r="C4994" t="str">
        <x:v>AW-10930</x:v>
      </x:c>
      <x:c r="D4994" t="str">
        <x:v>Arthur Wiediger</x:v>
      </x:c>
      <x:c r="E4994" t="str">
        <x:v>Home Office</x:v>
      </x:c>
      <x:c r="F4994" t="str">
        <x:v>West</x:v>
      </x:c>
      <x:c r="G4994" t="str">
        <x:v>Office Supplies</x:v>
      </x:c>
      <x:c r="H4994" t="str">
        <x:v>Binders</x:v>
      </x:c>
      <x:c r="I4994" s="22" t="n">
        <x:v>6.671999999999999</x:v>
      </x:c>
      <x:c r="J4994" s="24" t="n">
        <x:v>3</x:v>
      </x:c>
      <x:c r="K4994" s="26" t="n">
        <x:v>0.2</x:v>
      </x:c>
      <x:c r="L4994" s="22" t="n">
        <x:v>2.1683999999999997</x:v>
      </x:c>
      <x:c r="M4994" t="n">
        <x:v>2017</x:v>
      </x:c>
      <x:c r="N4994" s="20" t="n">
        <x:v>42948</x:v>
      </x:c>
    </x:row>
    <x:row r="4995" ht="18" customHeight="1">
      <x:c r="A4995" t="str">
        <x:v>CA-2017-107321</x:v>
      </x:c>
      <x:c r="B4995" s="18" t="n">
        <x:v>42978</x:v>
      </x:c>
      <x:c r="C4995" t="str">
        <x:v>AW-10930</x:v>
      </x:c>
      <x:c r="D4995" t="str">
        <x:v>Arthur Wiediger</x:v>
      </x:c>
      <x:c r="E4995" t="str">
        <x:v>Home Office</x:v>
      </x:c>
      <x:c r="F4995" t="str">
        <x:v>West</x:v>
      </x:c>
      <x:c r="G4995" t="str">
        <x:v>Technology</x:v>
      </x:c>
      <x:c r="H4995" t="str">
        <x:v>Phones</x:v>
      </x:c>
      <x:c r="I4995" s="22" t="n">
        <x:v>689.408</x:v>
      </x:c>
      <x:c r="J4995" s="24" t="n">
        <x:v>4</x:v>
      </x:c>
      <x:c r="K4995" s="26" t="n">
        <x:v>0.2</x:v>
      </x:c>
      <x:c r="L4995" s="22" t="n">
        <x:v>77.55839999999998</x:v>
      </x:c>
      <x:c r="M4995" t="n">
        <x:v>2017</x:v>
      </x:c>
      <x:c r="N4995" s="20" t="n">
        <x:v>42948</x:v>
      </x:c>
    </x:row>
    <x:row r="4996" ht="18" customHeight="1">
      <x:c r="A4996" t="str">
        <x:v>US-2017-122714</x:v>
      </x:c>
      <x:c r="B4996" s="18" t="n">
        <x:v>43076</x:v>
      </x:c>
      <x:c r="C4996" t="str">
        <x:v>HG-14965</x:v>
      </x:c>
      <x:c r="D4996" t="str">
        <x:v>Henry Goldwyn</x:v>
      </x:c>
      <x:c r="E4996" t="str">
        <x:v>Corporate</x:v>
      </x:c>
      <x:c r="F4996" t="str">
        <x:v>Central</x:v>
      </x:c>
      <x:c r="G4996" t="str">
        <x:v>Office Supplies</x:v>
      </x:c>
      <x:c r="H4996" t="str">
        <x:v>Binders</x:v>
      </x:c>
      <x:c r="I4996" s="22" t="n">
        <x:v>1889.9899999999998</x:v>
      </x:c>
      <x:c r="J4996" s="24" t="n">
        <x:v>5</x:v>
      </x:c>
      <x:c r="K4996" s="26" t="n">
        <x:v>0.8</x:v>
      </x:c>
      <x:c r="L4996" s="22" t="n">
        <x:v>-2929.4845000000005</x:v>
      </x:c>
      <x:c r="M4996" t="n">
        <x:v>2017</x:v>
      </x:c>
      <x:c r="N4996" s="20" t="n">
        <x:v>43070</x:v>
      </x:c>
    </x:row>
    <x:row r="4997" ht="18" customHeight="1">
      <x:c r="A4997" t="str">
        <x:v>CA-2015-153038</x:v>
      </x:c>
      <x:c r="B4997" s="18" t="n">
        <x:v>42356</x:v>
      </x:c>
      <x:c r="C4997" t="str">
        <x:v>RB-19645</x:v>
      </x:c>
      <x:c r="D4997" t="str">
        <x:v>Robert Barroso</x:v>
      </x:c>
      <x:c r="E4997" t="str">
        <x:v>Corporate</x:v>
      </x:c>
      <x:c r="F4997" t="str">
        <x:v>South</x:v>
      </x:c>
      <x:c r="G4997" t="str">
        <x:v>Office Supplies</x:v>
      </x:c>
      <x:c r="H4997" t="str">
        <x:v>Envelopes</x:v>
      </x:c>
      <x:c r="I4997" s="22" t="n">
        <x:v>55.93600000000001</x:v>
      </x:c>
      <x:c r="J4997" s="24" t="n">
        <x:v>8</x:v>
      </x:c>
      <x:c r="K4997" s="26" t="n">
        <x:v>0.2</x:v>
      </x:c>
      <x:c r="L4997" s="22" t="n">
        <x:v>18.8784</x:v>
      </x:c>
      <x:c r="M4997" t="n">
        <x:v>2015</x:v>
      </x:c>
      <x:c r="N4997" s="20" t="n">
        <x:v>42339</x:v>
      </x:c>
    </x:row>
    <x:row r="4998" ht="18" customHeight="1">
      <x:c r="A4998" t="str">
        <x:v>CA-2015-153038</x:v>
      </x:c>
      <x:c r="B4998" s="18" t="n">
        <x:v>42356</x:v>
      </x:c>
      <x:c r="C4998" t="str">
        <x:v>RB-19645</x:v>
      </x:c>
      <x:c r="D4998" t="str">
        <x:v>Robert Barroso</x:v>
      </x:c>
      <x:c r="E4998" t="str">
        <x:v>Corporate</x:v>
      </x:c>
      <x:c r="F4998" t="str">
        <x:v>South</x:v>
      </x:c>
      <x:c r="G4998" t="str">
        <x:v>Office Supplies</x:v>
      </x:c>
      <x:c r="H4998" t="str">
        <x:v>Labels</x:v>
      </x:c>
      <x:c r="I4998" s="22" t="n">
        <x:v>18.432</x:v>
      </x:c>
      <x:c r="J4998" s="24" t="n">
        <x:v>8</x:v>
      </x:c>
      <x:c r="K4998" s="26" t="n">
        <x:v>0.2</x:v>
      </x:c>
      <x:c r="L4998" s="22" t="n">
        <x:v>5.990399999999998</x:v>
      </x:c>
      <x:c r="M4998" t="n">
        <x:v>2015</x:v>
      </x:c>
      <x:c r="N4998" s="20" t="n">
        <x:v>42339</x:v>
      </x:c>
    </x:row>
    <x:row r="4999" ht="18" customHeight="1">
      <x:c r="A4999" t="str">
        <x:v>CA-2015-153038</x:v>
      </x:c>
      <x:c r="B4999" s="18" t="n">
        <x:v>42356</x:v>
      </x:c>
      <x:c r="C4999" t="str">
        <x:v>RB-19645</x:v>
      </x:c>
      <x:c r="D4999" t="str">
        <x:v>Robert Barroso</x:v>
      </x:c>
      <x:c r="E4999" t="str">
        <x:v>Corporate</x:v>
      </x:c>
      <x:c r="F4999" t="str">
        <x:v>South</x:v>
      </x:c>
      <x:c r="G4999" t="str">
        <x:v>Furniture</x:v>
      </x:c>
      <x:c r="H4999" t="str">
        <x:v>Furnishings</x:v>
      </x:c>
      <x:c r="I4999" s="22" t="n">
        <x:v>20.32</x:v>
      </x:c>
      <x:c r="J4999" s="24" t="n">
        <x:v>5</x:v>
      </x:c>
      <x:c r="K4999" s="26" t="n">
        <x:v>0.2</x:v>
      </x:c>
      <x:c r="L4999" s="22" t="n">
        <x:v>3.555999999999999</x:v>
      </x:c>
      <x:c r="M4999" t="n">
        <x:v>2015</x:v>
      </x:c>
      <x:c r="N4999" s="20" t="n">
        <x:v>42339</x:v>
      </x:c>
    </x:row>
    <x:row r="5000" ht="18" customHeight="1">
      <x:c r="A5000" t="str">
        <x:v>CA-2014-132227</x:v>
      </x:c>
      <x:c r="B5000" s="18" t="n">
        <x:v>41947</x:v>
      </x:c>
      <x:c r="C5000" t="str">
        <x:v>SZ-20035</x:v>
      </x:c>
      <x:c r="D5000" t="str">
        <x:v>Sam Zeldin</x:v>
      </x:c>
      <x:c r="E5000" t="str">
        <x:v>Home Office</x:v>
      </x:c>
      <x:c r="F5000" t="str">
        <x:v>East</x:v>
      </x:c>
      <x:c r="G5000" t="str">
        <x:v>Office Supplies</x:v>
      </x:c>
      <x:c r="H5000" t="str">
        <x:v>Binders</x:v>
      </x:c>
      <x:c r="I5000" s="22" t="n">
        <x:v>52.064</x:v>
      </x:c>
      <x:c r="J5000" s="24" t="n">
        <x:v>4</x:v>
      </x:c>
      <x:c r="K5000" s="26" t="n">
        <x:v>0.2</x:v>
      </x:c>
      <x:c r="L5000" s="22" t="n">
        <x:v>18.873199999999997</x:v>
      </x:c>
      <x:c r="M5000" t="n">
        <x:v>2014</x:v>
      </x:c>
      <x:c r="N5000" s="20" t="n">
        <x:v>41944</x:v>
      </x:c>
    </x:row>
    <x:row r="5001" ht="18" customHeight="1">
      <x:c r="A5001" t="str">
        <x:v>CA-2017-155824</x:v>
      </x:c>
      <x:c r="B5001" s="18" t="n">
        <x:v>42804</x:v>
      </x:c>
      <x:c r="C5001" t="str">
        <x:v>KS-16300</x:v>
      </x:c>
      <x:c r="D5001" t="str">
        <x:v>Karen Seio</x:v>
      </x:c>
      <x:c r="E5001" t="str">
        <x:v>Corporate</x:v>
      </x:c>
      <x:c r="F5001" t="str">
        <x:v>South</x:v>
      </x:c>
      <x:c r="G5001" t="str">
        <x:v>Office Supplies</x:v>
      </x:c>
      <x:c r="H5001" t="str">
        <x:v>Appliances</x:v>
      </x:c>
      <x:c r="I5001" s="22" t="n">
        <x:v>48.784</x:v>
      </x:c>
      <x:c r="J5001" s="24" t="n">
        <x:v>1</x:v>
      </x:c>
      <x:c r="K5001" s="26" t="n">
        <x:v>0.2</x:v>
      </x:c>
      <x:c r="L5001" s="22" t="n">
        <x:v>3.6587999999999976</x:v>
      </x:c>
      <x:c r="M5001" t="n">
        <x:v>2017</x:v>
      </x:c>
      <x:c r="N5001" s="20" t="n">
        <x:v>42795</x:v>
      </x:c>
    </x:row>
    <x:row r="5002" ht="18" customHeight="1">
      <x:c r="A5002" t="str">
        <x:v>CA-2017-155824</x:v>
      </x:c>
      <x:c r="B5002" s="18" t="n">
        <x:v>42804</x:v>
      </x:c>
      <x:c r="C5002" t="str">
        <x:v>KS-16300</x:v>
      </x:c>
      <x:c r="D5002" t="str">
        <x:v>Karen Seio</x:v>
      </x:c>
      <x:c r="E5002" t="str">
        <x:v>Corporate</x:v>
      </x:c>
      <x:c r="F5002" t="str">
        <x:v>South</x:v>
      </x:c>
      <x:c r="G5002" t="str">
        <x:v>Office Supplies</x:v>
      </x:c>
      <x:c r="H5002" t="str">
        <x:v>Binders</x:v>
      </x:c>
      <x:c r="I5002" s="22" t="n">
        <x:v>13.092000000000002</x:v>
      </x:c>
      <x:c r="J5002" s="24" t="n">
        <x:v>4</x:v>
      </x:c>
      <x:c r="K5002" s="26" t="n">
        <x:v>0.7</x:v>
      </x:c>
      <x:c r="L5002" s="22" t="n">
        <x:v>-10.037199999999999</x:v>
      </x:c>
      <x:c r="M5002" t="n">
        <x:v>2017</x:v>
      </x:c>
      <x:c r="N5002" s="20" t="n">
        <x:v>42795</x:v>
      </x:c>
    </x:row>
    <x:row r="5003" ht="18" customHeight="1">
      <x:c r="A5003" t="str">
        <x:v>CA-2016-129238</x:v>
      </x:c>
      <x:c r="B5003" s="18" t="n">
        <x:v>42400</x:v>
      </x:c>
      <x:c r="C5003" t="str">
        <x:v>SC-20050</x:v>
      </x:c>
      <x:c r="D5003" t="str">
        <x:v>Sample Company A</x:v>
      </x:c>
      <x:c r="E5003" t="str">
        <x:v>Home Office</x:v>
      </x:c>
      <x:c r="F5003" t="str">
        <x:v>West</x:v>
      </x:c>
      <x:c r="G5003" t="str">
        <x:v>Technology</x:v>
      </x:c>
      <x:c r="H5003" t="str">
        <x:v>Phones</x:v>
      </x:c>
      <x:c r="I5003" s="22" t="n">
        <x:v>109.59200000000001</x:v>
      </x:c>
      <x:c r="J5003" s="24" t="n">
        <x:v>1</x:v>
      </x:c>
      <x:c r="K5003" s="26" t="n">
        <x:v>0.2</x:v>
      </x:c>
      <x:c r="L5003" s="22" t="n">
        <x:v>8.2194</x:v>
      </x:c>
      <x:c r="M5003" t="n">
        <x:v>2016</x:v>
      </x:c>
      <x:c r="N5003" s="20" t="n">
        <x:v>42370</x:v>
      </x:c>
    </x:row>
    <x:row r="5004" ht="18" customHeight="1">
      <x:c r="A5004" t="str">
        <x:v>CA-2016-129238</x:v>
      </x:c>
      <x:c r="B5004" s="18" t="n">
        <x:v>42400</x:v>
      </x:c>
      <x:c r="C5004" t="str">
        <x:v>SC-20050</x:v>
      </x:c>
      <x:c r="D5004" t="str">
        <x:v>Sample Company A</x:v>
      </x:c>
      <x:c r="E5004" t="str">
        <x:v>Home Office</x:v>
      </x:c>
      <x:c r="F5004" t="str">
        <x:v>West</x:v>
      </x:c>
      <x:c r="G5004" t="str">
        <x:v>Office Supplies</x:v>
      </x:c>
      <x:c r="H5004" t="str">
        <x:v>Paper</x:v>
      </x:c>
      <x:c r="I5004" s="22" t="n">
        <x:v>56.7</x:v>
      </x:c>
      <x:c r="J5004" s="24" t="n">
        <x:v>5</x:v>
      </x:c>
      <x:c r="K5004" s="26" t="n">
        <x:v>0</x:v>
      </x:c>
      <x:c r="L5004" s="22" t="n">
        <x:v>27.782999999999998</x:v>
      </x:c>
      <x:c r="M5004" t="n">
        <x:v>2016</x:v>
      </x:c>
      <x:c r="N5004" s="20" t="n">
        <x:v>42370</x:v>
      </x:c>
    </x:row>
    <x:row r="5005" ht="18" customHeight="1">
      <x:c r="A5005" t="str">
        <x:v>CA-2017-159688</x:v>
      </x:c>
      <x:c r="B5005" s="18" t="n">
        <x:v>42862</x:v>
      </x:c>
      <x:c r="C5005" t="str">
        <x:v>AB-10060</x:v>
      </x:c>
      <x:c r="D5005" t="str">
        <x:v>Adam Bellavance</x:v>
      </x:c>
      <x:c r="E5005" t="str">
        <x:v>Home Office</x:v>
      </x:c>
      <x:c r="F5005" t="str">
        <x:v>West</x:v>
      </x:c>
      <x:c r="G5005" t="str">
        <x:v>Technology</x:v>
      </x:c>
      <x:c r="H5005" t="str">
        <x:v>Accessories</x:v>
      </x:c>
      <x:c r="I5005" s="22" t="n">
        <x:v>79.99</x:v>
      </x:c>
      <x:c r="J5005" s="24" t="n">
        <x:v>1</x:v>
      </x:c>
      <x:c r="K5005" s="26" t="n">
        <x:v>0</x:v>
      </x:c>
      <x:c r="L5005" s="22" t="n">
        <x:v>28.7964</x:v>
      </x:c>
      <x:c r="M5005" t="n">
        <x:v>2017</x:v>
      </x:c>
      <x:c r="N5005" s="20" t="n">
        <x:v>42856</x:v>
      </x:c>
    </x:row>
    <x:row r="5006" ht="18" customHeight="1">
      <x:c r="A5006" t="str">
        <x:v>CA-2016-136126</x:v>
      </x:c>
      <x:c r="B5006" s="18" t="n">
        <x:v>42514</x:v>
      </x:c>
      <x:c r="C5006" t="str">
        <x:v>EH-14125</x:v>
      </x:c>
      <x:c r="D5006" t="str">
        <x:v>Eugene Hildebrand</x:v>
      </x:c>
      <x:c r="E5006" t="str">
        <x:v>Home Office</x:v>
      </x:c>
      <x:c r="F5006" t="str">
        <x:v>South</x:v>
      </x:c>
      <x:c r="G5006" t="str">
        <x:v>Office Supplies</x:v>
      </x:c>
      <x:c r="H5006" t="str">
        <x:v>Supplies</x:v>
      </x:c>
      <x:c r="I5006" s="22" t="n">
        <x:v>69.5</x:v>
      </x:c>
      <x:c r="J5006" s="24" t="n">
        <x:v>5</x:v>
      </x:c>
      <x:c r="K5006" s="26" t="n">
        <x:v>0</x:v>
      </x:c>
      <x:c r="L5006" s="22" t="n">
        <x:v>20.154999999999994</x:v>
      </x:c>
      <x:c r="M5006" t="n">
        <x:v>2016</x:v>
      </x:c>
      <x:c r="N5006" s="20" t="n">
        <x:v>42491</x:v>
      </x:c>
    </x:row>
    <x:row r="5007" ht="18" customHeight="1">
      <x:c r="A5007" t="str">
        <x:v>CA-2016-136126</x:v>
      </x:c>
      <x:c r="B5007" s="18" t="n">
        <x:v>42514</x:v>
      </x:c>
      <x:c r="C5007" t="str">
        <x:v>EH-14125</x:v>
      </x:c>
      <x:c r="D5007" t="str">
        <x:v>Eugene Hildebrand</x:v>
      </x:c>
      <x:c r="E5007" t="str">
        <x:v>Home Office</x:v>
      </x:c>
      <x:c r="F5007" t="str">
        <x:v>South</x:v>
      </x:c>
      <x:c r="G5007" t="str">
        <x:v>Office Supplies</x:v>
      </x:c>
      <x:c r="H5007" t="str">
        <x:v>Paper</x:v>
      </x:c>
      <x:c r="I5007" s="22" t="n">
        <x:v>191.6</x:v>
      </x:c>
      <x:c r="J5007" s="24" t="n">
        <x:v>4</x:v>
      </x:c>
      <x:c r="K5007" s="26" t="n">
        <x:v>0</x:v>
      </x:c>
      <x:c r="L5007" s="22" t="n">
        <x:v>91.96799999999999</x:v>
      </x:c>
      <x:c r="M5007" t="n">
        <x:v>2016</x:v>
      </x:c>
      <x:c r="N5007" s="20" t="n">
        <x:v>42491</x:v>
      </x:c>
    </x:row>
    <x:row r="5008" ht="18" customHeight="1">
      <x:c r="A5008" t="str">
        <x:v>CA-2016-155033</x:v>
      </x:c>
      <x:c r="B5008" s="18" t="n">
        <x:v>42650</x:v>
      </x:c>
      <x:c r="C5008" t="str">
        <x:v>CC-12475</x:v>
      </x:c>
      <x:c r="D5008" t="str">
        <x:v>Cindy Chapman</x:v>
      </x:c>
      <x:c r="E5008" t="str">
        <x:v>Consumer</x:v>
      </x:c>
      <x:c r="F5008" t="str">
        <x:v>West</x:v>
      </x:c>
      <x:c r="G5008" t="str">
        <x:v>Office Supplies</x:v>
      </x:c>
      <x:c r="H5008" t="str">
        <x:v>Paper</x:v>
      </x:c>
      <x:c r="I5008" s="22" t="n">
        <x:v>10.56</x:v>
      </x:c>
      <x:c r="J5008" s="24" t="n">
        <x:v>2</x:v>
      </x:c>
      <x:c r="K5008" s="26" t="n">
        <x:v>0</x:v>
      </x:c>
      <x:c r="L5008" s="22" t="n">
        <x:v>5.0688</x:v>
      </x:c>
      <x:c r="M5008" t="n">
        <x:v>2016</x:v>
      </x:c>
      <x:c r="N5008" s="20" t="n">
        <x:v>42644</x:v>
      </x:c>
    </x:row>
    <x:row r="5009" ht="18" customHeight="1">
      <x:c r="A5009" t="str">
        <x:v>CA-2014-156006</x:v>
      </x:c>
      <x:c r="B5009" s="18" t="n">
        <x:v>41759</x:v>
      </x:c>
      <x:c r="C5009" t="str">
        <x:v>TM-21010</x:v>
      </x:c>
      <x:c r="D5009" t="str">
        <x:v>Tamara Manning</x:v>
      </x:c>
      <x:c r="E5009" t="str">
        <x:v>Consumer</x:v>
      </x:c>
      <x:c r="F5009" t="str">
        <x:v>South</x:v>
      </x:c>
      <x:c r="G5009" t="str">
        <x:v>Technology</x:v>
      </x:c>
      <x:c r="H5009" t="str">
        <x:v>Accessories</x:v>
      </x:c>
      <x:c r="I5009" s="22" t="n">
        <x:v>47.79</x:v>
      </x:c>
      <x:c r="J5009" s="24" t="n">
        <x:v>3</x:v>
      </x:c>
      <x:c r="K5009" s="26" t="n">
        <x:v>0</x:v>
      </x:c>
      <x:c r="L5009" s="22" t="n">
        <x:v>16.2486</x:v>
      </x:c>
      <x:c r="M5009" t="n">
        <x:v>2014</x:v>
      </x:c>
      <x:c r="N5009" s="20" t="n">
        <x:v>41730</x:v>
      </x:c>
    </x:row>
    <x:row r="5010" ht="18" customHeight="1">
      <x:c r="A5010" t="str">
        <x:v>CA-2015-158659</x:v>
      </x:c>
      <x:c r="B5010" s="18" t="n">
        <x:v>42318</x:v>
      </x:c>
      <x:c r="C5010" t="str">
        <x:v>SC-20695</x:v>
      </x:c>
      <x:c r="D5010" t="str">
        <x:v>Steve Chapman</x:v>
      </x:c>
      <x:c r="E5010" t="str">
        <x:v>Corporate</x:v>
      </x:c>
      <x:c r="F5010" t="str">
        <x:v>Central</x:v>
      </x:c>
      <x:c r="G5010" t="str">
        <x:v>Office Supplies</x:v>
      </x:c>
      <x:c r="H5010" t="str">
        <x:v>Storage</x:v>
      </x:c>
      <x:c r="I5010" s="22" t="n">
        <x:v>714.3000000000001</x:v>
      </x:c>
      <x:c r="J5010" s="24" t="n">
        <x:v>5</x:v>
      </x:c>
      <x:c r="K5010" s="26" t="n">
        <x:v>0</x:v>
      </x:c>
      <x:c r="L5010" s="22" t="n">
        <x:v>207.14699999999993</x:v>
      </x:c>
      <x:c r="M5010" t="n">
        <x:v>2015</x:v>
      </x:c>
      <x:c r="N5010" s="20" t="n">
        <x:v>42309</x:v>
      </x:c>
    </x:row>
    <x:row r="5011" ht="18" customHeight="1">
      <x:c r="A5011" t="str">
        <x:v>CA-2015-169796</x:v>
      </x:c>
      <x:c r="B5011" s="18" t="n">
        <x:v>42317</x:v>
      </x:c>
      <x:c r="C5011" t="str">
        <x:v>Dp-13240</x:v>
      </x:c>
      <x:c r="D5011" t="str">
        <x:v>Dean percer</x:v>
      </x:c>
      <x:c r="E5011" t="str">
        <x:v>Home Office</x:v>
      </x:c>
      <x:c r="F5011" t="str">
        <x:v>East</x:v>
      </x:c>
      <x:c r="G5011" t="str">
        <x:v>Technology</x:v>
      </x:c>
      <x:c r="H5011" t="str">
        <x:v>Machines</x:v>
      </x:c>
      <x:c r="I5011" s="22" t="n">
        <x:v>2321.9</x:v>
      </x:c>
      <x:c r="J5011" s="24" t="n">
        <x:v>2</x:v>
      </x:c>
      <x:c r="K5011" s="26" t="n">
        <x:v>0</x:v>
      </x:c>
      <x:c r="L5011" s="22" t="n">
        <x:v>1114.512</x:v>
      </x:c>
      <x:c r="M5011" t="n">
        <x:v>2015</x:v>
      </x:c>
      <x:c r="N5011" s="20" t="n">
        <x:v>42309</x:v>
      </x:c>
    </x:row>
    <x:row r="5012" ht="18" customHeight="1">
      <x:c r="A5012" t="str">
        <x:v>CA-2015-169796</x:v>
      </x:c>
      <x:c r="B5012" s="18" t="n">
        <x:v>42317</x:v>
      </x:c>
      <x:c r="C5012" t="str">
        <x:v>Dp-13240</x:v>
      </x:c>
      <x:c r="D5012" t="str">
        <x:v>Dean percer</x:v>
      </x:c>
      <x:c r="E5012" t="str">
        <x:v>Home Office</x:v>
      </x:c>
      <x:c r="F5012" t="str">
        <x:v>East</x:v>
      </x:c>
      <x:c r="G5012" t="str">
        <x:v>Office Supplies</x:v>
      </x:c>
      <x:c r="H5012" t="str">
        <x:v>Storage</x:v>
      </x:c>
      <x:c r="I5012" s="22" t="n">
        <x:v>17.94</x:v>
      </x:c>
      <x:c r="J5012" s="24" t="n">
        <x:v>3</x:v>
      </x:c>
      <x:c r="K5012" s="26" t="n">
        <x:v>0</x:v>
      </x:c>
      <x:c r="L5012" s="22" t="n">
        <x:v>3.0497999999999985</x:v>
      </x:c>
      <x:c r="M5012" t="n">
        <x:v>2015</x:v>
      </x:c>
      <x:c r="N5012" s="20" t="n">
        <x:v>42309</x:v>
      </x:c>
    </x:row>
    <x:row r="5013" ht="18" customHeight="1">
      <x:c r="A5013" t="str">
        <x:v>CA-2015-102876</x:v>
      </x:c>
      <x:c r="B5013" s="18" t="n">
        <x:v>42254</x:v>
      </x:c>
      <x:c r="C5013" t="str">
        <x:v>LR-17035</x:v>
      </x:c>
      <x:c r="D5013" t="str">
        <x:v>Lisa Ryan</x:v>
      </x:c>
      <x:c r="E5013" t="str">
        <x:v>Corporate</x:v>
      </x:c>
      <x:c r="F5013" t="str">
        <x:v>East</x:v>
      </x:c>
      <x:c r="G5013" t="str">
        <x:v>Office Supplies</x:v>
      </x:c>
      <x:c r="H5013" t="str">
        <x:v>Binders</x:v>
      </x:c>
      <x:c r="I5013" s="22" t="n">
        <x:v>9.522</x:v>
      </x:c>
      <x:c r="J5013" s="24" t="n">
        <x:v>1</x:v>
      </x:c>
      <x:c r="K5013" s="26" t="n">
        <x:v>0.7</x:v>
      </x:c>
      <x:c r="L5013" s="22" t="n">
        <x:v>-6.9827999999999975</x:v>
      </x:c>
      <x:c r="M5013" t="n">
        <x:v>2015</x:v>
      </x:c>
      <x:c r="N5013" s="20" t="n">
        <x:v>42248</x:v>
      </x:c>
    </x:row>
    <x:row r="5014" ht="18" customHeight="1">
      <x:c r="A5014" t="str">
        <x:v>CA-2015-102876</x:v>
      </x:c>
      <x:c r="B5014" s="18" t="n">
        <x:v>42254</x:v>
      </x:c>
      <x:c r="C5014" t="str">
        <x:v>LR-17035</x:v>
      </x:c>
      <x:c r="D5014" t="str">
        <x:v>Lisa Ryan</x:v>
      </x:c>
      <x:c r="E5014" t="str">
        <x:v>Corporate</x:v>
      </x:c>
      <x:c r="F5014" t="str">
        <x:v>East</x:v>
      </x:c>
      <x:c r="G5014" t="str">
        <x:v>Technology</x:v>
      </x:c>
      <x:c r="H5014" t="str">
        <x:v>Phones</x:v>
      </x:c>
      <x:c r="I5014" s="22" t="n">
        <x:v>791.9639999999999</x:v>
      </x:c>
      <x:c r="J5014" s="24" t="n">
        <x:v>6</x:v>
      </x:c>
      <x:c r="K5014" s="26" t="n">
        <x:v>0.4</x:v>
      </x:c>
      <x:c r="L5014" s="22" t="n">
        <x:v>-131.9940000000002</x:v>
      </x:c>
      <x:c r="M5014" t="n">
        <x:v>2015</x:v>
      </x:c>
      <x:c r="N5014" s="20" t="n">
        <x:v>42248</x:v>
      </x:c>
    </x:row>
    <x:row r="5015" ht="18" customHeight="1">
      <x:c r="A5015" t="str">
        <x:v>CA-2015-102876</x:v>
      </x:c>
      <x:c r="B5015" s="18" t="n">
        <x:v>42254</x:v>
      </x:c>
      <x:c r="C5015" t="str">
        <x:v>LR-17035</x:v>
      </x:c>
      <x:c r="D5015" t="str">
        <x:v>Lisa Ryan</x:v>
      </x:c>
      <x:c r="E5015" t="str">
        <x:v>Corporate</x:v>
      </x:c>
      <x:c r="F5015" t="str">
        <x:v>East</x:v>
      </x:c>
      <x:c r="G5015" t="str">
        <x:v>Office Supplies</x:v>
      </x:c>
      <x:c r="H5015" t="str">
        <x:v>Binders</x:v>
      </x:c>
      <x:c r="I5015" s="22" t="n">
        <x:v>4.923000000000001</x:v>
      </x:c>
      <x:c r="J5015" s="24" t="n">
        <x:v>3</x:v>
      </x:c>
      <x:c r="K5015" s="26" t="n">
        <x:v>0.7</x:v>
      </x:c>
      <x:c r="L5015" s="22" t="n">
        <x:v>-3.9383999999999997</x:v>
      </x:c>
      <x:c r="M5015" t="n">
        <x:v>2015</x:v>
      </x:c>
      <x:c r="N5015" s="20" t="n">
        <x:v>42248</x:v>
      </x:c>
    </x:row>
    <x:row r="5016" ht="18" customHeight="1">
      <x:c r="A5016" t="str">
        <x:v>US-2017-139647</x:v>
      </x:c>
      <x:c r="B5016" s="18" t="n">
        <x:v>42866</x:v>
      </x:c>
      <x:c r="C5016" t="str">
        <x:v>TS-21370</x:v>
      </x:c>
      <x:c r="D5016" t="str">
        <x:v>Todd Sumrall</x:v>
      </x:c>
      <x:c r="E5016" t="str">
        <x:v>Corporate</x:v>
      </x:c>
      <x:c r="F5016" t="str">
        <x:v>West</x:v>
      </x:c>
      <x:c r="G5016" t="str">
        <x:v>Furniture</x:v>
      </x:c>
      <x:c r="H5016" t="str">
        <x:v>Bookcases</x:v>
      </x:c>
      <x:c r="I5016" s="22" t="n">
        <x:v>209.979</x:v>
      </x:c>
      <x:c r="J5016" s="24" t="n">
        <x:v>7</x:v>
      </x:c>
      <x:c r="K5016" s="26" t="n">
        <x:v>0.7</x:v>
      </x:c>
      <x:c r="L5016" s="22" t="n">
        <x:v>-356.9643</x:v>
      </x:c>
      <x:c r="M5016" t="n">
        <x:v>2017</x:v>
      </x:c>
      <x:c r="N5016" s="20" t="n">
        <x:v>42856</x:v>
      </x:c>
    </x:row>
    <x:row r="5017" ht="18" customHeight="1">
      <x:c r="A5017" t="str">
        <x:v>US-2017-160465</x:v>
      </x:c>
      <x:c r="B5017" s="18" t="n">
        <x:v>42937</x:v>
      </x:c>
      <x:c r="C5017" t="str">
        <x:v>SW-20350</x:v>
      </x:c>
      <x:c r="D5017" t="str">
        <x:v>Sean Wendt</x:v>
      </x:c>
      <x:c r="E5017" t="str">
        <x:v>Home Office</x:v>
      </x:c>
      <x:c r="F5017" t="str">
        <x:v>East</x:v>
      </x:c>
      <x:c r="G5017" t="str">
        <x:v>Office Supplies</x:v>
      </x:c>
      <x:c r="H5017" t="str">
        <x:v>Binders</x:v>
      </x:c>
      <x:c r="I5017" s="22" t="n">
        <x:v>33.93000000000001</x:v>
      </x:c>
      <x:c r="J5017" s="24" t="n">
        <x:v>3</x:v>
      </x:c>
      <x:c r="K5017" s="26" t="n">
        <x:v>0.7</x:v>
      </x:c>
      <x:c r="L5017" s="22" t="n">
        <x:v>-22.619999999999997</x:v>
      </x:c>
      <x:c r="M5017" t="n">
        <x:v>2017</x:v>
      </x:c>
      <x:c r="N5017" s="20" t="n">
        <x:v>42917</x:v>
      </x:c>
    </x:row>
    <x:row r="5018" ht="18" customHeight="1">
      <x:c r="A5018" t="str">
        <x:v>US-2017-160465</x:v>
      </x:c>
      <x:c r="B5018" s="18" t="n">
        <x:v>42937</x:v>
      </x:c>
      <x:c r="C5018" t="str">
        <x:v>SW-20350</x:v>
      </x:c>
      <x:c r="D5018" t="str">
        <x:v>Sean Wendt</x:v>
      </x:c>
      <x:c r="E5018" t="str">
        <x:v>Home Office</x:v>
      </x:c>
      <x:c r="F5018" t="str">
        <x:v>East</x:v>
      </x:c>
      <x:c r="G5018" t="str">
        <x:v>Office Supplies</x:v>
      </x:c>
      <x:c r="H5018" t="str">
        <x:v>Storage</x:v>
      </x:c>
      <x:c r="I5018" s="22" t="n">
        <x:v>222.32000000000005</x:v>
      </x:c>
      <x:c r="J5018" s="24" t="n">
        <x:v>7</x:v>
      </x:c>
      <x:c r="K5018" s="26" t="n">
        <x:v>0.2</x:v>
      </x:c>
      <x:c r="L5018" s="22" t="n">
        <x:v>25.010999999999967</x:v>
      </x:c>
      <x:c r="M5018" t="n">
        <x:v>2017</x:v>
      </x:c>
      <x:c r="N5018" s="20" t="n">
        <x:v>42917</x:v>
      </x:c>
    </x:row>
    <x:row r="5019" ht="18" customHeight="1">
      <x:c r="A5019" t="str">
        <x:v>US-2017-160465</x:v>
      </x:c>
      <x:c r="B5019" s="18" t="n">
        <x:v>42937</x:v>
      </x:c>
      <x:c r="C5019" t="str">
        <x:v>SW-20350</x:v>
      </x:c>
      <x:c r="D5019" t="str">
        <x:v>Sean Wendt</x:v>
      </x:c>
      <x:c r="E5019" t="str">
        <x:v>Home Office</x:v>
      </x:c>
      <x:c r="F5019" t="str">
        <x:v>East</x:v>
      </x:c>
      <x:c r="G5019" t="str">
        <x:v>Technology</x:v>
      </x:c>
      <x:c r="H5019" t="str">
        <x:v>Phones</x:v>
      </x:c>
      <x:c r="I5019" s="22" t="n">
        <x:v>210.56400000000002</x:v>
      </x:c>
      <x:c r="J5019" s="24" t="n">
        <x:v>6</x:v>
      </x:c>
      <x:c r="K5019" s="26" t="n">
        <x:v>0.4</x:v>
      </x:c>
      <x:c r="L5019" s="22" t="n">
        <x:v>-52.64099999999999</x:v>
      </x:c>
      <x:c r="M5019" t="n">
        <x:v>2017</x:v>
      </x:c>
      <x:c r="N5019" s="20" t="n">
        <x:v>42917</x:v>
      </x:c>
    </x:row>
    <x:row r="5020" ht="18" customHeight="1">
      <x:c r="A5020" t="str">
        <x:v>CA-2014-153850</x:v>
      </x:c>
      <x:c r="B5020" s="18" t="n">
        <x:v>41967</x:v>
      </x:c>
      <x:c r="C5020" t="str">
        <x:v>TH-21100</x:v>
      </x:c>
      <x:c r="D5020" t="str">
        <x:v>Thea Hendricks</x:v>
      </x:c>
      <x:c r="E5020" t="str">
        <x:v>Consumer</x:v>
      </x:c>
      <x:c r="F5020" t="str">
        <x:v>East</x:v>
      </x:c>
      <x:c r="G5020" t="str">
        <x:v>Furniture</x:v>
      </x:c>
      <x:c r="H5020" t="str">
        <x:v>Furnishings</x:v>
      </x:c>
      <x:c r="I5020" s="22" t="n">
        <x:v>35.168000000000006</x:v>
      </x:c>
      <x:c r="J5020" s="24" t="n">
        <x:v>7</x:v>
      </x:c>
      <x:c r="K5020" s="26" t="n">
        <x:v>0.2</x:v>
      </x:c>
      <x:c r="L5020" s="22" t="n">
        <x:v>9.671200000000002</x:v>
      </x:c>
      <x:c r="M5020" t="n">
        <x:v>2014</x:v>
      </x:c>
      <x:c r="N5020" s="20" t="n">
        <x:v>41944</x:v>
      </x:c>
    </x:row>
    <x:row r="5021" ht="18" customHeight="1">
      <x:c r="A5021" t="str">
        <x:v>CA-2014-153850</x:v>
      </x:c>
      <x:c r="B5021" s="18" t="n">
        <x:v>41967</x:v>
      </x:c>
      <x:c r="C5021" t="str">
        <x:v>TH-21100</x:v>
      </x:c>
      <x:c r="D5021" t="str">
        <x:v>Thea Hendricks</x:v>
      </x:c>
      <x:c r="E5021" t="str">
        <x:v>Consumer</x:v>
      </x:c>
      <x:c r="F5021" t="str">
        <x:v>East</x:v>
      </x:c>
      <x:c r="G5021" t="str">
        <x:v>Technology</x:v>
      </x:c>
      <x:c r="H5021" t="str">
        <x:v>Phones</x:v>
      </x:c>
      <x:c r="I5021" s="22" t="n">
        <x:v>1502.376</x:v>
      </x:c>
      <x:c r="J5021" s="24" t="n">
        <x:v>4</x:v>
      </x:c>
      <x:c r="K5021" s="26" t="n">
        <x:v>0.4</x:v>
      </x:c>
      <x:c r="L5021" s="22" t="n">
        <x:v>-250.39600000000019</x:v>
      </x:c>
      <x:c r="M5021" t="n">
        <x:v>2014</x:v>
      </x:c>
      <x:c r="N5021" s="20" t="n">
        <x:v>41944</x:v>
      </x:c>
    </x:row>
    <x:row r="5022" ht="18" customHeight="1">
      <x:c r="A5022" t="str">
        <x:v>CA-2014-127558</x:v>
      </x:c>
      <x:c r="B5022" s="18" t="n">
        <x:v>41958</x:v>
      </x:c>
      <x:c r="C5022" t="str">
        <x:v>SS-20410</x:v>
      </x:c>
      <x:c r="D5022" t="str">
        <x:v>Shahid Shariari</x:v>
      </x:c>
      <x:c r="E5022" t="str">
        <x:v>Consumer</x:v>
      </x:c>
      <x:c r="F5022" t="str">
        <x:v>West</x:v>
      </x:c>
      <x:c r="G5022" t="str">
        <x:v>Furniture</x:v>
      </x:c>
      <x:c r="H5022" t="str">
        <x:v>Furnishings</x:v>
      </x:c>
      <x:c r="I5022" s="22" t="n">
        <x:v>10.11</x:v>
      </x:c>
      <x:c r="J5022" s="24" t="n">
        <x:v>3</x:v>
      </x:c>
      <x:c r="K5022" s="26" t="n">
        <x:v>0</x:v>
      </x:c>
      <x:c r="L5022" s="22" t="n">
        <x:v>3.2351999999999994</x:v>
      </x:c>
      <x:c r="M5022" t="n">
        <x:v>2014</x:v>
      </x:c>
      <x:c r="N5022" s="20" t="n">
        <x:v>41944</x:v>
      </x:c>
    </x:row>
    <x:row r="5023" ht="18" customHeight="1">
      <x:c r="A5023" t="str">
        <x:v>CA-2014-127558</x:v>
      </x:c>
      <x:c r="B5023" s="18" t="n">
        <x:v>41958</x:v>
      </x:c>
      <x:c r="C5023" t="str">
        <x:v>SS-20410</x:v>
      </x:c>
      <x:c r="D5023" t="str">
        <x:v>Shahid Shariari</x:v>
      </x:c>
      <x:c r="E5023" t="str">
        <x:v>Consumer</x:v>
      </x:c>
      <x:c r="F5023" t="str">
        <x:v>West</x:v>
      </x:c>
      <x:c r="G5023" t="str">
        <x:v>Technology</x:v>
      </x:c>
      <x:c r="H5023" t="str">
        <x:v>Accessories</x:v>
      </x:c>
      <x:c r="I5023" s="22" t="n">
        <x:v>772.47</x:v>
      </x:c>
      <x:c r="J5023" s="24" t="n">
        <x:v>3</x:v>
      </x:c>
      <x:c r="K5023" s="26" t="n">
        <x:v>0</x:v>
      </x:c>
      <x:c r="L5023" s="22" t="n">
        <x:v>146.76929999999993</x:v>
      </x:c>
      <x:c r="M5023" t="n">
        <x:v>2014</x:v>
      </x:c>
      <x:c r="N5023" s="20" t="n">
        <x:v>41944</x:v>
      </x:c>
    </x:row>
    <x:row r="5024" ht="18" customHeight="1">
      <x:c r="A5024" t="str">
        <x:v>CA-2014-127558</x:v>
      </x:c>
      <x:c r="B5024" s="18" t="n">
        <x:v>41958</x:v>
      </x:c>
      <x:c r="C5024" t="str">
        <x:v>SS-20410</x:v>
      </x:c>
      <x:c r="D5024" t="str">
        <x:v>Shahid Shariari</x:v>
      </x:c>
      <x:c r="E5024" t="str">
        <x:v>Consumer</x:v>
      </x:c>
      <x:c r="F5024" t="str">
        <x:v>West</x:v>
      </x:c>
      <x:c r="G5024" t="str">
        <x:v>Office Supplies</x:v>
      </x:c>
      <x:c r="H5024" t="str">
        <x:v>Supplies</x:v>
      </x:c>
      <x:c r="I5024" s="22" t="n">
        <x:v>20.46</x:v>
      </x:c>
      <x:c r="J5024" s="24" t="n">
        <x:v>2</x:v>
      </x:c>
      <x:c r="K5024" s="26" t="n">
        <x:v>0</x:v>
      </x:c>
      <x:c r="L5024" s="22" t="n">
        <x:v>5.319600000000001</x:v>
      </x:c>
      <x:c r="M5024" t="n">
        <x:v>2014</x:v>
      </x:c>
      <x:c r="N5024" s="20" t="n">
        <x:v>41944</x:v>
      </x:c>
    </x:row>
    <x:row r="5025" ht="18" customHeight="1">
      <x:c r="A5025" t="str">
        <x:v>CA-2017-136511</x:v>
      </x:c>
      <x:c r="B5025" s="18" t="n">
        <x:v>42817</x:v>
      </x:c>
      <x:c r="C5025" t="str">
        <x:v>MZ-17515</x:v>
      </x:c>
      <x:c r="D5025" t="str">
        <x:v>Mary Zewe</x:v>
      </x:c>
      <x:c r="E5025" t="str">
        <x:v>Corporate</x:v>
      </x:c>
      <x:c r="F5025" t="str">
        <x:v>East</x:v>
      </x:c>
      <x:c r="G5025" t="str">
        <x:v>Office Supplies</x:v>
      </x:c>
      <x:c r="H5025" t="str">
        <x:v>Supplies</x:v>
      </x:c>
      <x:c r="I5025" s="22" t="n">
        <x:v>347.58</x:v>
      </x:c>
      <x:c r="J5025" s="24" t="n">
        <x:v>3</x:v>
      </x:c>
      <x:c r="K5025" s="26" t="n">
        <x:v>0</x:v>
      </x:c>
      <x:c r="L5025" s="22" t="n">
        <x:v>17.378999999999976</x:v>
      </x:c>
      <x:c r="M5025" t="n">
        <x:v>2017</x:v>
      </x:c>
      <x:c r="N5025" s="20" t="n">
        <x:v>42795</x:v>
      </x:c>
    </x:row>
    <x:row r="5026" ht="18" customHeight="1">
      <x:c r="A5026" t="str">
        <x:v>CA-2016-133795</x:v>
      </x:c>
      <x:c r="B5026" s="18" t="n">
        <x:v>42722</x:v>
      </x:c>
      <x:c r="C5026" t="str">
        <x:v>JE-15475</x:v>
      </x:c>
      <x:c r="D5026" t="str">
        <x:v>Jeremy Ellison</x:v>
      </x:c>
      <x:c r="E5026" t="str">
        <x:v>Consumer</x:v>
      </x:c>
      <x:c r="F5026" t="str">
        <x:v>West</x:v>
      </x:c>
      <x:c r="G5026" t="str">
        <x:v>Technology</x:v>
      </x:c>
      <x:c r="H5026" t="str">
        <x:v>Accessories</x:v>
      </x:c>
      <x:c r="I5026" s="22" t="n">
        <x:v>72.64</x:v>
      </x:c>
      <x:c r="J5026" s="24" t="n">
        <x:v>2</x:v>
      </x:c>
      <x:c r="K5026" s="26" t="n">
        <x:v>0</x:v>
      </x:c>
      <x:c r="L5026" s="22" t="n">
        <x:v>21.791999999999994</x:v>
      </x:c>
      <x:c r="M5026" t="n">
        <x:v>2016</x:v>
      </x:c>
      <x:c r="N5026" s="20" t="n">
        <x:v>42705</x:v>
      </x:c>
    </x:row>
    <x:row r="5027" ht="18" customHeight="1">
      <x:c r="A5027" t="str">
        <x:v>CA-2016-133795</x:v>
      </x:c>
      <x:c r="B5027" s="18" t="n">
        <x:v>42722</x:v>
      </x:c>
      <x:c r="C5027" t="str">
        <x:v>JE-15475</x:v>
      </x:c>
      <x:c r="D5027" t="str">
        <x:v>Jeremy Ellison</x:v>
      </x:c>
      <x:c r="E5027" t="str">
        <x:v>Consumer</x:v>
      </x:c>
      <x:c r="F5027" t="str">
        <x:v>West</x:v>
      </x:c>
      <x:c r="G5027" t="str">
        <x:v>Technology</x:v>
      </x:c>
      <x:c r="H5027" t="str">
        <x:v>Accessories</x:v>
      </x:c>
      <x:c r="I5027" s="22" t="n">
        <x:v>772.47</x:v>
      </x:c>
      <x:c r="J5027" s="24" t="n">
        <x:v>3</x:v>
      </x:c>
      <x:c r="K5027" s="26" t="n">
        <x:v>0</x:v>
      </x:c>
      <x:c r="L5027" s="22" t="n">
        <x:v>146.76929999999993</x:v>
      </x:c>
      <x:c r="M5027" t="n">
        <x:v>2016</x:v>
      </x:c>
      <x:c r="N5027" s="20" t="n">
        <x:v>42705</x:v>
      </x:c>
    </x:row>
    <x:row r="5028" ht="18" customHeight="1">
      <x:c r="A5028" t="str">
        <x:v>CA-2016-133795</x:v>
      </x:c>
      <x:c r="B5028" s="18" t="n">
        <x:v>42722</x:v>
      </x:c>
      <x:c r="C5028" t="str">
        <x:v>JE-15475</x:v>
      </x:c>
      <x:c r="D5028" t="str">
        <x:v>Jeremy Ellison</x:v>
      </x:c>
      <x:c r="E5028" t="str">
        <x:v>Consumer</x:v>
      </x:c>
      <x:c r="F5028" t="str">
        <x:v>West</x:v>
      </x:c>
      <x:c r="G5028" t="str">
        <x:v>Furniture</x:v>
      </x:c>
      <x:c r="H5028" t="str">
        <x:v>Furnishings</x:v>
      </x:c>
      <x:c r="I5028" s="22" t="n">
        <x:v>39.92</x:v>
      </x:c>
      <x:c r="J5028" s="24" t="n">
        <x:v>4</x:v>
      </x:c>
      <x:c r="K5028" s="26" t="n">
        <x:v>0</x:v>
      </x:c>
      <x:c r="L5028" s="22" t="n">
        <x:v>11.177600000000002</x:v>
      </x:c>
      <x:c r="M5028" t="n">
        <x:v>2016</x:v>
      </x:c>
      <x:c r="N5028" s="20" t="n">
        <x:v>42705</x:v>
      </x:c>
    </x:row>
    <x:row r="5029" ht="18" customHeight="1">
      <x:c r="A5029" t="str">
        <x:v>US-2017-130953</x:v>
      </x:c>
      <x:c r="B5029" s="18" t="n">
        <x:v>42945</x:v>
      </x:c>
      <x:c r="C5029" t="str">
        <x:v>RF-19735</x:v>
      </x:c>
      <x:c r="D5029" t="str">
        <x:v>Roland Fjeld</x:v>
      </x:c>
      <x:c r="E5029" t="str">
        <x:v>Consumer</x:v>
      </x:c>
      <x:c r="F5029" t="str">
        <x:v>Central</x:v>
      </x:c>
      <x:c r="G5029" t="str">
        <x:v>Office Supplies</x:v>
      </x:c>
      <x:c r="H5029" t="str">
        <x:v>Binders</x:v>
      </x:c>
      <x:c r="I5029" s="22" t="n">
        <x:v>33.48</x:v>
      </x:c>
      <x:c r="J5029" s="24" t="n">
        <x:v>2</x:v>
      </x:c>
      <x:c r="K5029" s="26" t="n">
        <x:v>0</x:v>
      </x:c>
      <x:c r="L5029" s="22" t="n">
        <x:v>16.405199999999997</x:v>
      </x:c>
      <x:c r="M5029" t="n">
        <x:v>2017</x:v>
      </x:c>
      <x:c r="N5029" s="20" t="n">
        <x:v>42917</x:v>
      </x:c>
    </x:row>
    <x:row r="5030" ht="18" customHeight="1">
      <x:c r="A5030" t="str">
        <x:v>US-2017-130953</x:v>
      </x:c>
      <x:c r="B5030" s="18" t="n">
        <x:v>42945</x:v>
      </x:c>
      <x:c r="C5030" t="str">
        <x:v>RF-19735</x:v>
      </x:c>
      <x:c r="D5030" t="str">
        <x:v>Roland Fjeld</x:v>
      </x:c>
      <x:c r="E5030" t="str">
        <x:v>Consumer</x:v>
      </x:c>
      <x:c r="F5030" t="str">
        <x:v>Central</x:v>
      </x:c>
      <x:c r="G5030" t="str">
        <x:v>Technology</x:v>
      </x:c>
      <x:c r="H5030" t="str">
        <x:v>Phones</x:v>
      </x:c>
      <x:c r="I5030" s="22" t="n">
        <x:v>461.97</x:v>
      </x:c>
      <x:c r="J5030" s="24" t="n">
        <x:v>3</x:v>
      </x:c>
      <x:c r="K5030" s="26" t="n">
        <x:v>0</x:v>
      </x:c>
      <x:c r="L5030" s="22" t="n">
        <x:v>133.97129999999996</x:v>
      </x:c>
      <x:c r="M5030" t="n">
        <x:v>2017</x:v>
      </x:c>
      <x:c r="N5030" s="20" t="n">
        <x:v>42917</x:v>
      </x:c>
    </x:row>
    <x:row r="5031" ht="18" customHeight="1">
      <x:c r="A5031" t="str">
        <x:v>US-2017-130953</x:v>
      </x:c>
      <x:c r="B5031" s="18" t="n">
        <x:v>42945</x:v>
      </x:c>
      <x:c r="C5031" t="str">
        <x:v>RF-19735</x:v>
      </x:c>
      <x:c r="D5031" t="str">
        <x:v>Roland Fjeld</x:v>
      </x:c>
      <x:c r="E5031" t="str">
        <x:v>Consumer</x:v>
      </x:c>
      <x:c r="F5031" t="str">
        <x:v>Central</x:v>
      </x:c>
      <x:c r="G5031" t="str">
        <x:v>Office Supplies</x:v>
      </x:c>
      <x:c r="H5031" t="str">
        <x:v>Appliances</x:v>
      </x:c>
      <x:c r="I5031" s="22" t="n">
        <x:v>137.62</x:v>
      </x:c>
      <x:c r="J5031" s="24" t="n">
        <x:v>2</x:v>
      </x:c>
      <x:c r="K5031" s="26" t="n">
        <x:v>0</x:v>
      </x:c>
      <x:c r="L5031" s="22" t="n">
        <x:v>60.552800000000005</x:v>
      </x:c>
      <x:c r="M5031" t="n">
        <x:v>2017</x:v>
      </x:c>
      <x:c r="N5031" s="20" t="n">
        <x:v>42917</x:v>
      </x:c>
    </x:row>
    <x:row r="5032" ht="18" customHeight="1">
      <x:c r="A5032" t="str">
        <x:v>US-2017-130953</x:v>
      </x:c>
      <x:c r="B5032" s="18" t="n">
        <x:v>42945</x:v>
      </x:c>
      <x:c r="C5032" t="str">
        <x:v>RF-19735</x:v>
      </x:c>
      <x:c r="D5032" t="str">
        <x:v>Roland Fjeld</x:v>
      </x:c>
      <x:c r="E5032" t="str">
        <x:v>Consumer</x:v>
      </x:c>
      <x:c r="F5032" t="str">
        <x:v>Central</x:v>
      </x:c>
      <x:c r="G5032" t="str">
        <x:v>Furniture</x:v>
      </x:c>
      <x:c r="H5032" t="str">
        <x:v>Chairs</x:v>
      </x:c>
      <x:c r="I5032" s="22" t="n">
        <x:v>302.67</x:v>
      </x:c>
      <x:c r="J5032" s="24" t="n">
        <x:v>3</x:v>
      </x:c>
      <x:c r="K5032" s="26" t="n">
        <x:v>0</x:v>
      </x:c>
      <x:c r="L5032" s="22" t="n">
        <x:v>72.6408</x:v>
      </x:c>
      <x:c r="M5032" t="n">
        <x:v>2017</x:v>
      </x:c>
      <x:c r="N5032" s="20" t="n">
        <x:v>42917</x:v>
      </x:c>
    </x:row>
    <x:row r="5033" ht="18" customHeight="1">
      <x:c r="A5033" t="str">
        <x:v>CA-2014-151792</x:v>
      </x:c>
      <x:c r="B5033" s="18" t="n">
        <x:v>41884</x:v>
      </x:c>
      <x:c r="C5033" t="str">
        <x:v>CV-12295</x:v>
      </x:c>
      <x:c r="D5033" t="str">
        <x:v>Christina VanderZanden</x:v>
      </x:c>
      <x:c r="E5033" t="str">
        <x:v>Consumer</x:v>
      </x:c>
      <x:c r="F5033" t="str">
        <x:v>Central</x:v>
      </x:c>
      <x:c r="G5033" t="str">
        <x:v>Technology</x:v>
      </x:c>
      <x:c r="H5033" t="str">
        <x:v>Accessories</x:v>
      </x:c>
      <x:c r="I5033" s="22" t="n">
        <x:v>239.976</x:v>
      </x:c>
      <x:c r="J5033" s="24" t="n">
        <x:v>3</x:v>
      </x:c>
      <x:c r="K5033" s="26" t="n">
        <x:v>0.2</x:v>
      </x:c>
      <x:c r="L5033" s="22" t="n">
        <x:v>53.994600000000005</x:v>
      </x:c>
      <x:c r="M5033" t="n">
        <x:v>2014</x:v>
      </x:c>
      <x:c r="N5033" s="20" t="n">
        <x:v>41883</x:v>
      </x:c>
    </x:row>
    <x:row r="5034" ht="18" customHeight="1">
      <x:c r="A5034" t="str">
        <x:v>CA-2017-139304</x:v>
      </x:c>
      <x:c r="B5034" s="18" t="n">
        <x:v>42764</x:v>
      </x:c>
      <x:c r="C5034" t="str">
        <x:v>VG-21790</x:v>
      </x:c>
      <x:c r="D5034" t="str">
        <x:v>Vivek Gonzalez</x:v>
      </x:c>
      <x:c r="E5034" t="str">
        <x:v>Consumer</x:v>
      </x:c>
      <x:c r="F5034" t="str">
        <x:v>West</x:v>
      </x:c>
      <x:c r="G5034" t="str">
        <x:v>Office Supplies</x:v>
      </x:c>
      <x:c r="H5034" t="str">
        <x:v>Art</x:v>
      </x:c>
      <x:c r="I5034" s="22" t="n">
        <x:v>8.34</x:v>
      </x:c>
      <x:c r="J5034" s="24" t="n">
        <x:v>3</x:v>
      </x:c>
      <x:c r="K5034" s="26" t="n">
        <x:v>0</x:v>
      </x:c>
      <x:c r="L5034" s="22" t="n">
        <x:v>2.1683999999999997</x:v>
      </x:c>
      <x:c r="M5034" t="n">
        <x:v>2017</x:v>
      </x:c>
      <x:c r="N5034" s="20" t="n">
        <x:v>42736</x:v>
      </x:c>
    </x:row>
    <x:row r="5035" ht="18" customHeight="1">
      <x:c r="A5035" t="str">
        <x:v>CA-2017-139304</x:v>
      </x:c>
      <x:c r="B5035" s="18" t="n">
        <x:v>42764</x:v>
      </x:c>
      <x:c r="C5035" t="str">
        <x:v>VG-21790</x:v>
      </x:c>
      <x:c r="D5035" t="str">
        <x:v>Vivek Gonzalez</x:v>
      </x:c>
      <x:c r="E5035" t="str">
        <x:v>Consumer</x:v>
      </x:c>
      <x:c r="F5035" t="str">
        <x:v>West</x:v>
      </x:c>
      <x:c r="G5035" t="str">
        <x:v>Office Supplies</x:v>
      </x:c>
      <x:c r="H5035" t="str">
        <x:v>Supplies</x:v>
      </x:c>
      <x:c r="I5035" s="22" t="n">
        <x:v>8.57</x:v>
      </x:c>
      <x:c r="J5035" s="24" t="n">
        <x:v>1</x:v>
      </x:c>
      <x:c r="K5035" s="26" t="n">
        <x:v>0</x:v>
      </x:c>
      <x:c r="L5035" s="22" t="n">
        <x:v>2.2282</x:v>
      </x:c>
      <x:c r="M5035" t="n">
        <x:v>2017</x:v>
      </x:c>
      <x:c r="N5035" s="20" t="n">
        <x:v>42736</x:v>
      </x:c>
    </x:row>
    <x:row r="5036" ht="18" customHeight="1">
      <x:c r="A5036" t="str">
        <x:v>CA-2017-139304</x:v>
      </x:c>
      <x:c r="B5036" s="18" t="n">
        <x:v>42764</x:v>
      </x:c>
      <x:c r="C5036" t="str">
        <x:v>VG-21790</x:v>
      </x:c>
      <x:c r="D5036" t="str">
        <x:v>Vivek Gonzalez</x:v>
      </x:c>
      <x:c r="E5036" t="str">
        <x:v>Consumer</x:v>
      </x:c>
      <x:c r="F5036" t="str">
        <x:v>West</x:v>
      </x:c>
      <x:c r="G5036" t="str">
        <x:v>Office Supplies</x:v>
      </x:c>
      <x:c r="H5036" t="str">
        <x:v>Binders</x:v>
      </x:c>
      <x:c r="I5036" s="22" t="n">
        <x:v>119.61600000000001</x:v>
      </x:c>
      <x:c r="J5036" s="24" t="n">
        <x:v>8</x:v>
      </x:c>
      <x:c r="K5036" s="26" t="n">
        <x:v>0.2</x:v>
      </x:c>
      <x:c r="L5036" s="22" t="n">
        <x:v>40.3704</x:v>
      </x:c>
      <x:c r="M5036" t="n">
        <x:v>2017</x:v>
      </x:c>
      <x:c r="N5036" s="20" t="n">
        <x:v>42736</x:v>
      </x:c>
    </x:row>
    <x:row r="5037" ht="18" customHeight="1">
      <x:c r="A5037" t="str">
        <x:v>CA-2016-155166</x:v>
      </x:c>
      <x:c r="B5037" s="18" t="n">
        <x:v>42730</x:v>
      </x:c>
      <x:c r="C5037" t="str">
        <x:v>BB-11545</x:v>
      </x:c>
      <x:c r="D5037" t="str">
        <x:v>Brenda Bowman</x:v>
      </x:c>
      <x:c r="E5037" t="str">
        <x:v>Corporate</x:v>
      </x:c>
      <x:c r="F5037" t="str">
        <x:v>East</x:v>
      </x:c>
      <x:c r="G5037" t="str">
        <x:v>Furniture</x:v>
      </x:c>
      <x:c r="H5037" t="str">
        <x:v>Chairs</x:v>
      </x:c>
      <x:c r="I5037" s="22" t="n">
        <x:v>212.94</x:v>
      </x:c>
      <x:c r="J5037" s="24" t="n">
        <x:v>3</x:v>
      </x:c>
      <x:c r="K5037" s="26" t="n">
        <x:v>0</x:v>
      </x:c>
      <x:c r="L5037" s="22" t="n">
        <x:v>25.552800000000005</x:v>
      </x:c>
      <x:c r="M5037" t="n">
        <x:v>2016</x:v>
      </x:c>
      <x:c r="N5037" s="20" t="n">
        <x:v>42705</x:v>
      </x:c>
    </x:row>
    <x:row r="5038" ht="18" customHeight="1">
      <x:c r="A5038" t="str">
        <x:v>CA-2016-155166</x:v>
      </x:c>
      <x:c r="B5038" s="18" t="n">
        <x:v>42730</x:v>
      </x:c>
      <x:c r="C5038" t="str">
        <x:v>BB-11545</x:v>
      </x:c>
      <x:c r="D5038" t="str">
        <x:v>Brenda Bowman</x:v>
      </x:c>
      <x:c r="E5038" t="str">
        <x:v>Corporate</x:v>
      </x:c>
      <x:c r="F5038" t="str">
        <x:v>East</x:v>
      </x:c>
      <x:c r="G5038" t="str">
        <x:v>Office Supplies</x:v>
      </x:c>
      <x:c r="H5038" t="str">
        <x:v>Appliances</x:v>
      </x:c>
      <x:c r="I5038" s="22" t="n">
        <x:v>26.49</x:v>
      </x:c>
      <x:c r="J5038" s="24" t="n">
        <x:v>1</x:v>
      </x:c>
      <x:c r="K5038" s="26" t="n">
        <x:v>0</x:v>
      </x:c>
      <x:c r="L5038" s="22" t="n">
        <x:v>7.417200000000001</x:v>
      </x:c>
      <x:c r="M5038" t="n">
        <x:v>2016</x:v>
      </x:c>
      <x:c r="N5038" s="20" t="n">
        <x:v>42705</x:v>
      </x:c>
    </x:row>
    <x:row r="5039" ht="18" customHeight="1">
      <x:c r="A5039" t="str">
        <x:v>CA-2015-103954</x:v>
      </x:c>
      <x:c r="B5039" s="18" t="n">
        <x:v>42225</x:v>
      </x:c>
      <x:c r="C5039" t="str">
        <x:v>HR-14770</x:v>
      </x:c>
      <x:c r="D5039" t="str">
        <x:v>Hallie Redmond</x:v>
      </x:c>
      <x:c r="E5039" t="str">
        <x:v>Home Office</x:v>
      </x:c>
      <x:c r="F5039" t="str">
        <x:v>Central</x:v>
      </x:c>
      <x:c r="G5039" t="str">
        <x:v>Furniture</x:v>
      </x:c>
      <x:c r="H5039" t="str">
        <x:v>Bookcases</x:v>
      </x:c>
      <x:c r="I5039" s="22" t="n">
        <x:v>687.4</x:v>
      </x:c>
      <x:c r="J5039" s="24" t="n">
        <x:v>5</x:v>
      </x:c>
      <x:c r="K5039" s="26" t="n">
        <x:v>0</x:v>
      </x:c>
      <x:c r="L5039" s="22" t="n">
        <x:v>48.11799999999998</x:v>
      </x:c>
      <x:c r="M5039" t="n">
        <x:v>2015</x:v>
      </x:c>
      <x:c r="N5039" s="20" t="n">
        <x:v>42217</x:v>
      </x:c>
    </x:row>
    <x:row r="5040" ht="18" customHeight="1">
      <x:c r="A5040" t="str">
        <x:v>CA-2014-169803</x:v>
      </x:c>
      <x:c r="B5040" s="18" t="n">
        <x:v>41735</x:v>
      </x:c>
      <x:c r="C5040" t="str">
        <x:v>SC-20260</x:v>
      </x:c>
      <x:c r="D5040" t="str">
        <x:v>Scott Cohen</x:v>
      </x:c>
      <x:c r="E5040" t="str">
        <x:v>Corporate</x:v>
      </x:c>
      <x:c r="F5040" t="str">
        <x:v>West</x:v>
      </x:c>
      <x:c r="G5040" t="str">
        <x:v>Furniture</x:v>
      </x:c>
      <x:c r="H5040" t="str">
        <x:v>Tables</x:v>
      </x:c>
      <x:c r="I5040" s="22" t="n">
        <x:v>653.55</x:v>
      </x:c>
      <x:c r="J5040" s="24" t="n">
        <x:v>3</x:v>
      </x:c>
      <x:c r="K5040" s="26" t="n">
        <x:v>0</x:v>
      </x:c>
      <x:c r="L5040" s="22" t="n">
        <x:v>111.10349999999994</x:v>
      </x:c>
      <x:c r="M5040" t="n">
        <x:v>2014</x:v>
      </x:c>
      <x:c r="N5040" s="20" t="n">
        <x:v>41730</x:v>
      </x:c>
    </x:row>
    <x:row r="5041" ht="18" customHeight="1">
      <x:c r="A5041" t="str">
        <x:v>CA-2014-169803</x:v>
      </x:c>
      <x:c r="B5041" s="18" t="n">
        <x:v>41735</x:v>
      </x:c>
      <x:c r="C5041" t="str">
        <x:v>SC-20260</x:v>
      </x:c>
      <x:c r="D5041" t="str">
        <x:v>Scott Cohen</x:v>
      </x:c>
      <x:c r="E5041" t="str">
        <x:v>Corporate</x:v>
      </x:c>
      <x:c r="F5041" t="str">
        <x:v>West</x:v>
      </x:c>
      <x:c r="G5041" t="str">
        <x:v>Technology</x:v>
      </x:c>
      <x:c r="H5041" t="str">
        <x:v>Accessories</x:v>
      </x:c>
      <x:c r="I5041" s="22" t="n">
        <x:v>33.9</x:v>
      </x:c>
      <x:c r="J5041" s="24" t="n">
        <x:v>2</x:v>
      </x:c>
      <x:c r="K5041" s="26" t="n">
        <x:v>0</x:v>
      </x:c>
      <x:c r="L5041" s="22" t="n">
        <x:v>2.033999999999999</x:v>
      </x:c>
      <x:c r="M5041" t="n">
        <x:v>2014</x:v>
      </x:c>
      <x:c r="N5041" s="20" t="n">
        <x:v>41730</x:v>
      </x:c>
    </x:row>
    <x:row r="5042" ht="18" customHeight="1">
      <x:c r="A5042" t="str">
        <x:v>CA-2017-141719</x:v>
      </x:c>
      <x:c r="B5042" s="18" t="n">
        <x:v>43056</x:v>
      </x:c>
      <x:c r="C5042" t="str">
        <x:v>EG-13900</x:v>
      </x:c>
      <x:c r="D5042" t="str">
        <x:v>Emily Grady</x:v>
      </x:c>
      <x:c r="E5042" t="str">
        <x:v>Consumer</x:v>
      </x:c>
      <x:c r="F5042" t="str">
        <x:v>Central</x:v>
      </x:c>
      <x:c r="G5042" t="str">
        <x:v>Technology</x:v>
      </x:c>
      <x:c r="H5042" t="str">
        <x:v>Accessories</x:v>
      </x:c>
      <x:c r="I5042" s="22" t="n">
        <x:v>239.96000000000004</x:v>
      </x:c>
      <x:c r="J5042" s="24" t="n">
        <x:v>5</x:v>
      </x:c>
      <x:c r="K5042" s="26" t="n">
        <x:v>0.2</x:v>
      </x:c>
      <x:c r="L5042" s="22" t="n">
        <x:v>83.98599999999999</x:v>
      </x:c>
      <x:c r="M5042" t="n">
        <x:v>2017</x:v>
      </x:c>
      <x:c r="N5042" s="20" t="n">
        <x:v>43040</x:v>
      </x:c>
    </x:row>
    <x:row r="5043" ht="18" customHeight="1">
      <x:c r="A5043" t="str">
        <x:v>CA-2015-136469</x:v>
      </x:c>
      <x:c r="B5043" s="18" t="n">
        <x:v>42196</x:v>
      </x:c>
      <x:c r="C5043" t="str">
        <x:v>TS-21370</x:v>
      </x:c>
      <x:c r="D5043" t="str">
        <x:v>Todd Sumrall</x:v>
      </x:c>
      <x:c r="E5043" t="str">
        <x:v>Corporate</x:v>
      </x:c>
      <x:c r="F5043" t="str">
        <x:v>East</x:v>
      </x:c>
      <x:c r="G5043" t="str">
        <x:v>Furniture</x:v>
      </x:c>
      <x:c r="H5043" t="str">
        <x:v>Tables</x:v>
      </x:c>
      <x:c r="I5043" s="22" t="n">
        <x:v>199.836</x:v>
      </x:c>
      <x:c r="J5043" s="24" t="n">
        <x:v>4</x:v>
      </x:c>
      <x:c r="K5043" s="26" t="n">
        <x:v>0.3</x:v>
      </x:c>
      <x:c r="L5043" s="22" t="n">
        <x:v>-37.11240000000004</x:v>
      </x:c>
      <x:c r="M5043" t="n">
        <x:v>2015</x:v>
      </x:c>
      <x:c r="N5043" s="20" t="n">
        <x:v>42186</x:v>
      </x:c>
    </x:row>
    <x:row r="5044" ht="18" customHeight="1">
      <x:c r="A5044" t="str">
        <x:v>CA-2015-136469</x:v>
      </x:c>
      <x:c r="B5044" s="18" t="n">
        <x:v>42196</x:v>
      </x:c>
      <x:c r="C5044" t="str">
        <x:v>TS-21370</x:v>
      </x:c>
      <x:c r="D5044" t="str">
        <x:v>Todd Sumrall</x:v>
      </x:c>
      <x:c r="E5044" t="str">
        <x:v>Corporate</x:v>
      </x:c>
      <x:c r="F5044" t="str">
        <x:v>East</x:v>
      </x:c>
      <x:c r="G5044" t="str">
        <x:v>Technology</x:v>
      </x:c>
      <x:c r="H5044" t="str">
        <x:v>Phones</x:v>
      </x:c>
      <x:c r="I5044" s="22" t="n">
        <x:v>716</x:v>
      </x:c>
      <x:c r="J5044" s="24" t="n">
        <x:v>2</x:v>
      </x:c>
      <x:c r="K5044" s="26" t="n">
        <x:v>0</x:v>
      </x:c>
      <x:c r="L5044" s="22" t="n">
        <x:v>193.32000000000005</x:v>
      </x:c>
      <x:c r="M5044" t="n">
        <x:v>2015</x:v>
      </x:c>
      <x:c r="N5044" s="20" t="n">
        <x:v>42186</x:v>
      </x:c>
    </x:row>
    <x:row r="5045" ht="18" customHeight="1">
      <x:c r="A5045" t="str">
        <x:v>CA-2015-136469</x:v>
      </x:c>
      <x:c r="B5045" s="18" t="n">
        <x:v>42196</x:v>
      </x:c>
      <x:c r="C5045" t="str">
        <x:v>TS-21370</x:v>
      </x:c>
      <x:c r="D5045" t="str">
        <x:v>Todd Sumrall</x:v>
      </x:c>
      <x:c r="E5045" t="str">
        <x:v>Corporate</x:v>
      </x:c>
      <x:c r="F5045" t="str">
        <x:v>East</x:v>
      </x:c>
      <x:c r="G5045" t="str">
        <x:v>Office Supplies</x:v>
      </x:c>
      <x:c r="H5045" t="str">
        <x:v>Binders</x:v>
      </x:c>
      <x:c r="I5045" s="22" t="n">
        <x:v>221.06</x:v>
      </x:c>
      <x:c r="J5045" s="24" t="n">
        <x:v>7</x:v>
      </x:c>
      <x:c r="K5045" s="26" t="n">
        <x:v>0</x:v>
      </x:c>
      <x:c r="L5045" s="22" t="n">
        <x:v>103.89819999999997</x:v>
      </x:c>
      <x:c r="M5045" t="n">
        <x:v>2015</x:v>
      </x:c>
      <x:c r="N5045" s="20" t="n">
        <x:v>42186</x:v>
      </x:c>
    </x:row>
    <x:row r="5046" ht="18" customHeight="1">
      <x:c r="A5046" t="str">
        <x:v>CA-2016-158694</x:v>
      </x:c>
      <x:c r="B5046" s="18" t="n">
        <x:v>42684</x:v>
      </x:c>
      <x:c r="C5046" t="str">
        <x:v>AI-10855</x:v>
      </x:c>
      <x:c r="D5046" t="str">
        <x:v>Arianne Irving</x:v>
      </x:c>
      <x:c r="E5046" t="str">
        <x:v>Consumer</x:v>
      </x:c>
      <x:c r="F5046" t="str">
        <x:v>West</x:v>
      </x:c>
      <x:c r="G5046" t="str">
        <x:v>Office Supplies</x:v>
      </x:c>
      <x:c r="H5046" t="str">
        <x:v>Paper</x:v>
      </x:c>
      <x:c r="I5046" s="22" t="n">
        <x:v>67.71000000000001</x:v>
      </x:c>
      <x:c r="J5046" s="24" t="n">
        <x:v>3</x:v>
      </x:c>
      <x:c r="K5046" s="26" t="n">
        <x:v>0</x:v>
      </x:c>
      <x:c r="L5046" s="22" t="n">
        <x:v>32.5008</x:v>
      </x:c>
      <x:c r="M5046" t="n">
        <x:v>2016</x:v>
      </x:c>
      <x:c r="N5046" s="20" t="n">
        <x:v>42675</x:v>
      </x:c>
    </x:row>
    <x:row r="5047" ht="18" customHeight="1">
      <x:c r="A5047" t="str">
        <x:v>CA-2016-158694</x:v>
      </x:c>
      <x:c r="B5047" s="18" t="n">
        <x:v>42684</x:v>
      </x:c>
      <x:c r="C5047" t="str">
        <x:v>AI-10855</x:v>
      </x:c>
      <x:c r="D5047" t="str">
        <x:v>Arianne Irving</x:v>
      </x:c>
      <x:c r="E5047" t="str">
        <x:v>Consumer</x:v>
      </x:c>
      <x:c r="F5047" t="str">
        <x:v>West</x:v>
      </x:c>
      <x:c r="G5047" t="str">
        <x:v>Office Supplies</x:v>
      </x:c>
      <x:c r="H5047" t="str">
        <x:v>Appliances</x:v>
      </x:c>
      <x:c r="I5047" s="22" t="n">
        <x:v>129.92</x:v>
      </x:c>
      <x:c r="J5047" s="24" t="n">
        <x:v>4</x:v>
      </x:c>
      <x:c r="K5047" s="26" t="n">
        <x:v>0</x:v>
      </x:c>
      <x:c r="L5047" s="22" t="n">
        <x:v>38.975999999999985</x:v>
      </x:c>
      <x:c r="M5047" t="n">
        <x:v>2016</x:v>
      </x:c>
      <x:c r="N5047" s="20" t="n">
        <x:v>42675</x:v>
      </x:c>
    </x:row>
    <x:row r="5048" ht="18" customHeight="1">
      <x:c r="A5048" t="str">
        <x:v>CA-2016-158694</x:v>
      </x:c>
      <x:c r="B5048" s="18" t="n">
        <x:v>42684</x:v>
      </x:c>
      <x:c r="C5048" t="str">
        <x:v>AI-10855</x:v>
      </x:c>
      <x:c r="D5048" t="str">
        <x:v>Arianne Irving</x:v>
      </x:c>
      <x:c r="E5048" t="str">
        <x:v>Consumer</x:v>
      </x:c>
      <x:c r="F5048" t="str">
        <x:v>West</x:v>
      </x:c>
      <x:c r="G5048" t="str">
        <x:v>Furniture</x:v>
      </x:c>
      <x:c r="H5048" t="str">
        <x:v>Furnishings</x:v>
      </x:c>
      <x:c r="I5048" s="22" t="n">
        <x:v>467.46</x:v>
      </x:c>
      <x:c r="J5048" s="24" t="n">
        <x:v>9</x:v>
      </x:c>
      <x:c r="K5048" s="26" t="n">
        <x:v>0</x:v>
      </x:c>
      <x:c r="L5048" s="22" t="n">
        <x:v>191.6586</x:v>
      </x:c>
      <x:c r="M5048" t="n">
        <x:v>2016</x:v>
      </x:c>
      <x:c r="N5048" s="20" t="n">
        <x:v>42675</x:v>
      </x:c>
    </x:row>
    <x:row r="5049" ht="18" customHeight="1">
      <x:c r="A5049" t="str">
        <x:v>CA-2016-158694</x:v>
      </x:c>
      <x:c r="B5049" s="18" t="n">
        <x:v>42684</x:v>
      </x:c>
      <x:c r="C5049" t="str">
        <x:v>AI-10855</x:v>
      </x:c>
      <x:c r="D5049" t="str">
        <x:v>Arianne Irving</x:v>
      </x:c>
      <x:c r="E5049" t="str">
        <x:v>Consumer</x:v>
      </x:c>
      <x:c r="F5049" t="str">
        <x:v>West</x:v>
      </x:c>
      <x:c r="G5049" t="str">
        <x:v>Office Supplies</x:v>
      </x:c>
      <x:c r="H5049" t="str">
        <x:v>Paper</x:v>
      </x:c>
      <x:c r="I5049" s="22" t="n">
        <x:v>61.4</x:v>
      </x:c>
      <x:c r="J5049" s="24" t="n">
        <x:v>5</x:v>
      </x:c>
      <x:c r="K5049" s="26" t="n">
        <x:v>0</x:v>
      </x:c>
      <x:c r="L5049" s="22" t="n">
        <x:v>28.857999999999997</x:v>
      </x:c>
      <x:c r="M5049" t="n">
        <x:v>2016</x:v>
      </x:c>
      <x:c r="N5049" s="20" t="n">
        <x:v>42675</x:v>
      </x:c>
    </x:row>
    <x:row r="5050" ht="18" customHeight="1">
      <x:c r="A5050" t="str">
        <x:v>CA-2016-158694</x:v>
      </x:c>
      <x:c r="B5050" s="18" t="n">
        <x:v>42684</x:v>
      </x:c>
      <x:c r="C5050" t="str">
        <x:v>AI-10855</x:v>
      </x:c>
      <x:c r="D5050" t="str">
        <x:v>Arianne Irving</x:v>
      </x:c>
      <x:c r="E5050" t="str">
        <x:v>Consumer</x:v>
      </x:c>
      <x:c r="F5050" t="str">
        <x:v>West</x:v>
      </x:c>
      <x:c r="G5050" t="str">
        <x:v>Office Supplies</x:v>
      </x:c>
      <x:c r="H5050" t="str">
        <x:v>Storage</x:v>
      </x:c>
      <x:c r="I5050" s="22" t="n">
        <x:v>720.76</x:v>
      </x:c>
      <x:c r="J5050" s="24" t="n">
        <x:v>4</x:v>
      </x:c>
      <x:c r="K5050" s="26" t="n">
        <x:v>0</x:v>
      </x:c>
      <x:c r="L5050" s="22" t="n">
        <x:v>187.3976</x:v>
      </x:c>
      <x:c r="M5050" t="n">
        <x:v>2016</x:v>
      </x:c>
      <x:c r="N5050" s="20" t="n">
        <x:v>42675</x:v>
      </x:c>
    </x:row>
    <x:row r="5051" ht="18" customHeight="1">
      <x:c r="A5051" t="str">
        <x:v>CA-2016-158694</x:v>
      </x:c>
      <x:c r="B5051" s="18" t="n">
        <x:v>42684</x:v>
      </x:c>
      <x:c r="C5051" t="str">
        <x:v>AI-10855</x:v>
      </x:c>
      <x:c r="D5051" t="str">
        <x:v>Arianne Irving</x:v>
      </x:c>
      <x:c r="E5051" t="str">
        <x:v>Consumer</x:v>
      </x:c>
      <x:c r="F5051" t="str">
        <x:v>West</x:v>
      </x:c>
      <x:c r="G5051" t="str">
        <x:v>Office Supplies</x:v>
      </x:c>
      <x:c r="H5051" t="str">
        <x:v>Binders</x:v>
      </x:c>
      <x:c r="I5051" s="22" t="n">
        <x:v>5.184000000000001</x:v>
      </x:c>
      <x:c r="J5051" s="24" t="n">
        <x:v>3</x:v>
      </x:c>
      <x:c r="K5051" s="26" t="n">
        <x:v>0.2</x:v>
      </x:c>
      <x:c r="L5051" s="22" t="n">
        <x:v>1.8143999999999996</x:v>
      </x:c>
      <x:c r="M5051" t="n">
        <x:v>2016</x:v>
      </x:c>
      <x:c r="N5051" s="20" t="n">
        <x:v>42675</x:v>
      </x:c>
    </x:row>
    <x:row r="5052" ht="18" customHeight="1">
      <x:c r="A5052" t="str">
        <x:v>CA-2016-158694</x:v>
      </x:c>
      <x:c r="B5052" s="18" t="n">
        <x:v>42684</x:v>
      </x:c>
      <x:c r="C5052" t="str">
        <x:v>AI-10855</x:v>
      </x:c>
      <x:c r="D5052" t="str">
        <x:v>Arianne Irving</x:v>
      </x:c>
      <x:c r="E5052" t="str">
        <x:v>Consumer</x:v>
      </x:c>
      <x:c r="F5052" t="str">
        <x:v>West</x:v>
      </x:c>
      <x:c r="G5052" t="str">
        <x:v>Office Supplies</x:v>
      </x:c>
      <x:c r="H5052" t="str">
        <x:v>Art</x:v>
      </x:c>
      <x:c r="I5052" s="22" t="n">
        <x:v>14.7</x:v>
      </x:c>
      <x:c r="J5052" s="24" t="n">
        <x:v>5</x:v>
      </x:c>
      <x:c r="K5052" s="26" t="n">
        <x:v>0</x:v>
      </x:c>
      <x:c r="L5052" s="22" t="n">
        <x:v>3.9690000000000003</x:v>
      </x:c>
      <x:c r="M5052" t="n">
        <x:v>2016</x:v>
      </x:c>
      <x:c r="N5052" s="20" t="n">
        <x:v>42675</x:v>
      </x:c>
    </x:row>
    <x:row r="5053" ht="18" customHeight="1">
      <x:c r="A5053" t="str">
        <x:v>US-2014-104759</x:v>
      </x:c>
      <x:c r="B5053" s="18" t="n">
        <x:v>41729</x:v>
      </x:c>
      <x:c r="C5053" t="str">
        <x:v>DD-13570</x:v>
      </x:c>
      <x:c r="D5053" t="str">
        <x:v>Dorothy Dickinson</x:v>
      </x:c>
      <x:c r="E5053" t="str">
        <x:v>Consumer</x:v>
      </x:c>
      <x:c r="F5053" t="str">
        <x:v>Central</x:v>
      </x:c>
      <x:c r="G5053" t="str">
        <x:v>Office Supplies</x:v>
      </x:c>
      <x:c r="H5053" t="str">
        <x:v>Binders</x:v>
      </x:c>
      <x:c r="I5053" s="22" t="n">
        <x:v>8.133999999999999</x:v>
      </x:c>
      <x:c r="J5053" s="24" t="n">
        <x:v>7</x:v>
      </x:c>
      <x:c r="K5053" s="26" t="n">
        <x:v>0.8</x:v>
      </x:c>
      <x:c r="L5053" s="22" t="n">
        <x:v>-13.827800000000003</x:v>
      </x:c>
      <x:c r="M5053" t="n">
        <x:v>2014</x:v>
      </x:c>
      <x:c r="N5053" s="20" t="n">
        <x:v>41699</x:v>
      </x:c>
    </x:row>
    <x:row r="5054" ht="18" customHeight="1">
      <x:c r="A5054" t="str">
        <x:v>US-2014-104759</x:v>
      </x:c>
      <x:c r="B5054" s="18" t="n">
        <x:v>41729</x:v>
      </x:c>
      <x:c r="C5054" t="str">
        <x:v>DD-13570</x:v>
      </x:c>
      <x:c r="D5054" t="str">
        <x:v>Dorothy Dickinson</x:v>
      </x:c>
      <x:c r="E5054" t="str">
        <x:v>Consumer</x:v>
      </x:c>
      <x:c r="F5054" t="str">
        <x:v>Central</x:v>
      </x:c>
      <x:c r="G5054" t="str">
        <x:v>Technology</x:v>
      </x:c>
      <x:c r="H5054" t="str">
        <x:v>Accessories</x:v>
      </x:c>
      <x:c r="I5054" s="22" t="n">
        <x:v>79.98400000000001</x:v>
      </x:c>
      <x:c r="J5054" s="24" t="n">
        <x:v>2</x:v>
      </x:c>
      <x:c r="K5054" s="26" t="n">
        <x:v>0.2</x:v>
      </x:c>
      <x:c r="L5054" s="22" t="n">
        <x:v>13.9972</x:v>
      </x:c>
      <x:c r="M5054" t="n">
        <x:v>2014</x:v>
      </x:c>
      <x:c r="N5054" s="20" t="n">
        <x:v>41699</x:v>
      </x:c>
    </x:row>
    <x:row r="5055" ht="18" customHeight="1">
      <x:c r="A5055" t="str">
        <x:v>CA-2015-150511</x:v>
      </x:c>
      <x:c r="B5055" s="18" t="n">
        <x:v>42265</x:v>
      </x:c>
      <x:c r="C5055" t="str">
        <x:v>AB-10060</x:v>
      </x:c>
      <x:c r="D5055" t="str">
        <x:v>Adam Bellavance</x:v>
      </x:c>
      <x:c r="E5055" t="str">
        <x:v>Home Office</x:v>
      </x:c>
      <x:c r="F5055" t="str">
        <x:v>West</x:v>
      </x:c>
      <x:c r="G5055" t="str">
        <x:v>Office Supplies</x:v>
      </x:c>
      <x:c r="H5055" t="str">
        <x:v>Paper</x:v>
      </x:c>
      <x:c r="I5055" s="22" t="n">
        <x:v>18.54</x:v>
      </x:c>
      <x:c r="J5055" s="24" t="n">
        <x:v>2</x:v>
      </x:c>
      <x:c r="K5055" s="26" t="n">
        <x:v>0</x:v>
      </x:c>
      <x:c r="L5055" s="22" t="n">
        <x:v>8.713799999999999</x:v>
      </x:c>
      <x:c r="M5055" t="n">
        <x:v>2015</x:v>
      </x:c>
      <x:c r="N5055" s="20" t="n">
        <x:v>42248</x:v>
      </x:c>
    </x:row>
    <x:row r="5056" ht="18" customHeight="1">
      <x:c r="A5056" t="str">
        <x:v>CA-2015-134922</x:v>
      </x:c>
      <x:c r="B5056" s="18" t="n">
        <x:v>42315</x:v>
      </x:c>
      <x:c r="C5056" t="str">
        <x:v>KB-16240</x:v>
      </x:c>
      <x:c r="D5056" t="str">
        <x:v>Karen Bern</x:v>
      </x:c>
      <x:c r="E5056" t="str">
        <x:v>Corporate</x:v>
      </x:c>
      <x:c r="F5056" t="str">
        <x:v>East</x:v>
      </x:c>
      <x:c r="G5056" t="str">
        <x:v>Office Supplies</x:v>
      </x:c>
      <x:c r="H5056" t="str">
        <x:v>Envelopes</x:v>
      </x:c>
      <x:c r="I5056" s="22" t="n">
        <x:v>24.400000000000002</x:v>
      </x:c>
      <x:c r="J5056" s="24" t="n">
        <x:v>2</x:v>
      </x:c>
      <x:c r="K5056" s="26" t="n">
        <x:v>0.2</x:v>
      </x:c>
      <x:c r="L5056" s="22" t="n">
        <x:v>7.929999999999997</x:v>
      </x:c>
      <x:c r="M5056" t="n">
        <x:v>2015</x:v>
      </x:c>
      <x:c r="N5056" s="20" t="n">
        <x:v>42309</x:v>
      </x:c>
    </x:row>
    <x:row r="5057" ht="18" customHeight="1">
      <x:c r="A5057" t="str">
        <x:v>US-2017-120607</x:v>
      </x:c>
      <x:c r="B5057" s="18" t="n">
        <x:v>42874</x:v>
      </x:c>
      <x:c r="C5057" t="str">
        <x:v>JC-15775</x:v>
      </x:c>
      <x:c r="D5057" t="str">
        <x:v>John Castell</x:v>
      </x:c>
      <x:c r="E5057" t="str">
        <x:v>Consumer</x:v>
      </x:c>
      <x:c r="F5057" t="str">
        <x:v>South</x:v>
      </x:c>
      <x:c r="G5057" t="str">
        <x:v>Office Supplies</x:v>
      </x:c>
      <x:c r="H5057" t="str">
        <x:v>Paper</x:v>
      </x:c>
      <x:c r="I5057" s="22" t="n">
        <x:v>195.64</x:v>
      </x:c>
      <x:c r="J5057" s="24" t="n">
        <x:v>4</x:v>
      </x:c>
      <x:c r="K5057" s="26" t="n">
        <x:v>0</x:v>
      </x:c>
      <x:c r="L5057" s="22" t="n">
        <x:v>91.95079999999999</x:v>
      </x:c>
      <x:c r="M5057" t="n">
        <x:v>2017</x:v>
      </x:c>
      <x:c r="N5057" s="20" t="n">
        <x:v>42856</x:v>
      </x:c>
    </x:row>
    <x:row r="5058" ht="18" customHeight="1">
      <x:c r="A5058" t="str">
        <x:v>CA-2015-141243</x:v>
      </x:c>
      <x:c r="B5058" s="18" t="n">
        <x:v>42007</x:v>
      </x:c>
      <x:c r="C5058" t="str">
        <x:v>AH-10465</x:v>
      </x:c>
      <x:c r="D5058" t="str">
        <x:v>Amy Hunt</x:v>
      </x:c>
      <x:c r="E5058" t="str">
        <x:v>Consumer</x:v>
      </x:c>
      <x:c r="F5058" t="str">
        <x:v>Central</x:v>
      </x:c>
      <x:c r="G5058" t="str">
        <x:v>Technology</x:v>
      </x:c>
      <x:c r="H5058" t="str">
        <x:v>Accessories</x:v>
      </x:c>
      <x:c r="I5058" s="22" t="n">
        <x:v>398.40000000000003</x:v>
      </x:c>
      <x:c r="J5058" s="24" t="n">
        <x:v>5</x:v>
      </x:c>
      <x:c r="K5058" s="26" t="n">
        <x:v>0.2</x:v>
      </x:c>
      <x:c r="L5058" s="22" t="n">
        <x:v>84.65999999999998</x:v>
      </x:c>
      <x:c r="M5058" t="n">
        <x:v>2015</x:v>
      </x:c>
      <x:c r="N5058" s="20" t="n">
        <x:v>42005</x:v>
      </x:c>
    </x:row>
    <x:row r="5059" ht="18" customHeight="1">
      <x:c r="A5059" t="str">
        <x:v>CA-2015-141243</x:v>
      </x:c>
      <x:c r="B5059" s="18" t="n">
        <x:v>42007</x:v>
      </x:c>
      <x:c r="C5059" t="str">
        <x:v>AH-10465</x:v>
      </x:c>
      <x:c r="D5059" t="str">
        <x:v>Amy Hunt</x:v>
      </x:c>
      <x:c r="E5059" t="str">
        <x:v>Consumer</x:v>
      </x:c>
      <x:c r="F5059" t="str">
        <x:v>Central</x:v>
      </x:c>
      <x:c r="G5059" t="str">
        <x:v>Office Supplies</x:v>
      </x:c>
      <x:c r="H5059" t="str">
        <x:v>Art</x:v>
      </x:c>
      <x:c r="I5059" s="22" t="n">
        <x:v>7.055999999999999</x:v>
      </x:c>
      <x:c r="J5059" s="24" t="n">
        <x:v>3</x:v>
      </x:c>
      <x:c r="K5059" s="26" t="n">
        <x:v>0.2</x:v>
      </x:c>
      <x:c r="L5059" s="22" t="n">
        <x:v>0.7937999999999996</x:v>
      </x:c>
      <x:c r="M5059" t="n">
        <x:v>2015</x:v>
      </x:c>
      <x:c r="N5059" s="20" t="n">
        <x:v>42005</x:v>
      </x:c>
    </x:row>
    <x:row r="5060" ht="18" customHeight="1">
      <x:c r="A5060" t="str">
        <x:v>CA-2015-141243</x:v>
      </x:c>
      <x:c r="B5060" s="18" t="n">
        <x:v>42007</x:v>
      </x:c>
      <x:c r="C5060" t="str">
        <x:v>AH-10465</x:v>
      </x:c>
      <x:c r="D5060" t="str">
        <x:v>Amy Hunt</x:v>
      </x:c>
      <x:c r="E5060" t="str">
        <x:v>Consumer</x:v>
      </x:c>
      <x:c r="F5060" t="str">
        <x:v>Central</x:v>
      </x:c>
      <x:c r="G5060" t="str">
        <x:v>Furniture</x:v>
      </x:c>
      <x:c r="H5060" t="str">
        <x:v>Bookcases</x:v>
      </x:c>
      <x:c r="I5060" s="22" t="n">
        <x:v>1352.3975999999998</x:v>
      </x:c>
      <x:c r="J5060" s="24" t="n">
        <x:v>9</x:v>
      </x:c>
      <x:c r="K5060" s="26" t="n">
        <x:v>0.32</x:v>
      </x:c>
      <x:c r="L5060" s="22" t="n">
        <x:v>-437.5404000000002</x:v>
      </x:c>
      <x:c r="M5060" t="n">
        <x:v>2015</x:v>
      </x:c>
      <x:c r="N5060" s="20" t="n">
        <x:v>42005</x:v>
      </x:c>
    </x:row>
    <x:row r="5061" ht="18" customHeight="1">
      <x:c r="A5061" t="str">
        <x:v>CA-2015-162166</x:v>
      </x:c>
      <x:c r="B5061" s="18" t="n">
        <x:v>42255</x:v>
      </x:c>
      <x:c r="C5061" t="str">
        <x:v>NM-18520</x:v>
      </x:c>
      <x:c r="D5061" t="str">
        <x:v>Neoma Murray</x:v>
      </x:c>
      <x:c r="E5061" t="str">
        <x:v>Consumer</x:v>
      </x:c>
      <x:c r="F5061" t="str">
        <x:v>West</x:v>
      </x:c>
      <x:c r="G5061" t="str">
        <x:v>Office Supplies</x:v>
      </x:c>
      <x:c r="H5061" t="str">
        <x:v>Paper</x:v>
      </x:c>
      <x:c r="I5061" s="22" t="n">
        <x:v>26.400000000000002</x:v>
      </x:c>
      <x:c r="J5061" s="24" t="n">
        <x:v>5</x:v>
      </x:c>
      <x:c r="K5061" s="26" t="n">
        <x:v>0</x:v>
      </x:c>
      <x:c r="L5061" s="22" t="n">
        <x:v>11.879999999999999</x:v>
      </x:c>
      <x:c r="M5061" t="n">
        <x:v>2015</x:v>
      </x:c>
      <x:c r="N5061" s="20" t="n">
        <x:v>42248</x:v>
      </x:c>
    </x:row>
    <x:row r="5062" ht="18" customHeight="1">
      <x:c r="A5062" t="str">
        <x:v>CA-2015-162166</x:v>
      </x:c>
      <x:c r="B5062" s="18" t="n">
        <x:v>42255</x:v>
      </x:c>
      <x:c r="C5062" t="str">
        <x:v>NM-18520</x:v>
      </x:c>
      <x:c r="D5062" t="str">
        <x:v>Neoma Murray</x:v>
      </x:c>
      <x:c r="E5062" t="str">
        <x:v>Consumer</x:v>
      </x:c>
      <x:c r="F5062" t="str">
        <x:v>West</x:v>
      </x:c>
      <x:c r="G5062" t="str">
        <x:v>Office Supplies</x:v>
      </x:c>
      <x:c r="H5062" t="str">
        <x:v>Storage</x:v>
      </x:c>
      <x:c r="I5062" s="22" t="n">
        <x:v>41.88</x:v>
      </x:c>
      <x:c r="J5062" s="24" t="n">
        <x:v>6</x:v>
      </x:c>
      <x:c r="K5062" s="26" t="n">
        <x:v>0</x:v>
      </x:c>
      <x:c r="L5062" s="22" t="n">
        <x:v>0.8375999999999983</x:v>
      </x:c>
      <x:c r="M5062" t="n">
        <x:v>2015</x:v>
      </x:c>
      <x:c r="N5062" s="20" t="n">
        <x:v>42248</x:v>
      </x:c>
    </x:row>
    <x:row r="5063" ht="18" customHeight="1">
      <x:c r="A5063" t="str">
        <x:v>CA-2016-120796</x:v>
      </x:c>
      <x:c r="B5063" s="18" t="n">
        <x:v>42463</x:v>
      </x:c>
      <x:c r="C5063" t="str">
        <x:v>CS-11950</x:v>
      </x:c>
      <x:c r="D5063" t="str">
        <x:v>Carlos Soltero</x:v>
      </x:c>
      <x:c r="E5063" t="str">
        <x:v>Consumer</x:v>
      </x:c>
      <x:c r="F5063" t="str">
        <x:v>East</x:v>
      </x:c>
      <x:c r="G5063" t="str">
        <x:v>Office Supplies</x:v>
      </x:c>
      <x:c r="H5063" t="str">
        <x:v>Binders</x:v>
      </x:c>
      <x:c r="I5063" s="22" t="n">
        <x:v>99.846</x:v>
      </x:c>
      <x:c r="J5063" s="24" t="n">
        <x:v>9</x:v>
      </x:c>
      <x:c r="K5063" s="26" t="n">
        <x:v>0.7</x:v>
      </x:c>
      <x:c r="L5063" s="22" t="n">
        <x:v>-83.20499999999998</x:v>
      </x:c>
      <x:c r="M5063" t="n">
        <x:v>2016</x:v>
      </x:c>
      <x:c r="N5063" s="20" t="n">
        <x:v>42461</x:v>
      </x:c>
    </x:row>
    <x:row r="5064" ht="18" customHeight="1">
      <x:c r="A5064" t="str">
        <x:v>CA-2016-109722</x:v>
      </x:c>
      <x:c r="B5064" s="18" t="n">
        <x:v>42709</x:v>
      </x:c>
      <x:c r="C5064" t="str">
        <x:v>TP-21130</x:v>
      </x:c>
      <x:c r="D5064" t="str">
        <x:v>Theone Pippenger</x:v>
      </x:c>
      <x:c r="E5064" t="str">
        <x:v>Consumer</x:v>
      </x:c>
      <x:c r="F5064" t="str">
        <x:v>South</x:v>
      </x:c>
      <x:c r="G5064" t="str">
        <x:v>Technology</x:v>
      </x:c>
      <x:c r="H5064" t="str">
        <x:v>Phones</x:v>
      </x:c>
      <x:c r="I5064" s="22" t="n">
        <x:v>699.98</x:v>
      </x:c>
      <x:c r="J5064" s="24" t="n">
        <x:v>2</x:v>
      </x:c>
      <x:c r="K5064" s="26" t="n">
        <x:v>0</x:v>
      </x:c>
      <x:c r="L5064" s="22" t="n">
        <x:v>195.99440000000004</x:v>
      </x:c>
      <x:c r="M5064" t="n">
        <x:v>2016</x:v>
      </x:c>
      <x:c r="N5064" s="20" t="n">
        <x:v>42705</x:v>
      </x:c>
    </x:row>
    <x:row r="5065" ht="18" customHeight="1">
      <x:c r="A5065" t="str">
        <x:v>CA-2016-109722</x:v>
      </x:c>
      <x:c r="B5065" s="18" t="n">
        <x:v>42709</x:v>
      </x:c>
      <x:c r="C5065" t="str">
        <x:v>TP-21130</x:v>
      </x:c>
      <x:c r="D5065" t="str">
        <x:v>Theone Pippenger</x:v>
      </x:c>
      <x:c r="E5065" t="str">
        <x:v>Consumer</x:v>
      </x:c>
      <x:c r="F5065" t="str">
        <x:v>South</x:v>
      </x:c>
      <x:c r="G5065" t="str">
        <x:v>Office Supplies</x:v>
      </x:c>
      <x:c r="H5065" t="str">
        <x:v>Storage</x:v>
      </x:c>
      <x:c r="I5065" s="22" t="n">
        <x:v>584.82</x:v>
      </x:c>
      <x:c r="J5065" s="24" t="n">
        <x:v>9</x:v>
      </x:c>
      <x:c r="K5065" s="26" t="n">
        <x:v>0</x:v>
      </x:c>
      <x:c r="L5065" s="22" t="n">
        <x:v>70.17840000000002</x:v>
      </x:c>
      <x:c r="M5065" t="n">
        <x:v>2016</x:v>
      </x:c>
      <x:c r="N5065" s="20" t="n">
        <x:v>42705</x:v>
      </x:c>
    </x:row>
    <x:row r="5066" ht="18" customHeight="1">
      <x:c r="A5066" t="str">
        <x:v>CA-2015-136798</x:v>
      </x:c>
      <x:c r="B5066" s="18" t="n">
        <x:v>42132</x:v>
      </x:c>
      <x:c r="C5066" t="str">
        <x:v>DL-12925</x:v>
      </x:c>
      <x:c r="D5066" t="str">
        <x:v>Daniel Lacy</x:v>
      </x:c>
      <x:c r="E5066" t="str">
        <x:v>Consumer</x:v>
      </x:c>
      <x:c r="F5066" t="str">
        <x:v>Central</x:v>
      </x:c>
      <x:c r="G5066" t="str">
        <x:v>Office Supplies</x:v>
      </x:c>
      <x:c r="H5066" t="str">
        <x:v>Binders</x:v>
      </x:c>
      <x:c r="I5066" s="22" t="n">
        <x:v>43.98</x:v>
      </x:c>
      <x:c r="J5066" s="24" t="n">
        <x:v>2</x:v>
      </x:c>
      <x:c r="K5066" s="26" t="n">
        <x:v>0</x:v>
      </x:c>
      <x:c r="L5066" s="22" t="n">
        <x:v>21.99</x:v>
      </x:c>
      <x:c r="M5066" t="n">
        <x:v>2015</x:v>
      </x:c>
      <x:c r="N5066" s="20" t="n">
        <x:v>42125</x:v>
      </x:c>
    </x:row>
    <x:row r="5067" ht="18" customHeight="1">
      <x:c r="A5067" t="str">
        <x:v>CA-2015-136798</x:v>
      </x:c>
      <x:c r="B5067" s="18" t="n">
        <x:v>42132</x:v>
      </x:c>
      <x:c r="C5067" t="str">
        <x:v>DL-12925</x:v>
      </x:c>
      <x:c r="D5067" t="str">
        <x:v>Daniel Lacy</x:v>
      </x:c>
      <x:c r="E5067" t="str">
        <x:v>Consumer</x:v>
      </x:c>
      <x:c r="F5067" t="str">
        <x:v>Central</x:v>
      </x:c>
      <x:c r="G5067" t="str">
        <x:v>Technology</x:v>
      </x:c>
      <x:c r="H5067" t="str">
        <x:v>Phones</x:v>
      </x:c>
      <x:c r="I5067" s="22" t="n">
        <x:v>377.96999999999997</x:v>
      </x:c>
      <x:c r="J5067" s="24" t="n">
        <x:v>3</x:v>
      </x:c>
      <x:c r="K5067" s="26" t="n">
        <x:v>0</x:v>
      </x:c>
      <x:c r="L5067" s="22" t="n">
        <x:v>105.83160000000002</x:v>
      </x:c>
      <x:c r="M5067" t="n">
        <x:v>2015</x:v>
      </x:c>
      <x:c r="N5067" s="20" t="n">
        <x:v>42125</x:v>
      </x:c>
    </x:row>
    <x:row r="5068" ht="18" customHeight="1">
      <x:c r="A5068" t="str">
        <x:v>CA-2015-136798</x:v>
      </x:c>
      <x:c r="B5068" s="18" t="n">
        <x:v>42132</x:v>
      </x:c>
      <x:c r="C5068" t="str">
        <x:v>DL-12925</x:v>
      </x:c>
      <x:c r="D5068" t="str">
        <x:v>Daniel Lacy</x:v>
      </x:c>
      <x:c r="E5068" t="str">
        <x:v>Consumer</x:v>
      </x:c>
      <x:c r="F5068" t="str">
        <x:v>Central</x:v>
      </x:c>
      <x:c r="G5068" t="str">
        <x:v>Furniture</x:v>
      </x:c>
      <x:c r="H5068" t="str">
        <x:v>Furnishings</x:v>
      </x:c>
      <x:c r="I5068" s="22" t="n">
        <x:v>123.96000000000001</x:v>
      </x:c>
      <x:c r="J5068" s="24" t="n">
        <x:v>3</x:v>
      </x:c>
      <x:c r="K5068" s="26" t="n">
        <x:v>0</x:v>
      </x:c>
      <x:c r="L5068" s="22" t="n">
        <x:v>11.156400000000005</x:v>
      </x:c>
      <x:c r="M5068" t="n">
        <x:v>2015</x:v>
      </x:c>
      <x:c r="N5068" s="20" t="n">
        <x:v>42125</x:v>
      </x:c>
    </x:row>
    <x:row r="5069" ht="18" customHeight="1">
      <x:c r="A5069" t="str">
        <x:v>CA-2017-122196</x:v>
      </x:c>
      <x:c r="B5069" s="18" t="n">
        <x:v>43000</x:v>
      </x:c>
      <x:c r="C5069" t="str">
        <x:v>CA-12265</x:v>
      </x:c>
      <x:c r="D5069" t="str">
        <x:v>Christina Anderson</x:v>
      </x:c>
      <x:c r="E5069" t="str">
        <x:v>Consumer</x:v>
      </x:c>
      <x:c r="F5069" t="str">
        <x:v>East</x:v>
      </x:c>
      <x:c r="G5069" t="str">
        <x:v>Technology</x:v>
      </x:c>
      <x:c r="H5069" t="str">
        <x:v>Phones</x:v>
      </x:c>
      <x:c r="I5069" s="22" t="n">
        <x:v>391.98</x:v>
      </x:c>
      <x:c r="J5069" s="24" t="n">
        <x:v>2</x:v>
      </x:c>
      <x:c r="K5069" s="26" t="n">
        <x:v>0</x:v>
      </x:c>
      <x:c r="L5069" s="22" t="n">
        <x:v>113.67419999999998</x:v>
      </x:c>
      <x:c r="M5069" t="n">
        <x:v>2017</x:v>
      </x:c>
      <x:c r="N5069" s="20" t="n">
        <x:v>42979</x:v>
      </x:c>
    </x:row>
    <x:row r="5070" ht="18" customHeight="1">
      <x:c r="A5070" t="str">
        <x:v>CA-2017-142090</x:v>
      </x:c>
      <x:c r="B5070" s="18" t="n">
        <x:v>43069</x:v>
      </x:c>
      <x:c r="C5070" t="str">
        <x:v>SC-20380</x:v>
      </x:c>
      <x:c r="D5070" t="str">
        <x:v>Shahid Collister</x:v>
      </x:c>
      <x:c r="E5070" t="str">
        <x:v>Consumer</x:v>
      </x:c>
      <x:c r="F5070" t="str">
        <x:v>South</x:v>
      </x:c>
      <x:c r="G5070" t="str">
        <x:v>Technology</x:v>
      </x:c>
      <x:c r="H5070" t="str">
        <x:v>Accessories</x:v>
      </x:c>
      <x:c r="I5070" s="22" t="n">
        <x:v>383.97600000000006</x:v>
      </x:c>
      <x:c r="J5070" s="24" t="n">
        <x:v>3</x:v>
      </x:c>
      <x:c r="K5070" s="26" t="n">
        <x:v>0.2</x:v>
      </x:c>
      <x:c r="L5070" s="22" t="n">
        <x:v>81.59490000000001</x:v>
      </x:c>
      <x:c r="M5070" t="n">
        <x:v>2017</x:v>
      </x:c>
      <x:c r="N5070" s="20" t="n">
        <x:v>43040</x:v>
      </x:c>
    </x:row>
    <x:row r="5071" ht="18" customHeight="1">
      <x:c r="A5071" t="str">
        <x:v>CA-2017-142090</x:v>
      </x:c>
      <x:c r="B5071" s="18" t="n">
        <x:v>43069</x:v>
      </x:c>
      <x:c r="C5071" t="str">
        <x:v>SC-20380</x:v>
      </x:c>
      <x:c r="D5071" t="str">
        <x:v>Shahid Collister</x:v>
      </x:c>
      <x:c r="E5071" t="str">
        <x:v>Consumer</x:v>
      </x:c>
      <x:c r="F5071" t="str">
        <x:v>South</x:v>
      </x:c>
      <x:c r="G5071" t="str">
        <x:v>Furniture</x:v>
      </x:c>
      <x:c r="H5071" t="str">
        <x:v>Tables</x:v>
      </x:c>
      <x:c r="I5071" s="22" t="n">
        <x:v>1781.6819999999998</x:v>
      </x:c>
      <x:c r="J5071" s="24" t="n">
        <x:v>7</x:v>
      </x:c>
      <x:c r="K5071" s="26" t="n">
        <x:v>0.4</x:v>
      </x:c>
      <x:c r="L5071" s="22" t="n">
        <x:v>-653.2834</x:v>
      </x:c>
      <x:c r="M5071" t="n">
        <x:v>2017</x:v>
      </x:c>
      <x:c r="N5071" s="20" t="n">
        <x:v>43040</x:v>
      </x:c>
    </x:row>
    <x:row r="5072" ht="18" customHeight="1">
      <x:c r="A5072" t="str">
        <x:v>CA-2017-160934</x:v>
      </x:c>
      <x:c r="B5072" s="18" t="n">
        <x:v>42750</x:v>
      </x:c>
      <x:c r="C5072" t="str">
        <x:v>TT-21460</x:v>
      </x:c>
      <x:c r="D5072" t="str">
        <x:v>Tonja Turnell</x:v>
      </x:c>
      <x:c r="E5072" t="str">
        <x:v>Home Office</x:v>
      </x:c>
      <x:c r="F5072" t="str">
        <x:v>West</x:v>
      </x:c>
      <x:c r="G5072" t="str">
        <x:v>Office Supplies</x:v>
      </x:c>
      <x:c r="H5072" t="str">
        <x:v>Art</x:v>
      </x:c>
      <x:c r="I5072" s="22" t="n">
        <x:v>21.400000000000002</x:v>
      </x:c>
      <x:c r="J5072" s="24" t="n">
        <x:v>5</x:v>
      </x:c>
      <x:c r="K5072" s="26" t="n">
        <x:v>0</x:v>
      </x:c>
      <x:c r="L5072" s="22" t="n">
        <x:v>6.205999999999998</x:v>
      </x:c>
      <x:c r="M5072" t="n">
        <x:v>2017</x:v>
      </x:c>
      <x:c r="N5072" s="20" t="n">
        <x:v>42736</x:v>
      </x:c>
    </x:row>
    <x:row r="5073" ht="18" customHeight="1">
      <x:c r="A5073" t="str">
        <x:v>CA-2014-124478</x:v>
      </x:c>
      <x:c r="B5073" s="18" t="n">
        <x:v>41859</x:v>
      </x:c>
      <x:c r="C5073" t="str">
        <x:v>MA-17560</x:v>
      </x:c>
      <x:c r="D5073" t="str">
        <x:v>Matt Abelman</x:v>
      </x:c>
      <x:c r="E5073" t="str">
        <x:v>Home Office</x:v>
      </x:c>
      <x:c r="F5073" t="str">
        <x:v>Central</x:v>
      </x:c>
      <x:c r="G5073" t="str">
        <x:v>Technology</x:v>
      </x:c>
      <x:c r="H5073" t="str">
        <x:v>Copiers</x:v>
      </x:c>
      <x:c r="I5073" s="22" t="n">
        <x:v>549.99</x:v>
      </x:c>
      <x:c r="J5073" s="24" t="n">
        <x:v>1</x:v>
      </x:c>
      <x:c r="K5073" s="26" t="n">
        <x:v>0</x:v>
      </x:c>
      <x:c r="L5073" s="22" t="n">
        <x:v>274.995</x:v>
      </x:c>
      <x:c r="M5073" t="n">
        <x:v>2014</x:v>
      </x:c>
      <x:c r="N5073" s="20" t="n">
        <x:v>41852</x:v>
      </x:c>
    </x:row>
    <x:row r="5074" ht="18" customHeight="1">
      <x:c r="A5074" t="str">
        <x:v>CA-2014-124478</x:v>
      </x:c>
      <x:c r="B5074" s="18" t="n">
        <x:v>41859</x:v>
      </x:c>
      <x:c r="C5074" t="str">
        <x:v>MA-17560</x:v>
      </x:c>
      <x:c r="D5074" t="str">
        <x:v>Matt Abelman</x:v>
      </x:c>
      <x:c r="E5074" t="str">
        <x:v>Home Office</x:v>
      </x:c>
      <x:c r="F5074" t="str">
        <x:v>Central</x:v>
      </x:c>
      <x:c r="G5074" t="str">
        <x:v>Office Supplies</x:v>
      </x:c>
      <x:c r="H5074" t="str">
        <x:v>Appliances</x:v>
      </x:c>
      <x:c r="I5074" s="22" t="n">
        <x:v>167.535</x:v>
      </x:c>
      <x:c r="J5074" s="24" t="n">
        <x:v>3</x:v>
      </x:c>
      <x:c r="K5074" s="26" t="n">
        <x:v>0.1</x:v>
      </x:c>
      <x:c r="L5074" s="22" t="n">
        <x:v>37.22999999999998</x:v>
      </x:c>
      <x:c r="M5074" t="n">
        <x:v>2014</x:v>
      </x:c>
      <x:c r="N5074" s="20" t="n">
        <x:v>41852</x:v>
      </x:c>
    </x:row>
    <x:row r="5075" ht="18" customHeight="1">
      <x:c r="A5075" t="str">
        <x:v>CA-2014-124478</x:v>
      </x:c>
      <x:c r="B5075" s="18" t="n">
        <x:v>41859</x:v>
      </x:c>
      <x:c r="C5075" t="str">
        <x:v>MA-17560</x:v>
      </x:c>
      <x:c r="D5075" t="str">
        <x:v>Matt Abelman</x:v>
      </x:c>
      <x:c r="E5075" t="str">
        <x:v>Home Office</x:v>
      </x:c>
      <x:c r="F5075" t="str">
        <x:v>Central</x:v>
      </x:c>
      <x:c r="G5075" t="str">
        <x:v>Office Supplies</x:v>
      </x:c>
      <x:c r="H5075" t="str">
        <x:v>Envelopes</x:v>
      </x:c>
      <x:c r="I5075" s="22" t="n">
        <x:v>38.339999999999996</x:v>
      </x:c>
      <x:c r="J5075" s="24" t="n">
        <x:v>3</x:v>
      </x:c>
      <x:c r="K5075" s="26" t="n">
        <x:v>0</x:v>
      </x:c>
      <x:c r="L5075" s="22" t="n">
        <x:v>17.253</x:v>
      </x:c>
      <x:c r="M5075" t="n">
        <x:v>2014</x:v>
      </x:c>
      <x:c r="N5075" s="20" t="n">
        <x:v>41852</x:v>
      </x:c>
    </x:row>
    <x:row r="5076" ht="18" customHeight="1">
      <x:c r="A5076" t="str">
        <x:v>CA-2014-124478</x:v>
      </x:c>
      <x:c r="B5076" s="18" t="n">
        <x:v>41859</x:v>
      </x:c>
      <x:c r="C5076" t="str">
        <x:v>MA-17560</x:v>
      </x:c>
      <x:c r="D5076" t="str">
        <x:v>Matt Abelman</x:v>
      </x:c>
      <x:c r="E5076" t="str">
        <x:v>Home Office</x:v>
      </x:c>
      <x:c r="F5076" t="str">
        <x:v>Central</x:v>
      </x:c>
      <x:c r="G5076" t="str">
        <x:v>Furniture</x:v>
      </x:c>
      <x:c r="H5076" t="str">
        <x:v>Furnishings</x:v>
      </x:c>
      <x:c r="I5076" s="22" t="n">
        <x:v>53.88</x:v>
      </x:c>
      <x:c r="J5076" s="24" t="n">
        <x:v>6</x:v>
      </x:c>
      <x:c r="K5076" s="26" t="n">
        <x:v>0</x:v>
      </x:c>
      <x:c r="L5076" s="22" t="n">
        <x:v>22.629600000000003</x:v>
      </x:c>
      <x:c r="M5076" t="n">
        <x:v>2014</x:v>
      </x:c>
      <x:c r="N5076" s="20" t="n">
        <x:v>41852</x:v>
      </x:c>
    </x:row>
    <x:row r="5077" ht="18" customHeight="1">
      <x:c r="A5077" t="str">
        <x:v>CA-2014-124478</x:v>
      </x:c>
      <x:c r="B5077" s="18" t="n">
        <x:v>41859</x:v>
      </x:c>
      <x:c r="C5077" t="str">
        <x:v>MA-17560</x:v>
      </x:c>
      <x:c r="D5077" t="str">
        <x:v>Matt Abelman</x:v>
      </x:c>
      <x:c r="E5077" t="str">
        <x:v>Home Office</x:v>
      </x:c>
      <x:c r="F5077" t="str">
        <x:v>Central</x:v>
      </x:c>
      <x:c r="G5077" t="str">
        <x:v>Technology</x:v>
      </x:c>
      <x:c r="H5077" t="str">
        <x:v>Phones</x:v>
      </x:c>
      <x:c r="I5077" s="22" t="n">
        <x:v>299.98</x:v>
      </x:c>
      <x:c r="J5077" s="24" t="n">
        <x:v>2</x:v>
      </x:c>
      <x:c r="K5077" s="26" t="n">
        <x:v>0</x:v>
      </x:c>
      <x:c r="L5077" s="22" t="n">
        <x:v>83.99440000000001</x:v>
      </x:c>
      <x:c r="M5077" t="n">
        <x:v>2014</x:v>
      </x:c>
      <x:c r="N5077" s="20" t="n">
        <x:v>41852</x:v>
      </x:c>
    </x:row>
    <x:row r="5078" ht="18" customHeight="1">
      <x:c r="A5078" t="str">
        <x:v>CA-2015-145485</x:v>
      </x:c>
      <x:c r="B5078" s="18" t="n">
        <x:v>42313</x:v>
      </x:c>
      <x:c r="C5078" t="str">
        <x:v>JM-16195</x:v>
      </x:c>
      <x:c r="D5078" t="str">
        <x:v>Justin MacKendrick</x:v>
      </x:c>
      <x:c r="E5078" t="str">
        <x:v>Consumer</x:v>
      </x:c>
      <x:c r="F5078" t="str">
        <x:v>West</x:v>
      </x:c>
      <x:c r="G5078" t="str">
        <x:v>Office Supplies</x:v>
      </x:c>
      <x:c r="H5078" t="str">
        <x:v>Storage</x:v>
      </x:c>
      <x:c r="I5078" s="22" t="n">
        <x:v>62.8</x:v>
      </x:c>
      <x:c r="J5078" s="24" t="n">
        <x:v>4</x:v>
      </x:c>
      <x:c r="K5078" s="26" t="n">
        <x:v>0</x:v>
      </x:c>
      <x:c r="L5078" s="22" t="n">
        <x:v>15.700000000000003</x:v>
      </x:c>
      <x:c r="M5078" t="n">
        <x:v>2015</x:v>
      </x:c>
      <x:c r="N5078" s="20" t="n">
        <x:v>42309</x:v>
      </x:c>
    </x:row>
    <x:row r="5079" ht="18" customHeight="1">
      <x:c r="A5079" t="str">
        <x:v>CA-2017-151071</x:v>
      </x:c>
      <x:c r="B5079" s="18" t="n">
        <x:v>42850</x:v>
      </x:c>
      <x:c r="C5079" t="str">
        <x:v>MB-18085</x:v>
      </x:c>
      <x:c r="D5079" t="str">
        <x:v>Mick Brown</x:v>
      </x:c>
      <x:c r="E5079" t="str">
        <x:v>Consumer</x:v>
      </x:c>
      <x:c r="F5079" t="str">
        <x:v>West</x:v>
      </x:c>
      <x:c r="G5079" t="str">
        <x:v>Office Supplies</x:v>
      </x:c>
      <x:c r="H5079" t="str">
        <x:v>Binders</x:v>
      </x:c>
      <x:c r="I5079" s="22" t="n">
        <x:v>13.904</x:v>
      </x:c>
      <x:c r="J5079" s="24" t="n">
        <x:v>2</x:v>
      </x:c>
      <x:c r="K5079" s="26" t="n">
        <x:v>0.2</x:v>
      </x:c>
      <x:c r="L5079" s="22" t="n">
        <x:v>4.5188</x:v>
      </x:c>
      <x:c r="M5079" t="n">
        <x:v>2017</x:v>
      </x:c>
      <x:c r="N5079" s="20" t="n">
        <x:v>42826</x:v>
      </x:c>
    </x:row>
    <x:row r="5080" ht="18" customHeight="1">
      <x:c r="A5080" t="str">
        <x:v>CA-2014-134572</x:v>
      </x:c>
      <x:c r="B5080" s="18" t="n">
        <x:v>41749</x:v>
      </x:c>
      <x:c r="C5080" t="str">
        <x:v>SV-20365</x:v>
      </x:c>
      <x:c r="D5080" t="str">
        <x:v>Seth Vernon</x:v>
      </x:c>
      <x:c r="E5080" t="str">
        <x:v>Consumer</x:v>
      </x:c>
      <x:c r="F5080" t="str">
        <x:v>Central</x:v>
      </x:c>
      <x:c r="G5080" t="str">
        <x:v>Furniture</x:v>
      </x:c>
      <x:c r="H5080" t="str">
        <x:v>Tables</x:v>
      </x:c>
      <x:c r="I5080" s="22" t="n">
        <x:v>744.0999999999999</x:v>
      </x:c>
      <x:c r="J5080" s="24" t="n">
        <x:v>5</x:v>
      </x:c>
      <x:c r="K5080" s="26" t="n">
        <x:v>0.3</x:v>
      </x:c>
      <x:c r="L5080" s="22" t="n">
        <x:v>-95.67000000000004</x:v>
      </x:c>
      <x:c r="M5080" t="n">
        <x:v>2014</x:v>
      </x:c>
      <x:c r="N5080" s="20" t="n">
        <x:v>41730</x:v>
      </x:c>
    </x:row>
    <x:row r="5081" ht="18" customHeight="1">
      <x:c r="A5081" t="str">
        <x:v>CA-2014-134572</x:v>
      </x:c>
      <x:c r="B5081" s="18" t="n">
        <x:v>41749</x:v>
      </x:c>
      <x:c r="C5081" t="str">
        <x:v>SV-20365</x:v>
      </x:c>
      <x:c r="D5081" t="str">
        <x:v>Seth Vernon</x:v>
      </x:c>
      <x:c r="E5081" t="str">
        <x:v>Consumer</x:v>
      </x:c>
      <x:c r="F5081" t="str">
        <x:v>Central</x:v>
      </x:c>
      <x:c r="G5081" t="str">
        <x:v>Office Supplies</x:v>
      </x:c>
      <x:c r="H5081" t="str">
        <x:v>Storage</x:v>
      </x:c>
      <x:c r="I5081" s="22" t="n">
        <x:v>44.84000000000001</x:v>
      </x:c>
      <x:c r="J5081" s="24" t="n">
        <x:v>5</x:v>
      </x:c>
      <x:c r="K5081" s="26" t="n">
        <x:v>0.2</x:v>
      </x:c>
      <x:c r="L5081" s="22" t="n">
        <x:v>5.604999999999995</x:v>
      </x:c>
      <x:c r="M5081" t="n">
        <x:v>2014</x:v>
      </x:c>
      <x:c r="N5081" s="20" t="n">
        <x:v>41730</x:v>
      </x:c>
    </x:row>
    <x:row r="5082" ht="18" customHeight="1">
      <x:c r="A5082" t="str">
        <x:v>CA-2014-134572</x:v>
      </x:c>
      <x:c r="B5082" s="18" t="n">
        <x:v>41749</x:v>
      </x:c>
      <x:c r="C5082" t="str">
        <x:v>SV-20365</x:v>
      </x:c>
      <x:c r="D5082" t="str">
        <x:v>Seth Vernon</x:v>
      </x:c>
      <x:c r="E5082" t="str">
        <x:v>Consumer</x:v>
      </x:c>
      <x:c r="F5082" t="str">
        <x:v>Central</x:v>
      </x:c>
      <x:c r="G5082" t="str">
        <x:v>Furniture</x:v>
      </x:c>
      <x:c r="H5082" t="str">
        <x:v>Tables</x:v>
      </x:c>
      <x:c r="I5082" s="22" t="n">
        <x:v>401.59000000000003</x:v>
      </x:c>
      <x:c r="J5082" s="24" t="n">
        <x:v>2</x:v>
      </x:c>
      <x:c r="K5082" s="26" t="n">
        <x:v>0.3</x:v>
      </x:c>
      <x:c r="L5082" s="22" t="n">
        <x:v>-131.95100000000002</x:v>
      </x:c>
      <x:c r="M5082" t="n">
        <x:v>2014</x:v>
      </x:c>
      <x:c r="N5082" s="20" t="n">
        <x:v>41730</x:v>
      </x:c>
    </x:row>
    <x:row r="5083" ht="18" customHeight="1">
      <x:c r="A5083" t="str">
        <x:v>CA-2017-143217</x:v>
      </x:c>
      <x:c r="B5083" s="18" t="n">
        <x:v>43050</x:v>
      </x:c>
      <x:c r="C5083" t="str">
        <x:v>CG-12040</x:v>
      </x:c>
      <x:c r="D5083" t="str">
        <x:v>Catherine Glotzbach</x:v>
      </x:c>
      <x:c r="E5083" t="str">
        <x:v>Home Office</x:v>
      </x:c>
      <x:c r="F5083" t="str">
        <x:v>Central</x:v>
      </x:c>
      <x:c r="G5083" t="str">
        <x:v>Office Supplies</x:v>
      </x:c>
      <x:c r="H5083" t="str">
        <x:v>Binders</x:v>
      </x:c>
      <x:c r="I5083" s="22" t="n">
        <x:v>18.240000000000002</x:v>
      </x:c>
      <x:c r="J5083" s="24" t="n">
        <x:v>3</x:v>
      </x:c>
      <x:c r="K5083" s="26" t="n">
        <x:v>0</x:v>
      </x:c>
      <x:c r="L5083" s="22" t="n">
        <x:v>8.572799999999999</x:v>
      </x:c>
      <x:c r="M5083" t="n">
        <x:v>2017</x:v>
      </x:c>
      <x:c r="N5083" s="20" t="n">
        <x:v>43040</x:v>
      </x:c>
    </x:row>
    <x:row r="5084" ht="18" customHeight="1">
      <x:c r="A5084" t="str">
        <x:v>US-2017-133312</x:v>
      </x:c>
      <x:c r="B5084" s="18" t="n">
        <x:v>43064</x:v>
      </x:c>
      <x:c r="C5084" t="str">
        <x:v>BD-11500</x:v>
      </x:c>
      <x:c r="D5084" t="str">
        <x:v>Bradley Drucker</x:v>
      </x:c>
      <x:c r="E5084" t="str">
        <x:v>Consumer</x:v>
      </x:c>
      <x:c r="F5084" t="str">
        <x:v>West</x:v>
      </x:c>
      <x:c r="G5084" t="str">
        <x:v>Furniture</x:v>
      </x:c>
      <x:c r="H5084" t="str">
        <x:v>Bookcases</x:v>
      </x:c>
      <x:c r="I5084" s="22" t="n">
        <x:v>359.49899999999997</x:v>
      </x:c>
      <x:c r="J5084" s="24" t="n">
        <x:v>3</x:v>
      </x:c>
      <x:c r="K5084" s="26" t="n">
        <x:v>0.15</x:v>
      </x:c>
      <x:c r="L5084" s="22" t="n">
        <x:v>-29.60579999999998</x:v>
      </x:c>
      <x:c r="M5084" t="n">
        <x:v>2017</x:v>
      </x:c>
      <x:c r="N5084" s="20" t="n">
        <x:v>43040</x:v>
      </x:c>
    </x:row>
    <x:row r="5085" ht="18" customHeight="1">
      <x:c r="A5085" t="str">
        <x:v>US-2017-133312</x:v>
      </x:c>
      <x:c r="B5085" s="18" t="n">
        <x:v>43064</x:v>
      </x:c>
      <x:c r="C5085" t="str">
        <x:v>BD-11500</x:v>
      </x:c>
      <x:c r="D5085" t="str">
        <x:v>Bradley Drucker</x:v>
      </x:c>
      <x:c r="E5085" t="str">
        <x:v>Consumer</x:v>
      </x:c>
      <x:c r="F5085" t="str">
        <x:v>West</x:v>
      </x:c>
      <x:c r="G5085" t="str">
        <x:v>Office Supplies</x:v>
      </x:c>
      <x:c r="H5085" t="str">
        <x:v>Storage</x:v>
      </x:c>
      <x:c r="I5085" s="22" t="n">
        <x:v>10.48</x:v>
      </x:c>
      <x:c r="J5085" s="24" t="n">
        <x:v>1</x:v>
      </x:c>
      <x:c r="K5085" s="26" t="n">
        <x:v>0</x:v>
      </x:c>
      <x:c r="L5085" s="22" t="n">
        <x:v>2.8296</x:v>
      </x:c>
      <x:c r="M5085" t="n">
        <x:v>2017</x:v>
      </x:c>
      <x:c r="N5085" s="20" t="n">
        <x:v>43040</x:v>
      </x:c>
    </x:row>
    <x:row r="5086" ht="18" customHeight="1">
      <x:c r="A5086" t="str">
        <x:v>US-2015-137533</x:v>
      </x:c>
      <x:c r="B5086" s="18" t="n">
        <x:v>42356</x:v>
      </x:c>
      <x:c r="C5086" t="str">
        <x:v>JK-15640</x:v>
      </x:c>
      <x:c r="D5086" t="str">
        <x:v>Jim Kriz</x:v>
      </x:c>
      <x:c r="E5086" t="str">
        <x:v>Home Office</x:v>
      </x:c>
      <x:c r="F5086" t="str">
        <x:v>East</x:v>
      </x:c>
      <x:c r="G5086" t="str">
        <x:v>Office Supplies</x:v>
      </x:c>
      <x:c r="H5086" t="str">
        <x:v>Paper</x:v>
      </x:c>
      <x:c r="I5086" s="22" t="n">
        <x:v>20.736000000000004</x:v>
      </x:c>
      <x:c r="J5086" s="24" t="n">
        <x:v>4</x:v>
      </x:c>
      <x:c r="K5086" s="26" t="n">
        <x:v>0.2</x:v>
      </x:c>
      <x:c r="L5086" s="22" t="n">
        <x:v>7.2576</x:v>
      </x:c>
      <x:c r="M5086" t="n">
        <x:v>2015</x:v>
      </x:c>
      <x:c r="N5086" s="20" t="n">
        <x:v>42339</x:v>
      </x:c>
    </x:row>
    <x:row r="5087" ht="18" customHeight="1">
      <x:c r="A5087" t="str">
        <x:v>CA-2016-155138</x:v>
      </x:c>
      <x:c r="B5087" s="18" t="n">
        <x:v>42621</x:v>
      </x:c>
      <x:c r="C5087" t="str">
        <x:v>JM-15580</x:v>
      </x:c>
      <x:c r="D5087" t="str">
        <x:v>Jill Matthias</x:v>
      </x:c>
      <x:c r="E5087" t="str">
        <x:v>Consumer</x:v>
      </x:c>
      <x:c r="F5087" t="str">
        <x:v>South</x:v>
      </x:c>
      <x:c r="G5087" t="str">
        <x:v>Technology</x:v>
      </x:c>
      <x:c r="H5087" t="str">
        <x:v>Accessories</x:v>
      </x:c>
      <x:c r="I5087" s="22" t="n">
        <x:v>35.168</x:v>
      </x:c>
      <x:c r="J5087" s="24" t="n">
        <x:v>4</x:v>
      </x:c>
      <x:c r="K5087" s="26" t="n">
        <x:v>0.2</x:v>
      </x:c>
      <x:c r="L5087" s="22" t="n">
        <x:v>8.352400000000001</x:v>
      </x:c>
      <x:c r="M5087" t="n">
        <x:v>2016</x:v>
      </x:c>
      <x:c r="N5087" s="20" t="n">
        <x:v>42614</x:v>
      </x:c>
    </x:row>
    <x:row r="5088" ht="18" customHeight="1">
      <x:c r="A5088" t="str">
        <x:v>CA-2016-155138</x:v>
      </x:c>
      <x:c r="B5088" s="18" t="n">
        <x:v>42621</x:v>
      </x:c>
      <x:c r="C5088" t="str">
        <x:v>JM-15580</x:v>
      </x:c>
      <x:c r="D5088" t="str">
        <x:v>Jill Matthias</x:v>
      </x:c>
      <x:c r="E5088" t="str">
        <x:v>Consumer</x:v>
      </x:c>
      <x:c r="F5088" t="str">
        <x:v>South</x:v>
      </x:c>
      <x:c r="G5088" t="str">
        <x:v>Office Supplies</x:v>
      </x:c>
      <x:c r="H5088" t="str">
        <x:v>Paper</x:v>
      </x:c>
      <x:c r="I5088" s="22" t="n">
        <x:v>64.70400000000001</x:v>
      </x:c>
      <x:c r="J5088" s="24" t="n">
        <x:v>3</x:v>
      </x:c>
      <x:c r="K5088" s="26" t="n">
        <x:v>0.2</x:v>
      </x:c>
      <x:c r="L5088" s="22" t="n">
        <x:v>23.455199999999998</x:v>
      </x:c>
      <x:c r="M5088" t="n">
        <x:v>2016</x:v>
      </x:c>
      <x:c r="N5088" s="20" t="n">
        <x:v>42614</x:v>
      </x:c>
    </x:row>
    <x:row r="5089" ht="18" customHeight="1">
      <x:c r="A5089" t="str">
        <x:v>CA-2016-108350</x:v>
      </x:c>
      <x:c r="B5089" s="18" t="n">
        <x:v>42527</x:v>
      </x:c>
      <x:c r="C5089" t="str">
        <x:v>SC-20230</x:v>
      </x:c>
      <x:c r="D5089" t="str">
        <x:v>Scot Coram</x:v>
      </x:c>
      <x:c r="E5089" t="str">
        <x:v>Corporate</x:v>
      </x:c>
      <x:c r="F5089" t="str">
        <x:v>East</x:v>
      </x:c>
      <x:c r="G5089" t="str">
        <x:v>Office Supplies</x:v>
      </x:c>
      <x:c r="H5089" t="str">
        <x:v>Paper</x:v>
      </x:c>
      <x:c r="I5089" s="22" t="n">
        <x:v>105.52</x:v>
      </x:c>
      <x:c r="J5089" s="24" t="n">
        <x:v>4</x:v>
      </x:c>
      <x:c r="K5089" s="26" t="n">
        <x:v>0</x:v>
      </x:c>
      <x:c r="L5089" s="22" t="n">
        <x:v>48.539199999999994</x:v>
      </x:c>
      <x:c r="M5089" t="n">
        <x:v>2016</x:v>
      </x:c>
      <x:c r="N5089" s="20" t="n">
        <x:v>42522</x:v>
      </x:c>
    </x:row>
    <x:row r="5090" ht="18" customHeight="1">
      <x:c r="A5090" t="str">
        <x:v>CA-2015-144302</x:v>
      </x:c>
      <x:c r="B5090" s="18" t="n">
        <x:v>42174</x:v>
      </x:c>
      <x:c r="C5090" t="str">
        <x:v>ME-17320</x:v>
      </x:c>
      <x:c r="D5090" t="str">
        <x:v>Maria Etezadi</x:v>
      </x:c>
      <x:c r="E5090" t="str">
        <x:v>Home Office</x:v>
      </x:c>
      <x:c r="F5090" t="str">
        <x:v>Central</x:v>
      </x:c>
      <x:c r="G5090" t="str">
        <x:v>Office Supplies</x:v>
      </x:c>
      <x:c r="H5090" t="str">
        <x:v>Binders</x:v>
      </x:c>
      <x:c r="I5090" s="22" t="n">
        <x:v>5.791999999999999</x:v>
      </x:c>
      <x:c r="J5090" s="24" t="n">
        <x:v>2</x:v>
      </x:c>
      <x:c r="K5090" s="26" t="n">
        <x:v>0.8</x:v>
      </x:c>
      <x:c r="L5090" s="22" t="n">
        <x:v>-9.556800000000003</x:v>
      </x:c>
      <x:c r="M5090" t="n">
        <x:v>2015</x:v>
      </x:c>
      <x:c r="N5090" s="20" t="n">
        <x:v>42156</x:v>
      </x:c>
    </x:row>
    <x:row r="5091" ht="18" customHeight="1">
      <x:c r="A5091" t="str">
        <x:v>CA-2015-109001</x:v>
      </x:c>
      <x:c r="B5091" s="18" t="n">
        <x:v>42068</x:v>
      </x:c>
      <x:c r="C5091" t="str">
        <x:v>KN-16390</x:v>
      </x:c>
      <x:c r="D5091" t="str">
        <x:v>Katherine Nockton</x:v>
      </x:c>
      <x:c r="E5091" t="str">
        <x:v>Corporate</x:v>
      </x:c>
      <x:c r="F5091" t="str">
        <x:v>East</x:v>
      </x:c>
      <x:c r="G5091" t="str">
        <x:v>Technology</x:v>
      </x:c>
      <x:c r="H5091" t="str">
        <x:v>Phones</x:v>
      </x:c>
      <x:c r="I5091" s="22" t="n">
        <x:v>466.15799999999996</x:v>
      </x:c>
      <x:c r="J5091" s="24" t="n">
        <x:v>7</x:v>
      </x:c>
      <x:c r="K5091" s="26" t="n">
        <x:v>0.4</x:v>
      </x:c>
      <x:c r="L5091" s="22" t="n">
        <x:v>-93.23159999999996</x:v>
      </x:c>
      <x:c r="M5091" t="n">
        <x:v>2015</x:v>
      </x:c>
      <x:c r="N5091" s="20" t="n">
        <x:v>42064</x:v>
      </x:c>
    </x:row>
    <x:row r="5092" ht="18" customHeight="1">
      <x:c r="A5092" t="str">
        <x:v>CA-2015-109001</x:v>
      </x:c>
      <x:c r="B5092" s="18" t="n">
        <x:v>42068</x:v>
      </x:c>
      <x:c r="C5092" t="str">
        <x:v>KN-16390</x:v>
      </x:c>
      <x:c r="D5092" t="str">
        <x:v>Katherine Nockton</x:v>
      </x:c>
      <x:c r="E5092" t="str">
        <x:v>Corporate</x:v>
      </x:c>
      <x:c r="F5092" t="str">
        <x:v>East</x:v>
      </x:c>
      <x:c r="G5092" t="str">
        <x:v>Technology</x:v>
      </x:c>
      <x:c r="H5092" t="str">
        <x:v>Accessories</x:v>
      </x:c>
      <x:c r="I5092" s="22" t="n">
        <x:v>10.312000000000001</x:v>
      </x:c>
      <x:c r="J5092" s="24" t="n">
        <x:v>1</x:v>
      </x:c>
      <x:c r="K5092" s="26" t="n">
        <x:v>0.2</x:v>
      </x:c>
      <x:c r="L5092" s="22" t="n">
        <x:v>-1.2890000000000006</x:v>
      </x:c>
      <x:c r="M5092" t="n">
        <x:v>2015</x:v>
      </x:c>
      <x:c r="N5092" s="20" t="n">
        <x:v>42064</x:v>
      </x:c>
    </x:row>
    <x:row r="5093" ht="18" customHeight="1">
      <x:c r="A5093" t="str">
        <x:v>CA-2015-109001</x:v>
      </x:c>
      <x:c r="B5093" s="18" t="n">
        <x:v>42068</x:v>
      </x:c>
      <x:c r="C5093" t="str">
        <x:v>KN-16390</x:v>
      </x:c>
      <x:c r="D5093" t="str">
        <x:v>Katherine Nockton</x:v>
      </x:c>
      <x:c r="E5093" t="str">
        <x:v>Corporate</x:v>
      </x:c>
      <x:c r="F5093" t="str">
        <x:v>East</x:v>
      </x:c>
      <x:c r="G5093" t="str">
        <x:v>Office Supplies</x:v>
      </x:c>
      <x:c r="H5093" t="str">
        <x:v>Binders</x:v>
      </x:c>
      <x:c r="I5093" s="22" t="n">
        <x:v>2.556</x:v>
      </x:c>
      <x:c r="J5093" s="24" t="n">
        <x:v>3</x:v>
      </x:c>
      <x:c r="K5093" s="26" t="n">
        <x:v>0.7</x:v>
      </x:c>
      <x:c r="L5093" s="22" t="n">
        <x:v>-1.7892000000000001</x:v>
      </x:c>
      <x:c r="M5093" t="n">
        <x:v>2015</x:v>
      </x:c>
      <x:c r="N5093" s="20" t="n">
        <x:v>42064</x:v>
      </x:c>
    </x:row>
    <x:row r="5094" ht="18" customHeight="1">
      <x:c r="A5094" t="str">
        <x:v>CA-2017-132738</x:v>
      </x:c>
      <x:c r="B5094" s="18" t="n">
        <x:v>42951</x:v>
      </x:c>
      <x:c r="C5094" t="str">
        <x:v>HM-14860</x:v>
      </x:c>
      <x:c r="D5094" t="str">
        <x:v>Harry Marie</x:v>
      </x:c>
      <x:c r="E5094" t="str">
        <x:v>Corporate</x:v>
      </x:c>
      <x:c r="F5094" t="str">
        <x:v>West</x:v>
      </x:c>
      <x:c r="G5094" t="str">
        <x:v>Office Supplies</x:v>
      </x:c>
      <x:c r="H5094" t="str">
        <x:v>Paper</x:v>
      </x:c>
      <x:c r="I5094" s="22" t="n">
        <x:v>7.968000000000001</x:v>
      </x:c>
      <x:c r="J5094" s="24" t="n">
        <x:v>2</x:v>
      </x:c>
      <x:c r="K5094" s="26" t="n">
        <x:v>0.2</x:v>
      </x:c>
      <x:c r="L5094" s="22" t="n">
        <x:v>2.8884000000000007</x:v>
      </x:c>
      <x:c r="M5094" t="n">
        <x:v>2017</x:v>
      </x:c>
      <x:c r="N5094" s="20" t="n">
        <x:v>42948</x:v>
      </x:c>
    </x:row>
    <x:row r="5095" ht="18" customHeight="1">
      <x:c r="A5095" t="str">
        <x:v>CA-2017-132738</x:v>
      </x:c>
      <x:c r="B5095" s="18" t="n">
        <x:v>42951</x:v>
      </x:c>
      <x:c r="C5095" t="str">
        <x:v>HM-14860</x:v>
      </x:c>
      <x:c r="D5095" t="str">
        <x:v>Harry Marie</x:v>
      </x:c>
      <x:c r="E5095" t="str">
        <x:v>Corporate</x:v>
      </x:c>
      <x:c r="F5095" t="str">
        <x:v>West</x:v>
      </x:c>
      <x:c r="G5095" t="str">
        <x:v>Office Supplies</x:v>
      </x:c>
      <x:c r="H5095" t="str">
        <x:v>Envelopes</x:v>
      </x:c>
      <x:c r="I5095" s="22" t="n">
        <x:v>8.784</x:v>
      </x:c>
      <x:c r="J5095" s="24" t="n">
        <x:v>1</x:v>
      </x:c>
      <x:c r="K5095" s="26" t="n">
        <x:v>0.2</x:v>
      </x:c>
      <x:c r="L5095" s="22" t="n">
        <x:v>3.1842</x:v>
      </x:c>
      <x:c r="M5095" t="n">
        <x:v>2017</x:v>
      </x:c>
      <x:c r="N5095" s="20" t="n">
        <x:v>42948</x:v>
      </x:c>
    </x:row>
    <x:row r="5096" ht="18" customHeight="1">
      <x:c r="A5096" t="str">
        <x:v>CA-2017-156720</x:v>
      </x:c>
      <x:c r="B5096" s="18" t="n">
        <x:v>43099</x:v>
      </x:c>
      <x:c r="C5096" t="str">
        <x:v>JM-15580</x:v>
      </x:c>
      <x:c r="D5096" t="str">
        <x:v>Jill Matthias</x:v>
      </x:c>
      <x:c r="E5096" t="str">
        <x:v>Consumer</x:v>
      </x:c>
      <x:c r="F5096" t="str">
        <x:v>West</x:v>
      </x:c>
      <x:c r="G5096" t="str">
        <x:v>Office Supplies</x:v>
      </x:c>
      <x:c r="H5096" t="str">
        <x:v>Fasteners</x:v>
      </x:c>
      <x:c r="I5096" s="22" t="n">
        <x:v>3.024</x:v>
      </x:c>
      <x:c r="J5096" s="24" t="n">
        <x:v>3</x:v>
      </x:c>
      <x:c r="K5096" s="26" t="n">
        <x:v>0.2</x:v>
      </x:c>
      <x:c r="L5096" s="22" t="n">
        <x:v>-0.6048</x:v>
      </x:c>
      <x:c r="M5096" t="n">
        <x:v>2017</x:v>
      </x:c>
      <x:c r="N5096" s="20" t="n">
        <x:v>43070</x:v>
      </x:c>
    </x:row>
    <x:row r="5097" ht="18" customHeight="1">
      <x:c r="A5097" t="str">
        <x:v>CA-2015-119102</x:v>
      </x:c>
      <x:c r="B5097" s="18" t="n">
        <x:v>42147</x:v>
      </x:c>
      <x:c r="C5097" t="str">
        <x:v>KH-16690</x:v>
      </x:c>
      <x:c r="D5097" t="str">
        <x:v>Kristen Hastings</x:v>
      </x:c>
      <x:c r="E5097" t="str">
        <x:v>Corporate</x:v>
      </x:c>
      <x:c r="F5097" t="str">
        <x:v>East</x:v>
      </x:c>
      <x:c r="G5097" t="str">
        <x:v>Office Supplies</x:v>
      </x:c>
      <x:c r="H5097" t="str">
        <x:v>Storage</x:v>
      </x:c>
      <x:c r="I5097" s="22" t="n">
        <x:v>51.449999999999996</x:v>
      </x:c>
      <x:c r="J5097" s="24" t="n">
        <x:v>3</x:v>
      </x:c>
      <x:c r="K5097" s="26" t="n">
        <x:v>0</x:v>
      </x:c>
      <x:c r="L5097" s="22" t="n">
        <x:v>13.891499999999999</x:v>
      </x:c>
      <x:c r="M5097" t="n">
        <x:v>2015</x:v>
      </x:c>
      <x:c r="N5097" s="20" t="n">
        <x:v>42125</x:v>
      </x:c>
    </x:row>
    <x:row r="5098" ht="18" customHeight="1">
      <x:c r="A5098" t="str">
        <x:v>US-2014-140452</x:v>
      </x:c>
      <x:c r="B5098" s="18" t="n">
        <x:v>41979</x:v>
      </x:c>
      <x:c r="C5098" t="str">
        <x:v>BK-11260</x:v>
      </x:c>
      <x:c r="D5098" t="str">
        <x:v>Berenike Kampe</x:v>
      </x:c>
      <x:c r="E5098" t="str">
        <x:v>Consumer</x:v>
      </x:c>
      <x:c r="F5098" t="str">
        <x:v>Central</x:v>
      </x:c>
      <x:c r="G5098" t="str">
        <x:v>Office Supplies</x:v>
      </x:c>
      <x:c r="H5098" t="str">
        <x:v>Appliances</x:v>
      </x:c>
      <x:c r="I5098" s="22" t="n">
        <x:v>14.015999999999996</x:v>
      </x:c>
      <x:c r="J5098" s="24" t="n">
        <x:v>4</x:v>
      </x:c>
      <x:c r="K5098" s="26" t="n">
        <x:v>0.8</x:v>
      </x:c>
      <x:c r="L5098" s="22" t="n">
        <x:v>-31.536</x:v>
      </x:c>
      <x:c r="M5098" t="n">
        <x:v>2014</x:v>
      </x:c>
      <x:c r="N5098" s="20" t="n">
        <x:v>41974</x:v>
      </x:c>
    </x:row>
    <x:row r="5099" ht="18" customHeight="1">
      <x:c r="A5099" t="str">
        <x:v>US-2014-140452</x:v>
      </x:c>
      <x:c r="B5099" s="18" t="n">
        <x:v>41979</x:v>
      </x:c>
      <x:c r="C5099" t="str">
        <x:v>BK-11260</x:v>
      </x:c>
      <x:c r="D5099" t="str">
        <x:v>Berenike Kampe</x:v>
      </x:c>
      <x:c r="E5099" t="str">
        <x:v>Consumer</x:v>
      </x:c>
      <x:c r="F5099" t="str">
        <x:v>Central</x:v>
      </x:c>
      <x:c r="G5099" t="str">
        <x:v>Furniture</x:v>
      </x:c>
      <x:c r="H5099" t="str">
        <x:v>Tables</x:v>
      </x:c>
      <x:c r="I5099" s="22" t="n">
        <x:v>214.95000000000002</x:v>
      </x:c>
      <x:c r="J5099" s="24" t="n">
        <x:v>5</x:v>
      </x:c>
      <x:c r="K5099" s="26" t="n">
        <x:v>0.5</x:v>
      </x:c>
      <x:c r="L5099" s="22" t="n">
        <x:v>-120.37200000000003</x:v>
      </x:c>
      <x:c r="M5099" t="n">
        <x:v>2014</x:v>
      </x:c>
      <x:c r="N5099" s="20" t="n">
        <x:v>41974</x:v>
      </x:c>
    </x:row>
    <x:row r="5100" ht="18" customHeight="1">
      <x:c r="A5100" t="str">
        <x:v>US-2014-140452</x:v>
      </x:c>
      <x:c r="B5100" s="18" t="n">
        <x:v>41979</x:v>
      </x:c>
      <x:c r="C5100" t="str">
        <x:v>BK-11260</x:v>
      </x:c>
      <x:c r="D5100" t="str">
        <x:v>Berenike Kampe</x:v>
      </x:c>
      <x:c r="E5100" t="str">
        <x:v>Consumer</x:v>
      </x:c>
      <x:c r="F5100" t="str">
        <x:v>Central</x:v>
      </x:c>
      <x:c r="G5100" t="str">
        <x:v>Technology</x:v>
      </x:c>
      <x:c r="H5100" t="str">
        <x:v>Phones</x:v>
      </x:c>
      <x:c r="I5100" s="22" t="n">
        <x:v>35.04</x:v>
      </x:c>
      <x:c r="J5100" s="24" t="n">
        <x:v>4</x:v>
      </x:c>
      <x:c r="K5100" s="26" t="n">
        <x:v>0.2</x:v>
      </x:c>
      <x:c r="L5100" s="22" t="n">
        <x:v>-7.0080000000000044</x:v>
      </x:c>
      <x:c r="M5100" t="n">
        <x:v>2014</x:v>
      </x:c>
      <x:c r="N5100" s="20" t="n">
        <x:v>41974</x:v>
      </x:c>
    </x:row>
    <x:row r="5101" ht="18" customHeight="1">
      <x:c r="A5101" t="str">
        <x:v>US-2014-140452</x:v>
      </x:c>
      <x:c r="B5101" s="18" t="n">
        <x:v>41979</x:v>
      </x:c>
      <x:c r="C5101" t="str">
        <x:v>BK-11260</x:v>
      </x:c>
      <x:c r="D5101" t="str">
        <x:v>Berenike Kampe</x:v>
      </x:c>
      <x:c r="E5101" t="str">
        <x:v>Consumer</x:v>
      </x:c>
      <x:c r="F5101" t="str">
        <x:v>Central</x:v>
      </x:c>
      <x:c r="G5101" t="str">
        <x:v>Furniture</x:v>
      </x:c>
      <x:c r="H5101" t="str">
        <x:v>Furnishings</x:v>
      </x:c>
      <x:c r="I5101" s="22" t="n">
        <x:v>10.776000000000002</x:v>
      </x:c>
      <x:c r="J5101" s="24" t="n">
        <x:v>3</x:v>
      </x:c>
      <x:c r="K5101" s="26" t="n">
        <x:v>0.6</x:v>
      </x:c>
      <x:c r="L5101" s="22" t="n">
        <x:v>-4.8492</x:v>
      </x:c>
      <x:c r="M5101" t="n">
        <x:v>2014</x:v>
      </x:c>
      <x:c r="N5101" s="20" t="n">
        <x:v>41974</x:v>
      </x:c>
    </x:row>
    <x:row r="5102" ht="18" customHeight="1">
      <x:c r="A5102" t="str">
        <x:v>US-2014-140452</x:v>
      </x:c>
      <x:c r="B5102" s="18" t="n">
        <x:v>41979</x:v>
      </x:c>
      <x:c r="C5102" t="str">
        <x:v>BK-11260</x:v>
      </x:c>
      <x:c r="D5102" t="str">
        <x:v>Berenike Kampe</x:v>
      </x:c>
      <x:c r="E5102" t="str">
        <x:v>Consumer</x:v>
      </x:c>
      <x:c r="F5102" t="str">
        <x:v>Central</x:v>
      </x:c>
      <x:c r="G5102" t="str">
        <x:v>Office Supplies</x:v>
      </x:c>
      <x:c r="H5102" t="str">
        <x:v>Binders</x:v>
      </x:c>
      <x:c r="I5102" s="22" t="n">
        <x:v>4.599999999999999</x:v>
      </x:c>
      <x:c r="J5102" s="24" t="n">
        <x:v>2</x:v>
      </x:c>
      <x:c r="K5102" s="26" t="n">
        <x:v>0.8</x:v>
      </x:c>
      <x:c r="L5102" s="22" t="n">
        <x:v>-8.050000000000002</x:v>
      </x:c>
      <x:c r="M5102" t="n">
        <x:v>2014</x:v>
      </x:c>
      <x:c r="N5102" s="20" t="n">
        <x:v>41974</x:v>
      </x:c>
    </x:row>
    <x:row r="5103" ht="18" customHeight="1">
      <x:c r="A5103" t="str">
        <x:v>US-2014-140452</x:v>
      </x:c>
      <x:c r="B5103" s="18" t="n">
        <x:v>41979</x:v>
      </x:c>
      <x:c r="C5103" t="str">
        <x:v>BK-11260</x:v>
      </x:c>
      <x:c r="D5103" t="str">
        <x:v>Berenike Kampe</x:v>
      </x:c>
      <x:c r="E5103" t="str">
        <x:v>Consumer</x:v>
      </x:c>
      <x:c r="F5103" t="str">
        <x:v>Central</x:v>
      </x:c>
      <x:c r="G5103" t="str">
        <x:v>Office Supplies</x:v>
      </x:c>
      <x:c r="H5103" t="str">
        <x:v>Storage</x:v>
      </x:c>
      <x:c r="I5103" s="22" t="n">
        <x:v>35.168</x:v>
      </x:c>
      <x:c r="J5103" s="24" t="n">
        <x:v>2</x:v>
      </x:c>
      <x:c r="K5103" s="26" t="n">
        <x:v>0.2</x:v>
      </x:c>
      <x:c r="L5103" s="22" t="n">
        <x:v>-8.352400000000001</x:v>
      </x:c>
      <x:c r="M5103" t="n">
        <x:v>2014</x:v>
      </x:c>
      <x:c r="N5103" s="20" t="n">
        <x:v>41974</x:v>
      </x:c>
    </x:row>
    <x:row r="5104" ht="18" customHeight="1">
      <x:c r="A5104" t="str">
        <x:v>CA-2015-141936</x:v>
      </x:c>
      <x:c r="B5104" s="18" t="n">
        <x:v>42223</x:v>
      </x:c>
      <x:c r="C5104" t="str">
        <x:v>PN-18775</x:v>
      </x:c>
      <x:c r="D5104" t="str">
        <x:v>Parhena Norris</x:v>
      </x:c>
      <x:c r="E5104" t="str">
        <x:v>Home Office</x:v>
      </x:c>
      <x:c r="F5104" t="str">
        <x:v>West</x:v>
      </x:c>
      <x:c r="G5104" t="str">
        <x:v>Office Supplies</x:v>
      </x:c>
      <x:c r="H5104" t="str">
        <x:v>Binders</x:v>
      </x:c>
      <x:c r="I5104" s="22" t="n">
        <x:v>19.152</x:v>
      </x:c>
      <x:c r="J5104" s="24" t="n">
        <x:v>3</x:v>
      </x:c>
      <x:c r="K5104" s="26" t="n">
        <x:v>0.2</x:v>
      </x:c>
      <x:c r="L5104" s="22" t="n">
        <x:v>6.463800000000001</x:v>
      </x:c>
      <x:c r="M5104" t="n">
        <x:v>2015</x:v>
      </x:c>
      <x:c r="N5104" s="20" t="n">
        <x:v>42217</x:v>
      </x:c>
    </x:row>
    <x:row r="5105" ht="18" customHeight="1">
      <x:c r="A5105" t="str">
        <x:v>CA-2014-158442</x:v>
      </x:c>
      <x:c r="B5105" s="18" t="n">
        <x:v>41715</x:v>
      </x:c>
      <x:c r="C5105" t="str">
        <x:v>AZ-10750</x:v>
      </x:c>
      <x:c r="D5105" t="str">
        <x:v>Annie Zypern</x:v>
      </x:c>
      <x:c r="E5105" t="str">
        <x:v>Consumer</x:v>
      </x:c>
      <x:c r="F5105" t="str">
        <x:v>Central</x:v>
      </x:c>
      <x:c r="G5105" t="str">
        <x:v>Office Supplies</x:v>
      </x:c>
      <x:c r="H5105" t="str">
        <x:v>Art</x:v>
      </x:c>
      <x:c r="I5105" s="22" t="n">
        <x:v>4.4479999999999995</x:v>
      </x:c>
      <x:c r="J5105" s="24" t="n">
        <x:v>2</x:v>
      </x:c>
      <x:c r="K5105" s="26" t="n">
        <x:v>0.2</x:v>
      </x:c>
      <x:c r="L5105" s="22" t="n">
        <x:v>0.3335999999999999</x:v>
      </x:c>
      <x:c r="M5105" t="n">
        <x:v>2014</x:v>
      </x:c>
      <x:c r="N5105" s="20" t="n">
        <x:v>41699</x:v>
      </x:c>
    </x:row>
    <x:row r="5106" ht="18" customHeight="1">
      <x:c r="A5106" t="str">
        <x:v>CA-2014-158442</x:v>
      </x:c>
      <x:c r="B5106" s="18" t="n">
        <x:v>41715</x:v>
      </x:c>
      <x:c r="C5106" t="str">
        <x:v>AZ-10750</x:v>
      </x:c>
      <x:c r="D5106" t="str">
        <x:v>Annie Zypern</x:v>
      </x:c>
      <x:c r="E5106" t="str">
        <x:v>Consumer</x:v>
      </x:c>
      <x:c r="F5106" t="str">
        <x:v>Central</x:v>
      </x:c>
      <x:c r="G5106" t="str">
        <x:v>Office Supplies</x:v>
      </x:c>
      <x:c r="H5106" t="str">
        <x:v>Paper</x:v>
      </x:c>
      <x:c r="I5106" s="22" t="n">
        <x:v>5.184000000000001</x:v>
      </x:c>
      <x:c r="J5106" s="24" t="n">
        <x:v>1</x:v>
      </x:c>
      <x:c r="K5106" s="26" t="n">
        <x:v>0.2</x:v>
      </x:c>
      <x:c r="L5106" s="22" t="n">
        <x:v>1.8792</x:v>
      </x:c>
      <x:c r="M5106" t="n">
        <x:v>2014</x:v>
      </x:c>
      <x:c r="N5106" s="20" t="n">
        <x:v>41699</x:v>
      </x:c>
    </x:row>
    <x:row r="5107" ht="18" customHeight="1">
      <x:c r="A5107" t="str">
        <x:v>CA-2014-158442</x:v>
      </x:c>
      <x:c r="B5107" s="18" t="n">
        <x:v>41715</x:v>
      </x:c>
      <x:c r="C5107" t="str">
        <x:v>AZ-10750</x:v>
      </x:c>
      <x:c r="D5107" t="str">
        <x:v>Annie Zypern</x:v>
      </x:c>
      <x:c r="E5107" t="str">
        <x:v>Consumer</x:v>
      </x:c>
      <x:c r="F5107" t="str">
        <x:v>Central</x:v>
      </x:c>
      <x:c r="G5107" t="str">
        <x:v>Office Supplies</x:v>
      </x:c>
      <x:c r="H5107" t="str">
        <x:v>Paper</x:v>
      </x:c>
      <x:c r="I5107" s="22" t="n">
        <x:v>15.552000000000003</x:v>
      </x:c>
      <x:c r="J5107" s="24" t="n">
        <x:v>3</x:v>
      </x:c>
      <x:c r="K5107" s="26" t="n">
        <x:v>0.2</x:v>
      </x:c>
      <x:c r="L5107" s="22" t="n">
        <x:v>5.4432</x:v>
      </x:c>
      <x:c r="M5107" t="n">
        <x:v>2014</x:v>
      </x:c>
      <x:c r="N5107" s="20" t="n">
        <x:v>41699</x:v>
      </x:c>
    </x:row>
    <x:row r="5108" ht="18" customHeight="1">
      <x:c r="A5108" t="str">
        <x:v>CA-2015-167374</x:v>
      </x:c>
      <x:c r="B5108" s="18" t="n">
        <x:v>42089</x:v>
      </x:c>
      <x:c r="C5108" t="str">
        <x:v>GM-14500</x:v>
      </x:c>
      <x:c r="D5108" t="str">
        <x:v>Gene McClure</x:v>
      </x:c>
      <x:c r="E5108" t="str">
        <x:v>Consumer</x:v>
      </x:c>
      <x:c r="F5108" t="str">
        <x:v>East</x:v>
      </x:c>
      <x:c r="G5108" t="str">
        <x:v>Office Supplies</x:v>
      </x:c>
      <x:c r="H5108" t="str">
        <x:v>Paper</x:v>
      </x:c>
      <x:c r="I5108" s="22" t="n">
        <x:v>40.032000000000004</x:v>
      </x:c>
      <x:c r="J5108" s="24" t="n">
        <x:v>6</x:v>
      </x:c>
      <x:c r="K5108" s="26" t="n">
        <x:v>0.2</x:v>
      </x:c>
      <x:c r="L5108" s="22" t="n">
        <x:v>12.509999999999993</x:v>
      </x:c>
      <x:c r="M5108" t="n">
        <x:v>2015</x:v>
      </x:c>
      <x:c r="N5108" s="20" t="n">
        <x:v>42064</x:v>
      </x:c>
    </x:row>
    <x:row r="5109" ht="18" customHeight="1">
      <x:c r="A5109" t="str">
        <x:v>CA-2015-167374</x:v>
      </x:c>
      <x:c r="B5109" s="18" t="n">
        <x:v>42089</x:v>
      </x:c>
      <x:c r="C5109" t="str">
        <x:v>GM-14500</x:v>
      </x:c>
      <x:c r="D5109" t="str">
        <x:v>Gene McClure</x:v>
      </x:c>
      <x:c r="E5109" t="str">
        <x:v>Consumer</x:v>
      </x:c>
      <x:c r="F5109" t="str">
        <x:v>East</x:v>
      </x:c>
      <x:c r="G5109" t="str">
        <x:v>Technology</x:v>
      </x:c>
      <x:c r="H5109" t="str">
        <x:v>Accessories</x:v>
      </x:c>
      <x:c r="I5109" s="22" t="n">
        <x:v>16.776000000000003</x:v>
      </x:c>
      <x:c r="J5109" s="24" t="n">
        <x:v>3</x:v>
      </x:c>
      <x:c r="K5109" s="26" t="n">
        <x:v>0.2</x:v>
      </x:c>
      <x:c r="L5109" s="22" t="n">
        <x:v>5.0328</x:v>
      </x:c>
      <x:c r="M5109" t="n">
        <x:v>2015</x:v>
      </x:c>
      <x:c r="N5109" s="20" t="n">
        <x:v>42064</x:v>
      </x:c>
    </x:row>
    <x:row r="5110" ht="18" customHeight="1">
      <x:c r="A5110" t="str">
        <x:v>CA-2014-116568</x:v>
      </x:c>
      <x:c r="B5110" s="18" t="n">
        <x:v>41987</x:v>
      </x:c>
      <x:c r="C5110" t="str">
        <x:v>BM-11785</x:v>
      </x:c>
      <x:c r="D5110" t="str">
        <x:v>Bryan Mills</x:v>
      </x:c>
      <x:c r="E5110" t="str">
        <x:v>Consumer</x:v>
      </x:c>
      <x:c r="F5110" t="str">
        <x:v>South</x:v>
      </x:c>
      <x:c r="G5110" t="str">
        <x:v>Furniture</x:v>
      </x:c>
      <x:c r="H5110" t="str">
        <x:v>Chairs</x:v>
      </x:c>
      <x:c r="I5110" s="22" t="n">
        <x:v>186.304</x:v>
      </x:c>
      <x:c r="J5110" s="24" t="n">
        <x:v>4</x:v>
      </x:c>
      <x:c r="K5110" s="26" t="n">
        <x:v>0.2</x:v>
      </x:c>
      <x:c r="L5110" s="22" t="n">
        <x:v>13.9728</x:v>
      </x:c>
      <x:c r="M5110" t="n">
        <x:v>2014</x:v>
      </x:c>
      <x:c r="N5110" s="20" t="n">
        <x:v>41974</x:v>
      </x:c>
    </x:row>
    <x:row r="5111" ht="18" customHeight="1">
      <x:c r="A5111" t="str">
        <x:v>CA-2015-147102</x:v>
      </x:c>
      <x:c r="B5111" s="18" t="n">
        <x:v>42266</x:v>
      </x:c>
      <x:c r="C5111" t="str">
        <x:v>NH-18610</x:v>
      </x:c>
      <x:c r="D5111" t="str">
        <x:v>Nicole Hansen</x:v>
      </x:c>
      <x:c r="E5111" t="str">
        <x:v>Corporate</x:v>
      </x:c>
      <x:c r="F5111" t="str">
        <x:v>South</x:v>
      </x:c>
      <x:c r="G5111" t="str">
        <x:v>Technology</x:v>
      </x:c>
      <x:c r="H5111" t="str">
        <x:v>Accessories</x:v>
      </x:c>
      <x:c r="I5111" s="22" t="n">
        <x:v>66.36</x:v>
      </x:c>
      <x:c r="J5111" s="24" t="n">
        <x:v>4</x:v>
      </x:c>
      <x:c r="K5111" s="26" t="n">
        <x:v>0</x:v>
      </x:c>
      <x:c r="L5111" s="22" t="n">
        <x:v>23.226</x:v>
      </x:c>
      <x:c r="M5111" t="n">
        <x:v>2015</x:v>
      </x:c>
      <x:c r="N5111" s="20" t="n">
        <x:v>42248</x:v>
      </x:c>
    </x:row>
    <x:row r="5112" ht="18" customHeight="1">
      <x:c r="A5112" t="str">
        <x:v>CA-2017-132213</x:v>
      </x:c>
      <x:c r="B5112" s="18" t="n">
        <x:v>42850</x:v>
      </x:c>
      <x:c r="C5112" t="str">
        <x:v>PN-18775</x:v>
      </x:c>
      <x:c r="D5112" t="str">
        <x:v>Parhena Norris</x:v>
      </x:c>
      <x:c r="E5112" t="str">
        <x:v>Home Office</x:v>
      </x:c>
      <x:c r="F5112" t="str">
        <x:v>South</x:v>
      </x:c>
      <x:c r="G5112" t="str">
        <x:v>Office Supplies</x:v>
      </x:c>
      <x:c r="H5112" t="str">
        <x:v>Art</x:v>
      </x:c>
      <x:c r="I5112" s="22" t="n">
        <x:v>42.047999999999995</x:v>
      </x:c>
      <x:c r="J5112" s="24" t="n">
        <x:v>9</x:v>
      </x:c>
      <x:c r="K5112" s="26" t="n">
        <x:v>0.2</x:v>
      </x:c>
      <x:c r="L5112" s="22" t="n">
        <x:v>5.2559999999999985</x:v>
      </x:c>
      <x:c r="M5112" t="n">
        <x:v>2017</x:v>
      </x:c>
      <x:c r="N5112" s="20" t="n">
        <x:v>42826</x:v>
      </x:c>
    </x:row>
    <x:row r="5113" ht="18" customHeight="1">
      <x:c r="A5113" t="str">
        <x:v>CA-2017-132213</x:v>
      </x:c>
      <x:c r="B5113" s="18" t="n">
        <x:v>42850</x:v>
      </x:c>
      <x:c r="C5113" t="str">
        <x:v>PN-18775</x:v>
      </x:c>
      <x:c r="D5113" t="str">
        <x:v>Parhena Norris</x:v>
      </x:c>
      <x:c r="E5113" t="str">
        <x:v>Home Office</x:v>
      </x:c>
      <x:c r="F5113" t="str">
        <x:v>South</x:v>
      </x:c>
      <x:c r="G5113" t="str">
        <x:v>Office Supplies</x:v>
      </x:c>
      <x:c r="H5113" t="str">
        <x:v>Art</x:v>
      </x:c>
      <x:c r="I5113" s="22" t="n">
        <x:v>67.92</x:v>
      </x:c>
      <x:c r="J5113" s="24" t="n">
        <x:v>5</x:v>
      </x:c>
      <x:c r="K5113" s="26" t="n">
        <x:v>0.2</x:v>
      </x:c>
      <x:c r="L5113" s="22" t="n">
        <x:v>6.792000000000002</x:v>
      </x:c>
      <x:c r="M5113" t="n">
        <x:v>2017</x:v>
      </x:c>
      <x:c r="N5113" s="20" t="n">
        <x:v>42826</x:v>
      </x:c>
    </x:row>
    <x:row r="5114" ht="18" customHeight="1">
      <x:c r="A5114" t="str">
        <x:v>CA-2014-138450</x:v>
      </x:c>
      <x:c r="B5114" s="18" t="n">
        <x:v>41930</x:v>
      </x:c>
      <x:c r="C5114" t="str">
        <x:v>EH-13765</x:v>
      </x:c>
      <x:c r="D5114" t="str">
        <x:v>Edward Hooks</x:v>
      </x:c>
      <x:c r="E5114" t="str">
        <x:v>Corporate</x:v>
      </x:c>
      <x:c r="F5114" t="str">
        <x:v>East</x:v>
      </x:c>
      <x:c r="G5114" t="str">
        <x:v>Office Supplies</x:v>
      </x:c>
      <x:c r="H5114" t="str">
        <x:v>Envelopes</x:v>
      </x:c>
      <x:c r="I5114" s="22" t="n">
        <x:v>52.512</x:v>
      </x:c>
      <x:c r="J5114" s="24" t="n">
        <x:v>6</x:v>
      </x:c>
      <x:c r="K5114" s="26" t="n">
        <x:v>0.2</x:v>
      </x:c>
      <x:c r="L5114" s="22" t="n">
        <x:v>19.692</x:v>
      </x:c>
      <x:c r="M5114" t="n">
        <x:v>2014</x:v>
      </x:c>
      <x:c r="N5114" s="20" t="n">
        <x:v>41913</x:v>
      </x:c>
    </x:row>
    <x:row r="5115" ht="18" customHeight="1">
      <x:c r="A5115" t="str">
        <x:v>CA-2014-138450</x:v>
      </x:c>
      <x:c r="B5115" s="18" t="n">
        <x:v>41930</x:v>
      </x:c>
      <x:c r="C5115" t="str">
        <x:v>EH-13765</x:v>
      </x:c>
      <x:c r="D5115" t="str">
        <x:v>Edward Hooks</x:v>
      </x:c>
      <x:c r="E5115" t="str">
        <x:v>Corporate</x:v>
      </x:c>
      <x:c r="F5115" t="str">
        <x:v>East</x:v>
      </x:c>
      <x:c r="G5115" t="str">
        <x:v>Office Supplies</x:v>
      </x:c>
      <x:c r="H5115" t="str">
        <x:v>Storage</x:v>
      </x:c>
      <x:c r="I5115" s="22" t="n">
        <x:v>186.912</x:v>
      </x:c>
      <x:c r="J5115" s="24" t="n">
        <x:v>6</x:v>
      </x:c>
      <x:c r="K5115" s="26" t="n">
        <x:v>0.2</x:v>
      </x:c>
      <x:c r="L5115" s="22" t="n">
        <x:v>-35.04600000000003</x:v>
      </x:c>
      <x:c r="M5115" t="n">
        <x:v>2014</x:v>
      </x:c>
      <x:c r="N5115" s="20" t="n">
        <x:v>41913</x:v>
      </x:c>
    </x:row>
    <x:row r="5116" ht="18" customHeight="1">
      <x:c r="A5116" t="str">
        <x:v>CA-2014-138450</x:v>
      </x:c>
      <x:c r="B5116" s="18" t="n">
        <x:v>41930</x:v>
      </x:c>
      <x:c r="C5116" t="str">
        <x:v>EH-13765</x:v>
      </x:c>
      <x:c r="D5116" t="str">
        <x:v>Edward Hooks</x:v>
      </x:c>
      <x:c r="E5116" t="str">
        <x:v>Corporate</x:v>
      </x:c>
      <x:c r="F5116" t="str">
        <x:v>East</x:v>
      </x:c>
      <x:c r="G5116" t="str">
        <x:v>Office Supplies</x:v>
      </x:c>
      <x:c r="H5116" t="str">
        <x:v>Paper</x:v>
      </x:c>
      <x:c r="I5116" s="22" t="n">
        <x:v>10.048000000000002</x:v>
      </x:c>
      <x:c r="J5116" s="24" t="n">
        <x:v>4</x:v>
      </x:c>
      <x:c r="K5116" s="26" t="n">
        <x:v>0.2</x:v>
      </x:c>
      <x:c r="L5116" s="22" t="n">
        <x:v>3.139999999999999</x:v>
      </x:c>
      <x:c r="M5116" t="n">
        <x:v>2014</x:v>
      </x:c>
      <x:c r="N5116" s="20" t="n">
        <x:v>41913</x:v>
      </x:c>
    </x:row>
    <x:row r="5117" ht="18" customHeight="1">
      <x:c r="A5117" t="str">
        <x:v>CA-2015-153073</x:v>
      </x:c>
      <x:c r="B5117" s="18" t="n">
        <x:v>42321</x:v>
      </x:c>
      <x:c r="C5117" t="str">
        <x:v>HA-14905</x:v>
      </x:c>
      <x:c r="D5117" t="str">
        <x:v>Helen Abelman</x:v>
      </x:c>
      <x:c r="E5117" t="str">
        <x:v>Consumer</x:v>
      </x:c>
      <x:c r="F5117" t="str">
        <x:v>Central</x:v>
      </x:c>
      <x:c r="G5117" t="str">
        <x:v>Furniture</x:v>
      </x:c>
      <x:c r="H5117" t="str">
        <x:v>Furnishings</x:v>
      </x:c>
      <x:c r="I5117" s="22" t="n">
        <x:v>17.496000000000002</x:v>
      </x:c>
      <x:c r="J5117" s="24" t="n">
        <x:v>9</x:v>
      </x:c>
      <x:c r="K5117" s="26" t="n">
        <x:v>0.6</x:v>
      </x:c>
      <x:c r="L5117" s="22" t="n">
        <x:v>-7.435799999999997</x:v>
      </x:c>
      <x:c r="M5117" t="n">
        <x:v>2015</x:v>
      </x:c>
      <x:c r="N5117" s="20" t="n">
        <x:v>42309</x:v>
      </x:c>
    </x:row>
    <x:row r="5118" ht="18" customHeight="1">
      <x:c r="A5118" t="str">
        <x:v>CA-2016-147970</x:v>
      </x:c>
      <x:c r="B5118" s="18" t="n">
        <x:v>42400</x:v>
      </x:c>
      <x:c r="C5118" t="str">
        <x:v>AB-10150</x:v>
      </x:c>
      <x:c r="D5118" t="str">
        <x:v>Aimee Bixby</x:v>
      </x:c>
      <x:c r="E5118" t="str">
        <x:v>Consumer</x:v>
      </x:c>
      <x:c r="F5118" t="str">
        <x:v>Central</x:v>
      </x:c>
      <x:c r="G5118" t="str">
        <x:v>Office Supplies</x:v>
      </x:c>
      <x:c r="H5118" t="str">
        <x:v>Paper</x:v>
      </x:c>
      <x:c r="I5118" s="22" t="n">
        <x:v>15.552000000000003</x:v>
      </x:c>
      <x:c r="J5118" s="24" t="n">
        <x:v>3</x:v>
      </x:c>
      <x:c r="K5118" s="26" t="n">
        <x:v>0.2</x:v>
      </x:c>
      <x:c r="L5118" s="22" t="n">
        <x:v>5.4432</x:v>
      </x:c>
      <x:c r="M5118" t="n">
        <x:v>2016</x:v>
      </x:c>
      <x:c r="N5118" s="20" t="n">
        <x:v>42370</x:v>
      </x:c>
    </x:row>
    <x:row r="5119" ht="18" customHeight="1">
      <x:c r="A5119" t="str">
        <x:v>CA-2016-150658</x:v>
      </x:c>
      <x:c r="B5119" s="18" t="n">
        <x:v>42691</x:v>
      </x:c>
      <x:c r="C5119" t="str">
        <x:v>MS-17365</x:v>
      </x:c>
      <x:c r="D5119" t="str">
        <x:v>Maribeth Schnelling</x:v>
      </x:c>
      <x:c r="E5119" t="str">
        <x:v>Consumer</x:v>
      </x:c>
      <x:c r="F5119" t="str">
        <x:v>West</x:v>
      </x:c>
      <x:c r="G5119" t="str">
        <x:v>Office Supplies</x:v>
      </x:c>
      <x:c r="H5119" t="str">
        <x:v>Binders</x:v>
      </x:c>
      <x:c r="I5119" s="22" t="n">
        <x:v>10.776000000000002</x:v>
      </x:c>
      <x:c r="J5119" s="24" t="n">
        <x:v>3</x:v>
      </x:c>
      <x:c r="K5119" s="26" t="n">
        <x:v>0.2</x:v>
      </x:c>
      <x:c r="L5119" s="22" t="n">
        <x:v>3.3674999999999984</x:v>
      </x:c>
      <x:c r="M5119" t="n">
        <x:v>2016</x:v>
      </x:c>
      <x:c r="N5119" s="20" t="n">
        <x:v>42675</x:v>
      </x:c>
    </x:row>
    <x:row r="5120" ht="18" customHeight="1">
      <x:c r="A5120" t="str">
        <x:v>CA-2017-125640</x:v>
      </x:c>
      <x:c r="B5120" s="18" t="n">
        <x:v>42941</x:v>
      </x:c>
      <x:c r="C5120" t="str">
        <x:v>DD-13570</x:v>
      </x:c>
      <x:c r="D5120" t="str">
        <x:v>Dorothy Dickinson</x:v>
      </x:c>
      <x:c r="E5120" t="str">
        <x:v>Consumer</x:v>
      </x:c>
      <x:c r="F5120" t="str">
        <x:v>East</x:v>
      </x:c>
      <x:c r="G5120" t="str">
        <x:v>Office Supplies</x:v>
      </x:c>
      <x:c r="H5120" t="str">
        <x:v>Labels</x:v>
      </x:c>
      <x:c r="I5120" s="22" t="n">
        <x:v>3.3040000000000003</x:v>
      </x:c>
      <x:c r="J5120" s="24" t="n">
        <x:v>1</x:v>
      </x:c>
      <x:c r="K5120" s="26" t="n">
        <x:v>0.2</x:v>
      </x:c>
      <x:c r="L5120" s="22" t="n">
        <x:v>1.0737999999999999</x:v>
      </x:c>
      <x:c r="M5120" t="n">
        <x:v>2017</x:v>
      </x:c>
      <x:c r="N5120" s="20" t="n">
        <x:v>42917</x:v>
      </x:c>
    </x:row>
    <x:row r="5121" ht="18" customHeight="1">
      <x:c r="A5121" t="str">
        <x:v>CA-2017-154137</x:v>
      </x:c>
      <x:c r="B5121" s="18" t="n">
        <x:v>43050</x:v>
      </x:c>
      <x:c r="C5121" t="str">
        <x:v>MT-17815</x:v>
      </x:c>
      <x:c r="D5121" t="str">
        <x:v>Meg Tillman</x:v>
      </x:c>
      <x:c r="E5121" t="str">
        <x:v>Consumer</x:v>
      </x:c>
      <x:c r="F5121" t="str">
        <x:v>East</x:v>
      </x:c>
      <x:c r="G5121" t="str">
        <x:v>Office Supplies</x:v>
      </x:c>
      <x:c r="H5121" t="str">
        <x:v>Storage</x:v>
      </x:c>
      <x:c r="I5121" s="22" t="n">
        <x:v>35.48</x:v>
      </x:c>
      <x:c r="J5121" s="24" t="n">
        <x:v>1</x:v>
      </x:c>
      <x:c r="K5121" s="26" t="n">
        <x:v>0</x:v>
      </x:c>
      <x:c r="L5121" s="22" t="n">
        <x:v>0</x:v>
      </x:c>
      <x:c r="M5121" t="n">
        <x:v>2017</x:v>
      </x:c>
      <x:c r="N5121" s="20" t="n">
        <x:v>43040</x:v>
      </x:c>
    </x:row>
    <x:row r="5122" ht="18" customHeight="1">
      <x:c r="A5122" t="str">
        <x:v>CA-2015-127173</x:v>
      </x:c>
      <x:c r="B5122" s="18" t="n">
        <x:v>42273</x:v>
      </x:c>
      <x:c r="C5122" t="str">
        <x:v>GM-14500</x:v>
      </x:c>
      <x:c r="D5122" t="str">
        <x:v>Gene McClure</x:v>
      </x:c>
      <x:c r="E5122" t="str">
        <x:v>Consumer</x:v>
      </x:c>
      <x:c r="F5122" t="str">
        <x:v>East</x:v>
      </x:c>
      <x:c r="G5122" t="str">
        <x:v>Office Supplies</x:v>
      </x:c>
      <x:c r="H5122" t="str">
        <x:v>Fasteners</x:v>
      </x:c>
      <x:c r="I5122" s="22" t="n">
        <x:v>34.44</x:v>
      </x:c>
      <x:c r="J5122" s="24" t="n">
        <x:v>3</x:v>
      </x:c>
      <x:c r="K5122" s="26" t="n">
        <x:v>0</x:v>
      </x:c>
      <x:c r="L5122" s="22" t="n">
        <x:v>16.186799999999998</x:v>
      </x:c>
      <x:c r="M5122" t="n">
        <x:v>2015</x:v>
      </x:c>
      <x:c r="N5122" s="20" t="n">
        <x:v>42248</x:v>
      </x:c>
    </x:row>
    <x:row r="5123" ht="18" customHeight="1">
      <x:c r="A5123" t="str">
        <x:v>CA-2015-127173</x:v>
      </x:c>
      <x:c r="B5123" s="18" t="n">
        <x:v>42273</x:v>
      </x:c>
      <x:c r="C5123" t="str">
        <x:v>GM-14500</x:v>
      </x:c>
      <x:c r="D5123" t="str">
        <x:v>Gene McClure</x:v>
      </x:c>
      <x:c r="E5123" t="str">
        <x:v>Consumer</x:v>
      </x:c>
      <x:c r="F5123" t="str">
        <x:v>East</x:v>
      </x:c>
      <x:c r="G5123" t="str">
        <x:v>Technology</x:v>
      </x:c>
      <x:c r="H5123" t="str">
        <x:v>Machines</x:v>
      </x:c>
      <x:c r="I5123" s="22" t="n">
        <x:v>629.93</x:v>
      </x:c>
      <x:c r="J5123" s="24" t="n">
        <x:v>7</x:v>
      </x:c>
      <x:c r="K5123" s="26" t="n">
        <x:v>0</x:v>
      </x:c>
      <x:c r="L5123" s="22" t="n">
        <x:v>296.0671</x:v>
      </x:c>
      <x:c r="M5123" t="n">
        <x:v>2015</x:v>
      </x:c>
      <x:c r="N5123" s="20" t="n">
        <x:v>42248</x:v>
      </x:c>
    </x:row>
    <x:row r="5124" ht="18" customHeight="1">
      <x:c r="A5124" t="str">
        <x:v>CA-2015-127173</x:v>
      </x:c>
      <x:c r="B5124" s="18" t="n">
        <x:v>42273</x:v>
      </x:c>
      <x:c r="C5124" t="str">
        <x:v>GM-14500</x:v>
      </x:c>
      <x:c r="D5124" t="str">
        <x:v>Gene McClure</x:v>
      </x:c>
      <x:c r="E5124" t="str">
        <x:v>Consumer</x:v>
      </x:c>
      <x:c r="F5124" t="str">
        <x:v>East</x:v>
      </x:c>
      <x:c r="G5124" t="str">
        <x:v>Office Supplies</x:v>
      </x:c>
      <x:c r="H5124" t="str">
        <x:v>Binders</x:v>
      </x:c>
      <x:c r="I5124" s="22" t="n">
        <x:v>79.05600000000001</x:v>
      </x:c>
      <x:c r="J5124" s="24" t="n">
        <x:v>9</x:v>
      </x:c>
      <x:c r="K5124" s="26" t="n">
        <x:v>0.2</x:v>
      </x:c>
      <x:c r="L5124" s="22" t="n">
        <x:v>28.6578</x:v>
      </x:c>
      <x:c r="M5124" t="n">
        <x:v>2015</x:v>
      </x:c>
      <x:c r="N5124" s="20" t="n">
        <x:v>42248</x:v>
      </x:c>
    </x:row>
    <x:row r="5125" ht="18" customHeight="1">
      <x:c r="A5125" t="str">
        <x:v>CA-2014-149538</x:v>
      </x:c>
      <x:c r="B5125" s="18" t="n">
        <x:v>41733</x:v>
      </x:c>
      <x:c r="C5125" t="str">
        <x:v>KB-16585</x:v>
      </x:c>
      <x:c r="D5125" t="str">
        <x:v>Ken Black</x:v>
      </x:c>
      <x:c r="E5125" t="str">
        <x:v>Corporate</x:v>
      </x:c>
      <x:c r="F5125" t="str">
        <x:v>South</x:v>
      </x:c>
      <x:c r="G5125" t="str">
        <x:v>Office Supplies</x:v>
      </x:c>
      <x:c r="H5125" t="str">
        <x:v>Storage</x:v>
      </x:c>
      <x:c r="I5125" s="22" t="n">
        <x:v>232.54999999999998</x:v>
      </x:c>
      <x:c r="J5125" s="24" t="n">
        <x:v>5</x:v>
      </x:c>
      <x:c r="K5125" s="26" t="n">
        <x:v>0</x:v>
      </x:c>
      <x:c r="L5125" s="22" t="n">
        <x:v>9.301999999999992</x:v>
      </x:c>
      <x:c r="M5125" t="n">
        <x:v>2014</x:v>
      </x:c>
      <x:c r="N5125" s="20" t="n">
        <x:v>41730</x:v>
      </x:c>
    </x:row>
    <x:row r="5126" ht="18" customHeight="1">
      <x:c r="A5126" t="str">
        <x:v>CA-2014-149538</x:v>
      </x:c>
      <x:c r="B5126" s="18" t="n">
        <x:v>41733</x:v>
      </x:c>
      <x:c r="C5126" t="str">
        <x:v>KB-16585</x:v>
      </x:c>
      <x:c r="D5126" t="str">
        <x:v>Ken Black</x:v>
      </x:c>
      <x:c r="E5126" t="str">
        <x:v>Corporate</x:v>
      </x:c>
      <x:c r="F5126" t="str">
        <x:v>South</x:v>
      </x:c>
      <x:c r="G5126" t="str">
        <x:v>Technology</x:v>
      </x:c>
      <x:c r="H5126" t="str">
        <x:v>Accessories</x:v>
      </x:c>
      <x:c r="I5126" s="22" t="n">
        <x:v>99.98</x:v>
      </x:c>
      <x:c r="J5126" s="24" t="n">
        <x:v>2</x:v>
      </x:c>
      <x:c r="K5126" s="26" t="n">
        <x:v>0</x:v>
      </x:c>
      <x:c r="L5126" s="22" t="n">
        <x:v>42.991400000000006</x:v>
      </x:c>
      <x:c r="M5126" t="n">
        <x:v>2014</x:v>
      </x:c>
      <x:c r="N5126" s="20" t="n">
        <x:v>41730</x:v>
      </x:c>
    </x:row>
    <x:row r="5127" ht="18" customHeight="1">
      <x:c r="A5127" t="str">
        <x:v>CA-2014-149538</x:v>
      </x:c>
      <x:c r="B5127" s="18" t="n">
        <x:v>41733</x:v>
      </x:c>
      <x:c r="C5127" t="str">
        <x:v>KB-16585</x:v>
      </x:c>
      <x:c r="D5127" t="str">
        <x:v>Ken Black</x:v>
      </x:c>
      <x:c r="E5127" t="str">
        <x:v>Corporate</x:v>
      </x:c>
      <x:c r="F5127" t="str">
        <x:v>South</x:v>
      </x:c>
      <x:c r="G5127" t="str">
        <x:v>Office Supplies</x:v>
      </x:c>
      <x:c r="H5127" t="str">
        <x:v>Paper</x:v>
      </x:c>
      <x:c r="I5127" s="22" t="n">
        <x:v>19.44</x:v>
      </x:c>
      <x:c r="J5127" s="24" t="n">
        <x:v>3</x:v>
      </x:c>
      <x:c r="K5127" s="26" t="n">
        <x:v>0</x:v>
      </x:c>
      <x:c r="L5127" s="22" t="n">
        <x:v>9.3312</x:v>
      </x:c>
      <x:c r="M5127" t="n">
        <x:v>2014</x:v>
      </x:c>
      <x:c r="N5127" s="20" t="n">
        <x:v>41730</x:v>
      </x:c>
    </x:row>
    <x:row r="5128" ht="18" customHeight="1">
      <x:c r="A5128" t="str">
        <x:v>CA-2014-149538</x:v>
      </x:c>
      <x:c r="B5128" s="18" t="n">
        <x:v>41733</x:v>
      </x:c>
      <x:c r="C5128" t="str">
        <x:v>KB-16585</x:v>
      </x:c>
      <x:c r="D5128" t="str">
        <x:v>Ken Black</x:v>
      </x:c>
      <x:c r="E5128" t="str">
        <x:v>Corporate</x:v>
      </x:c>
      <x:c r="F5128" t="str">
        <x:v>South</x:v>
      </x:c>
      <x:c r="G5128" t="str">
        <x:v>Office Supplies</x:v>
      </x:c>
      <x:c r="H5128" t="str">
        <x:v>Paper</x:v>
      </x:c>
      <x:c r="I5128" s="22" t="n">
        <x:v>12.96</x:v>
      </x:c>
      <x:c r="J5128" s="24" t="n">
        <x:v>2</x:v>
      </x:c>
      <x:c r="K5128" s="26" t="n">
        <x:v>0</x:v>
      </x:c>
      <x:c r="L5128" s="22" t="n">
        <x:v>6.3504000000000005</x:v>
      </x:c>
      <x:c r="M5128" t="n">
        <x:v>2014</x:v>
      </x:c>
      <x:c r="N5128" s="20" t="n">
        <x:v>41730</x:v>
      </x:c>
    </x:row>
    <x:row r="5129" ht="18" customHeight="1">
      <x:c r="A5129" t="str">
        <x:v>CA-2014-160766</x:v>
      </x:c>
      <x:c r="B5129" s="18" t="n">
        <x:v>41896</x:v>
      </x:c>
      <x:c r="C5129" t="str">
        <x:v>DM-13015</x:v>
      </x:c>
      <x:c r="D5129" t="str">
        <x:v>Darrin Martin</x:v>
      </x:c>
      <x:c r="E5129" t="str">
        <x:v>Consumer</x:v>
      </x:c>
      <x:c r="F5129" t="str">
        <x:v>East</x:v>
      </x:c>
      <x:c r="G5129" t="str">
        <x:v>Furniture</x:v>
      </x:c>
      <x:c r="H5129" t="str">
        <x:v>Tables</x:v>
      </x:c>
      <x:c r="I5129" s="22" t="n">
        <x:v>464.29200000000003</x:v>
      </x:c>
      <x:c r="J5129" s="24" t="n">
        <x:v>9</x:v>
      </x:c>
      <x:c r="K5129" s="26" t="n">
        <x:v>0.4</x:v>
      </x:c>
      <x:c r="L5129" s="22" t="n">
        <x:v>-108.33479999999997</x:v>
      </x:c>
      <x:c r="M5129" t="n">
        <x:v>2014</x:v>
      </x:c>
      <x:c r="N5129" s="20" t="n">
        <x:v>41883</x:v>
      </x:c>
    </x:row>
    <x:row r="5130" ht="18" customHeight="1">
      <x:c r="A5130" t="str">
        <x:v>CA-2014-160766</x:v>
      </x:c>
      <x:c r="B5130" s="18" t="n">
        <x:v>41896</x:v>
      </x:c>
      <x:c r="C5130" t="str">
        <x:v>DM-13015</x:v>
      </x:c>
      <x:c r="D5130" t="str">
        <x:v>Darrin Martin</x:v>
      </x:c>
      <x:c r="E5130" t="str">
        <x:v>Consumer</x:v>
      </x:c>
      <x:c r="F5130" t="str">
        <x:v>East</x:v>
      </x:c>
      <x:c r="G5130" t="str">
        <x:v>Office Supplies</x:v>
      </x:c>
      <x:c r="H5130" t="str">
        <x:v>Envelopes</x:v>
      </x:c>
      <x:c r="I5130" s="22" t="n">
        <x:v>68.46</x:v>
      </x:c>
      <x:c r="J5130" s="24" t="n">
        <x:v>7</x:v>
      </x:c>
      <x:c r="K5130" s="26" t="n">
        <x:v>0</x:v>
      </x:c>
      <x:c r="L5130" s="22" t="n">
        <x:v>31.491599999999995</x:v>
      </x:c>
      <x:c r="M5130" t="n">
        <x:v>2014</x:v>
      </x:c>
      <x:c r="N5130" s="20" t="n">
        <x:v>41883</x:v>
      </x:c>
    </x:row>
    <x:row r="5131" ht="18" customHeight="1">
      <x:c r="A5131" t="str">
        <x:v>CA-2014-160766</x:v>
      </x:c>
      <x:c r="B5131" s="18" t="n">
        <x:v>41896</x:v>
      </x:c>
      <x:c r="C5131" t="str">
        <x:v>DM-13015</x:v>
      </x:c>
      <x:c r="D5131" t="str">
        <x:v>Darrin Martin</x:v>
      </x:c>
      <x:c r="E5131" t="str">
        <x:v>Consumer</x:v>
      </x:c>
      <x:c r="F5131" t="str">
        <x:v>East</x:v>
      </x:c>
      <x:c r="G5131" t="str">
        <x:v>Technology</x:v>
      </x:c>
      <x:c r="H5131" t="str">
        <x:v>Machines</x:v>
      </x:c>
      <x:c r="I5131" s="22" t="n">
        <x:v>2799.96</x:v>
      </x:c>
      <x:c r="J5131" s="24" t="n">
        <x:v>4</x:v>
      </x:c>
      <x:c r="K5131" s="26" t="n">
        <x:v>0</x:v>
      </x:c>
      <x:c r="L5131" s="22" t="n">
        <x:v>1371.9804</x:v>
      </x:c>
      <x:c r="M5131" t="n">
        <x:v>2014</x:v>
      </x:c>
      <x:c r="N5131" s="20" t="n">
        <x:v>41883</x:v>
      </x:c>
    </x:row>
    <x:row r="5132" ht="18" customHeight="1">
      <x:c r="A5132" t="str">
        <x:v>CA-2014-160766</x:v>
      </x:c>
      <x:c r="B5132" s="18" t="n">
        <x:v>41896</x:v>
      </x:c>
      <x:c r="C5132" t="str">
        <x:v>DM-13015</x:v>
      </x:c>
      <x:c r="D5132" t="str">
        <x:v>Darrin Martin</x:v>
      </x:c>
      <x:c r="E5132" t="str">
        <x:v>Consumer</x:v>
      </x:c>
      <x:c r="F5132" t="str">
        <x:v>East</x:v>
      </x:c>
      <x:c r="G5132" t="str">
        <x:v>Office Supplies</x:v>
      </x:c>
      <x:c r="H5132" t="str">
        <x:v>Appliances</x:v>
      </x:c>
      <x:c r="I5132" s="22" t="n">
        <x:v>601.3</x:v>
      </x:c>
      <x:c r="J5132" s="24" t="n">
        <x:v>2</x:v>
      </x:c>
      <x:c r="K5132" s="26" t="n">
        <x:v>0</x:v>
      </x:c>
      <x:c r="L5132" s="22" t="n">
        <x:v>198.42899999999997</x:v>
      </x:c>
      <x:c r="M5132" t="n">
        <x:v>2014</x:v>
      </x:c>
      <x:c r="N5132" s="20" t="n">
        <x:v>41883</x:v>
      </x:c>
    </x:row>
    <x:row r="5133" ht="18" customHeight="1">
      <x:c r="A5133" t="str">
        <x:v>CA-2014-160766</x:v>
      </x:c>
      <x:c r="B5133" s="18" t="n">
        <x:v>41896</x:v>
      </x:c>
      <x:c r="C5133" t="str">
        <x:v>DM-13015</x:v>
      </x:c>
      <x:c r="D5133" t="str">
        <x:v>Darrin Martin</x:v>
      </x:c>
      <x:c r="E5133" t="str">
        <x:v>Consumer</x:v>
      </x:c>
      <x:c r="F5133" t="str">
        <x:v>East</x:v>
      </x:c>
      <x:c r="G5133" t="str">
        <x:v>Technology</x:v>
      </x:c>
      <x:c r="H5133" t="str">
        <x:v>Phones</x:v>
      </x:c>
      <x:c r="I5133" s="22" t="n">
        <x:v>16.99</x:v>
      </x:c>
      <x:c r="J5133" s="24" t="n">
        <x:v>1</x:v>
      </x:c>
      <x:c r="K5133" s="26" t="n">
        <x:v>0</x:v>
      </x:c>
      <x:c r="L5133" s="22" t="n">
        <x:v>4.417399999999999</x:v>
      </x:c>
      <x:c r="M5133" t="n">
        <x:v>2014</x:v>
      </x:c>
      <x:c r="N5133" s="20" t="n">
        <x:v>41883</x:v>
      </x:c>
    </x:row>
    <x:row r="5134" ht="18" customHeight="1">
      <x:c r="A5134" t="str">
        <x:v>CA-2014-160766</x:v>
      </x:c>
      <x:c r="B5134" s="18" t="n">
        <x:v>41896</x:v>
      </x:c>
      <x:c r="C5134" t="str">
        <x:v>DM-13015</x:v>
      </x:c>
      <x:c r="D5134" t="str">
        <x:v>Darrin Martin</x:v>
      </x:c>
      <x:c r="E5134" t="str">
        <x:v>Consumer</x:v>
      </x:c>
      <x:c r="F5134" t="str">
        <x:v>East</x:v>
      </x:c>
      <x:c r="G5134" t="str">
        <x:v>Technology</x:v>
      </x:c>
      <x:c r="H5134" t="str">
        <x:v>Phones</x:v>
      </x:c>
      <x:c r="I5134" s="22" t="n">
        <x:v>287.96999999999997</x:v>
      </x:c>
      <x:c r="J5134" s="24" t="n">
        <x:v>3</x:v>
      </x:c>
      <x:c r="K5134" s="26" t="n">
        <x:v>0</x:v>
      </x:c>
      <x:c r="L5134" s="22" t="n">
        <x:v>80.6316</x:v>
      </x:c>
      <x:c r="M5134" t="n">
        <x:v>2014</x:v>
      </x:c>
      <x:c r="N5134" s="20" t="n">
        <x:v>41883</x:v>
      </x:c>
    </x:row>
    <x:row r="5135" ht="18" customHeight="1">
      <x:c r="A5135" t="str">
        <x:v>CA-2014-160766</x:v>
      </x:c>
      <x:c r="B5135" s="18" t="n">
        <x:v>41896</x:v>
      </x:c>
      <x:c r="C5135" t="str">
        <x:v>DM-13015</x:v>
      </x:c>
      <x:c r="D5135" t="str">
        <x:v>Darrin Martin</x:v>
      </x:c>
      <x:c r="E5135" t="str">
        <x:v>Consumer</x:v>
      </x:c>
      <x:c r="F5135" t="str">
        <x:v>East</x:v>
      </x:c>
      <x:c r="G5135" t="str">
        <x:v>Office Supplies</x:v>
      </x:c>
      <x:c r="H5135" t="str">
        <x:v>Paper</x:v>
      </x:c>
      <x:c r="I5135" s="22" t="n">
        <x:v>44.82000000000001</x:v>
      </x:c>
      <x:c r="J5135" s="24" t="n">
        <x:v>9</x:v>
      </x:c>
      <x:c r="K5135" s="26" t="n">
        <x:v>0</x:v>
      </x:c>
      <x:c r="L5135" s="22" t="n">
        <x:v>21.065400000000004</x:v>
      </x:c>
      <x:c r="M5135" t="n">
        <x:v>2014</x:v>
      </x:c>
      <x:c r="N5135" s="20" t="n">
        <x:v>41883</x:v>
      </x:c>
    </x:row>
    <x:row r="5136" ht="18" customHeight="1">
      <x:c r="A5136" t="str">
        <x:v>CA-2017-146626</x:v>
      </x:c>
      <x:c r="B5136" s="18" t="n">
        <x:v>43098</x:v>
      </x:c>
      <x:c r="C5136" t="str">
        <x:v>BP-11185</x:v>
      </x:c>
      <x:c r="D5136" t="str">
        <x:v>Ben Peterman</x:v>
      </x:c>
      <x:c r="E5136" t="str">
        <x:v>Corporate</x:v>
      </x:c>
      <x:c r="F5136" t="str">
        <x:v>West</x:v>
      </x:c>
      <x:c r="G5136" t="str">
        <x:v>Furniture</x:v>
      </x:c>
      <x:c r="H5136" t="str">
        <x:v>Furnishings</x:v>
      </x:c>
      <x:c r="I5136" s="22" t="n">
        <x:v>101.12</x:v>
      </x:c>
      <x:c r="J5136" s="24" t="n">
        <x:v>8</x:v>
      </x:c>
      <x:c r="K5136" s="26" t="n">
        <x:v>0</x:v>
      </x:c>
      <x:c r="L5136" s="22" t="n">
        <x:v>37.4144</x:v>
      </x:c>
      <x:c r="M5136" t="n">
        <x:v>2017</x:v>
      </x:c>
      <x:c r="N5136" s="20" t="n">
        <x:v>43070</x:v>
      </x:c>
    </x:row>
    <x:row r="5137" ht="18" customHeight="1">
      <x:c r="A5137" t="str">
        <x:v>CA-2015-123330</x:v>
      </x:c>
      <x:c r="B5137" s="18" t="n">
        <x:v>42176</x:v>
      </x:c>
      <x:c r="C5137" t="str">
        <x:v>EP-13915</x:v>
      </x:c>
      <x:c r="D5137" t="str">
        <x:v>Emily Phan</x:v>
      </x:c>
      <x:c r="E5137" t="str">
        <x:v>Consumer</x:v>
      </x:c>
      <x:c r="F5137" t="str">
        <x:v>South</x:v>
      </x:c>
      <x:c r="G5137" t="str">
        <x:v>Technology</x:v>
      </x:c>
      <x:c r="H5137" t="str">
        <x:v>Phones</x:v>
      </x:c>
      <x:c r="I5137" s="22" t="n">
        <x:v>107.97600000000001</x:v>
      </x:c>
      <x:c r="J5137" s="24" t="n">
        <x:v>3</x:v>
      </x:c>
      <x:c r="K5137" s="26" t="n">
        <x:v>0.2</x:v>
      </x:c>
      <x:c r="L5137" s="22" t="n">
        <x:v>37.79159999999999</x:v>
      </x:c>
      <x:c r="M5137" t="n">
        <x:v>2015</x:v>
      </x:c>
      <x:c r="N5137" s="20" t="n">
        <x:v>42156</x:v>
      </x:c>
    </x:row>
    <x:row r="5138" ht="18" customHeight="1">
      <x:c r="A5138" t="str">
        <x:v>CA-2017-155607</x:v>
      </x:c>
      <x:c r="B5138" s="18" t="n">
        <x:v>43065</x:v>
      </x:c>
      <x:c r="C5138" t="str">
        <x:v>FG-14260</x:v>
      </x:c>
      <x:c r="D5138" t="str">
        <x:v>Frank Gastineau</x:v>
      </x:c>
      <x:c r="E5138" t="str">
        <x:v>Home Office</x:v>
      </x:c>
      <x:c r="F5138" t="str">
        <x:v>East</x:v>
      </x:c>
      <x:c r="G5138" t="str">
        <x:v>Office Supplies</x:v>
      </x:c>
      <x:c r="H5138" t="str">
        <x:v>Appliances</x:v>
      </x:c>
      <x:c r="I5138" s="22" t="n">
        <x:v>58.730000000000004</x:v>
      </x:c>
      <x:c r="J5138" s="24" t="n">
        <x:v>7</x:v>
      </x:c>
      <x:c r="K5138" s="26" t="n">
        <x:v>0</x:v>
      </x:c>
      <x:c r="L5138" s="22" t="n">
        <x:v>14.682500000000001</x:v>
      </x:c>
      <x:c r="M5138" t="n">
        <x:v>2017</x:v>
      </x:c>
      <x:c r="N5138" s="20" t="n">
        <x:v>43040</x:v>
      </x:c>
    </x:row>
    <x:row r="5139" ht="18" customHeight="1">
      <x:c r="A5139" t="str">
        <x:v>CA-2017-155607</x:v>
      </x:c>
      <x:c r="B5139" s="18" t="n">
        <x:v>43065</x:v>
      </x:c>
      <x:c r="C5139" t="str">
        <x:v>FG-14260</x:v>
      </x:c>
      <x:c r="D5139" t="str">
        <x:v>Frank Gastineau</x:v>
      </x:c>
      <x:c r="E5139" t="str">
        <x:v>Home Office</x:v>
      </x:c>
      <x:c r="F5139" t="str">
        <x:v>East</x:v>
      </x:c>
      <x:c r="G5139" t="str">
        <x:v>Office Supplies</x:v>
      </x:c>
      <x:c r="H5139" t="str">
        <x:v>Binders</x:v>
      </x:c>
      <x:c r="I5139" s="22" t="n">
        <x:v>93.34400000000001</x:v>
      </x:c>
      <x:c r="J5139" s="24" t="n">
        <x:v>4</x:v>
      </x:c>
      <x:c r="K5139" s="26" t="n">
        <x:v>0.2</x:v>
      </x:c>
      <x:c r="L5139" s="22" t="n">
        <x:v>32.6704</x:v>
      </x:c>
      <x:c r="M5139" t="n">
        <x:v>2017</x:v>
      </x:c>
      <x:c r="N5139" s="20" t="n">
        <x:v>43040</x:v>
      </x:c>
    </x:row>
    <x:row r="5140" ht="18" customHeight="1">
      <x:c r="A5140" t="str">
        <x:v>CA-2016-151323</x:v>
      </x:c>
      <x:c r="B5140" s="18" t="n">
        <x:v>42666</x:v>
      </x:c>
      <x:c r="C5140" t="str">
        <x:v>AB-10255</x:v>
      </x:c>
      <x:c r="D5140" t="str">
        <x:v>Alejandro Ballentine</x:v>
      </x:c>
      <x:c r="E5140" t="str">
        <x:v>Home Office</x:v>
      </x:c>
      <x:c r="F5140" t="str">
        <x:v>West</x:v>
      </x:c>
      <x:c r="G5140" t="str">
        <x:v>Office Supplies</x:v>
      </x:c>
      <x:c r="H5140" t="str">
        <x:v>Fasteners</x:v>
      </x:c>
      <x:c r="I5140" s="22" t="n">
        <x:v>17.05</x:v>
      </x:c>
      <x:c r="J5140" s="24" t="n">
        <x:v>5</x:v>
      </x:c>
      <x:c r="K5140" s="26" t="n">
        <x:v>0</x:v>
      </x:c>
      <x:c r="L5140" s="22" t="n">
        <x:v>8.184000000000001</x:v>
      </x:c>
      <x:c r="M5140" t="n">
        <x:v>2016</x:v>
      </x:c>
      <x:c r="N5140" s="20" t="n">
        <x:v>42644</x:v>
      </x:c>
    </x:row>
    <x:row r="5141" ht="18" customHeight="1">
      <x:c r="A5141" t="str">
        <x:v>CA-2015-146696</x:v>
      </x:c>
      <x:c r="B5141" s="18" t="n">
        <x:v>42352</x:v>
      </x:c>
      <x:c r="C5141" t="str">
        <x:v>RD-19480</x:v>
      </x:c>
      <x:c r="D5141" t="str">
        <x:v>Rick Duston</x:v>
      </x:c>
      <x:c r="E5141" t="str">
        <x:v>Consumer</x:v>
      </x:c>
      <x:c r="F5141" t="str">
        <x:v>West</x:v>
      </x:c>
      <x:c r="G5141" t="str">
        <x:v>Office Supplies</x:v>
      </x:c>
      <x:c r="H5141" t="str">
        <x:v>Binders</x:v>
      </x:c>
      <x:c r="I5141" s="22" t="n">
        <x:v>8.096</x:v>
      </x:c>
      <x:c r="J5141" s="24" t="n">
        <x:v>2</x:v>
      </x:c>
      <x:c r="K5141" s="26" t="n">
        <x:v>0.2</x:v>
      </x:c>
      <x:c r="L5141" s="22" t="n">
        <x:v>2.7323999999999993</x:v>
      </x:c>
      <x:c r="M5141" t="n">
        <x:v>2015</x:v>
      </x:c>
      <x:c r="N5141" s="20" t="n">
        <x:v>42339</x:v>
      </x:c>
    </x:row>
    <x:row r="5142" ht="18" customHeight="1">
      <x:c r="A5142" t="str">
        <x:v>CA-2016-128972</x:v>
      </x:c>
      <x:c r="B5142" s="18" t="n">
        <x:v>42687</x:v>
      </x:c>
      <x:c r="C5142" t="str">
        <x:v>TS-21430</x:v>
      </x:c>
      <x:c r="D5142" t="str">
        <x:v>Tom Stivers</x:v>
      </x:c>
      <x:c r="E5142" t="str">
        <x:v>Corporate</x:v>
      </x:c>
      <x:c r="F5142" t="str">
        <x:v>Central</x:v>
      </x:c>
      <x:c r="G5142" t="str">
        <x:v>Furniture</x:v>
      </x:c>
      <x:c r="H5142" t="str">
        <x:v>Furnishings</x:v>
      </x:c>
      <x:c r="I5142" s="22" t="n">
        <x:v>30.36</x:v>
      </x:c>
      <x:c r="J5142" s="24" t="n">
        <x:v>4</x:v>
      </x:c>
      <x:c r="K5142" s="26" t="n">
        <x:v>0</x:v>
      </x:c>
      <x:c r="L5142" s="22" t="n">
        <x:v>13.0548</x:v>
      </x:c>
      <x:c r="M5142" t="n">
        <x:v>2016</x:v>
      </x:c>
      <x:c r="N5142" s="20" t="n">
        <x:v>42675</x:v>
      </x:c>
    </x:row>
    <x:row r="5143" ht="18" customHeight="1">
      <x:c r="A5143" t="str">
        <x:v>CA-2017-128335</x:v>
      </x:c>
      <x:c r="B5143" s="18" t="n">
        <x:v>43007</x:v>
      </x:c>
      <x:c r="C5143" t="str">
        <x:v>JA-15970</x:v>
      </x:c>
      <x:c r="D5143" t="str">
        <x:v>Joseph Airdo</x:v>
      </x:c>
      <x:c r="E5143" t="str">
        <x:v>Consumer</x:v>
      </x:c>
      <x:c r="F5143" t="str">
        <x:v>East</x:v>
      </x:c>
      <x:c r="G5143" t="str">
        <x:v>Office Supplies</x:v>
      </x:c>
      <x:c r="H5143" t="str">
        <x:v>Envelopes</x:v>
      </x:c>
      <x:c r="I5143" s="22" t="n">
        <x:v>23.34</x:v>
      </x:c>
      <x:c r="J5143" s="24" t="n">
        <x:v>3</x:v>
      </x:c>
      <x:c r="K5143" s="26" t="n">
        <x:v>0</x:v>
      </x:c>
      <x:c r="L5143" s="22" t="n">
        <x:v>10.9698</x:v>
      </x:c>
      <x:c r="M5143" t="n">
        <x:v>2017</x:v>
      </x:c>
      <x:c r="N5143" s="20" t="n">
        <x:v>42979</x:v>
      </x:c>
    </x:row>
    <x:row r="5144" ht="18" customHeight="1">
      <x:c r="A5144" t="str">
        <x:v>CA-2017-128335</x:v>
      </x:c>
      <x:c r="B5144" s="18" t="n">
        <x:v>43007</x:v>
      </x:c>
      <x:c r="C5144" t="str">
        <x:v>JA-15970</x:v>
      </x:c>
      <x:c r="D5144" t="str">
        <x:v>Joseph Airdo</x:v>
      </x:c>
      <x:c r="E5144" t="str">
        <x:v>Consumer</x:v>
      </x:c>
      <x:c r="F5144" t="str">
        <x:v>East</x:v>
      </x:c>
      <x:c r="G5144" t="str">
        <x:v>Office Supplies</x:v>
      </x:c>
      <x:c r="H5144" t="str">
        <x:v>Paper</x:v>
      </x:c>
      <x:c r="I5144" s="22" t="n">
        <x:v>51.550000000000004</x:v>
      </x:c>
      <x:c r="J5144" s="24" t="n">
        <x:v>5</x:v>
      </x:c>
      <x:c r="K5144" s="26" t="n">
        <x:v>0</x:v>
      </x:c>
      <x:c r="L5144" s="22" t="n">
        <x:v>24.2285</x:v>
      </x:c>
      <x:c r="M5144" t="n">
        <x:v>2017</x:v>
      </x:c>
      <x:c r="N5144" s="20" t="n">
        <x:v>42979</x:v>
      </x:c>
    </x:row>
    <x:row r="5145" ht="18" customHeight="1">
      <x:c r="A5145" t="str">
        <x:v>CA-2015-154886</x:v>
      </x:c>
      <x:c r="B5145" s="18" t="n">
        <x:v>42316</x:v>
      </x:c>
      <x:c r="C5145" t="str">
        <x:v>SW-20455</x:v>
      </x:c>
      <x:c r="D5145" t="str">
        <x:v>Shaun Weien</x:v>
      </x:c>
      <x:c r="E5145" t="str">
        <x:v>Consumer</x:v>
      </x:c>
      <x:c r="F5145" t="str">
        <x:v>West</x:v>
      </x:c>
      <x:c r="G5145" t="str">
        <x:v>Technology</x:v>
      </x:c>
      <x:c r="H5145" t="str">
        <x:v>Accessories</x:v>
      </x:c>
      <x:c r="I5145" s="22" t="n">
        <x:v>119.9</x:v>
      </x:c>
      <x:c r="J5145" s="24" t="n">
        <x:v>2</x:v>
      </x:c>
      <x:c r="K5145" s="26" t="n">
        <x:v>0</x:v>
      </x:c>
      <x:c r="L5145" s="22" t="n">
        <x:v>43.164</x:v>
      </x:c>
      <x:c r="M5145" t="n">
        <x:v>2015</x:v>
      </x:c>
      <x:c r="N5145" s="20" t="n">
        <x:v>42309</x:v>
      </x:c>
    </x:row>
    <x:row r="5146" ht="18" customHeight="1">
      <x:c r="A5146" t="str">
        <x:v>CA-2016-111213</x:v>
      </x:c>
      <x:c r="B5146" s="18" t="n">
        <x:v>42461</x:v>
      </x:c>
      <x:c r="C5146" t="str">
        <x:v>FP-14320</x:v>
      </x:c>
      <x:c r="D5146" t="str">
        <x:v>Frank Preis</x:v>
      </x:c>
      <x:c r="E5146" t="str">
        <x:v>Consumer</x:v>
      </x:c>
      <x:c r="F5146" t="str">
        <x:v>East</x:v>
      </x:c>
      <x:c r="G5146" t="str">
        <x:v>Furniture</x:v>
      </x:c>
      <x:c r="H5146" t="str">
        <x:v>Chairs</x:v>
      </x:c>
      <x:c r="I5146" s="22" t="n">
        <x:v>1317.492</x:v>
      </x:c>
      <x:c r="J5146" s="24" t="n">
        <x:v>6</x:v>
      </x:c>
      <x:c r="K5146" s="26" t="n">
        <x:v>0.1</x:v>
      </x:c>
      <x:c r="L5146" s="22" t="n">
        <x:v>292.77599999999995</x:v>
      </x:c>
      <x:c r="M5146" t="n">
        <x:v>2016</x:v>
      </x:c>
      <x:c r="N5146" s="20" t="n">
        <x:v>42461</x:v>
      </x:c>
    </x:row>
    <x:row r="5147" ht="18" customHeight="1">
      <x:c r="A5147" t="str">
        <x:v>CA-2016-111213</x:v>
      </x:c>
      <x:c r="B5147" s="18" t="n">
        <x:v>42461</x:v>
      </x:c>
      <x:c r="C5147" t="str">
        <x:v>FP-14320</x:v>
      </x:c>
      <x:c r="D5147" t="str">
        <x:v>Frank Preis</x:v>
      </x:c>
      <x:c r="E5147" t="str">
        <x:v>Consumer</x:v>
      </x:c>
      <x:c r="F5147" t="str">
        <x:v>East</x:v>
      </x:c>
      <x:c r="G5147" t="str">
        <x:v>Office Supplies</x:v>
      </x:c>
      <x:c r="H5147" t="str">
        <x:v>Supplies</x:v>
      </x:c>
      <x:c r="I5147" s="22" t="n">
        <x:v>63.84</x:v>
      </x:c>
      <x:c r="J5147" s="24" t="n">
        <x:v>8</x:v>
      </x:c>
      <x:c r="K5147" s="26" t="n">
        <x:v>0</x:v>
      </x:c>
      <x:c r="L5147" s="22" t="n">
        <x:v>18.513599999999997</x:v>
      </x:c>
      <x:c r="M5147" t="n">
        <x:v>2016</x:v>
      </x:c>
      <x:c r="N5147" s="20" t="n">
        <x:v>42461</x:v>
      </x:c>
    </x:row>
    <x:row r="5148" ht="18" customHeight="1">
      <x:c r="A5148" t="str">
        <x:v>CA-2016-111213</x:v>
      </x:c>
      <x:c r="B5148" s="18" t="n">
        <x:v>42461</x:v>
      </x:c>
      <x:c r="C5148" t="str">
        <x:v>FP-14320</x:v>
      </x:c>
      <x:c r="D5148" t="str">
        <x:v>Frank Preis</x:v>
      </x:c>
      <x:c r="E5148" t="str">
        <x:v>Consumer</x:v>
      </x:c>
      <x:c r="F5148" t="str">
        <x:v>East</x:v>
      </x:c>
      <x:c r="G5148" t="str">
        <x:v>Office Supplies</x:v>
      </x:c>
      <x:c r="H5148" t="str">
        <x:v>Binders</x:v>
      </x:c>
      <x:c r="I5148" s="22" t="n">
        <x:v>3.5920000000000005</x:v>
      </x:c>
      <x:c r="J5148" s="24" t="n">
        <x:v>1</x:v>
      </x:c>
      <x:c r="K5148" s="26" t="n">
        <x:v>0.2</x:v>
      </x:c>
      <x:c r="L5148" s="22" t="n">
        <x:v>1.1224999999999996</x:v>
      </x:c>
      <x:c r="M5148" t="n">
        <x:v>2016</x:v>
      </x:c>
      <x:c r="N5148" s="20" t="n">
        <x:v>42461</x:v>
      </x:c>
    </x:row>
    <x:row r="5149" ht="18" customHeight="1">
      <x:c r="A5149" t="str">
        <x:v>CA-2017-161333</x:v>
      </x:c>
      <x:c r="B5149" s="18" t="n">
        <x:v>42768</x:v>
      </x:c>
      <x:c r="C5149" t="str">
        <x:v>JL-15835</x:v>
      </x:c>
      <x:c r="D5149" t="str">
        <x:v>John Lee</x:v>
      </x:c>
      <x:c r="E5149" t="str">
        <x:v>Consumer</x:v>
      </x:c>
      <x:c r="F5149" t="str">
        <x:v>West</x:v>
      </x:c>
      <x:c r="G5149" t="str">
        <x:v>Furniture</x:v>
      </x:c>
      <x:c r="H5149" t="str">
        <x:v>Furnishings</x:v>
      </x:c>
      <x:c r="I5149" s="22" t="n">
        <x:v>86.26</x:v>
      </x:c>
      <x:c r="J5149" s="24" t="n">
        <x:v>2</x:v>
      </x:c>
      <x:c r="K5149" s="26" t="n">
        <x:v>0</x:v>
      </x:c>
      <x:c r="L5149" s="22" t="n">
        <x:v>29.328400000000002</x:v>
      </x:c>
      <x:c r="M5149" t="n">
        <x:v>2017</x:v>
      </x:c>
      <x:c r="N5149" s="20" t="n">
        <x:v>42767</x:v>
      </x:c>
    </x:row>
    <x:row r="5150" ht="18" customHeight="1">
      <x:c r="A5150" t="str">
        <x:v>CA-2017-161333</x:v>
      </x:c>
      <x:c r="B5150" s="18" t="n">
        <x:v>42768</x:v>
      </x:c>
      <x:c r="C5150" t="str">
        <x:v>JL-15835</x:v>
      </x:c>
      <x:c r="D5150" t="str">
        <x:v>John Lee</x:v>
      </x:c>
      <x:c r="E5150" t="str">
        <x:v>Consumer</x:v>
      </x:c>
      <x:c r="F5150" t="str">
        <x:v>West</x:v>
      </x:c>
      <x:c r="G5150" t="str">
        <x:v>Office Supplies</x:v>
      </x:c>
      <x:c r="H5150" t="str">
        <x:v>Storage</x:v>
      </x:c>
      <x:c r="I5150" s="22" t="n">
        <x:v>139.04</x:v>
      </x:c>
      <x:c r="J5150" s="24" t="n">
        <x:v>4</x:v>
      </x:c>
      <x:c r="K5150" s="26" t="n">
        <x:v>0</x:v>
      </x:c>
      <x:c r="L5150" s="22" t="n">
        <x:v>38.931200000000004</x:v>
      </x:c>
      <x:c r="M5150" t="n">
        <x:v>2017</x:v>
      </x:c>
      <x:c r="N5150" s="20" t="n">
        <x:v>42767</x:v>
      </x:c>
    </x:row>
    <x:row r="5151" ht="18" customHeight="1">
      <x:c r="A5151" t="str">
        <x:v>CA-2017-161333</x:v>
      </x:c>
      <x:c r="B5151" s="18" t="n">
        <x:v>42768</x:v>
      </x:c>
      <x:c r="C5151" t="str">
        <x:v>JL-15835</x:v>
      </x:c>
      <x:c r="D5151" t="str">
        <x:v>John Lee</x:v>
      </x:c>
      <x:c r="E5151" t="str">
        <x:v>Consumer</x:v>
      </x:c>
      <x:c r="F5151" t="str">
        <x:v>West</x:v>
      </x:c>
      <x:c r="G5151" t="str">
        <x:v>Office Supplies</x:v>
      </x:c>
      <x:c r="H5151" t="str">
        <x:v>Appliances</x:v>
      </x:c>
      <x:c r="I5151" s="22" t="n">
        <x:v>46.8</x:v>
      </x:c>
      <x:c r="J5151" s="24" t="n">
        <x:v>4</x:v>
      </x:c>
      <x:c r="K5151" s="26" t="n">
        <x:v>0</x:v>
      </x:c>
      <x:c r="L5151" s="22" t="n">
        <x:v>16.38</x:v>
      </x:c>
      <x:c r="M5151" t="n">
        <x:v>2017</x:v>
      </x:c>
      <x:c r="N5151" s="20" t="n">
        <x:v>42767</x:v>
      </x:c>
    </x:row>
    <x:row r="5152" ht="18" customHeight="1">
      <x:c r="A5152" t="str">
        <x:v>CA-2017-128734</x:v>
      </x:c>
      <x:c r="B5152" s="18" t="n">
        <x:v>43093</x:v>
      </x:c>
      <x:c r="C5152" t="str">
        <x:v>JL-15175</x:v>
      </x:c>
      <x:c r="D5152" t="str">
        <x:v>James Lanier</x:v>
      </x:c>
      <x:c r="E5152" t="str">
        <x:v>Home Office</x:v>
      </x:c>
      <x:c r="F5152" t="str">
        <x:v>West</x:v>
      </x:c>
      <x:c r="G5152" t="str">
        <x:v>Furniture</x:v>
      </x:c>
      <x:c r="H5152" t="str">
        <x:v>Furnishings</x:v>
      </x:c>
      <x:c r="I5152" s="22" t="n">
        <x:v>8.544</x:v>
      </x:c>
      <x:c r="J5152" s="24" t="n">
        <x:v>4</x:v>
      </x:c>
      <x:c r="K5152" s="26" t="n">
        <x:v>0.2</x:v>
      </x:c>
      <x:c r="L5152" s="22" t="n">
        <x:v>1.9223999999999997</x:v>
      </x:c>
      <x:c r="M5152" t="n">
        <x:v>2017</x:v>
      </x:c>
      <x:c r="N5152" s="20" t="n">
        <x:v>43070</x:v>
      </x:c>
    </x:row>
    <x:row r="5153" ht="18" customHeight="1">
      <x:c r="A5153" t="str">
        <x:v>CA-2017-128734</x:v>
      </x:c>
      <x:c r="B5153" s="18" t="n">
        <x:v>43093</x:v>
      </x:c>
      <x:c r="C5153" t="str">
        <x:v>JL-15175</x:v>
      </x:c>
      <x:c r="D5153" t="str">
        <x:v>James Lanier</x:v>
      </x:c>
      <x:c r="E5153" t="str">
        <x:v>Home Office</x:v>
      </x:c>
      <x:c r="F5153" t="str">
        <x:v>West</x:v>
      </x:c>
      <x:c r="G5153" t="str">
        <x:v>Furniture</x:v>
      </x:c>
      <x:c r="H5153" t="str">
        <x:v>Chairs</x:v>
      </x:c>
      <x:c r="I5153" s="22" t="n">
        <x:v>842.3760000000001</x:v>
      </x:c>
      <x:c r="J5153" s="24" t="n">
        <x:v>3</x:v>
      </x:c>
      <x:c r="K5153" s="26" t="n">
        <x:v>0.2</x:v>
      </x:c>
      <x:c r="L5153" s="22" t="n">
        <x:v>105.29699999999988</x:v>
      </x:c>
      <x:c r="M5153" t="n">
        <x:v>2017</x:v>
      </x:c>
      <x:c r="N5153" s="20" t="n">
        <x:v>43070</x:v>
      </x:c>
    </x:row>
    <x:row r="5154" ht="18" customHeight="1">
      <x:c r="A5154" t="str">
        <x:v>CA-2014-141796</x:v>
      </x:c>
      <x:c r="B5154" s="18" t="n">
        <x:v>41811</x:v>
      </x:c>
      <x:c r="C5154" t="str">
        <x:v>JG-15160</x:v>
      </x:c>
      <x:c r="D5154" t="str">
        <x:v>James Galang</x:v>
      </x:c>
      <x:c r="E5154" t="str">
        <x:v>Consumer</x:v>
      </x:c>
      <x:c r="F5154" t="str">
        <x:v>East</x:v>
      </x:c>
      <x:c r="G5154" t="str">
        <x:v>Technology</x:v>
      </x:c>
      <x:c r="H5154" t="str">
        <x:v>Phones</x:v>
      </x:c>
      <x:c r="I5154" s="22" t="n">
        <x:v>1214.85</x:v>
      </x:c>
      <x:c r="J5154" s="24" t="n">
        <x:v>3</x:v>
      </x:c>
      <x:c r="K5154" s="26" t="n">
        <x:v>0</x:v>
      </x:c>
      <x:c r="L5154" s="22" t="n">
        <x:v>352.30649999999997</x:v>
      </x:c>
      <x:c r="M5154" t="n">
        <x:v>2014</x:v>
      </x:c>
      <x:c r="N5154" s="20" t="n">
        <x:v>41791</x:v>
      </x:c>
    </x:row>
    <x:row r="5155" ht="18" customHeight="1">
      <x:c r="A5155" t="str">
        <x:v>CA-2017-125101</x:v>
      </x:c>
      <x:c r="B5155" s="18" t="n">
        <x:v>42800</x:v>
      </x:c>
      <x:c r="C5155" t="str">
        <x:v>SH-19975</x:v>
      </x:c>
      <x:c r="D5155" t="str">
        <x:v>Sally Hughsby</x:v>
      </x:c>
      <x:c r="E5155" t="str">
        <x:v>Corporate</x:v>
      </x:c>
      <x:c r="F5155" t="str">
        <x:v>West</x:v>
      </x:c>
      <x:c r="G5155" t="str">
        <x:v>Office Supplies</x:v>
      </x:c>
      <x:c r="H5155" t="str">
        <x:v>Storage</x:v>
      </x:c>
      <x:c r="I5155" s="22" t="n">
        <x:v>67.78</x:v>
      </x:c>
      <x:c r="J5155" s="24" t="n">
        <x:v>2</x:v>
      </x:c>
      <x:c r="K5155" s="26" t="n">
        <x:v>0</x:v>
      </x:c>
      <x:c r="L5155" s="22" t="n">
        <x:v>16.945</x:v>
      </x:c>
      <x:c r="M5155" t="n">
        <x:v>2017</x:v>
      </x:c>
      <x:c r="N5155" s="20" t="n">
        <x:v>42795</x:v>
      </x:c>
    </x:row>
    <x:row r="5156" ht="18" customHeight="1">
      <x:c r="A5156" t="str">
        <x:v>CA-2017-169929</x:v>
      </x:c>
      <x:c r="B5156" s="18" t="n">
        <x:v>43003</x:v>
      </x:c>
      <x:c r="C5156" t="str">
        <x:v>LS-17200</x:v>
      </x:c>
      <x:c r="D5156" t="str">
        <x:v>Luke Schmidt</x:v>
      </x:c>
      <x:c r="E5156" t="str">
        <x:v>Corporate</x:v>
      </x:c>
      <x:c r="F5156" t="str">
        <x:v>West</x:v>
      </x:c>
      <x:c r="G5156" t="str">
        <x:v>Office Supplies</x:v>
      </x:c>
      <x:c r="H5156" t="str">
        <x:v>Storage</x:v>
      </x:c>
      <x:c r="I5156" s="22" t="n">
        <x:v>39.900000000000006</x:v>
      </x:c>
      <x:c r="J5156" s="24" t="n">
        <x:v>5</x:v>
      </x:c>
      <x:c r="K5156" s="26" t="n">
        <x:v>0</x:v>
      </x:c>
      <x:c r="L5156" s="22" t="n">
        <x:v>10.373999999999999</x:v>
      </x:c>
      <x:c r="M5156" t="n">
        <x:v>2017</x:v>
      </x:c>
      <x:c r="N5156" s="20" t="n">
        <x:v>42979</x:v>
      </x:c>
    </x:row>
    <x:row r="5157" ht="18" customHeight="1">
      <x:c r="A5157" t="str">
        <x:v>US-2014-121566</x:v>
      </x:c>
      <x:c r="B5157" s="18" t="n">
        <x:v>41820</x:v>
      </x:c>
      <x:c r="C5157" t="str">
        <x:v>CS-11860</x:v>
      </x:c>
      <x:c r="D5157" t="str">
        <x:v>Cari Schnelling</x:v>
      </x:c>
      <x:c r="E5157" t="str">
        <x:v>Consumer</x:v>
      </x:c>
      <x:c r="F5157" t="str">
        <x:v>East</x:v>
      </x:c>
      <x:c r="G5157" t="str">
        <x:v>Office Supplies</x:v>
      </x:c>
      <x:c r="H5157" t="str">
        <x:v>Binders</x:v>
      </x:c>
      <x:c r="I5157" s="22" t="n">
        <x:v>2.688</x:v>
      </x:c>
      <x:c r="J5157" s="24" t="n">
        <x:v>1</x:v>
      </x:c>
      <x:c r="K5157" s="26" t="n">
        <x:v>0.2</x:v>
      </x:c>
      <x:c r="L5157" s="22" t="n">
        <x:v>0.8399999999999997</x:v>
      </x:c>
      <x:c r="M5157" t="n">
        <x:v>2014</x:v>
      </x:c>
      <x:c r="N5157" s="20" t="n">
        <x:v>41791</x:v>
      </x:c>
    </x:row>
    <x:row r="5158" ht="18" customHeight="1">
      <x:c r="A5158" t="str">
        <x:v>US-2014-121566</x:v>
      </x:c>
      <x:c r="B5158" s="18" t="n">
        <x:v>41820</x:v>
      </x:c>
      <x:c r="C5158" t="str">
        <x:v>CS-11860</x:v>
      </x:c>
      <x:c r="D5158" t="str">
        <x:v>Cari Schnelling</x:v>
      </x:c>
      <x:c r="E5158" t="str">
        <x:v>Consumer</x:v>
      </x:c>
      <x:c r="F5158" t="str">
        <x:v>East</x:v>
      </x:c>
      <x:c r="G5158" t="str">
        <x:v>Office Supplies</x:v>
      </x:c>
      <x:c r="H5158" t="str">
        <x:v>Art</x:v>
      </x:c>
      <x:c r="I5158" s="22" t="n">
        <x:v>6.6000000000000005</x:v>
      </x:c>
      <x:c r="J5158" s="24" t="n">
        <x:v>3</x:v>
      </x:c>
      <x:c r="K5158" s="26" t="n">
        <x:v>0</x:v>
      </x:c>
      <x:c r="L5158" s="22" t="n">
        <x:v>2.904000000000001</x:v>
      </x:c>
      <x:c r="M5158" t="n">
        <x:v>2014</x:v>
      </x:c>
      <x:c r="N5158" s="20" t="n">
        <x:v>41791</x:v>
      </x:c>
    </x:row>
    <x:row r="5159" ht="18" customHeight="1">
      <x:c r="A5159" t="str">
        <x:v>US-2015-124219</x:v>
      </x:c>
      <x:c r="B5159" s="18" t="n">
        <x:v>42223</x:v>
      </x:c>
      <x:c r="C5159" t="str">
        <x:v>KW-16570</x:v>
      </x:c>
      <x:c r="D5159" t="str">
        <x:v>Kelly Williams</x:v>
      </x:c>
      <x:c r="E5159" t="str">
        <x:v>Consumer</x:v>
      </x:c>
      <x:c r="F5159" t="str">
        <x:v>Central</x:v>
      </x:c>
      <x:c r="G5159" t="str">
        <x:v>Office Supplies</x:v>
      </x:c>
      <x:c r="H5159" t="str">
        <x:v>Binders</x:v>
      </x:c>
      <x:c r="I5159" s="22" t="n">
        <x:v>28.4</x:v>
      </x:c>
      <x:c r="J5159" s="24" t="n">
        <x:v>4</x:v>
      </x:c>
      <x:c r="K5159" s="26" t="n">
        <x:v>0</x:v>
      </x:c>
      <x:c r="L5159" s="22" t="n">
        <x:v>13.063999999999998</x:v>
      </x:c>
      <x:c r="M5159" t="n">
        <x:v>2015</x:v>
      </x:c>
      <x:c r="N5159" s="20" t="n">
        <x:v>42217</x:v>
      </x:c>
    </x:row>
    <x:row r="5160" ht="18" customHeight="1">
      <x:c r="A5160" t="str">
        <x:v>US-2015-124219</x:v>
      </x:c>
      <x:c r="B5160" s="18" t="n">
        <x:v>42223</x:v>
      </x:c>
      <x:c r="C5160" t="str">
        <x:v>KW-16570</x:v>
      </x:c>
      <x:c r="D5160" t="str">
        <x:v>Kelly Williams</x:v>
      </x:c>
      <x:c r="E5160" t="str">
        <x:v>Consumer</x:v>
      </x:c>
      <x:c r="F5160" t="str">
        <x:v>Central</x:v>
      </x:c>
      <x:c r="G5160" t="str">
        <x:v>Furniture</x:v>
      </x:c>
      <x:c r="H5160" t="str">
        <x:v>Furnishings</x:v>
      </x:c>
      <x:c r="I5160" s="22" t="n">
        <x:v>212.94</x:v>
      </x:c>
      <x:c r="J5160" s="24" t="n">
        <x:v>3</x:v>
      </x:c>
      <x:c r="K5160" s="26" t="n">
        <x:v>0</x:v>
      </x:c>
      <x:c r="L5160" s="22" t="n">
        <x:v>34.0704</x:v>
      </x:c>
      <x:c r="M5160" t="n">
        <x:v>2015</x:v>
      </x:c>
      <x:c r="N5160" s="20" t="n">
        <x:v>42217</x:v>
      </x:c>
    </x:row>
    <x:row r="5161" ht="18" customHeight="1">
      <x:c r="A5161" t="str">
        <x:v>CA-2017-163006</x:v>
      </x:c>
      <x:c r="B5161" s="18" t="n">
        <x:v>42916</x:v>
      </x:c>
      <x:c r="C5161" t="str">
        <x:v>GH-14410</x:v>
      </x:c>
      <x:c r="D5161" t="str">
        <x:v>Gary Hansen</x:v>
      </x:c>
      <x:c r="E5161" t="str">
        <x:v>Home Office</x:v>
      </x:c>
      <x:c r="F5161" t="str">
        <x:v>Central</x:v>
      </x:c>
      <x:c r="G5161" t="str">
        <x:v>Technology</x:v>
      </x:c>
      <x:c r="H5161" t="str">
        <x:v>Phones</x:v>
      </x:c>
      <x:c r="I5161" s="22" t="n">
        <x:v>1001.5840000000001</x:v>
      </x:c>
      <x:c r="J5161" s="24" t="n">
        <x:v>2</x:v>
      </x:c>
      <x:c r="K5161" s="26" t="n">
        <x:v>0.2</x:v>
      </x:c>
      <x:c r="L5161" s="22" t="n">
        <x:v>125.19799999999992</x:v>
      </x:c>
      <x:c r="M5161" t="n">
        <x:v>2017</x:v>
      </x:c>
      <x:c r="N5161" s="20" t="n">
        <x:v>42887</x:v>
      </x:c>
    </x:row>
    <x:row r="5162" ht="18" customHeight="1">
      <x:c r="A5162" t="str">
        <x:v>CA-2017-163006</x:v>
      </x:c>
      <x:c r="B5162" s="18" t="n">
        <x:v>42916</x:v>
      </x:c>
      <x:c r="C5162" t="str">
        <x:v>GH-14410</x:v>
      </x:c>
      <x:c r="D5162" t="str">
        <x:v>Gary Hansen</x:v>
      </x:c>
      <x:c r="E5162" t="str">
        <x:v>Home Office</x:v>
      </x:c>
      <x:c r="F5162" t="str">
        <x:v>Central</x:v>
      </x:c>
      <x:c r="G5162" t="str">
        <x:v>Furniture</x:v>
      </x:c>
      <x:c r="H5162" t="str">
        <x:v>Chairs</x:v>
      </x:c>
      <x:c r="I5162" s="22" t="n">
        <x:v>569.058</x:v>
      </x:c>
      <x:c r="J5162" s="24" t="n">
        <x:v>3</x:v>
      </x:c>
      <x:c r="K5162" s="26" t="n">
        <x:v>0.3</x:v>
      </x:c>
      <x:c r="L5162" s="22" t="n">
        <x:v>-178.84680000000006</x:v>
      </x:c>
      <x:c r="M5162" t="n">
        <x:v>2017</x:v>
      </x:c>
      <x:c r="N5162" s="20" t="n">
        <x:v>42887</x:v>
      </x:c>
    </x:row>
    <x:row r="5163" ht="18" customHeight="1">
      <x:c r="A5163" t="str">
        <x:v>CA-2017-163006</x:v>
      </x:c>
      <x:c r="B5163" s="18" t="n">
        <x:v>42916</x:v>
      </x:c>
      <x:c r="C5163" t="str">
        <x:v>GH-14410</x:v>
      </x:c>
      <x:c r="D5163" t="str">
        <x:v>Gary Hansen</x:v>
      </x:c>
      <x:c r="E5163" t="str">
        <x:v>Home Office</x:v>
      </x:c>
      <x:c r="F5163" t="str">
        <x:v>Central</x:v>
      </x:c>
      <x:c r="G5163" t="str">
        <x:v>Furniture</x:v>
      </x:c>
      <x:c r="H5163" t="str">
        <x:v>Furnishings</x:v>
      </x:c>
      <x:c r="I5163" s="22" t="n">
        <x:v>14.224000000000002</x:v>
      </x:c>
      <x:c r="J5163" s="24" t="n">
        <x:v>2</x:v>
      </x:c>
      <x:c r="K5163" s="26" t="n">
        <x:v>0.6</x:v>
      </x:c>
      <x:c r="L5163" s="22" t="n">
        <x:v>-10.312400000000004</x:v>
      </x:c>
      <x:c r="M5163" t="n">
        <x:v>2017</x:v>
      </x:c>
      <x:c r="N5163" s="20" t="n">
        <x:v>42887</x:v>
      </x:c>
    </x:row>
    <x:row r="5164" ht="18" customHeight="1">
      <x:c r="A5164" t="str">
        <x:v>CA-2015-156146</x:v>
      </x:c>
      <x:c r="B5164" s="18" t="n">
        <x:v>42303</x:v>
      </x:c>
      <x:c r="C5164" t="str">
        <x:v>AG-10495</x:v>
      </x:c>
      <x:c r="D5164" t="str">
        <x:v>Andrew Gjertsen</x:v>
      </x:c>
      <x:c r="E5164" t="str">
        <x:v>Corporate</x:v>
      </x:c>
      <x:c r="F5164" t="str">
        <x:v>West</x:v>
      </x:c>
      <x:c r="G5164" t="str">
        <x:v>Technology</x:v>
      </x:c>
      <x:c r="H5164" t="str">
        <x:v>Phones</x:v>
      </x:c>
      <x:c r="I5164" s="22" t="n">
        <x:v>105.584</x:v>
      </x:c>
      <x:c r="J5164" s="24" t="n">
        <x:v>2</x:v>
      </x:c>
      <x:c r="K5164" s="26" t="n">
        <x:v>0.2</x:v>
      </x:c>
      <x:c r="L5164" s="22" t="n">
        <x:v>9.238600000000005</x:v>
      </x:c>
      <x:c r="M5164" t="n">
        <x:v>2015</x:v>
      </x:c>
      <x:c r="N5164" s="20" t="n">
        <x:v>42278</x:v>
      </x:c>
    </x:row>
    <x:row r="5165" ht="18" customHeight="1">
      <x:c r="A5165" t="str">
        <x:v>CA-2015-156146</x:v>
      </x:c>
      <x:c r="B5165" s="18" t="n">
        <x:v>42303</x:v>
      </x:c>
      <x:c r="C5165" t="str">
        <x:v>AG-10495</x:v>
      </x:c>
      <x:c r="D5165" t="str">
        <x:v>Andrew Gjertsen</x:v>
      </x:c>
      <x:c r="E5165" t="str">
        <x:v>Corporate</x:v>
      </x:c>
      <x:c r="F5165" t="str">
        <x:v>West</x:v>
      </x:c>
      <x:c r="G5165" t="str">
        <x:v>Technology</x:v>
      </x:c>
      <x:c r="H5165" t="str">
        <x:v>Phones</x:v>
      </x:c>
      <x:c r="I5165" s="22" t="n">
        <x:v>68.72000000000001</x:v>
      </x:c>
      <x:c r="J5165" s="24" t="n">
        <x:v>2</x:v>
      </x:c>
      <x:c r="K5165" s="26" t="n">
        <x:v>0.2</x:v>
      </x:c>
      <x:c r="L5165" s="22" t="n">
        <x:v>-14.603000000000005</x:v>
      </x:c>
      <x:c r="M5165" t="n">
        <x:v>2015</x:v>
      </x:c>
      <x:c r="N5165" s="20" t="n">
        <x:v>42278</x:v>
      </x:c>
    </x:row>
    <x:row r="5166" ht="18" customHeight="1">
      <x:c r="A5166" t="str">
        <x:v>CA-2014-111192</x:v>
      </x:c>
      <x:c r="B5166" s="18" t="n">
        <x:v>41850</x:v>
      </x:c>
      <x:c r="C5166" t="str">
        <x:v>TS-21430</x:v>
      </x:c>
      <x:c r="D5166" t="str">
        <x:v>Tom Stivers</x:v>
      </x:c>
      <x:c r="E5166" t="str">
        <x:v>Corporate</x:v>
      </x:c>
      <x:c r="F5166" t="str">
        <x:v>West</x:v>
      </x:c>
      <x:c r="G5166" t="str">
        <x:v>Furniture</x:v>
      </x:c>
      <x:c r="H5166" t="str">
        <x:v>Bookcases</x:v>
      </x:c>
      <x:c r="I5166" s="22" t="n">
        <x:v>1367.84</x:v>
      </x:c>
      <x:c r="J5166" s="24" t="n">
        <x:v>8</x:v>
      </x:c>
      <x:c r="K5166" s="26" t="n">
        <x:v>0</x:v>
      </x:c>
      <x:c r="L5166" s="22" t="n">
        <x:v>259.8896</x:v>
      </x:c>
      <x:c r="M5166" t="n">
        <x:v>2014</x:v>
      </x:c>
      <x:c r="N5166" s="20" t="n">
        <x:v>41821</x:v>
      </x:c>
    </x:row>
    <x:row r="5167" ht="18" customHeight="1">
      <x:c r="A5167" t="str">
        <x:v>CA-2016-115378</x:v>
      </x:c>
      <x:c r="B5167" s="18" t="n">
        <x:v>42692</x:v>
      </x:c>
      <x:c r="C5167" t="str">
        <x:v>AJ-10945</x:v>
      </x:c>
      <x:c r="D5167" t="str">
        <x:v>Ashley Jarboe</x:v>
      </x:c>
      <x:c r="E5167" t="str">
        <x:v>Consumer</x:v>
      </x:c>
      <x:c r="F5167" t="str">
        <x:v>Central</x:v>
      </x:c>
      <x:c r="G5167" t="str">
        <x:v>Furniture</x:v>
      </x:c>
      <x:c r="H5167" t="str">
        <x:v>Chairs</x:v>
      </x:c>
      <x:c r="I5167" s="22" t="n">
        <x:v>301.96</x:v>
      </x:c>
      <x:c r="J5167" s="24" t="n">
        <x:v>2</x:v>
      </x:c>
      <x:c r="K5167" s="26" t="n">
        <x:v>0</x:v>
      </x:c>
      <x:c r="L5167" s="22" t="n">
        <x:v>33.215599999999995</x:v>
      </x:c>
      <x:c r="M5167" t="n">
        <x:v>2016</x:v>
      </x:c>
      <x:c r="N5167" s="20" t="n">
        <x:v>42675</x:v>
      </x:c>
    </x:row>
    <x:row r="5168" ht="18" customHeight="1">
      <x:c r="A5168" t="str">
        <x:v>CA-2015-161627</x:v>
      </x:c>
      <x:c r="B5168" s="18" t="n">
        <x:v>42191</x:v>
      </x:c>
      <x:c r="C5168" t="str">
        <x:v>SJ-20215</x:v>
      </x:c>
      <x:c r="D5168" t="str">
        <x:v>Sarah Jordon</x:v>
      </x:c>
      <x:c r="E5168" t="str">
        <x:v>Consumer</x:v>
      </x:c>
      <x:c r="F5168" t="str">
        <x:v>West</x:v>
      </x:c>
      <x:c r="G5168" t="str">
        <x:v>Furniture</x:v>
      </x:c>
      <x:c r="H5168" t="str">
        <x:v>Chairs</x:v>
      </x:c>
      <x:c r="I5168" s="22" t="n">
        <x:v>170.35200000000003</x:v>
      </x:c>
      <x:c r="J5168" s="24" t="n">
        <x:v>3</x:v>
      </x:c>
      <x:c r="K5168" s="26" t="n">
        <x:v>0.2</x:v>
      </x:c>
      <x:c r="L5168" s="22" t="n">
        <x:v>-17.035200000000003</x:v>
      </x:c>
      <x:c r="M5168" t="n">
        <x:v>2015</x:v>
      </x:c>
      <x:c r="N5168" s="20" t="n">
        <x:v>42186</x:v>
      </x:c>
    </x:row>
    <x:row r="5169" ht="18" customHeight="1">
      <x:c r="A5169" t="str">
        <x:v>CA-2014-121006</x:v>
      </x:c>
      <x:c r="B5169" s="18" t="n">
        <x:v>41953</x:v>
      </x:c>
      <x:c r="C5169" t="str">
        <x:v>SC-20020</x:v>
      </x:c>
      <x:c r="D5169" t="str">
        <x:v>Sam Craven</x:v>
      </x:c>
      <x:c r="E5169" t="str">
        <x:v>Consumer</x:v>
      </x:c>
      <x:c r="F5169" t="str">
        <x:v>Central</x:v>
      </x:c>
      <x:c r="G5169" t="str">
        <x:v>Office Supplies</x:v>
      </x:c>
      <x:c r="H5169" t="str">
        <x:v>Art</x:v>
      </x:c>
      <x:c r="I5169" s="22" t="n">
        <x:v>3.9</x:v>
      </x:c>
      <x:c r="J5169" s="24" t="n">
        <x:v>2</x:v>
      </x:c>
      <x:c r="K5169" s="26" t="n">
        <x:v>0</x:v>
      </x:c>
      <x:c r="L5169" s="22" t="n">
        <x:v>1.521</x:v>
      </x:c>
      <x:c r="M5169" t="n">
        <x:v>2014</x:v>
      </x:c>
      <x:c r="N5169" s="20" t="n">
        <x:v>41944</x:v>
      </x:c>
    </x:row>
    <x:row r="5170" ht="18" customHeight="1">
      <x:c r="A5170" t="str">
        <x:v>CA-2014-121006</x:v>
      </x:c>
      <x:c r="B5170" s="18" t="n">
        <x:v>41953</x:v>
      </x:c>
      <x:c r="C5170" t="str">
        <x:v>SC-20020</x:v>
      </x:c>
      <x:c r="D5170" t="str">
        <x:v>Sam Craven</x:v>
      </x:c>
      <x:c r="E5170" t="str">
        <x:v>Consumer</x:v>
      </x:c>
      <x:c r="F5170" t="str">
        <x:v>Central</x:v>
      </x:c>
      <x:c r="G5170" t="str">
        <x:v>Office Supplies</x:v>
      </x:c>
      <x:c r="H5170" t="str">
        <x:v>Paper</x:v>
      </x:c>
      <x:c r="I5170" s="22" t="n">
        <x:v>12.84</x:v>
      </x:c>
      <x:c r="J5170" s="24" t="n">
        <x:v>3</x:v>
      </x:c>
      <x:c r="K5170" s="26" t="n">
        <x:v>0</x:v>
      </x:c>
      <x:c r="L5170" s="22" t="n">
        <x:v>5.777999999999999</x:v>
      </x:c>
      <x:c r="M5170" t="n">
        <x:v>2014</x:v>
      </x:c>
      <x:c r="N5170" s="20" t="n">
        <x:v>41944</x:v>
      </x:c>
    </x:row>
    <x:row r="5171" ht="18" customHeight="1">
      <x:c r="A5171" t="str">
        <x:v>CA-2014-121006</x:v>
      </x:c>
      <x:c r="B5171" s="18" t="n">
        <x:v>41953</x:v>
      </x:c>
      <x:c r="C5171" t="str">
        <x:v>SC-20020</x:v>
      </x:c>
      <x:c r="D5171" t="str">
        <x:v>Sam Craven</x:v>
      </x:c>
      <x:c r="E5171" t="str">
        <x:v>Consumer</x:v>
      </x:c>
      <x:c r="F5171" t="str">
        <x:v>Central</x:v>
      </x:c>
      <x:c r="G5171" t="str">
        <x:v>Office Supplies</x:v>
      </x:c>
      <x:c r="H5171" t="str">
        <x:v>Paper</x:v>
      </x:c>
      <x:c r="I5171" s="22" t="n">
        <x:v>15.84</x:v>
      </x:c>
      <x:c r="J5171" s="24" t="n">
        <x:v>3</x:v>
      </x:c>
      <x:c r="K5171" s="26" t="n">
        <x:v>0</x:v>
      </x:c>
      <x:c r="L5171" s="22" t="n">
        <x:v>7.128</x:v>
      </x:c>
      <x:c r="M5171" t="n">
        <x:v>2014</x:v>
      </x:c>
      <x:c r="N5171" s="20" t="n">
        <x:v>41944</x:v>
      </x:c>
    </x:row>
    <x:row r="5172" ht="18" customHeight="1">
      <x:c r="A5172" t="str">
        <x:v>CA-2014-121006</x:v>
      </x:c>
      <x:c r="B5172" s="18" t="n">
        <x:v>41953</x:v>
      </x:c>
      <x:c r="C5172" t="str">
        <x:v>SC-20020</x:v>
      </x:c>
      <x:c r="D5172" t="str">
        <x:v>Sam Craven</x:v>
      </x:c>
      <x:c r="E5172" t="str">
        <x:v>Consumer</x:v>
      </x:c>
      <x:c r="F5172" t="str">
        <x:v>Central</x:v>
      </x:c>
      <x:c r="G5172" t="str">
        <x:v>Furniture</x:v>
      </x:c>
      <x:c r="H5172" t="str">
        <x:v>Chairs</x:v>
      </x:c>
      <x:c r="I5172" s="22" t="n">
        <x:v>563.9399999999999</x:v>
      </x:c>
      <x:c r="J5172" s="24" t="n">
        <x:v>3</x:v>
      </x:c>
      <x:c r="K5172" s="26" t="n">
        <x:v>0</x:v>
      </x:c>
      <x:c r="L5172" s="22" t="n">
        <x:v>112.78800000000001</x:v>
      </x:c>
      <x:c r="M5172" t="n">
        <x:v>2014</x:v>
      </x:c>
      <x:c r="N5172" s="20" t="n">
        <x:v>41944</x:v>
      </x:c>
    </x:row>
    <x:row r="5173" ht="18" customHeight="1">
      <x:c r="A5173" t="str">
        <x:v>CA-2014-121006</x:v>
      </x:c>
      <x:c r="B5173" s="18" t="n">
        <x:v>41953</x:v>
      </x:c>
      <x:c r="C5173" t="str">
        <x:v>SC-20020</x:v>
      </x:c>
      <x:c r="D5173" t="str">
        <x:v>Sam Craven</x:v>
      </x:c>
      <x:c r="E5173" t="str">
        <x:v>Consumer</x:v>
      </x:c>
      <x:c r="F5173" t="str">
        <x:v>Central</x:v>
      </x:c>
      <x:c r="G5173" t="str">
        <x:v>Office Supplies</x:v>
      </x:c>
      <x:c r="H5173" t="str">
        <x:v>Storage</x:v>
      </x:c>
      <x:c r="I5173" s="22" t="n">
        <x:v>62.94</x:v>
      </x:c>
      <x:c r="J5173" s="24" t="n">
        <x:v>3</x:v>
      </x:c>
      <x:c r="K5173" s="26" t="n">
        <x:v>0</x:v>
      </x:c>
      <x:c r="L5173" s="22" t="n">
        <x:v>11.9586</x:v>
      </x:c>
      <x:c r="M5173" t="n">
        <x:v>2014</x:v>
      </x:c>
      <x:c r="N5173" s="20" t="n">
        <x:v>41944</x:v>
      </x:c>
    </x:row>
    <x:row r="5174" ht="18" customHeight="1">
      <x:c r="A5174" t="str">
        <x:v>CA-2014-121006</x:v>
      </x:c>
      <x:c r="B5174" s="18" t="n">
        <x:v>41953</x:v>
      </x:c>
      <x:c r="C5174" t="str">
        <x:v>SC-20020</x:v>
      </x:c>
      <x:c r="D5174" t="str">
        <x:v>Sam Craven</x:v>
      </x:c>
      <x:c r="E5174" t="str">
        <x:v>Consumer</x:v>
      </x:c>
      <x:c r="F5174" t="str">
        <x:v>Central</x:v>
      </x:c>
      <x:c r="G5174" t="str">
        <x:v>Office Supplies</x:v>
      </x:c>
      <x:c r="H5174" t="str">
        <x:v>Storage</x:v>
      </x:c>
      <x:c r="I5174" s="22" t="n">
        <x:v>535.41</x:v>
      </x:c>
      <x:c r="J5174" s="24" t="n">
        <x:v>3</x:v>
      </x:c>
      <x:c r="K5174" s="26" t="n">
        <x:v>0</x:v>
      </x:c>
      <x:c r="L5174" s="22" t="n">
        <x:v>160.62299999999993</x:v>
      </x:c>
      <x:c r="M5174" t="n">
        <x:v>2014</x:v>
      </x:c>
      <x:c r="N5174" s="20" t="n">
        <x:v>41944</x:v>
      </x:c>
    </x:row>
    <x:row r="5175" ht="18" customHeight="1">
      <x:c r="A5175" t="str">
        <x:v>CA-2016-122903</x:v>
      </x:c>
      <x:c r="B5175" s="18" t="n">
        <x:v>42517</x:v>
      </x:c>
      <x:c r="C5175" t="str">
        <x:v>LA-16780</x:v>
      </x:c>
      <x:c r="D5175" t="str">
        <x:v>Laura Armstrong</x:v>
      </x:c>
      <x:c r="E5175" t="str">
        <x:v>Corporate</x:v>
      </x:c>
      <x:c r="F5175" t="str">
        <x:v>Central</x:v>
      </x:c>
      <x:c r="G5175" t="str">
        <x:v>Furniture</x:v>
      </x:c>
      <x:c r="H5175" t="str">
        <x:v>Chairs</x:v>
      </x:c>
      <x:c r="I5175" s="22" t="n">
        <x:v>3504.9</x:v>
      </x:c>
      <x:c r="J5175" s="24" t="n">
        <x:v>5</x:v>
      </x:c>
      <x:c r="K5175" s="26" t="n">
        <x:v>0</x:v>
      </x:c>
      <x:c r="L5175" s="22" t="n">
        <x:v>700.9800000000001</x:v>
      </x:c>
      <x:c r="M5175" t="n">
        <x:v>2016</x:v>
      </x:c>
      <x:c r="N5175" s="20" t="n">
        <x:v>42491</x:v>
      </x:c>
    </x:row>
    <x:row r="5176" ht="18" customHeight="1">
      <x:c r="A5176" t="str">
        <x:v>CA-2016-122903</x:v>
      </x:c>
      <x:c r="B5176" s="18" t="n">
        <x:v>42517</x:v>
      </x:c>
      <x:c r="C5176" t="str">
        <x:v>LA-16780</x:v>
      </x:c>
      <x:c r="D5176" t="str">
        <x:v>Laura Armstrong</x:v>
      </x:c>
      <x:c r="E5176" t="str">
        <x:v>Corporate</x:v>
      </x:c>
      <x:c r="F5176" t="str">
        <x:v>Central</x:v>
      </x:c>
      <x:c r="G5176" t="str">
        <x:v>Office Supplies</x:v>
      </x:c>
      <x:c r="H5176" t="str">
        <x:v>Paper</x:v>
      </x:c>
      <x:c r="I5176" s="22" t="n">
        <x:v>144.12</x:v>
      </x:c>
      <x:c r="J5176" s="24" t="n">
        <x:v>3</x:v>
      </x:c>
      <x:c r="K5176" s="26" t="n">
        <x:v>0</x:v>
      </x:c>
      <x:c r="L5176" s="22" t="n">
        <x:v>69.17759999999998</x:v>
      </x:c>
      <x:c r="M5176" t="n">
        <x:v>2016</x:v>
      </x:c>
      <x:c r="N5176" s="20" t="n">
        <x:v>42491</x:v>
      </x:c>
    </x:row>
    <x:row r="5177" ht="18" customHeight="1">
      <x:c r="A5177" t="str">
        <x:v>CA-2016-122903</x:v>
      </x:c>
      <x:c r="B5177" s="18" t="n">
        <x:v>42517</x:v>
      </x:c>
      <x:c r="C5177" t="str">
        <x:v>LA-16780</x:v>
      </x:c>
      <x:c r="D5177" t="str">
        <x:v>Laura Armstrong</x:v>
      </x:c>
      <x:c r="E5177" t="str">
        <x:v>Corporate</x:v>
      </x:c>
      <x:c r="F5177" t="str">
        <x:v>Central</x:v>
      </x:c>
      <x:c r="G5177" t="str">
        <x:v>Office Supplies</x:v>
      </x:c>
      <x:c r="H5177" t="str">
        <x:v>Paper</x:v>
      </x:c>
      <x:c r="I5177" s="22" t="n">
        <x:v>314.54999999999995</x:v>
      </x:c>
      <x:c r="J5177" s="24" t="n">
        <x:v>3</x:v>
      </x:c>
      <x:c r="K5177" s="26" t="n">
        <x:v>0</x:v>
      </x:c>
      <x:c r="L5177" s="22" t="n">
        <x:v>150.98399999999998</x:v>
      </x:c>
      <x:c r="M5177" t="n">
        <x:v>2016</x:v>
      </x:c>
      <x:c r="N5177" s="20" t="n">
        <x:v>42491</x:v>
      </x:c>
    </x:row>
    <x:row r="5178" ht="18" customHeight="1">
      <x:c r="A5178" t="str">
        <x:v>CA-2015-107741</x:v>
      </x:c>
      <x:c r="B5178" s="18" t="n">
        <x:v>42071</x:v>
      </x:c>
      <x:c r="C5178" t="str">
        <x:v>FC-14335</x:v>
      </x:c>
      <x:c r="D5178" t="str">
        <x:v>Fred Chung</x:v>
      </x:c>
      <x:c r="E5178" t="str">
        <x:v>Corporate</x:v>
      </x:c>
      <x:c r="F5178" t="str">
        <x:v>West</x:v>
      </x:c>
      <x:c r="G5178" t="str">
        <x:v>Office Supplies</x:v>
      </x:c>
      <x:c r="H5178" t="str">
        <x:v>Art</x:v>
      </x:c>
      <x:c r="I5178" s="22" t="n">
        <x:v>3.408</x:v>
      </x:c>
      <x:c r="J5178" s="24" t="n">
        <x:v>1</x:v>
      </x:c>
      <x:c r="K5178" s="26" t="n">
        <x:v>0.2</x:v>
      </x:c>
      <x:c r="L5178" s="22" t="n">
        <x:v>0.8946</x:v>
      </x:c>
      <x:c r="M5178" t="n">
        <x:v>2015</x:v>
      </x:c>
      <x:c r="N5178" s="20" t="n">
        <x:v>42064</x:v>
      </x:c>
    </x:row>
    <x:row r="5179" ht="18" customHeight="1">
      <x:c r="A5179" t="str">
        <x:v>CA-2017-106432</x:v>
      </x:c>
      <x:c r="B5179" s="18" t="n">
        <x:v>43027</x:v>
      </x:c>
      <x:c r="C5179" t="str">
        <x:v>CA-12265</x:v>
      </x:c>
      <x:c r="D5179" t="str">
        <x:v>Christina Anderson</x:v>
      </x:c>
      <x:c r="E5179" t="str">
        <x:v>Consumer</x:v>
      </x:c>
      <x:c r="F5179" t="str">
        <x:v>Central</x:v>
      </x:c>
      <x:c r="G5179" t="str">
        <x:v>Office Supplies</x:v>
      </x:c>
      <x:c r="H5179" t="str">
        <x:v>Binders</x:v>
      </x:c>
      <x:c r="I5179" s="22" t="n">
        <x:v>2.0719999999999996</x:v>
      </x:c>
      <x:c r="J5179" s="24" t="n">
        <x:v>2</x:v>
      </x:c>
      <x:c r="K5179" s="26" t="n">
        <x:v>0.8</x:v>
      </x:c>
      <x:c r="L5179" s="22" t="n">
        <x:v>-3.522400000000001</x:v>
      </x:c>
      <x:c r="M5179" t="n">
        <x:v>2017</x:v>
      </x:c>
      <x:c r="N5179" s="20" t="n">
        <x:v>43009</x:v>
      </x:c>
    </x:row>
    <x:row r="5180" ht="18" customHeight="1">
      <x:c r="A5180" t="str">
        <x:v>CA-2017-106432</x:v>
      </x:c>
      <x:c r="B5180" s="18" t="n">
        <x:v>43027</x:v>
      </x:c>
      <x:c r="C5180" t="str">
        <x:v>CA-12265</x:v>
      </x:c>
      <x:c r="D5180" t="str">
        <x:v>Christina Anderson</x:v>
      </x:c>
      <x:c r="E5180" t="str">
        <x:v>Consumer</x:v>
      </x:c>
      <x:c r="F5180" t="str">
        <x:v>Central</x:v>
      </x:c>
      <x:c r="G5180" t="str">
        <x:v>Furniture</x:v>
      </x:c>
      <x:c r="H5180" t="str">
        <x:v>Bookcases</x:v>
      </x:c>
      <x:c r="I5180" s="22" t="n">
        <x:v>328.39919999999995</x:v>
      </x:c>
      <x:c r="J5180" s="24" t="n">
        <x:v>3</x:v>
      </x:c>
      <x:c r="K5180" s="26" t="n">
        <x:v>0.32</x:v>
      </x:c>
      <x:c r="L5180" s="22" t="n">
        <x:v>-91.75859999999997</x:v>
      </x:c>
      <x:c r="M5180" t="n">
        <x:v>2017</x:v>
      </x:c>
      <x:c r="N5180" s="20" t="n">
        <x:v>43009</x:v>
      </x:c>
    </x:row>
    <x:row r="5181" ht="18" customHeight="1">
      <x:c r="A5181" t="str">
        <x:v>CA-2016-148908</x:v>
      </x:c>
      <x:c r="B5181" s="18" t="n">
        <x:v>42679</x:v>
      </x:c>
      <x:c r="C5181" t="str">
        <x:v>JH-15985</x:v>
      </x:c>
      <x:c r="D5181" t="str">
        <x:v>Joseph Holt</x:v>
      </x:c>
      <x:c r="E5181" t="str">
        <x:v>Consumer</x:v>
      </x:c>
      <x:c r="F5181" t="str">
        <x:v>West</x:v>
      </x:c>
      <x:c r="G5181" t="str">
        <x:v>Office Supplies</x:v>
      </x:c>
      <x:c r="H5181" t="str">
        <x:v>Binders</x:v>
      </x:c>
      <x:c r="I5181" s="22" t="n">
        <x:v>53.248000000000005</x:v>
      </x:c>
      <x:c r="J5181" s="24" t="n">
        <x:v>2</x:v>
      </x:c>
      <x:c r="K5181" s="26" t="n">
        <x:v>0.2</x:v>
      </x:c>
      <x:c r="L5181" s="22" t="n">
        <x:v>19.968</x:v>
      </x:c>
      <x:c r="M5181" t="n">
        <x:v>2016</x:v>
      </x:c>
      <x:c r="N5181" s="20" t="n">
        <x:v>42675</x:v>
      </x:c>
    </x:row>
    <x:row r="5182" ht="18" customHeight="1">
      <x:c r="A5182" t="str">
        <x:v>CA-2016-123015</x:v>
      </x:c>
      <x:c r="B5182" s="18" t="n">
        <x:v>42730</x:v>
      </x:c>
      <x:c r="C5182" t="str">
        <x:v>AJ-10795</x:v>
      </x:c>
      <x:c r="D5182" t="str">
        <x:v>Anthony Johnson</x:v>
      </x:c>
      <x:c r="E5182" t="str">
        <x:v>Corporate</x:v>
      </x:c>
      <x:c r="F5182" t="str">
        <x:v>East</x:v>
      </x:c>
      <x:c r="G5182" t="str">
        <x:v>Office Supplies</x:v>
      </x:c>
      <x:c r="H5182" t="str">
        <x:v>Binders</x:v>
      </x:c>
      <x:c r="I5182" s="22" t="n">
        <x:v>4.992000000000001</x:v>
      </x:c>
      <x:c r="J5182" s="24" t="n">
        <x:v>3</x:v>
      </x:c>
      <x:c r="K5182" s="26" t="n">
        <x:v>0.2</x:v>
      </x:c>
      <x:c r="L5182" s="22" t="n">
        <x:v>1.6848</x:v>
      </x:c>
      <x:c r="M5182" t="n">
        <x:v>2016</x:v>
      </x:c>
      <x:c r="N5182" s="20" t="n">
        <x:v>42705</x:v>
      </x:c>
    </x:row>
    <x:row r="5183" ht="18" customHeight="1">
      <x:c r="A5183" t="str">
        <x:v>US-2015-120502</x:v>
      </x:c>
      <x:c r="B5183" s="18" t="n">
        <x:v>42107</x:v>
      </x:c>
      <x:c r="C5183" t="str">
        <x:v>BT-11395</x:v>
      </x:c>
      <x:c r="D5183" t="str">
        <x:v>Bill Tyler</x:v>
      </x:c>
      <x:c r="E5183" t="str">
        <x:v>Corporate</x:v>
      </x:c>
      <x:c r="F5183" t="str">
        <x:v>West</x:v>
      </x:c>
      <x:c r="G5183" t="str">
        <x:v>Furniture</x:v>
      </x:c>
      <x:c r="H5183" t="str">
        <x:v>Furnishings</x:v>
      </x:c>
      <x:c r="I5183" s="22" t="n">
        <x:v>37.68</x:v>
      </x:c>
      <x:c r="J5183" s="24" t="n">
        <x:v>2</x:v>
      </x:c>
      <x:c r="K5183" s="26" t="n">
        <x:v>0</x:v>
      </x:c>
      <x:c r="L5183" s="22" t="n">
        <x:v>15.825600000000001</x:v>
      </x:c>
      <x:c r="M5183" t="n">
        <x:v>2015</x:v>
      </x:c>
      <x:c r="N5183" s="20" t="n">
        <x:v>42095</x:v>
      </x:c>
    </x:row>
    <x:row r="5184" ht="18" customHeight="1">
      <x:c r="A5184" t="str">
        <x:v>US-2015-120502</x:v>
      </x:c>
      <x:c r="B5184" s="18" t="n">
        <x:v>42107</x:v>
      </x:c>
      <x:c r="C5184" t="str">
        <x:v>BT-11395</x:v>
      </x:c>
      <x:c r="D5184" t="str">
        <x:v>Bill Tyler</x:v>
      </x:c>
      <x:c r="E5184" t="str">
        <x:v>Corporate</x:v>
      </x:c>
      <x:c r="F5184" t="str">
        <x:v>West</x:v>
      </x:c>
      <x:c r="G5184" t="str">
        <x:v>Technology</x:v>
      </x:c>
      <x:c r="H5184" t="str">
        <x:v>Phones</x:v>
      </x:c>
      <x:c r="I5184" s="22" t="n">
        <x:v>258.576</x:v>
      </x:c>
      <x:c r="J5184" s="24" t="n">
        <x:v>2</x:v>
      </x:c>
      <x:c r="K5184" s="26" t="n">
        <x:v>0.2</x:v>
      </x:c>
      <x:c r="L5184" s="22" t="n">
        <x:v>19.393200000000007</x:v>
      </x:c>
      <x:c r="M5184" t="n">
        <x:v>2015</x:v>
      </x:c>
      <x:c r="N5184" s="20" t="n">
        <x:v>42095</x:v>
      </x:c>
    </x:row>
    <x:row r="5185" ht="18" customHeight="1">
      <x:c r="A5185" t="str">
        <x:v>US-2015-120502</x:v>
      </x:c>
      <x:c r="B5185" s="18" t="n">
        <x:v>42107</x:v>
      </x:c>
      <x:c r="C5185" t="str">
        <x:v>BT-11395</x:v>
      </x:c>
      <x:c r="D5185" t="str">
        <x:v>Bill Tyler</x:v>
      </x:c>
      <x:c r="E5185" t="str">
        <x:v>Corporate</x:v>
      </x:c>
      <x:c r="F5185" t="str">
        <x:v>West</x:v>
      </x:c>
      <x:c r="G5185" t="str">
        <x:v>Office Supplies</x:v>
      </x:c>
      <x:c r="H5185" t="str">
        <x:v>Appliances</x:v>
      </x:c>
      <x:c r="I5185" s="22" t="n">
        <x:v>75.84</x:v>
      </x:c>
      <x:c r="J5185" s="24" t="n">
        <x:v>2</x:v>
      </x:c>
      <x:c r="K5185" s="26" t="n">
        <x:v>0</x:v>
      </x:c>
      <x:c r="L5185" s="22" t="n">
        <x:v>29.577600000000004</x:v>
      </x:c>
      <x:c r="M5185" t="n">
        <x:v>2015</x:v>
      </x:c>
      <x:c r="N5185" s="20" t="n">
        <x:v>42095</x:v>
      </x:c>
    </x:row>
    <x:row r="5186" ht="18" customHeight="1">
      <x:c r="A5186" t="str">
        <x:v>CA-2017-108749</x:v>
      </x:c>
      <x:c r="B5186" s="18" t="n">
        <x:v>42990</x:v>
      </x:c>
      <x:c r="C5186" t="str">
        <x:v>DJ-13510</x:v>
      </x:c>
      <x:c r="D5186" t="str">
        <x:v>Don Jones</x:v>
      </x:c>
      <x:c r="E5186" t="str">
        <x:v>Corporate</x:v>
      </x:c>
      <x:c r="F5186" t="str">
        <x:v>East</x:v>
      </x:c>
      <x:c r="G5186" t="str">
        <x:v>Office Supplies</x:v>
      </x:c>
      <x:c r="H5186" t="str">
        <x:v>Paper</x:v>
      </x:c>
      <x:c r="I5186" s="22" t="n">
        <x:v>45.36</x:v>
      </x:c>
      <x:c r="J5186" s="24" t="n">
        <x:v>7</x:v>
      </x:c>
      <x:c r="K5186" s="26" t="n">
        <x:v>0</x:v>
      </x:c>
      <x:c r="L5186" s="22" t="n">
        <x:v>21.772800000000004</x:v>
      </x:c>
      <x:c r="M5186" t="n">
        <x:v>2017</x:v>
      </x:c>
      <x:c r="N5186" s="20" t="n">
        <x:v>42979</x:v>
      </x:c>
    </x:row>
    <x:row r="5187" ht="18" customHeight="1">
      <x:c r="A5187" t="str">
        <x:v>CA-2017-108749</x:v>
      </x:c>
      <x:c r="B5187" s="18" t="n">
        <x:v>42990</x:v>
      </x:c>
      <x:c r="C5187" t="str">
        <x:v>DJ-13510</x:v>
      </x:c>
      <x:c r="D5187" t="str">
        <x:v>Don Jones</x:v>
      </x:c>
      <x:c r="E5187" t="str">
        <x:v>Corporate</x:v>
      </x:c>
      <x:c r="F5187" t="str">
        <x:v>East</x:v>
      </x:c>
      <x:c r="G5187" t="str">
        <x:v>Office Supplies</x:v>
      </x:c>
      <x:c r="H5187" t="str">
        <x:v>Binders</x:v>
      </x:c>
      <x:c r="I5187" s="22" t="n">
        <x:v>45.78</x:v>
      </x:c>
      <x:c r="J5187" s="24" t="n">
        <x:v>3</x:v>
      </x:c>
      <x:c r="K5187" s="26" t="n">
        <x:v>0</x:v>
      </x:c>
      <x:c r="L5187" s="22" t="n">
        <x:v>22.89</x:v>
      </x:c>
      <x:c r="M5187" t="n">
        <x:v>2017</x:v>
      </x:c>
      <x:c r="N5187" s="20" t="n">
        <x:v>42979</x:v>
      </x:c>
    </x:row>
    <x:row r="5188" ht="18" customHeight="1">
      <x:c r="A5188" t="str">
        <x:v>CA-2017-163335</x:v>
      </x:c>
      <x:c r="B5188" s="18" t="n">
        <x:v>43002</x:v>
      </x:c>
      <x:c r="C5188" t="str">
        <x:v>AG-10675</x:v>
      </x:c>
      <x:c r="D5188" t="str">
        <x:v>Anna Gayman</x:v>
      </x:c>
      <x:c r="E5188" t="str">
        <x:v>Consumer</x:v>
      </x:c>
      <x:c r="F5188" t="str">
        <x:v>South</x:v>
      </x:c>
      <x:c r="G5188" t="str">
        <x:v>Office Supplies</x:v>
      </x:c>
      <x:c r="H5188" t="str">
        <x:v>Storage</x:v>
      </x:c>
      <x:c r="I5188" s="22" t="n">
        <x:v>40.29</x:v>
      </x:c>
      <x:c r="J5188" s="24" t="n">
        <x:v>3</x:v>
      </x:c>
      <x:c r="K5188" s="26" t="n">
        <x:v>0</x:v>
      </x:c>
      <x:c r="L5188" s="22" t="n">
        <x:v>10.0725</x:v>
      </x:c>
      <x:c r="M5188" t="n">
        <x:v>2017</x:v>
      </x:c>
      <x:c r="N5188" s="20" t="n">
        <x:v>42979</x:v>
      </x:c>
    </x:row>
    <x:row r="5189" ht="18" customHeight="1">
      <x:c r="A5189" t="str">
        <x:v>CA-2017-163335</x:v>
      </x:c>
      <x:c r="B5189" s="18" t="n">
        <x:v>43002</x:v>
      </x:c>
      <x:c r="C5189" t="str">
        <x:v>AG-10675</x:v>
      </x:c>
      <x:c r="D5189" t="str">
        <x:v>Anna Gayman</x:v>
      </x:c>
      <x:c r="E5189" t="str">
        <x:v>Consumer</x:v>
      </x:c>
      <x:c r="F5189" t="str">
        <x:v>South</x:v>
      </x:c>
      <x:c r="G5189" t="str">
        <x:v>Office Supplies</x:v>
      </x:c>
      <x:c r="H5189" t="str">
        <x:v>Binders</x:v>
      </x:c>
      <x:c r="I5189" s="22" t="n">
        <x:v>38.71</x:v>
      </x:c>
      <x:c r="J5189" s="24" t="n">
        <x:v>7</x:v>
      </x:c>
      <x:c r="K5189" s="26" t="n">
        <x:v>0</x:v>
      </x:c>
      <x:c r="L5189" s="22" t="n">
        <x:v>17.8066</x:v>
      </x:c>
      <x:c r="M5189" t="n">
        <x:v>2017</x:v>
      </x:c>
      <x:c r="N5189" s="20" t="n">
        <x:v>42979</x:v>
      </x:c>
    </x:row>
    <x:row r="5190" ht="18" customHeight="1">
      <x:c r="A5190" t="str">
        <x:v>CA-2015-134719</x:v>
      </x:c>
      <x:c r="B5190" s="18" t="n">
        <x:v>42287</x:v>
      </x:c>
      <x:c r="C5190" t="str">
        <x:v>JD-15790</x:v>
      </x:c>
      <x:c r="D5190" t="str">
        <x:v>John Dryer</x:v>
      </x:c>
      <x:c r="E5190" t="str">
        <x:v>Consumer</x:v>
      </x:c>
      <x:c r="F5190" t="str">
        <x:v>South</x:v>
      </x:c>
      <x:c r="G5190" t="str">
        <x:v>Office Supplies</x:v>
      </x:c>
      <x:c r="H5190" t="str">
        <x:v>Storage</x:v>
      </x:c>
      <x:c r="I5190" s="22" t="n">
        <x:v>1801.632</x:v>
      </x:c>
      <x:c r="J5190" s="24" t="n">
        <x:v>6</x:v>
      </x:c>
      <x:c r="K5190" s="26" t="n">
        <x:v>0.2</x:v>
      </x:c>
      <x:c r="L5190" s="22" t="n">
        <x:v>-337.80600000000004</x:v>
      </x:c>
      <x:c r="M5190" t="n">
        <x:v>2015</x:v>
      </x:c>
      <x:c r="N5190" s="20" t="n">
        <x:v>42278</x:v>
      </x:c>
    </x:row>
    <x:row r="5191" ht="18" customHeight="1">
      <x:c r="A5191" t="str">
        <x:v>US-2015-154389</x:v>
      </x:c>
      <x:c r="B5191" s="18" t="n">
        <x:v>42335</x:v>
      </x:c>
      <x:c r="C5191" t="str">
        <x:v>EH-14125</x:v>
      </x:c>
      <x:c r="D5191" t="str">
        <x:v>Eugene Hildebrand</x:v>
      </x:c>
      <x:c r="E5191" t="str">
        <x:v>Home Office</x:v>
      </x:c>
      <x:c r="F5191" t="str">
        <x:v>East</x:v>
      </x:c>
      <x:c r="G5191" t="str">
        <x:v>Technology</x:v>
      </x:c>
      <x:c r="H5191" t="str">
        <x:v>Phones</x:v>
      </x:c>
      <x:c r="I5191" s="22" t="n">
        <x:v>748.7520000000001</x:v>
      </x:c>
      <x:c r="J5191" s="24" t="n">
        <x:v>8</x:v>
      </x:c>
      <x:c r="K5191" s="26" t="n">
        <x:v>0.4</x:v>
      </x:c>
      <x:c r="L5191" s="22" t="n">
        <x:v>-162.22960000000006</x:v>
      </x:c>
      <x:c r="M5191" t="n">
        <x:v>2015</x:v>
      </x:c>
      <x:c r="N5191" s="20" t="n">
        <x:v>42309</x:v>
      </x:c>
    </x:row>
    <x:row r="5192" ht="18" customHeight="1">
      <x:c r="A5192" t="str">
        <x:v>CA-2015-115567</x:v>
      </x:c>
      <x:c r="B5192" s="18" t="n">
        <x:v>42260</x:v>
      </x:c>
      <x:c r="C5192" t="str">
        <x:v>ZC-21910</x:v>
      </x:c>
      <x:c r="D5192" t="str">
        <x:v>Zuschuss Carroll</x:v>
      </x:c>
      <x:c r="E5192" t="str">
        <x:v>Consumer</x:v>
      </x:c>
      <x:c r="F5192" t="str">
        <x:v>Central</x:v>
      </x:c>
      <x:c r="G5192" t="str">
        <x:v>Technology</x:v>
      </x:c>
      <x:c r="H5192" t="str">
        <x:v>Accessories</x:v>
      </x:c>
      <x:c r="I5192" s="22" t="n">
        <x:v>199.96</x:v>
      </x:c>
      <x:c r="J5192" s="24" t="n">
        <x:v>4</x:v>
      </x:c>
      <x:c r="K5192" s="26" t="n">
        <x:v>0</x:v>
      </x:c>
      <x:c r="L5192" s="22" t="n">
        <x:v>15.996799999999979</x:v>
      </x:c>
      <x:c r="M5192" t="n">
        <x:v>2015</x:v>
      </x:c>
      <x:c r="N5192" s="20" t="n">
        <x:v>42248</x:v>
      </x:c>
    </x:row>
    <x:row r="5193" ht="18" customHeight="1">
      <x:c r="A5193" t="str">
        <x:v>CA-2015-115567</x:v>
      </x:c>
      <x:c r="B5193" s="18" t="n">
        <x:v>42260</x:v>
      </x:c>
      <x:c r="C5193" t="str">
        <x:v>ZC-21910</x:v>
      </x:c>
      <x:c r="D5193" t="str">
        <x:v>Zuschuss Carroll</x:v>
      </x:c>
      <x:c r="E5193" t="str">
        <x:v>Consumer</x:v>
      </x:c>
      <x:c r="F5193" t="str">
        <x:v>Central</x:v>
      </x:c>
      <x:c r="G5193" t="str">
        <x:v>Furniture</x:v>
      </x:c>
      <x:c r="H5193" t="str">
        <x:v>Chairs</x:v>
      </x:c>
      <x:c r="I5193" s="22" t="n">
        <x:v>1516.2</x:v>
      </x:c>
      <x:c r="J5193" s="24" t="n">
        <x:v>7</x:v>
      </x:c>
      <x:c r="K5193" s="26" t="n">
        <x:v>0</x:v>
      </x:c>
      <x:c r="L5193" s="22" t="n">
        <x:v>394.212</x:v>
      </x:c>
      <x:c r="M5193" t="n">
        <x:v>2015</x:v>
      </x:c>
      <x:c r="N5193" s="20" t="n">
        <x:v>42248</x:v>
      </x:c>
    </x:row>
    <x:row r="5194" ht="18" customHeight="1">
      <x:c r="A5194" t="str">
        <x:v>US-2017-136679</x:v>
      </x:c>
      <x:c r="B5194" s="18" t="n">
        <x:v>43053</x:v>
      </x:c>
      <x:c r="C5194" t="str">
        <x:v>XP-21865</x:v>
      </x:c>
      <x:c r="D5194" t="str">
        <x:v>Xylona Preis</x:v>
      </x:c>
      <x:c r="E5194" t="str">
        <x:v>Consumer</x:v>
      </x:c>
      <x:c r="F5194" t="str">
        <x:v>Central</x:v>
      </x:c>
      <x:c r="G5194" t="str">
        <x:v>Technology</x:v>
      </x:c>
      <x:c r="H5194" t="str">
        <x:v>Accessories</x:v>
      </x:c>
      <x:c r="I5194" s="22" t="n">
        <x:v>167.95200000000003</x:v>
      </x:c>
      <x:c r="J5194" s="24" t="n">
        <x:v>6</x:v>
      </x:c>
      <x:c r="K5194" s="26" t="n">
        <x:v>0.2</x:v>
      </x:c>
      <x:c r="L5194" s="22" t="n">
        <x:v>-27.2922</x:v>
      </x:c>
      <x:c r="M5194" t="n">
        <x:v>2017</x:v>
      </x:c>
      <x:c r="N5194" s="20" t="n">
        <x:v>43040</x:v>
      </x:c>
    </x:row>
    <x:row r="5195" ht="18" customHeight="1">
      <x:c r="A5195" t="str">
        <x:v>US-2017-136679</x:v>
      </x:c>
      <x:c r="B5195" s="18" t="n">
        <x:v>43053</x:v>
      </x:c>
      <x:c r="C5195" t="str">
        <x:v>XP-21865</x:v>
      </x:c>
      <x:c r="D5195" t="str">
        <x:v>Xylona Preis</x:v>
      </x:c>
      <x:c r="E5195" t="str">
        <x:v>Consumer</x:v>
      </x:c>
      <x:c r="F5195" t="str">
        <x:v>Central</x:v>
      </x:c>
      <x:c r="G5195" t="str">
        <x:v>Office Supplies</x:v>
      </x:c>
      <x:c r="H5195" t="str">
        <x:v>Art</x:v>
      </x:c>
      <x:c r="I5195" s="22" t="n">
        <x:v>45.04</x:v>
      </x:c>
      <x:c r="J5195" s="24" t="n">
        <x:v>2</x:v>
      </x:c>
      <x:c r="K5195" s="26" t="n">
        <x:v>0.2</x:v>
      </x:c>
      <x:c r="L5195" s="22" t="n">
        <x:v>4.504000000000003</x:v>
      </x:c>
      <x:c r="M5195" t="n">
        <x:v>2017</x:v>
      </x:c>
      <x:c r="N5195" s="20" t="n">
        <x:v>43040</x:v>
      </x:c>
    </x:row>
    <x:row r="5196" ht="18" customHeight="1">
      <x:c r="A5196" t="str">
        <x:v>US-2017-141943</x:v>
      </x:c>
      <x:c r="B5196" s="18" t="n">
        <x:v>42860</x:v>
      </x:c>
      <x:c r="C5196" t="str">
        <x:v>DK-12985</x:v>
      </x:c>
      <x:c r="D5196" t="str">
        <x:v>Darren Koutras</x:v>
      </x:c>
      <x:c r="E5196" t="str">
        <x:v>Consumer</x:v>
      </x:c>
      <x:c r="F5196" t="str">
        <x:v>West</x:v>
      </x:c>
      <x:c r="G5196" t="str">
        <x:v>Office Supplies</x:v>
      </x:c>
      <x:c r="H5196" t="str">
        <x:v>Envelopes</x:v>
      </x:c>
      <x:c r="I5196" s="22" t="n">
        <x:v>23.16</x:v>
      </x:c>
      <x:c r="J5196" s="24" t="n">
        <x:v>2</x:v>
      </x:c>
      <x:c r="K5196" s="26" t="n">
        <x:v>0</x:v>
      </x:c>
      <x:c r="L5196" s="22" t="n">
        <x:v>11.58</x:v>
      </x:c>
      <x:c r="M5196" t="n">
        <x:v>2017</x:v>
      </x:c>
      <x:c r="N5196" s="20" t="n">
        <x:v>42856</x:v>
      </x:c>
    </x:row>
    <x:row r="5197" ht="18" customHeight="1">
      <x:c r="A5197" t="str">
        <x:v>CA-2014-101560</x:v>
      </x:c>
      <x:c r="B5197" s="18" t="n">
        <x:v>41971</x:v>
      </x:c>
      <x:c r="C5197" t="str">
        <x:v>CS-12250</x:v>
      </x:c>
      <x:c r="D5197" t="str">
        <x:v>Chris Selesnick</x:v>
      </x:c>
      <x:c r="E5197" t="str">
        <x:v>Corporate</x:v>
      </x:c>
      <x:c r="F5197" t="str">
        <x:v>South</x:v>
      </x:c>
      <x:c r="G5197" t="str">
        <x:v>Furniture</x:v>
      </x:c>
      <x:c r="H5197" t="str">
        <x:v>Furnishings</x:v>
      </x:c>
      <x:c r="I5197" s="22" t="n">
        <x:v>397.59999999999997</x:v>
      </x:c>
      <x:c r="J5197" s="24" t="n">
        <x:v>5</x:v>
      </x:c>
      <x:c r="K5197" s="26" t="n">
        <x:v>0</x:v>
      </x:c>
      <x:c r="L5197" s="22" t="n">
        <x:v>43.73599999999996</x:v>
      </x:c>
      <x:c r="M5197" t="n">
        <x:v>2014</x:v>
      </x:c>
      <x:c r="N5197" s="20" t="n">
        <x:v>41944</x:v>
      </x:c>
    </x:row>
    <x:row r="5198" ht="18" customHeight="1">
      <x:c r="A5198" t="str">
        <x:v>CA-2014-101560</x:v>
      </x:c>
      <x:c r="B5198" s="18" t="n">
        <x:v>41971</x:v>
      </x:c>
      <x:c r="C5198" t="str">
        <x:v>CS-12250</x:v>
      </x:c>
      <x:c r="D5198" t="str">
        <x:v>Chris Selesnick</x:v>
      </x:c>
      <x:c r="E5198" t="str">
        <x:v>Corporate</x:v>
      </x:c>
      <x:c r="F5198" t="str">
        <x:v>South</x:v>
      </x:c>
      <x:c r="G5198" t="str">
        <x:v>Office Supplies</x:v>
      </x:c>
      <x:c r="H5198" t="str">
        <x:v>Paper</x:v>
      </x:c>
      <x:c r="I5198" s="22" t="n">
        <x:v>85.96</x:v>
      </x:c>
      <x:c r="J5198" s="24" t="n">
        <x:v>7</x:v>
      </x:c>
      <x:c r="K5198" s="26" t="n">
        <x:v>0</x:v>
      </x:c>
      <x:c r="L5198" s="22" t="n">
        <x:v>40.401199999999996</x:v>
      </x:c>
      <x:c r="M5198" t="n">
        <x:v>2014</x:v>
      </x:c>
      <x:c r="N5198" s="20" t="n">
        <x:v>41944</x:v>
      </x:c>
    </x:row>
    <x:row r="5199" ht="18" customHeight="1">
      <x:c r="A5199" t="str">
        <x:v>CA-2014-101560</x:v>
      </x:c>
      <x:c r="B5199" s="18" t="n">
        <x:v>41971</x:v>
      </x:c>
      <x:c r="C5199" t="str">
        <x:v>CS-12250</x:v>
      </x:c>
      <x:c r="D5199" t="str">
        <x:v>Chris Selesnick</x:v>
      </x:c>
      <x:c r="E5199" t="str">
        <x:v>Corporate</x:v>
      </x:c>
      <x:c r="F5199" t="str">
        <x:v>South</x:v>
      </x:c>
      <x:c r="G5199" t="str">
        <x:v>Office Supplies</x:v>
      </x:c>
      <x:c r="H5199" t="str">
        <x:v>Art</x:v>
      </x:c>
      <x:c r="I5199" s="22" t="n">
        <x:v>13.12</x:v>
      </x:c>
      <x:c r="J5199" s="24" t="n">
        <x:v>4</x:v>
      </x:c>
      <x:c r="K5199" s="26" t="n">
        <x:v>0</x:v>
      </x:c>
      <x:c r="L5199" s="22" t="n">
        <x:v>4.329599999999999</x:v>
      </x:c>
      <x:c r="M5199" t="n">
        <x:v>2014</x:v>
      </x:c>
      <x:c r="N5199" s="20" t="n">
        <x:v>41944</x:v>
      </x:c>
    </x:row>
    <x:row r="5200" ht="18" customHeight="1">
      <x:c r="A5200" t="str">
        <x:v>CA-2014-101560</x:v>
      </x:c>
      <x:c r="B5200" s="18" t="n">
        <x:v>41971</x:v>
      </x:c>
      <x:c r="C5200" t="str">
        <x:v>CS-12250</x:v>
      </x:c>
      <x:c r="D5200" t="str">
        <x:v>Chris Selesnick</x:v>
      </x:c>
      <x:c r="E5200" t="str">
        <x:v>Corporate</x:v>
      </x:c>
      <x:c r="F5200" t="str">
        <x:v>South</x:v>
      </x:c>
      <x:c r="G5200" t="str">
        <x:v>Office Supplies</x:v>
      </x:c>
      <x:c r="H5200" t="str">
        <x:v>Binders</x:v>
      </x:c>
      <x:c r="I5200" s="22" t="n">
        <x:v>45.660000000000004</x:v>
      </x:c>
      <x:c r="J5200" s="24" t="n">
        <x:v>3</x:v>
      </x:c>
      <x:c r="K5200" s="26" t="n">
        <x:v>0</x:v>
      </x:c>
      <x:c r="L5200" s="22" t="n">
        <x:v>22.3734</x:v>
      </x:c>
      <x:c r="M5200" t="n">
        <x:v>2014</x:v>
      </x:c>
      <x:c r="N5200" s="20" t="n">
        <x:v>41944</x:v>
      </x:c>
    </x:row>
    <x:row r="5201" ht="18" customHeight="1">
      <x:c r="A5201" t="str">
        <x:v>CA-2014-159709</x:v>
      </x:c>
      <x:c r="B5201" s="18" t="n">
        <x:v>41769</x:v>
      </x:c>
      <x:c r="C5201" t="str">
        <x:v>AI-10855</x:v>
      </x:c>
      <x:c r="D5201" t="str">
        <x:v>Arianne Irving</x:v>
      </x:c>
      <x:c r="E5201" t="str">
        <x:v>Consumer</x:v>
      </x:c>
      <x:c r="F5201" t="str">
        <x:v>West</x:v>
      </x:c>
      <x:c r="G5201" t="str">
        <x:v>Office Supplies</x:v>
      </x:c>
      <x:c r="H5201" t="str">
        <x:v>Envelopes</x:v>
      </x:c>
      <x:c r="I5201" s="22" t="n">
        <x:v>158.13</x:v>
      </x:c>
      <x:c r="J5201" s="24" t="n">
        <x:v>3</x:v>
      </x:c>
      <x:c r="K5201" s="26" t="n">
        <x:v>0</x:v>
      </x:c>
      <x:c r="L5201" s="22" t="n">
        <x:v>77.4837</x:v>
      </x:c>
      <x:c r="M5201" t="n">
        <x:v>2014</x:v>
      </x:c>
      <x:c r="N5201" s="20" t="n">
        <x:v>41760</x:v>
      </x:c>
    </x:row>
    <x:row r="5202" ht="18" customHeight="1">
      <x:c r="A5202" t="str">
        <x:v>CA-2014-159709</x:v>
      </x:c>
      <x:c r="B5202" s="18" t="n">
        <x:v>41769</x:v>
      </x:c>
      <x:c r="C5202" t="str">
        <x:v>AI-10855</x:v>
      </x:c>
      <x:c r="D5202" t="str">
        <x:v>Arianne Irving</x:v>
      </x:c>
      <x:c r="E5202" t="str">
        <x:v>Consumer</x:v>
      </x:c>
      <x:c r="F5202" t="str">
        <x:v>West</x:v>
      </x:c>
      <x:c r="G5202" t="str">
        <x:v>Technology</x:v>
      </x:c>
      <x:c r="H5202" t="str">
        <x:v>Phones</x:v>
      </x:c>
      <x:c r="I5202" s="22" t="n">
        <x:v>43.6</x:v>
      </x:c>
      <x:c r="J5202" s="24" t="n">
        <x:v>5</x:v>
      </x:c>
      <x:c r="K5202" s="26" t="n">
        <x:v>0.2</x:v>
      </x:c>
      <x:c r="L5202" s="22" t="n">
        <x:v>4.360000000000001</x:v>
      </x:c>
      <x:c r="M5202" t="n">
        <x:v>2014</x:v>
      </x:c>
      <x:c r="N5202" s="20" t="n">
        <x:v>41760</x:v>
      </x:c>
    </x:row>
    <x:row r="5203" ht="18" customHeight="1">
      <x:c r="A5203" t="str">
        <x:v>CA-2016-103982</x:v>
      </x:c>
      <x:c r="B5203" s="18" t="n">
        <x:v>42432</x:v>
      </x:c>
      <x:c r="C5203" t="str">
        <x:v>AA-10315</x:v>
      </x:c>
      <x:c r="D5203" t="str">
        <x:v>Alex Avila</x:v>
      </x:c>
      <x:c r="E5203" t="str">
        <x:v>Consumer</x:v>
      </x:c>
      <x:c r="F5203" t="str">
        <x:v>Central</x:v>
      </x:c>
      <x:c r="G5203" t="str">
        <x:v>Office Supplies</x:v>
      </x:c>
      <x:c r="H5203" t="str">
        <x:v>Supplies</x:v>
      </x:c>
      <x:c r="I5203" s="22" t="n">
        <x:v>3930.072</x:v>
      </x:c>
      <x:c r="J5203" s="24" t="n">
        <x:v>3</x:v>
      </x:c>
      <x:c r="K5203" s="26" t="n">
        <x:v>0.2</x:v>
      </x:c>
      <x:c r="L5203" s="22" t="n">
        <x:v>-786.0144000000003</x:v>
      </x:c>
      <x:c r="M5203" t="n">
        <x:v>2016</x:v>
      </x:c>
      <x:c r="N5203" s="20" t="n">
        <x:v>42430</x:v>
      </x:c>
    </x:row>
    <x:row r="5204" ht="18" customHeight="1">
      <x:c r="A5204" t="str">
        <x:v>CA-2016-103982</x:v>
      </x:c>
      <x:c r="B5204" s="18" t="n">
        <x:v>42432</x:v>
      </x:c>
      <x:c r="C5204" t="str">
        <x:v>AA-10315</x:v>
      </x:c>
      <x:c r="D5204" t="str">
        <x:v>Alex Avila</x:v>
      </x:c>
      <x:c r="E5204" t="str">
        <x:v>Consumer</x:v>
      </x:c>
      <x:c r="F5204" t="str">
        <x:v>Central</x:v>
      </x:c>
      <x:c r="G5204" t="str">
        <x:v>Office Supplies</x:v>
      </x:c>
      <x:c r="H5204" t="str">
        <x:v>Fasteners</x:v>
      </x:c>
      <x:c r="I5204" s="22" t="n">
        <x:v>2.304</x:v>
      </x:c>
      <x:c r="J5204" s="24" t="n">
        <x:v>1</x:v>
      </x:c>
      <x:c r="K5204" s="26" t="n">
        <x:v>0.2</x:v>
      </x:c>
      <x:c r="L5204" s="22" t="n">
        <x:v>0.7776</x:v>
      </x:c>
      <x:c r="M5204" t="n">
        <x:v>2016</x:v>
      </x:c>
      <x:c r="N5204" s="20" t="n">
        <x:v>42430</x:v>
      </x:c>
    </x:row>
    <x:row r="5205" ht="18" customHeight="1">
      <x:c r="A5205" t="str">
        <x:v>CA-2016-103982</x:v>
      </x:c>
      <x:c r="B5205" s="18" t="n">
        <x:v>42432</x:v>
      </x:c>
      <x:c r="C5205" t="str">
        <x:v>AA-10315</x:v>
      </x:c>
      <x:c r="D5205" t="str">
        <x:v>Alex Avila</x:v>
      </x:c>
      <x:c r="E5205" t="str">
        <x:v>Consumer</x:v>
      </x:c>
      <x:c r="F5205" t="str">
        <x:v>Central</x:v>
      </x:c>
      <x:c r="G5205" t="str">
        <x:v>Technology</x:v>
      </x:c>
      <x:c r="H5205" t="str">
        <x:v>Phones</x:v>
      </x:c>
      <x:c r="I5205" s="22" t="n">
        <x:v>431.97600000000006</x:v>
      </x:c>
      <x:c r="J5205" s="24" t="n">
        <x:v>3</x:v>
      </x:c>
      <x:c r="K5205" s="26" t="n">
        <x:v>0.2</x:v>
      </x:c>
      <x:c r="L5205" s="22" t="n">
        <x:v>32.39820000000002</x:v>
      </x:c>
      <x:c r="M5205" t="n">
        <x:v>2016</x:v>
      </x:c>
      <x:c r="N5205" s="20" t="n">
        <x:v>42430</x:v>
      </x:c>
    </x:row>
    <x:row r="5206" ht="18" customHeight="1">
      <x:c r="A5206" t="str">
        <x:v>CA-2016-103982</x:v>
      </x:c>
      <x:c r="B5206" s="18" t="n">
        <x:v>42432</x:v>
      </x:c>
      <x:c r="C5206" t="str">
        <x:v>AA-10315</x:v>
      </x:c>
      <x:c r="D5206" t="str">
        <x:v>Alex Avila</x:v>
      </x:c>
      <x:c r="E5206" t="str">
        <x:v>Consumer</x:v>
      </x:c>
      <x:c r="F5206" t="str">
        <x:v>Central</x:v>
      </x:c>
      <x:c r="G5206" t="str">
        <x:v>Technology</x:v>
      </x:c>
      <x:c r="H5206" t="str">
        <x:v>Accessories</x:v>
      </x:c>
      <x:c r="I5206" s="22" t="n">
        <x:v>41.720000000000006</x:v>
      </x:c>
      <x:c r="J5206" s="24" t="n">
        <x:v>7</x:v>
      </x:c>
      <x:c r="K5206" s="26" t="n">
        <x:v>0.2</x:v>
      </x:c>
      <x:c r="L5206" s="22" t="n">
        <x:v>5.736499999999998</x:v>
      </x:c>
      <x:c r="M5206" t="n">
        <x:v>2016</x:v>
      </x:c>
      <x:c r="N5206" s="20" t="n">
        <x:v>42430</x:v>
      </x:c>
    </x:row>
    <x:row r="5207" ht="18" customHeight="1">
      <x:c r="A5207" t="str">
        <x:v>CA-2015-142454</x:v>
      </x:c>
      <x:c r="B5207" s="18" t="n">
        <x:v>42231</x:v>
      </x:c>
      <x:c r="C5207" t="str">
        <x:v>RE-19450</x:v>
      </x:c>
      <x:c r="D5207" t="str">
        <x:v>Richard Eichhorn</x:v>
      </x:c>
      <x:c r="E5207" t="str">
        <x:v>Consumer</x:v>
      </x:c>
      <x:c r="F5207" t="str">
        <x:v>West</x:v>
      </x:c>
      <x:c r="G5207" t="str">
        <x:v>Furniture</x:v>
      </x:c>
      <x:c r="H5207" t="str">
        <x:v>Furnishings</x:v>
      </x:c>
      <x:c r="I5207" s="22" t="n">
        <x:v>104.23</x:v>
      </x:c>
      <x:c r="J5207" s="24" t="n">
        <x:v>7</x:v>
      </x:c>
      <x:c r="K5207" s="26" t="n">
        <x:v>0</x:v>
      </x:c>
      <x:c r="L5207" s="22" t="n">
        <x:v>28.142100000000006</x:v>
      </x:c>
      <x:c r="M5207" t="n">
        <x:v>2015</x:v>
      </x:c>
      <x:c r="N5207" s="20" t="n">
        <x:v>42217</x:v>
      </x:c>
    </x:row>
    <x:row r="5208" ht="18" customHeight="1">
      <x:c r="A5208" t="str">
        <x:v>CA-2015-142454</x:v>
      </x:c>
      <x:c r="B5208" s="18" t="n">
        <x:v>42231</x:v>
      </x:c>
      <x:c r="C5208" t="str">
        <x:v>RE-19450</x:v>
      </x:c>
      <x:c r="D5208" t="str">
        <x:v>Richard Eichhorn</x:v>
      </x:c>
      <x:c r="E5208" t="str">
        <x:v>Consumer</x:v>
      </x:c>
      <x:c r="F5208" t="str">
        <x:v>West</x:v>
      </x:c>
      <x:c r="G5208" t="str">
        <x:v>Office Supplies</x:v>
      </x:c>
      <x:c r="H5208" t="str">
        <x:v>Storage</x:v>
      </x:c>
      <x:c r="I5208" s="22" t="n">
        <x:v>70.26</x:v>
      </x:c>
      <x:c r="J5208" s="24" t="n">
        <x:v>3</x:v>
      </x:c>
      <x:c r="K5208" s="26" t="n">
        <x:v>0</x:v>
      </x:c>
      <x:c r="L5208" s="22" t="n">
        <x:v>18.9702</x:v>
      </x:c>
      <x:c r="M5208" t="n">
        <x:v>2015</x:v>
      </x:c>
      <x:c r="N5208" s="20" t="n">
        <x:v>42217</x:v>
      </x:c>
    </x:row>
    <x:row r="5209" ht="18" customHeight="1">
      <x:c r="A5209" t="str">
        <x:v>CA-2015-102015</x:v>
      </x:c>
      <x:c r="B5209" s="18" t="n">
        <x:v>42259</x:v>
      </x:c>
      <x:c r="C5209" t="str">
        <x:v>TM-21010</x:v>
      </x:c>
      <x:c r="D5209" t="str">
        <x:v>Tamara Manning</x:v>
      </x:c>
      <x:c r="E5209" t="str">
        <x:v>Consumer</x:v>
      </x:c>
      <x:c r="F5209" t="str">
        <x:v>East</x:v>
      </x:c>
      <x:c r="G5209" t="str">
        <x:v>Office Supplies</x:v>
      </x:c>
      <x:c r="H5209" t="str">
        <x:v>Art</x:v>
      </x:c>
      <x:c r="I5209" s="22" t="n">
        <x:v>9.26</x:v>
      </x:c>
      <x:c r="J5209" s="24" t="n">
        <x:v>2</x:v>
      </x:c>
      <x:c r="K5209" s="26" t="n">
        <x:v>0</x:v>
      </x:c>
      <x:c r="L5209" s="22" t="n">
        <x:v>3.0557999999999996</x:v>
      </x:c>
      <x:c r="M5209" t="n">
        <x:v>2015</x:v>
      </x:c>
      <x:c r="N5209" s="20" t="n">
        <x:v>42248</x:v>
      </x:c>
    </x:row>
    <x:row r="5210" ht="18" customHeight="1">
      <x:c r="A5210" t="str">
        <x:v>CA-2015-102015</x:v>
      </x:c>
      <x:c r="B5210" s="18" t="n">
        <x:v>42259</x:v>
      </x:c>
      <x:c r="C5210" t="str">
        <x:v>TM-21010</x:v>
      </x:c>
      <x:c r="D5210" t="str">
        <x:v>Tamara Manning</x:v>
      </x:c>
      <x:c r="E5210" t="str">
        <x:v>Consumer</x:v>
      </x:c>
      <x:c r="F5210" t="str">
        <x:v>East</x:v>
      </x:c>
      <x:c r="G5210" t="str">
        <x:v>Office Supplies</x:v>
      </x:c>
      <x:c r="H5210" t="str">
        <x:v>Storage</x:v>
      </x:c>
      <x:c r="I5210" s="22" t="n">
        <x:v>105.98</x:v>
      </x:c>
      <x:c r="J5210" s="24" t="n">
        <x:v>2</x:v>
      </x:c>
      <x:c r="K5210" s="26" t="n">
        <x:v>0</x:v>
      </x:c>
      <x:c r="L5210" s="22" t="n">
        <x:v>4.239199999999997</x:v>
      </x:c>
      <x:c r="M5210" t="n">
        <x:v>2015</x:v>
      </x:c>
      <x:c r="N5210" s="20" t="n">
        <x:v>42248</x:v>
      </x:c>
    </x:row>
    <x:row r="5211" ht="18" customHeight="1">
      <x:c r="A5211" t="str">
        <x:v>CA-2015-102015</x:v>
      </x:c>
      <x:c r="B5211" s="18" t="n">
        <x:v>42259</x:v>
      </x:c>
      <x:c r="C5211" t="str">
        <x:v>TM-21010</x:v>
      </x:c>
      <x:c r="D5211" t="str">
        <x:v>Tamara Manning</x:v>
      </x:c>
      <x:c r="E5211" t="str">
        <x:v>Consumer</x:v>
      </x:c>
      <x:c r="F5211" t="str">
        <x:v>East</x:v>
      </x:c>
      <x:c r="G5211" t="str">
        <x:v>Office Supplies</x:v>
      </x:c>
      <x:c r="H5211" t="str">
        <x:v>Fasteners</x:v>
      </x:c>
      <x:c r="I5211" s="22" t="n">
        <x:v>1.24</x:v>
      </x:c>
      <x:c r="J5211" s="24" t="n">
        <x:v>1</x:v>
      </x:c>
      <x:c r="K5211" s="26" t="n">
        <x:v>0</x:v>
      </x:c>
      <x:c r="L5211" s="22" t="n">
        <x:v>0.5828</x:v>
      </x:c>
      <x:c r="M5211" t="n">
        <x:v>2015</x:v>
      </x:c>
      <x:c r="N5211" s="20" t="n">
        <x:v>42248</x:v>
      </x:c>
    </x:row>
    <x:row r="5212" ht="18" customHeight="1">
      <x:c r="A5212" t="str">
        <x:v>CA-2015-102015</x:v>
      </x:c>
      <x:c r="B5212" s="18" t="n">
        <x:v>42259</x:v>
      </x:c>
      <x:c r="C5212" t="str">
        <x:v>TM-21010</x:v>
      </x:c>
      <x:c r="D5212" t="str">
        <x:v>Tamara Manning</x:v>
      </x:c>
      <x:c r="E5212" t="str">
        <x:v>Consumer</x:v>
      </x:c>
      <x:c r="F5212" t="str">
        <x:v>East</x:v>
      </x:c>
      <x:c r="G5212" t="str">
        <x:v>Office Supplies</x:v>
      </x:c>
      <x:c r="H5212" t="str">
        <x:v>Labels</x:v>
      </x:c>
      <x:c r="I5212" s="22" t="n">
        <x:v>20.7</x:v>
      </x:c>
      <x:c r="J5212" s="24" t="n">
        <x:v>2</x:v>
      </x:c>
      <x:c r="K5212" s="26" t="n">
        <x:v>0</x:v>
      </x:c>
      <x:c r="L5212" s="22" t="n">
        <x:v>9.936</x:v>
      </x:c>
      <x:c r="M5212" t="n">
        <x:v>2015</x:v>
      </x:c>
      <x:c r="N5212" s="20" t="n">
        <x:v>42248</x:v>
      </x:c>
    </x:row>
    <x:row r="5213" ht="18" customHeight="1">
      <x:c r="A5213" t="str">
        <x:v>CA-2015-102015</x:v>
      </x:c>
      <x:c r="B5213" s="18" t="n">
        <x:v>42259</x:v>
      </x:c>
      <x:c r="C5213" t="str">
        <x:v>TM-21010</x:v>
      </x:c>
      <x:c r="D5213" t="str">
        <x:v>Tamara Manning</x:v>
      </x:c>
      <x:c r="E5213" t="str">
        <x:v>Consumer</x:v>
      </x:c>
      <x:c r="F5213" t="str">
        <x:v>East</x:v>
      </x:c>
      <x:c r="G5213" t="str">
        <x:v>Office Supplies</x:v>
      </x:c>
      <x:c r="H5213" t="str">
        <x:v>Paper</x:v>
      </x:c>
      <x:c r="I5213" s="22" t="n">
        <x:v>28.900000000000002</x:v>
      </x:c>
      <x:c r="J5213" s="24" t="n">
        <x:v>5</x:v>
      </x:c>
      <x:c r="K5213" s="26" t="n">
        <x:v>0</x:v>
      </x:c>
      <x:c r="L5213" s="22" t="n">
        <x:v>14.161000000000001</x:v>
      </x:c>
      <x:c r="M5213" t="n">
        <x:v>2015</x:v>
      </x:c>
      <x:c r="N5213" s="20" t="n">
        <x:v>42248</x:v>
      </x:c>
    </x:row>
    <x:row r="5214" ht="18" customHeight="1">
      <x:c r="A5214" t="str">
        <x:v>CA-2015-102015</x:v>
      </x:c>
      <x:c r="B5214" s="18" t="n">
        <x:v>42259</x:v>
      </x:c>
      <x:c r="C5214" t="str">
        <x:v>TM-21010</x:v>
      </x:c>
      <x:c r="D5214" t="str">
        <x:v>Tamara Manning</x:v>
      </x:c>
      <x:c r="E5214" t="str">
        <x:v>Consumer</x:v>
      </x:c>
      <x:c r="F5214" t="str">
        <x:v>East</x:v>
      </x:c>
      <x:c r="G5214" t="str">
        <x:v>Office Supplies</x:v>
      </x:c>
      <x:c r="H5214" t="str">
        <x:v>Envelopes</x:v>
      </x:c>
      <x:c r="I5214" s="22" t="n">
        <x:v>27.18</x:v>
      </x:c>
      <x:c r="J5214" s="24" t="n">
        <x:v>1</x:v>
      </x:c>
      <x:c r="K5214" s="26" t="n">
        <x:v>0</x:v>
      </x:c>
      <x:c r="L5214" s="22" t="n">
        <x:v>12.7746</x:v>
      </x:c>
      <x:c r="M5214" t="n">
        <x:v>2015</x:v>
      </x:c>
      <x:c r="N5214" s="20" t="n">
        <x:v>42248</x:v>
      </x:c>
    </x:row>
    <x:row r="5215" ht="18" customHeight="1">
      <x:c r="A5215" t="str">
        <x:v>CA-2015-156755</x:v>
      </x:c>
      <x:c r="B5215" s="18" t="n">
        <x:v>42016</x:v>
      </x:c>
      <x:c r="C5215" t="str">
        <x:v>YS-21880</x:v>
      </x:c>
      <x:c r="D5215" t="str">
        <x:v>Yana Sorensen</x:v>
      </x:c>
      <x:c r="E5215" t="str">
        <x:v>Corporate</x:v>
      </x:c>
      <x:c r="F5215" t="str">
        <x:v>East</x:v>
      </x:c>
      <x:c r="G5215" t="str">
        <x:v>Office Supplies</x:v>
      </x:c>
      <x:c r="H5215" t="str">
        <x:v>Storage</x:v>
      </x:c>
      <x:c r="I5215" s="22" t="n">
        <x:v>465.18</x:v>
      </x:c>
      <x:c r="J5215" s="24" t="n">
        <x:v>3</x:v>
      </x:c>
      <x:c r="K5215" s="26" t="n">
        <x:v>0</x:v>
      </x:c>
      <x:c r="L5215" s="22" t="n">
        <x:v>120.94680000000001</x:v>
      </x:c>
      <x:c r="M5215" t="n">
        <x:v>2015</x:v>
      </x:c>
      <x:c r="N5215" s="20" t="n">
        <x:v>42005</x:v>
      </x:c>
    </x:row>
    <x:row r="5216" ht="18" customHeight="1">
      <x:c r="A5216" t="str">
        <x:v>CA-2015-130876</x:v>
      </x:c>
      <x:c r="B5216" s="18" t="n">
        <x:v>42136</x:v>
      </x:c>
      <x:c r="C5216" t="str">
        <x:v>AZ-10750</x:v>
      </x:c>
      <x:c r="D5216" t="str">
        <x:v>Annie Zypern</x:v>
      </x:c>
      <x:c r="E5216" t="str">
        <x:v>Consumer</x:v>
      </x:c>
      <x:c r="F5216" t="str">
        <x:v>East</x:v>
      </x:c>
      <x:c r="G5216" t="str">
        <x:v>Office Supplies</x:v>
      </x:c>
      <x:c r="H5216" t="str">
        <x:v>Storage</x:v>
      </x:c>
      <x:c r="I5216" s="22" t="n">
        <x:v>36.63</x:v>
      </x:c>
      <x:c r="J5216" s="24" t="n">
        <x:v>3</x:v>
      </x:c>
      <x:c r="K5216" s="26" t="n">
        <x:v>0</x:v>
      </x:c>
      <x:c r="L5216" s="22" t="n">
        <x:v>9.890100000000004</x:v>
      </x:c>
      <x:c r="M5216" t="n">
        <x:v>2015</x:v>
      </x:c>
      <x:c r="N5216" s="20" t="n">
        <x:v>42125</x:v>
      </x:c>
    </x:row>
    <x:row r="5217" ht="18" customHeight="1">
      <x:c r="A5217" t="str">
        <x:v>CA-2016-145898</x:v>
      </x:c>
      <x:c r="B5217" s="18" t="n">
        <x:v>42639</x:v>
      </x:c>
      <x:c r="C5217" t="str">
        <x:v>CM-12445</x:v>
      </x:c>
      <x:c r="D5217" t="str">
        <x:v>Chuck Magee</x:v>
      </x:c>
      <x:c r="E5217" t="str">
        <x:v>Consumer</x:v>
      </x:c>
      <x:c r="F5217" t="str">
        <x:v>West</x:v>
      </x:c>
      <x:c r="G5217" t="str">
        <x:v>Office Supplies</x:v>
      </x:c>
      <x:c r="H5217" t="str">
        <x:v>Storage</x:v>
      </x:c>
      <x:c r="I5217" s="22" t="n">
        <x:v>51.449999999999996</x:v>
      </x:c>
      <x:c r="J5217" s="24" t="n">
        <x:v>3</x:v>
      </x:c>
      <x:c r="K5217" s="26" t="n">
        <x:v>0</x:v>
      </x:c>
      <x:c r="L5217" s="22" t="n">
        <x:v>13.891499999999999</x:v>
      </x:c>
      <x:c r="M5217" t="n">
        <x:v>2016</x:v>
      </x:c>
      <x:c r="N5217" s="20" t="n">
        <x:v>42614</x:v>
      </x:c>
    </x:row>
    <x:row r="5218" ht="18" customHeight="1">
      <x:c r="A5218" t="str">
        <x:v>CA-2016-145898</x:v>
      </x:c>
      <x:c r="B5218" s="18" t="n">
        <x:v>42639</x:v>
      </x:c>
      <x:c r="C5218" t="str">
        <x:v>CM-12445</x:v>
      </x:c>
      <x:c r="D5218" t="str">
        <x:v>Chuck Magee</x:v>
      </x:c>
      <x:c r="E5218" t="str">
        <x:v>Consumer</x:v>
      </x:c>
      <x:c r="F5218" t="str">
        <x:v>West</x:v>
      </x:c>
      <x:c r="G5218" t="str">
        <x:v>Office Supplies</x:v>
      </x:c>
      <x:c r="H5218" t="str">
        <x:v>Labels</x:v>
      </x:c>
      <x:c r="I5218" s="22" t="n">
        <x:v>7.83</x:v>
      </x:c>
      <x:c r="J5218" s="24" t="n">
        <x:v>3</x:v>
      </x:c>
      <x:c r="K5218" s="26" t="n">
        <x:v>0</x:v>
      </x:c>
      <x:c r="L5218" s="22" t="n">
        <x:v>3.6018</x:v>
      </x:c>
      <x:c r="M5218" t="n">
        <x:v>2016</x:v>
      </x:c>
      <x:c r="N5218" s="20" t="n">
        <x:v>42614</x:v>
      </x:c>
    </x:row>
    <x:row r="5219" ht="18" customHeight="1">
      <x:c r="A5219" t="str">
        <x:v>CA-2016-145898</x:v>
      </x:c>
      <x:c r="B5219" s="18" t="n">
        <x:v>42639</x:v>
      </x:c>
      <x:c r="C5219" t="str">
        <x:v>CM-12445</x:v>
      </x:c>
      <x:c r="D5219" t="str">
        <x:v>Chuck Magee</x:v>
      </x:c>
      <x:c r="E5219" t="str">
        <x:v>Consumer</x:v>
      </x:c>
      <x:c r="F5219" t="str">
        <x:v>West</x:v>
      </x:c>
      <x:c r="G5219" t="str">
        <x:v>Office Supplies</x:v>
      </x:c>
      <x:c r="H5219" t="str">
        <x:v>Art</x:v>
      </x:c>
      <x:c r="I5219" s="22" t="n">
        <x:v>35.4</x:v>
      </x:c>
      <x:c r="J5219" s="24" t="n">
        <x:v>5</x:v>
      </x:c>
      <x:c r="K5219" s="26" t="n">
        <x:v>0</x:v>
      </x:c>
      <x:c r="L5219" s="22" t="n">
        <x:v>13.452000000000002</x:v>
      </x:c>
      <x:c r="M5219" t="n">
        <x:v>2016</x:v>
      </x:c>
      <x:c r="N5219" s="20" t="n">
        <x:v>42614</x:v>
      </x:c>
    </x:row>
    <x:row r="5220" ht="18" customHeight="1">
      <x:c r="A5220" t="str">
        <x:v>CA-2016-145898</x:v>
      </x:c>
      <x:c r="B5220" s="18" t="n">
        <x:v>42639</x:v>
      </x:c>
      <x:c r="C5220" t="str">
        <x:v>CM-12445</x:v>
      </x:c>
      <x:c r="D5220" t="str">
        <x:v>Chuck Magee</x:v>
      </x:c>
      <x:c r="E5220" t="str">
        <x:v>Consumer</x:v>
      </x:c>
      <x:c r="F5220" t="str">
        <x:v>West</x:v>
      </x:c>
      <x:c r="G5220" t="str">
        <x:v>Office Supplies</x:v>
      </x:c>
      <x:c r="H5220" t="str">
        <x:v>Paper</x:v>
      </x:c>
      <x:c r="I5220" s="22" t="n">
        <x:v>29.900000000000002</x:v>
      </x:c>
      <x:c r="J5220" s="24" t="n">
        <x:v>5</x:v>
      </x:c>
      <x:c r="K5220" s="26" t="n">
        <x:v>0</x:v>
      </x:c>
      <x:c r="L5220" s="22" t="n">
        <x:v>13.454999999999998</x:v>
      </x:c>
      <x:c r="M5220" t="n">
        <x:v>2016</x:v>
      </x:c>
      <x:c r="N5220" s="20" t="n">
        <x:v>42614</x:v>
      </x:c>
    </x:row>
    <x:row r="5221" ht="18" customHeight="1">
      <x:c r="A5221" t="str">
        <x:v>US-2017-159562</x:v>
      </x:c>
      <x:c r="B5221" s="18" t="n">
        <x:v>42987</x:v>
      </x:c>
      <x:c r="C5221" t="str">
        <x:v>JB-16000</x:v>
      </x:c>
      <x:c r="D5221" t="str">
        <x:v>Joy Bell-</x:v>
      </x:c>
      <x:c r="E5221" t="str">
        <x:v>Consumer</x:v>
      </x:c>
      <x:c r="F5221" t="str">
        <x:v>Central</x:v>
      </x:c>
      <x:c r="G5221" t="str">
        <x:v>Office Supplies</x:v>
      </x:c>
      <x:c r="H5221" t="str">
        <x:v>Envelopes</x:v>
      </x:c>
      <x:c r="I5221" s="22" t="n">
        <x:v>17.48</x:v>
      </x:c>
      <x:c r="J5221" s="24" t="n">
        <x:v>2</x:v>
      </x:c>
      <x:c r="K5221" s="26" t="n">
        <x:v>0</x:v>
      </x:c>
      <x:c r="L5221" s="22" t="n">
        <x:v>8.2156</x:v>
      </x:c>
      <x:c r="M5221" t="n">
        <x:v>2017</x:v>
      </x:c>
      <x:c r="N5221" s="20" t="n">
        <x:v>42979</x:v>
      </x:c>
    </x:row>
    <x:row r="5222" ht="18" customHeight="1">
      <x:c r="A5222" t="str">
        <x:v>CA-2017-134635</x:v>
      </x:c>
      <x:c r="B5222" s="18" t="n">
        <x:v>42840</x:v>
      </x:c>
      <x:c r="C5222" t="str">
        <x:v>NS-18640</x:v>
      </x:c>
      <x:c r="D5222" t="str">
        <x:v>Noel Staavos</x:v>
      </x:c>
      <x:c r="E5222" t="str">
        <x:v>Corporate</x:v>
      </x:c>
      <x:c r="F5222" t="str">
        <x:v>West</x:v>
      </x:c>
      <x:c r="G5222" t="str">
        <x:v>Office Supplies</x:v>
      </x:c>
      <x:c r="H5222" t="str">
        <x:v>Paper</x:v>
      </x:c>
      <x:c r="I5222" s="22" t="n">
        <x:v>79.14</x:v>
      </x:c>
      <x:c r="J5222" s="24" t="n">
        <x:v>3</x:v>
      </x:c>
      <x:c r="K5222" s="26" t="n">
        <x:v>0</x:v>
      </x:c>
      <x:c r="L5222" s="22" t="n">
        <x:v>36.404399999999995</x:v>
      </x:c>
      <x:c r="M5222" t="n">
        <x:v>2017</x:v>
      </x:c>
      <x:c r="N5222" s="20" t="n">
        <x:v>42826</x:v>
      </x:c>
    </x:row>
    <x:row r="5223" ht="18" customHeight="1">
      <x:c r="A5223" t="str">
        <x:v>CA-2017-167080</x:v>
      </x:c>
      <x:c r="B5223" s="18" t="n">
        <x:v>42896</x:v>
      </x:c>
      <x:c r="C5223" t="str">
        <x:v>LC-16930</x:v>
      </x:c>
      <x:c r="D5223" t="str">
        <x:v>Linda Cazamias</x:v>
      </x:c>
      <x:c r="E5223" t="str">
        <x:v>Corporate</x:v>
      </x:c>
      <x:c r="F5223" t="str">
        <x:v>East</x:v>
      </x:c>
      <x:c r="G5223" t="str">
        <x:v>Office Supplies</x:v>
      </x:c>
      <x:c r="H5223" t="str">
        <x:v>Art</x:v>
      </x:c>
      <x:c r="I5223" s="22" t="n">
        <x:v>8.4</x:v>
      </x:c>
      <x:c r="J5223" s="24" t="n">
        <x:v>5</x:v>
      </x:c>
      <x:c r="K5223" s="26" t="n">
        <x:v>0</x:v>
      </x:c>
      <x:c r="L5223" s="22" t="n">
        <x:v>4.2</x:v>
      </x:c>
      <x:c r="M5223" t="n">
        <x:v>2017</x:v>
      </x:c>
      <x:c r="N5223" s="20" t="n">
        <x:v>42887</x:v>
      </x:c>
    </x:row>
    <x:row r="5224" ht="18" customHeight="1">
      <x:c r="A5224" t="str">
        <x:v>CA-2017-145653</x:v>
      </x:c>
      <x:c r="B5224" s="18" t="n">
        <x:v>42979</x:v>
      </x:c>
      <x:c r="C5224" t="str">
        <x:v>CA-12775</x:v>
      </x:c>
      <x:c r="D5224" t="str">
        <x:v>Cynthia Arntzen</x:v>
      </x:c>
      <x:c r="E5224" t="str">
        <x:v>Consumer</x:v>
      </x:c>
      <x:c r="F5224" t="str">
        <x:v>Central</x:v>
      </x:c>
      <x:c r="G5224" t="str">
        <x:v>Furniture</x:v>
      </x:c>
      <x:c r="H5224" t="str">
        <x:v>Chairs</x:v>
      </x:c>
      <x:c r="I5224" s="22" t="n">
        <x:v>498.26000000000005</x:v>
      </x:c>
      <x:c r="J5224" s="24" t="n">
        <x:v>7</x:v>
      </x:c>
      <x:c r="K5224" s="26" t="n">
        <x:v>0</x:v>
      </x:c>
      <x:c r="L5224" s="22" t="n">
        <x:v>134.5302</x:v>
      </x:c>
      <x:c r="M5224" t="n">
        <x:v>2017</x:v>
      </x:c>
      <x:c r="N5224" s="20" t="n">
        <x:v>42979</x:v>
      </x:c>
    </x:row>
    <x:row r="5225" ht="18" customHeight="1">
      <x:c r="A5225" t="str">
        <x:v>CA-2014-140487</x:v>
      </x:c>
      <x:c r="B5225" s="18" t="n">
        <x:v>41804</x:v>
      </x:c>
      <x:c r="C5225" t="str">
        <x:v>SR-20425</x:v>
      </x:c>
      <x:c r="D5225" t="str">
        <x:v>Sharelle Roach</x:v>
      </x:c>
      <x:c r="E5225" t="str">
        <x:v>Home Office</x:v>
      </x:c>
      <x:c r="F5225" t="str">
        <x:v>Central</x:v>
      </x:c>
      <x:c r="G5225" t="str">
        <x:v>Furniture</x:v>
      </x:c>
      <x:c r="H5225" t="str">
        <x:v>Bookcases</x:v>
      </x:c>
      <x:c r="I5225" s="22" t="n">
        <x:v>212.94</x:v>
      </x:c>
      <x:c r="J5225" s="24" t="n">
        <x:v>3</x:v>
      </x:c>
      <x:c r="K5225" s="26" t="n">
        <x:v>0</x:v>
      </x:c>
      <x:c r="L5225" s="22" t="n">
        <x:v>57.4938</x:v>
      </x:c>
      <x:c r="M5225" t="n">
        <x:v>2014</x:v>
      </x:c>
      <x:c r="N5225" s="20" t="n">
        <x:v>41791</x:v>
      </x:c>
    </x:row>
    <x:row r="5226" ht="18" customHeight="1">
      <x:c r="A5226" t="str">
        <x:v>CA-2017-117401</x:v>
      </x:c>
      <x:c r="B5226" s="18" t="n">
        <x:v>42873</x:v>
      </x:c>
      <x:c r="C5226" t="str">
        <x:v>PP-18955</x:v>
      </x:c>
      <x:c r="D5226" t="str">
        <x:v>Paul Prost</x:v>
      </x:c>
      <x:c r="E5226" t="str">
        <x:v>Home Office</x:v>
      </x:c>
      <x:c r="F5226" t="str">
        <x:v>Central</x:v>
      </x:c>
      <x:c r="G5226" t="str">
        <x:v>Office Supplies</x:v>
      </x:c>
      <x:c r="H5226" t="str">
        <x:v>Appliances</x:v>
      </x:c>
      <x:c r="I5226" s="22" t="n">
        <x:v>706.86</x:v>
      </x:c>
      <x:c r="J5226" s="24" t="n">
        <x:v>7</x:v>
      </x:c>
      <x:c r="K5226" s="26" t="n">
        <x:v>0</x:v>
      </x:c>
      <x:c r="L5226" s="22" t="n">
        <x:v>197.92079999999999</x:v>
      </x:c>
      <x:c r="M5226" t="n">
        <x:v>2017</x:v>
      </x:c>
      <x:c r="N5226" s="20" t="n">
        <x:v>42856</x:v>
      </x:c>
    </x:row>
    <x:row r="5227" ht="18" customHeight="1">
      <x:c r="A5227" t="str">
        <x:v>CA-2017-117401</x:v>
      </x:c>
      <x:c r="B5227" s="18" t="n">
        <x:v>42873</x:v>
      </x:c>
      <x:c r="C5227" t="str">
        <x:v>PP-18955</x:v>
      </x:c>
      <x:c r="D5227" t="str">
        <x:v>Paul Prost</x:v>
      </x:c>
      <x:c r="E5227" t="str">
        <x:v>Home Office</x:v>
      </x:c>
      <x:c r="F5227" t="str">
        <x:v>Central</x:v>
      </x:c>
      <x:c r="G5227" t="str">
        <x:v>Technology</x:v>
      </x:c>
      <x:c r="H5227" t="str">
        <x:v>Phones</x:v>
      </x:c>
      <x:c r="I5227" s="22" t="n">
        <x:v>114.94999999999999</x:v>
      </x:c>
      <x:c r="J5227" s="24" t="n">
        <x:v>5</x:v>
      </x:c>
      <x:c r="K5227" s="26" t="n">
        <x:v>0</x:v>
      </x:c>
      <x:c r="L5227" s="22" t="n">
        <x:v>2.2990000000000066</x:v>
      </x:c>
      <x:c r="M5227" t="n">
        <x:v>2017</x:v>
      </x:c>
      <x:c r="N5227" s="20" t="n">
        <x:v>42856</x:v>
      </x:c>
    </x:row>
    <x:row r="5228" ht="18" customHeight="1">
      <x:c r="A5228" t="str">
        <x:v>CA-2017-117401</x:v>
      </x:c>
      <x:c r="B5228" s="18" t="n">
        <x:v>42873</x:v>
      </x:c>
      <x:c r="C5228" t="str">
        <x:v>PP-18955</x:v>
      </x:c>
      <x:c r="D5228" t="str">
        <x:v>Paul Prost</x:v>
      </x:c>
      <x:c r="E5228" t="str">
        <x:v>Home Office</x:v>
      </x:c>
      <x:c r="F5228" t="str">
        <x:v>Central</x:v>
      </x:c>
      <x:c r="G5228" t="str">
        <x:v>Office Supplies</x:v>
      </x:c>
      <x:c r="H5228" t="str">
        <x:v>Binders</x:v>
      </x:c>
      <x:c r="I5228" s="22" t="n">
        <x:v>43.19</x:v>
      </x:c>
      <x:c r="J5228" s="24" t="n">
        <x:v>7</x:v>
      </x:c>
      <x:c r="K5228" s="26" t="n">
        <x:v>0</x:v>
      </x:c>
      <x:c r="L5228" s="22" t="n">
        <x:v>20.731199999999998</x:v>
      </x:c>
      <x:c r="M5228" t="n">
        <x:v>2017</x:v>
      </x:c>
      <x:c r="N5228" s="20" t="n">
        <x:v>42856</x:v>
      </x:c>
    </x:row>
    <x:row r="5229" ht="18" customHeight="1">
      <x:c r="A5229" t="str">
        <x:v>US-2017-109582</x:v>
      </x:c>
      <x:c r="B5229" s="18" t="n">
        <x:v>42990</x:v>
      </x:c>
      <x:c r="C5229" t="str">
        <x:v>JM-15865</x:v>
      </x:c>
      <x:c r="D5229" t="str">
        <x:v>John Murray</x:v>
      </x:c>
      <x:c r="E5229" t="str">
        <x:v>Consumer</x:v>
      </x:c>
      <x:c r="F5229" t="str">
        <x:v>West</x:v>
      </x:c>
      <x:c r="G5229" t="str">
        <x:v>Office Supplies</x:v>
      </x:c>
      <x:c r="H5229" t="str">
        <x:v>Paper</x:v>
      </x:c>
      <x:c r="I5229" s="22" t="n">
        <x:v>166.44</x:v>
      </x:c>
      <x:c r="J5229" s="24" t="n">
        <x:v>3</x:v>
      </x:c>
      <x:c r="K5229" s="26" t="n">
        <x:v>0</x:v>
      </x:c>
      <x:c r="L5229" s="22" t="n">
        <x:v>79.8912</x:v>
      </x:c>
      <x:c r="M5229" t="n">
        <x:v>2017</x:v>
      </x:c>
      <x:c r="N5229" s="20" t="n">
        <x:v>42979</x:v>
      </x:c>
    </x:row>
    <x:row r="5230" ht="18" customHeight="1">
      <x:c r="A5230" t="str">
        <x:v>CA-2016-119865</x:v>
      </x:c>
      <x:c r="B5230" s="18" t="n">
        <x:v>42542</x:v>
      </x:c>
      <x:c r="C5230" t="str">
        <x:v>AS-10090</x:v>
      </x:c>
      <x:c r="D5230" t="str">
        <x:v>Adam Shillingsburg</x:v>
      </x:c>
      <x:c r="E5230" t="str">
        <x:v>Consumer</x:v>
      </x:c>
      <x:c r="F5230" t="str">
        <x:v>East</x:v>
      </x:c>
      <x:c r="G5230" t="str">
        <x:v>Office Supplies</x:v>
      </x:c>
      <x:c r="H5230" t="str">
        <x:v>Binders</x:v>
      </x:c>
      <x:c r="I5230" s="22" t="n">
        <x:v>36.56</x:v>
      </x:c>
      <x:c r="J5230" s="24" t="n">
        <x:v>5</x:v>
      </x:c>
      <x:c r="K5230" s="26" t="n">
        <x:v>0.2</x:v>
      </x:c>
      <x:c r="L5230" s="22" t="n">
        <x:v>12.796</x:v>
      </x:c>
      <x:c r="M5230" t="n">
        <x:v>2016</x:v>
      </x:c>
      <x:c r="N5230" s="20" t="n">
        <x:v>42522</x:v>
      </x:c>
    </x:row>
    <x:row r="5231" ht="18" customHeight="1">
      <x:c r="A5231" t="str">
        <x:v>CA-2016-119865</x:v>
      </x:c>
      <x:c r="B5231" s="18" t="n">
        <x:v>42542</x:v>
      </x:c>
      <x:c r="C5231" t="str">
        <x:v>AS-10090</x:v>
      </x:c>
      <x:c r="D5231" t="str">
        <x:v>Adam Shillingsburg</x:v>
      </x:c>
      <x:c r="E5231" t="str">
        <x:v>Consumer</x:v>
      </x:c>
      <x:c r="F5231" t="str">
        <x:v>East</x:v>
      </x:c>
      <x:c r="G5231" t="str">
        <x:v>Office Supplies</x:v>
      </x:c>
      <x:c r="H5231" t="str">
        <x:v>Binders</x:v>
      </x:c>
      <x:c r="I5231" s="22" t="n">
        <x:v>186.144</x:v>
      </x:c>
      <x:c r="J5231" s="24" t="n">
        <x:v>6</x:v>
      </x:c>
      <x:c r="K5231" s="26" t="n">
        <x:v>0.2</x:v>
      </x:c>
      <x:c r="L5231" s="22" t="n">
        <x:v>60.49679999999999</x:v>
      </x:c>
      <x:c r="M5231" t="n">
        <x:v>2016</x:v>
      </x:c>
      <x:c r="N5231" s="20" t="n">
        <x:v>42522</x:v>
      </x:c>
    </x:row>
    <x:row r="5232" ht="18" customHeight="1">
      <x:c r="A5232" t="str">
        <x:v>CA-2016-119865</x:v>
      </x:c>
      <x:c r="B5232" s="18" t="n">
        <x:v>42542</x:v>
      </x:c>
      <x:c r="C5232" t="str">
        <x:v>AS-10090</x:v>
      </x:c>
      <x:c r="D5232" t="str">
        <x:v>Adam Shillingsburg</x:v>
      </x:c>
      <x:c r="E5232" t="str">
        <x:v>Consumer</x:v>
      </x:c>
      <x:c r="F5232" t="str">
        <x:v>East</x:v>
      </x:c>
      <x:c r="G5232" t="str">
        <x:v>Furniture</x:v>
      </x:c>
      <x:c r="H5232" t="str">
        <x:v>Bookcases</x:v>
      </x:c>
      <x:c r="I5232" s="22" t="n">
        <x:v>353.568</x:v>
      </x:c>
      <x:c r="J5232" s="24" t="n">
        <x:v>2</x:v>
      </x:c>
      <x:c r="K5232" s="26" t="n">
        <x:v>0.2</x:v>
      </x:c>
      <x:c r="L5232" s="22" t="n">
        <x:v>-44.196000000000026</x:v>
      </x:c>
      <x:c r="M5232" t="n">
        <x:v>2016</x:v>
      </x:c>
      <x:c r="N5232" s="20" t="n">
        <x:v>42522</x:v>
      </x:c>
    </x:row>
    <x:row r="5233" ht="18" customHeight="1">
      <x:c r="A5233" t="str">
        <x:v>US-2014-147648</x:v>
      </x:c>
      <x:c r="B5233" s="18" t="n">
        <x:v>41969</x:v>
      </x:c>
      <x:c r="C5233" t="str">
        <x:v>LS-16975</x:v>
      </x:c>
      <x:c r="D5233" t="str">
        <x:v>Lindsay Shagiari</x:v>
      </x:c>
      <x:c r="E5233" t="str">
        <x:v>Home Office</x:v>
      </x:c>
      <x:c r="F5233" t="str">
        <x:v>West</x:v>
      </x:c>
      <x:c r="G5233" t="str">
        <x:v>Office Supplies</x:v>
      </x:c>
      <x:c r="H5233" t="str">
        <x:v>Paper</x:v>
      </x:c>
      <x:c r="I5233" s="22" t="n">
        <x:v>81.98</x:v>
      </x:c>
      <x:c r="J5233" s="24" t="n">
        <x:v>2</x:v>
      </x:c>
      <x:c r="K5233" s="26" t="n">
        <x:v>0</x:v>
      </x:c>
      <x:c r="L5233" s="22" t="n">
        <x:v>40.1702</x:v>
      </x:c>
      <x:c r="M5233" t="n">
        <x:v>2014</x:v>
      </x:c>
      <x:c r="N5233" s="20" t="n">
        <x:v>41944</x:v>
      </x:c>
    </x:row>
    <x:row r="5234" ht="18" customHeight="1">
      <x:c r="A5234" t="str">
        <x:v>CA-2017-124436</x:v>
      </x:c>
      <x:c r="B5234" s="18" t="n">
        <x:v>42813</x:v>
      </x:c>
      <x:c r="C5234" t="str">
        <x:v>SA-20830</x:v>
      </x:c>
      <x:c r="D5234" t="str">
        <x:v>Sue Ann Reed</x:v>
      </x:c>
      <x:c r="E5234" t="str">
        <x:v>Consumer</x:v>
      </x:c>
      <x:c r="F5234" t="str">
        <x:v>West</x:v>
      </x:c>
      <x:c r="G5234" t="str">
        <x:v>Office Supplies</x:v>
      </x:c>
      <x:c r="H5234" t="str">
        <x:v>Binders</x:v>
      </x:c>
      <x:c r="I5234" s="22" t="n">
        <x:v>14.624000000000002</x:v>
      </x:c>
      <x:c r="J5234" s="24" t="n">
        <x:v>2</x:v>
      </x:c>
      <x:c r="K5234" s="26" t="n">
        <x:v>0.2</x:v>
      </x:c>
      <x:c r="L5234" s="22" t="n">
        <x:v>5.118399999999999</x:v>
      </x:c>
      <x:c r="M5234" t="n">
        <x:v>2017</x:v>
      </x:c>
      <x:c r="N5234" s="20" t="n">
        <x:v>42795</x:v>
      </x:c>
    </x:row>
    <x:row r="5235" ht="18" customHeight="1">
      <x:c r="A5235" t="str">
        <x:v>CA-2017-124436</x:v>
      </x:c>
      <x:c r="B5235" s="18" t="n">
        <x:v>42813</x:v>
      </x:c>
      <x:c r="C5235" t="str">
        <x:v>SA-20830</x:v>
      </x:c>
      <x:c r="D5235" t="str">
        <x:v>Sue Ann Reed</x:v>
      </x:c>
      <x:c r="E5235" t="str">
        <x:v>Consumer</x:v>
      </x:c>
      <x:c r="F5235" t="str">
        <x:v>West</x:v>
      </x:c>
      <x:c r="G5235" t="str">
        <x:v>Furniture</x:v>
      </x:c>
      <x:c r="H5235" t="str">
        <x:v>Tables</x:v>
      </x:c>
      <x:c r="I5235" s="22" t="n">
        <x:v>697.16</x:v>
      </x:c>
      <x:c r="J5235" s="24" t="n">
        <x:v>5</x:v>
      </x:c>
      <x:c r="K5235" s="26" t="n">
        <x:v>0.2</x:v>
      </x:c>
      <x:c r="L5235" s="22" t="n">
        <x:v>8.714499999999987</x:v>
      </x:c>
      <x:c r="M5235" t="n">
        <x:v>2017</x:v>
      </x:c>
      <x:c r="N5235" s="20" t="n">
        <x:v>42795</x:v>
      </x:c>
    </x:row>
    <x:row r="5236" ht="18" customHeight="1">
      <x:c r="A5236" t="str">
        <x:v>CA-2017-124436</x:v>
      </x:c>
      <x:c r="B5236" s="18" t="n">
        <x:v>42813</x:v>
      </x:c>
      <x:c r="C5236" t="str">
        <x:v>SA-20830</x:v>
      </x:c>
      <x:c r="D5236" t="str">
        <x:v>Sue Ann Reed</x:v>
      </x:c>
      <x:c r="E5236" t="str">
        <x:v>Consumer</x:v>
      </x:c>
      <x:c r="F5236" t="str">
        <x:v>West</x:v>
      </x:c>
      <x:c r="G5236" t="str">
        <x:v>Furniture</x:v>
      </x:c>
      <x:c r="H5236" t="str">
        <x:v>Furnishings</x:v>
      </x:c>
      <x:c r="I5236" s="22" t="n">
        <x:v>30.93</x:v>
      </x:c>
      <x:c r="J5236" s="24" t="n">
        <x:v>1</x:v>
      </x:c>
      <x:c r="K5236" s="26" t="n">
        <x:v>0</x:v>
      </x:c>
      <x:c r="L5236" s="22" t="n">
        <x:v>12.6813</x:v>
      </x:c>
      <x:c r="M5236" t="n">
        <x:v>2017</x:v>
      </x:c>
      <x:c r="N5236" s="20" t="n">
        <x:v>42795</x:v>
      </x:c>
    </x:row>
    <x:row r="5237" ht="18" customHeight="1">
      <x:c r="A5237" t="str">
        <x:v>CA-2017-124436</x:v>
      </x:c>
      <x:c r="B5237" s="18" t="n">
        <x:v>42813</x:v>
      </x:c>
      <x:c r="C5237" t="str">
        <x:v>SA-20830</x:v>
      </x:c>
      <x:c r="D5237" t="str">
        <x:v>Sue Ann Reed</x:v>
      </x:c>
      <x:c r="E5237" t="str">
        <x:v>Consumer</x:v>
      </x:c>
      <x:c r="F5237" t="str">
        <x:v>West</x:v>
      </x:c>
      <x:c r="G5237" t="str">
        <x:v>Office Supplies</x:v>
      </x:c>
      <x:c r="H5237" t="str">
        <x:v>Binders</x:v>
      </x:c>
      <x:c r="I5237" s="22" t="n">
        <x:v>27.496000000000002</x:v>
      </x:c>
      <x:c r="J5237" s="24" t="n">
        <x:v>7</x:v>
      </x:c>
      <x:c r="K5237" s="26" t="n">
        <x:v>0.2</x:v>
      </x:c>
      <x:c r="L5237" s="22" t="n">
        <x:v>9.2799</x:v>
      </x:c>
      <x:c r="M5237" t="n">
        <x:v>2017</x:v>
      </x:c>
      <x:c r="N5237" s="20" t="n">
        <x:v>42795</x:v>
      </x:c>
    </x:row>
    <x:row r="5238" ht="18" customHeight="1">
      <x:c r="A5238" t="str">
        <x:v>CA-2014-115084</x:v>
      </x:c>
      <x:c r="B5238" s="18" t="n">
        <x:v>41930</x:v>
      </x:c>
      <x:c r="C5238" t="str">
        <x:v>LS-17200</x:v>
      </x:c>
      <x:c r="D5238" t="str">
        <x:v>Luke Schmidt</x:v>
      </x:c>
      <x:c r="E5238" t="str">
        <x:v>Corporate</x:v>
      </x:c>
      <x:c r="F5238" t="str">
        <x:v>South</x:v>
      </x:c>
      <x:c r="G5238" t="str">
        <x:v>Furniture</x:v>
      </x:c>
      <x:c r="H5238" t="str">
        <x:v>Chairs</x:v>
      </x:c>
      <x:c r="I5238" s="22" t="n">
        <x:v>605.34</x:v>
      </x:c>
      <x:c r="J5238" s="24" t="n">
        <x:v>6</x:v>
      </x:c>
      <x:c r="K5238" s="26" t="n">
        <x:v>0</x:v>
      </x:c>
      <x:c r="L5238" s="22" t="n">
        <x:v>145.2816</x:v>
      </x:c>
      <x:c r="M5238" t="n">
        <x:v>2014</x:v>
      </x:c>
      <x:c r="N5238" s="20" t="n">
        <x:v>41913</x:v>
      </x:c>
    </x:row>
    <x:row r="5239" ht="18" customHeight="1">
      <x:c r="A5239" t="str">
        <x:v>CA-2017-131037</x:v>
      </x:c>
      <x:c r="B5239" s="18" t="n">
        <x:v>42969</x:v>
      </x:c>
      <x:c r="C5239" t="str">
        <x:v>TM-21490</x:v>
      </x:c>
      <x:c r="D5239" t="str">
        <x:v>Tony Molinari</x:v>
      </x:c>
      <x:c r="E5239" t="str">
        <x:v>Consumer</x:v>
      </x:c>
      <x:c r="F5239" t="str">
        <x:v>West</x:v>
      </x:c>
      <x:c r="G5239" t="str">
        <x:v>Furniture</x:v>
      </x:c>
      <x:c r="H5239" t="str">
        <x:v>Tables</x:v>
      </x:c>
      <x:c r="I5239" s="22" t="n">
        <x:v>210.008</x:v>
      </x:c>
      <x:c r="J5239" s="24" t="n">
        <x:v>1</x:v>
      </x:c>
      <x:c r="K5239" s="26" t="n">
        <x:v>0.2</x:v>
      </x:c>
      <x:c r="L5239" s="22" t="n">
        <x:v>2.625099999999982</x:v>
      </x:c>
      <x:c r="M5239" t="n">
        <x:v>2017</x:v>
      </x:c>
      <x:c r="N5239" s="20" t="n">
        <x:v>42948</x:v>
      </x:c>
    </x:row>
    <x:row r="5240" ht="18" customHeight="1">
      <x:c r="A5240" t="str">
        <x:v>CA-2016-111143</x:v>
      </x:c>
      <x:c r="B5240" s="18" t="n">
        <x:v>42693</x:v>
      </x:c>
      <x:c r="C5240" t="str">
        <x:v>TT-21265</x:v>
      </x:c>
      <x:c r="D5240" t="str">
        <x:v>Tim Taslimi</x:v>
      </x:c>
      <x:c r="E5240" t="str">
        <x:v>Corporate</x:v>
      </x:c>
      <x:c r="F5240" t="str">
        <x:v>Central</x:v>
      </x:c>
      <x:c r="G5240" t="str">
        <x:v>Office Supplies</x:v>
      </x:c>
      <x:c r="H5240" t="str">
        <x:v>Appliances</x:v>
      </x:c>
      <x:c r="I5240" s="22" t="n">
        <x:v>54.96</x:v>
      </x:c>
      <x:c r="J5240" s="24" t="n">
        <x:v>3</x:v>
      </x:c>
      <x:c r="K5240" s="26" t="n">
        <x:v>0</x:v>
      </x:c>
      <x:c r="L5240" s="22" t="n">
        <x:v>15.938399999999998</x:v>
      </x:c>
      <x:c r="M5240" t="n">
        <x:v>2016</x:v>
      </x:c>
      <x:c r="N5240" s="20" t="n">
        <x:v>42675</x:v>
      </x:c>
    </x:row>
    <x:row r="5241" ht="18" customHeight="1">
      <x:c r="A5241" t="str">
        <x:v>CA-2014-166744</x:v>
      </x:c>
      <x:c r="B5241" s="18" t="n">
        <x:v>41902</x:v>
      </x:c>
      <x:c r="C5241" t="str">
        <x:v>DN-13690</x:v>
      </x:c>
      <x:c r="D5241" t="str">
        <x:v>Duane Noonan</x:v>
      </x:c>
      <x:c r="E5241" t="str">
        <x:v>Consumer</x:v>
      </x:c>
      <x:c r="F5241" t="str">
        <x:v>East</x:v>
      </x:c>
      <x:c r="G5241" t="str">
        <x:v>Furniture</x:v>
      </x:c>
      <x:c r="H5241" t="str">
        <x:v>Furnishings</x:v>
      </x:c>
      <x:c r="I5241" s="22" t="n">
        <x:v>164.22</x:v>
      </x:c>
      <x:c r="J5241" s="24" t="n">
        <x:v>3</x:v>
      </x:c>
      <x:c r="K5241" s="26" t="n">
        <x:v>0</x:v>
      </x:c>
      <x:c r="L5241" s="22" t="n">
        <x:v>50.9082</x:v>
      </x:c>
      <x:c r="M5241" t="n">
        <x:v>2014</x:v>
      </x:c>
      <x:c r="N5241" s="20" t="n">
        <x:v>41883</x:v>
      </x:c>
    </x:row>
    <x:row r="5242" ht="18" customHeight="1">
      <x:c r="A5242" t="str">
        <x:v>CA-2014-166744</x:v>
      </x:c>
      <x:c r="B5242" s="18" t="n">
        <x:v>41902</x:v>
      </x:c>
      <x:c r="C5242" t="str">
        <x:v>DN-13690</x:v>
      </x:c>
      <x:c r="D5242" t="str">
        <x:v>Duane Noonan</x:v>
      </x:c>
      <x:c r="E5242" t="str">
        <x:v>Consumer</x:v>
      </x:c>
      <x:c r="F5242" t="str">
        <x:v>East</x:v>
      </x:c>
      <x:c r="G5242" t="str">
        <x:v>Furniture</x:v>
      </x:c>
      <x:c r="H5242" t="str">
        <x:v>Bookcases</x:v>
      </x:c>
      <x:c r="I5242" s="22" t="n">
        <x:v>362.94</x:v>
      </x:c>
      <x:c r="J5242" s="24" t="n">
        <x:v>3</x:v>
      </x:c>
      <x:c r="K5242" s="26" t="n">
        <x:v>0</x:v>
      </x:c>
      <x:c r="L5242" s="22" t="n">
        <x:v>36.294</x:v>
      </x:c>
      <x:c r="M5242" t="n">
        <x:v>2014</x:v>
      </x:c>
      <x:c r="N5242" s="20" t="n">
        <x:v>41883</x:v>
      </x:c>
    </x:row>
    <x:row r="5243" ht="18" customHeight="1">
      <x:c r="A5243" t="str">
        <x:v>CA-2014-166744</x:v>
      </x:c>
      <x:c r="B5243" s="18" t="n">
        <x:v>41902</x:v>
      </x:c>
      <x:c r="C5243" t="str">
        <x:v>DN-13690</x:v>
      </x:c>
      <x:c r="D5243" t="str">
        <x:v>Duane Noonan</x:v>
      </x:c>
      <x:c r="E5243" t="str">
        <x:v>Consumer</x:v>
      </x:c>
      <x:c r="F5243" t="str">
        <x:v>East</x:v>
      </x:c>
      <x:c r="G5243" t="str">
        <x:v>Technology</x:v>
      </x:c>
      <x:c r="H5243" t="str">
        <x:v>Accessories</x:v>
      </x:c>
      <x:c r="I5243" s="22" t="n">
        <x:v>59.98</x:v>
      </x:c>
      <x:c r="J5243" s="24" t="n">
        <x:v>2</x:v>
      </x:c>
      <x:c r="K5243" s="26" t="n">
        <x:v>0</x:v>
      </x:c>
      <x:c r="L5243" s="22" t="n">
        <x:v>26.391200000000005</x:v>
      </x:c>
      <x:c r="M5243" t="n">
        <x:v>2014</x:v>
      </x:c>
      <x:c r="N5243" s="20" t="n">
        <x:v>41883</x:v>
      </x:c>
    </x:row>
    <x:row r="5244" ht="18" customHeight="1">
      <x:c r="A5244" t="str">
        <x:v>CA-2016-116561</x:v>
      </x:c>
      <x:c r="B5244" s="18" t="n">
        <x:v>42624</x:v>
      </x:c>
      <x:c r="C5244" t="str">
        <x:v>EB-14110</x:v>
      </x:c>
      <x:c r="D5244" t="str">
        <x:v>Eugene Barchas</x:v>
      </x:c>
      <x:c r="E5244" t="str">
        <x:v>Consumer</x:v>
      </x:c>
      <x:c r="F5244" t="str">
        <x:v>West</x:v>
      </x:c>
      <x:c r="G5244" t="str">
        <x:v>Office Supplies</x:v>
      </x:c>
      <x:c r="H5244" t="str">
        <x:v>Storage</x:v>
      </x:c>
      <x:c r="I5244" s="22" t="n">
        <x:v>332.94</x:v>
      </x:c>
      <x:c r="J5244" s="24" t="n">
        <x:v>3</x:v>
      </x:c>
      <x:c r="K5244" s="26" t="n">
        <x:v>0</x:v>
      </x:c>
      <x:c r="L5244" s="22" t="n">
        <x:v>6.658799999999999</x:v>
      </x:c>
      <x:c r="M5244" t="n">
        <x:v>2016</x:v>
      </x:c>
      <x:c r="N5244" s="20" t="n">
        <x:v>42614</x:v>
      </x:c>
    </x:row>
    <x:row r="5245" ht="18" customHeight="1">
      <x:c r="A5245" t="str">
        <x:v>CA-2016-116561</x:v>
      </x:c>
      <x:c r="B5245" s="18" t="n">
        <x:v>42624</x:v>
      </x:c>
      <x:c r="C5245" t="str">
        <x:v>EB-14110</x:v>
      </x:c>
      <x:c r="D5245" t="str">
        <x:v>Eugene Barchas</x:v>
      </x:c>
      <x:c r="E5245" t="str">
        <x:v>Consumer</x:v>
      </x:c>
      <x:c r="F5245" t="str">
        <x:v>West</x:v>
      </x:c>
      <x:c r="G5245" t="str">
        <x:v>Office Supplies</x:v>
      </x:c>
      <x:c r="H5245" t="str">
        <x:v>Binders</x:v>
      </x:c>
      <x:c r="I5245" s="22" t="n">
        <x:v>39.87200000000001</x:v>
      </x:c>
      <x:c r="J5245" s="24" t="n">
        <x:v>2</x:v>
      </x:c>
      <x:c r="K5245" s="26" t="n">
        <x:v>0.2</x:v>
      </x:c>
      <x:c r="L5245" s="22" t="n">
        <x:v>12.9584</x:v>
      </x:c>
      <x:c r="M5245" t="n">
        <x:v>2016</x:v>
      </x:c>
      <x:c r="N5245" s="20" t="n">
        <x:v>42614</x:v>
      </x:c>
    </x:row>
    <x:row r="5246" ht="18" customHeight="1">
      <x:c r="A5246" t="str">
        <x:v>CA-2016-110730</x:v>
      </x:c>
      <x:c r="B5246" s="18" t="n">
        <x:v>42636</x:v>
      </x:c>
      <x:c r="C5246" t="str">
        <x:v>CM-11815</x:v>
      </x:c>
      <x:c r="D5246" t="str">
        <x:v>Candace McMahon</x:v>
      </x:c>
      <x:c r="E5246" t="str">
        <x:v>Corporate</x:v>
      </x:c>
      <x:c r="F5246" t="str">
        <x:v>West</x:v>
      </x:c>
      <x:c r="G5246" t="str">
        <x:v>Office Supplies</x:v>
      </x:c>
      <x:c r="H5246" t="str">
        <x:v>Supplies</x:v>
      </x:c>
      <x:c r="I5246" s="22" t="n">
        <x:v>13.68</x:v>
      </x:c>
      <x:c r="J5246" s="24" t="n">
        <x:v>2</x:v>
      </x:c>
      <x:c r="K5246" s="26" t="n">
        <x:v>0</x:v>
      </x:c>
      <x:c r="L5246" s="22" t="n">
        <x:v>3.6936</x:v>
      </x:c>
      <x:c r="M5246" t="n">
        <x:v>2016</x:v>
      </x:c>
      <x:c r="N5246" s="20" t="n">
        <x:v>42614</x:v>
      </x:c>
    </x:row>
    <x:row r="5247" ht="18" customHeight="1">
      <x:c r="A5247" t="str">
        <x:v>CA-2017-146367</x:v>
      </x:c>
      <x:c r="B5247" s="18" t="n">
        <x:v>42951</x:v>
      </x:c>
      <x:c r="C5247" t="str">
        <x:v>HM-14860</x:v>
      </x:c>
      <x:c r="D5247" t="str">
        <x:v>Harry Marie</x:v>
      </x:c>
      <x:c r="E5247" t="str">
        <x:v>Corporate</x:v>
      </x:c>
      <x:c r="F5247" t="str">
        <x:v>Central</x:v>
      </x:c>
      <x:c r="G5247" t="str">
        <x:v>Office Supplies</x:v>
      </x:c>
      <x:c r="H5247" t="str">
        <x:v>Binders</x:v>
      </x:c>
      <x:c r="I5247" s="22" t="n">
        <x:v>3.3179999999999996</x:v>
      </x:c>
      <x:c r="J5247" s="24" t="n">
        <x:v>3</x:v>
      </x:c>
      <x:c r="K5247" s="26" t="n">
        <x:v>0.8</x:v>
      </x:c>
      <x:c r="L5247" s="22" t="n">
        <x:v>-5.640600000000002</x:v>
      </x:c>
      <x:c r="M5247" t="n">
        <x:v>2017</x:v>
      </x:c>
      <x:c r="N5247" s="20" t="n">
        <x:v>42948</x:v>
      </x:c>
    </x:row>
    <x:row r="5248" ht="18" customHeight="1">
      <x:c r="A5248" t="str">
        <x:v>CA-2016-149454</x:v>
      </x:c>
      <x:c r="B5248" s="18" t="n">
        <x:v>42576</x:v>
      </x:c>
      <x:c r="C5248" t="str">
        <x:v>KM-16375</x:v>
      </x:c>
      <x:c r="D5248" t="str">
        <x:v>Katherine Murray</x:v>
      </x:c>
      <x:c r="E5248" t="str">
        <x:v>Home Office</x:v>
      </x:c>
      <x:c r="F5248" t="str">
        <x:v>South</x:v>
      </x:c>
      <x:c r="G5248" t="str">
        <x:v>Office Supplies</x:v>
      </x:c>
      <x:c r="H5248" t="str">
        <x:v>Binders</x:v>
      </x:c>
      <x:c r="I5248" s="22" t="n">
        <x:v>10.44</x:v>
      </x:c>
      <x:c r="J5248" s="24" t="n">
        <x:v>1</x:v>
      </x:c>
      <x:c r="K5248" s="26" t="n">
        <x:v>0</x:v>
      </x:c>
      <x:c r="L5248" s="22" t="n">
        <x:v>4.8024</x:v>
      </x:c>
      <x:c r="M5248" t="n">
        <x:v>2016</x:v>
      </x:c>
      <x:c r="N5248" s="20" t="n">
        <x:v>42552</x:v>
      </x:c>
    </x:row>
    <x:row r="5249" ht="18" customHeight="1">
      <x:c r="A5249" t="str">
        <x:v>CA-2016-156265</x:v>
      </x:c>
      <x:c r="B5249" s="18" t="n">
        <x:v>42584</x:v>
      </x:c>
      <x:c r="C5249" t="str">
        <x:v>BF-11020</x:v>
      </x:c>
      <x:c r="D5249" t="str">
        <x:v>Barry Französisch</x:v>
      </x:c>
      <x:c r="E5249" t="str">
        <x:v>Corporate</x:v>
      </x:c>
      <x:c r="F5249" t="str">
        <x:v>West</x:v>
      </x:c>
      <x:c r="G5249" t="str">
        <x:v>Furniture</x:v>
      </x:c>
      <x:c r="H5249" t="str">
        <x:v>Tables</x:v>
      </x:c>
      <x:c r="I5249" s="22" t="n">
        <x:v>136.46400000000003</x:v>
      </x:c>
      <x:c r="J5249" s="24" t="n">
        <x:v>2</x:v>
      </x:c>
      <x:c r="K5249" s="26" t="n">
        <x:v>0.2</x:v>
      </x:c>
      <x:c r="L5249" s="22" t="n">
        <x:v>15.35219999999999</x:v>
      </x:c>
      <x:c r="M5249" t="n">
        <x:v>2016</x:v>
      </x:c>
      <x:c r="N5249" s="20" t="n">
        <x:v>42583</x:v>
      </x:c>
    </x:row>
    <x:row r="5250" ht="18" customHeight="1">
      <x:c r="A5250" t="str">
        <x:v>CA-2016-156265</x:v>
      </x:c>
      <x:c r="B5250" s="18" t="n">
        <x:v>42584</x:v>
      </x:c>
      <x:c r="C5250" t="str">
        <x:v>BF-11020</x:v>
      </x:c>
      <x:c r="D5250" t="str">
        <x:v>Barry Französisch</x:v>
      </x:c>
      <x:c r="E5250" t="str">
        <x:v>Corporate</x:v>
      </x:c>
      <x:c r="F5250" t="str">
        <x:v>West</x:v>
      </x:c>
      <x:c r="G5250" t="str">
        <x:v>Technology</x:v>
      </x:c>
      <x:c r="H5250" t="str">
        <x:v>Phones</x:v>
      </x:c>
      <x:c r="I5250" s="22" t="n">
        <x:v>333.576</x:v>
      </x:c>
      <x:c r="J5250" s="24" t="n">
        <x:v>3</x:v>
      </x:c>
      <x:c r="K5250" s="26" t="n">
        <x:v>0.2</x:v>
      </x:c>
      <x:c r="L5250" s="22" t="n">
        <x:v>33.35760000000002</x:v>
      </x:c>
      <x:c r="M5250" t="n">
        <x:v>2016</x:v>
      </x:c>
      <x:c r="N5250" s="20" t="n">
        <x:v>42583</x:v>
      </x:c>
    </x:row>
    <x:row r="5251" ht="18" customHeight="1">
      <x:c r="A5251" t="str">
        <x:v>CA-2016-156265</x:v>
      </x:c>
      <x:c r="B5251" s="18" t="n">
        <x:v>42584</x:v>
      </x:c>
      <x:c r="C5251" t="str">
        <x:v>BF-11020</x:v>
      </x:c>
      <x:c r="D5251" t="str">
        <x:v>Barry Französisch</x:v>
      </x:c>
      <x:c r="E5251" t="str">
        <x:v>Corporate</x:v>
      </x:c>
      <x:c r="F5251" t="str">
        <x:v>West</x:v>
      </x:c>
      <x:c r="G5251" t="str">
        <x:v>Office Supplies</x:v>
      </x:c>
      <x:c r="H5251" t="str">
        <x:v>Binders</x:v>
      </x:c>
      <x:c r="I5251" s="22" t="n">
        <x:v>12.544</x:v>
      </x:c>
      <x:c r="J5251" s="24" t="n">
        <x:v>2</x:v>
      </x:c>
      <x:c r="K5251" s="26" t="n">
        <x:v>0.2</x:v>
      </x:c>
      <x:c r="L5251" s="22" t="n">
        <x:v>4.704</x:v>
      </x:c>
      <x:c r="M5251" t="n">
        <x:v>2016</x:v>
      </x:c>
      <x:c r="N5251" s="20" t="n">
        <x:v>42583</x:v>
      </x:c>
    </x:row>
    <x:row r="5252" ht="18" customHeight="1">
      <x:c r="A5252" t="str">
        <x:v>US-2015-168914</x:v>
      </x:c>
      <x:c r="B5252" s="18" t="n">
        <x:v>42145</x:v>
      </x:c>
      <x:c r="C5252" t="str">
        <x:v>JE-15745</x:v>
      </x:c>
      <x:c r="D5252" t="str">
        <x:v>Joel Eaton</x:v>
      </x:c>
      <x:c r="E5252" t="str">
        <x:v>Consumer</x:v>
      </x:c>
      <x:c r="F5252" t="str">
        <x:v>Central</x:v>
      </x:c>
      <x:c r="G5252" t="str">
        <x:v>Office Supplies</x:v>
      </x:c>
      <x:c r="H5252" t="str">
        <x:v>Appliances</x:v>
      </x:c>
      <x:c r="I5252" s="22" t="n">
        <x:v>20.767999999999997</x:v>
      </x:c>
      <x:c r="J5252" s="24" t="n">
        <x:v>8</x:v>
      </x:c>
      <x:c r="K5252" s="26" t="n">
        <x:v>0.8</x:v>
      </x:c>
      <x:c r="L5252" s="22" t="n">
        <x:v>-52.95840000000001</x:v>
      </x:c>
      <x:c r="M5252" t="n">
        <x:v>2015</x:v>
      </x:c>
      <x:c r="N5252" s="20" t="n">
        <x:v>42125</x:v>
      </x:c>
    </x:row>
    <x:row r="5253" ht="18" customHeight="1">
      <x:c r="A5253" t="str">
        <x:v>US-2017-110989</x:v>
      </x:c>
      <x:c r="B5253" s="18" t="n">
        <x:v>43042</x:v>
      </x:c>
      <x:c r="C5253" t="str">
        <x:v>EJ-14155</x:v>
      </x:c>
      <x:c r="D5253" t="str">
        <x:v>Eva Jacobs</x:v>
      </x:c>
      <x:c r="E5253" t="str">
        <x:v>Consumer</x:v>
      </x:c>
      <x:c r="F5253" t="str">
        <x:v>West</x:v>
      </x:c>
      <x:c r="G5253" t="str">
        <x:v>Technology</x:v>
      </x:c>
      <x:c r="H5253" t="str">
        <x:v>Accessories</x:v>
      </x:c>
      <x:c r="I5253" s="22" t="n">
        <x:v>43.5</x:v>
      </x:c>
      <x:c r="J5253" s="24" t="n">
        <x:v>3</x:v>
      </x:c>
      <x:c r="K5253" s="26" t="n">
        <x:v>0</x:v>
      </x:c>
      <x:c r="L5253" s="22" t="n">
        <x:v>10.875</x:v>
      </x:c>
      <x:c r="M5253" t="n">
        <x:v>2017</x:v>
      </x:c>
      <x:c r="N5253" s="20" t="n">
        <x:v>43040</x:v>
      </x:c>
    </x:row>
    <x:row r="5254" ht="18" customHeight="1">
      <x:c r="A5254" t="str">
        <x:v>CA-2015-106215</x:v>
      </x:c>
      <x:c r="B5254" s="18" t="n">
        <x:v>42110</x:v>
      </x:c>
      <x:c r="C5254" t="str">
        <x:v>BN-11470</x:v>
      </x:c>
      <x:c r="D5254" t="str">
        <x:v>Brad Norvell</x:v>
      </x:c>
      <x:c r="E5254" t="str">
        <x:v>Corporate</x:v>
      </x:c>
      <x:c r="F5254" t="str">
        <x:v>East</x:v>
      </x:c>
      <x:c r="G5254" t="str">
        <x:v>Office Supplies</x:v>
      </x:c>
      <x:c r="H5254" t="str">
        <x:v>Fasteners</x:v>
      </x:c>
      <x:c r="I5254" s="22" t="n">
        <x:v>12.576</x:v>
      </x:c>
      <x:c r="J5254" s="24" t="n">
        <x:v>4</x:v>
      </x:c>
      <x:c r="K5254" s="26" t="n">
        <x:v>0.2</x:v>
      </x:c>
      <x:c r="L5254" s="22" t="n">
        <x:v>4.087199999999999</x:v>
      </x:c>
      <x:c r="M5254" t="n">
        <x:v>2015</x:v>
      </x:c>
      <x:c r="N5254" s="20" t="n">
        <x:v>42095</x:v>
      </x:c>
    </x:row>
    <x:row r="5255" ht="18" customHeight="1">
      <x:c r="A5255" t="str">
        <x:v>US-2016-169369</x:v>
      </x:c>
      <x:c r="B5255" s="18" t="n">
        <x:v>42716</x:v>
      </x:c>
      <x:c r="C5255" t="str">
        <x:v>EC-14050</x:v>
      </x:c>
      <x:c r="D5255" t="str">
        <x:v>Erin Creighton</x:v>
      </x:c>
      <x:c r="E5255" t="str">
        <x:v>Consumer</x:v>
      </x:c>
      <x:c r="F5255" t="str">
        <x:v>South</x:v>
      </x:c>
      <x:c r="G5255" t="str">
        <x:v>Technology</x:v>
      </x:c>
      <x:c r="H5255" t="str">
        <x:v>Accessories</x:v>
      </x:c>
      <x:c r="I5255" s="22" t="n">
        <x:v>249.95000000000002</x:v>
      </x:c>
      <x:c r="J5255" s="24" t="n">
        <x:v>5</x:v>
      </x:c>
      <x:c r="K5255" s="26" t="n">
        <x:v>0</x:v>
      </x:c>
      <x:c r="L5255" s="22" t="n">
        <x:v>19.995999999999974</x:v>
      </x:c>
      <x:c r="M5255" t="n">
        <x:v>2016</x:v>
      </x:c>
      <x:c r="N5255" s="20" t="n">
        <x:v>42705</x:v>
      </x:c>
    </x:row>
    <x:row r="5256" ht="18" customHeight="1">
      <x:c r="A5256" t="str">
        <x:v>US-2016-169369</x:v>
      </x:c>
      <x:c r="B5256" s="18" t="n">
        <x:v>42716</x:v>
      </x:c>
      <x:c r="C5256" t="str">
        <x:v>EC-14050</x:v>
      </x:c>
      <x:c r="D5256" t="str">
        <x:v>Erin Creighton</x:v>
      </x:c>
      <x:c r="E5256" t="str">
        <x:v>Consumer</x:v>
      </x:c>
      <x:c r="F5256" t="str">
        <x:v>South</x:v>
      </x:c>
      <x:c r="G5256" t="str">
        <x:v>Office Supplies</x:v>
      </x:c>
      <x:c r="H5256" t="str">
        <x:v>Paper</x:v>
      </x:c>
      <x:c r="I5256" s="22" t="n">
        <x:v>49.12</x:v>
      </x:c>
      <x:c r="J5256" s="24" t="n">
        <x:v>4</x:v>
      </x:c>
      <x:c r="K5256" s="26" t="n">
        <x:v>0</x:v>
      </x:c>
      <x:c r="L5256" s="22" t="n">
        <x:v>23.086399999999998</x:v>
      </x:c>
      <x:c r="M5256" t="n">
        <x:v>2016</x:v>
      </x:c>
      <x:c r="N5256" s="20" t="n">
        <x:v>42705</x:v>
      </x:c>
    </x:row>
    <x:row r="5257" ht="18" customHeight="1">
      <x:c r="A5257" t="str">
        <x:v>CA-2015-132318</x:v>
      </x:c>
      <x:c r="B5257" s="18" t="n">
        <x:v>42307</x:v>
      </x:c>
      <x:c r="C5257" t="str">
        <x:v>TT-21220</x:v>
      </x:c>
      <x:c r="D5257" t="str">
        <x:v>Thomas Thornton</x:v>
      </x:c>
      <x:c r="E5257" t="str">
        <x:v>Consumer</x:v>
      </x:c>
      <x:c r="F5257" t="str">
        <x:v>South</x:v>
      </x:c>
      <x:c r="G5257" t="str">
        <x:v>Office Supplies</x:v>
      </x:c>
      <x:c r="H5257" t="str">
        <x:v>Appliances</x:v>
      </x:c>
      <x:c r="I5257" s="22" t="n">
        <x:v>182.91</x:v>
      </x:c>
      <x:c r="J5257" s="24" t="n">
        <x:v>3</x:v>
      </x:c>
      <x:c r="K5257" s="26" t="n">
        <x:v>0</x:v>
      </x:c>
      <x:c r="L5257" s="22" t="n">
        <x:v>53.04389999999998</x:v>
      </x:c>
      <x:c r="M5257" t="n">
        <x:v>2015</x:v>
      </x:c>
      <x:c r="N5257" s="20" t="n">
        <x:v>42278</x:v>
      </x:c>
    </x:row>
    <x:row r="5258" ht="18" customHeight="1">
      <x:c r="A5258" t="str">
        <x:v>US-2014-131982</x:v>
      </x:c>
      <x:c r="B5258" s="18" t="n">
        <x:v>41705</x:v>
      </x:c>
      <x:c r="C5258" t="str">
        <x:v>NP-18685</x:v>
      </x:c>
      <x:c r="D5258" t="str">
        <x:v>Nora Pelletier</x:v>
      </x:c>
      <x:c r="E5258" t="str">
        <x:v>Home Office</x:v>
      </x:c>
      <x:c r="F5258" t="str">
        <x:v>West</x:v>
      </x:c>
      <x:c r="G5258" t="str">
        <x:v>Office Supplies</x:v>
      </x:c>
      <x:c r="H5258" t="str">
        <x:v>Binders</x:v>
      </x:c>
      <x:c r="I5258" s="22" t="n">
        <x:v>107.64800000000001</x:v>
      </x:c>
      <x:c r="J5258" s="24" t="n">
        <x:v>2</x:v>
      </x:c>
      <x:c r="K5258" s="26" t="n">
        <x:v>0.2</x:v>
      </x:c>
      <x:c r="L5258" s="22" t="n">
        <x:v>33.639999999999986</x:v>
      </x:c>
      <x:c r="M5258" t="n">
        <x:v>2014</x:v>
      </x:c>
      <x:c r="N5258" s="20" t="n">
        <x:v>41699</x:v>
      </x:c>
    </x:row>
    <x:row r="5259" ht="18" customHeight="1">
      <x:c r="A5259" t="str">
        <x:v>CA-2015-125185</x:v>
      </x:c>
      <x:c r="B5259" s="18" t="n">
        <x:v>42068</x:v>
      </x:c>
      <x:c r="C5259" t="str">
        <x:v>AH-10195</x:v>
      </x:c>
      <x:c r="D5259" t="str">
        <x:v>Alan Haines</x:v>
      </x:c>
      <x:c r="E5259" t="str">
        <x:v>Corporate</x:v>
      </x:c>
      <x:c r="F5259" t="str">
        <x:v>East</x:v>
      </x:c>
      <x:c r="G5259" t="str">
        <x:v>Furniture</x:v>
      </x:c>
      <x:c r="H5259" t="str">
        <x:v>Chairs</x:v>
      </x:c>
      <x:c r="I5259" s="22" t="n">
        <x:v>99.372</x:v>
      </x:c>
      <x:c r="J5259" s="24" t="n">
        <x:v>2</x:v>
      </x:c>
      <x:c r="K5259" s="26" t="n">
        <x:v>0.3</x:v>
      </x:c>
      <x:c r="L5259" s="22" t="n">
        <x:v>-7.097999999999992</x:v>
      </x:c>
      <x:c r="M5259" t="n">
        <x:v>2015</x:v>
      </x:c>
      <x:c r="N5259" s="20" t="n">
        <x:v>42064</x:v>
      </x:c>
    </x:row>
    <x:row r="5260" ht="18" customHeight="1">
      <x:c r="A5260" t="str">
        <x:v>CA-2015-125185</x:v>
      </x:c>
      <x:c r="B5260" s="18" t="n">
        <x:v>42068</x:v>
      </x:c>
      <x:c r="C5260" t="str">
        <x:v>AH-10195</x:v>
      </x:c>
      <x:c r="D5260" t="str">
        <x:v>Alan Haines</x:v>
      </x:c>
      <x:c r="E5260" t="str">
        <x:v>Corporate</x:v>
      </x:c>
      <x:c r="F5260" t="str">
        <x:v>East</x:v>
      </x:c>
      <x:c r="G5260" t="str">
        <x:v>Furniture</x:v>
      </x:c>
      <x:c r="H5260" t="str">
        <x:v>Furnishings</x:v>
      </x:c>
      <x:c r="I5260" s="22" t="n">
        <x:v>33.568000000000005</x:v>
      </x:c>
      <x:c r="J5260" s="24" t="n">
        <x:v>2</x:v>
      </x:c>
      <x:c r="K5260" s="26" t="n">
        <x:v>0.2</x:v>
      </x:c>
      <x:c r="L5260" s="22" t="n">
        <x:v>-5.454800000000004</x:v>
      </x:c>
      <x:c r="M5260" t="n">
        <x:v>2015</x:v>
      </x:c>
      <x:c r="N5260" s="20" t="n">
        <x:v>42064</x:v>
      </x:c>
    </x:row>
    <x:row r="5261" ht="18" customHeight="1">
      <x:c r="A5261" t="str">
        <x:v>CA-2016-130078</x:v>
      </x:c>
      <x:c r="B5261" s="18" t="n">
        <x:v>42590</x:v>
      </x:c>
      <x:c r="C5261" t="str">
        <x:v>CC-12145</x:v>
      </x:c>
      <x:c r="D5261" t="str">
        <x:v>Charles Crestani</x:v>
      </x:c>
      <x:c r="E5261" t="str">
        <x:v>Consumer</x:v>
      </x:c>
      <x:c r="F5261" t="str">
        <x:v>Central</x:v>
      </x:c>
      <x:c r="G5261" t="str">
        <x:v>Office Supplies</x:v>
      </x:c>
      <x:c r="H5261" t="str">
        <x:v>Paper</x:v>
      </x:c>
      <x:c r="I5261" s="22" t="n">
        <x:v>10.56</x:v>
      </x:c>
      <x:c r="J5261" s="24" t="n">
        <x:v>2</x:v>
      </x:c>
      <x:c r="K5261" s="26" t="n">
        <x:v>0</x:v>
      </x:c>
      <x:c r="L5261" s="22" t="n">
        <x:v>4.752</x:v>
      </x:c>
      <x:c r="M5261" t="n">
        <x:v>2016</x:v>
      </x:c>
      <x:c r="N5261" s="20" t="n">
        <x:v>42583</x:v>
      </x:c>
    </x:row>
    <x:row r="5262" ht="18" customHeight="1">
      <x:c r="A5262" t="str">
        <x:v>US-2017-114034</x:v>
      </x:c>
      <x:c r="B5262" s="18" t="n">
        <x:v>42738</x:v>
      </x:c>
      <x:c r="C5262" t="str">
        <x:v>DL-13315</x:v>
      </x:c>
      <x:c r="D5262" t="str">
        <x:v>Delfina Latchford</x:v>
      </x:c>
      <x:c r="E5262" t="str">
        <x:v>Consumer</x:v>
      </x:c>
      <x:c r="F5262" t="str">
        <x:v>West</x:v>
      </x:c>
      <x:c r="G5262" t="str">
        <x:v>Office Supplies</x:v>
      </x:c>
      <x:c r="H5262" t="str">
        <x:v>Paper</x:v>
      </x:c>
      <x:c r="I5262" s="22" t="n">
        <x:v>38.88</x:v>
      </x:c>
      <x:c r="J5262" s="24" t="n">
        <x:v>6</x:v>
      </x:c>
      <x:c r="K5262" s="26" t="n">
        <x:v>0</x:v>
      </x:c>
      <x:c r="L5262" s="22" t="n">
        <x:v>18.6624</x:v>
      </x:c>
      <x:c r="M5262" t="n">
        <x:v>2017</x:v>
      </x:c>
      <x:c r="N5262" s="20" t="n">
        <x:v>42736</x:v>
      </x:c>
    </x:row>
    <x:row r="5263" ht="18" customHeight="1">
      <x:c r="A5263" t="str">
        <x:v>US-2017-115595</x:v>
      </x:c>
      <x:c r="B5263" s="18" t="n">
        <x:v>43017</x:v>
      </x:c>
      <x:c r="C5263" t="str">
        <x:v>XP-21865</x:v>
      </x:c>
      <x:c r="D5263" t="str">
        <x:v>Xylona Preis</x:v>
      </x:c>
      <x:c r="E5263" t="str">
        <x:v>Consumer</x:v>
      </x:c>
      <x:c r="F5263" t="str">
        <x:v>West</x:v>
      </x:c>
      <x:c r="G5263" t="str">
        <x:v>Office Supplies</x:v>
      </x:c>
      <x:c r="H5263" t="str">
        <x:v>Paper</x:v>
      </x:c>
      <x:c r="I5263" s="22" t="n">
        <x:v>35.2</x:v>
      </x:c>
      <x:c r="J5263" s="24" t="n">
        <x:v>5</x:v>
      </x:c>
      <x:c r="K5263" s="26" t="n">
        <x:v>0</x:v>
      </x:c>
      <x:c r="L5263" s="22" t="n">
        <x:v>16.543999999999997</x:v>
      </x:c>
      <x:c r="M5263" t="n">
        <x:v>2017</x:v>
      </x:c>
      <x:c r="N5263" s="20" t="n">
        <x:v>43009</x:v>
      </x:c>
    </x:row>
    <x:row r="5264" ht="18" customHeight="1">
      <x:c r="A5264" t="str">
        <x:v>CA-2017-158722</x:v>
      </x:c>
      <x:c r="B5264" s="18" t="n">
        <x:v>43028</x:v>
      </x:c>
      <x:c r="C5264" t="str">
        <x:v>MA-17560</x:v>
      </x:c>
      <x:c r="D5264" t="str">
        <x:v>Matt Abelman</x:v>
      </x:c>
      <x:c r="E5264" t="str">
        <x:v>Home Office</x:v>
      </x:c>
      <x:c r="F5264" t="str">
        <x:v>East</x:v>
      </x:c>
      <x:c r="G5264" t="str">
        <x:v>Office Supplies</x:v>
      </x:c>
      <x:c r="H5264" t="str">
        <x:v>Paper</x:v>
      </x:c>
      <x:c r="I5264" s="22" t="n">
        <x:v>45.528</x:v>
      </x:c>
      <x:c r="J5264" s="24" t="n">
        <x:v>3</x:v>
      </x:c>
      <x:c r="K5264" s="26" t="n">
        <x:v>0.2</x:v>
      </x:c>
      <x:c r="L5264" s="22" t="n">
        <x:v>15.934799999999997</x:v>
      </x:c>
      <x:c r="M5264" t="n">
        <x:v>2017</x:v>
      </x:c>
      <x:c r="N5264" s="20" t="n">
        <x:v>43009</x:v>
      </x:c>
    </x:row>
    <x:row r="5265" ht="18" customHeight="1">
      <x:c r="A5265" t="str">
        <x:v>CA-2014-105165</x:v>
      </x:c>
      <x:c r="B5265" s="18" t="n">
        <x:v>41889</x:v>
      </x:c>
      <x:c r="C5265" t="str">
        <x:v>SZ-20035</x:v>
      </x:c>
      <x:c r="D5265" t="str">
        <x:v>Sam Zeldin</x:v>
      </x:c>
      <x:c r="E5265" t="str">
        <x:v>Home Office</x:v>
      </x:c>
      <x:c r="F5265" t="str">
        <x:v>Central</x:v>
      </x:c>
      <x:c r="G5265" t="str">
        <x:v>Technology</x:v>
      </x:c>
      <x:c r="H5265" t="str">
        <x:v>Phones</x:v>
      </x:c>
      <x:c r="I5265" s="22" t="n">
        <x:v>196.776</x:v>
      </x:c>
      <x:c r="J5265" s="24" t="n">
        <x:v>3</x:v>
      </x:c>
      <x:c r="K5265" s="26" t="n">
        <x:v>0.2</x:v>
      </x:c>
      <x:c r="L5265" s="22" t="n">
        <x:v>14.758199999999995</x:v>
      </x:c>
      <x:c r="M5265" t="n">
        <x:v>2014</x:v>
      </x:c>
      <x:c r="N5265" s="20" t="n">
        <x:v>41883</x:v>
      </x:c>
    </x:row>
    <x:row r="5266" ht="18" customHeight="1">
      <x:c r="A5266" t="str">
        <x:v>CA-2014-105165</x:v>
      </x:c>
      <x:c r="B5266" s="18" t="n">
        <x:v>41889</x:v>
      </x:c>
      <x:c r="C5266" t="str">
        <x:v>SZ-20035</x:v>
      </x:c>
      <x:c r="D5266" t="str">
        <x:v>Sam Zeldin</x:v>
      </x:c>
      <x:c r="E5266" t="str">
        <x:v>Home Office</x:v>
      </x:c>
      <x:c r="F5266" t="str">
        <x:v>Central</x:v>
      </x:c>
      <x:c r="G5266" t="str">
        <x:v>Office Supplies</x:v>
      </x:c>
      <x:c r="H5266" t="str">
        <x:v>Binders</x:v>
      </x:c>
      <x:c r="I5266" s="22" t="n">
        <x:v>2.9199999999999995</x:v>
      </x:c>
      <x:c r="J5266" s="24" t="n">
        <x:v>2</x:v>
      </x:c>
      <x:c r="K5266" s="26" t="n">
        <x:v>0.8</x:v>
      </x:c>
      <x:c r="L5266" s="22" t="n">
        <x:v>-4.8180000000000005</x:v>
      </x:c>
      <x:c r="M5266" t="n">
        <x:v>2014</x:v>
      </x:c>
      <x:c r="N5266" s="20" t="n">
        <x:v>41883</x:v>
      </x:c>
    </x:row>
    <x:row r="5267" ht="18" customHeight="1">
      <x:c r="A5267" t="str">
        <x:v>CA-2014-105165</x:v>
      </x:c>
      <x:c r="B5267" s="18" t="n">
        <x:v>41889</x:v>
      </x:c>
      <x:c r="C5267" t="str">
        <x:v>SZ-20035</x:v>
      </x:c>
      <x:c r="D5267" t="str">
        <x:v>Sam Zeldin</x:v>
      </x:c>
      <x:c r="E5267" t="str">
        <x:v>Home Office</x:v>
      </x:c>
      <x:c r="F5267" t="str">
        <x:v>Central</x:v>
      </x:c>
      <x:c r="G5267" t="str">
        <x:v>Furniture</x:v>
      </x:c>
      <x:c r="H5267" t="str">
        <x:v>Tables</x:v>
      </x:c>
      <x:c r="I5267" s="22" t="n">
        <x:v>200.79500000000002</x:v>
      </x:c>
      <x:c r="J5267" s="24" t="n">
        <x:v>1</x:v>
      </x:c>
      <x:c r="K5267" s="26" t="n">
        <x:v>0.3</x:v>
      </x:c>
      <x:c r="L5267" s="22" t="n">
        <x:v>-22.948000000000008</x:v>
      </x:c>
      <x:c r="M5267" t="n">
        <x:v>2014</x:v>
      </x:c>
      <x:c r="N5267" s="20" t="n">
        <x:v>41883</x:v>
      </x:c>
    </x:row>
    <x:row r="5268" ht="18" customHeight="1">
      <x:c r="A5268" t="str">
        <x:v>CA-2014-105165</x:v>
      </x:c>
      <x:c r="B5268" s="18" t="n">
        <x:v>41889</x:v>
      </x:c>
      <x:c r="C5268" t="str">
        <x:v>SZ-20035</x:v>
      </x:c>
      <x:c r="D5268" t="str">
        <x:v>Sam Zeldin</x:v>
      </x:c>
      <x:c r="E5268" t="str">
        <x:v>Home Office</x:v>
      </x:c>
      <x:c r="F5268" t="str">
        <x:v>Central</x:v>
      </x:c>
      <x:c r="G5268" t="str">
        <x:v>Technology</x:v>
      </x:c>
      <x:c r="H5268" t="str">
        <x:v>Accessories</x:v>
      </x:c>
      <x:c r="I5268" s="22" t="n">
        <x:v>46.688</x:v>
      </x:c>
      <x:c r="J5268" s="24" t="n">
        <x:v>4</x:v>
      </x:c>
      <x:c r="K5268" s="26" t="n">
        <x:v>0.2</x:v>
      </x:c>
      <x:c r="L5268" s="22" t="n">
        <x:v>-2.918000000000003</x:v>
      </x:c>
      <x:c r="M5268" t="n">
        <x:v>2014</x:v>
      </x:c>
      <x:c r="N5268" s="20" t="n">
        <x:v>41883</x:v>
      </x:c>
    </x:row>
    <x:row r="5269" ht="18" customHeight="1">
      <x:c r="A5269" t="str">
        <x:v>CA-2014-105165</x:v>
      </x:c>
      <x:c r="B5269" s="18" t="n">
        <x:v>41889</x:v>
      </x:c>
      <x:c r="C5269" t="str">
        <x:v>SZ-20035</x:v>
      </x:c>
      <x:c r="D5269" t="str">
        <x:v>Sam Zeldin</x:v>
      </x:c>
      <x:c r="E5269" t="str">
        <x:v>Home Office</x:v>
      </x:c>
      <x:c r="F5269" t="str">
        <x:v>Central</x:v>
      </x:c>
      <x:c r="G5269" t="str">
        <x:v>Office Supplies</x:v>
      </x:c>
      <x:c r="H5269" t="str">
        <x:v>Art</x:v>
      </x:c>
      <x:c r="I5269" s="22" t="n">
        <x:v>21.864</x:v>
      </x:c>
      <x:c r="J5269" s="24" t="n">
        <x:v>3</x:v>
      </x:c>
      <x:c r="K5269" s="26" t="n">
        <x:v>0.2</x:v>
      </x:c>
      <x:c r="L5269" s="22" t="n">
        <x:v>3.5528999999999984</x:v>
      </x:c>
      <x:c r="M5269" t="n">
        <x:v>2014</x:v>
      </x:c>
      <x:c r="N5269" s="20" t="n">
        <x:v>41883</x:v>
      </x:c>
    </x:row>
    <x:row r="5270" ht="18" customHeight="1">
      <x:c r="A5270" t="str">
        <x:v>CA-2017-147452</x:v>
      </x:c>
      <x:c r="B5270" s="18" t="n">
        <x:v>43008</x:v>
      </x:c>
      <x:c r="C5270" t="str">
        <x:v>CS-11845</x:v>
      </x:c>
      <x:c r="D5270" t="str">
        <x:v>Cari Sayre</x:v>
      </x:c>
      <x:c r="E5270" t="str">
        <x:v>Corporate</x:v>
      </x:c>
      <x:c r="F5270" t="str">
        <x:v>West</x:v>
      </x:c>
      <x:c r="G5270" t="str">
        <x:v>Office Supplies</x:v>
      </x:c>
      <x:c r="H5270" t="str">
        <x:v>Paper</x:v>
      </x:c>
      <x:c r="I5270" s="22" t="n">
        <x:v>11.76</x:v>
      </x:c>
      <x:c r="J5270" s="24" t="n">
        <x:v>2</x:v>
      </x:c>
      <x:c r="K5270" s="26" t="n">
        <x:v>0</x:v>
      </x:c>
      <x:c r="L5270" s="22" t="n">
        <x:v>5.7623999999999995</x:v>
      </x:c>
      <x:c r="M5270" t="n">
        <x:v>2017</x:v>
      </x:c>
      <x:c r="N5270" s="20" t="n">
        <x:v>42979</x:v>
      </x:c>
    </x:row>
    <x:row r="5271" ht="18" customHeight="1">
      <x:c r="A5271" t="str">
        <x:v>CA-2017-147452</x:v>
      </x:c>
      <x:c r="B5271" s="18" t="n">
        <x:v>43008</x:v>
      </x:c>
      <x:c r="C5271" t="str">
        <x:v>CS-11845</x:v>
      </x:c>
      <x:c r="D5271" t="str">
        <x:v>Cari Sayre</x:v>
      </x:c>
      <x:c r="E5271" t="str">
        <x:v>Corporate</x:v>
      </x:c>
      <x:c r="F5271" t="str">
        <x:v>West</x:v>
      </x:c>
      <x:c r="G5271" t="str">
        <x:v>Office Supplies</x:v>
      </x:c>
      <x:c r="H5271" t="str">
        <x:v>Paper</x:v>
      </x:c>
      <x:c r="I5271" s="22" t="n">
        <x:v>167.94</x:v>
      </x:c>
      <x:c r="J5271" s="24" t="n">
        <x:v>3</x:v>
      </x:c>
      <x:c r="K5271" s="26" t="n">
        <x:v>0</x:v>
      </x:c>
      <x:c r="L5271" s="22" t="n">
        <x:v>82.2906</x:v>
      </x:c>
      <x:c r="M5271" t="n">
        <x:v>2017</x:v>
      </x:c>
      <x:c r="N5271" s="20" t="n">
        <x:v>42979</x:v>
      </x:c>
    </x:row>
    <x:row r="5272" ht="18" customHeight="1">
      <x:c r="A5272" t="str">
        <x:v>CA-2017-147452</x:v>
      </x:c>
      <x:c r="B5272" s="18" t="n">
        <x:v>43008</x:v>
      </x:c>
      <x:c r="C5272" t="str">
        <x:v>CS-11845</x:v>
      </x:c>
      <x:c r="D5272" t="str">
        <x:v>Cari Sayre</x:v>
      </x:c>
      <x:c r="E5272" t="str">
        <x:v>Corporate</x:v>
      </x:c>
      <x:c r="F5272" t="str">
        <x:v>West</x:v>
      </x:c>
      <x:c r="G5272" t="str">
        <x:v>Office Supplies</x:v>
      </x:c>
      <x:c r="H5272" t="str">
        <x:v>Appliances</x:v>
      </x:c>
      <x:c r="I5272" s="22" t="n">
        <x:v>3.89</x:v>
      </x:c>
      <x:c r="J5272" s="24" t="n">
        <x:v>1</x:v>
      </x:c>
      <x:c r="K5272" s="26" t="n">
        <x:v>0</x:v>
      </x:c>
      <x:c r="L5272" s="22" t="n">
        <x:v>1.0114</x:v>
      </x:c>
      <x:c r="M5272" t="n">
        <x:v>2017</x:v>
      </x:c>
      <x:c r="N5272" s="20" t="n">
        <x:v>42979</x:v>
      </x:c>
    </x:row>
    <x:row r="5273" ht="18" customHeight="1">
      <x:c r="A5273" t="str">
        <x:v>US-2017-114657</x:v>
      </x:c>
      <x:c r="B5273" s="18" t="n">
        <x:v>43055</x:v>
      </x:c>
      <x:c r="C5273" t="str">
        <x:v>MH-18115</x:v>
      </x:c>
      <x:c r="D5273" t="str">
        <x:v>Mick Hernandez</x:v>
      </x:c>
      <x:c r="E5273" t="str">
        <x:v>Home Office</x:v>
      </x:c>
      <x:c r="F5273" t="str">
        <x:v>East</x:v>
      </x:c>
      <x:c r="G5273" t="str">
        <x:v>Technology</x:v>
      </x:c>
      <x:c r="H5273" t="str">
        <x:v>Machines</x:v>
      </x:c>
      <x:c r="I5273" s="22" t="n">
        <x:v>52.44</x:v>
      </x:c>
      <x:c r="J5273" s="24" t="n">
        <x:v>4</x:v>
      </x:c>
      <x:c r="K5273" s="26" t="n">
        <x:v>0</x:v>
      </x:c>
      <x:c r="L5273" s="22" t="n">
        <x:v>24.122399999999995</x:v>
      </x:c>
      <x:c r="M5273" t="n">
        <x:v>2017</x:v>
      </x:c>
      <x:c r="N5273" s="20" t="n">
        <x:v>43040</x:v>
      </x:c>
    </x:row>
    <x:row r="5274" ht="18" customHeight="1">
      <x:c r="A5274" t="str">
        <x:v>CA-2017-144484</x:v>
      </x:c>
      <x:c r="B5274" s="18" t="n">
        <x:v>42989</x:v>
      </x:c>
      <x:c r="C5274" t="str">
        <x:v>CB-12025</x:v>
      </x:c>
      <x:c r="D5274" t="str">
        <x:v>Cassandra Brandow</x:v>
      </x:c>
      <x:c r="E5274" t="str">
        <x:v>Consumer</x:v>
      </x:c>
      <x:c r="F5274" t="str">
        <x:v>West</x:v>
      </x:c>
      <x:c r="G5274" t="str">
        <x:v>Furniture</x:v>
      </x:c>
      <x:c r="H5274" t="str">
        <x:v>Furnishings</x:v>
      </x:c>
      <x:c r="I5274" s="22" t="n">
        <x:v>32.36</x:v>
      </x:c>
      <x:c r="J5274" s="24" t="n">
        <x:v>4</x:v>
      </x:c>
      <x:c r="K5274" s="26" t="n">
        <x:v>0</x:v>
      </x:c>
      <x:c r="L5274" s="22" t="n">
        <x:v>11.6496</x:v>
      </x:c>
      <x:c r="M5274" t="n">
        <x:v>2017</x:v>
      </x:c>
      <x:c r="N5274" s="20" t="n">
        <x:v>42979</x:v>
      </x:c>
    </x:row>
    <x:row r="5275" ht="18" customHeight="1">
      <x:c r="A5275" t="str">
        <x:v>CA-2017-144484</x:v>
      </x:c>
      <x:c r="B5275" s="18" t="n">
        <x:v>42989</x:v>
      </x:c>
      <x:c r="C5275" t="str">
        <x:v>CB-12025</x:v>
      </x:c>
      <x:c r="D5275" t="str">
        <x:v>Cassandra Brandow</x:v>
      </x:c>
      <x:c r="E5275" t="str">
        <x:v>Consumer</x:v>
      </x:c>
      <x:c r="F5275" t="str">
        <x:v>West</x:v>
      </x:c>
      <x:c r="G5275" t="str">
        <x:v>Office Supplies</x:v>
      </x:c>
      <x:c r="H5275" t="str">
        <x:v>Appliances</x:v>
      </x:c>
      <x:c r="I5275" s="22" t="n">
        <x:v>406.59999999999997</x:v>
      </x:c>
      <x:c r="J5275" s="24" t="n">
        <x:v>5</x:v>
      </x:c>
      <x:c r="K5275" s="26" t="n">
        <x:v>0</x:v>
      </x:c>
      <x:c r="L5275" s="22" t="n">
        <x:v>113.84799999999998</x:v>
      </x:c>
      <x:c r="M5275" t="n">
        <x:v>2017</x:v>
      </x:c>
      <x:c r="N5275" s="20" t="n">
        <x:v>42979</x:v>
      </x:c>
    </x:row>
    <x:row r="5276" ht="18" customHeight="1">
      <x:c r="A5276" t="str">
        <x:v>CA-2017-125913</x:v>
      </x:c>
      <x:c r="B5276" s="18" t="n">
        <x:v>42751</x:v>
      </x:c>
      <x:c r="C5276" t="str">
        <x:v>JO-15145</x:v>
      </x:c>
      <x:c r="D5276" t="str">
        <x:v>Jack O'Briant</x:v>
      </x:c>
      <x:c r="E5276" t="str">
        <x:v>Corporate</x:v>
      </x:c>
      <x:c r="F5276" t="str">
        <x:v>West</x:v>
      </x:c>
      <x:c r="G5276" t="str">
        <x:v>Furniture</x:v>
      </x:c>
      <x:c r="H5276" t="str">
        <x:v>Furnishings</x:v>
      </x:c>
      <x:c r="I5276" s="22" t="n">
        <x:v>27.92</x:v>
      </x:c>
      <x:c r="J5276" s="24" t="n">
        <x:v>4</x:v>
      </x:c>
      <x:c r="K5276" s="26" t="n">
        <x:v>0</x:v>
      </x:c>
      <x:c r="L5276" s="22" t="n">
        <x:v>8.096799999999998</x:v>
      </x:c>
      <x:c r="M5276" t="n">
        <x:v>2017</x:v>
      </x:c>
      <x:c r="N5276" s="20" t="n">
        <x:v>42736</x:v>
      </x:c>
    </x:row>
    <x:row r="5277" ht="18" customHeight="1">
      <x:c r="A5277" t="str">
        <x:v>CA-2017-125913</x:v>
      </x:c>
      <x:c r="B5277" s="18" t="n">
        <x:v>42751</x:v>
      </x:c>
      <x:c r="C5277" t="str">
        <x:v>JO-15145</x:v>
      </x:c>
      <x:c r="D5277" t="str">
        <x:v>Jack O'Briant</x:v>
      </x:c>
      <x:c r="E5277" t="str">
        <x:v>Corporate</x:v>
      </x:c>
      <x:c r="F5277" t="str">
        <x:v>West</x:v>
      </x:c>
      <x:c r="G5277" t="str">
        <x:v>Furniture</x:v>
      </x:c>
      <x:c r="H5277" t="str">
        <x:v>Tables</x:v>
      </x:c>
      <x:c r="I5277" s="22" t="n">
        <x:v>399.672</x:v>
      </x:c>
      <x:c r="J5277" s="24" t="n">
        <x:v>7</x:v>
      </x:c>
      <x:c r="K5277" s="26" t="n">
        <x:v>0.2</x:v>
      </x:c>
      <x:c r="L5277" s="22" t="n">
        <x:v>-14.98770000000006</x:v>
      </x:c>
      <x:c r="M5277" t="n">
        <x:v>2017</x:v>
      </x:c>
      <x:c r="N5277" s="20" t="n">
        <x:v>42736</x:v>
      </x:c>
    </x:row>
    <x:row r="5278" ht="18" customHeight="1">
      <x:c r="A5278" t="str">
        <x:v>US-2016-158309</x:v>
      </x:c>
      <x:c r="B5278" s="18" t="n">
        <x:v>42700</x:v>
      </x:c>
      <x:c r="C5278" t="str">
        <x:v>PA-19060</x:v>
      </x:c>
      <x:c r="D5278" t="str">
        <x:v>Pete Armstrong</x:v>
      </x:c>
      <x:c r="E5278" t="str">
        <x:v>Home Office</x:v>
      </x:c>
      <x:c r="F5278" t="str">
        <x:v>South</x:v>
      </x:c>
      <x:c r="G5278" t="str">
        <x:v>Office Supplies</x:v>
      </x:c>
      <x:c r="H5278" t="str">
        <x:v>Binders</x:v>
      </x:c>
      <x:c r="I5278" s="22" t="n">
        <x:v>3.7440000000000007</x:v>
      </x:c>
      <x:c r="J5278" s="24" t="n">
        <x:v>4</x:v>
      </x:c>
      <x:c r="K5278" s="26" t="n">
        <x:v>0.7</x:v>
      </x:c>
      <x:c r="L5278" s="22" t="n">
        <x:v>-2.620799999999999</x:v>
      </x:c>
      <x:c r="M5278" t="n">
        <x:v>2016</x:v>
      </x:c>
      <x:c r="N5278" s="20" t="n">
        <x:v>42675</x:v>
      </x:c>
    </x:row>
    <x:row r="5279" ht="18" customHeight="1">
      <x:c r="A5279" t="str">
        <x:v>CA-2015-162887</x:v>
      </x:c>
      <x:c r="B5279" s="18" t="n">
        <x:v>42315</x:v>
      </x:c>
      <x:c r="C5279" t="str">
        <x:v>SV-20785</x:v>
      </x:c>
      <x:c r="D5279" t="str">
        <x:v>Stewart Visinsky</x:v>
      </x:c>
      <x:c r="E5279" t="str">
        <x:v>Consumer</x:v>
      </x:c>
      <x:c r="F5279" t="str">
        <x:v>East</x:v>
      </x:c>
      <x:c r="G5279" t="str">
        <x:v>Furniture</x:v>
      </x:c>
      <x:c r="H5279" t="str">
        <x:v>Chairs</x:v>
      </x:c>
      <x:c r="I5279" s="22" t="n">
        <x:v>715.2</x:v>
      </x:c>
      <x:c r="J5279" s="24" t="n">
        <x:v>3</x:v>
      </x:c>
      <x:c r="K5279" s="26" t="n">
        <x:v>0</x:v>
      </x:c>
      <x:c r="L5279" s="22" t="n">
        <x:v>178.79999999999998</x:v>
      </x:c>
      <x:c r="M5279" t="n">
        <x:v>2015</x:v>
      </x:c>
      <x:c r="N5279" s="20" t="n">
        <x:v>42309</x:v>
      </x:c>
    </x:row>
    <x:row r="5280" ht="18" customHeight="1">
      <x:c r="A5280" t="str">
        <x:v>CA-2017-147333</x:v>
      </x:c>
      <x:c r="B5280" s="18" t="n">
        <x:v>43083</x:v>
      </x:c>
      <x:c r="C5280" t="str">
        <x:v>KL-16555</x:v>
      </x:c>
      <x:c r="D5280" t="str">
        <x:v>Kelly Lampkin</x:v>
      </x:c>
      <x:c r="E5280" t="str">
        <x:v>Corporate</x:v>
      </x:c>
      <x:c r="F5280" t="str">
        <x:v>South</x:v>
      </x:c>
      <x:c r="G5280" t="str">
        <x:v>Technology</x:v>
      </x:c>
      <x:c r="H5280" t="str">
        <x:v>Accessories</x:v>
      </x:c>
      <x:c r="I5280" s="22" t="n">
        <x:v>159.8</x:v>
      </x:c>
      <x:c r="J5280" s="24" t="n">
        <x:v>4</x:v>
      </x:c>
      <x:c r="K5280" s="26" t="n">
        <x:v>0</x:v>
      </x:c>
      <x:c r="L5280" s="22" t="n">
        <x:v>70.31200000000001</x:v>
      </x:c>
      <x:c r="M5280" t="n">
        <x:v>2017</x:v>
      </x:c>
      <x:c r="N5280" s="20" t="n">
        <x:v>43070</x:v>
      </x:c>
    </x:row>
    <x:row r="5281" ht="18" customHeight="1">
      <x:c r="A5281" t="str">
        <x:v>CA-2017-147333</x:v>
      </x:c>
      <x:c r="B5281" s="18" t="n">
        <x:v>43083</x:v>
      </x:c>
      <x:c r="C5281" t="str">
        <x:v>KL-16555</x:v>
      </x:c>
      <x:c r="D5281" t="str">
        <x:v>Kelly Lampkin</x:v>
      </x:c>
      <x:c r="E5281" t="str">
        <x:v>Corporate</x:v>
      </x:c>
      <x:c r="F5281" t="str">
        <x:v>South</x:v>
      </x:c>
      <x:c r="G5281" t="str">
        <x:v>Technology</x:v>
      </x:c>
      <x:c r="H5281" t="str">
        <x:v>Accessories</x:v>
      </x:c>
      <x:c r="I5281" s="22" t="n">
        <x:v>44.75</x:v>
      </x:c>
      <x:c r="J5281" s="24" t="n">
        <x:v>5</x:v>
      </x:c>
      <x:c r="K5281" s="26" t="n">
        <x:v>0</x:v>
      </x:c>
      <x:c r="L5281" s="22" t="n">
        <x:v>8.502499999999994</x:v>
      </x:c>
      <x:c r="M5281" t="n">
        <x:v>2017</x:v>
      </x:c>
      <x:c r="N5281" s="20" t="n">
        <x:v>43070</x:v>
      </x:c>
    </x:row>
    <x:row r="5282" ht="18" customHeight="1">
      <x:c r="A5282" t="str">
        <x:v>CA-2014-113859</x:v>
      </x:c>
      <x:c r="B5282" s="18" t="n">
        <x:v>41895</x:v>
      </x:c>
      <x:c r="C5282" t="str">
        <x:v>BC-11125</x:v>
      </x:c>
      <x:c r="D5282" t="str">
        <x:v>Becky Castell</x:v>
      </x:c>
      <x:c r="E5282" t="str">
        <x:v>Home Office</x:v>
      </x:c>
      <x:c r="F5282" t="str">
        <x:v>Central</x:v>
      </x:c>
      <x:c r="G5282" t="str">
        <x:v>Furniture</x:v>
      </x:c>
      <x:c r="H5282" t="str">
        <x:v>Chairs</x:v>
      </x:c>
      <x:c r="I5282" s="22" t="n">
        <x:v>340.116</x:v>
      </x:c>
      <x:c r="J5282" s="24" t="n">
        <x:v>6</x:v>
      </x:c>
      <x:c r="K5282" s="26" t="n">
        <x:v>0.3</x:v>
      </x:c>
      <x:c r="L5282" s="22" t="n">
        <x:v>-9.717599999999976</x:v>
      </x:c>
      <x:c r="M5282" t="n">
        <x:v>2014</x:v>
      </x:c>
      <x:c r="N5282" s="20" t="n">
        <x:v>41883</x:v>
      </x:c>
    </x:row>
    <x:row r="5283" ht="18" customHeight="1">
      <x:c r="A5283" t="str">
        <x:v>CA-2014-159681</x:v>
      </x:c>
      <x:c r="B5283" s="18" t="n">
        <x:v>41980</x:v>
      </x:c>
      <x:c r="C5283" t="str">
        <x:v>PO-18850</x:v>
      </x:c>
      <x:c r="D5283" t="str">
        <x:v>Patrick O'Brill</x:v>
      </x:c>
      <x:c r="E5283" t="str">
        <x:v>Consumer</x:v>
      </x:c>
      <x:c r="F5283" t="str">
        <x:v>South</x:v>
      </x:c>
      <x:c r="G5283" t="str">
        <x:v>Office Supplies</x:v>
      </x:c>
      <x:c r="H5283" t="str">
        <x:v>Paper</x:v>
      </x:c>
      <x:c r="I5283" s="22" t="n">
        <x:v>105.52</x:v>
      </x:c>
      <x:c r="J5283" s="24" t="n">
        <x:v>4</x:v>
      </x:c>
      <x:c r="K5283" s="26" t="n">
        <x:v>0</x:v>
      </x:c>
      <x:c r="L5283" s="22" t="n">
        <x:v>48.539199999999994</x:v>
      </x:c>
      <x:c r="M5283" t="n">
        <x:v>2014</x:v>
      </x:c>
      <x:c r="N5283" s="20" t="n">
        <x:v>41974</x:v>
      </x:c>
    </x:row>
    <x:row r="5284" ht="18" customHeight="1">
      <x:c r="A5284" t="str">
        <x:v>US-2017-104094</x:v>
      </x:c>
      <x:c r="B5284" s="18" t="n">
        <x:v>42985</x:v>
      </x:c>
      <x:c r="C5284" t="str">
        <x:v>AG-10675</x:v>
      </x:c>
      <x:c r="D5284" t="str">
        <x:v>Anna Gayman</x:v>
      </x:c>
      <x:c r="E5284" t="str">
        <x:v>Consumer</x:v>
      </x:c>
      <x:c r="F5284" t="str">
        <x:v>Central</x:v>
      </x:c>
      <x:c r="G5284" t="str">
        <x:v>Technology</x:v>
      </x:c>
      <x:c r="H5284" t="str">
        <x:v>Accessories</x:v>
      </x:c>
      <x:c r="I5284" s="22" t="n">
        <x:v>13.48</x:v>
      </x:c>
      <x:c r="J5284" s="24" t="n">
        <x:v>1</x:v>
      </x:c>
      <x:c r="K5284" s="26" t="n">
        <x:v>0</x:v>
      </x:c>
      <x:c r="L5284" s="22" t="n">
        <x:v>1.8872</x:v>
      </x:c>
      <x:c r="M5284" t="n">
        <x:v>2017</x:v>
      </x:c>
      <x:c r="N5284" s="20" t="n">
        <x:v>42979</x:v>
      </x:c>
    </x:row>
    <x:row r="5285" ht="18" customHeight="1">
      <x:c r="A5285" t="str">
        <x:v>CA-2017-152709</x:v>
      </x:c>
      <x:c r="B5285" s="18" t="n">
        <x:v>43015</x:v>
      </x:c>
      <x:c r="C5285" t="str">
        <x:v>DB-13210</x:v>
      </x:c>
      <x:c r="D5285" t="str">
        <x:v>Dean Braden</x:v>
      </x:c>
      <x:c r="E5285" t="str">
        <x:v>Consumer</x:v>
      </x:c>
      <x:c r="F5285" t="str">
        <x:v>Central</x:v>
      </x:c>
      <x:c r="G5285" t="str">
        <x:v>Office Supplies</x:v>
      </x:c>
      <x:c r="H5285" t="str">
        <x:v>Storage</x:v>
      </x:c>
      <x:c r="I5285" s="22" t="n">
        <x:v>85.52</x:v>
      </x:c>
      <x:c r="J5285" s="24" t="n">
        <x:v>2</x:v>
      </x:c>
      <x:c r="K5285" s="26" t="n">
        <x:v>0</x:v>
      </x:c>
      <x:c r="L5285" s="22" t="n">
        <x:v>22.2352</x:v>
      </x:c>
      <x:c r="M5285" t="n">
        <x:v>2017</x:v>
      </x:c>
      <x:c r="N5285" s="20" t="n">
        <x:v>43009</x:v>
      </x:c>
    </x:row>
    <x:row r="5286" ht="18" customHeight="1">
      <x:c r="A5286" t="str">
        <x:v>CA-2015-105158</x:v>
      </x:c>
      <x:c r="B5286" s="18" t="n">
        <x:v>42252</x:v>
      </x:c>
      <x:c r="C5286" t="str">
        <x:v>SP-20860</x:v>
      </x:c>
      <x:c r="D5286" t="str">
        <x:v>Sung Pak</x:v>
      </x:c>
      <x:c r="E5286" t="str">
        <x:v>Corporate</x:v>
      </x:c>
      <x:c r="F5286" t="str">
        <x:v>Central</x:v>
      </x:c>
      <x:c r="G5286" t="str">
        <x:v>Furniture</x:v>
      </x:c>
      <x:c r="H5286" t="str">
        <x:v>Furnishings</x:v>
      </x:c>
      <x:c r="I5286" s="22" t="n">
        <x:v>6.16</x:v>
      </x:c>
      <x:c r="J5286" s="24" t="n">
        <x:v>2</x:v>
      </x:c>
      <x:c r="K5286" s="26" t="n">
        <x:v>0</x:v>
      </x:c>
      <x:c r="L5286" s="22" t="n">
        <x:v>2.9568</x:v>
      </x:c>
      <x:c r="M5286" t="n">
        <x:v>2015</x:v>
      </x:c>
      <x:c r="N5286" s="20" t="n">
        <x:v>42248</x:v>
      </x:c>
    </x:row>
    <x:row r="5287" ht="18" customHeight="1">
      <x:c r="A5287" t="str">
        <x:v>CA-2015-105158</x:v>
      </x:c>
      <x:c r="B5287" s="18" t="n">
        <x:v>42252</x:v>
      </x:c>
      <x:c r="C5287" t="str">
        <x:v>SP-20860</x:v>
      </x:c>
      <x:c r="D5287" t="str">
        <x:v>Sung Pak</x:v>
      </x:c>
      <x:c r="E5287" t="str">
        <x:v>Corporate</x:v>
      </x:c>
      <x:c r="F5287" t="str">
        <x:v>Central</x:v>
      </x:c>
      <x:c r="G5287" t="str">
        <x:v>Office Supplies</x:v>
      </x:c>
      <x:c r="H5287" t="str">
        <x:v>Paper</x:v>
      </x:c>
      <x:c r="I5287" s="22" t="n">
        <x:v>36.839999999999996</x:v>
      </x:c>
      <x:c r="J5287" s="24" t="n">
        <x:v>3</x:v>
      </x:c>
      <x:c r="K5287" s="26" t="n">
        <x:v>0</x:v>
      </x:c>
      <x:c r="L5287" s="22" t="n">
        <x:v>17.314799999999998</x:v>
      </x:c>
      <x:c r="M5287" t="n">
        <x:v>2015</x:v>
      </x:c>
      <x:c r="N5287" s="20" t="n">
        <x:v>42248</x:v>
      </x:c>
    </x:row>
    <x:row r="5288" ht="18" customHeight="1">
      <x:c r="A5288" t="str">
        <x:v>CA-2014-133424</x:v>
      </x:c>
      <x:c r="B5288" s="18" t="n">
        <x:v>41728</x:v>
      </x:c>
      <x:c r="C5288" t="str">
        <x:v>Dl-13600</x:v>
      </x:c>
      <x:c r="D5288" t="str">
        <x:v>Dorris liebe</x:v>
      </x:c>
      <x:c r="E5288" t="str">
        <x:v>Corporate</x:v>
      </x:c>
      <x:c r="F5288" t="str">
        <x:v>West</x:v>
      </x:c>
      <x:c r="G5288" t="str">
        <x:v>Office Supplies</x:v>
      </x:c>
      <x:c r="H5288" t="str">
        <x:v>Storage</x:v>
      </x:c>
      <x:c r="I5288" s="22" t="n">
        <x:v>15.84</x:v>
      </x:c>
      <x:c r="J5288" s="24" t="n">
        <x:v>3</x:v>
      </x:c>
      <x:c r="K5288" s="26" t="n">
        <x:v>0</x:v>
      </x:c>
      <x:c r="L5288" s="22" t="n">
        <x:v>0</x:v>
      </x:c>
      <x:c r="M5288" t="n">
        <x:v>2014</x:v>
      </x:c>
      <x:c r="N5288" s="20" t="n">
        <x:v>41699</x:v>
      </x:c>
    </x:row>
    <x:row r="5289" ht="18" customHeight="1">
      <x:c r="A5289" t="str">
        <x:v>CA-2014-133424</x:v>
      </x:c>
      <x:c r="B5289" s="18" t="n">
        <x:v>41728</x:v>
      </x:c>
      <x:c r="C5289" t="str">
        <x:v>Dl-13600</x:v>
      </x:c>
      <x:c r="D5289" t="str">
        <x:v>Dorris liebe</x:v>
      </x:c>
      <x:c r="E5289" t="str">
        <x:v>Corporate</x:v>
      </x:c>
      <x:c r="F5289" t="str">
        <x:v>West</x:v>
      </x:c>
      <x:c r="G5289" t="str">
        <x:v>Office Supplies</x:v>
      </x:c>
      <x:c r="H5289" t="str">
        <x:v>Labels</x:v>
      </x:c>
      <x:c r="I5289" s="22" t="n">
        <x:v>44.400000000000006</x:v>
      </x:c>
      <x:c r="J5289" s="24" t="n">
        <x:v>3</x:v>
      </x:c>
      <x:c r="K5289" s="26" t="n">
        <x:v>0</x:v>
      </x:c>
      <x:c r="L5289" s="22" t="n">
        <x:v>22.200000000000003</x:v>
      </x:c>
      <x:c r="M5289" t="n">
        <x:v>2014</x:v>
      </x:c>
      <x:c r="N5289" s="20" t="n">
        <x:v>41699</x:v>
      </x:c>
    </x:row>
    <x:row r="5290" ht="18" customHeight="1">
      <x:c r="A5290" t="str">
        <x:v>CA-2017-105991</x:v>
      </x:c>
      <x:c r="B5290" s="18" t="n">
        <x:v>42860</x:v>
      </x:c>
      <x:c r="C5290" t="str">
        <x:v>LH-17020</x:v>
      </x:c>
      <x:c r="D5290" t="str">
        <x:v>Lisa Hazard</x:v>
      </x:c>
      <x:c r="E5290" t="str">
        <x:v>Consumer</x:v>
      </x:c>
      <x:c r="F5290" t="str">
        <x:v>West</x:v>
      </x:c>
      <x:c r="G5290" t="str">
        <x:v>Office Supplies</x:v>
      </x:c>
      <x:c r="H5290" t="str">
        <x:v>Envelopes</x:v>
      </x:c>
      <x:c r="I5290" s="22" t="n">
        <x:v>21.240000000000002</x:v>
      </x:c>
      <x:c r="J5290" s="24" t="n">
        <x:v>9</x:v>
      </x:c>
      <x:c r="K5290" s="26" t="n">
        <x:v>0.2</x:v>
      </x:c>
      <x:c r="L5290" s="22" t="n">
        <x:v>7.433999999999999</x:v>
      </x:c>
      <x:c r="M5290" t="n">
        <x:v>2017</x:v>
      </x:c>
      <x:c r="N5290" s="20" t="n">
        <x:v>42856</x:v>
      </x:c>
    </x:row>
    <x:row r="5291" ht="18" customHeight="1">
      <x:c r="A5291" t="str">
        <x:v>CA-2017-105991</x:v>
      </x:c>
      <x:c r="B5291" s="18" t="n">
        <x:v>42860</x:v>
      </x:c>
      <x:c r="C5291" t="str">
        <x:v>LH-17020</x:v>
      </x:c>
      <x:c r="D5291" t="str">
        <x:v>Lisa Hazard</x:v>
      </x:c>
      <x:c r="E5291" t="str">
        <x:v>Consumer</x:v>
      </x:c>
      <x:c r="F5291" t="str">
        <x:v>West</x:v>
      </x:c>
      <x:c r="G5291" t="str">
        <x:v>Office Supplies</x:v>
      </x:c>
      <x:c r="H5291" t="str">
        <x:v>Binders</x:v>
      </x:c>
      <x:c r="I5291" s="22" t="n">
        <x:v>9.552000000000001</x:v>
      </x:c>
      <x:c r="J5291" s="24" t="n">
        <x:v>8</x:v>
      </x:c>
      <x:c r="K5291" s="26" t="n">
        <x:v>0.7</x:v>
      </x:c>
      <x:c r="L5291" s="22" t="n">
        <x:v>-7.3232</x:v>
      </x:c>
      <x:c r="M5291" t="n">
        <x:v>2017</x:v>
      </x:c>
      <x:c r="N5291" s="20" t="n">
        <x:v>42856</x:v>
      </x:c>
    </x:row>
    <x:row r="5292" ht="18" customHeight="1">
      <x:c r="A5292" t="str">
        <x:v>CA-2017-105991</x:v>
      </x:c>
      <x:c r="B5292" s="18" t="n">
        <x:v>42860</x:v>
      </x:c>
      <x:c r="C5292" t="str">
        <x:v>LH-17020</x:v>
      </x:c>
      <x:c r="D5292" t="str">
        <x:v>Lisa Hazard</x:v>
      </x:c>
      <x:c r="E5292" t="str">
        <x:v>Consumer</x:v>
      </x:c>
      <x:c r="F5292" t="str">
        <x:v>West</x:v>
      </x:c>
      <x:c r="G5292" t="str">
        <x:v>Furniture</x:v>
      </x:c>
      <x:c r="H5292" t="str">
        <x:v>Bookcases</x:v>
      </x:c>
      <x:c r="I5292" s="22" t="n">
        <x:v>89.99100000000001</x:v>
      </x:c>
      <x:c r="J5292" s="24" t="n">
        <x:v>3</x:v>
      </x:c>
      <x:c r="K5292" s="26" t="n">
        <x:v>0.7</x:v>
      </x:c>
      <x:c r="L5292" s="22" t="n">
        <x:v>-152.9847</x:v>
      </x:c>
      <x:c r="M5292" t="n">
        <x:v>2017</x:v>
      </x:c>
      <x:c r="N5292" s="20" t="n">
        <x:v>42856</x:v>
      </x:c>
    </x:row>
    <x:row r="5293" ht="18" customHeight="1">
      <x:c r="A5293" t="str">
        <x:v>US-2017-136784</x:v>
      </x:c>
      <x:c r="B5293" s="18" t="n">
        <x:v>42855</x:v>
      </x:c>
      <x:c r="C5293" t="str">
        <x:v>AD-10180</x:v>
      </x:c>
      <x:c r="D5293" t="str">
        <x:v>Alan Dominguez</x:v>
      </x:c>
      <x:c r="E5293" t="str">
        <x:v>Home Office</x:v>
      </x:c>
      <x:c r="F5293" t="str">
        <x:v>West</x:v>
      </x:c>
      <x:c r="G5293" t="str">
        <x:v>Office Supplies</x:v>
      </x:c>
      <x:c r="H5293" t="str">
        <x:v>Paper</x:v>
      </x:c>
      <x:c r="I5293" s="22" t="n">
        <x:v>163.96</x:v>
      </x:c>
      <x:c r="J5293" s="24" t="n">
        <x:v>4</x:v>
      </x:c>
      <x:c r="K5293" s="26" t="n">
        <x:v>0</x:v>
      </x:c>
      <x:c r="L5293" s="22" t="n">
        <x:v>80.3404</x:v>
      </x:c>
      <x:c r="M5293" t="n">
        <x:v>2017</x:v>
      </x:c>
      <x:c r="N5293" s="20" t="n">
        <x:v>42826</x:v>
      </x:c>
    </x:row>
    <x:row r="5294" ht="18" customHeight="1">
      <x:c r="A5294" t="str">
        <x:v>CA-2014-146283</x:v>
      </x:c>
      <x:c r="B5294" s="18" t="n">
        <x:v>41890</x:v>
      </x:c>
      <x:c r="C5294" t="str">
        <x:v>KT-16465</x:v>
      </x:c>
      <x:c r="D5294" t="str">
        <x:v>Kean Takahito</x:v>
      </x:c>
      <x:c r="E5294" t="str">
        <x:v>Consumer</x:v>
      </x:c>
      <x:c r="F5294" t="str">
        <x:v>Central</x:v>
      </x:c>
      <x:c r="G5294" t="str">
        <x:v>Office Supplies</x:v>
      </x:c>
      <x:c r="H5294" t="str">
        <x:v>Paper</x:v>
      </x:c>
      <x:c r="I5294" s="22" t="n">
        <x:v>17.904</x:v>
      </x:c>
      <x:c r="J5294" s="24" t="n">
        <x:v>2</x:v>
      </x:c>
      <x:c r="K5294" s="26" t="n">
        <x:v>0.2</x:v>
      </x:c>
      <x:c r="L5294" s="22" t="n">
        <x:v>6.2664</x:v>
      </x:c>
      <x:c r="M5294" t="n">
        <x:v>2014</x:v>
      </x:c>
      <x:c r="N5294" s="20" t="n">
        <x:v>41883</x:v>
      </x:c>
    </x:row>
    <x:row r="5295" ht="18" customHeight="1">
      <x:c r="A5295" t="str">
        <x:v>CA-2014-146283</x:v>
      </x:c>
      <x:c r="B5295" s="18" t="n">
        <x:v>41890</x:v>
      </x:c>
      <x:c r="C5295" t="str">
        <x:v>KT-16465</x:v>
      </x:c>
      <x:c r="D5295" t="str">
        <x:v>Kean Takahito</x:v>
      </x:c>
      <x:c r="E5295" t="str">
        <x:v>Consumer</x:v>
      </x:c>
      <x:c r="F5295" t="str">
        <x:v>Central</x:v>
      </x:c>
      <x:c r="G5295" t="str">
        <x:v>Furniture</x:v>
      </x:c>
      <x:c r="H5295" t="str">
        <x:v>Chairs</x:v>
      </x:c>
      <x:c r="I5295" s="22" t="n">
        <x:v>966.6999999999998</x:v>
      </x:c>
      <x:c r="J5295" s="24" t="n">
        <x:v>5</x:v>
      </x:c>
      <x:c r="K5295" s="26" t="n">
        <x:v>0.3</x:v>
      </x:c>
      <x:c r="L5295" s="22" t="n">
        <x:v>-13.810000000000116</x:v>
      </x:c>
      <x:c r="M5295" t="n">
        <x:v>2014</x:v>
      </x:c>
      <x:c r="N5295" s="20" t="n">
        <x:v>41883</x:v>
      </x:c>
    </x:row>
    <x:row r="5296" ht="18" customHeight="1">
      <x:c r="A5296" t="str">
        <x:v>CA-2014-146283</x:v>
      </x:c>
      <x:c r="B5296" s="18" t="n">
        <x:v>41890</x:v>
      </x:c>
      <x:c r="C5296" t="str">
        <x:v>KT-16465</x:v>
      </x:c>
      <x:c r="D5296" t="str">
        <x:v>Kean Takahito</x:v>
      </x:c>
      <x:c r="E5296" t="str">
        <x:v>Consumer</x:v>
      </x:c>
      <x:c r="F5296" t="str">
        <x:v>Central</x:v>
      </x:c>
      <x:c r="G5296" t="str">
        <x:v>Office Supplies</x:v>
      </x:c>
      <x:c r="H5296" t="str">
        <x:v>Paper</x:v>
      </x:c>
      <x:c r="I5296" s="22" t="n">
        <x:v>182.112</x:v>
      </x:c>
      <x:c r="J5296" s="24" t="n">
        <x:v>6</x:v>
      </x:c>
      <x:c r="K5296" s="26" t="n">
        <x:v>0.2</x:v>
      </x:c>
      <x:c r="L5296" s="22" t="n">
        <x:v>61.46279999999998</x:v>
      </x:c>
      <x:c r="M5296" t="n">
        <x:v>2014</x:v>
      </x:c>
      <x:c r="N5296" s="20" t="n">
        <x:v>41883</x:v>
      </x:c>
    </x:row>
    <x:row r="5297" ht="18" customHeight="1">
      <x:c r="A5297" t="str">
        <x:v>CA-2017-151218</x:v>
      </x:c>
      <x:c r="B5297" s="18" t="n">
        <x:v>42906</x:v>
      </x:c>
      <x:c r="C5297" t="str">
        <x:v>PJ-19015</x:v>
      </x:c>
      <x:c r="D5297" t="str">
        <x:v>Pauline Johnson</x:v>
      </x:c>
      <x:c r="E5297" t="str">
        <x:v>Consumer</x:v>
      </x:c>
      <x:c r="F5297" t="str">
        <x:v>South</x:v>
      </x:c>
      <x:c r="G5297" t="str">
        <x:v>Office Supplies</x:v>
      </x:c>
      <x:c r="H5297" t="str">
        <x:v>Storage</x:v>
      </x:c>
      <x:c r="I5297" s="22" t="n">
        <x:v>4.464</x:v>
      </x:c>
      <x:c r="J5297" s="24" t="n">
        <x:v>1</x:v>
      </x:c>
      <x:c r="K5297" s="26" t="n">
        <x:v>0.2</x:v>
      </x:c>
      <x:c r="L5297" s="22" t="n">
        <x:v>0.3348</x:v>
      </x:c>
      <x:c r="M5297" t="n">
        <x:v>2017</x:v>
      </x:c>
      <x:c r="N5297" s="20" t="n">
        <x:v>42887</x:v>
      </x:c>
    </x:row>
    <x:row r="5298" ht="18" customHeight="1">
      <x:c r="A5298" t="str">
        <x:v>CA-2015-111073</x:v>
      </x:c>
      <x:c r="B5298" s="18" t="n">
        <x:v>42364</x:v>
      </x:c>
      <x:c r="C5298" t="str">
        <x:v>MC-18100</x:v>
      </x:c>
      <x:c r="D5298" t="str">
        <x:v>Mick Crebagga</x:v>
      </x:c>
      <x:c r="E5298" t="str">
        <x:v>Consumer</x:v>
      </x:c>
      <x:c r="F5298" t="str">
        <x:v>East</x:v>
      </x:c>
      <x:c r="G5298" t="str">
        <x:v>Furniture</x:v>
      </x:c>
      <x:c r="H5298" t="str">
        <x:v>Tables</x:v>
      </x:c>
      <x:c r="I5298" s="22" t="n">
        <x:v>51.588</x:v>
      </x:c>
      <x:c r="J5298" s="24" t="n">
        <x:v>1</x:v>
      </x:c>
      <x:c r="K5298" s="26" t="n">
        <x:v>0.4</x:v>
      </x:c>
      <x:c r="L5298" s="22" t="n">
        <x:v>-15.476400000000005</x:v>
      </x:c>
      <x:c r="M5298" t="n">
        <x:v>2015</x:v>
      </x:c>
      <x:c r="N5298" s="20" t="n">
        <x:v>42339</x:v>
      </x:c>
    </x:row>
    <x:row r="5299" ht="18" customHeight="1">
      <x:c r="A5299" t="str">
        <x:v>CA-2017-144883</x:v>
      </x:c>
      <x:c r="B5299" s="18" t="n">
        <x:v>42962</x:v>
      </x:c>
      <x:c r="C5299" t="str">
        <x:v>BO-11350</x:v>
      </x:c>
      <x:c r="D5299" t="str">
        <x:v>Bill Overfelt</x:v>
      </x:c>
      <x:c r="E5299" t="str">
        <x:v>Corporate</x:v>
      </x:c>
      <x:c r="F5299" t="str">
        <x:v>Central</x:v>
      </x:c>
      <x:c r="G5299" t="str">
        <x:v>Office Supplies</x:v>
      </x:c>
      <x:c r="H5299" t="str">
        <x:v>Labels</x:v>
      </x:c>
      <x:c r="I5299" s="22" t="n">
        <x:v>50.4</x:v>
      </x:c>
      <x:c r="J5299" s="24" t="n">
        <x:v>8</x:v>
      </x:c>
      <x:c r="K5299" s="26" t="n">
        <x:v>0</x:v>
      </x:c>
      <x:c r="L5299" s="22" t="n">
        <x:v>23.183999999999997</x:v>
      </x:c>
      <x:c r="M5299" t="n">
        <x:v>2017</x:v>
      </x:c>
      <x:c r="N5299" s="20" t="n">
        <x:v>42948</x:v>
      </x:c>
    </x:row>
    <x:row r="5300" ht="18" customHeight="1">
      <x:c r="A5300" t="str">
        <x:v>CA-2017-142174</x:v>
      </x:c>
      <x:c r="B5300" s="18" t="n">
        <x:v>42798</x:v>
      </x:c>
      <x:c r="C5300" t="str">
        <x:v>DP-13000</x:v>
      </x:c>
      <x:c r="D5300" t="str">
        <x:v>Darren Powers</x:v>
      </x:c>
      <x:c r="E5300" t="str">
        <x:v>Consumer</x:v>
      </x:c>
      <x:c r="F5300" t="str">
        <x:v>Central</x:v>
      </x:c>
      <x:c r="G5300" t="str">
        <x:v>Office Supplies</x:v>
      </x:c>
      <x:c r="H5300" t="str">
        <x:v>Paper</x:v>
      </x:c>
      <x:c r="I5300" s="22" t="n">
        <x:v>89.568</x:v>
      </x:c>
      <x:c r="J5300" s="24" t="n">
        <x:v>2</x:v>
      </x:c>
      <x:c r="K5300" s="26" t="n">
        <x:v>0.2</x:v>
      </x:c>
      <x:c r="L5300" s="22" t="n">
        <x:v>32.4684</x:v>
      </x:c>
      <x:c r="M5300" t="n">
        <x:v>2017</x:v>
      </x:c>
      <x:c r="N5300" s="20" t="n">
        <x:v>42795</x:v>
      </x:c>
    </x:row>
    <x:row r="5301" ht="18" customHeight="1">
      <x:c r="A5301" t="str">
        <x:v>CA-2017-108791</x:v>
      </x:c>
      <x:c r="B5301" s="18" t="n">
        <x:v>42943</x:v>
      </x:c>
      <x:c r="C5301" t="str">
        <x:v>TM-21490</x:v>
      </x:c>
      <x:c r="D5301" t="str">
        <x:v>Tony Molinari</x:v>
      </x:c>
      <x:c r="E5301" t="str">
        <x:v>Consumer</x:v>
      </x:c>
      <x:c r="F5301" t="str">
        <x:v>East</x:v>
      </x:c>
      <x:c r="G5301" t="str">
        <x:v>Furniture</x:v>
      </x:c>
      <x:c r="H5301" t="str">
        <x:v>Furnishings</x:v>
      </x:c>
      <x:c r="I5301" s="22" t="n">
        <x:v>14.89</x:v>
      </x:c>
      <x:c r="J5301" s="24" t="n">
        <x:v>1</x:v>
      </x:c>
      <x:c r="K5301" s="26" t="n">
        <x:v>0</x:v>
      </x:c>
      <x:c r="L5301" s="22" t="n">
        <x:v>4.020300000000001</x:v>
      </x:c>
      <x:c r="M5301" t="n">
        <x:v>2017</x:v>
      </x:c>
      <x:c r="N5301" s="20" t="n">
        <x:v>42917</x:v>
      </x:c>
    </x:row>
    <x:row r="5302" ht="18" customHeight="1">
      <x:c r="A5302" t="str">
        <x:v>CA-2017-108791</x:v>
      </x:c>
      <x:c r="B5302" s="18" t="n">
        <x:v>42943</x:v>
      </x:c>
      <x:c r="C5302" t="str">
        <x:v>TM-21490</x:v>
      </x:c>
      <x:c r="D5302" t="str">
        <x:v>Tony Molinari</x:v>
      </x:c>
      <x:c r="E5302" t="str">
        <x:v>Consumer</x:v>
      </x:c>
      <x:c r="F5302" t="str">
        <x:v>East</x:v>
      </x:c>
      <x:c r="G5302" t="str">
        <x:v>Technology</x:v>
      </x:c>
      <x:c r="H5302" t="str">
        <x:v>Phones</x:v>
      </x:c>
      <x:c r="I5302" s="22" t="n">
        <x:v>543.92</x:v>
      </x:c>
      <x:c r="J5302" s="24" t="n">
        <x:v>8</x:v>
      </x:c>
      <x:c r="K5302" s="26" t="n">
        <x:v>0</x:v>
      </x:c>
      <x:c r="L5302" s="22" t="n">
        <x:v>135.98000000000002</x:v>
      </x:c>
      <x:c r="M5302" t="n">
        <x:v>2017</x:v>
      </x:c>
      <x:c r="N5302" s="20" t="n">
        <x:v>42917</x:v>
      </x:c>
    </x:row>
    <x:row r="5303" ht="18" customHeight="1">
      <x:c r="A5303" t="str">
        <x:v>CA-2016-106656</x:v>
      </x:c>
      <x:c r="B5303" s="18" t="n">
        <x:v>42636</x:v>
      </x:c>
      <x:c r="C5303" t="str">
        <x:v>DV-13045</x:v>
      </x:c>
      <x:c r="D5303" t="str">
        <x:v>Darrin Van Huff</x:v>
      </x:c>
      <x:c r="E5303" t="str">
        <x:v>Corporate</x:v>
      </x:c>
      <x:c r="F5303" t="str">
        <x:v>West</x:v>
      </x:c>
      <x:c r="G5303" t="str">
        <x:v>Office Supplies</x:v>
      </x:c>
      <x:c r="H5303" t="str">
        <x:v>Envelopes</x:v>
      </x:c>
      <x:c r="I5303" s="22" t="n">
        <x:v>4.08</x:v>
      </x:c>
      <x:c r="J5303" s="24" t="n">
        <x:v>2</x:v>
      </x:c>
      <x:c r="K5303" s="26" t="n">
        <x:v>0</x:v>
      </x:c>
      <x:c r="L5303" s="22" t="n">
        <x:v>1.9175999999999997</x:v>
      </x:c>
      <x:c r="M5303" t="n">
        <x:v>2016</x:v>
      </x:c>
      <x:c r="N5303" s="20" t="n">
        <x:v>42614</x:v>
      </x:c>
    </x:row>
    <x:row r="5304" ht="18" customHeight="1">
      <x:c r="A5304" t="str">
        <x:v>CA-2016-106656</x:v>
      </x:c>
      <x:c r="B5304" s="18" t="n">
        <x:v>42636</x:v>
      </x:c>
      <x:c r="C5304" t="str">
        <x:v>DV-13045</x:v>
      </x:c>
      <x:c r="D5304" t="str">
        <x:v>Darrin Van Huff</x:v>
      </x:c>
      <x:c r="E5304" t="str">
        <x:v>Corporate</x:v>
      </x:c>
      <x:c r="F5304" t="str">
        <x:v>West</x:v>
      </x:c>
      <x:c r="G5304" t="str">
        <x:v>Office Supplies</x:v>
      </x:c>
      <x:c r="H5304" t="str">
        <x:v>Labels</x:v>
      </x:c>
      <x:c r="I5304" s="22" t="n">
        <x:v>18.9</x:v>
      </x:c>
      <x:c r="J5304" s="24" t="n">
        <x:v>3</x:v>
      </x:c>
      <x:c r="K5304" s="26" t="n">
        <x:v>0</x:v>
      </x:c>
      <x:c r="L5304" s="22" t="n">
        <x:v>8.693999999999999</x:v>
      </x:c>
      <x:c r="M5304" t="n">
        <x:v>2016</x:v>
      </x:c>
      <x:c r="N5304" s="20" t="n">
        <x:v>42614</x:v>
      </x:c>
    </x:row>
    <x:row r="5305" ht="18" customHeight="1">
      <x:c r="A5305" t="str">
        <x:v>CA-2016-113831</x:v>
      </x:c>
      <x:c r="B5305" s="18" t="n">
        <x:v>42520</x:v>
      </x:c>
      <x:c r="C5305" t="str">
        <x:v>AH-10690</x:v>
      </x:c>
      <x:c r="D5305" t="str">
        <x:v>Anna Häberlin</x:v>
      </x:c>
      <x:c r="E5305" t="str">
        <x:v>Corporate</x:v>
      </x:c>
      <x:c r="F5305" t="str">
        <x:v>South</x:v>
      </x:c>
      <x:c r="G5305" t="str">
        <x:v>Furniture</x:v>
      </x:c>
      <x:c r="H5305" t="str">
        <x:v>Tables</x:v>
      </x:c>
      <x:c r="I5305" s="22" t="n">
        <x:v>2275.5</x:v>
      </x:c>
      <x:c r="J5305" s="24" t="n">
        <x:v>10</x:v>
      </x:c>
      <x:c r="K5305" s="26" t="n">
        <x:v>0</x:v>
      </x:c>
      <x:c r="L5305" s="22" t="n">
        <x:v>386.8349999999998</x:v>
      </x:c>
      <x:c r="M5305" t="n">
        <x:v>2016</x:v>
      </x:c>
      <x:c r="N5305" s="20" t="n">
        <x:v>42491</x:v>
      </x:c>
    </x:row>
    <x:row r="5306" ht="18" customHeight="1">
      <x:c r="A5306" t="str">
        <x:v>CA-2016-113831</x:v>
      </x:c>
      <x:c r="B5306" s="18" t="n">
        <x:v>42520</x:v>
      </x:c>
      <x:c r="C5306" t="str">
        <x:v>AH-10690</x:v>
      </x:c>
      <x:c r="D5306" t="str">
        <x:v>Anna Häberlin</x:v>
      </x:c>
      <x:c r="E5306" t="str">
        <x:v>Corporate</x:v>
      </x:c>
      <x:c r="F5306" t="str">
        <x:v>South</x:v>
      </x:c>
      <x:c r="G5306" t="str">
        <x:v>Technology</x:v>
      </x:c>
      <x:c r="H5306" t="str">
        <x:v>Accessories</x:v>
      </x:c>
      <x:c r="I5306" s="22" t="n">
        <x:v>1979.6999999999998</x:v>
      </x:c>
      <x:c r="J5306" s="24" t="n">
        <x:v>6</x:v>
      </x:c>
      <x:c r="K5306" s="26" t="n">
        <x:v>0</x:v>
      </x:c>
      <x:c r="L5306" s="22" t="n">
        <x:v>653.3009999999998</x:v>
      </x:c>
      <x:c r="M5306" t="n">
        <x:v>2016</x:v>
      </x:c>
      <x:c r="N5306" s="20" t="n">
        <x:v>42491</x:v>
      </x:c>
    </x:row>
    <x:row r="5307" ht="18" customHeight="1">
      <x:c r="A5307" t="str">
        <x:v>CA-2016-113831</x:v>
      </x:c>
      <x:c r="B5307" s="18" t="n">
        <x:v>42520</x:v>
      </x:c>
      <x:c r="C5307" t="str">
        <x:v>AH-10690</x:v>
      </x:c>
      <x:c r="D5307" t="str">
        <x:v>Anna Häberlin</x:v>
      </x:c>
      <x:c r="E5307" t="str">
        <x:v>Corporate</x:v>
      </x:c>
      <x:c r="F5307" t="str">
        <x:v>South</x:v>
      </x:c>
      <x:c r="G5307" t="str">
        <x:v>Office Supplies</x:v>
      </x:c>
      <x:c r="H5307" t="str">
        <x:v>Labels</x:v>
      </x:c>
      <x:c r="I5307" s="22" t="n">
        <x:v>62.099999999999994</x:v>
      </x:c>
      <x:c r="J5307" s="24" t="n">
        <x:v>6</x:v>
      </x:c>
      <x:c r="K5307" s="26" t="n">
        <x:v>0</x:v>
      </x:c>
      <x:c r="L5307" s="22" t="n">
        <x:v>29.808</x:v>
      </x:c>
      <x:c r="M5307" t="n">
        <x:v>2016</x:v>
      </x:c>
      <x:c r="N5307" s="20" t="n">
        <x:v>42491</x:v>
      </x:c>
    </x:row>
    <x:row r="5308" ht="18" customHeight="1">
      <x:c r="A5308" t="str">
        <x:v>US-2014-139500</x:v>
      </x:c>
      <x:c r="B5308" s="18" t="n">
        <x:v>41959</x:v>
      </x:c>
      <x:c r="C5308" t="str">
        <x:v>AB-10165</x:v>
      </x:c>
      <x:c r="D5308" t="str">
        <x:v>Alan Barnes</x:v>
      </x:c>
      <x:c r="E5308" t="str">
        <x:v>Consumer</x:v>
      </x:c>
      <x:c r="F5308" t="str">
        <x:v>Central</x:v>
      </x:c>
      <x:c r="G5308" t="str">
        <x:v>Furniture</x:v>
      </x:c>
      <x:c r="H5308" t="str">
        <x:v>Chairs</x:v>
      </x:c>
      <x:c r="I5308" s="22" t="n">
        <x:v>37.296</x:v>
      </x:c>
      <x:c r="J5308" s="24" t="n">
        <x:v>2</x:v>
      </x:c>
      <x:c r="K5308" s="26" t="n">
        <x:v>0.3</x:v>
      </x:c>
      <x:c r="L5308" s="22" t="n">
        <x:v>-1.0656000000000017</x:v>
      </x:c>
      <x:c r="M5308" t="n">
        <x:v>2014</x:v>
      </x:c>
      <x:c r="N5308" s="20" t="n">
        <x:v>41944</x:v>
      </x:c>
    </x:row>
    <x:row r="5309" ht="18" customHeight="1">
      <x:c r="A5309" t="str">
        <x:v>US-2014-166310</x:v>
      </x:c>
      <x:c r="B5309" s="18" t="n">
        <x:v>41903</x:v>
      </x:c>
      <x:c r="C5309" t="str">
        <x:v>JS-15940</x:v>
      </x:c>
      <x:c r="D5309" t="str">
        <x:v>Joni Sundaresam</x:v>
      </x:c>
      <x:c r="E5309" t="str">
        <x:v>Home Office</x:v>
      </x:c>
      <x:c r="F5309" t="str">
        <x:v>Central</x:v>
      </x:c>
      <x:c r="G5309" t="str">
        <x:v>Furniture</x:v>
      </x:c>
      <x:c r="H5309" t="str">
        <x:v>Furnishings</x:v>
      </x:c>
      <x:c r="I5309" s="22" t="n">
        <x:v>8.544</x:v>
      </x:c>
      <x:c r="J5309" s="24" t="n">
        <x:v>2</x:v>
      </x:c>
      <x:c r="K5309" s="26" t="n">
        <x:v>0.6</x:v>
      </x:c>
      <x:c r="L5309" s="22" t="n">
        <x:v>-7.475999999999999</x:v>
      </x:c>
      <x:c r="M5309" t="n">
        <x:v>2014</x:v>
      </x:c>
      <x:c r="N5309" s="20" t="n">
        <x:v>41883</x:v>
      </x:c>
    </x:row>
    <x:row r="5310" ht="18" customHeight="1">
      <x:c r="A5310" t="str">
        <x:v>US-2016-168410</x:v>
      </x:c>
      <x:c r="B5310" s="18" t="n">
        <x:v>42421</x:v>
      </x:c>
      <x:c r="C5310" t="str">
        <x:v>BV-11245</x:v>
      </x:c>
      <x:c r="D5310" t="str">
        <x:v>Benjamin Venier</x:v>
      </x:c>
      <x:c r="E5310" t="str">
        <x:v>Corporate</x:v>
      </x:c>
      <x:c r="F5310" t="str">
        <x:v>East</x:v>
      </x:c>
      <x:c r="G5310" t="str">
        <x:v>Furniture</x:v>
      </x:c>
      <x:c r="H5310" t="str">
        <x:v>Furnishings</x:v>
      </x:c>
      <x:c r="I5310" s="22" t="n">
        <x:v>68.94999999999999</x:v>
      </x:c>
      <x:c r="J5310" s="24" t="n">
        <x:v>5</x:v>
      </x:c>
      <x:c r="K5310" s="26" t="n">
        <x:v>0</x:v>
      </x:c>
      <x:c r="L5310" s="22" t="n">
        <x:v>28.959000000000003</x:v>
      </x:c>
      <x:c r="M5310" t="n">
        <x:v>2016</x:v>
      </x:c>
      <x:c r="N5310" s="20" t="n">
        <x:v>42401</x:v>
      </x:c>
    </x:row>
    <x:row r="5311" ht="18" customHeight="1">
      <x:c r="A5311" t="str">
        <x:v>US-2016-168410</x:v>
      </x:c>
      <x:c r="B5311" s="18" t="n">
        <x:v>42421</x:v>
      </x:c>
      <x:c r="C5311" t="str">
        <x:v>BV-11245</x:v>
      </x:c>
      <x:c r="D5311" t="str">
        <x:v>Benjamin Venier</x:v>
      </x:c>
      <x:c r="E5311" t="str">
        <x:v>Corporate</x:v>
      </x:c>
      <x:c r="F5311" t="str">
        <x:v>East</x:v>
      </x:c>
      <x:c r="G5311" t="str">
        <x:v>Office Supplies</x:v>
      </x:c>
      <x:c r="H5311" t="str">
        <x:v>Storage</x:v>
      </x:c>
      <x:c r="I5311" s="22" t="n">
        <x:v>296.37</x:v>
      </x:c>
      <x:c r="J5311" s="24" t="n">
        <x:v>3</x:v>
      </x:c>
      <x:c r="K5311" s="26" t="n">
        <x:v>0</x:v>
      </x:c>
      <x:c r="L5311" s="22" t="n">
        <x:v>80.01989999999999</x:v>
      </x:c>
      <x:c r="M5311" t="n">
        <x:v>2016</x:v>
      </x:c>
      <x:c r="N5311" s="20" t="n">
        <x:v>42401</x:v>
      </x:c>
    </x:row>
    <x:row r="5312" ht="18" customHeight="1">
      <x:c r="A5312" t="str">
        <x:v>US-2016-168410</x:v>
      </x:c>
      <x:c r="B5312" s="18" t="n">
        <x:v>42421</x:v>
      </x:c>
      <x:c r="C5312" t="str">
        <x:v>BV-11245</x:v>
      </x:c>
      <x:c r="D5312" t="str">
        <x:v>Benjamin Venier</x:v>
      </x:c>
      <x:c r="E5312" t="str">
        <x:v>Corporate</x:v>
      </x:c>
      <x:c r="F5312" t="str">
        <x:v>East</x:v>
      </x:c>
      <x:c r="G5312" t="str">
        <x:v>Technology</x:v>
      </x:c>
      <x:c r="H5312" t="str">
        <x:v>Phones</x:v>
      </x:c>
      <x:c r="I5312" s="22" t="n">
        <x:v>39.98</x:v>
      </x:c>
      <x:c r="J5312" s="24" t="n">
        <x:v>2</x:v>
      </x:c>
      <x:c r="K5312" s="26" t="n">
        <x:v>0</x:v>
      </x:c>
      <x:c r="L5312" s="22" t="n">
        <x:v>1.9989999999999952</x:v>
      </x:c>
      <x:c r="M5312" t="n">
        <x:v>2016</x:v>
      </x:c>
      <x:c r="N5312" s="20" t="n">
        <x:v>42401</x:v>
      </x:c>
    </x:row>
    <x:row r="5313" ht="18" customHeight="1">
      <x:c r="A5313" t="str">
        <x:v>CA-2017-131254</x:v>
      </x:c>
      <x:c r="B5313" s="18" t="n">
        <x:v>43058</x:v>
      </x:c>
      <x:c r="C5313" t="str">
        <x:v>NC-18415</x:v>
      </x:c>
      <x:c r="D5313" t="str">
        <x:v>Nathan Cano</x:v>
      </x:c>
      <x:c r="E5313" t="str">
        <x:v>Consumer</x:v>
      </x:c>
      <x:c r="F5313" t="str">
        <x:v>Central</x:v>
      </x:c>
      <x:c r="G5313" t="str">
        <x:v>Furniture</x:v>
      </x:c>
      <x:c r="H5313" t="str">
        <x:v>Chairs</x:v>
      </x:c>
      <x:c r="I5313" s="22" t="n">
        <x:v>191.058</x:v>
      </x:c>
      <x:c r="J5313" s="24" t="n">
        <x:v>3</x:v>
      </x:c>
      <x:c r="K5313" s="26" t="n">
        <x:v>0.3</x:v>
      </x:c>
      <x:c r="L5313" s="22" t="n">
        <x:v>-46.39980000000001</x:v>
      </x:c>
      <x:c r="M5313" t="n">
        <x:v>2017</x:v>
      </x:c>
      <x:c r="N5313" s="20" t="n">
        <x:v>43040</x:v>
      </x:c>
    </x:row>
    <x:row r="5314" ht="18" customHeight="1">
      <x:c r="A5314" t="str">
        <x:v>CA-2017-131254</x:v>
      </x:c>
      <x:c r="B5314" s="18" t="n">
        <x:v>43058</x:v>
      </x:c>
      <x:c r="C5314" t="str">
        <x:v>NC-18415</x:v>
      </x:c>
      <x:c r="D5314" t="str">
        <x:v>Nathan Cano</x:v>
      </x:c>
      <x:c r="E5314" t="str">
        <x:v>Consumer</x:v>
      </x:c>
      <x:c r="F5314" t="str">
        <x:v>Central</x:v>
      </x:c>
      <x:c r="G5314" t="str">
        <x:v>Office Supplies</x:v>
      </x:c>
      <x:c r="H5314" t="str">
        <x:v>Art</x:v>
      </x:c>
      <x:c r="I5314" s="22" t="n">
        <x:v>13.040000000000001</x:v>
      </x:c>
      <x:c r="J5314" s="24" t="n">
        <x:v>5</x:v>
      </x:c>
      <x:c r="K5314" s="26" t="n">
        <x:v>0.2</x:v>
      </x:c>
      <x:c r="L5314" s="22" t="n">
        <x:v>3.9120000000000004</x:v>
      </x:c>
      <x:c r="M5314" t="n">
        <x:v>2017</x:v>
      </x:c>
      <x:c r="N5314" s="20" t="n">
        <x:v>43040</x:v>
      </x:c>
    </x:row>
    <x:row r="5315" ht="18" customHeight="1">
      <x:c r="A5315" t="str">
        <x:v>CA-2017-131254</x:v>
      </x:c>
      <x:c r="B5315" s="18" t="n">
        <x:v>43058</x:v>
      </x:c>
      <x:c r="C5315" t="str">
        <x:v>NC-18415</x:v>
      </x:c>
      <x:c r="D5315" t="str">
        <x:v>Nathan Cano</x:v>
      </x:c>
      <x:c r="E5315" t="str">
        <x:v>Consumer</x:v>
      </x:c>
      <x:c r="F5315" t="str">
        <x:v>Central</x:v>
      </x:c>
      <x:c r="G5315" t="str">
        <x:v>Office Supplies</x:v>
      </x:c>
      <x:c r="H5315" t="str">
        <x:v>Binders</x:v>
      </x:c>
      <x:c r="I5315" s="22" t="n">
        <x:v>1525.1879999999996</x:v>
      </x:c>
      <x:c r="J5315" s="24" t="n">
        <x:v>6</x:v>
      </x:c>
      <x:c r="K5315" s="26" t="n">
        <x:v>0.8</x:v>
      </x:c>
      <x:c r="L5315" s="22" t="n">
        <x:v>-2287.782</x:v>
      </x:c>
      <x:c r="M5315" t="n">
        <x:v>2017</x:v>
      </x:c>
      <x:c r="N5315" s="20" t="n">
        <x:v>43040</x:v>
      </x:c>
    </x:row>
    <x:row r="5316" ht="18" customHeight="1">
      <x:c r="A5316" t="str">
        <x:v>CA-2016-123414</x:v>
      </x:c>
      <x:c r="B5316" s="18" t="n">
        <x:v>42603</x:v>
      </x:c>
      <x:c r="C5316" t="str">
        <x:v>SU-20665</x:v>
      </x:c>
      <x:c r="D5316" t="str">
        <x:v>Stephanie Ulpright</x:v>
      </x:c>
      <x:c r="E5316" t="str">
        <x:v>Home Office</x:v>
      </x:c>
      <x:c r="F5316" t="str">
        <x:v>South</x:v>
      </x:c>
      <x:c r="G5316" t="str">
        <x:v>Office Supplies</x:v>
      </x:c>
      <x:c r="H5316" t="str">
        <x:v>Labels</x:v>
      </x:c>
      <x:c r="I5316" s="22" t="n">
        <x:v>9.216</x:v>
      </x:c>
      <x:c r="J5316" s="24" t="n">
        <x:v>4</x:v>
      </x:c>
      <x:c r="K5316" s="26" t="n">
        <x:v>0.2</x:v>
      </x:c>
      <x:c r="L5316" s="22" t="n">
        <x:v>3.3408</x:v>
      </x:c>
      <x:c r="M5316" t="n">
        <x:v>2016</x:v>
      </x:c>
      <x:c r="N5316" s="20" t="n">
        <x:v>42583</x:v>
      </x:c>
    </x:row>
    <x:row r="5317" ht="18" customHeight="1">
      <x:c r="A5317" t="str">
        <x:v>CA-2016-123414</x:v>
      </x:c>
      <x:c r="B5317" s="18" t="n">
        <x:v>42603</x:v>
      </x:c>
      <x:c r="C5317" t="str">
        <x:v>SU-20665</x:v>
      </x:c>
      <x:c r="D5317" t="str">
        <x:v>Stephanie Ulpright</x:v>
      </x:c>
      <x:c r="E5317" t="str">
        <x:v>Home Office</x:v>
      </x:c>
      <x:c r="F5317" t="str">
        <x:v>South</x:v>
      </x:c>
      <x:c r="G5317" t="str">
        <x:v>Office Supplies</x:v>
      </x:c>
      <x:c r="H5317" t="str">
        <x:v>Supplies</x:v>
      </x:c>
      <x:c r="I5317" s="22" t="n">
        <x:v>28.048000000000002</x:v>
      </x:c>
      <x:c r="J5317" s="24" t="n">
        <x:v>2</x:v>
      </x:c>
      <x:c r="K5317" s="26" t="n">
        <x:v>0.2</x:v>
      </x:c>
      <x:c r="L5317" s="22" t="n">
        <x:v>3.5059999999999967</x:v>
      </x:c>
      <x:c r="M5317" t="n">
        <x:v>2016</x:v>
      </x:c>
      <x:c r="N5317" s="20" t="n">
        <x:v>42583</x:v>
      </x:c>
    </x:row>
    <x:row r="5318" ht="18" customHeight="1">
      <x:c r="A5318" t="str">
        <x:v>CA-2017-137876</x:v>
      </x:c>
      <x:c r="B5318" s="18" t="n">
        <x:v>42855</x:v>
      </x:c>
      <x:c r="C5318" t="str">
        <x:v>DJ-13510</x:v>
      </x:c>
      <x:c r="D5318" t="str">
        <x:v>Don Jones</x:v>
      </x:c>
      <x:c r="E5318" t="str">
        <x:v>Corporate</x:v>
      </x:c>
      <x:c r="F5318" t="str">
        <x:v>West</x:v>
      </x:c>
      <x:c r="G5318" t="str">
        <x:v>Furniture</x:v>
      </x:c>
      <x:c r="H5318" t="str">
        <x:v>Furnishings</x:v>
      </x:c>
      <x:c r="I5318" s="22" t="n">
        <x:v>64.96</x:v>
      </x:c>
      <x:c r="J5318" s="24" t="n">
        <x:v>2</x:v>
      </x:c>
      <x:c r="K5318" s="26" t="n">
        <x:v>0</x:v>
      </x:c>
      <x:c r="L5318" s="22" t="n">
        <x:v>21.436799999999998</x:v>
      </x:c>
      <x:c r="M5318" t="n">
        <x:v>2017</x:v>
      </x:c>
      <x:c r="N5318" s="20" t="n">
        <x:v>42826</x:v>
      </x:c>
    </x:row>
    <x:row r="5319" ht="18" customHeight="1">
      <x:c r="A5319" t="str">
        <x:v>CA-2017-137876</x:v>
      </x:c>
      <x:c r="B5319" s="18" t="n">
        <x:v>42855</x:v>
      </x:c>
      <x:c r="C5319" t="str">
        <x:v>DJ-13510</x:v>
      </x:c>
      <x:c r="D5319" t="str">
        <x:v>Don Jones</x:v>
      </x:c>
      <x:c r="E5319" t="str">
        <x:v>Corporate</x:v>
      </x:c>
      <x:c r="F5319" t="str">
        <x:v>West</x:v>
      </x:c>
      <x:c r="G5319" t="str">
        <x:v>Office Supplies</x:v>
      </x:c>
      <x:c r="H5319" t="str">
        <x:v>Envelopes</x:v>
      </x:c>
      <x:c r="I5319" s="22" t="n">
        <x:v>30.56</x:v>
      </x:c>
      <x:c r="J5319" s="24" t="n">
        <x:v>4</x:v>
      </x:c>
      <x:c r="K5319" s="26" t="n">
        <x:v>0</x:v>
      </x:c>
      <x:c r="L5319" s="22" t="n">
        <x:v>14.9744</x:v>
      </x:c>
      <x:c r="M5319" t="n">
        <x:v>2017</x:v>
      </x:c>
      <x:c r="N5319" s="20" t="n">
        <x:v>42826</x:v>
      </x:c>
    </x:row>
    <x:row r="5320" ht="18" customHeight="1">
      <x:c r="A5320" t="str">
        <x:v>CA-2016-154060</x:v>
      </x:c>
      <x:c r="B5320" s="18" t="n">
        <x:v>42492</x:v>
      </x:c>
      <x:c r="C5320" t="str">
        <x:v>DL-12865</x:v>
      </x:c>
      <x:c r="D5320" t="str">
        <x:v>Dan Lawera</x:v>
      </x:c>
      <x:c r="E5320" t="str">
        <x:v>Consumer</x:v>
      </x:c>
      <x:c r="F5320" t="str">
        <x:v>South</x:v>
      </x:c>
      <x:c r="G5320" t="str">
        <x:v>Furniture</x:v>
      </x:c>
      <x:c r="H5320" t="str">
        <x:v>Chairs</x:v>
      </x:c>
      <x:c r="I5320" s="22" t="n">
        <x:v>187.056</x:v>
      </x:c>
      <x:c r="J5320" s="24" t="n">
        <x:v>9</x:v>
      </x:c>
      <x:c r="K5320" s="26" t="n">
        <x:v>0.2</x:v>
      </x:c>
      <x:c r="L5320" s="22" t="n">
        <x:v>11.69100000000001</x:v>
      </x:c>
      <x:c r="M5320" t="n">
        <x:v>2016</x:v>
      </x:c>
      <x:c r="N5320" s="20" t="n">
        <x:v>42491</x:v>
      </x:c>
    </x:row>
    <x:row r="5321" ht="18" customHeight="1">
      <x:c r="A5321" t="str">
        <x:v>US-2017-162558</x:v>
      </x:c>
      <x:c r="B5321" s="18" t="n">
        <x:v>43010</x:v>
      </x:c>
      <x:c r="C5321" t="str">
        <x:v>Dp-13240</x:v>
      </x:c>
      <x:c r="D5321" t="str">
        <x:v>Dean percer</x:v>
      </x:c>
      <x:c r="E5321" t="str">
        <x:v>Home Office</x:v>
      </x:c>
      <x:c r="F5321" t="str">
        <x:v>South</x:v>
      </x:c>
      <x:c r="G5321" t="str">
        <x:v>Furniture</x:v>
      </x:c>
      <x:c r="H5321" t="str">
        <x:v>Furnishings</x:v>
      </x:c>
      <x:c r="I5321" s="22" t="n">
        <x:v>11.808</x:v>
      </x:c>
      <x:c r="J5321" s="24" t="n">
        <x:v>2</x:v>
      </x:c>
      <x:c r="K5321" s="26" t="n">
        <x:v>0.2</x:v>
      </x:c>
      <x:c r="L5321" s="22" t="n">
        <x:v>1.3283999999999985</x:v>
      </x:c>
      <x:c r="M5321" t="n">
        <x:v>2017</x:v>
      </x:c>
      <x:c r="N5321" s="20" t="n">
        <x:v>43009</x:v>
      </x:c>
    </x:row>
    <x:row r="5322" ht="18" customHeight="1">
      <x:c r="A5322" t="str">
        <x:v>US-2017-162558</x:v>
      </x:c>
      <x:c r="B5322" s="18" t="n">
        <x:v>43010</x:v>
      </x:c>
      <x:c r="C5322" t="str">
        <x:v>Dp-13240</x:v>
      </x:c>
      <x:c r="D5322" t="str">
        <x:v>Dean percer</x:v>
      </x:c>
      <x:c r="E5322" t="str">
        <x:v>Home Office</x:v>
      </x:c>
      <x:c r="F5322" t="str">
        <x:v>South</x:v>
      </x:c>
      <x:c r="G5322" t="str">
        <x:v>Furniture</x:v>
      </x:c>
      <x:c r="H5322" t="str">
        <x:v>Furnishings</x:v>
      </x:c>
      <x:c r="I5322" s="22" t="n">
        <x:v>9.656</x:v>
      </x:c>
      <x:c r="J5322" s="24" t="n">
        <x:v>1</x:v>
      </x:c>
      <x:c r="K5322" s="26" t="n">
        <x:v>0.2</x:v>
      </x:c>
      <x:c r="L5322" s="22" t="n">
        <x:v>1.5691000000000002</x:v>
      </x:c>
      <x:c r="M5322" t="n">
        <x:v>2017</x:v>
      </x:c>
      <x:c r="N5322" s="20" t="n">
        <x:v>43009</x:v>
      </x:c>
    </x:row>
    <x:row r="5323" ht="18" customHeight="1">
      <x:c r="A5323" t="str">
        <x:v>US-2017-162558</x:v>
      </x:c>
      <x:c r="B5323" s="18" t="n">
        <x:v>43010</x:v>
      </x:c>
      <x:c r="C5323" t="str">
        <x:v>Dp-13240</x:v>
      </x:c>
      <x:c r="D5323" t="str">
        <x:v>Dean percer</x:v>
      </x:c>
      <x:c r="E5323" t="str">
        <x:v>Home Office</x:v>
      </x:c>
      <x:c r="F5323" t="str">
        <x:v>South</x:v>
      </x:c>
      <x:c r="G5323" t="str">
        <x:v>Office Supplies</x:v>
      </x:c>
      <x:c r="H5323" t="str">
        <x:v>Paper</x:v>
      </x:c>
      <x:c r="I5323" s="22" t="n">
        <x:v>20.736000000000004</x:v>
      </x:c>
      <x:c r="J5323" s="24" t="n">
        <x:v>4</x:v>
      </x:c>
      <x:c r="K5323" s="26" t="n">
        <x:v>0.2</x:v>
      </x:c>
      <x:c r="L5323" s="22" t="n">
        <x:v>7.2576</x:v>
      </x:c>
      <x:c r="M5323" t="n">
        <x:v>2017</x:v>
      </x:c>
      <x:c r="N5323" s="20" t="n">
        <x:v>43009</x:v>
      </x:c>
    </x:row>
    <x:row r="5324" ht="18" customHeight="1">
      <x:c r="A5324" t="str">
        <x:v>US-2017-162558</x:v>
      </x:c>
      <x:c r="B5324" s="18" t="n">
        <x:v>43010</x:v>
      </x:c>
      <x:c r="C5324" t="str">
        <x:v>Dp-13240</x:v>
      </x:c>
      <x:c r="D5324" t="str">
        <x:v>Dean percer</x:v>
      </x:c>
      <x:c r="E5324" t="str">
        <x:v>Home Office</x:v>
      </x:c>
      <x:c r="F5324" t="str">
        <x:v>South</x:v>
      </x:c>
      <x:c r="G5324" t="str">
        <x:v>Office Supplies</x:v>
      </x:c>
      <x:c r="H5324" t="str">
        <x:v>Binders</x:v>
      </x:c>
      <x:c r="I5324" s="22" t="n">
        <x:v>27.360000000000003</x:v>
      </x:c>
      <x:c r="J5324" s="24" t="n">
        <x:v>3</x:v>
      </x:c>
      <x:c r="K5324" s="26" t="n">
        <x:v>0.7</x:v>
      </x:c>
      <x:c r="L5324" s="22" t="n">
        <x:v>-21.88799999999999</x:v>
      </x:c>
      <x:c r="M5324" t="n">
        <x:v>2017</x:v>
      </x:c>
      <x:c r="N5324" s="20" t="n">
        <x:v>43009</x:v>
      </x:c>
    </x:row>
    <x:row r="5325" ht="18" customHeight="1">
      <x:c r="A5325" t="str">
        <x:v>US-2017-162558</x:v>
      </x:c>
      <x:c r="B5325" s="18" t="n">
        <x:v>43010</x:v>
      </x:c>
      <x:c r="C5325" t="str">
        <x:v>Dp-13240</x:v>
      </x:c>
      <x:c r="D5325" t="str">
        <x:v>Dean percer</x:v>
      </x:c>
      <x:c r="E5325" t="str">
        <x:v>Home Office</x:v>
      </x:c>
      <x:c r="F5325" t="str">
        <x:v>South</x:v>
      </x:c>
      <x:c r="G5325" t="str">
        <x:v>Furniture</x:v>
      </x:c>
      <x:c r="H5325" t="str">
        <x:v>Tables</x:v>
      </x:c>
      <x:c r="I5325" s="22" t="n">
        <x:v>2314.116</x:v>
      </x:c>
      <x:c r="J5325" s="24" t="n">
        <x:v>7</x:v>
      </x:c>
      <x:c r="K5325" s="26" t="n">
        <x:v>0.4</x:v>
      </x:c>
      <x:c r="L5325" s="22" t="n">
        <x:v>-1002.7836000000001</x:v>
      </x:c>
      <x:c r="M5325" t="n">
        <x:v>2017</x:v>
      </x:c>
      <x:c r="N5325" s="20" t="n">
        <x:v>43009</x:v>
      </x:c>
    </x:row>
    <x:row r="5326" ht="18" customHeight="1">
      <x:c r="A5326" t="str">
        <x:v>US-2017-162558</x:v>
      </x:c>
      <x:c r="B5326" s="18" t="n">
        <x:v>43010</x:v>
      </x:c>
      <x:c r="C5326" t="str">
        <x:v>Dp-13240</x:v>
      </x:c>
      <x:c r="D5326" t="str">
        <x:v>Dean percer</x:v>
      </x:c>
      <x:c r="E5326" t="str">
        <x:v>Home Office</x:v>
      </x:c>
      <x:c r="F5326" t="str">
        <x:v>South</x:v>
      </x:c>
      <x:c r="G5326" t="str">
        <x:v>Office Supplies</x:v>
      </x:c>
      <x:c r="H5326" t="str">
        <x:v>Binders</x:v>
      </x:c>
      <x:c r="I5326" s="22" t="n">
        <x:v>34.236000000000004</x:v>
      </x:c>
      <x:c r="J5326" s="24" t="n">
        <x:v>4</x:v>
      </x:c>
      <x:c r="K5326" s="26" t="n">
        <x:v>0.7</x:v>
      </x:c>
      <x:c r="L5326" s="22" t="n">
        <x:v>-26.2476</x:v>
      </x:c>
      <x:c r="M5326" t="n">
        <x:v>2017</x:v>
      </x:c>
      <x:c r="N5326" s="20" t="n">
        <x:v>43009</x:v>
      </x:c>
    </x:row>
    <x:row r="5327" ht="18" customHeight="1">
      <x:c r="A5327" t="str">
        <x:v>US-2017-162558</x:v>
      </x:c>
      <x:c r="B5327" s="18" t="n">
        <x:v>43010</x:v>
      </x:c>
      <x:c r="C5327" t="str">
        <x:v>Dp-13240</x:v>
      </x:c>
      <x:c r="D5327" t="str">
        <x:v>Dean percer</x:v>
      </x:c>
      <x:c r="E5327" t="str">
        <x:v>Home Office</x:v>
      </x:c>
      <x:c r="F5327" t="str">
        <x:v>South</x:v>
      </x:c>
      <x:c r="G5327" t="str">
        <x:v>Furniture</x:v>
      </x:c>
      <x:c r="H5327" t="str">
        <x:v>Furnishings</x:v>
      </x:c>
      <x:c r="I5327" s="22" t="n">
        <x:v>19.76</x:v>
      </x:c>
      <x:c r="J5327" s="24" t="n">
        <x:v>2</x:v>
      </x:c>
      <x:c r="K5327" s="26" t="n">
        <x:v>0.2</x:v>
      </x:c>
      <x:c r="L5327" s="22" t="n">
        <x:v>5.928</x:v>
      </x:c>
      <x:c r="M5327" t="n">
        <x:v>2017</x:v>
      </x:c>
      <x:c r="N5327" s="20" t="n">
        <x:v>43009</x:v>
      </x:c>
    </x:row>
    <x:row r="5328" ht="18" customHeight="1">
      <x:c r="A5328" t="str">
        <x:v>CA-2017-134439</x:v>
      </x:c>
      <x:c r="B5328" s="18" t="n">
        <x:v>42996</x:v>
      </x:c>
      <x:c r="C5328" t="str">
        <x:v>TM-21010</x:v>
      </x:c>
      <x:c r="D5328" t="str">
        <x:v>Tamara Manning</x:v>
      </x:c>
      <x:c r="E5328" t="str">
        <x:v>Consumer</x:v>
      </x:c>
      <x:c r="F5328" t="str">
        <x:v>Central</x:v>
      </x:c>
      <x:c r="G5328" t="str">
        <x:v>Office Supplies</x:v>
      </x:c>
      <x:c r="H5328" t="str">
        <x:v>Paper</x:v>
      </x:c>
      <x:c r="I5328" s="22" t="n">
        <x:v>15.96</x:v>
      </x:c>
      <x:c r="J5328" s="24" t="n">
        <x:v>2</x:v>
      </x:c>
      <x:c r="K5328" s="26" t="n">
        <x:v>0</x:v>
      </x:c>
      <x:c r="L5328" s="22" t="n">
        <x:v>7.98</x:v>
      </x:c>
      <x:c r="M5328" t="n">
        <x:v>2017</x:v>
      </x:c>
      <x:c r="N5328" s="20" t="n">
        <x:v>42979</x:v>
      </x:c>
    </x:row>
    <x:row r="5329" ht="18" customHeight="1">
      <x:c r="A5329" t="str">
        <x:v>CA-2015-119508</x:v>
      </x:c>
      <x:c r="B5329" s="18" t="n">
        <x:v>42342</x:v>
      </x:c>
      <x:c r="C5329" t="str">
        <x:v>TZ-21580</x:v>
      </x:c>
      <x:c r="D5329" t="str">
        <x:v>Tracy Zic</x:v>
      </x:c>
      <x:c r="E5329" t="str">
        <x:v>Consumer</x:v>
      </x:c>
      <x:c r="F5329" t="str">
        <x:v>West</x:v>
      </x:c>
      <x:c r="G5329" t="str">
        <x:v>Office Supplies</x:v>
      </x:c>
      <x:c r="H5329" t="str">
        <x:v>Art</x:v>
      </x:c>
      <x:c r="I5329" s="22" t="n">
        <x:v>16.9</x:v>
      </x:c>
      <x:c r="J5329" s="24" t="n">
        <x:v>5</x:v>
      </x:c>
      <x:c r="K5329" s="26" t="n">
        <x:v>0</x:v>
      </x:c>
      <x:c r="L5329" s="22" t="n">
        <x:v>6.253</x:v>
      </x:c>
      <x:c r="M5329" t="n">
        <x:v>2015</x:v>
      </x:c>
      <x:c r="N5329" s="20" t="n">
        <x:v>42339</x:v>
      </x:c>
    </x:row>
    <x:row r="5330" ht="18" customHeight="1">
      <x:c r="A5330" t="str">
        <x:v>CA-2015-119508</x:v>
      </x:c>
      <x:c r="B5330" s="18" t="n">
        <x:v>42342</x:v>
      </x:c>
      <x:c r="C5330" t="str">
        <x:v>TZ-21580</x:v>
      </x:c>
      <x:c r="D5330" t="str">
        <x:v>Tracy Zic</x:v>
      </x:c>
      <x:c r="E5330" t="str">
        <x:v>Consumer</x:v>
      </x:c>
      <x:c r="F5330" t="str">
        <x:v>West</x:v>
      </x:c>
      <x:c r="G5330" t="str">
        <x:v>Furniture</x:v>
      </x:c>
      <x:c r="H5330" t="str">
        <x:v>Furnishings</x:v>
      </x:c>
      <x:c r="I5330" s="22" t="n">
        <x:v>25.08</x:v>
      </x:c>
      <x:c r="J5330" s="24" t="n">
        <x:v>6</x:v>
      </x:c>
      <x:c r="K5330" s="26" t="n">
        <x:v>0</x:v>
      </x:c>
      <x:c r="L5330" s="22" t="n">
        <x:v>9.0288</x:v>
      </x:c>
      <x:c r="M5330" t="n">
        <x:v>2015</x:v>
      </x:c>
      <x:c r="N5330" s="20" t="n">
        <x:v>42339</x:v>
      </x:c>
    </x:row>
    <x:row r="5331" ht="18" customHeight="1">
      <x:c r="A5331" t="str">
        <x:v>CA-2015-152681</x:v>
      </x:c>
      <x:c r="B5331" s="18" t="n">
        <x:v>42021</x:v>
      </x:c>
      <x:c r="C5331" t="str">
        <x:v>SC-20260</x:v>
      </x:c>
      <x:c r="D5331" t="str">
        <x:v>Scott Cohen</x:v>
      </x:c>
      <x:c r="E5331" t="str">
        <x:v>Corporate</x:v>
      </x:c>
      <x:c r="F5331" t="str">
        <x:v>East</x:v>
      </x:c>
      <x:c r="G5331" t="str">
        <x:v>Office Supplies</x:v>
      </x:c>
      <x:c r="H5331" t="str">
        <x:v>Art</x:v>
      </x:c>
      <x:c r="I5331" s="22" t="n">
        <x:v>6.68</x:v>
      </x:c>
      <x:c r="J5331" s="24" t="n">
        <x:v>2</x:v>
      </x:c>
      <x:c r="K5331" s="26" t="n">
        <x:v>0</x:v>
      </x:c>
      <x:c r="L5331" s="22" t="n">
        <x:v>2.0039999999999996</x:v>
      </x:c>
      <x:c r="M5331" t="n">
        <x:v>2015</x:v>
      </x:c>
      <x:c r="N5331" s="20" t="n">
        <x:v>42005</x:v>
      </x:c>
    </x:row>
    <x:row r="5332" ht="18" customHeight="1">
      <x:c r="A5332" t="str">
        <x:v>CA-2014-130813</x:v>
      </x:c>
      <x:c r="B5332" s="18" t="n">
        <x:v>41645</x:v>
      </x:c>
      <x:c r="C5332" t="str">
        <x:v>LS-17230</x:v>
      </x:c>
      <x:c r="D5332" t="str">
        <x:v>Lycoris Saunders</x:v>
      </x:c>
      <x:c r="E5332" t="str">
        <x:v>Consumer</x:v>
      </x:c>
      <x:c r="F5332" t="str">
        <x:v>West</x:v>
      </x:c>
      <x:c r="G5332" t="str">
        <x:v>Office Supplies</x:v>
      </x:c>
      <x:c r="H5332" t="str">
        <x:v>Paper</x:v>
      </x:c>
      <x:c r="I5332" s="22" t="n">
        <x:v>19.44</x:v>
      </x:c>
      <x:c r="J5332" s="24" t="n">
        <x:v>3</x:v>
      </x:c>
      <x:c r="K5332" s="26" t="n">
        <x:v>0</x:v>
      </x:c>
      <x:c r="L5332" s="22" t="n">
        <x:v>9.3312</x:v>
      </x:c>
      <x:c r="M5332" t="n">
        <x:v>2014</x:v>
      </x:c>
      <x:c r="N5332" s="20" t="n">
        <x:v>41640</x:v>
      </x:c>
    </x:row>
    <x:row r="5333" ht="18" customHeight="1">
      <x:c r="A5333" t="str">
        <x:v>CA-2015-120320</x:v>
      </x:c>
      <x:c r="B5333" s="18" t="n">
        <x:v>42068</x:v>
      </x:c>
      <x:c r="C5333" t="str">
        <x:v>MV-18190</x:v>
      </x:c>
      <x:c r="D5333" t="str">
        <x:v>Mike Vittorini</x:v>
      </x:c>
      <x:c r="E5333" t="str">
        <x:v>Consumer</x:v>
      </x:c>
      <x:c r="F5333" t="str">
        <x:v>Central</x:v>
      </x:c>
      <x:c r="G5333" t="str">
        <x:v>Technology</x:v>
      </x:c>
      <x:c r="H5333" t="str">
        <x:v>Phones</x:v>
      </x:c>
      <x:c r="I5333" s="22" t="n">
        <x:v>31.92</x:v>
      </x:c>
      <x:c r="J5333" s="24" t="n">
        <x:v>2</x:v>
      </x:c>
      <x:c r="K5333" s="26" t="n">
        <x:v>0.2</x:v>
      </x:c>
      <x:c r="L5333" s="22" t="n">
        <x:v>2.3939999999999984</x:v>
      </x:c>
      <x:c r="M5333" t="n">
        <x:v>2015</x:v>
      </x:c>
      <x:c r="N5333" s="20" t="n">
        <x:v>42064</x:v>
      </x:c>
    </x:row>
    <x:row r="5334" ht="18" customHeight="1">
      <x:c r="A5334" t="str">
        <x:v>CA-2016-111941</x:v>
      </x:c>
      <x:c r="B5334" s="18" t="n">
        <x:v>42729</x:v>
      </x:c>
      <x:c r="C5334" t="str">
        <x:v>BD-11620</x:v>
      </x:c>
      <x:c r="D5334" t="str">
        <x:v>Brian DeCherney</x:v>
      </x:c>
      <x:c r="E5334" t="str">
        <x:v>Consumer</x:v>
      </x:c>
      <x:c r="F5334" t="str">
        <x:v>East</x:v>
      </x:c>
      <x:c r="G5334" t="str">
        <x:v>Office Supplies</x:v>
      </x:c>
      <x:c r="H5334" t="str">
        <x:v>Binders</x:v>
      </x:c>
      <x:c r="I5334" s="22" t="n">
        <x:v>33.568000000000005</x:v>
      </x:c>
      <x:c r="J5334" s="24" t="n">
        <x:v>2</x:v>
      </x:c>
      <x:c r="K5334" s="26" t="n">
        <x:v>0.2</x:v>
      </x:c>
      <x:c r="L5334" s="22" t="n">
        <x:v>11.748799999999997</x:v>
      </x:c>
      <x:c r="M5334" t="n">
        <x:v>2016</x:v>
      </x:c>
      <x:c r="N5334" s="20" t="n">
        <x:v>42705</x:v>
      </x:c>
    </x:row>
    <x:row r="5335" ht="18" customHeight="1">
      <x:c r="A5335" t="str">
        <x:v>CA-2016-123120</x:v>
      </x:c>
      <x:c r="B5335" s="18" t="n">
        <x:v>42617</x:v>
      </x:c>
      <x:c r="C5335" t="str">
        <x:v>CV-12295</x:v>
      </x:c>
      <x:c r="D5335" t="str">
        <x:v>Christina VanderZanden</x:v>
      </x:c>
      <x:c r="E5335" t="str">
        <x:v>Consumer</x:v>
      </x:c>
      <x:c r="F5335" t="str">
        <x:v>East</x:v>
      </x:c>
      <x:c r="G5335" t="str">
        <x:v>Furniture</x:v>
      </x:c>
      <x:c r="H5335" t="str">
        <x:v>Furnishings</x:v>
      </x:c>
      <x:c r="I5335" s="22" t="n">
        <x:v>63.94</x:v>
      </x:c>
      <x:c r="J5335" s="24" t="n">
        <x:v>1</x:v>
      </x:c>
      <x:c r="K5335" s="26" t="n">
        <x:v>0</x:v>
      </x:c>
      <x:c r="L5335" s="22" t="n">
        <x:v>24.9366</x:v>
      </x:c>
      <x:c r="M5335" t="n">
        <x:v>2016</x:v>
      </x:c>
      <x:c r="N5335" s="20" t="n">
        <x:v>42614</x:v>
      </x:c>
    </x:row>
    <x:row r="5336" ht="18" customHeight="1">
      <x:c r="A5336" t="str">
        <x:v>CA-2016-123120</x:v>
      </x:c>
      <x:c r="B5336" s="18" t="n">
        <x:v>42617</x:v>
      </x:c>
      <x:c r="C5336" t="str">
        <x:v>CV-12295</x:v>
      </x:c>
      <x:c r="D5336" t="str">
        <x:v>Christina VanderZanden</x:v>
      </x:c>
      <x:c r="E5336" t="str">
        <x:v>Consumer</x:v>
      </x:c>
      <x:c r="F5336" t="str">
        <x:v>East</x:v>
      </x:c>
      <x:c r="G5336" t="str">
        <x:v>Office Supplies</x:v>
      </x:c>
      <x:c r="H5336" t="str">
        <x:v>Binders</x:v>
      </x:c>
      <x:c r="I5336" s="22" t="n">
        <x:v>60.60000000000001</x:v>
      </x:c>
      <x:c r="J5336" s="24" t="n">
        <x:v>5</x:v>
      </x:c>
      <x:c r="K5336" s="26" t="n">
        <x:v>0.2</x:v>
      </x:c>
      <x:c r="L5336" s="22" t="n">
        <x:v>20.452499999999997</x:v>
      </x:c>
      <x:c r="M5336" t="n">
        <x:v>2016</x:v>
      </x:c>
      <x:c r="N5336" s="20" t="n">
        <x:v>42614</x:v>
      </x:c>
    </x:row>
    <x:row r="5337" ht="18" customHeight="1">
      <x:c r="A5337" t="str">
        <x:v>CA-2016-123120</x:v>
      </x:c>
      <x:c r="B5337" s="18" t="n">
        <x:v>42617</x:v>
      </x:c>
      <x:c r="C5337" t="str">
        <x:v>CV-12295</x:v>
      </x:c>
      <x:c r="D5337" t="str">
        <x:v>Christina VanderZanden</x:v>
      </x:c>
      <x:c r="E5337" t="str">
        <x:v>Consumer</x:v>
      </x:c>
      <x:c r="F5337" t="str">
        <x:v>East</x:v>
      </x:c>
      <x:c r="G5337" t="str">
        <x:v>Office Supplies</x:v>
      </x:c>
      <x:c r="H5337" t="str">
        <x:v>Supplies</x:v>
      </x:c>
      <x:c r="I5337" s="22" t="n">
        <x:v>22.72</x:v>
      </x:c>
      <x:c r="J5337" s="24" t="n">
        <x:v>4</x:v>
      </x:c>
      <x:c r="K5337" s="26" t="n">
        <x:v>0</x:v>
      </x:c>
      <x:c r="L5337" s="22" t="n">
        <x:v>6.588799999999999</x:v>
      </x:c>
      <x:c r="M5337" t="n">
        <x:v>2016</x:v>
      </x:c>
      <x:c r="N5337" s="20" t="n">
        <x:v>42614</x:v>
      </x:c>
    </x:row>
    <x:row r="5338" ht="18" customHeight="1">
      <x:c r="A5338" t="str">
        <x:v>CA-2014-103331</x:v>
      </x:c>
      <x:c r="B5338" s="18" t="n">
        <x:v>41877</x:v>
      </x:c>
      <x:c r="C5338" t="str">
        <x:v>KB-16315</x:v>
      </x:c>
      <x:c r="D5338" t="str">
        <x:v>Karl Braun</x:v>
      </x:c>
      <x:c r="E5338" t="str">
        <x:v>Consumer</x:v>
      </x:c>
      <x:c r="F5338" t="str">
        <x:v>East</x:v>
      </x:c>
      <x:c r="G5338" t="str">
        <x:v>Furniture</x:v>
      </x:c>
      <x:c r="H5338" t="str">
        <x:v>Furnishings</x:v>
      </x:c>
      <x:c r="I5338" s="22" t="n">
        <x:v>10.68</x:v>
      </x:c>
      <x:c r="J5338" s="24" t="n">
        <x:v>4</x:v>
      </x:c>
      <x:c r="K5338" s="26" t="n">
        <x:v>0</x:v>
      </x:c>
      <x:c r="L5338" s="22" t="n">
        <x:v>4.0584</x:v>
      </x:c>
      <x:c r="M5338" t="n">
        <x:v>2014</x:v>
      </x:c>
      <x:c r="N5338" s="20" t="n">
        <x:v>41852</x:v>
      </x:c>
    </x:row>
    <x:row r="5339" ht="18" customHeight="1">
      <x:c r="A5339" t="str">
        <x:v>CA-2014-103331</x:v>
      </x:c>
      <x:c r="B5339" s="18" t="n">
        <x:v>41877</x:v>
      </x:c>
      <x:c r="C5339" t="str">
        <x:v>KB-16315</x:v>
      </x:c>
      <x:c r="D5339" t="str">
        <x:v>Karl Braun</x:v>
      </x:c>
      <x:c r="E5339" t="str">
        <x:v>Consumer</x:v>
      </x:c>
      <x:c r="F5339" t="str">
        <x:v>East</x:v>
      </x:c>
      <x:c r="G5339" t="str">
        <x:v>Office Supplies</x:v>
      </x:c>
      <x:c r="H5339" t="str">
        <x:v>Paper</x:v>
      </x:c>
      <x:c r="I5339" s="22" t="n">
        <x:v>17.34</x:v>
      </x:c>
      <x:c r="J5339" s="24" t="n">
        <x:v>3</x:v>
      </x:c>
      <x:c r="K5339" s="26" t="n">
        <x:v>0</x:v>
      </x:c>
      <x:c r="L5339" s="22" t="n">
        <x:v>8.4966</x:v>
      </x:c>
      <x:c r="M5339" t="n">
        <x:v>2014</x:v>
      </x:c>
      <x:c r="N5339" s="20" t="n">
        <x:v>41852</x:v>
      </x:c>
    </x:row>
    <x:row r="5340" ht="18" customHeight="1">
      <x:c r="A5340" t="str">
        <x:v>CA-2014-103331</x:v>
      </x:c>
      <x:c r="B5340" s="18" t="n">
        <x:v>41877</x:v>
      </x:c>
      <x:c r="C5340" t="str">
        <x:v>KB-16315</x:v>
      </x:c>
      <x:c r="D5340" t="str">
        <x:v>Karl Braun</x:v>
      </x:c>
      <x:c r="E5340" t="str">
        <x:v>Consumer</x:v>
      </x:c>
      <x:c r="F5340" t="str">
        <x:v>East</x:v>
      </x:c>
      <x:c r="G5340" t="str">
        <x:v>Office Supplies</x:v>
      </x:c>
      <x:c r="H5340" t="str">
        <x:v>Paper</x:v>
      </x:c>
      <x:c r="I5340" s="22" t="n">
        <x:v>3.38</x:v>
      </x:c>
      <x:c r="J5340" s="24" t="n">
        <x:v>1</x:v>
      </x:c>
      <x:c r="K5340" s="26" t="n">
        <x:v>0</x:v>
      </x:c>
      <x:c r="L5340" s="22" t="n">
        <x:v>1.5547999999999997</x:v>
      </x:c>
      <x:c r="M5340" t="n">
        <x:v>2014</x:v>
      </x:c>
      <x:c r="N5340" s="20" t="n">
        <x:v>41852</x:v>
      </x:c>
    </x:row>
    <x:row r="5341" ht="18" customHeight="1">
      <x:c r="A5341" t="str">
        <x:v>CA-2015-169278</x:v>
      </x:c>
      <x:c r="B5341" s="18" t="n">
        <x:v>42145</x:v>
      </x:c>
      <x:c r="C5341" t="str">
        <x:v>ME-18010</x:v>
      </x:c>
      <x:c r="D5341" t="str">
        <x:v>Michelle Ellison</x:v>
      </x:c>
      <x:c r="E5341" t="str">
        <x:v>Corporate</x:v>
      </x:c>
      <x:c r="F5341" t="str">
        <x:v>West</x:v>
      </x:c>
      <x:c r="G5341" t="str">
        <x:v>Office Supplies</x:v>
      </x:c>
      <x:c r="H5341" t="str">
        <x:v>Binders</x:v>
      </x:c>
      <x:c r="I5341" s="22" t="n">
        <x:v>26.976</x:v>
      </x:c>
      <x:c r="J5341" s="24" t="n">
        <x:v>4</x:v>
      </x:c>
      <x:c r="K5341" s="26" t="n">
        <x:v>0.2</x:v>
      </x:c>
      <x:c r="L5341" s="22" t="n">
        <x:v>8.767199999999999</x:v>
      </x:c>
      <x:c r="M5341" t="n">
        <x:v>2015</x:v>
      </x:c>
      <x:c r="N5341" s="20" t="n">
        <x:v>42125</x:v>
      </x:c>
    </x:row>
    <x:row r="5342" ht="18" customHeight="1">
      <x:c r="A5342" t="str">
        <x:v>CA-2017-111577</x:v>
      </x:c>
      <x:c r="B5342" s="18" t="n">
        <x:v>43024</x:v>
      </x:c>
      <x:c r="C5342" t="str">
        <x:v>AJ-10780</x:v>
      </x:c>
      <x:c r="D5342" t="str">
        <x:v>Anthony Jacobs</x:v>
      </x:c>
      <x:c r="E5342" t="str">
        <x:v>Corporate</x:v>
      </x:c>
      <x:c r="F5342" t="str">
        <x:v>West</x:v>
      </x:c>
      <x:c r="G5342" t="str">
        <x:v>Office Supplies</x:v>
      </x:c>
      <x:c r="H5342" t="str">
        <x:v>Paper</x:v>
      </x:c>
      <x:c r="I5342" s="22" t="n">
        <x:v>307.776</x:v>
      </x:c>
      <x:c r="J5342" s="24" t="n">
        <x:v>7</x:v>
      </x:c>
      <x:c r="K5342" s="26" t="n">
        <x:v>0.2</x:v>
      </x:c>
      <x:c r="L5342" s="22" t="n">
        <x:v>111.5688</x:v>
      </x:c>
      <x:c r="M5342" t="n">
        <x:v>2017</x:v>
      </x:c>
      <x:c r="N5342" s="20" t="n">
        <x:v>43009</x:v>
      </x:c>
    </x:row>
    <x:row r="5343" ht="18" customHeight="1">
      <x:c r="A5343" t="str">
        <x:v>CA-2015-146486</x:v>
      </x:c>
      <x:c r="B5343" s="18" t="n">
        <x:v>42317</x:v>
      </x:c>
      <x:c r="C5343" t="str">
        <x:v>DV-13465</x:v>
      </x:c>
      <x:c r="D5343" t="str">
        <x:v>Dianna Vittorini</x:v>
      </x:c>
      <x:c r="E5343" t="str">
        <x:v>Consumer</x:v>
      </x:c>
      <x:c r="F5343" t="str">
        <x:v>East</x:v>
      </x:c>
      <x:c r="G5343" t="str">
        <x:v>Office Supplies</x:v>
      </x:c>
      <x:c r="H5343" t="str">
        <x:v>Storage</x:v>
      </x:c>
      <x:c r="I5343" s="22" t="n">
        <x:v>244.54999999999998</x:v>
      </x:c>
      <x:c r="J5343" s="24" t="n">
        <x:v>5</x:v>
      </x:c>
      <x:c r="K5343" s="26" t="n">
        <x:v>0</x:v>
      </x:c>
      <x:c r="L5343" s="22" t="n">
        <x:v>4.891000000000005</x:v>
      </x:c>
      <x:c r="M5343" t="n">
        <x:v>2015</x:v>
      </x:c>
      <x:c r="N5343" s="20" t="n">
        <x:v>42309</x:v>
      </x:c>
    </x:row>
    <x:row r="5344" ht="18" customHeight="1">
      <x:c r="A5344" t="str">
        <x:v>CA-2015-146486</x:v>
      </x:c>
      <x:c r="B5344" s="18" t="n">
        <x:v>42317</x:v>
      </x:c>
      <x:c r="C5344" t="str">
        <x:v>DV-13465</x:v>
      </x:c>
      <x:c r="D5344" t="str">
        <x:v>Dianna Vittorini</x:v>
      </x:c>
      <x:c r="E5344" t="str">
        <x:v>Consumer</x:v>
      </x:c>
      <x:c r="F5344" t="str">
        <x:v>East</x:v>
      </x:c>
      <x:c r="G5344" t="str">
        <x:v>Office Supplies</x:v>
      </x:c>
      <x:c r="H5344" t="str">
        <x:v>Envelopes</x:v>
      </x:c>
      <x:c r="I5344" s="22" t="n">
        <x:v>12.24</x:v>
      </x:c>
      <x:c r="J5344" s="24" t="n">
        <x:v>6</x:v>
      </x:c>
      <x:c r="K5344" s="26" t="n">
        <x:v>0</x:v>
      </x:c>
      <x:c r="L5344" s="22" t="n">
        <x:v>5.752799999999999</x:v>
      </x:c>
      <x:c r="M5344" t="n">
        <x:v>2015</x:v>
      </x:c>
      <x:c r="N5344" s="20" t="n">
        <x:v>42309</x:v>
      </x:c>
    </x:row>
    <x:row r="5345" ht="18" customHeight="1">
      <x:c r="A5345" t="str">
        <x:v>CA-2015-146486</x:v>
      </x:c>
      <x:c r="B5345" s="18" t="n">
        <x:v>42317</x:v>
      </x:c>
      <x:c r="C5345" t="str">
        <x:v>DV-13465</x:v>
      </x:c>
      <x:c r="D5345" t="str">
        <x:v>Dianna Vittorini</x:v>
      </x:c>
      <x:c r="E5345" t="str">
        <x:v>Consumer</x:v>
      </x:c>
      <x:c r="F5345" t="str">
        <x:v>East</x:v>
      </x:c>
      <x:c r="G5345" t="str">
        <x:v>Technology</x:v>
      </x:c>
      <x:c r="H5345" t="str">
        <x:v>Accessories</x:v>
      </x:c>
      <x:c r="I5345" s="22" t="n">
        <x:v>13.98</x:v>
      </x:c>
      <x:c r="J5345" s="24" t="n">
        <x:v>2</x:v>
      </x:c>
      <x:c r="K5345" s="26" t="n">
        <x:v>0</x:v>
      </x:c>
      <x:c r="L5345" s="22" t="n">
        <x:v>6.011400000000001</x:v>
      </x:c>
      <x:c r="M5345" t="n">
        <x:v>2015</x:v>
      </x:c>
      <x:c r="N5345" s="20" t="n">
        <x:v>42309</x:v>
      </x:c>
    </x:row>
    <x:row r="5346" ht="18" customHeight="1">
      <x:c r="A5346" t="str">
        <x:v>CA-2015-146486</x:v>
      </x:c>
      <x:c r="B5346" s="18" t="n">
        <x:v>42317</x:v>
      </x:c>
      <x:c r="C5346" t="str">
        <x:v>DV-13465</x:v>
      </x:c>
      <x:c r="D5346" t="str">
        <x:v>Dianna Vittorini</x:v>
      </x:c>
      <x:c r="E5346" t="str">
        <x:v>Consumer</x:v>
      </x:c>
      <x:c r="F5346" t="str">
        <x:v>East</x:v>
      </x:c>
      <x:c r="G5346" t="str">
        <x:v>Technology</x:v>
      </x:c>
      <x:c r="H5346" t="str">
        <x:v>Accessories</x:v>
      </x:c>
      <x:c r="I5346" s="22" t="n">
        <x:v>899.95</x:v>
      </x:c>
      <x:c r="J5346" s="24" t="n">
        <x:v>5</x:v>
      </x:c>
      <x:c r="K5346" s="26" t="n">
        <x:v>0</x:v>
      </x:c>
      <x:c r="L5346" s="22" t="n">
        <x:v>53.99699999999996</x:v>
      </x:c>
      <x:c r="M5346" t="n">
        <x:v>2015</x:v>
      </x:c>
      <x:c r="N5346" s="20" t="n">
        <x:v>42309</x:v>
      </x:c>
    </x:row>
    <x:row r="5347" ht="18" customHeight="1">
      <x:c r="A5347" t="str">
        <x:v>US-2014-168501</x:v>
      </x:c>
      <x:c r="B5347" s="18" t="n">
        <x:v>41964</x:v>
      </x:c>
      <x:c r="C5347" t="str">
        <x:v>JK-15325</x:v>
      </x:c>
      <x:c r="D5347" t="str">
        <x:v>Jason Klamczynski</x:v>
      </x:c>
      <x:c r="E5347" t="str">
        <x:v>Corporate</x:v>
      </x:c>
      <x:c r="F5347" t="str">
        <x:v>Central</x:v>
      </x:c>
      <x:c r="G5347" t="str">
        <x:v>Office Supplies</x:v>
      </x:c>
      <x:c r="H5347" t="str">
        <x:v>Envelopes</x:v>
      </x:c>
      <x:c r="I5347" s="22" t="n">
        <x:v>1.6320000000000001</x:v>
      </x:c>
      <x:c r="J5347" s="24" t="n">
        <x:v>1</x:v>
      </x:c>
      <x:c r="K5347" s="26" t="n">
        <x:v>0.2</x:v>
      </x:c>
      <x:c r="L5347" s="22" t="n">
        <x:v>0.5507999999999998</x:v>
      </x:c>
      <x:c r="M5347" t="n">
        <x:v>2014</x:v>
      </x:c>
      <x:c r="N5347" s="20" t="n">
        <x:v>41944</x:v>
      </x:c>
    </x:row>
    <x:row r="5348" ht="18" customHeight="1">
      <x:c r="A5348" t="str">
        <x:v>US-2014-168501</x:v>
      </x:c>
      <x:c r="B5348" s="18" t="n">
        <x:v>41964</x:v>
      </x:c>
      <x:c r="C5348" t="str">
        <x:v>JK-15325</x:v>
      </x:c>
      <x:c r="D5348" t="str">
        <x:v>Jason Klamczynski</x:v>
      </x:c>
      <x:c r="E5348" t="str">
        <x:v>Corporate</x:v>
      </x:c>
      <x:c r="F5348" t="str">
        <x:v>Central</x:v>
      </x:c>
      <x:c r="G5348" t="str">
        <x:v>Technology</x:v>
      </x:c>
      <x:c r="H5348" t="str">
        <x:v>Phones</x:v>
      </x:c>
      <x:c r="I5348" s="22" t="n">
        <x:v>267.96</x:v>
      </x:c>
      <x:c r="J5348" s="24" t="n">
        <x:v>5</x:v>
      </x:c>
      <x:c r="K5348" s="26" t="n">
        <x:v>0.2</x:v>
      </x:c>
      <x:c r="L5348" s="22" t="n">
        <x:v>16.747500000000016</x:v>
      </x:c>
      <x:c r="M5348" t="n">
        <x:v>2014</x:v>
      </x:c>
      <x:c r="N5348" s="20" t="n">
        <x:v>41944</x:v>
      </x:c>
    </x:row>
    <x:row r="5349" ht="18" customHeight="1">
      <x:c r="A5349" t="str">
        <x:v>CA-2015-112053</x:v>
      </x:c>
      <x:c r="B5349" s="18" t="n">
        <x:v>42288</x:v>
      </x:c>
      <x:c r="C5349" t="str">
        <x:v>SH-20395</x:v>
      </x:c>
      <x:c r="D5349" t="str">
        <x:v>Shahid Hopkins</x:v>
      </x:c>
      <x:c r="E5349" t="str">
        <x:v>Consumer</x:v>
      </x:c>
      <x:c r="F5349" t="str">
        <x:v>East</x:v>
      </x:c>
      <x:c r="G5349" t="str">
        <x:v>Technology</x:v>
      </x:c>
      <x:c r="H5349" t="str">
        <x:v>Accessories</x:v>
      </x:c>
      <x:c r="I5349" s="22" t="n">
        <x:v>31.95</x:v>
      </x:c>
      <x:c r="J5349" s="24" t="n">
        <x:v>1</x:v>
      </x:c>
      <x:c r="K5349" s="26" t="n">
        <x:v>0</x:v>
      </x:c>
      <x:c r="L5349" s="22" t="n">
        <x:v>2.2364999999999995</x:v>
      </x:c>
      <x:c r="M5349" t="n">
        <x:v>2015</x:v>
      </x:c>
      <x:c r="N5349" s="20" t="n">
        <x:v>42278</x:v>
      </x:c>
    </x:row>
    <x:row r="5350" ht="18" customHeight="1">
      <x:c r="A5350" t="str">
        <x:v>CA-2017-108539</x:v>
      </x:c>
      <x:c r="B5350" s="18" t="n">
        <x:v>42815</x:v>
      </x:c>
      <x:c r="C5350" t="str">
        <x:v>SC-20725</x:v>
      </x:c>
      <x:c r="D5350" t="str">
        <x:v>Steven Cartwright</x:v>
      </x:c>
      <x:c r="E5350" t="str">
        <x:v>Consumer</x:v>
      </x:c>
      <x:c r="F5350" t="str">
        <x:v>West</x:v>
      </x:c>
      <x:c r="G5350" t="str">
        <x:v>Office Supplies</x:v>
      </x:c>
      <x:c r="H5350" t="str">
        <x:v>Storage</x:v>
      </x:c>
      <x:c r="I5350" s="22" t="n">
        <x:v>725.84</x:v>
      </x:c>
      <x:c r="J5350" s="24" t="n">
        <x:v>4</x:v>
      </x:c>
      <x:c r="K5350" s="26" t="n">
        <x:v>0</x:v>
      </x:c>
      <x:c r="L5350" s="22" t="n">
        <x:v>210.4935999999999</x:v>
      </x:c>
      <x:c r="M5350" t="n">
        <x:v>2017</x:v>
      </x:c>
      <x:c r="N5350" s="20" t="n">
        <x:v>42795</x:v>
      </x:c>
    </x:row>
    <x:row r="5351" ht="18" customHeight="1">
      <x:c r="A5351" t="str">
        <x:v>CA-2017-108539</x:v>
      </x:c>
      <x:c r="B5351" s="18" t="n">
        <x:v>42815</x:v>
      </x:c>
      <x:c r="C5351" t="str">
        <x:v>SC-20725</x:v>
      </x:c>
      <x:c r="D5351" t="str">
        <x:v>Steven Cartwright</x:v>
      </x:c>
      <x:c r="E5351" t="str">
        <x:v>Consumer</x:v>
      </x:c>
      <x:c r="F5351" t="str">
        <x:v>West</x:v>
      </x:c>
      <x:c r="G5351" t="str">
        <x:v>Office Supplies</x:v>
      </x:c>
      <x:c r="H5351" t="str">
        <x:v>Binders</x:v>
      </x:c>
      <x:c r="I5351" s="22" t="n">
        <x:v>10.896</x:v>
      </x:c>
      <x:c r="J5351" s="24" t="n">
        <x:v>3</x:v>
      </x:c>
      <x:c r="K5351" s="26" t="n">
        <x:v>0.2</x:v>
      </x:c>
      <x:c r="L5351" s="22" t="n">
        <x:v>3.9497999999999998</x:v>
      </x:c>
      <x:c r="M5351" t="n">
        <x:v>2017</x:v>
      </x:c>
      <x:c r="N5351" s="20" t="n">
        <x:v>42795</x:v>
      </x:c>
    </x:row>
    <x:row r="5352" ht="18" customHeight="1">
      <x:c r="A5352" t="str">
        <x:v>CA-2017-108539</x:v>
      </x:c>
      <x:c r="B5352" s="18" t="n">
        <x:v>42815</x:v>
      </x:c>
      <x:c r="C5352" t="str">
        <x:v>SC-20725</x:v>
      </x:c>
      <x:c r="D5352" t="str">
        <x:v>Steven Cartwright</x:v>
      </x:c>
      <x:c r="E5352" t="str">
        <x:v>Consumer</x:v>
      </x:c>
      <x:c r="F5352" t="str">
        <x:v>West</x:v>
      </x:c>
      <x:c r="G5352" t="str">
        <x:v>Office Supplies</x:v>
      </x:c>
      <x:c r="H5352" t="str">
        <x:v>Binders</x:v>
      </x:c>
      <x:c r="I5352" s="22" t="n">
        <x:v>8.544</x:v>
      </x:c>
      <x:c r="J5352" s="24" t="n">
        <x:v>2</x:v>
      </x:c>
      <x:c r="K5352" s="26" t="n">
        <x:v>0.2</x:v>
      </x:c>
      <x:c r="L5352" s="22" t="n">
        <x:v>2.8835999999999995</x:v>
      </x:c>
      <x:c r="M5352" t="n">
        <x:v>2017</x:v>
      </x:c>
      <x:c r="N5352" s="20" t="n">
        <x:v>42795</x:v>
      </x:c>
    </x:row>
    <x:row r="5353" ht="18" customHeight="1">
      <x:c r="A5353" t="str">
        <x:v>CA-2015-149811</x:v>
      </x:c>
      <x:c r="B5353" s="18" t="n">
        <x:v>42008</x:v>
      </x:c>
      <x:c r="C5353" t="str">
        <x:v>CS-12250</x:v>
      </x:c>
      <x:c r="D5353" t="str">
        <x:v>Chris Selesnick</x:v>
      </x:c>
      <x:c r="E5353" t="str">
        <x:v>Corporate</x:v>
      </x:c>
      <x:c r="F5353" t="str">
        <x:v>Central</x:v>
      </x:c>
      <x:c r="G5353" t="str">
        <x:v>Office Supplies</x:v>
      </x:c>
      <x:c r="H5353" t="str">
        <x:v>Binders</x:v>
      </x:c>
      <x:c r="I5353" s="22" t="n">
        <x:v>32.339999999999996</x:v>
      </x:c>
      <x:c r="J5353" s="24" t="n">
        <x:v>3</x:v>
      </x:c>
      <x:c r="K5353" s="26" t="n">
        <x:v>0</x:v>
      </x:c>
      <x:c r="L5353" s="22" t="n">
        <x:v>15.5232</x:v>
      </x:c>
      <x:c r="M5353" t="n">
        <x:v>2015</x:v>
      </x:c>
      <x:c r="N5353" s="20" t="n">
        <x:v>42005</x:v>
      </x:c>
    </x:row>
    <x:row r="5354" ht="18" customHeight="1">
      <x:c r="A5354" t="str">
        <x:v>CA-2015-149811</x:v>
      </x:c>
      <x:c r="B5354" s="18" t="n">
        <x:v>42008</x:v>
      </x:c>
      <x:c r="C5354" t="str">
        <x:v>CS-12250</x:v>
      </x:c>
      <x:c r="D5354" t="str">
        <x:v>Chris Selesnick</x:v>
      </x:c>
      <x:c r="E5354" t="str">
        <x:v>Corporate</x:v>
      </x:c>
      <x:c r="F5354" t="str">
        <x:v>Central</x:v>
      </x:c>
      <x:c r="G5354" t="str">
        <x:v>Office Supplies</x:v>
      </x:c>
      <x:c r="H5354" t="str">
        <x:v>Paper</x:v>
      </x:c>
      <x:c r="I5354" s="22" t="n">
        <x:v>39.900000000000006</x:v>
      </x:c>
      <x:c r="J5354" s="24" t="n">
        <x:v>5</x:v>
      </x:c>
      <x:c r="K5354" s="26" t="n">
        <x:v>0</x:v>
      </x:c>
      <x:c r="L5354" s="22" t="n">
        <x:v>19.950000000000003</x:v>
      </x:c>
      <x:c r="M5354" t="n">
        <x:v>2015</x:v>
      </x:c>
      <x:c r="N5354" s="20" t="n">
        <x:v>42005</x:v>
      </x:c>
    </x:row>
    <x:row r="5355" ht="18" customHeight="1">
      <x:c r="A5355" t="str">
        <x:v>US-2017-103814</x:v>
      </x:c>
      <x:c r="B5355" s="18" t="n">
        <x:v>43078</x:v>
      </x:c>
      <x:c r="C5355" t="str">
        <x:v>LH-16900</x:v>
      </x:c>
      <x:c r="D5355" t="str">
        <x:v>Lena Hernandez</x:v>
      </x:c>
      <x:c r="E5355" t="str">
        <x:v>Consumer</x:v>
      </x:c>
      <x:c r="F5355" t="str">
        <x:v>Central</x:v>
      </x:c>
      <x:c r="G5355" t="str">
        <x:v>Office Supplies</x:v>
      </x:c>
      <x:c r="H5355" t="str">
        <x:v>Paper</x:v>
      </x:c>
      <x:c r="I5355" s="22" t="n">
        <x:v>143.85600000000002</x:v>
      </x:c>
      <x:c r="J5355" s="24" t="n">
        <x:v>9</x:v>
      </x:c>
      <x:c r="K5355" s="26" t="n">
        <x:v>0.2</x:v>
      </x:c>
      <x:c r="L5355" s="22" t="n">
        <x:v>48.551399999999994</x:v>
      </x:c>
      <x:c r="M5355" t="n">
        <x:v>2017</x:v>
      </x:c>
      <x:c r="N5355" s="20" t="n">
        <x:v>43070</x:v>
      </x:c>
    </x:row>
    <x:row r="5356" ht="18" customHeight="1">
      <x:c r="A5356" t="str">
        <x:v>CA-2016-123932</x:v>
      </x:c>
      <x:c r="B5356" s="18" t="n">
        <x:v>42619</x:v>
      </x:c>
      <x:c r="C5356" t="str">
        <x:v>YC-21895</x:v>
      </x:c>
      <x:c r="D5356" t="str">
        <x:v>Yoseph Carroll</x:v>
      </x:c>
      <x:c r="E5356" t="str">
        <x:v>Corporate</x:v>
      </x:c>
      <x:c r="F5356" t="str">
        <x:v>Central</x:v>
      </x:c>
      <x:c r="G5356" t="str">
        <x:v>Office Supplies</x:v>
      </x:c>
      <x:c r="H5356" t="str">
        <x:v>Paper</x:v>
      </x:c>
      <x:c r="I5356" s="22" t="n">
        <x:v>41.92</x:v>
      </x:c>
      <x:c r="J5356" s="24" t="n">
        <x:v>4</x:v>
      </x:c>
      <x:c r="K5356" s="26" t="n">
        <x:v>0.2</x:v>
      </x:c>
      <x:c r="L5356" s="22" t="n">
        <x:v>15.195999999999998</x:v>
      </x:c>
      <x:c r="M5356" t="n">
        <x:v>2016</x:v>
      </x:c>
      <x:c r="N5356" s="20" t="n">
        <x:v>42614</x:v>
      </x:c>
    </x:row>
    <x:row r="5357" ht="18" customHeight="1">
      <x:c r="A5357" t="str">
        <x:v>CA-2016-123932</x:v>
      </x:c>
      <x:c r="B5357" s="18" t="n">
        <x:v>42619</x:v>
      </x:c>
      <x:c r="C5357" t="str">
        <x:v>YC-21895</x:v>
      </x:c>
      <x:c r="D5357" t="str">
        <x:v>Yoseph Carroll</x:v>
      </x:c>
      <x:c r="E5357" t="str">
        <x:v>Corporate</x:v>
      </x:c>
      <x:c r="F5357" t="str">
        <x:v>Central</x:v>
      </x:c>
      <x:c r="G5357" t="str">
        <x:v>Technology</x:v>
      </x:c>
      <x:c r="H5357" t="str">
        <x:v>Phones</x:v>
      </x:c>
      <x:c r="I5357" s="22" t="n">
        <x:v>329.58400000000006</x:v>
      </x:c>
      <x:c r="J5357" s="24" t="n">
        <x:v>2</x:v>
      </x:c>
      <x:c r="K5357" s="26" t="n">
        <x:v>0.2</x:v>
      </x:c>
      <x:c r="L5357" s="22" t="n">
        <x:v>37.07819999999998</x:v>
      </x:c>
      <x:c r="M5357" t="n">
        <x:v>2016</x:v>
      </x:c>
      <x:c r="N5357" s="20" t="n">
        <x:v>42614</x:v>
      </x:c>
    </x:row>
    <x:row r="5358" ht="18" customHeight="1">
      <x:c r="A5358" t="str">
        <x:v>US-2016-101616</x:v>
      </x:c>
      <x:c r="B5358" s="18" t="n">
        <x:v>42616</x:v>
      </x:c>
      <x:c r="C5358" t="str">
        <x:v>CY-12745</x:v>
      </x:c>
      <x:c r="D5358" t="str">
        <x:v>Craig Yedwab</x:v>
      </x:c>
      <x:c r="E5358" t="str">
        <x:v>Corporate</x:v>
      </x:c>
      <x:c r="F5358" t="str">
        <x:v>South</x:v>
      </x:c>
      <x:c r="G5358" t="str">
        <x:v>Office Supplies</x:v>
      </x:c>
      <x:c r="H5358" t="str">
        <x:v>Binders</x:v>
      </x:c>
      <x:c r="I5358" s="22" t="n">
        <x:v>87.28</x:v>
      </x:c>
      <x:c r="J5358" s="24" t="n">
        <x:v>8</x:v>
      </x:c>
      <x:c r="K5358" s="26" t="n">
        <x:v>0</x:v>
      </x:c>
      <x:c r="L5358" s="22" t="n">
        <x:v>41.0216</x:v>
      </x:c>
      <x:c r="M5358" t="n">
        <x:v>2016</x:v>
      </x:c>
      <x:c r="N5358" s="20" t="n">
        <x:v>42614</x:v>
      </x:c>
    </x:row>
    <x:row r="5359" ht="18" customHeight="1">
      <x:c r="A5359" t="str">
        <x:v>CA-2014-113768</x:v>
      </x:c>
      <x:c r="B5359" s="18" t="n">
        <x:v>41772</x:v>
      </x:c>
      <x:c r="C5359" t="str">
        <x:v>AH-10030</x:v>
      </x:c>
      <x:c r="D5359" t="str">
        <x:v>Aaron Hawkins</x:v>
      </x:c>
      <x:c r="E5359" t="str">
        <x:v>Corporate</x:v>
      </x:c>
      <x:c r="F5359" t="str">
        <x:v>West</x:v>
      </x:c>
      <x:c r="G5359" t="str">
        <x:v>Furniture</x:v>
      </x:c>
      <x:c r="H5359" t="str">
        <x:v>Chairs</x:v>
      </x:c>
      <x:c r="I5359" s="22" t="n">
        <x:v>279.456</x:v>
      </x:c>
      <x:c r="J5359" s="24" t="n">
        <x:v>6</x:v>
      </x:c>
      <x:c r="K5359" s="26" t="n">
        <x:v>0.2</x:v>
      </x:c>
      <x:c r="L5359" s="22" t="n">
        <x:v>20.959199999999996</x:v>
      </x:c>
      <x:c r="M5359" t="n">
        <x:v>2014</x:v>
      </x:c>
      <x:c r="N5359" s="20" t="n">
        <x:v>41760</x:v>
      </x:c>
    </x:row>
    <x:row r="5360" ht="18" customHeight="1">
      <x:c r="A5360" t="str">
        <x:v>CA-2014-113768</x:v>
      </x:c>
      <x:c r="B5360" s="18" t="n">
        <x:v>41772</x:v>
      </x:c>
      <x:c r="C5360" t="str">
        <x:v>AH-10030</x:v>
      </x:c>
      <x:c r="D5360" t="str">
        <x:v>Aaron Hawkins</x:v>
      </x:c>
      <x:c r="E5360" t="str">
        <x:v>Corporate</x:v>
      </x:c>
      <x:c r="F5360" t="str">
        <x:v>West</x:v>
      </x:c>
      <x:c r="G5360" t="str">
        <x:v>Office Supplies</x:v>
      </x:c>
      <x:c r="H5360" t="str">
        <x:v>Paper</x:v>
      </x:c>
      <x:c r="I5360" s="22" t="n">
        <x:v>8</x:v>
      </x:c>
      <x:c r="J5360" s="24" t="n">
        <x:v>2</x:v>
      </x:c>
      <x:c r="K5360" s="26" t="n">
        <x:v>0</x:v>
      </x:c>
      <x:c r="L5360" s="22" t="n">
        <x:v>3.84</x:v>
      </x:c>
      <x:c r="M5360" t="n">
        <x:v>2014</x:v>
      </x:c>
      <x:c r="N5360" s="20" t="n">
        <x:v>41760</x:v>
      </x:c>
    </x:row>
    <x:row r="5361" ht="18" customHeight="1">
      <x:c r="A5361" t="str">
        <x:v>CA-2016-138037</x:v>
      </x:c>
      <x:c r="B5361" s="18" t="n">
        <x:v>42642</x:v>
      </x:c>
      <x:c r="C5361" t="str">
        <x:v>AR-10540</x:v>
      </x:c>
      <x:c r="D5361" t="str">
        <x:v>Andy Reiter</x:v>
      </x:c>
      <x:c r="E5361" t="str">
        <x:v>Consumer</x:v>
      </x:c>
      <x:c r="F5361" t="str">
        <x:v>West</x:v>
      </x:c>
      <x:c r="G5361" t="str">
        <x:v>Office Supplies</x:v>
      </x:c>
      <x:c r="H5361" t="str">
        <x:v>Binders</x:v>
      </x:c>
      <x:c r="I5361" s="22" t="n">
        <x:v>27.240000000000002</x:v>
      </x:c>
      <x:c r="J5361" s="24" t="n">
        <x:v>5</x:v>
      </x:c>
      <x:c r="K5361" s="26" t="n">
        <x:v>0.2</x:v>
      </x:c>
      <x:c r="L5361" s="22" t="n">
        <x:v>9.533999999999997</x:v>
      </x:c>
      <x:c r="M5361" t="n">
        <x:v>2016</x:v>
      </x:c>
      <x:c r="N5361" s="20" t="n">
        <x:v>42614</x:v>
      </x:c>
    </x:row>
    <x:row r="5362" ht="18" customHeight="1">
      <x:c r="A5362" t="str">
        <x:v>CA-2014-150490</x:v>
      </x:c>
      <x:c r="B5362" s="18" t="n">
        <x:v>41856</x:v>
      </x:c>
      <x:c r="C5362" t="str">
        <x:v>SS-20590</x:v>
      </x:c>
      <x:c r="D5362" t="str">
        <x:v>Sonia Sunley</x:v>
      </x:c>
      <x:c r="E5362" t="str">
        <x:v>Consumer</x:v>
      </x:c>
      <x:c r="F5362" t="str">
        <x:v>West</x:v>
      </x:c>
      <x:c r="G5362" t="str">
        <x:v>Technology</x:v>
      </x:c>
      <x:c r="H5362" t="str">
        <x:v>Accessories</x:v>
      </x:c>
      <x:c r="I5362" s="22" t="n">
        <x:v>16.36</x:v>
      </x:c>
      <x:c r="J5362" s="24" t="n">
        <x:v>1</x:v>
      </x:c>
      <x:c r="K5362" s="26" t="n">
        <x:v>0</x:v>
      </x:c>
      <x:c r="L5362" s="22" t="n">
        <x:v>1.6359999999999992</x:v>
      </x:c>
      <x:c r="M5362" t="n">
        <x:v>2014</x:v>
      </x:c>
      <x:c r="N5362" s="20" t="n">
        <x:v>41852</x:v>
      </x:c>
    </x:row>
    <x:row r="5363" ht="18" customHeight="1">
      <x:c r="A5363" t="str">
        <x:v>CA-2014-150490</x:v>
      </x:c>
      <x:c r="B5363" s="18" t="n">
        <x:v>41856</x:v>
      </x:c>
      <x:c r="C5363" t="str">
        <x:v>SS-20590</x:v>
      </x:c>
      <x:c r="D5363" t="str">
        <x:v>Sonia Sunley</x:v>
      </x:c>
      <x:c r="E5363" t="str">
        <x:v>Consumer</x:v>
      </x:c>
      <x:c r="F5363" t="str">
        <x:v>West</x:v>
      </x:c>
      <x:c r="G5363" t="str">
        <x:v>Office Supplies</x:v>
      </x:c>
      <x:c r="H5363" t="str">
        <x:v>Storage</x:v>
      </x:c>
      <x:c r="I5363" s="22" t="n">
        <x:v>15.78</x:v>
      </x:c>
      <x:c r="J5363" s="24" t="n">
        <x:v>2</x:v>
      </x:c>
      <x:c r="K5363" s="26" t="n">
        <x:v>0</x:v>
      </x:c>
      <x:c r="L5363" s="22" t="n">
        <x:v>0.631199999999998</x:v>
      </x:c>
      <x:c r="M5363" t="n">
        <x:v>2014</x:v>
      </x:c>
      <x:c r="N5363" s="20" t="n">
        <x:v>41852</x:v>
      </x:c>
    </x:row>
    <x:row r="5364" ht="18" customHeight="1">
      <x:c r="A5364" t="str">
        <x:v>CA-2014-150490</x:v>
      </x:c>
      <x:c r="B5364" s="18" t="n">
        <x:v>41856</x:v>
      </x:c>
      <x:c r="C5364" t="str">
        <x:v>SS-20590</x:v>
      </x:c>
      <x:c r="D5364" t="str">
        <x:v>Sonia Sunley</x:v>
      </x:c>
      <x:c r="E5364" t="str">
        <x:v>Consumer</x:v>
      </x:c>
      <x:c r="F5364" t="str">
        <x:v>West</x:v>
      </x:c>
      <x:c r="G5364" t="str">
        <x:v>Office Supplies</x:v>
      </x:c>
      <x:c r="H5364" t="str">
        <x:v>Art</x:v>
      </x:c>
      <x:c r="I5364" s="22" t="n">
        <x:v>45.98</x:v>
      </x:c>
      <x:c r="J5364" s="24" t="n">
        <x:v>2</x:v>
      </x:c>
      <x:c r="K5364" s="26" t="n">
        <x:v>0</x:v>
      </x:c>
      <x:c r="L5364" s="22" t="n">
        <x:v>12.874400000000001</x:v>
      </x:c>
      <x:c r="M5364" t="n">
        <x:v>2014</x:v>
      </x:c>
      <x:c r="N5364" s="20" t="n">
        <x:v>41852</x:v>
      </x:c>
    </x:row>
    <x:row r="5365" ht="18" customHeight="1">
      <x:c r="A5365" t="str">
        <x:v>US-2017-126060</x:v>
      </x:c>
      <x:c r="B5365" s="18" t="n">
        <x:v>42839</x:v>
      </x:c>
      <x:c r="C5365" t="str">
        <x:v>DW-13585</x:v>
      </x:c>
      <x:c r="D5365" t="str">
        <x:v>Dorothy Wardle</x:v>
      </x:c>
      <x:c r="E5365" t="str">
        <x:v>Corporate</x:v>
      </x:c>
      <x:c r="F5365" t="str">
        <x:v>South</x:v>
      </x:c>
      <x:c r="G5365" t="str">
        <x:v>Furniture</x:v>
      </x:c>
      <x:c r="H5365" t="str">
        <x:v>Bookcases</x:v>
      </x:c>
      <x:c r="I5365" s="22" t="n">
        <x:v>198.27200000000002</x:v>
      </x:c>
      <x:c r="J5365" s="24" t="n">
        <x:v>8</x:v>
      </x:c>
      <x:c r="K5365" s="26" t="n">
        <x:v>0.2</x:v>
      </x:c>
      <x:c r="L5365" s="22" t="n">
        <x:v>-32.21920000000002</x:v>
      </x:c>
      <x:c r="M5365" t="n">
        <x:v>2017</x:v>
      </x:c>
      <x:c r="N5365" s="20" t="n">
        <x:v>42826</x:v>
      </x:c>
    </x:row>
    <x:row r="5366" ht="18" customHeight="1">
      <x:c r="A5366" t="str">
        <x:v>CA-2017-100951</x:v>
      </x:c>
      <x:c r="B5366" s="18" t="n">
        <x:v>42895</x:v>
      </x:c>
      <x:c r="C5366" t="str">
        <x:v>NC-18625</x:v>
      </x:c>
      <x:c r="D5366" t="str">
        <x:v>Noah Childs</x:v>
      </x:c>
      <x:c r="E5366" t="str">
        <x:v>Corporate</x:v>
      </x:c>
      <x:c r="F5366" t="str">
        <x:v>Central</x:v>
      </x:c>
      <x:c r="G5366" t="str">
        <x:v>Office Supplies</x:v>
      </x:c>
      <x:c r="H5366" t="str">
        <x:v>Storage</x:v>
      </x:c>
      <x:c r="I5366" s="22" t="n">
        <x:v>720.7600000000001</x:v>
      </x:c>
      <x:c r="J5366" s="24" t="n">
        <x:v>5</x:v>
      </x:c>
      <x:c r="K5366" s="26" t="n">
        <x:v>0.2</x:v>
      </x:c>
      <x:c r="L5366" s="22" t="n">
        <x:v>54.05699999999999</x:v>
      </x:c>
      <x:c r="M5366" t="n">
        <x:v>2017</x:v>
      </x:c>
      <x:c r="N5366" s="20" t="n">
        <x:v>42887</x:v>
      </x:c>
    </x:row>
    <x:row r="5367" ht="18" customHeight="1">
      <x:c r="A5367" t="str">
        <x:v>CA-2016-122017</x:v>
      </x:c>
      <x:c r="B5367" s="18" t="n">
        <x:v>42733</x:v>
      </x:c>
      <x:c r="C5367" t="str">
        <x:v>CD-11920</x:v>
      </x:c>
      <x:c r="D5367" t="str">
        <x:v>Carlos Daly</x:v>
      </x:c>
      <x:c r="E5367" t="str">
        <x:v>Consumer</x:v>
      </x:c>
      <x:c r="F5367" t="str">
        <x:v>Central</x:v>
      </x:c>
      <x:c r="G5367" t="str">
        <x:v>Furniture</x:v>
      </x:c>
      <x:c r="H5367" t="str">
        <x:v>Furnishings</x:v>
      </x:c>
      <x:c r="I5367" s="22" t="n">
        <x:v>70.56</x:v>
      </x:c>
      <x:c r="J5367" s="24" t="n">
        <x:v>6</x:v>
      </x:c>
      <x:c r="K5367" s="26" t="n">
        <x:v>0</x:v>
      </x:c>
      <x:c r="L5367" s="22" t="n">
        <x:v>23.990399999999994</x:v>
      </x:c>
      <x:c r="M5367" t="n">
        <x:v>2016</x:v>
      </x:c>
      <x:c r="N5367" s="20" t="n">
        <x:v>42705</x:v>
      </x:c>
    </x:row>
    <x:row r="5368" ht="18" customHeight="1">
      <x:c r="A5368" t="str">
        <x:v>CA-2016-122017</x:v>
      </x:c>
      <x:c r="B5368" s="18" t="n">
        <x:v>42733</x:v>
      </x:c>
      <x:c r="C5368" t="str">
        <x:v>CD-11920</x:v>
      </x:c>
      <x:c r="D5368" t="str">
        <x:v>Carlos Daly</x:v>
      </x:c>
      <x:c r="E5368" t="str">
        <x:v>Consumer</x:v>
      </x:c>
      <x:c r="F5368" t="str">
        <x:v>Central</x:v>
      </x:c>
      <x:c r="G5368" t="str">
        <x:v>Office Supplies</x:v>
      </x:c>
      <x:c r="H5368" t="str">
        <x:v>Appliances</x:v>
      </x:c>
      <x:c r="I5368" s="22" t="n">
        <x:v>81.96</x:v>
      </x:c>
      <x:c r="J5368" s="24" t="n">
        <x:v>2</x:v>
      </x:c>
      <x:c r="K5368" s="26" t="n">
        <x:v>0</x:v>
      </x:c>
      <x:c r="L5368" s="22" t="n">
        <x:v>22.9488</x:v>
      </x:c>
      <x:c r="M5368" t="n">
        <x:v>2016</x:v>
      </x:c>
      <x:c r="N5368" s="20" t="n">
        <x:v>42705</x:v>
      </x:c>
    </x:row>
    <x:row r="5369" ht="18" customHeight="1">
      <x:c r="A5369" t="str">
        <x:v>CA-2014-123477</x:v>
      </x:c>
      <x:c r="B5369" s="18" t="n">
        <x:v>41657</x:v>
      </x:c>
      <x:c r="C5369" t="str">
        <x:v>DW-13195</x:v>
      </x:c>
      <x:c r="D5369" t="str">
        <x:v>David Wiener</x:v>
      </x:c>
      <x:c r="E5369" t="str">
        <x:v>Corporate</x:v>
      </x:c>
      <x:c r="F5369" t="str">
        <x:v>West</x:v>
      </x:c>
      <x:c r="G5369" t="str">
        <x:v>Office Supplies</x:v>
      </x:c>
      <x:c r="H5369" t="str">
        <x:v>Appliances</x:v>
      </x:c>
      <x:c r="I5369" s="22" t="n">
        <x:v>64.864</x:v>
      </x:c>
      <x:c r="J5369" s="24" t="n">
        <x:v>4</x:v>
      </x:c>
      <x:c r="K5369" s="26" t="n">
        <x:v>0.2</x:v>
      </x:c>
      <x:c r="L5369" s="22" t="n">
        <x:v>6.486400000000003</x:v>
      </x:c>
      <x:c r="M5369" t="n">
        <x:v>2014</x:v>
      </x:c>
      <x:c r="N5369" s="20" t="n">
        <x:v>41640</x:v>
      </x:c>
    </x:row>
    <x:row r="5370" ht="18" customHeight="1">
      <x:c r="A5370" t="str">
        <x:v>CA-2016-107790</x:v>
      </x:c>
      <x:c r="B5370" s="18" t="n">
        <x:v>42694</x:v>
      </x:c>
      <x:c r="C5370" t="str">
        <x:v>EH-13990</x:v>
      </x:c>
      <x:c r="D5370" t="str">
        <x:v>Erica Hackney</x:v>
      </x:c>
      <x:c r="E5370" t="str">
        <x:v>Consumer</x:v>
      </x:c>
      <x:c r="F5370" t="str">
        <x:v>Central</x:v>
      </x:c>
      <x:c r="G5370" t="str">
        <x:v>Technology</x:v>
      </x:c>
      <x:c r="H5370" t="str">
        <x:v>Phones</x:v>
      </x:c>
      <x:c r="I5370" s="22" t="n">
        <x:v>151.192</x:v>
      </x:c>
      <x:c r="J5370" s="24" t="n">
        <x:v>1</x:v>
      </x:c>
      <x:c r="K5370" s="26" t="n">
        <x:v>0.2</x:v>
      </x:c>
      <x:c r="L5370" s="22" t="n">
        <x:v>13.229299999999995</x:v>
      </x:c>
      <x:c r="M5370" t="n">
        <x:v>2016</x:v>
      </x:c>
      <x:c r="N5370" s="20" t="n">
        <x:v>42675</x:v>
      </x:c>
    </x:row>
    <x:row r="5371" ht="18" customHeight="1">
      <x:c r="A5371" t="str">
        <x:v>CA-2017-158071</x:v>
      </x:c>
      <x:c r="B5371" s="18" t="n">
        <x:v>42896</x:v>
      </x:c>
      <x:c r="C5371" t="str">
        <x:v>BD-11320</x:v>
      </x:c>
      <x:c r="D5371" t="str">
        <x:v>Bill Donatelli</x:v>
      </x:c>
      <x:c r="E5371" t="str">
        <x:v>Consumer</x:v>
      </x:c>
      <x:c r="F5371" t="str">
        <x:v>West</x:v>
      </x:c>
      <x:c r="G5371" t="str">
        <x:v>Technology</x:v>
      </x:c>
      <x:c r="H5371" t="str">
        <x:v>Phones</x:v>
      </x:c>
      <x:c r="I5371" s="22" t="n">
        <x:v>88.77600000000001</x:v>
      </x:c>
      <x:c r="J5371" s="24" t="n">
        <x:v>3</x:v>
      </x:c>
      <x:c r="K5371" s="26" t="n">
        <x:v>0.2</x:v>
      </x:c>
      <x:c r="L5371" s="22" t="n">
        <x:v>7.767900000000001</x:v>
      </x:c>
      <x:c r="M5371" t="n">
        <x:v>2017</x:v>
      </x:c>
      <x:c r="N5371" s="20" t="n">
        <x:v>42887</x:v>
      </x:c>
    </x:row>
    <x:row r="5372" ht="18" customHeight="1">
      <x:c r="A5372" t="str">
        <x:v>CA-2017-158071</x:v>
      </x:c>
      <x:c r="B5372" s="18" t="n">
        <x:v>42896</x:v>
      </x:c>
      <x:c r="C5372" t="str">
        <x:v>BD-11320</x:v>
      </x:c>
      <x:c r="D5372" t="str">
        <x:v>Bill Donatelli</x:v>
      </x:c>
      <x:c r="E5372" t="str">
        <x:v>Consumer</x:v>
      </x:c>
      <x:c r="F5372" t="str">
        <x:v>West</x:v>
      </x:c>
      <x:c r="G5372" t="str">
        <x:v>Office Supplies</x:v>
      </x:c>
      <x:c r="H5372" t="str">
        <x:v>Labels</x:v>
      </x:c>
      <x:c r="I5372" s="22" t="n">
        <x:v>11.56</x:v>
      </x:c>
      <x:c r="J5372" s="24" t="n">
        <x:v>4</x:v>
      </x:c>
      <x:c r="K5372" s="26" t="n">
        <x:v>0</x:v>
      </x:c>
      <x:c r="L5372" s="22" t="n">
        <x:v>5.4332</x:v>
      </x:c>
      <x:c r="M5372" t="n">
        <x:v>2017</x:v>
      </x:c>
      <x:c r="N5372" s="20" t="n">
        <x:v>42887</x:v>
      </x:c>
    </x:row>
    <x:row r="5373" ht="18" customHeight="1">
      <x:c r="A5373" t="str">
        <x:v>CA-2017-158071</x:v>
      </x:c>
      <x:c r="B5373" s="18" t="n">
        <x:v>42896</x:v>
      </x:c>
      <x:c r="C5373" t="str">
        <x:v>BD-11320</x:v>
      </x:c>
      <x:c r="D5373" t="str">
        <x:v>Bill Donatelli</x:v>
      </x:c>
      <x:c r="E5373" t="str">
        <x:v>Consumer</x:v>
      </x:c>
      <x:c r="F5373" t="str">
        <x:v>West</x:v>
      </x:c>
      <x:c r="G5373" t="str">
        <x:v>Office Supplies</x:v>
      </x:c>
      <x:c r="H5373" t="str">
        <x:v>Storage</x:v>
      </x:c>
      <x:c r="I5373" s="22" t="n">
        <x:v>15.58</x:v>
      </x:c>
      <x:c r="J5373" s="24" t="n">
        <x:v>1</x:v>
      </x:c>
      <x:c r="K5373" s="26" t="n">
        <x:v>0</x:v>
      </x:c>
      <x:c r="L5373" s="22" t="n">
        <x:v>3.8949999999999996</x:v>
      </x:c>
      <x:c r="M5373" t="n">
        <x:v>2017</x:v>
      </x:c>
      <x:c r="N5373" s="20" t="n">
        <x:v>42887</x:v>
      </x:c>
    </x:row>
    <x:row r="5374" ht="18" customHeight="1">
      <x:c r="A5374" t="str">
        <x:v>CA-2017-147403</x:v>
      </x:c>
      <x:c r="B5374" s="18" t="n">
        <x:v>42988</x:v>
      </x:c>
      <x:c r="C5374" t="str">
        <x:v>KH-16630</x:v>
      </x:c>
      <x:c r="D5374" t="str">
        <x:v>Ken Heidel</x:v>
      </x:c>
      <x:c r="E5374" t="str">
        <x:v>Corporate</x:v>
      </x:c>
      <x:c r="F5374" t="str">
        <x:v>East</x:v>
      </x:c>
      <x:c r="G5374" t="str">
        <x:v>Office Supplies</x:v>
      </x:c>
      <x:c r="H5374" t="str">
        <x:v>Paper</x:v>
      </x:c>
      <x:c r="I5374" s="22" t="n">
        <x:v>85.056</x:v>
      </x:c>
      <x:c r="J5374" s="24" t="n">
        <x:v>3</x:v>
      </x:c>
      <x:c r="K5374" s="26" t="n">
        <x:v>0.2</x:v>
      </x:c>
      <x:c r="L5374" s="22" t="n">
        <x:v>28.70639999999999</x:v>
      </x:c>
      <x:c r="M5374" t="n">
        <x:v>2017</x:v>
      </x:c>
      <x:c r="N5374" s="20" t="n">
        <x:v>42979</x:v>
      </x:c>
    </x:row>
    <x:row r="5375" ht="18" customHeight="1">
      <x:c r="A5375" t="str">
        <x:v>US-2017-136721</x:v>
      </x:c>
      <x:c r="B5375" s="18" t="n">
        <x:v>42833</x:v>
      </x:c>
      <x:c r="C5375" t="str">
        <x:v>NH-18610</x:v>
      </x:c>
      <x:c r="D5375" t="str">
        <x:v>Nicole Hansen</x:v>
      </x:c>
      <x:c r="E5375" t="str">
        <x:v>Corporate</x:v>
      </x:c>
      <x:c r="F5375" t="str">
        <x:v>Central</x:v>
      </x:c>
      <x:c r="G5375" t="str">
        <x:v>Furniture</x:v>
      </x:c>
      <x:c r="H5375" t="str">
        <x:v>Furnishings</x:v>
      </x:c>
      <x:c r="I5375" s="22" t="n">
        <x:v>273.96</x:v>
      </x:c>
      <x:c r="J5375" s="24" t="n">
        <x:v>2</x:v>
      </x:c>
      <x:c r="K5375" s="26" t="n">
        <x:v>0</x:v>
      </x:c>
      <x:c r="L5375" s="22" t="n">
        <x:v>71.2296</x:v>
      </x:c>
      <x:c r="M5375" t="n">
        <x:v>2017</x:v>
      </x:c>
      <x:c r="N5375" s="20" t="n">
        <x:v>42826</x:v>
      </x:c>
    </x:row>
    <x:row r="5376" ht="18" customHeight="1">
      <x:c r="A5376" t="str">
        <x:v>US-2017-136721</x:v>
      </x:c>
      <x:c r="B5376" s="18" t="n">
        <x:v>42833</x:v>
      </x:c>
      <x:c r="C5376" t="str">
        <x:v>NH-18610</x:v>
      </x:c>
      <x:c r="D5376" t="str">
        <x:v>Nicole Hansen</x:v>
      </x:c>
      <x:c r="E5376" t="str">
        <x:v>Corporate</x:v>
      </x:c>
      <x:c r="F5376" t="str">
        <x:v>Central</x:v>
      </x:c>
      <x:c r="G5376" t="str">
        <x:v>Furniture</x:v>
      </x:c>
      <x:c r="H5376" t="str">
        <x:v>Furnishings</x:v>
      </x:c>
      <x:c r="I5376" s="22" t="n">
        <x:v>306.9</x:v>
      </x:c>
      <x:c r="J5376" s="24" t="n">
        <x:v>3</x:v>
      </x:c>
      <x:c r="K5376" s="26" t="n">
        <x:v>0</x:v>
      </x:c>
      <x:c r="L5376" s="22" t="n">
        <x:v>79.794</x:v>
      </x:c>
      <x:c r="M5376" t="n">
        <x:v>2017</x:v>
      </x:c>
      <x:c r="N5376" s="20" t="n">
        <x:v>42826</x:v>
      </x:c>
    </x:row>
    <x:row r="5377" ht="18" customHeight="1">
      <x:c r="A5377" t="str">
        <x:v>CA-2015-118738</x:v>
      </x:c>
      <x:c r="B5377" s="18" t="n">
        <x:v>42301</x:v>
      </x:c>
      <x:c r="C5377" t="str">
        <x:v>AG-10495</x:v>
      </x:c>
      <x:c r="D5377" t="str">
        <x:v>Andrew Gjertsen</x:v>
      </x:c>
      <x:c r="E5377" t="str">
        <x:v>Corporate</x:v>
      </x:c>
      <x:c r="F5377" t="str">
        <x:v>Central</x:v>
      </x:c>
      <x:c r="G5377" t="str">
        <x:v>Office Supplies</x:v>
      </x:c>
      <x:c r="H5377" t="str">
        <x:v>Paper</x:v>
      </x:c>
      <x:c r="I5377" s="22" t="n">
        <x:v>15.552000000000003</x:v>
      </x:c>
      <x:c r="J5377" s="24" t="n">
        <x:v>3</x:v>
      </x:c>
      <x:c r="K5377" s="26" t="n">
        <x:v>0.2</x:v>
      </x:c>
      <x:c r="L5377" s="22" t="n">
        <x:v>5.4432</x:v>
      </x:c>
      <x:c r="M5377" t="n">
        <x:v>2015</x:v>
      </x:c>
      <x:c r="N5377" s="20" t="n">
        <x:v>42278</x:v>
      </x:c>
    </x:row>
    <x:row r="5378" ht="18" customHeight="1">
      <x:c r="A5378" t="str">
        <x:v>CA-2015-118738</x:v>
      </x:c>
      <x:c r="B5378" s="18" t="n">
        <x:v>42301</x:v>
      </x:c>
      <x:c r="C5378" t="str">
        <x:v>AG-10495</x:v>
      </x:c>
      <x:c r="D5378" t="str">
        <x:v>Andrew Gjertsen</x:v>
      </x:c>
      <x:c r="E5378" t="str">
        <x:v>Corporate</x:v>
      </x:c>
      <x:c r="F5378" t="str">
        <x:v>Central</x:v>
      </x:c>
      <x:c r="G5378" t="str">
        <x:v>Furniture</x:v>
      </x:c>
      <x:c r="H5378" t="str">
        <x:v>Tables</x:v>
      </x:c>
      <x:c r="I5378" s="22" t="n">
        <x:v>347.361</x:v>
      </x:c>
      <x:c r="J5378" s="24" t="n">
        <x:v>7</x:v>
      </x:c>
      <x:c r="K5378" s="26" t="n">
        <x:v>0.3</x:v>
      </x:c>
      <x:c r="L5378" s="22" t="n">
        <x:v>-69.47219999999996</x:v>
      </x:c>
      <x:c r="M5378" t="n">
        <x:v>2015</x:v>
      </x:c>
      <x:c r="N5378" s="20" t="n">
        <x:v>42278</x:v>
      </x:c>
    </x:row>
    <x:row r="5379" ht="18" customHeight="1">
      <x:c r="A5379" t="str">
        <x:v>CA-2015-118738</x:v>
      </x:c>
      <x:c r="B5379" s="18" t="n">
        <x:v>42301</x:v>
      </x:c>
      <x:c r="C5379" t="str">
        <x:v>AG-10495</x:v>
      </x:c>
      <x:c r="D5379" t="str">
        <x:v>Andrew Gjertsen</x:v>
      </x:c>
      <x:c r="E5379" t="str">
        <x:v>Corporate</x:v>
      </x:c>
      <x:c r="F5379" t="str">
        <x:v>Central</x:v>
      </x:c>
      <x:c r="G5379" t="str">
        <x:v>Office Supplies</x:v>
      </x:c>
      <x:c r="H5379" t="str">
        <x:v>Paper</x:v>
      </x:c>
      <x:c r="I5379" s="22" t="n">
        <x:v>10.368000000000002</x:v>
      </x:c>
      <x:c r="J5379" s="24" t="n">
        <x:v>2</x:v>
      </x:c>
      <x:c r="K5379" s="26" t="n">
        <x:v>0.2</x:v>
      </x:c>
      <x:c r="L5379" s="22" t="n">
        <x:v>3.6288</x:v>
      </x:c>
      <x:c r="M5379" t="n">
        <x:v>2015</x:v>
      </x:c>
      <x:c r="N5379" s="20" t="n">
        <x:v>42278</x:v>
      </x:c>
    </x:row>
    <x:row r="5380" ht="18" customHeight="1">
      <x:c r="A5380" t="str">
        <x:v>CA-2017-134152</x:v>
      </x:c>
      <x:c r="B5380" s="18" t="n">
        <x:v>42882</x:v>
      </x:c>
      <x:c r="C5380" t="str">
        <x:v>RP-19855</x:v>
      </x:c>
      <x:c r="D5380" t="str">
        <x:v>Roy Phan</x:v>
      </x:c>
      <x:c r="E5380" t="str">
        <x:v>Corporate</x:v>
      </x:c>
      <x:c r="F5380" t="str">
        <x:v>West</x:v>
      </x:c>
      <x:c r="G5380" t="str">
        <x:v>Technology</x:v>
      </x:c>
      <x:c r="H5380" t="str">
        <x:v>Accessories</x:v>
      </x:c>
      <x:c r="I5380" s="22" t="n">
        <x:v>98.16</x:v>
      </x:c>
      <x:c r="J5380" s="24" t="n">
        <x:v>6</x:v>
      </x:c>
      <x:c r="K5380" s="26" t="n">
        <x:v>0</x:v>
      </x:c>
      <x:c r="L5380" s="22" t="n">
        <x:v>9.815999999999995</x:v>
      </x:c>
      <x:c r="M5380" t="n">
        <x:v>2017</x:v>
      </x:c>
      <x:c r="N5380" s="20" t="n">
        <x:v>42856</x:v>
      </x:c>
    </x:row>
    <x:row r="5381" ht="18" customHeight="1">
      <x:c r="A5381" t="str">
        <x:v>CA-2017-134152</x:v>
      </x:c>
      <x:c r="B5381" s="18" t="n">
        <x:v>42882</x:v>
      </x:c>
      <x:c r="C5381" t="str">
        <x:v>RP-19855</x:v>
      </x:c>
      <x:c r="D5381" t="str">
        <x:v>Roy Phan</x:v>
      </x:c>
      <x:c r="E5381" t="str">
        <x:v>Corporate</x:v>
      </x:c>
      <x:c r="F5381" t="str">
        <x:v>West</x:v>
      </x:c>
      <x:c r="G5381" t="str">
        <x:v>Office Supplies</x:v>
      </x:c>
      <x:c r="H5381" t="str">
        <x:v>Art</x:v>
      </x:c>
      <x:c r="I5381" s="22" t="n">
        <x:v>31.44</x:v>
      </x:c>
      <x:c r="J5381" s="24" t="n">
        <x:v>3</x:v>
      </x:c>
      <x:c r="K5381" s="26" t="n">
        <x:v>0</x:v>
      </x:c>
      <x:c r="L5381" s="22" t="n">
        <x:v>7.86</x:v>
      </x:c>
      <x:c r="M5381" t="n">
        <x:v>2017</x:v>
      </x:c>
      <x:c r="N5381" s="20" t="n">
        <x:v>42856</x:v>
      </x:c>
    </x:row>
    <x:row r="5382" ht="18" customHeight="1">
      <x:c r="A5382" t="str">
        <x:v>CA-2014-125542</x:v>
      </x:c>
      <x:c r="B5382" s="18" t="n">
        <x:v>41978</x:v>
      </x:c>
      <x:c r="C5382" t="str">
        <x:v>NB-18655</x:v>
      </x:c>
      <x:c r="D5382" t="str">
        <x:v>Nona Balk</x:v>
      </x:c>
      <x:c r="E5382" t="str">
        <x:v>Corporate</x:v>
      </x:c>
      <x:c r="F5382" t="str">
        <x:v>East</x:v>
      </x:c>
      <x:c r="G5382" t="str">
        <x:v>Office Supplies</x:v>
      </x:c>
      <x:c r="H5382" t="str">
        <x:v>Envelopes</x:v>
      </x:c>
      <x:c r="I5382" s="22" t="n">
        <x:v>348.488</x:v>
      </x:c>
      <x:c r="J5382" s="24" t="n">
        <x:v>7</x:v>
      </x:c>
      <x:c r="K5382" s="26" t="n">
        <x:v>0.2</x:v>
      </x:c>
      <x:c r="L5382" s="22" t="n">
        <x:v>117.61469999999996</x:v>
      </x:c>
      <x:c r="M5382" t="n">
        <x:v>2014</x:v>
      </x:c>
      <x:c r="N5382" s="20" t="n">
        <x:v>41974</x:v>
      </x:c>
    </x:row>
    <x:row r="5383" ht="18" customHeight="1">
      <x:c r="A5383" t="str">
        <x:v>CA-2014-125542</x:v>
      </x:c>
      <x:c r="B5383" s="18" t="n">
        <x:v>41978</x:v>
      </x:c>
      <x:c r="C5383" t="str">
        <x:v>NB-18655</x:v>
      </x:c>
      <x:c r="D5383" t="str">
        <x:v>Nona Balk</x:v>
      </x:c>
      <x:c r="E5383" t="str">
        <x:v>Corporate</x:v>
      </x:c>
      <x:c r="F5383" t="str">
        <x:v>East</x:v>
      </x:c>
      <x:c r="G5383" t="str">
        <x:v>Office Supplies</x:v>
      </x:c>
      <x:c r="H5383" t="str">
        <x:v>Storage</x:v>
      </x:c>
      <x:c r="I5383" s="22" t="n">
        <x:v>172.736</x:v>
      </x:c>
      <x:c r="J5383" s="24" t="n">
        <x:v>4</x:v>
      </x:c>
      <x:c r="K5383" s="26" t="n">
        <x:v>0.2</x:v>
      </x:c>
      <x:c r="L5383" s="22" t="n">
        <x:v>-30.228800000000007</x:v>
      </x:c>
      <x:c r="M5383" t="n">
        <x:v>2014</x:v>
      </x:c>
      <x:c r="N5383" s="20" t="n">
        <x:v>41974</x:v>
      </x:c>
    </x:row>
    <x:row r="5384" ht="18" customHeight="1">
      <x:c r="A5384" t="str">
        <x:v>CA-2016-136021</x:v>
      </x:c>
      <x:c r="B5384" s="18" t="n">
        <x:v>42596</x:v>
      </x:c>
      <x:c r="C5384" t="str">
        <x:v>JM-15580</x:v>
      </x:c>
      <x:c r="D5384" t="str">
        <x:v>Jill Matthias</x:v>
      </x:c>
      <x:c r="E5384" t="str">
        <x:v>Consumer</x:v>
      </x:c>
      <x:c r="F5384" t="str">
        <x:v>West</x:v>
      </x:c>
      <x:c r="G5384" t="str">
        <x:v>Office Supplies</x:v>
      </x:c>
      <x:c r="H5384" t="str">
        <x:v>Paper</x:v>
      </x:c>
      <x:c r="I5384" s="22" t="n">
        <x:v>15.54</x:v>
      </x:c>
      <x:c r="J5384" s="24" t="n">
        <x:v>3</x:v>
      </x:c>
      <x:c r="K5384" s="26" t="n">
        <x:v>0</x:v>
      </x:c>
      <x:c r="L5384" s="22" t="n">
        <x:v>7.614599999999999</x:v>
      </x:c>
      <x:c r="M5384" t="n">
        <x:v>2016</x:v>
      </x:c>
      <x:c r="N5384" s="20" t="n">
        <x:v>42583</x:v>
      </x:c>
    </x:row>
    <x:row r="5385" ht="18" customHeight="1">
      <x:c r="A5385" t="str">
        <x:v>CA-2016-136021</x:v>
      </x:c>
      <x:c r="B5385" s="18" t="n">
        <x:v>42596</x:v>
      </x:c>
      <x:c r="C5385" t="str">
        <x:v>JM-15580</x:v>
      </x:c>
      <x:c r="D5385" t="str">
        <x:v>Jill Matthias</x:v>
      </x:c>
      <x:c r="E5385" t="str">
        <x:v>Consumer</x:v>
      </x:c>
      <x:c r="F5385" t="str">
        <x:v>West</x:v>
      </x:c>
      <x:c r="G5385" t="str">
        <x:v>Technology</x:v>
      </x:c>
      <x:c r="H5385" t="str">
        <x:v>Machines</x:v>
      </x:c>
      <x:c r="I5385" s="22" t="n">
        <x:v>105.55199999999999</x:v>
      </x:c>
      <x:c r="J5385" s="24" t="n">
        <x:v>6</x:v>
      </x:c>
      <x:c r="K5385" s="26" t="n">
        <x:v>0.2</x:v>
      </x:c>
      <x:c r="L5385" s="22" t="n">
        <x:v>35.623799999999996</x:v>
      </x:c>
      <x:c r="M5385" t="n">
        <x:v>2016</x:v>
      </x:c>
      <x:c r="N5385" s="20" t="n">
        <x:v>42583</x:v>
      </x:c>
    </x:row>
    <x:row r="5386" ht="18" customHeight="1">
      <x:c r="A5386" t="str">
        <x:v>CA-2016-149195</x:v>
      </x:c>
      <x:c r="B5386" s="18" t="n">
        <x:v>42618</x:v>
      </x:c>
      <x:c r="C5386" t="str">
        <x:v>DM-13525</x:v>
      </x:c>
      <x:c r="D5386" t="str">
        <x:v>Don Miller</x:v>
      </x:c>
      <x:c r="E5386" t="str">
        <x:v>Corporate</x:v>
      </x:c>
      <x:c r="F5386" t="str">
        <x:v>Central</x:v>
      </x:c>
      <x:c r="G5386" t="str">
        <x:v>Office Supplies</x:v>
      </x:c>
      <x:c r="H5386" t="str">
        <x:v>Paper</x:v>
      </x:c>
      <x:c r="I5386" s="22" t="n">
        <x:v>25.920000000000005</x:v>
      </x:c>
      <x:c r="J5386" s="24" t="n">
        <x:v>5</x:v>
      </x:c>
      <x:c r="K5386" s="26" t="n">
        <x:v>0.2</x:v>
      </x:c>
      <x:c r="L5386" s="22" t="n">
        <x:v>9.072</x:v>
      </x:c>
      <x:c r="M5386" t="n">
        <x:v>2016</x:v>
      </x:c>
      <x:c r="N5386" s="20" t="n">
        <x:v>42614</x:v>
      </x:c>
    </x:row>
    <x:row r="5387" ht="18" customHeight="1">
      <x:c r="A5387" t="str">
        <x:v>CA-2016-149195</x:v>
      </x:c>
      <x:c r="B5387" s="18" t="n">
        <x:v>42618</x:v>
      </x:c>
      <x:c r="C5387" t="str">
        <x:v>DM-13525</x:v>
      </x:c>
      <x:c r="D5387" t="str">
        <x:v>Don Miller</x:v>
      </x:c>
      <x:c r="E5387" t="str">
        <x:v>Corporate</x:v>
      </x:c>
      <x:c r="F5387" t="str">
        <x:v>Central</x:v>
      </x:c>
      <x:c r="G5387" t="str">
        <x:v>Office Supplies</x:v>
      </x:c>
      <x:c r="H5387" t="str">
        <x:v>Fasteners</x:v>
      </x:c>
      <x:c r="I5387" s="22" t="n">
        <x:v>15.808000000000002</x:v>
      </x:c>
      <x:c r="J5387" s="24" t="n">
        <x:v>8</x:v>
      </x:c>
      <x:c r="K5387" s="26" t="n">
        <x:v>0.2</x:v>
      </x:c>
      <x:c r="L5387" s="22" t="n">
        <x:v>5.3352</x:v>
      </x:c>
      <x:c r="M5387" t="n">
        <x:v>2016</x:v>
      </x:c>
      <x:c r="N5387" s="20" t="n">
        <x:v>42614</x:v>
      </x:c>
    </x:row>
    <x:row r="5388" ht="18" customHeight="1">
      <x:c r="A5388" t="str">
        <x:v>CA-2016-149195</x:v>
      </x:c>
      <x:c r="B5388" s="18" t="n">
        <x:v>42618</x:v>
      </x:c>
      <x:c r="C5388" t="str">
        <x:v>DM-13525</x:v>
      </x:c>
      <x:c r="D5388" t="str">
        <x:v>Don Miller</x:v>
      </x:c>
      <x:c r="E5388" t="str">
        <x:v>Corporate</x:v>
      </x:c>
      <x:c r="F5388" t="str">
        <x:v>Central</x:v>
      </x:c>
      <x:c r="G5388" t="str">
        <x:v>Office Supplies</x:v>
      </x:c>
      <x:c r="H5388" t="str">
        <x:v>Paper</x:v>
      </x:c>
      <x:c r="I5388" s="22" t="n">
        <x:v>10.368000000000002</x:v>
      </x:c>
      <x:c r="J5388" s="24" t="n">
        <x:v>2</x:v>
      </x:c>
      <x:c r="K5388" s="26" t="n">
        <x:v>0.2</x:v>
      </x:c>
      <x:c r="L5388" s="22" t="n">
        <x:v>3.7584</x:v>
      </x:c>
      <x:c r="M5388" t="n">
        <x:v>2016</x:v>
      </x:c>
      <x:c r="N5388" s="20" t="n">
        <x:v>42614</x:v>
      </x:c>
    </x:row>
    <x:row r="5389" ht="18" customHeight="1">
      <x:c r="A5389" t="str">
        <x:v>CA-2017-161410</x:v>
      </x:c>
      <x:c r="B5389" s="18" t="n">
        <x:v>42912</x:v>
      </x:c>
      <x:c r="C5389" t="str">
        <x:v>CC-12220</x:v>
      </x:c>
      <x:c r="D5389" t="str">
        <x:v>Chris Cortes</x:v>
      </x:c>
      <x:c r="E5389" t="str">
        <x:v>Consumer</x:v>
      </x:c>
      <x:c r="F5389" t="str">
        <x:v>East</x:v>
      </x:c>
      <x:c r="G5389" t="str">
        <x:v>Technology</x:v>
      </x:c>
      <x:c r="H5389" t="str">
        <x:v>Phones</x:v>
      </x:c>
      <x:c r="I5389" s="22" t="n">
        <x:v>358.2</x:v>
      </x:c>
      <x:c r="J5389" s="24" t="n">
        <x:v>3</x:v>
      </x:c>
      <x:c r="K5389" s="26" t="n">
        <x:v>0.4</x:v>
      </x:c>
      <x:c r="L5389" s="22" t="n">
        <x:v>41.79000000000002</x:v>
      </x:c>
      <x:c r="M5389" t="n">
        <x:v>2017</x:v>
      </x:c>
      <x:c r="N5389" s="20" t="n">
        <x:v>42887</x:v>
      </x:c>
    </x:row>
    <x:row r="5390" ht="18" customHeight="1">
      <x:c r="A5390" t="str">
        <x:v>CA-2017-161410</x:v>
      </x:c>
      <x:c r="B5390" s="18" t="n">
        <x:v>42912</x:v>
      </x:c>
      <x:c r="C5390" t="str">
        <x:v>CC-12220</x:v>
      </x:c>
      <x:c r="D5390" t="str">
        <x:v>Chris Cortes</x:v>
      </x:c>
      <x:c r="E5390" t="str">
        <x:v>Consumer</x:v>
      </x:c>
      <x:c r="F5390" t="str">
        <x:v>East</x:v>
      </x:c>
      <x:c r="G5390" t="str">
        <x:v>Technology</x:v>
      </x:c>
      <x:c r="H5390" t="str">
        <x:v>Phones</x:v>
      </x:c>
      <x:c r="I5390" s="22" t="n">
        <x:v>545.9159999999999</x:v>
      </x:c>
      <x:c r="J5390" s="24" t="n">
        <x:v>14</x:v>
      </x:c>
      <x:c r="K5390" s="26" t="n">
        <x:v>0.4</x:v>
      </x:c>
      <x:c r="L5390" s="22" t="n">
        <x:v>72.78880000000004</x:v>
      </x:c>
      <x:c r="M5390" t="n">
        <x:v>2017</x:v>
      </x:c>
      <x:c r="N5390" s="20" t="n">
        <x:v>42887</x:v>
      </x:c>
    </x:row>
    <x:row r="5391" ht="18" customHeight="1">
      <x:c r="A5391" t="str">
        <x:v>CA-2017-152786</x:v>
      </x:c>
      <x:c r="B5391" s="18" t="n">
        <x:v>42806</x:v>
      </x:c>
      <x:c r="C5391" t="str">
        <x:v>GA-14725</x:v>
      </x:c>
      <x:c r="D5391" t="str">
        <x:v>Guy Armstrong</x:v>
      </x:c>
      <x:c r="E5391" t="str">
        <x:v>Consumer</x:v>
      </x:c>
      <x:c r="F5391" t="str">
        <x:v>South</x:v>
      </x:c>
      <x:c r="G5391" t="str">
        <x:v>Office Supplies</x:v>
      </x:c>
      <x:c r="H5391" t="str">
        <x:v>Binders</x:v>
      </x:c>
      <x:c r="I5391" s="22" t="n">
        <x:v>40.410000000000004</x:v>
      </x:c>
      <x:c r="J5391" s="24" t="n">
        <x:v>9</x:v>
      </x:c>
      <x:c r="K5391" s="26" t="n">
        <x:v>0</x:v>
      </x:c>
      <x:c r="L5391" s="22" t="n">
        <x:v>18.5886</x:v>
      </x:c>
      <x:c r="M5391" t="n">
        <x:v>2017</x:v>
      </x:c>
      <x:c r="N5391" s="20" t="n">
        <x:v>42795</x:v>
      </x:c>
    </x:row>
    <x:row r="5392" ht="18" customHeight="1">
      <x:c r="A5392" t="str">
        <x:v>CA-2017-164707</x:v>
      </x:c>
      <x:c r="B5392" s="18" t="n">
        <x:v>42784</x:v>
      </x:c>
      <x:c r="C5392" t="str">
        <x:v>CV-12805</x:v>
      </x:c>
      <x:c r="D5392" t="str">
        <x:v>Cynthia Voltz</x:v>
      </x:c>
      <x:c r="E5392" t="str">
        <x:v>Corporate</x:v>
      </x:c>
      <x:c r="F5392" t="str">
        <x:v>West</x:v>
      </x:c>
      <x:c r="G5392" t="str">
        <x:v>Technology</x:v>
      </x:c>
      <x:c r="H5392" t="str">
        <x:v>Phones</x:v>
      </x:c>
      <x:c r="I5392" s="22" t="n">
        <x:v>167.976</x:v>
      </x:c>
      <x:c r="J5392" s="24" t="n">
        <x:v>3</x:v>
      </x:c>
      <x:c r="K5392" s="26" t="n">
        <x:v>0.2</x:v>
      </x:c>
      <x:c r="L5392" s="22" t="n">
        <x:v>10.498500000000007</x:v>
      </x:c>
      <x:c r="M5392" t="n">
        <x:v>2017</x:v>
      </x:c>
      <x:c r="N5392" s="20" t="n">
        <x:v>42767</x:v>
      </x:c>
    </x:row>
    <x:row r="5393" ht="18" customHeight="1">
      <x:c r="A5393" t="str">
        <x:v>CA-2017-164707</x:v>
      </x:c>
      <x:c r="B5393" s="18" t="n">
        <x:v>42784</x:v>
      </x:c>
      <x:c r="C5393" t="str">
        <x:v>CV-12805</x:v>
      </x:c>
      <x:c r="D5393" t="str">
        <x:v>Cynthia Voltz</x:v>
      </x:c>
      <x:c r="E5393" t="str">
        <x:v>Corporate</x:v>
      </x:c>
      <x:c r="F5393" t="str">
        <x:v>West</x:v>
      </x:c>
      <x:c r="G5393" t="str">
        <x:v>Technology</x:v>
      </x:c>
      <x:c r="H5393" t="str">
        <x:v>Accessories</x:v>
      </x:c>
      <x:c r="I5393" s="22" t="n">
        <x:v>109.53</x:v>
      </x:c>
      <x:c r="J5393" s="24" t="n">
        <x:v>3</x:v>
      </x:c>
      <x:c r="K5393" s="26" t="n">
        <x:v>0</x:v>
      </x:c>
      <x:c r="L5393" s="22" t="n">
        <x:v>47.0979</x:v>
      </x:c>
      <x:c r="M5393" t="n">
        <x:v>2017</x:v>
      </x:c>
      <x:c r="N5393" s="20" t="n">
        <x:v>42767</x:v>
      </x:c>
    </x:row>
    <x:row r="5394" ht="18" customHeight="1">
      <x:c r="A5394" t="str">
        <x:v>CA-2017-164707</x:v>
      </x:c>
      <x:c r="B5394" s="18" t="n">
        <x:v>42784</x:v>
      </x:c>
      <x:c r="C5394" t="str">
        <x:v>CV-12805</x:v>
      </x:c>
      <x:c r="D5394" t="str">
        <x:v>Cynthia Voltz</x:v>
      </x:c>
      <x:c r="E5394" t="str">
        <x:v>Corporate</x:v>
      </x:c>
      <x:c r="F5394" t="str">
        <x:v>West</x:v>
      </x:c>
      <x:c r="G5394" t="str">
        <x:v>Office Supplies</x:v>
      </x:c>
      <x:c r="H5394" t="str">
        <x:v>Labels</x:v>
      </x:c>
      <x:c r="I5394" s="22" t="n">
        <x:v>9.82</x:v>
      </x:c>
      <x:c r="J5394" s="24" t="n">
        <x:v>2</x:v>
      </x:c>
      <x:c r="K5394" s="26" t="n">
        <x:v>0</x:v>
      </x:c>
      <x:c r="L5394" s="22" t="n">
        <x:v>4.8118</x:v>
      </x:c>
      <x:c r="M5394" t="n">
        <x:v>2017</x:v>
      </x:c>
      <x:c r="N5394" s="20" t="n">
        <x:v>42767</x:v>
      </x:c>
    </x:row>
    <x:row r="5395" ht="18" customHeight="1">
      <x:c r="A5395" t="str">
        <x:v>CA-2017-163874</x:v>
      </x:c>
      <x:c r="B5395" s="18" t="n">
        <x:v>43049</x:v>
      </x:c>
      <x:c r="C5395" t="str">
        <x:v>NC-18535</x:v>
      </x:c>
      <x:c r="D5395" t="str">
        <x:v>Nick Crebassa</x:v>
      </x:c>
      <x:c r="E5395" t="str">
        <x:v>Corporate</x:v>
      </x:c>
      <x:c r="F5395" t="str">
        <x:v>West</x:v>
      </x:c>
      <x:c r="G5395" t="str">
        <x:v>Office Supplies</x:v>
      </x:c>
      <x:c r="H5395" t="str">
        <x:v>Binders</x:v>
      </x:c>
      <x:c r="I5395" s="22" t="n">
        <x:v>26.352000000000004</x:v>
      </x:c>
      <x:c r="J5395" s="24" t="n">
        <x:v>3</x:v>
      </x:c>
      <x:c r="K5395" s="26" t="n">
        <x:v>0.2</x:v>
      </x:c>
      <x:c r="L5395" s="22" t="n">
        <x:v>9.552599999999998</x:v>
      </x:c>
      <x:c r="M5395" t="n">
        <x:v>2017</x:v>
      </x:c>
      <x:c r="N5395" s="20" t="n">
        <x:v>43040</x:v>
      </x:c>
    </x:row>
    <x:row r="5396" ht="18" customHeight="1">
      <x:c r="A5396" t="str">
        <x:v>US-2014-123183</x:v>
      </x:c>
      <x:c r="B5396" s="18" t="n">
        <x:v>41962</x:v>
      </x:c>
      <x:c r="C5396" t="str">
        <x:v>GR-14560</x:v>
      </x:c>
      <x:c r="D5396" t="str">
        <x:v>Georgia Rosenberg</x:v>
      </x:c>
      <x:c r="E5396" t="str">
        <x:v>Corporate</x:v>
      </x:c>
      <x:c r="F5396" t="str">
        <x:v>East</x:v>
      </x:c>
      <x:c r="G5396" t="str">
        <x:v>Office Supplies</x:v>
      </x:c>
      <x:c r="H5396" t="str">
        <x:v>Labels</x:v>
      </x:c>
      <x:c r="I5396" s="22" t="n">
        <x:v>22.5</x:v>
      </x:c>
      <x:c r="J5396" s="24" t="n">
        <x:v>6</x:v>
      </x:c>
      <x:c r="K5396" s="26" t="n">
        <x:v>0</x:v>
      </x:c>
      <x:c r="L5396" s="22" t="n">
        <x:v>10.799999999999999</x:v>
      </x:c>
      <x:c r="M5396" t="n">
        <x:v>2014</x:v>
      </x:c>
      <x:c r="N5396" s="20" t="n">
        <x:v>41944</x:v>
      </x:c>
    </x:row>
    <x:row r="5397" ht="18" customHeight="1">
      <x:c r="A5397" t="str">
        <x:v>US-2014-123183</x:v>
      </x:c>
      <x:c r="B5397" s="18" t="n">
        <x:v>41962</x:v>
      </x:c>
      <x:c r="C5397" t="str">
        <x:v>GR-14560</x:v>
      </x:c>
      <x:c r="D5397" t="str">
        <x:v>Georgia Rosenberg</x:v>
      </x:c>
      <x:c r="E5397" t="str">
        <x:v>Corporate</x:v>
      </x:c>
      <x:c r="F5397" t="str">
        <x:v>East</x:v>
      </x:c>
      <x:c r="G5397" t="str">
        <x:v>Office Supplies</x:v>
      </x:c>
      <x:c r="H5397" t="str">
        <x:v>Labels</x:v>
      </x:c>
      <x:c r="I5397" s="22" t="n">
        <x:v>9.96</x:v>
      </x:c>
      <x:c r="J5397" s="24" t="n">
        <x:v>2</x:v>
      </x:c>
      <x:c r="K5397" s="26" t="n">
        <x:v>0</x:v>
      </x:c>
      <x:c r="L5397" s="22" t="n">
        <x:v>4.5816</x:v>
      </x:c>
      <x:c r="M5397" t="n">
        <x:v>2014</x:v>
      </x:c>
      <x:c r="N5397" s="20" t="n">
        <x:v>41944</x:v>
      </x:c>
    </x:row>
    <x:row r="5398" ht="18" customHeight="1">
      <x:c r="A5398" t="str">
        <x:v>US-2014-123183</x:v>
      </x:c>
      <x:c r="B5398" s="18" t="n">
        <x:v>41962</x:v>
      </x:c>
      <x:c r="C5398" t="str">
        <x:v>GR-14560</x:v>
      </x:c>
      <x:c r="D5398" t="str">
        <x:v>Georgia Rosenberg</x:v>
      </x:c>
      <x:c r="E5398" t="str">
        <x:v>Corporate</x:v>
      </x:c>
      <x:c r="F5398" t="str">
        <x:v>East</x:v>
      </x:c>
      <x:c r="G5398" t="str">
        <x:v>Office Supplies</x:v>
      </x:c>
      <x:c r="H5398" t="str">
        <x:v>Binders</x:v>
      </x:c>
      <x:c r="I5398" s="22" t="n">
        <x:v>213.08</x:v>
      </x:c>
      <x:c r="J5398" s="24" t="n">
        <x:v>7</x:v>
      </x:c>
      <x:c r="K5398" s="26" t="n">
        <x:v>0</x:v>
      </x:c>
      <x:c r="L5398" s="22" t="n">
        <x:v>102.2784</x:v>
      </x:c>
      <x:c r="M5398" t="n">
        <x:v>2014</x:v>
      </x:c>
      <x:c r="N5398" s="20" t="n">
        <x:v>41944</x:v>
      </x:c>
    </x:row>
    <x:row r="5399" ht="18" customHeight="1">
      <x:c r="A5399" t="str">
        <x:v>US-2014-123183</x:v>
      </x:c>
      <x:c r="B5399" s="18" t="n">
        <x:v>41962</x:v>
      </x:c>
      <x:c r="C5399" t="str">
        <x:v>GR-14560</x:v>
      </x:c>
      <x:c r="D5399" t="str">
        <x:v>Georgia Rosenberg</x:v>
      </x:c>
      <x:c r="E5399" t="str">
        <x:v>Corporate</x:v>
      </x:c>
      <x:c r="F5399" t="str">
        <x:v>East</x:v>
      </x:c>
      <x:c r="G5399" t="str">
        <x:v>Furniture</x:v>
      </x:c>
      <x:c r="H5399" t="str">
        <x:v>Bookcases</x:v>
      </x:c>
      <x:c r="I5399" s="22" t="n">
        <x:v>1025.8799999999999</x:v>
      </x:c>
      <x:c r="J5399" s="24" t="n">
        <x:v>6</x:v>
      </x:c>
      <x:c r="K5399" s="26" t="n">
        <x:v>0</x:v>
      </x:c>
      <x:c r="L5399" s="22" t="n">
        <x:v>235.9524</x:v>
      </x:c>
      <x:c r="M5399" t="n">
        <x:v>2014</x:v>
      </x:c>
      <x:c r="N5399" s="20" t="n">
        <x:v>41944</x:v>
      </x:c>
    </x:row>
    <x:row r="5400" ht="18" customHeight="1">
      <x:c r="A5400" t="str">
        <x:v>CA-2014-104829</x:v>
      </x:c>
      <x:c r="B5400" s="18" t="n">
        <x:v>41961</x:v>
      </x:c>
      <x:c r="C5400" t="str">
        <x:v>JG-15805</x:v>
      </x:c>
      <x:c r="D5400" t="str">
        <x:v>John Grady</x:v>
      </x:c>
      <x:c r="E5400" t="str">
        <x:v>Corporate</x:v>
      </x:c>
      <x:c r="F5400" t="str">
        <x:v>West</x:v>
      </x:c>
      <x:c r="G5400" t="str">
        <x:v>Office Supplies</x:v>
      </x:c>
      <x:c r="H5400" t="str">
        <x:v>Paper</x:v>
      </x:c>
      <x:c r="I5400" s="22" t="n">
        <x:v>21.98</x:v>
      </x:c>
      <x:c r="J5400" s="24" t="n">
        <x:v>7</x:v>
      </x:c>
      <x:c r="K5400" s="26" t="n">
        <x:v>0</x:v>
      </x:c>
      <x:c r="L5400" s="22" t="n">
        <x:v>9.890999999999998</x:v>
      </x:c>
      <x:c r="M5400" t="n">
        <x:v>2014</x:v>
      </x:c>
      <x:c r="N5400" s="20" t="n">
        <x:v>41944</x:v>
      </x:c>
    </x:row>
    <x:row r="5401" ht="18" customHeight="1">
      <x:c r="A5401" t="str">
        <x:v>US-2016-147340</x:v>
      </x:c>
      <x:c r="B5401" s="18" t="n">
        <x:v>42637</x:v>
      </x:c>
      <x:c r="C5401" t="str">
        <x:v>EB-13750</x:v>
      </x:c>
      <x:c r="D5401" t="str">
        <x:v>Edward Becker</x:v>
      </x:c>
      <x:c r="E5401" t="str">
        <x:v>Corporate</x:v>
      </x:c>
      <x:c r="F5401" t="str">
        <x:v>West</x:v>
      </x:c>
      <x:c r="G5401" t="str">
        <x:v>Furniture</x:v>
      </x:c>
      <x:c r="H5401" t="str">
        <x:v>Furnishings</x:v>
      </x:c>
      <x:c r="I5401" s="22" t="n">
        <x:v>63.2</x:v>
      </x:c>
      <x:c r="J5401" s="24" t="n">
        <x:v>5</x:v>
      </x:c>
      <x:c r="K5401" s="26" t="n">
        <x:v>0</x:v>
      </x:c>
      <x:c r="L5401" s="22" t="n">
        <x:v>23.384</x:v>
      </x:c>
      <x:c r="M5401" t="n">
        <x:v>2016</x:v>
      </x:c>
      <x:c r="N5401" s="20" t="n">
        <x:v>42614</x:v>
      </x:c>
    </x:row>
    <x:row r="5402" ht="18" customHeight="1">
      <x:c r="A5402" t="str">
        <x:v>CA-2016-145492</x:v>
      </x:c>
      <x:c r="B5402" s="18" t="n">
        <x:v>42694</x:v>
      </x:c>
      <x:c r="C5402" t="str">
        <x:v>MC-17605</x:v>
      </x:c>
      <x:c r="D5402" t="str">
        <x:v>Matt Connell</x:v>
      </x:c>
      <x:c r="E5402" t="str">
        <x:v>Corporate</x:v>
      </x:c>
      <x:c r="F5402" t="str">
        <x:v>West</x:v>
      </x:c>
      <x:c r="G5402" t="str">
        <x:v>Office Supplies</x:v>
      </x:c>
      <x:c r="H5402" t="str">
        <x:v>Appliances</x:v>
      </x:c>
      <x:c r="I5402" s="22" t="n">
        <x:v>39</x:v>
      </x:c>
      <x:c r="J5402" s="24" t="n">
        <x:v>12</x:v>
      </x:c>
      <x:c r="K5402" s="26" t="n">
        <x:v>0</x:v>
      </x:c>
      <x:c r="L5402" s="22" t="n">
        <x:v>11.309999999999999</x:v>
      </x:c>
      <x:c r="M5402" t="n">
        <x:v>2016</x:v>
      </x:c>
      <x:c r="N5402" s="20" t="n">
        <x:v>42675</x:v>
      </x:c>
    </x:row>
    <x:row r="5403" ht="18" customHeight="1">
      <x:c r="A5403" t="str">
        <x:v>CA-2016-163202</x:v>
      </x:c>
      <x:c r="B5403" s="18" t="n">
        <x:v>42640</x:v>
      </x:c>
      <x:c r="C5403" t="str">
        <x:v>BM-11650</x:v>
      </x:c>
      <x:c r="D5403" t="str">
        <x:v>Brian Moss</x:v>
      </x:c>
      <x:c r="E5403" t="str">
        <x:v>Corporate</x:v>
      </x:c>
      <x:c r="F5403" t="str">
        <x:v>East</x:v>
      </x:c>
      <x:c r="G5403" t="str">
        <x:v>Office Supplies</x:v>
      </x:c>
      <x:c r="H5403" t="str">
        <x:v>Binders</x:v>
      </x:c>
      <x:c r="I5403" s="22" t="n">
        <x:v>2.907</x:v>
      </x:c>
      <x:c r="J5403" s="24" t="n">
        <x:v>3</x:v>
      </x:c>
      <x:c r="K5403" s="26" t="n">
        <x:v>0.7</x:v>
      </x:c>
      <x:c r="L5403" s="22" t="n">
        <x:v>-2.0348999999999995</x:v>
      </x:c>
      <x:c r="M5403" t="n">
        <x:v>2016</x:v>
      </x:c>
      <x:c r="N5403" s="20" t="n">
        <x:v>42614</x:v>
      </x:c>
    </x:row>
    <x:row r="5404" ht="18" customHeight="1">
      <x:c r="A5404" t="str">
        <x:v>CA-2016-117681</x:v>
      </x:c>
      <x:c r="B5404" s="18" t="n">
        <x:v>42469</x:v>
      </x:c>
      <x:c r="C5404" t="str">
        <x:v>HF-14995</x:v>
      </x:c>
      <x:c r="D5404" t="str">
        <x:v>Herbert Flentye</x:v>
      </x:c>
      <x:c r="E5404" t="str">
        <x:v>Consumer</x:v>
      </x:c>
      <x:c r="F5404" t="str">
        <x:v>West</x:v>
      </x:c>
      <x:c r="G5404" t="str">
        <x:v>Furniture</x:v>
      </x:c>
      <x:c r="H5404" t="str">
        <x:v>Bookcases</x:v>
      </x:c>
      <x:c r="I5404" s="22" t="n">
        <x:v>556.665</x:v>
      </x:c>
      <x:c r="J5404" s="24" t="n">
        <x:v>5</x:v>
      </x:c>
      <x:c r="K5404" s="26" t="n">
        <x:v>0.15</x:v>
      </x:c>
      <x:c r="L5404" s="22" t="n">
        <x:v>6.549000000000021</x:v>
      </x:c>
      <x:c r="M5404" t="n">
        <x:v>2016</x:v>
      </x:c>
      <x:c r="N5404" s="20" t="n">
        <x:v>42461</x:v>
      </x:c>
    </x:row>
    <x:row r="5405" ht="18" customHeight="1">
      <x:c r="A5405" t="str">
        <x:v>CA-2017-132262</x:v>
      </x:c>
      <x:c r="B5405" s="18" t="n">
        <x:v>42999</x:v>
      </x:c>
      <x:c r="C5405" t="str">
        <x:v>ML-18265</x:v>
      </x:c>
      <x:c r="D5405" t="str">
        <x:v>Muhammed Lee</x:v>
      </x:c>
      <x:c r="E5405" t="str">
        <x:v>Consumer</x:v>
      </x:c>
      <x:c r="F5405" t="str">
        <x:v>West</x:v>
      </x:c>
      <x:c r="G5405" t="str">
        <x:v>Technology</x:v>
      </x:c>
      <x:c r="H5405" t="str">
        <x:v>Accessories</x:v>
      </x:c>
      <x:c r="I5405" s="22" t="n">
        <x:v>71.98</x:v>
      </x:c>
      <x:c r="J5405" s="24" t="n">
        <x:v>2</x:v>
      </x:c>
      <x:c r="K5405" s="26" t="n">
        <x:v>0</x:v>
      </x:c>
      <x:c r="L5405" s="22" t="n">
        <x:v>15.1158</x:v>
      </x:c>
      <x:c r="M5405" t="n">
        <x:v>2017</x:v>
      </x:c>
      <x:c r="N5405" s="20" t="n">
        <x:v>42979</x:v>
      </x:c>
    </x:row>
    <x:row r="5406" ht="18" customHeight="1">
      <x:c r="A5406" t="str">
        <x:v>CA-2017-132262</x:v>
      </x:c>
      <x:c r="B5406" s="18" t="n">
        <x:v>42999</x:v>
      </x:c>
      <x:c r="C5406" t="str">
        <x:v>ML-18265</x:v>
      </x:c>
      <x:c r="D5406" t="str">
        <x:v>Muhammed Lee</x:v>
      </x:c>
      <x:c r="E5406" t="str">
        <x:v>Consumer</x:v>
      </x:c>
      <x:c r="F5406" t="str">
        <x:v>West</x:v>
      </x:c>
      <x:c r="G5406" t="str">
        <x:v>Technology</x:v>
      </x:c>
      <x:c r="H5406" t="str">
        <x:v>Accessories</x:v>
      </x:c>
      <x:c r="I5406" s="22" t="n">
        <x:v>79.98</x:v>
      </x:c>
      <x:c r="J5406" s="24" t="n">
        <x:v>2</x:v>
      </x:c>
      <x:c r="K5406" s="26" t="n">
        <x:v>0</x:v>
      </x:c>
      <x:c r="L5406" s="22" t="n">
        <x:v>26.3934</x:v>
      </x:c>
      <x:c r="M5406" t="n">
        <x:v>2017</x:v>
      </x:c>
      <x:c r="N5406" s="20" t="n">
        <x:v>42979</x:v>
      </x:c>
    </x:row>
    <x:row r="5407" ht="18" customHeight="1">
      <x:c r="A5407" t="str">
        <x:v>CA-2017-123043</x:v>
      </x:c>
      <x:c r="B5407" s="18" t="n">
        <x:v>42971</x:v>
      </x:c>
      <x:c r="C5407" t="str">
        <x:v>AH-10195</x:v>
      </x:c>
      <x:c r="D5407" t="str">
        <x:v>Alan Haines</x:v>
      </x:c>
      <x:c r="E5407" t="str">
        <x:v>Corporate</x:v>
      </x:c>
      <x:c r="F5407" t="str">
        <x:v>East</x:v>
      </x:c>
      <x:c r="G5407" t="str">
        <x:v>Office Supplies</x:v>
      </x:c>
      <x:c r="H5407" t="str">
        <x:v>Binders</x:v>
      </x:c>
      <x:c r="I5407" s="22" t="n">
        <x:v>24.672</x:v>
      </x:c>
      <x:c r="J5407" s="24" t="n">
        <x:v>4</x:v>
      </x:c>
      <x:c r="K5407" s="26" t="n">
        <x:v>0.2</x:v>
      </x:c>
      <x:c r="L5407" s="22" t="n">
        <x:v>7.71</x:v>
      </x:c>
      <x:c r="M5407" t="n">
        <x:v>2017</x:v>
      </x:c>
      <x:c r="N5407" s="20" t="n">
        <x:v>42948</x:v>
      </x:c>
    </x:row>
    <x:row r="5408" ht="18" customHeight="1">
      <x:c r="A5408" t="str">
        <x:v>CA-2017-123043</x:v>
      </x:c>
      <x:c r="B5408" s="18" t="n">
        <x:v>42971</x:v>
      </x:c>
      <x:c r="C5408" t="str">
        <x:v>AH-10195</x:v>
      </x:c>
      <x:c r="D5408" t="str">
        <x:v>Alan Haines</x:v>
      </x:c>
      <x:c r="E5408" t="str">
        <x:v>Corporate</x:v>
      </x:c>
      <x:c r="F5408" t="str">
        <x:v>East</x:v>
      </x:c>
      <x:c r="G5408" t="str">
        <x:v>Office Supplies</x:v>
      </x:c>
      <x:c r="H5408" t="str">
        <x:v>Binders</x:v>
      </x:c>
      <x:c r="I5408" s="22" t="n">
        <x:v>3.7439999999999998</x:v>
      </x:c>
      <x:c r="J5408" s="24" t="n">
        <x:v>1</x:v>
      </x:c>
      <x:c r="K5408" s="26" t="n">
        <x:v>0.2</x:v>
      </x:c>
      <x:c r="L5408" s="22" t="n">
        <x:v>1.3104</x:v>
      </x:c>
      <x:c r="M5408" t="n">
        <x:v>2017</x:v>
      </x:c>
      <x:c r="N5408" s="20" t="n">
        <x:v>42948</x:v>
      </x:c>
    </x:row>
    <x:row r="5409" ht="18" customHeight="1">
      <x:c r="A5409" t="str">
        <x:v>US-2016-143280</x:v>
      </x:c>
      <x:c r="B5409" s="18" t="n">
        <x:v>42422</x:v>
      </x:c>
      <x:c r="C5409" t="str">
        <x:v>TZ-21580</x:v>
      </x:c>
      <x:c r="D5409" t="str">
        <x:v>Tracy Zic</x:v>
      </x:c>
      <x:c r="E5409" t="str">
        <x:v>Consumer</x:v>
      </x:c>
      <x:c r="F5409" t="str">
        <x:v>West</x:v>
      </x:c>
      <x:c r="G5409" t="str">
        <x:v>Technology</x:v>
      </x:c>
      <x:c r="H5409" t="str">
        <x:v>Phones</x:v>
      </x:c>
      <x:c r="I5409" s="22" t="n">
        <x:v>445.96000000000004</x:v>
      </x:c>
      <x:c r="J5409" s="24" t="n">
        <x:v>5</x:v>
      </x:c>
      <x:c r="K5409" s="26" t="n">
        <x:v>0.2</x:v>
      </x:c>
      <x:c r="L5409" s="22" t="n">
        <x:v>55.74499999999995</x:v>
      </x:c>
      <x:c r="M5409" t="n">
        <x:v>2016</x:v>
      </x:c>
      <x:c r="N5409" s="20" t="n">
        <x:v>42401</x:v>
      </x:c>
    </x:row>
    <x:row r="5410" ht="18" customHeight="1">
      <x:c r="A5410" t="str">
        <x:v>US-2016-143280</x:v>
      </x:c>
      <x:c r="B5410" s="18" t="n">
        <x:v>42422</x:v>
      </x:c>
      <x:c r="C5410" t="str">
        <x:v>TZ-21580</x:v>
      </x:c>
      <x:c r="D5410" t="str">
        <x:v>Tracy Zic</x:v>
      </x:c>
      <x:c r="E5410" t="str">
        <x:v>Consumer</x:v>
      </x:c>
      <x:c r="F5410" t="str">
        <x:v>West</x:v>
      </x:c>
      <x:c r="G5410" t="str">
        <x:v>Technology</x:v>
      </x:c>
      <x:c r="H5410" t="str">
        <x:v>Accessories</x:v>
      </x:c>
      <x:c r="I5410" s="22" t="n">
        <x:v>36.24</x:v>
      </x:c>
      <x:c r="J5410" s="24" t="n">
        <x:v>1</x:v>
      </x:c>
      <x:c r="K5410" s="26" t="n">
        <x:v>0</x:v>
      </x:c>
      <x:c r="L5410" s="22" t="n">
        <x:v>15.2208</x:v>
      </x:c>
      <x:c r="M5410" t="n">
        <x:v>2016</x:v>
      </x:c>
      <x:c r="N5410" s="20" t="n">
        <x:v>42401</x:v>
      </x:c>
    </x:row>
    <x:row r="5411" ht="18" customHeight="1">
      <x:c r="A5411" t="str">
        <x:v>US-2016-143280</x:v>
      </x:c>
      <x:c r="B5411" s="18" t="n">
        <x:v>42422</x:v>
      </x:c>
      <x:c r="C5411" t="str">
        <x:v>TZ-21580</x:v>
      </x:c>
      <x:c r="D5411" t="str">
        <x:v>Tracy Zic</x:v>
      </x:c>
      <x:c r="E5411" t="str">
        <x:v>Consumer</x:v>
      </x:c>
      <x:c r="F5411" t="str">
        <x:v>West</x:v>
      </x:c>
      <x:c r="G5411" t="str">
        <x:v>Office Supplies</x:v>
      </x:c>
      <x:c r="H5411" t="str">
        <x:v>Fasteners</x:v>
      </x:c>
      <x:c r="I5411" s="22" t="n">
        <x:v>10.649999999999999</x:v>
      </x:c>
      <x:c r="J5411" s="24" t="n">
        <x:v>3</x:v>
      </x:c>
      <x:c r="K5411" s="26" t="n">
        <x:v>0</x:v>
      </x:c>
      <x:c r="L5411" s="22" t="n">
        <x:v>5.0055</x:v>
      </x:c>
      <x:c r="M5411" t="n">
        <x:v>2016</x:v>
      </x:c>
      <x:c r="N5411" s="20" t="n">
        <x:v>42401</x:v>
      </x:c>
    </x:row>
    <x:row r="5412" ht="18" customHeight="1">
      <x:c r="A5412" t="str">
        <x:v>CA-2017-108854</x:v>
      </x:c>
      <x:c r="B5412" s="18" t="n">
        <x:v>43077</x:v>
      </x:c>
      <x:c r="C5412" t="str">
        <x:v>DM-13345</x:v>
      </x:c>
      <x:c r="D5412" t="str">
        <x:v>Denise Monton</x:v>
      </x:c>
      <x:c r="E5412" t="str">
        <x:v>Corporate</x:v>
      </x:c>
      <x:c r="F5412" t="str">
        <x:v>West</x:v>
      </x:c>
      <x:c r="G5412" t="str">
        <x:v>Office Supplies</x:v>
      </x:c>
      <x:c r="H5412" t="str">
        <x:v>Paper</x:v>
      </x:c>
      <x:c r="I5412" s="22" t="n">
        <x:v>87.92</x:v>
      </x:c>
      <x:c r="J5412" s="24" t="n">
        <x:v>4</x:v>
      </x:c>
      <x:c r="K5412" s="26" t="n">
        <x:v>0</x:v>
      </x:c>
      <x:c r="L5412" s="22" t="n">
        <x:v>40.4432</x:v>
      </x:c>
      <x:c r="M5412" t="n">
        <x:v>2017</x:v>
      </x:c>
      <x:c r="N5412" s="20" t="n">
        <x:v>43070</x:v>
      </x:c>
    </x:row>
    <x:row r="5413" ht="18" customHeight="1">
      <x:c r="A5413" t="str">
        <x:v>CA-2017-108854</x:v>
      </x:c>
      <x:c r="B5413" s="18" t="n">
        <x:v>43077</x:v>
      </x:c>
      <x:c r="C5413" t="str">
        <x:v>DM-13345</x:v>
      </x:c>
      <x:c r="D5413" t="str">
        <x:v>Denise Monton</x:v>
      </x:c>
      <x:c r="E5413" t="str">
        <x:v>Corporate</x:v>
      </x:c>
      <x:c r="F5413" t="str">
        <x:v>West</x:v>
      </x:c>
      <x:c r="G5413" t="str">
        <x:v>Office Supplies</x:v>
      </x:c>
      <x:c r="H5413" t="str">
        <x:v>Binders</x:v>
      </x:c>
      <x:c r="I5413" s="22" t="n">
        <x:v>22.424000000000003</x:v>
      </x:c>
      <x:c r="J5413" s="24" t="n">
        <x:v>1</x:v>
      </x:c>
      <x:c r="K5413" s="26" t="n">
        <x:v>0.2</x:v>
      </x:c>
      <x:c r="L5413" s="22" t="n">
        <x:v>8.408999999999999</x:v>
      </x:c>
      <x:c r="M5413" t="n">
        <x:v>2017</x:v>
      </x:c>
      <x:c r="N5413" s="20" t="n">
        <x:v>43070</x:v>
      </x:c>
    </x:row>
    <x:row r="5414" ht="18" customHeight="1">
      <x:c r="A5414" t="str">
        <x:v>CA-2017-108854</x:v>
      </x:c>
      <x:c r="B5414" s="18" t="n">
        <x:v>43077</x:v>
      </x:c>
      <x:c r="C5414" t="str">
        <x:v>DM-13345</x:v>
      </x:c>
      <x:c r="D5414" t="str">
        <x:v>Denise Monton</x:v>
      </x:c>
      <x:c r="E5414" t="str">
        <x:v>Corporate</x:v>
      </x:c>
      <x:c r="F5414" t="str">
        <x:v>West</x:v>
      </x:c>
      <x:c r="G5414" t="str">
        <x:v>Office Supplies</x:v>
      </x:c>
      <x:c r="H5414" t="str">
        <x:v>Binders</x:v>
      </x:c>
      <x:c r="I5414" s="22" t="n">
        <x:v>90.48000000000002</x:v>
      </x:c>
      <x:c r="J5414" s="24" t="n">
        <x:v>3</x:v>
      </x:c>
      <x:c r="K5414" s="26" t="n">
        <x:v>0.2</x:v>
      </x:c>
      <x:c r="L5414" s="22" t="n">
        <x:v>33.93</x:v>
      </x:c>
      <x:c r="M5414" t="n">
        <x:v>2017</x:v>
      </x:c>
      <x:c r="N5414" s="20" t="n">
        <x:v>43070</x:v>
      </x:c>
    </x:row>
    <x:row r="5415" ht="18" customHeight="1">
      <x:c r="A5415" t="str">
        <x:v>CA-2017-108854</x:v>
      </x:c>
      <x:c r="B5415" s="18" t="n">
        <x:v>43077</x:v>
      </x:c>
      <x:c r="C5415" t="str">
        <x:v>DM-13345</x:v>
      </x:c>
      <x:c r="D5415" t="str">
        <x:v>Denise Monton</x:v>
      </x:c>
      <x:c r="E5415" t="str">
        <x:v>Corporate</x:v>
      </x:c>
      <x:c r="F5415" t="str">
        <x:v>West</x:v>
      </x:c>
      <x:c r="G5415" t="str">
        <x:v>Office Supplies</x:v>
      </x:c>
      <x:c r="H5415" t="str">
        <x:v>Storage</x:v>
      </x:c>
      <x:c r="I5415" s="22" t="n">
        <x:v>42.76</x:v>
      </x:c>
      <x:c r="J5415" s="24" t="n">
        <x:v>1</x:v>
      </x:c>
      <x:c r="K5415" s="26" t="n">
        <x:v>0</x:v>
      </x:c>
      <x:c r="L5415" s="22" t="n">
        <x:v>11.1176</x:v>
      </x:c>
      <x:c r="M5415" t="n">
        <x:v>2017</x:v>
      </x:c>
      <x:c r="N5415" s="20" t="n">
        <x:v>43070</x:v>
      </x:c>
    </x:row>
    <x:row r="5416" ht="18" customHeight="1">
      <x:c r="A5416" t="str">
        <x:v>CA-2017-166856</x:v>
      </x:c>
      <x:c r="B5416" s="18" t="n">
        <x:v>42996</x:v>
      </x:c>
      <x:c r="C5416" t="str">
        <x:v>TS-21505</x:v>
      </x:c>
      <x:c r="D5416" t="str">
        <x:v>Tony Sayre</x:v>
      </x:c>
      <x:c r="E5416" t="str">
        <x:v>Consumer</x:v>
      </x:c>
      <x:c r="F5416" t="str">
        <x:v>West</x:v>
      </x:c>
      <x:c r="G5416" t="str">
        <x:v>Office Supplies</x:v>
      </x:c>
      <x:c r="H5416" t="str">
        <x:v>Binders</x:v>
      </x:c>
      <x:c r="I5416" s="22" t="n">
        <x:v>10.080000000000002</x:v>
      </x:c>
      <x:c r="J5416" s="24" t="n">
        <x:v>7</x:v>
      </x:c>
      <x:c r="K5416" s="26" t="n">
        <x:v>0.2</x:v>
      </x:c>
      <x:c r="L5416" s="22" t="n">
        <x:v>3.5279999999999996</x:v>
      </x:c>
      <x:c r="M5416" t="n">
        <x:v>2017</x:v>
      </x:c>
      <x:c r="N5416" s="20" t="n">
        <x:v>42979</x:v>
      </x:c>
    </x:row>
    <x:row r="5417" ht="18" customHeight="1">
      <x:c r="A5417" t="str">
        <x:v>CA-2017-166856</x:v>
      </x:c>
      <x:c r="B5417" s="18" t="n">
        <x:v>42996</x:v>
      </x:c>
      <x:c r="C5417" t="str">
        <x:v>TS-21505</x:v>
      </x:c>
      <x:c r="D5417" t="str">
        <x:v>Tony Sayre</x:v>
      </x:c>
      <x:c r="E5417" t="str">
        <x:v>Consumer</x:v>
      </x:c>
      <x:c r="F5417" t="str">
        <x:v>West</x:v>
      </x:c>
      <x:c r="G5417" t="str">
        <x:v>Technology</x:v>
      </x:c>
      <x:c r="H5417" t="str">
        <x:v>Accessories</x:v>
      </x:c>
      <x:c r="I5417" s="22" t="n">
        <x:v>101.34</x:v>
      </x:c>
      <x:c r="J5417" s="24" t="n">
        <x:v>3</x:v>
      </x:c>
      <x:c r="K5417" s="26" t="n">
        <x:v>0</x:v>
      </x:c>
      <x:c r="L5417" s="22" t="n">
        <x:v>8.107199999999992</x:v>
      </x:c>
      <x:c r="M5417" t="n">
        <x:v>2017</x:v>
      </x:c>
      <x:c r="N5417" s="20" t="n">
        <x:v>42979</x:v>
      </x:c>
    </x:row>
    <x:row r="5418" ht="18" customHeight="1">
      <x:c r="A5418" t="str">
        <x:v>CA-2016-153157</x:v>
      </x:c>
      <x:c r="B5418" s="18" t="n">
        <x:v>42624</x:v>
      </x:c>
      <x:c r="C5418" t="str">
        <x:v>TB-21625</x:v>
      </x:c>
      <x:c r="D5418" t="str">
        <x:v>Trudy Brown</x:v>
      </x:c>
      <x:c r="E5418" t="str">
        <x:v>Consumer</x:v>
      </x:c>
      <x:c r="F5418" t="str">
        <x:v>Central</x:v>
      </x:c>
      <x:c r="G5418" t="str">
        <x:v>Technology</x:v>
      </x:c>
      <x:c r="H5418" t="str">
        <x:v>Phones</x:v>
      </x:c>
      <x:c r="I5418" s="22" t="n">
        <x:v>224.75</x:v>
      </x:c>
      <x:c r="J5418" s="24" t="n">
        <x:v>5</x:v>
      </x:c>
      <x:c r="K5418" s="26" t="n">
        <x:v>0</x:v>
      </x:c>
      <x:c r="L5418" s="22" t="n">
        <x:v>62.92999999999999</x:v>
      </x:c>
      <x:c r="M5418" t="n">
        <x:v>2016</x:v>
      </x:c>
      <x:c r="N5418" s="20" t="n">
        <x:v>42614</x:v>
      </x:c>
    </x:row>
    <x:row r="5419" ht="18" customHeight="1">
      <x:c r="A5419" t="str">
        <x:v>US-2017-125647</x:v>
      </x:c>
      <x:c r="B5419" s="18" t="n">
        <x:v>43001</x:v>
      </x:c>
      <x:c r="C5419" t="str">
        <x:v>LC-16870</x:v>
      </x:c>
      <x:c r="D5419" t="str">
        <x:v>Lena Cacioppo</x:v>
      </x:c>
      <x:c r="E5419" t="str">
        <x:v>Consumer</x:v>
      </x:c>
      <x:c r="F5419" t="str">
        <x:v>Central</x:v>
      </x:c>
      <x:c r="G5419" t="str">
        <x:v>Office Supplies</x:v>
      </x:c>
      <x:c r="H5419" t="str">
        <x:v>Appliances</x:v>
      </x:c>
      <x:c r="I5419" s="22" t="n">
        <x:v>73.17599999999997</x:v>
      </x:c>
      <x:c r="J5419" s="24" t="n">
        <x:v>6</x:v>
      </x:c>
      <x:c r="K5419" s="26" t="n">
        <x:v>0.8</x:v>
      </x:c>
      <x:c r="L5419" s="22" t="n">
        <x:v>-197.57520000000002</x:v>
      </x:c>
      <x:c r="M5419" t="n">
        <x:v>2017</x:v>
      </x:c>
      <x:c r="N5419" s="20" t="n">
        <x:v>42979</x:v>
      </x:c>
    </x:row>
    <x:row r="5420" ht="18" customHeight="1">
      <x:c r="A5420" t="str">
        <x:v>US-2017-125647</x:v>
      </x:c>
      <x:c r="B5420" s="18" t="n">
        <x:v>43001</x:v>
      </x:c>
      <x:c r="C5420" t="str">
        <x:v>LC-16870</x:v>
      </x:c>
      <x:c r="D5420" t="str">
        <x:v>Lena Cacioppo</x:v>
      </x:c>
      <x:c r="E5420" t="str">
        <x:v>Consumer</x:v>
      </x:c>
      <x:c r="F5420" t="str">
        <x:v>Central</x:v>
      </x:c>
      <x:c r="G5420" t="str">
        <x:v>Office Supplies</x:v>
      </x:c>
      <x:c r="H5420" t="str">
        <x:v>Paper</x:v>
      </x:c>
      <x:c r="I5420" s="22" t="n">
        <x:v>20.736000000000004</x:v>
      </x:c>
      <x:c r="J5420" s="24" t="n">
        <x:v>4</x:v>
      </x:c>
      <x:c r="K5420" s="26" t="n">
        <x:v>0.2</x:v>
      </x:c>
      <x:c r="L5420" s="22" t="n">
        <x:v>7.2576</x:v>
      </x:c>
      <x:c r="M5420" t="n">
        <x:v>2017</x:v>
      </x:c>
      <x:c r="N5420" s="20" t="n">
        <x:v>42979</x:v>
      </x:c>
    </x:row>
    <x:row r="5421" ht="18" customHeight="1">
      <x:c r="A5421" t="str">
        <x:v>US-2017-125647</x:v>
      </x:c>
      <x:c r="B5421" s="18" t="n">
        <x:v>43001</x:v>
      </x:c>
      <x:c r="C5421" t="str">
        <x:v>LC-16870</x:v>
      </x:c>
      <x:c r="D5421" t="str">
        <x:v>Lena Cacioppo</x:v>
      </x:c>
      <x:c r="E5421" t="str">
        <x:v>Consumer</x:v>
      </x:c>
      <x:c r="F5421" t="str">
        <x:v>Central</x:v>
      </x:c>
      <x:c r="G5421" t="str">
        <x:v>Technology</x:v>
      </x:c>
      <x:c r="H5421" t="str">
        <x:v>Phones</x:v>
      </x:c>
      <x:c r="I5421" s="22" t="n">
        <x:v>39.984</x:v>
      </x:c>
      <x:c r="J5421" s="24" t="n">
        <x:v>2</x:v>
      </x:c>
      <x:c r="K5421" s="26" t="n">
        <x:v>0.2</x:v>
      </x:c>
      <x:c r="L5421" s="22" t="n">
        <x:v>-8.9964</x:v>
      </x:c>
      <x:c r="M5421" t="n">
        <x:v>2017</x:v>
      </x:c>
      <x:c r="N5421" s="20" t="n">
        <x:v>42979</x:v>
      </x:c>
    </x:row>
    <x:row r="5422" ht="18" customHeight="1">
      <x:c r="A5422" t="str">
        <x:v>CA-2014-132542</x:v>
      </x:c>
      <x:c r="B5422" s="18" t="n">
        <x:v>41918</x:v>
      </x:c>
      <x:c r="C5422" t="str">
        <x:v>AM-10360</x:v>
      </x:c>
      <x:c r="D5422" t="str">
        <x:v>Alice McCarthy</x:v>
      </x:c>
      <x:c r="E5422" t="str">
        <x:v>Corporate</x:v>
      </x:c>
      <x:c r="F5422" t="str">
        <x:v>Central</x:v>
      </x:c>
      <x:c r="G5422" t="str">
        <x:v>Office Supplies</x:v>
      </x:c>
      <x:c r="H5422" t="str">
        <x:v>Binders</x:v>
      </x:c>
      <x:c r="I5422" s="22" t="n">
        <x:v>15.36</x:v>
      </x:c>
      <x:c r="J5422" s="24" t="n">
        <x:v>2</x:v>
      </x:c>
      <x:c r="K5422" s="26" t="n">
        <x:v>0</x:v>
      </x:c>
      <x:c r="L5422" s="22" t="n">
        <x:v>7.68</x:v>
      </x:c>
      <x:c r="M5422" t="n">
        <x:v>2014</x:v>
      </x:c>
      <x:c r="N5422" s="20" t="n">
        <x:v>41913</x:v>
      </x:c>
    </x:row>
    <x:row r="5423" ht="18" customHeight="1">
      <x:c r="A5423" t="str">
        <x:v>CA-2015-110877</x:v>
      </x:c>
      <x:c r="B5423" s="18" t="n">
        <x:v>42300</x:v>
      </x:c>
      <x:c r="C5423" t="str">
        <x:v>JE-15715</x:v>
      </x:c>
      <x:c r="D5423" t="str">
        <x:v>Joe Elijah</x:v>
      </x:c>
      <x:c r="E5423" t="str">
        <x:v>Consumer</x:v>
      </x:c>
      <x:c r="F5423" t="str">
        <x:v>Central</x:v>
      </x:c>
      <x:c r="G5423" t="str">
        <x:v>Office Supplies</x:v>
      </x:c>
      <x:c r="H5423" t="str">
        <x:v>Paper</x:v>
      </x:c>
      <x:c r="I5423" s="22" t="n">
        <x:v>36.28800000000001</x:v>
      </x:c>
      <x:c r="J5423" s="24" t="n">
        <x:v>7</x:v>
      </x:c>
      <x:c r="K5423" s="26" t="n">
        <x:v>0.2</x:v>
      </x:c>
      <x:c r="L5423" s="22" t="n">
        <x:v>12.700800000000001</x:v>
      </x:c>
      <x:c r="M5423" t="n">
        <x:v>2015</x:v>
      </x:c>
      <x:c r="N5423" s="20" t="n">
        <x:v>42278</x:v>
      </x:c>
    </x:row>
    <x:row r="5424" ht="18" customHeight="1">
      <x:c r="A5424" t="str">
        <x:v>CA-2015-110877</x:v>
      </x:c>
      <x:c r="B5424" s="18" t="n">
        <x:v>42300</x:v>
      </x:c>
      <x:c r="C5424" t="str">
        <x:v>JE-15715</x:v>
      </x:c>
      <x:c r="D5424" t="str">
        <x:v>Joe Elijah</x:v>
      </x:c>
      <x:c r="E5424" t="str">
        <x:v>Consumer</x:v>
      </x:c>
      <x:c r="F5424" t="str">
        <x:v>Central</x:v>
      </x:c>
      <x:c r="G5424" t="str">
        <x:v>Technology</x:v>
      </x:c>
      <x:c r="H5424" t="str">
        <x:v>Phones</x:v>
      </x:c>
      <x:c r="I5424" s="22" t="n">
        <x:v>150.384</x:v>
      </x:c>
      <x:c r="J5424" s="24" t="n">
        <x:v>2</x:v>
      </x:c>
      <x:c r="K5424" s="26" t="n">
        <x:v>0.2</x:v>
      </x:c>
      <x:c r="L5424" s="22" t="n">
        <x:v>15.038400000000003</x:v>
      </x:c>
      <x:c r="M5424" t="n">
        <x:v>2015</x:v>
      </x:c>
      <x:c r="N5424" s="20" t="n">
        <x:v>42278</x:v>
      </x:c>
    </x:row>
    <x:row r="5425" ht="18" customHeight="1">
      <x:c r="A5425" t="str">
        <x:v>US-2016-151827</x:v>
      </x:c>
      <x:c r="B5425" s="18" t="n">
        <x:v>42460</x:v>
      </x:c>
      <x:c r="C5425" t="str">
        <x:v>CS-11950</x:v>
      </x:c>
      <x:c r="D5425" t="str">
        <x:v>Carlos Soltero</x:v>
      </x:c>
      <x:c r="E5425" t="str">
        <x:v>Consumer</x:v>
      </x:c>
      <x:c r="F5425" t="str">
        <x:v>East</x:v>
      </x:c>
      <x:c r="G5425" t="str">
        <x:v>Technology</x:v>
      </x:c>
      <x:c r="H5425" t="str">
        <x:v>Phones</x:v>
      </x:c>
      <x:c r="I5425" s="22" t="n">
        <x:v>280.78200000000004</x:v>
      </x:c>
      <x:c r="J5425" s="24" t="n">
        <x:v>3</x:v>
      </x:c>
      <x:c r="K5425" s="26" t="n">
        <x:v>0.4</x:v>
      </x:c>
      <x:c r="L5425" s="22" t="n">
        <x:v>-60.836100000000016</x:v>
      </x:c>
      <x:c r="M5425" t="n">
        <x:v>2016</x:v>
      </x:c>
      <x:c r="N5425" s="20" t="n">
        <x:v>42430</x:v>
      </x:c>
    </x:row>
    <x:row r="5426" ht="18" customHeight="1">
      <x:c r="A5426" t="str">
        <x:v>US-2016-151827</x:v>
      </x:c>
      <x:c r="B5426" s="18" t="n">
        <x:v>42460</x:v>
      </x:c>
      <x:c r="C5426" t="str">
        <x:v>CS-11950</x:v>
      </x:c>
      <x:c r="D5426" t="str">
        <x:v>Carlos Soltero</x:v>
      </x:c>
      <x:c r="E5426" t="str">
        <x:v>Consumer</x:v>
      </x:c>
      <x:c r="F5426" t="str">
        <x:v>East</x:v>
      </x:c>
      <x:c r="G5426" t="str">
        <x:v>Technology</x:v>
      </x:c>
      <x:c r="H5426" t="str">
        <x:v>Accessories</x:v>
      </x:c>
      <x:c r="I5426" s="22" t="n">
        <x:v>31.983999999999998</x:v>
      </x:c>
      <x:c r="J5426" s="24" t="n">
        <x:v>2</x:v>
      </x:c>
      <x:c r="K5426" s="26" t="n">
        <x:v>0.2</x:v>
      </x:c>
      <x:c r="L5426" s="22" t="n">
        <x:v>1.1993999999999998</x:v>
      </x:c>
      <x:c r="M5426" t="n">
        <x:v>2016</x:v>
      </x:c>
      <x:c r="N5426" s="20" t="n">
        <x:v>42430</x:v>
      </x:c>
    </x:row>
    <x:row r="5427" ht="18" customHeight="1">
      <x:c r="A5427" t="str">
        <x:v>US-2016-163258</x:v>
      </x:c>
      <x:c r="B5427" s="18" t="n">
        <x:v>42733</x:v>
      </x:c>
      <x:c r="C5427" t="str">
        <x:v>PF-19225</x:v>
      </x:c>
      <x:c r="D5427" t="str">
        <x:v>Phillip Flathmann</x:v>
      </x:c>
      <x:c r="E5427" t="str">
        <x:v>Consumer</x:v>
      </x:c>
      <x:c r="F5427" t="str">
        <x:v>West</x:v>
      </x:c>
      <x:c r="G5427" t="str">
        <x:v>Office Supplies</x:v>
      </x:c>
      <x:c r="H5427" t="str">
        <x:v>Binders</x:v>
      </x:c>
      <x:c r="I5427" s="22" t="n">
        <x:v>11.232</x:v>
      </x:c>
      <x:c r="J5427" s="24" t="n">
        <x:v>3</x:v>
      </x:c>
      <x:c r="K5427" s="26" t="n">
        <x:v>0.2</x:v>
      </x:c>
      <x:c r="L5427" s="22" t="n">
        <x:v>3.9312000000000005</x:v>
      </x:c>
      <x:c r="M5427" t="n">
        <x:v>2016</x:v>
      </x:c>
      <x:c r="N5427" s="20" t="n">
        <x:v>42705</x:v>
      </x:c>
    </x:row>
    <x:row r="5428" ht="18" customHeight="1">
      <x:c r="A5428" t="str">
        <x:v>CA-2017-103009</x:v>
      </x:c>
      <x:c r="B5428" s="18" t="n">
        <x:v>43042</x:v>
      </x:c>
      <x:c r="C5428" t="str">
        <x:v>PJ-18835</x:v>
      </x:c>
      <x:c r="D5428" t="str">
        <x:v>Patrick Jones</x:v>
      </x:c>
      <x:c r="E5428" t="str">
        <x:v>Corporate</x:v>
      </x:c>
      <x:c r="F5428" t="str">
        <x:v>South</x:v>
      </x:c>
      <x:c r="G5428" t="str">
        <x:v>Office Supplies</x:v>
      </x:c>
      <x:c r="H5428" t="str">
        <x:v>Paper</x:v>
      </x:c>
      <x:c r="I5428" s="22" t="n">
        <x:v>26.400000000000002</x:v>
      </x:c>
      <x:c r="J5428" s="24" t="n">
        <x:v>5</x:v>
      </x:c>
      <x:c r="K5428" s="26" t="n">
        <x:v>0</x:v>
      </x:c>
      <x:c r="L5428" s="22" t="n">
        <x:v>11.879999999999999</x:v>
      </x:c>
      <x:c r="M5428" t="n">
        <x:v>2017</x:v>
      </x:c>
      <x:c r="N5428" s="20" t="n">
        <x:v>43040</x:v>
      </x:c>
    </x:row>
    <x:row r="5429" ht="18" customHeight="1">
      <x:c r="A5429" t="str">
        <x:v>US-2017-120649</x:v>
      </x:c>
      <x:c r="B5429" s="18" t="n">
        <x:v>42755</x:v>
      </x:c>
      <x:c r="C5429" t="str">
        <x:v>JF-15490</x:v>
      </x:c>
      <x:c r="D5429" t="str">
        <x:v>Jeremy Farry</x:v>
      </x:c>
      <x:c r="E5429" t="str">
        <x:v>Consumer</x:v>
      </x:c>
      <x:c r="F5429" t="str">
        <x:v>East</x:v>
      </x:c>
      <x:c r="G5429" t="str">
        <x:v>Office Supplies</x:v>
      </x:c>
      <x:c r="H5429" t="str">
        <x:v>Art</x:v>
      </x:c>
      <x:c r="I5429" s="22" t="n">
        <x:v>3.52</x:v>
      </x:c>
      <x:c r="J5429" s="24" t="n">
        <x:v>2</x:v>
      </x:c>
      <x:c r="K5429" s="26" t="n">
        <x:v>0</x:v>
      </x:c>
      <x:c r="L5429" s="22" t="n">
        <x:v>1.0208</x:v>
      </x:c>
      <x:c r="M5429" t="n">
        <x:v>2017</x:v>
      </x:c>
      <x:c r="N5429" s="20" t="n">
        <x:v>42736</x:v>
      </x:c>
    </x:row>
    <x:row r="5430" ht="18" customHeight="1">
      <x:c r="A5430" t="str">
        <x:v>CA-2016-153598</x:v>
      </x:c>
      <x:c r="B5430" s="18" t="n">
        <x:v>42707</x:v>
      </x:c>
      <x:c r="C5430" t="str">
        <x:v>NM-18520</x:v>
      </x:c>
      <x:c r="D5430" t="str">
        <x:v>Neoma Murray</x:v>
      </x:c>
      <x:c r="E5430" t="str">
        <x:v>Consumer</x:v>
      </x:c>
      <x:c r="F5430" t="str">
        <x:v>West</x:v>
      </x:c>
      <x:c r="G5430" t="str">
        <x:v>Technology</x:v>
      </x:c>
      <x:c r="H5430" t="str">
        <x:v>Accessories</x:v>
      </x:c>
      <x:c r="I5430" s="22" t="n">
        <x:v>1649.95</x:v>
      </x:c>
      <x:c r="J5430" s="24" t="n">
        <x:v>5</x:v>
      </x:c>
      <x:c r="K5430" s="26" t="n">
        <x:v>0</x:v>
      </x:c>
      <x:c r="L5430" s="22" t="n">
        <x:v>659.98</x:v>
      </x:c>
      <x:c r="M5430" t="n">
        <x:v>2016</x:v>
      </x:c>
      <x:c r="N5430" s="20" t="n">
        <x:v>42705</x:v>
      </x:c>
    </x:row>
    <x:row r="5431" ht="18" customHeight="1">
      <x:c r="A5431" t="str">
        <x:v>CA-2016-153598</x:v>
      </x:c>
      <x:c r="B5431" s="18" t="n">
        <x:v>42707</x:v>
      </x:c>
      <x:c r="C5431" t="str">
        <x:v>NM-18520</x:v>
      </x:c>
      <x:c r="D5431" t="str">
        <x:v>Neoma Murray</x:v>
      </x:c>
      <x:c r="E5431" t="str">
        <x:v>Consumer</x:v>
      </x:c>
      <x:c r="F5431" t="str">
        <x:v>West</x:v>
      </x:c>
      <x:c r="G5431" t="str">
        <x:v>Furniture</x:v>
      </x:c>
      <x:c r="H5431" t="str">
        <x:v>Furnishings</x:v>
      </x:c>
      <x:c r="I5431" s="22" t="n">
        <x:v>111.89999999999999</x:v>
      </x:c>
      <x:c r="J5431" s="24" t="n">
        <x:v>6</x:v>
      </x:c>
      <x:c r="K5431" s="26" t="n">
        <x:v>0</x:v>
      </x:c>
      <x:c r="L5431" s="22" t="n">
        <x:v>51.47399999999999</x:v>
      </x:c>
      <x:c r="M5431" t="n">
        <x:v>2016</x:v>
      </x:c>
      <x:c r="N5431" s="20" t="n">
        <x:v>42705</x:v>
      </x:c>
    </x:row>
    <x:row r="5432" ht="18" customHeight="1">
      <x:c r="A5432" t="str">
        <x:v>US-2016-108497</x:v>
      </x:c>
      <x:c r="B5432" s="18" t="n">
        <x:v>42535</x:v>
      </x:c>
      <x:c r="C5432" t="str">
        <x:v>MH-17290</x:v>
      </x:c>
      <x:c r="D5432" t="str">
        <x:v>Marc Harrigan</x:v>
      </x:c>
      <x:c r="E5432" t="str">
        <x:v>Home Office</x:v>
      </x:c>
      <x:c r="F5432" t="str">
        <x:v>West</x:v>
      </x:c>
      <x:c r="G5432" t="str">
        <x:v>Furniture</x:v>
      </x:c>
      <x:c r="H5432" t="str">
        <x:v>Bookcases</x:v>
      </x:c>
      <x:c r="I5432" s="22" t="n">
        <x:v>599.165</x:v>
      </x:c>
      <x:c r="J5432" s="24" t="n">
        <x:v>5</x:v>
      </x:c>
      <x:c r="K5432" s="26" t="n">
        <x:v>0.15</x:v>
      </x:c>
      <x:c r="L5432" s="22" t="n">
        <x:v>35.245000000000005</x:v>
      </x:c>
      <x:c r="M5432" t="n">
        <x:v>2016</x:v>
      </x:c>
      <x:c r="N5432" s="20" t="n">
        <x:v>42522</x:v>
      </x:c>
    </x:row>
    <x:row r="5433" ht="18" customHeight="1">
      <x:c r="A5433" t="str">
        <x:v>CA-2016-113096</x:v>
      </x:c>
      <x:c r="B5433" s="18" t="n">
        <x:v>42615</x:v>
      </x:c>
      <x:c r="C5433" t="str">
        <x:v>SZ-20035</x:v>
      </x:c>
      <x:c r="D5433" t="str">
        <x:v>Sam Zeldin</x:v>
      </x:c>
      <x:c r="E5433" t="str">
        <x:v>Home Office</x:v>
      </x:c>
      <x:c r="F5433" t="str">
        <x:v>West</x:v>
      </x:c>
      <x:c r="G5433" t="str">
        <x:v>Office Supplies</x:v>
      </x:c>
      <x:c r="H5433" t="str">
        <x:v>Storage</x:v>
      </x:c>
      <x:c r="I5433" s="22" t="n">
        <x:v>46.53</x:v>
      </x:c>
      <x:c r="J5433" s="24" t="n">
        <x:v>3</x:v>
      </x:c>
      <x:c r="K5433" s="26" t="n">
        <x:v>0</x:v>
      </x:c>
      <x:c r="L5433" s="22" t="n">
        <x:v>12.097800000000001</x:v>
      </x:c>
      <x:c r="M5433" t="n">
        <x:v>2016</x:v>
      </x:c>
      <x:c r="N5433" s="20" t="n">
        <x:v>42614</x:v>
      </x:c>
    </x:row>
    <x:row r="5434" ht="18" customHeight="1">
      <x:c r="A5434" t="str">
        <x:v>CA-2014-136861</x:v>
      </x:c>
      <x:c r="B5434" s="18" t="n">
        <x:v>41887</x:v>
      </x:c>
      <x:c r="C5434" t="str">
        <x:v>PR-18880</x:v>
      </x:c>
      <x:c r="D5434" t="str">
        <x:v>Patrick Ryan</x:v>
      </x:c>
      <x:c r="E5434" t="str">
        <x:v>Consumer</x:v>
      </x:c>
      <x:c r="F5434" t="str">
        <x:v>South</x:v>
      </x:c>
      <x:c r="G5434" t="str">
        <x:v>Furniture</x:v>
      </x:c>
      <x:c r="H5434" t="str">
        <x:v>Furnishings</x:v>
      </x:c>
      <x:c r="I5434" s="22" t="n">
        <x:v>31.983999999999998</x:v>
      </x:c>
      <x:c r="J5434" s="24" t="n">
        <x:v>2</x:v>
      </x:c>
      <x:c r="K5434" s="26" t="n">
        <x:v>0.2</x:v>
      </x:c>
      <x:c r="L5434" s="22" t="n">
        <x:v>1.998999999999998</x:v>
      </x:c>
      <x:c r="M5434" t="n">
        <x:v>2014</x:v>
      </x:c>
      <x:c r="N5434" s="20" t="n">
        <x:v>41883</x:v>
      </x:c>
    </x:row>
    <x:row r="5435" ht="18" customHeight="1">
      <x:c r="A5435" t="str">
        <x:v>CA-2017-117422</x:v>
      </x:c>
      <x:c r="B5435" s="18" t="n">
        <x:v>43029</x:v>
      </x:c>
      <x:c r="C5435" t="str">
        <x:v>FC-14245</x:v>
      </x:c>
      <x:c r="D5435" t="str">
        <x:v>Frank Carlisle</x:v>
      </x:c>
      <x:c r="E5435" t="str">
        <x:v>Home Office</x:v>
      </x:c>
      <x:c r="F5435" t="str">
        <x:v>East</x:v>
      </x:c>
      <x:c r="G5435" t="str">
        <x:v>Office Supplies</x:v>
      </x:c>
      <x:c r="H5435" t="str">
        <x:v>Appliances</x:v>
      </x:c>
      <x:c r="I5435" s="22" t="n">
        <x:v>161.568</x:v>
      </x:c>
      <x:c r="J5435" s="24" t="n">
        <x:v>2</x:v>
      </x:c>
      <x:c r="K5435" s="26" t="n">
        <x:v>0.2</x:v>
      </x:c>
      <x:c r="L5435" s="22" t="n">
        <x:v>16.156799999999997</x:v>
      </x:c>
      <x:c r="M5435" t="n">
        <x:v>2017</x:v>
      </x:c>
      <x:c r="N5435" s="20" t="n">
        <x:v>43009</x:v>
      </x:c>
    </x:row>
    <x:row r="5436" ht="18" customHeight="1">
      <x:c r="A5436" t="str">
        <x:v>CA-2017-117422</x:v>
      </x:c>
      <x:c r="B5436" s="18" t="n">
        <x:v>43029</x:v>
      </x:c>
      <x:c r="C5436" t="str">
        <x:v>FC-14245</x:v>
      </x:c>
      <x:c r="D5436" t="str">
        <x:v>Frank Carlisle</x:v>
      </x:c>
      <x:c r="E5436" t="str">
        <x:v>Home Office</x:v>
      </x:c>
      <x:c r="F5436" t="str">
        <x:v>East</x:v>
      </x:c>
      <x:c r="G5436" t="str">
        <x:v>Office Supplies</x:v>
      </x:c>
      <x:c r="H5436" t="str">
        <x:v>Paper</x:v>
      </x:c>
      <x:c r="I5436" s="22" t="n">
        <x:v>4.064</x:v>
      </x:c>
      <x:c r="J5436" s="24" t="n">
        <x:v>1</x:v>
      </x:c>
      <x:c r="K5436" s="26" t="n">
        <x:v>0.2</x:v>
      </x:c>
      <x:c r="L5436" s="22" t="n">
        <x:v>1.3716</x:v>
      </x:c>
      <x:c r="M5436" t="n">
        <x:v>2017</x:v>
      </x:c>
      <x:c r="N5436" s="20" t="n">
        <x:v>43009</x:v>
      </x:c>
    </x:row>
    <x:row r="5437" ht="18" customHeight="1">
      <x:c r="A5437" t="str">
        <x:v>CA-2017-117422</x:v>
      </x:c>
      <x:c r="B5437" s="18" t="n">
        <x:v>43029</x:v>
      </x:c>
      <x:c r="C5437" t="str">
        <x:v>FC-14245</x:v>
      </x:c>
      <x:c r="D5437" t="str">
        <x:v>Frank Carlisle</x:v>
      </x:c>
      <x:c r="E5437" t="str">
        <x:v>Home Office</x:v>
      </x:c>
      <x:c r="F5437" t="str">
        <x:v>East</x:v>
      </x:c>
      <x:c r="G5437" t="str">
        <x:v>Office Supplies</x:v>
      </x:c>
      <x:c r="H5437" t="str">
        <x:v>Binders</x:v>
      </x:c>
      <x:c r="I5437" s="22" t="n">
        <x:v>6.216</x:v>
      </x:c>
      <x:c r="J5437" s="24" t="n">
        <x:v>4</x:v>
      </x:c>
      <x:c r="K5437" s="26" t="n">
        <x:v>0.7</x:v>
      </x:c>
      <x:c r="L5437" s="22" t="n">
        <x:v>-4.972799999999999</x:v>
      </x:c>
      <x:c r="M5437" t="n">
        <x:v>2017</x:v>
      </x:c>
      <x:c r="N5437" s="20" t="n">
        <x:v>43009</x:v>
      </x:c>
    </x:row>
    <x:row r="5438" ht="18" customHeight="1">
      <x:c r="A5438" t="str">
        <x:v>CA-2017-129707</x:v>
      </x:c>
      <x:c r="B5438" s="18" t="n">
        <x:v>42850</x:v>
      </x:c>
      <x:c r="C5438" t="str">
        <x:v>LH-16750</x:v>
      </x:c>
      <x:c r="D5438" t="str">
        <x:v>Larry Hughes</x:v>
      </x:c>
      <x:c r="E5438" t="str">
        <x:v>Consumer</x:v>
      </x:c>
      <x:c r="F5438" t="str">
        <x:v>West</x:v>
      </x:c>
      <x:c r="G5438" t="str">
        <x:v>Office Supplies</x:v>
      </x:c>
      <x:c r="H5438" t="str">
        <x:v>Art</x:v>
      </x:c>
      <x:c r="I5438" s="22" t="n">
        <x:v>8.895999999999999</x:v>
      </x:c>
      <x:c r="J5438" s="24" t="n">
        <x:v>4</x:v>
      </x:c>
      <x:c r="K5438" s="26" t="n">
        <x:v>0.2</x:v>
      </x:c>
      <x:c r="L5438" s="22" t="n">
        <x:v>0.6671999999999998</x:v>
      </x:c>
      <x:c r="M5438" t="n">
        <x:v>2017</x:v>
      </x:c>
      <x:c r="N5438" s="20" t="n">
        <x:v>42826</x:v>
      </x:c>
    </x:row>
    <x:row r="5439" ht="18" customHeight="1">
      <x:c r="A5439" t="str">
        <x:v>CA-2015-160171</x:v>
      </x:c>
      <x:c r="B5439" s="18" t="n">
        <x:v>42296</x:v>
      </x:c>
      <x:c r="C5439" t="str">
        <x:v>RM-19675</x:v>
      </x:c>
      <x:c r="D5439" t="str">
        <x:v>Robert Marley</x:v>
      </x:c>
      <x:c r="E5439" t="str">
        <x:v>Home Office</x:v>
      </x:c>
      <x:c r="F5439" t="str">
        <x:v>West</x:v>
      </x:c>
      <x:c r="G5439" t="str">
        <x:v>Office Supplies</x:v>
      </x:c>
      <x:c r="H5439" t="str">
        <x:v>Appliances</x:v>
      </x:c>
      <x:c r="I5439" s="22" t="n">
        <x:v>1640.6999999999998</x:v>
      </x:c>
      <x:c r="J5439" s="24" t="n">
        <x:v>5</x:v>
      </x:c>
      <x:c r="K5439" s="26" t="n">
        <x:v>0</x:v>
      </x:c>
      <x:c r="L5439" s="22" t="n">
        <x:v>459.39599999999996</x:v>
      </x:c>
      <x:c r="M5439" t="n">
        <x:v>2015</x:v>
      </x:c>
      <x:c r="N5439" s="20" t="n">
        <x:v>42278</x:v>
      </x:c>
    </x:row>
    <x:row r="5440" ht="18" customHeight="1">
      <x:c r="A5440" t="str">
        <x:v>CA-2015-160171</x:v>
      </x:c>
      <x:c r="B5440" s="18" t="n">
        <x:v>42296</x:v>
      </x:c>
      <x:c r="C5440" t="str">
        <x:v>RM-19675</x:v>
      </x:c>
      <x:c r="D5440" t="str">
        <x:v>Robert Marley</x:v>
      </x:c>
      <x:c r="E5440" t="str">
        <x:v>Home Office</x:v>
      </x:c>
      <x:c r="F5440" t="str">
        <x:v>West</x:v>
      </x:c>
      <x:c r="G5440" t="str">
        <x:v>Technology</x:v>
      </x:c>
      <x:c r="H5440" t="str">
        <x:v>Accessories</x:v>
      </x:c>
      <x:c r="I5440" s="22" t="n">
        <x:v>270</x:v>
      </x:c>
      <x:c r="J5440" s="24" t="n">
        <x:v>3</x:v>
      </x:c>
      <x:c r="K5440" s="26" t="n">
        <x:v>0</x:v>
      </x:c>
      <x:c r="L5440" s="22" t="n">
        <x:v>97.19999999999999</x:v>
      </x:c>
      <x:c r="M5440" t="n">
        <x:v>2015</x:v>
      </x:c>
      <x:c r="N5440" s="20" t="n">
        <x:v>42278</x:v>
      </x:c>
    </x:row>
    <x:row r="5441" ht="18" customHeight="1">
      <x:c r="A5441" t="str">
        <x:v>CA-2014-103317</x:v>
      </x:c>
      <x:c r="B5441" s="18" t="n">
        <x:v>41825</x:v>
      </x:c>
      <x:c r="C5441" t="str">
        <x:v>DM-13525</x:v>
      </x:c>
      <x:c r="D5441" t="str">
        <x:v>Don Miller</x:v>
      </x:c>
      <x:c r="E5441" t="str">
        <x:v>Corporate</x:v>
      </x:c>
      <x:c r="F5441" t="str">
        <x:v>South</x:v>
      </x:c>
      <x:c r="G5441" t="str">
        <x:v>Furniture</x:v>
      </x:c>
      <x:c r="H5441" t="str">
        <x:v>Furnishings</x:v>
      </x:c>
      <x:c r="I5441" s="22" t="n">
        <x:v>19.52</x:v>
      </x:c>
      <x:c r="J5441" s="24" t="n">
        <x:v>2</x:v>
      </x:c>
      <x:c r="K5441" s="26" t="n">
        <x:v>0.2</x:v>
      </x:c>
      <x:c r="L5441" s="22" t="n">
        <x:v>5.368000000000001</x:v>
      </x:c>
      <x:c r="M5441" t="n">
        <x:v>2014</x:v>
      </x:c>
      <x:c r="N5441" s="20" t="n">
        <x:v>41821</x:v>
      </x:c>
    </x:row>
    <x:row r="5442" ht="18" customHeight="1">
      <x:c r="A5442" t="str">
        <x:v>CA-2014-103317</x:v>
      </x:c>
      <x:c r="B5442" s="18" t="n">
        <x:v>41825</x:v>
      </x:c>
      <x:c r="C5442" t="str">
        <x:v>DM-13525</x:v>
      </x:c>
      <x:c r="D5442" t="str">
        <x:v>Don Miller</x:v>
      </x:c>
      <x:c r="E5442" t="str">
        <x:v>Corporate</x:v>
      </x:c>
      <x:c r="F5442" t="str">
        <x:v>South</x:v>
      </x:c>
      <x:c r="G5442" t="str">
        <x:v>Office Supplies</x:v>
      </x:c>
      <x:c r="H5442" t="str">
        <x:v>Binders</x:v>
      </x:c>
      <x:c r="I5442" s="22" t="n">
        <x:v>9.810000000000002</x:v>
      </x:c>
      <x:c r="J5442" s="24" t="n">
        <x:v>5</x:v>
      </x:c>
      <x:c r="K5442" s="26" t="n">
        <x:v>0.7</x:v>
      </x:c>
      <x:c r="L5442" s="22" t="n">
        <x:v>-6.866999999999997</x:v>
      </x:c>
      <x:c r="M5442" t="n">
        <x:v>2014</x:v>
      </x:c>
      <x:c r="N5442" s="20" t="n">
        <x:v>41821</x:v>
      </x:c>
    </x:row>
    <x:row r="5443" ht="18" customHeight="1">
      <x:c r="A5443" t="str">
        <x:v>CA-2014-103317</x:v>
      </x:c>
      <x:c r="B5443" s="18" t="n">
        <x:v>41825</x:v>
      </x:c>
      <x:c r="C5443" t="str">
        <x:v>DM-13525</x:v>
      </x:c>
      <x:c r="D5443" t="str">
        <x:v>Don Miller</x:v>
      </x:c>
      <x:c r="E5443" t="str">
        <x:v>Corporate</x:v>
      </x:c>
      <x:c r="F5443" t="str">
        <x:v>South</x:v>
      </x:c>
      <x:c r="G5443" t="str">
        <x:v>Furniture</x:v>
      </x:c>
      <x:c r="H5443" t="str">
        <x:v>Furnishings</x:v>
      </x:c>
      <x:c r="I5443" s="22" t="n">
        <x:v>213.216</x:v>
      </x:c>
      <x:c r="J5443" s="24" t="n">
        <x:v>3</x:v>
      </x:c>
      <x:c r="K5443" s="26" t="n">
        <x:v>0.2</x:v>
      </x:c>
      <x:c r="L5443" s="22" t="n">
        <x:v>15.991199999999992</x:v>
      </x:c>
      <x:c r="M5443" t="n">
        <x:v>2014</x:v>
      </x:c>
      <x:c r="N5443" s="20" t="n">
        <x:v>41821</x:v>
      </x:c>
    </x:row>
    <x:row r="5444" ht="18" customHeight="1">
      <x:c r="A5444" t="str">
        <x:v>CA-2016-167115</x:v>
      </x:c>
      <x:c r="B5444" s="18" t="n">
        <x:v>42464</x:v>
      </x:c>
      <x:c r="C5444" t="str">
        <x:v>EH-14185</x:v>
      </x:c>
      <x:c r="D5444" t="str">
        <x:v>Evan Henry</x:v>
      </x:c>
      <x:c r="E5444" t="str">
        <x:v>Consumer</x:v>
      </x:c>
      <x:c r="F5444" t="str">
        <x:v>East</x:v>
      </x:c>
      <x:c r="G5444" t="str">
        <x:v>Office Supplies</x:v>
      </x:c>
      <x:c r="H5444" t="str">
        <x:v>Binders</x:v>
      </x:c>
      <x:c r="I5444" s="22" t="n">
        <x:v>588.784</x:v>
      </x:c>
      <x:c r="J5444" s="24" t="n">
        <x:v>2</x:v>
      </x:c>
      <x:c r="K5444" s="26" t="n">
        <x:v>0.2</x:v>
      </x:c>
      <x:c r="L5444" s="22" t="n">
        <x:v>183.99499999999998</x:v>
      </x:c>
      <x:c r="M5444" t="n">
        <x:v>2016</x:v>
      </x:c>
      <x:c r="N5444" s="20" t="n">
        <x:v>42461</x:v>
      </x:c>
    </x:row>
    <x:row r="5445" ht="18" customHeight="1">
      <x:c r="A5445" t="str">
        <x:v>US-2017-153633</x:v>
      </x:c>
      <x:c r="B5445" s="18" t="n">
        <x:v>43052</x:v>
      </x:c>
      <x:c r="C5445" t="str">
        <x:v>TC-21295</x:v>
      </x:c>
      <x:c r="D5445" t="str">
        <x:v>Toby Carlisle</x:v>
      </x:c>
      <x:c r="E5445" t="str">
        <x:v>Consumer</x:v>
      </x:c>
      <x:c r="F5445" t="str">
        <x:v>South</x:v>
      </x:c>
      <x:c r="G5445" t="str">
        <x:v>Office Supplies</x:v>
      </x:c>
      <x:c r="H5445" t="str">
        <x:v>Art</x:v>
      </x:c>
      <x:c r="I5445" s="22" t="n">
        <x:v>2.064</x:v>
      </x:c>
      <x:c r="J5445" s="24" t="n">
        <x:v>1</x:v>
      </x:c>
      <x:c r="K5445" s="26" t="n">
        <x:v>0.2</x:v>
      </x:c>
      <x:c r="L5445" s="22" t="n">
        <x:v>0.15480000000000005</x:v>
      </x:c>
      <x:c r="M5445" t="n">
        <x:v>2017</x:v>
      </x:c>
      <x:c r="N5445" s="20" t="n">
        <x:v>43040</x:v>
      </x:c>
    </x:row>
    <x:row r="5446" ht="18" customHeight="1">
      <x:c r="A5446" t="str">
        <x:v>CA-2017-155929</x:v>
      </x:c>
      <x:c r="B5446" s="18" t="n">
        <x:v>42987</x:v>
      </x:c>
      <x:c r="C5446" t="str">
        <x:v>AI-10855</x:v>
      </x:c>
      <x:c r="D5446" t="str">
        <x:v>Arianne Irving</x:v>
      </x:c>
      <x:c r="E5446" t="str">
        <x:v>Consumer</x:v>
      </x:c>
      <x:c r="F5446" t="str">
        <x:v>West</x:v>
      </x:c>
      <x:c r="G5446" t="str">
        <x:v>Office Supplies</x:v>
      </x:c>
      <x:c r="H5446" t="str">
        <x:v>Paper</x:v>
      </x:c>
      <x:c r="I5446" s="22" t="n">
        <x:v>6.368</x:v>
      </x:c>
      <x:c r="J5446" s="24" t="n">
        <x:v>2</x:v>
      </x:c>
      <x:c r="K5446" s="26" t="n">
        <x:v>0.2</x:v>
      </x:c>
      <x:c r="L5446" s="22" t="n">
        <x:v>2.388</x:v>
      </x:c>
      <x:c r="M5446" t="n">
        <x:v>2017</x:v>
      </x:c>
      <x:c r="N5446" s="20" t="n">
        <x:v>42979</x:v>
      </x:c>
    </x:row>
    <x:row r="5447" ht="18" customHeight="1">
      <x:c r="A5447" t="str">
        <x:v>CA-2015-148712</x:v>
      </x:c>
      <x:c r="B5447" s="18" t="n">
        <x:v>42111</x:v>
      </x:c>
      <x:c r="C5447" t="str">
        <x:v>JM-15535</x:v>
      </x:c>
      <x:c r="D5447" t="str">
        <x:v>Jessica Myrick</x:v>
      </x:c>
      <x:c r="E5447" t="str">
        <x:v>Consumer</x:v>
      </x:c>
      <x:c r="F5447" t="str">
        <x:v>East</x:v>
      </x:c>
      <x:c r="G5447" t="str">
        <x:v>Technology</x:v>
      </x:c>
      <x:c r="H5447" t="str">
        <x:v>Accessories</x:v>
      </x:c>
      <x:c r="I5447" s="22" t="n">
        <x:v>99.6</x:v>
      </x:c>
      <x:c r="J5447" s="24" t="n">
        <x:v>1</x:v>
      </x:c>
      <x:c r="K5447" s="26" t="n">
        <x:v>0</x:v>
      </x:c>
      <x:c r="L5447" s="22" t="n">
        <x:v>36.852</x:v>
      </x:c>
      <x:c r="M5447" t="n">
        <x:v>2015</x:v>
      </x:c>
      <x:c r="N5447" s="20" t="n">
        <x:v>42095</x:v>
      </x:c>
    </x:row>
    <x:row r="5448" ht="18" customHeight="1">
      <x:c r="A5448" t="str">
        <x:v>CA-2015-148712</x:v>
      </x:c>
      <x:c r="B5448" s="18" t="n">
        <x:v>42111</x:v>
      </x:c>
      <x:c r="C5448" t="str">
        <x:v>JM-15535</x:v>
      </x:c>
      <x:c r="D5448" t="str">
        <x:v>Jessica Myrick</x:v>
      </x:c>
      <x:c r="E5448" t="str">
        <x:v>Consumer</x:v>
      </x:c>
      <x:c r="F5448" t="str">
        <x:v>East</x:v>
      </x:c>
      <x:c r="G5448" t="str">
        <x:v>Office Supplies</x:v>
      </x:c>
      <x:c r="H5448" t="str">
        <x:v>Binders</x:v>
      </x:c>
      <x:c r="I5448" s="22" t="n">
        <x:v>62.29600000000001</x:v>
      </x:c>
      <x:c r="J5448" s="24" t="n">
        <x:v>13</x:v>
      </x:c>
      <x:c r="K5448" s="26" t="n">
        <x:v>0.2</x:v>
      </x:c>
      <x:c r="L5448" s="22" t="n">
        <x:v>21.0249</x:v>
      </x:c>
      <x:c r="M5448" t="n">
        <x:v>2015</x:v>
      </x:c>
      <x:c r="N5448" s="20" t="n">
        <x:v>42095</x:v>
      </x:c>
    </x:row>
    <x:row r="5449" ht="18" customHeight="1">
      <x:c r="A5449" t="str">
        <x:v>CA-2015-148712</x:v>
      </x:c>
      <x:c r="B5449" s="18" t="n">
        <x:v>42111</x:v>
      </x:c>
      <x:c r="C5449" t="str">
        <x:v>JM-15535</x:v>
      </x:c>
      <x:c r="D5449" t="str">
        <x:v>Jessica Myrick</x:v>
      </x:c>
      <x:c r="E5449" t="str">
        <x:v>Consumer</x:v>
      </x:c>
      <x:c r="F5449" t="str">
        <x:v>East</x:v>
      </x:c>
      <x:c r="G5449" t="str">
        <x:v>Office Supplies</x:v>
      </x:c>
      <x:c r="H5449" t="str">
        <x:v>Art</x:v>
      </x:c>
      <x:c r="I5449" s="22" t="n">
        <x:v>10.709999999999999</x:v>
      </x:c>
      <x:c r="J5449" s="24" t="n">
        <x:v>3</x:v>
      </x:c>
      <x:c r="K5449" s="26" t="n">
        <x:v>0</x:v>
      </x:c>
      <x:c r="L5449" s="22" t="n">
        <x:v>2.7845999999999997</x:v>
      </x:c>
      <x:c r="M5449" t="n">
        <x:v>2015</x:v>
      </x:c>
      <x:c r="N5449" s="20" t="n">
        <x:v>42095</x:v>
      </x:c>
    </x:row>
    <x:row r="5450" ht="18" customHeight="1">
      <x:c r="A5450" t="str">
        <x:v>CA-2016-128307</x:v>
      </x:c>
      <x:c r="B5450" s="18" t="n">
        <x:v>42576</x:v>
      </x:c>
      <x:c r="C5450" t="str">
        <x:v>BE-11335</x:v>
      </x:c>
      <x:c r="D5450" t="str">
        <x:v>Bill Eplett</x:v>
      </x:c>
      <x:c r="E5450" t="str">
        <x:v>Home Office</x:v>
      </x:c>
      <x:c r="F5450" t="str">
        <x:v>Central</x:v>
      </x:c>
      <x:c r="G5450" t="str">
        <x:v>Office Supplies</x:v>
      </x:c>
      <x:c r="H5450" t="str">
        <x:v>Envelopes</x:v>
      </x:c>
      <x:c r="I5450" s="22" t="n">
        <x:v>20.936000000000003</x:v>
      </x:c>
      <x:c r="J5450" s="24" t="n">
        <x:v>1</x:v>
      </x:c>
      <x:c r="K5450" s="26" t="n">
        <x:v>0.2</x:v>
      </x:c>
      <x:c r="L5450" s="22" t="n">
        <x:v>7.0659</x:v>
      </x:c>
      <x:c r="M5450" t="n">
        <x:v>2016</x:v>
      </x:c>
      <x:c r="N5450" s="20" t="n">
        <x:v>42552</x:v>
      </x:c>
    </x:row>
    <x:row r="5451" ht="18" customHeight="1">
      <x:c r="A5451" t="str">
        <x:v>US-2016-127425</x:v>
      </x:c>
      <x:c r="B5451" s="18" t="n">
        <x:v>42608</x:v>
      </x:c>
      <x:c r="C5451" t="str">
        <x:v>DR-12880</x:v>
      </x:c>
      <x:c r="D5451" t="str">
        <x:v>Dan Reichenbach</x:v>
      </x:c>
      <x:c r="E5451" t="str">
        <x:v>Corporate</x:v>
      </x:c>
      <x:c r="F5451" t="str">
        <x:v>East</x:v>
      </x:c>
      <x:c r="G5451" t="str">
        <x:v>Technology</x:v>
      </x:c>
      <x:c r="H5451" t="str">
        <x:v>Phones</x:v>
      </x:c>
      <x:c r="I5451" s="22" t="n">
        <x:v>33</x:v>
      </x:c>
      <x:c r="J5451" s="24" t="n">
        <x:v>6</x:v>
      </x:c>
      <x:c r="K5451" s="26" t="n">
        <x:v>0</x:v>
      </x:c>
      <x:c r="L5451" s="22" t="n">
        <x:v>8.25</x:v>
      </x:c>
      <x:c r="M5451" t="n">
        <x:v>2016</x:v>
      </x:c>
      <x:c r="N5451" s="20" t="n">
        <x:v>42583</x:v>
      </x:c>
    </x:row>
    <x:row r="5452" ht="18" customHeight="1">
      <x:c r="A5452" t="str">
        <x:v>US-2016-127425</x:v>
      </x:c>
      <x:c r="B5452" s="18" t="n">
        <x:v>42608</x:v>
      </x:c>
      <x:c r="C5452" t="str">
        <x:v>DR-12880</x:v>
      </x:c>
      <x:c r="D5452" t="str">
        <x:v>Dan Reichenbach</x:v>
      </x:c>
      <x:c r="E5452" t="str">
        <x:v>Corporate</x:v>
      </x:c>
      <x:c r="F5452" t="str">
        <x:v>East</x:v>
      </x:c>
      <x:c r="G5452" t="str">
        <x:v>Technology</x:v>
      </x:c>
      <x:c r="H5452" t="str">
        <x:v>Accessories</x:v>
      </x:c>
      <x:c r="I5452" s="22" t="n">
        <x:v>249.95000000000002</x:v>
      </x:c>
      <x:c r="J5452" s="24" t="n">
        <x:v>5</x:v>
      </x:c>
      <x:c r="K5452" s="26" t="n">
        <x:v>0</x:v>
      </x:c>
      <x:c r="L5452" s="22" t="n">
        <x:v>87.48249999999999</x:v>
      </x:c>
      <x:c r="M5452" t="n">
        <x:v>2016</x:v>
      </x:c>
      <x:c r="N5452" s="20" t="n">
        <x:v>42583</x:v>
      </x:c>
    </x:row>
    <x:row r="5453" ht="18" customHeight="1">
      <x:c r="A5453" t="str">
        <x:v>US-2014-119081</x:v>
      </x:c>
      <x:c r="B5453" s="18" t="n">
        <x:v>41894</x:v>
      </x:c>
      <x:c r="C5453" t="str">
        <x:v>TA-21385</x:v>
      </x:c>
      <x:c r="D5453" t="str">
        <x:v>Tom Ashbrook</x:v>
      </x:c>
      <x:c r="E5453" t="str">
        <x:v>Home Office</x:v>
      </x:c>
      <x:c r="F5453" t="str">
        <x:v>Central</x:v>
      </x:c>
      <x:c r="G5453" t="str">
        <x:v>Office Supplies</x:v>
      </x:c>
      <x:c r="H5453" t="str">
        <x:v>Supplies</x:v>
      </x:c>
      <x:c r="I5453" s="22" t="n">
        <x:v>357.93</x:v>
      </x:c>
      <x:c r="J5453" s="24" t="n">
        <x:v>3</x:v>
      </x:c>
      <x:c r="K5453" s="26" t="n">
        <x:v>0</x:v>
      </x:c>
      <x:c r="L5453" s="22" t="n">
        <x:v>7.158600000000007</x:v>
      </x:c>
      <x:c r="M5453" t="n">
        <x:v>2014</x:v>
      </x:c>
      <x:c r="N5453" s="20" t="n">
        <x:v>41883</x:v>
      </x:c>
    </x:row>
    <x:row r="5454" ht="18" customHeight="1">
      <x:c r="A5454" t="str">
        <x:v>US-2014-119081</x:v>
      </x:c>
      <x:c r="B5454" s="18" t="n">
        <x:v>41894</x:v>
      </x:c>
      <x:c r="C5454" t="str">
        <x:v>TA-21385</x:v>
      </x:c>
      <x:c r="D5454" t="str">
        <x:v>Tom Ashbrook</x:v>
      </x:c>
      <x:c r="E5454" t="str">
        <x:v>Home Office</x:v>
      </x:c>
      <x:c r="F5454" t="str">
        <x:v>Central</x:v>
      </x:c>
      <x:c r="G5454" t="str">
        <x:v>Technology</x:v>
      </x:c>
      <x:c r="H5454" t="str">
        <x:v>Accessories</x:v>
      </x:c>
      <x:c r="I5454" s="22" t="n">
        <x:v>57.400000000000006</x:v>
      </x:c>
      <x:c r="J5454" s="24" t="n">
        <x:v>5</x:v>
      </x:c>
      <x:c r="K5454" s="26" t="n">
        <x:v>0</x:v>
      </x:c>
      <x:c r="L5454" s="22" t="n">
        <x:v>10.905999999999993</x:v>
      </x:c>
      <x:c r="M5454" t="n">
        <x:v>2014</x:v>
      </x:c>
      <x:c r="N5454" s="20" t="n">
        <x:v>41883</x:v>
      </x:c>
    </x:row>
    <x:row r="5455" ht="18" customHeight="1">
      <x:c r="A5455" t="str">
        <x:v>US-2014-119081</x:v>
      </x:c>
      <x:c r="B5455" s="18" t="n">
        <x:v>41894</x:v>
      </x:c>
      <x:c r="C5455" t="str">
        <x:v>TA-21385</x:v>
      </x:c>
      <x:c r="D5455" t="str">
        <x:v>Tom Ashbrook</x:v>
      </x:c>
      <x:c r="E5455" t="str">
        <x:v>Home Office</x:v>
      </x:c>
      <x:c r="F5455" t="str">
        <x:v>Central</x:v>
      </x:c>
      <x:c r="G5455" t="str">
        <x:v>Office Supplies</x:v>
      </x:c>
      <x:c r="H5455" t="str">
        <x:v>Binders</x:v>
      </x:c>
      <x:c r="I5455" s="22" t="n">
        <x:v>331.96</x:v>
      </x:c>
      <x:c r="J5455" s="24" t="n">
        <x:v>2</x:v>
      </x:c>
      <x:c r="K5455" s="26" t="n">
        <x:v>0</x:v>
      </x:c>
      <x:c r="L5455" s="22" t="n">
        <x:v>149.38199999999998</x:v>
      </x:c>
      <x:c r="M5455" t="n">
        <x:v>2014</x:v>
      </x:c>
      <x:c r="N5455" s="20" t="n">
        <x:v>41883</x:v>
      </x:c>
    </x:row>
    <x:row r="5456" ht="18" customHeight="1">
      <x:c r="A5456" t="str">
        <x:v>US-2014-119081</x:v>
      </x:c>
      <x:c r="B5456" s="18" t="n">
        <x:v>41894</x:v>
      </x:c>
      <x:c r="C5456" t="str">
        <x:v>TA-21385</x:v>
      </x:c>
      <x:c r="D5456" t="str">
        <x:v>Tom Ashbrook</x:v>
      </x:c>
      <x:c r="E5456" t="str">
        <x:v>Home Office</x:v>
      </x:c>
      <x:c r="F5456" t="str">
        <x:v>Central</x:v>
      </x:c>
      <x:c r="G5456" t="str">
        <x:v>Furniture</x:v>
      </x:c>
      <x:c r="H5456" t="str">
        <x:v>Furnishings</x:v>
      </x:c>
      <x:c r="I5456" s="22" t="n">
        <x:v>40.56</x:v>
      </x:c>
      <x:c r="J5456" s="24" t="n">
        <x:v>2</x:v>
      </x:c>
      <x:c r="K5456" s="26" t="n">
        <x:v>0</x:v>
      </x:c>
      <x:c r="L5456" s="22" t="n">
        <x:v>12.979199999999999</x:v>
      </x:c>
      <x:c r="M5456" t="n">
        <x:v>2014</x:v>
      </x:c>
      <x:c r="N5456" s="20" t="n">
        <x:v>41883</x:v>
      </x:c>
    </x:row>
    <x:row r="5457" ht="18" customHeight="1">
      <x:c r="A5457" t="str">
        <x:v>CA-2016-140613</x:v>
      </x:c>
      <x:c r="B5457" s="18" t="n">
        <x:v>42573</x:v>
      </x:c>
      <x:c r="C5457" t="str">
        <x:v>KN-16705</x:v>
      </x:c>
      <x:c r="D5457" t="str">
        <x:v>Kristina Nunn</x:v>
      </x:c>
      <x:c r="E5457" t="str">
        <x:v>Home Office</x:v>
      </x:c>
      <x:c r="F5457" t="str">
        <x:v>West</x:v>
      </x:c>
      <x:c r="G5457" t="str">
        <x:v>Office Supplies</x:v>
      </x:c>
      <x:c r="H5457" t="str">
        <x:v>Supplies</x:v>
      </x:c>
      <x:c r="I5457" s="22" t="n">
        <x:v>86.19999999999999</x:v>
      </x:c>
      <x:c r="J5457" s="24" t="n">
        <x:v>5</x:v>
      </x:c>
      <x:c r="K5457" s="26" t="n">
        <x:v>0</x:v>
      </x:c>
      <x:c r="L5457" s="22" t="n">
        <x:v>24.997999999999987</x:v>
      </x:c>
      <x:c r="M5457" t="n">
        <x:v>2016</x:v>
      </x:c>
      <x:c r="N5457" s="20" t="n">
        <x:v>42552</x:v>
      </x:c>
    </x:row>
    <x:row r="5458" ht="18" customHeight="1">
      <x:c r="A5458" t="str">
        <x:v>US-2017-108700</x:v>
      </x:c>
      <x:c r="B5458" s="18" t="n">
        <x:v>42874</x:v>
      </x:c>
      <x:c r="C5458" t="str">
        <x:v>PJ-18835</x:v>
      </x:c>
      <x:c r="D5458" t="str">
        <x:v>Patrick Jones</x:v>
      </x:c>
      <x:c r="E5458" t="str">
        <x:v>Corporate</x:v>
      </x:c>
      <x:c r="F5458" t="str">
        <x:v>Central</x:v>
      </x:c>
      <x:c r="G5458" t="str">
        <x:v>Office Supplies</x:v>
      </x:c>
      <x:c r="H5458" t="str">
        <x:v>Paper</x:v>
      </x:c>
      <x:c r="I5458" s="22" t="n">
        <x:v>38.016000000000005</x:v>
      </x:c>
      <x:c r="J5458" s="24" t="n">
        <x:v>6</x:v>
      </x:c>
      <x:c r="K5458" s="26" t="n">
        <x:v>0.2</x:v>
      </x:c>
      <x:c r="L5458" s="22" t="n">
        <x:v>13.780799999999996</x:v>
      </x:c>
      <x:c r="M5458" t="n">
        <x:v>2017</x:v>
      </x:c>
      <x:c r="N5458" s="20" t="n">
        <x:v>42856</x:v>
      </x:c>
    </x:row>
    <x:row r="5459" ht="18" customHeight="1">
      <x:c r="A5459" t="str">
        <x:v>CA-2017-160962</x:v>
      </x:c>
      <x:c r="B5459" s="18" t="n">
        <x:v>42853</x:v>
      </x:c>
      <x:c r="C5459" t="str">
        <x:v>MC-17605</x:v>
      </x:c>
      <x:c r="D5459" t="str">
        <x:v>Matt Connell</x:v>
      </x:c>
      <x:c r="E5459" t="str">
        <x:v>Corporate</x:v>
      </x:c>
      <x:c r="F5459" t="str">
        <x:v>East</x:v>
      </x:c>
      <x:c r="G5459" t="str">
        <x:v>Office Supplies</x:v>
      </x:c>
      <x:c r="H5459" t="str">
        <x:v>Storage</x:v>
      </x:c>
      <x:c r="I5459" s="22" t="n">
        <x:v>8.384</x:v>
      </x:c>
      <x:c r="J5459" s="24" t="n">
        <x:v>1</x:v>
      </x:c>
      <x:c r="K5459" s="26" t="n">
        <x:v>0.2</x:v>
      </x:c>
      <x:c r="L5459" s="22" t="n">
        <x:v>0.7336</x:v>
      </x:c>
      <x:c r="M5459" t="n">
        <x:v>2017</x:v>
      </x:c>
      <x:c r="N5459" s="20" t="n">
        <x:v>42826</x:v>
      </x:c>
    </x:row>
    <x:row r="5460" ht="18" customHeight="1">
      <x:c r="A5460" t="str">
        <x:v>CA-2017-160962</x:v>
      </x:c>
      <x:c r="B5460" s="18" t="n">
        <x:v>42853</x:v>
      </x:c>
      <x:c r="C5460" t="str">
        <x:v>MC-17605</x:v>
      </x:c>
      <x:c r="D5460" t="str">
        <x:v>Matt Connell</x:v>
      </x:c>
      <x:c r="E5460" t="str">
        <x:v>Corporate</x:v>
      </x:c>
      <x:c r="F5460" t="str">
        <x:v>East</x:v>
      </x:c>
      <x:c r="G5460" t="str">
        <x:v>Office Supplies</x:v>
      </x:c>
      <x:c r="H5460" t="str">
        <x:v>Art</x:v>
      </x:c>
      <x:c r="I5460" s="22" t="n">
        <x:v>6.848000000000001</x:v>
      </x:c>
      <x:c r="J5460" s="24" t="n">
        <x:v>2</x:v>
      </x:c>
      <x:c r="K5460" s="26" t="n">
        <x:v>0.2</x:v>
      </x:c>
      <x:c r="L5460" s="22" t="n">
        <x:v>0.7703999999999991</x:v>
      </x:c>
      <x:c r="M5460" t="n">
        <x:v>2017</x:v>
      </x:c>
      <x:c r="N5460" s="20" t="n">
        <x:v>42826</x:v>
      </x:c>
    </x:row>
    <x:row r="5461" ht="18" customHeight="1">
      <x:c r="A5461" t="str">
        <x:v>CA-2017-130631</x:v>
      </x:c>
      <x:c r="B5461" s="18" t="n">
        <x:v>43098</x:v>
      </x:c>
      <x:c r="C5461" t="str">
        <x:v>BS-11755</x:v>
      </x:c>
      <x:c r="D5461" t="str">
        <x:v>Bruce Stewart</x:v>
      </x:c>
      <x:c r="E5461" t="str">
        <x:v>Consumer</x:v>
      </x:c>
      <x:c r="F5461" t="str">
        <x:v>West</x:v>
      </x:c>
      <x:c r="G5461" t="str">
        <x:v>Office Supplies</x:v>
      </x:c>
      <x:c r="H5461" t="str">
        <x:v>Fasteners</x:v>
      </x:c>
      <x:c r="I5461" s="22" t="n">
        <x:v>19.6</x:v>
      </x:c>
      <x:c r="J5461" s="24" t="n">
        <x:v>5</x:v>
      </x:c>
      <x:c r="K5461" s="26" t="n">
        <x:v>0</x:v>
      </x:c>
      <x:c r="L5461" s="22" t="n">
        <x:v>9.604</x:v>
      </x:c>
      <x:c r="M5461" t="n">
        <x:v>2017</x:v>
      </x:c>
      <x:c r="N5461" s="20" t="n">
        <x:v>43070</x:v>
      </x:c>
    </x:row>
    <x:row r="5462" ht="18" customHeight="1">
      <x:c r="A5462" t="str">
        <x:v>CA-2017-130631</x:v>
      </x:c>
      <x:c r="B5462" s="18" t="n">
        <x:v>43098</x:v>
      </x:c>
      <x:c r="C5462" t="str">
        <x:v>BS-11755</x:v>
      </x:c>
      <x:c r="D5462" t="str">
        <x:v>Bruce Stewart</x:v>
      </x:c>
      <x:c r="E5462" t="str">
        <x:v>Consumer</x:v>
      </x:c>
      <x:c r="F5462" t="str">
        <x:v>West</x:v>
      </x:c>
      <x:c r="G5462" t="str">
        <x:v>Furniture</x:v>
      </x:c>
      <x:c r="H5462" t="str">
        <x:v>Furnishings</x:v>
      </x:c>
      <x:c r="I5462" s="22" t="n">
        <x:v>68.46</x:v>
      </x:c>
      <x:c r="J5462" s="24" t="n">
        <x:v>2</x:v>
      </x:c>
      <x:c r="K5462" s="26" t="n">
        <x:v>0</x:v>
      </x:c>
      <x:c r="L5462" s="22" t="n">
        <x:v>20.537999999999997</x:v>
      </x:c>
      <x:c r="M5462" t="n">
        <x:v>2017</x:v>
      </x:c>
      <x:c r="N5462" s="20" t="n">
        <x:v>43070</x:v>
      </x:c>
    </x:row>
    <x:row r="5463" ht="18" customHeight="1">
      <x:c r="A5463" t="str">
        <x:v>CA-2017-116680</x:v>
      </x:c>
      <x:c r="B5463" s="18" t="n">
        <x:v>42982</x:v>
      </x:c>
      <x:c r="C5463" t="str">
        <x:v>PK-19075</x:v>
      </x:c>
      <x:c r="D5463" t="str">
        <x:v>Pete Kriz</x:v>
      </x:c>
      <x:c r="E5463" t="str">
        <x:v>Consumer</x:v>
      </x:c>
      <x:c r="F5463" t="str">
        <x:v>West</x:v>
      </x:c>
      <x:c r="G5463" t="str">
        <x:v>Office Supplies</x:v>
      </x:c>
      <x:c r="H5463" t="str">
        <x:v>Binders</x:v>
      </x:c>
      <x:c r="I5463" s="22" t="n">
        <x:v>13.343999999999998</x:v>
      </x:c>
      <x:c r="J5463" s="24" t="n">
        <x:v>6</x:v>
      </x:c>
      <x:c r="K5463" s="26" t="n">
        <x:v>0.2</x:v>
      </x:c>
      <x:c r="L5463" s="22" t="n">
        <x:v>4.336799999999999</x:v>
      </x:c>
      <x:c r="M5463" t="n">
        <x:v>2017</x:v>
      </x:c>
      <x:c r="N5463" s="20" t="n">
        <x:v>42979</x:v>
      </x:c>
    </x:row>
    <x:row r="5464" ht="18" customHeight="1">
      <x:c r="A5464" t="str">
        <x:v>CA-2017-116680</x:v>
      </x:c>
      <x:c r="B5464" s="18" t="n">
        <x:v>42982</x:v>
      </x:c>
      <x:c r="C5464" t="str">
        <x:v>PK-19075</x:v>
      </x:c>
      <x:c r="D5464" t="str">
        <x:v>Pete Kriz</x:v>
      </x:c>
      <x:c r="E5464" t="str">
        <x:v>Consumer</x:v>
      </x:c>
      <x:c r="F5464" t="str">
        <x:v>West</x:v>
      </x:c>
      <x:c r="G5464" t="str">
        <x:v>Furniture</x:v>
      </x:c>
      <x:c r="H5464" t="str">
        <x:v>Tables</x:v>
      </x:c>
      <x:c r="I5464" s="22" t="n">
        <x:v>1478.272</x:v>
      </x:c>
      <x:c r="J5464" s="24" t="n">
        <x:v>8</x:v>
      </x:c>
      <x:c r="K5464" s="26" t="n">
        <x:v>0.2</x:v>
      </x:c>
      <x:c r="L5464" s="22" t="n">
        <x:v>92.39200000000005</x:v>
      </x:c>
      <x:c r="M5464" t="n">
        <x:v>2017</x:v>
      </x:c>
      <x:c r="N5464" s="20" t="n">
        <x:v>42979</x:v>
      </x:c>
    </x:row>
    <x:row r="5465" ht="18" customHeight="1">
      <x:c r="A5465" t="str">
        <x:v>US-2014-107405</x:v>
      </x:c>
      <x:c r="B5465" s="18" t="n">
        <x:v>41719</x:v>
      </x:c>
      <x:c r="C5465" t="str">
        <x:v>TS-21205</x:v>
      </x:c>
      <x:c r="D5465" t="str">
        <x:v>Thomas Seio</x:v>
      </x:c>
      <x:c r="E5465" t="str">
        <x:v>Corporate</x:v>
      </x:c>
      <x:c r="F5465" t="str">
        <x:v>South</x:v>
      </x:c>
      <x:c r="G5465" t="str">
        <x:v>Office Supplies</x:v>
      </x:c>
      <x:c r="H5465" t="str">
        <x:v>Storage</x:v>
      </x:c>
      <x:c r="I5465" s="22" t="n">
        <x:v>16.272000000000002</x:v>
      </x:c>
      <x:c r="J5465" s="24" t="n">
        <x:v>1</x:v>
      </x:c>
      <x:c r="K5465" s="26" t="n">
        <x:v>0.2</x:v>
      </x:c>
      <x:c r="L5465" s="22" t="n">
        <x:v>-3.864600000000002</x:v>
      </x:c>
      <x:c r="M5465" t="n">
        <x:v>2014</x:v>
      </x:c>
      <x:c r="N5465" s="20" t="n">
        <x:v>41699</x:v>
      </x:c>
    </x:row>
    <x:row r="5466" ht="18" customHeight="1">
      <x:c r="A5466" t="str">
        <x:v>CA-2017-101574</x:v>
      </x:c>
      <x:c r="B5466" s="18" t="n">
        <x:v>43006</x:v>
      </x:c>
      <x:c r="C5466" t="str">
        <x:v>BD-11725</x:v>
      </x:c>
      <x:c r="D5466" t="str">
        <x:v>Bruce Degenhardt</x:v>
      </x:c>
      <x:c r="E5466" t="str">
        <x:v>Consumer</x:v>
      </x:c>
      <x:c r="F5466" t="str">
        <x:v>West</x:v>
      </x:c>
      <x:c r="G5466" t="str">
        <x:v>Furniture</x:v>
      </x:c>
      <x:c r="H5466" t="str">
        <x:v>Furnishings</x:v>
      </x:c>
      <x:c r="I5466" s="22" t="n">
        <x:v>9.24</x:v>
      </x:c>
      <x:c r="J5466" s="24" t="n">
        <x:v>3</x:v>
      </x:c>
      <x:c r="K5466" s="26" t="n">
        <x:v>0</x:v>
      </x:c>
      <x:c r="L5466" s="22" t="n">
        <x:v>4.4352</x:v>
      </x:c>
      <x:c r="M5466" t="n">
        <x:v>2017</x:v>
      </x:c>
      <x:c r="N5466" s="20" t="n">
        <x:v>42979</x:v>
      </x:c>
    </x:row>
    <x:row r="5467" ht="18" customHeight="1">
      <x:c r="A5467" t="str">
        <x:v>CA-2014-146591</x:v>
      </x:c>
      <x:c r="B5467" s="18" t="n">
        <x:v>41658</x:v>
      </x:c>
      <x:c r="C5467" t="str">
        <x:v>TS-21340</x:v>
      </x:c>
      <x:c r="D5467" t="str">
        <x:v>Toby Swindell</x:v>
      </x:c>
      <x:c r="E5467" t="str">
        <x:v>Consumer</x:v>
      </x:c>
      <x:c r="F5467" t="str">
        <x:v>West</x:v>
      </x:c>
      <x:c r="G5467" t="str">
        <x:v>Office Supplies</x:v>
      </x:c>
      <x:c r="H5467" t="str">
        <x:v>Binders</x:v>
      </x:c>
      <x:c r="I5467" s="22" t="n">
        <x:v>32.34</x:v>
      </x:c>
      <x:c r="J5467" s="24" t="n">
        <x:v>10</x:v>
      </x:c>
      <x:c r="K5467" s="26" t="n">
        <x:v>0.7</x:v>
      </x:c>
      <x:c r="L5467" s="22" t="n">
        <x:v>-23.716</x:v>
      </x:c>
      <x:c r="M5467" t="n">
        <x:v>2014</x:v>
      </x:c>
      <x:c r="N5467" s="20" t="n">
        <x:v>41640</x:v>
      </x:c>
    </x:row>
    <x:row r="5468" ht="18" customHeight="1">
      <x:c r="A5468" t="str">
        <x:v>CA-2014-146591</x:v>
      </x:c>
      <x:c r="B5468" s="18" t="n">
        <x:v>41658</x:v>
      </x:c>
      <x:c r="C5468" t="str">
        <x:v>TS-21340</x:v>
      </x:c>
      <x:c r="D5468" t="str">
        <x:v>Toby Swindell</x:v>
      </x:c>
      <x:c r="E5468" t="str">
        <x:v>Consumer</x:v>
      </x:c>
      <x:c r="F5468" t="str">
        <x:v>West</x:v>
      </x:c>
      <x:c r="G5468" t="str">
        <x:v>Office Supplies</x:v>
      </x:c>
      <x:c r="H5468" t="str">
        <x:v>Paper</x:v>
      </x:c>
      <x:c r="I5468" s="22" t="n">
        <x:v>56.064</x:v>
      </x:c>
      <x:c r="J5468" s="24" t="n">
        <x:v>4</x:v>
      </x:c>
      <x:c r="K5468" s="26" t="n">
        <x:v>0.2</x:v>
      </x:c>
      <x:c r="L5468" s="22" t="n">
        <x:v>19.6224</x:v>
      </x:c>
      <x:c r="M5468" t="n">
        <x:v>2014</x:v>
      </x:c>
      <x:c r="N5468" s="20" t="n">
        <x:v>41640</x:v>
      </x:c>
    </x:row>
    <x:row r="5469" ht="18" customHeight="1">
      <x:c r="A5469" t="str">
        <x:v>CA-2014-146591</x:v>
      </x:c>
      <x:c r="B5469" s="18" t="n">
        <x:v>41658</x:v>
      </x:c>
      <x:c r="C5469" t="str">
        <x:v>TS-21340</x:v>
      </x:c>
      <x:c r="D5469" t="str">
        <x:v>Toby Swindell</x:v>
      </x:c>
      <x:c r="E5469" t="str">
        <x:v>Consumer</x:v>
      </x:c>
      <x:c r="F5469" t="str">
        <x:v>West</x:v>
      </x:c>
      <x:c r="G5469" t="str">
        <x:v>Office Supplies</x:v>
      </x:c>
      <x:c r="H5469" t="str">
        <x:v>Envelopes</x:v>
      </x:c>
      <x:c r="I5469" s="22" t="n">
        <x:v>108.72</x:v>
      </x:c>
      <x:c r="J5469" s="24" t="n">
        <x:v>5</x:v>
      </x:c>
      <x:c r="K5469" s="26" t="n">
        <x:v>0.2</x:v>
      </x:c>
      <x:c r="L5469" s="22" t="n">
        <x:v>36.693</x:v>
      </x:c>
      <x:c r="M5469" t="n">
        <x:v>2014</x:v>
      </x:c>
      <x:c r="N5469" s="20" t="n">
        <x:v>41640</x:v>
      </x:c>
    </x:row>
    <x:row r="5470" ht="18" customHeight="1">
      <x:c r="A5470" t="str">
        <x:v>CA-2014-146591</x:v>
      </x:c>
      <x:c r="B5470" s="18" t="n">
        <x:v>41658</x:v>
      </x:c>
      <x:c r="C5470" t="str">
        <x:v>TS-21340</x:v>
      </x:c>
      <x:c r="D5470" t="str">
        <x:v>Toby Swindell</x:v>
      </x:c>
      <x:c r="E5470" t="str">
        <x:v>Consumer</x:v>
      </x:c>
      <x:c r="F5470" t="str">
        <x:v>West</x:v>
      </x:c>
      <x:c r="G5470" t="str">
        <x:v>Furniture</x:v>
      </x:c>
      <x:c r="H5470" t="str">
        <x:v>Bookcases</x:v>
      </x:c>
      <x:c r="I5470" s="22" t="n">
        <x:v>181.47000000000003</x:v>
      </x:c>
      <x:c r="J5470" s="24" t="n">
        <x:v>5</x:v>
      </x:c>
      <x:c r="K5470" s="26" t="n">
        <x:v>0.7</x:v>
      </x:c>
      <x:c r="L5470" s="22" t="n">
        <x:v>-320.597</x:v>
      </x:c>
      <x:c r="M5470" t="n">
        <x:v>2014</x:v>
      </x:c>
      <x:c r="N5470" s="20" t="n">
        <x:v>41640</x:v>
      </x:c>
    </x:row>
    <x:row r="5471" ht="18" customHeight="1">
      <x:c r="A5471" t="str">
        <x:v>CA-2014-107706</x:v>
      </x:c>
      <x:c r="B5471" s="18" t="n">
        <x:v>41684</x:v>
      </x:c>
      <x:c r="C5471" t="str">
        <x:v>ST-20530</x:v>
      </x:c>
      <x:c r="D5471" t="str">
        <x:v>Shui Tom</x:v>
      </x:c>
      <x:c r="E5471" t="str">
        <x:v>Consumer</x:v>
      </x:c>
      <x:c r="F5471" t="str">
        <x:v>Central</x:v>
      </x:c>
      <x:c r="G5471" t="str">
        <x:v>Office Supplies</x:v>
      </x:c>
      <x:c r="H5471" t="str">
        <x:v>Paper</x:v>
      </x:c>
      <x:c r="I5471" s="22" t="n">
        <x:v>16.176000000000002</x:v>
      </x:c>
      <x:c r="J5471" s="24" t="n">
        <x:v>3</x:v>
      </x:c>
      <x:c r="K5471" s="26" t="n">
        <x:v>0.2</x:v>
      </x:c>
      <x:c r="L5471" s="22" t="n">
        <x:v>6.065999999999999</x:v>
      </x:c>
      <x:c r="M5471" t="n">
        <x:v>2014</x:v>
      </x:c>
      <x:c r="N5471" s="20" t="n">
        <x:v>41671</x:v>
      </x:c>
    </x:row>
    <x:row r="5472" ht="18" customHeight="1">
      <x:c r="A5472" t="str">
        <x:v>CA-2016-122448</x:v>
      </x:c>
      <x:c r="B5472" s="18" t="n">
        <x:v>42530</x:v>
      </x:c>
      <x:c r="C5472" t="str">
        <x:v>DB-13210</x:v>
      </x:c>
      <x:c r="D5472" t="str">
        <x:v>Dean Braden</x:v>
      </x:c>
      <x:c r="E5472" t="str">
        <x:v>Consumer</x:v>
      </x:c>
      <x:c r="F5472" t="str">
        <x:v>West</x:v>
      </x:c>
      <x:c r="G5472" t="str">
        <x:v>Furniture</x:v>
      </x:c>
      <x:c r="H5472" t="str">
        <x:v>Chairs</x:v>
      </x:c>
      <x:c r="I5472" s="22" t="n">
        <x:v>122.352</x:v>
      </x:c>
      <x:c r="J5472" s="24" t="n">
        <x:v>3</x:v>
      </x:c>
      <x:c r="K5472" s="26" t="n">
        <x:v>0.2</x:v>
      </x:c>
      <x:c r="L5472" s="22" t="n">
        <x:v>13.764599999999994</x:v>
      </x:c>
      <x:c r="M5472" t="n">
        <x:v>2016</x:v>
      </x:c>
      <x:c r="N5472" s="20" t="n">
        <x:v>42522</x:v>
      </x:c>
    </x:row>
    <x:row r="5473" ht="18" customHeight="1">
      <x:c r="A5473" t="str">
        <x:v>CA-2014-132451</x:v>
      </x:c>
      <x:c r="B5473" s="18" t="n">
        <x:v>41908</x:v>
      </x:c>
      <x:c r="C5473" t="str">
        <x:v>KF-16285</x:v>
      </x:c>
      <x:c r="D5473" t="str">
        <x:v>Karen Ferguson</x:v>
      </x:c>
      <x:c r="E5473" t="str">
        <x:v>Home Office</x:v>
      </x:c>
      <x:c r="F5473" t="str">
        <x:v>West</x:v>
      </x:c>
      <x:c r="G5473" t="str">
        <x:v>Furniture</x:v>
      </x:c>
      <x:c r="H5473" t="str">
        <x:v>Chairs</x:v>
      </x:c>
      <x:c r="I5473" s="22" t="n">
        <x:v>585.552</x:v>
      </x:c>
      <x:c r="J5473" s="24" t="n">
        <x:v>3</x:v>
      </x:c>
      <x:c r="K5473" s="26" t="n">
        <x:v>0.2</x:v>
      </x:c>
      <x:c r="L5473" s="22" t="n">
        <x:v>73.19399999999996</x:v>
      </x:c>
      <x:c r="M5473" t="n">
        <x:v>2014</x:v>
      </x:c>
      <x:c r="N5473" s="20" t="n">
        <x:v>41883</x:v>
      </x:c>
    </x:row>
    <x:row r="5474" ht="18" customHeight="1">
      <x:c r="A5474" t="str">
        <x:v>CA-2014-132451</x:v>
      </x:c>
      <x:c r="B5474" s="18" t="n">
        <x:v>41908</x:v>
      </x:c>
      <x:c r="C5474" t="str">
        <x:v>KF-16285</x:v>
      </x:c>
      <x:c r="D5474" t="str">
        <x:v>Karen Ferguson</x:v>
      </x:c>
      <x:c r="E5474" t="str">
        <x:v>Home Office</x:v>
      </x:c>
      <x:c r="F5474" t="str">
        <x:v>West</x:v>
      </x:c>
      <x:c r="G5474" t="str">
        <x:v>Office Supplies</x:v>
      </x:c>
      <x:c r="H5474" t="str">
        <x:v>Paper</x:v>
      </x:c>
      <x:c r="I5474" s="22" t="n">
        <x:v>19.44</x:v>
      </x:c>
      <x:c r="J5474" s="24" t="n">
        <x:v>3</x:v>
      </x:c>
      <x:c r="K5474" s="26" t="n">
        <x:v>0</x:v>
      </x:c>
      <x:c r="L5474" s="22" t="n">
        <x:v>9.3312</x:v>
      </x:c>
      <x:c r="M5474" t="n">
        <x:v>2014</x:v>
      </x:c>
      <x:c r="N5474" s="20" t="n">
        <x:v>41883</x:v>
      </x:c>
    </x:row>
    <x:row r="5475" ht="18" customHeight="1">
      <x:c r="A5475" t="str">
        <x:v>CA-2016-158547</x:v>
      </x:c>
      <x:c r="B5475" s="18" t="n">
        <x:v>42520</x:v>
      </x:c>
      <x:c r="C5475" t="str">
        <x:v>JM-16195</x:v>
      </x:c>
      <x:c r="D5475" t="str">
        <x:v>Justin MacKendrick</x:v>
      </x:c>
      <x:c r="E5475" t="str">
        <x:v>Consumer</x:v>
      </x:c>
      <x:c r="F5475" t="str">
        <x:v>East</x:v>
      </x:c>
      <x:c r="G5475" t="str">
        <x:v>Office Supplies</x:v>
      </x:c>
      <x:c r="H5475" t="str">
        <x:v>Appliances</x:v>
      </x:c>
      <x:c r="I5475" s="22" t="n">
        <x:v>123.92000000000002</x:v>
      </x:c>
      <x:c r="J5475" s="24" t="n">
        <x:v>5</x:v>
      </x:c>
      <x:c r="K5475" s="26" t="n">
        <x:v>0.2</x:v>
      </x:c>
      <x:c r="L5475" s="22" t="n">
        <x:v>9.293999999999997</x:v>
      </x:c>
      <x:c r="M5475" t="n">
        <x:v>2016</x:v>
      </x:c>
      <x:c r="N5475" s="20" t="n">
        <x:v>42491</x:v>
      </x:c>
    </x:row>
    <x:row r="5476" ht="18" customHeight="1">
      <x:c r="A5476" t="str">
        <x:v>CA-2017-116946</x:v>
      </x:c>
      <x:c r="B5476" s="18" t="n">
        <x:v>43088</x:v>
      </x:c>
      <x:c r="C5476" t="str">
        <x:v>TS-21505</x:v>
      </x:c>
      <x:c r="D5476" t="str">
        <x:v>Tony Sayre</x:v>
      </x:c>
      <x:c r="E5476" t="str">
        <x:v>Consumer</x:v>
      </x:c>
      <x:c r="F5476" t="str">
        <x:v>West</x:v>
      </x:c>
      <x:c r="G5476" t="str">
        <x:v>Furniture</x:v>
      </x:c>
      <x:c r="H5476" t="str">
        <x:v>Furnishings</x:v>
      </x:c>
      <x:c r="I5476" s="22" t="n">
        <x:v>13.360000000000001</x:v>
      </x:c>
      <x:c r="J5476" s="24" t="n">
        <x:v>5</x:v>
      </x:c>
      <x:c r="K5476" s="26" t="n">
        <x:v>0.2</x:v>
      </x:c>
      <x:c r="L5476" s="22" t="n">
        <x:v>4.008000000000001</x:v>
      </x:c>
      <x:c r="M5476" t="n">
        <x:v>2017</x:v>
      </x:c>
      <x:c r="N5476" s="20" t="n">
        <x:v>43070</x:v>
      </x:c>
    </x:row>
    <x:row r="5477" ht="18" customHeight="1">
      <x:c r="A5477" t="str">
        <x:v>CA-2017-116946</x:v>
      </x:c>
      <x:c r="B5477" s="18" t="n">
        <x:v>43088</x:v>
      </x:c>
      <x:c r="C5477" t="str">
        <x:v>TS-21505</x:v>
      </x:c>
      <x:c r="D5477" t="str">
        <x:v>Tony Sayre</x:v>
      </x:c>
      <x:c r="E5477" t="str">
        <x:v>Consumer</x:v>
      </x:c>
      <x:c r="F5477" t="str">
        <x:v>West</x:v>
      </x:c>
      <x:c r="G5477" t="str">
        <x:v>Office Supplies</x:v>
      </x:c>
      <x:c r="H5477" t="str">
        <x:v>Storage</x:v>
      </x:c>
      <x:c r="I5477" s="22" t="n">
        <x:v>78.256</x:v>
      </x:c>
      <x:c r="J5477" s="24" t="n">
        <x:v>2</x:v>
      </x:c>
      <x:c r="K5477" s="26" t="n">
        <x:v>0.2</x:v>
      </x:c>
      <x:c r="L5477" s="22" t="n">
        <x:v>-17.607599999999998</x:v>
      </x:c>
      <x:c r="M5477" t="n">
        <x:v>2017</x:v>
      </x:c>
      <x:c r="N5477" s="20" t="n">
        <x:v>43070</x:v>
      </x:c>
    </x:row>
    <x:row r="5478" ht="18" customHeight="1">
      <x:c r="A5478" t="str">
        <x:v>CA-2017-116946</x:v>
      </x:c>
      <x:c r="B5478" s="18" t="n">
        <x:v>43088</x:v>
      </x:c>
      <x:c r="C5478" t="str">
        <x:v>TS-21505</x:v>
      </x:c>
      <x:c r="D5478" t="str">
        <x:v>Tony Sayre</x:v>
      </x:c>
      <x:c r="E5478" t="str">
        <x:v>Consumer</x:v>
      </x:c>
      <x:c r="F5478" t="str">
        <x:v>West</x:v>
      </x:c>
      <x:c r="G5478" t="str">
        <x:v>Furniture</x:v>
      </x:c>
      <x:c r="H5478" t="str">
        <x:v>Bookcases</x:v>
      </x:c>
      <x:c r="I5478" s="22" t="n">
        <x:v>102.01800000000001</x:v>
      </x:c>
      <x:c r="J5478" s="24" t="n">
        <x:v>7</x:v>
      </x:c>
      <x:c r="K5478" s="26" t="n">
        <x:v>0.7</x:v>
      </x:c>
      <x:c r="L5478" s="22" t="n">
        <x:v>-183.6323999999999</x:v>
      </x:c>
      <x:c r="M5478" t="n">
        <x:v>2017</x:v>
      </x:c>
      <x:c r="N5478" s="20" t="n">
        <x:v>43070</x:v>
      </x:c>
    </x:row>
    <x:row r="5479" ht="18" customHeight="1">
      <x:c r="A5479" t="str">
        <x:v>CA-2017-121741</x:v>
      </x:c>
      <x:c r="B5479" s="18" t="n">
        <x:v>43095</x:v>
      </x:c>
      <x:c r="C5479" t="str">
        <x:v>YC-21895</x:v>
      </x:c>
      <x:c r="D5479" t="str">
        <x:v>Yoseph Carroll</x:v>
      </x:c>
      <x:c r="E5479" t="str">
        <x:v>Corporate</x:v>
      </x:c>
      <x:c r="F5479" t="str">
        <x:v>Central</x:v>
      </x:c>
      <x:c r="G5479" t="str">
        <x:v>Office Supplies</x:v>
      </x:c>
      <x:c r="H5479" t="str">
        <x:v>Storage</x:v>
      </x:c>
      <x:c r="I5479" s="22" t="n">
        <x:v>750.68</x:v>
      </x:c>
      <x:c r="J5479" s="24" t="n">
        <x:v>2</x:v>
      </x:c>
      <x:c r="K5479" s="26" t="n">
        <x:v>0</x:v>
      </x:c>
      <x:c r="L5479" s="22" t="n">
        <x:v>37.53399999999999</x:v>
      </x:c>
      <x:c r="M5479" t="n">
        <x:v>2017</x:v>
      </x:c>
      <x:c r="N5479" s="20" t="n">
        <x:v>43070</x:v>
      </x:c>
    </x:row>
    <x:row r="5480" ht="18" customHeight="1">
      <x:c r="A5480" t="str">
        <x:v>CA-2017-169691</x:v>
      </x:c>
      <x:c r="B5480" s="18" t="n">
        <x:v>42901</x:v>
      </x:c>
      <x:c r="C5480" t="str">
        <x:v>Dp-13240</x:v>
      </x:c>
      <x:c r="D5480" t="str">
        <x:v>Dean percer</x:v>
      </x:c>
      <x:c r="E5480" t="str">
        <x:v>Home Office</x:v>
      </x:c>
      <x:c r="F5480" t="str">
        <x:v>Central</x:v>
      </x:c>
      <x:c r="G5480" t="str">
        <x:v>Office Supplies</x:v>
      </x:c>
      <x:c r="H5480" t="str">
        <x:v>Labels</x:v>
      </x:c>
      <x:c r="I5480" s="22" t="n">
        <x:v>44.400000000000006</x:v>
      </x:c>
      <x:c r="J5480" s="24" t="n">
        <x:v>3</x:v>
      </x:c>
      <x:c r="K5480" s="26" t="n">
        <x:v>0</x:v>
      </x:c>
      <x:c r="L5480" s="22" t="n">
        <x:v>22.200000000000003</x:v>
      </x:c>
      <x:c r="M5480" t="n">
        <x:v>2017</x:v>
      </x:c>
      <x:c r="N5480" s="20" t="n">
        <x:v>42887</x:v>
      </x:c>
    </x:row>
    <x:row r="5481" ht="18" customHeight="1">
      <x:c r="A5481" t="str">
        <x:v>CA-2017-169691</x:v>
      </x:c>
      <x:c r="B5481" s="18" t="n">
        <x:v>42901</x:v>
      </x:c>
      <x:c r="C5481" t="str">
        <x:v>Dp-13240</x:v>
      </x:c>
      <x:c r="D5481" t="str">
        <x:v>Dean percer</x:v>
      </x:c>
      <x:c r="E5481" t="str">
        <x:v>Home Office</x:v>
      </x:c>
      <x:c r="F5481" t="str">
        <x:v>Central</x:v>
      </x:c>
      <x:c r="G5481" t="str">
        <x:v>Office Supplies</x:v>
      </x:c>
      <x:c r="H5481" t="str">
        <x:v>Storage</x:v>
      </x:c>
      <x:c r="I5481" s="22" t="n">
        <x:v>84.55</x:v>
      </x:c>
      <x:c r="J5481" s="24" t="n">
        <x:v>5</x:v>
      </x:c>
      <x:c r="K5481" s="26" t="n">
        <x:v>0</x:v>
      </x:c>
      <x:c r="L5481" s="22" t="n">
        <x:v>22.8285</x:v>
      </x:c>
      <x:c r="M5481" t="n">
        <x:v>2017</x:v>
      </x:c>
      <x:c r="N5481" s="20" t="n">
        <x:v>42887</x:v>
      </x:c>
    </x:row>
    <x:row r="5482" ht="18" customHeight="1">
      <x:c r="A5482" t="str">
        <x:v>CA-2017-169691</x:v>
      </x:c>
      <x:c r="B5482" s="18" t="n">
        <x:v>42901</x:v>
      </x:c>
      <x:c r="C5482" t="str">
        <x:v>Dp-13240</x:v>
      </x:c>
      <x:c r="D5482" t="str">
        <x:v>Dean percer</x:v>
      </x:c>
      <x:c r="E5482" t="str">
        <x:v>Home Office</x:v>
      </x:c>
      <x:c r="F5482" t="str">
        <x:v>Central</x:v>
      </x:c>
      <x:c r="G5482" t="str">
        <x:v>Office Supplies</x:v>
      </x:c>
      <x:c r="H5482" t="str">
        <x:v>Paper</x:v>
      </x:c>
      <x:c r="I5482" s="22" t="n">
        <x:v>17.94</x:v>
      </x:c>
      <x:c r="J5482" s="24" t="n">
        <x:v>3</x:v>
      </x:c>
      <x:c r="K5482" s="26" t="n">
        <x:v>0</x:v>
      </x:c>
      <x:c r="L5482" s="22" t="n">
        <x:v>8.790600000000001</x:v>
      </x:c>
      <x:c r="M5482" t="n">
        <x:v>2017</x:v>
      </x:c>
      <x:c r="N5482" s="20" t="n">
        <x:v>42887</x:v>
      </x:c>
    </x:row>
    <x:row r="5483" ht="18" customHeight="1">
      <x:c r="A5483" t="str">
        <x:v>CA-2016-121356</x:v>
      </x:c>
      <x:c r="B5483" s="18" t="n">
        <x:v>42694</x:v>
      </x:c>
      <x:c r="C5483" t="str">
        <x:v>SJ-20500</x:v>
      </x:c>
      <x:c r="D5483" t="str">
        <x:v>Shirley Jackson</x:v>
      </x:c>
      <x:c r="E5483" t="str">
        <x:v>Consumer</x:v>
      </x:c>
      <x:c r="F5483" t="str">
        <x:v>East</x:v>
      </x:c>
      <x:c r="G5483" t="str">
        <x:v>Office Supplies</x:v>
      </x:c>
      <x:c r="H5483" t="str">
        <x:v>Binders</x:v>
      </x:c>
      <x:c r="I5483" s="22" t="n">
        <x:v>128.39999999999998</x:v>
      </x:c>
      <x:c r="J5483" s="24" t="n">
        <x:v>3</x:v>
      </x:c>
      <x:c r="K5483" s="26" t="n">
        <x:v>0</x:v>
      </x:c>
      <x:c r="L5483" s="22" t="n">
        <x:v>62.916</x:v>
      </x:c>
      <x:c r="M5483" t="n">
        <x:v>2016</x:v>
      </x:c>
      <x:c r="N5483" s="20" t="n">
        <x:v>42675</x:v>
      </x:c>
    </x:row>
    <x:row r="5484" ht="18" customHeight="1">
      <x:c r="A5484" t="str">
        <x:v>CA-2014-101770</x:v>
      </x:c>
      <x:c r="B5484" s="18" t="n">
        <x:v>41729</x:v>
      </x:c>
      <x:c r="C5484" t="str">
        <x:v>KB-16240</x:v>
      </x:c>
      <x:c r="D5484" t="str">
        <x:v>Karen Bern</x:v>
      </x:c>
      <x:c r="E5484" t="str">
        <x:v>Corporate</x:v>
      </x:c>
      <x:c r="F5484" t="str">
        <x:v>South</x:v>
      </x:c>
      <x:c r="G5484" t="str">
        <x:v>Office Supplies</x:v>
      </x:c>
      <x:c r="H5484" t="str">
        <x:v>Binders</x:v>
      </x:c>
      <x:c r="I5484" s="22" t="n">
        <x:v>1.8690000000000004</x:v>
      </x:c>
      <x:c r="J5484" s="24" t="n">
        <x:v>1</x:v>
      </x:c>
      <x:c r="K5484" s="26" t="n">
        <x:v>0.7</x:v>
      </x:c>
      <x:c r="L5484" s="22" t="n">
        <x:v>-1.3082999999999996</x:v>
      </x:c>
      <x:c r="M5484" t="n">
        <x:v>2014</x:v>
      </x:c>
      <x:c r="N5484" s="20" t="n">
        <x:v>41699</x:v>
      </x:c>
    </x:row>
    <x:row r="5485" ht="18" customHeight="1">
      <x:c r="A5485" t="str">
        <x:v>CA-2017-105487</x:v>
      </x:c>
      <x:c r="B5485" s="18" t="n">
        <x:v>43016</x:v>
      </x:c>
      <x:c r="C5485" t="str">
        <x:v>CS-12250</x:v>
      </x:c>
      <x:c r="D5485" t="str">
        <x:v>Chris Selesnick</x:v>
      </x:c>
      <x:c r="E5485" t="str">
        <x:v>Corporate</x:v>
      </x:c>
      <x:c r="F5485" t="str">
        <x:v>West</x:v>
      </x:c>
      <x:c r="G5485" t="str">
        <x:v>Technology</x:v>
      </x:c>
      <x:c r="H5485" t="str">
        <x:v>Phones</x:v>
      </x:c>
      <x:c r="I5485" s="22" t="n">
        <x:v>103.19200000000001</x:v>
      </x:c>
      <x:c r="J5485" s="24" t="n">
        <x:v>1</x:v>
      </x:c>
      <x:c r="K5485" s="26" t="n">
        <x:v>0.2</x:v>
      </x:c>
      <x:c r="L5485" s="22" t="n">
        <x:v>11.609099999999998</x:v>
      </x:c>
      <x:c r="M5485" t="n">
        <x:v>2017</x:v>
      </x:c>
      <x:c r="N5485" s="20" t="n">
        <x:v>43009</x:v>
      </x:c>
    </x:row>
    <x:row r="5486" ht="18" customHeight="1">
      <x:c r="A5486" t="str">
        <x:v>CA-2017-105487</x:v>
      </x:c>
      <x:c r="B5486" s="18" t="n">
        <x:v>43016</x:v>
      </x:c>
      <x:c r="C5486" t="str">
        <x:v>CS-12250</x:v>
      </x:c>
      <x:c r="D5486" t="str">
        <x:v>Chris Selesnick</x:v>
      </x:c>
      <x:c r="E5486" t="str">
        <x:v>Corporate</x:v>
      </x:c>
      <x:c r="F5486" t="str">
        <x:v>West</x:v>
      </x:c>
      <x:c r="G5486" t="str">
        <x:v>Technology</x:v>
      </x:c>
      <x:c r="H5486" t="str">
        <x:v>Accessories</x:v>
      </x:c>
      <x:c r="I5486" s="22" t="n">
        <x:v>36</x:v>
      </x:c>
      <x:c r="J5486" s="24" t="n">
        <x:v>2</x:v>
      </x:c>
      <x:c r="K5486" s="26" t="n">
        <x:v>0</x:v>
      </x:c>
      <x:c r="L5486" s="22" t="n">
        <x:v>6.479999999999997</x:v>
      </x:c>
      <x:c r="M5486" t="n">
        <x:v>2017</x:v>
      </x:c>
      <x:c r="N5486" s="20" t="n">
        <x:v>43009</x:v>
      </x:c>
    </x:row>
    <x:row r="5487" ht="18" customHeight="1">
      <x:c r="A5487" t="str">
        <x:v>CA-2017-105487</x:v>
      </x:c>
      <x:c r="B5487" s="18" t="n">
        <x:v>43016</x:v>
      </x:c>
      <x:c r="C5487" t="str">
        <x:v>CS-12250</x:v>
      </x:c>
      <x:c r="D5487" t="str">
        <x:v>Chris Selesnick</x:v>
      </x:c>
      <x:c r="E5487" t="str">
        <x:v>Corporate</x:v>
      </x:c>
      <x:c r="F5487" t="str">
        <x:v>West</x:v>
      </x:c>
      <x:c r="G5487" t="str">
        <x:v>Technology</x:v>
      </x:c>
      <x:c r="H5487" t="str">
        <x:v>Accessories</x:v>
      </x:c>
      <x:c r="I5487" s="22" t="n">
        <x:v>239.96</x:v>
      </x:c>
      <x:c r="J5487" s="24" t="n">
        <x:v>4</x:v>
      </x:c>
      <x:c r="K5487" s="26" t="n">
        <x:v>0</x:v>
      </x:c>
      <x:c r="L5487" s="22" t="n">
        <x:v>115.1808</x:v>
      </x:c>
      <x:c r="M5487" t="n">
        <x:v>2017</x:v>
      </x:c>
      <x:c r="N5487" s="20" t="n">
        <x:v>43009</x:v>
      </x:c>
    </x:row>
    <x:row r="5488" ht="18" customHeight="1">
      <x:c r="A5488" t="str">
        <x:v>CA-2017-105487</x:v>
      </x:c>
      <x:c r="B5488" s="18" t="n">
        <x:v>43016</x:v>
      </x:c>
      <x:c r="C5488" t="str">
        <x:v>CS-12250</x:v>
      </x:c>
      <x:c r="D5488" t="str">
        <x:v>Chris Selesnick</x:v>
      </x:c>
      <x:c r="E5488" t="str">
        <x:v>Corporate</x:v>
      </x:c>
      <x:c r="F5488" t="str">
        <x:v>West</x:v>
      </x:c>
      <x:c r="G5488" t="str">
        <x:v>Office Supplies</x:v>
      </x:c>
      <x:c r="H5488" t="str">
        <x:v>Storage</x:v>
      </x:c>
      <x:c r="I5488" s="22" t="n">
        <x:v>40.68</x:v>
      </x:c>
      <x:c r="J5488" s="24" t="n">
        <x:v>2</x:v>
      </x:c>
      <x:c r="K5488" s="26" t="n">
        <x:v>0</x:v>
      </x:c>
      <x:c r="L5488" s="22" t="n">
        <x:v>0.40679999999999694</x:v>
      </x:c>
      <x:c r="M5488" t="n">
        <x:v>2017</x:v>
      </x:c>
      <x:c r="N5488" s="20" t="n">
        <x:v>43009</x:v>
      </x:c>
    </x:row>
    <x:row r="5489" ht="18" customHeight="1">
      <x:c r="A5489" t="str">
        <x:v>CA-2017-148999</x:v>
      </x:c>
      <x:c r="B5489" s="18" t="n">
        <x:v>42765</x:v>
      </x:c>
      <x:c r="C5489" t="str">
        <x:v>EB-13870</x:v>
      </x:c>
      <x:c r="D5489" t="str">
        <x:v>Emily Burns</x:v>
      </x:c>
      <x:c r="E5489" t="str">
        <x:v>Consumer</x:v>
      </x:c>
      <x:c r="F5489" t="str">
        <x:v>South</x:v>
      </x:c>
      <x:c r="G5489" t="str">
        <x:v>Furniture</x:v>
      </x:c>
      <x:c r="H5489" t="str">
        <x:v>Chairs</x:v>
      </x:c>
      <x:c r="I5489" s="22" t="n">
        <x:v>419.13599999999997</x:v>
      </x:c>
      <x:c r="J5489" s="24" t="n">
        <x:v>4</x:v>
      </x:c>
      <x:c r="K5489" s="26" t="n">
        <x:v>0.2</x:v>
      </x:c>
      <x:c r="L5489" s="22" t="n">
        <x:v>-68.1096</x:v>
      </x:c>
      <x:c r="M5489" t="n">
        <x:v>2017</x:v>
      </x:c>
      <x:c r="N5489" s="20" t="n">
        <x:v>42736</x:v>
      </x:c>
    </x:row>
    <x:row r="5490" ht="18" customHeight="1">
      <x:c r="A5490" t="str">
        <x:v>CA-2014-107573</x:v>
      </x:c>
      <x:c r="B5490" s="18" t="n">
        <x:v>41985</x:v>
      </x:c>
      <x:c r="C5490" t="str">
        <x:v>PB-19150</x:v>
      </x:c>
      <x:c r="D5490" t="str">
        <x:v>Philip Brown</x:v>
      </x:c>
      <x:c r="E5490" t="str">
        <x:v>Consumer</x:v>
      </x:c>
      <x:c r="F5490" t="str">
        <x:v>South</x:v>
      </x:c>
      <x:c r="G5490" t="str">
        <x:v>Office Supplies</x:v>
      </x:c>
      <x:c r="H5490" t="str">
        <x:v>Envelopes</x:v>
      </x:c>
      <x:c r="I5490" s="22" t="n">
        <x:v>23.472</x:v>
      </x:c>
      <x:c r="J5490" s="24" t="n">
        <x:v>3</x:v>
      </x:c>
      <x:c r="K5490" s="26" t="n">
        <x:v>0.2</x:v>
      </x:c>
      <x:c r="L5490" s="22" t="n">
        <x:v>7.628399999999997</x:v>
      </x:c>
      <x:c r="M5490" t="n">
        <x:v>2014</x:v>
      </x:c>
      <x:c r="N5490" s="20" t="n">
        <x:v>41974</x:v>
      </x:c>
    </x:row>
    <x:row r="5491" ht="18" customHeight="1">
      <x:c r="A5491" t="str">
        <x:v>CA-2015-156608</x:v>
      </x:c>
      <x:c r="B5491" s="18" t="n">
        <x:v>42301</x:v>
      </x:c>
      <x:c r="C5491" t="str">
        <x:v>MT-18070</x:v>
      </x:c>
      <x:c r="D5491" t="str">
        <x:v>Michelle Tran</x:v>
      </x:c>
      <x:c r="E5491" t="str">
        <x:v>Home Office</x:v>
      </x:c>
      <x:c r="F5491" t="str">
        <x:v>Central</x:v>
      </x:c>
      <x:c r="G5491" t="str">
        <x:v>Office Supplies</x:v>
      </x:c>
      <x:c r="H5491" t="str">
        <x:v>Binders</x:v>
      </x:c>
      <x:c r="I5491" s="22" t="n">
        <x:v>3.591999999999999</x:v>
      </x:c>
      <x:c r="J5491" s="24" t="n">
        <x:v>4</x:v>
      </x:c>
      <x:c r="K5491" s="26" t="n">
        <x:v>0.8</x:v>
      </x:c>
      <x:c r="L5491" s="22" t="n">
        <x:v>-6.286000000000003</x:v>
      </x:c>
      <x:c r="M5491" t="n">
        <x:v>2015</x:v>
      </x:c>
      <x:c r="N5491" s="20" t="n">
        <x:v>42278</x:v>
      </x:c>
    </x:row>
    <x:row r="5492" ht="18" customHeight="1">
      <x:c r="A5492" t="str">
        <x:v>CA-2017-134495</x:v>
      </x:c>
      <x:c r="B5492" s="18" t="n">
        <x:v>42826</x:v>
      </x:c>
      <x:c r="C5492" t="str">
        <x:v>BF-11020</x:v>
      </x:c>
      <x:c r="D5492" t="str">
        <x:v>Barry Französisch</x:v>
      </x:c>
      <x:c r="E5492" t="str">
        <x:v>Corporate</x:v>
      </x:c>
      <x:c r="F5492" t="str">
        <x:v>South</x:v>
      </x:c>
      <x:c r="G5492" t="str">
        <x:v>Technology</x:v>
      </x:c>
      <x:c r="H5492" t="str">
        <x:v>Phones</x:v>
      </x:c>
      <x:c r="I5492" s="22" t="n">
        <x:v>23.976000000000003</x:v>
      </x:c>
      <x:c r="J5492" s="24" t="n">
        <x:v>3</x:v>
      </x:c>
      <x:c r="K5492" s="26" t="n">
        <x:v>0.2</x:v>
      </x:c>
      <x:c r="L5492" s="22" t="n">
        <x:v>-5.694300000000001</x:v>
      </x:c>
      <x:c r="M5492" t="n">
        <x:v>2017</x:v>
      </x:c>
      <x:c r="N5492" s="20" t="n">
        <x:v>42826</x:v>
      </x:c>
    </x:row>
    <x:row r="5493" ht="18" customHeight="1">
      <x:c r="A5493" t="str">
        <x:v>CA-2017-134495</x:v>
      </x:c>
      <x:c r="B5493" s="18" t="n">
        <x:v>42826</x:v>
      </x:c>
      <x:c r="C5493" t="str">
        <x:v>BF-11020</x:v>
      </x:c>
      <x:c r="D5493" t="str">
        <x:v>Barry Französisch</x:v>
      </x:c>
      <x:c r="E5493" t="str">
        <x:v>Corporate</x:v>
      </x:c>
      <x:c r="F5493" t="str">
        <x:v>South</x:v>
      </x:c>
      <x:c r="G5493" t="str">
        <x:v>Office Supplies</x:v>
      </x:c>
      <x:c r="H5493" t="str">
        <x:v>Labels</x:v>
      </x:c>
      <x:c r="I5493" s="22" t="n">
        <x:v>6.264</x:v>
      </x:c>
      <x:c r="J5493" s="24" t="n">
        <x:v>3</x:v>
      </x:c>
      <x:c r="K5493" s="26" t="n">
        <x:v>0.2</x:v>
      </x:c>
      <x:c r="L5493" s="22" t="n">
        <x:v>2.0358</x:v>
      </x:c>
      <x:c r="M5493" t="n">
        <x:v>2017</x:v>
      </x:c>
      <x:c r="N5493" s="20" t="n">
        <x:v>42826</x:v>
      </x:c>
    </x:row>
    <x:row r="5494" ht="18" customHeight="1">
      <x:c r="A5494" t="str">
        <x:v>CA-2017-134495</x:v>
      </x:c>
      <x:c r="B5494" s="18" t="n">
        <x:v>42826</x:v>
      </x:c>
      <x:c r="C5494" t="str">
        <x:v>BF-11020</x:v>
      </x:c>
      <x:c r="D5494" t="str">
        <x:v>Barry Französisch</x:v>
      </x:c>
      <x:c r="E5494" t="str">
        <x:v>Corporate</x:v>
      </x:c>
      <x:c r="F5494" t="str">
        <x:v>South</x:v>
      </x:c>
      <x:c r="G5494" t="str">
        <x:v>Office Supplies</x:v>
      </x:c>
      <x:c r="H5494" t="str">
        <x:v>Appliances</x:v>
      </x:c>
      <x:c r="I5494" s="22" t="n">
        <x:v>20.808</x:v>
      </x:c>
      <x:c r="J5494" s="24" t="n">
        <x:v>3</x:v>
      </x:c>
      <x:c r="K5494" s="26" t="n">
        <x:v>0.2</x:v>
      </x:c>
      <x:c r="L5494" s="22" t="n">
        <x:v>1.8207000000000013</x:v>
      </x:c>
      <x:c r="M5494" t="n">
        <x:v>2017</x:v>
      </x:c>
      <x:c r="N5494" s="20" t="n">
        <x:v>42826</x:v>
      </x:c>
    </x:row>
    <x:row r="5495" ht="18" customHeight="1">
      <x:c r="A5495" t="str">
        <x:v>CA-2017-134495</x:v>
      </x:c>
      <x:c r="B5495" s="18" t="n">
        <x:v>42826</x:v>
      </x:c>
      <x:c r="C5495" t="str">
        <x:v>BF-11020</x:v>
      </x:c>
      <x:c r="D5495" t="str">
        <x:v>Barry Französisch</x:v>
      </x:c>
      <x:c r="E5495" t="str">
        <x:v>Corporate</x:v>
      </x:c>
      <x:c r="F5495" t="str">
        <x:v>South</x:v>
      </x:c>
      <x:c r="G5495" t="str">
        <x:v>Furniture</x:v>
      </x:c>
      <x:c r="H5495" t="str">
        <x:v>Chairs</x:v>
      </x:c>
      <x:c r="I5495" s="22" t="n">
        <x:v>218.35200000000003</x:v>
      </x:c>
      <x:c r="J5495" s="24" t="n">
        <x:v>3</x:v>
      </x:c>
      <x:c r="K5495" s="26" t="n">
        <x:v>0.2</x:v>
      </x:c>
      <x:c r="L5495" s="22" t="n">
        <x:v>-19.105800000000016</x:v>
      </x:c>
      <x:c r="M5495" t="n">
        <x:v>2017</x:v>
      </x:c>
      <x:c r="N5495" s="20" t="n">
        <x:v>42826</x:v>
      </x:c>
    </x:row>
    <x:row r="5496" ht="18" customHeight="1">
      <x:c r="A5496" t="str">
        <x:v>CA-2017-164098</x:v>
      </x:c>
      <x:c r="B5496" s="18" t="n">
        <x:v>42761</x:v>
      </x:c>
      <x:c r="C5496" t="str">
        <x:v>CG-12520</x:v>
      </x:c>
      <x:c r="D5496" t="str">
        <x:v>Claire Gute</x:v>
      </x:c>
      <x:c r="E5496" t="str">
        <x:v>Consumer</x:v>
      </x:c>
      <x:c r="F5496" t="str">
        <x:v>Central</x:v>
      </x:c>
      <x:c r="G5496" t="str">
        <x:v>Office Supplies</x:v>
      </x:c>
      <x:c r="H5496" t="str">
        <x:v>Storage</x:v>
      </x:c>
      <x:c r="I5496" s="22" t="n">
        <x:v>18.16</x:v>
      </x:c>
      <x:c r="J5496" s="24" t="n">
        <x:v>2</x:v>
      </x:c>
      <x:c r="K5496" s="26" t="n">
        <x:v>0.2</x:v>
      </x:c>
      <x:c r="L5496" s="22" t="n">
        <x:v>1.8160000000000016</x:v>
      </x:c>
      <x:c r="M5496" t="n">
        <x:v>2017</x:v>
      </x:c>
      <x:c r="N5496" s="20" t="n">
        <x:v>42736</x:v>
      </x:c>
    </x:row>
    <x:row r="5497" ht="18" customHeight="1">
      <x:c r="A5497" t="str">
        <x:v>CA-2014-105249</x:v>
      </x:c>
      <x:c r="B5497" s="18" t="n">
        <x:v>41971</x:v>
      </x:c>
      <x:c r="C5497" t="str">
        <x:v>DH-13675</x:v>
      </x:c>
      <x:c r="D5497" t="str">
        <x:v>Duane Huffman</x:v>
      </x:c>
      <x:c r="E5497" t="str">
        <x:v>Home Office</x:v>
      </x:c>
      <x:c r="F5497" t="str">
        <x:v>West</x:v>
      </x:c>
      <x:c r="G5497" t="str">
        <x:v>Office Supplies</x:v>
      </x:c>
      <x:c r="H5497" t="str">
        <x:v>Supplies</x:v>
      </x:c>
      <x:c r="I5497" s="22" t="n">
        <x:v>7.36</x:v>
      </x:c>
      <x:c r="J5497" s="24" t="n">
        <x:v>2</x:v>
      </x:c>
      <x:c r="K5497" s="26" t="n">
        <x:v>0</x:v>
      </x:c>
      <x:c r="L5497" s="22" t="n">
        <x:v>0.14719999999999978</x:v>
      </x:c>
      <x:c r="M5497" t="n">
        <x:v>2014</x:v>
      </x:c>
      <x:c r="N5497" s="20" t="n">
        <x:v>41944</x:v>
      </x:c>
    </x:row>
    <x:row r="5498" ht="18" customHeight="1">
      <x:c r="A5498" t="str">
        <x:v>CA-2014-105249</x:v>
      </x:c>
      <x:c r="B5498" s="18" t="n">
        <x:v>41971</x:v>
      </x:c>
      <x:c r="C5498" t="str">
        <x:v>DH-13675</x:v>
      </x:c>
      <x:c r="D5498" t="str">
        <x:v>Duane Huffman</x:v>
      </x:c>
      <x:c r="E5498" t="str">
        <x:v>Home Office</x:v>
      </x:c>
      <x:c r="F5498" t="str">
        <x:v>West</x:v>
      </x:c>
      <x:c r="G5498" t="str">
        <x:v>Office Supplies</x:v>
      </x:c>
      <x:c r="H5498" t="str">
        <x:v>Labels</x:v>
      </x:c>
      <x:c r="I5498" s="22" t="n">
        <x:v>41.4</x:v>
      </x:c>
      <x:c r="J5498" s="24" t="n">
        <x:v>4</x:v>
      </x:c>
      <x:c r="K5498" s="26" t="n">
        <x:v>0</x:v>
      </x:c>
      <x:c r="L5498" s="22" t="n">
        <x:v>19.872</x:v>
      </x:c>
      <x:c r="M5498" t="n">
        <x:v>2014</x:v>
      </x:c>
      <x:c r="N5498" s="20" t="n">
        <x:v>41944</x:v>
      </x:c>
    </x:row>
    <x:row r="5499" ht="18" customHeight="1">
      <x:c r="A5499" t="str">
        <x:v>CA-2014-105249</x:v>
      </x:c>
      <x:c r="B5499" s="18" t="n">
        <x:v>41971</x:v>
      </x:c>
      <x:c r="C5499" t="str">
        <x:v>DH-13675</x:v>
      </x:c>
      <x:c r="D5499" t="str">
        <x:v>Duane Huffman</x:v>
      </x:c>
      <x:c r="E5499" t="str">
        <x:v>Home Office</x:v>
      </x:c>
      <x:c r="F5499" t="str">
        <x:v>West</x:v>
      </x:c>
      <x:c r="G5499" t="str">
        <x:v>Furniture</x:v>
      </x:c>
      <x:c r="H5499" t="str">
        <x:v>Bookcases</x:v>
      </x:c>
      <x:c r="I5499" s="22" t="n">
        <x:v>411.332</x:v>
      </x:c>
      <x:c r="J5499" s="24" t="n">
        <x:v>4</x:v>
      </x:c>
      <x:c r="K5499" s="26" t="n">
        <x:v>0.15</x:v>
      </x:c>
      <x:c r="L5499" s="22" t="n">
        <x:v>-4.839199999999977</x:v>
      </x:c>
      <x:c r="M5499" t="n">
        <x:v>2014</x:v>
      </x:c>
      <x:c r="N5499" s="20" t="n">
        <x:v>41944</x:v>
      </x:c>
    </x:row>
    <x:row r="5500" ht="18" customHeight="1">
      <x:c r="A5500" t="str">
        <x:v>CA-2015-113523</x:v>
      </x:c>
      <x:c r="B5500" s="18" t="n">
        <x:v>42251</x:v>
      </x:c>
      <x:c r="C5500" t="str">
        <x:v>SC-20440</x:v>
      </x:c>
      <x:c r="D5500" t="str">
        <x:v>Shaun Chance</x:v>
      </x:c>
      <x:c r="E5500" t="str">
        <x:v>Corporate</x:v>
      </x:c>
      <x:c r="F5500" t="str">
        <x:v>East</x:v>
      </x:c>
      <x:c r="G5500" t="str">
        <x:v>Office Supplies</x:v>
      </x:c>
      <x:c r="H5500" t="str">
        <x:v>Binders</x:v>
      </x:c>
      <x:c r="I5500" s="22" t="n">
        <x:v>7.656000000000001</x:v>
      </x:c>
      <x:c r="J5500" s="24" t="n">
        <x:v>4</x:v>
      </x:c>
      <x:c r="K5500" s="26" t="n">
        <x:v>0.7</x:v>
      </x:c>
      <x:c r="L5500" s="22" t="n">
        <x:v>-6.124799999999999</x:v>
      </x:c>
      <x:c r="M5500" t="n">
        <x:v>2015</x:v>
      </x:c>
      <x:c r="N5500" s="20" t="n">
        <x:v>42248</x:v>
      </x:c>
    </x:row>
    <x:row r="5501" ht="18" customHeight="1">
      <x:c r="A5501" t="str">
        <x:v>CA-2017-117821</x:v>
      </x:c>
      <x:c r="B5501" s="18" t="n">
        <x:v>42898</x:v>
      </x:c>
      <x:c r="C5501" t="str">
        <x:v>HG-15025</x:v>
      </x:c>
      <x:c r="D5501" t="str">
        <x:v>Hunter Glantz</x:v>
      </x:c>
      <x:c r="E5501" t="str">
        <x:v>Consumer</x:v>
      </x:c>
      <x:c r="F5501" t="str">
        <x:v>East</x:v>
      </x:c>
      <x:c r="G5501" t="str">
        <x:v>Technology</x:v>
      </x:c>
      <x:c r="H5501" t="str">
        <x:v>Accessories</x:v>
      </x:c>
      <x:c r="I5501" s="22" t="n">
        <x:v>63.92000000000001</x:v>
      </x:c>
      <x:c r="J5501" s="24" t="n">
        <x:v>2</x:v>
      </x:c>
      <x:c r="K5501" s="26" t="n">
        <x:v>0.2</x:v>
      </x:c>
      <x:c r="L5501" s="22" t="n">
        <x:v>19.176000000000002</x:v>
      </x:c>
      <x:c r="M5501" t="n">
        <x:v>2017</x:v>
      </x:c>
      <x:c r="N5501" s="20" t="n">
        <x:v>42887</x:v>
      </x:c>
    </x:row>
    <x:row r="5502" ht="18" customHeight="1">
      <x:c r="A5502" t="str">
        <x:v>CA-2017-164378</x:v>
      </x:c>
      <x:c r="B5502" s="18" t="n">
        <x:v>42931</x:v>
      </x:c>
      <x:c r="C5502" t="str">
        <x:v>MM-18055</x:v>
      </x:c>
      <x:c r="D5502" t="str">
        <x:v>Michelle Moray</x:v>
      </x:c>
      <x:c r="E5502" t="str">
        <x:v>Consumer</x:v>
      </x:c>
      <x:c r="F5502" t="str">
        <x:v>East</x:v>
      </x:c>
      <x:c r="G5502" t="str">
        <x:v>Office Supplies</x:v>
      </x:c>
      <x:c r="H5502" t="str">
        <x:v>Art</x:v>
      </x:c>
      <x:c r="I5502" s="22" t="n">
        <x:v>6.56</x:v>
      </x:c>
      <x:c r="J5502" s="24" t="n">
        <x:v>2</x:v>
      </x:c>
      <x:c r="K5502" s="26" t="n">
        <x:v>0</x:v>
      </x:c>
      <x:c r="L5502" s="22" t="n">
        <x:v>1.9023999999999992</x:v>
      </x:c>
      <x:c r="M5502" t="n">
        <x:v>2017</x:v>
      </x:c>
      <x:c r="N5502" s="20" t="n">
        <x:v>42917</x:v>
      </x:c>
    </x:row>
    <x:row r="5503" ht="18" customHeight="1">
      <x:c r="A5503" t="str">
        <x:v>CA-2017-164378</x:v>
      </x:c>
      <x:c r="B5503" s="18" t="n">
        <x:v>42931</x:v>
      </x:c>
      <x:c r="C5503" t="str">
        <x:v>MM-18055</x:v>
      </x:c>
      <x:c r="D5503" t="str">
        <x:v>Michelle Moray</x:v>
      </x:c>
      <x:c r="E5503" t="str">
        <x:v>Consumer</x:v>
      </x:c>
      <x:c r="F5503" t="str">
        <x:v>East</x:v>
      </x:c>
      <x:c r="G5503" t="str">
        <x:v>Office Supplies</x:v>
      </x:c>
      <x:c r="H5503" t="str">
        <x:v>Labels</x:v>
      </x:c>
      <x:c r="I5503" s="22" t="n">
        <x:v>7.83</x:v>
      </x:c>
      <x:c r="J5503" s="24" t="n">
        <x:v>3</x:v>
      </x:c>
      <x:c r="K5503" s="26" t="n">
        <x:v>0</x:v>
      </x:c>
      <x:c r="L5503" s="22" t="n">
        <x:v>3.6018</x:v>
      </x:c>
      <x:c r="M5503" t="n">
        <x:v>2017</x:v>
      </x:c>
      <x:c r="N5503" s="20" t="n">
        <x:v>42917</x:v>
      </x:c>
    </x:row>
    <x:row r="5504" ht="18" customHeight="1">
      <x:c r="A5504" t="str">
        <x:v>CA-2017-164378</x:v>
      </x:c>
      <x:c r="B5504" s="18" t="n">
        <x:v>42931</x:v>
      </x:c>
      <x:c r="C5504" t="str">
        <x:v>MM-18055</x:v>
      </x:c>
      <x:c r="D5504" t="str">
        <x:v>Michelle Moray</x:v>
      </x:c>
      <x:c r="E5504" t="str">
        <x:v>Consumer</x:v>
      </x:c>
      <x:c r="F5504" t="str">
        <x:v>East</x:v>
      </x:c>
      <x:c r="G5504" t="str">
        <x:v>Technology</x:v>
      </x:c>
      <x:c r="H5504" t="str">
        <x:v>Accessories</x:v>
      </x:c>
      <x:c r="I5504" s="22" t="n">
        <x:v>41.9</x:v>
      </x:c>
      <x:c r="J5504" s="24" t="n">
        <x:v>2</x:v>
      </x:c>
      <x:c r="K5504" s="26" t="n">
        <x:v>0</x:v>
      </x:c>
      <x:c r="L5504" s="22" t="n">
        <x:v>8.799</x:v>
      </x:c>
      <x:c r="M5504" t="n">
        <x:v>2017</x:v>
      </x:c>
      <x:c r="N5504" s="20" t="n">
        <x:v>42917</x:v>
      </x:c>
    </x:row>
    <x:row r="5505" ht="18" customHeight="1">
      <x:c r="A5505" t="str">
        <x:v>CA-2017-164378</x:v>
      </x:c>
      <x:c r="B5505" s="18" t="n">
        <x:v>42931</x:v>
      </x:c>
      <x:c r="C5505" t="str">
        <x:v>MM-18055</x:v>
      </x:c>
      <x:c r="D5505" t="str">
        <x:v>Michelle Moray</x:v>
      </x:c>
      <x:c r="E5505" t="str">
        <x:v>Consumer</x:v>
      </x:c>
      <x:c r="F5505" t="str">
        <x:v>East</x:v>
      </x:c>
      <x:c r="G5505" t="str">
        <x:v>Furniture</x:v>
      </x:c>
      <x:c r="H5505" t="str">
        <x:v>Chairs</x:v>
      </x:c>
      <x:c r="I5505" s="22" t="n">
        <x:v>664.146</x:v>
      </x:c>
      <x:c r="J5505" s="24" t="n">
        <x:v>6</x:v>
      </x:c>
      <x:c r="K5505" s="26" t="n">
        <x:v>0.1</x:v>
      </x:c>
      <x:c r="L5505" s="22" t="n">
        <x:v>88.5528</x:v>
      </x:c>
      <x:c r="M5505" t="n">
        <x:v>2017</x:v>
      </x:c>
      <x:c r="N5505" s="20" t="n">
        <x:v>42917</x:v>
      </x:c>
    </x:row>
    <x:row r="5506" ht="18" customHeight="1">
      <x:c r="A5506" t="str">
        <x:v>CA-2017-164378</x:v>
      </x:c>
      <x:c r="B5506" s="18" t="n">
        <x:v>42931</x:v>
      </x:c>
      <x:c r="C5506" t="str">
        <x:v>MM-18055</x:v>
      </x:c>
      <x:c r="D5506" t="str">
        <x:v>Michelle Moray</x:v>
      </x:c>
      <x:c r="E5506" t="str">
        <x:v>Consumer</x:v>
      </x:c>
      <x:c r="F5506" t="str">
        <x:v>East</x:v>
      </x:c>
      <x:c r="G5506" t="str">
        <x:v>Office Supplies</x:v>
      </x:c>
      <x:c r="H5506" t="str">
        <x:v>Paper</x:v>
      </x:c>
      <x:c r="I5506" s="22" t="n">
        <x:v>8.96</x:v>
      </x:c>
      <x:c r="J5506" s="24" t="n">
        <x:v>2</x:v>
      </x:c>
      <x:c r="K5506" s="26" t="n">
        <x:v>0</x:v>
      </x:c>
      <x:c r="L5506" s="22" t="n">
        <x:v>4.3904000000000005</x:v>
      </x:c>
      <x:c r="M5506" t="n">
        <x:v>2017</x:v>
      </x:c>
      <x:c r="N5506" s="20" t="n">
        <x:v>42917</x:v>
      </x:c>
    </x:row>
    <x:row r="5507" ht="18" customHeight="1">
      <x:c r="A5507" t="str">
        <x:v>CA-2017-127782</x:v>
      </x:c>
      <x:c r="B5507" s="18" t="n">
        <x:v>43041</x:v>
      </x:c>
      <x:c r="C5507" t="str">
        <x:v>TH-21115</x:v>
      </x:c>
      <x:c r="D5507" t="str">
        <x:v>Thea Hudgings</x:v>
      </x:c>
      <x:c r="E5507" t="str">
        <x:v>Corporate</x:v>
      </x:c>
      <x:c r="F5507" t="str">
        <x:v>East</x:v>
      </x:c>
      <x:c r="G5507" t="str">
        <x:v>Furniture</x:v>
      </x:c>
      <x:c r="H5507" t="str">
        <x:v>Furnishings</x:v>
      </x:c>
      <x:c r="I5507" s="22" t="n">
        <x:v>3.312</x:v>
      </x:c>
      <x:c r="J5507" s="24" t="n">
        <x:v>1</x:v>
      </x:c>
      <x:c r="K5507" s="26" t="n">
        <x:v>0.2</x:v>
      </x:c>
      <x:c r="L5507" s="22" t="n">
        <x:v>0.6623999999999998</x:v>
      </x:c>
      <x:c r="M5507" t="n">
        <x:v>2017</x:v>
      </x:c>
      <x:c r="N5507" s="20" t="n">
        <x:v>43040</x:v>
      </x:c>
    </x:row>
    <x:row r="5508" ht="18" customHeight="1">
      <x:c r="A5508" t="str">
        <x:v>CA-2017-127782</x:v>
      </x:c>
      <x:c r="B5508" s="18" t="n">
        <x:v>43041</x:v>
      </x:c>
      <x:c r="C5508" t="str">
        <x:v>TH-21115</x:v>
      </x:c>
      <x:c r="D5508" t="str">
        <x:v>Thea Hudgings</x:v>
      </x:c>
      <x:c r="E5508" t="str">
        <x:v>Corporate</x:v>
      </x:c>
      <x:c r="F5508" t="str">
        <x:v>East</x:v>
      </x:c>
      <x:c r="G5508" t="str">
        <x:v>Office Supplies</x:v>
      </x:c>
      <x:c r="H5508" t="str">
        <x:v>Appliances</x:v>
      </x:c>
      <x:c r="I5508" s="22" t="n">
        <x:v>20.136000000000003</x:v>
      </x:c>
      <x:c r="J5508" s="24" t="n">
        <x:v>3</x:v>
      </x:c>
      <x:c r="K5508" s="26" t="n">
        <x:v>0.2</x:v>
      </x:c>
      <x:c r="L5508" s="22" t="n">
        <x:v>1.2584999999999997</x:v>
      </x:c>
      <x:c r="M5508" t="n">
        <x:v>2017</x:v>
      </x:c>
      <x:c r="N5508" s="20" t="n">
        <x:v>43040</x:v>
      </x:c>
    </x:row>
    <x:row r="5509" ht="18" customHeight="1">
      <x:c r="A5509" t="str">
        <x:v>CA-2017-127782</x:v>
      </x:c>
      <x:c r="B5509" s="18" t="n">
        <x:v>43041</x:v>
      </x:c>
      <x:c r="C5509" t="str">
        <x:v>TH-21115</x:v>
      </x:c>
      <x:c r="D5509" t="str">
        <x:v>Thea Hudgings</x:v>
      </x:c>
      <x:c r="E5509" t="str">
        <x:v>Corporate</x:v>
      </x:c>
      <x:c r="F5509" t="str">
        <x:v>East</x:v>
      </x:c>
      <x:c r="G5509" t="str">
        <x:v>Office Supplies</x:v>
      </x:c>
      <x:c r="H5509" t="str">
        <x:v>Envelopes</x:v>
      </x:c>
      <x:c r="I5509" s="22" t="n">
        <x:v>8.856</x:v>
      </x:c>
      <x:c r="J5509" s="24" t="n">
        <x:v>3</x:v>
      </x:c>
      <x:c r="K5509" s="26" t="n">
        <x:v>0.2</x:v>
      </x:c>
      <x:c r="L5509" s="22" t="n">
        <x:v>2.878199999999999</x:v>
      </x:c>
      <x:c r="M5509" t="n">
        <x:v>2017</x:v>
      </x:c>
      <x:c r="N5509" s="20" t="n">
        <x:v>43040</x:v>
      </x:c>
    </x:row>
    <x:row r="5510" ht="18" customHeight="1">
      <x:c r="A5510" t="str">
        <x:v>CA-2017-127782</x:v>
      </x:c>
      <x:c r="B5510" s="18" t="n">
        <x:v>43041</x:v>
      </x:c>
      <x:c r="C5510" t="str">
        <x:v>TH-21115</x:v>
      </x:c>
      <x:c r="D5510" t="str">
        <x:v>Thea Hudgings</x:v>
      </x:c>
      <x:c r="E5510" t="str">
        <x:v>Corporate</x:v>
      </x:c>
      <x:c r="F5510" t="str">
        <x:v>East</x:v>
      </x:c>
      <x:c r="G5510" t="str">
        <x:v>Technology</x:v>
      </x:c>
      <x:c r="H5510" t="str">
        <x:v>Phones</x:v>
      </x:c>
      <x:c r="I5510" s="22" t="n">
        <x:v>859.1999999999999</x:v>
      </x:c>
      <x:c r="J5510" s="24" t="n">
        <x:v>4</x:v>
      </x:c>
      <x:c r="K5510" s="26" t="n">
        <x:v>0.4</x:v>
      </x:c>
      <x:c r="L5510" s="22" t="n">
        <x:v>-186.15999999999997</x:v>
      </x:c>
      <x:c r="M5510" t="n">
        <x:v>2017</x:v>
      </x:c>
      <x:c r="N5510" s="20" t="n">
        <x:v>43040</x:v>
      </x:c>
    </x:row>
    <x:row r="5511" ht="18" customHeight="1">
      <x:c r="A5511" t="str">
        <x:v>US-2016-162026</x:v>
      </x:c>
      <x:c r="B5511" s="18" t="n">
        <x:v>42651</x:v>
      </x:c>
      <x:c r="C5511" t="str">
        <x:v>JE-15745</x:v>
      </x:c>
      <x:c r="D5511" t="str">
        <x:v>Joel Eaton</x:v>
      </x:c>
      <x:c r="E5511" t="str">
        <x:v>Consumer</x:v>
      </x:c>
      <x:c r="F5511" t="str">
        <x:v>West</x:v>
      </x:c>
      <x:c r="G5511" t="str">
        <x:v>Office Supplies</x:v>
      </x:c>
      <x:c r="H5511" t="str">
        <x:v>Paper</x:v>
      </x:c>
      <x:c r="I5511" s="22" t="n">
        <x:v>61.96</x:v>
      </x:c>
      <x:c r="J5511" s="24" t="n">
        <x:v>2</x:v>
      </x:c>
      <x:c r="K5511" s="26" t="n">
        <x:v>0</x:v>
      </x:c>
      <x:c r="L5511" s="22" t="n">
        <x:v>27.881999999999998</x:v>
      </x:c>
      <x:c r="M5511" t="n">
        <x:v>2016</x:v>
      </x:c>
      <x:c r="N5511" s="20" t="n">
        <x:v>42644</x:v>
      </x:c>
    </x:row>
    <x:row r="5512" ht="18" customHeight="1">
      <x:c r="A5512" t="str">
        <x:v>CA-2016-150000</x:v>
      </x:c>
      <x:c r="B5512" s="18" t="n">
        <x:v>42468</x:v>
      </x:c>
      <x:c r="C5512" t="str">
        <x:v>PG-18820</x:v>
      </x:c>
      <x:c r="D5512" t="str">
        <x:v>Patrick Gardner</x:v>
      </x:c>
      <x:c r="E5512" t="str">
        <x:v>Consumer</x:v>
      </x:c>
      <x:c r="F5512" t="str">
        <x:v>South</x:v>
      </x:c>
      <x:c r="G5512" t="str">
        <x:v>Office Supplies</x:v>
      </x:c>
      <x:c r="H5512" t="str">
        <x:v>Envelopes</x:v>
      </x:c>
      <x:c r="I5512" s="22" t="n">
        <x:v>17.92</x:v>
      </x:c>
      <x:c r="J5512" s="24" t="n">
        <x:v>4</x:v>
      </x:c>
      <x:c r="K5512" s="26" t="n">
        <x:v>0</x:v>
      </x:c>
      <x:c r="L5512" s="22" t="n">
        <x:v>8.601600000000001</x:v>
      </x:c>
      <x:c r="M5512" t="n">
        <x:v>2016</x:v>
      </x:c>
      <x:c r="N5512" s="20" t="n">
        <x:v>42461</x:v>
      </x:c>
    </x:row>
    <x:row r="5513" ht="18" customHeight="1">
      <x:c r="A5513" t="str">
        <x:v>CA-2015-168529</x:v>
      </x:c>
      <x:c r="B5513" s="18" t="n">
        <x:v>42285</x:v>
      </x:c>
      <x:c r="C5513" t="str">
        <x:v>MB-17305</x:v>
      </x:c>
      <x:c r="D5513" t="str">
        <x:v>Maria Bertelson</x:v>
      </x:c>
      <x:c r="E5513" t="str">
        <x:v>Consumer</x:v>
      </x:c>
      <x:c r="F5513" t="str">
        <x:v>West</x:v>
      </x:c>
      <x:c r="G5513" t="str">
        <x:v>Furniture</x:v>
      </x:c>
      <x:c r="H5513" t="str">
        <x:v>Furnishings</x:v>
      </x:c>
      <x:c r="I5513" s="22" t="n">
        <x:v>145.9</x:v>
      </x:c>
      <x:c r="J5513" s="24" t="n">
        <x:v>5</x:v>
      </x:c>
      <x:c r="K5513" s="26" t="n">
        <x:v>0</x:v>
      </x:c>
      <x:c r="L5513" s="22" t="n">
        <x:v>62.736999999999995</x:v>
      </x:c>
      <x:c r="M5513" t="n">
        <x:v>2015</x:v>
      </x:c>
      <x:c r="N5513" s="20" t="n">
        <x:v>42278</x:v>
      </x:c>
    </x:row>
    <x:row r="5514" ht="18" customHeight="1">
      <x:c r="A5514" t="str">
        <x:v>US-2017-152569</x:v>
      </x:c>
      <x:c r="B5514" s="18" t="n">
        <x:v>42870</x:v>
      </x:c>
      <x:c r="C5514" t="str">
        <x:v>JD-16015</x:v>
      </x:c>
      <x:c r="D5514" t="str">
        <x:v>Joy Daniels</x:v>
      </x:c>
      <x:c r="E5514" t="str">
        <x:v>Consumer</x:v>
      </x:c>
      <x:c r="F5514" t="str">
        <x:v>Central</x:v>
      </x:c>
      <x:c r="G5514" t="str">
        <x:v>Office Supplies</x:v>
      </x:c>
      <x:c r="H5514" t="str">
        <x:v>Paper</x:v>
      </x:c>
      <x:c r="I5514" s="22" t="n">
        <x:v>56.704</x:v>
      </x:c>
      <x:c r="J5514" s="24" t="n">
        <x:v>2</x:v>
      </x:c>
      <x:c r="K5514" s="26" t="n">
        <x:v>0.2</x:v>
      </x:c>
      <x:c r="L5514" s="22" t="n">
        <x:v>19.137599999999992</x:v>
      </x:c>
      <x:c r="M5514" t="n">
        <x:v>2017</x:v>
      </x:c>
      <x:c r="N5514" s="20" t="n">
        <x:v>42856</x:v>
      </x:c>
    </x:row>
    <x:row r="5515" ht="18" customHeight="1">
      <x:c r="A5515" t="str">
        <x:v>US-2017-152569</x:v>
      </x:c>
      <x:c r="B5515" s="18" t="n">
        <x:v>42870</x:v>
      </x:c>
      <x:c r="C5515" t="str">
        <x:v>JD-16015</x:v>
      </x:c>
      <x:c r="D5515" t="str">
        <x:v>Joy Daniels</x:v>
      </x:c>
      <x:c r="E5515" t="str">
        <x:v>Consumer</x:v>
      </x:c>
      <x:c r="F5515" t="str">
        <x:v>Central</x:v>
      </x:c>
      <x:c r="G5515" t="str">
        <x:v>Technology</x:v>
      </x:c>
      <x:c r="H5515" t="str">
        <x:v>Phones</x:v>
      </x:c>
      <x:c r="I5515" s="22" t="n">
        <x:v>11.120000000000001</x:v>
      </x:c>
      <x:c r="J5515" s="24" t="n">
        <x:v>2</x:v>
      </x:c>
      <x:c r="K5515" s="26" t="n">
        <x:v>0.2</x:v>
      </x:c>
      <x:c r="L5515" s="22" t="n">
        <x:v>3.4749999999999996</x:v>
      </x:c>
      <x:c r="M5515" t="n">
        <x:v>2017</x:v>
      </x:c>
      <x:c r="N5515" s="20" t="n">
        <x:v>42856</x:v>
      </x:c>
    </x:row>
    <x:row r="5516" ht="18" customHeight="1">
      <x:c r="A5516" t="str">
        <x:v>US-2014-137680</x:v>
      </x:c>
      <x:c r="B5516" s="18" t="n">
        <x:v>41694</x:v>
      </x:c>
      <x:c r="C5516" t="str">
        <x:v>JH-15430</x:v>
      </x:c>
      <x:c r="D5516" t="str">
        <x:v>Jennifer Halladay</x:v>
      </x:c>
      <x:c r="E5516" t="str">
        <x:v>Consumer</x:v>
      </x:c>
      <x:c r="F5516" t="str">
        <x:v>West</x:v>
      </x:c>
      <x:c r="G5516" t="str">
        <x:v>Office Supplies</x:v>
      </x:c>
      <x:c r="H5516" t="str">
        <x:v>Paper</x:v>
      </x:c>
      <x:c r="I5516" s="22" t="n">
        <x:v>32.896</x:v>
      </x:c>
      <x:c r="J5516" s="24" t="n">
        <x:v>4</x:v>
      </x:c>
      <x:c r="K5516" s="26" t="n">
        <x:v>0.2</x:v>
      </x:c>
      <x:c r="L5516" s="22" t="n">
        <x:v>11.102399999999996</x:v>
      </x:c>
      <x:c r="M5516" t="n">
        <x:v>2014</x:v>
      </x:c>
      <x:c r="N5516" s="20" t="n">
        <x:v>41671</x:v>
      </x:c>
    </x:row>
    <x:row r="5517" ht="18" customHeight="1">
      <x:c r="A5517" t="str">
        <x:v>US-2014-137680</x:v>
      </x:c>
      <x:c r="B5517" s="18" t="n">
        <x:v>41694</x:v>
      </x:c>
      <x:c r="C5517" t="str">
        <x:v>JH-15430</x:v>
      </x:c>
      <x:c r="D5517" t="str">
        <x:v>Jennifer Halladay</x:v>
      </x:c>
      <x:c r="E5517" t="str">
        <x:v>Consumer</x:v>
      </x:c>
      <x:c r="F5517" t="str">
        <x:v>West</x:v>
      </x:c>
      <x:c r="G5517" t="str">
        <x:v>Office Supplies</x:v>
      </x:c>
      <x:c r="H5517" t="str">
        <x:v>Paper</x:v>
      </x:c>
      <x:c r="I5517" s="22" t="n">
        <x:v>22.776000000000003</x:v>
      </x:c>
      <x:c r="J5517" s="24" t="n">
        <x:v>3</x:v>
      </x:c>
      <x:c r="K5517" s="26" t="n">
        <x:v>0.2</x:v>
      </x:c>
      <x:c r="L5517" s="22" t="n">
        <x:v>7.6869</x:v>
      </x:c>
      <x:c r="M5517" t="n">
        <x:v>2014</x:v>
      </x:c>
      <x:c r="N5517" s="20" t="n">
        <x:v>41671</x:v>
      </x:c>
    </x:row>
    <x:row r="5518" ht="18" customHeight="1">
      <x:c r="A5518" t="str">
        <x:v>CA-2015-103177</x:v>
      </x:c>
      <x:c r="B5518" s="18" t="n">
        <x:v>42154</x:v>
      </x:c>
      <x:c r="C5518" t="str">
        <x:v>EN-13780</x:v>
      </x:c>
      <x:c r="D5518" t="str">
        <x:v>Edward Nazzal</x:v>
      </x:c>
      <x:c r="E5518" t="str">
        <x:v>Consumer</x:v>
      </x:c>
      <x:c r="F5518" t="str">
        <x:v>East</x:v>
      </x:c>
      <x:c r="G5518" t="str">
        <x:v>Technology</x:v>
      </x:c>
      <x:c r="H5518" t="str">
        <x:v>Phones</x:v>
      </x:c>
      <x:c r="I5518" s="22" t="n">
        <x:v>239.96999999999997</x:v>
      </x:c>
      <x:c r="J5518" s="24" t="n">
        <x:v>3</x:v>
      </x:c>
      <x:c r="K5518" s="26" t="n">
        <x:v>0</x:v>
      </x:c>
      <x:c r="L5518" s="22" t="n">
        <x:v>2.3996999999999815</x:v>
      </x:c>
      <x:c r="M5518" t="n">
        <x:v>2015</x:v>
      </x:c>
      <x:c r="N5518" s="20" t="n">
        <x:v>42125</x:v>
      </x:c>
    </x:row>
    <x:row r="5519" ht="18" customHeight="1">
      <x:c r="A5519" t="str">
        <x:v>CA-2015-103177</x:v>
      </x:c>
      <x:c r="B5519" s="18" t="n">
        <x:v>42154</x:v>
      </x:c>
      <x:c r="C5519" t="str">
        <x:v>EN-13780</x:v>
      </x:c>
      <x:c r="D5519" t="str">
        <x:v>Edward Nazzal</x:v>
      </x:c>
      <x:c r="E5519" t="str">
        <x:v>Consumer</x:v>
      </x:c>
      <x:c r="F5519" t="str">
        <x:v>East</x:v>
      </x:c>
      <x:c r="G5519" t="str">
        <x:v>Office Supplies</x:v>
      </x:c>
      <x:c r="H5519" t="str">
        <x:v>Appliances</x:v>
      </x:c>
      <x:c r="I5519" s="22" t="n">
        <x:v>160.32</x:v>
      </x:c>
      <x:c r="J5519" s="24" t="n">
        <x:v>2</x:v>
      </x:c>
      <x:c r="K5519" s="26" t="n">
        <x:v>0</x:v>
      </x:c>
      <x:c r="L5519" s="22" t="n">
        <x:v>44.8896</x:v>
      </x:c>
      <x:c r="M5519" t="n">
        <x:v>2015</x:v>
      </x:c>
      <x:c r="N5519" s="20" t="n">
        <x:v>42125</x:v>
      </x:c>
    </x:row>
    <x:row r="5520" ht="18" customHeight="1">
      <x:c r="A5520" t="str">
        <x:v>CA-2015-103177</x:v>
      </x:c>
      <x:c r="B5520" s="18" t="n">
        <x:v>42154</x:v>
      </x:c>
      <x:c r="C5520" t="str">
        <x:v>EN-13780</x:v>
      </x:c>
      <x:c r="D5520" t="str">
        <x:v>Edward Nazzal</x:v>
      </x:c>
      <x:c r="E5520" t="str">
        <x:v>Consumer</x:v>
      </x:c>
      <x:c r="F5520" t="str">
        <x:v>East</x:v>
      </x:c>
      <x:c r="G5520" t="str">
        <x:v>Technology</x:v>
      </x:c>
      <x:c r="H5520" t="str">
        <x:v>Phones</x:v>
      </x:c>
      <x:c r="I5520" s="22" t="n">
        <x:v>128.85000000000002</x:v>
      </x:c>
      <x:c r="J5520" s="24" t="n">
        <x:v>3</x:v>
      </x:c>
      <x:c r="K5520" s="26" t="n">
        <x:v>0</x:v>
      </x:c>
      <x:c r="L5520" s="22" t="n">
        <x:v>3.8654999999999973</x:v>
      </x:c>
      <x:c r="M5520" t="n">
        <x:v>2015</x:v>
      </x:c>
      <x:c r="N5520" s="20" t="n">
        <x:v>42125</x:v>
      </x:c>
    </x:row>
    <x:row r="5521" ht="18" customHeight="1">
      <x:c r="A5521" t="str">
        <x:v>US-2016-138408</x:v>
      </x:c>
      <x:c r="B5521" s="18" t="n">
        <x:v>42692</x:v>
      </x:c>
      <x:c r="C5521" t="str">
        <x:v>KC-16255</x:v>
      </x:c>
      <x:c r="D5521" t="str">
        <x:v>Karen Carlisle</x:v>
      </x:c>
      <x:c r="E5521" t="str">
        <x:v>Corporate</x:v>
      </x:c>
      <x:c r="F5521" t="str">
        <x:v>South</x:v>
      </x:c>
      <x:c r="G5521" t="str">
        <x:v>Technology</x:v>
      </x:c>
      <x:c r="H5521" t="str">
        <x:v>Accessories</x:v>
      </x:c>
      <x:c r="I5521" s="22" t="n">
        <x:v>1319.96</x:v>
      </x:c>
      <x:c r="J5521" s="24" t="n">
        <x:v>4</x:v>
      </x:c>
      <x:c r="K5521" s="26" t="n">
        <x:v>0</x:v>
      </x:c>
      <x:c r="L5521" s="22" t="n">
        <x:v>527.984</x:v>
      </x:c>
      <x:c r="M5521" t="n">
        <x:v>2016</x:v>
      </x:c>
      <x:c r="N5521" s="20" t="n">
        <x:v>42675</x:v>
      </x:c>
    </x:row>
    <x:row r="5522" ht="18" customHeight="1">
      <x:c r="A5522" t="str">
        <x:v>CA-2017-117667</x:v>
      </x:c>
      <x:c r="B5522" s="18" t="n">
        <x:v>43073</x:v>
      </x:c>
      <x:c r="C5522" t="str">
        <x:v>MS-17980</x:v>
      </x:c>
      <x:c r="D5522" t="str">
        <x:v>Michael Stewart</x:v>
      </x:c>
      <x:c r="E5522" t="str">
        <x:v>Corporate</x:v>
      </x:c>
      <x:c r="F5522" t="str">
        <x:v>East</x:v>
      </x:c>
      <x:c r="G5522" t="str">
        <x:v>Furniture</x:v>
      </x:c>
      <x:c r="H5522" t="str">
        <x:v>Chairs</x:v>
      </x:c>
      <x:c r="I5522" s="22" t="n">
        <x:v>239.95999999999998</x:v>
      </x:c>
      <x:c r="J5522" s="24" t="n">
        <x:v>10</x:v>
      </x:c>
      <x:c r="K5522" s="26" t="n">
        <x:v>0.3</x:v>
      </x:c>
      <x:c r="L5522" s="22" t="n">
        <x:v>-10.283999999999992</x:v>
      </x:c>
      <x:c r="M5522" t="n">
        <x:v>2017</x:v>
      </x:c>
      <x:c r="N5522" s="20" t="n">
        <x:v>43070</x:v>
      </x:c>
    </x:row>
    <x:row r="5523" ht="18" customHeight="1">
      <x:c r="A5523" t="str">
        <x:v>CA-2017-117667</x:v>
      </x:c>
      <x:c r="B5523" s="18" t="n">
        <x:v>43073</x:v>
      </x:c>
      <x:c r="C5523" t="str">
        <x:v>MS-17980</x:v>
      </x:c>
      <x:c r="D5523" t="str">
        <x:v>Michael Stewart</x:v>
      </x:c>
      <x:c r="E5523" t="str">
        <x:v>Corporate</x:v>
      </x:c>
      <x:c r="F5523" t="str">
        <x:v>East</x:v>
      </x:c>
      <x:c r="G5523" t="str">
        <x:v>Furniture</x:v>
      </x:c>
      <x:c r="H5523" t="str">
        <x:v>Furnishings</x:v>
      </x:c>
      <x:c r="I5523" s="22" t="n">
        <x:v>54.768</x:v>
      </x:c>
      <x:c r="J5523" s="24" t="n">
        <x:v>2</x:v>
      </x:c>
      <x:c r="K5523" s="26" t="n">
        <x:v>0.2</x:v>
      </x:c>
      <x:c r="L5523" s="22" t="n">
        <x:v>6.8459999999999965</x:v>
      </x:c>
      <x:c r="M5523" t="n">
        <x:v>2017</x:v>
      </x:c>
      <x:c r="N5523" s="20" t="n">
        <x:v>43070</x:v>
      </x:c>
    </x:row>
    <x:row r="5524" ht="18" customHeight="1">
      <x:c r="A5524" t="str">
        <x:v>CA-2017-117667</x:v>
      </x:c>
      <x:c r="B5524" s="18" t="n">
        <x:v>43073</x:v>
      </x:c>
      <x:c r="C5524" t="str">
        <x:v>MS-17980</x:v>
      </x:c>
      <x:c r="D5524" t="str">
        <x:v>Michael Stewart</x:v>
      </x:c>
      <x:c r="E5524" t="str">
        <x:v>Corporate</x:v>
      </x:c>
      <x:c r="F5524" t="str">
        <x:v>East</x:v>
      </x:c>
      <x:c r="G5524" t="str">
        <x:v>Office Supplies</x:v>
      </x:c>
      <x:c r="H5524" t="str">
        <x:v>Art</x:v>
      </x:c>
      <x:c r="I5524" s="22" t="n">
        <x:v>13.392000000000001</x:v>
      </x:c>
      <x:c r="J5524" s="24" t="n">
        <x:v>3</x:v>
      </x:c>
      <x:c r="K5524" s="26" t="n">
        <x:v>0.2</x:v>
      </x:c>
      <x:c r="L5524" s="22" t="n">
        <x:v>3.1806000000000005</x:v>
      </x:c>
      <x:c r="M5524" t="n">
        <x:v>2017</x:v>
      </x:c>
      <x:c r="N5524" s="20" t="n">
        <x:v>43070</x:v>
      </x:c>
    </x:row>
    <x:row r="5525" ht="18" customHeight="1">
      <x:c r="A5525" t="str">
        <x:v>CA-2017-117667</x:v>
      </x:c>
      <x:c r="B5525" s="18" t="n">
        <x:v>43073</x:v>
      </x:c>
      <x:c r="C5525" t="str">
        <x:v>MS-17980</x:v>
      </x:c>
      <x:c r="D5525" t="str">
        <x:v>Michael Stewart</x:v>
      </x:c>
      <x:c r="E5525" t="str">
        <x:v>Corporate</x:v>
      </x:c>
      <x:c r="F5525" t="str">
        <x:v>East</x:v>
      </x:c>
      <x:c r="G5525" t="str">
        <x:v>Office Supplies</x:v>
      </x:c>
      <x:c r="H5525" t="str">
        <x:v>Paper</x:v>
      </x:c>
      <x:c r="I5525" s="22" t="n">
        <x:v>23.92</x:v>
      </x:c>
      <x:c r="J5525" s="24" t="n">
        <x:v>5</x:v>
      </x:c>
      <x:c r="K5525" s="26" t="n">
        <x:v>0.2</x:v>
      </x:c>
      <x:c r="L5525" s="22" t="n">
        <x:v>8.671</x:v>
      </x:c>
      <x:c r="M5525" t="n">
        <x:v>2017</x:v>
      </x:c>
      <x:c r="N5525" s="20" t="n">
        <x:v>43070</x:v>
      </x:c>
    </x:row>
    <x:row r="5526" ht="18" customHeight="1">
      <x:c r="A5526" t="str">
        <x:v>CA-2017-117667</x:v>
      </x:c>
      <x:c r="B5526" s="18" t="n">
        <x:v>43073</x:v>
      </x:c>
      <x:c r="C5526" t="str">
        <x:v>MS-17980</x:v>
      </x:c>
      <x:c r="D5526" t="str">
        <x:v>Michael Stewart</x:v>
      </x:c>
      <x:c r="E5526" t="str">
        <x:v>Corporate</x:v>
      </x:c>
      <x:c r="F5526" t="str">
        <x:v>East</x:v>
      </x:c>
      <x:c r="G5526" t="str">
        <x:v>Technology</x:v>
      </x:c>
      <x:c r="H5526" t="str">
        <x:v>Accessories</x:v>
      </x:c>
      <x:c r="I5526" s="22" t="n">
        <x:v>255.968</x:v>
      </x:c>
      <x:c r="J5526" s="24" t="n">
        <x:v>4</x:v>
      </x:c>
      <x:c r="K5526" s="26" t="n">
        <x:v>0.2</x:v>
      </x:c>
      <x:c r="L5526" s="22" t="n">
        <x:v>-28.796399999999984</x:v>
      </x:c>
      <x:c r="M5526" t="n">
        <x:v>2017</x:v>
      </x:c>
      <x:c r="N5526" s="20" t="n">
        <x:v>43070</x:v>
      </x:c>
    </x:row>
    <x:row r="5527" ht="18" customHeight="1">
      <x:c r="A5527" t="str">
        <x:v>CA-2016-110982</x:v>
      </x:c>
      <x:c r="B5527" s="18" t="n">
        <x:v>42526</x:v>
      </x:c>
      <x:c r="C5527" t="str">
        <x:v>CK-12205</x:v>
      </x:c>
      <x:c r="D5527" t="str">
        <x:v>Chloris Kastensmidt</x:v>
      </x:c>
      <x:c r="E5527" t="str">
        <x:v>Consumer</x:v>
      </x:c>
      <x:c r="F5527" t="str">
        <x:v>West</x:v>
      </x:c>
      <x:c r="G5527" t="str">
        <x:v>Office Supplies</x:v>
      </x:c>
      <x:c r="H5527" t="str">
        <x:v>Binders</x:v>
      </x:c>
      <x:c r="I5527" s="22" t="n">
        <x:v>21.552000000000003</x:v>
      </x:c>
      <x:c r="J5527" s="24" t="n">
        <x:v>6</x:v>
      </x:c>
      <x:c r="K5527" s="26" t="n">
        <x:v>0.2</x:v>
      </x:c>
      <x:c r="L5527" s="22" t="n">
        <x:v>7.004399999999998</x:v>
      </x:c>
      <x:c r="M5527" t="n">
        <x:v>2016</x:v>
      </x:c>
      <x:c r="N5527" s="20" t="n">
        <x:v>42522</x:v>
      </x:c>
    </x:row>
    <x:row r="5528" ht="18" customHeight="1">
      <x:c r="A5528" t="str">
        <x:v>CA-2016-110982</x:v>
      </x:c>
      <x:c r="B5528" s="18" t="n">
        <x:v>42526</x:v>
      </x:c>
      <x:c r="C5528" t="str">
        <x:v>CK-12205</x:v>
      </x:c>
      <x:c r="D5528" t="str">
        <x:v>Chloris Kastensmidt</x:v>
      </x:c>
      <x:c r="E5528" t="str">
        <x:v>Consumer</x:v>
      </x:c>
      <x:c r="F5528" t="str">
        <x:v>West</x:v>
      </x:c>
      <x:c r="G5528" t="str">
        <x:v>Office Supplies</x:v>
      </x:c>
      <x:c r="H5528" t="str">
        <x:v>Appliances</x:v>
      </x:c>
      <x:c r="I5528" s="22" t="n">
        <x:v>58.24</x:v>
      </x:c>
      <x:c r="J5528" s="24" t="n">
        <x:v>4</x:v>
      </x:c>
      <x:c r="K5528" s="26" t="n">
        <x:v>0</x:v>
      </x:c>
      <x:c r="L5528" s="22" t="n">
        <x:v>15.724800000000002</x:v>
      </x:c>
      <x:c r="M5528" t="n">
        <x:v>2016</x:v>
      </x:c>
      <x:c r="N5528" s="20" t="n">
        <x:v>42522</x:v>
      </x:c>
    </x:row>
    <x:row r="5529" ht="18" customHeight="1">
      <x:c r="A5529" t="str">
        <x:v>CA-2016-147123</x:v>
      </x:c>
      <x:c r="B5529" s="18" t="n">
        <x:v>42714</x:v>
      </x:c>
      <x:c r="C5529" t="str">
        <x:v>SJ-20125</x:v>
      </x:c>
      <x:c r="D5529" t="str">
        <x:v>Sanjit Jacobs</x:v>
      </x:c>
      <x:c r="E5529" t="str">
        <x:v>Home Office</x:v>
      </x:c>
      <x:c r="F5529" t="str">
        <x:v>West</x:v>
      </x:c>
      <x:c r="G5529" t="str">
        <x:v>Office Supplies</x:v>
      </x:c>
      <x:c r="H5529" t="str">
        <x:v>Paper</x:v>
      </x:c>
      <x:c r="I5529" s="22" t="n">
        <x:v>80.28</x:v>
      </x:c>
      <x:c r="J5529" s="24" t="n">
        <x:v>12</x:v>
      </x:c>
      <x:c r="K5529" s="26" t="n">
        <x:v>0</x:v>
      </x:c>
      <x:c r="L5529" s="22" t="n">
        <x:v>36.928799999999995</x:v>
      </x:c>
      <x:c r="M5529" t="n">
        <x:v>2016</x:v>
      </x:c>
      <x:c r="N5529" s="20" t="n">
        <x:v>42705</x:v>
      </x:c>
    </x:row>
    <x:row r="5530" ht="18" customHeight="1">
      <x:c r="A5530" t="str">
        <x:v>CA-2017-154501</x:v>
      </x:c>
      <x:c r="B5530" s="18" t="n">
        <x:v>42855</x:v>
      </x:c>
      <x:c r="C5530" t="str">
        <x:v>EA-14035</x:v>
      </x:c>
      <x:c r="D5530" t="str">
        <x:v>Erin Ashbrook</x:v>
      </x:c>
      <x:c r="E5530" t="str">
        <x:v>Corporate</x:v>
      </x:c>
      <x:c r="F5530" t="str">
        <x:v>West</x:v>
      </x:c>
      <x:c r="G5530" t="str">
        <x:v>Office Supplies</x:v>
      </x:c>
      <x:c r="H5530" t="str">
        <x:v>Art</x:v>
      </x:c>
      <x:c r="I5530" s="22" t="n">
        <x:v>9.78</x:v>
      </x:c>
      <x:c r="J5530" s="24" t="n">
        <x:v>2</x:v>
      </x:c>
      <x:c r="K5530" s="26" t="n">
        <x:v>0</x:v>
      </x:c>
      <x:c r="L5530" s="22" t="n">
        <x:v>4.0098</x:v>
      </x:c>
      <x:c r="M5530" t="n">
        <x:v>2017</x:v>
      </x:c>
      <x:c r="N5530" s="20" t="n">
        <x:v>42826</x:v>
      </x:c>
    </x:row>
    <x:row r="5531" ht="18" customHeight="1">
      <x:c r="A5531" t="str">
        <x:v>CA-2017-166933</x:v>
      </x:c>
      <x:c r="B5531" s="18" t="n">
        <x:v>42849</x:v>
      </x:c>
      <x:c r="C5531" t="str">
        <x:v>MG-17890</x:v>
      </x:c>
      <x:c r="D5531" t="str">
        <x:v>Michael Granlund</x:v>
      </x:c>
      <x:c r="E5531" t="str">
        <x:v>Home Office</x:v>
      </x:c>
      <x:c r="F5531" t="str">
        <x:v>West</x:v>
      </x:c>
      <x:c r="G5531" t="str">
        <x:v>Office Supplies</x:v>
      </x:c>
      <x:c r="H5531" t="str">
        <x:v>Fasteners</x:v>
      </x:c>
      <x:c r="I5531" s="22" t="n">
        <x:v>1.81</x:v>
      </x:c>
      <x:c r="J5531" s="24" t="n">
        <x:v>1</x:v>
      </x:c>
      <x:c r="K5531" s="26" t="n">
        <x:v>0</x:v>
      </x:c>
      <x:c r="L5531" s="22" t="n">
        <x:v>0.6516</x:v>
      </x:c>
      <x:c r="M5531" t="n">
        <x:v>2017</x:v>
      </x:c>
      <x:c r="N5531" s="20" t="n">
        <x:v>42826</x:v>
      </x:c>
    </x:row>
    <x:row r="5532" ht="18" customHeight="1">
      <x:c r="A5532" t="str">
        <x:v>CA-2015-142055</x:v>
      </x:c>
      <x:c r="B5532" s="18" t="n">
        <x:v>42132</x:v>
      </x:c>
      <x:c r="C5532" t="str">
        <x:v>AB-10255</x:v>
      </x:c>
      <x:c r="D5532" t="str">
        <x:v>Alejandro Ballentine</x:v>
      </x:c>
      <x:c r="E5532" t="str">
        <x:v>Home Office</x:v>
      </x:c>
      <x:c r="F5532" t="str">
        <x:v>East</x:v>
      </x:c>
      <x:c r="G5532" t="str">
        <x:v>Office Supplies</x:v>
      </x:c>
      <x:c r="H5532" t="str">
        <x:v>Paper</x:v>
      </x:c>
      <x:c r="I5532" s="22" t="n">
        <x:v>37.94</x:v>
      </x:c>
      <x:c r="J5532" s="24" t="n">
        <x:v>2</x:v>
      </x:c>
      <x:c r="K5532" s="26" t="n">
        <x:v>0</x:v>
      </x:c>
      <x:c r="L5532" s="22" t="n">
        <x:v>18.211199999999998</x:v>
      </x:c>
      <x:c r="M5532" t="n">
        <x:v>2015</x:v>
      </x:c>
      <x:c r="N5532" s="20" t="n">
        <x:v>42125</x:v>
      </x:c>
    </x:row>
    <x:row r="5533" ht="18" customHeight="1">
      <x:c r="A5533" t="str">
        <x:v>CA-2015-137106</x:v>
      </x:c>
      <x:c r="B5533" s="18" t="n">
        <x:v>42094</x:v>
      </x:c>
      <x:c r="C5533" t="str">
        <x:v>SC-20260</x:v>
      </x:c>
      <x:c r="D5533" t="str">
        <x:v>Scott Cohen</x:v>
      </x:c>
      <x:c r="E5533" t="str">
        <x:v>Corporate</x:v>
      </x:c>
      <x:c r="F5533" t="str">
        <x:v>South</x:v>
      </x:c>
      <x:c r="G5533" t="str">
        <x:v>Technology</x:v>
      </x:c>
      <x:c r="H5533" t="str">
        <x:v>Phones</x:v>
      </x:c>
      <x:c r="I5533" s="22" t="n">
        <x:v>79.96</x:v>
      </x:c>
      <x:c r="J5533" s="24" t="n">
        <x:v>5</x:v>
      </x:c>
      <x:c r="K5533" s="26" t="n">
        <x:v>0.2</x:v>
      </x:c>
      <x:c r="L5533" s="22" t="n">
        <x:v>27.985999999999994</x:v>
      </x:c>
      <x:c r="M5533" t="n">
        <x:v>2015</x:v>
      </x:c>
      <x:c r="N5533" s="20" t="n">
        <x:v>42064</x:v>
      </x:c>
    </x:row>
    <x:row r="5534" ht="18" customHeight="1">
      <x:c r="A5534" t="str">
        <x:v>CA-2017-136609</x:v>
      </x:c>
      <x:c r="B5534" s="18" t="n">
        <x:v>42953</x:v>
      </x:c>
      <x:c r="C5534" t="str">
        <x:v>TB-21355</x:v>
      </x:c>
      <x:c r="D5534" t="str">
        <x:v>Todd Boyes</x:v>
      </x:c>
      <x:c r="E5534" t="str">
        <x:v>Corporate</x:v>
      </x:c>
      <x:c r="F5534" t="str">
        <x:v>Central</x:v>
      </x:c>
      <x:c r="G5534" t="str">
        <x:v>Office Supplies</x:v>
      </x:c>
      <x:c r="H5534" t="str">
        <x:v>Paper</x:v>
      </x:c>
      <x:c r="I5534" s="22" t="n">
        <x:v>115.296</x:v>
      </x:c>
      <x:c r="J5534" s="24" t="n">
        <x:v>3</x:v>
      </x:c>
      <x:c r="K5534" s="26" t="n">
        <x:v>0.2</x:v>
      </x:c>
      <x:c r="L5534" s="22" t="n">
        <x:v>40.353599999999986</x:v>
      </x:c>
      <x:c r="M5534" t="n">
        <x:v>2017</x:v>
      </x:c>
      <x:c r="N5534" s="20" t="n">
        <x:v>42948</x:v>
      </x:c>
    </x:row>
    <x:row r="5535" ht="18" customHeight="1">
      <x:c r="A5535" t="str">
        <x:v>CA-2017-160885</x:v>
      </x:c>
      <x:c r="B5535" s="18" t="n">
        <x:v>43071</x:v>
      </x:c>
      <x:c r="C5535" t="str">
        <x:v>JK-16090</x:v>
      </x:c>
      <x:c r="D5535" t="str">
        <x:v>Juliana Krohn</x:v>
      </x:c>
      <x:c r="E5535" t="str">
        <x:v>Consumer</x:v>
      </x:c>
      <x:c r="F5535" t="str">
        <x:v>Central</x:v>
      </x:c>
      <x:c r="G5535" t="str">
        <x:v>Technology</x:v>
      </x:c>
      <x:c r="H5535" t="str">
        <x:v>Phones</x:v>
      </x:c>
      <x:c r="I5535" s="22" t="n">
        <x:v>2479.96</x:v>
      </x:c>
      <x:c r="J5535" s="24" t="n">
        <x:v>4</x:v>
      </x:c>
      <x:c r="K5535" s="26" t="n">
        <x:v>0</x:v>
      </x:c>
      <x:c r="L5535" s="22" t="n">
        <x:v>743.9879999999998</x:v>
      </x:c>
      <x:c r="M5535" t="n">
        <x:v>2017</x:v>
      </x:c>
      <x:c r="N5535" s="20" t="n">
        <x:v>43070</x:v>
      </x:c>
    </x:row>
    <x:row r="5536" ht="18" customHeight="1">
      <x:c r="A5536" t="str">
        <x:v>US-2016-167472</x:v>
      </x:c>
      <x:c r="B5536" s="18" t="n">
        <x:v>42527</x:v>
      </x:c>
      <x:c r="C5536" t="str">
        <x:v>CK-12595</x:v>
      </x:c>
      <x:c r="D5536" t="str">
        <x:v>Clytie Kelty</x:v>
      </x:c>
      <x:c r="E5536" t="str">
        <x:v>Consumer</x:v>
      </x:c>
      <x:c r="F5536" t="str">
        <x:v>South</x:v>
      </x:c>
      <x:c r="G5536" t="str">
        <x:v>Technology</x:v>
      </x:c>
      <x:c r="H5536" t="str">
        <x:v>Accessories</x:v>
      </x:c>
      <x:c r="I5536" s="22" t="n">
        <x:v>179.94</x:v>
      </x:c>
      <x:c r="J5536" s="24" t="n">
        <x:v>6</x:v>
      </x:c>
      <x:c r="K5536" s="26" t="n">
        <x:v>0</x:v>
      </x:c>
      <x:c r="L5536" s="22" t="n">
        <x:v>75.57480000000001</x:v>
      </x:c>
      <x:c r="M5536" t="n">
        <x:v>2016</x:v>
      </x:c>
      <x:c r="N5536" s="20" t="n">
        <x:v>42522</x:v>
      </x:c>
    </x:row>
    <x:row r="5537" ht="18" customHeight="1">
      <x:c r="A5537" t="str">
        <x:v>US-2016-167472</x:v>
      </x:c>
      <x:c r="B5537" s="18" t="n">
        <x:v>42527</x:v>
      </x:c>
      <x:c r="C5537" t="str">
        <x:v>CK-12595</x:v>
      </x:c>
      <x:c r="D5537" t="str">
        <x:v>Clytie Kelty</x:v>
      </x:c>
      <x:c r="E5537" t="str">
        <x:v>Consumer</x:v>
      </x:c>
      <x:c r="F5537" t="str">
        <x:v>South</x:v>
      </x:c>
      <x:c r="G5537" t="str">
        <x:v>Technology</x:v>
      </x:c>
      <x:c r="H5537" t="str">
        <x:v>Accessories</x:v>
      </x:c>
      <x:c r="I5537" s="22" t="n">
        <x:v>26.849999999999998</x:v>
      </x:c>
      <x:c r="J5537" s="24" t="n">
        <x:v>3</x:v>
      </x:c>
      <x:c r="K5537" s="26" t="n">
        <x:v>0</x:v>
      </x:c>
      <x:c r="L5537" s="22" t="n">
        <x:v>5.101499999999997</x:v>
      </x:c>
      <x:c r="M5537" t="n">
        <x:v>2016</x:v>
      </x:c>
      <x:c r="N5537" s="20" t="n">
        <x:v>42522</x:v>
      </x:c>
    </x:row>
    <x:row r="5538" ht="18" customHeight="1">
      <x:c r="A5538" t="str">
        <x:v>US-2016-167472</x:v>
      </x:c>
      <x:c r="B5538" s="18" t="n">
        <x:v>42527</x:v>
      </x:c>
      <x:c r="C5538" t="str">
        <x:v>CK-12595</x:v>
      </x:c>
      <x:c r="D5538" t="str">
        <x:v>Clytie Kelty</x:v>
      </x:c>
      <x:c r="E5538" t="str">
        <x:v>Consumer</x:v>
      </x:c>
      <x:c r="F5538" t="str">
        <x:v>South</x:v>
      </x:c>
      <x:c r="G5538" t="str">
        <x:v>Technology</x:v>
      </x:c>
      <x:c r="H5538" t="str">
        <x:v>Accessories</x:v>
      </x:c>
      <x:c r="I5538" s="22" t="n">
        <x:v>323.37</x:v>
      </x:c>
      <x:c r="J5538" s="24" t="n">
        <x:v>3</x:v>
      </x:c>
      <x:c r="K5538" s="26" t="n">
        <x:v>0</x:v>
      </x:c>
      <x:c r="L5538" s="22" t="n">
        <x:v>129.348</x:v>
      </x:c>
      <x:c r="M5538" t="n">
        <x:v>2016</x:v>
      </x:c>
      <x:c r="N5538" s="20" t="n">
        <x:v>42522</x:v>
      </x:c>
    </x:row>
    <x:row r="5539" ht="18" customHeight="1">
      <x:c r="A5539" t="str">
        <x:v>US-2016-167472</x:v>
      </x:c>
      <x:c r="B5539" s="18" t="n">
        <x:v>42527</x:v>
      </x:c>
      <x:c r="C5539" t="str">
        <x:v>CK-12595</x:v>
      </x:c>
      <x:c r="D5539" t="str">
        <x:v>Clytie Kelty</x:v>
      </x:c>
      <x:c r="E5539" t="str">
        <x:v>Consumer</x:v>
      </x:c>
      <x:c r="F5539" t="str">
        <x:v>South</x:v>
      </x:c>
      <x:c r="G5539" t="str">
        <x:v>Office Supplies</x:v>
      </x:c>
      <x:c r="H5539" t="str">
        <x:v>Paper</x:v>
      </x:c>
      <x:c r="I5539" s="22" t="n">
        <x:v>59.94</x:v>
      </x:c>
      <x:c r="J5539" s="24" t="n">
        <x:v>3</x:v>
      </x:c>
      <x:c r="K5539" s="26" t="n">
        <x:v>0</x:v>
      </x:c>
      <x:c r="L5539" s="22" t="n">
        <x:v>28.171799999999998</x:v>
      </x:c>
      <x:c r="M5539" t="n">
        <x:v>2016</x:v>
      </x:c>
      <x:c r="N5539" s="20" t="n">
        <x:v>42522</x:v>
      </x:c>
    </x:row>
    <x:row r="5540" ht="18" customHeight="1">
      <x:c r="A5540" t="str">
        <x:v>US-2016-167472</x:v>
      </x:c>
      <x:c r="B5540" s="18" t="n">
        <x:v>42527</x:v>
      </x:c>
      <x:c r="C5540" t="str">
        <x:v>CK-12595</x:v>
      </x:c>
      <x:c r="D5540" t="str">
        <x:v>Clytie Kelty</x:v>
      </x:c>
      <x:c r="E5540" t="str">
        <x:v>Consumer</x:v>
      </x:c>
      <x:c r="F5540" t="str">
        <x:v>South</x:v>
      </x:c>
      <x:c r="G5540" t="str">
        <x:v>Office Supplies</x:v>
      </x:c>
      <x:c r="H5540" t="str">
        <x:v>Binders</x:v>
      </x:c>
      <x:c r="I5540" s="22" t="n">
        <x:v>64.14</x:v>
      </x:c>
      <x:c r="J5540" s="24" t="n">
        <x:v>3</x:v>
      </x:c>
      <x:c r="K5540" s="26" t="n">
        <x:v>0</x:v>
      </x:c>
      <x:c r="L5540" s="22" t="n">
        <x:v>30.7872</x:v>
      </x:c>
      <x:c r="M5540" t="n">
        <x:v>2016</x:v>
      </x:c>
      <x:c r="N5540" s="20" t="n">
        <x:v>42522</x:v>
      </x:c>
    </x:row>
    <x:row r="5541" ht="18" customHeight="1">
      <x:c r="A5541" t="str">
        <x:v>US-2016-167472</x:v>
      </x:c>
      <x:c r="B5541" s="18" t="n">
        <x:v>42527</x:v>
      </x:c>
      <x:c r="C5541" t="str">
        <x:v>CK-12595</x:v>
      </x:c>
      <x:c r="D5541" t="str">
        <x:v>Clytie Kelty</x:v>
      </x:c>
      <x:c r="E5541" t="str">
        <x:v>Consumer</x:v>
      </x:c>
      <x:c r="F5541" t="str">
        <x:v>South</x:v>
      </x:c>
      <x:c r="G5541" t="str">
        <x:v>Office Supplies</x:v>
      </x:c>
      <x:c r="H5541" t="str">
        <x:v>Binders</x:v>
      </x:c>
      <x:c r="I5541" s="22" t="n">
        <x:v>11.67</x:v>
      </x:c>
      <x:c r="J5541" s="24" t="n">
        <x:v>3</x:v>
      </x:c>
      <x:c r="K5541" s="26" t="n">
        <x:v>0</x:v>
      </x:c>
      <x:c r="L5541" s="22" t="n">
        <x:v>5.6015999999999995</x:v>
      </x:c>
      <x:c r="M5541" t="n">
        <x:v>2016</x:v>
      </x:c>
      <x:c r="N5541" s="20" t="n">
        <x:v>42522</x:v>
      </x:c>
    </x:row>
    <x:row r="5542" ht="18" customHeight="1">
      <x:c r="A5542" t="str">
        <x:v>US-2016-167472</x:v>
      </x:c>
      <x:c r="B5542" s="18" t="n">
        <x:v>42527</x:v>
      </x:c>
      <x:c r="C5542" t="str">
        <x:v>CK-12595</x:v>
      </x:c>
      <x:c r="D5542" t="str">
        <x:v>Clytie Kelty</x:v>
      </x:c>
      <x:c r="E5542" t="str">
        <x:v>Consumer</x:v>
      </x:c>
      <x:c r="F5542" t="str">
        <x:v>South</x:v>
      </x:c>
      <x:c r="G5542" t="str">
        <x:v>Office Supplies</x:v>
      </x:c>
      <x:c r="H5542" t="str">
        <x:v>Paper</x:v>
      </x:c>
      <x:c r="I5542" s="22" t="n">
        <x:v>12.96</x:v>
      </x:c>
      <x:c r="J5542" s="24" t="n">
        <x:v>2</x:v>
      </x:c>
      <x:c r="K5542" s="26" t="n">
        <x:v>0</x:v>
      </x:c>
      <x:c r="L5542" s="22" t="n">
        <x:v>6.2208000000000006</x:v>
      </x:c>
      <x:c r="M5542" t="n">
        <x:v>2016</x:v>
      </x:c>
      <x:c r="N5542" s="20" t="n">
        <x:v>42522</x:v>
      </x:c>
    </x:row>
    <x:row r="5543" ht="18" customHeight="1">
      <x:c r="A5543" t="str">
        <x:v>CA-2015-120551</x:v>
      </x:c>
      <x:c r="B5543" s="18" t="n">
        <x:v>42107</x:v>
      </x:c>
      <x:c r="C5543" t="str">
        <x:v>SS-20590</x:v>
      </x:c>
      <x:c r="D5543" t="str">
        <x:v>Sonia Sunley</x:v>
      </x:c>
      <x:c r="E5543" t="str">
        <x:v>Consumer</x:v>
      </x:c>
      <x:c r="F5543" t="str">
        <x:v>Central</x:v>
      </x:c>
      <x:c r="G5543" t="str">
        <x:v>Office Supplies</x:v>
      </x:c>
      <x:c r="H5543" t="str">
        <x:v>Binders</x:v>
      </x:c>
      <x:c r="I5543" s="22" t="n">
        <x:v>17.43</x:v>
      </x:c>
      <x:c r="J5543" s="24" t="n">
        <x:v>3</x:v>
      </x:c>
      <x:c r="K5543" s="26" t="n">
        <x:v>0</x:v>
      </x:c>
      <x:c r="L5543" s="22" t="n">
        <x:v>8.0178</x:v>
      </x:c>
      <x:c r="M5543" t="n">
        <x:v>2015</x:v>
      </x:c>
      <x:c r="N5543" s="20" t="n">
        <x:v>42095</x:v>
      </x:c>
    </x:row>
    <x:row r="5544" ht="18" customHeight="1">
      <x:c r="A5544" t="str">
        <x:v>US-2017-150595</x:v>
      </x:c>
      <x:c r="B5544" s="18" t="n">
        <x:v>42877</x:v>
      </x:c>
      <x:c r="C5544" t="str">
        <x:v>LE-16810</x:v>
      </x:c>
      <x:c r="D5544" t="str">
        <x:v>Laurel Elliston</x:v>
      </x:c>
      <x:c r="E5544" t="str">
        <x:v>Consumer</x:v>
      </x:c>
      <x:c r="F5544" t="str">
        <x:v>Central</x:v>
      </x:c>
      <x:c r="G5544" t="str">
        <x:v>Furniture</x:v>
      </x:c>
      <x:c r="H5544" t="str">
        <x:v>Chairs</x:v>
      </x:c>
      <x:c r="I5544" s="22" t="n">
        <x:v>181.986</x:v>
      </x:c>
      <x:c r="J5544" s="24" t="n">
        <x:v>2</x:v>
      </x:c>
      <x:c r="K5544" s="26" t="n">
        <x:v>0.3</x:v>
      </x:c>
      <x:c r="L5544" s="22" t="n">
        <x:v>-54.5958</x:v>
      </x:c>
      <x:c r="M5544" t="n">
        <x:v>2017</x:v>
      </x:c>
      <x:c r="N5544" s="20" t="n">
        <x:v>42856</x:v>
      </x:c>
    </x:row>
    <x:row r="5545" ht="18" customHeight="1">
      <x:c r="A5545" t="str">
        <x:v>US-2017-150595</x:v>
      </x:c>
      <x:c r="B5545" s="18" t="n">
        <x:v>42877</x:v>
      </x:c>
      <x:c r="C5545" t="str">
        <x:v>LE-16810</x:v>
      </x:c>
      <x:c r="D5545" t="str">
        <x:v>Laurel Elliston</x:v>
      </x:c>
      <x:c r="E5545" t="str">
        <x:v>Consumer</x:v>
      </x:c>
      <x:c r="F5545" t="str">
        <x:v>Central</x:v>
      </x:c>
      <x:c r="G5545" t="str">
        <x:v>Office Supplies</x:v>
      </x:c>
      <x:c r="H5545" t="str">
        <x:v>Binders</x:v>
      </x:c>
      <x:c r="I5545" s="22" t="n">
        <x:v>1.5919999999999996</x:v>
      </x:c>
      <x:c r="J5545" s="24" t="n">
        <x:v>2</x:v>
      </x:c>
      <x:c r="K5545" s="26" t="n">
        <x:v>0.8</x:v>
      </x:c>
      <x:c r="L5545" s="22" t="n">
        <x:v>-2.6268000000000002</x:v>
      </x:c>
      <x:c r="M5545" t="n">
        <x:v>2017</x:v>
      </x:c>
      <x:c r="N5545" s="20" t="n">
        <x:v>42856</x:v>
      </x:c>
    </x:row>
    <x:row r="5546" ht="18" customHeight="1">
      <x:c r="A5546" t="str">
        <x:v>US-2017-150595</x:v>
      </x:c>
      <x:c r="B5546" s="18" t="n">
        <x:v>42877</x:v>
      </x:c>
      <x:c r="C5546" t="str">
        <x:v>LE-16810</x:v>
      </x:c>
      <x:c r="D5546" t="str">
        <x:v>Laurel Elliston</x:v>
      </x:c>
      <x:c r="E5546" t="str">
        <x:v>Consumer</x:v>
      </x:c>
      <x:c r="F5546" t="str">
        <x:v>Central</x:v>
      </x:c>
      <x:c r="G5546" t="str">
        <x:v>Office Supplies</x:v>
      </x:c>
      <x:c r="H5546" t="str">
        <x:v>Supplies</x:v>
      </x:c>
      <x:c r="I5546" s="22" t="n">
        <x:v>22.344</x:v>
      </x:c>
      <x:c r="J5546" s="24" t="n">
        <x:v>3</x:v>
      </x:c>
      <x:c r="K5546" s="26" t="n">
        <x:v>0.2</x:v>
      </x:c>
      <x:c r="L5546" s="22" t="n">
        <x:v>2.5136999999999983</x:v>
      </x:c>
      <x:c r="M5546" t="n">
        <x:v>2017</x:v>
      </x:c>
      <x:c r="N5546" s="20" t="n">
        <x:v>42856</x:v>
      </x:c>
    </x:row>
    <x:row r="5547" ht="18" customHeight="1">
      <x:c r="A5547" t="str">
        <x:v>CA-2016-134936</x:v>
      </x:c>
      <x:c r="B5547" s="18" t="n">
        <x:v>42723</x:v>
      </x:c>
      <x:c r="C5547" t="str">
        <x:v>ES-14080</x:v>
      </x:c>
      <x:c r="D5547" t="str">
        <x:v>Erin Smith</x:v>
      </x:c>
      <x:c r="E5547" t="str">
        <x:v>Corporate</x:v>
      </x:c>
      <x:c r="F5547" t="str">
        <x:v>West</x:v>
      </x:c>
      <x:c r="G5547" t="str">
        <x:v>Furniture</x:v>
      </x:c>
      <x:c r="H5547" t="str">
        <x:v>Tables</x:v>
      </x:c>
      <x:c r="I5547" s="22" t="n">
        <x:v>455.97</x:v>
      </x:c>
      <x:c r="J5547" s="24" t="n">
        <x:v>6</x:v>
      </x:c>
      <x:c r="K5547" s="26" t="n">
        <x:v>0.5</x:v>
      </x:c>
      <x:c r="L5547" s="22" t="n">
        <x:v>-218.86559999999997</x:v>
      </x:c>
      <x:c r="M5547" t="n">
        <x:v>2016</x:v>
      </x:c>
      <x:c r="N5547" s="20" t="n">
        <x:v>42705</x:v>
      </x:c>
    </x:row>
    <x:row r="5548" ht="18" customHeight="1">
      <x:c r="A5548" t="str">
        <x:v>CA-2016-134936</x:v>
      </x:c>
      <x:c r="B5548" s="18" t="n">
        <x:v>42723</x:v>
      </x:c>
      <x:c r="C5548" t="str">
        <x:v>ES-14080</x:v>
      </x:c>
      <x:c r="D5548" t="str">
        <x:v>Erin Smith</x:v>
      </x:c>
      <x:c r="E5548" t="str">
        <x:v>Corporate</x:v>
      </x:c>
      <x:c r="F5548" t="str">
        <x:v>West</x:v>
      </x:c>
      <x:c r="G5548" t="str">
        <x:v>Office Supplies</x:v>
      </x:c>
      <x:c r="H5548" t="str">
        <x:v>Binders</x:v>
      </x:c>
      <x:c r="I5548" s="22" t="n">
        <x:v>10.440000000000001</x:v>
      </x:c>
      <x:c r="J5548" s="24" t="n">
        <x:v>6</x:v>
      </x:c>
      <x:c r="K5548" s="26" t="n">
        <x:v>0.7</x:v>
      </x:c>
      <x:c r="L5548" s="22" t="n">
        <x:v>-7.655999999999999</x:v>
      </x:c>
      <x:c r="M5548" t="n">
        <x:v>2016</x:v>
      </x:c>
      <x:c r="N5548" s="20" t="n">
        <x:v>42705</x:v>
      </x:c>
    </x:row>
    <x:row r="5549" ht="18" customHeight="1">
      <x:c r="A5549" t="str">
        <x:v>CA-2016-134936</x:v>
      </x:c>
      <x:c r="B5549" s="18" t="n">
        <x:v>42723</x:v>
      </x:c>
      <x:c r="C5549" t="str">
        <x:v>ES-14080</x:v>
      </x:c>
      <x:c r="D5549" t="str">
        <x:v>Erin Smith</x:v>
      </x:c>
      <x:c r="E5549" t="str">
        <x:v>Corporate</x:v>
      </x:c>
      <x:c r="F5549" t="str">
        <x:v>West</x:v>
      </x:c>
      <x:c r="G5549" t="str">
        <x:v>Office Supplies</x:v>
      </x:c>
      <x:c r="H5549" t="str">
        <x:v>Binders</x:v>
      </x:c>
      <x:c r="I5549" s="22" t="n">
        <x:v>5.214</x:v>
      </x:c>
      <x:c r="J5549" s="24" t="n">
        <x:v>2</x:v>
      </x:c>
      <x:c r="K5549" s="26" t="n">
        <x:v>0.7</x:v>
      </x:c>
      <x:c r="L5549" s="22" t="n">
        <x:v>-4.171199999999999</x:v>
      </x:c>
      <x:c r="M5549" t="n">
        <x:v>2016</x:v>
      </x:c>
      <x:c r="N5549" s="20" t="n">
        <x:v>42705</x:v>
      </x:c>
    </x:row>
    <x:row r="5550" ht="18" customHeight="1">
      <x:c r="A5550" t="str">
        <x:v>CA-2017-102967</x:v>
      </x:c>
      <x:c r="B5550" s="18" t="n">
        <x:v>43000</x:v>
      </x:c>
      <x:c r="C5550" t="str">
        <x:v>MG-17890</x:v>
      </x:c>
      <x:c r="D5550" t="str">
        <x:v>Michael Granlund</x:v>
      </x:c>
      <x:c r="E5550" t="str">
        <x:v>Home Office</x:v>
      </x:c>
      <x:c r="F5550" t="str">
        <x:v>East</x:v>
      </x:c>
      <x:c r="G5550" t="str">
        <x:v>Office Supplies</x:v>
      </x:c>
      <x:c r="H5550" t="str">
        <x:v>Storage</x:v>
      </x:c>
      <x:c r="I5550" s="22" t="n">
        <x:v>67.4</x:v>
      </x:c>
      <x:c r="J5550" s="24" t="n">
        <x:v>5</x:v>
      </x:c>
      <x:c r="K5550" s="26" t="n">
        <x:v>0</x:v>
      </x:c>
      <x:c r="L5550" s="22" t="n">
        <x:v>17.523999999999997</x:v>
      </x:c>
      <x:c r="M5550" t="n">
        <x:v>2017</x:v>
      </x:c>
      <x:c r="N5550" s="20" t="n">
        <x:v>42979</x:v>
      </x:c>
    </x:row>
    <x:row r="5551" ht="18" customHeight="1">
      <x:c r="A5551" t="str">
        <x:v>CA-2017-151008</x:v>
      </x:c>
      <x:c r="B5551" s="18" t="n">
        <x:v>42985</x:v>
      </x:c>
      <x:c r="C5551" t="str">
        <x:v>JM-16195</x:v>
      </x:c>
      <x:c r="D5551" t="str">
        <x:v>Justin MacKendrick</x:v>
      </x:c>
      <x:c r="E5551" t="str">
        <x:v>Consumer</x:v>
      </x:c>
      <x:c r="F5551" t="str">
        <x:v>West</x:v>
      </x:c>
      <x:c r="G5551" t="str">
        <x:v>Furniture</x:v>
      </x:c>
      <x:c r="H5551" t="str">
        <x:v>Furnishings</x:v>
      </x:c>
      <x:c r="I5551" s="22" t="n">
        <x:v>25.16</x:v>
      </x:c>
      <x:c r="J5551" s="24" t="n">
        <x:v>2</x:v>
      </x:c>
      <x:c r="K5551" s="26" t="n">
        <x:v>0</x:v>
      </x:c>
      <x:c r="L5551" s="22" t="n">
        <x:v>10.567200000000001</x:v>
      </x:c>
      <x:c r="M5551" t="n">
        <x:v>2017</x:v>
      </x:c>
      <x:c r="N5551" s="20" t="n">
        <x:v>42979</x:v>
      </x:c>
    </x:row>
    <x:row r="5552" ht="18" customHeight="1">
      <x:c r="A5552" t="str">
        <x:v>CA-2017-151008</x:v>
      </x:c>
      <x:c r="B5552" s="18" t="n">
        <x:v>42985</x:v>
      </x:c>
      <x:c r="C5552" t="str">
        <x:v>JM-16195</x:v>
      </x:c>
      <x:c r="D5552" t="str">
        <x:v>Justin MacKendrick</x:v>
      </x:c>
      <x:c r="E5552" t="str">
        <x:v>Consumer</x:v>
      </x:c>
      <x:c r="F5552" t="str">
        <x:v>West</x:v>
      </x:c>
      <x:c r="G5552" t="str">
        <x:v>Technology</x:v>
      </x:c>
      <x:c r="H5552" t="str">
        <x:v>Phones</x:v>
      </x:c>
      <x:c r="I5552" s="22" t="n">
        <x:v>126.56</x:v>
      </x:c>
      <x:c r="J5552" s="24" t="n">
        <x:v>4</x:v>
      </x:c>
      <x:c r="K5552" s="26" t="n">
        <x:v>0.2</x:v>
      </x:c>
      <x:c r="L5552" s="22" t="n">
        <x:v>47.459999999999994</x:v>
      </x:c>
      <x:c r="M5552" t="n">
        <x:v>2017</x:v>
      </x:c>
      <x:c r="N5552" s="20" t="n">
        <x:v>42979</x:v>
      </x:c>
    </x:row>
    <x:row r="5553" ht="18" customHeight="1">
      <x:c r="A5553" t="str">
        <x:v>CA-2014-159800</x:v>
      </x:c>
      <x:c r="B5553" s="18" t="n">
        <x:v>41971</x:v>
      </x:c>
      <x:c r="C5553" t="str">
        <x:v>SG-20470</x:v>
      </x:c>
      <x:c r="D5553" t="str">
        <x:v>Sheri Gordon</x:v>
      </x:c>
      <x:c r="E5553" t="str">
        <x:v>Consumer</x:v>
      </x:c>
      <x:c r="F5553" t="str">
        <x:v>West</x:v>
      </x:c>
      <x:c r="G5553" t="str">
        <x:v>Office Supplies</x:v>
      </x:c>
      <x:c r="H5553" t="str">
        <x:v>Appliances</x:v>
      </x:c>
      <x:c r="I5553" s="22" t="n">
        <x:v>43.68</x:v>
      </x:c>
      <x:c r="J5553" s="24" t="n">
        <x:v>3</x:v>
      </x:c>
      <x:c r="K5553" s="26" t="n">
        <x:v>0</x:v>
      </x:c>
      <x:c r="L5553" s="22" t="n">
        <x:v>11.793600000000001</x:v>
      </x:c>
      <x:c r="M5553" t="n">
        <x:v>2014</x:v>
      </x:c>
      <x:c r="N5553" s="20" t="n">
        <x:v>41944</x:v>
      </x:c>
    </x:row>
    <x:row r="5554" ht="18" customHeight="1">
      <x:c r="A5554" t="str">
        <x:v>CA-2014-159800</x:v>
      </x:c>
      <x:c r="B5554" s="18" t="n">
        <x:v>41971</x:v>
      </x:c>
      <x:c r="C5554" t="str">
        <x:v>SG-20470</x:v>
      </x:c>
      <x:c r="D5554" t="str">
        <x:v>Sheri Gordon</x:v>
      </x:c>
      <x:c r="E5554" t="str">
        <x:v>Consumer</x:v>
      </x:c>
      <x:c r="F5554" t="str">
        <x:v>West</x:v>
      </x:c>
      <x:c r="G5554" t="str">
        <x:v>Technology</x:v>
      </x:c>
      <x:c r="H5554" t="str">
        <x:v>Accessories</x:v>
      </x:c>
      <x:c r="I5554" s="22" t="n">
        <x:v>139.92999999999998</x:v>
      </x:c>
      <x:c r="J5554" s="24" t="n">
        <x:v>7</x:v>
      </x:c>
      <x:c r="K5554" s="26" t="n">
        <x:v>0</x:v>
      </x:c>
      <x:c r="L5554" s="22" t="n">
        <x:v>34.98249999999999</x:v>
      </x:c>
      <x:c r="M5554" t="n">
        <x:v>2014</x:v>
      </x:c>
      <x:c r="N5554" s="20" t="n">
        <x:v>41944</x:v>
      </x:c>
    </x:row>
    <x:row r="5555" ht="18" customHeight="1">
      <x:c r="A5555" t="str">
        <x:v>US-2014-159618</x:v>
      </x:c>
      <x:c r="B5555" s="18" t="n">
        <x:v>41955</x:v>
      </x:c>
      <x:c r="C5555" t="str">
        <x:v>DB-12970</x:v>
      </x:c>
      <x:c r="D5555" t="str">
        <x:v>Darren Budd</x:v>
      </x:c>
      <x:c r="E5555" t="str">
        <x:v>Corporate</x:v>
      </x:c>
      <x:c r="F5555" t="str">
        <x:v>Central</x:v>
      </x:c>
      <x:c r="G5555" t="str">
        <x:v>Office Supplies</x:v>
      </x:c>
      <x:c r="H5555" t="str">
        <x:v>Art</x:v>
      </x:c>
      <x:c r="I5555" s="22" t="n">
        <x:v>2.672</x:v>
      </x:c>
      <x:c r="J5555" s="24" t="n">
        <x:v>1</x:v>
      </x:c>
      <x:c r="K5555" s="26" t="n">
        <x:v>0.2</x:v>
      </x:c>
      <x:c r="L5555" s="22" t="n">
        <x:v>0.33399999999999974</x:v>
      </x:c>
      <x:c r="M5555" t="n">
        <x:v>2014</x:v>
      </x:c>
      <x:c r="N5555" s="20" t="n">
        <x:v>41944</x:v>
      </x:c>
    </x:row>
    <x:row r="5556" ht="18" customHeight="1">
      <x:c r="A5556" t="str">
        <x:v>US-2014-159618</x:v>
      </x:c>
      <x:c r="B5556" s="18" t="n">
        <x:v>41955</x:v>
      </x:c>
      <x:c r="C5556" t="str">
        <x:v>DB-12970</x:v>
      </x:c>
      <x:c r="D5556" t="str">
        <x:v>Darren Budd</x:v>
      </x:c>
      <x:c r="E5556" t="str">
        <x:v>Corporate</x:v>
      </x:c>
      <x:c r="F5556" t="str">
        <x:v>Central</x:v>
      </x:c>
      <x:c r="G5556" t="str">
        <x:v>Office Supplies</x:v>
      </x:c>
      <x:c r="H5556" t="str">
        <x:v>Supplies</x:v>
      </x:c>
      <x:c r="I5556" s="22" t="n">
        <x:v>16.656000000000002</x:v>
      </x:c>
      <x:c r="J5556" s="24" t="n">
        <x:v>6</x:v>
      </x:c>
      <x:c r="K5556" s="26" t="n">
        <x:v>0.2</x:v>
      </x:c>
      <x:c r="L5556" s="22" t="n">
        <x:v>-3.123000000000002</x:v>
      </x:c>
      <x:c r="M5556" t="n">
        <x:v>2014</x:v>
      </x:c>
      <x:c r="N5556" s="20" t="n">
        <x:v>41944</x:v>
      </x:c>
    </x:row>
    <x:row r="5557" ht="18" customHeight="1">
      <x:c r="A5557" t="str">
        <x:v>US-2014-159618</x:v>
      </x:c>
      <x:c r="B5557" s="18" t="n">
        <x:v>41955</x:v>
      </x:c>
      <x:c r="C5557" t="str">
        <x:v>DB-12970</x:v>
      </x:c>
      <x:c r="D5557" t="str">
        <x:v>Darren Budd</x:v>
      </x:c>
      <x:c r="E5557" t="str">
        <x:v>Corporate</x:v>
      </x:c>
      <x:c r="F5557" t="str">
        <x:v>Central</x:v>
      </x:c>
      <x:c r="G5557" t="str">
        <x:v>Technology</x:v>
      </x:c>
      <x:c r="H5557" t="str">
        <x:v>Accessories</x:v>
      </x:c>
      <x:c r="I5557" s="22" t="n">
        <x:v>79.51200000000001</x:v>
      </x:c>
      <x:c r="J5557" s="24" t="n">
        <x:v>3</x:v>
      </x:c>
      <x:c r="K5557" s="26" t="n">
        <x:v>0.2</x:v>
      </x:c>
      <x:c r="L5557" s="22" t="n">
        <x:v>20.8719</x:v>
      </x:c>
      <x:c r="M5557" t="n">
        <x:v>2014</x:v>
      </x:c>
      <x:c r="N5557" s="20" t="n">
        <x:v>41944</x:v>
      </x:c>
    </x:row>
    <x:row r="5558" ht="18" customHeight="1">
      <x:c r="A5558" t="str">
        <x:v>US-2014-159618</x:v>
      </x:c>
      <x:c r="B5558" s="18" t="n">
        <x:v>41955</x:v>
      </x:c>
      <x:c r="C5558" t="str">
        <x:v>DB-12970</x:v>
      </x:c>
      <x:c r="D5558" t="str">
        <x:v>Darren Budd</x:v>
      </x:c>
      <x:c r="E5558" t="str">
        <x:v>Corporate</x:v>
      </x:c>
      <x:c r="F5558" t="str">
        <x:v>Central</x:v>
      </x:c>
      <x:c r="G5558" t="str">
        <x:v>Office Supplies</x:v>
      </x:c>
      <x:c r="H5558" t="str">
        <x:v>Paper</x:v>
      </x:c>
      <x:c r="I5558" s="22" t="n">
        <x:v>36.28800000000001</x:v>
      </x:c>
      <x:c r="J5558" s="24" t="n">
        <x:v>7</x:v>
      </x:c>
      <x:c r="K5558" s="26" t="n">
        <x:v>0.2</x:v>
      </x:c>
      <x:c r="L5558" s="22" t="n">
        <x:v>12.700800000000001</x:v>
      </x:c>
      <x:c r="M5558" t="n">
        <x:v>2014</x:v>
      </x:c>
      <x:c r="N5558" s="20" t="n">
        <x:v>41944</x:v>
      </x:c>
    </x:row>
    <x:row r="5559" ht="18" customHeight="1">
      <x:c r="A5559" t="str">
        <x:v>US-2014-159618</x:v>
      </x:c>
      <x:c r="B5559" s="18" t="n">
        <x:v>41955</x:v>
      </x:c>
      <x:c r="C5559" t="str">
        <x:v>DB-12970</x:v>
      </x:c>
      <x:c r="D5559" t="str">
        <x:v>Darren Budd</x:v>
      </x:c>
      <x:c r="E5559" t="str">
        <x:v>Corporate</x:v>
      </x:c>
      <x:c r="F5559" t="str">
        <x:v>Central</x:v>
      </x:c>
      <x:c r="G5559" t="str">
        <x:v>Furniture</x:v>
      </x:c>
      <x:c r="H5559" t="str">
        <x:v>Bookcases</x:v>
      </x:c>
      <x:c r="I5559" s="22" t="n">
        <x:v>67.99319999999999</x:v>
      </x:c>
      <x:c r="J5559" s="24" t="n">
        <x:v>1</x:v>
      </x:c>
      <x:c r="K5559" s="26" t="n">
        <x:v>0.32</x:v>
      </x:c>
      <x:c r="L5559" s="22" t="n">
        <x:v>-12.998700000000007</x:v>
      </x:c>
      <x:c r="M5559" t="n">
        <x:v>2014</x:v>
      </x:c>
      <x:c r="N5559" s="20" t="n">
        <x:v>41944</x:v>
      </x:c>
    </x:row>
    <x:row r="5560" ht="18" customHeight="1">
      <x:c r="A5560" t="str">
        <x:v>CA-2017-116113</x:v>
      </x:c>
      <x:c r="B5560" s="18" t="n">
        <x:v>43010</x:v>
      </x:c>
      <x:c r="C5560" t="str">
        <x:v>JW-15220</x:v>
      </x:c>
      <x:c r="D5560" t="str">
        <x:v>Jane Waco</x:v>
      </x:c>
      <x:c r="E5560" t="str">
        <x:v>Corporate</x:v>
      </x:c>
      <x:c r="F5560" t="str">
        <x:v>South</x:v>
      </x:c>
      <x:c r="G5560" t="str">
        <x:v>Furniture</x:v>
      </x:c>
      <x:c r="H5560" t="str">
        <x:v>Furnishings</x:v>
      </x:c>
      <x:c r="I5560" s="22" t="n">
        <x:v>10.16</x:v>
      </x:c>
      <x:c r="J5560" s="24" t="n">
        <x:v>2</x:v>
      </x:c>
      <x:c r="K5560" s="26" t="n">
        <x:v>0</x:v>
      </x:c>
      <x:c r="L5560" s="22" t="n">
        <x:v>3.4543999999999997</x:v>
      </x:c>
      <x:c r="M5560" t="n">
        <x:v>2017</x:v>
      </x:c>
      <x:c r="N5560" s="20" t="n">
        <x:v>43009</x:v>
      </x:c>
    </x:row>
    <x:row r="5561" ht="18" customHeight="1">
      <x:c r="A5561" t="str">
        <x:v>CA-2015-125066</x:v>
      </x:c>
      <x:c r="B5561" s="18" t="n">
        <x:v>42352</x:v>
      </x:c>
      <x:c r="C5561" t="str">
        <x:v>KD-16495</x:v>
      </x:c>
      <x:c r="D5561" t="str">
        <x:v>Keith Dawkins</x:v>
      </x:c>
      <x:c r="E5561" t="str">
        <x:v>Corporate</x:v>
      </x:c>
      <x:c r="F5561" t="str">
        <x:v>South</x:v>
      </x:c>
      <x:c r="G5561" t="str">
        <x:v>Furniture</x:v>
      </x:c>
      <x:c r="H5561" t="str">
        <x:v>Furnishings</x:v>
      </x:c>
      <x:c r="I5561" s="22" t="n">
        <x:v>6.16</x:v>
      </x:c>
      <x:c r="J5561" s="24" t="n">
        <x:v>2</x:v>
      </x:c>
      <x:c r="K5561" s="26" t="n">
        <x:v>0</x:v>
      </x:c>
      <x:c r="L5561" s="22" t="n">
        <x:v>1.9711999999999996</x:v>
      </x:c>
      <x:c r="M5561" t="n">
        <x:v>2015</x:v>
      </x:c>
      <x:c r="N5561" s="20" t="n">
        <x:v>42339</x:v>
      </x:c>
    </x:row>
    <x:row r="5562" ht="18" customHeight="1">
      <x:c r="A5562" t="str">
        <x:v>CA-2015-125066</x:v>
      </x:c>
      <x:c r="B5562" s="18" t="n">
        <x:v>42352</x:v>
      </x:c>
      <x:c r="C5562" t="str">
        <x:v>KD-16495</x:v>
      </x:c>
      <x:c r="D5562" t="str">
        <x:v>Keith Dawkins</x:v>
      </x:c>
      <x:c r="E5562" t="str">
        <x:v>Corporate</x:v>
      </x:c>
      <x:c r="F5562" t="str">
        <x:v>South</x:v>
      </x:c>
      <x:c r="G5562" t="str">
        <x:v>Office Supplies</x:v>
      </x:c>
      <x:c r="H5562" t="str">
        <x:v>Art</x:v>
      </x:c>
      <x:c r="I5562" s="22" t="n">
        <x:v>56.3</x:v>
      </x:c>
      <x:c r="J5562" s="24" t="n">
        <x:v>2</x:v>
      </x:c>
      <x:c r="K5562" s="26" t="n">
        <x:v>0</x:v>
      </x:c>
      <x:c r="L5562" s="22" t="n">
        <x:v>15.764000000000003</x:v>
      </x:c>
      <x:c r="M5562" t="n">
        <x:v>2015</x:v>
      </x:c>
      <x:c r="N5562" s="20" t="n">
        <x:v>42339</x:v>
      </x:c>
    </x:row>
    <x:row r="5563" ht="18" customHeight="1">
      <x:c r="A5563" t="str">
        <x:v>US-2015-114741</x:v>
      </x:c>
      <x:c r="B5563" s="18" t="n">
        <x:v>42344</x:v>
      </x:c>
      <x:c r="C5563" t="str">
        <x:v>IL-15100</x:v>
      </x:c>
      <x:c r="D5563" t="str">
        <x:v>Ivan Liston</x:v>
      </x:c>
      <x:c r="E5563" t="str">
        <x:v>Consumer</x:v>
      </x:c>
      <x:c r="F5563" t="str">
        <x:v>West</x:v>
      </x:c>
      <x:c r="G5563" t="str">
        <x:v>Office Supplies</x:v>
      </x:c>
      <x:c r="H5563" t="str">
        <x:v>Paper</x:v>
      </x:c>
      <x:c r="I5563" s="22" t="n">
        <x:v>6.48</x:v>
      </x:c>
      <x:c r="J5563" s="24" t="n">
        <x:v>1</x:v>
      </x:c>
      <x:c r="K5563" s="26" t="n">
        <x:v>0</x:v>
      </x:c>
      <x:c r="L5563" s="22" t="n">
        <x:v>3.1104000000000003</x:v>
      </x:c>
      <x:c r="M5563" t="n">
        <x:v>2015</x:v>
      </x:c>
      <x:c r="N5563" s="20" t="n">
        <x:v>42339</x:v>
      </x:c>
    </x:row>
    <x:row r="5564" ht="18" customHeight="1">
      <x:c r="A5564" t="str">
        <x:v>US-2015-114741</x:v>
      </x:c>
      <x:c r="B5564" s="18" t="n">
        <x:v>42344</x:v>
      </x:c>
      <x:c r="C5564" t="str">
        <x:v>IL-15100</x:v>
      </x:c>
      <x:c r="D5564" t="str">
        <x:v>Ivan Liston</x:v>
      </x:c>
      <x:c r="E5564" t="str">
        <x:v>Consumer</x:v>
      </x:c>
      <x:c r="F5564" t="str">
        <x:v>West</x:v>
      </x:c>
      <x:c r="G5564" t="str">
        <x:v>Office Supplies</x:v>
      </x:c>
      <x:c r="H5564" t="str">
        <x:v>Storage</x:v>
      </x:c>
      <x:c r="I5564" s="22" t="n">
        <x:v>1325.8500000000001</x:v>
      </x:c>
      <x:c r="J5564" s="24" t="n">
        <x:v>5</x:v>
      </x:c>
      <x:c r="K5564" s="26" t="n">
        <x:v>0</x:v>
      </x:c>
      <x:c r="L5564" s="22" t="n">
        <x:v>238.6529999999999</x:v>
      </x:c>
      <x:c r="M5564" t="n">
        <x:v>2015</x:v>
      </x:c>
      <x:c r="N5564" s="20" t="n">
        <x:v>42339</x:v>
      </x:c>
    </x:row>
    <x:row r="5565" ht="18" customHeight="1">
      <x:c r="A5565" t="str">
        <x:v>US-2015-114741</x:v>
      </x:c>
      <x:c r="B5565" s="18" t="n">
        <x:v>42344</x:v>
      </x:c>
      <x:c r="C5565" t="str">
        <x:v>IL-15100</x:v>
      </x:c>
      <x:c r="D5565" t="str">
        <x:v>Ivan Liston</x:v>
      </x:c>
      <x:c r="E5565" t="str">
        <x:v>Consumer</x:v>
      </x:c>
      <x:c r="F5565" t="str">
        <x:v>West</x:v>
      </x:c>
      <x:c r="G5565" t="str">
        <x:v>Office Supplies</x:v>
      </x:c>
      <x:c r="H5565" t="str">
        <x:v>Labels</x:v>
      </x:c>
      <x:c r="I5565" s="22" t="n">
        <x:v>14.940000000000001</x:v>
      </x:c>
      <x:c r="J5565" s="24" t="n">
        <x:v>3</x:v>
      </x:c>
      <x:c r="K5565" s="26" t="n">
        <x:v>0</x:v>
      </x:c>
      <x:c r="L5565" s="22" t="n">
        <x:v>6.8724</x:v>
      </x:c>
      <x:c r="M5565" t="n">
        <x:v>2015</x:v>
      </x:c>
      <x:c r="N5565" s="20" t="n">
        <x:v>42339</x:v>
      </x:c>
    </x:row>
    <x:row r="5566" ht="18" customHeight="1">
      <x:c r="A5566" t="str">
        <x:v>CA-2017-133263</x:v>
      </x:c>
      <x:c r="B5566" s="18" t="n">
        <x:v>42825</x:v>
      </x:c>
      <x:c r="C5566" t="str">
        <x:v>JE-15610</x:v>
      </x:c>
      <x:c r="D5566" t="str">
        <x:v>Jim Epp</x:v>
      </x:c>
      <x:c r="E5566" t="str">
        <x:v>Corporate</x:v>
      </x:c>
      <x:c r="F5566" t="str">
        <x:v>South</x:v>
      </x:c>
      <x:c r="G5566" t="str">
        <x:v>Office Supplies</x:v>
      </x:c>
      <x:c r="H5566" t="str">
        <x:v>Binders</x:v>
      </x:c>
      <x:c r="I5566" s="22" t="n">
        <x:v>34.54</x:v>
      </x:c>
      <x:c r="J5566" s="24" t="n">
        <x:v>1</x:v>
      </x:c>
      <x:c r="K5566" s="26" t="n">
        <x:v>0</x:v>
      </x:c>
      <x:c r="L5566" s="22" t="n">
        <x:v>17.27</x:v>
      </x:c>
      <x:c r="M5566" t="n">
        <x:v>2017</x:v>
      </x:c>
      <x:c r="N5566" s="20" t="n">
        <x:v>42795</x:v>
      </x:c>
    </x:row>
    <x:row r="5567" ht="18" customHeight="1">
      <x:c r="A5567" t="str">
        <x:v>CA-2017-133263</x:v>
      </x:c>
      <x:c r="B5567" s="18" t="n">
        <x:v>42825</x:v>
      </x:c>
      <x:c r="C5567" t="str">
        <x:v>JE-15610</x:v>
      </x:c>
      <x:c r="D5567" t="str">
        <x:v>Jim Epp</x:v>
      </x:c>
      <x:c r="E5567" t="str">
        <x:v>Corporate</x:v>
      </x:c>
      <x:c r="F5567" t="str">
        <x:v>South</x:v>
      </x:c>
      <x:c r="G5567" t="str">
        <x:v>Technology</x:v>
      </x:c>
      <x:c r="H5567" t="str">
        <x:v>Copiers</x:v>
      </x:c>
      <x:c r="I5567" s="22" t="n">
        <x:v>2999.95</x:v>
      </x:c>
      <x:c r="J5567" s="24" t="n">
        <x:v>5</x:v>
      </x:c>
      <x:c r="K5567" s="26" t="n">
        <x:v>0</x:v>
      </x:c>
      <x:c r="L5567" s="22" t="n">
        <x:v>1439.976</x:v>
      </x:c>
      <x:c r="M5567" t="n">
        <x:v>2017</x:v>
      </x:c>
      <x:c r="N5567" s="20" t="n">
        <x:v>42795</x:v>
      </x:c>
    </x:row>
    <x:row r="5568" ht="18" customHeight="1">
      <x:c r="A5568" t="str">
        <x:v>CA-2017-133263</x:v>
      </x:c>
      <x:c r="B5568" s="18" t="n">
        <x:v>42825</x:v>
      </x:c>
      <x:c r="C5568" t="str">
        <x:v>JE-15610</x:v>
      </x:c>
      <x:c r="D5568" t="str">
        <x:v>Jim Epp</x:v>
      </x:c>
      <x:c r="E5568" t="str">
        <x:v>Corporate</x:v>
      </x:c>
      <x:c r="F5568" t="str">
        <x:v>South</x:v>
      </x:c>
      <x:c r="G5568" t="str">
        <x:v>Office Supplies</x:v>
      </x:c>
      <x:c r="H5568" t="str">
        <x:v>Binders</x:v>
      </x:c>
      <x:c r="I5568" s="22" t="n">
        <x:v>64.12</x:v>
      </x:c>
      <x:c r="J5568" s="24" t="n">
        <x:v>4</x:v>
      </x:c>
      <x:c r="K5568" s="26" t="n">
        <x:v>0</x:v>
      </x:c>
      <x:c r="L5568" s="22" t="n">
        <x:v>30.7776</x:v>
      </x:c>
      <x:c r="M5568" t="n">
        <x:v>2017</x:v>
      </x:c>
      <x:c r="N5568" s="20" t="n">
        <x:v>42795</x:v>
      </x:c>
    </x:row>
    <x:row r="5569" ht="18" customHeight="1">
      <x:c r="A5569" t="str">
        <x:v>CA-2017-157966</x:v>
      </x:c>
      <x:c r="B5569" s="18" t="n">
        <x:v>42807</x:v>
      </x:c>
      <x:c r="C5569" t="str">
        <x:v>SU-20665</x:v>
      </x:c>
      <x:c r="D5569" t="str">
        <x:v>Stephanie Ulpright</x:v>
      </x:c>
      <x:c r="E5569" t="str">
        <x:v>Home Office</x:v>
      </x:c>
      <x:c r="F5569" t="str">
        <x:v>Central</x:v>
      </x:c>
      <x:c r="G5569" t="str">
        <x:v>Office Supplies</x:v>
      </x:c>
      <x:c r="H5569" t="str">
        <x:v>Art</x:v>
      </x:c>
      <x:c r="I5569" s="22" t="n">
        <x:v>19.456000000000003</x:v>
      </x:c>
      <x:c r="J5569" s="24" t="n">
        <x:v>4</x:v>
      </x:c>
      <x:c r="K5569" s="26" t="n">
        <x:v>0.2</x:v>
      </x:c>
      <x:c r="L5569" s="22" t="n">
        <x:v>2.188799999999997</x:v>
      </x:c>
      <x:c r="M5569" t="n">
        <x:v>2017</x:v>
      </x:c>
      <x:c r="N5569" s="20" t="n">
        <x:v>42795</x:v>
      </x:c>
    </x:row>
    <x:row r="5570" ht="18" customHeight="1">
      <x:c r="A5570" t="str">
        <x:v>CA-2017-157966</x:v>
      </x:c>
      <x:c r="B5570" s="18" t="n">
        <x:v>42807</x:v>
      </x:c>
      <x:c r="C5570" t="str">
        <x:v>SU-20665</x:v>
      </x:c>
      <x:c r="D5570" t="str">
        <x:v>Stephanie Ulpright</x:v>
      </x:c>
      <x:c r="E5570" t="str">
        <x:v>Home Office</x:v>
      </x:c>
      <x:c r="F5570" t="str">
        <x:v>Central</x:v>
      </x:c>
      <x:c r="G5570" t="str">
        <x:v>Technology</x:v>
      </x:c>
      <x:c r="H5570" t="str">
        <x:v>Machines</x:v>
      </x:c>
      <x:c r="I5570" s="22" t="n">
        <x:v>209.986</x:v>
      </x:c>
      <x:c r="J5570" s="24" t="n">
        <x:v>2</x:v>
      </x:c>
      <x:c r="K5570" s="26" t="n">
        <x:v>0.3</x:v>
      </x:c>
      <x:c r="L5570" s="22" t="n">
        <x:v>8.99939999999998</x:v>
      </x:c>
      <x:c r="M5570" t="n">
        <x:v>2017</x:v>
      </x:c>
      <x:c r="N5570" s="20" t="n">
        <x:v>42795</x:v>
      </x:c>
    </x:row>
    <x:row r="5571" ht="18" customHeight="1">
      <x:c r="A5571" t="str">
        <x:v>CA-2017-157966</x:v>
      </x:c>
      <x:c r="B5571" s="18" t="n">
        <x:v>42807</x:v>
      </x:c>
      <x:c r="C5571" t="str">
        <x:v>SU-20665</x:v>
      </x:c>
      <x:c r="D5571" t="str">
        <x:v>Stephanie Ulpright</x:v>
      </x:c>
      <x:c r="E5571" t="str">
        <x:v>Home Office</x:v>
      </x:c>
      <x:c r="F5571" t="str">
        <x:v>Central</x:v>
      </x:c>
      <x:c r="G5571" t="str">
        <x:v>Office Supplies</x:v>
      </x:c>
      <x:c r="H5571" t="str">
        <x:v>Art</x:v>
      </x:c>
      <x:c r="I5571" s="22" t="n">
        <x:v>29.760000000000005</x:v>
      </x:c>
      <x:c r="J5571" s="24" t="n">
        <x:v>5</x:v>
      </x:c>
      <x:c r="K5571" s="26" t="n">
        <x:v>0.2</x:v>
      </x:c>
      <x:c r="L5571" s="22" t="n">
        <x:v>1.8599999999999994</x:v>
      </x:c>
      <x:c r="M5571" t="n">
        <x:v>2017</x:v>
      </x:c>
      <x:c r="N5571" s="20" t="n">
        <x:v>42795</x:v>
      </x:c>
    </x:row>
    <x:row r="5572" ht="18" customHeight="1">
      <x:c r="A5572" t="str">
        <x:v>CA-2017-157966</x:v>
      </x:c>
      <x:c r="B5572" s="18" t="n">
        <x:v>42807</x:v>
      </x:c>
      <x:c r="C5572" t="str">
        <x:v>SU-20665</x:v>
      </x:c>
      <x:c r="D5572" t="str">
        <x:v>Stephanie Ulpright</x:v>
      </x:c>
      <x:c r="E5572" t="str">
        <x:v>Home Office</x:v>
      </x:c>
      <x:c r="F5572" t="str">
        <x:v>Central</x:v>
      </x:c>
      <x:c r="G5572" t="str">
        <x:v>Furniture</x:v>
      </x:c>
      <x:c r="H5572" t="str">
        <x:v>Chairs</x:v>
      </x:c>
      <x:c r="I5572" s="22" t="n">
        <x:v>89.768</x:v>
      </x:c>
      <x:c r="J5572" s="24" t="n">
        <x:v>1</x:v>
      </x:c>
      <x:c r="K5572" s="26" t="n">
        <x:v>0.3</x:v>
      </x:c>
      <x:c r="L5572" s="22" t="n">
        <x:v>-2.564799999999998</x:v>
      </x:c>
      <x:c r="M5572" t="n">
        <x:v>2017</x:v>
      </x:c>
      <x:c r="N5572" s="20" t="n">
        <x:v>42795</x:v>
      </x:c>
    </x:row>
    <x:row r="5573" ht="18" customHeight="1">
      <x:c r="A5573" t="str">
        <x:v>CA-2017-157966</x:v>
      </x:c>
      <x:c r="B5573" s="18" t="n">
        <x:v>42807</x:v>
      </x:c>
      <x:c r="C5573" t="str">
        <x:v>SU-20665</x:v>
      </x:c>
      <x:c r="D5573" t="str">
        <x:v>Stephanie Ulpright</x:v>
      </x:c>
      <x:c r="E5573" t="str">
        <x:v>Home Office</x:v>
      </x:c>
      <x:c r="F5573" t="str">
        <x:v>Central</x:v>
      </x:c>
      <x:c r="G5573" t="str">
        <x:v>Technology</x:v>
      </x:c>
      <x:c r="H5573" t="str">
        <x:v>Copiers</x:v>
      </x:c>
      <x:c r="I5573" s="22" t="n">
        <x:v>959.984</x:v>
      </x:c>
      <x:c r="J5573" s="24" t="n">
        <x:v>2</x:v>
      </x:c>
      <x:c r="K5573" s="26" t="n">
        <x:v>0.2</x:v>
      </x:c>
      <x:c r="L5573" s="22" t="n">
        <x:v>335.99440000000004</x:v>
      </x:c>
      <x:c r="M5573" t="n">
        <x:v>2017</x:v>
      </x:c>
      <x:c r="N5573" s="20" t="n">
        <x:v>42795</x:v>
      </x:c>
    </x:row>
    <x:row r="5574" ht="18" customHeight="1">
      <x:c r="A5574" t="str">
        <x:v>CA-2017-157966</x:v>
      </x:c>
      <x:c r="B5574" s="18" t="n">
        <x:v>42807</x:v>
      </x:c>
      <x:c r="C5574" t="str">
        <x:v>SU-20665</x:v>
      </x:c>
      <x:c r="D5574" t="str">
        <x:v>Stephanie Ulpright</x:v>
      </x:c>
      <x:c r="E5574" t="str">
        <x:v>Home Office</x:v>
      </x:c>
      <x:c r="F5574" t="str">
        <x:v>Central</x:v>
      </x:c>
      <x:c r="G5574" t="str">
        <x:v>Office Supplies</x:v>
      </x:c>
      <x:c r="H5574" t="str">
        <x:v>Paper</x:v>
      </x:c>
      <x:c r="I5574" s="22" t="n">
        <x:v>15.552000000000003</x:v>
      </x:c>
      <x:c r="J5574" s="24" t="n">
        <x:v>3</x:v>
      </x:c>
      <x:c r="K5574" s="26" t="n">
        <x:v>0.2</x:v>
      </x:c>
      <x:c r="L5574" s="22" t="n">
        <x:v>5.6376</x:v>
      </x:c>
      <x:c r="M5574" t="n">
        <x:v>2017</x:v>
      </x:c>
      <x:c r="N5574" s="20" t="n">
        <x:v>42795</x:v>
      </x:c>
    </x:row>
    <x:row r="5575" ht="18" customHeight="1">
      <x:c r="A5575" t="str">
        <x:v>CA-2017-157966</x:v>
      </x:c>
      <x:c r="B5575" s="18" t="n">
        <x:v>42807</x:v>
      </x:c>
      <x:c r="C5575" t="str">
        <x:v>SU-20665</x:v>
      </x:c>
      <x:c r="D5575" t="str">
        <x:v>Stephanie Ulpright</x:v>
      </x:c>
      <x:c r="E5575" t="str">
        <x:v>Home Office</x:v>
      </x:c>
      <x:c r="F5575" t="str">
        <x:v>Central</x:v>
      </x:c>
      <x:c r="G5575" t="str">
        <x:v>Technology</x:v>
      </x:c>
      <x:c r="H5575" t="str">
        <x:v>Phones</x:v>
      </x:c>
      <x:c r="I5575" s="22" t="n">
        <x:v>34.36000000000001</x:v>
      </x:c>
      <x:c r="J5575" s="24" t="n">
        <x:v>1</x:v>
      </x:c>
      <x:c r="K5575" s="26" t="n">
        <x:v>0.2</x:v>
      </x:c>
      <x:c r="L5575" s="22" t="n">
        <x:v>-7.3015000000000025</x:v>
      </x:c>
      <x:c r="M5575" t="n">
        <x:v>2017</x:v>
      </x:c>
      <x:c r="N5575" s="20" t="n">
        <x:v>42795</x:v>
      </x:c>
    </x:row>
    <x:row r="5576" ht="18" customHeight="1">
      <x:c r="A5576" t="str">
        <x:v>CA-2014-151162</x:v>
      </x:c>
      <x:c r="B5576" s="18" t="n">
        <x:v>41978</x:v>
      </x:c>
      <x:c r="C5576" t="str">
        <x:v>EA-14035</x:v>
      </x:c>
      <x:c r="D5576" t="str">
        <x:v>Erin Ashbrook</x:v>
      </x:c>
      <x:c r="E5576" t="str">
        <x:v>Corporate</x:v>
      </x:c>
      <x:c r="F5576" t="str">
        <x:v>East</x:v>
      </x:c>
      <x:c r="G5576" t="str">
        <x:v>Office Supplies</x:v>
      </x:c>
      <x:c r="H5576" t="str">
        <x:v>Paper</x:v>
      </x:c>
      <x:c r="I5576" s="22" t="n">
        <x:v>98.376</x:v>
      </x:c>
      <x:c r="J5576" s="24" t="n">
        <x:v>3</x:v>
      </x:c>
      <x:c r="K5576" s="26" t="n">
        <x:v>0.2</x:v>
      </x:c>
      <x:c r="L5576" s="22" t="n">
        <x:v>35.661300000000004</x:v>
      </x:c>
      <x:c r="M5576" t="n">
        <x:v>2014</x:v>
      </x:c>
      <x:c r="N5576" s="20" t="n">
        <x:v>41974</x:v>
      </x:c>
    </x:row>
    <x:row r="5577" ht="18" customHeight="1">
      <x:c r="A5577" t="str">
        <x:v>CA-2014-151162</x:v>
      </x:c>
      <x:c r="B5577" s="18" t="n">
        <x:v>41978</x:v>
      </x:c>
      <x:c r="C5577" t="str">
        <x:v>EA-14035</x:v>
      </x:c>
      <x:c r="D5577" t="str">
        <x:v>Erin Ashbrook</x:v>
      </x:c>
      <x:c r="E5577" t="str">
        <x:v>Corporate</x:v>
      </x:c>
      <x:c r="F5577" t="str">
        <x:v>East</x:v>
      </x:c>
      <x:c r="G5577" t="str">
        <x:v>Office Supplies</x:v>
      </x:c>
      <x:c r="H5577" t="str">
        <x:v>Binders</x:v>
      </x:c>
      <x:c r="I5577" s="22" t="n">
        <x:v>29.940000000000005</x:v>
      </x:c>
      <x:c r="J5577" s="24" t="n">
        <x:v>4</x:v>
      </x:c>
      <x:c r="K5577" s="26" t="n">
        <x:v>0.7</x:v>
      </x:c>
      <x:c r="L5577" s="22" t="n">
        <x:v>-23.952000000000005</x:v>
      </x:c>
      <x:c r="M5577" t="n">
        <x:v>2014</x:v>
      </x:c>
      <x:c r="N5577" s="20" t="n">
        <x:v>41974</x:v>
      </x:c>
    </x:row>
    <x:row r="5578" ht="18" customHeight="1">
      <x:c r="A5578" t="str">
        <x:v>CA-2014-151162</x:v>
      </x:c>
      <x:c r="B5578" s="18" t="n">
        <x:v>41978</x:v>
      </x:c>
      <x:c r="C5578" t="str">
        <x:v>EA-14035</x:v>
      </x:c>
      <x:c r="D5578" t="str">
        <x:v>Erin Ashbrook</x:v>
      </x:c>
      <x:c r="E5578" t="str">
        <x:v>Corporate</x:v>
      </x:c>
      <x:c r="F5578" t="str">
        <x:v>East</x:v>
      </x:c>
      <x:c r="G5578" t="str">
        <x:v>Office Supplies</x:v>
      </x:c>
      <x:c r="H5578" t="str">
        <x:v>Paper</x:v>
      </x:c>
      <x:c r="I5578" s="22" t="n">
        <x:v>17.472</x:v>
      </x:c>
      <x:c r="J5578" s="24" t="n">
        <x:v>3</x:v>
      </x:c>
      <x:c r="K5578" s="26" t="n">
        <x:v>0.2</x:v>
      </x:c>
      <x:c r="L5578" s="22" t="n">
        <x:v>5.678399999999998</x:v>
      </x:c>
      <x:c r="M5578" t="n">
        <x:v>2014</x:v>
      </x:c>
      <x:c r="N5578" s="20" t="n">
        <x:v>41974</x:v>
      </x:c>
    </x:row>
    <x:row r="5579" ht="18" customHeight="1">
      <x:c r="A5579" t="str">
        <x:v>CA-2014-151162</x:v>
      </x:c>
      <x:c r="B5579" s="18" t="n">
        <x:v>41978</x:v>
      </x:c>
      <x:c r="C5579" t="str">
        <x:v>EA-14035</x:v>
      </x:c>
      <x:c r="D5579" t="str">
        <x:v>Erin Ashbrook</x:v>
      </x:c>
      <x:c r="E5579" t="str">
        <x:v>Corporate</x:v>
      </x:c>
      <x:c r="F5579" t="str">
        <x:v>East</x:v>
      </x:c>
      <x:c r="G5579" t="str">
        <x:v>Technology</x:v>
      </x:c>
      <x:c r="H5579" t="str">
        <x:v>Phones</x:v>
      </x:c>
      <x:c r="I5579" s="22" t="n">
        <x:v>36.738</x:v>
      </x:c>
      <x:c r="J5579" s="24" t="n">
        <x:v>1</x:v>
      </x:c>
      <x:c r="K5579" s="26" t="n">
        <x:v>0.4</x:v>
      </x:c>
      <x:c r="L5579" s="22" t="n">
        <x:v>-9.184500000000003</x:v>
      </x:c>
      <x:c r="M5579" t="n">
        <x:v>2014</x:v>
      </x:c>
      <x:c r="N5579" s="20" t="n">
        <x:v>41974</x:v>
      </x:c>
    </x:row>
    <x:row r="5580" ht="18" customHeight="1">
      <x:c r="A5580" t="str">
        <x:v>CA-2014-151162</x:v>
      </x:c>
      <x:c r="B5580" s="18" t="n">
        <x:v>41978</x:v>
      </x:c>
      <x:c r="C5580" t="str">
        <x:v>EA-14035</x:v>
      </x:c>
      <x:c r="D5580" t="str">
        <x:v>Erin Ashbrook</x:v>
      </x:c>
      <x:c r="E5580" t="str">
        <x:v>Corporate</x:v>
      </x:c>
      <x:c r="F5580" t="str">
        <x:v>East</x:v>
      </x:c>
      <x:c r="G5580" t="str">
        <x:v>Technology</x:v>
      </x:c>
      <x:c r="H5580" t="str">
        <x:v>Phones</x:v>
      </x:c>
      <x:c r="I5580" s="22" t="n">
        <x:v>179.93999999999997</x:v>
      </x:c>
      <x:c r="J5580" s="24" t="n">
        <x:v>2</x:v>
      </x:c>
      <x:c r="K5580" s="26" t="n">
        <x:v>0.4</x:v>
      </x:c>
      <x:c r="L5580" s="22" t="n">
        <x:v>-44.985</x:v>
      </x:c>
      <x:c r="M5580" t="n">
        <x:v>2014</x:v>
      </x:c>
      <x:c r="N5580" s="20" t="n">
        <x:v>41974</x:v>
      </x:c>
    </x:row>
    <x:row r="5581" ht="18" customHeight="1">
      <x:c r="A5581" t="str">
        <x:v>CA-2016-136686</x:v>
      </x:c>
      <x:c r="B5581" s="18" t="n">
        <x:v>42716</x:v>
      </x:c>
      <x:c r="C5581" t="str">
        <x:v>RF-19840</x:v>
      </x:c>
      <x:c r="D5581" t="str">
        <x:v>Roy Französisch</x:v>
      </x:c>
      <x:c r="E5581" t="str">
        <x:v>Consumer</x:v>
      </x:c>
      <x:c r="F5581" t="str">
        <x:v>West</x:v>
      </x:c>
      <x:c r="G5581" t="str">
        <x:v>Furniture</x:v>
      </x:c>
      <x:c r="H5581" t="str">
        <x:v>Furnishings</x:v>
      </x:c>
      <x:c r="I5581" s="22" t="n">
        <x:v>383.64</x:v>
      </x:c>
      <x:c r="J5581" s="24" t="n">
        <x:v>6</x:v>
      </x:c>
      <x:c r="K5581" s="26" t="n">
        <x:v>0</x:v>
      </x:c>
      <x:c r="L5581" s="22" t="n">
        <x:v>122.7648</x:v>
      </x:c>
      <x:c r="M5581" t="n">
        <x:v>2016</x:v>
      </x:c>
      <x:c r="N5581" s="20" t="n">
        <x:v>42705</x:v>
      </x:c>
    </x:row>
    <x:row r="5582" ht="18" customHeight="1">
      <x:c r="A5582" t="str">
        <x:v>CA-2016-136686</x:v>
      </x:c>
      <x:c r="B5582" s="18" t="n">
        <x:v>42716</x:v>
      </x:c>
      <x:c r="C5582" t="str">
        <x:v>RF-19840</x:v>
      </x:c>
      <x:c r="D5582" t="str">
        <x:v>Roy Französisch</x:v>
      </x:c>
      <x:c r="E5582" t="str">
        <x:v>Consumer</x:v>
      </x:c>
      <x:c r="F5582" t="str">
        <x:v>West</x:v>
      </x:c>
      <x:c r="G5582" t="str">
        <x:v>Office Supplies</x:v>
      </x:c>
      <x:c r="H5582" t="str">
        <x:v>Appliances</x:v>
      </x:c>
      <x:c r="I5582" s="22" t="n">
        <x:v>56.519999999999996</x:v>
      </x:c>
      <x:c r="J5582" s="24" t="n">
        <x:v>3</x:v>
      </x:c>
      <x:c r="K5582" s="26" t="n">
        <x:v>0</x:v>
      </x:c>
      <x:c r="L5582" s="22" t="n">
        <x:v>15.8256</x:v>
      </x:c>
      <x:c r="M5582" t="n">
        <x:v>2016</x:v>
      </x:c>
      <x:c r="N5582" s="20" t="n">
        <x:v>42705</x:v>
      </x:c>
    </x:row>
    <x:row r="5583" ht="18" customHeight="1">
      <x:c r="A5583" t="str">
        <x:v>CA-2017-137498</x:v>
      </x:c>
      <x:c r="B5583" s="18" t="n">
        <x:v>42987</x:v>
      </x:c>
      <x:c r="C5583" t="str">
        <x:v>LC-17050</x:v>
      </x:c>
      <x:c r="D5583" t="str">
        <x:v>Liz Carlisle</x:v>
      </x:c>
      <x:c r="E5583" t="str">
        <x:v>Consumer</x:v>
      </x:c>
      <x:c r="F5583" t="str">
        <x:v>West</x:v>
      </x:c>
      <x:c r="G5583" t="str">
        <x:v>Office Supplies</x:v>
      </x:c>
      <x:c r="H5583" t="str">
        <x:v>Art</x:v>
      </x:c>
      <x:c r="I5583" s="22" t="n">
        <x:v>6.56</x:v>
      </x:c>
      <x:c r="J5583" s="24" t="n">
        <x:v>2</x:v>
      </x:c>
      <x:c r="K5583" s="26" t="n">
        <x:v>0</x:v>
      </x:c>
      <x:c r="L5583" s="22" t="n">
        <x:v>1.9023999999999992</x:v>
      </x:c>
      <x:c r="M5583" t="n">
        <x:v>2017</x:v>
      </x:c>
      <x:c r="N5583" s="20" t="n">
        <x:v>42979</x:v>
      </x:c>
    </x:row>
    <x:row r="5584" ht="18" customHeight="1">
      <x:c r="A5584" t="str">
        <x:v>CA-2017-137498</x:v>
      </x:c>
      <x:c r="B5584" s="18" t="n">
        <x:v>42987</x:v>
      </x:c>
      <x:c r="C5584" t="str">
        <x:v>LC-17050</x:v>
      </x:c>
      <x:c r="D5584" t="str">
        <x:v>Liz Carlisle</x:v>
      </x:c>
      <x:c r="E5584" t="str">
        <x:v>Consumer</x:v>
      </x:c>
      <x:c r="F5584" t="str">
        <x:v>West</x:v>
      </x:c>
      <x:c r="G5584" t="str">
        <x:v>Furniture</x:v>
      </x:c>
      <x:c r="H5584" t="str">
        <x:v>Chairs</x:v>
      </x:c>
      <x:c r="I5584" s="22" t="n">
        <x:v>243.92</x:v>
      </x:c>
      <x:c r="J5584" s="24" t="n">
        <x:v>5</x:v>
      </x:c>
      <x:c r="K5584" s="26" t="n">
        <x:v>0.2</x:v>
      </x:c>
      <x:c r="L5584" s="22" t="n">
        <x:v>-15.245000000000005</x:v>
      </x:c>
      <x:c r="M5584" t="n">
        <x:v>2017</x:v>
      </x:c>
      <x:c r="N5584" s="20" t="n">
        <x:v>42979</x:v>
      </x:c>
    </x:row>
    <x:row r="5585" ht="18" customHeight="1">
      <x:c r="A5585" t="str">
        <x:v>CA-2017-137498</x:v>
      </x:c>
      <x:c r="B5585" s="18" t="n">
        <x:v>42987</x:v>
      </x:c>
      <x:c r="C5585" t="str">
        <x:v>LC-17050</x:v>
      </x:c>
      <x:c r="D5585" t="str">
        <x:v>Liz Carlisle</x:v>
      </x:c>
      <x:c r="E5585" t="str">
        <x:v>Consumer</x:v>
      </x:c>
      <x:c r="F5585" t="str">
        <x:v>West</x:v>
      </x:c>
      <x:c r="G5585" t="str">
        <x:v>Office Supplies</x:v>
      </x:c>
      <x:c r="H5585" t="str">
        <x:v>Paper</x:v>
      </x:c>
      <x:c r="I5585" s="22" t="n">
        <x:v>47.52</x:v>
      </x:c>
      <x:c r="J5585" s="24" t="n">
        <x:v>9</x:v>
      </x:c>
      <x:c r="K5585" s="26" t="n">
        <x:v>0</x:v>
      </x:c>
      <x:c r="L5585" s="22" t="n">
        <x:v>22.809600000000003</x:v>
      </x:c>
      <x:c r="M5585" t="n">
        <x:v>2017</x:v>
      </x:c>
      <x:c r="N5585" s="20" t="n">
        <x:v>42979</x:v>
      </x:c>
    </x:row>
    <x:row r="5586" ht="18" customHeight="1">
      <x:c r="A5586" t="str">
        <x:v>CA-2017-163818</x:v>
      </x:c>
      <x:c r="B5586" s="18" t="n">
        <x:v>43012</x:v>
      </x:c>
      <x:c r="C5586" t="str">
        <x:v>PS-18970</x:v>
      </x:c>
      <x:c r="D5586" t="str">
        <x:v>Paul Stevenson</x:v>
      </x:c>
      <x:c r="E5586" t="str">
        <x:v>Home Office</x:v>
      </x:c>
      <x:c r="F5586" t="str">
        <x:v>East</x:v>
      </x:c>
      <x:c r="G5586" t="str">
        <x:v>Furniture</x:v>
      </x:c>
      <x:c r="H5586" t="str">
        <x:v>Furnishings</x:v>
      </x:c>
      <x:c r="I5586" s="22" t="n">
        <x:v>19.98</x:v>
      </x:c>
      <x:c r="J5586" s="24" t="n">
        <x:v>1</x:v>
      </x:c>
      <x:c r="K5586" s="26" t="n">
        <x:v>0</x:v>
      </x:c>
      <x:c r="L5586" s="22" t="n">
        <x:v>8.591400000000002</x:v>
      </x:c>
      <x:c r="M5586" t="n">
        <x:v>2017</x:v>
      </x:c>
      <x:c r="N5586" s="20" t="n">
        <x:v>43009</x:v>
      </x:c>
    </x:row>
    <x:row r="5587" ht="18" customHeight="1">
      <x:c r="A5587" t="str">
        <x:v>CA-2016-161158</x:v>
      </x:c>
      <x:c r="B5587" s="18" t="n">
        <x:v>42499</x:v>
      </x:c>
      <x:c r="C5587" t="str">
        <x:v>PS-18970</x:v>
      </x:c>
      <x:c r="D5587" t="str">
        <x:v>Paul Stevenson</x:v>
      </x:c>
      <x:c r="E5587" t="str">
        <x:v>Home Office</x:v>
      </x:c>
      <x:c r="F5587" t="str">
        <x:v>East</x:v>
      </x:c>
      <x:c r="G5587" t="str">
        <x:v>Office Supplies</x:v>
      </x:c>
      <x:c r="H5587" t="str">
        <x:v>Art</x:v>
      </x:c>
      <x:c r="I5587" s="22" t="n">
        <x:v>8</x:v>
      </x:c>
      <x:c r="J5587" s="24" t="n">
        <x:v>5</x:v>
      </x:c>
      <x:c r="K5587" s="26" t="n">
        <x:v>0</x:v>
      </x:c>
      <x:c r="L5587" s="22" t="n">
        <x:v>3.440000000000001</x:v>
      </x:c>
      <x:c r="M5587" t="n">
        <x:v>2016</x:v>
      </x:c>
      <x:c r="N5587" s="20" t="n">
        <x:v>42491</x:v>
      </x:c>
    </x:row>
    <x:row r="5588" ht="18" customHeight="1">
      <x:c r="A5588" t="str">
        <x:v>CA-2014-116673</x:v>
      </x:c>
      <x:c r="B5588" s="18" t="n">
        <x:v>41988</x:v>
      </x:c>
      <x:c r="C5588" t="str">
        <x:v>JO-15280</x:v>
      </x:c>
      <x:c r="D5588" t="str">
        <x:v>Jas O'Carroll</x:v>
      </x:c>
      <x:c r="E5588" t="str">
        <x:v>Consumer</x:v>
      </x:c>
      <x:c r="F5588" t="str">
        <x:v>West</x:v>
      </x:c>
      <x:c r="G5588" t="str">
        <x:v>Furniture</x:v>
      </x:c>
      <x:c r="H5588" t="str">
        <x:v>Furnishings</x:v>
      </x:c>
      <x:c r="I5588" s="22" t="n">
        <x:v>6.16</x:v>
      </x:c>
      <x:c r="J5588" s="24" t="n">
        <x:v>2</x:v>
      </x:c>
      <x:c r="K5588" s="26" t="n">
        <x:v>0</x:v>
      </x:c>
      <x:c r="L5588" s="22" t="n">
        <x:v>1.9711999999999996</x:v>
      </x:c>
      <x:c r="M5588" t="n">
        <x:v>2014</x:v>
      </x:c>
      <x:c r="N5588" s="20" t="n">
        <x:v>41974</x:v>
      </x:c>
    </x:row>
    <x:row r="5589" ht="18" customHeight="1">
      <x:c r="A5589" t="str">
        <x:v>CA-2017-105333</x:v>
      </x:c>
      <x:c r="B5589" s="18" t="n">
        <x:v>43069</x:v>
      </x:c>
      <x:c r="C5589" t="str">
        <x:v>VP-21730</x:v>
      </x:c>
      <x:c r="D5589" t="str">
        <x:v>Victor Preis</x:v>
      </x:c>
      <x:c r="E5589" t="str">
        <x:v>Home Office</x:v>
      </x:c>
      <x:c r="F5589" t="str">
        <x:v>East</x:v>
      </x:c>
      <x:c r="G5589" t="str">
        <x:v>Office Supplies</x:v>
      </x:c>
      <x:c r="H5589" t="str">
        <x:v>Storage</x:v>
      </x:c>
      <x:c r="I5589" s="22" t="n">
        <x:v>83.56</x:v>
      </x:c>
      <x:c r="J5589" s="24" t="n">
        <x:v>4</x:v>
      </x:c>
      <x:c r="K5589" s="26" t="n">
        <x:v>0</x:v>
      </x:c>
      <x:c r="L5589" s="22" t="n">
        <x:v>1.671199999999999</x:v>
      </x:c>
      <x:c r="M5589" t="n">
        <x:v>2017</x:v>
      </x:c>
      <x:c r="N5589" s="20" t="n">
        <x:v>43040</x:v>
      </x:c>
    </x:row>
    <x:row r="5590" ht="18" customHeight="1">
      <x:c r="A5590" t="str">
        <x:v>CA-2017-105333</x:v>
      </x:c>
      <x:c r="B5590" s="18" t="n">
        <x:v>43069</x:v>
      </x:c>
      <x:c r="C5590" t="str">
        <x:v>VP-21730</x:v>
      </x:c>
      <x:c r="D5590" t="str">
        <x:v>Victor Preis</x:v>
      </x:c>
      <x:c r="E5590" t="str">
        <x:v>Home Office</x:v>
      </x:c>
      <x:c r="F5590" t="str">
        <x:v>East</x:v>
      </x:c>
      <x:c r="G5590" t="str">
        <x:v>Technology</x:v>
      </x:c>
      <x:c r="H5590" t="str">
        <x:v>Phones</x:v>
      </x:c>
      <x:c r="I5590" s="22" t="n">
        <x:v>546.0600000000001</x:v>
      </x:c>
      <x:c r="J5590" s="24" t="n">
        <x:v>3</x:v>
      </x:c>
      <x:c r="K5590" s="26" t="n">
        <x:v>0</x:v>
      </x:c>
      <x:c r="L5590" s="22" t="n">
        <x:v>163.81799999999998</x:v>
      </x:c>
      <x:c r="M5590" t="n">
        <x:v>2017</x:v>
      </x:c>
      <x:c r="N5590" s="20" t="n">
        <x:v>43040</x:v>
      </x:c>
    </x:row>
    <x:row r="5591" ht="18" customHeight="1">
      <x:c r="A5591" t="str">
        <x:v>CA-2017-105333</x:v>
      </x:c>
      <x:c r="B5591" s="18" t="n">
        <x:v>43069</x:v>
      </x:c>
      <x:c r="C5591" t="str">
        <x:v>VP-21730</x:v>
      </x:c>
      <x:c r="D5591" t="str">
        <x:v>Victor Preis</x:v>
      </x:c>
      <x:c r="E5591" t="str">
        <x:v>Home Office</x:v>
      </x:c>
      <x:c r="F5591" t="str">
        <x:v>East</x:v>
      </x:c>
      <x:c r="G5591" t="str">
        <x:v>Office Supplies</x:v>
      </x:c>
      <x:c r="H5591" t="str">
        <x:v>Storage</x:v>
      </x:c>
      <x:c r="I5591" s="22" t="n">
        <x:v>269.49</x:v>
      </x:c>
      <x:c r="J5591" s="24" t="n">
        <x:v>3</x:v>
      </x:c>
      <x:c r="K5591" s="26" t="n">
        <x:v>0</x:v>
      </x:c>
      <x:c r="L5591" s="22" t="n">
        <x:v>5.389799999999994</x:v>
      </x:c>
      <x:c r="M5591" t="n">
        <x:v>2017</x:v>
      </x:c>
      <x:c r="N5591" s="20" t="n">
        <x:v>43040</x:v>
      </x:c>
    </x:row>
    <x:row r="5592" ht="18" customHeight="1">
      <x:c r="A5592" t="str">
        <x:v>CA-2015-149993</x:v>
      </x:c>
      <x:c r="B5592" s="18" t="n">
        <x:v>42082</x:v>
      </x:c>
      <x:c r="C5592" t="str">
        <x:v>GA-14725</x:v>
      </x:c>
      <x:c r="D5592" t="str">
        <x:v>Guy Armstrong</x:v>
      </x:c>
      <x:c r="E5592" t="str">
        <x:v>Consumer</x:v>
      </x:c>
      <x:c r="F5592" t="str">
        <x:v>West</x:v>
      </x:c>
      <x:c r="G5592" t="str">
        <x:v>Office Supplies</x:v>
      </x:c>
      <x:c r="H5592" t="str">
        <x:v>Fasteners</x:v>
      </x:c>
      <x:c r="I5592" s="22" t="n">
        <x:v>10.9</x:v>
      </x:c>
      <x:c r="J5592" s="24" t="n">
        <x:v>5</x:v>
      </x:c>
      <x:c r="K5592" s="26" t="n">
        <x:v>0</x:v>
      </x:c>
      <x:c r="L5592" s="22" t="n">
        <x:v>3.5970000000000004</x:v>
      </x:c>
      <x:c r="M5592" t="n">
        <x:v>2015</x:v>
      </x:c>
      <x:c r="N5592" s="20" t="n">
        <x:v>42064</x:v>
      </x:c>
    </x:row>
    <x:row r="5593" ht="18" customHeight="1">
      <x:c r="A5593" t="str">
        <x:v>CA-2014-168158</x:v>
      </x:c>
      <x:c r="B5593" s="18" t="n">
        <x:v>41839</x:v>
      </x:c>
      <x:c r="C5593" t="str">
        <x:v>EM-14140</x:v>
      </x:c>
      <x:c r="D5593" t="str">
        <x:v>Eugene Moren</x:v>
      </x:c>
      <x:c r="E5593" t="str">
        <x:v>Home Office</x:v>
      </x:c>
      <x:c r="F5593" t="str">
        <x:v>West</x:v>
      </x:c>
      <x:c r="G5593" t="str">
        <x:v>Office Supplies</x:v>
      </x:c>
      <x:c r="H5593" t="str">
        <x:v>Binders</x:v>
      </x:c>
      <x:c r="I5593" s="22" t="n">
        <x:v>6.096</x:v>
      </x:c>
      <x:c r="J5593" s="24" t="n">
        <x:v>2</x:v>
      </x:c>
      <x:c r="K5593" s="26" t="n">
        <x:v>0.2</x:v>
      </x:c>
      <x:c r="L5593" s="22" t="n">
        <x:v>2.2098</x:v>
      </x:c>
      <x:c r="M5593" t="n">
        <x:v>2014</x:v>
      </x:c>
      <x:c r="N5593" s="20" t="n">
        <x:v>41821</x:v>
      </x:c>
    </x:row>
    <x:row r="5594" ht="18" customHeight="1">
      <x:c r="A5594" t="str">
        <x:v>CA-2016-115224</x:v>
      </x:c>
      <x:c r="B5594" s="18" t="n">
        <x:v>42712</x:v>
      </x:c>
      <x:c r="C5594" t="str">
        <x:v>DB-13615</x:v>
      </x:c>
      <x:c r="D5594" t="str">
        <x:v>Doug Bickford</x:v>
      </x:c>
      <x:c r="E5594" t="str">
        <x:v>Consumer</x:v>
      </x:c>
      <x:c r="F5594" t="str">
        <x:v>West</x:v>
      </x:c>
      <x:c r="G5594" t="str">
        <x:v>Office Supplies</x:v>
      </x:c>
      <x:c r="H5594" t="str">
        <x:v>Storage</x:v>
      </x:c>
      <x:c r="I5594" s="22" t="n">
        <x:v>34.05</x:v>
      </x:c>
      <x:c r="J5594" s="24" t="n">
        <x:v>3</x:v>
      </x:c>
      <x:c r="K5594" s="26" t="n">
        <x:v>0</x:v>
      </x:c>
      <x:c r="L5594" s="22" t="n">
        <x:v>9.534000000000002</x:v>
      </x:c>
      <x:c r="M5594" t="n">
        <x:v>2016</x:v>
      </x:c>
      <x:c r="N5594" s="20" t="n">
        <x:v>42705</x:v>
      </x:c>
    </x:row>
    <x:row r="5595" ht="18" customHeight="1">
      <x:c r="A5595" t="str">
        <x:v>CA-2016-115224</x:v>
      </x:c>
      <x:c r="B5595" s="18" t="n">
        <x:v>42712</x:v>
      </x:c>
      <x:c r="C5595" t="str">
        <x:v>DB-13615</x:v>
      </x:c>
      <x:c r="D5595" t="str">
        <x:v>Doug Bickford</x:v>
      </x:c>
      <x:c r="E5595" t="str">
        <x:v>Consumer</x:v>
      </x:c>
      <x:c r="F5595" t="str">
        <x:v>West</x:v>
      </x:c>
      <x:c r="G5595" t="str">
        <x:v>Office Supplies</x:v>
      </x:c>
      <x:c r="H5595" t="str">
        <x:v>Storage</x:v>
      </x:c>
      <x:c r="I5595" s="22" t="n">
        <x:v>352.38</x:v>
      </x:c>
      <x:c r="J5595" s="24" t="n">
        <x:v>2</x:v>
      </x:c>
      <x:c r="K5595" s="26" t="n">
        <x:v>0</x:v>
      </x:c>
      <x:c r="L5595" s="22" t="n">
        <x:v>81.04739999999998</x:v>
      </x:c>
      <x:c r="M5595" t="n">
        <x:v>2016</x:v>
      </x:c>
      <x:c r="N5595" s="20" t="n">
        <x:v>42705</x:v>
      </x:c>
    </x:row>
    <x:row r="5596" ht="18" customHeight="1">
      <x:c r="A5596" t="str">
        <x:v>CA-2014-164742</x:v>
      </x:c>
      <x:c r="B5596" s="18" t="n">
        <x:v>41925</x:v>
      </x:c>
      <x:c r="C5596" t="str">
        <x:v>ML-17395</x:v>
      </x:c>
      <x:c r="D5596" t="str">
        <x:v>Marina Lichtenstein</x:v>
      </x:c>
      <x:c r="E5596" t="str">
        <x:v>Corporate</x:v>
      </x:c>
      <x:c r="F5596" t="str">
        <x:v>East</x:v>
      </x:c>
      <x:c r="G5596" t="str">
        <x:v>Furniture</x:v>
      </x:c>
      <x:c r="H5596" t="str">
        <x:v>Chairs</x:v>
      </x:c>
      <x:c r="I5596" s="22" t="n">
        <x:v>245.98</x:v>
      </x:c>
      <x:c r="J5596" s="24" t="n">
        <x:v>2</x:v>
      </x:c>
      <x:c r="K5596" s="26" t="n">
        <x:v>0</x:v>
      </x:c>
      <x:c r="L5596" s="22" t="n">
        <x:v>27.057799999999986</x:v>
      </x:c>
      <x:c r="M5596" t="n">
        <x:v>2014</x:v>
      </x:c>
      <x:c r="N5596" s="20" t="n">
        <x:v>41913</x:v>
      </x:c>
    </x:row>
    <x:row r="5597" ht="18" customHeight="1">
      <x:c r="A5597" t="str">
        <x:v>CA-2014-164742</x:v>
      </x:c>
      <x:c r="B5597" s="18" t="n">
        <x:v>41925</x:v>
      </x:c>
      <x:c r="C5597" t="str">
        <x:v>ML-17395</x:v>
      </x:c>
      <x:c r="D5597" t="str">
        <x:v>Marina Lichtenstein</x:v>
      </x:c>
      <x:c r="E5597" t="str">
        <x:v>Corporate</x:v>
      </x:c>
      <x:c r="F5597" t="str">
        <x:v>East</x:v>
      </x:c>
      <x:c r="G5597" t="str">
        <x:v>Office Supplies</x:v>
      </x:c>
      <x:c r="H5597" t="str">
        <x:v>Binders</x:v>
      </x:c>
      <x:c r="I5597" s="22" t="n">
        <x:v>18.94</x:v>
      </x:c>
      <x:c r="J5597" s="24" t="n">
        <x:v>1</x:v>
      </x:c>
      <x:c r="K5597" s="26" t="n">
        <x:v>0</x:v>
      </x:c>
      <x:c r="L5597" s="22" t="n">
        <x:v>9.47</x:v>
      </x:c>
      <x:c r="M5597" t="n">
        <x:v>2014</x:v>
      </x:c>
      <x:c r="N5597" s="20" t="n">
        <x:v>41913</x:v>
      </x:c>
    </x:row>
    <x:row r="5598" ht="18" customHeight="1">
      <x:c r="A5598" t="str">
        <x:v>US-2017-108014</x:v>
      </x:c>
      <x:c r="B5598" s="18" t="n">
        <x:v>43058</x:v>
      </x:c>
      <x:c r="C5598" t="str">
        <x:v>JH-15430</x:v>
      </x:c>
      <x:c r="D5598" t="str">
        <x:v>Jennifer Halladay</x:v>
      </x:c>
      <x:c r="E5598" t="str">
        <x:v>Consumer</x:v>
      </x:c>
      <x:c r="F5598" t="str">
        <x:v>East</x:v>
      </x:c>
      <x:c r="G5598" t="str">
        <x:v>Office Supplies</x:v>
      </x:c>
      <x:c r="H5598" t="str">
        <x:v>Binders</x:v>
      </x:c>
      <x:c r="I5598" s="22" t="n">
        <x:v>59.91300000000001</x:v>
      </x:c>
      <x:c r="J5598" s="24" t="n">
        <x:v>7</x:v>
      </x:c>
      <x:c r="K5598" s="26" t="n">
        <x:v>0.7</x:v>
      </x:c>
      <x:c r="L5598" s="22" t="n">
        <x:v>-45.93329999999999</x:v>
      </x:c>
      <x:c r="M5598" t="n">
        <x:v>2017</x:v>
      </x:c>
      <x:c r="N5598" s="20" t="n">
        <x:v>43040</x:v>
      </x:c>
    </x:row>
    <x:row r="5599" ht="18" customHeight="1">
      <x:c r="A5599" t="str">
        <x:v>CA-2017-160325</x:v>
      </x:c>
      <x:c r="B5599" s="18" t="n">
        <x:v>43002</x:v>
      </x:c>
      <x:c r="C5599" t="str">
        <x:v>BP-11095</x:v>
      </x:c>
      <x:c r="D5599" t="str">
        <x:v>Bart Pistole</x:v>
      </x:c>
      <x:c r="E5599" t="str">
        <x:v>Corporate</x:v>
      </x:c>
      <x:c r="F5599" t="str">
        <x:v>East</x:v>
      </x:c>
      <x:c r="G5599" t="str">
        <x:v>Technology</x:v>
      </x:c>
      <x:c r="H5599" t="str">
        <x:v>Phones</x:v>
      </x:c>
      <x:c r="I5599" s="22" t="n">
        <x:v>391.98</x:v>
      </x:c>
      <x:c r="J5599" s="24" t="n">
        <x:v>2</x:v>
      </x:c>
      <x:c r="K5599" s="26" t="n">
        <x:v>0</x:v>
      </x:c>
      <x:c r="L5599" s="22" t="n">
        <x:v>109.75440000000003</x:v>
      </x:c>
      <x:c r="M5599" t="n">
        <x:v>2017</x:v>
      </x:c>
      <x:c r="N5599" s="20" t="n">
        <x:v>42979</x:v>
      </x:c>
    </x:row>
    <x:row r="5600" ht="18" customHeight="1">
      <x:c r="A5600" t="str">
        <x:v>CA-2017-160325</x:v>
      </x:c>
      <x:c r="B5600" s="18" t="n">
        <x:v>43002</x:v>
      </x:c>
      <x:c r="C5600" t="str">
        <x:v>BP-11095</x:v>
      </x:c>
      <x:c r="D5600" t="str">
        <x:v>Bart Pistole</x:v>
      </x:c>
      <x:c r="E5600" t="str">
        <x:v>Corporate</x:v>
      </x:c>
      <x:c r="F5600" t="str">
        <x:v>East</x:v>
      </x:c>
      <x:c r="G5600" t="str">
        <x:v>Technology</x:v>
      </x:c>
      <x:c r="H5600" t="str">
        <x:v>Phones</x:v>
      </x:c>
      <x:c r="I5600" s="22" t="n">
        <x:v>437.84999999999997</x:v>
      </x:c>
      <x:c r="J5600" s="24" t="n">
        <x:v>3</x:v>
      </x:c>
      <x:c r="K5600" s="26" t="n">
        <x:v>0</x:v>
      </x:c>
      <x:c r="L5600" s="22" t="n">
        <x:v>131.35499999999996</x:v>
      </x:c>
      <x:c r="M5600" t="n">
        <x:v>2017</x:v>
      </x:c>
      <x:c r="N5600" s="20" t="n">
        <x:v>42979</x:v>
      </x:c>
    </x:row>
    <x:row r="5601" ht="18" customHeight="1">
      <x:c r="A5601" t="str">
        <x:v>CA-2015-159779</x:v>
      </x:c>
      <x:c r="B5601" s="18" t="n">
        <x:v>42272</x:v>
      </x:c>
      <x:c r="C5601" t="str">
        <x:v>SB-20185</x:v>
      </x:c>
      <x:c r="D5601" t="str">
        <x:v>Sarah Brown</x:v>
      </x:c>
      <x:c r="E5601" t="str">
        <x:v>Consumer</x:v>
      </x:c>
      <x:c r="F5601" t="str">
        <x:v>East</x:v>
      </x:c>
      <x:c r="G5601" t="str">
        <x:v>Office Supplies</x:v>
      </x:c>
      <x:c r="H5601" t="str">
        <x:v>Binders</x:v>
      </x:c>
      <x:c r="I5601" s="22" t="n">
        <x:v>68.62</x:v>
      </x:c>
      <x:c r="J5601" s="24" t="n">
        <x:v>2</x:v>
      </x:c>
      <x:c r="K5601" s="26" t="n">
        <x:v>0</x:v>
      </x:c>
      <x:c r="L5601" s="22" t="n">
        <x:v>32.251400000000004</x:v>
      </x:c>
      <x:c r="M5601" t="n">
        <x:v>2015</x:v>
      </x:c>
      <x:c r="N5601" s="20" t="n">
        <x:v>42248</x:v>
      </x:c>
    </x:row>
    <x:row r="5602" ht="18" customHeight="1">
      <x:c r="A5602" t="str">
        <x:v>CA-2017-151176</x:v>
      </x:c>
      <x:c r="B5602" s="18" t="n">
        <x:v>42779</x:v>
      </x:c>
      <x:c r="C5602" t="str">
        <x:v>SV-20785</x:v>
      </x:c>
      <x:c r="D5602" t="str">
        <x:v>Stewart Visinsky</x:v>
      </x:c>
      <x:c r="E5602" t="str">
        <x:v>Consumer</x:v>
      </x:c>
      <x:c r="F5602" t="str">
        <x:v>East</x:v>
      </x:c>
      <x:c r="G5602" t="str">
        <x:v>Office Supplies</x:v>
      </x:c>
      <x:c r="H5602" t="str">
        <x:v>Supplies</x:v>
      </x:c>
      <x:c r="I5602" s="22" t="n">
        <x:v>25.02</x:v>
      </x:c>
      <x:c r="J5602" s="24" t="n">
        <x:v>3</x:v>
      </x:c>
      <x:c r="K5602" s="26" t="n">
        <x:v>0</x:v>
      </x:c>
      <x:c r="L5602" s="22" t="n">
        <x:v>6.5052</x:v>
      </x:c>
      <x:c r="M5602" t="n">
        <x:v>2017</x:v>
      </x:c>
      <x:c r="N5602" s="20" t="n">
        <x:v>42767</x:v>
      </x:c>
    </x:row>
    <x:row r="5603" ht="18" customHeight="1">
      <x:c r="A5603" t="str">
        <x:v>CA-2017-151176</x:v>
      </x:c>
      <x:c r="B5603" s="18" t="n">
        <x:v>42779</x:v>
      </x:c>
      <x:c r="C5603" t="str">
        <x:v>SV-20785</x:v>
      </x:c>
      <x:c r="D5603" t="str">
        <x:v>Stewart Visinsky</x:v>
      </x:c>
      <x:c r="E5603" t="str">
        <x:v>Consumer</x:v>
      </x:c>
      <x:c r="F5603" t="str">
        <x:v>East</x:v>
      </x:c>
      <x:c r="G5603" t="str">
        <x:v>Office Supplies</x:v>
      </x:c>
      <x:c r="H5603" t="str">
        <x:v>Art</x:v>
      </x:c>
      <x:c r="I5603" s="22" t="n">
        <x:v>10.709999999999999</x:v>
      </x:c>
      <x:c r="J5603" s="24" t="n">
        <x:v>3</x:v>
      </x:c>
      <x:c r="K5603" s="26" t="n">
        <x:v>0</x:v>
      </x:c>
      <x:c r="L5603" s="22" t="n">
        <x:v>2.7845999999999997</x:v>
      </x:c>
      <x:c r="M5603" t="n">
        <x:v>2017</x:v>
      </x:c>
      <x:c r="N5603" s="20" t="n">
        <x:v>42767</x:v>
      </x:c>
    </x:row>
    <x:row r="5604" ht="18" customHeight="1">
      <x:c r="A5604" t="str">
        <x:v>CA-2014-108903</x:v>
      </x:c>
      <x:c r="B5604" s="18" t="n">
        <x:v>41915</x:v>
      </x:c>
      <x:c r="C5604" t="str">
        <x:v>DO-13435</x:v>
      </x:c>
      <x:c r="D5604" t="str">
        <x:v>Denny Ordway</x:v>
      </x:c>
      <x:c r="E5604" t="str">
        <x:v>Consumer</x:v>
      </x:c>
      <x:c r="F5604" t="str">
        <x:v>East</x:v>
      </x:c>
      <x:c r="G5604" t="str">
        <x:v>Office Supplies</x:v>
      </x:c>
      <x:c r="H5604" t="str">
        <x:v>Art</x:v>
      </x:c>
      <x:c r="I5604" s="22" t="n">
        <x:v>55.98400000000001</x:v>
      </x:c>
      <x:c r="J5604" s="24" t="n">
        <x:v>2</x:v>
      </x:c>
      <x:c r="K5604" s="26" t="n">
        <x:v>0.2</x:v>
      </x:c>
      <x:c r="L5604" s="22" t="n">
        <x:v>4.1987999999999985</x:v>
      </x:c>
      <x:c r="M5604" t="n">
        <x:v>2014</x:v>
      </x:c>
      <x:c r="N5604" s="20" t="n">
        <x:v>41913</x:v>
      </x:c>
    </x:row>
    <x:row r="5605" ht="18" customHeight="1">
      <x:c r="A5605" t="str">
        <x:v>CA-2014-108903</x:v>
      </x:c>
      <x:c r="B5605" s="18" t="n">
        <x:v>41915</x:v>
      </x:c>
      <x:c r="C5605" t="str">
        <x:v>DO-13435</x:v>
      </x:c>
      <x:c r="D5605" t="str">
        <x:v>Denny Ordway</x:v>
      </x:c>
      <x:c r="E5605" t="str">
        <x:v>Consumer</x:v>
      </x:c>
      <x:c r="F5605" t="str">
        <x:v>East</x:v>
      </x:c>
      <x:c r="G5605" t="str">
        <x:v>Office Supplies</x:v>
      </x:c>
      <x:c r="H5605" t="str">
        <x:v>Envelopes</x:v>
      </x:c>
      <x:c r="I5605" s="22" t="n">
        <x:v>14.480000000000002</x:v>
      </x:c>
      <x:c r="J5605" s="24" t="n">
        <x:v>5</x:v>
      </x:c>
      <x:c r="K5605" s="26" t="n">
        <x:v>0.2</x:v>
      </x:c>
      <x:c r="L5605" s="22" t="n">
        <x:v>4.886999999999999</x:v>
      </x:c>
      <x:c r="M5605" t="n">
        <x:v>2014</x:v>
      </x:c>
      <x:c r="N5605" s="20" t="n">
        <x:v>41913</x:v>
      </x:c>
    </x:row>
    <x:row r="5606" ht="18" customHeight="1">
      <x:c r="A5606" t="str">
        <x:v>CA-2014-108903</x:v>
      </x:c>
      <x:c r="B5606" s="18" t="n">
        <x:v>41915</x:v>
      </x:c>
      <x:c r="C5606" t="str">
        <x:v>DO-13435</x:v>
      </x:c>
      <x:c r="D5606" t="str">
        <x:v>Denny Ordway</x:v>
      </x:c>
      <x:c r="E5606" t="str">
        <x:v>Consumer</x:v>
      </x:c>
      <x:c r="F5606" t="str">
        <x:v>East</x:v>
      </x:c>
      <x:c r="G5606" t="str">
        <x:v>Technology</x:v>
      </x:c>
      <x:c r="H5606" t="str">
        <x:v>Accessories</x:v>
      </x:c>
      <x:c r="I5606" s="22" t="n">
        <x:v>142.488</x:v>
      </x:c>
      <x:c r="J5606" s="24" t="n">
        <x:v>3</x:v>
      </x:c>
      <x:c r="K5606" s="26" t="n">
        <x:v>0.2</x:v>
      </x:c>
      <x:c r="L5606" s="22" t="n">
        <x:v>-3.5622000000000043</x:v>
      </x:c>
      <x:c r="M5606" t="n">
        <x:v>2014</x:v>
      </x:c>
      <x:c r="N5606" s="20" t="n">
        <x:v>41913</x:v>
      </x:c>
    </x:row>
    <x:row r="5607" ht="18" customHeight="1">
      <x:c r="A5607" t="str">
        <x:v>CA-2016-117919</x:v>
      </x:c>
      <x:c r="B5607" s="18" t="n">
        <x:v>42609</x:v>
      </x:c>
      <x:c r="C5607" t="str">
        <x:v>TB-21355</x:v>
      </x:c>
      <x:c r="D5607" t="str">
        <x:v>Todd Boyes</x:v>
      </x:c>
      <x:c r="E5607" t="str">
        <x:v>Corporate</x:v>
      </x:c>
      <x:c r="F5607" t="str">
        <x:v>Central</x:v>
      </x:c>
      <x:c r="G5607" t="str">
        <x:v>Office Supplies</x:v>
      </x:c>
      <x:c r="H5607" t="str">
        <x:v>Storage</x:v>
      </x:c>
      <x:c r="I5607" s="22" t="n">
        <x:v>14.16</x:v>
      </x:c>
      <x:c r="J5607" s="24" t="n">
        <x:v>1</x:v>
      </x:c>
      <x:c r="K5607" s="26" t="n">
        <x:v>0.2</x:v>
      </x:c>
      <x:c r="L5607" s="22" t="n">
        <x:v>1.0620000000000003</x:v>
      </x:c>
      <x:c r="M5607" t="n">
        <x:v>2016</x:v>
      </x:c>
      <x:c r="N5607" s="20" t="n">
        <x:v>42583</x:v>
      </x:c>
    </x:row>
    <x:row r="5608" ht="18" customHeight="1">
      <x:c r="A5608" t="str">
        <x:v>CA-2016-117919</x:v>
      </x:c>
      <x:c r="B5608" s="18" t="n">
        <x:v>42609</x:v>
      </x:c>
      <x:c r="C5608" t="str">
        <x:v>TB-21355</x:v>
      </x:c>
      <x:c r="D5608" t="str">
        <x:v>Todd Boyes</x:v>
      </x:c>
      <x:c r="E5608" t="str">
        <x:v>Corporate</x:v>
      </x:c>
      <x:c r="F5608" t="str">
        <x:v>Central</x:v>
      </x:c>
      <x:c r="G5608" t="str">
        <x:v>Office Supplies</x:v>
      </x:c>
      <x:c r="H5608" t="str">
        <x:v>Paper</x:v>
      </x:c>
      <x:c r="I5608" s="22" t="n">
        <x:v>79.92000000000002</x:v>
      </x:c>
      <x:c r="J5608" s="24" t="n">
        <x:v>5</x:v>
      </x:c>
      <x:c r="K5608" s="26" t="n">
        <x:v>0.2</x:v>
      </x:c>
      <x:c r="L5608" s="22" t="n">
        <x:v>27.972</x:v>
      </x:c>
      <x:c r="M5608" t="n">
        <x:v>2016</x:v>
      </x:c>
      <x:c r="N5608" s="20" t="n">
        <x:v>42583</x:v>
      </x:c>
    </x:row>
    <x:row r="5609" ht="18" customHeight="1">
      <x:c r="A5609" t="str">
        <x:v>CA-2015-142475</x:v>
      </x:c>
      <x:c r="B5609" s="18" t="n">
        <x:v>42341</x:v>
      </x:c>
      <x:c r="C5609" t="str">
        <x:v>BS-11380</x:v>
      </x:c>
      <x:c r="D5609" t="str">
        <x:v>Bill Stewart</x:v>
      </x:c>
      <x:c r="E5609" t="str">
        <x:v>Corporate</x:v>
      </x:c>
      <x:c r="F5609" t="str">
        <x:v>East</x:v>
      </x:c>
      <x:c r="G5609" t="str">
        <x:v>Office Supplies</x:v>
      </x:c>
      <x:c r="H5609" t="str">
        <x:v>Binders</x:v>
      </x:c>
      <x:c r="I5609" s="22" t="n">
        <x:v>590.352</x:v>
      </x:c>
      <x:c r="J5609" s="24" t="n">
        <x:v>6</x:v>
      </x:c>
      <x:c r="K5609" s="26" t="n">
        <x:v>0.2</x:v>
      </x:c>
      <x:c r="L5609" s="22" t="n">
        <x:v>206.62319999999997</x:v>
      </x:c>
      <x:c r="M5609" t="n">
        <x:v>2015</x:v>
      </x:c>
      <x:c r="N5609" s="20" t="n">
        <x:v>42339</x:v>
      </x:c>
    </x:row>
    <x:row r="5610" ht="18" customHeight="1">
      <x:c r="A5610" t="str">
        <x:v>CA-2016-134516</x:v>
      </x:c>
      <x:c r="B5610" s="18" t="n">
        <x:v>42633</x:v>
      </x:c>
      <x:c r="C5610" t="str">
        <x:v>FM-14215</x:v>
      </x:c>
      <x:c r="D5610" t="str">
        <x:v>Filia McAdams</x:v>
      </x:c>
      <x:c r="E5610" t="str">
        <x:v>Corporate</x:v>
      </x:c>
      <x:c r="F5610" t="str">
        <x:v>South</x:v>
      </x:c>
      <x:c r="G5610" t="str">
        <x:v>Furniture</x:v>
      </x:c>
      <x:c r="H5610" t="str">
        <x:v>Furnishings</x:v>
      </x:c>
      <x:c r="I5610" s="22" t="n">
        <x:v>17.088</x:v>
      </x:c>
      <x:c r="J5610" s="24" t="n">
        <x:v>2</x:v>
      </x:c>
      <x:c r="K5610" s="26" t="n">
        <x:v>0.2</x:v>
      </x:c>
      <x:c r="L5610" s="22" t="n">
        <x:v>1.0679999999999996</x:v>
      </x:c>
      <x:c r="M5610" t="n">
        <x:v>2016</x:v>
      </x:c>
      <x:c r="N5610" s="20" t="n">
        <x:v>42614</x:v>
      </x:c>
    </x:row>
    <x:row r="5611" ht="18" customHeight="1">
      <x:c r="A5611" t="str">
        <x:v>CA-2016-134516</x:v>
      </x:c>
      <x:c r="B5611" s="18" t="n">
        <x:v>42633</x:v>
      </x:c>
      <x:c r="C5611" t="str">
        <x:v>FM-14215</x:v>
      </x:c>
      <x:c r="D5611" t="str">
        <x:v>Filia McAdams</x:v>
      </x:c>
      <x:c r="E5611" t="str">
        <x:v>Corporate</x:v>
      </x:c>
      <x:c r="F5611" t="str">
        <x:v>South</x:v>
      </x:c>
      <x:c r="G5611" t="str">
        <x:v>Furniture</x:v>
      </x:c>
      <x:c r="H5611" t="str">
        <x:v>Chairs</x:v>
      </x:c>
      <x:c r="I5611" s="22" t="n">
        <x:v>98.392</x:v>
      </x:c>
      <x:c r="J5611" s="24" t="n">
        <x:v>1</x:v>
      </x:c>
      <x:c r="K5611" s="26" t="n">
        <x:v>0.2</x:v>
      </x:c>
      <x:c r="L5611" s="22" t="n">
        <x:v>-11.069100000000006</x:v>
      </x:c>
      <x:c r="M5611" t="n">
        <x:v>2016</x:v>
      </x:c>
      <x:c r="N5611" s="20" t="n">
        <x:v>42614</x:v>
      </x:c>
    </x:row>
    <x:row r="5612" ht="18" customHeight="1">
      <x:c r="A5612" t="str">
        <x:v>CA-2017-105193</x:v>
      </x:c>
      <x:c r="B5612" s="18" t="n">
        <x:v>42819</x:v>
      </x:c>
      <x:c r="C5612" t="str">
        <x:v>JL-15835</x:v>
      </x:c>
      <x:c r="D5612" t="str">
        <x:v>John Lee</x:v>
      </x:c>
      <x:c r="E5612" t="str">
        <x:v>Consumer</x:v>
      </x:c>
      <x:c r="F5612" t="str">
        <x:v>East</x:v>
      </x:c>
      <x:c r="G5612" t="str">
        <x:v>Office Supplies</x:v>
      </x:c>
      <x:c r="H5612" t="str">
        <x:v>Art</x:v>
      </x:c>
      <x:c r="I5612" s="22" t="n">
        <x:v>11.05</x:v>
      </x:c>
      <x:c r="J5612" s="24" t="n">
        <x:v>5</x:v>
      </x:c>
      <x:c r="K5612" s="26" t="n">
        <x:v>0</x:v>
      </x:c>
      <x:c r="L5612" s="22" t="n">
        <x:v>2.9835000000000003</x:v>
      </x:c>
      <x:c r="M5612" t="n">
        <x:v>2017</x:v>
      </x:c>
      <x:c r="N5612" s="20" t="n">
        <x:v>42795</x:v>
      </x:c>
    </x:row>
    <x:row r="5613" ht="18" customHeight="1">
      <x:c r="A5613" t="str">
        <x:v>CA-2015-168634</x:v>
      </x:c>
      <x:c r="B5613" s="18" t="n">
        <x:v>42344</x:v>
      </x:c>
      <x:c r="C5613" t="str">
        <x:v>AF-10870</x:v>
      </x:c>
      <x:c r="D5613" t="str">
        <x:v>Art Ferguson</x:v>
      </x:c>
      <x:c r="E5613" t="str">
        <x:v>Consumer</x:v>
      </x:c>
      <x:c r="F5613" t="str">
        <x:v>West</x:v>
      </x:c>
      <x:c r="G5613" t="str">
        <x:v>Office Supplies</x:v>
      </x:c>
      <x:c r="H5613" t="str">
        <x:v>Appliances</x:v>
      </x:c>
      <x:c r="I5613" s="22" t="n">
        <x:v>7.78</x:v>
      </x:c>
      <x:c r="J5613" s="24" t="n">
        <x:v>2</x:v>
      </x:c>
      <x:c r="K5613" s="26" t="n">
        <x:v>0</x:v>
      </x:c>
      <x:c r="L5613" s="22" t="n">
        <x:v>2.0228</x:v>
      </x:c>
      <x:c r="M5613" t="n">
        <x:v>2015</x:v>
      </x:c>
      <x:c r="N5613" s="20" t="n">
        <x:v>42339</x:v>
      </x:c>
    </x:row>
    <x:row r="5614" ht="18" customHeight="1">
      <x:c r="A5614" t="str">
        <x:v>CA-2017-117198</x:v>
      </x:c>
      <x:c r="B5614" s="18" t="n">
        <x:v>42978</x:v>
      </x:c>
      <x:c r="C5614" t="str">
        <x:v>BG-11035</x:v>
      </x:c>
      <x:c r="D5614" t="str">
        <x:v>Barry Gonzalez</x:v>
      </x:c>
      <x:c r="E5614" t="str">
        <x:v>Consumer</x:v>
      </x:c>
      <x:c r="F5614" t="str">
        <x:v>South</x:v>
      </x:c>
      <x:c r="G5614" t="str">
        <x:v>Technology</x:v>
      </x:c>
      <x:c r="H5614" t="str">
        <x:v>Accessories</x:v>
      </x:c>
      <x:c r="I5614" s="22" t="n">
        <x:v>659.9</x:v>
      </x:c>
      <x:c r="J5614" s="24" t="n">
        <x:v>2</x:v>
      </x:c>
      <x:c r="K5614" s="26" t="n">
        <x:v>0</x:v>
      </x:c>
      <x:c r="L5614" s="22" t="n">
        <x:v>217.76699999999994</x:v>
      </x:c>
      <x:c r="M5614" t="n">
        <x:v>2017</x:v>
      </x:c>
      <x:c r="N5614" s="20" t="n">
        <x:v>42948</x:v>
      </x:c>
    </x:row>
    <x:row r="5615" ht="18" customHeight="1">
      <x:c r="A5615" t="str">
        <x:v>CA-2015-145828</x:v>
      </x:c>
      <x:c r="B5615" s="18" t="n">
        <x:v>42282</x:v>
      </x:c>
      <x:c r="C5615" t="str">
        <x:v>MB-17305</x:v>
      </x:c>
      <x:c r="D5615" t="str">
        <x:v>Maria Bertelson</x:v>
      </x:c>
      <x:c r="E5615" t="str">
        <x:v>Consumer</x:v>
      </x:c>
      <x:c r="F5615" t="str">
        <x:v>East</x:v>
      </x:c>
      <x:c r="G5615" t="str">
        <x:v>Technology</x:v>
      </x:c>
      <x:c r="H5615" t="str">
        <x:v>Accessories</x:v>
      </x:c>
      <x:c r="I5615" s="22" t="n">
        <x:v>53.040000000000006</x:v>
      </x:c>
      <x:c r="J5615" s="24" t="n">
        <x:v>3</x:v>
      </x:c>
      <x:c r="K5615" s="26" t="n">
        <x:v>0.2</x:v>
      </x:c>
      <x:c r="L5615" s="22" t="n">
        <x:v>-4.640999999999998</x:v>
      </x:c>
      <x:c r="M5615" t="n">
        <x:v>2015</x:v>
      </x:c>
      <x:c r="N5615" s="20" t="n">
        <x:v>42278</x:v>
      </x:c>
    </x:row>
    <x:row r="5616" ht="18" customHeight="1">
      <x:c r="A5616" t="str">
        <x:v>CA-2017-121027</x:v>
      </x:c>
      <x:c r="B5616" s="18" t="n">
        <x:v>42965</x:v>
      </x:c>
      <x:c r="C5616" t="str">
        <x:v>HW-14935</x:v>
      </x:c>
      <x:c r="D5616" t="str">
        <x:v>Helen Wasserman</x:v>
      </x:c>
      <x:c r="E5616" t="str">
        <x:v>Corporate</x:v>
      </x:c>
      <x:c r="F5616" t="str">
        <x:v>West</x:v>
      </x:c>
      <x:c r="G5616" t="str">
        <x:v>Technology</x:v>
      </x:c>
      <x:c r="H5616" t="str">
        <x:v>Accessories</x:v>
      </x:c>
      <x:c r="I5616" s="22" t="n">
        <x:v>843.9</x:v>
      </x:c>
      <x:c r="J5616" s="24" t="n">
        <x:v>2</x:v>
      </x:c>
      <x:c r="K5616" s="26" t="n">
        <x:v>0</x:v>
      </x:c>
      <x:c r="L5616" s="22" t="n">
        <x:v>371.31600000000003</x:v>
      </x:c>
      <x:c r="M5616" t="n">
        <x:v>2017</x:v>
      </x:c>
      <x:c r="N5616" s="20" t="n">
        <x:v>42948</x:v>
      </x:c>
    </x:row>
    <x:row r="5617" ht="18" customHeight="1">
      <x:c r="A5617" t="str">
        <x:v>CA-2017-121027</x:v>
      </x:c>
      <x:c r="B5617" s="18" t="n">
        <x:v>42965</x:v>
      </x:c>
      <x:c r="C5617" t="str">
        <x:v>HW-14935</x:v>
      </x:c>
      <x:c r="D5617" t="str">
        <x:v>Helen Wasserman</x:v>
      </x:c>
      <x:c r="E5617" t="str">
        <x:v>Corporate</x:v>
      </x:c>
      <x:c r="F5617" t="str">
        <x:v>West</x:v>
      </x:c>
      <x:c r="G5617" t="str">
        <x:v>Technology</x:v>
      </x:c>
      <x:c r="H5617" t="str">
        <x:v>Accessories</x:v>
      </x:c>
      <x:c r="I5617" s="22" t="n">
        <x:v>1496.16</x:v>
      </x:c>
      <x:c r="J5617" s="24" t="n">
        <x:v>9</x:v>
      </x:c>
      <x:c r="K5617" s="26" t="n">
        <x:v>0</x:v>
      </x:c>
      <x:c r="L5617" s="22" t="n">
        <x:v>224.42400000000006</x:v>
      </x:c>
      <x:c r="M5617" t="n">
        <x:v>2017</x:v>
      </x:c>
      <x:c r="N5617" s="20" t="n">
        <x:v>42948</x:v>
      </x:c>
    </x:row>
    <x:row r="5618" ht="18" customHeight="1">
      <x:c r="A5618" t="str">
        <x:v>CA-2016-147431</x:v>
      </x:c>
      <x:c r="B5618" s="18" t="n">
        <x:v>42402</x:v>
      </x:c>
      <x:c r="C5618" t="str">
        <x:v>AB-10105</x:v>
      </x:c>
      <x:c r="D5618" t="str">
        <x:v>Adrian Barton</x:v>
      </x:c>
      <x:c r="E5618" t="str">
        <x:v>Consumer</x:v>
      </x:c>
      <x:c r="F5618" t="str">
        <x:v>East</x:v>
      </x:c>
      <x:c r="G5618" t="str">
        <x:v>Office Supplies</x:v>
      </x:c>
      <x:c r="H5618" t="str">
        <x:v>Storage</x:v>
      </x:c>
      <x:c r="I5618" s="22" t="n">
        <x:v>117.96</x:v>
      </x:c>
      <x:c r="J5618" s="24" t="n">
        <x:v>2</x:v>
      </x:c>
      <x:c r="K5618" s="26" t="n">
        <x:v>0</x:v>
      </x:c>
      <x:c r="L5618" s="22" t="n">
        <x:v>5.897999999999996</x:v>
      </x:c>
      <x:c r="M5618" t="n">
        <x:v>2016</x:v>
      </x:c>
      <x:c r="N5618" s="20" t="n">
        <x:v>42401</x:v>
      </x:c>
    </x:row>
    <x:row r="5619" ht="18" customHeight="1">
      <x:c r="A5619" t="str">
        <x:v>CA-2016-158001</x:v>
      </x:c>
      <x:c r="B5619" s="18" t="n">
        <x:v>42605</x:v>
      </x:c>
      <x:c r="C5619" t="str">
        <x:v>JP-15460</x:v>
      </x:c>
      <x:c r="D5619" t="str">
        <x:v>Jennifer Patt</x:v>
      </x:c>
      <x:c r="E5619" t="str">
        <x:v>Corporate</x:v>
      </x:c>
      <x:c r="F5619" t="str">
        <x:v>East</x:v>
      </x:c>
      <x:c r="G5619" t="str">
        <x:v>Office Supplies</x:v>
      </x:c>
      <x:c r="H5619" t="str">
        <x:v>Art</x:v>
      </x:c>
      <x:c r="I5619" s="22" t="n">
        <x:v>21.299999999999997</x:v>
      </x:c>
      <x:c r="J5619" s="24" t="n">
        <x:v>5</x:v>
      </x:c>
      <x:c r="K5619" s="26" t="n">
        <x:v>0</x:v>
      </x:c>
      <x:c r="L5619" s="22" t="n">
        <x:v>8.733</x:v>
      </x:c>
      <x:c r="M5619" t="n">
        <x:v>2016</x:v>
      </x:c>
      <x:c r="N5619" s="20" t="n">
        <x:v>42583</x:v>
      </x:c>
    </x:row>
    <x:row r="5620" ht="18" customHeight="1">
      <x:c r="A5620" t="str">
        <x:v>CA-2016-158001</x:v>
      </x:c>
      <x:c r="B5620" s="18" t="n">
        <x:v>42605</x:v>
      </x:c>
      <x:c r="C5620" t="str">
        <x:v>JP-15460</x:v>
      </x:c>
      <x:c r="D5620" t="str">
        <x:v>Jennifer Patt</x:v>
      </x:c>
      <x:c r="E5620" t="str">
        <x:v>Corporate</x:v>
      </x:c>
      <x:c r="F5620" t="str">
        <x:v>East</x:v>
      </x:c>
      <x:c r="G5620" t="str">
        <x:v>Office Supplies</x:v>
      </x:c>
      <x:c r="H5620" t="str">
        <x:v>Appliances</x:v>
      </x:c>
      <x:c r="I5620" s="22" t="n">
        <x:v>1040.8</x:v>
      </x:c>
      <x:c r="J5620" s="24" t="n">
        <x:v>5</x:v>
      </x:c>
      <x:c r="K5620" s="26" t="n">
        <x:v>0</x:v>
      </x:c>
      <x:c r="L5620" s="22" t="n">
        <x:v>281.0160000000001</x:v>
      </x:c>
      <x:c r="M5620" t="n">
        <x:v>2016</x:v>
      </x:c>
      <x:c r="N5620" s="20" t="n">
        <x:v>42583</x:v>
      </x:c>
    </x:row>
    <x:row r="5621" ht="18" customHeight="1">
      <x:c r="A5621" t="str">
        <x:v>CA-2016-158001</x:v>
      </x:c>
      <x:c r="B5621" s="18" t="n">
        <x:v>42605</x:v>
      </x:c>
      <x:c r="C5621" t="str">
        <x:v>JP-15460</x:v>
      </x:c>
      <x:c r="D5621" t="str">
        <x:v>Jennifer Patt</x:v>
      </x:c>
      <x:c r="E5621" t="str">
        <x:v>Corporate</x:v>
      </x:c>
      <x:c r="F5621" t="str">
        <x:v>East</x:v>
      </x:c>
      <x:c r="G5621" t="str">
        <x:v>Office Supplies</x:v>
      </x:c>
      <x:c r="H5621" t="str">
        <x:v>Art</x:v>
      </x:c>
      <x:c r="I5621" s="22" t="n">
        <x:v>29.339999999999996</x:v>
      </x:c>
      <x:c r="J5621" s="24" t="n">
        <x:v>6</x:v>
      </x:c>
      <x:c r="K5621" s="26" t="n">
        <x:v>0</x:v>
      </x:c>
      <x:c r="L5621" s="22" t="n">
        <x:v>7.9218</x:v>
      </x:c>
      <x:c r="M5621" t="n">
        <x:v>2016</x:v>
      </x:c>
      <x:c r="N5621" s="20" t="n">
        <x:v>42583</x:v>
      </x:c>
    </x:row>
    <x:row r="5622" ht="18" customHeight="1">
      <x:c r="A5622" t="str">
        <x:v>CA-2017-125745</x:v>
      </x:c>
      <x:c r="B5622" s="18" t="n">
        <x:v>42916</x:v>
      </x:c>
      <x:c r="C5622" t="str">
        <x:v>DV-13045</x:v>
      </x:c>
      <x:c r="D5622" t="str">
        <x:v>Darrin Van Huff</x:v>
      </x:c>
      <x:c r="E5622" t="str">
        <x:v>Corporate</x:v>
      </x:c>
      <x:c r="F5622" t="str">
        <x:v>South</x:v>
      </x:c>
      <x:c r="G5622" t="str">
        <x:v>Furniture</x:v>
      </x:c>
      <x:c r="H5622" t="str">
        <x:v>Furnishings</x:v>
      </x:c>
      <x:c r="I5622" s="22" t="n">
        <x:v>19.52</x:v>
      </x:c>
      <x:c r="J5622" s="24" t="n">
        <x:v>2</x:v>
      </x:c>
      <x:c r="K5622" s="26" t="n">
        <x:v>0.2</x:v>
      </x:c>
      <x:c r="L5622" s="22" t="n">
        <x:v>5.368000000000001</x:v>
      </x:c>
      <x:c r="M5622" t="n">
        <x:v>2017</x:v>
      </x:c>
      <x:c r="N5622" s="20" t="n">
        <x:v>42887</x:v>
      </x:c>
    </x:row>
    <x:row r="5623" ht="18" customHeight="1">
      <x:c r="A5623" t="str">
        <x:v>CA-2015-101154</x:v>
      </x:c>
      <x:c r="B5623" s="18" t="n">
        <x:v>42265</x:v>
      </x:c>
      <x:c r="C5623" t="str">
        <x:v>CM-12190</x:v>
      </x:c>
      <x:c r="D5623" t="str">
        <x:v>Charlotte Melton</x:v>
      </x:c>
      <x:c r="E5623" t="str">
        <x:v>Consumer</x:v>
      </x:c>
      <x:c r="F5623" t="str">
        <x:v>West</x:v>
      </x:c>
      <x:c r="G5623" t="str">
        <x:v>Office Supplies</x:v>
      </x:c>
      <x:c r="H5623" t="str">
        <x:v>Storage</x:v>
      </x:c>
      <x:c r="I5623" s="22" t="n">
        <x:v>443.92</x:v>
      </x:c>
      <x:c r="J5623" s="24" t="n">
        <x:v>4</x:v>
      </x:c>
      <x:c r="K5623" s="26" t="n">
        <x:v>0</x:v>
      </x:c>
      <x:c r="L5623" s="22" t="n">
        <x:v>8.8784</x:v>
      </x:c>
      <x:c r="M5623" t="n">
        <x:v>2015</x:v>
      </x:c>
      <x:c r="N5623" s="20" t="n">
        <x:v>42248</x:v>
      </x:c>
    </x:row>
    <x:row r="5624" ht="18" customHeight="1">
      <x:c r="A5624" t="str">
        <x:v>US-2016-124163</x:v>
      </x:c>
      <x:c r="B5624" s="18" t="n">
        <x:v>42638</x:v>
      </x:c>
      <x:c r="C5624" t="str">
        <x:v>SC-20695</x:v>
      </x:c>
      <x:c r="D5624" t="str">
        <x:v>Steve Chapman</x:v>
      </x:c>
      <x:c r="E5624" t="str">
        <x:v>Corporate</x:v>
      </x:c>
      <x:c r="F5624" t="str">
        <x:v>Central</x:v>
      </x:c>
      <x:c r="G5624" t="str">
        <x:v>Technology</x:v>
      </x:c>
      <x:c r="H5624" t="str">
        <x:v>Accessories</x:v>
      </x:c>
      <x:c r="I5624" s="22" t="n">
        <x:v>499.95</x:v>
      </x:c>
      <x:c r="J5624" s="24" t="n">
        <x:v>5</x:v>
      </x:c>
      <x:c r="K5624" s="26" t="n">
        <x:v>0</x:v>
      </x:c>
      <x:c r="L5624" s="22" t="n">
        <x:v>174.9825</x:v>
      </x:c>
      <x:c r="M5624" t="n">
        <x:v>2016</x:v>
      </x:c>
      <x:c r="N5624" s="20" t="n">
        <x:v>42614</x:v>
      </x:c>
    </x:row>
    <x:row r="5625" ht="18" customHeight="1">
      <x:c r="A5625" t="str">
        <x:v>US-2016-124163</x:v>
      </x:c>
      <x:c r="B5625" s="18" t="n">
        <x:v>42638</x:v>
      </x:c>
      <x:c r="C5625" t="str">
        <x:v>SC-20695</x:v>
      </x:c>
      <x:c r="D5625" t="str">
        <x:v>Steve Chapman</x:v>
      </x:c>
      <x:c r="E5625" t="str">
        <x:v>Corporate</x:v>
      </x:c>
      <x:c r="F5625" t="str">
        <x:v>Central</x:v>
      </x:c>
      <x:c r="G5625" t="str">
        <x:v>Office Supplies</x:v>
      </x:c>
      <x:c r="H5625" t="str">
        <x:v>Art</x:v>
      </x:c>
      <x:c r="I5625" s="22" t="n">
        <x:v>3.04</x:v>
      </x:c>
      <x:c r="J5625" s="24" t="n">
        <x:v>1</x:v>
      </x:c>
      <x:c r="K5625" s="26" t="n">
        <x:v>0</x:v>
      </x:c>
      <x:c r="L5625" s="22" t="n">
        <x:v>1.0335999999999999</x:v>
      </x:c>
      <x:c r="M5625" t="n">
        <x:v>2016</x:v>
      </x:c>
      <x:c r="N5625" s="20" t="n">
        <x:v>42614</x:v>
      </x:c>
    </x:row>
    <x:row r="5626" ht="18" customHeight="1">
      <x:c r="A5626" t="str">
        <x:v>US-2016-124163</x:v>
      </x:c>
      <x:c r="B5626" s="18" t="n">
        <x:v>42638</x:v>
      </x:c>
      <x:c r="C5626" t="str">
        <x:v>SC-20695</x:v>
      </x:c>
      <x:c r="D5626" t="str">
        <x:v>Steve Chapman</x:v>
      </x:c>
      <x:c r="E5626" t="str">
        <x:v>Corporate</x:v>
      </x:c>
      <x:c r="F5626" t="str">
        <x:v>Central</x:v>
      </x:c>
      <x:c r="G5626" t="str">
        <x:v>Furniture</x:v>
      </x:c>
      <x:c r="H5626" t="str">
        <x:v>Chairs</x:v>
      </x:c>
      <x:c r="I5626" s="22" t="n">
        <x:v>201.96</x:v>
      </x:c>
      <x:c r="J5626" s="24" t="n">
        <x:v>2</x:v>
      </x:c>
      <x:c r="K5626" s="26" t="n">
        <x:v>0</x:v>
      </x:c>
      <x:c r="L5626" s="22" t="n">
        <x:v>50.49000000000001</x:v>
      </x:c>
      <x:c r="M5626" t="n">
        <x:v>2016</x:v>
      </x:c>
      <x:c r="N5626" s="20" t="n">
        <x:v>42614</x:v>
      </x:c>
    </x:row>
    <x:row r="5627" ht="18" customHeight="1">
      <x:c r="A5627" t="str">
        <x:v>US-2016-124163</x:v>
      </x:c>
      <x:c r="B5627" s="18" t="n">
        <x:v>42638</x:v>
      </x:c>
      <x:c r="C5627" t="str">
        <x:v>SC-20695</x:v>
      </x:c>
      <x:c r="D5627" t="str">
        <x:v>Steve Chapman</x:v>
      </x:c>
      <x:c r="E5627" t="str">
        <x:v>Corporate</x:v>
      </x:c>
      <x:c r="F5627" t="str">
        <x:v>Central</x:v>
      </x:c>
      <x:c r="G5627" t="str">
        <x:v>Furniture</x:v>
      </x:c>
      <x:c r="H5627" t="str">
        <x:v>Furnishings</x:v>
      </x:c>
      <x:c r="I5627" s="22" t="n">
        <x:v>68.64</x:v>
      </x:c>
      <x:c r="J5627" s="24" t="n">
        <x:v>11</x:v>
      </x:c>
      <x:c r="K5627" s="26" t="n">
        <x:v>0</x:v>
      </x:c>
      <x:c r="L5627" s="22" t="n">
        <x:v>17.160000000000004</x:v>
      </x:c>
      <x:c r="M5627" t="n">
        <x:v>2016</x:v>
      </x:c>
      <x:c r="N5627" s="20" t="n">
        <x:v>42614</x:v>
      </x:c>
    </x:row>
    <x:row r="5628" ht="18" customHeight="1">
      <x:c r="A5628" t="str">
        <x:v>CA-2016-121748</x:v>
      </x:c>
      <x:c r="B5628" s="18" t="n">
        <x:v>42667</x:v>
      </x:c>
      <x:c r="C5628" t="str">
        <x:v>VW-21775</x:v>
      </x:c>
      <x:c r="D5628" t="str">
        <x:v>Victoria Wilson</x:v>
      </x:c>
      <x:c r="E5628" t="str">
        <x:v>Corporate</x:v>
      </x:c>
      <x:c r="F5628" t="str">
        <x:v>West</x:v>
      </x:c>
      <x:c r="G5628" t="str">
        <x:v>Technology</x:v>
      </x:c>
      <x:c r="H5628" t="str">
        <x:v>Accessories</x:v>
      </x:c>
      <x:c r="I5628" s="22" t="n">
        <x:v>100</x:v>
      </x:c>
      <x:c r="J5628" s="24" t="n">
        <x:v>4</x:v>
      </x:c>
      <x:c r="K5628" s="26" t="n">
        <x:v>0</x:v>
      </x:c>
      <x:c r="L5628" s="22" t="n">
        <x:v>21</x:v>
      </x:c>
      <x:c r="M5628" t="n">
        <x:v>2016</x:v>
      </x:c>
      <x:c r="N5628" s="20" t="n">
        <x:v>42644</x:v>
      </x:c>
    </x:row>
    <x:row r="5629" ht="18" customHeight="1">
      <x:c r="A5629" t="str">
        <x:v>CA-2016-121748</x:v>
      </x:c>
      <x:c r="B5629" s="18" t="n">
        <x:v>42667</x:v>
      </x:c>
      <x:c r="C5629" t="str">
        <x:v>VW-21775</x:v>
      </x:c>
      <x:c r="D5629" t="str">
        <x:v>Victoria Wilson</x:v>
      </x:c>
      <x:c r="E5629" t="str">
        <x:v>Corporate</x:v>
      </x:c>
      <x:c r="F5629" t="str">
        <x:v>West</x:v>
      </x:c>
      <x:c r="G5629" t="str">
        <x:v>Technology</x:v>
      </x:c>
      <x:c r="H5629" t="str">
        <x:v>Accessories</x:v>
      </x:c>
      <x:c r="I5629" s="22" t="n">
        <x:v>359.98</x:v>
      </x:c>
      <x:c r="J5629" s="24" t="n">
        <x:v>2</x:v>
      </x:c>
      <x:c r="K5629" s="26" t="n">
        <x:v>0</x:v>
      </x:c>
      <x:c r="L5629" s="22" t="n">
        <x:v>21.598799999999983</x:v>
      </x:c>
      <x:c r="M5629" t="n">
        <x:v>2016</x:v>
      </x:c>
      <x:c r="N5629" s="20" t="n">
        <x:v>42644</x:v>
      </x:c>
    </x:row>
    <x:row r="5630" ht="18" customHeight="1">
      <x:c r="A5630" t="str">
        <x:v>CA-2014-126683</x:v>
      </x:c>
      <x:c r="B5630" s="18" t="n">
        <x:v>41911</x:v>
      </x:c>
      <x:c r="C5630" t="str">
        <x:v>PP-18955</x:v>
      </x:c>
      <x:c r="D5630" t="str">
        <x:v>Paul Prost</x:v>
      </x:c>
      <x:c r="E5630" t="str">
        <x:v>Home Office</x:v>
      </x:c>
      <x:c r="F5630" t="str">
        <x:v>West</x:v>
      </x:c>
      <x:c r="G5630" t="str">
        <x:v>Furniture</x:v>
      </x:c>
      <x:c r="H5630" t="str">
        <x:v>Furnishings</x:v>
      </x:c>
      <x:c r="I5630" s="22" t="n">
        <x:v>6.16</x:v>
      </x:c>
      <x:c r="J5630" s="24" t="n">
        <x:v>2</x:v>
      </x:c>
      <x:c r="K5630" s="26" t="n">
        <x:v>0</x:v>
      </x:c>
      <x:c r="L5630" s="22" t="n">
        <x:v>2.9568</x:v>
      </x:c>
      <x:c r="M5630" t="n">
        <x:v>2014</x:v>
      </x:c>
      <x:c r="N5630" s="20" t="n">
        <x:v>41883</x:v>
      </x:c>
    </x:row>
    <x:row r="5631" ht="18" customHeight="1">
      <x:c r="A5631" t="str">
        <x:v>CA-2014-126683</x:v>
      </x:c>
      <x:c r="B5631" s="18" t="n">
        <x:v>41911</x:v>
      </x:c>
      <x:c r="C5631" t="str">
        <x:v>PP-18955</x:v>
      </x:c>
      <x:c r="D5631" t="str">
        <x:v>Paul Prost</x:v>
      </x:c>
      <x:c r="E5631" t="str">
        <x:v>Home Office</x:v>
      </x:c>
      <x:c r="F5631" t="str">
        <x:v>West</x:v>
      </x:c>
      <x:c r="G5631" t="str">
        <x:v>Furniture</x:v>
      </x:c>
      <x:c r="H5631" t="str">
        <x:v>Tables</x:v>
      </x:c>
      <x:c r="I5631" s="22" t="n">
        <x:v>2348.82</x:v>
      </x:c>
      <x:c r="J5631" s="24" t="n">
        <x:v>9</x:v>
      </x:c>
      <x:c r="K5631" s="26" t="n">
        <x:v>0</x:v>
      </x:c>
      <x:c r="L5631" s="22" t="n">
        <x:v>399.29939999999976</x:v>
      </x:c>
      <x:c r="M5631" t="n">
        <x:v>2014</x:v>
      </x:c>
      <x:c r="N5631" s="20" t="n">
        <x:v>41883</x:v>
      </x:c>
    </x:row>
    <x:row r="5632" ht="18" customHeight="1">
      <x:c r="A5632" t="str">
        <x:v>CA-2017-148810</x:v>
      </x:c>
      <x:c r="B5632" s="18" t="n">
        <x:v>42912</x:v>
      </x:c>
      <x:c r="C5632" t="str">
        <x:v>DR-12880</x:v>
      </x:c>
      <x:c r="D5632" t="str">
        <x:v>Dan Reichenbach</x:v>
      </x:c>
      <x:c r="E5632" t="str">
        <x:v>Corporate</x:v>
      </x:c>
      <x:c r="F5632" t="str">
        <x:v>South</x:v>
      </x:c>
      <x:c r="G5632" t="str">
        <x:v>Office Supplies</x:v>
      </x:c>
      <x:c r="H5632" t="str">
        <x:v>Labels</x:v>
      </x:c>
      <x:c r="I5632" s="22" t="n">
        <x:v>13.872000000000002</x:v>
      </x:c>
      <x:c r="J5632" s="24" t="n">
        <x:v>6</x:v>
      </x:c>
      <x:c r="K5632" s="26" t="n">
        <x:v>0.2</x:v>
      </x:c>
      <x:c r="L5632" s="22" t="n">
        <x:v>4.681800000000001</x:v>
      </x:c>
      <x:c r="M5632" t="n">
        <x:v>2017</x:v>
      </x:c>
      <x:c r="N5632" s="20" t="n">
        <x:v>42887</x:v>
      </x:c>
    </x:row>
    <x:row r="5633" ht="18" customHeight="1">
      <x:c r="A5633" t="str">
        <x:v>CA-2017-148810</x:v>
      </x:c>
      <x:c r="B5633" s="18" t="n">
        <x:v>42912</x:v>
      </x:c>
      <x:c r="C5633" t="str">
        <x:v>DR-12880</x:v>
      </x:c>
      <x:c r="D5633" t="str">
        <x:v>Dan Reichenbach</x:v>
      </x:c>
      <x:c r="E5633" t="str">
        <x:v>Corporate</x:v>
      </x:c>
      <x:c r="F5633" t="str">
        <x:v>South</x:v>
      </x:c>
      <x:c r="G5633" t="str">
        <x:v>Furniture</x:v>
      </x:c>
      <x:c r="H5633" t="str">
        <x:v>Chairs</x:v>
      </x:c>
      <x:c r="I5633" s="22" t="n">
        <x:v>273.552</x:v>
      </x:c>
      <x:c r="J5633" s="24" t="n">
        <x:v>3</x:v>
      </x:c>
      <x:c r="K5633" s="26" t="n">
        <x:v>0.2</x:v>
      </x:c>
      <x:c r="L5633" s="22" t="n">
        <x:v>-13.677599999999998</x:v>
      </x:c>
      <x:c r="M5633" t="n">
        <x:v>2017</x:v>
      </x:c>
      <x:c r="N5633" s="20" t="n">
        <x:v>42887</x:v>
      </x:c>
    </x:row>
    <x:row r="5634" ht="18" customHeight="1">
      <x:c r="A5634" t="str">
        <x:v>US-2016-146066</x:v>
      </x:c>
      <x:c r="B5634" s="18" t="n">
        <x:v>42603</x:v>
      </x:c>
      <x:c r="C5634" t="str">
        <x:v>RB-19465</x:v>
      </x:c>
      <x:c r="D5634" t="str">
        <x:v>Rick Bensley</x:v>
      </x:c>
      <x:c r="E5634" t="str">
        <x:v>Home Office</x:v>
      </x:c>
      <x:c r="F5634" t="str">
        <x:v>East</x:v>
      </x:c>
      <x:c r="G5634" t="str">
        <x:v>Furniture</x:v>
      </x:c>
      <x:c r="H5634" t="str">
        <x:v>Tables</x:v>
      </x:c>
      <x:c r="I5634" s="22" t="n">
        <x:v>815.2919999999999</x:v>
      </x:c>
      <x:c r="J5634" s="24" t="n">
        <x:v>9</x:v>
      </x:c>
      <x:c r="K5634" s="26" t="n">
        <x:v>0.4</x:v>
      </x:c>
      <x:c r="L5634" s="22" t="n">
        <x:v>-339.7050000000001</x:v>
      </x:c>
      <x:c r="M5634" t="n">
        <x:v>2016</x:v>
      </x:c>
      <x:c r="N5634" s="20" t="n">
        <x:v>42583</x:v>
      </x:c>
    </x:row>
    <x:row r="5635" ht="18" customHeight="1">
      <x:c r="A5635" t="str">
        <x:v>CA-2014-127614</x:v>
      </x:c>
      <x:c r="B5635" s="18" t="n">
        <x:v>41681</x:v>
      </x:c>
      <x:c r="C5635" t="str">
        <x:v>NF-18385</x:v>
      </x:c>
      <x:c r="D5635" t="str">
        <x:v>Natalie Fritzler</x:v>
      </x:c>
      <x:c r="E5635" t="str">
        <x:v>Consumer</x:v>
      </x:c>
      <x:c r="F5635" t="str">
        <x:v>South</x:v>
      </x:c>
      <x:c r="G5635" t="str">
        <x:v>Technology</x:v>
      </x:c>
      <x:c r="H5635" t="str">
        <x:v>Accessories</x:v>
      </x:c>
      <x:c r="I5635" s="22" t="n">
        <x:v>234.45000000000002</x:v>
      </x:c>
      <x:c r="J5635" s="24" t="n">
        <x:v>3</x:v>
      </x:c>
      <x:c r="K5635" s="26" t="n">
        <x:v>0</x:v>
      </x:c>
      <x:c r="L5635" s="22" t="n">
        <x:v>103.15800000000003</x:v>
      </x:c>
      <x:c r="M5635" t="n">
        <x:v>2014</x:v>
      </x:c>
      <x:c r="N5635" s="20" t="n">
        <x:v>41671</x:v>
      </x:c>
    </x:row>
    <x:row r="5636" ht="18" customHeight="1">
      <x:c r="A5636" t="str">
        <x:v>CA-2014-127614</x:v>
      </x:c>
      <x:c r="B5636" s="18" t="n">
        <x:v>41681</x:v>
      </x:c>
      <x:c r="C5636" t="str">
        <x:v>NF-18385</x:v>
      </x:c>
      <x:c r="D5636" t="str">
        <x:v>Natalie Fritzler</x:v>
      </x:c>
      <x:c r="E5636" t="str">
        <x:v>Consumer</x:v>
      </x:c>
      <x:c r="F5636" t="str">
        <x:v>South</x:v>
      </x:c>
      <x:c r="G5636" t="str">
        <x:v>Furniture</x:v>
      </x:c>
      <x:c r="H5636" t="str">
        <x:v>Tables</x:v>
      </x:c>
      <x:c r="I5636" s="22" t="n">
        <x:v>1256.22</x:v>
      </x:c>
      <x:c r="J5636" s="24" t="n">
        <x:v>6</x:v>
      </x:c>
      <x:c r="K5636" s="26" t="n">
        <x:v>0</x:v>
      </x:c>
      <x:c r="L5636" s="22" t="n">
        <x:v>75.37319999999994</x:v>
      </x:c>
      <x:c r="M5636" t="n">
        <x:v>2014</x:v>
      </x:c>
      <x:c r="N5636" s="20" t="n">
        <x:v>41671</x:v>
      </x:c>
    </x:row>
    <x:row r="5637" ht="18" customHeight="1">
      <x:c r="A5637" t="str">
        <x:v>CA-2014-127614</x:v>
      </x:c>
      <x:c r="B5637" s="18" t="n">
        <x:v>41681</x:v>
      </x:c>
      <x:c r="C5637" t="str">
        <x:v>NF-18385</x:v>
      </x:c>
      <x:c r="D5637" t="str">
        <x:v>Natalie Fritzler</x:v>
      </x:c>
      <x:c r="E5637" t="str">
        <x:v>Consumer</x:v>
      </x:c>
      <x:c r="F5637" t="str">
        <x:v>South</x:v>
      </x:c>
      <x:c r="G5637" t="str">
        <x:v>Office Supplies</x:v>
      </x:c>
      <x:c r="H5637" t="str">
        <x:v>Binders</x:v>
      </x:c>
      <x:c r="I5637" s="22" t="n">
        <x:v>17.46</x:v>
      </x:c>
      <x:c r="J5637" s="24" t="n">
        <x:v>2</x:v>
      </x:c>
      <x:c r="K5637" s="26" t="n">
        <x:v>0</x:v>
      </x:c>
      <x:c r="L5637" s="22" t="n">
        <x:v>8.206199999999999</x:v>
      </x:c>
      <x:c r="M5637" t="n">
        <x:v>2014</x:v>
      </x:c>
      <x:c r="N5637" s="20" t="n">
        <x:v>41671</x:v>
      </x:c>
    </x:row>
    <x:row r="5638" ht="18" customHeight="1">
      <x:c r="A5638" t="str">
        <x:v>CA-2016-101742</x:v>
      </x:c>
      <x:c r="B5638" s="18" t="n">
        <x:v>42636</x:v>
      </x:c>
      <x:c r="C5638" t="str">
        <x:v>CR-12580</x:v>
      </x:c>
      <x:c r="D5638" t="str">
        <x:v>Clay Rozendal</x:v>
      </x:c>
      <x:c r="E5638" t="str">
        <x:v>Home Office</x:v>
      </x:c>
      <x:c r="F5638" t="str">
        <x:v>East</x:v>
      </x:c>
      <x:c r="G5638" t="str">
        <x:v>Office Supplies</x:v>
      </x:c>
      <x:c r="H5638" t="str">
        <x:v>Binders</x:v>
      </x:c>
      <x:c r="I5638" s="22" t="n">
        <x:v>10.528</x:v>
      </x:c>
      <x:c r="J5638" s="24" t="n">
        <x:v>7</x:v>
      </x:c>
      <x:c r="K5638" s="26" t="n">
        <x:v>0.2</x:v>
      </x:c>
      <x:c r="L5638" s="22" t="n">
        <x:v>3.6847999999999987</x:v>
      </x:c>
      <x:c r="M5638" t="n">
        <x:v>2016</x:v>
      </x:c>
      <x:c r="N5638" s="20" t="n">
        <x:v>42614</x:v>
      </x:c>
    </x:row>
    <x:row r="5639" ht="18" customHeight="1">
      <x:c r="A5639" t="str">
        <x:v>CA-2015-134943</x:v>
      </x:c>
      <x:c r="B5639" s="18" t="n">
        <x:v>42343</x:v>
      </x:c>
      <x:c r="C5639" t="str">
        <x:v>SU-20665</x:v>
      </x:c>
      <x:c r="D5639" t="str">
        <x:v>Stephanie Ulpright</x:v>
      </x:c>
      <x:c r="E5639" t="str">
        <x:v>Home Office</x:v>
      </x:c>
      <x:c r="F5639" t="str">
        <x:v>Central</x:v>
      </x:c>
      <x:c r="G5639" t="str">
        <x:v>Office Supplies</x:v>
      </x:c>
      <x:c r="H5639" t="str">
        <x:v>Binders</x:v>
      </x:c>
      <x:c r="I5639" s="22" t="n">
        <x:v>152.79999999999998</x:v>
      </x:c>
      <x:c r="J5639" s="24" t="n">
        <x:v>5</x:v>
      </x:c>
      <x:c r="K5639" s="26" t="n">
        <x:v>0</x:v>
      </x:c>
      <x:c r="L5639" s="22" t="n">
        <x:v>76.39999999999999</x:v>
      </x:c>
      <x:c r="M5639" t="n">
        <x:v>2015</x:v>
      </x:c>
      <x:c r="N5639" s="20" t="n">
        <x:v>42339</x:v>
      </x:c>
    </x:row>
    <x:row r="5640" ht="18" customHeight="1">
      <x:c r="A5640" t="str">
        <x:v>CA-2017-123022</x:v>
      </x:c>
      <x:c r="B5640" s="18" t="n">
        <x:v>42981</x:v>
      </x:c>
      <x:c r="C5640" t="str">
        <x:v>SC-20050</x:v>
      </x:c>
      <x:c r="D5640" t="str">
        <x:v>Sample Company A</x:v>
      </x:c>
      <x:c r="E5640" t="str">
        <x:v>Home Office</x:v>
      </x:c>
      <x:c r="F5640" t="str">
        <x:v>West</x:v>
      </x:c>
      <x:c r="G5640" t="str">
        <x:v>Office Supplies</x:v>
      </x:c>
      <x:c r="H5640" t="str">
        <x:v>Binders</x:v>
      </x:c>
      <x:c r="I5640" s="22" t="n">
        <x:v>82.56</x:v>
      </x:c>
      <x:c r="J5640" s="24" t="n">
        <x:v>5</x:v>
      </x:c>
      <x:c r="K5640" s="26" t="n">
        <x:v>0.2</x:v>
      </x:c>
      <x:c r="L5640" s="22" t="n">
        <x:v>28.896</x:v>
      </x:c>
      <x:c r="M5640" t="n">
        <x:v>2017</x:v>
      </x:c>
      <x:c r="N5640" s="20" t="n">
        <x:v>42979</x:v>
      </x:c>
    </x:row>
    <x:row r="5641" ht="18" customHeight="1">
      <x:c r="A5641" t="str">
        <x:v>CA-2017-123022</x:v>
      </x:c>
      <x:c r="B5641" s="18" t="n">
        <x:v>42981</x:v>
      </x:c>
      <x:c r="C5641" t="str">
        <x:v>SC-20050</x:v>
      </x:c>
      <x:c r="D5641" t="str">
        <x:v>Sample Company A</x:v>
      </x:c>
      <x:c r="E5641" t="str">
        <x:v>Home Office</x:v>
      </x:c>
      <x:c r="F5641" t="str">
        <x:v>West</x:v>
      </x:c>
      <x:c r="G5641" t="str">
        <x:v>Technology</x:v>
      </x:c>
      <x:c r="H5641" t="str">
        <x:v>Accessories</x:v>
      </x:c>
      <x:c r="I5641" s="22" t="n">
        <x:v>284.96999999999997</x:v>
      </x:c>
      <x:c r="J5641" s="24" t="n">
        <x:v>3</x:v>
      </x:c>
      <x:c r="K5641" s="26" t="n">
        <x:v>0</x:v>
      </x:c>
      <x:c r="L5641" s="22" t="n">
        <x:v>85.49099999999996</x:v>
      </x:c>
      <x:c r="M5641" t="n">
        <x:v>2017</x:v>
      </x:c>
      <x:c r="N5641" s="20" t="n">
        <x:v>42979</x:v>
      </x:c>
    </x:row>
    <x:row r="5642" ht="18" customHeight="1">
      <x:c r="A5642" t="str">
        <x:v>CA-2017-113208</x:v>
      </x:c>
      <x:c r="B5642" s="18" t="n">
        <x:v>42820</x:v>
      </x:c>
      <x:c r="C5642" t="str">
        <x:v>ML-18040</x:v>
      </x:c>
      <x:c r="D5642" t="str">
        <x:v>Michelle Lonsdale</x:v>
      </x:c>
      <x:c r="E5642" t="str">
        <x:v>Corporate</x:v>
      </x:c>
      <x:c r="F5642" t="str">
        <x:v>Central</x:v>
      </x:c>
      <x:c r="G5642" t="str">
        <x:v>Furniture</x:v>
      </x:c>
      <x:c r="H5642" t="str">
        <x:v>Furnishings</x:v>
      </x:c>
      <x:c r="I5642" s="22" t="n">
        <x:v>60.84</x:v>
      </x:c>
      <x:c r="J5642" s="24" t="n">
        <x:v>3</x:v>
      </x:c>
      <x:c r="K5642" s="26" t="n">
        <x:v>0</x:v>
      </x:c>
      <x:c r="L5642" s="22" t="n">
        <x:v>23.1192</x:v>
      </x:c>
      <x:c r="M5642" t="n">
        <x:v>2017</x:v>
      </x:c>
      <x:c r="N5642" s="20" t="n">
        <x:v>42795</x:v>
      </x:c>
    </x:row>
    <x:row r="5643" ht="18" customHeight="1">
      <x:c r="A5643" t="str">
        <x:v>CA-2014-154893</x:v>
      </x:c>
      <x:c r="B5643" s="18" t="n">
        <x:v>41994</x:v>
      </x:c>
      <x:c r="C5643" t="str">
        <x:v>GM-14440</x:v>
      </x:c>
      <x:c r="D5643" t="str">
        <x:v>Gary McGarr</x:v>
      </x:c>
      <x:c r="E5643" t="str">
        <x:v>Consumer</x:v>
      </x:c>
      <x:c r="F5643" t="str">
        <x:v>West</x:v>
      </x:c>
      <x:c r="G5643" t="str">
        <x:v>Furniture</x:v>
      </x:c>
      <x:c r="H5643" t="str">
        <x:v>Chairs</x:v>
      </x:c>
      <x:c r="I5643" s="22" t="n">
        <x:v>1325.76</x:v>
      </x:c>
      <x:c r="J5643" s="24" t="n">
        <x:v>6</x:v>
      </x:c>
      <x:c r="K5643" s="26" t="n">
        <x:v>0.2</x:v>
      </x:c>
      <x:c r="L5643" s="22" t="n">
        <x:v>149.1479999999999</x:v>
      </x:c>
      <x:c r="M5643" t="n">
        <x:v>2014</x:v>
      </x:c>
      <x:c r="N5643" s="20" t="n">
        <x:v>41974</x:v>
      </x:c>
    </x:row>
    <x:row r="5644" ht="18" customHeight="1">
      <x:c r="A5644" t="str">
        <x:v>CA-2014-154893</x:v>
      </x:c>
      <x:c r="B5644" s="18" t="n">
        <x:v>41994</x:v>
      </x:c>
      <x:c r="C5644" t="str">
        <x:v>GM-14440</x:v>
      </x:c>
      <x:c r="D5644" t="str">
        <x:v>Gary McGarr</x:v>
      </x:c>
      <x:c r="E5644" t="str">
        <x:v>Consumer</x:v>
      </x:c>
      <x:c r="F5644" t="str">
        <x:v>West</x:v>
      </x:c>
      <x:c r="G5644" t="str">
        <x:v>Furniture</x:v>
      </x:c>
      <x:c r="H5644" t="str">
        <x:v>Chairs</x:v>
      </x:c>
      <x:c r="I5644" s="22" t="n">
        <x:v>572.1600000000001</x:v>
      </x:c>
      <x:c r="J5644" s="24" t="n">
        <x:v>3</x:v>
      </x:c>
      <x:c r="K5644" s="26" t="n">
        <x:v>0.2</x:v>
      </x:c>
      <x:c r="L5644" s="22" t="n">
        <x:v>35.75999999999996</x:v>
      </x:c>
      <x:c r="M5644" t="n">
        <x:v>2014</x:v>
      </x:c>
      <x:c r="N5644" s="20" t="n">
        <x:v>41974</x:v>
      </x:c>
    </x:row>
    <x:row r="5645" ht="18" customHeight="1">
      <x:c r="A5645" t="str">
        <x:v>CA-2014-147900</x:v>
      </x:c>
      <x:c r="B5645" s="18" t="n">
        <x:v>41905</x:v>
      </x:c>
      <x:c r="C5645" t="str">
        <x:v>JK-15640</x:v>
      </x:c>
      <x:c r="D5645" t="str">
        <x:v>Jim Kriz</x:v>
      </x:c>
      <x:c r="E5645" t="str">
        <x:v>Home Office</x:v>
      </x:c>
      <x:c r="F5645" t="str">
        <x:v>East</x:v>
      </x:c>
      <x:c r="G5645" t="str">
        <x:v>Office Supplies</x:v>
      </x:c>
      <x:c r="H5645" t="str">
        <x:v>Paper</x:v>
      </x:c>
      <x:c r="I5645" s="22" t="n">
        <x:v>28.8</x:v>
      </x:c>
      <x:c r="J5645" s="24" t="n">
        <x:v>9</x:v>
      </x:c>
      <x:c r="K5645" s="26" t="n">
        <x:v>0.2</x:v>
      </x:c>
      <x:c r="L5645" s="22" t="n">
        <x:v>10.080000000000002</x:v>
      </x:c>
      <x:c r="M5645" t="n">
        <x:v>2014</x:v>
      </x:c>
      <x:c r="N5645" s="20" t="n">
        <x:v>41883</x:v>
      </x:c>
    </x:row>
    <x:row r="5646" ht="18" customHeight="1">
      <x:c r="A5646" t="str">
        <x:v>CA-2017-106355</x:v>
      </x:c>
      <x:c r="B5646" s="18" t="n">
        <x:v>42827</x:v>
      </x:c>
      <x:c r="C5646" t="str">
        <x:v>AT-10435</x:v>
      </x:c>
      <x:c r="D5646" t="str">
        <x:v>Alyssa Tate</x:v>
      </x:c>
      <x:c r="E5646" t="str">
        <x:v>Home Office</x:v>
      </x:c>
      <x:c r="F5646" t="str">
        <x:v>East</x:v>
      </x:c>
      <x:c r="G5646" t="str">
        <x:v>Office Supplies</x:v>
      </x:c>
      <x:c r="H5646" t="str">
        <x:v>Art</x:v>
      </x:c>
      <x:c r="I5646" s="22" t="n">
        <x:v>11.12</x:v>
      </x:c>
      <x:c r="J5646" s="24" t="n">
        <x:v>4</x:v>
      </x:c>
      <x:c r="K5646" s="26" t="n">
        <x:v>0</x:v>
      </x:c>
      <x:c r="L5646" s="22" t="n">
        <x:v>2.8911999999999995</x:v>
      </x:c>
      <x:c r="M5646" t="n">
        <x:v>2017</x:v>
      </x:c>
      <x:c r="N5646" s="20" t="n">
        <x:v>42826</x:v>
      </x:c>
    </x:row>
    <x:row r="5647" ht="18" customHeight="1">
      <x:c r="A5647" t="str">
        <x:v>CA-2016-127985</x:v>
      </x:c>
      <x:c r="B5647" s="18" t="n">
        <x:v>42461</x:v>
      </x:c>
      <x:c r="C5647" t="str">
        <x:v>DB-12910</x:v>
      </x:c>
      <x:c r="D5647" t="str">
        <x:v>Daniel Byrd</x:v>
      </x:c>
      <x:c r="E5647" t="str">
        <x:v>Home Office</x:v>
      </x:c>
      <x:c r="F5647" t="str">
        <x:v>South</x:v>
      </x:c>
      <x:c r="G5647" t="str">
        <x:v>Furniture</x:v>
      </x:c>
      <x:c r="H5647" t="str">
        <x:v>Furnishings</x:v>
      </x:c>
      <x:c r="I5647" s="22" t="n">
        <x:v>7.04</x:v>
      </x:c>
      <x:c r="J5647" s="24" t="n">
        <x:v>4</x:v>
      </x:c>
      <x:c r="K5647" s="26" t="n">
        <x:v>0</x:v>
      </x:c>
      <x:c r="L5647" s="22" t="n">
        <x:v>3.0976000000000004</x:v>
      </x:c>
      <x:c r="M5647" t="n">
        <x:v>2016</x:v>
      </x:c>
      <x:c r="N5647" s="20" t="n">
        <x:v>42461</x:v>
      </x:c>
    </x:row>
    <x:row r="5648" ht="18" customHeight="1">
      <x:c r="A5648" t="str">
        <x:v>CA-2015-166604</x:v>
      </x:c>
      <x:c r="B5648" s="18" t="n">
        <x:v>42139</x:v>
      </x:c>
      <x:c r="C5648" t="str">
        <x:v>AH-10690</x:v>
      </x:c>
      <x:c r="D5648" t="str">
        <x:v>Anna Häberlin</x:v>
      </x:c>
      <x:c r="E5648" t="str">
        <x:v>Corporate</x:v>
      </x:c>
      <x:c r="F5648" t="str">
        <x:v>South</x:v>
      </x:c>
      <x:c r="G5648" t="str">
        <x:v>Office Supplies</x:v>
      </x:c>
      <x:c r="H5648" t="str">
        <x:v>Envelopes</x:v>
      </x:c>
      <x:c r="I5648" s="22" t="n">
        <x:v>17.94</x:v>
      </x:c>
      <x:c r="J5648" s="24" t="n">
        <x:v>3</x:v>
      </x:c>
      <x:c r="K5648" s="26" t="n">
        <x:v>0</x:v>
      </x:c>
      <x:c r="L5648" s="22" t="n">
        <x:v>8.790600000000001</x:v>
      </x:c>
      <x:c r="M5648" t="n">
        <x:v>2015</x:v>
      </x:c>
      <x:c r="N5648" s="20" t="n">
        <x:v>42125</x:v>
      </x:c>
    </x:row>
    <x:row r="5649" ht="18" customHeight="1">
      <x:c r="A5649" t="str">
        <x:v>CA-2017-120719</x:v>
      </x:c>
      <x:c r="B5649" s="18" t="n">
        <x:v>42817</x:v>
      </x:c>
      <x:c r="C5649" t="str">
        <x:v>SJ-20125</x:v>
      </x:c>
      <x:c r="D5649" t="str">
        <x:v>Sanjit Jacobs</x:v>
      </x:c>
      <x:c r="E5649" t="str">
        <x:v>Home Office</x:v>
      </x:c>
      <x:c r="F5649" t="str">
        <x:v>West</x:v>
      </x:c>
      <x:c r="G5649" t="str">
        <x:v>Office Supplies</x:v>
      </x:c>
      <x:c r="H5649" t="str">
        <x:v>Binders</x:v>
      </x:c>
      <x:c r="I5649" s="22" t="n">
        <x:v>34.76</x:v>
      </x:c>
      <x:c r="J5649" s="24" t="n">
        <x:v>5</x:v>
      </x:c>
      <x:c r="K5649" s="26" t="n">
        <x:v>0.2</x:v>
      </x:c>
      <x:c r="L5649" s="22" t="n">
        <x:v>11.296999999999999</x:v>
      </x:c>
      <x:c r="M5649" t="n">
        <x:v>2017</x:v>
      </x:c>
      <x:c r="N5649" s="20" t="n">
        <x:v>42795</x:v>
      </x:c>
    </x:row>
    <x:row r="5650" ht="18" customHeight="1">
      <x:c r="A5650" t="str">
        <x:v>CA-2017-127117</x:v>
      </x:c>
      <x:c r="B5650" s="18" t="n">
        <x:v>42839</x:v>
      </x:c>
      <x:c r="C5650" t="str">
        <x:v>HM-14860</x:v>
      </x:c>
      <x:c r="D5650" t="str">
        <x:v>Harry Marie</x:v>
      </x:c>
      <x:c r="E5650" t="str">
        <x:v>Corporate</x:v>
      </x:c>
      <x:c r="F5650" t="str">
        <x:v>East</x:v>
      </x:c>
      <x:c r="G5650" t="str">
        <x:v>Furniture</x:v>
      </x:c>
      <x:c r="H5650" t="str">
        <x:v>Furnishings</x:v>
      </x:c>
      <x:c r="I5650" s="22" t="n">
        <x:v>74.45</x:v>
      </x:c>
      <x:c r="J5650" s="24" t="n">
        <x:v>5</x:v>
      </x:c>
      <x:c r="K5650" s="26" t="n">
        <x:v>0</x:v>
      </x:c>
      <x:c r="L5650" s="22" t="n">
        <x:v>20.1015</x:v>
      </x:c>
      <x:c r="M5650" t="n">
        <x:v>2017</x:v>
      </x:c>
      <x:c r="N5650" s="20" t="n">
        <x:v>42826</x:v>
      </x:c>
    </x:row>
    <x:row r="5651" ht="18" customHeight="1">
      <x:c r="A5651" t="str">
        <x:v>CA-2015-104241</x:v>
      </x:c>
      <x:c r="B5651" s="18" t="n">
        <x:v>42008</x:v>
      </x:c>
      <x:c r="C5651" t="str">
        <x:v>AG-10495</x:v>
      </x:c>
      <x:c r="D5651" t="str">
        <x:v>Andrew Gjertsen</x:v>
      </x:c>
      <x:c r="E5651" t="str">
        <x:v>Corporate</x:v>
      </x:c>
      <x:c r="F5651" t="str">
        <x:v>South</x:v>
      </x:c>
      <x:c r="G5651" t="str">
        <x:v>Furniture</x:v>
      </x:c>
      <x:c r="H5651" t="str">
        <x:v>Furnishings</x:v>
      </x:c>
      <x:c r="I5651" s="22" t="n">
        <x:v>192.22</x:v>
      </x:c>
      <x:c r="J5651" s="24" t="n">
        <x:v>14</x:v>
      </x:c>
      <x:c r="K5651" s="26" t="n">
        <x:v>0</x:v>
      </x:c>
      <x:c r="L5651" s="22" t="n">
        <x:v>69.1992</x:v>
      </x:c>
      <x:c r="M5651" t="n">
        <x:v>2015</x:v>
      </x:c>
      <x:c r="N5651" s="20" t="n">
        <x:v>42005</x:v>
      </x:c>
    </x:row>
    <x:row r="5652" ht="18" customHeight="1">
      <x:c r="A5652" t="str">
        <x:v>CA-2017-168179</x:v>
      </x:c>
      <x:c r="B5652" s="18" t="n">
        <x:v>43041</x:v>
      </x:c>
      <x:c r="C5652" t="str">
        <x:v>JB-16000</x:v>
      </x:c>
      <x:c r="D5652" t="str">
        <x:v>Joy Bell-</x:v>
      </x:c>
      <x:c r="E5652" t="str">
        <x:v>Consumer</x:v>
      </x:c>
      <x:c r="F5652" t="str">
        <x:v>West</x:v>
      </x:c>
      <x:c r="G5652" t="str">
        <x:v>Office Supplies</x:v>
      </x:c>
      <x:c r="H5652" t="str">
        <x:v>Paper</x:v>
      </x:c>
      <x:c r="I5652" s="22" t="n">
        <x:v>19.44</x:v>
      </x:c>
      <x:c r="J5652" s="24" t="n">
        <x:v>3</x:v>
      </x:c>
      <x:c r="K5652" s="26" t="n">
        <x:v>0</x:v>
      </x:c>
      <x:c r="L5652" s="22" t="n">
        <x:v>9.3312</x:v>
      </x:c>
      <x:c r="M5652" t="n">
        <x:v>2017</x:v>
      </x:c>
      <x:c r="N5652" s="20" t="n">
        <x:v>43040</x:v>
      </x:c>
    </x:row>
    <x:row r="5653" ht="18" customHeight="1">
      <x:c r="A5653" t="str">
        <x:v>CA-2017-142342</x:v>
      </x:c>
      <x:c r="B5653" s="18" t="n">
        <x:v>42933</x:v>
      </x:c>
      <x:c r="C5653" t="str">
        <x:v>AJ-10795</x:v>
      </x:c>
      <x:c r="D5653" t="str">
        <x:v>Anthony Johnson</x:v>
      </x:c>
      <x:c r="E5653" t="str">
        <x:v>Corporate</x:v>
      </x:c>
      <x:c r="F5653" t="str">
        <x:v>West</x:v>
      </x:c>
      <x:c r="G5653" t="str">
        <x:v>Office Supplies</x:v>
      </x:c>
      <x:c r="H5653" t="str">
        <x:v>Paper</x:v>
      </x:c>
      <x:c r="I5653" s="22" t="n">
        <x:v>32.400000000000006</x:v>
      </x:c>
      <x:c r="J5653" s="24" t="n">
        <x:v>5</x:v>
      </x:c>
      <x:c r="K5653" s="26" t="n">
        <x:v>0</x:v>
      </x:c>
      <x:c r="L5653" s="22" t="n">
        <x:v>15.552000000000001</x:v>
      </x:c>
      <x:c r="M5653" t="n">
        <x:v>2017</x:v>
      </x:c>
      <x:c r="N5653" s="20" t="n">
        <x:v>42917</x:v>
      </x:c>
    </x:row>
    <x:row r="5654" ht="18" customHeight="1">
      <x:c r="A5654" t="str">
        <x:v>CA-2017-142342</x:v>
      </x:c>
      <x:c r="B5654" s="18" t="n">
        <x:v>42933</x:v>
      </x:c>
      <x:c r="C5654" t="str">
        <x:v>AJ-10795</x:v>
      </x:c>
      <x:c r="D5654" t="str">
        <x:v>Anthony Johnson</x:v>
      </x:c>
      <x:c r="E5654" t="str">
        <x:v>Corporate</x:v>
      </x:c>
      <x:c r="F5654" t="str">
        <x:v>West</x:v>
      </x:c>
      <x:c r="G5654" t="str">
        <x:v>Office Supplies</x:v>
      </x:c>
      <x:c r="H5654" t="str">
        <x:v>Envelopes</x:v>
      </x:c>
      <x:c r="I5654" s="22" t="n">
        <x:v>57.9</x:v>
      </x:c>
      <x:c r="J5654" s="24" t="n">
        <x:v>5</x:v>
      </x:c>
      <x:c r="K5654" s="26" t="n">
        <x:v>0</x:v>
      </x:c>
      <x:c r="L5654" s="22" t="n">
        <x:v>28.95</x:v>
      </x:c>
      <x:c r="M5654" t="n">
        <x:v>2017</x:v>
      </x:c>
      <x:c r="N5654" s="20" t="n">
        <x:v>42917</x:v>
      </x:c>
    </x:row>
    <x:row r="5655" ht="18" customHeight="1">
      <x:c r="A5655" t="str">
        <x:v>CA-2017-142342</x:v>
      </x:c>
      <x:c r="B5655" s="18" t="n">
        <x:v>42933</x:v>
      </x:c>
      <x:c r="C5655" t="str">
        <x:v>AJ-10795</x:v>
      </x:c>
      <x:c r="D5655" t="str">
        <x:v>Anthony Johnson</x:v>
      </x:c>
      <x:c r="E5655" t="str">
        <x:v>Corporate</x:v>
      </x:c>
      <x:c r="F5655" t="str">
        <x:v>West</x:v>
      </x:c>
      <x:c r="G5655" t="str">
        <x:v>Office Supplies</x:v>
      </x:c>
      <x:c r="H5655" t="str">
        <x:v>Storage</x:v>
      </x:c>
      <x:c r="I5655" s="22" t="n">
        <x:v>10.56</x:v>
      </x:c>
      <x:c r="J5655" s="24" t="n">
        <x:v>2</x:v>
      </x:c>
      <x:c r="K5655" s="26" t="n">
        <x:v>0</x:v>
      </x:c>
      <x:c r="L5655" s="22" t="n">
        <x:v>0</x:v>
      </x:c>
      <x:c r="M5655" t="n">
        <x:v>2017</x:v>
      </x:c>
      <x:c r="N5655" s="20" t="n">
        <x:v>42917</x:v>
      </x:c>
    </x:row>
    <x:row r="5656" ht="18" customHeight="1">
      <x:c r="A5656" t="str">
        <x:v>CA-2017-142342</x:v>
      </x:c>
      <x:c r="B5656" s="18" t="n">
        <x:v>42933</x:v>
      </x:c>
      <x:c r="C5656" t="str">
        <x:v>AJ-10795</x:v>
      </x:c>
      <x:c r="D5656" t="str">
        <x:v>Anthony Johnson</x:v>
      </x:c>
      <x:c r="E5656" t="str">
        <x:v>Corporate</x:v>
      </x:c>
      <x:c r="F5656" t="str">
        <x:v>West</x:v>
      </x:c>
      <x:c r="G5656" t="str">
        <x:v>Furniture</x:v>
      </x:c>
      <x:c r="H5656" t="str">
        <x:v>Bookcases</x:v>
      </x:c>
      <x:c r="I5656" s="22" t="n">
        <x:v>1194.165</x:v>
      </x:c>
      <x:c r="J5656" s="24" t="n">
        <x:v>5</x:v>
      </x:c>
      <x:c r="K5656" s="26" t="n">
        <x:v>0.15</x:v>
      </x:c>
      <x:c r="L5656" s="22" t="n">
        <x:v>210.73499999999993</x:v>
      </x:c>
      <x:c r="M5656" t="n">
        <x:v>2017</x:v>
      </x:c>
      <x:c r="N5656" s="20" t="n">
        <x:v>42917</x:v>
      </x:c>
    </x:row>
    <x:row r="5657" ht="18" customHeight="1">
      <x:c r="A5657" t="str">
        <x:v>CA-2017-109099</x:v>
      </x:c>
      <x:c r="B5657" s="18" t="n">
        <x:v>43014</x:v>
      </x:c>
      <x:c r="C5657" t="str">
        <x:v>MM-18280</x:v>
      </x:c>
      <x:c r="D5657" t="str">
        <x:v>Muhammed MacIntyre</x:v>
      </x:c>
      <x:c r="E5657" t="str">
        <x:v>Corporate</x:v>
      </x:c>
      <x:c r="F5657" t="str">
        <x:v>East</x:v>
      </x:c>
      <x:c r="G5657" t="str">
        <x:v>Office Supplies</x:v>
      </x:c>
      <x:c r="H5657" t="str">
        <x:v>Paper</x:v>
      </x:c>
      <x:c r="I5657" s="22" t="n">
        <x:v>40.99</x:v>
      </x:c>
      <x:c r="J5657" s="24" t="n">
        <x:v>1</x:v>
      </x:c>
      <x:c r="K5657" s="26" t="n">
        <x:v>0</x:v>
      </x:c>
      <x:c r="L5657" s="22" t="n">
        <x:v>20.0851</x:v>
      </x:c>
      <x:c r="M5657" t="n">
        <x:v>2017</x:v>
      </x:c>
      <x:c r="N5657" s="20" t="n">
        <x:v>43009</x:v>
      </x:c>
    </x:row>
    <x:row r="5658" ht="18" customHeight="1">
      <x:c r="A5658" t="str">
        <x:v>US-2014-134187</x:v>
      </x:c>
      <x:c r="B5658" s="18" t="n">
        <x:v>41947</x:v>
      </x:c>
      <x:c r="C5658" t="str">
        <x:v>TH-21235</x:v>
      </x:c>
      <x:c r="D5658" t="str">
        <x:v>Tiffany House</x:v>
      </x:c>
      <x:c r="E5658" t="str">
        <x:v>Corporate</x:v>
      </x:c>
      <x:c r="F5658" t="str">
        <x:v>West</x:v>
      </x:c>
      <x:c r="G5658" t="str">
        <x:v>Office Supplies</x:v>
      </x:c>
      <x:c r="H5658" t="str">
        <x:v>Art</x:v>
      </x:c>
      <x:c r="I5658" s="22" t="n">
        <x:v>2.94</x:v>
      </x:c>
      <x:c r="J5658" s="24" t="n">
        <x:v>1</x:v>
      </x:c>
      <x:c r="K5658" s="26" t="n">
        <x:v>0</x:v>
      </x:c>
      <x:c r="L5658" s="22" t="n">
        <x:v>0.7938000000000001</x:v>
      </x:c>
      <x:c r="M5658" t="n">
        <x:v>2014</x:v>
      </x:c>
      <x:c r="N5658" s="20" t="n">
        <x:v>41944</x:v>
      </x:c>
    </x:row>
    <x:row r="5659" ht="18" customHeight="1">
      <x:c r="A5659" t="str">
        <x:v>CA-2016-145261</x:v>
      </x:c>
      <x:c r="B5659" s="18" t="n">
        <x:v>42722</x:v>
      </x:c>
      <x:c r="C5659" t="str">
        <x:v>AH-10120</x:v>
      </x:c>
      <x:c r="D5659" t="str">
        <x:v>Adrian Hane</x:v>
      </x:c>
      <x:c r="E5659" t="str">
        <x:v>Home Office</x:v>
      </x:c>
      <x:c r="F5659" t="str">
        <x:v>West</x:v>
      </x:c>
      <x:c r="G5659" t="str">
        <x:v>Office Supplies</x:v>
      </x:c>
      <x:c r="H5659" t="str">
        <x:v>Binders</x:v>
      </x:c>
      <x:c r="I5659" s="22" t="n">
        <x:v>45.24000000000001</x:v>
      </x:c>
      <x:c r="J5659" s="24" t="n">
        <x:v>4</x:v>
      </x:c>
      <x:c r="K5659" s="26" t="n">
        <x:v>0.7</x:v>
      </x:c>
      <x:c r="L5659" s="22" t="n">
        <x:v>-30.159999999999997</x:v>
      </x:c>
      <x:c r="M5659" t="n">
        <x:v>2016</x:v>
      </x:c>
      <x:c r="N5659" s="20" t="n">
        <x:v>42705</x:v>
      </x:c>
    </x:row>
    <x:row r="5660" ht="18" customHeight="1">
      <x:c r="A5660" t="str">
        <x:v>CA-2016-145261</x:v>
      </x:c>
      <x:c r="B5660" s="18" t="n">
        <x:v>42722</x:v>
      </x:c>
      <x:c r="C5660" t="str">
        <x:v>AH-10120</x:v>
      </x:c>
      <x:c r="D5660" t="str">
        <x:v>Adrian Hane</x:v>
      </x:c>
      <x:c r="E5660" t="str">
        <x:v>Home Office</x:v>
      </x:c>
      <x:c r="F5660" t="str">
        <x:v>West</x:v>
      </x:c>
      <x:c r="G5660" t="str">
        <x:v>Office Supplies</x:v>
      </x:c>
      <x:c r="H5660" t="str">
        <x:v>Art</x:v>
      </x:c>
      <x:c r="I5660" s="22" t="n">
        <x:v>18.688</x:v>
      </x:c>
      <x:c r="J5660" s="24" t="n">
        <x:v>4</x:v>
      </x:c>
      <x:c r="K5660" s="26" t="n">
        <x:v>0.2</x:v>
      </x:c>
      <x:c r="L5660" s="22" t="n">
        <x:v>2.3359999999999994</x:v>
      </x:c>
      <x:c r="M5660" t="n">
        <x:v>2016</x:v>
      </x:c>
      <x:c r="N5660" s="20" t="n">
        <x:v>42705</x:v>
      </x:c>
    </x:row>
    <x:row r="5661" ht="18" customHeight="1">
      <x:c r="A5661" t="str">
        <x:v>CA-2016-145261</x:v>
      </x:c>
      <x:c r="B5661" s="18" t="n">
        <x:v>42722</x:v>
      </x:c>
      <x:c r="C5661" t="str">
        <x:v>AH-10120</x:v>
      </x:c>
      <x:c r="D5661" t="str">
        <x:v>Adrian Hane</x:v>
      </x:c>
      <x:c r="E5661" t="str">
        <x:v>Home Office</x:v>
      </x:c>
      <x:c r="F5661" t="str">
        <x:v>West</x:v>
      </x:c>
      <x:c r="G5661" t="str">
        <x:v>Office Supplies</x:v>
      </x:c>
      <x:c r="H5661" t="str">
        <x:v>Paper</x:v>
      </x:c>
      <x:c r="I5661" s="22" t="n">
        <x:v>11.648000000000001</x:v>
      </x:c>
      <x:c r="J5661" s="24" t="n">
        <x:v>2</x:v>
      </x:c>
      <x:c r="K5661" s="26" t="n">
        <x:v>0.2</x:v>
      </x:c>
      <x:c r="L5661" s="22" t="n">
        <x:v>3.785599999999999</x:v>
      </x:c>
      <x:c r="M5661" t="n">
        <x:v>2016</x:v>
      </x:c>
      <x:c r="N5661" s="20" t="n">
        <x:v>42705</x:v>
      </x:c>
    </x:row>
    <x:row r="5662" ht="18" customHeight="1">
      <x:c r="A5662" t="str">
        <x:v>CA-2016-145261</x:v>
      </x:c>
      <x:c r="B5662" s="18" t="n">
        <x:v>42722</x:v>
      </x:c>
      <x:c r="C5662" t="str">
        <x:v>AH-10120</x:v>
      </x:c>
      <x:c r="D5662" t="str">
        <x:v>Adrian Hane</x:v>
      </x:c>
      <x:c r="E5662" t="str">
        <x:v>Home Office</x:v>
      </x:c>
      <x:c r="F5662" t="str">
        <x:v>West</x:v>
      </x:c>
      <x:c r="G5662" t="str">
        <x:v>Technology</x:v>
      </x:c>
      <x:c r="H5662" t="str">
        <x:v>Accessories</x:v>
      </x:c>
      <x:c r="I5662" s="22" t="n">
        <x:v>112.77600000000001</x:v>
      </x:c>
      <x:c r="J5662" s="24" t="n">
        <x:v>3</x:v>
      </x:c>
      <x:c r="K5662" s="26" t="n">
        <x:v>0.2</x:v>
      </x:c>
      <x:c r="L5662" s="22" t="n">
        <x:v>-8.458199999999998</x:v>
      </x:c>
      <x:c r="M5662" t="n">
        <x:v>2016</x:v>
      </x:c>
      <x:c r="N5662" s="20" t="n">
        <x:v>42705</x:v>
      </x:c>
    </x:row>
    <x:row r="5663" ht="18" customHeight="1">
      <x:c r="A5663" t="str">
        <x:v>CA-2016-145261</x:v>
      </x:c>
      <x:c r="B5663" s="18" t="n">
        <x:v>42722</x:v>
      </x:c>
      <x:c r="C5663" t="str">
        <x:v>AH-10120</x:v>
      </x:c>
      <x:c r="D5663" t="str">
        <x:v>Adrian Hane</x:v>
      </x:c>
      <x:c r="E5663" t="str">
        <x:v>Home Office</x:v>
      </x:c>
      <x:c r="F5663" t="str">
        <x:v>West</x:v>
      </x:c>
      <x:c r="G5663" t="str">
        <x:v>Furniture</x:v>
      </x:c>
      <x:c r="H5663" t="str">
        <x:v>Tables</x:v>
      </x:c>
      <x:c r="I5663" s="22" t="n">
        <x:v>377.45</x:v>
      </x:c>
      <x:c r="J5663" s="24" t="n">
        <x:v>5</x:v>
      </x:c>
      <x:c r="K5663" s="26" t="n">
        <x:v>0.5</x:v>
      </x:c>
      <x:c r="L5663" s="22" t="n">
        <x:v>-264.21500000000003</x:v>
      </x:c>
      <x:c r="M5663" t="n">
        <x:v>2016</x:v>
      </x:c>
      <x:c r="N5663" s="20" t="n">
        <x:v>42705</x:v>
      </x:c>
    </x:row>
    <x:row r="5664" ht="18" customHeight="1">
      <x:c r="A5664" t="str">
        <x:v>CA-2016-145261</x:v>
      </x:c>
      <x:c r="B5664" s="18" t="n">
        <x:v>42722</x:v>
      </x:c>
      <x:c r="C5664" t="str">
        <x:v>AH-10120</x:v>
      </x:c>
      <x:c r="D5664" t="str">
        <x:v>Adrian Hane</x:v>
      </x:c>
      <x:c r="E5664" t="str">
        <x:v>Home Office</x:v>
      </x:c>
      <x:c r="F5664" t="str">
        <x:v>West</x:v>
      </x:c>
      <x:c r="G5664" t="str">
        <x:v>Office Supplies</x:v>
      </x:c>
      <x:c r="H5664" t="str">
        <x:v>Labels</x:v>
      </x:c>
      <x:c r="I5664" s="22" t="n">
        <x:v>15.936000000000002</x:v>
      </x:c>
      <x:c r="J5664" s="24" t="n">
        <x:v>4</x:v>
      </x:c>
      <x:c r="K5664" s="26" t="n">
        <x:v>0.2</x:v>
      </x:c>
      <x:c r="L5664" s="22" t="n">
        <x:v>5.1792</x:v>
      </x:c>
      <x:c r="M5664" t="n">
        <x:v>2016</x:v>
      </x:c>
      <x:c r="N5664" s="20" t="n">
        <x:v>42705</x:v>
      </x:c>
    </x:row>
    <x:row r="5665" ht="18" customHeight="1">
      <x:c r="A5665" t="str">
        <x:v>CA-2016-145261</x:v>
      </x:c>
      <x:c r="B5665" s="18" t="n">
        <x:v>42722</x:v>
      </x:c>
      <x:c r="C5665" t="str">
        <x:v>AH-10120</x:v>
      </x:c>
      <x:c r="D5665" t="str">
        <x:v>Adrian Hane</x:v>
      </x:c>
      <x:c r="E5665" t="str">
        <x:v>Home Office</x:v>
      </x:c>
      <x:c r="F5665" t="str">
        <x:v>West</x:v>
      </x:c>
      <x:c r="G5665" t="str">
        <x:v>Technology</x:v>
      </x:c>
      <x:c r="H5665" t="str">
        <x:v>Phones</x:v>
      </x:c>
      <x:c r="I5665" s="22" t="n">
        <x:v>28.68</x:v>
      </x:c>
      <x:c r="J5665" s="24" t="n">
        <x:v>3</x:v>
      </x:c>
      <x:c r="K5665" s="26" t="n">
        <x:v>0.2</x:v>
      </x:c>
      <x:c r="L5665" s="22" t="n">
        <x:v>-7.17</x:v>
      </x:c>
      <x:c r="M5665" t="n">
        <x:v>2016</x:v>
      </x:c>
      <x:c r="N5665" s="20" t="n">
        <x:v>42705</x:v>
      </x:c>
    </x:row>
    <x:row r="5666" ht="18" customHeight="1">
      <x:c r="A5666" t="str">
        <x:v>CA-2016-108875</x:v>
      </x:c>
      <x:c r="B5666" s="18" t="n">
        <x:v>42637</x:v>
      </x:c>
      <x:c r="C5666" t="str">
        <x:v>CL-12700</x:v>
      </x:c>
      <x:c r="D5666" t="str">
        <x:v>Craig Leslie</x:v>
      </x:c>
      <x:c r="E5666" t="str">
        <x:v>Home Office</x:v>
      </x:c>
      <x:c r="F5666" t="str">
        <x:v>West</x:v>
      </x:c>
      <x:c r="G5666" t="str">
        <x:v>Furniture</x:v>
      </x:c>
      <x:c r="H5666" t="str">
        <x:v>Furnishings</x:v>
      </x:c>
      <x:c r="I5666" s="22" t="n">
        <x:v>21.44</x:v>
      </x:c>
      <x:c r="J5666" s="24" t="n">
        <x:v>2</x:v>
      </x:c>
      <x:c r="K5666" s="26" t="n">
        <x:v>0.2</x:v>
      </x:c>
      <x:c r="L5666" s="22" t="n">
        <x:v>7.503999999999999</x:v>
      </x:c>
      <x:c r="M5666" t="n">
        <x:v>2016</x:v>
      </x:c>
      <x:c r="N5666" s="20" t="n">
        <x:v>42614</x:v>
      </x:c>
    </x:row>
    <x:row r="5667" ht="18" customHeight="1">
      <x:c r="A5667" t="str">
        <x:v>CA-2016-108875</x:v>
      </x:c>
      <x:c r="B5667" s="18" t="n">
        <x:v>42637</x:v>
      </x:c>
      <x:c r="C5667" t="str">
        <x:v>CL-12700</x:v>
      </x:c>
      <x:c r="D5667" t="str">
        <x:v>Craig Leslie</x:v>
      </x:c>
      <x:c r="E5667" t="str">
        <x:v>Home Office</x:v>
      </x:c>
      <x:c r="F5667" t="str">
        <x:v>West</x:v>
      </x:c>
      <x:c r="G5667" t="str">
        <x:v>Office Supplies</x:v>
      </x:c>
      <x:c r="H5667" t="str">
        <x:v>Storage</x:v>
      </x:c>
      <x:c r="I5667" s="22" t="n">
        <x:v>511.05600000000004</x:v>
      </x:c>
      <x:c r="J5667" s="24" t="n">
        <x:v>9</x:v>
      </x:c>
      <x:c r="K5667" s="26" t="n">
        <x:v>0.2</x:v>
      </x:c>
      <x:c r="L5667" s="22" t="n">
        <x:v>-95.82300000000008</x:v>
      </x:c>
      <x:c r="M5667" t="n">
        <x:v>2016</x:v>
      </x:c>
      <x:c r="N5667" s="20" t="n">
        <x:v>42614</x:v>
      </x:c>
    </x:row>
    <x:row r="5668" ht="18" customHeight="1">
      <x:c r="A5668" t="str">
        <x:v>CA-2016-141957</x:v>
      </x:c>
      <x:c r="B5668" s="18" t="n">
        <x:v>42572</x:v>
      </x:c>
      <x:c r="C5668" t="str">
        <x:v>JG-15310</x:v>
      </x:c>
      <x:c r="D5668" t="str">
        <x:v>Jason Gross</x:v>
      </x:c>
      <x:c r="E5668" t="str">
        <x:v>Corporate</x:v>
      </x:c>
      <x:c r="F5668" t="str">
        <x:v>East</x:v>
      </x:c>
      <x:c r="G5668" t="str">
        <x:v>Office Supplies</x:v>
      </x:c>
      <x:c r="H5668" t="str">
        <x:v>Art</x:v>
      </x:c>
      <x:c r="I5668" s="22" t="n">
        <x:v>18.656000000000002</x:v>
      </x:c>
      <x:c r="J5668" s="24" t="n">
        <x:v>2</x:v>
      </x:c>
      <x:c r="K5668" s="26" t="n">
        <x:v>0.2</x:v>
      </x:c>
      <x:c r="L5668" s="22" t="n">
        <x:v>1.3992000000000013</x:v>
      </x:c>
      <x:c r="M5668" t="n">
        <x:v>2016</x:v>
      </x:c>
      <x:c r="N5668" s="20" t="n">
        <x:v>42552</x:v>
      </x:c>
    </x:row>
    <x:row r="5669" ht="18" customHeight="1">
      <x:c r="A5669" t="str">
        <x:v>CA-2016-141957</x:v>
      </x:c>
      <x:c r="B5669" s="18" t="n">
        <x:v>42572</x:v>
      </x:c>
      <x:c r="C5669" t="str">
        <x:v>JG-15310</x:v>
      </x:c>
      <x:c r="D5669" t="str">
        <x:v>Jason Gross</x:v>
      </x:c>
      <x:c r="E5669" t="str">
        <x:v>Corporate</x:v>
      </x:c>
      <x:c r="F5669" t="str">
        <x:v>East</x:v>
      </x:c>
      <x:c r="G5669" t="str">
        <x:v>Office Supplies</x:v>
      </x:c>
      <x:c r="H5669" t="str">
        <x:v>Binders</x:v>
      </x:c>
      <x:c r="I5669" s="22" t="n">
        <x:v>11.088000000000003</x:v>
      </x:c>
      <x:c r="J5669" s="24" t="n">
        <x:v>7</x:v>
      </x:c>
      <x:c r="K5669" s="26" t="n">
        <x:v>0.7</x:v>
      </x:c>
      <x:c r="L5669" s="22" t="n">
        <x:v>-8.1312</x:v>
      </x:c>
      <x:c r="M5669" t="n">
        <x:v>2016</x:v>
      </x:c>
      <x:c r="N5669" s="20" t="n">
        <x:v>42552</x:v>
      </x:c>
    </x:row>
    <x:row r="5670" ht="18" customHeight="1">
      <x:c r="A5670" t="str">
        <x:v>CA-2016-141957</x:v>
      </x:c>
      <x:c r="B5670" s="18" t="n">
        <x:v>42572</x:v>
      </x:c>
      <x:c r="C5670" t="str">
        <x:v>JG-15310</x:v>
      </x:c>
      <x:c r="D5670" t="str">
        <x:v>Jason Gross</x:v>
      </x:c>
      <x:c r="E5670" t="str">
        <x:v>Corporate</x:v>
      </x:c>
      <x:c r="F5670" t="str">
        <x:v>East</x:v>
      </x:c>
      <x:c r="G5670" t="str">
        <x:v>Office Supplies</x:v>
      </x:c>
      <x:c r="H5670" t="str">
        <x:v>Storage</x:v>
      </x:c>
      <x:c r="I5670" s="22" t="n">
        <x:v>66.688</x:v>
      </x:c>
      <x:c r="J5670" s="24" t="n">
        <x:v>1</x:v>
      </x:c>
      <x:c r="K5670" s="26" t="n">
        <x:v>0.2</x:v>
      </x:c>
      <x:c r="L5670" s="22" t="n">
        <x:v>4.168000000000003</x:v>
      </x:c>
      <x:c r="M5670" t="n">
        <x:v>2016</x:v>
      </x:c>
      <x:c r="N5670" s="20" t="n">
        <x:v>42552</x:v>
      </x:c>
    </x:row>
    <x:row r="5671" ht="18" customHeight="1">
      <x:c r="A5671" t="str">
        <x:v>CA-2016-141957</x:v>
      </x:c>
      <x:c r="B5671" s="18" t="n">
        <x:v>42572</x:v>
      </x:c>
      <x:c r="C5671" t="str">
        <x:v>JG-15310</x:v>
      </x:c>
      <x:c r="D5671" t="str">
        <x:v>Jason Gross</x:v>
      </x:c>
      <x:c r="E5671" t="str">
        <x:v>Corporate</x:v>
      </x:c>
      <x:c r="F5671" t="str">
        <x:v>East</x:v>
      </x:c>
      <x:c r="G5671" t="str">
        <x:v>Office Supplies</x:v>
      </x:c>
      <x:c r="H5671" t="str">
        <x:v>Storage</x:v>
      </x:c>
      <x:c r="I5671" s="22" t="n">
        <x:v>99.488</x:v>
      </x:c>
      <x:c r="J5671" s="24" t="n">
        <x:v>2</x:v>
      </x:c>
      <x:c r="K5671" s="26" t="n">
        <x:v>0.2</x:v>
      </x:c>
      <x:c r="L5671" s="22" t="n">
        <x:v>8.705200000000005</x:v>
      </x:c>
      <x:c r="M5671" t="n">
        <x:v>2016</x:v>
      </x:c>
      <x:c r="N5671" s="20" t="n">
        <x:v>42552</x:v>
      </x:c>
    </x:row>
    <x:row r="5672" ht="18" customHeight="1">
      <x:c r="A5672" t="str">
        <x:v>CA-2016-142405</x:v>
      </x:c>
      <x:c r="B5672" s="18" t="n">
        <x:v>42532</x:v>
      </x:c>
      <x:c r="C5672" t="str">
        <x:v>SE-20110</x:v>
      </x:c>
      <x:c r="D5672" t="str">
        <x:v>Sanjit Engle</x:v>
      </x:c>
      <x:c r="E5672" t="str">
        <x:v>Consumer</x:v>
      </x:c>
      <x:c r="F5672" t="str">
        <x:v>West</x:v>
      </x:c>
      <x:c r="G5672" t="str">
        <x:v>Office Supplies</x:v>
      </x:c>
      <x:c r="H5672" t="str">
        <x:v>Labels</x:v>
      </x:c>
      <x:c r="I5672" s="22" t="n">
        <x:v>14.62</x:v>
      </x:c>
      <x:c r="J5672" s="24" t="n">
        <x:v>2</x:v>
      </x:c>
      <x:c r="K5672" s="26" t="n">
        <x:v>0</x:v>
      </x:c>
      <x:c r="L5672" s="22" t="n">
        <x:v>6.8713999999999995</x:v>
      </x:c>
      <x:c r="M5672" t="n">
        <x:v>2016</x:v>
      </x:c>
      <x:c r="N5672" s="20" t="n">
        <x:v>42522</x:v>
      </x:c>
    </x:row>
    <x:row r="5673" ht="18" customHeight="1">
      <x:c r="A5673" t="str">
        <x:v>CA-2016-142405</x:v>
      </x:c>
      <x:c r="B5673" s="18" t="n">
        <x:v>42532</x:v>
      </x:c>
      <x:c r="C5673" t="str">
        <x:v>SE-20110</x:v>
      </x:c>
      <x:c r="D5673" t="str">
        <x:v>Sanjit Engle</x:v>
      </x:c>
      <x:c r="E5673" t="str">
        <x:v>Consumer</x:v>
      </x:c>
      <x:c r="F5673" t="str">
        <x:v>West</x:v>
      </x:c>
      <x:c r="G5673" t="str">
        <x:v>Office Supplies</x:v>
      </x:c>
      <x:c r="H5673" t="str">
        <x:v>Binders</x:v>
      </x:c>
      <x:c r="I5673" s="22" t="n">
        <x:v>53.984</x:v>
      </x:c>
      <x:c r="J5673" s="24" t="n">
        <x:v>14</x:v>
      </x:c>
      <x:c r="K5673" s="26" t="n">
        <x:v>0.2</x:v>
      </x:c>
      <x:c r="L5673" s="22" t="n">
        <x:v>17.544800000000002</x:v>
      </x:c>
      <x:c r="M5673" t="n">
        <x:v>2016</x:v>
      </x:c>
      <x:c r="N5673" s="20" t="n">
        <x:v>42522</x:v>
      </x:c>
    </x:row>
    <x:row r="5674" ht="18" customHeight="1">
      <x:c r="A5674" t="str">
        <x:v>CA-2016-142405</x:v>
      </x:c>
      <x:c r="B5674" s="18" t="n">
        <x:v>42532</x:v>
      </x:c>
      <x:c r="C5674" t="str">
        <x:v>SE-20110</x:v>
      </x:c>
      <x:c r="D5674" t="str">
        <x:v>Sanjit Engle</x:v>
      </x:c>
      <x:c r="E5674" t="str">
        <x:v>Consumer</x:v>
      </x:c>
      <x:c r="F5674" t="str">
        <x:v>West</x:v>
      </x:c>
      <x:c r="G5674" t="str">
        <x:v>Technology</x:v>
      </x:c>
      <x:c r="H5674" t="str">
        <x:v>Accessories</x:v>
      </x:c>
      <x:c r="I5674" s="22" t="n">
        <x:v>389.97</x:v>
      </x:c>
      <x:c r="J5674" s="24" t="n">
        <x:v>3</x:v>
      </x:c>
      <x:c r="K5674" s="26" t="n">
        <x:v>0</x:v>
      </x:c>
      <x:c r="L5674" s="22" t="n">
        <x:v>132.58980000000003</x:v>
      </x:c>
      <x:c r="M5674" t="n">
        <x:v>2016</x:v>
      </x:c>
      <x:c r="N5674" s="20" t="n">
        <x:v>42522</x:v>
      </x:c>
    </x:row>
    <x:row r="5675" ht="18" customHeight="1">
      <x:c r="A5675" t="str">
        <x:v>CA-2015-141012</x:v>
      </x:c>
      <x:c r="B5675" s="18" t="n">
        <x:v>42164</x:v>
      </x:c>
      <x:c r="C5675" t="str">
        <x:v>TG-21640</x:v>
      </x:c>
      <x:c r="D5675" t="str">
        <x:v>Trudy Glocke</x:v>
      </x:c>
      <x:c r="E5675" t="str">
        <x:v>Consumer</x:v>
      </x:c>
      <x:c r="F5675" t="str">
        <x:v>West</x:v>
      </x:c>
      <x:c r="G5675" t="str">
        <x:v>Furniture</x:v>
      </x:c>
      <x:c r="H5675" t="str">
        <x:v>Furnishings</x:v>
      </x:c>
      <x:c r="I5675" s="22" t="n">
        <x:v>355.36</x:v>
      </x:c>
      <x:c r="J5675" s="24" t="n">
        <x:v>4</x:v>
      </x:c>
      <x:c r="K5675" s="26" t="n">
        <x:v>0</x:v>
      </x:c>
      <x:c r="L5675" s="22" t="n">
        <x:v>92.39359999999999</x:v>
      </x:c>
      <x:c r="M5675" t="n">
        <x:v>2015</x:v>
      </x:c>
      <x:c r="N5675" s="20" t="n">
        <x:v>42156</x:v>
      </x:c>
    </x:row>
    <x:row r="5676" ht="18" customHeight="1">
      <x:c r="A5676" t="str">
        <x:v>CA-2015-141012</x:v>
      </x:c>
      <x:c r="B5676" s="18" t="n">
        <x:v>42164</x:v>
      </x:c>
      <x:c r="C5676" t="str">
        <x:v>TG-21640</x:v>
      </x:c>
      <x:c r="D5676" t="str">
        <x:v>Trudy Glocke</x:v>
      </x:c>
      <x:c r="E5676" t="str">
        <x:v>Consumer</x:v>
      </x:c>
      <x:c r="F5676" t="str">
        <x:v>West</x:v>
      </x:c>
      <x:c r="G5676" t="str">
        <x:v>Technology</x:v>
      </x:c>
      <x:c r="H5676" t="str">
        <x:v>Phones</x:v>
      </x:c>
      <x:c r="I5676" s="22" t="n">
        <x:v>140.376</x:v>
      </x:c>
      <x:c r="J5676" s="24" t="n">
        <x:v>3</x:v>
      </x:c>
      <x:c r="K5676" s="26" t="n">
        <x:v>0.2</x:v>
      </x:c>
      <x:c r="L5676" s="22" t="n">
        <x:v>8.773500000000006</x:v>
      </x:c>
      <x:c r="M5676" t="n">
        <x:v>2015</x:v>
      </x:c>
      <x:c r="N5676" s="20" t="n">
        <x:v>42156</x:v>
      </x:c>
    </x:row>
    <x:row r="5677" ht="18" customHeight="1">
      <x:c r="A5677" t="str">
        <x:v>CA-2017-127922</x:v>
      </x:c>
      <x:c r="B5677" s="18" t="n">
        <x:v>43035</x:v>
      </x:c>
      <x:c r="C5677" t="str">
        <x:v>SH-19975</x:v>
      </x:c>
      <x:c r="D5677" t="str">
        <x:v>Sally Hughsby</x:v>
      </x:c>
      <x:c r="E5677" t="str">
        <x:v>Corporate</x:v>
      </x:c>
      <x:c r="F5677" t="str">
        <x:v>Central</x:v>
      </x:c>
      <x:c r="G5677" t="str">
        <x:v>Office Supplies</x:v>
      </x:c>
      <x:c r="H5677" t="str">
        <x:v>Envelopes</x:v>
      </x:c>
      <x:c r="I5677" s="22" t="n">
        <x:v>15.840000000000002</x:v>
      </x:c>
      <x:c r="J5677" s="24" t="n">
        <x:v>2</x:v>
      </x:c>
      <x:c r="K5677" s="26" t="n">
        <x:v>0.2</x:v>
      </x:c>
      <x:c r="L5677" s="22" t="n">
        <x:v>5.543999999999999</x:v>
      </x:c>
      <x:c r="M5677" t="n">
        <x:v>2017</x:v>
      </x:c>
      <x:c r="N5677" s="20" t="n">
        <x:v>43009</x:v>
      </x:c>
    </x:row>
    <x:row r="5678" ht="18" customHeight="1">
      <x:c r="A5678" t="str">
        <x:v>CA-2017-127922</x:v>
      </x:c>
      <x:c r="B5678" s="18" t="n">
        <x:v>43035</x:v>
      </x:c>
      <x:c r="C5678" t="str">
        <x:v>SH-19975</x:v>
      </x:c>
      <x:c r="D5678" t="str">
        <x:v>Sally Hughsby</x:v>
      </x:c>
      <x:c r="E5678" t="str">
        <x:v>Corporate</x:v>
      </x:c>
      <x:c r="F5678" t="str">
        <x:v>Central</x:v>
      </x:c>
      <x:c r="G5678" t="str">
        <x:v>Office Supplies</x:v>
      </x:c>
      <x:c r="H5678" t="str">
        <x:v>Paper</x:v>
      </x:c>
      <x:c r="I5678" s="22" t="n">
        <x:v>8.448</x:v>
      </x:c>
      <x:c r="J5678" s="24" t="n">
        <x:v>2</x:v>
      </x:c>
      <x:c r="K5678" s="26" t="n">
        <x:v>0.2</x:v>
      </x:c>
      <x:c r="L5678" s="22" t="n">
        <x:v>2.6399999999999997</x:v>
      </x:c>
      <x:c r="M5678" t="n">
        <x:v>2017</x:v>
      </x:c>
      <x:c r="N5678" s="20" t="n">
        <x:v>43009</x:v>
      </x:c>
    </x:row>
    <x:row r="5679" ht="18" customHeight="1">
      <x:c r="A5679" t="str">
        <x:v>CA-2016-146318</x:v>
      </x:c>
      <x:c r="B5679" s="18" t="n">
        <x:v>42391</x:v>
      </x:c>
      <x:c r="C5679" t="str">
        <x:v>MC-17275</x:v>
      </x:c>
      <x:c r="D5679" t="str">
        <x:v>Marc Crier</x:v>
      </x:c>
      <x:c r="E5679" t="str">
        <x:v>Consumer</x:v>
      </x:c>
      <x:c r="F5679" t="str">
        <x:v>West</x:v>
      </x:c>
      <x:c r="G5679" t="str">
        <x:v>Office Supplies</x:v>
      </x:c>
      <x:c r="H5679" t="str">
        <x:v>Paper</x:v>
      </x:c>
      <x:c r="I5679" s="22" t="n">
        <x:v>12.96</x:v>
      </x:c>
      <x:c r="J5679" s="24" t="n">
        <x:v>2</x:v>
      </x:c>
      <x:c r="K5679" s="26" t="n">
        <x:v>0</x:v>
      </x:c>
      <x:c r="L5679" s="22" t="n">
        <x:v>6.2208000000000006</x:v>
      </x:c>
      <x:c r="M5679" t="n">
        <x:v>2016</x:v>
      </x:c>
      <x:c r="N5679" s="20" t="n">
        <x:v>42370</x:v>
      </x:c>
    </x:row>
    <x:row r="5680" ht="18" customHeight="1">
      <x:c r="A5680" t="str">
        <x:v>CA-2014-135993</x:v>
      </x:c>
      <x:c r="B5680" s="18" t="n">
        <x:v>41787</x:v>
      </x:c>
      <x:c r="C5680" t="str">
        <x:v>PJ-18835</x:v>
      </x:c>
      <x:c r="D5680" t="str">
        <x:v>Patrick Jones</x:v>
      </x:c>
      <x:c r="E5680" t="str">
        <x:v>Corporate</x:v>
      </x:c>
      <x:c r="F5680" t="str">
        <x:v>West</x:v>
      </x:c>
      <x:c r="G5680" t="str">
        <x:v>Technology</x:v>
      </x:c>
      <x:c r="H5680" t="str">
        <x:v>Phones</x:v>
      </x:c>
      <x:c r="I5680" s="22" t="n">
        <x:v>57.40800000000001</x:v>
      </x:c>
      <x:c r="J5680" s="24" t="n">
        <x:v>6</x:v>
      </x:c>
      <x:c r="K5680" s="26" t="n">
        <x:v>0.2</x:v>
      </x:c>
      <x:c r="L5680" s="22" t="n">
        <x:v>5.740800000000002</x:v>
      </x:c>
      <x:c r="M5680" t="n">
        <x:v>2014</x:v>
      </x:c>
      <x:c r="N5680" s="20" t="n">
        <x:v>41760</x:v>
      </x:c>
    </x:row>
    <x:row r="5681" ht="18" customHeight="1">
      <x:c r="A5681" t="str">
        <x:v>CA-2014-135993</x:v>
      </x:c>
      <x:c r="B5681" s="18" t="n">
        <x:v>41787</x:v>
      </x:c>
      <x:c r="C5681" t="str">
        <x:v>PJ-18835</x:v>
      </x:c>
      <x:c r="D5681" t="str">
        <x:v>Patrick Jones</x:v>
      </x:c>
      <x:c r="E5681" t="str">
        <x:v>Corporate</x:v>
      </x:c>
      <x:c r="F5681" t="str">
        <x:v>West</x:v>
      </x:c>
      <x:c r="G5681" t="str">
        <x:v>Technology</x:v>
      </x:c>
      <x:c r="H5681" t="str">
        <x:v>Accessories</x:v>
      </x:c>
      <x:c r="I5681" s="22" t="n">
        <x:v>27.6</x:v>
      </x:c>
      <x:c r="J5681" s="24" t="n">
        <x:v>4</x:v>
      </x:c>
      <x:c r="K5681" s="26" t="n">
        <x:v>0</x:v>
      </x:c>
      <x:c r="L5681" s="22" t="n">
        <x:v>2.2079999999999984</x:v>
      </x:c>
      <x:c r="M5681" t="n">
        <x:v>2014</x:v>
      </x:c>
      <x:c r="N5681" s="20" t="n">
        <x:v>41760</x:v>
      </x:c>
    </x:row>
    <x:row r="5682" ht="18" customHeight="1">
      <x:c r="A5682" t="str">
        <x:v>CA-2014-126802</x:v>
      </x:c>
      <x:c r="B5682" s="18" t="n">
        <x:v>42002</x:v>
      </x:c>
      <x:c r="C5682" t="str">
        <x:v>ZC-21910</x:v>
      </x:c>
      <x:c r="D5682" t="str">
        <x:v>Zuschuss Carroll</x:v>
      </x:c>
      <x:c r="E5682" t="str">
        <x:v>Consumer</x:v>
      </x:c>
      <x:c r="F5682" t="str">
        <x:v>Central</x:v>
      </x:c>
      <x:c r="G5682" t="str">
        <x:v>Furniture</x:v>
      </x:c>
      <x:c r="H5682" t="str">
        <x:v>Furnishings</x:v>
      </x:c>
      <x:c r="I5682" s="22" t="n">
        <x:v>38.976</x:v>
      </x:c>
      <x:c r="J5682" s="24" t="n">
        <x:v>3</x:v>
      </x:c>
      <x:c r="K5682" s="26" t="n">
        <x:v>0.6</x:v>
      </x:c>
      <x:c r="L5682" s="22" t="n">
        <x:v>-50.66879999999999</x:v>
      </x:c>
      <x:c r="M5682" t="n">
        <x:v>2014</x:v>
      </x:c>
      <x:c r="N5682" s="20" t="n">
        <x:v>41974</x:v>
      </x:c>
    </x:row>
    <x:row r="5683" ht="18" customHeight="1">
      <x:c r="A5683" t="str">
        <x:v>CA-2016-143924</x:v>
      </x:c>
      <x:c r="B5683" s="18" t="n">
        <x:v>42579</x:v>
      </x:c>
      <x:c r="C5683" t="str">
        <x:v>SC-20680</x:v>
      </x:c>
      <x:c r="D5683" t="str">
        <x:v>Steve Carroll</x:v>
      </x:c>
      <x:c r="E5683" t="str">
        <x:v>Home Office</x:v>
      </x:c>
      <x:c r="F5683" t="str">
        <x:v>Central</x:v>
      </x:c>
      <x:c r="G5683" t="str">
        <x:v>Office Supplies</x:v>
      </x:c>
      <x:c r="H5683" t="str">
        <x:v>Fasteners</x:v>
      </x:c>
      <x:c r="I5683" s="22" t="n">
        <x:v>20.439999999999998</x:v>
      </x:c>
      <x:c r="J5683" s="24" t="n">
        <x:v>7</x:v>
      </x:c>
      <x:c r="K5683" s="26" t="n">
        <x:v>0</x:v>
      </x:c>
      <x:c r="L5683" s="22" t="n">
        <x:v>9.197999999999999</x:v>
      </x:c>
      <x:c r="M5683" t="n">
        <x:v>2016</x:v>
      </x:c>
      <x:c r="N5683" s="20" t="n">
        <x:v>42552</x:v>
      </x:c>
    </x:row>
    <x:row r="5684" ht="18" customHeight="1">
      <x:c r="A5684" t="str">
        <x:v>CA-2016-143924</x:v>
      </x:c>
      <x:c r="B5684" s="18" t="n">
        <x:v>42579</x:v>
      </x:c>
      <x:c r="C5684" t="str">
        <x:v>SC-20680</x:v>
      </x:c>
      <x:c r="D5684" t="str">
        <x:v>Steve Carroll</x:v>
      </x:c>
      <x:c r="E5684" t="str">
        <x:v>Home Office</x:v>
      </x:c>
      <x:c r="F5684" t="str">
        <x:v>Central</x:v>
      </x:c>
      <x:c r="G5684" t="str">
        <x:v>Office Supplies</x:v>
      </x:c>
      <x:c r="H5684" t="str">
        <x:v>Paper</x:v>
      </x:c>
      <x:c r="I5684" s="22" t="n">
        <x:v>109.92</x:v>
      </x:c>
      <x:c r="J5684" s="24" t="n">
        <x:v>2</x:v>
      </x:c>
      <x:c r="K5684" s="26" t="n">
        <x:v>0</x:v>
      </x:c>
      <x:c r="L5684" s="22" t="n">
        <x:v>53.8608</x:v>
      </x:c>
      <x:c r="M5684" t="n">
        <x:v>2016</x:v>
      </x:c>
      <x:c r="N5684" s="20" t="n">
        <x:v>42552</x:v>
      </x:c>
    </x:row>
    <x:row r="5685" ht="18" customHeight="1">
      <x:c r="A5685" t="str">
        <x:v>CA-2016-141551</x:v>
      </x:c>
      <x:c r="B5685" s="18" t="n">
        <x:v>42637</x:v>
      </x:c>
      <x:c r="C5685" t="str">
        <x:v>BP-11230</x:v>
      </x:c>
      <x:c r="D5685" t="str">
        <x:v>Benjamin Patterson</x:v>
      </x:c>
      <x:c r="E5685" t="str">
        <x:v>Consumer</x:v>
      </x:c>
      <x:c r="F5685" t="str">
        <x:v>Central</x:v>
      </x:c>
      <x:c r="G5685" t="str">
        <x:v>Office Supplies</x:v>
      </x:c>
      <x:c r="H5685" t="str">
        <x:v>Binders</x:v>
      </x:c>
      <x:c r="I5685" s="22" t="n">
        <x:v>6.38</x:v>
      </x:c>
      <x:c r="J5685" s="24" t="n">
        <x:v>1</x:v>
      </x:c>
      <x:c r="K5685" s="26" t="n">
        <x:v>0</x:v>
      </x:c>
      <x:c r="L5685" s="22" t="n">
        <x:v>2.9347999999999996</x:v>
      </x:c>
      <x:c r="M5685" t="n">
        <x:v>2016</x:v>
      </x:c>
      <x:c r="N5685" s="20" t="n">
        <x:v>42614</x:v>
      </x:c>
    </x:row>
    <x:row r="5686" ht="18" customHeight="1">
      <x:c r="A5686" t="str">
        <x:v>CA-2016-141551</x:v>
      </x:c>
      <x:c r="B5686" s="18" t="n">
        <x:v>42637</x:v>
      </x:c>
      <x:c r="C5686" t="str">
        <x:v>BP-11230</x:v>
      </x:c>
      <x:c r="D5686" t="str">
        <x:v>Benjamin Patterson</x:v>
      </x:c>
      <x:c r="E5686" t="str">
        <x:v>Consumer</x:v>
      </x:c>
      <x:c r="F5686" t="str">
        <x:v>Central</x:v>
      </x:c>
      <x:c r="G5686" t="str">
        <x:v>Office Supplies</x:v>
      </x:c>
      <x:c r="H5686" t="str">
        <x:v>Paper</x:v>
      </x:c>
      <x:c r="I5686" s="22" t="n">
        <x:v>6.48</x:v>
      </x:c>
      <x:c r="J5686" s="24" t="n">
        <x:v>1</x:v>
      </x:c>
      <x:c r="K5686" s="26" t="n">
        <x:v>0</x:v>
      </x:c>
      <x:c r="L5686" s="22" t="n">
        <x:v>3.1104000000000003</x:v>
      </x:c>
      <x:c r="M5686" t="n">
        <x:v>2016</x:v>
      </x:c>
      <x:c r="N5686" s="20" t="n">
        <x:v>42614</x:v>
      </x:c>
    </x:row>
    <x:row r="5687" ht="18" customHeight="1">
      <x:c r="A5687" t="str">
        <x:v>CA-2014-164315</x:v>
      </x:c>
      <x:c r="B5687" s="18" t="n">
        <x:v>41731</x:v>
      </x:c>
      <x:c r="C5687" t="str">
        <x:v>RD-19585</x:v>
      </x:c>
      <x:c r="D5687" t="str">
        <x:v>Rob Dowd</x:v>
      </x:c>
      <x:c r="E5687" t="str">
        <x:v>Consumer</x:v>
      </x:c>
      <x:c r="F5687" t="str">
        <x:v>South</x:v>
      </x:c>
      <x:c r="G5687" t="str">
        <x:v>Office Supplies</x:v>
      </x:c>
      <x:c r="H5687" t="str">
        <x:v>Paper</x:v>
      </x:c>
      <x:c r="I5687" s="22" t="n">
        <x:v>15.84</x:v>
      </x:c>
      <x:c r="J5687" s="24" t="n">
        <x:v>3</x:v>
      </x:c>
      <x:c r="K5687" s="26" t="n">
        <x:v>0</x:v>
      </x:c>
      <x:c r="L5687" s="22" t="n">
        <x:v>7.128</x:v>
      </x:c>
      <x:c r="M5687" t="n">
        <x:v>2014</x:v>
      </x:c>
      <x:c r="N5687" s="20" t="n">
        <x:v>41730</x:v>
      </x:c>
    </x:row>
    <x:row r="5688" ht="18" customHeight="1">
      <x:c r="A5688" t="str">
        <x:v>CA-2014-164315</x:v>
      </x:c>
      <x:c r="B5688" s="18" t="n">
        <x:v>41731</x:v>
      </x:c>
      <x:c r="C5688" t="str">
        <x:v>RD-19585</x:v>
      </x:c>
      <x:c r="D5688" t="str">
        <x:v>Rob Dowd</x:v>
      </x:c>
      <x:c r="E5688" t="str">
        <x:v>Consumer</x:v>
      </x:c>
      <x:c r="F5688" t="str">
        <x:v>South</x:v>
      </x:c>
      <x:c r="G5688" t="str">
        <x:v>Technology</x:v>
      </x:c>
      <x:c r="H5688" t="str">
        <x:v>Phones</x:v>
      </x:c>
      <x:c r="I5688" s="22" t="n">
        <x:v>1049.93</x:v>
      </x:c>
      <x:c r="J5688" s="24" t="n">
        <x:v>7</x:v>
      </x:c>
      <x:c r="K5688" s="26" t="n">
        <x:v>0</x:v>
      </x:c>
      <x:c r="L5688" s="22" t="n">
        <x:v>293.98040000000003</x:v>
      </x:c>
      <x:c r="M5688" t="n">
        <x:v>2014</x:v>
      </x:c>
      <x:c r="N5688" s="20" t="n">
        <x:v>41730</x:v>
      </x:c>
    </x:row>
    <x:row r="5689" ht="18" customHeight="1">
      <x:c r="A5689" t="str">
        <x:v>CA-2014-164315</x:v>
      </x:c>
      <x:c r="B5689" s="18" t="n">
        <x:v>41731</x:v>
      </x:c>
      <x:c r="C5689" t="str">
        <x:v>RD-19585</x:v>
      </x:c>
      <x:c r="D5689" t="str">
        <x:v>Rob Dowd</x:v>
      </x:c>
      <x:c r="E5689" t="str">
        <x:v>Consumer</x:v>
      </x:c>
      <x:c r="F5689" t="str">
        <x:v>South</x:v>
      </x:c>
      <x:c r="G5689" t="str">
        <x:v>Office Supplies</x:v>
      </x:c>
      <x:c r="H5689" t="str">
        <x:v>Appliances</x:v>
      </x:c>
      <x:c r="I5689" s="22" t="n">
        <x:v>154.9</x:v>
      </x:c>
      <x:c r="J5689" s="24" t="n">
        <x:v>5</x:v>
      </x:c>
      <x:c r="K5689" s="26" t="n">
        <x:v>0</x:v>
      </x:c>
      <x:c r="L5689" s="22" t="n">
        <x:v>40.274</x:v>
      </x:c>
      <x:c r="M5689" t="n">
        <x:v>2014</x:v>
      </x:c>
      <x:c r="N5689" s="20" t="n">
        <x:v>41730</x:v>
      </x:c>
    </x:row>
    <x:row r="5690" ht="18" customHeight="1">
      <x:c r="A5690" t="str">
        <x:v>CA-2015-131072</x:v>
      </x:c>
      <x:c r="B5690" s="18" t="n">
        <x:v>42313</x:v>
      </x:c>
      <x:c r="C5690" t="str">
        <x:v>KL-16645</x:v>
      </x:c>
      <x:c r="D5690" t="str">
        <x:v>Ken Lonsdale</x:v>
      </x:c>
      <x:c r="E5690" t="str">
        <x:v>Consumer</x:v>
      </x:c>
      <x:c r="F5690" t="str">
        <x:v>West</x:v>
      </x:c>
      <x:c r="G5690" t="str">
        <x:v>Office Supplies</x:v>
      </x:c>
      <x:c r="H5690" t="str">
        <x:v>Binders</x:v>
      </x:c>
      <x:c r="I5690" s="22" t="n">
        <x:v>98.352</x:v>
      </x:c>
      <x:c r="J5690" s="24" t="n">
        <x:v>3</x:v>
      </x:c>
      <x:c r="K5690" s="26" t="n">
        <x:v>0.2</x:v>
      </x:c>
      <x:c r="L5690" s="22" t="n">
        <x:v>35.65259999999999</x:v>
      </x:c>
      <x:c r="M5690" t="n">
        <x:v>2015</x:v>
      </x:c>
      <x:c r="N5690" s="20" t="n">
        <x:v>42309</x:v>
      </x:c>
    </x:row>
    <x:row r="5691" ht="18" customHeight="1">
      <x:c r="A5691" t="str">
        <x:v>CA-2014-131541</x:v>
      </x:c>
      <x:c r="B5691" s="18" t="n">
        <x:v>41848</x:v>
      </x:c>
      <x:c r="C5691" t="str">
        <x:v>CK-12205</x:v>
      </x:c>
      <x:c r="D5691" t="str">
        <x:v>Chloris Kastensmidt</x:v>
      </x:c>
      <x:c r="E5691" t="str">
        <x:v>Consumer</x:v>
      </x:c>
      <x:c r="F5691" t="str">
        <x:v>South</x:v>
      </x:c>
      <x:c r="G5691" t="str">
        <x:v>Office Supplies</x:v>
      </x:c>
      <x:c r="H5691" t="str">
        <x:v>Fasteners</x:v>
      </x:c>
      <x:c r="I5691" s="22" t="n">
        <x:v>14.320000000000002</x:v>
      </x:c>
      <x:c r="J5691" s="24" t="n">
        <x:v>5</x:v>
      </x:c>
      <x:c r="K5691" s="26" t="n">
        <x:v>0.2</x:v>
      </x:c>
      <x:c r="L5691" s="22" t="n">
        <x:v>5.191000000000001</x:v>
      </x:c>
      <x:c r="M5691" t="n">
        <x:v>2014</x:v>
      </x:c>
      <x:c r="N5691" s="20" t="n">
        <x:v>41821</x:v>
      </x:c>
    </x:row>
    <x:row r="5692" ht="18" customHeight="1">
      <x:c r="A5692" t="str">
        <x:v>CA-2014-131541</x:v>
      </x:c>
      <x:c r="B5692" s="18" t="n">
        <x:v>41848</x:v>
      </x:c>
      <x:c r="C5692" t="str">
        <x:v>CK-12205</x:v>
      </x:c>
      <x:c r="D5692" t="str">
        <x:v>Chloris Kastensmidt</x:v>
      </x:c>
      <x:c r="E5692" t="str">
        <x:v>Consumer</x:v>
      </x:c>
      <x:c r="F5692" t="str">
        <x:v>South</x:v>
      </x:c>
      <x:c r="G5692" t="str">
        <x:v>Furniture</x:v>
      </x:c>
      <x:c r="H5692" t="str">
        <x:v>Furnishings</x:v>
      </x:c>
      <x:c r="I5692" s="22" t="n">
        <x:v>129.888</x:v>
      </x:c>
      <x:c r="J5692" s="24" t="n">
        <x:v>6</x:v>
      </x:c>
      <x:c r="K5692" s="26" t="n">
        <x:v>0.2</x:v>
      </x:c>
      <x:c r="L5692" s="22" t="n">
        <x:v>12.98879999999999</x:v>
      </x:c>
      <x:c r="M5692" t="n">
        <x:v>2014</x:v>
      </x:c>
      <x:c r="N5692" s="20" t="n">
        <x:v>41821</x:v>
      </x:c>
    </x:row>
    <x:row r="5693" ht="18" customHeight="1">
      <x:c r="A5693" t="str">
        <x:v>CA-2014-131541</x:v>
      </x:c>
      <x:c r="B5693" s="18" t="n">
        <x:v>41848</x:v>
      </x:c>
      <x:c r="C5693" t="str">
        <x:v>CK-12205</x:v>
      </x:c>
      <x:c r="D5693" t="str">
        <x:v>Chloris Kastensmidt</x:v>
      </x:c>
      <x:c r="E5693" t="str">
        <x:v>Consumer</x:v>
      </x:c>
      <x:c r="F5693" t="str">
        <x:v>South</x:v>
      </x:c>
      <x:c r="G5693" t="str">
        <x:v>Office Supplies</x:v>
      </x:c>
      <x:c r="H5693" t="str">
        <x:v>Envelopes</x:v>
      </x:c>
      <x:c r="I5693" s="22" t="n">
        <x:v>48.944</x:v>
      </x:c>
      <x:c r="J5693" s="24" t="n">
        <x:v>7</x:v>
      </x:c>
      <x:c r="K5693" s="26" t="n">
        <x:v>0.2</x:v>
      </x:c>
      <x:c r="L5693" s="22" t="n">
        <x:v>16.5186</x:v>
      </x:c>
      <x:c r="M5693" t="n">
        <x:v>2014</x:v>
      </x:c>
      <x:c r="N5693" s="20" t="n">
        <x:v>41821</x:v>
      </x:c>
    </x:row>
    <x:row r="5694" ht="18" customHeight="1">
      <x:c r="A5694" t="str">
        <x:v>CA-2015-119550</x:v>
      </x:c>
      <x:c r="B5694" s="18" t="n">
        <x:v>42364</x:v>
      </x:c>
      <x:c r="C5694" t="str">
        <x:v>RB-19705</x:v>
      </x:c>
      <x:c r="D5694" t="str">
        <x:v>Roger Barcio</x:v>
      </x:c>
      <x:c r="E5694" t="str">
        <x:v>Home Office</x:v>
      </x:c>
      <x:c r="F5694" t="str">
        <x:v>Central</x:v>
      </x:c>
      <x:c r="G5694" t="str">
        <x:v>Furniture</x:v>
      </x:c>
      <x:c r="H5694" t="str">
        <x:v>Chairs</x:v>
      </x:c>
      <x:c r="I5694" s="22" t="n">
        <x:v>275.058</x:v>
      </x:c>
      <x:c r="J5694" s="24" t="n">
        <x:v>3</x:v>
      </x:c>
      <x:c r="K5694" s="26" t="n">
        <x:v>0.3</x:v>
      </x:c>
      <x:c r="L5694" s="22" t="n">
        <x:v>-90.3762</x:v>
      </x:c>
      <x:c r="M5694" t="n">
        <x:v>2015</x:v>
      </x:c>
      <x:c r="N5694" s="20" t="n">
        <x:v>42339</x:v>
      </x:c>
    </x:row>
    <x:row r="5695" ht="18" customHeight="1">
      <x:c r="A5695" t="str">
        <x:v>US-2015-138093</x:v>
      </x:c>
      <x:c r="B5695" s="18" t="n">
        <x:v>42348</x:v>
      </x:c>
      <x:c r="C5695" t="str">
        <x:v>KM-16225</x:v>
      </x:c>
      <x:c r="D5695" t="str">
        <x:v>Kalyca Meade</x:v>
      </x:c>
      <x:c r="E5695" t="str">
        <x:v>Corporate</x:v>
      </x:c>
      <x:c r="F5695" t="str">
        <x:v>East</x:v>
      </x:c>
      <x:c r="G5695" t="str">
        <x:v>Office Supplies</x:v>
      </x:c>
      <x:c r="H5695" t="str">
        <x:v>Art</x:v>
      </x:c>
      <x:c r="I5695" s="22" t="n">
        <x:v>27.36</x:v>
      </x:c>
      <x:c r="J5695" s="24" t="n">
        <x:v>9</x:v>
      </x:c>
      <x:c r="K5695" s="26" t="n">
        <x:v>0</x:v>
      </x:c>
      <x:c r="L5695" s="22" t="n">
        <x:v>9.302399999999999</x:v>
      </x:c>
      <x:c r="M5695" t="n">
        <x:v>2015</x:v>
      </x:c>
      <x:c r="N5695" s="20" t="n">
        <x:v>42339</x:v>
      </x:c>
    </x:row>
    <x:row r="5696" ht="18" customHeight="1">
      <x:c r="A5696" t="str">
        <x:v>US-2015-138093</x:v>
      </x:c>
      <x:c r="B5696" s="18" t="n">
        <x:v>42348</x:v>
      </x:c>
      <x:c r="C5696" t="str">
        <x:v>KM-16225</x:v>
      </x:c>
      <x:c r="D5696" t="str">
        <x:v>Kalyca Meade</x:v>
      </x:c>
      <x:c r="E5696" t="str">
        <x:v>Corporate</x:v>
      </x:c>
      <x:c r="F5696" t="str">
        <x:v>East</x:v>
      </x:c>
      <x:c r="G5696" t="str">
        <x:v>Office Supplies</x:v>
      </x:c>
      <x:c r="H5696" t="str">
        <x:v>Paper</x:v>
      </x:c>
      <x:c r="I5696" s="22" t="n">
        <x:v>44.75</x:v>
      </x:c>
      <x:c r="J5696" s="24" t="n">
        <x:v>5</x:v>
      </x:c>
      <x:c r="K5696" s="26" t="n">
        <x:v>0</x:v>
      </x:c>
      <x:c r="L5696" s="22" t="n">
        <x:v>20.584999999999994</x:v>
      </x:c>
      <x:c r="M5696" t="n">
        <x:v>2015</x:v>
      </x:c>
      <x:c r="N5696" s="20" t="n">
        <x:v>42339</x:v>
      </x:c>
    </x:row>
    <x:row r="5697" ht="18" customHeight="1">
      <x:c r="A5697" t="str">
        <x:v>US-2015-138093</x:v>
      </x:c>
      <x:c r="B5697" s="18" t="n">
        <x:v>42348</x:v>
      </x:c>
      <x:c r="C5697" t="str">
        <x:v>KM-16225</x:v>
      </x:c>
      <x:c r="D5697" t="str">
        <x:v>Kalyca Meade</x:v>
      </x:c>
      <x:c r="E5697" t="str">
        <x:v>Corporate</x:v>
      </x:c>
      <x:c r="F5697" t="str">
        <x:v>East</x:v>
      </x:c>
      <x:c r="G5697" t="str">
        <x:v>Technology</x:v>
      </x:c>
      <x:c r="H5697" t="str">
        <x:v>Phones</x:v>
      </x:c>
      <x:c r="I5697" s="22" t="n">
        <x:v>134.99</x:v>
      </x:c>
      <x:c r="J5697" s="24" t="n">
        <x:v>1</x:v>
      </x:c>
      <x:c r="K5697" s="26" t="n">
        <x:v>0</x:v>
      </x:c>
      <x:c r="L5697" s="22" t="n">
        <x:v>36.4473</x:v>
      </x:c>
      <x:c r="M5697" t="n">
        <x:v>2015</x:v>
      </x:c>
      <x:c r="N5697" s="20" t="n">
        <x:v>42339</x:v>
      </x:c>
    </x:row>
    <x:row r="5698" ht="18" customHeight="1">
      <x:c r="A5698" t="str">
        <x:v>US-2015-138093</x:v>
      </x:c>
      <x:c r="B5698" s="18" t="n">
        <x:v>42348</x:v>
      </x:c>
      <x:c r="C5698" t="str">
        <x:v>KM-16225</x:v>
      </x:c>
      <x:c r="D5698" t="str">
        <x:v>Kalyca Meade</x:v>
      </x:c>
      <x:c r="E5698" t="str">
        <x:v>Corporate</x:v>
      </x:c>
      <x:c r="F5698" t="str">
        <x:v>East</x:v>
      </x:c>
      <x:c r="G5698" t="str">
        <x:v>Office Supplies</x:v>
      </x:c>
      <x:c r="H5698" t="str">
        <x:v>Paper</x:v>
      </x:c>
      <x:c r="I5698" s="22" t="n">
        <x:v>26.400000000000002</x:v>
      </x:c>
      <x:c r="J5698" s="24" t="n">
        <x:v>5</x:v>
      </x:c>
      <x:c r="K5698" s="26" t="n">
        <x:v>0</x:v>
      </x:c>
      <x:c r="L5698" s="22" t="n">
        <x:v>12.672</x:v>
      </x:c>
      <x:c r="M5698" t="n">
        <x:v>2015</x:v>
      </x:c>
      <x:c r="N5698" s="20" t="n">
        <x:v>42339</x:v>
      </x:c>
    </x:row>
    <x:row r="5699" ht="18" customHeight="1">
      <x:c r="A5699" t="str">
        <x:v>US-2015-138093</x:v>
      </x:c>
      <x:c r="B5699" s="18" t="n">
        <x:v>42348</x:v>
      </x:c>
      <x:c r="C5699" t="str">
        <x:v>KM-16225</x:v>
      </x:c>
      <x:c r="D5699" t="str">
        <x:v>Kalyca Meade</x:v>
      </x:c>
      <x:c r="E5699" t="str">
        <x:v>Corporate</x:v>
      </x:c>
      <x:c r="F5699" t="str">
        <x:v>East</x:v>
      </x:c>
      <x:c r="G5699" t="str">
        <x:v>Furniture</x:v>
      </x:c>
      <x:c r="H5699" t="str">
        <x:v>Chairs</x:v>
      </x:c>
      <x:c r="I5699" s="22" t="n">
        <x:v>542.9399999999999</x:v>
      </x:c>
      <x:c r="J5699" s="24" t="n">
        <x:v>3</x:v>
      </x:c>
      <x:c r="K5699" s="26" t="n">
        <x:v>0</x:v>
      </x:c>
      <x:c r="L5699" s="22" t="n">
        <x:v>141.1644</x:v>
      </x:c>
      <x:c r="M5699" t="n">
        <x:v>2015</x:v>
      </x:c>
      <x:c r="N5699" s="20" t="n">
        <x:v>42339</x:v>
      </x:c>
    </x:row>
    <x:row r="5700" ht="18" customHeight="1">
      <x:c r="A5700" t="str">
        <x:v>CA-2016-126165</x:v>
      </x:c>
      <x:c r="B5700" s="18" t="n">
        <x:v>42495</x:v>
      </x:c>
      <x:c r="C5700" t="str">
        <x:v>AH-10465</x:v>
      </x:c>
      <x:c r="D5700" t="str">
        <x:v>Amy Hunt</x:v>
      </x:c>
      <x:c r="E5700" t="str">
        <x:v>Consumer</x:v>
      </x:c>
      <x:c r="F5700" t="str">
        <x:v>West</x:v>
      </x:c>
      <x:c r="G5700" t="str">
        <x:v>Furniture</x:v>
      </x:c>
      <x:c r="H5700" t="str">
        <x:v>Tables</x:v>
      </x:c>
      <x:c r="I5700" s="22" t="n">
        <x:v>71.08800000000001</x:v>
      </x:c>
      <x:c r="J5700" s="24" t="n">
        <x:v>2</x:v>
      </x:c>
      <x:c r="K5700" s="26" t="n">
        <x:v>0.2</x:v>
      </x:c>
      <x:c r="L5700" s="22" t="n">
        <x:v>-1.777200000000004</x:v>
      </x:c>
      <x:c r="M5700" t="n">
        <x:v>2016</x:v>
      </x:c>
      <x:c r="N5700" s="20" t="n">
        <x:v>42491</x:v>
      </x:c>
    </x:row>
    <x:row r="5701" ht="18" customHeight="1">
      <x:c r="A5701" t="str">
        <x:v>CA-2017-126123</x:v>
      </x:c>
      <x:c r="B5701" s="18" t="n">
        <x:v>43022</x:v>
      </x:c>
      <x:c r="C5701" t="str">
        <x:v>AG-10765</x:v>
      </x:c>
      <x:c r="D5701" t="str">
        <x:v>Anthony Garverick</x:v>
      </x:c>
      <x:c r="E5701" t="str">
        <x:v>Home Office</x:v>
      </x:c>
      <x:c r="F5701" t="str">
        <x:v>Central</x:v>
      </x:c>
      <x:c r="G5701" t="str">
        <x:v>Office Supplies</x:v>
      </x:c>
      <x:c r="H5701" t="str">
        <x:v>Binders</x:v>
      </x:c>
      <x:c r="I5701" s="22" t="n">
        <x:v>27.395999999999997</x:v>
      </x:c>
      <x:c r="J5701" s="24" t="n">
        <x:v>9</x:v>
      </x:c>
      <x:c r="K5701" s="26" t="n">
        <x:v>0.8</x:v>
      </x:c>
      <x:c r="L5701" s="22" t="n">
        <x:v>-42.46380000000002</x:v>
      </x:c>
      <x:c r="M5701" t="n">
        <x:v>2017</x:v>
      </x:c>
      <x:c r="N5701" s="20" t="n">
        <x:v>43009</x:v>
      </x:c>
    </x:row>
    <x:row r="5702" ht="18" customHeight="1">
      <x:c r="A5702" t="str">
        <x:v>CA-2017-126123</x:v>
      </x:c>
      <x:c r="B5702" s="18" t="n">
        <x:v>43022</x:v>
      </x:c>
      <x:c r="C5702" t="str">
        <x:v>AG-10765</x:v>
      </x:c>
      <x:c r="D5702" t="str">
        <x:v>Anthony Garverick</x:v>
      </x:c>
      <x:c r="E5702" t="str">
        <x:v>Home Office</x:v>
      </x:c>
      <x:c r="F5702" t="str">
        <x:v>Central</x:v>
      </x:c>
      <x:c r="G5702" t="str">
        <x:v>Office Supplies</x:v>
      </x:c>
      <x:c r="H5702" t="str">
        <x:v>Binders</x:v>
      </x:c>
      <x:c r="I5702" s="22" t="n">
        <x:v>13.455999999999998</x:v>
      </x:c>
      <x:c r="J5702" s="24" t="n">
        <x:v>1</x:v>
      </x:c>
      <x:c r="K5702" s="26" t="n">
        <x:v>0.8</x:v>
      </x:c>
      <x:c r="L5702" s="22" t="n">
        <x:v>-23.54800000000001</x:v>
      </x:c>
      <x:c r="M5702" t="n">
        <x:v>2017</x:v>
      </x:c>
      <x:c r="N5702" s="20" t="n">
        <x:v>43009</x:v>
      </x:c>
    </x:row>
    <x:row r="5703" ht="18" customHeight="1">
      <x:c r="A5703" t="str">
        <x:v>CA-2016-143441</x:v>
      </x:c>
      <x:c r="B5703" s="18" t="n">
        <x:v>42679</x:v>
      </x:c>
      <x:c r="C5703" t="str">
        <x:v>EB-14170</x:v>
      </x:c>
      <x:c r="D5703" t="str">
        <x:v>Evan Bailliet</x:v>
      </x:c>
      <x:c r="E5703" t="str">
        <x:v>Consumer</x:v>
      </x:c>
      <x:c r="F5703" t="str">
        <x:v>Central</x:v>
      </x:c>
      <x:c r="G5703" t="str">
        <x:v>Office Supplies</x:v>
      </x:c>
      <x:c r="H5703" t="str">
        <x:v>Labels</x:v>
      </x:c>
      <x:c r="I5703" s="22" t="n">
        <x:v>11.840000000000002</x:v>
      </x:c>
      <x:c r="J5703" s="24" t="n">
        <x:v>1</x:v>
      </x:c>
      <x:c r="K5703" s="26" t="n">
        <x:v>0.2</x:v>
      </x:c>
      <x:c r="L5703" s="22" t="n">
        <x:v>4.4399999999999995</x:v>
      </x:c>
      <x:c r="M5703" t="n">
        <x:v>2016</x:v>
      </x:c>
      <x:c r="N5703" s="20" t="n">
        <x:v>42675</x:v>
      </x:c>
    </x:row>
    <x:row r="5704" ht="18" customHeight="1">
      <x:c r="A5704" t="str">
        <x:v>CA-2017-148320</x:v>
      </x:c>
      <x:c r="B5704" s="18" t="n">
        <x:v>43042</x:v>
      </x:c>
      <x:c r="C5704" t="str">
        <x:v>PG-18895</x:v>
      </x:c>
      <x:c r="D5704" t="str">
        <x:v>Paul Gonzalez</x:v>
      </x:c>
      <x:c r="E5704" t="str">
        <x:v>Consumer</x:v>
      </x:c>
      <x:c r="F5704" t="str">
        <x:v>West</x:v>
      </x:c>
      <x:c r="G5704" t="str">
        <x:v>Office Supplies</x:v>
      </x:c>
      <x:c r="H5704" t="str">
        <x:v>Paper</x:v>
      </x:c>
      <x:c r="I5704" s="22" t="n">
        <x:v>35.88</x:v>
      </x:c>
      <x:c r="J5704" s="24" t="n">
        <x:v>6</x:v>
      </x:c>
      <x:c r="K5704" s="26" t="n">
        <x:v>0</x:v>
      </x:c>
      <x:c r="L5704" s="22" t="n">
        <x:v>17.581200000000003</x:v>
      </x:c>
      <x:c r="M5704" t="n">
        <x:v>2017</x:v>
      </x:c>
      <x:c r="N5704" s="20" t="n">
        <x:v>43040</x:v>
      </x:c>
    </x:row>
    <x:row r="5705" ht="18" customHeight="1">
      <x:c r="A5705" t="str">
        <x:v>CA-2016-125661</x:v>
      </x:c>
      <x:c r="B5705" s="18" t="n">
        <x:v>42698</x:v>
      </x:c>
      <x:c r="C5705" t="str">
        <x:v>CA-12055</x:v>
      </x:c>
      <x:c r="D5705" t="str">
        <x:v>Cathy Armstrong</x:v>
      </x:c>
      <x:c r="E5705" t="str">
        <x:v>Home Office</x:v>
      </x:c>
      <x:c r="F5705" t="str">
        <x:v>East</x:v>
      </x:c>
      <x:c r="G5705" t="str">
        <x:v>Office Supplies</x:v>
      </x:c>
      <x:c r="H5705" t="str">
        <x:v>Envelopes</x:v>
      </x:c>
      <x:c r="I5705" s="22" t="n">
        <x:v>40.752</x:v>
      </x:c>
      <x:c r="J5705" s="24" t="n">
        <x:v>3</x:v>
      </x:c>
      <x:c r="K5705" s="26" t="n">
        <x:v>0.2</x:v>
      </x:c>
      <x:c r="L5705" s="22" t="n">
        <x:v>15.281999999999998</x:v>
      </x:c>
      <x:c r="M5705" t="n">
        <x:v>2016</x:v>
      </x:c>
      <x:c r="N5705" s="20" t="n">
        <x:v>42675</x:v>
      </x:c>
    </x:row>
    <x:row r="5706" ht="18" customHeight="1">
      <x:c r="A5706" t="str">
        <x:v>CA-2016-125661</x:v>
      </x:c>
      <x:c r="B5706" s="18" t="n">
        <x:v>42698</x:v>
      </x:c>
      <x:c r="C5706" t="str">
        <x:v>CA-12055</x:v>
      </x:c>
      <x:c r="D5706" t="str">
        <x:v>Cathy Armstrong</x:v>
      </x:c>
      <x:c r="E5706" t="str">
        <x:v>Home Office</x:v>
      </x:c>
      <x:c r="F5706" t="str">
        <x:v>East</x:v>
      </x:c>
      <x:c r="G5706" t="str">
        <x:v>Technology</x:v>
      </x:c>
      <x:c r="H5706" t="str">
        <x:v>Accessories</x:v>
      </x:c>
      <x:c r="I5706" s="22" t="n">
        <x:v>139.96000000000004</x:v>
      </x:c>
      <x:c r="J5706" s="24" t="n">
        <x:v>5</x:v>
      </x:c>
      <x:c r="K5706" s="26" t="n">
        <x:v>0.2</x:v>
      </x:c>
      <x:c r="L5706" s="22" t="n">
        <x:v>-22.743500000000004</x:v>
      </x:c>
      <x:c r="M5706" t="n">
        <x:v>2016</x:v>
      </x:c>
      <x:c r="N5706" s="20" t="n">
        <x:v>42675</x:v>
      </x:c>
    </x:row>
    <x:row r="5707" ht="18" customHeight="1">
      <x:c r="A5707" t="str">
        <x:v>US-2014-123519</x:v>
      </x:c>
      <x:c r="B5707" s="18" t="n">
        <x:v>41987</x:v>
      </x:c>
      <x:c r="C5707" t="str">
        <x:v>SS-20875</x:v>
      </x:c>
      <x:c r="D5707" t="str">
        <x:v>Sung Shariari</x:v>
      </x:c>
      <x:c r="E5707" t="str">
        <x:v>Consumer</x:v>
      </x:c>
      <x:c r="F5707" t="str">
        <x:v>East</x:v>
      </x:c>
      <x:c r="G5707" t="str">
        <x:v>Office Supplies</x:v>
      </x:c>
      <x:c r="H5707" t="str">
        <x:v>Art</x:v>
      </x:c>
      <x:c r="I5707" s="22" t="n">
        <x:v>2.624</x:v>
      </x:c>
      <x:c r="J5707" s="24" t="n">
        <x:v>1</x:v>
      </x:c>
      <x:c r="K5707" s="26" t="n">
        <x:v>0.2</x:v>
      </x:c>
      <x:c r="L5707" s="22" t="n">
        <x:v>0.2951999999999996</x:v>
      </x:c>
      <x:c r="M5707" t="n">
        <x:v>2014</x:v>
      </x:c>
      <x:c r="N5707" s="20" t="n">
        <x:v>41974</x:v>
      </x:c>
    </x:row>
    <x:row r="5708" ht="18" customHeight="1">
      <x:c r="A5708" t="str">
        <x:v>US-2014-123519</x:v>
      </x:c>
      <x:c r="B5708" s="18" t="n">
        <x:v>41987</x:v>
      </x:c>
      <x:c r="C5708" t="str">
        <x:v>SS-20875</x:v>
      </x:c>
      <x:c r="D5708" t="str">
        <x:v>Sung Shariari</x:v>
      </x:c>
      <x:c r="E5708" t="str">
        <x:v>Consumer</x:v>
      </x:c>
      <x:c r="F5708" t="str">
        <x:v>East</x:v>
      </x:c>
      <x:c r="G5708" t="str">
        <x:v>Furniture</x:v>
      </x:c>
      <x:c r="H5708" t="str">
        <x:v>Tables</x:v>
      </x:c>
      <x:c r="I5708" s="22" t="n">
        <x:v>136.53</x:v>
      </x:c>
      <x:c r="J5708" s="24" t="n">
        <x:v>1</x:v>
      </x:c>
      <x:c r="K5708" s="26" t="n">
        <x:v>0.4</x:v>
      </x:c>
      <x:c r="L5708" s="22" t="n">
        <x:v>-52.33650000000003</x:v>
      </x:c>
      <x:c r="M5708" t="n">
        <x:v>2014</x:v>
      </x:c>
      <x:c r="N5708" s="20" t="n">
        <x:v>41974</x:v>
      </x:c>
    </x:row>
    <x:row r="5709" ht="18" customHeight="1">
      <x:c r="A5709" t="str">
        <x:v>US-2014-123519</x:v>
      </x:c>
      <x:c r="B5709" s="18" t="n">
        <x:v>41987</x:v>
      </x:c>
      <x:c r="C5709" t="str">
        <x:v>SS-20875</x:v>
      </x:c>
      <x:c r="D5709" t="str">
        <x:v>Sung Shariari</x:v>
      </x:c>
      <x:c r="E5709" t="str">
        <x:v>Consumer</x:v>
      </x:c>
      <x:c r="F5709" t="str">
        <x:v>East</x:v>
      </x:c>
      <x:c r="G5709" t="str">
        <x:v>Technology</x:v>
      </x:c>
      <x:c r="H5709" t="str">
        <x:v>Accessories</x:v>
      </x:c>
      <x:c r="I5709" s="22" t="n">
        <x:v>263.96</x:v>
      </x:c>
      <x:c r="J5709" s="24" t="n">
        <x:v>1</x:v>
      </x:c>
      <x:c r="K5709" s="26" t="n">
        <x:v>0.2</x:v>
      </x:c>
      <x:c r="L5709" s="22" t="n">
        <x:v>42.893499999999975</x:v>
      </x:c>
      <x:c r="M5709" t="n">
        <x:v>2014</x:v>
      </x:c>
      <x:c r="N5709" s="20" t="n">
        <x:v>41974</x:v>
      </x:c>
    </x:row>
    <x:row r="5710" ht="18" customHeight="1">
      <x:c r="A5710" t="str">
        <x:v>CA-2014-155593</x:v>
      </x:c>
      <x:c r="B5710" s="18" t="n">
        <x:v>41946</x:v>
      </x:c>
      <x:c r="C5710" t="str">
        <x:v>RP-19390</x:v>
      </x:c>
      <x:c r="D5710" t="str">
        <x:v>Resi Pölking</x:v>
      </x:c>
      <x:c r="E5710" t="str">
        <x:v>Consumer</x:v>
      </x:c>
      <x:c r="F5710" t="str">
        <x:v>East</x:v>
      </x:c>
      <x:c r="G5710" t="str">
        <x:v>Office Supplies</x:v>
      </x:c>
      <x:c r="H5710" t="str">
        <x:v>Supplies</x:v>
      </x:c>
      <x:c r="I5710" s="22" t="n">
        <x:v>11.64</x:v>
      </x:c>
      <x:c r="J5710" s="24" t="n">
        <x:v>3</x:v>
      </x:c>
      <x:c r="K5710" s="26" t="n">
        <x:v>0</x:v>
      </x:c>
      <x:c r="L5710" s="22" t="n">
        <x:v>3.3755999999999986</x:v>
      </x:c>
      <x:c r="M5710" t="n">
        <x:v>2014</x:v>
      </x:c>
      <x:c r="N5710" s="20" t="n">
        <x:v>41944</x:v>
      </x:c>
    </x:row>
    <x:row r="5711" ht="18" customHeight="1">
      <x:c r="A5711" t="str">
        <x:v>CA-2017-136000</x:v>
      </x:c>
      <x:c r="B5711" s="18" t="n">
        <x:v>43000</x:v>
      </x:c>
      <x:c r="C5711" t="str">
        <x:v>SC-20440</x:v>
      </x:c>
      <x:c r="D5711" t="str">
        <x:v>Shaun Chance</x:v>
      </x:c>
      <x:c r="E5711" t="str">
        <x:v>Corporate</x:v>
      </x:c>
      <x:c r="F5711" t="str">
        <x:v>East</x:v>
      </x:c>
      <x:c r="G5711" t="str">
        <x:v>Office Supplies</x:v>
      </x:c>
      <x:c r="H5711" t="str">
        <x:v>Binders</x:v>
      </x:c>
      <x:c r="I5711" s="22" t="n">
        <x:v>40.176</x:v>
      </x:c>
      <x:c r="J5711" s="24" t="n">
        <x:v>3</x:v>
      </x:c>
      <x:c r="K5711" s="26" t="n">
        <x:v>0.2</x:v>
      </x:c>
      <x:c r="L5711" s="22" t="n">
        <x:v>14.563799999999997</x:v>
      </x:c>
      <x:c r="M5711" t="n">
        <x:v>2017</x:v>
      </x:c>
      <x:c r="N5711" s="20" t="n">
        <x:v>42979</x:v>
      </x:c>
    </x:row>
    <x:row r="5712" ht="18" customHeight="1">
      <x:c r="A5712" t="str">
        <x:v>US-2015-160857</x:v>
      </x:c>
      <x:c r="B5712" s="18" t="n">
        <x:v>42132</x:v>
      </x:c>
      <x:c r="C5712" t="str">
        <x:v>NW-18400</x:v>
      </x:c>
      <x:c r="D5712" t="str">
        <x:v>Natalie Webber</x:v>
      </x:c>
      <x:c r="E5712" t="str">
        <x:v>Consumer</x:v>
      </x:c>
      <x:c r="F5712" t="str">
        <x:v>East</x:v>
      </x:c>
      <x:c r="G5712" t="str">
        <x:v>Furniture</x:v>
      </x:c>
      <x:c r="H5712" t="str">
        <x:v>Furnishings</x:v>
      </x:c>
      <x:c r="I5712" s="22" t="n">
        <x:v>79.44</x:v>
      </x:c>
      <x:c r="J5712" s="24" t="n">
        <x:v>3</x:v>
      </x:c>
      <x:c r="K5712" s="26" t="n">
        <x:v>0</x:v>
      </x:c>
      <x:c r="L5712" s="22" t="n">
        <x:v>30.1872</x:v>
      </x:c>
      <x:c r="M5712" t="n">
        <x:v>2015</x:v>
      </x:c>
      <x:c r="N5712" s="20" t="n">
        <x:v>42125</x:v>
      </x:c>
    </x:row>
    <x:row r="5713" ht="18" customHeight="1">
      <x:c r="A5713" t="str">
        <x:v>US-2015-160857</x:v>
      </x:c>
      <x:c r="B5713" s="18" t="n">
        <x:v>42132</x:v>
      </x:c>
      <x:c r="C5713" t="str">
        <x:v>NW-18400</x:v>
      </x:c>
      <x:c r="D5713" t="str">
        <x:v>Natalie Webber</x:v>
      </x:c>
      <x:c r="E5713" t="str">
        <x:v>Consumer</x:v>
      </x:c>
      <x:c r="F5713" t="str">
        <x:v>East</x:v>
      </x:c>
      <x:c r="G5713" t="str">
        <x:v>Office Supplies</x:v>
      </x:c>
      <x:c r="H5713" t="str">
        <x:v>Supplies</x:v>
      </x:c>
      <x:c r="I5713" s="22" t="n">
        <x:v>357.93</x:v>
      </x:c>
      <x:c r="J5713" s="24" t="n">
        <x:v>3</x:v>
      </x:c>
      <x:c r="K5713" s="26" t="n">
        <x:v>0</x:v>
      </x:c>
      <x:c r="L5713" s="22" t="n">
        <x:v>7.158600000000007</x:v>
      </x:c>
      <x:c r="M5713" t="n">
        <x:v>2015</x:v>
      </x:c>
      <x:c r="N5713" s="20" t="n">
        <x:v>42125</x:v>
      </x:c>
    </x:row>
    <x:row r="5714" ht="18" customHeight="1">
      <x:c r="A5714" t="str">
        <x:v>US-2015-160857</x:v>
      </x:c>
      <x:c r="B5714" s="18" t="n">
        <x:v>42132</x:v>
      </x:c>
      <x:c r="C5714" t="str">
        <x:v>NW-18400</x:v>
      </x:c>
      <x:c r="D5714" t="str">
        <x:v>Natalie Webber</x:v>
      </x:c>
      <x:c r="E5714" t="str">
        <x:v>Consumer</x:v>
      </x:c>
      <x:c r="F5714" t="str">
        <x:v>East</x:v>
      </x:c>
      <x:c r="G5714" t="str">
        <x:v>Furniture</x:v>
      </x:c>
      <x:c r="H5714" t="str">
        <x:v>Chairs</x:v>
      </x:c>
      <x:c r="I5714" s="22" t="n">
        <x:v>127.76400000000001</x:v>
      </x:c>
      <x:c r="J5714" s="24" t="n">
        <x:v>2</x:v>
      </x:c>
      <x:c r="K5714" s="26" t="n">
        <x:v>0.1</x:v>
      </x:c>
      <x:c r="L5714" s="22" t="n">
        <x:v>21.294000000000008</x:v>
      </x:c>
      <x:c r="M5714" t="n">
        <x:v>2015</x:v>
      </x:c>
      <x:c r="N5714" s="20" t="n">
        <x:v>42125</x:v>
      </x:c>
    </x:row>
    <x:row r="5715" ht="18" customHeight="1">
      <x:c r="A5715" t="str">
        <x:v>US-2015-160857</x:v>
      </x:c>
      <x:c r="B5715" s="18" t="n">
        <x:v>42132</x:v>
      </x:c>
      <x:c r="C5715" t="str">
        <x:v>NW-18400</x:v>
      </x:c>
      <x:c r="D5715" t="str">
        <x:v>Natalie Webber</x:v>
      </x:c>
      <x:c r="E5715" t="str">
        <x:v>Consumer</x:v>
      </x:c>
      <x:c r="F5715" t="str">
        <x:v>East</x:v>
      </x:c>
      <x:c r="G5715" t="str">
        <x:v>Technology</x:v>
      </x:c>
      <x:c r="H5715" t="str">
        <x:v>Copiers</x:v>
      </x:c>
      <x:c r="I5715" s="22" t="n">
        <x:v>2799.944</x:v>
      </x:c>
      <x:c r="J5715" s="24" t="n">
        <x:v>7</x:v>
      </x:c>
      <x:c r="K5715" s="26" t="n">
        <x:v>0.2</x:v>
      </x:c>
      <x:c r="L5715" s="22" t="n">
        <x:v>1014.9797</x:v>
      </x:c>
      <x:c r="M5715" t="n">
        <x:v>2015</x:v>
      </x:c>
      <x:c r="N5715" s="20" t="n">
        <x:v>42125</x:v>
      </x:c>
    </x:row>
    <x:row r="5716" ht="18" customHeight="1">
      <x:c r="A5716" t="str">
        <x:v>US-2015-160857</x:v>
      </x:c>
      <x:c r="B5716" s="18" t="n">
        <x:v>42132</x:v>
      </x:c>
      <x:c r="C5716" t="str">
        <x:v>NW-18400</x:v>
      </x:c>
      <x:c r="D5716" t="str">
        <x:v>Natalie Webber</x:v>
      </x:c>
      <x:c r="E5716" t="str">
        <x:v>Consumer</x:v>
      </x:c>
      <x:c r="F5716" t="str">
        <x:v>East</x:v>
      </x:c>
      <x:c r="G5716" t="str">
        <x:v>Office Supplies</x:v>
      </x:c>
      <x:c r="H5716" t="str">
        <x:v>Paper</x:v>
      </x:c>
      <x:c r="I5716" s="22" t="n">
        <x:v>19.44</x:v>
      </x:c>
      <x:c r="J5716" s="24" t="n">
        <x:v>3</x:v>
      </x:c>
      <x:c r="K5716" s="26" t="n">
        <x:v>0</x:v>
      </x:c>
      <x:c r="L5716" s="22" t="n">
        <x:v>9.3312</x:v>
      </x:c>
      <x:c r="M5716" t="n">
        <x:v>2015</x:v>
      </x:c>
      <x:c r="N5716" s="20" t="n">
        <x:v>42125</x:v>
      </x:c>
    </x:row>
    <x:row r="5717" ht="18" customHeight="1">
      <x:c r="A5717" t="str">
        <x:v>CA-2017-115805</x:v>
      </x:c>
      <x:c r="B5717" s="18" t="n">
        <x:v>42947</x:v>
      </x:c>
      <x:c r="C5717" t="str">
        <x:v>KW-16435</x:v>
      </x:c>
      <x:c r="D5717" t="str">
        <x:v>Katrina Willman</x:v>
      </x:c>
      <x:c r="E5717" t="str">
        <x:v>Consumer</x:v>
      </x:c>
      <x:c r="F5717" t="str">
        <x:v>Central</x:v>
      </x:c>
      <x:c r="G5717" t="str">
        <x:v>Technology</x:v>
      </x:c>
      <x:c r="H5717" t="str">
        <x:v>Phones</x:v>
      </x:c>
      <x:c r="I5717" s="22" t="n">
        <x:v>36.792</x:v>
      </x:c>
      <x:c r="J5717" s="24" t="n">
        <x:v>1</x:v>
      </x:c>
      <x:c r="K5717" s="26" t="n">
        <x:v>0.2</x:v>
      </x:c>
      <x:c r="L5717" s="22" t="n">
        <x:v>4.139099999999999</x:v>
      </x:c>
      <x:c r="M5717" t="n">
        <x:v>2017</x:v>
      </x:c>
      <x:c r="N5717" s="20" t="n">
        <x:v>42917</x:v>
      </x:c>
    </x:row>
    <x:row r="5718" ht="18" customHeight="1">
      <x:c r="A5718" t="str">
        <x:v>US-2014-143707</x:v>
      </x:c>
      <x:c r="B5718" s="18" t="n">
        <x:v>41699</x:v>
      </x:c>
      <x:c r="C5718" t="str">
        <x:v>HR-14770</x:v>
      </x:c>
      <x:c r="D5718" t="str">
        <x:v>Hallie Redmond</x:v>
      </x:c>
      <x:c r="E5718" t="str">
        <x:v>Home Office</x:v>
      </x:c>
      <x:c r="F5718" t="str">
        <x:v>East</x:v>
      </x:c>
      <x:c r="G5718" t="str">
        <x:v>Technology</x:v>
      </x:c>
      <x:c r="H5718" t="str">
        <x:v>Phones</x:v>
      </x:c>
      <x:c r="I5718" s="22" t="n">
        <x:v>5.9399999999999995</x:v>
      </x:c>
      <x:c r="J5718" s="24" t="n">
        <x:v>3</x:v>
      </x:c>
      <x:c r="K5718" s="26" t="n">
        <x:v>0</x:v>
      </x:c>
      <x:c r="L5718" s="22" t="n">
        <x:v>1.6038</x:v>
      </x:c>
      <x:c r="M5718" t="n">
        <x:v>2014</x:v>
      </x:c>
      <x:c r="N5718" s="20" t="n">
        <x:v>41699</x:v>
      </x:c>
    </x:row>
    <x:row r="5719" ht="18" customHeight="1">
      <x:c r="A5719" t="str">
        <x:v>CA-2017-116939</x:v>
      </x:c>
      <x:c r="B5719" s="18" t="n">
        <x:v>43003</x:v>
      </x:c>
      <x:c r="C5719" t="str">
        <x:v>AG-10900</x:v>
      </x:c>
      <x:c r="D5719" t="str">
        <x:v>Arthur Gainer</x:v>
      </x:c>
      <x:c r="E5719" t="str">
        <x:v>Consumer</x:v>
      </x:c>
      <x:c r="F5719" t="str">
        <x:v>South</x:v>
      </x:c>
      <x:c r="G5719" t="str">
        <x:v>Office Supplies</x:v>
      </x:c>
      <x:c r="H5719" t="str">
        <x:v>Storage</x:v>
      </x:c>
      <x:c r="I5719" s="22" t="n">
        <x:v>177.54999999999998</x:v>
      </x:c>
      <x:c r="J5719" s="24" t="n">
        <x:v>5</x:v>
      </x:c>
      <x:c r="K5719" s="26" t="n">
        <x:v>0</x:v>
      </x:c>
      <x:c r="L5719" s="22" t="n">
        <x:v>47.938500000000005</x:v>
      </x:c>
      <x:c r="M5719" t="n">
        <x:v>2017</x:v>
      </x:c>
      <x:c r="N5719" s="20" t="n">
        <x:v>42979</x:v>
      </x:c>
    </x:row>
    <x:row r="5720" ht="18" customHeight="1">
      <x:c r="A5720" t="str">
        <x:v>CA-2015-124107</x:v>
      </x:c>
      <x:c r="B5720" s="18" t="n">
        <x:v>42286</x:v>
      </x:c>
      <x:c r="C5720" t="str">
        <x:v>BM-11650</x:v>
      </x:c>
      <x:c r="D5720" t="str">
        <x:v>Brian Moss</x:v>
      </x:c>
      <x:c r="E5720" t="str">
        <x:v>Corporate</x:v>
      </x:c>
      <x:c r="F5720" t="str">
        <x:v>Central</x:v>
      </x:c>
      <x:c r="G5720" t="str">
        <x:v>Technology</x:v>
      </x:c>
      <x:c r="H5720" t="str">
        <x:v>Accessories</x:v>
      </x:c>
      <x:c r="I5720" s="22" t="n">
        <x:v>619.9499999999999</x:v>
      </x:c>
      <x:c r="J5720" s="24" t="n">
        <x:v>5</x:v>
      </x:c>
      <x:c r="K5720" s="26" t="n">
        <x:v>0</x:v>
      </x:c>
      <x:c r="L5720" s="22" t="n">
        <x:v>111.59099999999995</x:v>
      </x:c>
      <x:c r="M5720" t="n">
        <x:v>2015</x:v>
      </x:c>
      <x:c r="N5720" s="20" t="n">
        <x:v>42278</x:v>
      </x:c>
    </x:row>
    <x:row r="5721" ht="18" customHeight="1">
      <x:c r="A5721" t="str">
        <x:v>CA-2015-124107</x:v>
      </x:c>
      <x:c r="B5721" s="18" t="n">
        <x:v>42286</x:v>
      </x:c>
      <x:c r="C5721" t="str">
        <x:v>BM-11650</x:v>
      </x:c>
      <x:c r="D5721" t="str">
        <x:v>Brian Moss</x:v>
      </x:c>
      <x:c r="E5721" t="str">
        <x:v>Corporate</x:v>
      </x:c>
      <x:c r="F5721" t="str">
        <x:v>Central</x:v>
      </x:c>
      <x:c r="G5721" t="str">
        <x:v>Technology</x:v>
      </x:c>
      <x:c r="H5721" t="str">
        <x:v>Phones</x:v>
      </x:c>
      <x:c r="I5721" s="22" t="n">
        <x:v>29.160000000000004</x:v>
      </x:c>
      <x:c r="J5721" s="24" t="n">
        <x:v>3</x:v>
      </x:c>
      <x:c r="K5721" s="26" t="n">
        <x:v>0</x:v>
      </x:c>
      <x:c r="L5721" s="22" t="n">
        <x:v>8.456399999999999</x:v>
      </x:c>
      <x:c r="M5721" t="n">
        <x:v>2015</x:v>
      </x:c>
      <x:c r="N5721" s="20" t="n">
        <x:v>42278</x:v>
      </x:c>
    </x:row>
    <x:row r="5722" ht="18" customHeight="1">
      <x:c r="A5722" t="str">
        <x:v>CA-2015-124107</x:v>
      </x:c>
      <x:c r="B5722" s="18" t="n">
        <x:v>42286</x:v>
      </x:c>
      <x:c r="C5722" t="str">
        <x:v>BM-11650</x:v>
      </x:c>
      <x:c r="D5722" t="str">
        <x:v>Brian Moss</x:v>
      </x:c>
      <x:c r="E5722" t="str">
        <x:v>Corporate</x:v>
      </x:c>
      <x:c r="F5722" t="str">
        <x:v>Central</x:v>
      </x:c>
      <x:c r="G5722" t="str">
        <x:v>Office Supplies</x:v>
      </x:c>
      <x:c r="H5722" t="str">
        <x:v>Envelopes</x:v>
      </x:c>
      <x:c r="I5722" s="22" t="n">
        <x:v>57.959999999999994</x:v>
      </x:c>
      <x:c r="J5722" s="24" t="n">
        <x:v>7</x:v>
      </x:c>
      <x:c r="K5722" s="26" t="n">
        <x:v>0</x:v>
      </x:c>
      <x:c r="L5722" s="22" t="n">
        <x:v>27.241199999999996</x:v>
      </x:c>
      <x:c r="M5722" t="n">
        <x:v>2015</x:v>
      </x:c>
      <x:c r="N5722" s="20" t="n">
        <x:v>42278</x:v>
      </x:c>
    </x:row>
    <x:row r="5723" ht="18" customHeight="1">
      <x:c r="A5723" t="str">
        <x:v>CA-2015-124107</x:v>
      </x:c>
      <x:c r="B5723" s="18" t="n">
        <x:v>42286</x:v>
      </x:c>
      <x:c r="C5723" t="str">
        <x:v>BM-11650</x:v>
      </x:c>
      <x:c r="D5723" t="str">
        <x:v>Brian Moss</x:v>
      </x:c>
      <x:c r="E5723" t="str">
        <x:v>Corporate</x:v>
      </x:c>
      <x:c r="F5723" t="str">
        <x:v>Central</x:v>
      </x:c>
      <x:c r="G5723" t="str">
        <x:v>Office Supplies</x:v>
      </x:c>
      <x:c r="H5723" t="str">
        <x:v>Appliances</x:v>
      </x:c>
      <x:c r="I5723" s="22" t="n">
        <x:v>29.403</x:v>
      </x:c>
      <x:c r="J5723" s="24" t="n">
        <x:v>3</x:v>
      </x:c>
      <x:c r="K5723" s="26" t="n">
        <x:v>0.1</x:v>
      </x:c>
      <x:c r="L5723" s="22" t="n">
        <x:v>5.227200000000001</x:v>
      </x:c>
      <x:c r="M5723" t="n">
        <x:v>2015</x:v>
      </x:c>
      <x:c r="N5723" s="20" t="n">
        <x:v>42278</x:v>
      </x:c>
    </x:row>
    <x:row r="5724" ht="18" customHeight="1">
      <x:c r="A5724" t="str">
        <x:v>CA-2017-126550</x:v>
      </x:c>
      <x:c r="B5724" s="18" t="n">
        <x:v>42823</x:v>
      </x:c>
      <x:c r="C5724" t="str">
        <x:v>RD-19720</x:v>
      </x:c>
      <x:c r="D5724" t="str">
        <x:v>Roger Demir</x:v>
      </x:c>
      <x:c r="E5724" t="str">
        <x:v>Consumer</x:v>
      </x:c>
      <x:c r="F5724" t="str">
        <x:v>Central</x:v>
      </x:c>
      <x:c r="G5724" t="str">
        <x:v>Office Supplies</x:v>
      </x:c>
      <x:c r="H5724" t="str">
        <x:v>Storage</x:v>
      </x:c>
      <x:c r="I5724" s="22" t="n">
        <x:v>81.4</x:v>
      </x:c>
      <x:c r="J5724" s="24" t="n">
        <x:v>5</x:v>
      </x:c>
      <x:c r="K5724" s="26" t="n">
        <x:v>0</x:v>
      </x:c>
      <x:c r="L5724" s="22" t="n">
        <x:v>21.164000000000005</x:v>
      </x:c>
      <x:c r="M5724" t="n">
        <x:v>2017</x:v>
      </x:c>
      <x:c r="N5724" s="20" t="n">
        <x:v>42795</x:v>
      </x:c>
    </x:row>
    <x:row r="5725" ht="18" customHeight="1">
      <x:c r="A5725" t="str">
        <x:v>CA-2015-138674</x:v>
      </x:c>
      <x:c r="B5725" s="18" t="n">
        <x:v>42322</x:v>
      </x:c>
      <x:c r="C5725" t="str">
        <x:v>KB-16585</x:v>
      </x:c>
      <x:c r="D5725" t="str">
        <x:v>Ken Black</x:v>
      </x:c>
      <x:c r="E5725" t="str">
        <x:v>Corporate</x:v>
      </x:c>
      <x:c r="F5725" t="str">
        <x:v>West</x:v>
      </x:c>
      <x:c r="G5725" t="str">
        <x:v>Office Supplies</x:v>
      </x:c>
      <x:c r="H5725" t="str">
        <x:v>Fasteners</x:v>
      </x:c>
      <x:c r="I5725" s="22" t="n">
        <x:v>8.72</x:v>
      </x:c>
      <x:c r="J5725" s="24" t="n">
        <x:v>5</x:v>
      </x:c>
      <x:c r="K5725" s="26" t="n">
        <x:v>0.2</x:v>
      </x:c>
      <x:c r="L5725" s="22" t="n">
        <x:v>2.289000000000001</x:v>
      </x:c>
      <x:c r="M5725" t="n">
        <x:v>2015</x:v>
      </x:c>
      <x:c r="N5725" s="20" t="n">
        <x:v>42309</x:v>
      </x:c>
    </x:row>
    <x:row r="5726" ht="18" customHeight="1">
      <x:c r="A5726" t="str">
        <x:v>CA-2015-138674</x:v>
      </x:c>
      <x:c r="B5726" s="18" t="n">
        <x:v>42322</x:v>
      </x:c>
      <x:c r="C5726" t="str">
        <x:v>KB-16585</x:v>
      </x:c>
      <x:c r="D5726" t="str">
        <x:v>Ken Black</x:v>
      </x:c>
      <x:c r="E5726" t="str">
        <x:v>Corporate</x:v>
      </x:c>
      <x:c r="F5726" t="str">
        <x:v>West</x:v>
      </x:c>
      <x:c r="G5726" t="str">
        <x:v>Technology</x:v>
      </x:c>
      <x:c r="H5726" t="str">
        <x:v>Accessories</x:v>
      </x:c>
      <x:c r="I5726" s="22" t="n">
        <x:v>91.17600000000002</x:v>
      </x:c>
      <x:c r="J5726" s="24" t="n">
        <x:v>3</x:v>
      </x:c>
      <x:c r="K5726" s="26" t="n">
        <x:v>0.2</x:v>
      </x:c>
      <x:c r="L5726" s="22" t="n">
        <x:v>4.558799999999994</x:v>
      </x:c>
      <x:c r="M5726" t="n">
        <x:v>2015</x:v>
      </x:c>
      <x:c r="N5726" s="20" t="n">
        <x:v>42309</x:v>
      </x:c>
    </x:row>
    <x:row r="5727" ht="18" customHeight="1">
      <x:c r="A5727" t="str">
        <x:v>CA-2015-138674</x:v>
      </x:c>
      <x:c r="B5727" s="18" t="n">
        <x:v>42322</x:v>
      </x:c>
      <x:c r="C5727" t="str">
        <x:v>KB-16585</x:v>
      </x:c>
      <x:c r="D5727" t="str">
        <x:v>Ken Black</x:v>
      </x:c>
      <x:c r="E5727" t="str">
        <x:v>Corporate</x:v>
      </x:c>
      <x:c r="F5727" t="str">
        <x:v>West</x:v>
      </x:c>
      <x:c r="G5727" t="str">
        <x:v>Technology</x:v>
      </x:c>
      <x:c r="H5727" t="str">
        <x:v>Accessories</x:v>
      </x:c>
      <x:c r="I5727" s="22" t="n">
        <x:v>159.96800000000002</x:v>
      </x:c>
      <x:c r="J5727" s="24" t="n">
        <x:v>4</x:v>
      </x:c>
      <x:c r="K5727" s="26" t="n">
        <x:v>0.2</x:v>
      </x:c>
      <x:c r="L5727" s="22" t="n">
        <x:v>29.993999999999986</x:v>
      </x:c>
      <x:c r="M5727" t="n">
        <x:v>2015</x:v>
      </x:c>
      <x:c r="N5727" s="20" t="n">
        <x:v>42309</x:v>
      </x:c>
    </x:row>
    <x:row r="5728" ht="18" customHeight="1">
      <x:c r="A5728" t="str">
        <x:v>CA-2016-165820</x:v>
      </x:c>
      <x:c r="B5728" s="18" t="n">
        <x:v>42639</x:v>
      </x:c>
      <x:c r="C5728" t="str">
        <x:v>DW-13585</x:v>
      </x:c>
      <x:c r="D5728" t="str">
        <x:v>Dorothy Wardle</x:v>
      </x:c>
      <x:c r="E5728" t="str">
        <x:v>Corporate</x:v>
      </x:c>
      <x:c r="F5728" t="str">
        <x:v>West</x:v>
      </x:c>
      <x:c r="G5728" t="str">
        <x:v>Office Supplies</x:v>
      </x:c>
      <x:c r="H5728" t="str">
        <x:v>Paper</x:v>
      </x:c>
      <x:c r="I5728" s="22" t="n">
        <x:v>12.96</x:v>
      </x:c>
      <x:c r="J5728" s="24" t="n">
        <x:v>2</x:v>
      </x:c>
      <x:c r="K5728" s="26" t="n">
        <x:v>0</x:v>
      </x:c>
      <x:c r="L5728" s="22" t="n">
        <x:v>6.2208000000000006</x:v>
      </x:c>
      <x:c r="M5728" t="n">
        <x:v>2016</x:v>
      </x:c>
      <x:c r="N5728" s="20" t="n">
        <x:v>42614</x:v>
      </x:c>
    </x:row>
    <x:row r="5729" ht="18" customHeight="1">
      <x:c r="A5729" t="str">
        <x:v>CA-2014-103191</x:v>
      </x:c>
      <x:c r="B5729" s="18" t="n">
        <x:v>41904</x:v>
      </x:c>
      <x:c r="C5729" t="str">
        <x:v>VG-21805</x:v>
      </x:c>
      <x:c r="D5729" t="str">
        <x:v>Vivek Grady</x:v>
      </x:c>
      <x:c r="E5729" t="str">
        <x:v>Corporate</x:v>
      </x:c>
      <x:c r="F5729" t="str">
        <x:v>Central</x:v>
      </x:c>
      <x:c r="G5729" t="str">
        <x:v>Office Supplies</x:v>
      </x:c>
      <x:c r="H5729" t="str">
        <x:v>Storage</x:v>
      </x:c>
      <x:c r="I5729" s="22" t="n">
        <x:v>331.536</x:v>
      </x:c>
      <x:c r="J5729" s="24" t="n">
        <x:v>3</x:v>
      </x:c>
      <x:c r="K5729" s="26" t="n">
        <x:v>0.2</x:v>
      </x:c>
      <x:c r="L5729" s="22" t="n">
        <x:v>-82.884</x:v>
      </x:c>
      <x:c r="M5729" t="n">
        <x:v>2014</x:v>
      </x:c>
      <x:c r="N5729" s="20" t="n">
        <x:v>41883</x:v>
      </x:c>
    </x:row>
    <x:row r="5730" ht="18" customHeight="1">
      <x:c r="A5730" t="str">
        <x:v>CA-2015-103933</x:v>
      </x:c>
      <x:c r="B5730" s="18" t="n">
        <x:v>42272</x:v>
      </x:c>
      <x:c r="C5730" t="str">
        <x:v>DR-12880</x:v>
      </x:c>
      <x:c r="D5730" t="str">
        <x:v>Dan Reichenbach</x:v>
      </x:c>
      <x:c r="E5730" t="str">
        <x:v>Corporate</x:v>
      </x:c>
      <x:c r="F5730" t="str">
        <x:v>East</x:v>
      </x:c>
      <x:c r="G5730" t="str">
        <x:v>Technology</x:v>
      </x:c>
      <x:c r="H5730" t="str">
        <x:v>Accessories</x:v>
      </x:c>
      <x:c r="I5730" s="22" t="n">
        <x:v>899.91</x:v>
      </x:c>
      <x:c r="J5730" s="24" t="n">
        <x:v>9</x:v>
      </x:c>
      <x:c r="K5730" s="26" t="n">
        <x:v>0</x:v>
      </x:c>
      <x:c r="L5730" s="22" t="n">
        <x:v>395.96040000000005</x:v>
      </x:c>
      <x:c r="M5730" t="n">
        <x:v>2015</x:v>
      </x:c>
      <x:c r="N5730" s="20" t="n">
        <x:v>42248</x:v>
      </x:c>
    </x:row>
    <x:row r="5731" ht="18" customHeight="1">
      <x:c r="A5731" t="str">
        <x:v>CA-2015-110548</x:v>
      </x:c>
      <x:c r="B5731" s="18" t="n">
        <x:v>42128</x:v>
      </x:c>
      <x:c r="C5731" t="str">
        <x:v>AH-10690</x:v>
      </x:c>
      <x:c r="D5731" t="str">
        <x:v>Anna Häberlin</x:v>
      </x:c>
      <x:c r="E5731" t="str">
        <x:v>Corporate</x:v>
      </x:c>
      <x:c r="F5731" t="str">
        <x:v>Central</x:v>
      </x:c>
      <x:c r="G5731" t="str">
        <x:v>Technology</x:v>
      </x:c>
      <x:c r="H5731" t="str">
        <x:v>Phones</x:v>
      </x:c>
      <x:c r="I5731" s="22" t="n">
        <x:v>946.344</x:v>
      </x:c>
      <x:c r="J5731" s="24" t="n">
        <x:v>7</x:v>
      </x:c>
      <x:c r="K5731" s="26" t="n">
        <x:v>0.2</x:v>
      </x:c>
      <x:c r="L5731" s="22" t="n">
        <x:v>118.29299999999989</x:v>
      </x:c>
      <x:c r="M5731" t="n">
        <x:v>2015</x:v>
      </x:c>
      <x:c r="N5731" s="20" t="n">
        <x:v>42125</x:v>
      </x:c>
    </x:row>
    <x:row r="5732" ht="18" customHeight="1">
      <x:c r="A5732" t="str">
        <x:v>CA-2017-117324</x:v>
      </x:c>
      <x:c r="B5732" s="18" t="n">
        <x:v>43077</x:v>
      </x:c>
      <x:c r="C5732" t="str">
        <x:v>JP-15520</x:v>
      </x:c>
      <x:c r="D5732" t="str">
        <x:v>Jeremy Pistek</x:v>
      </x:c>
      <x:c r="E5732" t="str">
        <x:v>Consumer</x:v>
      </x:c>
      <x:c r="F5732" t="str">
        <x:v>Central</x:v>
      </x:c>
      <x:c r="G5732" t="str">
        <x:v>Technology</x:v>
      </x:c>
      <x:c r="H5732" t="str">
        <x:v>Accessories</x:v>
      </x:c>
      <x:c r="I5732" s="22" t="n">
        <x:v>178.10999999999999</x:v>
      </x:c>
      <x:c r="J5732" s="24" t="n">
        <x:v>3</x:v>
      </x:c>
      <x:c r="K5732" s="26" t="n">
        <x:v>0</x:v>
      </x:c>
      <x:c r="L5732" s="22" t="n">
        <x:v>32.059799999999996</x:v>
      </x:c>
      <x:c r="M5732" t="n">
        <x:v>2017</x:v>
      </x:c>
      <x:c r="N5732" s="20" t="n">
        <x:v>43070</x:v>
      </x:c>
    </x:row>
    <x:row r="5733" ht="18" customHeight="1">
      <x:c r="A5733" t="str">
        <x:v>CA-2017-117324</x:v>
      </x:c>
      <x:c r="B5733" s="18" t="n">
        <x:v>43077</x:v>
      </x:c>
      <x:c r="C5733" t="str">
        <x:v>JP-15520</x:v>
      </x:c>
      <x:c r="D5733" t="str">
        <x:v>Jeremy Pistek</x:v>
      </x:c>
      <x:c r="E5733" t="str">
        <x:v>Consumer</x:v>
      </x:c>
      <x:c r="F5733" t="str">
        <x:v>Central</x:v>
      </x:c>
      <x:c r="G5733" t="str">
        <x:v>Office Supplies</x:v>
      </x:c>
      <x:c r="H5733" t="str">
        <x:v>Appliances</x:v>
      </x:c>
      <x:c r="I5733" s="22" t="n">
        <x:v>1089.75</x:v>
      </x:c>
      <x:c r="J5733" s="24" t="n">
        <x:v>3</x:v>
      </x:c>
      <x:c r="K5733" s="26" t="n">
        <x:v>0</x:v>
      </x:c>
      <x:c r="L5733" s="22" t="n">
        <x:v>305.1300000000001</x:v>
      </x:c>
      <x:c r="M5733" t="n">
        <x:v>2017</x:v>
      </x:c>
      <x:c r="N5733" s="20" t="n">
        <x:v>43070</x:v>
      </x:c>
    </x:row>
    <x:row r="5734" ht="18" customHeight="1">
      <x:c r="A5734" t="str">
        <x:v>CA-2017-117324</x:v>
      </x:c>
      <x:c r="B5734" s="18" t="n">
        <x:v>43077</x:v>
      </x:c>
      <x:c r="C5734" t="str">
        <x:v>JP-15520</x:v>
      </x:c>
      <x:c r="D5734" t="str">
        <x:v>Jeremy Pistek</x:v>
      </x:c>
      <x:c r="E5734" t="str">
        <x:v>Consumer</x:v>
      </x:c>
      <x:c r="F5734" t="str">
        <x:v>Central</x:v>
      </x:c>
      <x:c r="G5734" t="str">
        <x:v>Office Supplies</x:v>
      </x:c>
      <x:c r="H5734" t="str">
        <x:v>Labels</x:v>
      </x:c>
      <x:c r="I5734" s="22" t="n">
        <x:v>61.06</x:v>
      </x:c>
      <x:c r="J5734" s="24" t="n">
        <x:v>2</x:v>
      </x:c>
      <x:c r="K5734" s="26" t="n">
        <x:v>0</x:v>
      </x:c>
      <x:c r="L5734" s="22" t="n">
        <x:v>28.087600000000002</x:v>
      </x:c>
      <x:c r="M5734" t="n">
        <x:v>2017</x:v>
      </x:c>
      <x:c r="N5734" s="20" t="n">
        <x:v>43070</x:v>
      </x:c>
    </x:row>
    <x:row r="5735" ht="18" customHeight="1">
      <x:c r="A5735" t="str">
        <x:v>CA-2017-117324</x:v>
      </x:c>
      <x:c r="B5735" s="18" t="n">
        <x:v>43077</x:v>
      </x:c>
      <x:c r="C5735" t="str">
        <x:v>JP-15520</x:v>
      </x:c>
      <x:c r="D5735" t="str">
        <x:v>Jeremy Pistek</x:v>
      </x:c>
      <x:c r="E5735" t="str">
        <x:v>Consumer</x:v>
      </x:c>
      <x:c r="F5735" t="str">
        <x:v>Central</x:v>
      </x:c>
      <x:c r="G5735" t="str">
        <x:v>Furniture</x:v>
      </x:c>
      <x:c r="H5735" t="str">
        <x:v>Bookcases</x:v>
      </x:c>
      <x:c r="I5735" s="22" t="n">
        <x:v>459.92</x:v>
      </x:c>
      <x:c r="J5735" s="24" t="n">
        <x:v>4</x:v>
      </x:c>
      <x:c r="K5735" s="26" t="n">
        <x:v>0</x:v>
      </x:c>
      <x:c r="L5735" s="22" t="n">
        <x:v>41.392799999999966</x:v>
      </x:c>
      <x:c r="M5735" t="n">
        <x:v>2017</x:v>
      </x:c>
      <x:c r="N5735" s="20" t="n">
        <x:v>43070</x:v>
      </x:c>
    </x:row>
    <x:row r="5736" ht="18" customHeight="1">
      <x:c r="A5736" t="str">
        <x:v>CA-2017-117324</x:v>
      </x:c>
      <x:c r="B5736" s="18" t="n">
        <x:v>43077</x:v>
      </x:c>
      <x:c r="C5736" t="str">
        <x:v>JP-15520</x:v>
      </x:c>
      <x:c r="D5736" t="str">
        <x:v>Jeremy Pistek</x:v>
      </x:c>
      <x:c r="E5736" t="str">
        <x:v>Consumer</x:v>
      </x:c>
      <x:c r="F5736" t="str">
        <x:v>Central</x:v>
      </x:c>
      <x:c r="G5736" t="str">
        <x:v>Office Supplies</x:v>
      </x:c>
      <x:c r="H5736" t="str">
        <x:v>Paper</x:v>
      </x:c>
      <x:c r="I5736" s="22" t="n">
        <x:v>27.52</x:v>
      </x:c>
      <x:c r="J5736" s="24" t="n">
        <x:v>4</x:v>
      </x:c>
      <x:c r="K5736" s="26" t="n">
        <x:v>0</x:v>
      </x:c>
      <x:c r="L5736" s="22" t="n">
        <x:v>12.659199999999998</x:v>
      </x:c>
      <x:c r="M5736" t="n">
        <x:v>2017</x:v>
      </x:c>
      <x:c r="N5736" s="20" t="n">
        <x:v>43070</x:v>
      </x:c>
    </x:row>
    <x:row r="5737" ht="18" customHeight="1">
      <x:c r="A5737" t="str">
        <x:v>CA-2017-143574</x:v>
      </x:c>
      <x:c r="B5737" s="18" t="n">
        <x:v>42915</x:v>
      </x:c>
      <x:c r="C5737" t="str">
        <x:v>DR-12880</x:v>
      </x:c>
      <x:c r="D5737" t="str">
        <x:v>Dan Reichenbach</x:v>
      </x:c>
      <x:c r="E5737" t="str">
        <x:v>Corporate</x:v>
      </x:c>
      <x:c r="F5737" t="str">
        <x:v>East</x:v>
      </x:c>
      <x:c r="G5737" t="str">
        <x:v>Furniture</x:v>
      </x:c>
      <x:c r="H5737" t="str">
        <x:v>Bookcases</x:v>
      </x:c>
      <x:c r="I5737" s="22" t="n">
        <x:v>638.82</x:v>
      </x:c>
      <x:c r="J5737" s="24" t="n">
        <x:v>9</x:v>
      </x:c>
      <x:c r="K5737" s="26" t="n">
        <x:v>0</x:v>
      </x:c>
      <x:c r="L5737" s="22" t="n">
        <x:v>185.25779999999997</x:v>
      </x:c>
      <x:c r="M5737" t="n">
        <x:v>2017</x:v>
      </x:c>
      <x:c r="N5737" s="20" t="n">
        <x:v>42887</x:v>
      </x:c>
    </x:row>
    <x:row r="5738" ht="18" customHeight="1">
      <x:c r="A5738" t="str">
        <x:v>CA-2017-143574</x:v>
      </x:c>
      <x:c r="B5738" s="18" t="n">
        <x:v>42915</x:v>
      </x:c>
      <x:c r="C5738" t="str">
        <x:v>DR-12880</x:v>
      </x:c>
      <x:c r="D5738" t="str">
        <x:v>Dan Reichenbach</x:v>
      </x:c>
      <x:c r="E5738" t="str">
        <x:v>Corporate</x:v>
      </x:c>
      <x:c r="F5738" t="str">
        <x:v>East</x:v>
      </x:c>
      <x:c r="G5738" t="str">
        <x:v>Office Supplies</x:v>
      </x:c>
      <x:c r="H5738" t="str">
        <x:v>Supplies</x:v>
      </x:c>
      <x:c r="I5738" s="22" t="n">
        <x:v>30.69</x:v>
      </x:c>
      <x:c r="J5738" s="24" t="n">
        <x:v>3</x:v>
      </x:c>
      <x:c r="K5738" s="26" t="n">
        <x:v>0</x:v>
      </x:c>
      <x:c r="L5738" s="22" t="n">
        <x:v>7.979400000000002</x:v>
      </x:c>
      <x:c r="M5738" t="n">
        <x:v>2017</x:v>
      </x:c>
      <x:c r="N5738" s="20" t="n">
        <x:v>42887</x:v>
      </x:c>
    </x:row>
    <x:row r="5739" ht="18" customHeight="1">
      <x:c r="A5739" t="str">
        <x:v>CA-2017-143574</x:v>
      </x:c>
      <x:c r="B5739" s="18" t="n">
        <x:v>42915</x:v>
      </x:c>
      <x:c r="C5739" t="str">
        <x:v>DR-12880</x:v>
      </x:c>
      <x:c r="D5739" t="str">
        <x:v>Dan Reichenbach</x:v>
      </x:c>
      <x:c r="E5739" t="str">
        <x:v>Corporate</x:v>
      </x:c>
      <x:c r="F5739" t="str">
        <x:v>East</x:v>
      </x:c>
      <x:c r="G5739" t="str">
        <x:v>Furniture</x:v>
      </x:c>
      <x:c r="H5739" t="str">
        <x:v>Furnishings</x:v>
      </x:c>
      <x:c r="I5739" s="22" t="n">
        <x:v>25.16</x:v>
      </x:c>
      <x:c r="J5739" s="24" t="n">
        <x:v>2</x:v>
      </x:c>
      <x:c r="K5739" s="26" t="n">
        <x:v>0</x:v>
      </x:c>
      <x:c r="L5739" s="22" t="n">
        <x:v>8.554399999999998</x:v>
      </x:c>
      <x:c r="M5739" t="n">
        <x:v>2017</x:v>
      </x:c>
      <x:c r="N5739" s="20" t="n">
        <x:v>42887</x:v>
      </x:c>
    </x:row>
    <x:row r="5740" ht="18" customHeight="1">
      <x:c r="A5740" t="str">
        <x:v>CA-2014-111773</x:v>
      </x:c>
      <x:c r="B5740" s="18" t="n">
        <x:v>41819</x:v>
      </x:c>
      <x:c r="C5740" t="str">
        <x:v>JK-15625</x:v>
      </x:c>
      <x:c r="D5740" t="str">
        <x:v>Jim Karlsson</x:v>
      </x:c>
      <x:c r="E5740" t="str">
        <x:v>Consumer</x:v>
      </x:c>
      <x:c r="F5740" t="str">
        <x:v>East</x:v>
      </x:c>
      <x:c r="G5740" t="str">
        <x:v>Office Supplies</x:v>
      </x:c>
      <x:c r="H5740" t="str">
        <x:v>Binders</x:v>
      </x:c>
      <x:c r="I5740" s="22" t="n">
        <x:v>13.919999999999998</x:v>
      </x:c>
      <x:c r="J5740" s="24" t="n">
        <x:v>3</x:v>
      </x:c>
      <x:c r="K5740" s="26" t="n">
        <x:v>0.2</x:v>
      </x:c>
      <x:c r="L5740" s="22" t="n">
        <x:v>4.872000000000001</x:v>
      </x:c>
      <x:c r="M5740" t="n">
        <x:v>2014</x:v>
      </x:c>
      <x:c r="N5740" s="20" t="n">
        <x:v>41791</x:v>
      </x:c>
    </x:row>
    <x:row r="5741" ht="18" customHeight="1">
      <x:c r="A5741" t="str">
        <x:v>CA-2014-148614</x:v>
      </x:c>
      <x:c r="B5741" s="18" t="n">
        <x:v>41659</x:v>
      </x:c>
      <x:c r="C5741" t="str">
        <x:v>MV-17485</x:v>
      </x:c>
      <x:c r="D5741" t="str">
        <x:v>Mark Van Huff</x:v>
      </x:c>
      <x:c r="E5741" t="str">
        <x:v>Consumer</x:v>
      </x:c>
      <x:c r="F5741" t="str">
        <x:v>West</x:v>
      </x:c>
      <x:c r="G5741" t="str">
        <x:v>Office Supplies</x:v>
      </x:c>
      <x:c r="H5741" t="str">
        <x:v>Paper</x:v>
      </x:c>
      <x:c r="I5741" s="22" t="n">
        <x:v>19.36</x:v>
      </x:c>
      <x:c r="J5741" s="24" t="n">
        <x:v>2</x:v>
      </x:c>
      <x:c r="K5741" s="26" t="n">
        <x:v>0</x:v>
      </x:c>
      <x:c r="L5741" s="22" t="n">
        <x:v>9.2928</x:v>
      </x:c>
      <x:c r="M5741" t="n">
        <x:v>2014</x:v>
      </x:c>
      <x:c r="N5741" s="20" t="n">
        <x:v>41640</x:v>
      </x:c>
    </x:row>
    <x:row r="5742" ht="18" customHeight="1">
      <x:c r="A5742" t="str">
        <x:v>CA-2014-148614</x:v>
      </x:c>
      <x:c r="B5742" s="18" t="n">
        <x:v>41659</x:v>
      </x:c>
      <x:c r="C5742" t="str">
        <x:v>MV-17485</x:v>
      </x:c>
      <x:c r="D5742" t="str">
        <x:v>Mark Van Huff</x:v>
      </x:c>
      <x:c r="E5742" t="str">
        <x:v>Consumer</x:v>
      </x:c>
      <x:c r="F5742" t="str">
        <x:v>West</x:v>
      </x:c>
      <x:c r="G5742" t="str">
        <x:v>Furniture</x:v>
      </x:c>
      <x:c r="H5742" t="str">
        <x:v>Furnishings</x:v>
      </x:c>
      <x:c r="I5742" s="22" t="n">
        <x:v>19.3</x:v>
      </x:c>
      <x:c r="J5742" s="24" t="n">
        <x:v>2</x:v>
      </x:c>
      <x:c r="K5742" s="26" t="n">
        <x:v>0</x:v>
      </x:c>
      <x:c r="L5742" s="22" t="n">
        <x:v>5.789999999999999</x:v>
      </x:c>
      <x:c r="M5742" t="n">
        <x:v>2014</x:v>
      </x:c>
      <x:c r="N5742" s="20" t="n">
        <x:v>41640</x:v>
      </x:c>
    </x:row>
    <x:row r="5743" ht="18" customHeight="1">
      <x:c r="A5743" t="str">
        <x:v>CA-2017-156139</x:v>
      </x:c>
      <x:c r="B5743" s="18" t="n">
        <x:v>42735</x:v>
      </x:c>
      <x:c r="C5743" t="str">
        <x:v>BP-11155</x:v>
      </x:c>
      <x:c r="D5743" t="str">
        <x:v>Becky Pak</x:v>
      </x:c>
      <x:c r="E5743" t="str">
        <x:v>Consumer</x:v>
      </x:c>
      <x:c r="F5743" t="str">
        <x:v>West</x:v>
      </x:c>
      <x:c r="G5743" t="str">
        <x:v>Office Supplies</x:v>
      </x:c>
      <x:c r="H5743" t="str">
        <x:v>Binders</x:v>
      </x:c>
      <x:c r="I5743" s="22" t="n">
        <x:v>38.376000000000005</x:v>
      </x:c>
      <x:c r="J5743" s="24" t="n">
        <x:v>3</x:v>
      </x:c>
      <x:c r="K5743" s="26" t="n">
        <x:v>0.2</x:v>
      </x:c>
      <x:c r="L5743" s="22" t="n">
        <x:v>13.4316</x:v>
      </x:c>
      <x:c r="M5743" t="n">
        <x:v>2016</x:v>
      </x:c>
      <x:c r="N5743" s="20" t="n">
        <x:v>42705</x:v>
      </x:c>
    </x:row>
    <x:row r="5744" ht="18" customHeight="1">
      <x:c r="A5744" t="str">
        <x:v>US-2017-147886</x:v>
      </x:c>
      <x:c r="B5744" s="18" t="n">
        <x:v>42822</x:v>
      </x:c>
      <x:c r="C5744" t="str">
        <x:v>DH-13075</x:v>
      </x:c>
      <x:c r="D5744" t="str">
        <x:v>Dave Hallsten</x:v>
      </x:c>
      <x:c r="E5744" t="str">
        <x:v>Corporate</x:v>
      </x:c>
      <x:c r="F5744" t="str">
        <x:v>West</x:v>
      </x:c>
      <x:c r="G5744" t="str">
        <x:v>Office Supplies</x:v>
      </x:c>
      <x:c r="H5744" t="str">
        <x:v>Paper</x:v>
      </x:c>
      <x:c r="I5744" s="22" t="n">
        <x:v>12.96</x:v>
      </x:c>
      <x:c r="J5744" s="24" t="n">
        <x:v>2</x:v>
      </x:c>
      <x:c r="K5744" s="26" t="n">
        <x:v>0</x:v>
      </x:c>
      <x:c r="L5744" s="22" t="n">
        <x:v>6.3504000000000005</x:v>
      </x:c>
      <x:c r="M5744" t="n">
        <x:v>2017</x:v>
      </x:c>
      <x:c r="N5744" s="20" t="n">
        <x:v>42795</x:v>
      </x:c>
    </x:row>
    <x:row r="5745" ht="18" customHeight="1">
      <x:c r="A5745" t="str">
        <x:v>US-2017-147886</x:v>
      </x:c>
      <x:c r="B5745" s="18" t="n">
        <x:v>42822</x:v>
      </x:c>
      <x:c r="C5745" t="str">
        <x:v>DH-13075</x:v>
      </x:c>
      <x:c r="D5745" t="str">
        <x:v>Dave Hallsten</x:v>
      </x:c>
      <x:c r="E5745" t="str">
        <x:v>Corporate</x:v>
      </x:c>
      <x:c r="F5745" t="str">
        <x:v>West</x:v>
      </x:c>
      <x:c r="G5745" t="str">
        <x:v>Furniture</x:v>
      </x:c>
      <x:c r="H5745" t="str">
        <x:v>Furnishings</x:v>
      </x:c>
      <x:c r="I5745" s="22" t="n">
        <x:v>26.48</x:v>
      </x:c>
      <x:c r="J5745" s="24" t="n">
        <x:v>1</x:v>
      </x:c>
      <x:c r="K5745" s="26" t="n">
        <x:v>0</x:v>
      </x:c>
      <x:c r="L5745" s="22" t="n">
        <x:v>10.0624</x:v>
      </x:c>
      <x:c r="M5745" t="n">
        <x:v>2017</x:v>
      </x:c>
      <x:c r="N5745" s="20" t="n">
        <x:v>42795</x:v>
      </x:c>
    </x:row>
    <x:row r="5746" ht="18" customHeight="1">
      <x:c r="A5746" t="str">
        <x:v>US-2017-147886</x:v>
      </x:c>
      <x:c r="B5746" s="18" t="n">
        <x:v>42822</x:v>
      </x:c>
      <x:c r="C5746" t="str">
        <x:v>DH-13075</x:v>
      </x:c>
      <x:c r="D5746" t="str">
        <x:v>Dave Hallsten</x:v>
      </x:c>
      <x:c r="E5746" t="str">
        <x:v>Corporate</x:v>
      </x:c>
      <x:c r="F5746" t="str">
        <x:v>West</x:v>
      </x:c>
      <x:c r="G5746" t="str">
        <x:v>Technology</x:v>
      </x:c>
      <x:c r="H5746" t="str">
        <x:v>Machines</x:v>
      </x:c>
      <x:c r="I5746" s="22" t="n">
        <x:v>532.72</x:v>
      </x:c>
      <x:c r="J5746" s="24" t="n">
        <x:v>2</x:v>
      </x:c>
      <x:c r="K5746" s="26" t="n">
        <x:v>0.2</x:v>
      </x:c>
      <x:c r="L5746" s="22" t="n">
        <x:v>53.27199999999999</x:v>
      </x:c>
      <x:c r="M5746" t="n">
        <x:v>2017</x:v>
      </x:c>
      <x:c r="N5746" s="20" t="n">
        <x:v>42795</x:v>
      </x:c>
    </x:row>
    <x:row r="5747" ht="18" customHeight="1">
      <x:c r="A5747" t="str">
        <x:v>US-2017-147886</x:v>
      </x:c>
      <x:c r="B5747" s="18" t="n">
        <x:v>42822</x:v>
      </x:c>
      <x:c r="C5747" t="str">
        <x:v>DH-13075</x:v>
      </x:c>
      <x:c r="D5747" t="str">
        <x:v>Dave Hallsten</x:v>
      </x:c>
      <x:c r="E5747" t="str">
        <x:v>Corporate</x:v>
      </x:c>
      <x:c r="F5747" t="str">
        <x:v>West</x:v>
      </x:c>
      <x:c r="G5747" t="str">
        <x:v>Office Supplies</x:v>
      </x:c>
      <x:c r="H5747" t="str">
        <x:v>Paper</x:v>
      </x:c>
      <x:c r="I5747" s="22" t="n">
        <x:v>26.72</x:v>
      </x:c>
      <x:c r="J5747" s="24" t="n">
        <x:v>4</x:v>
      </x:c>
      <x:c r="K5747" s="26" t="n">
        <x:v>0</x:v>
      </x:c>
      <x:c r="L5747" s="22" t="n">
        <x:v>12.8256</x:v>
      </x:c>
      <x:c r="M5747" t="n">
        <x:v>2017</x:v>
      </x:c>
      <x:c r="N5747" s="20" t="n">
        <x:v>42795</x:v>
      </x:c>
    </x:row>
    <x:row r="5748" ht="18" customHeight="1">
      <x:c r="A5748" t="str">
        <x:v>US-2017-147886</x:v>
      </x:c>
      <x:c r="B5748" s="18" t="n">
        <x:v>42822</x:v>
      </x:c>
      <x:c r="C5748" t="str">
        <x:v>DH-13075</x:v>
      </x:c>
      <x:c r="D5748" t="str">
        <x:v>Dave Hallsten</x:v>
      </x:c>
      <x:c r="E5748" t="str">
        <x:v>Corporate</x:v>
      </x:c>
      <x:c r="F5748" t="str">
        <x:v>West</x:v>
      </x:c>
      <x:c r="G5748" t="str">
        <x:v>Office Supplies</x:v>
      </x:c>
      <x:c r="H5748" t="str">
        <x:v>Paper</x:v>
      </x:c>
      <x:c r="I5748" s="22" t="n">
        <x:v>20.04</x:v>
      </x:c>
      <x:c r="J5748" s="24" t="n">
        <x:v>3</x:v>
      </x:c>
      <x:c r="K5748" s="26" t="n">
        <x:v>0</x:v>
      </x:c>
      <x:c r="L5748" s="22" t="n">
        <x:v>9.6192</x:v>
      </x:c>
      <x:c r="M5748" t="n">
        <x:v>2017</x:v>
      </x:c>
      <x:c r="N5748" s="20" t="n">
        <x:v>42795</x:v>
      </x:c>
    </x:row>
    <x:row r="5749" ht="18" customHeight="1">
      <x:c r="A5749" t="str">
        <x:v>US-2017-147886</x:v>
      </x:c>
      <x:c r="B5749" s="18" t="n">
        <x:v>42822</x:v>
      </x:c>
      <x:c r="C5749" t="str">
        <x:v>DH-13075</x:v>
      </x:c>
      <x:c r="D5749" t="str">
        <x:v>Dave Hallsten</x:v>
      </x:c>
      <x:c r="E5749" t="str">
        <x:v>Corporate</x:v>
      </x:c>
      <x:c r="F5749" t="str">
        <x:v>West</x:v>
      </x:c>
      <x:c r="G5749" t="str">
        <x:v>Office Supplies</x:v>
      </x:c>
      <x:c r="H5749" t="str">
        <x:v>Storage</x:v>
      </x:c>
      <x:c r="I5749" s="22" t="n">
        <x:v>795.48</x:v>
      </x:c>
      <x:c r="J5749" s="24" t="n">
        <x:v>7</x:v>
      </x:c>
      <x:c r="K5749" s="26" t="n">
        <x:v>0</x:v>
      </x:c>
      <x:c r="L5749" s="22" t="n">
        <x:v>7.954799999999963</x:v>
      </x:c>
      <x:c r="M5749" t="n">
        <x:v>2017</x:v>
      </x:c>
      <x:c r="N5749" s="20" t="n">
        <x:v>42795</x:v>
      </x:c>
    </x:row>
    <x:row r="5750" ht="18" customHeight="1">
      <x:c r="A5750" t="str">
        <x:v>US-2017-147886</x:v>
      </x:c>
      <x:c r="B5750" s="18" t="n">
        <x:v>42822</x:v>
      </x:c>
      <x:c r="C5750" t="str">
        <x:v>DH-13075</x:v>
      </x:c>
      <x:c r="D5750" t="str">
        <x:v>Dave Hallsten</x:v>
      </x:c>
      <x:c r="E5750" t="str">
        <x:v>Corporate</x:v>
      </x:c>
      <x:c r="F5750" t="str">
        <x:v>West</x:v>
      </x:c>
      <x:c r="G5750" t="str">
        <x:v>Furniture</x:v>
      </x:c>
      <x:c r="H5750" t="str">
        <x:v>Furnishings</x:v>
      </x:c>
      <x:c r="I5750" s="22" t="n">
        <x:v>21.560000000000002</x:v>
      </x:c>
      <x:c r="J5750" s="24" t="n">
        <x:v>7</x:v>
      </x:c>
      <x:c r="K5750" s="26" t="n">
        <x:v>0</x:v>
      </x:c>
      <x:c r="L5750" s="22" t="n">
        <x:v>6.899199999999999</x:v>
      </x:c>
      <x:c r="M5750" t="n">
        <x:v>2017</x:v>
      </x:c>
      <x:c r="N5750" s="20" t="n">
        <x:v>42795</x:v>
      </x:c>
    </x:row>
    <x:row r="5751" ht="18" customHeight="1">
      <x:c r="A5751" t="str">
        <x:v>CA-2016-113733</x:v>
      </x:c>
      <x:c r="B5751" s="18" t="n">
        <x:v>42712</x:v>
      </x:c>
      <x:c r="C5751" t="str">
        <x:v>LH-16900</x:v>
      </x:c>
      <x:c r="D5751" t="str">
        <x:v>Lena Hernandez</x:v>
      </x:c>
      <x:c r="E5751" t="str">
        <x:v>Consumer</x:v>
      </x:c>
      <x:c r="F5751" t="str">
        <x:v>South</x:v>
      </x:c>
      <x:c r="G5751" t="str">
        <x:v>Technology</x:v>
      </x:c>
      <x:c r="H5751" t="str">
        <x:v>Phones</x:v>
      </x:c>
      <x:c r="I5751" s="22" t="n">
        <x:v>249.58400000000003</x:v>
      </x:c>
      <x:c r="J5751" s="24" t="n">
        <x:v>2</x:v>
      </x:c>
      <x:c r="K5751" s="26" t="n">
        <x:v>0.2</x:v>
      </x:c>
      <x:c r="L5751" s="22" t="n">
        <x:v>31.197999999999986</x:v>
      </x:c>
      <x:c r="M5751" t="n">
        <x:v>2016</x:v>
      </x:c>
      <x:c r="N5751" s="20" t="n">
        <x:v>42705</x:v>
      </x:c>
    </x:row>
    <x:row r="5752" ht="18" customHeight="1">
      <x:c r="A5752" t="str">
        <x:v>CA-2016-113733</x:v>
      </x:c>
      <x:c r="B5752" s="18" t="n">
        <x:v>42712</x:v>
      </x:c>
      <x:c r="C5752" t="str">
        <x:v>LH-16900</x:v>
      </x:c>
      <x:c r="D5752" t="str">
        <x:v>Lena Hernandez</x:v>
      </x:c>
      <x:c r="E5752" t="str">
        <x:v>Consumer</x:v>
      </x:c>
      <x:c r="F5752" t="str">
        <x:v>South</x:v>
      </x:c>
      <x:c r="G5752" t="str">
        <x:v>Technology</x:v>
      </x:c>
      <x:c r="H5752" t="str">
        <x:v>Accessories</x:v>
      </x:c>
      <x:c r="I5752" s="22" t="n">
        <x:v>68.112</x:v>
      </x:c>
      <x:c r="J5752" s="24" t="n">
        <x:v>3</x:v>
      </x:c>
      <x:c r="K5752" s="26" t="n">
        <x:v>0.2</x:v>
      </x:c>
      <x:c r="L5752" s="22" t="n">
        <x:v>17.879399999999997</x:v>
      </x:c>
      <x:c r="M5752" t="n">
        <x:v>2016</x:v>
      </x:c>
      <x:c r="N5752" s="20" t="n">
        <x:v>42705</x:v>
      </x:c>
    </x:row>
    <x:row r="5753" ht="18" customHeight="1">
      <x:c r="A5753" t="str">
        <x:v>CA-2016-113733</x:v>
      </x:c>
      <x:c r="B5753" s="18" t="n">
        <x:v>42712</x:v>
      </x:c>
      <x:c r="C5753" t="str">
        <x:v>LH-16900</x:v>
      </x:c>
      <x:c r="D5753" t="str">
        <x:v>Lena Hernandez</x:v>
      </x:c>
      <x:c r="E5753" t="str">
        <x:v>Consumer</x:v>
      </x:c>
      <x:c r="F5753" t="str">
        <x:v>South</x:v>
      </x:c>
      <x:c r="G5753" t="str">
        <x:v>Technology</x:v>
      </x:c>
      <x:c r="H5753" t="str">
        <x:v>Accessories</x:v>
      </x:c>
      <x:c r="I5753" s="22" t="n">
        <x:v>16.560000000000002</x:v>
      </x:c>
      <x:c r="J5753" s="24" t="n">
        <x:v>3</x:v>
      </x:c>
      <x:c r="K5753" s="26" t="n">
        <x:v>0.2</x:v>
      </x:c>
      <x:c r="L5753" s="22" t="n">
        <x:v>-2.4840000000000018</x:v>
      </x:c>
      <x:c r="M5753" t="n">
        <x:v>2016</x:v>
      </x:c>
      <x:c r="N5753" s="20" t="n">
        <x:v>42705</x:v>
      </x:c>
    </x:row>
    <x:row r="5754" ht="18" customHeight="1">
      <x:c r="A5754" t="str">
        <x:v>CA-2017-104913</x:v>
      </x:c>
      <x:c r="B5754" s="18" t="n">
        <x:v>43057</x:v>
      </x:c>
      <x:c r="C5754" t="str">
        <x:v>DK-13090</x:v>
      </x:c>
      <x:c r="D5754" t="str">
        <x:v>Dave Kipp</x:v>
      </x:c>
      <x:c r="E5754" t="str">
        <x:v>Consumer</x:v>
      </x:c>
      <x:c r="F5754" t="str">
        <x:v>East</x:v>
      </x:c>
      <x:c r="G5754" t="str">
        <x:v>Technology</x:v>
      </x:c>
      <x:c r="H5754" t="str">
        <x:v>Phones</x:v>
      </x:c>
      <x:c r="I5754" s="22" t="n">
        <x:v>74.95</x:v>
      </x:c>
      <x:c r="J5754" s="24" t="n">
        <x:v>5</x:v>
      </x:c>
      <x:c r="K5754" s="26" t="n">
        <x:v>0</x:v>
      </x:c>
      <x:c r="L5754" s="22" t="n">
        <x:v>36.725500000000004</x:v>
      </x:c>
      <x:c r="M5754" t="n">
        <x:v>2017</x:v>
      </x:c>
      <x:c r="N5754" s="20" t="n">
        <x:v>43040</x:v>
      </x:c>
    </x:row>
    <x:row r="5755" ht="18" customHeight="1">
      <x:c r="A5755" t="str">
        <x:v>CA-2014-145800</x:v>
      </x:c>
      <x:c r="B5755" s="18" t="n">
        <x:v>41789</x:v>
      </x:c>
      <x:c r="C5755" t="str">
        <x:v>SS-20410</x:v>
      </x:c>
      <x:c r="D5755" t="str">
        <x:v>Shahid Shariari</x:v>
      </x:c>
      <x:c r="E5755" t="str">
        <x:v>Consumer</x:v>
      </x:c>
      <x:c r="F5755" t="str">
        <x:v>Central</x:v>
      </x:c>
      <x:c r="G5755" t="str">
        <x:v>Furniture</x:v>
      </x:c>
      <x:c r="H5755" t="str">
        <x:v>Tables</x:v>
      </x:c>
      <x:c r="I5755" s="22" t="n">
        <x:v>355.455</x:v>
      </x:c>
      <x:c r="J5755" s="24" t="n">
        <x:v>3</x:v>
      </x:c>
      <x:c r="K5755" s="26" t="n">
        <x:v>0.5</x:v>
      </x:c>
      <x:c r="L5755" s="22" t="n">
        <x:v>-184.83660000000003</x:v>
      </x:c>
      <x:c r="M5755" t="n">
        <x:v>2014</x:v>
      </x:c>
      <x:c r="N5755" s="20" t="n">
        <x:v>41760</x:v>
      </x:c>
    </x:row>
    <x:row r="5756" ht="18" customHeight="1">
      <x:c r="A5756" t="str">
        <x:v>CA-2016-125850</x:v>
      </x:c>
      <x:c r="B5756" s="18" t="n">
        <x:v>42391</x:v>
      </x:c>
      <x:c r="C5756" t="str">
        <x:v>FP-14320</x:v>
      </x:c>
      <x:c r="D5756" t="str">
        <x:v>Frank Preis</x:v>
      </x:c>
      <x:c r="E5756" t="str">
        <x:v>Consumer</x:v>
      </x:c>
      <x:c r="F5756" t="str">
        <x:v>West</x:v>
      </x:c>
      <x:c r="G5756" t="str">
        <x:v>Office Supplies</x:v>
      </x:c>
      <x:c r="H5756" t="str">
        <x:v>Labels</x:v>
      </x:c>
      <x:c r="I5756" s="22" t="n">
        <x:v>44.400000000000006</x:v>
      </x:c>
      <x:c r="J5756" s="24" t="n">
        <x:v>3</x:v>
      </x:c>
      <x:c r="K5756" s="26" t="n">
        <x:v>0</x:v>
      </x:c>
      <x:c r="L5756" s="22" t="n">
        <x:v>22.200000000000003</x:v>
      </x:c>
      <x:c r="M5756" t="n">
        <x:v>2016</x:v>
      </x:c>
      <x:c r="N5756" s="20" t="n">
        <x:v>42370</x:v>
      </x:c>
    </x:row>
    <x:row r="5757" ht="18" customHeight="1">
      <x:c r="A5757" t="str">
        <x:v>CA-2016-125850</x:v>
      </x:c>
      <x:c r="B5757" s="18" t="n">
        <x:v>42391</x:v>
      </x:c>
      <x:c r="C5757" t="str">
        <x:v>FP-14320</x:v>
      </x:c>
      <x:c r="D5757" t="str">
        <x:v>Frank Preis</x:v>
      </x:c>
      <x:c r="E5757" t="str">
        <x:v>Consumer</x:v>
      </x:c>
      <x:c r="F5757" t="str">
        <x:v>West</x:v>
      </x:c>
      <x:c r="G5757" t="str">
        <x:v>Office Supplies</x:v>
      </x:c>
      <x:c r="H5757" t="str">
        <x:v>Labels</x:v>
      </x:c>
      <x:c r="I5757" s="22" t="n">
        <x:v>20.65</x:v>
      </x:c>
      <x:c r="J5757" s="24" t="n">
        <x:v>5</x:v>
      </x:c>
      <x:c r="K5757" s="26" t="n">
        <x:v>0</x:v>
      </x:c>
      <x:c r="L5757" s="22" t="n">
        <x:v>9.498999999999999</x:v>
      </x:c>
      <x:c r="M5757" t="n">
        <x:v>2016</x:v>
      </x:c>
      <x:c r="N5757" s="20" t="n">
        <x:v>42370</x:v>
      </x:c>
    </x:row>
    <x:row r="5758" ht="18" customHeight="1">
      <x:c r="A5758" t="str">
        <x:v>CA-2016-118514</x:v>
      </x:c>
      <x:c r="B5758" s="18" t="n">
        <x:v>42403</x:v>
      </x:c>
      <x:c r="C5758" t="str">
        <x:v>LC-17050</x:v>
      </x:c>
      <x:c r="D5758" t="str">
        <x:v>Liz Carlisle</x:v>
      </x:c>
      <x:c r="E5758" t="str">
        <x:v>Consumer</x:v>
      </x:c>
      <x:c r="F5758" t="str">
        <x:v>South</x:v>
      </x:c>
      <x:c r="G5758" t="str">
        <x:v>Furniture</x:v>
      </x:c>
      <x:c r="H5758" t="str">
        <x:v>Chairs</x:v>
      </x:c>
      <x:c r="I5758" s="22" t="n">
        <x:v>866.4</x:v>
      </x:c>
      <x:c r="J5758" s="24" t="n">
        <x:v>4</x:v>
      </x:c>
      <x:c r="K5758" s="26" t="n">
        <x:v>0</x:v>
      </x:c>
      <x:c r="L5758" s="22" t="n">
        <x:v>225.264</x:v>
      </x:c>
      <x:c r="M5758" t="n">
        <x:v>2016</x:v>
      </x:c>
      <x:c r="N5758" s="20" t="n">
        <x:v>42401</x:v>
      </x:c>
    </x:row>
    <x:row r="5759" ht="18" customHeight="1">
      <x:c r="A5759" t="str">
        <x:v>CA-2015-150749</x:v>
      </x:c>
      <x:c r="B5759" s="18" t="n">
        <x:v>42092</x:v>
      </x:c>
      <x:c r="C5759" t="str">
        <x:v>AS-10240</x:v>
      </x:c>
      <x:c r="D5759" t="str">
        <x:v>Alan Shonely</x:v>
      </x:c>
      <x:c r="E5759" t="str">
        <x:v>Consumer</x:v>
      </x:c>
      <x:c r="F5759" t="str">
        <x:v>South</x:v>
      </x:c>
      <x:c r="G5759" t="str">
        <x:v>Office Supplies</x:v>
      </x:c>
      <x:c r="H5759" t="str">
        <x:v>Art</x:v>
      </x:c>
      <x:c r="I5759" s="22" t="n">
        <x:v>5.56</x:v>
      </x:c>
      <x:c r="J5759" s="24" t="n">
        <x:v>2</x:v>
      </x:c>
      <x:c r="K5759" s="26" t="n">
        <x:v>0</x:v>
      </x:c>
      <x:c r="L5759" s="22" t="n">
        <x:v>1.4455999999999998</x:v>
      </x:c>
      <x:c r="M5759" t="n">
        <x:v>2015</x:v>
      </x:c>
      <x:c r="N5759" s="20" t="n">
        <x:v>42064</x:v>
      </x:c>
    </x:row>
    <x:row r="5760" ht="18" customHeight="1">
      <x:c r="A5760" t="str">
        <x:v>CA-2014-163748</x:v>
      </x:c>
      <x:c r="B5760" s="18" t="n">
        <x:v>41926</x:v>
      </x:c>
      <x:c r="C5760" t="str">
        <x:v>HG-15025</x:v>
      </x:c>
      <x:c r="D5760" t="str">
        <x:v>Hunter Glantz</x:v>
      </x:c>
      <x:c r="E5760" t="str">
        <x:v>Consumer</x:v>
      </x:c>
      <x:c r="F5760" t="str">
        <x:v>Central</x:v>
      </x:c>
      <x:c r="G5760" t="str">
        <x:v>Office Supplies</x:v>
      </x:c>
      <x:c r="H5760" t="str">
        <x:v>Appliances</x:v>
      </x:c>
      <x:c r="I5760" s="22" t="n">
        <x:v>3.1599999999999993</x:v>
      </x:c>
      <x:c r="J5760" s="24" t="n">
        <x:v>4</x:v>
      </x:c>
      <x:c r="K5760" s="26" t="n">
        <x:v>0.8</x:v>
      </x:c>
      <x:c r="L5760" s="22" t="n">
        <x:v>-8.532</x:v>
      </x:c>
      <x:c r="M5760" t="n">
        <x:v>2014</x:v>
      </x:c>
      <x:c r="N5760" s="20" t="n">
        <x:v>41913</x:v>
      </x:c>
    </x:row>
    <x:row r="5761" ht="18" customHeight="1">
      <x:c r="A5761" t="str">
        <x:v>CA-2014-163748</x:v>
      </x:c>
      <x:c r="B5761" s="18" t="n">
        <x:v>41926</x:v>
      </x:c>
      <x:c r="C5761" t="str">
        <x:v>HG-15025</x:v>
      </x:c>
      <x:c r="D5761" t="str">
        <x:v>Hunter Glantz</x:v>
      </x:c>
      <x:c r="E5761" t="str">
        <x:v>Consumer</x:v>
      </x:c>
      <x:c r="F5761" t="str">
        <x:v>Central</x:v>
      </x:c>
      <x:c r="G5761" t="str">
        <x:v>Technology</x:v>
      </x:c>
      <x:c r="H5761" t="str">
        <x:v>Copiers</x:v>
      </x:c>
      <x:c r="I5761" s="22" t="n">
        <x:v>1999.96</x:v>
      </x:c>
      <x:c r="J5761" s="24" t="n">
        <x:v>5</x:v>
      </x:c>
      <x:c r="K5761" s="26" t="n">
        <x:v>0.2</x:v>
      </x:c>
      <x:c r="L5761" s="22" t="n">
        <x:v>624.9875</x:v>
      </x:c>
      <x:c r="M5761" t="n">
        <x:v>2014</x:v>
      </x:c>
      <x:c r="N5761" s="20" t="n">
        <x:v>41913</x:v>
      </x:c>
    </x:row>
    <x:row r="5762" ht="18" customHeight="1">
      <x:c r="A5762" t="str">
        <x:v>CA-2015-119634</x:v>
      </x:c>
      <x:c r="B5762" s="18" t="n">
        <x:v>42227</x:v>
      </x:c>
      <x:c r="C5762" t="str">
        <x:v>BW-11065</x:v>
      </x:c>
      <x:c r="D5762" t="str">
        <x:v>Barry Weirich</x:v>
      </x:c>
      <x:c r="E5762" t="str">
        <x:v>Consumer</x:v>
      </x:c>
      <x:c r="F5762" t="str">
        <x:v>South</x:v>
      </x:c>
      <x:c r="G5762" t="str">
        <x:v>Furniture</x:v>
      </x:c>
      <x:c r="H5762" t="str">
        <x:v>Furnishings</x:v>
      </x:c>
      <x:c r="I5762" s="22" t="n">
        <x:v>46.152</x:v>
      </x:c>
      <x:c r="J5762" s="24" t="n">
        <x:v>3</x:v>
      </x:c>
      <x:c r="K5762" s="26" t="n">
        <x:v>0.2</x:v>
      </x:c>
      <x:c r="L5762" s="22" t="n">
        <x:v>12.114900000000002</x:v>
      </x:c>
      <x:c r="M5762" t="n">
        <x:v>2015</x:v>
      </x:c>
      <x:c r="N5762" s="20" t="n">
        <x:v>42217</x:v>
      </x:c>
    </x:row>
    <x:row r="5763" ht="18" customHeight="1">
      <x:c r="A5763" t="str">
        <x:v>CA-2015-149300</x:v>
      </x:c>
      <x:c r="B5763" s="18" t="n">
        <x:v>42330</x:v>
      </x:c>
      <x:c r="C5763" t="str">
        <x:v>BH-11710</x:v>
      </x:c>
      <x:c r="D5763" t="str">
        <x:v>Brosina Hoffman</x:v>
      </x:c>
      <x:c r="E5763" t="str">
        <x:v>Consumer</x:v>
      </x:c>
      <x:c r="F5763" t="str">
        <x:v>South</x:v>
      </x:c>
      <x:c r="G5763" t="str">
        <x:v>Technology</x:v>
      </x:c>
      <x:c r="H5763" t="str">
        <x:v>Machines</x:v>
      </x:c>
      <x:c r="I5763" s="22" t="n">
        <x:v>32.985</x:v>
      </x:c>
      <x:c r="J5763" s="24" t="n">
        <x:v>3</x:v>
      </x:c>
      <x:c r="K5763" s="26" t="n">
        <x:v>0.5</x:v>
      </x:c>
      <x:c r="L5763" s="22" t="n">
        <x:v>-1.9791000000000025</x:v>
      </x:c>
      <x:c r="M5763" t="n">
        <x:v>2015</x:v>
      </x:c>
      <x:c r="N5763" s="20" t="n">
        <x:v>42309</x:v>
      </x:c>
    </x:row>
    <x:row r="5764" ht="18" customHeight="1">
      <x:c r="A5764" t="str">
        <x:v>US-2016-111528</x:v>
      </x:c>
      <x:c r="B5764" s="18" t="n">
        <x:v>42734</x:v>
      </x:c>
      <x:c r="C5764" t="str">
        <x:v>JP-16135</x:v>
      </x:c>
      <x:c r="D5764" t="str">
        <x:v>Julie Prescott</x:v>
      </x:c>
      <x:c r="E5764" t="str">
        <x:v>Home Office</x:v>
      </x:c>
      <x:c r="F5764" t="str">
        <x:v>West</x:v>
      </x:c>
      <x:c r="G5764" t="str">
        <x:v>Office Supplies</x:v>
      </x:c>
      <x:c r="H5764" t="str">
        <x:v>Storage</x:v>
      </x:c>
      <x:c r="I5764" s="22" t="n">
        <x:v>481.32</x:v>
      </x:c>
      <x:c r="J5764" s="24" t="n">
        <x:v>4</x:v>
      </x:c>
      <x:c r="K5764" s="26" t="n">
        <x:v>0</x:v>
      </x:c>
      <x:c r="L5764" s="22" t="n">
        <x:v>125.14319999999998</x:v>
      </x:c>
      <x:c r="M5764" t="n">
        <x:v>2016</x:v>
      </x:c>
      <x:c r="N5764" s="20" t="n">
        <x:v>42705</x:v>
      </x:c>
    </x:row>
    <x:row r="5765" ht="18" customHeight="1">
      <x:c r="A5765" t="str">
        <x:v>US-2016-111528</x:v>
      </x:c>
      <x:c r="B5765" s="18" t="n">
        <x:v>42734</x:v>
      </x:c>
      <x:c r="C5765" t="str">
        <x:v>JP-16135</x:v>
      </x:c>
      <x:c r="D5765" t="str">
        <x:v>Julie Prescott</x:v>
      </x:c>
      <x:c r="E5765" t="str">
        <x:v>Home Office</x:v>
      </x:c>
      <x:c r="F5765" t="str">
        <x:v>West</x:v>
      </x:c>
      <x:c r="G5765" t="str">
        <x:v>Office Supplies</x:v>
      </x:c>
      <x:c r="H5765" t="str">
        <x:v>Binders</x:v>
      </x:c>
      <x:c r="I5765" s="22" t="n">
        <x:v>6.384</x:v>
      </x:c>
      <x:c r="J5765" s="24" t="n">
        <x:v>1</x:v>
      </x:c>
      <x:c r="K5765" s="26" t="n">
        <x:v>0.2</x:v>
      </x:c>
      <x:c r="L5765" s="22" t="n">
        <x:v>2.1546000000000003</x:v>
      </x:c>
      <x:c r="M5765" t="n">
        <x:v>2016</x:v>
      </x:c>
      <x:c r="N5765" s="20" t="n">
        <x:v>42705</x:v>
      </x:c>
    </x:row>
    <x:row r="5766" ht="18" customHeight="1">
      <x:c r="A5766" t="str">
        <x:v>CA-2017-158169</x:v>
      </x:c>
      <x:c r="B5766" s="18" t="n">
        <x:v>42959</x:v>
      </x:c>
      <x:c r="C5766" t="str">
        <x:v>JM-16195</x:v>
      </x:c>
      <x:c r="D5766" t="str">
        <x:v>Justin MacKendrick</x:v>
      </x:c>
      <x:c r="E5766" t="str">
        <x:v>Consumer</x:v>
      </x:c>
      <x:c r="F5766" t="str">
        <x:v>West</x:v>
      </x:c>
      <x:c r="G5766" t="str">
        <x:v>Office Supplies</x:v>
      </x:c>
      <x:c r="H5766" t="str">
        <x:v>Appliances</x:v>
      </x:c>
      <x:c r="I5766" s="22" t="n">
        <x:v>542.9399999999999</x:v>
      </x:c>
      <x:c r="J5766" s="24" t="n">
        <x:v>3</x:v>
      </x:c>
      <x:c r="K5766" s="26" t="n">
        <x:v>0</x:v>
      </x:c>
      <x:c r="L5766" s="22" t="n">
        <x:v>152.02319999999997</x:v>
      </x:c>
      <x:c r="M5766" t="n">
        <x:v>2017</x:v>
      </x:c>
      <x:c r="N5766" s="20" t="n">
        <x:v>42948</x:v>
      </x:c>
    </x:row>
    <x:row r="5767" ht="18" customHeight="1">
      <x:c r="A5767" t="str">
        <x:v>CA-2017-158169</x:v>
      </x:c>
      <x:c r="B5767" s="18" t="n">
        <x:v>42959</x:v>
      </x:c>
      <x:c r="C5767" t="str">
        <x:v>JM-16195</x:v>
      </x:c>
      <x:c r="D5767" t="str">
        <x:v>Justin MacKendrick</x:v>
      </x:c>
      <x:c r="E5767" t="str">
        <x:v>Consumer</x:v>
      </x:c>
      <x:c r="F5767" t="str">
        <x:v>West</x:v>
      </x:c>
      <x:c r="G5767" t="str">
        <x:v>Furniture</x:v>
      </x:c>
      <x:c r="H5767" t="str">
        <x:v>Furnishings</x:v>
      </x:c>
      <x:c r="I5767" s="22" t="n">
        <x:v>54.92</x:v>
      </x:c>
      <x:c r="J5767" s="24" t="n">
        <x:v>4</x:v>
      </x:c>
      <x:c r="K5767" s="26" t="n">
        <x:v>0</x:v>
      </x:c>
      <x:c r="L5767" s="22" t="n">
        <x:v>19.7712</x:v>
      </x:c>
      <x:c r="M5767" t="n">
        <x:v>2017</x:v>
      </x:c>
      <x:c r="N5767" s="20" t="n">
        <x:v>42948</x:v>
      </x:c>
    </x:row>
    <x:row r="5768" ht="18" customHeight="1">
      <x:c r="A5768" t="str">
        <x:v>CA-2015-162047</x:v>
      </x:c>
      <x:c r="B5768" s="18" t="n">
        <x:v>42311</x:v>
      </x:c>
      <x:c r="C5768" t="str">
        <x:v>FH-14365</x:v>
      </x:c>
      <x:c r="D5768" t="str">
        <x:v>Fred Hopkins</x:v>
      </x:c>
      <x:c r="E5768" t="str">
        <x:v>Corporate</x:v>
      </x:c>
      <x:c r="F5768" t="str">
        <x:v>East</x:v>
      </x:c>
      <x:c r="G5768" t="str">
        <x:v>Furniture</x:v>
      </x:c>
      <x:c r="H5768" t="str">
        <x:v>Chairs</x:v>
      </x:c>
      <x:c r="I5768" s="22" t="n">
        <x:v>1448.8200000000002</x:v>
      </x:c>
      <x:c r="J5768" s="24" t="n">
        <x:v>10</x:v>
      </x:c>
      <x:c r="K5768" s="26" t="n">
        <x:v>0.1</x:v>
      </x:c>
      <x:c r="L5768" s="22" t="n">
        <x:v>209.27399999999992</x:v>
      </x:c>
      <x:c r="M5768" t="n">
        <x:v>2015</x:v>
      </x:c>
      <x:c r="N5768" s="20" t="n">
        <x:v>42309</x:v>
      </x:c>
    </x:row>
    <x:row r="5769" ht="18" customHeight="1">
      <x:c r="A5769" t="str">
        <x:v>CA-2015-117772</x:v>
      </x:c>
      <x:c r="B5769" s="18" t="n">
        <x:v>42257</x:v>
      </x:c>
      <x:c r="C5769" t="str">
        <x:v>MC-17575</x:v>
      </x:c>
      <x:c r="D5769" t="str">
        <x:v>Matt Collins</x:v>
      </x:c>
      <x:c r="E5769" t="str">
        <x:v>Consumer</x:v>
      </x:c>
      <x:c r="F5769" t="str">
        <x:v>West</x:v>
      </x:c>
      <x:c r="G5769" t="str">
        <x:v>Office Supplies</x:v>
      </x:c>
      <x:c r="H5769" t="str">
        <x:v>Storage</x:v>
      </x:c>
      <x:c r="I5769" s="22" t="n">
        <x:v>353.88</x:v>
      </x:c>
      <x:c r="J5769" s="24" t="n">
        <x:v>6</x:v>
      </x:c>
      <x:c r="K5769" s="26" t="n">
        <x:v>0</x:v>
      </x:c>
      <x:c r="L5769" s="22" t="n">
        <x:v>17.69399999999999</x:v>
      </x:c>
      <x:c r="M5769" t="n">
        <x:v>2015</x:v>
      </x:c>
      <x:c r="N5769" s="20" t="n">
        <x:v>42248</x:v>
      </x:c>
    </x:row>
    <x:row r="5770" ht="18" customHeight="1">
      <x:c r="A5770" t="str">
        <x:v>US-2014-126340</x:v>
      </x:c>
      <x:c r="B5770" s="18" t="n">
        <x:v>41951</x:v>
      </x:c>
      <x:c r="C5770" t="str">
        <x:v>EB-13870</x:v>
      </x:c>
      <x:c r="D5770" t="str">
        <x:v>Emily Burns</x:v>
      </x:c>
      <x:c r="E5770" t="str">
        <x:v>Consumer</x:v>
      </x:c>
      <x:c r="F5770" t="str">
        <x:v>West</x:v>
      </x:c>
      <x:c r="G5770" t="str">
        <x:v>Technology</x:v>
      </x:c>
      <x:c r="H5770" t="str">
        <x:v>Phones</x:v>
      </x:c>
      <x:c r="I5770" s="22" t="n">
        <x:v>333.576</x:v>
      </x:c>
      <x:c r="J5770" s="24" t="n">
        <x:v>3</x:v>
      </x:c>
      <x:c r="K5770" s="26" t="n">
        <x:v>0.2</x:v>
      </x:c>
      <x:c r="L5770" s="22" t="n">
        <x:v>25.018199999999993</x:v>
      </x:c>
      <x:c r="M5770" t="n">
        <x:v>2014</x:v>
      </x:c>
      <x:c r="N5770" s="20" t="n">
        <x:v>41944</x:v>
      </x:c>
    </x:row>
    <x:row r="5771" ht="18" customHeight="1">
      <x:c r="A5771" t="str">
        <x:v>CA-2016-149685</x:v>
      </x:c>
      <x:c r="B5771" s="18" t="n">
        <x:v>42651</x:v>
      </x:c>
      <x:c r="C5771" t="str">
        <x:v>PM-19135</x:v>
      </x:c>
      <x:c r="D5771" t="str">
        <x:v>Peter McVee</x:v>
      </x:c>
      <x:c r="E5771" t="str">
        <x:v>Home Office</x:v>
      </x:c>
      <x:c r="F5771" t="str">
        <x:v>Central</x:v>
      </x:c>
      <x:c r="G5771" t="str">
        <x:v>Office Supplies</x:v>
      </x:c>
      <x:c r="H5771" t="str">
        <x:v>Labels</x:v>
      </x:c>
      <x:c r="I5771" s="22" t="n">
        <x:v>60.144000000000005</x:v>
      </x:c>
      <x:c r="J5771" s="24" t="n">
        <x:v>6</x:v>
      </x:c>
      <x:c r="K5771" s="26" t="n">
        <x:v>0.2</x:v>
      </x:c>
      <x:c r="L5771" s="22" t="n">
        <x:v>20.298599999999993</x:v>
      </x:c>
      <x:c r="M5771" t="n">
        <x:v>2016</x:v>
      </x:c>
      <x:c r="N5771" s="20" t="n">
        <x:v>42644</x:v>
      </x:c>
    </x:row>
    <x:row r="5772" ht="18" customHeight="1">
      <x:c r="A5772" t="str">
        <x:v>CA-2017-126396</x:v>
      </x:c>
      <x:c r="B5772" s="18" t="n">
        <x:v>42986</x:v>
      </x:c>
      <x:c r="C5772" t="str">
        <x:v>AR-10345</x:v>
      </x:c>
      <x:c r="D5772" t="str">
        <x:v>Alex Russell</x:v>
      </x:c>
      <x:c r="E5772" t="str">
        <x:v>Corporate</x:v>
      </x:c>
      <x:c r="F5772" t="str">
        <x:v>Central</x:v>
      </x:c>
      <x:c r="G5772" t="str">
        <x:v>Technology</x:v>
      </x:c>
      <x:c r="H5772" t="str">
        <x:v>Accessories</x:v>
      </x:c>
      <x:c r="I5772" s="22" t="n">
        <x:v>85.2</x:v>
      </x:c>
      <x:c r="J5772" s="24" t="n">
        <x:v>6</x:v>
      </x:c>
      <x:c r="K5772" s="26" t="n">
        <x:v>0.2</x:v>
      </x:c>
      <x:c r="L5772" s="22" t="n">
        <x:v>20.234999999999996</x:v>
      </x:c>
      <x:c r="M5772" t="n">
        <x:v>2017</x:v>
      </x:c>
      <x:c r="N5772" s="20" t="n">
        <x:v>42979</x:v>
      </x:c>
    </x:row>
    <x:row r="5773" ht="18" customHeight="1">
      <x:c r="A5773" t="str">
        <x:v>CA-2015-154900</x:v>
      </x:c>
      <x:c r="B5773" s="18" t="n">
        <x:v>42060</x:v>
      </x:c>
      <x:c r="C5773" t="str">
        <x:v>SS-20875</x:v>
      </x:c>
      <x:c r="D5773" t="str">
        <x:v>Sung Shariari</x:v>
      </x:c>
      <x:c r="E5773" t="str">
        <x:v>Consumer</x:v>
      </x:c>
      <x:c r="F5773" t="str">
        <x:v>East</x:v>
      </x:c>
      <x:c r="G5773" t="str">
        <x:v>Office Supplies</x:v>
      </x:c>
      <x:c r="H5773" t="str">
        <x:v>Labels</x:v>
      </x:c>
      <x:c r="I5773" s="22" t="n">
        <x:v>3.15</x:v>
      </x:c>
      <x:c r="J5773" s="24" t="n">
        <x:v>1</x:v>
      </x:c>
      <x:c r="K5773" s="26" t="n">
        <x:v>0</x:v>
      </x:c>
      <x:c r="L5773" s="22" t="n">
        <x:v>1.512</x:v>
      </x:c>
      <x:c r="M5773" t="n">
        <x:v>2015</x:v>
      </x:c>
      <x:c r="N5773" s="20" t="n">
        <x:v>42036</x:v>
      </x:c>
    </x:row>
    <x:row r="5774" ht="18" customHeight="1">
      <x:c r="A5774" t="str">
        <x:v>CA-2015-154900</x:v>
      </x:c>
      <x:c r="B5774" s="18" t="n">
        <x:v>42060</x:v>
      </x:c>
      <x:c r="C5774" t="str">
        <x:v>SS-20875</x:v>
      </x:c>
      <x:c r="D5774" t="str">
        <x:v>Sung Shariari</x:v>
      </x:c>
      <x:c r="E5774" t="str">
        <x:v>Consumer</x:v>
      </x:c>
      <x:c r="F5774" t="str">
        <x:v>East</x:v>
      </x:c>
      <x:c r="G5774" t="str">
        <x:v>Office Supplies</x:v>
      </x:c>
      <x:c r="H5774" t="str">
        <x:v>Paper</x:v>
      </x:c>
      <x:c r="I5774" s="22" t="n">
        <x:v>22.72</x:v>
      </x:c>
      <x:c r="J5774" s="24" t="n">
        <x:v>4</x:v>
      </x:c>
      <x:c r="K5774" s="26" t="n">
        <x:v>0</x:v>
      </x:c>
      <x:c r="L5774" s="22" t="n">
        <x:v>10.223999999999998</x:v>
      </x:c>
      <x:c r="M5774" t="n">
        <x:v>2015</x:v>
      </x:c>
      <x:c r="N5774" s="20" t="n">
        <x:v>42036</x:v>
      </x:c>
    </x:row>
    <x:row r="5775" ht="18" customHeight="1">
      <x:c r="A5775" t="str">
        <x:v>CA-2015-103835</x:v>
      </x:c>
      <x:c r="B5775" s="18" t="n">
        <x:v>42271</x:v>
      </x:c>
      <x:c r="C5775" t="str">
        <x:v>SC-20440</x:v>
      </x:c>
      <x:c r="D5775" t="str">
        <x:v>Shaun Chance</x:v>
      </x:c>
      <x:c r="E5775" t="str">
        <x:v>Corporate</x:v>
      </x:c>
      <x:c r="F5775" t="str">
        <x:v>West</x:v>
      </x:c>
      <x:c r="G5775" t="str">
        <x:v>Furniture</x:v>
      </x:c>
      <x:c r="H5775" t="str">
        <x:v>Furnishings</x:v>
      </x:c>
      <x:c r="I5775" s="22" t="n">
        <x:v>14.91</x:v>
      </x:c>
      <x:c r="J5775" s="24" t="n">
        <x:v>3</x:v>
      </x:c>
      <x:c r="K5775" s="26" t="n">
        <x:v>0</x:v>
      </x:c>
      <x:c r="L5775" s="22" t="n">
        <x:v>4.6221</x:v>
      </x:c>
      <x:c r="M5775" t="n">
        <x:v>2015</x:v>
      </x:c>
      <x:c r="N5775" s="20" t="n">
        <x:v>42248</x:v>
      </x:c>
    </x:row>
    <x:row r="5776" ht="18" customHeight="1">
      <x:c r="A5776" t="str">
        <x:v>CA-2015-103835</x:v>
      </x:c>
      <x:c r="B5776" s="18" t="n">
        <x:v>42271</x:v>
      </x:c>
      <x:c r="C5776" t="str">
        <x:v>SC-20440</x:v>
      </x:c>
      <x:c r="D5776" t="str">
        <x:v>Shaun Chance</x:v>
      </x:c>
      <x:c r="E5776" t="str">
        <x:v>Corporate</x:v>
      </x:c>
      <x:c r="F5776" t="str">
        <x:v>West</x:v>
      </x:c>
      <x:c r="G5776" t="str">
        <x:v>Office Supplies</x:v>
      </x:c>
      <x:c r="H5776" t="str">
        <x:v>Appliances</x:v>
      </x:c>
      <x:c r="I5776" s="22" t="n">
        <x:v>1158.12</x:v>
      </x:c>
      <x:c r="J5776" s="24" t="n">
        <x:v>4</x:v>
      </x:c>
      <x:c r="K5776" s="26" t="n">
        <x:v>0</x:v>
      </x:c>
      <x:c r="L5776" s="22" t="n">
        <x:v>335.85479999999984</x:v>
      </x:c>
      <x:c r="M5776" t="n">
        <x:v>2015</x:v>
      </x:c>
      <x:c r="N5776" s="20" t="n">
        <x:v>42248</x:v>
      </x:c>
    </x:row>
    <x:row r="5777" ht="18" customHeight="1">
      <x:c r="A5777" t="str">
        <x:v>CA-2015-158939</x:v>
      </x:c>
      <x:c r="B5777" s="18" t="n">
        <x:v>42334</x:v>
      </x:c>
      <x:c r="C5777" t="str">
        <x:v>EA-14035</x:v>
      </x:c>
      <x:c r="D5777" t="str">
        <x:v>Erin Ashbrook</x:v>
      </x:c>
      <x:c r="E5777" t="str">
        <x:v>Corporate</x:v>
      </x:c>
      <x:c r="F5777" t="str">
        <x:v>Central</x:v>
      </x:c>
      <x:c r="G5777" t="str">
        <x:v>Technology</x:v>
      </x:c>
      <x:c r="H5777" t="str">
        <x:v>Copiers</x:v>
      </x:c>
      <x:c r="I5777" s="22" t="n">
        <x:v>599.99</x:v>
      </x:c>
      <x:c r="J5777" s="24" t="n">
        <x:v>1</x:v>
      </x:c>
      <x:c r="K5777" s="26" t="n">
        <x:v>0</x:v>
      </x:c>
      <x:c r="L5777" s="22" t="n">
        <x:v>233.9961</x:v>
      </x:c>
      <x:c r="M5777" t="n">
        <x:v>2015</x:v>
      </x:c>
      <x:c r="N5777" s="20" t="n">
        <x:v>42309</x:v>
      </x:c>
    </x:row>
    <x:row r="5778" ht="18" customHeight="1">
      <x:c r="A5778" t="str">
        <x:v>CA-2016-117408</x:v>
      </x:c>
      <x:c r="B5778" s="18" t="n">
        <x:v>42613</x:v>
      </x:c>
      <x:c r="C5778" t="str">
        <x:v>TP-21130</x:v>
      </x:c>
      <x:c r="D5778" t="str">
        <x:v>Theone Pippenger</x:v>
      </x:c>
      <x:c r="E5778" t="str">
        <x:v>Consumer</x:v>
      </x:c>
      <x:c r="F5778" t="str">
        <x:v>Central</x:v>
      </x:c>
      <x:c r="G5778" t="str">
        <x:v>Office Supplies</x:v>
      </x:c>
      <x:c r="H5778" t="str">
        <x:v>Storage</x:v>
      </x:c>
      <x:c r="I5778" s="22" t="n">
        <x:v>23.968000000000004</x:v>
      </x:c>
      <x:c r="J5778" s="24" t="n">
        <x:v>2</x:v>
      </x:c>
      <x:c r="K5778" s="26" t="n">
        <x:v>0.2</x:v>
      </x:c>
      <x:c r="L5778" s="22" t="n">
        <x:v>2.396799999999999</x:v>
      </x:c>
      <x:c r="M5778" t="n">
        <x:v>2016</x:v>
      </x:c>
      <x:c r="N5778" s="20" t="n">
        <x:v>42583</x:v>
      </x:c>
    </x:row>
    <x:row r="5779" ht="18" customHeight="1">
      <x:c r="A5779" t="str">
        <x:v>CA-2016-142398</x:v>
      </x:c>
      <x:c r="B5779" s="18" t="n">
        <x:v>42472</x:v>
      </x:c>
      <x:c r="C5779" t="str">
        <x:v>BP-11290</x:v>
      </x:c>
      <x:c r="D5779" t="str">
        <x:v>Beth Paige</x:v>
      </x:c>
      <x:c r="E5779" t="str">
        <x:v>Consumer</x:v>
      </x:c>
      <x:c r="F5779" t="str">
        <x:v>West</x:v>
      </x:c>
      <x:c r="G5779" t="str">
        <x:v>Furniture</x:v>
      </x:c>
      <x:c r="H5779" t="str">
        <x:v>Chairs</x:v>
      </x:c>
      <x:c r="I5779" s="22" t="n">
        <x:v>638.2880000000001</x:v>
      </x:c>
      <x:c r="J5779" s="24" t="n">
        <x:v>7</x:v>
      </x:c>
      <x:c r="K5779" s="26" t="n">
        <x:v>0.2</x:v>
      </x:c>
      <x:c r="L5779" s="22" t="n">
        <x:v>-31.914400000000015</x:v>
      </x:c>
      <x:c r="M5779" t="n">
        <x:v>2016</x:v>
      </x:c>
      <x:c r="N5779" s="20" t="n">
        <x:v>42461</x:v>
      </x:c>
    </x:row>
    <x:row r="5780" ht="18" customHeight="1">
      <x:c r="A5780" t="str">
        <x:v>CA-2016-142398</x:v>
      </x:c>
      <x:c r="B5780" s="18" t="n">
        <x:v>42472</x:v>
      </x:c>
      <x:c r="C5780" t="str">
        <x:v>BP-11290</x:v>
      </x:c>
      <x:c r="D5780" t="str">
        <x:v>Beth Paige</x:v>
      </x:c>
      <x:c r="E5780" t="str">
        <x:v>Consumer</x:v>
      </x:c>
      <x:c r="F5780" t="str">
        <x:v>West</x:v>
      </x:c>
      <x:c r="G5780" t="str">
        <x:v>Office Supplies</x:v>
      </x:c>
      <x:c r="H5780" t="str">
        <x:v>Binders</x:v>
      </x:c>
      <x:c r="I5780" s="22" t="n">
        <x:v>13.208000000000002</x:v>
      </x:c>
      <x:c r="J5780" s="24" t="n">
        <x:v>1</x:v>
      </x:c>
      <x:c r="K5780" s="26" t="n">
        <x:v>0.2</x:v>
      </x:c>
      <x:c r="L5780" s="22" t="n">
        <x:v>4.622800000000001</x:v>
      </x:c>
      <x:c r="M5780" t="n">
        <x:v>2016</x:v>
      </x:c>
      <x:c r="N5780" s="20" t="n">
        <x:v>42461</x:v>
      </x:c>
    </x:row>
    <x:row r="5781" ht="18" customHeight="1">
      <x:c r="A5781" t="str">
        <x:v>CA-2016-105277</x:v>
      </x:c>
      <x:c r="B5781" s="18" t="n">
        <x:v>42708</x:v>
      </x:c>
      <x:c r="C5781" t="str">
        <x:v>LM-17065</x:v>
      </x:c>
      <x:c r="D5781" t="str">
        <x:v>Liz MacKendrick</x:v>
      </x:c>
      <x:c r="E5781" t="str">
        <x:v>Consumer</x:v>
      </x:c>
      <x:c r="F5781" t="str">
        <x:v>East</x:v>
      </x:c>
      <x:c r="G5781" t="str">
        <x:v>Office Supplies</x:v>
      </x:c>
      <x:c r="H5781" t="str">
        <x:v>Binders</x:v>
      </x:c>
      <x:c r="I5781" s="22" t="n">
        <x:v>15.528</x:v>
      </x:c>
      <x:c r="J5781" s="24" t="n">
        <x:v>3</x:v>
      </x:c>
      <x:c r="K5781" s="26" t="n">
        <x:v>0.2</x:v>
      </x:c>
      <x:c r="L5781" s="22" t="n">
        <x:v>5.823</x:v>
      </x:c>
      <x:c r="M5781" t="n">
        <x:v>2016</x:v>
      </x:c>
      <x:c r="N5781" s="20" t="n">
        <x:v>42705</x:v>
      </x:c>
    </x:row>
    <x:row r="5782" ht="18" customHeight="1">
      <x:c r="A5782" t="str">
        <x:v>CA-2016-112060</x:v>
      </x:c>
      <x:c r="B5782" s="18" t="n">
        <x:v>42708</x:v>
      </x:c>
      <x:c r="C5782" t="str">
        <x:v>KT-16465</x:v>
      </x:c>
      <x:c r="D5782" t="str">
        <x:v>Kean Takahito</x:v>
      </x:c>
      <x:c r="E5782" t="str">
        <x:v>Consumer</x:v>
      </x:c>
      <x:c r="F5782" t="str">
        <x:v>West</x:v>
      </x:c>
      <x:c r="G5782" t="str">
        <x:v>Office Supplies</x:v>
      </x:c>
      <x:c r="H5782" t="str">
        <x:v>Paper</x:v>
      </x:c>
      <x:c r="I5782" s="22" t="n">
        <x:v>104.85</x:v>
      </x:c>
      <x:c r="J5782" s="24" t="n">
        <x:v>1</x:v>
      </x:c>
      <x:c r="K5782" s="26" t="n">
        <x:v>0</x:v>
      </x:c>
      <x:c r="L5782" s="22" t="n">
        <x:v>50.327999999999996</x:v>
      </x:c>
      <x:c r="M5782" t="n">
        <x:v>2016</x:v>
      </x:c>
      <x:c r="N5782" s="20" t="n">
        <x:v>42705</x:v>
      </x:c>
    </x:row>
    <x:row r="5783" ht="18" customHeight="1">
      <x:c r="A5783" t="str">
        <x:v>CA-2014-105270</x:v>
      </x:c>
      <x:c r="B5783" s="18" t="n">
        <x:v>41954</x:v>
      </x:c>
      <x:c r="C5783" t="str">
        <x:v>AP-10915</x:v>
      </x:c>
      <x:c r="D5783" t="str">
        <x:v>Arthur Prichep</x:v>
      </x:c>
      <x:c r="E5783" t="str">
        <x:v>Consumer</x:v>
      </x:c>
      <x:c r="F5783" t="str">
        <x:v>West</x:v>
      </x:c>
      <x:c r="G5783" t="str">
        <x:v>Office Supplies</x:v>
      </x:c>
      <x:c r="H5783" t="str">
        <x:v>Art</x:v>
      </x:c>
      <x:c r="I5783" s="22" t="n">
        <x:v>30.48</x:v>
      </x:c>
      <x:c r="J5783" s="24" t="n">
        <x:v>3</x:v>
      </x:c>
      <x:c r="K5783" s="26" t="n">
        <x:v>0</x:v>
      </x:c>
      <x:c r="L5783" s="22" t="n">
        <x:v>7.924800000000001</x:v>
      </x:c>
      <x:c r="M5783" t="n">
        <x:v>2014</x:v>
      </x:c>
      <x:c r="N5783" s="20" t="n">
        <x:v>41944</x:v>
      </x:c>
    </x:row>
    <x:row r="5784" ht="18" customHeight="1">
      <x:c r="A5784" t="str">
        <x:v>CA-2014-105270</x:v>
      </x:c>
      <x:c r="B5784" s="18" t="n">
        <x:v>41954</x:v>
      </x:c>
      <x:c r="C5784" t="str">
        <x:v>AP-10915</x:v>
      </x:c>
      <x:c r="D5784" t="str">
        <x:v>Arthur Prichep</x:v>
      </x:c>
      <x:c r="E5784" t="str">
        <x:v>Consumer</x:v>
      </x:c>
      <x:c r="F5784" t="str">
        <x:v>West</x:v>
      </x:c>
      <x:c r="G5784" t="str">
        <x:v>Furniture</x:v>
      </x:c>
      <x:c r="H5784" t="str">
        <x:v>Chairs</x:v>
      </x:c>
      <x:c r="I5784" s="22" t="n">
        <x:v>112.64800000000001</x:v>
      </x:c>
      <x:c r="J5784" s="24" t="n">
        <x:v>1</x:v>
      </x:c>
      <x:c r="K5784" s="26" t="n">
        <x:v>0.2</x:v>
      </x:c>
      <x:c r="L5784" s="22" t="n">
        <x:v>11.264799999999997</x:v>
      </x:c>
      <x:c r="M5784" t="n">
        <x:v>2014</x:v>
      </x:c>
      <x:c r="N5784" s="20" t="n">
        <x:v>41944</x:v>
      </x:c>
    </x:row>
    <x:row r="5785" ht="18" customHeight="1">
      <x:c r="A5785" t="str">
        <x:v>US-2015-159513</x:v>
      </x:c>
      <x:c r="B5785" s="18" t="n">
        <x:v>42096</x:v>
      </x:c>
      <x:c r="C5785" t="str">
        <x:v>JD-15790</x:v>
      </x:c>
      <x:c r="D5785" t="str">
        <x:v>John Dryer</x:v>
      </x:c>
      <x:c r="E5785" t="str">
        <x:v>Consumer</x:v>
      </x:c>
      <x:c r="F5785" t="str">
        <x:v>West</x:v>
      </x:c>
      <x:c r="G5785" t="str">
        <x:v>Technology</x:v>
      </x:c>
      <x:c r="H5785" t="str">
        <x:v>Machines</x:v>
      </x:c>
      <x:c r="I5785" s="22" t="n">
        <x:v>71.976</x:v>
      </x:c>
      <x:c r="J5785" s="24" t="n">
        <x:v>3</x:v>
      </x:c>
      <x:c r="K5785" s="26" t="n">
        <x:v>0.2</x:v>
      </x:c>
      <x:c r="L5785" s="22" t="n">
        <x:v>24.2919</x:v>
      </x:c>
      <x:c r="M5785" t="n">
        <x:v>2015</x:v>
      </x:c>
      <x:c r="N5785" s="20" t="n">
        <x:v>42095</x:v>
      </x:c>
    </x:row>
    <x:row r="5786" ht="18" customHeight="1">
      <x:c r="A5786" t="str">
        <x:v>CA-2015-155586</x:v>
      </x:c>
      <x:c r="B5786" s="18" t="n">
        <x:v>42350</x:v>
      </x:c>
      <x:c r="C5786" t="str">
        <x:v>XP-21865</x:v>
      </x:c>
      <x:c r="D5786" t="str">
        <x:v>Xylona Preis</x:v>
      </x:c>
      <x:c r="E5786" t="str">
        <x:v>Consumer</x:v>
      </x:c>
      <x:c r="F5786" t="str">
        <x:v>West</x:v>
      </x:c>
      <x:c r="G5786" t="str">
        <x:v>Office Supplies</x:v>
      </x:c>
      <x:c r="H5786" t="str">
        <x:v>Art</x:v>
      </x:c>
      <x:c r="I5786" s="22" t="n">
        <x:v>2.21</x:v>
      </x:c>
      <x:c r="J5786" s="24" t="n">
        <x:v>1</x:v>
      </x:c>
      <x:c r="K5786" s="26" t="n">
        <x:v>0</x:v>
      </x:c>
      <x:c r="L5786" s="22" t="n">
        <x:v>0.5967</x:v>
      </x:c>
      <x:c r="M5786" t="n">
        <x:v>2015</x:v>
      </x:c>
      <x:c r="N5786" s="20" t="n">
        <x:v>42339</x:v>
      </x:c>
    </x:row>
    <x:row r="5787" ht="18" customHeight="1">
      <x:c r="A5787" t="str">
        <x:v>CA-2015-155586</x:v>
      </x:c>
      <x:c r="B5787" s="18" t="n">
        <x:v>42350</x:v>
      </x:c>
      <x:c r="C5787" t="str">
        <x:v>XP-21865</x:v>
      </x:c>
      <x:c r="D5787" t="str">
        <x:v>Xylona Preis</x:v>
      </x:c>
      <x:c r="E5787" t="str">
        <x:v>Consumer</x:v>
      </x:c>
      <x:c r="F5787" t="str">
        <x:v>West</x:v>
      </x:c>
      <x:c r="G5787" t="str">
        <x:v>Office Supplies</x:v>
      </x:c>
      <x:c r="H5787" t="str">
        <x:v>Envelopes</x:v>
      </x:c>
      <x:c r="I5787" s="22" t="n">
        <x:v>15.52</x:v>
      </x:c>
      <x:c r="J5787" s="24" t="n">
        <x:v>4</x:v>
      </x:c>
      <x:c r="K5787" s="26" t="n">
        <x:v>0</x:v>
      </x:c>
      <x:c r="L5787" s="22" t="n">
        <x:v>7.4496</x:v>
      </x:c>
      <x:c r="M5787" t="n">
        <x:v>2015</x:v>
      </x:c>
      <x:c r="N5787" s="20" t="n">
        <x:v>42339</x:v>
      </x:c>
    </x:row>
    <x:row r="5788" ht="18" customHeight="1">
      <x:c r="A5788" t="str">
        <x:v>CA-2015-155586</x:v>
      </x:c>
      <x:c r="B5788" s="18" t="n">
        <x:v>42350</x:v>
      </x:c>
      <x:c r="C5788" t="str">
        <x:v>XP-21865</x:v>
      </x:c>
      <x:c r="D5788" t="str">
        <x:v>Xylona Preis</x:v>
      </x:c>
      <x:c r="E5788" t="str">
        <x:v>Consumer</x:v>
      </x:c>
      <x:c r="F5788" t="str">
        <x:v>West</x:v>
      </x:c>
      <x:c r="G5788" t="str">
        <x:v>Office Supplies</x:v>
      </x:c>
      <x:c r="H5788" t="str">
        <x:v>Paper</x:v>
      </x:c>
      <x:c r="I5788" s="22" t="n">
        <x:v>36.44</x:v>
      </x:c>
      <x:c r="J5788" s="24" t="n">
        <x:v>4</x:v>
      </x:c>
      <x:c r="K5788" s="26" t="n">
        <x:v>0</x:v>
      </x:c>
      <x:c r="L5788" s="22" t="n">
        <x:v>16.397999999999996</x:v>
      </x:c>
      <x:c r="M5788" t="n">
        <x:v>2015</x:v>
      </x:c>
      <x:c r="N5788" s="20" t="n">
        <x:v>42339</x:v>
      </x:c>
    </x:row>
    <x:row r="5789" ht="18" customHeight="1">
      <x:c r="A5789" t="str">
        <x:v>CA-2017-141117</x:v>
      </x:c>
      <x:c r="B5789" s="18" t="n">
        <x:v>43010</x:v>
      </x:c>
      <x:c r="C5789" t="str">
        <x:v>JK-16090</x:v>
      </x:c>
      <x:c r="D5789" t="str">
        <x:v>Juliana Krohn</x:v>
      </x:c>
      <x:c r="E5789" t="str">
        <x:v>Consumer</x:v>
      </x:c>
      <x:c r="F5789" t="str">
        <x:v>West</x:v>
      </x:c>
      <x:c r="G5789" t="str">
        <x:v>Furniture</x:v>
      </x:c>
      <x:c r="H5789" t="str">
        <x:v>Bookcases</x:v>
      </x:c>
      <x:c r="I5789" s="22" t="n">
        <x:v>217.764</x:v>
      </x:c>
      <x:c r="J5789" s="24" t="n">
        <x:v>6</x:v>
      </x:c>
      <x:c r="K5789" s="26" t="n">
        <x:v>0.7</x:v>
      </x:c>
      <x:c r="L5789" s="22" t="n">
        <x:v>-384.7164</x:v>
      </x:c>
      <x:c r="M5789" t="n">
        <x:v>2017</x:v>
      </x:c>
      <x:c r="N5789" s="20" t="n">
        <x:v>43009</x:v>
      </x:c>
    </x:row>
    <x:row r="5790" ht="18" customHeight="1">
      <x:c r="A5790" t="str">
        <x:v>CA-2017-141117</x:v>
      </x:c>
      <x:c r="B5790" s="18" t="n">
        <x:v>43010</x:v>
      </x:c>
      <x:c r="C5790" t="str">
        <x:v>JK-16090</x:v>
      </x:c>
      <x:c r="D5790" t="str">
        <x:v>Juliana Krohn</x:v>
      </x:c>
      <x:c r="E5790" t="str">
        <x:v>Consumer</x:v>
      </x:c>
      <x:c r="F5790" t="str">
        <x:v>West</x:v>
      </x:c>
      <x:c r="G5790" t="str">
        <x:v>Office Supplies</x:v>
      </x:c>
      <x:c r="H5790" t="str">
        <x:v>Supplies</x:v>
      </x:c>
      <x:c r="I5790" s="22" t="n">
        <x:v>39.072</x:v>
      </x:c>
      <x:c r="J5790" s="24" t="n">
        <x:v>6</x:v>
      </x:c>
      <x:c r="K5790" s="26" t="n">
        <x:v>0.2</x:v>
      </x:c>
      <x:c r="L5790" s="22" t="n">
        <x:v>4.395599999999998</x:v>
      </x:c>
      <x:c r="M5790" t="n">
        <x:v>2017</x:v>
      </x:c>
      <x:c r="N5790" s="20" t="n">
        <x:v>43009</x:v>
      </x:c>
    </x:row>
    <x:row r="5791" ht="18" customHeight="1">
      <x:c r="A5791" t="str">
        <x:v>CA-2017-141117</x:v>
      </x:c>
      <x:c r="B5791" s="18" t="n">
        <x:v>43010</x:v>
      </x:c>
      <x:c r="C5791" t="str">
        <x:v>JK-16090</x:v>
      </x:c>
      <x:c r="D5791" t="str">
        <x:v>Juliana Krohn</x:v>
      </x:c>
      <x:c r="E5791" t="str">
        <x:v>Consumer</x:v>
      </x:c>
      <x:c r="F5791" t="str">
        <x:v>West</x:v>
      </x:c>
      <x:c r="G5791" t="str">
        <x:v>Office Supplies</x:v>
      </x:c>
      <x:c r="H5791" t="str">
        <x:v>Binders</x:v>
      </x:c>
      <x:c r="I5791" s="22" t="n">
        <x:v>22.638</x:v>
      </x:c>
      <x:c r="J5791" s="24" t="n">
        <x:v>7</x:v>
      </x:c>
      <x:c r="K5791" s="26" t="n">
        <x:v>0.7</x:v>
      </x:c>
      <x:c r="L5791" s="22" t="n">
        <x:v>-16.6012</x:v>
      </x:c>
      <x:c r="M5791" t="n">
        <x:v>2017</x:v>
      </x:c>
      <x:c r="N5791" s="20" t="n">
        <x:v>43009</x:v>
      </x:c>
    </x:row>
    <x:row r="5792" ht="18" customHeight="1">
      <x:c r="A5792" t="str">
        <x:v>CA-2017-141117</x:v>
      </x:c>
      <x:c r="B5792" s="18" t="n">
        <x:v>43010</x:v>
      </x:c>
      <x:c r="C5792" t="str">
        <x:v>JK-16090</x:v>
      </x:c>
      <x:c r="D5792" t="str">
        <x:v>Juliana Krohn</x:v>
      </x:c>
      <x:c r="E5792" t="str">
        <x:v>Consumer</x:v>
      </x:c>
      <x:c r="F5792" t="str">
        <x:v>West</x:v>
      </x:c>
      <x:c r="G5792" t="str">
        <x:v>Office Supplies</x:v>
      </x:c>
      <x:c r="H5792" t="str">
        <x:v>Art</x:v>
      </x:c>
      <x:c r="I5792" s="22" t="n">
        <x:v>95.14399999999999</x:v>
      </x:c>
      <x:c r="J5792" s="24" t="n">
        <x:v>7</x:v>
      </x:c>
      <x:c r="K5792" s="26" t="n">
        <x:v>0.2</x:v>
      </x:c>
      <x:c r="L5792" s="22" t="n">
        <x:v>10.703699999999987</x:v>
      </x:c>
      <x:c r="M5792" t="n">
        <x:v>2017</x:v>
      </x:c>
      <x:c r="N5792" s="20" t="n">
        <x:v>43009</x:v>
      </x:c>
    </x:row>
    <x:row r="5793" ht="18" customHeight="1">
      <x:c r="A5793" t="str">
        <x:v>CA-2017-115070</x:v>
      </x:c>
      <x:c r="B5793" s="18" t="n">
        <x:v>42835</x:v>
      </x:c>
      <x:c r="C5793" t="str">
        <x:v>MG-18205</x:v>
      </x:c>
      <x:c r="D5793" t="str">
        <x:v>Mitch Gastineau</x:v>
      </x:c>
      <x:c r="E5793" t="str">
        <x:v>Corporate</x:v>
      </x:c>
      <x:c r="F5793" t="str">
        <x:v>South</x:v>
      </x:c>
      <x:c r="G5793" t="str">
        <x:v>Furniture</x:v>
      </x:c>
      <x:c r="H5793" t="str">
        <x:v>Furnishings</x:v>
      </x:c>
      <x:c r="I5793" s="22" t="n">
        <x:v>12.320000000000002</x:v>
      </x:c>
      <x:c r="J5793" s="24" t="n">
        <x:v>5</x:v>
      </x:c>
      <x:c r="K5793" s="26" t="n">
        <x:v>0.2</x:v>
      </x:c>
      <x:c r="L5793" s="22" t="n">
        <x:v>1.8479999999999985</x:v>
      </x:c>
      <x:c r="M5793" t="n">
        <x:v>2017</x:v>
      </x:c>
      <x:c r="N5793" s="20" t="n">
        <x:v>42826</x:v>
      </x:c>
    </x:row>
    <x:row r="5794" ht="18" customHeight="1">
      <x:c r="A5794" t="str">
        <x:v>CA-2017-115070</x:v>
      </x:c>
      <x:c r="B5794" s="18" t="n">
        <x:v>42835</x:v>
      </x:c>
      <x:c r="C5794" t="str">
        <x:v>MG-18205</x:v>
      </x:c>
      <x:c r="D5794" t="str">
        <x:v>Mitch Gastineau</x:v>
      </x:c>
      <x:c r="E5794" t="str">
        <x:v>Corporate</x:v>
      </x:c>
      <x:c r="F5794" t="str">
        <x:v>South</x:v>
      </x:c>
      <x:c r="G5794" t="str">
        <x:v>Office Supplies</x:v>
      </x:c>
      <x:c r="H5794" t="str">
        <x:v>Binders</x:v>
      </x:c>
      <x:c r="I5794" s="22" t="n">
        <x:v>4.4190000000000005</x:v>
      </x:c>
      <x:c r="J5794" s="24" t="n">
        <x:v>3</x:v>
      </x:c>
      <x:c r="K5794" s="26" t="n">
        <x:v>0.7</x:v>
      </x:c>
      <x:c r="L5794" s="22" t="n">
        <x:v>-3.0933</x:v>
      </x:c>
      <x:c r="M5794" t="n">
        <x:v>2017</x:v>
      </x:c>
      <x:c r="N5794" s="20" t="n">
        <x:v>42826</x:v>
      </x:c>
    </x:row>
    <x:row r="5795" ht="18" customHeight="1">
      <x:c r="A5795" t="str">
        <x:v>CA-2017-140186</x:v>
      </x:c>
      <x:c r="B5795" s="18" t="n">
        <x:v>43007</x:v>
      </x:c>
      <x:c r="C5795" t="str">
        <x:v>PG-18820</x:v>
      </x:c>
      <x:c r="D5795" t="str">
        <x:v>Patrick Gardner</x:v>
      </x:c>
      <x:c r="E5795" t="str">
        <x:v>Consumer</x:v>
      </x:c>
      <x:c r="F5795" t="str">
        <x:v>West</x:v>
      </x:c>
      <x:c r="G5795" t="str">
        <x:v>Office Supplies</x:v>
      </x:c>
      <x:c r="H5795" t="str">
        <x:v>Fasteners</x:v>
      </x:c>
      <x:c r="I5795" s="22" t="n">
        <x:v>35</x:v>
      </x:c>
      <x:c r="J5795" s="24" t="n">
        <x:v>7</x:v>
      </x:c>
      <x:c r="K5795" s="26" t="n">
        <x:v>0</x:v>
      </x:c>
      <x:c r="L5795" s="22" t="n">
        <x:v>16.8</x:v>
      </x:c>
      <x:c r="M5795" t="n">
        <x:v>2017</x:v>
      </x:c>
      <x:c r="N5795" s="20" t="n">
        <x:v>42979</x:v>
      </x:c>
    </x:row>
    <x:row r="5796" ht="18" customHeight="1">
      <x:c r="A5796" t="str">
        <x:v>CA-2017-140186</x:v>
      </x:c>
      <x:c r="B5796" s="18" t="n">
        <x:v>43007</x:v>
      </x:c>
      <x:c r="C5796" t="str">
        <x:v>PG-18820</x:v>
      </x:c>
      <x:c r="D5796" t="str">
        <x:v>Patrick Gardner</x:v>
      </x:c>
      <x:c r="E5796" t="str">
        <x:v>Consumer</x:v>
      </x:c>
      <x:c r="F5796" t="str">
        <x:v>West</x:v>
      </x:c>
      <x:c r="G5796" t="str">
        <x:v>Furniture</x:v>
      </x:c>
      <x:c r="H5796" t="str">
        <x:v>Chairs</x:v>
      </x:c>
      <x:c r="I5796" s="22" t="n">
        <x:v>72.784</x:v>
      </x:c>
      <x:c r="J5796" s="24" t="n">
        <x:v>1</x:v>
      </x:c>
      <x:c r="K5796" s="26" t="n">
        <x:v>0.2</x:v>
      </x:c>
      <x:c r="L5796" s="22" t="n">
        <x:v>0</x:v>
      </x:c>
      <x:c r="M5796" t="n">
        <x:v>2017</x:v>
      </x:c>
      <x:c r="N5796" s="20" t="n">
        <x:v>42979</x:v>
      </x:c>
    </x:row>
    <x:row r="5797" ht="18" customHeight="1">
      <x:c r="A5797" t="str">
        <x:v>CA-2017-140186</x:v>
      </x:c>
      <x:c r="B5797" s="18" t="n">
        <x:v>43007</x:v>
      </x:c>
      <x:c r="C5797" t="str">
        <x:v>PG-18820</x:v>
      </x:c>
      <x:c r="D5797" t="str">
        <x:v>Patrick Gardner</x:v>
      </x:c>
      <x:c r="E5797" t="str">
        <x:v>Consumer</x:v>
      </x:c>
      <x:c r="F5797" t="str">
        <x:v>West</x:v>
      </x:c>
      <x:c r="G5797" t="str">
        <x:v>Office Supplies</x:v>
      </x:c>
      <x:c r="H5797" t="str">
        <x:v>Appliances</x:v>
      </x:c>
      <x:c r="I5797" s="22" t="n">
        <x:v>97.84</x:v>
      </x:c>
      <x:c r="J5797" s="24" t="n">
        <x:v>2</x:v>
      </x:c>
      <x:c r="K5797" s="26" t="n">
        <x:v>0</x:v>
      </x:c>
      <x:c r="L5797" s="22" t="n">
        <x:v>25.4384</x:v>
      </x:c>
      <x:c r="M5797" t="n">
        <x:v>2017</x:v>
      </x:c>
      <x:c r="N5797" s="20" t="n">
        <x:v>42979</x:v>
      </x:c>
    </x:row>
    <x:row r="5798" ht="18" customHeight="1">
      <x:c r="A5798" t="str">
        <x:v>CA-2017-140186</x:v>
      </x:c>
      <x:c r="B5798" s="18" t="n">
        <x:v>43007</x:v>
      </x:c>
      <x:c r="C5798" t="str">
        <x:v>PG-18820</x:v>
      </x:c>
      <x:c r="D5798" t="str">
        <x:v>Patrick Gardner</x:v>
      </x:c>
      <x:c r="E5798" t="str">
        <x:v>Consumer</x:v>
      </x:c>
      <x:c r="F5798" t="str">
        <x:v>West</x:v>
      </x:c>
      <x:c r="G5798" t="str">
        <x:v>Furniture</x:v>
      </x:c>
      <x:c r="H5798" t="str">
        <x:v>Furnishings</x:v>
      </x:c>
      <x:c r="I5798" s="22" t="n">
        <x:v>51.75</x:v>
      </x:c>
      <x:c r="J5798" s="24" t="n">
        <x:v>1</x:v>
      </x:c>
      <x:c r="K5798" s="26" t="n">
        <x:v>0</x:v>
      </x:c>
      <x:c r="L5798" s="22" t="n">
        <x:v>15.524999999999999</x:v>
      </x:c>
      <x:c r="M5798" t="n">
        <x:v>2017</x:v>
      </x:c>
      <x:c r="N5798" s="20" t="n">
        <x:v>42979</x:v>
      </x:c>
    </x:row>
    <x:row r="5799" ht="18" customHeight="1">
      <x:c r="A5799" t="str">
        <x:v>CA-2017-140186</x:v>
      </x:c>
      <x:c r="B5799" s="18" t="n">
        <x:v>43007</x:v>
      </x:c>
      <x:c r="C5799" t="str">
        <x:v>PG-18820</x:v>
      </x:c>
      <x:c r="D5799" t="str">
        <x:v>Patrick Gardner</x:v>
      </x:c>
      <x:c r="E5799" t="str">
        <x:v>Consumer</x:v>
      </x:c>
      <x:c r="F5799" t="str">
        <x:v>West</x:v>
      </x:c>
      <x:c r="G5799" t="str">
        <x:v>Office Supplies</x:v>
      </x:c>
      <x:c r="H5799" t="str">
        <x:v>Binders</x:v>
      </x:c>
      <x:c r="I5799" s="22" t="n">
        <x:v>46.672000000000004</x:v>
      </x:c>
      <x:c r="J5799" s="24" t="n">
        <x:v>2</x:v>
      </x:c>
      <x:c r="K5799" s="26" t="n">
        <x:v>0.2</x:v>
      </x:c>
      <x:c r="L5799" s="22" t="n">
        <x:v>16.3352</x:v>
      </x:c>
      <x:c r="M5799" t="n">
        <x:v>2017</x:v>
      </x:c>
      <x:c r="N5799" s="20" t="n">
        <x:v>42979</x:v>
      </x:c>
    </x:row>
    <x:row r="5800" ht="18" customHeight="1">
      <x:c r="A5800" t="str">
        <x:v>CA-2014-124856</x:v>
      </x:c>
      <x:c r="B5800" s="18" t="n">
        <x:v>41911</x:v>
      </x:c>
      <x:c r="C5800" t="str">
        <x:v>LD-17005</x:v>
      </x:c>
      <x:c r="D5800" t="str">
        <x:v>Lisa DeCherney</x:v>
      </x:c>
      <x:c r="E5800" t="str">
        <x:v>Consumer</x:v>
      </x:c>
      <x:c r="F5800" t="str">
        <x:v>East</x:v>
      </x:c>
      <x:c r="G5800" t="str">
        <x:v>Office Supplies</x:v>
      </x:c>
      <x:c r="H5800" t="str">
        <x:v>Storage</x:v>
      </x:c>
      <x:c r="I5800" s="22" t="n">
        <x:v>1395.54</x:v>
      </x:c>
      <x:c r="J5800" s="24" t="n">
        <x:v>9</x:v>
      </x:c>
      <x:c r="K5800" s="26" t="n">
        <x:v>0</x:v>
      </x:c>
      <x:c r="L5800" s="22" t="n">
        <x:v>362.84040000000005</x:v>
      </x:c>
      <x:c r="M5800" t="n">
        <x:v>2014</x:v>
      </x:c>
      <x:c r="N5800" s="20" t="n">
        <x:v>41883</x:v>
      </x:c>
    </x:row>
    <x:row r="5801" ht="18" customHeight="1">
      <x:c r="A5801" t="str">
        <x:v>CA-2014-124856</x:v>
      </x:c>
      <x:c r="B5801" s="18" t="n">
        <x:v>41911</x:v>
      </x:c>
      <x:c r="C5801" t="str">
        <x:v>LD-17005</x:v>
      </x:c>
      <x:c r="D5801" t="str">
        <x:v>Lisa DeCherney</x:v>
      </x:c>
      <x:c r="E5801" t="str">
        <x:v>Consumer</x:v>
      </x:c>
      <x:c r="F5801" t="str">
        <x:v>East</x:v>
      </x:c>
      <x:c r="G5801" t="str">
        <x:v>Furniture</x:v>
      </x:c>
      <x:c r="H5801" t="str">
        <x:v>Furnishings</x:v>
      </x:c>
      <x:c r="I5801" s="22" t="n">
        <x:v>117.36</x:v>
      </x:c>
      <x:c r="J5801" s="24" t="n">
        <x:v>4</x:v>
      </x:c>
      <x:c r="K5801" s="26" t="n">
        <x:v>0</x:v>
      </x:c>
      <x:c r="L5801" s="22" t="n">
        <x:v>36.38159999999999</x:v>
      </x:c>
      <x:c r="M5801" t="n">
        <x:v>2014</x:v>
      </x:c>
      <x:c r="N5801" s="20" t="n">
        <x:v>41883</x:v>
      </x:c>
    </x:row>
    <x:row r="5802" ht="18" customHeight="1">
      <x:c r="A5802" t="str">
        <x:v>CA-2014-124856</x:v>
      </x:c>
      <x:c r="B5802" s="18" t="n">
        <x:v>41911</x:v>
      </x:c>
      <x:c r="C5802" t="str">
        <x:v>LD-17005</x:v>
      </x:c>
      <x:c r="D5802" t="str">
        <x:v>Lisa DeCherney</x:v>
      </x:c>
      <x:c r="E5802" t="str">
        <x:v>Consumer</x:v>
      </x:c>
      <x:c r="F5802" t="str">
        <x:v>East</x:v>
      </x:c>
      <x:c r="G5802" t="str">
        <x:v>Office Supplies</x:v>
      </x:c>
      <x:c r="H5802" t="str">
        <x:v>Labels</x:v>
      </x:c>
      <x:c r="I5802" s="22" t="n">
        <x:v>18.9</x:v>
      </x:c>
      <x:c r="J5802" s="24" t="n">
        <x:v>3</x:v>
      </x:c>
      <x:c r="K5802" s="26" t="n">
        <x:v>0</x:v>
      </x:c>
      <x:c r="L5802" s="22" t="n">
        <x:v>8.693999999999999</x:v>
      </x:c>
      <x:c r="M5802" t="n">
        <x:v>2014</x:v>
      </x:c>
      <x:c r="N5802" s="20" t="n">
        <x:v>41883</x:v>
      </x:c>
    </x:row>
    <x:row r="5803" ht="18" customHeight="1">
      <x:c r="A5803" t="str">
        <x:v>CA-2014-124856</x:v>
      </x:c>
      <x:c r="B5803" s="18" t="n">
        <x:v>41911</x:v>
      </x:c>
      <x:c r="C5803" t="str">
        <x:v>LD-17005</x:v>
      </x:c>
      <x:c r="D5803" t="str">
        <x:v>Lisa DeCherney</x:v>
      </x:c>
      <x:c r="E5803" t="str">
        <x:v>Consumer</x:v>
      </x:c>
      <x:c r="F5803" t="str">
        <x:v>East</x:v>
      </x:c>
      <x:c r="G5803" t="str">
        <x:v>Office Supplies</x:v>
      </x:c>
      <x:c r="H5803" t="str">
        <x:v>Paper</x:v>
      </x:c>
      <x:c r="I5803" s="22" t="n">
        <x:v>77.52</x:v>
      </x:c>
      <x:c r="J5803" s="24" t="n">
        <x:v>2</x:v>
      </x:c>
      <x:c r="K5803" s="26" t="n">
        <x:v>0</x:v>
      </x:c>
      <x:c r="L5803" s="22" t="n">
        <x:v>37.9848</x:v>
      </x:c>
      <x:c r="M5803" t="n">
        <x:v>2014</x:v>
      </x:c>
      <x:c r="N5803" s="20" t="n">
        <x:v>41883</x:v>
      </x:c>
    </x:row>
    <x:row r="5804" ht="18" customHeight="1">
      <x:c r="A5804" t="str">
        <x:v>CA-2014-166716</x:v>
      </x:c>
      <x:c r="B5804" s="18" t="n">
        <x:v>41871</x:v>
      </x:c>
      <x:c r="C5804" t="str">
        <x:v>CR-12730</x:v>
      </x:c>
      <x:c r="D5804" t="str">
        <x:v>Craig Reiter</x:v>
      </x:c>
      <x:c r="E5804" t="str">
        <x:v>Consumer</x:v>
      </x:c>
      <x:c r="F5804" t="str">
        <x:v>Central</x:v>
      </x:c>
      <x:c r="G5804" t="str">
        <x:v>Furniture</x:v>
      </x:c>
      <x:c r="H5804" t="str">
        <x:v>Chairs</x:v>
      </x:c>
      <x:c r="I5804" s="22" t="n">
        <x:v>421.372</x:v>
      </x:c>
      <x:c r="J5804" s="24" t="n">
        <x:v>2</x:v>
      </x:c>
      <x:c r="K5804" s="26" t="n">
        <x:v>0.3</x:v>
      </x:c>
      <x:c r="L5804" s="22" t="n">
        <x:v>-6.019600000000054</x:v>
      </x:c>
      <x:c r="M5804" t="n">
        <x:v>2014</x:v>
      </x:c>
      <x:c r="N5804" s="20" t="n">
        <x:v>41852</x:v>
      </x:c>
    </x:row>
    <x:row r="5805" ht="18" customHeight="1">
      <x:c r="A5805" t="str">
        <x:v>CA-2014-123225</x:v>
      </x:c>
      <x:c r="B5805" s="18" t="n">
        <x:v>41831</x:v>
      </x:c>
      <x:c r="C5805" t="str">
        <x:v>MN-17935</x:v>
      </x:c>
      <x:c r="D5805" t="str">
        <x:v>Michael Nguyen</x:v>
      </x:c>
      <x:c r="E5805" t="str">
        <x:v>Consumer</x:v>
      </x:c>
      <x:c r="F5805" t="str">
        <x:v>Central</x:v>
      </x:c>
      <x:c r="G5805" t="str">
        <x:v>Technology</x:v>
      </x:c>
      <x:c r="H5805" t="str">
        <x:v>Phones</x:v>
      </x:c>
      <x:c r="I5805" s="22" t="n">
        <x:v>575.9680000000001</x:v>
      </x:c>
      <x:c r="J5805" s="24" t="n">
        <x:v>4</x:v>
      </x:c>
      <x:c r="K5805" s="26" t="n">
        <x:v>0.2</x:v>
      </x:c>
      <x:c r="L5805" s="22" t="n">
        <x:v>43.19760000000002</x:v>
      </x:c>
      <x:c r="M5805" t="n">
        <x:v>2014</x:v>
      </x:c>
      <x:c r="N5805" s="20" t="n">
        <x:v>41821</x:v>
      </x:c>
    </x:row>
    <x:row r="5806" ht="18" customHeight="1">
      <x:c r="A5806" t="str">
        <x:v>CA-2014-123225</x:v>
      </x:c>
      <x:c r="B5806" s="18" t="n">
        <x:v>41831</x:v>
      </x:c>
      <x:c r="C5806" t="str">
        <x:v>MN-17935</x:v>
      </x:c>
      <x:c r="D5806" t="str">
        <x:v>Michael Nguyen</x:v>
      </x:c>
      <x:c r="E5806" t="str">
        <x:v>Consumer</x:v>
      </x:c>
      <x:c r="F5806" t="str">
        <x:v>Central</x:v>
      </x:c>
      <x:c r="G5806" t="str">
        <x:v>Office Supplies</x:v>
      </x:c>
      <x:c r="H5806" t="str">
        <x:v>Paper</x:v>
      </x:c>
      <x:c r="I5806" s="22" t="n">
        <x:v>10.368000000000002</x:v>
      </x:c>
      <x:c r="J5806" s="24" t="n">
        <x:v>2</x:v>
      </x:c>
      <x:c r="K5806" s="26" t="n">
        <x:v>0.2</x:v>
      </x:c>
      <x:c r="L5806" s="22" t="n">
        <x:v>3.6288</x:v>
      </x:c>
      <x:c r="M5806" t="n">
        <x:v>2014</x:v>
      </x:c>
      <x:c r="N5806" s="20" t="n">
        <x:v>41821</x:v>
      </x:c>
    </x:row>
    <x:row r="5807" ht="18" customHeight="1">
      <x:c r="A5807" t="str">
        <x:v>CA-2015-163440</x:v>
      </x:c>
      <x:c r="B5807" s="18" t="n">
        <x:v>42085</x:v>
      </x:c>
      <x:c r="C5807" t="str">
        <x:v>RD-19900</x:v>
      </x:c>
      <x:c r="D5807" t="str">
        <x:v>Ruben Dartt</x:v>
      </x:c>
      <x:c r="E5807" t="str">
        <x:v>Consumer</x:v>
      </x:c>
      <x:c r="F5807" t="str">
        <x:v>West</x:v>
      </x:c>
      <x:c r="G5807" t="str">
        <x:v>Technology</x:v>
      </x:c>
      <x:c r="H5807" t="str">
        <x:v>Phones</x:v>
      </x:c>
      <x:c r="I5807" s="22" t="n">
        <x:v>15.984000000000002</x:v>
      </x:c>
      <x:c r="J5807" s="24" t="n">
        <x:v>2</x:v>
      </x:c>
      <x:c r="K5807" s="26" t="n">
        <x:v>0.2</x:v>
      </x:c>
      <x:c r="L5807" s="22" t="n">
        <x:v>1.1988000000000003</x:v>
      </x:c>
      <x:c r="M5807" t="n">
        <x:v>2015</x:v>
      </x:c>
      <x:c r="N5807" s="20" t="n">
        <x:v>42064</x:v>
      </x:c>
    </x:row>
    <x:row r="5808" ht="18" customHeight="1">
      <x:c r="A5808" t="str">
        <x:v>US-2017-106796</x:v>
      </x:c>
      <x:c r="B5808" s="18" t="n">
        <x:v>42867</x:v>
      </x:c>
      <x:c r="C5808" t="str">
        <x:v>JP-16135</x:v>
      </x:c>
      <x:c r="D5808" t="str">
        <x:v>Julie Prescott</x:v>
      </x:c>
      <x:c r="E5808" t="str">
        <x:v>Home Office</x:v>
      </x:c>
      <x:c r="F5808" t="str">
        <x:v>East</x:v>
      </x:c>
      <x:c r="G5808" t="str">
        <x:v>Office Supplies</x:v>
      </x:c>
      <x:c r="H5808" t="str">
        <x:v>Art</x:v>
      </x:c>
      <x:c r="I5808" s="22" t="n">
        <x:v>10.272000000000002</x:v>
      </x:c>
      <x:c r="J5808" s="24" t="n">
        <x:v>3</x:v>
      </x:c>
      <x:c r="K5808" s="26" t="n">
        <x:v>0.2</x:v>
      </x:c>
      <x:c r="L5808" s="22" t="n">
        <x:v>1.1555999999999984</x:v>
      </x:c>
      <x:c r="M5808" t="n">
        <x:v>2017</x:v>
      </x:c>
      <x:c r="N5808" s="20" t="n">
        <x:v>42856</x:v>
      </x:c>
    </x:row>
    <x:row r="5809" ht="18" customHeight="1">
      <x:c r="A5809" t="str">
        <x:v>CA-2017-113873</x:v>
      </x:c>
      <x:c r="B5809" s="18" t="n">
        <x:v>43052</x:v>
      </x:c>
      <x:c r="C5809" t="str">
        <x:v>KE-16420</x:v>
      </x:c>
      <x:c r="D5809" t="str">
        <x:v>Katrina Edelman</x:v>
      </x:c>
      <x:c r="E5809" t="str">
        <x:v>Corporate</x:v>
      </x:c>
      <x:c r="F5809" t="str">
        <x:v>Central</x:v>
      </x:c>
      <x:c r="G5809" t="str">
        <x:v>Office Supplies</x:v>
      </x:c>
      <x:c r="H5809" t="str">
        <x:v>Storage</x:v>
      </x:c>
      <x:c r="I5809" s="22" t="n">
        <x:v>61.792</x:v>
      </x:c>
      <x:c r="J5809" s="24" t="n">
        <x:v>4</x:v>
      </x:c>
      <x:c r="K5809" s="26" t="n">
        <x:v>0.2</x:v>
      </x:c>
      <x:c r="L5809" s="22" t="n">
        <x:v>6.179200000000002</x:v>
      </x:c>
      <x:c r="M5809" t="n">
        <x:v>2017</x:v>
      </x:c>
      <x:c r="N5809" s="20" t="n">
        <x:v>43040</x:v>
      </x:c>
    </x:row>
    <x:row r="5810" ht="18" customHeight="1">
      <x:c r="A5810" t="str">
        <x:v>CA-2017-113873</x:v>
      </x:c>
      <x:c r="B5810" s="18" t="n">
        <x:v>43052</x:v>
      </x:c>
      <x:c r="C5810" t="str">
        <x:v>KE-16420</x:v>
      </x:c>
      <x:c r="D5810" t="str">
        <x:v>Katrina Edelman</x:v>
      </x:c>
      <x:c r="E5810" t="str">
        <x:v>Corporate</x:v>
      </x:c>
      <x:c r="F5810" t="str">
        <x:v>Central</x:v>
      </x:c>
      <x:c r="G5810" t="str">
        <x:v>Furniture</x:v>
      </x:c>
      <x:c r="H5810" t="str">
        <x:v>Bookcases</x:v>
      </x:c>
      <x:c r="I5810" s="22" t="n">
        <x:v>205.99919999999997</x:v>
      </x:c>
      <x:c r="J5810" s="24" t="n">
        <x:v>3</x:v>
      </x:c>
      <x:c r="K5810" s="26" t="n">
        <x:v>0.32</x:v>
      </x:c>
      <x:c r="L5810" s="22" t="n">
        <x:v>-27.264600000000016</x:v>
      </x:c>
      <x:c r="M5810" t="n">
        <x:v>2017</x:v>
      </x:c>
      <x:c r="N5810" s="20" t="n">
        <x:v>43040</x:v>
      </x:c>
    </x:row>
    <x:row r="5811" ht="18" customHeight="1">
      <x:c r="A5811" t="str">
        <x:v>CA-2016-149783</x:v>
      </x:c>
      <x:c r="B5811" s="18" t="n">
        <x:v>42617</x:v>
      </x:c>
      <x:c r="C5811" t="str">
        <x:v>DL-13315</x:v>
      </x:c>
      <x:c r="D5811" t="str">
        <x:v>Delfina Latchford</x:v>
      </x:c>
      <x:c r="E5811" t="str">
        <x:v>Consumer</x:v>
      </x:c>
      <x:c r="F5811" t="str">
        <x:v>South</x:v>
      </x:c>
      <x:c r="G5811" t="str">
        <x:v>Office Supplies</x:v>
      </x:c>
      <x:c r="H5811" t="str">
        <x:v>Paper</x:v>
      </x:c>
      <x:c r="I5811" s="22" t="n">
        <x:v>12.192</x:v>
      </x:c>
      <x:c r="J5811" s="24" t="n">
        <x:v>3</x:v>
      </x:c>
      <x:c r="K5811" s="26" t="n">
        <x:v>0.2</x:v>
      </x:c>
      <x:c r="L5811" s="22" t="n">
        <x:v>4.1148</x:v>
      </x:c>
      <x:c r="M5811" t="n">
        <x:v>2016</x:v>
      </x:c>
      <x:c r="N5811" s="20" t="n">
        <x:v>42614</x:v>
      </x:c>
    </x:row>
    <x:row r="5812" ht="18" customHeight="1">
      <x:c r="A5812" t="str">
        <x:v>CA-2016-149783</x:v>
      </x:c>
      <x:c r="B5812" s="18" t="n">
        <x:v>42617</x:v>
      </x:c>
      <x:c r="C5812" t="str">
        <x:v>DL-13315</x:v>
      </x:c>
      <x:c r="D5812" t="str">
        <x:v>Delfina Latchford</x:v>
      </x:c>
      <x:c r="E5812" t="str">
        <x:v>Consumer</x:v>
      </x:c>
      <x:c r="F5812" t="str">
        <x:v>South</x:v>
      </x:c>
      <x:c r="G5812" t="str">
        <x:v>Office Supplies</x:v>
      </x:c>
      <x:c r="H5812" t="str">
        <x:v>Appliances</x:v>
      </x:c>
      <x:c r="I5812" s="22" t="n">
        <x:v>87.168</x:v>
      </x:c>
      <x:c r="J5812" s="24" t="n">
        <x:v>2</x:v>
      </x:c>
      <x:c r="K5812" s="26" t="n">
        <x:v>0.2</x:v>
      </x:c>
      <x:c r="L5812" s="22" t="n">
        <x:v>8.716800000000006</x:v>
      </x:c>
      <x:c r="M5812" t="n">
        <x:v>2016</x:v>
      </x:c>
      <x:c r="N5812" s="20" t="n">
        <x:v>42614</x:v>
      </x:c>
    </x:row>
    <x:row r="5813" ht="18" customHeight="1">
      <x:c r="A5813" t="str">
        <x:v>CA-2016-149783</x:v>
      </x:c>
      <x:c r="B5813" s="18" t="n">
        <x:v>42617</x:v>
      </x:c>
      <x:c r="C5813" t="str">
        <x:v>DL-13315</x:v>
      </x:c>
      <x:c r="D5813" t="str">
        <x:v>Delfina Latchford</x:v>
      </x:c>
      <x:c r="E5813" t="str">
        <x:v>Consumer</x:v>
      </x:c>
      <x:c r="F5813" t="str">
        <x:v>South</x:v>
      </x:c>
      <x:c r="G5813" t="str">
        <x:v>Office Supplies</x:v>
      </x:c>
      <x:c r="H5813" t="str">
        <x:v>Art</x:v>
      </x:c>
      <x:c r="I5813" s="22" t="n">
        <x:v>31.744</x:v>
      </x:c>
      <x:c r="J5813" s="24" t="n">
        <x:v>2</x:v>
      </x:c>
      <x:c r="K5813" s="26" t="n">
        <x:v>0.2</x:v>
      </x:c>
      <x:c r="L5813" s="22" t="n">
        <x:v>8.332800000000002</x:v>
      </x:c>
      <x:c r="M5813" t="n">
        <x:v>2016</x:v>
      </x:c>
      <x:c r="N5813" s="20" t="n">
        <x:v>42614</x:v>
      </x:c>
    </x:row>
    <x:row r="5814" ht="18" customHeight="1">
      <x:c r="A5814" t="str">
        <x:v>CA-2016-125017</x:v>
      </x:c>
      <x:c r="B5814" s="18" t="n">
        <x:v>42406</x:v>
      </x:c>
      <x:c r="C5814" t="str">
        <x:v>KB-16240</x:v>
      </x:c>
      <x:c r="D5814" t="str">
        <x:v>Karen Bern</x:v>
      </x:c>
      <x:c r="E5814" t="str">
        <x:v>Corporate</x:v>
      </x:c>
      <x:c r="F5814" t="str">
        <x:v>South</x:v>
      </x:c>
      <x:c r="G5814" t="str">
        <x:v>Furniture</x:v>
      </x:c>
      <x:c r="H5814" t="str">
        <x:v>Furnishings</x:v>
      </x:c>
      <x:c r="I5814" s="22" t="n">
        <x:v>132.22400000000002</x:v>
      </x:c>
      <x:c r="J5814" s="24" t="n">
        <x:v>4</x:v>
      </x:c>
      <x:c r="K5814" s="26" t="n">
        <x:v>0.2</x:v>
      </x:c>
      <x:c r="L5814" s="22" t="n">
        <x:v>-18.180799999999998</x:v>
      </x:c>
      <x:c r="M5814" t="n">
        <x:v>2016</x:v>
      </x:c>
      <x:c r="N5814" s="20" t="n">
        <x:v>42401</x:v>
      </x:c>
    </x:row>
    <x:row r="5815" ht="18" customHeight="1">
      <x:c r="A5815" t="str">
        <x:v>US-2015-163279</x:v>
      </x:c>
      <x:c r="B5815" s="18" t="n">
        <x:v>42085</x:v>
      </x:c>
      <x:c r="C5815" t="str">
        <x:v>JD-16150</x:v>
      </x:c>
      <x:c r="D5815" t="str">
        <x:v>Justin Deggeller</x:v>
      </x:c>
      <x:c r="E5815" t="str">
        <x:v>Corporate</x:v>
      </x:c>
      <x:c r="F5815" t="str">
        <x:v>West</x:v>
      </x:c>
      <x:c r="G5815" t="str">
        <x:v>Office Supplies</x:v>
      </x:c>
      <x:c r="H5815" t="str">
        <x:v>Paper</x:v>
      </x:c>
      <x:c r="I5815" s="22" t="n">
        <x:v>105.52</x:v>
      </x:c>
      <x:c r="J5815" s="24" t="n">
        <x:v>4</x:v>
      </x:c>
      <x:c r="K5815" s="26" t="n">
        <x:v>0</x:v>
      </x:c>
      <x:c r="L5815" s="22" t="n">
        <x:v>48.539199999999994</x:v>
      </x:c>
      <x:c r="M5815" t="n">
        <x:v>2015</x:v>
      </x:c>
      <x:c r="N5815" s="20" t="n">
        <x:v>42064</x:v>
      </x:c>
    </x:row>
    <x:row r="5816" ht="18" customHeight="1">
      <x:c r="A5816" t="str">
        <x:v>US-2015-163279</x:v>
      </x:c>
      <x:c r="B5816" s="18" t="n">
        <x:v>42085</x:v>
      </x:c>
      <x:c r="C5816" t="str">
        <x:v>JD-16150</x:v>
      </x:c>
      <x:c r="D5816" t="str">
        <x:v>Justin Deggeller</x:v>
      </x:c>
      <x:c r="E5816" t="str">
        <x:v>Corporate</x:v>
      </x:c>
      <x:c r="F5816" t="str">
        <x:v>West</x:v>
      </x:c>
      <x:c r="G5816" t="str">
        <x:v>Furniture</x:v>
      </x:c>
      <x:c r="H5816" t="str">
        <x:v>Furnishings</x:v>
      </x:c>
      <x:c r="I5816" s="22" t="n">
        <x:v>91.96</x:v>
      </x:c>
      <x:c r="J5816" s="24" t="n">
        <x:v>2</x:v>
      </x:c>
      <x:c r="K5816" s="26" t="n">
        <x:v>0</x:v>
      </x:c>
      <x:c r="L5816" s="22" t="n">
        <x:v>15.633199999999988</x:v>
      </x:c>
      <x:c r="M5816" t="n">
        <x:v>2015</x:v>
      </x:c>
      <x:c r="N5816" s="20" t="n">
        <x:v>42064</x:v>
      </x:c>
    </x:row>
    <x:row r="5817" ht="18" customHeight="1">
      <x:c r="A5817" t="str">
        <x:v>US-2015-163279</x:v>
      </x:c>
      <x:c r="B5817" s="18" t="n">
        <x:v>42085</x:v>
      </x:c>
      <x:c r="C5817" t="str">
        <x:v>JD-16150</x:v>
      </x:c>
      <x:c r="D5817" t="str">
        <x:v>Justin Deggeller</x:v>
      </x:c>
      <x:c r="E5817" t="str">
        <x:v>Corporate</x:v>
      </x:c>
      <x:c r="F5817" t="str">
        <x:v>West</x:v>
      </x:c>
      <x:c r="G5817" t="str">
        <x:v>Technology</x:v>
      </x:c>
      <x:c r="H5817" t="str">
        <x:v>Phones</x:v>
      </x:c>
      <x:c r="I5817" s="22" t="n">
        <x:v>1487.976</x:v>
      </x:c>
      <x:c r="J5817" s="24" t="n">
        <x:v>3</x:v>
      </x:c>
      <x:c r="K5817" s="26" t="n">
        <x:v>0.2</x:v>
      </x:c>
      <x:c r="L5817" s="22" t="n">
        <x:v>185.99699999999984</x:v>
      </x:c>
      <x:c r="M5817" t="n">
        <x:v>2015</x:v>
      </x:c>
      <x:c r="N5817" s="20" t="n">
        <x:v>42064</x:v>
      </x:c>
    </x:row>
    <x:row r="5818" ht="18" customHeight="1">
      <x:c r="A5818" t="str">
        <x:v>CA-2015-150196</x:v>
      </x:c>
      <x:c r="B5818" s="18" t="n">
        <x:v>42187</x:v>
      </x:c>
      <x:c r="C5818" t="str">
        <x:v>SR-20740</x:v>
      </x:c>
      <x:c r="D5818" t="str">
        <x:v>Steven Roelle</x:v>
      </x:c>
      <x:c r="E5818" t="str">
        <x:v>Home Office</x:v>
      </x:c>
      <x:c r="F5818" t="str">
        <x:v>East</x:v>
      </x:c>
      <x:c r="G5818" t="str">
        <x:v>Office Supplies</x:v>
      </x:c>
      <x:c r="H5818" t="str">
        <x:v>Paper</x:v>
      </x:c>
      <x:c r="I5818" s="22" t="n">
        <x:v>19.44</x:v>
      </x:c>
      <x:c r="J5818" s="24" t="n">
        <x:v>3</x:v>
      </x:c>
      <x:c r="K5818" s="26" t="n">
        <x:v>0</x:v>
      </x:c>
      <x:c r="L5818" s="22" t="n">
        <x:v>9.3312</x:v>
      </x:c>
      <x:c r="M5818" t="n">
        <x:v>2015</x:v>
      </x:c>
      <x:c r="N5818" s="20" t="n">
        <x:v>42186</x:v>
      </x:c>
    </x:row>
    <x:row r="5819" ht="18" customHeight="1">
      <x:c r="A5819" t="str">
        <x:v>US-2015-106495</x:v>
      </x:c>
      <x:c r="B5819" s="18" t="n">
        <x:v>42170</x:v>
      </x:c>
      <x:c r="C5819" t="str">
        <x:v>AC-10450</x:v>
      </x:c>
      <x:c r="D5819" t="str">
        <x:v>Amy Cox</x:v>
      </x:c>
      <x:c r="E5819" t="str">
        <x:v>Consumer</x:v>
      </x:c>
      <x:c r="F5819" t="str">
        <x:v>South</x:v>
      </x:c>
      <x:c r="G5819" t="str">
        <x:v>Technology</x:v>
      </x:c>
      <x:c r="H5819" t="str">
        <x:v>Accessories</x:v>
      </x:c>
      <x:c r="I5819" s="22" t="n">
        <x:v>11.672</x:v>
      </x:c>
      <x:c r="J5819" s="24" t="n">
        <x:v>1</x:v>
      </x:c>
      <x:c r="K5819" s="26" t="n">
        <x:v>0.2</x:v>
      </x:c>
      <x:c r="L5819" s="22" t="n">
        <x:v>-0.7295000000000007</x:v>
      </x:c>
      <x:c r="M5819" t="n">
        <x:v>2015</x:v>
      </x:c>
      <x:c r="N5819" s="20" t="n">
        <x:v>42156</x:v>
      </x:c>
    </x:row>
    <x:row r="5820" ht="18" customHeight="1">
      <x:c r="A5820" t="str">
        <x:v>CA-2014-124730</x:v>
      </x:c>
      <x:c r="B5820" s="18" t="n">
        <x:v>41969</x:v>
      </x:c>
      <x:c r="C5820" t="str">
        <x:v>LS-17245</x:v>
      </x:c>
      <x:c r="D5820" t="str">
        <x:v>Lynn Smith</x:v>
      </x:c>
      <x:c r="E5820" t="str">
        <x:v>Consumer</x:v>
      </x:c>
      <x:c r="F5820" t="str">
        <x:v>East</x:v>
      </x:c>
      <x:c r="G5820" t="str">
        <x:v>Technology</x:v>
      </x:c>
      <x:c r="H5820" t="str">
        <x:v>Phones</x:v>
      </x:c>
      <x:c r="I5820" s="22" t="n">
        <x:v>279.96</x:v>
      </x:c>
      <x:c r="J5820" s="24" t="n">
        <x:v>4</x:v>
      </x:c>
      <x:c r="K5820" s="26" t="n">
        <x:v>0</x:v>
      </x:c>
      <x:c r="L5820" s="22" t="n">
        <x:v>78.3888</x:v>
      </x:c>
      <x:c r="M5820" t="n">
        <x:v>2014</x:v>
      </x:c>
      <x:c r="N5820" s="20" t="n">
        <x:v>41944</x:v>
      </x:c>
    </x:row>
    <x:row r="5821" ht="18" customHeight="1">
      <x:c r="A5821" t="str">
        <x:v>CA-2014-124730</x:v>
      </x:c>
      <x:c r="B5821" s="18" t="n">
        <x:v>41969</x:v>
      </x:c>
      <x:c r="C5821" t="str">
        <x:v>LS-17245</x:v>
      </x:c>
      <x:c r="D5821" t="str">
        <x:v>Lynn Smith</x:v>
      </x:c>
      <x:c r="E5821" t="str">
        <x:v>Consumer</x:v>
      </x:c>
      <x:c r="F5821" t="str">
        <x:v>East</x:v>
      </x:c>
      <x:c r="G5821" t="str">
        <x:v>Office Supplies</x:v>
      </x:c>
      <x:c r="H5821" t="str">
        <x:v>Binders</x:v>
      </x:c>
      <x:c r="I5821" s="22" t="n">
        <x:v>12.912</x:v>
      </x:c>
      <x:c r="J5821" s="24" t="n">
        <x:v>3</x:v>
      </x:c>
      <x:c r="K5821" s="26" t="n">
        <x:v>0.2</x:v>
      </x:c>
      <x:c r="L5821" s="22" t="n">
        <x:v>4.6806</x:v>
      </x:c>
      <x:c r="M5821" t="n">
        <x:v>2014</x:v>
      </x:c>
      <x:c r="N5821" s="20" t="n">
        <x:v>41944</x:v>
      </x:c>
    </x:row>
    <x:row r="5822" ht="18" customHeight="1">
      <x:c r="A5822" t="str">
        <x:v>CA-2014-124730</x:v>
      </x:c>
      <x:c r="B5822" s="18" t="n">
        <x:v>41969</x:v>
      </x:c>
      <x:c r="C5822" t="str">
        <x:v>LS-17245</x:v>
      </x:c>
      <x:c r="D5822" t="str">
        <x:v>Lynn Smith</x:v>
      </x:c>
      <x:c r="E5822" t="str">
        <x:v>Consumer</x:v>
      </x:c>
      <x:c r="F5822" t="str">
        <x:v>East</x:v>
      </x:c>
      <x:c r="G5822" t="str">
        <x:v>Office Supplies</x:v>
      </x:c>
      <x:c r="H5822" t="str">
        <x:v>Binders</x:v>
      </x:c>
      <x:c r="I5822" s="22" t="n">
        <x:v>17.088</x:v>
      </x:c>
      <x:c r="J5822" s="24" t="n">
        <x:v>4</x:v>
      </x:c>
      <x:c r="K5822" s="26" t="n">
        <x:v>0.2</x:v>
      </x:c>
      <x:c r="L5822" s="22" t="n">
        <x:v>5.767199999999999</x:v>
      </x:c>
      <x:c r="M5822" t="n">
        <x:v>2014</x:v>
      </x:c>
      <x:c r="N5822" s="20" t="n">
        <x:v>41944</x:v>
      </x:c>
    </x:row>
    <x:row r="5823" ht="18" customHeight="1">
      <x:c r="A5823" t="str">
        <x:v>CA-2014-124730</x:v>
      </x:c>
      <x:c r="B5823" s="18" t="n">
        <x:v>41969</x:v>
      </x:c>
      <x:c r="C5823" t="str">
        <x:v>LS-17245</x:v>
      </x:c>
      <x:c r="D5823" t="str">
        <x:v>Lynn Smith</x:v>
      </x:c>
      <x:c r="E5823" t="str">
        <x:v>Consumer</x:v>
      </x:c>
      <x:c r="F5823" t="str">
        <x:v>East</x:v>
      </x:c>
      <x:c r="G5823" t="str">
        <x:v>Office Supplies</x:v>
      </x:c>
      <x:c r="H5823" t="str">
        <x:v>Labels</x:v>
      </x:c>
      <x:c r="I5823" s="22" t="n">
        <x:v>93.14999999999999</x:v>
      </x:c>
      <x:c r="J5823" s="24" t="n">
        <x:v>9</x:v>
      </x:c>
      <x:c r="K5823" s="26" t="n">
        <x:v>0</x:v>
      </x:c>
      <x:c r="L5823" s="22" t="n">
        <x:v>44.712</x:v>
      </x:c>
      <x:c r="M5823" t="n">
        <x:v>2014</x:v>
      </x:c>
      <x:c r="N5823" s="20" t="n">
        <x:v>41944</x:v>
      </x:c>
    </x:row>
    <x:row r="5824" ht="18" customHeight="1">
      <x:c r="A5824" t="str">
        <x:v>CA-2014-124730</x:v>
      </x:c>
      <x:c r="B5824" s="18" t="n">
        <x:v>41969</x:v>
      </x:c>
      <x:c r="C5824" t="str">
        <x:v>LS-17245</x:v>
      </x:c>
      <x:c r="D5824" t="str">
        <x:v>Lynn Smith</x:v>
      </x:c>
      <x:c r="E5824" t="str">
        <x:v>Consumer</x:v>
      </x:c>
      <x:c r="F5824" t="str">
        <x:v>East</x:v>
      </x:c>
      <x:c r="G5824" t="str">
        <x:v>Office Supplies</x:v>
      </x:c>
      <x:c r="H5824" t="str">
        <x:v>Labels</x:v>
      </x:c>
      <x:c r="I5824" s="22" t="n">
        <x:v>11.52</x:v>
      </x:c>
      <x:c r="J5824" s="24" t="n">
        <x:v>4</x:v>
      </x:c>
      <x:c r="K5824" s="26" t="n">
        <x:v>0</x:v>
      </x:c>
      <x:c r="L5824" s="22" t="n">
        <x:v>5.6448</x:v>
      </x:c>
      <x:c r="M5824" t="n">
        <x:v>2014</x:v>
      </x:c>
      <x:c r="N5824" s="20" t="n">
        <x:v>41944</x:v>
      </x:c>
    </x:row>
    <x:row r="5825" ht="18" customHeight="1">
      <x:c r="A5825" t="str">
        <x:v>CA-2017-117632</x:v>
      </x:c>
      <x:c r="B5825" s="18" t="n">
        <x:v>42867</x:v>
      </x:c>
      <x:c r="C5825" t="str">
        <x:v>CS-12175</x:v>
      </x:c>
      <x:c r="D5825" t="str">
        <x:v>Charles Sheldon</x:v>
      </x:c>
      <x:c r="E5825" t="str">
        <x:v>Corporate</x:v>
      </x:c>
      <x:c r="F5825" t="str">
        <x:v>West</x:v>
      </x:c>
      <x:c r="G5825" t="str">
        <x:v>Office Supplies</x:v>
      </x:c>
      <x:c r="H5825" t="str">
        <x:v>Supplies</x:v>
      </x:c>
      <x:c r="I5825" s="22" t="n">
        <x:v>238.62</x:v>
      </x:c>
      <x:c r="J5825" s="24" t="n">
        <x:v>2</x:v>
      </x:c>
      <x:c r="K5825" s="26" t="n">
        <x:v>0</x:v>
      </x:c>
      <x:c r="L5825" s="22" t="n">
        <x:v>4.772400000000005</x:v>
      </x:c>
      <x:c r="M5825" t="n">
        <x:v>2017</x:v>
      </x:c>
      <x:c r="N5825" s="20" t="n">
        <x:v>42856</x:v>
      </x:c>
    </x:row>
    <x:row r="5826" ht="18" customHeight="1">
      <x:c r="A5826" t="str">
        <x:v>CA-2017-117632</x:v>
      </x:c>
      <x:c r="B5826" s="18" t="n">
        <x:v>42867</x:v>
      </x:c>
      <x:c r="C5826" t="str">
        <x:v>CS-12175</x:v>
      </x:c>
      <x:c r="D5826" t="str">
        <x:v>Charles Sheldon</x:v>
      </x:c>
      <x:c r="E5826" t="str">
        <x:v>Corporate</x:v>
      </x:c>
      <x:c r="F5826" t="str">
        <x:v>West</x:v>
      </x:c>
      <x:c r="G5826" t="str">
        <x:v>Office Supplies</x:v>
      </x:c>
      <x:c r="H5826" t="str">
        <x:v>Appliances</x:v>
      </x:c>
      <x:c r="I5826" s="22" t="n">
        <x:v>7.77</x:v>
      </x:c>
      <x:c r="J5826" s="24" t="n">
        <x:v>1</x:v>
      </x:c>
      <x:c r="K5826" s="26" t="n">
        <x:v>0</x:v>
      </x:c>
      <x:c r="L5826" s="22" t="n">
        <x:v>2.0979</x:v>
      </x:c>
      <x:c r="M5826" t="n">
        <x:v>2017</x:v>
      </x:c>
      <x:c r="N5826" s="20" t="n">
        <x:v>42856</x:v>
      </x:c>
    </x:row>
    <x:row r="5827" ht="18" customHeight="1">
      <x:c r="A5827" t="str">
        <x:v>CA-2017-117632</x:v>
      </x:c>
      <x:c r="B5827" s="18" t="n">
        <x:v>42867</x:v>
      </x:c>
      <x:c r="C5827" t="str">
        <x:v>CS-12175</x:v>
      </x:c>
      <x:c r="D5827" t="str">
        <x:v>Charles Sheldon</x:v>
      </x:c>
      <x:c r="E5827" t="str">
        <x:v>Corporate</x:v>
      </x:c>
      <x:c r="F5827" t="str">
        <x:v>West</x:v>
      </x:c>
      <x:c r="G5827" t="str">
        <x:v>Furniture</x:v>
      </x:c>
      <x:c r="H5827" t="str">
        <x:v>Tables</x:v>
      </x:c>
      <x:c r="I5827" s="22" t="n">
        <x:v>285.48</x:v>
      </x:c>
      <x:c r="J5827" s="24" t="n">
        <x:v>5</x:v>
      </x:c>
      <x:c r="K5827" s="26" t="n">
        <x:v>0.2</x:v>
      </x:c>
      <x:c r="L5827" s="22" t="n">
        <x:v>-10.705500000000043</x:v>
      </x:c>
      <x:c r="M5827" t="n">
        <x:v>2017</x:v>
      </x:c>
      <x:c r="N5827" s="20" t="n">
        <x:v>42856</x:v>
      </x:c>
    </x:row>
    <x:row r="5828" ht="18" customHeight="1">
      <x:c r="A5828" t="str">
        <x:v>CA-2017-117632</x:v>
      </x:c>
      <x:c r="B5828" s="18" t="n">
        <x:v>42867</x:v>
      </x:c>
      <x:c r="C5828" t="str">
        <x:v>CS-12175</x:v>
      </x:c>
      <x:c r="D5828" t="str">
        <x:v>Charles Sheldon</x:v>
      </x:c>
      <x:c r="E5828" t="str">
        <x:v>Corporate</x:v>
      </x:c>
      <x:c r="F5828" t="str">
        <x:v>West</x:v>
      </x:c>
      <x:c r="G5828" t="str">
        <x:v>Office Supplies</x:v>
      </x:c>
      <x:c r="H5828" t="str">
        <x:v>Binders</x:v>
      </x:c>
      <x:c r="I5828" s="22" t="n">
        <x:v>19.168000000000003</x:v>
      </x:c>
      <x:c r="J5828" s="24" t="n">
        <x:v>4</x:v>
      </x:c>
      <x:c r="K5828" s="26" t="n">
        <x:v>0.2</x:v>
      </x:c>
      <x:c r="L5828" s="22" t="n">
        <x:v>6.4692</x:v>
      </x:c>
      <x:c r="M5828" t="n">
        <x:v>2017</x:v>
      </x:c>
      <x:c r="N5828" s="20" t="n">
        <x:v>42856</x:v>
      </x:c>
    </x:row>
    <x:row r="5829" ht="18" customHeight="1">
      <x:c r="A5829" t="str">
        <x:v>CA-2014-115056</x:v>
      </x:c>
      <x:c r="B5829" s="18" t="n">
        <x:v>41761</x:v>
      </x:c>
      <x:c r="C5829" t="str">
        <x:v>AR-10510</x:v>
      </x:c>
      <x:c r="D5829" t="str">
        <x:v>Andrew Roberts</x:v>
      </x:c>
      <x:c r="E5829" t="str">
        <x:v>Consumer</x:v>
      </x:c>
      <x:c r="F5829" t="str">
        <x:v>East</x:v>
      </x:c>
      <x:c r="G5829" t="str">
        <x:v>Office Supplies</x:v>
      </x:c>
      <x:c r="H5829" t="str">
        <x:v>Appliances</x:v>
      </x:c>
      <x:c r="I5829" s="22" t="n">
        <x:v>26.136000000000003</x:v>
      </x:c>
      <x:c r="J5829" s="24" t="n">
        <x:v>3</x:v>
      </x:c>
      <x:c r="K5829" s="26" t="n">
        <x:v>0.2</x:v>
      </x:c>
      <x:c r="L5829" s="22" t="n">
        <x:v>1.9602000000000004</x:v>
      </x:c>
      <x:c r="M5829" t="n">
        <x:v>2014</x:v>
      </x:c>
      <x:c r="N5829" s="20" t="n">
        <x:v>41760</x:v>
      </x:c>
    </x:row>
    <x:row r="5830" ht="18" customHeight="1">
      <x:c r="A5830" t="str">
        <x:v>CA-2017-161067</x:v>
      </x:c>
      <x:c r="B5830" s="18" t="n">
        <x:v>42981</x:v>
      </x:c>
      <x:c r="C5830" t="str">
        <x:v>KB-16405</x:v>
      </x:c>
      <x:c r="D5830" t="str">
        <x:v>Katrina Bavinger</x:v>
      </x:c>
      <x:c r="E5830" t="str">
        <x:v>Home Office</x:v>
      </x:c>
      <x:c r="F5830" t="str">
        <x:v>East</x:v>
      </x:c>
      <x:c r="G5830" t="str">
        <x:v>Office Supplies</x:v>
      </x:c>
      <x:c r="H5830" t="str">
        <x:v>Paper</x:v>
      </x:c>
      <x:c r="I5830" s="22" t="n">
        <x:v>419.4</x:v>
      </x:c>
      <x:c r="J5830" s="24" t="n">
        <x:v>4</x:v>
      </x:c>
      <x:c r="K5830" s="26" t="n">
        <x:v>0</x:v>
      </x:c>
      <x:c r="L5830" s="22" t="n">
        <x:v>201.31199999999998</x:v>
      </x:c>
      <x:c r="M5830" t="n">
        <x:v>2017</x:v>
      </x:c>
      <x:c r="N5830" s="20" t="n">
        <x:v>42979</x:v>
      </x:c>
    </x:row>
    <x:row r="5831" ht="18" customHeight="1">
      <x:c r="A5831" t="str">
        <x:v>CA-2017-161067</x:v>
      </x:c>
      <x:c r="B5831" s="18" t="n">
        <x:v>42981</x:v>
      </x:c>
      <x:c r="C5831" t="str">
        <x:v>KB-16405</x:v>
      </x:c>
      <x:c r="D5831" t="str">
        <x:v>Katrina Bavinger</x:v>
      </x:c>
      <x:c r="E5831" t="str">
        <x:v>Home Office</x:v>
      </x:c>
      <x:c r="F5831" t="str">
        <x:v>East</x:v>
      </x:c>
      <x:c r="G5831" t="str">
        <x:v>Furniture</x:v>
      </x:c>
      <x:c r="H5831" t="str">
        <x:v>Chairs</x:v>
      </x:c>
      <x:c r="I5831" s="22" t="n">
        <x:v>90.801</x:v>
      </x:c>
      <x:c r="J5831" s="24" t="n">
        <x:v>1</x:v>
      </x:c>
      <x:c r="K5831" s="26" t="n">
        <x:v>0.1</x:v>
      </x:c>
      <x:c r="L5831" s="22" t="n">
        <x:v>14.1246</x:v>
      </x:c>
      <x:c r="M5831" t="n">
        <x:v>2017</x:v>
      </x:c>
      <x:c r="N5831" s="20" t="n">
        <x:v>42979</x:v>
      </x:c>
    </x:row>
    <x:row r="5832" ht="18" customHeight="1">
      <x:c r="A5832" t="str">
        <x:v>CA-2017-161067</x:v>
      </x:c>
      <x:c r="B5832" s="18" t="n">
        <x:v>42981</x:v>
      </x:c>
      <x:c r="C5832" t="str">
        <x:v>KB-16405</x:v>
      </x:c>
      <x:c r="D5832" t="str">
        <x:v>Katrina Bavinger</x:v>
      </x:c>
      <x:c r="E5832" t="str">
        <x:v>Home Office</x:v>
      </x:c>
      <x:c r="F5832" t="str">
        <x:v>East</x:v>
      </x:c>
      <x:c r="G5832" t="str">
        <x:v>Furniture</x:v>
      </x:c>
      <x:c r="H5832" t="str">
        <x:v>Chairs</x:v>
      </x:c>
      <x:c r="I5832" s="22" t="n">
        <x:v>181.764</x:v>
      </x:c>
      <x:c r="J5832" s="24" t="n">
        <x:v>2</x:v>
      </x:c>
      <x:c r="K5832" s="26" t="n">
        <x:v>0.1</x:v>
      </x:c>
      <x:c r="L5832" s="22" t="n">
        <x:v>-8.07840000000002</x:v>
      </x:c>
      <x:c r="M5832" t="n">
        <x:v>2017</x:v>
      </x:c>
      <x:c r="N5832" s="20" t="n">
        <x:v>42979</x:v>
      </x:c>
    </x:row>
    <x:row r="5833" ht="18" customHeight="1">
      <x:c r="A5833" t="str">
        <x:v>CA-2017-161067</x:v>
      </x:c>
      <x:c r="B5833" s="18" t="n">
        <x:v>42981</x:v>
      </x:c>
      <x:c r="C5833" t="str">
        <x:v>KB-16405</x:v>
      </x:c>
      <x:c r="D5833" t="str">
        <x:v>Katrina Bavinger</x:v>
      </x:c>
      <x:c r="E5833" t="str">
        <x:v>Home Office</x:v>
      </x:c>
      <x:c r="F5833" t="str">
        <x:v>East</x:v>
      </x:c>
      <x:c r="G5833" t="str">
        <x:v>Office Supplies</x:v>
      </x:c>
      <x:c r="H5833" t="str">
        <x:v>Art</x:v>
      </x:c>
      <x:c r="I5833" s="22" t="n">
        <x:v>5.56</x:v>
      </x:c>
      <x:c r="J5833" s="24" t="n">
        <x:v>2</x:v>
      </x:c>
      <x:c r="K5833" s="26" t="n">
        <x:v>0</x:v>
      </x:c>
      <x:c r="L5833" s="22" t="n">
        <x:v>2.2239999999999998</x:v>
      </x:c>
      <x:c r="M5833" t="n">
        <x:v>2017</x:v>
      </x:c>
      <x:c r="N5833" s="20" t="n">
        <x:v>42979</x:v>
      </x:c>
    </x:row>
    <x:row r="5834" ht="18" customHeight="1">
      <x:c r="A5834" t="str">
        <x:v>CA-2016-122063</x:v>
      </x:c>
      <x:c r="B5834" s="18" t="n">
        <x:v>42707</x:v>
      </x:c>
      <x:c r="C5834" t="str">
        <x:v>MM-17920</x:v>
      </x:c>
      <x:c r="D5834" t="str">
        <x:v>Michael Moore</x:v>
      </x:c>
      <x:c r="E5834" t="str">
        <x:v>Consumer</x:v>
      </x:c>
      <x:c r="F5834" t="str">
        <x:v>Central</x:v>
      </x:c>
      <x:c r="G5834" t="str">
        <x:v>Furniture</x:v>
      </x:c>
      <x:c r="H5834" t="str">
        <x:v>Tables</x:v>
      </x:c>
      <x:c r="I5834" s="22" t="n">
        <x:v>581.96</x:v>
      </x:c>
      <x:c r="J5834" s="24" t="n">
        <x:v>2</x:v>
      </x:c>
      <x:c r="K5834" s="26" t="n">
        <x:v>0</x:v>
      </x:c>
      <x:c r="L5834" s="22" t="n">
        <x:v>104.75279999999998</x:v>
      </x:c>
      <x:c r="M5834" t="n">
        <x:v>2016</x:v>
      </x:c>
      <x:c r="N5834" s="20" t="n">
        <x:v>42705</x:v>
      </x:c>
    </x:row>
    <x:row r="5835" ht="18" customHeight="1">
      <x:c r="A5835" t="str">
        <x:v>CA-2016-122063</x:v>
      </x:c>
      <x:c r="B5835" s="18" t="n">
        <x:v>42707</x:v>
      </x:c>
      <x:c r="C5835" t="str">
        <x:v>MM-17920</x:v>
      </x:c>
      <x:c r="D5835" t="str">
        <x:v>Michael Moore</x:v>
      </x:c>
      <x:c r="E5835" t="str">
        <x:v>Consumer</x:v>
      </x:c>
      <x:c r="F5835" t="str">
        <x:v>Central</x:v>
      </x:c>
      <x:c r="G5835" t="str">
        <x:v>Furniture</x:v>
      </x:c>
      <x:c r="H5835" t="str">
        <x:v>Chairs</x:v>
      </x:c>
      <x:c r="I5835" s="22" t="n">
        <x:v>29.98</x:v>
      </x:c>
      <x:c r="J5835" s="24" t="n">
        <x:v>1</x:v>
      </x:c>
      <x:c r="K5835" s="26" t="n">
        <x:v>0</x:v>
      </x:c>
      <x:c r="L5835" s="22" t="n">
        <x:v>8.0946</x:v>
      </x:c>
      <x:c r="M5835" t="n">
        <x:v>2016</x:v>
      </x:c>
      <x:c r="N5835" s="20" t="n">
        <x:v>42705</x:v>
      </x:c>
    </x:row>
    <x:row r="5836" ht="18" customHeight="1">
      <x:c r="A5836" t="str">
        <x:v>CA-2015-111206</x:v>
      </x:c>
      <x:c r="B5836" s="18" t="n">
        <x:v>42203</x:v>
      </x:c>
      <x:c r="C5836" t="str">
        <x:v>RF-19735</x:v>
      </x:c>
      <x:c r="D5836" t="str">
        <x:v>Roland Fjeld</x:v>
      </x:c>
      <x:c r="E5836" t="str">
        <x:v>Consumer</x:v>
      </x:c>
      <x:c r="F5836" t="str">
        <x:v>West</x:v>
      </x:c>
      <x:c r="G5836" t="str">
        <x:v>Technology</x:v>
      </x:c>
      <x:c r="H5836" t="str">
        <x:v>Accessories</x:v>
      </x:c>
      <x:c r="I5836" s="22" t="n">
        <x:v>519.96</x:v>
      </x:c>
      <x:c r="J5836" s="24" t="n">
        <x:v>4</x:v>
      </x:c>
      <x:c r="K5836" s="26" t="n">
        <x:v>0</x:v>
      </x:c>
      <x:c r="L5836" s="22" t="n">
        <x:v>176.78640000000001</x:v>
      </x:c>
      <x:c r="M5836" t="n">
        <x:v>2015</x:v>
      </x:c>
      <x:c r="N5836" s="20" t="n">
        <x:v>42186</x:v>
      </x:c>
    </x:row>
    <x:row r="5837" ht="18" customHeight="1">
      <x:c r="A5837" t="str">
        <x:v>CA-2016-142895</x:v>
      </x:c>
      <x:c r="B5837" s="18" t="n">
        <x:v>42572</x:v>
      </x:c>
      <x:c r="C5837" t="str">
        <x:v>BP-11290</x:v>
      </x:c>
      <x:c r="D5837" t="str">
        <x:v>Beth Paige</x:v>
      </x:c>
      <x:c r="E5837" t="str">
        <x:v>Consumer</x:v>
      </x:c>
      <x:c r="F5837" t="str">
        <x:v>South</x:v>
      </x:c>
      <x:c r="G5837" t="str">
        <x:v>Office Supplies</x:v>
      </x:c>
      <x:c r="H5837" t="str">
        <x:v>Labels</x:v>
      </x:c>
      <x:c r="I5837" s="22" t="n">
        <x:v>6.264</x:v>
      </x:c>
      <x:c r="J5837" s="24" t="n">
        <x:v>3</x:v>
      </x:c>
      <x:c r="K5837" s="26" t="n">
        <x:v>0.2</x:v>
      </x:c>
      <x:c r="L5837" s="22" t="n">
        <x:v>2.0358</x:v>
      </x:c>
      <x:c r="M5837" t="n">
        <x:v>2016</x:v>
      </x:c>
      <x:c r="N5837" s="20" t="n">
        <x:v>42552</x:v>
      </x:c>
    </x:row>
    <x:row r="5838" ht="18" customHeight="1">
      <x:c r="A5838" t="str">
        <x:v>CA-2016-142895</x:v>
      </x:c>
      <x:c r="B5838" s="18" t="n">
        <x:v>42572</x:v>
      </x:c>
      <x:c r="C5838" t="str">
        <x:v>BP-11290</x:v>
      </x:c>
      <x:c r="D5838" t="str">
        <x:v>Beth Paige</x:v>
      </x:c>
      <x:c r="E5838" t="str">
        <x:v>Consumer</x:v>
      </x:c>
      <x:c r="F5838" t="str">
        <x:v>South</x:v>
      </x:c>
      <x:c r="G5838" t="str">
        <x:v>Furniture</x:v>
      </x:c>
      <x:c r="H5838" t="str">
        <x:v>Chairs</x:v>
      </x:c>
      <x:c r="I5838" s="22" t="n">
        <x:v>363.92</x:v>
      </x:c>
      <x:c r="J5838" s="24" t="n">
        <x:v>5</x:v>
      </x:c>
      <x:c r="K5838" s="26" t="n">
        <x:v>0.2</x:v>
      </x:c>
      <x:c r="L5838" s="22" t="n">
        <x:v>0</x:v>
      </x:c>
      <x:c r="M5838" t="n">
        <x:v>2016</x:v>
      </x:c>
      <x:c r="N5838" s="20" t="n">
        <x:v>42552</x:v>
      </x:c>
    </x:row>
    <x:row r="5839" ht="18" customHeight="1">
      <x:c r="A5839" t="str">
        <x:v>CA-2015-101868</x:v>
      </x:c>
      <x:c r="B5839" s="18" t="n">
        <x:v>42164</x:v>
      </x:c>
      <x:c r="C5839" t="str">
        <x:v>MJ-17740</x:v>
      </x:c>
      <x:c r="D5839" t="str">
        <x:v>Max Jones</x:v>
      </x:c>
      <x:c r="E5839" t="str">
        <x:v>Consumer</x:v>
      </x:c>
      <x:c r="F5839" t="str">
        <x:v>South</x:v>
      </x:c>
      <x:c r="G5839" t="str">
        <x:v>Office Supplies</x:v>
      </x:c>
      <x:c r="H5839" t="str">
        <x:v>Binders</x:v>
      </x:c>
      <x:c r="I5839" s="22" t="n">
        <x:v>64.2</x:v>
      </x:c>
      <x:c r="J5839" s="24" t="n">
        <x:v>5</x:v>
      </x:c>
      <x:c r="K5839" s="26" t="n">
        <x:v>0.7</x:v>
      </x:c>
      <x:c r="L5839" s="22" t="n">
        <x:v>-42.79999999999998</x:v>
      </x:c>
      <x:c r="M5839" t="n">
        <x:v>2015</x:v>
      </x:c>
      <x:c r="N5839" s="20" t="n">
        <x:v>42156</x:v>
      </x:c>
    </x:row>
    <x:row r="5840" ht="18" customHeight="1">
      <x:c r="A5840" t="str">
        <x:v>CA-2015-101868</x:v>
      </x:c>
      <x:c r="B5840" s="18" t="n">
        <x:v>42164</x:v>
      </x:c>
      <x:c r="C5840" t="str">
        <x:v>MJ-17740</x:v>
      </x:c>
      <x:c r="D5840" t="str">
        <x:v>Max Jones</x:v>
      </x:c>
      <x:c r="E5840" t="str">
        <x:v>Consumer</x:v>
      </x:c>
      <x:c r="F5840" t="str">
        <x:v>South</x:v>
      </x:c>
      <x:c r="G5840" t="str">
        <x:v>Office Supplies</x:v>
      </x:c>
      <x:c r="H5840" t="str">
        <x:v>Binders</x:v>
      </x:c>
      <x:c r="I5840" s="22" t="n">
        <x:v>38.52</x:v>
      </x:c>
      <x:c r="J5840" s="24" t="n">
        <x:v>3</x:v>
      </x:c>
      <x:c r="K5840" s="26" t="n">
        <x:v>0.7</x:v>
      </x:c>
      <x:c r="L5840" s="22" t="n">
        <x:v>-26.964</x:v>
      </x:c>
      <x:c r="M5840" t="n">
        <x:v>2015</x:v>
      </x:c>
      <x:c r="N5840" s="20" t="n">
        <x:v>42156</x:v>
      </x:c>
    </x:row>
    <x:row r="5841" ht="18" customHeight="1">
      <x:c r="A5841" t="str">
        <x:v>CA-2015-101868</x:v>
      </x:c>
      <x:c r="B5841" s="18" t="n">
        <x:v>42164</x:v>
      </x:c>
      <x:c r="C5841" t="str">
        <x:v>MJ-17740</x:v>
      </x:c>
      <x:c r="D5841" t="str">
        <x:v>Max Jones</x:v>
      </x:c>
      <x:c r="E5841" t="str">
        <x:v>Consumer</x:v>
      </x:c>
      <x:c r="F5841" t="str">
        <x:v>South</x:v>
      </x:c>
      <x:c r="G5841" t="str">
        <x:v>Technology</x:v>
      </x:c>
      <x:c r="H5841" t="str">
        <x:v>Accessories</x:v>
      </x:c>
      <x:c r="I5841" s="22" t="n">
        <x:v>72.6</x:v>
      </x:c>
      <x:c r="J5841" s="24" t="n">
        <x:v>5</x:v>
      </x:c>
      <x:c r="K5841" s="26" t="n">
        <x:v>0.2</x:v>
      </x:c>
      <x:c r="L5841" s="22" t="n">
        <x:v>-8.167499999999993</x:v>
      </x:c>
      <x:c r="M5841" t="n">
        <x:v>2015</x:v>
      </x:c>
      <x:c r="N5841" s="20" t="n">
        <x:v>42156</x:v>
      </x:c>
    </x:row>
    <x:row r="5842" ht="18" customHeight="1">
      <x:c r="A5842" t="str">
        <x:v>CA-2017-133207</x:v>
      </x:c>
      <x:c r="B5842" s="18" t="n">
        <x:v>43066</x:v>
      </x:c>
      <x:c r="C5842" t="str">
        <x:v>DO-13645</x:v>
      </x:c>
      <x:c r="D5842" t="str">
        <x:v>Doug O'Connell</x:v>
      </x:c>
      <x:c r="E5842" t="str">
        <x:v>Consumer</x:v>
      </x:c>
      <x:c r="F5842" t="str">
        <x:v>West</x:v>
      </x:c>
      <x:c r="G5842" t="str">
        <x:v>Technology</x:v>
      </x:c>
      <x:c r="H5842" t="str">
        <x:v>Phones</x:v>
      </x:c>
      <x:c r="I5842" s="22" t="n">
        <x:v>57.568</x:v>
      </x:c>
      <x:c r="J5842" s="24" t="n">
        <x:v>4</x:v>
      </x:c>
      <x:c r="K5842" s="26" t="n">
        <x:v>0.2</x:v>
      </x:c>
      <x:c r="L5842" s="22" t="n">
        <x:v>5.756800000000002</x:v>
      </x:c>
      <x:c r="M5842" t="n">
        <x:v>2017</x:v>
      </x:c>
      <x:c r="N5842" s="20" t="n">
        <x:v>43040</x:v>
      </x:c>
    </x:row>
    <x:row r="5843" ht="18" customHeight="1">
      <x:c r="A5843" t="str">
        <x:v>CA-2015-132948</x:v>
      </x:c>
      <x:c r="B5843" s="18" t="n">
        <x:v>42090</x:v>
      </x:c>
      <x:c r="C5843" t="str">
        <x:v>MV-17485</x:v>
      </x:c>
      <x:c r="D5843" t="str">
        <x:v>Mark Van Huff</x:v>
      </x:c>
      <x:c r="E5843" t="str">
        <x:v>Consumer</x:v>
      </x:c>
      <x:c r="F5843" t="str">
        <x:v>West</x:v>
      </x:c>
      <x:c r="G5843" t="str">
        <x:v>Office Supplies</x:v>
      </x:c>
      <x:c r="H5843" t="str">
        <x:v>Storage</x:v>
      </x:c>
      <x:c r="I5843" s="22" t="n">
        <x:v>83.69999999999999</x:v>
      </x:c>
      <x:c r="J5843" s="24" t="n">
        <x:v>5</x:v>
      </x:c>
      <x:c r="K5843" s="26" t="n">
        <x:v>0</x:v>
      </x:c>
      <x:c r="L5843" s="22" t="n">
        <x:v>3.3479999999999954</x:v>
      </x:c>
      <x:c r="M5843" t="n">
        <x:v>2015</x:v>
      </x:c>
      <x:c r="N5843" s="20" t="n">
        <x:v>42064</x:v>
      </x:c>
    </x:row>
    <x:row r="5844" ht="18" customHeight="1">
      <x:c r="A5844" t="str">
        <x:v>CA-2015-134992</x:v>
      </x:c>
      <x:c r="B5844" s="18" t="n">
        <x:v>42269</x:v>
      </x:c>
      <x:c r="C5844" t="str">
        <x:v>MG-17875</x:v>
      </x:c>
      <x:c r="D5844" t="str">
        <x:v>Michael Grace</x:v>
      </x:c>
      <x:c r="E5844" t="str">
        <x:v>Home Office</x:v>
      </x:c>
      <x:c r="F5844" t="str">
        <x:v>South</x:v>
      </x:c>
      <x:c r="G5844" t="str">
        <x:v>Office Supplies</x:v>
      </x:c>
      <x:c r="H5844" t="str">
        <x:v>Paper</x:v>
      </x:c>
      <x:c r="I5844" s="22" t="n">
        <x:v>32.400000000000006</x:v>
      </x:c>
      <x:c r="J5844" s="24" t="n">
        <x:v>5</x:v>
      </x:c>
      <x:c r="K5844" s="26" t="n">
        <x:v>0</x:v>
      </x:c>
      <x:c r="L5844" s="22" t="n">
        <x:v>15.552000000000001</x:v>
      </x:c>
      <x:c r="M5844" t="n">
        <x:v>2015</x:v>
      </x:c>
      <x:c r="N5844" s="20" t="n">
        <x:v>42248</x:v>
      </x:c>
    </x:row>
    <x:row r="5845" ht="18" customHeight="1">
      <x:c r="A5845" t="str">
        <x:v>CA-2015-134992</x:v>
      </x:c>
      <x:c r="B5845" s="18" t="n">
        <x:v>42269</x:v>
      </x:c>
      <x:c r="C5845" t="str">
        <x:v>MG-17875</x:v>
      </x:c>
      <x:c r="D5845" t="str">
        <x:v>Michael Grace</x:v>
      </x:c>
      <x:c r="E5845" t="str">
        <x:v>Home Office</x:v>
      </x:c>
      <x:c r="F5845" t="str">
        <x:v>South</x:v>
      </x:c>
      <x:c r="G5845" t="str">
        <x:v>Furniture</x:v>
      </x:c>
      <x:c r="H5845" t="str">
        <x:v>Furnishings</x:v>
      </x:c>
      <x:c r="I5845" s="22" t="n">
        <x:v>47.98</x:v>
      </x:c>
      <x:c r="J5845" s="24" t="n">
        <x:v>2</x:v>
      </x:c>
      <x:c r="K5845" s="26" t="n">
        <x:v>0</x:v>
      </x:c>
      <x:c r="L5845" s="22" t="n">
        <x:v>11.035399999999996</x:v>
      </x:c>
      <x:c r="M5845" t="n">
        <x:v>2015</x:v>
      </x:c>
      <x:c r="N5845" s="20" t="n">
        <x:v>42248</x:v>
      </x:c>
    </x:row>
    <x:row r="5846" ht="18" customHeight="1">
      <x:c r="A5846" t="str">
        <x:v>CA-2015-126725</x:v>
      </x:c>
      <x:c r="B5846" s="18" t="n">
        <x:v>42325</x:v>
      </x:c>
      <x:c r="C5846" t="str">
        <x:v>BS-11665</x:v>
      </x:c>
      <x:c r="D5846" t="str">
        <x:v>Brian Stugart</x:v>
      </x:c>
      <x:c r="E5846" t="str">
        <x:v>Consumer</x:v>
      </x:c>
      <x:c r="F5846" t="str">
        <x:v>West</x:v>
      </x:c>
      <x:c r="G5846" t="str">
        <x:v>Technology</x:v>
      </x:c>
      <x:c r="H5846" t="str">
        <x:v>Phones</x:v>
      </x:c>
      <x:c r="I5846" s="22" t="n">
        <x:v>415.9680000000001</x:v>
      </x:c>
      <x:c r="J5846" s="24" t="n">
        <x:v>4</x:v>
      </x:c>
      <x:c r="K5846" s="26" t="n">
        <x:v>0.2</x:v>
      </x:c>
      <x:c r="L5846" s="22" t="n">
        <x:v>51.99599999999998</x:v>
      </x:c>
      <x:c r="M5846" t="n">
        <x:v>2015</x:v>
      </x:c>
      <x:c r="N5846" s="20" t="n">
        <x:v>42309</x:v>
      </x:c>
    </x:row>
    <x:row r="5847" ht="18" customHeight="1">
      <x:c r="A5847" t="str">
        <x:v>CA-2015-126725</x:v>
      </x:c>
      <x:c r="B5847" s="18" t="n">
        <x:v>42325</x:v>
      </x:c>
      <x:c r="C5847" t="str">
        <x:v>BS-11665</x:v>
      </x:c>
      <x:c r="D5847" t="str">
        <x:v>Brian Stugart</x:v>
      </x:c>
      <x:c r="E5847" t="str">
        <x:v>Consumer</x:v>
      </x:c>
      <x:c r="F5847" t="str">
        <x:v>West</x:v>
      </x:c>
      <x:c r="G5847" t="str">
        <x:v>Office Supplies</x:v>
      </x:c>
      <x:c r="H5847" t="str">
        <x:v>Storage</x:v>
      </x:c>
      <x:c r="I5847" s="22" t="n">
        <x:v>304.9</x:v>
      </x:c>
      <x:c r="J5847" s="24" t="n">
        <x:v>5</x:v>
      </x:c>
      <x:c r="K5847" s="26" t="n">
        <x:v>0</x:v>
      </x:c>
      <x:c r="L5847" s="22" t="n">
        <x:v>6.097999999999999</x:v>
      </x:c>
      <x:c r="M5847" t="n">
        <x:v>2015</x:v>
      </x:c>
      <x:c r="N5847" s="20" t="n">
        <x:v>42309</x:v>
      </x:c>
    </x:row>
    <x:row r="5848" ht="18" customHeight="1">
      <x:c r="A5848" t="str">
        <x:v>CA-2015-126725</x:v>
      </x:c>
      <x:c r="B5848" s="18" t="n">
        <x:v>42325</x:v>
      </x:c>
      <x:c r="C5848" t="str">
        <x:v>BS-11665</x:v>
      </x:c>
      <x:c r="D5848" t="str">
        <x:v>Brian Stugart</x:v>
      </x:c>
      <x:c r="E5848" t="str">
        <x:v>Consumer</x:v>
      </x:c>
      <x:c r="F5848" t="str">
        <x:v>West</x:v>
      </x:c>
      <x:c r="G5848" t="str">
        <x:v>Furniture</x:v>
      </x:c>
      <x:c r="H5848" t="str">
        <x:v>Furnishings</x:v>
      </x:c>
      <x:c r="I5848" s="22" t="n">
        <x:v>80.96</x:v>
      </x:c>
      <x:c r="J5848" s="24" t="n">
        <x:v>4</x:v>
      </x:c>
      <x:c r="K5848" s="26" t="n">
        <x:v>0</x:v>
      </x:c>
      <x:c r="L5848" s="22" t="n">
        <x:v>29.145599999999995</x:v>
      </x:c>
      <x:c r="M5848" t="n">
        <x:v>2015</x:v>
      </x:c>
      <x:c r="N5848" s="20" t="n">
        <x:v>42309</x:v>
      </x:c>
    </x:row>
    <x:row r="5849" ht="18" customHeight="1">
      <x:c r="A5849" t="str">
        <x:v>CA-2015-126725</x:v>
      </x:c>
      <x:c r="B5849" s="18" t="n">
        <x:v>42325</x:v>
      </x:c>
      <x:c r="C5849" t="str">
        <x:v>BS-11665</x:v>
      </x:c>
      <x:c r="D5849" t="str">
        <x:v>Brian Stugart</x:v>
      </x:c>
      <x:c r="E5849" t="str">
        <x:v>Consumer</x:v>
      </x:c>
      <x:c r="F5849" t="str">
        <x:v>West</x:v>
      </x:c>
      <x:c r="G5849" t="str">
        <x:v>Office Supplies</x:v>
      </x:c>
      <x:c r="H5849" t="str">
        <x:v>Storage</x:v>
      </x:c>
      <x:c r="I5849" s="22" t="n">
        <x:v>777.21</x:v>
      </x:c>
      <x:c r="J5849" s="24" t="n">
        <x:v>7</x:v>
      </x:c>
      <x:c r="K5849" s="26" t="n">
        <x:v>0</x:v>
      </x:c>
      <x:c r="L5849" s="22" t="n">
        <x:v>54.40469999999996</x:v>
      </x:c>
      <x:c r="M5849" t="n">
        <x:v>2015</x:v>
      </x:c>
      <x:c r="N5849" s="20" t="n">
        <x:v>42309</x:v>
      </x:c>
    </x:row>
    <x:row r="5850" ht="18" customHeight="1">
      <x:c r="A5850" t="str">
        <x:v>CA-2015-126725</x:v>
      </x:c>
      <x:c r="B5850" s="18" t="n">
        <x:v>42325</x:v>
      </x:c>
      <x:c r="C5850" t="str">
        <x:v>BS-11665</x:v>
      </x:c>
      <x:c r="D5850" t="str">
        <x:v>Brian Stugart</x:v>
      </x:c>
      <x:c r="E5850" t="str">
        <x:v>Consumer</x:v>
      </x:c>
      <x:c r="F5850" t="str">
        <x:v>West</x:v>
      </x:c>
      <x:c r="G5850" t="str">
        <x:v>Office Supplies</x:v>
      </x:c>
      <x:c r="H5850" t="str">
        <x:v>Paper</x:v>
      </x:c>
      <x:c r="I5850" s="22" t="n">
        <x:v>32.400000000000006</x:v>
      </x:c>
      <x:c r="J5850" s="24" t="n">
        <x:v>5</x:v>
      </x:c>
      <x:c r="K5850" s="26" t="n">
        <x:v>0</x:v>
      </x:c>
      <x:c r="L5850" s="22" t="n">
        <x:v>15.552000000000001</x:v>
      </x:c>
      <x:c r="M5850" t="n">
        <x:v>2015</x:v>
      </x:c>
      <x:c r="N5850" s="20" t="n">
        <x:v>42309</x:v>
      </x:c>
    </x:row>
    <x:row r="5851" ht="18" customHeight="1">
      <x:c r="A5851" t="str">
        <x:v>CA-2015-126725</x:v>
      </x:c>
      <x:c r="B5851" s="18" t="n">
        <x:v>42325</x:v>
      </x:c>
      <x:c r="C5851" t="str">
        <x:v>BS-11665</x:v>
      </x:c>
      <x:c r="D5851" t="str">
        <x:v>Brian Stugart</x:v>
      </x:c>
      <x:c r="E5851" t="str">
        <x:v>Consumer</x:v>
      </x:c>
      <x:c r="F5851" t="str">
        <x:v>West</x:v>
      </x:c>
      <x:c r="G5851" t="str">
        <x:v>Furniture</x:v>
      </x:c>
      <x:c r="H5851" t="str">
        <x:v>Chairs</x:v>
      </x:c>
      <x:c r="I5851" s="22" t="n">
        <x:v>225.56799999999998</x:v>
      </x:c>
      <x:c r="J5851" s="24" t="n">
        <x:v>2</x:v>
      </x:c>
      <x:c r="K5851" s="26" t="n">
        <x:v>0.2</x:v>
      </x:c>
      <x:c r="L5851" s="22" t="n">
        <x:v>2.81959999999998</x:v>
      </x:c>
      <x:c r="M5851" t="n">
        <x:v>2015</x:v>
      </x:c>
      <x:c r="N5851" s="20" t="n">
        <x:v>42309</x:v>
      </x:c>
    </x:row>
    <x:row r="5852" ht="18" customHeight="1">
      <x:c r="A5852" t="str">
        <x:v>CA-2015-126725</x:v>
      </x:c>
      <x:c r="B5852" s="18" t="n">
        <x:v>42325</x:v>
      </x:c>
      <x:c r="C5852" t="str">
        <x:v>BS-11665</x:v>
      </x:c>
      <x:c r="D5852" t="str">
        <x:v>Brian Stugart</x:v>
      </x:c>
      <x:c r="E5852" t="str">
        <x:v>Consumer</x:v>
      </x:c>
      <x:c r="F5852" t="str">
        <x:v>West</x:v>
      </x:c>
      <x:c r="G5852" t="str">
        <x:v>Furniture</x:v>
      </x:c>
      <x:c r="H5852" t="str">
        <x:v>Furnishings</x:v>
      </x:c>
      <x:c r="I5852" s="22" t="n">
        <x:v>36.599999999999994</x:v>
      </x:c>
      <x:c r="J5852" s="24" t="n">
        <x:v>3</x:v>
      </x:c>
      <x:c r="K5852" s="26" t="n">
        <x:v>0</x:v>
      </x:c>
      <x:c r="L5852" s="22" t="n">
        <x:v>15.372000000000002</x:v>
      </x:c>
      <x:c r="M5852" t="n">
        <x:v>2015</x:v>
      </x:c>
      <x:c r="N5852" s="20" t="n">
        <x:v>42309</x:v>
      </x:c>
    </x:row>
    <x:row r="5853" ht="18" customHeight="1">
      <x:c r="A5853" t="str">
        <x:v>CA-2015-121783</x:v>
      </x:c>
      <x:c r="B5853" s="18" t="n">
        <x:v>42318</x:v>
      </x:c>
      <x:c r="C5853" t="str">
        <x:v>PO-19180</x:v>
      </x:c>
      <x:c r="D5853" t="str">
        <x:v>Philisse Overcash</x:v>
      </x:c>
      <x:c r="E5853" t="str">
        <x:v>Home Office</x:v>
      </x:c>
      <x:c r="F5853" t="str">
        <x:v>Central</x:v>
      </x:c>
      <x:c r="G5853" t="str">
        <x:v>Office Supplies</x:v>
      </x:c>
      <x:c r="H5853" t="str">
        <x:v>Appliances</x:v>
      </x:c>
      <x:c r="I5853" s="22" t="n">
        <x:v>715.64</x:v>
      </x:c>
      <x:c r="J5853" s="24" t="n">
        <x:v>2</x:v>
      </x:c>
      <x:c r="K5853" s="26" t="n">
        <x:v>0</x:v>
      </x:c>
      <x:c r="L5853" s="22" t="n">
        <x:v>178.90999999999997</x:v>
      </x:c>
      <x:c r="M5853" t="n">
        <x:v>2015</x:v>
      </x:c>
      <x:c r="N5853" s="20" t="n">
        <x:v>42309</x:v>
      </x:c>
    </x:row>
    <x:row r="5854" ht="18" customHeight="1">
      <x:c r="A5854" t="str">
        <x:v>CA-2015-121783</x:v>
      </x:c>
      <x:c r="B5854" s="18" t="n">
        <x:v>42318</x:v>
      </x:c>
      <x:c r="C5854" t="str">
        <x:v>PO-19180</x:v>
      </x:c>
      <x:c r="D5854" t="str">
        <x:v>Philisse Overcash</x:v>
      </x:c>
      <x:c r="E5854" t="str">
        <x:v>Home Office</x:v>
      </x:c>
      <x:c r="F5854" t="str">
        <x:v>Central</x:v>
      </x:c>
      <x:c r="G5854" t="str">
        <x:v>Office Supplies</x:v>
      </x:c>
      <x:c r="H5854" t="str">
        <x:v>Storage</x:v>
      </x:c>
      <x:c r="I5854" s="22" t="n">
        <x:v>795.51</x:v>
      </x:c>
      <x:c r="J5854" s="24" t="n">
        <x:v>3</x:v>
      </x:c>
      <x:c r="K5854" s="26" t="n">
        <x:v>0</x:v>
      </x:c>
      <x:c r="L5854" s="22" t="n">
        <x:v>143.19179999999994</x:v>
      </x:c>
      <x:c r="M5854" t="n">
        <x:v>2015</x:v>
      </x:c>
      <x:c r="N5854" s="20" t="n">
        <x:v>42309</x:v>
      </x:c>
    </x:row>
    <x:row r="5855" ht="18" customHeight="1">
      <x:c r="A5855" t="str">
        <x:v>CA-2015-121783</x:v>
      </x:c>
      <x:c r="B5855" s="18" t="n">
        <x:v>42318</x:v>
      </x:c>
      <x:c r="C5855" t="str">
        <x:v>PO-19180</x:v>
      </x:c>
      <x:c r="D5855" t="str">
        <x:v>Philisse Overcash</x:v>
      </x:c>
      <x:c r="E5855" t="str">
        <x:v>Home Office</x:v>
      </x:c>
      <x:c r="F5855" t="str">
        <x:v>Central</x:v>
      </x:c>
      <x:c r="G5855" t="str">
        <x:v>Technology</x:v>
      </x:c>
      <x:c r="H5855" t="str">
        <x:v>Copiers</x:v>
      </x:c>
      <x:c r="I5855" s="22" t="n">
        <x:v>549.99</x:v>
      </x:c>
      <x:c r="J5855" s="24" t="n">
        <x:v>1</x:v>
      </x:c>
      <x:c r="K5855" s="26" t="n">
        <x:v>0</x:v>
      </x:c>
      <x:c r="L5855" s="22" t="n">
        <x:v>274.995</x:v>
      </x:c>
      <x:c r="M5855" t="n">
        <x:v>2015</x:v>
      </x:c>
      <x:c r="N5855" s="20" t="n">
        <x:v>42309</x:v>
      </x:c>
    </x:row>
    <x:row r="5856" ht="18" customHeight="1">
      <x:c r="A5856" t="str">
        <x:v>CA-2015-121783</x:v>
      </x:c>
      <x:c r="B5856" s="18" t="n">
        <x:v>42318</x:v>
      </x:c>
      <x:c r="C5856" t="str">
        <x:v>PO-19180</x:v>
      </x:c>
      <x:c r="D5856" t="str">
        <x:v>Philisse Overcash</x:v>
      </x:c>
      <x:c r="E5856" t="str">
        <x:v>Home Office</x:v>
      </x:c>
      <x:c r="F5856" t="str">
        <x:v>Central</x:v>
      </x:c>
      <x:c r="G5856" t="str">
        <x:v>Office Supplies</x:v>
      </x:c>
      <x:c r="H5856" t="str">
        <x:v>Binders</x:v>
      </x:c>
      <x:c r="I5856" s="22" t="n">
        <x:v>74.76</x:v>
      </x:c>
      <x:c r="J5856" s="24" t="n">
        <x:v>3</x:v>
      </x:c>
      <x:c r="K5856" s="26" t="n">
        <x:v>0</x:v>
      </x:c>
      <x:c r="L5856" s="22" t="n">
        <x:v>34.3896</x:v>
      </x:c>
      <x:c r="M5856" t="n">
        <x:v>2015</x:v>
      </x:c>
      <x:c r="N5856" s="20" t="n">
        <x:v>42309</x:v>
      </x:c>
    </x:row>
    <x:row r="5857" ht="18" customHeight="1">
      <x:c r="A5857" t="str">
        <x:v>CA-2015-121783</x:v>
      </x:c>
      <x:c r="B5857" s="18" t="n">
        <x:v>42318</x:v>
      </x:c>
      <x:c r="C5857" t="str">
        <x:v>PO-19180</x:v>
      </x:c>
      <x:c r="D5857" t="str">
        <x:v>Philisse Overcash</x:v>
      </x:c>
      <x:c r="E5857" t="str">
        <x:v>Home Office</x:v>
      </x:c>
      <x:c r="F5857" t="str">
        <x:v>Central</x:v>
      </x:c>
      <x:c r="G5857" t="str">
        <x:v>Furniture</x:v>
      </x:c>
      <x:c r="H5857" t="str">
        <x:v>Furnishings</x:v>
      </x:c>
      <x:c r="I5857" s="22" t="n">
        <x:v>29.22</x:v>
      </x:c>
      <x:c r="J5857" s="24" t="n">
        <x:v>3</x:v>
      </x:c>
      <x:c r="K5857" s="26" t="n">
        <x:v>0</x:v>
      </x:c>
      <x:c r="L5857" s="22" t="n">
        <x:v>12.856800000000002</x:v>
      </x:c>
      <x:c r="M5857" t="n">
        <x:v>2015</x:v>
      </x:c>
      <x:c r="N5857" s="20" t="n">
        <x:v>42309</x:v>
      </x:c>
    </x:row>
    <x:row r="5858" ht="18" customHeight="1">
      <x:c r="A5858" t="str">
        <x:v>US-2014-138835</x:v>
      </x:c>
      <x:c r="B5858" s="18" t="n">
        <x:v>41892</x:v>
      </x:c>
      <x:c r="C5858" t="str">
        <x:v>DA-13450</x:v>
      </x:c>
      <x:c r="D5858" t="str">
        <x:v>Dianna Arnett</x:v>
      </x:c>
      <x:c r="E5858" t="str">
        <x:v>Home Office</x:v>
      </x:c>
      <x:c r="F5858" t="str">
        <x:v>South</x:v>
      </x:c>
      <x:c r="G5858" t="str">
        <x:v>Office Supplies</x:v>
      </x:c>
      <x:c r="H5858" t="str">
        <x:v>Binders</x:v>
      </x:c>
      <x:c r="I5858" s="22" t="n">
        <x:v>9.64</x:v>
      </x:c>
      <x:c r="J5858" s="24" t="n">
        <x:v>2</x:v>
      </x:c>
      <x:c r="K5858" s="26" t="n">
        <x:v>0</x:v>
      </x:c>
      <x:c r="L5858" s="22" t="n">
        <x:v>4.7236</x:v>
      </x:c>
      <x:c r="M5858" t="n">
        <x:v>2014</x:v>
      </x:c>
      <x:c r="N5858" s="20" t="n">
        <x:v>41883</x:v>
      </x:c>
    </x:row>
    <x:row r="5859" ht="18" customHeight="1">
      <x:c r="A5859" t="str">
        <x:v>CA-2015-112214</x:v>
      </x:c>
      <x:c r="B5859" s="18" t="n">
        <x:v>42221</x:v>
      </x:c>
      <x:c r="C5859" t="str">
        <x:v>AH-10690</x:v>
      </x:c>
      <x:c r="D5859" t="str">
        <x:v>Anna Häberlin</x:v>
      </x:c>
      <x:c r="E5859" t="str">
        <x:v>Corporate</x:v>
      </x:c>
      <x:c r="F5859" t="str">
        <x:v>Central</x:v>
      </x:c>
      <x:c r="G5859" t="str">
        <x:v>Office Supplies</x:v>
      </x:c>
      <x:c r="H5859" t="str">
        <x:v>Storage</x:v>
      </x:c>
      <x:c r="I5859" s="22" t="n">
        <x:v>33.48800000000001</x:v>
      </x:c>
      <x:c r="J5859" s="24" t="n">
        <x:v>7</x:v>
      </x:c>
      <x:c r="K5859" s="26" t="n">
        <x:v>0.2</x:v>
      </x:c>
      <x:c r="L5859" s="22" t="n">
        <x:v>-1.2558000000000051</x:v>
      </x:c>
      <x:c r="M5859" t="n">
        <x:v>2015</x:v>
      </x:c>
      <x:c r="N5859" s="20" t="n">
        <x:v>42217</x:v>
      </x:c>
    </x:row>
    <x:row r="5860" ht="18" customHeight="1">
      <x:c r="A5860" t="str">
        <x:v>CA-2015-112214</x:v>
      </x:c>
      <x:c r="B5860" s="18" t="n">
        <x:v>42221</x:v>
      </x:c>
      <x:c r="C5860" t="str">
        <x:v>AH-10690</x:v>
      </x:c>
      <x:c r="D5860" t="str">
        <x:v>Anna Häberlin</x:v>
      </x:c>
      <x:c r="E5860" t="str">
        <x:v>Corporate</x:v>
      </x:c>
      <x:c r="F5860" t="str">
        <x:v>Central</x:v>
      </x:c>
      <x:c r="G5860" t="str">
        <x:v>Office Supplies</x:v>
      </x:c>
      <x:c r="H5860" t="str">
        <x:v>Supplies</x:v>
      </x:c>
      <x:c r="I5860" s="22" t="n">
        <x:v>23.04</x:v>
      </x:c>
      <x:c r="J5860" s="24" t="n">
        <x:v>3</x:v>
      </x:c>
      <x:c r="K5860" s="26" t="n">
        <x:v>0.2</x:v>
      </x:c>
      <x:c r="L5860" s="22" t="n">
        <x:v>-4.895999999999999</x:v>
      </x:c>
      <x:c r="M5860" t="n">
        <x:v>2015</x:v>
      </x:c>
      <x:c r="N5860" s="20" t="n">
        <x:v>42217</x:v>
      </x:c>
    </x:row>
    <x:row r="5861" ht="18" customHeight="1">
      <x:c r="A5861" t="str">
        <x:v>CA-2015-112214</x:v>
      </x:c>
      <x:c r="B5861" s="18" t="n">
        <x:v>42221</x:v>
      </x:c>
      <x:c r="C5861" t="str">
        <x:v>AH-10690</x:v>
      </x:c>
      <x:c r="D5861" t="str">
        <x:v>Anna Häberlin</x:v>
      </x:c>
      <x:c r="E5861" t="str">
        <x:v>Corporate</x:v>
      </x:c>
      <x:c r="F5861" t="str">
        <x:v>Central</x:v>
      </x:c>
      <x:c r="G5861" t="str">
        <x:v>Office Supplies</x:v>
      </x:c>
      <x:c r="H5861" t="str">
        <x:v>Binders</x:v>
      </x:c>
      <x:c r="I5861" s="22" t="n">
        <x:v>1.3619999999999997</x:v>
      </x:c>
      <x:c r="J5861" s="24" t="n">
        <x:v>1</x:v>
      </x:c>
      <x:c r="K5861" s="26" t="n">
        <x:v>0.8</x:v>
      </x:c>
      <x:c r="L5861" s="22" t="n">
        <x:v>-2.1792000000000007</x:v>
      </x:c>
      <x:c r="M5861" t="n">
        <x:v>2015</x:v>
      </x:c>
      <x:c r="N5861" s="20" t="n">
        <x:v>42217</x:v>
      </x:c>
    </x:row>
    <x:row r="5862" ht="18" customHeight="1">
      <x:c r="A5862" t="str">
        <x:v>CA-2015-112214</x:v>
      </x:c>
      <x:c r="B5862" s="18" t="n">
        <x:v>42221</x:v>
      </x:c>
      <x:c r="C5862" t="str">
        <x:v>AH-10690</x:v>
      </x:c>
      <x:c r="D5862" t="str">
        <x:v>Anna Häberlin</x:v>
      </x:c>
      <x:c r="E5862" t="str">
        <x:v>Corporate</x:v>
      </x:c>
      <x:c r="F5862" t="str">
        <x:v>Central</x:v>
      </x:c>
      <x:c r="G5862" t="str">
        <x:v>Furniture</x:v>
      </x:c>
      <x:c r="H5862" t="str">
        <x:v>Furnishings</x:v>
      </x:c>
      <x:c r="I5862" s="22" t="n">
        <x:v>14.76</x:v>
      </x:c>
      <x:c r="J5862" s="24" t="n">
        <x:v>5</x:v>
      </x:c>
      <x:c r="K5862" s="26" t="n">
        <x:v>0.6</x:v>
      </x:c>
      <x:c r="L5862" s="22" t="n">
        <x:v>-11.439000000000004</x:v>
      </x:c>
      <x:c r="M5862" t="n">
        <x:v>2015</x:v>
      </x:c>
      <x:c r="N5862" s="20" t="n">
        <x:v>42217</x:v>
      </x:c>
    </x:row>
    <x:row r="5863" ht="18" customHeight="1">
      <x:c r="A5863" t="str">
        <x:v>US-2017-153255</x:v>
      </x:c>
      <x:c r="B5863" s="18" t="n">
        <x:v>42981</x:v>
      </x:c>
      <x:c r="C5863" t="str">
        <x:v>JK-15730</x:v>
      </x:c>
      <x:c r="D5863" t="str">
        <x:v>Joe Kamberova</x:v>
      </x:c>
      <x:c r="E5863" t="str">
        <x:v>Consumer</x:v>
      </x:c>
      <x:c r="F5863" t="str">
        <x:v>West</x:v>
      </x:c>
      <x:c r="G5863" t="str">
        <x:v>Furniture</x:v>
      </x:c>
      <x:c r="H5863" t="str">
        <x:v>Bookcases</x:v>
      </x:c>
      <x:c r="I5863" s="22" t="n">
        <x:v>239.66599999999997</x:v>
      </x:c>
      <x:c r="J5863" s="24" t="n">
        <x:v>2</x:v>
      </x:c>
      <x:c r="K5863" s="26" t="n">
        <x:v>0.15</x:v>
      </x:c>
      <x:c r="L5863" s="22" t="n">
        <x:v>14.097999999999999</x:v>
      </x:c>
      <x:c r="M5863" t="n">
        <x:v>2017</x:v>
      </x:c>
      <x:c r="N5863" s="20" t="n">
        <x:v>42979</x:v>
      </x:c>
    </x:row>
    <x:row r="5864" ht="18" customHeight="1">
      <x:c r="A5864" t="str">
        <x:v>CA-2015-108119</x:v>
      </x:c>
      <x:c r="B5864" s="18" t="n">
        <x:v>42309</x:v>
      </x:c>
      <x:c r="C5864" t="str">
        <x:v>MS-17530</x:v>
      </x:c>
      <x:c r="D5864" t="str">
        <x:v>MaryBeth Skach</x:v>
      </x:c>
      <x:c r="E5864" t="str">
        <x:v>Consumer</x:v>
      </x:c>
      <x:c r="F5864" t="str">
        <x:v>South</x:v>
      </x:c>
      <x:c r="G5864" t="str">
        <x:v>Furniture</x:v>
      </x:c>
      <x:c r="H5864" t="str">
        <x:v>Tables</x:v>
      </x:c>
      <x:c r="I5864" s="22" t="n">
        <x:v>301.96</x:v>
      </x:c>
      <x:c r="J5864" s="24" t="n">
        <x:v>2</x:v>
      </x:c>
      <x:c r="K5864" s="26" t="n">
        <x:v>0</x:v>
      </x:c>
      <x:c r="L5864" s="22" t="n">
        <x:v>45.29399999999998</x:v>
      </x:c>
      <x:c r="M5864" t="n">
        <x:v>2015</x:v>
      </x:c>
      <x:c r="N5864" s="20" t="n">
        <x:v>42309</x:v>
      </x:c>
    </x:row>
    <x:row r="5865" ht="18" customHeight="1">
      <x:c r="A5865" t="str">
        <x:v>CA-2015-157434</x:v>
      </x:c>
      <x:c r="B5865" s="18" t="n">
        <x:v>42123</x:v>
      </x:c>
      <x:c r="C5865" t="str">
        <x:v>JK-15640</x:v>
      </x:c>
      <x:c r="D5865" t="str">
        <x:v>Jim Kriz</x:v>
      </x:c>
      <x:c r="E5865" t="str">
        <x:v>Home Office</x:v>
      </x:c>
      <x:c r="F5865" t="str">
        <x:v>East</x:v>
      </x:c>
      <x:c r="G5865" t="str">
        <x:v>Office Supplies</x:v>
      </x:c>
      <x:c r="H5865" t="str">
        <x:v>Paper</x:v>
      </x:c>
      <x:c r="I5865" s="22" t="n">
        <x:v>7.968000000000001</x:v>
      </x:c>
      <x:c r="J5865" s="24" t="n">
        <x:v>2</x:v>
      </x:c>
      <x:c r="K5865" s="26" t="n">
        <x:v>0.2</x:v>
      </x:c>
      <x:c r="L5865" s="22" t="n">
        <x:v>2.8884000000000007</x:v>
      </x:c>
      <x:c r="M5865" t="n">
        <x:v>2015</x:v>
      </x:c>
      <x:c r="N5865" s="20" t="n">
        <x:v>42095</x:v>
      </x:c>
    </x:row>
    <x:row r="5866" ht="18" customHeight="1">
      <x:c r="A5866" t="str">
        <x:v>CA-2016-101525</x:v>
      </x:c>
      <x:c r="B5866" s="18" t="n">
        <x:v>42491</x:v>
      </x:c>
      <x:c r="C5866" t="str">
        <x:v>CM-12235</x:v>
      </x:c>
      <x:c r="D5866" t="str">
        <x:v>Chris McAfee</x:v>
      </x:c>
      <x:c r="E5866" t="str">
        <x:v>Consumer</x:v>
      </x:c>
      <x:c r="F5866" t="str">
        <x:v>South</x:v>
      </x:c>
      <x:c r="G5866" t="str">
        <x:v>Office Supplies</x:v>
      </x:c>
      <x:c r="H5866" t="str">
        <x:v>Paper</x:v>
      </x:c>
      <x:c r="I5866" s="22" t="n">
        <x:v>109.92</x:v>
      </x:c>
      <x:c r="J5866" s="24" t="n">
        <x:v>2</x:v>
      </x:c>
      <x:c r="K5866" s="26" t="n">
        <x:v>0</x:v>
      </x:c>
      <x:c r="L5866" s="22" t="n">
        <x:v>53.8608</x:v>
      </x:c>
      <x:c r="M5866" t="n">
        <x:v>2016</x:v>
      </x:c>
      <x:c r="N5866" s="20" t="n">
        <x:v>42491</x:v>
      </x:c>
    </x:row>
    <x:row r="5867" ht="18" customHeight="1">
      <x:c r="A5867" t="str">
        <x:v>CA-2016-101525</x:v>
      </x:c>
      <x:c r="B5867" s="18" t="n">
        <x:v>42491</x:v>
      </x:c>
      <x:c r="C5867" t="str">
        <x:v>CM-12235</x:v>
      </x:c>
      <x:c r="D5867" t="str">
        <x:v>Chris McAfee</x:v>
      </x:c>
      <x:c r="E5867" t="str">
        <x:v>Consumer</x:v>
      </x:c>
      <x:c r="F5867" t="str">
        <x:v>South</x:v>
      </x:c>
      <x:c r="G5867" t="str">
        <x:v>Office Supplies</x:v>
      </x:c>
      <x:c r="H5867" t="str">
        <x:v>Paper</x:v>
      </x:c>
      <x:c r="I5867" s="22" t="n">
        <x:v>19.44</x:v>
      </x:c>
      <x:c r="J5867" s="24" t="n">
        <x:v>3</x:v>
      </x:c>
      <x:c r="K5867" s="26" t="n">
        <x:v>0</x:v>
      </x:c>
      <x:c r="L5867" s="22" t="n">
        <x:v>9.3312</x:v>
      </x:c>
      <x:c r="M5867" t="n">
        <x:v>2016</x:v>
      </x:c>
      <x:c r="N5867" s="20" t="n">
        <x:v>42491</x:v>
      </x:c>
    </x:row>
    <x:row r="5868" ht="18" customHeight="1">
      <x:c r="A5868" t="str">
        <x:v>CA-2016-101525</x:v>
      </x:c>
      <x:c r="B5868" s="18" t="n">
        <x:v>42491</x:v>
      </x:c>
      <x:c r="C5868" t="str">
        <x:v>CM-12235</x:v>
      </x:c>
      <x:c r="D5868" t="str">
        <x:v>Chris McAfee</x:v>
      </x:c>
      <x:c r="E5868" t="str">
        <x:v>Consumer</x:v>
      </x:c>
      <x:c r="F5868" t="str">
        <x:v>South</x:v>
      </x:c>
      <x:c r="G5868" t="str">
        <x:v>Office Supplies</x:v>
      </x:c>
      <x:c r="H5868" t="str">
        <x:v>Art</x:v>
      </x:c>
      <x:c r="I5868" s="22" t="n">
        <x:v>11.16</x:v>
      </x:c>
      <x:c r="J5868" s="24" t="n">
        <x:v>2</x:v>
      </x:c>
      <x:c r="K5868" s="26" t="n">
        <x:v>0</x:v>
      </x:c>
      <x:c r="L5868" s="22" t="n">
        <x:v>4.3524</x:v>
      </x:c>
      <x:c r="M5868" t="n">
        <x:v>2016</x:v>
      </x:c>
      <x:c r="N5868" s="20" t="n">
        <x:v>42491</x:v>
      </x:c>
    </x:row>
    <x:row r="5869" ht="18" customHeight="1">
      <x:c r="A5869" t="str">
        <x:v>US-2014-117968</x:v>
      </x:c>
      <x:c r="B5869" s="18" t="n">
        <x:v>41856</x:v>
      </x:c>
      <x:c r="C5869" t="str">
        <x:v>RS-19420</x:v>
      </x:c>
      <x:c r="D5869" t="str">
        <x:v>Ricardo Sperren</x:v>
      </x:c>
      <x:c r="E5869" t="str">
        <x:v>Corporate</x:v>
      </x:c>
      <x:c r="F5869" t="str">
        <x:v>East</x:v>
      </x:c>
      <x:c r="G5869" t="str">
        <x:v>Office Supplies</x:v>
      </x:c>
      <x:c r="H5869" t="str">
        <x:v>Appliances</x:v>
      </x:c>
      <x:c r="I5869" s="22" t="n">
        <x:v>79.47</x:v>
      </x:c>
      <x:c r="J5869" s="24" t="n">
        <x:v>3</x:v>
      </x:c>
      <x:c r="K5869" s="26" t="n">
        <x:v>0</x:v>
      </x:c>
      <x:c r="L5869" s="22" t="n">
        <x:v>22.251600000000003</x:v>
      </x:c>
      <x:c r="M5869" t="n">
        <x:v>2014</x:v>
      </x:c>
      <x:c r="N5869" s="20" t="n">
        <x:v>41852</x:v>
      </x:c>
    </x:row>
    <x:row r="5870" ht="18" customHeight="1">
      <x:c r="A5870" t="str">
        <x:v>US-2014-117968</x:v>
      </x:c>
      <x:c r="B5870" s="18" t="n">
        <x:v>41856</x:v>
      </x:c>
      <x:c r="C5870" t="str">
        <x:v>RS-19420</x:v>
      </x:c>
      <x:c r="D5870" t="str">
        <x:v>Ricardo Sperren</x:v>
      </x:c>
      <x:c r="E5870" t="str">
        <x:v>Corporate</x:v>
      </x:c>
      <x:c r="F5870" t="str">
        <x:v>East</x:v>
      </x:c>
      <x:c r="G5870" t="str">
        <x:v>Office Supplies</x:v>
      </x:c>
      <x:c r="H5870" t="str">
        <x:v>Art</x:v>
      </x:c>
      <x:c r="I5870" s="22" t="n">
        <x:v>4.56</x:v>
      </x:c>
      <x:c r="J5870" s="24" t="n">
        <x:v>2</x:v>
      </x:c>
      <x:c r="K5870" s="26" t="n">
        <x:v>0</x:v>
      </x:c>
      <x:c r="L5870" s="22" t="n">
        <x:v>2.0064</x:v>
      </x:c>
      <x:c r="M5870" t="n">
        <x:v>2014</x:v>
      </x:c>
      <x:c r="N5870" s="20" t="n">
        <x:v>41852</x:v>
      </x:c>
    </x:row>
    <x:row r="5871" ht="18" customHeight="1">
      <x:c r="A5871" t="str">
        <x:v>US-2014-117968</x:v>
      </x:c>
      <x:c r="B5871" s="18" t="n">
        <x:v>41856</x:v>
      </x:c>
      <x:c r="C5871" t="str">
        <x:v>RS-19420</x:v>
      </x:c>
      <x:c r="D5871" t="str">
        <x:v>Ricardo Sperren</x:v>
      </x:c>
      <x:c r="E5871" t="str">
        <x:v>Corporate</x:v>
      </x:c>
      <x:c r="F5871" t="str">
        <x:v>East</x:v>
      </x:c>
      <x:c r="G5871" t="str">
        <x:v>Furniture</x:v>
      </x:c>
      <x:c r="H5871" t="str">
        <x:v>Chairs</x:v>
      </x:c>
      <x:c r="I5871" s="22" t="n">
        <x:v>1133.35</x:v>
      </x:c>
      <x:c r="J5871" s="24" t="n">
        <x:v>5</x:v>
      </x:c>
      <x:c r="K5871" s="26" t="n">
        <x:v>0</x:v>
      </x:c>
      <x:c r="L5871" s="22" t="n">
        <x:v>294.67100000000005</x:v>
      </x:c>
      <x:c r="M5871" t="n">
        <x:v>2014</x:v>
      </x:c>
      <x:c r="N5871" s="20" t="n">
        <x:v>41852</x:v>
      </x:c>
    </x:row>
    <x:row r="5872" ht="18" customHeight="1">
      <x:c r="A5872" t="str">
        <x:v>CA-2016-158211</x:v>
      </x:c>
      <x:c r="B5872" s="18" t="n">
        <x:v>42373</x:v>
      </x:c>
      <x:c r="C5872" t="str">
        <x:v>BP-11185</x:v>
      </x:c>
      <x:c r="D5872" t="str">
        <x:v>Ben Peterman</x:v>
      </x:c>
      <x:c r="E5872" t="str">
        <x:v>Corporate</x:v>
      </x:c>
      <x:c r="F5872" t="str">
        <x:v>East</x:v>
      </x:c>
      <x:c r="G5872" t="str">
        <x:v>Office Supplies</x:v>
      </x:c>
      <x:c r="H5872" t="str">
        <x:v>Art</x:v>
      </x:c>
      <x:c r="I5872" s="22" t="n">
        <x:v>4.672</x:v>
      </x:c>
      <x:c r="J5872" s="24" t="n">
        <x:v>1</x:v>
      </x:c>
      <x:c r="K5872" s="26" t="n">
        <x:v>0.2</x:v>
      </x:c>
      <x:c r="L5872" s="22" t="n">
        <x:v>0.5839999999999999</x:v>
      </x:c>
      <x:c r="M5872" t="n">
        <x:v>2016</x:v>
      </x:c>
      <x:c r="N5872" s="20" t="n">
        <x:v>42370</x:v>
      </x:c>
    </x:row>
    <x:row r="5873" ht="18" customHeight="1">
      <x:c r="A5873" t="str">
        <x:v>CA-2016-158211</x:v>
      </x:c>
      <x:c r="B5873" s="18" t="n">
        <x:v>42373</x:v>
      </x:c>
      <x:c r="C5873" t="str">
        <x:v>BP-11185</x:v>
      </x:c>
      <x:c r="D5873" t="str">
        <x:v>Ben Peterman</x:v>
      </x:c>
      <x:c r="E5873" t="str">
        <x:v>Corporate</x:v>
      </x:c>
      <x:c r="F5873" t="str">
        <x:v>East</x:v>
      </x:c>
      <x:c r="G5873" t="str">
        <x:v>Office Supplies</x:v>
      </x:c>
      <x:c r="H5873" t="str">
        <x:v>Binders</x:v>
      </x:c>
      <x:c r="I5873" s="22" t="n">
        <x:v>104.58000000000001</x:v>
      </x:c>
      <x:c r="J5873" s="24" t="n">
        <x:v>6</x:v>
      </x:c>
      <x:c r="K5873" s="26" t="n">
        <x:v>0.7</x:v>
      </x:c>
      <x:c r="L5873" s="22" t="n">
        <x:v>-80.17800000000003</x:v>
      </x:c>
      <x:c r="M5873" t="n">
        <x:v>2016</x:v>
      </x:c>
      <x:c r="N5873" s="20" t="n">
        <x:v>42370</x:v>
      </x:c>
    </x:row>
    <x:row r="5874" ht="18" customHeight="1">
      <x:c r="A5874" t="str">
        <x:v>CA-2016-152247</x:v>
      </x:c>
      <x:c r="B5874" s="18" t="n">
        <x:v>42681</x:v>
      </x:c>
      <x:c r="C5874" t="str">
        <x:v>MA-17995</x:v>
      </x:c>
      <x:c r="D5874" t="str">
        <x:v>Michelle Arnett</x:v>
      </x:c>
      <x:c r="E5874" t="str">
        <x:v>Home Office</x:v>
      </x:c>
      <x:c r="F5874" t="str">
        <x:v>West</x:v>
      </x:c>
      <x:c r="G5874" t="str">
        <x:v>Furniture</x:v>
      </x:c>
      <x:c r="H5874" t="str">
        <x:v>Chairs</x:v>
      </x:c>
      <x:c r="I5874" s="22" t="n">
        <x:v>1603.1360000000002</x:v>
      </x:c>
      <x:c r="J5874" s="24" t="n">
        <x:v>4</x:v>
      </x:c>
      <x:c r="K5874" s="26" t="n">
        <x:v>0.2</x:v>
      </x:c>
      <x:c r="L5874" s="22" t="n">
        <x:v>100.19599999999997</x:v>
      </x:c>
      <x:c r="M5874" t="n">
        <x:v>2016</x:v>
      </x:c>
      <x:c r="N5874" s="20" t="n">
        <x:v>42675</x:v>
      </x:c>
    </x:row>
    <x:row r="5875" ht="18" customHeight="1">
      <x:c r="A5875" t="str">
        <x:v>CA-2016-128223</x:v>
      </x:c>
      <x:c r="B5875" s="18" t="n">
        <x:v>42535</x:v>
      </x:c>
      <x:c r="C5875" t="str">
        <x:v>EB-13705</x:v>
      </x:c>
      <x:c r="D5875" t="str">
        <x:v>Ed Braxton</x:v>
      </x:c>
      <x:c r="E5875" t="str">
        <x:v>Corporate</x:v>
      </x:c>
      <x:c r="F5875" t="str">
        <x:v>West</x:v>
      </x:c>
      <x:c r="G5875" t="str">
        <x:v>Furniture</x:v>
      </x:c>
      <x:c r="H5875" t="str">
        <x:v>Tables</x:v>
      </x:c>
      <x:c r="I5875" s="22" t="n">
        <x:v>1293.4879999999998</x:v>
      </x:c>
      <x:c r="J5875" s="24" t="n">
        <x:v>7</x:v>
      </x:c>
      <x:c r="K5875" s="26" t="n">
        <x:v>0.2</x:v>
      </x:c>
      <x:c r="L5875" s="22" t="n">
        <x:v>80.84300000000007</x:v>
      </x:c>
      <x:c r="M5875" t="n">
        <x:v>2016</x:v>
      </x:c>
      <x:c r="N5875" s="20" t="n">
        <x:v>42522</x:v>
      </x:c>
    </x:row>
    <x:row r="5876" ht="18" customHeight="1">
      <x:c r="A5876" t="str">
        <x:v>CA-2016-154235</x:v>
      </x:c>
      <x:c r="B5876" s="18" t="n">
        <x:v>42637</x:v>
      </x:c>
      <x:c r="C5876" t="str">
        <x:v>RD-19900</x:v>
      </x:c>
      <x:c r="D5876" t="str">
        <x:v>Ruben Dartt</x:v>
      </x:c>
      <x:c r="E5876" t="str">
        <x:v>Consumer</x:v>
      </x:c>
      <x:c r="F5876" t="str">
        <x:v>Central</x:v>
      </x:c>
      <x:c r="G5876" t="str">
        <x:v>Furniture</x:v>
      </x:c>
      <x:c r="H5876" t="str">
        <x:v>Furnishings</x:v>
      </x:c>
      <x:c r="I5876" s="22" t="n">
        <x:v>127.94999999999999</x:v>
      </x:c>
      <x:c r="J5876" s="24" t="n">
        <x:v>3</x:v>
      </x:c>
      <x:c r="K5876" s="26" t="n">
        <x:v>0</x:v>
      </x:c>
      <x:c r="L5876" s="22" t="n">
        <x:v>21.751499999999986</x:v>
      </x:c>
      <x:c r="M5876" t="n">
        <x:v>2016</x:v>
      </x:c>
      <x:c r="N5876" s="20" t="n">
        <x:v>42614</x:v>
      </x:c>
    </x:row>
    <x:row r="5877" ht="18" customHeight="1">
      <x:c r="A5877" t="str">
        <x:v>CA-2017-129910</x:v>
      </x:c>
      <x:c r="B5877" s="18" t="n">
        <x:v>42824</x:v>
      </x:c>
      <x:c r="C5877" t="str">
        <x:v>ME-17320</x:v>
      </x:c>
      <x:c r="D5877" t="str">
        <x:v>Maria Etezadi</x:v>
      </x:c>
      <x:c r="E5877" t="str">
        <x:v>Home Office</x:v>
      </x:c>
      <x:c r="F5877" t="str">
        <x:v>South</x:v>
      </x:c>
      <x:c r="G5877" t="str">
        <x:v>Office Supplies</x:v>
      </x:c>
      <x:c r="H5877" t="str">
        <x:v>Storage</x:v>
      </x:c>
      <x:c r="I5877" s="22" t="n">
        <x:v>59.76</x:v>
      </x:c>
      <x:c r="J5877" s="24" t="n">
        <x:v>1</x:v>
      </x:c>
      <x:c r="K5877" s="26" t="n">
        <x:v>0</x:v>
      </x:c>
      <x:c r="L5877" s="22" t="n">
        <x:v>16.732800000000005</x:v>
      </x:c>
      <x:c r="M5877" t="n">
        <x:v>2017</x:v>
      </x:c>
      <x:c r="N5877" s="20" t="n">
        <x:v>42795</x:v>
      </x:c>
    </x:row>
    <x:row r="5878" ht="18" customHeight="1">
      <x:c r="A5878" t="str">
        <x:v>CA-2017-133095</x:v>
      </x:c>
      <x:c r="B5878" s="18" t="n">
        <x:v>42890</x:v>
      </x:c>
      <x:c r="C5878" t="str">
        <x:v>EH-14005</x:v>
      </x:c>
      <x:c r="D5878" t="str">
        <x:v>Erica Hernandez</x:v>
      </x:c>
      <x:c r="E5878" t="str">
        <x:v>Home Office</x:v>
      </x:c>
      <x:c r="F5878" t="str">
        <x:v>South</x:v>
      </x:c>
      <x:c r="G5878" t="str">
        <x:v>Office Supplies</x:v>
      </x:c>
      <x:c r="H5878" t="str">
        <x:v>Binders</x:v>
      </x:c>
      <x:c r="I5878" s="22" t="n">
        <x:v>108.08</x:v>
      </x:c>
      <x:c r="J5878" s="24" t="n">
        <x:v>7</x:v>
      </x:c>
      <x:c r="K5878" s="26" t="n">
        <x:v>0</x:v>
      </x:c>
      <x:c r="L5878" s="22" t="n">
        <x:v>54.04</x:v>
      </x:c>
      <x:c r="M5878" t="n">
        <x:v>2017</x:v>
      </x:c>
      <x:c r="N5878" s="20" t="n">
        <x:v>42887</x:v>
      </x:c>
    </x:row>
    <x:row r="5879" ht="18" customHeight="1">
      <x:c r="A5879" t="str">
        <x:v>CA-2017-133095</x:v>
      </x:c>
      <x:c r="B5879" s="18" t="n">
        <x:v>42890</x:v>
      </x:c>
      <x:c r="C5879" t="str">
        <x:v>EH-14005</x:v>
      </x:c>
      <x:c r="D5879" t="str">
        <x:v>Erica Hernandez</x:v>
      </x:c>
      <x:c r="E5879" t="str">
        <x:v>Home Office</x:v>
      </x:c>
      <x:c r="F5879" t="str">
        <x:v>South</x:v>
      </x:c>
      <x:c r="G5879" t="str">
        <x:v>Office Supplies</x:v>
      </x:c>
      <x:c r="H5879" t="str">
        <x:v>Binders</x:v>
      </x:c>
      <x:c r="I5879" s="22" t="n">
        <x:v>9.540000000000001</x:v>
      </x:c>
      <x:c r="J5879" s="24" t="n">
        <x:v>3</x:v>
      </x:c>
      <x:c r="K5879" s="26" t="n">
        <x:v>0</x:v>
      </x:c>
      <x:c r="L5879" s="22" t="n">
        <x:v>4.3884</x:v>
      </x:c>
      <x:c r="M5879" t="n">
        <x:v>2017</x:v>
      </x:c>
      <x:c r="N5879" s="20" t="n">
        <x:v>42887</x:v>
      </x:c>
    </x:row>
    <x:row r="5880" ht="18" customHeight="1">
      <x:c r="A5880" t="str">
        <x:v>CA-2015-130554</x:v>
      </x:c>
      <x:c r="B5880" s="18" t="n">
        <x:v>42101</x:v>
      </x:c>
      <x:c r="C5880" t="str">
        <x:v>FM-14290</x:v>
      </x:c>
      <x:c r="D5880" t="str">
        <x:v>Frank Merwin</x:v>
      </x:c>
      <x:c r="E5880" t="str">
        <x:v>Home Office</x:v>
      </x:c>
      <x:c r="F5880" t="str">
        <x:v>East</x:v>
      </x:c>
      <x:c r="G5880" t="str">
        <x:v>Office Supplies</x:v>
      </x:c>
      <x:c r="H5880" t="str">
        <x:v>Art</x:v>
      </x:c>
      <x:c r="I5880" s="22" t="n">
        <x:v>11.736</x:v>
      </x:c>
      <x:c r="J5880" s="24" t="n">
        <x:v>3</x:v>
      </x:c>
      <x:c r="K5880" s="26" t="n">
        <x:v>0.2</x:v>
      </x:c>
      <x:c r="L5880" s="22" t="n">
        <x:v>1.0269</x:v>
      </x:c>
      <x:c r="M5880" t="n">
        <x:v>2015</x:v>
      </x:c>
      <x:c r="N5880" s="20" t="n">
        <x:v>42095</x:v>
      </x:c>
    </x:row>
    <x:row r="5881" ht="18" customHeight="1">
      <x:c r="A5881" t="str">
        <x:v>CA-2014-152443</x:v>
      </x:c>
      <x:c r="B5881" s="18" t="n">
        <x:v>41780</x:v>
      </x:c>
      <x:c r="C5881" t="str">
        <x:v>FG-14260</x:v>
      </x:c>
      <x:c r="D5881" t="str">
        <x:v>Frank Gastineau</x:v>
      </x:c>
      <x:c r="E5881" t="str">
        <x:v>Home Office</x:v>
      </x:c>
      <x:c r="F5881" t="str">
        <x:v>East</x:v>
      </x:c>
      <x:c r="G5881" t="str">
        <x:v>Office Supplies</x:v>
      </x:c>
      <x:c r="H5881" t="str">
        <x:v>Binders</x:v>
      </x:c>
      <x:c r="I5881" s="22" t="n">
        <x:v>447.85999999999996</x:v>
      </x:c>
      <x:c r="J5881" s="24" t="n">
        <x:v>7</x:v>
      </x:c>
      <x:c r="K5881" s="26" t="n">
        <x:v>0</x:v>
      </x:c>
      <x:c r="L5881" s="22" t="n">
        <x:v>219.4514</x:v>
      </x:c>
      <x:c r="M5881" t="n">
        <x:v>2014</x:v>
      </x:c>
      <x:c r="N5881" s="20" t="n">
        <x:v>41760</x:v>
      </x:c>
    </x:row>
    <x:row r="5882" ht="18" customHeight="1">
      <x:c r="A5882" t="str">
        <x:v>CA-2014-152443</x:v>
      </x:c>
      <x:c r="B5882" s="18" t="n">
        <x:v>41780</x:v>
      </x:c>
      <x:c r="C5882" t="str">
        <x:v>FG-14260</x:v>
      </x:c>
      <x:c r="D5882" t="str">
        <x:v>Frank Gastineau</x:v>
      </x:c>
      <x:c r="E5882" t="str">
        <x:v>Home Office</x:v>
      </x:c>
      <x:c r="F5882" t="str">
        <x:v>East</x:v>
      </x:c>
      <x:c r="G5882" t="str">
        <x:v>Office Supplies</x:v>
      </x:c>
      <x:c r="H5882" t="str">
        <x:v>Paper</x:v>
      </x:c>
      <x:c r="I5882" s="22" t="n">
        <x:v>17.94</x:v>
      </x:c>
      <x:c r="J5882" s="24" t="n">
        <x:v>3</x:v>
      </x:c>
      <x:c r="K5882" s="26" t="n">
        <x:v>0</x:v>
      </x:c>
      <x:c r="L5882" s="22" t="n">
        <x:v>8.790600000000001</x:v>
      </x:c>
      <x:c r="M5882" t="n">
        <x:v>2014</x:v>
      </x:c>
      <x:c r="N5882" s="20" t="n">
        <x:v>41760</x:v>
      </x:c>
    </x:row>
    <x:row r="5883" ht="18" customHeight="1">
      <x:c r="A5883" t="str">
        <x:v>CA-2014-152443</x:v>
      </x:c>
      <x:c r="B5883" s="18" t="n">
        <x:v>41780</x:v>
      </x:c>
      <x:c r="C5883" t="str">
        <x:v>FG-14260</x:v>
      </x:c>
      <x:c r="D5883" t="str">
        <x:v>Frank Gastineau</x:v>
      </x:c>
      <x:c r="E5883" t="str">
        <x:v>Home Office</x:v>
      </x:c>
      <x:c r="F5883" t="str">
        <x:v>East</x:v>
      </x:c>
      <x:c r="G5883" t="str">
        <x:v>Office Supplies</x:v>
      </x:c>
      <x:c r="H5883" t="str">
        <x:v>Appliances</x:v>
      </x:c>
      <x:c r="I5883" s="22" t="n">
        <x:v>245.88</x:v>
      </x:c>
      <x:c r="J5883" s="24" t="n">
        <x:v>6</x:v>
      </x:c>
      <x:c r="K5883" s="26" t="n">
        <x:v>0</x:v>
      </x:c>
      <x:c r="L5883" s="22" t="n">
        <x:v>68.84639999999999</x:v>
      </x:c>
      <x:c r="M5883" t="n">
        <x:v>2014</x:v>
      </x:c>
      <x:c r="N5883" s="20" t="n">
        <x:v>41760</x:v>
      </x:c>
    </x:row>
    <x:row r="5884" ht="18" customHeight="1">
      <x:c r="A5884" t="str">
        <x:v>CA-2016-133319</x:v>
      </x:c>
      <x:c r="B5884" s="18" t="n">
        <x:v>42618</x:v>
      </x:c>
      <x:c r="C5884" t="str">
        <x:v>MV-17485</x:v>
      </x:c>
      <x:c r="D5884" t="str">
        <x:v>Mark Van Huff</x:v>
      </x:c>
      <x:c r="E5884" t="str">
        <x:v>Consumer</x:v>
      </x:c>
      <x:c r="F5884" t="str">
        <x:v>East</x:v>
      </x:c>
      <x:c r="G5884" t="str">
        <x:v>Office Supplies</x:v>
      </x:c>
      <x:c r="H5884" t="str">
        <x:v>Paper</x:v>
      </x:c>
      <x:c r="I5884" s="22" t="n">
        <x:v>192.16</x:v>
      </x:c>
      <x:c r="J5884" s="24" t="n">
        <x:v>4</x:v>
      </x:c>
      <x:c r="K5884" s="26" t="n">
        <x:v>0</x:v>
      </x:c>
      <x:c r="L5884" s="22" t="n">
        <x:v>92.23679999999999</x:v>
      </x:c>
      <x:c r="M5884" t="n">
        <x:v>2016</x:v>
      </x:c>
      <x:c r="N5884" s="20" t="n">
        <x:v>42614</x:v>
      </x:c>
    </x:row>
    <x:row r="5885" ht="18" customHeight="1">
      <x:c r="A5885" t="str">
        <x:v>CA-2016-133935</x:v>
      </x:c>
      <x:c r="B5885" s="18" t="n">
        <x:v>42631</x:v>
      </x:c>
      <x:c r="C5885" t="str">
        <x:v>JW-15220</x:v>
      </x:c>
      <x:c r="D5885" t="str">
        <x:v>Jane Waco</x:v>
      </x:c>
      <x:c r="E5885" t="str">
        <x:v>Corporate</x:v>
      </x:c>
      <x:c r="F5885" t="str">
        <x:v>West</x:v>
      </x:c>
      <x:c r="G5885" t="str">
        <x:v>Furniture</x:v>
      </x:c>
      <x:c r="H5885" t="str">
        <x:v>Chairs</x:v>
      </x:c>
      <x:c r="I5885" s="22" t="n">
        <x:v>801.5680000000001</x:v>
      </x:c>
      <x:c r="J5885" s="24" t="n">
        <x:v>2</x:v>
      </x:c>
      <x:c r="K5885" s="26" t="n">
        <x:v>0.2</x:v>
      </x:c>
      <x:c r="L5885" s="22" t="n">
        <x:v>50.097999999999985</x:v>
      </x:c>
      <x:c r="M5885" t="n">
        <x:v>2016</x:v>
      </x:c>
      <x:c r="N5885" s="20" t="n">
        <x:v>42614</x:v>
      </x:c>
    </x:row>
    <x:row r="5886" ht="18" customHeight="1">
      <x:c r="A5886" t="str">
        <x:v>CA-2016-133935</x:v>
      </x:c>
      <x:c r="B5886" s="18" t="n">
        <x:v>42631</x:v>
      </x:c>
      <x:c r="C5886" t="str">
        <x:v>JW-15220</x:v>
      </x:c>
      <x:c r="D5886" t="str">
        <x:v>Jane Waco</x:v>
      </x:c>
      <x:c r="E5886" t="str">
        <x:v>Corporate</x:v>
      </x:c>
      <x:c r="F5886" t="str">
        <x:v>West</x:v>
      </x:c>
      <x:c r="G5886" t="str">
        <x:v>Office Supplies</x:v>
      </x:c>
      <x:c r="H5886" t="str">
        <x:v>Paper</x:v>
      </x:c>
      <x:c r="I5886" s="22" t="n">
        <x:v>368.91</x:v>
      </x:c>
      <x:c r="J5886" s="24" t="n">
        <x:v>9</x:v>
      </x:c>
      <x:c r="K5886" s="26" t="n">
        <x:v>0</x:v>
      </x:c>
      <x:c r="L5886" s="22" t="n">
        <x:v>180.76590000000002</x:v>
      </x:c>
      <x:c r="M5886" t="n">
        <x:v>2016</x:v>
      </x:c>
      <x:c r="N5886" s="20" t="n">
        <x:v>42614</x:v>
      </x:c>
    </x:row>
    <x:row r="5887" ht="18" customHeight="1">
      <x:c r="A5887" t="str">
        <x:v>CA-2016-133935</x:v>
      </x:c>
      <x:c r="B5887" s="18" t="n">
        <x:v>42631</x:v>
      </x:c>
      <x:c r="C5887" t="str">
        <x:v>JW-15220</x:v>
      </x:c>
      <x:c r="D5887" t="str">
        <x:v>Jane Waco</x:v>
      </x:c>
      <x:c r="E5887" t="str">
        <x:v>Corporate</x:v>
      </x:c>
      <x:c r="F5887" t="str">
        <x:v>West</x:v>
      </x:c>
      <x:c r="G5887" t="str">
        <x:v>Furniture</x:v>
      </x:c>
      <x:c r="H5887" t="str">
        <x:v>Chairs</x:v>
      </x:c>
      <x:c r="I5887" s="22" t="n">
        <x:v>885.528</x:v>
      </x:c>
      <x:c r="J5887" s="24" t="n">
        <x:v>9</x:v>
      </x:c>
      <x:c r="K5887" s="26" t="n">
        <x:v>0.2</x:v>
      </x:c>
      <x:c r="L5887" s="22" t="n">
        <x:v>-99.62190000000007</x:v>
      </x:c>
      <x:c r="M5887" t="n">
        <x:v>2016</x:v>
      </x:c>
      <x:c r="N5887" s="20" t="n">
        <x:v>42614</x:v>
      </x:c>
    </x:row>
    <x:row r="5888" ht="18" customHeight="1">
      <x:c r="A5888" t="str">
        <x:v>CA-2016-136301</x:v>
      </x:c>
      <x:c r="B5888" s="18" t="n">
        <x:v>42442</x:v>
      </x:c>
      <x:c r="C5888" t="str">
        <x:v>EH-13765</x:v>
      </x:c>
      <x:c r="D5888" t="str">
        <x:v>Edward Hooks</x:v>
      </x:c>
      <x:c r="E5888" t="str">
        <x:v>Corporate</x:v>
      </x:c>
      <x:c r="F5888" t="str">
        <x:v>West</x:v>
      </x:c>
      <x:c r="G5888" t="str">
        <x:v>Furniture</x:v>
      </x:c>
      <x:c r="H5888" t="str">
        <x:v>Furnishings</x:v>
      </x:c>
      <x:c r="I5888" s="22" t="n">
        <x:v>28.28</x:v>
      </x:c>
      <x:c r="J5888" s="24" t="n">
        <x:v>2</x:v>
      </x:c>
      <x:c r="K5888" s="26" t="n">
        <x:v>0</x:v>
      </x:c>
      <x:c r="L5888" s="22" t="n">
        <x:v>7.352800000000002</x:v>
      </x:c>
      <x:c r="M5888" t="n">
        <x:v>2016</x:v>
      </x:c>
      <x:c r="N5888" s="20" t="n">
        <x:v>42430</x:v>
      </x:c>
    </x:row>
    <x:row r="5889" ht="18" customHeight="1">
      <x:c r="A5889" t="str">
        <x:v>CA-2016-136301</x:v>
      </x:c>
      <x:c r="B5889" s="18" t="n">
        <x:v>42442</x:v>
      </x:c>
      <x:c r="C5889" t="str">
        <x:v>EH-13765</x:v>
      </x:c>
      <x:c r="D5889" t="str">
        <x:v>Edward Hooks</x:v>
      </x:c>
      <x:c r="E5889" t="str">
        <x:v>Corporate</x:v>
      </x:c>
      <x:c r="F5889" t="str">
        <x:v>West</x:v>
      </x:c>
      <x:c r="G5889" t="str">
        <x:v>Office Supplies</x:v>
      </x:c>
      <x:c r="H5889" t="str">
        <x:v>Supplies</x:v>
      </x:c>
      <x:c r="I5889" s="22" t="n">
        <x:v>4912.59</x:v>
      </x:c>
      <x:c r="J5889" s="24" t="n">
        <x:v>3</x:v>
      </x:c>
      <x:c r="K5889" s="26" t="n">
        <x:v>0</x:v>
      </x:c>
      <x:c r="L5889" s="22" t="n">
        <x:v>196.50359999999978</x:v>
      </x:c>
      <x:c r="M5889" t="n">
        <x:v>2016</x:v>
      </x:c>
      <x:c r="N5889" s="20" t="n">
        <x:v>42430</x:v>
      </x:c>
    </x:row>
    <x:row r="5890" ht="18" customHeight="1">
      <x:c r="A5890" t="str">
        <x:v>US-2014-109456</x:v>
      </x:c>
      <x:c r="B5890" s="18" t="n">
        <x:v>41928</x:v>
      </x:c>
      <x:c r="C5890" t="str">
        <x:v>LS-17245</x:v>
      </x:c>
      <x:c r="D5890" t="str">
        <x:v>Lynn Smith</x:v>
      </x:c>
      <x:c r="E5890" t="str">
        <x:v>Consumer</x:v>
      </x:c>
      <x:c r="F5890" t="str">
        <x:v>West</x:v>
      </x:c>
      <x:c r="G5890" t="str">
        <x:v>Office Supplies</x:v>
      </x:c>
      <x:c r="H5890" t="str">
        <x:v>Binders</x:v>
      </x:c>
      <x:c r="I5890" s="22" t="n">
        <x:v>14.352000000000002</x:v>
      </x:c>
      <x:c r="J5890" s="24" t="n">
        <x:v>3</x:v>
      </x:c>
      <x:c r="K5890" s="26" t="n">
        <x:v>0.2</x:v>
      </x:c>
      <x:c r="L5890" s="22" t="n">
        <x:v>5.023199999999999</x:v>
      </x:c>
      <x:c r="M5890" t="n">
        <x:v>2014</x:v>
      </x:c>
      <x:c r="N5890" s="20" t="n">
        <x:v>41913</x:v>
      </x:c>
    </x:row>
    <x:row r="5891" ht="18" customHeight="1">
      <x:c r="A5891" t="str">
        <x:v>US-2014-109456</x:v>
      </x:c>
      <x:c r="B5891" s="18" t="n">
        <x:v>41928</x:v>
      </x:c>
      <x:c r="C5891" t="str">
        <x:v>LS-17245</x:v>
      </x:c>
      <x:c r="D5891" t="str">
        <x:v>Lynn Smith</x:v>
      </x:c>
      <x:c r="E5891" t="str">
        <x:v>Consumer</x:v>
      </x:c>
      <x:c r="F5891" t="str">
        <x:v>West</x:v>
      </x:c>
      <x:c r="G5891" t="str">
        <x:v>Technology</x:v>
      </x:c>
      <x:c r="H5891" t="str">
        <x:v>Accessories</x:v>
      </x:c>
      <x:c r="I5891" s="22" t="n">
        <x:v>179.97</x:v>
      </x:c>
      <x:c r="J5891" s="24" t="n">
        <x:v>3</x:v>
      </x:c>
      <x:c r="K5891" s="26" t="n">
        <x:v>0</x:v>
      </x:c>
      <x:c r="L5891" s="22" t="n">
        <x:v>86.38560000000001</x:v>
      </x:c>
      <x:c r="M5891" t="n">
        <x:v>2014</x:v>
      </x:c>
      <x:c r="N5891" s="20" t="n">
        <x:v>41913</x:v>
      </x:c>
    </x:row>
    <x:row r="5892" ht="18" customHeight="1">
      <x:c r="A5892" t="str">
        <x:v>CA-2017-151596</x:v>
      </x:c>
      <x:c r="B5892" s="18" t="n">
        <x:v>43016</x:v>
      </x:c>
      <x:c r="C5892" t="str">
        <x:v>BP-11050</x:v>
      </x:c>
      <x:c r="D5892" t="str">
        <x:v>Barry Pond</x:v>
      </x:c>
      <x:c r="E5892" t="str">
        <x:v>Corporate</x:v>
      </x:c>
      <x:c r="F5892" t="str">
        <x:v>East</x:v>
      </x:c>
      <x:c r="G5892" t="str">
        <x:v>Office Supplies</x:v>
      </x:c>
      <x:c r="H5892" t="str">
        <x:v>Storage</x:v>
      </x:c>
      <x:c r="I5892" s="22" t="n">
        <x:v>42.76</x:v>
      </x:c>
      <x:c r="J5892" s="24" t="n">
        <x:v>1</x:v>
      </x:c>
      <x:c r="K5892" s="26" t="n">
        <x:v>0</x:v>
      </x:c>
      <x:c r="L5892" s="22" t="n">
        <x:v>11.1176</x:v>
      </x:c>
      <x:c r="M5892" t="n">
        <x:v>2017</x:v>
      </x:c>
      <x:c r="N5892" s="20" t="n">
        <x:v>43009</x:v>
      </x:c>
    </x:row>
    <x:row r="5893" ht="18" customHeight="1">
      <x:c r="A5893" t="str">
        <x:v>CA-2015-147879</x:v>
      </x:c>
      <x:c r="B5893" s="18" t="n">
        <x:v>42131</x:v>
      </x:c>
      <x:c r="C5893" t="str">
        <x:v>CC-12220</x:v>
      </x:c>
      <x:c r="D5893" t="str">
        <x:v>Chris Cortes</x:v>
      </x:c>
      <x:c r="E5893" t="str">
        <x:v>Consumer</x:v>
      </x:c>
      <x:c r="F5893" t="str">
        <x:v>South</x:v>
      </x:c>
      <x:c r="G5893" t="str">
        <x:v>Office Supplies</x:v>
      </x:c>
      <x:c r="H5893" t="str">
        <x:v>Paper</x:v>
      </x:c>
      <x:c r="I5893" s="22" t="n">
        <x:v>45.68</x:v>
      </x:c>
      <x:c r="J5893" s="24" t="n">
        <x:v>2</x:v>
      </x:c>
      <x:c r="K5893" s="26" t="n">
        <x:v>0</x:v>
      </x:c>
      <x:c r="L5893" s="22" t="n">
        <x:v>21.0128</x:v>
      </x:c>
      <x:c r="M5893" t="n">
        <x:v>2015</x:v>
      </x:c>
      <x:c r="N5893" s="20" t="n">
        <x:v>42125</x:v>
      </x:c>
    </x:row>
    <x:row r="5894" ht="18" customHeight="1">
      <x:c r="A5894" t="str">
        <x:v>CA-2016-166625</x:v>
      </x:c>
      <x:c r="B5894" s="18" t="n">
        <x:v>42474</x:v>
      </x:c>
      <x:c r="C5894" t="str">
        <x:v>JM-15580</x:v>
      </x:c>
      <x:c r="D5894" t="str">
        <x:v>Jill Matthias</x:v>
      </x:c>
      <x:c r="E5894" t="str">
        <x:v>Consumer</x:v>
      </x:c>
      <x:c r="F5894" t="str">
        <x:v>East</x:v>
      </x:c>
      <x:c r="G5894" t="str">
        <x:v>Office Supplies</x:v>
      </x:c>
      <x:c r="H5894" t="str">
        <x:v>Binders</x:v>
      </x:c>
      <x:c r="I5894" s="22" t="n">
        <x:v>25.06</x:v>
      </x:c>
      <x:c r="J5894" s="24" t="n">
        <x:v>2</x:v>
      </x:c>
      <x:c r="K5894" s="26" t="n">
        <x:v>0</x:v>
      </x:c>
      <x:c r="L5894" s="22" t="n">
        <x:v>11.778199999999998</x:v>
      </x:c>
      <x:c r="M5894" t="n">
        <x:v>2016</x:v>
      </x:c>
      <x:c r="N5894" s="20" t="n">
        <x:v>42461</x:v>
      </x:c>
    </x:row>
    <x:row r="5895" ht="18" customHeight="1">
      <x:c r="A5895" t="str">
        <x:v>CA-2016-146157</x:v>
      </x:c>
      <x:c r="B5895" s="18" t="n">
        <x:v>42695</x:v>
      </x:c>
      <x:c r="C5895" t="str">
        <x:v>RD-19720</x:v>
      </x:c>
      <x:c r="D5895" t="str">
        <x:v>Roger Demir</x:v>
      </x:c>
      <x:c r="E5895" t="str">
        <x:v>Consumer</x:v>
      </x:c>
      <x:c r="F5895" t="str">
        <x:v>Central</x:v>
      </x:c>
      <x:c r="G5895" t="str">
        <x:v>Office Supplies</x:v>
      </x:c>
      <x:c r="H5895" t="str">
        <x:v>Paper</x:v>
      </x:c>
      <x:c r="I5895" s="22" t="n">
        <x:v>38.432</x:v>
      </x:c>
      <x:c r="J5895" s="24" t="n">
        <x:v>1</x:v>
      </x:c>
      <x:c r="K5895" s="26" t="n">
        <x:v>0.2</x:v>
      </x:c>
      <x:c r="L5895" s="22" t="n">
        <x:v>13.451199999999996</x:v>
      </x:c>
      <x:c r="M5895" t="n">
        <x:v>2016</x:v>
      </x:c>
      <x:c r="N5895" s="20" t="n">
        <x:v>42675</x:v>
      </x:c>
    </x:row>
    <x:row r="5896" ht="18" customHeight="1">
      <x:c r="A5896" t="str">
        <x:v>CA-2016-146157</x:v>
      </x:c>
      <x:c r="B5896" s="18" t="n">
        <x:v>42695</x:v>
      </x:c>
      <x:c r="C5896" t="str">
        <x:v>RD-19720</x:v>
      </x:c>
      <x:c r="D5896" t="str">
        <x:v>Roger Demir</x:v>
      </x:c>
      <x:c r="E5896" t="str">
        <x:v>Consumer</x:v>
      </x:c>
      <x:c r="F5896" t="str">
        <x:v>Central</x:v>
      </x:c>
      <x:c r="G5896" t="str">
        <x:v>Office Supplies</x:v>
      </x:c>
      <x:c r="H5896" t="str">
        <x:v>Storage</x:v>
      </x:c>
      <x:c r="I5896" s="22" t="n">
        <x:v>21.568</x:v>
      </x:c>
      <x:c r="J5896" s="24" t="n">
        <x:v>2</x:v>
      </x:c>
      <x:c r="K5896" s="26" t="n">
        <x:v>0.2</x:v>
      </x:c>
      <x:c r="L5896" s="22" t="n">
        <x:v>1.6175999999999986</x:v>
      </x:c>
      <x:c r="M5896" t="n">
        <x:v>2016</x:v>
      </x:c>
      <x:c r="N5896" s="20" t="n">
        <x:v>42675</x:v>
      </x:c>
    </x:row>
    <x:row r="5897" ht="18" customHeight="1">
      <x:c r="A5897" t="str">
        <x:v>CA-2016-146157</x:v>
      </x:c>
      <x:c r="B5897" s="18" t="n">
        <x:v>42695</x:v>
      </x:c>
      <x:c r="C5897" t="str">
        <x:v>RD-19720</x:v>
      </x:c>
      <x:c r="D5897" t="str">
        <x:v>Roger Demir</x:v>
      </x:c>
      <x:c r="E5897" t="str">
        <x:v>Consumer</x:v>
      </x:c>
      <x:c r="F5897" t="str">
        <x:v>Central</x:v>
      </x:c>
      <x:c r="G5897" t="str">
        <x:v>Technology</x:v>
      </x:c>
      <x:c r="H5897" t="str">
        <x:v>Accessories</x:v>
      </x:c>
      <x:c r="I5897" s="22" t="n">
        <x:v>81.57600000000001</x:v>
      </x:c>
      <x:c r="J5897" s="24" t="n">
        <x:v>3</x:v>
      </x:c>
      <x:c r="K5897" s="26" t="n">
        <x:v>0.2</x:v>
      </x:c>
      <x:c r="L5897" s="22" t="n">
        <x:v>2.0393999999999934</x:v>
      </x:c>
      <x:c r="M5897" t="n">
        <x:v>2016</x:v>
      </x:c>
      <x:c r="N5897" s="20" t="n">
        <x:v>42675</x:v>
      </x:c>
    </x:row>
    <x:row r="5898" ht="18" customHeight="1">
      <x:c r="A5898" t="str">
        <x:v>CA-2017-159954</x:v>
      </x:c>
      <x:c r="B5898" s="18" t="n">
        <x:v>42988</x:v>
      </x:c>
      <x:c r="C5898" t="str">
        <x:v>SS-20410</x:v>
      </x:c>
      <x:c r="D5898" t="str">
        <x:v>Shahid Shariari</x:v>
      </x:c>
      <x:c r="E5898" t="str">
        <x:v>Consumer</x:v>
      </x:c>
      <x:c r="F5898" t="str">
        <x:v>South</x:v>
      </x:c>
      <x:c r="G5898" t="str">
        <x:v>Office Supplies</x:v>
      </x:c>
      <x:c r="H5898" t="str">
        <x:v>Binders</x:v>
      </x:c>
      <x:c r="I5898" s="22" t="n">
        <x:v>2.78</x:v>
      </x:c>
      <x:c r="J5898" s="24" t="n">
        <x:v>1</x:v>
      </x:c>
      <x:c r="K5898" s="26" t="n">
        <x:v>0</x:v>
      </x:c>
      <x:c r="L5898" s="22" t="n">
        <x:v>1.3621999999999999</x:v>
      </x:c>
      <x:c r="M5898" t="n">
        <x:v>2017</x:v>
      </x:c>
      <x:c r="N5898" s="20" t="n">
        <x:v>42979</x:v>
      </x:c>
    </x:row>
    <x:row r="5899" ht="18" customHeight="1">
      <x:c r="A5899" t="str">
        <x:v>CA-2017-100825</x:v>
      </x:c>
      <x:c r="B5899" s="18" t="n">
        <x:v>42987</x:v>
      </x:c>
      <x:c r="C5899" t="str">
        <x:v>KD-16495</x:v>
      </x:c>
      <x:c r="D5899" t="str">
        <x:v>Keith Dawkins</x:v>
      </x:c>
      <x:c r="E5899" t="str">
        <x:v>Corporate</x:v>
      </x:c>
      <x:c r="F5899" t="str">
        <x:v>West</x:v>
      </x:c>
      <x:c r="G5899" t="str">
        <x:v>Office Supplies</x:v>
      </x:c>
      <x:c r="H5899" t="str">
        <x:v>Storage</x:v>
      </x:c>
      <x:c r="I5899" s="22" t="n">
        <x:v>99.87</x:v>
      </x:c>
      <x:c r="J5899" s="24" t="n">
        <x:v>3</x:v>
      </x:c>
      <x:c r="K5899" s="26" t="n">
        <x:v>0</x:v>
      </x:c>
      <x:c r="L5899" s="22" t="n">
        <x:v>23.968799999999998</x:v>
      </x:c>
      <x:c r="M5899" t="n">
        <x:v>2017</x:v>
      </x:c>
      <x:c r="N5899" s="20" t="n">
        <x:v>42979</x:v>
      </x:c>
    </x:row>
    <x:row r="5900" ht="18" customHeight="1">
      <x:c r="A5900" t="str">
        <x:v>CA-2014-168305</x:v>
      </x:c>
      <x:c r="B5900" s="18" t="n">
        <x:v>41944</x:v>
      </x:c>
      <x:c r="C5900" t="str">
        <x:v>PL-18925</x:v>
      </x:c>
      <x:c r="D5900" t="str">
        <x:v>Paul Lucas</x:v>
      </x:c>
      <x:c r="E5900" t="str">
        <x:v>Home Office</x:v>
      </x:c>
      <x:c r="F5900" t="str">
        <x:v>West</x:v>
      </x:c>
      <x:c r="G5900" t="str">
        <x:v>Office Supplies</x:v>
      </x:c>
      <x:c r="H5900" t="str">
        <x:v>Labels</x:v>
      </x:c>
      <x:c r="I5900" s="22" t="n">
        <x:v>44.400000000000006</x:v>
      </x:c>
      <x:c r="J5900" s="24" t="n">
        <x:v>3</x:v>
      </x:c>
      <x:c r="K5900" s="26" t="n">
        <x:v>0</x:v>
      </x:c>
      <x:c r="L5900" s="22" t="n">
        <x:v>22.200000000000003</x:v>
      </x:c>
      <x:c r="M5900" t="n">
        <x:v>2014</x:v>
      </x:c>
      <x:c r="N5900" s="20" t="n">
        <x:v>41944</x:v>
      </x:c>
    </x:row>
    <x:row r="5901" ht="18" customHeight="1">
      <x:c r="A5901" t="str">
        <x:v>CA-2014-168305</x:v>
      </x:c>
      <x:c r="B5901" s="18" t="n">
        <x:v>41944</x:v>
      </x:c>
      <x:c r="C5901" t="str">
        <x:v>PL-18925</x:v>
      </x:c>
      <x:c r="D5901" t="str">
        <x:v>Paul Lucas</x:v>
      </x:c>
      <x:c r="E5901" t="str">
        <x:v>Home Office</x:v>
      </x:c>
      <x:c r="F5901" t="str">
        <x:v>West</x:v>
      </x:c>
      <x:c r="G5901" t="str">
        <x:v>Office Supplies</x:v>
      </x:c>
      <x:c r="H5901" t="str">
        <x:v>Paper</x:v>
      </x:c>
      <x:c r="I5901" s="22" t="n">
        <x:v>21.400000000000002</x:v>
      </x:c>
      <x:c r="J5901" s="24" t="n">
        <x:v>5</x:v>
      </x:c>
      <x:c r="K5901" s="26" t="n">
        <x:v>0</x:v>
      </x:c>
      <x:c r="L5901" s="22" t="n">
        <x:v>9.629999999999999</x:v>
      </x:c>
      <x:c r="M5901" t="n">
        <x:v>2014</x:v>
      </x:c>
      <x:c r="N5901" s="20" t="n">
        <x:v>41944</x:v>
      </x:c>
    </x:row>
    <x:row r="5902" ht="18" customHeight="1">
      <x:c r="A5902" t="str">
        <x:v>CA-2016-167682</x:v>
      </x:c>
      <x:c r="B5902" s="18" t="n">
        <x:v>42463</x:v>
      </x:c>
      <x:c r="C5902" t="str">
        <x:v>ZD-21925</x:v>
      </x:c>
      <x:c r="D5902" t="str">
        <x:v>Zuschuss Donatelli</x:v>
      </x:c>
      <x:c r="E5902" t="str">
        <x:v>Consumer</x:v>
      </x:c>
      <x:c r="F5902" t="str">
        <x:v>Central</x:v>
      </x:c>
      <x:c r="G5902" t="str">
        <x:v>Furniture</x:v>
      </x:c>
      <x:c r="H5902" t="str">
        <x:v>Furnishings</x:v>
      </x:c>
      <x:c r="I5902" s="22" t="n">
        <x:v>71.12</x:v>
      </x:c>
      <x:c r="J5902" s="24" t="n">
        <x:v>4</x:v>
      </x:c>
      <x:c r="K5902" s="26" t="n">
        <x:v>0</x:v>
      </x:c>
      <x:c r="L5902" s="22" t="n">
        <x:v>22.047199999999997</x:v>
      </x:c>
      <x:c r="M5902" t="n">
        <x:v>2016</x:v>
      </x:c>
      <x:c r="N5902" s="20" t="n">
        <x:v>42461</x:v>
      </x:c>
    </x:row>
    <x:row r="5903" ht="18" customHeight="1">
      <x:c r="A5903" t="str">
        <x:v>CA-2016-167682</x:v>
      </x:c>
      <x:c r="B5903" s="18" t="n">
        <x:v>42463</x:v>
      </x:c>
      <x:c r="C5903" t="str">
        <x:v>ZD-21925</x:v>
      </x:c>
      <x:c r="D5903" t="str">
        <x:v>Zuschuss Donatelli</x:v>
      </x:c>
      <x:c r="E5903" t="str">
        <x:v>Consumer</x:v>
      </x:c>
      <x:c r="F5903" t="str">
        <x:v>Central</x:v>
      </x:c>
      <x:c r="G5903" t="str">
        <x:v>Technology</x:v>
      </x:c>
      <x:c r="H5903" t="str">
        <x:v>Phones</x:v>
      </x:c>
      <x:c r="I5903" s="22" t="n">
        <x:v>259.96</x:v>
      </x:c>
      <x:c r="J5903" s="24" t="n">
        <x:v>4</x:v>
      </x:c>
      <x:c r="K5903" s="26" t="n">
        <x:v>0</x:v>
      </x:c>
      <x:c r="L5903" s="22" t="n">
        <x:v>124.7808</x:v>
      </x:c>
      <x:c r="M5903" t="n">
        <x:v>2016</x:v>
      </x:c>
      <x:c r="N5903" s="20" t="n">
        <x:v>42461</x:v>
      </x:c>
    </x:row>
    <x:row r="5904" ht="18" customHeight="1">
      <x:c r="A5904" t="str">
        <x:v>CA-2017-108000</x:v>
      </x:c>
      <x:c r="B5904" s="18" t="n">
        <x:v>42747</x:v>
      </x:c>
      <x:c r="C5904" t="str">
        <x:v>LS-16945</x:v>
      </x:c>
      <x:c r="D5904" t="str">
        <x:v>Linda Southworth</x:v>
      </x:c>
      <x:c r="E5904" t="str">
        <x:v>Corporate</x:v>
      </x:c>
      <x:c r="F5904" t="str">
        <x:v>West</x:v>
      </x:c>
      <x:c r="G5904" t="str">
        <x:v>Office Supplies</x:v>
      </x:c>
      <x:c r="H5904" t="str">
        <x:v>Envelopes</x:v>
      </x:c>
      <x:c r="I5904" s="22" t="n">
        <x:v>9.78</x:v>
      </x:c>
      <x:c r="J5904" s="24" t="n">
        <x:v>1</x:v>
      </x:c>
      <x:c r="K5904" s="26" t="n">
        <x:v>0</x:v>
      </x:c>
      <x:c r="L5904" s="22" t="n">
        <x:v>4.89</x:v>
      </x:c>
      <x:c r="M5904" t="n">
        <x:v>2017</x:v>
      </x:c>
      <x:c r="N5904" s="20" t="n">
        <x:v>42736</x:v>
      </x:c>
    </x:row>
    <x:row r="5905" ht="18" customHeight="1">
      <x:c r="A5905" t="str">
        <x:v>CA-2015-146465</x:v>
      </x:c>
      <x:c r="B5905" s="18" t="n">
        <x:v>42328</x:v>
      </x:c>
      <x:c r="C5905" t="str">
        <x:v>PB-18805</x:v>
      </x:c>
      <x:c r="D5905" t="str">
        <x:v>Patrick Bzostek</x:v>
      </x:c>
      <x:c r="E5905" t="str">
        <x:v>Home Office</x:v>
      </x:c>
      <x:c r="F5905" t="str">
        <x:v>West</x:v>
      </x:c>
      <x:c r="G5905" t="str">
        <x:v>Office Supplies</x:v>
      </x:c>
      <x:c r="H5905" t="str">
        <x:v>Binders</x:v>
      </x:c>
      <x:c r="I5905" s="22" t="n">
        <x:v>24.192</x:v>
      </x:c>
      <x:c r="J5905" s="24" t="n">
        <x:v>9</x:v>
      </x:c>
      <x:c r="K5905" s="26" t="n">
        <x:v>0.2</x:v>
      </x:c>
      <x:c r="L5905" s="22" t="n">
        <x:v>7.559999999999999</x:v>
      </x:c>
      <x:c r="M5905" t="n">
        <x:v>2015</x:v>
      </x:c>
      <x:c r="N5905" s="20" t="n">
        <x:v>42309</x:v>
      </x:c>
    </x:row>
    <x:row r="5906" ht="18" customHeight="1">
      <x:c r="A5906" t="str">
        <x:v>CA-2016-159639</x:v>
      </x:c>
      <x:c r="B5906" s="18" t="n">
        <x:v>42701</x:v>
      </x:c>
      <x:c r="C5906" t="str">
        <x:v>PC-18745</x:v>
      </x:c>
      <x:c r="D5906" t="str">
        <x:v>Pamela Coakley</x:v>
      </x:c>
      <x:c r="E5906" t="str">
        <x:v>Corporate</x:v>
      </x:c>
      <x:c r="F5906" t="str">
        <x:v>East</x:v>
      </x:c>
      <x:c r="G5906" t="str">
        <x:v>Furniture</x:v>
      </x:c>
      <x:c r="H5906" t="str">
        <x:v>Furnishings</x:v>
      </x:c>
      <x:c r="I5906" s="22" t="n">
        <x:v>31.56</x:v>
      </x:c>
      <x:c r="J5906" s="24" t="n">
        <x:v>3</x:v>
      </x:c>
      <x:c r="K5906" s="26" t="n">
        <x:v>0</x:v>
      </x:c>
      <x:c r="L5906" s="22" t="n">
        <x:v>10.4148</x:v>
      </x:c>
      <x:c r="M5906" t="n">
        <x:v>2016</x:v>
      </x:c>
      <x:c r="N5906" s="20" t="n">
        <x:v>42675</x:v>
      </x:c>
    </x:row>
    <x:row r="5907" ht="18" customHeight="1">
      <x:c r="A5907" t="str">
        <x:v>US-2017-153948</x:v>
      </x:c>
      <x:c r="B5907" s="18" t="n">
        <x:v>43045</x:v>
      </x:c>
      <x:c r="C5907" t="str">
        <x:v>FM-14290</x:v>
      </x:c>
      <x:c r="D5907" t="str">
        <x:v>Frank Merwin</x:v>
      </x:c>
      <x:c r="E5907" t="str">
        <x:v>Home Office</x:v>
      </x:c>
      <x:c r="F5907" t="str">
        <x:v>West</x:v>
      </x:c>
      <x:c r="G5907" t="str">
        <x:v>Office Supplies</x:v>
      </x:c>
      <x:c r="H5907" t="str">
        <x:v>Paper</x:v>
      </x:c>
      <x:c r="I5907" s="22" t="n">
        <x:v>59.94</x:v>
      </x:c>
      <x:c r="J5907" s="24" t="n">
        <x:v>3</x:v>
      </x:c>
      <x:c r="K5907" s="26" t="n">
        <x:v>0</x:v>
      </x:c>
      <x:c r="L5907" s="22" t="n">
        <x:v>28.171799999999998</x:v>
      </x:c>
      <x:c r="M5907" t="n">
        <x:v>2017</x:v>
      </x:c>
      <x:c r="N5907" s="20" t="n">
        <x:v>43040</x:v>
      </x:c>
    </x:row>
    <x:row r="5908" ht="18" customHeight="1">
      <x:c r="A5908" t="str">
        <x:v>US-2017-153948</x:v>
      </x:c>
      <x:c r="B5908" s="18" t="n">
        <x:v>43045</x:v>
      </x:c>
      <x:c r="C5908" t="str">
        <x:v>FM-14290</x:v>
      </x:c>
      <x:c r="D5908" t="str">
        <x:v>Frank Merwin</x:v>
      </x:c>
      <x:c r="E5908" t="str">
        <x:v>Home Office</x:v>
      </x:c>
      <x:c r="F5908" t="str">
        <x:v>West</x:v>
      </x:c>
      <x:c r="G5908" t="str">
        <x:v>Office Supplies</x:v>
      </x:c>
      <x:c r="H5908" t="str">
        <x:v>Paper</x:v>
      </x:c>
      <x:c r="I5908" s="22" t="n">
        <x:v>45.36</x:v>
      </x:c>
      <x:c r="J5908" s="24" t="n">
        <x:v>4</x:v>
      </x:c>
      <x:c r="K5908" s="26" t="n">
        <x:v>0</x:v>
      </x:c>
      <x:c r="L5908" s="22" t="n">
        <x:v>22.226399999999998</x:v>
      </x:c>
      <x:c r="M5908" t="n">
        <x:v>2017</x:v>
      </x:c>
      <x:c r="N5908" s="20" t="n">
        <x:v>43040</x:v>
      </x:c>
    </x:row>
    <x:row r="5909" ht="18" customHeight="1">
      <x:c r="A5909" t="str">
        <x:v>US-2017-153948</x:v>
      </x:c>
      <x:c r="B5909" s="18" t="n">
        <x:v>43045</x:v>
      </x:c>
      <x:c r="C5909" t="str">
        <x:v>FM-14290</x:v>
      </x:c>
      <x:c r="D5909" t="str">
        <x:v>Frank Merwin</x:v>
      </x:c>
      <x:c r="E5909" t="str">
        <x:v>Home Office</x:v>
      </x:c>
      <x:c r="F5909" t="str">
        <x:v>West</x:v>
      </x:c>
      <x:c r="G5909" t="str">
        <x:v>Office Supplies</x:v>
      </x:c>
      <x:c r="H5909" t="str">
        <x:v>Paper</x:v>
      </x:c>
      <x:c r="I5909" s="22" t="n">
        <x:v>26.400000000000002</x:v>
      </x:c>
      <x:c r="J5909" s="24" t="n">
        <x:v>5</x:v>
      </x:c>
      <x:c r="K5909" s="26" t="n">
        <x:v>0</x:v>
      </x:c>
      <x:c r="L5909" s="22" t="n">
        <x:v>12.672</x:v>
      </x:c>
      <x:c r="M5909" t="n">
        <x:v>2017</x:v>
      </x:c>
      <x:c r="N5909" s="20" t="n">
        <x:v>43040</x:v>
      </x:c>
    </x:row>
    <x:row r="5910" ht="18" customHeight="1">
      <x:c r="A5910" t="str">
        <x:v>US-2017-153948</x:v>
      </x:c>
      <x:c r="B5910" s="18" t="n">
        <x:v>43045</x:v>
      </x:c>
      <x:c r="C5910" t="str">
        <x:v>FM-14290</x:v>
      </x:c>
      <x:c r="D5910" t="str">
        <x:v>Frank Merwin</x:v>
      </x:c>
      <x:c r="E5910" t="str">
        <x:v>Home Office</x:v>
      </x:c>
      <x:c r="F5910" t="str">
        <x:v>West</x:v>
      </x:c>
      <x:c r="G5910" t="str">
        <x:v>Office Supplies</x:v>
      </x:c>
      <x:c r="H5910" t="str">
        <x:v>Labels</x:v>
      </x:c>
      <x:c r="I5910" s="22" t="n">
        <x:v>41.4</x:v>
      </x:c>
      <x:c r="J5910" s="24" t="n">
        <x:v>4</x:v>
      </x:c>
      <x:c r="K5910" s="26" t="n">
        <x:v>0</x:v>
      </x:c>
      <x:c r="L5910" s="22" t="n">
        <x:v>19.872</x:v>
      </x:c>
      <x:c r="M5910" t="n">
        <x:v>2017</x:v>
      </x:c>
      <x:c r="N5910" s="20" t="n">
        <x:v>43040</x:v>
      </x:c>
    </x:row>
    <x:row r="5911" ht="18" customHeight="1">
      <x:c r="A5911" t="str">
        <x:v>US-2017-153948</x:v>
      </x:c>
      <x:c r="B5911" s="18" t="n">
        <x:v>43045</x:v>
      </x:c>
      <x:c r="C5911" t="str">
        <x:v>FM-14290</x:v>
      </x:c>
      <x:c r="D5911" t="str">
        <x:v>Frank Merwin</x:v>
      </x:c>
      <x:c r="E5911" t="str">
        <x:v>Home Office</x:v>
      </x:c>
      <x:c r="F5911" t="str">
        <x:v>West</x:v>
      </x:c>
      <x:c r="G5911" t="str">
        <x:v>Technology</x:v>
      </x:c>
      <x:c r="H5911" t="str">
        <x:v>Accessories</x:v>
      </x:c>
      <x:c r="I5911" s="22" t="n">
        <x:v>16.95</x:v>
      </x:c>
      <x:c r="J5911" s="24" t="n">
        <x:v>1</x:v>
      </x:c>
      <x:c r="K5911" s="26" t="n">
        <x:v>0</x:v>
      </x:c>
      <x:c r="L5911" s="22" t="n">
        <x:v>1.0169999999999995</x:v>
      </x:c>
      <x:c r="M5911" t="n">
        <x:v>2017</x:v>
      </x:c>
      <x:c r="N5911" s="20" t="n">
        <x:v>43040</x:v>
      </x:c>
    </x:row>
    <x:row r="5912" ht="18" customHeight="1">
      <x:c r="A5912" t="str">
        <x:v>US-2016-113985</x:v>
      </x:c>
      <x:c r="B5912" s="18" t="n">
        <x:v>42706</x:v>
      </x:c>
      <x:c r="C5912" t="str">
        <x:v>KD-16495</x:v>
      </x:c>
      <x:c r="D5912" t="str">
        <x:v>Keith Dawkins</x:v>
      </x:c>
      <x:c r="E5912" t="str">
        <x:v>Corporate</x:v>
      </x:c>
      <x:c r="F5912" t="str">
        <x:v>West</x:v>
      </x:c>
      <x:c r="G5912" t="str">
        <x:v>Office Supplies</x:v>
      </x:c>
      <x:c r="H5912" t="str">
        <x:v>Binders</x:v>
      </x:c>
      <x:c r="I5912" s="22" t="n">
        <x:v>24.704</x:v>
      </x:c>
      <x:c r="J5912" s="24" t="n">
        <x:v>2</x:v>
      </x:c>
      <x:c r="K5912" s="26" t="n">
        <x:v>0.2</x:v>
      </x:c>
      <x:c r="L5912" s="22" t="n">
        <x:v>9.264</x:v>
      </x:c>
      <x:c r="M5912" t="n">
        <x:v>2016</x:v>
      </x:c>
      <x:c r="N5912" s="20" t="n">
        <x:v>42705</x:v>
      </x:c>
    </x:row>
    <x:row r="5913" ht="18" customHeight="1">
      <x:c r="A5913" t="str">
        <x:v>US-2016-113985</x:v>
      </x:c>
      <x:c r="B5913" s="18" t="n">
        <x:v>42706</x:v>
      </x:c>
      <x:c r="C5913" t="str">
        <x:v>KD-16495</x:v>
      </x:c>
      <x:c r="D5913" t="str">
        <x:v>Keith Dawkins</x:v>
      </x:c>
      <x:c r="E5913" t="str">
        <x:v>Corporate</x:v>
      </x:c>
      <x:c r="F5913" t="str">
        <x:v>West</x:v>
      </x:c>
      <x:c r="G5913" t="str">
        <x:v>Office Supplies</x:v>
      </x:c>
      <x:c r="H5913" t="str">
        <x:v>Appliances</x:v>
      </x:c>
      <x:c r="I5913" s="22" t="n">
        <x:v>59.699999999999996</x:v>
      </x:c>
      <x:c r="J5913" s="24" t="n">
        <x:v>3</x:v>
      </x:c>
      <x:c r="K5913" s="26" t="n">
        <x:v>0</x:v>
      </x:c>
      <x:c r="L5913" s="22" t="n">
        <x:v>26.864999999999995</x:v>
      </x:c>
      <x:c r="M5913" t="n">
        <x:v>2016</x:v>
      </x:c>
      <x:c r="N5913" s="20" t="n">
        <x:v>42705</x:v>
      </x:c>
    </x:row>
    <x:row r="5914" ht="18" customHeight="1">
      <x:c r="A5914" t="str">
        <x:v>US-2016-113985</x:v>
      </x:c>
      <x:c r="B5914" s="18" t="n">
        <x:v>42706</x:v>
      </x:c>
      <x:c r="C5914" t="str">
        <x:v>KD-16495</x:v>
      </x:c>
      <x:c r="D5914" t="str">
        <x:v>Keith Dawkins</x:v>
      </x:c>
      <x:c r="E5914" t="str">
        <x:v>Corporate</x:v>
      </x:c>
      <x:c r="F5914" t="str">
        <x:v>West</x:v>
      </x:c>
      <x:c r="G5914" t="str">
        <x:v>Furniture</x:v>
      </x:c>
      <x:c r="H5914" t="str">
        <x:v>Furnishings</x:v>
      </x:c>
      <x:c r="I5914" s="22" t="n">
        <x:v>14.52</x:v>
      </x:c>
      <x:c r="J5914" s="24" t="n">
        <x:v>3</x:v>
      </x:c>
      <x:c r="K5914" s="26" t="n">
        <x:v>0</x:v>
      </x:c>
      <x:c r="L5914" s="22" t="n">
        <x:v>5.6628</x:v>
      </x:c>
      <x:c r="M5914" t="n">
        <x:v>2016</x:v>
      </x:c>
      <x:c r="N5914" s="20" t="n">
        <x:v>42705</x:v>
      </x:c>
    </x:row>
    <x:row r="5915" ht="18" customHeight="1">
      <x:c r="A5915" t="str">
        <x:v>US-2016-113985</x:v>
      </x:c>
      <x:c r="B5915" s="18" t="n">
        <x:v>42706</x:v>
      </x:c>
      <x:c r="C5915" t="str">
        <x:v>KD-16495</x:v>
      </x:c>
      <x:c r="D5915" t="str">
        <x:v>Keith Dawkins</x:v>
      </x:c>
      <x:c r="E5915" t="str">
        <x:v>Corporate</x:v>
      </x:c>
      <x:c r="F5915" t="str">
        <x:v>West</x:v>
      </x:c>
      <x:c r="G5915" t="str">
        <x:v>Office Supplies</x:v>
      </x:c>
      <x:c r="H5915" t="str">
        <x:v>Binders</x:v>
      </x:c>
      <x:c r="I5915" s="22" t="n">
        <x:v>104.184</x:v>
      </x:c>
      <x:c r="J5915" s="24" t="n">
        <x:v>3</x:v>
      </x:c>
      <x:c r="K5915" s="26" t="n">
        <x:v>0.2</x:v>
      </x:c>
      <x:c r="L5915" s="22" t="n">
        <x:v>33.8598</x:v>
      </x:c>
      <x:c r="M5915" t="n">
        <x:v>2016</x:v>
      </x:c>
      <x:c r="N5915" s="20" t="n">
        <x:v>42705</x:v>
      </x:c>
    </x:row>
    <x:row r="5916" ht="18" customHeight="1">
      <x:c r="A5916" t="str">
        <x:v>CA-2016-155383</x:v>
      </x:c>
      <x:c r="B5916" s="18" t="n">
        <x:v>42721</x:v>
      </x:c>
      <x:c r="C5916" t="str">
        <x:v>SC-20680</x:v>
      </x:c>
      <x:c r="D5916" t="str">
        <x:v>Steve Carroll</x:v>
      </x:c>
      <x:c r="E5916" t="str">
        <x:v>Home Office</x:v>
      </x:c>
      <x:c r="F5916" t="str">
        <x:v>West</x:v>
      </x:c>
      <x:c r="G5916" t="str">
        <x:v>Office Supplies</x:v>
      </x:c>
      <x:c r="H5916" t="str">
        <x:v>Storage</x:v>
      </x:c>
      <x:c r="I5916" s="22" t="n">
        <x:v>46.53</x:v>
      </x:c>
      <x:c r="J5916" s="24" t="n">
        <x:v>3</x:v>
      </x:c>
      <x:c r="K5916" s="26" t="n">
        <x:v>0</x:v>
      </x:c>
      <x:c r="L5916" s="22" t="n">
        <x:v>13.028400000000001</x:v>
      </x:c>
      <x:c r="M5916" t="n">
        <x:v>2016</x:v>
      </x:c>
      <x:c r="N5916" s="20" t="n">
        <x:v>42705</x:v>
      </x:c>
    </x:row>
    <x:row r="5917" ht="18" customHeight="1">
      <x:c r="A5917" t="str">
        <x:v>CA-2014-120432</x:v>
      </x:c>
      <x:c r="B5917" s="18" t="n">
        <x:v>41875</x:v>
      </x:c>
      <x:c r="C5917" t="str">
        <x:v>DW-13585</x:v>
      </x:c>
      <x:c r="D5917" t="str">
        <x:v>Dorothy Wardle</x:v>
      </x:c>
      <x:c r="E5917" t="str">
        <x:v>Corporate</x:v>
      </x:c>
      <x:c r="F5917" t="str">
        <x:v>South</x:v>
      </x:c>
      <x:c r="G5917" t="str">
        <x:v>Office Supplies</x:v>
      </x:c>
      <x:c r="H5917" t="str">
        <x:v>Supplies</x:v>
      </x:c>
      <x:c r="I5917" s="22" t="n">
        <x:v>25.5</x:v>
      </x:c>
      <x:c r="J5917" s="24" t="n">
        <x:v>3</x:v>
      </x:c>
      <x:c r="K5917" s="26" t="n">
        <x:v>0</x:v>
      </x:c>
      <x:c r="L5917" s="22" t="n">
        <x:v>6.63</x:v>
      </x:c>
      <x:c r="M5917" t="n">
        <x:v>2014</x:v>
      </x:c>
      <x:c r="N5917" s="20" t="n">
        <x:v>41852</x:v>
      </x:c>
    </x:row>
    <x:row r="5918" ht="18" customHeight="1">
      <x:c r="A5918" t="str">
        <x:v>US-2015-126977</x:v>
      </x:c>
      <x:c r="B5918" s="18" t="n">
        <x:v>42264</x:v>
      </x:c>
      <x:c r="C5918" t="str">
        <x:v>PF-19120</x:v>
      </x:c>
      <x:c r="D5918" t="str">
        <x:v>Peter Fuller</x:v>
      </x:c>
      <x:c r="E5918" t="str">
        <x:v>Consumer</x:v>
      </x:c>
      <x:c r="F5918" t="str">
        <x:v>East</x:v>
      </x:c>
      <x:c r="G5918" t="str">
        <x:v>Office Supplies</x:v>
      </x:c>
      <x:c r="H5918" t="str">
        <x:v>Storage</x:v>
      </x:c>
      <x:c r="I5918" s="22" t="n">
        <x:v>14.9</x:v>
      </x:c>
      <x:c r="J5918" s="24" t="n">
        <x:v>5</x:v>
      </x:c>
      <x:c r="K5918" s="26" t="n">
        <x:v>0</x:v>
      </x:c>
      <x:c r="L5918" s="22" t="n">
        <x:v>1.0429999999999984</x:v>
      </x:c>
      <x:c r="M5918" t="n">
        <x:v>2015</x:v>
      </x:c>
      <x:c r="N5918" s="20" t="n">
        <x:v>42248</x:v>
      </x:c>
    </x:row>
    <x:row r="5919" ht="18" customHeight="1">
      <x:c r="A5919" t="str">
        <x:v>US-2015-126977</x:v>
      </x:c>
      <x:c r="B5919" s="18" t="n">
        <x:v>42264</x:v>
      </x:c>
      <x:c r="C5919" t="str">
        <x:v>PF-19120</x:v>
      </x:c>
      <x:c r="D5919" t="str">
        <x:v>Peter Fuller</x:v>
      </x:c>
      <x:c r="E5919" t="str">
        <x:v>Consumer</x:v>
      </x:c>
      <x:c r="F5919" t="str">
        <x:v>East</x:v>
      </x:c>
      <x:c r="G5919" t="str">
        <x:v>Office Supplies</x:v>
      </x:c>
      <x:c r="H5919" t="str">
        <x:v>Labels</x:v>
      </x:c>
      <x:c r="I5919" s="22" t="n">
        <x:v>87.71</x:v>
      </x:c>
      <x:c r="J5919" s="24" t="n">
        <x:v>7</x:v>
      </x:c>
      <x:c r="K5919" s="26" t="n">
        <x:v>0</x:v>
      </x:c>
      <x:c r="L5919" s="22" t="n">
        <x:v>41.223699999999994</x:v>
      </x:c>
      <x:c r="M5919" t="n">
        <x:v>2015</x:v>
      </x:c>
      <x:c r="N5919" s="20" t="n">
        <x:v>42248</x:v>
      </x:c>
    </x:row>
    <x:row r="5920" ht="18" customHeight="1">
      <x:c r="A5920" t="str">
        <x:v>US-2015-126977</x:v>
      </x:c>
      <x:c r="B5920" s="18" t="n">
        <x:v>42264</x:v>
      </x:c>
      <x:c r="C5920" t="str">
        <x:v>PF-19120</x:v>
      </x:c>
      <x:c r="D5920" t="str">
        <x:v>Peter Fuller</x:v>
      </x:c>
      <x:c r="E5920" t="str">
        <x:v>Consumer</x:v>
      </x:c>
      <x:c r="F5920" t="str">
        <x:v>East</x:v>
      </x:c>
      <x:c r="G5920" t="str">
        <x:v>Furniture</x:v>
      </x:c>
      <x:c r="H5920" t="str">
        <x:v>Chairs</x:v>
      </x:c>
      <x:c r="I5920" s="22" t="n">
        <x:v>199.764</x:v>
      </x:c>
      <x:c r="J5920" s="24" t="n">
        <x:v>2</x:v>
      </x:c>
      <x:c r="K5920" s="26" t="n">
        <x:v>0.1</x:v>
      </x:c>
      <x:c r="L5920" s="22" t="n">
        <x:v>8.878399999999996</x:v>
      </x:c>
      <x:c r="M5920" t="n">
        <x:v>2015</x:v>
      </x:c>
      <x:c r="N5920" s="20" t="n">
        <x:v>42248</x:v>
      </x:c>
    </x:row>
    <x:row r="5921" ht="18" customHeight="1">
      <x:c r="A5921" t="str">
        <x:v>US-2015-126977</x:v>
      </x:c>
      <x:c r="B5921" s="18" t="n">
        <x:v>42264</x:v>
      </x:c>
      <x:c r="C5921" t="str">
        <x:v>PF-19120</x:v>
      </x:c>
      <x:c r="D5921" t="str">
        <x:v>Peter Fuller</x:v>
      </x:c>
      <x:c r="E5921" t="str">
        <x:v>Consumer</x:v>
      </x:c>
      <x:c r="F5921" t="str">
        <x:v>East</x:v>
      </x:c>
      <x:c r="G5921" t="str">
        <x:v>Office Supplies</x:v>
      </x:c>
      <x:c r="H5921" t="str">
        <x:v>Storage</x:v>
      </x:c>
      <x:c r="I5921" s="22" t="n">
        <x:v>94.6</x:v>
      </x:c>
      <x:c r="J5921" s="24" t="n">
        <x:v>4</x:v>
      </x:c>
      <x:c r="K5921" s="26" t="n">
        <x:v>0</x:v>
      </x:c>
      <x:c r="L5921" s="22" t="n">
        <x:v>27.433999999999997</x:v>
      </x:c>
      <x:c r="M5921" t="n">
        <x:v>2015</x:v>
      </x:c>
      <x:c r="N5921" s="20" t="n">
        <x:v>42248</x:v>
      </x:c>
    </x:row>
    <x:row r="5922" ht="18" customHeight="1">
      <x:c r="A5922" t="str">
        <x:v>US-2015-126977</x:v>
      </x:c>
      <x:c r="B5922" s="18" t="n">
        <x:v>42264</x:v>
      </x:c>
      <x:c r="C5922" t="str">
        <x:v>PF-19120</x:v>
      </x:c>
      <x:c r="D5922" t="str">
        <x:v>Peter Fuller</x:v>
      </x:c>
      <x:c r="E5922" t="str">
        <x:v>Consumer</x:v>
      </x:c>
      <x:c r="F5922" t="str">
        <x:v>East</x:v>
      </x:c>
      <x:c r="G5922" t="str">
        <x:v>Furniture</x:v>
      </x:c>
      <x:c r="H5922" t="str">
        <x:v>Bookcases</x:v>
      </x:c>
      <x:c r="I5922" s="22" t="n">
        <x:v>4228.704000000001</x:v>
      </x:c>
      <x:c r="J5922" s="24" t="n">
        <x:v>6</x:v>
      </x:c>
      <x:c r="K5922" s="26" t="n">
        <x:v>0.2</x:v>
      </x:c>
      <x:c r="L5922" s="22" t="n">
        <x:v>158.57639999999992</x:v>
      </x:c>
      <x:c r="M5922" t="n">
        <x:v>2015</x:v>
      </x:c>
      <x:c r="N5922" s="20" t="n">
        <x:v>42248</x:v>
      </x:c>
    </x:row>
    <x:row r="5923" ht="18" customHeight="1">
      <x:c r="A5923" t="str">
        <x:v>US-2015-126977</x:v>
      </x:c>
      <x:c r="B5923" s="18" t="n">
        <x:v>42264</x:v>
      </x:c>
      <x:c r="C5923" t="str">
        <x:v>PF-19120</x:v>
      </x:c>
      <x:c r="D5923" t="str">
        <x:v>Peter Fuller</x:v>
      </x:c>
      <x:c r="E5923" t="str">
        <x:v>Consumer</x:v>
      </x:c>
      <x:c r="F5923" t="str">
        <x:v>East</x:v>
      </x:c>
      <x:c r="G5923" t="str">
        <x:v>Furniture</x:v>
      </x:c>
      <x:c r="H5923" t="str">
        <x:v>Bookcases</x:v>
      </x:c>
      <x:c r="I5923" s="22" t="n">
        <x:v>2003.9200000000003</x:v>
      </x:c>
      <x:c r="J5923" s="24" t="n">
        <x:v>5</x:v>
      </x:c>
      <x:c r="K5923" s="26" t="n">
        <x:v>0.2</x:v>
      </x:c>
      <x:c r="L5923" s="22" t="n">
        <x:v>-25.04900000000015</x:v>
      </x:c>
      <x:c r="M5923" t="n">
        <x:v>2015</x:v>
      </x:c>
      <x:c r="N5923" s="20" t="n">
        <x:v>42248</x:v>
      </x:c>
    </x:row>
    <x:row r="5924" ht="18" customHeight="1">
      <x:c r="A5924" t="str">
        <x:v>US-2015-126977</x:v>
      </x:c>
      <x:c r="B5924" s="18" t="n">
        <x:v>42264</x:v>
      </x:c>
      <x:c r="C5924" t="str">
        <x:v>PF-19120</x:v>
      </x:c>
      <x:c r="D5924" t="str">
        <x:v>Peter Fuller</x:v>
      </x:c>
      <x:c r="E5924" t="str">
        <x:v>Consumer</x:v>
      </x:c>
      <x:c r="F5924" t="str">
        <x:v>East</x:v>
      </x:c>
      <x:c r="G5924" t="str">
        <x:v>Technology</x:v>
      </x:c>
      <x:c r="H5924" t="str">
        <x:v>Phones</x:v>
      </x:c>
      <x:c r="I5924" s="22" t="n">
        <x:v>209.96999999999997</x:v>
      </x:c>
      <x:c r="J5924" s="24" t="n">
        <x:v>3</x:v>
      </x:c>
      <x:c r="K5924" s="26" t="n">
        <x:v>0</x:v>
      </x:c>
      <x:c r="L5924" s="22" t="n">
        <x:v>58.7916</x:v>
      </x:c>
      <x:c r="M5924" t="n">
        <x:v>2015</x:v>
      </x:c>
      <x:c r="N5924" s="20" t="n">
        <x:v>42248</x:v>
      </x:c>
    </x:row>
    <x:row r="5925" ht="18" customHeight="1">
      <x:c r="A5925" t="str">
        <x:v>US-2015-126977</x:v>
      </x:c>
      <x:c r="B5925" s="18" t="n">
        <x:v>42264</x:v>
      </x:c>
      <x:c r="C5925" t="str">
        <x:v>PF-19120</x:v>
      </x:c>
      <x:c r="D5925" t="str">
        <x:v>Peter Fuller</x:v>
      </x:c>
      <x:c r="E5925" t="str">
        <x:v>Consumer</x:v>
      </x:c>
      <x:c r="F5925" t="str">
        <x:v>East</x:v>
      </x:c>
      <x:c r="G5925" t="str">
        <x:v>Technology</x:v>
      </x:c>
      <x:c r="H5925" t="str">
        <x:v>Accessories</x:v>
      </x:c>
      <x:c r="I5925" s="22" t="n">
        <x:v>659.9</x:v>
      </x:c>
      <x:c r="J5925" s="24" t="n">
        <x:v>2</x:v>
      </x:c>
      <x:c r="K5925" s="26" t="n">
        <x:v>0</x:v>
      </x:c>
      <x:c r="L5925" s="22" t="n">
        <x:v>217.76699999999994</x:v>
      </x:c>
      <x:c r="M5925" t="n">
        <x:v>2015</x:v>
      </x:c>
      <x:c r="N5925" s="20" t="n">
        <x:v>42248</x:v>
      </x:c>
    </x:row>
    <x:row r="5926" ht="18" customHeight="1">
      <x:c r="A5926" t="str">
        <x:v>US-2015-126977</x:v>
      </x:c>
      <x:c r="B5926" s="18" t="n">
        <x:v>42264</x:v>
      </x:c>
      <x:c r="C5926" t="str">
        <x:v>PF-19120</x:v>
      </x:c>
      <x:c r="D5926" t="str">
        <x:v>Peter Fuller</x:v>
      </x:c>
      <x:c r="E5926" t="str">
        <x:v>Consumer</x:v>
      </x:c>
      <x:c r="F5926" t="str">
        <x:v>East</x:v>
      </x:c>
      <x:c r="G5926" t="str">
        <x:v>Office Supplies</x:v>
      </x:c>
      <x:c r="H5926" t="str">
        <x:v>Paper</x:v>
      </x:c>
      <x:c r="I5926" s="22" t="n">
        <x:v>110.96</x:v>
      </x:c>
      <x:c r="J5926" s="24" t="n">
        <x:v>2</x:v>
      </x:c>
      <x:c r="K5926" s="26" t="n">
        <x:v>0</x:v>
      </x:c>
      <x:c r="L5926" s="22" t="n">
        <x:v>53.260799999999996</x:v>
      </x:c>
      <x:c r="M5926" t="n">
        <x:v>2015</x:v>
      </x:c>
      <x:c r="N5926" s="20" t="n">
        <x:v>42248</x:v>
      </x:c>
    </x:row>
    <x:row r="5927" ht="18" customHeight="1">
      <x:c r="A5927" t="str">
        <x:v>US-2015-126977</x:v>
      </x:c>
      <x:c r="B5927" s="18" t="n">
        <x:v>42264</x:v>
      </x:c>
      <x:c r="C5927" t="str">
        <x:v>PF-19120</x:v>
      </x:c>
      <x:c r="D5927" t="str">
        <x:v>Peter Fuller</x:v>
      </x:c>
      <x:c r="E5927" t="str">
        <x:v>Consumer</x:v>
      </x:c>
      <x:c r="F5927" t="str">
        <x:v>East</x:v>
      </x:c>
      <x:c r="G5927" t="str">
        <x:v>Technology</x:v>
      </x:c>
      <x:c r="H5927" t="str">
        <x:v>Phones</x:v>
      </x:c>
      <x:c r="I5927" s="22" t="n">
        <x:v>67.8</x:v>
      </x:c>
      <x:c r="J5927" s="24" t="n">
        <x:v>4</x:v>
      </x:c>
      <x:c r="K5927" s="26" t="n">
        <x:v>0</x:v>
      </x:c>
      <x:c r="L5927" s="22" t="n">
        <x:v>1.3559999999999945</x:v>
      </x:c>
      <x:c r="M5927" t="n">
        <x:v>2015</x:v>
      </x:c>
      <x:c r="N5927" s="20" t="n">
        <x:v>42248</x:v>
      </x:c>
    </x:row>
    <x:row r="5928" ht="18" customHeight="1">
      <x:c r="A5928" t="str">
        <x:v>CA-2016-130288</x:v>
      </x:c>
      <x:c r="B5928" s="18" t="n">
        <x:v>42700</x:v>
      </x:c>
      <x:c r="C5928" t="str">
        <x:v>DK-13225</x:v>
      </x:c>
      <x:c r="D5928" t="str">
        <x:v>Dean Katz</x:v>
      </x:c>
      <x:c r="E5928" t="str">
        <x:v>Corporate</x:v>
      </x:c>
      <x:c r="F5928" t="str">
        <x:v>East</x:v>
      </x:c>
      <x:c r="G5928" t="str">
        <x:v>Furniture</x:v>
      </x:c>
      <x:c r="H5928" t="str">
        <x:v>Tables</x:v>
      </x:c>
      <x:c r="I5928" s="22" t="n">
        <x:v>313.176</x:v>
      </x:c>
      <x:c r="J5928" s="24" t="n">
        <x:v>2</x:v>
      </x:c>
      <x:c r="K5928" s="26" t="n">
        <x:v>0.4</x:v>
      </x:c>
      <x:c r="L5928" s="22" t="n">
        <x:v>-120.05080000000007</x:v>
      </x:c>
      <x:c r="M5928" t="n">
        <x:v>2016</x:v>
      </x:c>
      <x:c r="N5928" s="20" t="n">
        <x:v>42675</x:v>
      </x:c>
    </x:row>
    <x:row r="5929" ht="18" customHeight="1">
      <x:c r="A5929" t="str">
        <x:v>CA-2017-146458</x:v>
      </x:c>
      <x:c r="B5929" s="18" t="n">
        <x:v>43058</x:v>
      </x:c>
      <x:c r="C5929" t="str">
        <x:v>RB-19435</x:v>
      </x:c>
      <x:c r="D5929" t="str">
        <x:v>Richard Bierner</x:v>
      </x:c>
      <x:c r="E5929" t="str">
        <x:v>Consumer</x:v>
      </x:c>
      <x:c r="F5929" t="str">
        <x:v>South</x:v>
      </x:c>
      <x:c r="G5929" t="str">
        <x:v>Office Supplies</x:v>
      </x:c>
      <x:c r="H5929" t="str">
        <x:v>Art</x:v>
      </x:c>
      <x:c r="I5929" s="22" t="n">
        <x:v>22.959999999999997</x:v>
      </x:c>
      <x:c r="J5929" s="24" t="n">
        <x:v>7</x:v>
      </x:c>
      <x:c r="K5929" s="26" t="n">
        <x:v>0</x:v>
      </x:c>
      <x:c r="L5929" s="22" t="n">
        <x:v>6.658399999999997</x:v>
      </x:c>
      <x:c r="M5929" t="n">
        <x:v>2017</x:v>
      </x:c>
      <x:c r="N5929" s="20" t="n">
        <x:v>43040</x:v>
      </x:c>
    </x:row>
    <x:row r="5930" ht="18" customHeight="1">
      <x:c r="A5930" t="str">
        <x:v>CA-2017-150420</x:v>
      </x:c>
      <x:c r="B5930" s="18" t="n">
        <x:v>42889</x:v>
      </x:c>
      <x:c r="C5930" t="str">
        <x:v>GD-14590</x:v>
      </x:c>
      <x:c r="D5930" t="str">
        <x:v>Giulietta Dortch</x:v>
      </x:c>
      <x:c r="E5930" t="str">
        <x:v>Corporate</x:v>
      </x:c>
      <x:c r="F5930" t="str">
        <x:v>West</x:v>
      </x:c>
      <x:c r="G5930" t="str">
        <x:v>Technology</x:v>
      </x:c>
      <x:c r="H5930" t="str">
        <x:v>Accessories</x:v>
      </x:c>
      <x:c r="I5930" s="22" t="n">
        <x:v>1099.5</x:v>
      </x:c>
      <x:c r="J5930" s="24" t="n">
        <x:v>10</x:v>
      </x:c>
      <x:c r="K5930" s="26" t="n">
        <x:v>0</x:v>
      </x:c>
      <x:c r="L5930" s="22" t="n">
        <x:v>362.83500000000004</x:v>
      </x:c>
      <x:c r="M5930" t="n">
        <x:v>2017</x:v>
      </x:c>
      <x:c r="N5930" s="20" t="n">
        <x:v>42887</x:v>
      </x:c>
    </x:row>
    <x:row r="5931" ht="18" customHeight="1">
      <x:c r="A5931" t="str">
        <x:v>US-2014-118997</x:v>
      </x:c>
      <x:c r="B5931" s="18" t="n">
        <x:v>41737</x:v>
      </x:c>
      <x:c r="C5931" t="str">
        <x:v>RA-19885</x:v>
      </x:c>
      <x:c r="D5931" t="str">
        <x:v>Ruben Ausman</x:v>
      </x:c>
      <x:c r="E5931" t="str">
        <x:v>Corporate</x:v>
      </x:c>
      <x:c r="F5931" t="str">
        <x:v>South</x:v>
      </x:c>
      <x:c r="G5931" t="str">
        <x:v>Furniture</x:v>
      </x:c>
      <x:c r="H5931" t="str">
        <x:v>Tables</x:v>
      </x:c>
      <x:c r="I5931" s="22" t="n">
        <x:v>1215.92</x:v>
      </x:c>
      <x:c r="J5931" s="24" t="n">
        <x:v>8</x:v>
      </x:c>
      <x:c r="K5931" s="26" t="n">
        <x:v>0</x:v>
      </x:c>
      <x:c r="L5931" s="22" t="n">
        <x:v>316.1392000000001</x:v>
      </x:c>
      <x:c r="M5931" t="n">
        <x:v>2014</x:v>
      </x:c>
      <x:c r="N5931" s="20" t="n">
        <x:v>41730</x:v>
      </x:c>
    </x:row>
    <x:row r="5932" ht="18" customHeight="1">
      <x:c r="A5932" t="str">
        <x:v>CA-2014-114314</x:v>
      </x:c>
      <x:c r="B5932" s="18" t="n">
        <x:v>41923</x:v>
      </x:c>
      <x:c r="C5932" t="str">
        <x:v>DB-13555</x:v>
      </x:c>
      <x:c r="D5932" t="str">
        <x:v>Dorothy Badders</x:v>
      </x:c>
      <x:c r="E5932" t="str">
        <x:v>Corporate</x:v>
      </x:c>
      <x:c r="F5932" t="str">
        <x:v>South</x:v>
      </x:c>
      <x:c r="G5932" t="str">
        <x:v>Office Supplies</x:v>
      </x:c>
      <x:c r="H5932" t="str">
        <x:v>Labels</x:v>
      </x:c>
      <x:c r="I5932" s="22" t="n">
        <x:v>7.31</x:v>
      </x:c>
      <x:c r="J5932" s="24" t="n">
        <x:v>1</x:v>
      </x:c>
      <x:c r="K5932" s="26" t="n">
        <x:v>0</x:v>
      </x:c>
      <x:c r="L5932" s="22" t="n">
        <x:v>3.4356999999999998</x:v>
      </x:c>
      <x:c r="M5932" t="n">
        <x:v>2014</x:v>
      </x:c>
      <x:c r="N5932" s="20" t="n">
        <x:v>41913</x:v>
      </x:c>
    </x:row>
    <x:row r="5933" ht="18" customHeight="1">
      <x:c r="A5933" t="str">
        <x:v>CA-2014-114314</x:v>
      </x:c>
      <x:c r="B5933" s="18" t="n">
        <x:v>41923</x:v>
      </x:c>
      <x:c r="C5933" t="str">
        <x:v>DB-13555</x:v>
      </x:c>
      <x:c r="D5933" t="str">
        <x:v>Dorothy Badders</x:v>
      </x:c>
      <x:c r="E5933" t="str">
        <x:v>Corporate</x:v>
      </x:c>
      <x:c r="F5933" t="str">
        <x:v>South</x:v>
      </x:c>
      <x:c r="G5933" t="str">
        <x:v>Furniture</x:v>
      </x:c>
      <x:c r="H5933" t="str">
        <x:v>Furnishings</x:v>
      </x:c>
      <x:c r="I5933" s="22" t="n">
        <x:v>8.92</x:v>
      </x:c>
      <x:c r="J5933" s="24" t="n">
        <x:v>4</x:v>
      </x:c>
      <x:c r="K5933" s="26" t="n">
        <x:v>0</x:v>
      </x:c>
      <x:c r="L5933" s="22" t="n">
        <x:v>3.9248000000000003</x:v>
      </x:c>
      <x:c r="M5933" t="n">
        <x:v>2014</x:v>
      </x:c>
      <x:c r="N5933" s="20" t="n">
        <x:v>41913</x:v>
      </x:c>
    </x:row>
    <x:row r="5934" ht="18" customHeight="1">
      <x:c r="A5934" t="str">
        <x:v>US-2017-169551</x:v>
      </x:c>
      <x:c r="B5934" s="18" t="n">
        <x:v>42923</x:v>
      </x:c>
      <x:c r="C5934" t="str">
        <x:v>RL-19615</x:v>
      </x:c>
      <x:c r="D5934" t="str">
        <x:v>Rob Lucas</x:v>
      </x:c>
      <x:c r="E5934" t="str">
        <x:v>Consumer</x:v>
      </x:c>
      <x:c r="F5934" t="str">
        <x:v>East</x:v>
      </x:c>
      <x:c r="G5934" t="str">
        <x:v>Furniture</x:v>
      </x:c>
      <x:c r="H5934" t="str">
        <x:v>Bookcases</x:v>
      </x:c>
      <x:c r="I5934" s="22" t="n">
        <x:v>87.21000000000001</x:v>
      </x:c>
      <x:c r="J5934" s="24" t="n">
        <x:v>3</x:v>
      </x:c>
      <x:c r="K5934" s="26" t="n">
        <x:v>0.5</x:v>
      </x:c>
      <x:c r="L5934" s="22" t="n">
        <x:v>-45.3492</x:v>
      </x:c>
      <x:c r="M5934" t="n">
        <x:v>2017</x:v>
      </x:c>
      <x:c r="N5934" s="20" t="n">
        <x:v>42917</x:v>
      </x:c>
    </x:row>
    <x:row r="5935" ht="18" customHeight="1">
      <x:c r="A5935" t="str">
        <x:v>US-2017-169551</x:v>
      </x:c>
      <x:c r="B5935" s="18" t="n">
        <x:v>42923</x:v>
      </x:c>
      <x:c r="C5935" t="str">
        <x:v>RL-19615</x:v>
      </x:c>
      <x:c r="D5935" t="str">
        <x:v>Rob Lucas</x:v>
      </x:c>
      <x:c r="E5935" t="str">
        <x:v>Consumer</x:v>
      </x:c>
      <x:c r="F5935" t="str">
        <x:v>East</x:v>
      </x:c>
      <x:c r="G5935" t="str">
        <x:v>Office Supplies</x:v>
      </x:c>
      <x:c r="H5935" t="str">
        <x:v>Paper</x:v>
      </x:c>
      <x:c r="I5935" s="22" t="n">
        <x:v>15.552000000000003</x:v>
      </x:c>
      <x:c r="J5935" s="24" t="n">
        <x:v>3</x:v>
      </x:c>
      <x:c r="K5935" s="26" t="n">
        <x:v>0.2</x:v>
      </x:c>
      <x:c r="L5935" s="22" t="n">
        <x:v>5.4432</x:v>
      </x:c>
      <x:c r="M5935" t="n">
        <x:v>2017</x:v>
      </x:c>
      <x:c r="N5935" s="20" t="n">
        <x:v>42917</x:v>
      </x:c>
    </x:row>
    <x:row r="5936" ht="18" customHeight="1">
      <x:c r="A5936" t="str">
        <x:v>US-2017-169551</x:v>
      </x:c>
      <x:c r="B5936" s="18" t="n">
        <x:v>42923</x:v>
      </x:c>
      <x:c r="C5936" t="str">
        <x:v>RL-19615</x:v>
      </x:c>
      <x:c r="D5936" t="str">
        <x:v>Rob Lucas</x:v>
      </x:c>
      <x:c r="E5936" t="str">
        <x:v>Consumer</x:v>
      </x:c>
      <x:c r="F5936" t="str">
        <x:v>East</x:v>
      </x:c>
      <x:c r="G5936" t="str">
        <x:v>Technology</x:v>
      </x:c>
      <x:c r="H5936" t="str">
        <x:v>Phones</x:v>
      </x:c>
      <x:c r="I5936" s="22" t="n">
        <x:v>683.9879999999999</x:v>
      </x:c>
      <x:c r="J5936" s="24" t="n">
        <x:v>2</x:v>
      </x:c>
      <x:c r="K5936" s="26" t="n">
        <x:v>0.4</x:v>
      </x:c>
      <x:c r="L5936" s="22" t="n">
        <x:v>-113.9980000000001</x:v>
      </x:c>
      <x:c r="M5936" t="n">
        <x:v>2017</x:v>
      </x:c>
      <x:c r="N5936" s="20" t="n">
        <x:v>42917</x:v>
      </x:c>
    </x:row>
    <x:row r="5937" ht="18" customHeight="1">
      <x:c r="A5937" t="str">
        <x:v>US-2017-169551</x:v>
      </x:c>
      <x:c r="B5937" s="18" t="n">
        <x:v>42923</x:v>
      </x:c>
      <x:c r="C5937" t="str">
        <x:v>RL-19615</x:v>
      </x:c>
      <x:c r="D5937" t="str">
        <x:v>Rob Lucas</x:v>
      </x:c>
      <x:c r="E5937" t="str">
        <x:v>Consumer</x:v>
      </x:c>
      <x:c r="F5937" t="str">
        <x:v>East</x:v>
      </x:c>
      <x:c r="G5937" t="str">
        <x:v>Office Supplies</x:v>
      </x:c>
      <x:c r="H5937" t="str">
        <x:v>Storage</x:v>
      </x:c>
      <x:c r="I5937" s="22" t="n">
        <x:v>13.392000000000001</x:v>
      </x:c>
      <x:c r="J5937" s="24" t="n">
        <x:v>3</x:v>
      </x:c>
      <x:c r="K5937" s="26" t="n">
        <x:v>0.2</x:v>
      </x:c>
      <x:c r="L5937" s="22" t="n">
        <x:v>1.0044</x:v>
      </x:c>
      <x:c r="M5937" t="n">
        <x:v>2017</x:v>
      </x:c>
      <x:c r="N5937" s="20" t="n">
        <x:v>42917</x:v>
      </x:c>
    </x:row>
    <x:row r="5938" ht="18" customHeight="1">
      <x:c r="A5938" t="str">
        <x:v>US-2017-169551</x:v>
      </x:c>
      <x:c r="B5938" s="18" t="n">
        <x:v>42923</x:v>
      </x:c>
      <x:c r="C5938" t="str">
        <x:v>RL-19615</x:v>
      </x:c>
      <x:c r="D5938" t="str">
        <x:v>Rob Lucas</x:v>
      </x:c>
      <x:c r="E5938" t="str">
        <x:v>Consumer</x:v>
      </x:c>
      <x:c r="F5938" t="str">
        <x:v>East</x:v>
      </x:c>
      <x:c r="G5938" t="str">
        <x:v>Technology</x:v>
      </x:c>
      <x:c r="H5938" t="str">
        <x:v>Accessories</x:v>
      </x:c>
      <x:c r="I5938" s="22" t="n">
        <x:v>16.776000000000003</x:v>
      </x:c>
      <x:c r="J5938" s="24" t="n">
        <x:v>3</x:v>
      </x:c>
      <x:c r="K5938" s="26" t="n">
        <x:v>0.2</x:v>
      </x:c>
      <x:c r="L5938" s="22" t="n">
        <x:v>4.8231</x:v>
      </x:c>
      <x:c r="M5938" t="n">
        <x:v>2017</x:v>
      </x:c>
      <x:c r="N5938" s="20" t="n">
        <x:v>42917</x:v>
      </x:c>
    </x:row>
    <x:row r="5939" ht="18" customHeight="1">
      <x:c r="A5939" t="str">
        <x:v>US-2017-169551</x:v>
      </x:c>
      <x:c r="B5939" s="18" t="n">
        <x:v>42923</x:v>
      </x:c>
      <x:c r="C5939" t="str">
        <x:v>RL-19615</x:v>
      </x:c>
      <x:c r="D5939" t="str">
        <x:v>Rob Lucas</x:v>
      </x:c>
      <x:c r="E5939" t="str">
        <x:v>Consumer</x:v>
      </x:c>
      <x:c r="F5939" t="str">
        <x:v>East</x:v>
      </x:c>
      <x:c r="G5939" t="str">
        <x:v>Technology</x:v>
      </x:c>
      <x:c r="H5939" t="str">
        <x:v>Accessories</x:v>
      </x:c>
      <x:c r="I5939" s="22" t="n">
        <x:v>527.92</x:v>
      </x:c>
      <x:c r="J5939" s="24" t="n">
        <x:v>2</x:v>
      </x:c>
      <x:c r="K5939" s="26" t="n">
        <x:v>0.2</x:v>
      </x:c>
      <x:c r="L5939" s="22" t="n">
        <x:v>85.78699999999995</x:v>
      </x:c>
      <x:c r="M5939" t="n">
        <x:v>2017</x:v>
      </x:c>
      <x:c r="N5939" s="20" t="n">
        <x:v>42917</x:v>
      </x:c>
    </x:row>
    <x:row r="5940" ht="18" customHeight="1">
      <x:c r="A5940" t="str">
        <x:v>CA-2016-103107</x:v>
      </x:c>
      <x:c r="B5940" s="18" t="n">
        <x:v>42555</x:v>
      </x:c>
      <x:c r="C5940" t="str">
        <x:v>RB-19465</x:v>
      </x:c>
      <x:c r="D5940" t="str">
        <x:v>Rick Bensley</x:v>
      </x:c>
      <x:c r="E5940" t="str">
        <x:v>Home Office</x:v>
      </x:c>
      <x:c r="F5940" t="str">
        <x:v>West</x:v>
      </x:c>
      <x:c r="G5940" t="str">
        <x:v>Furniture</x:v>
      </x:c>
      <x:c r="H5940" t="str">
        <x:v>Furnishings</x:v>
      </x:c>
      <x:c r="I5940" s="22" t="n">
        <x:v>25.4</x:v>
      </x:c>
      <x:c r="J5940" s="24" t="n">
        <x:v>5</x:v>
      </x:c>
      <x:c r="K5940" s="26" t="n">
        <x:v>0</x:v>
      </x:c>
      <x:c r="L5940" s="22" t="n">
        <x:v>8.636</x:v>
      </x:c>
      <x:c r="M5940" t="n">
        <x:v>2016</x:v>
      </x:c>
      <x:c r="N5940" s="20" t="n">
        <x:v>42552</x:v>
      </x:c>
    </x:row>
    <x:row r="5941" ht="18" customHeight="1">
      <x:c r="A5941" t="str">
        <x:v>CA-2016-103107</x:v>
      </x:c>
      <x:c r="B5941" s="18" t="n">
        <x:v>42555</x:v>
      </x:c>
      <x:c r="C5941" t="str">
        <x:v>RB-19465</x:v>
      </x:c>
      <x:c r="D5941" t="str">
        <x:v>Rick Bensley</x:v>
      </x:c>
      <x:c r="E5941" t="str">
        <x:v>Home Office</x:v>
      </x:c>
      <x:c r="F5941" t="str">
        <x:v>West</x:v>
      </x:c>
      <x:c r="G5941" t="str">
        <x:v>Technology</x:v>
      </x:c>
      <x:c r="H5941" t="str">
        <x:v>Phones</x:v>
      </x:c>
      <x:c r="I5941" s="22" t="n">
        <x:v>177.48000000000002</x:v>
      </x:c>
      <x:c r="J5941" s="24" t="n">
        <x:v>3</x:v>
      </x:c>
      <x:c r="K5941" s="26" t="n">
        <x:v>0.2</x:v>
      </x:c>
      <x:c r="L5941" s="22" t="n">
        <x:v>19.966499999999982</x:v>
      </x:c>
      <x:c r="M5941" t="n">
        <x:v>2016</x:v>
      </x:c>
      <x:c r="N5941" s="20" t="n">
        <x:v>42552</x:v>
      </x:c>
    </x:row>
    <x:row r="5942" ht="18" customHeight="1">
      <x:c r="A5942" t="str">
        <x:v>CA-2016-103107</x:v>
      </x:c>
      <x:c r="B5942" s="18" t="n">
        <x:v>42555</x:v>
      </x:c>
      <x:c r="C5942" t="str">
        <x:v>RB-19465</x:v>
      </x:c>
      <x:c r="D5942" t="str">
        <x:v>Rick Bensley</x:v>
      </x:c>
      <x:c r="E5942" t="str">
        <x:v>Home Office</x:v>
      </x:c>
      <x:c r="F5942" t="str">
        <x:v>West</x:v>
      </x:c>
      <x:c r="G5942" t="str">
        <x:v>Technology</x:v>
      </x:c>
      <x:c r="H5942" t="str">
        <x:v>Phones</x:v>
      </x:c>
      <x:c r="I5942" s="22" t="n">
        <x:v>71.976</x:v>
      </x:c>
      <x:c r="J5942" s="24" t="n">
        <x:v>3</x:v>
      </x:c>
      <x:c r="K5942" s="26" t="n">
        <x:v>0.2</x:v>
      </x:c>
      <x:c r="L5942" s="22" t="n">
        <x:v>8.99699999999999</x:v>
      </x:c>
      <x:c r="M5942" t="n">
        <x:v>2016</x:v>
      </x:c>
      <x:c r="N5942" s="20" t="n">
        <x:v>42552</x:v>
      </x:c>
    </x:row>
    <x:row r="5943" ht="18" customHeight="1">
      <x:c r="A5943" t="str">
        <x:v>CA-2017-122077</x:v>
      </x:c>
      <x:c r="B5943" s="18" t="n">
        <x:v>42874</x:v>
      </x:c>
      <x:c r="C5943" t="str">
        <x:v>JF-15295</x:v>
      </x:c>
      <x:c r="D5943" t="str">
        <x:v>Jason Fortune-</x:v>
      </x:c>
      <x:c r="E5943" t="str">
        <x:v>Consumer</x:v>
      </x:c>
      <x:c r="F5943" t="str">
        <x:v>Central</x:v>
      </x:c>
      <x:c r="G5943" t="str">
        <x:v>Technology</x:v>
      </x:c>
      <x:c r="H5943" t="str">
        <x:v>Phones</x:v>
      </x:c>
      <x:c r="I5943" s="22" t="n">
        <x:v>95.992</x:v>
      </x:c>
      <x:c r="J5943" s="24" t="n">
        <x:v>1</x:v>
      </x:c>
      <x:c r="K5943" s="26" t="n">
        <x:v>0.2</x:v>
      </x:c>
      <x:c r="L5943" s="22" t="n">
        <x:v>9.5992</x:v>
      </x:c>
      <x:c r="M5943" t="n">
        <x:v>2017</x:v>
      </x:c>
      <x:c r="N5943" s="20" t="n">
        <x:v>42856</x:v>
      </x:c>
    </x:row>
    <x:row r="5944" ht="18" customHeight="1">
      <x:c r="A5944" t="str">
        <x:v>CA-2017-122077</x:v>
      </x:c>
      <x:c r="B5944" s="18" t="n">
        <x:v>42874</x:v>
      </x:c>
      <x:c r="C5944" t="str">
        <x:v>JF-15295</x:v>
      </x:c>
      <x:c r="D5944" t="str">
        <x:v>Jason Fortune-</x:v>
      </x:c>
      <x:c r="E5944" t="str">
        <x:v>Consumer</x:v>
      </x:c>
      <x:c r="F5944" t="str">
        <x:v>Central</x:v>
      </x:c>
      <x:c r="G5944" t="str">
        <x:v>Office Supplies</x:v>
      </x:c>
      <x:c r="H5944" t="str">
        <x:v>Labels</x:v>
      </x:c>
      <x:c r="I5944" s="22" t="n">
        <x:v>13.216000000000001</x:v>
      </x:c>
      <x:c r="J5944" s="24" t="n">
        <x:v>4</x:v>
      </x:c>
      <x:c r="K5944" s="26" t="n">
        <x:v>0.2</x:v>
      </x:c>
      <x:c r="L5944" s="22" t="n">
        <x:v>4.2951999999999995</x:v>
      </x:c>
      <x:c r="M5944" t="n">
        <x:v>2017</x:v>
      </x:c>
      <x:c r="N5944" s="20" t="n">
        <x:v>42856</x:v>
      </x:c>
    </x:row>
    <x:row r="5945" ht="18" customHeight="1">
      <x:c r="A5945" t="str">
        <x:v>CA-2017-112431</x:v>
      </x:c>
      <x:c r="B5945" s="18" t="n">
        <x:v>43020</x:v>
      </x:c>
      <x:c r="C5945" t="str">
        <x:v>RW-19690</x:v>
      </x:c>
      <x:c r="D5945" t="str">
        <x:v>Robert Waldorf</x:v>
      </x:c>
      <x:c r="E5945" t="str">
        <x:v>Consumer</x:v>
      </x:c>
      <x:c r="F5945" t="str">
        <x:v>West</x:v>
      </x:c>
      <x:c r="G5945" t="str">
        <x:v>Technology</x:v>
      </x:c>
      <x:c r="H5945" t="str">
        <x:v>Accessories</x:v>
      </x:c>
      <x:c r="I5945" s="22" t="n">
        <x:v>435.84000000000003</x:v>
      </x:c>
      <x:c r="J5945" s="24" t="n">
        <x:v>12</x:v>
      </x:c>
      <x:c r="K5945" s="26" t="n">
        <x:v>0</x:v>
      </x:c>
      <x:c r="L5945" s="22" t="n">
        <x:v>130.75199999999995</x:v>
      </x:c>
      <x:c r="M5945" t="n">
        <x:v>2017</x:v>
      </x:c>
      <x:c r="N5945" s="20" t="n">
        <x:v>43009</x:v>
      </x:c>
    </x:row>
    <x:row r="5946" ht="18" customHeight="1">
      <x:c r="A5946" t="str">
        <x:v>CA-2017-112431</x:v>
      </x:c>
      <x:c r="B5946" s="18" t="n">
        <x:v>43020</x:v>
      </x:c>
      <x:c r="C5946" t="str">
        <x:v>RW-19690</x:v>
      </x:c>
      <x:c r="D5946" t="str">
        <x:v>Robert Waldorf</x:v>
      </x:c>
      <x:c r="E5946" t="str">
        <x:v>Consumer</x:v>
      </x:c>
      <x:c r="F5946" t="str">
        <x:v>West</x:v>
      </x:c>
      <x:c r="G5946" t="str">
        <x:v>Office Supplies</x:v>
      </x:c>
      <x:c r="H5946" t="str">
        <x:v>Art</x:v>
      </x:c>
      <x:c r="I5946" s="22" t="n">
        <x:v>5.88</x:v>
      </x:c>
      <x:c r="J5946" s="24" t="n">
        <x:v>2</x:v>
      </x:c>
      <x:c r="K5946" s="26" t="n">
        <x:v>0</x:v>
      </x:c>
      <x:c r="L5946" s="22" t="n">
        <x:v>1.5876000000000001</x:v>
      </x:c>
      <x:c r="M5946" t="n">
        <x:v>2017</x:v>
      </x:c>
      <x:c r="N5946" s="20" t="n">
        <x:v>43009</x:v>
      </x:c>
    </x:row>
    <x:row r="5947" ht="18" customHeight="1">
      <x:c r="A5947" t="str">
        <x:v>CA-2016-151092</x:v>
      </x:c>
      <x:c r="B5947" s="18" t="n">
        <x:v>42588</x:v>
      </x:c>
      <x:c r="C5947" t="str">
        <x:v>VG-21790</x:v>
      </x:c>
      <x:c r="D5947" t="str">
        <x:v>Vivek Gonzalez</x:v>
      </x:c>
      <x:c r="E5947" t="str">
        <x:v>Consumer</x:v>
      </x:c>
      <x:c r="F5947" t="str">
        <x:v>West</x:v>
      </x:c>
      <x:c r="G5947" t="str">
        <x:v>Technology</x:v>
      </x:c>
      <x:c r="H5947" t="str">
        <x:v>Phones</x:v>
      </x:c>
      <x:c r="I5947" s="22" t="n">
        <x:v>211.168</x:v>
      </x:c>
      <x:c r="J5947" s="24" t="n">
        <x:v>4</x:v>
      </x:c>
      <x:c r="K5947" s="26" t="n">
        <x:v>0.2</x:v>
      </x:c>
      <x:c r="L5947" s="22" t="n">
        <x:v>18.47720000000001</x:v>
      </x:c>
      <x:c r="M5947" t="n">
        <x:v>2016</x:v>
      </x:c>
      <x:c r="N5947" s="20" t="n">
        <x:v>42583</x:v>
      </x:c>
    </x:row>
    <x:row r="5948" ht="18" customHeight="1">
      <x:c r="A5948" t="str">
        <x:v>CA-2014-104178</x:v>
      </x:c>
      <x:c r="B5948" s="18" t="n">
        <x:v>41876</x:v>
      </x:c>
      <x:c r="C5948" t="str">
        <x:v>JM-15265</x:v>
      </x:c>
      <x:c r="D5948" t="str">
        <x:v>Janet Molinari</x:v>
      </x:c>
      <x:c r="E5948" t="str">
        <x:v>Corporate</x:v>
      </x:c>
      <x:c r="F5948" t="str">
        <x:v>West</x:v>
      </x:c>
      <x:c r="G5948" t="str">
        <x:v>Furniture</x:v>
      </x:c>
      <x:c r="H5948" t="str">
        <x:v>Furnishings</x:v>
      </x:c>
      <x:c r="I5948" s="22" t="n">
        <x:v>6.28</x:v>
      </x:c>
      <x:c r="J5948" s="24" t="n">
        <x:v>1</x:v>
      </x:c>
      <x:c r="K5948" s="26" t="n">
        <x:v>0</x:v>
      </x:c>
      <x:c r="L5948" s="22" t="n">
        <x:v>2.6376000000000004</x:v>
      </x:c>
      <x:c r="M5948" t="n">
        <x:v>2014</x:v>
      </x:c>
      <x:c r="N5948" s="20" t="n">
        <x:v>41852</x:v>
      </x:c>
    </x:row>
    <x:row r="5949" ht="18" customHeight="1">
      <x:c r="A5949" t="str">
        <x:v>CA-2014-104178</x:v>
      </x:c>
      <x:c r="B5949" s="18" t="n">
        <x:v>41876</x:v>
      </x:c>
      <x:c r="C5949" t="str">
        <x:v>JM-15265</x:v>
      </x:c>
      <x:c r="D5949" t="str">
        <x:v>Janet Molinari</x:v>
      </x:c>
      <x:c r="E5949" t="str">
        <x:v>Corporate</x:v>
      </x:c>
      <x:c r="F5949" t="str">
        <x:v>West</x:v>
      </x:c>
      <x:c r="G5949" t="str">
        <x:v>Technology</x:v>
      </x:c>
      <x:c r="H5949" t="str">
        <x:v>Accessories</x:v>
      </x:c>
      <x:c r="I5949" s="22" t="n">
        <x:v>95.1</x:v>
      </x:c>
      <x:c r="J5949" s="24" t="n">
        <x:v>5</x:v>
      </x:c>
      <x:c r="K5949" s="26" t="n">
        <x:v>0</x:v>
      </x:c>
      <x:c r="L5949" s="22" t="n">
        <x:v>30.431999999999995</x:v>
      </x:c>
      <x:c r="M5949" t="n">
        <x:v>2014</x:v>
      </x:c>
      <x:c r="N5949" s="20" t="n">
        <x:v>41852</x:v>
      </x:c>
    </x:row>
    <x:row r="5950" ht="18" customHeight="1">
      <x:c r="A5950" t="str">
        <x:v>CA-2014-104178</x:v>
      </x:c>
      <x:c r="B5950" s="18" t="n">
        <x:v>41876</x:v>
      </x:c>
      <x:c r="C5950" t="str">
        <x:v>JM-15265</x:v>
      </x:c>
      <x:c r="D5950" t="str">
        <x:v>Janet Molinari</x:v>
      </x:c>
      <x:c r="E5950" t="str">
        <x:v>Corporate</x:v>
      </x:c>
      <x:c r="F5950" t="str">
        <x:v>West</x:v>
      </x:c>
      <x:c r="G5950" t="str">
        <x:v>Office Supplies</x:v>
      </x:c>
      <x:c r="H5950" t="str">
        <x:v>Paper</x:v>
      </x:c>
      <x:c r="I5950" s="22" t="n">
        <x:v>25.92</x:v>
      </x:c>
      <x:c r="J5950" s="24" t="n">
        <x:v>4</x:v>
      </x:c>
      <x:c r="K5950" s="26" t="n">
        <x:v>0</x:v>
      </x:c>
      <x:c r="L5950" s="22" t="n">
        <x:v>12.441600000000001</x:v>
      </x:c>
      <x:c r="M5950" t="n">
        <x:v>2014</x:v>
      </x:c>
      <x:c r="N5950" s="20" t="n">
        <x:v>41852</x:v>
      </x:c>
    </x:row>
    <x:row r="5951" ht="18" customHeight="1">
      <x:c r="A5951" t="str">
        <x:v>CA-2014-104178</x:v>
      </x:c>
      <x:c r="B5951" s="18" t="n">
        <x:v>41876</x:v>
      </x:c>
      <x:c r="C5951" t="str">
        <x:v>JM-15265</x:v>
      </x:c>
      <x:c r="D5951" t="str">
        <x:v>Janet Molinari</x:v>
      </x:c>
      <x:c r="E5951" t="str">
        <x:v>Corporate</x:v>
      </x:c>
      <x:c r="F5951" t="str">
        <x:v>West</x:v>
      </x:c>
      <x:c r="G5951" t="str">
        <x:v>Office Supplies</x:v>
      </x:c>
      <x:c r="H5951" t="str">
        <x:v>Storage</x:v>
      </x:c>
      <x:c r="I5951" s="22" t="n">
        <x:v>48.84</x:v>
      </x:c>
      <x:c r="J5951" s="24" t="n">
        <x:v>4</x:v>
      </x:c>
      <x:c r="K5951" s="26" t="n">
        <x:v>0</x:v>
      </x:c>
      <x:c r="L5951" s="22" t="n">
        <x:v>13.186800000000005</x:v>
      </x:c>
      <x:c r="M5951" t="n">
        <x:v>2014</x:v>
      </x:c>
      <x:c r="N5951" s="20" t="n">
        <x:v>41852</x:v>
      </x:c>
    </x:row>
    <x:row r="5952" ht="18" customHeight="1">
      <x:c r="A5952" t="str">
        <x:v>CA-2015-115924</x:v>
      </x:c>
      <x:c r="B5952" s="18" t="n">
        <x:v>42261</x:v>
      </x:c>
      <x:c r="C5952" t="str">
        <x:v>BE-11455</x:v>
      </x:c>
      <x:c r="D5952" t="str">
        <x:v>Brad Eason</x:v>
      </x:c>
      <x:c r="E5952" t="str">
        <x:v>Home Office</x:v>
      </x:c>
      <x:c r="F5952" t="str">
        <x:v>Central</x:v>
      </x:c>
      <x:c r="G5952" t="str">
        <x:v>Office Supplies</x:v>
      </x:c>
      <x:c r="H5952" t="str">
        <x:v>Binders</x:v>
      </x:c>
      <x:c r="I5952" s="22" t="n">
        <x:v>25.9</x:v>
      </x:c>
      <x:c r="J5952" s="24" t="n">
        <x:v>5</x:v>
      </x:c>
      <x:c r="K5952" s="26" t="n">
        <x:v>0</x:v>
      </x:c>
      <x:c r="L5952" s="22" t="n">
        <x:v>12.690999999999999</x:v>
      </x:c>
      <x:c r="M5952" t="n">
        <x:v>2015</x:v>
      </x:c>
      <x:c r="N5952" s="20" t="n">
        <x:v>42248</x:v>
      </x:c>
    </x:row>
    <x:row r="5953" ht="18" customHeight="1">
      <x:c r="A5953" t="str">
        <x:v>CA-2017-161046</x:v>
      </x:c>
      <x:c r="B5953" s="18" t="n">
        <x:v>42799</x:v>
      </x:c>
      <x:c r="C5953" t="str">
        <x:v>CB-12535</x:v>
      </x:c>
      <x:c r="D5953" t="str">
        <x:v>Claudia Bergmann</x:v>
      </x:c>
      <x:c r="E5953" t="str">
        <x:v>Corporate</x:v>
      </x:c>
      <x:c r="F5953" t="str">
        <x:v>South</x:v>
      </x:c>
      <x:c r="G5953" t="str">
        <x:v>Office Supplies</x:v>
      </x:c>
      <x:c r="H5953" t="str">
        <x:v>Envelopes</x:v>
      </x:c>
      <x:c r="I5953" s="22" t="n">
        <x:v>42.68</x:v>
      </x:c>
      <x:c r="J5953" s="24" t="n">
        <x:v>4</x:v>
      </x:c>
      <x:c r="K5953" s="26" t="n">
        <x:v>0</x:v>
      </x:c>
      <x:c r="L5953" s="22" t="n">
        <x:v>19.6328</x:v>
      </x:c>
      <x:c r="M5953" t="n">
        <x:v>2017</x:v>
      </x:c>
      <x:c r="N5953" s="20" t="n">
        <x:v>42795</x:v>
      </x:c>
    </x:row>
    <x:row r="5954" ht="18" customHeight="1">
      <x:c r="A5954" t="str">
        <x:v>CA-2017-161046</x:v>
      </x:c>
      <x:c r="B5954" s="18" t="n">
        <x:v>42799</x:v>
      </x:c>
      <x:c r="C5954" t="str">
        <x:v>CB-12535</x:v>
      </x:c>
      <x:c r="D5954" t="str">
        <x:v>Claudia Bergmann</x:v>
      </x:c>
      <x:c r="E5954" t="str">
        <x:v>Corporate</x:v>
      </x:c>
      <x:c r="F5954" t="str">
        <x:v>South</x:v>
      </x:c>
      <x:c r="G5954" t="str">
        <x:v>Technology</x:v>
      </x:c>
      <x:c r="H5954" t="str">
        <x:v>Accessories</x:v>
      </x:c>
      <x:c r="I5954" s="22" t="n">
        <x:v>299.96999999999997</x:v>
      </x:c>
      <x:c r="J5954" s="24" t="n">
        <x:v>3</x:v>
      </x:c>
      <x:c r="K5954" s="26" t="n">
        <x:v>0</x:v>
      </x:c>
      <x:c r="L5954" s="22" t="n">
        <x:v>125.98740000000001</x:v>
      </x:c>
      <x:c r="M5954" t="n">
        <x:v>2017</x:v>
      </x:c>
      <x:c r="N5954" s="20" t="n">
        <x:v>42795</x:v>
      </x:c>
    </x:row>
    <x:row r="5955" ht="18" customHeight="1">
      <x:c r="A5955" t="str">
        <x:v>CA-2017-161046</x:v>
      </x:c>
      <x:c r="B5955" s="18" t="n">
        <x:v>42799</x:v>
      </x:c>
      <x:c r="C5955" t="str">
        <x:v>CB-12535</x:v>
      </x:c>
      <x:c r="D5955" t="str">
        <x:v>Claudia Bergmann</x:v>
      </x:c>
      <x:c r="E5955" t="str">
        <x:v>Corporate</x:v>
      </x:c>
      <x:c r="F5955" t="str">
        <x:v>South</x:v>
      </x:c>
      <x:c r="G5955" t="str">
        <x:v>Office Supplies</x:v>
      </x:c>
      <x:c r="H5955" t="str">
        <x:v>Appliances</x:v>
      </x:c>
      <x:c r="I5955" s="22" t="n">
        <x:v>262.24</x:v>
      </x:c>
      <x:c r="J5955" s="24" t="n">
        <x:v>2</x:v>
      </x:c>
      <x:c r="K5955" s="26" t="n">
        <x:v>0</x:v>
      </x:c>
      <x:c r="L5955" s="22" t="n">
        <x:v>78.672</x:v>
      </x:c>
      <x:c r="M5955" t="n">
        <x:v>2017</x:v>
      </x:c>
      <x:c r="N5955" s="20" t="n">
        <x:v>42795</x:v>
      </x:c>
    </x:row>
    <x:row r="5956" ht="18" customHeight="1">
      <x:c r="A5956" t="str">
        <x:v>CA-2017-161046</x:v>
      </x:c>
      <x:c r="B5956" s="18" t="n">
        <x:v>42799</x:v>
      </x:c>
      <x:c r="C5956" t="str">
        <x:v>CB-12535</x:v>
      </x:c>
      <x:c r="D5956" t="str">
        <x:v>Claudia Bergmann</x:v>
      </x:c>
      <x:c r="E5956" t="str">
        <x:v>Corporate</x:v>
      </x:c>
      <x:c r="F5956" t="str">
        <x:v>South</x:v>
      </x:c>
      <x:c r="G5956" t="str">
        <x:v>Office Supplies</x:v>
      </x:c>
      <x:c r="H5956" t="str">
        <x:v>Binders</x:v>
      </x:c>
      <x:c r="I5956" s="22" t="n">
        <x:v>234.36</x:v>
      </x:c>
      <x:c r="J5956" s="24" t="n">
        <x:v>6</x:v>
      </x:c>
      <x:c r="K5956" s="26" t="n">
        <x:v>0</x:v>
      </x:c>
      <x:c r="L5956" s="22" t="n">
        <x:v>112.49279999999999</x:v>
      </x:c>
      <x:c r="M5956" t="n">
        <x:v>2017</x:v>
      </x:c>
      <x:c r="N5956" s="20" t="n">
        <x:v>42795</x:v>
      </x:c>
    </x:row>
    <x:row r="5957" ht="18" customHeight="1">
      <x:c r="A5957" t="str">
        <x:v>US-2017-141698</x:v>
      </x:c>
      <x:c r="B5957" s="18" t="n">
        <x:v>42840</x:v>
      </x:c>
      <x:c r="C5957" t="str">
        <x:v>SD-20485</x:v>
      </x:c>
      <x:c r="D5957" t="str">
        <x:v>Shirley Daniels</x:v>
      </x:c>
      <x:c r="E5957" t="str">
        <x:v>Home Office</x:v>
      </x:c>
      <x:c r="F5957" t="str">
        <x:v>Central</x:v>
      </x:c>
      <x:c r="G5957" t="str">
        <x:v>Office Supplies</x:v>
      </x:c>
      <x:c r="H5957" t="str">
        <x:v>Paper</x:v>
      </x:c>
      <x:c r="I5957" s="22" t="n">
        <x:v>20.736000000000004</x:v>
      </x:c>
      <x:c r="J5957" s="24" t="n">
        <x:v>4</x:v>
      </x:c>
      <x:c r="K5957" s="26" t="n">
        <x:v>0.2</x:v>
      </x:c>
      <x:c r="L5957" s="22" t="n">
        <x:v>7.2576</x:v>
      </x:c>
      <x:c r="M5957" t="n">
        <x:v>2017</x:v>
      </x:c>
      <x:c r="N5957" s="20" t="n">
        <x:v>42826</x:v>
      </x:c>
    </x:row>
    <x:row r="5958" ht="18" customHeight="1">
      <x:c r="A5958" t="str">
        <x:v>US-2014-105151</x:v>
      </x:c>
      <x:c r="B5958" s="18" t="n">
        <x:v>41728</x:v>
      </x:c>
      <x:c r="C5958" t="str">
        <x:v>SG-20890</x:v>
      </x:c>
      <x:c r="D5958" t="str">
        <x:v>Susan Gilcrest</x:v>
      </x:c>
      <x:c r="E5958" t="str">
        <x:v>Corporate</x:v>
      </x:c>
      <x:c r="F5958" t="str">
        <x:v>East</x:v>
      </x:c>
      <x:c r="G5958" t="str">
        <x:v>Office Supplies</x:v>
      </x:c>
      <x:c r="H5958" t="str">
        <x:v>Art</x:v>
      </x:c>
      <x:c r="I5958" s="22" t="n">
        <x:v>10.5</x:v>
      </x:c>
      <x:c r="J5958" s="24" t="n">
        <x:v>5</x:v>
      </x:c>
      <x:c r="K5958" s="26" t="n">
        <x:v>0</x:v>
      </x:c>
      <x:c r="L5958" s="22" t="n">
        <x:v>2.9400000000000004</x:v>
      </x:c>
      <x:c r="M5958" t="n">
        <x:v>2014</x:v>
      </x:c>
      <x:c r="N5958" s="20" t="n">
        <x:v>41699</x:v>
      </x:c>
    </x:row>
    <x:row r="5959" ht="18" customHeight="1">
      <x:c r="A5959" t="str">
        <x:v>CA-2014-155796</x:v>
      </x:c>
      <x:c r="B5959" s="18" t="n">
        <x:v>41954</x:v>
      </x:c>
      <x:c r="C5959" t="str">
        <x:v>TS-21430</x:v>
      </x:c>
      <x:c r="D5959" t="str">
        <x:v>Tom Stivers</x:v>
      </x:c>
      <x:c r="E5959" t="str">
        <x:v>Corporate</x:v>
      </x:c>
      <x:c r="F5959" t="str">
        <x:v>East</x:v>
      </x:c>
      <x:c r="G5959" t="str">
        <x:v>Furniture</x:v>
      </x:c>
      <x:c r="H5959" t="str">
        <x:v>Furnishings</x:v>
      </x:c>
      <x:c r="I5959" s="22" t="n">
        <x:v>23.968000000000004</x:v>
      </x:c>
      <x:c r="J5959" s="24" t="n">
        <x:v>2</x:v>
      </x:c>
      <x:c r="K5959" s="26" t="n">
        <x:v>0.2</x:v>
      </x:c>
      <x:c r="L5959" s="22" t="n">
        <x:v>7.7896</x:v>
      </x:c>
      <x:c r="M5959" t="n">
        <x:v>2014</x:v>
      </x:c>
      <x:c r="N5959" s="20" t="n">
        <x:v>41944</x:v>
      </x:c>
    </x:row>
    <x:row r="5960" ht="18" customHeight="1">
      <x:c r="A5960" t="str">
        <x:v>CA-2014-155796</x:v>
      </x:c>
      <x:c r="B5960" s="18" t="n">
        <x:v>41954</x:v>
      </x:c>
      <x:c r="C5960" t="str">
        <x:v>TS-21430</x:v>
      </x:c>
      <x:c r="D5960" t="str">
        <x:v>Tom Stivers</x:v>
      </x:c>
      <x:c r="E5960" t="str">
        <x:v>Corporate</x:v>
      </x:c>
      <x:c r="F5960" t="str">
        <x:v>East</x:v>
      </x:c>
      <x:c r="G5960" t="str">
        <x:v>Furniture</x:v>
      </x:c>
      <x:c r="H5960" t="str">
        <x:v>Bookcases</x:v>
      </x:c>
      <x:c r="I5960" s="22" t="n">
        <x:v>521.96</x:v>
      </x:c>
      <x:c r="J5960" s="24" t="n">
        <x:v>4</x:v>
      </x:c>
      <x:c r="K5960" s="26" t="n">
        <x:v>0.5</x:v>
      </x:c>
      <x:c r="L5960" s="22" t="n">
        <x:v>-250.5408</x:v>
      </x:c>
      <x:c r="M5960" t="n">
        <x:v>2014</x:v>
      </x:c>
      <x:c r="N5960" s="20" t="n">
        <x:v>41944</x:v>
      </x:c>
    </x:row>
    <x:row r="5961" ht="18" customHeight="1">
      <x:c r="A5961" t="str">
        <x:v>CA-2016-127138</x:v>
      </x:c>
      <x:c r="B5961" s="18" t="n">
        <x:v>42441</x:v>
      </x:c>
      <x:c r="C5961" t="str">
        <x:v>DK-13225</x:v>
      </x:c>
      <x:c r="D5961" t="str">
        <x:v>Dean Katz</x:v>
      </x:c>
      <x:c r="E5961" t="str">
        <x:v>Corporate</x:v>
      </x:c>
      <x:c r="F5961" t="str">
        <x:v>West</x:v>
      </x:c>
      <x:c r="G5961" t="str">
        <x:v>Office Supplies</x:v>
      </x:c>
      <x:c r="H5961" t="str">
        <x:v>Storage</x:v>
      </x:c>
      <x:c r="I5961" s="22" t="n">
        <x:v>676.55</x:v>
      </x:c>
      <x:c r="J5961" s="24" t="n">
        <x:v>5</x:v>
      </x:c>
      <x:c r="K5961" s="26" t="n">
        <x:v>0</x:v>
      </x:c>
      <x:c r="L5961" s="22" t="n">
        <x:v>6.76550000000006</x:v>
      </x:c>
      <x:c r="M5961" t="n">
        <x:v>2016</x:v>
      </x:c>
      <x:c r="N5961" s="20" t="n">
        <x:v>42430</x:v>
      </x:c>
    </x:row>
    <x:row r="5962" ht="18" customHeight="1">
      <x:c r="A5962" t="str">
        <x:v>CA-2016-127138</x:v>
      </x:c>
      <x:c r="B5962" s="18" t="n">
        <x:v>42441</x:v>
      </x:c>
      <x:c r="C5962" t="str">
        <x:v>DK-13225</x:v>
      </x:c>
      <x:c r="D5962" t="str">
        <x:v>Dean Katz</x:v>
      </x:c>
      <x:c r="E5962" t="str">
        <x:v>Corporate</x:v>
      </x:c>
      <x:c r="F5962" t="str">
        <x:v>West</x:v>
      </x:c>
      <x:c r="G5962" t="str">
        <x:v>Office Supplies</x:v>
      </x:c>
      <x:c r="H5962" t="str">
        <x:v>Appliances</x:v>
      </x:c>
      <x:c r="I5962" s="22" t="n">
        <x:v>154.9</x:v>
      </x:c>
      <x:c r="J5962" s="24" t="n">
        <x:v>5</x:v>
      </x:c>
      <x:c r="K5962" s="26" t="n">
        <x:v>0</x:v>
      </x:c>
      <x:c r="L5962" s="22" t="n">
        <x:v>40.274</x:v>
      </x:c>
      <x:c r="M5962" t="n">
        <x:v>2016</x:v>
      </x:c>
      <x:c r="N5962" s="20" t="n">
        <x:v>42430</x:v>
      </x:c>
    </x:row>
    <x:row r="5963" ht="18" customHeight="1">
      <x:c r="A5963" t="str">
        <x:v>CA-2016-127138</x:v>
      </x:c>
      <x:c r="B5963" s="18" t="n">
        <x:v>42441</x:v>
      </x:c>
      <x:c r="C5963" t="str">
        <x:v>DK-13225</x:v>
      </x:c>
      <x:c r="D5963" t="str">
        <x:v>Dean Katz</x:v>
      </x:c>
      <x:c r="E5963" t="str">
        <x:v>Corporate</x:v>
      </x:c>
      <x:c r="F5963" t="str">
        <x:v>West</x:v>
      </x:c>
      <x:c r="G5963" t="str">
        <x:v>Office Supplies</x:v>
      </x:c>
      <x:c r="H5963" t="str">
        <x:v>Envelopes</x:v>
      </x:c>
      <x:c r="I5963" s="22" t="n">
        <x:v>30.56</x:v>
      </x:c>
      <x:c r="J5963" s="24" t="n">
        <x:v>4</x:v>
      </x:c>
      <x:c r="K5963" s="26" t="n">
        <x:v>0</x:v>
      </x:c>
      <x:c r="L5963" s="22" t="n">
        <x:v>14.9744</x:v>
      </x:c>
      <x:c r="M5963" t="n">
        <x:v>2016</x:v>
      </x:c>
      <x:c r="N5963" s="20" t="n">
        <x:v>42430</x:v>
      </x:c>
    </x:row>
    <x:row r="5964" ht="18" customHeight="1">
      <x:c r="A5964" t="str">
        <x:v>CA-2016-127138</x:v>
      </x:c>
      <x:c r="B5964" s="18" t="n">
        <x:v>42441</x:v>
      </x:c>
      <x:c r="C5964" t="str">
        <x:v>DK-13225</x:v>
      </x:c>
      <x:c r="D5964" t="str">
        <x:v>Dean Katz</x:v>
      </x:c>
      <x:c r="E5964" t="str">
        <x:v>Corporate</x:v>
      </x:c>
      <x:c r="F5964" t="str">
        <x:v>West</x:v>
      </x:c>
      <x:c r="G5964" t="str">
        <x:v>Furniture</x:v>
      </x:c>
      <x:c r="H5964" t="str">
        <x:v>Chairs</x:v>
      </x:c>
      <x:c r="I5964" s="22" t="n">
        <x:v>770.3520000000001</x:v>
      </x:c>
      <x:c r="J5964" s="24" t="n">
        <x:v>3</x:v>
      </x:c>
      <x:c r="K5964" s="26" t="n">
        <x:v>0.2</x:v>
      </x:c>
      <x:c r="L5964" s="22" t="n">
        <x:v>77.03519999999997</x:v>
      </x:c>
      <x:c r="M5964" t="n">
        <x:v>2016</x:v>
      </x:c>
      <x:c r="N5964" s="20" t="n">
        <x:v>42430</x:v>
      </x:c>
    </x:row>
    <x:row r="5965" ht="18" customHeight="1">
      <x:c r="A5965" t="str">
        <x:v>CA-2017-150602</x:v>
      </x:c>
      <x:c r="B5965" s="18" t="n">
        <x:v>42775</x:v>
      </x:c>
      <x:c r="C5965" t="str">
        <x:v>ML-17395</x:v>
      </x:c>
      <x:c r="D5965" t="str">
        <x:v>Marina Lichtenstein</x:v>
      </x:c>
      <x:c r="E5965" t="str">
        <x:v>Corporate</x:v>
      </x:c>
      <x:c r="F5965" t="str">
        <x:v>West</x:v>
      </x:c>
      <x:c r="G5965" t="str">
        <x:v>Furniture</x:v>
      </x:c>
      <x:c r="H5965" t="str">
        <x:v>Furnishings</x:v>
      </x:c>
      <x:c r="I5965" s="22" t="n">
        <x:v>21.12</x:v>
      </x:c>
      <x:c r="J5965" s="24" t="n">
        <x:v>4</x:v>
      </x:c>
      <x:c r="K5965" s="26" t="n">
        <x:v>0</x:v>
      </x:c>
      <x:c r="L5965" s="22" t="n">
        <x:v>6.547199999999998</x:v>
      </x:c>
      <x:c r="M5965" t="n">
        <x:v>2017</x:v>
      </x:c>
      <x:c r="N5965" s="20" t="n">
        <x:v>42767</x:v>
      </x:c>
    </x:row>
    <x:row r="5966" ht="18" customHeight="1">
      <x:c r="A5966" t="str">
        <x:v>CA-2014-140732</x:v>
      </x:c>
      <x:c r="B5966" s="18" t="n">
        <x:v>41954</x:v>
      </x:c>
      <x:c r="C5966" t="str">
        <x:v>MA-17560</x:v>
      </x:c>
      <x:c r="D5966" t="str">
        <x:v>Matt Abelman</x:v>
      </x:c>
      <x:c r="E5966" t="str">
        <x:v>Home Office</x:v>
      </x:c>
      <x:c r="F5966" t="str">
        <x:v>West</x:v>
      </x:c>
      <x:c r="G5966" t="str">
        <x:v>Technology</x:v>
      </x:c>
      <x:c r="H5966" t="str">
        <x:v>Phones</x:v>
      </x:c>
      <x:c r="I5966" s="22" t="n">
        <x:v>575.928</x:v>
      </x:c>
      <x:c r="J5966" s="24" t="n">
        <x:v>9</x:v>
      </x:c>
      <x:c r="K5966" s="26" t="n">
        <x:v>0.2</x:v>
      </x:c>
      <x:c r="L5966" s="22" t="n">
        <x:v>57.59279999999998</x:v>
      </x:c>
      <x:c r="M5966" t="n">
        <x:v>2014</x:v>
      </x:c>
      <x:c r="N5966" s="20" t="n">
        <x:v>41944</x:v>
      </x:c>
    </x:row>
    <x:row r="5967" ht="18" customHeight="1">
      <x:c r="A5967" t="str">
        <x:v>CA-2014-140732</x:v>
      </x:c>
      <x:c r="B5967" s="18" t="n">
        <x:v>41954</x:v>
      </x:c>
      <x:c r="C5967" t="str">
        <x:v>MA-17560</x:v>
      </x:c>
      <x:c r="D5967" t="str">
        <x:v>Matt Abelman</x:v>
      </x:c>
      <x:c r="E5967" t="str">
        <x:v>Home Office</x:v>
      </x:c>
      <x:c r="F5967" t="str">
        <x:v>West</x:v>
      </x:c>
      <x:c r="G5967" t="str">
        <x:v>Office Supplies</x:v>
      </x:c>
      <x:c r="H5967" t="str">
        <x:v>Appliances</x:v>
      </x:c>
      <x:c r="I5967" s="22" t="n">
        <x:v>7.78</x:v>
      </x:c>
      <x:c r="J5967" s="24" t="n">
        <x:v>2</x:v>
      </x:c>
      <x:c r="K5967" s="26" t="n">
        <x:v>0</x:v>
      </x:c>
      <x:c r="L5967" s="22" t="n">
        <x:v>2.0228</x:v>
      </x:c>
      <x:c r="M5967" t="n">
        <x:v>2014</x:v>
      </x:c>
      <x:c r="N5967" s="20" t="n">
        <x:v>41944</x:v>
      </x:c>
    </x:row>
    <x:row r="5968" ht="18" customHeight="1">
      <x:c r="A5968" t="str">
        <x:v>CA-2014-140732</x:v>
      </x:c>
      <x:c r="B5968" s="18" t="n">
        <x:v>41954</x:v>
      </x:c>
      <x:c r="C5968" t="str">
        <x:v>MA-17560</x:v>
      </x:c>
      <x:c r="D5968" t="str">
        <x:v>Matt Abelman</x:v>
      </x:c>
      <x:c r="E5968" t="str">
        <x:v>Home Office</x:v>
      </x:c>
      <x:c r="F5968" t="str">
        <x:v>West</x:v>
      </x:c>
      <x:c r="G5968" t="str">
        <x:v>Office Supplies</x:v>
      </x:c>
      <x:c r="H5968" t="str">
        <x:v>Paper</x:v>
      </x:c>
      <x:c r="I5968" s="22" t="n">
        <x:v>123.92</x:v>
      </x:c>
      <x:c r="J5968" s="24" t="n">
        <x:v>4</x:v>
      </x:c>
      <x:c r="K5968" s="26" t="n">
        <x:v>0</x:v>
      </x:c>
      <x:c r="L5968" s="22" t="n">
        <x:v>55.763999999999996</x:v>
      </x:c>
      <x:c r="M5968" t="n">
        <x:v>2014</x:v>
      </x:c>
      <x:c r="N5968" s="20" t="n">
        <x:v>41944</x:v>
      </x:c>
    </x:row>
    <x:row r="5969" ht="18" customHeight="1">
      <x:c r="A5969" t="str">
        <x:v>CA-2017-119011</x:v>
      </x:c>
      <x:c r="B5969" s="18" t="n">
        <x:v>42967</x:v>
      </x:c>
      <x:c r="C5969" t="str">
        <x:v>LR-17035</x:v>
      </x:c>
      <x:c r="D5969" t="str">
        <x:v>Lisa Ryan</x:v>
      </x:c>
      <x:c r="E5969" t="str">
        <x:v>Corporate</x:v>
      </x:c>
      <x:c r="F5969" t="str">
        <x:v>West</x:v>
      </x:c>
      <x:c r="G5969" t="str">
        <x:v>Office Supplies</x:v>
      </x:c>
      <x:c r="H5969" t="str">
        <x:v>Supplies</x:v>
      </x:c>
      <x:c r="I5969" s="22" t="n">
        <x:v>17.22</x:v>
      </x:c>
      <x:c r="J5969" s="24" t="n">
        <x:v>3</x:v>
      </x:c>
      <x:c r="K5969" s="26" t="n">
        <x:v>0</x:v>
      </x:c>
      <x:c r="L5969" s="22" t="n">
        <x:v>5.165999999999999</x:v>
      </x:c>
      <x:c r="M5969" t="n">
        <x:v>2017</x:v>
      </x:c>
      <x:c r="N5969" s="20" t="n">
        <x:v>42948</x:v>
      </x:c>
    </x:row>
    <x:row r="5970" ht="18" customHeight="1">
      <x:c r="A5970" t="str">
        <x:v>CA-2017-119011</x:v>
      </x:c>
      <x:c r="B5970" s="18" t="n">
        <x:v>42967</x:v>
      </x:c>
      <x:c r="C5970" t="str">
        <x:v>LR-17035</x:v>
      </x:c>
      <x:c r="D5970" t="str">
        <x:v>Lisa Ryan</x:v>
      </x:c>
      <x:c r="E5970" t="str">
        <x:v>Corporate</x:v>
      </x:c>
      <x:c r="F5970" t="str">
        <x:v>West</x:v>
      </x:c>
      <x:c r="G5970" t="str">
        <x:v>Office Supplies</x:v>
      </x:c>
      <x:c r="H5970" t="str">
        <x:v>Storage</x:v>
      </x:c>
      <x:c r="I5970" s="22" t="n">
        <x:v>226.56</x:v>
      </x:c>
      <x:c r="J5970" s="24" t="n">
        <x:v>6</x:v>
      </x:c>
      <x:c r="K5970" s="26" t="n">
        <x:v>0</x:v>
      </x:c>
      <x:c r="L5970" s="22" t="n">
        <x:v>63.436800000000005</x:v>
      </x:c>
      <x:c r="M5970" t="n">
        <x:v>2017</x:v>
      </x:c>
      <x:c r="N5970" s="20" t="n">
        <x:v>42948</x:v>
      </x:c>
    </x:row>
    <x:row r="5971" ht="18" customHeight="1">
      <x:c r="A5971" t="str">
        <x:v>CA-2017-119011</x:v>
      </x:c>
      <x:c r="B5971" s="18" t="n">
        <x:v>42967</x:v>
      </x:c>
      <x:c r="C5971" t="str">
        <x:v>LR-17035</x:v>
      </x:c>
      <x:c r="D5971" t="str">
        <x:v>Lisa Ryan</x:v>
      </x:c>
      <x:c r="E5971" t="str">
        <x:v>Corporate</x:v>
      </x:c>
      <x:c r="F5971" t="str">
        <x:v>West</x:v>
      </x:c>
      <x:c r="G5971" t="str">
        <x:v>Technology</x:v>
      </x:c>
      <x:c r="H5971" t="str">
        <x:v>Phones</x:v>
      </x:c>
      <x:c r="I5971" s="22" t="n">
        <x:v>107.88</x:v>
      </x:c>
      <x:c r="J5971" s="24" t="n">
        <x:v>3</x:v>
      </x:c>
      <x:c r="K5971" s="26" t="n">
        <x:v>0.2</x:v>
      </x:c>
      <x:c r="L5971" s="22" t="n">
        <x:v>10.787999999999997</x:v>
      </x:c>
      <x:c r="M5971" t="n">
        <x:v>2017</x:v>
      </x:c>
      <x:c r="N5971" s="20" t="n">
        <x:v>42948</x:v>
      </x:c>
    </x:row>
    <x:row r="5972" ht="18" customHeight="1">
      <x:c r="A5972" t="str">
        <x:v>CA-2016-166912</x:v>
      </x:c>
      <x:c r="B5972" s="18" t="n">
        <x:v>42384</x:v>
      </x:c>
      <x:c r="C5972" t="str">
        <x:v>BE-11335</x:v>
      </x:c>
      <x:c r="D5972" t="str">
        <x:v>Bill Eplett</x:v>
      </x:c>
      <x:c r="E5972" t="str">
        <x:v>Home Office</x:v>
      </x:c>
      <x:c r="F5972" t="str">
        <x:v>East</x:v>
      </x:c>
      <x:c r="G5972" t="str">
        <x:v>Office Supplies</x:v>
      </x:c>
      <x:c r="H5972" t="str">
        <x:v>Paper</x:v>
      </x:c>
      <x:c r="I5972" s="22" t="n">
        <x:v>81.98</x:v>
      </x:c>
      <x:c r="J5972" s="24" t="n">
        <x:v>2</x:v>
      </x:c>
      <x:c r="K5972" s="26" t="n">
        <x:v>0</x:v>
      </x:c>
      <x:c r="L5972" s="22" t="n">
        <x:v>40.1702</x:v>
      </x:c>
      <x:c r="M5972" t="n">
        <x:v>2016</x:v>
      </x:c>
      <x:c r="N5972" s="20" t="n">
        <x:v>42370</x:v>
      </x:c>
    </x:row>
    <x:row r="5973" ht="18" customHeight="1">
      <x:c r="A5973" t="str">
        <x:v>CA-2014-141726</x:v>
      </x:c>
      <x:c r="B5973" s="18" t="n">
        <x:v>41840</x:v>
      </x:c>
      <x:c r="C5973" t="str">
        <x:v>CC-12145</x:v>
      </x:c>
      <x:c r="D5973" t="str">
        <x:v>Charles Crestani</x:v>
      </x:c>
      <x:c r="E5973" t="str">
        <x:v>Consumer</x:v>
      </x:c>
      <x:c r="F5973" t="str">
        <x:v>West</x:v>
      </x:c>
      <x:c r="G5973" t="str">
        <x:v>Office Supplies</x:v>
      </x:c>
      <x:c r="H5973" t="str">
        <x:v>Paper</x:v>
      </x:c>
      <x:c r="I5973" s="22" t="n">
        <x:v>104.85</x:v>
      </x:c>
      <x:c r="J5973" s="24" t="n">
        <x:v>1</x:v>
      </x:c>
      <x:c r="K5973" s="26" t="n">
        <x:v>0</x:v>
      </x:c>
      <x:c r="L5973" s="22" t="n">
        <x:v>50.327999999999996</x:v>
      </x:c>
      <x:c r="M5973" t="n">
        <x:v>2014</x:v>
      </x:c>
      <x:c r="N5973" s="20" t="n">
        <x:v>41821</x:v>
      </x:c>
    </x:row>
    <x:row r="5974" ht="18" customHeight="1">
      <x:c r="A5974" t="str">
        <x:v>CA-2014-141726</x:v>
      </x:c>
      <x:c r="B5974" s="18" t="n">
        <x:v>41840</x:v>
      </x:c>
      <x:c r="C5974" t="str">
        <x:v>CC-12145</x:v>
      </x:c>
      <x:c r="D5974" t="str">
        <x:v>Charles Crestani</x:v>
      </x:c>
      <x:c r="E5974" t="str">
        <x:v>Consumer</x:v>
      </x:c>
      <x:c r="F5974" t="str">
        <x:v>West</x:v>
      </x:c>
      <x:c r="G5974" t="str">
        <x:v>Office Supplies</x:v>
      </x:c>
      <x:c r="H5974" t="str">
        <x:v>Binders</x:v>
      </x:c>
      <x:c r="I5974" s="22" t="n">
        <x:v>8.704</x:v>
      </x:c>
      <x:c r="J5974" s="24" t="n">
        <x:v>2</x:v>
      </x:c>
      <x:c r="K5974" s="26" t="n">
        <x:v>0.2</x:v>
      </x:c>
      <x:c r="L5974" s="22" t="n">
        <x:v>3.1552</x:v>
      </x:c>
      <x:c r="M5974" t="n">
        <x:v>2014</x:v>
      </x:c>
      <x:c r="N5974" s="20" t="n">
        <x:v>41821</x:v>
      </x:c>
    </x:row>
    <x:row r="5975" ht="18" customHeight="1">
      <x:c r="A5975" t="str">
        <x:v>CA-2014-141726</x:v>
      </x:c>
      <x:c r="B5975" s="18" t="n">
        <x:v>41840</x:v>
      </x:c>
      <x:c r="C5975" t="str">
        <x:v>CC-12145</x:v>
      </x:c>
      <x:c r="D5975" t="str">
        <x:v>Charles Crestani</x:v>
      </x:c>
      <x:c r="E5975" t="str">
        <x:v>Consumer</x:v>
      </x:c>
      <x:c r="F5975" t="str">
        <x:v>West</x:v>
      </x:c>
      <x:c r="G5975" t="str">
        <x:v>Office Supplies</x:v>
      </x:c>
      <x:c r="H5975" t="str">
        <x:v>Paper</x:v>
      </x:c>
      <x:c r="I5975" s="22" t="n">
        <x:v>19.92</x:v>
      </x:c>
      <x:c r="J5975" s="24" t="n">
        <x:v>4</x:v>
      </x:c>
      <x:c r="K5975" s="26" t="n">
        <x:v>0</x:v>
      </x:c>
      <x:c r="L5975" s="22" t="n">
        <x:v>9.760800000000001</x:v>
      </x:c>
      <x:c r="M5975" t="n">
        <x:v>2014</x:v>
      </x:c>
      <x:c r="N5975" s="20" t="n">
        <x:v>41821</x:v>
      </x:c>
    </x:row>
    <x:row r="5976" ht="18" customHeight="1">
      <x:c r="A5976" t="str">
        <x:v>CA-2014-141726</x:v>
      </x:c>
      <x:c r="B5976" s="18" t="n">
        <x:v>41840</x:v>
      </x:c>
      <x:c r="C5976" t="str">
        <x:v>CC-12145</x:v>
      </x:c>
      <x:c r="D5976" t="str">
        <x:v>Charles Crestani</x:v>
      </x:c>
      <x:c r="E5976" t="str">
        <x:v>Consumer</x:v>
      </x:c>
      <x:c r="F5976" t="str">
        <x:v>West</x:v>
      </x:c>
      <x:c r="G5976" t="str">
        <x:v>Furniture</x:v>
      </x:c>
      <x:c r="H5976" t="str">
        <x:v>Furnishings</x:v>
      </x:c>
      <x:c r="I5976" s="22" t="n">
        <x:v>43.019999999999996</x:v>
      </x:c>
      <x:c r="J5976" s="24" t="n">
        <x:v>3</x:v>
      </x:c>
      <x:c r="K5976" s="26" t="n">
        <x:v>0</x:v>
      </x:c>
      <x:c r="L5976" s="22" t="n">
        <x:v>15.4872</x:v>
      </x:c>
      <x:c r="M5976" t="n">
        <x:v>2014</x:v>
      </x:c>
      <x:c r="N5976" s="20" t="n">
        <x:v>41821</x:v>
      </x:c>
    </x:row>
    <x:row r="5977" ht="18" customHeight="1">
      <x:c r="A5977" t="str">
        <x:v>CA-2017-115105</x:v>
      </x:c>
      <x:c r="B5977" s="18" t="n">
        <x:v>42772</x:v>
      </x:c>
      <x:c r="C5977" t="str">
        <x:v>BD-11770</x:v>
      </x:c>
      <x:c r="D5977" t="str">
        <x:v>Bryan Davis</x:v>
      </x:c>
      <x:c r="E5977" t="str">
        <x:v>Consumer</x:v>
      </x:c>
      <x:c r="F5977" t="str">
        <x:v>East</x:v>
      </x:c>
      <x:c r="G5977" t="str">
        <x:v>Furniture</x:v>
      </x:c>
      <x:c r="H5977" t="str">
        <x:v>Bookcases</x:v>
      </x:c>
      <x:c r="I5977" s="22" t="n">
        <x:v>240.78400000000002</x:v>
      </x:c>
      <x:c r="J5977" s="24" t="n">
        <x:v>1</x:v>
      </x:c>
      <x:c r="K5977" s="26" t="n">
        <x:v>0.2</x:v>
      </x:c>
      <x:c r="L5977" s="22" t="n">
        <x:v>30.097999999999978</x:v>
      </x:c>
      <x:c r="M5977" t="n">
        <x:v>2017</x:v>
      </x:c>
      <x:c r="N5977" s="20" t="n">
        <x:v>42767</x:v>
      </x:c>
    </x:row>
    <x:row r="5978" ht="18" customHeight="1">
      <x:c r="A5978" t="str">
        <x:v>CA-2015-143980</x:v>
      </x:c>
      <x:c r="B5978" s="18" t="n">
        <x:v>42363</x:v>
      </x:c>
      <x:c r="C5978" t="str">
        <x:v>JK-15640</x:v>
      </x:c>
      <x:c r="D5978" t="str">
        <x:v>Jim Kriz</x:v>
      </x:c>
      <x:c r="E5978" t="str">
        <x:v>Home Office</x:v>
      </x:c>
      <x:c r="F5978" t="str">
        <x:v>East</x:v>
      </x:c>
      <x:c r="G5978" t="str">
        <x:v>Office Supplies</x:v>
      </x:c>
      <x:c r="H5978" t="str">
        <x:v>Appliances</x:v>
      </x:c>
      <x:c r="I5978" s="22" t="n">
        <x:v>414.96</x:v>
      </x:c>
      <x:c r="J5978" s="24" t="n">
        <x:v>2</x:v>
      </x:c>
      <x:c r="K5978" s="26" t="n">
        <x:v>0</x:v>
      </x:c>
      <x:c r="L5978" s="22" t="n">
        <x:v>124.48799999999994</x:v>
      </x:c>
      <x:c r="M5978" t="n">
        <x:v>2015</x:v>
      </x:c>
      <x:c r="N5978" s="20" t="n">
        <x:v>42339</x:v>
      </x:c>
    </x:row>
    <x:row r="5979" ht="18" customHeight="1">
      <x:c r="A5979" t="str">
        <x:v>CA-2016-135636</x:v>
      </x:c>
      <x:c r="B5979" s="18" t="n">
        <x:v>42651</x:v>
      </x:c>
      <x:c r="C5979" t="str">
        <x:v>DB-13615</x:v>
      </x:c>
      <x:c r="D5979" t="str">
        <x:v>Doug Bickford</x:v>
      </x:c>
      <x:c r="E5979" t="str">
        <x:v>Consumer</x:v>
      </x:c>
      <x:c r="F5979" t="str">
        <x:v>South</x:v>
      </x:c>
      <x:c r="G5979" t="str">
        <x:v>Office Supplies</x:v>
      </x:c>
      <x:c r="H5979" t="str">
        <x:v>Storage</x:v>
      </x:c>
      <x:c r="I5979" s="22" t="n">
        <x:v>387.72</x:v>
      </x:c>
      <x:c r="J5979" s="24" t="n">
        <x:v>5</x:v>
      </x:c>
      <x:c r="K5979" s="26" t="n">
        <x:v>0.2</x:v>
      </x:c>
      <x:c r="L5979" s="22" t="n">
        <x:v>-67.85100000000003</x:v>
      </x:c>
      <x:c r="M5979" t="n">
        <x:v>2016</x:v>
      </x:c>
      <x:c r="N5979" s="20" t="n">
        <x:v>42644</x:v>
      </x:c>
    </x:row>
    <x:row r="5980" ht="18" customHeight="1">
      <x:c r="A5980" t="str">
        <x:v>CA-2017-102155</x:v>
      </x:c>
      <x:c r="B5980" s="18" t="n">
        <x:v>42929</x:v>
      </x:c>
      <x:c r="C5980" t="str">
        <x:v>RR-19525</x:v>
      </x:c>
      <x:c r="D5980" t="str">
        <x:v>Rick Reed</x:v>
      </x:c>
      <x:c r="E5980" t="str">
        <x:v>Corporate</x:v>
      </x:c>
      <x:c r="F5980" t="str">
        <x:v>Central</x:v>
      </x:c>
      <x:c r="G5980" t="str">
        <x:v>Office Supplies</x:v>
      </x:c>
      <x:c r="H5980" t="str">
        <x:v>Storage</x:v>
      </x:c>
      <x:c r="I5980" s="22" t="n">
        <x:v>360.38</x:v>
      </x:c>
      <x:c r="J5980" s="24" t="n">
        <x:v>2</x:v>
      </x:c>
      <x:c r="K5980" s="26" t="n">
        <x:v>0</x:v>
      </x:c>
      <x:c r="L5980" s="22" t="n">
        <x:v>93.6988</x:v>
      </x:c>
      <x:c r="M5980" t="n">
        <x:v>2017</x:v>
      </x:c>
      <x:c r="N5980" s="20" t="n">
        <x:v>42917</x:v>
      </x:c>
    </x:row>
    <x:row r="5981" ht="18" customHeight="1">
      <x:c r="A5981" t="str">
        <x:v>CA-2017-102155</x:v>
      </x:c>
      <x:c r="B5981" s="18" t="n">
        <x:v>42929</x:v>
      </x:c>
      <x:c r="C5981" t="str">
        <x:v>RR-19525</x:v>
      </x:c>
      <x:c r="D5981" t="str">
        <x:v>Rick Reed</x:v>
      </x:c>
      <x:c r="E5981" t="str">
        <x:v>Corporate</x:v>
      </x:c>
      <x:c r="F5981" t="str">
        <x:v>Central</x:v>
      </x:c>
      <x:c r="G5981" t="str">
        <x:v>Office Supplies</x:v>
      </x:c>
      <x:c r="H5981" t="str">
        <x:v>Paper</x:v>
      </x:c>
      <x:c r="I5981" s="22" t="n">
        <x:v>13.56</x:v>
      </x:c>
      <x:c r="J5981" s="24" t="n">
        <x:v>2</x:v>
      </x:c>
      <x:c r="K5981" s="26" t="n">
        <x:v>0</x:v>
      </x:c>
      <x:c r="L5981" s="22" t="n">
        <x:v>6.2376</x:v>
      </x:c>
      <x:c r="M5981" t="n">
        <x:v>2017</x:v>
      </x:c>
      <x:c r="N5981" s="20" t="n">
        <x:v>42917</x:v>
      </x:c>
    </x:row>
    <x:row r="5982" ht="18" customHeight="1">
      <x:c r="A5982" t="str">
        <x:v>CA-2017-116953</x:v>
      </x:c>
      <x:c r="B5982" s="18" t="n">
        <x:v>42849</x:v>
      </x:c>
      <x:c r="C5982" t="str">
        <x:v>SV-20935</x:v>
      </x:c>
      <x:c r="D5982" t="str">
        <x:v>Susan Vittorini</x:v>
      </x:c>
      <x:c r="E5982" t="str">
        <x:v>Consumer</x:v>
      </x:c>
      <x:c r="F5982" t="str">
        <x:v>West</x:v>
      </x:c>
      <x:c r="G5982" t="str">
        <x:v>Technology</x:v>
      </x:c>
      <x:c r="H5982" t="str">
        <x:v>Phones</x:v>
      </x:c>
      <x:c r="I5982" s="22" t="n">
        <x:v>552</x:v>
      </x:c>
      <x:c r="J5982" s="24" t="n">
        <x:v>10</x:v>
      </x:c>
      <x:c r="K5982" s="26" t="n">
        <x:v>0.2</x:v>
      </x:c>
      <x:c r="L5982" s="22" t="n">
        <x:v>34.5</x:v>
      </x:c>
      <x:c r="M5982" t="n">
        <x:v>2017</x:v>
      </x:c>
      <x:c r="N5982" s="20" t="n">
        <x:v>42826</x:v>
      </x:c>
    </x:row>
    <x:row r="5983" ht="18" customHeight="1">
      <x:c r="A5983" t="str">
        <x:v>CA-2014-117765</x:v>
      </x:c>
      <x:c r="B5983" s="18" t="n">
        <x:v>41889</x:v>
      </x:c>
      <x:c r="C5983" t="str">
        <x:v>RB-19465</x:v>
      </x:c>
      <x:c r="D5983" t="str">
        <x:v>Rick Bensley</x:v>
      </x:c>
      <x:c r="E5983" t="str">
        <x:v>Home Office</x:v>
      </x:c>
      <x:c r="F5983" t="str">
        <x:v>Central</x:v>
      </x:c>
      <x:c r="G5983" t="str">
        <x:v>Furniture</x:v>
      </x:c>
      <x:c r="H5983" t="str">
        <x:v>Tables</x:v>
      </x:c>
      <x:c r="I5983" s="22" t="n">
        <x:v>429.90000000000003</x:v>
      </x:c>
      <x:c r="J5983" s="24" t="n">
        <x:v>5</x:v>
      </x:c>
      <x:c r="K5983" s="26" t="n">
        <x:v>0</x:v>
      </x:c>
      <x:c r="L5983" s="22" t="n">
        <x:v>111.77400000000003</x:v>
      </x:c>
      <x:c r="M5983" t="n">
        <x:v>2014</x:v>
      </x:c>
      <x:c r="N5983" s="20" t="n">
        <x:v>41883</x:v>
      </x:c>
    </x:row>
    <x:row r="5984" ht="18" customHeight="1">
      <x:c r="A5984" t="str">
        <x:v>CA-2014-117765</x:v>
      </x:c>
      <x:c r="B5984" s="18" t="n">
        <x:v>41889</x:v>
      </x:c>
      <x:c r="C5984" t="str">
        <x:v>RB-19465</x:v>
      </x:c>
      <x:c r="D5984" t="str">
        <x:v>Rick Bensley</x:v>
      </x:c>
      <x:c r="E5984" t="str">
        <x:v>Home Office</x:v>
      </x:c>
      <x:c r="F5984" t="str">
        <x:v>Central</x:v>
      </x:c>
      <x:c r="G5984" t="str">
        <x:v>Office Supplies</x:v>
      </x:c>
      <x:c r="H5984" t="str">
        <x:v>Binders</x:v>
      </x:c>
      <x:c r="I5984" s="22" t="n">
        <x:v>32.06</x:v>
      </x:c>
      <x:c r="J5984" s="24" t="n">
        <x:v>2</x:v>
      </x:c>
      <x:c r="K5984" s="26" t="n">
        <x:v>0</x:v>
      </x:c>
      <x:c r="L5984" s="22" t="n">
        <x:v>15.3888</x:v>
      </x:c>
      <x:c r="M5984" t="n">
        <x:v>2014</x:v>
      </x:c>
      <x:c r="N5984" s="20" t="n">
        <x:v>41883</x:v>
      </x:c>
    </x:row>
    <x:row r="5985" ht="18" customHeight="1">
      <x:c r="A5985" t="str">
        <x:v>CA-2014-117765</x:v>
      </x:c>
      <x:c r="B5985" s="18" t="n">
        <x:v>41889</x:v>
      </x:c>
      <x:c r="C5985" t="str">
        <x:v>RB-19465</x:v>
      </x:c>
      <x:c r="D5985" t="str">
        <x:v>Rick Bensley</x:v>
      </x:c>
      <x:c r="E5985" t="str">
        <x:v>Home Office</x:v>
      </x:c>
      <x:c r="F5985" t="str">
        <x:v>Central</x:v>
      </x:c>
      <x:c r="G5985" t="str">
        <x:v>Furniture</x:v>
      </x:c>
      <x:c r="H5985" t="str">
        <x:v>Chairs</x:v>
      </x:c>
      <x:c r="I5985" s="22" t="n">
        <x:v>161.96</x:v>
      </x:c>
      <x:c r="J5985" s="24" t="n">
        <x:v>2</x:v>
      </x:c>
      <x:c r="K5985" s="26" t="n">
        <x:v>0</x:v>
      </x:c>
      <x:c r="L5985" s="22" t="n">
        <x:v>45.34880000000001</x:v>
      </x:c>
      <x:c r="M5985" t="n">
        <x:v>2014</x:v>
      </x:c>
      <x:c r="N5985" s="20" t="n">
        <x:v>41883</x:v>
      </x:c>
    </x:row>
    <x:row r="5986" ht="18" customHeight="1">
      <x:c r="A5986" t="str">
        <x:v>CA-2014-117765</x:v>
      </x:c>
      <x:c r="B5986" s="18" t="n">
        <x:v>41889</x:v>
      </x:c>
      <x:c r="C5986" t="str">
        <x:v>RB-19465</x:v>
      </x:c>
      <x:c r="D5986" t="str">
        <x:v>Rick Bensley</x:v>
      </x:c>
      <x:c r="E5986" t="str">
        <x:v>Home Office</x:v>
      </x:c>
      <x:c r="F5986" t="str">
        <x:v>Central</x:v>
      </x:c>
      <x:c r="G5986" t="str">
        <x:v>Office Supplies</x:v>
      </x:c>
      <x:c r="H5986" t="str">
        <x:v>Storage</x:v>
      </x:c>
      <x:c r="I5986" s="22" t="n">
        <x:v>19.86</x:v>
      </x:c>
      <x:c r="J5986" s="24" t="n">
        <x:v>2</x:v>
      </x:c>
      <x:c r="K5986" s="26" t="n">
        <x:v>0</x:v>
      </x:c>
      <x:c r="L5986" s="22" t="n">
        <x:v>5.759399999999998</x:v>
      </x:c>
      <x:c r="M5986" t="n">
        <x:v>2014</x:v>
      </x:c>
      <x:c r="N5986" s="20" t="n">
        <x:v>41883</x:v>
      </x:c>
    </x:row>
    <x:row r="5987" ht="18" customHeight="1">
      <x:c r="A5987" t="str">
        <x:v>CA-2016-114895</x:v>
      </x:c>
      <x:c r="B5987" s="18" t="n">
        <x:v>42695</x:v>
      </x:c>
      <x:c r="C5987" t="str">
        <x:v>MV-18190</x:v>
      </x:c>
      <x:c r="D5987" t="str">
        <x:v>Mike Vittorini</x:v>
      </x:c>
      <x:c r="E5987" t="str">
        <x:v>Consumer</x:v>
      </x:c>
      <x:c r="F5987" t="str">
        <x:v>East</x:v>
      </x:c>
      <x:c r="G5987" t="str">
        <x:v>Office Supplies</x:v>
      </x:c>
      <x:c r="H5987" t="str">
        <x:v>Paper</x:v>
      </x:c>
      <x:c r="I5987" s="22" t="n">
        <x:v>12.96</x:v>
      </x:c>
      <x:c r="J5987" s="24" t="n">
        <x:v>2</x:v>
      </x:c>
      <x:c r="K5987" s="26" t="n">
        <x:v>0</x:v>
      </x:c>
      <x:c r="L5987" s="22" t="n">
        <x:v>6.3504000000000005</x:v>
      </x:c>
      <x:c r="M5987" t="n">
        <x:v>2016</x:v>
      </x:c>
      <x:c r="N5987" s="20" t="n">
        <x:v>42675</x:v>
      </x:c>
    </x:row>
    <x:row r="5988" ht="18" customHeight="1">
      <x:c r="A5988" t="str">
        <x:v>CA-2017-112984</x:v>
      </x:c>
      <x:c r="B5988" s="18" t="n">
        <x:v>42994</x:v>
      </x:c>
      <x:c r="C5988" t="str">
        <x:v>EH-14185</x:v>
      </x:c>
      <x:c r="D5988" t="str">
        <x:v>Evan Henry</x:v>
      </x:c>
      <x:c r="E5988" t="str">
        <x:v>Consumer</x:v>
      </x:c>
      <x:c r="F5988" t="str">
        <x:v>East</x:v>
      </x:c>
      <x:c r="G5988" t="str">
        <x:v>Office Supplies</x:v>
      </x:c>
      <x:c r="H5988" t="str">
        <x:v>Paper</x:v>
      </x:c>
      <x:c r="I5988" s="22" t="n">
        <x:v>20.544000000000004</x:v>
      </x:c>
      <x:c r="J5988" s="24" t="n">
        <x:v>6</x:v>
      </x:c>
      <x:c r="K5988" s="26" t="n">
        <x:v>0.2</x:v>
      </x:c>
      <x:c r="L5988" s="22" t="n">
        <x:v>6.419999999999996</x:v>
      </x:c>
      <x:c r="M5988" t="n">
        <x:v>2017</x:v>
      </x:c>
      <x:c r="N5988" s="20" t="n">
        <x:v>42979</x:v>
      </x:c>
    </x:row>
    <x:row r="5989" ht="18" customHeight="1">
      <x:c r="A5989" t="str">
        <x:v>CA-2016-163776</x:v>
      </x:c>
      <x:c r="B5989" s="18" t="n">
        <x:v>42570</x:v>
      </x:c>
      <x:c r="C5989" t="str">
        <x:v>JS-16030</x:v>
      </x:c>
      <x:c r="D5989" t="str">
        <x:v>Joy Smith</x:v>
      </x:c>
      <x:c r="E5989" t="str">
        <x:v>Consumer</x:v>
      </x:c>
      <x:c r="F5989" t="str">
        <x:v>South</x:v>
      </x:c>
      <x:c r="G5989" t="str">
        <x:v>Furniture</x:v>
      </x:c>
      <x:c r="H5989" t="str">
        <x:v>Furnishings</x:v>
      </x:c>
      <x:c r="I5989" s="22" t="n">
        <x:v>185.57999999999998</x:v>
      </x:c>
      <x:c r="J5989" s="24" t="n">
        <x:v>6</x:v>
      </x:c>
      <x:c r="K5989" s="26" t="n">
        <x:v>0</x:v>
      </x:c>
      <x:c r="L5989" s="22" t="n">
        <x:v>76.0878</x:v>
      </x:c>
      <x:c r="M5989" t="n">
        <x:v>2016</x:v>
      </x:c>
      <x:c r="N5989" s="20" t="n">
        <x:v>42552</x:v>
      </x:c>
    </x:row>
    <x:row r="5990" ht="18" customHeight="1">
      <x:c r="A5990" t="str">
        <x:v>CA-2016-163776</x:v>
      </x:c>
      <x:c r="B5990" s="18" t="n">
        <x:v>42570</x:v>
      </x:c>
      <x:c r="C5990" t="str">
        <x:v>JS-16030</x:v>
      </x:c>
      <x:c r="D5990" t="str">
        <x:v>Joy Smith</x:v>
      </x:c>
      <x:c r="E5990" t="str">
        <x:v>Consumer</x:v>
      </x:c>
      <x:c r="F5990" t="str">
        <x:v>South</x:v>
      </x:c>
      <x:c r="G5990" t="str">
        <x:v>Office Supplies</x:v>
      </x:c>
      <x:c r="H5990" t="str">
        <x:v>Binders</x:v>
      </x:c>
      <x:c r="I5990" s="22" t="n">
        <x:v>77.56</x:v>
      </x:c>
      <x:c r="J5990" s="24" t="n">
        <x:v>2</x:v>
      </x:c>
      <x:c r="K5990" s="26" t="n">
        <x:v>0</x:v>
      </x:c>
      <x:c r="L5990" s="22" t="n">
        <x:v>35.6776</x:v>
      </x:c>
      <x:c r="M5990" t="n">
        <x:v>2016</x:v>
      </x:c>
      <x:c r="N5990" s="20" t="n">
        <x:v>42552</x:v>
      </x:c>
    </x:row>
    <x:row r="5991" ht="18" customHeight="1">
      <x:c r="A5991" t="str">
        <x:v>CA-2016-163776</x:v>
      </x:c>
      <x:c r="B5991" s="18" t="n">
        <x:v>42570</x:v>
      </x:c>
      <x:c r="C5991" t="str">
        <x:v>JS-16030</x:v>
      </x:c>
      <x:c r="D5991" t="str">
        <x:v>Joy Smith</x:v>
      </x:c>
      <x:c r="E5991" t="str">
        <x:v>Consumer</x:v>
      </x:c>
      <x:c r="F5991" t="str">
        <x:v>South</x:v>
      </x:c>
      <x:c r="G5991" t="str">
        <x:v>Office Supplies</x:v>
      </x:c>
      <x:c r="H5991" t="str">
        <x:v>Storage</x:v>
      </x:c>
      <x:c r="I5991" s="22" t="n">
        <x:v>87.92</x:v>
      </x:c>
      <x:c r="J5991" s="24" t="n">
        <x:v>4</x:v>
      </x:c>
      <x:c r="K5991" s="26" t="n">
        <x:v>0</x:v>
      </x:c>
      <x:c r="L5991" s="22" t="n">
        <x:v>0.8791999999999973</x:v>
      </x:c>
      <x:c r="M5991" t="n">
        <x:v>2016</x:v>
      </x:c>
      <x:c r="N5991" s="20" t="n">
        <x:v>42552</x:v>
      </x:c>
    </x:row>
    <x:row r="5992" ht="18" customHeight="1">
      <x:c r="A5992" t="str">
        <x:v>CA-2016-163776</x:v>
      </x:c>
      <x:c r="B5992" s="18" t="n">
        <x:v>42570</x:v>
      </x:c>
      <x:c r="C5992" t="str">
        <x:v>JS-16030</x:v>
      </x:c>
      <x:c r="D5992" t="str">
        <x:v>Joy Smith</x:v>
      </x:c>
      <x:c r="E5992" t="str">
        <x:v>Consumer</x:v>
      </x:c>
      <x:c r="F5992" t="str">
        <x:v>South</x:v>
      </x:c>
      <x:c r="G5992" t="str">
        <x:v>Office Supplies</x:v>
      </x:c>
      <x:c r="H5992" t="str">
        <x:v>Paper</x:v>
      </x:c>
      <x:c r="I5992" s="22" t="n">
        <x:v>245.94</x:v>
      </x:c>
      <x:c r="J5992" s="24" t="n">
        <x:v>6</x:v>
      </x:c>
      <x:c r="K5992" s="26" t="n">
        <x:v>0</x:v>
      </x:c>
      <x:c r="L5992" s="22" t="n">
        <x:v>120.51060000000001</x:v>
      </x:c>
      <x:c r="M5992" t="n">
        <x:v>2016</x:v>
      </x:c>
      <x:c r="N5992" s="20" t="n">
        <x:v>42552</x:v>
      </x:c>
    </x:row>
    <x:row r="5993" ht="18" customHeight="1">
      <x:c r="A5993" t="str">
        <x:v>CA-2016-163776</x:v>
      </x:c>
      <x:c r="B5993" s="18" t="n">
        <x:v>42570</x:v>
      </x:c>
      <x:c r="C5993" t="str">
        <x:v>JS-16030</x:v>
      </x:c>
      <x:c r="D5993" t="str">
        <x:v>Joy Smith</x:v>
      </x:c>
      <x:c r="E5993" t="str">
        <x:v>Consumer</x:v>
      </x:c>
      <x:c r="F5993" t="str">
        <x:v>South</x:v>
      </x:c>
      <x:c r="G5993" t="str">
        <x:v>Office Supplies</x:v>
      </x:c>
      <x:c r="H5993" t="str">
        <x:v>Binders</x:v>
      </x:c>
      <x:c r="I5993" s="22" t="n">
        <x:v>8.6</x:v>
      </x:c>
      <x:c r="J5993" s="24" t="n">
        <x:v>1</x:v>
      </x:c>
      <x:c r="K5993" s="26" t="n">
        <x:v>0</x:v>
      </x:c>
      <x:c r="L5993" s="22" t="n">
        <x:v>4.042</x:v>
      </x:c>
      <x:c r="M5993" t="n">
        <x:v>2016</x:v>
      </x:c>
      <x:c r="N5993" s="20" t="n">
        <x:v>42552</x:v>
      </x:c>
    </x:row>
    <x:row r="5994" ht="18" customHeight="1">
      <x:c r="A5994" t="str">
        <x:v>CA-2016-163776</x:v>
      </x:c>
      <x:c r="B5994" s="18" t="n">
        <x:v>42570</x:v>
      </x:c>
      <x:c r="C5994" t="str">
        <x:v>JS-16030</x:v>
      </x:c>
      <x:c r="D5994" t="str">
        <x:v>Joy Smith</x:v>
      </x:c>
      <x:c r="E5994" t="str">
        <x:v>Consumer</x:v>
      </x:c>
      <x:c r="F5994" t="str">
        <x:v>South</x:v>
      </x:c>
      <x:c r="G5994" t="str">
        <x:v>Furniture</x:v>
      </x:c>
      <x:c r="H5994" t="str">
        <x:v>Bookcases</x:v>
      </x:c>
      <x:c r="I5994" s="22" t="n">
        <x:v>504.90000000000003</x:v>
      </x:c>
      <x:c r="J5994" s="24" t="n">
        <x:v>5</x:v>
      </x:c>
      <x:c r="K5994" s="26" t="n">
        <x:v>0</x:v>
      </x:c>
      <x:c r="L5994" s="22" t="n">
        <x:v>126.22500000000002</x:v>
      </x:c>
      <x:c r="M5994" t="n">
        <x:v>2016</x:v>
      </x:c>
      <x:c r="N5994" s="20" t="n">
        <x:v>42552</x:v>
      </x:c>
    </x:row>
    <x:row r="5995" ht="18" customHeight="1">
      <x:c r="A5995" t="str">
        <x:v>US-2017-163300</x:v>
      </x:c>
      <x:c r="B5995" s="18" t="n">
        <x:v>42993</x:v>
      </x:c>
      <x:c r="C5995" t="str">
        <x:v>ES-14020</x:v>
      </x:c>
      <x:c r="D5995" t="str">
        <x:v>Erica Smith</x:v>
      </x:c>
      <x:c r="E5995" t="str">
        <x:v>Consumer</x:v>
      </x:c>
      <x:c r="F5995" t="str">
        <x:v>West</x:v>
      </x:c>
      <x:c r="G5995" t="str">
        <x:v>Office Supplies</x:v>
      </x:c>
      <x:c r="H5995" t="str">
        <x:v>Binders</x:v>
      </x:c>
      <x:c r="I5995" s="22" t="n">
        <x:v>2357.4880000000003</x:v>
      </x:c>
      <x:c r="J5995" s="24" t="n">
        <x:v>7</x:v>
      </x:c>
      <x:c r="K5995" s="26" t="n">
        <x:v>0.2</x:v>
      </x:c>
      <x:c r="L5995" s="22" t="n">
        <x:v>884.058</x:v>
      </x:c>
      <x:c r="M5995" t="n">
        <x:v>2017</x:v>
      </x:c>
      <x:c r="N5995" s="20" t="n">
        <x:v>42979</x:v>
      </x:c>
    </x:row>
    <x:row r="5996" ht="18" customHeight="1">
      <x:c r="A5996" t="str">
        <x:v>US-2017-163300</x:v>
      </x:c>
      <x:c r="B5996" s="18" t="n">
        <x:v>42993</x:v>
      </x:c>
      <x:c r="C5996" t="str">
        <x:v>ES-14020</x:v>
      </x:c>
      <x:c r="D5996" t="str">
        <x:v>Erica Smith</x:v>
      </x:c>
      <x:c r="E5996" t="str">
        <x:v>Consumer</x:v>
      </x:c>
      <x:c r="F5996" t="str">
        <x:v>West</x:v>
      </x:c>
      <x:c r="G5996" t="str">
        <x:v>Technology</x:v>
      </x:c>
      <x:c r="H5996" t="str">
        <x:v>Phones</x:v>
      </x:c>
      <x:c r="I5996" s="22" t="n">
        <x:v>369.544</x:v>
      </x:c>
      <x:c r="J5996" s="24" t="n">
        <x:v>7</x:v>
      </x:c>
      <x:c r="K5996" s="26" t="n">
        <x:v>0.2</x:v>
      </x:c>
      <x:c r="L5996" s="22" t="n">
        <x:v>32.335100000000025</x:v>
      </x:c>
      <x:c r="M5996" t="n">
        <x:v>2017</x:v>
      </x:c>
      <x:c r="N5996" s="20" t="n">
        <x:v>42979</x:v>
      </x:c>
    </x:row>
    <x:row r="5997" ht="18" customHeight="1">
      <x:c r="A5997" t="str">
        <x:v>US-2017-163300</x:v>
      </x:c>
      <x:c r="B5997" s="18" t="n">
        <x:v>42993</x:v>
      </x:c>
      <x:c r="C5997" t="str">
        <x:v>ES-14020</x:v>
      </x:c>
      <x:c r="D5997" t="str">
        <x:v>Erica Smith</x:v>
      </x:c>
      <x:c r="E5997" t="str">
        <x:v>Consumer</x:v>
      </x:c>
      <x:c r="F5997" t="str">
        <x:v>West</x:v>
      </x:c>
      <x:c r="G5997" t="str">
        <x:v>Furniture</x:v>
      </x:c>
      <x:c r="H5997" t="str">
        <x:v>Chairs</x:v>
      </x:c>
      <x:c r="I5997" s="22" t="n">
        <x:v>184.752</x:v>
      </x:c>
      <x:c r="J5997" s="24" t="n">
        <x:v>3</x:v>
      </x:c>
      <x:c r="K5997" s="26" t="n">
        <x:v>0.2</x:v>
      </x:c>
      <x:c r="L5997" s="22" t="n">
        <x:v>-20.78460000000001</x:v>
      </x:c>
      <x:c r="M5997" t="n">
        <x:v>2017</x:v>
      </x:c>
      <x:c r="N5997" s="20" t="n">
        <x:v>42979</x:v>
      </x:c>
    </x:row>
    <x:row r="5998" ht="18" customHeight="1">
      <x:c r="A5998" t="str">
        <x:v>CA-2016-162187</x:v>
      </x:c>
      <x:c r="B5998" s="18" t="n">
        <x:v>42715</x:v>
      </x:c>
      <x:c r="C5998" t="str">
        <x:v>NS-18640</x:v>
      </x:c>
      <x:c r="D5998" t="str">
        <x:v>Noel Staavos</x:v>
      </x:c>
      <x:c r="E5998" t="str">
        <x:v>Corporate</x:v>
      </x:c>
      <x:c r="F5998" t="str">
        <x:v>East</x:v>
      </x:c>
      <x:c r="G5998" t="str">
        <x:v>Office Supplies</x:v>
      </x:c>
      <x:c r="H5998" t="str">
        <x:v>Storage</x:v>
      </x:c>
      <x:c r="I5998" s="22" t="n">
        <x:v>64.96</x:v>
      </x:c>
      <x:c r="J5998" s="24" t="n">
        <x:v>5</x:v>
      </x:c>
      <x:c r="K5998" s="26" t="n">
        <x:v>0.2</x:v>
      </x:c>
      <x:c r="L5998" s="22" t="n">
        <x:v>-4.059999999999999</x:v>
      </x:c>
      <x:c r="M5998" t="n">
        <x:v>2016</x:v>
      </x:c>
      <x:c r="N5998" s="20" t="n">
        <x:v>42705</x:v>
      </x:c>
    </x:row>
    <x:row r="5999" ht="18" customHeight="1">
      <x:c r="A5999" t="str">
        <x:v>CA-2016-162187</x:v>
      </x:c>
      <x:c r="B5999" s="18" t="n">
        <x:v>42715</x:v>
      </x:c>
      <x:c r="C5999" t="str">
        <x:v>NS-18640</x:v>
      </x:c>
      <x:c r="D5999" t="str">
        <x:v>Noel Staavos</x:v>
      </x:c>
      <x:c r="E5999" t="str">
        <x:v>Corporate</x:v>
      </x:c>
      <x:c r="F5999" t="str">
        <x:v>East</x:v>
      </x:c>
      <x:c r="G5999" t="str">
        <x:v>Office Supplies</x:v>
      </x:c>
      <x:c r="H5999" t="str">
        <x:v>Supplies</x:v>
      </x:c>
      <x:c r="I5999" s="22" t="n">
        <x:v>13.52</x:v>
      </x:c>
      <x:c r="J5999" s="24" t="n">
        <x:v>2</x:v>
      </x:c>
      <x:c r="K5999" s="26" t="n">
        <x:v>0.2</x:v>
      </x:c>
      <x:c r="L5999" s="22" t="n">
        <x:v>1.6899999999999986</x:v>
      </x:c>
      <x:c r="M5999" t="n">
        <x:v>2016</x:v>
      </x:c>
      <x:c r="N5999" s="20" t="n">
        <x:v>42705</x:v>
      </x:c>
    </x:row>
    <x:row r="6000" ht="18" customHeight="1">
      <x:c r="A6000" t="str">
        <x:v>CA-2016-162187</x:v>
      </x:c>
      <x:c r="B6000" s="18" t="n">
        <x:v>42715</x:v>
      </x:c>
      <x:c r="C6000" t="str">
        <x:v>NS-18640</x:v>
      </x:c>
      <x:c r="D6000" t="str">
        <x:v>Noel Staavos</x:v>
      </x:c>
      <x:c r="E6000" t="str">
        <x:v>Corporate</x:v>
      </x:c>
      <x:c r="F6000" t="str">
        <x:v>East</x:v>
      </x:c>
      <x:c r="G6000" t="str">
        <x:v>Furniture</x:v>
      </x:c>
      <x:c r="H6000" t="str">
        <x:v>Chairs</x:v>
      </x:c>
      <x:c r="I6000" s="22" t="n">
        <x:v>458.42999999999995</x:v>
      </x:c>
      <x:c r="J6000" s="24" t="n">
        <x:v>5</x:v>
      </x:c>
      <x:c r="K6000" s="26" t="n">
        <x:v>0.3</x:v>
      </x:c>
      <x:c r="L6000" s="22" t="n">
        <x:v>-137.52900000000002</x:v>
      </x:c>
      <x:c r="M6000" t="n">
        <x:v>2016</x:v>
      </x:c>
      <x:c r="N6000" s="20" t="n">
        <x:v>42705</x:v>
      </x:c>
    </x:row>
    <x:row r="6001" ht="18" customHeight="1">
      <x:c r="A6001" t="str">
        <x:v>CA-2016-162187</x:v>
      </x:c>
      <x:c r="B6001" s="18" t="n">
        <x:v>42715</x:v>
      </x:c>
      <x:c r="C6001" t="str">
        <x:v>NS-18640</x:v>
      </x:c>
      <x:c r="D6001" t="str">
        <x:v>Noel Staavos</x:v>
      </x:c>
      <x:c r="E6001" t="str">
        <x:v>Corporate</x:v>
      </x:c>
      <x:c r="F6001" t="str">
        <x:v>East</x:v>
      </x:c>
      <x:c r="G6001" t="str">
        <x:v>Office Supplies</x:v>
      </x:c>
      <x:c r="H6001" t="str">
        <x:v>Appliances</x:v>
      </x:c>
      <x:c r="I6001" s="22" t="n">
        <x:v>387.136</x:v>
      </x:c>
      <x:c r="J6001" s="24" t="n">
        <x:v>4</x:v>
      </x:c>
      <x:c r="K6001" s="26" t="n">
        <x:v>0.2</x:v>
      </x:c>
      <x:c r="L6001" s="22" t="n">
        <x:v>24.196000000000012</x:v>
      </x:c>
      <x:c r="M6001" t="n">
        <x:v>2016</x:v>
      </x:c>
      <x:c r="N6001" s="20" t="n">
        <x:v>42705</x:v>
      </x:c>
    </x:row>
    <x:row r="6002" ht="18" customHeight="1">
      <x:c r="A6002" t="str">
        <x:v>CA-2016-162187</x:v>
      </x:c>
      <x:c r="B6002" s="18" t="n">
        <x:v>42715</x:v>
      </x:c>
      <x:c r="C6002" t="str">
        <x:v>NS-18640</x:v>
      </x:c>
      <x:c r="D6002" t="str">
        <x:v>Noel Staavos</x:v>
      </x:c>
      <x:c r="E6002" t="str">
        <x:v>Corporate</x:v>
      </x:c>
      <x:c r="F6002" t="str">
        <x:v>East</x:v>
      </x:c>
      <x:c r="G6002" t="str">
        <x:v>Furniture</x:v>
      </x:c>
      <x:c r="H6002" t="str">
        <x:v>Tables</x:v>
      </x:c>
      <x:c r="I6002" s="22" t="n">
        <x:v>328.59000000000003</x:v>
      </x:c>
      <x:c r="J6002" s="24" t="n">
        <x:v>3</x:v>
      </x:c>
      <x:c r="K6002" s="26" t="n">
        <x:v>0.4</x:v>
      </x:c>
      <x:c r="L6002" s="22" t="n">
        <x:v>-147.8655</x:v>
      </x:c>
      <x:c r="M6002" t="n">
        <x:v>2016</x:v>
      </x:c>
      <x:c r="N6002" s="20" t="n">
        <x:v>42705</x:v>
      </x:c>
    </x:row>
    <x:row r="6003" ht="18" customHeight="1">
      <x:c r="A6003" t="str">
        <x:v>US-2014-112991</x:v>
      </x:c>
      <x:c r="B6003" s="18" t="n">
        <x:v>41983</x:v>
      </x:c>
      <x:c r="C6003" t="str">
        <x:v>SH-19975</x:v>
      </x:c>
      <x:c r="D6003" t="str">
        <x:v>Sally Hughsby</x:v>
      </x:c>
      <x:c r="E6003" t="str">
        <x:v>Corporate</x:v>
      </x:c>
      <x:c r="F6003" t="str">
        <x:v>West</x:v>
      </x:c>
      <x:c r="G6003" t="str">
        <x:v>Furniture</x:v>
      </x:c>
      <x:c r="H6003" t="str">
        <x:v>Chairs</x:v>
      </x:c>
      <x:c r="I6003" s="22" t="n">
        <x:v>338.352</x:v>
      </x:c>
      <x:c r="J6003" s="24" t="n">
        <x:v>3</x:v>
      </x:c>
      <x:c r="K6003" s="26" t="n">
        <x:v>0.2</x:v>
      </x:c>
      <x:c r="L6003" s="22" t="n">
        <x:v>4.22939999999997</x:v>
      </x:c>
      <x:c r="M6003" t="n">
        <x:v>2014</x:v>
      </x:c>
      <x:c r="N6003" s="20" t="n">
        <x:v>41974</x:v>
      </x:c>
    </x:row>
    <x:row r="6004" ht="18" customHeight="1">
      <x:c r="A6004" t="str">
        <x:v>US-2014-112991</x:v>
      </x:c>
      <x:c r="B6004" s="18" t="n">
        <x:v>41983</x:v>
      </x:c>
      <x:c r="C6004" t="str">
        <x:v>SH-19975</x:v>
      </x:c>
      <x:c r="D6004" t="str">
        <x:v>Sally Hughsby</x:v>
      </x:c>
      <x:c r="E6004" t="str">
        <x:v>Corporate</x:v>
      </x:c>
      <x:c r="F6004" t="str">
        <x:v>West</x:v>
      </x:c>
      <x:c r="G6004" t="str">
        <x:v>Office Supplies</x:v>
      </x:c>
      <x:c r="H6004" t="str">
        <x:v>Paper</x:v>
      </x:c>
      <x:c r="I6004" s="22" t="n">
        <x:v>25.92</x:v>
      </x:c>
      <x:c r="J6004" s="24" t="n">
        <x:v>4</x:v>
      </x:c>
      <x:c r="K6004" s="26" t="n">
        <x:v>0</x:v>
      </x:c>
      <x:c r="L6004" s="22" t="n">
        <x:v>12.441600000000001</x:v>
      </x:c>
      <x:c r="M6004" t="n">
        <x:v>2014</x:v>
      </x:c>
      <x:c r="N6004" s="20" t="n">
        <x:v>41974</x:v>
      </x:c>
    </x:row>
    <x:row r="6005" ht="18" customHeight="1">
      <x:c r="A6005" t="str">
        <x:v>US-2014-112991</x:v>
      </x:c>
      <x:c r="B6005" s="18" t="n">
        <x:v>41983</x:v>
      </x:c>
      <x:c r="C6005" t="str">
        <x:v>SH-19975</x:v>
      </x:c>
      <x:c r="D6005" t="str">
        <x:v>Sally Hughsby</x:v>
      </x:c>
      <x:c r="E6005" t="str">
        <x:v>Corporate</x:v>
      </x:c>
      <x:c r="F6005" t="str">
        <x:v>West</x:v>
      </x:c>
      <x:c r="G6005" t="str">
        <x:v>Office Supplies</x:v>
      </x:c>
      <x:c r="H6005" t="str">
        <x:v>Paper</x:v>
      </x:c>
      <x:c r="I6005" s="22" t="n">
        <x:v>91.36</x:v>
      </x:c>
      <x:c r="J6005" s="24" t="n">
        <x:v>4</x:v>
      </x:c>
      <x:c r="K6005" s="26" t="n">
        <x:v>0</x:v>
      </x:c>
      <x:c r="L6005" s="22" t="n">
        <x:v>42.0256</x:v>
      </x:c>
      <x:c r="M6005" t="n">
        <x:v>2014</x:v>
      </x:c>
      <x:c r="N6005" s="20" t="n">
        <x:v>41974</x:v>
      </x:c>
    </x:row>
    <x:row r="6006" ht="18" customHeight="1">
      <x:c r="A6006" t="str">
        <x:v>CA-2014-124079</x:v>
      </x:c>
      <x:c r="B6006" s="18" t="n">
        <x:v>41986</x:v>
      </x:c>
      <x:c r="C6006" t="str">
        <x:v>RF-19345</x:v>
      </x:c>
      <x:c r="D6006" t="str">
        <x:v>Randy Ferguson</x:v>
      </x:c>
      <x:c r="E6006" t="str">
        <x:v>Corporate</x:v>
      </x:c>
      <x:c r="F6006" t="str">
        <x:v>West</x:v>
      </x:c>
      <x:c r="G6006" t="str">
        <x:v>Furniture</x:v>
      </x:c>
      <x:c r="H6006" t="str">
        <x:v>Furnishings</x:v>
      </x:c>
      <x:c r="I6006" s="22" t="n">
        <x:v>87.96000000000001</x:v>
      </x:c>
      <x:c r="J6006" s="24" t="n">
        <x:v>3</x:v>
      </x:c>
      <x:c r="K6006" s="26" t="n">
        <x:v>0.2</x:v>
      </x:c>
      <x:c r="L6006" s="22" t="n">
        <x:v>7.696500000000004</x:v>
      </x:c>
      <x:c r="M6006" t="n">
        <x:v>2014</x:v>
      </x:c>
      <x:c r="N6006" s="20" t="n">
        <x:v>41974</x:v>
      </x:c>
    </x:row>
    <x:row r="6007" ht="18" customHeight="1">
      <x:c r="A6007" t="str">
        <x:v>CA-2014-124079</x:v>
      </x:c>
      <x:c r="B6007" s="18" t="n">
        <x:v>41986</x:v>
      </x:c>
      <x:c r="C6007" t="str">
        <x:v>RF-19345</x:v>
      </x:c>
      <x:c r="D6007" t="str">
        <x:v>Randy Ferguson</x:v>
      </x:c>
      <x:c r="E6007" t="str">
        <x:v>Corporate</x:v>
      </x:c>
      <x:c r="F6007" t="str">
        <x:v>West</x:v>
      </x:c>
      <x:c r="G6007" t="str">
        <x:v>Office Supplies</x:v>
      </x:c>
      <x:c r="H6007" t="str">
        <x:v>Binders</x:v>
      </x:c>
      <x:c r="I6007" s="22" t="n">
        <x:v>5.214</x:v>
      </x:c>
      <x:c r="J6007" s="24" t="n">
        <x:v>2</x:v>
      </x:c>
      <x:c r="K6007" s="26" t="n">
        <x:v>0.7</x:v>
      </x:c>
      <x:c r="L6007" s="22" t="n">
        <x:v>-4.171199999999999</x:v>
      </x:c>
      <x:c r="M6007" t="n">
        <x:v>2014</x:v>
      </x:c>
      <x:c r="N6007" s="20" t="n">
        <x:v>41974</x:v>
      </x:c>
    </x:row>
    <x:row r="6008" ht="18" customHeight="1">
      <x:c r="A6008" t="str">
        <x:v>US-2017-146878</x:v>
      </x:c>
      <x:c r="B6008" s="18" t="n">
        <x:v>42999</x:v>
      </x:c>
      <x:c r="C6008" t="str">
        <x:v>DL-12865</x:v>
      </x:c>
      <x:c r="D6008" t="str">
        <x:v>Dan Lawera</x:v>
      </x:c>
      <x:c r="E6008" t="str">
        <x:v>Consumer</x:v>
      </x:c>
      <x:c r="F6008" t="str">
        <x:v>South</x:v>
      </x:c>
      <x:c r="G6008" t="str">
        <x:v>Office Supplies</x:v>
      </x:c>
      <x:c r="H6008" t="str">
        <x:v>Binders</x:v>
      </x:c>
      <x:c r="I6008" s="22" t="n">
        <x:v>12.294</x:v>
      </x:c>
      <x:c r="J6008" s="24" t="n">
        <x:v>1</x:v>
      </x:c>
      <x:c r="K6008" s="26" t="n">
        <x:v>0.7</x:v>
      </x:c>
      <x:c r="L6008" s="22" t="n">
        <x:v>-8.605799999999999</x:v>
      </x:c>
      <x:c r="M6008" t="n">
        <x:v>2017</x:v>
      </x:c>
      <x:c r="N6008" s="20" t="n">
        <x:v>42979</x:v>
      </x:c>
    </x:row>
    <x:row r="6009" ht="18" customHeight="1">
      <x:c r="A6009" t="str">
        <x:v>CA-2017-107244</x:v>
      </x:c>
      <x:c r="B6009" s="18" t="n">
        <x:v>42985</x:v>
      </x:c>
      <x:c r="C6009" t="str">
        <x:v>AG-10390</x:v>
      </x:c>
      <x:c r="D6009" t="str">
        <x:v>Allen Goldenen</x:v>
      </x:c>
      <x:c r="E6009" t="str">
        <x:v>Consumer</x:v>
      </x:c>
      <x:c r="F6009" t="str">
        <x:v>West</x:v>
      </x:c>
      <x:c r="G6009" t="str">
        <x:v>Furniture</x:v>
      </x:c>
      <x:c r="H6009" t="str">
        <x:v>Furnishings</x:v>
      </x:c>
      <x:c r="I6009" s="22" t="n">
        <x:v>19.76</x:v>
      </x:c>
      <x:c r="J6009" s="24" t="n">
        <x:v>4</x:v>
      </x:c>
      <x:c r="K6009" s="26" t="n">
        <x:v>0</x:v>
      </x:c>
      <x:c r="L6009" s="22" t="n">
        <x:v>8.2992</x:v>
      </x:c>
      <x:c r="M6009" t="n">
        <x:v>2017</x:v>
      </x:c>
      <x:c r="N6009" s="20" t="n">
        <x:v>42979</x:v>
      </x:c>
    </x:row>
    <x:row r="6010" ht="18" customHeight="1">
      <x:c r="A6010" t="str">
        <x:v>CA-2015-100657</x:v>
      </x:c>
      <x:c r="B6010" s="18" t="n">
        <x:v>42310</x:v>
      </x:c>
      <x:c r="C6010" t="str">
        <x:v>SW-20245</x:v>
      </x:c>
      <x:c r="D6010" t="str">
        <x:v>Scot Wooten</x:v>
      </x:c>
      <x:c r="E6010" t="str">
        <x:v>Consumer</x:v>
      </x:c>
      <x:c r="F6010" t="str">
        <x:v>East</x:v>
      </x:c>
      <x:c r="G6010" t="str">
        <x:v>Furniture</x:v>
      </x:c>
      <x:c r="H6010" t="str">
        <x:v>Chairs</x:v>
      </x:c>
      <x:c r="I6010" s="22" t="n">
        <x:v>109.764</x:v>
      </x:c>
      <x:c r="J6010" s="24" t="n">
        <x:v>2</x:v>
      </x:c>
      <x:c r="K6010" s="26" t="n">
        <x:v>0.1</x:v>
      </x:c>
      <x:c r="L6010" s="22" t="n">
        <x:v>8.537199999999997</x:v>
      </x:c>
      <x:c r="M6010" t="n">
        <x:v>2015</x:v>
      </x:c>
      <x:c r="N6010" s="20" t="n">
        <x:v>42309</x:v>
      </x:c>
    </x:row>
    <x:row r="6011" ht="18" customHeight="1">
      <x:c r="A6011" t="str">
        <x:v>CA-2017-129581</x:v>
      </x:c>
      <x:c r="B6011" s="18" t="n">
        <x:v>43080</x:v>
      </x:c>
      <x:c r="C6011" t="str">
        <x:v>KN-16390</x:v>
      </x:c>
      <x:c r="D6011" t="str">
        <x:v>Katherine Nockton</x:v>
      </x:c>
      <x:c r="E6011" t="str">
        <x:v>Corporate</x:v>
      </x:c>
      <x:c r="F6011" t="str">
        <x:v>East</x:v>
      </x:c>
      <x:c r="G6011" t="str">
        <x:v>Technology</x:v>
      </x:c>
      <x:c r="H6011" t="str">
        <x:v>Phones</x:v>
      </x:c>
      <x:c r="I6011" s="22" t="n">
        <x:v>128.85000000000002</x:v>
      </x:c>
      <x:c r="J6011" s="24" t="n">
        <x:v>3</x:v>
      </x:c>
      <x:c r="K6011" s="26" t="n">
        <x:v>0</x:v>
      </x:c>
      <x:c r="L6011" s="22" t="n">
        <x:v>3.8654999999999973</x:v>
      </x:c>
      <x:c r="M6011" t="n">
        <x:v>2017</x:v>
      </x:c>
      <x:c r="N6011" s="20" t="n">
        <x:v>43070</x:v>
      </x:c>
    </x:row>
    <x:row r="6012" ht="18" customHeight="1">
      <x:c r="A6012" t="str">
        <x:v>CA-2017-129028</x:v>
      </x:c>
      <x:c r="B6012" s="18" t="n">
        <x:v>42826</x:v>
      </x:c>
      <x:c r="C6012" t="str">
        <x:v>GB-14530</x:v>
      </x:c>
      <x:c r="D6012" t="str">
        <x:v>George Bell</x:v>
      </x:c>
      <x:c r="E6012" t="str">
        <x:v>Corporate</x:v>
      </x:c>
      <x:c r="F6012" t="str">
        <x:v>South</x:v>
      </x:c>
      <x:c r="G6012" t="str">
        <x:v>Furniture</x:v>
      </x:c>
      <x:c r="H6012" t="str">
        <x:v>Furnishings</x:v>
      </x:c>
      <x:c r="I6012" s="22" t="n">
        <x:v>127.94999999999999</x:v>
      </x:c>
      <x:c r="J6012" s="24" t="n">
        <x:v>3</x:v>
      </x:c>
      <x:c r="K6012" s="26" t="n">
        <x:v>0</x:v>
      </x:c>
      <x:c r="L6012" s="22" t="n">
        <x:v>21.751499999999986</x:v>
      </x:c>
      <x:c r="M6012" t="n">
        <x:v>2017</x:v>
      </x:c>
      <x:c r="N6012" s="20" t="n">
        <x:v>42826</x:v>
      </x:c>
    </x:row>
    <x:row r="6013" ht="18" customHeight="1">
      <x:c r="A6013" t="str">
        <x:v>CA-2015-135580</x:v>
      </x:c>
      <x:c r="B6013" s="18" t="n">
        <x:v>42368</x:v>
      </x:c>
      <x:c r="C6013" t="str">
        <x:v>CL-12565</x:v>
      </x:c>
      <x:c r="D6013" t="str">
        <x:v>Clay Ludtke</x:v>
      </x:c>
      <x:c r="E6013" t="str">
        <x:v>Consumer</x:v>
      </x:c>
      <x:c r="F6013" t="str">
        <x:v>West</x:v>
      </x:c>
      <x:c r="G6013" t="str">
        <x:v>Office Supplies</x:v>
      </x:c>
      <x:c r="H6013" t="str">
        <x:v>Paper</x:v>
      </x:c>
      <x:c r="I6013" s="22" t="n">
        <x:v>68.52</x:v>
      </x:c>
      <x:c r="J6013" s="24" t="n">
        <x:v>3</x:v>
      </x:c>
      <x:c r="K6013" s="26" t="n">
        <x:v>0</x:v>
      </x:c>
      <x:c r="L6013" s="22" t="n">
        <x:v>31.519199999999998</x:v>
      </x:c>
      <x:c r="M6013" t="n">
        <x:v>2015</x:v>
      </x:c>
      <x:c r="N6013" s="20" t="n">
        <x:v>42339</x:v>
      </x:c>
    </x:row>
    <x:row r="6014" ht="18" customHeight="1">
      <x:c r="A6014" t="str">
        <x:v>CA-2015-135580</x:v>
      </x:c>
      <x:c r="B6014" s="18" t="n">
        <x:v>42368</x:v>
      </x:c>
      <x:c r="C6014" t="str">
        <x:v>CL-12565</x:v>
      </x:c>
      <x:c r="D6014" t="str">
        <x:v>Clay Ludtke</x:v>
      </x:c>
      <x:c r="E6014" t="str">
        <x:v>Consumer</x:v>
      </x:c>
      <x:c r="F6014" t="str">
        <x:v>West</x:v>
      </x:c>
      <x:c r="G6014" t="str">
        <x:v>Office Supplies</x:v>
      </x:c>
      <x:c r="H6014" t="str">
        <x:v>Storage</x:v>
      </x:c>
      <x:c r="I6014" s="22" t="n">
        <x:v>74.94</x:v>
      </x:c>
      <x:c r="J6014" s="24" t="n">
        <x:v>3</x:v>
      </x:c>
      <x:c r="K6014" s="26" t="n">
        <x:v>0</x:v>
      </x:c>
      <x:c r="L6014" s="22" t="n">
        <x:v>14.238599999999995</x:v>
      </x:c>
      <x:c r="M6014" t="n">
        <x:v>2015</x:v>
      </x:c>
      <x:c r="N6014" s="20" t="n">
        <x:v>42339</x:v>
      </x:c>
    </x:row>
    <x:row r="6015" ht="18" customHeight="1">
      <x:c r="A6015" t="str">
        <x:v>CA-2015-135580</x:v>
      </x:c>
      <x:c r="B6015" s="18" t="n">
        <x:v>42368</x:v>
      </x:c>
      <x:c r="C6015" t="str">
        <x:v>CL-12565</x:v>
      </x:c>
      <x:c r="D6015" t="str">
        <x:v>Clay Ludtke</x:v>
      </x:c>
      <x:c r="E6015" t="str">
        <x:v>Consumer</x:v>
      </x:c>
      <x:c r="F6015" t="str">
        <x:v>West</x:v>
      </x:c>
      <x:c r="G6015" t="str">
        <x:v>Technology</x:v>
      </x:c>
      <x:c r="H6015" t="str">
        <x:v>Machines</x:v>
      </x:c>
      <x:c r="I6015" s="22" t="n">
        <x:v>2548.5600000000004</x:v>
      </x:c>
      <x:c r="J6015" s="24" t="n">
        <x:v>6</x:v>
      </x:c>
      <x:c r="K6015" s="26" t="n">
        <x:v>0.2</x:v>
      </x:c>
      <x:c r="L6015" s="22" t="n">
        <x:v>286.7129999999996</x:v>
      </x:c>
      <x:c r="M6015" t="n">
        <x:v>2015</x:v>
      </x:c>
      <x:c r="N6015" s="20" t="n">
        <x:v>42339</x:v>
      </x:c>
    </x:row>
    <x:row r="6016" ht="18" customHeight="1">
      <x:c r="A6016" t="str">
        <x:v>CA-2015-135580</x:v>
      </x:c>
      <x:c r="B6016" s="18" t="n">
        <x:v>42368</x:v>
      </x:c>
      <x:c r="C6016" t="str">
        <x:v>CL-12565</x:v>
      </x:c>
      <x:c r="D6016" t="str">
        <x:v>Clay Ludtke</x:v>
      </x:c>
      <x:c r="E6016" t="str">
        <x:v>Consumer</x:v>
      </x:c>
      <x:c r="F6016" t="str">
        <x:v>West</x:v>
      </x:c>
      <x:c r="G6016" t="str">
        <x:v>Office Supplies</x:v>
      </x:c>
      <x:c r="H6016" t="str">
        <x:v>Envelopes</x:v>
      </x:c>
      <x:c r="I6016" s="22" t="n">
        <x:v>271.44</x:v>
      </x:c>
      <x:c r="J6016" s="24" t="n">
        <x:v>3</x:v>
      </x:c>
      <x:c r="K6016" s="26" t="n">
        <x:v>0</x:v>
      </x:c>
      <x:c r="L6016" s="22" t="n">
        <x:v>122.148</x:v>
      </x:c>
      <x:c r="M6016" t="n">
        <x:v>2015</x:v>
      </x:c>
      <x:c r="N6016" s="20" t="n">
        <x:v>42339</x:v>
      </x:c>
    </x:row>
    <x:row r="6017" ht="18" customHeight="1">
      <x:c r="A6017" t="str">
        <x:v>CA-2015-135580</x:v>
      </x:c>
      <x:c r="B6017" s="18" t="n">
        <x:v>42368</x:v>
      </x:c>
      <x:c r="C6017" t="str">
        <x:v>CL-12565</x:v>
      </x:c>
      <x:c r="D6017" t="str">
        <x:v>Clay Ludtke</x:v>
      </x:c>
      <x:c r="E6017" t="str">
        <x:v>Consumer</x:v>
      </x:c>
      <x:c r="F6017" t="str">
        <x:v>West</x:v>
      </x:c>
      <x:c r="G6017" t="str">
        <x:v>Technology</x:v>
      </x:c>
      <x:c r="H6017" t="str">
        <x:v>Phones</x:v>
      </x:c>
      <x:c r="I6017" s="22" t="n">
        <x:v>287.88</x:v>
      </x:c>
      <x:c r="J6017" s="24" t="n">
        <x:v>3</x:v>
      </x:c>
      <x:c r="K6017" s="26" t="n">
        <x:v>0.2</x:v>
      </x:c>
      <x:c r="L6017" s="22" t="n">
        <x:v>35.985</x:v>
      </x:c>
      <x:c r="M6017" t="n">
        <x:v>2015</x:v>
      </x:c>
      <x:c r="N6017" s="20" t="n">
        <x:v>42339</x:v>
      </x:c>
    </x:row>
    <x:row r="6018" ht="18" customHeight="1">
      <x:c r="A6018" t="str">
        <x:v>CA-2016-159016</x:v>
      </x:c>
      <x:c r="B6018" s="18" t="n">
        <x:v>42439</x:v>
      </x:c>
      <x:c r="C6018" t="str">
        <x:v>KF-16285</x:v>
      </x:c>
      <x:c r="D6018" t="str">
        <x:v>Karen Ferguson</x:v>
      </x:c>
      <x:c r="E6018" t="str">
        <x:v>Home Office</x:v>
      </x:c>
      <x:c r="F6018" t="str">
        <x:v>West</x:v>
      </x:c>
      <x:c r="G6018" t="str">
        <x:v>Office Supplies</x:v>
      </x:c>
      <x:c r="H6018" t="str">
        <x:v>Paper</x:v>
      </x:c>
      <x:c r="I6018" s="22" t="n">
        <x:v>14.9</x:v>
      </x:c>
      <x:c r="J6018" s="24" t="n">
        <x:v>5</x:v>
      </x:c>
      <x:c r="K6018" s="26" t="n">
        <x:v>0</x:v>
      </x:c>
      <x:c r="L6018" s="22" t="n">
        <x:v>7.151999999999999</x:v>
      </x:c>
      <x:c r="M6018" t="n">
        <x:v>2016</x:v>
      </x:c>
      <x:c r="N6018" s="20" t="n">
        <x:v>42430</x:v>
      </x:c>
    </x:row>
    <x:row r="6019" ht="18" customHeight="1">
      <x:c r="A6019" t="str">
        <x:v>CA-2016-159016</x:v>
      </x:c>
      <x:c r="B6019" s="18" t="n">
        <x:v>42439</x:v>
      </x:c>
      <x:c r="C6019" t="str">
        <x:v>KF-16285</x:v>
      </x:c>
      <x:c r="D6019" t="str">
        <x:v>Karen Ferguson</x:v>
      </x:c>
      <x:c r="E6019" t="str">
        <x:v>Home Office</x:v>
      </x:c>
      <x:c r="F6019" t="str">
        <x:v>West</x:v>
      </x:c>
      <x:c r="G6019" t="str">
        <x:v>Technology</x:v>
      </x:c>
      <x:c r="H6019" t="str">
        <x:v>Phones</x:v>
      </x:c>
      <x:c r="I6019" s="22" t="n">
        <x:v>4158.912</x:v>
      </x:c>
      <x:c r="J6019" s="24" t="n">
        <x:v>8</x:v>
      </x:c>
      <x:c r="K6019" s="26" t="n">
        <x:v>0.2</x:v>
      </x:c>
      <x:c r="L6019" s="22" t="n">
        <x:v>363.90480000000025</x:v>
      </x:c>
      <x:c r="M6019" t="n">
        <x:v>2016</x:v>
      </x:c>
      <x:c r="N6019" s="20" t="n">
        <x:v>42430</x:v>
      </x:c>
    </x:row>
    <x:row r="6020" ht="18" customHeight="1">
      <x:c r="A6020" t="str">
        <x:v>CA-2014-102652</x:v>
      </x:c>
      <x:c r="B6020" s="18" t="n">
        <x:v>41735</x:v>
      </x:c>
      <x:c r="C6020" t="str">
        <x:v>AY-10555</x:v>
      </x:c>
      <x:c r="D6020" t="str">
        <x:v>Andy Yotov</x:v>
      </x:c>
      <x:c r="E6020" t="str">
        <x:v>Corporate</x:v>
      </x:c>
      <x:c r="F6020" t="str">
        <x:v>West</x:v>
      </x:c>
      <x:c r="G6020" t="str">
        <x:v>Furniture</x:v>
      </x:c>
      <x:c r="H6020" t="str">
        <x:v>Furnishings</x:v>
      </x:c>
      <x:c r="I6020" s="22" t="n">
        <x:v>91.96</x:v>
      </x:c>
      <x:c r="J6020" s="24" t="n">
        <x:v>2</x:v>
      </x:c>
      <x:c r="K6020" s="26" t="n">
        <x:v>0</x:v>
      </x:c>
      <x:c r="L6020" s="22" t="n">
        <x:v>15.633199999999988</x:v>
      </x:c>
      <x:c r="M6020" t="n">
        <x:v>2014</x:v>
      </x:c>
      <x:c r="N6020" s="20" t="n">
        <x:v>41730</x:v>
      </x:c>
    </x:row>
    <x:row r="6021" ht="18" customHeight="1">
      <x:c r="A6021" t="str">
        <x:v>CA-2014-102652</x:v>
      </x:c>
      <x:c r="B6021" s="18" t="n">
        <x:v>41735</x:v>
      </x:c>
      <x:c r="C6021" t="str">
        <x:v>AY-10555</x:v>
      </x:c>
      <x:c r="D6021" t="str">
        <x:v>Andy Yotov</x:v>
      </x:c>
      <x:c r="E6021" t="str">
        <x:v>Corporate</x:v>
      </x:c>
      <x:c r="F6021" t="str">
        <x:v>West</x:v>
      </x:c>
      <x:c r="G6021" t="str">
        <x:v>Furniture</x:v>
      </x:c>
      <x:c r="H6021" t="str">
        <x:v>Furnishings</x:v>
      </x:c>
      <x:c r="I6021" s="22" t="n">
        <x:v>33.11</x:v>
      </x:c>
      <x:c r="J6021" s="24" t="n">
        <x:v>7</x:v>
      </x:c>
      <x:c r="K6021" s="26" t="n">
        <x:v>0</x:v>
      </x:c>
      <x:c r="L6021" s="22" t="n">
        <x:v>12.912900000000004</x:v>
      </x:c>
      <x:c r="M6021" t="n">
        <x:v>2014</x:v>
      </x:c>
      <x:c r="N6021" s="20" t="n">
        <x:v>41730</x:v>
      </x:c>
    </x:row>
    <x:row r="6022" ht="18" customHeight="1">
      <x:c r="A6022" t="str">
        <x:v>CA-2014-102652</x:v>
      </x:c>
      <x:c r="B6022" s="18" t="n">
        <x:v>41735</x:v>
      </x:c>
      <x:c r="C6022" t="str">
        <x:v>AY-10555</x:v>
      </x:c>
      <x:c r="D6022" t="str">
        <x:v>Andy Yotov</x:v>
      </x:c>
      <x:c r="E6022" t="str">
        <x:v>Corporate</x:v>
      </x:c>
      <x:c r="F6022" t="str">
        <x:v>West</x:v>
      </x:c>
      <x:c r="G6022" t="str">
        <x:v>Office Supplies</x:v>
      </x:c>
      <x:c r="H6022" t="str">
        <x:v>Paper</x:v>
      </x:c>
      <x:c r="I6022" s="22" t="n">
        <x:v>19.44</x:v>
      </x:c>
      <x:c r="J6022" s="24" t="n">
        <x:v>3</x:v>
      </x:c>
      <x:c r="K6022" s="26" t="n">
        <x:v>0</x:v>
      </x:c>
      <x:c r="L6022" s="22" t="n">
        <x:v>9.3312</x:v>
      </x:c>
      <x:c r="M6022" t="n">
        <x:v>2014</x:v>
      </x:c>
      <x:c r="N6022" s="20" t="n">
        <x:v>41730</x:v>
      </x:c>
    </x:row>
    <x:row r="6023" ht="18" customHeight="1">
      <x:c r="A6023" t="str">
        <x:v>CA-2014-102652</x:v>
      </x:c>
      <x:c r="B6023" s="18" t="n">
        <x:v>41735</x:v>
      </x:c>
      <x:c r="C6023" t="str">
        <x:v>AY-10555</x:v>
      </x:c>
      <x:c r="D6023" t="str">
        <x:v>Andy Yotov</x:v>
      </x:c>
      <x:c r="E6023" t="str">
        <x:v>Corporate</x:v>
      </x:c>
      <x:c r="F6023" t="str">
        <x:v>West</x:v>
      </x:c>
      <x:c r="G6023" t="str">
        <x:v>Office Supplies</x:v>
      </x:c>
      <x:c r="H6023" t="str">
        <x:v>Paper</x:v>
      </x:c>
      <x:c r="I6023" s="22" t="n">
        <x:v>55.48</x:v>
      </x:c>
      <x:c r="J6023" s="24" t="n">
        <x:v>1</x:v>
      </x:c>
      <x:c r="K6023" s="26" t="n">
        <x:v>0</x:v>
      </x:c>
      <x:c r="L6023" s="22" t="n">
        <x:v>26.630399999999998</x:v>
      </x:c>
      <x:c r="M6023" t="n">
        <x:v>2014</x:v>
      </x:c>
      <x:c r="N6023" s="20" t="n">
        <x:v>41730</x:v>
      </x:c>
    </x:row>
    <x:row r="6024" ht="18" customHeight="1">
      <x:c r="A6024" t="str">
        <x:v>CA-2014-152422</x:v>
      </x:c>
      <x:c r="B6024" s="18" t="n">
        <x:v>41917</x:v>
      </x:c>
      <x:c r="C6024" t="str">
        <x:v>BD-11635</x:v>
      </x:c>
      <x:c r="D6024" t="str">
        <x:v>Brian Derr</x:v>
      </x:c>
      <x:c r="E6024" t="str">
        <x:v>Consumer</x:v>
      </x:c>
      <x:c r="F6024" t="str">
        <x:v>East</x:v>
      </x:c>
      <x:c r="G6024" t="str">
        <x:v>Office Supplies</x:v>
      </x:c>
      <x:c r="H6024" t="str">
        <x:v>Appliances</x:v>
      </x:c>
      <x:c r="I6024" s="22" t="n">
        <x:v>91.92</x:v>
      </x:c>
      <x:c r="J6024" s="24" t="n">
        <x:v>5</x:v>
      </x:c>
      <x:c r="K6024" s="26" t="n">
        <x:v>0.2</x:v>
      </x:c>
      <x:c r="L6024" s="22" t="n">
        <x:v>11.489999999999991</x:v>
      </x:c>
      <x:c r="M6024" t="n">
        <x:v>2014</x:v>
      </x:c>
      <x:c r="N6024" s="20" t="n">
        <x:v>41913</x:v>
      </x:c>
    </x:row>
    <x:row r="6025" ht="18" customHeight="1">
      <x:c r="A6025" t="str">
        <x:v>US-2016-156692</x:v>
      </x:c>
      <x:c r="B6025" s="18" t="n">
        <x:v>42595</x:v>
      </x:c>
      <x:c r="C6025" t="str">
        <x:v>HG-15025</x:v>
      </x:c>
      <x:c r="D6025" t="str">
        <x:v>Hunter Glantz</x:v>
      </x:c>
      <x:c r="E6025" t="str">
        <x:v>Consumer</x:v>
      </x:c>
      <x:c r="F6025" t="str">
        <x:v>South</x:v>
      </x:c>
      <x:c r="G6025" t="str">
        <x:v>Office Supplies</x:v>
      </x:c>
      <x:c r="H6025" t="str">
        <x:v>Appliances</x:v>
      </x:c>
      <x:c r="I6025" s="22" t="n">
        <x:v>17.34</x:v>
      </x:c>
      <x:c r="J6025" s="24" t="n">
        <x:v>2</x:v>
      </x:c>
      <x:c r="K6025" s="26" t="n">
        <x:v>0</x:v>
      </x:c>
      <x:c r="L6025" s="22" t="n">
        <x:v>4.681800000000001</x:v>
      </x:c>
      <x:c r="M6025" t="n">
        <x:v>2016</x:v>
      </x:c>
      <x:c r="N6025" s="20" t="n">
        <x:v>42583</x:v>
      </x:c>
    </x:row>
    <x:row r="6026" ht="18" customHeight="1">
      <x:c r="A6026" t="str">
        <x:v>US-2016-156692</x:v>
      </x:c>
      <x:c r="B6026" s="18" t="n">
        <x:v>42595</x:v>
      </x:c>
      <x:c r="C6026" t="str">
        <x:v>HG-15025</x:v>
      </x:c>
      <x:c r="D6026" t="str">
        <x:v>Hunter Glantz</x:v>
      </x:c>
      <x:c r="E6026" t="str">
        <x:v>Consumer</x:v>
      </x:c>
      <x:c r="F6026" t="str">
        <x:v>South</x:v>
      </x:c>
      <x:c r="G6026" t="str">
        <x:v>Technology</x:v>
      </x:c>
      <x:c r="H6026" t="str">
        <x:v>Accessories</x:v>
      </x:c>
      <x:c r="I6026" s="22" t="n">
        <x:v>71.98</x:v>
      </x:c>
      <x:c r="J6026" s="24" t="n">
        <x:v>2</x:v>
      </x:c>
      <x:c r="K6026" s="26" t="n">
        <x:v>0</x:v>
      </x:c>
      <x:c r="L6026" s="22" t="n">
        <x:v>15.1158</x:v>
      </x:c>
      <x:c r="M6026" t="n">
        <x:v>2016</x:v>
      </x:c>
      <x:c r="N6026" s="20" t="n">
        <x:v>42583</x:v>
      </x:c>
    </x:row>
    <x:row r="6027" ht="18" customHeight="1">
      <x:c r="A6027" t="str">
        <x:v>CA-2014-130869</x:v>
      </x:c>
      <x:c r="B6027" s="18" t="n">
        <x:v>41960</x:v>
      </x:c>
      <x:c r="C6027" t="str">
        <x:v>CB-12025</x:v>
      </x:c>
      <x:c r="D6027" t="str">
        <x:v>Cassandra Brandow</x:v>
      </x:c>
      <x:c r="E6027" t="str">
        <x:v>Consumer</x:v>
      </x:c>
      <x:c r="F6027" t="str">
        <x:v>Central</x:v>
      </x:c>
      <x:c r="G6027" t="str">
        <x:v>Office Supplies</x:v>
      </x:c>
      <x:c r="H6027" t="str">
        <x:v>Envelopes</x:v>
      </x:c>
      <x:c r="I6027" s="22" t="n">
        <x:v>7.080000000000001</x:v>
      </x:c>
      <x:c r="J6027" s="24" t="n">
        <x:v>3</x:v>
      </x:c>
      <x:c r="K6027" s="26" t="n">
        <x:v>0.2</x:v>
      </x:c>
      <x:c r="L6027" s="22" t="n">
        <x:v>2.477999999999999</x:v>
      </x:c>
      <x:c r="M6027" t="n">
        <x:v>2014</x:v>
      </x:c>
      <x:c r="N6027" s="20" t="n">
        <x:v>41944</x:v>
      </x:c>
    </x:row>
    <x:row r="6028" ht="18" customHeight="1">
      <x:c r="A6028" t="str">
        <x:v>US-2017-128832</x:v>
      </x:c>
      <x:c r="B6028" s="18" t="n">
        <x:v>42849</x:v>
      </x:c>
      <x:c r="C6028" t="str">
        <x:v>LS-16945</x:v>
      </x:c>
      <x:c r="D6028" t="str">
        <x:v>Linda Southworth</x:v>
      </x:c>
      <x:c r="E6028" t="str">
        <x:v>Corporate</x:v>
      </x:c>
      <x:c r="F6028" t="str">
        <x:v>East</x:v>
      </x:c>
      <x:c r="G6028" t="str">
        <x:v>Technology</x:v>
      </x:c>
      <x:c r="H6028" t="str">
        <x:v>Accessories</x:v>
      </x:c>
      <x:c r="I6028" s="22" t="n">
        <x:v>69.98</x:v>
      </x:c>
      <x:c r="J6028" s="24" t="n">
        <x:v>2</x:v>
      </x:c>
      <x:c r="K6028" s="26" t="n">
        <x:v>0</x:v>
      </x:c>
      <x:c r="L6028" s="22" t="n">
        <x:v>4.898600000000002</x:v>
      </x:c>
      <x:c r="M6028" t="n">
        <x:v>2017</x:v>
      </x:c>
      <x:c r="N6028" s="20" t="n">
        <x:v>42826</x:v>
      </x:c>
    </x:row>
    <x:row r="6029" ht="18" customHeight="1">
      <x:c r="A6029" t="str">
        <x:v>CA-2017-139717</x:v>
      </x:c>
      <x:c r="B6029" s="18" t="n">
        <x:v>42971</x:v>
      </x:c>
      <x:c r="C6029" t="str">
        <x:v>DM-13015</x:v>
      </x:c>
      <x:c r="D6029" t="str">
        <x:v>Darrin Martin</x:v>
      </x:c>
      <x:c r="E6029" t="str">
        <x:v>Consumer</x:v>
      </x:c>
      <x:c r="F6029" t="str">
        <x:v>East</x:v>
      </x:c>
      <x:c r="G6029" t="str">
        <x:v>Office Supplies</x:v>
      </x:c>
      <x:c r="H6029" t="str">
        <x:v>Appliances</x:v>
      </x:c>
      <x:c r="I6029" s="22" t="n">
        <x:v>646.272</x:v>
      </x:c>
      <x:c r="J6029" s="24" t="n">
        <x:v>8</x:v>
      </x:c>
      <x:c r="K6029" s="26" t="n">
        <x:v>0.2</x:v>
      </x:c>
      <x:c r="L6029" s="22" t="n">
        <x:v>64.62719999999999</x:v>
      </x:c>
      <x:c r="M6029" t="n">
        <x:v>2017</x:v>
      </x:c>
      <x:c r="N6029" s="20" t="n">
        <x:v>42948</x:v>
      </x:c>
    </x:row>
    <x:row r="6030" ht="18" customHeight="1">
      <x:c r="A6030" t="str">
        <x:v>CA-2017-139717</x:v>
      </x:c>
      <x:c r="B6030" s="18" t="n">
        <x:v>42971</x:v>
      </x:c>
      <x:c r="C6030" t="str">
        <x:v>DM-13015</x:v>
      </x:c>
      <x:c r="D6030" t="str">
        <x:v>Darrin Martin</x:v>
      </x:c>
      <x:c r="E6030" t="str">
        <x:v>Consumer</x:v>
      </x:c>
      <x:c r="F6030" t="str">
        <x:v>East</x:v>
      </x:c>
      <x:c r="G6030" t="str">
        <x:v>Office Supplies</x:v>
      </x:c>
      <x:c r="H6030" t="str">
        <x:v>Paper</x:v>
      </x:c>
      <x:c r="I6030" s="22" t="n">
        <x:v>10.368000000000002</x:v>
      </x:c>
      <x:c r="J6030" s="24" t="n">
        <x:v>2</x:v>
      </x:c>
      <x:c r="K6030" s="26" t="n">
        <x:v>0.2</x:v>
      </x:c>
      <x:c r="L6030" s="22" t="n">
        <x:v>3.7584</x:v>
      </x:c>
      <x:c r="M6030" t="n">
        <x:v>2017</x:v>
      </x:c>
      <x:c r="N6030" s="20" t="n">
        <x:v>42948</x:v>
      </x:c>
    </x:row>
    <x:row r="6031" ht="18" customHeight="1">
      <x:c r="A6031" t="str">
        <x:v>CA-2017-136007</x:v>
      </x:c>
      <x:c r="B6031" s="18" t="n">
        <x:v>42789</x:v>
      </x:c>
      <x:c r="C6031" t="str">
        <x:v>AC-10615</x:v>
      </x:c>
      <x:c r="D6031" t="str">
        <x:v>Ann Chong</x:v>
      </x:c>
      <x:c r="E6031" t="str">
        <x:v>Corporate</x:v>
      </x:c>
      <x:c r="F6031" t="str">
        <x:v>West</x:v>
      </x:c>
      <x:c r="G6031" t="str">
        <x:v>Office Supplies</x:v>
      </x:c>
      <x:c r="H6031" t="str">
        <x:v>Fasteners</x:v>
      </x:c>
      <x:c r="I6031" s="22" t="n">
        <x:v>8.4</x:v>
      </x:c>
      <x:c r="J6031" s="24" t="n">
        <x:v>5</x:v>
      </x:c>
      <x:c r="K6031" s="26" t="n">
        <x:v>0</x:v>
      </x:c>
      <x:c r="L6031" s="22" t="n">
        <x:v>0.33599999999999963</x:v>
      </x:c>
      <x:c r="M6031" t="n">
        <x:v>2017</x:v>
      </x:c>
      <x:c r="N6031" s="20" t="n">
        <x:v>42767</x:v>
      </x:c>
    </x:row>
    <x:row r="6032" ht="18" customHeight="1">
      <x:c r="A6032" t="str">
        <x:v>CA-2017-136007</x:v>
      </x:c>
      <x:c r="B6032" s="18" t="n">
        <x:v>42789</x:v>
      </x:c>
      <x:c r="C6032" t="str">
        <x:v>AC-10615</x:v>
      </x:c>
      <x:c r="D6032" t="str">
        <x:v>Ann Chong</x:v>
      </x:c>
      <x:c r="E6032" t="str">
        <x:v>Corporate</x:v>
      </x:c>
      <x:c r="F6032" t="str">
        <x:v>West</x:v>
      </x:c>
      <x:c r="G6032" t="str">
        <x:v>Technology</x:v>
      </x:c>
      <x:c r="H6032" t="str">
        <x:v>Phones</x:v>
      </x:c>
      <x:c r="I6032" s="22" t="n">
        <x:v>71.96</x:v>
      </x:c>
      <x:c r="J6032" s="24" t="n">
        <x:v>5</x:v>
      </x:c>
      <x:c r="K6032" s="26" t="n">
        <x:v>0.2</x:v>
      </x:c>
      <x:c r="L6032" s="22" t="n">
        <x:v>25.185999999999996</x:v>
      </x:c>
      <x:c r="M6032" t="n">
        <x:v>2017</x:v>
      </x:c>
      <x:c r="N6032" s="20" t="n">
        <x:v>42767</x:v>
      </x:c>
    </x:row>
    <x:row r="6033" ht="18" customHeight="1">
      <x:c r="A6033" t="str">
        <x:v>CA-2016-157364</x:v>
      </x:c>
      <x:c r="B6033" s="18" t="n">
        <x:v>42693</x:v>
      </x:c>
      <x:c r="C6033" t="str">
        <x:v>LT-17110</x:v>
      </x:c>
      <x:c r="D6033" t="str">
        <x:v>Liz Thompson</x:v>
      </x:c>
      <x:c r="E6033" t="str">
        <x:v>Consumer</x:v>
      </x:c>
      <x:c r="F6033" t="str">
        <x:v>South</x:v>
      </x:c>
      <x:c r="G6033" t="str">
        <x:v>Office Supplies</x:v>
      </x:c>
      <x:c r="H6033" t="str">
        <x:v>Art</x:v>
      </x:c>
      <x:c r="I6033" s="22" t="n">
        <x:v>18.48</x:v>
      </x:c>
      <x:c r="J6033" s="24" t="n">
        <x:v>2</x:v>
      </x:c>
      <x:c r="K6033" s="26" t="n">
        <x:v>0.2</x:v>
      </x:c>
      <x:c r="L6033" s="22" t="n">
        <x:v>6.005999999999999</x:v>
      </x:c>
      <x:c r="M6033" t="n">
        <x:v>2016</x:v>
      </x:c>
      <x:c r="N6033" s="20" t="n">
        <x:v>42675</x:v>
      </x:c>
    </x:row>
    <x:row r="6034" ht="18" customHeight="1">
      <x:c r="A6034" t="str">
        <x:v>US-2016-112970</x:v>
      </x:c>
      <x:c r="B6034" s="18" t="n">
        <x:v>42688</x:v>
      </x:c>
      <x:c r="C6034" t="str">
        <x:v>TB-21250</x:v>
      </x:c>
      <x:c r="D6034" t="str">
        <x:v>Tim Brockman</x:v>
      </x:c>
      <x:c r="E6034" t="str">
        <x:v>Consumer</x:v>
      </x:c>
      <x:c r="F6034" t="str">
        <x:v>West</x:v>
      </x:c>
      <x:c r="G6034" t="str">
        <x:v>Office Supplies</x:v>
      </x:c>
      <x:c r="H6034" t="str">
        <x:v>Art</x:v>
      </x:c>
      <x:c r="I6034" s="22" t="n">
        <x:v>9.84</x:v>
      </x:c>
      <x:c r="J6034" s="24" t="n">
        <x:v>3</x:v>
      </x:c>
      <x:c r="K6034" s="26" t="n">
        <x:v>0</x:v>
      </x:c>
      <x:c r="L6034" s="22" t="n">
        <x:v>2.853599999999999</x:v>
      </x:c>
      <x:c r="M6034" t="n">
        <x:v>2016</x:v>
      </x:c>
      <x:c r="N6034" s="20" t="n">
        <x:v>42675</x:v>
      </x:c>
    </x:row>
    <x:row r="6035" ht="18" customHeight="1">
      <x:c r="A6035" t="str">
        <x:v>US-2017-152492</x:v>
      </x:c>
      <x:c r="B6035" s="18" t="n">
        <x:v>42922</x:v>
      </x:c>
      <x:c r="C6035" t="str">
        <x:v>AH-10585</x:v>
      </x:c>
      <x:c r="D6035" t="str">
        <x:v>Angele Hood</x:v>
      </x:c>
      <x:c r="E6035" t="str">
        <x:v>Consumer</x:v>
      </x:c>
      <x:c r="F6035" t="str">
        <x:v>South</x:v>
      </x:c>
      <x:c r="G6035" t="str">
        <x:v>Furniture</x:v>
      </x:c>
      <x:c r="H6035" t="str">
        <x:v>Chairs</x:v>
      </x:c>
      <x:c r="I6035" s="22" t="n">
        <x:v>239.24</x:v>
      </x:c>
      <x:c r="J6035" s="24" t="n">
        <x:v>1</x:v>
      </x:c>
      <x:c r="K6035" s="26" t="n">
        <x:v>0.2</x:v>
      </x:c>
      <x:c r="L6035" s="22" t="n">
        <x:v>23.924000000000007</x:v>
      </x:c>
      <x:c r="M6035" t="n">
        <x:v>2017</x:v>
      </x:c>
      <x:c r="N6035" s="20" t="n">
        <x:v>42917</x:v>
      </x:c>
    </x:row>
    <x:row r="6036" ht="18" customHeight="1">
      <x:c r="A6036" t="str">
        <x:v>CA-2016-101168</x:v>
      </x:c>
      <x:c r="B6036" s="18" t="n">
        <x:v>42729</x:v>
      </x:c>
      <x:c r="C6036" t="str">
        <x:v>SS-20140</x:v>
      </x:c>
      <x:c r="D6036" t="str">
        <x:v>Saphhira Shifley</x:v>
      </x:c>
      <x:c r="E6036" t="str">
        <x:v>Corporate</x:v>
      </x:c>
      <x:c r="F6036" t="str">
        <x:v>East</x:v>
      </x:c>
      <x:c r="G6036" t="str">
        <x:v>Furniture</x:v>
      </x:c>
      <x:c r="H6036" t="str">
        <x:v>Furnishings</x:v>
      </x:c>
      <x:c r="I6036" s="22" t="n">
        <x:v>21.12</x:v>
      </x:c>
      <x:c r="J6036" s="24" t="n">
        <x:v>4</x:v>
      </x:c>
      <x:c r="K6036" s="26" t="n">
        <x:v>0</x:v>
      </x:c>
      <x:c r="L6036" s="22" t="n">
        <x:v>6.547199999999998</x:v>
      </x:c>
      <x:c r="M6036" t="n">
        <x:v>2016</x:v>
      </x:c>
      <x:c r="N6036" s="20" t="n">
        <x:v>42705</x:v>
      </x:c>
    </x:row>
    <x:row r="6037" ht="18" customHeight="1">
      <x:c r="A6037" t="str">
        <x:v>CA-2017-104010</x:v>
      </x:c>
      <x:c r="B6037" s="18" t="n">
        <x:v>42848</x:v>
      </x:c>
      <x:c r="C6037" t="str">
        <x:v>TD-20995</x:v>
      </x:c>
      <x:c r="D6037" t="str">
        <x:v>Tamara Dahlen</x:v>
      </x:c>
      <x:c r="E6037" t="str">
        <x:v>Consumer</x:v>
      </x:c>
      <x:c r="F6037" t="str">
        <x:v>East</x:v>
      </x:c>
      <x:c r="G6037" t="str">
        <x:v>Office Supplies</x:v>
      </x:c>
      <x:c r="H6037" t="str">
        <x:v>Supplies</x:v>
      </x:c>
      <x:c r="I6037" s="22" t="n">
        <x:v>54.900000000000006</x:v>
      </x:c>
      <x:c r="J6037" s="24" t="n">
        <x:v>5</x:v>
      </x:c>
      <x:c r="K6037" s="26" t="n">
        <x:v>0</x:v>
      </x:c>
      <x:c r="L6037" s="22" t="n">
        <x:v>15.372000000000003</x:v>
      </x:c>
      <x:c r="M6037" t="n">
        <x:v>2017</x:v>
      </x:c>
      <x:c r="N6037" s="20" t="n">
        <x:v>42826</x:v>
      </x:c>
    </x:row>
    <x:row r="6038" ht="18" customHeight="1">
      <x:c r="A6038" t="str">
        <x:v>CA-2015-130253</x:v>
      </x:c>
      <x:c r="B6038" s="18" t="n">
        <x:v>42352</x:v>
      </x:c>
      <x:c r="C6038" t="str">
        <x:v>PP-18955</x:v>
      </x:c>
      <x:c r="D6038" t="str">
        <x:v>Paul Prost</x:v>
      </x:c>
      <x:c r="E6038" t="str">
        <x:v>Home Office</x:v>
      </x:c>
      <x:c r="F6038" t="str">
        <x:v>West</x:v>
      </x:c>
      <x:c r="G6038" t="str">
        <x:v>Furniture</x:v>
      </x:c>
      <x:c r="H6038" t="str">
        <x:v>Furnishings</x:v>
      </x:c>
      <x:c r="I6038" s="22" t="n">
        <x:v>15.24</x:v>
      </x:c>
      <x:c r="J6038" s="24" t="n">
        <x:v>3</x:v>
      </x:c>
      <x:c r="K6038" s="26" t="n">
        <x:v>0</x:v>
      </x:c>
      <x:c r="L6038" s="22" t="n">
        <x:v>5.1815999999999995</x:v>
      </x:c>
      <x:c r="M6038" t="n">
        <x:v>2015</x:v>
      </x:c>
      <x:c r="N6038" s="20" t="n">
        <x:v>42339</x:v>
      </x:c>
    </x:row>
    <x:row r="6039" ht="18" customHeight="1">
      <x:c r="A6039" t="str">
        <x:v>US-2015-155369</x:v>
      </x:c>
      <x:c r="B6039" s="18" t="n">
        <x:v>42113</x:v>
      </x:c>
      <x:c r="C6039" t="str">
        <x:v>PG-18820</x:v>
      </x:c>
      <x:c r="D6039" t="str">
        <x:v>Patrick Gardner</x:v>
      </x:c>
      <x:c r="E6039" t="str">
        <x:v>Consumer</x:v>
      </x:c>
      <x:c r="F6039" t="str">
        <x:v>Central</x:v>
      </x:c>
      <x:c r="G6039" t="str">
        <x:v>Office Supplies</x:v>
      </x:c>
      <x:c r="H6039" t="str">
        <x:v>Appliances</x:v>
      </x:c>
      <x:c r="I6039" s="22" t="n">
        <x:v>19.567999999999998</x:v>
      </x:c>
      <x:c r="J6039" s="24" t="n">
        <x:v>2</x:v>
      </x:c>
      <x:c r="K6039" s="26" t="n">
        <x:v>0.8</x:v>
      </x:c>
      <x:c r="L6039" s="22" t="n">
        <x:v>-52.833600000000004</x:v>
      </x:c>
      <x:c r="M6039" t="n">
        <x:v>2015</x:v>
      </x:c>
      <x:c r="N6039" s="20" t="n">
        <x:v>42095</x:v>
      </x:c>
    </x:row>
    <x:row r="6040" ht="18" customHeight="1">
      <x:c r="A6040" t="str">
        <x:v>US-2015-155369</x:v>
      </x:c>
      <x:c r="B6040" s="18" t="n">
        <x:v>42113</x:v>
      </x:c>
      <x:c r="C6040" t="str">
        <x:v>PG-18820</x:v>
      </x:c>
      <x:c r="D6040" t="str">
        <x:v>Patrick Gardner</x:v>
      </x:c>
      <x:c r="E6040" t="str">
        <x:v>Consumer</x:v>
      </x:c>
      <x:c r="F6040" t="str">
        <x:v>Central</x:v>
      </x:c>
      <x:c r="G6040" t="str">
        <x:v>Office Supplies</x:v>
      </x:c>
      <x:c r="H6040" t="str">
        <x:v>Binders</x:v>
      </x:c>
      <x:c r="I6040" s="22" t="n">
        <x:v>310.39199999999994</x:v>
      </x:c>
      <x:c r="J6040" s="24" t="n">
        <x:v>4</x:v>
      </x:c>
      <x:c r="K6040" s="26" t="n">
        <x:v>0.8</x:v>
      </x:c>
      <x:c r="L6040" s="22" t="n">
        <x:v>-512.1468000000002</x:v>
      </x:c>
      <x:c r="M6040" t="n">
        <x:v>2015</x:v>
      </x:c>
      <x:c r="N6040" s="20" t="n">
        <x:v>42095</x:v>
      </x:c>
    </x:row>
    <x:row r="6041" ht="18" customHeight="1">
      <x:c r="A6041" t="str">
        <x:v>CA-2016-131205</x:v>
      </x:c>
      <x:c r="B6041" s="18" t="n">
        <x:v>42617</x:v>
      </x:c>
      <x:c r="C6041" t="str">
        <x:v>AA-10645</x:v>
      </x:c>
      <x:c r="D6041" t="str">
        <x:v>Anna Andreadi</x:v>
      </x:c>
      <x:c r="E6041" t="str">
        <x:v>Consumer</x:v>
      </x:c>
      <x:c r="F6041" t="str">
        <x:v>South</x:v>
      </x:c>
      <x:c r="G6041" t="str">
        <x:v>Furniture</x:v>
      </x:c>
      <x:c r="H6041" t="str">
        <x:v>Furnishings</x:v>
      </x:c>
      <x:c r="I6041" s="22" t="n">
        <x:v>42.599999999999994</x:v>
      </x:c>
      <x:c r="J6041" s="24" t="n">
        <x:v>3</x:v>
      </x:c>
      <x:c r="K6041" s="26" t="n">
        <x:v>0</x:v>
      </x:c>
      <x:c r="L6041" s="22" t="n">
        <x:v>16.614</x:v>
      </x:c>
      <x:c r="M6041" t="n">
        <x:v>2016</x:v>
      </x:c>
      <x:c r="N6041" s="20" t="n">
        <x:v>42614</x:v>
      </x:c>
    </x:row>
    <x:row r="6042" ht="18" customHeight="1">
      <x:c r="A6042" t="str">
        <x:v>CA-2016-131205</x:v>
      </x:c>
      <x:c r="B6042" s="18" t="n">
        <x:v>42617</x:v>
      </x:c>
      <x:c r="C6042" t="str">
        <x:v>AA-10645</x:v>
      </x:c>
      <x:c r="D6042" t="str">
        <x:v>Anna Andreadi</x:v>
      </x:c>
      <x:c r="E6042" t="str">
        <x:v>Consumer</x:v>
      </x:c>
      <x:c r="F6042" t="str">
        <x:v>South</x:v>
      </x:c>
      <x:c r="G6042" t="str">
        <x:v>Office Supplies</x:v>
      </x:c>
      <x:c r="H6042" t="str">
        <x:v>Binders</x:v>
      </x:c>
      <x:c r="I6042" s="22" t="n">
        <x:v>113.94</x:v>
      </x:c>
      <x:c r="J6042" s="24" t="n">
        <x:v>6</x:v>
      </x:c>
      <x:c r="K6042" s="26" t="n">
        <x:v>0</x:v>
      </x:c>
      <x:c r="L6042" s="22" t="n">
        <x:v>54.691199999999995</x:v>
      </x:c>
      <x:c r="M6042" t="n">
        <x:v>2016</x:v>
      </x:c>
      <x:c r="N6042" s="20" t="n">
        <x:v>42614</x:v>
      </x:c>
    </x:row>
    <x:row r="6043" ht="18" customHeight="1">
      <x:c r="A6043" t="str">
        <x:v>CA-2016-131205</x:v>
      </x:c>
      <x:c r="B6043" s="18" t="n">
        <x:v>42617</x:v>
      </x:c>
      <x:c r="C6043" t="str">
        <x:v>AA-10645</x:v>
      </x:c>
      <x:c r="D6043" t="str">
        <x:v>Anna Andreadi</x:v>
      </x:c>
      <x:c r="E6043" t="str">
        <x:v>Consumer</x:v>
      </x:c>
      <x:c r="F6043" t="str">
        <x:v>South</x:v>
      </x:c>
      <x:c r="G6043" t="str">
        <x:v>Office Supplies</x:v>
      </x:c>
      <x:c r="H6043" t="str">
        <x:v>Storage</x:v>
      </x:c>
      <x:c r="I6043" s="22" t="n">
        <x:v>129.92</x:v>
      </x:c>
      <x:c r="J6043" s="24" t="n">
        <x:v>4</x:v>
      </x:c>
      <x:c r="K6043" s="26" t="n">
        <x:v>0</x:v>
      </x:c>
      <x:c r="L6043" s="22" t="n">
        <x:v>5.196799999999996</x:v>
      </x:c>
      <x:c r="M6043" t="n">
        <x:v>2016</x:v>
      </x:c>
      <x:c r="N6043" s="20" t="n">
        <x:v>42614</x:v>
      </x:c>
    </x:row>
    <x:row r="6044" ht="18" customHeight="1">
      <x:c r="A6044" t="str">
        <x:v>CA-2016-131205</x:v>
      </x:c>
      <x:c r="B6044" s="18" t="n">
        <x:v>42617</x:v>
      </x:c>
      <x:c r="C6044" t="str">
        <x:v>AA-10645</x:v>
      </x:c>
      <x:c r="D6044" t="str">
        <x:v>Anna Andreadi</x:v>
      </x:c>
      <x:c r="E6044" t="str">
        <x:v>Consumer</x:v>
      </x:c>
      <x:c r="F6044" t="str">
        <x:v>South</x:v>
      </x:c>
      <x:c r="G6044" t="str">
        <x:v>Office Supplies</x:v>
      </x:c>
      <x:c r="H6044" t="str">
        <x:v>Art</x:v>
      </x:c>
      <x:c r="I6044" s="22" t="n">
        <x:v>5.28</x:v>
      </x:c>
      <x:c r="J6044" s="24" t="n">
        <x:v>3</x:v>
      </x:c>
      <x:c r="K6044" s="26" t="n">
        <x:v>0</x:v>
      </x:c>
      <x:c r="L6044" s="22" t="n">
        <x:v>2.5343999999999998</x:v>
      </x:c>
      <x:c r="M6044" t="n">
        <x:v>2016</x:v>
      </x:c>
      <x:c r="N6044" s="20" t="n">
        <x:v>42614</x:v>
      </x:c>
    </x:row>
    <x:row r="6045" ht="18" customHeight="1">
      <x:c r="A6045" t="str">
        <x:v>CA-2017-122364</x:v>
      </x:c>
      <x:c r="B6045" s="18" t="n">
        <x:v>43002</x:v>
      </x:c>
      <x:c r="C6045" t="str">
        <x:v>FA-14230</x:v>
      </x:c>
      <x:c r="D6045" t="str">
        <x:v>Frank Atkinson</x:v>
      </x:c>
      <x:c r="E6045" t="str">
        <x:v>Corporate</x:v>
      </x:c>
      <x:c r="F6045" t="str">
        <x:v>West</x:v>
      </x:c>
      <x:c r="G6045" t="str">
        <x:v>Technology</x:v>
      </x:c>
      <x:c r="H6045" t="str">
        <x:v>Phones</x:v>
      </x:c>
      <x:c r="I6045" s="22" t="n">
        <x:v>859.2</x:v>
      </x:c>
      <x:c r="J6045" s="24" t="n">
        <x:v>3</x:v>
      </x:c>
      <x:c r="K6045" s="26" t="n">
        <x:v>0.2</x:v>
      </x:c>
      <x:c r="L6045" s="22" t="n">
        <x:v>75.18000000000006</x:v>
      </x:c>
      <x:c r="M6045" t="n">
        <x:v>2017</x:v>
      </x:c>
      <x:c r="N6045" s="20" t="n">
        <x:v>42979</x:v>
      </x:c>
    </x:row>
    <x:row r="6046" ht="18" customHeight="1">
      <x:c r="A6046" t="str">
        <x:v>CA-2017-122364</x:v>
      </x:c>
      <x:c r="B6046" s="18" t="n">
        <x:v>43002</x:v>
      </x:c>
      <x:c r="C6046" t="str">
        <x:v>FA-14230</x:v>
      </x:c>
      <x:c r="D6046" t="str">
        <x:v>Frank Atkinson</x:v>
      </x:c>
      <x:c r="E6046" t="str">
        <x:v>Corporate</x:v>
      </x:c>
      <x:c r="F6046" t="str">
        <x:v>West</x:v>
      </x:c>
      <x:c r="G6046" t="str">
        <x:v>Technology</x:v>
      </x:c>
      <x:c r="H6046" t="str">
        <x:v>Machines</x:v>
      </x:c>
      <x:c r="I6046" s="22" t="n">
        <x:v>506.28</x:v>
      </x:c>
      <x:c r="J6046" s="24" t="n">
        <x:v>3</x:v>
      </x:c>
      <x:c r="K6046" s="26" t="n">
        <x:v>0.2</x:v>
      </x:c>
      <x:c r="L6046" s="22" t="n">
        <x:v>177.19799999999998</x:v>
      </x:c>
      <x:c r="M6046" t="n">
        <x:v>2017</x:v>
      </x:c>
      <x:c r="N6046" s="20" t="n">
        <x:v>42979</x:v>
      </x:c>
    </x:row>
    <x:row r="6047" ht="18" customHeight="1">
      <x:c r="A6047" t="str">
        <x:v>CA-2016-117912</x:v>
      </x:c>
      <x:c r="B6047" s="18" t="n">
        <x:v>42404</x:v>
      </x:c>
      <x:c r="C6047" t="str">
        <x:v>TB-21520</x:v>
      </x:c>
      <x:c r="D6047" t="str">
        <x:v>Tracy Blumstein</x:v>
      </x:c>
      <x:c r="E6047" t="str">
        <x:v>Consumer</x:v>
      </x:c>
      <x:c r="F6047" t="str">
        <x:v>West</x:v>
      </x:c>
      <x:c r="G6047" t="str">
        <x:v>Furniture</x:v>
      </x:c>
      <x:c r="H6047" t="str">
        <x:v>Furnishings</x:v>
      </x:c>
      <x:c r="I6047" s="22" t="n">
        <x:v>14.368000000000002</x:v>
      </x:c>
      <x:c r="J6047" s="24" t="n">
        <x:v>2</x:v>
      </x:c>
      <x:c r="K6047" s="26" t="n">
        <x:v>0.2</x:v>
      </x:c>
      <x:c r="L6047" s="22" t="n">
        <x:v>3.9512</x:v>
      </x:c>
      <x:c r="M6047" t="n">
        <x:v>2016</x:v>
      </x:c>
      <x:c r="N6047" s="20" t="n">
        <x:v>42401</x:v>
      </x:c>
    </x:row>
    <x:row r="6048" ht="18" customHeight="1">
      <x:c r="A6048" t="str">
        <x:v>CA-2017-145702</x:v>
      </x:c>
      <x:c r="B6048" s="18" t="n">
        <x:v>42874</x:v>
      </x:c>
      <x:c r="C6048" t="str">
        <x:v>AH-10075</x:v>
      </x:c>
      <x:c r="D6048" t="str">
        <x:v>Adam Hart</x:v>
      </x:c>
      <x:c r="E6048" t="str">
        <x:v>Corporate</x:v>
      </x:c>
      <x:c r="F6048" t="str">
        <x:v>South</x:v>
      </x:c>
      <x:c r="G6048" t="str">
        <x:v>Furniture</x:v>
      </x:c>
      <x:c r="H6048" t="str">
        <x:v>Chairs</x:v>
      </x:c>
      <x:c r="I6048" s="22" t="n">
        <x:v>314.352</x:v>
      </x:c>
      <x:c r="J6048" s="24" t="n">
        <x:v>3</x:v>
      </x:c>
      <x:c r="K6048" s="26" t="n">
        <x:v>0.2</x:v>
      </x:c>
      <x:c r="L6048" s="22" t="n">
        <x:v>-35.36460000000001</x:v>
      </x:c>
      <x:c r="M6048" t="n">
        <x:v>2017</x:v>
      </x:c>
      <x:c r="N6048" s="20" t="n">
        <x:v>42856</x:v>
      </x:c>
    </x:row>
    <x:row r="6049" ht="18" customHeight="1">
      <x:c r="A6049" t="str">
        <x:v>CA-2017-145702</x:v>
      </x:c>
      <x:c r="B6049" s="18" t="n">
        <x:v>42874</x:v>
      </x:c>
      <x:c r="C6049" t="str">
        <x:v>AH-10075</x:v>
      </x:c>
      <x:c r="D6049" t="str">
        <x:v>Adam Hart</x:v>
      </x:c>
      <x:c r="E6049" t="str">
        <x:v>Corporate</x:v>
      </x:c>
      <x:c r="F6049" t="str">
        <x:v>South</x:v>
      </x:c>
      <x:c r="G6049" t="str">
        <x:v>Office Supplies</x:v>
      </x:c>
      <x:c r="H6049" t="str">
        <x:v>Paper</x:v>
      </x:c>
      <x:c r="I6049" s="22" t="n">
        <x:v>27.888</x:v>
      </x:c>
      <x:c r="J6049" s="24" t="n">
        <x:v>7</x:v>
      </x:c>
      <x:c r="K6049" s="26" t="n">
        <x:v>0.2</x:v>
      </x:c>
      <x:c r="L6049" s="22" t="n">
        <x:v>10.1094</x:v>
      </x:c>
      <x:c r="M6049" t="n">
        <x:v>2017</x:v>
      </x:c>
      <x:c r="N6049" s="20" t="n">
        <x:v>42856</x:v>
      </x:c>
    </x:row>
    <x:row r="6050" ht="18" customHeight="1">
      <x:c r="A6050" t="str">
        <x:v>CA-2015-113215</x:v>
      </x:c>
      <x:c r="B6050" s="18" t="n">
        <x:v>42250</x:v>
      </x:c>
      <x:c r="C6050" t="str">
        <x:v>CP-12085</x:v>
      </x:c>
      <x:c r="D6050" t="str">
        <x:v>Cathy Prescott</x:v>
      </x:c>
      <x:c r="E6050" t="str">
        <x:v>Corporate</x:v>
      </x:c>
      <x:c r="F6050" t="str">
        <x:v>West</x:v>
      </x:c>
      <x:c r="G6050" t="str">
        <x:v>Furniture</x:v>
      </x:c>
      <x:c r="H6050" t="str">
        <x:v>Furnishings</x:v>
      </x:c>
      <x:c r="I6050" s="22" t="n">
        <x:v>238.15200000000004</x:v>
      </x:c>
      <x:c r="J6050" s="24" t="n">
        <x:v>3</x:v>
      </x:c>
      <x:c r="K6050" s="26" t="n">
        <x:v>0.2</x:v>
      </x:c>
      <x:c r="L6050" s="22" t="n">
        <x:v>89.30699999999999</x:v>
      </x:c>
      <x:c r="M6050" t="n">
        <x:v>2015</x:v>
      </x:c>
      <x:c r="N6050" s="20" t="n">
        <x:v>42248</x:v>
      </x:c>
    </x:row>
    <x:row r="6051" ht="18" customHeight="1">
      <x:c r="A6051" t="str">
        <x:v>CA-2016-154662</x:v>
      </x:c>
      <x:c r="B6051" s="18" t="n">
        <x:v>42530</x:v>
      </x:c>
      <x:c r="C6051" t="str">
        <x:v>BF-11215</x:v>
      </x:c>
      <x:c r="D6051" t="str">
        <x:v>Benjamin Farhat</x:v>
      </x:c>
      <x:c r="E6051" t="str">
        <x:v>Home Office</x:v>
      </x:c>
      <x:c r="F6051" t="str">
        <x:v>Central</x:v>
      </x:c>
      <x:c r="G6051" t="str">
        <x:v>Furniture</x:v>
      </x:c>
      <x:c r="H6051" t="str">
        <x:v>Tables</x:v>
      </x:c>
      <x:c r="I6051" s="22" t="n">
        <x:v>692.9399999999999</x:v>
      </x:c>
      <x:c r="J6051" s="24" t="n">
        <x:v>3</x:v>
      </x:c>
      <x:c r="K6051" s="26" t="n">
        <x:v>0</x:v>
      </x:c>
      <x:c r="L6051" s="22" t="n">
        <x:v>173.235</x:v>
      </x:c>
      <x:c r="M6051" t="n">
        <x:v>2016</x:v>
      </x:c>
      <x:c r="N6051" s="20" t="n">
        <x:v>42522</x:v>
      </x:c>
    </x:row>
    <x:row r="6052" ht="18" customHeight="1">
      <x:c r="A6052" t="str">
        <x:v>CA-2015-105571</x:v>
      </x:c>
      <x:c r="B6052" s="18" t="n">
        <x:v>42315</x:v>
      </x:c>
      <x:c r="C6052" t="str">
        <x:v>CP-12340</x:v>
      </x:c>
      <x:c r="D6052" t="str">
        <x:v>Christine Phan</x:v>
      </x:c>
      <x:c r="E6052" t="str">
        <x:v>Corporate</x:v>
      </x:c>
      <x:c r="F6052" t="str">
        <x:v>South</x:v>
      </x:c>
      <x:c r="G6052" t="str">
        <x:v>Office Supplies</x:v>
      </x:c>
      <x:c r="H6052" t="str">
        <x:v>Binders</x:v>
      </x:c>
      <x:c r="I6052" s="22" t="n">
        <x:v>16.146000000000004</x:v>
      </x:c>
      <x:c r="J6052" s="24" t="n">
        <x:v>9</x:v>
      </x:c>
      <x:c r="K6052" s="26" t="n">
        <x:v>0.7</x:v>
      </x:c>
      <x:c r="L6052" s="22" t="n">
        <x:v>-12.916800000000002</x:v>
      </x:c>
      <x:c r="M6052" t="n">
        <x:v>2015</x:v>
      </x:c>
      <x:c r="N6052" s="20" t="n">
        <x:v>42309</x:v>
      </x:c>
    </x:row>
    <x:row r="6053" ht="18" customHeight="1">
      <x:c r="A6053" t="str">
        <x:v>CA-2015-105571</x:v>
      </x:c>
      <x:c r="B6053" s="18" t="n">
        <x:v>42315</x:v>
      </x:c>
      <x:c r="C6053" t="str">
        <x:v>CP-12340</x:v>
      </x:c>
      <x:c r="D6053" t="str">
        <x:v>Christine Phan</x:v>
      </x:c>
      <x:c r="E6053" t="str">
        <x:v>Corporate</x:v>
      </x:c>
      <x:c r="F6053" t="str">
        <x:v>South</x:v>
      </x:c>
      <x:c r="G6053" t="str">
        <x:v>Office Supplies</x:v>
      </x:c>
      <x:c r="H6053" t="str">
        <x:v>Binders</x:v>
      </x:c>
      <x:c r="I6053" s="22" t="n">
        <x:v>1345.4850000000001</x:v>
      </x:c>
      <x:c r="J6053" s="24" t="n">
        <x:v>5</x:v>
      </x:c>
      <x:c r="K6053" s="26" t="n">
        <x:v>0.7</x:v>
      </x:c>
      <x:c r="L6053" s="22" t="n">
        <x:v>-1031.5385</x:v>
      </x:c>
      <x:c r="M6053" t="n">
        <x:v>2015</x:v>
      </x:c>
      <x:c r="N6053" s="20" t="n">
        <x:v>42309</x:v>
      </x:c>
    </x:row>
    <x:row r="6054" ht="18" customHeight="1">
      <x:c r="A6054" t="str">
        <x:v>CA-2016-152765</x:v>
      </x:c>
      <x:c r="B6054" s="18" t="n">
        <x:v>42536</x:v>
      </x:c>
      <x:c r="C6054" t="str">
        <x:v>LS-17245</x:v>
      </x:c>
      <x:c r="D6054" t="str">
        <x:v>Lynn Smith</x:v>
      </x:c>
      <x:c r="E6054" t="str">
        <x:v>Consumer</x:v>
      </x:c>
      <x:c r="F6054" t="str">
        <x:v>Central</x:v>
      </x:c>
      <x:c r="G6054" t="str">
        <x:v>Office Supplies</x:v>
      </x:c>
      <x:c r="H6054" t="str">
        <x:v>Paper</x:v>
      </x:c>
      <x:c r="I6054" s="22" t="n">
        <x:v>173.48800000000003</x:v>
      </x:c>
      <x:c r="J6054" s="24" t="n">
        <x:v>7</x:v>
      </x:c>
      <x:c r="K6054" s="26" t="n">
        <x:v>0.2</x:v>
      </x:c>
      <x:c r="L6054" s="22" t="n">
        <x:v>54.21499999999998</x:v>
      </x:c>
      <x:c r="M6054" t="n">
        <x:v>2016</x:v>
      </x:c>
      <x:c r="N6054" s="20" t="n">
        <x:v>42522</x:v>
      </x:c>
    </x:row>
    <x:row r="6055" ht="18" customHeight="1">
      <x:c r="A6055" t="str">
        <x:v>CA-2015-153878</x:v>
      </x:c>
      <x:c r="B6055" s="18" t="n">
        <x:v>42119</x:v>
      </x:c>
      <x:c r="C6055" t="str">
        <x:v>TS-21655</x:v>
      </x:c>
      <x:c r="D6055" t="str">
        <x:v>Trudy Schmidt</x:v>
      </x:c>
      <x:c r="E6055" t="str">
        <x:v>Consumer</x:v>
      </x:c>
      <x:c r="F6055" t="str">
        <x:v>Central</x:v>
      </x:c>
      <x:c r="G6055" t="str">
        <x:v>Office Supplies</x:v>
      </x:c>
      <x:c r="H6055" t="str">
        <x:v>Art</x:v>
      </x:c>
      <x:c r="I6055" s="22" t="n">
        <x:v>57.75</x:v>
      </x:c>
      <x:c r="J6055" s="24" t="n">
        <x:v>5</x:v>
      </x:c>
      <x:c r="K6055" s="26" t="n">
        <x:v>0</x:v>
      </x:c>
      <x:c r="L6055" s="22" t="n">
        <x:v>16.17</x:v>
      </x:c>
      <x:c r="M6055" t="n">
        <x:v>2015</x:v>
      </x:c>
      <x:c r="N6055" s="20" t="n">
        <x:v>42095</x:v>
      </x:c>
    </x:row>
    <x:row r="6056" ht="18" customHeight="1">
      <x:c r="A6056" t="str">
        <x:v>CA-2015-153878</x:v>
      </x:c>
      <x:c r="B6056" s="18" t="n">
        <x:v>42119</x:v>
      </x:c>
      <x:c r="C6056" t="str">
        <x:v>TS-21655</x:v>
      </x:c>
      <x:c r="D6056" t="str">
        <x:v>Trudy Schmidt</x:v>
      </x:c>
      <x:c r="E6056" t="str">
        <x:v>Consumer</x:v>
      </x:c>
      <x:c r="F6056" t="str">
        <x:v>Central</x:v>
      </x:c>
      <x:c r="G6056" t="str">
        <x:v>Office Supplies</x:v>
      </x:c>
      <x:c r="H6056" t="str">
        <x:v>Appliances</x:v>
      </x:c>
      <x:c r="I6056" s="22" t="n">
        <x:v>272.4</x:v>
      </x:c>
      <x:c r="J6056" s="24" t="n">
        <x:v>5</x:v>
      </x:c>
      <x:c r="K6056" s="26" t="n">
        <x:v>0</x:v>
      </x:c>
      <x:c r="L6056" s="22" t="n">
        <x:v>76.27200000000002</x:v>
      </x:c>
      <x:c r="M6056" t="n">
        <x:v>2015</x:v>
      </x:c>
      <x:c r="N6056" s="20" t="n">
        <x:v>42095</x:v>
      </x:c>
    </x:row>
    <x:row r="6057" ht="18" customHeight="1">
      <x:c r="A6057" t="str">
        <x:v>CA-2016-124016</x:v>
      </x:c>
      <x:c r="B6057" s="18" t="n">
        <x:v>42636</x:v>
      </x:c>
      <x:c r="C6057" t="str">
        <x:v>JS-15940</x:v>
      </x:c>
      <x:c r="D6057" t="str">
        <x:v>Joni Sundaresam</x:v>
      </x:c>
      <x:c r="E6057" t="str">
        <x:v>Home Office</x:v>
      </x:c>
      <x:c r="F6057" t="str">
        <x:v>East</x:v>
      </x:c>
      <x:c r="G6057" t="str">
        <x:v>Office Supplies</x:v>
      </x:c>
      <x:c r="H6057" t="str">
        <x:v>Paper</x:v>
      </x:c>
      <x:c r="I6057" s="22" t="n">
        <x:v>11.952000000000002</x:v>
      </x:c>
      <x:c r="J6057" s="24" t="n">
        <x:v>3</x:v>
      </x:c>
      <x:c r="K6057" s="26" t="n">
        <x:v>0.2</x:v>
      </x:c>
      <x:c r="L6057" s="22" t="n">
        <x:v>4.0338</x:v>
      </x:c>
      <x:c r="M6057" t="n">
        <x:v>2016</x:v>
      </x:c>
      <x:c r="N6057" s="20" t="n">
        <x:v>42614</x:v>
      </x:c>
    </x:row>
    <x:row r="6058" ht="18" customHeight="1">
      <x:c r="A6058" t="str">
        <x:v>CA-2016-124016</x:v>
      </x:c>
      <x:c r="B6058" s="18" t="n">
        <x:v>42636</x:v>
      </x:c>
      <x:c r="C6058" t="str">
        <x:v>JS-15940</x:v>
      </x:c>
      <x:c r="D6058" t="str">
        <x:v>Joni Sundaresam</x:v>
      </x:c>
      <x:c r="E6058" t="str">
        <x:v>Home Office</x:v>
      </x:c>
      <x:c r="F6058" t="str">
        <x:v>East</x:v>
      </x:c>
      <x:c r="G6058" t="str">
        <x:v>Furniture</x:v>
      </x:c>
      <x:c r="H6058" t="str">
        <x:v>Furnishings</x:v>
      </x:c>
      <x:c r="I6058" s="22" t="n">
        <x:v>28</x:v>
      </x:c>
      <x:c r="J6058" s="24" t="n">
        <x:v>4</x:v>
      </x:c>
      <x:c r="K6058" s="26" t="n">
        <x:v>0.2</x:v>
      </x:c>
      <x:c r="L6058" s="22" t="n">
        <x:v>7.700000000000003</x:v>
      </x:c>
      <x:c r="M6058" t="n">
        <x:v>2016</x:v>
      </x:c>
      <x:c r="N6058" s="20" t="n">
        <x:v>42614</x:v>
      </x:c>
    </x:row>
    <x:row r="6059" ht="18" customHeight="1">
      <x:c r="A6059" t="str">
        <x:v>CA-2016-124016</x:v>
      </x:c>
      <x:c r="B6059" s="18" t="n">
        <x:v>42636</x:v>
      </x:c>
      <x:c r="C6059" t="str">
        <x:v>JS-15940</x:v>
      </x:c>
      <x:c r="D6059" t="str">
        <x:v>Joni Sundaresam</x:v>
      </x:c>
      <x:c r="E6059" t="str">
        <x:v>Home Office</x:v>
      </x:c>
      <x:c r="F6059" t="str">
        <x:v>East</x:v>
      </x:c>
      <x:c r="G6059" t="str">
        <x:v>Office Supplies</x:v>
      </x:c>
      <x:c r="H6059" t="str">
        <x:v>Binders</x:v>
      </x:c>
      <x:c r="I6059" s="22" t="n">
        <x:v>12.201</x:v>
      </x:c>
      <x:c r="J6059" s="24" t="n">
        <x:v>7</x:v>
      </x:c>
      <x:c r="K6059" s="26" t="n">
        <x:v>0.7</x:v>
      </x:c>
      <x:c r="L6059" s="22" t="n">
        <x:v>-9.760799999999996</x:v>
      </x:c>
      <x:c r="M6059" t="n">
        <x:v>2016</x:v>
      </x:c>
      <x:c r="N6059" s="20" t="n">
        <x:v>42614</x:v>
      </x:c>
    </x:row>
    <x:row r="6060" ht="18" customHeight="1">
      <x:c r="A6060" t="str">
        <x:v>CA-2016-113551</x:v>
      </x:c>
      <x:c r="B6060" s="18" t="n">
        <x:v>42600</x:v>
      </x:c>
      <x:c r="C6060" t="str">
        <x:v>NF-18385</x:v>
      </x:c>
      <x:c r="D6060" t="str">
        <x:v>Natalie Fritzler</x:v>
      </x:c>
      <x:c r="E6060" t="str">
        <x:v>Consumer</x:v>
      </x:c>
      <x:c r="F6060" t="str">
        <x:v>Central</x:v>
      </x:c>
      <x:c r="G6060" t="str">
        <x:v>Office Supplies</x:v>
      </x:c>
      <x:c r="H6060" t="str">
        <x:v>Binders</x:v>
      </x:c>
      <x:c r="I6060" s="22" t="n">
        <x:v>2.0679999999999996</x:v>
      </x:c>
      <x:c r="J6060" s="24" t="n">
        <x:v>1</x:v>
      </x:c>
      <x:c r="K6060" s="26" t="n">
        <x:v>0.8</x:v>
      </x:c>
      <x:c r="L6060" s="22" t="n">
        <x:v>-3.4122000000000003</x:v>
      </x:c>
      <x:c r="M6060" t="n">
        <x:v>2016</x:v>
      </x:c>
      <x:c r="N6060" s="20" t="n">
        <x:v>42583</x:v>
      </x:c>
    </x:row>
    <x:row r="6061" ht="18" customHeight="1">
      <x:c r="A6061" t="str">
        <x:v>CA-2016-113551</x:v>
      </x:c>
      <x:c r="B6061" s="18" t="n">
        <x:v>42600</x:v>
      </x:c>
      <x:c r="C6061" t="str">
        <x:v>NF-18385</x:v>
      </x:c>
      <x:c r="D6061" t="str">
        <x:v>Natalie Fritzler</x:v>
      </x:c>
      <x:c r="E6061" t="str">
        <x:v>Consumer</x:v>
      </x:c>
      <x:c r="F6061" t="str">
        <x:v>Central</x:v>
      </x:c>
      <x:c r="G6061" t="str">
        <x:v>Office Supplies</x:v>
      </x:c>
      <x:c r="H6061" t="str">
        <x:v>Paper</x:v>
      </x:c>
      <x:c r="I6061" s="22" t="n">
        <x:v>83.84</x:v>
      </x:c>
      <x:c r="J6061" s="24" t="n">
        <x:v>8</x:v>
      </x:c>
      <x:c r="K6061" s="26" t="n">
        <x:v>0.2</x:v>
      </x:c>
      <x:c r="L6061" s="22" t="n">
        <x:v>30.391999999999996</x:v>
      </x:c>
      <x:c r="M6061" t="n">
        <x:v>2016</x:v>
      </x:c>
      <x:c r="N6061" s="20" t="n">
        <x:v>42583</x:v>
      </x:c>
    </x:row>
    <x:row r="6062" ht="18" customHeight="1">
      <x:c r="A6062" t="str">
        <x:v>CA-2014-107524</x:v>
      </x:c>
      <x:c r="B6062" s="18" t="n">
        <x:v>41700</x:v>
      </x:c>
      <x:c r="C6062" t="str">
        <x:v>KN-16705</x:v>
      </x:c>
      <x:c r="D6062" t="str">
        <x:v>Kristina Nunn</x:v>
      </x:c>
      <x:c r="E6062" t="str">
        <x:v>Home Office</x:v>
      </x:c>
      <x:c r="F6062" t="str">
        <x:v>East</x:v>
      </x:c>
      <x:c r="G6062" t="str">
        <x:v>Office Supplies</x:v>
      </x:c>
      <x:c r="H6062" t="str">
        <x:v>Envelopes</x:v>
      </x:c>
      <x:c r="I6062" s="22" t="n">
        <x:v>11.36</x:v>
      </x:c>
      <x:c r="J6062" s="24" t="n">
        <x:v>2</x:v>
      </x:c>
      <x:c r="K6062" s="26" t="n">
        <x:v>0</x:v>
      </x:c>
      <x:c r="L6062" s="22" t="n">
        <x:v>5.339199999999999</x:v>
      </x:c>
      <x:c r="M6062" t="n">
        <x:v>2014</x:v>
      </x:c>
      <x:c r="N6062" s="20" t="n">
        <x:v>41699</x:v>
      </x:c>
    </x:row>
    <x:row r="6063" ht="18" customHeight="1">
      <x:c r="A6063" t="str">
        <x:v>CA-2014-107524</x:v>
      </x:c>
      <x:c r="B6063" s="18" t="n">
        <x:v>41700</x:v>
      </x:c>
      <x:c r="C6063" t="str">
        <x:v>KN-16705</x:v>
      </x:c>
      <x:c r="D6063" t="str">
        <x:v>Kristina Nunn</x:v>
      </x:c>
      <x:c r="E6063" t="str">
        <x:v>Home Office</x:v>
      </x:c>
      <x:c r="F6063" t="str">
        <x:v>East</x:v>
      </x:c>
      <x:c r="G6063" t="str">
        <x:v>Office Supplies</x:v>
      </x:c>
      <x:c r="H6063" t="str">
        <x:v>Paper</x:v>
      </x:c>
      <x:c r="I6063" s="22" t="n">
        <x:v>36.4</x:v>
      </x:c>
      <x:c r="J6063" s="24" t="n">
        <x:v>5</x:v>
      </x:c>
      <x:c r="K6063" s="26" t="n">
        <x:v>0</x:v>
      </x:c>
      <x:c r="L6063" s="22" t="n">
        <x:v>17.472</x:v>
      </x:c>
      <x:c r="M6063" t="n">
        <x:v>2014</x:v>
      </x:c>
      <x:c r="N6063" s="20" t="n">
        <x:v>41699</x:v>
      </x:c>
    </x:row>
    <x:row r="6064" ht="18" customHeight="1">
      <x:c r="A6064" t="str">
        <x:v>CA-2014-138072</x:v>
      </x:c>
      <x:c r="B6064" s="18" t="n">
        <x:v>42003</x:v>
      </x:c>
      <x:c r="C6064" t="str">
        <x:v>GA-14725</x:v>
      </x:c>
      <x:c r="D6064" t="str">
        <x:v>Guy Armstrong</x:v>
      </x:c>
      <x:c r="E6064" t="str">
        <x:v>Consumer</x:v>
      </x:c>
      <x:c r="F6064" t="str">
        <x:v>East</x:v>
      </x:c>
      <x:c r="G6064" t="str">
        <x:v>Technology</x:v>
      </x:c>
      <x:c r="H6064" t="str">
        <x:v>Accessories</x:v>
      </x:c>
      <x:c r="I6064" s="22" t="n">
        <x:v>27.968000000000004</x:v>
      </x:c>
      <x:c r="J6064" s="24" t="n">
        <x:v>2</x:v>
      </x:c>
      <x:c r="K6064" s="26" t="n">
        <x:v>0.2</x:v>
      </x:c>
      <x:c r="L6064" s="22" t="n">
        <x:v>6.992000000000001</x:v>
      </x:c>
      <x:c r="M6064" t="n">
        <x:v>2014</x:v>
      </x:c>
      <x:c r="N6064" s="20" t="n">
        <x:v>41974</x:v>
      </x:c>
    </x:row>
    <x:row r="6065" ht="18" customHeight="1">
      <x:c r="A6065" t="str">
        <x:v>CA-2015-134201</x:v>
      </x:c>
      <x:c r="B6065" s="18" t="n">
        <x:v>42104</x:v>
      </x:c>
      <x:c r="C6065" t="str">
        <x:v>EH-14125</x:v>
      </x:c>
      <x:c r="D6065" t="str">
        <x:v>Eugene Hildebrand</x:v>
      </x:c>
      <x:c r="E6065" t="str">
        <x:v>Home Office</x:v>
      </x:c>
      <x:c r="F6065" t="str">
        <x:v>East</x:v>
      </x:c>
      <x:c r="G6065" t="str">
        <x:v>Office Supplies</x:v>
      </x:c>
      <x:c r="H6065" t="str">
        <x:v>Storage</x:v>
      </x:c>
      <x:c r="I6065" s="22" t="n">
        <x:v>142.04</x:v>
      </x:c>
      <x:c r="J6065" s="24" t="n">
        <x:v>4</x:v>
      </x:c>
      <x:c r="K6065" s="26" t="n">
        <x:v>0</x:v>
      </x:c>
      <x:c r="L6065" s="22" t="n">
        <x:v>38.35080000000001</x:v>
      </x:c>
      <x:c r="M6065" t="n">
        <x:v>2015</x:v>
      </x:c>
      <x:c r="N6065" s="20" t="n">
        <x:v>42095</x:v>
      </x:c>
    </x:row>
    <x:row r="6066" ht="18" customHeight="1">
      <x:c r="A6066" t="str">
        <x:v>CA-2015-134201</x:v>
      </x:c>
      <x:c r="B6066" s="18" t="n">
        <x:v>42104</x:v>
      </x:c>
      <x:c r="C6066" t="str">
        <x:v>EH-14125</x:v>
      </x:c>
      <x:c r="D6066" t="str">
        <x:v>Eugene Hildebrand</x:v>
      </x:c>
      <x:c r="E6066" t="str">
        <x:v>Home Office</x:v>
      </x:c>
      <x:c r="F6066" t="str">
        <x:v>East</x:v>
      </x:c>
      <x:c r="G6066" t="str">
        <x:v>Office Supplies</x:v>
      </x:c>
      <x:c r="H6066" t="str">
        <x:v>Art</x:v>
      </x:c>
      <x:c r="I6066" s="22" t="n">
        <x:v>14.669999999999998</x:v>
      </x:c>
      <x:c r="J6066" s="24" t="n">
        <x:v>3</x:v>
      </x:c>
      <x:c r="K6066" s="26" t="n">
        <x:v>0</x:v>
      </x:c>
      <x:c r="L6066" s="22" t="n">
        <x:v>6.0147</x:v>
      </x:c>
      <x:c r="M6066" t="n">
        <x:v>2015</x:v>
      </x:c>
      <x:c r="N6066" s="20" t="n">
        <x:v>42095</x:v>
      </x:c>
    </x:row>
    <x:row r="6067" ht="18" customHeight="1">
      <x:c r="A6067" t="str">
        <x:v>CA-2015-111780</x:v>
      </x:c>
      <x:c r="B6067" s="18" t="n">
        <x:v>42363</x:v>
      </x:c>
      <x:c r="C6067" t="str">
        <x:v>RA-19285</x:v>
      </x:c>
      <x:c r="D6067" t="str">
        <x:v>Ralph Arnett</x:v>
      </x:c>
      <x:c r="E6067" t="str">
        <x:v>Consumer</x:v>
      </x:c>
      <x:c r="F6067" t="str">
        <x:v>West</x:v>
      </x:c>
      <x:c r="G6067" t="str">
        <x:v>Technology</x:v>
      </x:c>
      <x:c r="H6067" t="str">
        <x:v>Copiers</x:v>
      </x:c>
      <x:c r="I6067" s="22" t="n">
        <x:v>1199.96</x:v>
      </x:c>
      <x:c r="J6067" s="24" t="n">
        <x:v>5</x:v>
      </x:c>
      <x:c r="K6067" s="26" t="n">
        <x:v>0.2</x:v>
      </x:c>
      <x:c r="L6067" s="22" t="n">
        <x:v>224.99249999999995</x:v>
      </x:c>
      <x:c r="M6067" t="n">
        <x:v>2015</x:v>
      </x:c>
      <x:c r="N6067" s="20" t="n">
        <x:v>42339</x:v>
      </x:c>
    </x:row>
    <x:row r="6068" ht="18" customHeight="1">
      <x:c r="A6068" t="str">
        <x:v>CA-2015-111780</x:v>
      </x:c>
      <x:c r="B6068" s="18" t="n">
        <x:v>42363</x:v>
      </x:c>
      <x:c r="C6068" t="str">
        <x:v>RA-19285</x:v>
      </x:c>
      <x:c r="D6068" t="str">
        <x:v>Ralph Arnett</x:v>
      </x:c>
      <x:c r="E6068" t="str">
        <x:v>Consumer</x:v>
      </x:c>
      <x:c r="F6068" t="str">
        <x:v>West</x:v>
      </x:c>
      <x:c r="G6068" t="str">
        <x:v>Office Supplies</x:v>
      </x:c>
      <x:c r="H6068" t="str">
        <x:v>Paper</x:v>
      </x:c>
      <x:c r="I6068" s="22" t="n">
        <x:v>12.600000000000001</x:v>
      </x:c>
      <x:c r="J6068" s="24" t="n">
        <x:v>3</x:v>
      </x:c>
      <x:c r="K6068" s="26" t="n">
        <x:v>0</x:v>
      </x:c>
      <x:c r="L6068" s="22" t="n">
        <x:v>6.1739999999999995</x:v>
      </x:c>
      <x:c r="M6068" t="n">
        <x:v>2015</x:v>
      </x:c>
      <x:c r="N6068" s="20" t="n">
        <x:v>42339</x:v>
      </x:c>
    </x:row>
    <x:row r="6069" ht="18" customHeight="1">
      <x:c r="A6069" t="str">
        <x:v>CA-2015-111780</x:v>
      </x:c>
      <x:c r="B6069" s="18" t="n">
        <x:v>42363</x:v>
      </x:c>
      <x:c r="C6069" t="str">
        <x:v>RA-19285</x:v>
      </x:c>
      <x:c r="D6069" t="str">
        <x:v>Ralph Arnett</x:v>
      </x:c>
      <x:c r="E6069" t="str">
        <x:v>Consumer</x:v>
      </x:c>
      <x:c r="F6069" t="str">
        <x:v>West</x:v>
      </x:c>
      <x:c r="G6069" t="str">
        <x:v>Office Supplies</x:v>
      </x:c>
      <x:c r="H6069" t="str">
        <x:v>Paper</x:v>
      </x:c>
      <x:c r="I6069" s="22" t="n">
        <x:v>17.94</x:v>
      </x:c>
      <x:c r="J6069" s="24" t="n">
        <x:v>3</x:v>
      </x:c>
      <x:c r="K6069" s="26" t="n">
        <x:v>0</x:v>
      </x:c>
      <x:c r="L6069" s="22" t="n">
        <x:v>8.073</x:v>
      </x:c>
      <x:c r="M6069" t="n">
        <x:v>2015</x:v>
      </x:c>
      <x:c r="N6069" s="20" t="n">
        <x:v>42339</x:v>
      </x:c>
    </x:row>
    <x:row r="6070" ht="18" customHeight="1">
      <x:c r="A6070" t="str">
        <x:v>CA-2015-119942</x:v>
      </x:c>
      <x:c r="B6070" s="18" t="n">
        <x:v>42099</x:v>
      </x:c>
      <x:c r="C6070" t="str">
        <x:v>TT-21070</x:v>
      </x:c>
      <x:c r="D6070" t="str">
        <x:v>Ted Trevino</x:v>
      </x:c>
      <x:c r="E6070" t="str">
        <x:v>Consumer</x:v>
      </x:c>
      <x:c r="F6070" t="str">
        <x:v>East</x:v>
      </x:c>
      <x:c r="G6070" t="str">
        <x:v>Office Supplies</x:v>
      </x:c>
      <x:c r="H6070" t="str">
        <x:v>Labels</x:v>
      </x:c>
      <x:c r="I6070" s="22" t="n">
        <x:v>23.904000000000003</x:v>
      </x:c>
      <x:c r="J6070" s="24" t="n">
        <x:v>6</x:v>
      </x:c>
      <x:c r="K6070" s="26" t="n">
        <x:v>0.2</x:v>
      </x:c>
      <x:c r="L6070" s="22" t="n">
        <x:v>7.768799999999999</x:v>
      </x:c>
      <x:c r="M6070" t="n">
        <x:v>2015</x:v>
      </x:c>
      <x:c r="N6070" s="20" t="n">
        <x:v>42095</x:v>
      </x:c>
    </x:row>
    <x:row r="6071" ht="18" customHeight="1">
      <x:c r="A6071" t="str">
        <x:v>CA-2015-151547</x:v>
      </x:c>
      <x:c r="B6071" s="18" t="n">
        <x:v>42021</x:v>
      </x:c>
      <x:c r="C6071" t="str">
        <x:v>AH-10465</x:v>
      </x:c>
      <x:c r="D6071" t="str">
        <x:v>Amy Hunt</x:v>
      </x:c>
      <x:c r="E6071" t="str">
        <x:v>Consumer</x:v>
      </x:c>
      <x:c r="F6071" t="str">
        <x:v>South</x:v>
      </x:c>
      <x:c r="G6071" t="str">
        <x:v>Office Supplies</x:v>
      </x:c>
      <x:c r="H6071" t="str">
        <x:v>Supplies</x:v>
      </x:c>
      <x:c r="I6071" s="22" t="n">
        <x:v>88.96000000000001</x:v>
      </x:c>
      <x:c r="J6071" s="24" t="n">
        <x:v>8</x:v>
      </x:c>
      <x:c r="K6071" s="26" t="n">
        <x:v>0.2</x:v>
      </x:c>
      <x:c r="L6071" s="22" t="n">
        <x:v>10.007999999999988</x:v>
      </x:c>
      <x:c r="M6071" t="n">
        <x:v>2015</x:v>
      </x:c>
      <x:c r="N6071" s="20" t="n">
        <x:v>42005</x:v>
      </x:c>
    </x:row>
    <x:row r="6072" ht="18" customHeight="1">
      <x:c r="A6072" t="str">
        <x:v>CA-2017-166695</x:v>
      </x:c>
      <x:c r="B6072" s="18" t="n">
        <x:v>42875</x:v>
      </x:c>
      <x:c r="C6072" t="str">
        <x:v>CC-12430</x:v>
      </x:c>
      <x:c r="D6072" t="str">
        <x:v>Chuck Clark</x:v>
      </x:c>
      <x:c r="E6072" t="str">
        <x:v>Home Office</x:v>
      </x:c>
      <x:c r="F6072" t="str">
        <x:v>West</x:v>
      </x:c>
      <x:c r="G6072" t="str">
        <x:v>Furniture</x:v>
      </x:c>
      <x:c r="H6072" t="str">
        <x:v>Chairs</x:v>
      </x:c>
      <x:c r="I6072" s="22" t="n">
        <x:v>518.272</x:v>
      </x:c>
      <x:c r="J6072" s="24" t="n">
        <x:v>8</x:v>
      </x:c>
      <x:c r="K6072" s="26" t="n">
        <x:v>0.2</x:v>
      </x:c>
      <x:c r="L6072" s="22" t="n">
        <x:v>-97.17600000000007</x:v>
      </x:c>
      <x:c r="M6072" t="n">
        <x:v>2017</x:v>
      </x:c>
      <x:c r="N6072" s="20" t="n">
        <x:v>42856</x:v>
      </x:c>
    </x:row>
    <x:row r="6073" ht="18" customHeight="1">
      <x:c r="A6073" t="str">
        <x:v>CA-2017-166695</x:v>
      </x:c>
      <x:c r="B6073" s="18" t="n">
        <x:v>42875</x:v>
      </x:c>
      <x:c r="C6073" t="str">
        <x:v>CC-12430</x:v>
      </x:c>
      <x:c r="D6073" t="str">
        <x:v>Chuck Clark</x:v>
      </x:c>
      <x:c r="E6073" t="str">
        <x:v>Home Office</x:v>
      </x:c>
      <x:c r="F6073" t="str">
        <x:v>West</x:v>
      </x:c>
      <x:c r="G6073" t="str">
        <x:v>Furniture</x:v>
      </x:c>
      <x:c r="H6073" t="str">
        <x:v>Furnishings</x:v>
      </x:c>
      <x:c r="I6073" s="22" t="n">
        <x:v>6.98</x:v>
      </x:c>
      <x:c r="J6073" s="24" t="n">
        <x:v>1</x:v>
      </x:c>
      <x:c r="K6073" s="26" t="n">
        <x:v>0</x:v>
      </x:c>
      <x:c r="L6073" s="22" t="n">
        <x:v>3.3504</x:v>
      </x:c>
      <x:c r="M6073" t="n">
        <x:v>2017</x:v>
      </x:c>
      <x:c r="N6073" s="20" t="n">
        <x:v>42856</x:v>
      </x:c>
    </x:row>
    <x:row r="6074" ht="18" customHeight="1">
      <x:c r="A6074" t="str">
        <x:v>CA-2017-166695</x:v>
      </x:c>
      <x:c r="B6074" s="18" t="n">
        <x:v>42875</x:v>
      </x:c>
      <x:c r="C6074" t="str">
        <x:v>CC-12430</x:v>
      </x:c>
      <x:c r="D6074" t="str">
        <x:v>Chuck Clark</x:v>
      </x:c>
      <x:c r="E6074" t="str">
        <x:v>Home Office</x:v>
      </x:c>
      <x:c r="F6074" t="str">
        <x:v>West</x:v>
      </x:c>
      <x:c r="G6074" t="str">
        <x:v>Technology</x:v>
      </x:c>
      <x:c r="H6074" t="str">
        <x:v>Machines</x:v>
      </x:c>
      <x:c r="I6074" s="22" t="n">
        <x:v>343.20000000000005</x:v>
      </x:c>
      <x:c r="J6074" s="24" t="n">
        <x:v>1</x:v>
      </x:c>
      <x:c r="K6074" s="26" t="n">
        <x:v>0.2</x:v>
      </x:c>
      <x:c r="L6074" s="22" t="n">
        <x:v>38.60999999999996</x:v>
      </x:c>
      <x:c r="M6074" t="n">
        <x:v>2017</x:v>
      </x:c>
      <x:c r="N6074" s="20" t="n">
        <x:v>42856</x:v>
      </x:c>
    </x:row>
    <x:row r="6075" ht="18" customHeight="1">
      <x:c r="A6075" t="str">
        <x:v>CA-2017-167542</x:v>
      </x:c>
      <x:c r="B6075" s="18" t="n">
        <x:v>42960</x:v>
      </x:c>
      <x:c r="C6075" t="str">
        <x:v>KD-16495</x:v>
      </x:c>
      <x:c r="D6075" t="str">
        <x:v>Keith Dawkins</x:v>
      </x:c>
      <x:c r="E6075" t="str">
        <x:v>Corporate</x:v>
      </x:c>
      <x:c r="F6075" t="str">
        <x:v>East</x:v>
      </x:c>
      <x:c r="G6075" t="str">
        <x:v>Office Supplies</x:v>
      </x:c>
      <x:c r="H6075" t="str">
        <x:v>Labels</x:v>
      </x:c>
      <x:c r="I6075" s="22" t="n">
        <x:v>17.544</x:v>
      </x:c>
      <x:c r="J6075" s="24" t="n">
        <x:v>3</x:v>
      </x:c>
      <x:c r="K6075" s="26" t="n">
        <x:v>0.2</x:v>
      </x:c>
      <x:c r="L6075" s="22" t="n">
        <x:v>5.921099999999998</x:v>
      </x:c>
      <x:c r="M6075" t="n">
        <x:v>2017</x:v>
      </x:c>
      <x:c r="N6075" s="20" t="n">
        <x:v>42948</x:v>
      </x:c>
    </x:row>
    <x:row r="6076" ht="18" customHeight="1">
      <x:c r="A6076" t="str">
        <x:v>CA-2015-120901</x:v>
      </x:c>
      <x:c r="B6076" s="18" t="n">
        <x:v>42369</x:v>
      </x:c>
      <x:c r="C6076" t="str">
        <x:v>BG-11035</x:v>
      </x:c>
      <x:c r="D6076" t="str">
        <x:v>Barry Gonzalez</x:v>
      </x:c>
      <x:c r="E6076" t="str">
        <x:v>Consumer</x:v>
      </x:c>
      <x:c r="F6076" t="str">
        <x:v>Central</x:v>
      </x:c>
      <x:c r="G6076" t="str">
        <x:v>Office Supplies</x:v>
      </x:c>
      <x:c r="H6076" t="str">
        <x:v>Storage</x:v>
      </x:c>
      <x:c r="I6076" s="22" t="n">
        <x:v>152.68800000000002</x:v>
      </x:c>
      <x:c r="J6076" s="24" t="n">
        <x:v>2</x:v>
      </x:c>
      <x:c r="K6076" s="26" t="n">
        <x:v>0.2</x:v>
      </x:c>
      <x:c r="L6076" s="22" t="n">
        <x:v>-26.72040000000002</x:v>
      </x:c>
      <x:c r="M6076" t="n">
        <x:v>2015</x:v>
      </x:c>
      <x:c r="N6076" s="20" t="n">
        <x:v>42339</x:v>
      </x:c>
    </x:row>
    <x:row r="6077" ht="18" customHeight="1">
      <x:c r="A6077" t="str">
        <x:v>CA-2015-120901</x:v>
      </x:c>
      <x:c r="B6077" s="18" t="n">
        <x:v>42369</x:v>
      </x:c>
      <x:c r="C6077" t="str">
        <x:v>BG-11035</x:v>
      </x:c>
      <x:c r="D6077" t="str">
        <x:v>Barry Gonzalez</x:v>
      </x:c>
      <x:c r="E6077" t="str">
        <x:v>Consumer</x:v>
      </x:c>
      <x:c r="F6077" t="str">
        <x:v>Central</x:v>
      </x:c>
      <x:c r="G6077" t="str">
        <x:v>Office Supplies</x:v>
      </x:c>
      <x:c r="H6077" t="str">
        <x:v>Fasteners</x:v>
      </x:c>
      <x:c r="I6077" s="22" t="n">
        <x:v>3.4880000000000004</x:v>
      </x:c>
      <x:c r="J6077" s="24" t="n">
        <x:v>2</x:v>
      </x:c>
      <x:c r="K6077" s="26" t="n">
        <x:v>0.2</x:v>
      </x:c>
      <x:c r="L6077" s="22" t="n">
        <x:v>0.5668</x:v>
      </x:c>
      <x:c r="M6077" t="n">
        <x:v>2015</x:v>
      </x:c>
      <x:c r="N6077" s="20" t="n">
        <x:v>42339</x:v>
      </x:c>
    </x:row>
    <x:row r="6078" ht="18" customHeight="1">
      <x:c r="A6078" t="str">
        <x:v>CA-2015-120901</x:v>
      </x:c>
      <x:c r="B6078" s="18" t="n">
        <x:v>42369</x:v>
      </x:c>
      <x:c r="C6078" t="str">
        <x:v>BG-11035</x:v>
      </x:c>
      <x:c r="D6078" t="str">
        <x:v>Barry Gonzalez</x:v>
      </x:c>
      <x:c r="E6078" t="str">
        <x:v>Consumer</x:v>
      </x:c>
      <x:c r="F6078" t="str">
        <x:v>Central</x:v>
      </x:c>
      <x:c r="G6078" t="str">
        <x:v>Office Supplies</x:v>
      </x:c>
      <x:c r="H6078" t="str">
        <x:v>Supplies</x:v>
      </x:c>
      <x:c r="I6078" s="22" t="n">
        <x:v>5.888000000000001</x:v>
      </x:c>
      <x:c r="J6078" s="24" t="n">
        <x:v>2</x:v>
      </x:c>
      <x:c r="K6078" s="26" t="n">
        <x:v>0.2</x:v>
      </x:c>
      <x:c r="L6078" s="22" t="n">
        <x:v>-1.3248000000000004</x:v>
      </x:c>
      <x:c r="M6078" t="n">
        <x:v>2015</x:v>
      </x:c>
      <x:c r="N6078" s="20" t="n">
        <x:v>42339</x:v>
      </x:c>
    </x:row>
    <x:row r="6079" ht="18" customHeight="1">
      <x:c r="A6079" t="str">
        <x:v>CA-2017-121398</x:v>
      </x:c>
      <x:c r="B6079" s="18" t="n">
        <x:v>43094</x:v>
      </x:c>
      <x:c r="C6079" t="str">
        <x:v>FH-14365</x:v>
      </x:c>
      <x:c r="D6079" t="str">
        <x:v>Fred Hopkins</x:v>
      </x:c>
      <x:c r="E6079" t="str">
        <x:v>Corporate</x:v>
      </x:c>
      <x:c r="F6079" t="str">
        <x:v>West</x:v>
      </x:c>
      <x:c r="G6079" t="str">
        <x:v>Office Supplies</x:v>
      </x:c>
      <x:c r="H6079" t="str">
        <x:v>Binders</x:v>
      </x:c>
      <x:c r="I6079" s="22" t="n">
        <x:v>153.552</x:v>
      </x:c>
      <x:c r="J6079" s="24" t="n">
        <x:v>3</x:v>
      </x:c>
      <x:c r="K6079" s="26" t="n">
        <x:v>0.2</x:v>
      </x:c>
      <x:c r="L6079" s="22" t="n">
        <x:v>51.8238</x:v>
      </x:c>
      <x:c r="M6079" t="n">
        <x:v>2017</x:v>
      </x:c>
      <x:c r="N6079" s="20" t="n">
        <x:v>43070</x:v>
      </x:c>
    </x:row>
    <x:row r="6080" ht="18" customHeight="1">
      <x:c r="A6080" t="str">
        <x:v>CA-2017-121398</x:v>
      </x:c>
      <x:c r="B6080" s="18" t="n">
        <x:v>43094</x:v>
      </x:c>
      <x:c r="C6080" t="str">
        <x:v>FH-14365</x:v>
      </x:c>
      <x:c r="D6080" t="str">
        <x:v>Fred Hopkins</x:v>
      </x:c>
      <x:c r="E6080" t="str">
        <x:v>Corporate</x:v>
      </x:c>
      <x:c r="F6080" t="str">
        <x:v>West</x:v>
      </x:c>
      <x:c r="G6080" t="str">
        <x:v>Office Supplies</x:v>
      </x:c>
      <x:c r="H6080" t="str">
        <x:v>Storage</x:v>
      </x:c>
      <x:c r="I6080" s="22" t="n">
        <x:v>270.62</x:v>
      </x:c>
      <x:c r="J6080" s="24" t="n">
        <x:v>2</x:v>
      </x:c>
      <x:c r="K6080" s="26" t="n">
        <x:v>0</x:v>
      </x:c>
      <x:c r="L6080" s="22" t="n">
        <x:v>2.706200000000024</x:v>
      </x:c>
      <x:c r="M6080" t="n">
        <x:v>2017</x:v>
      </x:c>
      <x:c r="N6080" s="20" t="n">
        <x:v>43070</x:v>
      </x:c>
    </x:row>
    <x:row r="6081" ht="18" customHeight="1">
      <x:c r="A6081" t="str">
        <x:v>CA-2016-151561</x:v>
      </x:c>
      <x:c r="B6081" s="18" t="n">
        <x:v>42614</x:v>
      </x:c>
      <x:c r="C6081" t="str">
        <x:v>PG-18820</x:v>
      </x:c>
      <x:c r="D6081" t="str">
        <x:v>Patrick Gardner</x:v>
      </x:c>
      <x:c r="E6081" t="str">
        <x:v>Consumer</x:v>
      </x:c>
      <x:c r="F6081" t="str">
        <x:v>East</x:v>
      </x:c>
      <x:c r="G6081" t="str">
        <x:v>Technology</x:v>
      </x:c>
      <x:c r="H6081" t="str">
        <x:v>Accessories</x:v>
      </x:c>
      <x:c r="I6081" s="22" t="n">
        <x:v>468.90000000000003</x:v>
      </x:c>
      <x:c r="J6081" s="24" t="n">
        <x:v>6</x:v>
      </x:c>
      <x:c r="K6081" s="26" t="n">
        <x:v>0</x:v>
      </x:c>
      <x:c r="L6081" s="22" t="n">
        <x:v>206.31600000000006</x:v>
      </x:c>
      <x:c r="M6081" t="n">
        <x:v>2016</x:v>
      </x:c>
      <x:c r="N6081" s="20" t="n">
        <x:v>42614</x:v>
      </x:c>
    </x:row>
    <x:row r="6082" ht="18" customHeight="1">
      <x:c r="A6082" t="str">
        <x:v>CA-2016-151561</x:v>
      </x:c>
      <x:c r="B6082" s="18" t="n">
        <x:v>42614</x:v>
      </x:c>
      <x:c r="C6082" t="str">
        <x:v>PG-18820</x:v>
      </x:c>
      <x:c r="D6082" t="str">
        <x:v>Patrick Gardner</x:v>
      </x:c>
      <x:c r="E6082" t="str">
        <x:v>Consumer</x:v>
      </x:c>
      <x:c r="F6082" t="str">
        <x:v>East</x:v>
      </x:c>
      <x:c r="G6082" t="str">
        <x:v>Technology</x:v>
      </x:c>
      <x:c r="H6082" t="str">
        <x:v>Accessories</x:v>
      </x:c>
      <x:c r="I6082" s="22" t="n">
        <x:v>72.48</x:v>
      </x:c>
      <x:c r="J6082" s="24" t="n">
        <x:v>2</x:v>
      </x:c>
      <x:c r="K6082" s="26" t="n">
        <x:v>0</x:v>
      </x:c>
      <x:c r="L6082" s="22" t="n">
        <x:v>30.4416</x:v>
      </x:c>
      <x:c r="M6082" t="n">
        <x:v>2016</x:v>
      </x:c>
      <x:c r="N6082" s="20" t="n">
        <x:v>42614</x:v>
      </x:c>
    </x:row>
    <x:row r="6083" ht="18" customHeight="1">
      <x:c r="A6083" t="str">
        <x:v>CA-2016-151561</x:v>
      </x:c>
      <x:c r="B6083" s="18" t="n">
        <x:v>42614</x:v>
      </x:c>
      <x:c r="C6083" t="str">
        <x:v>PG-18820</x:v>
      </x:c>
      <x:c r="D6083" t="str">
        <x:v>Patrick Gardner</x:v>
      </x:c>
      <x:c r="E6083" t="str">
        <x:v>Consumer</x:v>
      </x:c>
      <x:c r="F6083" t="str">
        <x:v>East</x:v>
      </x:c>
      <x:c r="G6083" t="str">
        <x:v>Office Supplies</x:v>
      </x:c>
      <x:c r="H6083" t="str">
        <x:v>Supplies</x:v>
      </x:c>
      <x:c r="I6083" s="22" t="n">
        <x:v>10.95</x:v>
      </x:c>
      <x:c r="J6083" s="24" t="n">
        <x:v>3</x:v>
      </x:c>
      <x:c r="K6083" s="26" t="n">
        <x:v>0</x:v>
      </x:c>
      <x:c r="L6083" s="22" t="n">
        <x:v>3.2849999999999993</x:v>
      </x:c>
      <x:c r="M6083" t="n">
        <x:v>2016</x:v>
      </x:c>
      <x:c r="N6083" s="20" t="n">
        <x:v>42614</x:v>
      </x:c>
    </x:row>
    <x:row r="6084" ht="18" customHeight="1">
      <x:c r="A6084" t="str">
        <x:v>CA-2016-151561</x:v>
      </x:c>
      <x:c r="B6084" s="18" t="n">
        <x:v>42614</x:v>
      </x:c>
      <x:c r="C6084" t="str">
        <x:v>PG-18820</x:v>
      </x:c>
      <x:c r="D6084" t="str">
        <x:v>Patrick Gardner</x:v>
      </x:c>
      <x:c r="E6084" t="str">
        <x:v>Consumer</x:v>
      </x:c>
      <x:c r="F6084" t="str">
        <x:v>East</x:v>
      </x:c>
      <x:c r="G6084" t="str">
        <x:v>Furniture</x:v>
      </x:c>
      <x:c r="H6084" t="str">
        <x:v>Furnishings</x:v>
      </x:c>
      <x:c r="I6084" s="22" t="n">
        <x:v>191.82</x:v>
      </x:c>
      <x:c r="J6084" s="24" t="n">
        <x:v>3</x:v>
      </x:c>
      <x:c r="K6084" s="26" t="n">
        <x:v>0</x:v>
      </x:c>
      <x:c r="L6084" s="22" t="n">
        <x:v>61.3824</x:v>
      </x:c>
      <x:c r="M6084" t="n">
        <x:v>2016</x:v>
      </x:c>
      <x:c r="N6084" s="20" t="n">
        <x:v>42614</x:v>
      </x:c>
    </x:row>
    <x:row r="6085" ht="18" customHeight="1">
      <x:c r="A6085" t="str">
        <x:v>CA-2017-154676</x:v>
      </x:c>
      <x:c r="B6085" s="18" t="n">
        <x:v>42952</x:v>
      </x:c>
      <x:c r="C6085" t="str">
        <x:v>NZ-18565</x:v>
      </x:c>
      <x:c r="D6085" t="str">
        <x:v>Nick Zandusky</x:v>
      </x:c>
      <x:c r="E6085" t="str">
        <x:v>Home Office</x:v>
      </x:c>
      <x:c r="F6085" t="str">
        <x:v>Central</x:v>
      </x:c>
      <x:c r="G6085" t="str">
        <x:v>Office Supplies</x:v>
      </x:c>
      <x:c r="H6085" t="str">
        <x:v>Storage</x:v>
      </x:c>
      <x:c r="I6085" s="22" t="n">
        <x:v>151.056</x:v>
      </x:c>
      <x:c r="J6085" s="24" t="n">
        <x:v>9</x:v>
      </x:c>
      <x:c r="K6085" s="26" t="n">
        <x:v>0.2</x:v>
      </x:c>
      <x:c r="L6085" s="22" t="n">
        <x:v>7.552799999999998</x:v>
      </x:c>
      <x:c r="M6085" t="n">
        <x:v>2017</x:v>
      </x:c>
      <x:c r="N6085" s="20" t="n">
        <x:v>42948</x:v>
      </x:c>
    </x:row>
    <x:row r="6086" ht="18" customHeight="1">
      <x:c r="A6086" t="str">
        <x:v>US-2014-165589</x:v>
      </x:c>
      <x:c r="B6086" s="18" t="n">
        <x:v>41688</x:v>
      </x:c>
      <x:c r="C6086" t="str">
        <x:v>TB-21595</x:v>
      </x:c>
      <x:c r="D6086" t="str">
        <x:v>Troy Blackwell</x:v>
      </x:c>
      <x:c r="E6086" t="str">
        <x:v>Consumer</x:v>
      </x:c>
      <x:c r="F6086" t="str">
        <x:v>Central</x:v>
      </x:c>
      <x:c r="G6086" t="str">
        <x:v>Furniture</x:v>
      </x:c>
      <x:c r="H6086" t="str">
        <x:v>Furnishings</x:v>
      </x:c>
      <x:c r="I6086" s="22" t="n">
        <x:v>25.16</x:v>
      </x:c>
      <x:c r="J6086" s="24" t="n">
        <x:v>5</x:v>
      </x:c>
      <x:c r="K6086" s="26" t="n">
        <x:v>0.6</x:v>
      </x:c>
      <x:c r="L6086" s="22" t="n">
        <x:v>-11.322</x:v>
      </x:c>
      <x:c r="M6086" t="n">
        <x:v>2014</x:v>
      </x:c>
      <x:c r="N6086" s="20" t="n">
        <x:v>41671</x:v>
      </x:c>
    </x:row>
    <x:row r="6087" ht="18" customHeight="1">
      <x:c r="A6087" t="str">
        <x:v>US-2016-132577</x:v>
      </x:c>
      <x:c r="B6087" s="18" t="n">
        <x:v>42696</x:v>
      </x:c>
      <x:c r="C6087" t="str">
        <x:v>JE-15475</x:v>
      </x:c>
      <x:c r="D6087" t="str">
        <x:v>Jeremy Ellison</x:v>
      </x:c>
      <x:c r="E6087" t="str">
        <x:v>Consumer</x:v>
      </x:c>
      <x:c r="F6087" t="str">
        <x:v>Central</x:v>
      </x:c>
      <x:c r="G6087" t="str">
        <x:v>Office Supplies</x:v>
      </x:c>
      <x:c r="H6087" t="str">
        <x:v>Binders</x:v>
      </x:c>
      <x:c r="I6087" s="22" t="n">
        <x:v>6.215999999999999</x:v>
      </x:c>
      <x:c r="J6087" s="24" t="n">
        <x:v>6</x:v>
      </x:c>
      <x:c r="K6087" s="26" t="n">
        <x:v>0.8</x:v>
      </x:c>
      <x:c r="L6087" s="22" t="n">
        <x:v>-9.634800000000002</x:v>
      </x:c>
      <x:c r="M6087" t="n">
        <x:v>2016</x:v>
      </x:c>
      <x:c r="N6087" s="20" t="n">
        <x:v>42675</x:v>
      </x:c>
    </x:row>
    <x:row r="6088" ht="18" customHeight="1">
      <x:c r="A6088" t="str">
        <x:v>US-2016-132577</x:v>
      </x:c>
      <x:c r="B6088" s="18" t="n">
        <x:v>42696</x:v>
      </x:c>
      <x:c r="C6088" t="str">
        <x:v>JE-15475</x:v>
      </x:c>
      <x:c r="D6088" t="str">
        <x:v>Jeremy Ellison</x:v>
      </x:c>
      <x:c r="E6088" t="str">
        <x:v>Consumer</x:v>
      </x:c>
      <x:c r="F6088" t="str">
        <x:v>Central</x:v>
      </x:c>
      <x:c r="G6088" t="str">
        <x:v>Office Supplies</x:v>
      </x:c>
      <x:c r="H6088" t="str">
        <x:v>Art</x:v>
      </x:c>
      <x:c r="I6088" s="22" t="n">
        <x:v>23.616</x:v>
      </x:c>
      <x:c r="J6088" s="24" t="n">
        <x:v>9</x:v>
      </x:c>
      <x:c r="K6088" s="26" t="n">
        <x:v>0.2</x:v>
      </x:c>
      <x:c r="L6088" s="22" t="n">
        <x:v>2.656799999999997</x:v>
      </x:c>
      <x:c r="M6088" t="n">
        <x:v>2016</x:v>
      </x:c>
      <x:c r="N6088" s="20" t="n">
        <x:v>42675</x:v>
      </x:c>
    </x:row>
    <x:row r="6089" ht="18" customHeight="1">
      <x:c r="A6089" t="str">
        <x:v>US-2016-132577</x:v>
      </x:c>
      <x:c r="B6089" s="18" t="n">
        <x:v>42696</x:v>
      </x:c>
      <x:c r="C6089" t="str">
        <x:v>JE-15475</x:v>
      </x:c>
      <x:c r="D6089" t="str">
        <x:v>Jeremy Ellison</x:v>
      </x:c>
      <x:c r="E6089" t="str">
        <x:v>Consumer</x:v>
      </x:c>
      <x:c r="F6089" t="str">
        <x:v>Central</x:v>
      </x:c>
      <x:c r="G6089" t="str">
        <x:v>Technology</x:v>
      </x:c>
      <x:c r="H6089" t="str">
        <x:v>Accessories</x:v>
      </x:c>
      <x:c r="I6089" s="22" t="n">
        <x:v>24.032</x:v>
      </x:c>
      <x:c r="J6089" s="24" t="n">
        <x:v>2</x:v>
      </x:c>
      <x:c r="K6089" s="26" t="n">
        <x:v>0.2</x:v>
      </x:c>
      <x:c r="L6089" s="22" t="n">
        <x:v>-0.6008000000000004</x:v>
      </x:c>
      <x:c r="M6089" t="n">
        <x:v>2016</x:v>
      </x:c>
      <x:c r="N6089" s="20" t="n">
        <x:v>42675</x:v>
      </x:c>
    </x:row>
    <x:row r="6090" ht="18" customHeight="1">
      <x:c r="A6090" t="str">
        <x:v>US-2016-132577</x:v>
      </x:c>
      <x:c r="B6090" s="18" t="n">
        <x:v>42696</x:v>
      </x:c>
      <x:c r="C6090" t="str">
        <x:v>JE-15475</x:v>
      </x:c>
      <x:c r="D6090" t="str">
        <x:v>Jeremy Ellison</x:v>
      </x:c>
      <x:c r="E6090" t="str">
        <x:v>Consumer</x:v>
      </x:c>
      <x:c r="F6090" t="str">
        <x:v>Central</x:v>
      </x:c>
      <x:c r="G6090" t="str">
        <x:v>Office Supplies</x:v>
      </x:c>
      <x:c r="H6090" t="str">
        <x:v>Labels</x:v>
      </x:c>
      <x:c r="I6090" s="22" t="n">
        <x:v>2.088</x:v>
      </x:c>
      <x:c r="J6090" s="24" t="n">
        <x:v>1</x:v>
      </x:c>
      <x:c r="K6090" s="26" t="n">
        <x:v>0.2</x:v>
      </x:c>
      <x:c r="L6090" s="22" t="n">
        <x:v>0.6785999999999999</x:v>
      </x:c>
      <x:c r="M6090" t="n">
        <x:v>2016</x:v>
      </x:c>
      <x:c r="N6090" s="20" t="n">
        <x:v>42675</x:v>
      </x:c>
    </x:row>
    <x:row r="6091" ht="18" customHeight="1">
      <x:c r="A6091" t="str">
        <x:v>US-2016-132577</x:v>
      </x:c>
      <x:c r="B6091" s="18" t="n">
        <x:v>42696</x:v>
      </x:c>
      <x:c r="C6091" t="str">
        <x:v>JE-15475</x:v>
      </x:c>
      <x:c r="D6091" t="str">
        <x:v>Jeremy Ellison</x:v>
      </x:c>
      <x:c r="E6091" t="str">
        <x:v>Consumer</x:v>
      </x:c>
      <x:c r="F6091" t="str">
        <x:v>Central</x:v>
      </x:c>
      <x:c r="G6091" t="str">
        <x:v>Office Supplies</x:v>
      </x:c>
      <x:c r="H6091" t="str">
        <x:v>Binders</x:v>
      </x:c>
      <x:c r="I6091" s="22" t="n">
        <x:v>4.4879999999999995</x:v>
      </x:c>
      <x:c r="J6091" s="24" t="n">
        <x:v>6</x:v>
      </x:c>
      <x:c r="K6091" s="26" t="n">
        <x:v>0.8</x:v>
      </x:c>
      <x:c r="L6091" s="22" t="n">
        <x:v>-6.732000000000001</x:v>
      </x:c>
      <x:c r="M6091" t="n">
        <x:v>2016</x:v>
      </x:c>
      <x:c r="N6091" s="20" t="n">
        <x:v>42675</x:v>
      </x:c>
    </x:row>
    <x:row r="6092" ht="18" customHeight="1">
      <x:c r="A6092" t="str">
        <x:v>CA-2015-114048</x:v>
      </x:c>
      <x:c r="B6092" s="18" t="n">
        <x:v>42352</x:v>
      </x:c>
      <x:c r="C6092" t="str">
        <x:v>EH-13945</x:v>
      </x:c>
      <x:c r="D6092" t="str">
        <x:v>Eric Hoffmann</x:v>
      </x:c>
      <x:c r="E6092" t="str">
        <x:v>Consumer</x:v>
      </x:c>
      <x:c r="F6092" t="str">
        <x:v>West</x:v>
      </x:c>
      <x:c r="G6092" t="str">
        <x:v>Furniture</x:v>
      </x:c>
      <x:c r="H6092" t="str">
        <x:v>Furnishings</x:v>
      </x:c>
      <x:c r="I6092" s="22" t="n">
        <x:v>29.22</x:v>
      </x:c>
      <x:c r="J6092" s="24" t="n">
        <x:v>3</x:v>
      </x:c>
      <x:c r="K6092" s="26" t="n">
        <x:v>0</x:v>
      </x:c>
      <x:c r="L6092" s="22" t="n">
        <x:v>12.856800000000002</x:v>
      </x:c>
      <x:c r="M6092" t="n">
        <x:v>2015</x:v>
      </x:c>
      <x:c r="N6092" s="20" t="n">
        <x:v>42339</x:v>
      </x:c>
    </x:row>
    <x:row r="6093" ht="18" customHeight="1">
      <x:c r="A6093" t="str">
        <x:v>CA-2015-137281</x:v>
      </x:c>
      <x:c r="B6093" s="18" t="n">
        <x:v>42168</x:v>
      </x:c>
      <x:c r="C6093" t="str">
        <x:v>BF-10975</x:v>
      </x:c>
      <x:c r="D6093" t="str">
        <x:v>Barbara Fisher</x:v>
      </x:c>
      <x:c r="E6093" t="str">
        <x:v>Corporate</x:v>
      </x:c>
      <x:c r="F6093" t="str">
        <x:v>South</x:v>
      </x:c>
      <x:c r="G6093" t="str">
        <x:v>Office Supplies</x:v>
      </x:c>
      <x:c r="H6093" t="str">
        <x:v>Paper</x:v>
      </x:c>
      <x:c r="I6093" s="22" t="n">
        <x:v>6.48</x:v>
      </x:c>
      <x:c r="J6093" s="24" t="n">
        <x:v>1</x:v>
      </x:c>
      <x:c r="K6093" s="26" t="n">
        <x:v>0</x:v>
      </x:c>
      <x:c r="L6093" s="22" t="n">
        <x:v>3.1104000000000003</x:v>
      </x:c>
      <x:c r="M6093" t="n">
        <x:v>2015</x:v>
      </x:c>
      <x:c r="N6093" s="20" t="n">
        <x:v>42156</x:v>
      </x:c>
    </x:row>
    <x:row r="6094" ht="18" customHeight="1">
      <x:c r="A6094" t="str">
        <x:v>US-2017-162068</x:v>
      </x:c>
      <x:c r="B6094" s="18" t="n">
        <x:v>43097</x:v>
      </x:c>
      <x:c r="C6094" t="str">
        <x:v>PC-18745</x:v>
      </x:c>
      <x:c r="D6094" t="str">
        <x:v>Pamela Coakley</x:v>
      </x:c>
      <x:c r="E6094" t="str">
        <x:v>Corporate</x:v>
      </x:c>
      <x:c r="F6094" t="str">
        <x:v>West</x:v>
      </x:c>
      <x:c r="G6094" t="str">
        <x:v>Office Supplies</x:v>
      </x:c>
      <x:c r="H6094" t="str">
        <x:v>Binders</x:v>
      </x:c>
      <x:c r="I6094" s="22" t="n">
        <x:v>1.1880000000000002</x:v>
      </x:c>
      <x:c r="J6094" s="24" t="n">
        <x:v>2</x:v>
      </x:c>
      <x:c r="K6094" s="26" t="n">
        <x:v>0.7</x:v>
      </x:c>
      <x:c r="L6094" s="22" t="n">
        <x:v>-0.9899999999999998</x:v>
      </x:c>
      <x:c r="M6094" t="n">
        <x:v>2017</x:v>
      </x:c>
      <x:c r="N6094" s="20" t="n">
        <x:v>43070</x:v>
      </x:c>
    </x:row>
    <x:row r="6095" ht="18" customHeight="1">
      <x:c r="A6095" t="str">
        <x:v>CA-2017-100111</x:v>
      </x:c>
      <x:c r="B6095" s="18" t="n">
        <x:v>42998</x:v>
      </x:c>
      <x:c r="C6095" t="str">
        <x:v>SV-20365</x:v>
      </x:c>
      <x:c r="D6095" t="str">
        <x:v>Seth Vernon</x:v>
      </x:c>
      <x:c r="E6095" t="str">
        <x:v>Consumer</x:v>
      </x:c>
      <x:c r="F6095" t="str">
        <x:v>East</x:v>
      </x:c>
      <x:c r="G6095" t="str">
        <x:v>Furniture</x:v>
      </x:c>
      <x:c r="H6095" t="str">
        <x:v>Chairs</x:v>
      </x:c>
      <x:c r="I6095" s="22" t="n">
        <x:v>272.646</x:v>
      </x:c>
      <x:c r="J6095" s="24" t="n">
        <x:v>3</x:v>
      </x:c>
      <x:c r="K6095" s="26" t="n">
        <x:v>0.1</x:v>
      </x:c>
      <x:c r="L6095" s="22" t="n">
        <x:v>18.176400000000008</x:v>
      </x:c>
      <x:c r="M6095" t="n">
        <x:v>2017</x:v>
      </x:c>
      <x:c r="N6095" s="20" t="n">
        <x:v>42979</x:v>
      </x:c>
    </x:row>
    <x:row r="6096" ht="18" customHeight="1">
      <x:c r="A6096" t="str">
        <x:v>CA-2017-100111</x:v>
      </x:c>
      <x:c r="B6096" s="18" t="n">
        <x:v>42998</x:v>
      </x:c>
      <x:c r="C6096" t="str">
        <x:v>SV-20365</x:v>
      </x:c>
      <x:c r="D6096" t="str">
        <x:v>Seth Vernon</x:v>
      </x:c>
      <x:c r="E6096" t="str">
        <x:v>Consumer</x:v>
      </x:c>
      <x:c r="F6096" t="str">
        <x:v>East</x:v>
      </x:c>
      <x:c r="G6096" t="str">
        <x:v>Technology</x:v>
      </x:c>
      <x:c r="H6096" t="str">
        <x:v>Accessories</x:v>
      </x:c>
      <x:c r="I6096" s="22" t="n">
        <x:v>212.8</x:v>
      </x:c>
      <x:c r="J6096" s="24" t="n">
        <x:v>2</x:v>
      </x:c>
      <x:c r="K6096" s="26" t="n">
        <x:v>0</x:v>
      </x:c>
      <x:c r="L6096" s="22" t="n">
        <x:v>95.75999999999999</x:v>
      </x:c>
      <x:c r="M6096" t="n">
        <x:v>2017</x:v>
      </x:c>
      <x:c r="N6096" s="20" t="n">
        <x:v>42979</x:v>
      </x:c>
    </x:row>
    <x:row r="6097" ht="18" customHeight="1">
      <x:c r="A6097" t="str">
        <x:v>CA-2017-100111</x:v>
      </x:c>
      <x:c r="B6097" s="18" t="n">
        <x:v>42998</x:v>
      </x:c>
      <x:c r="C6097" t="str">
        <x:v>SV-20365</x:v>
      </x:c>
      <x:c r="D6097" t="str">
        <x:v>Seth Vernon</x:v>
      </x:c>
      <x:c r="E6097" t="str">
        <x:v>Consumer</x:v>
      </x:c>
      <x:c r="F6097" t="str">
        <x:v>East</x:v>
      </x:c>
      <x:c r="G6097" t="str">
        <x:v>Office Supplies</x:v>
      </x:c>
      <x:c r="H6097" t="str">
        <x:v>Paper</x:v>
      </x:c>
      <x:c r="I6097" s="22" t="n">
        <x:v>38.52</x:v>
      </x:c>
      <x:c r="J6097" s="24" t="n">
        <x:v>9</x:v>
      </x:c>
      <x:c r="K6097" s="26" t="n">
        <x:v>0</x:v>
      </x:c>
      <x:c r="L6097" s="22" t="n">
        <x:v>18.104400000000002</x:v>
      </x:c>
      <x:c r="M6097" t="n">
        <x:v>2017</x:v>
      </x:c>
      <x:c r="N6097" s="20" t="n">
        <x:v>42979</x:v>
      </x:c>
    </x:row>
    <x:row r="6098" ht="18" customHeight="1">
      <x:c r="A6098" t="str">
        <x:v>CA-2017-100111</x:v>
      </x:c>
      <x:c r="B6098" s="18" t="n">
        <x:v>42998</x:v>
      </x:c>
      <x:c r="C6098" t="str">
        <x:v>SV-20365</x:v>
      </x:c>
      <x:c r="D6098" t="str">
        <x:v>Seth Vernon</x:v>
      </x:c>
      <x:c r="E6098" t="str">
        <x:v>Consumer</x:v>
      </x:c>
      <x:c r="F6098" t="str">
        <x:v>East</x:v>
      </x:c>
      <x:c r="G6098" t="str">
        <x:v>Technology</x:v>
      </x:c>
      <x:c r="H6098" t="str">
        <x:v>Accessories</x:v>
      </x:c>
      <x:c r="I6098" s="22" t="n">
        <x:v>72.64</x:v>
      </x:c>
      <x:c r="J6098" s="24" t="n">
        <x:v>2</x:v>
      </x:c>
      <x:c r="K6098" s="26" t="n">
        <x:v>0</x:v>
      </x:c>
      <x:c r="L6098" s="22" t="n">
        <x:v>21.791999999999994</x:v>
      </x:c>
      <x:c r="M6098" t="n">
        <x:v>2017</x:v>
      </x:c>
      <x:c r="N6098" s="20" t="n">
        <x:v>42979</x:v>
      </x:c>
    </x:row>
    <x:row r="6099" ht="18" customHeight="1">
      <x:c r="A6099" t="str">
        <x:v>CA-2017-100111</x:v>
      </x:c>
      <x:c r="B6099" s="18" t="n">
        <x:v>42998</x:v>
      </x:c>
      <x:c r="C6099" t="str">
        <x:v>SV-20365</x:v>
      </x:c>
      <x:c r="D6099" t="str">
        <x:v>Seth Vernon</x:v>
      </x:c>
      <x:c r="E6099" t="str">
        <x:v>Consumer</x:v>
      </x:c>
      <x:c r="F6099" t="str">
        <x:v>East</x:v>
      </x:c>
      <x:c r="G6099" t="str">
        <x:v>Office Supplies</x:v>
      </x:c>
      <x:c r="H6099" t="str">
        <x:v>Storage</x:v>
      </x:c>
      <x:c r="I6099" s="22" t="n">
        <x:v>45.4</x:v>
      </x:c>
      <x:c r="J6099" s="24" t="n">
        <x:v>4</x:v>
      </x:c>
      <x:c r="K6099" s="26" t="n">
        <x:v>0</x:v>
      </x:c>
      <x:c r="L6099" s="22" t="n">
        <x:v>12.712000000000003</x:v>
      </x:c>
      <x:c r="M6099" t="n">
        <x:v>2017</x:v>
      </x:c>
      <x:c r="N6099" s="20" t="n">
        <x:v>42979</x:v>
      </x:c>
    </x:row>
    <x:row r="6100" ht="18" customHeight="1">
      <x:c r="A6100" t="str">
        <x:v>CA-2017-100111</x:v>
      </x:c>
      <x:c r="B6100" s="18" t="n">
        <x:v>42998</x:v>
      </x:c>
      <x:c r="C6100" t="str">
        <x:v>SV-20365</x:v>
      </x:c>
      <x:c r="D6100" t="str">
        <x:v>Seth Vernon</x:v>
      </x:c>
      <x:c r="E6100" t="str">
        <x:v>Consumer</x:v>
      </x:c>
      <x:c r="F6100" t="str">
        <x:v>East</x:v>
      </x:c>
      <x:c r="G6100" t="str">
        <x:v>Office Supplies</x:v>
      </x:c>
      <x:c r="H6100" t="str">
        <x:v>Paper</x:v>
      </x:c>
      <x:c r="I6100" s="22" t="n">
        <x:v>13.76</x:v>
      </x:c>
      <x:c r="J6100" s="24" t="n">
        <x:v>2</x:v>
      </x:c>
      <x:c r="K6100" s="26" t="n">
        <x:v>0</x:v>
      </x:c>
      <x:c r="L6100" s="22" t="n">
        <x:v>6.329599999999999</x:v>
      </x:c>
      <x:c r="M6100" t="n">
        <x:v>2017</x:v>
      </x:c>
      <x:c r="N6100" s="20" t="n">
        <x:v>42979</x:v>
      </x:c>
    </x:row>
    <x:row r="6101" ht="18" customHeight="1">
      <x:c r="A6101" t="str">
        <x:v>CA-2017-100111</x:v>
      </x:c>
      <x:c r="B6101" s="18" t="n">
        <x:v>42998</x:v>
      </x:c>
      <x:c r="C6101" t="str">
        <x:v>SV-20365</x:v>
      </x:c>
      <x:c r="D6101" t="str">
        <x:v>Seth Vernon</x:v>
      </x:c>
      <x:c r="E6101" t="str">
        <x:v>Consumer</x:v>
      </x:c>
      <x:c r="F6101" t="str">
        <x:v>East</x:v>
      </x:c>
      <x:c r="G6101" t="str">
        <x:v>Furniture</x:v>
      </x:c>
      <x:c r="H6101" t="str">
        <x:v>Chairs</x:v>
      </x:c>
      <x:c r="I6101" s="22" t="n">
        <x:v>80.991</x:v>
      </x:c>
      <x:c r="J6101" s="24" t="n">
        <x:v>1</x:v>
      </x:c>
      <x:c r="K6101" s="26" t="n">
        <x:v>0.1</x:v>
      </x:c>
      <x:c r="L6101" s="22" t="n">
        <x:v>8.099099999999988</x:v>
      </x:c>
      <x:c r="M6101" t="n">
        <x:v>2017</x:v>
      </x:c>
      <x:c r="N6101" s="20" t="n">
        <x:v>42979</x:v>
      </x:c>
    </x:row>
    <x:row r="6102" ht="18" customHeight="1">
      <x:c r="A6102" t="str">
        <x:v>CA-2017-100111</x:v>
      </x:c>
      <x:c r="B6102" s="18" t="n">
        <x:v>42998</x:v>
      </x:c>
      <x:c r="C6102" t="str">
        <x:v>SV-20365</x:v>
      </x:c>
      <x:c r="D6102" t="str">
        <x:v>Seth Vernon</x:v>
      </x:c>
      <x:c r="E6102" t="str">
        <x:v>Consumer</x:v>
      </x:c>
      <x:c r="F6102" t="str">
        <x:v>East</x:v>
      </x:c>
      <x:c r="G6102" t="str">
        <x:v>Office Supplies</x:v>
      </x:c>
      <x:c r="H6102" t="str">
        <x:v>Binders</x:v>
      </x:c>
      <x:c r="I6102" s="22" t="n">
        <x:v>11.784</x:v>
      </x:c>
      <x:c r="J6102" s="24" t="n">
        <x:v>3</x:v>
      </x:c>
      <x:c r="K6102" s="26" t="n">
        <x:v>0.2</x:v>
      </x:c>
      <x:c r="L6102" s="22" t="n">
        <x:v>3.9770999999999996</x:v>
      </x:c>
      <x:c r="M6102" t="n">
        <x:v>2017</x:v>
      </x:c>
      <x:c r="N6102" s="20" t="n">
        <x:v>42979</x:v>
      </x:c>
    </x:row>
    <x:row r="6103" ht="18" customHeight="1">
      <x:c r="A6103" t="str">
        <x:v>CA-2017-100111</x:v>
      </x:c>
      <x:c r="B6103" s="18" t="n">
        <x:v>42998</x:v>
      </x:c>
      <x:c r="C6103" t="str">
        <x:v>SV-20365</x:v>
      </x:c>
      <x:c r="D6103" t="str">
        <x:v>Seth Vernon</x:v>
      </x:c>
      <x:c r="E6103" t="str">
        <x:v>Consumer</x:v>
      </x:c>
      <x:c r="F6103" t="str">
        <x:v>East</x:v>
      </x:c>
      <x:c r="G6103" t="str">
        <x:v>Office Supplies</x:v>
      </x:c>
      <x:c r="H6103" t="str">
        <x:v>Fasteners</x:v>
      </x:c>
      <x:c r="I6103" s="22" t="n">
        <x:v>4.36</x:v>
      </x:c>
      <x:c r="J6103" s="24" t="n">
        <x:v>2</x:v>
      </x:c>
      <x:c r="K6103" s="26" t="n">
        <x:v>0</x:v>
      </x:c>
      <x:c r="L6103" s="22" t="n">
        <x:v>1.7876000000000003</x:v>
      </x:c>
      <x:c r="M6103" t="n">
        <x:v>2017</x:v>
      </x:c>
      <x:c r="N6103" s="20" t="n">
        <x:v>42979</x:v>
      </x:c>
    </x:row>
    <x:row r="6104" ht="18" customHeight="1">
      <x:c r="A6104" t="str">
        <x:v>CA-2017-100111</x:v>
      </x:c>
      <x:c r="B6104" s="18" t="n">
        <x:v>42998</x:v>
      </x:c>
      <x:c r="C6104" t="str">
        <x:v>SV-20365</x:v>
      </x:c>
      <x:c r="D6104" t="str">
        <x:v>Seth Vernon</x:v>
      </x:c>
      <x:c r="E6104" t="str">
        <x:v>Consumer</x:v>
      </x:c>
      <x:c r="F6104" t="str">
        <x:v>East</x:v>
      </x:c>
      <x:c r="G6104" t="str">
        <x:v>Furniture</x:v>
      </x:c>
      <x:c r="H6104" t="str">
        <x:v>Chairs</x:v>
      </x:c>
      <x:c r="I6104" s="22" t="n">
        <x:v>2888.1270000000004</x:v>
      </x:c>
      <x:c r="J6104" s="24" t="n">
        <x:v>11</x:v>
      </x:c>
      <x:c r="K6104" s="26" t="n">
        <x:v>0.1</x:v>
      </x:c>
      <x:c r="L6104" s="22" t="n">
        <x:v>609.7157</x:v>
      </x:c>
      <x:c r="M6104" t="n">
        <x:v>2017</x:v>
      </x:c>
      <x:c r="N6104" s="20" t="n">
        <x:v>42979</x:v>
      </x:c>
    </x:row>
    <x:row r="6105" ht="18" customHeight="1">
      <x:c r="A6105" t="str">
        <x:v>CA-2017-100111</x:v>
      </x:c>
      <x:c r="B6105" s="18" t="n">
        <x:v>42998</x:v>
      </x:c>
      <x:c r="C6105" t="str">
        <x:v>SV-20365</x:v>
      </x:c>
      <x:c r="D6105" t="str">
        <x:v>Seth Vernon</x:v>
      </x:c>
      <x:c r="E6105" t="str">
        <x:v>Consumer</x:v>
      </x:c>
      <x:c r="F6105" t="str">
        <x:v>East</x:v>
      </x:c>
      <x:c r="G6105" t="str">
        <x:v>Technology</x:v>
      </x:c>
      <x:c r="H6105" t="str">
        <x:v>Phones</x:v>
      </x:c>
      <x:c r="I6105" s="22" t="n">
        <x:v>1299.66</x:v>
      </x:c>
      <x:c r="J6105" s="24" t="n">
        <x:v>2</x:v>
      </x:c>
      <x:c r="K6105" s="26" t="n">
        <x:v>0</x:v>
      </x:c>
      <x:c r="L6105" s="22" t="n">
        <x:v>350.9082000000001</x:v>
      </x:c>
      <x:c r="M6105" t="n">
        <x:v>2017</x:v>
      </x:c>
      <x:c r="N6105" s="20" t="n">
        <x:v>42979</x:v>
      </x:c>
    </x:row>
    <x:row r="6106" ht="18" customHeight="1">
      <x:c r="A6106" t="str">
        <x:v>CA-2017-100111</x:v>
      </x:c>
      <x:c r="B6106" s="18" t="n">
        <x:v>42998</x:v>
      </x:c>
      <x:c r="C6106" t="str">
        <x:v>SV-20365</x:v>
      </x:c>
      <x:c r="D6106" t="str">
        <x:v>Seth Vernon</x:v>
      </x:c>
      <x:c r="E6106" t="str">
        <x:v>Consumer</x:v>
      </x:c>
      <x:c r="F6106" t="str">
        <x:v>East</x:v>
      </x:c>
      <x:c r="G6106" t="str">
        <x:v>Furniture</x:v>
      </x:c>
      <x:c r="H6106" t="str">
        <x:v>Chairs</x:v>
      </x:c>
      <x:c r="I6106" s="22" t="n">
        <x:v>2254.41</x:v>
      </x:c>
      <x:c r="J6106" s="24" t="n">
        <x:v>5</x:v>
      </x:c>
      <x:c r="K6106" s="26" t="n">
        <x:v>0.1</x:v>
      </x:c>
      <x:c r="L6106" s="22" t="n">
        <x:v>375.735</x:v>
      </x:c>
      <x:c r="M6106" t="n">
        <x:v>2017</x:v>
      </x:c>
      <x:c r="N6106" s="20" t="n">
        <x:v>42979</x:v>
      </x:c>
    </x:row>
    <x:row r="6107" ht="18" customHeight="1">
      <x:c r="A6107" t="str">
        <x:v>CA-2017-100111</x:v>
      </x:c>
      <x:c r="B6107" s="18" t="n">
        <x:v>42998</x:v>
      </x:c>
      <x:c r="C6107" t="str">
        <x:v>SV-20365</x:v>
      </x:c>
      <x:c r="D6107" t="str">
        <x:v>Seth Vernon</x:v>
      </x:c>
      <x:c r="E6107" t="str">
        <x:v>Consumer</x:v>
      </x:c>
      <x:c r="F6107" t="str">
        <x:v>East</x:v>
      </x:c>
      <x:c r="G6107" t="str">
        <x:v>Technology</x:v>
      </x:c>
      <x:c r="H6107" t="str">
        <x:v>Phones</x:v>
      </x:c>
      <x:c r="I6107" s="22" t="n">
        <x:v>104.85000000000001</x:v>
      </x:c>
      <x:c r="J6107" s="24" t="n">
        <x:v>3</x:v>
      </x:c>
      <x:c r="K6107" s="26" t="n">
        <x:v>0</x:v>
      </x:c>
      <x:c r="L6107" s="22" t="n">
        <x:v>28.309500000000007</x:v>
      </x:c>
      <x:c r="M6107" t="n">
        <x:v>2017</x:v>
      </x:c>
      <x:c r="N6107" s="20" t="n">
        <x:v>42979</x:v>
      </x:c>
    </x:row>
    <x:row r="6108" ht="18" customHeight="1">
      <x:c r="A6108" t="str">
        <x:v>CA-2017-100111</x:v>
      </x:c>
      <x:c r="B6108" s="18" t="n">
        <x:v>42998</x:v>
      </x:c>
      <x:c r="C6108" t="str">
        <x:v>SV-20365</x:v>
      </x:c>
      <x:c r="D6108" t="str">
        <x:v>Seth Vernon</x:v>
      </x:c>
      <x:c r="E6108" t="str">
        <x:v>Consumer</x:v>
      </x:c>
      <x:c r="F6108" t="str">
        <x:v>East</x:v>
      </x:c>
      <x:c r="G6108" t="str">
        <x:v>Technology</x:v>
      </x:c>
      <x:c r="H6108" t="str">
        <x:v>Accessories</x:v>
      </x:c>
      <x:c r="I6108" s="22" t="n">
        <x:v>59.97</x:v>
      </x:c>
      <x:c r="J6108" s="24" t="n">
        <x:v>3</x:v>
      </x:c>
      <x:c r="K6108" s="26" t="n">
        <x:v>0</x:v>
      </x:c>
      <x:c r="L6108" s="22" t="n">
        <x:v>20.389799999999994</x:v>
      </x:c>
      <x:c r="M6108" t="n">
        <x:v>2017</x:v>
      </x:c>
      <x:c r="N6108" s="20" t="n">
        <x:v>42979</x:v>
      </x:c>
    </x:row>
    <x:row r="6109" ht="18" customHeight="1">
      <x:c r="A6109" t="str">
        <x:v>US-2017-132381</x:v>
      </x:c>
      <x:c r="B6109" s="18" t="n">
        <x:v>42969</x:v>
      </x:c>
      <x:c r="C6109" t="str">
        <x:v>Dp-13240</x:v>
      </x:c>
      <x:c r="D6109" t="str">
        <x:v>Dean percer</x:v>
      </x:c>
      <x:c r="E6109" t="str">
        <x:v>Home Office</x:v>
      </x:c>
      <x:c r="F6109" t="str">
        <x:v>East</x:v>
      </x:c>
      <x:c r="G6109" t="str">
        <x:v>Furniture</x:v>
      </x:c>
      <x:c r="H6109" t="str">
        <x:v>Tables</x:v>
      </x:c>
      <x:c r="I6109" s="22" t="n">
        <x:v>314.532</x:v>
      </x:c>
      <x:c r="J6109" s="24" t="n">
        <x:v>2</x:v>
      </x:c>
      <x:c r="K6109" s="26" t="n">
        <x:v>0.4</x:v>
      </x:c>
      <x:c r="L6109" s="22" t="n">
        <x:v>-83.87520000000004</x:v>
      </x:c>
      <x:c r="M6109" t="n">
        <x:v>2017</x:v>
      </x:c>
      <x:c r="N6109" s="20" t="n">
        <x:v>42948</x:v>
      </x:c>
    </x:row>
    <x:row r="6110" ht="18" customHeight="1">
      <x:c r="A6110" t="str">
        <x:v>CA-2015-147011</x:v>
      </x:c>
      <x:c r="B6110" s="18" t="n">
        <x:v>42173</x:v>
      </x:c>
      <x:c r="C6110" t="str">
        <x:v>HR-14830</x:v>
      </x:c>
      <x:c r="D6110" t="str">
        <x:v>Harold Ryan</x:v>
      </x:c>
      <x:c r="E6110" t="str">
        <x:v>Corporate</x:v>
      </x:c>
      <x:c r="F6110" t="str">
        <x:v>South</x:v>
      </x:c>
      <x:c r="G6110" t="str">
        <x:v>Office Supplies</x:v>
      </x:c>
      <x:c r="H6110" t="str">
        <x:v>Art</x:v>
      </x:c>
      <x:c r="I6110" s="22" t="n">
        <x:v>13.632</x:v>
      </x:c>
      <x:c r="J6110" s="24" t="n">
        <x:v>4</x:v>
      </x:c>
      <x:c r="K6110" s="26" t="n">
        <x:v>0.2</x:v>
      </x:c>
      <x:c r="L6110" s="22" t="n">
        <x:v>3.5784</x:v>
      </x:c>
      <x:c r="M6110" t="n">
        <x:v>2015</x:v>
      </x:c>
      <x:c r="N6110" s="20" t="n">
        <x:v>42156</x:v>
      </x:c>
    </x:row>
    <x:row r="6111" ht="18" customHeight="1">
      <x:c r="A6111" t="str">
        <x:v>CA-2014-120852</x:v>
      </x:c>
      <x:c r="B6111" s="18" t="n">
        <x:v>41993</x:v>
      </x:c>
      <x:c r="C6111" t="str">
        <x:v>WB-21850</x:v>
      </x:c>
      <x:c r="D6111" t="str">
        <x:v>William Brown</x:v>
      </x:c>
      <x:c r="E6111" t="str">
        <x:v>Consumer</x:v>
      </x:c>
      <x:c r="F6111" t="str">
        <x:v>Central</x:v>
      </x:c>
      <x:c r="G6111" t="str">
        <x:v>Office Supplies</x:v>
      </x:c>
      <x:c r="H6111" t="str">
        <x:v>Appliances</x:v>
      </x:c>
      <x:c r="I6111" s="22" t="n">
        <x:v>19.431999999999995</x:v>
      </x:c>
      <x:c r="J6111" s="24" t="n">
        <x:v>2</x:v>
      </x:c>
      <x:c r="K6111" s="26" t="n">
        <x:v>0.8</x:v>
      </x:c>
      <x:c r="L6111" s="22" t="n">
        <x:v>-49.55160000000002</x:v>
      </x:c>
      <x:c r="M6111" t="n">
        <x:v>2014</x:v>
      </x:c>
      <x:c r="N6111" s="20" t="n">
        <x:v>41974</x:v>
      </x:c>
    </x:row>
    <x:row r="6112" ht="18" customHeight="1">
      <x:c r="A6112" t="str">
        <x:v>CA-2014-120852</x:v>
      </x:c>
      <x:c r="B6112" s="18" t="n">
        <x:v>41993</x:v>
      </x:c>
      <x:c r="C6112" t="str">
        <x:v>WB-21850</x:v>
      </x:c>
      <x:c r="D6112" t="str">
        <x:v>William Brown</x:v>
      </x:c>
      <x:c r="E6112" t="str">
        <x:v>Consumer</x:v>
      </x:c>
      <x:c r="F6112" t="str">
        <x:v>Central</x:v>
      </x:c>
      <x:c r="G6112" t="str">
        <x:v>Technology</x:v>
      </x:c>
      <x:c r="H6112" t="str">
        <x:v>Accessories</x:v>
      </x:c>
      <x:c r="I6112" s="22" t="n">
        <x:v>65.44</x:v>
      </x:c>
      <x:c r="J6112" s="24" t="n">
        <x:v>5</x:v>
      </x:c>
      <x:c r="K6112" s="26" t="n">
        <x:v>0.2</x:v>
      </x:c>
      <x:c r="L6112" s="22" t="n">
        <x:v>-8.180000000000003</x:v>
      </x:c>
      <x:c r="M6112" t="n">
        <x:v>2014</x:v>
      </x:c>
      <x:c r="N6112" s="20" t="n">
        <x:v>41974</x:v>
      </x:c>
    </x:row>
    <x:row r="6113" ht="18" customHeight="1">
      <x:c r="A6113" t="str">
        <x:v>CA-2016-150007</x:v>
      </x:c>
      <x:c r="B6113" s="18" t="n">
        <x:v>42624</x:v>
      </x:c>
      <x:c r="C6113" t="str">
        <x:v>AS-10090</x:v>
      </x:c>
      <x:c r="D6113" t="str">
        <x:v>Adam Shillingsburg</x:v>
      </x:c>
      <x:c r="E6113" t="str">
        <x:v>Consumer</x:v>
      </x:c>
      <x:c r="F6113" t="str">
        <x:v>Central</x:v>
      </x:c>
      <x:c r="G6113" t="str">
        <x:v>Office Supplies</x:v>
      </x:c>
      <x:c r="H6113" t="str">
        <x:v>Labels</x:v>
      </x:c>
      <x:c r="I6113" s="22" t="n">
        <x:v>6</x:v>
      </x:c>
      <x:c r="J6113" s="24" t="n">
        <x:v>2</x:v>
      </x:c>
      <x:c r="K6113" s="26" t="n">
        <x:v>0.2</x:v>
      </x:c>
      <x:c r="L6113" s="22" t="n">
        <x:v>2.0999999999999996</x:v>
      </x:c>
      <x:c r="M6113" t="n">
        <x:v>2016</x:v>
      </x:c>
      <x:c r="N6113" s="20" t="n">
        <x:v>42614</x:v>
      </x:c>
    </x:row>
    <x:row r="6114" ht="18" customHeight="1">
      <x:c r="A6114" t="str">
        <x:v>CA-2016-150007</x:v>
      </x:c>
      <x:c r="B6114" s="18" t="n">
        <x:v>42624</x:v>
      </x:c>
      <x:c r="C6114" t="str">
        <x:v>AS-10090</x:v>
      </x:c>
      <x:c r="D6114" t="str">
        <x:v>Adam Shillingsburg</x:v>
      </x:c>
      <x:c r="E6114" t="str">
        <x:v>Consumer</x:v>
      </x:c>
      <x:c r="F6114" t="str">
        <x:v>Central</x:v>
      </x:c>
      <x:c r="G6114" t="str">
        <x:v>Office Supplies</x:v>
      </x:c>
      <x:c r="H6114" t="str">
        <x:v>Binders</x:v>
      </x:c>
      <x:c r="I6114" s="22" t="n">
        <x:v>1.9079999999999997</x:v>
      </x:c>
      <x:c r="J6114" s="24" t="n">
        <x:v>3</x:v>
      </x:c>
      <x:c r="K6114" s="26" t="n">
        <x:v>0.8</x:v>
      </x:c>
      <x:c r="L6114" s="22" t="n">
        <x:v>-3.2436000000000016</x:v>
      </x:c>
      <x:c r="M6114" t="n">
        <x:v>2016</x:v>
      </x:c>
      <x:c r="N6114" s="20" t="n">
        <x:v>42614</x:v>
      </x:c>
    </x:row>
    <x:row r="6115" ht="18" customHeight="1">
      <x:c r="A6115" t="str">
        <x:v>CA-2016-124590</x:v>
      </x:c>
      <x:c r="B6115" s="18" t="n">
        <x:v>42686</x:v>
      </x:c>
      <x:c r="C6115" t="str">
        <x:v>SP-20920</x:v>
      </x:c>
      <x:c r="D6115" t="str">
        <x:v>Susan Pistek</x:v>
      </x:c>
      <x:c r="E6115" t="str">
        <x:v>Consumer</x:v>
      </x:c>
      <x:c r="F6115" t="str">
        <x:v>East</x:v>
      </x:c>
      <x:c r="G6115" t="str">
        <x:v>Furniture</x:v>
      </x:c>
      <x:c r="H6115" t="str">
        <x:v>Chairs</x:v>
      </x:c>
      <x:c r="I6115" s="22" t="n">
        <x:v>1474.8020000000001</x:v>
      </x:c>
      <x:c r="J6115" s="24" t="n">
        <x:v>7</x:v>
      </x:c>
      <x:c r="K6115" s="26" t="n">
        <x:v>0.3</x:v>
      </x:c>
      <x:c r="L6115" s="22" t="n">
        <x:v>-21.068600000000174</x:v>
      </x:c>
      <x:c r="M6115" t="n">
        <x:v>2016</x:v>
      </x:c>
      <x:c r="N6115" s="20" t="n">
        <x:v>42675</x:v>
      </x:c>
    </x:row>
    <x:row r="6116" ht="18" customHeight="1">
      <x:c r="A6116" t="str">
        <x:v>CA-2016-124590</x:v>
      </x:c>
      <x:c r="B6116" s="18" t="n">
        <x:v>42686</x:v>
      </x:c>
      <x:c r="C6116" t="str">
        <x:v>SP-20920</x:v>
      </x:c>
      <x:c r="D6116" t="str">
        <x:v>Susan Pistek</x:v>
      </x:c>
      <x:c r="E6116" t="str">
        <x:v>Consumer</x:v>
      </x:c>
      <x:c r="F6116" t="str">
        <x:v>East</x:v>
      </x:c>
      <x:c r="G6116" t="str">
        <x:v>Office Supplies</x:v>
      </x:c>
      <x:c r="H6116" t="str">
        <x:v>Appliances</x:v>
      </x:c>
      <x:c r="I6116" s="22" t="n">
        <x:v>110.096</x:v>
      </x:c>
      <x:c r="J6116" s="24" t="n">
        <x:v>2</x:v>
      </x:c>
      <x:c r="K6116" s="26" t="n">
        <x:v>0.2</x:v>
      </x:c>
      <x:c r="L6116" s="22" t="n">
        <x:v>33.028800000000004</x:v>
      </x:c>
      <x:c r="M6116" t="n">
        <x:v>2016</x:v>
      </x:c>
      <x:c r="N6116" s="20" t="n">
        <x:v>42675</x:v>
      </x:c>
    </x:row>
    <x:row r="6117" ht="18" customHeight="1">
      <x:c r="A6117" t="str">
        <x:v>CA-2016-124590</x:v>
      </x:c>
      <x:c r="B6117" s="18" t="n">
        <x:v>42686</x:v>
      </x:c>
      <x:c r="C6117" t="str">
        <x:v>SP-20920</x:v>
      </x:c>
      <x:c r="D6117" t="str">
        <x:v>Susan Pistek</x:v>
      </x:c>
      <x:c r="E6117" t="str">
        <x:v>Consumer</x:v>
      </x:c>
      <x:c r="F6117" t="str">
        <x:v>East</x:v>
      </x:c>
      <x:c r="G6117" t="str">
        <x:v>Office Supplies</x:v>
      </x:c>
      <x:c r="H6117" t="str">
        <x:v>Fasteners</x:v>
      </x:c>
      <x:c r="I6117" s="22" t="n">
        <x:v>16.752000000000002</x:v>
      </x:c>
      <x:c r="J6117" s="24" t="n">
        <x:v>6</x:v>
      </x:c>
      <x:c r="K6117" s="26" t="n">
        <x:v>0.2</x:v>
      </x:c>
      <x:c r="L6117" s="22" t="n">
        <x:v>5.4444</x:v>
      </x:c>
      <x:c r="M6117" t="n">
        <x:v>2016</x:v>
      </x:c>
      <x:c r="N6117" s="20" t="n">
        <x:v>42675</x:v>
      </x:c>
    </x:row>
    <x:row r="6118" ht="18" customHeight="1">
      <x:c r="A6118" t="str">
        <x:v>CA-2016-124590</x:v>
      </x:c>
      <x:c r="B6118" s="18" t="n">
        <x:v>42686</x:v>
      </x:c>
      <x:c r="C6118" t="str">
        <x:v>SP-20920</x:v>
      </x:c>
      <x:c r="D6118" t="str">
        <x:v>Susan Pistek</x:v>
      </x:c>
      <x:c r="E6118" t="str">
        <x:v>Consumer</x:v>
      </x:c>
      <x:c r="F6118" t="str">
        <x:v>East</x:v>
      </x:c>
      <x:c r="G6118" t="str">
        <x:v>Furniture</x:v>
      </x:c>
      <x:c r="H6118" t="str">
        <x:v>Chairs</x:v>
      </x:c>
      <x:c r="I6118" s="22" t="n">
        <x:v>1537.0739999999998</x:v>
      </x:c>
      <x:c r="J6118" s="24" t="n">
        <x:v>9</x:v>
      </x:c>
      <x:c r="K6118" s="26" t="n">
        <x:v>0.3</x:v>
      </x:c>
      <x:c r="L6118" s="22" t="n">
        <x:v>0</x:v>
      </x:c>
      <x:c r="M6118" t="n">
        <x:v>2016</x:v>
      </x:c>
      <x:c r="N6118" s="20" t="n">
        <x:v>42675</x:v>
      </x:c>
    </x:row>
    <x:row r="6119" ht="18" customHeight="1">
      <x:c r="A6119" t="str">
        <x:v>CA-2016-124590</x:v>
      </x:c>
      <x:c r="B6119" s="18" t="n">
        <x:v>42686</x:v>
      </x:c>
      <x:c r="C6119" t="str">
        <x:v>SP-20920</x:v>
      </x:c>
      <x:c r="D6119" t="str">
        <x:v>Susan Pistek</x:v>
      </x:c>
      <x:c r="E6119" t="str">
        <x:v>Consumer</x:v>
      </x:c>
      <x:c r="F6119" t="str">
        <x:v>East</x:v>
      </x:c>
      <x:c r="G6119" t="str">
        <x:v>Furniture</x:v>
      </x:c>
      <x:c r="H6119" t="str">
        <x:v>Chairs</x:v>
      </x:c>
      <x:c r="I6119" s="22" t="n">
        <x:v>449.372</x:v>
      </x:c>
      <x:c r="J6119" s="24" t="n">
        <x:v>2</x:v>
      </x:c>
      <x:c r="K6119" s="26" t="n">
        <x:v>0.3</x:v>
      </x:c>
      <x:c r="L6119" s="22" t="n">
        <x:v>-12.839199999999977</x:v>
      </x:c>
      <x:c r="M6119" t="n">
        <x:v>2016</x:v>
      </x:c>
      <x:c r="N6119" s="20" t="n">
        <x:v>42675</x:v>
      </x:c>
    </x:row>
    <x:row r="6120" ht="18" customHeight="1">
      <x:c r="A6120" t="str">
        <x:v>CA-2016-133802</x:v>
      </x:c>
      <x:c r="B6120" s="18" t="n">
        <x:v>42443</x:v>
      </x:c>
      <x:c r="C6120" t="str">
        <x:v>SP-20650</x:v>
      </x:c>
      <x:c r="D6120" t="str">
        <x:v>Stephanie Phelps</x:v>
      </x:c>
      <x:c r="E6120" t="str">
        <x:v>Corporate</x:v>
      </x:c>
      <x:c r="F6120" t="str">
        <x:v>West</x:v>
      </x:c>
      <x:c r="G6120" t="str">
        <x:v>Office Supplies</x:v>
      </x:c>
      <x:c r="H6120" t="str">
        <x:v>Binders</x:v>
      </x:c>
      <x:c r="I6120" s="22" t="n">
        <x:v>41.904</x:v>
      </x:c>
      <x:c r="J6120" s="24" t="n">
        <x:v>6</x:v>
      </x:c>
      <x:c r="K6120" s="26" t="n">
        <x:v>0.2</x:v>
      </x:c>
      <x:c r="L6120" s="22" t="n">
        <x:v>14.142599999999996</x:v>
      </x:c>
      <x:c r="M6120" t="n">
        <x:v>2016</x:v>
      </x:c>
      <x:c r="N6120" s="20" t="n">
        <x:v>42430</x:v>
      </x:c>
    </x:row>
    <x:row r="6121" ht="18" customHeight="1">
      <x:c r="A6121" t="str">
        <x:v>US-2016-113677</x:v>
      </x:c>
      <x:c r="B6121" s="18" t="n">
        <x:v>42687</x:v>
      </x:c>
      <x:c r="C6121" t="str">
        <x:v>CM-12655</x:v>
      </x:c>
      <x:c r="D6121" t="str">
        <x:v>Corinna Mitchell</x:v>
      </x:c>
      <x:c r="E6121" t="str">
        <x:v>Home Office</x:v>
      </x:c>
      <x:c r="F6121" t="str">
        <x:v>East</x:v>
      </x:c>
      <x:c r="G6121" t="str">
        <x:v>Technology</x:v>
      </x:c>
      <x:c r="H6121" t="str">
        <x:v>Phones</x:v>
      </x:c>
      <x:c r="I6121" s="22" t="n">
        <x:v>2279.96</x:v>
      </x:c>
      <x:c r="J6121" s="24" t="n">
        <x:v>4</x:v>
      </x:c>
      <x:c r="K6121" s="26" t="n">
        <x:v>0</x:v>
      </x:c>
      <x:c r="L6121" s="22" t="n">
        <x:v>592.7896000000001</x:v>
      </x:c>
      <x:c r="M6121" t="n">
        <x:v>2016</x:v>
      </x:c>
      <x:c r="N6121" s="20" t="n">
        <x:v>42675</x:v>
      </x:c>
    </x:row>
    <x:row r="6122" ht="18" customHeight="1">
      <x:c r="A6122" t="str">
        <x:v>US-2016-113677</x:v>
      </x:c>
      <x:c r="B6122" s="18" t="n">
        <x:v>42687</x:v>
      </x:c>
      <x:c r="C6122" t="str">
        <x:v>CM-12655</x:v>
      </x:c>
      <x:c r="D6122" t="str">
        <x:v>Corinna Mitchell</x:v>
      </x:c>
      <x:c r="E6122" t="str">
        <x:v>Home Office</x:v>
      </x:c>
      <x:c r="F6122" t="str">
        <x:v>East</x:v>
      </x:c>
      <x:c r="G6122" t="str">
        <x:v>Office Supplies</x:v>
      </x:c>
      <x:c r="H6122" t="str">
        <x:v>Labels</x:v>
      </x:c>
      <x:c r="I6122" s="22" t="n">
        <x:v>14.940000000000001</x:v>
      </x:c>
      <x:c r="J6122" s="24" t="n">
        <x:v>3</x:v>
      </x:c>
      <x:c r="K6122" s="26" t="n">
        <x:v>0</x:v>
      </x:c>
      <x:c r="L6122" s="22" t="n">
        <x:v>6.8724</x:v>
      </x:c>
      <x:c r="M6122" t="n">
        <x:v>2016</x:v>
      </x:c>
      <x:c r="N6122" s="20" t="n">
        <x:v>42675</x:v>
      </x:c>
    </x:row>
    <x:row r="6123" ht="18" customHeight="1">
      <x:c r="A6123" t="str">
        <x:v>CA-2017-143378</x:v>
      </x:c>
      <x:c r="B6123" s="18" t="n">
        <x:v>42997</x:v>
      </x:c>
      <x:c r="C6123" t="str">
        <x:v>JR-16210</x:v>
      </x:c>
      <x:c r="D6123" t="str">
        <x:v>Justin Ritter</x:v>
      </x:c>
      <x:c r="E6123" t="str">
        <x:v>Corporate</x:v>
      </x:c>
      <x:c r="F6123" t="str">
        <x:v>West</x:v>
      </x:c>
      <x:c r="G6123" t="str">
        <x:v>Technology</x:v>
      </x:c>
      <x:c r="H6123" t="str">
        <x:v>Phones</x:v>
      </x:c>
      <x:c r="I6123" s="22" t="n">
        <x:v>191.976</x:v>
      </x:c>
      <x:c r="J6123" s="24" t="n">
        <x:v>3</x:v>
      </x:c>
      <x:c r="K6123" s="26" t="n">
        <x:v>0.2</x:v>
      </x:c>
      <x:c r="L6123" s="22" t="n">
        <x:v>19.197599999999994</x:v>
      </x:c>
      <x:c r="M6123" t="n">
        <x:v>2017</x:v>
      </x:c>
      <x:c r="N6123" s="20" t="n">
        <x:v>42979</x:v>
      </x:c>
    </x:row>
    <x:row r="6124" ht="18" customHeight="1">
      <x:c r="A6124" t="str">
        <x:v>CA-2017-143378</x:v>
      </x:c>
      <x:c r="B6124" s="18" t="n">
        <x:v>42997</x:v>
      </x:c>
      <x:c r="C6124" t="str">
        <x:v>JR-16210</x:v>
      </x:c>
      <x:c r="D6124" t="str">
        <x:v>Justin Ritter</x:v>
      </x:c>
      <x:c r="E6124" t="str">
        <x:v>Corporate</x:v>
      </x:c>
      <x:c r="F6124" t="str">
        <x:v>West</x:v>
      </x:c>
      <x:c r="G6124" t="str">
        <x:v>Office Supplies</x:v>
      </x:c>
      <x:c r="H6124" t="str">
        <x:v>Art</x:v>
      </x:c>
      <x:c r="I6124" s="22" t="n">
        <x:v>23.832</x:v>
      </x:c>
      <x:c r="J6124" s="24" t="n">
        <x:v>3</x:v>
      </x:c>
      <x:c r="K6124" s="26" t="n">
        <x:v>0.2</x:v>
      </x:c>
      <x:c r="L6124" s="22" t="n">
        <x:v>6.553800000000001</x:v>
      </x:c>
      <x:c r="M6124" t="n">
        <x:v>2017</x:v>
      </x:c>
      <x:c r="N6124" s="20" t="n">
        <x:v>42979</x:v>
      </x:c>
    </x:row>
    <x:row r="6125" ht="18" customHeight="1">
      <x:c r="A6125" t="str">
        <x:v>CA-2017-143378</x:v>
      </x:c>
      <x:c r="B6125" s="18" t="n">
        <x:v>42997</x:v>
      </x:c>
      <x:c r="C6125" t="str">
        <x:v>JR-16210</x:v>
      </x:c>
      <x:c r="D6125" t="str">
        <x:v>Justin Ritter</x:v>
      </x:c>
      <x:c r="E6125" t="str">
        <x:v>Corporate</x:v>
      </x:c>
      <x:c r="F6125" t="str">
        <x:v>West</x:v>
      </x:c>
      <x:c r="G6125" t="str">
        <x:v>Furniture</x:v>
      </x:c>
      <x:c r="H6125" t="str">
        <x:v>Furnishings</x:v>
      </x:c>
      <x:c r="I6125" s="22" t="n">
        <x:v>409.216</x:v>
      </x:c>
      <x:c r="J6125" s="24" t="n">
        <x:v>8</x:v>
      </x:c>
      <x:c r="K6125" s="26" t="n">
        <x:v>0.2</x:v>
      </x:c>
      <x:c r="L6125" s="22" t="n">
        <x:v>61.38239999999999</x:v>
      </x:c>
      <x:c r="M6125" t="n">
        <x:v>2017</x:v>
      </x:c>
      <x:c r="N6125" s="20" t="n">
        <x:v>42979</x:v>
      </x:c>
    </x:row>
    <x:row r="6126" ht="18" customHeight="1">
      <x:c r="A6126" t="str">
        <x:v>CA-2017-143378</x:v>
      </x:c>
      <x:c r="B6126" s="18" t="n">
        <x:v>42997</x:v>
      </x:c>
      <x:c r="C6126" t="str">
        <x:v>JR-16210</x:v>
      </x:c>
      <x:c r="D6126" t="str">
        <x:v>Justin Ritter</x:v>
      </x:c>
      <x:c r="E6126" t="str">
        <x:v>Corporate</x:v>
      </x:c>
      <x:c r="F6126" t="str">
        <x:v>West</x:v>
      </x:c>
      <x:c r="G6126" t="str">
        <x:v>Furniture</x:v>
      </x:c>
      <x:c r="H6126" t="str">
        <x:v>Bookcases</x:v>
      </x:c>
      <x:c r="I6126" s="22" t="n">
        <x:v>72.58800000000001</x:v>
      </x:c>
      <x:c r="J6126" s="24" t="n">
        <x:v>2</x:v>
      </x:c>
      <x:c r="K6126" s="26" t="n">
        <x:v>0.7</x:v>
      </x:c>
      <x:c r="L6126" s="22" t="n">
        <x:v>-128.2388</x:v>
      </x:c>
      <x:c r="M6126" t="n">
        <x:v>2017</x:v>
      </x:c>
      <x:c r="N6126" s="20" t="n">
        <x:v>42979</x:v>
      </x:c>
    </x:row>
    <x:row r="6127" ht="18" customHeight="1">
      <x:c r="A6127" t="str">
        <x:v>CA-2017-152660</x:v>
      </x:c>
      <x:c r="B6127" s="18" t="n">
        <x:v>43073</x:v>
      </x:c>
      <x:c r="C6127" t="str">
        <x:v>CB-12415</x:v>
      </x:c>
      <x:c r="D6127" t="str">
        <x:v>Christy Brittain</x:v>
      </x:c>
      <x:c r="E6127" t="str">
        <x:v>Consumer</x:v>
      </x:c>
      <x:c r="F6127" t="str">
        <x:v>Central</x:v>
      </x:c>
      <x:c r="G6127" t="str">
        <x:v>Office Supplies</x:v>
      </x:c>
      <x:c r="H6127" t="str">
        <x:v>Storage</x:v>
      </x:c>
      <x:c r="I6127" s="22" t="n">
        <x:v>61.568</x:v>
      </x:c>
      <x:c r="J6127" s="24" t="n">
        <x:v>2</x:v>
      </x:c>
      <x:c r="K6127" s="26" t="n">
        <x:v>0.2</x:v>
      </x:c>
      <x:c r="L6127" s="22" t="n">
        <x:v>4.6175999999999995</x:v>
      </x:c>
      <x:c r="M6127" t="n">
        <x:v>2017</x:v>
      </x:c>
      <x:c r="N6127" s="20" t="n">
        <x:v>43070</x:v>
      </x:c>
    </x:row>
    <x:row r="6128" ht="18" customHeight="1">
      <x:c r="A6128" t="str">
        <x:v>CA-2015-142139</x:v>
      </x:c>
      <x:c r="B6128" s="18" t="n">
        <x:v>42247</x:v>
      </x:c>
      <x:c r="C6128" t="str">
        <x:v>SD-20485</x:v>
      </x:c>
      <x:c r="D6128" t="str">
        <x:v>Shirley Daniels</x:v>
      </x:c>
      <x:c r="E6128" t="str">
        <x:v>Home Office</x:v>
      </x:c>
      <x:c r="F6128" t="str">
        <x:v>Central</x:v>
      </x:c>
      <x:c r="G6128" t="str">
        <x:v>Office Supplies</x:v>
      </x:c>
      <x:c r="H6128" t="str">
        <x:v>Paper</x:v>
      </x:c>
      <x:c r="I6128" s="22" t="n">
        <x:v>20.96</x:v>
      </x:c>
      <x:c r="J6128" s="24" t="n">
        <x:v>4</x:v>
      </x:c>
      <x:c r="K6128" s="26" t="n">
        <x:v>0.2</x:v>
      </x:c>
      <x:c r="L6128" s="22" t="n">
        <x:v>6.811999999999999</x:v>
      </x:c>
      <x:c r="M6128" t="n">
        <x:v>2015</x:v>
      </x:c>
      <x:c r="N6128" s="20" t="n">
        <x:v>42217</x:v>
      </x:c>
    </x:row>
    <x:row r="6129" ht="18" customHeight="1">
      <x:c r="A6129" t="str">
        <x:v>CA-2017-145772</x:v>
      </x:c>
      <x:c r="B6129" s="18" t="n">
        <x:v>42889</x:v>
      </x:c>
      <x:c r="C6129" t="str">
        <x:v>SS-20140</x:v>
      </x:c>
      <x:c r="D6129" t="str">
        <x:v>Saphhira Shifley</x:v>
      </x:c>
      <x:c r="E6129" t="str">
        <x:v>Corporate</x:v>
      </x:c>
      <x:c r="F6129" t="str">
        <x:v>West</x:v>
      </x:c>
      <x:c r="G6129" t="str">
        <x:v>Technology</x:v>
      </x:c>
      <x:c r="H6129" t="str">
        <x:v>Accessories</x:v>
      </x:c>
      <x:c r="I6129" s="22" t="n">
        <x:v>44.75</x:v>
      </x:c>
      <x:c r="J6129" s="24" t="n">
        <x:v>5</x:v>
      </x:c>
      <x:c r="K6129" s="26" t="n">
        <x:v>0</x:v>
      </x:c>
      <x:c r="L6129" s="22" t="n">
        <x:v>8.502499999999994</x:v>
      </x:c>
      <x:c r="M6129" t="n">
        <x:v>2017</x:v>
      </x:c>
      <x:c r="N6129" s="20" t="n">
        <x:v>42887</x:v>
      </x:c>
    </x:row>
    <x:row r="6130" ht="18" customHeight="1">
      <x:c r="A6130" t="str">
        <x:v>CA-2017-145772</x:v>
      </x:c>
      <x:c r="B6130" s="18" t="n">
        <x:v>42889</x:v>
      </x:c>
      <x:c r="C6130" t="str">
        <x:v>SS-20140</x:v>
      </x:c>
      <x:c r="D6130" t="str">
        <x:v>Saphhira Shifley</x:v>
      </x:c>
      <x:c r="E6130" t="str">
        <x:v>Corporate</x:v>
      </x:c>
      <x:c r="F6130" t="str">
        <x:v>West</x:v>
      </x:c>
      <x:c r="G6130" t="str">
        <x:v>Office Supplies</x:v>
      </x:c>
      <x:c r="H6130" t="str">
        <x:v>Paper</x:v>
      </x:c>
      <x:c r="I6130" s="22" t="n">
        <x:v>11.96</x:v>
      </x:c>
      <x:c r="J6130" s="24" t="n">
        <x:v>2</x:v>
      </x:c>
      <x:c r="K6130" s="26" t="n">
        <x:v>0</x:v>
      </x:c>
      <x:c r="L6130" s="22" t="n">
        <x:v>5.382</x:v>
      </x:c>
      <x:c r="M6130" t="n">
        <x:v>2017</x:v>
      </x:c>
      <x:c r="N6130" s="20" t="n">
        <x:v>42887</x:v>
      </x:c>
    </x:row>
    <x:row r="6131" ht="18" customHeight="1">
      <x:c r="A6131" t="str">
        <x:v>CA-2017-145772</x:v>
      </x:c>
      <x:c r="B6131" s="18" t="n">
        <x:v>42889</x:v>
      </x:c>
      <x:c r="C6131" t="str">
        <x:v>SS-20140</x:v>
      </x:c>
      <x:c r="D6131" t="str">
        <x:v>Saphhira Shifley</x:v>
      </x:c>
      <x:c r="E6131" t="str">
        <x:v>Corporate</x:v>
      </x:c>
      <x:c r="F6131" t="str">
        <x:v>West</x:v>
      </x:c>
      <x:c r="G6131" t="str">
        <x:v>Office Supplies</x:v>
      </x:c>
      <x:c r="H6131" t="str">
        <x:v>Binders</x:v>
      </x:c>
      <x:c r="I6131" s="22" t="n">
        <x:v>3.912</x:v>
      </x:c>
      <x:c r="J6131" s="24" t="n">
        <x:v>1</x:v>
      </x:c>
      <x:c r="K6131" s="26" t="n">
        <x:v>0.2</x:v>
      </x:c>
      <x:c r="L6131" s="22" t="n">
        <x:v>1.2713999999999996</x:v>
      </x:c>
      <x:c r="M6131" t="n">
        <x:v>2017</x:v>
      </x:c>
      <x:c r="N6131" s="20" t="n">
        <x:v>42887</x:v>
      </x:c>
    </x:row>
    <x:row r="6132" ht="18" customHeight="1">
      <x:c r="A6132" t="str">
        <x:v>CA-2016-124100</x:v>
      </x:c>
      <x:c r="B6132" s="18" t="n">
        <x:v>42460</x:v>
      </x:c>
      <x:c r="C6132" t="str">
        <x:v>EH-13990</x:v>
      </x:c>
      <x:c r="D6132" t="str">
        <x:v>Erica Hackney</x:v>
      </x:c>
      <x:c r="E6132" t="str">
        <x:v>Consumer</x:v>
      </x:c>
      <x:c r="F6132" t="str">
        <x:v>East</x:v>
      </x:c>
      <x:c r="G6132" t="str">
        <x:v>Furniture</x:v>
      </x:c>
      <x:c r="H6132" t="str">
        <x:v>Chairs</x:v>
      </x:c>
      <x:c r="I6132" s="22" t="n">
        <x:v>327.99600000000004</x:v>
      </x:c>
      <x:c r="J6132" s="24" t="n">
        <x:v>6</x:v>
      </x:c>
      <x:c r="K6132" s="26" t="n">
        <x:v>0.1</x:v>
      </x:c>
      <x:c r="L6132" s="22" t="n">
        <x:v>54.66600000000001</x:v>
      </x:c>
      <x:c r="M6132" t="n">
        <x:v>2016</x:v>
      </x:c>
      <x:c r="N6132" s="20" t="n">
        <x:v>42430</x:v>
      </x:c>
    </x:row>
    <x:row r="6133" ht="18" customHeight="1">
      <x:c r="A6133" t="str">
        <x:v>US-2014-158400</x:v>
      </x:c>
      <x:c r="B6133" s="18" t="n">
        <x:v>41937</x:v>
      </x:c>
      <x:c r="C6133" t="str">
        <x:v>AH-10030</x:v>
      </x:c>
      <x:c r="D6133" t="str">
        <x:v>Aaron Hawkins</x:v>
      </x:c>
      <x:c r="E6133" t="str">
        <x:v>Corporate</x:v>
      </x:c>
      <x:c r="F6133" t="str">
        <x:v>West</x:v>
      </x:c>
      <x:c r="G6133" t="str">
        <x:v>Office Supplies</x:v>
      </x:c>
      <x:c r="H6133" t="str">
        <x:v>Binders</x:v>
      </x:c>
      <x:c r="I6133" s="22" t="n">
        <x:v>49.408</x:v>
      </x:c>
      <x:c r="J6133" s="24" t="n">
        <x:v>4</x:v>
      </x:c>
      <x:c r="K6133" s="26" t="n">
        <x:v>0.2</x:v>
      </x:c>
      <x:c r="L6133" s="22" t="n">
        <x:v>18.528</x:v>
      </x:c>
      <x:c r="M6133" t="n">
        <x:v>2014</x:v>
      </x:c>
      <x:c r="N6133" s="20" t="n">
        <x:v>41913</x:v>
      </x:c>
    </x:row>
    <x:row r="6134" ht="18" customHeight="1">
      <x:c r="A6134" t="str">
        <x:v>CA-2017-162033</x:v>
      </x:c>
      <x:c r="B6134" s="18" t="n">
        <x:v>42820</x:v>
      </x:c>
      <x:c r="C6134" t="str">
        <x:v>EM-14200</x:v>
      </x:c>
      <x:c r="D6134" t="str">
        <x:v>Evan Minnotte</x:v>
      </x:c>
      <x:c r="E6134" t="str">
        <x:v>Home Office</x:v>
      </x:c>
      <x:c r="F6134" t="str">
        <x:v>South</x:v>
      </x:c>
      <x:c r="G6134" t="str">
        <x:v>Technology</x:v>
      </x:c>
      <x:c r="H6134" t="str">
        <x:v>Accessories</x:v>
      </x:c>
      <x:c r="I6134" s="22" t="n">
        <x:v>53.25</x:v>
      </x:c>
      <x:c r="J6134" s="24" t="n">
        <x:v>3</x:v>
      </x:c>
      <x:c r="K6134" s="26" t="n">
        <x:v>0</x:v>
      </x:c>
      <x:c r="L6134" s="22" t="n">
        <x:v>20.7675</x:v>
      </x:c>
      <x:c r="M6134" t="n">
        <x:v>2017</x:v>
      </x:c>
      <x:c r="N6134" s="20" t="n">
        <x:v>42795</x:v>
      </x:c>
    </x:row>
    <x:row r="6135" ht="18" customHeight="1">
      <x:c r="A6135" t="str">
        <x:v>CA-2017-162033</x:v>
      </x:c>
      <x:c r="B6135" s="18" t="n">
        <x:v>42820</x:v>
      </x:c>
      <x:c r="C6135" t="str">
        <x:v>EM-14200</x:v>
      </x:c>
      <x:c r="D6135" t="str">
        <x:v>Evan Minnotte</x:v>
      </x:c>
      <x:c r="E6135" t="str">
        <x:v>Home Office</x:v>
      </x:c>
      <x:c r="F6135" t="str">
        <x:v>South</x:v>
      </x:c>
      <x:c r="G6135" t="str">
        <x:v>Office Supplies</x:v>
      </x:c>
      <x:c r="H6135" t="str">
        <x:v>Fasteners</x:v>
      </x:c>
      <x:c r="I6135" s="22" t="n">
        <x:v>3.76</x:v>
      </x:c>
      <x:c r="J6135" s="24" t="n">
        <x:v>2</x:v>
      </x:c>
      <x:c r="K6135" s="26" t="n">
        <x:v>0</x:v>
      </x:c>
      <x:c r="L6135" s="22" t="n">
        <x:v>1.3159999999999998</x:v>
      </x:c>
      <x:c r="M6135" t="n">
        <x:v>2017</x:v>
      </x:c>
      <x:c r="N6135" s="20" t="n">
        <x:v>42795</x:v>
      </x:c>
    </x:row>
    <x:row r="6136" ht="18" customHeight="1">
      <x:c r="A6136" t="str">
        <x:v>CA-2014-163447</x:v>
      </x:c>
      <x:c r="B6136" s="18" t="n">
        <x:v>42000</x:v>
      </x:c>
      <x:c r="C6136" t="str">
        <x:v>TB-21190</x:v>
      </x:c>
      <x:c r="D6136" t="str">
        <x:v>Thomas Brumley</x:v>
      </x:c>
      <x:c r="E6136" t="str">
        <x:v>Home Office</x:v>
      </x:c>
      <x:c r="F6136" t="str">
        <x:v>East</x:v>
      </x:c>
      <x:c r="G6136" t="str">
        <x:v>Furniture</x:v>
      </x:c>
      <x:c r="H6136" t="str">
        <x:v>Chairs</x:v>
      </x:c>
      <x:c r="I6136" s="22" t="n">
        <x:v>767.214</x:v>
      </x:c>
      <x:c r="J6136" s="24" t="n">
        <x:v>14</x:v>
      </x:c>
      <x:c r="K6136" s="26" t="n">
        <x:v>0.1</x:v>
      </x:c>
      <x:c r="L6136" s="22" t="n">
        <x:v>161.96739999999997</x:v>
      </x:c>
      <x:c r="M6136" t="n">
        <x:v>2014</x:v>
      </x:c>
      <x:c r="N6136" s="20" t="n">
        <x:v>41974</x:v>
      </x:c>
    </x:row>
    <x:row r="6137" ht="18" customHeight="1">
      <x:c r="A6137" t="str">
        <x:v>CA-2017-145737</x:v>
      </x:c>
      <x:c r="B6137" s="18" t="n">
        <x:v>42993</x:v>
      </x:c>
      <x:c r="C6137" t="str">
        <x:v>AB-10165</x:v>
      </x:c>
      <x:c r="D6137" t="str">
        <x:v>Alan Barnes</x:v>
      </x:c>
      <x:c r="E6137" t="str">
        <x:v>Consumer</x:v>
      </x:c>
      <x:c r="F6137" t="str">
        <x:v>South</x:v>
      </x:c>
      <x:c r="G6137" t="str">
        <x:v>Office Supplies</x:v>
      </x:c>
      <x:c r="H6137" t="str">
        <x:v>Paper</x:v>
      </x:c>
      <x:c r="I6137" s="22" t="n">
        <x:v>163.96</x:v>
      </x:c>
      <x:c r="J6137" s="24" t="n">
        <x:v>5</x:v>
      </x:c>
      <x:c r="K6137" s="26" t="n">
        <x:v>0.2</x:v>
      </x:c>
      <x:c r="L6137" s="22" t="n">
        <x:v>59.4355</x:v>
      </x:c>
      <x:c r="M6137" t="n">
        <x:v>2017</x:v>
      </x:c>
      <x:c r="N6137" s="20" t="n">
        <x:v>42979</x:v>
      </x:c>
    </x:row>
    <x:row r="6138" ht="18" customHeight="1">
      <x:c r="A6138" t="str">
        <x:v>CA-2016-148096</x:v>
      </x:c>
      <x:c r="B6138" s="18" t="n">
        <x:v>42598</x:v>
      </x:c>
      <x:c r="C6138" t="str">
        <x:v>AO-10810</x:v>
      </x:c>
      <x:c r="D6138" t="str">
        <x:v>Anthony O'Donnell</x:v>
      </x:c>
      <x:c r="E6138" t="str">
        <x:v>Corporate</x:v>
      </x:c>
      <x:c r="F6138" t="str">
        <x:v>West</x:v>
      </x:c>
      <x:c r="G6138" t="str">
        <x:v>Furniture</x:v>
      </x:c>
      <x:c r="H6138" t="str">
        <x:v>Tables</x:v>
      </x:c>
      <x:c r="I6138" s="22" t="n">
        <x:v>161.28</x:v>
      </x:c>
      <x:c r="J6138" s="24" t="n">
        <x:v>2</x:v>
      </x:c>
      <x:c r="K6138" s="26" t="n">
        <x:v>0.2</x:v>
      </x:c>
      <x:c r="L6138" s="22" t="n">
        <x:v>12.095999999999997</x:v>
      </x:c>
      <x:c r="M6138" t="n">
        <x:v>2016</x:v>
      </x:c>
      <x:c r="N6138" s="20" t="n">
        <x:v>42583</x:v>
      </x:c>
    </x:row>
    <x:row r="6139" ht="18" customHeight="1">
      <x:c r="A6139" t="str">
        <x:v>CA-2016-146766</x:v>
      </x:c>
      <x:c r="B6139" s="18" t="n">
        <x:v>42678</x:v>
      </x:c>
      <x:c r="C6139" t="str">
        <x:v>TT-21220</x:v>
      </x:c>
      <x:c r="D6139" t="str">
        <x:v>Thomas Thornton</x:v>
      </x:c>
      <x:c r="E6139" t="str">
        <x:v>Consumer</x:v>
      </x:c>
      <x:c r="F6139" t="str">
        <x:v>West</x:v>
      </x:c>
      <x:c r="G6139" t="str">
        <x:v>Office Supplies</x:v>
      </x:c>
      <x:c r="H6139" t="str">
        <x:v>Art</x:v>
      </x:c>
      <x:c r="I6139" s="22" t="n">
        <x:v>192.8</x:v>
      </x:c>
      <x:c r="J6139" s="24" t="n">
        <x:v>4</x:v>
      </x:c>
      <x:c r="K6139" s="26" t="n">
        <x:v>0</x:v>
      </x:c>
      <x:c r="L6139" s="22" t="n">
        <x:v>55.91199999999998</x:v>
      </x:c>
      <x:c r="M6139" t="n">
        <x:v>2016</x:v>
      </x:c>
      <x:c r="N6139" s="20" t="n">
        <x:v>42675</x:v>
      </x:c>
    </x:row>
    <x:row r="6140" ht="18" customHeight="1">
      <x:c r="A6140" t="str">
        <x:v>CA-2015-105613</x:v>
      </x:c>
      <x:c r="B6140" s="18" t="n">
        <x:v>42295</x:v>
      </x:c>
      <x:c r="C6140" t="str">
        <x:v>KN-16705</x:v>
      </x:c>
      <x:c r="D6140" t="str">
        <x:v>Kristina Nunn</x:v>
      </x:c>
      <x:c r="E6140" t="str">
        <x:v>Home Office</x:v>
      </x:c>
      <x:c r="F6140" t="str">
        <x:v>Central</x:v>
      </x:c>
      <x:c r="G6140" t="str">
        <x:v>Technology</x:v>
      </x:c>
      <x:c r="H6140" t="str">
        <x:v>Accessories</x:v>
      </x:c>
      <x:c r="I6140" s="22" t="n">
        <x:v>27.695999999999998</x:v>
      </x:c>
      <x:c r="J6140" s="24" t="n">
        <x:v>3</x:v>
      </x:c>
      <x:c r="K6140" s="26" t="n">
        <x:v>0.2</x:v>
      </x:c>
      <x:c r="L6140" s="22" t="n">
        <x:v>3.4619999999999997</x:v>
      </x:c>
      <x:c r="M6140" t="n">
        <x:v>2015</x:v>
      </x:c>
      <x:c r="N6140" s="20" t="n">
        <x:v>42278</x:v>
      </x:c>
    </x:row>
    <x:row r="6141" ht="18" customHeight="1">
      <x:c r="A6141" t="str">
        <x:v>CA-2015-105613</x:v>
      </x:c>
      <x:c r="B6141" s="18" t="n">
        <x:v>42295</x:v>
      </x:c>
      <x:c r="C6141" t="str">
        <x:v>KN-16705</x:v>
      </x:c>
      <x:c r="D6141" t="str">
        <x:v>Kristina Nunn</x:v>
      </x:c>
      <x:c r="E6141" t="str">
        <x:v>Home Office</x:v>
      </x:c>
      <x:c r="F6141" t="str">
        <x:v>Central</x:v>
      </x:c>
      <x:c r="G6141" t="str">
        <x:v>Office Supplies</x:v>
      </x:c>
      <x:c r="H6141" t="str">
        <x:v>Appliances</x:v>
      </x:c>
      <x:c r="I6141" s="22" t="n">
        <x:v>73.16399999999999</x:v>
      </x:c>
      <x:c r="J6141" s="24" t="n">
        <x:v>6</x:v>
      </x:c>
      <x:c r="K6141" s="26" t="n">
        <x:v>0.8</x:v>
      </x:c>
      <x:c r="L6141" s="22" t="n">
        <x:v>-186.56820000000005</x:v>
      </x:c>
      <x:c r="M6141" t="n">
        <x:v>2015</x:v>
      </x:c>
      <x:c r="N6141" s="20" t="n">
        <x:v>42278</x:v>
      </x:c>
    </x:row>
    <x:row r="6142" ht="18" customHeight="1">
      <x:c r="A6142" t="str">
        <x:v>US-2016-142251</x:v>
      </x:c>
      <x:c r="B6142" s="18" t="n">
        <x:v>42674</x:v>
      </x:c>
      <x:c r="C6142" t="str">
        <x:v>FO-14305</x:v>
      </x:c>
      <x:c r="D6142" t="str">
        <x:v>Frank Olsen</x:v>
      </x:c>
      <x:c r="E6142" t="str">
        <x:v>Consumer</x:v>
      </x:c>
      <x:c r="F6142" t="str">
        <x:v>South</x:v>
      </x:c>
      <x:c r="G6142" t="str">
        <x:v>Office Supplies</x:v>
      </x:c>
      <x:c r="H6142" t="str">
        <x:v>Paper</x:v>
      </x:c>
      <x:c r="I6142" s="22" t="n">
        <x:v>32.064</x:v>
      </x:c>
      <x:c r="J6142" s="24" t="n">
        <x:v>6</x:v>
      </x:c>
      <x:c r="K6142" s="26" t="n">
        <x:v>0.2</x:v>
      </x:c>
      <x:c r="L6142" s="22" t="n">
        <x:v>11.222399999999999</x:v>
      </x:c>
      <x:c r="M6142" t="n">
        <x:v>2016</x:v>
      </x:c>
      <x:c r="N6142" s="20" t="n">
        <x:v>42644</x:v>
      </x:c>
    </x:row>
    <x:row r="6143" ht="18" customHeight="1">
      <x:c r="A6143" t="str">
        <x:v>CA-2014-131247</x:v>
      </x:c>
      <x:c r="B6143" s="18" t="n">
        <x:v>41728</x:v>
      </x:c>
      <x:c r="C6143" t="str">
        <x:v>GA-14725</x:v>
      </x:c>
      <x:c r="D6143" t="str">
        <x:v>Guy Armstrong</x:v>
      </x:c>
      <x:c r="E6143" t="str">
        <x:v>Consumer</x:v>
      </x:c>
      <x:c r="F6143" t="str">
        <x:v>West</x:v>
      </x:c>
      <x:c r="G6143" t="str">
        <x:v>Furniture</x:v>
      </x:c>
      <x:c r="H6143" t="str">
        <x:v>Bookcases</x:v>
      </x:c>
      <x:c r="I6143" s="22" t="n">
        <x:v>205.666</x:v>
      </x:c>
      <x:c r="J6143" s="24" t="n">
        <x:v>2</x:v>
      </x:c>
      <x:c r="K6143" s="26" t="n">
        <x:v>0.15</x:v>
      </x:c>
      <x:c r="L6143" s="22" t="n">
        <x:v>-12.097999999999999</x:v>
      </x:c>
      <x:c r="M6143" t="n">
        <x:v>2014</x:v>
      </x:c>
      <x:c r="N6143" s="20" t="n">
        <x:v>41699</x:v>
      </x:c>
    </x:row>
    <x:row r="6144" ht="18" customHeight="1">
      <x:c r="A6144" t="str">
        <x:v>US-2015-113593</x:v>
      </x:c>
      <x:c r="B6144" s="18" t="n">
        <x:v>42112</x:v>
      </x:c>
      <x:c r="C6144" t="str">
        <x:v>NC-18415</x:v>
      </x:c>
      <x:c r="D6144" t="str">
        <x:v>Nathan Cano</x:v>
      </x:c>
      <x:c r="E6144" t="str">
        <x:v>Consumer</x:v>
      </x:c>
      <x:c r="F6144" t="str">
        <x:v>West</x:v>
      </x:c>
      <x:c r="G6144" t="str">
        <x:v>Office Supplies</x:v>
      </x:c>
      <x:c r="H6144" t="str">
        <x:v>Storage</x:v>
      </x:c>
      <x:c r="I6144" s="22" t="n">
        <x:v>115.44</x:v>
      </x:c>
      <x:c r="J6144" s="24" t="n">
        <x:v>3</x:v>
      </x:c>
      <x:c r="K6144" s="26" t="n">
        <x:v>0</x:v>
      </x:c>
      <x:c r="L6144" s="22" t="n">
        <x:v>30.0144</x:v>
      </x:c>
      <x:c r="M6144" t="n">
        <x:v>2015</x:v>
      </x:c>
      <x:c r="N6144" s="20" t="n">
        <x:v>42095</x:v>
      </x:c>
    </x:row>
    <x:row r="6145" ht="18" customHeight="1">
      <x:c r="A6145" t="str">
        <x:v>CA-2017-121083</x:v>
      </x:c>
      <x:c r="B6145" s="18" t="n">
        <x:v>42925</x:v>
      </x:c>
      <x:c r="C6145" t="str">
        <x:v>JF-15190</x:v>
      </x:c>
      <x:c r="D6145" t="str">
        <x:v>Jamie Frazer</x:v>
      </x:c>
      <x:c r="E6145" t="str">
        <x:v>Consumer</x:v>
      </x:c>
      <x:c r="F6145" t="str">
        <x:v>East</x:v>
      </x:c>
      <x:c r="G6145" t="str">
        <x:v>Office Supplies</x:v>
      </x:c>
      <x:c r="H6145" t="str">
        <x:v>Paper</x:v>
      </x:c>
      <x:c r="I6145" s="22" t="n">
        <x:v>274.8</x:v>
      </x:c>
      <x:c r="J6145" s="24" t="n">
        <x:v>5</x:v>
      </x:c>
      <x:c r="K6145" s="26" t="n">
        <x:v>0</x:v>
      </x:c>
      <x:c r="L6145" s="22" t="n">
        <x:v>134.652</x:v>
      </x:c>
      <x:c r="M6145" t="n">
        <x:v>2017</x:v>
      </x:c>
      <x:c r="N6145" s="20" t="n">
        <x:v>42917</x:v>
      </x:c>
    </x:row>
    <x:row r="6146" ht="18" customHeight="1">
      <x:c r="A6146" t="str">
        <x:v>CA-2017-121083</x:v>
      </x:c>
      <x:c r="B6146" s="18" t="n">
        <x:v>42925</x:v>
      </x:c>
      <x:c r="C6146" t="str">
        <x:v>JF-15190</x:v>
      </x:c>
      <x:c r="D6146" t="str">
        <x:v>Jamie Frazer</x:v>
      </x:c>
      <x:c r="E6146" t="str">
        <x:v>Consumer</x:v>
      </x:c>
      <x:c r="F6146" t="str">
        <x:v>East</x:v>
      </x:c>
      <x:c r="G6146" t="str">
        <x:v>Office Supplies</x:v>
      </x:c>
      <x:c r="H6146" t="str">
        <x:v>Storage</x:v>
      </x:c>
      <x:c r="I6146" s="22" t="n">
        <x:v>195.64</x:v>
      </x:c>
      <x:c r="J6146" s="24" t="n">
        <x:v>4</x:v>
      </x:c>
      <x:c r="K6146" s="26" t="n">
        <x:v>0</x:v>
      </x:c>
      <x:c r="L6146" s="22" t="n">
        <x:v>3.9128000000000043</x:v>
      </x:c>
      <x:c r="M6146" t="n">
        <x:v>2017</x:v>
      </x:c>
      <x:c r="N6146" s="20" t="n">
        <x:v>42917</x:v>
      </x:c>
    </x:row>
    <x:row r="6147" ht="18" customHeight="1">
      <x:c r="A6147" t="str">
        <x:v>CA-2017-121083</x:v>
      </x:c>
      <x:c r="B6147" s="18" t="n">
        <x:v>42925</x:v>
      </x:c>
      <x:c r="C6147" t="str">
        <x:v>JF-15190</x:v>
      </x:c>
      <x:c r="D6147" t="str">
        <x:v>Jamie Frazer</x:v>
      </x:c>
      <x:c r="E6147" t="str">
        <x:v>Consumer</x:v>
      </x:c>
      <x:c r="F6147" t="str">
        <x:v>East</x:v>
      </x:c>
      <x:c r="G6147" t="str">
        <x:v>Technology</x:v>
      </x:c>
      <x:c r="H6147" t="str">
        <x:v>Phones</x:v>
      </x:c>
      <x:c r="I6147" s="22" t="n">
        <x:v>257.98</x:v>
      </x:c>
      <x:c r="J6147" s="24" t="n">
        <x:v>2</x:v>
      </x:c>
      <x:c r="K6147" s="26" t="n">
        <x:v>0</x:v>
      </x:c>
      <x:c r="L6147" s="22" t="n">
        <x:v>74.8142</x:v>
      </x:c>
      <x:c r="M6147" t="n">
        <x:v>2017</x:v>
      </x:c>
      <x:c r="N6147" s="20" t="n">
        <x:v>42917</x:v>
      </x:c>
    </x:row>
    <x:row r="6148" ht="18" customHeight="1">
      <x:c r="A6148" t="str">
        <x:v>CA-2017-121083</x:v>
      </x:c>
      <x:c r="B6148" s="18" t="n">
        <x:v>42925</x:v>
      </x:c>
      <x:c r="C6148" t="str">
        <x:v>JF-15190</x:v>
      </x:c>
      <x:c r="D6148" t="str">
        <x:v>Jamie Frazer</x:v>
      </x:c>
      <x:c r="E6148" t="str">
        <x:v>Consumer</x:v>
      </x:c>
      <x:c r="F6148" t="str">
        <x:v>East</x:v>
      </x:c>
      <x:c r="G6148" t="str">
        <x:v>Office Supplies</x:v>
      </x:c>
      <x:c r="H6148" t="str">
        <x:v>Art</x:v>
      </x:c>
      <x:c r="I6148" s="22" t="n">
        <x:v>119.03999999999999</x:v>
      </x:c>
      <x:c r="J6148" s="24" t="n">
        <x:v>6</x:v>
      </x:c>
      <x:c r="K6148" s="26" t="n">
        <x:v>0</x:v>
      </x:c>
      <x:c r="L6148" s="22" t="n">
        <x:v>48.80640000000001</x:v>
      </x:c>
      <x:c r="M6148" t="n">
        <x:v>2017</x:v>
      </x:c>
      <x:c r="N6148" s="20" t="n">
        <x:v>42917</x:v>
      </x:c>
    </x:row>
    <x:row r="6149" ht="18" customHeight="1">
      <x:c r="A6149" t="str">
        <x:v>CA-2017-151190</x:v>
      </x:c>
      <x:c r="B6149" s="18" t="n">
        <x:v>42913</x:v>
      </x:c>
      <x:c r="C6149" t="str">
        <x:v>GT-14710</x:v>
      </x:c>
      <x:c r="D6149" t="str">
        <x:v>Greg Tran</x:v>
      </x:c>
      <x:c r="E6149" t="str">
        <x:v>Consumer</x:v>
      </x:c>
      <x:c r="F6149" t="str">
        <x:v>Central</x:v>
      </x:c>
      <x:c r="G6149" t="str">
        <x:v>Office Supplies</x:v>
      </x:c>
      <x:c r="H6149" t="str">
        <x:v>Paper</x:v>
      </x:c>
      <x:c r="I6149" s="22" t="n">
        <x:v>20.07</x:v>
      </x:c>
      <x:c r="J6149" s="24" t="n">
        <x:v>3</x:v>
      </x:c>
      <x:c r="K6149" s="26" t="n">
        <x:v>0</x:v>
      </x:c>
      <x:c r="L6149" s="22" t="n">
        <x:v>9.232199999999999</x:v>
      </x:c>
      <x:c r="M6149" t="n">
        <x:v>2017</x:v>
      </x:c>
      <x:c r="N6149" s="20" t="n">
        <x:v>42887</x:v>
      </x:c>
    </x:row>
    <x:row r="6150" ht="18" customHeight="1">
      <x:c r="A6150" t="str">
        <x:v>CA-2014-133543</x:v>
      </x:c>
      <x:c r="B6150" s="18" t="n">
        <x:v>41995</x:v>
      </x:c>
      <x:c r="C6150" t="str">
        <x:v>KM-16660</x:v>
      </x:c>
      <x:c r="D6150" t="str">
        <x:v>Khloe Miller</x:v>
      </x:c>
      <x:c r="E6150" t="str">
        <x:v>Consumer</x:v>
      </x:c>
      <x:c r="F6150" t="str">
        <x:v>West</x:v>
      </x:c>
      <x:c r="G6150" t="str">
        <x:v>Office Supplies</x:v>
      </x:c>
      <x:c r="H6150" t="str">
        <x:v>Art</x:v>
      </x:c>
      <x:c r="I6150" s="22" t="n">
        <x:v>11.76</x:v>
      </x:c>
      <x:c r="J6150" s="24" t="n">
        <x:v>4</x:v>
      </x:c>
      <x:c r="K6150" s="26" t="n">
        <x:v>0</x:v>
      </x:c>
      <x:c r="L6150" s="22" t="n">
        <x:v>3.1752000000000002</x:v>
      </x:c>
      <x:c r="M6150" t="n">
        <x:v>2014</x:v>
      </x:c>
      <x:c r="N6150" s="20" t="n">
        <x:v>41974</x:v>
      </x:c>
    </x:row>
    <x:row r="6151" ht="18" customHeight="1">
      <x:c r="A6151" t="str">
        <x:v>CA-2017-105130</x:v>
      </x:c>
      <x:c r="B6151" s="18" t="n">
        <x:v>43060</x:v>
      </x:c>
      <x:c r="C6151" t="str">
        <x:v>PJ-18835</x:v>
      </x:c>
      <x:c r="D6151" t="str">
        <x:v>Patrick Jones</x:v>
      </x:c>
      <x:c r="E6151" t="str">
        <x:v>Corporate</x:v>
      </x:c>
      <x:c r="F6151" t="str">
        <x:v>West</x:v>
      </x:c>
      <x:c r="G6151" t="str">
        <x:v>Office Supplies</x:v>
      </x:c>
      <x:c r="H6151" t="str">
        <x:v>Art</x:v>
      </x:c>
      <x:c r="I6151" s="22" t="n">
        <x:v>11.76</x:v>
      </x:c>
      <x:c r="J6151" s="24" t="n">
        <x:v>4</x:v>
      </x:c>
      <x:c r="K6151" s="26" t="n">
        <x:v>0</x:v>
      </x:c>
      <x:c r="L6151" s="22" t="n">
        <x:v>3.1752000000000002</x:v>
      </x:c>
      <x:c r="M6151" t="n">
        <x:v>2017</x:v>
      </x:c>
      <x:c r="N6151" s="20" t="n">
        <x:v>43040</x:v>
      </x:c>
    </x:row>
    <x:row r="6152" ht="18" customHeight="1">
      <x:c r="A6152" t="str">
        <x:v>CA-2017-105130</x:v>
      </x:c>
      <x:c r="B6152" s="18" t="n">
        <x:v>43060</x:v>
      </x:c>
      <x:c r="C6152" t="str">
        <x:v>PJ-18835</x:v>
      </x:c>
      <x:c r="D6152" t="str">
        <x:v>Patrick Jones</x:v>
      </x:c>
      <x:c r="E6152" t="str">
        <x:v>Corporate</x:v>
      </x:c>
      <x:c r="F6152" t="str">
        <x:v>West</x:v>
      </x:c>
      <x:c r="G6152" t="str">
        <x:v>Office Supplies</x:v>
      </x:c>
      <x:c r="H6152" t="str">
        <x:v>Binders</x:v>
      </x:c>
      <x:c r="I6152" s="22" t="n">
        <x:v>40.736000000000004</x:v>
      </x:c>
      <x:c r="J6152" s="24" t="n">
        <x:v>2</x:v>
      </x:c>
      <x:c r="K6152" s="26" t="n">
        <x:v>0.2</x:v>
      </x:c>
      <x:c r="L6152" s="22" t="n">
        <x:v>14.7668</x:v>
      </x:c>
      <x:c r="M6152" t="n">
        <x:v>2017</x:v>
      </x:c>
      <x:c r="N6152" s="20" t="n">
        <x:v>43040</x:v>
      </x:c>
    </x:row>
    <x:row r="6153" ht="18" customHeight="1">
      <x:c r="A6153" t="str">
        <x:v>CA-2016-161928</x:v>
      </x:c>
      <x:c r="B6153" s="18" t="n">
        <x:v>42548</x:v>
      </x:c>
      <x:c r="C6153" t="str">
        <x:v>AC-10660</x:v>
      </x:c>
      <x:c r="D6153" t="str">
        <x:v>Anna Chung</x:v>
      </x:c>
      <x:c r="E6153" t="str">
        <x:v>Consumer</x:v>
      </x:c>
      <x:c r="F6153" t="str">
        <x:v>West</x:v>
      </x:c>
      <x:c r="G6153" t="str">
        <x:v>Technology</x:v>
      </x:c>
      <x:c r="H6153" t="str">
        <x:v>Phones</x:v>
      </x:c>
      <x:c r="I6153" s="22" t="n">
        <x:v>201.584</x:v>
      </x:c>
      <x:c r="J6153" s="24" t="n">
        <x:v>2</x:v>
      </x:c>
      <x:c r="K6153" s="26" t="n">
        <x:v>0.2</x:v>
      </x:c>
      <x:c r="L6153" s="22" t="n">
        <x:v>12.599000000000004</x:v>
      </x:c>
      <x:c r="M6153" t="n">
        <x:v>2016</x:v>
      </x:c>
      <x:c r="N6153" s="20" t="n">
        <x:v>42522</x:v>
      </x:c>
    </x:row>
    <x:row r="6154" ht="18" customHeight="1">
      <x:c r="A6154" t="str">
        <x:v>CA-2017-101322</x:v>
      </x:c>
      <x:c r="B6154" s="18" t="n">
        <x:v>43097</x:v>
      </x:c>
      <x:c r="C6154" t="str">
        <x:v>JG-15310</x:v>
      </x:c>
      <x:c r="D6154" t="str">
        <x:v>Jason Gross</x:v>
      </x:c>
      <x:c r="E6154" t="str">
        <x:v>Corporate</x:v>
      </x:c>
      <x:c r="F6154" t="str">
        <x:v>West</x:v>
      </x:c>
      <x:c r="G6154" t="str">
        <x:v>Furniture</x:v>
      </x:c>
      <x:c r="H6154" t="str">
        <x:v>Chairs</x:v>
      </x:c>
      <x:c r="I6154" s="22" t="n">
        <x:v>340.70400000000006</x:v>
      </x:c>
      <x:c r="J6154" s="24" t="n">
        <x:v>6</x:v>
      </x:c>
      <x:c r="K6154" s="26" t="n">
        <x:v>0.2</x:v>
      </x:c>
      <x:c r="L6154" s="22" t="n">
        <x:v>-34.07040000000001</x:v>
      </x:c>
      <x:c r="M6154" t="n">
        <x:v>2017</x:v>
      </x:c>
      <x:c r="N6154" s="20" t="n">
        <x:v>43070</x:v>
      </x:c>
    </x:row>
    <x:row r="6155" ht="18" customHeight="1">
      <x:c r="A6155" t="str">
        <x:v>US-2016-106600</x:v>
      </x:c>
      <x:c r="B6155" s="18" t="n">
        <x:v>42468</x:v>
      </x:c>
      <x:c r="C6155" t="str">
        <x:v>RM-19375</x:v>
      </x:c>
      <x:c r="D6155" t="str">
        <x:v>Raymond Messe</x:v>
      </x:c>
      <x:c r="E6155" t="str">
        <x:v>Consumer</x:v>
      </x:c>
      <x:c r="F6155" t="str">
        <x:v>South</x:v>
      </x:c>
      <x:c r="G6155" t="str">
        <x:v>Furniture</x:v>
      </x:c>
      <x:c r="H6155" t="str">
        <x:v>Bookcases</x:v>
      </x:c>
      <x:c r="I6155" s="22" t="n">
        <x:v>354.90000000000003</x:v>
      </x:c>
      <x:c r="J6155" s="24" t="n">
        <x:v>5</x:v>
      </x:c>
      <x:c r="K6155" s="26" t="n">
        <x:v>0</x:v>
      </x:c>
      <x:c r="L6155" s="22" t="n">
        <x:v>88.72500000000002</x:v>
      </x:c>
      <x:c r="M6155" t="n">
        <x:v>2016</x:v>
      </x:c>
      <x:c r="N6155" s="20" t="n">
        <x:v>42461</x:v>
      </x:c>
    </x:row>
    <x:row r="6156" ht="18" customHeight="1">
      <x:c r="A6156" t="str">
        <x:v>CA-2014-111871</x:v>
      </x:c>
      <x:c r="B6156" s="18" t="n">
        <x:v>41716</x:v>
      </x:c>
      <x:c r="C6156" t="str">
        <x:v>EK-13795</x:v>
      </x:c>
      <x:c r="D6156" t="str">
        <x:v>Eileen Kiefer</x:v>
      </x:c>
      <x:c r="E6156" t="str">
        <x:v>Home Office</x:v>
      </x:c>
      <x:c r="F6156" t="str">
        <x:v>West</x:v>
      </x:c>
      <x:c r="G6156" t="str">
        <x:v>Furniture</x:v>
      </x:c>
      <x:c r="H6156" t="str">
        <x:v>Bookcases</x:v>
      </x:c>
      <x:c r="I6156" s="22" t="n">
        <x:v>1198.33</x:v>
      </x:c>
      <x:c r="J6156" s="24" t="n">
        <x:v>10</x:v>
      </x:c>
      <x:c r="K6156" s="26" t="n">
        <x:v>0.15</x:v>
      </x:c>
      <x:c r="L6156" s="22" t="n">
        <x:v>70.49000000000001</x:v>
      </x:c>
      <x:c r="M6156" t="n">
        <x:v>2014</x:v>
      </x:c>
      <x:c r="N6156" s="20" t="n">
        <x:v>41699</x:v>
      </x:c>
    </x:row>
    <x:row r="6157" ht="18" customHeight="1">
      <x:c r="A6157" t="str">
        <x:v>CA-2017-139437</x:v>
      </x:c>
      <x:c r="B6157" s="18" t="n">
        <x:v>42919</x:v>
      </x:c>
      <x:c r="C6157" t="str">
        <x:v>RD-19585</x:v>
      </x:c>
      <x:c r="D6157" t="str">
        <x:v>Rob Dowd</x:v>
      </x:c>
      <x:c r="E6157" t="str">
        <x:v>Consumer</x:v>
      </x:c>
      <x:c r="F6157" t="str">
        <x:v>West</x:v>
      </x:c>
      <x:c r="G6157" t="str">
        <x:v>Office Supplies</x:v>
      </x:c>
      <x:c r="H6157" t="str">
        <x:v>Storage</x:v>
      </x:c>
      <x:c r="I6157" s="22" t="n">
        <x:v>87.92</x:v>
      </x:c>
      <x:c r="J6157" s="24" t="n">
        <x:v>4</x:v>
      </x:c>
      <x:c r="K6157" s="26" t="n">
        <x:v>0</x:v>
      </x:c>
      <x:c r="L6157" s="22" t="n">
        <x:v>0.8791999999999973</x:v>
      </x:c>
      <x:c r="M6157" t="n">
        <x:v>2017</x:v>
      </x:c>
      <x:c r="N6157" s="20" t="n">
        <x:v>42917</x:v>
      </x:c>
    </x:row>
    <x:row r="6158" ht="18" customHeight="1">
      <x:c r="A6158" t="str">
        <x:v>CA-2017-151484</x:v>
      </x:c>
      <x:c r="B6158" s="18" t="n">
        <x:v>42845</x:v>
      </x:c>
      <x:c r="C6158" t="str">
        <x:v>CV-12805</x:v>
      </x:c>
      <x:c r="D6158" t="str">
        <x:v>Cynthia Voltz</x:v>
      </x:c>
      <x:c r="E6158" t="str">
        <x:v>Corporate</x:v>
      </x:c>
      <x:c r="F6158" t="str">
        <x:v>East</x:v>
      </x:c>
      <x:c r="G6158" t="str">
        <x:v>Furniture</x:v>
      </x:c>
      <x:c r="H6158" t="str">
        <x:v>Furnishings</x:v>
      </x:c>
      <x:c r="I6158" s="22" t="n">
        <x:v>51.967999999999996</x:v>
      </x:c>
      <x:c r="J6158" s="24" t="n">
        <x:v>2</x:v>
      </x:c>
      <x:c r="K6158" s="26" t="n">
        <x:v>0.2</x:v>
      </x:c>
      <x:c r="L6158" s="22" t="n">
        <x:v>10.393599999999998</x:v>
      </x:c>
      <x:c r="M6158" t="n">
        <x:v>2017</x:v>
      </x:c>
      <x:c r="N6158" s="20" t="n">
        <x:v>42826</x:v>
      </x:c>
    </x:row>
    <x:row r="6159" ht="18" customHeight="1">
      <x:c r="A6159" t="str">
        <x:v>CA-2017-151484</x:v>
      </x:c>
      <x:c r="B6159" s="18" t="n">
        <x:v>42845</x:v>
      </x:c>
      <x:c r="C6159" t="str">
        <x:v>CV-12805</x:v>
      </x:c>
      <x:c r="D6159" t="str">
        <x:v>Cynthia Voltz</x:v>
      </x:c>
      <x:c r="E6159" t="str">
        <x:v>Corporate</x:v>
      </x:c>
      <x:c r="F6159" t="str">
        <x:v>East</x:v>
      </x:c>
      <x:c r="G6159" t="str">
        <x:v>Office Supplies</x:v>
      </x:c>
      <x:c r="H6159" t="str">
        <x:v>Storage</x:v>
      </x:c>
      <x:c r="I6159" s="22" t="n">
        <x:v>51.336000000000006</x:v>
      </x:c>
      <x:c r="J6159" s="24" t="n">
        <x:v>3</x:v>
      </x:c>
      <x:c r="K6159" s="26" t="n">
        <x:v>0.2</x:v>
      </x:c>
      <x:c r="L6159" s="22" t="n">
        <x:v>5.775299999999996</x:v>
      </x:c>
      <x:c r="M6159" t="n">
        <x:v>2017</x:v>
      </x:c>
      <x:c r="N6159" s="20" t="n">
        <x:v>42826</x:v>
      </x:c>
    </x:row>
    <x:row r="6160" ht="18" customHeight="1">
      <x:c r="A6160" t="str">
        <x:v>CA-2017-151484</x:v>
      </x:c>
      <x:c r="B6160" s="18" t="n">
        <x:v>42845</x:v>
      </x:c>
      <x:c r="C6160" t="str">
        <x:v>CV-12805</x:v>
      </x:c>
      <x:c r="D6160" t="str">
        <x:v>Cynthia Voltz</x:v>
      </x:c>
      <x:c r="E6160" t="str">
        <x:v>Corporate</x:v>
      </x:c>
      <x:c r="F6160" t="str">
        <x:v>East</x:v>
      </x:c>
      <x:c r="G6160" t="str">
        <x:v>Office Supplies</x:v>
      </x:c>
      <x:c r="H6160" t="str">
        <x:v>Storage</x:v>
      </x:c>
      <x:c r="I6160" s="22" t="n">
        <x:v>332.704</x:v>
      </x:c>
      <x:c r="J6160" s="24" t="n">
        <x:v>1</x:v>
      </x:c>
      <x:c r="K6160" s="26" t="n">
        <x:v>0.2</x:v>
      </x:c>
      <x:c r="L6160" s="22" t="n">
        <x:v>33.27039999999998</x:v>
      </x:c>
      <x:c r="M6160" t="n">
        <x:v>2017</x:v>
      </x:c>
      <x:c r="N6160" s="20" t="n">
        <x:v>42826</x:v>
      </x:c>
    </x:row>
    <x:row r="6161" ht="18" customHeight="1">
      <x:c r="A6161" t="str">
        <x:v>CA-2017-151484</x:v>
      </x:c>
      <x:c r="B6161" s="18" t="n">
        <x:v>42845</x:v>
      </x:c>
      <x:c r="C6161" t="str">
        <x:v>CV-12805</x:v>
      </x:c>
      <x:c r="D6161" t="str">
        <x:v>Cynthia Voltz</x:v>
      </x:c>
      <x:c r="E6161" t="str">
        <x:v>Corporate</x:v>
      </x:c>
      <x:c r="F6161" t="str">
        <x:v>East</x:v>
      </x:c>
      <x:c r="G6161" t="str">
        <x:v>Furniture</x:v>
      </x:c>
      <x:c r="H6161" t="str">
        <x:v>Furnishings</x:v>
      </x:c>
      <x:c r="I6161" s="22" t="n">
        <x:v>42.40800000000001</x:v>
      </x:c>
      <x:c r="J6161" s="24" t="n">
        <x:v>3</x:v>
      </x:c>
      <x:c r="K6161" s="26" t="n">
        <x:v>0.2</x:v>
      </x:c>
      <x:c r="L6161" s="22" t="n">
        <x:v>9.5418</x:v>
      </x:c>
      <x:c r="M6161" t="n">
        <x:v>2017</x:v>
      </x:c>
      <x:c r="N6161" s="20" t="n">
        <x:v>42826</x:v>
      </x:c>
    </x:row>
    <x:row r="6162" ht="18" customHeight="1">
      <x:c r="A6162" t="str">
        <x:v>CA-2016-104150</x:v>
      </x:c>
      <x:c r="B6162" s="18" t="n">
        <x:v>42585</x:v>
      </x:c>
      <x:c r="C6162" t="str">
        <x:v>AG-10330</x:v>
      </x:c>
      <x:c r="D6162" t="str">
        <x:v>Alex Grayson</x:v>
      </x:c>
      <x:c r="E6162" t="str">
        <x:v>Consumer</x:v>
      </x:c>
      <x:c r="F6162" t="str">
        <x:v>Central</x:v>
      </x:c>
      <x:c r="G6162" t="str">
        <x:v>Office Supplies</x:v>
      </x:c>
      <x:c r="H6162" t="str">
        <x:v>Envelopes</x:v>
      </x:c>
      <x:c r="I6162" s="22" t="n">
        <x:v>81.53999999999999</x:v>
      </x:c>
      <x:c r="J6162" s="24" t="n">
        <x:v>3</x:v>
      </x:c>
      <x:c r="K6162" s="26" t="n">
        <x:v>0</x:v>
      </x:c>
      <x:c r="L6162" s="22" t="n">
        <x:v>38.3238</x:v>
      </x:c>
      <x:c r="M6162" t="n">
        <x:v>2016</x:v>
      </x:c>
      <x:c r="N6162" s="20" t="n">
        <x:v>42583</x:v>
      </x:c>
    </x:row>
    <x:row r="6163" ht="18" customHeight="1">
      <x:c r="A6163" t="str">
        <x:v>CA-2016-104150</x:v>
      </x:c>
      <x:c r="B6163" s="18" t="n">
        <x:v>42585</x:v>
      </x:c>
      <x:c r="C6163" t="str">
        <x:v>AG-10330</x:v>
      </x:c>
      <x:c r="D6163" t="str">
        <x:v>Alex Grayson</x:v>
      </x:c>
      <x:c r="E6163" t="str">
        <x:v>Consumer</x:v>
      </x:c>
      <x:c r="F6163" t="str">
        <x:v>Central</x:v>
      </x:c>
      <x:c r="G6163" t="str">
        <x:v>Technology</x:v>
      </x:c>
      <x:c r="H6163" t="str">
        <x:v>Accessories</x:v>
      </x:c>
      <x:c r="I6163" s="22" t="n">
        <x:v>167.28</x:v>
      </x:c>
      <x:c r="J6163" s="24" t="n">
        <x:v>12</x:v>
      </x:c>
      <x:c r="K6163" s="26" t="n">
        <x:v>0</x:v>
      </x:c>
      <x:c r="L6163" s="22" t="n">
        <x:v>23.41920000000001</x:v>
      </x:c>
      <x:c r="M6163" t="n">
        <x:v>2016</x:v>
      </x:c>
      <x:c r="N6163" s="20" t="n">
        <x:v>42583</x:v>
      </x:c>
    </x:row>
    <x:row r="6164" ht="18" customHeight="1">
      <x:c r="A6164" t="str">
        <x:v>CA-2016-161025</x:v>
      </x:c>
      <x:c r="B6164" s="18" t="n">
        <x:v>42707</x:v>
      </x:c>
      <x:c r="C6164" t="str">
        <x:v>GM-14440</x:v>
      </x:c>
      <x:c r="D6164" t="str">
        <x:v>Gary McGarr</x:v>
      </x:c>
      <x:c r="E6164" t="str">
        <x:v>Consumer</x:v>
      </x:c>
      <x:c r="F6164" t="str">
        <x:v>West</x:v>
      </x:c>
      <x:c r="G6164" t="str">
        <x:v>Office Supplies</x:v>
      </x:c>
      <x:c r="H6164" t="str">
        <x:v>Storage</x:v>
      </x:c>
      <x:c r="I6164" s="22" t="n">
        <x:v>772.68</x:v>
      </x:c>
      <x:c r="J6164" s="24" t="n">
        <x:v>4</x:v>
      </x:c>
      <x:c r="K6164" s="26" t="n">
        <x:v>0</x:v>
      </x:c>
      <x:c r="L6164" s="22" t="n">
        <x:v>108.17520000000002</x:v>
      </x:c>
      <x:c r="M6164" t="n">
        <x:v>2016</x:v>
      </x:c>
      <x:c r="N6164" s="20" t="n">
        <x:v>42705</x:v>
      </x:c>
    </x:row>
    <x:row r="6165" ht="18" customHeight="1">
      <x:c r="A6165" t="str">
        <x:v>CA-2014-103989</x:v>
      </x:c>
      <x:c r="B6165" s="18" t="n">
        <x:v>41717</x:v>
      </x:c>
      <x:c r="C6165" t="str">
        <x:v>MC-17605</x:v>
      </x:c>
      <x:c r="D6165" t="str">
        <x:v>Matt Connell</x:v>
      </x:c>
      <x:c r="E6165" t="str">
        <x:v>Corporate</x:v>
      </x:c>
      <x:c r="F6165" t="str">
        <x:v>South</x:v>
      </x:c>
      <x:c r="G6165" t="str">
        <x:v>Technology</x:v>
      </x:c>
      <x:c r="H6165" t="str">
        <x:v>Phones</x:v>
      </x:c>
      <x:c r="I6165" s="22" t="n">
        <x:v>323.97600000000006</x:v>
      </x:c>
      <x:c r="J6165" s="24" t="n">
        <x:v>3</x:v>
      </x:c>
      <x:c r="K6165" s="26" t="n">
        <x:v>0.2</x:v>
      </x:c>
      <x:c r="L6165" s="22" t="n">
        <x:v>28.34789999999998</x:v>
      </x:c>
      <x:c r="M6165" t="n">
        <x:v>2014</x:v>
      </x:c>
      <x:c r="N6165" s="20" t="n">
        <x:v>41699</x:v>
      </x:c>
    </x:row>
    <x:row r="6166" ht="18" customHeight="1">
      <x:c r="A6166" t="str">
        <x:v>CA-2014-103989</x:v>
      </x:c>
      <x:c r="B6166" s="18" t="n">
        <x:v>41717</x:v>
      </x:c>
      <x:c r="C6166" t="str">
        <x:v>MC-17605</x:v>
      </x:c>
      <x:c r="D6166" t="str">
        <x:v>Matt Connell</x:v>
      </x:c>
      <x:c r="E6166" t="str">
        <x:v>Corporate</x:v>
      </x:c>
      <x:c r="F6166" t="str">
        <x:v>South</x:v>
      </x:c>
      <x:c r="G6166" t="str">
        <x:v>Office Supplies</x:v>
      </x:c>
      <x:c r="H6166" t="str">
        <x:v>Labels</x:v>
      </x:c>
      <x:c r="I6166" s="22" t="n">
        <x:v>11.808</x:v>
      </x:c>
      <x:c r="J6166" s="24" t="n">
        <x:v>4</x:v>
      </x:c>
      <x:c r="K6166" s="26" t="n">
        <x:v>0.2</x:v>
      </x:c>
      <x:c r="L6166" s="22" t="n">
        <x:v>3.9852</x:v>
      </x:c>
      <x:c r="M6166" t="n">
        <x:v>2014</x:v>
      </x:c>
      <x:c r="N6166" s="20" t="n">
        <x:v>41699</x:v>
      </x:c>
    </x:row>
    <x:row r="6167" ht="18" customHeight="1">
      <x:c r="A6167" t="str">
        <x:v>CA-2014-103989</x:v>
      </x:c>
      <x:c r="B6167" s="18" t="n">
        <x:v>41717</x:v>
      </x:c>
      <x:c r="C6167" t="str">
        <x:v>MC-17605</x:v>
      </x:c>
      <x:c r="D6167" t="str">
        <x:v>Matt Connell</x:v>
      </x:c>
      <x:c r="E6167" t="str">
        <x:v>Corporate</x:v>
      </x:c>
      <x:c r="F6167" t="str">
        <x:v>South</x:v>
      </x:c>
      <x:c r="G6167" t="str">
        <x:v>Office Supplies</x:v>
      </x:c>
      <x:c r="H6167" t="str">
        <x:v>Storage</x:v>
      </x:c>
      <x:c r="I6167" s="22" t="n">
        <x:v>26.160000000000004</x:v>
      </x:c>
      <x:c r="J6167" s="24" t="n">
        <x:v>3</x:v>
      </x:c>
      <x:c r="K6167" s="26" t="n">
        <x:v>0.2</x:v>
      </x:c>
      <x:c r="L6167" s="22" t="n">
        <x:v>1.961999999999998</x:v>
      </x:c>
      <x:c r="M6167" t="n">
        <x:v>2014</x:v>
      </x:c>
      <x:c r="N6167" s="20" t="n">
        <x:v>41699</x:v>
      </x:c>
    </x:row>
    <x:row r="6168" ht="18" customHeight="1">
      <x:c r="A6168" t="str">
        <x:v>CA-2014-103989</x:v>
      </x:c>
      <x:c r="B6168" s="18" t="n">
        <x:v>41717</x:v>
      </x:c>
      <x:c r="C6168" t="str">
        <x:v>MC-17605</x:v>
      </x:c>
      <x:c r="D6168" t="str">
        <x:v>Matt Connell</x:v>
      </x:c>
      <x:c r="E6168" t="str">
        <x:v>Corporate</x:v>
      </x:c>
      <x:c r="F6168" t="str">
        <x:v>South</x:v>
      </x:c>
      <x:c r="G6168" t="str">
        <x:v>Office Supplies</x:v>
      </x:c>
      <x:c r="H6168" t="str">
        <x:v>Binders</x:v>
      </x:c>
      <x:c r="I6168" s="22" t="n">
        <x:v>33.57</x:v>
      </x:c>
      <x:c r="J6168" s="24" t="n">
        <x:v>5</x:v>
      </x:c>
      <x:c r="K6168" s="26" t="n">
        <x:v>0.7</x:v>
      </x:c>
      <x:c r="L6168" s="22" t="n">
        <x:v>-25.737000000000002</x:v>
      </x:c>
      <x:c r="M6168" t="n">
        <x:v>2014</x:v>
      </x:c>
      <x:c r="N6168" s="20" t="n">
        <x:v>41699</x:v>
      </x:c>
    </x:row>
    <x:row r="6169" ht="18" customHeight="1">
      <x:c r="A6169" t="str">
        <x:v>CA-2014-103989</x:v>
      </x:c>
      <x:c r="B6169" s="18" t="n">
        <x:v>41717</x:v>
      </x:c>
      <x:c r="C6169" t="str">
        <x:v>MC-17605</x:v>
      </x:c>
      <x:c r="D6169" t="str">
        <x:v>Matt Connell</x:v>
      </x:c>
      <x:c r="E6169" t="str">
        <x:v>Corporate</x:v>
      </x:c>
      <x:c r="F6169" t="str">
        <x:v>South</x:v>
      </x:c>
      <x:c r="G6169" t="str">
        <x:v>Furniture</x:v>
      </x:c>
      <x:c r="H6169" t="str">
        <x:v>Furnishings</x:v>
      </x:c>
      <x:c r="I6169" s="22" t="n">
        <x:v>4.992000000000001</x:v>
      </x:c>
      <x:c r="J6169" s="24" t="n">
        <x:v>3</x:v>
      </x:c>
      <x:c r="K6169" s="26" t="n">
        <x:v>0.2</x:v>
      </x:c>
      <x:c r="L6169" s="22" t="n">
        <x:v>1.3728000000000002</x:v>
      </x:c>
      <x:c r="M6169" t="n">
        <x:v>2014</x:v>
      </x:c>
      <x:c r="N6169" s="20" t="n">
        <x:v>41699</x:v>
      </x:c>
    </x:row>
    <x:row r="6170" ht="18" customHeight="1">
      <x:c r="A6170" t="str">
        <x:v>CA-2014-103989</x:v>
      </x:c>
      <x:c r="B6170" s="18" t="n">
        <x:v>41717</x:v>
      </x:c>
      <x:c r="C6170" t="str">
        <x:v>MC-17605</x:v>
      </x:c>
      <x:c r="D6170" t="str">
        <x:v>Matt Connell</x:v>
      </x:c>
      <x:c r="E6170" t="str">
        <x:v>Corporate</x:v>
      </x:c>
      <x:c r="F6170" t="str">
        <x:v>South</x:v>
      </x:c>
      <x:c r="G6170" t="str">
        <x:v>Furniture</x:v>
      </x:c>
      <x:c r="H6170" t="str">
        <x:v>Furnishings</x:v>
      </x:c>
      <x:c r="I6170" s="22" t="n">
        <x:v>20.016000000000002</x:v>
      </x:c>
      <x:c r="J6170" s="24" t="n">
        <x:v>3</x:v>
      </x:c>
      <x:c r="K6170" s="26" t="n">
        <x:v>0.2</x:v>
      </x:c>
      <x:c r="L6170" s="22" t="n">
        <x:v>5.504400000000001</x:v>
      </x:c>
      <x:c r="M6170" t="n">
        <x:v>2014</x:v>
      </x:c>
      <x:c r="N6170" s="20" t="n">
        <x:v>41699</x:v>
      </x:c>
    </x:row>
    <x:row r="6171" ht="18" customHeight="1">
      <x:c r="A6171" t="str">
        <x:v>CA-2014-103989</x:v>
      </x:c>
      <x:c r="B6171" s="18" t="n">
        <x:v>41717</x:v>
      </x:c>
      <x:c r="C6171" t="str">
        <x:v>MC-17605</x:v>
      </x:c>
      <x:c r="D6171" t="str">
        <x:v>Matt Connell</x:v>
      </x:c>
      <x:c r="E6171" t="str">
        <x:v>Corporate</x:v>
      </x:c>
      <x:c r="F6171" t="str">
        <x:v>South</x:v>
      </x:c>
      <x:c r="G6171" t="str">
        <x:v>Technology</x:v>
      </x:c>
      <x:c r="H6171" t="str">
        <x:v>Accessories</x:v>
      </x:c>
      <x:c r="I6171" s="22" t="n">
        <x:v>170.24</x:v>
      </x:c>
      <x:c r="J6171" s="24" t="n">
        <x:v>2</x:v>
      </x:c>
      <x:c r="K6171" s="26" t="n">
        <x:v>0.2</x:v>
      </x:c>
      <x:c r="L6171" s="22" t="n">
        <x:v>53.19999999999999</x:v>
      </x:c>
      <x:c r="M6171" t="n">
        <x:v>2014</x:v>
      </x:c>
      <x:c r="N6171" s="20" t="n">
        <x:v>41699</x:v>
      </x:c>
    </x:row>
    <x:row r="6172" ht="18" customHeight="1">
      <x:c r="A6172" t="str">
        <x:v>CA-2015-142433</x:v>
      </x:c>
      <x:c r="B6172" s="18" t="n">
        <x:v>42114</x:v>
      </x:c>
      <x:c r="C6172" t="str">
        <x:v>ES-14020</x:v>
      </x:c>
      <x:c r="D6172" t="str">
        <x:v>Erica Smith</x:v>
      </x:c>
      <x:c r="E6172" t="str">
        <x:v>Consumer</x:v>
      </x:c>
      <x:c r="F6172" t="str">
        <x:v>Central</x:v>
      </x:c>
      <x:c r="G6172" t="str">
        <x:v>Office Supplies</x:v>
      </x:c>
      <x:c r="H6172" t="str">
        <x:v>Paper</x:v>
      </x:c>
      <x:c r="I6172" s="22" t="n">
        <x:v>117.456</x:v>
      </x:c>
      <x:c r="J6172" s="24" t="n">
        <x:v>3</x:v>
      </x:c>
      <x:c r="K6172" s="26" t="n">
        <x:v>0.2</x:v>
      </x:c>
      <x:c r="L6172" s="22" t="n">
        <x:v>44.04599999999999</x:v>
      </x:c>
      <x:c r="M6172" t="n">
        <x:v>2015</x:v>
      </x:c>
      <x:c r="N6172" s="20" t="n">
        <x:v>42095</x:v>
      </x:c>
    </x:row>
    <x:row r="6173" ht="18" customHeight="1">
      <x:c r="A6173" t="str">
        <x:v>CA-2015-132815</x:v>
      </x:c>
      <x:c r="B6173" s="18" t="n">
        <x:v>42266</x:v>
      </x:c>
      <x:c r="C6173" t="str">
        <x:v>RW-19540</x:v>
      </x:c>
      <x:c r="D6173" t="str">
        <x:v>Rick Wilson</x:v>
      </x:c>
      <x:c r="E6173" t="str">
        <x:v>Corporate</x:v>
      </x:c>
      <x:c r="F6173" t="str">
        <x:v>West</x:v>
      </x:c>
      <x:c r="G6173" t="str">
        <x:v>Office Supplies</x:v>
      </x:c>
      <x:c r="H6173" t="str">
        <x:v>Paper</x:v>
      </x:c>
      <x:c r="I6173" s="22" t="n">
        <x:v>22.96</x:v>
      </x:c>
      <x:c r="J6173" s="24" t="n">
        <x:v>2</x:v>
      </x:c>
      <x:c r="K6173" s="26" t="n">
        <x:v>0</x:v>
      </x:c>
      <x:c r="L6173" s="22" t="n">
        <x:v>11.2504</x:v>
      </x:c>
      <x:c r="M6173" t="n">
        <x:v>2015</x:v>
      </x:c>
      <x:c r="N6173" s="20" t="n">
        <x:v>42248</x:v>
      </x:c>
    </x:row>
    <x:row r="6174" ht="18" customHeight="1">
      <x:c r="A6174" t="str">
        <x:v>CA-2014-101266</x:v>
      </x:c>
      <x:c r="B6174" s="18" t="n">
        <x:v>41878</x:v>
      </x:c>
      <x:c r="C6174" t="str">
        <x:v>MM-17920</x:v>
      </x:c>
      <x:c r="D6174" t="str">
        <x:v>Michael Moore</x:v>
      </x:c>
      <x:c r="E6174" t="str">
        <x:v>Consumer</x:v>
      </x:c>
      <x:c r="F6174" t="str">
        <x:v>South</x:v>
      </x:c>
      <x:c r="G6174" t="str">
        <x:v>Office Supplies</x:v>
      </x:c>
      <x:c r="H6174" t="str">
        <x:v>Paper</x:v>
      </x:c>
      <x:c r="I6174" s="22" t="n">
        <x:v>13.36</x:v>
      </x:c>
      <x:c r="J6174" s="24" t="n">
        <x:v>2</x:v>
      </x:c>
      <x:c r="K6174" s="26" t="n">
        <x:v>0</x:v>
      </x:c>
      <x:c r="L6174" s="22" t="n">
        <x:v>6.4128</x:v>
      </x:c>
      <x:c r="M6174" t="n">
        <x:v>2014</x:v>
      </x:c>
      <x:c r="N6174" s="20" t="n">
        <x:v>41852</x:v>
      </x:c>
    </x:row>
    <x:row r="6175" ht="18" customHeight="1">
      <x:c r="A6175" t="str">
        <x:v>CA-2016-141523</x:v>
      </x:c>
      <x:c r="B6175" s="18" t="n">
        <x:v>42723</x:v>
      </x:c>
      <x:c r="C6175" t="str">
        <x:v>MH-17440</x:v>
      </x:c>
      <x:c r="D6175" t="str">
        <x:v>Mark Haberlin</x:v>
      </x:c>
      <x:c r="E6175" t="str">
        <x:v>Corporate</x:v>
      </x:c>
      <x:c r="F6175" t="str">
        <x:v>East</x:v>
      </x:c>
      <x:c r="G6175" t="str">
        <x:v>Office Supplies</x:v>
      </x:c>
      <x:c r="H6175" t="str">
        <x:v>Binders</x:v>
      </x:c>
      <x:c r="I6175" s="22" t="n">
        <x:v>34.248000000000005</x:v>
      </x:c>
      <x:c r="J6175" s="24" t="n">
        <x:v>3</x:v>
      </x:c>
      <x:c r="K6175" s="26" t="n">
        <x:v>0.2</x:v>
      </x:c>
      <x:c r="L6175" s="22" t="n">
        <x:v>11.558699999999998</x:v>
      </x:c>
      <x:c r="M6175" t="n">
        <x:v>2016</x:v>
      </x:c>
      <x:c r="N6175" s="20" t="n">
        <x:v>42705</x:v>
      </x:c>
    </x:row>
    <x:row r="6176" ht="18" customHeight="1">
      <x:c r="A6176" t="str">
        <x:v>CA-2016-141523</x:v>
      </x:c>
      <x:c r="B6176" s="18" t="n">
        <x:v>42723</x:v>
      </x:c>
      <x:c r="C6176" t="str">
        <x:v>MH-17440</x:v>
      </x:c>
      <x:c r="D6176" t="str">
        <x:v>Mark Haberlin</x:v>
      </x:c>
      <x:c r="E6176" t="str">
        <x:v>Corporate</x:v>
      </x:c>
      <x:c r="F6176" t="str">
        <x:v>East</x:v>
      </x:c>
      <x:c r="G6176" t="str">
        <x:v>Office Supplies</x:v>
      </x:c>
      <x:c r="H6176" t="str">
        <x:v>Art</x:v>
      </x:c>
      <x:c r="I6176" s="22" t="n">
        <x:v>3.52</x:v>
      </x:c>
      <x:c r="J6176" s="24" t="n">
        <x:v>2</x:v>
      </x:c>
      <x:c r="K6176" s="26" t="n">
        <x:v>0</x:v>
      </x:c>
      <x:c r="L6176" s="22" t="n">
        <x:v>1.0208</x:v>
      </x:c>
      <x:c r="M6176" t="n">
        <x:v>2016</x:v>
      </x:c>
      <x:c r="N6176" s="20" t="n">
        <x:v>42705</x:v>
      </x:c>
    </x:row>
    <x:row r="6177" ht="18" customHeight="1">
      <x:c r="A6177" t="str">
        <x:v>US-2014-106299</x:v>
      </x:c>
      <x:c r="B6177" s="18" t="n">
        <x:v>41853</x:v>
      </x:c>
      <x:c r="C6177" t="str">
        <x:v>NZ-18565</x:v>
      </x:c>
      <x:c r="D6177" t="str">
        <x:v>Nick Zandusky</x:v>
      </x:c>
      <x:c r="E6177" t="str">
        <x:v>Home Office</x:v>
      </x:c>
      <x:c r="F6177" t="str">
        <x:v>Central</x:v>
      </x:c>
      <x:c r="G6177" t="str">
        <x:v>Office Supplies</x:v>
      </x:c>
      <x:c r="H6177" t="str">
        <x:v>Binders</x:v>
      </x:c>
      <x:c r="I6177" s="22" t="n">
        <x:v>26.7</x:v>
      </x:c>
      <x:c r="J6177" s="24" t="n">
        <x:v>5</x:v>
      </x:c>
      <x:c r="K6177" s="26" t="n">
        <x:v>0</x:v>
      </x:c>
      <x:c r="L6177" s="22" t="n">
        <x:v>12.549</x:v>
      </x:c>
      <x:c r="M6177" t="n">
        <x:v>2014</x:v>
      </x:c>
      <x:c r="N6177" s="20" t="n">
        <x:v>41852</x:v>
      </x:c>
    </x:row>
    <x:row r="6178" ht="18" customHeight="1">
      <x:c r="A6178" t="str">
        <x:v>US-2014-106299</x:v>
      </x:c>
      <x:c r="B6178" s="18" t="n">
        <x:v>41853</x:v>
      </x:c>
      <x:c r="C6178" t="str">
        <x:v>NZ-18565</x:v>
      </x:c>
      <x:c r="D6178" t="str">
        <x:v>Nick Zandusky</x:v>
      </x:c>
      <x:c r="E6178" t="str">
        <x:v>Home Office</x:v>
      </x:c>
      <x:c r="F6178" t="str">
        <x:v>Central</x:v>
      </x:c>
      <x:c r="G6178" t="str">
        <x:v>Technology</x:v>
      </x:c>
      <x:c r="H6178" t="str">
        <x:v>Accessories</x:v>
      </x:c>
      <x:c r="I6178" s="22" t="n">
        <x:v>21.2</x:v>
      </x:c>
      <x:c r="J6178" s="24" t="n">
        <x:v>2</x:v>
      </x:c>
      <x:c r="K6178" s="26" t="n">
        <x:v>0</x:v>
      </x:c>
      <x:c r="L6178" s="22" t="n">
        <x:v>9.116000000000001</x:v>
      </x:c>
      <x:c r="M6178" t="n">
        <x:v>2014</x:v>
      </x:c>
      <x:c r="N6178" s="20" t="n">
        <x:v>41852</x:v>
      </x:c>
    </x:row>
    <x:row r="6179" ht="18" customHeight="1">
      <x:c r="A6179" t="str">
        <x:v>US-2014-106299</x:v>
      </x:c>
      <x:c r="B6179" s="18" t="n">
        <x:v>41853</x:v>
      </x:c>
      <x:c r="C6179" t="str">
        <x:v>NZ-18565</x:v>
      </x:c>
      <x:c r="D6179" t="str">
        <x:v>Nick Zandusky</x:v>
      </x:c>
      <x:c r="E6179" t="str">
        <x:v>Home Office</x:v>
      </x:c>
      <x:c r="F6179" t="str">
        <x:v>Central</x:v>
      </x:c>
      <x:c r="G6179" t="str">
        <x:v>Office Supplies</x:v>
      </x:c>
      <x:c r="H6179" t="str">
        <x:v>Storage</x:v>
      </x:c>
      <x:c r="I6179" s="22" t="n">
        <x:v>838.38</x:v>
      </x:c>
      <x:c r="J6179" s="24" t="n">
        <x:v>2</x:v>
      </x:c>
      <x:c r="K6179" s="26" t="n">
        <x:v>0</x:v>
      </x:c>
      <x:c r="L6179" s="22" t="n">
        <x:v>226.36260000000004</x:v>
      </x:c>
      <x:c r="M6179" t="n">
        <x:v>2014</x:v>
      </x:c>
      <x:c r="N6179" s="20" t="n">
        <x:v>41852</x:v>
      </x:c>
    </x:row>
    <x:row r="6180" ht="18" customHeight="1">
      <x:c r="A6180" t="str">
        <x:v>CA-2015-158421</x:v>
      </x:c>
      <x:c r="B6180" s="18" t="n">
        <x:v>42268</x:v>
      </x:c>
      <x:c r="C6180" t="str">
        <x:v>GB-14575</x:v>
      </x:c>
      <x:c r="D6180" t="str">
        <x:v>Giulietta Baptist</x:v>
      </x:c>
      <x:c r="E6180" t="str">
        <x:v>Consumer</x:v>
      </x:c>
      <x:c r="F6180" t="str">
        <x:v>South</x:v>
      </x:c>
      <x:c r="G6180" t="str">
        <x:v>Furniture</x:v>
      </x:c>
      <x:c r="H6180" t="str">
        <x:v>Chairs</x:v>
      </x:c>
      <x:c r="I6180" s="22" t="n">
        <x:v>1690.04</x:v>
      </x:c>
      <x:c r="J6180" s="24" t="n">
        <x:v>4</x:v>
      </x:c>
      <x:c r="K6180" s="26" t="n">
        <x:v>0</x:v>
      </x:c>
      <x:c r="L6180" s="22" t="n">
        <x:v>422.51</x:v>
      </x:c>
      <x:c r="M6180" t="n">
        <x:v>2015</x:v>
      </x:c>
      <x:c r="N6180" s="20" t="n">
        <x:v>42248</x:v>
      </x:c>
    </x:row>
    <x:row r="6181" ht="18" customHeight="1">
      <x:c r="A6181" t="str">
        <x:v>CA-2015-158421</x:v>
      </x:c>
      <x:c r="B6181" s="18" t="n">
        <x:v>42268</x:v>
      </x:c>
      <x:c r="C6181" t="str">
        <x:v>GB-14575</x:v>
      </x:c>
      <x:c r="D6181" t="str">
        <x:v>Giulietta Baptist</x:v>
      </x:c>
      <x:c r="E6181" t="str">
        <x:v>Consumer</x:v>
      </x:c>
      <x:c r="F6181" t="str">
        <x:v>South</x:v>
      </x:c>
      <x:c r="G6181" t="str">
        <x:v>Office Supplies</x:v>
      </x:c>
      <x:c r="H6181" t="str">
        <x:v>Storage</x:v>
      </x:c>
      <x:c r="I6181" s="22" t="n">
        <x:v>85.96</x:v>
      </x:c>
      <x:c r="J6181" s="24" t="n">
        <x:v>7</x:v>
      </x:c>
      <x:c r="K6181" s="26" t="n">
        <x:v>0</x:v>
      </x:c>
      <x:c r="L6181" s="22" t="n">
        <x:v>24.068799999999996</x:v>
      </x:c>
      <x:c r="M6181" t="n">
        <x:v>2015</x:v>
      </x:c>
      <x:c r="N6181" s="20" t="n">
        <x:v>42248</x:v>
      </x:c>
    </x:row>
    <x:row r="6182" ht="18" customHeight="1">
      <x:c r="A6182" t="str">
        <x:v>CA-2015-158421</x:v>
      </x:c>
      <x:c r="B6182" s="18" t="n">
        <x:v>42268</x:v>
      </x:c>
      <x:c r="C6182" t="str">
        <x:v>GB-14575</x:v>
      </x:c>
      <x:c r="D6182" t="str">
        <x:v>Giulietta Baptist</x:v>
      </x:c>
      <x:c r="E6182" t="str">
        <x:v>Consumer</x:v>
      </x:c>
      <x:c r="F6182" t="str">
        <x:v>South</x:v>
      </x:c>
      <x:c r="G6182" t="str">
        <x:v>Office Supplies</x:v>
      </x:c>
      <x:c r="H6182" t="str">
        <x:v>Envelopes</x:v>
      </x:c>
      <x:c r="I6182" s="22" t="n">
        <x:v>121.96</x:v>
      </x:c>
      <x:c r="J6182" s="24" t="n">
        <x:v>2</x:v>
      </x:c>
      <x:c r="K6182" s="26" t="n">
        <x:v>0</x:v>
      </x:c>
      <x:c r="L6182" s="22" t="n">
        <x:v>57.32119999999999</x:v>
      </x:c>
      <x:c r="M6182" t="n">
        <x:v>2015</x:v>
      </x:c>
      <x:c r="N6182" s="20" t="n">
        <x:v>42248</x:v>
      </x:c>
    </x:row>
    <x:row r="6183" ht="18" customHeight="1">
      <x:c r="A6183" t="str">
        <x:v>CA-2015-158421</x:v>
      </x:c>
      <x:c r="B6183" s="18" t="n">
        <x:v>42268</x:v>
      </x:c>
      <x:c r="C6183" t="str">
        <x:v>GB-14575</x:v>
      </x:c>
      <x:c r="D6183" t="str">
        <x:v>Giulietta Baptist</x:v>
      </x:c>
      <x:c r="E6183" t="str">
        <x:v>Consumer</x:v>
      </x:c>
      <x:c r="F6183" t="str">
        <x:v>South</x:v>
      </x:c>
      <x:c r="G6183" t="str">
        <x:v>Office Supplies</x:v>
      </x:c>
      <x:c r="H6183" t="str">
        <x:v>Paper</x:v>
      </x:c>
      <x:c r="I6183" s="22" t="n">
        <x:v>23.92</x:v>
      </x:c>
      <x:c r="J6183" s="24" t="n">
        <x:v>4</x:v>
      </x:c>
      <x:c r="K6183" s="26" t="n">
        <x:v>0</x:v>
      </x:c>
      <x:c r="L6183" s="22" t="n">
        <x:v>11.7208</x:v>
      </x:c>
      <x:c r="M6183" t="n">
        <x:v>2015</x:v>
      </x:c>
      <x:c r="N6183" s="20" t="n">
        <x:v>42248</x:v>
      </x:c>
    </x:row>
    <x:row r="6184" ht="18" customHeight="1">
      <x:c r="A6184" t="str">
        <x:v>CA-2015-158421</x:v>
      </x:c>
      <x:c r="B6184" s="18" t="n">
        <x:v>42268</x:v>
      </x:c>
      <x:c r="C6184" t="str">
        <x:v>GB-14575</x:v>
      </x:c>
      <x:c r="D6184" t="str">
        <x:v>Giulietta Baptist</x:v>
      </x:c>
      <x:c r="E6184" t="str">
        <x:v>Consumer</x:v>
      </x:c>
      <x:c r="F6184" t="str">
        <x:v>South</x:v>
      </x:c>
      <x:c r="G6184" t="str">
        <x:v>Office Supplies</x:v>
      </x:c>
      <x:c r="H6184" t="str">
        <x:v>Storage</x:v>
      </x:c>
      <x:c r="I6184" s="22" t="n">
        <x:v>63.96</x:v>
      </x:c>
      <x:c r="J6184" s="24" t="n">
        <x:v>2</x:v>
      </x:c>
      <x:c r="K6184" s="26" t="n">
        <x:v>0</x:v>
      </x:c>
      <x:c r="L6184" s="22" t="n">
        <x:v>6.396000000000001</x:v>
      </x:c>
      <x:c r="M6184" t="n">
        <x:v>2015</x:v>
      </x:c>
      <x:c r="N6184" s="20" t="n">
        <x:v>42248</x:v>
      </x:c>
    </x:row>
    <x:row r="6185" ht="18" customHeight="1">
      <x:c r="A6185" t="str">
        <x:v>CA-2015-158421</x:v>
      </x:c>
      <x:c r="B6185" s="18" t="n">
        <x:v>42268</x:v>
      </x:c>
      <x:c r="C6185" t="str">
        <x:v>GB-14575</x:v>
      </x:c>
      <x:c r="D6185" t="str">
        <x:v>Giulietta Baptist</x:v>
      </x:c>
      <x:c r="E6185" t="str">
        <x:v>Consumer</x:v>
      </x:c>
      <x:c r="F6185" t="str">
        <x:v>South</x:v>
      </x:c>
      <x:c r="G6185" t="str">
        <x:v>Technology</x:v>
      </x:c>
      <x:c r="H6185" t="str">
        <x:v>Phones</x:v>
      </x:c>
      <x:c r="I6185" s="22" t="n">
        <x:v>629.9499999999999</x:v>
      </x:c>
      <x:c r="J6185" s="24" t="n">
        <x:v>5</x:v>
      </x:c>
      <x:c r="K6185" s="26" t="n">
        <x:v>0</x:v>
      </x:c>
      <x:c r="L6185" s="22" t="n">
        <x:v>176.38600000000002</x:v>
      </x:c>
      <x:c r="M6185" t="n">
        <x:v>2015</x:v>
      </x:c>
      <x:c r="N6185" s="20" t="n">
        <x:v>42248</x:v>
      </x:c>
    </x:row>
    <x:row r="6186" ht="18" customHeight="1">
      <x:c r="A6186" t="str">
        <x:v>CA-2015-158421</x:v>
      </x:c>
      <x:c r="B6186" s="18" t="n">
        <x:v>42268</x:v>
      </x:c>
      <x:c r="C6186" t="str">
        <x:v>GB-14575</x:v>
      </x:c>
      <x:c r="D6186" t="str">
        <x:v>Giulietta Baptist</x:v>
      </x:c>
      <x:c r="E6186" t="str">
        <x:v>Consumer</x:v>
      </x:c>
      <x:c r="F6186" t="str">
        <x:v>South</x:v>
      </x:c>
      <x:c r="G6186" t="str">
        <x:v>Technology</x:v>
      </x:c>
      <x:c r="H6186" t="str">
        <x:v>Phones</x:v>
      </x:c>
      <x:c r="I6186" s="22" t="n">
        <x:v>113.72999999999999</x:v>
      </x:c>
      <x:c r="J6186" s="24" t="n">
        <x:v>3</x:v>
      </x:c>
      <x:c r="K6186" s="26" t="n">
        <x:v>0</x:v>
      </x:c>
      <x:c r="L6186" s="22" t="n">
        <x:v>32.98169999999999</x:v>
      </x:c>
      <x:c r="M6186" t="n">
        <x:v>2015</x:v>
      </x:c>
      <x:c r="N6186" s="20" t="n">
        <x:v>42248</x:v>
      </x:c>
    </x:row>
    <x:row r="6187" ht="18" customHeight="1">
      <x:c r="A6187" t="str">
        <x:v>CA-2015-158421</x:v>
      </x:c>
      <x:c r="B6187" s="18" t="n">
        <x:v>42268</x:v>
      </x:c>
      <x:c r="C6187" t="str">
        <x:v>GB-14575</x:v>
      </x:c>
      <x:c r="D6187" t="str">
        <x:v>Giulietta Baptist</x:v>
      </x:c>
      <x:c r="E6187" t="str">
        <x:v>Consumer</x:v>
      </x:c>
      <x:c r="F6187" t="str">
        <x:v>South</x:v>
      </x:c>
      <x:c r="G6187" t="str">
        <x:v>Office Supplies</x:v>
      </x:c>
      <x:c r="H6187" t="str">
        <x:v>Binders</x:v>
      </x:c>
      <x:c r="I6187" s="22" t="n">
        <x:v>14.6</x:v>
      </x:c>
      <x:c r="J6187" s="24" t="n">
        <x:v>2</x:v>
      </x:c>
      <x:c r="K6187" s="26" t="n">
        <x:v>0</x:v>
      </x:c>
      <x:c r="L6187" s="22" t="n">
        <x:v>6.861999999999999</x:v>
      </x:c>
      <x:c r="M6187" t="n">
        <x:v>2015</x:v>
      </x:c>
      <x:c r="N6187" s="20" t="n">
        <x:v>42248</x:v>
      </x:c>
    </x:row>
    <x:row r="6188" ht="18" customHeight="1">
      <x:c r="A6188" t="str">
        <x:v>CA-2015-158421</x:v>
      </x:c>
      <x:c r="B6188" s="18" t="n">
        <x:v>42268</x:v>
      </x:c>
      <x:c r="C6188" t="str">
        <x:v>GB-14575</x:v>
      </x:c>
      <x:c r="D6188" t="str">
        <x:v>Giulietta Baptist</x:v>
      </x:c>
      <x:c r="E6188" t="str">
        <x:v>Consumer</x:v>
      </x:c>
      <x:c r="F6188" t="str">
        <x:v>South</x:v>
      </x:c>
      <x:c r="G6188" t="str">
        <x:v>Office Supplies</x:v>
      </x:c>
      <x:c r="H6188" t="str">
        <x:v>Storage</x:v>
      </x:c>
      <x:c r="I6188" s="22" t="n">
        <x:v>887.84</x:v>
      </x:c>
      <x:c r="J6188" s="24" t="n">
        <x:v>8</x:v>
      </x:c>
      <x:c r="K6188" s="26" t="n">
        <x:v>0</x:v>
      </x:c>
      <x:c r="L6188" s="22" t="n">
        <x:v>17.7568</x:v>
      </x:c>
      <x:c r="M6188" t="n">
        <x:v>2015</x:v>
      </x:c>
      <x:c r="N6188" s="20" t="n">
        <x:v>42248</x:v>
      </x:c>
    </x:row>
    <x:row r="6189" ht="18" customHeight="1">
      <x:c r="A6189" t="str">
        <x:v>CA-2016-143609</x:v>
      </x:c>
      <x:c r="B6189" s="18" t="n">
        <x:v>42715</x:v>
      </x:c>
      <x:c r="C6189" t="str">
        <x:v>DB-13270</x:v>
      </x:c>
      <x:c r="D6189" t="str">
        <x:v>Deborah Brumfield</x:v>
      </x:c>
      <x:c r="E6189" t="str">
        <x:v>Home Office</x:v>
      </x:c>
      <x:c r="F6189" t="str">
        <x:v>West</x:v>
      </x:c>
      <x:c r="G6189" t="str">
        <x:v>Furniture</x:v>
      </x:c>
      <x:c r="H6189" t="str">
        <x:v>Chairs</x:v>
      </x:c>
      <x:c r="I6189" s="22" t="n">
        <x:v>403.92</x:v>
      </x:c>
      <x:c r="J6189" s="24" t="n">
        <x:v>5</x:v>
      </x:c>
      <x:c r="K6189" s="26" t="n">
        <x:v>0.2</x:v>
      </x:c>
      <x:c r="L6189" s="22" t="n">
        <x:v>25.24500000000002</x:v>
      </x:c>
      <x:c r="M6189" t="n">
        <x:v>2016</x:v>
      </x:c>
      <x:c r="N6189" s="20" t="n">
        <x:v>42705</x:v>
      </x:c>
    </x:row>
    <x:row r="6190" ht="18" customHeight="1">
      <x:c r="A6190" t="str">
        <x:v>CA-2015-138331</x:v>
      </x:c>
      <x:c r="B6190" s="18" t="n">
        <x:v>42223</x:v>
      </x:c>
      <x:c r="C6190" t="str">
        <x:v>JK-15625</x:v>
      </x:c>
      <x:c r="D6190" t="str">
        <x:v>Jim Karlsson</x:v>
      </x:c>
      <x:c r="E6190" t="str">
        <x:v>Consumer</x:v>
      </x:c>
      <x:c r="F6190" t="str">
        <x:v>East</x:v>
      </x:c>
      <x:c r="G6190" t="str">
        <x:v>Office Supplies</x:v>
      </x:c>
      <x:c r="H6190" t="str">
        <x:v>Art</x:v>
      </x:c>
      <x:c r="I6190" s="22" t="n">
        <x:v>106.8</x:v>
      </x:c>
      <x:c r="J6190" s="24" t="n">
        <x:v>10</x:v>
      </x:c>
      <x:c r="K6190" s="26" t="n">
        <x:v>0.2</x:v>
      </x:c>
      <x:c r="L6190" s="22" t="n">
        <x:v>10.679999999999996</x:v>
      </x:c>
      <x:c r="M6190" t="n">
        <x:v>2015</x:v>
      </x:c>
      <x:c r="N6190" s="20" t="n">
        <x:v>42217</x:v>
      </x:c>
    </x:row>
    <x:row r="6191" ht="18" customHeight="1">
      <x:c r="A6191" t="str">
        <x:v>CA-2015-138954</x:v>
      </x:c>
      <x:c r="B6191" s="18" t="n">
        <x:v>42323</x:v>
      </x:c>
      <x:c r="C6191" t="str">
        <x:v>MH-17785</x:v>
      </x:c>
      <x:c r="D6191" t="str">
        <x:v>Maya Herman</x:v>
      </x:c>
      <x:c r="E6191" t="str">
        <x:v>Corporate</x:v>
      </x:c>
      <x:c r="F6191" t="str">
        <x:v>East</x:v>
      </x:c>
      <x:c r="G6191" t="str">
        <x:v>Office Supplies</x:v>
      </x:c>
      <x:c r="H6191" t="str">
        <x:v>Storage</x:v>
      </x:c>
      <x:c r="I6191" s="22" t="n">
        <x:v>70.94999999999999</x:v>
      </x:c>
      <x:c r="J6191" s="24" t="n">
        <x:v>3</x:v>
      </x:c>
      <x:c r="K6191" s="26" t="n">
        <x:v>0</x:v>
      </x:c>
      <x:c r="L6191" s="22" t="n">
        <x:v>20.575499999999998</x:v>
      </x:c>
      <x:c r="M6191" t="n">
        <x:v>2015</x:v>
      </x:c>
      <x:c r="N6191" s="20" t="n">
        <x:v>42309</x:v>
      </x:c>
    </x:row>
    <x:row r="6192" ht="18" customHeight="1">
      <x:c r="A6192" t="str">
        <x:v>CA-2015-138954</x:v>
      </x:c>
      <x:c r="B6192" s="18" t="n">
        <x:v>42323</x:v>
      </x:c>
      <x:c r="C6192" t="str">
        <x:v>MH-17785</x:v>
      </x:c>
      <x:c r="D6192" t="str">
        <x:v>Maya Herman</x:v>
      </x:c>
      <x:c r="E6192" t="str">
        <x:v>Corporate</x:v>
      </x:c>
      <x:c r="F6192" t="str">
        <x:v>East</x:v>
      </x:c>
      <x:c r="G6192" t="str">
        <x:v>Office Supplies</x:v>
      </x:c>
      <x:c r="H6192" t="str">
        <x:v>Binders</x:v>
      </x:c>
      <x:c r="I6192" s="22" t="n">
        <x:v>34.944</x:v>
      </x:c>
      <x:c r="J6192" s="24" t="n">
        <x:v>6</x:v>
      </x:c>
      <x:c r="K6192" s="26" t="n">
        <x:v>0.2</x:v>
      </x:c>
      <x:c r="L6192" s="22" t="n">
        <x:v>11.793599999999998</x:v>
      </x:c>
      <x:c r="M6192" t="n">
        <x:v>2015</x:v>
      </x:c>
      <x:c r="N6192" s="20" t="n">
        <x:v>42309</x:v>
      </x:c>
    </x:row>
    <x:row r="6193" ht="18" customHeight="1">
      <x:c r="A6193" t="str">
        <x:v>CA-2015-138954</x:v>
      </x:c>
      <x:c r="B6193" s="18" t="n">
        <x:v>42323</x:v>
      </x:c>
      <x:c r="C6193" t="str">
        <x:v>MH-17785</x:v>
      </x:c>
      <x:c r="D6193" t="str">
        <x:v>Maya Herman</x:v>
      </x:c>
      <x:c r="E6193" t="str">
        <x:v>Corporate</x:v>
      </x:c>
      <x:c r="F6193" t="str">
        <x:v>East</x:v>
      </x:c>
      <x:c r="G6193" t="str">
        <x:v>Office Supplies</x:v>
      </x:c>
      <x:c r="H6193" t="str">
        <x:v>Art</x:v>
      </x:c>
      <x:c r="I6193" s="22" t="n">
        <x:v>119.03999999999999</x:v>
      </x:c>
      <x:c r="J6193" s="24" t="n">
        <x:v>6</x:v>
      </x:c>
      <x:c r="K6193" s="26" t="n">
        <x:v>0</x:v>
      </x:c>
      <x:c r="L6193" s="22" t="n">
        <x:v>35.71199999999999</x:v>
      </x:c>
      <x:c r="M6193" t="n">
        <x:v>2015</x:v>
      </x:c>
      <x:c r="N6193" s="20" t="n">
        <x:v>42309</x:v>
      </x:c>
    </x:row>
    <x:row r="6194" ht="18" customHeight="1">
      <x:c r="A6194" t="str">
        <x:v>CA-2017-157903</x:v>
      </x:c>
      <x:c r="B6194" s="18" t="n">
        <x:v>42829</x:v>
      </x:c>
      <x:c r="C6194" t="str">
        <x:v>AM-10705</x:v>
      </x:c>
      <x:c r="D6194" t="str">
        <x:v>Anne McFarland</x:v>
      </x:c>
      <x:c r="E6194" t="str">
        <x:v>Consumer</x:v>
      </x:c>
      <x:c r="F6194" t="str">
        <x:v>Central</x:v>
      </x:c>
      <x:c r="G6194" t="str">
        <x:v>Technology</x:v>
      </x:c>
      <x:c r="H6194" t="str">
        <x:v>Phones</x:v>
      </x:c>
      <x:c r="I6194" s="22" t="n">
        <x:v>383.84000000000003</x:v>
      </x:c>
      <x:c r="J6194" s="24" t="n">
        <x:v>4</x:v>
      </x:c>
      <x:c r="K6194" s="26" t="n">
        <x:v>0.2</x:v>
      </x:c>
      <x:c r="L6194" s="22" t="n">
        <x:v>47.97999999999999</x:v>
      </x:c>
      <x:c r="M6194" t="n">
        <x:v>2017</x:v>
      </x:c>
      <x:c r="N6194" s="20" t="n">
        <x:v>42826</x:v>
      </x:c>
    </x:row>
    <x:row r="6195" ht="18" customHeight="1">
      <x:c r="A6195" t="str">
        <x:v>CA-2016-157259</x:v>
      </x:c>
      <x:c r="B6195" s="18" t="n">
        <x:v>42728</x:v>
      </x:c>
      <x:c r="C6195" t="str">
        <x:v>JM-15535</x:v>
      </x:c>
      <x:c r="D6195" t="str">
        <x:v>Jessica Myrick</x:v>
      </x:c>
      <x:c r="E6195" t="str">
        <x:v>Consumer</x:v>
      </x:c>
      <x:c r="F6195" t="str">
        <x:v>East</x:v>
      </x:c>
      <x:c r="G6195" t="str">
        <x:v>Furniture</x:v>
      </x:c>
      <x:c r="H6195" t="str">
        <x:v>Furnishings</x:v>
      </x:c>
      <x:c r="I6195" s="22" t="n">
        <x:v>799.5600000000001</x:v>
      </x:c>
      <x:c r="J6195" s="24" t="n">
        <x:v>9</x:v>
      </x:c>
      <x:c r="K6195" s="26" t="n">
        <x:v>0</x:v>
      </x:c>
      <x:c r="L6195" s="22" t="n">
        <x:v>207.88559999999998</x:v>
      </x:c>
      <x:c r="M6195" t="n">
        <x:v>2016</x:v>
      </x:c>
      <x:c r="N6195" s="20" t="n">
        <x:v>42705</x:v>
      </x:c>
    </x:row>
    <x:row r="6196" ht="18" customHeight="1">
      <x:c r="A6196" t="str">
        <x:v>CA-2017-107986</x:v>
      </x:c>
      <x:c r="B6196" s="18" t="n">
        <x:v>43082</x:v>
      </x:c>
      <x:c r="C6196" t="str">
        <x:v>MW-18220</x:v>
      </x:c>
      <x:c r="D6196" t="str">
        <x:v>Mitch Webber</x:v>
      </x:c>
      <x:c r="E6196" t="str">
        <x:v>Consumer</x:v>
      </x:c>
      <x:c r="F6196" t="str">
        <x:v>West</x:v>
      </x:c>
      <x:c r="G6196" t="str">
        <x:v>Office Supplies</x:v>
      </x:c>
      <x:c r="H6196" t="str">
        <x:v>Storage</x:v>
      </x:c>
      <x:c r="I6196" s="22" t="n">
        <x:v>31.44</x:v>
      </x:c>
      <x:c r="J6196" s="24" t="n">
        <x:v>3</x:v>
      </x:c>
      <x:c r="K6196" s="26" t="n">
        <x:v>0</x:v>
      </x:c>
      <x:c r="L6196" s="22" t="n">
        <x:v>8.488800000000001</x:v>
      </x:c>
      <x:c r="M6196" t="n">
        <x:v>2017</x:v>
      </x:c>
      <x:c r="N6196" s="20" t="n">
        <x:v>43070</x:v>
      </x:c>
    </x:row>
    <x:row r="6197" ht="18" customHeight="1">
      <x:c r="A6197" t="str">
        <x:v>CA-2017-104927</x:v>
      </x:c>
      <x:c r="B6197" s="18" t="n">
        <x:v>43091</x:v>
      </x:c>
      <x:c r="C6197" t="str">
        <x:v>AG-10330</x:v>
      </x:c>
      <x:c r="D6197" t="str">
        <x:v>Alex Grayson</x:v>
      </x:c>
      <x:c r="E6197" t="str">
        <x:v>Consumer</x:v>
      </x:c>
      <x:c r="F6197" t="str">
        <x:v>Central</x:v>
      </x:c>
      <x:c r="G6197" t="str">
        <x:v>Office Supplies</x:v>
      </x:c>
      <x:c r="H6197" t="str">
        <x:v>Paper</x:v>
      </x:c>
      <x:c r="I6197" s="22" t="n">
        <x:v>25.920000000000005</x:v>
      </x:c>
      <x:c r="J6197" s="24" t="n">
        <x:v>5</x:v>
      </x:c>
      <x:c r="K6197" s="26" t="n">
        <x:v>0.2</x:v>
      </x:c>
      <x:c r="L6197" s="22" t="n">
        <x:v>9.072</x:v>
      </x:c>
      <x:c r="M6197" t="n">
        <x:v>2017</x:v>
      </x:c>
      <x:c r="N6197" s="20" t="n">
        <x:v>43070</x:v>
      </x:c>
    </x:row>
    <x:row r="6198" ht="18" customHeight="1">
      <x:c r="A6198" t="str">
        <x:v>CA-2017-104927</x:v>
      </x:c>
      <x:c r="B6198" s="18" t="n">
        <x:v>43091</x:v>
      </x:c>
      <x:c r="C6198" t="str">
        <x:v>AG-10330</x:v>
      </x:c>
      <x:c r="D6198" t="str">
        <x:v>Alex Grayson</x:v>
      </x:c>
      <x:c r="E6198" t="str">
        <x:v>Consumer</x:v>
      </x:c>
      <x:c r="F6198" t="str">
        <x:v>Central</x:v>
      </x:c>
      <x:c r="G6198" t="str">
        <x:v>Office Supplies</x:v>
      </x:c>
      <x:c r="H6198" t="str">
        <x:v>Binders</x:v>
      </x:c>
      <x:c r="I6198" s="22" t="n">
        <x:v>6.329999999999999</x:v>
      </x:c>
      <x:c r="J6198" s="24" t="n">
        <x:v>5</x:v>
      </x:c>
      <x:c r="K6198" s="26" t="n">
        <x:v>0.8</x:v>
      </x:c>
      <x:c r="L6198" s="22" t="n">
        <x:v>-9.811499999999999</x:v>
      </x:c>
      <x:c r="M6198" t="n">
        <x:v>2017</x:v>
      </x:c>
      <x:c r="N6198" s="20" t="n">
        <x:v>43070</x:v>
      </x:c>
    </x:row>
    <x:row r="6199" ht="18" customHeight="1">
      <x:c r="A6199" t="str">
        <x:v>CA-2017-104927</x:v>
      </x:c>
      <x:c r="B6199" s="18" t="n">
        <x:v>43091</x:v>
      </x:c>
      <x:c r="C6199" t="str">
        <x:v>AG-10330</x:v>
      </x:c>
      <x:c r="D6199" t="str">
        <x:v>Alex Grayson</x:v>
      </x:c>
      <x:c r="E6199" t="str">
        <x:v>Consumer</x:v>
      </x:c>
      <x:c r="F6199" t="str">
        <x:v>Central</x:v>
      </x:c>
      <x:c r="G6199" t="str">
        <x:v>Office Supplies</x:v>
      </x:c>
      <x:c r="H6199" t="str">
        <x:v>Paper</x:v>
      </x:c>
      <x:c r="I6199" s="22" t="n">
        <x:v>75.88</x:v>
      </x:c>
      <x:c r="J6199" s="24" t="n">
        <x:v>5</x:v>
      </x:c>
      <x:c r="K6199" s="26" t="n">
        <x:v>0.2</x:v>
      </x:c>
      <x:c r="L6199" s="22" t="n">
        <x:v>26.557999999999993</x:v>
      </x:c>
      <x:c r="M6199" t="n">
        <x:v>2017</x:v>
      </x:c>
      <x:c r="N6199" s="20" t="n">
        <x:v>43070</x:v>
      </x:c>
    </x:row>
    <x:row r="6200" ht="18" customHeight="1">
      <x:c r="A6200" t="str">
        <x:v>CA-2017-113453</x:v>
      </x:c>
      <x:c r="B6200" s="18" t="n">
        <x:v>43029</x:v>
      </x:c>
      <x:c r="C6200" t="str">
        <x:v>CM-12160</x:v>
      </x:c>
      <x:c r="D6200" t="str">
        <x:v>Charles McCrossin</x:v>
      </x:c>
      <x:c r="E6200" t="str">
        <x:v>Consumer</x:v>
      </x:c>
      <x:c r="F6200" t="str">
        <x:v>East</x:v>
      </x:c>
      <x:c r="G6200" t="str">
        <x:v>Technology</x:v>
      </x:c>
      <x:c r="H6200" t="str">
        <x:v>Phones</x:v>
      </x:c>
      <x:c r="I6200" s="22" t="n">
        <x:v>329.988</x:v>
      </x:c>
      <x:c r="J6200" s="24" t="n">
        <x:v>2</x:v>
      </x:c>
      <x:c r="K6200" s="26" t="n">
        <x:v>0.4</x:v>
      </x:c>
      <x:c r="L6200" s="22" t="n">
        <x:v>-76.99720000000002</x:v>
      </x:c>
      <x:c r="M6200" t="n">
        <x:v>2017</x:v>
      </x:c>
      <x:c r="N6200" s="20" t="n">
        <x:v>43009</x:v>
      </x:c>
    </x:row>
    <x:row r="6201" ht="18" customHeight="1">
      <x:c r="A6201" t="str">
        <x:v>CA-2017-113453</x:v>
      </x:c>
      <x:c r="B6201" s="18" t="n">
        <x:v>43029</x:v>
      </x:c>
      <x:c r="C6201" t="str">
        <x:v>CM-12160</x:v>
      </x:c>
      <x:c r="D6201" t="str">
        <x:v>Charles McCrossin</x:v>
      </x:c>
      <x:c r="E6201" t="str">
        <x:v>Consumer</x:v>
      </x:c>
      <x:c r="F6201" t="str">
        <x:v>East</x:v>
      </x:c>
      <x:c r="G6201" t="str">
        <x:v>Office Supplies</x:v>
      </x:c>
      <x:c r="H6201" t="str">
        <x:v>Storage</x:v>
      </x:c>
      <x:c r="I6201" s="22" t="n">
        <x:v>71.376</x:v>
      </x:c>
      <x:c r="J6201" s="24" t="n">
        <x:v>3</x:v>
      </x:c>
      <x:c r="K6201" s="26" t="n">
        <x:v>0.2</x:v>
      </x:c>
      <x:c r="L6201" s="22" t="n">
        <x:v>-4.460999999999995</x:v>
      </x:c>
      <x:c r="M6201" t="n">
        <x:v>2017</x:v>
      </x:c>
      <x:c r="N6201" s="20" t="n">
        <x:v>43009</x:v>
      </x:c>
    </x:row>
    <x:row r="6202" ht="18" customHeight="1">
      <x:c r="A6202" t="str">
        <x:v>CA-2015-149909</x:v>
      </x:c>
      <x:c r="B6202" s="18" t="n">
        <x:v>42321</x:v>
      </x:c>
      <x:c r="C6202" t="str">
        <x:v>RA-19915</x:v>
      </x:c>
      <x:c r="D6202" t="str">
        <x:v>Russell Applegate</x:v>
      </x:c>
      <x:c r="E6202" t="str">
        <x:v>Consumer</x:v>
      </x:c>
      <x:c r="F6202" t="str">
        <x:v>Central</x:v>
      </x:c>
      <x:c r="G6202" t="str">
        <x:v>Office Supplies</x:v>
      </x:c>
      <x:c r="H6202" t="str">
        <x:v>Paper</x:v>
      </x:c>
      <x:c r="I6202" s="22" t="n">
        <x:v>63.769999999999996</x:v>
      </x:c>
      <x:c r="J6202" s="24" t="n">
        <x:v>7</x:v>
      </x:c>
      <x:c r="K6202" s="26" t="n">
        <x:v>0</x:v>
      </x:c>
      <x:c r="L6202" s="22" t="n">
        <x:v>28.696499999999993</x:v>
      </x:c>
      <x:c r="M6202" t="n">
        <x:v>2015</x:v>
      </x:c>
      <x:c r="N6202" s="20" t="n">
        <x:v>42309</x:v>
      </x:c>
    </x:row>
    <x:row r="6203" ht="18" customHeight="1">
      <x:c r="A6203" t="str">
        <x:v>CA-2015-149909</x:v>
      </x:c>
      <x:c r="B6203" s="18" t="n">
        <x:v>42321</x:v>
      </x:c>
      <x:c r="C6203" t="str">
        <x:v>RA-19915</x:v>
      </x:c>
      <x:c r="D6203" t="str">
        <x:v>Russell Applegate</x:v>
      </x:c>
      <x:c r="E6203" t="str">
        <x:v>Consumer</x:v>
      </x:c>
      <x:c r="F6203" t="str">
        <x:v>Central</x:v>
      </x:c>
      <x:c r="G6203" t="str">
        <x:v>Technology</x:v>
      </x:c>
      <x:c r="H6203" t="str">
        <x:v>Phones</x:v>
      </x:c>
      <x:c r="I6203" s="22" t="n">
        <x:v>50.97</x:v>
      </x:c>
      <x:c r="J6203" s="24" t="n">
        <x:v>3</x:v>
      </x:c>
      <x:c r="K6203" s="26" t="n">
        <x:v>0</x:v>
      </x:c>
      <x:c r="L6203" s="22" t="n">
        <x:v>13.252199999999997</x:v>
      </x:c>
      <x:c r="M6203" t="n">
        <x:v>2015</x:v>
      </x:c>
      <x:c r="N6203" s="20" t="n">
        <x:v>42309</x:v>
      </x:c>
    </x:row>
    <x:row r="6204" ht="18" customHeight="1">
      <x:c r="A6204" t="str">
        <x:v>CA-2015-149909</x:v>
      </x:c>
      <x:c r="B6204" s="18" t="n">
        <x:v>42321</x:v>
      </x:c>
      <x:c r="C6204" t="str">
        <x:v>RA-19915</x:v>
      </x:c>
      <x:c r="D6204" t="str">
        <x:v>Russell Applegate</x:v>
      </x:c>
      <x:c r="E6204" t="str">
        <x:v>Consumer</x:v>
      </x:c>
      <x:c r="F6204" t="str">
        <x:v>Central</x:v>
      </x:c>
      <x:c r="G6204" t="str">
        <x:v>Office Supplies</x:v>
      </x:c>
      <x:c r="H6204" t="str">
        <x:v>Paper</x:v>
      </x:c>
      <x:c r="I6204" s="22" t="n">
        <x:v>96.08</x:v>
      </x:c>
      <x:c r="J6204" s="24" t="n">
        <x:v>2</x:v>
      </x:c>
      <x:c r="K6204" s="26" t="n">
        <x:v>0</x:v>
      </x:c>
      <x:c r="L6204" s="22" t="n">
        <x:v>46.118399999999994</x:v>
      </x:c>
      <x:c r="M6204" t="n">
        <x:v>2015</x:v>
      </x:c>
      <x:c r="N6204" s="20" t="n">
        <x:v>42309</x:v>
      </x:c>
    </x:row>
    <x:row r="6205" ht="18" customHeight="1">
      <x:c r="A6205" t="str">
        <x:v>CA-2015-146675</x:v>
      </x:c>
      <x:c r="B6205" s="18" t="n">
        <x:v>42110</x:v>
      </x:c>
      <x:c r="C6205" t="str">
        <x:v>SB-20185</x:v>
      </x:c>
      <x:c r="D6205" t="str">
        <x:v>Sarah Brown</x:v>
      </x:c>
      <x:c r="E6205" t="str">
        <x:v>Consumer</x:v>
      </x:c>
      <x:c r="F6205" t="str">
        <x:v>Central</x:v>
      </x:c>
      <x:c r="G6205" t="str">
        <x:v>Technology</x:v>
      </x:c>
      <x:c r="H6205" t="str">
        <x:v>Copiers</x:v>
      </x:c>
      <x:c r="I6205" s="22" t="n">
        <x:v>1439.968</x:v>
      </x:c>
      <x:c r="J6205" s="24" t="n">
        <x:v>4</x:v>
      </x:c>
      <x:c r="K6205" s="26" t="n">
        <x:v>0.2</x:v>
      </x:c>
      <x:c r="L6205" s="22" t="n">
        <x:v>485.9891999999999</x:v>
      </x:c>
      <x:c r="M6205" t="n">
        <x:v>2015</x:v>
      </x:c>
      <x:c r="N6205" s="20" t="n">
        <x:v>42095</x:v>
      </x:c>
    </x:row>
    <x:row r="6206" ht="18" customHeight="1">
      <x:c r="A6206" t="str">
        <x:v>CA-2015-146675</x:v>
      </x:c>
      <x:c r="B6206" s="18" t="n">
        <x:v>42110</x:v>
      </x:c>
      <x:c r="C6206" t="str">
        <x:v>SB-20185</x:v>
      </x:c>
      <x:c r="D6206" t="str">
        <x:v>Sarah Brown</x:v>
      </x:c>
      <x:c r="E6206" t="str">
        <x:v>Consumer</x:v>
      </x:c>
      <x:c r="F6206" t="str">
        <x:v>Central</x:v>
      </x:c>
      <x:c r="G6206" t="str">
        <x:v>Technology</x:v>
      </x:c>
      <x:c r="H6206" t="str">
        <x:v>Accessories</x:v>
      </x:c>
      <x:c r="I6206" s="22" t="n">
        <x:v>43.56</x:v>
      </x:c>
      <x:c r="J6206" s="24" t="n">
        <x:v>3</x:v>
      </x:c>
      <x:c r="K6206" s="26" t="n">
        <x:v>0.2</x:v>
      </x:c>
      <x:c r="L6206" s="22" t="n">
        <x:v>-4.900499999999997</x:v>
      </x:c>
      <x:c r="M6206" t="n">
        <x:v>2015</x:v>
      </x:c>
      <x:c r="N6206" s="20" t="n">
        <x:v>42095</x:v>
      </x:c>
    </x:row>
    <x:row r="6207" ht="18" customHeight="1">
      <x:c r="A6207" t="str">
        <x:v>CA-2016-118332</x:v>
      </x:c>
      <x:c r="B6207" s="18" t="n">
        <x:v>42720</x:v>
      </x:c>
      <x:c r="C6207" t="str">
        <x:v>PK-19075</x:v>
      </x:c>
      <x:c r="D6207" t="str">
        <x:v>Pete Kriz</x:v>
      </x:c>
      <x:c r="E6207" t="str">
        <x:v>Consumer</x:v>
      </x:c>
      <x:c r="F6207" t="str">
        <x:v>West</x:v>
      </x:c>
      <x:c r="G6207" t="str">
        <x:v>Furniture</x:v>
      </x:c>
      <x:c r="H6207" t="str">
        <x:v>Chairs</x:v>
      </x:c>
      <x:c r="I6207" s="22" t="n">
        <x:v>563.92</x:v>
      </x:c>
      <x:c r="J6207" s="24" t="n">
        <x:v>5</x:v>
      </x:c>
      <x:c r="K6207" s="26" t="n">
        <x:v>0.2</x:v>
      </x:c>
      <x:c r="L6207" s="22" t="n">
        <x:v>7.04899999999995</x:v>
      </x:c>
      <x:c r="M6207" t="n">
        <x:v>2016</x:v>
      </x:c>
      <x:c r="N6207" s="20" t="n">
        <x:v>42705</x:v>
      </x:c>
    </x:row>
    <x:row r="6208" ht="18" customHeight="1">
      <x:c r="A6208" t="str">
        <x:v>CA-2016-133669</x:v>
      </x:c>
      <x:c r="B6208" s="18" t="n">
        <x:v>42664</x:v>
      </x:c>
      <x:c r="C6208" t="str">
        <x:v>SV-20935</x:v>
      </x:c>
      <x:c r="D6208" t="str">
        <x:v>Susan Vittorini</x:v>
      </x:c>
      <x:c r="E6208" t="str">
        <x:v>Consumer</x:v>
      </x:c>
      <x:c r="F6208" t="str">
        <x:v>East</x:v>
      </x:c>
      <x:c r="G6208" t="str">
        <x:v>Technology</x:v>
      </x:c>
      <x:c r="H6208" t="str">
        <x:v>Phones</x:v>
      </x:c>
      <x:c r="I6208" s="22" t="n">
        <x:v>235.152</x:v>
      </x:c>
      <x:c r="J6208" s="24" t="n">
        <x:v>8</x:v>
      </x:c>
      <x:c r="K6208" s="26" t="n">
        <x:v>0.4</x:v>
      </x:c>
      <x:c r="L6208" s="22" t="n">
        <x:v>-47.030399999999986</x:v>
      </x:c>
      <x:c r="M6208" t="n">
        <x:v>2016</x:v>
      </x:c>
      <x:c r="N6208" s="20" t="n">
        <x:v>42644</x:v>
      </x:c>
    </x:row>
    <x:row r="6209" ht="18" customHeight="1">
      <x:c r="A6209" t="str">
        <x:v>CA-2017-145660</x:v>
      </x:c>
      <x:c r="B6209" s="18" t="n">
        <x:v>43070</x:v>
      </x:c>
      <x:c r="C6209" t="str">
        <x:v>MG-17650</x:v>
      </x:c>
      <x:c r="D6209" t="str">
        <x:v>Matthew Grinstein</x:v>
      </x:c>
      <x:c r="E6209" t="str">
        <x:v>Home Office</x:v>
      </x:c>
      <x:c r="F6209" t="str">
        <x:v>East</x:v>
      </x:c>
      <x:c r="G6209" t="str">
        <x:v>Furniture</x:v>
      </x:c>
      <x:c r="H6209" t="str">
        <x:v>Furnishings</x:v>
      </x:c>
      <x:c r="I6209" s="22" t="n">
        <x:v>7.712000000000001</x:v>
      </x:c>
      <x:c r="J6209" s="24" t="n">
        <x:v>2</x:v>
      </x:c>
      <x:c r="K6209" s="26" t="n">
        <x:v>0.2</x:v>
      </x:c>
      <x:c r="L6209" s="22" t="n">
        <x:v>1.7352000000000005</x:v>
      </x:c>
      <x:c r="M6209" t="n">
        <x:v>2017</x:v>
      </x:c>
      <x:c r="N6209" s="20" t="n">
        <x:v>43070</x:v>
      </x:c>
    </x:row>
    <x:row r="6210" ht="18" customHeight="1">
      <x:c r="A6210" t="str">
        <x:v>CA-2016-133697</x:v>
      </x:c>
      <x:c r="B6210" s="18" t="n">
        <x:v>42663</x:v>
      </x:c>
      <x:c r="C6210" t="str">
        <x:v>CM-12445</x:v>
      </x:c>
      <x:c r="D6210" t="str">
        <x:v>Chuck Magee</x:v>
      </x:c>
      <x:c r="E6210" t="str">
        <x:v>Consumer</x:v>
      </x:c>
      <x:c r="F6210" t="str">
        <x:v>Central</x:v>
      </x:c>
      <x:c r="G6210" t="str">
        <x:v>Office Supplies</x:v>
      </x:c>
      <x:c r="H6210" t="str">
        <x:v>Paper</x:v>
      </x:c>
      <x:c r="I6210" s="22" t="n">
        <x:v>51.016000000000005</x:v>
      </x:c>
      <x:c r="J6210" s="24" t="n">
        <x:v>7</x:v>
      </x:c>
      <x:c r="K6210" s="26" t="n">
        <x:v>0.2</x:v>
      </x:c>
      <x:c r="L6210" s="22" t="n">
        <x:v>15.942499999999992</x:v>
      </x:c>
      <x:c r="M6210" t="n">
        <x:v>2016</x:v>
      </x:c>
      <x:c r="N6210" s="20" t="n">
        <x:v>42644</x:v>
      </x:c>
    </x:row>
    <x:row r="6211" ht="18" customHeight="1">
      <x:c r="A6211" t="str">
        <x:v>CA-2016-133697</x:v>
      </x:c>
      <x:c r="B6211" s="18" t="n">
        <x:v>42663</x:v>
      </x:c>
      <x:c r="C6211" t="str">
        <x:v>CM-12445</x:v>
      </x:c>
      <x:c r="D6211" t="str">
        <x:v>Chuck Magee</x:v>
      </x:c>
      <x:c r="E6211" t="str">
        <x:v>Consumer</x:v>
      </x:c>
      <x:c r="F6211" t="str">
        <x:v>Central</x:v>
      </x:c>
      <x:c r="G6211" t="str">
        <x:v>Office Supplies</x:v>
      </x:c>
      <x:c r="H6211" t="str">
        <x:v>Fasteners</x:v>
      </x:c>
      <x:c r="I6211" s="22" t="n">
        <x:v>25.248</x:v>
      </x:c>
      <x:c r="J6211" s="24" t="n">
        <x:v>4</x:v>
      </x:c>
      <x:c r="K6211" s="26" t="n">
        <x:v>0.2</x:v>
      </x:c>
      <x:c r="L6211" s="22" t="n">
        <x:v>7.889999999999998</x:v>
      </x:c>
      <x:c r="M6211" t="n">
        <x:v>2016</x:v>
      </x:c>
      <x:c r="N6211" s="20" t="n">
        <x:v>42644</x:v>
      </x:c>
    </x:row>
    <x:row r="6212" ht="18" customHeight="1">
      <x:c r="A6212" t="str">
        <x:v>CA-2016-133697</x:v>
      </x:c>
      <x:c r="B6212" s="18" t="n">
        <x:v>42663</x:v>
      </x:c>
      <x:c r="C6212" t="str">
        <x:v>CM-12445</x:v>
      </x:c>
      <x:c r="D6212" t="str">
        <x:v>Chuck Magee</x:v>
      </x:c>
      <x:c r="E6212" t="str">
        <x:v>Consumer</x:v>
      </x:c>
      <x:c r="F6212" t="str">
        <x:v>Central</x:v>
      </x:c>
      <x:c r="G6212" t="str">
        <x:v>Furniture</x:v>
      </x:c>
      <x:c r="H6212" t="str">
        <x:v>Chairs</x:v>
      </x:c>
      <x:c r="I6212" s="22" t="n">
        <x:v>56.686</x:v>
      </x:c>
      <x:c r="J6212" s="24" t="n">
        <x:v>1</x:v>
      </x:c>
      <x:c r="K6212" s="26" t="n">
        <x:v>0.3</x:v>
      </x:c>
      <x:c r="L6212" s="22" t="n">
        <x:v>-14.576399999999996</x:v>
      </x:c>
      <x:c r="M6212" t="n">
        <x:v>2016</x:v>
      </x:c>
      <x:c r="N6212" s="20" t="n">
        <x:v>42644</x:v>
      </x:c>
    </x:row>
    <x:row r="6213" ht="18" customHeight="1">
      <x:c r="A6213" t="str">
        <x:v>CA-2017-148138</x:v>
      </x:c>
      <x:c r="B6213" s="18" t="n">
        <x:v>43007</x:v>
      </x:c>
      <x:c r="C6213" t="str">
        <x:v>ME-18010</x:v>
      </x:c>
      <x:c r="D6213" t="str">
        <x:v>Michelle Ellison</x:v>
      </x:c>
      <x:c r="E6213" t="str">
        <x:v>Corporate</x:v>
      </x:c>
      <x:c r="F6213" t="str">
        <x:v>East</x:v>
      </x:c>
      <x:c r="G6213" t="str">
        <x:v>Office Supplies</x:v>
      </x:c>
      <x:c r="H6213" t="str">
        <x:v>Storage</x:v>
      </x:c>
      <x:c r="I6213" s="22" t="n">
        <x:v>51.168000000000006</x:v>
      </x:c>
      <x:c r="J6213" s="24" t="n">
        <x:v>2</x:v>
      </x:c>
      <x:c r="K6213" s="26" t="n">
        <x:v>0.2</x:v>
      </x:c>
      <x:c r="L6213" s="22" t="n">
        <x:v>-6.396000000000001</x:v>
      </x:c>
      <x:c r="M6213" t="n">
        <x:v>2017</x:v>
      </x:c>
      <x:c r="N6213" s="20" t="n">
        <x:v>42979</x:v>
      </x:c>
    </x:row>
    <x:row r="6214" ht="18" customHeight="1">
      <x:c r="A6214" t="str">
        <x:v>CA-2017-119809</x:v>
      </x:c>
      <x:c r="B6214" s="18" t="n">
        <x:v>42965</x:v>
      </x:c>
      <x:c r="C6214" t="str">
        <x:v>YS-21880</x:v>
      </x:c>
      <x:c r="D6214" t="str">
        <x:v>Yana Sorensen</x:v>
      </x:c>
      <x:c r="E6214" t="str">
        <x:v>Corporate</x:v>
      </x:c>
      <x:c r="F6214" t="str">
        <x:v>West</x:v>
      </x:c>
      <x:c r="G6214" t="str">
        <x:v>Office Supplies</x:v>
      </x:c>
      <x:c r="H6214" t="str">
        <x:v>Binders</x:v>
      </x:c>
      <x:c r="I6214" s="22" t="n">
        <x:v>2793.5280000000002</x:v>
      </x:c>
      <x:c r="J6214" s="24" t="n">
        <x:v>9</x:v>
      </x:c>
      <x:c r="K6214" s="26" t="n">
        <x:v>0.2</x:v>
      </x:c>
      <x:c r="L6214" s="22" t="n">
        <x:v>942.8156999999999</x:v>
      </x:c>
      <x:c r="M6214" t="n">
        <x:v>2017</x:v>
      </x:c>
      <x:c r="N6214" s="20" t="n">
        <x:v>42948</x:v>
      </x:c>
    </x:row>
    <x:row r="6215" ht="18" customHeight="1">
      <x:c r="A6215" t="str">
        <x:v>CA-2017-119809</x:v>
      </x:c>
      <x:c r="B6215" s="18" t="n">
        <x:v>42965</x:v>
      </x:c>
      <x:c r="C6215" t="str">
        <x:v>YS-21880</x:v>
      </x:c>
      <x:c r="D6215" t="str">
        <x:v>Yana Sorensen</x:v>
      </x:c>
      <x:c r="E6215" t="str">
        <x:v>Corporate</x:v>
      </x:c>
      <x:c r="F6215" t="str">
        <x:v>West</x:v>
      </x:c>
      <x:c r="G6215" t="str">
        <x:v>Office Supplies</x:v>
      </x:c>
      <x:c r="H6215" t="str">
        <x:v>Storage</x:v>
      </x:c>
      <x:c r="I6215" s="22" t="n">
        <x:v>1000.0200000000001</x:v>
      </x:c>
      <x:c r="J6215" s="24" t="n">
        <x:v>7</x:v>
      </x:c>
      <x:c r="K6215" s="26" t="n">
        <x:v>0</x:v>
      </x:c>
      <x:c r="L6215" s="22" t="n">
        <x:v>290.0057999999999</x:v>
      </x:c>
      <x:c r="M6215" t="n">
        <x:v>2017</x:v>
      </x:c>
      <x:c r="N6215" s="20" t="n">
        <x:v>42948</x:v>
      </x:c>
    </x:row>
    <x:row r="6216" ht="18" customHeight="1">
      <x:c r="A6216" t="str">
        <x:v>CA-2017-119809</x:v>
      </x:c>
      <x:c r="B6216" s="18" t="n">
        <x:v>42965</x:v>
      </x:c>
      <x:c r="C6216" t="str">
        <x:v>YS-21880</x:v>
      </x:c>
      <x:c r="D6216" t="str">
        <x:v>Yana Sorensen</x:v>
      </x:c>
      <x:c r="E6216" t="str">
        <x:v>Corporate</x:v>
      </x:c>
      <x:c r="F6216" t="str">
        <x:v>West</x:v>
      </x:c>
      <x:c r="G6216" t="str">
        <x:v>Furniture</x:v>
      </x:c>
      <x:c r="H6216" t="str">
        <x:v>Furnishings</x:v>
      </x:c>
      <x:c r="I6216" s="22" t="n">
        <x:v>65.94</x:v>
      </x:c>
      <x:c r="J6216" s="24" t="n">
        <x:v>3</x:v>
      </x:c>
      <x:c r="K6216" s="26" t="n">
        <x:v>0</x:v>
      </x:c>
      <x:c r="L6216" s="22" t="n">
        <x:v>22.419600000000003</x:v>
      </x:c>
      <x:c r="M6216" t="n">
        <x:v>2017</x:v>
      </x:c>
      <x:c r="N6216" s="20" t="n">
        <x:v>42948</x:v>
      </x:c>
    </x:row>
    <x:row r="6217" ht="18" customHeight="1">
      <x:c r="A6217" t="str">
        <x:v>CA-2017-149944</x:v>
      </x:c>
      <x:c r="B6217" s="18" t="n">
        <x:v>43051</x:v>
      </x:c>
      <x:c r="C6217" t="str">
        <x:v>MB-17305</x:v>
      </x:c>
      <x:c r="D6217" t="str">
        <x:v>Maria Bertelson</x:v>
      </x:c>
      <x:c r="E6217" t="str">
        <x:v>Consumer</x:v>
      </x:c>
      <x:c r="F6217" t="str">
        <x:v>West</x:v>
      </x:c>
      <x:c r="G6217" t="str">
        <x:v>Office Supplies</x:v>
      </x:c>
      <x:c r="H6217" t="str">
        <x:v>Fasteners</x:v>
      </x:c>
      <x:c r="I6217" s="22" t="n">
        <x:v>18.240000000000002</x:v>
      </x:c>
      <x:c r="J6217" s="24" t="n">
        <x:v>3</x:v>
      </x:c>
      <x:c r="K6217" s="26" t="n">
        <x:v>0</x:v>
      </x:c>
      <x:c r="L6217" s="22" t="n">
        <x:v>9.120000000000001</x:v>
      </x:c>
      <x:c r="M6217" t="n">
        <x:v>2017</x:v>
      </x:c>
      <x:c r="N6217" s="20" t="n">
        <x:v>43040</x:v>
      </x:c>
    </x:row>
    <x:row r="6218" ht="18" customHeight="1">
      <x:c r="A6218" t="str">
        <x:v>CA-2017-149944</x:v>
      </x:c>
      <x:c r="B6218" s="18" t="n">
        <x:v>43051</x:v>
      </x:c>
      <x:c r="C6218" t="str">
        <x:v>MB-17305</x:v>
      </x:c>
      <x:c r="D6218" t="str">
        <x:v>Maria Bertelson</x:v>
      </x:c>
      <x:c r="E6218" t="str">
        <x:v>Consumer</x:v>
      </x:c>
      <x:c r="F6218" t="str">
        <x:v>West</x:v>
      </x:c>
      <x:c r="G6218" t="str">
        <x:v>Office Supplies</x:v>
      </x:c>
      <x:c r="H6218" t="str">
        <x:v>Appliances</x:v>
      </x:c>
      <x:c r="I6218" s="22" t="n">
        <x:v>76.12</x:v>
      </x:c>
      <x:c r="J6218" s="24" t="n">
        <x:v>2</x:v>
      </x:c>
      <x:c r="K6218" s="26" t="n">
        <x:v>0</x:v>
      </x:c>
      <x:c r="L6218" s="22" t="n">
        <x:v>22.074799999999996</x:v>
      </x:c>
      <x:c r="M6218" t="n">
        <x:v>2017</x:v>
      </x:c>
      <x:c r="N6218" s="20" t="n">
        <x:v>43040</x:v>
      </x:c>
    </x:row>
    <x:row r="6219" ht="18" customHeight="1">
      <x:c r="A6219" t="str">
        <x:v>CA-2014-128538</x:v>
      </x:c>
      <x:c r="B6219" s="18" t="n">
        <x:v>41923</x:v>
      </x:c>
      <x:c r="C6219" t="str">
        <x:v>AS-10240</x:v>
      </x:c>
      <x:c r="D6219" t="str">
        <x:v>Alan Shonely</x:v>
      </x:c>
      <x:c r="E6219" t="str">
        <x:v>Consumer</x:v>
      </x:c>
      <x:c r="F6219" t="str">
        <x:v>West</x:v>
      </x:c>
      <x:c r="G6219" t="str">
        <x:v>Office Supplies</x:v>
      </x:c>
      <x:c r="H6219" t="str">
        <x:v>Envelopes</x:v>
      </x:c>
      <x:c r="I6219" s="22" t="n">
        <x:v>7.64</x:v>
      </x:c>
      <x:c r="J6219" s="24" t="n">
        <x:v>1</x:v>
      </x:c>
      <x:c r="K6219" s="26" t="n">
        <x:v>0</x:v>
      </x:c>
      <x:c r="L6219" s="22" t="n">
        <x:v>3.7436</x:v>
      </x:c>
      <x:c r="M6219" t="n">
        <x:v>2014</x:v>
      </x:c>
      <x:c r="N6219" s="20" t="n">
        <x:v>41913</x:v>
      </x:c>
    </x:row>
    <x:row r="6220" ht="18" customHeight="1">
      <x:c r="A6220" t="str">
        <x:v>CA-2015-161711</x:v>
      </x:c>
      <x:c r="B6220" s="18" t="n">
        <x:v>42336</x:v>
      </x:c>
      <x:c r="C6220" t="str">
        <x:v>MC-17425</x:v>
      </x:c>
      <x:c r="D6220" t="str">
        <x:v>Mark Cousins</x:v>
      </x:c>
      <x:c r="E6220" t="str">
        <x:v>Corporate</x:v>
      </x:c>
      <x:c r="F6220" t="str">
        <x:v>East</x:v>
      </x:c>
      <x:c r="G6220" t="str">
        <x:v>Furniture</x:v>
      </x:c>
      <x:c r="H6220" t="str">
        <x:v>Furnishings</x:v>
      </x:c>
      <x:c r="I6220" s="22" t="n">
        <x:v>68.16</x:v>
      </x:c>
      <x:c r="J6220" s="24" t="n">
        <x:v>3</x:v>
      </x:c>
      <x:c r="K6220" s="26" t="n">
        <x:v>0</x:v>
      </x:c>
      <x:c r="L6220" s="22" t="n">
        <x:v>27.945600000000002</x:v>
      </x:c>
      <x:c r="M6220" t="n">
        <x:v>2015</x:v>
      </x:c>
      <x:c r="N6220" s="20" t="n">
        <x:v>42309</x:v>
      </x:c>
    </x:row>
    <x:row r="6221" ht="18" customHeight="1">
      <x:c r="A6221" t="str">
        <x:v>CA-2015-161711</x:v>
      </x:c>
      <x:c r="B6221" s="18" t="n">
        <x:v>42336</x:v>
      </x:c>
      <x:c r="C6221" t="str">
        <x:v>MC-17425</x:v>
      </x:c>
      <x:c r="D6221" t="str">
        <x:v>Mark Cousins</x:v>
      </x:c>
      <x:c r="E6221" t="str">
        <x:v>Corporate</x:v>
      </x:c>
      <x:c r="F6221" t="str">
        <x:v>East</x:v>
      </x:c>
      <x:c r="G6221" t="str">
        <x:v>Office Supplies</x:v>
      </x:c>
      <x:c r="H6221" t="str">
        <x:v>Envelopes</x:v>
      </x:c>
      <x:c r="I6221" s="22" t="n">
        <x:v>62.24</x:v>
      </x:c>
      <x:c r="J6221" s="24" t="n">
        <x:v>8</x:v>
      </x:c>
      <x:c r="K6221" s="26" t="n">
        <x:v>0</x:v>
      </x:c>
      <x:c r="L6221" s="22" t="n">
        <x:v>29.2528</x:v>
      </x:c>
      <x:c r="M6221" t="n">
        <x:v>2015</x:v>
      </x:c>
      <x:c r="N6221" s="20" t="n">
        <x:v>42309</x:v>
      </x:c>
    </x:row>
    <x:row r="6222" ht="18" customHeight="1">
      <x:c r="A6222" t="str">
        <x:v>US-2015-129553</x:v>
      </x:c>
      <x:c r="B6222" s="18" t="n">
        <x:v>42212</x:v>
      </x:c>
      <x:c r="C6222" t="str">
        <x:v>PG-18820</x:v>
      </x:c>
      <x:c r="D6222" t="str">
        <x:v>Patrick Gardner</x:v>
      </x:c>
      <x:c r="E6222" t="str">
        <x:v>Consumer</x:v>
      </x:c>
      <x:c r="F6222" t="str">
        <x:v>South</x:v>
      </x:c>
      <x:c r="G6222" t="str">
        <x:v>Technology</x:v>
      </x:c>
      <x:c r="H6222" t="str">
        <x:v>Phones</x:v>
      </x:c>
      <x:c r="I6222" s="22" t="n">
        <x:v>29.97</x:v>
      </x:c>
      <x:c r="J6222" s="24" t="n">
        <x:v>3</x:v>
      </x:c>
      <x:c r="K6222" s="26" t="n">
        <x:v>0</x:v>
      </x:c>
      <x:c r="L6222" s="22" t="n">
        <x:v>0.29969999999999963</x:v>
      </x:c>
      <x:c r="M6222" t="n">
        <x:v>2015</x:v>
      </x:c>
      <x:c r="N6222" s="20" t="n">
        <x:v>42186</x:v>
      </x:c>
    </x:row>
    <x:row r="6223" ht="18" customHeight="1">
      <x:c r="A6223" t="str">
        <x:v>CA-2016-160220</x:v>
      </x:c>
      <x:c r="B6223" s="18" t="n">
        <x:v>42663</x:v>
      </x:c>
      <x:c r="C6223" t="str">
        <x:v>JS-16030</x:v>
      </x:c>
      <x:c r="D6223" t="str">
        <x:v>Joy Smith</x:v>
      </x:c>
      <x:c r="E6223" t="str">
        <x:v>Consumer</x:v>
      </x:c>
      <x:c r="F6223" t="str">
        <x:v>Central</x:v>
      </x:c>
      <x:c r="G6223" t="str">
        <x:v>Technology</x:v>
      </x:c>
      <x:c r="H6223" t="str">
        <x:v>Phones</x:v>
      </x:c>
      <x:c r="I6223" s="22" t="n">
        <x:v>125.69999999999999</x:v>
      </x:c>
      <x:c r="J6223" s="24" t="n">
        <x:v>6</x:v>
      </x:c>
      <x:c r="K6223" s="26" t="n">
        <x:v>0</x:v>
      </x:c>
      <x:c r="L6223" s="22" t="n">
        <x:v>35.196</x:v>
      </x:c>
      <x:c r="M6223" t="n">
        <x:v>2016</x:v>
      </x:c>
      <x:c r="N6223" s="20" t="n">
        <x:v>42644</x:v>
      </x:c>
    </x:row>
    <x:row r="6224" ht="18" customHeight="1">
      <x:c r="A6224" t="str">
        <x:v>CA-2016-160220</x:v>
      </x:c>
      <x:c r="B6224" s="18" t="n">
        <x:v>42663</x:v>
      </x:c>
      <x:c r="C6224" t="str">
        <x:v>JS-16030</x:v>
      </x:c>
      <x:c r="D6224" t="str">
        <x:v>Joy Smith</x:v>
      </x:c>
      <x:c r="E6224" t="str">
        <x:v>Consumer</x:v>
      </x:c>
      <x:c r="F6224" t="str">
        <x:v>Central</x:v>
      </x:c>
      <x:c r="G6224" t="str">
        <x:v>Technology</x:v>
      </x:c>
      <x:c r="H6224" t="str">
        <x:v>Phones</x:v>
      </x:c>
      <x:c r="I6224" s="22" t="n">
        <x:v>191.98</x:v>
      </x:c>
      <x:c r="J6224" s="24" t="n">
        <x:v>2</x:v>
      </x:c>
      <x:c r="K6224" s="26" t="n">
        <x:v>0</x:v>
      </x:c>
      <x:c r="L6224" s="22" t="n">
        <x:v>51.834599999999995</x:v>
      </x:c>
      <x:c r="M6224" t="n">
        <x:v>2016</x:v>
      </x:c>
      <x:c r="N6224" s="20" t="n">
        <x:v>42644</x:v>
      </x:c>
    </x:row>
    <x:row r="6225" ht="18" customHeight="1">
      <x:c r="A6225" t="str">
        <x:v>CA-2016-160220</x:v>
      </x:c>
      <x:c r="B6225" s="18" t="n">
        <x:v>42663</x:v>
      </x:c>
      <x:c r="C6225" t="str">
        <x:v>JS-16030</x:v>
      </x:c>
      <x:c r="D6225" t="str">
        <x:v>Joy Smith</x:v>
      </x:c>
      <x:c r="E6225" t="str">
        <x:v>Consumer</x:v>
      </x:c>
      <x:c r="F6225" t="str">
        <x:v>Central</x:v>
      </x:c>
      <x:c r="G6225" t="str">
        <x:v>Office Supplies</x:v>
      </x:c>
      <x:c r="H6225" t="str">
        <x:v>Storage</x:v>
      </x:c>
      <x:c r="I6225" s="22" t="n">
        <x:v>20.86</x:v>
      </x:c>
      <x:c r="J6225" s="24" t="n">
        <x:v>7</x:v>
      </x:c>
      <x:c r="K6225" s="26" t="n">
        <x:v>0</x:v>
      </x:c>
      <x:c r="L6225" s="22" t="n">
        <x:v>1.4601999999999977</x:v>
      </x:c>
      <x:c r="M6225" t="n">
        <x:v>2016</x:v>
      </x:c>
      <x:c r="N6225" s="20" t="n">
        <x:v>42644</x:v>
      </x:c>
    </x:row>
    <x:row r="6226" ht="18" customHeight="1">
      <x:c r="A6226" t="str">
        <x:v>US-2017-157224</x:v>
      </x:c>
      <x:c r="B6226" s="18" t="n">
        <x:v>42992</x:v>
      </x:c>
      <x:c r="C6226" t="str">
        <x:v>JB-16000</x:v>
      </x:c>
      <x:c r="D6226" t="str">
        <x:v>Joy Bell-</x:v>
      </x:c>
      <x:c r="E6226" t="str">
        <x:v>Consumer</x:v>
      </x:c>
      <x:c r="F6226" t="str">
        <x:v>West</x:v>
      </x:c>
      <x:c r="G6226" t="str">
        <x:v>Office Supplies</x:v>
      </x:c>
      <x:c r="H6226" t="str">
        <x:v>Labels</x:v>
      </x:c>
      <x:c r="I6226" s="22" t="n">
        <x:v>56.699999999999996</x:v>
      </x:c>
      <x:c r="J6226" s="24" t="n">
        <x:v>9</x:v>
      </x:c>
      <x:c r="K6226" s="26" t="n">
        <x:v>0</x:v>
      </x:c>
      <x:c r="L6226" s="22" t="n">
        <x:v>26.081999999999997</x:v>
      </x:c>
      <x:c r="M6226" t="n">
        <x:v>2017</x:v>
      </x:c>
      <x:c r="N6226" s="20" t="n">
        <x:v>42979</x:v>
      </x:c>
    </x:row>
    <x:row r="6227" ht="18" customHeight="1">
      <x:c r="A6227" t="str">
        <x:v>CA-2017-140627</x:v>
      </x:c>
      <x:c r="B6227" s="18" t="n">
        <x:v>43092</x:v>
      </x:c>
      <x:c r="C6227" t="str">
        <x:v>DK-12985</x:v>
      </x:c>
      <x:c r="D6227" t="str">
        <x:v>Darren Koutras</x:v>
      </x:c>
      <x:c r="E6227" t="str">
        <x:v>Consumer</x:v>
      </x:c>
      <x:c r="F6227" t="str">
        <x:v>South</x:v>
      </x:c>
      <x:c r="G6227" t="str">
        <x:v>Furniture</x:v>
      </x:c>
      <x:c r="H6227" t="str">
        <x:v>Furnishings</x:v>
      </x:c>
      <x:c r="I6227" s="22" t="n">
        <x:v>72.704</x:v>
      </x:c>
      <x:c r="J6227" s="24" t="n">
        <x:v>4</x:v>
      </x:c>
      <x:c r="K6227" s="26" t="n">
        <x:v>0.2</x:v>
      </x:c>
      <x:c r="L6227" s="22" t="n">
        <x:v>19.084800000000005</x:v>
      </x:c>
      <x:c r="M6227" t="n">
        <x:v>2017</x:v>
      </x:c>
      <x:c r="N6227" s="20" t="n">
        <x:v>43070</x:v>
      </x:c>
    </x:row>
    <x:row r="6228" ht="18" customHeight="1">
      <x:c r="A6228" t="str">
        <x:v>CA-2017-140627</x:v>
      </x:c>
      <x:c r="B6228" s="18" t="n">
        <x:v>43092</x:v>
      </x:c>
      <x:c r="C6228" t="str">
        <x:v>DK-12985</x:v>
      </x:c>
      <x:c r="D6228" t="str">
        <x:v>Darren Koutras</x:v>
      </x:c>
      <x:c r="E6228" t="str">
        <x:v>Consumer</x:v>
      </x:c>
      <x:c r="F6228" t="str">
        <x:v>South</x:v>
      </x:c>
      <x:c r="G6228" t="str">
        <x:v>Office Supplies</x:v>
      </x:c>
      <x:c r="H6228" t="str">
        <x:v>Art</x:v>
      </x:c>
      <x:c r="I6228" s="22" t="n">
        <x:v>12.264</x:v>
      </x:c>
      <x:c r="J6228" s="24" t="n">
        <x:v>7</x:v>
      </x:c>
      <x:c r="K6228" s="26" t="n">
        <x:v>0.2</x:v>
      </x:c>
      <x:c r="L6228" s="22" t="n">
        <x:v>1.0730999999999993</x:v>
      </x:c>
      <x:c r="M6228" t="n">
        <x:v>2017</x:v>
      </x:c>
      <x:c r="N6228" s="20" t="n">
        <x:v>43070</x:v>
      </x:c>
    </x:row>
    <x:row r="6229" ht="18" customHeight="1">
      <x:c r="A6229" t="str">
        <x:v>CA-2017-140627</x:v>
      </x:c>
      <x:c r="B6229" s="18" t="n">
        <x:v>43092</x:v>
      </x:c>
      <x:c r="C6229" t="str">
        <x:v>DK-12985</x:v>
      </x:c>
      <x:c r="D6229" t="str">
        <x:v>Darren Koutras</x:v>
      </x:c>
      <x:c r="E6229" t="str">
        <x:v>Consumer</x:v>
      </x:c>
      <x:c r="F6229" t="str">
        <x:v>South</x:v>
      </x:c>
      <x:c r="G6229" t="str">
        <x:v>Office Supplies</x:v>
      </x:c>
      <x:c r="H6229" t="str">
        <x:v>Storage</x:v>
      </x:c>
      <x:c r="I6229" s="22" t="n">
        <x:v>218.35200000000003</x:v>
      </x:c>
      <x:c r="J6229" s="24" t="n">
        <x:v>3</x:v>
      </x:c>
      <x:c r="K6229" s="26" t="n">
        <x:v>0.2</x:v>
      </x:c>
      <x:c r="L6229" s="22" t="n">
        <x:v>-54.58800000000001</x:v>
      </x:c>
      <x:c r="M6229" t="n">
        <x:v>2017</x:v>
      </x:c>
      <x:c r="N6229" s="20" t="n">
        <x:v>43070</x:v>
      </x:c>
    </x:row>
    <x:row r="6230" ht="18" customHeight="1">
      <x:c r="A6230" t="str">
        <x:v>CA-2015-133445</x:v>
      </x:c>
      <x:c r="B6230" s="18" t="n">
        <x:v>42282</x:v>
      </x:c>
      <x:c r="C6230" t="str">
        <x:v>JF-15490</x:v>
      </x:c>
      <x:c r="D6230" t="str">
        <x:v>Jeremy Farry</x:v>
      </x:c>
      <x:c r="E6230" t="str">
        <x:v>Consumer</x:v>
      </x:c>
      <x:c r="F6230" t="str">
        <x:v>West</x:v>
      </x:c>
      <x:c r="G6230" t="str">
        <x:v>Furniture</x:v>
      </x:c>
      <x:c r="H6230" t="str">
        <x:v>Bookcases</x:v>
      </x:c>
      <x:c r="I6230" s="22" t="n">
        <x:v>66.29400000000001</x:v>
      </x:c>
      <x:c r="J6230" s="24" t="n">
        <x:v>1</x:v>
      </x:c>
      <x:c r="K6230" s="26" t="n">
        <x:v>0.7</x:v>
      </x:c>
      <x:c r="L6230" s="22" t="n">
        <x:v>-103.86059999999998</x:v>
      </x:c>
      <x:c r="M6230" t="n">
        <x:v>2015</x:v>
      </x:c>
      <x:c r="N6230" s="20" t="n">
        <x:v>42278</x:v>
      </x:c>
    </x:row>
    <x:row r="6231" ht="18" customHeight="1">
      <x:c r="A6231" t="str">
        <x:v>CA-2015-133445</x:v>
      </x:c>
      <x:c r="B6231" s="18" t="n">
        <x:v>42282</x:v>
      </x:c>
      <x:c r="C6231" t="str">
        <x:v>JF-15490</x:v>
      </x:c>
      <x:c r="D6231" t="str">
        <x:v>Jeremy Farry</x:v>
      </x:c>
      <x:c r="E6231" t="str">
        <x:v>Consumer</x:v>
      </x:c>
      <x:c r="F6231" t="str">
        <x:v>West</x:v>
      </x:c>
      <x:c r="G6231" t="str">
        <x:v>Furniture</x:v>
      </x:c>
      <x:c r="H6231" t="str">
        <x:v>Chairs</x:v>
      </x:c>
      <x:c r="I6231" s="22" t="n">
        <x:v>291.168</x:v>
      </x:c>
      <x:c r="J6231" s="24" t="n">
        <x:v>4</x:v>
      </x:c>
      <x:c r="K6231" s="26" t="n">
        <x:v>0.2</x:v>
      </x:c>
      <x:c r="L6231" s="22" t="n">
        <x:v>-14.558399999999978</x:v>
      </x:c>
      <x:c r="M6231" t="n">
        <x:v>2015</x:v>
      </x:c>
      <x:c r="N6231" s="20" t="n">
        <x:v>42278</x:v>
      </x:c>
    </x:row>
    <x:row r="6232" ht="18" customHeight="1">
      <x:c r="A6232" t="str">
        <x:v>CA-2014-148782</x:v>
      </x:c>
      <x:c r="B6232" s="18" t="n">
        <x:v>41945</x:v>
      </x:c>
      <x:c r="C6232" t="str">
        <x:v>PO-18850</x:v>
      </x:c>
      <x:c r="D6232" t="str">
        <x:v>Patrick O'Brill</x:v>
      </x:c>
      <x:c r="E6232" t="str">
        <x:v>Consumer</x:v>
      </x:c>
      <x:c r="F6232" t="str">
        <x:v>Central</x:v>
      </x:c>
      <x:c r="G6232" t="str">
        <x:v>Technology</x:v>
      </x:c>
      <x:c r="H6232" t="str">
        <x:v>Phones</x:v>
      </x:c>
      <x:c r="I6232" s="22" t="n">
        <x:v>88.77600000000001</x:v>
      </x:c>
      <x:c r="J6232" s="24" t="n">
        <x:v>3</x:v>
      </x:c>
      <x:c r="K6232" s="26" t="n">
        <x:v>0.2</x:v>
      </x:c>
      <x:c r="L6232" s="22" t="n">
        <x:v>7.767900000000001</x:v>
      </x:c>
      <x:c r="M6232" t="n">
        <x:v>2014</x:v>
      </x:c>
      <x:c r="N6232" s="20" t="n">
        <x:v>41944</x:v>
      </x:c>
    </x:row>
    <x:row r="6233" ht="18" customHeight="1">
      <x:c r="A6233" t="str">
        <x:v>CA-2016-148208</x:v>
      </x:c>
      <x:c r="B6233" s="18" t="n">
        <x:v>42391</x:v>
      </x:c>
      <x:c r="C6233" t="str">
        <x:v>BT-11530</x:v>
      </x:c>
      <x:c r="D6233" t="str">
        <x:v>Bradley Talbott</x:v>
      </x:c>
      <x:c r="E6233" t="str">
        <x:v>Home Office</x:v>
      </x:c>
      <x:c r="F6233" t="str">
        <x:v>East</x:v>
      </x:c>
      <x:c r="G6233" t="str">
        <x:v>Technology</x:v>
      </x:c>
      <x:c r="H6233" t="str">
        <x:v>Phones</x:v>
      </x:c>
      <x:c r="I6233" s="22" t="n">
        <x:v>110.376</x:v>
      </x:c>
      <x:c r="J6233" s="24" t="n">
        <x:v>4</x:v>
      </x:c>
      <x:c r="K6233" s="26" t="n">
        <x:v>0.4</x:v>
      </x:c>
      <x:c r="L6233" s="22" t="n">
        <x:v>-20.235600000000005</x:v>
      </x:c>
      <x:c r="M6233" t="n">
        <x:v>2016</x:v>
      </x:c>
      <x:c r="N6233" s="20" t="n">
        <x:v>42370</x:v>
      </x:c>
    </x:row>
    <x:row r="6234" ht="18" customHeight="1">
      <x:c r="A6234" t="str">
        <x:v>CA-2016-148208</x:v>
      </x:c>
      <x:c r="B6234" s="18" t="n">
        <x:v>42391</x:v>
      </x:c>
      <x:c r="C6234" t="str">
        <x:v>BT-11530</x:v>
      </x:c>
      <x:c r="D6234" t="str">
        <x:v>Bradley Talbott</x:v>
      </x:c>
      <x:c r="E6234" t="str">
        <x:v>Home Office</x:v>
      </x:c>
      <x:c r="F6234" t="str">
        <x:v>East</x:v>
      </x:c>
      <x:c r="G6234" t="str">
        <x:v>Technology</x:v>
      </x:c>
      <x:c r="H6234" t="str">
        <x:v>Accessories</x:v>
      </x:c>
      <x:c r="I6234" s="22" t="n">
        <x:v>55.176</x:v>
      </x:c>
      <x:c r="J6234" s="24" t="n">
        <x:v>3</x:v>
      </x:c>
      <x:c r="K6234" s="26" t="n">
        <x:v>0.2</x:v>
      </x:c>
      <x:c r="L6234" s="22" t="n">
        <x:v>15.8631</x:v>
      </x:c>
      <x:c r="M6234" t="n">
        <x:v>2016</x:v>
      </x:c>
      <x:c r="N6234" s="20" t="n">
        <x:v>42370</x:v>
      </x:c>
    </x:row>
    <x:row r="6235" ht="18" customHeight="1">
      <x:c r="A6235" t="str">
        <x:v>CA-2017-127656</x:v>
      </x:c>
      <x:c r="B6235" s="18" t="n">
        <x:v>42927</x:v>
      </x:c>
      <x:c r="C6235" t="str">
        <x:v>NW-18400</x:v>
      </x:c>
      <x:c r="D6235" t="str">
        <x:v>Natalie Webber</x:v>
      </x:c>
      <x:c r="E6235" t="str">
        <x:v>Consumer</x:v>
      </x:c>
      <x:c r="F6235" t="str">
        <x:v>Central</x:v>
      </x:c>
      <x:c r="G6235" t="str">
        <x:v>Office Supplies</x:v>
      </x:c>
      <x:c r="H6235" t="str">
        <x:v>Art</x:v>
      </x:c>
      <x:c r="I6235" s="22" t="n">
        <x:v>30.32</x:v>
      </x:c>
      <x:c r="J6235" s="24" t="n">
        <x:v>4</x:v>
      </x:c>
      <x:c r="K6235" s="26" t="n">
        <x:v>0</x:v>
      </x:c>
      <x:c r="L6235" s="22" t="n">
        <x:v>11.8248</x:v>
      </x:c>
      <x:c r="M6235" t="n">
        <x:v>2017</x:v>
      </x:c>
      <x:c r="N6235" s="20" t="n">
        <x:v>42917</x:v>
      </x:c>
    </x:row>
    <x:row r="6236" ht="18" customHeight="1">
      <x:c r="A6236" t="str">
        <x:v>US-2017-142188</x:v>
      </x:c>
      <x:c r="B6236" s="18" t="n">
        <x:v>42989</x:v>
      </x:c>
      <x:c r="C6236" t="str">
        <x:v>JF-15415</x:v>
      </x:c>
      <x:c r="D6236" t="str">
        <x:v>Jennifer Ferguson</x:v>
      </x:c>
      <x:c r="E6236" t="str">
        <x:v>Consumer</x:v>
      </x:c>
      <x:c r="F6236" t="str">
        <x:v>West</x:v>
      </x:c>
      <x:c r="G6236" t="str">
        <x:v>Furniture</x:v>
      </x:c>
      <x:c r="H6236" t="str">
        <x:v>Chairs</x:v>
      </x:c>
      <x:c r="I6236" s="22" t="n">
        <x:v>177.568</x:v>
      </x:c>
      <x:c r="J6236" s="24" t="n">
        <x:v>2</x:v>
      </x:c>
      <x:c r="K6236" s="26" t="n">
        <x:v>0.2</x:v>
      </x:c>
      <x:c r="L6236" s="22" t="n">
        <x:v>8.878399999999992</x:v>
      </x:c>
      <x:c r="M6236" t="n">
        <x:v>2017</x:v>
      </x:c>
      <x:c r="N6236" s="20" t="n">
        <x:v>42979</x:v>
      </x:c>
    </x:row>
    <x:row r="6237" ht="18" customHeight="1">
      <x:c r="A6237" t="str">
        <x:v>US-2017-142188</x:v>
      </x:c>
      <x:c r="B6237" s="18" t="n">
        <x:v>42989</x:v>
      </x:c>
      <x:c r="C6237" t="str">
        <x:v>JF-15415</x:v>
      </x:c>
      <x:c r="D6237" t="str">
        <x:v>Jennifer Ferguson</x:v>
      </x:c>
      <x:c r="E6237" t="str">
        <x:v>Consumer</x:v>
      </x:c>
      <x:c r="F6237" t="str">
        <x:v>West</x:v>
      </x:c>
      <x:c r="G6237" t="str">
        <x:v>Office Supplies</x:v>
      </x:c>
      <x:c r="H6237" t="str">
        <x:v>Paper</x:v>
      </x:c>
      <x:c r="I6237" s="22" t="n">
        <x:v>19.44</x:v>
      </x:c>
      <x:c r="J6237" s="24" t="n">
        <x:v>3</x:v>
      </x:c>
      <x:c r="K6237" s="26" t="n">
        <x:v>0</x:v>
      </x:c>
      <x:c r="L6237" s="22" t="n">
        <x:v>9.3312</x:v>
      </x:c>
      <x:c r="M6237" t="n">
        <x:v>2017</x:v>
      </x:c>
      <x:c r="N6237" s="20" t="n">
        <x:v>42979</x:v>
      </x:c>
    </x:row>
    <x:row r="6238" ht="18" customHeight="1">
      <x:c r="A6238" t="str">
        <x:v>US-2017-142188</x:v>
      </x:c>
      <x:c r="B6238" s="18" t="n">
        <x:v>42989</x:v>
      </x:c>
      <x:c r="C6238" t="str">
        <x:v>JF-15415</x:v>
      </x:c>
      <x:c r="D6238" t="str">
        <x:v>Jennifer Ferguson</x:v>
      </x:c>
      <x:c r="E6238" t="str">
        <x:v>Consumer</x:v>
      </x:c>
      <x:c r="F6238" t="str">
        <x:v>West</x:v>
      </x:c>
      <x:c r="G6238" t="str">
        <x:v>Office Supplies</x:v>
      </x:c>
      <x:c r="H6238" t="str">
        <x:v>Paper</x:v>
      </x:c>
      <x:c r="I6238" s="22" t="n">
        <x:v>71.28</x:v>
      </x:c>
      <x:c r="J6238" s="24" t="n">
        <x:v>11</x:v>
      </x:c>
      <x:c r="K6238" s="26" t="n">
        <x:v>0</x:v>
      </x:c>
      <x:c r="L6238" s="22" t="n">
        <x:v>34.214400000000005</x:v>
      </x:c>
      <x:c r="M6238" t="n">
        <x:v>2017</x:v>
      </x:c>
      <x:c r="N6238" s="20" t="n">
        <x:v>42979</x:v>
      </x:c>
    </x:row>
    <x:row r="6239" ht="18" customHeight="1">
      <x:c r="A6239" t="str">
        <x:v>US-2017-142188</x:v>
      </x:c>
      <x:c r="B6239" s="18" t="n">
        <x:v>42989</x:v>
      </x:c>
      <x:c r="C6239" t="str">
        <x:v>JF-15415</x:v>
      </x:c>
      <x:c r="D6239" t="str">
        <x:v>Jennifer Ferguson</x:v>
      </x:c>
      <x:c r="E6239" t="str">
        <x:v>Consumer</x:v>
      </x:c>
      <x:c r="F6239" t="str">
        <x:v>West</x:v>
      </x:c>
      <x:c r="G6239" t="str">
        <x:v>Office Supplies</x:v>
      </x:c>
      <x:c r="H6239" t="str">
        <x:v>Binders</x:v>
      </x:c>
      <x:c r="I6239" s="22" t="n">
        <x:v>1471.96</x:v>
      </x:c>
      <x:c r="J6239" s="24" t="n">
        <x:v>5</x:v>
      </x:c>
      <x:c r="K6239" s="26" t="n">
        <x:v>0.2</x:v>
      </x:c>
      <x:c r="L6239" s="22" t="n">
        <x:v>459.98749999999995</x:v>
      </x:c>
      <x:c r="M6239" t="n">
        <x:v>2017</x:v>
      </x:c>
      <x:c r="N6239" s="20" t="n">
        <x:v>42979</x:v>
      </x:c>
    </x:row>
    <x:row r="6240" ht="18" customHeight="1">
      <x:c r="A6240" t="str">
        <x:v>US-2017-142188</x:v>
      </x:c>
      <x:c r="B6240" s="18" t="n">
        <x:v>42989</x:v>
      </x:c>
      <x:c r="C6240" t="str">
        <x:v>JF-15415</x:v>
      </x:c>
      <x:c r="D6240" t="str">
        <x:v>Jennifer Ferguson</x:v>
      </x:c>
      <x:c r="E6240" t="str">
        <x:v>Consumer</x:v>
      </x:c>
      <x:c r="F6240" t="str">
        <x:v>West</x:v>
      </x:c>
      <x:c r="G6240" t="str">
        <x:v>Technology</x:v>
      </x:c>
      <x:c r="H6240" t="str">
        <x:v>Phones</x:v>
      </x:c>
      <x:c r="I6240" s="22" t="n">
        <x:v>79.96</x:v>
      </x:c>
      <x:c r="J6240" s="24" t="n">
        <x:v>5</x:v>
      </x:c>
      <x:c r="K6240" s="26" t="n">
        <x:v>0.2</x:v>
      </x:c>
      <x:c r="L6240" s="22" t="n">
        <x:v>-17.991000000000003</x:v>
      </x:c>
      <x:c r="M6240" t="n">
        <x:v>2017</x:v>
      </x:c>
      <x:c r="N6240" s="20" t="n">
        <x:v>42979</x:v>
      </x:c>
    </x:row>
    <x:row r="6241" ht="18" customHeight="1">
      <x:c r="A6241" t="str">
        <x:v>CA-2016-144400</x:v>
      </x:c>
      <x:c r="B6241" s="18" t="n">
        <x:v>42423</x:v>
      </x:c>
      <x:c r="C6241" t="str">
        <x:v>AC-10420</x:v>
      </x:c>
      <x:c r="D6241" t="str">
        <x:v>Alyssa Crouse</x:v>
      </x:c>
      <x:c r="E6241" t="str">
        <x:v>Corporate</x:v>
      </x:c>
      <x:c r="F6241" t="str">
        <x:v>East</x:v>
      </x:c>
      <x:c r="G6241" t="str">
        <x:v>Office Supplies</x:v>
      </x:c>
      <x:c r="H6241" t="str">
        <x:v>Envelopes</x:v>
      </x:c>
      <x:c r="I6241" s="22" t="n">
        <x:v>57.576</x:v>
      </x:c>
      <x:c r="J6241" s="24" t="n">
        <x:v>3</x:v>
      </x:c>
      <x:c r="K6241" s="26" t="n">
        <x:v>0.2</x:v>
      </x:c>
      <x:c r="L6241" s="22" t="n">
        <x:v>21.591</x:v>
      </x:c>
      <x:c r="M6241" t="n">
        <x:v>2016</x:v>
      </x:c>
      <x:c r="N6241" s="20" t="n">
        <x:v>42401</x:v>
      </x:c>
    </x:row>
    <x:row r="6242" ht="18" customHeight="1">
      <x:c r="A6242" t="str">
        <x:v>US-2016-155180</x:v>
      </x:c>
      <x:c r="B6242" s="18" t="n">
        <x:v>42391</x:v>
      </x:c>
      <x:c r="C6242" t="str">
        <x:v>TB-21280</x:v>
      </x:c>
      <x:c r="D6242" t="str">
        <x:v>Toby Braunhardt</x:v>
      </x:c>
      <x:c r="E6242" t="str">
        <x:v>Consumer</x:v>
      </x:c>
      <x:c r="F6242" t="str">
        <x:v>East</x:v>
      </x:c>
      <x:c r="G6242" t="str">
        <x:v>Office Supplies</x:v>
      </x:c>
      <x:c r="H6242" t="str">
        <x:v>Binders</x:v>
      </x:c>
      <x:c r="I6242" s="22" t="n">
        <x:v>26.336000000000002</x:v>
      </x:c>
      <x:c r="J6242" s="24" t="n">
        <x:v>4</x:v>
      </x:c>
      <x:c r="K6242" s="26" t="n">
        <x:v>0.2</x:v>
      </x:c>
      <x:c r="L6242" s="22" t="n">
        <x:v>9.217600000000001</x:v>
      </x:c>
      <x:c r="M6242" t="n">
        <x:v>2016</x:v>
      </x:c>
      <x:c r="N6242" s="20" t="n">
        <x:v>42370</x:v>
      </x:c>
    </x:row>
    <x:row r="6243" ht="18" customHeight="1">
      <x:c r="A6243" t="str">
        <x:v>CA-2015-134075</x:v>
      </x:c>
      <x:c r="B6243" s="18" t="n">
        <x:v>42350</x:v>
      </x:c>
      <x:c r="C6243" t="str">
        <x:v>HA-14905</x:v>
      </x:c>
      <x:c r="D6243" t="str">
        <x:v>Helen Abelman</x:v>
      </x:c>
      <x:c r="E6243" t="str">
        <x:v>Consumer</x:v>
      </x:c>
      <x:c r="F6243" t="str">
        <x:v>West</x:v>
      </x:c>
      <x:c r="G6243" t="str">
        <x:v>Furniture</x:v>
      </x:c>
      <x:c r="H6243" t="str">
        <x:v>Furnishings</x:v>
      </x:c>
      <x:c r="I6243" s="22" t="n">
        <x:v>166.5</x:v>
      </x:c>
      <x:c r="J6243" s="24" t="n">
        <x:v>3</x:v>
      </x:c>
      <x:c r="K6243" s="26" t="n">
        <x:v>0</x:v>
      </x:c>
      <x:c r="L6243" s="22" t="n">
        <x:v>21.64500000000001</x:v>
      </x:c>
      <x:c r="M6243" t="n">
        <x:v>2015</x:v>
      </x:c>
      <x:c r="N6243" s="20" t="n">
        <x:v>42339</x:v>
      </x:c>
    </x:row>
    <x:row r="6244" ht="18" customHeight="1">
      <x:c r="A6244" t="str">
        <x:v>CA-2015-134075</x:v>
      </x:c>
      <x:c r="B6244" s="18" t="n">
        <x:v>42350</x:v>
      </x:c>
      <x:c r="C6244" t="str">
        <x:v>HA-14905</x:v>
      </x:c>
      <x:c r="D6244" t="str">
        <x:v>Helen Abelman</x:v>
      </x:c>
      <x:c r="E6244" t="str">
        <x:v>Consumer</x:v>
      </x:c>
      <x:c r="F6244" t="str">
        <x:v>West</x:v>
      </x:c>
      <x:c r="G6244" t="str">
        <x:v>Office Supplies</x:v>
      </x:c>
      <x:c r="H6244" t="str">
        <x:v>Storage</x:v>
      </x:c>
      <x:c r="I6244" s="22" t="n">
        <x:v>360.38</x:v>
      </x:c>
      <x:c r="J6244" s="24" t="n">
        <x:v>2</x:v>
      </x:c>
      <x:c r="K6244" s="26" t="n">
        <x:v>0</x:v>
      </x:c>
      <x:c r="L6244" s="22" t="n">
        <x:v>93.6988</x:v>
      </x:c>
      <x:c r="M6244" t="n">
        <x:v>2015</x:v>
      </x:c>
      <x:c r="N6244" s="20" t="n">
        <x:v>42339</x:v>
      </x:c>
    </x:row>
    <x:row r="6245" ht="18" customHeight="1">
      <x:c r="A6245" t="str">
        <x:v>US-2016-131912</x:v>
      </x:c>
      <x:c r="B6245" s="18" t="n">
        <x:v>42672</x:v>
      </x:c>
      <x:c r="C6245" t="str">
        <x:v>LH-17155</x:v>
      </x:c>
      <x:c r="D6245" t="str">
        <x:v>Logan Haushalter</x:v>
      </x:c>
      <x:c r="E6245" t="str">
        <x:v>Consumer</x:v>
      </x:c>
      <x:c r="F6245" t="str">
        <x:v>West</x:v>
      </x:c>
      <x:c r="G6245" t="str">
        <x:v>Office Supplies</x:v>
      </x:c>
      <x:c r="H6245" t="str">
        <x:v>Binders</x:v>
      </x:c>
      <x:c r="I6245" s="22" t="n">
        <x:v>11.744</x:v>
      </x:c>
      <x:c r="J6245" s="24" t="n">
        <x:v>1</x:v>
      </x:c>
      <x:c r="K6245" s="26" t="n">
        <x:v>0.2</x:v>
      </x:c>
      <x:c r="L6245" s="22" t="n">
        <x:v>3.8167999999999997</x:v>
      </x:c>
      <x:c r="M6245" t="n">
        <x:v>2016</x:v>
      </x:c>
      <x:c r="N6245" s="20" t="n">
        <x:v>42644</x:v>
      </x:c>
    </x:row>
    <x:row r="6246" ht="18" customHeight="1">
      <x:c r="A6246" t="str">
        <x:v>CA-2017-141572</x:v>
      </x:c>
      <x:c r="B6246" s="18" t="n">
        <x:v>42883</x:v>
      </x:c>
      <x:c r="C6246" t="str">
        <x:v>LO-17170</x:v>
      </x:c>
      <x:c r="D6246" t="str">
        <x:v>Lori Olson</x:v>
      </x:c>
      <x:c r="E6246" t="str">
        <x:v>Corporate</x:v>
      </x:c>
      <x:c r="F6246" t="str">
        <x:v>East</x:v>
      </x:c>
      <x:c r="G6246" t="str">
        <x:v>Furniture</x:v>
      </x:c>
      <x:c r="H6246" t="str">
        <x:v>Furnishings</x:v>
      </x:c>
      <x:c r="I6246" s="22" t="n">
        <x:v>247.44</x:v>
      </x:c>
      <x:c r="J6246" s="24" t="n">
        <x:v>8</x:v>
      </x:c>
      <x:c r="K6246" s="26" t="n">
        <x:v>0</x:v>
      </x:c>
      <x:c r="L6246" s="22" t="n">
        <x:v>101.4504</x:v>
      </x:c>
      <x:c r="M6246" t="n">
        <x:v>2017</x:v>
      </x:c>
      <x:c r="N6246" s="20" t="n">
        <x:v>42856</x:v>
      </x:c>
    </x:row>
    <x:row r="6247" ht="18" customHeight="1">
      <x:c r="A6247" t="str">
        <x:v>CA-2014-134621</x:v>
      </x:c>
      <x:c r="B6247" s="18" t="n">
        <x:v>41994</x:v>
      </x:c>
      <x:c r="C6247" t="str">
        <x:v>DP-13390</x:v>
      </x:c>
      <x:c r="D6247" t="str">
        <x:v>Dennis Pardue</x:v>
      </x:c>
      <x:c r="E6247" t="str">
        <x:v>Home Office</x:v>
      </x:c>
      <x:c r="F6247" t="str">
        <x:v>South</x:v>
      </x:c>
      <x:c r="G6247" t="str">
        <x:v>Office Supplies</x:v>
      </x:c>
      <x:c r="H6247" t="str">
        <x:v>Binders</x:v>
      </x:c>
      <x:c r="I6247" s="22" t="n">
        <x:v>18.240000000000002</x:v>
      </x:c>
      <x:c r="J6247" s="24" t="n">
        <x:v>2</x:v>
      </x:c>
      <x:c r="K6247" s="26" t="n">
        <x:v>0.7</x:v>
      </x:c>
      <x:c r="L6247" s="22" t="n">
        <x:v>-14.591999999999999</x:v>
      </x:c>
      <x:c r="M6247" t="n">
        <x:v>2014</x:v>
      </x:c>
      <x:c r="N6247" s="20" t="n">
        <x:v>41974</x:v>
      </x:c>
    </x:row>
    <x:row r="6248" ht="18" customHeight="1">
      <x:c r="A6248" t="str">
        <x:v>CA-2016-165561</x:v>
      </x:c>
      <x:c r="B6248" s="18" t="n">
        <x:v>42698</x:v>
      </x:c>
      <x:c r="C6248" t="str">
        <x:v>CR-12580</x:v>
      </x:c>
      <x:c r="D6248" t="str">
        <x:v>Clay Rozendal</x:v>
      </x:c>
      <x:c r="E6248" t="str">
        <x:v>Home Office</x:v>
      </x:c>
      <x:c r="F6248" t="str">
        <x:v>West</x:v>
      </x:c>
      <x:c r="G6248" t="str">
        <x:v>Office Supplies</x:v>
      </x:c>
      <x:c r="H6248" t="str">
        <x:v>Supplies</x:v>
      </x:c>
      <x:c r="I6248" s="22" t="n">
        <x:v>25.349999999999998</x:v>
      </x:c>
      <x:c r="J6248" s="24" t="n">
        <x:v>3</x:v>
      </x:c>
      <x:c r="K6248" s="26" t="n">
        <x:v>0</x:v>
      </x:c>
      <x:c r="L6248" s="22" t="n">
        <x:v>7.604999999999998</x:v>
      </x:c>
      <x:c r="M6248" t="n">
        <x:v>2016</x:v>
      </x:c>
      <x:c r="N6248" s="20" t="n">
        <x:v>42675</x:v>
      </x:c>
    </x:row>
    <x:row r="6249" ht="18" customHeight="1">
      <x:c r="A6249" t="str">
        <x:v>CA-2015-112305</x:v>
      </x:c>
      <x:c r="B6249" s="18" t="n">
        <x:v>42328</x:v>
      </x:c>
      <x:c r="C6249" t="str">
        <x:v>KB-16405</x:v>
      </x:c>
      <x:c r="D6249" t="str">
        <x:v>Katrina Bavinger</x:v>
      </x:c>
      <x:c r="E6249" t="str">
        <x:v>Home Office</x:v>
      </x:c>
      <x:c r="F6249" t="str">
        <x:v>West</x:v>
      </x:c>
      <x:c r="G6249" t="str">
        <x:v>Office Supplies</x:v>
      </x:c>
      <x:c r="H6249" t="str">
        <x:v>Art</x:v>
      </x:c>
      <x:c r="I6249" s="22" t="n">
        <x:v>119.03999999999999</x:v>
      </x:c>
      <x:c r="J6249" s="24" t="n">
        <x:v>6</x:v>
      </x:c>
      <x:c r="K6249" s="26" t="n">
        <x:v>0</x:v>
      </x:c>
      <x:c r="L6249" s="22" t="n">
        <x:v>30.950400000000002</x:v>
      </x:c>
      <x:c r="M6249" t="n">
        <x:v>2015</x:v>
      </x:c>
      <x:c r="N6249" s="20" t="n">
        <x:v>42309</x:v>
      </x:c>
    </x:row>
    <x:row r="6250" ht="18" customHeight="1">
      <x:c r="A6250" t="str">
        <x:v>CA-2015-112305</x:v>
      </x:c>
      <x:c r="B6250" s="18" t="n">
        <x:v>42328</x:v>
      </x:c>
      <x:c r="C6250" t="str">
        <x:v>KB-16405</x:v>
      </x:c>
      <x:c r="D6250" t="str">
        <x:v>Katrina Bavinger</x:v>
      </x:c>
      <x:c r="E6250" t="str">
        <x:v>Home Office</x:v>
      </x:c>
      <x:c r="F6250" t="str">
        <x:v>West</x:v>
      </x:c>
      <x:c r="G6250" t="str">
        <x:v>Furniture</x:v>
      </x:c>
      <x:c r="H6250" t="str">
        <x:v>Furnishings</x:v>
      </x:c>
      <x:c r="I6250" s="22" t="n">
        <x:v>22.14</x:v>
      </x:c>
      <x:c r="J6250" s="24" t="n">
        <x:v>3</x:v>
      </x:c>
      <x:c r="K6250" s="26" t="n">
        <x:v>0</x:v>
      </x:c>
      <x:c r="L6250" s="22" t="n">
        <x:v>6.420599999999998</x:v>
      </x:c>
      <x:c r="M6250" t="n">
        <x:v>2015</x:v>
      </x:c>
      <x:c r="N6250" s="20" t="n">
        <x:v>42309</x:v>
      </x:c>
    </x:row>
    <x:row r="6251" ht="18" customHeight="1">
      <x:c r="A6251" t="str">
        <x:v>CA-2015-112305</x:v>
      </x:c>
      <x:c r="B6251" s="18" t="n">
        <x:v>42328</x:v>
      </x:c>
      <x:c r="C6251" t="str">
        <x:v>KB-16405</x:v>
      </x:c>
      <x:c r="D6251" t="str">
        <x:v>Katrina Bavinger</x:v>
      </x:c>
      <x:c r="E6251" t="str">
        <x:v>Home Office</x:v>
      </x:c>
      <x:c r="F6251" t="str">
        <x:v>West</x:v>
      </x:c>
      <x:c r="G6251" t="str">
        <x:v>Technology</x:v>
      </x:c>
      <x:c r="H6251" t="str">
        <x:v>Accessories</x:v>
      </x:c>
      <x:c r="I6251" s="22" t="n">
        <x:v>13.98</x:v>
      </x:c>
      <x:c r="J6251" s="24" t="n">
        <x:v>2</x:v>
      </x:c>
      <x:c r="K6251" s="26" t="n">
        <x:v>0</x:v>
      </x:c>
      <x:c r="L6251" s="22" t="n">
        <x:v>6.011400000000001</x:v>
      </x:c>
      <x:c r="M6251" t="n">
        <x:v>2015</x:v>
      </x:c>
      <x:c r="N6251" s="20" t="n">
        <x:v>42309</x:v>
      </x:c>
    </x:row>
    <x:row r="6252" ht="18" customHeight="1">
      <x:c r="A6252" t="str">
        <x:v>CA-2017-121580</x:v>
      </x:c>
      <x:c r="B6252" s="18" t="n">
        <x:v>42884</x:v>
      </x:c>
      <x:c r="C6252" t="str">
        <x:v>ML-17410</x:v>
      </x:c>
      <x:c r="D6252" t="str">
        <x:v>Maris LaWare</x:v>
      </x:c>
      <x:c r="E6252" t="str">
        <x:v>Consumer</x:v>
      </x:c>
      <x:c r="F6252" t="str">
        <x:v>Central</x:v>
      </x:c>
      <x:c r="G6252" t="str">
        <x:v>Office Supplies</x:v>
      </x:c>
      <x:c r="H6252" t="str">
        <x:v>Binders</x:v>
      </x:c>
      <x:c r="I6252" s="22" t="n">
        <x:v>43.41</x:v>
      </x:c>
      <x:c r="J6252" s="24" t="n">
        <x:v>1</x:v>
      </x:c>
      <x:c r="K6252" s="26" t="n">
        <x:v>0</x:v>
      </x:c>
      <x:c r="L6252" s="22" t="n">
        <x:v>19.9686</x:v>
      </x:c>
      <x:c r="M6252" t="n">
        <x:v>2017</x:v>
      </x:c>
      <x:c r="N6252" s="20" t="n">
        <x:v>42856</x:v>
      </x:c>
    </x:row>
    <x:row r="6253" ht="18" customHeight="1">
      <x:c r="A6253" t="str">
        <x:v>CA-2017-121580</x:v>
      </x:c>
      <x:c r="B6253" s="18" t="n">
        <x:v>42884</x:v>
      </x:c>
      <x:c r="C6253" t="str">
        <x:v>ML-17410</x:v>
      </x:c>
      <x:c r="D6253" t="str">
        <x:v>Maris LaWare</x:v>
      </x:c>
      <x:c r="E6253" t="str">
        <x:v>Consumer</x:v>
      </x:c>
      <x:c r="F6253" t="str">
        <x:v>Central</x:v>
      </x:c>
      <x:c r="G6253" t="str">
        <x:v>Furniture</x:v>
      </x:c>
      <x:c r="H6253" t="str">
        <x:v>Furnishings</x:v>
      </x:c>
      <x:c r="I6253" s="22" t="n">
        <x:v>6.24</x:v>
      </x:c>
      <x:c r="J6253" s="24" t="n">
        <x:v>3</x:v>
      </x:c>
      <x:c r="K6253" s="26" t="n">
        <x:v>0</x:v>
      </x:c>
      <x:c r="L6253" s="22" t="n">
        <x:v>2.6208000000000005</x:v>
      </x:c>
      <x:c r="M6253" t="n">
        <x:v>2017</x:v>
      </x:c>
      <x:c r="N6253" s="20" t="n">
        <x:v>42856</x:v>
      </x:c>
    </x:row>
    <x:row r="6254" ht="18" customHeight="1">
      <x:c r="A6254" t="str">
        <x:v>CA-2017-121580</x:v>
      </x:c>
      <x:c r="B6254" s="18" t="n">
        <x:v>42884</x:v>
      </x:c>
      <x:c r="C6254" t="str">
        <x:v>ML-17410</x:v>
      </x:c>
      <x:c r="D6254" t="str">
        <x:v>Maris LaWare</x:v>
      </x:c>
      <x:c r="E6254" t="str">
        <x:v>Consumer</x:v>
      </x:c>
      <x:c r="F6254" t="str">
        <x:v>Central</x:v>
      </x:c>
      <x:c r="G6254" t="str">
        <x:v>Office Supplies</x:v>
      </x:c>
      <x:c r="H6254" t="str">
        <x:v>Appliances</x:v>
      </x:c>
      <x:c r="I6254" s="22" t="n">
        <x:v>465.16</x:v>
      </x:c>
      <x:c r="J6254" s="24" t="n">
        <x:v>2</x:v>
      </x:c>
      <x:c r="K6254" s="26" t="n">
        <x:v>0</x:v>
      </x:c>
      <x:c r="L6254" s="22" t="n">
        <x:v>120.9416</x:v>
      </x:c>
      <x:c r="M6254" t="n">
        <x:v>2017</x:v>
      </x:c>
      <x:c r="N6254" s="20" t="n">
        <x:v>42856</x:v>
      </x:c>
    </x:row>
    <x:row r="6255" ht="18" customHeight="1">
      <x:c r="A6255" t="str">
        <x:v>CA-2017-121580</x:v>
      </x:c>
      <x:c r="B6255" s="18" t="n">
        <x:v>42884</x:v>
      </x:c>
      <x:c r="C6255" t="str">
        <x:v>ML-17410</x:v>
      </x:c>
      <x:c r="D6255" t="str">
        <x:v>Maris LaWare</x:v>
      </x:c>
      <x:c r="E6255" t="str">
        <x:v>Consumer</x:v>
      </x:c>
      <x:c r="F6255" t="str">
        <x:v>Central</x:v>
      </x:c>
      <x:c r="G6255" t="str">
        <x:v>Office Supplies</x:v>
      </x:c>
      <x:c r="H6255" t="str">
        <x:v>Paper</x:v>
      </x:c>
      <x:c r="I6255" s="22" t="n">
        <x:v>7.98</x:v>
      </x:c>
      <x:c r="J6255" s="24" t="n">
        <x:v>1</x:v>
      </x:c>
      <x:c r="K6255" s="26" t="n">
        <x:v>0</x:v>
      </x:c>
      <x:c r="L6255" s="22" t="n">
        <x:v>3.99</x:v>
      </x:c>
      <x:c r="M6255" t="n">
        <x:v>2017</x:v>
      </x:c>
      <x:c r="N6255" s="20" t="n">
        <x:v>42856</x:v>
      </x:c>
    </x:row>
    <x:row r="6256" ht="18" customHeight="1">
      <x:c r="A6256" t="str">
        <x:v>CA-2014-101147</x:v>
      </x:c>
      <x:c r="B6256" s="18" t="n">
        <x:v>41975</x:v>
      </x:c>
      <x:c r="C6256" t="str">
        <x:v>MC-17575</x:v>
      </x:c>
      <x:c r="D6256" t="str">
        <x:v>Matt Collins</x:v>
      </x:c>
      <x:c r="E6256" t="str">
        <x:v>Consumer</x:v>
      </x:c>
      <x:c r="F6256" t="str">
        <x:v>Central</x:v>
      </x:c>
      <x:c r="G6256" t="str">
        <x:v>Office Supplies</x:v>
      </x:c>
      <x:c r="H6256" t="str">
        <x:v>Appliances</x:v>
      </x:c>
      <x:c r="I6256" s="22" t="n">
        <x:v>2.3939999999999997</x:v>
      </x:c>
      <x:c r="J6256" s="24" t="n">
        <x:v>1</x:v>
      </x:c>
      <x:c r="K6256" s="26" t="n">
        <x:v>0.8</x:v>
      </x:c>
      <x:c r="L6256" s="22" t="n">
        <x:v>-6.344100000000001</x:v>
      </x:c>
      <x:c r="M6256" t="n">
        <x:v>2014</x:v>
      </x:c>
      <x:c r="N6256" s="20" t="n">
        <x:v>41974</x:v>
      </x:c>
    </x:row>
    <x:row r="6257" ht="18" customHeight="1">
      <x:c r="A6257" t="str">
        <x:v>CA-2014-165806</x:v>
      </x:c>
      <x:c r="B6257" s="18" t="n">
        <x:v>41736</x:v>
      </x:c>
      <x:c r="C6257" t="str">
        <x:v>VM-21685</x:v>
      </x:c>
      <x:c r="D6257" t="str">
        <x:v>Valerie Mitchum</x:v>
      </x:c>
      <x:c r="E6257" t="str">
        <x:v>Home Office</x:v>
      </x:c>
      <x:c r="F6257" t="str">
        <x:v>South</x:v>
      </x:c>
      <x:c r="G6257" t="str">
        <x:v>Office Supplies</x:v>
      </x:c>
      <x:c r="H6257" t="str">
        <x:v>Paper</x:v>
      </x:c>
      <x:c r="I6257" s="22" t="n">
        <x:v>58.32000000000001</x:v>
      </x:c>
      <x:c r="J6257" s="24" t="n">
        <x:v>9</x:v>
      </x:c>
      <x:c r="K6257" s="26" t="n">
        <x:v>0</x:v>
      </x:c>
      <x:c r="L6257" s="22" t="n">
        <x:v>27.9936</x:v>
      </x:c>
      <x:c r="M6257" t="n">
        <x:v>2014</x:v>
      </x:c>
      <x:c r="N6257" s="20" t="n">
        <x:v>41730</x:v>
      </x:c>
    </x:row>
    <x:row r="6258" ht="18" customHeight="1">
      <x:c r="A6258" t="str">
        <x:v>CA-2014-165806</x:v>
      </x:c>
      <x:c r="B6258" s="18" t="n">
        <x:v>41736</x:v>
      </x:c>
      <x:c r="C6258" t="str">
        <x:v>VM-21685</x:v>
      </x:c>
      <x:c r="D6258" t="str">
        <x:v>Valerie Mitchum</x:v>
      </x:c>
      <x:c r="E6258" t="str">
        <x:v>Home Office</x:v>
      </x:c>
      <x:c r="F6258" t="str">
        <x:v>South</x:v>
      </x:c>
      <x:c r="G6258" t="str">
        <x:v>Technology</x:v>
      </x:c>
      <x:c r="H6258" t="str">
        <x:v>Phones</x:v>
      </x:c>
      <x:c r="I6258" s="22" t="n">
        <x:v>200.96999999999997</x:v>
      </x:c>
      <x:c r="J6258" s="24" t="n">
        <x:v>3</x:v>
      </x:c>
      <x:c r="K6258" s="26" t="n">
        <x:v>0</x:v>
      </x:c>
      <x:c r="L6258" s="22" t="n">
        <x:v>50.24250000000001</x:v>
      </x:c>
      <x:c r="M6258" t="n">
        <x:v>2014</x:v>
      </x:c>
      <x:c r="N6258" s="20" t="n">
        <x:v>41730</x:v>
      </x:c>
    </x:row>
    <x:row r="6259" ht="18" customHeight="1">
      <x:c r="A6259" t="str">
        <x:v>CA-2015-151624</x:v>
      </x:c>
      <x:c r="B6259" s="18" t="n">
        <x:v>42255</x:v>
      </x:c>
      <x:c r="C6259" t="str">
        <x:v>VW-21775</x:v>
      </x:c>
      <x:c r="D6259" t="str">
        <x:v>Victoria Wilson</x:v>
      </x:c>
      <x:c r="E6259" t="str">
        <x:v>Corporate</x:v>
      </x:c>
      <x:c r="F6259" t="str">
        <x:v>South</x:v>
      </x:c>
      <x:c r="G6259" t="str">
        <x:v>Furniture</x:v>
      </x:c>
      <x:c r="H6259" t="str">
        <x:v>Furnishings</x:v>
      </x:c>
      <x:c r="I6259" s="22" t="n">
        <x:v>21.36</x:v>
      </x:c>
      <x:c r="J6259" s="24" t="n">
        <x:v>8</x:v>
      </x:c>
      <x:c r="K6259" s="26" t="n">
        <x:v>0</x:v>
      </x:c>
      <x:c r="L6259" s="22" t="n">
        <x:v>8.1168</x:v>
      </x:c>
      <x:c r="M6259" t="n">
        <x:v>2015</x:v>
      </x:c>
      <x:c r="N6259" s="20" t="n">
        <x:v>42248</x:v>
      </x:c>
    </x:row>
    <x:row r="6260" ht="18" customHeight="1">
      <x:c r="A6260" t="str">
        <x:v>CA-2017-139444</x:v>
      </x:c>
      <x:c r="B6260" s="18" t="n">
        <x:v>42987</x:v>
      </x:c>
      <x:c r="C6260" t="str">
        <x:v>GK-14620</x:v>
      </x:c>
      <x:c r="D6260" t="str">
        <x:v>Grace Kelly</x:v>
      </x:c>
      <x:c r="E6260" t="str">
        <x:v>Corporate</x:v>
      </x:c>
      <x:c r="F6260" t="str">
        <x:v>Central</x:v>
      </x:c>
      <x:c r="G6260" t="str">
        <x:v>Office Supplies</x:v>
      </x:c>
      <x:c r="H6260" t="str">
        <x:v>Labels</x:v>
      </x:c>
      <x:c r="I6260" s="22" t="n">
        <x:v>9.856000000000002</x:v>
      </x:c>
      <x:c r="J6260" s="24" t="n">
        <x:v>4</x:v>
      </x:c>
      <x:c r="K6260" s="26" t="n">
        <x:v>0.2</x:v>
      </x:c>
      <x:c r="L6260" s="22" t="n">
        <x:v>3.4495999999999993</x:v>
      </x:c>
      <x:c r="M6260" t="n">
        <x:v>2017</x:v>
      </x:c>
      <x:c r="N6260" s="20" t="n">
        <x:v>42979</x:v>
      </x:c>
    </x:row>
    <x:row r="6261" ht="18" customHeight="1">
      <x:c r="A6261" t="str">
        <x:v>CA-2015-133977</x:v>
      </x:c>
      <x:c r="B6261" s="18" t="n">
        <x:v>42253</x:v>
      </x:c>
      <x:c r="C6261" t="str">
        <x:v>AT-10435</x:v>
      </x:c>
      <x:c r="D6261" t="str">
        <x:v>Alyssa Tate</x:v>
      </x:c>
      <x:c r="E6261" t="str">
        <x:v>Home Office</x:v>
      </x:c>
      <x:c r="F6261" t="str">
        <x:v>South</x:v>
      </x:c>
      <x:c r="G6261" t="str">
        <x:v>Office Supplies</x:v>
      </x:c>
      <x:c r="H6261" t="str">
        <x:v>Binders</x:v>
      </x:c>
      <x:c r="I6261" s="22" t="n">
        <x:v>3.444000000000001</x:v>
      </x:c>
      <x:c r="J6261" s="24" t="n">
        <x:v>1</x:v>
      </x:c>
      <x:c r="K6261" s="26" t="n">
        <x:v>0.7</x:v>
      </x:c>
      <x:c r="L6261" s="22" t="n">
        <x:v>-2.5256</x:v>
      </x:c>
      <x:c r="M6261" t="n">
        <x:v>2015</x:v>
      </x:c>
      <x:c r="N6261" s="20" t="n">
        <x:v>42248</x:v>
      </x:c>
    </x:row>
    <x:row r="6262" ht="18" customHeight="1">
      <x:c r="A6262" t="str">
        <x:v>CA-2017-141425</x:v>
      </x:c>
      <x:c r="B6262" s="18" t="n">
        <x:v>43041</x:v>
      </x:c>
      <x:c r="C6262" t="str">
        <x:v>AR-10825</x:v>
      </x:c>
      <x:c r="D6262" t="str">
        <x:v>Anthony Rawles</x:v>
      </x:c>
      <x:c r="E6262" t="str">
        <x:v>Corporate</x:v>
      </x:c>
      <x:c r="F6262" t="str">
        <x:v>East</x:v>
      </x:c>
      <x:c r="G6262" t="str">
        <x:v>Office Supplies</x:v>
      </x:c>
      <x:c r="H6262" t="str">
        <x:v>Supplies</x:v>
      </x:c>
      <x:c r="I6262" s="22" t="n">
        <x:v>384.59200000000004</x:v>
      </x:c>
      <x:c r="J6262" s="24" t="n">
        <x:v>2</x:v>
      </x:c>
      <x:c r="K6262" s="26" t="n">
        <x:v>0.2</x:v>
      </x:c>
      <x:c r="L6262" s="22" t="n">
        <x:v>-81.72579999999998</x:v>
      </x:c>
      <x:c r="M6262" t="n">
        <x:v>2017</x:v>
      </x:c>
      <x:c r="N6262" s="20" t="n">
        <x:v>43040</x:v>
      </x:c>
    </x:row>
    <x:row r="6263" ht="18" customHeight="1">
      <x:c r="A6263" t="str">
        <x:v>CA-2015-133536</x:v>
      </x:c>
      <x:c r="B6263" s="18" t="n">
        <x:v>42091</x:v>
      </x:c>
      <x:c r="C6263" t="str">
        <x:v>JH-15820</x:v>
      </x:c>
      <x:c r="D6263" t="str">
        <x:v>John Huston</x:v>
      </x:c>
      <x:c r="E6263" t="str">
        <x:v>Consumer</x:v>
      </x:c>
      <x:c r="F6263" t="str">
        <x:v>East</x:v>
      </x:c>
      <x:c r="G6263" t="str">
        <x:v>Office Supplies</x:v>
      </x:c>
      <x:c r="H6263" t="str">
        <x:v>Envelopes</x:v>
      </x:c>
      <x:c r="I6263" s="22" t="n">
        <x:v>22.919999999999998</x:v>
      </x:c>
      <x:c r="J6263" s="24" t="n">
        <x:v>3</x:v>
      </x:c>
      <x:c r="K6263" s="26" t="n">
        <x:v>0</x:v>
      </x:c>
      <x:c r="L6263" s="22" t="n">
        <x:v>11.230799999999999</x:v>
      </x:c>
      <x:c r="M6263" t="n">
        <x:v>2015</x:v>
      </x:c>
      <x:c r="N6263" s="20" t="n">
        <x:v>42064</x:v>
      </x:c>
    </x:row>
    <x:row r="6264" ht="18" customHeight="1">
      <x:c r="A6264" t="str">
        <x:v>CA-2015-150441</x:v>
      </x:c>
      <x:c r="B6264" s="18" t="n">
        <x:v>42229</x:v>
      </x:c>
      <x:c r="C6264" t="str">
        <x:v>RA-19285</x:v>
      </x:c>
      <x:c r="D6264" t="str">
        <x:v>Ralph Arnett</x:v>
      </x:c>
      <x:c r="E6264" t="str">
        <x:v>Consumer</x:v>
      </x:c>
      <x:c r="F6264" t="str">
        <x:v>Central</x:v>
      </x:c>
      <x:c r="G6264" t="str">
        <x:v>Office Supplies</x:v>
      </x:c>
      <x:c r="H6264" t="str">
        <x:v>Binders</x:v>
      </x:c>
      <x:c r="I6264" s="22" t="n">
        <x:v>11.36</x:v>
      </x:c>
      <x:c r="J6264" s="24" t="n">
        <x:v>4</x:v>
      </x:c>
      <x:c r="K6264" s="26" t="n">
        <x:v>0</x:v>
      </x:c>
      <x:c r="L6264" s="22" t="n">
        <x:v>5.5664</x:v>
      </x:c>
      <x:c r="M6264" t="n">
        <x:v>2015</x:v>
      </x:c>
      <x:c r="N6264" s="20" t="n">
        <x:v>42217</x:v>
      </x:c>
    </x:row>
    <x:row r="6265" ht="18" customHeight="1">
      <x:c r="A6265" t="str">
        <x:v>CA-2015-162607</x:v>
      </x:c>
      <x:c r="B6265" s="18" t="n">
        <x:v>42136</x:v>
      </x:c>
      <x:c r="C6265" t="str">
        <x:v>RO-19780</x:v>
      </x:c>
      <x:c r="D6265" t="str">
        <x:v>Rose O'Brian</x:v>
      </x:c>
      <x:c r="E6265" t="str">
        <x:v>Consumer</x:v>
      </x:c>
      <x:c r="F6265" t="str">
        <x:v>West</x:v>
      </x:c>
      <x:c r="G6265" t="str">
        <x:v>Office Supplies</x:v>
      </x:c>
      <x:c r="H6265" t="str">
        <x:v>Binders</x:v>
      </x:c>
      <x:c r="I6265" s="22" t="n">
        <x:v>14.592000000000002</x:v>
      </x:c>
      <x:c r="J6265" s="24" t="n">
        <x:v>3</x:v>
      </x:c>
      <x:c r="K6265" s="26" t="n">
        <x:v>0.2</x:v>
      </x:c>
      <x:c r="L6265" s="22" t="n">
        <x:v>4.9247999999999985</x:v>
      </x:c>
      <x:c r="M6265" t="n">
        <x:v>2015</x:v>
      </x:c>
      <x:c r="N6265" s="20" t="n">
        <x:v>42125</x:v>
      </x:c>
    </x:row>
    <x:row r="6266" ht="18" customHeight="1">
      <x:c r="A6266" t="str">
        <x:v>CA-2017-103506</x:v>
      </x:c>
      <x:c r="B6266" s="18" t="n">
        <x:v>42939</x:v>
      </x:c>
      <x:c r="C6266" t="str">
        <x:v>LR-17035</x:v>
      </x:c>
      <x:c r="D6266" t="str">
        <x:v>Lisa Ryan</x:v>
      </x:c>
      <x:c r="E6266" t="str">
        <x:v>Corporate</x:v>
      </x:c>
      <x:c r="F6266" t="str">
        <x:v>East</x:v>
      </x:c>
      <x:c r="G6266" t="str">
        <x:v>Office Supplies</x:v>
      </x:c>
      <x:c r="H6266" t="str">
        <x:v>Labels</x:v>
      </x:c>
      <x:c r="I6266" s="22" t="n">
        <x:v>41.4</x:v>
      </x:c>
      <x:c r="J6266" s="24" t="n">
        <x:v>4</x:v>
      </x:c>
      <x:c r="K6266" s="26" t="n">
        <x:v>0</x:v>
      </x:c>
      <x:c r="L6266" s="22" t="n">
        <x:v>19.872</x:v>
      </x:c>
      <x:c r="M6266" t="n">
        <x:v>2017</x:v>
      </x:c>
      <x:c r="N6266" s="20" t="n">
        <x:v>42917</x:v>
      </x:c>
    </x:row>
    <x:row r="6267" ht="18" customHeight="1">
      <x:c r="A6267" t="str">
        <x:v>CA-2016-132479</x:v>
      </x:c>
      <x:c r="B6267" s="18" t="n">
        <x:v>42637</x:v>
      </x:c>
      <x:c r="C6267" t="str">
        <x:v>MK-17905</x:v>
      </x:c>
      <x:c r="D6267" t="str">
        <x:v>Michael Kennedy</x:v>
      </x:c>
      <x:c r="E6267" t="str">
        <x:v>Corporate</x:v>
      </x:c>
      <x:c r="F6267" t="str">
        <x:v>Central</x:v>
      </x:c>
      <x:c r="G6267" t="str">
        <x:v>Office Supplies</x:v>
      </x:c>
      <x:c r="H6267" t="str">
        <x:v>Binders</x:v>
      </x:c>
      <x:c r="I6267" s="22" t="n">
        <x:v>442.37199999999996</x:v>
      </x:c>
      <x:c r="J6267" s="24" t="n">
        <x:v>7</x:v>
      </x:c>
      <x:c r="K6267" s="26" t="n">
        <x:v>0.8</x:v>
      </x:c>
      <x:c r="L6267" s="22" t="n">
        <x:v>-729.9138</x:v>
      </x:c>
      <x:c r="M6267" t="n">
        <x:v>2016</x:v>
      </x:c>
      <x:c r="N6267" s="20" t="n">
        <x:v>42614</x:v>
      </x:c>
    </x:row>
    <x:row r="6268" ht="18" customHeight="1">
      <x:c r="A6268" t="str">
        <x:v>CA-2017-160724</x:v>
      </x:c>
      <x:c r="B6268" s="18" t="n">
        <x:v>42860</x:v>
      </x:c>
      <x:c r="C6268" t="str">
        <x:v>YS-21880</x:v>
      </x:c>
      <x:c r="D6268" t="str">
        <x:v>Yana Sorensen</x:v>
      </x:c>
      <x:c r="E6268" t="str">
        <x:v>Corporate</x:v>
      </x:c>
      <x:c r="F6268" t="str">
        <x:v>South</x:v>
      </x:c>
      <x:c r="G6268" t="str">
        <x:v>Office Supplies</x:v>
      </x:c>
      <x:c r="H6268" t="str">
        <x:v>Binders</x:v>
      </x:c>
      <x:c r="I6268" s="22" t="n">
        <x:v>34.5</x:v>
      </x:c>
      <x:c r="J6268" s="24" t="n">
        <x:v>3</x:v>
      </x:c>
      <x:c r="K6268" s="26" t="n">
        <x:v>0</x:v>
      </x:c>
      <x:c r="L6268" s="22" t="n">
        <x:v>15.524999999999999</x:v>
      </x:c>
      <x:c r="M6268" t="n">
        <x:v>2017</x:v>
      </x:c>
      <x:c r="N6268" s="20" t="n">
        <x:v>42856</x:v>
      </x:c>
    </x:row>
    <x:row r="6269" ht="18" customHeight="1">
      <x:c r="A6269" t="str">
        <x:v>US-2016-115952</x:v>
      </x:c>
      <x:c r="B6269" s="18" t="n">
        <x:v>42649</x:v>
      </x:c>
      <x:c r="C6269" t="str">
        <x:v>JH-15910</x:v>
      </x:c>
      <x:c r="D6269" t="str">
        <x:v>Jonathan Howell</x:v>
      </x:c>
      <x:c r="E6269" t="str">
        <x:v>Consumer</x:v>
      </x:c>
      <x:c r="F6269" t="str">
        <x:v>Central</x:v>
      </x:c>
      <x:c r="G6269" t="str">
        <x:v>Office Supplies</x:v>
      </x:c>
      <x:c r="H6269" t="str">
        <x:v>Binders</x:v>
      </x:c>
      <x:c r="I6269" s="22" t="n">
        <x:v>28.849999999999998</x:v>
      </x:c>
      <x:c r="J6269" s="24" t="n">
        <x:v>5</x:v>
      </x:c>
      <x:c r="K6269" s="26" t="n">
        <x:v>0</x:v>
      </x:c>
      <x:c r="L6269" s="22" t="n">
        <x:v>14.424999999999999</x:v>
      </x:c>
      <x:c r="M6269" t="n">
        <x:v>2016</x:v>
      </x:c>
      <x:c r="N6269" s="20" t="n">
        <x:v>42644</x:v>
      </x:c>
    </x:row>
    <x:row r="6270" ht="18" customHeight="1">
      <x:c r="A6270" t="str">
        <x:v>CA-2014-146731</x:v>
      </x:c>
      <x:c r="B6270" s="18" t="n">
        <x:v>41946</x:v>
      </x:c>
      <x:c r="C6270" t="str">
        <x:v>AT-10735</x:v>
      </x:c>
      <x:c r="D6270" t="str">
        <x:v>Annie Thurman</x:v>
      </x:c>
      <x:c r="E6270" t="str">
        <x:v>Consumer</x:v>
      </x:c>
      <x:c r="F6270" t="str">
        <x:v>South</x:v>
      </x:c>
      <x:c r="G6270" t="str">
        <x:v>Office Supplies</x:v>
      </x:c>
      <x:c r="H6270" t="str">
        <x:v>Paper</x:v>
      </x:c>
      <x:c r="I6270" s="22" t="n">
        <x:v>3.4880000000000004</x:v>
      </x:c>
      <x:c r="J6270" s="24" t="n">
        <x:v>2</x:v>
      </x:c>
      <x:c r="K6270" s="26" t="n">
        <x:v>0.2</x:v>
      </x:c>
      <x:c r="L6270" s="22" t="n">
        <x:v>1.1771999999999998</x:v>
      </x:c>
      <x:c r="M6270" t="n">
        <x:v>2014</x:v>
      </x:c>
      <x:c r="N6270" s="20" t="n">
        <x:v>41944</x:v>
      </x:c>
    </x:row>
    <x:row r="6271" ht="18" customHeight="1">
      <x:c r="A6271" t="str">
        <x:v>CA-2014-146731</x:v>
      </x:c>
      <x:c r="B6271" s="18" t="n">
        <x:v>41946</x:v>
      </x:c>
      <x:c r="C6271" t="str">
        <x:v>AT-10735</x:v>
      </x:c>
      <x:c r="D6271" t="str">
        <x:v>Annie Thurman</x:v>
      </x:c>
      <x:c r="E6271" t="str">
        <x:v>Consumer</x:v>
      </x:c>
      <x:c r="F6271" t="str">
        <x:v>South</x:v>
      </x:c>
      <x:c r="G6271" t="str">
        <x:v>Office Supplies</x:v>
      </x:c>
      <x:c r="H6271" t="str">
        <x:v>Paper</x:v>
      </x:c>
      <x:c r="I6271" s="22" t="n">
        <x:v>143.85600000000002</x:v>
      </x:c>
      <x:c r="J6271" s="24" t="n">
        <x:v>9</x:v>
      </x:c>
      <x:c r="K6271" s="26" t="n">
        <x:v>0.2</x:v>
      </x:c>
      <x:c r="L6271" s="22" t="n">
        <x:v>48.551399999999994</x:v>
      </x:c>
      <x:c r="M6271" t="n">
        <x:v>2014</x:v>
      </x:c>
      <x:c r="N6271" s="20" t="n">
        <x:v>41944</x:v>
      </x:c>
    </x:row>
    <x:row r="6272" ht="18" customHeight="1">
      <x:c r="A6272" t="str">
        <x:v>CA-2015-115392</x:v>
      </x:c>
      <x:c r="B6272" s="18" t="n">
        <x:v>42278</x:v>
      </x:c>
      <x:c r="C6272" t="str">
        <x:v>RM-19675</x:v>
      </x:c>
      <x:c r="D6272" t="str">
        <x:v>Robert Marley</x:v>
      </x:c>
      <x:c r="E6272" t="str">
        <x:v>Home Office</x:v>
      </x:c>
      <x:c r="F6272" t="str">
        <x:v>East</x:v>
      </x:c>
      <x:c r="G6272" t="str">
        <x:v>Technology</x:v>
      </x:c>
      <x:c r="H6272" t="str">
        <x:v>Phones</x:v>
      </x:c>
      <x:c r="I6272" s="22" t="n">
        <x:v>311.98</x:v>
      </x:c>
      <x:c r="J6272" s="24" t="n">
        <x:v>2</x:v>
      </x:c>
      <x:c r="K6272" s="26" t="n">
        <x:v>0</x:v>
      </x:c>
      <x:c r="L6272" s="22" t="n">
        <x:v>93.594</x:v>
      </x:c>
      <x:c r="M6272" t="n">
        <x:v>2015</x:v>
      </x:c>
      <x:c r="N6272" s="20" t="n">
        <x:v>42278</x:v>
      </x:c>
    </x:row>
    <x:row r="6273" ht="18" customHeight="1">
      <x:c r="A6273" t="str">
        <x:v>CA-2015-115392</x:v>
      </x:c>
      <x:c r="B6273" s="18" t="n">
        <x:v>42278</x:v>
      </x:c>
      <x:c r="C6273" t="str">
        <x:v>RM-19675</x:v>
      </x:c>
      <x:c r="D6273" t="str">
        <x:v>Robert Marley</x:v>
      </x:c>
      <x:c r="E6273" t="str">
        <x:v>Home Office</x:v>
      </x:c>
      <x:c r="F6273" t="str">
        <x:v>East</x:v>
      </x:c>
      <x:c r="G6273" t="str">
        <x:v>Office Supplies</x:v>
      </x:c>
      <x:c r="H6273" t="str">
        <x:v>Binders</x:v>
      </x:c>
      <x:c r="I6273" s="22" t="n">
        <x:v>22.450000000000003</x:v>
      </x:c>
      <x:c r="J6273" s="24" t="n">
        <x:v>5</x:v>
      </x:c>
      <x:c r="K6273" s="26" t="n">
        <x:v>0</x:v>
      </x:c>
      <x:c r="L6273" s="22" t="n">
        <x:v>10.327</x:v>
      </x:c>
      <x:c r="M6273" t="n">
        <x:v>2015</x:v>
      </x:c>
      <x:c r="N6273" s="20" t="n">
        <x:v>42278</x:v>
      </x:c>
    </x:row>
    <x:row r="6274" ht="18" customHeight="1">
      <x:c r="A6274" t="str">
        <x:v>CA-2017-102379</x:v>
      </x:c>
      <x:c r="B6274" s="18" t="n">
        <x:v>43071</x:v>
      </x:c>
      <x:c r="C6274" t="str">
        <x:v>BB-11545</x:v>
      </x:c>
      <x:c r="D6274" t="str">
        <x:v>Brenda Bowman</x:v>
      </x:c>
      <x:c r="E6274" t="str">
        <x:v>Corporate</x:v>
      </x:c>
      <x:c r="F6274" t="str">
        <x:v>West</x:v>
      </x:c>
      <x:c r="G6274" t="str">
        <x:v>Technology</x:v>
      </x:c>
      <x:c r="H6274" t="str">
        <x:v>Phones</x:v>
      </x:c>
      <x:c r="I6274" s="22" t="n">
        <x:v>39.992000000000004</x:v>
      </x:c>
      <x:c r="J6274" s="24" t="n">
        <x:v>1</x:v>
      </x:c>
      <x:c r="K6274" s="26" t="n">
        <x:v>0.2</x:v>
      </x:c>
      <x:c r="L6274" s="22" t="n">
        <x:v>-7.998400000000007</x:v>
      </x:c>
      <x:c r="M6274" t="n">
        <x:v>2017</x:v>
      </x:c>
      <x:c r="N6274" s="20" t="n">
        <x:v>43070</x:v>
      </x:c>
    </x:row>
    <x:row r="6275" ht="18" customHeight="1">
      <x:c r="A6275" t="str">
        <x:v>CA-2017-102379</x:v>
      </x:c>
      <x:c r="B6275" s="18" t="n">
        <x:v>43071</x:v>
      </x:c>
      <x:c r="C6275" t="str">
        <x:v>BB-11545</x:v>
      </x:c>
      <x:c r="D6275" t="str">
        <x:v>Brenda Bowman</x:v>
      </x:c>
      <x:c r="E6275" t="str">
        <x:v>Corporate</x:v>
      </x:c>
      <x:c r="F6275" t="str">
        <x:v>West</x:v>
      </x:c>
      <x:c r="G6275" t="str">
        <x:v>Furniture</x:v>
      </x:c>
      <x:c r="H6275" t="str">
        <x:v>Chairs</x:v>
      </x:c>
      <x:c r="I6275" s="22" t="n">
        <x:v>1159.056</x:v>
      </x:c>
      <x:c r="J6275" s="24" t="n">
        <x:v>9</x:v>
      </x:c>
      <x:c r="K6275" s="26" t="n">
        <x:v>0.2</x:v>
      </x:c>
      <x:c r="L6275" s="22" t="n">
        <x:v>43.464599999999905</x:v>
      </x:c>
      <x:c r="M6275" t="n">
        <x:v>2017</x:v>
      </x:c>
      <x:c r="N6275" s="20" t="n">
        <x:v>43070</x:v>
      </x:c>
    </x:row>
    <x:row r="6276" ht="18" customHeight="1">
      <x:c r="A6276" t="str">
        <x:v>CA-2017-102379</x:v>
      </x:c>
      <x:c r="B6276" s="18" t="n">
        <x:v>43071</x:v>
      </x:c>
      <x:c r="C6276" t="str">
        <x:v>BB-11545</x:v>
      </x:c>
      <x:c r="D6276" t="str">
        <x:v>Brenda Bowman</x:v>
      </x:c>
      <x:c r="E6276" t="str">
        <x:v>Corporate</x:v>
      </x:c>
      <x:c r="F6276" t="str">
        <x:v>West</x:v>
      </x:c>
      <x:c r="G6276" t="str">
        <x:v>Office Supplies</x:v>
      </x:c>
      <x:c r="H6276" t="str">
        <x:v>Art</x:v>
      </x:c>
      <x:c r="I6276" s="22" t="n">
        <x:v>179.89999999999998</x:v>
      </x:c>
      <x:c r="J6276" s="24" t="n">
        <x:v>5</x:v>
      </x:c>
      <x:c r="K6276" s="26" t="n">
        <x:v>0</x:v>
      </x:c>
      <x:c r="L6276" s="22" t="n">
        <x:v>44.97499999999999</x:v>
      </x:c>
      <x:c r="M6276" t="n">
        <x:v>2017</x:v>
      </x:c>
      <x:c r="N6276" s="20" t="n">
        <x:v>43070</x:v>
      </x:c>
    </x:row>
    <x:row r="6277" ht="18" customHeight="1">
      <x:c r="A6277" t="str">
        <x:v>CA-2017-149706</x:v>
      </x:c>
      <x:c r="B6277" s="18" t="n">
        <x:v>43080</x:v>
      </x:c>
      <x:c r="C6277" t="str">
        <x:v>AS-10285</x:v>
      </x:c>
      <x:c r="D6277" t="str">
        <x:v>Alejandro Savely</x:v>
      </x:c>
      <x:c r="E6277" t="str">
        <x:v>Corporate</x:v>
      </x:c>
      <x:c r="F6277" t="str">
        <x:v>Central</x:v>
      </x:c>
      <x:c r="G6277" t="str">
        <x:v>Technology</x:v>
      </x:c>
      <x:c r="H6277" t="str">
        <x:v>Accessories</x:v>
      </x:c>
      <x:c r="I6277" s="22" t="n">
        <x:v>116.312</x:v>
      </x:c>
      <x:c r="J6277" s="24" t="n">
        <x:v>7</x:v>
      </x:c>
      <x:c r="K6277" s="26" t="n">
        <x:v>0.2</x:v>
      </x:c>
      <x:c r="L6277" s="22" t="n">
        <x:v>23.262400000000003</x:v>
      </x:c>
      <x:c r="M6277" t="n">
        <x:v>2017</x:v>
      </x:c>
      <x:c r="N6277" s="20" t="n">
        <x:v>43070</x:v>
      </x:c>
    </x:row>
    <x:row r="6278" ht="18" customHeight="1">
      <x:c r="A6278" t="str">
        <x:v>US-2016-139087</x:v>
      </x:c>
      <x:c r="B6278" s="18" t="n">
        <x:v>42568</x:v>
      </x:c>
      <x:c r="C6278" t="str">
        <x:v>DK-13375</x:v>
      </x:c>
      <x:c r="D6278" t="str">
        <x:v>Dennis Kane</x:v>
      </x:c>
      <x:c r="E6278" t="str">
        <x:v>Consumer</x:v>
      </x:c>
      <x:c r="F6278" t="str">
        <x:v>West</x:v>
      </x:c>
      <x:c r="G6278" t="str">
        <x:v>Furniture</x:v>
      </x:c>
      <x:c r="H6278" t="str">
        <x:v>Furnishings</x:v>
      </x:c>
      <x:c r="I6278" s="22" t="n">
        <x:v>12.419999999999998</x:v>
      </x:c>
      <x:c r="J6278" s="24" t="n">
        <x:v>3</x:v>
      </x:c>
      <x:c r="K6278" s="26" t="n">
        <x:v>0</x:v>
      </x:c>
      <x:c r="L6278" s="22" t="n">
        <x:v>4.4712</x:v>
      </x:c>
      <x:c r="M6278" t="n">
        <x:v>2016</x:v>
      </x:c>
      <x:c r="N6278" s="20" t="n">
        <x:v>42552</x:v>
      </x:c>
    </x:row>
    <x:row r="6279" ht="18" customHeight="1">
      <x:c r="A6279" t="str">
        <x:v>US-2016-139087</x:v>
      </x:c>
      <x:c r="B6279" s="18" t="n">
        <x:v>42568</x:v>
      </x:c>
      <x:c r="C6279" t="str">
        <x:v>DK-13375</x:v>
      </x:c>
      <x:c r="D6279" t="str">
        <x:v>Dennis Kane</x:v>
      </x:c>
      <x:c r="E6279" t="str">
        <x:v>Consumer</x:v>
      </x:c>
      <x:c r="F6279" t="str">
        <x:v>West</x:v>
      </x:c>
      <x:c r="G6279" t="str">
        <x:v>Technology</x:v>
      </x:c>
      <x:c r="H6279" t="str">
        <x:v>Accessories</x:v>
      </x:c>
      <x:c r="I6279" s="22" t="n">
        <x:v>428.40000000000003</x:v>
      </x:c>
      <x:c r="J6279" s="24" t="n">
        <x:v>3</x:v>
      </x:c>
      <x:c r="K6279" s="26" t="n">
        <x:v>0</x:v>
      </x:c>
      <x:c r="L6279" s="22" t="n">
        <x:v>89.964</x:v>
      </x:c>
      <x:c r="M6279" t="n">
        <x:v>2016</x:v>
      </x:c>
      <x:c r="N6279" s="20" t="n">
        <x:v>42552</x:v>
      </x:c>
    </x:row>
    <x:row r="6280" ht="18" customHeight="1">
      <x:c r="A6280" t="str">
        <x:v>US-2016-139087</x:v>
      </x:c>
      <x:c r="B6280" s="18" t="n">
        <x:v>42568</x:v>
      </x:c>
      <x:c r="C6280" t="str">
        <x:v>DK-13375</x:v>
      </x:c>
      <x:c r="D6280" t="str">
        <x:v>Dennis Kane</x:v>
      </x:c>
      <x:c r="E6280" t="str">
        <x:v>Consumer</x:v>
      </x:c>
      <x:c r="F6280" t="str">
        <x:v>West</x:v>
      </x:c>
      <x:c r="G6280" t="str">
        <x:v>Furniture</x:v>
      </x:c>
      <x:c r="H6280" t="str">
        <x:v>Furnishings</x:v>
      </x:c>
      <x:c r="I6280" s="22" t="n">
        <x:v>24.75</x:v>
      </x:c>
      <x:c r="J6280" s="24" t="n">
        <x:v>5</x:v>
      </x:c>
      <x:c r="K6280" s="26" t="n">
        <x:v>0</x:v>
      </x:c>
      <x:c r="L6280" s="22" t="n">
        <x:v>10.890000000000002</x:v>
      </x:c>
      <x:c r="M6280" t="n">
        <x:v>2016</x:v>
      </x:c>
      <x:c r="N6280" s="20" t="n">
        <x:v>42552</x:v>
      </x:c>
    </x:row>
    <x:row r="6281" ht="18" customHeight="1">
      <x:c r="A6281" t="str">
        <x:v>US-2016-139087</x:v>
      </x:c>
      <x:c r="B6281" s="18" t="n">
        <x:v>42568</x:v>
      </x:c>
      <x:c r="C6281" t="str">
        <x:v>DK-13375</x:v>
      </x:c>
      <x:c r="D6281" t="str">
        <x:v>Dennis Kane</x:v>
      </x:c>
      <x:c r="E6281" t="str">
        <x:v>Consumer</x:v>
      </x:c>
      <x:c r="F6281" t="str">
        <x:v>West</x:v>
      </x:c>
      <x:c r="G6281" t="str">
        <x:v>Office Supplies</x:v>
      </x:c>
      <x:c r="H6281" t="str">
        <x:v>Labels</x:v>
      </x:c>
      <x:c r="I6281" s="22" t="n">
        <x:v>87.71</x:v>
      </x:c>
      <x:c r="J6281" s="24" t="n">
        <x:v>7</x:v>
      </x:c>
      <x:c r="K6281" s="26" t="n">
        <x:v>0</x:v>
      </x:c>
      <x:c r="L6281" s="22" t="n">
        <x:v>41.223699999999994</x:v>
      </x:c>
      <x:c r="M6281" t="n">
        <x:v>2016</x:v>
      </x:c>
      <x:c r="N6281" s="20" t="n">
        <x:v>42552</x:v>
      </x:c>
    </x:row>
    <x:row r="6282" ht="18" customHeight="1">
      <x:c r="A6282" t="str">
        <x:v>US-2016-139087</x:v>
      </x:c>
      <x:c r="B6282" s="18" t="n">
        <x:v>42568</x:v>
      </x:c>
      <x:c r="C6282" t="str">
        <x:v>DK-13375</x:v>
      </x:c>
      <x:c r="D6282" t="str">
        <x:v>Dennis Kane</x:v>
      </x:c>
      <x:c r="E6282" t="str">
        <x:v>Consumer</x:v>
      </x:c>
      <x:c r="F6282" t="str">
        <x:v>West</x:v>
      </x:c>
      <x:c r="G6282" t="str">
        <x:v>Office Supplies</x:v>
      </x:c>
      <x:c r="H6282" t="str">
        <x:v>Storage</x:v>
      </x:c>
      <x:c r="I6282" s="22" t="n">
        <x:v>69.52</x:v>
      </x:c>
      <x:c r="J6282" s="24" t="n">
        <x:v>2</x:v>
      </x:c>
      <x:c r="K6282" s="26" t="n">
        <x:v>0</x:v>
      </x:c>
      <x:c r="L6282" s="22" t="n">
        <x:v>17.379999999999995</x:v>
      </x:c>
      <x:c r="M6282" t="n">
        <x:v>2016</x:v>
      </x:c>
      <x:c r="N6282" s="20" t="n">
        <x:v>42552</x:v>
      </x:c>
    </x:row>
    <x:row r="6283" ht="18" customHeight="1">
      <x:c r="A6283" t="str">
        <x:v>US-2016-139087</x:v>
      </x:c>
      <x:c r="B6283" s="18" t="n">
        <x:v>42568</x:v>
      </x:c>
      <x:c r="C6283" t="str">
        <x:v>DK-13375</x:v>
      </x:c>
      <x:c r="D6283" t="str">
        <x:v>Dennis Kane</x:v>
      </x:c>
      <x:c r="E6283" t="str">
        <x:v>Consumer</x:v>
      </x:c>
      <x:c r="F6283" t="str">
        <x:v>West</x:v>
      </x:c>
      <x:c r="G6283" t="str">
        <x:v>Technology</x:v>
      </x:c>
      <x:c r="H6283" t="str">
        <x:v>Phones</x:v>
      </x:c>
      <x:c r="I6283" s="22" t="n">
        <x:v>20.784000000000002</x:v>
      </x:c>
      <x:c r="J6283" s="24" t="n">
        <x:v>2</x:v>
      </x:c>
      <x:c r="K6283" s="26" t="n">
        <x:v>0.2</x:v>
      </x:c>
      <x:c r="L6283" s="22" t="n">
        <x:v>-4.6764</x:v>
      </x:c>
      <x:c r="M6283" t="n">
        <x:v>2016</x:v>
      </x:c>
      <x:c r="N6283" s="20" t="n">
        <x:v>42552</x:v>
      </x:c>
    </x:row>
    <x:row r="6284" ht="18" customHeight="1">
      <x:c r="A6284" t="str">
        <x:v>US-2016-139087</x:v>
      </x:c>
      <x:c r="B6284" s="18" t="n">
        <x:v>42568</x:v>
      </x:c>
      <x:c r="C6284" t="str">
        <x:v>DK-13375</x:v>
      </x:c>
      <x:c r="D6284" t="str">
        <x:v>Dennis Kane</x:v>
      </x:c>
      <x:c r="E6284" t="str">
        <x:v>Consumer</x:v>
      </x:c>
      <x:c r="F6284" t="str">
        <x:v>West</x:v>
      </x:c>
      <x:c r="G6284" t="str">
        <x:v>Office Supplies</x:v>
      </x:c>
      <x:c r="H6284" t="str">
        <x:v>Binders</x:v>
      </x:c>
      <x:c r="I6284" s="22" t="n">
        <x:v>12.816</x:v>
      </x:c>
      <x:c r="J6284" s="24" t="n">
        <x:v>3</x:v>
      </x:c>
      <x:c r="K6284" s="26" t="n">
        <x:v>0.2</x:v>
      </x:c>
      <x:c r="L6284" s="22" t="n">
        <x:v>4.165199999999999</x:v>
      </x:c>
      <x:c r="M6284" t="n">
        <x:v>2016</x:v>
      </x:c>
      <x:c r="N6284" s="20" t="n">
        <x:v>42552</x:v>
      </x:c>
    </x:row>
    <x:row r="6285" ht="18" customHeight="1">
      <x:c r="A6285" t="str">
        <x:v>CA-2017-152226</x:v>
      </x:c>
      <x:c r="B6285" s="18" t="n">
        <x:v>42867</x:v>
      </x:c>
      <x:c r="C6285" t="str">
        <x:v>JH-15910</x:v>
      </x:c>
      <x:c r="D6285" t="str">
        <x:v>Jonathan Howell</x:v>
      </x:c>
      <x:c r="E6285" t="str">
        <x:v>Consumer</x:v>
      </x:c>
      <x:c r="F6285" t="str">
        <x:v>East</x:v>
      </x:c>
      <x:c r="G6285" t="str">
        <x:v>Office Supplies</x:v>
      </x:c>
      <x:c r="H6285" t="str">
        <x:v>Labels</x:v>
      </x:c>
      <x:c r="I6285" s="22" t="n">
        <x:v>5.904</x:v>
      </x:c>
      <x:c r="J6285" s="24" t="n">
        <x:v>2</x:v>
      </x:c>
      <x:c r="K6285" s="26" t="n">
        <x:v>0.2</x:v>
      </x:c>
      <x:c r="L6285" s="22" t="n">
        <x:v>1.9926</x:v>
      </x:c>
      <x:c r="M6285" t="n">
        <x:v>2017</x:v>
      </x:c>
      <x:c r="N6285" s="20" t="n">
        <x:v>42856</x:v>
      </x:c>
    </x:row>
    <x:row r="6286" ht="18" customHeight="1">
      <x:c r="A6286" t="str">
        <x:v>CA-2015-116484</x:v>
      </x:c>
      <x:c r="B6286" s="18" t="n">
        <x:v>42328</x:v>
      </x:c>
      <x:c r="C6286" t="str">
        <x:v>JK-15205</x:v>
      </x:c>
      <x:c r="D6286" t="str">
        <x:v>Jamie Kunitz</x:v>
      </x:c>
      <x:c r="E6286" t="str">
        <x:v>Consumer</x:v>
      </x:c>
      <x:c r="F6286" t="str">
        <x:v>East</x:v>
      </x:c>
      <x:c r="G6286" t="str">
        <x:v>Furniture</x:v>
      </x:c>
      <x:c r="H6286" t="str">
        <x:v>Furnishings</x:v>
      </x:c>
      <x:c r="I6286" s="22" t="n">
        <x:v>63.824000000000005</x:v>
      </x:c>
      <x:c r="J6286" s="24" t="n">
        <x:v>2</x:v>
      </x:c>
      <x:c r="K6286" s="26" t="n">
        <x:v>0.2</x:v>
      </x:c>
      <x:c r="L6286" s="22" t="n">
        <x:v>9.573599999999994</x:v>
      </x:c>
      <x:c r="M6286" t="n">
        <x:v>2015</x:v>
      </x:c>
      <x:c r="N6286" s="20" t="n">
        <x:v>42309</x:v>
      </x:c>
    </x:row>
    <x:row r="6287" ht="18" customHeight="1">
      <x:c r="A6287" t="str">
        <x:v>CA-2015-116484</x:v>
      </x:c>
      <x:c r="B6287" s="18" t="n">
        <x:v>42328</x:v>
      </x:c>
      <x:c r="C6287" t="str">
        <x:v>JK-15205</x:v>
      </x:c>
      <x:c r="D6287" t="str">
        <x:v>Jamie Kunitz</x:v>
      </x:c>
      <x:c r="E6287" t="str">
        <x:v>Consumer</x:v>
      </x:c>
      <x:c r="F6287" t="str">
        <x:v>East</x:v>
      </x:c>
      <x:c r="G6287" t="str">
        <x:v>Office Supplies</x:v>
      </x:c>
      <x:c r="H6287" t="str">
        <x:v>Storage</x:v>
      </x:c>
      <x:c r="I6287" s="22" t="n">
        <x:v>141.552</x:v>
      </x:c>
      <x:c r="J6287" s="24" t="n">
        <x:v>3</x:v>
      </x:c>
      <x:c r="K6287" s="26" t="n">
        <x:v>0.2</x:v>
      </x:c>
      <x:c r="L6287" s="22" t="n">
        <x:v>-26.541000000000004</x:v>
      </x:c>
      <x:c r="M6287" t="n">
        <x:v>2015</x:v>
      </x:c>
      <x:c r="N6287" s="20" t="n">
        <x:v>42309</x:v>
      </x:c>
    </x:row>
    <x:row r="6288" ht="18" customHeight="1">
      <x:c r="A6288" t="str">
        <x:v>CA-2016-100944</x:v>
      </x:c>
      <x:c r="B6288" s="18" t="n">
        <x:v>42637</x:v>
      </x:c>
      <x:c r="C6288" t="str">
        <x:v>EH-13765</x:v>
      </x:c>
      <x:c r="D6288" t="str">
        <x:v>Edward Hooks</x:v>
      </x:c>
      <x:c r="E6288" t="str">
        <x:v>Corporate</x:v>
      </x:c>
      <x:c r="F6288" t="str">
        <x:v>West</x:v>
      </x:c>
      <x:c r="G6288" t="str">
        <x:v>Office Supplies</x:v>
      </x:c>
      <x:c r="H6288" t="str">
        <x:v>Envelopes</x:v>
      </x:c>
      <x:c r="I6288" s="22" t="n">
        <x:v>304.9</x:v>
      </x:c>
      <x:c r="J6288" s="24" t="n">
        <x:v>5</x:v>
      </x:c>
      <x:c r="K6288" s="26" t="n">
        <x:v>0</x:v>
      </x:c>
      <x:c r="L6288" s="22" t="n">
        <x:v>143.30299999999997</x:v>
      </x:c>
      <x:c r="M6288" t="n">
        <x:v>2016</x:v>
      </x:c>
      <x:c r="N6288" s="20" t="n">
        <x:v>42614</x:v>
      </x:c>
    </x:row>
    <x:row r="6289" ht="18" customHeight="1">
      <x:c r="A6289" t="str">
        <x:v>CA-2016-100944</x:v>
      </x:c>
      <x:c r="B6289" s="18" t="n">
        <x:v>42637</x:v>
      </x:c>
      <x:c r="C6289" t="str">
        <x:v>EH-13765</x:v>
      </x:c>
      <x:c r="D6289" t="str">
        <x:v>Edward Hooks</x:v>
      </x:c>
      <x:c r="E6289" t="str">
        <x:v>Corporate</x:v>
      </x:c>
      <x:c r="F6289" t="str">
        <x:v>West</x:v>
      </x:c>
      <x:c r="G6289" t="str">
        <x:v>Furniture</x:v>
      </x:c>
      <x:c r="H6289" t="str">
        <x:v>Chairs</x:v>
      </x:c>
      <x:c r="I6289" s="22" t="n">
        <x:v>563.24</x:v>
      </x:c>
      <x:c r="J6289" s="24" t="n">
        <x:v>5</x:v>
      </x:c>
      <x:c r="K6289" s="26" t="n">
        <x:v>0.2</x:v>
      </x:c>
      <x:c r="L6289" s="22" t="n">
        <x:v>56.32400000000001</x:v>
      </x:c>
      <x:c r="M6289" t="n">
        <x:v>2016</x:v>
      </x:c>
      <x:c r="N6289" s="20" t="n">
        <x:v>42614</x:v>
      </x:c>
    </x:row>
    <x:row r="6290" ht="18" customHeight="1">
      <x:c r="A6290" t="str">
        <x:v>CA-2016-125080</x:v>
      </x:c>
      <x:c r="B6290" s="18" t="n">
        <x:v>42664</x:v>
      </x:c>
      <x:c r="C6290" t="str">
        <x:v>VW-21775</x:v>
      </x:c>
      <x:c r="D6290" t="str">
        <x:v>Victoria Wilson</x:v>
      </x:c>
      <x:c r="E6290" t="str">
        <x:v>Corporate</x:v>
      </x:c>
      <x:c r="F6290" t="str">
        <x:v>East</x:v>
      </x:c>
      <x:c r="G6290" t="str">
        <x:v>Furniture</x:v>
      </x:c>
      <x:c r="H6290" t="str">
        <x:v>Tables</x:v>
      </x:c>
      <x:c r="I6290" s="22" t="n">
        <x:v>661.176</x:v>
      </x:c>
      <x:c r="J6290" s="24" t="n">
        <x:v>2</x:v>
      </x:c>
      <x:c r="K6290" s="26" t="n">
        <x:v>0.4</x:v>
      </x:c>
      <x:c r="L6290" s="22" t="n">
        <x:v>-231.41160000000008</x:v>
      </x:c>
      <x:c r="M6290" t="n">
        <x:v>2016</x:v>
      </x:c>
      <x:c r="N6290" s="20" t="n">
        <x:v>42644</x:v>
      </x:c>
    </x:row>
    <x:row r="6291" ht="18" customHeight="1">
      <x:c r="A6291" t="str">
        <x:v>CA-2016-121020</x:v>
      </x:c>
      <x:c r="B6291" s="18" t="n">
        <x:v>42667</x:v>
      </x:c>
      <x:c r="C6291" t="str">
        <x:v>CG-12040</x:v>
      </x:c>
      <x:c r="D6291" t="str">
        <x:v>Catherine Glotzbach</x:v>
      </x:c>
      <x:c r="E6291" t="str">
        <x:v>Home Office</x:v>
      </x:c>
      <x:c r="F6291" t="str">
        <x:v>South</x:v>
      </x:c>
      <x:c r="G6291" t="str">
        <x:v>Technology</x:v>
      </x:c>
      <x:c r="H6291" t="str">
        <x:v>Phones</x:v>
      </x:c>
      <x:c r="I6291" s="22" t="n">
        <x:v>239.976</x:v>
      </x:c>
      <x:c r="J6291" s="24" t="n">
        <x:v>3</x:v>
      </x:c>
      <x:c r="K6291" s="26" t="n">
        <x:v>0.2</x:v>
      </x:c>
      <x:c r="L6291" s="22" t="n">
        <x:v>17.998199999999997</x:v>
      </x:c>
      <x:c r="M6291" t="n">
        <x:v>2016</x:v>
      </x:c>
      <x:c r="N6291" s="20" t="n">
        <x:v>42644</x:v>
      </x:c>
    </x:row>
    <x:row r="6292" ht="18" customHeight="1">
      <x:c r="A6292" t="str">
        <x:v>CA-2014-100090</x:v>
      </x:c>
      <x:c r="B6292" s="18" t="n">
        <x:v>41828</x:v>
      </x:c>
      <x:c r="C6292" t="str">
        <x:v>EB-13705</x:v>
      </x:c>
      <x:c r="D6292" t="str">
        <x:v>Ed Braxton</x:v>
      </x:c>
      <x:c r="E6292" t="str">
        <x:v>Corporate</x:v>
      </x:c>
      <x:c r="F6292" t="str">
        <x:v>West</x:v>
      </x:c>
      <x:c r="G6292" t="str">
        <x:v>Furniture</x:v>
      </x:c>
      <x:c r="H6292" t="str">
        <x:v>Tables</x:v>
      </x:c>
      <x:c r="I6292" s="22" t="n">
        <x:v>502.48800000000006</x:v>
      </x:c>
      <x:c r="J6292" s="24" t="n">
        <x:v>3</x:v>
      </x:c>
      <x:c r="K6292" s="26" t="n">
        <x:v>0.2</x:v>
      </x:c>
      <x:c r="L6292" s="22" t="n">
        <x:v>-87.93540000000004</x:v>
      </x:c>
      <x:c r="M6292" t="n">
        <x:v>2014</x:v>
      </x:c>
      <x:c r="N6292" s="20" t="n">
        <x:v>41821</x:v>
      </x:c>
    </x:row>
    <x:row r="6293" ht="18" customHeight="1">
      <x:c r="A6293" t="str">
        <x:v>CA-2014-100090</x:v>
      </x:c>
      <x:c r="B6293" s="18" t="n">
        <x:v>41828</x:v>
      </x:c>
      <x:c r="C6293" t="str">
        <x:v>EB-13705</x:v>
      </x:c>
      <x:c r="D6293" t="str">
        <x:v>Ed Braxton</x:v>
      </x:c>
      <x:c r="E6293" t="str">
        <x:v>Corporate</x:v>
      </x:c>
      <x:c r="F6293" t="str">
        <x:v>West</x:v>
      </x:c>
      <x:c r="G6293" t="str">
        <x:v>Office Supplies</x:v>
      </x:c>
      <x:c r="H6293" t="str">
        <x:v>Binders</x:v>
      </x:c>
      <x:c r="I6293" s="22" t="n">
        <x:v>196.704</x:v>
      </x:c>
      <x:c r="J6293" s="24" t="n">
        <x:v>6</x:v>
      </x:c>
      <x:c r="K6293" s="26" t="n">
        <x:v>0.2</x:v>
      </x:c>
      <x:c r="L6293" s="22" t="n">
        <x:v>68.84639999999997</x:v>
      </x:c>
      <x:c r="M6293" t="n">
        <x:v>2014</x:v>
      </x:c>
      <x:c r="N6293" s="20" t="n">
        <x:v>41821</x:v>
      </x:c>
    </x:row>
    <x:row r="6294" ht="18" customHeight="1">
      <x:c r="A6294" t="str">
        <x:v>US-2015-139675</x:v>
      </x:c>
      <x:c r="B6294" s="18" t="n">
        <x:v>42076</x:v>
      </x:c>
      <x:c r="C6294" t="str">
        <x:v>NF-18595</x:v>
      </x:c>
      <x:c r="D6294" t="str">
        <x:v>Nicole Fjeld</x:v>
      </x:c>
      <x:c r="E6294" t="str">
        <x:v>Home Office</x:v>
      </x:c>
      <x:c r="F6294" t="str">
        <x:v>West</x:v>
      </x:c>
      <x:c r="G6294" t="str">
        <x:v>Furniture</x:v>
      </x:c>
      <x:c r="H6294" t="str">
        <x:v>Chairs</x:v>
      </x:c>
      <x:c r="I6294" s="22" t="n">
        <x:v>915.1360000000001</x:v>
      </x:c>
      <x:c r="J6294" s="24" t="n">
        <x:v>4</x:v>
      </x:c>
      <x:c r="K6294" s="26" t="n">
        <x:v>0.2</x:v>
      </x:c>
      <x:c r="L6294" s="22" t="n">
        <x:v>102.95279999999988</x:v>
      </x:c>
      <x:c r="M6294" t="n">
        <x:v>2015</x:v>
      </x:c>
      <x:c r="N6294" s="20" t="n">
        <x:v>42064</x:v>
      </x:c>
    </x:row>
    <x:row r="6295" ht="18" customHeight="1">
      <x:c r="A6295" t="str">
        <x:v>US-2015-139675</x:v>
      </x:c>
      <x:c r="B6295" s="18" t="n">
        <x:v>42076</x:v>
      </x:c>
      <x:c r="C6295" t="str">
        <x:v>NF-18595</x:v>
      </x:c>
      <x:c r="D6295" t="str">
        <x:v>Nicole Fjeld</x:v>
      </x:c>
      <x:c r="E6295" t="str">
        <x:v>Home Office</x:v>
      </x:c>
      <x:c r="F6295" t="str">
        <x:v>West</x:v>
      </x:c>
      <x:c r="G6295" t="str">
        <x:v>Furniture</x:v>
      </x:c>
      <x:c r="H6295" t="str">
        <x:v>Furnishings</x:v>
      </x:c>
      <x:c r="I6295" s="22" t="n">
        <x:v>327.76</x:v>
      </x:c>
      <x:c r="J6295" s="24" t="n">
        <x:v>8</x:v>
      </x:c>
      <x:c r="K6295" s="26" t="n">
        <x:v>0</x:v>
      </x:c>
      <x:c r="L6295" s="22" t="n">
        <x:v>91.77280000000002</x:v>
      </x:c>
      <x:c r="M6295" t="n">
        <x:v>2015</x:v>
      </x:c>
      <x:c r="N6295" s="20" t="n">
        <x:v>42064</x:v>
      </x:c>
    </x:row>
    <x:row r="6296" ht="18" customHeight="1">
      <x:c r="A6296" t="str">
        <x:v>CA-2017-143756</x:v>
      </x:c>
      <x:c r="B6296" s="18" t="n">
        <x:v>43071</x:v>
      </x:c>
      <x:c r="C6296" t="str">
        <x:v>ME-17725</x:v>
      </x:c>
      <x:c r="D6296" t="str">
        <x:v>Max Engle</x:v>
      </x:c>
      <x:c r="E6296" t="str">
        <x:v>Consumer</x:v>
      </x:c>
      <x:c r="F6296" t="str">
        <x:v>South</x:v>
      </x:c>
      <x:c r="G6296" t="str">
        <x:v>Furniture</x:v>
      </x:c>
      <x:c r="H6296" t="str">
        <x:v>Chairs</x:v>
      </x:c>
      <x:c r="I6296" s="22" t="n">
        <x:v>701.96</x:v>
      </x:c>
      <x:c r="J6296" s="24" t="n">
        <x:v>2</x:v>
      </x:c>
      <x:c r="K6296" s="26" t="n">
        <x:v>0</x:v>
      </x:c>
      <x:c r="L6296" s="22" t="n">
        <x:v>168.47040000000004</x:v>
      </x:c>
      <x:c r="M6296" t="n">
        <x:v>2017</x:v>
      </x:c>
      <x:c r="N6296" s="20" t="n">
        <x:v>43070</x:v>
      </x:c>
    </x:row>
    <x:row r="6297" ht="18" customHeight="1">
      <x:c r="A6297" t="str">
        <x:v>CA-2015-151253</x:v>
      </x:c>
      <x:c r="B6297" s="18" t="n">
        <x:v>42116</x:v>
      </x:c>
      <x:c r="C6297" t="str">
        <x:v>AZ-10750</x:v>
      </x:c>
      <x:c r="D6297" t="str">
        <x:v>Annie Zypern</x:v>
      </x:c>
      <x:c r="E6297" t="str">
        <x:v>Consumer</x:v>
      </x:c>
      <x:c r="F6297" t="str">
        <x:v>West</x:v>
      </x:c>
      <x:c r="G6297" t="str">
        <x:v>Technology</x:v>
      </x:c>
      <x:c r="H6297" t="str">
        <x:v>Phones</x:v>
      </x:c>
      <x:c r="I6297" s="22" t="n">
        <x:v>88.77600000000001</x:v>
      </x:c>
      <x:c r="J6297" s="24" t="n">
        <x:v>3</x:v>
      </x:c>
      <x:c r="K6297" s="26" t="n">
        <x:v>0.2</x:v>
      </x:c>
      <x:c r="L6297" s="22" t="n">
        <x:v>7.767900000000001</x:v>
      </x:c>
      <x:c r="M6297" t="n">
        <x:v>2015</x:v>
      </x:c>
      <x:c r="N6297" s="20" t="n">
        <x:v>42095</x:v>
      </x:c>
    </x:row>
    <x:row r="6298" ht="18" customHeight="1">
      <x:c r="A6298" t="str">
        <x:v>CA-2015-151253</x:v>
      </x:c>
      <x:c r="B6298" s="18" t="n">
        <x:v>42116</x:v>
      </x:c>
      <x:c r="C6298" t="str">
        <x:v>AZ-10750</x:v>
      </x:c>
      <x:c r="D6298" t="str">
        <x:v>Annie Zypern</x:v>
      </x:c>
      <x:c r="E6298" t="str">
        <x:v>Consumer</x:v>
      </x:c>
      <x:c r="F6298" t="str">
        <x:v>West</x:v>
      </x:c>
      <x:c r="G6298" t="str">
        <x:v>Office Supplies</x:v>
      </x:c>
      <x:c r="H6298" t="str">
        <x:v>Art</x:v>
      </x:c>
      <x:c r="I6298" s="22" t="n">
        <x:v>64.14</x:v>
      </x:c>
      <x:c r="J6298" s="24" t="n">
        <x:v>3</x:v>
      </x:c>
      <x:c r="K6298" s="26" t="n">
        <x:v>0</x:v>
      </x:c>
      <x:c r="L6298" s="22" t="n">
        <x:v>16.6764</x:v>
      </x:c>
      <x:c r="M6298" t="n">
        <x:v>2015</x:v>
      </x:c>
      <x:c r="N6298" s="20" t="n">
        <x:v>42095</x:v>
      </x:c>
    </x:row>
    <x:row r="6299" ht="18" customHeight="1">
      <x:c r="A6299" t="str">
        <x:v>CA-2014-141152</x:v>
      </x:c>
      <x:c r="B6299" s="18" t="n">
        <x:v>41898</x:v>
      </x:c>
      <x:c r="C6299" t="str">
        <x:v>RF-19345</x:v>
      </x:c>
      <x:c r="D6299" t="str">
        <x:v>Randy Ferguson</x:v>
      </x:c>
      <x:c r="E6299" t="str">
        <x:v>Corporate</x:v>
      </x:c>
      <x:c r="F6299" t="str">
        <x:v>East</x:v>
      </x:c>
      <x:c r="G6299" t="str">
        <x:v>Office Supplies</x:v>
      </x:c>
      <x:c r="H6299" t="str">
        <x:v>Binders</x:v>
      </x:c>
      <x:c r="I6299" s="22" t="n">
        <x:v>33.552</x:v>
      </x:c>
      <x:c r="J6299" s="24" t="n">
        <x:v>1</x:v>
      </x:c>
      <x:c r="K6299" s="26" t="n">
        <x:v>0.2</x:v>
      </x:c>
      <x:c r="L6299" s="22" t="n">
        <x:v>12.581999999999999</x:v>
      </x:c>
      <x:c r="M6299" t="n">
        <x:v>2014</x:v>
      </x:c>
      <x:c r="N6299" s="20" t="n">
        <x:v>41883</x:v>
      </x:c>
    </x:row>
    <x:row r="6300" ht="18" customHeight="1">
      <x:c r="A6300" t="str">
        <x:v>CA-2014-141313</x:v>
      </x:c>
      <x:c r="B6300" s="18" t="n">
        <x:v>42001</x:v>
      </x:c>
      <x:c r="C6300" t="str">
        <x:v>AJ-10780</x:v>
      </x:c>
      <x:c r="D6300" t="str">
        <x:v>Anthony Jacobs</x:v>
      </x:c>
      <x:c r="E6300" t="str">
        <x:v>Corporate</x:v>
      </x:c>
      <x:c r="F6300" t="str">
        <x:v>East</x:v>
      </x:c>
      <x:c r="G6300" t="str">
        <x:v>Office Supplies</x:v>
      </x:c>
      <x:c r="H6300" t="str">
        <x:v>Appliances</x:v>
      </x:c>
      <x:c r="I6300" s="22" t="n">
        <x:v>1737.1799999999998</x:v>
      </x:c>
      <x:c r="J6300" s="24" t="n">
        <x:v>6</x:v>
      </x:c>
      <x:c r="K6300" s="26" t="n">
        <x:v>0</x:v>
      </x:c>
      <x:c r="L6300" s="22" t="n">
        <x:v>503.78219999999976</x:v>
      </x:c>
      <x:c r="M6300" t="n">
        <x:v>2014</x:v>
      </x:c>
      <x:c r="N6300" s="20" t="n">
        <x:v>41974</x:v>
      </x:c>
    </x:row>
    <x:row r="6301" ht="18" customHeight="1">
      <x:c r="A6301" t="str">
        <x:v>CA-2014-141313</x:v>
      </x:c>
      <x:c r="B6301" s="18" t="n">
        <x:v>42001</x:v>
      </x:c>
      <x:c r="C6301" t="str">
        <x:v>AJ-10780</x:v>
      </x:c>
      <x:c r="D6301" t="str">
        <x:v>Anthony Jacobs</x:v>
      </x:c>
      <x:c r="E6301" t="str">
        <x:v>Corporate</x:v>
      </x:c>
      <x:c r="F6301" t="str">
        <x:v>East</x:v>
      </x:c>
      <x:c r="G6301" t="str">
        <x:v>Office Supplies</x:v>
      </x:c>
      <x:c r="H6301" t="str">
        <x:v>Storage</x:v>
      </x:c>
      <x:c r="I6301" s="22" t="n">
        <x:v>704.25</x:v>
      </x:c>
      <x:c r="J6301" s="24" t="n">
        <x:v>5</x:v>
      </x:c>
      <x:c r="K6301" s="26" t="n">
        <x:v>0</x:v>
      </x:c>
      <x:c r="L6301" s="22" t="n">
        <x:v>84.51</x:v>
      </x:c>
      <x:c r="M6301" t="n">
        <x:v>2014</x:v>
      </x:c>
      <x:c r="N6301" s="20" t="n">
        <x:v>41974</x:v>
      </x:c>
    </x:row>
    <x:row r="6302" ht="18" customHeight="1">
      <x:c r="A6302" t="str">
        <x:v>CA-2014-141313</x:v>
      </x:c>
      <x:c r="B6302" s="18" t="n">
        <x:v>42001</x:v>
      </x:c>
      <x:c r="C6302" t="str">
        <x:v>AJ-10780</x:v>
      </x:c>
      <x:c r="D6302" t="str">
        <x:v>Anthony Jacobs</x:v>
      </x:c>
      <x:c r="E6302" t="str">
        <x:v>Corporate</x:v>
      </x:c>
      <x:c r="F6302" t="str">
        <x:v>East</x:v>
      </x:c>
      <x:c r="G6302" t="str">
        <x:v>Office Supplies</x:v>
      </x:c>
      <x:c r="H6302" t="str">
        <x:v>Paper</x:v>
      </x:c>
      <x:c r="I6302" s="22" t="n">
        <x:v>141.76</x:v>
      </x:c>
      <x:c r="J6302" s="24" t="n">
        <x:v>4</x:v>
      </x:c>
      <x:c r="K6302" s="26" t="n">
        <x:v>0</x:v>
      </x:c>
      <x:c r="L6302" s="22" t="n">
        <x:v>66.62719999999999</x:v>
      </x:c>
      <x:c r="M6302" t="n">
        <x:v>2014</x:v>
      </x:c>
      <x:c r="N6302" s="20" t="n">
        <x:v>41974</x:v>
      </x:c>
    </x:row>
    <x:row r="6303" ht="18" customHeight="1">
      <x:c r="A6303" t="str">
        <x:v>CA-2014-169852</x:v>
      </x:c>
      <x:c r="B6303" s="18" t="n">
        <x:v>41933</x:v>
      </x:c>
      <x:c r="C6303" t="str">
        <x:v>SF-20965</x:v>
      </x:c>
      <x:c r="D6303" t="str">
        <x:v>Sylvia Foulston</x:v>
      </x:c>
      <x:c r="E6303" t="str">
        <x:v>Corporate</x:v>
      </x:c>
      <x:c r="F6303" t="str">
        <x:v>West</x:v>
      </x:c>
      <x:c r="G6303" t="str">
        <x:v>Office Supplies</x:v>
      </x:c>
      <x:c r="H6303" t="str">
        <x:v>Binders</x:v>
      </x:c>
      <x:c r="I6303" s="22" t="n">
        <x:v>36.36</x:v>
      </x:c>
      <x:c r="J6303" s="24" t="n">
        <x:v>3</x:v>
      </x:c>
      <x:c r="K6303" s="26" t="n">
        <x:v>0.2</x:v>
      </x:c>
      <x:c r="L6303" s="22" t="n">
        <x:v>12.2715</x:v>
      </x:c>
      <x:c r="M6303" t="n">
        <x:v>2014</x:v>
      </x:c>
      <x:c r="N6303" s="20" t="n">
        <x:v>41913</x:v>
      </x:c>
    </x:row>
    <x:row r="6304" ht="18" customHeight="1">
      <x:c r="A6304" t="str">
        <x:v>CA-2017-107314</x:v>
      </x:c>
      <x:c r="B6304" s="18" t="n">
        <x:v>43069</x:v>
      </x:c>
      <x:c r="C6304" t="str">
        <x:v>MZ-17335</x:v>
      </x:c>
      <x:c r="D6304" t="str">
        <x:v>Maria Zettner</x:v>
      </x:c>
      <x:c r="E6304" t="str">
        <x:v>Home Office</x:v>
      </x:c>
      <x:c r="F6304" t="str">
        <x:v>West</x:v>
      </x:c>
      <x:c r="G6304" t="str">
        <x:v>Furniture</x:v>
      </x:c>
      <x:c r="H6304" t="str">
        <x:v>Furnishings</x:v>
      </x:c>
      <x:c r="I6304" s="22" t="n">
        <x:v>25.83</x:v>
      </x:c>
      <x:c r="J6304" s="24" t="n">
        <x:v>3</x:v>
      </x:c>
      <x:c r="K6304" s="26" t="n">
        <x:v>0</x:v>
      </x:c>
      <x:c r="L6304" s="22" t="n">
        <x:v>9.557099999999998</x:v>
      </x:c>
      <x:c r="M6304" t="n">
        <x:v>2017</x:v>
      </x:c>
      <x:c r="N6304" s="20" t="n">
        <x:v>43040</x:v>
      </x:c>
    </x:row>
    <x:row r="6305" ht="18" customHeight="1">
      <x:c r="A6305" t="str">
        <x:v>US-2014-161305</x:v>
      </x:c>
      <x:c r="B6305" s="18" t="n">
        <x:v>41796</x:v>
      </x:c>
      <x:c r="C6305" t="str">
        <x:v>SB-20170</x:v>
      </x:c>
      <x:c r="D6305" t="str">
        <x:v>Sarah Bern</x:v>
      </x:c>
      <x:c r="E6305" t="str">
        <x:v>Consumer</x:v>
      </x:c>
      <x:c r="F6305" t="str">
        <x:v>Central</x:v>
      </x:c>
      <x:c r="G6305" t="str">
        <x:v>Office Supplies</x:v>
      </x:c>
      <x:c r="H6305" t="str">
        <x:v>Binders</x:v>
      </x:c>
      <x:c r="I6305" s="22" t="n">
        <x:v>24.587999999999994</x:v>
      </x:c>
      <x:c r="J6305" s="24" t="n">
        <x:v>3</x:v>
      </x:c>
      <x:c r="K6305" s="26" t="n">
        <x:v>0.8</x:v>
      </x:c>
      <x:c r="L6305" s="22" t="n">
        <x:v>-38.11140000000001</x:v>
      </x:c>
      <x:c r="M6305" t="n">
        <x:v>2014</x:v>
      </x:c>
      <x:c r="N6305" s="20" t="n">
        <x:v>41791</x:v>
      </x:c>
    </x:row>
    <x:row r="6306" ht="18" customHeight="1">
      <x:c r="A6306" t="str">
        <x:v>US-2014-161305</x:v>
      </x:c>
      <x:c r="B6306" s="18" t="n">
        <x:v>41796</x:v>
      </x:c>
      <x:c r="C6306" t="str">
        <x:v>SB-20170</x:v>
      </x:c>
      <x:c r="D6306" t="str">
        <x:v>Sarah Bern</x:v>
      </x:c>
      <x:c r="E6306" t="str">
        <x:v>Consumer</x:v>
      </x:c>
      <x:c r="F6306" t="str">
        <x:v>Central</x:v>
      </x:c>
      <x:c r="G6306" t="str">
        <x:v>Office Supplies</x:v>
      </x:c>
      <x:c r="H6306" t="str">
        <x:v>Envelopes</x:v>
      </x:c>
      <x:c r="I6306" s="22" t="n">
        <x:v>13.984000000000002</x:v>
      </x:c>
      <x:c r="J6306" s="24" t="n">
        <x:v>2</x:v>
      </x:c>
      <x:c r="K6306" s="26" t="n">
        <x:v>0.2</x:v>
      </x:c>
      <x:c r="L6306" s="22" t="n">
        <x:v>4.7196</x:v>
      </x:c>
      <x:c r="M6306" t="n">
        <x:v>2014</x:v>
      </x:c>
      <x:c r="N6306" s="20" t="n">
        <x:v>41791</x:v>
      </x:c>
    </x:row>
    <x:row r="6307" ht="18" customHeight="1">
      <x:c r="A6307" t="str">
        <x:v>CA-2017-166919</x:v>
      </x:c>
      <x:c r="B6307" s="18" t="n">
        <x:v>43062</x:v>
      </x:c>
      <x:c r="C6307" t="str">
        <x:v>AH-10210</x:v>
      </x:c>
      <x:c r="D6307" t="str">
        <x:v>Alan Hwang</x:v>
      </x:c>
      <x:c r="E6307" t="str">
        <x:v>Consumer</x:v>
      </x:c>
      <x:c r="F6307" t="str">
        <x:v>Central</x:v>
      </x:c>
      <x:c r="G6307" t="str">
        <x:v>Technology</x:v>
      </x:c>
      <x:c r="H6307" t="str">
        <x:v>Phones</x:v>
      </x:c>
      <x:c r="I6307" s="22" t="n">
        <x:v>195.96000000000004</x:v>
      </x:c>
      <x:c r="J6307" s="24" t="n">
        <x:v>5</x:v>
      </x:c>
      <x:c r="K6307" s="26" t="n">
        <x:v>0.2</x:v>
      </x:c>
      <x:c r="L6307" s="22" t="n">
        <x:v>19.596000000000018</x:v>
      </x:c>
      <x:c r="M6307" t="n">
        <x:v>2017</x:v>
      </x:c>
      <x:c r="N6307" s="20" t="n">
        <x:v>43040</x:v>
      </x:c>
    </x:row>
    <x:row r="6308" ht="18" customHeight="1">
      <x:c r="A6308" t="str">
        <x:v>CA-2017-162712</x:v>
      </x:c>
      <x:c r="B6308" s="18" t="n">
        <x:v>42904</x:v>
      </x:c>
      <x:c r="C6308" t="str">
        <x:v>NK-18490</x:v>
      </x:c>
      <x:c r="D6308" t="str">
        <x:v>Neil Knudson</x:v>
      </x:c>
      <x:c r="E6308" t="str">
        <x:v>Home Office</x:v>
      </x:c>
      <x:c r="F6308" t="str">
        <x:v>Central</x:v>
      </x:c>
      <x:c r="G6308" t="str">
        <x:v>Office Supplies</x:v>
      </x:c>
      <x:c r="H6308" t="str">
        <x:v>Paper</x:v>
      </x:c>
      <x:c r="I6308" s="22" t="n">
        <x:v>74.352</x:v>
      </x:c>
      <x:c r="J6308" s="24" t="n">
        <x:v>3</x:v>
      </x:c>
      <x:c r="K6308" s="26" t="n">
        <x:v>0.2</x:v>
      </x:c>
      <x:c r="L6308" s="22" t="n">
        <x:v>23.234999999999992</x:v>
      </x:c>
      <x:c r="M6308" t="n">
        <x:v>2017</x:v>
      </x:c>
      <x:c r="N6308" s="20" t="n">
        <x:v>42887</x:v>
      </x:c>
    </x:row>
    <x:row r="6309" ht="18" customHeight="1">
      <x:c r="A6309" t="str">
        <x:v>CA-2017-107552</x:v>
      </x:c>
      <x:c r="B6309" s="18" t="n">
        <x:v>42860</x:v>
      </x:c>
      <x:c r="C6309" t="str">
        <x:v>AI-10855</x:v>
      </x:c>
      <x:c r="D6309" t="str">
        <x:v>Arianne Irving</x:v>
      </x:c>
      <x:c r="E6309" t="str">
        <x:v>Consumer</x:v>
      </x:c>
      <x:c r="F6309" t="str">
        <x:v>East</x:v>
      </x:c>
      <x:c r="G6309" t="str">
        <x:v>Office Supplies</x:v>
      </x:c>
      <x:c r="H6309" t="str">
        <x:v>Paper</x:v>
      </x:c>
      <x:c r="I6309" s="22" t="n">
        <x:v>6.68</x:v>
      </x:c>
      <x:c r="J6309" s="24" t="n">
        <x:v>1</x:v>
      </x:c>
      <x:c r="K6309" s="26" t="n">
        <x:v>0</x:v>
      </x:c>
      <x:c r="L6309" s="22" t="n">
        <x:v>3.2064</x:v>
      </x:c>
      <x:c r="M6309" t="n">
        <x:v>2017</x:v>
      </x:c>
      <x:c r="N6309" s="20" t="n">
        <x:v>42856</x:v>
      </x:c>
    </x:row>
    <x:row r="6310" ht="18" customHeight="1">
      <x:c r="A6310" t="str">
        <x:v>CA-2016-163328</x:v>
      </x:c>
      <x:c r="B6310" s="18" t="n">
        <x:v>42678</x:v>
      </x:c>
      <x:c r="C6310" t="str">
        <x:v>TP-21565</x:v>
      </x:c>
      <x:c r="D6310" t="str">
        <x:v>Tracy Poddar</x:v>
      </x:c>
      <x:c r="E6310" t="str">
        <x:v>Corporate</x:v>
      </x:c>
      <x:c r="F6310" t="str">
        <x:v>West</x:v>
      </x:c>
      <x:c r="G6310" t="str">
        <x:v>Office Supplies</x:v>
      </x:c>
      <x:c r="H6310" t="str">
        <x:v>Supplies</x:v>
      </x:c>
      <x:c r="I6310" s="22" t="n">
        <x:v>17.584000000000003</x:v>
      </x:c>
      <x:c r="J6310" s="24" t="n">
        <x:v>7</x:v>
      </x:c>
      <x:c r="K6310" s="26" t="n">
        <x:v>0.2</x:v>
      </x:c>
      <x:c r="L6310" s="22" t="n">
        <x:v>-4.1762</x:v>
      </x:c>
      <x:c r="M6310" t="n">
        <x:v>2016</x:v>
      </x:c>
      <x:c r="N6310" s="20" t="n">
        <x:v>42675</x:v>
      </x:c>
    </x:row>
    <x:row r="6311" ht="18" customHeight="1">
      <x:c r="A6311" t="str">
        <x:v>CA-2016-163328</x:v>
      </x:c>
      <x:c r="B6311" s="18" t="n">
        <x:v>42678</x:v>
      </x:c>
      <x:c r="C6311" t="str">
        <x:v>TP-21565</x:v>
      </x:c>
      <x:c r="D6311" t="str">
        <x:v>Tracy Poddar</x:v>
      </x:c>
      <x:c r="E6311" t="str">
        <x:v>Corporate</x:v>
      </x:c>
      <x:c r="F6311" t="str">
        <x:v>West</x:v>
      </x:c>
      <x:c r="G6311" t="str">
        <x:v>Furniture</x:v>
      </x:c>
      <x:c r="H6311" t="str">
        <x:v>Chairs</x:v>
      </x:c>
      <x:c r="I6311" s="22" t="n">
        <x:v>104.78399999999999</x:v>
      </x:c>
      <x:c r="J6311" s="24" t="n">
        <x:v>1</x:v>
      </x:c>
      <x:c r="K6311" s="26" t="n">
        <x:v>0.2</x:v>
      </x:c>
      <x:c r="L6311" s="22" t="n">
        <x:v>-14.407800000000009</x:v>
      </x:c>
      <x:c r="M6311" t="n">
        <x:v>2016</x:v>
      </x:c>
      <x:c r="N6311" s="20" t="n">
        <x:v>42675</x:v>
      </x:c>
    </x:row>
    <x:row r="6312" ht="18" customHeight="1">
      <x:c r="A6312" t="str">
        <x:v>CA-2016-163328</x:v>
      </x:c>
      <x:c r="B6312" s="18" t="n">
        <x:v>42678</x:v>
      </x:c>
      <x:c r="C6312" t="str">
        <x:v>TP-21565</x:v>
      </x:c>
      <x:c r="D6312" t="str">
        <x:v>Tracy Poddar</x:v>
      </x:c>
      <x:c r="E6312" t="str">
        <x:v>Corporate</x:v>
      </x:c>
      <x:c r="F6312" t="str">
        <x:v>West</x:v>
      </x:c>
      <x:c r="G6312" t="str">
        <x:v>Office Supplies</x:v>
      </x:c>
      <x:c r="H6312" t="str">
        <x:v>Paper</x:v>
      </x:c>
      <x:c r="I6312" s="22" t="n">
        <x:v>47.952000000000005</x:v>
      </x:c>
      <x:c r="J6312" s="24" t="n">
        <x:v>3</x:v>
      </x:c>
      <x:c r="K6312" s="26" t="n">
        <x:v>0.2</x:v>
      </x:c>
      <x:c r="L6312" s="22" t="n">
        <x:v>16.7832</x:v>
      </x:c>
      <x:c r="M6312" t="n">
        <x:v>2016</x:v>
      </x:c>
      <x:c r="N6312" s="20" t="n">
        <x:v>42675</x:v>
      </x:c>
    </x:row>
    <x:row r="6313" ht="18" customHeight="1">
      <x:c r="A6313" t="str">
        <x:v>CA-2016-163328</x:v>
      </x:c>
      <x:c r="B6313" s="18" t="n">
        <x:v>42678</x:v>
      </x:c>
      <x:c r="C6313" t="str">
        <x:v>TP-21565</x:v>
      </x:c>
      <x:c r="D6313" t="str">
        <x:v>Tracy Poddar</x:v>
      </x:c>
      <x:c r="E6313" t="str">
        <x:v>Corporate</x:v>
      </x:c>
      <x:c r="F6313" t="str">
        <x:v>West</x:v>
      </x:c>
      <x:c r="G6313" t="str">
        <x:v>Furniture</x:v>
      </x:c>
      <x:c r="H6313" t="str">
        <x:v>Chairs</x:v>
      </x:c>
      <x:c r="I6313" s="22" t="n">
        <x:v>650.3520000000001</x:v>
      </x:c>
      <x:c r="J6313" s="24" t="n">
        <x:v>3</x:v>
      </x:c>
      <x:c r="K6313" s="26" t="n">
        <x:v>0.2</x:v>
      </x:c>
      <x:c r="L6313" s="22" t="n">
        <x:v>-97.55280000000008</x:v>
      </x:c>
      <x:c r="M6313" t="n">
        <x:v>2016</x:v>
      </x:c>
      <x:c r="N6313" s="20" t="n">
        <x:v>42675</x:v>
      </x:c>
    </x:row>
    <x:row r="6314" ht="18" customHeight="1">
      <x:c r="A6314" t="str">
        <x:v>CA-2016-163328</x:v>
      </x:c>
      <x:c r="B6314" s="18" t="n">
        <x:v>42678</x:v>
      </x:c>
      <x:c r="C6314" t="str">
        <x:v>TP-21565</x:v>
      </x:c>
      <x:c r="D6314" t="str">
        <x:v>Tracy Poddar</x:v>
      </x:c>
      <x:c r="E6314" t="str">
        <x:v>Corporate</x:v>
      </x:c>
      <x:c r="F6314" t="str">
        <x:v>West</x:v>
      </x:c>
      <x:c r="G6314" t="str">
        <x:v>Office Supplies</x:v>
      </x:c>
      <x:c r="H6314" t="str">
        <x:v>Labels</x:v>
      </x:c>
      <x:c r="I6314" s="22" t="n">
        <x:v>629.1840000000001</x:v>
      </x:c>
      <x:c r="J6314" s="24" t="n">
        <x:v>8</x:v>
      </x:c>
      <x:c r="K6314" s="26" t="n">
        <x:v>0.2</x:v>
      </x:c>
      <x:c r="L6314" s="22" t="n">
        <x:v>228.0792</x:v>
      </x:c>
      <x:c r="M6314" t="n">
        <x:v>2016</x:v>
      </x:c>
      <x:c r="N6314" s="20" t="n">
        <x:v>42675</x:v>
      </x:c>
    </x:row>
    <x:row r="6315" ht="18" customHeight="1">
      <x:c r="A6315" t="str">
        <x:v>CA-2016-163328</x:v>
      </x:c>
      <x:c r="B6315" s="18" t="n">
        <x:v>42678</x:v>
      </x:c>
      <x:c r="C6315" t="str">
        <x:v>TP-21565</x:v>
      </x:c>
      <x:c r="D6315" t="str">
        <x:v>Tracy Poddar</x:v>
      </x:c>
      <x:c r="E6315" t="str">
        <x:v>Corporate</x:v>
      </x:c>
      <x:c r="F6315" t="str">
        <x:v>West</x:v>
      </x:c>
      <x:c r="G6315" t="str">
        <x:v>Office Supplies</x:v>
      </x:c>
      <x:c r="H6315" t="str">
        <x:v>Paper</x:v>
      </x:c>
      <x:c r="I6315" s="22" t="n">
        <x:v>15.176</x:v>
      </x:c>
      <x:c r="J6315" s="24" t="n">
        <x:v>1</x:v>
      </x:c>
      <x:c r="K6315" s="26" t="n">
        <x:v>0.2</x:v>
      </x:c>
      <x:c r="L6315" s="22" t="n">
        <x:v>5.3115999999999985</x:v>
      </x:c>
      <x:c r="M6315" t="n">
        <x:v>2016</x:v>
      </x:c>
      <x:c r="N6315" s="20" t="n">
        <x:v>42675</x:v>
      </x:c>
    </x:row>
    <x:row r="6316" ht="18" customHeight="1">
      <x:c r="A6316" t="str">
        <x:v>CA-2014-112837</x:v>
      </x:c>
      <x:c r="B6316" s="18" t="n">
        <x:v>41893</x:v>
      </x:c>
      <x:c r="C6316" t="str">
        <x:v>LW-17125</x:v>
      </x:c>
      <x:c r="D6316" t="str">
        <x:v>Liz Willingham</x:v>
      </x:c>
      <x:c r="E6316" t="str">
        <x:v>Consumer</x:v>
      </x:c>
      <x:c r="F6316" t="str">
        <x:v>West</x:v>
      </x:c>
      <x:c r="G6316" t="str">
        <x:v>Furniture</x:v>
      </x:c>
      <x:c r="H6316" t="str">
        <x:v>Furnishings</x:v>
      </x:c>
      <x:c r="I6316" s="22" t="n">
        <x:v>127.94999999999999</x:v>
      </x:c>
      <x:c r="J6316" s="24" t="n">
        <x:v>3</x:v>
      </x:c>
      <x:c r="K6316" s="26" t="n">
        <x:v>0</x:v>
      </x:c>
      <x:c r="L6316" s="22" t="n">
        <x:v>21.751499999999986</x:v>
      </x:c>
      <x:c r="M6316" t="n">
        <x:v>2014</x:v>
      </x:c>
      <x:c r="N6316" s="20" t="n">
        <x:v>41883</x:v>
      </x:c>
    </x:row>
    <x:row r="6317" ht="18" customHeight="1">
      <x:c r="A6317" t="str">
        <x:v>CA-2017-120019</x:v>
      </x:c>
      <x:c r="B6317" s="18" t="n">
        <x:v>42782</x:v>
      </x:c>
      <x:c r="C6317" t="str">
        <x:v>NG-18355</x:v>
      </x:c>
      <x:c r="D6317" t="str">
        <x:v>Nat Gilpin</x:v>
      </x:c>
      <x:c r="E6317" t="str">
        <x:v>Corporate</x:v>
      </x:c>
      <x:c r="F6317" t="str">
        <x:v>East</x:v>
      </x:c>
      <x:c r="G6317" t="str">
        <x:v>Office Supplies</x:v>
      </x:c>
      <x:c r="H6317" t="str">
        <x:v>Storage</x:v>
      </x:c>
      <x:c r="I6317" s="22" t="n">
        <x:v>579.51</x:v>
      </x:c>
      <x:c r="J6317" s="24" t="n">
        <x:v>3</x:v>
      </x:c>
      <x:c r="K6317" s="26" t="n">
        <x:v>0</x:v>
      </x:c>
      <x:c r="L6317" s="22" t="n">
        <x:v>81.13140000000001</x:v>
      </x:c>
      <x:c r="M6317" t="n">
        <x:v>2017</x:v>
      </x:c>
      <x:c r="N6317" s="20" t="n">
        <x:v>42767</x:v>
      </x:c>
    </x:row>
    <x:row r="6318" ht="18" customHeight="1">
      <x:c r="A6318" t="str">
        <x:v>CA-2017-120019</x:v>
      </x:c>
      <x:c r="B6318" s="18" t="n">
        <x:v>42782</x:v>
      </x:c>
      <x:c r="C6318" t="str">
        <x:v>NG-18355</x:v>
      </x:c>
      <x:c r="D6318" t="str">
        <x:v>Nat Gilpin</x:v>
      </x:c>
      <x:c r="E6318" t="str">
        <x:v>Corporate</x:v>
      </x:c>
      <x:c r="F6318" t="str">
        <x:v>East</x:v>
      </x:c>
      <x:c r="G6318" t="str">
        <x:v>Technology</x:v>
      </x:c>
      <x:c r="H6318" t="str">
        <x:v>Phones</x:v>
      </x:c>
      <x:c r="I6318" s="22" t="n">
        <x:v>14.99</x:v>
      </x:c>
      <x:c r="J6318" s="24" t="n">
        <x:v>1</x:v>
      </x:c>
      <x:c r="K6318" s="26" t="n">
        <x:v>0</x:v>
      </x:c>
      <x:c r="L6318" s="22" t="n">
        <x:v>7.3451</x:v>
      </x:c>
      <x:c r="M6318" t="n">
        <x:v>2017</x:v>
      </x:c>
      <x:c r="N6318" s="20" t="n">
        <x:v>42767</x:v>
      </x:c>
    </x:row>
    <x:row r="6319" ht="18" customHeight="1">
      <x:c r="A6319" t="str">
        <x:v>CA-2014-100762</x:v>
      </x:c>
      <x:c r="B6319" s="18" t="n">
        <x:v>41967</x:v>
      </x:c>
      <x:c r="C6319" t="str">
        <x:v>NG-18355</x:v>
      </x:c>
      <x:c r="D6319" t="str">
        <x:v>Nat Gilpin</x:v>
      </x:c>
      <x:c r="E6319" t="str">
        <x:v>Corporate</x:v>
      </x:c>
      <x:c r="F6319" t="str">
        <x:v>Central</x:v>
      </x:c>
      <x:c r="G6319" t="str">
        <x:v>Office Supplies</x:v>
      </x:c>
      <x:c r="H6319" t="str">
        <x:v>Art</x:v>
      </x:c>
      <x:c r="I6319" s="22" t="n">
        <x:v>151.92</x:v>
      </x:c>
      <x:c r="J6319" s="24" t="n">
        <x:v>4</x:v>
      </x:c>
      <x:c r="K6319" s="26" t="n">
        <x:v>0</x:v>
      </x:c>
      <x:c r="L6319" s="22" t="n">
        <x:v>45.57599999999998</x:v>
      </x:c>
      <x:c r="M6319" t="n">
        <x:v>2014</x:v>
      </x:c>
      <x:c r="N6319" s="20" t="n">
        <x:v>41944</x:v>
      </x:c>
    </x:row>
    <x:row r="6320" ht="18" customHeight="1">
      <x:c r="A6320" t="str">
        <x:v>CA-2014-100762</x:v>
      </x:c>
      <x:c r="B6320" s="18" t="n">
        <x:v>41967</x:v>
      </x:c>
      <x:c r="C6320" t="str">
        <x:v>NG-18355</x:v>
      </x:c>
      <x:c r="D6320" t="str">
        <x:v>Nat Gilpin</x:v>
      </x:c>
      <x:c r="E6320" t="str">
        <x:v>Corporate</x:v>
      </x:c>
      <x:c r="F6320" t="str">
        <x:v>Central</x:v>
      </x:c>
      <x:c r="G6320" t="str">
        <x:v>Office Supplies</x:v>
      </x:c>
      <x:c r="H6320" t="str">
        <x:v>Labels</x:v>
      </x:c>
      <x:c r="I6320" s="22" t="n">
        <x:v>196.62</x:v>
      </x:c>
      <x:c r="J6320" s="24" t="n">
        <x:v>2</x:v>
      </x:c>
      <x:c r="K6320" s="26" t="n">
        <x:v>0</x:v>
      </x:c>
      <x:c r="L6320" s="22" t="n">
        <x:v>96.3438</x:v>
      </x:c>
      <x:c r="M6320" t="n">
        <x:v>2014</x:v>
      </x:c>
      <x:c r="N6320" s="20" t="n">
        <x:v>41944</x:v>
      </x:c>
    </x:row>
    <x:row r="6321" ht="18" customHeight="1">
      <x:c r="A6321" t="str">
        <x:v>CA-2014-100762</x:v>
      </x:c>
      <x:c r="B6321" s="18" t="n">
        <x:v>41967</x:v>
      </x:c>
      <x:c r="C6321" t="str">
        <x:v>NG-18355</x:v>
      </x:c>
      <x:c r="D6321" t="str">
        <x:v>Nat Gilpin</x:v>
      </x:c>
      <x:c r="E6321" t="str">
        <x:v>Corporate</x:v>
      </x:c>
      <x:c r="F6321" t="str">
        <x:v>Central</x:v>
      </x:c>
      <x:c r="G6321" t="str">
        <x:v>Office Supplies</x:v>
      </x:c>
      <x:c r="H6321" t="str">
        <x:v>Paper</x:v>
      </x:c>
      <x:c r="I6321" s="22" t="n">
        <x:v>144.12</x:v>
      </x:c>
      <x:c r="J6321" s="24" t="n">
        <x:v>3</x:v>
      </x:c>
      <x:c r="K6321" s="26" t="n">
        <x:v>0</x:v>
      </x:c>
      <x:c r="L6321" s="22" t="n">
        <x:v>69.17759999999998</x:v>
      </x:c>
      <x:c r="M6321" t="n">
        <x:v>2014</x:v>
      </x:c>
      <x:c r="N6321" s="20" t="n">
        <x:v>41944</x:v>
      </x:c>
    </x:row>
    <x:row r="6322" ht="18" customHeight="1">
      <x:c r="A6322" t="str">
        <x:v>CA-2014-100762</x:v>
      </x:c>
      <x:c r="B6322" s="18" t="n">
        <x:v>41967</x:v>
      </x:c>
      <x:c r="C6322" t="str">
        <x:v>NG-18355</x:v>
      </x:c>
      <x:c r="D6322" t="str">
        <x:v>Nat Gilpin</x:v>
      </x:c>
      <x:c r="E6322" t="str">
        <x:v>Corporate</x:v>
      </x:c>
      <x:c r="F6322" t="str">
        <x:v>Central</x:v>
      </x:c>
      <x:c r="G6322" t="str">
        <x:v>Office Supplies</x:v>
      </x:c>
      <x:c r="H6322" t="str">
        <x:v>Paper</x:v>
      </x:c>
      <x:c r="I6322" s="22" t="n">
        <x:v>15.96</x:v>
      </x:c>
      <x:c r="J6322" s="24" t="n">
        <x:v>2</x:v>
      </x:c>
      <x:c r="K6322" s="26" t="n">
        <x:v>0</x:v>
      </x:c>
      <x:c r="L6322" s="22" t="n">
        <x:v>7.98</x:v>
      </x:c>
      <x:c r="M6322" t="n">
        <x:v>2014</x:v>
      </x:c>
      <x:c r="N6322" s="20" t="n">
        <x:v>41944</x:v>
      </x:c>
    </x:row>
    <x:row r="6323" ht="18" customHeight="1">
      <x:c r="A6323" t="str">
        <x:v>CA-2017-161459</x:v>
      </x:c>
      <x:c r="B6323" s="18" t="n">
        <x:v>43064</x:v>
      </x:c>
      <x:c r="C6323" t="str">
        <x:v>EB-13750</x:v>
      </x:c>
      <x:c r="D6323" t="str">
        <x:v>Edward Becker</x:v>
      </x:c>
      <x:c r="E6323" t="str">
        <x:v>Corporate</x:v>
      </x:c>
      <x:c r="F6323" t="str">
        <x:v>West</x:v>
      </x:c>
      <x:c r="G6323" t="str">
        <x:v>Technology</x:v>
      </x:c>
      <x:c r="H6323" t="str">
        <x:v>Phones</x:v>
      </x:c>
      <x:c r="I6323" s="22" t="n">
        <x:v>39.96000000000001</x:v>
      </x:c>
      <x:c r="J6323" s="24" t="n">
        <x:v>5</x:v>
      </x:c>
      <x:c r="K6323" s="26" t="n">
        <x:v>0.2</x:v>
      </x:c>
      <x:c r="L6323" s="22" t="n">
        <x:v>3.4964999999999993</x:v>
      </x:c>
      <x:c r="M6323" t="n">
        <x:v>2017</x:v>
      </x:c>
      <x:c r="N6323" s="20" t="n">
        <x:v>43040</x:v>
      </x:c>
    </x:row>
    <x:row r="6324" ht="18" customHeight="1">
      <x:c r="A6324" t="str">
        <x:v>CA-2017-161459</x:v>
      </x:c>
      <x:c r="B6324" s="18" t="n">
        <x:v>43064</x:v>
      </x:c>
      <x:c r="C6324" t="str">
        <x:v>EB-13750</x:v>
      </x:c>
      <x:c r="D6324" t="str">
        <x:v>Edward Becker</x:v>
      </x:c>
      <x:c r="E6324" t="str">
        <x:v>Corporate</x:v>
      </x:c>
      <x:c r="F6324" t="str">
        <x:v>West</x:v>
      </x:c>
      <x:c r="G6324" t="str">
        <x:v>Office Supplies</x:v>
      </x:c>
      <x:c r="H6324" t="str">
        <x:v>Paper</x:v>
      </x:c>
      <x:c r="I6324" s="22" t="n">
        <x:v>34.08</x:v>
      </x:c>
      <x:c r="J6324" s="24" t="n">
        <x:v>6</x:v>
      </x:c>
      <x:c r="K6324" s="26" t="n">
        <x:v>0</x:v>
      </x:c>
      <x:c r="L6324" s="22" t="n">
        <x:v>15.335999999999999</x:v>
      </x:c>
      <x:c r="M6324" t="n">
        <x:v>2017</x:v>
      </x:c>
      <x:c r="N6324" s="20" t="n">
        <x:v>43040</x:v>
      </x:c>
    </x:row>
    <x:row r="6325" ht="18" customHeight="1">
      <x:c r="A6325" t="str">
        <x:v>CA-2017-160017</x:v>
      </x:c>
      <x:c r="B6325" s="18" t="n">
        <x:v>43006</x:v>
      </x:c>
      <x:c r="C6325" t="str">
        <x:v>SP-20860</x:v>
      </x:c>
      <x:c r="D6325" t="str">
        <x:v>Sung Pak</x:v>
      </x:c>
      <x:c r="E6325" t="str">
        <x:v>Corporate</x:v>
      </x:c>
      <x:c r="F6325" t="str">
        <x:v>South</x:v>
      </x:c>
      <x:c r="G6325" t="str">
        <x:v>Office Supplies</x:v>
      </x:c>
      <x:c r="H6325" t="str">
        <x:v>Paper</x:v>
      </x:c>
      <x:c r="I6325" s="22" t="n">
        <x:v>10.368000000000002</x:v>
      </x:c>
      <x:c r="J6325" s="24" t="n">
        <x:v>2</x:v>
      </x:c>
      <x:c r="K6325" s="26" t="n">
        <x:v>0.2</x:v>
      </x:c>
      <x:c r="L6325" s="22" t="n">
        <x:v>3.6288</x:v>
      </x:c>
      <x:c r="M6325" t="n">
        <x:v>2017</x:v>
      </x:c>
      <x:c r="N6325" s="20" t="n">
        <x:v>42979</x:v>
      </x:c>
    </x:row>
    <x:row r="6326" ht="18" customHeight="1">
      <x:c r="A6326" t="str">
        <x:v>CA-2014-123316</x:v>
      </x:c>
      <x:c r="B6326" s="18" t="n">
        <x:v>41925</x:v>
      </x:c>
      <x:c r="C6326" t="str">
        <x:v>SP-20545</x:v>
      </x:c>
      <x:c r="D6326" t="str">
        <x:v>Sibella Parks</x:v>
      </x:c>
      <x:c r="E6326" t="str">
        <x:v>Corporate</x:v>
      </x:c>
      <x:c r="F6326" t="str">
        <x:v>East</x:v>
      </x:c>
      <x:c r="G6326" t="str">
        <x:v>Office Supplies</x:v>
      </x:c>
      <x:c r="H6326" t="str">
        <x:v>Binders</x:v>
      </x:c>
      <x:c r="I6326" s="22" t="n">
        <x:v>7.752000000000001</x:v>
      </x:c>
      <x:c r="J6326" s="24" t="n">
        <x:v>3</x:v>
      </x:c>
      <x:c r="K6326" s="26" t="n">
        <x:v>0.2</x:v>
      </x:c>
      <x:c r="L6326" s="22" t="n">
        <x:v>2.8101</x:v>
      </x:c>
      <x:c r="M6326" t="n">
        <x:v>2014</x:v>
      </x:c>
      <x:c r="N6326" s="20" t="n">
        <x:v>41913</x:v>
      </x:c>
    </x:row>
    <x:row r="6327" ht="18" customHeight="1">
      <x:c r="A6327" t="str">
        <x:v>CA-2014-141299</x:v>
      </x:c>
      <x:c r="B6327" s="18" t="n">
        <x:v>41793</x:v>
      </x:c>
      <x:c r="C6327" t="str">
        <x:v>RB-19795</x:v>
      </x:c>
      <x:c r="D6327" t="str">
        <x:v>Ross Baird</x:v>
      </x:c>
      <x:c r="E6327" t="str">
        <x:v>Home Office</x:v>
      </x:c>
      <x:c r="F6327" t="str">
        <x:v>Central</x:v>
      </x:c>
      <x:c r="G6327" t="str">
        <x:v>Office Supplies</x:v>
      </x:c>
      <x:c r="H6327" t="str">
        <x:v>Envelopes</x:v>
      </x:c>
      <x:c r="I6327" s="22" t="n">
        <x:v>15.28</x:v>
      </x:c>
      <x:c r="J6327" s="24" t="n">
        <x:v>2</x:v>
      </x:c>
      <x:c r="K6327" s="26" t="n">
        <x:v>0</x:v>
      </x:c>
      <x:c r="L6327" s="22" t="n">
        <x:v>7.4872</x:v>
      </x:c>
      <x:c r="M6327" t="n">
        <x:v>2014</x:v>
      </x:c>
      <x:c r="N6327" s="20" t="n">
        <x:v>41791</x:v>
      </x:c>
    </x:row>
    <x:row r="6328" ht="18" customHeight="1">
      <x:c r="A6328" t="str">
        <x:v>CA-2014-104402</x:v>
      </x:c>
      <x:c r="B6328" s="18" t="n">
        <x:v>41807</x:v>
      </x:c>
      <x:c r="C6328" t="str">
        <x:v>DB-13660</x:v>
      </x:c>
      <x:c r="D6328" t="str">
        <x:v>Duane Benoit</x:v>
      </x:c>
      <x:c r="E6328" t="str">
        <x:v>Consumer</x:v>
      </x:c>
      <x:c r="F6328" t="str">
        <x:v>East</x:v>
      </x:c>
      <x:c r="G6328" t="str">
        <x:v>Technology</x:v>
      </x:c>
      <x:c r="H6328" t="str">
        <x:v>Machines</x:v>
      </x:c>
      <x:c r="I6328" s="22" t="n">
        <x:v>65.97</x:v>
      </x:c>
      <x:c r="J6328" s="24" t="n">
        <x:v>3</x:v>
      </x:c>
      <x:c r="K6328" s="26" t="n">
        <x:v>0</x:v>
      </x:c>
      <x:c r="L6328" s="22" t="n">
        <x:v>31.005899999999997</x:v>
      </x:c>
      <x:c r="M6328" t="n">
        <x:v>2014</x:v>
      </x:c>
      <x:c r="N6328" s="20" t="n">
        <x:v>41791</x:v>
      </x:c>
    </x:row>
    <x:row r="6329" ht="18" customHeight="1">
      <x:c r="A6329" t="str">
        <x:v>CA-2015-110289</x:v>
      </x:c>
      <x:c r="B6329" s="18" t="n">
        <x:v>42306</x:v>
      </x:c>
      <x:c r="C6329" t="str">
        <x:v>NB-18655</x:v>
      </x:c>
      <x:c r="D6329" t="str">
        <x:v>Nona Balk</x:v>
      </x:c>
      <x:c r="E6329" t="str">
        <x:v>Corporate</x:v>
      </x:c>
      <x:c r="F6329" t="str">
        <x:v>West</x:v>
      </x:c>
      <x:c r="G6329" t="str">
        <x:v>Office Supplies</x:v>
      </x:c>
      <x:c r="H6329" t="str">
        <x:v>Paper</x:v>
      </x:c>
      <x:c r="I6329" s="22" t="n">
        <x:v>33.4</x:v>
      </x:c>
      <x:c r="J6329" s="24" t="n">
        <x:v>5</x:v>
      </x:c>
      <x:c r="K6329" s="26" t="n">
        <x:v>0</x:v>
      </x:c>
      <x:c r="L6329" s="22" t="n">
        <x:v>16.032</x:v>
      </x:c>
      <x:c r="M6329" t="n">
        <x:v>2015</x:v>
      </x:c>
      <x:c r="N6329" s="20" t="n">
        <x:v>42278</x:v>
      </x:c>
    </x:row>
    <x:row r="6330" ht="18" customHeight="1">
      <x:c r="A6330" t="str">
        <x:v>CA-2015-110289</x:v>
      </x:c>
      <x:c r="B6330" s="18" t="n">
        <x:v>42306</x:v>
      </x:c>
      <x:c r="C6330" t="str">
        <x:v>NB-18655</x:v>
      </x:c>
      <x:c r="D6330" t="str">
        <x:v>Nona Balk</x:v>
      </x:c>
      <x:c r="E6330" t="str">
        <x:v>Corporate</x:v>
      </x:c>
      <x:c r="F6330" t="str">
        <x:v>West</x:v>
      </x:c>
      <x:c r="G6330" t="str">
        <x:v>Office Supplies</x:v>
      </x:c>
      <x:c r="H6330" t="str">
        <x:v>Envelopes</x:v>
      </x:c>
      <x:c r="I6330" s="22" t="n">
        <x:v>210.84</x:v>
      </x:c>
      <x:c r="J6330" s="24" t="n">
        <x:v>4</x:v>
      </x:c>
      <x:c r="K6330" s="26" t="n">
        <x:v>0</x:v>
      </x:c>
      <x:c r="L6330" s="22" t="n">
        <x:v>103.3116</x:v>
      </x:c>
      <x:c r="M6330" t="n">
        <x:v>2015</x:v>
      </x:c>
      <x:c r="N6330" s="20" t="n">
        <x:v>42278</x:v>
      </x:c>
    </x:row>
    <x:row r="6331" ht="18" customHeight="1">
      <x:c r="A6331" t="str">
        <x:v>CA-2014-167927</x:v>
      </x:c>
      <x:c r="B6331" s="18" t="n">
        <x:v>41659</x:v>
      </x:c>
      <x:c r="C6331" t="str">
        <x:v>XP-21865</x:v>
      </x:c>
      <x:c r="D6331" t="str">
        <x:v>Xylona Preis</x:v>
      </x:c>
      <x:c r="E6331" t="str">
        <x:v>Consumer</x:v>
      </x:c>
      <x:c r="F6331" t="str">
        <x:v>Central</x:v>
      </x:c>
      <x:c r="G6331" t="str">
        <x:v>Office Supplies</x:v>
      </x:c>
      <x:c r="H6331" t="str">
        <x:v>Storage</x:v>
      </x:c>
      <x:c r="I6331" s="22" t="n">
        <x:v>13.98</x:v>
      </x:c>
      <x:c r="J6331" s="24" t="n">
        <x:v>1</x:v>
      </x:c>
      <x:c r="K6331" s="26" t="n">
        <x:v>0</x:v>
      </x:c>
      <x:c r="L6331" s="22" t="n">
        <x:v>4.0542</x:v>
      </x:c>
      <x:c r="M6331" t="n">
        <x:v>2014</x:v>
      </x:c>
      <x:c r="N6331" s="20" t="n">
        <x:v>41640</x:v>
      </x:c>
    </x:row>
    <x:row r="6332" ht="18" customHeight="1">
      <x:c r="A6332" t="str">
        <x:v>CA-2014-167927</x:v>
      </x:c>
      <x:c r="B6332" s="18" t="n">
        <x:v>41659</x:v>
      </x:c>
      <x:c r="C6332" t="str">
        <x:v>XP-21865</x:v>
      </x:c>
      <x:c r="D6332" t="str">
        <x:v>Xylona Preis</x:v>
      </x:c>
      <x:c r="E6332" t="str">
        <x:v>Consumer</x:v>
      </x:c>
      <x:c r="F6332" t="str">
        <x:v>Central</x:v>
      </x:c>
      <x:c r="G6332" t="str">
        <x:v>Furniture</x:v>
      </x:c>
      <x:c r="H6332" t="str">
        <x:v>Furnishings</x:v>
      </x:c>
      <x:c r="I6332" s="22" t="n">
        <x:v>272.94</x:v>
      </x:c>
      <x:c r="J6332" s="24" t="n">
        <x:v>3</x:v>
      </x:c>
      <x:c r="K6332" s="26" t="n">
        <x:v>0</x:v>
      </x:c>
      <x:c r="L6332" s="22" t="n">
        <x:v>30.02340000000001</x:v>
      </x:c>
      <x:c r="M6332" t="n">
        <x:v>2014</x:v>
      </x:c>
      <x:c r="N6332" s="20" t="n">
        <x:v>41640</x:v>
      </x:c>
    </x:row>
    <x:row r="6333" ht="18" customHeight="1">
      <x:c r="A6333" t="str">
        <x:v>CA-2014-167927</x:v>
      </x:c>
      <x:c r="B6333" s="18" t="n">
        <x:v>41659</x:v>
      </x:c>
      <x:c r="C6333" t="str">
        <x:v>XP-21865</x:v>
      </x:c>
      <x:c r="D6333" t="str">
        <x:v>Xylona Preis</x:v>
      </x:c>
      <x:c r="E6333" t="str">
        <x:v>Consumer</x:v>
      </x:c>
      <x:c r="F6333" t="str">
        <x:v>Central</x:v>
      </x:c>
      <x:c r="G6333" t="str">
        <x:v>Office Supplies</x:v>
      </x:c>
      <x:c r="H6333" t="str">
        <x:v>Binders</x:v>
      </x:c>
      <x:c r="I6333" s="22" t="n">
        <x:v>19.05</x:v>
      </x:c>
      <x:c r="J6333" s="24" t="n">
        <x:v>5</x:v>
      </x:c>
      <x:c r="K6333" s="26" t="n">
        <x:v>0</x:v>
      </x:c>
      <x:c r="L6333" s="22" t="n">
        <x:v>8.953499999999998</x:v>
      </x:c>
      <x:c r="M6333" t="n">
        <x:v>2014</x:v>
      </x:c>
      <x:c r="N6333" s="20" t="n">
        <x:v>41640</x:v>
      </x:c>
    </x:row>
    <x:row r="6334" ht="18" customHeight="1">
      <x:c r="A6334" t="str">
        <x:v>CA-2014-167927</x:v>
      </x:c>
      <x:c r="B6334" s="18" t="n">
        <x:v>41659</x:v>
      </x:c>
      <x:c r="C6334" t="str">
        <x:v>XP-21865</x:v>
      </x:c>
      <x:c r="D6334" t="str">
        <x:v>Xylona Preis</x:v>
      </x:c>
      <x:c r="E6334" t="str">
        <x:v>Consumer</x:v>
      </x:c>
      <x:c r="F6334" t="str">
        <x:v>Central</x:v>
      </x:c>
      <x:c r="G6334" t="str">
        <x:v>Office Supplies</x:v>
      </x:c>
      <x:c r="H6334" t="str">
        <x:v>Appliances</x:v>
      </x:c>
      <x:c r="I6334" s="22" t="n">
        <x:v>247.716</x:v>
      </x:c>
      <x:c r="J6334" s="24" t="n">
        <x:v>4</x:v>
      </x:c>
      <x:c r="K6334" s="26" t="n">
        <x:v>0.1</x:v>
      </x:c>
      <x:c r="L6334" s="22" t="n">
        <x:v>93.58160000000001</x:v>
      </x:c>
      <x:c r="M6334" t="n">
        <x:v>2014</x:v>
      </x:c>
      <x:c r="N6334" s="20" t="n">
        <x:v>41640</x:v>
      </x:c>
    </x:row>
    <x:row r="6335" ht="18" customHeight="1">
      <x:c r="A6335" t="str">
        <x:v>CA-2014-167927</x:v>
      </x:c>
      <x:c r="B6335" s="18" t="n">
        <x:v>41659</x:v>
      </x:c>
      <x:c r="C6335" t="str">
        <x:v>XP-21865</x:v>
      </x:c>
      <x:c r="D6335" t="str">
        <x:v>Xylona Preis</x:v>
      </x:c>
      <x:c r="E6335" t="str">
        <x:v>Consumer</x:v>
      </x:c>
      <x:c r="F6335" t="str">
        <x:v>Central</x:v>
      </x:c>
      <x:c r="G6335" t="str">
        <x:v>Office Supplies</x:v>
      </x:c>
      <x:c r="H6335" t="str">
        <x:v>Storage</x:v>
      </x:c>
      <x:c r="I6335" s="22" t="n">
        <x:v>66.58</x:v>
      </x:c>
      <x:c r="J6335" s="24" t="n">
        <x:v>2</x:v>
      </x:c>
      <x:c r="K6335" s="26" t="n">
        <x:v>0</x:v>
      </x:c>
      <x:c r="L6335" s="22" t="n">
        <x:v>15.979199999999999</x:v>
      </x:c>
      <x:c r="M6335" t="n">
        <x:v>2014</x:v>
      </x:c>
      <x:c r="N6335" s="20" t="n">
        <x:v>41640</x:v>
      </x:c>
    </x:row>
    <x:row r="6336" ht="18" customHeight="1">
      <x:c r="A6336" t="str">
        <x:v>CA-2014-167927</x:v>
      </x:c>
      <x:c r="B6336" s="18" t="n">
        <x:v>41659</x:v>
      </x:c>
      <x:c r="C6336" t="str">
        <x:v>XP-21865</x:v>
      </x:c>
      <x:c r="D6336" t="str">
        <x:v>Xylona Preis</x:v>
      </x:c>
      <x:c r="E6336" t="str">
        <x:v>Consumer</x:v>
      </x:c>
      <x:c r="F6336" t="str">
        <x:v>Central</x:v>
      </x:c>
      <x:c r="G6336" t="str">
        <x:v>Office Supplies</x:v>
      </x:c>
      <x:c r="H6336" t="str">
        <x:v>Art</x:v>
      </x:c>
      <x:c r="I6336" s="22" t="n">
        <x:v>43.92</x:v>
      </x:c>
      <x:c r="J6336" s="24" t="n">
        <x:v>3</x:v>
      </x:c>
      <x:c r="K6336" s="26" t="n">
        <x:v>0</x:v>
      </x:c>
      <x:c r="L6336" s="22" t="n">
        <x:v>12.736799999999999</x:v>
      </x:c>
      <x:c r="M6336" t="n">
        <x:v>2014</x:v>
      </x:c>
      <x:c r="N6336" s="20" t="n">
        <x:v>41640</x:v>
      </x:c>
    </x:row>
    <x:row r="6337" ht="18" customHeight="1">
      <x:c r="A6337" t="str">
        <x:v>CA-2014-167927</x:v>
      </x:c>
      <x:c r="B6337" s="18" t="n">
        <x:v>41659</x:v>
      </x:c>
      <x:c r="C6337" t="str">
        <x:v>XP-21865</x:v>
      </x:c>
      <x:c r="D6337" t="str">
        <x:v>Xylona Preis</x:v>
      </x:c>
      <x:c r="E6337" t="str">
        <x:v>Consumer</x:v>
      </x:c>
      <x:c r="F6337" t="str">
        <x:v>Central</x:v>
      </x:c>
      <x:c r="G6337" t="str">
        <x:v>Furniture</x:v>
      </x:c>
      <x:c r="H6337" t="str">
        <x:v>Furnishings</x:v>
      </x:c>
      <x:c r="I6337" s="22" t="n">
        <x:v>14.73</x:v>
      </x:c>
      <x:c r="J6337" s="24" t="n">
        <x:v>3</x:v>
      </x:c>
      <x:c r="K6337" s="26" t="n">
        <x:v>0</x:v>
      </x:c>
      <x:c r="L6337" s="22" t="n">
        <x:v>4.860899999999999</x:v>
      </x:c>
      <x:c r="M6337" t="n">
        <x:v>2014</x:v>
      </x:c>
      <x:c r="N6337" s="20" t="n">
        <x:v>41640</x:v>
      </x:c>
    </x:row>
    <x:row r="6338" ht="18" customHeight="1">
      <x:c r="A6338" t="str">
        <x:v>CA-2014-167927</x:v>
      </x:c>
      <x:c r="B6338" s="18" t="n">
        <x:v>41659</x:v>
      </x:c>
      <x:c r="C6338" t="str">
        <x:v>XP-21865</x:v>
      </x:c>
      <x:c r="D6338" t="str">
        <x:v>Xylona Preis</x:v>
      </x:c>
      <x:c r="E6338" t="str">
        <x:v>Consumer</x:v>
      </x:c>
      <x:c r="F6338" t="str">
        <x:v>Central</x:v>
      </x:c>
      <x:c r="G6338" t="str">
        <x:v>Office Supplies</x:v>
      </x:c>
      <x:c r="H6338" t="str">
        <x:v>Binders</x:v>
      </x:c>
      <x:c r="I6338" s="22" t="n">
        <x:v>29.700000000000003</x:v>
      </x:c>
      <x:c r="J6338" s="24" t="n">
        <x:v>5</x:v>
      </x:c>
      <x:c r="K6338" s="26" t="n">
        <x:v>0</x:v>
      </x:c>
      <x:c r="L6338" s="22" t="n">
        <x:v>13.365</x:v>
      </x:c>
      <x:c r="M6338" t="n">
        <x:v>2014</x:v>
      </x:c>
      <x:c r="N6338" s="20" t="n">
        <x:v>41640</x:v>
      </x:c>
    </x:row>
    <x:row r="6339" ht="18" customHeight="1">
      <x:c r="A6339" t="str">
        <x:v>CA-2014-133305</x:v>
      </x:c>
      <x:c r="B6339" s="18" t="n">
        <x:v>41831</x:v>
      </x:c>
      <x:c r="C6339" t="str">
        <x:v>MH-17455</x:v>
      </x:c>
      <x:c r="D6339" t="str">
        <x:v>Mark Hamilton</x:v>
      </x:c>
      <x:c r="E6339" t="str">
        <x:v>Consumer</x:v>
      </x:c>
      <x:c r="F6339" t="str">
        <x:v>East</x:v>
      </x:c>
      <x:c r="G6339" t="str">
        <x:v>Office Supplies</x:v>
      </x:c>
      <x:c r="H6339" t="str">
        <x:v>Paper</x:v>
      </x:c>
      <x:c r="I6339" s="22" t="n">
        <x:v>49.12</x:v>
      </x:c>
      <x:c r="J6339" s="24" t="n">
        <x:v>4</x:v>
      </x:c>
      <x:c r="K6339" s="26" t="n">
        <x:v>0</x:v>
      </x:c>
      <x:c r="L6339" s="22" t="n">
        <x:v>23.086399999999998</x:v>
      </x:c>
      <x:c r="M6339" t="n">
        <x:v>2014</x:v>
      </x:c>
      <x:c r="N6339" s="20" t="n">
        <x:v>41821</x:v>
      </x:c>
    </x:row>
    <x:row r="6340" ht="18" customHeight="1">
      <x:c r="A6340" t="str">
        <x:v>CA-2014-133305</x:v>
      </x:c>
      <x:c r="B6340" s="18" t="n">
        <x:v>41831</x:v>
      </x:c>
      <x:c r="C6340" t="str">
        <x:v>MH-17455</x:v>
      </x:c>
      <x:c r="D6340" t="str">
        <x:v>Mark Hamilton</x:v>
      </x:c>
      <x:c r="E6340" t="str">
        <x:v>Consumer</x:v>
      </x:c>
      <x:c r="F6340" t="str">
        <x:v>East</x:v>
      </x:c>
      <x:c r="G6340" t="str">
        <x:v>Office Supplies</x:v>
      </x:c>
      <x:c r="H6340" t="str">
        <x:v>Binders</x:v>
      </x:c>
      <x:c r="I6340" s="22" t="n">
        <x:v>18.28</x:v>
      </x:c>
      <x:c r="J6340" s="24" t="n">
        <x:v>5</x:v>
      </x:c>
      <x:c r="K6340" s="26" t="n">
        <x:v>0.2</x:v>
      </x:c>
      <x:c r="L6340" s="22" t="n">
        <x:v>6.398</x:v>
      </x:c>
      <x:c r="M6340" t="n">
        <x:v>2014</x:v>
      </x:c>
      <x:c r="N6340" s="20" t="n">
        <x:v>41821</x:v>
      </x:c>
    </x:row>
    <x:row r="6341" ht="18" customHeight="1">
      <x:c r="A6341" t="str">
        <x:v>CA-2016-165995</x:v>
      </x:c>
      <x:c r="B6341" s="18" t="n">
        <x:v>42612</x:v>
      </x:c>
      <x:c r="C6341" t="str">
        <x:v>BG-11740</x:v>
      </x:c>
      <x:c r="D6341" t="str">
        <x:v>Bruce Geld</x:v>
      </x:c>
      <x:c r="E6341" t="str">
        <x:v>Consumer</x:v>
      </x:c>
      <x:c r="F6341" t="str">
        <x:v>West</x:v>
      </x:c>
      <x:c r="G6341" t="str">
        <x:v>Furniture</x:v>
      </x:c>
      <x:c r="H6341" t="str">
        <x:v>Furnishings</x:v>
      </x:c>
      <x:c r="I6341" s="22" t="n">
        <x:v>47.04</x:v>
      </x:c>
      <x:c r="J6341" s="24" t="n">
        <x:v>4</x:v>
      </x:c>
      <x:c r="K6341" s="26" t="n">
        <x:v>0</x:v>
      </x:c>
      <x:c r="L6341" s="22" t="n">
        <x:v>15.993599999999997</x:v>
      </x:c>
      <x:c r="M6341" t="n">
        <x:v>2016</x:v>
      </x:c>
      <x:c r="N6341" s="20" t="n">
        <x:v>42583</x:v>
      </x:c>
    </x:row>
    <x:row r="6342" ht="18" customHeight="1">
      <x:c r="A6342" t="str">
        <x:v>CA-2016-165995</x:v>
      </x:c>
      <x:c r="B6342" s="18" t="n">
        <x:v>42612</x:v>
      </x:c>
      <x:c r="C6342" t="str">
        <x:v>BG-11740</x:v>
      </x:c>
      <x:c r="D6342" t="str">
        <x:v>Bruce Geld</x:v>
      </x:c>
      <x:c r="E6342" t="str">
        <x:v>Consumer</x:v>
      </x:c>
      <x:c r="F6342" t="str">
        <x:v>West</x:v>
      </x:c>
      <x:c r="G6342" t="str">
        <x:v>Technology</x:v>
      </x:c>
      <x:c r="H6342" t="str">
        <x:v>Phones</x:v>
      </x:c>
      <x:c r="I6342" s="22" t="n">
        <x:v>339.96000000000004</x:v>
      </x:c>
      <x:c r="J6342" s="24" t="n">
        <x:v>5</x:v>
      </x:c>
      <x:c r="K6342" s="26" t="n">
        <x:v>0.2</x:v>
      </x:c>
      <x:c r="L6342" s="22" t="n">
        <x:v>42.49499999999995</x:v>
      </x:c>
      <x:c r="M6342" t="n">
        <x:v>2016</x:v>
      </x:c>
      <x:c r="N6342" s="20" t="n">
        <x:v>42583</x:v>
      </x:c>
    </x:row>
    <x:row r="6343" ht="18" customHeight="1">
      <x:c r="A6343" t="str">
        <x:v>CA-2017-143112</x:v>
      </x:c>
      <x:c r="B6343" s="18" t="n">
        <x:v>43013</x:v>
      </x:c>
      <x:c r="C6343" t="str">
        <x:v>TS-21370</x:v>
      </x:c>
      <x:c r="D6343" t="str">
        <x:v>Todd Sumrall</x:v>
      </x:c>
      <x:c r="E6343" t="str">
        <x:v>Corporate</x:v>
      </x:c>
      <x:c r="F6343" t="str">
        <x:v>East</x:v>
      </x:c>
      <x:c r="G6343" t="str">
        <x:v>Technology</x:v>
      </x:c>
      <x:c r="H6343" t="str">
        <x:v>Phones</x:v>
      </x:c>
      <x:c r="I6343" s="22" t="n">
        <x:v>87.8</x:v>
      </x:c>
      <x:c r="J6343" s="24" t="n">
        <x:v>4</x:v>
      </x:c>
      <x:c r="K6343" s="26" t="n">
        <x:v>0</x:v>
      </x:c>
      <x:c r="L6343" s="22" t="n">
        <x:v>43.9</x:v>
      </x:c>
      <x:c r="M6343" t="n">
        <x:v>2017</x:v>
      </x:c>
      <x:c r="N6343" s="20" t="n">
        <x:v>43009</x:v>
      </x:c>
    </x:row>
    <x:row r="6344" ht="18" customHeight="1">
      <x:c r="A6344" t="str">
        <x:v>CA-2017-143112</x:v>
      </x:c>
      <x:c r="B6344" s="18" t="n">
        <x:v>43013</x:v>
      </x:c>
      <x:c r="C6344" t="str">
        <x:v>TS-21370</x:v>
      </x:c>
      <x:c r="D6344" t="str">
        <x:v>Todd Sumrall</x:v>
      </x:c>
      <x:c r="E6344" t="str">
        <x:v>Corporate</x:v>
      </x:c>
      <x:c r="F6344" t="str">
        <x:v>East</x:v>
      </x:c>
      <x:c r="G6344" t="str">
        <x:v>Furniture</x:v>
      </x:c>
      <x:c r="H6344" t="str">
        <x:v>Chairs</x:v>
      </x:c>
      <x:c r="I6344" s="22" t="n">
        <x:v>221.382</x:v>
      </x:c>
      <x:c r="J6344" s="24" t="n">
        <x:v>2</x:v>
      </x:c>
      <x:c r="K6344" s="26" t="n">
        <x:v>0.1</x:v>
      </x:c>
      <x:c r="L6344" s="22" t="n">
        <x:v>2.459799999999987</x:v>
      </x:c>
      <x:c r="M6344" t="n">
        <x:v>2017</x:v>
      </x:c>
      <x:c r="N6344" s="20" t="n">
        <x:v>43009</x:v>
      </x:c>
    </x:row>
    <x:row r="6345" ht="18" customHeight="1">
      <x:c r="A6345" t="str">
        <x:v>CA-2017-143112</x:v>
      </x:c>
      <x:c r="B6345" s="18" t="n">
        <x:v>43013</x:v>
      </x:c>
      <x:c r="C6345" t="str">
        <x:v>TS-21370</x:v>
      </x:c>
      <x:c r="D6345" t="str">
        <x:v>Todd Sumrall</x:v>
      </x:c>
      <x:c r="E6345" t="str">
        <x:v>Corporate</x:v>
      </x:c>
      <x:c r="F6345" t="str">
        <x:v>East</x:v>
      </x:c>
      <x:c r="G6345" t="str">
        <x:v>Technology</x:v>
      </x:c>
      <x:c r="H6345" t="str">
        <x:v>Machines</x:v>
      </x:c>
      <x:c r="I6345" s="22" t="n">
        <x:v>5199.96</x:v>
      </x:c>
      <x:c r="J6345" s="24" t="n">
        <x:v>4</x:v>
      </x:c>
      <x:c r="K6345" s="26" t="n">
        <x:v>0</x:v>
      </x:c>
      <x:c r="L6345" s="22" t="n">
        <x:v>1351.9895999999999</x:v>
      </x:c>
      <x:c r="M6345" t="n">
        <x:v>2017</x:v>
      </x:c>
      <x:c r="N6345" s="20" t="n">
        <x:v>43009</x:v>
      </x:c>
    </x:row>
    <x:row r="6346" ht="18" customHeight="1">
      <x:c r="A6346" t="str">
        <x:v>US-2017-105830</x:v>
      </x:c>
      <x:c r="B6346" s="18" t="n">
        <x:v>42735</x:v>
      </x:c>
      <x:c r="C6346" t="str">
        <x:v>DB-13660</x:v>
      </x:c>
      <x:c r="D6346" t="str">
        <x:v>Duane Benoit</x:v>
      </x:c>
      <x:c r="E6346" t="str">
        <x:v>Consumer</x:v>
      </x:c>
      <x:c r="F6346" t="str">
        <x:v>East</x:v>
      </x:c>
      <x:c r="G6346" t="str">
        <x:v>Office Supplies</x:v>
      </x:c>
      <x:c r="H6346" t="str">
        <x:v>Storage</x:v>
      </x:c>
      <x:c r="I6346" s="22" t="n">
        <x:v>156.512</x:v>
      </x:c>
      <x:c r="J6346" s="24" t="n">
        <x:v>4</x:v>
      </x:c>
      <x:c r="K6346" s="26" t="n">
        <x:v>0.2</x:v>
      </x:c>
      <x:c r="L6346" s="22" t="n">
        <x:v>-35.215199999999996</x:v>
      </x:c>
      <x:c r="M6346" t="n">
        <x:v>2016</x:v>
      </x:c>
      <x:c r="N6346" s="20" t="n">
        <x:v>42705</x:v>
      </x:c>
    </x:row>
    <x:row r="6347" ht="18" customHeight="1">
      <x:c r="A6347" t="str">
        <x:v>CA-2015-146255</x:v>
      </x:c>
      <x:c r="B6347" s="18" t="n">
        <x:v>42070</x:v>
      </x:c>
      <x:c r="C6347" t="str">
        <x:v>EM-14140</x:v>
      </x:c>
      <x:c r="D6347" t="str">
        <x:v>Eugene Moren</x:v>
      </x:c>
      <x:c r="E6347" t="str">
        <x:v>Home Office</x:v>
      </x:c>
      <x:c r="F6347" t="str">
        <x:v>East</x:v>
      </x:c>
      <x:c r="G6347" t="str">
        <x:v>Technology</x:v>
      </x:c>
      <x:c r="H6347" t="str">
        <x:v>Accessories</x:v>
      </x:c>
      <x:c r="I6347" s="22" t="n">
        <x:v>119.85000000000001</x:v>
      </x:c>
      <x:c r="J6347" s="24" t="n">
        <x:v>3</x:v>
      </x:c>
      <x:c r="K6347" s="26" t="n">
        <x:v>0</x:v>
      </x:c>
      <x:c r="L6347" s="22" t="n">
        <x:v>52.73400000000001</x:v>
      </x:c>
      <x:c r="M6347" t="n">
        <x:v>2015</x:v>
      </x:c>
      <x:c r="N6347" s="20" t="n">
        <x:v>42064</x:v>
      </x:c>
    </x:row>
    <x:row r="6348" ht="18" customHeight="1">
      <x:c r="A6348" t="str">
        <x:v>CA-2015-146255</x:v>
      </x:c>
      <x:c r="B6348" s="18" t="n">
        <x:v>42070</x:v>
      </x:c>
      <x:c r="C6348" t="str">
        <x:v>EM-14140</x:v>
      </x:c>
      <x:c r="D6348" t="str">
        <x:v>Eugene Moren</x:v>
      </x:c>
      <x:c r="E6348" t="str">
        <x:v>Home Office</x:v>
      </x:c>
      <x:c r="F6348" t="str">
        <x:v>East</x:v>
      </x:c>
      <x:c r="G6348" t="str">
        <x:v>Office Supplies</x:v>
      </x:c>
      <x:c r="H6348" t="str">
        <x:v>Binders</x:v>
      </x:c>
      <x:c r="I6348" s="22" t="n">
        <x:v>30.44</x:v>
      </x:c>
      <x:c r="J6348" s="24" t="n">
        <x:v>2</x:v>
      </x:c>
      <x:c r="K6348" s="26" t="n">
        <x:v>0</x:v>
      </x:c>
      <x:c r="L6348" s="22" t="n">
        <x:v>14.9156</x:v>
      </x:c>
      <x:c r="M6348" t="n">
        <x:v>2015</x:v>
      </x:c>
      <x:c r="N6348" s="20" t="n">
        <x:v>42064</x:v>
      </x:c>
    </x:row>
    <x:row r="6349" ht="18" customHeight="1">
      <x:c r="A6349" t="str">
        <x:v>CA-2015-146255</x:v>
      </x:c>
      <x:c r="B6349" s="18" t="n">
        <x:v>42070</x:v>
      </x:c>
      <x:c r="C6349" t="str">
        <x:v>EM-14140</x:v>
      </x:c>
      <x:c r="D6349" t="str">
        <x:v>Eugene Moren</x:v>
      </x:c>
      <x:c r="E6349" t="str">
        <x:v>Home Office</x:v>
      </x:c>
      <x:c r="F6349" t="str">
        <x:v>East</x:v>
      </x:c>
      <x:c r="G6349" t="str">
        <x:v>Office Supplies</x:v>
      </x:c>
      <x:c r="H6349" t="str">
        <x:v>Binders</x:v>
      </x:c>
      <x:c r="I6349" s="22" t="n">
        <x:v>69.28</x:v>
      </x:c>
      <x:c r="J6349" s="24" t="n">
        <x:v>2</x:v>
      </x:c>
      <x:c r="K6349" s="26" t="n">
        <x:v>0</x:v>
      </x:c>
      <x:c r="L6349" s="22" t="n">
        <x:v>33.2544</x:v>
      </x:c>
      <x:c r="M6349" t="n">
        <x:v>2015</x:v>
      </x:c>
      <x:c r="N6349" s="20" t="n">
        <x:v>42064</x:v>
      </x:c>
    </x:row>
    <x:row r="6350" ht="18" customHeight="1">
      <x:c r="A6350" t="str">
        <x:v>CA-2015-146255</x:v>
      </x:c>
      <x:c r="B6350" s="18" t="n">
        <x:v>42070</x:v>
      </x:c>
      <x:c r="C6350" t="str">
        <x:v>EM-14140</x:v>
      </x:c>
      <x:c r="D6350" t="str">
        <x:v>Eugene Moren</x:v>
      </x:c>
      <x:c r="E6350" t="str">
        <x:v>Home Office</x:v>
      </x:c>
      <x:c r="F6350" t="str">
        <x:v>East</x:v>
      </x:c>
      <x:c r="G6350" t="str">
        <x:v>Technology</x:v>
      </x:c>
      <x:c r="H6350" t="str">
        <x:v>Phones</x:v>
      </x:c>
      <x:c r="I6350" s="22" t="n">
        <x:v>587.97</x:v>
      </x:c>
      <x:c r="J6350" s="24" t="n">
        <x:v>3</x:v>
      </x:c>
      <x:c r="K6350" s="26" t="n">
        <x:v>0</x:v>
      </x:c>
      <x:c r="L6350" s="22" t="n">
        <x:v>170.51129999999998</x:v>
      </x:c>
      <x:c r="M6350" t="n">
        <x:v>2015</x:v>
      </x:c>
      <x:c r="N6350" s="20" t="n">
        <x:v>42064</x:v>
      </x:c>
    </x:row>
    <x:row r="6351" ht="18" customHeight="1">
      <x:c r="A6351" t="str">
        <x:v>CA-2017-104822</x:v>
      </x:c>
      <x:c r="B6351" s="18" t="n">
        <x:v>43028</x:v>
      </x:c>
      <x:c r="C6351" t="str">
        <x:v>RB-19465</x:v>
      </x:c>
      <x:c r="D6351" t="str">
        <x:v>Rick Bensley</x:v>
      </x:c>
      <x:c r="E6351" t="str">
        <x:v>Home Office</x:v>
      </x:c>
      <x:c r="F6351" t="str">
        <x:v>East</x:v>
      </x:c>
      <x:c r="G6351" t="str">
        <x:v>Office Supplies</x:v>
      </x:c>
      <x:c r="H6351" t="str">
        <x:v>Labels</x:v>
      </x:c>
      <x:c r="I6351" s="22" t="n">
        <x:v>24.55</x:v>
      </x:c>
      <x:c r="J6351" s="24" t="n">
        <x:v>5</x:v>
      </x:c>
      <x:c r="K6351" s="26" t="n">
        <x:v>0</x:v>
      </x:c>
      <x:c r="L6351" s="22" t="n">
        <x:v>12.029499999999999</x:v>
      </x:c>
      <x:c r="M6351" t="n">
        <x:v>2017</x:v>
      </x:c>
      <x:c r="N6351" s="20" t="n">
        <x:v>43009</x:v>
      </x:c>
    </x:row>
    <x:row r="6352" ht="18" customHeight="1">
      <x:c r="A6352" t="str">
        <x:v>CA-2015-104486</x:v>
      </x:c>
      <x:c r="B6352" s="18" t="n">
        <x:v>42125</x:v>
      </x:c>
      <x:c r="C6352" t="str">
        <x:v>PO-18850</x:v>
      </x:c>
      <x:c r="D6352" t="str">
        <x:v>Patrick O'Brill</x:v>
      </x:c>
      <x:c r="E6352" t="str">
        <x:v>Consumer</x:v>
      </x:c>
      <x:c r="F6352" t="str">
        <x:v>West</x:v>
      </x:c>
      <x:c r="G6352" t="str">
        <x:v>Office Supplies</x:v>
      </x:c>
      <x:c r="H6352" t="str">
        <x:v>Binders</x:v>
      </x:c>
      <x:c r="I6352" s="22" t="n">
        <x:v>12.176000000000002</x:v>
      </x:c>
      <x:c r="J6352" s="24" t="n">
        <x:v>1</x:v>
      </x:c>
      <x:c r="K6352" s="26" t="n">
        <x:v>0.2</x:v>
      </x:c>
      <x:c r="L6352" s="22" t="n">
        <x:v>4.413799999999999</x:v>
      </x:c>
      <x:c r="M6352" t="n">
        <x:v>2015</x:v>
      </x:c>
      <x:c r="N6352" s="20" t="n">
        <x:v>42125</x:v>
      </x:c>
    </x:row>
    <x:row r="6353" ht="18" customHeight="1">
      <x:c r="A6353" t="str">
        <x:v>CA-2015-104486</x:v>
      </x:c>
      <x:c r="B6353" s="18" t="n">
        <x:v>42125</x:v>
      </x:c>
      <x:c r="C6353" t="str">
        <x:v>PO-18850</x:v>
      </x:c>
      <x:c r="D6353" t="str">
        <x:v>Patrick O'Brill</x:v>
      </x:c>
      <x:c r="E6353" t="str">
        <x:v>Consumer</x:v>
      </x:c>
      <x:c r="F6353" t="str">
        <x:v>West</x:v>
      </x:c>
      <x:c r="G6353" t="str">
        <x:v>Office Supplies</x:v>
      </x:c>
      <x:c r="H6353" t="str">
        <x:v>Storage</x:v>
      </x:c>
      <x:c r="I6353" s="22" t="n">
        <x:v>37.32</x:v>
      </x:c>
      <x:c r="J6353" s="24" t="n">
        <x:v>3</x:v>
      </x:c>
      <x:c r="K6353" s="26" t="n">
        <x:v>0</x:v>
      </x:c>
      <x:c r="L6353" s="22" t="n">
        <x:v>10.4496</x:v>
      </x:c>
      <x:c r="M6353" t="n">
        <x:v>2015</x:v>
      </x:c>
      <x:c r="N6353" s="20" t="n">
        <x:v>42125</x:v>
      </x:c>
    </x:row>
    <x:row r="6354" ht="18" customHeight="1">
      <x:c r="A6354" t="str">
        <x:v>CA-2015-104486</x:v>
      </x:c>
      <x:c r="B6354" s="18" t="n">
        <x:v>42125</x:v>
      </x:c>
      <x:c r="C6354" t="str">
        <x:v>PO-18850</x:v>
      </x:c>
      <x:c r="D6354" t="str">
        <x:v>Patrick O'Brill</x:v>
      </x:c>
      <x:c r="E6354" t="str">
        <x:v>Consumer</x:v>
      </x:c>
      <x:c r="F6354" t="str">
        <x:v>West</x:v>
      </x:c>
      <x:c r="G6354" t="str">
        <x:v>Office Supplies</x:v>
      </x:c>
      <x:c r="H6354" t="str">
        <x:v>Supplies</x:v>
      </x:c>
      <x:c r="I6354" s="22" t="n">
        <x:v>35.06</x:v>
      </x:c>
      <x:c r="J6354" s="24" t="n">
        <x:v>2</x:v>
      </x:c>
      <x:c r="K6354" s="26" t="n">
        <x:v>0</x:v>
      </x:c>
      <x:c r="L6354" s="22" t="n">
        <x:v>10.517999999999997</x:v>
      </x:c>
      <x:c r="M6354" t="n">
        <x:v>2015</x:v>
      </x:c>
      <x:c r="N6354" s="20" t="n">
        <x:v>42125</x:v>
      </x:c>
    </x:row>
    <x:row r="6355" ht="18" customHeight="1">
      <x:c r="A6355" t="str">
        <x:v>CA-2017-161557</x:v>
      </x:c>
      <x:c r="B6355" s="18" t="n">
        <x:v>42981</x:v>
      </x:c>
      <x:c r="C6355" t="str">
        <x:v>AG-10900</x:v>
      </x:c>
      <x:c r="D6355" t="str">
        <x:v>Arthur Gainer</x:v>
      </x:c>
      <x:c r="E6355" t="str">
        <x:v>Consumer</x:v>
      </x:c>
      <x:c r="F6355" t="str">
        <x:v>Central</x:v>
      </x:c>
      <x:c r="G6355" t="str">
        <x:v>Furniture</x:v>
      </x:c>
      <x:c r="H6355" t="str">
        <x:v>Furnishings</x:v>
      </x:c>
      <x:c r="I6355" s="22" t="n">
        <x:v>108.40000000000002</x:v>
      </x:c>
      <x:c r="J6355" s="24" t="n">
        <x:v>5</x:v>
      </x:c>
      <x:c r="K6355" s="26" t="n">
        <x:v>0.6</x:v>
      </x:c>
      <x:c r="L6355" s="22" t="n">
        <x:v>-105.69000000000003</x:v>
      </x:c>
      <x:c r="M6355" t="n">
        <x:v>2017</x:v>
      </x:c>
      <x:c r="N6355" s="20" t="n">
        <x:v>42979</x:v>
      </x:c>
    </x:row>
    <x:row r="6356" ht="18" customHeight="1">
      <x:c r="A6356" t="str">
        <x:v>CA-2017-161130</x:v>
      </x:c>
      <x:c r="B6356" s="18" t="n">
        <x:v>43042</x:v>
      </x:c>
      <x:c r="C6356" t="str">
        <x:v>BF-11275</x:v>
      </x:c>
      <x:c r="D6356" t="str">
        <x:v>Beth Fritzler</x:v>
      </x:c>
      <x:c r="E6356" t="str">
        <x:v>Corporate</x:v>
      </x:c>
      <x:c r="F6356" t="str">
        <x:v>South</x:v>
      </x:c>
      <x:c r="G6356" t="str">
        <x:v>Technology</x:v>
      </x:c>
      <x:c r="H6356" t="str">
        <x:v>Phones</x:v>
      </x:c>
      <x:c r="I6356" s="22" t="n">
        <x:v>361.37600000000003</x:v>
      </x:c>
      <x:c r="J6356" s="24" t="n">
        <x:v>2</x:v>
      </x:c>
      <x:c r="K6356" s="26" t="n">
        <x:v>0.2</x:v>
      </x:c>
      <x:c r="L6356" s="22" t="n">
        <x:v>27.1032</x:v>
      </x:c>
      <x:c r="M6356" t="n">
        <x:v>2017</x:v>
      </x:c>
      <x:c r="N6356" s="20" t="n">
        <x:v>43040</x:v>
      </x:c>
    </x:row>
    <x:row r="6357" ht="18" customHeight="1">
      <x:c r="A6357" t="str">
        <x:v>US-2015-161347</x:v>
      </x:c>
      <x:c r="B6357" s="18" t="n">
        <x:v>42260</x:v>
      </x:c>
      <x:c r="C6357" t="str">
        <x:v>HG-14845</x:v>
      </x:c>
      <x:c r="D6357" t="str">
        <x:v>Harry Greene</x:v>
      </x:c>
      <x:c r="E6357" t="str">
        <x:v>Consumer</x:v>
      </x:c>
      <x:c r="F6357" t="str">
        <x:v>East</x:v>
      </x:c>
      <x:c r="G6357" t="str">
        <x:v>Office Supplies</x:v>
      </x:c>
      <x:c r="H6357" t="str">
        <x:v>Binders</x:v>
      </x:c>
      <x:c r="I6357" s="22" t="n">
        <x:v>2.412</x:v>
      </x:c>
      <x:c r="J6357" s="24" t="n">
        <x:v>1</x:v>
      </x:c>
      <x:c r="K6357" s="26" t="n">
        <x:v>0.7</x:v>
      </x:c>
      <x:c r="L6357" s="22" t="n">
        <x:v>-2.01</x:v>
      </x:c>
      <x:c r="M6357" t="n">
        <x:v>2015</x:v>
      </x:c>
      <x:c r="N6357" s="20" t="n">
        <x:v>42248</x:v>
      </x:c>
    </x:row>
    <x:row r="6358" ht="18" customHeight="1">
      <x:c r="A6358" t="str">
        <x:v>US-2015-109015</x:v>
      </x:c>
      <x:c r="B6358" s="18" t="n">
        <x:v>42253</x:v>
      </x:c>
      <x:c r="C6358" t="str">
        <x:v>BS-11590</x:v>
      </x:c>
      <x:c r="D6358" t="str">
        <x:v>Brendan Sweed</x:v>
      </x:c>
      <x:c r="E6358" t="str">
        <x:v>Corporate</x:v>
      </x:c>
      <x:c r="F6358" t="str">
        <x:v>East</x:v>
      </x:c>
      <x:c r="G6358" t="str">
        <x:v>Office Supplies</x:v>
      </x:c>
      <x:c r="H6358" t="str">
        <x:v>Appliances</x:v>
      </x:c>
      <x:c r="I6358" s="22" t="n">
        <x:v>8.39</x:v>
      </x:c>
      <x:c r="J6358" s="24" t="n">
        <x:v>1</x:v>
      </x:c>
      <x:c r="K6358" s="26" t="n">
        <x:v>0</x:v>
      </x:c>
      <x:c r="L6358" s="22" t="n">
        <x:v>2.0975</x:v>
      </x:c>
      <x:c r="M6358" t="n">
        <x:v>2015</x:v>
      </x:c>
      <x:c r="N6358" s="20" t="n">
        <x:v>42248</x:v>
      </x:c>
    </x:row>
    <x:row r="6359" ht="18" customHeight="1">
      <x:c r="A6359" t="str">
        <x:v>US-2015-109015</x:v>
      </x:c>
      <x:c r="B6359" s="18" t="n">
        <x:v>42253</x:v>
      </x:c>
      <x:c r="C6359" t="str">
        <x:v>BS-11590</x:v>
      </x:c>
      <x:c r="D6359" t="str">
        <x:v>Brendan Sweed</x:v>
      </x:c>
      <x:c r="E6359" t="str">
        <x:v>Corporate</x:v>
      </x:c>
      <x:c r="F6359" t="str">
        <x:v>East</x:v>
      </x:c>
      <x:c r="G6359" t="str">
        <x:v>Technology</x:v>
      </x:c>
      <x:c r="H6359" t="str">
        <x:v>Phones</x:v>
      </x:c>
      <x:c r="I6359" s="22" t="n">
        <x:v>337.98</x:v>
      </x:c>
      <x:c r="J6359" s="24" t="n">
        <x:v>2</x:v>
      </x:c>
      <x:c r="K6359" s="26" t="n">
        <x:v>0</x:v>
      </x:c>
      <x:c r="L6359" s="22" t="n">
        <x:v>101.39399999999998</x:v>
      </x:c>
      <x:c r="M6359" t="n">
        <x:v>2015</x:v>
      </x:c>
      <x:c r="N6359" s="20" t="n">
        <x:v>42248</x:v>
      </x:c>
    </x:row>
    <x:row r="6360" ht="18" customHeight="1">
      <x:c r="A6360" t="str">
        <x:v>CA-2014-110611</x:v>
      </x:c>
      <x:c r="B6360" s="18" t="n">
        <x:v>41918</x:v>
      </x:c>
      <x:c r="C6360" t="str">
        <x:v>JD-16015</x:v>
      </x:c>
      <x:c r="D6360" t="str">
        <x:v>Joy Daniels</x:v>
      </x:c>
      <x:c r="E6360" t="str">
        <x:v>Consumer</x:v>
      </x:c>
      <x:c r="F6360" t="str">
        <x:v>East</x:v>
      </x:c>
      <x:c r="G6360" t="str">
        <x:v>Office Supplies</x:v>
      </x:c>
      <x:c r="H6360" t="str">
        <x:v>Storage</x:v>
      </x:c>
      <x:c r="I6360" s="22" t="n">
        <x:v>83.92000000000002</x:v>
      </x:c>
      <x:c r="J6360" s="24" t="n">
        <x:v>5</x:v>
      </x:c>
      <x:c r="K6360" s="26" t="n">
        <x:v>0.2</x:v>
      </x:c>
      <x:c r="L6360" s="22" t="n">
        <x:v>-13.637000000000011</x:v>
      </x:c>
      <x:c r="M6360" t="n">
        <x:v>2014</x:v>
      </x:c>
      <x:c r="N6360" s="20" t="n">
        <x:v>41913</x:v>
      </x:c>
    </x:row>
    <x:row r="6361" ht="18" customHeight="1">
      <x:c r="A6361" t="str">
        <x:v>CA-2017-139080</x:v>
      </x:c>
      <x:c r="B6361" s="18" t="n">
        <x:v>42758</x:v>
      </x:c>
      <x:c r="C6361" t="str">
        <x:v>CS-12250</x:v>
      </x:c>
      <x:c r="D6361" t="str">
        <x:v>Chris Selesnick</x:v>
      </x:c>
      <x:c r="E6361" t="str">
        <x:v>Corporate</x:v>
      </x:c>
      <x:c r="F6361" t="str">
        <x:v>West</x:v>
      </x:c>
      <x:c r="G6361" t="str">
        <x:v>Office Supplies</x:v>
      </x:c>
      <x:c r="H6361" t="str">
        <x:v>Binders</x:v>
      </x:c>
      <x:c r="I6361" s="22" t="n">
        <x:v>19.68</x:v>
      </x:c>
      <x:c r="J6361" s="24" t="n">
        <x:v>5</x:v>
      </x:c>
      <x:c r="K6361" s="26" t="n">
        <x:v>0.2</x:v>
      </x:c>
      <x:c r="L6361" s="22" t="n">
        <x:v>6.887999999999998</x:v>
      </x:c>
      <x:c r="M6361" t="n">
        <x:v>2017</x:v>
      </x:c>
      <x:c r="N6361" s="20" t="n">
        <x:v>42736</x:v>
      </x:c>
    </x:row>
    <x:row r="6362" ht="18" customHeight="1">
      <x:c r="A6362" t="str">
        <x:v>CA-2017-139080</x:v>
      </x:c>
      <x:c r="B6362" s="18" t="n">
        <x:v>42758</x:v>
      </x:c>
      <x:c r="C6362" t="str">
        <x:v>CS-12250</x:v>
      </x:c>
      <x:c r="D6362" t="str">
        <x:v>Chris Selesnick</x:v>
      </x:c>
      <x:c r="E6362" t="str">
        <x:v>Corporate</x:v>
      </x:c>
      <x:c r="F6362" t="str">
        <x:v>West</x:v>
      </x:c>
      <x:c r="G6362" t="str">
        <x:v>Office Supplies</x:v>
      </x:c>
      <x:c r="H6362" t="str">
        <x:v>Paper</x:v>
      </x:c>
      <x:c r="I6362" s="22" t="n">
        <x:v>25.92</x:v>
      </x:c>
      <x:c r="J6362" s="24" t="n">
        <x:v>4</x:v>
      </x:c>
      <x:c r="K6362" s="26" t="n">
        <x:v>0</x:v>
      </x:c>
      <x:c r="L6362" s="22" t="n">
        <x:v>12.441600000000001</x:v>
      </x:c>
      <x:c r="M6362" t="n">
        <x:v>2017</x:v>
      </x:c>
      <x:c r="N6362" s="20" t="n">
        <x:v>42736</x:v>
      </x:c>
    </x:row>
    <x:row r="6363" ht="18" customHeight="1">
      <x:c r="A6363" t="str">
        <x:v>CA-2017-139080</x:v>
      </x:c>
      <x:c r="B6363" s="18" t="n">
        <x:v>42758</x:v>
      </x:c>
      <x:c r="C6363" t="str">
        <x:v>CS-12250</x:v>
      </x:c>
      <x:c r="D6363" t="str">
        <x:v>Chris Selesnick</x:v>
      </x:c>
      <x:c r="E6363" t="str">
        <x:v>Corporate</x:v>
      </x:c>
      <x:c r="F6363" t="str">
        <x:v>West</x:v>
      </x:c>
      <x:c r="G6363" t="str">
        <x:v>Office Supplies</x:v>
      </x:c>
      <x:c r="H6363" t="str">
        <x:v>Paper</x:v>
      </x:c>
      <x:c r="I6363" s="22" t="n">
        <x:v>6.48</x:v>
      </x:c>
      <x:c r="J6363" s="24" t="n">
        <x:v>1</x:v>
      </x:c>
      <x:c r="K6363" s="26" t="n">
        <x:v>0</x:v>
      </x:c>
      <x:c r="L6363" s="22" t="n">
        <x:v>3.1104000000000003</x:v>
      </x:c>
      <x:c r="M6363" t="n">
        <x:v>2017</x:v>
      </x:c>
      <x:c r="N6363" s="20" t="n">
        <x:v>42736</x:v>
      </x:c>
    </x:row>
    <x:row r="6364" ht="18" customHeight="1">
      <x:c r="A6364" t="str">
        <x:v>CA-2017-139080</x:v>
      </x:c>
      <x:c r="B6364" s="18" t="n">
        <x:v>42758</x:v>
      </x:c>
      <x:c r="C6364" t="str">
        <x:v>CS-12250</x:v>
      </x:c>
      <x:c r="D6364" t="str">
        <x:v>Chris Selesnick</x:v>
      </x:c>
      <x:c r="E6364" t="str">
        <x:v>Corporate</x:v>
      </x:c>
      <x:c r="F6364" t="str">
        <x:v>West</x:v>
      </x:c>
      <x:c r="G6364" t="str">
        <x:v>Technology</x:v>
      </x:c>
      <x:c r="H6364" t="str">
        <x:v>Phones</x:v>
      </x:c>
      <x:c r="I6364" s="22" t="n">
        <x:v>86.352</x:v>
      </x:c>
      <x:c r="J6364" s="24" t="n">
        <x:v>6</x:v>
      </x:c>
      <x:c r="K6364" s="26" t="n">
        <x:v>0.2</x:v>
      </x:c>
      <x:c r="L6364" s="22" t="n">
        <x:v>8.635200000000001</x:v>
      </x:c>
      <x:c r="M6364" t="n">
        <x:v>2017</x:v>
      </x:c>
      <x:c r="N6364" s="20" t="n">
        <x:v>42736</x:v>
      </x:c>
    </x:row>
    <x:row r="6365" ht="18" customHeight="1">
      <x:c r="A6365" t="str">
        <x:v>CA-2015-115693</x:v>
      </x:c>
      <x:c r="B6365" s="18" t="n">
        <x:v>42348</x:v>
      </x:c>
      <x:c r="C6365" t="str">
        <x:v>FC-14245</x:v>
      </x:c>
      <x:c r="D6365" t="str">
        <x:v>Frank Carlisle</x:v>
      </x:c>
      <x:c r="E6365" t="str">
        <x:v>Home Office</x:v>
      </x:c>
      <x:c r="F6365" t="str">
        <x:v>West</x:v>
      </x:c>
      <x:c r="G6365" t="str">
        <x:v>Office Supplies</x:v>
      </x:c>
      <x:c r="H6365" t="str">
        <x:v>Art</x:v>
      </x:c>
      <x:c r="I6365" s="22" t="n">
        <x:v>56.3</x:v>
      </x:c>
      <x:c r="J6365" s="24" t="n">
        <x:v>2</x:v>
      </x:c>
      <x:c r="K6365" s="26" t="n">
        <x:v>0</x:v>
      </x:c>
      <x:c r="L6365" s="22" t="n">
        <x:v>15.764000000000003</x:v>
      </x:c>
      <x:c r="M6365" t="n">
        <x:v>2015</x:v>
      </x:c>
      <x:c r="N6365" s="20" t="n">
        <x:v>42339</x:v>
      </x:c>
    </x:row>
    <x:row r="6366" ht="18" customHeight="1">
      <x:c r="A6366" t="str">
        <x:v>US-2014-107993</x:v>
      </x:c>
      <x:c r="B6366" s="18" t="n">
        <x:v>41968</x:v>
      </x:c>
      <x:c r="C6366" t="str">
        <x:v>SE-20110</x:v>
      </x:c>
      <x:c r="D6366" t="str">
        <x:v>Sanjit Engle</x:v>
      </x:c>
      <x:c r="E6366" t="str">
        <x:v>Consumer</x:v>
      </x:c>
      <x:c r="F6366" t="str">
        <x:v>West</x:v>
      </x:c>
      <x:c r="G6366" t="str">
        <x:v>Office Supplies</x:v>
      </x:c>
      <x:c r="H6366" t="str">
        <x:v>Art</x:v>
      </x:c>
      <x:c r="I6366" s="22" t="n">
        <x:v>51.016000000000005</x:v>
      </x:c>
      <x:c r="J6366" s="24" t="n">
        <x:v>7</x:v>
      </x:c>
      <x:c r="K6366" s="26" t="n">
        <x:v>0.2</x:v>
      </x:c>
      <x:c r="L6366" s="22" t="n">
        <x:v>8.290099999999995</x:v>
      </x:c>
      <x:c r="M6366" t="n">
        <x:v>2014</x:v>
      </x:c>
      <x:c r="N6366" s="20" t="n">
        <x:v>41944</x:v>
      </x:c>
    </x:row>
    <x:row r="6367" ht="18" customHeight="1">
      <x:c r="A6367" t="str">
        <x:v>CA-2017-110443</x:v>
      </x:c>
      <x:c r="B6367" s="18" t="n">
        <x:v>43060</x:v>
      </x:c>
      <x:c r="C6367" t="str">
        <x:v>CK-12205</x:v>
      </x:c>
      <x:c r="D6367" t="str">
        <x:v>Chloris Kastensmidt</x:v>
      </x:c>
      <x:c r="E6367" t="str">
        <x:v>Consumer</x:v>
      </x:c>
      <x:c r="F6367" t="str">
        <x:v>West</x:v>
      </x:c>
      <x:c r="G6367" t="str">
        <x:v>Office Supplies</x:v>
      </x:c>
      <x:c r="H6367" t="str">
        <x:v>Binders</x:v>
      </x:c>
      <x:c r="I6367" s="22" t="n">
        <x:v>150.8</x:v>
      </x:c>
      <x:c r="J6367" s="24" t="n">
        <x:v>5</x:v>
      </x:c>
      <x:c r="K6367" s="26" t="n">
        <x:v>0.2</x:v>
      </x:c>
      <x:c r="L6367" s="22" t="n">
        <x:v>56.55</x:v>
      </x:c>
      <x:c r="M6367" t="n">
        <x:v>2017</x:v>
      </x:c>
      <x:c r="N6367" s="20" t="n">
        <x:v>43040</x:v>
      </x:c>
    </x:row>
    <x:row r="6368" ht="18" customHeight="1">
      <x:c r="A6368" t="str">
        <x:v>CA-2017-110443</x:v>
      </x:c>
      <x:c r="B6368" s="18" t="n">
        <x:v>43060</x:v>
      </x:c>
      <x:c r="C6368" t="str">
        <x:v>CK-12205</x:v>
      </x:c>
      <x:c r="D6368" t="str">
        <x:v>Chloris Kastensmidt</x:v>
      </x:c>
      <x:c r="E6368" t="str">
        <x:v>Consumer</x:v>
      </x:c>
      <x:c r="F6368" t="str">
        <x:v>West</x:v>
      </x:c>
      <x:c r="G6368" t="str">
        <x:v>Technology</x:v>
      </x:c>
      <x:c r="H6368" t="str">
        <x:v>Machines</x:v>
      </x:c>
      <x:c r="I6368" s="22" t="n">
        <x:v>1039.992</x:v>
      </x:c>
      <x:c r="J6368" s="24" t="n">
        <x:v>1</x:v>
      </x:c>
      <x:c r="K6368" s="26" t="n">
        <x:v>0.2</x:v>
      </x:c>
      <x:c r="L6368" s="22" t="n">
        <x:v>103.99920000000003</x:v>
      </x:c>
      <x:c r="M6368" t="n">
        <x:v>2017</x:v>
      </x:c>
      <x:c r="N6368" s="20" t="n">
        <x:v>43040</x:v>
      </x:c>
    </x:row>
    <x:row r="6369" ht="18" customHeight="1">
      <x:c r="A6369" t="str">
        <x:v>CA-2017-110443</x:v>
      </x:c>
      <x:c r="B6369" s="18" t="n">
        <x:v>43060</x:v>
      </x:c>
      <x:c r="C6369" t="str">
        <x:v>CK-12205</x:v>
      </x:c>
      <x:c r="D6369" t="str">
        <x:v>Chloris Kastensmidt</x:v>
      </x:c>
      <x:c r="E6369" t="str">
        <x:v>Consumer</x:v>
      </x:c>
      <x:c r="F6369" t="str">
        <x:v>West</x:v>
      </x:c>
      <x:c r="G6369" t="str">
        <x:v>Office Supplies</x:v>
      </x:c>
      <x:c r="H6369" t="str">
        <x:v>Paper</x:v>
      </x:c>
      <x:c r="I6369" s="22" t="n">
        <x:v>51.84</x:v>
      </x:c>
      <x:c r="J6369" s="24" t="n">
        <x:v>8</x:v>
      </x:c>
      <x:c r="K6369" s="26" t="n">
        <x:v>0</x:v>
      </x:c>
      <x:c r="L6369" s="22" t="n">
        <x:v>24.883200000000002</x:v>
      </x:c>
      <x:c r="M6369" t="n">
        <x:v>2017</x:v>
      </x:c>
      <x:c r="N6369" s="20" t="n">
        <x:v>43040</x:v>
      </x:c>
    </x:row>
    <x:row r="6370" ht="18" customHeight="1">
      <x:c r="A6370" t="str">
        <x:v>CA-2017-144848</x:v>
      </x:c>
      <x:c r="B6370" s="18" t="n">
        <x:v>42829</x:v>
      </x:c>
      <x:c r="C6370" t="str">
        <x:v>DS-13030</x:v>
      </x:c>
      <x:c r="D6370" t="str">
        <x:v>Darrin Sayre</x:v>
      </x:c>
      <x:c r="E6370" t="str">
        <x:v>Home Office</x:v>
      </x:c>
      <x:c r="F6370" t="str">
        <x:v>East</x:v>
      </x:c>
      <x:c r="G6370" t="str">
        <x:v>Technology</x:v>
      </x:c>
      <x:c r="H6370" t="str">
        <x:v>Phones</x:v>
      </x:c>
      <x:c r="I6370" s="22" t="n">
        <x:v>41.22</x:v>
      </x:c>
      <x:c r="J6370" s="24" t="n">
        <x:v>1</x:v>
      </x:c>
      <x:c r="K6370" s="26" t="n">
        <x:v>0</x:v>
      </x:c>
      <x:c r="L6370" s="22" t="n">
        <x:v>11.1294</x:v>
      </x:c>
      <x:c r="M6370" t="n">
        <x:v>2017</x:v>
      </x:c>
      <x:c r="N6370" s="20" t="n">
        <x:v>42826</x:v>
      </x:c>
    </x:row>
    <x:row r="6371" ht="18" customHeight="1">
      <x:c r="A6371" t="str">
        <x:v>CA-2017-144848</x:v>
      </x:c>
      <x:c r="B6371" s="18" t="n">
        <x:v>42829</x:v>
      </x:c>
      <x:c r="C6371" t="str">
        <x:v>DS-13030</x:v>
      </x:c>
      <x:c r="D6371" t="str">
        <x:v>Darrin Sayre</x:v>
      </x:c>
      <x:c r="E6371" t="str">
        <x:v>Home Office</x:v>
      </x:c>
      <x:c r="F6371" t="str">
        <x:v>East</x:v>
      </x:c>
      <x:c r="G6371" t="str">
        <x:v>Office Supplies</x:v>
      </x:c>
      <x:c r="H6371" t="str">
        <x:v>Supplies</x:v>
      </x:c>
      <x:c r="I6371" s="22" t="n">
        <x:v>240.37</x:v>
      </x:c>
      <x:c r="J6371" s="24" t="n">
        <x:v>1</x:v>
      </x:c>
      <x:c r="K6371" s="26" t="n">
        <x:v>0</x:v>
      </x:c>
      <x:c r="L6371" s="22" t="n">
        <x:v>7.211100000000016</x:v>
      </x:c>
      <x:c r="M6371" t="n">
        <x:v>2017</x:v>
      </x:c>
      <x:c r="N6371" s="20" t="n">
        <x:v>42826</x:v>
      </x:c>
    </x:row>
    <x:row r="6372" ht="18" customHeight="1">
      <x:c r="A6372" t="str">
        <x:v>CA-2017-144848</x:v>
      </x:c>
      <x:c r="B6372" s="18" t="n">
        <x:v>42829</x:v>
      </x:c>
      <x:c r="C6372" t="str">
        <x:v>DS-13030</x:v>
      </x:c>
      <x:c r="D6372" t="str">
        <x:v>Darrin Sayre</x:v>
      </x:c>
      <x:c r="E6372" t="str">
        <x:v>Home Office</x:v>
      </x:c>
      <x:c r="F6372" t="str">
        <x:v>East</x:v>
      </x:c>
      <x:c r="G6372" t="str">
        <x:v>Technology</x:v>
      </x:c>
      <x:c r="H6372" t="str">
        <x:v>Phones</x:v>
      </x:c>
      <x:c r="I6372" s="22" t="n">
        <x:v>119.02</x:v>
      </x:c>
      <x:c r="J6372" s="24" t="n">
        <x:v>2</x:v>
      </x:c>
      <x:c r="K6372" s="26" t="n">
        <x:v>0</x:v>
      </x:c>
      <x:c r="L6372" s="22" t="n">
        <x:v>33.32560000000001</x:v>
      </x:c>
      <x:c r="M6372" t="n">
        <x:v>2017</x:v>
      </x:c>
      <x:c r="N6372" s="20" t="n">
        <x:v>42826</x:v>
      </x:c>
    </x:row>
    <x:row r="6373" ht="18" customHeight="1">
      <x:c r="A6373" t="str">
        <x:v>US-2017-147998</x:v>
      </x:c>
      <x:c r="B6373" s="18" t="n">
        <x:v>42874</x:v>
      </x:c>
      <x:c r="C6373" t="str">
        <x:v>SA-20830</x:v>
      </x:c>
      <x:c r="D6373" t="str">
        <x:v>Sue Ann Reed</x:v>
      </x:c>
      <x:c r="E6373" t="str">
        <x:v>Consumer</x:v>
      </x:c>
      <x:c r="F6373" t="str">
        <x:v>West</x:v>
      </x:c>
      <x:c r="G6373" t="str">
        <x:v>Office Supplies</x:v>
      </x:c>
      <x:c r="H6373" t="str">
        <x:v>Binders</x:v>
      </x:c>
      <x:c r="I6373" s="22" t="n">
        <x:v>133.12</x:v>
      </x:c>
      <x:c r="J6373" s="24" t="n">
        <x:v>5</x:v>
      </x:c>
      <x:c r="K6373" s="26" t="n">
        <x:v>0.2</x:v>
      </x:c>
      <x:c r="L6373" s="22" t="n">
        <x:v>49.92</x:v>
      </x:c>
      <x:c r="M6373" t="n">
        <x:v>2017</x:v>
      </x:c>
      <x:c r="N6373" s="20" t="n">
        <x:v>42856</x:v>
      </x:c>
    </x:row>
    <x:row r="6374" ht="18" customHeight="1">
      <x:c r="A6374" t="str">
        <x:v>CA-2016-103919</x:v>
      </x:c>
      <x:c r="B6374" s="18" t="n">
        <x:v>42646</x:v>
      </x:c>
      <x:c r="C6374" t="str">
        <x:v>TP-21565</x:v>
      </x:c>
      <x:c r="D6374" t="str">
        <x:v>Tracy Poddar</x:v>
      </x:c>
      <x:c r="E6374" t="str">
        <x:v>Corporate</x:v>
      </x:c>
      <x:c r="F6374" t="str">
        <x:v>Central</x:v>
      </x:c>
      <x:c r="G6374" t="str">
        <x:v>Furniture</x:v>
      </x:c>
      <x:c r="H6374" t="str">
        <x:v>Furnishings</x:v>
      </x:c>
      <x:c r="I6374" s="22" t="n">
        <x:v>38.08</x:v>
      </x:c>
      <x:c r="J6374" s="24" t="n">
        <x:v>5</x:v>
      </x:c>
      <x:c r="K6374" s="26" t="n">
        <x:v>0.6</x:v>
      </x:c>
      <x:c r="L6374" s="22" t="n">
        <x:v>-29.512000000000008</x:v>
      </x:c>
      <x:c r="M6374" t="n">
        <x:v>2016</x:v>
      </x:c>
      <x:c r="N6374" s="20" t="n">
        <x:v>42644</x:v>
      </x:c>
    </x:row>
    <x:row r="6375" ht="18" customHeight="1">
      <x:c r="A6375" t="str">
        <x:v>CA-2016-113425</x:v>
      </x:c>
      <x:c r="B6375" s="18" t="n">
        <x:v>42695</x:v>
      </x:c>
      <x:c r="C6375" t="str">
        <x:v>JK-16120</x:v>
      </x:c>
      <x:c r="D6375" t="str">
        <x:v>Julie Kriz</x:v>
      </x:c>
      <x:c r="E6375" t="str">
        <x:v>Home Office</x:v>
      </x:c>
      <x:c r="F6375" t="str">
        <x:v>East</x:v>
      </x:c>
      <x:c r="G6375" t="str">
        <x:v>Furniture</x:v>
      </x:c>
      <x:c r="H6375" t="str">
        <x:v>Bookcases</x:v>
      </x:c>
      <x:c r="I6375" s="22" t="n">
        <x:v>113.56800000000001</x:v>
      </x:c>
      <x:c r="J6375" s="24" t="n">
        <x:v>2</x:v>
      </x:c>
      <x:c r="K6375" s="26" t="n">
        <x:v>0.2</x:v>
      </x:c>
      <x:c r="L6375" s="22" t="n">
        <x:v>12.776399999999988</x:v>
      </x:c>
      <x:c r="M6375" t="n">
        <x:v>2016</x:v>
      </x:c>
      <x:c r="N6375" s="20" t="n">
        <x:v>42675</x:v>
      </x:c>
    </x:row>
    <x:row r="6376" ht="18" customHeight="1">
      <x:c r="A6376" t="str">
        <x:v>CA-2017-143035</x:v>
      </x:c>
      <x:c r="B6376" s="18" t="n">
        <x:v>43011</x:v>
      </x:c>
      <x:c r="C6376" t="str">
        <x:v>CC-12430</x:v>
      </x:c>
      <x:c r="D6376" t="str">
        <x:v>Chuck Clark</x:v>
      </x:c>
      <x:c r="E6376" t="str">
        <x:v>Home Office</x:v>
      </x:c>
      <x:c r="F6376" t="str">
        <x:v>East</x:v>
      </x:c>
      <x:c r="G6376" t="str">
        <x:v>Furniture</x:v>
      </x:c>
      <x:c r="H6376" t="str">
        <x:v>Furnishings</x:v>
      </x:c>
      <x:c r="I6376" s="22" t="n">
        <x:v>83.92</x:v>
      </x:c>
      <x:c r="J6376" s="24" t="n">
        <x:v>4</x:v>
      </x:c>
      <x:c r="K6376" s="26" t="n">
        <x:v>0</x:v>
      </x:c>
      <x:c r="L6376" s="22" t="n">
        <x:v>21.819200000000002</x:v>
      </x:c>
      <x:c r="M6376" t="n">
        <x:v>2017</x:v>
      </x:c>
      <x:c r="N6376" s="20" t="n">
        <x:v>43009</x:v>
      </x:c>
    </x:row>
    <x:row r="6377" ht="18" customHeight="1">
      <x:c r="A6377" t="str">
        <x:v>CA-2017-143035</x:v>
      </x:c>
      <x:c r="B6377" s="18" t="n">
        <x:v>43011</x:v>
      </x:c>
      <x:c r="C6377" t="str">
        <x:v>CC-12430</x:v>
      </x:c>
      <x:c r="D6377" t="str">
        <x:v>Chuck Clark</x:v>
      </x:c>
      <x:c r="E6377" t="str">
        <x:v>Home Office</x:v>
      </x:c>
      <x:c r="F6377" t="str">
        <x:v>East</x:v>
      </x:c>
      <x:c r="G6377" t="str">
        <x:v>Office Supplies</x:v>
      </x:c>
      <x:c r="H6377" t="str">
        <x:v>Art</x:v>
      </x:c>
      <x:c r="I6377" s="22" t="n">
        <x:v>6.63</x:v>
      </x:c>
      <x:c r="J6377" s="24" t="n">
        <x:v>3</x:v>
      </x:c>
      <x:c r="K6377" s="26" t="n">
        <x:v>0</x:v>
      </x:c>
      <x:c r="L6377" s="22" t="n">
        <x:v>3.1161</x:v>
      </x:c>
      <x:c r="M6377" t="n">
        <x:v>2017</x:v>
      </x:c>
      <x:c r="N6377" s="20" t="n">
        <x:v>43009</x:v>
      </x:c>
    </x:row>
    <x:row r="6378" ht="18" customHeight="1">
      <x:c r="A6378" t="str">
        <x:v>CA-2017-143035</x:v>
      </x:c>
      <x:c r="B6378" s="18" t="n">
        <x:v>43011</x:v>
      </x:c>
      <x:c r="C6378" t="str">
        <x:v>CC-12430</x:v>
      </x:c>
      <x:c r="D6378" t="str">
        <x:v>Chuck Clark</x:v>
      </x:c>
      <x:c r="E6378" t="str">
        <x:v>Home Office</x:v>
      </x:c>
      <x:c r="F6378" t="str">
        <x:v>East</x:v>
      </x:c>
      <x:c r="G6378" t="str">
        <x:v>Technology</x:v>
      </x:c>
      <x:c r="H6378" t="str">
        <x:v>Accessories</x:v>
      </x:c>
      <x:c r="I6378" s="22" t="n">
        <x:v>371.96999999999997</x:v>
      </x:c>
      <x:c r="J6378" s="24" t="n">
        <x:v>3</x:v>
      </x:c>
      <x:c r="K6378" s="26" t="n">
        <x:v>0</x:v>
      </x:c>
      <x:c r="L6378" s="22" t="n">
        <x:v>66.95459999999997</x:v>
      </x:c>
      <x:c r="M6378" t="n">
        <x:v>2017</x:v>
      </x:c>
      <x:c r="N6378" s="20" t="n">
        <x:v>43009</x:v>
      </x:c>
    </x:row>
    <x:row r="6379" ht="18" customHeight="1">
      <x:c r="A6379" t="str">
        <x:v>CA-2014-107811</x:v>
      </x:c>
      <x:c r="B6379" s="18" t="n">
        <x:v>41758</x:v>
      </x:c>
      <x:c r="C6379" t="str">
        <x:v>LA-16780</x:v>
      </x:c>
      <x:c r="D6379" t="str">
        <x:v>Laura Armstrong</x:v>
      </x:c>
      <x:c r="E6379" t="str">
        <x:v>Corporate</x:v>
      </x:c>
      <x:c r="F6379" t="str">
        <x:v>South</x:v>
      </x:c>
      <x:c r="G6379" t="str">
        <x:v>Furniture</x:v>
      </x:c>
      <x:c r="H6379" t="str">
        <x:v>Chairs</x:v>
      </x:c>
      <x:c r="I6379" s="22" t="n">
        <x:v>561.5840000000001</x:v>
      </x:c>
      <x:c r="J6379" s="24" t="n">
        <x:v>2</x:v>
      </x:c>
      <x:c r="K6379" s="26" t="n">
        <x:v>0.2</x:v>
      </x:c>
      <x:c r="L6379" s="22" t="n">
        <x:v>70.19799999999992</x:v>
      </x:c>
      <x:c r="M6379" t="n">
        <x:v>2014</x:v>
      </x:c>
      <x:c r="N6379" s="20" t="n">
        <x:v>41730</x:v>
      </x:c>
    </x:row>
    <x:row r="6380" ht="18" customHeight="1">
      <x:c r="A6380" t="str">
        <x:v>CA-2014-107811</x:v>
      </x:c>
      <x:c r="B6380" s="18" t="n">
        <x:v>41758</x:v>
      </x:c>
      <x:c r="C6380" t="str">
        <x:v>LA-16780</x:v>
      </x:c>
      <x:c r="D6380" t="str">
        <x:v>Laura Armstrong</x:v>
      </x:c>
      <x:c r="E6380" t="str">
        <x:v>Corporate</x:v>
      </x:c>
      <x:c r="F6380" t="str">
        <x:v>South</x:v>
      </x:c>
      <x:c r="G6380" t="str">
        <x:v>Office Supplies</x:v>
      </x:c>
      <x:c r="H6380" t="str">
        <x:v>Storage</x:v>
      </x:c>
      <x:c r="I6380" s="22" t="n">
        <x:v>99.92000000000002</x:v>
      </x:c>
      <x:c r="J6380" s="24" t="n">
        <x:v>5</x:v>
      </x:c>
      <x:c r="K6380" s="26" t="n">
        <x:v>0.2</x:v>
      </x:c>
      <x:c r="L6380" s="22" t="n">
        <x:v>-1.249000000000013</x:v>
      </x:c>
      <x:c r="M6380" t="n">
        <x:v>2014</x:v>
      </x:c>
      <x:c r="N6380" s="20" t="n">
        <x:v>41730</x:v>
      </x:c>
    </x:row>
    <x:row r="6381" ht="18" customHeight="1">
      <x:c r="A6381" t="str">
        <x:v>CA-2016-163216</x:v>
      </x:c>
      <x:c r="B6381" s="18" t="n">
        <x:v>42650</x:v>
      </x:c>
      <x:c r="C6381" t="str">
        <x:v>AW-10930</x:v>
      </x:c>
      <x:c r="D6381" t="str">
        <x:v>Arthur Wiediger</x:v>
      </x:c>
      <x:c r="E6381" t="str">
        <x:v>Home Office</x:v>
      </x:c>
      <x:c r="F6381" t="str">
        <x:v>East</x:v>
      </x:c>
      <x:c r="G6381" t="str">
        <x:v>Office Supplies</x:v>
      </x:c>
      <x:c r="H6381" t="str">
        <x:v>Labels</x:v>
      </x:c>
      <x:c r="I6381" s="22" t="n">
        <x:v>4.928000000000001</x:v>
      </x:c>
      <x:c r="J6381" s="24" t="n">
        <x:v>2</x:v>
      </x:c>
      <x:c r="K6381" s="26" t="n">
        <x:v>0.2</x:v>
      </x:c>
      <x:c r="L6381" s="22" t="n">
        <x:v>1.7247999999999997</x:v>
      </x:c>
      <x:c r="M6381" t="n">
        <x:v>2016</x:v>
      </x:c>
      <x:c r="N6381" s="20" t="n">
        <x:v>42644</x:v>
      </x:c>
    </x:row>
    <x:row r="6382" ht="18" customHeight="1">
      <x:c r="A6382" t="str">
        <x:v>US-2016-116442</x:v>
      </x:c>
      <x:c r="B6382" s="18" t="n">
        <x:v>42719</x:v>
      </x:c>
      <x:c r="C6382" t="str">
        <x:v>BP-11230</x:v>
      </x:c>
      <x:c r="D6382" t="str">
        <x:v>Benjamin Patterson</x:v>
      </x:c>
      <x:c r="E6382" t="str">
        <x:v>Consumer</x:v>
      </x:c>
      <x:c r="F6382" t="str">
        <x:v>West</x:v>
      </x:c>
      <x:c r="G6382" t="str">
        <x:v>Furniture</x:v>
      </x:c>
      <x:c r="H6382" t="str">
        <x:v>Furnishings</x:v>
      </x:c>
      <x:c r="I6382" s="22" t="n">
        <x:v>14.76</x:v>
      </x:c>
      <x:c r="J6382" s="24" t="n">
        <x:v>2</x:v>
      </x:c>
      <x:c r="K6382" s="26" t="n">
        <x:v>0</x:v>
      </x:c>
      <x:c r="L6382" s="22" t="n">
        <x:v>4.280399999999998</x:v>
      </x:c>
      <x:c r="M6382" t="n">
        <x:v>2016</x:v>
      </x:c>
      <x:c r="N6382" s="20" t="n">
        <x:v>42705</x:v>
      </x:c>
    </x:row>
    <x:row r="6383" ht="18" customHeight="1">
      <x:c r="A6383" t="str">
        <x:v>CA-2017-150623</x:v>
      </x:c>
      <x:c r="B6383" s="18" t="n">
        <x:v>42835</x:v>
      </x:c>
      <x:c r="C6383" t="str">
        <x:v>DB-13360</x:v>
      </x:c>
      <x:c r="D6383" t="str">
        <x:v>Dennis Bolton</x:v>
      </x:c>
      <x:c r="E6383" t="str">
        <x:v>Home Office</x:v>
      </x:c>
      <x:c r="F6383" t="str">
        <x:v>East</x:v>
      </x:c>
      <x:c r="G6383" t="str">
        <x:v>Technology</x:v>
      </x:c>
      <x:c r="H6383" t="str">
        <x:v>Accessories</x:v>
      </x:c>
      <x:c r="I6383" s="22" t="n">
        <x:v>99.99</x:v>
      </x:c>
      <x:c r="J6383" s="24" t="n">
        <x:v>1</x:v>
      </x:c>
      <x:c r="K6383" s="26" t="n">
        <x:v>0</x:v>
      </x:c>
      <x:c r="L6383" s="22" t="n">
        <x:v>41.9958</x:v>
      </x:c>
      <x:c r="M6383" t="n">
        <x:v>2017</x:v>
      </x:c>
      <x:c r="N6383" s="20" t="n">
        <x:v>42826</x:v>
      </x:c>
    </x:row>
    <x:row r="6384" ht="18" customHeight="1">
      <x:c r="A6384" t="str">
        <x:v>CA-2017-150623</x:v>
      </x:c>
      <x:c r="B6384" s="18" t="n">
        <x:v>42835</x:v>
      </x:c>
      <x:c r="C6384" t="str">
        <x:v>DB-13360</x:v>
      </x:c>
      <x:c r="D6384" t="str">
        <x:v>Dennis Bolton</x:v>
      </x:c>
      <x:c r="E6384" t="str">
        <x:v>Home Office</x:v>
      </x:c>
      <x:c r="F6384" t="str">
        <x:v>East</x:v>
      </x:c>
      <x:c r="G6384" t="str">
        <x:v>Office Supplies</x:v>
      </x:c>
      <x:c r="H6384" t="str">
        <x:v>Storage</x:v>
      </x:c>
      <x:c r="I6384" s="22" t="n">
        <x:v>286.15</x:v>
      </x:c>
      <x:c r="J6384" s="24" t="n">
        <x:v>5</x:v>
      </x:c>
      <x:c r="K6384" s="26" t="n">
        <x:v>0</x:v>
      </x:c>
      <x:c r="L6384" s="22" t="n">
        <x:v>71.5375</x:v>
      </x:c>
      <x:c r="M6384" t="n">
        <x:v>2017</x:v>
      </x:c>
      <x:c r="N6384" s="20" t="n">
        <x:v>42826</x:v>
      </x:c>
    </x:row>
    <x:row r="6385" ht="18" customHeight="1">
      <x:c r="A6385" t="str">
        <x:v>US-2014-163797</x:v>
      </x:c>
      <x:c r="B6385" s="18" t="n">
        <x:v>41737</x:v>
      </x:c>
      <x:c r="C6385" t="str">
        <x:v>PC-19000</x:v>
      </x:c>
      <x:c r="D6385" t="str">
        <x:v>Pauline Chand</x:v>
      </x:c>
      <x:c r="E6385" t="str">
        <x:v>Home Office</x:v>
      </x:c>
      <x:c r="F6385" t="str">
        <x:v>West</x:v>
      </x:c>
      <x:c r="G6385" t="str">
        <x:v>Office Supplies</x:v>
      </x:c>
      <x:c r="H6385" t="str">
        <x:v>Fasteners</x:v>
      </x:c>
      <x:c r="I6385" s="22" t="n">
        <x:v>49.792</x:v>
      </x:c>
      <x:c r="J6385" s="24" t="n">
        <x:v>8</x:v>
      </x:c>
      <x:c r="K6385" s="26" t="n">
        <x:v>0.2</x:v>
      </x:c>
      <x:c r="L6385" s="22" t="n">
        <x:v>-11.825600000000001</x:v>
      </x:c>
      <x:c r="M6385" t="n">
        <x:v>2014</x:v>
      </x:c>
      <x:c r="N6385" s="20" t="n">
        <x:v>41730</x:v>
      </x:c>
    </x:row>
    <x:row r="6386" ht="18" customHeight="1">
      <x:c r="A6386" t="str">
        <x:v>CA-2016-127236</x:v>
      </x:c>
      <x:c r="B6386" s="18" t="n">
        <x:v>42458</x:v>
      </x:c>
      <x:c r="C6386" t="str">
        <x:v>TB-21595</x:v>
      </x:c>
      <x:c r="D6386" t="str">
        <x:v>Troy Blackwell</x:v>
      </x:c>
      <x:c r="E6386" t="str">
        <x:v>Consumer</x:v>
      </x:c>
      <x:c r="F6386" t="str">
        <x:v>East</x:v>
      </x:c>
      <x:c r="G6386" t="str">
        <x:v>Furniture</x:v>
      </x:c>
      <x:c r="H6386" t="str">
        <x:v>Bookcases</x:v>
      </x:c>
      <x:c r="I6386" s="22" t="n">
        <x:v>299.97499999999997</x:v>
      </x:c>
      <x:c r="J6386" s="24" t="n">
        <x:v>5</x:v>
      </x:c>
      <x:c r="K6386" s="26" t="n">
        <x:v>0.5</x:v>
      </x:c>
      <x:c r="L6386" s="22" t="n">
        <x:v>-167.98600000000002</x:v>
      </x:c>
      <x:c r="M6386" t="n">
        <x:v>2016</x:v>
      </x:c>
      <x:c r="N6386" s="20" t="n">
        <x:v>42430</x:v>
      </x:c>
    </x:row>
    <x:row r="6387" ht="18" customHeight="1">
      <x:c r="A6387" t="str">
        <x:v>CA-2016-127236</x:v>
      </x:c>
      <x:c r="B6387" s="18" t="n">
        <x:v>42458</x:v>
      </x:c>
      <x:c r="C6387" t="str">
        <x:v>TB-21595</x:v>
      </x:c>
      <x:c r="D6387" t="str">
        <x:v>Troy Blackwell</x:v>
      </x:c>
      <x:c r="E6387" t="str">
        <x:v>Consumer</x:v>
      </x:c>
      <x:c r="F6387" t="str">
        <x:v>East</x:v>
      </x:c>
      <x:c r="G6387" t="str">
        <x:v>Technology</x:v>
      </x:c>
      <x:c r="H6387" t="str">
        <x:v>Phones</x:v>
      </x:c>
      <x:c r="I6387" s="22" t="n">
        <x:v>158.37599999999998</x:v>
      </x:c>
      <x:c r="J6387" s="24" t="n">
        <x:v>4</x:v>
      </x:c>
      <x:c r="K6387" s="26" t="n">
        <x:v>0.4</x:v>
      </x:c>
      <x:c r="L6387" s="22" t="n">
        <x:v>-36.95439999999999</x:v>
      </x:c>
      <x:c r="M6387" t="n">
        <x:v>2016</x:v>
      </x:c>
      <x:c r="N6387" s="20" t="n">
        <x:v>42430</x:v>
      </x:c>
    </x:row>
    <x:row r="6388" ht="18" customHeight="1">
      <x:c r="A6388" t="str">
        <x:v>US-2017-104661</x:v>
      </x:c>
      <x:c r="B6388" s="18" t="n">
        <x:v>42750</x:v>
      </x:c>
      <x:c r="C6388" t="str">
        <x:v>TB-21250</x:v>
      </x:c>
      <x:c r="D6388" t="str">
        <x:v>Tim Brockman</x:v>
      </x:c>
      <x:c r="E6388" t="str">
        <x:v>Consumer</x:v>
      </x:c>
      <x:c r="F6388" t="str">
        <x:v>Central</x:v>
      </x:c>
      <x:c r="G6388" t="str">
        <x:v>Office Supplies</x:v>
      </x:c>
      <x:c r="H6388" t="str">
        <x:v>Binders</x:v>
      </x:c>
      <x:c r="I6388" s="22" t="n">
        <x:v>32.78399999999999</x:v>
      </x:c>
      <x:c r="J6388" s="24" t="n">
        <x:v>4</x:v>
      </x:c>
      <x:c r="K6388" s="26" t="n">
        <x:v>0.8</x:v>
      </x:c>
      <x:c r="L6388" s="22" t="n">
        <x:v>-52.45440000000001</x:v>
      </x:c>
      <x:c r="M6388" t="n">
        <x:v>2017</x:v>
      </x:c>
      <x:c r="N6388" s="20" t="n">
        <x:v>42736</x:v>
      </x:c>
    </x:row>
    <x:row r="6389" ht="18" customHeight="1">
      <x:c r="A6389" t="str">
        <x:v>US-2017-104661</x:v>
      </x:c>
      <x:c r="B6389" s="18" t="n">
        <x:v>42750</x:v>
      </x:c>
      <x:c r="C6389" t="str">
        <x:v>TB-21250</x:v>
      </x:c>
      <x:c r="D6389" t="str">
        <x:v>Tim Brockman</x:v>
      </x:c>
      <x:c r="E6389" t="str">
        <x:v>Consumer</x:v>
      </x:c>
      <x:c r="F6389" t="str">
        <x:v>Central</x:v>
      </x:c>
      <x:c r="G6389" t="str">
        <x:v>Technology</x:v>
      </x:c>
      <x:c r="H6389" t="str">
        <x:v>Accessories</x:v>
      </x:c>
      <x:c r="I6389" s="22" t="n">
        <x:v>47.984</x:v>
      </x:c>
      <x:c r="J6389" s="24" t="n">
        <x:v>2</x:v>
      </x:c>
      <x:c r="K6389" s="26" t="n">
        <x:v>0.2</x:v>
      </x:c>
      <x:c r="L6389" s="22" t="n">
        <x:v>14.395200000000004</x:v>
      </x:c>
      <x:c r="M6389" t="n">
        <x:v>2017</x:v>
      </x:c>
      <x:c r="N6389" s="20" t="n">
        <x:v>42736</x:v>
      </x:c>
    </x:row>
    <x:row r="6390" ht="18" customHeight="1">
      <x:c r="A6390" t="str">
        <x:v>US-2017-104661</x:v>
      </x:c>
      <x:c r="B6390" s="18" t="n">
        <x:v>42750</x:v>
      </x:c>
      <x:c r="C6390" t="str">
        <x:v>TB-21250</x:v>
      </x:c>
      <x:c r="D6390" t="str">
        <x:v>Tim Brockman</x:v>
      </x:c>
      <x:c r="E6390" t="str">
        <x:v>Consumer</x:v>
      </x:c>
      <x:c r="F6390" t="str">
        <x:v>Central</x:v>
      </x:c>
      <x:c r="G6390" t="str">
        <x:v>Technology</x:v>
      </x:c>
      <x:c r="H6390" t="str">
        <x:v>Accessories</x:v>
      </x:c>
      <x:c r="I6390" s="22" t="n">
        <x:v>62.592</x:v>
      </x:c>
      <x:c r="J6390" s="24" t="n">
        <x:v>8</x:v>
      </x:c>
      <x:c r="K6390" s="26" t="n">
        <x:v>0.2</x:v>
      </x:c>
      <x:c r="L6390" s="22" t="n">
        <x:v>13.300799999999999</x:v>
      </x:c>
      <x:c r="M6390" t="n">
        <x:v>2017</x:v>
      </x:c>
      <x:c r="N6390" s="20" t="n">
        <x:v>42736</x:v>
      </x:c>
    </x:row>
    <x:row r="6391" ht="18" customHeight="1">
      <x:c r="A6391" t="str">
        <x:v>US-2017-104661</x:v>
      </x:c>
      <x:c r="B6391" s="18" t="n">
        <x:v>42750</x:v>
      </x:c>
      <x:c r="C6391" t="str">
        <x:v>TB-21250</x:v>
      </x:c>
      <x:c r="D6391" t="str">
        <x:v>Tim Brockman</x:v>
      </x:c>
      <x:c r="E6391" t="str">
        <x:v>Consumer</x:v>
      </x:c>
      <x:c r="F6391" t="str">
        <x:v>Central</x:v>
      </x:c>
      <x:c r="G6391" t="str">
        <x:v>Office Supplies</x:v>
      </x:c>
      <x:c r="H6391" t="str">
        <x:v>Binders</x:v>
      </x:c>
      <x:c r="I6391" s="22" t="n">
        <x:v>4.275999999999999</x:v>
      </x:c>
      <x:c r="J6391" s="24" t="n">
        <x:v>1</x:v>
      </x:c>
      <x:c r="K6391" s="26" t="n">
        <x:v>0.8</x:v>
      </x:c>
      <x:c r="L6391" s="22" t="n">
        <x:v>-6.627800000000001</x:v>
      </x:c>
      <x:c r="M6391" t="n">
        <x:v>2017</x:v>
      </x:c>
      <x:c r="N6391" s="20" t="n">
        <x:v>42736</x:v>
      </x:c>
    </x:row>
    <x:row r="6392" ht="18" customHeight="1">
      <x:c r="A6392" t="str">
        <x:v>CA-2014-134103</x:v>
      </x:c>
      <x:c r="B6392" s="18" t="n">
        <x:v>41669</x:v>
      </x:c>
      <x:c r="C6392" t="str">
        <x:v>MV-18190</x:v>
      </x:c>
      <x:c r="D6392" t="str">
        <x:v>Mike Vittorini</x:v>
      </x:c>
      <x:c r="E6392" t="str">
        <x:v>Consumer</x:v>
      </x:c>
      <x:c r="F6392" t="str">
        <x:v>Central</x:v>
      </x:c>
      <x:c r="G6392" t="str">
        <x:v>Office Supplies</x:v>
      </x:c>
      <x:c r="H6392" t="str">
        <x:v>Paper</x:v>
      </x:c>
      <x:c r="I6392" s="22" t="n">
        <x:v>10.56</x:v>
      </x:c>
      <x:c r="J6392" s="24" t="n">
        <x:v>2</x:v>
      </x:c>
      <x:c r="K6392" s="26" t="n">
        <x:v>0</x:v>
      </x:c>
      <x:c r="L6392" s="22" t="n">
        <x:v>4.752</x:v>
      </x:c>
      <x:c r="M6392" t="n">
        <x:v>2014</x:v>
      </x:c>
      <x:c r="N6392" s="20" t="n">
        <x:v>41640</x:v>
      </x:c>
    </x:row>
    <x:row r="6393" ht="18" customHeight="1">
      <x:c r="A6393" t="str">
        <x:v>CA-2014-134103</x:v>
      </x:c>
      <x:c r="B6393" s="18" t="n">
        <x:v>41669</x:v>
      </x:c>
      <x:c r="C6393" t="str">
        <x:v>MV-18190</x:v>
      </x:c>
      <x:c r="D6393" t="str">
        <x:v>Mike Vittorini</x:v>
      </x:c>
      <x:c r="E6393" t="str">
        <x:v>Consumer</x:v>
      </x:c>
      <x:c r="F6393" t="str">
        <x:v>Central</x:v>
      </x:c>
      <x:c r="G6393" t="str">
        <x:v>Office Supplies</x:v>
      </x:c>
      <x:c r="H6393" t="str">
        <x:v>Storage</x:v>
      </x:c>
      <x:c r="I6393" s="22" t="n">
        <x:v>229.94</x:v>
      </x:c>
      <x:c r="J6393" s="24" t="n">
        <x:v>2</x:v>
      </x:c>
      <x:c r="K6393" s="26" t="n">
        <x:v>0</x:v>
      </x:c>
      <x:c r="L6393" s="22" t="n">
        <x:v>6.898200000000003</x:v>
      </x:c>
      <x:c r="M6393" t="n">
        <x:v>2014</x:v>
      </x:c>
      <x:c r="N6393" s="20" t="n">
        <x:v>41640</x:v>
      </x:c>
    </x:row>
    <x:row r="6394" ht="18" customHeight="1">
      <x:c r="A6394" t="str">
        <x:v>CA-2015-147529</x:v>
      </x:c>
      <x:c r="B6394" s="18" t="n">
        <x:v>42042</x:v>
      </x:c>
      <x:c r="C6394" t="str">
        <x:v>DK-12835</x:v>
      </x:c>
      <x:c r="D6394" t="str">
        <x:v>Damala Kotsonis</x:v>
      </x:c>
      <x:c r="E6394" t="str">
        <x:v>Corporate</x:v>
      </x:c>
      <x:c r="F6394" t="str">
        <x:v>South</x:v>
      </x:c>
      <x:c r="G6394" t="str">
        <x:v>Office Supplies</x:v>
      </x:c>
      <x:c r="H6394" t="str">
        <x:v>Envelopes</x:v>
      </x:c>
      <x:c r="I6394" s="22" t="n">
        <x:v>311.15</x:v>
      </x:c>
      <x:c r="J6394" s="24" t="n">
        <x:v>5</x:v>
      </x:c>
      <x:c r="K6394" s="26" t="n">
        <x:v>0</x:v>
      </x:c>
      <x:c r="L6394" s="22" t="n">
        <x:v>146.24049999999997</x:v>
      </x:c>
      <x:c r="M6394" t="n">
        <x:v>2015</x:v>
      </x:c>
      <x:c r="N6394" s="20" t="n">
        <x:v>42036</x:v>
      </x:c>
    </x:row>
    <x:row r="6395" ht="18" customHeight="1">
      <x:c r="A6395" t="str">
        <x:v>CA-2015-147529</x:v>
      </x:c>
      <x:c r="B6395" s="18" t="n">
        <x:v>42042</x:v>
      </x:c>
      <x:c r="C6395" t="str">
        <x:v>DK-12835</x:v>
      </x:c>
      <x:c r="D6395" t="str">
        <x:v>Damala Kotsonis</x:v>
      </x:c>
      <x:c r="E6395" t="str">
        <x:v>Corporate</x:v>
      </x:c>
      <x:c r="F6395" t="str">
        <x:v>South</x:v>
      </x:c>
      <x:c r="G6395" t="str">
        <x:v>Office Supplies</x:v>
      </x:c>
      <x:c r="H6395" t="str">
        <x:v>Paper</x:v>
      </x:c>
      <x:c r="I6395" s="22" t="n">
        <x:v>12.96</x:v>
      </x:c>
      <x:c r="J6395" s="24" t="n">
        <x:v>2</x:v>
      </x:c>
      <x:c r="K6395" s="26" t="n">
        <x:v>0</x:v>
      </x:c>
      <x:c r="L6395" s="22" t="n">
        <x:v>6.3504000000000005</x:v>
      </x:c>
      <x:c r="M6395" t="n">
        <x:v>2015</x:v>
      </x:c>
      <x:c r="N6395" s="20" t="n">
        <x:v>42036</x:v>
      </x:c>
    </x:row>
    <x:row r="6396" ht="18" customHeight="1">
      <x:c r="A6396" t="str">
        <x:v>CA-2016-129126</x:v>
      </x:c>
      <x:c r="B6396" s="18" t="n">
        <x:v>42718</x:v>
      </x:c>
      <x:c r="C6396" t="str">
        <x:v>PK-19075</x:v>
      </x:c>
      <x:c r="D6396" t="str">
        <x:v>Pete Kriz</x:v>
      </x:c>
      <x:c r="E6396" t="str">
        <x:v>Consumer</x:v>
      </x:c>
      <x:c r="F6396" t="str">
        <x:v>East</x:v>
      </x:c>
      <x:c r="G6396" t="str">
        <x:v>Office Supplies</x:v>
      </x:c>
      <x:c r="H6396" t="str">
        <x:v>Paper</x:v>
      </x:c>
      <x:c r="I6396" s="22" t="n">
        <x:v>14.62</x:v>
      </x:c>
      <x:c r="J6396" s="24" t="n">
        <x:v>2</x:v>
      </x:c>
      <x:c r="K6396" s="26" t="n">
        <x:v>0</x:v>
      </x:c>
      <x:c r="L6396" s="22" t="n">
        <x:v>6.725199999999999</x:v>
      </x:c>
      <x:c r="M6396" t="n">
        <x:v>2016</x:v>
      </x:c>
      <x:c r="N6396" s="20" t="n">
        <x:v>42705</x:v>
      </x:c>
    </x:row>
    <x:row r="6397" ht="18" customHeight="1">
      <x:c r="A6397" t="str">
        <x:v>CA-2016-129126</x:v>
      </x:c>
      <x:c r="B6397" s="18" t="n">
        <x:v>42718</x:v>
      </x:c>
      <x:c r="C6397" t="str">
        <x:v>PK-19075</x:v>
      </x:c>
      <x:c r="D6397" t="str">
        <x:v>Pete Kriz</x:v>
      </x:c>
      <x:c r="E6397" t="str">
        <x:v>Consumer</x:v>
      </x:c>
      <x:c r="F6397" t="str">
        <x:v>East</x:v>
      </x:c>
      <x:c r="G6397" t="str">
        <x:v>Office Supplies</x:v>
      </x:c>
      <x:c r="H6397" t="str">
        <x:v>Labels</x:v>
      </x:c>
      <x:c r="I6397" s="22" t="n">
        <x:v>5.76</x:v>
      </x:c>
      <x:c r="J6397" s="24" t="n">
        <x:v>2</x:v>
      </x:c>
      <x:c r="K6397" s="26" t="n">
        <x:v>0</x:v>
      </x:c>
      <x:c r="L6397" s="22" t="n">
        <x:v>2.8224</x:v>
      </x:c>
      <x:c r="M6397" t="n">
        <x:v>2016</x:v>
      </x:c>
      <x:c r="N6397" s="20" t="n">
        <x:v>42705</x:v>
      </x:c>
    </x:row>
    <x:row r="6398" ht="18" customHeight="1">
      <x:c r="A6398" t="str">
        <x:v>CA-2016-129126</x:v>
      </x:c>
      <x:c r="B6398" s="18" t="n">
        <x:v>42718</x:v>
      </x:c>
      <x:c r="C6398" t="str">
        <x:v>PK-19075</x:v>
      </x:c>
      <x:c r="D6398" t="str">
        <x:v>Pete Kriz</x:v>
      </x:c>
      <x:c r="E6398" t="str">
        <x:v>Consumer</x:v>
      </x:c>
      <x:c r="F6398" t="str">
        <x:v>East</x:v>
      </x:c>
      <x:c r="G6398" t="str">
        <x:v>Office Supplies</x:v>
      </x:c>
      <x:c r="H6398" t="str">
        <x:v>Fasteners</x:v>
      </x:c>
      <x:c r="I6398" s="22" t="n">
        <x:v>21.48</x:v>
      </x:c>
      <x:c r="J6398" s="24" t="n">
        <x:v>6</x:v>
      </x:c>
      <x:c r="K6398" s="26" t="n">
        <x:v>0</x:v>
      </x:c>
      <x:c r="L6398" s="22" t="n">
        <x:v>10.5252</x:v>
      </x:c>
      <x:c r="M6398" t="n">
        <x:v>2016</x:v>
      </x:c>
      <x:c r="N6398" s="20" t="n">
        <x:v>42705</x:v>
      </x:c>
    </x:row>
    <x:row r="6399" ht="18" customHeight="1">
      <x:c r="A6399" t="str">
        <x:v>CA-2016-129126</x:v>
      </x:c>
      <x:c r="B6399" s="18" t="n">
        <x:v>42718</x:v>
      </x:c>
      <x:c r="C6399" t="str">
        <x:v>PK-19075</x:v>
      </x:c>
      <x:c r="D6399" t="str">
        <x:v>Pete Kriz</x:v>
      </x:c>
      <x:c r="E6399" t="str">
        <x:v>Consumer</x:v>
      </x:c>
      <x:c r="F6399" t="str">
        <x:v>East</x:v>
      </x:c>
      <x:c r="G6399" t="str">
        <x:v>Furniture</x:v>
      </x:c>
      <x:c r="H6399" t="str">
        <x:v>Furnishings</x:v>
      </x:c>
      <x:c r="I6399" s="22" t="n">
        <x:v>396.92</x:v>
      </x:c>
      <x:c r="J6399" s="24" t="n">
        <x:v>4</x:v>
      </x:c>
      <x:c r="K6399" s="26" t="n">
        <x:v>0</x:v>
      </x:c>
      <x:c r="L6399" s="22" t="n">
        <x:v>198.46</x:v>
      </x:c>
      <x:c r="M6399" t="n">
        <x:v>2016</x:v>
      </x:c>
      <x:c r="N6399" s="20" t="n">
        <x:v>42705</x:v>
      </x:c>
    </x:row>
    <x:row r="6400" ht="18" customHeight="1">
      <x:c r="A6400" t="str">
        <x:v>CA-2016-129126</x:v>
      </x:c>
      <x:c r="B6400" s="18" t="n">
        <x:v>42718</x:v>
      </x:c>
      <x:c r="C6400" t="str">
        <x:v>PK-19075</x:v>
      </x:c>
      <x:c r="D6400" t="str">
        <x:v>Pete Kriz</x:v>
      </x:c>
      <x:c r="E6400" t="str">
        <x:v>Consumer</x:v>
      </x:c>
      <x:c r="F6400" t="str">
        <x:v>East</x:v>
      </x:c>
      <x:c r="G6400" t="str">
        <x:v>Office Supplies</x:v>
      </x:c>
      <x:c r="H6400" t="str">
        <x:v>Storage</x:v>
      </x:c>
      <x:c r="I6400" s="22" t="n">
        <x:v>17.15</x:v>
      </x:c>
      <x:c r="J6400" s="24" t="n">
        <x:v>1</x:v>
      </x:c>
      <x:c r="K6400" s="26" t="n">
        <x:v>0</x:v>
      </x:c>
      <x:c r="L6400" s="22" t="n">
        <x:v>4.6305</x:v>
      </x:c>
      <x:c r="M6400" t="n">
        <x:v>2016</x:v>
      </x:c>
      <x:c r="N6400" s="20" t="n">
        <x:v>42705</x:v>
      </x:c>
    </x:row>
    <x:row r="6401" ht="18" customHeight="1">
      <x:c r="A6401" t="str">
        <x:v>CA-2016-129126</x:v>
      </x:c>
      <x:c r="B6401" s="18" t="n">
        <x:v>42718</x:v>
      </x:c>
      <x:c r="C6401" t="str">
        <x:v>PK-19075</x:v>
      </x:c>
      <x:c r="D6401" t="str">
        <x:v>Pete Kriz</x:v>
      </x:c>
      <x:c r="E6401" t="str">
        <x:v>Consumer</x:v>
      </x:c>
      <x:c r="F6401" t="str">
        <x:v>East</x:v>
      </x:c>
      <x:c r="G6401" t="str">
        <x:v>Office Supplies</x:v>
      </x:c>
      <x:c r="H6401" t="str">
        <x:v>Binders</x:v>
      </x:c>
      <x:c r="I6401" s="22" t="n">
        <x:v>23.12</x:v>
      </x:c>
      <x:c r="J6401" s="24" t="n">
        <x:v>2</x:v>
      </x:c>
      <x:c r="K6401" s="26" t="n">
        <x:v>0.2</x:v>
      </x:c>
      <x:c r="L6401" s="22" t="n">
        <x:v>7.802999999999998</x:v>
      </x:c>
      <x:c r="M6401" t="n">
        <x:v>2016</x:v>
      </x:c>
      <x:c r="N6401" s="20" t="n">
        <x:v>42705</x:v>
      </x:c>
    </x:row>
    <x:row r="6402" ht="18" customHeight="1">
      <x:c r="A6402" t="str">
        <x:v>CA-2017-131632</x:v>
      </x:c>
      <x:c r="B6402" s="18" t="n">
        <x:v>43039</x:v>
      </x:c>
      <x:c r="C6402" t="str">
        <x:v>AH-10120</x:v>
      </x:c>
      <x:c r="D6402" t="str">
        <x:v>Adrian Hane</x:v>
      </x:c>
      <x:c r="E6402" t="str">
        <x:v>Home Office</x:v>
      </x:c>
      <x:c r="F6402" t="str">
        <x:v>Central</x:v>
      </x:c>
      <x:c r="G6402" t="str">
        <x:v>Office Supplies</x:v>
      </x:c>
      <x:c r="H6402" t="str">
        <x:v>Art</x:v>
      </x:c>
      <x:c r="I6402" s="22" t="n">
        <x:v>5.248</x:v>
      </x:c>
      <x:c r="J6402" s="24" t="n">
        <x:v>2</x:v>
      </x:c>
      <x:c r="K6402" s="26" t="n">
        <x:v>0.2</x:v>
      </x:c>
      <x:c r="L6402" s="22" t="n">
        <x:v>0.5903999999999991</x:v>
      </x:c>
      <x:c r="M6402" t="n">
        <x:v>2017</x:v>
      </x:c>
      <x:c r="N6402" s="20" t="n">
        <x:v>43009</x:v>
      </x:c>
    </x:row>
    <x:row r="6403" ht="18" customHeight="1">
      <x:c r="A6403" t="str">
        <x:v>CA-2017-151981</x:v>
      </x:c>
      <x:c r="B6403" s="18" t="n">
        <x:v>42953</x:v>
      </x:c>
      <x:c r="C6403" t="str">
        <x:v>GM-14455</x:v>
      </x:c>
      <x:c r="D6403" t="str">
        <x:v>Gary Mitchum</x:v>
      </x:c>
      <x:c r="E6403" t="str">
        <x:v>Home Office</x:v>
      </x:c>
      <x:c r="F6403" t="str">
        <x:v>East</x:v>
      </x:c>
      <x:c r="G6403" t="str">
        <x:v>Technology</x:v>
      </x:c>
      <x:c r="H6403" t="str">
        <x:v>Phones</x:v>
      </x:c>
      <x:c r="I6403" s="22" t="n">
        <x:v>824.95</x:v>
      </x:c>
      <x:c r="J6403" s="24" t="n">
        <x:v>5</x:v>
      </x:c>
      <x:c r="K6403" s="26" t="n">
        <x:v>0</x:v>
      </x:c>
      <x:c r="L6403" s="22" t="n">
        <x:v>247.48499999999993</x:v>
      </x:c>
      <x:c r="M6403" t="n">
        <x:v>2017</x:v>
      </x:c>
      <x:c r="N6403" s="20" t="n">
        <x:v>42948</x:v>
      </x:c>
    </x:row>
    <x:row r="6404" ht="18" customHeight="1">
      <x:c r="A6404" t="str">
        <x:v>CA-2017-151981</x:v>
      </x:c>
      <x:c r="B6404" s="18" t="n">
        <x:v>42953</x:v>
      </x:c>
      <x:c r="C6404" t="str">
        <x:v>GM-14455</x:v>
      </x:c>
      <x:c r="D6404" t="str">
        <x:v>Gary Mitchum</x:v>
      </x:c>
      <x:c r="E6404" t="str">
        <x:v>Home Office</x:v>
      </x:c>
      <x:c r="F6404" t="str">
        <x:v>East</x:v>
      </x:c>
      <x:c r="G6404" t="str">
        <x:v>Office Supplies</x:v>
      </x:c>
      <x:c r="H6404" t="str">
        <x:v>Labels</x:v>
      </x:c>
      <x:c r="I6404" s="22" t="n">
        <x:v>24.64</x:v>
      </x:c>
      <x:c r="J6404" s="24" t="n">
        <x:v>8</x:v>
      </x:c>
      <x:c r="K6404" s="26" t="n">
        <x:v>0</x:v>
      </x:c>
      <x:c r="L6404" s="22" t="n">
        <x:v>11.8272</x:v>
      </x:c>
      <x:c r="M6404" t="n">
        <x:v>2017</x:v>
      </x:c>
      <x:c r="N6404" s="20" t="n">
        <x:v>42948</x:v>
      </x:c>
    </x:row>
    <x:row r="6405" ht="18" customHeight="1">
      <x:c r="A6405" t="str">
        <x:v>CA-2017-151981</x:v>
      </x:c>
      <x:c r="B6405" s="18" t="n">
        <x:v>42953</x:v>
      </x:c>
      <x:c r="C6405" t="str">
        <x:v>GM-14455</x:v>
      </x:c>
      <x:c r="D6405" t="str">
        <x:v>Gary Mitchum</x:v>
      </x:c>
      <x:c r="E6405" t="str">
        <x:v>Home Office</x:v>
      </x:c>
      <x:c r="F6405" t="str">
        <x:v>East</x:v>
      </x:c>
      <x:c r="G6405" t="str">
        <x:v>Office Supplies</x:v>
      </x:c>
      <x:c r="H6405" t="str">
        <x:v>Art</x:v>
      </x:c>
      <x:c r="I6405" s="22" t="n">
        <x:v>227.88</x:v>
      </x:c>
      <x:c r="J6405" s="24" t="n">
        <x:v>6</x:v>
      </x:c>
      <x:c r="K6405" s="26" t="n">
        <x:v>0</x:v>
      </x:c>
      <x:c r="L6405" s="22" t="n">
        <x:v>68.36399999999998</x:v>
      </x:c>
      <x:c r="M6405" t="n">
        <x:v>2017</x:v>
      </x:c>
      <x:c r="N6405" s="20" t="n">
        <x:v>42948</x:v>
      </x:c>
    </x:row>
    <x:row r="6406" ht="18" customHeight="1">
      <x:c r="A6406" t="str">
        <x:v>CA-2017-125472</x:v>
      </x:c>
      <x:c r="B6406" s="18" t="n">
        <x:v>42885</x:v>
      </x:c>
      <x:c r="C6406" t="str">
        <x:v>BD-11725</x:v>
      </x:c>
      <x:c r="D6406" t="str">
        <x:v>Bruce Degenhardt</x:v>
      </x:c>
      <x:c r="E6406" t="str">
        <x:v>Consumer</x:v>
      </x:c>
      <x:c r="F6406" t="str">
        <x:v>South</x:v>
      </x:c>
      <x:c r="G6406" t="str">
        <x:v>Furniture</x:v>
      </x:c>
      <x:c r="H6406" t="str">
        <x:v>Bookcases</x:v>
      </x:c>
      <x:c r="I6406" s="22" t="n">
        <x:v>241.96</x:v>
      </x:c>
      <x:c r="J6406" s="24" t="n">
        <x:v>2</x:v>
      </x:c>
      <x:c r="K6406" s="26" t="n">
        <x:v>0</x:v>
      </x:c>
      <x:c r="L6406" s="22" t="n">
        <x:v>33.87440000000001</x:v>
      </x:c>
      <x:c r="M6406" t="n">
        <x:v>2017</x:v>
      </x:c>
      <x:c r="N6406" s="20" t="n">
        <x:v>42856</x:v>
      </x:c>
    </x:row>
    <x:row r="6407" ht="18" customHeight="1">
      <x:c r="A6407" t="str">
        <x:v>CA-2017-125472</x:v>
      </x:c>
      <x:c r="B6407" s="18" t="n">
        <x:v>42885</x:v>
      </x:c>
      <x:c r="C6407" t="str">
        <x:v>BD-11725</x:v>
      </x:c>
      <x:c r="D6407" t="str">
        <x:v>Bruce Degenhardt</x:v>
      </x:c>
      <x:c r="E6407" t="str">
        <x:v>Consumer</x:v>
      </x:c>
      <x:c r="F6407" t="str">
        <x:v>South</x:v>
      </x:c>
      <x:c r="G6407" t="str">
        <x:v>Office Supplies</x:v>
      </x:c>
      <x:c r="H6407" t="str">
        <x:v>Binders</x:v>
      </x:c>
      <x:c r="I6407" s="22" t="n">
        <x:v>3.89</x:v>
      </x:c>
      <x:c r="J6407" s="24" t="n">
        <x:v>1</x:v>
      </x:c>
      <x:c r="K6407" s="26" t="n">
        <x:v>0</x:v>
      </x:c>
      <x:c r="L6407" s="22" t="n">
        <x:v>1.8672</x:v>
      </x:c>
      <x:c r="M6407" t="n">
        <x:v>2017</x:v>
      </x:c>
      <x:c r="N6407" s="20" t="n">
        <x:v>42856</x:v>
      </x:c>
    </x:row>
    <x:row r="6408" ht="18" customHeight="1">
      <x:c r="A6408" t="str">
        <x:v>CA-2017-125472</x:v>
      </x:c>
      <x:c r="B6408" s="18" t="n">
        <x:v>42885</x:v>
      </x:c>
      <x:c r="C6408" t="str">
        <x:v>BD-11725</x:v>
      </x:c>
      <x:c r="D6408" t="str">
        <x:v>Bruce Degenhardt</x:v>
      </x:c>
      <x:c r="E6408" t="str">
        <x:v>Consumer</x:v>
      </x:c>
      <x:c r="F6408" t="str">
        <x:v>South</x:v>
      </x:c>
      <x:c r="G6408" t="str">
        <x:v>Furniture</x:v>
      </x:c>
      <x:c r="H6408" t="str">
        <x:v>Furnishings</x:v>
      </x:c>
      <x:c r="I6408" s="22" t="n">
        <x:v>8.01</x:v>
      </x:c>
      <x:c r="J6408" s="24" t="n">
        <x:v>3</x:v>
      </x:c>
      <x:c r="K6408" s="26" t="n">
        <x:v>0</x:v>
      </x:c>
      <x:c r="L6408" s="22" t="n">
        <x:v>3.0438</x:v>
      </x:c>
      <x:c r="M6408" t="n">
        <x:v>2017</x:v>
      </x:c>
      <x:c r="N6408" s="20" t="n">
        <x:v>42856</x:v>
      </x:c>
    </x:row>
    <x:row r="6409" ht="18" customHeight="1">
      <x:c r="A6409" t="str">
        <x:v>CA-2015-156328</x:v>
      </x:c>
      <x:c r="B6409" s="18" t="n">
        <x:v>42338</x:v>
      </x:c>
      <x:c r="C6409" t="str">
        <x:v>RM-19375</x:v>
      </x:c>
      <x:c r="D6409" t="str">
        <x:v>Raymond Messe</x:v>
      </x:c>
      <x:c r="E6409" t="str">
        <x:v>Consumer</x:v>
      </x:c>
      <x:c r="F6409" t="str">
        <x:v>South</x:v>
      </x:c>
      <x:c r="G6409" t="str">
        <x:v>Technology</x:v>
      </x:c>
      <x:c r="H6409" t="str">
        <x:v>Phones</x:v>
      </x:c>
      <x:c r="I6409" s="22" t="n">
        <x:v>177.48000000000002</x:v>
      </x:c>
      <x:c r="J6409" s="24" t="n">
        <x:v>3</x:v>
      </x:c>
      <x:c r="K6409" s="26" t="n">
        <x:v>0.2</x:v>
      </x:c>
      <x:c r="L6409" s="22" t="n">
        <x:v>19.966499999999982</x:v>
      </x:c>
      <x:c r="M6409" t="n">
        <x:v>2015</x:v>
      </x:c>
      <x:c r="N6409" s="20" t="n">
        <x:v>42309</x:v>
      </x:c>
    </x:row>
    <x:row r="6410" ht="18" customHeight="1">
      <x:c r="A6410" t="str">
        <x:v>CA-2017-154074</x:v>
      </x:c>
      <x:c r="B6410" s="18" t="n">
        <x:v>42978</x:v>
      </x:c>
      <x:c r="C6410" t="str">
        <x:v>BW-11110</x:v>
      </x:c>
      <x:c r="D6410" t="str">
        <x:v>Bart Watters</x:v>
      </x:c>
      <x:c r="E6410" t="str">
        <x:v>Corporate</x:v>
      </x:c>
      <x:c r="F6410" t="str">
        <x:v>West</x:v>
      </x:c>
      <x:c r="G6410" t="str">
        <x:v>Furniture</x:v>
      </x:c>
      <x:c r="H6410" t="str">
        <x:v>Chairs</x:v>
      </x:c>
      <x:c r="I6410" s="22" t="n">
        <x:v>569.5680000000001</x:v>
      </x:c>
      <x:c r="J6410" s="24" t="n">
        <x:v>2</x:v>
      </x:c>
      <x:c r="K6410" s="26" t="n">
        <x:v>0.2</x:v>
      </x:c>
      <x:c r="L6410" s="22" t="n">
        <x:v>7.119599999999906</x:v>
      </x:c>
      <x:c r="M6410" t="n">
        <x:v>2017</x:v>
      </x:c>
      <x:c r="N6410" s="20" t="n">
        <x:v>42948</x:v>
      </x:c>
    </x:row>
    <x:row r="6411" ht="18" customHeight="1">
      <x:c r="A6411" t="str">
        <x:v>CA-2017-154074</x:v>
      </x:c>
      <x:c r="B6411" s="18" t="n">
        <x:v>42978</x:v>
      </x:c>
      <x:c r="C6411" t="str">
        <x:v>BW-11110</x:v>
      </x:c>
      <x:c r="D6411" t="str">
        <x:v>Bart Watters</x:v>
      </x:c>
      <x:c r="E6411" t="str">
        <x:v>Corporate</x:v>
      </x:c>
      <x:c r="F6411" t="str">
        <x:v>West</x:v>
      </x:c>
      <x:c r="G6411" t="str">
        <x:v>Office Supplies</x:v>
      </x:c>
      <x:c r="H6411" t="str">
        <x:v>Storage</x:v>
      </x:c>
      <x:c r="I6411" s="22" t="n">
        <x:v>149.73000000000002</x:v>
      </x:c>
      <x:c r="J6411" s="24" t="n">
        <x:v>7</x:v>
      </x:c>
      <x:c r="K6411" s="26" t="n">
        <x:v>0</x:v>
      </x:c>
      <x:c r="L6411" s="22" t="n">
        <x:v>43.421699999999994</x:v>
      </x:c>
      <x:c r="M6411" t="n">
        <x:v>2017</x:v>
      </x:c>
      <x:c r="N6411" s="20" t="n">
        <x:v>42948</x:v>
      </x:c>
    </x:row>
    <x:row r="6412" ht="18" customHeight="1">
      <x:c r="A6412" t="str">
        <x:v>CA-2017-161774</x:v>
      </x:c>
      <x:c r="B6412" s="18" t="n">
        <x:v>42869</x:v>
      </x:c>
      <x:c r="C6412" t="str">
        <x:v>GT-14710</x:v>
      </x:c>
      <x:c r="D6412" t="str">
        <x:v>Greg Tran</x:v>
      </x:c>
      <x:c r="E6412" t="str">
        <x:v>Consumer</x:v>
      </x:c>
      <x:c r="F6412" t="str">
        <x:v>Central</x:v>
      </x:c>
      <x:c r="G6412" t="str">
        <x:v>Furniture</x:v>
      </x:c>
      <x:c r="H6412" t="str">
        <x:v>Chairs</x:v>
      </x:c>
      <x:c r="I6412" s="22" t="n">
        <x:v>899.43</x:v>
      </x:c>
      <x:c r="J6412" s="24" t="n">
        <x:v>5</x:v>
      </x:c>
      <x:c r="K6412" s="26" t="n">
        <x:v>0.3</x:v>
      </x:c>
      <x:c r="L6412" s="22" t="n">
        <x:v>-12.84900000000016</x:v>
      </x:c>
      <x:c r="M6412" t="n">
        <x:v>2017</x:v>
      </x:c>
      <x:c r="N6412" s="20" t="n">
        <x:v>42856</x:v>
      </x:c>
    </x:row>
    <x:row r="6413" ht="18" customHeight="1">
      <x:c r="A6413" t="str">
        <x:v>CA-2017-161774</x:v>
      </x:c>
      <x:c r="B6413" s="18" t="n">
        <x:v>42869</x:v>
      </x:c>
      <x:c r="C6413" t="str">
        <x:v>GT-14710</x:v>
      </x:c>
      <x:c r="D6413" t="str">
        <x:v>Greg Tran</x:v>
      </x:c>
      <x:c r="E6413" t="str">
        <x:v>Consumer</x:v>
      </x:c>
      <x:c r="F6413" t="str">
        <x:v>Central</x:v>
      </x:c>
      <x:c r="G6413" t="str">
        <x:v>Office Supplies</x:v>
      </x:c>
      <x:c r="H6413" t="str">
        <x:v>Art</x:v>
      </x:c>
      <x:c r="I6413" s="22" t="n">
        <x:v>46.2</x:v>
      </x:c>
      <x:c r="J6413" s="24" t="n">
        <x:v>5</x:v>
      </x:c>
      <x:c r="K6413" s="26" t="n">
        <x:v>0.2</x:v>
      </x:c>
      <x:c r="L6413" s="22" t="n">
        <x:v>5.774999999999999</x:v>
      </x:c>
      <x:c r="M6413" t="n">
        <x:v>2017</x:v>
      </x:c>
      <x:c r="N6413" s="20" t="n">
        <x:v>42856</x:v>
      </x:c>
    </x:row>
    <x:row r="6414" ht="18" customHeight="1">
      <x:c r="A6414" t="str">
        <x:v>CA-2017-161774</x:v>
      </x:c>
      <x:c r="B6414" s="18" t="n">
        <x:v>42869</x:v>
      </x:c>
      <x:c r="C6414" t="str">
        <x:v>GT-14710</x:v>
      </x:c>
      <x:c r="D6414" t="str">
        <x:v>Greg Tran</x:v>
      </x:c>
      <x:c r="E6414" t="str">
        <x:v>Consumer</x:v>
      </x:c>
      <x:c r="F6414" t="str">
        <x:v>Central</x:v>
      </x:c>
      <x:c r="G6414" t="str">
        <x:v>Office Supplies</x:v>
      </x:c>
      <x:c r="H6414" t="str">
        <x:v>Paper</x:v>
      </x:c>
      <x:c r="I6414" s="22" t="n">
        <x:v>47.952000000000005</x:v>
      </x:c>
      <x:c r="J6414" s="24" t="n">
        <x:v>3</x:v>
      </x:c>
      <x:c r="K6414" s="26" t="n">
        <x:v>0.2</x:v>
      </x:c>
      <x:c r="L6414" s="22" t="n">
        <x:v>16.183799999999998</x:v>
      </x:c>
      <x:c r="M6414" t="n">
        <x:v>2017</x:v>
      </x:c>
      <x:c r="N6414" s="20" t="n">
        <x:v>42856</x:v>
      </x:c>
    </x:row>
    <x:row r="6415" ht="18" customHeight="1">
      <x:c r="A6415" t="str">
        <x:v>CA-2017-161774</x:v>
      </x:c>
      <x:c r="B6415" s="18" t="n">
        <x:v>42869</x:v>
      </x:c>
      <x:c r="C6415" t="str">
        <x:v>GT-14710</x:v>
      </x:c>
      <x:c r="D6415" t="str">
        <x:v>Greg Tran</x:v>
      </x:c>
      <x:c r="E6415" t="str">
        <x:v>Consumer</x:v>
      </x:c>
      <x:c r="F6415" t="str">
        <x:v>Central</x:v>
      </x:c>
      <x:c r="G6415" t="str">
        <x:v>Technology</x:v>
      </x:c>
      <x:c r="H6415" t="str">
        <x:v>Phones</x:v>
      </x:c>
      <x:c r="I6415" s="22" t="n">
        <x:v>7.992000000000001</x:v>
      </x:c>
      <x:c r="J6415" s="24" t="n">
        <x:v>1</x:v>
      </x:c>
      <x:c r="K6415" s="26" t="n">
        <x:v>0.2</x:v>
      </x:c>
      <x:c r="L6415" s="22" t="n">
        <x:v>0.6993</x:v>
      </x:c>
      <x:c r="M6415" t="n">
        <x:v>2017</x:v>
      </x:c>
      <x:c r="N6415" s="20" t="n">
        <x:v>42856</x:v>
      </x:c>
    </x:row>
    <x:row r="6416" ht="18" customHeight="1">
      <x:c r="A6416" t="str">
        <x:v>CA-2017-161774</x:v>
      </x:c>
      <x:c r="B6416" s="18" t="n">
        <x:v>42869</x:v>
      </x:c>
      <x:c r="C6416" t="str">
        <x:v>GT-14710</x:v>
      </x:c>
      <x:c r="D6416" t="str">
        <x:v>Greg Tran</x:v>
      </x:c>
      <x:c r="E6416" t="str">
        <x:v>Consumer</x:v>
      </x:c>
      <x:c r="F6416" t="str">
        <x:v>Central</x:v>
      </x:c>
      <x:c r="G6416" t="str">
        <x:v>Office Supplies</x:v>
      </x:c>
      <x:c r="H6416" t="str">
        <x:v>Paper</x:v>
      </x:c>
      <x:c r="I6416" s="22" t="n">
        <x:v>76.864</x:v>
      </x:c>
      <x:c r="J6416" s="24" t="n">
        <x:v>2</x:v>
      </x:c>
      <x:c r="K6416" s="26" t="n">
        <x:v>0.2</x:v>
      </x:c>
      <x:c r="L6416" s="22" t="n">
        <x:v>26.902399999999993</x:v>
      </x:c>
      <x:c r="M6416" t="n">
        <x:v>2017</x:v>
      </x:c>
      <x:c r="N6416" s="20" t="n">
        <x:v>42856</x:v>
      </x:c>
    </x:row>
    <x:row r="6417" ht="18" customHeight="1">
      <x:c r="A6417" t="str">
        <x:v>CA-2017-151211</x:v>
      </x:c>
      <x:c r="B6417" s="18" t="n">
        <x:v>42964</x:v>
      </x:c>
      <x:c r="C6417" t="str">
        <x:v>AH-10120</x:v>
      </x:c>
      <x:c r="D6417" t="str">
        <x:v>Adrian Hane</x:v>
      </x:c>
      <x:c r="E6417" t="str">
        <x:v>Home Office</x:v>
      </x:c>
      <x:c r="F6417" t="str">
        <x:v>South</x:v>
      </x:c>
      <x:c r="G6417" t="str">
        <x:v>Office Supplies</x:v>
      </x:c>
      <x:c r="H6417" t="str">
        <x:v>Binders</x:v>
      </x:c>
      <x:c r="I6417" s="22" t="n">
        <x:v>102.93</x:v>
      </x:c>
      <x:c r="J6417" s="24" t="n">
        <x:v>3</x:v>
      </x:c>
      <x:c r="K6417" s="26" t="n">
        <x:v>0</x:v>
      </x:c>
      <x:c r="L6417" s="22" t="n">
        <x:v>48.377100000000006</x:v>
      </x:c>
      <x:c r="M6417" t="n">
        <x:v>2017</x:v>
      </x:c>
      <x:c r="N6417" s="20" t="n">
        <x:v>42948</x:v>
      </x:c>
    </x:row>
    <x:row r="6418" ht="18" customHeight="1">
      <x:c r="A6418" t="str">
        <x:v>CA-2017-151211</x:v>
      </x:c>
      <x:c r="B6418" s="18" t="n">
        <x:v>42964</x:v>
      </x:c>
      <x:c r="C6418" t="str">
        <x:v>AH-10120</x:v>
      </x:c>
      <x:c r="D6418" t="str">
        <x:v>Adrian Hane</x:v>
      </x:c>
      <x:c r="E6418" t="str">
        <x:v>Home Office</x:v>
      </x:c>
      <x:c r="F6418" t="str">
        <x:v>South</x:v>
      </x:c>
      <x:c r="G6418" t="str">
        <x:v>Technology</x:v>
      </x:c>
      <x:c r="H6418" t="str">
        <x:v>Accessories</x:v>
      </x:c>
      <x:c r="I6418" s="22" t="n">
        <x:v>98.16</x:v>
      </x:c>
      <x:c r="J6418" s="24" t="n">
        <x:v>6</x:v>
      </x:c>
      <x:c r="K6418" s="26" t="n">
        <x:v>0</x:v>
      </x:c>
      <x:c r="L6418" s="22" t="n">
        <x:v>9.815999999999995</x:v>
      </x:c>
      <x:c r="M6418" t="n">
        <x:v>2017</x:v>
      </x:c>
      <x:c r="N6418" s="20" t="n">
        <x:v>42948</x:v>
      </x:c>
    </x:row>
    <x:row r="6419" ht="18" customHeight="1">
      <x:c r="A6419" t="str">
        <x:v>CA-2017-142671</x:v>
      </x:c>
      <x:c r="B6419" s="18" t="n">
        <x:v>43049</x:v>
      </x:c>
      <x:c r="C6419" t="str">
        <x:v>DR-12940</x:v>
      </x:c>
      <x:c r="D6419" t="str">
        <x:v>Daniel Raglin</x:v>
      </x:c>
      <x:c r="E6419" t="str">
        <x:v>Home Office</x:v>
      </x:c>
      <x:c r="F6419" t="str">
        <x:v>South</x:v>
      </x:c>
      <x:c r="G6419" t="str">
        <x:v>Office Supplies</x:v>
      </x:c>
      <x:c r="H6419" t="str">
        <x:v>Binders</x:v>
      </x:c>
      <x:c r="I6419" s="22" t="n">
        <x:v>11.520000000000001</x:v>
      </x:c>
      <x:c r="J6419" s="24" t="n">
        <x:v>5</x:v>
      </x:c>
      <x:c r="K6419" s="26" t="n">
        <x:v>0.7</x:v>
      </x:c>
      <x:c r="L6419" s="22" t="n">
        <x:v>-7.679999999999996</x:v>
      </x:c>
      <x:c r="M6419" t="n">
        <x:v>2017</x:v>
      </x:c>
      <x:c r="N6419" s="20" t="n">
        <x:v>43040</x:v>
      </x:c>
    </x:row>
    <x:row r="6420" ht="18" customHeight="1">
      <x:c r="A6420" t="str">
        <x:v>CA-2017-144750</x:v>
      </x:c>
      <x:c r="B6420" s="18" t="n">
        <x:v>42968</x:v>
      </x:c>
      <x:c r="C6420" t="str">
        <x:v>DL-13495</x:v>
      </x:c>
      <x:c r="D6420" t="str">
        <x:v>Dionis Lloyd</x:v>
      </x:c>
      <x:c r="E6420" t="str">
        <x:v>Corporate</x:v>
      </x:c>
      <x:c r="F6420" t="str">
        <x:v>West</x:v>
      </x:c>
      <x:c r="G6420" t="str">
        <x:v>Office Supplies</x:v>
      </x:c>
      <x:c r="H6420" t="str">
        <x:v>Paper</x:v>
      </x:c>
      <x:c r="I6420" s="22" t="n">
        <x:v>83.88</x:v>
      </x:c>
      <x:c r="J6420" s="24" t="n">
        <x:v>1</x:v>
      </x:c>
      <x:c r="K6420" s="26" t="n">
        <x:v>0.2</x:v>
      </x:c>
      <x:c r="L6420" s="22" t="n">
        <x:v>29.357999999999997</x:v>
      </x:c>
      <x:c r="M6420" t="n">
        <x:v>2017</x:v>
      </x:c>
      <x:c r="N6420" s="20" t="n">
        <x:v>42948</x:v>
      </x:c>
    </x:row>
    <x:row r="6421" ht="18" customHeight="1">
      <x:c r="A6421" t="str">
        <x:v>CA-2016-111976</x:v>
      </x:c>
      <x:c r="B6421" s="18" t="n">
        <x:v>42437</x:v>
      </x:c>
      <x:c r="C6421" t="str">
        <x:v>BD-11620</x:v>
      </x:c>
      <x:c r="D6421" t="str">
        <x:v>Brian DeCherney</x:v>
      </x:c>
      <x:c r="E6421" t="str">
        <x:v>Consumer</x:v>
      </x:c>
      <x:c r="F6421" t="str">
        <x:v>East</x:v>
      </x:c>
      <x:c r="G6421" t="str">
        <x:v>Technology</x:v>
      </x:c>
      <x:c r="H6421" t="str">
        <x:v>Phones</x:v>
      </x:c>
      <x:c r="I6421" s="22" t="n">
        <x:v>108.57600000000001</x:v>
      </x:c>
      <x:c r="J6421" s="24" t="n">
        <x:v>4</x:v>
      </x:c>
      <x:c r="K6421" s="26" t="n">
        <x:v>0.4</x:v>
      </x:c>
      <x:c r="L6421" s="22" t="n">
        <x:v>-25.334400000000002</x:v>
      </x:c>
      <x:c r="M6421" t="n">
        <x:v>2016</x:v>
      </x:c>
      <x:c r="N6421" s="20" t="n">
        <x:v>42430</x:v>
      </x:c>
    </x:row>
    <x:row r="6422" ht="18" customHeight="1">
      <x:c r="A6422" t="str">
        <x:v>CA-2016-111976</x:v>
      </x:c>
      <x:c r="B6422" s="18" t="n">
        <x:v>42437</x:v>
      </x:c>
      <x:c r="C6422" t="str">
        <x:v>BD-11620</x:v>
      </x:c>
      <x:c r="D6422" t="str">
        <x:v>Brian DeCherney</x:v>
      </x:c>
      <x:c r="E6422" t="str">
        <x:v>Consumer</x:v>
      </x:c>
      <x:c r="F6422" t="str">
        <x:v>East</x:v>
      </x:c>
      <x:c r="G6422" t="str">
        <x:v>Office Supplies</x:v>
      </x:c>
      <x:c r="H6422" t="str">
        <x:v>Fasteners</x:v>
      </x:c>
      <x:c r="I6422" s="22" t="n">
        <x:v>5.984000000000001</x:v>
      </x:c>
      <x:c r="J6422" s="24" t="n">
        <x:v>2</x:v>
      </x:c>
      <x:c r="K6422" s="26" t="n">
        <x:v>0.2</x:v>
      </x:c>
      <x:c r="L6422" s="22" t="n">
        <x:v>-1.3463999999999998</x:v>
      </x:c>
      <x:c r="M6422" t="n">
        <x:v>2016</x:v>
      </x:c>
      <x:c r="N6422" s="20" t="n">
        <x:v>42430</x:v>
      </x:c>
    </x:row>
    <x:row r="6423" ht="18" customHeight="1">
      <x:c r="A6423" t="str">
        <x:v>CA-2016-140130</x:v>
      </x:c>
      <x:c r="B6423" s="18" t="n">
        <x:v>42674</x:v>
      </x:c>
      <x:c r="C6423" t="str">
        <x:v>HW-14935</x:v>
      </x:c>
      <x:c r="D6423" t="str">
        <x:v>Helen Wasserman</x:v>
      </x:c>
      <x:c r="E6423" t="str">
        <x:v>Corporate</x:v>
      </x:c>
      <x:c r="F6423" t="str">
        <x:v>Central</x:v>
      </x:c>
      <x:c r="G6423" t="str">
        <x:v>Office Supplies</x:v>
      </x:c>
      <x:c r="H6423" t="str">
        <x:v>Supplies</x:v>
      </x:c>
      <x:c r="I6423" s="22" t="n">
        <x:v>21.96</x:v>
      </x:c>
      <x:c r="J6423" s="24" t="n">
        <x:v>2</x:v>
      </x:c>
      <x:c r="K6423" s="26" t="n">
        <x:v>0</x:v>
      </x:c>
      <x:c r="L6423" s="22" t="n">
        <x:v>6.148800000000001</x:v>
      </x:c>
      <x:c r="M6423" t="n">
        <x:v>2016</x:v>
      </x:c>
      <x:c r="N6423" s="20" t="n">
        <x:v>42644</x:v>
      </x:c>
    </x:row>
    <x:row r="6424" ht="18" customHeight="1">
      <x:c r="A6424" t="str">
        <x:v>CA-2016-140130</x:v>
      </x:c>
      <x:c r="B6424" s="18" t="n">
        <x:v>42674</x:v>
      </x:c>
      <x:c r="C6424" t="str">
        <x:v>HW-14935</x:v>
      </x:c>
      <x:c r="D6424" t="str">
        <x:v>Helen Wasserman</x:v>
      </x:c>
      <x:c r="E6424" t="str">
        <x:v>Corporate</x:v>
      </x:c>
      <x:c r="F6424" t="str">
        <x:v>Central</x:v>
      </x:c>
      <x:c r="G6424" t="str">
        <x:v>Furniture</x:v>
      </x:c>
      <x:c r="H6424" t="str">
        <x:v>Chairs</x:v>
      </x:c>
      <x:c r="I6424" s="22" t="n">
        <x:v>368.96999999999997</x:v>
      </x:c>
      <x:c r="J6424" s="24" t="n">
        <x:v>3</x:v>
      </x:c>
      <x:c r="K6424" s="26" t="n">
        <x:v>0</x:v>
      </x:c>
      <x:c r="L6424" s="22" t="n">
        <x:v>81.1734</x:v>
      </x:c>
      <x:c r="M6424" t="n">
        <x:v>2016</x:v>
      </x:c>
      <x:c r="N6424" s="20" t="n">
        <x:v>42644</x:v>
      </x:c>
    </x:row>
    <x:row r="6425" ht="18" customHeight="1">
      <x:c r="A6425" t="str">
        <x:v>CA-2016-140130</x:v>
      </x:c>
      <x:c r="B6425" s="18" t="n">
        <x:v>42674</x:v>
      </x:c>
      <x:c r="C6425" t="str">
        <x:v>HW-14935</x:v>
      </x:c>
      <x:c r="D6425" t="str">
        <x:v>Helen Wasserman</x:v>
      </x:c>
      <x:c r="E6425" t="str">
        <x:v>Corporate</x:v>
      </x:c>
      <x:c r="F6425" t="str">
        <x:v>Central</x:v>
      </x:c>
      <x:c r="G6425" t="str">
        <x:v>Office Supplies</x:v>
      </x:c>
      <x:c r="H6425" t="str">
        <x:v>Art</x:v>
      </x:c>
      <x:c r="I6425" s="22" t="n">
        <x:v>12.39</x:v>
      </x:c>
      <x:c r="J6425" s="24" t="n">
        <x:v>3</x:v>
      </x:c>
      <x:c r="K6425" s="26" t="n">
        <x:v>0</x:v>
      </x:c>
      <x:c r="L6425" s="22" t="n">
        <x:v>3.4692000000000003</x:v>
      </x:c>
      <x:c r="M6425" t="n">
        <x:v>2016</x:v>
      </x:c>
      <x:c r="N6425" s="20" t="n">
        <x:v>42644</x:v>
      </x:c>
    </x:row>
    <x:row r="6426" ht="18" customHeight="1">
      <x:c r="A6426" t="str">
        <x:v>CA-2016-140130</x:v>
      </x:c>
      <x:c r="B6426" s="18" t="n">
        <x:v>42674</x:v>
      </x:c>
      <x:c r="C6426" t="str">
        <x:v>HW-14935</x:v>
      </x:c>
      <x:c r="D6426" t="str">
        <x:v>Helen Wasserman</x:v>
      </x:c>
      <x:c r="E6426" t="str">
        <x:v>Corporate</x:v>
      </x:c>
      <x:c r="F6426" t="str">
        <x:v>Central</x:v>
      </x:c>
      <x:c r="G6426" t="str">
        <x:v>Office Supplies</x:v>
      </x:c>
      <x:c r="H6426" t="str">
        <x:v>Storage</x:v>
      </x:c>
      <x:c r="I6426" s="22" t="n">
        <x:v>332.94</x:v>
      </x:c>
      <x:c r="J6426" s="24" t="n">
        <x:v>3</x:v>
      </x:c>
      <x:c r="K6426" s="26" t="n">
        <x:v>0</x:v>
      </x:c>
      <x:c r="L6426" s="22" t="n">
        <x:v>9.98820000000002</x:v>
      </x:c>
      <x:c r="M6426" t="n">
        <x:v>2016</x:v>
      </x:c>
      <x:c r="N6426" s="20" t="n">
        <x:v>42644</x:v>
      </x:c>
    </x:row>
    <x:row r="6427" ht="18" customHeight="1">
      <x:c r="A6427" t="str">
        <x:v>CA-2014-159121</x:v>
      </x:c>
      <x:c r="B6427" s="18" t="n">
        <x:v>41846</x:v>
      </x:c>
      <x:c r="C6427" t="str">
        <x:v>JO-15145</x:v>
      </x:c>
      <x:c r="D6427" t="str">
        <x:v>Jack O'Briant</x:v>
      </x:c>
      <x:c r="E6427" t="str">
        <x:v>Corporate</x:v>
      </x:c>
      <x:c r="F6427" t="str">
        <x:v>West</x:v>
      </x:c>
      <x:c r="G6427" t="str">
        <x:v>Technology</x:v>
      </x:c>
      <x:c r="H6427" t="str">
        <x:v>Accessories</x:v>
      </x:c>
      <x:c r="I6427" s="22" t="n">
        <x:v>111.93</x:v>
      </x:c>
      <x:c r="J6427" s="24" t="n">
        <x:v>7</x:v>
      </x:c>
      <x:c r="K6427" s="26" t="n">
        <x:v>0</x:v>
      </x:c>
      <x:c r="L6427" s="22" t="n">
        <x:v>34.698299999999996</x:v>
      </x:c>
      <x:c r="M6427" t="n">
        <x:v>2014</x:v>
      </x:c>
      <x:c r="N6427" s="20" t="n">
        <x:v>41821</x:v>
      </x:c>
    </x:row>
    <x:row r="6428" ht="18" customHeight="1">
      <x:c r="A6428" t="str">
        <x:v>CA-2015-149650</x:v>
      </x:c>
      <x:c r="B6428" s="18" t="n">
        <x:v>42301</x:v>
      </x:c>
      <x:c r="C6428" t="str">
        <x:v>RD-19660</x:v>
      </x:c>
      <x:c r="D6428" t="str">
        <x:v>Robert Dilbeck</x:v>
      </x:c>
      <x:c r="E6428" t="str">
        <x:v>Home Office</x:v>
      </x:c>
      <x:c r="F6428" t="str">
        <x:v>West</x:v>
      </x:c>
      <x:c r="G6428" t="str">
        <x:v>Furniture</x:v>
      </x:c>
      <x:c r="H6428" t="str">
        <x:v>Chairs</x:v>
      </x:c>
      <x:c r="I6428" s="22" t="n">
        <x:v>454.27200000000005</x:v>
      </x:c>
      <x:c r="J6428" s="24" t="n">
        <x:v>8</x:v>
      </x:c>
      <x:c r="K6428" s="26" t="n">
        <x:v>0.2</x:v>
      </x:c>
      <x:c r="L6428" s="22" t="n">
        <x:v>-73.81920000000005</x:v>
      </x:c>
      <x:c r="M6428" t="n">
        <x:v>2015</x:v>
      </x:c>
      <x:c r="N6428" s="20" t="n">
        <x:v>42278</x:v>
      </x:c>
    </x:row>
    <x:row r="6429" ht="18" customHeight="1">
      <x:c r="A6429" t="str">
        <x:v>CA-2017-115777</x:v>
      </x:c>
      <x:c r="B6429" s="18" t="n">
        <x:v>42966</x:v>
      </x:c>
      <x:c r="C6429" t="str">
        <x:v>DO-13645</x:v>
      </x:c>
      <x:c r="D6429" t="str">
        <x:v>Doug O'Connell</x:v>
      </x:c>
      <x:c r="E6429" t="str">
        <x:v>Consumer</x:v>
      </x:c>
      <x:c r="F6429" t="str">
        <x:v>East</x:v>
      </x:c>
      <x:c r="G6429" t="str">
        <x:v>Office Supplies</x:v>
      </x:c>
      <x:c r="H6429" t="str">
        <x:v>Paper</x:v>
      </x:c>
      <x:c r="I6429" s="22" t="n">
        <x:v>19.44</x:v>
      </x:c>
      <x:c r="J6429" s="24" t="n">
        <x:v>3</x:v>
      </x:c>
      <x:c r="K6429" s="26" t="n">
        <x:v>0</x:v>
      </x:c>
      <x:c r="L6429" s="22" t="n">
        <x:v>9.3312</x:v>
      </x:c>
      <x:c r="M6429" t="n">
        <x:v>2017</x:v>
      </x:c>
      <x:c r="N6429" s="20" t="n">
        <x:v>42948</x:v>
      </x:c>
    </x:row>
    <x:row r="6430" ht="18" customHeight="1">
      <x:c r="A6430" t="str">
        <x:v>CA-2016-143714</x:v>
      </x:c>
      <x:c r="B6430" s="18" t="n">
        <x:v>42513</x:v>
      </x:c>
      <x:c r="C6430" t="str">
        <x:v>CC-12370</x:v>
      </x:c>
      <x:c r="D6430" t="str">
        <x:v>Christopher Conant</x:v>
      </x:c>
      <x:c r="E6430" t="str">
        <x:v>Consumer</x:v>
      </x:c>
      <x:c r="F6430" t="str">
        <x:v>East</x:v>
      </x:c>
      <x:c r="G6430" t="str">
        <x:v>Technology</x:v>
      </x:c>
      <x:c r="H6430" t="str">
        <x:v>Copiers</x:v>
      </x:c>
      <x:c r="I6430" s="22" t="n">
        <x:v>8399.975999999999</x:v>
      </x:c>
      <x:c r="J6430" s="24" t="n">
        <x:v>4</x:v>
      </x:c>
      <x:c r="K6430" s="26" t="n">
        <x:v>0.4</x:v>
      </x:c>
      <x:c r="L6430" s="22" t="n">
        <x:v>1119.996799999999</x:v>
      </x:c>
      <x:c r="M6430" t="n">
        <x:v>2016</x:v>
      </x:c>
      <x:c r="N6430" s="20" t="n">
        <x:v>42491</x:v>
      </x:c>
    </x:row>
    <x:row r="6431" ht="18" customHeight="1">
      <x:c r="A6431" t="str">
        <x:v>CA-2016-143714</x:v>
      </x:c>
      <x:c r="B6431" s="18" t="n">
        <x:v>42513</x:v>
      </x:c>
      <x:c r="C6431" t="str">
        <x:v>CC-12370</x:v>
      </x:c>
      <x:c r="D6431" t="str">
        <x:v>Christopher Conant</x:v>
      </x:c>
      <x:c r="E6431" t="str">
        <x:v>Consumer</x:v>
      </x:c>
      <x:c r="F6431" t="str">
        <x:v>East</x:v>
      </x:c>
      <x:c r="G6431" t="str">
        <x:v>Office Supplies</x:v>
      </x:c>
      <x:c r="H6431" t="str">
        <x:v>Binders</x:v>
      </x:c>
      <x:c r="I6431" s="22" t="n">
        <x:v>6.294000000000001</x:v>
      </x:c>
      <x:c r="J6431" s="24" t="n">
        <x:v>1</x:v>
      </x:c>
      <x:c r="K6431" s="26" t="n">
        <x:v>0.7</x:v>
      </x:c>
      <x:c r="L6431" s="22" t="n">
        <x:v>-4.196</x:v>
      </x:c>
      <x:c r="M6431" t="n">
        <x:v>2016</x:v>
      </x:c>
      <x:c r="N6431" s="20" t="n">
        <x:v>42491</x:v>
      </x:c>
    </x:row>
    <x:row r="6432" ht="18" customHeight="1">
      <x:c r="A6432" t="str">
        <x:v>CA-2016-143714</x:v>
      </x:c>
      <x:c r="B6432" s="18" t="n">
        <x:v>42513</x:v>
      </x:c>
      <x:c r="C6432" t="str">
        <x:v>CC-12370</x:v>
      </x:c>
      <x:c r="D6432" t="str">
        <x:v>Christopher Conant</x:v>
      </x:c>
      <x:c r="E6432" t="str">
        <x:v>Consumer</x:v>
      </x:c>
      <x:c r="F6432" t="str">
        <x:v>East</x:v>
      </x:c>
      <x:c r="G6432" t="str">
        <x:v>Office Supplies</x:v>
      </x:c>
      <x:c r="H6432" t="str">
        <x:v>Paper</x:v>
      </x:c>
      <x:c r="I6432" s="22" t="n">
        <x:v>10.368000000000002</x:v>
      </x:c>
      <x:c r="J6432" s="24" t="n">
        <x:v>2</x:v>
      </x:c>
      <x:c r="K6432" s="26" t="n">
        <x:v>0.2</x:v>
      </x:c>
      <x:c r="L6432" s="22" t="n">
        <x:v>3.6288</x:v>
      </x:c>
      <x:c r="M6432" t="n">
        <x:v>2016</x:v>
      </x:c>
      <x:c r="N6432" s="20" t="n">
        <x:v>42491</x:v>
      </x:c>
    </x:row>
    <x:row r="6433" ht="18" customHeight="1">
      <x:c r="A6433" t="str">
        <x:v>CA-2016-143714</x:v>
      </x:c>
      <x:c r="B6433" s="18" t="n">
        <x:v>42513</x:v>
      </x:c>
      <x:c r="C6433" t="str">
        <x:v>CC-12370</x:v>
      </x:c>
      <x:c r="D6433" t="str">
        <x:v>Christopher Conant</x:v>
      </x:c>
      <x:c r="E6433" t="str">
        <x:v>Consumer</x:v>
      </x:c>
      <x:c r="F6433" t="str">
        <x:v>East</x:v>
      </x:c>
      <x:c r="G6433" t="str">
        <x:v>Technology</x:v>
      </x:c>
      <x:c r="H6433" t="str">
        <x:v>Phones</x:v>
      </x:c>
      <x:c r="I6433" s="22" t="n">
        <x:v>122.38199999999999</x:v>
      </x:c>
      <x:c r="J6433" s="24" t="n">
        <x:v>3</x:v>
      </x:c>
      <x:c r="K6433" s="26" t="n">
        <x:v>0.4</x:v>
      </x:c>
      <x:c r="L6433" s="22" t="n">
        <x:v>-24.476399999999998</x:v>
      </x:c>
      <x:c r="M6433" t="n">
        <x:v>2016</x:v>
      </x:c>
      <x:c r="N6433" s="20" t="n">
        <x:v>42491</x:v>
      </x:c>
    </x:row>
    <x:row r="6434" ht="18" customHeight="1">
      <x:c r="A6434" t="str">
        <x:v>CA-2014-165764</x:v>
      </x:c>
      <x:c r="B6434" s="18" t="n">
        <x:v>41946</x:v>
      </x:c>
      <x:c r="C6434" t="str">
        <x:v>SH-20395</x:v>
      </x:c>
      <x:c r="D6434" t="str">
        <x:v>Shahid Hopkins</x:v>
      </x:c>
      <x:c r="E6434" t="str">
        <x:v>Consumer</x:v>
      </x:c>
      <x:c r="F6434" t="str">
        <x:v>South</x:v>
      </x:c>
      <x:c r="G6434" t="str">
        <x:v>Office Supplies</x:v>
      </x:c>
      <x:c r="H6434" t="str">
        <x:v>Storage</x:v>
      </x:c>
      <x:c r="I6434" s="22" t="n">
        <x:v>25.983999999999998</x:v>
      </x:c>
      <x:c r="J6434" s="24" t="n">
        <x:v>2</x:v>
      </x:c>
      <x:c r="K6434" s="26" t="n">
        <x:v>0.2</x:v>
      </x:c>
      <x:c r="L6434" s="22" t="n">
        <x:v>-1.6239999999999997</x:v>
      </x:c>
      <x:c r="M6434" t="n">
        <x:v>2014</x:v>
      </x:c>
      <x:c r="N6434" s="20" t="n">
        <x:v>41944</x:v>
      </x:c>
    </x:row>
    <x:row r="6435" ht="18" customHeight="1">
      <x:c r="A6435" t="str">
        <x:v>CA-2014-165764</x:v>
      </x:c>
      <x:c r="B6435" s="18" t="n">
        <x:v>41946</x:v>
      </x:c>
      <x:c r="C6435" t="str">
        <x:v>SH-20395</x:v>
      </x:c>
      <x:c r="D6435" t="str">
        <x:v>Shahid Hopkins</x:v>
      </x:c>
      <x:c r="E6435" t="str">
        <x:v>Consumer</x:v>
      </x:c>
      <x:c r="F6435" t="str">
        <x:v>South</x:v>
      </x:c>
      <x:c r="G6435" t="str">
        <x:v>Furniture</x:v>
      </x:c>
      <x:c r="H6435" t="str">
        <x:v>Tables</x:v>
      </x:c>
      <x:c r="I6435" s="22" t="n">
        <x:v>945.0360000000001</x:v>
      </x:c>
      <x:c r="J6435" s="24" t="n">
        <x:v>6</x:v>
      </x:c>
      <x:c r="K6435" s="26" t="n">
        <x:v>0.4</x:v>
      </x:c>
      <x:c r="L6435" s="22" t="n">
        <x:v>-299.2614000000001</x:v>
      </x:c>
      <x:c r="M6435" t="n">
        <x:v>2014</x:v>
      </x:c>
      <x:c r="N6435" s="20" t="n">
        <x:v>41944</x:v>
      </x:c>
    </x:row>
    <x:row r="6436" ht="18" customHeight="1">
      <x:c r="A6436" t="str">
        <x:v>CA-2014-165764</x:v>
      </x:c>
      <x:c r="B6436" s="18" t="n">
        <x:v>41946</x:v>
      </x:c>
      <x:c r="C6436" t="str">
        <x:v>SH-20395</x:v>
      </x:c>
      <x:c r="D6436" t="str">
        <x:v>Shahid Hopkins</x:v>
      </x:c>
      <x:c r="E6436" t="str">
        <x:v>Consumer</x:v>
      </x:c>
      <x:c r="F6436" t="str">
        <x:v>South</x:v>
      </x:c>
      <x:c r="G6436" t="str">
        <x:v>Office Supplies</x:v>
      </x:c>
      <x:c r="H6436" t="str">
        <x:v>Binders</x:v>
      </x:c>
      <x:c r="I6436" s="22" t="n">
        <x:v>14.301000000000002</x:v>
      </x:c>
      <x:c r="J6436" s="24" t="n">
        <x:v>7</x:v>
      </x:c>
      <x:c r="K6436" s="26" t="n">
        <x:v>0.7</x:v>
      </x:c>
      <x:c r="L6436" s="22" t="n">
        <x:v>-10.487400000000001</x:v>
      </x:c>
      <x:c r="M6436" t="n">
        <x:v>2014</x:v>
      </x:c>
      <x:c r="N6436" s="20" t="n">
        <x:v>41944</x:v>
      </x:c>
    </x:row>
    <x:row r="6437" ht="18" customHeight="1">
      <x:c r="A6437" t="str">
        <x:v>CA-2014-165764</x:v>
      </x:c>
      <x:c r="B6437" s="18" t="n">
        <x:v>41946</x:v>
      </x:c>
      <x:c r="C6437" t="str">
        <x:v>SH-20395</x:v>
      </x:c>
      <x:c r="D6437" t="str">
        <x:v>Shahid Hopkins</x:v>
      </x:c>
      <x:c r="E6437" t="str">
        <x:v>Consumer</x:v>
      </x:c>
      <x:c r="F6437" t="str">
        <x:v>South</x:v>
      </x:c>
      <x:c r="G6437" t="str">
        <x:v>Furniture</x:v>
      </x:c>
      <x:c r="H6437" t="str">
        <x:v>Furnishings</x:v>
      </x:c>
      <x:c r="I6437" s="22" t="n">
        <x:v>410.352</x:v>
      </x:c>
      <x:c r="J6437" s="24" t="n">
        <x:v>3</x:v>
      </x:c>
      <x:c r="K6437" s="26" t="n">
        <x:v>0.2</x:v>
      </x:c>
      <x:c r="L6437" s="22" t="n">
        <x:v>-51.29400000000004</x:v>
      </x:c>
      <x:c r="M6437" t="n">
        <x:v>2014</x:v>
      </x:c>
      <x:c r="N6437" s="20" t="n">
        <x:v>41944</x:v>
      </x:c>
    </x:row>
    <x:row r="6438" ht="18" customHeight="1">
      <x:c r="A6438" t="str">
        <x:v>CA-2015-121405</x:v>
      </x:c>
      <x:c r="B6438" s="18" t="n">
        <x:v>42093</x:v>
      </x:c>
      <x:c r="C6438" t="str">
        <x:v>FC-14335</x:v>
      </x:c>
      <x:c r="D6438" t="str">
        <x:v>Fred Chung</x:v>
      </x:c>
      <x:c r="E6438" t="str">
        <x:v>Corporate</x:v>
      </x:c>
      <x:c r="F6438" t="str">
        <x:v>Central</x:v>
      </x:c>
      <x:c r="G6438" t="str">
        <x:v>Office Supplies</x:v>
      </x:c>
      <x:c r="H6438" t="str">
        <x:v>Paper</x:v>
      </x:c>
      <x:c r="I6438" s="22" t="n">
        <x:v>23.52</x:v>
      </x:c>
      <x:c r="J6438" s="24" t="n">
        <x:v>5</x:v>
      </x:c>
      <x:c r="K6438" s="26" t="n">
        <x:v>0.2</x:v>
      </x:c>
      <x:c r="L6438" s="22" t="n">
        <x:v>8.526</x:v>
      </x:c>
      <x:c r="M6438" t="n">
        <x:v>2015</x:v>
      </x:c>
      <x:c r="N6438" s="20" t="n">
        <x:v>42064</x:v>
      </x:c>
    </x:row>
    <x:row r="6439" ht="18" customHeight="1">
      <x:c r="A6439" t="str">
        <x:v>CA-2015-121405</x:v>
      </x:c>
      <x:c r="B6439" s="18" t="n">
        <x:v>42093</x:v>
      </x:c>
      <x:c r="C6439" t="str">
        <x:v>FC-14335</x:v>
      </x:c>
      <x:c r="D6439" t="str">
        <x:v>Fred Chung</x:v>
      </x:c>
      <x:c r="E6439" t="str">
        <x:v>Corporate</x:v>
      </x:c>
      <x:c r="F6439" t="str">
        <x:v>Central</x:v>
      </x:c>
      <x:c r="G6439" t="str">
        <x:v>Technology</x:v>
      </x:c>
      <x:c r="H6439" t="str">
        <x:v>Phones</x:v>
      </x:c>
      <x:c r="I6439" s="22" t="n">
        <x:v>180.96</x:v>
      </x:c>
      <x:c r="J6439" s="24" t="n">
        <x:v>5</x:v>
      </x:c>
      <x:c r="K6439" s="26" t="n">
        <x:v>0.2</x:v>
      </x:c>
      <x:c r="L6439" s="22" t="n">
        <x:v>13.571999999999996</x:v>
      </x:c>
      <x:c r="M6439" t="n">
        <x:v>2015</x:v>
      </x:c>
      <x:c r="N6439" s="20" t="n">
        <x:v>42064</x:v>
      </x:c>
    </x:row>
    <x:row r="6440" ht="18" customHeight="1">
      <x:c r="A6440" t="str">
        <x:v>US-2017-116897</x:v>
      </x:c>
      <x:c r="B6440" s="18" t="n">
        <x:v>42882</x:v>
      </x:c>
      <x:c r="C6440" t="str">
        <x:v>JG-15160</x:v>
      </x:c>
      <x:c r="D6440" t="str">
        <x:v>James Galang</x:v>
      </x:c>
      <x:c r="E6440" t="str">
        <x:v>Consumer</x:v>
      </x:c>
      <x:c r="F6440" t="str">
        <x:v>West</x:v>
      </x:c>
      <x:c r="G6440" t="str">
        <x:v>Furniture</x:v>
      </x:c>
      <x:c r="H6440" t="str">
        <x:v>Furnishings</x:v>
      </x:c>
      <x:c r="I6440" s="22" t="n">
        <x:v>35</x:v>
      </x:c>
      <x:c r="J6440" s="24" t="n">
        <x:v>4</x:v>
      </x:c>
      <x:c r="K6440" s="26" t="n">
        <x:v>0</x:v>
      </x:c>
      <x:c r="L6440" s="22" t="n">
        <x:v>14.700000000000003</x:v>
      </x:c>
      <x:c r="M6440" t="n">
        <x:v>2017</x:v>
      </x:c>
      <x:c r="N6440" s="20" t="n">
        <x:v>42856</x:v>
      </x:c>
    </x:row>
    <x:row r="6441" ht="18" customHeight="1">
      <x:c r="A6441" t="str">
        <x:v>US-2017-116897</x:v>
      </x:c>
      <x:c r="B6441" s="18" t="n">
        <x:v>42882</x:v>
      </x:c>
      <x:c r="C6441" t="str">
        <x:v>JG-15160</x:v>
      </x:c>
      <x:c r="D6441" t="str">
        <x:v>James Galang</x:v>
      </x:c>
      <x:c r="E6441" t="str">
        <x:v>Consumer</x:v>
      </x:c>
      <x:c r="F6441" t="str">
        <x:v>West</x:v>
      </x:c>
      <x:c r="G6441" t="str">
        <x:v>Office Supplies</x:v>
      </x:c>
      <x:c r="H6441" t="str">
        <x:v>Storage</x:v>
      </x:c>
      <x:c r="I6441" s="22" t="n">
        <x:v>477.15000000000003</x:v>
      </x:c>
      <x:c r="J6441" s="24" t="n">
        <x:v>5</x:v>
      </x:c>
      <x:c r="K6441" s="26" t="n">
        <x:v>0</x:v>
      </x:c>
      <x:c r="L6441" s="22" t="n">
        <x:v>28.628999999999962</x:v>
      </x:c>
      <x:c r="M6441" t="n">
        <x:v>2017</x:v>
      </x:c>
      <x:c r="N6441" s="20" t="n">
        <x:v>42856</x:v>
      </x:c>
    </x:row>
    <x:row r="6442" ht="18" customHeight="1">
      <x:c r="A6442" t="str">
        <x:v>US-2017-116897</x:v>
      </x:c>
      <x:c r="B6442" s="18" t="n">
        <x:v>42882</x:v>
      </x:c>
      <x:c r="C6442" t="str">
        <x:v>JG-15160</x:v>
      </x:c>
      <x:c r="D6442" t="str">
        <x:v>James Galang</x:v>
      </x:c>
      <x:c r="E6442" t="str">
        <x:v>Consumer</x:v>
      </x:c>
      <x:c r="F6442" t="str">
        <x:v>West</x:v>
      </x:c>
      <x:c r="G6442" t="str">
        <x:v>Technology</x:v>
      </x:c>
      <x:c r="H6442" t="str">
        <x:v>Phones</x:v>
      </x:c>
      <x:c r="I6442" s="22" t="n">
        <x:v>302.376</x:v>
      </x:c>
      <x:c r="J6442" s="24" t="n">
        <x:v>3</x:v>
      </x:c>
      <x:c r="K6442" s="26" t="n">
        <x:v>0.2</x:v>
      </x:c>
      <x:c r="L6442" s="22" t="n">
        <x:v>22.678200000000018</x:v>
      </x:c>
      <x:c r="M6442" t="n">
        <x:v>2017</x:v>
      </x:c>
      <x:c r="N6442" s="20" t="n">
        <x:v>42856</x:v>
      </x:c>
    </x:row>
    <x:row r="6443" ht="18" customHeight="1">
      <x:c r="A6443" t="str">
        <x:v>US-2017-113992</x:v>
      </x:c>
      <x:c r="B6443" s="18" t="n">
        <x:v>43083</x:v>
      </x:c>
      <x:c r="C6443" t="str">
        <x:v>LC-16885</x:v>
      </x:c>
      <x:c r="D6443" t="str">
        <x:v>Lena Creighton</x:v>
      </x:c>
      <x:c r="E6443" t="str">
        <x:v>Consumer</x:v>
      </x:c>
      <x:c r="F6443" t="str">
        <x:v>Central</x:v>
      </x:c>
      <x:c r="G6443" t="str">
        <x:v>Furniture</x:v>
      </x:c>
      <x:c r="H6443" t="str">
        <x:v>Tables</x:v>
      </x:c>
      <x:c r="I6443" s="22" t="n">
        <x:v>974.9879999999998</x:v>
      </x:c>
      <x:c r="J6443" s="24" t="n">
        <x:v>4</x:v>
      </x:c>
      <x:c r="K6443" s="26" t="n">
        <x:v>0.3</x:v>
      </x:c>
      <x:c r="L6443" s="22" t="n">
        <x:v>-97.49879999999996</x:v>
      </x:c>
      <x:c r="M6443" t="n">
        <x:v>2017</x:v>
      </x:c>
      <x:c r="N6443" s="20" t="n">
        <x:v>43070</x:v>
      </x:c>
    </x:row>
    <x:row r="6444" ht="18" customHeight="1">
      <x:c r="A6444" t="str">
        <x:v>CA-2014-166891</x:v>
      </x:c>
      <x:c r="B6444" s="18" t="n">
        <x:v>41916</x:v>
      </x:c>
      <x:c r="C6444" t="str">
        <x:v>CC-12220</x:v>
      </x:c>
      <x:c r="D6444" t="str">
        <x:v>Chris Cortes</x:v>
      </x:c>
      <x:c r="E6444" t="str">
        <x:v>Consumer</x:v>
      </x:c>
      <x:c r="F6444" t="str">
        <x:v>East</x:v>
      </x:c>
      <x:c r="G6444" t="str">
        <x:v>Furniture</x:v>
      </x:c>
      <x:c r="H6444" t="str">
        <x:v>Chairs</x:v>
      </x:c>
      <x:c r="I6444" s="22" t="n">
        <x:v>589.41</x:v>
      </x:c>
      <x:c r="J6444" s="24" t="n">
        <x:v>5</x:v>
      </x:c>
      <x:c r="K6444" s="26" t="n">
        <x:v>0.1</x:v>
      </x:c>
      <x:c r="L6444" s="22" t="n">
        <x:v>-6.549000000000049</x:v>
      </x:c>
      <x:c r="M6444" t="n">
        <x:v>2014</x:v>
      </x:c>
      <x:c r="N6444" s="20" t="n">
        <x:v>41913</x:v>
      </x:c>
    </x:row>
    <x:row r="6445" ht="18" customHeight="1">
      <x:c r="A6445" t="str">
        <x:v>CA-2016-101161</x:v>
      </x:c>
      <x:c r="B6445" s="18" t="n">
        <x:v>42656</x:v>
      </x:c>
      <x:c r="C6445" t="str">
        <x:v>BW-11110</x:v>
      </x:c>
      <x:c r="D6445" t="str">
        <x:v>Bart Watters</x:v>
      </x:c>
      <x:c r="E6445" t="str">
        <x:v>Corporate</x:v>
      </x:c>
      <x:c r="F6445" t="str">
        <x:v>East</x:v>
      </x:c>
      <x:c r="G6445" t="str">
        <x:v>Office Supplies</x:v>
      </x:c>
      <x:c r="H6445" t="str">
        <x:v>Art</x:v>
      </x:c>
      <x:c r="I6445" s="22" t="n">
        <x:v>34.7</x:v>
      </x:c>
      <x:c r="J6445" s="24" t="n">
        <x:v>5</x:v>
      </x:c>
      <x:c r="K6445" s="26" t="n">
        <x:v>0</x:v>
      </x:c>
      <x:c r="L6445" s="22" t="n">
        <x:v>12.492</x:v>
      </x:c>
      <x:c r="M6445" t="n">
        <x:v>2016</x:v>
      </x:c>
      <x:c r="N6445" s="20" t="n">
        <x:v>42644</x:v>
      </x:c>
    </x:row>
    <x:row r="6446" ht="18" customHeight="1">
      <x:c r="A6446" t="str">
        <x:v>CA-2016-101161</x:v>
      </x:c>
      <x:c r="B6446" s="18" t="n">
        <x:v>42656</x:v>
      </x:c>
      <x:c r="C6446" t="str">
        <x:v>BW-11110</x:v>
      </x:c>
      <x:c r="D6446" t="str">
        <x:v>Bart Watters</x:v>
      </x:c>
      <x:c r="E6446" t="str">
        <x:v>Corporate</x:v>
      </x:c>
      <x:c r="F6446" t="str">
        <x:v>East</x:v>
      </x:c>
      <x:c r="G6446" t="str">
        <x:v>Office Supplies</x:v>
      </x:c>
      <x:c r="H6446" t="str">
        <x:v>Storage</x:v>
      </x:c>
      <x:c r="I6446" s="22" t="n">
        <x:v>99.87</x:v>
      </x:c>
      <x:c r="J6446" s="24" t="n">
        <x:v>3</x:v>
      </x:c>
      <x:c r="K6446" s="26" t="n">
        <x:v>0</x:v>
      </x:c>
      <x:c r="L6446" s="22" t="n">
        <x:v>23.968799999999998</x:v>
      </x:c>
      <x:c r="M6446" t="n">
        <x:v>2016</x:v>
      </x:c>
      <x:c r="N6446" s="20" t="n">
        <x:v>42644</x:v>
      </x:c>
    </x:row>
    <x:row r="6447" ht="18" customHeight="1">
      <x:c r="A6447" t="str">
        <x:v>CA-2016-101161</x:v>
      </x:c>
      <x:c r="B6447" s="18" t="n">
        <x:v>42656</x:v>
      </x:c>
      <x:c r="C6447" t="str">
        <x:v>BW-11110</x:v>
      </x:c>
      <x:c r="D6447" t="str">
        <x:v>Bart Watters</x:v>
      </x:c>
      <x:c r="E6447" t="str">
        <x:v>Corporate</x:v>
      </x:c>
      <x:c r="F6447" t="str">
        <x:v>East</x:v>
      </x:c>
      <x:c r="G6447" t="str">
        <x:v>Office Supplies</x:v>
      </x:c>
      <x:c r="H6447" t="str">
        <x:v>Paper</x:v>
      </x:c>
      <x:c r="I6447" s="22" t="n">
        <x:v>37.94</x:v>
      </x:c>
      <x:c r="J6447" s="24" t="n">
        <x:v>2</x:v>
      </x:c>
      <x:c r="K6447" s="26" t="n">
        <x:v>0</x:v>
      </x:c>
      <x:c r="L6447" s="22" t="n">
        <x:v>18.211199999999998</x:v>
      </x:c>
      <x:c r="M6447" t="n">
        <x:v>2016</x:v>
      </x:c>
      <x:c r="N6447" s="20" t="n">
        <x:v>42644</x:v>
      </x:c>
    </x:row>
    <x:row r="6448" ht="18" customHeight="1">
      <x:c r="A6448" t="str">
        <x:v>CA-2016-101161</x:v>
      </x:c>
      <x:c r="B6448" s="18" t="n">
        <x:v>42656</x:v>
      </x:c>
      <x:c r="C6448" t="str">
        <x:v>BW-11110</x:v>
      </x:c>
      <x:c r="D6448" t="str">
        <x:v>Bart Watters</x:v>
      </x:c>
      <x:c r="E6448" t="str">
        <x:v>Corporate</x:v>
      </x:c>
      <x:c r="F6448" t="str">
        <x:v>East</x:v>
      </x:c>
      <x:c r="G6448" t="str">
        <x:v>Office Supplies</x:v>
      </x:c>
      <x:c r="H6448" t="str">
        <x:v>Labels</x:v>
      </x:c>
      <x:c r="I6448" s="22" t="n">
        <x:v>24.900000000000002</x:v>
      </x:c>
      <x:c r="J6448" s="24" t="n">
        <x:v>5</x:v>
      </x:c>
      <x:c r="K6448" s="26" t="n">
        <x:v>0</x:v>
      </x:c>
      <x:c r="L6448" s="22" t="n">
        <x:v>11.454</x:v>
      </x:c>
      <x:c r="M6448" t="n">
        <x:v>2016</x:v>
      </x:c>
      <x:c r="N6448" s="20" t="n">
        <x:v>42644</x:v>
      </x:c>
    </x:row>
    <x:row r="6449" ht="18" customHeight="1">
      <x:c r="A6449" t="str">
        <x:v>CA-2016-101161</x:v>
      </x:c>
      <x:c r="B6449" s="18" t="n">
        <x:v>42656</x:v>
      </x:c>
      <x:c r="C6449" t="str">
        <x:v>BW-11110</x:v>
      </x:c>
      <x:c r="D6449" t="str">
        <x:v>Bart Watters</x:v>
      </x:c>
      <x:c r="E6449" t="str">
        <x:v>Corporate</x:v>
      </x:c>
      <x:c r="F6449" t="str">
        <x:v>East</x:v>
      </x:c>
      <x:c r="G6449" t="str">
        <x:v>Furniture</x:v>
      </x:c>
      <x:c r="H6449" t="str">
        <x:v>Furnishings</x:v>
      </x:c>
      <x:c r="I6449" s="22" t="n">
        <x:v>82.26</x:v>
      </x:c>
      <x:c r="J6449" s="24" t="n">
        <x:v>3</x:v>
      </x:c>
      <x:c r="K6449" s="26" t="n">
        <x:v>0</x:v>
      </x:c>
      <x:c r="L6449" s="22" t="n">
        <x:v>33.726600000000005</x:v>
      </x:c>
      <x:c r="M6449" t="n">
        <x:v>2016</x:v>
      </x:c>
      <x:c r="N6449" s="20" t="n">
        <x:v>42644</x:v>
      </x:c>
    </x:row>
    <x:row r="6450" ht="18" customHeight="1">
      <x:c r="A6450" t="str">
        <x:v>CA-2015-151785</x:v>
      </x:c>
      <x:c r="B6450" s="18" t="n">
        <x:v>42068</x:v>
      </x:c>
      <x:c r="C6450" t="str">
        <x:v>JJ-15445</x:v>
      </x:c>
      <x:c r="D6450" t="str">
        <x:v>Jennifer Jackson</x:v>
      </x:c>
      <x:c r="E6450" t="str">
        <x:v>Consumer</x:v>
      </x:c>
      <x:c r="F6450" t="str">
        <x:v>Central</x:v>
      </x:c>
      <x:c r="G6450" t="str">
        <x:v>Office Supplies</x:v>
      </x:c>
      <x:c r="H6450" t="str">
        <x:v>Fasteners</x:v>
      </x:c>
      <x:c r="I6450" s="22" t="n">
        <x:v>7.103999999999999</x:v>
      </x:c>
      <x:c r="J6450" s="24" t="n">
        <x:v>6</x:v>
      </x:c>
      <x:c r="K6450" s="26" t="n">
        <x:v>0.2</x:v>
      </x:c>
      <x:c r="L6450" s="22" t="n">
        <x:v>2.4863999999999997</x:v>
      </x:c>
      <x:c r="M6450" t="n">
        <x:v>2015</x:v>
      </x:c>
      <x:c r="N6450" s="20" t="n">
        <x:v>42064</x:v>
      </x:c>
    </x:row>
    <x:row r="6451" ht="18" customHeight="1">
      <x:c r="A6451" t="str">
        <x:v>US-2017-119816</x:v>
      </x:c>
      <x:c r="B6451" s="18" t="n">
        <x:v>42798</x:v>
      </x:c>
      <x:c r="C6451" t="str">
        <x:v>TT-21460</x:v>
      </x:c>
      <x:c r="D6451" t="str">
        <x:v>Tonja Turnell</x:v>
      </x:c>
      <x:c r="E6451" t="str">
        <x:v>Home Office</x:v>
      </x:c>
      <x:c r="F6451" t="str">
        <x:v>Central</x:v>
      </x:c>
      <x:c r="G6451" t="str">
        <x:v>Furniture</x:v>
      </x:c>
      <x:c r="H6451" t="str">
        <x:v>Furnishings</x:v>
      </x:c>
      <x:c r="I6451" s="22" t="n">
        <x:v>103.50000000000001</x:v>
      </x:c>
      <x:c r="J6451" s="24" t="n">
        <x:v>5</x:v>
      </x:c>
      <x:c r="K6451" s="26" t="n">
        <x:v>0.6</x:v>
      </x:c>
      <x:c r="L6451" s="22" t="n">
        <x:v>-77.625</x:v>
      </x:c>
      <x:c r="M6451" t="n">
        <x:v>2017</x:v>
      </x:c>
      <x:c r="N6451" s="20" t="n">
        <x:v>42795</x:v>
      </x:c>
    </x:row>
    <x:row r="6452" ht="18" customHeight="1">
      <x:c r="A6452" t="str">
        <x:v>US-2017-119816</x:v>
      </x:c>
      <x:c r="B6452" s="18" t="n">
        <x:v>42798</x:v>
      </x:c>
      <x:c r="C6452" t="str">
        <x:v>TT-21460</x:v>
      </x:c>
      <x:c r="D6452" t="str">
        <x:v>Tonja Turnell</x:v>
      </x:c>
      <x:c r="E6452" t="str">
        <x:v>Home Office</x:v>
      </x:c>
      <x:c r="F6452" t="str">
        <x:v>Central</x:v>
      </x:c>
      <x:c r="G6452" t="str">
        <x:v>Office Supplies</x:v>
      </x:c>
      <x:c r="H6452" t="str">
        <x:v>Labels</x:v>
      </x:c>
      <x:c r="I6452" s="22" t="n">
        <x:v>2.4640000000000004</x:v>
      </x:c>
      <x:c r="J6452" s="24" t="n">
        <x:v>1</x:v>
      </x:c>
      <x:c r="K6452" s="26" t="n">
        <x:v>0.2</x:v>
      </x:c>
      <x:c r="L6452" s="22" t="n">
        <x:v>0.8623999999999998</x:v>
      </x:c>
      <x:c r="M6452" t="n">
        <x:v>2017</x:v>
      </x:c>
      <x:c r="N6452" s="20" t="n">
        <x:v>42795</x:v>
      </x:c>
    </x:row>
    <x:row r="6453" ht="18" customHeight="1">
      <x:c r="A6453" t="str">
        <x:v>US-2017-119816</x:v>
      </x:c>
      <x:c r="B6453" s="18" t="n">
        <x:v>42798</x:v>
      </x:c>
      <x:c r="C6453" t="str">
        <x:v>TT-21460</x:v>
      </x:c>
      <x:c r="D6453" t="str">
        <x:v>Tonja Turnell</x:v>
      </x:c>
      <x:c r="E6453" t="str">
        <x:v>Home Office</x:v>
      </x:c>
      <x:c r="F6453" t="str">
        <x:v>Central</x:v>
      </x:c>
      <x:c r="G6453" t="str">
        <x:v>Office Supplies</x:v>
      </x:c>
      <x:c r="H6453" t="str">
        <x:v>Storage</x:v>
      </x:c>
      <x:c r="I6453" s="22" t="n">
        <x:v>8.72</x:v>
      </x:c>
      <x:c r="J6453" s="24" t="n">
        <x:v>1</x:v>
      </x:c>
      <x:c r="K6453" s="26" t="n">
        <x:v>0.2</x:v>
      </x:c>
      <x:c r="L6453" s="22" t="n">
        <x:v>0.6539999999999995</x:v>
      </x:c>
      <x:c r="M6453" t="n">
        <x:v>2017</x:v>
      </x:c>
      <x:c r="N6453" s="20" t="n">
        <x:v>42795</x:v>
      </x:c>
    </x:row>
    <x:row r="6454" ht="18" customHeight="1">
      <x:c r="A6454" t="str">
        <x:v>CA-2015-156510</x:v>
      </x:c>
      <x:c r="B6454" s="18" t="n">
        <x:v>42272</x:v>
      </x:c>
      <x:c r="C6454" t="str">
        <x:v>EH-13990</x:v>
      </x:c>
      <x:c r="D6454" t="str">
        <x:v>Erica Hackney</x:v>
      </x:c>
      <x:c r="E6454" t="str">
        <x:v>Consumer</x:v>
      </x:c>
      <x:c r="F6454" t="str">
        <x:v>East</x:v>
      </x:c>
      <x:c r="G6454" t="str">
        <x:v>Office Supplies</x:v>
      </x:c>
      <x:c r="H6454" t="str">
        <x:v>Binders</x:v>
      </x:c>
      <x:c r="I6454" s="22" t="n">
        <x:v>10.76</x:v>
      </x:c>
      <x:c r="J6454" s="24" t="n">
        <x:v>2</x:v>
      </x:c>
      <x:c r="K6454" s="26" t="n">
        <x:v>0</x:v>
      </x:c>
      <x:c r="L6454" s="22" t="n">
        <x:v>5.1648</x:v>
      </x:c>
      <x:c r="M6454" t="n">
        <x:v>2015</x:v>
      </x:c>
      <x:c r="N6454" s="20" t="n">
        <x:v>42248</x:v>
      </x:c>
    </x:row>
    <x:row r="6455" ht="18" customHeight="1">
      <x:c r="A6455" t="str">
        <x:v>CA-2015-156510</x:v>
      </x:c>
      <x:c r="B6455" s="18" t="n">
        <x:v>42272</x:v>
      </x:c>
      <x:c r="C6455" t="str">
        <x:v>EH-13990</x:v>
      </x:c>
      <x:c r="D6455" t="str">
        <x:v>Erica Hackney</x:v>
      </x:c>
      <x:c r="E6455" t="str">
        <x:v>Consumer</x:v>
      </x:c>
      <x:c r="F6455" t="str">
        <x:v>East</x:v>
      </x:c>
      <x:c r="G6455" t="str">
        <x:v>Office Supplies</x:v>
      </x:c>
      <x:c r="H6455" t="str">
        <x:v>Paper</x:v>
      </x:c>
      <x:c r="I6455" s="22" t="n">
        <x:v>45.68</x:v>
      </x:c>
      <x:c r="J6455" s="24" t="n">
        <x:v>2</x:v>
      </x:c>
      <x:c r="K6455" s="26" t="n">
        <x:v>0</x:v>
      </x:c>
      <x:c r="L6455" s="22" t="n">
        <x:v>21.0128</x:v>
      </x:c>
      <x:c r="M6455" t="n">
        <x:v>2015</x:v>
      </x:c>
      <x:c r="N6455" s="20" t="n">
        <x:v>42248</x:v>
      </x:c>
    </x:row>
    <x:row r="6456" ht="18" customHeight="1">
      <x:c r="A6456" t="str">
        <x:v>CA-2015-156510</x:v>
      </x:c>
      <x:c r="B6456" s="18" t="n">
        <x:v>42272</x:v>
      </x:c>
      <x:c r="C6456" t="str">
        <x:v>EH-13990</x:v>
      </x:c>
      <x:c r="D6456" t="str">
        <x:v>Erica Hackney</x:v>
      </x:c>
      <x:c r="E6456" t="str">
        <x:v>Consumer</x:v>
      </x:c>
      <x:c r="F6456" t="str">
        <x:v>East</x:v>
      </x:c>
      <x:c r="G6456" t="str">
        <x:v>Office Supplies</x:v>
      </x:c>
      <x:c r="H6456" t="str">
        <x:v>Art</x:v>
      </x:c>
      <x:c r="I6456" s="22" t="n">
        <x:v>6.7</x:v>
      </x:c>
      <x:c r="J6456" s="24" t="n">
        <x:v>1</x:v>
      </x:c>
      <x:c r="K6456" s="26" t="n">
        <x:v>0</x:v>
      </x:c>
      <x:c r="L6456" s="22" t="n">
        <x:v>2.2109999999999994</x:v>
      </x:c>
      <x:c r="M6456" t="n">
        <x:v>2015</x:v>
      </x:c>
      <x:c r="N6456" s="20" t="n">
        <x:v>42248</x:v>
      </x:c>
    </x:row>
    <x:row r="6457" ht="18" customHeight="1">
      <x:c r="A6457" t="str">
        <x:v>US-2015-110261</x:v>
      </x:c>
      <x:c r="B6457" s="18" t="n">
        <x:v>42357</x:v>
      </x:c>
      <x:c r="C6457" t="str">
        <x:v>PR-18880</x:v>
      </x:c>
      <x:c r="D6457" t="str">
        <x:v>Patrick Ryan</x:v>
      </x:c>
      <x:c r="E6457" t="str">
        <x:v>Consumer</x:v>
      </x:c>
      <x:c r="F6457" t="str">
        <x:v>Central</x:v>
      </x:c>
      <x:c r="G6457" t="str">
        <x:v>Technology</x:v>
      </x:c>
      <x:c r="H6457" t="str">
        <x:v>Phones</x:v>
      </x:c>
      <x:c r="I6457" s="22" t="n">
        <x:v>158.376</x:v>
      </x:c>
      <x:c r="J6457" s="24" t="n">
        <x:v>3</x:v>
      </x:c>
      <x:c r="K6457" s="26" t="n">
        <x:v>0.2</x:v>
      </x:c>
      <x:c r="L6457" s="22" t="n">
        <x:v>13.857900000000008</x:v>
      </x:c>
      <x:c r="M6457" t="n">
        <x:v>2015</x:v>
      </x:c>
      <x:c r="N6457" s="20" t="n">
        <x:v>42339</x:v>
      </x:c>
    </x:row>
    <x:row r="6458" ht="18" customHeight="1">
      <x:c r="A6458" t="str">
        <x:v>CA-2015-125710</x:v>
      </x:c>
      <x:c r="B6458" s="18" t="n">
        <x:v>42285</x:v>
      </x:c>
      <x:c r="C6458" t="str">
        <x:v>BT-11680</x:v>
      </x:c>
      <x:c r="D6458" t="str">
        <x:v>Brian Thompson</x:v>
      </x:c>
      <x:c r="E6458" t="str">
        <x:v>Consumer</x:v>
      </x:c>
      <x:c r="F6458" t="str">
        <x:v>Central</x:v>
      </x:c>
      <x:c r="G6458" t="str">
        <x:v>Office Supplies</x:v>
      </x:c>
      <x:c r="H6458" t="str">
        <x:v>Art</x:v>
      </x:c>
      <x:c r="I6458" s="22" t="n">
        <x:v>3.44</x:v>
      </x:c>
      <x:c r="J6458" s="24" t="n">
        <x:v>2</x:v>
      </x:c>
      <x:c r="K6458" s="26" t="n">
        <x:v>0.2</x:v>
      </x:c>
      <x:c r="L6458" s="22" t="n">
        <x:v>0.5589999999999996</x:v>
      </x:c>
      <x:c r="M6458" t="n">
        <x:v>2015</x:v>
      </x:c>
      <x:c r="N6458" s="20" t="n">
        <x:v>42278</x:v>
      </x:c>
    </x:row>
    <x:row r="6459" ht="18" customHeight="1">
      <x:c r="A6459" t="str">
        <x:v>CA-2017-161102</x:v>
      </x:c>
      <x:c r="B6459" s="18" t="n">
        <x:v>42947</x:v>
      </x:c>
      <x:c r="C6459" t="str">
        <x:v>EC-14050</x:v>
      </x:c>
      <x:c r="D6459" t="str">
        <x:v>Erin Creighton</x:v>
      </x:c>
      <x:c r="E6459" t="str">
        <x:v>Consumer</x:v>
      </x:c>
      <x:c r="F6459" t="str">
        <x:v>West</x:v>
      </x:c>
      <x:c r="G6459" t="str">
        <x:v>Office Supplies</x:v>
      </x:c>
      <x:c r="H6459" t="str">
        <x:v>Storage</x:v>
      </x:c>
      <x:c r="I6459" s="22" t="n">
        <x:v>56.56</x:v>
      </x:c>
      <x:c r="J6459" s="24" t="n">
        <x:v>2</x:v>
      </x:c>
      <x:c r="K6459" s="26" t="n">
        <x:v>0</x:v>
      </x:c>
      <x:c r="L6459" s="22" t="n">
        <x:v>15.2712</x:v>
      </x:c>
      <x:c r="M6459" t="n">
        <x:v>2017</x:v>
      </x:c>
      <x:c r="N6459" s="20" t="n">
        <x:v>42917</x:v>
      </x:c>
    </x:row>
    <x:row r="6460" ht="18" customHeight="1">
      <x:c r="A6460" t="str">
        <x:v>CA-2017-161102</x:v>
      </x:c>
      <x:c r="B6460" s="18" t="n">
        <x:v>42947</x:v>
      </x:c>
      <x:c r="C6460" t="str">
        <x:v>EC-14050</x:v>
      </x:c>
      <x:c r="D6460" t="str">
        <x:v>Erin Creighton</x:v>
      </x:c>
      <x:c r="E6460" t="str">
        <x:v>Consumer</x:v>
      </x:c>
      <x:c r="F6460" t="str">
        <x:v>West</x:v>
      </x:c>
      <x:c r="G6460" t="str">
        <x:v>Furniture</x:v>
      </x:c>
      <x:c r="H6460" t="str">
        <x:v>Furnishings</x:v>
      </x:c>
      <x:c r="I6460" s="22" t="n">
        <x:v>36.96</x:v>
      </x:c>
      <x:c r="J6460" s="24" t="n">
        <x:v>7</x:v>
      </x:c>
      <x:c r="K6460" s="26" t="n">
        <x:v>0</x:v>
      </x:c>
      <x:c r="L6460" s="22" t="n">
        <x:v>11.457599999999998</x:v>
      </x:c>
      <x:c r="M6460" t="n">
        <x:v>2017</x:v>
      </x:c>
      <x:c r="N6460" s="20" t="n">
        <x:v>42917</x:v>
      </x:c>
    </x:row>
    <x:row r="6461" ht="18" customHeight="1">
      <x:c r="A6461" t="str">
        <x:v>CA-2014-110065</x:v>
      </x:c>
      <x:c r="B6461" s="18" t="n">
        <x:v>41856</x:v>
      </x:c>
      <x:c r="C6461" t="str">
        <x:v>SP-20650</x:v>
      </x:c>
      <x:c r="D6461" t="str">
        <x:v>Stephanie Phelps</x:v>
      </x:c>
      <x:c r="E6461" t="str">
        <x:v>Corporate</x:v>
      </x:c>
      <x:c r="F6461" t="str">
        <x:v>East</x:v>
      </x:c>
      <x:c r="G6461" t="str">
        <x:v>Technology</x:v>
      </x:c>
      <x:c r="H6461" t="str">
        <x:v>Phones</x:v>
      </x:c>
      <x:c r="I6461" s="22" t="n">
        <x:v>135.99</x:v>
      </x:c>
      <x:c r="J6461" s="24" t="n">
        <x:v>1</x:v>
      </x:c>
      <x:c r="K6461" s="26" t="n">
        <x:v>0</x:v>
      </x:c>
      <x:c r="L6461" s="22" t="n">
        <x:v>36.71730000000001</x:v>
      </x:c>
      <x:c r="M6461" t="n">
        <x:v>2014</x:v>
      </x:c>
      <x:c r="N6461" s="20" t="n">
        <x:v>41852</x:v>
      </x:c>
    </x:row>
    <x:row r="6462" ht="18" customHeight="1">
      <x:c r="A6462" t="str">
        <x:v>CA-2014-110065</x:v>
      </x:c>
      <x:c r="B6462" s="18" t="n">
        <x:v>41856</x:v>
      </x:c>
      <x:c r="C6462" t="str">
        <x:v>SP-20650</x:v>
      </x:c>
      <x:c r="D6462" t="str">
        <x:v>Stephanie Phelps</x:v>
      </x:c>
      <x:c r="E6462" t="str">
        <x:v>Corporate</x:v>
      </x:c>
      <x:c r="F6462" t="str">
        <x:v>East</x:v>
      </x:c>
      <x:c r="G6462" t="str">
        <x:v>Office Supplies</x:v>
      </x:c>
      <x:c r="H6462" t="str">
        <x:v>Art</x:v>
      </x:c>
      <x:c r="I6462" s="22" t="n">
        <x:v>15.959999999999999</x:v>
      </x:c>
      <x:c r="J6462" s="24" t="n">
        <x:v>7</x:v>
      </x:c>
      <x:c r="K6462" s="26" t="n">
        <x:v>0</x:v>
      </x:c>
      <x:c r="L6462" s="22" t="n">
        <x:v>7.022400000000001</x:v>
      </x:c>
      <x:c r="M6462" t="n">
        <x:v>2014</x:v>
      </x:c>
      <x:c r="N6462" s="20" t="n">
        <x:v>41852</x:v>
      </x:c>
    </x:row>
    <x:row r="6463" ht="18" customHeight="1">
      <x:c r="A6463" t="str">
        <x:v>US-2017-133361</x:v>
      </x:c>
      <x:c r="B6463" s="18" t="n">
        <x:v>42869</x:v>
      </x:c>
      <x:c r="C6463" t="str">
        <x:v>AJ-10780</x:v>
      </x:c>
      <x:c r="D6463" t="str">
        <x:v>Anthony Jacobs</x:v>
      </x:c>
      <x:c r="E6463" t="str">
        <x:v>Corporate</x:v>
      </x:c>
      <x:c r="F6463" t="str">
        <x:v>East</x:v>
      </x:c>
      <x:c r="G6463" t="str">
        <x:v>Office Supplies</x:v>
      </x:c>
      <x:c r="H6463" t="str">
        <x:v>Art</x:v>
      </x:c>
      <x:c r="I6463" s="22" t="n">
        <x:v>3.76</x:v>
      </x:c>
      <x:c r="J6463" s="24" t="n">
        <x:v>2</x:v>
      </x:c>
      <x:c r="K6463" s="26" t="n">
        <x:v>0</x:v>
      </x:c>
      <x:c r="L6463" s="22" t="n">
        <x:v>1.0903999999999998</x:v>
      </x:c>
      <x:c r="M6463" t="n">
        <x:v>2017</x:v>
      </x:c>
      <x:c r="N6463" s="20" t="n">
        <x:v>42856</x:v>
      </x:c>
    </x:row>
    <x:row r="6464" ht="18" customHeight="1">
      <x:c r="A6464" t="str">
        <x:v>US-2017-133361</x:v>
      </x:c>
      <x:c r="B6464" s="18" t="n">
        <x:v>42869</x:v>
      </x:c>
      <x:c r="C6464" t="str">
        <x:v>AJ-10780</x:v>
      </x:c>
      <x:c r="D6464" t="str">
        <x:v>Anthony Jacobs</x:v>
      </x:c>
      <x:c r="E6464" t="str">
        <x:v>Corporate</x:v>
      </x:c>
      <x:c r="F6464" t="str">
        <x:v>East</x:v>
      </x:c>
      <x:c r="G6464" t="str">
        <x:v>Office Supplies</x:v>
      </x:c>
      <x:c r="H6464" t="str">
        <x:v>Art</x:v>
      </x:c>
      <x:c r="I6464" s="22" t="n">
        <x:v>14.7</x:v>
      </x:c>
      <x:c r="J6464" s="24" t="n">
        <x:v>5</x:v>
      </x:c>
      <x:c r="K6464" s="26" t="n">
        <x:v>0</x:v>
      </x:c>
      <x:c r="L6464" s="22" t="n">
        <x:v>6.615</x:v>
      </x:c>
      <x:c r="M6464" t="n">
        <x:v>2017</x:v>
      </x:c>
      <x:c r="N6464" s="20" t="n">
        <x:v>42856</x:v>
      </x:c>
    </x:row>
    <x:row r="6465" ht="18" customHeight="1">
      <x:c r="A6465" t="str">
        <x:v>US-2017-133361</x:v>
      </x:c>
      <x:c r="B6465" s="18" t="n">
        <x:v>42869</x:v>
      </x:c>
      <x:c r="C6465" t="str">
        <x:v>AJ-10780</x:v>
      </x:c>
      <x:c r="D6465" t="str">
        <x:v>Anthony Jacobs</x:v>
      </x:c>
      <x:c r="E6465" t="str">
        <x:v>Corporate</x:v>
      </x:c>
      <x:c r="F6465" t="str">
        <x:v>East</x:v>
      </x:c>
      <x:c r="G6465" t="str">
        <x:v>Office Supplies</x:v>
      </x:c>
      <x:c r="H6465" t="str">
        <x:v>Art</x:v>
      </x:c>
      <x:c r="I6465" s="22" t="n">
        <x:v>37.2</x:v>
      </x:c>
      <x:c r="J6465" s="24" t="n">
        <x:v>5</x:v>
      </x:c>
      <x:c r="K6465" s="26" t="n">
        <x:v>0</x:v>
      </x:c>
      <x:c r="L6465" s="22" t="n">
        <x:v>9.3</x:v>
      </x:c>
      <x:c r="M6465" t="n">
        <x:v>2017</x:v>
      </x:c>
      <x:c r="N6465" s="20" t="n">
        <x:v>42856</x:v>
      </x:c>
    </x:row>
    <x:row r="6466" ht="18" customHeight="1">
      <x:c r="A6466" t="str">
        <x:v>US-2017-133361</x:v>
      </x:c>
      <x:c r="B6466" s="18" t="n">
        <x:v>42869</x:v>
      </x:c>
      <x:c r="C6466" t="str">
        <x:v>AJ-10780</x:v>
      </x:c>
      <x:c r="D6466" t="str">
        <x:v>Anthony Jacobs</x:v>
      </x:c>
      <x:c r="E6466" t="str">
        <x:v>Corporate</x:v>
      </x:c>
      <x:c r="F6466" t="str">
        <x:v>East</x:v>
      </x:c>
      <x:c r="G6466" t="str">
        <x:v>Technology</x:v>
      </x:c>
      <x:c r="H6466" t="str">
        <x:v>Accessories</x:v>
      </x:c>
      <x:c r="I6466" s="22" t="n">
        <x:v>89.97</x:v>
      </x:c>
      <x:c r="J6466" s="24" t="n">
        <x:v>3</x:v>
      </x:c>
      <x:c r="K6466" s="26" t="n">
        <x:v>0</x:v>
      </x:c>
      <x:c r="L6466" s="22" t="n">
        <x:v>18.893699999999995</x:v>
      </x:c>
      <x:c r="M6466" t="n">
        <x:v>2017</x:v>
      </x:c>
      <x:c r="N6466" s="20" t="n">
        <x:v>42856</x:v>
      </x:c>
    </x:row>
    <x:row r="6467" ht="18" customHeight="1">
      <x:c r="A6467" t="str">
        <x:v>US-2017-133361</x:v>
      </x:c>
      <x:c r="B6467" s="18" t="n">
        <x:v>42869</x:v>
      </x:c>
      <x:c r="C6467" t="str">
        <x:v>AJ-10780</x:v>
      </x:c>
      <x:c r="D6467" t="str">
        <x:v>Anthony Jacobs</x:v>
      </x:c>
      <x:c r="E6467" t="str">
        <x:v>Corporate</x:v>
      </x:c>
      <x:c r="F6467" t="str">
        <x:v>East</x:v>
      </x:c>
      <x:c r="G6467" t="str">
        <x:v>Furniture</x:v>
      </x:c>
      <x:c r="H6467" t="str">
        <x:v>Chairs</x:v>
      </x:c>
      <x:c r="I6467" s="22" t="n">
        <x:v>261.96</x:v>
      </x:c>
      <x:c r="J6467" s="24" t="n">
        <x:v>2</x:v>
      </x:c>
      <x:c r="K6467" s="26" t="n">
        <x:v>0</x:v>
      </x:c>
      <x:c r="L6467" s="22" t="n">
        <x:v>23.57639999999998</x:v>
      </x:c>
      <x:c r="M6467" t="n">
        <x:v>2017</x:v>
      </x:c>
      <x:c r="N6467" s="20" t="n">
        <x:v>42856</x:v>
      </x:c>
    </x:row>
    <x:row r="6468" ht="18" customHeight="1">
      <x:c r="A6468" t="str">
        <x:v>US-2017-133361</x:v>
      </x:c>
      <x:c r="B6468" s="18" t="n">
        <x:v>42869</x:v>
      </x:c>
      <x:c r="C6468" t="str">
        <x:v>AJ-10780</x:v>
      </x:c>
      <x:c r="D6468" t="str">
        <x:v>Anthony Jacobs</x:v>
      </x:c>
      <x:c r="E6468" t="str">
        <x:v>Corporate</x:v>
      </x:c>
      <x:c r="F6468" t="str">
        <x:v>East</x:v>
      </x:c>
      <x:c r="G6468" t="str">
        <x:v>Office Supplies</x:v>
      </x:c>
      <x:c r="H6468" t="str">
        <x:v>Labels</x:v>
      </x:c>
      <x:c r="I6468" s="22" t="n">
        <x:v>74</x:v>
      </x:c>
      <x:c r="J6468" s="24" t="n">
        <x:v>5</x:v>
      </x:c>
      <x:c r="K6468" s="26" t="n">
        <x:v>0</x:v>
      </x:c>
      <x:c r="L6468" s="22" t="n">
        <x:v>37</x:v>
      </x:c>
      <x:c r="M6468" t="n">
        <x:v>2017</x:v>
      </x:c>
      <x:c r="N6468" s="20" t="n">
        <x:v>42856</x:v>
      </x:c>
    </x:row>
    <x:row r="6469" ht="18" customHeight="1">
      <x:c r="A6469" t="str">
        <x:v>US-2016-155404</x:v>
      </x:c>
      <x:c r="B6469" s="18" t="n">
        <x:v>42635</x:v>
      </x:c>
      <x:c r="C6469" t="str">
        <x:v>AS-10630</x:v>
      </x:c>
      <x:c r="D6469" t="str">
        <x:v>Ann Steele</x:v>
      </x:c>
      <x:c r="E6469" t="str">
        <x:v>Home Office</x:v>
      </x:c>
      <x:c r="F6469" t="str">
        <x:v>South</x:v>
      </x:c>
      <x:c r="G6469" t="str">
        <x:v>Furniture</x:v>
      </x:c>
      <x:c r="H6469" t="str">
        <x:v>Furnishings</x:v>
      </x:c>
      <x:c r="I6469" s="22" t="n">
        <x:v>13.28</x:v>
      </x:c>
      <x:c r="J6469" s="24" t="n">
        <x:v>2</x:v>
      </x:c>
      <x:c r="K6469" s="26" t="n">
        <x:v>0</x:v>
      </x:c>
      <x:c r="L6469" s="22" t="n">
        <x:v>6.3744</x:v>
      </x:c>
      <x:c r="M6469" t="n">
        <x:v>2016</x:v>
      </x:c>
      <x:c r="N6469" s="20" t="n">
        <x:v>42614</x:v>
      </x:c>
    </x:row>
    <x:row r="6470" ht="18" customHeight="1">
      <x:c r="A6470" t="str">
        <x:v>CA-2015-114503</x:v>
      </x:c>
      <x:c r="B6470" s="18" t="n">
        <x:v>42321</x:v>
      </x:c>
      <x:c r="C6470" t="str">
        <x:v>AA-10375</x:v>
      </x:c>
      <x:c r="D6470" t="str">
        <x:v>Allen Armold</x:v>
      </x:c>
      <x:c r="E6470" t="str">
        <x:v>Consumer</x:v>
      </x:c>
      <x:c r="F6470" t="str">
        <x:v>South</x:v>
      </x:c>
      <x:c r="G6470" t="str">
        <x:v>Office Supplies</x:v>
      </x:c>
      <x:c r="H6470" t="str">
        <x:v>Storage</x:v>
      </x:c>
      <x:c r="I6470" s="22" t="n">
        <x:v>84.96000000000001</x:v>
      </x:c>
      <x:c r="J6470" s="24" t="n">
        <x:v>6</x:v>
      </x:c>
      <x:c r="K6470" s="26" t="n">
        <x:v>0.2</x:v>
      </x:c>
      <x:c r="L6470" s="22" t="n">
        <x:v>6.372</x:v>
      </x:c>
      <x:c r="M6470" t="n">
        <x:v>2015</x:v>
      </x:c>
      <x:c r="N6470" s="20" t="n">
        <x:v>42309</x:v>
      </x:c>
    </x:row>
    <x:row r="6471" ht="18" customHeight="1">
      <x:c r="A6471" t="str">
        <x:v>CA-2017-153080</x:v>
      </x:c>
      <x:c r="B6471" s="18" t="n">
        <x:v>42877</x:v>
      </x:c>
      <x:c r="C6471" t="str">
        <x:v>EH-13945</x:v>
      </x:c>
      <x:c r="D6471" t="str">
        <x:v>Eric Hoffmann</x:v>
      </x:c>
      <x:c r="E6471" t="str">
        <x:v>Consumer</x:v>
      </x:c>
      <x:c r="F6471" t="str">
        <x:v>West</x:v>
      </x:c>
      <x:c r="G6471" t="str">
        <x:v>Technology</x:v>
      </x:c>
      <x:c r="H6471" t="str">
        <x:v>Accessories</x:v>
      </x:c>
      <x:c r="I6471" s="22" t="n">
        <x:v>68.46</x:v>
      </x:c>
      <x:c r="J6471" s="24" t="n">
        <x:v>7</x:v>
      </x:c>
      <x:c r="K6471" s="26" t="n">
        <x:v>0</x:v>
      </x:c>
      <x:c r="L6471" s="22" t="n">
        <x:v>25.330199999999998</x:v>
      </x:c>
      <x:c r="M6471" t="n">
        <x:v>2017</x:v>
      </x:c>
      <x:c r="N6471" s="20" t="n">
        <x:v>42856</x:v>
      </x:c>
    </x:row>
    <x:row r="6472" ht="18" customHeight="1">
      <x:c r="A6472" t="str">
        <x:v>CA-2016-163804</x:v>
      </x:c>
      <x:c r="B6472" s="18" t="n">
        <x:v>42706</x:v>
      </x:c>
      <x:c r="C6472" t="str">
        <x:v>DB-13270</x:v>
      </x:c>
      <x:c r="D6472" t="str">
        <x:v>Deborah Brumfield</x:v>
      </x:c>
      <x:c r="E6472" t="str">
        <x:v>Home Office</x:v>
      </x:c>
      <x:c r="F6472" t="str">
        <x:v>East</x:v>
      </x:c>
      <x:c r="G6472" t="str">
        <x:v>Office Supplies</x:v>
      </x:c>
      <x:c r="H6472" t="str">
        <x:v>Storage</x:v>
      </x:c>
      <x:c r="I6472" s="22" t="n">
        <x:v>2079.4</x:v>
      </x:c>
      <x:c r="J6472" s="24" t="n">
        <x:v>5</x:v>
      </x:c>
      <x:c r="K6472" s="26" t="n">
        <x:v>0</x:v>
      </x:c>
      <x:c r="L6472" s="22" t="n">
        <x:v>582.232</x:v>
      </x:c>
      <x:c r="M6472" t="n">
        <x:v>2016</x:v>
      </x:c>
      <x:c r="N6472" s="20" t="n">
        <x:v>42705</x:v>
      </x:c>
    </x:row>
    <x:row r="6473" ht="18" customHeight="1">
      <x:c r="A6473" t="str">
        <x:v>CA-2016-163804</x:v>
      </x:c>
      <x:c r="B6473" s="18" t="n">
        <x:v>42706</x:v>
      </x:c>
      <x:c r="C6473" t="str">
        <x:v>DB-13270</x:v>
      </x:c>
      <x:c r="D6473" t="str">
        <x:v>Deborah Brumfield</x:v>
      </x:c>
      <x:c r="E6473" t="str">
        <x:v>Home Office</x:v>
      </x:c>
      <x:c r="F6473" t="str">
        <x:v>East</x:v>
      </x:c>
      <x:c r="G6473" t="str">
        <x:v>Technology</x:v>
      </x:c>
      <x:c r="H6473" t="str">
        <x:v>Phones</x:v>
      </x:c>
      <x:c r="I6473" s="22" t="n">
        <x:v>629.9499999999999</x:v>
      </x:c>
      <x:c r="J6473" s="24" t="n">
        <x:v>5</x:v>
      </x:c>
      <x:c r="K6473" s="26" t="n">
        <x:v>0</x:v>
      </x:c>
      <x:c r="L6473" s="22" t="n">
        <x:v>176.38600000000002</x:v>
      </x:c>
      <x:c r="M6473" t="n">
        <x:v>2016</x:v>
      </x:c>
      <x:c r="N6473" s="20" t="n">
        <x:v>42705</x:v>
      </x:c>
    </x:row>
    <x:row r="6474" ht="18" customHeight="1">
      <x:c r="A6474" t="str">
        <x:v>CA-2016-163804</x:v>
      </x:c>
      <x:c r="B6474" s="18" t="n">
        <x:v>42706</x:v>
      </x:c>
      <x:c r="C6474" t="str">
        <x:v>DB-13270</x:v>
      </x:c>
      <x:c r="D6474" t="str">
        <x:v>Deborah Brumfield</x:v>
      </x:c>
      <x:c r="E6474" t="str">
        <x:v>Home Office</x:v>
      </x:c>
      <x:c r="F6474" t="str">
        <x:v>East</x:v>
      </x:c>
      <x:c r="G6474" t="str">
        <x:v>Furniture</x:v>
      </x:c>
      <x:c r="H6474" t="str">
        <x:v>Furnishings</x:v>
      </x:c>
      <x:c r="I6474" s="22" t="n">
        <x:v>72.42</x:v>
      </x:c>
      <x:c r="J6474" s="24" t="n">
        <x:v>6</x:v>
      </x:c>
      <x:c r="K6474" s="26" t="n">
        <x:v>0</x:v>
      </x:c>
      <x:c r="L6474" s="22" t="n">
        <x:v>23.898600000000002</x:v>
      </x:c>
      <x:c r="M6474" t="n">
        <x:v>2016</x:v>
      </x:c>
      <x:c r="N6474" s="20" t="n">
        <x:v>42705</x:v>
      </x:c>
    </x:row>
    <x:row r="6475" ht="18" customHeight="1">
      <x:c r="A6475" t="str">
        <x:v>CA-2015-108532</x:v>
      </x:c>
      <x:c r="B6475" s="18" t="n">
        <x:v>42245</x:v>
      </x:c>
      <x:c r="C6475" t="str">
        <x:v>CC-12100</x:v>
      </x:c>
      <x:c r="D6475" t="str">
        <x:v>Chad Cunningham</x:v>
      </x:c>
      <x:c r="E6475" t="str">
        <x:v>Home Office</x:v>
      </x:c>
      <x:c r="F6475" t="str">
        <x:v>Central</x:v>
      </x:c>
      <x:c r="G6475" t="str">
        <x:v>Technology</x:v>
      </x:c>
      <x:c r="H6475" t="str">
        <x:v>Phones</x:v>
      </x:c>
      <x:c r="I6475" s="22" t="n">
        <x:v>131.98</x:v>
      </x:c>
      <x:c r="J6475" s="24" t="n">
        <x:v>2</x:v>
      </x:c>
      <x:c r="K6475" s="26" t="n">
        <x:v>0</x:v>
      </x:c>
      <x:c r="L6475" s="22" t="n">
        <x:v>35.634600000000006</x:v>
      </x:c>
      <x:c r="M6475" t="n">
        <x:v>2015</x:v>
      </x:c>
      <x:c r="N6475" s="20" t="n">
        <x:v>42217</x:v>
      </x:c>
    </x:row>
    <x:row r="6476" ht="18" customHeight="1">
      <x:c r="A6476" t="str">
        <x:v>CA-2015-108532</x:v>
      </x:c>
      <x:c r="B6476" s="18" t="n">
        <x:v>42245</x:v>
      </x:c>
      <x:c r="C6476" t="str">
        <x:v>CC-12100</x:v>
      </x:c>
      <x:c r="D6476" t="str">
        <x:v>Chad Cunningham</x:v>
      </x:c>
      <x:c r="E6476" t="str">
        <x:v>Home Office</x:v>
      </x:c>
      <x:c r="F6476" t="str">
        <x:v>Central</x:v>
      </x:c>
      <x:c r="G6476" t="str">
        <x:v>Technology</x:v>
      </x:c>
      <x:c r="H6476" t="str">
        <x:v>Accessories</x:v>
      </x:c>
      <x:c r="I6476" s="22" t="n">
        <x:v>114.52</x:v>
      </x:c>
      <x:c r="J6476" s="24" t="n">
        <x:v>7</x:v>
      </x:c>
      <x:c r="K6476" s="26" t="n">
        <x:v>0</x:v>
      </x:c>
      <x:c r="L6476" s="22" t="n">
        <x:v>11.451999999999995</x:v>
      </x:c>
      <x:c r="M6476" t="n">
        <x:v>2015</x:v>
      </x:c>
      <x:c r="N6476" s="20" t="n">
        <x:v>42217</x:v>
      </x:c>
    </x:row>
    <x:row r="6477" ht="18" customHeight="1">
      <x:c r="A6477" t="str">
        <x:v>CA-2014-151897</x:v>
      </x:c>
      <x:c r="B6477" s="18" t="n">
        <x:v>41796</x:v>
      </x:c>
      <x:c r="C6477" t="str">
        <x:v>VT-21700</x:v>
      </x:c>
      <x:c r="D6477" t="str">
        <x:v>Valerie Takahito</x:v>
      </x:c>
      <x:c r="E6477" t="str">
        <x:v>Home Office</x:v>
      </x:c>
      <x:c r="F6477" t="str">
        <x:v>Central</x:v>
      </x:c>
      <x:c r="G6477" t="str">
        <x:v>Office Supplies</x:v>
      </x:c>
      <x:c r="H6477" t="str">
        <x:v>Labels</x:v>
      </x:c>
      <x:c r="I6477" s="22" t="n">
        <x:v>100.24000000000001</x:v>
      </x:c>
      <x:c r="J6477" s="24" t="n">
        <x:v>10</x:v>
      </x:c>
      <x:c r="K6477" s="26" t="n">
        <x:v>0.2</x:v>
      </x:c>
      <x:c r="L6477" s="22" t="n">
        <x:v>33.83099999999999</x:v>
      </x:c>
      <x:c r="M6477" t="n">
        <x:v>2014</x:v>
      </x:c>
      <x:c r="N6477" s="20" t="n">
        <x:v>41791</x:v>
      </x:c>
    </x:row>
    <x:row r="6478" ht="18" customHeight="1">
      <x:c r="A6478" t="str">
        <x:v>CA-2016-113292</x:v>
      </x:c>
      <x:c r="B6478" s="18" t="n">
        <x:v>42447</x:v>
      </x:c>
      <x:c r="C6478" t="str">
        <x:v>DB-13060</x:v>
      </x:c>
      <x:c r="D6478" t="str">
        <x:v>Dave Brooks</x:v>
      </x:c>
      <x:c r="E6478" t="str">
        <x:v>Consumer</x:v>
      </x:c>
      <x:c r="F6478" t="str">
        <x:v>South</x:v>
      </x:c>
      <x:c r="G6478" t="str">
        <x:v>Office Supplies</x:v>
      </x:c>
      <x:c r="H6478" t="str">
        <x:v>Appliances</x:v>
      </x:c>
      <x:c r="I6478" s="22" t="n">
        <x:v>871.8000000000001</x:v>
      </x:c>
      <x:c r="J6478" s="24" t="n">
        <x:v>3</x:v>
      </x:c>
      <x:c r="K6478" s="26" t="n">
        <x:v>0.2</x:v>
      </x:c>
      <x:c r="L6478" s="22" t="n">
        <x:v>87.18000000000009</x:v>
      </x:c>
      <x:c r="M6478" t="n">
        <x:v>2016</x:v>
      </x:c>
      <x:c r="N6478" s="20" t="n">
        <x:v>42430</x:v>
      </x:c>
    </x:row>
    <x:row r="6479" ht="18" customHeight="1">
      <x:c r="A6479" t="str">
        <x:v>CA-2014-149524</x:v>
      </x:c>
      <x:c r="B6479" s="18" t="n">
        <x:v>41653</x:v>
      </x:c>
      <x:c r="C6479" t="str">
        <x:v>BS-11590</x:v>
      </x:c>
      <x:c r="D6479" t="str">
        <x:v>Brendan Sweed</x:v>
      </x:c>
      <x:c r="E6479" t="str">
        <x:v>Corporate</x:v>
      </x:c>
      <x:c r="F6479" t="str">
        <x:v>East</x:v>
      </x:c>
      <x:c r="G6479" t="str">
        <x:v>Furniture</x:v>
      </x:c>
      <x:c r="H6479" t="str">
        <x:v>Bookcases</x:v>
      </x:c>
      <x:c r="I6479" s="22" t="n">
        <x:v>61.96</x:v>
      </x:c>
      <x:c r="J6479" s="24" t="n">
        <x:v>4</x:v>
      </x:c>
      <x:c r="K6479" s="26" t="n">
        <x:v>0.5</x:v>
      </x:c>
      <x:c r="L6479" s="22" t="n">
        <x:v>-53.28560000000001</x:v>
      </x:c>
      <x:c r="M6479" t="n">
        <x:v>2014</x:v>
      </x:c>
      <x:c r="N6479" s="20" t="n">
        <x:v>41640</x:v>
      </x:c>
    </x:row>
    <x:row r="6480" ht="18" customHeight="1">
      <x:c r="A6480" t="str">
        <x:v>CA-2017-140872</x:v>
      </x:c>
      <x:c r="B6480" s="18" t="n">
        <x:v>42889</x:v>
      </x:c>
      <x:c r="C6480" t="str">
        <x:v>NR-18550</x:v>
      </x:c>
      <x:c r="D6480" t="str">
        <x:v>Nick Radford</x:v>
      </x:c>
      <x:c r="E6480" t="str">
        <x:v>Consumer</x:v>
      </x:c>
      <x:c r="F6480" t="str">
        <x:v>South</x:v>
      </x:c>
      <x:c r="G6480" t="str">
        <x:v>Office Supplies</x:v>
      </x:c>
      <x:c r="H6480" t="str">
        <x:v>Binders</x:v>
      </x:c>
      <x:c r="I6480" s="22" t="n">
        <x:v>4.554</x:v>
      </x:c>
      <x:c r="J6480" s="24" t="n">
        <x:v>3</x:v>
      </x:c>
      <x:c r="K6480" s="26" t="n">
        <x:v>0.7</x:v>
      </x:c>
      <x:c r="L6480" s="22" t="n">
        <x:v>-3.4913999999999987</x:v>
      </x:c>
      <x:c r="M6480" t="n">
        <x:v>2017</x:v>
      </x:c>
      <x:c r="N6480" s="20" t="n">
        <x:v>42887</x:v>
      </x:c>
    </x:row>
    <x:row r="6481" ht="18" customHeight="1">
      <x:c r="A6481" t="str">
        <x:v>CA-2017-140872</x:v>
      </x:c>
      <x:c r="B6481" s="18" t="n">
        <x:v>42889</x:v>
      </x:c>
      <x:c r="C6481" t="str">
        <x:v>NR-18550</x:v>
      </x:c>
      <x:c r="D6481" t="str">
        <x:v>Nick Radford</x:v>
      </x:c>
      <x:c r="E6481" t="str">
        <x:v>Consumer</x:v>
      </x:c>
      <x:c r="F6481" t="str">
        <x:v>South</x:v>
      </x:c>
      <x:c r="G6481" t="str">
        <x:v>Office Supplies</x:v>
      </x:c>
      <x:c r="H6481" t="str">
        <x:v>Appliances</x:v>
      </x:c>
      <x:c r="I6481" s="22" t="n">
        <x:v>5.2</x:v>
      </x:c>
      <x:c r="J6481" s="24" t="n">
        <x:v>2</x:v>
      </x:c>
      <x:c r="K6481" s="26" t="n">
        <x:v>0.2</x:v>
      </x:c>
      <x:c r="L6481" s="22" t="n">
        <x:v>0.5849999999999997</x:v>
      </x:c>
      <x:c r="M6481" t="n">
        <x:v>2017</x:v>
      </x:c>
      <x:c r="N6481" s="20" t="n">
        <x:v>42887</x:v>
      </x:c>
    </x:row>
    <x:row r="6482" ht="18" customHeight="1">
      <x:c r="A6482" t="str">
        <x:v>CA-2017-140872</x:v>
      </x:c>
      <x:c r="B6482" s="18" t="n">
        <x:v>42889</x:v>
      </x:c>
      <x:c r="C6482" t="str">
        <x:v>NR-18550</x:v>
      </x:c>
      <x:c r="D6482" t="str">
        <x:v>Nick Radford</x:v>
      </x:c>
      <x:c r="E6482" t="str">
        <x:v>Consumer</x:v>
      </x:c>
      <x:c r="F6482" t="str">
        <x:v>South</x:v>
      </x:c>
      <x:c r="G6482" t="str">
        <x:v>Technology</x:v>
      </x:c>
      <x:c r="H6482" t="str">
        <x:v>Accessories</x:v>
      </x:c>
      <x:c r="I6482" s="22" t="n">
        <x:v>205.99200000000002</x:v>
      </x:c>
      <x:c r="J6482" s="24" t="n">
        <x:v>1</x:v>
      </x:c>
      <x:c r="K6482" s="26" t="n">
        <x:v>0.2</x:v>
      </x:c>
      <x:c r="L6482" s="22" t="n">
        <x:v>-2.574900000000028</x:v>
      </x:c>
      <x:c r="M6482" t="n">
        <x:v>2017</x:v>
      </x:c>
      <x:c r="N6482" s="20" t="n">
        <x:v>42887</x:v>
      </x:c>
    </x:row>
    <x:row r="6483" ht="18" customHeight="1">
      <x:c r="A6483" t="str">
        <x:v>CA-2017-140872</x:v>
      </x:c>
      <x:c r="B6483" s="18" t="n">
        <x:v>42889</x:v>
      </x:c>
      <x:c r="C6483" t="str">
        <x:v>NR-18550</x:v>
      </x:c>
      <x:c r="D6483" t="str">
        <x:v>Nick Radford</x:v>
      </x:c>
      <x:c r="E6483" t="str">
        <x:v>Consumer</x:v>
      </x:c>
      <x:c r="F6483" t="str">
        <x:v>South</x:v>
      </x:c>
      <x:c r="G6483" t="str">
        <x:v>Office Supplies</x:v>
      </x:c>
      <x:c r="H6483" t="str">
        <x:v>Paper</x:v>
      </x:c>
      <x:c r="I6483" s="22" t="n">
        <x:v>15.552000000000003</x:v>
      </x:c>
      <x:c r="J6483" s="24" t="n">
        <x:v>3</x:v>
      </x:c>
      <x:c r="K6483" s="26" t="n">
        <x:v>0.2</x:v>
      </x:c>
      <x:c r="L6483" s="22" t="n">
        <x:v>5.4432</x:v>
      </x:c>
      <x:c r="M6483" t="n">
        <x:v>2017</x:v>
      </x:c>
      <x:c r="N6483" s="20" t="n">
        <x:v>42887</x:v>
      </x:c>
    </x:row>
    <x:row r="6484" ht="18" customHeight="1">
      <x:c r="A6484" t="str">
        <x:v>CA-2017-140872</x:v>
      </x:c>
      <x:c r="B6484" s="18" t="n">
        <x:v>42889</x:v>
      </x:c>
      <x:c r="C6484" t="str">
        <x:v>NR-18550</x:v>
      </x:c>
      <x:c r="D6484" t="str">
        <x:v>Nick Radford</x:v>
      </x:c>
      <x:c r="E6484" t="str">
        <x:v>Consumer</x:v>
      </x:c>
      <x:c r="F6484" t="str">
        <x:v>South</x:v>
      </x:c>
      <x:c r="G6484" t="str">
        <x:v>Technology</x:v>
      </x:c>
      <x:c r="H6484" t="str">
        <x:v>Phones</x:v>
      </x:c>
      <x:c r="I6484" s="22" t="n">
        <x:v>503.96000000000004</x:v>
      </x:c>
      <x:c r="J6484" s="24" t="n">
        <x:v>5</x:v>
      </x:c>
      <x:c r="K6484" s="26" t="n">
        <x:v>0.2</x:v>
      </x:c>
      <x:c r="L6484" s="22" t="n">
        <x:v>50.396000000000015</x:v>
      </x:c>
      <x:c r="M6484" t="n">
        <x:v>2017</x:v>
      </x:c>
      <x:c r="N6484" s="20" t="n">
        <x:v>42887</x:v>
      </x:c>
    </x:row>
    <x:row r="6485" ht="18" customHeight="1">
      <x:c r="A6485" t="str">
        <x:v>CA-2017-140872</x:v>
      </x:c>
      <x:c r="B6485" s="18" t="n">
        <x:v>42889</x:v>
      </x:c>
      <x:c r="C6485" t="str">
        <x:v>NR-18550</x:v>
      </x:c>
      <x:c r="D6485" t="str">
        <x:v>Nick Radford</x:v>
      </x:c>
      <x:c r="E6485" t="str">
        <x:v>Consumer</x:v>
      </x:c>
      <x:c r="F6485" t="str">
        <x:v>South</x:v>
      </x:c>
      <x:c r="G6485" t="str">
        <x:v>Office Supplies</x:v>
      </x:c>
      <x:c r="H6485" t="str">
        <x:v>Appliances</x:v>
      </x:c>
      <x:c r="I6485" s="22" t="n">
        <x:v>24.472</x:v>
      </x:c>
      <x:c r="J6485" s="24" t="n">
        <x:v>7</x:v>
      </x:c>
      <x:c r="K6485" s="26" t="n">
        <x:v>0.2</x:v>
      </x:c>
      <x:c r="L6485" s="22" t="n">
        <x:v>1.8354</x:v>
      </x:c>
      <x:c r="M6485" t="n">
        <x:v>2017</x:v>
      </x:c>
      <x:c r="N6485" s="20" t="n">
        <x:v>42887</x:v>
      </x:c>
    </x:row>
    <x:row r="6486" ht="18" customHeight="1">
      <x:c r="A6486" t="str">
        <x:v>CA-2017-140872</x:v>
      </x:c>
      <x:c r="B6486" s="18" t="n">
        <x:v>42889</x:v>
      </x:c>
      <x:c r="C6486" t="str">
        <x:v>NR-18550</x:v>
      </x:c>
      <x:c r="D6486" t="str">
        <x:v>Nick Radford</x:v>
      </x:c>
      <x:c r="E6486" t="str">
        <x:v>Consumer</x:v>
      </x:c>
      <x:c r="F6486" t="str">
        <x:v>South</x:v>
      </x:c>
      <x:c r="G6486" t="str">
        <x:v>Furniture</x:v>
      </x:c>
      <x:c r="H6486" t="str">
        <x:v>Bookcases</x:v>
      </x:c>
      <x:c r="I6486" s="22" t="n">
        <x:v>241.56799999999998</x:v>
      </x:c>
      <x:c r="J6486" s="24" t="n">
        <x:v>2</x:v>
      </x:c>
      <x:c r="K6486" s="26" t="n">
        <x:v>0.2</x:v>
      </x:c>
      <x:c r="L6486" s="22" t="n">
        <x:v>0</x:v>
      </x:c>
      <x:c r="M6486" t="n">
        <x:v>2017</x:v>
      </x:c>
      <x:c r="N6486" s="20" t="n">
        <x:v>42887</x:v>
      </x:c>
    </x:row>
    <x:row r="6487" ht="18" customHeight="1">
      <x:c r="A6487" t="str">
        <x:v>CA-2017-140872</x:v>
      </x:c>
      <x:c r="B6487" s="18" t="n">
        <x:v>42889</x:v>
      </x:c>
      <x:c r="C6487" t="str">
        <x:v>NR-18550</x:v>
      </x:c>
      <x:c r="D6487" t="str">
        <x:v>Nick Radford</x:v>
      </x:c>
      <x:c r="E6487" t="str">
        <x:v>Consumer</x:v>
      </x:c>
      <x:c r="F6487" t="str">
        <x:v>South</x:v>
      </x:c>
      <x:c r="G6487" t="str">
        <x:v>Technology</x:v>
      </x:c>
      <x:c r="H6487" t="str">
        <x:v>Accessories</x:v>
      </x:c>
      <x:c r="I6487" s="22" t="n">
        <x:v>110.4</x:v>
      </x:c>
      <x:c r="J6487" s="24" t="n">
        <x:v>2</x:v>
      </x:c>
      <x:c r="K6487" s="26" t="n">
        <x:v>0.2</x:v>
      </x:c>
      <x:c r="L6487" s="22" t="n">
        <x:v>-4.140000000000008</x:v>
      </x:c>
      <x:c r="M6487" t="n">
        <x:v>2017</x:v>
      </x:c>
      <x:c r="N6487" s="20" t="n">
        <x:v>42887</x:v>
      </x:c>
    </x:row>
    <x:row r="6488" ht="18" customHeight="1">
      <x:c r="A6488" t="str">
        <x:v>CA-2017-113908</x:v>
      </x:c>
      <x:c r="B6488" s="18" t="n">
        <x:v>42889</x:v>
      </x:c>
      <x:c r="C6488" t="str">
        <x:v>KN-16390</x:v>
      </x:c>
      <x:c r="D6488" t="str">
        <x:v>Katherine Nockton</x:v>
      </x:c>
      <x:c r="E6488" t="str">
        <x:v>Corporate</x:v>
      </x:c>
      <x:c r="F6488" t="str">
        <x:v>East</x:v>
      </x:c>
      <x:c r="G6488" t="str">
        <x:v>Furniture</x:v>
      </x:c>
      <x:c r="H6488" t="str">
        <x:v>Tables</x:v>
      </x:c>
      <x:c r="I6488" s="22" t="n">
        <x:v>384.768</x:v>
      </x:c>
      <x:c r="J6488" s="24" t="n">
        <x:v>2</x:v>
      </x:c>
      <x:c r="K6488" s="26" t="n">
        <x:v>0.4</x:v>
      </x:c>
      <x:c r="L6488" s="22" t="n">
        <x:v>-115.43040000000002</x:v>
      </x:c>
      <x:c r="M6488" t="n">
        <x:v>2017</x:v>
      </x:c>
      <x:c r="N6488" s="20" t="n">
        <x:v>42887</x:v>
      </x:c>
    </x:row>
    <x:row r="6489" ht="18" customHeight="1">
      <x:c r="A6489" t="str">
        <x:v>CA-2017-113908</x:v>
      </x:c>
      <x:c r="B6489" s="18" t="n">
        <x:v>42889</x:v>
      </x:c>
      <x:c r="C6489" t="str">
        <x:v>KN-16390</x:v>
      </x:c>
      <x:c r="D6489" t="str">
        <x:v>Katherine Nockton</x:v>
      </x:c>
      <x:c r="E6489" t="str">
        <x:v>Corporate</x:v>
      </x:c>
      <x:c r="F6489" t="str">
        <x:v>East</x:v>
      </x:c>
      <x:c r="G6489" t="str">
        <x:v>Technology</x:v>
      </x:c>
      <x:c r="H6489" t="str">
        <x:v>Machines</x:v>
      </x:c>
      <x:c r="I6489" s="22" t="n">
        <x:v>78.66</x:v>
      </x:c>
      <x:c r="J6489" s="24" t="n">
        <x:v>6</x:v>
      </x:c>
      <x:c r="K6489" s="26" t="n">
        <x:v>0</x:v>
      </x:c>
      <x:c r="L6489" s="22" t="n">
        <x:v>36.18359999999999</x:v>
      </x:c>
      <x:c r="M6489" t="n">
        <x:v>2017</x:v>
      </x:c>
      <x:c r="N6489" s="20" t="n">
        <x:v>42887</x:v>
      </x:c>
    </x:row>
    <x:row r="6490" ht="18" customHeight="1">
      <x:c r="A6490" t="str">
        <x:v>CA-2017-113908</x:v>
      </x:c>
      <x:c r="B6490" s="18" t="n">
        <x:v>42889</x:v>
      </x:c>
      <x:c r="C6490" t="str">
        <x:v>KN-16390</x:v>
      </x:c>
      <x:c r="D6490" t="str">
        <x:v>Katherine Nockton</x:v>
      </x:c>
      <x:c r="E6490" t="str">
        <x:v>Corporate</x:v>
      </x:c>
      <x:c r="F6490" t="str">
        <x:v>East</x:v>
      </x:c>
      <x:c r="G6490" t="str">
        <x:v>Office Supplies</x:v>
      </x:c>
      <x:c r="H6490" t="str">
        <x:v>Paper</x:v>
      </x:c>
      <x:c r="I6490" s="22" t="n">
        <x:v>45.36</x:v>
      </x:c>
      <x:c r="J6490" s="24" t="n">
        <x:v>4</x:v>
      </x:c>
      <x:c r="K6490" s="26" t="n">
        <x:v>0</x:v>
      </x:c>
      <x:c r="L6490" s="22" t="n">
        <x:v>22.226399999999998</x:v>
      </x:c>
      <x:c r="M6490" t="n">
        <x:v>2017</x:v>
      </x:c>
      <x:c r="N6490" s="20" t="n">
        <x:v>42887</x:v>
      </x:c>
    </x:row>
    <x:row r="6491" ht="18" customHeight="1">
      <x:c r="A6491" t="str">
        <x:v>CA-2015-120621</x:v>
      </x:c>
      <x:c r="B6491" s="18" t="n">
        <x:v>42084</x:v>
      </x:c>
      <x:c r="C6491" t="str">
        <x:v>JW-16075</x:v>
      </x:c>
      <x:c r="D6491" t="str">
        <x:v>Julia West</x:v>
      </x:c>
      <x:c r="E6491" t="str">
        <x:v>Consumer</x:v>
      </x:c>
      <x:c r="F6491" t="str">
        <x:v>South</x:v>
      </x:c>
      <x:c r="G6491" t="str">
        <x:v>Office Supplies</x:v>
      </x:c>
      <x:c r="H6491" t="str">
        <x:v>Appliances</x:v>
      </x:c>
      <x:c r="I6491" s="22" t="n">
        <x:v>962.0799999999999</x:v>
      </x:c>
      <x:c r="J6491" s="24" t="n">
        <x:v>4</x:v>
      </x:c>
      <x:c r="K6491" s="26" t="n">
        <x:v>0.2</x:v>
      </x:c>
      <x:c r="L6491" s="22" t="n">
        <x:v>156.33799999999997</x:v>
      </x:c>
      <x:c r="M6491" t="n">
        <x:v>2015</x:v>
      </x:c>
      <x:c r="N6491" s="20" t="n">
        <x:v>42064</x:v>
      </x:c>
    </x:row>
    <x:row r="6492" ht="18" customHeight="1">
      <x:c r="A6492" t="str">
        <x:v>CA-2015-120621</x:v>
      </x:c>
      <x:c r="B6492" s="18" t="n">
        <x:v>42084</x:v>
      </x:c>
      <x:c r="C6492" t="str">
        <x:v>JW-16075</x:v>
      </x:c>
      <x:c r="D6492" t="str">
        <x:v>Julia West</x:v>
      </x:c>
      <x:c r="E6492" t="str">
        <x:v>Consumer</x:v>
      </x:c>
      <x:c r="F6492" t="str">
        <x:v>South</x:v>
      </x:c>
      <x:c r="G6492" t="str">
        <x:v>Office Supplies</x:v>
      </x:c>
      <x:c r="H6492" t="str">
        <x:v>Binders</x:v>
      </x:c>
      <x:c r="I6492" s="22" t="n">
        <x:v>12.843000000000002</x:v>
      </x:c>
      <x:c r="J6492" s="24" t="n">
        <x:v>3</x:v>
      </x:c>
      <x:c r="K6492" s="26" t="n">
        <x:v>0.7</x:v>
      </x:c>
      <x:c r="L6492" s="22" t="n">
        <x:v>-9.8463</x:v>
      </x:c>
      <x:c r="M6492" t="n">
        <x:v>2015</x:v>
      </x:c>
      <x:c r="N6492" s="20" t="n">
        <x:v>42064</x:v>
      </x:c>
    </x:row>
    <x:row r="6493" ht="18" customHeight="1">
      <x:c r="A6493" t="str">
        <x:v>CA-2015-120621</x:v>
      </x:c>
      <x:c r="B6493" s="18" t="n">
        <x:v>42084</x:v>
      </x:c>
      <x:c r="C6493" t="str">
        <x:v>JW-16075</x:v>
      </x:c>
      <x:c r="D6493" t="str">
        <x:v>Julia West</x:v>
      </x:c>
      <x:c r="E6493" t="str">
        <x:v>Consumer</x:v>
      </x:c>
      <x:c r="F6493" t="str">
        <x:v>South</x:v>
      </x:c>
      <x:c r="G6493" t="str">
        <x:v>Office Supplies</x:v>
      </x:c>
      <x:c r="H6493" t="str">
        <x:v>Paper</x:v>
      </x:c>
      <x:c r="I6493" s="22" t="n">
        <x:v>295.456</x:v>
      </x:c>
      <x:c r="J6493" s="24" t="n">
        <x:v>14</x:v>
      </x:c>
      <x:c r="K6493" s="26" t="n">
        <x:v>0.2</x:v>
      </x:c>
      <x:c r="L6493" s="22" t="n">
        <x:v>96.02319999999997</x:v>
      </x:c>
      <x:c r="M6493" t="n">
        <x:v>2015</x:v>
      </x:c>
      <x:c r="N6493" s="20" t="n">
        <x:v>42064</x:v>
      </x:c>
    </x:row>
    <x:row r="6494" ht="18" customHeight="1">
      <x:c r="A6494" t="str">
        <x:v>US-2017-148866</x:v>
      </x:c>
      <x:c r="B6494" s="18" t="n">
        <x:v>42997</x:v>
      </x:c>
      <x:c r="C6494" t="str">
        <x:v>JM-15535</x:v>
      </x:c>
      <x:c r="D6494" t="str">
        <x:v>Jessica Myrick</x:v>
      </x:c>
      <x:c r="E6494" t="str">
        <x:v>Consumer</x:v>
      </x:c>
      <x:c r="F6494" t="str">
        <x:v>East</x:v>
      </x:c>
      <x:c r="G6494" t="str">
        <x:v>Office Supplies</x:v>
      </x:c>
      <x:c r="H6494" t="str">
        <x:v>Paper</x:v>
      </x:c>
      <x:c r="I6494" s="22" t="n">
        <x:v>32.400000000000006</x:v>
      </x:c>
      <x:c r="J6494" s="24" t="n">
        <x:v>5</x:v>
      </x:c>
      <x:c r="K6494" s="26" t="n">
        <x:v>0</x:v>
      </x:c>
      <x:c r="L6494" s="22" t="n">
        <x:v>15.552000000000001</x:v>
      </x:c>
      <x:c r="M6494" t="n">
        <x:v>2017</x:v>
      </x:c>
      <x:c r="N6494" s="20" t="n">
        <x:v>42979</x:v>
      </x:c>
    </x:row>
    <x:row r="6495" ht="18" customHeight="1">
      <x:c r="A6495" t="str">
        <x:v>CA-2014-149594</x:v>
      </x:c>
      <x:c r="B6495" s="18" t="n">
        <x:v>41897</x:v>
      </x:c>
      <x:c r="C6495" t="str">
        <x:v>MF-18250</x:v>
      </x:c>
      <x:c r="D6495" t="str">
        <x:v>Monica Federle</x:v>
      </x:c>
      <x:c r="E6495" t="str">
        <x:v>Corporate</x:v>
      </x:c>
      <x:c r="F6495" t="str">
        <x:v>East</x:v>
      </x:c>
      <x:c r="G6495" t="str">
        <x:v>Furniture</x:v>
      </x:c>
      <x:c r="H6495" t="str">
        <x:v>Furnishings</x:v>
      </x:c>
      <x:c r="I6495" s="22" t="n">
        <x:v>103.93599999999999</x:v>
      </x:c>
      <x:c r="J6495" s="24" t="n">
        <x:v>4</x:v>
      </x:c>
      <x:c r="K6495" s="26" t="n">
        <x:v>0.2</x:v>
      </x:c>
      <x:c r="L6495" s="22" t="n">
        <x:v>16.889599999999998</x:v>
      </x:c>
      <x:c r="M6495" t="n">
        <x:v>2014</x:v>
      </x:c>
      <x:c r="N6495" s="20" t="n">
        <x:v>41883</x:v>
      </x:c>
    </x:row>
    <x:row r="6496" ht="18" customHeight="1">
      <x:c r="A6496" t="str">
        <x:v>CA-2016-113845</x:v>
      </x:c>
      <x:c r="B6496" s="18" t="n">
        <x:v>42694</x:v>
      </x:c>
      <x:c r="C6496" t="str">
        <x:v>FA-14230</x:v>
      </x:c>
      <x:c r="D6496" t="str">
        <x:v>Frank Atkinson</x:v>
      </x:c>
      <x:c r="E6496" t="str">
        <x:v>Corporate</x:v>
      </x:c>
      <x:c r="F6496" t="str">
        <x:v>South</x:v>
      </x:c>
      <x:c r="G6496" t="str">
        <x:v>Furniture</x:v>
      </x:c>
      <x:c r="H6496" t="str">
        <x:v>Bookcases</x:v>
      </x:c>
      <x:c r="I6496" s="22" t="n">
        <x:v>289.568</x:v>
      </x:c>
      <x:c r="J6496" s="24" t="n">
        <x:v>2</x:v>
      </x:c>
      <x:c r="K6496" s="26" t="n">
        <x:v>0.2</x:v>
      </x:c>
      <x:c r="L6496" s="22" t="n">
        <x:v>10.858799999999974</x:v>
      </x:c>
      <x:c r="M6496" t="n">
        <x:v>2016</x:v>
      </x:c>
      <x:c r="N6496" s="20" t="n">
        <x:v>42675</x:v>
      </x:c>
    </x:row>
    <x:row r="6497" ht="18" customHeight="1">
      <x:c r="A6497" t="str">
        <x:v>CA-2016-113845</x:v>
      </x:c>
      <x:c r="B6497" s="18" t="n">
        <x:v>42694</x:v>
      </x:c>
      <x:c r="C6497" t="str">
        <x:v>FA-14230</x:v>
      </x:c>
      <x:c r="D6497" t="str">
        <x:v>Frank Atkinson</x:v>
      </x:c>
      <x:c r="E6497" t="str">
        <x:v>Corporate</x:v>
      </x:c>
      <x:c r="F6497" t="str">
        <x:v>South</x:v>
      </x:c>
      <x:c r="G6497" t="str">
        <x:v>Office Supplies</x:v>
      </x:c>
      <x:c r="H6497" t="str">
        <x:v>Storage</x:v>
      </x:c>
      <x:c r="I6497" s="22" t="n">
        <x:v>39.72</x:v>
      </x:c>
      <x:c r="J6497" s="24" t="n">
        <x:v>5</x:v>
      </x:c>
      <x:c r="K6497" s="26" t="n">
        <x:v>0.2</x:v>
      </x:c>
      <x:c r="L6497" s="22" t="n">
        <x:v>4.468499999999995</x:v>
      </x:c>
      <x:c r="M6497" t="n">
        <x:v>2016</x:v>
      </x:c>
      <x:c r="N6497" s="20" t="n">
        <x:v>42675</x:v>
      </x:c>
    </x:row>
    <x:row r="6498" ht="18" customHeight="1">
      <x:c r="A6498" t="str">
        <x:v>CA-2016-113845</x:v>
      </x:c>
      <x:c r="B6498" s="18" t="n">
        <x:v>42694</x:v>
      </x:c>
      <x:c r="C6498" t="str">
        <x:v>FA-14230</x:v>
      </x:c>
      <x:c r="D6498" t="str">
        <x:v>Frank Atkinson</x:v>
      </x:c>
      <x:c r="E6498" t="str">
        <x:v>Corporate</x:v>
      </x:c>
      <x:c r="F6498" t="str">
        <x:v>South</x:v>
      </x:c>
      <x:c r="G6498" t="str">
        <x:v>Technology</x:v>
      </x:c>
      <x:c r="H6498" t="str">
        <x:v>Phones</x:v>
      </x:c>
      <x:c r="I6498" s="22" t="n">
        <x:v>244.768</x:v>
      </x:c>
      <x:c r="J6498" s="24" t="n">
        <x:v>4</x:v>
      </x:c>
      <x:c r="K6498" s="26" t="n">
        <x:v>0.2</x:v>
      </x:c>
      <x:c r="L6498" s="22" t="n">
        <x:v>24.476800000000004</x:v>
      </x:c>
      <x:c r="M6498" t="n">
        <x:v>2016</x:v>
      </x:c>
      <x:c r="N6498" s="20" t="n">
        <x:v>42675</x:v>
      </x:c>
    </x:row>
    <x:row r="6499" ht="18" customHeight="1">
      <x:c r="A6499" t="str">
        <x:v>CA-2017-111262</x:v>
      </x:c>
      <x:c r="B6499" s="18" t="n">
        <x:v>43036</x:v>
      </x:c>
      <x:c r="C6499" t="str">
        <x:v>KH-16510</x:v>
      </x:c>
      <x:c r="D6499" t="str">
        <x:v>Keith Herrera</x:v>
      </x:c>
      <x:c r="E6499" t="str">
        <x:v>Consumer</x:v>
      </x:c>
      <x:c r="F6499" t="str">
        <x:v>Central</x:v>
      </x:c>
      <x:c r="G6499" t="str">
        <x:v>Technology</x:v>
      </x:c>
      <x:c r="H6499" t="str">
        <x:v>Accessories</x:v>
      </x:c>
      <x:c r="I6499" s="22" t="n">
        <x:v>24</x:v>
      </x:c>
      <x:c r="J6499" s="24" t="n">
        <x:v>2</x:v>
      </x:c>
      <x:c r="K6499" s="26" t="n">
        <x:v>0.2</x:v>
      </x:c>
      <x:c r="L6499" s="22" t="n">
        <x:v>-2.6999999999999993</x:v>
      </x:c>
      <x:c r="M6499" t="n">
        <x:v>2017</x:v>
      </x:c>
      <x:c r="N6499" s="20" t="n">
        <x:v>43009</x:v>
      </x:c>
    </x:row>
    <x:row r="6500" ht="18" customHeight="1">
      <x:c r="A6500" t="str">
        <x:v>CA-2017-111262</x:v>
      </x:c>
      <x:c r="B6500" s="18" t="n">
        <x:v>43036</x:v>
      </x:c>
      <x:c r="C6500" t="str">
        <x:v>KH-16510</x:v>
      </x:c>
      <x:c r="D6500" t="str">
        <x:v>Keith Herrera</x:v>
      </x:c>
      <x:c r="E6500" t="str">
        <x:v>Consumer</x:v>
      </x:c>
      <x:c r="F6500" t="str">
        <x:v>Central</x:v>
      </x:c>
      <x:c r="G6500" t="str">
        <x:v>Office Supplies</x:v>
      </x:c>
      <x:c r="H6500" t="str">
        <x:v>Paper</x:v>
      </x:c>
      <x:c r="I6500" s="22" t="n">
        <x:v>15.552000000000003</x:v>
      </x:c>
      <x:c r="J6500" s="24" t="n">
        <x:v>3</x:v>
      </x:c>
      <x:c r="K6500" s="26" t="n">
        <x:v>0.2</x:v>
      </x:c>
      <x:c r="L6500" s="22" t="n">
        <x:v>5.4432</x:v>
      </x:c>
      <x:c r="M6500" t="n">
        <x:v>2017</x:v>
      </x:c>
      <x:c r="N6500" s="20" t="n">
        <x:v>43009</x:v>
      </x:c>
    </x:row>
    <x:row r="6501" ht="18" customHeight="1">
      <x:c r="A6501" t="str">
        <x:v>CA-2017-111262</x:v>
      </x:c>
      <x:c r="B6501" s="18" t="n">
        <x:v>43036</x:v>
      </x:c>
      <x:c r="C6501" t="str">
        <x:v>KH-16510</x:v>
      </x:c>
      <x:c r="D6501" t="str">
        <x:v>Keith Herrera</x:v>
      </x:c>
      <x:c r="E6501" t="str">
        <x:v>Consumer</x:v>
      </x:c>
      <x:c r="F6501" t="str">
        <x:v>Central</x:v>
      </x:c>
      <x:c r="G6501" t="str">
        <x:v>Technology</x:v>
      </x:c>
      <x:c r="H6501" t="str">
        <x:v>Accessories</x:v>
      </x:c>
      <x:c r="I6501" s="22" t="n">
        <x:v>26.176000000000002</x:v>
      </x:c>
      <x:c r="J6501" s="24" t="n">
        <x:v>2</x:v>
      </x:c>
      <x:c r="K6501" s="26" t="n">
        <x:v>0.2</x:v>
      </x:c>
      <x:c r="L6501" s="22" t="n">
        <x:v>-3.272000000000002</x:v>
      </x:c>
      <x:c r="M6501" t="n">
        <x:v>2017</x:v>
      </x:c>
      <x:c r="N6501" s="20" t="n">
        <x:v>43009</x:v>
      </x:c>
    </x:row>
    <x:row r="6502" ht="18" customHeight="1">
      <x:c r="A6502" t="str">
        <x:v>CA-2015-103135</x:v>
      </x:c>
      <x:c r="B6502" s="18" t="n">
        <x:v>42209</x:v>
      </x:c>
      <x:c r="C6502" t="str">
        <x:v>SS-20515</x:v>
      </x:c>
      <x:c r="D6502" t="str">
        <x:v>Shirley Schmidt</x:v>
      </x:c>
      <x:c r="E6502" t="str">
        <x:v>Home Office</x:v>
      </x:c>
      <x:c r="F6502" t="str">
        <x:v>South</x:v>
      </x:c>
      <x:c r="G6502" t="str">
        <x:v>Furniture</x:v>
      </x:c>
      <x:c r="H6502" t="str">
        <x:v>Furnishings</x:v>
      </x:c>
      <x:c r="I6502" s="22" t="n">
        <x:v>20.94</x:v>
      </x:c>
      <x:c r="J6502" s="24" t="n">
        <x:v>3</x:v>
      </x:c>
      <x:c r="K6502" s="26" t="n">
        <x:v>0</x:v>
      </x:c>
      <x:c r="L6502" s="22" t="n">
        <x:v>6.072599999999999</x:v>
      </x:c>
      <x:c r="M6502" t="n">
        <x:v>2015</x:v>
      </x:c>
      <x:c r="N6502" s="20" t="n">
        <x:v>42186</x:v>
      </x:c>
    </x:row>
    <x:row r="6503" ht="18" customHeight="1">
      <x:c r="A6503" t="str">
        <x:v>CA-2015-103135</x:v>
      </x:c>
      <x:c r="B6503" s="18" t="n">
        <x:v>42209</x:v>
      </x:c>
      <x:c r="C6503" t="str">
        <x:v>SS-20515</x:v>
      </x:c>
      <x:c r="D6503" t="str">
        <x:v>Shirley Schmidt</x:v>
      </x:c>
      <x:c r="E6503" t="str">
        <x:v>Home Office</x:v>
      </x:c>
      <x:c r="F6503" t="str">
        <x:v>South</x:v>
      </x:c>
      <x:c r="G6503" t="str">
        <x:v>Office Supplies</x:v>
      </x:c>
      <x:c r="H6503" t="str">
        <x:v>Binders</x:v>
      </x:c>
      <x:c r="I6503" s="22" t="n">
        <x:v>135.09</x:v>
      </x:c>
      <x:c r="J6503" s="24" t="n">
        <x:v>9</x:v>
      </x:c>
      <x:c r="K6503" s="26" t="n">
        <x:v>0</x:v>
      </x:c>
      <x:c r="L6503" s="22" t="n">
        <x:v>62.14139999999999</x:v>
      </x:c>
      <x:c r="M6503" t="n">
        <x:v>2015</x:v>
      </x:c>
      <x:c r="N6503" s="20" t="n">
        <x:v>42186</x:v>
      </x:c>
    </x:row>
    <x:row r="6504" ht="18" customHeight="1">
      <x:c r="A6504" t="str">
        <x:v>CA-2015-103135</x:v>
      </x:c>
      <x:c r="B6504" s="18" t="n">
        <x:v>42209</x:v>
      </x:c>
      <x:c r="C6504" t="str">
        <x:v>SS-20515</x:v>
      </x:c>
      <x:c r="D6504" t="str">
        <x:v>Shirley Schmidt</x:v>
      </x:c>
      <x:c r="E6504" t="str">
        <x:v>Home Office</x:v>
      </x:c>
      <x:c r="F6504" t="str">
        <x:v>South</x:v>
      </x:c>
      <x:c r="G6504" t="str">
        <x:v>Technology</x:v>
      </x:c>
      <x:c r="H6504" t="str">
        <x:v>Accessories</x:v>
      </x:c>
      <x:c r="I6504" s="22" t="n">
        <x:v>279.85999999999996</x:v>
      </x:c>
      <x:c r="J6504" s="24" t="n">
        <x:v>14</x:v>
      </x:c>
      <x:c r="K6504" s="26" t="n">
        <x:v>0</x:v>
      </x:c>
      <x:c r="L6504" s="22" t="n">
        <x:v>64.36779999999999</x:v>
      </x:c>
      <x:c r="M6504" t="n">
        <x:v>2015</x:v>
      </x:c>
      <x:c r="N6504" s="20" t="n">
        <x:v>42186</x:v>
      </x:c>
    </x:row>
    <x:row r="6505" ht="18" customHeight="1">
      <x:c r="A6505" t="str">
        <x:v>CA-2015-103135</x:v>
      </x:c>
      <x:c r="B6505" s="18" t="n">
        <x:v>42209</x:v>
      </x:c>
      <x:c r="C6505" t="str">
        <x:v>SS-20515</x:v>
      </x:c>
      <x:c r="D6505" t="str">
        <x:v>Shirley Schmidt</x:v>
      </x:c>
      <x:c r="E6505" t="str">
        <x:v>Home Office</x:v>
      </x:c>
      <x:c r="F6505" t="str">
        <x:v>South</x:v>
      </x:c>
      <x:c r="G6505" t="str">
        <x:v>Office Supplies</x:v>
      </x:c>
      <x:c r="H6505" t="str">
        <x:v>Binders</x:v>
      </x:c>
      <x:c r="I6505" s="22" t="n">
        <x:v>90.06</x:v>
      </x:c>
      <x:c r="J6505" s="24" t="n">
        <x:v>6</x:v>
      </x:c>
      <x:c r="K6505" s="26" t="n">
        <x:v>0</x:v>
      </x:c>
      <x:c r="L6505" s="22" t="n">
        <x:v>41.42759999999999</x:v>
      </x:c>
      <x:c r="M6505" t="n">
        <x:v>2015</x:v>
      </x:c>
      <x:c r="N6505" s="20" t="n">
        <x:v>42186</x:v>
      </x:c>
    </x:row>
    <x:row r="6506" ht="18" customHeight="1">
      <x:c r="A6506" t="str">
        <x:v>CA-2014-129147</x:v>
      </x:c>
      <x:c r="B6506" s="18" t="n">
        <x:v>41945</x:v>
      </x:c>
      <x:c r="C6506" t="str">
        <x:v>LC-17050</x:v>
      </x:c>
      <x:c r="D6506" t="str">
        <x:v>Liz Carlisle</x:v>
      </x:c>
      <x:c r="E6506" t="str">
        <x:v>Consumer</x:v>
      </x:c>
      <x:c r="F6506" t="str">
        <x:v>East</x:v>
      </x:c>
      <x:c r="G6506" t="str">
        <x:v>Technology</x:v>
      </x:c>
      <x:c r="H6506" t="str">
        <x:v>Phones</x:v>
      </x:c>
      <x:c r="I6506" s="22" t="n">
        <x:v>539.9639999999999</x:v>
      </x:c>
      <x:c r="J6506" s="24" t="n">
        <x:v>6</x:v>
      </x:c>
      <x:c r="K6506" s="26" t="n">
        <x:v>0.4</x:v>
      </x:c>
      <x:c r="L6506" s="22" t="n">
        <x:v>-107.99280000000002</x:v>
      </x:c>
      <x:c r="M6506" t="n">
        <x:v>2014</x:v>
      </x:c>
      <x:c r="N6506" s="20" t="n">
        <x:v>41944</x:v>
      </x:c>
    </x:row>
    <x:row r="6507" ht="18" customHeight="1">
      <x:c r="A6507" t="str">
        <x:v>CA-2014-129147</x:v>
      </x:c>
      <x:c r="B6507" s="18" t="n">
        <x:v>41945</x:v>
      </x:c>
      <x:c r="C6507" t="str">
        <x:v>LC-17050</x:v>
      </x:c>
      <x:c r="D6507" t="str">
        <x:v>Liz Carlisle</x:v>
      </x:c>
      <x:c r="E6507" t="str">
        <x:v>Consumer</x:v>
      </x:c>
      <x:c r="F6507" t="str">
        <x:v>East</x:v>
      </x:c>
      <x:c r="G6507" t="str">
        <x:v>Technology</x:v>
      </x:c>
      <x:c r="H6507" t="str">
        <x:v>Phones</x:v>
      </x:c>
      <x:c r="I6507" s="22" t="n">
        <x:v>50.232</x:v>
      </x:c>
      <x:c r="J6507" s="24" t="n">
        <x:v>7</x:v>
      </x:c>
      <x:c r="K6507" s="26" t="n">
        <x:v>0.4</x:v>
      </x:c>
      <x:c r="L6507" s="22" t="n">
        <x:v>-10.046400000000002</x:v>
      </x:c>
      <x:c r="M6507" t="n">
        <x:v>2014</x:v>
      </x:c>
      <x:c r="N6507" s="20" t="n">
        <x:v>41944</x:v>
      </x:c>
    </x:row>
    <x:row r="6508" ht="18" customHeight="1">
      <x:c r="A6508" t="str">
        <x:v>CA-2014-129147</x:v>
      </x:c>
      <x:c r="B6508" s="18" t="n">
        <x:v>41945</x:v>
      </x:c>
      <x:c r="C6508" t="str">
        <x:v>LC-17050</x:v>
      </x:c>
      <x:c r="D6508" t="str">
        <x:v>Liz Carlisle</x:v>
      </x:c>
      <x:c r="E6508" t="str">
        <x:v>Consumer</x:v>
      </x:c>
      <x:c r="F6508" t="str">
        <x:v>East</x:v>
      </x:c>
      <x:c r="G6508" t="str">
        <x:v>Office Supplies</x:v>
      </x:c>
      <x:c r="H6508" t="str">
        <x:v>Binders</x:v>
      </x:c>
      <x:c r="I6508" s="22" t="n">
        <x:v>19.242</x:v>
      </x:c>
      <x:c r="J6508" s="24" t="n">
        <x:v>3</x:v>
      </x:c>
      <x:c r="K6508" s="26" t="n">
        <x:v>0.7</x:v>
      </x:c>
      <x:c r="L6508" s="22" t="n">
        <x:v>-13.4694</x:v>
      </x:c>
      <x:c r="M6508" t="n">
        <x:v>2014</x:v>
      </x:c>
      <x:c r="N6508" s="20" t="n">
        <x:v>41944</x:v>
      </x:c>
    </x:row>
    <x:row r="6509" ht="18" customHeight="1">
      <x:c r="A6509" t="str">
        <x:v>CA-2017-128265</x:v>
      </x:c>
      <x:c r="B6509" s="18" t="n">
        <x:v>43056</x:v>
      </x:c>
      <x:c r="C6509" t="str">
        <x:v>VW-21775</x:v>
      </x:c>
      <x:c r="D6509" t="str">
        <x:v>Victoria Wilson</x:v>
      </x:c>
      <x:c r="E6509" t="str">
        <x:v>Corporate</x:v>
      </x:c>
      <x:c r="F6509" t="str">
        <x:v>East</x:v>
      </x:c>
      <x:c r="G6509" t="str">
        <x:v>Office Supplies</x:v>
      </x:c>
      <x:c r="H6509" t="str">
        <x:v>Storage</x:v>
      </x:c>
      <x:c r="I6509" s="22" t="n">
        <x:v>1247.6399999999999</x:v>
      </x:c>
      <x:c r="J6509" s="24" t="n">
        <x:v>3</x:v>
      </x:c>
      <x:c r="K6509" s="26" t="n">
        <x:v>0</x:v>
      </x:c>
      <x:c r="L6509" s="22" t="n">
        <x:v>349.33919999999995</x:v>
      </x:c>
      <x:c r="M6509" t="n">
        <x:v>2017</x:v>
      </x:c>
      <x:c r="N6509" s="20" t="n">
        <x:v>43040</x:v>
      </x:c>
    </x:row>
    <x:row r="6510" ht="18" customHeight="1">
      <x:c r="A6510" t="str">
        <x:v>CA-2016-152331</x:v>
      </x:c>
      <x:c r="B6510" s="18" t="n">
        <x:v>42547</x:v>
      </x:c>
      <x:c r="C6510" t="str">
        <x:v>LD-16855</x:v>
      </x:c>
      <x:c r="D6510" t="str">
        <x:v>Lela Donovan</x:v>
      </x:c>
      <x:c r="E6510" t="str">
        <x:v>Corporate</x:v>
      </x:c>
      <x:c r="F6510" t="str">
        <x:v>Central</x:v>
      </x:c>
      <x:c r="G6510" t="str">
        <x:v>Office Supplies</x:v>
      </x:c>
      <x:c r="H6510" t="str">
        <x:v>Art</x:v>
      </x:c>
      <x:c r="I6510" s="22" t="n">
        <x:v>5.304</x:v>
      </x:c>
      <x:c r="J6510" s="24" t="n">
        <x:v>3</x:v>
      </x:c>
      <x:c r="K6510" s="26" t="n">
        <x:v>0.2</x:v>
      </x:c>
      <x:c r="L6510" s="22" t="n">
        <x:v>0.46409999999999996</x:v>
      </x:c>
      <x:c r="M6510" t="n">
        <x:v>2016</x:v>
      </x:c>
      <x:c r="N6510" s="20" t="n">
        <x:v>42522</x:v>
      </x:c>
    </x:row>
    <x:row r="6511" ht="18" customHeight="1">
      <x:c r="A6511" t="str">
        <x:v>US-2016-128909</x:v>
      </x:c>
      <x:c r="B6511" s="18" t="n">
        <x:v>42652</x:v>
      </x:c>
      <x:c r="C6511" t="str">
        <x:v>SP-20545</x:v>
      </x:c>
      <x:c r="D6511" t="str">
        <x:v>Sibella Parks</x:v>
      </x:c>
      <x:c r="E6511" t="str">
        <x:v>Corporate</x:v>
      </x:c>
      <x:c r="F6511" t="str">
        <x:v>East</x:v>
      </x:c>
      <x:c r="G6511" t="str">
        <x:v>Office Supplies</x:v>
      </x:c>
      <x:c r="H6511" t="str">
        <x:v>Paper</x:v>
      </x:c>
      <x:c r="I6511" s="22" t="n">
        <x:v>19.136000000000003</x:v>
      </x:c>
      <x:c r="J6511" s="24" t="n">
        <x:v>4</x:v>
      </x:c>
      <x:c r="K6511" s="26" t="n">
        <x:v>0.2</x:v>
      </x:c>
      <x:c r="L6511" s="22" t="n">
        <x:v>5.979999999999999</x:v>
      </x:c>
      <x:c r="M6511" t="n">
        <x:v>2016</x:v>
      </x:c>
      <x:c r="N6511" s="20" t="n">
        <x:v>42644</x:v>
      </x:c>
    </x:row>
    <x:row r="6512" ht="18" customHeight="1">
      <x:c r="A6512" t="str">
        <x:v>US-2016-128909</x:v>
      </x:c>
      <x:c r="B6512" s="18" t="n">
        <x:v>42652</x:v>
      </x:c>
      <x:c r="C6512" t="str">
        <x:v>SP-20545</x:v>
      </x:c>
      <x:c r="D6512" t="str">
        <x:v>Sibella Parks</x:v>
      </x:c>
      <x:c r="E6512" t="str">
        <x:v>Corporate</x:v>
      </x:c>
      <x:c r="F6512" t="str">
        <x:v>East</x:v>
      </x:c>
      <x:c r="G6512" t="str">
        <x:v>Furniture</x:v>
      </x:c>
      <x:c r="H6512" t="str">
        <x:v>Furnishings</x:v>
      </x:c>
      <x:c r="I6512" s="22" t="n">
        <x:v>332.83200000000005</x:v>
      </x:c>
      <x:c r="J6512" s="24" t="n">
        <x:v>4</x:v>
      </x:c>
      <x:c r="K6512" s="26" t="n">
        <x:v>0.2</x:v>
      </x:c>
      <x:c r="L6512" s="22" t="n">
        <x:v>-24.962399999999988</x:v>
      </x:c>
      <x:c r="M6512" t="n">
        <x:v>2016</x:v>
      </x:c>
      <x:c r="N6512" s="20" t="n">
        <x:v>42644</x:v>
      </x:c>
    </x:row>
    <x:row r="6513" ht="18" customHeight="1">
      <x:c r="A6513" t="str">
        <x:v>CA-2017-102197</x:v>
      </x:c>
      <x:c r="B6513" s="18" t="n">
        <x:v>43089</x:v>
      </x:c>
      <x:c r="C6513" t="str">
        <x:v>DK-13150</x:v>
      </x:c>
      <x:c r="D6513" t="str">
        <x:v>David Kendrick</x:v>
      </x:c>
      <x:c r="E6513" t="str">
        <x:v>Corporate</x:v>
      </x:c>
      <x:c r="F6513" t="str">
        <x:v>East</x:v>
      </x:c>
      <x:c r="G6513" t="str">
        <x:v>Office Supplies</x:v>
      </x:c>
      <x:c r="H6513" t="str">
        <x:v>Paper</x:v>
      </x:c>
      <x:c r="I6513" s="22" t="n">
        <x:v>279.9</x:v>
      </x:c>
      <x:c r="J6513" s="24" t="n">
        <x:v>5</x:v>
      </x:c>
      <x:c r="K6513" s="26" t="n">
        <x:v>0</x:v>
      </x:c>
      <x:c r="L6513" s="22" t="n">
        <x:v>137.151</x:v>
      </x:c>
      <x:c r="M6513" t="n">
        <x:v>2017</x:v>
      </x:c>
      <x:c r="N6513" s="20" t="n">
        <x:v>43070</x:v>
      </x:c>
    </x:row>
    <x:row r="6514" ht="18" customHeight="1">
      <x:c r="A6514" t="str">
        <x:v>CA-2017-102197</x:v>
      </x:c>
      <x:c r="B6514" s="18" t="n">
        <x:v>43089</x:v>
      </x:c>
      <x:c r="C6514" t="str">
        <x:v>DK-13150</x:v>
      </x:c>
      <x:c r="D6514" t="str">
        <x:v>David Kendrick</x:v>
      </x:c>
      <x:c r="E6514" t="str">
        <x:v>Corporate</x:v>
      </x:c>
      <x:c r="F6514" t="str">
        <x:v>East</x:v>
      </x:c>
      <x:c r="G6514" t="str">
        <x:v>Office Supplies</x:v>
      </x:c>
      <x:c r="H6514" t="str">
        <x:v>Binders</x:v>
      </x:c>
      <x:c r="I6514" s="22" t="n">
        <x:v>50.352000000000004</x:v>
      </x:c>
      <x:c r="J6514" s="24" t="n">
        <x:v>3</x:v>
      </x:c>
      <x:c r="K6514" s="26" t="n">
        <x:v>0.2</x:v>
      </x:c>
      <x:c r="L6514" s="22" t="n">
        <x:v>17.623199999999997</x:v>
      </x:c>
      <x:c r="M6514" t="n">
        <x:v>2017</x:v>
      </x:c>
      <x:c r="N6514" s="20" t="n">
        <x:v>43070</x:v>
      </x:c>
    </x:row>
    <x:row r="6515" ht="18" customHeight="1">
      <x:c r="A6515" t="str">
        <x:v>CA-2017-102197</x:v>
      </x:c>
      <x:c r="B6515" s="18" t="n">
        <x:v>43089</x:v>
      </x:c>
      <x:c r="C6515" t="str">
        <x:v>DK-13150</x:v>
      </x:c>
      <x:c r="D6515" t="str">
        <x:v>David Kendrick</x:v>
      </x:c>
      <x:c r="E6515" t="str">
        <x:v>Corporate</x:v>
      </x:c>
      <x:c r="F6515" t="str">
        <x:v>East</x:v>
      </x:c>
      <x:c r="G6515" t="str">
        <x:v>Office Supplies</x:v>
      </x:c>
      <x:c r="H6515" t="str">
        <x:v>Paper</x:v>
      </x:c>
      <x:c r="I6515" s="22" t="n">
        <x:v>34.019999999999996</x:v>
      </x:c>
      <x:c r="J6515" s="24" t="n">
        <x:v>3</x:v>
      </x:c>
      <x:c r="K6515" s="26" t="n">
        <x:v>0</x:v>
      </x:c>
      <x:c r="L6515" s="22" t="n">
        <x:v>16.6698</x:v>
      </x:c>
      <x:c r="M6515" t="n">
        <x:v>2017</x:v>
      </x:c>
      <x:c r="N6515" s="20" t="n">
        <x:v>43070</x:v>
      </x:c>
    </x:row>
    <x:row r="6516" ht="18" customHeight="1">
      <x:c r="A6516" t="str">
        <x:v>CA-2017-167640</x:v>
      </x:c>
      <x:c r="B6516" s="18" t="n">
        <x:v>42800</x:v>
      </x:c>
      <x:c r="C6516" t="str">
        <x:v>FC-14245</x:v>
      </x:c>
      <x:c r="D6516" t="str">
        <x:v>Frank Carlisle</x:v>
      </x:c>
      <x:c r="E6516" t="str">
        <x:v>Home Office</x:v>
      </x:c>
      <x:c r="F6516" t="str">
        <x:v>West</x:v>
      </x:c>
      <x:c r="G6516" t="str">
        <x:v>Office Supplies</x:v>
      </x:c>
      <x:c r="H6516" t="str">
        <x:v>Art</x:v>
      </x:c>
      <x:c r="I6516" s="22" t="n">
        <x:v>23.88</x:v>
      </x:c>
      <x:c r="J6516" s="24" t="n">
        <x:v>6</x:v>
      </x:c>
      <x:c r="K6516" s="26" t="n">
        <x:v>0</x:v>
      </x:c>
      <x:c r="L6516" s="22" t="n">
        <x:v>8.1192</x:v>
      </x:c>
      <x:c r="M6516" t="n">
        <x:v>2017</x:v>
      </x:c>
      <x:c r="N6516" s="20" t="n">
        <x:v>42795</x:v>
      </x:c>
    </x:row>
    <x:row r="6517" ht="18" customHeight="1">
      <x:c r="A6517" t="str">
        <x:v>CA-2017-167640</x:v>
      </x:c>
      <x:c r="B6517" s="18" t="n">
        <x:v>42800</x:v>
      </x:c>
      <x:c r="C6517" t="str">
        <x:v>FC-14245</x:v>
      </x:c>
      <x:c r="D6517" t="str">
        <x:v>Frank Carlisle</x:v>
      </x:c>
      <x:c r="E6517" t="str">
        <x:v>Home Office</x:v>
      </x:c>
      <x:c r="F6517" t="str">
        <x:v>West</x:v>
      </x:c>
      <x:c r="G6517" t="str">
        <x:v>Office Supplies</x:v>
      </x:c>
      <x:c r="H6517" t="str">
        <x:v>Labels</x:v>
      </x:c>
      <x:c r="I6517" s="22" t="n">
        <x:v>11.52</x:v>
      </x:c>
      <x:c r="J6517" s="24" t="n">
        <x:v>4</x:v>
      </x:c>
      <x:c r="K6517" s="26" t="n">
        <x:v>0</x:v>
      </x:c>
      <x:c r="L6517" s="22" t="n">
        <x:v>5.6448</x:v>
      </x:c>
      <x:c r="M6517" t="n">
        <x:v>2017</x:v>
      </x:c>
      <x:c r="N6517" s="20" t="n">
        <x:v>42795</x:v>
      </x:c>
    </x:row>
    <x:row r="6518" ht="18" customHeight="1">
      <x:c r="A6518" t="str">
        <x:v>CA-2017-167640</x:v>
      </x:c>
      <x:c r="B6518" s="18" t="n">
        <x:v>42800</x:v>
      </x:c>
      <x:c r="C6518" t="str">
        <x:v>FC-14245</x:v>
      </x:c>
      <x:c r="D6518" t="str">
        <x:v>Frank Carlisle</x:v>
      </x:c>
      <x:c r="E6518" t="str">
        <x:v>Home Office</x:v>
      </x:c>
      <x:c r="F6518" t="str">
        <x:v>West</x:v>
      </x:c>
      <x:c r="G6518" t="str">
        <x:v>Office Supplies</x:v>
      </x:c>
      <x:c r="H6518" t="str">
        <x:v>Paper</x:v>
      </x:c>
      <x:c r="I6518" s="22" t="n">
        <x:v>286.93</x:v>
      </x:c>
      <x:c r="J6518" s="24" t="n">
        <x:v>7</x:v>
      </x:c>
      <x:c r="K6518" s="26" t="n">
        <x:v>0</x:v>
      </x:c>
      <x:c r="L6518" s="22" t="n">
        <x:v>140.5957</x:v>
      </x:c>
      <x:c r="M6518" t="n">
        <x:v>2017</x:v>
      </x:c>
      <x:c r="N6518" s="20" t="n">
        <x:v>42795</x:v>
      </x:c>
    </x:row>
    <x:row r="6519" ht="18" customHeight="1">
      <x:c r="A6519" t="str">
        <x:v>CA-2017-167640</x:v>
      </x:c>
      <x:c r="B6519" s="18" t="n">
        <x:v>42800</x:v>
      </x:c>
      <x:c r="C6519" t="str">
        <x:v>FC-14245</x:v>
      </x:c>
      <x:c r="D6519" t="str">
        <x:v>Frank Carlisle</x:v>
      </x:c>
      <x:c r="E6519" t="str">
        <x:v>Home Office</x:v>
      </x:c>
      <x:c r="F6519" t="str">
        <x:v>West</x:v>
      </x:c>
      <x:c r="G6519" t="str">
        <x:v>Technology</x:v>
      </x:c>
      <x:c r="H6519" t="str">
        <x:v>Phones</x:v>
      </x:c>
      <x:c r="I6519" s="22" t="n">
        <x:v>206.38400000000001</x:v>
      </x:c>
      <x:c r="J6519" s="24" t="n">
        <x:v>2</x:v>
      </x:c>
      <x:c r="K6519" s="26" t="n">
        <x:v>0.2</x:v>
      </x:c>
      <x:c r="L6519" s="22" t="n">
        <x:v>23.218199999999996</x:v>
      </x:c>
      <x:c r="M6519" t="n">
        <x:v>2017</x:v>
      </x:c>
      <x:c r="N6519" s="20" t="n">
        <x:v>42795</x:v>
      </x:c>
    </x:row>
    <x:row r="6520" ht="18" customHeight="1">
      <x:c r="A6520" t="str">
        <x:v>US-2017-116652</x:v>
      </x:c>
      <x:c r="B6520" s="18" t="n">
        <x:v>42993</x:v>
      </x:c>
      <x:c r="C6520" t="str">
        <x:v>RD-19480</x:v>
      </x:c>
      <x:c r="D6520" t="str">
        <x:v>Rick Duston</x:v>
      </x:c>
      <x:c r="E6520" t="str">
        <x:v>Consumer</x:v>
      </x:c>
      <x:c r="F6520" t="str">
        <x:v>West</x:v>
      </x:c>
      <x:c r="G6520" t="str">
        <x:v>Furniture</x:v>
      </x:c>
      <x:c r="H6520" t="str">
        <x:v>Chairs</x:v>
      </x:c>
      <x:c r="I6520" s="22" t="n">
        <x:v>218.35200000000003</x:v>
      </x:c>
      <x:c r="J6520" s="24" t="n">
        <x:v>3</x:v>
      </x:c>
      <x:c r="K6520" s="26" t="n">
        <x:v>0.2</x:v>
      </x:c>
      <x:c r="L6520" s="22" t="n">
        <x:v>0</x:v>
      </x:c>
      <x:c r="M6520" t="n">
        <x:v>2017</x:v>
      </x:c>
      <x:c r="N6520" s="20" t="n">
        <x:v>42979</x:v>
      </x:c>
    </x:row>
    <x:row r="6521" ht="18" customHeight="1">
      <x:c r="A6521" t="str">
        <x:v>US-2017-116652</x:v>
      </x:c>
      <x:c r="B6521" s="18" t="n">
        <x:v>42993</x:v>
      </x:c>
      <x:c r="C6521" t="str">
        <x:v>RD-19480</x:v>
      </x:c>
      <x:c r="D6521" t="str">
        <x:v>Rick Duston</x:v>
      </x:c>
      <x:c r="E6521" t="str">
        <x:v>Consumer</x:v>
      </x:c>
      <x:c r="F6521" t="str">
        <x:v>West</x:v>
      </x:c>
      <x:c r="G6521" t="str">
        <x:v>Furniture</x:v>
      </x:c>
      <x:c r="H6521" t="str">
        <x:v>Furnishings</x:v>
      </x:c>
      <x:c r="I6521" s="22" t="n">
        <x:v>529.9</x:v>
      </x:c>
      <x:c r="J6521" s="24" t="n">
        <x:v>5</x:v>
      </x:c>
      <x:c r="K6521" s="26" t="n">
        <x:v>0</x:v>
      </x:c>
      <x:c r="L6521" s="22" t="n">
        <x:v>105.97999999999999</x:v>
      </x:c>
      <x:c r="M6521" t="n">
        <x:v>2017</x:v>
      </x:c>
      <x:c r="N6521" s="20" t="n">
        <x:v>42979</x:v>
      </x:c>
    </x:row>
    <x:row r="6522" ht="18" customHeight="1">
      <x:c r="A6522" t="str">
        <x:v>US-2017-116652</x:v>
      </x:c>
      <x:c r="B6522" s="18" t="n">
        <x:v>42993</x:v>
      </x:c>
      <x:c r="C6522" t="str">
        <x:v>RD-19480</x:v>
      </x:c>
      <x:c r="D6522" t="str">
        <x:v>Rick Duston</x:v>
      </x:c>
      <x:c r="E6522" t="str">
        <x:v>Consumer</x:v>
      </x:c>
      <x:c r="F6522" t="str">
        <x:v>West</x:v>
      </x:c>
      <x:c r="G6522" t="str">
        <x:v>Office Supplies</x:v>
      </x:c>
      <x:c r="H6522" t="str">
        <x:v>Art</x:v>
      </x:c>
      <x:c r="I6522" s="22" t="n">
        <x:v>99.3</x:v>
      </x:c>
      <x:c r="J6522" s="24" t="n">
        <x:v>10</x:v>
      </x:c>
      <x:c r="K6522" s="26" t="n">
        <x:v>0</x:v>
      </x:c>
      <x:c r="L6522" s="22" t="n">
        <x:v>41.706</x:v>
      </x:c>
      <x:c r="M6522" t="n">
        <x:v>2017</x:v>
      </x:c>
      <x:c r="N6522" s="20" t="n">
        <x:v>42979</x:v>
      </x:c>
    </x:row>
    <x:row r="6523" ht="18" customHeight="1">
      <x:c r="A6523" t="str">
        <x:v>US-2017-116652</x:v>
      </x:c>
      <x:c r="B6523" s="18" t="n">
        <x:v>42993</x:v>
      </x:c>
      <x:c r="C6523" t="str">
        <x:v>RD-19480</x:v>
      </x:c>
      <x:c r="D6523" t="str">
        <x:v>Rick Duston</x:v>
      </x:c>
      <x:c r="E6523" t="str">
        <x:v>Consumer</x:v>
      </x:c>
      <x:c r="F6523" t="str">
        <x:v>West</x:v>
      </x:c>
      <x:c r="G6523" t="str">
        <x:v>Office Supplies</x:v>
      </x:c>
      <x:c r="H6523" t="str">
        <x:v>Appliances</x:v>
      </x:c>
      <x:c r="I6523" s="22" t="n">
        <x:v>108.96</x:v>
      </x:c>
      <x:c r="J6523" s="24" t="n">
        <x:v>2</x:v>
      </x:c>
      <x:c r="K6523" s="26" t="n">
        <x:v>0</x:v>
      </x:c>
      <x:c r="L6523" s="22" t="n">
        <x:v>30.508800000000008</x:v>
      </x:c>
      <x:c r="M6523" t="n">
        <x:v>2017</x:v>
      </x:c>
      <x:c r="N6523" s="20" t="n">
        <x:v>42979</x:v>
      </x:c>
    </x:row>
    <x:row r="6524" ht="18" customHeight="1">
      <x:c r="A6524" t="str">
        <x:v>US-2017-116652</x:v>
      </x:c>
      <x:c r="B6524" s="18" t="n">
        <x:v>42993</x:v>
      </x:c>
      <x:c r="C6524" t="str">
        <x:v>RD-19480</x:v>
      </x:c>
      <x:c r="D6524" t="str">
        <x:v>Rick Duston</x:v>
      </x:c>
      <x:c r="E6524" t="str">
        <x:v>Consumer</x:v>
      </x:c>
      <x:c r="F6524" t="str">
        <x:v>West</x:v>
      </x:c>
      <x:c r="G6524" t="str">
        <x:v>Office Supplies</x:v>
      </x:c>
      <x:c r="H6524" t="str">
        <x:v>Binders</x:v>
      </x:c>
      <x:c r="I6524" s="22" t="n">
        <x:v>2.688</x:v>
      </x:c>
      <x:c r="J6524" s="24" t="n">
        <x:v>1</x:v>
      </x:c>
      <x:c r="K6524" s="26" t="n">
        <x:v>0.2</x:v>
      </x:c>
      <x:c r="L6524" s="22" t="n">
        <x:v>0.8399999999999997</x:v>
      </x:c>
      <x:c r="M6524" t="n">
        <x:v>2017</x:v>
      </x:c>
      <x:c r="N6524" s="20" t="n">
        <x:v>42979</x:v>
      </x:c>
    </x:row>
    <x:row r="6525" ht="18" customHeight="1">
      <x:c r="A6525" t="str">
        <x:v>CA-2017-138289</x:v>
      </x:c>
      <x:c r="B6525" s="18" t="n">
        <x:v>42751</x:v>
      </x:c>
      <x:c r="C6525" t="str">
        <x:v>AR-10540</x:v>
      </x:c>
      <x:c r="D6525" t="str">
        <x:v>Andy Reiter</x:v>
      </x:c>
      <x:c r="E6525" t="str">
        <x:v>Consumer</x:v>
      </x:c>
      <x:c r="F6525" t="str">
        <x:v>Central</x:v>
      </x:c>
      <x:c r="G6525" t="str">
        <x:v>Office Supplies</x:v>
      </x:c>
      <x:c r="H6525" t="str">
        <x:v>Binders</x:v>
      </x:c>
      <x:c r="I6525" s="22" t="n">
        <x:v>5443.96</x:v>
      </x:c>
      <x:c r="J6525" s="24" t="n">
        <x:v>4</x:v>
      </x:c>
      <x:c r="K6525" s="26" t="n">
        <x:v>0</x:v>
      </x:c>
      <x:c r="L6525" s="22" t="n">
        <x:v>2504.2216</x:v>
      </x:c>
      <x:c r="M6525" t="n">
        <x:v>2017</x:v>
      </x:c>
      <x:c r="N6525" s="20" t="n">
        <x:v>42736</x:v>
      </x:c>
    </x:row>
    <x:row r="6526" ht="18" customHeight="1">
      <x:c r="A6526" t="str">
        <x:v>CA-2017-138289</x:v>
      </x:c>
      <x:c r="B6526" s="18" t="n">
        <x:v>42751</x:v>
      </x:c>
      <x:c r="C6526" t="str">
        <x:v>AR-10540</x:v>
      </x:c>
      <x:c r="D6526" t="str">
        <x:v>Andy Reiter</x:v>
      </x:c>
      <x:c r="E6526" t="str">
        <x:v>Consumer</x:v>
      </x:c>
      <x:c r="F6526" t="str">
        <x:v>Central</x:v>
      </x:c>
      <x:c r="G6526" t="str">
        <x:v>Furniture</x:v>
      </x:c>
      <x:c r="H6526" t="str">
        <x:v>Chairs</x:v>
      </x:c>
      <x:c r="I6526" s="22" t="n">
        <x:v>302.67</x:v>
      </x:c>
      <x:c r="J6526" s="24" t="n">
        <x:v>3</x:v>
      </x:c>
      <x:c r="K6526" s="26" t="n">
        <x:v>0</x:v>
      </x:c>
      <x:c r="L6526" s="22" t="n">
        <x:v>72.6408</x:v>
      </x:c>
      <x:c r="M6526" t="n">
        <x:v>2017</x:v>
      </x:c>
      <x:c r="N6526" s="20" t="n">
        <x:v>42736</x:v>
      </x:c>
    </x:row>
    <x:row r="6527" ht="18" customHeight="1">
      <x:c r="A6527" t="str">
        <x:v>CA-2017-138289</x:v>
      </x:c>
      <x:c r="B6527" s="18" t="n">
        <x:v>42751</x:v>
      </x:c>
      <x:c r="C6527" t="str">
        <x:v>AR-10540</x:v>
      </x:c>
      <x:c r="D6527" t="str">
        <x:v>Andy Reiter</x:v>
      </x:c>
      <x:c r="E6527" t="str">
        <x:v>Consumer</x:v>
      </x:c>
      <x:c r="F6527" t="str">
        <x:v>Central</x:v>
      </x:c>
      <x:c r="G6527" t="str">
        <x:v>Office Supplies</x:v>
      </x:c>
      <x:c r="H6527" t="str">
        <x:v>Paper</x:v>
      </x:c>
      <x:c r="I6527" s="22" t="n">
        <x:v>56.07</x:v>
      </x:c>
      <x:c r="J6527" s="24" t="n">
        <x:v>7</x:v>
      </x:c>
      <x:c r="K6527" s="26" t="n">
        <x:v>0</x:v>
      </x:c>
      <x:c r="L6527" s="22" t="n">
        <x:v>25.231499999999997</x:v>
      </x:c>
      <x:c r="M6527" t="n">
        <x:v>2017</x:v>
      </x:c>
      <x:c r="N6527" s="20" t="n">
        <x:v>42736</x:v>
      </x:c>
    </x:row>
    <x:row r="6528" ht="18" customHeight="1">
      <x:c r="A6528" t="str">
        <x:v>CA-2016-129308</x:v>
      </x:c>
      <x:c r="B6528" s="18" t="n">
        <x:v>42558</x:v>
      </x:c>
      <x:c r="C6528" t="str">
        <x:v>CC-12100</x:v>
      </x:c>
      <x:c r="D6528" t="str">
        <x:v>Chad Cunningham</x:v>
      </x:c>
      <x:c r="E6528" t="str">
        <x:v>Home Office</x:v>
      </x:c>
      <x:c r="F6528" t="str">
        <x:v>East</x:v>
      </x:c>
      <x:c r="G6528" t="str">
        <x:v>Office Supplies</x:v>
      </x:c>
      <x:c r="H6528" t="str">
        <x:v>Labels</x:v>
      </x:c>
      <x:c r="I6528" s="22" t="n">
        <x:v>10.08</x:v>
      </x:c>
      <x:c r="J6528" s="24" t="n">
        <x:v>2</x:v>
      </x:c>
      <x:c r="K6528" s="26" t="n">
        <x:v>0.2</x:v>
      </x:c>
      <x:c r="L6528" s="22" t="n">
        <x:v>3.2759999999999994</x:v>
      </x:c>
      <x:c r="M6528" t="n">
        <x:v>2016</x:v>
      </x:c>
      <x:c r="N6528" s="20" t="n">
        <x:v>42552</x:v>
      </x:c>
    </x:row>
    <x:row r="6529" ht="18" customHeight="1">
      <x:c r="A6529" t="str">
        <x:v>CA-2016-129308</x:v>
      </x:c>
      <x:c r="B6529" s="18" t="n">
        <x:v>42558</x:v>
      </x:c>
      <x:c r="C6529" t="str">
        <x:v>CC-12100</x:v>
      </x:c>
      <x:c r="D6529" t="str">
        <x:v>Chad Cunningham</x:v>
      </x:c>
      <x:c r="E6529" t="str">
        <x:v>Home Office</x:v>
      </x:c>
      <x:c r="F6529" t="str">
        <x:v>East</x:v>
      </x:c>
      <x:c r="G6529" t="str">
        <x:v>Technology</x:v>
      </x:c>
      <x:c r="H6529" t="str">
        <x:v>Phones</x:v>
      </x:c>
      <x:c r="I6529" s="22" t="n">
        <x:v>59.99399999999999</x:v>
      </x:c>
      <x:c r="J6529" s="24" t="n">
        <x:v>1</x:v>
      </x:c>
      <x:c r="K6529" s="26" t="n">
        <x:v>0.4</x:v>
      </x:c>
      <x:c r="L6529" s="22" t="n">
        <x:v>-12.998700000000007</x:v>
      </x:c>
      <x:c r="M6529" t="n">
        <x:v>2016</x:v>
      </x:c>
      <x:c r="N6529" s="20" t="n">
        <x:v>42552</x:v>
      </x:c>
    </x:row>
    <x:row r="6530" ht="18" customHeight="1">
      <x:c r="A6530" t="str">
        <x:v>CA-2016-129308</x:v>
      </x:c>
      <x:c r="B6530" s="18" t="n">
        <x:v>42558</x:v>
      </x:c>
      <x:c r="C6530" t="str">
        <x:v>CC-12100</x:v>
      </x:c>
      <x:c r="D6530" t="str">
        <x:v>Chad Cunningham</x:v>
      </x:c>
      <x:c r="E6530" t="str">
        <x:v>Home Office</x:v>
      </x:c>
      <x:c r="F6530" t="str">
        <x:v>East</x:v>
      </x:c>
      <x:c r="G6530" t="str">
        <x:v>Office Supplies</x:v>
      </x:c>
      <x:c r="H6530" t="str">
        <x:v>Binders</x:v>
      </x:c>
      <x:c r="I6530" s="22" t="n">
        <x:v>5.715000000000002</x:v>
      </x:c>
      <x:c r="J6530" s="24" t="n">
        <x:v>5</x:v>
      </x:c>
      <x:c r="K6530" s="26" t="n">
        <x:v>0.7</x:v>
      </x:c>
      <x:c r="L6530" s="22" t="n">
        <x:v>-4.762500000000001</x:v>
      </x:c>
      <x:c r="M6530" t="n">
        <x:v>2016</x:v>
      </x:c>
      <x:c r="N6530" s="20" t="n">
        <x:v>42552</x:v>
      </x:c>
    </x:row>
    <x:row r="6531" ht="18" customHeight="1">
      <x:c r="A6531" t="str">
        <x:v>CA-2016-129308</x:v>
      </x:c>
      <x:c r="B6531" s="18" t="n">
        <x:v>42558</x:v>
      </x:c>
      <x:c r="C6531" t="str">
        <x:v>CC-12100</x:v>
      </x:c>
      <x:c r="D6531" t="str">
        <x:v>Chad Cunningham</x:v>
      </x:c>
      <x:c r="E6531" t="str">
        <x:v>Home Office</x:v>
      </x:c>
      <x:c r="F6531" t="str">
        <x:v>East</x:v>
      </x:c>
      <x:c r="G6531" t="str">
        <x:v>Office Supplies</x:v>
      </x:c>
      <x:c r="H6531" t="str">
        <x:v>Binders</x:v>
      </x:c>
      <x:c r="I6531" s="22" t="n">
        <x:v>9.420000000000002</x:v>
      </x:c>
      <x:c r="J6531" s="24" t="n">
        <x:v>5</x:v>
      </x:c>
      <x:c r="K6531" s="26" t="n">
        <x:v>0.7</x:v>
      </x:c>
      <x:c r="L6531" s="22" t="n">
        <x:v>-7.850000000000001</x:v>
      </x:c>
      <x:c r="M6531" t="n">
        <x:v>2016</x:v>
      </x:c>
      <x:c r="N6531" s="20" t="n">
        <x:v>42552</x:v>
      </x:c>
    </x:row>
    <x:row r="6532" ht="18" customHeight="1">
      <x:c r="A6532" t="str">
        <x:v>CA-2016-157791</x:v>
      </x:c>
      <x:c r="B6532" s="18" t="n">
        <x:v>42727</x:v>
      </x:c>
      <x:c r="C6532" t="str">
        <x:v>CA-11965</x:v>
      </x:c>
      <x:c r="D6532" t="str">
        <x:v>Carol Adams</x:v>
      </x:c>
      <x:c r="E6532" t="str">
        <x:v>Corporate</x:v>
      </x:c>
      <x:c r="F6532" t="str">
        <x:v>East</x:v>
      </x:c>
      <x:c r="G6532" t="str">
        <x:v>Technology</x:v>
      </x:c>
      <x:c r="H6532" t="str">
        <x:v>Copiers</x:v>
      </x:c>
      <x:c r="I6532" s="22" t="n">
        <x:v>1999.96</x:v>
      </x:c>
      <x:c r="J6532" s="24" t="n">
        <x:v>4</x:v>
      </x:c>
      <x:c r="K6532" s="26" t="n">
        <x:v>0</x:v>
      </x:c>
      <x:c r="L6532" s="22" t="n">
        <x:v>899.982</x:v>
      </x:c>
      <x:c r="M6532" t="n">
        <x:v>2016</x:v>
      </x:c>
      <x:c r="N6532" s="20" t="n">
        <x:v>42705</x:v>
      </x:c>
    </x:row>
    <x:row r="6533" ht="18" customHeight="1">
      <x:c r="A6533" t="str">
        <x:v>CA-2014-146864</x:v>
      </x:c>
      <x:c r="B6533" s="18" t="n">
        <x:v>41995</x:v>
      </x:c>
      <x:c r="C6533" t="str">
        <x:v>BT-11530</x:v>
      </x:c>
      <x:c r="D6533" t="str">
        <x:v>Bradley Talbott</x:v>
      </x:c>
      <x:c r="E6533" t="str">
        <x:v>Home Office</x:v>
      </x:c>
      <x:c r="F6533" t="str">
        <x:v>East</x:v>
      </x:c>
      <x:c r="G6533" t="str">
        <x:v>Office Supplies</x:v>
      </x:c>
      <x:c r="H6533" t="str">
        <x:v>Storage</x:v>
      </x:c>
      <x:c r="I6533" s="22" t="n">
        <x:v>216.4</x:v>
      </x:c>
      <x:c r="J6533" s="24" t="n">
        <x:v>4</x:v>
      </x:c>
      <x:c r="K6533" s="26" t="n">
        <x:v>0</x:v>
      </x:c>
      <x:c r="L6533" s="22" t="n">
        <x:v>56.26400000000001</x:v>
      </x:c>
      <x:c r="M6533" t="n">
        <x:v>2014</x:v>
      </x:c>
      <x:c r="N6533" s="20" t="n">
        <x:v>41974</x:v>
      </x:c>
    </x:row>
    <x:row r="6534" ht="18" customHeight="1">
      <x:c r="A6534" t="str">
        <x:v>CA-2014-103744</x:v>
      </x:c>
      <x:c r="B6534" s="18" t="n">
        <x:v>41693</x:v>
      </x:c>
      <x:c r="C6534" t="str">
        <x:v>MG-17875</x:v>
      </x:c>
      <x:c r="D6534" t="str">
        <x:v>Michael Grace</x:v>
      </x:c>
      <x:c r="E6534" t="str">
        <x:v>Home Office</x:v>
      </x:c>
      <x:c r="F6534" t="str">
        <x:v>Central</x:v>
      </x:c>
      <x:c r="G6534" t="str">
        <x:v>Office Supplies</x:v>
      </x:c>
      <x:c r="H6534" t="str">
        <x:v>Labels</x:v>
      </x:c>
      <x:c r="I6534" s="22" t="n">
        <x:v>6.936000000000001</x:v>
      </x:c>
      <x:c r="J6534" s="24" t="n">
        <x:v>3</x:v>
      </x:c>
      <x:c r="K6534" s="26" t="n">
        <x:v>0.2</x:v>
      </x:c>
      <x:c r="L6534" s="22" t="n">
        <x:v>2.3409000000000004</x:v>
      </x:c>
      <x:c r="M6534" t="n">
        <x:v>2014</x:v>
      </x:c>
      <x:c r="N6534" s="20" t="n">
        <x:v>41671</x:v>
      </x:c>
    </x:row>
    <x:row r="6535" ht="18" customHeight="1">
      <x:c r="A6535" t="str">
        <x:v>CA-2014-103744</x:v>
      </x:c>
      <x:c r="B6535" s="18" t="n">
        <x:v>41693</x:v>
      </x:c>
      <x:c r="C6535" t="str">
        <x:v>MG-17875</x:v>
      </x:c>
      <x:c r="D6535" t="str">
        <x:v>Michael Grace</x:v>
      </x:c>
      <x:c r="E6535" t="str">
        <x:v>Home Office</x:v>
      </x:c>
      <x:c r="F6535" t="str">
        <x:v>Central</x:v>
      </x:c>
      <x:c r="G6535" t="str">
        <x:v>Office Supplies</x:v>
      </x:c>
      <x:c r="H6535" t="str">
        <x:v>Binders</x:v>
      </x:c>
      <x:c r="I6535" s="22" t="n">
        <x:v>4.427999999999999</x:v>
      </x:c>
      <x:c r="J6535" s="24" t="n">
        <x:v>3</x:v>
      </x:c>
      <x:c r="K6535" s="26" t="n">
        <x:v>0.8</x:v>
      </x:c>
      <x:c r="L6535" s="22" t="n">
        <x:v>-6.863399999999999</x:v>
      </x:c>
      <x:c r="M6535" t="n">
        <x:v>2014</x:v>
      </x:c>
      <x:c r="N6535" s="20" t="n">
        <x:v>41671</x:v>
      </x:c>
    </x:row>
    <x:row r="6536" ht="18" customHeight="1">
      <x:c r="A6536" t="str">
        <x:v>US-2017-107384</x:v>
      </x:c>
      <x:c r="B6536" s="18" t="n">
        <x:v>43073</x:v>
      </x:c>
      <x:c r="C6536" t="str">
        <x:v>TP-21130</x:v>
      </x:c>
      <x:c r="D6536" t="str">
        <x:v>Theone Pippenger</x:v>
      </x:c>
      <x:c r="E6536" t="str">
        <x:v>Consumer</x:v>
      </x:c>
      <x:c r="F6536" t="str">
        <x:v>Central</x:v>
      </x:c>
      <x:c r="G6536" t="str">
        <x:v>Office Supplies</x:v>
      </x:c>
      <x:c r="H6536" t="str">
        <x:v>Art</x:v>
      </x:c>
      <x:c r="I6536" s="22" t="n">
        <x:v>8.8</x:v>
      </x:c>
      <x:c r="J6536" s="24" t="n">
        <x:v>5</x:v>
      </x:c>
      <x:c r="K6536" s="26" t="n">
        <x:v>0</x:v>
      </x:c>
      <x:c r="L6536" s="22" t="n">
        <x:v>2.5519999999999996</x:v>
      </x:c>
      <x:c r="M6536" t="n">
        <x:v>2017</x:v>
      </x:c>
      <x:c r="N6536" s="20" t="n">
        <x:v>43070</x:v>
      </x:c>
    </x:row>
    <x:row r="6537" ht="18" customHeight="1">
      <x:c r="A6537" t="str">
        <x:v>US-2017-107384</x:v>
      </x:c>
      <x:c r="B6537" s="18" t="n">
        <x:v>43073</x:v>
      </x:c>
      <x:c r="C6537" t="str">
        <x:v>TP-21130</x:v>
      </x:c>
      <x:c r="D6537" t="str">
        <x:v>Theone Pippenger</x:v>
      </x:c>
      <x:c r="E6537" t="str">
        <x:v>Consumer</x:v>
      </x:c>
      <x:c r="F6537" t="str">
        <x:v>Central</x:v>
      </x:c>
      <x:c r="G6537" t="str">
        <x:v>Technology</x:v>
      </x:c>
      <x:c r="H6537" t="str">
        <x:v>Accessories</x:v>
      </x:c>
      <x:c r="I6537" s="22" t="n">
        <x:v>142.8</x:v>
      </x:c>
      <x:c r="J6537" s="24" t="n">
        <x:v>1</x:v>
      </x:c>
      <x:c r="K6537" s="26" t="n">
        <x:v>0</x:v>
      </x:c>
      <x:c r="L6537" s="22" t="n">
        <x:v>29.988</x:v>
      </x:c>
      <x:c r="M6537" t="n">
        <x:v>2017</x:v>
      </x:c>
      <x:c r="N6537" s="20" t="n">
        <x:v>43070</x:v>
      </x:c>
    </x:row>
    <x:row r="6538" ht="18" customHeight="1">
      <x:c r="A6538" t="str">
        <x:v>US-2017-107384</x:v>
      </x:c>
      <x:c r="B6538" s="18" t="n">
        <x:v>43073</x:v>
      </x:c>
      <x:c r="C6538" t="str">
        <x:v>TP-21130</x:v>
      </x:c>
      <x:c r="D6538" t="str">
        <x:v>Theone Pippenger</x:v>
      </x:c>
      <x:c r="E6538" t="str">
        <x:v>Consumer</x:v>
      </x:c>
      <x:c r="F6538" t="str">
        <x:v>Central</x:v>
      </x:c>
      <x:c r="G6538" t="str">
        <x:v>Technology</x:v>
      </x:c>
      <x:c r="H6538" t="str">
        <x:v>Accessories</x:v>
      </x:c>
      <x:c r="I6538" s="22" t="n">
        <x:v>399.95</x:v>
      </x:c>
      <x:c r="J6538" s="24" t="n">
        <x:v>5</x:v>
      </x:c>
      <x:c r="K6538" s="26" t="n">
        <x:v>0</x:v>
      </x:c>
      <x:c r="L6538" s="22" t="n">
        <x:v>143.982</x:v>
      </x:c>
      <x:c r="M6538" t="n">
        <x:v>2017</x:v>
      </x:c>
      <x:c r="N6538" s="20" t="n">
        <x:v>43070</x:v>
      </x:c>
    </x:row>
    <x:row r="6539" ht="18" customHeight="1">
      <x:c r="A6539" t="str">
        <x:v>CA-2014-128209</x:v>
      </x:c>
      <x:c r="B6539" s="18" t="n">
        <x:v>41960</x:v>
      </x:c>
      <x:c r="C6539" t="str">
        <x:v>GT-14710</x:v>
      </x:c>
      <x:c r="D6539" t="str">
        <x:v>Greg Tran</x:v>
      </x:c>
      <x:c r="E6539" t="str">
        <x:v>Consumer</x:v>
      </x:c>
      <x:c r="F6539" t="str">
        <x:v>East</x:v>
      </x:c>
      <x:c r="G6539" t="str">
        <x:v>Office Supplies</x:v>
      </x:c>
      <x:c r="H6539" t="str">
        <x:v>Binders</x:v>
      </x:c>
      <x:c r="I6539" s="22" t="n">
        <x:v>2152.7760000000003</x:v>
      </x:c>
      <x:c r="J6539" s="24" t="n">
        <x:v>3</x:v>
      </x:c>
      <x:c r="K6539" s="26" t="n">
        <x:v>0.2</x:v>
      </x:c>
      <x:c r="L6539" s="22" t="n">
        <x:v>726.5618999999998</x:v>
      </x:c>
      <x:c r="M6539" t="n">
        <x:v>2014</x:v>
      </x:c>
      <x:c r="N6539" s="20" t="n">
        <x:v>41944</x:v>
      </x:c>
    </x:row>
    <x:row r="6540" ht="18" customHeight="1">
      <x:c r="A6540" t="str">
        <x:v>CA-2014-128209</x:v>
      </x:c>
      <x:c r="B6540" s="18" t="n">
        <x:v>41960</x:v>
      </x:c>
      <x:c r="C6540" t="str">
        <x:v>GT-14710</x:v>
      </x:c>
      <x:c r="D6540" t="str">
        <x:v>Greg Tran</x:v>
      </x:c>
      <x:c r="E6540" t="str">
        <x:v>Consumer</x:v>
      </x:c>
      <x:c r="F6540" t="str">
        <x:v>East</x:v>
      </x:c>
      <x:c r="G6540" t="str">
        <x:v>Furniture</x:v>
      </x:c>
      <x:c r="H6540" t="str">
        <x:v>Bookcases</x:v>
      </x:c>
      <x:c r="I6540" s="22" t="n">
        <x:v>4007.8400000000006</x:v>
      </x:c>
      <x:c r="J6540" s="24" t="n">
        <x:v>10</x:v>
      </x:c>
      <x:c r="K6540" s="26" t="n">
        <x:v>0.2</x:v>
      </x:c>
      <x:c r="L6540" s="22" t="n">
        <x:v>-50.0980000000003</x:v>
      </x:c>
      <x:c r="M6540" t="n">
        <x:v>2014</x:v>
      </x:c>
      <x:c r="N6540" s="20" t="n">
        <x:v>41944</x:v>
      </x:c>
    </x:row>
    <x:row r="6541" ht="18" customHeight="1">
      <x:c r="A6541" t="str">
        <x:v>CA-2014-169684</x:v>
      </x:c>
      <x:c r="B6541" s="18" t="n">
        <x:v>41932</x:v>
      </x:c>
      <x:c r="C6541" t="str">
        <x:v>FH-14365</x:v>
      </x:c>
      <x:c r="D6541" t="str">
        <x:v>Fred Hopkins</x:v>
      </x:c>
      <x:c r="E6541" t="str">
        <x:v>Corporate</x:v>
      </x:c>
      <x:c r="F6541" t="str">
        <x:v>South</x:v>
      </x:c>
      <x:c r="G6541" t="str">
        <x:v>Furniture</x:v>
      </x:c>
      <x:c r="H6541" t="str">
        <x:v>Tables</x:v>
      </x:c>
      <x:c r="I6541" s="22" t="n">
        <x:v>328.59000000000003</x:v>
      </x:c>
      <x:c r="J6541" s="24" t="n">
        <x:v>3</x:v>
      </x:c>
      <x:c r="K6541" s="26" t="n">
        <x:v>0.4</x:v>
      </x:c>
      <x:c r="L6541" s="22" t="n">
        <x:v>-147.8655</x:v>
      </x:c>
      <x:c r="M6541" t="n">
        <x:v>2014</x:v>
      </x:c>
      <x:c r="N6541" s="20" t="n">
        <x:v>41913</x:v>
      </x:c>
    </x:row>
    <x:row r="6542" ht="18" customHeight="1">
      <x:c r="A6542" t="str">
        <x:v>CA-2014-169684</x:v>
      </x:c>
      <x:c r="B6542" s="18" t="n">
        <x:v>41932</x:v>
      </x:c>
      <x:c r="C6542" t="str">
        <x:v>FH-14365</x:v>
      </x:c>
      <x:c r="D6542" t="str">
        <x:v>Fred Hopkins</x:v>
      </x:c>
      <x:c r="E6542" t="str">
        <x:v>Corporate</x:v>
      </x:c>
      <x:c r="F6542" t="str">
        <x:v>South</x:v>
      </x:c>
      <x:c r="G6542" t="str">
        <x:v>Office Supplies</x:v>
      </x:c>
      <x:c r="H6542" t="str">
        <x:v>Storage</x:v>
      </x:c>
      <x:c r="I6542" s="22" t="n">
        <x:v>98.352</x:v>
      </x:c>
      <x:c r="J6542" s="24" t="n">
        <x:v>3</x:v>
      </x:c>
      <x:c r="K6542" s="26" t="n">
        <x:v>0.2</x:v>
      </x:c>
      <x:c r="L6542" s="22" t="n">
        <x:v>-24.588</x:v>
      </x:c>
      <x:c r="M6542" t="n">
        <x:v>2014</x:v>
      </x:c>
      <x:c r="N6542" s="20" t="n">
        <x:v>41913</x:v>
      </x:c>
    </x:row>
    <x:row r="6543" ht="18" customHeight="1">
      <x:c r="A6543" t="str">
        <x:v>CA-2015-109862</x:v>
      </x:c>
      <x:c r="B6543" s="18" t="n">
        <x:v>42302</x:v>
      </x:c>
      <x:c r="C6543" t="str">
        <x:v>HK-14890</x:v>
      </x:c>
      <x:c r="D6543" t="str">
        <x:v>Heather Kirkland</x:v>
      </x:c>
      <x:c r="E6543" t="str">
        <x:v>Corporate</x:v>
      </x:c>
      <x:c r="F6543" t="str">
        <x:v>East</x:v>
      </x:c>
      <x:c r="G6543" t="str">
        <x:v>Technology</x:v>
      </x:c>
      <x:c r="H6543" t="str">
        <x:v>Phones</x:v>
      </x:c>
      <x:c r="I6543" s="22" t="n">
        <x:v>158.99</x:v>
      </x:c>
      <x:c r="J6543" s="24" t="n">
        <x:v>1</x:v>
      </x:c>
      <x:c r="K6543" s="26" t="n">
        <x:v>0</x:v>
      </x:c>
      <x:c r="L6543" s="22" t="n">
        <x:v>41.3374</x:v>
      </x:c>
      <x:c r="M6543" t="n">
        <x:v>2015</x:v>
      </x:c>
      <x:c r="N6543" s="20" t="n">
        <x:v>42278</x:v>
      </x:c>
    </x:row>
    <x:row r="6544" ht="18" customHeight="1">
      <x:c r="A6544" t="str">
        <x:v>CA-2015-109862</x:v>
      </x:c>
      <x:c r="B6544" s="18" t="n">
        <x:v>42302</x:v>
      </x:c>
      <x:c r="C6544" t="str">
        <x:v>HK-14890</x:v>
      </x:c>
      <x:c r="D6544" t="str">
        <x:v>Heather Kirkland</x:v>
      </x:c>
      <x:c r="E6544" t="str">
        <x:v>Corporate</x:v>
      </x:c>
      <x:c r="F6544" t="str">
        <x:v>East</x:v>
      </x:c>
      <x:c r="G6544" t="str">
        <x:v>Furniture</x:v>
      </x:c>
      <x:c r="H6544" t="str">
        <x:v>Chairs</x:v>
      </x:c>
      <x:c r="I6544" s="22" t="n">
        <x:v>291.1</x:v>
      </x:c>
      <x:c r="J6544" s="24" t="n">
        <x:v>5</x:v>
      </x:c>
      <x:c r="K6544" s="26" t="n">
        <x:v>0</x:v>
      </x:c>
      <x:c r="L6544" s="22" t="n">
        <x:v>75.686</x:v>
      </x:c>
      <x:c r="M6544" t="n">
        <x:v>2015</x:v>
      </x:c>
      <x:c r="N6544" s="20" t="n">
        <x:v>42278</x:v>
      </x:c>
    </x:row>
    <x:row r="6545" ht="18" customHeight="1">
      <x:c r="A6545" t="str">
        <x:v>US-2017-107888</x:v>
      </x:c>
      <x:c r="B6545" s="18" t="n">
        <x:v>43055</x:v>
      </x:c>
      <x:c r="C6545" t="str">
        <x:v>CC-12220</x:v>
      </x:c>
      <x:c r="D6545" t="str">
        <x:v>Chris Cortes</x:v>
      </x:c>
      <x:c r="E6545" t="str">
        <x:v>Consumer</x:v>
      </x:c>
      <x:c r="F6545" t="str">
        <x:v>West</x:v>
      </x:c>
      <x:c r="G6545" t="str">
        <x:v>Office Supplies</x:v>
      </x:c>
      <x:c r="H6545" t="str">
        <x:v>Paper</x:v>
      </x:c>
      <x:c r="I6545" s="22" t="n">
        <x:v>73.67999999999999</x:v>
      </x:c>
      <x:c r="J6545" s="24" t="n">
        <x:v>6</x:v>
      </x:c>
      <x:c r="K6545" s="26" t="n">
        <x:v>0</x:v>
      </x:c>
      <x:c r="L6545" s="22" t="n">
        <x:v>34.629599999999996</x:v>
      </x:c>
      <x:c r="M6545" t="n">
        <x:v>2017</x:v>
      </x:c>
      <x:c r="N6545" s="20" t="n">
        <x:v>43040</x:v>
      </x:c>
    </x:row>
    <x:row r="6546" ht="18" customHeight="1">
      <x:c r="A6546" t="str">
        <x:v>US-2017-107888</x:v>
      </x:c>
      <x:c r="B6546" s="18" t="n">
        <x:v>43055</x:v>
      </x:c>
      <x:c r="C6546" t="str">
        <x:v>CC-12220</x:v>
      </x:c>
      <x:c r="D6546" t="str">
        <x:v>Chris Cortes</x:v>
      </x:c>
      <x:c r="E6546" t="str">
        <x:v>Consumer</x:v>
      </x:c>
      <x:c r="F6546" t="str">
        <x:v>West</x:v>
      </x:c>
      <x:c r="G6546" t="str">
        <x:v>Furniture</x:v>
      </x:c>
      <x:c r="H6546" t="str">
        <x:v>Furnishings</x:v>
      </x:c>
      <x:c r="I6546" s="22" t="n">
        <x:v>139.92</x:v>
      </x:c>
      <x:c r="J6546" s="24" t="n">
        <x:v>2</x:v>
      </x:c>
      <x:c r="K6546" s="26" t="n">
        <x:v>0</x:v>
      </x:c>
      <x:c r="L6546" s="22" t="n">
        <x:v>23.786399999999986</x:v>
      </x:c>
      <x:c r="M6546" t="n">
        <x:v>2017</x:v>
      </x:c>
      <x:c r="N6546" s="20" t="n">
        <x:v>43040</x:v>
      </x:c>
    </x:row>
    <x:row r="6547" ht="18" customHeight="1">
      <x:c r="A6547" t="str">
        <x:v>US-2017-107888</x:v>
      </x:c>
      <x:c r="B6547" s="18" t="n">
        <x:v>43055</x:v>
      </x:c>
      <x:c r="C6547" t="str">
        <x:v>CC-12220</x:v>
      </x:c>
      <x:c r="D6547" t="str">
        <x:v>Chris Cortes</x:v>
      </x:c>
      <x:c r="E6547" t="str">
        <x:v>Consumer</x:v>
      </x:c>
      <x:c r="F6547" t="str">
        <x:v>West</x:v>
      </x:c>
      <x:c r="G6547" t="str">
        <x:v>Technology</x:v>
      </x:c>
      <x:c r="H6547" t="str">
        <x:v>Phones</x:v>
      </x:c>
      <x:c r="I6547" s="22" t="n">
        <x:v>107.88</x:v>
      </x:c>
      <x:c r="J6547" s="24" t="n">
        <x:v>3</x:v>
      </x:c>
      <x:c r="K6547" s="26" t="n">
        <x:v>0.2</x:v>
      </x:c>
      <x:c r="L6547" s="22" t="n">
        <x:v>10.787999999999997</x:v>
      </x:c>
      <x:c r="M6547" t="n">
        <x:v>2017</x:v>
      </x:c>
      <x:c r="N6547" s="20" t="n">
        <x:v>43040</x:v>
      </x:c>
    </x:row>
    <x:row r="6548" ht="18" customHeight="1">
      <x:c r="A6548" t="str">
        <x:v>US-2017-107888</x:v>
      </x:c>
      <x:c r="B6548" s="18" t="n">
        <x:v>43055</x:v>
      </x:c>
      <x:c r="C6548" t="str">
        <x:v>CC-12220</x:v>
      </x:c>
      <x:c r="D6548" t="str">
        <x:v>Chris Cortes</x:v>
      </x:c>
      <x:c r="E6548" t="str">
        <x:v>Consumer</x:v>
      </x:c>
      <x:c r="F6548" t="str">
        <x:v>West</x:v>
      </x:c>
      <x:c r="G6548" t="str">
        <x:v>Office Supplies</x:v>
      </x:c>
      <x:c r="H6548" t="str">
        <x:v>Storage</x:v>
      </x:c>
      <x:c r="I6548" s="22" t="n">
        <x:v>33.29</x:v>
      </x:c>
      <x:c r="J6548" s="24" t="n">
        <x:v>1</x:v>
      </x:c>
      <x:c r="K6548" s="26" t="n">
        <x:v>0</x:v>
      </x:c>
      <x:c r="L6548" s="22" t="n">
        <x:v>7.989599999999999</x:v>
      </x:c>
      <x:c r="M6548" t="n">
        <x:v>2017</x:v>
      </x:c>
      <x:c r="N6548" s="20" t="n">
        <x:v>43040</x:v>
      </x:c>
    </x:row>
    <x:row r="6549" ht="18" customHeight="1">
      <x:c r="A6549" t="str">
        <x:v>US-2017-154872</x:v>
      </x:c>
      <x:c r="B6549" s="18" t="n">
        <x:v>42869</x:v>
      </x:c>
      <x:c r="C6549" t="str">
        <x:v>DP-13000</x:v>
      </x:c>
      <x:c r="D6549" t="str">
        <x:v>Darren Powers</x:v>
      </x:c>
      <x:c r="E6549" t="str">
        <x:v>Consumer</x:v>
      </x:c>
      <x:c r="F6549" t="str">
        <x:v>East</x:v>
      </x:c>
      <x:c r="G6549" t="str">
        <x:v>Office Supplies</x:v>
      </x:c>
      <x:c r="H6549" t="str">
        <x:v>Binders</x:v>
      </x:c>
      <x:c r="I6549" s="22" t="n">
        <x:v>58.17000000000001</x:v>
      </x:c>
      <x:c r="J6549" s="24" t="n">
        <x:v>5</x:v>
      </x:c>
      <x:c r="K6549" s="26" t="n">
        <x:v>0.7</x:v>
      </x:c>
      <x:c r="L6549" s="22" t="n">
        <x:v>-46.53600000000003</x:v>
      </x:c>
      <x:c r="M6549" t="n">
        <x:v>2017</x:v>
      </x:c>
      <x:c r="N6549" s="20" t="n">
        <x:v>42856</x:v>
      </x:c>
    </x:row>
    <x:row r="6550" ht="18" customHeight="1">
      <x:c r="A6550" t="str">
        <x:v>US-2017-154872</x:v>
      </x:c>
      <x:c r="B6550" s="18" t="n">
        <x:v>42869</x:v>
      </x:c>
      <x:c r="C6550" t="str">
        <x:v>DP-13000</x:v>
      </x:c>
      <x:c r="D6550" t="str">
        <x:v>Darren Powers</x:v>
      </x:c>
      <x:c r="E6550" t="str">
        <x:v>Consumer</x:v>
      </x:c>
      <x:c r="F6550" t="str">
        <x:v>East</x:v>
      </x:c>
      <x:c r="G6550" t="str">
        <x:v>Office Supplies</x:v>
      </x:c>
      <x:c r="H6550" t="str">
        <x:v>Labels</x:v>
      </x:c>
      <x:c r="I6550" s="22" t="n">
        <x:v>5.04</x:v>
      </x:c>
      <x:c r="J6550" s="24" t="n">
        <x:v>2</x:v>
      </x:c>
      <x:c r="K6550" s="26" t="n">
        <x:v>0.2</x:v>
      </x:c>
      <x:c r="L6550" s="22" t="n">
        <x:v>1.764</x:v>
      </x:c>
      <x:c r="M6550" t="n">
        <x:v>2017</x:v>
      </x:c>
      <x:c r="N6550" s="20" t="n">
        <x:v>42856</x:v>
      </x:c>
    </x:row>
    <x:row r="6551" ht="18" customHeight="1">
      <x:c r="A6551" t="str">
        <x:v>US-2017-154872</x:v>
      </x:c>
      <x:c r="B6551" s="18" t="n">
        <x:v>42869</x:v>
      </x:c>
      <x:c r="C6551" t="str">
        <x:v>DP-13000</x:v>
      </x:c>
      <x:c r="D6551" t="str">
        <x:v>Darren Powers</x:v>
      </x:c>
      <x:c r="E6551" t="str">
        <x:v>Consumer</x:v>
      </x:c>
      <x:c r="F6551" t="str">
        <x:v>East</x:v>
      </x:c>
      <x:c r="G6551" t="str">
        <x:v>Office Supplies</x:v>
      </x:c>
      <x:c r="H6551" t="str">
        <x:v>Paper</x:v>
      </x:c>
      <x:c r="I6551" s="22" t="n">
        <x:v>24.784000000000002</x:v>
      </x:c>
      <x:c r="J6551" s="24" t="n">
        <x:v>1</x:v>
      </x:c>
      <x:c r="K6551" s="26" t="n">
        <x:v>0.2</x:v>
      </x:c>
      <x:c r="L6551" s="22" t="n">
        <x:v>7.744999999999998</x:v>
      </x:c>
      <x:c r="M6551" t="n">
        <x:v>2017</x:v>
      </x:c>
      <x:c r="N6551" s="20" t="n">
        <x:v>42856</x:v>
      </x:c>
    </x:row>
    <x:row r="6552" ht="18" customHeight="1">
      <x:c r="A6552" t="str">
        <x:v>CA-2014-113880</x:v>
      </x:c>
      <x:c r="B6552" s="18" t="n">
        <x:v>41699</x:v>
      </x:c>
      <x:c r="C6552" t="str">
        <x:v>VF-21715</x:v>
      </x:c>
      <x:c r="D6552" t="str">
        <x:v>Vicky Freymann</x:v>
      </x:c>
      <x:c r="E6552" t="str">
        <x:v>Home Office</x:v>
      </x:c>
      <x:c r="F6552" t="str">
        <x:v>Central</x:v>
      </x:c>
      <x:c r="G6552" t="str">
        <x:v>Furniture</x:v>
      </x:c>
      <x:c r="H6552" t="str">
        <x:v>Chairs</x:v>
      </x:c>
      <x:c r="I6552" s="22" t="n">
        <x:v>634.116</x:v>
      </x:c>
      <x:c r="J6552" s="24" t="n">
        <x:v>6</x:v>
      </x:c>
      <x:c r="K6552" s="26" t="n">
        <x:v>0.3</x:v>
      </x:c>
      <x:c r="L6552" s="22" t="n">
        <x:v>-172.11720000000003</x:v>
      </x:c>
      <x:c r="M6552" t="n">
        <x:v>2014</x:v>
      </x:c>
      <x:c r="N6552" s="20" t="n">
        <x:v>41699</x:v>
      </x:c>
    </x:row>
    <x:row r="6553" ht="18" customHeight="1">
      <x:c r="A6553" t="str">
        <x:v>CA-2014-113880</x:v>
      </x:c>
      <x:c r="B6553" s="18" t="n">
        <x:v>41699</x:v>
      </x:c>
      <x:c r="C6553" t="str">
        <x:v>VF-21715</x:v>
      </x:c>
      <x:c r="D6553" t="str">
        <x:v>Vicky Freymann</x:v>
      </x:c>
      <x:c r="E6553" t="str">
        <x:v>Home Office</x:v>
      </x:c>
      <x:c r="F6553" t="str">
        <x:v>Central</x:v>
      </x:c>
      <x:c r="G6553" t="str">
        <x:v>Office Supplies</x:v>
      </x:c>
      <x:c r="H6553" t="str">
        <x:v>Paper</x:v>
      </x:c>
      <x:c r="I6553" s="22" t="n">
        <x:v>17.472</x:v>
      </x:c>
      <x:c r="J6553" s="24" t="n">
        <x:v>3</x:v>
      </x:c>
      <x:c r="K6553" s="26" t="n">
        <x:v>0.2</x:v>
      </x:c>
      <x:c r="L6553" s="22" t="n">
        <x:v>5.678399999999998</x:v>
      </x:c>
      <x:c r="M6553" t="n">
        <x:v>2014</x:v>
      </x:c>
      <x:c r="N6553" s="20" t="n">
        <x:v>41699</x:v>
      </x:c>
    </x:row>
    <x:row r="6554" ht="18" customHeight="1">
      <x:c r="A6554" t="str">
        <x:v>US-2015-164966</x:v>
      </x:c>
      <x:c r="B6554" s="18" t="n">
        <x:v>42215</x:v>
      </x:c>
      <x:c r="C6554" t="str">
        <x:v>GH-14410</x:v>
      </x:c>
      <x:c r="D6554" t="str">
        <x:v>Gary Hansen</x:v>
      </x:c>
      <x:c r="E6554" t="str">
        <x:v>Home Office</x:v>
      </x:c>
      <x:c r="F6554" t="str">
        <x:v>Central</x:v>
      </x:c>
      <x:c r="G6554" t="str">
        <x:v>Furniture</x:v>
      </x:c>
      <x:c r="H6554" t="str">
        <x:v>Chairs</x:v>
      </x:c>
      <x:c r="I6554" s="22" t="n">
        <x:v>155.88</x:v>
      </x:c>
      <x:c r="J6554" s="24" t="n">
        <x:v>6</x:v>
      </x:c>
      <x:c r="K6554" s="26" t="n">
        <x:v>0</x:v>
      </x:c>
      <x:c r="L6554" s="22" t="n">
        <x:v>38.970000000000006</x:v>
      </x:c>
      <x:c r="M6554" t="n">
        <x:v>2015</x:v>
      </x:c>
      <x:c r="N6554" s="20" t="n">
        <x:v>42186</x:v>
      </x:c>
    </x:row>
    <x:row r="6555" ht="18" customHeight="1">
      <x:c r="A6555" t="str">
        <x:v>CA-2015-126739</x:v>
      </x:c>
      <x:c r="B6555" s="18" t="n">
        <x:v>42309</x:v>
      </x:c>
      <x:c r="C6555" t="str">
        <x:v>JH-16180</x:v>
      </x:c>
      <x:c r="D6555" t="str">
        <x:v>Justin Hirsh</x:v>
      </x:c>
      <x:c r="E6555" t="str">
        <x:v>Consumer</x:v>
      </x:c>
      <x:c r="F6555" t="str">
        <x:v>East</x:v>
      </x:c>
      <x:c r="G6555" t="str">
        <x:v>Furniture</x:v>
      </x:c>
      <x:c r="H6555" t="str">
        <x:v>Chairs</x:v>
      </x:c>
      <x:c r="I6555" s="22" t="n">
        <x:v>327.56399999999996</x:v>
      </x:c>
      <x:c r="J6555" s="24" t="n">
        <x:v>4</x:v>
      </x:c>
      <x:c r="K6555" s="26" t="n">
        <x:v>0.1</x:v>
      </x:c>
      <x:c r="L6555" s="22" t="n">
        <x:v>21.837600000000023</x:v>
      </x:c>
      <x:c r="M6555" t="n">
        <x:v>2015</x:v>
      </x:c>
      <x:c r="N6555" s="20" t="n">
        <x:v>42309</x:v>
      </x:c>
    </x:row>
    <x:row r="6556" ht="18" customHeight="1">
      <x:c r="A6556" t="str">
        <x:v>CA-2017-161578</x:v>
      </x:c>
      <x:c r="B6556" s="18" t="n">
        <x:v>43085</x:v>
      </x:c>
      <x:c r="C6556" t="str">
        <x:v>RB-19465</x:v>
      </x:c>
      <x:c r="D6556" t="str">
        <x:v>Rick Bensley</x:v>
      </x:c>
      <x:c r="E6556" t="str">
        <x:v>Home Office</x:v>
      </x:c>
      <x:c r="F6556" t="str">
        <x:v>West</x:v>
      </x:c>
      <x:c r="G6556" t="str">
        <x:v>Office Supplies</x:v>
      </x:c>
      <x:c r="H6556" t="str">
        <x:v>Paper</x:v>
      </x:c>
      <x:c r="I6556" s="22" t="n">
        <x:v>13.36</x:v>
      </x:c>
      <x:c r="J6556" s="24" t="n">
        <x:v>2</x:v>
      </x:c>
      <x:c r="K6556" s="26" t="n">
        <x:v>0</x:v>
      </x:c>
      <x:c r="L6556" s="22" t="n">
        <x:v>6.4128</x:v>
      </x:c>
      <x:c r="M6556" t="n">
        <x:v>2017</x:v>
      </x:c>
      <x:c r="N6556" s="20" t="n">
        <x:v>43070</x:v>
      </x:c>
    </x:row>
    <x:row r="6557" ht="18" customHeight="1">
      <x:c r="A6557" t="str">
        <x:v>CA-2017-161578</x:v>
      </x:c>
      <x:c r="B6557" s="18" t="n">
        <x:v>43085</x:v>
      </x:c>
      <x:c r="C6557" t="str">
        <x:v>RB-19465</x:v>
      </x:c>
      <x:c r="D6557" t="str">
        <x:v>Rick Bensley</x:v>
      </x:c>
      <x:c r="E6557" t="str">
        <x:v>Home Office</x:v>
      </x:c>
      <x:c r="F6557" t="str">
        <x:v>West</x:v>
      </x:c>
      <x:c r="G6557" t="str">
        <x:v>Office Supplies</x:v>
      </x:c>
      <x:c r="H6557" t="str">
        <x:v>Storage</x:v>
      </x:c>
      <x:c r="I6557" s="22" t="n">
        <x:v>158.9</x:v>
      </x:c>
      <x:c r="J6557" s="24" t="n">
        <x:v>5</x:v>
      </x:c>
      <x:c r="K6557" s="26" t="n">
        <x:v>0</x:v>
      </x:c>
      <x:c r="L6557" s="22" t="n">
        <x:v>7.944999999999993</x:v>
      </x:c>
      <x:c r="M6557" t="n">
        <x:v>2017</x:v>
      </x:c>
      <x:c r="N6557" s="20" t="n">
        <x:v>43070</x:v>
      </x:c>
    </x:row>
    <x:row r="6558" ht="18" customHeight="1">
      <x:c r="A6558" t="str">
        <x:v>CA-2014-137092</x:v>
      </x:c>
      <x:c r="B6558" s="18" t="n">
        <x:v>41932</x:v>
      </x:c>
      <x:c r="C6558" t="str">
        <x:v>LS-16975</x:v>
      </x:c>
      <x:c r="D6558" t="str">
        <x:v>Lindsay Shagiari</x:v>
      </x:c>
      <x:c r="E6558" t="str">
        <x:v>Home Office</x:v>
      </x:c>
      <x:c r="F6558" t="str">
        <x:v>Central</x:v>
      </x:c>
      <x:c r="G6558" t="str">
        <x:v>Technology</x:v>
      </x:c>
      <x:c r="H6558" t="str">
        <x:v>Accessories</x:v>
      </x:c>
      <x:c r="I6558" s="22" t="n">
        <x:v>319.968</x:v>
      </x:c>
      <x:c r="J6558" s="24" t="n">
        <x:v>4</x:v>
      </x:c>
      <x:c r="K6558" s="26" t="n">
        <x:v>0.2</x:v>
      </x:c>
      <x:c r="L6558" s="22" t="n">
        <x:v>71.9928</x:v>
      </x:c>
      <x:c r="M6558" t="n">
        <x:v>2014</x:v>
      </x:c>
      <x:c r="N6558" s="20" t="n">
        <x:v>41913</x:v>
      </x:c>
    </x:row>
    <x:row r="6559" ht="18" customHeight="1">
      <x:c r="A6559" t="str">
        <x:v>CA-2014-137092</x:v>
      </x:c>
      <x:c r="B6559" s="18" t="n">
        <x:v>41932</x:v>
      </x:c>
      <x:c r="C6559" t="str">
        <x:v>LS-16975</x:v>
      </x:c>
      <x:c r="D6559" t="str">
        <x:v>Lindsay Shagiari</x:v>
      </x:c>
      <x:c r="E6559" t="str">
        <x:v>Home Office</x:v>
      </x:c>
      <x:c r="F6559" t="str">
        <x:v>Central</x:v>
      </x:c>
      <x:c r="G6559" t="str">
        <x:v>Office Supplies</x:v>
      </x:c>
      <x:c r="H6559" t="str">
        <x:v>Storage</x:v>
      </x:c>
      <x:c r="I6559" s="22" t="n">
        <x:v>505.32000000000005</x:v>
      </x:c>
      <x:c r="J6559" s="24" t="n">
        <x:v>3</x:v>
      </x:c>
      <x:c r="K6559" s="26" t="n">
        <x:v>0.2</x:v>
      </x:c>
      <x:c r="L6559" s="22" t="n">
        <x:v>31.582499999999953</x:v>
      </x:c>
      <x:c r="M6559" t="n">
        <x:v>2014</x:v>
      </x:c>
      <x:c r="N6559" s="20" t="n">
        <x:v>41913</x:v>
      </x:c>
    </x:row>
    <x:row r="6560" ht="18" customHeight="1">
      <x:c r="A6560" t="str">
        <x:v>CA-2014-137092</x:v>
      </x:c>
      <x:c r="B6560" s="18" t="n">
        <x:v>41932</x:v>
      </x:c>
      <x:c r="C6560" t="str">
        <x:v>LS-16975</x:v>
      </x:c>
      <x:c r="D6560" t="str">
        <x:v>Lindsay Shagiari</x:v>
      </x:c>
      <x:c r="E6560" t="str">
        <x:v>Home Office</x:v>
      </x:c>
      <x:c r="F6560" t="str">
        <x:v>Central</x:v>
      </x:c>
      <x:c r="G6560" t="str">
        <x:v>Office Supplies</x:v>
      </x:c>
      <x:c r="H6560" t="str">
        <x:v>Paper</x:v>
      </x:c>
      <x:c r="I6560" s="22" t="n">
        <x:v>3.808</x:v>
      </x:c>
      <x:c r="J6560" s="24" t="n">
        <x:v>1</x:v>
      </x:c>
      <x:c r="K6560" s="26" t="n">
        <x:v>0.2</x:v>
      </x:c>
      <x:c r="L6560" s="22" t="n">
        <x:v>1.2375999999999996</x:v>
      </x:c>
      <x:c r="M6560" t="n">
        <x:v>2014</x:v>
      </x:c>
      <x:c r="N6560" s="20" t="n">
        <x:v>41913</x:v>
      </x:c>
    </x:row>
    <x:row r="6561" ht="18" customHeight="1">
      <x:c r="A6561" t="str">
        <x:v>CA-2014-137092</x:v>
      </x:c>
      <x:c r="B6561" s="18" t="n">
        <x:v>41932</x:v>
      </x:c>
      <x:c r="C6561" t="str">
        <x:v>LS-16975</x:v>
      </x:c>
      <x:c r="D6561" t="str">
        <x:v>Lindsay Shagiari</x:v>
      </x:c>
      <x:c r="E6561" t="str">
        <x:v>Home Office</x:v>
      </x:c>
      <x:c r="F6561" t="str">
        <x:v>Central</x:v>
      </x:c>
      <x:c r="G6561" t="str">
        <x:v>Office Supplies</x:v>
      </x:c>
      <x:c r="H6561" t="str">
        <x:v>Binders</x:v>
      </x:c>
      <x:c r="I6561" s="22" t="n">
        <x:v>8.681999999999997</x:v>
      </x:c>
      <x:c r="J6561" s="24" t="n">
        <x:v>1</x:v>
      </x:c>
      <x:c r="K6561" s="26" t="n">
        <x:v>0.8</x:v>
      </x:c>
      <x:c r="L6561" s="22" t="n">
        <x:v>-14.759400000000003</x:v>
      </x:c>
      <x:c r="M6561" t="n">
        <x:v>2014</x:v>
      </x:c>
      <x:c r="N6561" s="20" t="n">
        <x:v>41913</x:v>
      </x:c>
    </x:row>
    <x:row r="6562" ht="18" customHeight="1">
      <x:c r="A6562" t="str">
        <x:v>CA-2014-137092</x:v>
      </x:c>
      <x:c r="B6562" s="18" t="n">
        <x:v>41932</x:v>
      </x:c>
      <x:c r="C6562" t="str">
        <x:v>LS-16975</x:v>
      </x:c>
      <x:c r="D6562" t="str">
        <x:v>Lindsay Shagiari</x:v>
      </x:c>
      <x:c r="E6562" t="str">
        <x:v>Home Office</x:v>
      </x:c>
      <x:c r="F6562" t="str">
        <x:v>Central</x:v>
      </x:c>
      <x:c r="G6562" t="str">
        <x:v>Office Supplies</x:v>
      </x:c>
      <x:c r="H6562" t="str">
        <x:v>Labels</x:v>
      </x:c>
      <x:c r="I6562" s="22" t="n">
        <x:v>24.424000000000003</x:v>
      </x:c>
      <x:c r="J6562" s="24" t="n">
        <x:v>1</x:v>
      </x:c>
      <x:c r="K6562" s="26" t="n">
        <x:v>0.2</x:v>
      </x:c>
      <x:c r="L6562" s="22" t="n">
        <x:v>7.9378</x:v>
      </x:c>
      <x:c r="M6562" t="n">
        <x:v>2014</x:v>
      </x:c>
      <x:c r="N6562" s="20" t="n">
        <x:v>41913</x:v>
      </x:c>
    </x:row>
    <x:row r="6563" ht="18" customHeight="1">
      <x:c r="A6563" t="str">
        <x:v>CA-2015-166947</x:v>
      </x:c>
      <x:c r="B6563" s="18" t="n">
        <x:v>42160</x:v>
      </x:c>
      <x:c r="C6563" t="str">
        <x:v>EB-13750</x:v>
      </x:c>
      <x:c r="D6563" t="str">
        <x:v>Edward Becker</x:v>
      </x:c>
      <x:c r="E6563" t="str">
        <x:v>Corporate</x:v>
      </x:c>
      <x:c r="F6563" t="str">
        <x:v>East</x:v>
      </x:c>
      <x:c r="G6563" t="str">
        <x:v>Furniture</x:v>
      </x:c>
      <x:c r="H6563" t="str">
        <x:v>Chairs</x:v>
      </x:c>
      <x:c r="I6563" s="22" t="n">
        <x:v>1522.638</x:v>
      </x:c>
      <x:c r="J6563" s="24" t="n">
        <x:v>9</x:v>
      </x:c>
      <x:c r="K6563" s="26" t="n">
        <x:v>0.1</x:v>
      </x:c>
      <x:c r="L6563" s="22" t="n">
        <x:v>169.18200000000004</x:v>
      </x:c>
      <x:c r="M6563" t="n">
        <x:v>2015</x:v>
      </x:c>
      <x:c r="N6563" s="20" t="n">
        <x:v>42156</x:v>
      </x:c>
    </x:row>
    <x:row r="6564" ht="18" customHeight="1">
      <x:c r="A6564" t="str">
        <x:v>CA-2016-160941</x:v>
      </x:c>
      <x:c r="B6564" s="18" t="n">
        <x:v>42572</x:v>
      </x:c>
      <x:c r="C6564" t="str">
        <x:v>DK-12835</x:v>
      </x:c>
      <x:c r="D6564" t="str">
        <x:v>Damala Kotsonis</x:v>
      </x:c>
      <x:c r="E6564" t="str">
        <x:v>Corporate</x:v>
      </x:c>
      <x:c r="F6564" t="str">
        <x:v>West</x:v>
      </x:c>
      <x:c r="G6564" t="str">
        <x:v>Office Supplies</x:v>
      </x:c>
      <x:c r="H6564" t="str">
        <x:v>Envelopes</x:v>
      </x:c>
      <x:c r="I6564" s="22" t="n">
        <x:v>419.90000000000003</x:v>
      </x:c>
      <x:c r="J6564" s="24" t="n">
        <x:v>5</x:v>
      </x:c>
      <x:c r="K6564" s="26" t="n">
        <x:v>0</x:v>
      </x:c>
      <x:c r="L6564" s="22" t="n">
        <x:v>197.35299999999998</x:v>
      </x:c>
      <x:c r="M6564" t="n">
        <x:v>2016</x:v>
      </x:c>
      <x:c r="N6564" s="20" t="n">
        <x:v>42552</x:v>
      </x:c>
    </x:row>
    <x:row r="6565" ht="18" customHeight="1">
      <x:c r="A6565" t="str">
        <x:v>CA-2016-160941</x:v>
      </x:c>
      <x:c r="B6565" s="18" t="n">
        <x:v>42572</x:v>
      </x:c>
      <x:c r="C6565" t="str">
        <x:v>DK-12835</x:v>
      </x:c>
      <x:c r="D6565" t="str">
        <x:v>Damala Kotsonis</x:v>
      </x:c>
      <x:c r="E6565" t="str">
        <x:v>Corporate</x:v>
      </x:c>
      <x:c r="F6565" t="str">
        <x:v>West</x:v>
      </x:c>
      <x:c r="G6565" t="str">
        <x:v>Office Supplies</x:v>
      </x:c>
      <x:c r="H6565" t="str">
        <x:v>Labels</x:v>
      </x:c>
      <x:c r="I6565" s="22" t="n">
        <x:v>3.15</x:v>
      </x:c>
      <x:c r="J6565" s="24" t="n">
        <x:v>1</x:v>
      </x:c>
      <x:c r="K6565" s="26" t="n">
        <x:v>0</x:v>
      </x:c>
      <x:c r="L6565" s="22" t="n">
        <x:v>1.512</x:v>
      </x:c>
      <x:c r="M6565" t="n">
        <x:v>2016</x:v>
      </x:c>
      <x:c r="N6565" s="20" t="n">
        <x:v>42552</x:v>
      </x:c>
    </x:row>
    <x:row r="6566" ht="18" customHeight="1">
      <x:c r="A6566" t="str">
        <x:v>CA-2017-144680</x:v>
      </x:c>
      <x:c r="B6566" s="18" t="n">
        <x:v>42825</x:v>
      </x:c>
      <x:c r="C6566" t="str">
        <x:v>SC-20260</x:v>
      </x:c>
      <x:c r="D6566" t="str">
        <x:v>Scott Cohen</x:v>
      </x:c>
      <x:c r="E6566" t="str">
        <x:v>Corporate</x:v>
      </x:c>
      <x:c r="F6566" t="str">
        <x:v>Central</x:v>
      </x:c>
      <x:c r="G6566" t="str">
        <x:v>Office Supplies</x:v>
      </x:c>
      <x:c r="H6566" t="str">
        <x:v>Appliances</x:v>
      </x:c>
      <x:c r="I6566" s="22" t="n">
        <x:v>33.61999999999999</x:v>
      </x:c>
      <x:c r="J6566" s="24" t="n">
        <x:v>5</x:v>
      </x:c>
      <x:c r="K6566" s="26" t="n">
        <x:v>0.8</x:v>
      </x:c>
      <x:c r="L6566" s="22" t="n">
        <x:v>-90.77400000000003</x:v>
      </x:c>
      <x:c r="M6566" t="n">
        <x:v>2017</x:v>
      </x:c>
      <x:c r="N6566" s="20" t="n">
        <x:v>42795</x:v>
      </x:c>
    </x:row>
    <x:row r="6567" ht="18" customHeight="1">
      <x:c r="A6567" t="str">
        <x:v>CA-2014-166086</x:v>
      </x:c>
      <x:c r="B6567" s="18" t="n">
        <x:v>41766</x:v>
      </x:c>
      <x:c r="C6567" t="str">
        <x:v>CT-11995</x:v>
      </x:c>
      <x:c r="D6567" t="str">
        <x:v>Carol Triggs</x:v>
      </x:c>
      <x:c r="E6567" t="str">
        <x:v>Consumer</x:v>
      </x:c>
      <x:c r="F6567" t="str">
        <x:v>East</x:v>
      </x:c>
      <x:c r="G6567" t="str">
        <x:v>Office Supplies</x:v>
      </x:c>
      <x:c r="H6567" t="str">
        <x:v>Binders</x:v>
      </x:c>
      <x:c r="I6567" s="22" t="n">
        <x:v>16.14</x:v>
      </x:c>
      <x:c r="J6567" s="24" t="n">
        <x:v>3</x:v>
      </x:c>
      <x:c r="K6567" s="26" t="n">
        <x:v>0</x:v>
      </x:c>
      <x:c r="L6567" s="22" t="n">
        <x:v>7.9086</x:v>
      </x:c>
      <x:c r="M6567" t="n">
        <x:v>2014</x:v>
      </x:c>
      <x:c r="N6567" s="20" t="n">
        <x:v>41760</x:v>
      </x:c>
    </x:row>
    <x:row r="6568" ht="18" customHeight="1">
      <x:c r="A6568" t="str">
        <x:v>CA-2014-166086</x:v>
      </x:c>
      <x:c r="B6568" s="18" t="n">
        <x:v>41766</x:v>
      </x:c>
      <x:c r="C6568" t="str">
        <x:v>CT-11995</x:v>
      </x:c>
      <x:c r="D6568" t="str">
        <x:v>Carol Triggs</x:v>
      </x:c>
      <x:c r="E6568" t="str">
        <x:v>Consumer</x:v>
      </x:c>
      <x:c r="F6568" t="str">
        <x:v>East</x:v>
      </x:c>
      <x:c r="G6568" t="str">
        <x:v>Furniture</x:v>
      </x:c>
      <x:c r="H6568" t="str">
        <x:v>Tables</x:v>
      </x:c>
      <x:c r="I6568" s="22" t="n">
        <x:v>194.25</x:v>
      </x:c>
      <x:c r="J6568" s="24" t="n">
        <x:v>2</x:v>
      </x:c>
      <x:c r="K6568" s="26" t="n">
        <x:v>0.3</x:v>
      </x:c>
      <x:c r="L6568" s="22" t="n">
        <x:v>-38.849999999999994</x:v>
      </x:c>
      <x:c r="M6568" t="n">
        <x:v>2014</x:v>
      </x:c>
      <x:c r="N6568" s="20" t="n">
        <x:v>41760</x:v>
      </x:c>
    </x:row>
    <x:row r="6569" ht="18" customHeight="1">
      <x:c r="A6569" t="str">
        <x:v>CA-2014-166086</x:v>
      </x:c>
      <x:c r="B6569" s="18" t="n">
        <x:v>41766</x:v>
      </x:c>
      <x:c r="C6569" t="str">
        <x:v>CT-11995</x:v>
      </x:c>
      <x:c r="D6569" t="str">
        <x:v>Carol Triggs</x:v>
      </x:c>
      <x:c r="E6569" t="str">
        <x:v>Consumer</x:v>
      </x:c>
      <x:c r="F6569" t="str">
        <x:v>East</x:v>
      </x:c>
      <x:c r="G6569" t="str">
        <x:v>Office Supplies</x:v>
      </x:c>
      <x:c r="H6569" t="str">
        <x:v>Art</x:v>
      </x:c>
      <x:c r="I6569" s="22" t="n">
        <x:v>8.64</x:v>
      </x:c>
      <x:c r="J6569" s="24" t="n">
        <x:v>3</x:v>
      </x:c>
      <x:c r="K6569" s="26" t="n">
        <x:v>0</x:v>
      </x:c>
      <x:c r="L6569" s="22" t="n">
        <x:v>2.5056</x:v>
      </x:c>
      <x:c r="M6569" t="n">
        <x:v>2014</x:v>
      </x:c>
      <x:c r="N6569" s="20" t="n">
        <x:v>41760</x:v>
      </x:c>
    </x:row>
    <x:row r="6570" ht="18" customHeight="1">
      <x:c r="A6570" t="str">
        <x:v>CA-2014-166086</x:v>
      </x:c>
      <x:c r="B6570" s="18" t="n">
        <x:v>41766</x:v>
      </x:c>
      <x:c r="C6570" t="str">
        <x:v>CT-11995</x:v>
      </x:c>
      <x:c r="D6570" t="str">
        <x:v>Carol Triggs</x:v>
      </x:c>
      <x:c r="E6570" t="str">
        <x:v>Consumer</x:v>
      </x:c>
      <x:c r="F6570" t="str">
        <x:v>East</x:v>
      </x:c>
      <x:c r="G6570" t="str">
        <x:v>Furniture</x:v>
      </x:c>
      <x:c r="H6570" t="str">
        <x:v>Chairs</x:v>
      </x:c>
      <x:c r="I6570" s="22" t="n">
        <x:v>872.32</x:v>
      </x:c>
      <x:c r="J6570" s="24" t="n">
        <x:v>4</x:v>
      </x:c>
      <x:c r="K6570" s="26" t="n">
        <x:v>0</x:v>
      </x:c>
      <x:c r="L6570" s="22" t="n">
        <x:v>244.2496</x:v>
      </x:c>
      <x:c r="M6570" t="n">
        <x:v>2014</x:v>
      </x:c>
      <x:c r="N6570" s="20" t="n">
        <x:v>41760</x:v>
      </x:c>
    </x:row>
    <x:row r="6571" ht="18" customHeight="1">
      <x:c r="A6571" t="str">
        <x:v>CA-2017-131282</x:v>
      </x:c>
      <x:c r="B6571" s="18" t="n">
        <x:v>42771</x:v>
      </x:c>
      <x:c r="C6571" t="str">
        <x:v>CB-12025</x:v>
      </x:c>
      <x:c r="D6571" t="str">
        <x:v>Cassandra Brandow</x:v>
      </x:c>
      <x:c r="E6571" t="str">
        <x:v>Consumer</x:v>
      </x:c>
      <x:c r="F6571" t="str">
        <x:v>Central</x:v>
      </x:c>
      <x:c r="G6571" t="str">
        <x:v>Office Supplies</x:v>
      </x:c>
      <x:c r="H6571" t="str">
        <x:v>Binders</x:v>
      </x:c>
      <x:c r="I6571" s="22" t="n">
        <x:v>243.99199999999996</x:v>
      </x:c>
      <x:c r="J6571" s="24" t="n">
        <x:v>4</x:v>
      </x:c>
      <x:c r="K6571" s="26" t="n">
        <x:v>0.8</x:v>
      </x:c>
      <x:c r="L6571" s="22" t="n">
        <x:v>-426.9860000000001</x:v>
      </x:c>
      <x:c r="M6571" t="n">
        <x:v>2017</x:v>
      </x:c>
      <x:c r="N6571" s="20" t="n">
        <x:v>42767</x:v>
      </x:c>
    </x:row>
    <x:row r="6572" ht="18" customHeight="1">
      <x:c r="A6572" t="str">
        <x:v>CA-2017-131282</x:v>
      </x:c>
      <x:c r="B6572" s="18" t="n">
        <x:v>42771</x:v>
      </x:c>
      <x:c r="C6572" t="str">
        <x:v>CB-12025</x:v>
      </x:c>
      <x:c r="D6572" t="str">
        <x:v>Cassandra Brandow</x:v>
      </x:c>
      <x:c r="E6572" t="str">
        <x:v>Consumer</x:v>
      </x:c>
      <x:c r="F6572" t="str">
        <x:v>Central</x:v>
      </x:c>
      <x:c r="G6572" t="str">
        <x:v>Office Supplies</x:v>
      </x:c>
      <x:c r="H6572" t="str">
        <x:v>Art</x:v>
      </x:c>
      <x:c r="I6572" s="22" t="n">
        <x:v>7.120000000000001</x:v>
      </x:c>
      <x:c r="J6572" s="24" t="n">
        <x:v>5</x:v>
      </x:c>
      <x:c r="K6572" s="26" t="n">
        <x:v>0.2</x:v>
      </x:c>
      <x:c r="L6572" s="22" t="n">
        <x:v>0.7119999999999997</x:v>
      </x:c>
      <x:c r="M6572" t="n">
        <x:v>2017</x:v>
      </x:c>
      <x:c r="N6572" s="20" t="n">
        <x:v>42767</x:v>
      </x:c>
    </x:row>
    <x:row r="6573" ht="18" customHeight="1">
      <x:c r="A6573" t="str">
        <x:v>CA-2014-100678</x:v>
      </x:c>
      <x:c r="B6573" s="18" t="n">
        <x:v>41747</x:v>
      </x:c>
      <x:c r="C6573" t="str">
        <x:v>KM-16720</x:v>
      </x:c>
      <x:c r="D6573" t="str">
        <x:v>Kunst Miller</x:v>
      </x:c>
      <x:c r="E6573" t="str">
        <x:v>Consumer</x:v>
      </x:c>
      <x:c r="F6573" t="str">
        <x:v>Central</x:v>
      </x:c>
      <x:c r="G6573" t="str">
        <x:v>Office Supplies</x:v>
      </x:c>
      <x:c r="H6573" t="str">
        <x:v>Art</x:v>
      </x:c>
      <x:c r="I6573" s="22" t="n">
        <x:v>2.688</x:v>
      </x:c>
      <x:c r="J6573" s="24" t="n">
        <x:v>2</x:v>
      </x:c>
      <x:c r="K6573" s="26" t="n">
        <x:v>0.2</x:v>
      </x:c>
      <x:c r="L6573" s="22" t="n">
        <x:v>1.008</x:v>
      </x:c>
      <x:c r="M6573" t="n">
        <x:v>2014</x:v>
      </x:c>
      <x:c r="N6573" s="20" t="n">
        <x:v>41730</x:v>
      </x:c>
    </x:row>
    <x:row r="6574" ht="18" customHeight="1">
      <x:c r="A6574" t="str">
        <x:v>CA-2014-100678</x:v>
      </x:c>
      <x:c r="B6574" s="18" t="n">
        <x:v>41747</x:v>
      </x:c>
      <x:c r="C6574" t="str">
        <x:v>KM-16720</x:v>
      </x:c>
      <x:c r="D6574" t="str">
        <x:v>Kunst Miller</x:v>
      </x:c>
      <x:c r="E6574" t="str">
        <x:v>Consumer</x:v>
      </x:c>
      <x:c r="F6574" t="str">
        <x:v>Central</x:v>
      </x:c>
      <x:c r="G6574" t="str">
        <x:v>Furniture</x:v>
      </x:c>
      <x:c r="H6574" t="str">
        <x:v>Chairs</x:v>
      </x:c>
      <x:c r="I6574" s="22" t="n">
        <x:v>317.058</x:v>
      </x:c>
      <x:c r="J6574" s="24" t="n">
        <x:v>3</x:v>
      </x:c>
      <x:c r="K6574" s="26" t="n">
        <x:v>0.3</x:v>
      </x:c>
      <x:c r="L6574" s="22" t="n">
        <x:v>-18.117599999999996</x:v>
      </x:c>
      <x:c r="M6574" t="n">
        <x:v>2014</x:v>
      </x:c>
      <x:c r="N6574" s="20" t="n">
        <x:v>41730</x:v>
      </x:c>
    </x:row>
    <x:row r="6575" ht="18" customHeight="1">
      <x:c r="A6575" t="str">
        <x:v>CA-2014-100678</x:v>
      </x:c>
      <x:c r="B6575" s="18" t="n">
        <x:v>41747</x:v>
      </x:c>
      <x:c r="C6575" t="str">
        <x:v>KM-16720</x:v>
      </x:c>
      <x:c r="D6575" t="str">
        <x:v>Kunst Miller</x:v>
      </x:c>
      <x:c r="E6575" t="str">
        <x:v>Consumer</x:v>
      </x:c>
      <x:c r="F6575" t="str">
        <x:v>Central</x:v>
      </x:c>
      <x:c r="G6575" t="str">
        <x:v>Office Supplies</x:v>
      </x:c>
      <x:c r="H6575" t="str">
        <x:v>Envelopes</x:v>
      </x:c>
      <x:c r="I6575" s="22" t="n">
        <x:v>149.352</x:v>
      </x:c>
      <x:c r="J6575" s="24" t="n">
        <x:v>3</x:v>
      </x:c>
      <x:c r="K6575" s="26" t="n">
        <x:v>0.2</x:v>
      </x:c>
      <x:c r="L6575" s="22" t="n">
        <x:v>50.40629999999998</x:v>
      </x:c>
      <x:c r="M6575" t="n">
        <x:v>2014</x:v>
      </x:c>
      <x:c r="N6575" s="20" t="n">
        <x:v>41730</x:v>
      </x:c>
    </x:row>
    <x:row r="6576" ht="18" customHeight="1">
      <x:c r="A6576" t="str">
        <x:v>CA-2014-100678</x:v>
      </x:c>
      <x:c r="B6576" s="18" t="n">
        <x:v>41747</x:v>
      </x:c>
      <x:c r="C6576" t="str">
        <x:v>KM-16720</x:v>
      </x:c>
      <x:c r="D6576" t="str">
        <x:v>Kunst Miller</x:v>
      </x:c>
      <x:c r="E6576" t="str">
        <x:v>Consumer</x:v>
      </x:c>
      <x:c r="F6576" t="str">
        <x:v>Central</x:v>
      </x:c>
      <x:c r="G6576" t="str">
        <x:v>Technology</x:v>
      </x:c>
      <x:c r="H6576" t="str">
        <x:v>Accessories</x:v>
      </x:c>
      <x:c r="I6576" s="22" t="n">
        <x:v>227.976</x:v>
      </x:c>
      <x:c r="J6576" s="24" t="n">
        <x:v>3</x:v>
      </x:c>
      <x:c r="K6576" s="26" t="n">
        <x:v>0.2</x:v>
      </x:c>
      <x:c r="L6576" s="22" t="n">
        <x:v>28.496999999999957</x:v>
      </x:c>
      <x:c r="M6576" t="n">
        <x:v>2014</x:v>
      </x:c>
      <x:c r="N6576" s="20" t="n">
        <x:v>41730</x:v>
      </x:c>
    </x:row>
    <x:row r="6577" ht="18" customHeight="1">
      <x:c r="A6577" t="str">
        <x:v>CA-2016-161543</x:v>
      </x:c>
      <x:c r="B6577" s="18" t="n">
        <x:v>42500</x:v>
      </x:c>
      <x:c r="C6577" t="str">
        <x:v>RD-19720</x:v>
      </x:c>
      <x:c r="D6577" t="str">
        <x:v>Roger Demir</x:v>
      </x:c>
      <x:c r="E6577" t="str">
        <x:v>Consumer</x:v>
      </x:c>
      <x:c r="F6577" t="str">
        <x:v>West</x:v>
      </x:c>
      <x:c r="G6577" t="str">
        <x:v>Office Supplies</x:v>
      </x:c>
      <x:c r="H6577" t="str">
        <x:v>Paper</x:v>
      </x:c>
      <x:c r="I6577" s="22" t="n">
        <x:v>11.96</x:v>
      </x:c>
      <x:c r="J6577" s="24" t="n">
        <x:v>2</x:v>
      </x:c>
      <x:c r="K6577" s="26" t="n">
        <x:v>0</x:v>
      </x:c>
      <x:c r="L6577" s="22" t="n">
        <x:v>5.8604</x:v>
      </x:c>
      <x:c r="M6577" t="n">
        <x:v>2016</x:v>
      </x:c>
      <x:c r="N6577" s="20" t="n">
        <x:v>42491</x:v>
      </x:c>
    </x:row>
    <x:row r="6578" ht="18" customHeight="1">
      <x:c r="A6578" t="str">
        <x:v>CA-2016-160535</x:v>
      </x:c>
      <x:c r="B6578" s="18" t="n">
        <x:v>42699</x:v>
      </x:c>
      <x:c r="C6578" t="str">
        <x:v>BP-11050</x:v>
      </x:c>
      <x:c r="D6578" t="str">
        <x:v>Barry Pond</x:v>
      </x:c>
      <x:c r="E6578" t="str">
        <x:v>Corporate</x:v>
      </x:c>
      <x:c r="F6578" t="str">
        <x:v>East</x:v>
      </x:c>
      <x:c r="G6578" t="str">
        <x:v>Office Supplies</x:v>
      </x:c>
      <x:c r="H6578" t="str">
        <x:v>Storage</x:v>
      </x:c>
      <x:c r="I6578" s="22" t="n">
        <x:v>563.4</x:v>
      </x:c>
      <x:c r="J6578" s="24" t="n">
        <x:v>4</x:v>
      </x:c>
      <x:c r="K6578" s="26" t="n">
        <x:v>0</x:v>
      </x:c>
      <x:c r="L6578" s="22" t="n">
        <x:v>67.608</x:v>
      </x:c>
      <x:c r="M6578" t="n">
        <x:v>2016</x:v>
      </x:c>
      <x:c r="N6578" s="20" t="n">
        <x:v>42675</x:v>
      </x:c>
    </x:row>
    <x:row r="6579" ht="18" customHeight="1">
      <x:c r="A6579" t="str">
        <x:v>CA-2016-160535</x:v>
      </x:c>
      <x:c r="B6579" s="18" t="n">
        <x:v>42699</x:v>
      </x:c>
      <x:c r="C6579" t="str">
        <x:v>BP-11050</x:v>
      </x:c>
      <x:c r="D6579" t="str">
        <x:v>Barry Pond</x:v>
      </x:c>
      <x:c r="E6579" t="str">
        <x:v>Corporate</x:v>
      </x:c>
      <x:c r="F6579" t="str">
        <x:v>East</x:v>
      </x:c>
      <x:c r="G6579" t="str">
        <x:v>Technology</x:v>
      </x:c>
      <x:c r="H6579" t="str">
        <x:v>Machines</x:v>
      </x:c>
      <x:c r="I6579" s="22" t="n">
        <x:v>319.92</x:v>
      </x:c>
      <x:c r="J6579" s="24" t="n">
        <x:v>8</x:v>
      </x:c>
      <x:c r="K6579" s="26" t="n">
        <x:v>0</x:v>
      </x:c>
      <x:c r="L6579" s="22" t="n">
        <x:v>118.37040000000002</x:v>
      </x:c>
      <x:c r="M6579" t="n">
        <x:v>2016</x:v>
      </x:c>
      <x:c r="N6579" s="20" t="n">
        <x:v>42675</x:v>
      </x:c>
    </x:row>
    <x:row r="6580" ht="18" customHeight="1">
      <x:c r="A6580" t="str">
        <x:v>CA-2017-123085</x:v>
      </x:c>
      <x:c r="B6580" s="18" t="n">
        <x:v>42797</x:v>
      </x:c>
      <x:c r="C6580" t="str">
        <x:v>EJ-13720</x:v>
      </x:c>
      <x:c r="D6580" t="str">
        <x:v>Ed Jacobs</x:v>
      </x:c>
      <x:c r="E6580" t="str">
        <x:v>Consumer</x:v>
      </x:c>
      <x:c r="F6580" t="str">
        <x:v>West</x:v>
      </x:c>
      <x:c r="G6580" t="str">
        <x:v>Technology</x:v>
      </x:c>
      <x:c r="H6580" t="str">
        <x:v>Accessories</x:v>
      </x:c>
      <x:c r="I6580" s="22" t="n">
        <x:v>1049.44</x:v>
      </x:c>
      <x:c r="J6580" s="24" t="n">
        <x:v>8</x:v>
      </x:c>
      <x:c r="K6580" s="26" t="n">
        <x:v>0</x:v>
      </x:c>
      <x:c r="L6580" s="22" t="n">
        <x:v>440.76480000000004</x:v>
      </x:c>
      <x:c r="M6580" t="n">
        <x:v>2017</x:v>
      </x:c>
      <x:c r="N6580" s="20" t="n">
        <x:v>42795</x:v>
      </x:c>
    </x:row>
    <x:row r="6581" ht="18" customHeight="1">
      <x:c r="A6581" t="str">
        <x:v>CA-2017-123085</x:v>
      </x:c>
      <x:c r="B6581" s="18" t="n">
        <x:v>42797</x:v>
      </x:c>
      <x:c r="C6581" t="str">
        <x:v>EJ-13720</x:v>
      </x:c>
      <x:c r="D6581" t="str">
        <x:v>Ed Jacobs</x:v>
      </x:c>
      <x:c r="E6581" t="str">
        <x:v>Consumer</x:v>
      </x:c>
      <x:c r="F6581" t="str">
        <x:v>West</x:v>
      </x:c>
      <x:c r="G6581" t="str">
        <x:v>Furniture</x:v>
      </x:c>
      <x:c r="H6581" t="str">
        <x:v>Chairs</x:v>
      </x:c>
      <x:c r="I6581" s="22" t="n">
        <x:v>170.35200000000003</x:v>
      </x:c>
      <x:c r="J6581" s="24" t="n">
        <x:v>3</x:v>
      </x:c>
      <x:c r="K6581" s="26" t="n">
        <x:v>0.2</x:v>
      </x:c>
      <x:c r="L6581" s="22" t="n">
        <x:v>-17.035200000000003</x:v>
      </x:c>
      <x:c r="M6581" t="n">
        <x:v>2017</x:v>
      </x:c>
      <x:c r="N6581" s="20" t="n">
        <x:v>42795</x:v>
      </x:c>
    </x:row>
    <x:row r="6582" ht="18" customHeight="1">
      <x:c r="A6582" t="str">
        <x:v>CA-2015-153752</x:v>
      </x:c>
      <x:c r="B6582" s="18" t="n">
        <x:v>42344</x:v>
      </x:c>
      <x:c r="C6582" t="str">
        <x:v>RO-19780</x:v>
      </x:c>
      <x:c r="D6582" t="str">
        <x:v>Rose O'Brian</x:v>
      </x:c>
      <x:c r="E6582" t="str">
        <x:v>Consumer</x:v>
      </x:c>
      <x:c r="F6582" t="str">
        <x:v>South</x:v>
      </x:c>
      <x:c r="G6582" t="str">
        <x:v>Technology</x:v>
      </x:c>
      <x:c r="H6582" t="str">
        <x:v>Phones</x:v>
      </x:c>
      <x:c r="I6582" s="22" t="n">
        <x:v>173.94</x:v>
      </x:c>
      <x:c r="J6582" s="24" t="n">
        <x:v>6</x:v>
      </x:c>
      <x:c r="K6582" s="26" t="n">
        <x:v>0</x:v>
      </x:c>
      <x:c r="L6582" s="22" t="n">
        <x:v>50.44259999999998</x:v>
      </x:c>
      <x:c r="M6582" t="n">
        <x:v>2015</x:v>
      </x:c>
      <x:c r="N6582" s="20" t="n">
        <x:v>42339</x:v>
      </x:c>
    </x:row>
    <x:row r="6583" ht="18" customHeight="1">
      <x:c r="A6583" t="str">
        <x:v>CA-2014-103660</x:v>
      </x:c>
      <x:c r="B6583" s="18" t="n">
        <x:v>41876</x:v>
      </x:c>
      <x:c r="C6583" t="str">
        <x:v>MW-18220</x:v>
      </x:c>
      <x:c r="D6583" t="str">
        <x:v>Mitch Webber</x:v>
      </x:c>
      <x:c r="E6583" t="str">
        <x:v>Consumer</x:v>
      </x:c>
      <x:c r="F6583" t="str">
        <x:v>West</x:v>
      </x:c>
      <x:c r="G6583" t="str">
        <x:v>Technology</x:v>
      </x:c>
      <x:c r="H6583" t="str">
        <x:v>Phones</x:v>
      </x:c>
      <x:c r="I6583" s="22" t="n">
        <x:v>1007.9440000000002</x:v>
      </x:c>
      <x:c r="J6583" s="24" t="n">
        <x:v>7</x:v>
      </x:c>
      <x:c r="K6583" s="26" t="n">
        <x:v>0.2</x:v>
      </x:c>
      <x:c r="L6583" s="22" t="n">
        <x:v>75.5958</x:v>
      </x:c>
      <x:c r="M6583" t="n">
        <x:v>2014</x:v>
      </x:c>
      <x:c r="N6583" s="20" t="n">
        <x:v>41852</x:v>
      </x:c>
    </x:row>
    <x:row r="6584" ht="18" customHeight="1">
      <x:c r="A6584" t="str">
        <x:v>CA-2016-169887</x:v>
      </x:c>
      <x:c r="B6584" s="18" t="n">
        <x:v>42665</x:v>
      </x:c>
      <x:c r="C6584" t="str">
        <x:v>MS-17530</x:v>
      </x:c>
      <x:c r="D6584" t="str">
        <x:v>MaryBeth Skach</x:v>
      </x:c>
      <x:c r="E6584" t="str">
        <x:v>Consumer</x:v>
      </x:c>
      <x:c r="F6584" t="str">
        <x:v>West</x:v>
      </x:c>
      <x:c r="G6584" t="str">
        <x:v>Office Supplies</x:v>
      </x:c>
      <x:c r="H6584" t="str">
        <x:v>Paper</x:v>
      </x:c>
      <x:c r="I6584" s="22" t="n">
        <x:v>6.68</x:v>
      </x:c>
      <x:c r="J6584" s="24" t="n">
        <x:v>1</x:v>
      </x:c>
      <x:c r="K6584" s="26" t="n">
        <x:v>0</x:v>
      </x:c>
      <x:c r="L6584" s="22" t="n">
        <x:v>3.2064</x:v>
      </x:c>
      <x:c r="M6584" t="n">
        <x:v>2016</x:v>
      </x:c>
      <x:c r="N6584" s="20" t="n">
        <x:v>42644</x:v>
      </x:c>
    </x:row>
    <x:row r="6585" ht="18" customHeight="1">
      <x:c r="A6585" t="str">
        <x:v>CA-2016-169887</x:v>
      </x:c>
      <x:c r="B6585" s="18" t="n">
        <x:v>42665</x:v>
      </x:c>
      <x:c r="C6585" t="str">
        <x:v>MS-17530</x:v>
      </x:c>
      <x:c r="D6585" t="str">
        <x:v>MaryBeth Skach</x:v>
      </x:c>
      <x:c r="E6585" t="str">
        <x:v>Consumer</x:v>
      </x:c>
      <x:c r="F6585" t="str">
        <x:v>West</x:v>
      </x:c>
      <x:c r="G6585" t="str">
        <x:v>Office Supplies</x:v>
      </x:c>
      <x:c r="H6585" t="str">
        <x:v>Art</x:v>
      </x:c>
      <x:c r="I6585" s="22" t="n">
        <x:v>8.34</x:v>
      </x:c>
      <x:c r="J6585" s="24" t="n">
        <x:v>3</x:v>
      </x:c>
      <x:c r="K6585" s="26" t="n">
        <x:v>0</x:v>
      </x:c>
      <x:c r="L6585" s="22" t="n">
        <x:v>2.2518</x:v>
      </x:c>
      <x:c r="M6585" t="n">
        <x:v>2016</x:v>
      </x:c>
      <x:c r="N6585" s="20" t="n">
        <x:v>42644</x:v>
      </x:c>
    </x:row>
    <x:row r="6586" ht="18" customHeight="1">
      <x:c r="A6586" t="str">
        <x:v>CA-2016-169887</x:v>
      </x:c>
      <x:c r="B6586" s="18" t="n">
        <x:v>42665</x:v>
      </x:c>
      <x:c r="C6586" t="str">
        <x:v>MS-17530</x:v>
      </x:c>
      <x:c r="D6586" t="str">
        <x:v>MaryBeth Skach</x:v>
      </x:c>
      <x:c r="E6586" t="str">
        <x:v>Consumer</x:v>
      </x:c>
      <x:c r="F6586" t="str">
        <x:v>West</x:v>
      </x:c>
      <x:c r="G6586" t="str">
        <x:v>Furniture</x:v>
      </x:c>
      <x:c r="H6586" t="str">
        <x:v>Furnishings</x:v>
      </x:c>
      <x:c r="I6586" s="22" t="n">
        <x:v>101.94</x:v>
      </x:c>
      <x:c r="J6586" s="24" t="n">
        <x:v>3</x:v>
      </x:c>
      <x:c r="K6586" s="26" t="n">
        <x:v>0</x:v>
      </x:c>
      <x:c r="L6586" s="22" t="n">
        <x:v>30.581999999999987</x:v>
      </x:c>
      <x:c r="M6586" t="n">
        <x:v>2016</x:v>
      </x:c>
      <x:c r="N6586" s="20" t="n">
        <x:v>42644</x:v>
      </x:c>
    </x:row>
    <x:row r="6587" ht="18" customHeight="1">
      <x:c r="A6587" t="str">
        <x:v>CA-2016-148516</x:v>
      </x:c>
      <x:c r="B6587" s="18" t="n">
        <x:v>42589</x:v>
      </x:c>
      <x:c r="C6587" t="str">
        <x:v>DW-13585</x:v>
      </x:c>
      <x:c r="D6587" t="str">
        <x:v>Dorothy Wardle</x:v>
      </x:c>
      <x:c r="E6587" t="str">
        <x:v>Corporate</x:v>
      </x:c>
      <x:c r="F6587" t="str">
        <x:v>West</x:v>
      </x:c>
      <x:c r="G6587" t="str">
        <x:v>Technology</x:v>
      </x:c>
      <x:c r="H6587" t="str">
        <x:v>Accessories</x:v>
      </x:c>
      <x:c r="I6587" s="22" t="n">
        <x:v>179.97</x:v>
      </x:c>
      <x:c r="J6587" s="24" t="n">
        <x:v>3</x:v>
      </x:c>
      <x:c r="K6587" s="26" t="n">
        <x:v>0</x:v>
      </x:c>
      <x:c r="L6587" s="22" t="n">
        <x:v>86.38560000000001</x:v>
      </x:c>
      <x:c r="M6587" t="n">
        <x:v>2016</x:v>
      </x:c>
      <x:c r="N6587" s="20" t="n">
        <x:v>42583</x:v>
      </x:c>
    </x:row>
    <x:row r="6588" ht="18" customHeight="1">
      <x:c r="A6588" t="str">
        <x:v>CA-2017-104731</x:v>
      </x:c>
      <x:c r="B6588" s="18" t="n">
        <x:v>42937</x:v>
      </x:c>
      <x:c r="C6588" t="str">
        <x:v>AM-10705</x:v>
      </x:c>
      <x:c r="D6588" t="str">
        <x:v>Anne McFarland</x:v>
      </x:c>
      <x:c r="E6588" t="str">
        <x:v>Consumer</x:v>
      </x:c>
      <x:c r="F6588" t="str">
        <x:v>South</x:v>
      </x:c>
      <x:c r="G6588" t="str">
        <x:v>Office Supplies</x:v>
      </x:c>
      <x:c r="H6588" t="str">
        <x:v>Art</x:v>
      </x:c>
      <x:c r="I6588" s="22" t="n">
        <x:v>101.94</x:v>
      </x:c>
      <x:c r="J6588" s="24" t="n">
        <x:v>6</x:v>
      </x:c>
      <x:c r="K6588" s="26" t="n">
        <x:v>0</x:v>
      </x:c>
      <x:c r="L6588" s="22" t="n">
        <x:v>29.562599999999986</x:v>
      </x:c>
      <x:c r="M6588" t="n">
        <x:v>2017</x:v>
      </x:c>
      <x:c r="N6588" s="20" t="n">
        <x:v>42917</x:v>
      </x:c>
    </x:row>
    <x:row r="6589" ht="18" customHeight="1">
      <x:c r="A6589" t="str">
        <x:v>CA-2017-104731</x:v>
      </x:c>
      <x:c r="B6589" s="18" t="n">
        <x:v>42937</x:v>
      </x:c>
      <x:c r="C6589" t="str">
        <x:v>AM-10705</x:v>
      </x:c>
      <x:c r="D6589" t="str">
        <x:v>Anne McFarland</x:v>
      </x:c>
      <x:c r="E6589" t="str">
        <x:v>Consumer</x:v>
      </x:c>
      <x:c r="F6589" t="str">
        <x:v>South</x:v>
      </x:c>
      <x:c r="G6589" t="str">
        <x:v>Technology</x:v>
      </x:c>
      <x:c r="H6589" t="str">
        <x:v>Phones</x:v>
      </x:c>
      <x:c r="I6589" s="22" t="n">
        <x:v>271.96</x:v>
      </x:c>
      <x:c r="J6589" s="24" t="n">
        <x:v>4</x:v>
      </x:c>
      <x:c r="K6589" s="26" t="n">
        <x:v>0</x:v>
      </x:c>
      <x:c r="L6589" s="22" t="n">
        <x:v>67.99000000000001</x:v>
      </x:c>
      <x:c r="M6589" t="n">
        <x:v>2017</x:v>
      </x:c>
      <x:c r="N6589" s="20" t="n">
        <x:v>42917</x:v>
      </x:c>
    </x:row>
    <x:row r="6590" ht="18" customHeight="1">
      <x:c r="A6590" t="str">
        <x:v>CA-2017-104731</x:v>
      </x:c>
      <x:c r="B6590" s="18" t="n">
        <x:v>42937</x:v>
      </x:c>
      <x:c r="C6590" t="str">
        <x:v>AM-10705</x:v>
      </x:c>
      <x:c r="D6590" t="str">
        <x:v>Anne McFarland</x:v>
      </x:c>
      <x:c r="E6590" t="str">
        <x:v>Consumer</x:v>
      </x:c>
      <x:c r="F6590" t="str">
        <x:v>South</x:v>
      </x:c>
      <x:c r="G6590" t="str">
        <x:v>Furniture</x:v>
      </x:c>
      <x:c r="H6590" t="str">
        <x:v>Furnishings</x:v>
      </x:c>
      <x:c r="I6590" s="22" t="n">
        <x:v>8.8</x:v>
      </x:c>
      <x:c r="J6590" s="24" t="n">
        <x:v>5</x:v>
      </x:c>
      <x:c r="K6590" s="26" t="n">
        <x:v>0</x:v>
      </x:c>
      <x:c r="L6590" s="22" t="n">
        <x:v>3.8720000000000003</x:v>
      </x:c>
      <x:c r="M6590" t="n">
        <x:v>2017</x:v>
      </x:c>
      <x:c r="N6590" s="20" t="n">
        <x:v>42917</x:v>
      </x:c>
    </x:row>
    <x:row r="6591" ht="18" customHeight="1">
      <x:c r="A6591" t="str">
        <x:v>CA-2017-104731</x:v>
      </x:c>
      <x:c r="B6591" s="18" t="n">
        <x:v>42937</x:v>
      </x:c>
      <x:c r="C6591" t="str">
        <x:v>AM-10705</x:v>
      </x:c>
      <x:c r="D6591" t="str">
        <x:v>Anne McFarland</x:v>
      </x:c>
      <x:c r="E6591" t="str">
        <x:v>Consumer</x:v>
      </x:c>
      <x:c r="F6591" t="str">
        <x:v>South</x:v>
      </x:c>
      <x:c r="G6591" t="str">
        <x:v>Office Supplies</x:v>
      </x:c>
      <x:c r="H6591" t="str">
        <x:v>Art</x:v>
      </x:c>
      <x:c r="I6591" s="22" t="n">
        <x:v>19.68</x:v>
      </x:c>
      <x:c r="J6591" s="24" t="n">
        <x:v>6</x:v>
      </x:c>
      <x:c r="K6591" s="26" t="n">
        <x:v>0</x:v>
      </x:c>
      <x:c r="L6591" s="22" t="n">
        <x:v>5.707199999999998</x:v>
      </x:c>
      <x:c r="M6591" t="n">
        <x:v>2017</x:v>
      </x:c>
      <x:c r="N6591" s="20" t="n">
        <x:v>42917</x:v>
      </x:c>
    </x:row>
    <x:row r="6592" ht="18" customHeight="1">
      <x:c r="A6592" t="str">
        <x:v>CA-2017-104731</x:v>
      </x:c>
      <x:c r="B6592" s="18" t="n">
        <x:v>42937</x:v>
      </x:c>
      <x:c r="C6592" t="str">
        <x:v>AM-10705</x:v>
      </x:c>
      <x:c r="D6592" t="str">
        <x:v>Anne McFarland</x:v>
      </x:c>
      <x:c r="E6592" t="str">
        <x:v>Consumer</x:v>
      </x:c>
      <x:c r="F6592" t="str">
        <x:v>South</x:v>
      </x:c>
      <x:c r="G6592" t="str">
        <x:v>Furniture</x:v>
      </x:c>
      <x:c r="H6592" t="str">
        <x:v>Bookcases</x:v>
      </x:c>
      <x:c r="I6592" s="22" t="n">
        <x:v>302.94</x:v>
      </x:c>
      <x:c r="J6592" s="24" t="n">
        <x:v>3</x:v>
      </x:c>
      <x:c r="K6592" s="26" t="n">
        <x:v>0</x:v>
      </x:c>
      <x:c r="L6592" s="22" t="n">
        <x:v>69.67619999999998</x:v>
      </x:c>
      <x:c r="M6592" t="n">
        <x:v>2017</x:v>
      </x:c>
      <x:c r="N6592" s="20" t="n">
        <x:v>42917</x:v>
      </x:c>
    </x:row>
    <x:row r="6593" ht="18" customHeight="1">
      <x:c r="A6593" t="str">
        <x:v>CA-2017-104731</x:v>
      </x:c>
      <x:c r="B6593" s="18" t="n">
        <x:v>42937</x:v>
      </x:c>
      <x:c r="C6593" t="str">
        <x:v>AM-10705</x:v>
      </x:c>
      <x:c r="D6593" t="str">
        <x:v>Anne McFarland</x:v>
      </x:c>
      <x:c r="E6593" t="str">
        <x:v>Consumer</x:v>
      </x:c>
      <x:c r="F6593" t="str">
        <x:v>South</x:v>
      </x:c>
      <x:c r="G6593" t="str">
        <x:v>Office Supplies</x:v>
      </x:c>
      <x:c r="H6593" t="str">
        <x:v>Binders</x:v>
      </x:c>
      <x:c r="I6593" s="22" t="n">
        <x:v>14.940000000000001</x:v>
      </x:c>
      <x:c r="J6593" s="24" t="n">
        <x:v>3</x:v>
      </x:c>
      <x:c r="K6593" s="26" t="n">
        <x:v>0</x:v>
      </x:c>
      <x:c r="L6593" s="22" t="n">
        <x:v>7.171200000000001</x:v>
      </x:c>
      <x:c r="M6593" t="n">
        <x:v>2017</x:v>
      </x:c>
      <x:c r="N6593" s="20" t="n">
        <x:v>42917</x:v>
      </x:c>
    </x:row>
    <x:row r="6594" ht="18" customHeight="1">
      <x:c r="A6594" t="str">
        <x:v>CA-2017-104731</x:v>
      </x:c>
      <x:c r="B6594" s="18" t="n">
        <x:v>42937</x:v>
      </x:c>
      <x:c r="C6594" t="str">
        <x:v>AM-10705</x:v>
      </x:c>
      <x:c r="D6594" t="str">
        <x:v>Anne McFarland</x:v>
      </x:c>
      <x:c r="E6594" t="str">
        <x:v>Consumer</x:v>
      </x:c>
      <x:c r="F6594" t="str">
        <x:v>South</x:v>
      </x:c>
      <x:c r="G6594" t="str">
        <x:v>Office Supplies</x:v>
      </x:c>
      <x:c r="H6594" t="str">
        <x:v>Supplies</x:v>
      </x:c>
      <x:c r="I6594" s="22" t="n">
        <x:v>231.72</x:v>
      </x:c>
      <x:c r="J6594" s="24" t="n">
        <x:v>2</x:v>
      </x:c>
      <x:c r="K6594" s="26" t="n">
        <x:v>0</x:v>
      </x:c>
      <x:c r="L6594" s="22" t="n">
        <x:v>11.585999999999984</x:v>
      </x:c>
      <x:c r="M6594" t="n">
        <x:v>2017</x:v>
      </x:c>
      <x:c r="N6594" s="20" t="n">
        <x:v>42917</x:v>
      </x:c>
    </x:row>
    <x:row r="6595" ht="18" customHeight="1">
      <x:c r="A6595" t="str">
        <x:v>CA-2014-164749</x:v>
      </x:c>
      <x:c r="B6595" s="18" t="n">
        <x:v>41721</x:v>
      </x:c>
      <x:c r="C6595" t="str">
        <x:v>BG-11740</x:v>
      </x:c>
      <x:c r="D6595" t="str">
        <x:v>Bruce Geld</x:v>
      </x:c>
      <x:c r="E6595" t="str">
        <x:v>Consumer</x:v>
      </x:c>
      <x:c r="F6595" t="str">
        <x:v>South</x:v>
      </x:c>
      <x:c r="G6595" t="str">
        <x:v>Office Supplies</x:v>
      </x:c>
      <x:c r="H6595" t="str">
        <x:v>Labels</x:v>
      </x:c>
      <x:c r="I6595" s="22" t="n">
        <x:v>9.912</x:v>
      </x:c>
      <x:c r="J6595" s="24" t="n">
        <x:v>3</x:v>
      </x:c>
      <x:c r="K6595" s="26" t="n">
        <x:v>0.2</x:v>
      </x:c>
      <x:c r="L6595" s="22" t="n">
        <x:v>3.2213999999999996</x:v>
      </x:c>
      <x:c r="M6595" t="n">
        <x:v>2014</x:v>
      </x:c>
      <x:c r="N6595" s="20" t="n">
        <x:v>41699</x:v>
      </x:c>
    </x:row>
    <x:row r="6596" ht="18" customHeight="1">
      <x:c r="A6596" t="str">
        <x:v>CA-2015-103716</x:v>
      </x:c>
      <x:c r="B6596" s="18" t="n">
        <x:v>42124</x:v>
      </x:c>
      <x:c r="C6596" t="str">
        <x:v>KB-16585</x:v>
      </x:c>
      <x:c r="D6596" t="str">
        <x:v>Ken Black</x:v>
      </x:c>
      <x:c r="E6596" t="str">
        <x:v>Corporate</x:v>
      </x:c>
      <x:c r="F6596" t="str">
        <x:v>West</x:v>
      </x:c>
      <x:c r="G6596" t="str">
        <x:v>Office Supplies</x:v>
      </x:c>
      <x:c r="H6596" t="str">
        <x:v>Art</x:v>
      </x:c>
      <x:c r="I6596" s="22" t="n">
        <x:v>34.650000000000006</x:v>
      </x:c>
      <x:c r="J6596" s="24" t="n">
        <x:v>3</x:v>
      </x:c>
      <x:c r="K6596" s="26" t="n">
        <x:v>0</x:v>
      </x:c>
      <x:c r="L6596" s="22" t="n">
        <x:v>9.702</x:v>
      </x:c>
      <x:c r="M6596" t="n">
        <x:v>2015</x:v>
      </x:c>
      <x:c r="N6596" s="20" t="n">
        <x:v>42095</x:v>
      </x:c>
    </x:row>
    <x:row r="6597" ht="18" customHeight="1">
      <x:c r="A6597" t="str">
        <x:v>CA-2015-103716</x:v>
      </x:c>
      <x:c r="B6597" s="18" t="n">
        <x:v>42124</x:v>
      </x:c>
      <x:c r="C6597" t="str">
        <x:v>KB-16585</x:v>
      </x:c>
      <x:c r="D6597" t="str">
        <x:v>Ken Black</x:v>
      </x:c>
      <x:c r="E6597" t="str">
        <x:v>Corporate</x:v>
      </x:c>
      <x:c r="F6597" t="str">
        <x:v>West</x:v>
      </x:c>
      <x:c r="G6597" t="str">
        <x:v>Technology</x:v>
      </x:c>
      <x:c r="H6597" t="str">
        <x:v>Phones</x:v>
      </x:c>
      <x:c r="I6597" s="22" t="n">
        <x:v>19.8</x:v>
      </x:c>
      <x:c r="J6597" s="24" t="n">
        <x:v>5</x:v>
      </x:c>
      <x:c r="K6597" s="26" t="n">
        <x:v>0.2</x:v>
      </x:c>
      <x:c r="L6597" s="22" t="n">
        <x:v>1.7325</x:v>
      </x:c>
      <x:c r="M6597" t="n">
        <x:v>2015</x:v>
      </x:c>
      <x:c r="N6597" s="20" t="n">
        <x:v>42095</x:v>
      </x:c>
    </x:row>
    <x:row r="6598" ht="18" customHeight="1">
      <x:c r="A6598" t="str">
        <x:v>CA-2016-126795</x:v>
      </x:c>
      <x:c r="B6598" s="18" t="n">
        <x:v>42534</x:v>
      </x:c>
      <x:c r="C6598" t="str">
        <x:v>GT-14710</x:v>
      </x:c>
      <x:c r="D6598" t="str">
        <x:v>Greg Tran</x:v>
      </x:c>
      <x:c r="E6598" t="str">
        <x:v>Consumer</x:v>
      </x:c>
      <x:c r="F6598" t="str">
        <x:v>East</x:v>
      </x:c>
      <x:c r="G6598" t="str">
        <x:v>Office Supplies</x:v>
      </x:c>
      <x:c r="H6598" t="str">
        <x:v>Binders</x:v>
      </x:c>
      <x:c r="I6598" s="22" t="n">
        <x:v>33.568000000000005</x:v>
      </x:c>
      <x:c r="J6598" s="24" t="n">
        <x:v>2</x:v>
      </x:c>
      <x:c r="K6598" s="26" t="n">
        <x:v>0.2</x:v>
      </x:c>
      <x:c r="L6598" s="22" t="n">
        <x:v>11.748799999999997</x:v>
      </x:c>
      <x:c r="M6598" t="n">
        <x:v>2016</x:v>
      </x:c>
      <x:c r="N6598" s="20" t="n">
        <x:v>42522</x:v>
      </x:c>
    </x:row>
    <x:row r="6599" ht="18" customHeight="1">
      <x:c r="A6599" t="str">
        <x:v>CA-2015-146290</x:v>
      </x:c>
      <x:c r="B6599" s="18" t="n">
        <x:v>42128</x:v>
      </x:c>
      <x:c r="C6599" t="str">
        <x:v>SV-20815</x:v>
      </x:c>
      <x:c r="D6599" t="str">
        <x:v>Stuart Van</x:v>
      </x:c>
      <x:c r="E6599" t="str">
        <x:v>Corporate</x:v>
      </x:c>
      <x:c r="F6599" t="str">
        <x:v>Central</x:v>
      </x:c>
      <x:c r="G6599" t="str">
        <x:v>Office Supplies</x:v>
      </x:c>
      <x:c r="H6599" t="str">
        <x:v>Art</x:v>
      </x:c>
      <x:c r="I6599" s="22" t="n">
        <x:v>125.92999999999999</x:v>
      </x:c>
      <x:c r="J6599" s="24" t="n">
        <x:v>7</x:v>
      </x:c>
      <x:c r="K6599" s="26" t="n">
        <x:v>0</x:v>
      </x:c>
      <x:c r="L6599" s="22" t="n">
        <x:v>35.260400000000004</x:v>
      </x:c>
      <x:c r="M6599" t="n">
        <x:v>2015</x:v>
      </x:c>
      <x:c r="N6599" s="20" t="n">
        <x:v>42125</x:v>
      </x:c>
    </x:row>
    <x:row r="6600" ht="18" customHeight="1">
      <x:c r="A6600" t="str">
        <x:v>CA-2017-157112</x:v>
      </x:c>
      <x:c r="B6600" s="18" t="n">
        <x:v>42848</x:v>
      </x:c>
      <x:c r="C6600" t="str">
        <x:v>GG-14650</x:v>
      </x:c>
      <x:c r="D6600" t="str">
        <x:v>Greg Guthrie</x:v>
      </x:c>
      <x:c r="E6600" t="str">
        <x:v>Corporate</x:v>
      </x:c>
      <x:c r="F6600" t="str">
        <x:v>East</x:v>
      </x:c>
      <x:c r="G6600" t="str">
        <x:v>Office Supplies</x:v>
      </x:c>
      <x:c r="H6600" t="str">
        <x:v>Binders</x:v>
      </x:c>
      <x:c r="I6600" s="22" t="n">
        <x:v>11.760000000000002</x:v>
      </x:c>
      <x:c r="J6600" s="24" t="n">
        <x:v>5</x:v>
      </x:c>
      <x:c r="K6600" s="26" t="n">
        <x:v>0.7</x:v>
      </x:c>
      <x:c r="L6600" s="22" t="n">
        <x:v>-7.839999999999996</x:v>
      </x:c>
      <x:c r="M6600" t="n">
        <x:v>2017</x:v>
      </x:c>
      <x:c r="N6600" s="20" t="n">
        <x:v>42826</x:v>
      </x:c>
    </x:row>
    <x:row r="6601" ht="18" customHeight="1">
      <x:c r="A6601" t="str">
        <x:v>CA-2017-157112</x:v>
      </x:c>
      <x:c r="B6601" s="18" t="n">
        <x:v>42848</x:v>
      </x:c>
      <x:c r="C6601" t="str">
        <x:v>GG-14650</x:v>
      </x:c>
      <x:c r="D6601" t="str">
        <x:v>Greg Guthrie</x:v>
      </x:c>
      <x:c r="E6601" t="str">
        <x:v>Corporate</x:v>
      </x:c>
      <x:c r="F6601" t="str">
        <x:v>East</x:v>
      </x:c>
      <x:c r="G6601" t="str">
        <x:v>Office Supplies</x:v>
      </x:c>
      <x:c r="H6601" t="str">
        <x:v>Paper</x:v>
      </x:c>
      <x:c r="I6601" s="22" t="n">
        <x:v>5.344</x:v>
      </x:c>
      <x:c r="J6601" s="24" t="n">
        <x:v>1</x:v>
      </x:c>
      <x:c r="K6601" s="26" t="n">
        <x:v>0.2</x:v>
      </x:c>
      <x:c r="L6601" s="22" t="n">
        <x:v>1.8703999999999998</x:v>
      </x:c>
      <x:c r="M6601" t="n">
        <x:v>2017</x:v>
      </x:c>
      <x:c r="N6601" s="20" t="n">
        <x:v>42826</x:v>
      </x:c>
    </x:row>
    <x:row r="6602" ht="18" customHeight="1">
      <x:c r="A6602" t="str">
        <x:v>CA-2014-169257</x:v>
      </x:c>
      <x:c r="B6602" s="18" t="n">
        <x:v>41796</x:v>
      </x:c>
      <x:c r="C6602" t="str">
        <x:v>SV-20785</x:v>
      </x:c>
      <x:c r="D6602" t="str">
        <x:v>Stewart Visinsky</x:v>
      </x:c>
      <x:c r="E6602" t="str">
        <x:v>Consumer</x:v>
      </x:c>
      <x:c r="F6602" t="str">
        <x:v>South</x:v>
      </x:c>
      <x:c r="G6602" t="str">
        <x:v>Office Supplies</x:v>
      </x:c>
      <x:c r="H6602" t="str">
        <x:v>Binders</x:v>
      </x:c>
      <x:c r="I6602" s="22" t="n">
        <x:v>1.3650000000000002</x:v>
      </x:c>
      <x:c r="J6602" s="24" t="n">
        <x:v>1</x:v>
      </x:c>
      <x:c r="K6602" s="26" t="n">
        <x:v>0.7</x:v>
      </x:c>
      <x:c r="L6602" s="22" t="n">
        <x:v>-0.9099999999999997</x:v>
      </x:c>
      <x:c r="M6602" t="n">
        <x:v>2014</x:v>
      </x:c>
      <x:c r="N6602" s="20" t="n">
        <x:v>41791</x:v>
      </x:c>
    </x:row>
    <x:row r="6603" ht="18" customHeight="1">
      <x:c r="A6603" t="str">
        <x:v>CA-2014-169257</x:v>
      </x:c>
      <x:c r="B6603" s="18" t="n">
        <x:v>41796</x:v>
      </x:c>
      <x:c r="C6603" t="str">
        <x:v>SV-20785</x:v>
      </x:c>
      <x:c r="D6603" t="str">
        <x:v>Stewart Visinsky</x:v>
      </x:c>
      <x:c r="E6603" t="str">
        <x:v>Consumer</x:v>
      </x:c>
      <x:c r="F6603" t="str">
        <x:v>South</x:v>
      </x:c>
      <x:c r="G6603" t="str">
        <x:v>Office Supplies</x:v>
      </x:c>
      <x:c r="H6603" t="str">
        <x:v>Paper</x:v>
      </x:c>
      <x:c r="I6603" s="22" t="n">
        <x:v>62.016</x:v>
      </x:c>
      <x:c r="J6603" s="24" t="n">
        <x:v>2</x:v>
      </x:c>
      <x:c r="K6603" s="26" t="n">
        <x:v>0.2</x:v>
      </x:c>
      <x:c r="L6603" s="22" t="n">
        <x:v>22.480800000000002</x:v>
      </x:c>
      <x:c r="M6603" t="n">
        <x:v>2014</x:v>
      </x:c>
      <x:c r="N6603" s="20" t="n">
        <x:v>41791</x:v>
      </x:c>
    </x:row>
    <x:row r="6604" ht="18" customHeight="1">
      <x:c r="A6604" t="str">
        <x:v>CA-2014-154095</x:v>
      </x:c>
      <x:c r="B6604" s="18" t="n">
        <x:v>41975</x:v>
      </x:c>
      <x:c r="C6604" t="str">
        <x:v>ON-18715</x:v>
      </x:c>
      <x:c r="D6604" t="str">
        <x:v>Odella Nelson</x:v>
      </x:c>
      <x:c r="E6604" t="str">
        <x:v>Corporate</x:v>
      </x:c>
      <x:c r="F6604" t="str">
        <x:v>East</x:v>
      </x:c>
      <x:c r="G6604" t="str">
        <x:v>Furniture</x:v>
      </x:c>
      <x:c r="H6604" t="str">
        <x:v>Furnishings</x:v>
      </x:c>
      <x:c r="I6604" s="22" t="n">
        <x:v>60.72</x:v>
      </x:c>
      <x:c r="J6604" s="24" t="n">
        <x:v>3</x:v>
      </x:c>
      <x:c r="K6604" s="26" t="n">
        <x:v>0</x:v>
      </x:c>
      <x:c r="L6604" s="22" t="n">
        <x:v>23.680799999999998</x:v>
      </x:c>
      <x:c r="M6604" t="n">
        <x:v>2014</x:v>
      </x:c>
      <x:c r="N6604" s="20" t="n">
        <x:v>41974</x:v>
      </x:c>
    </x:row>
    <x:row r="6605" ht="18" customHeight="1">
      <x:c r="A6605" t="str">
        <x:v>CA-2014-154095</x:v>
      </x:c>
      <x:c r="B6605" s="18" t="n">
        <x:v>41975</x:v>
      </x:c>
      <x:c r="C6605" t="str">
        <x:v>ON-18715</x:v>
      </x:c>
      <x:c r="D6605" t="str">
        <x:v>Odella Nelson</x:v>
      </x:c>
      <x:c r="E6605" t="str">
        <x:v>Corporate</x:v>
      </x:c>
      <x:c r="F6605" t="str">
        <x:v>East</x:v>
      </x:c>
      <x:c r="G6605" t="str">
        <x:v>Office Supplies</x:v>
      </x:c>
      <x:c r="H6605" t="str">
        <x:v>Paper</x:v>
      </x:c>
      <x:c r="I6605" s="22" t="n">
        <x:v>146.82</x:v>
      </x:c>
      <x:c r="J6605" s="24" t="n">
        <x:v>3</x:v>
      </x:c>
      <x:c r="K6605" s="26" t="n">
        <x:v>0</x:v>
      </x:c>
      <x:c r="L6605" s="22" t="n">
        <x:v>73.41</x:v>
      </x:c>
      <x:c r="M6605" t="n">
        <x:v>2014</x:v>
      </x:c>
      <x:c r="N6605" s="20" t="n">
        <x:v>41974</x:v>
      </x:c>
    </x:row>
    <x:row r="6606" ht="18" customHeight="1">
      <x:c r="A6606" t="str">
        <x:v>CA-2014-154095</x:v>
      </x:c>
      <x:c r="B6606" s="18" t="n">
        <x:v>41975</x:v>
      </x:c>
      <x:c r="C6606" t="str">
        <x:v>ON-18715</x:v>
      </x:c>
      <x:c r="D6606" t="str">
        <x:v>Odella Nelson</x:v>
      </x:c>
      <x:c r="E6606" t="str">
        <x:v>Corporate</x:v>
      </x:c>
      <x:c r="F6606" t="str">
        <x:v>East</x:v>
      </x:c>
      <x:c r="G6606" t="str">
        <x:v>Furniture</x:v>
      </x:c>
      <x:c r="H6606" t="str">
        <x:v>Chairs</x:v>
      </x:c>
      <x:c r="I6606" s="22" t="n">
        <x:v>239.84</x:v>
      </x:c>
      <x:c r="J6606" s="24" t="n">
        <x:v>8</x:v>
      </x:c>
      <x:c r="K6606" s="26" t="n">
        <x:v>0</x:v>
      </x:c>
      <x:c r="L6606" s="22" t="n">
        <x:v>64.7568</x:v>
      </x:c>
      <x:c r="M6606" t="n">
        <x:v>2014</x:v>
      </x:c>
      <x:c r="N6606" s="20" t="n">
        <x:v>41974</x:v>
      </x:c>
    </x:row>
    <x:row r="6607" ht="18" customHeight="1">
      <x:c r="A6607" t="str">
        <x:v>CA-2014-154095</x:v>
      </x:c>
      <x:c r="B6607" s="18" t="n">
        <x:v>41975</x:v>
      </x:c>
      <x:c r="C6607" t="str">
        <x:v>ON-18715</x:v>
      </x:c>
      <x:c r="D6607" t="str">
        <x:v>Odella Nelson</x:v>
      </x:c>
      <x:c r="E6607" t="str">
        <x:v>Corporate</x:v>
      </x:c>
      <x:c r="F6607" t="str">
        <x:v>East</x:v>
      </x:c>
      <x:c r="G6607" t="str">
        <x:v>Office Supplies</x:v>
      </x:c>
      <x:c r="H6607" t="str">
        <x:v>Labels</x:v>
      </x:c>
      <x:c r="I6607" s="22" t="n">
        <x:v>15.66</x:v>
      </x:c>
      <x:c r="J6607" s="24" t="n">
        <x:v>6</x:v>
      </x:c>
      <x:c r="K6607" s="26" t="n">
        <x:v>0</x:v>
      </x:c>
      <x:c r="L6607" s="22" t="n">
        <x:v>7.2036</x:v>
      </x:c>
      <x:c r="M6607" t="n">
        <x:v>2014</x:v>
      </x:c>
      <x:c r="N6607" s="20" t="n">
        <x:v>41974</x:v>
      </x:c>
    </x:row>
    <x:row r="6608" ht="18" customHeight="1">
      <x:c r="A6608" t="str">
        <x:v>CA-2017-146346</x:v>
      </x:c>
      <x:c r="B6608" s="18" t="n">
        <x:v>42903</x:v>
      </x:c>
      <x:c r="C6608" t="str">
        <x:v>RA-19945</x:v>
      </x:c>
      <x:c r="D6608" t="str">
        <x:v>Ryan Akin</x:v>
      </x:c>
      <x:c r="E6608" t="str">
        <x:v>Consumer</x:v>
      </x:c>
      <x:c r="F6608" t="str">
        <x:v>West</x:v>
      </x:c>
      <x:c r="G6608" t="str">
        <x:v>Office Supplies</x:v>
      </x:c>
      <x:c r="H6608" t="str">
        <x:v>Storage</x:v>
      </x:c>
      <x:c r="I6608" s="22" t="n">
        <x:v>146.352</x:v>
      </x:c>
      <x:c r="J6608" s="24" t="n">
        <x:v>3</x:v>
      </x:c>
      <x:c r="K6608" s="26" t="n">
        <x:v>0.2</x:v>
      </x:c>
      <x:c r="L6608" s="22" t="n">
        <x:v>-32.9292</x:v>
      </x:c>
      <x:c r="M6608" t="n">
        <x:v>2017</x:v>
      </x:c>
      <x:c r="N6608" s="20" t="n">
        <x:v>42887</x:v>
      </x:c>
    </x:row>
    <x:row r="6609" ht="18" customHeight="1">
      <x:c r="A6609" t="str">
        <x:v>CA-2016-148852</x:v>
      </x:c>
      <x:c r="B6609" s="18" t="n">
        <x:v>42516</x:v>
      </x:c>
      <x:c r="C6609" t="str">
        <x:v>SV-20785</x:v>
      </x:c>
      <x:c r="D6609" t="str">
        <x:v>Stewart Visinsky</x:v>
      </x:c>
      <x:c r="E6609" t="str">
        <x:v>Consumer</x:v>
      </x:c>
      <x:c r="F6609" t="str">
        <x:v>West</x:v>
      </x:c>
      <x:c r="G6609" t="str">
        <x:v>Office Supplies</x:v>
      </x:c>
      <x:c r="H6609" t="str">
        <x:v>Fasteners</x:v>
      </x:c>
      <x:c r="I6609" s="22" t="n">
        <x:v>5.9399999999999995</x:v>
      </x:c>
      <x:c r="J6609" s="24" t="n">
        <x:v>3</x:v>
      </x:c>
      <x:c r="K6609" s="26" t="n">
        <x:v>0</x:v>
      </x:c>
      <x:c r="L6609" s="22" t="n">
        <x:v>0</x:v>
      </x:c>
      <x:c r="M6609" t="n">
        <x:v>2016</x:v>
      </x:c>
      <x:c r="N6609" s="20" t="n">
        <x:v>42491</x:v>
      </x:c>
    </x:row>
    <x:row r="6610" ht="18" customHeight="1">
      <x:c r="A6610" t="str">
        <x:v>CA-2016-148852</x:v>
      </x:c>
      <x:c r="B6610" s="18" t="n">
        <x:v>42516</x:v>
      </x:c>
      <x:c r="C6610" t="str">
        <x:v>SV-20785</x:v>
      </x:c>
      <x:c r="D6610" t="str">
        <x:v>Stewart Visinsky</x:v>
      </x:c>
      <x:c r="E6610" t="str">
        <x:v>Consumer</x:v>
      </x:c>
      <x:c r="F6610" t="str">
        <x:v>West</x:v>
      </x:c>
      <x:c r="G6610" t="str">
        <x:v>Office Supplies</x:v>
      </x:c>
      <x:c r="H6610" t="str">
        <x:v>Paper</x:v>
      </x:c>
      <x:c r="I6610" s="22" t="n">
        <x:v>45.36</x:v>
      </x:c>
      <x:c r="J6610" s="24" t="n">
        <x:v>7</x:v>
      </x:c>
      <x:c r="K6610" s="26" t="n">
        <x:v>0</x:v>
      </x:c>
      <x:c r="L6610" s="22" t="n">
        <x:v>21.772800000000004</x:v>
      </x:c>
      <x:c r="M6610" t="n">
        <x:v>2016</x:v>
      </x:c>
      <x:c r="N6610" s="20" t="n">
        <x:v>42491</x:v>
      </x:c>
    </x:row>
    <x:row r="6611" ht="18" customHeight="1">
      <x:c r="A6611" t="str">
        <x:v>CA-2016-148852</x:v>
      </x:c>
      <x:c r="B6611" s="18" t="n">
        <x:v>42516</x:v>
      </x:c>
      <x:c r="C6611" t="str">
        <x:v>SV-20785</x:v>
      </x:c>
      <x:c r="D6611" t="str">
        <x:v>Stewart Visinsky</x:v>
      </x:c>
      <x:c r="E6611" t="str">
        <x:v>Consumer</x:v>
      </x:c>
      <x:c r="F6611" t="str">
        <x:v>West</x:v>
      </x:c>
      <x:c r="G6611" t="str">
        <x:v>Technology</x:v>
      </x:c>
      <x:c r="H6611" t="str">
        <x:v>Phones</x:v>
      </x:c>
      <x:c r="I6611" s="22" t="n">
        <x:v>211.168</x:v>
      </x:c>
      <x:c r="J6611" s="24" t="n">
        <x:v>4</x:v>
      </x:c>
      <x:c r="K6611" s="26" t="n">
        <x:v>0.2</x:v>
      </x:c>
      <x:c r="L6611" s="22" t="n">
        <x:v>23.756399999999985</x:v>
      </x:c>
      <x:c r="M6611" t="n">
        <x:v>2016</x:v>
      </x:c>
      <x:c r="N6611" s="20" t="n">
        <x:v>42491</x:v>
      </x:c>
    </x:row>
    <x:row r="6612" ht="18" customHeight="1">
      <x:c r="A6612" t="str">
        <x:v>CA-2016-148852</x:v>
      </x:c>
      <x:c r="B6612" s="18" t="n">
        <x:v>42516</x:v>
      </x:c>
      <x:c r="C6612" t="str">
        <x:v>SV-20785</x:v>
      </x:c>
      <x:c r="D6612" t="str">
        <x:v>Stewart Visinsky</x:v>
      </x:c>
      <x:c r="E6612" t="str">
        <x:v>Consumer</x:v>
      </x:c>
      <x:c r="F6612" t="str">
        <x:v>West</x:v>
      </x:c>
      <x:c r="G6612" t="str">
        <x:v>Furniture</x:v>
      </x:c>
      <x:c r="H6612" t="str">
        <x:v>Chairs</x:v>
      </x:c>
      <x:c r="I6612" s="22" t="n">
        <x:v>484.70400000000006</x:v>
      </x:c>
      <x:c r="J6612" s="24" t="n">
        <x:v>6</x:v>
      </x:c>
      <x:c r="K6612" s="26" t="n">
        <x:v>0.2</x:v>
      </x:c>
      <x:c r="L6612" s="22" t="n">
        <x:v>-84.82320000000007</x:v>
      </x:c>
      <x:c r="M6612" t="n">
        <x:v>2016</x:v>
      </x:c>
      <x:c r="N6612" s="20" t="n">
        <x:v>42491</x:v>
      </x:c>
    </x:row>
    <x:row r="6613" ht="18" customHeight="1">
      <x:c r="A6613" t="str">
        <x:v>CA-2016-148852</x:v>
      </x:c>
      <x:c r="B6613" s="18" t="n">
        <x:v>42516</x:v>
      </x:c>
      <x:c r="C6613" t="str">
        <x:v>SV-20785</x:v>
      </x:c>
      <x:c r="D6613" t="str">
        <x:v>Stewart Visinsky</x:v>
      </x:c>
      <x:c r="E6613" t="str">
        <x:v>Consumer</x:v>
      </x:c>
      <x:c r="F6613" t="str">
        <x:v>West</x:v>
      </x:c>
      <x:c r="G6613" t="str">
        <x:v>Technology</x:v>
      </x:c>
      <x:c r="H6613" t="str">
        <x:v>Machines</x:v>
      </x:c>
      <x:c r="I6613" s="22" t="n">
        <x:v>371.97600000000006</x:v>
      </x:c>
      <x:c r="J6613" s="24" t="n">
        <x:v>3</x:v>
      </x:c>
      <x:c r="K6613" s="26" t="n">
        <x:v>0.2</x:v>
      </x:c>
      <x:c r="L6613" s="22" t="n">
        <x:v>116.24249999999996</x:v>
      </x:c>
      <x:c r="M6613" t="n">
        <x:v>2016</x:v>
      </x:c>
      <x:c r="N6613" s="20" t="n">
        <x:v>42491</x:v>
      </x:c>
    </x:row>
    <x:row r="6614" ht="18" customHeight="1">
      <x:c r="A6614" t="str">
        <x:v>US-2015-118906</x:v>
      </x:c>
      <x:c r="B6614" s="18" t="n">
        <x:v>42073</x:v>
      </x:c>
      <x:c r="C6614" t="str">
        <x:v>KB-16585</x:v>
      </x:c>
      <x:c r="D6614" t="str">
        <x:v>Ken Black</x:v>
      </x:c>
      <x:c r="E6614" t="str">
        <x:v>Corporate</x:v>
      </x:c>
      <x:c r="F6614" t="str">
        <x:v>East</x:v>
      </x:c>
      <x:c r="G6614" t="str">
        <x:v>Office Supplies</x:v>
      </x:c>
      <x:c r="H6614" t="str">
        <x:v>Storage</x:v>
      </x:c>
      <x:c r="I6614" s="22" t="n">
        <x:v>89.82000000000001</x:v>
      </x:c>
      <x:c r="J6614" s="24" t="n">
        <x:v>6</x:v>
      </x:c>
      <x:c r="K6614" s="26" t="n">
        <x:v>0</x:v>
      </x:c>
      <x:c r="L6614" s="22" t="n">
        <x:v>25.149600000000007</x:v>
      </x:c>
      <x:c r="M6614" t="n">
        <x:v>2015</x:v>
      </x:c>
      <x:c r="N6614" s="20" t="n">
        <x:v>42064</x:v>
      </x:c>
    </x:row>
    <x:row r="6615" ht="18" customHeight="1">
      <x:c r="A6615" t="str">
        <x:v>CA-2016-168921</x:v>
      </x:c>
      <x:c r="B6615" s="18" t="n">
        <x:v>42663</x:v>
      </x:c>
      <x:c r="C6615" t="str">
        <x:v>AG-10495</x:v>
      </x:c>
      <x:c r="D6615" t="str">
        <x:v>Andrew Gjertsen</x:v>
      </x:c>
      <x:c r="E6615" t="str">
        <x:v>Corporate</x:v>
      </x:c>
      <x:c r="F6615" t="str">
        <x:v>West</x:v>
      </x:c>
      <x:c r="G6615" t="str">
        <x:v>Office Supplies</x:v>
      </x:c>
      <x:c r="H6615" t="str">
        <x:v>Binders</x:v>
      </x:c>
      <x:c r="I6615" s="22" t="n">
        <x:v>19.296</x:v>
      </x:c>
      <x:c r="J6615" s="24" t="n">
        <x:v>3</x:v>
      </x:c>
      <x:c r="K6615" s="26" t="n">
        <x:v>0.2</x:v>
      </x:c>
      <x:c r="L6615" s="22" t="n">
        <x:v>6.029999999999999</x:v>
      </x:c>
      <x:c r="M6615" t="n">
        <x:v>2016</x:v>
      </x:c>
      <x:c r="N6615" s="20" t="n">
        <x:v>42644</x:v>
      </x:c>
    </x:row>
    <x:row r="6616" ht="18" customHeight="1">
      <x:c r="A6616" t="str">
        <x:v>CA-2015-107678</x:v>
      </x:c>
      <x:c r="B6616" s="18" t="n">
        <x:v>42115</x:v>
      </x:c>
      <x:c r="C6616" t="str">
        <x:v>JK-16090</x:v>
      </x:c>
      <x:c r="D6616" t="str">
        <x:v>Juliana Krohn</x:v>
      </x:c>
      <x:c r="E6616" t="str">
        <x:v>Consumer</x:v>
      </x:c>
      <x:c r="F6616" t="str">
        <x:v>South</x:v>
      </x:c>
      <x:c r="G6616" t="str">
        <x:v>Furniture</x:v>
      </x:c>
      <x:c r="H6616" t="str">
        <x:v>Chairs</x:v>
      </x:c>
      <x:c r="I6616" s="22" t="n">
        <x:v>191.96</x:v>
      </x:c>
      <x:c r="J6616" s="24" t="n">
        <x:v>2</x:v>
      </x:c>
      <x:c r="K6616" s="26" t="n">
        <x:v>0</x:v>
      </x:c>
      <x:c r="L6616" s="22" t="n">
        <x:v>51.829200000000014</x:v>
      </x:c>
      <x:c r="M6616" t="n">
        <x:v>2015</x:v>
      </x:c>
      <x:c r="N6616" s="20" t="n">
        <x:v>42095</x:v>
      </x:c>
    </x:row>
    <x:row r="6617" ht="18" customHeight="1">
      <x:c r="A6617" t="str">
        <x:v>CA-2015-107678</x:v>
      </x:c>
      <x:c r="B6617" s="18" t="n">
        <x:v>42115</x:v>
      </x:c>
      <x:c r="C6617" t="str">
        <x:v>JK-16090</x:v>
      </x:c>
      <x:c r="D6617" t="str">
        <x:v>Juliana Krohn</x:v>
      </x:c>
      <x:c r="E6617" t="str">
        <x:v>Consumer</x:v>
      </x:c>
      <x:c r="F6617" t="str">
        <x:v>South</x:v>
      </x:c>
      <x:c r="G6617" t="str">
        <x:v>Office Supplies</x:v>
      </x:c>
      <x:c r="H6617" t="str">
        <x:v>Binders</x:v>
      </x:c>
      <x:c r="I6617" s="22" t="n">
        <x:v>21.299999999999997</x:v>
      </x:c>
      <x:c r="J6617" s="24" t="n">
        <x:v>3</x:v>
      </x:c>
      <x:c r="K6617" s="26" t="n">
        <x:v>0</x:v>
      </x:c>
      <x:c r="L6617" s="22" t="n">
        <x:v>9.797999999999998</x:v>
      </x:c>
      <x:c r="M6617" t="n">
        <x:v>2015</x:v>
      </x:c>
      <x:c r="N6617" s="20" t="n">
        <x:v>42095</x:v>
      </x:c>
    </x:row>
    <x:row r="6618" ht="18" customHeight="1">
      <x:c r="A6618" t="str">
        <x:v>CA-2015-107678</x:v>
      </x:c>
      <x:c r="B6618" s="18" t="n">
        <x:v>42115</x:v>
      </x:c>
      <x:c r="C6618" t="str">
        <x:v>JK-16090</x:v>
      </x:c>
      <x:c r="D6618" t="str">
        <x:v>Juliana Krohn</x:v>
      </x:c>
      <x:c r="E6618" t="str">
        <x:v>Consumer</x:v>
      </x:c>
      <x:c r="F6618" t="str">
        <x:v>South</x:v>
      </x:c>
      <x:c r="G6618" t="str">
        <x:v>Technology</x:v>
      </x:c>
      <x:c r="H6618" t="str">
        <x:v>Phones</x:v>
      </x:c>
      <x:c r="I6618" s="22" t="n">
        <x:v>469.95</x:v>
      </x:c>
      <x:c r="J6618" s="24" t="n">
        <x:v>5</x:v>
      </x:c>
      <x:c r="K6618" s="26" t="n">
        <x:v>0</x:v>
      </x:c>
      <x:c r="L6618" s="22" t="n">
        <x:v>131.586</x:v>
      </x:c>
      <x:c r="M6618" t="n">
        <x:v>2015</x:v>
      </x:c>
      <x:c r="N6618" s="20" t="n">
        <x:v>42095</x:v>
      </x:c>
    </x:row>
    <x:row r="6619" ht="18" customHeight="1">
      <x:c r="A6619" t="str">
        <x:v>CA-2015-107678</x:v>
      </x:c>
      <x:c r="B6619" s="18" t="n">
        <x:v>42115</x:v>
      </x:c>
      <x:c r="C6619" t="str">
        <x:v>JK-16090</x:v>
      </x:c>
      <x:c r="D6619" t="str">
        <x:v>Juliana Krohn</x:v>
      </x:c>
      <x:c r="E6619" t="str">
        <x:v>Consumer</x:v>
      </x:c>
      <x:c r="F6619" t="str">
        <x:v>South</x:v>
      </x:c>
      <x:c r="G6619" t="str">
        <x:v>Furniture</x:v>
      </x:c>
      <x:c r="H6619" t="str">
        <x:v>Furnishings</x:v>
      </x:c>
      <x:c r="I6619" s="22" t="n">
        <x:v>209.88</x:v>
      </x:c>
      <x:c r="J6619" s="24" t="n">
        <x:v>3</x:v>
      </x:c>
      <x:c r="K6619" s="26" t="n">
        <x:v>0</x:v>
      </x:c>
      <x:c r="L6619" s="22" t="n">
        <x:v>35.67959999999998</x:v>
      </x:c>
      <x:c r="M6619" t="n">
        <x:v>2015</x:v>
      </x:c>
      <x:c r="N6619" s="20" t="n">
        <x:v>42095</x:v>
      </x:c>
    </x:row>
    <x:row r="6620" ht="18" customHeight="1">
      <x:c r="A6620" t="str">
        <x:v>CA-2016-123512</x:v>
      </x:c>
      <x:c r="B6620" s="18" t="n">
        <x:v>42538</x:v>
      </x:c>
      <x:c r="C6620" t="str">
        <x:v>MV-18190</x:v>
      </x:c>
      <x:c r="D6620" t="str">
        <x:v>Mike Vittorini</x:v>
      </x:c>
      <x:c r="E6620" t="str">
        <x:v>Consumer</x:v>
      </x:c>
      <x:c r="F6620" t="str">
        <x:v>West</x:v>
      </x:c>
      <x:c r="G6620" t="str">
        <x:v>Furniture</x:v>
      </x:c>
      <x:c r="H6620" t="str">
        <x:v>Bookcases</x:v>
      </x:c>
      <x:c r="I6620" s="22" t="n">
        <x:v>239.66599999999997</x:v>
      </x:c>
      <x:c r="J6620" s="24" t="n">
        <x:v>2</x:v>
      </x:c>
      <x:c r="K6620" s="26" t="n">
        <x:v>0.15</x:v>
      </x:c>
      <x:c r="L6620" s="22" t="n">
        <x:v>14.097999999999999</x:v>
      </x:c>
      <x:c r="M6620" t="n">
        <x:v>2016</x:v>
      </x:c>
      <x:c r="N6620" s="20" t="n">
        <x:v>42522</x:v>
      </x:c>
    </x:row>
    <x:row r="6621" ht="18" customHeight="1">
      <x:c r="A6621" t="str">
        <x:v>CA-2016-123512</x:v>
      </x:c>
      <x:c r="B6621" s="18" t="n">
        <x:v>42538</x:v>
      </x:c>
      <x:c r="C6621" t="str">
        <x:v>MV-18190</x:v>
      </x:c>
      <x:c r="D6621" t="str">
        <x:v>Mike Vittorini</x:v>
      </x:c>
      <x:c r="E6621" t="str">
        <x:v>Consumer</x:v>
      </x:c>
      <x:c r="F6621" t="str">
        <x:v>West</x:v>
      </x:c>
      <x:c r="G6621" t="str">
        <x:v>Office Supplies</x:v>
      </x:c>
      <x:c r="H6621" t="str">
        <x:v>Labels</x:v>
      </x:c>
      <x:c r="I6621" s="22" t="n">
        <x:v>22.5</x:v>
      </x:c>
      <x:c r="J6621" s="24" t="n">
        <x:v>6</x:v>
      </x:c>
      <x:c r="K6621" s="26" t="n">
        <x:v>0</x:v>
      </x:c>
      <x:c r="L6621" s="22" t="n">
        <x:v>10.799999999999999</x:v>
      </x:c>
      <x:c r="M6621" t="n">
        <x:v>2016</x:v>
      </x:c>
      <x:c r="N6621" s="20" t="n">
        <x:v>42522</x:v>
      </x:c>
    </x:row>
    <x:row r="6622" ht="18" customHeight="1">
      <x:c r="A6622" t="str">
        <x:v>CA-2016-123512</x:v>
      </x:c>
      <x:c r="B6622" s="18" t="n">
        <x:v>42538</x:v>
      </x:c>
      <x:c r="C6622" t="str">
        <x:v>MV-18190</x:v>
      </x:c>
      <x:c r="D6622" t="str">
        <x:v>Mike Vittorini</x:v>
      </x:c>
      <x:c r="E6622" t="str">
        <x:v>Consumer</x:v>
      </x:c>
      <x:c r="F6622" t="str">
        <x:v>West</x:v>
      </x:c>
      <x:c r="G6622" t="str">
        <x:v>Office Supplies</x:v>
      </x:c>
      <x:c r="H6622" t="str">
        <x:v>Paper</x:v>
      </x:c>
      <x:c r="I6622" s="22" t="n">
        <x:v>219.84</x:v>
      </x:c>
      <x:c r="J6622" s="24" t="n">
        <x:v>4</x:v>
      </x:c>
      <x:c r="K6622" s="26" t="n">
        <x:v>0</x:v>
      </x:c>
      <x:c r="L6622" s="22" t="n">
        <x:v>107.7216</x:v>
      </x:c>
      <x:c r="M6622" t="n">
        <x:v>2016</x:v>
      </x:c>
      <x:c r="N6622" s="20" t="n">
        <x:v>42522</x:v>
      </x:c>
    </x:row>
    <x:row r="6623" ht="18" customHeight="1">
      <x:c r="A6623" t="str">
        <x:v>US-2017-167402</x:v>
      </x:c>
      <x:c r="B6623" s="18" t="n">
        <x:v>42748</x:v>
      </x:c>
      <x:c r="C6623" t="str">
        <x:v>CP-12085</x:v>
      </x:c>
      <x:c r="D6623" t="str">
        <x:v>Cathy Prescott</x:v>
      </x:c>
      <x:c r="E6623" t="str">
        <x:v>Corporate</x:v>
      </x:c>
      <x:c r="F6623" t="str">
        <x:v>Central</x:v>
      </x:c>
      <x:c r="G6623" t="str">
        <x:v>Office Supplies</x:v>
      </x:c>
      <x:c r="H6623" t="str">
        <x:v>Paper</x:v>
      </x:c>
      <x:c r="I6623" s="22" t="n">
        <x:v>32.400000000000006</x:v>
      </x:c>
      <x:c r="J6623" s="24" t="n">
        <x:v>5</x:v>
      </x:c>
      <x:c r="K6623" s="26" t="n">
        <x:v>0</x:v>
      </x:c>
      <x:c r="L6623" s="22" t="n">
        <x:v>15.552000000000001</x:v>
      </x:c>
      <x:c r="M6623" t="n">
        <x:v>2017</x:v>
      </x:c>
      <x:c r="N6623" s="20" t="n">
        <x:v>42736</x:v>
      </x:c>
    </x:row>
    <x:row r="6624" ht="18" customHeight="1">
      <x:c r="A6624" t="str">
        <x:v>US-2017-167402</x:v>
      </x:c>
      <x:c r="B6624" s="18" t="n">
        <x:v>42748</x:v>
      </x:c>
      <x:c r="C6624" t="str">
        <x:v>CP-12085</x:v>
      </x:c>
      <x:c r="D6624" t="str">
        <x:v>Cathy Prescott</x:v>
      </x:c>
      <x:c r="E6624" t="str">
        <x:v>Corporate</x:v>
      </x:c>
      <x:c r="F6624" t="str">
        <x:v>Central</x:v>
      </x:c>
      <x:c r="G6624" t="str">
        <x:v>Office Supplies</x:v>
      </x:c>
      <x:c r="H6624" t="str">
        <x:v>Art</x:v>
      </x:c>
      <x:c r="I6624" s="22" t="n">
        <x:v>209.94</x:v>
      </x:c>
      <x:c r="J6624" s="24" t="n">
        <x:v>6</x:v>
      </x:c>
      <x:c r="K6624" s="26" t="n">
        <x:v>0</x:v>
      </x:c>
      <x:c r="L6624" s="22" t="n">
        <x:v>54.5844</x:v>
      </x:c>
      <x:c r="M6624" t="n">
        <x:v>2017</x:v>
      </x:c>
      <x:c r="N6624" s="20" t="n">
        <x:v>42736</x:v>
      </x:c>
    </x:row>
    <x:row r="6625" ht="18" customHeight="1">
      <x:c r="A6625" t="str">
        <x:v>US-2017-167402</x:v>
      </x:c>
      <x:c r="B6625" s="18" t="n">
        <x:v>42748</x:v>
      </x:c>
      <x:c r="C6625" t="str">
        <x:v>CP-12085</x:v>
      </x:c>
      <x:c r="D6625" t="str">
        <x:v>Cathy Prescott</x:v>
      </x:c>
      <x:c r="E6625" t="str">
        <x:v>Corporate</x:v>
      </x:c>
      <x:c r="F6625" t="str">
        <x:v>Central</x:v>
      </x:c>
      <x:c r="G6625" t="str">
        <x:v>Office Supplies</x:v>
      </x:c>
      <x:c r="H6625" t="str">
        <x:v>Supplies</x:v>
      </x:c>
      <x:c r="I6625" s="22" t="n">
        <x:v>4164.049999999999</x:v>
      </x:c>
      <x:c r="J6625" s="24" t="n">
        <x:v>5</x:v>
      </x:c>
      <x:c r="K6625" s="26" t="n">
        <x:v>0</x:v>
      </x:c>
      <x:c r="L6625" s="22" t="n">
        <x:v>83.28100000000006</x:v>
      </x:c>
      <x:c r="M6625" t="n">
        <x:v>2017</x:v>
      </x:c>
      <x:c r="N6625" s="20" t="n">
        <x:v>42736</x:v>
      </x:c>
    </x:row>
    <x:row r="6626" ht="18" customHeight="1">
      <x:c r="A6626" t="str">
        <x:v>US-2017-167402</x:v>
      </x:c>
      <x:c r="B6626" s="18" t="n">
        <x:v>42748</x:v>
      </x:c>
      <x:c r="C6626" t="str">
        <x:v>CP-12085</x:v>
      </x:c>
      <x:c r="D6626" t="str">
        <x:v>Cathy Prescott</x:v>
      </x:c>
      <x:c r="E6626" t="str">
        <x:v>Corporate</x:v>
      </x:c>
      <x:c r="F6626" t="str">
        <x:v>Central</x:v>
      </x:c>
      <x:c r="G6626" t="str">
        <x:v>Furniture</x:v>
      </x:c>
      <x:c r="H6626" t="str">
        <x:v>Bookcases</x:v>
      </x:c>
      <x:c r="I6626" s="22" t="n">
        <x:v>212.94</x:v>
      </x:c>
      <x:c r="J6626" s="24" t="n">
        <x:v>3</x:v>
      </x:c>
      <x:c r="K6626" s="26" t="n">
        <x:v>0</x:v>
      </x:c>
      <x:c r="L6626" s="22" t="n">
        <x:v>53.235000000000014</x:v>
      </x:c>
      <x:c r="M6626" t="n">
        <x:v>2017</x:v>
      </x:c>
      <x:c r="N6626" s="20" t="n">
        <x:v>42736</x:v>
      </x:c>
    </x:row>
    <x:row r="6627" ht="18" customHeight="1">
      <x:c r="A6627" t="str">
        <x:v>CA-2014-130449</x:v>
      </x:c>
      <x:c r="B6627" s="18" t="n">
        <x:v>41888</x:v>
      </x:c>
      <x:c r="C6627" t="str">
        <x:v>VP-21760</x:v>
      </x:c>
      <x:c r="D6627" t="str">
        <x:v>Victoria Pisteka</x:v>
      </x:c>
      <x:c r="E6627" t="str">
        <x:v>Corporate</x:v>
      </x:c>
      <x:c r="F6627" t="str">
        <x:v>West</x:v>
      </x:c>
      <x:c r="G6627" t="str">
        <x:v>Furniture</x:v>
      </x:c>
      <x:c r="H6627" t="str">
        <x:v>Furnishings</x:v>
      </x:c>
      <x:c r="I6627" s="22" t="n">
        <x:v>41.88</x:v>
      </x:c>
      <x:c r="J6627" s="24" t="n">
        <x:v>6</x:v>
      </x:c>
      <x:c r="K6627" s="26" t="n">
        <x:v>0</x:v>
      </x:c>
      <x:c r="L6627" s="22" t="n">
        <x:v>12.145199999999997</x:v>
      </x:c>
      <x:c r="M6627" t="n">
        <x:v>2014</x:v>
      </x:c>
      <x:c r="N6627" s="20" t="n">
        <x:v>41883</x:v>
      </x:c>
    </x:row>
    <x:row r="6628" ht="18" customHeight="1">
      <x:c r="A6628" t="str">
        <x:v>CA-2014-130449</x:v>
      </x:c>
      <x:c r="B6628" s="18" t="n">
        <x:v>41888</x:v>
      </x:c>
      <x:c r="C6628" t="str">
        <x:v>VP-21760</x:v>
      </x:c>
      <x:c r="D6628" t="str">
        <x:v>Victoria Pisteka</x:v>
      </x:c>
      <x:c r="E6628" t="str">
        <x:v>Corporate</x:v>
      </x:c>
      <x:c r="F6628" t="str">
        <x:v>West</x:v>
      </x:c>
      <x:c r="G6628" t="str">
        <x:v>Office Supplies</x:v>
      </x:c>
      <x:c r="H6628" t="str">
        <x:v>Labels</x:v>
      </x:c>
      <x:c r="I6628" s="22" t="n">
        <x:v>58.48</x:v>
      </x:c>
      <x:c r="J6628" s="24" t="n">
        <x:v>8</x:v>
      </x:c>
      <x:c r="K6628" s="26" t="n">
        <x:v>0</x:v>
      </x:c>
      <x:c r="L6628" s="22" t="n">
        <x:v>27.485599999999998</x:v>
      </x:c>
      <x:c r="M6628" t="n">
        <x:v>2014</x:v>
      </x:c>
      <x:c r="N6628" s="20" t="n">
        <x:v>41883</x:v>
      </x:c>
    </x:row>
    <x:row r="6629" ht="18" customHeight="1">
      <x:c r="A6629" t="str">
        <x:v>CA-2015-141250</x:v>
      </x:c>
      <x:c r="B6629" s="18" t="n">
        <x:v>42023</x:v>
      </x:c>
      <x:c r="C6629" t="str">
        <x:v>PM-18940</x:v>
      </x:c>
      <x:c r="D6629" t="str">
        <x:v>Paul MacIntyre</x:v>
      </x:c>
      <x:c r="E6629" t="str">
        <x:v>Consumer</x:v>
      </x:c>
      <x:c r="F6629" t="str">
        <x:v>Central</x:v>
      </x:c>
      <x:c r="G6629" t="str">
        <x:v>Furniture</x:v>
      </x:c>
      <x:c r="H6629" t="str">
        <x:v>Tables</x:v>
      </x:c>
      <x:c r="I6629" s="22" t="n">
        <x:v>102.438</x:v>
      </x:c>
      <x:c r="J6629" s="24" t="n">
        <x:v>1</x:v>
      </x:c>
      <x:c r="K6629" s="26" t="n">
        <x:v>0.3</x:v>
      </x:c>
      <x:c r="L6629" s="22" t="n">
        <x:v>-13.170600000000007</x:v>
      </x:c>
      <x:c r="M6629" t="n">
        <x:v>2015</x:v>
      </x:c>
      <x:c r="N6629" s="20" t="n">
        <x:v>42005</x:v>
      </x:c>
    </x:row>
    <x:row r="6630" ht="18" customHeight="1">
      <x:c r="A6630" t="str">
        <x:v>CA-2015-141250</x:v>
      </x:c>
      <x:c r="B6630" s="18" t="n">
        <x:v>42023</x:v>
      </x:c>
      <x:c r="C6630" t="str">
        <x:v>PM-18940</x:v>
      </x:c>
      <x:c r="D6630" t="str">
        <x:v>Paul MacIntyre</x:v>
      </x:c>
      <x:c r="E6630" t="str">
        <x:v>Consumer</x:v>
      </x:c>
      <x:c r="F6630" t="str">
        <x:v>Central</x:v>
      </x:c>
      <x:c r="G6630" t="str">
        <x:v>Furniture</x:v>
      </x:c>
      <x:c r="H6630" t="str">
        <x:v>Chairs</x:v>
      </x:c>
      <x:c r="I6630" s="22" t="n">
        <x:v>199.304</x:v>
      </x:c>
      <x:c r="J6630" s="24" t="n">
        <x:v>4</x:v>
      </x:c>
      <x:c r="K6630" s="26" t="n">
        <x:v>0.3</x:v>
      </x:c>
      <x:c r="L6630" s="22" t="n">
        <x:v>-8.541600000000003</x:v>
      </x:c>
      <x:c r="M6630" t="n">
        <x:v>2015</x:v>
      </x:c>
      <x:c r="N6630" s="20" t="n">
        <x:v>42005</x:v>
      </x:c>
    </x:row>
    <x:row r="6631" ht="18" customHeight="1">
      <x:c r="A6631" t="str">
        <x:v>CA-2014-145541</x:v>
      </x:c>
      <x:c r="B6631" s="18" t="n">
        <x:v>41987</x:v>
      </x:c>
      <x:c r="C6631" t="str">
        <x:v>TB-21400</x:v>
      </x:c>
      <x:c r="D6631" t="str">
        <x:v>Tom Boeckenhauer</x:v>
      </x:c>
      <x:c r="E6631" t="str">
        <x:v>Consumer</x:v>
      </x:c>
      <x:c r="F6631" t="str">
        <x:v>East</x:v>
      </x:c>
      <x:c r="G6631" t="str">
        <x:v>Technology</x:v>
      </x:c>
      <x:c r="H6631" t="str">
        <x:v>Machines</x:v>
      </x:c>
      <x:c r="I6631" s="22" t="n">
        <x:v>6999.96</x:v>
      </x:c>
      <x:c r="J6631" s="24" t="n">
        <x:v>4</x:v>
      </x:c>
      <x:c r="K6631" s="26" t="n">
        <x:v>0</x:v>
      </x:c>
      <x:c r="L6631" s="22" t="n">
        <x:v>2239.9871999999996</x:v>
      </x:c>
      <x:c r="M6631" t="n">
        <x:v>2014</x:v>
      </x:c>
      <x:c r="N6631" s="20" t="n">
        <x:v>41974</x:v>
      </x:c>
    </x:row>
    <x:row r="6632" ht="18" customHeight="1">
      <x:c r="A6632" t="str">
        <x:v>CA-2014-138513</x:v>
      </x:c>
      <x:c r="B6632" s="18" t="n">
        <x:v>41782</x:v>
      </x:c>
      <x:c r="C6632" t="str">
        <x:v>EH-13990</x:v>
      </x:c>
      <x:c r="D6632" t="str">
        <x:v>Erica Hackney</x:v>
      </x:c>
      <x:c r="E6632" t="str">
        <x:v>Consumer</x:v>
      </x:c>
      <x:c r="F6632" t="str">
        <x:v>West</x:v>
      </x:c>
      <x:c r="G6632" t="str">
        <x:v>Office Supplies</x:v>
      </x:c>
      <x:c r="H6632" t="str">
        <x:v>Paper</x:v>
      </x:c>
      <x:c r="I6632" s="22" t="n">
        <x:v>12.96</x:v>
      </x:c>
      <x:c r="J6632" s="24" t="n">
        <x:v>2</x:v>
      </x:c>
      <x:c r="K6632" s="26" t="n">
        <x:v>0</x:v>
      </x:c>
      <x:c r="L6632" s="22" t="n">
        <x:v>6.2208000000000006</x:v>
      </x:c>
      <x:c r="M6632" t="n">
        <x:v>2014</x:v>
      </x:c>
      <x:c r="N6632" s="20" t="n">
        <x:v>41760</x:v>
      </x:c>
    </x:row>
    <x:row r="6633" ht="18" customHeight="1">
      <x:c r="A6633" t="str">
        <x:v>CA-2015-135489</x:v>
      </x:c>
      <x:c r="B6633" s="18" t="n">
        <x:v>42266</x:v>
      </x:c>
      <x:c r="C6633" t="str">
        <x:v>GW-14605</x:v>
      </x:c>
      <x:c r="D6633" t="str">
        <x:v>Giulietta Weimer</x:v>
      </x:c>
      <x:c r="E6633" t="str">
        <x:v>Consumer</x:v>
      </x:c>
      <x:c r="F6633" t="str">
        <x:v>East</x:v>
      </x:c>
      <x:c r="G6633" t="str">
        <x:v>Technology</x:v>
      </x:c>
      <x:c r="H6633" t="str">
        <x:v>Phones</x:v>
      </x:c>
      <x:c r="I6633" s="22" t="n">
        <x:v>279.85999999999996</x:v>
      </x:c>
      <x:c r="J6633" s="24" t="n">
        <x:v>14</x:v>
      </x:c>
      <x:c r="K6633" s="26" t="n">
        <x:v>0</x:v>
      </x:c>
      <x:c r="L6633" s="22" t="n">
        <x:v>134.33279999999996</x:v>
      </x:c>
      <x:c r="M6633" t="n">
        <x:v>2015</x:v>
      </x:c>
      <x:c r="N6633" s="20" t="n">
        <x:v>42248</x:v>
      </x:c>
    </x:row>
    <x:row r="6634" ht="18" customHeight="1">
      <x:c r="A6634" t="str">
        <x:v>CA-2015-125696</x:v>
      </x:c>
      <x:c r="B6634" s="18" t="n">
        <x:v>42279</x:v>
      </x:c>
      <x:c r="C6634" t="str">
        <x:v>NP-18685</x:v>
      </x:c>
      <x:c r="D6634" t="str">
        <x:v>Nora Pelletier</x:v>
      </x:c>
      <x:c r="E6634" t="str">
        <x:v>Home Office</x:v>
      </x:c>
      <x:c r="F6634" t="str">
        <x:v>South</x:v>
      </x:c>
      <x:c r="G6634" t="str">
        <x:v>Office Supplies</x:v>
      </x:c>
      <x:c r="H6634" t="str">
        <x:v>Binders</x:v>
      </x:c>
      <x:c r="I6634" s="22" t="n">
        <x:v>7.380000000000001</x:v>
      </x:c>
      <x:c r="J6634" s="24" t="n">
        <x:v>5</x:v>
      </x:c>
      <x:c r="K6634" s="26" t="n">
        <x:v>0.7</x:v>
      </x:c>
      <x:c r="L6634" s="22" t="n">
        <x:v>-5.412000000000001</x:v>
      </x:c>
      <x:c r="M6634" t="n">
        <x:v>2015</x:v>
      </x:c>
      <x:c r="N6634" s="20" t="n">
        <x:v>42278</x:v>
      </x:c>
    </x:row>
    <x:row r="6635" ht="18" customHeight="1">
      <x:c r="A6635" t="str">
        <x:v>CA-2016-105081</x:v>
      </x:c>
      <x:c r="B6635" s="18" t="n">
        <x:v>42729</x:v>
      </x:c>
      <x:c r="C6635" t="str">
        <x:v>JE-15715</x:v>
      </x:c>
      <x:c r="D6635" t="str">
        <x:v>Joe Elijah</x:v>
      </x:c>
      <x:c r="E6635" t="str">
        <x:v>Consumer</x:v>
      </x:c>
      <x:c r="F6635" t="str">
        <x:v>West</x:v>
      </x:c>
      <x:c r="G6635" t="str">
        <x:v>Furniture</x:v>
      </x:c>
      <x:c r="H6635" t="str">
        <x:v>Chairs</x:v>
      </x:c>
      <x:c r="I6635" s="22" t="n">
        <x:v>698.3520000000001</x:v>
      </x:c>
      <x:c r="J6635" s="24" t="n">
        <x:v>3</x:v>
      </x:c>
      <x:c r="K6635" s="26" t="n">
        <x:v>0.2</x:v>
      </x:c>
      <x:c r="L6635" s="22" t="n">
        <x:v>52.37639999999996</x:v>
      </x:c>
      <x:c r="M6635" t="n">
        <x:v>2016</x:v>
      </x:c>
      <x:c r="N6635" s="20" t="n">
        <x:v>42705</x:v>
      </x:c>
    </x:row>
    <x:row r="6636" ht="18" customHeight="1">
      <x:c r="A6636" t="str">
        <x:v>CA-2016-105081</x:v>
      </x:c>
      <x:c r="B6636" s="18" t="n">
        <x:v>42729</x:v>
      </x:c>
      <x:c r="C6636" t="str">
        <x:v>JE-15715</x:v>
      </x:c>
      <x:c r="D6636" t="str">
        <x:v>Joe Elijah</x:v>
      </x:c>
      <x:c r="E6636" t="str">
        <x:v>Consumer</x:v>
      </x:c>
      <x:c r="F6636" t="str">
        <x:v>West</x:v>
      </x:c>
      <x:c r="G6636" t="str">
        <x:v>Furniture</x:v>
      </x:c>
      <x:c r="H6636" t="str">
        <x:v>Tables</x:v>
      </x:c>
      <x:c r="I6636" s="22" t="n">
        <x:v>1747.25</x:v>
      </x:c>
      <x:c r="J6636" s="24" t="n">
        <x:v>5</x:v>
      </x:c>
      <x:c r="K6636" s="26" t="n">
        <x:v>0</x:v>
      </x:c>
      <x:c r="L6636" s="22" t="n">
        <x:v>629.01</x:v>
      </x:c>
      <x:c r="M6636" t="n">
        <x:v>2016</x:v>
      </x:c>
      <x:c r="N6636" s="20" t="n">
        <x:v>42705</x:v>
      </x:c>
    </x:row>
    <x:row r="6637" ht="18" customHeight="1">
      <x:c r="A6637" t="str">
        <x:v>US-2016-146857</x:v>
      </x:c>
      <x:c r="B6637" s="18" t="n">
        <x:v>42496</x:v>
      </x:c>
      <x:c r="C6637" t="str">
        <x:v>BE-11455</x:v>
      </x:c>
      <x:c r="D6637" t="str">
        <x:v>Brad Eason</x:v>
      </x:c>
      <x:c r="E6637" t="str">
        <x:v>Home Office</x:v>
      </x:c>
      <x:c r="F6637" t="str">
        <x:v>Central</x:v>
      </x:c>
      <x:c r="G6637" t="str">
        <x:v>Office Supplies</x:v>
      </x:c>
      <x:c r="H6637" t="str">
        <x:v>Appliances</x:v>
      </x:c>
      <x:c r="I6637" s="22" t="n">
        <x:v>54.48</x:v>
      </x:c>
      <x:c r="J6637" s="24" t="n">
        <x:v>1</x:v>
      </x:c>
      <x:c r="K6637" s="26" t="n">
        <x:v>0</x:v>
      </x:c>
      <x:c r="L6637" s="22" t="n">
        <x:v>15.254400000000004</x:v>
      </x:c>
      <x:c r="M6637" t="n">
        <x:v>2016</x:v>
      </x:c>
      <x:c r="N6637" s="20" t="n">
        <x:v>42491</x:v>
      </x:c>
    </x:row>
    <x:row r="6638" ht="18" customHeight="1">
      <x:c r="A6638" t="str">
        <x:v>CA-2016-166275</x:v>
      </x:c>
      <x:c r="B6638" s="18" t="n">
        <x:v>42667</x:v>
      </x:c>
      <x:c r="C6638" t="str">
        <x:v>SS-20590</x:v>
      </x:c>
      <x:c r="D6638" t="str">
        <x:v>Sonia Sunley</x:v>
      </x:c>
      <x:c r="E6638" t="str">
        <x:v>Consumer</x:v>
      </x:c>
      <x:c r="F6638" t="str">
        <x:v>West</x:v>
      </x:c>
      <x:c r="G6638" t="str">
        <x:v>Technology</x:v>
      </x:c>
      <x:c r="H6638" t="str">
        <x:v>Accessories</x:v>
      </x:c>
      <x:c r="I6638" s="22" t="n">
        <x:v>199.99</x:v>
      </x:c>
      <x:c r="J6638" s="24" t="n">
        <x:v>1</x:v>
      </x:c>
      <x:c r="K6638" s="26" t="n">
        <x:v>0</x:v>
      </x:c>
      <x:c r="L6638" s="22" t="n">
        <x:v>85.99570000000001</x:v>
      </x:c>
      <x:c r="M6638" t="n">
        <x:v>2016</x:v>
      </x:c>
      <x:c r="N6638" s="20" t="n">
        <x:v>42644</x:v>
      </x:c>
    </x:row>
    <x:row r="6639" ht="18" customHeight="1">
      <x:c r="A6639" t="str">
        <x:v>CA-2017-144498</x:v>
      </x:c>
      <x:c r="B6639" s="18" t="n">
        <x:v>42861</x:v>
      </x:c>
      <x:c r="C6639" t="str">
        <x:v>MB-18085</x:v>
      </x:c>
      <x:c r="D6639" t="str">
        <x:v>Mick Brown</x:v>
      </x:c>
      <x:c r="E6639" t="str">
        <x:v>Consumer</x:v>
      </x:c>
      <x:c r="F6639" t="str">
        <x:v>South</x:v>
      </x:c>
      <x:c r="G6639" t="str">
        <x:v>Office Supplies</x:v>
      </x:c>
      <x:c r="H6639" t="str">
        <x:v>Binders</x:v>
      </x:c>
      <x:c r="I6639" s="22" t="n">
        <x:v>68.54100000000001</x:v>
      </x:c>
      <x:c r="J6639" s="24" t="n">
        <x:v>11</x:v>
      </x:c>
      <x:c r="K6639" s="26" t="n">
        <x:v>0.7</x:v>
      </x:c>
      <x:c r="L6639" s="22" t="n">
        <x:v>-52.54809999999999</x:v>
      </x:c>
      <x:c r="M6639" t="n">
        <x:v>2017</x:v>
      </x:c>
      <x:c r="N6639" s="20" t="n">
        <x:v>42856</x:v>
      </x:c>
    </x:row>
    <x:row r="6640" ht="18" customHeight="1">
      <x:c r="A6640" t="str">
        <x:v>CA-2017-144498</x:v>
      </x:c>
      <x:c r="B6640" s="18" t="n">
        <x:v>42861</x:v>
      </x:c>
      <x:c r="C6640" t="str">
        <x:v>MB-18085</x:v>
      </x:c>
      <x:c r="D6640" t="str">
        <x:v>Mick Brown</x:v>
      </x:c>
      <x:c r="E6640" t="str">
        <x:v>Consumer</x:v>
      </x:c>
      <x:c r="F6640" t="str">
        <x:v>South</x:v>
      </x:c>
      <x:c r="G6640" t="str">
        <x:v>Technology</x:v>
      </x:c>
      <x:c r="H6640" t="str">
        <x:v>Phones</x:v>
      </x:c>
      <x:c r="I6640" s="22" t="n">
        <x:v>627.1680000000001</x:v>
      </x:c>
      <x:c r="J6640" s="24" t="n">
        <x:v>4</x:v>
      </x:c>
      <x:c r="K6640" s="26" t="n">
        <x:v>0.2</x:v>
      </x:c>
      <x:c r="L6640" s="22" t="n">
        <x:v>70.55639999999994</x:v>
      </x:c>
      <x:c r="M6640" t="n">
        <x:v>2017</x:v>
      </x:c>
      <x:c r="N6640" s="20" t="n">
        <x:v>42856</x:v>
      </x:c>
    </x:row>
    <x:row r="6641" ht="18" customHeight="1">
      <x:c r="A6641" t="str">
        <x:v>CA-2017-144498</x:v>
      </x:c>
      <x:c r="B6641" s="18" t="n">
        <x:v>42861</x:v>
      </x:c>
      <x:c r="C6641" t="str">
        <x:v>MB-18085</x:v>
      </x:c>
      <x:c r="D6641" t="str">
        <x:v>Mick Brown</x:v>
      </x:c>
      <x:c r="E6641" t="str">
        <x:v>Consumer</x:v>
      </x:c>
      <x:c r="F6641" t="str">
        <x:v>South</x:v>
      </x:c>
      <x:c r="G6641" t="str">
        <x:v>Office Supplies</x:v>
      </x:c>
      <x:c r="H6641" t="str">
        <x:v>Labels</x:v>
      </x:c>
      <x:c r="I6641" s="22" t="n">
        <x:v>122.12000000000002</x:v>
      </x:c>
      <x:c r="J6641" s="24" t="n">
        <x:v>5</x:v>
      </x:c>
      <x:c r="K6641" s="26" t="n">
        <x:v>0.2</x:v>
      </x:c>
      <x:c r="L6641" s="22" t="n">
        <x:v>39.68900000000001</x:v>
      </x:c>
      <x:c r="M6641" t="n">
        <x:v>2017</x:v>
      </x:c>
      <x:c r="N6641" s="20" t="n">
        <x:v>42856</x:v>
      </x:c>
    </x:row>
    <x:row r="6642" ht="18" customHeight="1">
      <x:c r="A6642" t="str">
        <x:v>CA-2017-103352</x:v>
      </x:c>
      <x:c r="B6642" s="18" t="n">
        <x:v>43066</x:v>
      </x:c>
      <x:c r="C6642" t="str">
        <x:v>RP-19390</x:v>
      </x:c>
      <x:c r="D6642" t="str">
        <x:v>Resi Pölking</x:v>
      </x:c>
      <x:c r="E6642" t="str">
        <x:v>Consumer</x:v>
      </x:c>
      <x:c r="F6642" t="str">
        <x:v>East</x:v>
      </x:c>
      <x:c r="G6642" t="str">
        <x:v>Office Supplies</x:v>
      </x:c>
      <x:c r="H6642" t="str">
        <x:v>Art</x:v>
      </x:c>
      <x:c r="I6642" s="22" t="n">
        <x:v>6.99</x:v>
      </x:c>
      <x:c r="J6642" s="24" t="n">
        <x:v>3</x:v>
      </x:c>
      <x:c r="K6642" s="26" t="n">
        <x:v>0</x:v>
      </x:c>
      <x:c r="L6642" s="22" t="n">
        <x:v>2.027099999999999</x:v>
      </x:c>
      <x:c r="M6642" t="n">
        <x:v>2017</x:v>
      </x:c>
      <x:c r="N6642" s="20" t="n">
        <x:v>43040</x:v>
      </x:c>
    </x:row>
    <x:row r="6643" ht="18" customHeight="1">
      <x:c r="A6643" t="str">
        <x:v>CA-2017-103352</x:v>
      </x:c>
      <x:c r="B6643" s="18" t="n">
        <x:v>43066</x:v>
      </x:c>
      <x:c r="C6643" t="str">
        <x:v>RP-19390</x:v>
      </x:c>
      <x:c r="D6643" t="str">
        <x:v>Resi Pölking</x:v>
      </x:c>
      <x:c r="E6643" t="str">
        <x:v>Consumer</x:v>
      </x:c>
      <x:c r="F6643" t="str">
        <x:v>East</x:v>
      </x:c>
      <x:c r="G6643" t="str">
        <x:v>Office Supplies</x:v>
      </x:c>
      <x:c r="H6643" t="str">
        <x:v>Binders</x:v>
      </x:c>
      <x:c r="I6643" s="22" t="n">
        <x:v>107.424</x:v>
      </x:c>
      <x:c r="J6643" s="24" t="n">
        <x:v>6</x:v>
      </x:c>
      <x:c r="K6643" s="26" t="n">
        <x:v>0.2</x:v>
      </x:c>
      <x:c r="L6643" s="22" t="n">
        <x:v>36.255599999999994</x:v>
      </x:c>
      <x:c r="M6643" t="n">
        <x:v>2017</x:v>
      </x:c>
      <x:c r="N6643" s="20" t="n">
        <x:v>43040</x:v>
      </x:c>
    </x:row>
    <x:row r="6644" ht="18" customHeight="1">
      <x:c r="A6644" t="str">
        <x:v>CA-2014-108609</x:v>
      </x:c>
      <x:c r="B6644" s="18" t="n">
        <x:v>41943</x:v>
      </x:c>
      <x:c r="C6644" t="str">
        <x:v>AJ-10780</x:v>
      </x:c>
      <x:c r="D6644" t="str">
        <x:v>Anthony Jacobs</x:v>
      </x:c>
      <x:c r="E6644" t="str">
        <x:v>Corporate</x:v>
      </x:c>
      <x:c r="F6644" t="str">
        <x:v>East</x:v>
      </x:c>
      <x:c r="G6644" t="str">
        <x:v>Furniture</x:v>
      </x:c>
      <x:c r="H6644" t="str">
        <x:v>Tables</x:v>
      </x:c>
      <x:c r="I6644" s="22" t="n">
        <x:v>1421.664</x:v>
      </x:c>
      <x:c r="J6644" s="24" t="n">
        <x:v>8</x:v>
      </x:c>
      <x:c r="K6644" s="26" t="n">
        <x:v>0.4</x:v>
      </x:c>
      <x:c r="L6644" s="22" t="n">
        <x:v>-734.5264</x:v>
      </x:c>
      <x:c r="M6644" t="n">
        <x:v>2014</x:v>
      </x:c>
      <x:c r="N6644" s="20" t="n">
        <x:v>41913</x:v>
      </x:c>
    </x:row>
    <x:row r="6645" ht="18" customHeight="1">
      <x:c r="A6645" t="str">
        <x:v>CA-2017-128328</x:v>
      </x:c>
      <x:c r="B6645" s="18" t="n">
        <x:v>42952</x:v>
      </x:c>
      <x:c r="C6645" t="str">
        <x:v>PO-18865</x:v>
      </x:c>
      <x:c r="D6645" t="str">
        <x:v>Patrick O'Donnell</x:v>
      </x:c>
      <x:c r="E6645" t="str">
        <x:v>Consumer</x:v>
      </x:c>
      <x:c r="F6645" t="str">
        <x:v>Central</x:v>
      </x:c>
      <x:c r="G6645" t="str">
        <x:v>Office Supplies</x:v>
      </x:c>
      <x:c r="H6645" t="str">
        <x:v>Binders</x:v>
      </x:c>
      <x:c r="I6645" s="22" t="n">
        <x:v>125.88</x:v>
      </x:c>
      <x:c r="J6645" s="24" t="n">
        <x:v>6</x:v>
      </x:c>
      <x:c r="K6645" s="26" t="n">
        <x:v>0</x:v>
      </x:c>
      <x:c r="L6645" s="22" t="n">
        <x:v>60.422399999999996</x:v>
      </x:c>
      <x:c r="M6645" t="n">
        <x:v>2017</x:v>
      </x:c>
      <x:c r="N6645" s="20" t="n">
        <x:v>42948</x:v>
      </x:c>
    </x:row>
    <x:row r="6646" ht="18" customHeight="1">
      <x:c r="A6646" t="str">
        <x:v>CA-2017-128328</x:v>
      </x:c>
      <x:c r="B6646" s="18" t="n">
        <x:v>42952</x:v>
      </x:c>
      <x:c r="C6646" t="str">
        <x:v>PO-18865</x:v>
      </x:c>
      <x:c r="D6646" t="str">
        <x:v>Patrick O'Donnell</x:v>
      </x:c>
      <x:c r="E6646" t="str">
        <x:v>Consumer</x:v>
      </x:c>
      <x:c r="F6646" t="str">
        <x:v>Central</x:v>
      </x:c>
      <x:c r="G6646" t="str">
        <x:v>Technology</x:v>
      </x:c>
      <x:c r="H6646" t="str">
        <x:v>Accessories</x:v>
      </x:c>
      <x:c r="I6646" s="22" t="n">
        <x:v>79.78</x:v>
      </x:c>
      <x:c r="J6646" s="24" t="n">
        <x:v>2</x:v>
      </x:c>
      <x:c r="K6646" s="26" t="n">
        <x:v>0</x:v>
      </x:c>
      <x:c r="L6646" s="22" t="n">
        <x:v>29.5186</x:v>
      </x:c>
      <x:c r="M6646" t="n">
        <x:v>2017</x:v>
      </x:c>
      <x:c r="N6646" s="20" t="n">
        <x:v>42948</x:v>
      </x:c>
    </x:row>
    <x:row r="6647" ht="18" customHeight="1">
      <x:c r="A6647" t="str">
        <x:v>CA-2017-128328</x:v>
      </x:c>
      <x:c r="B6647" s="18" t="n">
        <x:v>42952</x:v>
      </x:c>
      <x:c r="C6647" t="str">
        <x:v>PO-18865</x:v>
      </x:c>
      <x:c r="D6647" t="str">
        <x:v>Patrick O'Donnell</x:v>
      </x:c>
      <x:c r="E6647" t="str">
        <x:v>Consumer</x:v>
      </x:c>
      <x:c r="F6647" t="str">
        <x:v>Central</x:v>
      </x:c>
      <x:c r="G6647" t="str">
        <x:v>Office Supplies</x:v>
      </x:c>
      <x:c r="H6647" t="str">
        <x:v>Labels</x:v>
      </x:c>
      <x:c r="I6647" s="22" t="n">
        <x:v>133.20000000000002</x:v>
      </x:c>
      <x:c r="J6647" s="24" t="n">
        <x:v>9</x:v>
      </x:c>
      <x:c r="K6647" s="26" t="n">
        <x:v>0</x:v>
      </x:c>
      <x:c r="L6647" s="22" t="n">
        <x:v>66.60000000000001</x:v>
      </x:c>
      <x:c r="M6647" t="n">
        <x:v>2017</x:v>
      </x:c>
      <x:c r="N6647" s="20" t="n">
        <x:v>42948</x:v>
      </x:c>
    </x:row>
    <x:row r="6648" ht="18" customHeight="1">
      <x:c r="A6648" t="str">
        <x:v>US-2015-156496</x:v>
      </x:c>
      <x:c r="B6648" s="18" t="n">
        <x:v>42226</x:v>
      </x:c>
      <x:c r="C6648" t="str">
        <x:v>WB-21850</x:v>
      </x:c>
      <x:c r="D6648" t="str">
        <x:v>William Brown</x:v>
      </x:c>
      <x:c r="E6648" t="str">
        <x:v>Consumer</x:v>
      </x:c>
      <x:c r="F6648" t="str">
        <x:v>West</x:v>
      </x:c>
      <x:c r="G6648" t="str">
        <x:v>Technology</x:v>
      </x:c>
      <x:c r="H6648" t="str">
        <x:v>Phones</x:v>
      </x:c>
      <x:c r="I6648" s="22" t="n">
        <x:v>438.36800000000005</x:v>
      </x:c>
      <x:c r="J6648" s="24" t="n">
        <x:v>4</x:v>
      </x:c>
      <x:c r="K6648" s="26" t="n">
        <x:v>0.2</x:v>
      </x:c>
      <x:c r="L6648" s="22" t="n">
        <x:v>38.357200000000006</x:v>
      </x:c>
      <x:c r="M6648" t="n">
        <x:v>2015</x:v>
      </x:c>
      <x:c r="N6648" s="20" t="n">
        <x:v>42217</x:v>
      </x:c>
    </x:row>
    <x:row r="6649" ht="18" customHeight="1">
      <x:c r="A6649" t="str">
        <x:v>US-2015-156496</x:v>
      </x:c>
      <x:c r="B6649" s="18" t="n">
        <x:v>42226</x:v>
      </x:c>
      <x:c r="C6649" t="str">
        <x:v>WB-21850</x:v>
      </x:c>
      <x:c r="D6649" t="str">
        <x:v>William Brown</x:v>
      </x:c>
      <x:c r="E6649" t="str">
        <x:v>Consumer</x:v>
      </x:c>
      <x:c r="F6649" t="str">
        <x:v>West</x:v>
      </x:c>
      <x:c r="G6649" t="str">
        <x:v>Technology</x:v>
      </x:c>
      <x:c r="H6649" t="str">
        <x:v>Phones</x:v>
      </x:c>
      <x:c r="I6649" s="22" t="n">
        <x:v>139.94400000000002</x:v>
      </x:c>
      <x:c r="J6649" s="24" t="n">
        <x:v>7</x:v>
      </x:c>
      <x:c r="K6649" s="26" t="n">
        <x:v>0.2</x:v>
      </x:c>
      <x:c r="L6649" s="22" t="n">
        <x:v>-31.4874</x:v>
      </x:c>
      <x:c r="M6649" t="n">
        <x:v>2015</x:v>
      </x:c>
      <x:c r="N6649" s="20" t="n">
        <x:v>42217</x:v>
      </x:c>
    </x:row>
    <x:row r="6650" ht="18" customHeight="1">
      <x:c r="A6650" t="str">
        <x:v>US-2015-156496</x:v>
      </x:c>
      <x:c r="B6650" s="18" t="n">
        <x:v>42226</x:v>
      </x:c>
      <x:c r="C6650" t="str">
        <x:v>WB-21850</x:v>
      </x:c>
      <x:c r="D6650" t="str">
        <x:v>William Brown</x:v>
      </x:c>
      <x:c r="E6650" t="str">
        <x:v>Consumer</x:v>
      </x:c>
      <x:c r="F6650" t="str">
        <x:v>West</x:v>
      </x:c>
      <x:c r="G6650" t="str">
        <x:v>Office Supplies</x:v>
      </x:c>
      <x:c r="H6650" t="str">
        <x:v>Appliances</x:v>
      </x:c>
      <x:c r="I6650" s="22" t="n">
        <x:v>133.472</x:v>
      </x:c>
      <x:c r="J6650" s="24" t="n">
        <x:v>4</x:v>
      </x:c>
      <x:c r="K6650" s="26" t="n">
        <x:v>0.2</x:v>
      </x:c>
      <x:c r="L6650" s="22" t="n">
        <x:v>15.015599999999985</x:v>
      </x:c>
      <x:c r="M6650" t="n">
        <x:v>2015</x:v>
      </x:c>
      <x:c r="N6650" s="20" t="n">
        <x:v>42217</x:v>
      </x:c>
    </x:row>
    <x:row r="6651" ht="18" customHeight="1">
      <x:c r="A6651" t="str">
        <x:v>US-2016-127334</x:v>
      </x:c>
      <x:c r="B6651" s="18" t="n">
        <x:v>42719</x:v>
      </x:c>
      <x:c r="C6651" t="str">
        <x:v>MP-18175</x:v>
      </x:c>
      <x:c r="D6651" t="str">
        <x:v>Mike Pelletier</x:v>
      </x:c>
      <x:c r="E6651" t="str">
        <x:v>Home Office</x:v>
      </x:c>
      <x:c r="F6651" t="str">
        <x:v>West</x:v>
      </x:c>
      <x:c r="G6651" t="str">
        <x:v>Furniture</x:v>
      </x:c>
      <x:c r="H6651" t="str">
        <x:v>Tables</x:v>
      </x:c>
      <x:c r="I6651" s="22" t="n">
        <x:v>564.1949999999999</x:v>
      </x:c>
      <x:c r="J6651" s="24" t="n">
        <x:v>3</x:v>
      </x:c>
      <x:c r="K6651" s="26" t="n">
        <x:v>0.5</x:v>
      </x:c>
      <x:c r="L6651" s="22" t="n">
        <x:v>-304.6652999999999</x:v>
      </x:c>
      <x:c r="M6651" t="n">
        <x:v>2016</x:v>
      </x:c>
      <x:c r="N6651" s="20" t="n">
        <x:v>42705</x:v>
      </x:c>
    </x:row>
    <x:row r="6652" ht="18" customHeight="1">
      <x:c r="A6652" t="str">
        <x:v>US-2016-127334</x:v>
      </x:c>
      <x:c r="B6652" s="18" t="n">
        <x:v>42719</x:v>
      </x:c>
      <x:c r="C6652" t="str">
        <x:v>MP-18175</x:v>
      </x:c>
      <x:c r="D6652" t="str">
        <x:v>Mike Pelletier</x:v>
      </x:c>
      <x:c r="E6652" t="str">
        <x:v>Home Office</x:v>
      </x:c>
      <x:c r="F6652" t="str">
        <x:v>West</x:v>
      </x:c>
      <x:c r="G6652" t="str">
        <x:v>Office Supplies</x:v>
      </x:c>
      <x:c r="H6652" t="str">
        <x:v>Appliances</x:v>
      </x:c>
      <x:c r="I6652" s="22" t="n">
        <x:v>87.168</x:v>
      </x:c>
      <x:c r="J6652" s="24" t="n">
        <x:v>2</x:v>
      </x:c>
      <x:c r="K6652" s="26" t="n">
        <x:v>0.2</x:v>
      </x:c>
      <x:c r="L6652" s="22" t="n">
        <x:v>8.716800000000006</x:v>
      </x:c>
      <x:c r="M6652" t="n">
        <x:v>2016</x:v>
      </x:c>
      <x:c r="N6652" s="20" t="n">
        <x:v>42705</x:v>
      </x:c>
    </x:row>
    <x:row r="6653" ht="18" customHeight="1">
      <x:c r="A6653" t="str">
        <x:v>US-2017-124779</x:v>
      </x:c>
      <x:c r="B6653" s="18" t="n">
        <x:v>42986</x:v>
      </x:c>
      <x:c r="C6653" t="str">
        <x:v>BF-11020</x:v>
      </x:c>
      <x:c r="D6653" t="str">
        <x:v>Barry Französisch</x:v>
      </x:c>
      <x:c r="E6653" t="str">
        <x:v>Corporate</x:v>
      </x:c>
      <x:c r="F6653" t="str">
        <x:v>Central</x:v>
      </x:c>
      <x:c r="G6653" t="str">
        <x:v>Office Supplies</x:v>
      </x:c>
      <x:c r="H6653" t="str">
        <x:v>Binders</x:v>
      </x:c>
      <x:c r="I6653" s="22" t="n">
        <x:v>42.61599999999999</x:v>
      </x:c>
      <x:c r="J6653" s="24" t="n">
        <x:v>7</x:v>
      </x:c>
      <x:c r="K6653" s="26" t="n">
        <x:v>0.8</x:v>
      </x:c>
      <x:c r="L6653" s="22" t="n">
        <x:v>-68.18560000000002</x:v>
      </x:c>
      <x:c r="M6653" t="n">
        <x:v>2017</x:v>
      </x:c>
      <x:c r="N6653" s="20" t="n">
        <x:v>42979</x:v>
      </x:c>
    </x:row>
    <x:row r="6654" ht="18" customHeight="1">
      <x:c r="A6654" t="str">
        <x:v>US-2017-124779</x:v>
      </x:c>
      <x:c r="B6654" s="18" t="n">
        <x:v>42986</x:v>
      </x:c>
      <x:c r="C6654" t="str">
        <x:v>BF-11020</x:v>
      </x:c>
      <x:c r="D6654" t="str">
        <x:v>Barry Französisch</x:v>
      </x:c>
      <x:c r="E6654" t="str">
        <x:v>Corporate</x:v>
      </x:c>
      <x:c r="F6654" t="str">
        <x:v>Central</x:v>
      </x:c>
      <x:c r="G6654" t="str">
        <x:v>Technology</x:v>
      </x:c>
      <x:c r="H6654" t="str">
        <x:v>Copiers</x:v>
      </x:c>
      <x:c r="I6654" s="22" t="n">
        <x:v>319.98400000000004</x:v>
      </x:c>
      <x:c r="J6654" s="24" t="n">
        <x:v>2</x:v>
      </x:c>
      <x:c r="K6654" s="26" t="n">
        <x:v>0.2</x:v>
      </x:c>
      <x:c r="L6654" s="22" t="n">
        <x:v>107.99459999999999</x:v>
      </x:c>
      <x:c r="M6654" t="n">
        <x:v>2017</x:v>
      </x:c>
      <x:c r="N6654" s="20" t="n">
        <x:v>42979</x:v>
      </x:c>
    </x:row>
    <x:row r="6655" ht="18" customHeight="1">
      <x:c r="A6655" t="str">
        <x:v>US-2017-124779</x:v>
      </x:c>
      <x:c r="B6655" s="18" t="n">
        <x:v>42986</x:v>
      </x:c>
      <x:c r="C6655" t="str">
        <x:v>BF-11020</x:v>
      </x:c>
      <x:c r="D6655" t="str">
        <x:v>Barry Französisch</x:v>
      </x:c>
      <x:c r="E6655" t="str">
        <x:v>Corporate</x:v>
      </x:c>
      <x:c r="F6655" t="str">
        <x:v>Central</x:v>
      </x:c>
      <x:c r="G6655" t="str">
        <x:v>Office Supplies</x:v>
      </x:c>
      <x:c r="H6655" t="str">
        <x:v>Fasteners</x:v>
      </x:c>
      <x:c r="I6655" s="22" t="n">
        <x:v>45.92</x:v>
      </x:c>
      <x:c r="J6655" s="24" t="n">
        <x:v>5</x:v>
      </x:c>
      <x:c r="K6655" s="26" t="n">
        <x:v>0.2</x:v>
      </x:c>
      <x:c r="L6655" s="22" t="n">
        <x:v>15.498000000000001</x:v>
      </x:c>
      <x:c r="M6655" t="n">
        <x:v>2017</x:v>
      </x:c>
      <x:c r="N6655" s="20" t="n">
        <x:v>42979</x:v>
      </x:c>
    </x:row>
    <x:row r="6656" ht="18" customHeight="1">
      <x:c r="A6656" t="str">
        <x:v>US-2017-124779</x:v>
      </x:c>
      <x:c r="B6656" s="18" t="n">
        <x:v>42986</x:v>
      </x:c>
      <x:c r="C6656" t="str">
        <x:v>BF-11020</x:v>
      </x:c>
      <x:c r="D6656" t="str">
        <x:v>Barry Französisch</x:v>
      </x:c>
      <x:c r="E6656" t="str">
        <x:v>Corporate</x:v>
      </x:c>
      <x:c r="F6656" t="str">
        <x:v>Central</x:v>
      </x:c>
      <x:c r="G6656" t="str">
        <x:v>Furniture</x:v>
      </x:c>
      <x:c r="H6656" t="str">
        <x:v>Furnishings</x:v>
      </x:c>
      <x:c r="I6656" s="22" t="n">
        <x:v>21.184</x:v>
      </x:c>
      <x:c r="J6656" s="24" t="n">
        <x:v>2</x:v>
      </x:c>
      <x:c r="K6656" s="26" t="n">
        <x:v>0.6</x:v>
      </x:c>
      <x:c r="L6656" s="22" t="n">
        <x:v>-11.6512</x:v>
      </x:c>
      <x:c r="M6656" t="n">
        <x:v>2017</x:v>
      </x:c>
      <x:c r="N6656" s="20" t="n">
        <x:v>42979</x:v>
      </x:c>
    </x:row>
    <x:row r="6657" ht="18" customHeight="1">
      <x:c r="A6657" t="str">
        <x:v>US-2017-124779</x:v>
      </x:c>
      <x:c r="B6657" s="18" t="n">
        <x:v>42986</x:v>
      </x:c>
      <x:c r="C6657" t="str">
        <x:v>BF-11020</x:v>
      </x:c>
      <x:c r="D6657" t="str">
        <x:v>Barry Französisch</x:v>
      </x:c>
      <x:c r="E6657" t="str">
        <x:v>Corporate</x:v>
      </x:c>
      <x:c r="F6657" t="str">
        <x:v>Central</x:v>
      </x:c>
      <x:c r="G6657" t="str">
        <x:v>Office Supplies</x:v>
      </x:c>
      <x:c r="H6657" t="str">
        <x:v>Paper</x:v>
      </x:c>
      <x:c r="I6657" s="22" t="n">
        <x:v>20.736000000000004</x:v>
      </x:c>
      <x:c r="J6657" s="24" t="n">
        <x:v>4</x:v>
      </x:c>
      <x:c r="K6657" s="26" t="n">
        <x:v>0.2</x:v>
      </x:c>
      <x:c r="L6657" s="22" t="n">
        <x:v>7.2576</x:v>
      </x:c>
      <x:c r="M6657" t="n">
        <x:v>2017</x:v>
      </x:c>
      <x:c r="N6657" s="20" t="n">
        <x:v>42979</x:v>
      </x:c>
    </x:row>
    <x:row r="6658" ht="18" customHeight="1">
      <x:c r="A6658" t="str">
        <x:v>US-2017-124779</x:v>
      </x:c>
      <x:c r="B6658" s="18" t="n">
        <x:v>42986</x:v>
      </x:c>
      <x:c r="C6658" t="str">
        <x:v>BF-11020</x:v>
      </x:c>
      <x:c r="D6658" t="str">
        <x:v>Barry Französisch</x:v>
      </x:c>
      <x:c r="E6658" t="str">
        <x:v>Corporate</x:v>
      </x:c>
      <x:c r="F6658" t="str">
        <x:v>Central</x:v>
      </x:c>
      <x:c r="G6658" t="str">
        <x:v>Furniture</x:v>
      </x:c>
      <x:c r="H6658" t="str">
        <x:v>Chairs</x:v>
      </x:c>
      <x:c r="I6658" s="22" t="n">
        <x:v>213.42999999999995</x:v>
      </x:c>
      <x:c r="J6658" s="24" t="n">
        <x:v>5</x:v>
      </x:c>
      <x:c r="K6658" s="26" t="n">
        <x:v>0.3</x:v>
      </x:c>
      <x:c r="L6658" s="22" t="n">
        <x:v>-39.63699999999999</x:v>
      </x:c>
      <x:c r="M6658" t="n">
        <x:v>2017</x:v>
      </x:c>
      <x:c r="N6658" s="20" t="n">
        <x:v>42979</x:v>
      </x:c>
    </x:row>
    <x:row r="6659" ht="18" customHeight="1">
      <x:c r="A6659" t="str">
        <x:v>CA-2017-135937</x:v>
      </x:c>
      <x:c r="B6659" s="18" t="n">
        <x:v>42786</x:v>
      </x:c>
      <x:c r="C6659" t="str">
        <x:v>KM-16375</x:v>
      </x:c>
      <x:c r="D6659" t="str">
        <x:v>Katherine Murray</x:v>
      </x:c>
      <x:c r="E6659" t="str">
        <x:v>Home Office</x:v>
      </x:c>
      <x:c r="F6659" t="str">
        <x:v>West</x:v>
      </x:c>
      <x:c r="G6659" t="str">
        <x:v>Technology</x:v>
      </x:c>
      <x:c r="H6659" t="str">
        <x:v>Phones</x:v>
      </x:c>
      <x:c r="I6659" s="22" t="n">
        <x:v>333.576</x:v>
      </x:c>
      <x:c r="J6659" s="24" t="n">
        <x:v>3</x:v>
      </x:c>
      <x:c r="K6659" s="26" t="n">
        <x:v>0.2</x:v>
      </x:c>
      <x:c r="L6659" s="22" t="n">
        <x:v>25.018199999999993</x:v>
      </x:c>
      <x:c r="M6659" t="n">
        <x:v>2017</x:v>
      </x:c>
      <x:c r="N6659" s="20" t="n">
        <x:v>42767</x:v>
      </x:c>
    </x:row>
    <x:row r="6660" ht="18" customHeight="1">
      <x:c r="A6660" t="str">
        <x:v>CA-2017-135937</x:v>
      </x:c>
      <x:c r="B6660" s="18" t="n">
        <x:v>42786</x:v>
      </x:c>
      <x:c r="C6660" t="str">
        <x:v>KM-16375</x:v>
      </x:c>
      <x:c r="D6660" t="str">
        <x:v>Katherine Murray</x:v>
      </x:c>
      <x:c r="E6660" t="str">
        <x:v>Home Office</x:v>
      </x:c>
      <x:c r="F6660" t="str">
        <x:v>West</x:v>
      </x:c>
      <x:c r="G6660" t="str">
        <x:v>Technology</x:v>
      </x:c>
      <x:c r="H6660" t="str">
        <x:v>Accessories</x:v>
      </x:c>
      <x:c r="I6660" s="22" t="n">
        <x:v>31.992000000000004</x:v>
      </x:c>
      <x:c r="J6660" s="24" t="n">
        <x:v>1</x:v>
      </x:c>
      <x:c r="K6660" s="26" t="n">
        <x:v>0.2</x:v>
      </x:c>
      <x:c r="L6660" s="22" t="n">
        <x:v>4.798799999999996</x:v>
      </x:c>
      <x:c r="M6660" t="n">
        <x:v>2017</x:v>
      </x:c>
      <x:c r="N6660" s="20" t="n">
        <x:v>42767</x:v>
      </x:c>
    </x:row>
    <x:row r="6661" ht="18" customHeight="1">
      <x:c r="A6661" t="str">
        <x:v>CA-2017-135937</x:v>
      </x:c>
      <x:c r="B6661" s="18" t="n">
        <x:v>42786</x:v>
      </x:c>
      <x:c r="C6661" t="str">
        <x:v>KM-16375</x:v>
      </x:c>
      <x:c r="D6661" t="str">
        <x:v>Katherine Murray</x:v>
      </x:c>
      <x:c r="E6661" t="str">
        <x:v>Home Office</x:v>
      </x:c>
      <x:c r="F6661" t="str">
        <x:v>West</x:v>
      </x:c>
      <x:c r="G6661" t="str">
        <x:v>Office Supplies</x:v>
      </x:c>
      <x:c r="H6661" t="str">
        <x:v>Storage</x:v>
      </x:c>
      <x:c r="I6661" s="22" t="n">
        <x:v>51.168000000000006</x:v>
      </x:c>
      <x:c r="J6661" s="24" t="n">
        <x:v>2</x:v>
      </x:c>
      <x:c r="K6661" s="26" t="n">
        <x:v>0.2</x:v>
      </x:c>
      <x:c r="L6661" s="22" t="n">
        <x:v>-6.396000000000001</x:v>
      </x:c>
      <x:c r="M6661" t="n">
        <x:v>2017</x:v>
      </x:c>
      <x:c r="N6661" s="20" t="n">
        <x:v>42767</x:v>
      </x:c>
    </x:row>
    <x:row r="6662" ht="18" customHeight="1">
      <x:c r="A6662" t="str">
        <x:v>CA-2017-135937</x:v>
      </x:c>
      <x:c r="B6662" s="18" t="n">
        <x:v>42786</x:v>
      </x:c>
      <x:c r="C6662" t="str">
        <x:v>KM-16375</x:v>
      </x:c>
      <x:c r="D6662" t="str">
        <x:v>Katherine Murray</x:v>
      </x:c>
      <x:c r="E6662" t="str">
        <x:v>Home Office</x:v>
      </x:c>
      <x:c r="F6662" t="str">
        <x:v>West</x:v>
      </x:c>
      <x:c r="G6662" t="str">
        <x:v>Office Supplies</x:v>
      </x:c>
      <x:c r="H6662" t="str">
        <x:v>Envelopes</x:v>
      </x:c>
      <x:c r="I6662" s="22" t="n">
        <x:v>10.64</x:v>
      </x:c>
      <x:c r="J6662" s="24" t="n">
        <x:v>5</x:v>
      </x:c>
      <x:c r="K6662" s="26" t="n">
        <x:v>0.2</x:v>
      </x:c>
      <x:c r="L6662" s="22" t="n">
        <x:v>3.857</x:v>
      </x:c>
      <x:c r="M6662" t="n">
        <x:v>2017</x:v>
      </x:c>
      <x:c r="N6662" s="20" t="n">
        <x:v>42767</x:v>
      </x:c>
    </x:row>
    <x:row r="6663" ht="18" customHeight="1">
      <x:c r="A6663" t="str">
        <x:v>CA-2017-135937</x:v>
      </x:c>
      <x:c r="B6663" s="18" t="n">
        <x:v>42786</x:v>
      </x:c>
      <x:c r="C6663" t="str">
        <x:v>KM-16375</x:v>
      </x:c>
      <x:c r="D6663" t="str">
        <x:v>Katherine Murray</x:v>
      </x:c>
      <x:c r="E6663" t="str">
        <x:v>Home Office</x:v>
      </x:c>
      <x:c r="F6663" t="str">
        <x:v>West</x:v>
      </x:c>
      <x:c r="G6663" t="str">
        <x:v>Furniture</x:v>
      </x:c>
      <x:c r="H6663" t="str">
        <x:v>Furnishings</x:v>
      </x:c>
      <x:c r="I6663" s="22" t="n">
        <x:v>68.704</x:v>
      </x:c>
      <x:c r="J6663" s="24" t="n">
        <x:v>2</x:v>
      </x:c>
      <x:c r="K6663" s="26" t="n">
        <x:v>0.2</x:v>
      </x:c>
      <x:c r="L6663" s="22" t="n">
        <x:v>16.317200000000003</x:v>
      </x:c>
      <x:c r="M6663" t="n">
        <x:v>2017</x:v>
      </x:c>
      <x:c r="N6663" s="20" t="n">
        <x:v>42767</x:v>
      </x:c>
    </x:row>
    <x:row r="6664" ht="18" customHeight="1">
      <x:c r="A6664" t="str">
        <x:v>CA-2017-135937</x:v>
      </x:c>
      <x:c r="B6664" s="18" t="n">
        <x:v>42786</x:v>
      </x:c>
      <x:c r="C6664" t="str">
        <x:v>KM-16375</x:v>
      </x:c>
      <x:c r="D6664" t="str">
        <x:v>Katherine Murray</x:v>
      </x:c>
      <x:c r="E6664" t="str">
        <x:v>Home Office</x:v>
      </x:c>
      <x:c r="F6664" t="str">
        <x:v>West</x:v>
      </x:c>
      <x:c r="G6664" t="str">
        <x:v>Furniture</x:v>
      </x:c>
      <x:c r="H6664" t="str">
        <x:v>Tables</x:v>
      </x:c>
      <x:c r="I6664" s="22" t="n">
        <x:v>386.91</x:v>
      </x:c>
      <x:c r="J6664" s="24" t="n">
        <x:v>9</x:v>
      </x:c>
      <x:c r="K6664" s="26" t="n">
        <x:v>0.5</x:v>
      </x:c>
      <x:c r="L6664" s="22" t="n">
        <x:v>-185.71679999999998</x:v>
      </x:c>
      <x:c r="M6664" t="n">
        <x:v>2017</x:v>
      </x:c>
      <x:c r="N6664" s="20" t="n">
        <x:v>42767</x:v>
      </x:c>
    </x:row>
    <x:row r="6665" ht="18" customHeight="1">
      <x:c r="A6665" t="str">
        <x:v>CA-2015-129322</x:v>
      </x:c>
      <x:c r="B6665" s="18" t="n">
        <x:v>42224</x:v>
      </x:c>
      <x:c r="C6665" t="str">
        <x:v>DB-13405</x:v>
      </x:c>
      <x:c r="D6665" t="str">
        <x:v>Denny Blanton</x:v>
      </x:c>
      <x:c r="E6665" t="str">
        <x:v>Consumer</x:v>
      </x:c>
      <x:c r="F6665" t="str">
        <x:v>East</x:v>
      </x:c>
      <x:c r="G6665" t="str">
        <x:v>Office Supplies</x:v>
      </x:c>
      <x:c r="H6665" t="str">
        <x:v>Art</x:v>
      </x:c>
      <x:c r="I6665" s="22" t="n">
        <x:v>39.66</x:v>
      </x:c>
      <x:c r="J6665" s="24" t="n">
        <x:v>2</x:v>
      </x:c>
      <x:c r="K6665" s="26" t="n">
        <x:v>0</x:v>
      </x:c>
      <x:c r="L6665" s="22" t="n">
        <x:v>11.897999999999996</x:v>
      </x:c>
      <x:c r="M6665" t="n">
        <x:v>2015</x:v>
      </x:c>
      <x:c r="N6665" s="20" t="n">
        <x:v>42217</x:v>
      </x:c>
    </x:row>
    <x:row r="6666" ht="18" customHeight="1">
      <x:c r="A6666" t="str">
        <x:v>CA-2015-129322</x:v>
      </x:c>
      <x:c r="B6666" s="18" t="n">
        <x:v>42224</x:v>
      </x:c>
      <x:c r="C6666" t="str">
        <x:v>DB-13405</x:v>
      </x:c>
      <x:c r="D6666" t="str">
        <x:v>Denny Blanton</x:v>
      </x:c>
      <x:c r="E6666" t="str">
        <x:v>Consumer</x:v>
      </x:c>
      <x:c r="F6666" t="str">
        <x:v>East</x:v>
      </x:c>
      <x:c r="G6666" t="str">
        <x:v>Office Supplies</x:v>
      </x:c>
      <x:c r="H6666" t="str">
        <x:v>Appliances</x:v>
      </x:c>
      <x:c r="I6666" s="22" t="n">
        <x:v>113.92</x:v>
      </x:c>
      <x:c r="J6666" s="24" t="n">
        <x:v>2</x:v>
      </x:c>
      <x:c r="K6666" s="26" t="n">
        <x:v>0</x:v>
      </x:c>
      <x:c r="L6666" s="22" t="n">
        <x:v>33.036799999999985</x:v>
      </x:c>
      <x:c r="M6666" t="n">
        <x:v>2015</x:v>
      </x:c>
      <x:c r="N6666" s="20" t="n">
        <x:v>42217</x:v>
      </x:c>
    </x:row>
    <x:row r="6667" ht="18" customHeight="1">
      <x:c r="A6667" t="str">
        <x:v>CA-2015-129322</x:v>
      </x:c>
      <x:c r="B6667" s="18" t="n">
        <x:v>42224</x:v>
      </x:c>
      <x:c r="C6667" t="str">
        <x:v>DB-13405</x:v>
      </x:c>
      <x:c r="D6667" t="str">
        <x:v>Denny Blanton</x:v>
      </x:c>
      <x:c r="E6667" t="str">
        <x:v>Consumer</x:v>
      </x:c>
      <x:c r="F6667" t="str">
        <x:v>East</x:v>
      </x:c>
      <x:c r="G6667" t="str">
        <x:v>Office Supplies</x:v>
      </x:c>
      <x:c r="H6667" t="str">
        <x:v>Binders</x:v>
      </x:c>
      <x:c r="I6667" s="22" t="n">
        <x:v>447.85999999999996</x:v>
      </x:c>
      <x:c r="J6667" s="24" t="n">
        <x:v>7</x:v>
      </x:c>
      <x:c r="K6667" s="26" t="n">
        <x:v>0</x:v>
      </x:c>
      <x:c r="L6667" s="22" t="n">
        <x:v>210.49419999999998</x:v>
      </x:c>
      <x:c r="M6667" t="n">
        <x:v>2015</x:v>
      </x:c>
      <x:c r="N6667" s="20" t="n">
        <x:v>42217</x:v>
      </x:c>
    </x:row>
    <x:row r="6668" ht="18" customHeight="1">
      <x:c r="A6668" t="str">
        <x:v>CA-2017-162173</x:v>
      </x:c>
      <x:c r="B6668" s="18" t="n">
        <x:v>43034</x:v>
      </x:c>
      <x:c r="C6668" t="str">
        <x:v>OT-18730</x:v>
      </x:c>
      <x:c r="D6668" t="str">
        <x:v>Olvera Toch</x:v>
      </x:c>
      <x:c r="E6668" t="str">
        <x:v>Consumer</x:v>
      </x:c>
      <x:c r="F6668" t="str">
        <x:v>South</x:v>
      </x:c>
      <x:c r="G6668" t="str">
        <x:v>Furniture</x:v>
      </x:c>
      <x:c r="H6668" t="str">
        <x:v>Tables</x:v>
      </x:c>
      <x:c r="I6668" s="22" t="n">
        <x:v>356.85</x:v>
      </x:c>
      <x:c r="J6668" s="24" t="n">
        <x:v>5</x:v>
      </x:c>
      <x:c r="K6668" s="26" t="n">
        <x:v>0</x:v>
      </x:c>
      <x:c r="L6668" s="22" t="n">
        <x:v>60.66449999999996</x:v>
      </x:c>
      <x:c r="M6668" t="n">
        <x:v>2017</x:v>
      </x:c>
      <x:c r="N6668" s="20" t="n">
        <x:v>43009</x:v>
      </x:c>
    </x:row>
    <x:row r="6669" ht="18" customHeight="1">
      <x:c r="A6669" t="str">
        <x:v>CA-2017-162173</x:v>
      </x:c>
      <x:c r="B6669" s="18" t="n">
        <x:v>43034</x:v>
      </x:c>
      <x:c r="C6669" t="str">
        <x:v>OT-18730</x:v>
      </x:c>
      <x:c r="D6669" t="str">
        <x:v>Olvera Toch</x:v>
      </x:c>
      <x:c r="E6669" t="str">
        <x:v>Consumer</x:v>
      </x:c>
      <x:c r="F6669" t="str">
        <x:v>South</x:v>
      </x:c>
      <x:c r="G6669" t="str">
        <x:v>Office Supplies</x:v>
      </x:c>
      <x:c r="H6669" t="str">
        <x:v>Envelopes</x:v>
      </x:c>
      <x:c r="I6669" s="22" t="n">
        <x:v>251.57999999999998</x:v>
      </x:c>
      <x:c r="J6669" s="24" t="n">
        <x:v>7</x:v>
      </x:c>
      <x:c r="K6669" s="26" t="n">
        <x:v>0</x:v>
      </x:c>
      <x:c r="L6669" s="22" t="n">
        <x:v>113.21099999999998</x:v>
      </x:c>
      <x:c r="M6669" t="n">
        <x:v>2017</x:v>
      </x:c>
      <x:c r="N6669" s="20" t="n">
        <x:v>43009</x:v>
      </x:c>
    </x:row>
    <x:row r="6670" ht="18" customHeight="1">
      <x:c r="A6670" t="str">
        <x:v>CA-2016-115483</x:v>
      </x:c>
      <x:c r="B6670" s="18" t="n">
        <x:v>42565</x:v>
      </x:c>
      <x:c r="C6670" t="str">
        <x:v>JS-15880</x:v>
      </x:c>
      <x:c r="D6670" t="str">
        <x:v>John Stevenson</x:v>
      </x:c>
      <x:c r="E6670" t="str">
        <x:v>Consumer</x:v>
      </x:c>
      <x:c r="F6670" t="str">
        <x:v>Central</x:v>
      </x:c>
      <x:c r="G6670" t="str">
        <x:v>Office Supplies</x:v>
      </x:c>
      <x:c r="H6670" t="str">
        <x:v>Paper</x:v>
      </x:c>
      <x:c r="I6670" s="22" t="n">
        <x:v>219.84000000000003</x:v>
      </x:c>
      <x:c r="J6670" s="24" t="n">
        <x:v>5</x:v>
      </x:c>
      <x:c r="K6670" s="26" t="n">
        <x:v>0.2</x:v>
      </x:c>
      <x:c r="L6670" s="22" t="n">
        <x:v>79.69199999999998</x:v>
      </x:c>
      <x:c r="M6670" t="n">
        <x:v>2016</x:v>
      </x:c>
      <x:c r="N6670" s="20" t="n">
        <x:v>42552</x:v>
      </x:c>
    </x:row>
    <x:row r="6671" ht="18" customHeight="1">
      <x:c r="A6671" t="str">
        <x:v>CA-2017-122175</x:v>
      </x:c>
      <x:c r="B6671" s="18" t="n">
        <x:v>42867</x:v>
      </x:c>
      <x:c r="C6671" t="str">
        <x:v>CA-12775</x:v>
      </x:c>
      <x:c r="D6671" t="str">
        <x:v>Cynthia Arntzen</x:v>
      </x:c>
      <x:c r="E6671" t="str">
        <x:v>Consumer</x:v>
      </x:c>
      <x:c r="F6671" t="str">
        <x:v>East</x:v>
      </x:c>
      <x:c r="G6671" t="str">
        <x:v>Furniture</x:v>
      </x:c>
      <x:c r="H6671" t="str">
        <x:v>Furnishings</x:v>
      </x:c>
      <x:c r="I6671" s="22" t="n">
        <x:v>42.85</x:v>
      </x:c>
      <x:c r="J6671" s="24" t="n">
        <x:v>5</x:v>
      </x:c>
      <x:c r="K6671" s="26" t="n">
        <x:v>0</x:v>
      </x:c>
      <x:c r="L6671" s="22" t="n">
        <x:v>15.426000000000002</x:v>
      </x:c>
      <x:c r="M6671" t="n">
        <x:v>2017</x:v>
      </x:c>
      <x:c r="N6671" s="20" t="n">
        <x:v>42856</x:v>
      </x:c>
    </x:row>
    <x:row r="6672" ht="18" customHeight="1">
      <x:c r="A6672" t="str">
        <x:v>CA-2017-122175</x:v>
      </x:c>
      <x:c r="B6672" s="18" t="n">
        <x:v>42867</x:v>
      </x:c>
      <x:c r="C6672" t="str">
        <x:v>CA-12775</x:v>
      </x:c>
      <x:c r="D6672" t="str">
        <x:v>Cynthia Arntzen</x:v>
      </x:c>
      <x:c r="E6672" t="str">
        <x:v>Consumer</x:v>
      </x:c>
      <x:c r="F6672" t="str">
        <x:v>East</x:v>
      </x:c>
      <x:c r="G6672" t="str">
        <x:v>Office Supplies</x:v>
      </x:c>
      <x:c r="H6672" t="str">
        <x:v>Labels</x:v>
      </x:c>
      <x:c r="I6672" s="22" t="n">
        <x:v>6.16</x:v>
      </x:c>
      <x:c r="J6672" s="24" t="n">
        <x:v>2</x:v>
      </x:c>
      <x:c r="K6672" s="26" t="n">
        <x:v>0</x:v>
      </x:c>
      <x:c r="L6672" s="22" t="n">
        <x:v>2.9568</x:v>
      </x:c>
      <x:c r="M6672" t="n">
        <x:v>2017</x:v>
      </x:c>
      <x:c r="N6672" s="20" t="n">
        <x:v>42856</x:v>
      </x:c>
    </x:row>
    <x:row r="6673" ht="18" customHeight="1">
      <x:c r="A6673" t="str">
        <x:v>CA-2017-122175</x:v>
      </x:c>
      <x:c r="B6673" s="18" t="n">
        <x:v>42867</x:v>
      </x:c>
      <x:c r="C6673" t="str">
        <x:v>CA-12775</x:v>
      </x:c>
      <x:c r="D6673" t="str">
        <x:v>Cynthia Arntzen</x:v>
      </x:c>
      <x:c r="E6673" t="str">
        <x:v>Consumer</x:v>
      </x:c>
      <x:c r="F6673" t="str">
        <x:v>East</x:v>
      </x:c>
      <x:c r="G6673" t="str">
        <x:v>Office Supplies</x:v>
      </x:c>
      <x:c r="H6673" t="str">
        <x:v>Supplies</x:v>
      </x:c>
      <x:c r="I6673" s="22" t="n">
        <x:v>17</x:v>
      </x:c>
      <x:c r="J6673" s="24" t="n">
        <x:v>2</x:v>
      </x:c>
      <x:c r="K6673" s="26" t="n">
        <x:v>0</x:v>
      </x:c>
      <x:c r="L6673" s="22" t="n">
        <x:v>4.42</x:v>
      </x:c>
      <x:c r="M6673" t="n">
        <x:v>2017</x:v>
      </x:c>
      <x:c r="N6673" s="20" t="n">
        <x:v>42856</x:v>
      </x:c>
    </x:row>
    <x:row r="6674" ht="18" customHeight="1">
      <x:c r="A6674" t="str">
        <x:v>CA-2017-122175</x:v>
      </x:c>
      <x:c r="B6674" s="18" t="n">
        <x:v>42867</x:v>
      </x:c>
      <x:c r="C6674" t="str">
        <x:v>CA-12775</x:v>
      </x:c>
      <x:c r="D6674" t="str">
        <x:v>Cynthia Arntzen</x:v>
      </x:c>
      <x:c r="E6674" t="str">
        <x:v>Consumer</x:v>
      </x:c>
      <x:c r="F6674" t="str">
        <x:v>East</x:v>
      </x:c>
      <x:c r="G6674" t="str">
        <x:v>Technology</x:v>
      </x:c>
      <x:c r="H6674" t="str">
        <x:v>Accessories</x:v>
      </x:c>
      <x:c r="I6674" s="22" t="n">
        <x:v>87.4</x:v>
      </x:c>
      <x:c r="J6674" s="24" t="n">
        <x:v>5</x:v>
      </x:c>
      <x:c r="K6674" s="26" t="n">
        <x:v>0</x:v>
      </x:c>
      <x:c r="L6674" s="22" t="n">
        <x:v>34.96000000000001</x:v>
      </x:c>
      <x:c r="M6674" t="n">
        <x:v>2017</x:v>
      </x:c>
      <x:c r="N6674" s="20" t="n">
        <x:v>42856</x:v>
      </x:c>
    </x:row>
    <x:row r="6675" ht="18" customHeight="1">
      <x:c r="A6675" t="str">
        <x:v>CA-2017-161088</x:v>
      </x:c>
      <x:c r="B6675" s="18" t="n">
        <x:v>42880</x:v>
      </x:c>
      <x:c r="C6675" t="str">
        <x:v>MH-18115</x:v>
      </x:c>
      <x:c r="D6675" t="str">
        <x:v>Mick Hernandez</x:v>
      </x:c>
      <x:c r="E6675" t="str">
        <x:v>Home Office</x:v>
      </x:c>
      <x:c r="F6675" t="str">
        <x:v>South</x:v>
      </x:c>
      <x:c r="G6675" t="str">
        <x:v>Office Supplies</x:v>
      </x:c>
      <x:c r="H6675" t="str">
        <x:v>Binders</x:v>
      </x:c>
      <x:c r="I6675" s="22" t="n">
        <x:v>29.84</x:v>
      </x:c>
      <x:c r="J6675" s="24" t="n">
        <x:v>2</x:v>
      </x:c>
      <x:c r="K6675" s="26" t="n">
        <x:v>0</x:v>
      </x:c>
      <x:c r="L6675" s="22" t="n">
        <x:v>13.427999999999997</x:v>
      </x:c>
      <x:c r="M6675" t="n">
        <x:v>2017</x:v>
      </x:c>
      <x:c r="N6675" s="20" t="n">
        <x:v>42856</x:v>
      </x:c>
    </x:row>
    <x:row r="6676" ht="18" customHeight="1">
      <x:c r="A6676" t="str">
        <x:v>CA-2014-154837</x:v>
      </x:c>
      <x:c r="B6676" s="18" t="n">
        <x:v>41874</x:v>
      </x:c>
      <x:c r="C6676" t="str">
        <x:v>RB-19645</x:v>
      </x:c>
      <x:c r="D6676" t="str">
        <x:v>Robert Barroso</x:v>
      </x:c>
      <x:c r="E6676" t="str">
        <x:v>Corporate</x:v>
      </x:c>
      <x:c r="F6676" t="str">
        <x:v>West</x:v>
      </x:c>
      <x:c r="G6676" t="str">
        <x:v>Office Supplies</x:v>
      </x:c>
      <x:c r="H6676" t="str">
        <x:v>Binders</x:v>
      </x:c>
      <x:c r="I6676" s="22" t="n">
        <x:v>49.568000000000005</x:v>
      </x:c>
      <x:c r="J6676" s="24" t="n">
        <x:v>2</x:v>
      </x:c>
      <x:c r="K6676" s="26" t="n">
        <x:v>0.2</x:v>
      </x:c>
      <x:c r="L6676" s="22" t="n">
        <x:v>17.348799999999997</x:v>
      </x:c>
      <x:c r="M6676" t="n">
        <x:v>2014</x:v>
      </x:c>
      <x:c r="N6676" s="20" t="n">
        <x:v>41852</x:v>
      </x:c>
    </x:row>
    <x:row r="6677" ht="18" customHeight="1">
      <x:c r="A6677" t="str">
        <x:v>CA-2015-153794</x:v>
      </x:c>
      <x:c r="B6677" s="18" t="n">
        <x:v>42258</x:v>
      </x:c>
      <x:c r="C6677" t="str">
        <x:v>SB-20290</x:v>
      </x:c>
      <x:c r="D6677" t="str">
        <x:v>Sean Braxton</x:v>
      </x:c>
      <x:c r="E6677" t="str">
        <x:v>Corporate</x:v>
      </x:c>
      <x:c r="F6677" t="str">
        <x:v>West</x:v>
      </x:c>
      <x:c r="G6677" t="str">
        <x:v>Office Supplies</x:v>
      </x:c>
      <x:c r="H6677" t="str">
        <x:v>Art</x:v>
      </x:c>
      <x:c r="I6677" s="22" t="n">
        <x:v>265.85999999999996</x:v>
      </x:c>
      <x:c r="J6677" s="24" t="n">
        <x:v>7</x:v>
      </x:c>
      <x:c r="K6677" s="26" t="n">
        <x:v>0</x:v>
      </x:c>
      <x:c r="L6677" s="22" t="n">
        <x:v>79.75799999999997</x:v>
      </x:c>
      <x:c r="M6677" t="n">
        <x:v>2015</x:v>
      </x:c>
      <x:c r="N6677" s="20" t="n">
        <x:v>42248</x:v>
      </x:c>
    </x:row>
    <x:row r="6678" ht="18" customHeight="1">
      <x:c r="A6678" t="str">
        <x:v>CA-2015-135510</x:v>
      </x:c>
      <x:c r="B6678" s="18" t="n">
        <x:v>42252</x:v>
      </x:c>
      <x:c r="C6678" t="str">
        <x:v>TW-21025</x:v>
      </x:c>
      <x:c r="D6678" t="str">
        <x:v>Tamara Willingham</x:v>
      </x:c>
      <x:c r="E6678" t="str">
        <x:v>Home Office</x:v>
      </x:c>
      <x:c r="F6678" t="str">
        <x:v>South</x:v>
      </x:c>
      <x:c r="G6678" t="str">
        <x:v>Furniture</x:v>
      </x:c>
      <x:c r="H6678" t="str">
        <x:v>Furnishings</x:v>
      </x:c>
      <x:c r="I6678" s="22" t="n">
        <x:v>67.96</x:v>
      </x:c>
      <x:c r="J6678" s="24" t="n">
        <x:v>4</x:v>
      </x:c>
      <x:c r="K6678" s="26" t="n">
        <x:v>0</x:v>
      </x:c>
      <x:c r="L6678" s="22" t="n">
        <x:v>12.232799999999997</x:v>
      </x:c>
      <x:c r="M6678" t="n">
        <x:v>2015</x:v>
      </x:c>
      <x:c r="N6678" s="20" t="n">
        <x:v>42248</x:v>
      </x:c>
    </x:row>
    <x:row r="6679" ht="18" customHeight="1">
      <x:c r="A6679" t="str">
        <x:v>CA-2015-109337</x:v>
      </x:c>
      <x:c r="B6679" s="18" t="n">
        <x:v>42329</x:v>
      </x:c>
      <x:c r="C6679" t="str">
        <x:v>DL-13330</x:v>
      </x:c>
      <x:c r="D6679" t="str">
        <x:v>Denise Leinenbach</x:v>
      </x:c>
      <x:c r="E6679" t="str">
        <x:v>Consumer</x:v>
      </x:c>
      <x:c r="F6679" t="str">
        <x:v>Central</x:v>
      </x:c>
      <x:c r="G6679" t="str">
        <x:v>Office Supplies</x:v>
      </x:c>
      <x:c r="H6679" t="str">
        <x:v>Art</x:v>
      </x:c>
      <x:c r="I6679" s="22" t="n">
        <x:v>10.92</x:v>
      </x:c>
      <x:c r="J6679" s="24" t="n">
        <x:v>6</x:v>
      </x:c>
      <x:c r="K6679" s="26" t="n">
        <x:v>0</x:v>
      </x:c>
      <x:c r="L6679" s="22" t="n">
        <x:v>4.914</x:v>
      </x:c>
      <x:c r="M6679" t="n">
        <x:v>2015</x:v>
      </x:c>
      <x:c r="N6679" s="20" t="n">
        <x:v>42309</x:v>
      </x:c>
    </x:row>
    <x:row r="6680" ht="18" customHeight="1">
      <x:c r="A6680" t="str">
        <x:v>CA-2015-109337</x:v>
      </x:c>
      <x:c r="B6680" s="18" t="n">
        <x:v>42329</x:v>
      </x:c>
      <x:c r="C6680" t="str">
        <x:v>DL-13330</x:v>
      </x:c>
      <x:c r="D6680" t="str">
        <x:v>Denise Leinenbach</x:v>
      </x:c>
      <x:c r="E6680" t="str">
        <x:v>Consumer</x:v>
      </x:c>
      <x:c r="F6680" t="str">
        <x:v>Central</x:v>
      </x:c>
      <x:c r="G6680" t="str">
        <x:v>Technology</x:v>
      </x:c>
      <x:c r="H6680" t="str">
        <x:v>Machines</x:v>
      </x:c>
      <x:c r="I6680" s="22" t="n">
        <x:v>83.9</x:v>
      </x:c>
      <x:c r="J6680" s="24" t="n">
        <x:v>2</x:v>
      </x:c>
      <x:c r="K6680" s="26" t="n">
        <x:v>0</x:v>
      </x:c>
      <x:c r="L6680" s="22" t="n">
        <x:v>22.653000000000006</x:v>
      </x:c>
      <x:c r="M6680" t="n">
        <x:v>2015</x:v>
      </x:c>
      <x:c r="N6680" s="20" t="n">
        <x:v>42309</x:v>
      </x:c>
    </x:row>
    <x:row r="6681" ht="18" customHeight="1">
      <x:c r="A6681" t="str">
        <x:v>CA-2015-109337</x:v>
      </x:c>
      <x:c r="B6681" s="18" t="n">
        <x:v>42329</x:v>
      </x:c>
      <x:c r="C6681" t="str">
        <x:v>DL-13330</x:v>
      </x:c>
      <x:c r="D6681" t="str">
        <x:v>Denise Leinenbach</x:v>
      </x:c>
      <x:c r="E6681" t="str">
        <x:v>Consumer</x:v>
      </x:c>
      <x:c r="F6681" t="str">
        <x:v>Central</x:v>
      </x:c>
      <x:c r="G6681" t="str">
        <x:v>Office Supplies</x:v>
      </x:c>
      <x:c r="H6681" t="str">
        <x:v>Appliances</x:v>
      </x:c>
      <x:c r="I6681" s="22" t="n">
        <x:v>19.75</x:v>
      </x:c>
      <x:c r="J6681" s="24" t="n">
        <x:v>5</x:v>
      </x:c>
      <x:c r="K6681" s="26" t="n">
        <x:v>0</x:v>
      </x:c>
      <x:c r="L6681" s="22" t="n">
        <x:v>5.135000000000001</x:v>
      </x:c>
      <x:c r="M6681" t="n">
        <x:v>2015</x:v>
      </x:c>
      <x:c r="N6681" s="20" t="n">
        <x:v>42309</x:v>
      </x:c>
    </x:row>
    <x:row r="6682" ht="18" customHeight="1">
      <x:c r="A6682" t="str">
        <x:v>CA-2015-109337</x:v>
      </x:c>
      <x:c r="B6682" s="18" t="n">
        <x:v>42329</x:v>
      </x:c>
      <x:c r="C6682" t="str">
        <x:v>DL-13330</x:v>
      </x:c>
      <x:c r="D6682" t="str">
        <x:v>Denise Leinenbach</x:v>
      </x:c>
      <x:c r="E6682" t="str">
        <x:v>Consumer</x:v>
      </x:c>
      <x:c r="F6682" t="str">
        <x:v>Central</x:v>
      </x:c>
      <x:c r="G6682" t="str">
        <x:v>Technology</x:v>
      </x:c>
      <x:c r="H6682" t="str">
        <x:v>Accessories</x:v>
      </x:c>
      <x:c r="I6682" s="22" t="n">
        <x:v>393.54</x:v>
      </x:c>
      <x:c r="J6682" s="24" t="n">
        <x:v>3</x:v>
      </x:c>
      <x:c r="K6682" s="26" t="n">
        <x:v>0</x:v>
      </x:c>
      <x:c r="L6682" s="22" t="n">
        <x:v>165.28680000000003</x:v>
      </x:c>
      <x:c r="M6682" t="n">
        <x:v>2015</x:v>
      </x:c>
      <x:c r="N6682" s="20" t="n">
        <x:v>42309</x:v>
      </x:c>
    </x:row>
    <x:row r="6683" ht="18" customHeight="1">
      <x:c r="A6683" t="str">
        <x:v>CA-2014-150329</x:v>
      </x:c>
      <x:c r="B6683" s="18" t="n">
        <x:v>41922</x:v>
      </x:c>
      <x:c r="C6683" t="str">
        <x:v>SD-20485</x:v>
      </x:c>
      <x:c r="D6683" t="str">
        <x:v>Shirley Daniels</x:v>
      </x:c>
      <x:c r="E6683" t="str">
        <x:v>Home Office</x:v>
      </x:c>
      <x:c r="F6683" t="str">
        <x:v>West</x:v>
      </x:c>
      <x:c r="G6683" t="str">
        <x:v>Furniture</x:v>
      </x:c>
      <x:c r="H6683" t="str">
        <x:v>Furnishings</x:v>
      </x:c>
      <x:c r="I6683" s="22" t="n">
        <x:v>46.872</x:v>
      </x:c>
      <x:c r="J6683" s="24" t="n">
        <x:v>7</x:v>
      </x:c>
      <x:c r="K6683" s="26" t="n">
        <x:v>0.2</x:v>
      </x:c>
      <x:c r="L6683" s="22" t="n">
        <x:v>3.515399999999998</x:v>
      </x:c>
      <x:c r="M6683" t="n">
        <x:v>2014</x:v>
      </x:c>
      <x:c r="N6683" s="20" t="n">
        <x:v>41913</x:v>
      </x:c>
    </x:row>
    <x:row r="6684" ht="18" customHeight="1">
      <x:c r="A6684" t="str">
        <x:v>CA-2017-145037</x:v>
      </x:c>
      <x:c r="B6684" s="18" t="n">
        <x:v>42980</x:v>
      </x:c>
      <x:c r="C6684" t="str">
        <x:v>TB-21055</x:v>
      </x:c>
      <x:c r="D6684" t="str">
        <x:v>Ted Butterfield</x:v>
      </x:c>
      <x:c r="E6684" t="str">
        <x:v>Consumer</x:v>
      </x:c>
      <x:c r="F6684" t="str">
        <x:v>East</x:v>
      </x:c>
      <x:c r="G6684" t="str">
        <x:v>Office Supplies</x:v>
      </x:c>
      <x:c r="H6684" t="str">
        <x:v>Storage</x:v>
      </x:c>
      <x:c r="I6684" s="22" t="n">
        <x:v>10.9</x:v>
      </x:c>
      <x:c r="J6684" s="24" t="n">
        <x:v>1</x:v>
      </x:c>
      <x:c r="K6684" s="26" t="n">
        <x:v>0</x:v>
      </x:c>
      <x:c r="L6684" s="22" t="n">
        <x:v>2.8339999999999996</x:v>
      </x:c>
      <x:c r="M6684" t="n">
        <x:v>2017</x:v>
      </x:c>
      <x:c r="N6684" s="20" t="n">
        <x:v>42979</x:v>
      </x:c>
    </x:row>
    <x:row r="6685" ht="18" customHeight="1">
      <x:c r="A6685" t="str">
        <x:v>CA-2017-145037</x:v>
      </x:c>
      <x:c r="B6685" s="18" t="n">
        <x:v>42980</x:v>
      </x:c>
      <x:c r="C6685" t="str">
        <x:v>TB-21055</x:v>
      </x:c>
      <x:c r="D6685" t="str">
        <x:v>Ted Butterfield</x:v>
      </x:c>
      <x:c r="E6685" t="str">
        <x:v>Consumer</x:v>
      </x:c>
      <x:c r="F6685" t="str">
        <x:v>East</x:v>
      </x:c>
      <x:c r="G6685" t="str">
        <x:v>Office Supplies</x:v>
      </x:c>
      <x:c r="H6685" t="str">
        <x:v>Paper</x:v>
      </x:c>
      <x:c r="I6685" s="22" t="n">
        <x:v>79.92</x:v>
      </x:c>
      <x:c r="J6685" s="24" t="n">
        <x:v>4</x:v>
      </x:c>
      <x:c r="K6685" s="26" t="n">
        <x:v>0</x:v>
      </x:c>
      <x:c r="L6685" s="22" t="n">
        <x:v>37.5624</x:v>
      </x:c>
      <x:c r="M6685" t="n">
        <x:v>2017</x:v>
      </x:c>
      <x:c r="N6685" s="20" t="n">
        <x:v>42979</x:v>
      </x:c>
    </x:row>
    <x:row r="6686" ht="18" customHeight="1">
      <x:c r="A6686" t="str">
        <x:v>CA-2017-145037</x:v>
      </x:c>
      <x:c r="B6686" s="18" t="n">
        <x:v>42980</x:v>
      </x:c>
      <x:c r="C6686" t="str">
        <x:v>TB-21055</x:v>
      </x:c>
      <x:c r="D6686" t="str">
        <x:v>Ted Butterfield</x:v>
      </x:c>
      <x:c r="E6686" t="str">
        <x:v>Consumer</x:v>
      </x:c>
      <x:c r="F6686" t="str">
        <x:v>East</x:v>
      </x:c>
      <x:c r="G6686" t="str">
        <x:v>Office Supplies</x:v>
      </x:c>
      <x:c r="H6686" t="str">
        <x:v>Paper</x:v>
      </x:c>
      <x:c r="I6686" s="22" t="n">
        <x:v>146.82</x:v>
      </x:c>
      <x:c r="J6686" s="24" t="n">
        <x:v>3</x:v>
      </x:c>
      <x:c r="K6686" s="26" t="n">
        <x:v>0</x:v>
      </x:c>
      <x:c r="L6686" s="22" t="n">
        <x:v>73.41</x:v>
      </x:c>
      <x:c r="M6686" t="n">
        <x:v>2017</x:v>
      </x:c>
      <x:c r="N6686" s="20" t="n">
        <x:v>42979</x:v>
      </x:c>
    </x:row>
    <x:row r="6687" ht="18" customHeight="1">
      <x:c r="A6687" t="str">
        <x:v>CA-2017-154466</x:v>
      </x:c>
      <x:c r="B6687" s="18" t="n">
        <x:v>42736</x:v>
      </x:c>
      <x:c r="C6687" t="str">
        <x:v>DP-13390</x:v>
      </x:c>
      <x:c r="D6687" t="str">
        <x:v>Dennis Pardue</x:v>
      </x:c>
      <x:c r="E6687" t="str">
        <x:v>Home Office</x:v>
      </x:c>
      <x:c r="F6687" t="str">
        <x:v>Central</x:v>
      </x:c>
      <x:c r="G6687" t="str">
        <x:v>Office Supplies</x:v>
      </x:c>
      <x:c r="H6687" t="str">
        <x:v>Binders</x:v>
      </x:c>
      <x:c r="I6687" s="22" t="n">
        <x:v>3.6</x:v>
      </x:c>
      <x:c r="J6687" s="24" t="n">
        <x:v>2</x:v>
      </x:c>
      <x:c r="K6687" s="26" t="n">
        <x:v>0</x:v>
      </x:c>
      <x:c r="L6687" s="22" t="n">
        <x:v>1.728</x:v>
      </x:c>
      <x:c r="M6687" t="n">
        <x:v>2017</x:v>
      </x:c>
      <x:c r="N6687" s="20" t="n">
        <x:v>42736</x:v>
      </x:c>
    </x:row>
    <x:row r="6688" ht="18" customHeight="1">
      <x:c r="A6688" t="str">
        <x:v>CA-2014-109134</x:v>
      </x:c>
      <x:c r="B6688" s="18" t="n">
        <x:v>41948</x:v>
      </x:c>
      <x:c r="C6688" t="str">
        <x:v>DE-13255</x:v>
      </x:c>
      <x:c r="D6688" t="str">
        <x:v>Deanra Eno</x:v>
      </x:c>
      <x:c r="E6688" t="str">
        <x:v>Home Office</x:v>
      </x:c>
      <x:c r="F6688" t="str">
        <x:v>West</x:v>
      </x:c>
      <x:c r="G6688" t="str">
        <x:v>Furniture</x:v>
      </x:c>
      <x:c r="H6688" t="str">
        <x:v>Furnishings</x:v>
      </x:c>
      <x:c r="I6688" s="22" t="n">
        <x:v>20.04</x:v>
      </x:c>
      <x:c r="J6688" s="24" t="n">
        <x:v>6</x:v>
      </x:c>
      <x:c r="K6688" s="26" t="n">
        <x:v>0</x:v>
      </x:c>
      <x:c r="L6688" s="22" t="n">
        <x:v>8.817600000000002</x:v>
      </x:c>
      <x:c r="M6688" t="n">
        <x:v>2014</x:v>
      </x:c>
      <x:c r="N6688" s="20" t="n">
        <x:v>41944</x:v>
      </x:c>
    </x:row>
    <x:row r="6689" ht="18" customHeight="1">
      <x:c r="A6689" t="str">
        <x:v>US-2015-129637</x:v>
      </x:c>
      <x:c r="B6689" s="18" t="n">
        <x:v>42355</x:v>
      </x:c>
      <x:c r="C6689" t="str">
        <x:v>MC-18100</x:v>
      </x:c>
      <x:c r="D6689" t="str">
        <x:v>Mick Crebagga</x:v>
      </x:c>
      <x:c r="E6689" t="str">
        <x:v>Consumer</x:v>
      </x:c>
      <x:c r="F6689" t="str">
        <x:v>Central</x:v>
      </x:c>
      <x:c r="G6689" t="str">
        <x:v>Office Supplies</x:v>
      </x:c>
      <x:c r="H6689" t="str">
        <x:v>Storage</x:v>
      </x:c>
      <x:c r="I6689" s="22" t="n">
        <x:v>180.01600000000002</x:v>
      </x:c>
      <x:c r="J6689" s="24" t="n">
        <x:v>1</x:v>
      </x:c>
      <x:c r="K6689" s="26" t="n">
        <x:v>0.2</x:v>
      </x:c>
      <x:c r="L6689" s="22" t="n">
        <x:v>-15.751400000000004</x:v>
      </x:c>
      <x:c r="M6689" t="n">
        <x:v>2015</x:v>
      </x:c>
      <x:c r="N6689" s="20" t="n">
        <x:v>42339</x:v>
      </x:c>
    </x:row>
    <x:row r="6690" ht="18" customHeight="1">
      <x:c r="A6690" t="str">
        <x:v>US-2015-129637</x:v>
      </x:c>
      <x:c r="B6690" s="18" t="n">
        <x:v>42355</x:v>
      </x:c>
      <x:c r="C6690" t="str">
        <x:v>MC-18100</x:v>
      </x:c>
      <x:c r="D6690" t="str">
        <x:v>Mick Crebagga</x:v>
      </x:c>
      <x:c r="E6690" t="str">
        <x:v>Consumer</x:v>
      </x:c>
      <x:c r="F6690" t="str">
        <x:v>Central</x:v>
      </x:c>
      <x:c r="G6690" t="str">
        <x:v>Furniture</x:v>
      </x:c>
      <x:c r="H6690" t="str">
        <x:v>Furnishings</x:v>
      </x:c>
      <x:c r="I6690" s="22" t="n">
        <x:v>41.552</x:v>
      </x:c>
      <x:c r="J6690" s="24" t="n">
        <x:v>2</x:v>
      </x:c>
      <x:c r="K6690" s="26" t="n">
        <x:v>0.6</x:v>
      </x:c>
      <x:c r="L6690" s="22" t="n">
        <x:v>-19.737199999999994</x:v>
      </x:c>
      <x:c r="M6690" t="n">
        <x:v>2015</x:v>
      </x:c>
      <x:c r="N6690" s="20" t="n">
        <x:v>42339</x:v>
      </x:c>
    </x:row>
    <x:row r="6691" ht="18" customHeight="1">
      <x:c r="A6691" t="str">
        <x:v>US-2015-129637</x:v>
      </x:c>
      <x:c r="B6691" s="18" t="n">
        <x:v>42355</x:v>
      </x:c>
      <x:c r="C6691" t="str">
        <x:v>MC-18100</x:v>
      </x:c>
      <x:c r="D6691" t="str">
        <x:v>Mick Crebagga</x:v>
      </x:c>
      <x:c r="E6691" t="str">
        <x:v>Consumer</x:v>
      </x:c>
      <x:c r="F6691" t="str">
        <x:v>Central</x:v>
      </x:c>
      <x:c r="G6691" t="str">
        <x:v>Office Supplies</x:v>
      </x:c>
      <x:c r="H6691" t="str">
        <x:v>Art</x:v>
      </x:c>
      <x:c r="I6691" s="22" t="n">
        <x:v>13.120000000000001</x:v>
      </x:c>
      <x:c r="J6691" s="24" t="n">
        <x:v>5</x:v>
      </x:c>
      <x:c r="K6691" s="26" t="n">
        <x:v>0.2</x:v>
      </x:c>
      <x:c r="L6691" s="22" t="n">
        <x:v>1.4759999999999982</x:v>
      </x:c>
      <x:c r="M6691" t="n">
        <x:v>2015</x:v>
      </x:c>
      <x:c r="N6691" s="20" t="n">
        <x:v>42339</x:v>
      </x:c>
    </x:row>
    <x:row r="6692" ht="18" customHeight="1">
      <x:c r="A6692" t="str">
        <x:v>CA-2015-165162</x:v>
      </x:c>
      <x:c r="B6692" s="18" t="n">
        <x:v>42138</x:v>
      </x:c>
      <x:c r="C6692" t="str">
        <x:v>HG-15025</x:v>
      </x:c>
      <x:c r="D6692" t="str">
        <x:v>Hunter Glantz</x:v>
      </x:c>
      <x:c r="E6692" t="str">
        <x:v>Consumer</x:v>
      </x:c>
      <x:c r="F6692" t="str">
        <x:v>West</x:v>
      </x:c>
      <x:c r="G6692" t="str">
        <x:v>Office Supplies</x:v>
      </x:c>
      <x:c r="H6692" t="str">
        <x:v>Storage</x:v>
      </x:c>
      <x:c r="I6692" s="22" t="n">
        <x:v>1117.92</x:v>
      </x:c>
      <x:c r="J6692" s="24" t="n">
        <x:v>4</x:v>
      </x:c>
      <x:c r="K6692" s="26" t="n">
        <x:v>0</x:v>
      </x:c>
      <x:c r="L6692" s="22" t="n">
        <x:v>55.89599999999996</x:v>
      </x:c>
      <x:c r="M6692" t="n">
        <x:v>2015</x:v>
      </x:c>
      <x:c r="N6692" s="20" t="n">
        <x:v>42125</x:v>
      </x:c>
    </x:row>
    <x:row r="6693" ht="18" customHeight="1">
      <x:c r="A6693" t="str">
        <x:v>CA-2017-140494</x:v>
      </x:c>
      <x:c r="B6693" s="18" t="n">
        <x:v>42804</x:v>
      </x:c>
      <x:c r="C6693" t="str">
        <x:v>CM-11815</x:v>
      </x:c>
      <x:c r="D6693" t="str">
        <x:v>Candace McMahon</x:v>
      </x:c>
      <x:c r="E6693" t="str">
        <x:v>Corporate</x:v>
      </x:c>
      <x:c r="F6693" t="str">
        <x:v>West</x:v>
      </x:c>
      <x:c r="G6693" t="str">
        <x:v>Technology</x:v>
      </x:c>
      <x:c r="H6693" t="str">
        <x:v>Accessories</x:v>
      </x:c>
      <x:c r="I6693" s="22" t="n">
        <x:v>111.96</x:v>
      </x:c>
      <x:c r="J6693" s="24" t="n">
        <x:v>4</x:v>
      </x:c>
      <x:c r="K6693" s="26" t="n">
        <x:v>0</x:v>
      </x:c>
      <x:c r="L6693" s="22" t="n">
        <x:v>21.27239999999999</x:v>
      </x:c>
      <x:c r="M6693" t="n">
        <x:v>2017</x:v>
      </x:c>
      <x:c r="N6693" s="20" t="n">
        <x:v>42795</x:v>
      </x:c>
    </x:row>
    <x:row r="6694" ht="18" customHeight="1">
      <x:c r="A6694" t="str">
        <x:v>CA-2017-104108</x:v>
      </x:c>
      <x:c r="B6694" s="18" t="n">
        <x:v>43071</x:v>
      </x:c>
      <x:c r="C6694" t="str">
        <x:v>RP-19855</x:v>
      </x:c>
      <x:c r="D6694" t="str">
        <x:v>Roy Phan</x:v>
      </x:c>
      <x:c r="E6694" t="str">
        <x:v>Corporate</x:v>
      </x:c>
      <x:c r="F6694" t="str">
        <x:v>Central</x:v>
      </x:c>
      <x:c r="G6694" t="str">
        <x:v>Office Supplies</x:v>
      </x:c>
      <x:c r="H6694" t="str">
        <x:v>Art</x:v>
      </x:c>
      <x:c r="I6694" s="22" t="n">
        <x:v>12.160000000000002</x:v>
      </x:c>
      <x:c r="J6694" s="24" t="n">
        <x:v>5</x:v>
      </x:c>
      <x:c r="K6694" s="26" t="n">
        <x:v>0.2</x:v>
      </x:c>
      <x:c r="L6694" s="22" t="n">
        <x:v>2.127999999999999</x:v>
      </x:c>
      <x:c r="M6694" t="n">
        <x:v>2017</x:v>
      </x:c>
      <x:c r="N6694" s="20" t="n">
        <x:v>43070</x:v>
      </x:c>
    </x:row>
    <x:row r="6695" ht="18" customHeight="1">
      <x:c r="A6695" t="str">
        <x:v>US-2017-165869</x:v>
      </x:c>
      <x:c r="B6695" s="18" t="n">
        <x:v>42947</x:v>
      </x:c>
      <x:c r="C6695" t="str">
        <x:v>LS-17200</x:v>
      </x:c>
      <x:c r="D6695" t="str">
        <x:v>Luke Schmidt</x:v>
      </x:c>
      <x:c r="E6695" t="str">
        <x:v>Corporate</x:v>
      </x:c>
      <x:c r="F6695" t="str">
        <x:v>Central</x:v>
      </x:c>
      <x:c r="G6695" t="str">
        <x:v>Office Supplies</x:v>
      </x:c>
      <x:c r="H6695" t="str">
        <x:v>Binders</x:v>
      </x:c>
      <x:c r="I6695" s="22" t="n">
        <x:v>17.52</x:v>
      </x:c>
      <x:c r="J6695" s="24" t="n">
        <x:v>4</x:v>
      </x:c>
      <x:c r="K6695" s="26" t="n">
        <x:v>0</x:v>
      </x:c>
      <x:c r="L6695" s="22" t="n">
        <x:v>8.4096</x:v>
      </x:c>
      <x:c r="M6695" t="n">
        <x:v>2017</x:v>
      </x:c>
      <x:c r="N6695" s="20" t="n">
        <x:v>42917</x:v>
      </x:c>
    </x:row>
    <x:row r="6696" ht="18" customHeight="1">
      <x:c r="A6696" t="str">
        <x:v>US-2017-165869</x:v>
      </x:c>
      <x:c r="B6696" s="18" t="n">
        <x:v>42947</x:v>
      </x:c>
      <x:c r="C6696" t="str">
        <x:v>LS-17200</x:v>
      </x:c>
      <x:c r="D6696" t="str">
        <x:v>Luke Schmidt</x:v>
      </x:c>
      <x:c r="E6696" t="str">
        <x:v>Corporate</x:v>
      </x:c>
      <x:c r="F6696" t="str">
        <x:v>Central</x:v>
      </x:c>
      <x:c r="G6696" t="str">
        <x:v>Office Supplies</x:v>
      </x:c>
      <x:c r="H6696" t="str">
        <x:v>Appliances</x:v>
      </x:c>
      <x:c r="I6696" s="22" t="n">
        <x:v>155.88</x:v>
      </x:c>
      <x:c r="J6696" s="24" t="n">
        <x:v>6</x:v>
      </x:c>
      <x:c r="K6696" s="26" t="n">
        <x:v>0</x:v>
      </x:c>
      <x:c r="L6696" s="22" t="n">
        <x:v>54.558</x:v>
      </x:c>
      <x:c r="M6696" t="n">
        <x:v>2017</x:v>
      </x:c>
      <x:c r="N6696" s="20" t="n">
        <x:v>42917</x:v>
      </x:c>
    </x:row>
    <x:row r="6697" ht="18" customHeight="1">
      <x:c r="A6697" t="str">
        <x:v>CA-2017-160899</x:v>
      </x:c>
      <x:c r="B6697" s="18" t="n">
        <x:v>42958</x:v>
      </x:c>
      <x:c r="C6697" t="str">
        <x:v>DR-12940</x:v>
      </x:c>
      <x:c r="D6697" t="str">
        <x:v>Daniel Raglin</x:v>
      </x:c>
      <x:c r="E6697" t="str">
        <x:v>Home Office</x:v>
      </x:c>
      <x:c r="F6697" t="str">
        <x:v>South</x:v>
      </x:c>
      <x:c r="G6697" t="str">
        <x:v>Office Supplies</x:v>
      </x:c>
      <x:c r="H6697" t="str">
        <x:v>Binders</x:v>
      </x:c>
      <x:c r="I6697" s="22" t="n">
        <x:v>477.51</x:v>
      </x:c>
      <x:c r="J6697" s="24" t="n">
        <x:v>11</x:v>
      </x:c>
      <x:c r="K6697" s="26" t="n">
        <x:v>0</x:v>
      </x:c>
      <x:c r="L6697" s="22" t="n">
        <x:v>219.6546</x:v>
      </x:c>
      <x:c r="M6697" t="n">
        <x:v>2017</x:v>
      </x:c>
      <x:c r="N6697" s="20" t="n">
        <x:v>42948</x:v>
      </x:c>
    </x:row>
    <x:row r="6698" ht="18" customHeight="1">
      <x:c r="A6698" t="str">
        <x:v>CA-2017-144225</x:v>
      </x:c>
      <x:c r="B6698" s="18" t="n">
        <x:v>43008</x:v>
      </x:c>
      <x:c r="C6698" t="str">
        <x:v>CC-12475</x:v>
      </x:c>
      <x:c r="D6698" t="str">
        <x:v>Cindy Chapman</x:v>
      </x:c>
      <x:c r="E6698" t="str">
        <x:v>Consumer</x:v>
      </x:c>
      <x:c r="F6698" t="str">
        <x:v>East</x:v>
      </x:c>
      <x:c r="G6698" t="str">
        <x:v>Office Supplies</x:v>
      </x:c>
      <x:c r="H6698" t="str">
        <x:v>Paper</x:v>
      </x:c>
      <x:c r="I6698" s="22" t="n">
        <x:v>164.88</x:v>
      </x:c>
      <x:c r="J6698" s="24" t="n">
        <x:v>3</x:v>
      </x:c>
      <x:c r="K6698" s="26" t="n">
        <x:v>0</x:v>
      </x:c>
      <x:c r="L6698" s="22" t="n">
        <x:v>80.7912</x:v>
      </x:c>
      <x:c r="M6698" t="n">
        <x:v>2017</x:v>
      </x:c>
      <x:c r="N6698" s="20" t="n">
        <x:v>42979</x:v>
      </x:c>
    </x:row>
    <x:row r="6699" ht="18" customHeight="1">
      <x:c r="A6699" t="str">
        <x:v>US-2016-163538</x:v>
      </x:c>
      <x:c r="B6699" s="18" t="n">
        <x:v>42608</x:v>
      </x:c>
      <x:c r="C6699" t="str">
        <x:v>SS-20515</x:v>
      </x:c>
      <x:c r="D6699" t="str">
        <x:v>Shirley Schmidt</x:v>
      </x:c>
      <x:c r="E6699" t="str">
        <x:v>Home Office</x:v>
      </x:c>
      <x:c r="F6699" t="str">
        <x:v>Central</x:v>
      </x:c>
      <x:c r="G6699" t="str">
        <x:v>Technology</x:v>
      </x:c>
      <x:c r="H6699" t="str">
        <x:v>Accessories</x:v>
      </x:c>
      <x:c r="I6699" s="22" t="n">
        <x:v>47.97</x:v>
      </x:c>
      <x:c r="J6699" s="24" t="n">
        <x:v>3</x:v>
      </x:c>
      <x:c r="K6699" s="26" t="n">
        <x:v>0</x:v>
      </x:c>
      <x:c r="L6699" s="22" t="n">
        <x:v>14.870699999999998</x:v>
      </x:c>
      <x:c r="M6699" t="n">
        <x:v>2016</x:v>
      </x:c>
      <x:c r="N6699" s="20" t="n">
        <x:v>42583</x:v>
      </x:c>
    </x:row>
    <x:row r="6700" ht="18" customHeight="1">
      <x:c r="A6700" t="str">
        <x:v>US-2016-155103</x:v>
      </x:c>
      <x:c r="B6700" s="18" t="n">
        <x:v>42706</x:v>
      </x:c>
      <x:c r="C6700" t="str">
        <x:v>JF-15190</x:v>
      </x:c>
      <x:c r="D6700" t="str">
        <x:v>Jamie Frazer</x:v>
      </x:c>
      <x:c r="E6700" t="str">
        <x:v>Consumer</x:v>
      </x:c>
      <x:c r="F6700" t="str">
        <x:v>East</x:v>
      </x:c>
      <x:c r="G6700" t="str">
        <x:v>Office Supplies</x:v>
      </x:c>
      <x:c r="H6700" t="str">
        <x:v>Binders</x:v>
      </x:c>
      <x:c r="I6700" s="22" t="n">
        <x:v>415.17600000000004</x:v>
      </x:c>
      <x:c r="J6700" s="24" t="n">
        <x:v>3</x:v>
      </x:c>
      <x:c r="K6700" s="26" t="n">
        <x:v>0.2</x:v>
      </x:c>
      <x:c r="L6700" s="22" t="n">
        <x:v>134.9322</x:v>
      </x:c>
      <x:c r="M6700" t="n">
        <x:v>2016</x:v>
      </x:c>
      <x:c r="N6700" s="20" t="n">
        <x:v>42705</x:v>
      </x:c>
    </x:row>
    <x:row r="6701" ht="18" customHeight="1">
      <x:c r="A6701" t="str">
        <x:v>US-2016-155103</x:v>
      </x:c>
      <x:c r="B6701" s="18" t="n">
        <x:v>42706</x:v>
      </x:c>
      <x:c r="C6701" t="str">
        <x:v>JF-15190</x:v>
      </x:c>
      <x:c r="D6701" t="str">
        <x:v>Jamie Frazer</x:v>
      </x:c>
      <x:c r="E6701" t="str">
        <x:v>Consumer</x:v>
      </x:c>
      <x:c r="F6701" t="str">
        <x:v>East</x:v>
      </x:c>
      <x:c r="G6701" t="str">
        <x:v>Office Supplies</x:v>
      </x:c>
      <x:c r="H6701" t="str">
        <x:v>Binders</x:v>
      </x:c>
      <x:c r="I6701" s="22" t="n">
        <x:v>35.232</x:v>
      </x:c>
      <x:c r="J6701" s="24" t="n">
        <x:v>3</x:v>
      </x:c>
      <x:c r="K6701" s="26" t="n">
        <x:v>0.2</x:v>
      </x:c>
      <x:c r="L6701" s="22" t="n">
        <x:v>11.450399999999998</x:v>
      </x:c>
      <x:c r="M6701" t="n">
        <x:v>2016</x:v>
      </x:c>
      <x:c r="N6701" s="20" t="n">
        <x:v>42705</x:v>
      </x:c>
    </x:row>
    <x:row r="6702" ht="18" customHeight="1">
      <x:c r="A6702" t="str">
        <x:v>US-2016-155103</x:v>
      </x:c>
      <x:c r="B6702" s="18" t="n">
        <x:v>42706</x:v>
      </x:c>
      <x:c r="C6702" t="str">
        <x:v>JF-15190</x:v>
      </x:c>
      <x:c r="D6702" t="str">
        <x:v>Jamie Frazer</x:v>
      </x:c>
      <x:c r="E6702" t="str">
        <x:v>Consumer</x:v>
      </x:c>
      <x:c r="F6702" t="str">
        <x:v>East</x:v>
      </x:c>
      <x:c r="G6702" t="str">
        <x:v>Office Supplies</x:v>
      </x:c>
      <x:c r="H6702" t="str">
        <x:v>Paper</x:v>
      </x:c>
      <x:c r="I6702" s="22" t="n">
        <x:v>54.96</x:v>
      </x:c>
      <x:c r="J6702" s="24" t="n">
        <x:v>1</x:v>
      </x:c>
      <x:c r="K6702" s="26" t="n">
        <x:v>0</x:v>
      </x:c>
      <x:c r="L6702" s="22" t="n">
        <x:v>26.9304</x:v>
      </x:c>
      <x:c r="M6702" t="n">
        <x:v>2016</x:v>
      </x:c>
      <x:c r="N6702" s="20" t="n">
        <x:v>42705</x:v>
      </x:c>
    </x:row>
    <x:row r="6703" ht="18" customHeight="1">
      <x:c r="A6703" t="str">
        <x:v>CA-2017-145429</x:v>
      </x:c>
      <x:c r="B6703" s="18" t="n">
        <x:v>42937</x:v>
      </x:c>
      <x:c r="C6703" t="str">
        <x:v>SW-20455</x:v>
      </x:c>
      <x:c r="D6703" t="str">
        <x:v>Shaun Weien</x:v>
      </x:c>
      <x:c r="E6703" t="str">
        <x:v>Consumer</x:v>
      </x:c>
      <x:c r="F6703" t="str">
        <x:v>West</x:v>
      </x:c>
      <x:c r="G6703" t="str">
        <x:v>Office Supplies</x:v>
      </x:c>
      <x:c r="H6703" t="str">
        <x:v>Paper</x:v>
      </x:c>
      <x:c r="I6703" s="22" t="n">
        <x:v>16.34</x:v>
      </x:c>
      <x:c r="J6703" s="24" t="n">
        <x:v>2</x:v>
      </x:c>
      <x:c r="K6703" s="26" t="n">
        <x:v>0</x:v>
      </x:c>
      <x:c r="L6703" s="22" t="n">
        <x:v>7.6798</x:v>
      </x:c>
      <x:c r="M6703" t="n">
        <x:v>2017</x:v>
      </x:c>
      <x:c r="N6703" s="20" t="n">
        <x:v>42917</x:v>
      </x:c>
    </x:row>
    <x:row r="6704" ht="18" customHeight="1">
      <x:c r="A6704" t="str">
        <x:v>CA-2017-145429</x:v>
      </x:c>
      <x:c r="B6704" s="18" t="n">
        <x:v>42937</x:v>
      </x:c>
      <x:c r="C6704" t="str">
        <x:v>SW-20455</x:v>
      </x:c>
      <x:c r="D6704" t="str">
        <x:v>Shaun Weien</x:v>
      </x:c>
      <x:c r="E6704" t="str">
        <x:v>Consumer</x:v>
      </x:c>
      <x:c r="F6704" t="str">
        <x:v>West</x:v>
      </x:c>
      <x:c r="G6704" t="str">
        <x:v>Furniture</x:v>
      </x:c>
      <x:c r="H6704" t="str">
        <x:v>Chairs</x:v>
      </x:c>
      <x:c r="I6704" s="22" t="n">
        <x:v>225.29600000000002</x:v>
      </x:c>
      <x:c r="J6704" s="24" t="n">
        <x:v>2</x:v>
      </x:c>
      <x:c r="K6704" s="26" t="n">
        <x:v>0.2</x:v>
      </x:c>
      <x:c r="L6704" s="22" t="n">
        <x:v>22.529599999999995</x:v>
      </x:c>
      <x:c r="M6704" t="n">
        <x:v>2017</x:v>
      </x:c>
      <x:c r="N6704" s="20" t="n">
        <x:v>42917</x:v>
      </x:c>
    </x:row>
    <x:row r="6705" ht="18" customHeight="1">
      <x:c r="A6705" t="str">
        <x:v>CA-2017-145429</x:v>
      </x:c>
      <x:c r="B6705" s="18" t="n">
        <x:v>42937</x:v>
      </x:c>
      <x:c r="C6705" t="str">
        <x:v>SW-20455</x:v>
      </x:c>
      <x:c r="D6705" t="str">
        <x:v>Shaun Weien</x:v>
      </x:c>
      <x:c r="E6705" t="str">
        <x:v>Consumer</x:v>
      </x:c>
      <x:c r="F6705" t="str">
        <x:v>West</x:v>
      </x:c>
      <x:c r="G6705" t="str">
        <x:v>Office Supplies</x:v>
      </x:c>
      <x:c r="H6705" t="str">
        <x:v>Binders</x:v>
      </x:c>
      <x:c r="I6705" s="22" t="n">
        <x:v>50.352000000000004</x:v>
      </x:c>
      <x:c r="J6705" s="24" t="n">
        <x:v>3</x:v>
      </x:c>
      <x:c r="K6705" s="26" t="n">
        <x:v>0.2</x:v>
      </x:c>
      <x:c r="L6705" s="22" t="n">
        <x:v>17.623199999999997</x:v>
      </x:c>
      <x:c r="M6705" t="n">
        <x:v>2017</x:v>
      </x:c>
      <x:c r="N6705" s="20" t="n">
        <x:v>42917</x:v>
      </x:c>
    </x:row>
    <x:row r="6706" ht="18" customHeight="1">
      <x:c r="A6706" t="str">
        <x:v>CA-2015-153535</x:v>
      </x:c>
      <x:c r="B6706" s="18" t="n">
        <x:v>42144</x:v>
      </x:c>
      <x:c r="C6706" t="str">
        <x:v>SG-20470</x:v>
      </x:c>
      <x:c r="D6706" t="str">
        <x:v>Sheri Gordon</x:v>
      </x:c>
      <x:c r="E6706" t="str">
        <x:v>Consumer</x:v>
      </x:c>
      <x:c r="F6706" t="str">
        <x:v>South</x:v>
      </x:c>
      <x:c r="G6706" t="str">
        <x:v>Furniture</x:v>
      </x:c>
      <x:c r="H6706" t="str">
        <x:v>Furnishings</x:v>
      </x:c>
      <x:c r="I6706" s="22" t="n">
        <x:v>163.136</x:v>
      </x:c>
      <x:c r="J6706" s="24" t="n">
        <x:v>4</x:v>
      </x:c>
      <x:c r="K6706" s="26" t="n">
        <x:v>0.2</x:v>
      </x:c>
      <x:c r="L6706" s="22" t="n">
        <x:v>20.39199999999999</x:v>
      </x:c>
      <x:c r="M6706" t="n">
        <x:v>2015</x:v>
      </x:c>
      <x:c r="N6706" s="20" t="n">
        <x:v>42125</x:v>
      </x:c>
    </x:row>
    <x:row r="6707" ht="18" customHeight="1">
      <x:c r="A6707" t="str">
        <x:v>CA-2015-153535</x:v>
      </x:c>
      <x:c r="B6707" s="18" t="n">
        <x:v>42144</x:v>
      </x:c>
      <x:c r="C6707" t="str">
        <x:v>SG-20470</x:v>
      </x:c>
      <x:c r="D6707" t="str">
        <x:v>Sheri Gordon</x:v>
      </x:c>
      <x:c r="E6707" t="str">
        <x:v>Consumer</x:v>
      </x:c>
      <x:c r="F6707" t="str">
        <x:v>South</x:v>
      </x:c>
      <x:c r="G6707" t="str">
        <x:v>Office Supplies</x:v>
      </x:c>
      <x:c r="H6707" t="str">
        <x:v>Binders</x:v>
      </x:c>
      <x:c r="I6707" s="22" t="n">
        <x:v>6.408</x:v>
      </x:c>
      <x:c r="J6707" s="24" t="n">
        <x:v>4</x:v>
      </x:c>
      <x:c r="K6707" s="26" t="n">
        <x:v>0.7</x:v>
      </x:c>
      <x:c r="L6707" s="22" t="n">
        <x:v>-4.912799999999999</x:v>
      </x:c>
      <x:c r="M6707" t="n">
        <x:v>2015</x:v>
      </x:c>
      <x:c r="N6707" s="20" t="n">
        <x:v>42125</x:v>
      </x:c>
    </x:row>
    <x:row r="6708" ht="18" customHeight="1">
      <x:c r="A6708" t="str">
        <x:v>CA-2015-139164</x:v>
      </x:c>
      <x:c r="B6708" s="18" t="n">
        <x:v>42178</x:v>
      </x:c>
      <x:c r="C6708" t="str">
        <x:v>CS-12355</x:v>
      </x:c>
      <x:c r="D6708" t="str">
        <x:v>Christine Sundaresam</x:v>
      </x:c>
      <x:c r="E6708" t="str">
        <x:v>Consumer</x:v>
      </x:c>
      <x:c r="F6708" t="str">
        <x:v>West</x:v>
      </x:c>
      <x:c r="G6708" t="str">
        <x:v>Technology</x:v>
      </x:c>
      <x:c r="H6708" t="str">
        <x:v>Phones</x:v>
      </x:c>
      <x:c r="I6708" s="22" t="n">
        <x:v>217.58400000000003</x:v>
      </x:c>
      <x:c r="J6708" s="24" t="n">
        <x:v>2</x:v>
      </x:c>
      <x:c r="K6708" s="26" t="n">
        <x:v>0.2</x:v>
      </x:c>
      <x:c r="L6708" s="22" t="n">
        <x:v>19.03860000000001</x:v>
      </x:c>
      <x:c r="M6708" t="n">
        <x:v>2015</x:v>
      </x:c>
      <x:c r="N6708" s="20" t="n">
        <x:v>42156</x:v>
      </x:c>
    </x:row>
    <x:row r="6709" ht="18" customHeight="1">
      <x:c r="A6709" t="str">
        <x:v>CA-2015-139164</x:v>
      </x:c>
      <x:c r="B6709" s="18" t="n">
        <x:v>42178</x:v>
      </x:c>
      <x:c r="C6709" t="str">
        <x:v>CS-12355</x:v>
      </x:c>
      <x:c r="D6709" t="str">
        <x:v>Christine Sundaresam</x:v>
      </x:c>
      <x:c r="E6709" t="str">
        <x:v>Consumer</x:v>
      </x:c>
      <x:c r="F6709" t="str">
        <x:v>West</x:v>
      </x:c>
      <x:c r="G6709" t="str">
        <x:v>Office Supplies</x:v>
      </x:c>
      <x:c r="H6709" t="str">
        <x:v>Fasteners</x:v>
      </x:c>
      <x:c r="I6709" s="22" t="n">
        <x:v>5.43</x:v>
      </x:c>
      <x:c r="J6709" s="24" t="n">
        <x:v>3</x:v>
      </x:c>
      <x:c r="K6709" s="26" t="n">
        <x:v>0</x:v>
      </x:c>
      <x:c r="L6709" s="22" t="n">
        <x:v>1.7918999999999998</x:v>
      </x:c>
      <x:c r="M6709" t="n">
        <x:v>2015</x:v>
      </x:c>
      <x:c r="N6709" s="20" t="n">
        <x:v>42156</x:v>
      </x:c>
    </x:row>
    <x:row r="6710" ht="18" customHeight="1">
      <x:c r="A6710" t="str">
        <x:v>CA-2015-139164</x:v>
      </x:c>
      <x:c r="B6710" s="18" t="n">
        <x:v>42178</x:v>
      </x:c>
      <x:c r="C6710" t="str">
        <x:v>CS-12355</x:v>
      </x:c>
      <x:c r="D6710" t="str">
        <x:v>Christine Sundaresam</x:v>
      </x:c>
      <x:c r="E6710" t="str">
        <x:v>Consumer</x:v>
      </x:c>
      <x:c r="F6710" t="str">
        <x:v>West</x:v>
      </x:c>
      <x:c r="G6710" t="str">
        <x:v>Technology</x:v>
      </x:c>
      <x:c r="H6710" t="str">
        <x:v>Phones</x:v>
      </x:c>
      <x:c r="I6710" s="22" t="n">
        <x:v>143.976</x:v>
      </x:c>
      <x:c r="J6710" s="24" t="n">
        <x:v>3</x:v>
      </x:c>
      <x:c r="K6710" s="26" t="n">
        <x:v>0.2</x:v>
      </x:c>
      <x:c r="L6710" s="22" t="n">
        <x:v>8.998500000000007</x:v>
      </x:c>
      <x:c r="M6710" t="n">
        <x:v>2015</x:v>
      </x:c>
      <x:c r="N6710" s="20" t="n">
        <x:v>42156</x:v>
      </x:c>
    </x:row>
    <x:row r="6711" ht="18" customHeight="1">
      <x:c r="A6711" t="str">
        <x:v>CA-2016-112277</x:v>
      </x:c>
      <x:c r="B6711" s="18" t="n">
        <x:v>42623</x:v>
      </x:c>
      <x:c r="C6711" t="str">
        <x:v>SC-20695</x:v>
      </x:c>
      <x:c r="D6711" t="str">
        <x:v>Steve Chapman</x:v>
      </x:c>
      <x:c r="E6711" t="str">
        <x:v>Corporate</x:v>
      </x:c>
      <x:c r="F6711" t="str">
        <x:v>South</x:v>
      </x:c>
      <x:c r="G6711" t="str">
        <x:v>Technology</x:v>
      </x:c>
      <x:c r="H6711" t="str">
        <x:v>Phones</x:v>
      </x:c>
      <x:c r="I6711" s="22" t="n">
        <x:v>519.68</x:v>
      </x:c>
      <x:c r="J6711" s="24" t="n">
        <x:v>7</x:v>
      </x:c>
      <x:c r="K6711" s="26" t="n">
        <x:v>0.2</x:v>
      </x:c>
      <x:c r="L6711" s="22" t="n">
        <x:v>58.46399999999997</x:v>
      </x:c>
      <x:c r="M6711" t="n">
        <x:v>2016</x:v>
      </x:c>
      <x:c r="N6711" s="20" t="n">
        <x:v>42614</x:v>
      </x:c>
    </x:row>
    <x:row r="6712" ht="18" customHeight="1">
      <x:c r="A6712" t="str">
        <x:v>CA-2014-167724</x:v>
      </x:c>
      <x:c r="B6712" s="18" t="n">
        <x:v>41742</x:v>
      </x:c>
      <x:c r="C6712" t="str">
        <x:v>BF-11170</x:v>
      </x:c>
      <x:c r="D6712" t="str">
        <x:v>Ben Ferrer</x:v>
      </x:c>
      <x:c r="E6712" t="str">
        <x:v>Home Office</x:v>
      </x:c>
      <x:c r="F6712" t="str">
        <x:v>East</x:v>
      </x:c>
      <x:c r="G6712" t="str">
        <x:v>Office Supplies</x:v>
      </x:c>
      <x:c r="H6712" t="str">
        <x:v>Labels</x:v>
      </x:c>
      <x:c r="I6712" s="22" t="n">
        <x:v>7.83</x:v>
      </x:c>
      <x:c r="J6712" s="24" t="n">
        <x:v>3</x:v>
      </x:c>
      <x:c r="K6712" s="26" t="n">
        <x:v>0</x:v>
      </x:c>
      <x:c r="L6712" s="22" t="n">
        <x:v>3.6018</x:v>
      </x:c>
      <x:c r="M6712" t="n">
        <x:v>2014</x:v>
      </x:c>
      <x:c r="N6712" s="20" t="n">
        <x:v>41730</x:v>
      </x:c>
    </x:row>
    <x:row r="6713" ht="18" customHeight="1">
      <x:c r="A6713" t="str">
        <x:v>CA-2015-123141</x:v>
      </x:c>
      <x:c r="B6713" s="18" t="n">
        <x:v>42322</x:v>
      </x:c>
      <x:c r="C6713" t="str">
        <x:v>GZ-14470</x:v>
      </x:c>
      <x:c r="D6713" t="str">
        <x:v>Gary Zandusky</x:v>
      </x:c>
      <x:c r="E6713" t="str">
        <x:v>Consumer</x:v>
      </x:c>
      <x:c r="F6713" t="str">
        <x:v>West</x:v>
      </x:c>
      <x:c r="G6713" t="str">
        <x:v>Furniture</x:v>
      </x:c>
      <x:c r="H6713" t="str">
        <x:v>Chairs</x:v>
      </x:c>
      <x:c r="I6713" s="22" t="n">
        <x:v>883.84</x:v>
      </x:c>
      <x:c r="J6713" s="24" t="n">
        <x:v>4</x:v>
      </x:c>
      <x:c r="K6713" s="26" t="n">
        <x:v>0.2</x:v>
      </x:c>
      <x:c r="L6713" s="22" t="n">
        <x:v>99.43199999999993</x:v>
      </x:c>
      <x:c r="M6713" t="n">
        <x:v>2015</x:v>
      </x:c>
      <x:c r="N6713" s="20" t="n">
        <x:v>42309</x:v>
      </x:c>
    </x:row>
    <x:row r="6714" ht="18" customHeight="1">
      <x:c r="A6714" t="str">
        <x:v>CA-2015-123141</x:v>
      </x:c>
      <x:c r="B6714" s="18" t="n">
        <x:v>42322</x:v>
      </x:c>
      <x:c r="C6714" t="str">
        <x:v>GZ-14470</x:v>
      </x:c>
      <x:c r="D6714" t="str">
        <x:v>Gary Zandusky</x:v>
      </x:c>
      <x:c r="E6714" t="str">
        <x:v>Consumer</x:v>
      </x:c>
      <x:c r="F6714" t="str">
        <x:v>West</x:v>
      </x:c>
      <x:c r="G6714" t="str">
        <x:v>Furniture</x:v>
      </x:c>
      <x:c r="H6714" t="str">
        <x:v>Chairs</x:v>
      </x:c>
      <x:c r="I6714" s="22" t="n">
        <x:v>230.35200000000003</x:v>
      </x:c>
      <x:c r="J6714" s="24" t="n">
        <x:v>3</x:v>
      </x:c>
      <x:c r="K6714" s="26" t="n">
        <x:v>0.2</x:v>
      </x:c>
      <x:c r="L6714" s="22" t="n">
        <x:v>20.155800000000013</x:v>
      </x:c>
      <x:c r="M6714" t="n">
        <x:v>2015</x:v>
      </x:c>
      <x:c r="N6714" s="20" t="n">
        <x:v>42309</x:v>
      </x:c>
    </x:row>
    <x:row r="6715" ht="18" customHeight="1">
      <x:c r="A6715" t="str">
        <x:v>CA-2016-149503</x:v>
      </x:c>
      <x:c r="B6715" s="18" t="n">
        <x:v>42713</x:v>
      </x:c>
      <x:c r="C6715" t="str">
        <x:v>SP-20650</x:v>
      </x:c>
      <x:c r="D6715" t="str">
        <x:v>Stephanie Phelps</x:v>
      </x:c>
      <x:c r="E6715" t="str">
        <x:v>Corporate</x:v>
      </x:c>
      <x:c r="F6715" t="str">
        <x:v>West</x:v>
      </x:c>
      <x:c r="G6715" t="str">
        <x:v>Office Supplies</x:v>
      </x:c>
      <x:c r="H6715" t="str">
        <x:v>Binders</x:v>
      </x:c>
      <x:c r="I6715" s="22" t="n">
        <x:v>273.92</x:v>
      </x:c>
      <x:c r="J6715" s="24" t="n">
        <x:v>8</x:v>
      </x:c>
      <x:c r="K6715" s="26" t="n">
        <x:v>0.2</x:v>
      </x:c>
      <x:c r="L6715" s="22" t="n">
        <x:v>99.29599999999998</x:v>
      </x:c>
      <x:c r="M6715" t="n">
        <x:v>2016</x:v>
      </x:c>
      <x:c r="N6715" s="20" t="n">
        <x:v>42705</x:v>
      </x:c>
    </x:row>
    <x:row r="6716" ht="18" customHeight="1">
      <x:c r="A6716" t="str">
        <x:v>CA-2017-163069</x:v>
      </x:c>
      <x:c r="B6716" s="18" t="n">
        <x:v>42965</x:v>
      </x:c>
      <x:c r="C6716" t="str">
        <x:v>PJ-19015</x:v>
      </x:c>
      <x:c r="D6716" t="str">
        <x:v>Pauline Johnson</x:v>
      </x:c>
      <x:c r="E6716" t="str">
        <x:v>Consumer</x:v>
      </x:c>
      <x:c r="F6716" t="str">
        <x:v>East</x:v>
      </x:c>
      <x:c r="G6716" t="str">
        <x:v>Office Supplies</x:v>
      </x:c>
      <x:c r="H6716" t="str">
        <x:v>Art</x:v>
      </x:c>
      <x:c r="I6716" s="22" t="n">
        <x:v>9.912</x:v>
      </x:c>
      <x:c r="J6716" s="24" t="n">
        <x:v>3</x:v>
      </x:c>
      <x:c r="K6716" s="26" t="n">
        <x:v>0.2</x:v>
      </x:c>
      <x:c r="L6716" s="22" t="n">
        <x:v>1.2389999999999994</x:v>
      </x:c>
      <x:c r="M6716" t="n">
        <x:v>2017</x:v>
      </x:c>
      <x:c r="N6716" s="20" t="n">
        <x:v>42948</x:v>
      </x:c>
    </x:row>
    <x:row r="6717" ht="18" customHeight="1">
      <x:c r="A6717" t="str">
        <x:v>CA-2017-107629</x:v>
      </x:c>
      <x:c r="B6717" s="18" t="n">
        <x:v>43083</x:v>
      </x:c>
      <x:c r="C6717" t="str">
        <x:v>DB-13060</x:v>
      </x:c>
      <x:c r="D6717" t="str">
        <x:v>Dave Brooks</x:v>
      </x:c>
      <x:c r="E6717" t="str">
        <x:v>Consumer</x:v>
      </x:c>
      <x:c r="F6717" t="str">
        <x:v>Central</x:v>
      </x:c>
      <x:c r="G6717" t="str">
        <x:v>Furniture</x:v>
      </x:c>
      <x:c r="H6717" t="str">
        <x:v>Furnishings</x:v>
      </x:c>
      <x:c r="I6717" s="22" t="n">
        <x:v>266.35200000000003</x:v>
      </x:c>
      <x:c r="J6717" s="24" t="n">
        <x:v>6</x:v>
      </x:c>
      <x:c r="K6717" s="26" t="n">
        <x:v>0.6</x:v>
      </x:c>
      <x:c r="L6717" s="22" t="n">
        <x:v>-292.9872</x:v>
      </x:c>
      <x:c r="M6717" t="n">
        <x:v>2017</x:v>
      </x:c>
      <x:c r="N6717" s="20" t="n">
        <x:v>43070</x:v>
      </x:c>
    </x:row>
    <x:row r="6718" ht="18" customHeight="1">
      <x:c r="A6718" t="str">
        <x:v>CA-2017-107629</x:v>
      </x:c>
      <x:c r="B6718" s="18" t="n">
        <x:v>43083</x:v>
      </x:c>
      <x:c r="C6718" t="str">
        <x:v>DB-13060</x:v>
      </x:c>
      <x:c r="D6718" t="str">
        <x:v>Dave Brooks</x:v>
      </x:c>
      <x:c r="E6718" t="str">
        <x:v>Consumer</x:v>
      </x:c>
      <x:c r="F6718" t="str">
        <x:v>Central</x:v>
      </x:c>
      <x:c r="G6718" t="str">
        <x:v>Furniture</x:v>
      </x:c>
      <x:c r="H6718" t="str">
        <x:v>Furnishings</x:v>
      </x:c>
      <x:c r="I6718" s="22" t="n">
        <x:v>56.328</x:v>
      </x:c>
      <x:c r="J6718" s="24" t="n">
        <x:v>3</x:v>
      </x:c>
      <x:c r="K6718" s="26" t="n">
        <x:v>0.6</x:v>
      </x:c>
      <x:c r="L6718" s="22" t="n">
        <x:v>-26.755799999999994</x:v>
      </x:c>
      <x:c r="M6718" t="n">
        <x:v>2017</x:v>
      </x:c>
      <x:c r="N6718" s="20" t="n">
        <x:v>43070</x:v>
      </x:c>
    </x:row>
    <x:row r="6719" ht="18" customHeight="1">
      <x:c r="A6719" t="str">
        <x:v>CA-2017-107629</x:v>
      </x:c>
      <x:c r="B6719" s="18" t="n">
        <x:v>43083</x:v>
      </x:c>
      <x:c r="C6719" t="str">
        <x:v>DB-13060</x:v>
      </x:c>
      <x:c r="D6719" t="str">
        <x:v>Dave Brooks</x:v>
      </x:c>
      <x:c r="E6719" t="str">
        <x:v>Consumer</x:v>
      </x:c>
      <x:c r="F6719" t="str">
        <x:v>Central</x:v>
      </x:c>
      <x:c r="G6719" t="str">
        <x:v>Technology</x:v>
      </x:c>
      <x:c r="H6719" t="str">
        <x:v>Accessories</x:v>
      </x:c>
      <x:c r="I6719" s="22" t="n">
        <x:v>39.264</x:v>
      </x:c>
      <x:c r="J6719" s="24" t="n">
        <x:v>3</x:v>
      </x:c>
      <x:c r="K6719" s="26" t="n">
        <x:v>0.2</x:v>
      </x:c>
      <x:c r="L6719" s="22" t="n">
        <x:v>-4.908000000000003</x:v>
      </x:c>
      <x:c r="M6719" t="n">
        <x:v>2017</x:v>
      </x:c>
      <x:c r="N6719" s="20" t="n">
        <x:v>43070</x:v>
      </x:c>
    </x:row>
    <x:row r="6720" ht="18" customHeight="1">
      <x:c r="A6720" t="str">
        <x:v>CA-2017-107629</x:v>
      </x:c>
      <x:c r="B6720" s="18" t="n">
        <x:v>43083</x:v>
      </x:c>
      <x:c r="C6720" t="str">
        <x:v>DB-13060</x:v>
      </x:c>
      <x:c r="D6720" t="str">
        <x:v>Dave Brooks</x:v>
      </x:c>
      <x:c r="E6720" t="str">
        <x:v>Consumer</x:v>
      </x:c>
      <x:c r="F6720" t="str">
        <x:v>Central</x:v>
      </x:c>
      <x:c r="G6720" t="str">
        <x:v>Office Supplies</x:v>
      </x:c>
      <x:c r="H6720" t="str">
        <x:v>Art</x:v>
      </x:c>
      <x:c r="I6720" s="22" t="n">
        <x:v>95.232</x:v>
      </x:c>
      <x:c r="J6720" s="24" t="n">
        <x:v>6</x:v>
      </x:c>
      <x:c r="K6720" s="26" t="n">
        <x:v>0.2</x:v>
      </x:c>
      <x:c r="L6720" s="22" t="n">
        <x:v>24.99840000000001</x:v>
      </x:c>
      <x:c r="M6720" t="n">
        <x:v>2017</x:v>
      </x:c>
      <x:c r="N6720" s="20" t="n">
        <x:v>43070</x:v>
      </x:c>
    </x:row>
    <x:row r="6721" ht="18" customHeight="1">
      <x:c r="A6721" t="str">
        <x:v>CA-2016-134789</x:v>
      </x:c>
      <x:c r="B6721" s="18" t="n">
        <x:v>42468</x:v>
      </x:c>
      <x:c r="C6721" t="str">
        <x:v>CK-12325</x:v>
      </x:c>
      <x:c r="D6721" t="str">
        <x:v>Christine Kargatis</x:v>
      </x:c>
      <x:c r="E6721" t="str">
        <x:v>Home Office</x:v>
      </x:c>
      <x:c r="F6721" t="str">
        <x:v>South</x:v>
      </x:c>
      <x:c r="G6721" t="str">
        <x:v>Office Supplies</x:v>
      </x:c>
      <x:c r="H6721" t="str">
        <x:v>Fasteners</x:v>
      </x:c>
      <x:c r="I6721" s="22" t="n">
        <x:v>30</x:v>
      </x:c>
      <x:c r="J6721" s="24" t="n">
        <x:v>6</x:v>
      </x:c>
      <x:c r="K6721" s="26" t="n">
        <x:v>0</x:v>
      </x:c>
      <x:c r="L6721" s="22" t="n">
        <x:v>14.399999999999999</x:v>
      </x:c>
      <x:c r="M6721" t="n">
        <x:v>2016</x:v>
      </x:c>
      <x:c r="N6721" s="20" t="n">
        <x:v>42461</x:v>
      </x:c>
    </x:row>
    <x:row r="6722" ht="18" customHeight="1">
      <x:c r="A6722" t="str">
        <x:v>CA-2016-134789</x:v>
      </x:c>
      <x:c r="B6722" s="18" t="n">
        <x:v>42468</x:v>
      </x:c>
      <x:c r="C6722" t="str">
        <x:v>CK-12325</x:v>
      </x:c>
      <x:c r="D6722" t="str">
        <x:v>Christine Kargatis</x:v>
      </x:c>
      <x:c r="E6722" t="str">
        <x:v>Home Office</x:v>
      </x:c>
      <x:c r="F6722" t="str">
        <x:v>South</x:v>
      </x:c>
      <x:c r="G6722" t="str">
        <x:v>Office Supplies</x:v>
      </x:c>
      <x:c r="H6722" t="str">
        <x:v>Paper</x:v>
      </x:c>
      <x:c r="I6722" s="22" t="n">
        <x:v>25.92</x:v>
      </x:c>
      <x:c r="J6722" s="24" t="n">
        <x:v>4</x:v>
      </x:c>
      <x:c r="K6722" s="26" t="n">
        <x:v>0</x:v>
      </x:c>
      <x:c r="L6722" s="22" t="n">
        <x:v>12.700800000000001</x:v>
      </x:c>
      <x:c r="M6722" t="n">
        <x:v>2016</x:v>
      </x:c>
      <x:c r="N6722" s="20" t="n">
        <x:v>42461</x:v>
      </x:c>
    </x:row>
    <x:row r="6723" ht="18" customHeight="1">
      <x:c r="A6723" t="str">
        <x:v>CA-2016-134789</x:v>
      </x:c>
      <x:c r="B6723" s="18" t="n">
        <x:v>42468</x:v>
      </x:c>
      <x:c r="C6723" t="str">
        <x:v>CK-12325</x:v>
      </x:c>
      <x:c r="D6723" t="str">
        <x:v>Christine Kargatis</x:v>
      </x:c>
      <x:c r="E6723" t="str">
        <x:v>Home Office</x:v>
      </x:c>
      <x:c r="F6723" t="str">
        <x:v>South</x:v>
      </x:c>
      <x:c r="G6723" t="str">
        <x:v>Furniture</x:v>
      </x:c>
      <x:c r="H6723" t="str">
        <x:v>Furnishings</x:v>
      </x:c>
      <x:c r="I6723" s="22" t="n">
        <x:v>159.92</x:v>
      </x:c>
      <x:c r="J6723" s="24" t="n">
        <x:v>4</x:v>
      </x:c>
      <x:c r="K6723" s="26" t="n">
        <x:v>0</x:v>
      </x:c>
      <x:c r="L6723" s="22" t="n">
        <x:v>31.983999999999995</x:v>
      </x:c>
      <x:c r="M6723" t="n">
        <x:v>2016</x:v>
      </x:c>
      <x:c r="N6723" s="20" t="n">
        <x:v>42461</x:v>
      </x:c>
    </x:row>
    <x:row r="6724" ht="18" customHeight="1">
      <x:c r="A6724" t="str">
        <x:v>CA-2016-130442</x:v>
      </x:c>
      <x:c r="B6724" s="18" t="n">
        <x:v>42720</x:v>
      </x:c>
      <x:c r="C6724" t="str">
        <x:v>SF-20065</x:v>
      </x:c>
      <x:c r="D6724" t="str">
        <x:v>Sandra Flanagan</x:v>
      </x:c>
      <x:c r="E6724" t="str">
        <x:v>Consumer</x:v>
      </x:c>
      <x:c r="F6724" t="str">
        <x:v>South</x:v>
      </x:c>
      <x:c r="G6724" t="str">
        <x:v>Office Supplies</x:v>
      </x:c>
      <x:c r="H6724" t="str">
        <x:v>Appliances</x:v>
      </x:c>
      <x:c r="I6724" s="22" t="n">
        <x:v>34.944</x:v>
      </x:c>
      <x:c r="J6724" s="24" t="n">
        <x:v>3</x:v>
      </x:c>
      <x:c r="K6724" s="26" t="n">
        <x:v>0.2</x:v>
      </x:c>
      <x:c r="L6724" s="22" t="n">
        <x:v>3.0576000000000008</x:v>
      </x:c>
      <x:c r="M6724" t="n">
        <x:v>2016</x:v>
      </x:c>
      <x:c r="N6724" s="20" t="n">
        <x:v>42705</x:v>
      </x:c>
    </x:row>
    <x:row r="6725" ht="18" customHeight="1">
      <x:c r="A6725" t="str">
        <x:v>CA-2017-102974</x:v>
      </x:c>
      <x:c r="B6725" s="18" t="n">
        <x:v>42997</x:v>
      </x:c>
      <x:c r="C6725" t="str">
        <x:v>DP-13105</x:v>
      </x:c>
      <x:c r="D6725" t="str">
        <x:v>Dave Poirier</x:v>
      </x:c>
      <x:c r="E6725" t="str">
        <x:v>Corporate</x:v>
      </x:c>
      <x:c r="F6725" t="str">
        <x:v>West</x:v>
      </x:c>
      <x:c r="G6725" t="str">
        <x:v>Technology</x:v>
      </x:c>
      <x:c r="H6725" t="str">
        <x:v>Accessories</x:v>
      </x:c>
      <x:c r="I6725" s="22" t="n">
        <x:v>149.95</x:v>
      </x:c>
      <x:c r="J6725" s="24" t="n">
        <x:v>5</x:v>
      </x:c>
      <x:c r="K6725" s="26" t="n">
        <x:v>0</x:v>
      </x:c>
      <x:c r="L6725" s="22" t="n">
        <x:v>31.489499999999992</x:v>
      </x:c>
      <x:c r="M6725" t="n">
        <x:v>2017</x:v>
      </x:c>
      <x:c r="N6725" s="20" t="n">
        <x:v>42979</x:v>
      </x:c>
    </x:row>
    <x:row r="6726" ht="18" customHeight="1">
      <x:c r="A6726" t="str">
        <x:v>CA-2017-102974</x:v>
      </x:c>
      <x:c r="B6726" s="18" t="n">
        <x:v>42997</x:v>
      </x:c>
      <x:c r="C6726" t="str">
        <x:v>DP-13105</x:v>
      </x:c>
      <x:c r="D6726" t="str">
        <x:v>Dave Poirier</x:v>
      </x:c>
      <x:c r="E6726" t="str">
        <x:v>Corporate</x:v>
      </x:c>
      <x:c r="F6726" t="str">
        <x:v>West</x:v>
      </x:c>
      <x:c r="G6726" t="str">
        <x:v>Office Supplies</x:v>
      </x:c>
      <x:c r="H6726" t="str">
        <x:v>Art</x:v>
      </x:c>
      <x:c r="I6726" s="22" t="n">
        <x:v>23.32</x:v>
      </x:c>
      <x:c r="J6726" s="24" t="n">
        <x:v>2</x:v>
      </x:c>
      <x:c r="K6726" s="26" t="n">
        <x:v>0</x:v>
      </x:c>
      <x:c r="L6726" s="22" t="n">
        <x:v>6.063200000000002</x:v>
      </x:c>
      <x:c r="M6726" t="n">
        <x:v>2017</x:v>
      </x:c>
      <x:c r="N6726" s="20" t="n">
        <x:v>42979</x:v>
      </x:c>
    </x:row>
    <x:row r="6727" ht="18" customHeight="1">
      <x:c r="A6727" t="str">
        <x:v>CA-2017-102974</x:v>
      </x:c>
      <x:c r="B6727" s="18" t="n">
        <x:v>42997</x:v>
      </x:c>
      <x:c r="C6727" t="str">
        <x:v>DP-13105</x:v>
      </x:c>
      <x:c r="D6727" t="str">
        <x:v>Dave Poirier</x:v>
      </x:c>
      <x:c r="E6727" t="str">
        <x:v>Corporate</x:v>
      </x:c>
      <x:c r="F6727" t="str">
        <x:v>West</x:v>
      </x:c>
      <x:c r="G6727" t="str">
        <x:v>Office Supplies</x:v>
      </x:c>
      <x:c r="H6727" t="str">
        <x:v>Art</x:v>
      </x:c>
      <x:c r="I6727" s="22" t="n">
        <x:v>16.740000000000002</x:v>
      </x:c>
      <x:c r="J6727" s="24" t="n">
        <x:v>3</x:v>
      </x:c>
      <x:c r="K6727" s="26" t="n">
        <x:v>0</x:v>
      </x:c>
      <x:c r="L6727" s="22" t="n">
        <x:v>4.854599999999998</x:v>
      </x:c>
      <x:c r="M6727" t="n">
        <x:v>2017</x:v>
      </x:c>
      <x:c r="N6727" s="20" t="n">
        <x:v>42979</x:v>
      </x:c>
    </x:row>
    <x:row r="6728" ht="18" customHeight="1">
      <x:c r="A6728" t="str">
        <x:v>US-2017-166394</x:v>
      </x:c>
      <x:c r="B6728" s="18" t="n">
        <x:v>42982</x:v>
      </x:c>
      <x:c r="C6728" t="str">
        <x:v>VM-21835</x:v>
      </x:c>
      <x:c r="D6728" t="str">
        <x:v>Vivian Mathis</x:v>
      </x:c>
      <x:c r="E6728" t="str">
        <x:v>Consumer</x:v>
      </x:c>
      <x:c r="F6728" t="str">
        <x:v>East</x:v>
      </x:c>
      <x:c r="G6728" t="str">
        <x:v>Office Supplies</x:v>
      </x:c>
      <x:c r="H6728" t="str">
        <x:v>Fasteners</x:v>
      </x:c>
      <x:c r="I6728" s="22" t="n">
        <x:v>14.82</x:v>
      </x:c>
      <x:c r="J6728" s="24" t="n">
        <x:v>6</x:v>
      </x:c>
      <x:c r="K6728" s="26" t="n">
        <x:v>0</x:v>
      </x:c>
      <x:c r="L6728" s="22" t="n">
        <x:v>6.965400000000001</x:v>
      </x:c>
      <x:c r="M6728" t="n">
        <x:v>2017</x:v>
      </x:c>
      <x:c r="N6728" s="20" t="n">
        <x:v>42979</x:v>
      </x:c>
    </x:row>
    <x:row r="6729" ht="18" customHeight="1">
      <x:c r="A6729" t="str">
        <x:v>CA-2016-128811</x:v>
      </x:c>
      <x:c r="B6729" s="18" t="n">
        <x:v>42625</x:v>
      </x:c>
      <x:c r="C6729" t="str">
        <x:v>SF-20200</x:v>
      </x:c>
      <x:c r="D6729" t="str">
        <x:v>Sarah Foster</x:v>
      </x:c>
      <x:c r="E6729" t="str">
        <x:v>Consumer</x:v>
      </x:c>
      <x:c r="F6729" t="str">
        <x:v>West</x:v>
      </x:c>
      <x:c r="G6729" t="str">
        <x:v>Office Supplies</x:v>
      </x:c>
      <x:c r="H6729" t="str">
        <x:v>Fasteners</x:v>
      </x:c>
      <x:c r="I6729" s="22" t="n">
        <x:v>10.47</x:v>
      </x:c>
      <x:c r="J6729" s="24" t="n">
        <x:v>3</x:v>
      </x:c>
      <x:c r="K6729" s="26" t="n">
        <x:v>0</x:v>
      </x:c>
      <x:c r="L6729" s="22" t="n">
        <x:v>4.8162</x:v>
      </x:c>
      <x:c r="M6729" t="n">
        <x:v>2016</x:v>
      </x:c>
      <x:c r="N6729" s="20" t="n">
        <x:v>42614</x:v>
      </x:c>
    </x:row>
    <x:row r="6730" ht="18" customHeight="1">
      <x:c r="A6730" t="str">
        <x:v>CA-2016-128811</x:v>
      </x:c>
      <x:c r="B6730" s="18" t="n">
        <x:v>42625</x:v>
      </x:c>
      <x:c r="C6730" t="str">
        <x:v>SF-20200</x:v>
      </x:c>
      <x:c r="D6730" t="str">
        <x:v>Sarah Foster</x:v>
      </x:c>
      <x:c r="E6730" t="str">
        <x:v>Consumer</x:v>
      </x:c>
      <x:c r="F6730" t="str">
        <x:v>West</x:v>
      </x:c>
      <x:c r="G6730" t="str">
        <x:v>Office Supplies</x:v>
      </x:c>
      <x:c r="H6730" t="str">
        <x:v>Labels</x:v>
      </x:c>
      <x:c r="I6730" s="22" t="n">
        <x:v>11.07</x:v>
      </x:c>
      <x:c r="J6730" s="24" t="n">
        <x:v>3</x:v>
      </x:c>
      <x:c r="K6730" s="26" t="n">
        <x:v>0</x:v>
      </x:c>
      <x:c r="L6730" s="22" t="n">
        <x:v>5.2029</x:v>
      </x:c>
      <x:c r="M6730" t="n">
        <x:v>2016</x:v>
      </x:c>
      <x:c r="N6730" s="20" t="n">
        <x:v>42614</x:v>
      </x:c>
    </x:row>
    <x:row r="6731" ht="18" customHeight="1">
      <x:c r="A6731" t="str">
        <x:v>CA-2016-128811</x:v>
      </x:c>
      <x:c r="B6731" s="18" t="n">
        <x:v>42625</x:v>
      </x:c>
      <x:c r="C6731" t="str">
        <x:v>SF-20200</x:v>
      </x:c>
      <x:c r="D6731" t="str">
        <x:v>Sarah Foster</x:v>
      </x:c>
      <x:c r="E6731" t="str">
        <x:v>Consumer</x:v>
      </x:c>
      <x:c r="F6731" t="str">
        <x:v>West</x:v>
      </x:c>
      <x:c r="G6731" t="str">
        <x:v>Office Supplies</x:v>
      </x:c>
      <x:c r="H6731" t="str">
        <x:v>Binders</x:v>
      </x:c>
      <x:c r="I6731" s="22" t="n">
        <x:v>20.704</x:v>
      </x:c>
      <x:c r="J6731" s="24" t="n">
        <x:v>4</x:v>
      </x:c>
      <x:c r="K6731" s="26" t="n">
        <x:v>0.2</x:v>
      </x:c>
      <x:c r="L6731" s="22" t="n">
        <x:v>7.763999999999999</x:v>
      </x:c>
      <x:c r="M6731" t="n">
        <x:v>2016</x:v>
      </x:c>
      <x:c r="N6731" s="20" t="n">
        <x:v>42614</x:v>
      </x:c>
    </x:row>
    <x:row r="6732" ht="18" customHeight="1">
      <x:c r="A6732" t="str">
        <x:v>CA-2017-145443</x:v>
      </x:c>
      <x:c r="B6732" s="18" t="n">
        <x:v>42957</x:v>
      </x:c>
      <x:c r="C6732" t="str">
        <x:v>SC-20695</x:v>
      </x:c>
      <x:c r="D6732" t="str">
        <x:v>Steve Chapman</x:v>
      </x:c>
      <x:c r="E6732" t="str">
        <x:v>Corporate</x:v>
      </x:c>
      <x:c r="F6732" t="str">
        <x:v>Central</x:v>
      </x:c>
      <x:c r="G6732" t="str">
        <x:v>Office Supplies</x:v>
      </x:c>
      <x:c r="H6732" t="str">
        <x:v>Paper</x:v>
      </x:c>
      <x:c r="I6732" s="22" t="n">
        <x:v>177.2</x:v>
      </x:c>
      <x:c r="J6732" s="24" t="n">
        <x:v>5</x:v>
      </x:c>
      <x:c r="K6732" s="26" t="n">
        <x:v>0</x:v>
      </x:c>
      <x:c r="L6732" s="22" t="n">
        <x:v>83.28399999999999</x:v>
      </x:c>
      <x:c r="M6732" t="n">
        <x:v>2017</x:v>
      </x:c>
      <x:c r="N6732" s="20" t="n">
        <x:v>42948</x:v>
      </x:c>
    </x:row>
    <x:row r="6733" ht="18" customHeight="1">
      <x:c r="A6733" t="str">
        <x:v>CA-2016-165827</x:v>
      </x:c>
      <x:c r="B6733" s="18" t="n">
        <x:v>42678</x:v>
      </x:c>
      <x:c r="C6733" t="str">
        <x:v>MF-17665</x:v>
      </x:c>
      <x:c r="D6733" t="str">
        <x:v>Maureen Fritzler</x:v>
      </x:c>
      <x:c r="E6733" t="str">
        <x:v>Corporate</x:v>
      </x:c>
      <x:c r="F6733" t="str">
        <x:v>South</x:v>
      </x:c>
      <x:c r="G6733" t="str">
        <x:v>Furniture</x:v>
      </x:c>
      <x:c r="H6733" t="str">
        <x:v>Furnishings</x:v>
      </x:c>
      <x:c r="I6733" s="22" t="n">
        <x:v>50.496</x:v>
      </x:c>
      <x:c r="J6733" s="24" t="n">
        <x:v>6</x:v>
      </x:c>
      <x:c r="K6733" s="26" t="n">
        <x:v>0.2</x:v>
      </x:c>
      <x:c r="L6733" s="22" t="n">
        <x:v>8.205599999999999</x:v>
      </x:c>
      <x:c r="M6733" t="n">
        <x:v>2016</x:v>
      </x:c>
      <x:c r="N6733" s="20" t="n">
        <x:v>42675</x:v>
      </x:c>
    </x:row>
    <x:row r="6734" ht="18" customHeight="1">
      <x:c r="A6734" t="str">
        <x:v>CA-2015-156734</x:v>
      </x:c>
      <x:c r="B6734" s="18" t="n">
        <x:v>42173</x:v>
      </x:c>
      <x:c r="C6734" t="str">
        <x:v>BV-11245</x:v>
      </x:c>
      <x:c r="D6734" t="str">
        <x:v>Benjamin Venier</x:v>
      </x:c>
      <x:c r="E6734" t="str">
        <x:v>Corporate</x:v>
      </x:c>
      <x:c r="F6734" t="str">
        <x:v>South</x:v>
      </x:c>
      <x:c r="G6734" t="str">
        <x:v>Office Supplies</x:v>
      </x:c>
      <x:c r="H6734" t="str">
        <x:v>Binders</x:v>
      </x:c>
      <x:c r="I6734" s="22" t="n">
        <x:v>6.1290000000000004</x:v>
      </x:c>
      <x:c r="J6734" s="24" t="n">
        <x:v>3</x:v>
      </x:c>
      <x:c r="K6734" s="26" t="n">
        <x:v>0.7</x:v>
      </x:c>
      <x:c r="L6734" s="22" t="n">
        <x:v>-4.494599999999998</x:v>
      </x:c>
      <x:c r="M6734" t="n">
        <x:v>2015</x:v>
      </x:c>
      <x:c r="N6734" s="20" t="n">
        <x:v>42156</x:v>
      </x:c>
    </x:row>
    <x:row r="6735" ht="18" customHeight="1">
      <x:c r="A6735" t="str">
        <x:v>CA-2015-156734</x:v>
      </x:c>
      <x:c r="B6735" s="18" t="n">
        <x:v>42173</x:v>
      </x:c>
      <x:c r="C6735" t="str">
        <x:v>BV-11245</x:v>
      </x:c>
      <x:c r="D6735" t="str">
        <x:v>Benjamin Venier</x:v>
      </x:c>
      <x:c r="E6735" t="str">
        <x:v>Corporate</x:v>
      </x:c>
      <x:c r="F6735" t="str">
        <x:v>South</x:v>
      </x:c>
      <x:c r="G6735" t="str">
        <x:v>Furniture</x:v>
      </x:c>
      <x:c r="H6735" t="str">
        <x:v>Chairs</x:v>
      </x:c>
      <x:c r="I6735" s="22" t="n">
        <x:v>643.136</x:v>
      </x:c>
      <x:c r="J6735" s="24" t="n">
        <x:v>4</x:v>
      </x:c>
      <x:c r="K6735" s="26" t="n">
        <x:v>0.2</x:v>
      </x:c>
      <x:c r="L6735" s="22" t="n">
        <x:v>56.274400000000014</x:v>
      </x:c>
      <x:c r="M6735" t="n">
        <x:v>2015</x:v>
      </x:c>
      <x:c r="N6735" s="20" t="n">
        <x:v>42156</x:v>
      </x:c>
    </x:row>
    <x:row r="6736" ht="18" customHeight="1">
      <x:c r="A6736" t="str">
        <x:v>CA-2015-156734</x:v>
      </x:c>
      <x:c r="B6736" s="18" t="n">
        <x:v>42173</x:v>
      </x:c>
      <x:c r="C6736" t="str">
        <x:v>BV-11245</x:v>
      </x:c>
      <x:c r="D6736" t="str">
        <x:v>Benjamin Venier</x:v>
      </x:c>
      <x:c r="E6736" t="str">
        <x:v>Corporate</x:v>
      </x:c>
      <x:c r="F6736" t="str">
        <x:v>South</x:v>
      </x:c>
      <x:c r="G6736" t="str">
        <x:v>Office Supplies</x:v>
      </x:c>
      <x:c r="H6736" t="str">
        <x:v>Paper</x:v>
      </x:c>
      <x:c r="I6736" s="22" t="n">
        <x:v>20.736000000000004</x:v>
      </x:c>
      <x:c r="J6736" s="24" t="n">
        <x:v>4</x:v>
      </x:c>
      <x:c r="K6736" s="26" t="n">
        <x:v>0.2</x:v>
      </x:c>
      <x:c r="L6736" s="22" t="n">
        <x:v>7.2576</x:v>
      </x:c>
      <x:c r="M6736" t="n">
        <x:v>2015</x:v>
      </x:c>
      <x:c r="N6736" s="20" t="n">
        <x:v>42156</x:v>
      </x:c>
    </x:row>
    <x:row r="6737" ht="18" customHeight="1">
      <x:c r="A6737" t="str">
        <x:v>CA-2014-120096</x:v>
      </x:c>
      <x:c r="B6737" s="18" t="n">
        <x:v>41824</x:v>
      </x:c>
      <x:c r="C6737" t="str">
        <x:v>KE-16420</x:v>
      </x:c>
      <x:c r="D6737" t="str">
        <x:v>Katrina Edelman</x:v>
      </x:c>
      <x:c r="E6737" t="str">
        <x:v>Corporate</x:v>
      </x:c>
      <x:c r="F6737" t="str">
        <x:v>West</x:v>
      </x:c>
      <x:c r="G6737" t="str">
        <x:v>Office Supplies</x:v>
      </x:c>
      <x:c r="H6737" t="str">
        <x:v>Paper</x:v>
      </x:c>
      <x:c r="I6737" s="22" t="n">
        <x:v>177.536</x:v>
      </x:c>
      <x:c r="J6737" s="24" t="n">
        <x:v>4</x:v>
      </x:c>
      <x:c r="K6737" s="26" t="n">
        <x:v>0.2</x:v>
      </x:c>
      <x:c r="L6737" s="22" t="n">
        <x:v>62.13759999999999</x:v>
      </x:c>
      <x:c r="M6737" t="n">
        <x:v>2014</x:v>
      </x:c>
      <x:c r="N6737" s="20" t="n">
        <x:v>41821</x:v>
      </x:c>
    </x:row>
    <x:row r="6738" ht="18" customHeight="1">
      <x:c r="A6738" t="str">
        <x:v>CA-2014-120096</x:v>
      </x:c>
      <x:c r="B6738" s="18" t="n">
        <x:v>41824</x:v>
      </x:c>
      <x:c r="C6738" t="str">
        <x:v>KE-16420</x:v>
      </x:c>
      <x:c r="D6738" t="str">
        <x:v>Katrina Edelman</x:v>
      </x:c>
      <x:c r="E6738" t="str">
        <x:v>Corporate</x:v>
      </x:c>
      <x:c r="F6738" t="str">
        <x:v>West</x:v>
      </x:c>
      <x:c r="G6738" t="str">
        <x:v>Office Supplies</x:v>
      </x:c>
      <x:c r="H6738" t="str">
        <x:v>Appliances</x:v>
      </x:c>
      <x:c r="I6738" s="22" t="n">
        <x:v>32.432</x:v>
      </x:c>
      <x:c r="J6738" s="24" t="n">
        <x:v>2</x:v>
      </x:c>
      <x:c r="K6738" s="26" t="n">
        <x:v>0.2</x:v>
      </x:c>
      <x:c r="L6738" s="22" t="n">
        <x:v>3.2432000000000016</x:v>
      </x:c>
      <x:c r="M6738" t="n">
        <x:v>2014</x:v>
      </x:c>
      <x:c r="N6738" s="20" t="n">
        <x:v>41821</x:v>
      </x:c>
    </x:row>
    <x:row r="6739" ht="18" customHeight="1">
      <x:c r="A6739" t="str">
        <x:v>CA-2015-141754</x:v>
      </x:c>
      <x:c r="B6739" s="18" t="n">
        <x:v>42358</x:v>
      </x:c>
      <x:c r="C6739" t="str">
        <x:v>EM-14200</x:v>
      </x:c>
      <x:c r="D6739" t="str">
        <x:v>Evan Minnotte</x:v>
      </x:c>
      <x:c r="E6739" t="str">
        <x:v>Home Office</x:v>
      </x:c>
      <x:c r="F6739" t="str">
        <x:v>South</x:v>
      </x:c>
      <x:c r="G6739" t="str">
        <x:v>Office Supplies</x:v>
      </x:c>
      <x:c r="H6739" t="str">
        <x:v>Labels</x:v>
      </x:c>
      <x:c r="I6739" s="22" t="n">
        <x:v>11.696</x:v>
      </x:c>
      <x:c r="J6739" s="24" t="n">
        <x:v>2</x:v>
      </x:c>
      <x:c r="K6739" s="26" t="n">
        <x:v>0.2</x:v>
      </x:c>
      <x:c r="L6739" s="22" t="n">
        <x:v>3.9473999999999996</x:v>
      </x:c>
      <x:c r="M6739" t="n">
        <x:v>2015</x:v>
      </x:c>
      <x:c r="N6739" s="20" t="n">
        <x:v>42339</x:v>
      </x:c>
    </x:row>
    <x:row r="6740" ht="18" customHeight="1">
      <x:c r="A6740" t="str">
        <x:v>CA-2016-123358</x:v>
      </x:c>
      <x:c r="B6740" s="18" t="n">
        <x:v>42470</x:v>
      </x:c>
      <x:c r="C6740" t="str">
        <x:v>BT-11680</x:v>
      </x:c>
      <x:c r="D6740" t="str">
        <x:v>Brian Thompson</x:v>
      </x:c>
      <x:c r="E6740" t="str">
        <x:v>Consumer</x:v>
      </x:c>
      <x:c r="F6740" t="str">
        <x:v>West</x:v>
      </x:c>
      <x:c r="G6740" t="str">
        <x:v>Office Supplies</x:v>
      </x:c>
      <x:c r="H6740" t="str">
        <x:v>Appliances</x:v>
      </x:c>
      <x:c r="I6740" s="22" t="n">
        <x:v>113.76</x:v>
      </x:c>
      <x:c r="J6740" s="24" t="n">
        <x:v>3</x:v>
      </x:c>
      <x:c r="K6740" s="26" t="n">
        <x:v>0</x:v>
      </x:c>
      <x:c r="L6740" s="22" t="n">
        <x:v>44.366400000000006</x:v>
      </x:c>
      <x:c r="M6740" t="n">
        <x:v>2016</x:v>
      </x:c>
      <x:c r="N6740" s="20" t="n">
        <x:v>42461</x:v>
      </x:c>
    </x:row>
    <x:row r="6741" ht="18" customHeight="1">
      <x:c r="A6741" t="str">
        <x:v>CA-2016-123358</x:v>
      </x:c>
      <x:c r="B6741" s="18" t="n">
        <x:v>42470</x:v>
      </x:c>
      <x:c r="C6741" t="str">
        <x:v>BT-11680</x:v>
      </x:c>
      <x:c r="D6741" t="str">
        <x:v>Brian Thompson</x:v>
      </x:c>
      <x:c r="E6741" t="str">
        <x:v>Consumer</x:v>
      </x:c>
      <x:c r="F6741" t="str">
        <x:v>West</x:v>
      </x:c>
      <x:c r="G6741" t="str">
        <x:v>Office Supplies</x:v>
      </x:c>
      <x:c r="H6741" t="str">
        <x:v>Storage</x:v>
      </x:c>
      <x:c r="I6741" s="22" t="n">
        <x:v>579.51</x:v>
      </x:c>
      <x:c r="J6741" s="24" t="n">
        <x:v>3</x:v>
      </x:c>
      <x:c r="K6741" s="26" t="n">
        <x:v>0</x:v>
      </x:c>
      <x:c r="L6741" s="22" t="n">
        <x:v>81.13140000000001</x:v>
      </x:c>
      <x:c r="M6741" t="n">
        <x:v>2016</x:v>
      </x:c>
      <x:c r="N6741" s="20" t="n">
        <x:v>42461</x:v>
      </x:c>
    </x:row>
    <x:row r="6742" ht="18" customHeight="1">
      <x:c r="A6742" t="str">
        <x:v>CA-2016-123358</x:v>
      </x:c>
      <x:c r="B6742" s="18" t="n">
        <x:v>42470</x:v>
      </x:c>
      <x:c r="C6742" t="str">
        <x:v>BT-11680</x:v>
      </x:c>
      <x:c r="D6742" t="str">
        <x:v>Brian Thompson</x:v>
      </x:c>
      <x:c r="E6742" t="str">
        <x:v>Consumer</x:v>
      </x:c>
      <x:c r="F6742" t="str">
        <x:v>West</x:v>
      </x:c>
      <x:c r="G6742" t="str">
        <x:v>Office Supplies</x:v>
      </x:c>
      <x:c r="H6742" t="str">
        <x:v>Storage</x:v>
      </x:c>
      <x:c r="I6742" s="22" t="n">
        <x:v>150.66</x:v>
      </x:c>
      <x:c r="J6742" s="24" t="n">
        <x:v>9</x:v>
      </x:c>
      <x:c r="K6742" s="26" t="n">
        <x:v>0</x:v>
      </x:c>
      <x:c r="L6742" s="22" t="n">
        <x:v>6.026399999999992</x:v>
      </x:c>
      <x:c r="M6742" t="n">
        <x:v>2016</x:v>
      </x:c>
      <x:c r="N6742" s="20" t="n">
        <x:v>42461</x:v>
      </x:c>
    </x:row>
    <x:row r="6743" ht="18" customHeight="1">
      <x:c r="A6743" t="str">
        <x:v>CA-2016-123358</x:v>
      </x:c>
      <x:c r="B6743" s="18" t="n">
        <x:v>42470</x:v>
      </x:c>
      <x:c r="C6743" t="str">
        <x:v>BT-11680</x:v>
      </x:c>
      <x:c r="D6743" t="str">
        <x:v>Brian Thompson</x:v>
      </x:c>
      <x:c r="E6743" t="str">
        <x:v>Consumer</x:v>
      </x:c>
      <x:c r="F6743" t="str">
        <x:v>West</x:v>
      </x:c>
      <x:c r="G6743" t="str">
        <x:v>Office Supplies</x:v>
      </x:c>
      <x:c r="H6743" t="str">
        <x:v>Binders</x:v>
      </x:c>
      <x:c r="I6743" s="22" t="n">
        <x:v>48.032000000000004</x:v>
      </x:c>
      <x:c r="J6743" s="24" t="n">
        <x:v>4</x:v>
      </x:c>
      <x:c r="K6743" s="26" t="n">
        <x:v>0.2</x:v>
      </x:c>
      <x:c r="L6743" s="22" t="n">
        <x:v>15.610399999999993</x:v>
      </x:c>
      <x:c r="M6743" t="n">
        <x:v>2016</x:v>
      </x:c>
      <x:c r="N6743" s="20" t="n">
        <x:v>42461</x:v>
      </x:c>
    </x:row>
    <x:row r="6744" ht="18" customHeight="1">
      <x:c r="A6744" t="str">
        <x:v>CA-2014-144029</x:v>
      </x:c>
      <x:c r="B6744" s="18" t="n">
        <x:v>41785</x:v>
      </x:c>
      <x:c r="C6744" t="str">
        <x:v>MM-18055</x:v>
      </x:c>
      <x:c r="D6744" t="str">
        <x:v>Michelle Moray</x:v>
      </x:c>
      <x:c r="E6744" t="str">
        <x:v>Consumer</x:v>
      </x:c>
      <x:c r="F6744" t="str">
        <x:v>Central</x:v>
      </x:c>
      <x:c r="G6744" t="str">
        <x:v>Office Supplies</x:v>
      </x:c>
      <x:c r="H6744" t="str">
        <x:v>Storage</x:v>
      </x:c>
      <x:c r="I6744" s="22" t="n">
        <x:v>102.624</x:v>
      </x:c>
      <x:c r="J6744" s="24" t="n">
        <x:v>3</x:v>
      </x:c>
      <x:c r="K6744" s="26" t="n">
        <x:v>0.2</x:v>
      </x:c>
      <x:c r="L6744" s="22" t="n">
        <x:v>7.696800000000003</x:v>
      </x:c>
      <x:c r="M6744" t="n">
        <x:v>2014</x:v>
      </x:c>
      <x:c r="N6744" s="20" t="n">
        <x:v>41760</x:v>
      </x:c>
    </x:row>
    <x:row r="6745" ht="18" customHeight="1">
      <x:c r="A6745" t="str">
        <x:v>CA-2014-144029</x:v>
      </x:c>
      <x:c r="B6745" s="18" t="n">
        <x:v>41785</x:v>
      </x:c>
      <x:c r="C6745" t="str">
        <x:v>MM-18055</x:v>
      </x:c>
      <x:c r="D6745" t="str">
        <x:v>Michelle Moray</x:v>
      </x:c>
      <x:c r="E6745" t="str">
        <x:v>Consumer</x:v>
      </x:c>
      <x:c r="F6745" t="str">
        <x:v>Central</x:v>
      </x:c>
      <x:c r="G6745" t="str">
        <x:v>Furniture</x:v>
      </x:c>
      <x:c r="H6745" t="str">
        <x:v>Chairs</x:v>
      </x:c>
      <x:c r="I6745" s="22" t="n">
        <x:v>359.772</x:v>
      </x:c>
      <x:c r="J6745" s="24" t="n">
        <x:v>2</x:v>
      </x:c>
      <x:c r="K6745" s="26" t="n">
        <x:v>0.3</x:v>
      </x:c>
      <x:c r="L6745" s="22" t="n">
        <x:v>-5.139600000000058</x:v>
      </x:c>
      <x:c r="M6745" t="n">
        <x:v>2014</x:v>
      </x:c>
      <x:c r="N6745" s="20" t="n">
        <x:v>41760</x:v>
      </x:c>
    </x:row>
    <x:row r="6746" ht="18" customHeight="1">
      <x:c r="A6746" t="str">
        <x:v>CA-2014-144029</x:v>
      </x:c>
      <x:c r="B6746" s="18" t="n">
        <x:v>41785</x:v>
      </x:c>
      <x:c r="C6746" t="str">
        <x:v>MM-18055</x:v>
      </x:c>
      <x:c r="D6746" t="str">
        <x:v>Michelle Moray</x:v>
      </x:c>
      <x:c r="E6746" t="str">
        <x:v>Consumer</x:v>
      </x:c>
      <x:c r="F6746" t="str">
        <x:v>Central</x:v>
      </x:c>
      <x:c r="G6746" t="str">
        <x:v>Office Supplies</x:v>
      </x:c>
      <x:c r="H6746" t="str">
        <x:v>Art</x:v>
      </x:c>
      <x:c r="I6746" s="22" t="n">
        <x:v>13.392000000000001</x:v>
      </x:c>
      <x:c r="J6746" s="24" t="n">
        <x:v>3</x:v>
      </x:c>
      <x:c r="K6746" s="26" t="n">
        <x:v>0.2</x:v>
      </x:c>
      <x:c r="L6746" s="22" t="n">
        <x:v>3.1806000000000005</x:v>
      </x:c>
      <x:c r="M6746" t="n">
        <x:v>2014</x:v>
      </x:c>
      <x:c r="N6746" s="20" t="n">
        <x:v>41760</x:v>
      </x:c>
    </x:row>
    <x:row r="6747" ht="18" customHeight="1">
      <x:c r="A6747" t="str">
        <x:v>US-2017-101784</x:v>
      </x:c>
      <x:c r="B6747" s="18" t="n">
        <x:v>42922</x:v>
      </x:c>
      <x:c r="C6747" t="str">
        <x:v>PO-18850</x:v>
      </x:c>
      <x:c r="D6747" t="str">
        <x:v>Patrick O'Brill</x:v>
      </x:c>
      <x:c r="E6747" t="str">
        <x:v>Consumer</x:v>
      </x:c>
      <x:c r="F6747" t="str">
        <x:v>West</x:v>
      </x:c>
      <x:c r="G6747" t="str">
        <x:v>Furniture</x:v>
      </x:c>
      <x:c r="H6747" t="str">
        <x:v>Chairs</x:v>
      </x:c>
      <x:c r="I6747" s="22" t="n">
        <x:v>122.13600000000001</x:v>
      </x:c>
      <x:c r="J6747" s="24" t="n">
        <x:v>3</x:v>
      </x:c>
      <x:c r="K6747" s="26" t="n">
        <x:v>0.2</x:v>
      </x:c>
      <x:c r="L6747" s="22" t="n">
        <x:v>-13.740299999999994</x:v>
      </x:c>
      <x:c r="M6747" t="n">
        <x:v>2017</x:v>
      </x:c>
      <x:c r="N6747" s="20" t="n">
        <x:v>42917</x:v>
      </x:c>
    </x:row>
    <x:row r="6748" ht="18" customHeight="1">
      <x:c r="A6748" t="str">
        <x:v>CA-2015-156923</x:v>
      </x:c>
      <x:c r="B6748" s="18" t="n">
        <x:v>42051</x:v>
      </x:c>
      <x:c r="C6748" t="str">
        <x:v>SP-20860</x:v>
      </x:c>
      <x:c r="D6748" t="str">
        <x:v>Sung Pak</x:v>
      </x:c>
      <x:c r="E6748" t="str">
        <x:v>Corporate</x:v>
      </x:c>
      <x:c r="F6748" t="str">
        <x:v>East</x:v>
      </x:c>
      <x:c r="G6748" t="str">
        <x:v>Office Supplies</x:v>
      </x:c>
      <x:c r="H6748" t="str">
        <x:v>Paper</x:v>
      </x:c>
      <x:c r="I6748" s="22" t="n">
        <x:v>35.88</x:v>
      </x:c>
      <x:c r="J6748" s="24" t="n">
        <x:v>6</x:v>
      </x:c>
      <x:c r="K6748" s="26" t="n">
        <x:v>0</x:v>
      </x:c>
      <x:c r="L6748" s="22" t="n">
        <x:v>16.146</x:v>
      </x:c>
      <x:c r="M6748" t="n">
        <x:v>2015</x:v>
      </x:c>
      <x:c r="N6748" s="20" t="n">
        <x:v>42036</x:v>
      </x:c>
    </x:row>
    <x:row r="6749" ht="18" customHeight="1">
      <x:c r="A6749" t="str">
        <x:v>CA-2017-111269</x:v>
      </x:c>
      <x:c r="B6749" s="18" t="n">
        <x:v>42902</x:v>
      </x:c>
      <x:c r="C6749" t="str">
        <x:v>CS-12355</x:v>
      </x:c>
      <x:c r="D6749" t="str">
        <x:v>Christine Sundaresam</x:v>
      </x:c>
      <x:c r="E6749" t="str">
        <x:v>Consumer</x:v>
      </x:c>
      <x:c r="F6749" t="str">
        <x:v>East</x:v>
      </x:c>
      <x:c r="G6749" t="str">
        <x:v>Technology</x:v>
      </x:c>
      <x:c r="H6749" t="str">
        <x:v>Accessories</x:v>
      </x:c>
      <x:c r="I6749" s="22" t="n">
        <x:v>479.952</x:v>
      </x:c>
      <x:c r="J6749" s="24" t="n">
        <x:v>6</x:v>
      </x:c>
      <x:c r="K6749" s="26" t="n">
        <x:v>0.2</x:v>
      </x:c>
      <x:c r="L6749" s="22" t="n">
        <x:v>107.98920000000001</x:v>
      </x:c>
      <x:c r="M6749" t="n">
        <x:v>2017</x:v>
      </x:c>
      <x:c r="N6749" s="20" t="n">
        <x:v>42887</x:v>
      </x:c>
    </x:row>
    <x:row r="6750" ht="18" customHeight="1">
      <x:c r="A6750" t="str">
        <x:v>CA-2017-111269</x:v>
      </x:c>
      <x:c r="B6750" s="18" t="n">
        <x:v>42902</x:v>
      </x:c>
      <x:c r="C6750" t="str">
        <x:v>CS-12355</x:v>
      </x:c>
      <x:c r="D6750" t="str">
        <x:v>Christine Sundaresam</x:v>
      </x:c>
      <x:c r="E6750" t="str">
        <x:v>Consumer</x:v>
      </x:c>
      <x:c r="F6750" t="str">
        <x:v>East</x:v>
      </x:c>
      <x:c r="G6750" t="str">
        <x:v>Office Supplies</x:v>
      </x:c>
      <x:c r="H6750" t="str">
        <x:v>Art</x:v>
      </x:c>
      <x:c r="I6750" s="22" t="n">
        <x:v>23.92</x:v>
      </x:c>
      <x:c r="J6750" s="24" t="n">
        <x:v>5</x:v>
      </x:c>
      <x:c r="K6750" s="26" t="n">
        <x:v>0.2</x:v>
      </x:c>
      <x:c r="L6750" s="22" t="n">
        <x:v>1.7940000000000005</x:v>
      </x:c>
      <x:c r="M6750" t="n">
        <x:v>2017</x:v>
      </x:c>
      <x:c r="N6750" s="20" t="n">
        <x:v>42887</x:v>
      </x:c>
    </x:row>
    <x:row r="6751" ht="18" customHeight="1">
      <x:c r="A6751" t="str">
        <x:v>CA-2017-159156</x:v>
      </x:c>
      <x:c r="B6751" s="18" t="n">
        <x:v>43052</x:v>
      </x:c>
      <x:c r="C6751" t="str">
        <x:v>KB-16600</x:v>
      </x:c>
      <x:c r="D6751" t="str">
        <x:v>Ken Brennan</x:v>
      </x:c>
      <x:c r="E6751" t="str">
        <x:v>Corporate</x:v>
      </x:c>
      <x:c r="F6751" t="str">
        <x:v>East</x:v>
      </x:c>
      <x:c r="G6751" t="str">
        <x:v>Technology</x:v>
      </x:c>
      <x:c r="H6751" t="str">
        <x:v>Phones</x:v>
      </x:c>
      <x:c r="I6751" s="22" t="n">
        <x:v>629.9499999999999</x:v>
      </x:c>
      <x:c r="J6751" s="24" t="n">
        <x:v>5</x:v>
      </x:c>
      <x:c r="K6751" s="26" t="n">
        <x:v>0</x:v>
      </x:c>
      <x:c r="L6751" s="22" t="n">
        <x:v>163.78700000000003</x:v>
      </x:c>
      <x:c r="M6751" t="n">
        <x:v>2017</x:v>
      </x:c>
      <x:c r="N6751" s="20" t="n">
        <x:v>43040</x:v>
      </x:c>
    </x:row>
    <x:row r="6752" ht="18" customHeight="1">
      <x:c r="A6752" t="str">
        <x:v>CA-2017-100230</x:v>
      </x:c>
      <x:c r="B6752" s="18" t="n">
        <x:v>43080</x:v>
      </x:c>
      <x:c r="C6752" t="str">
        <x:v>AA-10375</x:v>
      </x:c>
      <x:c r="D6752" t="str">
        <x:v>Allen Armold</x:v>
      </x:c>
      <x:c r="E6752" t="str">
        <x:v>Consumer</x:v>
      </x:c>
      <x:c r="F6752" t="str">
        <x:v>East</x:v>
      </x:c>
      <x:c r="G6752" t="str">
        <x:v>Office Supplies</x:v>
      </x:c>
      <x:c r="H6752" t="str">
        <x:v>Binders</x:v>
      </x:c>
      <x:c r="I6752" s="22" t="n">
        <x:v>14.952000000000002</x:v>
      </x:c>
      <x:c r="J6752" s="24" t="n">
        <x:v>1</x:v>
      </x:c>
      <x:c r="K6752" s="26" t="n">
        <x:v>0.2</x:v>
      </x:c>
      <x:c r="L6752" s="22" t="n">
        <x:v>5.0463</x:v>
      </x:c>
      <x:c r="M6752" t="n">
        <x:v>2017</x:v>
      </x:c>
      <x:c r="N6752" s="20" t="n">
        <x:v>43070</x:v>
      </x:c>
    </x:row>
    <x:row r="6753" ht="18" customHeight="1">
      <x:c r="A6753" t="str">
        <x:v>CA-2017-100230</x:v>
      </x:c>
      <x:c r="B6753" s="18" t="n">
        <x:v>43080</x:v>
      </x:c>
      <x:c r="C6753" t="str">
        <x:v>AA-10375</x:v>
      </x:c>
      <x:c r="D6753" t="str">
        <x:v>Allen Armold</x:v>
      </x:c>
      <x:c r="E6753" t="str">
        <x:v>Consumer</x:v>
      </x:c>
      <x:c r="F6753" t="str">
        <x:v>East</x:v>
      </x:c>
      <x:c r="G6753" t="str">
        <x:v>Office Supplies</x:v>
      </x:c>
      <x:c r="H6753" t="str">
        <x:v>Paper</x:v>
      </x:c>
      <x:c r="I6753" s="22" t="n">
        <x:v>17.94</x:v>
      </x:c>
      <x:c r="J6753" s="24" t="n">
        <x:v>3</x:v>
      </x:c>
      <x:c r="K6753" s="26" t="n">
        <x:v>0</x:v>
      </x:c>
      <x:c r="L6753" s="22" t="n">
        <x:v>8.073</x:v>
      </x:c>
      <x:c r="M6753" t="n">
        <x:v>2017</x:v>
      </x:c>
      <x:c r="N6753" s="20" t="n">
        <x:v>43070</x:v>
      </x:c>
    </x:row>
    <x:row r="6754" ht="18" customHeight="1">
      <x:c r="A6754" t="str">
        <x:v>CA-2017-100230</x:v>
      </x:c>
      <x:c r="B6754" s="18" t="n">
        <x:v>43080</x:v>
      </x:c>
      <x:c r="C6754" t="str">
        <x:v>AA-10375</x:v>
      </x:c>
      <x:c r="D6754" t="str">
        <x:v>Allen Armold</x:v>
      </x:c>
      <x:c r="E6754" t="str">
        <x:v>Consumer</x:v>
      </x:c>
      <x:c r="F6754" t="str">
        <x:v>East</x:v>
      </x:c>
      <x:c r="G6754" t="str">
        <x:v>Technology</x:v>
      </x:c>
      <x:c r="H6754" t="str">
        <x:v>Phones</x:v>
      </x:c>
      <x:c r="I6754" s="22" t="n">
        <x:v>116.98</x:v>
      </x:c>
      <x:c r="J6754" s="24" t="n">
        <x:v>2</x:v>
      </x:c>
      <x:c r="K6754" s="26" t="n">
        <x:v>0</x:v>
      </x:c>
      <x:c r="L6754" s="22" t="n">
        <x:v>29.245000000000005</x:v>
      </x:c>
      <x:c r="M6754" t="n">
        <x:v>2017</x:v>
      </x:c>
      <x:c r="N6754" s="20" t="n">
        <x:v>43070</x:v>
      </x:c>
    </x:row>
    <x:row r="6755" ht="18" customHeight="1">
      <x:c r="A6755" t="str">
        <x:v>CA-2016-154767</x:v>
      </x:c>
      <x:c r="B6755" s="18" t="n">
        <x:v>42549</x:v>
      </x:c>
      <x:c r="C6755" t="str">
        <x:v>BP-11155</x:v>
      </x:c>
      <x:c r="D6755" t="str">
        <x:v>Becky Pak</x:v>
      </x:c>
      <x:c r="E6755" t="str">
        <x:v>Consumer</x:v>
      </x:c>
      <x:c r="F6755" t="str">
        <x:v>East</x:v>
      </x:c>
      <x:c r="G6755" t="str">
        <x:v>Furniture</x:v>
      </x:c>
      <x:c r="H6755" t="str">
        <x:v>Chairs</x:v>
      </x:c>
      <x:c r="I6755" s="22" t="n">
        <x:v>121.96</x:v>
      </x:c>
      <x:c r="J6755" s="24" t="n">
        <x:v>2</x:v>
      </x:c>
      <x:c r="K6755" s="26" t="n">
        <x:v>0</x:v>
      </x:c>
      <x:c r="L6755" s="22" t="n">
        <x:v>20.733199999999997</x:v>
      </x:c>
      <x:c r="M6755" t="n">
        <x:v>2016</x:v>
      </x:c>
      <x:c r="N6755" s="20" t="n">
        <x:v>42522</x:v>
      </x:c>
    </x:row>
    <x:row r="6756" ht="18" customHeight="1">
      <x:c r="A6756" t="str">
        <x:v>CA-2016-154767</x:v>
      </x:c>
      <x:c r="B6756" s="18" t="n">
        <x:v>42549</x:v>
      </x:c>
      <x:c r="C6756" t="str">
        <x:v>BP-11155</x:v>
      </x:c>
      <x:c r="D6756" t="str">
        <x:v>Becky Pak</x:v>
      </x:c>
      <x:c r="E6756" t="str">
        <x:v>Consumer</x:v>
      </x:c>
      <x:c r="F6756" t="str">
        <x:v>East</x:v>
      </x:c>
      <x:c r="G6756" t="str">
        <x:v>Office Supplies</x:v>
      </x:c>
      <x:c r="H6756" t="str">
        <x:v>Appliances</x:v>
      </x:c>
      <x:c r="I6756" s="22" t="n">
        <x:v>8.74</x:v>
      </x:c>
      <x:c r="J6756" s="24" t="n">
        <x:v>2</x:v>
      </x:c>
      <x:c r="K6756" s="26" t="n">
        <x:v>0</x:v>
      </x:c>
      <x:c r="L6756" s="22" t="n">
        <x:v>2.2724</x:v>
      </x:c>
      <x:c r="M6756" t="n">
        <x:v>2016</x:v>
      </x:c>
      <x:c r="N6756" s="20" t="n">
        <x:v>42522</x:v>
      </x:c>
    </x:row>
    <x:row r="6757" ht="18" customHeight="1">
      <x:c r="A6757" t="str">
        <x:v>CA-2016-154767</x:v>
      </x:c>
      <x:c r="B6757" s="18" t="n">
        <x:v>42549</x:v>
      </x:c>
      <x:c r="C6757" t="str">
        <x:v>BP-11155</x:v>
      </x:c>
      <x:c r="D6757" t="str">
        <x:v>Becky Pak</x:v>
      </x:c>
      <x:c r="E6757" t="str">
        <x:v>Consumer</x:v>
      </x:c>
      <x:c r="F6757" t="str">
        <x:v>East</x:v>
      </x:c>
      <x:c r="G6757" t="str">
        <x:v>Office Supplies</x:v>
      </x:c>
      <x:c r="H6757" t="str">
        <x:v>Paper</x:v>
      </x:c>
      <x:c r="I6757" s="22" t="n">
        <x:v>61.96</x:v>
      </x:c>
      <x:c r="J6757" s="24" t="n">
        <x:v>2</x:v>
      </x:c>
      <x:c r="K6757" s="26" t="n">
        <x:v>0</x:v>
      </x:c>
      <x:c r="L6757" s="22" t="n">
        <x:v>27.881999999999998</x:v>
      </x:c>
      <x:c r="M6757" t="n">
        <x:v>2016</x:v>
      </x:c>
      <x:c r="N6757" s="20" t="n">
        <x:v>42522</x:v>
      </x:c>
    </x:row>
    <x:row r="6758" ht="18" customHeight="1">
      <x:c r="A6758" t="str">
        <x:v>CA-2016-154767</x:v>
      </x:c>
      <x:c r="B6758" s="18" t="n">
        <x:v>42549</x:v>
      </x:c>
      <x:c r="C6758" t="str">
        <x:v>BP-11155</x:v>
      </x:c>
      <x:c r="D6758" t="str">
        <x:v>Becky Pak</x:v>
      </x:c>
      <x:c r="E6758" t="str">
        <x:v>Consumer</x:v>
      </x:c>
      <x:c r="F6758" t="str">
        <x:v>East</x:v>
      </x:c>
      <x:c r="G6758" t="str">
        <x:v>Office Supplies</x:v>
      </x:c>
      <x:c r="H6758" t="str">
        <x:v>Binders</x:v>
      </x:c>
      <x:c r="I6758" s="22" t="n">
        <x:v>7.96</x:v>
      </x:c>
      <x:c r="J6758" s="24" t="n">
        <x:v>2</x:v>
      </x:c>
      <x:c r="K6758" s="26" t="n">
        <x:v>0</x:v>
      </x:c>
      <x:c r="L6758" s="22" t="n">
        <x:v>3.7412</x:v>
      </x:c>
      <x:c r="M6758" t="n">
        <x:v>2016</x:v>
      </x:c>
      <x:c r="N6758" s="20" t="n">
        <x:v>42522</x:v>
      </x:c>
    </x:row>
    <x:row r="6759" ht="18" customHeight="1">
      <x:c r="A6759" t="str">
        <x:v>CA-2016-154767</x:v>
      </x:c>
      <x:c r="B6759" s="18" t="n">
        <x:v>42549</x:v>
      </x:c>
      <x:c r="C6759" t="str">
        <x:v>BP-11155</x:v>
      </x:c>
      <x:c r="D6759" t="str">
        <x:v>Becky Pak</x:v>
      </x:c>
      <x:c r="E6759" t="str">
        <x:v>Consumer</x:v>
      </x:c>
      <x:c r="F6759" t="str">
        <x:v>East</x:v>
      </x:c>
      <x:c r="G6759" t="str">
        <x:v>Office Supplies</x:v>
      </x:c>
      <x:c r="H6759" t="str">
        <x:v>Appliances</x:v>
      </x:c>
      <x:c r="I6759" s="22" t="n">
        <x:v>275.24</x:v>
      </x:c>
      <x:c r="J6759" s="24" t="n">
        <x:v>4</x:v>
      </x:c>
      <x:c r="K6759" s="26" t="n">
        <x:v>0</x:v>
      </x:c>
      <x:c r="L6759" s="22" t="n">
        <x:v>121.10560000000001</x:v>
      </x:c>
      <x:c r="M6759" t="n">
        <x:v>2016</x:v>
      </x:c>
      <x:c r="N6759" s="20" t="n">
        <x:v>42522</x:v>
      </x:c>
    </x:row>
    <x:row r="6760" ht="18" customHeight="1">
      <x:c r="A6760" t="str">
        <x:v>CA-2017-124205</x:v>
      </x:c>
      <x:c r="B6760" s="18" t="n">
        <x:v>42993</x:v>
      </x:c>
      <x:c r="C6760" t="str">
        <x:v>TC-21145</x:v>
      </x:c>
      <x:c r="D6760" t="str">
        <x:v>Theresa Coyne</x:v>
      </x:c>
      <x:c r="E6760" t="str">
        <x:v>Corporate</x:v>
      </x:c>
      <x:c r="F6760" t="str">
        <x:v>East</x:v>
      </x:c>
      <x:c r="G6760" t="str">
        <x:v>Furniture</x:v>
      </x:c>
      <x:c r="H6760" t="str">
        <x:v>Furnishings</x:v>
      </x:c>
      <x:c r="I6760" s="22" t="n">
        <x:v>47.400000000000006</x:v>
      </x:c>
      <x:c r="J6760" s="24" t="n">
        <x:v>5</x:v>
      </x:c>
      <x:c r="K6760" s="26" t="n">
        <x:v>0</x:v>
      </x:c>
      <x:c r="L6760" s="22" t="n">
        <x:v>18.960000000000004</x:v>
      </x:c>
      <x:c r="M6760" t="n">
        <x:v>2017</x:v>
      </x:c>
      <x:c r="N6760" s="20" t="n">
        <x:v>42979</x:v>
      </x:c>
    </x:row>
    <x:row r="6761" ht="18" customHeight="1">
      <x:c r="A6761" t="str">
        <x:v>CA-2017-124205</x:v>
      </x:c>
      <x:c r="B6761" s="18" t="n">
        <x:v>42993</x:v>
      </x:c>
      <x:c r="C6761" t="str">
        <x:v>TC-21145</x:v>
      </x:c>
      <x:c r="D6761" t="str">
        <x:v>Theresa Coyne</x:v>
      </x:c>
      <x:c r="E6761" t="str">
        <x:v>Corporate</x:v>
      </x:c>
      <x:c r="F6761" t="str">
        <x:v>East</x:v>
      </x:c>
      <x:c r="G6761" t="str">
        <x:v>Furniture</x:v>
      </x:c>
      <x:c r="H6761" t="str">
        <x:v>Chairs</x:v>
      </x:c>
      <x:c r="I6761" s="22" t="n">
        <x:v>512.96</x:v>
      </x:c>
      <x:c r="J6761" s="24" t="n">
        <x:v>4</x:v>
      </x:c>
      <x:c r="K6761" s="26" t="n">
        <x:v>0</x:v>
      </x:c>
      <x:c r="L6761" s="22" t="n">
        <x:v>143.6288</x:v>
      </x:c>
      <x:c r="M6761" t="n">
        <x:v>2017</x:v>
      </x:c>
      <x:c r="N6761" s="20" t="n">
        <x:v>42979</x:v>
      </x:c>
    </x:row>
    <x:row r="6762" ht="18" customHeight="1">
      <x:c r="A6762" t="str">
        <x:v>CA-2017-124205</x:v>
      </x:c>
      <x:c r="B6762" s="18" t="n">
        <x:v>42993</x:v>
      </x:c>
      <x:c r="C6762" t="str">
        <x:v>TC-21145</x:v>
      </x:c>
      <x:c r="D6762" t="str">
        <x:v>Theresa Coyne</x:v>
      </x:c>
      <x:c r="E6762" t="str">
        <x:v>Corporate</x:v>
      </x:c>
      <x:c r="F6762" t="str">
        <x:v>East</x:v>
      </x:c>
      <x:c r="G6762" t="str">
        <x:v>Technology</x:v>
      </x:c>
      <x:c r="H6762" t="str">
        <x:v>Phones</x:v>
      </x:c>
      <x:c r="I6762" s="22" t="n">
        <x:v>395.93999999999994</x:v>
      </x:c>
      <x:c r="J6762" s="24" t="n">
        <x:v>6</x:v>
      </x:c>
      <x:c r="K6762" s="26" t="n">
        <x:v>0</x:v>
      </x:c>
      <x:c r="L6762" s="22" t="n">
        <x:v>102.94440000000002</x:v>
      </x:c>
      <x:c r="M6762" t="n">
        <x:v>2017</x:v>
      </x:c>
      <x:c r="N6762" s="20" t="n">
        <x:v>42979</x:v>
      </x:c>
    </x:row>
    <x:row r="6763" ht="18" customHeight="1">
      <x:c r="A6763" t="str">
        <x:v>CA-2017-124205</x:v>
      </x:c>
      <x:c r="B6763" s="18" t="n">
        <x:v>42993</x:v>
      </x:c>
      <x:c r="C6763" t="str">
        <x:v>TC-21145</x:v>
      </x:c>
      <x:c r="D6763" t="str">
        <x:v>Theresa Coyne</x:v>
      </x:c>
      <x:c r="E6763" t="str">
        <x:v>Corporate</x:v>
      </x:c>
      <x:c r="F6763" t="str">
        <x:v>East</x:v>
      </x:c>
      <x:c r="G6763" t="str">
        <x:v>Office Supplies</x:v>
      </x:c>
      <x:c r="H6763" t="str">
        <x:v>Storage</x:v>
      </x:c>
      <x:c r="I6763" s="22" t="n">
        <x:v>81.96</x:v>
      </x:c>
      <x:c r="J6763" s="24" t="n">
        <x:v>2</x:v>
      </x:c>
      <x:c r="K6763" s="26" t="n">
        <x:v>0</x:v>
      </x:c>
      <x:c r="L6763" s="22" t="n">
        <x:v>0</x:v>
      </x:c>
      <x:c r="M6763" t="n">
        <x:v>2017</x:v>
      </x:c>
      <x:c r="N6763" s="20" t="n">
        <x:v>42979</x:v>
      </x:c>
    </x:row>
    <x:row r="6764" ht="18" customHeight="1">
      <x:c r="A6764" t="str">
        <x:v>CA-2017-165715</x:v>
      </x:c>
      <x:c r="B6764" s="18" t="n">
        <x:v>43071</x:v>
      </x:c>
      <x:c r="C6764" t="str">
        <x:v>BG-11035</x:v>
      </x:c>
      <x:c r="D6764" t="str">
        <x:v>Barry Gonzalez</x:v>
      </x:c>
      <x:c r="E6764" t="str">
        <x:v>Consumer</x:v>
      </x:c>
      <x:c r="F6764" t="str">
        <x:v>South</x:v>
      </x:c>
      <x:c r="G6764" t="str">
        <x:v>Office Supplies</x:v>
      </x:c>
      <x:c r="H6764" t="str">
        <x:v>Art</x:v>
      </x:c>
      <x:c r="I6764" s="22" t="n">
        <x:v>32.776</x:v>
      </x:c>
      <x:c r="J6764" s="24" t="n">
        <x:v>1</x:v>
      </x:c>
      <x:c r="K6764" s="26" t="n">
        <x:v>0.2</x:v>
      </x:c>
      <x:c r="L6764" s="22" t="n">
        <x:v>2.4581999999999997</x:v>
      </x:c>
      <x:c r="M6764" t="n">
        <x:v>2017</x:v>
      </x:c>
      <x:c r="N6764" s="20" t="n">
        <x:v>43070</x:v>
      </x:c>
    </x:row>
    <x:row r="6765" ht="18" customHeight="1">
      <x:c r="A6765" t="str">
        <x:v>CA-2017-100636</x:v>
      </x:c>
      <x:c r="B6765" s="18" t="n">
        <x:v>42912</x:v>
      </x:c>
      <x:c r="C6765" t="str">
        <x:v>DO-13435</x:v>
      </x:c>
      <x:c r="D6765" t="str">
        <x:v>Denny Ordway</x:v>
      </x:c>
      <x:c r="E6765" t="str">
        <x:v>Consumer</x:v>
      </x:c>
      <x:c r="F6765" t="str">
        <x:v>East</x:v>
      </x:c>
      <x:c r="G6765" t="str">
        <x:v>Office Supplies</x:v>
      </x:c>
      <x:c r="H6765" t="str">
        <x:v>Storage</x:v>
      </x:c>
      <x:c r="I6765" s="22" t="n">
        <x:v>272.94</x:v>
      </x:c>
      <x:c r="J6765" s="24" t="n">
        <x:v>3</x:v>
      </x:c>
      <x:c r="K6765" s="26" t="n">
        <x:v>0</x:v>
      </x:c>
      <x:c r="L6765" s="22" t="n">
        <x:v>0</x:v>
      </x:c>
      <x:c r="M6765" t="n">
        <x:v>2017</x:v>
      </x:c>
      <x:c r="N6765" s="20" t="n">
        <x:v>42887</x:v>
      </x:c>
    </x:row>
    <x:row r="6766" ht="18" customHeight="1">
      <x:c r="A6766" t="str">
        <x:v>CA-2016-162943</x:v>
      </x:c>
      <x:c r="B6766" s="18" t="n">
        <x:v>42575</x:v>
      </x:c>
      <x:c r="C6766" t="str">
        <x:v>DB-12970</x:v>
      </x:c>
      <x:c r="D6766" t="str">
        <x:v>Darren Budd</x:v>
      </x:c>
      <x:c r="E6766" t="str">
        <x:v>Corporate</x:v>
      </x:c>
      <x:c r="F6766" t="str">
        <x:v>East</x:v>
      </x:c>
      <x:c r="G6766" t="str">
        <x:v>Furniture</x:v>
      </x:c>
      <x:c r="H6766" t="str">
        <x:v>Chairs</x:v>
      </x:c>
      <x:c r="I6766" s="22" t="n">
        <x:v>253.76399999999998</x:v>
      </x:c>
      <x:c r="J6766" s="24" t="n">
        <x:v>2</x:v>
      </x:c>
      <x:c r="K6766" s="26" t="n">
        <x:v>0.1</x:v>
      </x:c>
      <x:c r="L6766" s="22" t="n">
        <x:v>31.015599999999978</x:v>
      </x:c>
      <x:c r="M6766" t="n">
        <x:v>2016</x:v>
      </x:c>
      <x:c r="N6766" s="20" t="n">
        <x:v>42552</x:v>
      </x:c>
    </x:row>
    <x:row r="6767" ht="18" customHeight="1">
      <x:c r="A6767" t="str">
        <x:v>CA-2016-144764</x:v>
      </x:c>
      <x:c r="B6767" s="18" t="n">
        <x:v>42615</x:v>
      </x:c>
      <x:c r="C6767" t="str">
        <x:v>RL-19615</x:v>
      </x:c>
      <x:c r="D6767" t="str">
        <x:v>Rob Lucas</x:v>
      </x:c>
      <x:c r="E6767" t="str">
        <x:v>Consumer</x:v>
      </x:c>
      <x:c r="F6767" t="str">
        <x:v>Central</x:v>
      </x:c>
      <x:c r="G6767" t="str">
        <x:v>Office Supplies</x:v>
      </x:c>
      <x:c r="H6767" t="str">
        <x:v>Labels</x:v>
      </x:c>
      <x:c r="I6767" s="22" t="n">
        <x:v>29.24</x:v>
      </x:c>
      <x:c r="J6767" s="24" t="n">
        <x:v>5</x:v>
      </x:c>
      <x:c r="K6767" s="26" t="n">
        <x:v>0.2</x:v>
      </x:c>
      <x:c r="L6767" s="22" t="n">
        <x:v>9.868500000000001</x:v>
      </x:c>
      <x:c r="M6767" t="n">
        <x:v>2016</x:v>
      </x:c>
      <x:c r="N6767" s="20" t="n">
        <x:v>42614</x:v>
      </x:c>
    </x:row>
    <x:row r="6768" ht="18" customHeight="1">
      <x:c r="A6768" t="str">
        <x:v>CA-2016-144764</x:v>
      </x:c>
      <x:c r="B6768" s="18" t="n">
        <x:v>42615</x:v>
      </x:c>
      <x:c r="C6768" t="str">
        <x:v>RL-19615</x:v>
      </x:c>
      <x:c r="D6768" t="str">
        <x:v>Rob Lucas</x:v>
      </x:c>
      <x:c r="E6768" t="str">
        <x:v>Consumer</x:v>
      </x:c>
      <x:c r="F6768" t="str">
        <x:v>Central</x:v>
      </x:c>
      <x:c r="G6768" t="str">
        <x:v>Office Supplies</x:v>
      </x:c>
      <x:c r="H6768" t="str">
        <x:v>Storage</x:v>
      </x:c>
      <x:c r="I6768" s="22" t="n">
        <x:v>35.168</x:v>
      </x:c>
      <x:c r="J6768" s="24" t="n">
        <x:v>2</x:v>
      </x:c>
      <x:c r="K6768" s="26" t="n">
        <x:v>0.2</x:v>
      </x:c>
      <x:c r="L6768" s="22" t="n">
        <x:v>-8.352400000000001</x:v>
      </x:c>
      <x:c r="M6768" t="n">
        <x:v>2016</x:v>
      </x:c>
      <x:c r="N6768" s="20" t="n">
        <x:v>42614</x:v>
      </x:c>
    </x:row>
    <x:row r="6769" ht="18" customHeight="1">
      <x:c r="A6769" t="str">
        <x:v>CA-2016-144764</x:v>
      </x:c>
      <x:c r="B6769" s="18" t="n">
        <x:v>42615</x:v>
      </x:c>
      <x:c r="C6769" t="str">
        <x:v>RL-19615</x:v>
      </x:c>
      <x:c r="D6769" t="str">
        <x:v>Rob Lucas</x:v>
      </x:c>
      <x:c r="E6769" t="str">
        <x:v>Consumer</x:v>
      </x:c>
      <x:c r="F6769" t="str">
        <x:v>Central</x:v>
      </x:c>
      <x:c r="G6769" t="str">
        <x:v>Technology</x:v>
      </x:c>
      <x:c r="H6769" t="str">
        <x:v>Machines</x:v>
      </x:c>
      <x:c r="I6769" s="22" t="n">
        <x:v>1362.8999999999999</x:v>
      </x:c>
      <x:c r="J6769" s="24" t="n">
        <x:v>3</x:v>
      </x:c>
      <x:c r="K6769" s="26" t="n">
        <x:v>0.3</x:v>
      </x:c>
      <x:c r="L6769" s="22" t="n">
        <x:v>-19.47000000000014</x:v>
      </x:c>
      <x:c r="M6769" t="n">
        <x:v>2016</x:v>
      </x:c>
      <x:c r="N6769" s="20" t="n">
        <x:v>42614</x:v>
      </x:c>
    </x:row>
    <x:row r="6770" ht="18" customHeight="1">
      <x:c r="A6770" t="str">
        <x:v>CA-2017-100615</x:v>
      </x:c>
      <x:c r="B6770" s="18" t="n">
        <x:v>42845</x:v>
      </x:c>
      <x:c r="C6770" t="str">
        <x:v>SJ-20215</x:v>
      </x:c>
      <x:c r="D6770" t="str">
        <x:v>Sarah Jordon</x:v>
      </x:c>
      <x:c r="E6770" t="str">
        <x:v>Consumer</x:v>
      </x:c>
      <x:c r="F6770" t="str">
        <x:v>Central</x:v>
      </x:c>
      <x:c r="G6770" t="str">
        <x:v>Furniture</x:v>
      </x:c>
      <x:c r="H6770" t="str">
        <x:v>Chairs</x:v>
      </x:c>
      <x:c r="I6770" s="22" t="n">
        <x:v>317.058</x:v>
      </x:c>
      <x:c r="J6770" s="24" t="n">
        <x:v>3</x:v>
      </x:c>
      <x:c r="K6770" s="26" t="n">
        <x:v>0.3</x:v>
      </x:c>
      <x:c r="L6770" s="22" t="n">
        <x:v>-18.117599999999996</x:v>
      </x:c>
      <x:c r="M6770" t="n">
        <x:v>2017</x:v>
      </x:c>
      <x:c r="N6770" s="20" t="n">
        <x:v>42826</x:v>
      </x:c>
    </x:row>
    <x:row r="6771" ht="18" customHeight="1">
      <x:c r="A6771" t="str">
        <x:v>CA-2017-100615</x:v>
      </x:c>
      <x:c r="B6771" s="18" t="n">
        <x:v>42845</x:v>
      </x:c>
      <x:c r="C6771" t="str">
        <x:v>SJ-20215</x:v>
      </x:c>
      <x:c r="D6771" t="str">
        <x:v>Sarah Jordon</x:v>
      </x:c>
      <x:c r="E6771" t="str">
        <x:v>Consumer</x:v>
      </x:c>
      <x:c r="F6771" t="str">
        <x:v>Central</x:v>
      </x:c>
      <x:c r="G6771" t="str">
        <x:v>Office Supplies</x:v>
      </x:c>
      <x:c r="H6771" t="str">
        <x:v>Art</x:v>
      </x:c>
      <x:c r="I6771" s="22" t="n">
        <x:v>15.76</x:v>
      </x:c>
      <x:c r="J6771" s="24" t="n">
        <x:v>2</x:v>
      </x:c>
      <x:c r="K6771" s="26" t="n">
        <x:v>0.2</x:v>
      </x:c>
      <x:c r="L6771" s="22" t="n">
        <x:v>3.5460000000000007</x:v>
      </x:c>
      <x:c r="M6771" t="n">
        <x:v>2017</x:v>
      </x:c>
      <x:c r="N6771" s="20" t="n">
        <x:v>42826</x:v>
      </x:c>
    </x:row>
    <x:row r="6772" ht="18" customHeight="1">
      <x:c r="A6772" t="str">
        <x:v>CA-2017-100615</x:v>
      </x:c>
      <x:c r="B6772" s="18" t="n">
        <x:v>42845</x:v>
      </x:c>
      <x:c r="C6772" t="str">
        <x:v>SJ-20215</x:v>
      </x:c>
      <x:c r="D6772" t="str">
        <x:v>Sarah Jordon</x:v>
      </x:c>
      <x:c r="E6772" t="str">
        <x:v>Consumer</x:v>
      </x:c>
      <x:c r="F6772" t="str">
        <x:v>Central</x:v>
      </x:c>
      <x:c r="G6772" t="str">
        <x:v>Furniture</x:v>
      </x:c>
      <x:c r="H6772" t="str">
        <x:v>Furnishings</x:v>
      </x:c>
      <x:c r="I6772" s="22" t="n">
        <x:v>14.560000000000002</x:v>
      </x:c>
      <x:c r="J6772" s="24" t="n">
        <x:v>5</x:v>
      </x:c>
      <x:c r="K6772" s="26" t="n">
        <x:v>0.6</x:v>
      </x:c>
      <x:c r="L6772" s="22" t="n">
        <x:v>-6.187999999999999</x:v>
      </x:c>
      <x:c r="M6772" t="n">
        <x:v>2017</x:v>
      </x:c>
      <x:c r="N6772" s="20" t="n">
        <x:v>42826</x:v>
      </x:c>
    </x:row>
    <x:row r="6773" ht="18" customHeight="1">
      <x:c r="A6773" t="str">
        <x:v>CA-2014-109302</x:v>
      </x:c>
      <x:c r="B6773" s="18" t="n">
        <x:v>41863</x:v>
      </x:c>
      <x:c r="C6773" t="str">
        <x:v>CS-12175</x:v>
      </x:c>
      <x:c r="D6773" t="str">
        <x:v>Charles Sheldon</x:v>
      </x:c>
      <x:c r="E6773" t="str">
        <x:v>Corporate</x:v>
      </x:c>
      <x:c r="F6773" t="str">
        <x:v>East</x:v>
      </x:c>
      <x:c r="G6773" t="str">
        <x:v>Office Supplies</x:v>
      </x:c>
      <x:c r="H6773" t="str">
        <x:v>Binders</x:v>
      </x:c>
      <x:c r="I6773" s="22" t="n">
        <x:v>196.21</x:v>
      </x:c>
      <x:c r="J6773" s="24" t="n">
        <x:v>7</x:v>
      </x:c>
      <x:c r="K6773" s="26" t="n">
        <x:v>0</x:v>
      </x:c>
      <x:c r="L6773" s="22" t="n">
        <x:v>98.105</x:v>
      </x:c>
      <x:c r="M6773" t="n">
        <x:v>2014</x:v>
      </x:c>
      <x:c r="N6773" s="20" t="n">
        <x:v>41852</x:v>
      </x:c>
    </x:row>
    <x:row r="6774" ht="18" customHeight="1">
      <x:c r="A6774" t="str">
        <x:v>CA-2017-139787</x:v>
      </x:c>
      <x:c r="B6774" s="18" t="n">
        <x:v>42997</x:v>
      </x:c>
      <x:c r="C6774" t="str">
        <x:v>JP-16135</x:v>
      </x:c>
      <x:c r="D6774" t="str">
        <x:v>Julie Prescott</x:v>
      </x:c>
      <x:c r="E6774" t="str">
        <x:v>Home Office</x:v>
      </x:c>
      <x:c r="F6774" t="str">
        <x:v>South</x:v>
      </x:c>
      <x:c r="G6774" t="str">
        <x:v>Office Supplies</x:v>
      </x:c>
      <x:c r="H6774" t="str">
        <x:v>Art</x:v>
      </x:c>
      <x:c r="I6774" s="22" t="n">
        <x:v>35.4</x:v>
      </x:c>
      <x:c r="J6774" s="24" t="n">
        <x:v>5</x:v>
      </x:c>
      <x:c r="K6774" s="26" t="n">
        <x:v>0</x:v>
      </x:c>
      <x:c r="L6774" s="22" t="n">
        <x:v>13.452000000000002</x:v>
      </x:c>
      <x:c r="M6774" t="n">
        <x:v>2017</x:v>
      </x:c>
      <x:c r="N6774" s="20" t="n">
        <x:v>42979</x:v>
      </x:c>
    </x:row>
    <x:row r="6775" ht="18" customHeight="1">
      <x:c r="A6775" t="str">
        <x:v>CA-2017-139402</x:v>
      </x:c>
      <x:c r="B6775" s="18" t="n">
        <x:v>43078</x:v>
      </x:c>
      <x:c r="C6775" t="str">
        <x:v>NC-18535</x:v>
      </x:c>
      <x:c r="D6775" t="str">
        <x:v>Nick Crebassa</x:v>
      </x:c>
      <x:c r="E6775" t="str">
        <x:v>Corporate</x:v>
      </x:c>
      <x:c r="F6775" t="str">
        <x:v>West</x:v>
      </x:c>
      <x:c r="G6775" t="str">
        <x:v>Office Supplies</x:v>
      </x:c>
      <x:c r="H6775" t="str">
        <x:v>Paper</x:v>
      </x:c>
      <x:c r="I6775" s="22" t="n">
        <x:v>419.4</x:v>
      </x:c>
      <x:c r="J6775" s="24" t="n">
        <x:v>5</x:v>
      </x:c>
      <x:c r="K6775" s="26" t="n">
        <x:v>0.2</x:v>
      </x:c>
      <x:c r="L6775" s="22" t="n">
        <x:v>146.79</x:v>
      </x:c>
      <x:c r="M6775" t="n">
        <x:v>2017</x:v>
      </x:c>
      <x:c r="N6775" s="20" t="n">
        <x:v>43070</x:v>
      </x:c>
    </x:row>
    <x:row r="6776" ht="18" customHeight="1">
      <x:c r="A6776" t="str">
        <x:v>CA-2017-139402</x:v>
      </x:c>
      <x:c r="B6776" s="18" t="n">
        <x:v>43078</x:v>
      </x:c>
      <x:c r="C6776" t="str">
        <x:v>NC-18535</x:v>
      </x:c>
      <x:c r="D6776" t="str">
        <x:v>Nick Crebassa</x:v>
      </x:c>
      <x:c r="E6776" t="str">
        <x:v>Corporate</x:v>
      </x:c>
      <x:c r="F6776" t="str">
        <x:v>West</x:v>
      </x:c>
      <x:c r="G6776" t="str">
        <x:v>Office Supplies</x:v>
      </x:c>
      <x:c r="H6776" t="str">
        <x:v>Binders</x:v>
      </x:c>
      <x:c r="I6776" s="22" t="n">
        <x:v>13.005000000000003</x:v>
      </x:c>
      <x:c r="J6776" s="24" t="n">
        <x:v>3</x:v>
      </x:c>
      <x:c r="K6776" s="26" t="n">
        <x:v>0.7</x:v>
      </x:c>
      <x:c r="L6776" s="22" t="n">
        <x:v>-9.970499999999998</x:v>
      </x:c>
      <x:c r="M6776" t="n">
        <x:v>2017</x:v>
      </x:c>
      <x:c r="N6776" s="20" t="n">
        <x:v>43070</x:v>
      </x:c>
    </x:row>
    <x:row r="6777" ht="18" customHeight="1">
      <x:c r="A6777" t="str">
        <x:v>CA-2016-119018</x:v>
      </x:c>
      <x:c r="B6777" s="18" t="n">
        <x:v>42678</x:v>
      </x:c>
      <x:c r="C6777" t="str">
        <x:v>CW-11905</x:v>
      </x:c>
      <x:c r="D6777" t="str">
        <x:v>Carl Weiss</x:v>
      </x:c>
      <x:c r="E6777" t="str">
        <x:v>Home Office</x:v>
      </x:c>
      <x:c r="F6777" t="str">
        <x:v>West</x:v>
      </x:c>
      <x:c r="G6777" t="str">
        <x:v>Office Supplies</x:v>
      </x:c>
      <x:c r="H6777" t="str">
        <x:v>Binders</x:v>
      </x:c>
      <x:c r="I6777" s="22" t="n">
        <x:v>7.712000000000001</x:v>
      </x:c>
      <x:c r="J6777" s="24" t="n">
        <x:v>2</x:v>
      </x:c>
      <x:c r="K6777" s="26" t="n">
        <x:v>0.2</x:v>
      </x:c>
      <x:c r="L6777" s="22" t="n">
        <x:v>2.7956000000000003</x:v>
      </x:c>
      <x:c r="M6777" t="n">
        <x:v>2016</x:v>
      </x:c>
      <x:c r="N6777" s="20" t="n">
        <x:v>42675</x:v>
      </x:c>
    </x:row>
    <x:row r="6778" ht="18" customHeight="1">
      <x:c r="A6778" t="str">
        <x:v>CA-2016-119018</x:v>
      </x:c>
      <x:c r="B6778" s="18" t="n">
        <x:v>42678</x:v>
      </x:c>
      <x:c r="C6778" t="str">
        <x:v>CW-11905</x:v>
      </x:c>
      <x:c r="D6778" t="str">
        <x:v>Carl Weiss</x:v>
      </x:c>
      <x:c r="E6778" t="str">
        <x:v>Home Office</x:v>
      </x:c>
      <x:c r="F6778" t="str">
        <x:v>West</x:v>
      </x:c>
      <x:c r="G6778" t="str">
        <x:v>Office Supplies</x:v>
      </x:c>
      <x:c r="H6778" t="str">
        <x:v>Binders</x:v>
      </x:c>
      <x:c r="I6778" s="22" t="n">
        <x:v>4.176</x:v>
      </x:c>
      <x:c r="J6778" s="24" t="n">
        <x:v>1</x:v>
      </x:c>
      <x:c r="K6778" s="26" t="n">
        <x:v>0.2</x:v>
      </x:c>
      <x:c r="L6778" s="22" t="n">
        <x:v>1.3049999999999997</x:v>
      </x:c>
      <x:c r="M6778" t="n">
        <x:v>2016</x:v>
      </x:c>
      <x:c r="N6778" s="20" t="n">
        <x:v>42675</x:v>
      </x:c>
    </x:row>
    <x:row r="6779" ht="18" customHeight="1">
      <x:c r="A6779" t="str">
        <x:v>CA-2016-119018</x:v>
      </x:c>
      <x:c r="B6779" s="18" t="n">
        <x:v>42678</x:v>
      </x:c>
      <x:c r="C6779" t="str">
        <x:v>CW-11905</x:v>
      </x:c>
      <x:c r="D6779" t="str">
        <x:v>Carl Weiss</x:v>
      </x:c>
      <x:c r="E6779" t="str">
        <x:v>Home Office</x:v>
      </x:c>
      <x:c r="F6779" t="str">
        <x:v>West</x:v>
      </x:c>
      <x:c r="G6779" t="str">
        <x:v>Office Supplies</x:v>
      </x:c>
      <x:c r="H6779" t="str">
        <x:v>Paper</x:v>
      </x:c>
      <x:c r="I6779" s="22" t="n">
        <x:v>38.88</x:v>
      </x:c>
      <x:c r="J6779" s="24" t="n">
        <x:v>6</x:v>
      </x:c>
      <x:c r="K6779" s="26" t="n">
        <x:v>0</x:v>
      </x:c>
      <x:c r="L6779" s="22" t="n">
        <x:v>18.6624</x:v>
      </x:c>
      <x:c r="M6779" t="n">
        <x:v>2016</x:v>
      </x:c>
      <x:c r="N6779" s="20" t="n">
        <x:v>42675</x:v>
      </x:c>
    </x:row>
    <x:row r="6780" ht="18" customHeight="1">
      <x:c r="A6780" t="str">
        <x:v>CA-2015-105361</x:v>
      </x:c>
      <x:c r="B6780" s="18" t="n">
        <x:v>42092</x:v>
      </x:c>
      <x:c r="C6780" t="str">
        <x:v>CM-12115</x:v>
      </x:c>
      <x:c r="D6780" t="str">
        <x:v>Chad McGuire</x:v>
      </x:c>
      <x:c r="E6780" t="str">
        <x:v>Consumer</x:v>
      </x:c>
      <x:c r="F6780" t="str">
        <x:v>East</x:v>
      </x:c>
      <x:c r="G6780" t="str">
        <x:v>Office Supplies</x:v>
      </x:c>
      <x:c r="H6780" t="str">
        <x:v>Paper</x:v>
      </x:c>
      <x:c r="I6780" s="22" t="n">
        <x:v>17.64</x:v>
      </x:c>
      <x:c r="J6780" s="24" t="n">
        <x:v>4</x:v>
      </x:c>
      <x:c r="K6780" s="26" t="n">
        <x:v>0</x:v>
      </x:c>
      <x:c r="L6780" s="22" t="n">
        <x:v>8.1144</x:v>
      </x:c>
      <x:c r="M6780" t="n">
        <x:v>2015</x:v>
      </x:c>
      <x:c r="N6780" s="20" t="n">
        <x:v>42064</x:v>
      </x:c>
    </x:row>
    <x:row r="6781" ht="18" customHeight="1">
      <x:c r="A6781" t="str">
        <x:v>US-2016-152373</x:v>
      </x:c>
      <x:c r="B6781" s="18" t="n">
        <x:v>42618</x:v>
      </x:c>
      <x:c r="C6781" t="str">
        <x:v>PT-19090</x:v>
      </x:c>
      <x:c r="D6781" t="str">
        <x:v>Pete Takahito</x:v>
      </x:c>
      <x:c r="E6781" t="str">
        <x:v>Consumer</x:v>
      </x:c>
      <x:c r="F6781" t="str">
        <x:v>Central</x:v>
      </x:c>
      <x:c r="G6781" t="str">
        <x:v>Office Supplies</x:v>
      </x:c>
      <x:c r="H6781" t="str">
        <x:v>Storage</x:v>
      </x:c>
      <x:c r="I6781" s="22" t="n">
        <x:v>93.456</x:v>
      </x:c>
      <x:c r="J6781" s="24" t="n">
        <x:v>3</x:v>
      </x:c>
      <x:c r="K6781" s="26" t="n">
        <x:v>0.2</x:v>
      </x:c>
      <x:c r="L6781" s="22" t="n">
        <x:v>-17.523000000000014</x:v>
      </x:c>
      <x:c r="M6781" t="n">
        <x:v>2016</x:v>
      </x:c>
      <x:c r="N6781" s="20" t="n">
        <x:v>42614</x:v>
      </x:c>
    </x:row>
    <x:row r="6782" ht="18" customHeight="1">
      <x:c r="A6782" t="str">
        <x:v>US-2017-166037</x:v>
      </x:c>
      <x:c r="B6782" s="18" t="n">
        <x:v>42763</x:v>
      </x:c>
      <x:c r="C6782" t="str">
        <x:v>CL-12700</x:v>
      </x:c>
      <x:c r="D6782" t="str">
        <x:v>Craig Leslie</x:v>
      </x:c>
      <x:c r="E6782" t="str">
        <x:v>Home Office</x:v>
      </x:c>
      <x:c r="F6782" t="str">
        <x:v>East</x:v>
      </x:c>
      <x:c r="G6782" t="str">
        <x:v>Technology</x:v>
      </x:c>
      <x:c r="H6782" t="str">
        <x:v>Accessories</x:v>
      </x:c>
      <x:c r="I6782" s="22" t="n">
        <x:v>449.91</x:v>
      </x:c>
      <x:c r="J6782" s="24" t="n">
        <x:v>9</x:v>
      </x:c>
      <x:c r="K6782" s="26" t="n">
        <x:v>0</x:v>
      </x:c>
      <x:c r="L6782" s="22" t="n">
        <x:v>157.46849999999998</x:v>
      </x:c>
      <x:c r="M6782" t="n">
        <x:v>2017</x:v>
      </x:c>
      <x:c r="N6782" s="20" t="n">
        <x:v>42736</x:v>
      </x:c>
    </x:row>
    <x:row r="6783" ht="18" customHeight="1">
      <x:c r="A6783" t="str">
        <x:v>US-2016-147711</x:v>
      </x:c>
      <x:c r="B6783" s="18" t="n">
        <x:v>42616</x:v>
      </x:c>
      <x:c r="C6783" t="str">
        <x:v>HF-14995</x:v>
      </x:c>
      <x:c r="D6783" t="str">
        <x:v>Herbert Flentye</x:v>
      </x:c>
      <x:c r="E6783" t="str">
        <x:v>Consumer</x:v>
      </x:c>
      <x:c r="F6783" t="str">
        <x:v>East</x:v>
      </x:c>
      <x:c r="G6783" t="str">
        <x:v>Furniture</x:v>
      </x:c>
      <x:c r="H6783" t="str">
        <x:v>Bookcases</x:v>
      </x:c>
      <x:c r="I6783" s="22" t="n">
        <x:v>344.94</x:v>
      </x:c>
      <x:c r="J6783" s="24" t="n">
        <x:v>3</x:v>
      </x:c>
      <x:c r="K6783" s="26" t="n">
        <x:v>0</x:v>
      </x:c>
      <x:c r="L6783" s="22" t="n">
        <x:v>31.044599999999974</x:v>
      </x:c>
      <x:c r="M6783" t="n">
        <x:v>2016</x:v>
      </x:c>
      <x:c r="N6783" s="20" t="n">
        <x:v>42614</x:v>
      </x:c>
    </x:row>
    <x:row r="6784" ht="18" customHeight="1">
      <x:c r="A6784" t="str">
        <x:v>US-2016-147711</x:v>
      </x:c>
      <x:c r="B6784" s="18" t="n">
        <x:v>42616</x:v>
      </x:c>
      <x:c r="C6784" t="str">
        <x:v>HF-14995</x:v>
      </x:c>
      <x:c r="D6784" t="str">
        <x:v>Herbert Flentye</x:v>
      </x:c>
      <x:c r="E6784" t="str">
        <x:v>Consumer</x:v>
      </x:c>
      <x:c r="F6784" t="str">
        <x:v>East</x:v>
      </x:c>
      <x:c r="G6784" t="str">
        <x:v>Furniture</x:v>
      </x:c>
      <x:c r="H6784" t="str">
        <x:v>Furnishings</x:v>
      </x:c>
      <x:c r="I6784" s="22" t="n">
        <x:v>14.76</x:v>
      </x:c>
      <x:c r="J6784" s="24" t="n">
        <x:v>2</x:v>
      </x:c>
      <x:c r="K6784" s="26" t="n">
        <x:v>0</x:v>
      </x:c>
      <x:c r="L6784" s="22" t="n">
        <x:v>4.280399999999998</x:v>
      </x:c>
      <x:c r="M6784" t="n">
        <x:v>2016</x:v>
      </x:c>
      <x:c r="N6784" s="20" t="n">
        <x:v>42614</x:v>
      </x:c>
    </x:row>
    <x:row r="6785" ht="18" customHeight="1">
      <x:c r="A6785" t="str">
        <x:v>US-2016-147711</x:v>
      </x:c>
      <x:c r="B6785" s="18" t="n">
        <x:v>42616</x:v>
      </x:c>
      <x:c r="C6785" t="str">
        <x:v>HF-14995</x:v>
      </x:c>
      <x:c r="D6785" t="str">
        <x:v>Herbert Flentye</x:v>
      </x:c>
      <x:c r="E6785" t="str">
        <x:v>Consumer</x:v>
      </x:c>
      <x:c r="F6785" t="str">
        <x:v>East</x:v>
      </x:c>
      <x:c r="G6785" t="str">
        <x:v>Office Supplies</x:v>
      </x:c>
      <x:c r="H6785" t="str">
        <x:v>Binders</x:v>
      </x:c>
      <x:c r="I6785" s="22" t="n">
        <x:v>12.76</x:v>
      </x:c>
      <x:c r="J6785" s="24" t="n">
        <x:v>2</x:v>
      </x:c>
      <x:c r="K6785" s="26" t="n">
        <x:v>0</x:v>
      </x:c>
      <x:c r="L6785" s="22" t="n">
        <x:v>5.869599999999999</x:v>
      </x:c>
      <x:c r="M6785" t="n">
        <x:v>2016</x:v>
      </x:c>
      <x:c r="N6785" s="20" t="n">
        <x:v>42614</x:v>
      </x:c>
    </x:row>
    <x:row r="6786" ht="18" customHeight="1">
      <x:c r="A6786" t="str">
        <x:v>US-2016-147711</x:v>
      </x:c>
      <x:c r="B6786" s="18" t="n">
        <x:v>42616</x:v>
      </x:c>
      <x:c r="C6786" t="str">
        <x:v>HF-14995</x:v>
      </x:c>
      <x:c r="D6786" t="str">
        <x:v>Herbert Flentye</x:v>
      </x:c>
      <x:c r="E6786" t="str">
        <x:v>Consumer</x:v>
      </x:c>
      <x:c r="F6786" t="str">
        <x:v>East</x:v>
      </x:c>
      <x:c r="G6786" t="str">
        <x:v>Office Supplies</x:v>
      </x:c>
      <x:c r="H6786" t="str">
        <x:v>Labels</x:v>
      </x:c>
      <x:c r="I6786" s="22" t="n">
        <x:v>58.48</x:v>
      </x:c>
      <x:c r="J6786" s="24" t="n">
        <x:v>8</x:v>
      </x:c>
      <x:c r="K6786" s="26" t="n">
        <x:v>0</x:v>
      </x:c>
      <x:c r="L6786" s="22" t="n">
        <x:v>27.485599999999998</x:v>
      </x:c>
      <x:c r="M6786" t="n">
        <x:v>2016</x:v>
      </x:c>
      <x:c r="N6786" s="20" t="n">
        <x:v>42614</x:v>
      </x:c>
    </x:row>
    <x:row r="6787" ht="18" customHeight="1">
      <x:c r="A6787" t="str">
        <x:v>CA-2017-121293</x:v>
      </x:c>
      <x:c r="B6787" s="18" t="n">
        <x:v>42941</x:v>
      </x:c>
      <x:c r="C6787" t="str">
        <x:v>JC-15775</x:v>
      </x:c>
      <x:c r="D6787" t="str">
        <x:v>John Castell</x:v>
      </x:c>
      <x:c r="E6787" t="str">
        <x:v>Consumer</x:v>
      </x:c>
      <x:c r="F6787" t="str">
        <x:v>East</x:v>
      </x:c>
      <x:c r="G6787" t="str">
        <x:v>Furniture</x:v>
      </x:c>
      <x:c r="H6787" t="str">
        <x:v>Furnishings</x:v>
      </x:c>
      <x:c r="I6787" s="22" t="n">
        <x:v>20.096000000000004</x:v>
      </x:c>
      <x:c r="J6787" s="24" t="n">
        <x:v>4</x:v>
      </x:c>
      <x:c r="K6787" s="26" t="n">
        <x:v>0.2</x:v>
      </x:c>
      <x:c r="L6787" s="22" t="n">
        <x:v>3.0143999999999984</x:v>
      </x:c>
      <x:c r="M6787" t="n">
        <x:v>2017</x:v>
      </x:c>
      <x:c r="N6787" s="20" t="n">
        <x:v>42917</x:v>
      </x:c>
    </x:row>
    <x:row r="6788" ht="18" customHeight="1">
      <x:c r="A6788" t="str">
        <x:v>CA-2017-121293</x:v>
      </x:c>
      <x:c r="B6788" s="18" t="n">
        <x:v>42941</x:v>
      </x:c>
      <x:c r="C6788" t="str">
        <x:v>JC-15775</x:v>
      </x:c>
      <x:c r="D6788" t="str">
        <x:v>John Castell</x:v>
      </x:c>
      <x:c r="E6788" t="str">
        <x:v>Consumer</x:v>
      </x:c>
      <x:c r="F6788" t="str">
        <x:v>East</x:v>
      </x:c>
      <x:c r="G6788" t="str">
        <x:v>Office Supplies</x:v>
      </x:c>
      <x:c r="H6788" t="str">
        <x:v>Supplies</x:v>
      </x:c>
      <x:c r="I6788" s="22" t="n">
        <x:v>37.752</x:v>
      </x:c>
      <x:c r="J6788" s="24" t="n">
        <x:v>3</x:v>
      </x:c>
      <x:c r="K6788" s="26" t="n">
        <x:v>0.2</x:v>
      </x:c>
      <x:c r="L6788" s="22" t="n">
        <x:v>4.247099999999994</x:v>
      </x:c>
      <x:c r="M6788" t="n">
        <x:v>2017</x:v>
      </x:c>
      <x:c r="N6788" s="20" t="n">
        <x:v>42917</x:v>
      </x:c>
    </x:row>
    <x:row r="6789" ht="18" customHeight="1">
      <x:c r="A6789" t="str">
        <x:v>CA-2017-121293</x:v>
      </x:c>
      <x:c r="B6789" s="18" t="n">
        <x:v>42941</x:v>
      </x:c>
      <x:c r="C6789" t="str">
        <x:v>JC-15775</x:v>
      </x:c>
      <x:c r="D6789" t="str">
        <x:v>John Castell</x:v>
      </x:c>
      <x:c r="E6789" t="str">
        <x:v>Consumer</x:v>
      </x:c>
      <x:c r="F6789" t="str">
        <x:v>East</x:v>
      </x:c>
      <x:c r="G6789" t="str">
        <x:v>Furniture</x:v>
      </x:c>
      <x:c r="H6789" t="str">
        <x:v>Tables</x:v>
      </x:c>
      <x:c r="I6789" s="22" t="n">
        <x:v>138.588</x:v>
      </x:c>
      <x:c r="J6789" s="24" t="n">
        <x:v>1</x:v>
      </x:c>
      <x:c r="K6789" s="26" t="n">
        <x:v>0.4</x:v>
      </x:c>
      <x:c r="L6789" s="22" t="n">
        <x:v>-34.64699999999999</x:v>
      </x:c>
      <x:c r="M6789" t="n">
        <x:v>2017</x:v>
      </x:c>
      <x:c r="N6789" s="20" t="n">
        <x:v>42917</x:v>
      </x:c>
    </x:row>
    <x:row r="6790" ht="18" customHeight="1">
      <x:c r="A6790" t="str">
        <x:v>CA-2017-121293</x:v>
      </x:c>
      <x:c r="B6790" s="18" t="n">
        <x:v>42941</x:v>
      </x:c>
      <x:c r="C6790" t="str">
        <x:v>JC-15775</x:v>
      </x:c>
      <x:c r="D6790" t="str">
        <x:v>John Castell</x:v>
      </x:c>
      <x:c r="E6790" t="str">
        <x:v>Consumer</x:v>
      </x:c>
      <x:c r="F6790" t="str">
        <x:v>East</x:v>
      </x:c>
      <x:c r="G6790" t="str">
        <x:v>Office Supplies</x:v>
      </x:c>
      <x:c r="H6790" t="str">
        <x:v>Storage</x:v>
      </x:c>
      <x:c r="I6790" s="22" t="n">
        <x:v>259.9200000000001</x:v>
      </x:c>
      <x:c r="J6790" s="24" t="n">
        <x:v>5</x:v>
      </x:c>
      <x:c r="K6790" s="26" t="n">
        <x:v>0.2</x:v>
      </x:c>
      <x:c r="L6790" s="22" t="n">
        <x:v>-25.992000000000004</x:v>
      </x:c>
      <x:c r="M6790" t="n">
        <x:v>2017</x:v>
      </x:c>
      <x:c r="N6790" s="20" t="n">
        <x:v>42917</x:v>
      </x:c>
    </x:row>
    <x:row r="6791" ht="18" customHeight="1">
      <x:c r="A6791" t="str">
        <x:v>CA-2017-121293</x:v>
      </x:c>
      <x:c r="B6791" s="18" t="n">
        <x:v>42941</x:v>
      </x:c>
      <x:c r="C6791" t="str">
        <x:v>JC-15775</x:v>
      </x:c>
      <x:c r="D6791" t="str">
        <x:v>John Castell</x:v>
      </x:c>
      <x:c r="E6791" t="str">
        <x:v>Consumer</x:v>
      </x:c>
      <x:c r="F6791" t="str">
        <x:v>East</x:v>
      </x:c>
      <x:c r="G6791" t="str">
        <x:v>Office Supplies</x:v>
      </x:c>
      <x:c r="H6791" t="str">
        <x:v>Paper</x:v>
      </x:c>
      <x:c r="I6791" s="22" t="n">
        <x:v>20.736000000000004</x:v>
      </x:c>
      <x:c r="J6791" s="24" t="n">
        <x:v>4</x:v>
      </x:c>
      <x:c r="K6791" s="26" t="n">
        <x:v>0.2</x:v>
      </x:c>
      <x:c r="L6791" s="22" t="n">
        <x:v>7.2576</x:v>
      </x:c>
      <x:c r="M6791" t="n">
        <x:v>2017</x:v>
      </x:c>
      <x:c r="N6791" s="20" t="n">
        <x:v>42917</x:v>
      </x:c>
    </x:row>
    <x:row r="6792" ht="18" customHeight="1">
      <x:c r="A6792" t="str">
        <x:v>CA-2015-118843</x:v>
      </x:c>
      <x:c r="B6792" s="18" t="n">
        <x:v>42260</x:v>
      </x:c>
      <x:c r="C6792" t="str">
        <x:v>JH-15910</x:v>
      </x:c>
      <x:c r="D6792" t="str">
        <x:v>Jonathan Howell</x:v>
      </x:c>
      <x:c r="E6792" t="str">
        <x:v>Consumer</x:v>
      </x:c>
      <x:c r="F6792" t="str">
        <x:v>South</x:v>
      </x:c>
      <x:c r="G6792" t="str">
        <x:v>Furniture</x:v>
      </x:c>
      <x:c r="H6792" t="str">
        <x:v>Furnishings</x:v>
      </x:c>
      <x:c r="I6792" s="22" t="n">
        <x:v>129.93</x:v>
      </x:c>
      <x:c r="J6792" s="24" t="n">
        <x:v>3</x:v>
      </x:c>
      <x:c r="K6792" s="26" t="n">
        <x:v>0</x:v>
      </x:c>
      <x:c r="L6792" s="22" t="n">
        <x:v>12.992999999999988</x:v>
      </x:c>
      <x:c r="M6792" t="n">
        <x:v>2015</x:v>
      </x:c>
      <x:c r="N6792" s="20" t="n">
        <x:v>42248</x:v>
      </x:c>
    </x:row>
    <x:row r="6793" ht="18" customHeight="1">
      <x:c r="A6793" t="str">
        <x:v>CA-2015-118843</x:v>
      </x:c>
      <x:c r="B6793" s="18" t="n">
        <x:v>42260</x:v>
      </x:c>
      <x:c r="C6793" t="str">
        <x:v>JH-15910</x:v>
      </x:c>
      <x:c r="D6793" t="str">
        <x:v>Jonathan Howell</x:v>
      </x:c>
      <x:c r="E6793" t="str">
        <x:v>Consumer</x:v>
      </x:c>
      <x:c r="F6793" t="str">
        <x:v>South</x:v>
      </x:c>
      <x:c r="G6793" t="str">
        <x:v>Office Supplies</x:v>
      </x:c>
      <x:c r="H6793" t="str">
        <x:v>Paper</x:v>
      </x:c>
      <x:c r="I6793" s="22" t="n">
        <x:v>69.93</x:v>
      </x:c>
      <x:c r="J6793" s="24" t="n">
        <x:v>7</x:v>
      </x:c>
      <x:c r="K6793" s="26" t="n">
        <x:v>0</x:v>
      </x:c>
      <x:c r="L6793" s="22" t="n">
        <x:v>31.4685</x:v>
      </x:c>
      <x:c r="M6793" t="n">
        <x:v>2015</x:v>
      </x:c>
      <x:c r="N6793" s="20" t="n">
        <x:v>42248</x:v>
      </x:c>
    </x:row>
    <x:row r="6794" ht="18" customHeight="1">
      <x:c r="A6794" t="str">
        <x:v>CA-2015-161445</x:v>
      </x:c>
      <x:c r="B6794" s="18" t="n">
        <x:v>42254</x:v>
      </x:c>
      <x:c r="C6794" t="str">
        <x:v>CC-12610</x:v>
      </x:c>
      <x:c r="D6794" t="str">
        <x:v>Corey Catlett</x:v>
      </x:c>
      <x:c r="E6794" t="str">
        <x:v>Corporate</x:v>
      </x:c>
      <x:c r="F6794" t="str">
        <x:v>South</x:v>
      </x:c>
      <x:c r="G6794" t="str">
        <x:v>Office Supplies</x:v>
      </x:c>
      <x:c r="H6794" t="str">
        <x:v>Art</x:v>
      </x:c>
      <x:c r="I6794" s="22" t="n">
        <x:v>140.736</x:v>
      </x:c>
      <x:c r="J6794" s="24" t="n">
        <x:v>4</x:v>
      </x:c>
      <x:c r="K6794" s="26" t="n">
        <x:v>0.2</x:v>
      </x:c>
      <x:c r="L6794" s="22" t="n">
        <x:v>12.314400000000006</x:v>
      </x:c>
      <x:c r="M6794" t="n">
        <x:v>2015</x:v>
      </x:c>
      <x:c r="N6794" s="20" t="n">
        <x:v>42248</x:v>
      </x:c>
    </x:row>
    <x:row r="6795" ht="18" customHeight="1">
      <x:c r="A6795" t="str">
        <x:v>CA-2016-124527</x:v>
      </x:c>
      <x:c r="B6795" s="18" t="n">
        <x:v>42690</x:v>
      </x:c>
      <x:c r="C6795" t="str">
        <x:v>IM-15055</x:v>
      </x:c>
      <x:c r="D6795" t="str">
        <x:v>Ionia McGrath</x:v>
      </x:c>
      <x:c r="E6795" t="str">
        <x:v>Consumer</x:v>
      </x:c>
      <x:c r="F6795" t="str">
        <x:v>West</x:v>
      </x:c>
      <x:c r="G6795" t="str">
        <x:v>Office Supplies</x:v>
      </x:c>
      <x:c r="H6795" t="str">
        <x:v>Binders</x:v>
      </x:c>
      <x:c r="I6795" s="22" t="n">
        <x:v>8.32</x:v>
      </x:c>
      <x:c r="J6795" s="24" t="n">
        <x:v>5</x:v>
      </x:c>
      <x:c r="K6795" s="26" t="n">
        <x:v>0.2</x:v>
      </x:c>
      <x:c r="L6795" s="22" t="n">
        <x:v>2.808</x:v>
      </x:c>
      <x:c r="M6795" t="n">
        <x:v>2016</x:v>
      </x:c>
      <x:c r="N6795" s="20" t="n">
        <x:v>42675</x:v>
      </x:c>
    </x:row>
    <x:row r="6796" ht="18" customHeight="1">
      <x:c r="A6796" t="str">
        <x:v>CA-2016-162348</x:v>
      </x:c>
      <x:c r="B6796" s="18" t="n">
        <x:v>42684</x:v>
      </x:c>
      <x:c r="C6796" t="str">
        <x:v>BF-11170</x:v>
      </x:c>
      <x:c r="D6796" t="str">
        <x:v>Ben Ferrer</x:v>
      </x:c>
      <x:c r="E6796" t="str">
        <x:v>Home Office</x:v>
      </x:c>
      <x:c r="F6796" t="str">
        <x:v>West</x:v>
      </x:c>
      <x:c r="G6796" t="str">
        <x:v>Furniture</x:v>
      </x:c>
      <x:c r="H6796" t="str">
        <x:v>Furnishings</x:v>
      </x:c>
      <x:c r="I6796" s="22" t="n">
        <x:v>9.98</x:v>
      </x:c>
      <x:c r="J6796" s="24" t="n">
        <x:v>1</x:v>
      </x:c>
      <x:c r="K6796" s="26" t="n">
        <x:v>0</x:v>
      </x:c>
      <x:c r="L6796" s="22" t="n">
        <x:v>2.7944000000000004</x:v>
      </x:c>
      <x:c r="M6796" t="n">
        <x:v>2016</x:v>
      </x:c>
      <x:c r="N6796" s="20" t="n">
        <x:v>42675</x:v>
      </x:c>
    </x:row>
    <x:row r="6797" ht="18" customHeight="1">
      <x:c r="A6797" t="str">
        <x:v>CA-2014-141005</x:v>
      </x:c>
      <x:c r="B6797" s="18" t="n">
        <x:v>41866</x:v>
      </x:c>
      <x:c r="C6797" t="str">
        <x:v>CS-12355</x:v>
      </x:c>
      <x:c r="D6797" t="str">
        <x:v>Christine Sundaresam</x:v>
      </x:c>
      <x:c r="E6797" t="str">
        <x:v>Consumer</x:v>
      </x:c>
      <x:c r="F6797" t="str">
        <x:v>East</x:v>
      </x:c>
      <x:c r="G6797" t="str">
        <x:v>Office Supplies</x:v>
      </x:c>
      <x:c r="H6797" t="str">
        <x:v>Binders</x:v>
      </x:c>
      <x:c r="I6797" s="22" t="n">
        <x:v>62.94</x:v>
      </x:c>
      <x:c r="J6797" s="24" t="n">
        <x:v>3</x:v>
      </x:c>
      <x:c r="K6797" s="26" t="n">
        <x:v>0</x:v>
      </x:c>
      <x:c r="L6797" s="22" t="n">
        <x:v>30.211199999999998</x:v>
      </x:c>
      <x:c r="M6797" t="n">
        <x:v>2014</x:v>
      </x:c>
      <x:c r="N6797" s="20" t="n">
        <x:v>41852</x:v>
      </x:c>
    </x:row>
    <x:row r="6798" ht="18" customHeight="1">
      <x:c r="A6798" t="str">
        <x:v>CA-2015-145394</x:v>
      </x:c>
      <x:c r="B6798" s="18" t="n">
        <x:v>42324</x:v>
      </x:c>
      <x:c r="C6798" t="str">
        <x:v>MC-17605</x:v>
      </x:c>
      <x:c r="D6798" t="str">
        <x:v>Matt Connell</x:v>
      </x:c>
      <x:c r="E6798" t="str">
        <x:v>Corporate</x:v>
      </x:c>
      <x:c r="F6798" t="str">
        <x:v>Central</x:v>
      </x:c>
      <x:c r="G6798" t="str">
        <x:v>Office Supplies</x:v>
      </x:c>
      <x:c r="H6798" t="str">
        <x:v>Storage</x:v>
      </x:c>
      <x:c r="I6798" s="22" t="n">
        <x:v>21.488</x:v>
      </x:c>
      <x:c r="J6798" s="24" t="n">
        <x:v>2</x:v>
      </x:c>
      <x:c r="K6798" s="26" t="n">
        <x:v>0.2</x:v>
      </x:c>
      <x:c r="L6798" s="22" t="n">
        <x:v>1.6115999999999993</x:v>
      </x:c>
      <x:c r="M6798" t="n">
        <x:v>2015</x:v>
      </x:c>
      <x:c r="N6798" s="20" t="n">
        <x:v>42309</x:v>
      </x:c>
    </x:row>
    <x:row r="6799" ht="18" customHeight="1">
      <x:c r="A6799" t="str">
        <x:v>CA-2015-145394</x:v>
      </x:c>
      <x:c r="B6799" s="18" t="n">
        <x:v>42324</x:v>
      </x:c>
      <x:c r="C6799" t="str">
        <x:v>MC-17605</x:v>
      </x:c>
      <x:c r="D6799" t="str">
        <x:v>Matt Connell</x:v>
      </x:c>
      <x:c r="E6799" t="str">
        <x:v>Corporate</x:v>
      </x:c>
      <x:c r="F6799" t="str">
        <x:v>Central</x:v>
      </x:c>
      <x:c r="G6799" t="str">
        <x:v>Technology</x:v>
      </x:c>
      <x:c r="H6799" t="str">
        <x:v>Phones</x:v>
      </x:c>
      <x:c r="I6799" s="22" t="n">
        <x:v>239.976</x:v>
      </x:c>
      <x:c r="J6799" s="24" t="n">
        <x:v>3</x:v>
      </x:c>
      <x:c r="K6799" s="26" t="n">
        <x:v>0.2</x:v>
      </x:c>
      <x:c r="L6799" s="22" t="n">
        <x:v>26.997299999999967</x:v>
      </x:c>
      <x:c r="M6799" t="n">
        <x:v>2015</x:v>
      </x:c>
      <x:c r="N6799" s="20" t="n">
        <x:v>42309</x:v>
      </x:c>
    </x:row>
    <x:row r="6800" ht="18" customHeight="1">
      <x:c r="A6800" t="str">
        <x:v>CA-2015-145394</x:v>
      </x:c>
      <x:c r="B6800" s="18" t="n">
        <x:v>42324</x:v>
      </x:c>
      <x:c r="C6800" t="str">
        <x:v>MC-17605</x:v>
      </x:c>
      <x:c r="D6800" t="str">
        <x:v>Matt Connell</x:v>
      </x:c>
      <x:c r="E6800" t="str">
        <x:v>Corporate</x:v>
      </x:c>
      <x:c r="F6800" t="str">
        <x:v>Central</x:v>
      </x:c>
      <x:c r="G6800" t="str">
        <x:v>Furniture</x:v>
      </x:c>
      <x:c r="H6800" t="str">
        <x:v>Furnishings</x:v>
      </x:c>
      <x:c r="I6800" s="22" t="n">
        <x:v>34.504000000000005</x:v>
      </x:c>
      <x:c r="J6800" s="24" t="n">
        <x:v>2</x:v>
      </x:c>
      <x:c r="K6800" s="26" t="n">
        <x:v>0.6</x:v>
      </x:c>
      <x:c r="L6800" s="22" t="n">
        <x:v>-15.526799999999994</x:v>
      </x:c>
      <x:c r="M6800" t="n">
        <x:v>2015</x:v>
      </x:c>
      <x:c r="N6800" s="20" t="n">
        <x:v>42309</x:v>
      </x:c>
    </x:row>
    <x:row r="6801" ht="18" customHeight="1">
      <x:c r="A6801" t="str">
        <x:v>CA-2015-168809</x:v>
      </x:c>
      <x:c r="B6801" s="18" t="n">
        <x:v>42241</x:v>
      </x:c>
      <x:c r="C6801" t="str">
        <x:v>MC-18100</x:v>
      </x:c>
      <x:c r="D6801" t="str">
        <x:v>Mick Crebagga</x:v>
      </x:c>
      <x:c r="E6801" t="str">
        <x:v>Consumer</x:v>
      </x:c>
      <x:c r="F6801" t="str">
        <x:v>Central</x:v>
      </x:c>
      <x:c r="G6801" t="str">
        <x:v>Furniture</x:v>
      </x:c>
      <x:c r="H6801" t="str">
        <x:v>Furnishings</x:v>
      </x:c>
      <x:c r="I6801" s="22" t="n">
        <x:v>20.104</x:v>
      </x:c>
      <x:c r="J6801" s="24" t="n">
        <x:v>2</x:v>
      </x:c>
      <x:c r="K6801" s="26" t="n">
        <x:v>0.6</x:v>
      </x:c>
      <x:c r="L6801" s="22" t="n">
        <x:v>-16.5858</x:v>
      </x:c>
      <x:c r="M6801" t="n">
        <x:v>2015</x:v>
      </x:c>
      <x:c r="N6801" s="20" t="n">
        <x:v>42217</x:v>
      </x:c>
    </x:row>
    <x:row r="6802" ht="18" customHeight="1">
      <x:c r="A6802" t="str">
        <x:v>CA-2015-168809</x:v>
      </x:c>
      <x:c r="B6802" s="18" t="n">
        <x:v>42241</x:v>
      </x:c>
      <x:c r="C6802" t="str">
        <x:v>MC-18100</x:v>
      </x:c>
      <x:c r="D6802" t="str">
        <x:v>Mick Crebagga</x:v>
      </x:c>
      <x:c r="E6802" t="str">
        <x:v>Consumer</x:v>
      </x:c>
      <x:c r="F6802" t="str">
        <x:v>Central</x:v>
      </x:c>
      <x:c r="G6802" t="str">
        <x:v>Office Supplies</x:v>
      </x:c>
      <x:c r="H6802" t="str">
        <x:v>Binders</x:v>
      </x:c>
      <x:c r="I6802" s="22" t="n">
        <x:v>3.7979999999999987</x:v>
      </x:c>
      <x:c r="J6802" s="24" t="n">
        <x:v>1</x:v>
      </x:c>
      <x:c r="K6802" s="26" t="n">
        <x:v>0.8</x:v>
      </x:c>
      <x:c r="L6802" s="22" t="n">
        <x:v>-6.0768</x:v>
      </x:c>
      <x:c r="M6802" t="n">
        <x:v>2015</x:v>
      </x:c>
      <x:c r="N6802" s="20" t="n">
        <x:v>42217</x:v>
      </x:c>
    </x:row>
    <x:row r="6803" ht="18" customHeight="1">
      <x:c r="A6803" t="str">
        <x:v>CA-2015-168809</x:v>
      </x:c>
      <x:c r="B6803" s="18" t="n">
        <x:v>42241</x:v>
      </x:c>
      <x:c r="C6803" t="str">
        <x:v>MC-18100</x:v>
      </x:c>
      <x:c r="D6803" t="str">
        <x:v>Mick Crebagga</x:v>
      </x:c>
      <x:c r="E6803" t="str">
        <x:v>Consumer</x:v>
      </x:c>
      <x:c r="F6803" t="str">
        <x:v>Central</x:v>
      </x:c>
      <x:c r="G6803" t="str">
        <x:v>Furniture</x:v>
      </x:c>
      <x:c r="H6803" t="str">
        <x:v>Furnishings</x:v>
      </x:c>
      <x:c r="I6803" s="22" t="n">
        <x:v>7.880000000000001</x:v>
      </x:c>
      <x:c r="J6803" s="24" t="n">
        <x:v>5</x:v>
      </x:c>
      <x:c r="K6803" s="26" t="n">
        <x:v>0.6</x:v>
      </x:c>
      <x:c r="L6803" s="22" t="n">
        <x:v>-3.9399999999999995</x:v>
      </x:c>
      <x:c r="M6803" t="n">
        <x:v>2015</x:v>
      </x:c>
      <x:c r="N6803" s="20" t="n">
        <x:v>42217</x:v>
      </x:c>
    </x:row>
    <x:row r="6804" ht="18" customHeight="1">
      <x:c r="A6804" t="str">
        <x:v>CA-2016-109827</x:v>
      </x:c>
      <x:c r="B6804" s="18" t="n">
        <x:v>42729</x:v>
      </x:c>
      <x:c r="C6804" t="str">
        <x:v>LW-16825</x:v>
      </x:c>
      <x:c r="D6804" t="str">
        <x:v>Laurel Workman</x:v>
      </x:c>
      <x:c r="E6804" t="str">
        <x:v>Corporate</x:v>
      </x:c>
      <x:c r="F6804" t="str">
        <x:v>West</x:v>
      </x:c>
      <x:c r="G6804" t="str">
        <x:v>Furniture</x:v>
      </x:c>
      <x:c r="H6804" t="str">
        <x:v>Tables</x:v>
      </x:c>
      <x:c r="I6804" s="22" t="n">
        <x:v>35.445</x:v>
      </x:c>
      <x:c r="J6804" s="24" t="n">
        <x:v>1</x:v>
      </x:c>
      <x:c r="K6804" s="26" t="n">
        <x:v>0.5</x:v>
      </x:c>
      <x:c r="L6804" s="22" t="n">
        <x:v>-24.102599999999995</x:v>
      </x:c>
      <x:c r="M6804" t="n">
        <x:v>2016</x:v>
      </x:c>
      <x:c r="N6804" s="20" t="n">
        <x:v>42705</x:v>
      </x:c>
    </x:row>
    <x:row r="6805" ht="18" customHeight="1">
      <x:c r="A6805" t="str">
        <x:v>CA-2016-109827</x:v>
      </x:c>
      <x:c r="B6805" s="18" t="n">
        <x:v>42729</x:v>
      </x:c>
      <x:c r="C6805" t="str">
        <x:v>LW-16825</x:v>
      </x:c>
      <x:c r="D6805" t="str">
        <x:v>Laurel Workman</x:v>
      </x:c>
      <x:c r="E6805" t="str">
        <x:v>Corporate</x:v>
      </x:c>
      <x:c r="F6805" t="str">
        <x:v>West</x:v>
      </x:c>
      <x:c r="G6805" t="str">
        <x:v>Technology</x:v>
      </x:c>
      <x:c r="H6805" t="str">
        <x:v>Machines</x:v>
      </x:c>
      <x:c r="I6805" s="22" t="n">
        <x:v>269.97</x:v>
      </x:c>
      <x:c r="J6805" s="24" t="n">
        <x:v>2</x:v>
      </x:c>
      <x:c r="K6805" s="26" t="n">
        <x:v>0.7</x:v>
      </x:c>
      <x:c r="L6805" s="22" t="n">
        <x:v>-386.957</x:v>
      </x:c>
      <x:c r="M6805" t="n">
        <x:v>2016</x:v>
      </x:c>
      <x:c r="N6805" s="20" t="n">
        <x:v>42705</x:v>
      </x:c>
    </x:row>
    <x:row r="6806" ht="18" customHeight="1">
      <x:c r="A6806" t="str">
        <x:v>CA-2016-109827</x:v>
      </x:c>
      <x:c r="B6806" s="18" t="n">
        <x:v>42729</x:v>
      </x:c>
      <x:c r="C6806" t="str">
        <x:v>LW-16825</x:v>
      </x:c>
      <x:c r="D6806" t="str">
        <x:v>Laurel Workman</x:v>
      </x:c>
      <x:c r="E6806" t="str">
        <x:v>Corporate</x:v>
      </x:c>
      <x:c r="F6806" t="str">
        <x:v>West</x:v>
      </x:c>
      <x:c r="G6806" t="str">
        <x:v>Technology</x:v>
      </x:c>
      <x:c r="H6806" t="str">
        <x:v>Accessories</x:v>
      </x:c>
      <x:c r="I6806" s="22" t="n">
        <x:v>45.120000000000005</x:v>
      </x:c>
      <x:c r="J6806" s="24" t="n">
        <x:v>3</x:v>
      </x:c>
      <x:c r="K6806" s="26" t="n">
        <x:v>0.2</x:v>
      </x:c>
      <x:c r="L6806" s="22" t="n">
        <x:v>-7.896000000000001</x:v>
      </x:c>
      <x:c r="M6806" t="n">
        <x:v>2016</x:v>
      </x:c>
      <x:c r="N6806" s="20" t="n">
        <x:v>42705</x:v>
      </x:c>
    </x:row>
    <x:row r="6807" ht="18" customHeight="1">
      <x:c r="A6807" t="str">
        <x:v>CA-2016-109827</x:v>
      </x:c>
      <x:c r="B6807" s="18" t="n">
        <x:v>42729</x:v>
      </x:c>
      <x:c r="C6807" t="str">
        <x:v>LW-16825</x:v>
      </x:c>
      <x:c r="D6807" t="str">
        <x:v>Laurel Workman</x:v>
      </x:c>
      <x:c r="E6807" t="str">
        <x:v>Corporate</x:v>
      </x:c>
      <x:c r="F6807" t="str">
        <x:v>West</x:v>
      </x:c>
      <x:c r="G6807" t="str">
        <x:v>Technology</x:v>
      </x:c>
      <x:c r="H6807" t="str">
        <x:v>Accessories</x:v>
      </x:c>
      <x:c r="I6807" s="22" t="n">
        <x:v>100.80000000000001</x:v>
      </x:c>
      <x:c r="J6807" s="24" t="n">
        <x:v>2</x:v>
      </x:c>
      <x:c r="K6807" s="26" t="n">
        <x:v>0.2</x:v>
      </x:c>
      <x:c r="L6807" s="22" t="n">
        <x:v>21.42</x:v>
      </x:c>
      <x:c r="M6807" t="n">
        <x:v>2016</x:v>
      </x:c>
      <x:c r="N6807" s="20" t="n">
        <x:v>42705</x:v>
      </x:c>
    </x:row>
    <x:row r="6808" ht="18" customHeight="1">
      <x:c r="A6808" t="str">
        <x:v>CA-2016-109827</x:v>
      </x:c>
      <x:c r="B6808" s="18" t="n">
        <x:v>42729</x:v>
      </x:c>
      <x:c r="C6808" t="str">
        <x:v>LW-16825</x:v>
      </x:c>
      <x:c r="D6808" t="str">
        <x:v>Laurel Workman</x:v>
      </x:c>
      <x:c r="E6808" t="str">
        <x:v>Corporate</x:v>
      </x:c>
      <x:c r="F6808" t="str">
        <x:v>West</x:v>
      </x:c>
      <x:c r="G6808" t="str">
        <x:v>Furniture</x:v>
      </x:c>
      <x:c r="H6808" t="str">
        <x:v>Chairs</x:v>
      </x:c>
      <x:c r="I6808" s="22" t="n">
        <x:v>47.968</x:v>
      </x:c>
      <x:c r="J6808" s="24" t="n">
        <x:v>2</x:v>
      </x:c>
      <x:c r="K6808" s="26" t="n">
        <x:v>0.2</x:v>
      </x:c>
      <x:c r="L6808" s="22" t="n">
        <x:v>4.197199999999999</x:v>
      </x:c>
      <x:c r="M6808" t="n">
        <x:v>2016</x:v>
      </x:c>
      <x:c r="N6808" s="20" t="n">
        <x:v>42705</x:v>
      </x:c>
    </x:row>
    <x:row r="6809" ht="18" customHeight="1">
      <x:c r="A6809" t="str">
        <x:v>CA-2014-152233</x:v>
      </x:c>
      <x:c r="B6809" s="18" t="n">
        <x:v>41917</x:v>
      </x:c>
      <x:c r="C6809" t="str">
        <x:v>KH-16510</x:v>
      </x:c>
      <x:c r="D6809" t="str">
        <x:v>Keith Herrera</x:v>
      </x:c>
      <x:c r="E6809" t="str">
        <x:v>Consumer</x:v>
      </x:c>
      <x:c r="F6809" t="str">
        <x:v>West</x:v>
      </x:c>
      <x:c r="G6809" t="str">
        <x:v>Technology</x:v>
      </x:c>
      <x:c r="H6809" t="str">
        <x:v>Accessories</x:v>
      </x:c>
      <x:c r="I6809" s="22" t="n">
        <x:v>99.98</x:v>
      </x:c>
      <x:c r="J6809" s="24" t="n">
        <x:v>2</x:v>
      </x:c>
      <x:c r="K6809" s="26" t="n">
        <x:v>0</x:v>
      </x:c>
      <x:c r="L6809" s="22" t="n">
        <x:v>34.992999999999995</x:v>
      </x:c>
      <x:c r="M6809" t="n">
        <x:v>2014</x:v>
      </x:c>
      <x:c r="N6809" s="20" t="n">
        <x:v>41913</x:v>
      </x:c>
    </x:row>
    <x:row r="6810" ht="18" customHeight="1">
      <x:c r="A6810" t="str">
        <x:v>CA-2014-125682</x:v>
      </x:c>
      <x:c r="B6810" s="18" t="n">
        <x:v>41965</x:v>
      </x:c>
      <x:c r="C6810" t="str">
        <x:v>RB-19645</x:v>
      </x:c>
      <x:c r="D6810" t="str">
        <x:v>Robert Barroso</x:v>
      </x:c>
      <x:c r="E6810" t="str">
        <x:v>Corporate</x:v>
      </x:c>
      <x:c r="F6810" t="str">
        <x:v>South</x:v>
      </x:c>
      <x:c r="G6810" t="str">
        <x:v>Office Supplies</x:v>
      </x:c>
      <x:c r="H6810" t="str">
        <x:v>Paper</x:v>
      </x:c>
      <x:c r="I6810" s="22" t="n">
        <x:v>9.96</x:v>
      </x:c>
      <x:c r="J6810" s="24" t="n">
        <x:v>2</x:v>
      </x:c>
      <x:c r="K6810" s="26" t="n">
        <x:v>0</x:v>
      </x:c>
      <x:c r="L6810" s="22" t="n">
        <x:v>4.880400000000001</x:v>
      </x:c>
      <x:c r="M6810" t="n">
        <x:v>2014</x:v>
      </x:c>
      <x:c r="N6810" s="20" t="n">
        <x:v>41944</x:v>
      </x:c>
    </x:row>
    <x:row r="6811" ht="18" customHeight="1">
      <x:c r="A6811" t="str">
        <x:v>CA-2017-162880</x:v>
      </x:c>
      <x:c r="B6811" s="18" t="n">
        <x:v>43094</x:v>
      </x:c>
      <x:c r="C6811" t="str">
        <x:v>GD-14590</x:v>
      </x:c>
      <x:c r="D6811" t="str">
        <x:v>Giulietta Dortch</x:v>
      </x:c>
      <x:c r="E6811" t="str">
        <x:v>Corporate</x:v>
      </x:c>
      <x:c r="F6811" t="str">
        <x:v>West</x:v>
      </x:c>
      <x:c r="G6811" t="str">
        <x:v>Office Supplies</x:v>
      </x:c>
      <x:c r="H6811" t="str">
        <x:v>Binders</x:v>
      </x:c>
      <x:c r="I6811" s="22" t="n">
        <x:v>3.8560000000000003</x:v>
      </x:c>
      <x:c r="J6811" s="24" t="n">
        <x:v>1</x:v>
      </x:c>
      <x:c r="K6811" s="26" t="n">
        <x:v>0.2</x:v>
      </x:c>
      <x:c r="L6811" s="22" t="n">
        <x:v>1.3978000000000002</x:v>
      </x:c>
      <x:c r="M6811" t="n">
        <x:v>2017</x:v>
      </x:c>
      <x:c r="N6811" s="20" t="n">
        <x:v>43070</x:v>
      </x:c>
    </x:row>
    <x:row r="6812" ht="18" customHeight="1">
      <x:c r="A6812" t="str">
        <x:v>CA-2015-128125</x:v>
      </x:c>
      <x:c r="B6812" s="18" t="n">
        <x:v>42094</x:v>
      </x:c>
      <x:c r="C6812" t="str">
        <x:v>EB-13705</x:v>
      </x:c>
      <x:c r="D6812" t="str">
        <x:v>Ed Braxton</x:v>
      </x:c>
      <x:c r="E6812" t="str">
        <x:v>Corporate</x:v>
      </x:c>
      <x:c r="F6812" t="str">
        <x:v>Central</x:v>
      </x:c>
      <x:c r="G6812" t="str">
        <x:v>Office Supplies</x:v>
      </x:c>
      <x:c r="H6812" t="str">
        <x:v>Paper</x:v>
      </x:c>
      <x:c r="I6812" s="22" t="n">
        <x:v>98.376</x:v>
      </x:c>
      <x:c r="J6812" s="24" t="n">
        <x:v>3</x:v>
      </x:c>
      <x:c r="K6812" s="26" t="n">
        <x:v>0.2</x:v>
      </x:c>
      <x:c r="L6812" s="22" t="n">
        <x:v>35.661300000000004</x:v>
      </x:c>
      <x:c r="M6812" t="n">
        <x:v>2015</x:v>
      </x:c>
      <x:c r="N6812" s="20" t="n">
        <x:v>42064</x:v>
      </x:c>
    </x:row>
    <x:row r="6813" ht="18" customHeight="1">
      <x:c r="A6813" t="str">
        <x:v>CA-2015-128125</x:v>
      </x:c>
      <x:c r="B6813" s="18" t="n">
        <x:v>42094</x:v>
      </x:c>
      <x:c r="C6813" t="str">
        <x:v>EB-13705</x:v>
      </x:c>
      <x:c r="D6813" t="str">
        <x:v>Ed Braxton</x:v>
      </x:c>
      <x:c r="E6813" t="str">
        <x:v>Corporate</x:v>
      </x:c>
      <x:c r="F6813" t="str">
        <x:v>Central</x:v>
      </x:c>
      <x:c r="G6813" t="str">
        <x:v>Furniture</x:v>
      </x:c>
      <x:c r="H6813" t="str">
        <x:v>Furnishings</x:v>
      </x:c>
      <x:c r="I6813" s="22" t="n">
        <x:v>22.38</x:v>
      </x:c>
      <x:c r="J6813" s="24" t="n">
        <x:v>3</x:v>
      </x:c>
      <x:c r="K6813" s="26" t="n">
        <x:v>0.6</x:v>
      </x:c>
      <x:c r="L6813" s="22" t="n">
        <x:v>-7.8330000000000055</x:v>
      </x:c>
      <x:c r="M6813" t="n">
        <x:v>2015</x:v>
      </x:c>
      <x:c r="N6813" s="20" t="n">
        <x:v>42064</x:v>
      </x:c>
    </x:row>
    <x:row r="6814" ht="18" customHeight="1">
      <x:c r="A6814" t="str">
        <x:v>CA-2017-156237</x:v>
      </x:c>
      <x:c r="B6814" s="18" t="n">
        <x:v>42992</x:v>
      </x:c>
      <x:c r="C6814" t="str">
        <x:v>PS-18760</x:v>
      </x:c>
      <x:c r="D6814" t="str">
        <x:v>Pamela Stobb</x:v>
      </x:c>
      <x:c r="E6814" t="str">
        <x:v>Consumer</x:v>
      </x:c>
      <x:c r="F6814" t="str">
        <x:v>East</x:v>
      </x:c>
      <x:c r="G6814" t="str">
        <x:v>Office Supplies</x:v>
      </x:c>
      <x:c r="H6814" t="str">
        <x:v>Binders</x:v>
      </x:c>
      <x:c r="I6814" s="22" t="n">
        <x:v>3.8820000000000006</x:v>
      </x:c>
      <x:c r="J6814" s="24" t="n">
        <x:v>2</x:v>
      </x:c>
      <x:c r="K6814" s="26" t="n">
        <x:v>0.7</x:v>
      </x:c>
      <x:c r="L6814" s="22" t="n">
        <x:v>-2.588</x:v>
      </x:c>
      <x:c r="M6814" t="n">
        <x:v>2017</x:v>
      </x:c>
      <x:c r="N6814" s="20" t="n">
        <x:v>42979</x:v>
      </x:c>
    </x:row>
    <x:row r="6815" ht="18" customHeight="1">
      <x:c r="A6815" t="str">
        <x:v>CA-2017-156237</x:v>
      </x:c>
      <x:c r="B6815" s="18" t="n">
        <x:v>42992</x:v>
      </x:c>
      <x:c r="C6815" t="str">
        <x:v>PS-18760</x:v>
      </x:c>
      <x:c r="D6815" t="str">
        <x:v>Pamela Stobb</x:v>
      </x:c>
      <x:c r="E6815" t="str">
        <x:v>Consumer</x:v>
      </x:c>
      <x:c r="F6815" t="str">
        <x:v>East</x:v>
      </x:c>
      <x:c r="G6815" t="str">
        <x:v>Technology</x:v>
      </x:c>
      <x:c r="H6815" t="str">
        <x:v>Machines</x:v>
      </x:c>
      <x:c r="I6815" s="22" t="n">
        <x:v>12.585000000000003</x:v>
      </x:c>
      <x:c r="J6815" s="24" t="n">
        <x:v>1</x:v>
      </x:c>
      <x:c r="K6815" s="26" t="n">
        <x:v>0.7</x:v>
      </x:c>
      <x:c r="L6815" s="22" t="n">
        <x:v>-18.038499999999996</x:v>
      </x:c>
      <x:c r="M6815" t="n">
        <x:v>2017</x:v>
      </x:c>
      <x:c r="N6815" s="20" t="n">
        <x:v>42979</x:v>
      </x:c>
    </x:row>
    <x:row r="6816" ht="18" customHeight="1">
      <x:c r="A6816" t="str">
        <x:v>CA-2017-156237</x:v>
      </x:c>
      <x:c r="B6816" s="18" t="n">
        <x:v>42992</x:v>
      </x:c>
      <x:c r="C6816" t="str">
        <x:v>PS-18760</x:v>
      </x:c>
      <x:c r="D6816" t="str">
        <x:v>Pamela Stobb</x:v>
      </x:c>
      <x:c r="E6816" t="str">
        <x:v>Consumer</x:v>
      </x:c>
      <x:c r="F6816" t="str">
        <x:v>East</x:v>
      </x:c>
      <x:c r="G6816" t="str">
        <x:v>Furniture</x:v>
      </x:c>
      <x:c r="H6816" t="str">
        <x:v>Chairs</x:v>
      </x:c>
      <x:c r="I6816" s="22" t="n">
        <x:v>113.372</x:v>
      </x:c>
      <x:c r="J6816" s="24" t="n">
        <x:v>2</x:v>
      </x:c>
      <x:c r="K6816" s="26" t="n">
        <x:v>0.3</x:v>
      </x:c>
      <x:c r="L6816" s="22" t="n">
        <x:v>-29.152799999999992</x:v>
      </x:c>
      <x:c r="M6816" t="n">
        <x:v>2017</x:v>
      </x:c>
      <x:c r="N6816" s="20" t="n">
        <x:v>42979</x:v>
      </x:c>
    </x:row>
    <x:row r="6817" ht="18" customHeight="1">
      <x:c r="A6817" t="str">
        <x:v>CA-2017-156237</x:v>
      </x:c>
      <x:c r="B6817" s="18" t="n">
        <x:v>42992</x:v>
      </x:c>
      <x:c r="C6817" t="str">
        <x:v>PS-18760</x:v>
      </x:c>
      <x:c r="D6817" t="str">
        <x:v>Pamela Stobb</x:v>
      </x:c>
      <x:c r="E6817" t="str">
        <x:v>Consumer</x:v>
      </x:c>
      <x:c r="F6817" t="str">
        <x:v>East</x:v>
      </x:c>
      <x:c r="G6817" t="str">
        <x:v>Office Supplies</x:v>
      </x:c>
      <x:c r="H6817" t="str">
        <x:v>Binders</x:v>
      </x:c>
      <x:c r="I6817" s="22" t="n">
        <x:v>18.312</x:v>
      </x:c>
      <x:c r="J6817" s="24" t="n">
        <x:v>4</x:v>
      </x:c>
      <x:c r="K6817" s="26" t="n">
        <x:v>0.7</x:v>
      </x:c>
      <x:c r="L6817" s="22" t="n">
        <x:v>-12.207999999999995</x:v>
      </x:c>
      <x:c r="M6817" t="n">
        <x:v>2017</x:v>
      </x:c>
      <x:c r="N6817" s="20" t="n">
        <x:v>42979</x:v>
      </x:c>
    </x:row>
    <x:row r="6818" ht="18" customHeight="1">
      <x:c r="A6818" t="str">
        <x:v>CA-2017-156237</x:v>
      </x:c>
      <x:c r="B6818" s="18" t="n">
        <x:v>42992</x:v>
      </x:c>
      <x:c r="C6818" t="str">
        <x:v>PS-18760</x:v>
      </x:c>
      <x:c r="D6818" t="str">
        <x:v>Pamela Stobb</x:v>
      </x:c>
      <x:c r="E6818" t="str">
        <x:v>Consumer</x:v>
      </x:c>
      <x:c r="F6818" t="str">
        <x:v>East</x:v>
      </x:c>
      <x:c r="G6818" t="str">
        <x:v>Furniture</x:v>
      </x:c>
      <x:c r="H6818" t="str">
        <x:v>Furnishings</x:v>
      </x:c>
      <x:c r="I6818" s="22" t="n">
        <x:v>127.93599999999999</x:v>
      </x:c>
      <x:c r="J6818" s="24" t="n">
        <x:v>8</x:v>
      </x:c>
      <x:c r="K6818" s="26" t="n">
        <x:v>0.2</x:v>
      </x:c>
      <x:c r="L6818" s="22" t="n">
        <x:v>4.797599999999999</x:v>
      </x:c>
      <x:c r="M6818" t="n">
        <x:v>2017</x:v>
      </x:c>
      <x:c r="N6818" s="20" t="n">
        <x:v>42979</x:v>
      </x:c>
    </x:row>
    <x:row r="6819" ht="18" customHeight="1">
      <x:c r="A6819" t="str">
        <x:v>CA-2017-156237</x:v>
      </x:c>
      <x:c r="B6819" s="18" t="n">
        <x:v>42992</x:v>
      </x:c>
      <x:c r="C6819" t="str">
        <x:v>PS-18760</x:v>
      </x:c>
      <x:c r="D6819" t="str">
        <x:v>Pamela Stobb</x:v>
      </x:c>
      <x:c r="E6819" t="str">
        <x:v>Consumer</x:v>
      </x:c>
      <x:c r="F6819" t="str">
        <x:v>East</x:v>
      </x:c>
      <x:c r="G6819" t="str">
        <x:v>Technology</x:v>
      </x:c>
      <x:c r="H6819" t="str">
        <x:v>Machines</x:v>
      </x:c>
      <x:c r="I6819" s="22" t="n">
        <x:v>241.17000000000002</x:v>
      </x:c>
      <x:c r="J6819" s="24" t="n">
        <x:v>2</x:v>
      </x:c>
      <x:c r="K6819" s="26" t="n">
        <x:v>0.7</x:v>
      </x:c>
      <x:c r="L6819" s="22" t="n">
        <x:v>-168.8189999999999</x:v>
      </x:c>
      <x:c r="M6819" t="n">
        <x:v>2017</x:v>
      </x:c>
      <x:c r="N6819" s="20" t="n">
        <x:v>42979</x:v>
      </x:c>
    </x:row>
    <x:row r="6820" ht="18" customHeight="1">
      <x:c r="A6820" t="str">
        <x:v>CA-2014-144414</x:v>
      </x:c>
      <x:c r="B6820" s="18" t="n">
        <x:v>41807</x:v>
      </x:c>
      <x:c r="C6820" t="str">
        <x:v>GH-14425</x:v>
      </x:c>
      <x:c r="D6820" t="str">
        <x:v>Gary Hwang</x:v>
      </x:c>
      <x:c r="E6820" t="str">
        <x:v>Consumer</x:v>
      </x:c>
      <x:c r="F6820" t="str">
        <x:v>West</x:v>
      </x:c>
      <x:c r="G6820" t="str">
        <x:v>Furniture</x:v>
      </x:c>
      <x:c r="H6820" t="str">
        <x:v>Furnishings</x:v>
      </x:c>
      <x:c r="I6820" s="22" t="n">
        <x:v>6.24</x:v>
      </x:c>
      <x:c r="J6820" s="24" t="n">
        <x:v>3</x:v>
      </x:c>
      <x:c r="K6820" s="26" t="n">
        <x:v>0</x:v>
      </x:c>
      <x:c r="L6820" s="22" t="n">
        <x:v>2.6208000000000005</x:v>
      </x:c>
      <x:c r="M6820" t="n">
        <x:v>2014</x:v>
      </x:c>
      <x:c r="N6820" s="20" t="n">
        <x:v>41791</x:v>
      </x:c>
    </x:row>
    <x:row r="6821" ht="18" customHeight="1">
      <x:c r="A6821" t="str">
        <x:v>CA-2014-144414</x:v>
      </x:c>
      <x:c r="B6821" s="18" t="n">
        <x:v>41807</x:v>
      </x:c>
      <x:c r="C6821" t="str">
        <x:v>GH-14425</x:v>
      </x:c>
      <x:c r="D6821" t="str">
        <x:v>Gary Hwang</x:v>
      </x:c>
      <x:c r="E6821" t="str">
        <x:v>Consumer</x:v>
      </x:c>
      <x:c r="F6821" t="str">
        <x:v>West</x:v>
      </x:c>
      <x:c r="G6821" t="str">
        <x:v>Office Supplies</x:v>
      </x:c>
      <x:c r="H6821" t="str">
        <x:v>Fasteners</x:v>
      </x:c>
      <x:c r="I6821" s="22" t="n">
        <x:v>17.9</x:v>
      </x:c>
      <x:c r="J6821" s="24" t="n">
        <x:v>5</x:v>
      </x:c>
      <x:c r="K6821" s="26" t="n">
        <x:v>0</x:v>
      </x:c>
      <x:c r="L6821" s="22" t="n">
        <x:v>8.95</x:v>
      </x:c>
      <x:c r="M6821" t="n">
        <x:v>2014</x:v>
      </x:c>
      <x:c r="N6821" s="20" t="n">
        <x:v>41791</x:v>
      </x:c>
    </x:row>
    <x:row r="6822" ht="18" customHeight="1">
      <x:c r="A6822" t="str">
        <x:v>CA-2014-144414</x:v>
      </x:c>
      <x:c r="B6822" s="18" t="n">
        <x:v>41807</x:v>
      </x:c>
      <x:c r="C6822" t="str">
        <x:v>GH-14425</x:v>
      </x:c>
      <x:c r="D6822" t="str">
        <x:v>Gary Hwang</x:v>
      </x:c>
      <x:c r="E6822" t="str">
        <x:v>Consumer</x:v>
      </x:c>
      <x:c r="F6822" t="str">
        <x:v>West</x:v>
      </x:c>
      <x:c r="G6822" t="str">
        <x:v>Office Supplies</x:v>
      </x:c>
      <x:c r="H6822" t="str">
        <x:v>Binders</x:v>
      </x:c>
      <x:c r="I6822" s="22" t="n">
        <x:v>3266.376</x:v>
      </x:c>
      <x:c r="J6822" s="24" t="n">
        <x:v>3</x:v>
      </x:c>
      <x:c r="K6822" s="26" t="n">
        <x:v>0.2</x:v>
      </x:c>
      <x:c r="L6822" s="22" t="n">
        <x:v>1061.5721999999998</x:v>
      </x:c>
      <x:c r="M6822" t="n">
        <x:v>2014</x:v>
      </x:c>
      <x:c r="N6822" s="20" t="n">
        <x:v>41791</x:v>
      </x:c>
    </x:row>
    <x:row r="6823" ht="18" customHeight="1">
      <x:c r="A6823" t="str">
        <x:v>CA-2017-163860</x:v>
      </x:c>
      <x:c r="B6823" s="18" t="n">
        <x:v>43097</x:v>
      </x:c>
      <x:c r="C6823" t="str">
        <x:v>LO-17170</x:v>
      </x:c>
      <x:c r="D6823" t="str">
        <x:v>Lori Olson</x:v>
      </x:c>
      <x:c r="E6823" t="str">
        <x:v>Corporate</x:v>
      </x:c>
      <x:c r="F6823" t="str">
        <x:v>Central</x:v>
      </x:c>
      <x:c r="G6823" t="str">
        <x:v>Office Supplies</x:v>
      </x:c>
      <x:c r="H6823" t="str">
        <x:v>Binders</x:v>
      </x:c>
      <x:c r="I6823" s="22" t="n">
        <x:v>1.6799999999999995</x:v>
      </x:c>
      <x:c r="J6823" s="24" t="n">
        <x:v>5</x:v>
      </x:c>
      <x:c r="K6823" s="26" t="n">
        <x:v>0.8</x:v>
      </x:c>
      <x:c r="L6823" s="22" t="n">
        <x:v>-2.6880000000000015</x:v>
      </x:c>
      <x:c r="M6823" t="n">
        <x:v>2017</x:v>
      </x:c>
      <x:c r="N6823" s="20" t="n">
        <x:v>43070</x:v>
      </x:c>
    </x:row>
    <x:row r="6824" ht="18" customHeight="1">
      <x:c r="A6824" t="str">
        <x:v>CA-2017-163860</x:v>
      </x:c>
      <x:c r="B6824" s="18" t="n">
        <x:v>43097</x:v>
      </x:c>
      <x:c r="C6824" t="str">
        <x:v>LO-17170</x:v>
      </x:c>
      <x:c r="D6824" t="str">
        <x:v>Lori Olson</x:v>
      </x:c>
      <x:c r="E6824" t="str">
        <x:v>Corporate</x:v>
      </x:c>
      <x:c r="F6824" t="str">
        <x:v>Central</x:v>
      </x:c>
      <x:c r="G6824" t="str">
        <x:v>Furniture</x:v>
      </x:c>
      <x:c r="H6824" t="str">
        <x:v>Furnishings</x:v>
      </x:c>
      <x:c r="I6824" s="22" t="n">
        <x:v>7.968</x:v>
      </x:c>
      <x:c r="J6824" s="24" t="n">
        <x:v>3</x:v>
      </x:c>
      <x:c r="K6824" s="26" t="n">
        <x:v>0.6</x:v>
      </x:c>
      <x:c r="L6824" s="22" t="n">
        <x:v>-2.3903999999999996</x:v>
      </x:c>
      <x:c r="M6824" t="n">
        <x:v>2017</x:v>
      </x:c>
      <x:c r="N6824" s="20" t="n">
        <x:v>43070</x:v>
      </x:c>
    </x:row>
    <x:row r="6825" ht="18" customHeight="1">
      <x:c r="A6825" t="str">
        <x:v>CA-2017-163860</x:v>
      </x:c>
      <x:c r="B6825" s="18" t="n">
        <x:v>43097</x:v>
      </x:c>
      <x:c r="C6825" t="str">
        <x:v>LO-17170</x:v>
      </x:c>
      <x:c r="D6825" t="str">
        <x:v>Lori Olson</x:v>
      </x:c>
      <x:c r="E6825" t="str">
        <x:v>Corporate</x:v>
      </x:c>
      <x:c r="F6825" t="str">
        <x:v>Central</x:v>
      </x:c>
      <x:c r="G6825" t="str">
        <x:v>Furniture</x:v>
      </x:c>
      <x:c r="H6825" t="str">
        <x:v>Chairs</x:v>
      </x:c>
      <x:c r="I6825" s="22" t="n">
        <x:v>113.372</x:v>
      </x:c>
      <x:c r="J6825" s="24" t="n">
        <x:v>2</x:v>
      </x:c>
      <x:c r="K6825" s="26" t="n">
        <x:v>0.3</x:v>
      </x:c>
      <x:c r="L6825" s="22" t="n">
        <x:v>-3.2391999999999896</x:v>
      </x:c>
      <x:c r="M6825" t="n">
        <x:v>2017</x:v>
      </x:c>
      <x:c r="N6825" s="20" t="n">
        <x:v>43070</x:v>
      </x:c>
    </x:row>
    <x:row r="6826" ht="18" customHeight="1">
      <x:c r="A6826" t="str">
        <x:v>CA-2017-163860</x:v>
      </x:c>
      <x:c r="B6826" s="18" t="n">
        <x:v>43097</x:v>
      </x:c>
      <x:c r="C6826" t="str">
        <x:v>LO-17170</x:v>
      </x:c>
      <x:c r="D6826" t="str">
        <x:v>Lori Olson</x:v>
      </x:c>
      <x:c r="E6826" t="str">
        <x:v>Corporate</x:v>
      </x:c>
      <x:c r="F6826" t="str">
        <x:v>Central</x:v>
      </x:c>
      <x:c r="G6826" t="str">
        <x:v>Furniture</x:v>
      </x:c>
      <x:c r="H6826" t="str">
        <x:v>Furnishings</x:v>
      </x:c>
      <x:c r="I6826" s="22" t="n">
        <x:v>2.9600000000000004</x:v>
      </x:c>
      <x:c r="J6826" s="24" t="n">
        <x:v>2</x:v>
      </x:c>
      <x:c r="K6826" s="26" t="n">
        <x:v>0.6</x:v>
      </x:c>
      <x:c r="L6826" s="22" t="n">
        <x:v>-1.4059999999999997</x:v>
      </x:c>
      <x:c r="M6826" t="n">
        <x:v>2017</x:v>
      </x:c>
      <x:c r="N6826" s="20" t="n">
        <x:v>43070</x:v>
      </x:c>
    </x:row>
    <x:row r="6827" ht="18" customHeight="1">
      <x:c r="A6827" t="str">
        <x:v>US-2017-115609</x:v>
      </x:c>
      <x:c r="B6827" s="18" t="n">
        <x:v>43041</x:v>
      </x:c>
      <x:c r="C6827" t="str">
        <x:v>CS-12505</x:v>
      </x:c>
      <x:c r="D6827" t="str">
        <x:v>Cindy Stewart</x:v>
      </x:c>
      <x:c r="E6827" t="str">
        <x:v>Consumer</x:v>
      </x:c>
      <x:c r="F6827" t="str">
        <x:v>West</x:v>
      </x:c>
      <x:c r="G6827" t="str">
        <x:v>Office Supplies</x:v>
      </x:c>
      <x:c r="H6827" t="str">
        <x:v>Appliances</x:v>
      </x:c>
      <x:c r="I6827" s="22" t="n">
        <x:v>168.1</x:v>
      </x:c>
      <x:c r="J6827" s="24" t="n">
        <x:v>5</x:v>
      </x:c>
      <x:c r="K6827" s="26" t="n">
        <x:v>0</x:v>
      </x:c>
      <x:c r="L6827" s="22" t="n">
        <x:v>43.705999999999996</x:v>
      </x:c>
      <x:c r="M6827" t="n">
        <x:v>2017</x:v>
      </x:c>
      <x:c r="N6827" s="20" t="n">
        <x:v>43040</x:v>
      </x:c>
    </x:row>
    <x:row r="6828" ht="18" customHeight="1">
      <x:c r="A6828" t="str">
        <x:v>CA-2015-154291</x:v>
      </x:c>
      <x:c r="B6828" s="18" t="n">
        <x:v>42210</x:v>
      </x:c>
      <x:c r="C6828" t="str">
        <x:v>YS-21880</x:v>
      </x:c>
      <x:c r="D6828" t="str">
        <x:v>Yana Sorensen</x:v>
      </x:c>
      <x:c r="E6828" t="str">
        <x:v>Corporate</x:v>
      </x:c>
      <x:c r="F6828" t="str">
        <x:v>South</x:v>
      </x:c>
      <x:c r="G6828" t="str">
        <x:v>Office Supplies</x:v>
      </x:c>
      <x:c r="H6828" t="str">
        <x:v>Envelopes</x:v>
      </x:c>
      <x:c r="I6828" s="22" t="n">
        <x:v>98.46</x:v>
      </x:c>
      <x:c r="J6828" s="24" t="n">
        <x:v>9</x:v>
      </x:c>
      <x:c r="K6828" s="26" t="n">
        <x:v>0</x:v>
      </x:c>
      <x:c r="L6828" s="22" t="n">
        <x:v>49.23</x:v>
      </x:c>
      <x:c r="M6828" t="n">
        <x:v>2015</x:v>
      </x:c>
      <x:c r="N6828" s="20" t="n">
        <x:v>42186</x:v>
      </x:c>
    </x:row>
    <x:row r="6829" ht="18" customHeight="1">
      <x:c r="A6829" t="str">
        <x:v>CA-2015-154291</x:v>
      </x:c>
      <x:c r="B6829" s="18" t="n">
        <x:v>42210</x:v>
      </x:c>
      <x:c r="C6829" t="str">
        <x:v>YS-21880</x:v>
      </x:c>
      <x:c r="D6829" t="str">
        <x:v>Yana Sorensen</x:v>
      </x:c>
      <x:c r="E6829" t="str">
        <x:v>Corporate</x:v>
      </x:c>
      <x:c r="F6829" t="str">
        <x:v>South</x:v>
      </x:c>
      <x:c r="G6829" t="str">
        <x:v>Furniture</x:v>
      </x:c>
      <x:c r="H6829" t="str">
        <x:v>Tables</x:v>
      </x:c>
      <x:c r="I6829" s="22" t="n">
        <x:v>358.58</x:v>
      </x:c>
      <x:c r="J6829" s="24" t="n">
        <x:v>2</x:v>
      </x:c>
      <x:c r="K6829" s="26" t="n">
        <x:v>0</x:v>
      </x:c>
      <x:c r="L6829" s="22" t="n">
        <x:v>39.44380000000001</x:v>
      </x:c>
      <x:c r="M6829" t="n">
        <x:v>2015</x:v>
      </x:c>
      <x:c r="N6829" s="20" t="n">
        <x:v>42186</x:v>
      </x:c>
    </x:row>
    <x:row r="6830" ht="18" customHeight="1">
      <x:c r="A6830" t="str">
        <x:v>CA-2016-118689</x:v>
      </x:c>
      <x:c r="B6830" s="18" t="n">
        <x:v>42645</x:v>
      </x:c>
      <x:c r="C6830" t="str">
        <x:v>TC-20980</x:v>
      </x:c>
      <x:c r="D6830" t="str">
        <x:v>Tamara Chand</x:v>
      </x:c>
      <x:c r="E6830" t="str">
        <x:v>Corporate</x:v>
      </x:c>
      <x:c r="F6830" t="str">
        <x:v>Central</x:v>
      </x:c>
      <x:c r="G6830" t="str">
        <x:v>Office Supplies</x:v>
      </x:c>
      <x:c r="H6830" t="str">
        <x:v>Storage</x:v>
      </x:c>
      <x:c r="I6830" s="22" t="n">
        <x:v>32.48</x:v>
      </x:c>
      <x:c r="J6830" s="24" t="n">
        <x:v>2</x:v>
      </x:c>
      <x:c r="K6830" s="26" t="n">
        <x:v>0</x:v>
      </x:c>
      <x:c r="L6830" s="22" t="n">
        <x:v>4.872</x:v>
      </x:c>
      <x:c r="M6830" t="n">
        <x:v>2016</x:v>
      </x:c>
      <x:c r="N6830" s="20" t="n">
        <x:v>42644</x:v>
      </x:c>
    </x:row>
    <x:row r="6831" ht="18" customHeight="1">
      <x:c r="A6831" t="str">
        <x:v>CA-2016-118689</x:v>
      </x:c>
      <x:c r="B6831" s="18" t="n">
        <x:v>42645</x:v>
      </x:c>
      <x:c r="C6831" t="str">
        <x:v>TC-20980</x:v>
      </x:c>
      <x:c r="D6831" t="str">
        <x:v>Tamara Chand</x:v>
      </x:c>
      <x:c r="E6831" t="str">
        <x:v>Corporate</x:v>
      </x:c>
      <x:c r="F6831" t="str">
        <x:v>Central</x:v>
      </x:c>
      <x:c r="G6831" t="str">
        <x:v>Technology</x:v>
      </x:c>
      <x:c r="H6831" t="str">
        <x:v>Copiers</x:v>
      </x:c>
      <x:c r="I6831" s="22" t="n">
        <x:v>17499.949999999997</x:v>
      </x:c>
      <x:c r="J6831" s="24" t="n">
        <x:v>5</x:v>
      </x:c>
      <x:c r="K6831" s="26" t="n">
        <x:v>0</x:v>
      </x:c>
      <x:c r="L6831" s="22" t="n">
        <x:v>8399.975999999999</x:v>
      </x:c>
      <x:c r="M6831" t="n">
        <x:v>2016</x:v>
      </x:c>
      <x:c r="N6831" s="20" t="n">
        <x:v>42644</x:v>
      </x:c>
    </x:row>
    <x:row r="6832" ht="18" customHeight="1">
      <x:c r="A6832" t="str">
        <x:v>CA-2016-118689</x:v>
      </x:c>
      <x:c r="B6832" s="18" t="n">
        <x:v>42645</x:v>
      </x:c>
      <x:c r="C6832" t="str">
        <x:v>TC-20980</x:v>
      </x:c>
      <x:c r="D6832" t="str">
        <x:v>Tamara Chand</x:v>
      </x:c>
      <x:c r="E6832" t="str">
        <x:v>Corporate</x:v>
      </x:c>
      <x:c r="F6832" t="str">
        <x:v>Central</x:v>
      </x:c>
      <x:c r="G6832" t="str">
        <x:v>Office Supplies</x:v>
      </x:c>
      <x:c r="H6832" t="str">
        <x:v>Binders</x:v>
      </x:c>
      <x:c r="I6832" s="22" t="n">
        <x:v>735.98</x:v>
      </x:c>
      <x:c r="J6832" s="24" t="n">
        <x:v>2</x:v>
      </x:c>
      <x:c r="K6832" s="26" t="n">
        <x:v>0</x:v>
      </x:c>
      <x:c r="L6832" s="22" t="n">
        <x:v>331.191</x:v>
      </x:c>
      <x:c r="M6832" t="n">
        <x:v>2016</x:v>
      </x:c>
      <x:c r="N6832" s="20" t="n">
        <x:v>42644</x:v>
      </x:c>
    </x:row>
    <x:row r="6833" ht="18" customHeight="1">
      <x:c r="A6833" t="str">
        <x:v>CA-2016-118689</x:v>
      </x:c>
      <x:c r="B6833" s="18" t="n">
        <x:v>42645</x:v>
      </x:c>
      <x:c r="C6833" t="str">
        <x:v>TC-20980</x:v>
      </x:c>
      <x:c r="D6833" t="str">
        <x:v>Tamara Chand</x:v>
      </x:c>
      <x:c r="E6833" t="str">
        <x:v>Corporate</x:v>
      </x:c>
      <x:c r="F6833" t="str">
        <x:v>Central</x:v>
      </x:c>
      <x:c r="G6833" t="str">
        <x:v>Office Supplies</x:v>
      </x:c>
      <x:c r="H6833" t="str">
        <x:v>Binders</x:v>
      </x:c>
      <x:c r="I6833" s="22" t="n">
        <x:v>34.370000000000005</x:v>
      </x:c>
      <x:c r="J6833" s="24" t="n">
        <x:v>7</x:v>
      </x:c>
      <x:c r="K6833" s="26" t="n">
        <x:v>0</x:v>
      </x:c>
      <x:c r="L6833" s="22" t="n">
        <x:v>16.8413</x:v>
      </x:c>
      <x:c r="M6833" t="n">
        <x:v>2016</x:v>
      </x:c>
      <x:c r="N6833" s="20" t="n">
        <x:v>42644</x:v>
      </x:c>
    </x:row>
    <x:row r="6834" ht="18" customHeight="1">
      <x:c r="A6834" t="str">
        <x:v>CA-2016-118689</x:v>
      </x:c>
      <x:c r="B6834" s="18" t="n">
        <x:v>42645</x:v>
      </x:c>
      <x:c r="C6834" t="str">
        <x:v>TC-20980</x:v>
      </x:c>
      <x:c r="D6834" t="str">
        <x:v>Tamara Chand</x:v>
      </x:c>
      <x:c r="E6834" t="str">
        <x:v>Corporate</x:v>
      </x:c>
      <x:c r="F6834" t="str">
        <x:v>Central</x:v>
      </x:c>
      <x:c r="G6834" t="str">
        <x:v>Office Supplies</x:v>
      </x:c>
      <x:c r="H6834" t="str">
        <x:v>Art</x:v>
      </x:c>
      <x:c r="I6834" s="22" t="n">
        <x:v>33.96</x:v>
      </x:c>
      <x:c r="J6834" s="24" t="n">
        <x:v>2</x:v>
      </x:c>
      <x:c r="K6834" s="26" t="n">
        <x:v>0</x:v>
      </x:c>
      <x:c r="L6834" s="22" t="n">
        <x:v>9.5088</x:v>
      </x:c>
      <x:c r="M6834" t="n">
        <x:v>2016</x:v>
      </x:c>
      <x:c r="N6834" s="20" t="n">
        <x:v>42644</x:v>
      </x:c>
    </x:row>
    <x:row r="6835" ht="18" customHeight="1">
      <x:c r="A6835" t="str">
        <x:v>CA-2016-140438</x:v>
      </x:c>
      <x:c r="B6835" s="18" t="n">
        <x:v>42728</x:v>
      </x:c>
      <x:c r="C6835" t="str">
        <x:v>PW-19030</x:v>
      </x:c>
      <x:c r="D6835" t="str">
        <x:v>Pauline Webber</x:v>
      </x:c>
      <x:c r="E6835" t="str">
        <x:v>Corporate</x:v>
      </x:c>
      <x:c r="F6835" t="str">
        <x:v>East</x:v>
      </x:c>
      <x:c r="G6835" t="str">
        <x:v>Technology</x:v>
      </x:c>
      <x:c r="H6835" t="str">
        <x:v>Phones</x:v>
      </x:c>
      <x:c r="I6835" s="22" t="n">
        <x:v>197.96999999999997</x:v>
      </x:c>
      <x:c r="J6835" s="24" t="n">
        <x:v>3</x:v>
      </x:c>
      <x:c r="K6835" s="26" t="n">
        <x:v>0</x:v>
      </x:c>
      <x:c r="L6835" s="22" t="n">
        <x:v>53.45190000000001</x:v>
      </x:c>
      <x:c r="M6835" t="n">
        <x:v>2016</x:v>
      </x:c>
      <x:c r="N6835" s="20" t="n">
        <x:v>42705</x:v>
      </x:c>
    </x:row>
    <x:row r="6836" ht="18" customHeight="1">
      <x:c r="A6836" t="str">
        <x:v>US-2017-123204</x:v>
      </x:c>
      <x:c r="B6836" s="18" t="n">
        <x:v>42937</x:v>
      </x:c>
      <x:c r="C6836" t="str">
        <x:v>CS-11860</x:v>
      </x:c>
      <x:c r="D6836" t="str">
        <x:v>Cari Schnelling</x:v>
      </x:c>
      <x:c r="E6836" t="str">
        <x:v>Consumer</x:v>
      </x:c>
      <x:c r="F6836" t="str">
        <x:v>East</x:v>
      </x:c>
      <x:c r="G6836" t="str">
        <x:v>Office Supplies</x:v>
      </x:c>
      <x:c r="H6836" t="str">
        <x:v>Appliances</x:v>
      </x:c>
      <x:c r="I6836" s="22" t="n">
        <x:v>17.48</x:v>
      </x:c>
      <x:c r="J6836" s="24" t="n">
        <x:v>4</x:v>
      </x:c>
      <x:c r="K6836" s="26" t="n">
        <x:v>0</x:v>
      </x:c>
      <x:c r="L6836" s="22" t="n">
        <x:v>4.5448</x:v>
      </x:c>
      <x:c r="M6836" t="n">
        <x:v>2017</x:v>
      </x:c>
      <x:c r="N6836" s="20" t="n">
        <x:v>42917</x:v>
      </x:c>
    </x:row>
    <x:row r="6837" ht="18" customHeight="1">
      <x:c r="A6837" t="str">
        <x:v>CA-2015-112522</x:v>
      </x:c>
      <x:c r="B6837" s="18" t="n">
        <x:v>42287</x:v>
      </x:c>
      <x:c r="C6837" t="str">
        <x:v>DP-13165</x:v>
      </x:c>
      <x:c r="D6837" t="str">
        <x:v>David Philippe</x:v>
      </x:c>
      <x:c r="E6837" t="str">
        <x:v>Consumer</x:v>
      </x:c>
      <x:c r="F6837" t="str">
        <x:v>Central</x:v>
      </x:c>
      <x:c r="G6837" t="str">
        <x:v>Office Supplies</x:v>
      </x:c>
      <x:c r="H6837" t="str">
        <x:v>Art</x:v>
      </x:c>
      <x:c r="I6837" s="22" t="n">
        <x:v>8.016</x:v>
      </x:c>
      <x:c r="J6837" s="24" t="n">
        <x:v>3</x:v>
      </x:c>
      <x:c r="K6837" s="26" t="n">
        <x:v>0.2</x:v>
      </x:c>
      <x:c r="L6837" s="22" t="n">
        <x:v>1.0019999999999993</x:v>
      </x:c>
      <x:c r="M6837" t="n">
        <x:v>2015</x:v>
      </x:c>
      <x:c r="N6837" s="20" t="n">
        <x:v>42278</x:v>
      </x:c>
    </x:row>
    <x:row r="6838" ht="18" customHeight="1">
      <x:c r="A6838" t="str">
        <x:v>CA-2016-153101</x:v>
      </x:c>
      <x:c r="B6838" s="18" t="n">
        <x:v>42621</x:v>
      </x:c>
      <x:c r="C6838" t="str">
        <x:v>PJ-19015</x:v>
      </x:c>
      <x:c r="D6838" t="str">
        <x:v>Pauline Johnson</x:v>
      </x:c>
      <x:c r="E6838" t="str">
        <x:v>Consumer</x:v>
      </x:c>
      <x:c r="F6838" t="str">
        <x:v>West</x:v>
      </x:c>
      <x:c r="G6838" t="str">
        <x:v>Furniture</x:v>
      </x:c>
      <x:c r="H6838" t="str">
        <x:v>Tables</x:v>
      </x:c>
      <x:c r="I6838" s="22" t="n">
        <x:v>146.04000000000002</x:v>
      </x:c>
      <x:c r="J6838" s="24" t="n">
        <x:v>1</x:v>
      </x:c>
      <x:c r="K6838" s="26" t="n">
        <x:v>0.2</x:v>
      </x:c>
      <x:c r="L6838" s="22" t="n">
        <x:v>-12.778499999999994</x:v>
      </x:c>
      <x:c r="M6838" t="n">
        <x:v>2016</x:v>
      </x:c>
      <x:c r="N6838" s="20" t="n">
        <x:v>42614</x:v>
      </x:c>
    </x:row>
    <x:row r="6839" ht="18" customHeight="1">
      <x:c r="A6839" t="str">
        <x:v>CA-2016-142615</x:v>
      </x:c>
      <x:c r="B6839" s="18" t="n">
        <x:v>42694</x:v>
      </x:c>
      <x:c r="C6839" t="str">
        <x:v>BM-11575</x:v>
      </x:c>
      <x:c r="D6839" t="str">
        <x:v>Brendan Murry</x:v>
      </x:c>
      <x:c r="E6839" t="str">
        <x:v>Corporate</x:v>
      </x:c>
      <x:c r="F6839" t="str">
        <x:v>West</x:v>
      </x:c>
      <x:c r="G6839" t="str">
        <x:v>Technology</x:v>
      </x:c>
      <x:c r="H6839" t="str">
        <x:v>Accessories</x:v>
      </x:c>
      <x:c r="I6839" s="22" t="n">
        <x:v>27.88</x:v>
      </x:c>
      <x:c r="J6839" s="24" t="n">
        <x:v>2</x:v>
      </x:c>
      <x:c r="K6839" s="26" t="n">
        <x:v>0</x:v>
      </x:c>
      <x:c r="L6839" s="22" t="n">
        <x:v>3.903200000000002</x:v>
      </x:c>
      <x:c r="M6839" t="n">
        <x:v>2016</x:v>
      </x:c>
      <x:c r="N6839" s="20" t="n">
        <x:v>42675</x:v>
      </x:c>
    </x:row>
    <x:row r="6840" ht="18" customHeight="1">
      <x:c r="A6840" t="str">
        <x:v>CA-2017-142643</x:v>
      </x:c>
      <x:c r="B6840" s="18" t="n">
        <x:v>43023</x:v>
      </x:c>
      <x:c r="C6840" t="str">
        <x:v>DL-13495</x:v>
      </x:c>
      <x:c r="D6840" t="str">
        <x:v>Dionis Lloyd</x:v>
      </x:c>
      <x:c r="E6840" t="str">
        <x:v>Corporate</x:v>
      </x:c>
      <x:c r="F6840" t="str">
        <x:v>West</x:v>
      </x:c>
      <x:c r="G6840" t="str">
        <x:v>Office Supplies</x:v>
      </x:c>
      <x:c r="H6840" t="str">
        <x:v>Labels</x:v>
      </x:c>
      <x:c r="I6840" s="22" t="n">
        <x:v>152.65</x:v>
      </x:c>
      <x:c r="J6840" s="24" t="n">
        <x:v>5</x:v>
      </x:c>
      <x:c r="K6840" s="26" t="n">
        <x:v>0</x:v>
      </x:c>
      <x:c r="L6840" s="22" t="n">
        <x:v>70.21900000000001</x:v>
      </x:c>
      <x:c r="M6840" t="n">
        <x:v>2017</x:v>
      </x:c>
      <x:c r="N6840" s="20" t="n">
        <x:v>43009</x:v>
      </x:c>
    </x:row>
    <x:row r="6841" ht="18" customHeight="1">
      <x:c r="A6841" t="str">
        <x:v>CA-2017-142643</x:v>
      </x:c>
      <x:c r="B6841" s="18" t="n">
        <x:v>43023</x:v>
      </x:c>
      <x:c r="C6841" t="str">
        <x:v>DL-13495</x:v>
      </x:c>
      <x:c r="D6841" t="str">
        <x:v>Dionis Lloyd</x:v>
      </x:c>
      <x:c r="E6841" t="str">
        <x:v>Corporate</x:v>
      </x:c>
      <x:c r="F6841" t="str">
        <x:v>West</x:v>
      </x:c>
      <x:c r="G6841" t="str">
        <x:v>Furniture</x:v>
      </x:c>
      <x:c r="H6841" t="str">
        <x:v>Furnishings</x:v>
      </x:c>
      <x:c r="I6841" s="22" t="n">
        <x:v>22.72</x:v>
      </x:c>
      <x:c r="J6841" s="24" t="n">
        <x:v>1</x:v>
      </x:c>
      <x:c r="K6841" s="26" t="n">
        <x:v>0</x:v>
      </x:c>
      <x:c r="L6841" s="22" t="n">
        <x:v>9.3152</x:v>
      </x:c>
      <x:c r="M6841" t="n">
        <x:v>2017</x:v>
      </x:c>
      <x:c r="N6841" s="20" t="n">
        <x:v>43009</x:v>
      </x:c>
    </x:row>
    <x:row r="6842" ht="18" customHeight="1">
      <x:c r="A6842" t="str">
        <x:v>CA-2015-116260</x:v>
      </x:c>
      <x:c r="B6842" s="18" t="n">
        <x:v>42191</x:v>
      </x:c>
      <x:c r="C6842" t="str">
        <x:v>BF-10975</x:v>
      </x:c>
      <x:c r="D6842" t="str">
        <x:v>Barbara Fisher</x:v>
      </x:c>
      <x:c r="E6842" t="str">
        <x:v>Corporate</x:v>
      </x:c>
      <x:c r="F6842" t="str">
        <x:v>East</x:v>
      </x:c>
      <x:c r="G6842" t="str">
        <x:v>Office Supplies</x:v>
      </x:c>
      <x:c r="H6842" t="str">
        <x:v>Art</x:v>
      </x:c>
      <x:c r="I6842" s="22" t="n">
        <x:v>11.12</x:v>
      </x:c>
      <x:c r="J6842" s="24" t="n">
        <x:v>4</x:v>
      </x:c>
      <x:c r="K6842" s="26" t="n">
        <x:v>0</x:v>
      </x:c>
      <x:c r="L6842" s="22" t="n">
        <x:v>2.8911999999999995</x:v>
      </x:c>
      <x:c r="M6842" t="n">
        <x:v>2015</x:v>
      </x:c>
      <x:c r="N6842" s="20" t="n">
        <x:v>42186</x:v>
      </x:c>
    </x:row>
    <x:row r="6843" ht="18" customHeight="1">
      <x:c r="A6843" t="str">
        <x:v>CA-2017-107517</x:v>
      </x:c>
      <x:c r="B6843" s="18" t="n">
        <x:v>42771</x:v>
      </x:c>
      <x:c r="C6843" t="str">
        <x:v>FC-14335</x:v>
      </x:c>
      <x:c r="D6843" t="str">
        <x:v>Fred Chung</x:v>
      </x:c>
      <x:c r="E6843" t="str">
        <x:v>Corporate</x:v>
      </x:c>
      <x:c r="F6843" t="str">
        <x:v>West</x:v>
      </x:c>
      <x:c r="G6843" t="str">
        <x:v>Office Supplies</x:v>
      </x:c>
      <x:c r="H6843" t="str">
        <x:v>Appliances</x:v>
      </x:c>
      <x:c r="I6843" s="22" t="n">
        <x:v>1640.6999999999998</x:v>
      </x:c>
      <x:c r="J6843" s="24" t="n">
        <x:v>5</x:v>
      </x:c>
      <x:c r="K6843" s="26" t="n">
        <x:v>0</x:v>
      </x:c>
      <x:c r="L6843" s="22" t="n">
        <x:v>459.39599999999996</x:v>
      </x:c>
      <x:c r="M6843" t="n">
        <x:v>2017</x:v>
      </x:c>
      <x:c r="N6843" s="20" t="n">
        <x:v>42767</x:v>
      </x:c>
    </x:row>
    <x:row r="6844" ht="18" customHeight="1">
      <x:c r="A6844" t="str">
        <x:v>CA-2017-107517</x:v>
      </x:c>
      <x:c r="B6844" s="18" t="n">
        <x:v>42771</x:v>
      </x:c>
      <x:c r="C6844" t="str">
        <x:v>FC-14335</x:v>
      </x:c>
      <x:c r="D6844" t="str">
        <x:v>Fred Chung</x:v>
      </x:c>
      <x:c r="E6844" t="str">
        <x:v>Corporate</x:v>
      </x:c>
      <x:c r="F6844" t="str">
        <x:v>West</x:v>
      </x:c>
      <x:c r="G6844" t="str">
        <x:v>Technology</x:v>
      </x:c>
      <x:c r="H6844" t="str">
        <x:v>Phones</x:v>
      </x:c>
      <x:c r="I6844" s="22" t="n">
        <x:v>371.2</x:v>
      </x:c>
      <x:c r="J6844" s="24" t="n">
        <x:v>5</x:v>
      </x:c>
      <x:c r="K6844" s="26" t="n">
        <x:v>0.2</x:v>
      </x:c>
      <x:c r="L6844" s="22" t="n">
        <x:v>41.75999999999995</x:v>
      </x:c>
      <x:c r="M6844" t="n">
        <x:v>2017</x:v>
      </x:c>
      <x:c r="N6844" s="20" t="n">
        <x:v>42767</x:v>
      </x:c>
    </x:row>
    <x:row r="6845" ht="18" customHeight="1">
      <x:c r="A6845" t="str">
        <x:v>CA-2015-166338</x:v>
      </x:c>
      <x:c r="B6845" s="18" t="n">
        <x:v>42344</x:v>
      </x:c>
      <x:c r="C6845" t="str">
        <x:v>MP-18175</x:v>
      </x:c>
      <x:c r="D6845" t="str">
        <x:v>Mike Pelletier</x:v>
      </x:c>
      <x:c r="E6845" t="str">
        <x:v>Home Office</x:v>
      </x:c>
      <x:c r="F6845" t="str">
        <x:v>East</x:v>
      </x:c>
      <x:c r="G6845" t="str">
        <x:v>Office Supplies</x:v>
      </x:c>
      <x:c r="H6845" t="str">
        <x:v>Binders</x:v>
      </x:c>
      <x:c r="I6845" s="22" t="n">
        <x:v>14.832000000000003</x:v>
      </x:c>
      <x:c r="J6845" s="24" t="n">
        <x:v>3</x:v>
      </x:c>
      <x:c r="K6845" s="26" t="n">
        <x:v>0.7</x:v>
      </x:c>
      <x:c r="L6845" s="22" t="n">
        <x:v>-10.382399999999997</x:v>
      </x:c>
      <x:c r="M6845" t="n">
        <x:v>2015</x:v>
      </x:c>
      <x:c r="N6845" s="20" t="n">
        <x:v>42339</x:v>
      </x:c>
    </x:row>
    <x:row r="6846" ht="18" customHeight="1">
      <x:c r="A6846" t="str">
        <x:v>CA-2016-123946</x:v>
      </x:c>
      <x:c r="B6846" s="18" t="n">
        <x:v>42625</x:v>
      </x:c>
      <x:c r="C6846" t="str">
        <x:v>AJ-10795</x:v>
      </x:c>
      <x:c r="D6846" t="str">
        <x:v>Anthony Johnson</x:v>
      </x:c>
      <x:c r="E6846" t="str">
        <x:v>Corporate</x:v>
      </x:c>
      <x:c r="F6846" t="str">
        <x:v>South</x:v>
      </x:c>
      <x:c r="G6846" t="str">
        <x:v>Technology</x:v>
      </x:c>
      <x:c r="H6846" t="str">
        <x:v>Accessories</x:v>
      </x:c>
      <x:c r="I6846" s="22" t="n">
        <x:v>20.700000000000003</x:v>
      </x:c>
      <x:c r="J6846" s="24" t="n">
        <x:v>3</x:v>
      </x:c>
      <x:c r="K6846" s="26" t="n">
        <x:v>0</x:v>
      </x:c>
      <x:c r="L6846" s="22" t="n">
        <x:v>1.6559999999999988</x:v>
      </x:c>
      <x:c r="M6846" t="n">
        <x:v>2016</x:v>
      </x:c>
      <x:c r="N6846" s="20" t="n">
        <x:v>42614</x:v>
      </x:c>
    </x:row>
    <x:row r="6847" ht="18" customHeight="1">
      <x:c r="A6847" t="str">
        <x:v>CA-2016-123946</x:v>
      </x:c>
      <x:c r="B6847" s="18" t="n">
        <x:v>42625</x:v>
      </x:c>
      <x:c r="C6847" t="str">
        <x:v>AJ-10795</x:v>
      </x:c>
      <x:c r="D6847" t="str">
        <x:v>Anthony Johnson</x:v>
      </x:c>
      <x:c r="E6847" t="str">
        <x:v>Corporate</x:v>
      </x:c>
      <x:c r="F6847" t="str">
        <x:v>South</x:v>
      </x:c>
      <x:c r="G6847" t="str">
        <x:v>Office Supplies</x:v>
      </x:c>
      <x:c r="H6847" t="str">
        <x:v>Fasteners</x:v>
      </x:c>
      <x:c r="I6847" s="22" t="n">
        <x:v>11.34</x:v>
      </x:c>
      <x:c r="J6847" s="24" t="n">
        <x:v>3</x:v>
      </x:c>
      <x:c r="K6847" s="26" t="n">
        <x:v>0</x:v>
      </x:c>
      <x:c r="L6847" s="22" t="n">
        <x:v>5.2164</x:v>
      </x:c>
      <x:c r="M6847" t="n">
        <x:v>2016</x:v>
      </x:c>
      <x:c r="N6847" s="20" t="n">
        <x:v>42614</x:v>
      </x:c>
    </x:row>
    <x:row r="6848" ht="18" customHeight="1">
      <x:c r="A6848" t="str">
        <x:v>CA-2016-123946</x:v>
      </x:c>
      <x:c r="B6848" s="18" t="n">
        <x:v>42625</x:v>
      </x:c>
      <x:c r="C6848" t="str">
        <x:v>AJ-10795</x:v>
      </x:c>
      <x:c r="D6848" t="str">
        <x:v>Anthony Johnson</x:v>
      </x:c>
      <x:c r="E6848" t="str">
        <x:v>Corporate</x:v>
      </x:c>
      <x:c r="F6848" t="str">
        <x:v>South</x:v>
      </x:c>
      <x:c r="G6848" t="str">
        <x:v>Office Supplies</x:v>
      </x:c>
      <x:c r="H6848" t="str">
        <x:v>Storage</x:v>
      </x:c>
      <x:c r="I6848" s="22" t="n">
        <x:v>67.9</x:v>
      </x:c>
      <x:c r="J6848" s="24" t="n">
        <x:v>5</x:v>
      </x:c>
      <x:c r="K6848" s="26" t="n">
        <x:v>0</x:v>
      </x:c>
      <x:c r="L6848" s="22" t="n">
        <x:v>0.6789999999999985</x:v>
      </x:c>
      <x:c r="M6848" t="n">
        <x:v>2016</x:v>
      </x:c>
      <x:c r="N6848" s="20" t="n">
        <x:v>42614</x:v>
      </x:c>
    </x:row>
    <x:row r="6849" ht="18" customHeight="1">
      <x:c r="A6849" t="str">
        <x:v>CA-2016-123946</x:v>
      </x:c>
      <x:c r="B6849" s="18" t="n">
        <x:v>42625</x:v>
      </x:c>
      <x:c r="C6849" t="str">
        <x:v>AJ-10795</x:v>
      </x:c>
      <x:c r="D6849" t="str">
        <x:v>Anthony Johnson</x:v>
      </x:c>
      <x:c r="E6849" t="str">
        <x:v>Corporate</x:v>
      </x:c>
      <x:c r="F6849" t="str">
        <x:v>South</x:v>
      </x:c>
      <x:c r="G6849" t="str">
        <x:v>Furniture</x:v>
      </x:c>
      <x:c r="H6849" t="str">
        <x:v>Chairs</x:v>
      </x:c>
      <x:c r="I6849" s="22" t="n">
        <x:v>1059.12</x:v>
      </x:c>
      <x:c r="J6849" s="24" t="n">
        <x:v>4</x:v>
      </x:c>
      <x:c r="K6849" s="26" t="n">
        <x:v>0</x:v>
      </x:c>
      <x:c r="L6849" s="22" t="n">
        <x:v>307.1447999999999</x:v>
      </x:c>
      <x:c r="M6849" t="n">
        <x:v>2016</x:v>
      </x:c>
      <x:c r="N6849" s="20" t="n">
        <x:v>42614</x:v>
      </x:c>
    </x:row>
    <x:row r="6850" ht="18" customHeight="1">
      <x:c r="A6850" t="str">
        <x:v>CA-2014-147543</x:v>
      </x:c>
      <x:c r="B6850" s="18" t="n">
        <x:v>41826</x:v>
      </x:c>
      <x:c r="C6850" t="str">
        <x:v>BC-11125</x:v>
      </x:c>
      <x:c r="D6850" t="str">
        <x:v>Becky Castell</x:v>
      </x:c>
      <x:c r="E6850" t="str">
        <x:v>Home Office</x:v>
      </x:c>
      <x:c r="F6850" t="str">
        <x:v>West</x:v>
      </x:c>
      <x:c r="G6850" t="str">
        <x:v>Furniture</x:v>
      </x:c>
      <x:c r="H6850" t="str">
        <x:v>Chairs</x:v>
      </x:c>
      <x:c r="I6850" s="22" t="n">
        <x:v>478.48</x:v>
      </x:c>
      <x:c r="J6850" s="24" t="n">
        <x:v>2</x:v>
      </x:c>
      <x:c r="K6850" s="26" t="n">
        <x:v>0.2</x:v>
      </x:c>
      <x:c r="L6850" s="22" t="n">
        <x:v>47.84800000000001</x:v>
      </x:c>
      <x:c r="M6850" t="n">
        <x:v>2014</x:v>
      </x:c>
      <x:c r="N6850" s="20" t="n">
        <x:v>41821</x:v>
      </x:c>
    </x:row>
    <x:row r="6851" ht="18" customHeight="1">
      <x:c r="A6851" t="str">
        <x:v>US-2016-159093</x:v>
      </x:c>
      <x:c r="B6851" s="18" t="n">
        <x:v>42499</x:v>
      </x:c>
      <x:c r="C6851" t="str">
        <x:v>RS-19420</x:v>
      </x:c>
      <x:c r="D6851" t="str">
        <x:v>Ricardo Sperren</x:v>
      </x:c>
      <x:c r="E6851" t="str">
        <x:v>Corporate</x:v>
      </x:c>
      <x:c r="F6851" t="str">
        <x:v>West</x:v>
      </x:c>
      <x:c r="G6851" t="str">
        <x:v>Office Supplies</x:v>
      </x:c>
      <x:c r="H6851" t="str">
        <x:v>Paper</x:v>
      </x:c>
      <x:c r="I6851" s="22" t="n">
        <x:v>32.04</x:v>
      </x:c>
      <x:c r="J6851" s="24" t="n">
        <x:v>4</x:v>
      </x:c>
      <x:c r="K6851" s="26" t="n">
        <x:v>0</x:v>
      </x:c>
      <x:c r="L6851" s="22" t="n">
        <x:v>14.418</x:v>
      </x:c>
      <x:c r="M6851" t="n">
        <x:v>2016</x:v>
      </x:c>
      <x:c r="N6851" s="20" t="n">
        <x:v>42491</x:v>
      </x:c>
    </x:row>
    <x:row r="6852" ht="18" customHeight="1">
      <x:c r="A6852" t="str">
        <x:v>CA-2016-162110</x:v>
      </x:c>
      <x:c r="B6852" s="18" t="n">
        <x:v>42569</x:v>
      </x:c>
      <x:c r="C6852" t="str">
        <x:v>NP-18670</x:v>
      </x:c>
      <x:c r="D6852" t="str">
        <x:v>Nora Paige</x:v>
      </x:c>
      <x:c r="E6852" t="str">
        <x:v>Consumer</x:v>
      </x:c>
      <x:c r="F6852" t="str">
        <x:v>West</x:v>
      </x:c>
      <x:c r="G6852" t="str">
        <x:v>Technology</x:v>
      </x:c>
      <x:c r="H6852" t="str">
        <x:v>Phones</x:v>
      </x:c>
      <x:c r="I6852" s="22" t="n">
        <x:v>55.992</x:v>
      </x:c>
      <x:c r="J6852" s="24" t="n">
        <x:v>1</x:v>
      </x:c>
      <x:c r="K6852" s="26" t="n">
        <x:v>0.2</x:v>
      </x:c>
      <x:c r="L6852" s="22" t="n">
        <x:v>3.499500000000003</x:v>
      </x:c>
      <x:c r="M6852" t="n">
        <x:v>2016</x:v>
      </x:c>
      <x:c r="N6852" s="20" t="n">
        <x:v>42552</x:v>
      </x:c>
    </x:row>
    <x:row r="6853" ht="18" customHeight="1">
      <x:c r="A6853" t="str">
        <x:v>US-2016-163461</x:v>
      </x:c>
      <x:c r="B6853" s="18" t="n">
        <x:v>42539</x:v>
      </x:c>
      <x:c r="C6853" t="str">
        <x:v>BT-11440</x:v>
      </x:c>
      <x:c r="D6853" t="str">
        <x:v>Bobby Trafton</x:v>
      </x:c>
      <x:c r="E6853" t="str">
        <x:v>Consumer</x:v>
      </x:c>
      <x:c r="F6853" t="str">
        <x:v>Central</x:v>
      </x:c>
      <x:c r="G6853" t="str">
        <x:v>Office Supplies</x:v>
      </x:c>
      <x:c r="H6853" t="str">
        <x:v>Paper</x:v>
      </x:c>
      <x:c r="I6853" s="22" t="n">
        <x:v>76.864</x:v>
      </x:c>
      <x:c r="J6853" s="24" t="n">
        <x:v>2</x:v>
      </x:c>
      <x:c r="K6853" s="26" t="n">
        <x:v>0.2</x:v>
      </x:c>
      <x:c r="L6853" s="22" t="n">
        <x:v>26.902399999999993</x:v>
      </x:c>
      <x:c r="M6853" t="n">
        <x:v>2016</x:v>
      </x:c>
      <x:c r="N6853" s="20" t="n">
        <x:v>42522</x:v>
      </x:c>
    </x:row>
    <x:row r="6854" ht="18" customHeight="1">
      <x:c r="A6854" t="str">
        <x:v>CA-2014-101462</x:v>
      </x:c>
      <x:c r="B6854" s="18" t="n">
        <x:v>41749</x:v>
      </x:c>
      <x:c r="C6854" t="str">
        <x:v>BP-11230</x:v>
      </x:c>
      <x:c r="D6854" t="str">
        <x:v>Benjamin Patterson</x:v>
      </x:c>
      <x:c r="E6854" t="str">
        <x:v>Consumer</x:v>
      </x:c>
      <x:c r="F6854" t="str">
        <x:v>West</x:v>
      </x:c>
      <x:c r="G6854" t="str">
        <x:v>Furniture</x:v>
      </x:c>
      <x:c r="H6854" t="str">
        <x:v>Furnishings</x:v>
      </x:c>
      <x:c r="I6854" s="22" t="n">
        <x:v>59.92</x:v>
      </x:c>
      <x:c r="J6854" s="24" t="n">
        <x:v>4</x:v>
      </x:c>
      <x:c r="K6854" s="26" t="n">
        <x:v>0</x:v>
      </x:c>
      <x:c r="L6854" s="22" t="n">
        <x:v>27.563200000000002</x:v>
      </x:c>
      <x:c r="M6854" t="n">
        <x:v>2014</x:v>
      </x:c>
      <x:c r="N6854" s="20" t="n">
        <x:v>41730</x:v>
      </x:c>
    </x:row>
    <x:row r="6855" ht="18" customHeight="1">
      <x:c r="A6855" t="str">
        <x:v>US-2016-100461</x:v>
      </x:c>
      <x:c r="B6855" s="18" t="n">
        <x:v>42377</x:v>
      </x:c>
      <x:c r="C6855" t="str">
        <x:v>JO-15145</x:v>
      </x:c>
      <x:c r="D6855" t="str">
        <x:v>Jack O'Briant</x:v>
      </x:c>
      <x:c r="E6855" t="str">
        <x:v>Corporate</x:v>
      </x:c>
      <x:c r="F6855" t="str">
        <x:v>Central</x:v>
      </x:c>
      <x:c r="G6855" t="str">
        <x:v>Furniture</x:v>
      </x:c>
      <x:c r="H6855" t="str">
        <x:v>Bookcases</x:v>
      </x:c>
      <x:c r="I6855" s="22" t="n">
        <x:v>1565.88</x:v>
      </x:c>
      <x:c r="J6855" s="24" t="n">
        <x:v>6</x:v>
      </x:c>
      <x:c r="K6855" s="26" t="n">
        <x:v>0</x:v>
      </x:c>
      <x:c r="L6855" s="22" t="n">
        <x:v>407.12880000000007</x:v>
      </x:c>
      <x:c r="M6855" t="n">
        <x:v>2016</x:v>
      </x:c>
      <x:c r="N6855" s="20" t="n">
        <x:v>42370</x:v>
      </x:c>
    </x:row>
    <x:row r="6856" ht="18" customHeight="1">
      <x:c r="A6856" t="str">
        <x:v>US-2016-100461</x:v>
      </x:c>
      <x:c r="B6856" s="18" t="n">
        <x:v>42377</x:v>
      </x:c>
      <x:c r="C6856" t="str">
        <x:v>JO-15145</x:v>
      </x:c>
      <x:c r="D6856" t="str">
        <x:v>Jack O'Briant</x:v>
      </x:c>
      <x:c r="E6856" t="str">
        <x:v>Corporate</x:v>
      </x:c>
      <x:c r="F6856" t="str">
        <x:v>Central</x:v>
      </x:c>
      <x:c r="G6856" t="str">
        <x:v>Office Supplies</x:v>
      </x:c>
      <x:c r="H6856" t="str">
        <x:v>Binders</x:v>
      </x:c>
      <x:c r="I6856" s="22" t="n">
        <x:v>106.05</x:v>
      </x:c>
      <x:c r="J6856" s="24" t="n">
        <x:v>7</x:v>
      </x:c>
      <x:c r="K6856" s="26" t="n">
        <x:v>0</x:v>
      </x:c>
      <x:c r="L6856" s="22" t="n">
        <x:v>49.8435</x:v>
      </x:c>
      <x:c r="M6856" t="n">
        <x:v>2016</x:v>
      </x:c>
      <x:c r="N6856" s="20" t="n">
        <x:v>42370</x:v>
      </x:c>
    </x:row>
    <x:row r="6857" ht="18" customHeight="1">
      <x:c r="A6857" t="str">
        <x:v>US-2017-162670</x:v>
      </x:c>
      <x:c r="B6857" s="18" t="n">
        <x:v>43092</x:v>
      </x:c>
      <x:c r="C6857" t="str">
        <x:v>MF-18250</x:v>
      </x:c>
      <x:c r="D6857" t="str">
        <x:v>Monica Federle</x:v>
      </x:c>
      <x:c r="E6857" t="str">
        <x:v>Corporate</x:v>
      </x:c>
      <x:c r="F6857" t="str">
        <x:v>South</x:v>
      </x:c>
      <x:c r="G6857" t="str">
        <x:v>Office Supplies</x:v>
      </x:c>
      <x:c r="H6857" t="str">
        <x:v>Storage</x:v>
      </x:c>
      <x:c r="I6857" s="22" t="n">
        <x:v>62.04</x:v>
      </x:c>
      <x:c r="J6857" s="24" t="n">
        <x:v>4</x:v>
      </x:c>
      <x:c r="K6857" s="26" t="n">
        <x:v>0</x:v>
      </x:c>
      <x:c r="L6857" s="22" t="n">
        <x:v>17.3712</x:v>
      </x:c>
      <x:c r="M6857" t="n">
        <x:v>2017</x:v>
      </x:c>
      <x:c r="N6857" s="20" t="n">
        <x:v>43070</x:v>
      </x:c>
    </x:row>
    <x:row r="6858" ht="18" customHeight="1">
      <x:c r="A6858" t="str">
        <x:v>US-2017-162670</x:v>
      </x:c>
      <x:c r="B6858" s="18" t="n">
        <x:v>43092</x:v>
      </x:c>
      <x:c r="C6858" t="str">
        <x:v>MF-18250</x:v>
      </x:c>
      <x:c r="D6858" t="str">
        <x:v>Monica Federle</x:v>
      </x:c>
      <x:c r="E6858" t="str">
        <x:v>Corporate</x:v>
      </x:c>
      <x:c r="F6858" t="str">
        <x:v>South</x:v>
      </x:c>
      <x:c r="G6858" t="str">
        <x:v>Technology</x:v>
      </x:c>
      <x:c r="H6858" t="str">
        <x:v>Phones</x:v>
      </x:c>
      <x:c r="I6858" s="22" t="n">
        <x:v>494.97</x:v>
      </x:c>
      <x:c r="J6858" s="24" t="n">
        <x:v>3</x:v>
      </x:c>
      <x:c r="K6858" s="26" t="n">
        <x:v>0</x:v>
      </x:c>
      <x:c r="L6858" s="22" t="n">
        <x:v>148.49099999999996</x:v>
      </x:c>
      <x:c r="M6858" t="n">
        <x:v>2017</x:v>
      </x:c>
      <x:c r="N6858" s="20" t="n">
        <x:v>43070</x:v>
      </x:c>
    </x:row>
    <x:row r="6859" ht="18" customHeight="1">
      <x:c r="A6859" t="str">
        <x:v>US-2017-162670</x:v>
      </x:c>
      <x:c r="B6859" s="18" t="n">
        <x:v>43092</x:v>
      </x:c>
      <x:c r="C6859" t="str">
        <x:v>MF-18250</x:v>
      </x:c>
      <x:c r="D6859" t="str">
        <x:v>Monica Federle</x:v>
      </x:c>
      <x:c r="E6859" t="str">
        <x:v>Corporate</x:v>
      </x:c>
      <x:c r="F6859" t="str">
        <x:v>South</x:v>
      </x:c>
      <x:c r="G6859" t="str">
        <x:v>Office Supplies</x:v>
      </x:c>
      <x:c r="H6859" t="str">
        <x:v>Storage</x:v>
      </x:c>
      <x:c r="I6859" s="22" t="n">
        <x:v>367.96</x:v>
      </x:c>
      <x:c r="J6859" s="24" t="n">
        <x:v>4</x:v>
      </x:c>
      <x:c r="K6859" s="26" t="n">
        <x:v>0</x:v>
      </x:c>
      <x:c r="L6859" s="22" t="n">
        <x:v>14.718399999999974</x:v>
      </x:c>
      <x:c r="M6859" t="n">
        <x:v>2017</x:v>
      </x:c>
      <x:c r="N6859" s="20" t="n">
        <x:v>43070</x:v>
      </x:c>
    </x:row>
    <x:row r="6860" ht="18" customHeight="1">
      <x:c r="A6860" t="str">
        <x:v>US-2017-162670</x:v>
      </x:c>
      <x:c r="B6860" s="18" t="n">
        <x:v>43092</x:v>
      </x:c>
      <x:c r="C6860" t="str">
        <x:v>MF-18250</x:v>
      </x:c>
      <x:c r="D6860" t="str">
        <x:v>Monica Federle</x:v>
      </x:c>
      <x:c r="E6860" t="str">
        <x:v>Corporate</x:v>
      </x:c>
      <x:c r="F6860" t="str">
        <x:v>South</x:v>
      </x:c>
      <x:c r="G6860" t="str">
        <x:v>Office Supplies</x:v>
      </x:c>
      <x:c r="H6860" t="str">
        <x:v>Paper</x:v>
      </x:c>
      <x:c r="I6860" s="22" t="n">
        <x:v>44.96</x:v>
      </x:c>
      <x:c r="J6860" s="24" t="n">
        <x:v>2</x:v>
      </x:c>
      <x:c r="K6860" s="26" t="n">
        <x:v>0</x:v>
      </x:c>
      <x:c r="L6860" s="22" t="n">
        <x:v>20.6816</x:v>
      </x:c>
      <x:c r="M6860" t="n">
        <x:v>2017</x:v>
      </x:c>
      <x:c r="N6860" s="20" t="n">
        <x:v>43070</x:v>
      </x:c>
    </x:row>
    <x:row r="6861" ht="18" customHeight="1">
      <x:c r="A6861" t="str">
        <x:v>US-2017-162670</x:v>
      </x:c>
      <x:c r="B6861" s="18" t="n">
        <x:v>43092</x:v>
      </x:c>
      <x:c r="C6861" t="str">
        <x:v>MF-18250</x:v>
      </x:c>
      <x:c r="D6861" t="str">
        <x:v>Monica Federle</x:v>
      </x:c>
      <x:c r="E6861" t="str">
        <x:v>Corporate</x:v>
      </x:c>
      <x:c r="F6861" t="str">
        <x:v>South</x:v>
      </x:c>
      <x:c r="G6861" t="str">
        <x:v>Office Supplies</x:v>
      </x:c>
      <x:c r="H6861" t="str">
        <x:v>Envelopes</x:v>
      </x:c>
      <x:c r="I6861" s="22" t="n">
        <x:v>182.94</x:v>
      </x:c>
      <x:c r="J6861" s="24" t="n">
        <x:v>3</x:v>
      </x:c>
      <x:c r="K6861" s="26" t="n">
        <x:v>0</x:v>
      </x:c>
      <x:c r="L6861" s="22" t="n">
        <x:v>85.98179999999999</x:v>
      </x:c>
      <x:c r="M6861" t="n">
        <x:v>2017</x:v>
      </x:c>
      <x:c r="N6861" s="20" t="n">
        <x:v>43070</x:v>
      </x:c>
    </x:row>
    <x:row r="6862" ht="18" customHeight="1">
      <x:c r="A6862" t="str">
        <x:v>CA-2017-128965</x:v>
      </x:c>
      <x:c r="B6862" s="18" t="n">
        <x:v>42842</x:v>
      </x:c>
      <x:c r="C6862" t="str">
        <x:v>PS-18760</x:v>
      </x:c>
      <x:c r="D6862" t="str">
        <x:v>Pamela Stobb</x:v>
      </x:c>
      <x:c r="E6862" t="str">
        <x:v>Consumer</x:v>
      </x:c>
      <x:c r="F6862" t="str">
        <x:v>West</x:v>
      </x:c>
      <x:c r="G6862" t="str">
        <x:v>Office Supplies</x:v>
      </x:c>
      <x:c r="H6862" t="str">
        <x:v>Paper</x:v>
      </x:c>
      <x:c r="I6862" s="22" t="n">
        <x:v>28.14</x:v>
      </x:c>
      <x:c r="J6862" s="24" t="n">
        <x:v>3</x:v>
      </x:c>
      <x:c r="K6862" s="26" t="n">
        <x:v>0</x:v>
      </x:c>
      <x:c r="L6862" s="22" t="n">
        <x:v>13.507200000000001</x:v>
      </x:c>
      <x:c r="M6862" t="n">
        <x:v>2017</x:v>
      </x:c>
      <x:c r="N6862" s="20" t="n">
        <x:v>42826</x:v>
      </x:c>
    </x:row>
    <x:row r="6863" ht="18" customHeight="1">
      <x:c r="A6863" t="str">
        <x:v>CA-2017-128965</x:v>
      </x:c>
      <x:c r="B6863" s="18" t="n">
        <x:v>42842</x:v>
      </x:c>
      <x:c r="C6863" t="str">
        <x:v>PS-18760</x:v>
      </x:c>
      <x:c r="D6863" t="str">
        <x:v>Pamela Stobb</x:v>
      </x:c>
      <x:c r="E6863" t="str">
        <x:v>Consumer</x:v>
      </x:c>
      <x:c r="F6863" t="str">
        <x:v>West</x:v>
      </x:c>
      <x:c r="G6863" t="str">
        <x:v>Office Supplies</x:v>
      </x:c>
      <x:c r="H6863" t="str">
        <x:v>Labels</x:v>
      </x:c>
      <x:c r="I6863" s="22" t="n">
        <x:v>7.38</x:v>
      </x:c>
      <x:c r="J6863" s="24" t="n">
        <x:v>2</x:v>
      </x:c>
      <x:c r="K6863" s="26" t="n">
        <x:v>0</x:v>
      </x:c>
      <x:c r="L6863" s="22" t="n">
        <x:v>3.4686</x:v>
      </x:c>
      <x:c r="M6863" t="n">
        <x:v>2017</x:v>
      </x:c>
      <x:c r="N6863" s="20" t="n">
        <x:v>42826</x:v>
      </x:c>
    </x:row>
    <x:row r="6864" ht="18" customHeight="1">
      <x:c r="A6864" t="str">
        <x:v>CA-2017-128965</x:v>
      </x:c>
      <x:c r="B6864" s="18" t="n">
        <x:v>42842</x:v>
      </x:c>
      <x:c r="C6864" t="str">
        <x:v>PS-18760</x:v>
      </x:c>
      <x:c r="D6864" t="str">
        <x:v>Pamela Stobb</x:v>
      </x:c>
      <x:c r="E6864" t="str">
        <x:v>Consumer</x:v>
      </x:c>
      <x:c r="F6864" t="str">
        <x:v>West</x:v>
      </x:c>
      <x:c r="G6864" t="str">
        <x:v>Office Supplies</x:v>
      </x:c>
      <x:c r="H6864" t="str">
        <x:v>Fasteners</x:v>
      </x:c>
      <x:c r="I6864" s="22" t="n">
        <x:v>10.9</x:v>
      </x:c>
      <x:c r="J6864" s="24" t="n">
        <x:v>5</x:v>
      </x:c>
      <x:c r="K6864" s="26" t="n">
        <x:v>0</x:v>
      </x:c>
      <x:c r="L6864" s="22" t="n">
        <x:v>3.5970000000000004</x:v>
      </x:c>
      <x:c r="M6864" t="n">
        <x:v>2017</x:v>
      </x:c>
      <x:c r="N6864" s="20" t="n">
        <x:v>42826</x:v>
      </x:c>
    </x:row>
    <x:row r="6865" ht="18" customHeight="1">
      <x:c r="A6865" t="str">
        <x:v>CA-2017-128965</x:v>
      </x:c>
      <x:c r="B6865" s="18" t="n">
        <x:v>42842</x:v>
      </x:c>
      <x:c r="C6865" t="str">
        <x:v>PS-18760</x:v>
      </x:c>
      <x:c r="D6865" t="str">
        <x:v>Pamela Stobb</x:v>
      </x:c>
      <x:c r="E6865" t="str">
        <x:v>Consumer</x:v>
      </x:c>
      <x:c r="F6865" t="str">
        <x:v>West</x:v>
      </x:c>
      <x:c r="G6865" t="str">
        <x:v>Technology</x:v>
      </x:c>
      <x:c r="H6865" t="str">
        <x:v>Accessories</x:v>
      </x:c>
      <x:c r="I6865" s="22" t="n">
        <x:v>274.89</x:v>
      </x:c>
      <x:c r="J6865" s="24" t="n">
        <x:v>11</x:v>
      </x:c>
      <x:c r="K6865" s="26" t="n">
        <x:v>0</x:v>
      </x:c>
      <x:c r="L6865" s="22" t="n">
        <x:v>46.73129999999996</x:v>
      </x:c>
      <x:c r="M6865" t="n">
        <x:v>2017</x:v>
      </x:c>
      <x:c r="N6865" s="20" t="n">
        <x:v>42826</x:v>
      </x:c>
    </x:row>
    <x:row r="6866" ht="18" customHeight="1">
      <x:c r="A6866" t="str">
        <x:v>CA-2017-128965</x:v>
      </x:c>
      <x:c r="B6866" s="18" t="n">
        <x:v>42842</x:v>
      </x:c>
      <x:c r="C6866" t="str">
        <x:v>PS-18760</x:v>
      </x:c>
      <x:c r="D6866" t="str">
        <x:v>Pamela Stobb</x:v>
      </x:c>
      <x:c r="E6866" t="str">
        <x:v>Consumer</x:v>
      </x:c>
      <x:c r="F6866" t="str">
        <x:v>West</x:v>
      </x:c>
      <x:c r="G6866" t="str">
        <x:v>Office Supplies</x:v>
      </x:c>
      <x:c r="H6866" t="str">
        <x:v>Labels</x:v>
      </x:c>
      <x:c r="I6866" s="22" t="n">
        <x:v>23.04</x:v>
      </x:c>
      <x:c r="J6866" s="24" t="n">
        <x:v>8</x:v>
      </x:c>
      <x:c r="K6866" s="26" t="n">
        <x:v>0</x:v>
      </x:c>
      <x:c r="L6866" s="22" t="n">
        <x:v>11.2896</x:v>
      </x:c>
      <x:c r="M6866" t="n">
        <x:v>2017</x:v>
      </x:c>
      <x:c r="N6866" s="20" t="n">
        <x:v>42826</x:v>
      </x:c>
    </x:row>
    <x:row r="6867" ht="18" customHeight="1">
      <x:c r="A6867" t="str">
        <x:v>CA-2017-128965</x:v>
      </x:c>
      <x:c r="B6867" s="18" t="n">
        <x:v>42842</x:v>
      </x:c>
      <x:c r="C6867" t="str">
        <x:v>PS-18760</x:v>
      </x:c>
      <x:c r="D6867" t="str">
        <x:v>Pamela Stobb</x:v>
      </x:c>
      <x:c r="E6867" t="str">
        <x:v>Consumer</x:v>
      </x:c>
      <x:c r="F6867" t="str">
        <x:v>West</x:v>
      </x:c>
      <x:c r="G6867" t="str">
        <x:v>Furniture</x:v>
      </x:c>
      <x:c r="H6867" t="str">
        <x:v>Chairs</x:v>
      </x:c>
      <x:c r="I6867" s="22" t="n">
        <x:v>218.35200000000003</x:v>
      </x:c>
      <x:c r="J6867" s="24" t="n">
        <x:v>3</x:v>
      </x:c>
      <x:c r="K6867" s="26" t="n">
        <x:v>0.2</x:v>
      </x:c>
      <x:c r="L6867" s="22" t="n">
        <x:v>-19.105800000000016</x:v>
      </x:c>
      <x:c r="M6867" t="n">
        <x:v>2017</x:v>
      </x:c>
      <x:c r="N6867" s="20" t="n">
        <x:v>42826</x:v>
      </x:c>
    </x:row>
    <x:row r="6868" ht="18" customHeight="1">
      <x:c r="A6868" t="str">
        <x:v>CA-2017-138618</x:v>
      </x:c>
      <x:c r="B6868" s="18" t="n">
        <x:v>43070</x:v>
      </x:c>
      <x:c r="C6868" t="str">
        <x:v>MY-17380</x:v>
      </x:c>
      <x:c r="D6868" t="str">
        <x:v>Maribeth Yedwab</x:v>
      </x:c>
      <x:c r="E6868" t="str">
        <x:v>Corporate</x:v>
      </x:c>
      <x:c r="F6868" t="str">
        <x:v>Central</x:v>
      </x:c>
      <x:c r="G6868" t="str">
        <x:v>Office Supplies</x:v>
      </x:c>
      <x:c r="H6868" t="str">
        <x:v>Paper</x:v>
      </x:c>
      <x:c r="I6868" s="22" t="n">
        <x:v>10.368000000000002</x:v>
      </x:c>
      <x:c r="J6868" s="24" t="n">
        <x:v>2</x:v>
      </x:c>
      <x:c r="K6868" s="26" t="n">
        <x:v>0.2</x:v>
      </x:c>
      <x:c r="L6868" s="22" t="n">
        <x:v>3.6288</x:v>
      </x:c>
      <x:c r="M6868" t="n">
        <x:v>2017</x:v>
      </x:c>
      <x:c r="N6868" s="20" t="n">
        <x:v>43070</x:v>
      </x:c>
    </x:row>
    <x:row r="6869" ht="18" customHeight="1">
      <x:c r="A6869" t="str">
        <x:v>US-2016-126452</x:v>
      </x:c>
      <x:c r="B6869" s="18" t="n">
        <x:v>42603</x:v>
      </x:c>
      <x:c r="C6869" t="str">
        <x:v>SC-20230</x:v>
      </x:c>
      <x:c r="D6869" t="str">
        <x:v>Scot Coram</x:v>
      </x:c>
      <x:c r="E6869" t="str">
        <x:v>Corporate</x:v>
      </x:c>
      <x:c r="F6869" t="str">
        <x:v>West</x:v>
      </x:c>
      <x:c r="G6869" t="str">
        <x:v>Office Supplies</x:v>
      </x:c>
      <x:c r="H6869" t="str">
        <x:v>Binders</x:v>
      </x:c>
      <x:c r="I6869" s="22" t="n">
        <x:v>12.672</x:v>
      </x:c>
      <x:c r="J6869" s="24" t="n">
        <x:v>2</x:v>
      </x:c>
      <x:c r="K6869" s="26" t="n">
        <x:v>0.2</x:v>
      </x:c>
      <x:c r="L6869" s="22" t="n">
        <x:v>4.752</x:v>
      </x:c>
      <x:c r="M6869" t="n">
        <x:v>2016</x:v>
      </x:c>
      <x:c r="N6869" s="20" t="n">
        <x:v>42583</x:v>
      </x:c>
    </x:row>
    <x:row r="6870" ht="18" customHeight="1">
      <x:c r="A6870" t="str">
        <x:v>US-2016-126452</x:v>
      </x:c>
      <x:c r="B6870" s="18" t="n">
        <x:v>42603</x:v>
      </x:c>
      <x:c r="C6870" t="str">
        <x:v>SC-20230</x:v>
      </x:c>
      <x:c r="D6870" t="str">
        <x:v>Scot Coram</x:v>
      </x:c>
      <x:c r="E6870" t="str">
        <x:v>Corporate</x:v>
      </x:c>
      <x:c r="F6870" t="str">
        <x:v>West</x:v>
      </x:c>
      <x:c r="G6870" t="str">
        <x:v>Technology</x:v>
      </x:c>
      <x:c r="H6870" t="str">
        <x:v>Phones</x:v>
      </x:c>
      <x:c r="I6870" s="22" t="n">
        <x:v>91.96</x:v>
      </x:c>
      <x:c r="J6870" s="24" t="n">
        <x:v>5</x:v>
      </x:c>
      <x:c r="K6870" s="26" t="n">
        <x:v>0.2</x:v>
      </x:c>
      <x:c r="L6870" s="22" t="n">
        <x:v>-20.690999999999992</x:v>
      </x:c>
      <x:c r="M6870" t="n">
        <x:v>2016</x:v>
      </x:c>
      <x:c r="N6870" s="20" t="n">
        <x:v>42583</x:v>
      </x:c>
    </x:row>
    <x:row r="6871" ht="18" customHeight="1">
      <x:c r="A6871" t="str">
        <x:v>US-2016-126452</x:v>
      </x:c>
      <x:c r="B6871" s="18" t="n">
        <x:v>42603</x:v>
      </x:c>
      <x:c r="C6871" t="str">
        <x:v>SC-20230</x:v>
      </x:c>
      <x:c r="D6871" t="str">
        <x:v>Scot Coram</x:v>
      </x:c>
      <x:c r="E6871" t="str">
        <x:v>Corporate</x:v>
      </x:c>
      <x:c r="F6871" t="str">
        <x:v>West</x:v>
      </x:c>
      <x:c r="G6871" t="str">
        <x:v>Technology</x:v>
      </x:c>
      <x:c r="H6871" t="str">
        <x:v>Accessories</x:v>
      </x:c>
      <x:c r="I6871" s="22" t="n">
        <x:v>254.96999999999997</x:v>
      </x:c>
      <x:c r="J6871" s="24" t="n">
        <x:v>3</x:v>
      </x:c>
      <x:c r="K6871" s="26" t="n">
        <x:v>0</x:v>
      </x:c>
      <x:c r="L6871" s="22" t="n">
        <x:v>91.7892</x:v>
      </x:c>
      <x:c r="M6871" t="n">
        <x:v>2016</x:v>
      </x:c>
      <x:c r="N6871" s="20" t="n">
        <x:v>42583</x:v>
      </x:c>
    </x:row>
    <x:row r="6872" ht="18" customHeight="1">
      <x:c r="A6872" t="str">
        <x:v>US-2016-126452</x:v>
      </x:c>
      <x:c r="B6872" s="18" t="n">
        <x:v>42603</x:v>
      </x:c>
      <x:c r="C6872" t="str">
        <x:v>SC-20230</x:v>
      </x:c>
      <x:c r="D6872" t="str">
        <x:v>Scot Coram</x:v>
      </x:c>
      <x:c r="E6872" t="str">
        <x:v>Corporate</x:v>
      </x:c>
      <x:c r="F6872" t="str">
        <x:v>West</x:v>
      </x:c>
      <x:c r="G6872" t="str">
        <x:v>Technology</x:v>
      </x:c>
      <x:c r="H6872" t="str">
        <x:v>Phones</x:v>
      </x:c>
      <x:c r="I6872" s="22" t="n">
        <x:v>31.983999999999998</x:v>
      </x:c>
      <x:c r="J6872" s="24" t="n">
        <x:v>2</x:v>
      </x:c>
      <x:c r="K6872" s="26" t="n">
        <x:v>0.2</x:v>
      </x:c>
      <x:c r="L6872" s="22" t="n">
        <x:v>-7.9959999999999996</x:v>
      </x:c>
      <x:c r="M6872" t="n">
        <x:v>2016</x:v>
      </x:c>
      <x:c r="N6872" s="20" t="n">
        <x:v>42583</x:v>
      </x:c>
    </x:row>
    <x:row r="6873" ht="18" customHeight="1">
      <x:c r="A6873" t="str">
        <x:v>US-2016-126452</x:v>
      </x:c>
      <x:c r="B6873" s="18" t="n">
        <x:v>42603</x:v>
      </x:c>
      <x:c r="C6873" t="str">
        <x:v>SC-20230</x:v>
      </x:c>
      <x:c r="D6873" t="str">
        <x:v>Scot Coram</x:v>
      </x:c>
      <x:c r="E6873" t="str">
        <x:v>Corporate</x:v>
      </x:c>
      <x:c r="F6873" t="str">
        <x:v>West</x:v>
      </x:c>
      <x:c r="G6873" t="str">
        <x:v>Furniture</x:v>
      </x:c>
      <x:c r="H6873" t="str">
        <x:v>Tables</x:v>
      </x:c>
      <x:c r="I6873" s="22" t="n">
        <x:v>2887.0560000000005</x:v>
      </x:c>
      <x:c r="J6873" s="24" t="n">
        <x:v>9</x:v>
      </x:c>
      <x:c r="K6873" s="26" t="n">
        <x:v>0.2</x:v>
      </x:c>
      <x:c r="L6873" s="22" t="n">
        <x:v>180.44099999999992</x:v>
      </x:c>
      <x:c r="M6873" t="n">
        <x:v>2016</x:v>
      </x:c>
      <x:c r="N6873" s="20" t="n">
        <x:v>42583</x:v>
      </x:c>
    </x:row>
    <x:row r="6874" ht="18" customHeight="1">
      <x:c r="A6874" t="str">
        <x:v>US-2016-126452</x:v>
      </x:c>
      <x:c r="B6874" s="18" t="n">
        <x:v>42603</x:v>
      </x:c>
      <x:c r="C6874" t="str">
        <x:v>SC-20230</x:v>
      </x:c>
      <x:c r="D6874" t="str">
        <x:v>Scot Coram</x:v>
      </x:c>
      <x:c r="E6874" t="str">
        <x:v>Corporate</x:v>
      </x:c>
      <x:c r="F6874" t="str">
        <x:v>West</x:v>
      </x:c>
      <x:c r="G6874" t="str">
        <x:v>Office Supplies</x:v>
      </x:c>
      <x:c r="H6874" t="str">
        <x:v>Paper</x:v>
      </x:c>
      <x:c r="I6874" s="22" t="n">
        <x:v>12.96</x:v>
      </x:c>
      <x:c r="J6874" s="24" t="n">
        <x:v>2</x:v>
      </x:c>
      <x:c r="K6874" s="26" t="n">
        <x:v>0</x:v>
      </x:c>
      <x:c r="L6874" s="22" t="n">
        <x:v>6.2208000000000006</x:v>
      </x:c>
      <x:c r="M6874" t="n">
        <x:v>2016</x:v>
      </x:c>
      <x:c r="N6874" s="20" t="n">
        <x:v>42583</x:v>
      </x:c>
    </x:row>
    <x:row r="6875" ht="18" customHeight="1">
      <x:c r="A6875" t="str">
        <x:v>US-2016-126452</x:v>
      </x:c>
      <x:c r="B6875" s="18" t="n">
        <x:v>42603</x:v>
      </x:c>
      <x:c r="C6875" t="str">
        <x:v>SC-20230</x:v>
      </x:c>
      <x:c r="D6875" t="str">
        <x:v>Scot Coram</x:v>
      </x:c>
      <x:c r="E6875" t="str">
        <x:v>Corporate</x:v>
      </x:c>
      <x:c r="F6875" t="str">
        <x:v>West</x:v>
      </x:c>
      <x:c r="G6875" t="str">
        <x:v>Office Supplies</x:v>
      </x:c>
      <x:c r="H6875" t="str">
        <x:v>Paper</x:v>
      </x:c>
      <x:c r="I6875" s="22" t="n">
        <x:v>47.52</x:v>
      </x:c>
      <x:c r="J6875" s="24" t="n">
        <x:v>9</x:v>
      </x:c>
      <x:c r="K6875" s="26" t="n">
        <x:v>0</x:v>
      </x:c>
      <x:c r="L6875" s="22" t="n">
        <x:v>21.384</x:v>
      </x:c>
      <x:c r="M6875" t="n">
        <x:v>2016</x:v>
      </x:c>
      <x:c r="N6875" s="20" t="n">
        <x:v>42583</x:v>
      </x:c>
    </x:row>
    <x:row r="6876" ht="18" customHeight="1">
      <x:c r="A6876" t="str">
        <x:v>CA-2016-145009</x:v>
      </x:c>
      <x:c r="B6876" s="18" t="n">
        <x:v>42709</x:v>
      </x:c>
      <x:c r="C6876" t="str">
        <x:v>RF-19345</x:v>
      </x:c>
      <x:c r="D6876" t="str">
        <x:v>Randy Ferguson</x:v>
      </x:c>
      <x:c r="E6876" t="str">
        <x:v>Corporate</x:v>
      </x:c>
      <x:c r="F6876" t="str">
        <x:v>Central</x:v>
      </x:c>
      <x:c r="G6876" t="str">
        <x:v>Office Supplies</x:v>
      </x:c>
      <x:c r="H6876" t="str">
        <x:v>Labels</x:v>
      </x:c>
      <x:c r="I6876" s="22" t="n">
        <x:v>11.952000000000002</x:v>
      </x:c>
      <x:c r="J6876" s="24" t="n">
        <x:v>3</x:v>
      </x:c>
      <x:c r="K6876" s="26" t="n">
        <x:v>0.2</x:v>
      </x:c>
      <x:c r="L6876" s="22" t="n">
        <x:v>3.8843999999999994</x:v>
      </x:c>
      <x:c r="M6876" t="n">
        <x:v>2016</x:v>
      </x:c>
      <x:c r="N6876" s="20" t="n">
        <x:v>42705</x:v>
      </x:c>
    </x:row>
    <x:row r="6877" ht="18" customHeight="1">
      <x:c r="A6877" t="str">
        <x:v>CA-2015-162544</x:v>
      </x:c>
      <x:c r="B6877" s="18" t="n">
        <x:v>42354</x:v>
      </x:c>
      <x:c r="C6877" t="str">
        <x:v>SG-20080</x:v>
      </x:c>
      <x:c r="D6877" t="str">
        <x:v>Sandra Glassco</x:v>
      </x:c>
      <x:c r="E6877" t="str">
        <x:v>Consumer</x:v>
      </x:c>
      <x:c r="F6877" t="str">
        <x:v>West</x:v>
      </x:c>
      <x:c r="G6877" t="str">
        <x:v>Office Supplies</x:v>
      </x:c>
      <x:c r="H6877" t="str">
        <x:v>Paper</x:v>
      </x:c>
      <x:c r="I6877" s="22" t="n">
        <x:v>4.98</x:v>
      </x:c>
      <x:c r="J6877" s="24" t="n">
        <x:v>1</x:v>
      </x:c>
      <x:c r="K6877" s="26" t="n">
        <x:v>0</x:v>
      </x:c>
      <x:c r="L6877" s="22" t="n">
        <x:v>2.3406000000000002</x:v>
      </x:c>
      <x:c r="M6877" t="n">
        <x:v>2015</x:v>
      </x:c>
      <x:c r="N6877" s="20" t="n">
        <x:v>42339</x:v>
      </x:c>
    </x:row>
    <x:row r="6878" ht="18" customHeight="1">
      <x:c r="A6878" t="str">
        <x:v>CA-2014-124394</x:v>
      </x:c>
      <x:c r="B6878" s="18" t="n">
        <x:v>41929</x:v>
      </x:c>
      <x:c r="C6878" t="str">
        <x:v>TB-21520</x:v>
      </x:c>
      <x:c r="D6878" t="str">
        <x:v>Tracy Blumstein</x:v>
      </x:c>
      <x:c r="E6878" t="str">
        <x:v>Consumer</x:v>
      </x:c>
      <x:c r="F6878" t="str">
        <x:v>Central</x:v>
      </x:c>
      <x:c r="G6878" t="str">
        <x:v>Office Supplies</x:v>
      </x:c>
      <x:c r="H6878" t="str">
        <x:v>Binders</x:v>
      </x:c>
      <x:c r="I6878" s="22" t="n">
        <x:v>10.779999999999996</x:v>
      </x:c>
      <x:c r="J6878" s="24" t="n">
        <x:v>5</x:v>
      </x:c>
      <x:c r="K6878" s="26" t="n">
        <x:v>0.8</x:v>
      </x:c>
      <x:c r="L6878" s="22" t="n">
        <x:v>-17.248000000000008</x:v>
      </x:c>
      <x:c r="M6878" t="n">
        <x:v>2014</x:v>
      </x:c>
      <x:c r="N6878" s="20" t="n">
        <x:v>41913</x:v>
      </x:c>
    </x:row>
    <x:row r="6879" ht="18" customHeight="1">
      <x:c r="A6879" t="str">
        <x:v>CA-2014-124394</x:v>
      </x:c>
      <x:c r="B6879" s="18" t="n">
        <x:v>41929</x:v>
      </x:c>
      <x:c r="C6879" t="str">
        <x:v>TB-21520</x:v>
      </x:c>
      <x:c r="D6879" t="str">
        <x:v>Tracy Blumstein</x:v>
      </x:c>
      <x:c r="E6879" t="str">
        <x:v>Consumer</x:v>
      </x:c>
      <x:c r="F6879" t="str">
        <x:v>Central</x:v>
      </x:c>
      <x:c r="G6879" t="str">
        <x:v>Technology</x:v>
      </x:c>
      <x:c r="H6879" t="str">
        <x:v>Accessories</x:v>
      </x:c>
      <x:c r="I6879" s="22" t="n">
        <x:v>119.97600000000001</x:v>
      </x:c>
      <x:c r="J6879" s="24" t="n">
        <x:v>3</x:v>
      </x:c>
      <x:c r="K6879" s="26" t="n">
        <x:v>0.2</x:v>
      </x:c>
      <x:c r="L6879" s="22" t="n">
        <x:v>-17.99640000000002</x:v>
      </x:c>
      <x:c r="M6879" t="n">
        <x:v>2014</x:v>
      </x:c>
      <x:c r="N6879" s="20" t="n">
        <x:v>41913</x:v>
      </x:c>
    </x:row>
    <x:row r="6880" ht="18" customHeight="1">
      <x:c r="A6880" t="str">
        <x:v>US-2016-121013</x:v>
      </x:c>
      <x:c r="B6880" s="18" t="n">
        <x:v>42618</x:v>
      </x:c>
      <x:c r="C6880" t="str">
        <x:v>MM-17920</x:v>
      </x:c>
      <x:c r="D6880" t="str">
        <x:v>Michael Moore</x:v>
      </x:c>
      <x:c r="E6880" t="str">
        <x:v>Consumer</x:v>
      </x:c>
      <x:c r="F6880" t="str">
        <x:v>South</x:v>
      </x:c>
      <x:c r="G6880" t="str">
        <x:v>Office Supplies</x:v>
      </x:c>
      <x:c r="H6880" t="str">
        <x:v>Labels</x:v>
      </x:c>
      <x:c r="I6880" s="22" t="n">
        <x:v>25.06</x:v>
      </x:c>
      <x:c r="J6880" s="24" t="n">
        <x:v>2</x:v>
      </x:c>
      <x:c r="K6880" s="26" t="n">
        <x:v>0</x:v>
      </x:c>
      <x:c r="L6880" s="22" t="n">
        <x:v>11.778199999999998</x:v>
      </x:c>
      <x:c r="M6880" t="n">
        <x:v>2016</x:v>
      </x:c>
      <x:c r="N6880" s="20" t="n">
        <x:v>42614</x:v>
      </x:c>
    </x:row>
    <x:row r="6881" ht="18" customHeight="1">
      <x:c r="A6881" t="str">
        <x:v>US-2016-121013</x:v>
      </x:c>
      <x:c r="B6881" s="18" t="n">
        <x:v>42618</x:v>
      </x:c>
      <x:c r="C6881" t="str">
        <x:v>MM-17920</x:v>
      </x:c>
      <x:c r="D6881" t="str">
        <x:v>Michael Moore</x:v>
      </x:c>
      <x:c r="E6881" t="str">
        <x:v>Consumer</x:v>
      </x:c>
      <x:c r="F6881" t="str">
        <x:v>South</x:v>
      </x:c>
      <x:c r="G6881" t="str">
        <x:v>Furniture</x:v>
      </x:c>
      <x:c r="H6881" t="str">
        <x:v>Tables</x:v>
      </x:c>
      <x:c r="I6881" s="22" t="n">
        <x:v>1652.94</x:v>
      </x:c>
      <x:c r="J6881" s="24" t="n">
        <x:v>3</x:v>
      </x:c>
      <x:c r="K6881" s="26" t="n">
        <x:v>0</x:v>
      </x:c>
      <x:c r="L6881" s="22" t="n">
        <x:v>314.05859999999996</x:v>
      </x:c>
      <x:c r="M6881" t="n">
        <x:v>2016</x:v>
      </x:c>
      <x:c r="N6881" s="20" t="n">
        <x:v>42614</x:v>
      </x:c>
    </x:row>
    <x:row r="6882" ht="18" customHeight="1">
      <x:c r="A6882" t="str">
        <x:v>US-2015-123918</x:v>
      </x:c>
      <x:c r="B6882" s="18" t="n">
        <x:v>42292</x:v>
      </x:c>
      <x:c r="C6882" t="str">
        <x:v>CG-12520</x:v>
      </x:c>
      <x:c r="D6882" t="str">
        <x:v>Claire Gute</x:v>
      </x:c>
      <x:c r="E6882" t="str">
        <x:v>Consumer</x:v>
      </x:c>
      <x:c r="F6882" t="str">
        <x:v>Central</x:v>
      </x:c>
      <x:c r="G6882" t="str">
        <x:v>Furniture</x:v>
      </x:c>
      <x:c r="H6882" t="str">
        <x:v>Furnishings</x:v>
      </x:c>
      <x:c r="I6882" s="22" t="n">
        <x:v>131.376</x:v>
      </x:c>
      <x:c r="J6882" s="24" t="n">
        <x:v>6</x:v>
      </x:c>
      <x:c r="K6882" s="26" t="n">
        <x:v>0.6</x:v>
      </x:c>
      <x:c r="L6882" s="22" t="n">
        <x:v>-95.24760000000002</x:v>
      </x:c>
      <x:c r="M6882" t="n">
        <x:v>2015</x:v>
      </x:c>
      <x:c r="N6882" s="20" t="n">
        <x:v>42278</x:v>
      </x:c>
    </x:row>
    <x:row r="6883" ht="18" customHeight="1">
      <x:c r="A6883" t="str">
        <x:v>US-2015-123918</x:v>
      </x:c>
      <x:c r="B6883" s="18" t="n">
        <x:v>42292</x:v>
      </x:c>
      <x:c r="C6883" t="str">
        <x:v>CG-12520</x:v>
      </x:c>
      <x:c r="D6883" t="str">
        <x:v>Claire Gute</x:v>
      </x:c>
      <x:c r="E6883" t="str">
        <x:v>Consumer</x:v>
      </x:c>
      <x:c r="F6883" t="str">
        <x:v>Central</x:v>
      </x:c>
      <x:c r="G6883" t="str">
        <x:v>Office Supplies</x:v>
      </x:c>
      <x:c r="H6883" t="str">
        <x:v>Paper</x:v>
      </x:c>
      <x:c r="I6883" s="22" t="n">
        <x:v>5.344</x:v>
      </x:c>
      <x:c r="J6883" s="24" t="n">
        <x:v>1</x:v>
      </x:c>
      <x:c r="K6883" s="26" t="n">
        <x:v>0.2</x:v>
      </x:c>
      <x:c r="L6883" s="22" t="n">
        <x:v>1.8703999999999998</x:v>
      </x:c>
      <x:c r="M6883" t="n">
        <x:v>2015</x:v>
      </x:c>
      <x:c r="N6883" s="20" t="n">
        <x:v>42278</x:v>
      </x:c>
    </x:row>
    <x:row r="6884" ht="18" customHeight="1">
      <x:c r="A6884" t="str">
        <x:v>CA-2015-137113</x:v>
      </x:c>
      <x:c r="B6884" s="18" t="n">
        <x:v>42339</x:v>
      </x:c>
      <x:c r="C6884" t="str">
        <x:v>TW-21025</x:v>
      </x:c>
      <x:c r="D6884" t="str">
        <x:v>Tamara Willingham</x:v>
      </x:c>
      <x:c r="E6884" t="str">
        <x:v>Home Office</x:v>
      </x:c>
      <x:c r="F6884" t="str">
        <x:v>West</x:v>
      </x:c>
      <x:c r="G6884" t="str">
        <x:v>Furniture</x:v>
      </x:c>
      <x:c r="H6884" t="str">
        <x:v>Chairs</x:v>
      </x:c>
      <x:c r="I6884" s="22" t="n">
        <x:v>2003.9200000000003</x:v>
      </x:c>
      <x:c r="J6884" s="24" t="n">
        <x:v>5</x:v>
      </x:c>
      <x:c r="K6884" s="26" t="n">
        <x:v>0.2</x:v>
      </x:c>
      <x:c r="L6884" s="22" t="n">
        <x:v>125.24499999999995</x:v>
      </x:c>
      <x:c r="M6884" t="n">
        <x:v>2015</x:v>
      </x:c>
      <x:c r="N6884" s="20" t="n">
        <x:v>42339</x:v>
      </x:c>
    </x:row>
    <x:row r="6885" ht="18" customHeight="1">
      <x:c r="A6885" t="str">
        <x:v>CA-2015-137113</x:v>
      </x:c>
      <x:c r="B6885" s="18" t="n">
        <x:v>42339</x:v>
      </x:c>
      <x:c r="C6885" t="str">
        <x:v>TW-21025</x:v>
      </x:c>
      <x:c r="D6885" t="str">
        <x:v>Tamara Willingham</x:v>
      </x:c>
      <x:c r="E6885" t="str">
        <x:v>Home Office</x:v>
      </x:c>
      <x:c r="F6885" t="str">
        <x:v>West</x:v>
      </x:c>
      <x:c r="G6885" t="str">
        <x:v>Office Supplies</x:v>
      </x:c>
      <x:c r="H6885" t="str">
        <x:v>Paper</x:v>
      </x:c>
      <x:c r="I6885" s="22" t="n">
        <x:v>32.400000000000006</x:v>
      </x:c>
      <x:c r="J6885" s="24" t="n">
        <x:v>5</x:v>
      </x:c>
      <x:c r="K6885" s="26" t="n">
        <x:v>0</x:v>
      </x:c>
      <x:c r="L6885" s="22" t="n">
        <x:v>15.552000000000001</x:v>
      </x:c>
      <x:c r="M6885" t="n">
        <x:v>2015</x:v>
      </x:c>
      <x:c r="N6885" s="20" t="n">
        <x:v>42339</x:v>
      </x:c>
    </x:row>
    <x:row r="6886" ht="18" customHeight="1">
      <x:c r="A6886" t="str">
        <x:v>CA-2015-137113</x:v>
      </x:c>
      <x:c r="B6886" s="18" t="n">
        <x:v>42339</x:v>
      </x:c>
      <x:c r="C6886" t="str">
        <x:v>TW-21025</x:v>
      </x:c>
      <x:c r="D6886" t="str">
        <x:v>Tamara Willingham</x:v>
      </x:c>
      <x:c r="E6886" t="str">
        <x:v>Home Office</x:v>
      </x:c>
      <x:c r="F6886" t="str">
        <x:v>West</x:v>
      </x:c>
      <x:c r="G6886" t="str">
        <x:v>Furniture</x:v>
      </x:c>
      <x:c r="H6886" t="str">
        <x:v>Tables</x:v>
      </x:c>
      <x:c r="I6886" s="22" t="n">
        <x:v>1913.3999999999999</x:v>
      </x:c>
      <x:c r="J6886" s="24" t="n">
        <x:v>9</x:v>
      </x:c>
      <x:c r="K6886" s="26" t="n">
        <x:v>0</x:v>
      </x:c>
      <x:c r="L6886" s="22" t="n">
        <x:v>401.81399999999985</x:v>
      </x:c>
      <x:c r="M6886" t="n">
        <x:v>2015</x:v>
      </x:c>
      <x:c r="N6886" s="20" t="n">
        <x:v>42339</x:v>
      </x:c>
    </x:row>
    <x:row r="6887" ht="18" customHeight="1">
      <x:c r="A6887" t="str">
        <x:v>CA-2015-137113</x:v>
      </x:c>
      <x:c r="B6887" s="18" t="n">
        <x:v>42339</x:v>
      </x:c>
      <x:c r="C6887" t="str">
        <x:v>TW-21025</x:v>
      </x:c>
      <x:c r="D6887" t="str">
        <x:v>Tamara Willingham</x:v>
      </x:c>
      <x:c r="E6887" t="str">
        <x:v>Home Office</x:v>
      </x:c>
      <x:c r="F6887" t="str">
        <x:v>West</x:v>
      </x:c>
      <x:c r="G6887" t="str">
        <x:v>Office Supplies</x:v>
      </x:c>
      <x:c r="H6887" t="str">
        <x:v>Storage</x:v>
      </x:c>
      <x:c r="I6887" s="22" t="n">
        <x:v>146.73</x:v>
      </x:c>
      <x:c r="J6887" s="24" t="n">
        <x:v>3</x:v>
      </x:c>
      <x:c r="K6887" s="26" t="n">
        <x:v>0</x:v>
      </x:c>
      <x:c r="L6887" s="22" t="n">
        <x:v>2.934600000000003</x:v>
      </x:c>
      <x:c r="M6887" t="n">
        <x:v>2015</x:v>
      </x:c>
      <x:c r="N6887" s="20" t="n">
        <x:v>42339</x:v>
      </x:c>
    </x:row>
    <x:row r="6888" ht="18" customHeight="1">
      <x:c r="A6888" t="str">
        <x:v>CA-2015-137113</x:v>
      </x:c>
      <x:c r="B6888" s="18" t="n">
        <x:v>42339</x:v>
      </x:c>
      <x:c r="C6888" t="str">
        <x:v>TW-21025</x:v>
      </x:c>
      <x:c r="D6888" t="str">
        <x:v>Tamara Willingham</x:v>
      </x:c>
      <x:c r="E6888" t="str">
        <x:v>Home Office</x:v>
      </x:c>
      <x:c r="F6888" t="str">
        <x:v>West</x:v>
      </x:c>
      <x:c r="G6888" t="str">
        <x:v>Office Supplies</x:v>
      </x:c>
      <x:c r="H6888" t="str">
        <x:v>Paper</x:v>
      </x:c>
      <x:c r="I6888" s="22" t="n">
        <x:v>114.2</x:v>
      </x:c>
      <x:c r="J6888" s="24" t="n">
        <x:v>5</x:v>
      </x:c>
      <x:c r="K6888" s="26" t="n">
        <x:v>0</x:v>
      </x:c>
      <x:c r="L6888" s="22" t="n">
        <x:v>52.532</x:v>
      </x:c>
      <x:c r="M6888" t="n">
        <x:v>2015</x:v>
      </x:c>
      <x:c r="N6888" s="20" t="n">
        <x:v>42339</x:v>
      </x:c>
    </x:row>
    <x:row r="6889" ht="18" customHeight="1">
      <x:c r="A6889" t="str">
        <x:v>CA-2015-120677</x:v>
      </x:c>
      <x:c r="B6889" s="18" t="n">
        <x:v>42155</x:v>
      </x:c>
      <x:c r="C6889" t="str">
        <x:v>BD-11320</x:v>
      </x:c>
      <x:c r="D6889" t="str">
        <x:v>Bill Donatelli</x:v>
      </x:c>
      <x:c r="E6889" t="str">
        <x:v>Consumer</x:v>
      </x:c>
      <x:c r="F6889" t="str">
        <x:v>Central</x:v>
      </x:c>
      <x:c r="G6889" t="str">
        <x:v>Furniture</x:v>
      </x:c>
      <x:c r="H6889" t="str">
        <x:v>Chairs</x:v>
      </x:c>
      <x:c r="I6889" s="22" t="n">
        <x:v>2567.84</x:v>
      </x:c>
      <x:c r="J6889" s="24" t="n">
        <x:v>8</x:v>
      </x:c>
      <x:c r="K6889" s="26" t="n">
        <x:v>0</x:v>
      </x:c>
      <x:c r="L6889" s="22" t="n">
        <x:v>770.3519999999999</x:v>
      </x:c>
      <x:c r="M6889" t="n">
        <x:v>2015</x:v>
      </x:c>
      <x:c r="N6889" s="20" t="n">
        <x:v>42125</x:v>
      </x:c>
    </x:row>
    <x:row r="6890" ht="18" customHeight="1">
      <x:c r="A6890" t="str">
        <x:v>CA-2017-123036</x:v>
      </x:c>
      <x:c r="B6890" s="18" t="n">
        <x:v>42988</x:v>
      </x:c>
      <x:c r="C6890" t="str">
        <x:v>HA-14905</x:v>
      </x:c>
      <x:c r="D6890" t="str">
        <x:v>Helen Abelman</x:v>
      </x:c>
      <x:c r="E6890" t="str">
        <x:v>Consumer</x:v>
      </x:c>
      <x:c r="F6890" t="str">
        <x:v>East</x:v>
      </x:c>
      <x:c r="G6890" t="str">
        <x:v>Technology</x:v>
      </x:c>
      <x:c r="H6890" t="str">
        <x:v>Accessories</x:v>
      </x:c>
      <x:c r="I6890" s="22" t="n">
        <x:v>37.056000000000004</x:v>
      </x:c>
      <x:c r="J6890" s="24" t="n">
        <x:v>4</x:v>
      </x:c>
      <x:c r="K6890" s="26" t="n">
        <x:v>0.2</x:v>
      </x:c>
      <x:c r="L6890" s="22" t="n">
        <x:v>8.8008</x:v>
      </x:c>
      <x:c r="M6890" t="n">
        <x:v>2017</x:v>
      </x:c>
      <x:c r="N6890" s="20" t="n">
        <x:v>42979</x:v>
      </x:c>
    </x:row>
    <x:row r="6891" ht="18" customHeight="1">
      <x:c r="A6891" t="str">
        <x:v>CA-2017-123036</x:v>
      </x:c>
      <x:c r="B6891" s="18" t="n">
        <x:v>42988</x:v>
      </x:c>
      <x:c r="C6891" t="str">
        <x:v>HA-14905</x:v>
      </x:c>
      <x:c r="D6891" t="str">
        <x:v>Helen Abelman</x:v>
      </x:c>
      <x:c r="E6891" t="str">
        <x:v>Consumer</x:v>
      </x:c>
      <x:c r="F6891" t="str">
        <x:v>East</x:v>
      </x:c>
      <x:c r="G6891" t="str">
        <x:v>Technology</x:v>
      </x:c>
      <x:c r="H6891" t="str">
        <x:v>Phones</x:v>
      </x:c>
      <x:c r="I6891" s="22" t="n">
        <x:v>259.896</x:v>
      </x:c>
      <x:c r="J6891" s="24" t="n">
        <x:v>2</x:v>
      </x:c>
      <x:c r="K6891" s="26" t="n">
        <x:v>0.4</x:v>
      </x:c>
      <x:c r="L6891" s="22" t="n">
        <x:v>-56.31079999999997</x:v>
      </x:c>
      <x:c r="M6891" t="n">
        <x:v>2017</x:v>
      </x:c>
      <x:c r="N6891" s="20" t="n">
        <x:v>42979</x:v>
      </x:c>
    </x:row>
    <x:row r="6892" ht="18" customHeight="1">
      <x:c r="A6892" t="str">
        <x:v>CA-2017-120222</x:v>
      </x:c>
      <x:c r="B6892" s="18" t="n">
        <x:v>42850</x:v>
      </x:c>
      <x:c r="C6892" t="str">
        <x:v>LL-16840</x:v>
      </x:c>
      <x:c r="D6892" t="str">
        <x:v>Lauren Leatherbury</x:v>
      </x:c>
      <x:c r="E6892" t="str">
        <x:v>Consumer</x:v>
      </x:c>
      <x:c r="F6892" t="str">
        <x:v>West</x:v>
      </x:c>
      <x:c r="G6892" t="str">
        <x:v>Office Supplies</x:v>
      </x:c>
      <x:c r="H6892" t="str">
        <x:v>Paper</x:v>
      </x:c>
      <x:c r="I6892" s="22" t="n">
        <x:v>19.049999999999997</x:v>
      </x:c>
      <x:c r="J6892" s="24" t="n">
        <x:v>3</x:v>
      </x:c>
      <x:c r="K6892" s="26" t="n">
        <x:v>0</x:v>
      </x:c>
      <x:c r="L6892" s="22" t="n">
        <x:v>8.763</x:v>
      </x:c>
      <x:c r="M6892" t="n">
        <x:v>2017</x:v>
      </x:c>
      <x:c r="N6892" s="20" t="n">
        <x:v>42826</x:v>
      </x:c>
    </x:row>
    <x:row r="6893" ht="18" customHeight="1">
      <x:c r="A6893" t="str">
        <x:v>CA-2017-120222</x:v>
      </x:c>
      <x:c r="B6893" s="18" t="n">
        <x:v>42850</x:v>
      </x:c>
      <x:c r="C6893" t="str">
        <x:v>LL-16840</x:v>
      </x:c>
      <x:c r="D6893" t="str">
        <x:v>Lauren Leatherbury</x:v>
      </x:c>
      <x:c r="E6893" t="str">
        <x:v>Consumer</x:v>
      </x:c>
      <x:c r="F6893" t="str">
        <x:v>West</x:v>
      </x:c>
      <x:c r="G6893" t="str">
        <x:v>Office Supplies</x:v>
      </x:c>
      <x:c r="H6893" t="str">
        <x:v>Binders</x:v>
      </x:c>
      <x:c r="I6893" s="22" t="n">
        <x:v>73.344</x:v>
      </x:c>
      <x:c r="J6893" s="24" t="n">
        <x:v>3</x:v>
      </x:c>
      <x:c r="K6893" s="26" t="n">
        <x:v>0.2</x:v>
      </x:c>
      <x:c r="L6893" s="22" t="n">
        <x:v>27.503999999999998</x:v>
      </x:c>
      <x:c r="M6893" t="n">
        <x:v>2017</x:v>
      </x:c>
      <x:c r="N6893" s="20" t="n">
        <x:v>42826</x:v>
      </x:c>
    </x:row>
    <x:row r="6894" ht="18" customHeight="1">
      <x:c r="A6894" t="str">
        <x:v>CA-2017-164756</x:v>
      </x:c>
      <x:c r="B6894" s="18" t="n">
        <x:v>42996</x:v>
      </x:c>
      <x:c r="C6894" t="str">
        <x:v>SS-20140</x:v>
      </x:c>
      <x:c r="D6894" t="str">
        <x:v>Saphhira Shifley</x:v>
      </x:c>
      <x:c r="E6894" t="str">
        <x:v>Corporate</x:v>
      </x:c>
      <x:c r="F6894" t="str">
        <x:v>South</x:v>
      </x:c>
      <x:c r="G6894" t="str">
        <x:v>Technology</x:v>
      </x:c>
      <x:c r="H6894" t="str">
        <x:v>Phones</x:v>
      </x:c>
      <x:c r="I6894" s="22" t="n">
        <x:v>95.68</x:v>
      </x:c>
      <x:c r="J6894" s="24" t="n">
        <x:v>8</x:v>
      </x:c>
      <x:c r="K6894" s="26" t="n">
        <x:v>0</x:v>
      </x:c>
      <x:c r="L6894" s="22" t="n">
        <x:v>26.790400000000005</x:v>
      </x:c>
      <x:c r="M6894" t="n">
        <x:v>2017</x:v>
      </x:c>
      <x:c r="N6894" s="20" t="n">
        <x:v>42979</x:v>
      </x:c>
    </x:row>
    <x:row r="6895" ht="18" customHeight="1">
      <x:c r="A6895" t="str">
        <x:v>CA-2017-164756</x:v>
      </x:c>
      <x:c r="B6895" s="18" t="n">
        <x:v>42996</x:v>
      </x:c>
      <x:c r="C6895" t="str">
        <x:v>SS-20140</x:v>
      </x:c>
      <x:c r="D6895" t="str">
        <x:v>Saphhira Shifley</x:v>
      </x:c>
      <x:c r="E6895" t="str">
        <x:v>Corporate</x:v>
      </x:c>
      <x:c r="F6895" t="str">
        <x:v>South</x:v>
      </x:c>
      <x:c r="G6895" t="str">
        <x:v>Office Supplies</x:v>
      </x:c>
      <x:c r="H6895" t="str">
        <x:v>Paper</x:v>
      </x:c>
      <x:c r="I6895" s="22" t="n">
        <x:v>50.96</x:v>
      </x:c>
      <x:c r="J6895" s="24" t="n">
        <x:v>7</x:v>
      </x:c>
      <x:c r="K6895" s="26" t="n">
        <x:v>0</x:v>
      </x:c>
      <x:c r="L6895" s="22" t="n">
        <x:v>24.460800000000003</x:v>
      </x:c>
      <x:c r="M6895" t="n">
        <x:v>2017</x:v>
      </x:c>
      <x:c r="N6895" s="20" t="n">
        <x:v>42979</x:v>
      </x:c>
    </x:row>
    <x:row r="6896" ht="18" customHeight="1">
      <x:c r="A6896" t="str">
        <x:v>CA-2017-164756</x:v>
      </x:c>
      <x:c r="B6896" s="18" t="n">
        <x:v>42996</x:v>
      </x:c>
      <x:c r="C6896" t="str">
        <x:v>SS-20140</x:v>
      </x:c>
      <x:c r="D6896" t="str">
        <x:v>Saphhira Shifley</x:v>
      </x:c>
      <x:c r="E6896" t="str">
        <x:v>Corporate</x:v>
      </x:c>
      <x:c r="F6896" t="str">
        <x:v>South</x:v>
      </x:c>
      <x:c r="G6896" t="str">
        <x:v>Office Supplies</x:v>
      </x:c>
      <x:c r="H6896" t="str">
        <x:v>Art</x:v>
      </x:c>
      <x:c r="I6896" s="22" t="n">
        <x:v>113.94</x:v>
      </x:c>
      <x:c r="J6896" s="24" t="n">
        <x:v>3</x:v>
      </x:c>
      <x:c r="K6896" s="26" t="n">
        <x:v>0</x:v>
      </x:c>
      <x:c r="L6896" s="22" t="n">
        <x:v>34.18199999999999</x:v>
      </x:c>
      <x:c r="M6896" t="n">
        <x:v>2017</x:v>
      </x:c>
      <x:c r="N6896" s="20" t="n">
        <x:v>42979</x:v>
      </x:c>
    </x:row>
    <x:row r="6897" ht="18" customHeight="1">
      <x:c r="A6897" t="str">
        <x:v>CA-2017-164756</x:v>
      </x:c>
      <x:c r="B6897" s="18" t="n">
        <x:v>42996</x:v>
      </x:c>
      <x:c r="C6897" t="str">
        <x:v>SS-20140</x:v>
      </x:c>
      <x:c r="D6897" t="str">
        <x:v>Saphhira Shifley</x:v>
      </x:c>
      <x:c r="E6897" t="str">
        <x:v>Corporate</x:v>
      </x:c>
      <x:c r="F6897" t="str">
        <x:v>South</x:v>
      </x:c>
      <x:c r="G6897" t="str">
        <x:v>Office Supplies</x:v>
      </x:c>
      <x:c r="H6897" t="str">
        <x:v>Paper</x:v>
      </x:c>
      <x:c r="I6897" s="22" t="n">
        <x:v>25.92</x:v>
      </x:c>
      <x:c r="J6897" s="24" t="n">
        <x:v>4</x:v>
      </x:c>
      <x:c r="K6897" s="26" t="n">
        <x:v>0</x:v>
      </x:c>
      <x:c r="L6897" s="22" t="n">
        <x:v>12.441600000000001</x:v>
      </x:c>
      <x:c r="M6897" t="n">
        <x:v>2017</x:v>
      </x:c>
      <x:c r="N6897" s="20" t="n">
        <x:v>42979</x:v>
      </x:c>
    </x:row>
    <x:row r="6898" ht="18" customHeight="1">
      <x:c r="A6898" t="str">
        <x:v>CA-2017-164756</x:v>
      </x:c>
      <x:c r="B6898" s="18" t="n">
        <x:v>42996</x:v>
      </x:c>
      <x:c r="C6898" t="str">
        <x:v>SS-20140</x:v>
      </x:c>
      <x:c r="D6898" t="str">
        <x:v>Saphhira Shifley</x:v>
      </x:c>
      <x:c r="E6898" t="str">
        <x:v>Corporate</x:v>
      </x:c>
      <x:c r="F6898" t="str">
        <x:v>South</x:v>
      </x:c>
      <x:c r="G6898" t="str">
        <x:v>Furniture</x:v>
      </x:c>
      <x:c r="H6898" t="str">
        <x:v>Furnishings</x:v>
      </x:c>
      <x:c r="I6898" s="22" t="n">
        <x:v>20.32</x:v>
      </x:c>
      <x:c r="J6898" s="24" t="n">
        <x:v>4</x:v>
      </x:c>
      <x:c r="K6898" s="26" t="n">
        <x:v>0</x:v>
      </x:c>
      <x:c r="L6898" s="22" t="n">
        <x:v>6.908799999999999</x:v>
      </x:c>
      <x:c r="M6898" t="n">
        <x:v>2017</x:v>
      </x:c>
      <x:c r="N6898" s="20" t="n">
        <x:v>42979</x:v>
      </x:c>
    </x:row>
    <x:row r="6899" ht="18" customHeight="1">
      <x:c r="A6899" t="str">
        <x:v>CA-2017-164756</x:v>
      </x:c>
      <x:c r="B6899" s="18" t="n">
        <x:v>42996</x:v>
      </x:c>
      <x:c r="C6899" t="str">
        <x:v>SS-20140</x:v>
      </x:c>
      <x:c r="D6899" t="str">
        <x:v>Saphhira Shifley</x:v>
      </x:c>
      <x:c r="E6899" t="str">
        <x:v>Corporate</x:v>
      </x:c>
      <x:c r="F6899" t="str">
        <x:v>South</x:v>
      </x:c>
      <x:c r="G6899" t="str">
        <x:v>Technology</x:v>
      </x:c>
      <x:c r="H6899" t="str">
        <x:v>Phones</x:v>
      </x:c>
      <x:c r="I6899" s="22" t="n">
        <x:v>411.98</x:v>
      </x:c>
      <x:c r="J6899" s="24" t="n">
        <x:v>2</x:v>
      </x:c>
      <x:c r="K6899" s="26" t="n">
        <x:v>0</x:v>
      </x:c>
      <x:c r="L6899" s="22" t="n">
        <x:v>119.4742</x:v>
      </x:c>
      <x:c r="M6899" t="n">
        <x:v>2017</x:v>
      </x:c>
      <x:c r="N6899" s="20" t="n">
        <x:v>42979</x:v>
      </x:c>
    </x:row>
    <x:row r="6900" ht="18" customHeight="1">
      <x:c r="A6900" t="str">
        <x:v>CA-2017-164756</x:v>
      </x:c>
      <x:c r="B6900" s="18" t="n">
        <x:v>42996</x:v>
      </x:c>
      <x:c r="C6900" t="str">
        <x:v>SS-20140</x:v>
      </x:c>
      <x:c r="D6900" t="str">
        <x:v>Saphhira Shifley</x:v>
      </x:c>
      <x:c r="E6900" t="str">
        <x:v>Corporate</x:v>
      </x:c>
      <x:c r="F6900" t="str">
        <x:v>South</x:v>
      </x:c>
      <x:c r="G6900" t="str">
        <x:v>Office Supplies</x:v>
      </x:c>
      <x:c r="H6900" t="str">
        <x:v>Supplies</x:v>
      </x:c>
      <x:c r="I6900" s="22" t="n">
        <x:v>34.48</x:v>
      </x:c>
      <x:c r="J6900" s="24" t="n">
        <x:v>2</x:v>
      </x:c>
      <x:c r="K6900" s="26" t="n">
        <x:v>0</x:v>
      </x:c>
      <x:c r="L6900" s="22" t="n">
        <x:v>9.999199999999995</x:v>
      </x:c>
      <x:c r="M6900" t="n">
        <x:v>2017</x:v>
      </x:c>
      <x:c r="N6900" s="20" t="n">
        <x:v>42979</x:v>
      </x:c>
    </x:row>
    <x:row r="6901" ht="18" customHeight="1">
      <x:c r="A6901" t="str">
        <x:v>CA-2017-164756</x:v>
      </x:c>
      <x:c r="B6901" s="18" t="n">
        <x:v>42996</x:v>
      </x:c>
      <x:c r="C6901" t="str">
        <x:v>SS-20140</x:v>
      </x:c>
      <x:c r="D6901" t="str">
        <x:v>Saphhira Shifley</x:v>
      </x:c>
      <x:c r="E6901" t="str">
        <x:v>Corporate</x:v>
      </x:c>
      <x:c r="F6901" t="str">
        <x:v>South</x:v>
      </x:c>
      <x:c r="G6901" t="str">
        <x:v>Office Supplies</x:v>
      </x:c>
      <x:c r="H6901" t="str">
        <x:v>Paper</x:v>
      </x:c>
      <x:c r="I6901" s="22" t="n">
        <x:v>244.54999999999998</x:v>
      </x:c>
      <x:c r="J6901" s="24" t="n">
        <x:v>5</x:v>
      </x:c>
      <x:c r="K6901" s="26" t="n">
        <x:v>0</x:v>
      </x:c>
      <x:c r="L6901" s="22" t="n">
        <x:v>114.93849999999998</x:v>
      </x:c>
      <x:c r="M6901" t="n">
        <x:v>2017</x:v>
      </x:c>
      <x:c r="N6901" s="20" t="n">
        <x:v>42979</x:v>
      </x:c>
    </x:row>
    <x:row r="6902" ht="18" customHeight="1">
      <x:c r="A6902" t="str">
        <x:v>CA-2017-122028</x:v>
      </x:c>
      <x:c r="B6902" s="18" t="n">
        <x:v>42965</x:v>
      </x:c>
      <x:c r="C6902" t="str">
        <x:v>CK-12205</x:v>
      </x:c>
      <x:c r="D6902" t="str">
        <x:v>Chloris Kastensmidt</x:v>
      </x:c>
      <x:c r="E6902" t="str">
        <x:v>Consumer</x:v>
      </x:c>
      <x:c r="F6902" t="str">
        <x:v>East</x:v>
      </x:c>
      <x:c r="G6902" t="str">
        <x:v>Office Supplies</x:v>
      </x:c>
      <x:c r="H6902" t="str">
        <x:v>Binders</x:v>
      </x:c>
      <x:c r="I6902" s="22" t="n">
        <x:v>10.782000000000002</x:v>
      </x:c>
      <x:c r="J6902" s="24" t="n">
        <x:v>3</x:v>
      </x:c>
      <x:c r="K6902" s="26" t="n">
        <x:v>0.7</x:v>
      </x:c>
      <x:c r="L6902" s="22" t="n">
        <x:v>-7.906799999999997</x:v>
      </x:c>
      <x:c r="M6902" t="n">
        <x:v>2017</x:v>
      </x:c>
      <x:c r="N6902" s="20" t="n">
        <x:v>42948</x:v>
      </x:c>
    </x:row>
    <x:row r="6903" ht="18" customHeight="1">
      <x:c r="A6903" t="str">
        <x:v>US-2015-165512</x:v>
      </x:c>
      <x:c r="B6903" s="18" t="n">
        <x:v>42148</x:v>
      </x:c>
      <x:c r="C6903" t="str">
        <x:v>VS-21820</x:v>
      </x:c>
      <x:c r="D6903" t="str">
        <x:v>Vivek Sundaresam</x:v>
      </x:c>
      <x:c r="E6903" t="str">
        <x:v>Consumer</x:v>
      </x:c>
      <x:c r="F6903" t="str">
        <x:v>Central</x:v>
      </x:c>
      <x:c r="G6903" t="str">
        <x:v>Furniture</x:v>
      </x:c>
      <x:c r="H6903" t="str">
        <x:v>Chairs</x:v>
      </x:c>
      <x:c r="I6903" s="22" t="n">
        <x:v>602.651</x:v>
      </x:c>
      <x:c r="J6903" s="24" t="n">
        <x:v>7</x:v>
      </x:c>
      <x:c r="K6903" s="26" t="n">
        <x:v>0.3</x:v>
      </x:c>
      <x:c r="L6903" s="22" t="n">
        <x:v>-163.57670000000005</x:v>
      </x:c>
      <x:c r="M6903" t="n">
        <x:v>2015</x:v>
      </x:c>
      <x:c r="N6903" s="20" t="n">
        <x:v>42125</x:v>
      </x:c>
    </x:row>
    <x:row r="6904" ht="18" customHeight="1">
      <x:c r="A6904" t="str">
        <x:v>US-2015-165512</x:v>
      </x:c>
      <x:c r="B6904" s="18" t="n">
        <x:v>42148</x:v>
      </x:c>
      <x:c r="C6904" t="str">
        <x:v>VS-21820</x:v>
      </x:c>
      <x:c r="D6904" t="str">
        <x:v>Vivek Sundaresam</x:v>
      </x:c>
      <x:c r="E6904" t="str">
        <x:v>Consumer</x:v>
      </x:c>
      <x:c r="F6904" t="str">
        <x:v>Central</x:v>
      </x:c>
      <x:c r="G6904" t="str">
        <x:v>Office Supplies</x:v>
      </x:c>
      <x:c r="H6904" t="str">
        <x:v>Binders</x:v>
      </x:c>
      <x:c r="I6904" s="22" t="n">
        <x:v>7.655999999999999</x:v>
      </x:c>
      <x:c r="J6904" s="24" t="n">
        <x:v>6</x:v>
      </x:c>
      <x:c r="K6904" s="26" t="n">
        <x:v>0.8</x:v>
      </x:c>
      <x:c r="L6904" s="22" t="n">
        <x:v>-13.015200000000004</x:v>
      </x:c>
      <x:c r="M6904" t="n">
        <x:v>2015</x:v>
      </x:c>
      <x:c r="N6904" s="20" t="n">
        <x:v>42125</x:v>
      </x:c>
    </x:row>
    <x:row r="6905" ht="18" customHeight="1">
      <x:c r="A6905" t="str">
        <x:v>CA-2015-140557</x:v>
      </x:c>
      <x:c r="B6905" s="18" t="n">
        <x:v>42254</x:v>
      </x:c>
      <x:c r="C6905" t="str">
        <x:v>TN-21040</x:v>
      </x:c>
      <x:c r="D6905" t="str">
        <x:v>Tanja Norvell</x:v>
      </x:c>
      <x:c r="E6905" t="str">
        <x:v>Home Office</x:v>
      </x:c>
      <x:c r="F6905" t="str">
        <x:v>East</x:v>
      </x:c>
      <x:c r="G6905" t="str">
        <x:v>Technology</x:v>
      </x:c>
      <x:c r="H6905" t="str">
        <x:v>Accessories</x:v>
      </x:c>
      <x:c r="I6905" s="22" t="n">
        <x:v>559.93</x:v>
      </x:c>
      <x:c r="J6905" s="24" t="n">
        <x:v>7</x:v>
      </x:c>
      <x:c r="K6905" s="26" t="n">
        <x:v>0</x:v>
      </x:c>
      <x:c r="L6905" s="22" t="n">
        <x:v>167.97899999999996</x:v>
      </x:c>
      <x:c r="M6905" t="n">
        <x:v>2015</x:v>
      </x:c>
      <x:c r="N6905" s="20" t="n">
        <x:v>42248</x:v>
      </x:c>
    </x:row>
    <x:row r="6906" ht="18" customHeight="1">
      <x:c r="A6906" t="str">
        <x:v>US-2017-135013</x:v>
      </x:c>
      <x:c r="B6906" s="18" t="n">
        <x:v>42940</x:v>
      </x:c>
      <x:c r="C6906" t="str">
        <x:v>HR-14830</x:v>
      </x:c>
      <x:c r="D6906" t="str">
        <x:v>Harold Ryan</x:v>
      </x:c>
      <x:c r="E6906" t="str">
        <x:v>Corporate</x:v>
      </x:c>
      <x:c r="F6906" t="str">
        <x:v>West</x:v>
      </x:c>
      <x:c r="G6906" t="str">
        <x:v>Technology</x:v>
      </x:c>
      <x:c r="H6906" t="str">
        <x:v>Copiers</x:v>
      </x:c>
      <x:c r="I6906" s="22" t="n">
        <x:v>2399.96</x:v>
      </x:c>
      <x:c r="J6906" s="24" t="n">
        <x:v>5</x:v>
      </x:c>
      <x:c r="K6906" s="26" t="n">
        <x:v>0.2</x:v>
      </x:c>
      <x:c r="L6906" s="22" t="n">
        <x:v>839.9860000000001</x:v>
      </x:c>
      <x:c r="M6906" t="n">
        <x:v>2017</x:v>
      </x:c>
      <x:c r="N6906" s="20" t="n">
        <x:v>42917</x:v>
      </x:c>
    </x:row>
    <x:row r="6907" ht="18" customHeight="1">
      <x:c r="A6907" t="str">
        <x:v>CA-2017-111220</x:v>
      </x:c>
      <x:c r="B6907" s="18" t="n">
        <x:v>42980</x:v>
      </x:c>
      <x:c r="C6907" t="str">
        <x:v>JS-15595</x:v>
      </x:c>
      <x:c r="D6907" t="str">
        <x:v>Jill Stevenson</x:v>
      </x:c>
      <x:c r="E6907" t="str">
        <x:v>Corporate</x:v>
      </x:c>
      <x:c r="F6907" t="str">
        <x:v>Central</x:v>
      </x:c>
      <x:c r="G6907" t="str">
        <x:v>Office Supplies</x:v>
      </x:c>
      <x:c r="H6907" t="str">
        <x:v>Fasteners</x:v>
      </x:c>
      <x:c r="I6907" s="22" t="n">
        <x:v>16</x:v>
      </x:c>
      <x:c r="J6907" s="24" t="n">
        <x:v>4</x:v>
      </x:c>
      <x:c r="K6907" s="26" t="n">
        <x:v>0.2</x:v>
      </x:c>
      <x:c r="L6907" s="22" t="n">
        <x:v>5.6</x:v>
      </x:c>
      <x:c r="M6907" t="n">
        <x:v>2017</x:v>
      </x:c>
      <x:c r="N6907" s="20" t="n">
        <x:v>42979</x:v>
      </x:c>
    </x:row>
    <x:row r="6908" ht="18" customHeight="1">
      <x:c r="A6908" t="str">
        <x:v>CA-2017-111220</x:v>
      </x:c>
      <x:c r="B6908" s="18" t="n">
        <x:v>42980</x:v>
      </x:c>
      <x:c r="C6908" t="str">
        <x:v>JS-15595</x:v>
      </x:c>
      <x:c r="D6908" t="str">
        <x:v>Jill Stevenson</x:v>
      </x:c>
      <x:c r="E6908" t="str">
        <x:v>Corporate</x:v>
      </x:c>
      <x:c r="F6908" t="str">
        <x:v>Central</x:v>
      </x:c>
      <x:c r="G6908" t="str">
        <x:v>Office Supplies</x:v>
      </x:c>
      <x:c r="H6908" t="str">
        <x:v>Appliances</x:v>
      </x:c>
      <x:c r="I6908" s="22" t="n">
        <x:v>5.587999999999999</x:v>
      </x:c>
      <x:c r="J6908" s="24" t="n">
        <x:v>2</x:v>
      </x:c>
      <x:c r="K6908" s="26" t="n">
        <x:v>0.8</x:v>
      </x:c>
      <x:c r="L6908" s="22" t="n">
        <x:v>-15.087600000000002</x:v>
      </x:c>
      <x:c r="M6908" t="n">
        <x:v>2017</x:v>
      </x:c>
      <x:c r="N6908" s="20" t="n">
        <x:v>42979</x:v>
      </x:c>
    </x:row>
    <x:row r="6909" ht="18" customHeight="1">
      <x:c r="A6909" t="str">
        <x:v>CA-2017-111220</x:v>
      </x:c>
      <x:c r="B6909" s="18" t="n">
        <x:v>42980</x:v>
      </x:c>
      <x:c r="C6909" t="str">
        <x:v>JS-15595</x:v>
      </x:c>
      <x:c r="D6909" t="str">
        <x:v>Jill Stevenson</x:v>
      </x:c>
      <x:c r="E6909" t="str">
        <x:v>Corporate</x:v>
      </x:c>
      <x:c r="F6909" t="str">
        <x:v>Central</x:v>
      </x:c>
      <x:c r="G6909" t="str">
        <x:v>Office Supplies</x:v>
      </x:c>
      <x:c r="H6909" t="str">
        <x:v>Storage</x:v>
      </x:c>
      <x:c r="I6909" s="22" t="n">
        <x:v>235.92</x:v>
      </x:c>
      <x:c r="J6909" s="24" t="n">
        <x:v>5</x:v>
      </x:c>
      <x:c r="K6909" s="26" t="n">
        <x:v>0.2</x:v>
      </x:c>
      <x:c r="L6909" s="22" t="n">
        <x:v>-44.23500000000001</x:v>
      </x:c>
      <x:c r="M6909" t="n">
        <x:v>2017</x:v>
      </x:c>
      <x:c r="N6909" s="20" t="n">
        <x:v>42979</x:v>
      </x:c>
    </x:row>
    <x:row r="6910" ht="18" customHeight="1">
      <x:c r="A6910" t="str">
        <x:v>US-2017-149006</x:v>
      </x:c>
      <x:c r="B6910" s="18" t="n">
        <x:v>43075</x:v>
      </x:c>
      <x:c r="C6910" t="str">
        <x:v>BN-11470</x:v>
      </x:c>
      <x:c r="D6910" t="str">
        <x:v>Brad Norvell</x:v>
      </x:c>
      <x:c r="E6910" t="str">
        <x:v>Corporate</x:v>
      </x:c>
      <x:c r="F6910" t="str">
        <x:v>West</x:v>
      </x:c>
      <x:c r="G6910" t="str">
        <x:v>Office Supplies</x:v>
      </x:c>
      <x:c r="H6910" t="str">
        <x:v>Storage</x:v>
      </x:c>
      <x:c r="I6910" s="22" t="n">
        <x:v>10.68</x:v>
      </x:c>
      <x:c r="J6910" s="24" t="n">
        <x:v>1</x:v>
      </x:c>
      <x:c r="K6910" s="26" t="n">
        <x:v>0</x:v>
      </x:c>
      <x:c r="L6910" s="22" t="n">
        <x:v>2.8836000000000004</x:v>
      </x:c>
      <x:c r="M6910" t="n">
        <x:v>2017</x:v>
      </x:c>
      <x:c r="N6910" s="20" t="n">
        <x:v>43070</x:v>
      </x:c>
    </x:row>
    <x:row r="6911" ht="18" customHeight="1">
      <x:c r="A6911" t="str">
        <x:v>CA-2017-149468</x:v>
      </x:c>
      <x:c r="B6911" s="18" t="n">
        <x:v>42875</x:v>
      </x:c>
      <x:c r="C6911" t="str">
        <x:v>AR-10405</x:v>
      </x:c>
      <x:c r="D6911" t="str">
        <x:v>Allen Rosenblatt</x:v>
      </x:c>
      <x:c r="E6911" t="str">
        <x:v>Corporate</x:v>
      </x:c>
      <x:c r="F6911" t="str">
        <x:v>Central</x:v>
      </x:c>
      <x:c r="G6911" t="str">
        <x:v>Office Supplies</x:v>
      </x:c>
      <x:c r="H6911" t="str">
        <x:v>Binders</x:v>
      </x:c>
      <x:c r="I6911" s="22" t="n">
        <x:v>41.28</x:v>
      </x:c>
      <x:c r="J6911" s="24" t="n">
        <x:v>2</x:v>
      </x:c>
      <x:c r="K6911" s="26" t="n">
        <x:v>0</x:v>
      </x:c>
      <x:c r="L6911" s="22" t="n">
        <x:v>19.8144</x:v>
      </x:c>
      <x:c r="M6911" t="n">
        <x:v>2017</x:v>
      </x:c>
      <x:c r="N6911" s="20" t="n">
        <x:v>42856</x:v>
      </x:c>
    </x:row>
    <x:row r="6912" ht="18" customHeight="1">
      <x:c r="A6912" t="str">
        <x:v>CA-2016-140249</x:v>
      </x:c>
      <x:c r="B6912" s="18" t="n">
        <x:v>42640</x:v>
      </x:c>
      <x:c r="C6912" t="str">
        <x:v>SW-20455</x:v>
      </x:c>
      <x:c r="D6912" t="str">
        <x:v>Shaun Weien</x:v>
      </x:c>
      <x:c r="E6912" t="str">
        <x:v>Consumer</x:v>
      </x:c>
      <x:c r="F6912" t="str">
        <x:v>West</x:v>
      </x:c>
      <x:c r="G6912" t="str">
        <x:v>Technology</x:v>
      </x:c>
      <x:c r="H6912" t="str">
        <x:v>Phones</x:v>
      </x:c>
      <x:c r="I6912" s="22" t="n">
        <x:v>1001.5840000000001</x:v>
      </x:c>
      <x:c r="J6912" s="24" t="n">
        <x:v>2</x:v>
      </x:c>
      <x:c r="K6912" s="26" t="n">
        <x:v>0.2</x:v>
      </x:c>
      <x:c r="L6912" s="22" t="n">
        <x:v>125.19799999999992</x:v>
      </x:c>
      <x:c r="M6912" t="n">
        <x:v>2016</x:v>
      </x:c>
      <x:c r="N6912" s="20" t="n">
        <x:v>42614</x:v>
      </x:c>
    </x:row>
    <x:row r="6913" ht="18" customHeight="1">
      <x:c r="A6913" t="str">
        <x:v>US-2017-135503</x:v>
      </x:c>
      <x:c r="B6913" s="18" t="n">
        <x:v>43079</x:v>
      </x:c>
      <x:c r="C6913" t="str">
        <x:v>JE-16165</x:v>
      </x:c>
      <x:c r="D6913" t="str">
        <x:v>Justin Ellison</x:v>
      </x:c>
      <x:c r="E6913" t="str">
        <x:v>Corporate</x:v>
      </x:c>
      <x:c r="F6913" t="str">
        <x:v>South</x:v>
      </x:c>
      <x:c r="G6913" t="str">
        <x:v>Furniture</x:v>
      </x:c>
      <x:c r="H6913" t="str">
        <x:v>Furnishings</x:v>
      </x:c>
      <x:c r="I6913" s="22" t="n">
        <x:v>14.76</x:v>
      </x:c>
      <x:c r="J6913" s="24" t="n">
        <x:v>2</x:v>
      </x:c>
      <x:c r="K6913" s="26" t="n">
        <x:v>0</x:v>
      </x:c>
      <x:c r="L6913" s="22" t="n">
        <x:v>4.280399999999998</x:v>
      </x:c>
      <x:c r="M6913" t="n">
        <x:v>2017</x:v>
      </x:c>
      <x:c r="N6913" s="20" t="n">
        <x:v>43070</x:v>
      </x:c>
    </x:row>
    <x:row r="6914" ht="18" customHeight="1">
      <x:c r="A6914" t="str">
        <x:v>CA-2014-126277</x:v>
      </x:c>
      <x:c r="B6914" s="18" t="n">
        <x:v>41895</x:v>
      </x:c>
      <x:c r="C6914" t="str">
        <x:v>LH-16900</x:v>
      </x:c>
      <x:c r="D6914" t="str">
        <x:v>Lena Hernandez</x:v>
      </x:c>
      <x:c r="E6914" t="str">
        <x:v>Consumer</x:v>
      </x:c>
      <x:c r="F6914" t="str">
        <x:v>East</x:v>
      </x:c>
      <x:c r="G6914" t="str">
        <x:v>Office Supplies</x:v>
      </x:c>
      <x:c r="H6914" t="str">
        <x:v>Binders</x:v>
      </x:c>
      <x:c r="I6914" s="22" t="n">
        <x:v>2.5020000000000002</x:v>
      </x:c>
      <x:c r="J6914" s="24" t="n">
        <x:v>3</x:v>
      </x:c>
      <x:c r="K6914" s="26" t="n">
        <x:v>0.7</x:v>
      </x:c>
      <x:c r="L6914" s="22" t="n">
        <x:v>-2.0016</x:v>
      </x:c>
      <x:c r="M6914" t="n">
        <x:v>2014</x:v>
      </x:c>
      <x:c r="N6914" s="20" t="n">
        <x:v>41883</x:v>
      </x:c>
    </x:row>
    <x:row r="6915" ht="18" customHeight="1">
      <x:c r="A6915" t="str">
        <x:v>US-2017-115301</x:v>
      </x:c>
      <x:c r="B6915" s="18" t="n">
        <x:v>42945</x:v>
      </x:c>
      <x:c r="C6915" t="str">
        <x:v>VG-21790</x:v>
      </x:c>
      <x:c r="D6915" t="str">
        <x:v>Vivek Gonzalez</x:v>
      </x:c>
      <x:c r="E6915" t="str">
        <x:v>Consumer</x:v>
      </x:c>
      <x:c r="F6915" t="str">
        <x:v>West</x:v>
      </x:c>
      <x:c r="G6915" t="str">
        <x:v>Furniture</x:v>
      </x:c>
      <x:c r="H6915" t="str">
        <x:v>Bookcases</x:v>
      </x:c>
      <x:c r="I6915" s="22" t="n">
        <x:v>115.96</x:v>
      </x:c>
      <x:c r="J6915" s="24" t="n">
        <x:v>2</x:v>
      </x:c>
      <x:c r="K6915" s="26" t="n">
        <x:v>0</x:v>
      </x:c>
      <x:c r="L6915" s="22" t="n">
        <x:v>25.511200000000002</x:v>
      </x:c>
      <x:c r="M6915" t="n">
        <x:v>2017</x:v>
      </x:c>
      <x:c r="N6915" s="20" t="n">
        <x:v>42917</x:v>
      </x:c>
    </x:row>
    <x:row r="6916" ht="18" customHeight="1">
      <x:c r="A6916" t="str">
        <x:v>CA-2017-168942</x:v>
      </x:c>
      <x:c r="B6916" s="18" t="n">
        <x:v>42948</x:v>
      </x:c>
      <x:c r="C6916" t="str">
        <x:v>EM-13960</x:v>
      </x:c>
      <x:c r="D6916" t="str">
        <x:v>Eric Murdock</x:v>
      </x:c>
      <x:c r="E6916" t="str">
        <x:v>Consumer</x:v>
      </x:c>
      <x:c r="F6916" t="str">
        <x:v>West</x:v>
      </x:c>
      <x:c r="G6916" t="str">
        <x:v>Office Supplies</x:v>
      </x:c>
      <x:c r="H6916" t="str">
        <x:v>Storage</x:v>
      </x:c>
      <x:c r="I6916" s="22" t="n">
        <x:v>186.54</x:v>
      </x:c>
      <x:c r="J6916" s="24" t="n">
        <x:v>3</x:v>
      </x:c>
      <x:c r="K6916" s="26" t="n">
        <x:v>0</x:v>
      </x:c>
      <x:c r="L6916" s="22" t="n">
        <x:v>50.36580000000001</x:v>
      </x:c>
      <x:c r="M6916" t="n">
        <x:v>2017</x:v>
      </x:c>
      <x:c r="N6916" s="20" t="n">
        <x:v>42948</x:v>
      </x:c>
    </x:row>
    <x:row r="6917" ht="18" customHeight="1">
      <x:c r="A6917" t="str">
        <x:v>US-2017-128398</x:v>
      </x:c>
      <x:c r="B6917" s="18" t="n">
        <x:v>42857</x:v>
      </x:c>
      <x:c r="C6917" t="str">
        <x:v>EM-13825</x:v>
      </x:c>
      <x:c r="D6917" t="str">
        <x:v>Elizabeth Moffitt</x:v>
      </x:c>
      <x:c r="E6917" t="str">
        <x:v>Corporate</x:v>
      </x:c>
      <x:c r="F6917" t="str">
        <x:v>West</x:v>
      </x:c>
      <x:c r="G6917" t="str">
        <x:v>Technology</x:v>
      </x:c>
      <x:c r="H6917" t="str">
        <x:v>Accessories</x:v>
      </x:c>
      <x:c r="I6917" s="22" t="n">
        <x:v>159.56</x:v>
      </x:c>
      <x:c r="J6917" s="24" t="n">
        <x:v>4</x:v>
      </x:c>
      <x:c r="K6917" s="26" t="n">
        <x:v>0</x:v>
      </x:c>
      <x:c r="L6917" s="22" t="n">
        <x:v>59.0372</x:v>
      </x:c>
      <x:c r="M6917" t="n">
        <x:v>2017</x:v>
      </x:c>
      <x:c r="N6917" s="20" t="n">
        <x:v>42856</x:v>
      </x:c>
    </x:row>
    <x:row r="6918" ht="18" customHeight="1">
      <x:c r="A6918" t="str">
        <x:v>CA-2015-104115</x:v>
      </x:c>
      <x:c r="B6918" s="18" t="n">
        <x:v>42167</x:v>
      </x:c>
      <x:c r="C6918" t="str">
        <x:v>JH-15910</x:v>
      </x:c>
      <x:c r="D6918" t="str">
        <x:v>Jonathan Howell</x:v>
      </x:c>
      <x:c r="E6918" t="str">
        <x:v>Consumer</x:v>
      </x:c>
      <x:c r="F6918" t="str">
        <x:v>South</x:v>
      </x:c>
      <x:c r="G6918" t="str">
        <x:v>Technology</x:v>
      </x:c>
      <x:c r="H6918" t="str">
        <x:v>Phones</x:v>
      </x:c>
      <x:c r="I6918" s="22" t="n">
        <x:v>55.98400000000001</x:v>
      </x:c>
      <x:c r="J6918" s="24" t="n">
        <x:v>2</x:v>
      </x:c>
      <x:c r="K6918" s="26" t="n">
        <x:v>0.2</x:v>
      </x:c>
      <x:c r="L6918" s="22" t="n">
        <x:v>4.1987999999999985</x:v>
      </x:c>
      <x:c r="M6918" t="n">
        <x:v>2015</x:v>
      </x:c>
      <x:c r="N6918" s="20" t="n">
        <x:v>42156</x:v>
      </x:c>
    </x:row>
    <x:row r="6919" ht="18" customHeight="1">
      <x:c r="A6919" t="str">
        <x:v>CA-2014-142510</x:v>
      </x:c>
      <x:c r="B6919" s="18" t="n">
        <x:v>41995</x:v>
      </x:c>
      <x:c r="C6919" t="str">
        <x:v>NP-18700</x:v>
      </x:c>
      <x:c r="D6919" t="str">
        <x:v>Nora Preis</x:v>
      </x:c>
      <x:c r="E6919" t="str">
        <x:v>Consumer</x:v>
      </x:c>
      <x:c r="F6919" t="str">
        <x:v>Central</x:v>
      </x:c>
      <x:c r="G6919" t="str">
        <x:v>Office Supplies</x:v>
      </x:c>
      <x:c r="H6919" t="str">
        <x:v>Storage</x:v>
      </x:c>
      <x:c r="I6919" s="22" t="n">
        <x:v>132.16</x:v>
      </x:c>
      <x:c r="J6919" s="24" t="n">
        <x:v>1</x:v>
      </x:c>
      <x:c r="K6919" s="26" t="n">
        <x:v>0.2</x:v>
      </x:c>
      <x:c r="L6919" s="22" t="n">
        <x:v>9.911999999999999</x:v>
      </x:c>
      <x:c r="M6919" t="n">
        <x:v>2014</x:v>
      </x:c>
      <x:c r="N6919" s="20" t="n">
        <x:v>41974</x:v>
      </x:c>
    </x:row>
    <x:row r="6920" ht="18" customHeight="1">
      <x:c r="A6920" t="str">
        <x:v>CA-2014-142510</x:v>
      </x:c>
      <x:c r="B6920" s="18" t="n">
        <x:v>41995</x:v>
      </x:c>
      <x:c r="C6920" t="str">
        <x:v>NP-18700</x:v>
      </x:c>
      <x:c r="D6920" t="str">
        <x:v>Nora Preis</x:v>
      </x:c>
      <x:c r="E6920" t="str">
        <x:v>Consumer</x:v>
      </x:c>
      <x:c r="F6920" t="str">
        <x:v>Central</x:v>
      </x:c>
      <x:c r="G6920" t="str">
        <x:v>Office Supplies</x:v>
      </x:c>
      <x:c r="H6920" t="str">
        <x:v>Binders</x:v>
      </x:c>
      <x:c r="I6920" s="22" t="n">
        <x:v>17.903999999999996</x:v>
      </x:c>
      <x:c r="J6920" s="24" t="n">
        <x:v>6</x:v>
      </x:c>
      <x:c r="K6920" s="26" t="n">
        <x:v>0.8</x:v>
      </x:c>
      <x:c r="L6920" s="22" t="n">
        <x:v>-31.332000000000008</x:v>
      </x:c>
      <x:c r="M6920" t="n">
        <x:v>2014</x:v>
      </x:c>
      <x:c r="N6920" s="20" t="n">
        <x:v>41974</x:v>
      </x:c>
    </x:row>
    <x:row r="6921" ht="18" customHeight="1">
      <x:c r="A6921" t="str">
        <x:v>CA-2014-142510</x:v>
      </x:c>
      <x:c r="B6921" s="18" t="n">
        <x:v>41995</x:v>
      </x:c>
      <x:c r="C6921" t="str">
        <x:v>NP-18700</x:v>
      </x:c>
      <x:c r="D6921" t="str">
        <x:v>Nora Preis</x:v>
      </x:c>
      <x:c r="E6921" t="str">
        <x:v>Consumer</x:v>
      </x:c>
      <x:c r="F6921" t="str">
        <x:v>Central</x:v>
      </x:c>
      <x:c r="G6921" t="str">
        <x:v>Office Supplies</x:v>
      </x:c>
      <x:c r="H6921" t="str">
        <x:v>Paper</x:v>
      </x:c>
      <x:c r="I6921" s="22" t="n">
        <x:v>124.032</x:v>
      </x:c>
      <x:c r="J6921" s="24" t="n">
        <x:v>4</x:v>
      </x:c>
      <x:c r="K6921" s="26" t="n">
        <x:v>0.2</x:v>
      </x:c>
      <x:c r="L6921" s="22" t="n">
        <x:v>44.961600000000004</x:v>
      </x:c>
      <x:c r="M6921" t="n">
        <x:v>2014</x:v>
      </x:c>
      <x:c r="N6921" s="20" t="n">
        <x:v>41974</x:v>
      </x:c>
    </x:row>
    <x:row r="6922" ht="18" customHeight="1">
      <x:c r="A6922" t="str">
        <x:v>CA-2014-124247</x:v>
      </x:c>
      <x:c r="B6922" s="18" t="n">
        <x:v>41989</x:v>
      </x:c>
      <x:c r="C6922" t="str">
        <x:v>SH-20635</x:v>
      </x:c>
      <x:c r="D6922" t="str">
        <x:v>Stefanie Holloman</x:v>
      </x:c>
      <x:c r="E6922" t="str">
        <x:v>Corporate</x:v>
      </x:c>
      <x:c r="F6922" t="str">
        <x:v>West</x:v>
      </x:c>
      <x:c r="G6922" t="str">
        <x:v>Furniture</x:v>
      </x:c>
      <x:c r="H6922" t="str">
        <x:v>Chairs</x:v>
      </x:c>
      <x:c r="I6922" s="22" t="n">
        <x:v>1403.9200000000003</x:v>
      </x:c>
      <x:c r="J6922" s="24" t="n">
        <x:v>5</x:v>
      </x:c>
      <x:c r="K6922" s="26" t="n">
        <x:v>0.2</x:v>
      </x:c>
      <x:c r="L6922" s="22" t="n">
        <x:v>70.19600000000003</x:v>
      </x:c>
      <x:c r="M6922" t="n">
        <x:v>2014</x:v>
      </x:c>
      <x:c r="N6922" s="20" t="n">
        <x:v>41974</x:v>
      </x:c>
    </x:row>
    <x:row r="6923" ht="18" customHeight="1">
      <x:c r="A6923" t="str">
        <x:v>CA-2016-105473</x:v>
      </x:c>
      <x:c r="B6923" s="18" t="n">
        <x:v>42476</x:v>
      </x:c>
      <x:c r="C6923" t="str">
        <x:v>BM-11785</x:v>
      </x:c>
      <x:c r="D6923" t="str">
        <x:v>Bryan Mills</x:v>
      </x:c>
      <x:c r="E6923" t="str">
        <x:v>Consumer</x:v>
      </x:c>
      <x:c r="F6923" t="str">
        <x:v>West</x:v>
      </x:c>
      <x:c r="G6923" t="str">
        <x:v>Office Supplies</x:v>
      </x:c>
      <x:c r="H6923" t="str">
        <x:v>Supplies</x:v>
      </x:c>
      <x:c r="I6923" s="22" t="n">
        <x:v>28.799999999999997</x:v>
      </x:c>
      <x:c r="J6923" s="24" t="n">
        <x:v>3</x:v>
      </x:c>
      <x:c r="K6923" s="26" t="n">
        <x:v>0</x:v>
      </x:c>
      <x:c r="L6923" s="22" t="n">
        <x:v>0.8640000000000008</x:v>
      </x:c>
      <x:c r="M6923" t="n">
        <x:v>2016</x:v>
      </x:c>
      <x:c r="N6923" s="20" t="n">
        <x:v>42461</x:v>
      </x:c>
    </x:row>
    <x:row r="6924" ht="18" customHeight="1">
      <x:c r="A6924" t="str">
        <x:v>CA-2015-102806</x:v>
      </x:c>
      <x:c r="B6924" s="18" t="n">
        <x:v>42145</x:v>
      </x:c>
      <x:c r="C6924" t="str">
        <x:v>HG-14965</x:v>
      </x:c>
      <x:c r="D6924" t="str">
        <x:v>Henry Goldwyn</x:v>
      </x:c>
      <x:c r="E6924" t="str">
        <x:v>Corporate</x:v>
      </x:c>
      <x:c r="F6924" t="str">
        <x:v>East</x:v>
      </x:c>
      <x:c r="G6924" t="str">
        <x:v>Office Supplies</x:v>
      </x:c>
      <x:c r="H6924" t="str">
        <x:v>Binders</x:v>
      </x:c>
      <x:c r="I6924" s="22" t="n">
        <x:v>24.588</x:v>
      </x:c>
      <x:c r="J6924" s="24" t="n">
        <x:v>2</x:v>
      </x:c>
      <x:c r="K6924" s="26" t="n">
        <x:v>0.7</x:v>
      </x:c>
      <x:c r="L6924" s="22" t="n">
        <x:v>-18.0312</x:v>
      </x:c>
      <x:c r="M6924" t="n">
        <x:v>2015</x:v>
      </x:c>
      <x:c r="N6924" s="20" t="n">
        <x:v>42125</x:v>
      </x:c>
    </x:row>
    <x:row r="6925" ht="18" customHeight="1">
      <x:c r="A6925" t="str">
        <x:v>CA-2017-121706</x:v>
      </x:c>
      <x:c r="B6925" s="18" t="n">
        <x:v>42792</x:v>
      </x:c>
      <x:c r="C6925" t="str">
        <x:v>BM-11140</x:v>
      </x:c>
      <x:c r="D6925" t="str">
        <x:v>Becky Martin</x:v>
      </x:c>
      <x:c r="E6925" t="str">
        <x:v>Consumer</x:v>
      </x:c>
      <x:c r="F6925" t="str">
        <x:v>West</x:v>
      </x:c>
      <x:c r="G6925" t="str">
        <x:v>Office Supplies</x:v>
      </x:c>
      <x:c r="H6925" t="str">
        <x:v>Appliances</x:v>
      </x:c>
      <x:c r="I6925" s="22" t="n">
        <x:v>356.78999999999996</x:v>
      </x:c>
      <x:c r="J6925" s="24" t="n">
        <x:v>7</x:v>
      </x:c>
      <x:c r="K6925" s="26" t="n">
        <x:v>0</x:v>
      </x:c>
      <x:c r="L6925" s="22" t="n">
        <x:v>99.90119999999999</x:v>
      </x:c>
      <x:c r="M6925" t="n">
        <x:v>2017</x:v>
      </x:c>
      <x:c r="N6925" s="20" t="n">
        <x:v>42767</x:v>
      </x:c>
    </x:row>
    <x:row r="6926" ht="18" customHeight="1">
      <x:c r="A6926" t="str">
        <x:v>CA-2017-109211</x:v>
      </x:c>
      <x:c r="B6926" s="18" t="n">
        <x:v>42829</x:v>
      </x:c>
      <x:c r="C6926" t="str">
        <x:v>PS-19045</x:v>
      </x:c>
      <x:c r="D6926" t="str">
        <x:v>Penelope Sewall</x:v>
      </x:c>
      <x:c r="E6926" t="str">
        <x:v>Home Office</x:v>
      </x:c>
      <x:c r="F6926" t="str">
        <x:v>East</x:v>
      </x:c>
      <x:c r="G6926" t="str">
        <x:v>Office Supplies</x:v>
      </x:c>
      <x:c r="H6926" t="str">
        <x:v>Envelopes</x:v>
      </x:c>
      <x:c r="I6926" s="22" t="n">
        <x:v>16.98</x:v>
      </x:c>
      <x:c r="J6926" s="24" t="n">
        <x:v>1</x:v>
      </x:c>
      <x:c r="K6926" s="26" t="n">
        <x:v>0</x:v>
      </x:c>
      <x:c r="L6926" s="22" t="n">
        <x:v>8.49</x:v>
      </x:c>
      <x:c r="M6926" t="n">
        <x:v>2017</x:v>
      </x:c>
      <x:c r="N6926" s="20" t="n">
        <x:v>42826</x:v>
      </x:c>
    </x:row>
    <x:row r="6927" ht="18" customHeight="1">
      <x:c r="A6927" t="str">
        <x:v>CA-2015-134257</x:v>
      </x:c>
      <x:c r="B6927" s="18" t="n">
        <x:v>42079</x:v>
      </x:c>
      <x:c r="C6927" t="str">
        <x:v>MS-17710</x:v>
      </x:c>
      <x:c r="D6927" t="str">
        <x:v>Maurice Satty</x:v>
      </x:c>
      <x:c r="E6927" t="str">
        <x:v>Consumer</x:v>
      </x:c>
      <x:c r="F6927" t="str">
        <x:v>South</x:v>
      </x:c>
      <x:c r="G6927" t="str">
        <x:v>Office Supplies</x:v>
      </x:c>
      <x:c r="H6927" t="str">
        <x:v>Labels</x:v>
      </x:c>
      <x:c r="I6927" s="22" t="n">
        <x:v>491.55</x:v>
      </x:c>
      <x:c r="J6927" s="24" t="n">
        <x:v>5</x:v>
      </x:c>
      <x:c r="K6927" s="26" t="n">
        <x:v>0</x:v>
      </x:c>
      <x:c r="L6927" s="22" t="n">
        <x:v>240.8595</x:v>
      </x:c>
      <x:c r="M6927" t="n">
        <x:v>2015</x:v>
      </x:c>
      <x:c r="N6927" s="20" t="n">
        <x:v>42064</x:v>
      </x:c>
    </x:row>
    <x:row r="6928" ht="18" customHeight="1">
      <x:c r="A6928" t="str">
        <x:v>CA-2015-134257</x:v>
      </x:c>
      <x:c r="B6928" s="18" t="n">
        <x:v>42079</x:v>
      </x:c>
      <x:c r="C6928" t="str">
        <x:v>MS-17710</x:v>
      </x:c>
      <x:c r="D6928" t="str">
        <x:v>Maurice Satty</x:v>
      </x:c>
      <x:c r="E6928" t="str">
        <x:v>Consumer</x:v>
      </x:c>
      <x:c r="F6928" t="str">
        <x:v>South</x:v>
      </x:c>
      <x:c r="G6928" t="str">
        <x:v>Office Supplies</x:v>
      </x:c>
      <x:c r="H6928" t="str">
        <x:v>Envelopes</x:v>
      </x:c>
      <x:c r="I6928" s="22" t="n">
        <x:v>7.38</x:v>
      </x:c>
      <x:c r="J6928" s="24" t="n">
        <x:v>2</x:v>
      </x:c>
      <x:c r="K6928" s="26" t="n">
        <x:v>0</x:v>
      </x:c>
      <x:c r="L6928" s="22" t="n">
        <x:v>3.3947999999999996</x:v>
      </x:c>
      <x:c r="M6928" t="n">
        <x:v>2015</x:v>
      </x:c>
      <x:c r="N6928" s="20" t="n">
        <x:v>42064</x:v>
      </x:c>
    </x:row>
    <x:row r="6929" ht="18" customHeight="1">
      <x:c r="A6929" t="str">
        <x:v>CA-2015-137925</x:v>
      </x:c>
      <x:c r="B6929" s="18" t="n">
        <x:v>42338</x:v>
      </x:c>
      <x:c r="C6929" t="str">
        <x:v>JL-15235</x:v>
      </x:c>
      <x:c r="D6929" t="str">
        <x:v>Janet Lee</x:v>
      </x:c>
      <x:c r="E6929" t="str">
        <x:v>Consumer</x:v>
      </x:c>
      <x:c r="F6929" t="str">
        <x:v>East</x:v>
      </x:c>
      <x:c r="G6929" t="str">
        <x:v>Office Supplies</x:v>
      </x:c>
      <x:c r="H6929" t="str">
        <x:v>Paper</x:v>
      </x:c>
      <x:c r="I6929" s="22" t="n">
        <x:v>23.66</x:v>
      </x:c>
      <x:c r="J6929" s="24" t="n">
        <x:v>7</x:v>
      </x:c>
      <x:c r="K6929" s="26" t="n">
        <x:v>0</x:v>
      </x:c>
      <x:c r="L6929" s="22" t="n">
        <x:v>10.883599999999998</x:v>
      </x:c>
      <x:c r="M6929" t="n">
        <x:v>2015</x:v>
      </x:c>
      <x:c r="N6929" s="20" t="n">
        <x:v>42309</x:v>
      </x:c>
    </x:row>
    <x:row r="6930" ht="18" customHeight="1">
      <x:c r="A6930" t="str">
        <x:v>CA-2015-137925</x:v>
      </x:c>
      <x:c r="B6930" s="18" t="n">
        <x:v>42338</x:v>
      </x:c>
      <x:c r="C6930" t="str">
        <x:v>JL-15235</x:v>
      </x:c>
      <x:c r="D6930" t="str">
        <x:v>Janet Lee</x:v>
      </x:c>
      <x:c r="E6930" t="str">
        <x:v>Consumer</x:v>
      </x:c>
      <x:c r="F6930" t="str">
        <x:v>East</x:v>
      </x:c>
      <x:c r="G6930" t="str">
        <x:v>Furniture</x:v>
      </x:c>
      <x:c r="H6930" t="str">
        <x:v>Bookcases</x:v>
      </x:c>
      <x:c r="I6930" s="22" t="n">
        <x:v>681.4080000000001</x:v>
      </x:c>
      <x:c r="J6930" s="24" t="n">
        <x:v>12</x:v>
      </x:c>
      <x:c r="K6930" s="26" t="n">
        <x:v>0.2</x:v>
      </x:c>
      <x:c r="L6930" s="22" t="n">
        <x:v>42.58800000000002</x:v>
      </x:c>
      <x:c r="M6930" t="n">
        <x:v>2015</x:v>
      </x:c>
      <x:c r="N6930" s="20" t="n">
        <x:v>42309</x:v>
      </x:c>
    </x:row>
    <x:row r="6931" ht="18" customHeight="1">
      <x:c r="A6931" t="str">
        <x:v>CA-2016-140046</x:v>
      </x:c>
      <x:c r="B6931" s="18" t="n">
        <x:v>42579</x:v>
      </x:c>
      <x:c r="C6931" t="str">
        <x:v>KM-16660</x:v>
      </x:c>
      <x:c r="D6931" t="str">
        <x:v>Khloe Miller</x:v>
      </x:c>
      <x:c r="E6931" t="str">
        <x:v>Consumer</x:v>
      </x:c>
      <x:c r="F6931" t="str">
        <x:v>West</x:v>
      </x:c>
      <x:c r="G6931" t="str">
        <x:v>Office Supplies</x:v>
      </x:c>
      <x:c r="H6931" t="str">
        <x:v>Labels</x:v>
      </x:c>
      <x:c r="I6931" s="22" t="n">
        <x:v>18.9</x:v>
      </x:c>
      <x:c r="J6931" s="24" t="n">
        <x:v>3</x:v>
      </x:c>
      <x:c r="K6931" s="26" t="n">
        <x:v>0</x:v>
      </x:c>
      <x:c r="L6931" s="22" t="n">
        <x:v>8.693999999999999</x:v>
      </x:c>
      <x:c r="M6931" t="n">
        <x:v>2016</x:v>
      </x:c>
      <x:c r="N6931" s="20" t="n">
        <x:v>42552</x:v>
      </x:c>
    </x:row>
    <x:row r="6932" ht="18" customHeight="1">
      <x:c r="A6932" t="str">
        <x:v>CA-2016-140382</x:v>
      </x:c>
      <x:c r="B6932" s="18" t="n">
        <x:v>42544</x:v>
      </x:c>
      <x:c r="C6932" t="str">
        <x:v>RD-19900</x:v>
      </x:c>
      <x:c r="D6932" t="str">
        <x:v>Ruben Dartt</x:v>
      </x:c>
      <x:c r="E6932" t="str">
        <x:v>Consumer</x:v>
      </x:c>
      <x:c r="F6932" t="str">
        <x:v>West</x:v>
      </x:c>
      <x:c r="G6932" t="str">
        <x:v>Office Supplies</x:v>
      </x:c>
      <x:c r="H6932" t="str">
        <x:v>Storage</x:v>
      </x:c>
      <x:c r="I6932" s="22" t="n">
        <x:v>93.68</x:v>
      </x:c>
      <x:c r="J6932" s="24" t="n">
        <x:v>4</x:v>
      </x:c>
      <x:c r="K6932" s="26" t="n">
        <x:v>0</x:v>
      </x:c>
      <x:c r="L6932" s="22" t="n">
        <x:v>25.293599999999998</x:v>
      </x:c>
      <x:c r="M6932" t="n">
        <x:v>2016</x:v>
      </x:c>
      <x:c r="N6932" s="20" t="n">
        <x:v>42522</x:v>
      </x:c>
    </x:row>
    <x:row r="6933" ht="18" customHeight="1">
      <x:c r="A6933" t="str">
        <x:v>CA-2016-140382</x:v>
      </x:c>
      <x:c r="B6933" s="18" t="n">
        <x:v>42544</x:v>
      </x:c>
      <x:c r="C6933" t="str">
        <x:v>RD-19900</x:v>
      </x:c>
      <x:c r="D6933" t="str">
        <x:v>Ruben Dartt</x:v>
      </x:c>
      <x:c r="E6933" t="str">
        <x:v>Consumer</x:v>
      </x:c>
      <x:c r="F6933" t="str">
        <x:v>West</x:v>
      </x:c>
      <x:c r="G6933" t="str">
        <x:v>Office Supplies</x:v>
      </x:c>
      <x:c r="H6933" t="str">
        <x:v>Labels</x:v>
      </x:c>
      <x:c r="I6933" s="22" t="n">
        <x:v>21.93</x:v>
      </x:c>
      <x:c r="J6933" s="24" t="n">
        <x:v>3</x:v>
      </x:c>
      <x:c r="K6933" s="26" t="n">
        <x:v>0</x:v>
      </x:c>
      <x:c r="L6933" s="22" t="n">
        <x:v>10.307099999999998</x:v>
      </x:c>
      <x:c r="M6933" t="n">
        <x:v>2016</x:v>
      </x:c>
      <x:c r="N6933" s="20" t="n">
        <x:v>42522</x:v>
      </x:c>
    </x:row>
    <x:row r="6934" ht="18" customHeight="1">
      <x:c r="A6934" t="str">
        <x:v>CA-2016-140382</x:v>
      </x:c>
      <x:c r="B6934" s="18" t="n">
        <x:v>42544</x:v>
      </x:c>
      <x:c r="C6934" t="str">
        <x:v>RD-19900</x:v>
      </x:c>
      <x:c r="D6934" t="str">
        <x:v>Ruben Dartt</x:v>
      </x:c>
      <x:c r="E6934" t="str">
        <x:v>Consumer</x:v>
      </x:c>
      <x:c r="F6934" t="str">
        <x:v>West</x:v>
      </x:c>
      <x:c r="G6934" t="str">
        <x:v>Technology</x:v>
      </x:c>
      <x:c r="H6934" t="str">
        <x:v>Phones</x:v>
      </x:c>
      <x:c r="I6934" s="22" t="n">
        <x:v>862.344</x:v>
      </x:c>
      <x:c r="J6934" s="24" t="n">
        <x:v>7</x:v>
      </x:c>
      <x:c r="K6934" s="26" t="n">
        <x:v>0.2</x:v>
      </x:c>
      <x:c r="L6934" s="22" t="n">
        <x:v>97.01369999999986</x:v>
      </x:c>
      <x:c r="M6934" t="n">
        <x:v>2016</x:v>
      </x:c>
      <x:c r="N6934" s="20" t="n">
        <x:v>42522</x:v>
      </x:c>
    </x:row>
    <x:row r="6935" ht="18" customHeight="1">
      <x:c r="A6935" t="str">
        <x:v>CA-2016-140382</x:v>
      </x:c>
      <x:c r="B6935" s="18" t="n">
        <x:v>42544</x:v>
      </x:c>
      <x:c r="C6935" t="str">
        <x:v>RD-19900</x:v>
      </x:c>
      <x:c r="D6935" t="str">
        <x:v>Ruben Dartt</x:v>
      </x:c>
      <x:c r="E6935" t="str">
        <x:v>Consumer</x:v>
      </x:c>
      <x:c r="F6935" t="str">
        <x:v>West</x:v>
      </x:c>
      <x:c r="G6935" t="str">
        <x:v>Office Supplies</x:v>
      </x:c>
      <x:c r="H6935" t="str">
        <x:v>Paper</x:v>
      </x:c>
      <x:c r="I6935" s="22" t="n">
        <x:v>19.98</x:v>
      </x:c>
      <x:c r="J6935" s="24" t="n">
        <x:v>1</x:v>
      </x:c>
      <x:c r="K6935" s="26" t="n">
        <x:v>0</x:v>
      </x:c>
      <x:c r="L6935" s="22" t="n">
        <x:v>9.3906</x:v>
      </x:c>
      <x:c r="M6935" t="n">
        <x:v>2016</x:v>
      </x:c>
      <x:c r="N6935" s="20" t="n">
        <x:v>42522</x:v>
      </x:c>
    </x:row>
    <x:row r="6936" ht="18" customHeight="1">
      <x:c r="A6936" t="str">
        <x:v>CA-2014-164182</x:v>
      </x:c>
      <x:c r="B6936" s="18" t="n">
        <x:v>41834</x:v>
      </x:c>
      <x:c r="C6936" t="str">
        <x:v>ST-20530</x:v>
      </x:c>
      <x:c r="D6936" t="str">
        <x:v>Shui Tom</x:v>
      </x:c>
      <x:c r="E6936" t="str">
        <x:v>Consumer</x:v>
      </x:c>
      <x:c r="F6936" t="str">
        <x:v>East</x:v>
      </x:c>
      <x:c r="G6936" t="str">
        <x:v>Technology</x:v>
      </x:c>
      <x:c r="H6936" t="str">
        <x:v>Phones</x:v>
      </x:c>
      <x:c r="I6936" s="22" t="n">
        <x:v>13.493999999999998</x:v>
      </x:c>
      <x:c r="J6936" s="24" t="n">
        <x:v>1</x:v>
      </x:c>
      <x:c r="K6936" s="26" t="n">
        <x:v>0.4</x:v>
      </x:c>
      <x:c r="L6936" s="22" t="n">
        <x:v>-2.2490000000000023</x:v>
      </x:c>
      <x:c r="M6936" t="n">
        <x:v>2014</x:v>
      </x:c>
      <x:c r="N6936" s="20" t="n">
        <x:v>41821</x:v>
      </x:c>
    </x:row>
    <x:row r="6937" ht="18" customHeight="1">
      <x:c r="A6937" t="str">
        <x:v>CA-2014-164182</x:v>
      </x:c>
      <x:c r="B6937" s="18" t="n">
        <x:v>41834</x:v>
      </x:c>
      <x:c r="C6937" t="str">
        <x:v>ST-20530</x:v>
      </x:c>
      <x:c r="D6937" t="str">
        <x:v>Shui Tom</x:v>
      </x:c>
      <x:c r="E6937" t="str">
        <x:v>Consumer</x:v>
      </x:c>
      <x:c r="F6937" t="str">
        <x:v>East</x:v>
      </x:c>
      <x:c r="G6937" t="str">
        <x:v>Technology</x:v>
      </x:c>
      <x:c r="H6937" t="str">
        <x:v>Phones</x:v>
      </x:c>
      <x:c r="I6937" s="22" t="n">
        <x:v>23.987999999999996</x:v>
      </x:c>
      <x:c r="J6937" s="24" t="n">
        <x:v>2</x:v>
      </x:c>
      <x:c r="K6937" s="26" t="n">
        <x:v>0.4</x:v>
      </x:c>
      <x:c r="L6937" s="22" t="n">
        <x:v>-13.993000000000004</x:v>
      </x:c>
      <x:c r="M6937" t="n">
        <x:v>2014</x:v>
      </x:c>
      <x:c r="N6937" s="20" t="n">
        <x:v>41821</x:v>
      </x:c>
    </x:row>
    <x:row r="6938" ht="18" customHeight="1">
      <x:c r="A6938" t="str">
        <x:v>CA-2014-164182</x:v>
      </x:c>
      <x:c r="B6938" s="18" t="n">
        <x:v>41834</x:v>
      </x:c>
      <x:c r="C6938" t="str">
        <x:v>ST-20530</x:v>
      </x:c>
      <x:c r="D6938" t="str">
        <x:v>Shui Tom</x:v>
      </x:c>
      <x:c r="E6938" t="str">
        <x:v>Consumer</x:v>
      </x:c>
      <x:c r="F6938" t="str">
        <x:v>East</x:v>
      </x:c>
      <x:c r="G6938" t="str">
        <x:v>Furniture</x:v>
      </x:c>
      <x:c r="H6938" t="str">
        <x:v>Furnishings</x:v>
      </x:c>
      <x:c r="I6938" s="22" t="n">
        <x:v>31.983999999999998</x:v>
      </x:c>
      <x:c r="J6938" s="24" t="n">
        <x:v>2</x:v>
      </x:c>
      <x:c r="K6938" s="26" t="n">
        <x:v>0.2</x:v>
      </x:c>
      <x:c r="L6938" s="22" t="n">
        <x:v>1.1993999999999998</x:v>
      </x:c>
      <x:c r="M6938" t="n">
        <x:v>2014</x:v>
      </x:c>
      <x:c r="N6938" s="20" t="n">
        <x:v>41821</x:v>
      </x:c>
    </x:row>
    <x:row r="6939" ht="18" customHeight="1">
      <x:c r="A6939" t="str">
        <x:v>CA-2014-164182</x:v>
      </x:c>
      <x:c r="B6939" s="18" t="n">
        <x:v>41834</x:v>
      </x:c>
      <x:c r="C6939" t="str">
        <x:v>ST-20530</x:v>
      </x:c>
      <x:c r="D6939" t="str">
        <x:v>Shui Tom</x:v>
      </x:c>
      <x:c r="E6939" t="str">
        <x:v>Consumer</x:v>
      </x:c>
      <x:c r="F6939" t="str">
        <x:v>East</x:v>
      </x:c>
      <x:c r="G6939" t="str">
        <x:v>Office Supplies</x:v>
      </x:c>
      <x:c r="H6939" t="str">
        <x:v>Art</x:v>
      </x:c>
      <x:c r="I6939" s="22" t="n">
        <x:v>41.584</x:v>
      </x:c>
      <x:c r="J6939" s="24" t="n">
        <x:v>2</x:v>
      </x:c>
      <x:c r="K6939" s="26" t="n">
        <x:v>0.2</x:v>
      </x:c>
      <x:c r="L6939" s="22" t="n">
        <x:v>4.678199999999997</x:v>
      </x:c>
      <x:c r="M6939" t="n">
        <x:v>2014</x:v>
      </x:c>
      <x:c r="N6939" s="20" t="n">
        <x:v>41821</x:v>
      </x:c>
    </x:row>
    <x:row r="6940" ht="18" customHeight="1">
      <x:c r="A6940" t="str">
        <x:v>CA-2017-137365</x:v>
      </x:c>
      <x:c r="B6940" s="18" t="n">
        <x:v>43069</x:v>
      </x:c>
      <x:c r="C6940" t="str">
        <x:v>BP-11095</x:v>
      </x:c>
      <x:c r="D6940" t="str">
        <x:v>Bart Pistole</x:v>
      </x:c>
      <x:c r="E6940" t="str">
        <x:v>Corporate</x:v>
      </x:c>
      <x:c r="F6940" t="str">
        <x:v>Central</x:v>
      </x:c>
      <x:c r="G6940" t="str">
        <x:v>Technology</x:v>
      </x:c>
      <x:c r="H6940" t="str">
        <x:v>Accessories</x:v>
      </x:c>
      <x:c r="I6940" s="22" t="n">
        <x:v>95.97600000000001</x:v>
      </x:c>
      <x:c r="J6940" s="24" t="n">
        <x:v>3</x:v>
      </x:c>
      <x:c r="K6940" s="26" t="n">
        <x:v>0.2</x:v>
      </x:c>
      <x:c r="L6940" s="22" t="n">
        <x:v>-10.79730000000001</x:v>
      </x:c>
      <x:c r="M6940" t="n">
        <x:v>2017</x:v>
      </x:c>
      <x:c r="N6940" s="20" t="n">
        <x:v>43040</x:v>
      </x:c>
    </x:row>
    <x:row r="6941" ht="18" customHeight="1">
      <x:c r="A6941" t="str">
        <x:v>CA-2016-129847</x:v>
      </x:c>
      <x:c r="B6941" s="18" t="n">
        <x:v>42615</x:v>
      </x:c>
      <x:c r="C6941" t="str">
        <x:v>TA-21385</x:v>
      </x:c>
      <x:c r="D6941" t="str">
        <x:v>Tom Ashbrook</x:v>
      </x:c>
      <x:c r="E6941" t="str">
        <x:v>Home Office</x:v>
      </x:c>
      <x:c r="F6941" t="str">
        <x:v>Central</x:v>
      </x:c>
      <x:c r="G6941" t="str">
        <x:v>Furniture</x:v>
      </x:c>
      <x:c r="H6941" t="str">
        <x:v>Furnishings</x:v>
      </x:c>
      <x:c r="I6941" s="22" t="n">
        <x:v>84.272</x:v>
      </x:c>
      <x:c r="J6941" s="24" t="n">
        <x:v>2</x:v>
      </x:c>
      <x:c r="K6941" s="26" t="n">
        <x:v>0.6</x:v>
      </x:c>
      <x:c r="L6941" s="22" t="n">
        <x:v>-75.8448</x:v>
      </x:c>
      <x:c r="M6941" t="n">
        <x:v>2016</x:v>
      </x:c>
      <x:c r="N6941" s="20" t="n">
        <x:v>42614</x:v>
      </x:c>
    </x:row>
    <x:row r="6942" ht="18" customHeight="1">
      <x:c r="A6942" t="str">
        <x:v>CA-2014-126963</x:v>
      </x:c>
      <x:c r="B6942" s="18" t="n">
        <x:v>41805</x:v>
      </x:c>
      <x:c r="C6942" t="str">
        <x:v>PS-18760</x:v>
      </x:c>
      <x:c r="D6942" t="str">
        <x:v>Pamela Stobb</x:v>
      </x:c>
      <x:c r="E6942" t="str">
        <x:v>Consumer</x:v>
      </x:c>
      <x:c r="F6942" t="str">
        <x:v>Central</x:v>
      </x:c>
      <x:c r="G6942" t="str">
        <x:v>Office Supplies</x:v>
      </x:c>
      <x:c r="H6942" t="str">
        <x:v>Paper</x:v>
      </x:c>
      <x:c r="I6942" s="22" t="n">
        <x:v>36.544000000000004</x:v>
      </x:c>
      <x:c r="J6942" s="24" t="n">
        <x:v>2</x:v>
      </x:c>
      <x:c r="K6942" s="26" t="n">
        <x:v>0.2</x:v>
      </x:c>
      <x:c r="L6942" s="22" t="n">
        <x:v>11.876799999999998</x:v>
      </x:c>
      <x:c r="M6942" t="n">
        <x:v>2014</x:v>
      </x:c>
      <x:c r="N6942" s="20" t="n">
        <x:v>41791</x:v>
      </x:c>
    </x:row>
    <x:row r="6943" ht="18" customHeight="1">
      <x:c r="A6943" t="str">
        <x:v>CA-2016-125094</x:v>
      </x:c>
      <x:c r="B6943" s="18" t="n">
        <x:v>42679</x:v>
      </x:c>
      <x:c r="C6943" t="str">
        <x:v>NP-18700</x:v>
      </x:c>
      <x:c r="D6943" t="str">
        <x:v>Nora Preis</x:v>
      </x:c>
      <x:c r="E6943" t="str">
        <x:v>Consumer</x:v>
      </x:c>
      <x:c r="F6943" t="str">
        <x:v>West</x:v>
      </x:c>
      <x:c r="G6943" t="str">
        <x:v>Technology</x:v>
      </x:c>
      <x:c r="H6943" t="str">
        <x:v>Accessories</x:v>
      </x:c>
      <x:c r="I6943" s="22" t="n">
        <x:v>479.72</x:v>
      </x:c>
      <x:c r="J6943" s="24" t="n">
        <x:v>4</x:v>
      </x:c>
      <x:c r="K6943" s="26" t="n">
        <x:v>0</x:v>
      </x:c>
      <x:c r="L6943" s="22" t="n">
        <x:v>52.76920000000001</x:v>
      </x:c>
      <x:c r="M6943" t="n">
        <x:v>2016</x:v>
      </x:c>
      <x:c r="N6943" s="20" t="n">
        <x:v>42675</x:v>
      </x:c>
    </x:row>
    <x:row r="6944" ht="18" customHeight="1">
      <x:c r="A6944" t="str">
        <x:v>CA-2017-107132</x:v>
      </x:c>
      <x:c r="B6944" s="18" t="n">
        <x:v>42912</x:v>
      </x:c>
      <x:c r="C6944" t="str">
        <x:v>SC-20260</x:v>
      </x:c>
      <x:c r="D6944" t="str">
        <x:v>Scott Cohen</x:v>
      </x:c>
      <x:c r="E6944" t="str">
        <x:v>Corporate</x:v>
      </x:c>
      <x:c r="F6944" t="str">
        <x:v>East</x:v>
      </x:c>
      <x:c r="G6944" t="str">
        <x:v>Office Supplies</x:v>
      </x:c>
      <x:c r="H6944" t="str">
        <x:v>Binders</x:v>
      </x:c>
      <x:c r="I6944" s="22" t="n">
        <x:v>102.368</x:v>
      </x:c>
      <x:c r="J6944" s="24" t="n">
        <x:v>2</x:v>
      </x:c>
      <x:c r="K6944" s="26" t="n">
        <x:v>0.2</x:v>
      </x:c>
      <x:c r="L6944" s="22" t="n">
        <x:v>37.1084</x:v>
      </x:c>
      <x:c r="M6944" t="n">
        <x:v>2017</x:v>
      </x:c>
      <x:c r="N6944" s="20" t="n">
        <x:v>42887</x:v>
      </x:c>
    </x:row>
    <x:row r="6945" ht="18" customHeight="1">
      <x:c r="A6945" t="str">
        <x:v>CA-2017-107132</x:v>
      </x:c>
      <x:c r="B6945" s="18" t="n">
        <x:v>42912</x:v>
      </x:c>
      <x:c r="C6945" t="str">
        <x:v>SC-20260</x:v>
      </x:c>
      <x:c r="D6945" t="str">
        <x:v>Scott Cohen</x:v>
      </x:c>
      <x:c r="E6945" t="str">
        <x:v>Corporate</x:v>
      </x:c>
      <x:c r="F6945" t="str">
        <x:v>East</x:v>
      </x:c>
      <x:c r="G6945" t="str">
        <x:v>Office Supplies</x:v>
      </x:c>
      <x:c r="H6945" t="str">
        <x:v>Supplies</x:v>
      </x:c>
      <x:c r="I6945" s="22" t="n">
        <x:v>28.4</x:v>
      </x:c>
      <x:c r="J6945" s="24" t="n">
        <x:v>5</x:v>
      </x:c>
      <x:c r="K6945" s="26" t="n">
        <x:v>0</x:v>
      </x:c>
      <x:c r="L6945" s="22" t="n">
        <x:v>8.235999999999999</x:v>
      </x:c>
      <x:c r="M6945" t="n">
        <x:v>2017</x:v>
      </x:c>
      <x:c r="N6945" s="20" t="n">
        <x:v>42887</x:v>
      </x:c>
    </x:row>
    <x:row r="6946" ht="18" customHeight="1">
      <x:c r="A6946" t="str">
        <x:v>CA-2017-107132</x:v>
      </x:c>
      <x:c r="B6946" s="18" t="n">
        <x:v>42912</x:v>
      </x:c>
      <x:c r="C6946" t="str">
        <x:v>SC-20260</x:v>
      </x:c>
      <x:c r="D6946" t="str">
        <x:v>Scott Cohen</x:v>
      </x:c>
      <x:c r="E6946" t="str">
        <x:v>Corporate</x:v>
      </x:c>
      <x:c r="F6946" t="str">
        <x:v>East</x:v>
      </x:c>
      <x:c r="G6946" t="str">
        <x:v>Office Supplies</x:v>
      </x:c>
      <x:c r="H6946" t="str">
        <x:v>Storage</x:v>
      </x:c>
      <x:c r="I6946" s="22" t="n">
        <x:v>713.88</x:v>
      </x:c>
      <x:c r="J6946" s="24" t="n">
        <x:v>4</x:v>
      </x:c>
      <x:c r="K6946" s="26" t="n">
        <x:v>0</x:v>
      </x:c>
      <x:c r="L6946" s="22" t="n">
        <x:v>214.16399999999993</x:v>
      </x:c>
      <x:c r="M6946" t="n">
        <x:v>2017</x:v>
      </x:c>
      <x:c r="N6946" s="20" t="n">
        <x:v>42887</x:v>
      </x:c>
    </x:row>
    <x:row r="6947" ht="18" customHeight="1">
      <x:c r="A6947" t="str">
        <x:v>CA-2017-107132</x:v>
      </x:c>
      <x:c r="B6947" s="18" t="n">
        <x:v>42912</x:v>
      </x:c>
      <x:c r="C6947" t="str">
        <x:v>SC-20260</x:v>
      </x:c>
      <x:c r="D6947" t="str">
        <x:v>Scott Cohen</x:v>
      </x:c>
      <x:c r="E6947" t="str">
        <x:v>Corporate</x:v>
      </x:c>
      <x:c r="F6947" t="str">
        <x:v>East</x:v>
      </x:c>
      <x:c r="G6947" t="str">
        <x:v>Office Supplies</x:v>
      </x:c>
      <x:c r="H6947" t="str">
        <x:v>Paper</x:v>
      </x:c>
      <x:c r="I6947" s="22" t="n">
        <x:v>68.52</x:v>
      </x:c>
      <x:c r="J6947" s="24" t="n">
        <x:v>3</x:v>
      </x:c>
      <x:c r="K6947" s="26" t="n">
        <x:v>0</x:v>
      </x:c>
      <x:c r="L6947" s="22" t="n">
        <x:v>31.519199999999998</x:v>
      </x:c>
      <x:c r="M6947" t="n">
        <x:v>2017</x:v>
      </x:c>
      <x:c r="N6947" s="20" t="n">
        <x:v>42887</x:v>
      </x:c>
    </x:row>
    <x:row r="6948" ht="18" customHeight="1">
      <x:c r="A6948" t="str">
        <x:v>CA-2015-139248</x:v>
      </x:c>
      <x:c r="B6948" s="18" t="n">
        <x:v>42210</x:v>
      </x:c>
      <x:c r="C6948" t="str">
        <x:v>RD-19930</x:v>
      </x:c>
      <x:c r="D6948" t="str">
        <x:v>Russell D'Ascenzo</x:v>
      </x:c>
      <x:c r="E6948" t="str">
        <x:v>Consumer</x:v>
      </x:c>
      <x:c r="F6948" t="str">
        <x:v>West</x:v>
      </x:c>
      <x:c r="G6948" t="str">
        <x:v>Technology</x:v>
      </x:c>
      <x:c r="H6948" t="str">
        <x:v>Phones</x:v>
      </x:c>
      <x:c r="I6948" s="22" t="n">
        <x:v>623.96</x:v>
      </x:c>
      <x:c r="J6948" s="24" t="n">
        <x:v>5</x:v>
      </x:c>
      <x:c r="K6948" s="26" t="n">
        <x:v>0.2</x:v>
      </x:c>
      <x:c r="L6948" s="22" t="n">
        <x:v>38.9975</x:v>
      </x:c>
      <x:c r="M6948" t="n">
        <x:v>2015</x:v>
      </x:c>
      <x:c r="N6948" s="20" t="n">
        <x:v>42186</x:v>
      </x:c>
    </x:row>
    <x:row r="6949" ht="18" customHeight="1">
      <x:c r="A6949" t="str">
        <x:v>CA-2014-148369</x:v>
      </x:c>
      <x:c r="B6949" s="18" t="n">
        <x:v>41905</x:v>
      </x:c>
      <x:c r="C6949" t="str">
        <x:v>TH-21115</x:v>
      </x:c>
      <x:c r="D6949" t="str">
        <x:v>Thea Hudgings</x:v>
      </x:c>
      <x:c r="E6949" t="str">
        <x:v>Corporate</x:v>
      </x:c>
      <x:c r="F6949" t="str">
        <x:v>East</x:v>
      </x:c>
      <x:c r="G6949" t="str">
        <x:v>Office Supplies</x:v>
      </x:c>
      <x:c r="H6949" t="str">
        <x:v>Binders</x:v>
      </x:c>
      <x:c r="I6949" s="22" t="n">
        <x:v>11.12</x:v>
      </x:c>
      <x:c r="J6949" s="24" t="n">
        <x:v>4</x:v>
      </x:c>
      <x:c r="K6949" s="26" t="n">
        <x:v>0</x:v>
      </x:c>
      <x:c r="L6949" s="22" t="n">
        <x:v>5.448799999999999</x:v>
      </x:c>
      <x:c r="M6949" t="n">
        <x:v>2014</x:v>
      </x:c>
      <x:c r="N6949" s="20" t="n">
        <x:v>41883</x:v>
      </x:c>
    </x:row>
    <x:row r="6950" ht="18" customHeight="1">
      <x:c r="A6950" t="str">
        <x:v>CA-2016-106243</x:v>
      </x:c>
      <x:c r="B6950" s="18" t="n">
        <x:v>42643</x:v>
      </x:c>
      <x:c r="C6950" t="str">
        <x:v>GM-14680</x:v>
      </x:c>
      <x:c r="D6950" t="str">
        <x:v>Greg Matthias</x:v>
      </x:c>
      <x:c r="E6950" t="str">
        <x:v>Consumer</x:v>
      </x:c>
      <x:c r="F6950" t="str">
        <x:v>East</x:v>
      </x:c>
      <x:c r="G6950" t="str">
        <x:v>Furniture</x:v>
      </x:c>
      <x:c r="H6950" t="str">
        <x:v>Bookcases</x:v>
      </x:c>
      <x:c r="I6950" s="22" t="n">
        <x:v>523.92</x:v>
      </x:c>
      <x:c r="J6950" s="24" t="n">
        <x:v>5</x:v>
      </x:c>
      <x:c r="K6950" s="26" t="n">
        <x:v>0.2</x:v>
      </x:c>
      <x:c r="L6950" s="22" t="n">
        <x:v>-26.195999999999984</x:v>
      </x:c>
      <x:c r="M6950" t="n">
        <x:v>2016</x:v>
      </x:c>
      <x:c r="N6950" s="20" t="n">
        <x:v>42614</x:v>
      </x:c>
    </x:row>
    <x:row r="6951" ht="18" customHeight="1">
      <x:c r="A6951" t="str">
        <x:v>CA-2015-126466</x:v>
      </x:c>
      <x:c r="B6951" s="18" t="n">
        <x:v>42317</x:v>
      </x:c>
      <x:c r="C6951" t="str">
        <x:v>JO-15550</x:v>
      </x:c>
      <x:c r="D6951" t="str">
        <x:v>Jesus Ocampo</x:v>
      </x:c>
      <x:c r="E6951" t="str">
        <x:v>Home Office</x:v>
      </x:c>
      <x:c r="F6951" t="str">
        <x:v>West</x:v>
      </x:c>
      <x:c r="G6951" t="str">
        <x:v>Office Supplies</x:v>
      </x:c>
      <x:c r="H6951" t="str">
        <x:v>Fasteners</x:v>
      </x:c>
      <x:c r="I6951" s="22" t="n">
        <x:v>2.48</x:v>
      </x:c>
      <x:c r="J6951" s="24" t="n">
        <x:v>2</x:v>
      </x:c>
      <x:c r="K6951" s="26" t="n">
        <x:v>0</x:v>
      </x:c>
      <x:c r="L6951" s="22" t="n">
        <x:v>1.1656</x:v>
      </x:c>
      <x:c r="M6951" t="n">
        <x:v>2015</x:v>
      </x:c>
      <x:c r="N6951" s="20" t="n">
        <x:v>42309</x:v>
      </x:c>
    </x:row>
    <x:row r="6952" ht="18" customHeight="1">
      <x:c r="A6952" t="str">
        <x:v>CA-2015-130365</x:v>
      </x:c>
      <x:c r="B6952" s="18" t="n">
        <x:v>42119</x:v>
      </x:c>
      <x:c r="C6952" t="str">
        <x:v>ZC-21910</x:v>
      </x:c>
      <x:c r="D6952" t="str">
        <x:v>Zuschuss Carroll</x:v>
      </x:c>
      <x:c r="E6952" t="str">
        <x:v>Consumer</x:v>
      </x:c>
      <x:c r="F6952" t="str">
        <x:v>Central</x:v>
      </x:c>
      <x:c r="G6952" t="str">
        <x:v>Office Supplies</x:v>
      </x:c>
      <x:c r="H6952" t="str">
        <x:v>Storage</x:v>
      </x:c>
      <x:c r="I6952" s="22" t="n">
        <x:v>221.024</x:v>
      </x:c>
      <x:c r="J6952" s="24" t="n">
        <x:v>2</x:v>
      </x:c>
      <x:c r="K6952" s="26" t="n">
        <x:v>0.2</x:v>
      </x:c>
      <x:c r="L6952" s="22" t="n">
        <x:v>-55.256</x:v>
      </x:c>
      <x:c r="M6952" t="n">
        <x:v>2015</x:v>
      </x:c>
      <x:c r="N6952" s="20" t="n">
        <x:v>42095</x:v>
      </x:c>
    </x:row>
    <x:row r="6953" ht="18" customHeight="1">
      <x:c r="A6953" t="str">
        <x:v>CA-2015-130365</x:v>
      </x:c>
      <x:c r="B6953" s="18" t="n">
        <x:v>42119</x:v>
      </x:c>
      <x:c r="C6953" t="str">
        <x:v>ZC-21910</x:v>
      </x:c>
      <x:c r="D6953" t="str">
        <x:v>Zuschuss Carroll</x:v>
      </x:c>
      <x:c r="E6953" t="str">
        <x:v>Consumer</x:v>
      </x:c>
      <x:c r="F6953" t="str">
        <x:v>Central</x:v>
      </x:c>
      <x:c r="G6953" t="str">
        <x:v>Furniture</x:v>
      </x:c>
      <x:c r="H6953" t="str">
        <x:v>Chairs</x:v>
      </x:c>
      <x:c r="I6953" s="22" t="n">
        <x:v>128.058</x:v>
      </x:c>
      <x:c r="J6953" s="24" t="n">
        <x:v>3</x:v>
      </x:c>
      <x:c r="K6953" s="26" t="n">
        <x:v>0.3</x:v>
      </x:c>
      <x:c r="L6953" s="22" t="n">
        <x:v>-23.782199999999996</x:v>
      </x:c>
      <x:c r="M6953" t="n">
        <x:v>2015</x:v>
      </x:c>
      <x:c r="N6953" s="20" t="n">
        <x:v>42095</x:v>
      </x:c>
    </x:row>
    <x:row r="6954" ht="18" customHeight="1">
      <x:c r="A6954" t="str">
        <x:v>CA-2017-143021</x:v>
      </x:c>
      <x:c r="B6954" s="18" t="n">
        <x:v>43058</x:v>
      </x:c>
      <x:c r="C6954" t="str">
        <x:v>AP-10720</x:v>
      </x:c>
      <x:c r="D6954" t="str">
        <x:v>Anne Pryor</x:v>
      </x:c>
      <x:c r="E6954" t="str">
        <x:v>Home Office</x:v>
      </x:c>
      <x:c r="F6954" t="str">
        <x:v>East</x:v>
      </x:c>
      <x:c r="G6954" t="str">
        <x:v>Office Supplies</x:v>
      </x:c>
      <x:c r="H6954" t="str">
        <x:v>Binders</x:v>
      </x:c>
      <x:c r="I6954" s="22" t="n">
        <x:v>58.407999999999994</x:v>
      </x:c>
      <x:c r="J6954" s="24" t="n">
        <x:v>7</x:v>
      </x:c>
      <x:c r="K6954" s="26" t="n">
        <x:v>0.2</x:v>
      </x:c>
      <x:c r="L6954" s="22" t="n">
        <x:v>18.252499999999998</x:v>
      </x:c>
      <x:c r="M6954" t="n">
        <x:v>2017</x:v>
      </x:c>
      <x:c r="N6954" s="20" t="n">
        <x:v>43040</x:v>
      </x:c>
    </x:row>
    <x:row r="6955" ht="18" customHeight="1">
      <x:c r="A6955" t="str">
        <x:v>CA-2017-143021</x:v>
      </x:c>
      <x:c r="B6955" s="18" t="n">
        <x:v>43058</x:v>
      </x:c>
      <x:c r="C6955" t="str">
        <x:v>AP-10720</x:v>
      </x:c>
      <x:c r="D6955" t="str">
        <x:v>Anne Pryor</x:v>
      </x:c>
      <x:c r="E6955" t="str">
        <x:v>Home Office</x:v>
      </x:c>
      <x:c r="F6955" t="str">
        <x:v>East</x:v>
      </x:c>
      <x:c r="G6955" t="str">
        <x:v>Furniture</x:v>
      </x:c>
      <x:c r="H6955" t="str">
        <x:v>Tables</x:v>
      </x:c>
      <x:c r="I6955" s="22" t="n">
        <x:v>79.97399999999999</x:v>
      </x:c>
      <x:c r="J6955" s="24" t="n">
        <x:v>3</x:v>
      </x:c>
      <x:c r="K6955" s="26" t="n">
        <x:v>0.4</x:v>
      </x:c>
      <x:c r="L6955" s="22" t="n">
        <x:v>-29.323800000000006</x:v>
      </x:c>
      <x:c r="M6955" t="n">
        <x:v>2017</x:v>
      </x:c>
      <x:c r="N6955" s="20" t="n">
        <x:v>43040</x:v>
      </x:c>
    </x:row>
    <x:row r="6956" ht="18" customHeight="1">
      <x:c r="A6956" t="str">
        <x:v>CA-2015-161767</x:v>
      </x:c>
      <x:c r="B6956" s="18" t="n">
        <x:v>42328</x:v>
      </x:c>
      <x:c r="C6956" t="str">
        <x:v>GK-14620</x:v>
      </x:c>
      <x:c r="D6956" t="str">
        <x:v>Grace Kelly</x:v>
      </x:c>
      <x:c r="E6956" t="str">
        <x:v>Corporate</x:v>
      </x:c>
      <x:c r="F6956" t="str">
        <x:v>Central</x:v>
      </x:c>
      <x:c r="G6956" t="str">
        <x:v>Technology</x:v>
      </x:c>
      <x:c r="H6956" t="str">
        <x:v>Machines</x:v>
      </x:c>
      <x:c r="I6956" s="22" t="n">
        <x:v>479.988</x:v>
      </x:c>
      <x:c r="J6956" s="24" t="n">
        <x:v>2</x:v>
      </x:c>
      <x:c r="K6956" s="26" t="n">
        <x:v>0.4</x:v>
      </x:c>
      <x:c r="L6956" s="22" t="n">
        <x:v>55.99859999999995</x:v>
      </x:c>
      <x:c r="M6956" t="n">
        <x:v>2015</x:v>
      </x:c>
      <x:c r="N6956" s="20" t="n">
        <x:v>42309</x:v>
      </x:c>
    </x:row>
    <x:row r="6957" ht="18" customHeight="1">
      <x:c r="A6957" t="str">
        <x:v>CA-2015-129917</x:v>
      </x:c>
      <x:c r="B6957" s="18" t="n">
        <x:v>42279</x:v>
      </x:c>
      <x:c r="C6957" t="str">
        <x:v>HM-14980</x:v>
      </x:c>
      <x:c r="D6957" t="str">
        <x:v>Henry MacAllister</x:v>
      </x:c>
      <x:c r="E6957" t="str">
        <x:v>Consumer</x:v>
      </x:c>
      <x:c r="F6957" t="str">
        <x:v>West</x:v>
      </x:c>
      <x:c r="G6957" t="str">
        <x:v>Office Supplies</x:v>
      </x:c>
      <x:c r="H6957" t="str">
        <x:v>Binders</x:v>
      </x:c>
      <x:c r="I6957" s="22" t="n">
        <x:v>11.808</x:v>
      </x:c>
      <x:c r="J6957" s="24" t="n">
        <x:v>3</x:v>
      </x:c>
      <x:c r="K6957" s="26" t="n">
        <x:v>0.2</x:v>
      </x:c>
      <x:c r="L6957" s="22" t="n">
        <x:v>4.1328</x:v>
      </x:c>
      <x:c r="M6957" t="n">
        <x:v>2015</x:v>
      </x:c>
      <x:c r="N6957" s="20" t="n">
        <x:v>42278</x:v>
      </x:c>
    </x:row>
    <x:row r="6958" ht="18" customHeight="1">
      <x:c r="A6958" t="str">
        <x:v>CA-2015-129917</x:v>
      </x:c>
      <x:c r="B6958" s="18" t="n">
        <x:v>42279</x:v>
      </x:c>
      <x:c r="C6958" t="str">
        <x:v>HM-14980</x:v>
      </x:c>
      <x:c r="D6958" t="str">
        <x:v>Henry MacAllister</x:v>
      </x:c>
      <x:c r="E6958" t="str">
        <x:v>Consumer</x:v>
      </x:c>
      <x:c r="F6958" t="str">
        <x:v>West</x:v>
      </x:c>
      <x:c r="G6958" t="str">
        <x:v>Office Supplies</x:v>
      </x:c>
      <x:c r="H6958" t="str">
        <x:v>Binders</x:v>
      </x:c>
      <x:c r="I6958" s="22" t="n">
        <x:v>53.568</x:v>
      </x:c>
      <x:c r="J6958" s="24" t="n">
        <x:v>4</x:v>
      </x:c>
      <x:c r="K6958" s="26" t="n">
        <x:v>0.2</x:v>
      </x:c>
      <x:c r="L6958" s="22" t="n">
        <x:v>19.418399999999995</x:v>
      </x:c>
      <x:c r="M6958" t="n">
        <x:v>2015</x:v>
      </x:c>
      <x:c r="N6958" s="20" t="n">
        <x:v>42278</x:v>
      </x:c>
    </x:row>
    <x:row r="6959" ht="18" customHeight="1">
      <x:c r="A6959" t="str">
        <x:v>CA-2015-129917</x:v>
      </x:c>
      <x:c r="B6959" s="18" t="n">
        <x:v>42279</x:v>
      </x:c>
      <x:c r="C6959" t="str">
        <x:v>HM-14980</x:v>
      </x:c>
      <x:c r="D6959" t="str">
        <x:v>Henry MacAllister</x:v>
      </x:c>
      <x:c r="E6959" t="str">
        <x:v>Consumer</x:v>
      </x:c>
      <x:c r="F6959" t="str">
        <x:v>West</x:v>
      </x:c>
      <x:c r="G6959" t="str">
        <x:v>Technology</x:v>
      </x:c>
      <x:c r="H6959" t="str">
        <x:v>Phones</x:v>
      </x:c>
      <x:c r="I6959" s="22" t="n">
        <x:v>503.96000000000004</x:v>
      </x:c>
      <x:c r="J6959" s="24" t="n">
        <x:v>5</x:v>
      </x:c>
      <x:c r="K6959" s="26" t="n">
        <x:v>0.2</x:v>
      </x:c>
      <x:c r="L6959" s="22" t="n">
        <x:v>50.396000000000015</x:v>
      </x:c>
      <x:c r="M6959" t="n">
        <x:v>2015</x:v>
      </x:c>
      <x:c r="N6959" s="20" t="n">
        <x:v>42278</x:v>
      </x:c>
    </x:row>
    <x:row r="6960" ht="18" customHeight="1">
      <x:c r="A6960" t="str">
        <x:v>CA-2015-115420</x:v>
      </x:c>
      <x:c r="B6960" s="18" t="n">
        <x:v>42119</x:v>
      </x:c>
      <x:c r="C6960" t="str">
        <x:v>LS-16945</x:v>
      </x:c>
      <x:c r="D6960" t="str">
        <x:v>Linda Southworth</x:v>
      </x:c>
      <x:c r="E6960" t="str">
        <x:v>Corporate</x:v>
      </x:c>
      <x:c r="F6960" t="str">
        <x:v>West</x:v>
      </x:c>
      <x:c r="G6960" t="str">
        <x:v>Office Supplies</x:v>
      </x:c>
      <x:c r="H6960" t="str">
        <x:v>Envelopes</x:v>
      </x:c>
      <x:c r="I6960" s="22" t="n">
        <x:v>21.34</x:v>
      </x:c>
      <x:c r="J6960" s="24" t="n">
        <x:v>2</x:v>
      </x:c>
      <x:c r="K6960" s="26" t="n">
        <x:v>0</x:v>
      </x:c>
      <x:c r="L6960" s="22" t="n">
        <x:v>9.8164</x:v>
      </x:c>
      <x:c r="M6960" t="n">
        <x:v>2015</x:v>
      </x:c>
      <x:c r="N6960" s="20" t="n">
        <x:v>42095</x:v>
      </x:c>
    </x:row>
    <x:row r="6961" ht="18" customHeight="1">
      <x:c r="A6961" t="str">
        <x:v>CA-2016-157588</x:v>
      </x:c>
      <x:c r="B6961" s="18" t="n">
        <x:v>42565</x:v>
      </x:c>
      <x:c r="C6961" t="str">
        <x:v>AR-10570</x:v>
      </x:c>
      <x:c r="D6961" t="str">
        <x:v>Anemone Ratner</x:v>
      </x:c>
      <x:c r="E6961" t="str">
        <x:v>Consumer</x:v>
      </x:c>
      <x:c r="F6961" t="str">
        <x:v>South</x:v>
      </x:c>
      <x:c r="G6961" t="str">
        <x:v>Office Supplies</x:v>
      </x:c>
      <x:c r="H6961" t="str">
        <x:v>Binders</x:v>
      </x:c>
      <x:c r="I6961" s="22" t="n">
        <x:v>36.4</x:v>
      </x:c>
      <x:c r="J6961" s="24" t="n">
        <x:v>5</x:v>
      </x:c>
      <x:c r="K6961" s="26" t="n">
        <x:v>0</x:v>
      </x:c>
      <x:c r="L6961" s="22" t="n">
        <x:v>17.107999999999997</x:v>
      </x:c>
      <x:c r="M6961" t="n">
        <x:v>2016</x:v>
      </x:c>
      <x:c r="N6961" s="20" t="n">
        <x:v>42552</x:v>
      </x:c>
    </x:row>
    <x:row r="6962" ht="18" customHeight="1">
      <x:c r="A6962" t="str">
        <x:v>CA-2016-157588</x:v>
      </x:c>
      <x:c r="B6962" s="18" t="n">
        <x:v>42565</x:v>
      </x:c>
      <x:c r="C6962" t="str">
        <x:v>AR-10570</x:v>
      </x:c>
      <x:c r="D6962" t="str">
        <x:v>Anemone Ratner</x:v>
      </x:c>
      <x:c r="E6962" t="str">
        <x:v>Consumer</x:v>
      </x:c>
      <x:c r="F6962" t="str">
        <x:v>South</x:v>
      </x:c>
      <x:c r="G6962" t="str">
        <x:v>Furniture</x:v>
      </x:c>
      <x:c r="H6962" t="str">
        <x:v>Furnishings</x:v>
      </x:c>
      <x:c r="I6962" s="22" t="n">
        <x:v>51.75</x:v>
      </x:c>
      <x:c r="J6962" s="24" t="n">
        <x:v>1</x:v>
      </x:c>
      <x:c r="K6962" s="26" t="n">
        <x:v>0</x:v>
      </x:c>
      <x:c r="L6962" s="22" t="n">
        <x:v>15.524999999999999</x:v>
      </x:c>
      <x:c r="M6962" t="n">
        <x:v>2016</x:v>
      </x:c>
      <x:c r="N6962" s="20" t="n">
        <x:v>42552</x:v>
      </x:c>
    </x:row>
    <x:row r="6963" ht="18" customHeight="1">
      <x:c r="A6963" t="str">
        <x:v>CA-2015-167255</x:v>
      </x:c>
      <x:c r="B6963" s="18" t="n">
        <x:v>42274</x:v>
      </x:c>
      <x:c r="C6963" t="str">
        <x:v>RH-19510</x:v>
      </x:c>
      <x:c r="D6963" t="str">
        <x:v>Rick Huthwaite</x:v>
      </x:c>
      <x:c r="E6963" t="str">
        <x:v>Home Office</x:v>
      </x:c>
      <x:c r="F6963" t="str">
        <x:v>West</x:v>
      </x:c>
      <x:c r="G6963" t="str">
        <x:v>Office Supplies</x:v>
      </x:c>
      <x:c r="H6963" t="str">
        <x:v>Storage</x:v>
      </x:c>
      <x:c r="I6963" s="22" t="n">
        <x:v>15.51</x:v>
      </x:c>
      <x:c r="J6963" s="24" t="n">
        <x:v>1</x:v>
      </x:c>
      <x:c r="K6963" s="26" t="n">
        <x:v>0</x:v>
      </x:c>
      <x:c r="L6963" s="22" t="n">
        <x:v>4.3428</x:v>
      </x:c>
      <x:c r="M6963" t="n">
        <x:v>2015</x:v>
      </x:c>
      <x:c r="N6963" s="20" t="n">
        <x:v>42248</x:v>
      </x:c>
    </x:row>
    <x:row r="6964" ht="18" customHeight="1">
      <x:c r="A6964" t="str">
        <x:v>CA-2015-167255</x:v>
      </x:c>
      <x:c r="B6964" s="18" t="n">
        <x:v>42274</x:v>
      </x:c>
      <x:c r="C6964" t="str">
        <x:v>RH-19510</x:v>
      </x:c>
      <x:c r="D6964" t="str">
        <x:v>Rick Huthwaite</x:v>
      </x:c>
      <x:c r="E6964" t="str">
        <x:v>Home Office</x:v>
      </x:c>
      <x:c r="F6964" t="str">
        <x:v>West</x:v>
      </x:c>
      <x:c r="G6964" t="str">
        <x:v>Office Supplies</x:v>
      </x:c>
      <x:c r="H6964" t="str">
        <x:v>Paper</x:v>
      </x:c>
      <x:c r="I6964" s="22" t="n">
        <x:v>146.82</x:v>
      </x:c>
      <x:c r="J6964" s="24" t="n">
        <x:v>3</x:v>
      </x:c>
      <x:c r="K6964" s="26" t="n">
        <x:v>0</x:v>
      </x:c>
      <x:c r="L6964" s="22" t="n">
        <x:v>73.41</x:v>
      </x:c>
      <x:c r="M6964" t="n">
        <x:v>2015</x:v>
      </x:c>
      <x:c r="N6964" s="20" t="n">
        <x:v>42248</x:v>
      </x:c>
    </x:row>
    <x:row r="6965" ht="18" customHeight="1">
      <x:c r="A6965" t="str">
        <x:v>CA-2015-167255</x:v>
      </x:c>
      <x:c r="B6965" s="18" t="n">
        <x:v>42274</x:v>
      </x:c>
      <x:c r="C6965" t="str">
        <x:v>RH-19510</x:v>
      </x:c>
      <x:c r="D6965" t="str">
        <x:v>Rick Huthwaite</x:v>
      </x:c>
      <x:c r="E6965" t="str">
        <x:v>Home Office</x:v>
      </x:c>
      <x:c r="F6965" t="str">
        <x:v>West</x:v>
      </x:c>
      <x:c r="G6965" t="str">
        <x:v>Office Supplies</x:v>
      </x:c>
      <x:c r="H6965" t="str">
        <x:v>Paper</x:v>
      </x:c>
      <x:c r="I6965" s="22" t="n">
        <x:v>12.96</x:v>
      </x:c>
      <x:c r="J6965" s="24" t="n">
        <x:v>2</x:v>
      </x:c>
      <x:c r="K6965" s="26" t="n">
        <x:v>0</x:v>
      </x:c>
      <x:c r="L6965" s="22" t="n">
        <x:v>6.2208000000000006</x:v>
      </x:c>
      <x:c r="M6965" t="n">
        <x:v>2015</x:v>
      </x:c>
      <x:c r="N6965" s="20" t="n">
        <x:v>42248</x:v>
      </x:c>
    </x:row>
    <x:row r="6966" ht="18" customHeight="1">
      <x:c r="A6966" t="str">
        <x:v>CA-2017-162096</x:v>
      </x:c>
      <x:c r="B6966" s="18" t="n">
        <x:v>43049</x:v>
      </x:c>
      <x:c r="C6966" t="str">
        <x:v>TB-21190</x:v>
      </x:c>
      <x:c r="D6966" t="str">
        <x:v>Thomas Brumley</x:v>
      </x:c>
      <x:c r="E6966" t="str">
        <x:v>Home Office</x:v>
      </x:c>
      <x:c r="F6966" t="str">
        <x:v>West</x:v>
      </x:c>
      <x:c r="G6966" t="str">
        <x:v>Office Supplies</x:v>
      </x:c>
      <x:c r="H6966" t="str">
        <x:v>Art</x:v>
      </x:c>
      <x:c r="I6966" s="22" t="n">
        <x:v>7.800000000000001</x:v>
      </x:c>
      <x:c r="J6966" s="24" t="n">
        <x:v>3</x:v>
      </x:c>
      <x:c r="K6966" s="26" t="n">
        <x:v>0</x:v>
      </x:c>
      <x:c r="L6966" s="22" t="n">
        <x:v>2.1060000000000008</x:v>
      </x:c>
      <x:c r="M6966" t="n">
        <x:v>2017</x:v>
      </x:c>
      <x:c r="N6966" s="20" t="n">
        <x:v>43040</x:v>
      </x:c>
    </x:row>
    <x:row r="6967" ht="18" customHeight="1">
      <x:c r="A6967" t="str">
        <x:v>CA-2016-157161</x:v>
      </x:c>
      <x:c r="B6967" s="18" t="n">
        <x:v>42567</x:v>
      </x:c>
      <x:c r="C6967" t="str">
        <x:v>JD-15895</x:v>
      </x:c>
      <x:c r="D6967" t="str">
        <x:v>Jonathan Doherty</x:v>
      </x:c>
      <x:c r="E6967" t="str">
        <x:v>Corporate</x:v>
      </x:c>
      <x:c r="F6967" t="str">
        <x:v>South</x:v>
      </x:c>
      <x:c r="G6967" t="str">
        <x:v>Office Supplies</x:v>
      </x:c>
      <x:c r="H6967" t="str">
        <x:v>Envelopes</x:v>
      </x:c>
      <x:c r="I6967" s="22" t="n">
        <x:v>10.2</x:v>
      </x:c>
      <x:c r="J6967" s="24" t="n">
        <x:v>5</x:v>
      </x:c>
      <x:c r="K6967" s="26" t="n">
        <x:v>0</x:v>
      </x:c>
      <x:c r="L6967" s="22" t="n">
        <x:v>4.794</x:v>
      </x:c>
      <x:c r="M6967" t="n">
        <x:v>2016</x:v>
      </x:c>
      <x:c r="N6967" s="20" t="n">
        <x:v>42552</x:v>
      </x:c>
    </x:row>
    <x:row r="6968" ht="18" customHeight="1">
      <x:c r="A6968" t="str">
        <x:v>CA-2016-157161</x:v>
      </x:c>
      <x:c r="B6968" s="18" t="n">
        <x:v>42567</x:v>
      </x:c>
      <x:c r="C6968" t="str">
        <x:v>JD-15895</x:v>
      </x:c>
      <x:c r="D6968" t="str">
        <x:v>Jonathan Doherty</x:v>
      </x:c>
      <x:c r="E6968" t="str">
        <x:v>Corporate</x:v>
      </x:c>
      <x:c r="F6968" t="str">
        <x:v>South</x:v>
      </x:c>
      <x:c r="G6968" t="str">
        <x:v>Office Supplies</x:v>
      </x:c>
      <x:c r="H6968" t="str">
        <x:v>Art</x:v>
      </x:c>
      <x:c r="I6968" s="22" t="n">
        <x:v>22.32</x:v>
      </x:c>
      <x:c r="J6968" s="24" t="n">
        <x:v>3</x:v>
      </x:c>
      <x:c r="K6968" s="26" t="n">
        <x:v>0</x:v>
      </x:c>
      <x:c r="L6968" s="22" t="n">
        <x:v>5.580000000000001</x:v>
      </x:c>
      <x:c r="M6968" t="n">
        <x:v>2016</x:v>
      </x:c>
      <x:c r="N6968" s="20" t="n">
        <x:v>42552</x:v>
      </x:c>
    </x:row>
    <x:row r="6969" ht="18" customHeight="1">
      <x:c r="A6969" t="str">
        <x:v>CA-2016-157161</x:v>
      </x:c>
      <x:c r="B6969" s="18" t="n">
        <x:v>42567</x:v>
      </x:c>
      <x:c r="C6969" t="str">
        <x:v>JD-15895</x:v>
      </x:c>
      <x:c r="D6969" t="str">
        <x:v>Jonathan Doherty</x:v>
      </x:c>
      <x:c r="E6969" t="str">
        <x:v>Corporate</x:v>
      </x:c>
      <x:c r="F6969" t="str">
        <x:v>South</x:v>
      </x:c>
      <x:c r="G6969" t="str">
        <x:v>Office Supplies</x:v>
      </x:c>
      <x:c r="H6969" t="str">
        <x:v>Binders</x:v>
      </x:c>
      <x:c r="I6969" s="22" t="n">
        <x:v>24.1</x:v>
      </x:c>
      <x:c r="J6969" s="24" t="n">
        <x:v>5</x:v>
      </x:c>
      <x:c r="K6969" s="26" t="n">
        <x:v>0</x:v>
      </x:c>
      <x:c r="L6969" s="22" t="n">
        <x:v>11.086</x:v>
      </x:c>
      <x:c r="M6969" t="n">
        <x:v>2016</x:v>
      </x:c>
      <x:c r="N6969" s="20" t="n">
        <x:v>42552</x:v>
      </x:c>
    </x:row>
    <x:row r="6970" ht="18" customHeight="1">
      <x:c r="A6970" t="str">
        <x:v>CA-2016-157161</x:v>
      </x:c>
      <x:c r="B6970" s="18" t="n">
        <x:v>42567</x:v>
      </x:c>
      <x:c r="C6970" t="str">
        <x:v>JD-15895</x:v>
      </x:c>
      <x:c r="D6970" t="str">
        <x:v>Jonathan Doherty</x:v>
      </x:c>
      <x:c r="E6970" t="str">
        <x:v>Corporate</x:v>
      </x:c>
      <x:c r="F6970" t="str">
        <x:v>South</x:v>
      </x:c>
      <x:c r="G6970" t="str">
        <x:v>Technology</x:v>
      </x:c>
      <x:c r="H6970" t="str">
        <x:v>Accessories</x:v>
      </x:c>
      <x:c r="I6970" s="22" t="n">
        <x:v>75.98</x:v>
      </x:c>
      <x:c r="J6970" s="24" t="n">
        <x:v>2</x:v>
      </x:c>
      <x:c r="K6970" s="26" t="n">
        <x:v>0</x:v>
      </x:c>
      <x:c r="L6970" s="22" t="n">
        <x:v>18.2352</x:v>
      </x:c>
      <x:c r="M6970" t="n">
        <x:v>2016</x:v>
      </x:c>
      <x:c r="N6970" s="20" t="n">
        <x:v>42552</x:v>
      </x:c>
    </x:row>
    <x:row r="6971" ht="18" customHeight="1">
      <x:c r="A6971" t="str">
        <x:v>CA-2016-157161</x:v>
      </x:c>
      <x:c r="B6971" s="18" t="n">
        <x:v>42567</x:v>
      </x:c>
      <x:c r="C6971" t="str">
        <x:v>JD-15895</x:v>
      </x:c>
      <x:c r="D6971" t="str">
        <x:v>Jonathan Doherty</x:v>
      </x:c>
      <x:c r="E6971" t="str">
        <x:v>Corporate</x:v>
      </x:c>
      <x:c r="F6971" t="str">
        <x:v>South</x:v>
      </x:c>
      <x:c r="G6971" t="str">
        <x:v>Office Supplies</x:v>
      </x:c>
      <x:c r="H6971" t="str">
        <x:v>Binders</x:v>
      </x:c>
      <x:c r="I6971" s="22" t="n">
        <x:v>6.46</x:v>
      </x:c>
      <x:c r="J6971" s="24" t="n">
        <x:v>2</x:v>
      </x:c>
      <x:c r="K6971" s="26" t="n">
        <x:v>0</x:v>
      </x:c>
      <x:c r="L6971" s="22" t="n">
        <x:v>3.1654</x:v>
      </x:c>
      <x:c r="M6971" t="n">
        <x:v>2016</x:v>
      </x:c>
      <x:c r="N6971" s="20" t="n">
        <x:v>42552</x:v>
      </x:c>
    </x:row>
    <x:row r="6972" ht="18" customHeight="1">
      <x:c r="A6972" t="str">
        <x:v>CA-2016-157161</x:v>
      </x:c>
      <x:c r="B6972" s="18" t="n">
        <x:v>42567</x:v>
      </x:c>
      <x:c r="C6972" t="str">
        <x:v>JD-15895</x:v>
      </x:c>
      <x:c r="D6972" t="str">
        <x:v>Jonathan Doherty</x:v>
      </x:c>
      <x:c r="E6972" t="str">
        <x:v>Corporate</x:v>
      </x:c>
      <x:c r="F6972" t="str">
        <x:v>South</x:v>
      </x:c>
      <x:c r="G6972" t="str">
        <x:v>Office Supplies</x:v>
      </x:c>
      <x:c r="H6972" t="str">
        <x:v>Paper</x:v>
      </x:c>
      <x:c r="I6972" s="22" t="n">
        <x:v>60.12</x:v>
      </x:c>
      <x:c r="J6972" s="24" t="n">
        <x:v>9</x:v>
      </x:c>
      <x:c r="K6972" s="26" t="n">
        <x:v>0</x:v>
      </x:c>
      <x:c r="L6972" s="22" t="n">
        <x:v>28.857599999999998</x:v>
      </x:c>
      <x:c r="M6972" t="n">
        <x:v>2016</x:v>
      </x:c>
      <x:c r="N6972" s="20" t="n">
        <x:v>42552</x:v>
      </x:c>
    </x:row>
    <x:row r="6973" ht="18" customHeight="1">
      <x:c r="A6973" t="str">
        <x:v>CA-2015-110765</x:v>
      </x:c>
      <x:c r="B6973" s="18" t="n">
        <x:v>42293</x:v>
      </x:c>
      <x:c r="C6973" t="str">
        <x:v>MP-17965</x:v>
      </x:c>
      <x:c r="D6973" t="str">
        <x:v>Michael Paige</x:v>
      </x:c>
      <x:c r="E6973" t="str">
        <x:v>Corporate</x:v>
      </x:c>
      <x:c r="F6973" t="str">
        <x:v>East</x:v>
      </x:c>
      <x:c r="G6973" t="str">
        <x:v>Technology</x:v>
      </x:c>
      <x:c r="H6973" t="str">
        <x:v>Phones</x:v>
      </x:c>
      <x:c r="I6973" s="22" t="n">
        <x:v>824.97</x:v>
      </x:c>
      <x:c r="J6973" s="24" t="n">
        <x:v>3</x:v>
      </x:c>
      <x:c r="K6973" s="26" t="n">
        <x:v>0</x:v>
      </x:c>
      <x:c r="L6973" s="22" t="n">
        <x:v>214.4922</x:v>
      </x:c>
      <x:c r="M6973" t="n">
        <x:v>2015</x:v>
      </x:c>
      <x:c r="N6973" s="20" t="n">
        <x:v>42278</x:v>
      </x:c>
    </x:row>
    <x:row r="6974" ht="18" customHeight="1">
      <x:c r="A6974" t="str">
        <x:v>CA-2016-163937</x:v>
      </x:c>
      <x:c r="B6974" s="18" t="n">
        <x:v>42379</x:v>
      </x:c>
      <x:c r="C6974" t="str">
        <x:v>JB-16000</x:v>
      </x:c>
      <x:c r="D6974" t="str">
        <x:v>Joy Bell-</x:v>
      </x:c>
      <x:c r="E6974" t="str">
        <x:v>Consumer</x:v>
      </x:c>
      <x:c r="F6974" t="str">
        <x:v>West</x:v>
      </x:c>
      <x:c r="G6974" t="str">
        <x:v>Furniture</x:v>
      </x:c>
      <x:c r="H6974" t="str">
        <x:v>Furnishings</x:v>
      </x:c>
      <x:c r="I6974" s="22" t="n">
        <x:v>24.849999999999998</x:v>
      </x:c>
      <x:c r="J6974" s="24" t="n">
        <x:v>5</x:v>
      </x:c>
      <x:c r="K6974" s="26" t="n">
        <x:v>0</x:v>
      </x:c>
      <x:c r="L6974" s="22" t="n">
        <x:v>7.703499999999998</x:v>
      </x:c>
      <x:c r="M6974" t="n">
        <x:v>2016</x:v>
      </x:c>
      <x:c r="N6974" s="20" t="n">
        <x:v>42370</x:v>
      </x:c>
    </x:row>
    <x:row r="6975" ht="18" customHeight="1">
      <x:c r="A6975" t="str">
        <x:v>CA-2017-153822</x:v>
      </x:c>
      <x:c r="B6975" s="18" t="n">
        <x:v>42997</x:v>
      </x:c>
      <x:c r="C6975" t="str">
        <x:v>AB-10105</x:v>
      </x:c>
      <x:c r="D6975" t="str">
        <x:v>Adrian Barton</x:v>
      </x:c>
      <x:c r="E6975" t="str">
        <x:v>Consumer</x:v>
      </x:c>
      <x:c r="F6975" t="str">
        <x:v>West</x:v>
      </x:c>
      <x:c r="G6975" t="str">
        <x:v>Office Supplies</x:v>
      </x:c>
      <x:c r="H6975" t="str">
        <x:v>Storage</x:v>
      </x:c>
      <x:c r="I6975" s="22" t="n">
        <x:v>12.624</x:v>
      </x:c>
      <x:c r="J6975" s="24" t="n">
        <x:v>2</x:v>
      </x:c>
      <x:c r="K6975" s="26" t="n">
        <x:v>0.2</x:v>
      </x:c>
      <x:c r="L6975" s="22" t="n">
        <x:v>-2.524800000000002</x:v>
      </x:c>
      <x:c r="M6975" t="n">
        <x:v>2017</x:v>
      </x:c>
      <x:c r="N6975" s="20" t="n">
        <x:v>42979</x:v>
      </x:c>
    </x:row>
    <x:row r="6976" ht="18" customHeight="1">
      <x:c r="A6976" t="str">
        <x:v>CA-2017-153822</x:v>
      </x:c>
      <x:c r="B6976" s="18" t="n">
        <x:v>42997</x:v>
      </x:c>
      <x:c r="C6976" t="str">
        <x:v>AB-10105</x:v>
      </x:c>
      <x:c r="D6976" t="str">
        <x:v>Adrian Barton</x:v>
      </x:c>
      <x:c r="E6976" t="str">
        <x:v>Consumer</x:v>
      </x:c>
      <x:c r="F6976" t="str">
        <x:v>West</x:v>
      </x:c>
      <x:c r="G6976" t="str">
        <x:v>Technology</x:v>
      </x:c>
      <x:c r="H6976" t="str">
        <x:v>Accessories</x:v>
      </x:c>
      <x:c r="I6976" s="22" t="n">
        <x:v>89.584</x:v>
      </x:c>
      <x:c r="J6976" s="24" t="n">
        <x:v>2</x:v>
      </x:c>
      <x:c r="K6976" s="26" t="n">
        <x:v>0.2</x:v>
      </x:c>
      <x:c r="L6976" s="22" t="n">
        <x:v>4.479200000000006</x:v>
      </x:c>
      <x:c r="M6976" t="n">
        <x:v>2017</x:v>
      </x:c>
      <x:c r="N6976" s="20" t="n">
        <x:v>42979</x:v>
      </x:c>
    </x:row>
    <x:row r="6977" ht="18" customHeight="1">
      <x:c r="A6977" t="str">
        <x:v>CA-2017-153822</x:v>
      </x:c>
      <x:c r="B6977" s="18" t="n">
        <x:v>42997</x:v>
      </x:c>
      <x:c r="C6977" t="str">
        <x:v>AB-10105</x:v>
      </x:c>
      <x:c r="D6977" t="str">
        <x:v>Adrian Barton</x:v>
      </x:c>
      <x:c r="E6977" t="str">
        <x:v>Consumer</x:v>
      </x:c>
      <x:c r="F6977" t="str">
        <x:v>West</x:v>
      </x:c>
      <x:c r="G6977" t="str">
        <x:v>Technology</x:v>
      </x:c>
      <x:c r="H6977" t="str">
        <x:v>Phones</x:v>
      </x:c>
      <x:c r="I6977" s="22" t="n">
        <x:v>471.92</x:v>
      </x:c>
      <x:c r="J6977" s="24" t="n">
        <x:v>2</x:v>
      </x:c>
      <x:c r="K6977" s="26" t="n">
        <x:v>0.2</x:v>
      </x:c>
      <x:c r="L6977" s="22" t="n">
        <x:v>29.49500000000002</x:v>
      </x:c>
      <x:c r="M6977" t="n">
        <x:v>2017</x:v>
      </x:c>
      <x:c r="N6977" s="20" t="n">
        <x:v>42979</x:v>
      </x:c>
    </x:row>
    <x:row r="6978" ht="18" customHeight="1">
      <x:c r="A6978" t="str">
        <x:v>CA-2017-153822</x:v>
      </x:c>
      <x:c r="B6978" s="18" t="n">
        <x:v>42997</x:v>
      </x:c>
      <x:c r="C6978" t="str">
        <x:v>AB-10105</x:v>
      </x:c>
      <x:c r="D6978" t="str">
        <x:v>Adrian Barton</x:v>
      </x:c>
      <x:c r="E6978" t="str">
        <x:v>Consumer</x:v>
      </x:c>
      <x:c r="F6978" t="str">
        <x:v>West</x:v>
      </x:c>
      <x:c r="G6978" t="str">
        <x:v>Office Supplies</x:v>
      </x:c>
      <x:c r="H6978" t="str">
        <x:v>Binders</x:v>
      </x:c>
      <x:c r="I6978" s="22" t="n">
        <x:v>18.180000000000003</x:v>
      </x:c>
      <x:c r="J6978" s="24" t="n">
        <x:v>4</x:v>
      </x:c>
      <x:c r="K6978" s="26" t="n">
        <x:v>0.7</x:v>
      </x:c>
      <x:c r="L6978" s="22" t="n">
        <x:v>-13.938000000000002</x:v>
      </x:c>
      <x:c r="M6978" t="n">
        <x:v>2017</x:v>
      </x:c>
      <x:c r="N6978" s="20" t="n">
        <x:v>42979</x:v>
      </x:c>
    </x:row>
    <x:row r="6979" ht="18" customHeight="1">
      <x:c r="A6979" t="str">
        <x:v>CA-2017-146185</x:v>
      </x:c>
      <x:c r="B6979" s="18" t="n">
        <x:v>42993</x:v>
      </x:c>
      <x:c r="C6979" t="str">
        <x:v>CC-12145</x:v>
      </x:c>
      <x:c r="D6979" t="str">
        <x:v>Charles Crestani</x:v>
      </x:c>
      <x:c r="E6979" t="str">
        <x:v>Consumer</x:v>
      </x:c>
      <x:c r="F6979" t="str">
        <x:v>Central</x:v>
      </x:c>
      <x:c r="G6979" t="str">
        <x:v>Office Supplies</x:v>
      </x:c>
      <x:c r="H6979" t="str">
        <x:v>Art</x:v>
      </x:c>
      <x:c r="I6979" s="22" t="n">
        <x:v>31.744</x:v>
      </x:c>
      <x:c r="J6979" s="24" t="n">
        <x:v>2</x:v>
      </x:c>
      <x:c r="K6979" s="26" t="n">
        <x:v>0.2</x:v>
      </x:c>
      <x:c r="L6979" s="22" t="n">
        <x:v>8.332800000000002</x:v>
      </x:c>
      <x:c r="M6979" t="n">
        <x:v>2017</x:v>
      </x:c>
      <x:c r="N6979" s="20" t="n">
        <x:v>42979</x:v>
      </x:c>
    </x:row>
    <x:row r="6980" ht="18" customHeight="1">
      <x:c r="A6980" t="str">
        <x:v>CA-2015-112144</x:v>
      </x:c>
      <x:c r="B6980" s="18" t="n">
        <x:v>42183</x:v>
      </x:c>
      <x:c r="C6980" t="str">
        <x:v>CY-12745</x:v>
      </x:c>
      <x:c r="D6980" t="str">
        <x:v>Craig Yedwab</x:v>
      </x:c>
      <x:c r="E6980" t="str">
        <x:v>Corporate</x:v>
      </x:c>
      <x:c r="F6980" t="str">
        <x:v>West</x:v>
      </x:c>
      <x:c r="G6980" t="str">
        <x:v>Office Supplies</x:v>
      </x:c>
      <x:c r="H6980" t="str">
        <x:v>Labels</x:v>
      </x:c>
      <x:c r="I6980" s="22" t="n">
        <x:v>5.904</x:v>
      </x:c>
      <x:c r="J6980" s="24" t="n">
        <x:v>2</x:v>
      </x:c>
      <x:c r="K6980" s="26" t="n">
        <x:v>0.2</x:v>
      </x:c>
      <x:c r="L6980" s="22" t="n">
        <x:v>1.9926</x:v>
      </x:c>
      <x:c r="M6980" t="n">
        <x:v>2015</x:v>
      </x:c>
      <x:c r="N6980" s="20" t="n">
        <x:v>42156</x:v>
      </x:c>
    </x:row>
    <x:row r="6981" ht="18" customHeight="1">
      <x:c r="A6981" t="str">
        <x:v>CA-2015-112144</x:v>
      </x:c>
      <x:c r="B6981" s="18" t="n">
        <x:v>42183</x:v>
      </x:c>
      <x:c r="C6981" t="str">
        <x:v>CY-12745</x:v>
      </x:c>
      <x:c r="D6981" t="str">
        <x:v>Craig Yedwab</x:v>
      </x:c>
      <x:c r="E6981" t="str">
        <x:v>Corporate</x:v>
      </x:c>
      <x:c r="F6981" t="str">
        <x:v>West</x:v>
      </x:c>
      <x:c r="G6981" t="str">
        <x:v>Furniture</x:v>
      </x:c>
      <x:c r="H6981" t="str">
        <x:v>Furnishings</x:v>
      </x:c>
      <x:c r="I6981" s="22" t="n">
        <x:v>621.7600000000001</x:v>
      </x:c>
      <x:c r="J6981" s="24" t="n">
        <x:v>4</x:v>
      </x:c>
      <x:c r="K6981" s="26" t="n">
        <x:v>0.2</x:v>
      </x:c>
      <x:c r="L6981" s="22" t="n">
        <x:v>46.63199999999998</x:v>
      </x:c>
      <x:c r="M6981" t="n">
        <x:v>2015</x:v>
      </x:c>
      <x:c r="N6981" s="20" t="n">
        <x:v>42156</x:v>
      </x:c>
    </x:row>
    <x:row r="6982" ht="18" customHeight="1">
      <x:c r="A6982" t="str">
        <x:v>US-2016-119298</x:v>
      </x:c>
      <x:c r="B6982" s="18" t="n">
        <x:v>42699</x:v>
      </x:c>
      <x:c r="C6982" t="str">
        <x:v>EP-13915</x:v>
      </x:c>
      <x:c r="D6982" t="str">
        <x:v>Emily Phan</x:v>
      </x:c>
      <x:c r="E6982" t="str">
        <x:v>Consumer</x:v>
      </x:c>
      <x:c r="F6982" t="str">
        <x:v>South</x:v>
      </x:c>
      <x:c r="G6982" t="str">
        <x:v>Technology</x:v>
      </x:c>
      <x:c r="H6982" t="str">
        <x:v>Phones</x:v>
      </x:c>
      <x:c r="I6982" s="22" t="n">
        <x:v>59.98</x:v>
      </x:c>
      <x:c r="J6982" s="24" t="n">
        <x:v>2</x:v>
      </x:c>
      <x:c r="K6982" s="26" t="n">
        <x:v>0</x:v>
      </x:c>
      <x:c r="L6982" s="22" t="n">
        <x:v>17.993999999999993</x:v>
      </x:c>
      <x:c r="M6982" t="n">
        <x:v>2016</x:v>
      </x:c>
      <x:c r="N6982" s="20" t="n">
        <x:v>42675</x:v>
      </x:c>
    </x:row>
    <x:row r="6983" ht="18" customHeight="1">
      <x:c r="A6983" t="str">
        <x:v>CA-2017-155159</x:v>
      </x:c>
      <x:c r="B6983" s="18" t="n">
        <x:v>43064</x:v>
      </x:c>
      <x:c r="C6983" t="str">
        <x:v>DL-13315</x:v>
      </x:c>
      <x:c r="D6983" t="str">
        <x:v>Delfina Latchford</x:v>
      </x:c>
      <x:c r="E6983" t="str">
        <x:v>Consumer</x:v>
      </x:c>
      <x:c r="F6983" t="str">
        <x:v>South</x:v>
      </x:c>
      <x:c r="G6983" t="str">
        <x:v>Office Supplies</x:v>
      </x:c>
      <x:c r="H6983" t="str">
        <x:v>Paper</x:v>
      </x:c>
      <x:c r="I6983" s="22" t="n">
        <x:v>48.87</x:v>
      </x:c>
      <x:c r="J6983" s="24" t="n">
        <x:v>9</x:v>
      </x:c>
      <x:c r="K6983" s="26" t="n">
        <x:v>0</x:v>
      </x:c>
      <x:c r="L6983" s="22" t="n">
        <x:v>23.946299999999997</x:v>
      </x:c>
      <x:c r="M6983" t="n">
        <x:v>2017</x:v>
      </x:c>
      <x:c r="N6983" s="20" t="n">
        <x:v>43040</x:v>
      </x:c>
    </x:row>
    <x:row r="6984" ht="18" customHeight="1">
      <x:c r="A6984" t="str">
        <x:v>CA-2017-149076</x:v>
      </x:c>
      <x:c r="B6984" s="18" t="n">
        <x:v>42749</x:v>
      </x:c>
      <x:c r="C6984" t="str">
        <x:v>SO-20335</x:v>
      </x:c>
      <x:c r="D6984" t="str">
        <x:v>Sean O'Donnell</x:v>
      </x:c>
      <x:c r="E6984" t="str">
        <x:v>Consumer</x:v>
      </x:c>
      <x:c r="F6984" t="str">
        <x:v>West</x:v>
      </x:c>
      <x:c r="G6984" t="str">
        <x:v>Office Supplies</x:v>
      </x:c>
      <x:c r="H6984" t="str">
        <x:v>Paper</x:v>
      </x:c>
      <x:c r="I6984" s="22" t="n">
        <x:v>154.9</x:v>
      </x:c>
      <x:c r="J6984" s="24" t="n">
        <x:v>5</x:v>
      </x:c>
      <x:c r="K6984" s="26" t="n">
        <x:v>0</x:v>
      </x:c>
      <x:c r="L6984" s="22" t="n">
        <x:v>69.705</x:v>
      </x:c>
      <x:c r="M6984" t="n">
        <x:v>2017</x:v>
      </x:c>
      <x:c r="N6984" s="20" t="n">
        <x:v>42736</x:v>
      </x:c>
    </x:row>
    <x:row r="6985" ht="18" customHeight="1">
      <x:c r="A6985" t="str">
        <x:v>CA-2014-146990</x:v>
      </x:c>
      <x:c r="B6985" s="18" t="n">
        <x:v>41950</x:v>
      </x:c>
      <x:c r="C6985" t="str">
        <x:v>BP-11095</x:v>
      </x:c>
      <x:c r="D6985" t="str">
        <x:v>Bart Pistole</x:v>
      </x:c>
      <x:c r="E6985" t="str">
        <x:v>Corporate</x:v>
      </x:c>
      <x:c r="F6985" t="str">
        <x:v>East</x:v>
      </x:c>
      <x:c r="G6985" t="str">
        <x:v>Office Supplies</x:v>
      </x:c>
      <x:c r="H6985" t="str">
        <x:v>Fasteners</x:v>
      </x:c>
      <x:c r="I6985" s="22" t="n">
        <x:v>5.92</x:v>
      </x:c>
      <x:c r="J6985" s="24" t="n">
        <x:v>4</x:v>
      </x:c>
      <x:c r="K6985" s="26" t="n">
        <x:v>0</x:v>
      </x:c>
      <x:c r="L6985" s="22" t="n">
        <x:v>2.8415999999999997</x:v>
      </x:c>
      <x:c r="M6985" t="n">
        <x:v>2014</x:v>
      </x:c>
      <x:c r="N6985" s="20" t="n">
        <x:v>41944</x:v>
      </x:c>
    </x:row>
    <x:row r="6986" ht="18" customHeight="1">
      <x:c r="A6986" t="str">
        <x:v>CA-2014-146990</x:v>
      </x:c>
      <x:c r="B6986" s="18" t="n">
        <x:v>41950</x:v>
      </x:c>
      <x:c r="C6986" t="str">
        <x:v>BP-11095</x:v>
      </x:c>
      <x:c r="D6986" t="str">
        <x:v>Bart Pistole</x:v>
      </x:c>
      <x:c r="E6986" t="str">
        <x:v>Corporate</x:v>
      </x:c>
      <x:c r="F6986" t="str">
        <x:v>East</x:v>
      </x:c>
      <x:c r="G6986" t="str">
        <x:v>Office Supplies</x:v>
      </x:c>
      <x:c r="H6986" t="str">
        <x:v>Paper</x:v>
      </x:c>
      <x:c r="I6986" s="22" t="n">
        <x:v>30.18</x:v>
      </x:c>
      <x:c r="J6986" s="24" t="n">
        <x:v>3</x:v>
      </x:c>
      <x:c r="K6986" s="26" t="n">
        <x:v>0</x:v>
      </x:c>
      <x:c r="L6986" s="22" t="n">
        <x:v>13.8828</x:v>
      </x:c>
      <x:c r="M6986" t="n">
        <x:v>2014</x:v>
      </x:c>
      <x:c r="N6986" s="20" t="n">
        <x:v>41944</x:v>
      </x:c>
    </x:row>
    <x:row r="6987" ht="18" customHeight="1">
      <x:c r="A6987" t="str">
        <x:v>CA-2016-116526</x:v>
      </x:c>
      <x:c r="B6987" s="18" t="n">
        <x:v>42614</x:v>
      </x:c>
      <x:c r="C6987" t="str">
        <x:v>JA-15970</x:v>
      </x:c>
      <x:c r="D6987" t="str">
        <x:v>Joseph Airdo</x:v>
      </x:c>
      <x:c r="E6987" t="str">
        <x:v>Consumer</x:v>
      </x:c>
      <x:c r="F6987" t="str">
        <x:v>Central</x:v>
      </x:c>
      <x:c r="G6987" t="str">
        <x:v>Office Supplies</x:v>
      </x:c>
      <x:c r="H6987" t="str">
        <x:v>Binders</x:v>
      </x:c>
      <x:c r="I6987" s="22" t="n">
        <x:v>24.1</x:v>
      </x:c>
      <x:c r="J6987" s="24" t="n">
        <x:v>5</x:v>
      </x:c>
      <x:c r="K6987" s="26" t="n">
        <x:v>0</x:v>
      </x:c>
      <x:c r="L6987" s="22" t="n">
        <x:v>11.086</x:v>
      </x:c>
      <x:c r="M6987" t="n">
        <x:v>2016</x:v>
      </x:c>
      <x:c r="N6987" s="20" t="n">
        <x:v>42614</x:v>
      </x:c>
    </x:row>
    <x:row r="6988" ht="18" customHeight="1">
      <x:c r="A6988" t="str">
        <x:v>CA-2016-116526</x:v>
      </x:c>
      <x:c r="B6988" s="18" t="n">
        <x:v>42614</x:v>
      </x:c>
      <x:c r="C6988" t="str">
        <x:v>JA-15970</x:v>
      </x:c>
      <x:c r="D6988" t="str">
        <x:v>Joseph Airdo</x:v>
      </x:c>
      <x:c r="E6988" t="str">
        <x:v>Consumer</x:v>
      </x:c>
      <x:c r="F6988" t="str">
        <x:v>Central</x:v>
      </x:c>
      <x:c r="G6988" t="str">
        <x:v>Technology</x:v>
      </x:c>
      <x:c r="H6988" t="str">
        <x:v>Phones</x:v>
      </x:c>
      <x:c r="I6988" s="22" t="n">
        <x:v>8.78</x:v>
      </x:c>
      <x:c r="J6988" s="24" t="n">
        <x:v>1</x:v>
      </x:c>
      <x:c r="K6988" s="26" t="n">
        <x:v>0</x:v>
      </x:c>
      <x:c r="L6988" s="22" t="n">
        <x:v>2.2828</x:v>
      </x:c>
      <x:c r="M6988" t="n">
        <x:v>2016</x:v>
      </x:c>
      <x:c r="N6988" s="20" t="n">
        <x:v>42614</x:v>
      </x:c>
    </x:row>
    <x:row r="6989" ht="18" customHeight="1">
      <x:c r="A6989" t="str">
        <x:v>CA-2016-116526</x:v>
      </x:c>
      <x:c r="B6989" s="18" t="n">
        <x:v>42614</x:v>
      </x:c>
      <x:c r="C6989" t="str">
        <x:v>JA-15970</x:v>
      </x:c>
      <x:c r="D6989" t="str">
        <x:v>Joseph Airdo</x:v>
      </x:c>
      <x:c r="E6989" t="str">
        <x:v>Consumer</x:v>
      </x:c>
      <x:c r="F6989" t="str">
        <x:v>Central</x:v>
      </x:c>
      <x:c r="G6989" t="str">
        <x:v>Office Supplies</x:v>
      </x:c>
      <x:c r="H6989" t="str">
        <x:v>Appliances</x:v>
      </x:c>
      <x:c r="I6989" s="22" t="n">
        <x:v>376.74</x:v>
      </x:c>
      <x:c r="J6989" s="24" t="n">
        <x:v>4</x:v>
      </x:c>
      <x:c r="K6989" s="26" t="n">
        <x:v>0.1</x:v>
      </x:c>
      <x:c r="L6989" s="22" t="n">
        <x:v>71.16199999999998</x:v>
      </x:c>
      <x:c r="M6989" t="n">
        <x:v>2016</x:v>
      </x:c>
      <x:c r="N6989" s="20" t="n">
        <x:v>42614</x:v>
      </x:c>
    </x:row>
    <x:row r="6990" ht="18" customHeight="1">
      <x:c r="A6990" t="str">
        <x:v>CA-2016-116526</x:v>
      </x:c>
      <x:c r="B6990" s="18" t="n">
        <x:v>42614</x:v>
      </x:c>
      <x:c r="C6990" t="str">
        <x:v>JA-15970</x:v>
      </x:c>
      <x:c r="D6990" t="str">
        <x:v>Joseph Airdo</x:v>
      </x:c>
      <x:c r="E6990" t="str">
        <x:v>Consumer</x:v>
      </x:c>
      <x:c r="F6990" t="str">
        <x:v>Central</x:v>
      </x:c>
      <x:c r="G6990" t="str">
        <x:v>Office Supplies</x:v>
      </x:c>
      <x:c r="H6990" t="str">
        <x:v>Binders</x:v>
      </x:c>
      <x:c r="I6990" s="22" t="n">
        <x:v>29.52</x:v>
      </x:c>
      <x:c r="J6990" s="24" t="n">
        <x:v>4</x:v>
      </x:c>
      <x:c r="K6990" s="26" t="n">
        <x:v>0</x:v>
      </x:c>
      <x:c r="L6990" s="22" t="n">
        <x:v>14.4648</x:v>
      </x:c>
      <x:c r="M6990" t="n">
        <x:v>2016</x:v>
      </x:c>
      <x:c r="N6990" s="20" t="n">
        <x:v>42614</x:v>
      </x:c>
    </x:row>
    <x:row r="6991" ht="18" customHeight="1">
      <x:c r="A6991" t="str">
        <x:v>CA-2016-116526</x:v>
      </x:c>
      <x:c r="B6991" s="18" t="n">
        <x:v>42614</x:v>
      </x:c>
      <x:c r="C6991" t="str">
        <x:v>JA-15970</x:v>
      </x:c>
      <x:c r="D6991" t="str">
        <x:v>Joseph Airdo</x:v>
      </x:c>
      <x:c r="E6991" t="str">
        <x:v>Consumer</x:v>
      </x:c>
      <x:c r="F6991" t="str">
        <x:v>Central</x:v>
      </x:c>
      <x:c r="G6991" t="str">
        <x:v>Office Supplies</x:v>
      </x:c>
      <x:c r="H6991" t="str">
        <x:v>Art</x:v>
      </x:c>
      <x:c r="I6991" s="22" t="n">
        <x:v>11.96</x:v>
      </x:c>
      <x:c r="J6991" s="24" t="n">
        <x:v>2</x:v>
      </x:c>
      <x:c r="K6991" s="26" t="n">
        <x:v>0</x:v>
      </x:c>
      <x:c r="L6991" s="22" t="n">
        <x:v>2.99</x:v>
      </x:c>
      <x:c r="M6991" t="n">
        <x:v>2016</x:v>
      </x:c>
      <x:c r="N6991" s="20" t="n">
        <x:v>42614</x:v>
      </x:c>
    </x:row>
    <x:row r="6992" ht="18" customHeight="1">
      <x:c r="A6992" t="str">
        <x:v>CA-2016-116526</x:v>
      </x:c>
      <x:c r="B6992" s="18" t="n">
        <x:v>42614</x:v>
      </x:c>
      <x:c r="C6992" t="str">
        <x:v>JA-15970</x:v>
      </x:c>
      <x:c r="D6992" t="str">
        <x:v>Joseph Airdo</x:v>
      </x:c>
      <x:c r="E6992" t="str">
        <x:v>Consumer</x:v>
      </x:c>
      <x:c r="F6992" t="str">
        <x:v>Central</x:v>
      </x:c>
      <x:c r="G6992" t="str">
        <x:v>Office Supplies</x:v>
      </x:c>
      <x:c r="H6992" t="str">
        <x:v>Binders</x:v>
      </x:c>
      <x:c r="I6992" s="22" t="n">
        <x:v>26.400000000000002</x:v>
      </x:c>
      <x:c r="J6992" s="24" t="n">
        <x:v>5</x:v>
      </x:c>
      <x:c r="K6992" s="26" t="n">
        <x:v>0</x:v>
      </x:c>
      <x:c r="L6992" s="22" t="n">
        <x:v>12.672</x:v>
      </x:c>
      <x:c r="M6992" t="n">
        <x:v>2016</x:v>
      </x:c>
      <x:c r="N6992" s="20" t="n">
        <x:v>42614</x:v>
      </x:c>
    </x:row>
    <x:row r="6993" ht="18" customHeight="1">
      <x:c r="A6993" t="str">
        <x:v>CA-2017-158561</x:v>
      </x:c>
      <x:c r="B6993" s="18" t="n">
        <x:v>43050</x:v>
      </x:c>
      <x:c r="C6993" t="str">
        <x:v>BB-11545</x:v>
      </x:c>
      <x:c r="D6993" t="str">
        <x:v>Brenda Bowman</x:v>
      </x:c>
      <x:c r="E6993" t="str">
        <x:v>Corporate</x:v>
      </x:c>
      <x:c r="F6993" t="str">
        <x:v>South</x:v>
      </x:c>
      <x:c r="G6993" t="str">
        <x:v>Office Supplies</x:v>
      </x:c>
      <x:c r="H6993" t="str">
        <x:v>Appliances</x:v>
      </x:c>
      <x:c r="I6993" s="22" t="n">
        <x:v>1158.12</x:v>
      </x:c>
      <x:c r="J6993" s="24" t="n">
        <x:v>5</x:v>
      </x:c>
      <x:c r="K6993" s="26" t="n">
        <x:v>0.2</x:v>
      </x:c>
      <x:c r="L6993" s="22" t="n">
        <x:v>130.28849999999983</x:v>
      </x:c>
      <x:c r="M6993" t="n">
        <x:v>2017</x:v>
      </x:c>
      <x:c r="N6993" s="20" t="n">
        <x:v>43040</x:v>
      </x:c>
    </x:row>
    <x:row r="6994" ht="18" customHeight="1">
      <x:c r="A6994" t="str">
        <x:v>CA-2017-165099</x:v>
      </x:c>
      <x:c r="B6994" s="18" t="n">
        <x:v>43080</x:v>
      </x:c>
      <x:c r="C6994" t="str">
        <x:v>DK-13375</x:v>
      </x:c>
      <x:c r="D6994" t="str">
        <x:v>Dennis Kane</x:v>
      </x:c>
      <x:c r="E6994" t="str">
        <x:v>Consumer</x:v>
      </x:c>
      <x:c r="F6994" t="str">
        <x:v>Central</x:v>
      </x:c>
      <x:c r="G6994" t="str">
        <x:v>Office Supplies</x:v>
      </x:c>
      <x:c r="H6994" t="str">
        <x:v>Appliances</x:v>
      </x:c>
      <x:c r="I6994" s="22" t="n">
        <x:v>1.3919999999999997</x:v>
      </x:c>
      <x:c r="J6994" s="24" t="n">
        <x:v>2</x:v>
      </x:c>
      <x:c r="K6994" s="26" t="n">
        <x:v>0.8</x:v>
      </x:c>
      <x:c r="L6994" s="22" t="n">
        <x:v>-3.758400000000001</x:v>
      </x:c>
      <x:c r="M6994" t="n">
        <x:v>2017</x:v>
      </x:c>
      <x:c r="N6994" s="20" t="n">
        <x:v>43070</x:v>
      </x:c>
    </x:row>
    <x:row r="6995" ht="18" customHeight="1">
      <x:c r="A6995" t="str">
        <x:v>CA-2015-109386</x:v>
      </x:c>
      <x:c r="B6995" s="18" t="n">
        <x:v>42316</x:v>
      </x:c>
      <x:c r="C6995" t="str">
        <x:v>RH-19600</x:v>
      </x:c>
      <x:c r="D6995" t="str">
        <x:v>Rob Haberlin</x:v>
      </x:c>
      <x:c r="E6995" t="str">
        <x:v>Consumer</x:v>
      </x:c>
      <x:c r="F6995" t="str">
        <x:v>South</x:v>
      </x:c>
      <x:c r="G6995" t="str">
        <x:v>Office Supplies</x:v>
      </x:c>
      <x:c r="H6995" t="str">
        <x:v>Appliances</x:v>
      </x:c>
      <x:c r="I6995" s="22" t="n">
        <x:v>44.43</x:v>
      </x:c>
      <x:c r="J6995" s="24" t="n">
        <x:v>3</x:v>
      </x:c>
      <x:c r="K6995" s="26" t="n">
        <x:v>0</x:v>
      </x:c>
      <x:c r="L6995" s="22" t="n">
        <x:v>18.660600000000002</x:v>
      </x:c>
      <x:c r="M6995" t="n">
        <x:v>2015</x:v>
      </x:c>
      <x:c r="N6995" s="20" t="n">
        <x:v>42309</x:v>
      </x:c>
    </x:row>
    <x:row r="6996" ht="18" customHeight="1">
      <x:c r="A6996" t="str">
        <x:v>CA-2015-109386</x:v>
      </x:c>
      <x:c r="B6996" s="18" t="n">
        <x:v>42316</x:v>
      </x:c>
      <x:c r="C6996" t="str">
        <x:v>RH-19600</x:v>
      </x:c>
      <x:c r="D6996" t="str">
        <x:v>Rob Haberlin</x:v>
      </x:c>
      <x:c r="E6996" t="str">
        <x:v>Consumer</x:v>
      </x:c>
      <x:c r="F6996" t="str">
        <x:v>South</x:v>
      </x:c>
      <x:c r="G6996" t="str">
        <x:v>Technology</x:v>
      </x:c>
      <x:c r="H6996" t="str">
        <x:v>Phones</x:v>
      </x:c>
      <x:c r="I6996" s="22" t="n">
        <x:v>226.20000000000002</x:v>
      </x:c>
      <x:c r="J6996" s="24" t="n">
        <x:v>5</x:v>
      </x:c>
      <x:c r="K6996" s="26" t="n">
        <x:v>0</x:v>
      </x:c>
      <x:c r="L6996" s="22" t="n">
        <x:v>58.812</x:v>
      </x:c>
      <x:c r="M6996" t="n">
        <x:v>2015</x:v>
      </x:c>
      <x:c r="N6996" s="20" t="n">
        <x:v>42309</x:v>
      </x:c>
    </x:row>
    <x:row r="6997" ht="18" customHeight="1">
      <x:c r="A6997" t="str">
        <x:v>CA-2015-109386</x:v>
      </x:c>
      <x:c r="B6997" s="18" t="n">
        <x:v>42316</x:v>
      </x:c>
      <x:c r="C6997" t="str">
        <x:v>RH-19600</x:v>
      </x:c>
      <x:c r="D6997" t="str">
        <x:v>Rob Haberlin</x:v>
      </x:c>
      <x:c r="E6997" t="str">
        <x:v>Consumer</x:v>
      </x:c>
      <x:c r="F6997" t="str">
        <x:v>South</x:v>
      </x:c>
      <x:c r="G6997" t="str">
        <x:v>Furniture</x:v>
      </x:c>
      <x:c r="H6997" t="str">
        <x:v>Furnishings</x:v>
      </x:c>
      <x:c r="I6997" s="22" t="n">
        <x:v>186.54</x:v>
      </x:c>
      <x:c r="J6997" s="24" t="n">
        <x:v>3</x:v>
      </x:c>
      <x:c r="K6997" s="26" t="n">
        <x:v>0</x:v>
      </x:c>
      <x:c r="L6997" s="22" t="n">
        <x:v>41.0388</x:v>
      </x:c>
      <x:c r="M6997" t="n">
        <x:v>2015</x:v>
      </x:c>
      <x:c r="N6997" s="20" t="n">
        <x:v>42309</x:v>
      </x:c>
    </x:row>
    <x:row r="6998" ht="18" customHeight="1">
      <x:c r="A6998" t="str">
        <x:v>CA-2015-109386</x:v>
      </x:c>
      <x:c r="B6998" s="18" t="n">
        <x:v>42316</x:v>
      </x:c>
      <x:c r="C6998" t="str">
        <x:v>RH-19600</x:v>
      </x:c>
      <x:c r="D6998" t="str">
        <x:v>Rob Haberlin</x:v>
      </x:c>
      <x:c r="E6998" t="str">
        <x:v>Consumer</x:v>
      </x:c>
      <x:c r="F6998" t="str">
        <x:v>South</x:v>
      </x:c>
      <x:c r="G6998" t="str">
        <x:v>Office Supplies</x:v>
      </x:c>
      <x:c r="H6998" t="str">
        <x:v>Art</x:v>
      </x:c>
      <x:c r="I6998" s="22" t="n">
        <x:v>265.85999999999996</x:v>
      </x:c>
      <x:c r="J6998" s="24" t="n">
        <x:v>7</x:v>
      </x:c>
      <x:c r="K6998" s="26" t="n">
        <x:v>0</x:v>
      </x:c>
      <x:c r="L6998" s="22" t="n">
        <x:v>79.75799999999997</x:v>
      </x:c>
      <x:c r="M6998" t="n">
        <x:v>2015</x:v>
      </x:c>
      <x:c r="N6998" s="20" t="n">
        <x:v>42309</x:v>
      </x:c>
    </x:row>
    <x:row r="6999" ht="18" customHeight="1">
      <x:c r="A6999" t="str">
        <x:v>CA-2015-109386</x:v>
      </x:c>
      <x:c r="B6999" s="18" t="n">
        <x:v>42316</x:v>
      </x:c>
      <x:c r="C6999" t="str">
        <x:v>RH-19600</x:v>
      </x:c>
      <x:c r="D6999" t="str">
        <x:v>Rob Haberlin</x:v>
      </x:c>
      <x:c r="E6999" t="str">
        <x:v>Consumer</x:v>
      </x:c>
      <x:c r="F6999" t="str">
        <x:v>South</x:v>
      </x:c>
      <x:c r="G6999" t="str">
        <x:v>Office Supplies</x:v>
      </x:c>
      <x:c r="H6999" t="str">
        <x:v>Art</x:v>
      </x:c>
      <x:c r="I6999" s="22" t="n">
        <x:v>27.9</x:v>
      </x:c>
      <x:c r="J6999" s="24" t="n">
        <x:v>5</x:v>
      </x:c>
      <x:c r="K6999" s="26" t="n">
        <x:v>0</x:v>
      </x:c>
      <x:c r="L6999" s="22" t="n">
        <x:v>6.974999999999998</x:v>
      </x:c>
      <x:c r="M6999" t="n">
        <x:v>2015</x:v>
      </x:c>
      <x:c r="N6999" s="20" t="n">
        <x:v>42309</x:v>
      </x:c>
    </x:row>
    <x:row r="7000" ht="18" customHeight="1">
      <x:c r="A7000" t="str">
        <x:v>CA-2015-166800</x:v>
      </x:c>
      <x:c r="B7000" s="18" t="n">
        <x:v>42327</x:v>
      </x:c>
      <x:c r="C7000" t="str">
        <x:v>AG-10300</x:v>
      </x:c>
      <x:c r="D7000" t="str">
        <x:v>Aleksandra Gannaway</x:v>
      </x:c>
      <x:c r="E7000" t="str">
        <x:v>Corporate</x:v>
      </x:c>
      <x:c r="F7000" t="str">
        <x:v>West</x:v>
      </x:c>
      <x:c r="G7000" t="str">
        <x:v>Office Supplies</x:v>
      </x:c>
      <x:c r="H7000" t="str">
        <x:v>Appliances</x:v>
      </x:c>
      <x:c r="I7000" s="22" t="n">
        <x:v>31.08</x:v>
      </x:c>
      <x:c r="J7000" s="24" t="n">
        <x:v>4</x:v>
      </x:c>
      <x:c r="K7000" s="26" t="n">
        <x:v>0</x:v>
      </x:c>
      <x:c r="L7000" s="22" t="n">
        <x:v>8.3916</x:v>
      </x:c>
      <x:c r="M7000" t="n">
        <x:v>2015</x:v>
      </x:c>
      <x:c r="N7000" s="20" t="n">
        <x:v>42309</x:v>
      </x:c>
    </x:row>
    <x:row r="7001" ht="18" customHeight="1">
      <x:c r="A7001" t="str">
        <x:v>CA-2017-117443</x:v>
      </x:c>
      <x:c r="B7001" s="18" t="n">
        <x:v>43092</x:v>
      </x:c>
      <x:c r="C7001" t="str">
        <x:v>JB-15400</x:v>
      </x:c>
      <x:c r="D7001" t="str">
        <x:v>Jennifer Braxton</x:v>
      </x:c>
      <x:c r="E7001" t="str">
        <x:v>Corporate</x:v>
      </x:c>
      <x:c r="F7001" t="str">
        <x:v>Central</x:v>
      </x:c>
      <x:c r="G7001" t="str">
        <x:v>Office Supplies</x:v>
      </x:c>
      <x:c r="H7001" t="str">
        <x:v>Binders</x:v>
      </x:c>
      <x:c r="I7001" s="22" t="n">
        <x:v>13.839999999999998</x:v>
      </x:c>
      <x:c r="J7001" s="24" t="n">
        <x:v>4</x:v>
      </x:c>
      <x:c r="K7001" s="26" t="n">
        <x:v>0.8</x:v>
      </x:c>
      <x:c r="L7001" s="22" t="n">
        <x:v>-22.144000000000005</x:v>
      </x:c>
      <x:c r="M7001" t="n">
        <x:v>2017</x:v>
      </x:c>
      <x:c r="N7001" s="20" t="n">
        <x:v>43070</x:v>
      </x:c>
    </x:row>
    <x:row r="7002" ht="18" customHeight="1">
      <x:c r="A7002" t="str">
        <x:v>CA-2017-117443</x:v>
      </x:c>
      <x:c r="B7002" s="18" t="n">
        <x:v>43092</x:v>
      </x:c>
      <x:c r="C7002" t="str">
        <x:v>JB-15400</x:v>
      </x:c>
      <x:c r="D7002" t="str">
        <x:v>Jennifer Braxton</x:v>
      </x:c>
      <x:c r="E7002" t="str">
        <x:v>Corporate</x:v>
      </x:c>
      <x:c r="F7002" t="str">
        <x:v>Central</x:v>
      </x:c>
      <x:c r="G7002" t="str">
        <x:v>Office Supplies</x:v>
      </x:c>
      <x:c r="H7002" t="str">
        <x:v>Paper</x:v>
      </x:c>
      <x:c r="I7002" s="22" t="n">
        <x:v>175.872</x:v>
      </x:c>
      <x:c r="J7002" s="24" t="n">
        <x:v>4</x:v>
      </x:c>
      <x:c r="K7002" s="26" t="n">
        <x:v>0.2</x:v>
      </x:c>
      <x:c r="L7002" s="22" t="n">
        <x:v>63.75359999999999</x:v>
      </x:c>
      <x:c r="M7002" t="n">
        <x:v>2017</x:v>
      </x:c>
      <x:c r="N7002" s="20" t="n">
        <x:v>43070</x:v>
      </x:c>
    </x:row>
    <x:row r="7003" ht="18" customHeight="1">
      <x:c r="A7003" t="str">
        <x:v>US-2016-134369</x:v>
      </x:c>
      <x:c r="B7003" s="18" t="n">
        <x:v>42629</x:v>
      </x:c>
      <x:c r="C7003" t="str">
        <x:v>BC-11125</x:v>
      </x:c>
      <x:c r="D7003" t="str">
        <x:v>Becky Castell</x:v>
      </x:c>
      <x:c r="E7003" t="str">
        <x:v>Home Office</x:v>
      </x:c>
      <x:c r="F7003" t="str">
        <x:v>West</x:v>
      </x:c>
      <x:c r="G7003" t="str">
        <x:v>Office Supplies</x:v>
      </x:c>
      <x:c r="H7003" t="str">
        <x:v>Paper</x:v>
      </x:c>
      <x:c r="I7003" s="22" t="n">
        <x:v>12.96</x:v>
      </x:c>
      <x:c r="J7003" s="24" t="n">
        <x:v>2</x:v>
      </x:c>
      <x:c r="K7003" s="26" t="n">
        <x:v>0</x:v>
      </x:c>
      <x:c r="L7003" s="22" t="n">
        <x:v>6.3504000000000005</x:v>
      </x:c>
      <x:c r="M7003" t="n">
        <x:v>2016</x:v>
      </x:c>
      <x:c r="N7003" s="20" t="n">
        <x:v>42614</x:v>
      </x:c>
    </x:row>
    <x:row r="7004" ht="18" customHeight="1">
      <x:c r="A7004" t="str">
        <x:v>CA-2017-123687</x:v>
      </x:c>
      <x:c r="B7004" s="18" t="n">
        <x:v>42881</x:v>
      </x:c>
      <x:c r="C7004" t="str">
        <x:v>KC-16675</x:v>
      </x:c>
      <x:c r="D7004" t="str">
        <x:v>Kimberly Carter</x:v>
      </x:c>
      <x:c r="E7004" t="str">
        <x:v>Corporate</x:v>
      </x:c>
      <x:c r="F7004" t="str">
        <x:v>South</x:v>
      </x:c>
      <x:c r="G7004" t="str">
        <x:v>Office Supplies</x:v>
      </x:c>
      <x:c r="H7004" t="str">
        <x:v>Appliances</x:v>
      </x:c>
      <x:c r="I7004" s="22" t="n">
        <x:v>208.44</x:v>
      </x:c>
      <x:c r="J7004" s="24" t="n">
        <x:v>3</x:v>
      </x:c>
      <x:c r="K7004" s="26" t="n">
        <x:v>0</x:v>
      </x:c>
      <x:c r="L7004" s="22" t="n">
        <x:v>62.53199999999998</x:v>
      </x:c>
      <x:c r="M7004" t="n">
        <x:v>2017</x:v>
      </x:c>
      <x:c r="N7004" s="20" t="n">
        <x:v>42856</x:v>
      </x:c>
    </x:row>
    <x:row r="7005" ht="18" customHeight="1">
      <x:c r="A7005" t="str">
        <x:v>CA-2017-123687</x:v>
      </x:c>
      <x:c r="B7005" s="18" t="n">
        <x:v>42881</x:v>
      </x:c>
      <x:c r="C7005" t="str">
        <x:v>KC-16675</x:v>
      </x:c>
      <x:c r="D7005" t="str">
        <x:v>Kimberly Carter</x:v>
      </x:c>
      <x:c r="E7005" t="str">
        <x:v>Corporate</x:v>
      </x:c>
      <x:c r="F7005" t="str">
        <x:v>South</x:v>
      </x:c>
      <x:c r="G7005" t="str">
        <x:v>Office Supplies</x:v>
      </x:c>
      <x:c r="H7005" t="str">
        <x:v>Supplies</x:v>
      </x:c>
      <x:c r="I7005" s="22" t="n">
        <x:v>25.76</x:v>
      </x:c>
      <x:c r="J7005" s="24" t="n">
        <x:v>2</x:v>
      </x:c>
      <x:c r="K7005" s="26" t="n">
        <x:v>0</x:v>
      </x:c>
      <x:c r="L7005" s="22" t="n">
        <x:v>0.7728000000000002</x:v>
      </x:c>
      <x:c r="M7005" t="n">
        <x:v>2017</x:v>
      </x:c>
      <x:c r="N7005" s="20" t="n">
        <x:v>42856</x:v>
      </x:c>
    </x:row>
    <x:row r="7006" ht="18" customHeight="1">
      <x:c r="A7006" t="str">
        <x:v>CA-2015-104871</x:v>
      </x:c>
      <x:c r="B7006" s="18" t="n">
        <x:v>42093</x:v>
      </x:c>
      <x:c r="C7006" t="str">
        <x:v>DR-12940</x:v>
      </x:c>
      <x:c r="D7006" t="str">
        <x:v>Daniel Raglin</x:v>
      </x:c>
      <x:c r="E7006" t="str">
        <x:v>Home Office</x:v>
      </x:c>
      <x:c r="F7006" t="str">
        <x:v>Central</x:v>
      </x:c>
      <x:c r="G7006" t="str">
        <x:v>Furniture</x:v>
      </x:c>
      <x:c r="H7006" t="str">
        <x:v>Chairs</x:v>
      </x:c>
      <x:c r="I7006" s="22" t="n">
        <x:v>366.74399999999997</x:v>
      </x:c>
      <x:c r="J7006" s="24" t="n">
        <x:v>4</x:v>
      </x:c>
      <x:c r="K7006" s="26" t="n">
        <x:v>0.3</x:v>
      </x:c>
      <x:c r="L7006" s="22" t="n">
        <x:v>-110.02320000000003</x:v>
      </x:c>
      <x:c r="M7006" t="n">
        <x:v>2015</x:v>
      </x:c>
      <x:c r="N7006" s="20" t="n">
        <x:v>42064</x:v>
      </x:c>
    </x:row>
    <x:row r="7007" ht="18" customHeight="1">
      <x:c r="A7007" t="str">
        <x:v>CA-2014-133158</x:v>
      </x:c>
      <x:c r="B7007" s="18" t="n">
        <x:v>41870</x:v>
      </x:c>
      <x:c r="C7007" t="str">
        <x:v>DW-13195</x:v>
      </x:c>
      <x:c r="D7007" t="str">
        <x:v>David Wiener</x:v>
      </x:c>
      <x:c r="E7007" t="str">
        <x:v>Corporate</x:v>
      </x:c>
      <x:c r="F7007" t="str">
        <x:v>West</x:v>
      </x:c>
      <x:c r="G7007" t="str">
        <x:v>Furniture</x:v>
      </x:c>
      <x:c r="H7007" t="str">
        <x:v>Furnishings</x:v>
      </x:c>
      <x:c r="I7007" s="22" t="n">
        <x:v>289.24</x:v>
      </x:c>
      <x:c r="J7007" s="24" t="n">
        <x:v>7</x:v>
      </x:c>
      <x:c r="K7007" s="26" t="n">
        <x:v>0</x:v>
      </x:c>
      <x:c r="L7007" s="22" t="n">
        <x:v>26.03160000000001</x:v>
      </x:c>
      <x:c r="M7007" t="n">
        <x:v>2014</x:v>
      </x:c>
      <x:c r="N7007" s="20" t="n">
        <x:v>41852</x:v>
      </x:c>
    </x:row>
    <x:row r="7008" ht="18" customHeight="1">
      <x:c r="A7008" t="str">
        <x:v>CA-2014-133158</x:v>
      </x:c>
      <x:c r="B7008" s="18" t="n">
        <x:v>41870</x:v>
      </x:c>
      <x:c r="C7008" t="str">
        <x:v>DW-13195</x:v>
      </x:c>
      <x:c r="D7008" t="str">
        <x:v>David Wiener</x:v>
      </x:c>
      <x:c r="E7008" t="str">
        <x:v>Corporate</x:v>
      </x:c>
      <x:c r="F7008" t="str">
        <x:v>West</x:v>
      </x:c>
      <x:c r="G7008" t="str">
        <x:v>Office Supplies</x:v>
      </x:c>
      <x:c r="H7008" t="str">
        <x:v>Binders</x:v>
      </x:c>
      <x:c r="I7008" s="22" t="n">
        <x:v>69.456</x:v>
      </x:c>
      <x:c r="J7008" s="24" t="n">
        <x:v>2</x:v>
      </x:c>
      <x:c r="K7008" s="26" t="n">
        <x:v>0.2</x:v>
      </x:c>
      <x:c r="L7008" s="22" t="n">
        <x:v>22.573199999999996</x:v>
      </x:c>
      <x:c r="M7008" t="n">
        <x:v>2014</x:v>
      </x:c>
      <x:c r="N7008" s="20" t="n">
        <x:v>41852</x:v>
      </x:c>
    </x:row>
    <x:row r="7009" ht="18" customHeight="1">
      <x:c r="A7009" t="str">
        <x:v>CA-2014-126333</x:v>
      </x:c>
      <x:c r="B7009" s="18" t="n">
        <x:v>41996</x:v>
      </x:c>
      <x:c r="C7009" t="str">
        <x:v>ME-18010</x:v>
      </x:c>
      <x:c r="D7009" t="str">
        <x:v>Michelle Ellison</x:v>
      </x:c>
      <x:c r="E7009" t="str">
        <x:v>Corporate</x:v>
      </x:c>
      <x:c r="F7009" t="str">
        <x:v>Central</x:v>
      </x:c>
      <x:c r="G7009" t="str">
        <x:v>Office Supplies</x:v>
      </x:c>
      <x:c r="H7009" t="str">
        <x:v>Paper</x:v>
      </x:c>
      <x:c r="I7009" s="22" t="n">
        <x:v>5.184000000000001</x:v>
      </x:c>
      <x:c r="J7009" s="24" t="n">
        <x:v>1</x:v>
      </x:c>
      <x:c r="K7009" s="26" t="n">
        <x:v>0.2</x:v>
      </x:c>
      <x:c r="L7009" s="22" t="n">
        <x:v>1.8144</x:v>
      </x:c>
      <x:c r="M7009" t="n">
        <x:v>2014</x:v>
      </x:c>
      <x:c r="N7009" s="20" t="n">
        <x:v>41974</x:v>
      </x:c>
    </x:row>
    <x:row r="7010" ht="18" customHeight="1">
      <x:c r="A7010" t="str">
        <x:v>CA-2015-141740</x:v>
      </x:c>
      <x:c r="B7010" s="18" t="n">
        <x:v>42309</x:v>
      </x:c>
      <x:c r="C7010" t="str">
        <x:v>JF-15490</x:v>
      </x:c>
      <x:c r="D7010" t="str">
        <x:v>Jeremy Farry</x:v>
      </x:c>
      <x:c r="E7010" t="str">
        <x:v>Consumer</x:v>
      </x:c>
      <x:c r="F7010" t="str">
        <x:v>East</x:v>
      </x:c>
      <x:c r="G7010" t="str">
        <x:v>Furniture</x:v>
      </x:c>
      <x:c r="H7010" t="str">
        <x:v>Chairs</x:v>
      </x:c>
      <x:c r="I7010" s="22" t="n">
        <x:v>205.16400000000002</x:v>
      </x:c>
      <x:c r="J7010" s="24" t="n">
        <x:v>2</x:v>
      </x:c>
      <x:c r="K7010" s="26" t="n">
        <x:v>0.1</x:v>
      </x:c>
      <x:c r="L7010" s="22" t="n">
        <x:v>13.677600000000002</x:v>
      </x:c>
      <x:c r="M7010" t="n">
        <x:v>2015</x:v>
      </x:c>
      <x:c r="N7010" s="20" t="n">
        <x:v>42309</x:v>
      </x:c>
    </x:row>
    <x:row r="7011" ht="18" customHeight="1">
      <x:c r="A7011" t="str">
        <x:v>CA-2014-119466</x:v>
      </x:c>
      <x:c r="B7011" s="18" t="n">
        <x:v>41988</x:v>
      </x:c>
      <x:c r="C7011" t="str">
        <x:v>SP-20860</x:v>
      </x:c>
      <x:c r="D7011" t="str">
        <x:v>Sung Pak</x:v>
      </x:c>
      <x:c r="E7011" t="str">
        <x:v>Corporate</x:v>
      </x:c>
      <x:c r="F7011" t="str">
        <x:v>Central</x:v>
      </x:c>
      <x:c r="G7011" t="str">
        <x:v>Furniture</x:v>
      </x:c>
      <x:c r="H7011" t="str">
        <x:v>Furnishings</x:v>
      </x:c>
      <x:c r="I7011" s="22" t="n">
        <x:v>8.544</x:v>
      </x:c>
      <x:c r="J7011" s="24" t="n">
        <x:v>2</x:v>
      </x:c>
      <x:c r="K7011" s="26" t="n">
        <x:v>0.6</x:v>
      </x:c>
      <x:c r="L7011" s="22" t="n">
        <x:v>-7.475999999999999</x:v>
      </x:c>
      <x:c r="M7011" t="n">
        <x:v>2014</x:v>
      </x:c>
      <x:c r="N7011" s="20" t="n">
        <x:v>41974</x:v>
      </x:c>
    </x:row>
    <x:row r="7012" ht="18" customHeight="1">
      <x:c r="A7012" t="str">
        <x:v>CA-2015-154823</x:v>
      </x:c>
      <x:c r="B7012" s="18" t="n">
        <x:v>42237</x:v>
      </x:c>
      <x:c r="C7012" t="str">
        <x:v>KN-16390</x:v>
      </x:c>
      <x:c r="D7012" t="str">
        <x:v>Katherine Nockton</x:v>
      </x:c>
      <x:c r="E7012" t="str">
        <x:v>Corporate</x:v>
      </x:c>
      <x:c r="F7012" t="str">
        <x:v>East</x:v>
      </x:c>
      <x:c r="G7012" t="str">
        <x:v>Office Supplies</x:v>
      </x:c>
      <x:c r="H7012" t="str">
        <x:v>Binders</x:v>
      </x:c>
      <x:c r="I7012" s="22" t="n">
        <x:v>12.828000000000001</x:v>
      </x:c>
      <x:c r="J7012" s="24" t="n">
        <x:v>2</x:v>
      </x:c>
      <x:c r="K7012" s="26" t="n">
        <x:v>0.7</x:v>
      </x:c>
      <x:c r="L7012" s="22" t="n">
        <x:v>-8.979599999999998</x:v>
      </x:c>
      <x:c r="M7012" t="n">
        <x:v>2015</x:v>
      </x:c>
      <x:c r="N7012" s="20" t="n">
        <x:v>42217</x:v>
      </x:c>
    </x:row>
    <x:row r="7013" ht="18" customHeight="1">
      <x:c r="A7013" t="str">
        <x:v>CA-2015-154823</x:v>
      </x:c>
      <x:c r="B7013" s="18" t="n">
        <x:v>42237</x:v>
      </x:c>
      <x:c r="C7013" t="str">
        <x:v>KN-16390</x:v>
      </x:c>
      <x:c r="D7013" t="str">
        <x:v>Katherine Nockton</x:v>
      </x:c>
      <x:c r="E7013" t="str">
        <x:v>Corporate</x:v>
      </x:c>
      <x:c r="F7013" t="str">
        <x:v>East</x:v>
      </x:c>
      <x:c r="G7013" t="str">
        <x:v>Furniture</x:v>
      </x:c>
      <x:c r="H7013" t="str">
        <x:v>Chairs</x:v>
      </x:c>
      <x:c r="I7013" s="22" t="n">
        <x:v>598.458</x:v>
      </x:c>
      <x:c r="J7013" s="24" t="n">
        <x:v>3</x:v>
      </x:c>
      <x:c r="K7013" s="26" t="n">
        <x:v>0.3</x:v>
      </x:c>
      <x:c r="L7013" s="22" t="n">
        <x:v>-42.74699999999996</x:v>
      </x:c>
      <x:c r="M7013" t="n">
        <x:v>2015</x:v>
      </x:c>
      <x:c r="N7013" s="20" t="n">
        <x:v>42217</x:v>
      </x:c>
    </x:row>
    <x:row r="7014" ht="18" customHeight="1">
      <x:c r="A7014" t="str">
        <x:v>CA-2015-154823</x:v>
      </x:c>
      <x:c r="B7014" s="18" t="n">
        <x:v>42237</x:v>
      </x:c>
      <x:c r="C7014" t="str">
        <x:v>KN-16390</x:v>
      </x:c>
      <x:c r="D7014" t="str">
        <x:v>Katherine Nockton</x:v>
      </x:c>
      <x:c r="E7014" t="str">
        <x:v>Corporate</x:v>
      </x:c>
      <x:c r="F7014" t="str">
        <x:v>East</x:v>
      </x:c>
      <x:c r="G7014" t="str">
        <x:v>Furniture</x:v>
      </x:c>
      <x:c r="H7014" t="str">
        <x:v>Furnishings</x:v>
      </x:c>
      <x:c r="I7014" s="22" t="n">
        <x:v>25.983999999999998</x:v>
      </x:c>
      <x:c r="J7014" s="24" t="n">
        <x:v>1</x:v>
      </x:c>
      <x:c r="K7014" s="26" t="n">
        <x:v>0.2</x:v>
      </x:c>
      <x:c r="L7014" s="22" t="n">
        <x:v>-3.8976000000000015</x:v>
      </x:c>
      <x:c r="M7014" t="n">
        <x:v>2015</x:v>
      </x:c>
      <x:c r="N7014" s="20" t="n">
        <x:v>42217</x:v>
      </x:c>
    </x:row>
    <x:row r="7015" ht="18" customHeight="1">
      <x:c r="A7015" t="str">
        <x:v>US-2014-135881</x:v>
      </x:c>
      <x:c r="B7015" s="18" t="n">
        <x:v>41782</x:v>
      </x:c>
      <x:c r="C7015" t="str">
        <x:v>GT-14710</x:v>
      </x:c>
      <x:c r="D7015" t="str">
        <x:v>Greg Tran</x:v>
      </x:c>
      <x:c r="E7015" t="str">
        <x:v>Consumer</x:v>
      </x:c>
      <x:c r="F7015" t="str">
        <x:v>East</x:v>
      </x:c>
      <x:c r="G7015" t="str">
        <x:v>Office Supplies</x:v>
      </x:c>
      <x:c r="H7015" t="str">
        <x:v>Binders</x:v>
      </x:c>
      <x:c r="I7015" s="22" t="n">
        <x:v>17.96</x:v>
      </x:c>
      <x:c r="J7015" s="24" t="n">
        <x:v>5</x:v>
      </x:c>
      <x:c r="K7015" s="26" t="n">
        <x:v>0.2</x:v>
      </x:c>
      <x:c r="L7015" s="22" t="n">
        <x:v>5.837</x:v>
      </x:c>
      <x:c r="M7015" t="n">
        <x:v>2014</x:v>
      </x:c>
      <x:c r="N7015" s="20" t="n">
        <x:v>41760</x:v>
      </x:c>
    </x:row>
    <x:row r="7016" ht="18" customHeight="1">
      <x:c r="A7016" t="str">
        <x:v>US-2014-135881</x:v>
      </x:c>
      <x:c r="B7016" s="18" t="n">
        <x:v>41782</x:v>
      </x:c>
      <x:c r="C7016" t="str">
        <x:v>GT-14710</x:v>
      </x:c>
      <x:c r="D7016" t="str">
        <x:v>Greg Tran</x:v>
      </x:c>
      <x:c r="E7016" t="str">
        <x:v>Consumer</x:v>
      </x:c>
      <x:c r="F7016" t="str">
        <x:v>East</x:v>
      </x:c>
      <x:c r="G7016" t="str">
        <x:v>Office Supplies</x:v>
      </x:c>
      <x:c r="H7016" t="str">
        <x:v>Supplies</x:v>
      </x:c>
      <x:c r="I7016" s="22" t="n">
        <x:v>5.04</x:v>
      </x:c>
      <x:c r="J7016" s="24" t="n">
        <x:v>2</x:v>
      </x:c>
      <x:c r="K7016" s="26" t="n">
        <x:v>0</x:v>
      </x:c>
      <x:c r="L7016" s="22" t="n">
        <x:v>0.15120000000000022</x:v>
      </x:c>
      <x:c r="M7016" t="n">
        <x:v>2014</x:v>
      </x:c>
      <x:c r="N7016" s="20" t="n">
        <x:v>41760</x:v>
      </x:c>
    </x:row>
    <x:row r="7017" ht="18" customHeight="1">
      <x:c r="A7017" t="str">
        <x:v>US-2014-135881</x:v>
      </x:c>
      <x:c r="B7017" s="18" t="n">
        <x:v>41782</x:v>
      </x:c>
      <x:c r="C7017" t="str">
        <x:v>GT-14710</x:v>
      </x:c>
      <x:c r="D7017" t="str">
        <x:v>Greg Tran</x:v>
      </x:c>
      <x:c r="E7017" t="str">
        <x:v>Consumer</x:v>
      </x:c>
      <x:c r="F7017" t="str">
        <x:v>East</x:v>
      </x:c>
      <x:c r="G7017" t="str">
        <x:v>Office Supplies</x:v>
      </x:c>
      <x:c r="H7017" t="str">
        <x:v>Appliances</x:v>
      </x:c>
      <x:c r="I7017" s="22" t="n">
        <x:v>208.16</x:v>
      </x:c>
      <x:c r="J7017" s="24" t="n">
        <x:v>1</x:v>
      </x:c>
      <x:c r="K7017" s="26" t="n">
        <x:v>0</x:v>
      </x:c>
      <x:c r="L7017" s="22" t="n">
        <x:v>56.20320000000001</x:v>
      </x:c>
      <x:c r="M7017" t="n">
        <x:v>2014</x:v>
      </x:c>
      <x:c r="N7017" s="20" t="n">
        <x:v>41760</x:v>
      </x:c>
    </x:row>
    <x:row r="7018" ht="18" customHeight="1">
      <x:c r="A7018" t="str">
        <x:v>CA-2017-141201</x:v>
      </x:c>
      <x:c r="B7018" s="18" t="n">
        <x:v>43078</x:v>
      </x:c>
      <x:c r="C7018" t="str">
        <x:v>DB-12910</x:v>
      </x:c>
      <x:c r="D7018" t="str">
        <x:v>Daniel Byrd</x:v>
      </x:c>
      <x:c r="E7018" t="str">
        <x:v>Home Office</x:v>
      </x:c>
      <x:c r="F7018" t="str">
        <x:v>West</x:v>
      </x:c>
      <x:c r="G7018" t="str">
        <x:v>Furniture</x:v>
      </x:c>
      <x:c r="H7018" t="str">
        <x:v>Bookcases</x:v>
      </x:c>
      <x:c r="I7018" s="22" t="n">
        <x:v>148.257</x:v>
      </x:c>
      <x:c r="J7018" s="24" t="n">
        <x:v>3</x:v>
      </x:c>
      <x:c r="K7018" s="26" t="n">
        <x:v>0.15</x:v>
      </x:c>
      <x:c r="L7018" s="22" t="n">
        <x:v>15.697800000000004</x:v>
      </x:c>
      <x:c r="M7018" t="n">
        <x:v>2017</x:v>
      </x:c>
      <x:c r="N7018" s="20" t="n">
        <x:v>43070</x:v>
      </x:c>
    </x:row>
    <x:row r="7019" ht="18" customHeight="1">
      <x:c r="A7019" t="str">
        <x:v>CA-2014-114790</x:v>
      </x:c>
      <x:c r="B7019" s="18" t="n">
        <x:v>41709</x:v>
      </x:c>
      <x:c r="C7019" t="str">
        <x:v>FM-14215</x:v>
      </x:c>
      <x:c r="D7019" t="str">
        <x:v>Filia McAdams</x:v>
      </x:c>
      <x:c r="E7019" t="str">
        <x:v>Corporate</x:v>
      </x:c>
      <x:c r="F7019" t="str">
        <x:v>South</x:v>
      </x:c>
      <x:c r="G7019" t="str">
        <x:v>Office Supplies</x:v>
      </x:c>
      <x:c r="H7019" t="str">
        <x:v>Appliances</x:v>
      </x:c>
      <x:c r="I7019" s="22" t="n">
        <x:v>146.76</x:v>
      </x:c>
      <x:c r="J7019" s="24" t="n">
        <x:v>3</x:v>
      </x:c>
      <x:c r="K7019" s="26" t="n">
        <x:v>0</x:v>
      </x:c>
      <x:c r="L7019" s="22" t="n">
        <x:v>38.1576</x:v>
      </x:c>
      <x:c r="M7019" t="n">
        <x:v>2014</x:v>
      </x:c>
      <x:c r="N7019" s="20" t="n">
        <x:v>41699</x:v>
      </x:c>
    </x:row>
    <x:row r="7020" ht="18" customHeight="1">
      <x:c r="A7020" t="str">
        <x:v>CA-2014-114790</x:v>
      </x:c>
      <x:c r="B7020" s="18" t="n">
        <x:v>41709</x:v>
      </x:c>
      <x:c r="C7020" t="str">
        <x:v>FM-14215</x:v>
      </x:c>
      <x:c r="D7020" t="str">
        <x:v>Filia McAdams</x:v>
      </x:c>
      <x:c r="E7020" t="str">
        <x:v>Corporate</x:v>
      </x:c>
      <x:c r="F7020" t="str">
        <x:v>South</x:v>
      </x:c>
      <x:c r="G7020" t="str">
        <x:v>Technology</x:v>
      </x:c>
      <x:c r="H7020" t="str">
        <x:v>Accessories</x:v>
      </x:c>
      <x:c r="I7020" s="22" t="n">
        <x:v>32.96</x:v>
      </x:c>
      <x:c r="J7020" s="24" t="n">
        <x:v>2</x:v>
      </x:c>
      <x:c r="K7020" s="26" t="n">
        <x:v>0</x:v>
      </x:c>
      <x:c r="L7020" s="22" t="n">
        <x:v>14.172800000000002</x:v>
      </x:c>
      <x:c r="M7020" t="n">
        <x:v>2014</x:v>
      </x:c>
      <x:c r="N7020" s="20" t="n">
        <x:v>41699</x:v>
      </x:c>
    </x:row>
    <x:row r="7021" ht="18" customHeight="1">
      <x:c r="A7021" t="str">
        <x:v>CA-2014-114790</x:v>
      </x:c>
      <x:c r="B7021" s="18" t="n">
        <x:v>41709</x:v>
      </x:c>
      <x:c r="C7021" t="str">
        <x:v>FM-14215</x:v>
      </x:c>
      <x:c r="D7021" t="str">
        <x:v>Filia McAdams</x:v>
      </x:c>
      <x:c r="E7021" t="str">
        <x:v>Corporate</x:v>
      </x:c>
      <x:c r="F7021" t="str">
        <x:v>South</x:v>
      </x:c>
      <x:c r="G7021" t="str">
        <x:v>Technology</x:v>
      </x:c>
      <x:c r="H7021" t="str">
        <x:v>Phones</x:v>
      </x:c>
      <x:c r="I7021" s="22" t="n">
        <x:v>587.97</x:v>
      </x:c>
      <x:c r="J7021" s="24" t="n">
        <x:v>3</x:v>
      </x:c>
      <x:c r="K7021" s="26" t="n">
        <x:v>0</x:v>
      </x:c>
      <x:c r="L7021" s="22" t="n">
        <x:v>164.63160000000005</x:v>
      </x:c>
      <x:c r="M7021" t="n">
        <x:v>2014</x:v>
      </x:c>
      <x:c r="N7021" s="20" t="n">
        <x:v>41699</x:v>
      </x:c>
    </x:row>
    <x:row r="7022" ht="18" customHeight="1">
      <x:c r="A7022" t="str">
        <x:v>CA-2014-114790</x:v>
      </x:c>
      <x:c r="B7022" s="18" t="n">
        <x:v>41709</x:v>
      </x:c>
      <x:c r="C7022" t="str">
        <x:v>FM-14215</x:v>
      </x:c>
      <x:c r="D7022" t="str">
        <x:v>Filia McAdams</x:v>
      </x:c>
      <x:c r="E7022" t="str">
        <x:v>Corporate</x:v>
      </x:c>
      <x:c r="F7022" t="str">
        <x:v>South</x:v>
      </x:c>
      <x:c r="G7022" t="str">
        <x:v>Office Supplies</x:v>
      </x:c>
      <x:c r="H7022" t="str">
        <x:v>Paper</x:v>
      </x:c>
      <x:c r="I7022" s="22" t="n">
        <x:v>14.940000000000001</x:v>
      </x:c>
      <x:c r="J7022" s="24" t="n">
        <x:v>3</x:v>
      </x:c>
      <x:c r="K7022" s="26" t="n">
        <x:v>0</x:v>
      </x:c>
      <x:c r="L7022" s="22" t="n">
        <x:v>7.021800000000001</x:v>
      </x:c>
      <x:c r="M7022" t="n">
        <x:v>2014</x:v>
      </x:c>
      <x:c r="N7022" s="20" t="n">
        <x:v>41699</x:v>
      </x:c>
    </x:row>
    <x:row r="7023" ht="18" customHeight="1">
      <x:c r="A7023" t="str">
        <x:v>US-2016-154256</x:v>
      </x:c>
      <x:c r="B7023" s="18" t="n">
        <x:v>42544</x:v>
      </x:c>
      <x:c r="C7023" t="str">
        <x:v>SM-20005</x:v>
      </x:c>
      <x:c r="D7023" t="str">
        <x:v>Sally Matthias</x:v>
      </x:c>
      <x:c r="E7023" t="str">
        <x:v>Consumer</x:v>
      </x:c>
      <x:c r="F7023" t="str">
        <x:v>East</x:v>
      </x:c>
      <x:c r="G7023" t="str">
        <x:v>Office Supplies</x:v>
      </x:c>
      <x:c r="H7023" t="str">
        <x:v>Labels</x:v>
      </x:c>
      <x:c r="I7023" s="22" t="n">
        <x:v>25.83</x:v>
      </x:c>
      <x:c r="J7023" s="24" t="n">
        <x:v>7</x:v>
      </x:c>
      <x:c r="K7023" s="26" t="n">
        <x:v>0</x:v>
      </x:c>
      <x:c r="L7023" s="22" t="n">
        <x:v>12.1401</x:v>
      </x:c>
      <x:c r="M7023" t="n">
        <x:v>2016</x:v>
      </x:c>
      <x:c r="N7023" s="20" t="n">
        <x:v>42522</x:v>
      </x:c>
    </x:row>
    <x:row r="7024" ht="18" customHeight="1">
      <x:c r="A7024" t="str">
        <x:v>CA-2014-124737</x:v>
      </x:c>
      <x:c r="B7024" s="18" t="n">
        <x:v>41874</x:v>
      </x:c>
      <x:c r="C7024" t="str">
        <x:v>AP-10915</x:v>
      </x:c>
      <x:c r="D7024" t="str">
        <x:v>Arthur Prichep</x:v>
      </x:c>
      <x:c r="E7024" t="str">
        <x:v>Consumer</x:v>
      </x:c>
      <x:c r="F7024" t="str">
        <x:v>West</x:v>
      </x:c>
      <x:c r="G7024" t="str">
        <x:v>Office Supplies</x:v>
      </x:c>
      <x:c r="H7024" t="str">
        <x:v>Paper</x:v>
      </x:c>
      <x:c r="I7024" s="22" t="n">
        <x:v>15.552000000000003</x:v>
      </x:c>
      <x:c r="J7024" s="24" t="n">
        <x:v>3</x:v>
      </x:c>
      <x:c r="K7024" s="26" t="n">
        <x:v>0.2</x:v>
      </x:c>
      <x:c r="L7024" s="22" t="n">
        <x:v>5.4432</x:v>
      </x:c>
      <x:c r="M7024" t="n">
        <x:v>2014</x:v>
      </x:c>
      <x:c r="N7024" s="20" t="n">
        <x:v>41852</x:v>
      </x:c>
    </x:row>
    <x:row r="7025" ht="18" customHeight="1">
      <x:c r="A7025" t="str">
        <x:v>CA-2014-124737</x:v>
      </x:c>
      <x:c r="B7025" s="18" t="n">
        <x:v>41874</x:v>
      </x:c>
      <x:c r="C7025" t="str">
        <x:v>AP-10915</x:v>
      </x:c>
      <x:c r="D7025" t="str">
        <x:v>Arthur Prichep</x:v>
      </x:c>
      <x:c r="E7025" t="str">
        <x:v>Consumer</x:v>
      </x:c>
      <x:c r="F7025" t="str">
        <x:v>West</x:v>
      </x:c>
      <x:c r="G7025" t="str">
        <x:v>Office Supplies</x:v>
      </x:c>
      <x:c r="H7025" t="str">
        <x:v>Supplies</x:v>
      </x:c>
      <x:c r="I7025" s="22" t="n">
        <x:v>6.800000000000001</x:v>
      </x:c>
      <x:c r="J7025" s="24" t="n">
        <x:v>1</x:v>
      </x:c>
      <x:c r="K7025" s="26" t="n">
        <x:v>0.2</x:v>
      </x:c>
      <x:c r="L7025" s="22" t="n">
        <x:v>0.5099999999999998</x:v>
      </x:c>
      <x:c r="M7025" t="n">
        <x:v>2014</x:v>
      </x:c>
      <x:c r="N7025" s="20" t="n">
        <x:v>41852</x:v>
      </x:c>
    </x:row>
    <x:row r="7026" ht="18" customHeight="1">
      <x:c r="A7026" t="str">
        <x:v>CA-2014-124737</x:v>
      </x:c>
      <x:c r="B7026" s="18" t="n">
        <x:v>41874</x:v>
      </x:c>
      <x:c r="C7026" t="str">
        <x:v>AP-10915</x:v>
      </x:c>
      <x:c r="D7026" t="str">
        <x:v>Arthur Prichep</x:v>
      </x:c>
      <x:c r="E7026" t="str">
        <x:v>Consumer</x:v>
      </x:c>
      <x:c r="F7026" t="str">
        <x:v>West</x:v>
      </x:c>
      <x:c r="G7026" t="str">
        <x:v>Furniture</x:v>
      </x:c>
      <x:c r="H7026" t="str">
        <x:v>Furnishings</x:v>
      </x:c>
      <x:c r="I7026" s="22" t="n">
        <x:v>4.224</x:v>
      </x:c>
      <x:c r="J7026" s="24" t="n">
        <x:v>3</x:v>
      </x:c>
      <x:c r="K7026" s="26" t="n">
        <x:v>0.2</x:v>
      </x:c>
      <x:c r="L7026" s="22" t="n">
        <x:v>1.2672000000000003</x:v>
      </x:c>
      <x:c r="M7026" t="n">
        <x:v>2014</x:v>
      </x:c>
      <x:c r="N7026" s="20" t="n">
        <x:v>41852</x:v>
      </x:c>
    </x:row>
    <x:row r="7027" ht="18" customHeight="1">
      <x:c r="A7027" t="str">
        <x:v>CA-2014-124737</x:v>
      </x:c>
      <x:c r="B7027" s="18" t="n">
        <x:v>41874</x:v>
      </x:c>
      <x:c r="C7027" t="str">
        <x:v>AP-10915</x:v>
      </x:c>
      <x:c r="D7027" t="str">
        <x:v>Arthur Prichep</x:v>
      </x:c>
      <x:c r="E7027" t="str">
        <x:v>Consumer</x:v>
      </x:c>
      <x:c r="F7027" t="str">
        <x:v>West</x:v>
      </x:c>
      <x:c r="G7027" t="str">
        <x:v>Technology</x:v>
      </x:c>
      <x:c r="H7027" t="str">
        <x:v>Phones</x:v>
      </x:c>
      <x:c r="I7027" s="22" t="n">
        <x:v>143.64000000000001</x:v>
      </x:c>
      <x:c r="J7027" s="24" t="n">
        <x:v>9</x:v>
      </x:c>
      <x:c r="K7027" s="26" t="n">
        <x:v>0.2</x:v>
      </x:c>
      <x:c r="L7027" s="22" t="n">
        <x:v>10.772999999999989</x:v>
      </x:c>
      <x:c r="M7027" t="n">
        <x:v>2014</x:v>
      </x:c>
      <x:c r="N7027" s="20" t="n">
        <x:v>41852</x:v>
      </x:c>
    </x:row>
    <x:row r="7028" ht="18" customHeight="1">
      <x:c r="A7028" t="str">
        <x:v>CA-2014-124737</x:v>
      </x:c>
      <x:c r="B7028" s="18" t="n">
        <x:v>41874</x:v>
      </x:c>
      <x:c r="C7028" t="str">
        <x:v>AP-10915</x:v>
      </x:c>
      <x:c r="D7028" t="str">
        <x:v>Arthur Prichep</x:v>
      </x:c>
      <x:c r="E7028" t="str">
        <x:v>Consumer</x:v>
      </x:c>
      <x:c r="F7028" t="str">
        <x:v>West</x:v>
      </x:c>
      <x:c r="G7028" t="str">
        <x:v>Office Supplies</x:v>
      </x:c>
      <x:c r="H7028" t="str">
        <x:v>Paper</x:v>
      </x:c>
      <x:c r="I7028" s="22" t="n">
        <x:v>31.104000000000006</x:v>
      </x:c>
      <x:c r="J7028" s="24" t="n">
        <x:v>6</x:v>
      </x:c>
      <x:c r="K7028" s="26" t="n">
        <x:v>0.2</x:v>
      </x:c>
      <x:c r="L7028" s="22" t="n">
        <x:v>10.8864</x:v>
      </x:c>
      <x:c r="M7028" t="n">
        <x:v>2014</x:v>
      </x:c>
      <x:c r="N7028" s="20" t="n">
        <x:v>41852</x:v>
      </x:c>
    </x:row>
    <x:row r="7029" ht="18" customHeight="1">
      <x:c r="A7029" t="str">
        <x:v>CA-2014-124737</x:v>
      </x:c>
      <x:c r="B7029" s="18" t="n">
        <x:v>41874</x:v>
      </x:c>
      <x:c r="C7029" t="str">
        <x:v>AP-10915</x:v>
      </x:c>
      <x:c r="D7029" t="str">
        <x:v>Arthur Prichep</x:v>
      </x:c>
      <x:c r="E7029" t="str">
        <x:v>Consumer</x:v>
      </x:c>
      <x:c r="F7029" t="str">
        <x:v>West</x:v>
      </x:c>
      <x:c r="G7029" t="str">
        <x:v>Office Supplies</x:v>
      </x:c>
      <x:c r="H7029" t="str">
        <x:v>Paper</x:v>
      </x:c>
      <x:c r="I7029" s="22" t="n">
        <x:v>223.056</x:v>
      </x:c>
      <x:c r="J7029" s="24" t="n">
        <x:v>9</x:v>
      </x:c>
      <x:c r="K7029" s="26" t="n">
        <x:v>0.2</x:v>
      </x:c>
      <x:c r="L7029" s="22" t="n">
        <x:v>69.70499999999998</x:v>
      </x:c>
      <x:c r="M7029" t="n">
        <x:v>2014</x:v>
      </x:c>
      <x:c r="N7029" s="20" t="n">
        <x:v>41852</x:v>
      </x:c>
    </x:row>
    <x:row r="7030" ht="18" customHeight="1">
      <x:c r="A7030" t="str">
        <x:v>US-2017-101840</x:v>
      </x:c>
      <x:c r="B7030" s="18" t="n">
        <x:v>42772</x:v>
      </x:c>
      <x:c r="C7030" t="str">
        <x:v>SP-20545</x:v>
      </x:c>
      <x:c r="D7030" t="str">
        <x:v>Sibella Parks</x:v>
      </x:c>
      <x:c r="E7030" t="str">
        <x:v>Corporate</x:v>
      </x:c>
      <x:c r="F7030" t="str">
        <x:v>East</x:v>
      </x:c>
      <x:c r="G7030" t="str">
        <x:v>Technology</x:v>
      </x:c>
      <x:c r="H7030" t="str">
        <x:v>Phones</x:v>
      </x:c>
      <x:c r="I7030" s="22" t="n">
        <x:v>227.45999999999998</x:v>
      </x:c>
      <x:c r="J7030" s="24" t="n">
        <x:v>6</x:v>
      </x:c>
      <x:c r="K7030" s="26" t="n">
        <x:v>0</x:v>
      </x:c>
      <x:c r="L7030" s="22" t="n">
        <x:v>65.96339999999998</x:v>
      </x:c>
      <x:c r="M7030" t="n">
        <x:v>2017</x:v>
      </x:c>
      <x:c r="N7030" s="20" t="n">
        <x:v>42767</x:v>
      </x:c>
    </x:row>
    <x:row r="7031" ht="18" customHeight="1">
      <x:c r="A7031" t="str">
        <x:v>US-2017-101840</x:v>
      </x:c>
      <x:c r="B7031" s="18" t="n">
        <x:v>42772</x:v>
      </x:c>
      <x:c r="C7031" t="str">
        <x:v>SP-20545</x:v>
      </x:c>
      <x:c r="D7031" t="str">
        <x:v>Sibella Parks</x:v>
      </x:c>
      <x:c r="E7031" t="str">
        <x:v>Corporate</x:v>
      </x:c>
      <x:c r="F7031" t="str">
        <x:v>East</x:v>
      </x:c>
      <x:c r="G7031" t="str">
        <x:v>Office Supplies</x:v>
      </x:c>
      <x:c r="H7031" t="str">
        <x:v>Binders</x:v>
      </x:c>
      <x:c r="I7031" s="22" t="n">
        <x:v>46.24</x:v>
      </x:c>
      <x:c r="J7031" s="24" t="n">
        <x:v>4</x:v>
      </x:c>
      <x:c r="K7031" s="26" t="n">
        <x:v>0.2</x:v>
      </x:c>
      <x:c r="L7031" s="22" t="n">
        <x:v>15.605999999999996</x:v>
      </x:c>
      <x:c r="M7031" t="n">
        <x:v>2017</x:v>
      </x:c>
      <x:c r="N7031" s="20" t="n">
        <x:v>42767</x:v>
      </x:c>
    </x:row>
    <x:row r="7032" ht="18" customHeight="1">
      <x:c r="A7032" t="str">
        <x:v>CA-2017-131653</x:v>
      </x:c>
      <x:c r="B7032" s="18" t="n">
        <x:v>42764</x:v>
      </x:c>
      <x:c r="C7032" t="str">
        <x:v>RD-19585</x:v>
      </x:c>
      <x:c r="D7032" t="str">
        <x:v>Rob Dowd</x:v>
      </x:c>
      <x:c r="E7032" t="str">
        <x:v>Consumer</x:v>
      </x:c>
      <x:c r="F7032" t="str">
        <x:v>East</x:v>
      </x:c>
      <x:c r="G7032" t="str">
        <x:v>Office Supplies</x:v>
      </x:c>
      <x:c r="H7032" t="str">
        <x:v>Labels</x:v>
      </x:c>
      <x:c r="I7032" s="22" t="n">
        <x:v>5.22</x:v>
      </x:c>
      <x:c r="J7032" s="24" t="n">
        <x:v>2</x:v>
      </x:c>
      <x:c r="K7032" s="26" t="n">
        <x:v>0</x:v>
      </x:c>
      <x:c r="L7032" s="22" t="n">
        <x:v>2.4012</x:v>
      </x:c>
      <x:c r="M7032" t="n">
        <x:v>2017</x:v>
      </x:c>
      <x:c r="N7032" s="20" t="n">
        <x:v>42736</x:v>
      </x:c>
    </x:row>
    <x:row r="7033" ht="18" customHeight="1">
      <x:c r="A7033" t="str">
        <x:v>US-2016-157840</x:v>
      </x:c>
      <x:c r="B7033" s="18" t="n">
        <x:v>42724</x:v>
      </x:c>
      <x:c r="C7033" t="str">
        <x:v>MC-17575</x:v>
      </x:c>
      <x:c r="D7033" t="str">
        <x:v>Matt Collins</x:v>
      </x:c>
      <x:c r="E7033" t="str">
        <x:v>Consumer</x:v>
      </x:c>
      <x:c r="F7033" t="str">
        <x:v>Central</x:v>
      </x:c>
      <x:c r="G7033" t="str">
        <x:v>Office Supplies</x:v>
      </x:c>
      <x:c r="H7033" t="str">
        <x:v>Paper</x:v>
      </x:c>
      <x:c r="I7033" s="22" t="n">
        <x:v>33.9</x:v>
      </x:c>
      <x:c r="J7033" s="24" t="n">
        <x:v>5</x:v>
      </x:c>
      <x:c r="K7033" s="26" t="n">
        <x:v>0</x:v>
      </x:c>
      <x:c r="L7033" s="22" t="n">
        <x:v>15.594</x:v>
      </x:c>
      <x:c r="M7033" t="n">
        <x:v>2016</x:v>
      </x:c>
      <x:c r="N7033" s="20" t="n">
        <x:v>42705</x:v>
      </x:c>
    </x:row>
    <x:row r="7034" ht="18" customHeight="1">
      <x:c r="A7034" t="str">
        <x:v>CA-2016-145548</x:v>
      </x:c>
      <x:c r="B7034" s="18" t="n">
        <x:v>42685</x:v>
      </x:c>
      <x:c r="C7034" t="str">
        <x:v>EB-13750</x:v>
      </x:c>
      <x:c r="D7034" t="str">
        <x:v>Edward Becker</x:v>
      </x:c>
      <x:c r="E7034" t="str">
        <x:v>Corporate</x:v>
      </x:c>
      <x:c r="F7034" t="str">
        <x:v>East</x:v>
      </x:c>
      <x:c r="G7034" t="str">
        <x:v>Office Supplies</x:v>
      </x:c>
      <x:c r="H7034" t="str">
        <x:v>Storage</x:v>
      </x:c>
      <x:c r="I7034" s="22" t="n">
        <x:v>28.14</x:v>
      </x:c>
      <x:c r="J7034" s="24" t="n">
        <x:v>3</x:v>
      </x:c>
      <x:c r="K7034" s="26" t="n">
        <x:v>0</x:v>
      </x:c>
      <x:c r="L7034" s="22" t="n">
        <x:v>7.879200000000001</x:v>
      </x:c>
      <x:c r="M7034" t="n">
        <x:v>2016</x:v>
      </x:c>
      <x:c r="N7034" s="20" t="n">
        <x:v>42675</x:v>
      </x:c>
    </x:row>
    <x:row r="7035" ht="18" customHeight="1">
      <x:c r="A7035" t="str">
        <x:v>CA-2016-145548</x:v>
      </x:c>
      <x:c r="B7035" s="18" t="n">
        <x:v>42685</x:v>
      </x:c>
      <x:c r="C7035" t="str">
        <x:v>EB-13750</x:v>
      </x:c>
      <x:c r="D7035" t="str">
        <x:v>Edward Becker</x:v>
      </x:c>
      <x:c r="E7035" t="str">
        <x:v>Corporate</x:v>
      </x:c>
      <x:c r="F7035" t="str">
        <x:v>East</x:v>
      </x:c>
      <x:c r="G7035" t="str">
        <x:v>Technology</x:v>
      </x:c>
      <x:c r="H7035" t="str">
        <x:v>Accessories</x:v>
      </x:c>
      <x:c r="I7035" s="22" t="n">
        <x:v>36</x:v>
      </x:c>
      <x:c r="J7035" s="24" t="n">
        <x:v>2</x:v>
      </x:c>
      <x:c r="K7035" s="26" t="n">
        <x:v>0</x:v>
      </x:c>
      <x:c r="L7035" s="22" t="n">
        <x:v>6.479999999999997</x:v>
      </x:c>
      <x:c r="M7035" t="n">
        <x:v>2016</x:v>
      </x:c>
      <x:c r="N7035" s="20" t="n">
        <x:v>42675</x:v>
      </x:c>
    </x:row>
    <x:row r="7036" ht="18" customHeight="1">
      <x:c r="A7036" t="str">
        <x:v>CA-2016-145548</x:v>
      </x:c>
      <x:c r="B7036" s="18" t="n">
        <x:v>42685</x:v>
      </x:c>
      <x:c r="C7036" t="str">
        <x:v>EB-13750</x:v>
      </x:c>
      <x:c r="D7036" t="str">
        <x:v>Edward Becker</x:v>
      </x:c>
      <x:c r="E7036" t="str">
        <x:v>Corporate</x:v>
      </x:c>
      <x:c r="F7036" t="str">
        <x:v>East</x:v>
      </x:c>
      <x:c r="G7036" t="str">
        <x:v>Office Supplies</x:v>
      </x:c>
      <x:c r="H7036" t="str">
        <x:v>Art</x:v>
      </x:c>
      <x:c r="I7036" s="22" t="n">
        <x:v>92.94</x:v>
      </x:c>
      <x:c r="J7036" s="24" t="n">
        <x:v>3</x:v>
      </x:c>
      <x:c r="K7036" s="26" t="n">
        <x:v>0</x:v>
      </x:c>
      <x:c r="L7036" s="22" t="n">
        <x:v>25.093799999999998</x:v>
      </x:c>
      <x:c r="M7036" t="n">
        <x:v>2016</x:v>
      </x:c>
      <x:c r="N7036" s="20" t="n">
        <x:v>42675</x:v>
      </x:c>
    </x:row>
    <x:row r="7037" ht="18" customHeight="1">
      <x:c r="A7037" t="str">
        <x:v>CA-2016-145548</x:v>
      </x:c>
      <x:c r="B7037" s="18" t="n">
        <x:v>42685</x:v>
      </x:c>
      <x:c r="C7037" t="str">
        <x:v>EB-13750</x:v>
      </x:c>
      <x:c r="D7037" t="str">
        <x:v>Edward Becker</x:v>
      </x:c>
      <x:c r="E7037" t="str">
        <x:v>Corporate</x:v>
      </x:c>
      <x:c r="F7037" t="str">
        <x:v>East</x:v>
      </x:c>
      <x:c r="G7037" t="str">
        <x:v>Furniture</x:v>
      </x:c>
      <x:c r="H7037" t="str">
        <x:v>Chairs</x:v>
      </x:c>
      <x:c r="I7037" s="22" t="n">
        <x:v>245.64600000000002</x:v>
      </x:c>
      <x:c r="J7037" s="24" t="n">
        <x:v>3</x:v>
      </x:c>
      <x:c r="K7037" s="26" t="n">
        <x:v>0.1</x:v>
      </x:c>
      <x:c r="L7037" s="22" t="n">
        <x:v>8.188199999999988</x:v>
      </x:c>
      <x:c r="M7037" t="n">
        <x:v>2016</x:v>
      </x:c>
      <x:c r="N7037" s="20" t="n">
        <x:v>42675</x:v>
      </x:c>
    </x:row>
    <x:row r="7038" ht="18" customHeight="1">
      <x:c r="A7038" t="str">
        <x:v>CA-2016-145548</x:v>
      </x:c>
      <x:c r="B7038" s="18" t="n">
        <x:v>42685</x:v>
      </x:c>
      <x:c r="C7038" t="str">
        <x:v>EB-13750</x:v>
      </x:c>
      <x:c r="D7038" t="str">
        <x:v>Edward Becker</x:v>
      </x:c>
      <x:c r="E7038" t="str">
        <x:v>Corporate</x:v>
      </x:c>
      <x:c r="F7038" t="str">
        <x:v>East</x:v>
      </x:c>
      <x:c r="G7038" t="str">
        <x:v>Office Supplies</x:v>
      </x:c>
      <x:c r="H7038" t="str">
        <x:v>Binders</x:v>
      </x:c>
      <x:c r="I7038" s="22" t="n">
        <x:v>55.00800000000001</x:v>
      </x:c>
      <x:c r="J7038" s="24" t="n">
        <x:v>3</x:v>
      </x:c>
      <x:c r="K7038" s="26" t="n">
        <x:v>0.2</x:v>
      </x:c>
      <x:c r="L7038" s="22" t="n">
        <x:v>17.189999999999998</x:v>
      </x:c>
      <x:c r="M7038" t="n">
        <x:v>2016</x:v>
      </x:c>
      <x:c r="N7038" s="20" t="n">
        <x:v>42675</x:v>
      </x:c>
    </x:row>
    <x:row r="7039" ht="18" customHeight="1">
      <x:c r="A7039" t="str">
        <x:v>CA-2016-145548</x:v>
      </x:c>
      <x:c r="B7039" s="18" t="n">
        <x:v>42685</x:v>
      </x:c>
      <x:c r="C7039" t="str">
        <x:v>EB-13750</x:v>
      </x:c>
      <x:c r="D7039" t="str">
        <x:v>Edward Becker</x:v>
      </x:c>
      <x:c r="E7039" t="str">
        <x:v>Corporate</x:v>
      </x:c>
      <x:c r="F7039" t="str">
        <x:v>East</x:v>
      </x:c>
      <x:c r="G7039" t="str">
        <x:v>Office Supplies</x:v>
      </x:c>
      <x:c r="H7039" t="str">
        <x:v>Binders</x:v>
      </x:c>
      <x:c r="I7039" s="22" t="n">
        <x:v>35.232</x:v>
      </x:c>
      <x:c r="J7039" s="24" t="n">
        <x:v>3</x:v>
      </x:c>
      <x:c r="K7039" s="26" t="n">
        <x:v>0.2</x:v>
      </x:c>
      <x:c r="L7039" s="22" t="n">
        <x:v>11.450399999999998</x:v>
      </x:c>
      <x:c r="M7039" t="n">
        <x:v>2016</x:v>
      </x:c>
      <x:c r="N7039" s="20" t="n">
        <x:v>42675</x:v>
      </x:c>
    </x:row>
    <x:row r="7040" ht="18" customHeight="1">
      <x:c r="A7040" t="str">
        <x:v>CA-2017-119494</x:v>
      </x:c>
      <x:c r="B7040" s="18" t="n">
        <x:v>43048</x:v>
      </x:c>
      <x:c r="C7040" t="str">
        <x:v>JE-15610</x:v>
      </x:c>
      <x:c r="D7040" t="str">
        <x:v>Jim Epp</x:v>
      </x:c>
      <x:c r="E7040" t="str">
        <x:v>Corporate</x:v>
      </x:c>
      <x:c r="F7040" t="str">
        <x:v>West</x:v>
      </x:c>
      <x:c r="G7040" t="str">
        <x:v>Furniture</x:v>
      </x:c>
      <x:c r="H7040" t="str">
        <x:v>Chairs</x:v>
      </x:c>
      <x:c r="I7040" s="22" t="n">
        <x:v>523.392</x:v>
      </x:c>
      <x:c r="J7040" s="24" t="n">
        <x:v>3</x:v>
      </x:c>
      <x:c r="K7040" s="26" t="n">
        <x:v>0.2</x:v>
      </x:c>
      <x:c r="L7040" s="22" t="n">
        <x:v>52.33919999999998</x:v>
      </x:c>
      <x:c r="M7040" t="n">
        <x:v>2017</x:v>
      </x:c>
      <x:c r="N7040" s="20" t="n">
        <x:v>43040</x:v>
      </x:c>
    </x:row>
    <x:row r="7041" ht="18" customHeight="1">
      <x:c r="A7041" t="str">
        <x:v>CA-2014-124618</x:v>
      </x:c>
      <x:c r="B7041" s="18" t="n">
        <x:v>41761</x:v>
      </x:c>
      <x:c r="C7041" t="str">
        <x:v>CS-11860</x:v>
      </x:c>
      <x:c r="D7041" t="str">
        <x:v>Cari Schnelling</x:v>
      </x:c>
      <x:c r="E7041" t="str">
        <x:v>Consumer</x:v>
      </x:c>
      <x:c r="F7041" t="str">
        <x:v>South</x:v>
      </x:c>
      <x:c r="G7041" t="str">
        <x:v>Technology</x:v>
      </x:c>
      <x:c r="H7041" t="str">
        <x:v>Copiers</x:v>
      </x:c>
      <x:c r="I7041" s="22" t="n">
        <x:v>479.98400000000004</x:v>
      </x:c>
      <x:c r="J7041" s="24" t="n">
        <x:v>2</x:v>
      </x:c>
      <x:c r="K7041" s="26" t="n">
        <x:v>0.2</x:v>
      </x:c>
      <x:c r="L7041" s="22" t="n">
        <x:v>89.99699999999999</x:v>
      </x:c>
      <x:c r="M7041" t="n">
        <x:v>2014</x:v>
      </x:c>
      <x:c r="N7041" s="20" t="n">
        <x:v>41760</x:v>
      </x:c>
    </x:row>
    <x:row r="7042" ht="18" customHeight="1">
      <x:c r="A7042" t="str">
        <x:v>CA-2017-161970</x:v>
      </x:c>
      <x:c r="B7042" s="18" t="n">
        <x:v>43000</x:v>
      </x:c>
      <x:c r="C7042" t="str">
        <x:v>PB-19105</x:v>
      </x:c>
      <x:c r="D7042" t="str">
        <x:v>Peter Bühler</x:v>
      </x:c>
      <x:c r="E7042" t="str">
        <x:v>Consumer</x:v>
      </x:c>
      <x:c r="F7042" t="str">
        <x:v>South</x:v>
      </x:c>
      <x:c r="G7042" t="str">
        <x:v>Office Supplies</x:v>
      </x:c>
      <x:c r="H7042" t="str">
        <x:v>Paper</x:v>
      </x:c>
      <x:c r="I7042" s="22" t="n">
        <x:v>12.96</x:v>
      </x:c>
      <x:c r="J7042" s="24" t="n">
        <x:v>2</x:v>
      </x:c>
      <x:c r="K7042" s="26" t="n">
        <x:v>0</x:v>
      </x:c>
      <x:c r="L7042" s="22" t="n">
        <x:v>6.2208000000000006</x:v>
      </x:c>
      <x:c r="M7042" t="n">
        <x:v>2017</x:v>
      </x:c>
      <x:c r="N7042" s="20" t="n">
        <x:v>42979</x:v>
      </x:c>
    </x:row>
    <x:row r="7043" ht="18" customHeight="1">
      <x:c r="A7043" t="str">
        <x:v>CA-2017-161970</x:v>
      </x:c>
      <x:c r="B7043" s="18" t="n">
        <x:v>43000</x:v>
      </x:c>
      <x:c r="C7043" t="str">
        <x:v>PB-19105</x:v>
      </x:c>
      <x:c r="D7043" t="str">
        <x:v>Peter Bühler</x:v>
      </x:c>
      <x:c r="E7043" t="str">
        <x:v>Consumer</x:v>
      </x:c>
      <x:c r="F7043" t="str">
        <x:v>South</x:v>
      </x:c>
      <x:c r="G7043" t="str">
        <x:v>Office Supplies</x:v>
      </x:c>
      <x:c r="H7043" t="str">
        <x:v>Art</x:v>
      </x:c>
      <x:c r="I7043" s="22" t="n">
        <x:v>17.94</x:v>
      </x:c>
      <x:c r="J7043" s="24" t="n">
        <x:v>3</x:v>
      </x:c>
      <x:c r="K7043" s="26" t="n">
        <x:v>0</x:v>
      </x:c>
      <x:c r="L7043" s="22" t="n">
        <x:v>6.4584</x:v>
      </x:c>
      <x:c r="M7043" t="n">
        <x:v>2017</x:v>
      </x:c>
      <x:c r="N7043" s="20" t="n">
        <x:v>42979</x:v>
      </x:c>
    </x:row>
    <x:row r="7044" ht="18" customHeight="1">
      <x:c r="A7044" t="str">
        <x:v>CA-2017-103443</x:v>
      </x:c>
      <x:c r="B7044" s="18" t="n">
        <x:v>43086</x:v>
      </x:c>
      <x:c r="C7044" t="str">
        <x:v>AT-10735</x:v>
      </x:c>
      <x:c r="D7044" t="str">
        <x:v>Annie Thurman</x:v>
      </x:c>
      <x:c r="E7044" t="str">
        <x:v>Consumer</x:v>
      </x:c>
      <x:c r="F7044" t="str">
        <x:v>East</x:v>
      </x:c>
      <x:c r="G7044" t="str">
        <x:v>Office Supplies</x:v>
      </x:c>
      <x:c r="H7044" t="str">
        <x:v>Storage</x:v>
      </x:c>
      <x:c r="I7044" s="22" t="n">
        <x:v>166.72</x:v>
      </x:c>
      <x:c r="J7044" s="24" t="n">
        <x:v>2</x:v>
      </x:c>
      <x:c r="K7044" s="26" t="n">
        <x:v>0</x:v>
      </x:c>
      <x:c r="L7044" s="22" t="n">
        <x:v>41.68000000000001</x:v>
      </x:c>
      <x:c r="M7044" t="n">
        <x:v>2017</x:v>
      </x:c>
      <x:c r="N7044" s="20" t="n">
        <x:v>43070</x:v>
      </x:c>
    </x:row>
    <x:row r="7045" ht="18" customHeight="1">
      <x:c r="A7045" t="str">
        <x:v>CA-2017-103443</x:v>
      </x:c>
      <x:c r="B7045" s="18" t="n">
        <x:v>43086</x:v>
      </x:c>
      <x:c r="C7045" t="str">
        <x:v>AT-10735</x:v>
      </x:c>
      <x:c r="D7045" t="str">
        <x:v>Annie Thurman</x:v>
      </x:c>
      <x:c r="E7045" t="str">
        <x:v>Consumer</x:v>
      </x:c>
      <x:c r="F7045" t="str">
        <x:v>East</x:v>
      </x:c>
      <x:c r="G7045" t="str">
        <x:v>Office Supplies</x:v>
      </x:c>
      <x:c r="H7045" t="str">
        <x:v>Binders</x:v>
      </x:c>
      <x:c r="I7045" s="22" t="n">
        <x:v>24.816000000000003</x:v>
      </x:c>
      <x:c r="J7045" s="24" t="n">
        <x:v>3</x:v>
      </x:c>
      <x:c r="K7045" s="26" t="n">
        <x:v>0.2</x:v>
      </x:c>
      <x:c r="L7045" s="22" t="n">
        <x:v>8.375399999999999</x:v>
      </x:c>
      <x:c r="M7045" t="n">
        <x:v>2017</x:v>
      </x:c>
      <x:c r="N7045" s="20" t="n">
        <x:v>43070</x:v>
      </x:c>
    </x:row>
    <x:row r="7046" ht="18" customHeight="1">
      <x:c r="A7046" t="str">
        <x:v>CA-2017-103443</x:v>
      </x:c>
      <x:c r="B7046" s="18" t="n">
        <x:v>43086</x:v>
      </x:c>
      <x:c r="C7046" t="str">
        <x:v>AT-10735</x:v>
      </x:c>
      <x:c r="D7046" t="str">
        <x:v>Annie Thurman</x:v>
      </x:c>
      <x:c r="E7046" t="str">
        <x:v>Consumer</x:v>
      </x:c>
      <x:c r="F7046" t="str">
        <x:v>East</x:v>
      </x:c>
      <x:c r="G7046" t="str">
        <x:v>Furniture</x:v>
      </x:c>
      <x:c r="H7046" t="str">
        <x:v>Furnishings</x:v>
      </x:c>
      <x:c r="I7046" s="22" t="n">
        <x:v>124.36</x:v>
      </x:c>
      <x:c r="J7046" s="24" t="n">
        <x:v>2</x:v>
      </x:c>
      <x:c r="K7046" s="26" t="n">
        <x:v>0</x:v>
      </x:c>
      <x:c r="L7046" s="22" t="n">
        <x:v>27.3592</x:v>
      </x:c>
      <x:c r="M7046" t="n">
        <x:v>2017</x:v>
      </x:c>
      <x:c r="N7046" s="20" t="n">
        <x:v>43070</x:v>
      </x:c>
    </x:row>
    <x:row r="7047" ht="18" customHeight="1">
      <x:c r="A7047" t="str">
        <x:v>US-2017-165358</x:v>
      </x:c>
      <x:c r="B7047" s="18" t="n">
        <x:v>42934</x:v>
      </x:c>
      <x:c r="C7047" t="str">
        <x:v>SV-20365</x:v>
      </x:c>
      <x:c r="D7047" t="str">
        <x:v>Seth Vernon</x:v>
      </x:c>
      <x:c r="E7047" t="str">
        <x:v>Consumer</x:v>
      </x:c>
      <x:c r="F7047" t="str">
        <x:v>East</x:v>
      </x:c>
      <x:c r="G7047" t="str">
        <x:v>Technology</x:v>
      </x:c>
      <x:c r="H7047" t="str">
        <x:v>Copiers</x:v>
      </x:c>
      <x:c r="I7047" s="22" t="n">
        <x:v>599.97</x:v>
      </x:c>
      <x:c r="J7047" s="24" t="n">
        <x:v>5</x:v>
      </x:c>
      <x:c r="K7047" s="26" t="n">
        <x:v>0.4</x:v>
      </x:c>
      <x:c r="L7047" s="22" t="n">
        <x:v>69.99649999999997</x:v>
      </x:c>
      <x:c r="M7047" t="n">
        <x:v>2017</x:v>
      </x:c>
      <x:c r="N7047" s="20" t="n">
        <x:v>42917</x:v>
      </x:c>
    </x:row>
    <x:row r="7048" ht="18" customHeight="1">
      <x:c r="A7048" t="str">
        <x:v>US-2017-165358</x:v>
      </x:c>
      <x:c r="B7048" s="18" t="n">
        <x:v>42934</x:v>
      </x:c>
      <x:c r="C7048" t="str">
        <x:v>SV-20365</x:v>
      </x:c>
      <x:c r="D7048" t="str">
        <x:v>Seth Vernon</x:v>
      </x:c>
      <x:c r="E7048" t="str">
        <x:v>Consumer</x:v>
      </x:c>
      <x:c r="F7048" t="str">
        <x:v>East</x:v>
      </x:c>
      <x:c r="G7048" t="str">
        <x:v>Furniture</x:v>
      </x:c>
      <x:c r="H7048" t="str">
        <x:v>Chairs</x:v>
      </x:c>
      <x:c r="I7048" s="22" t="n">
        <x:v>198.744</x:v>
      </x:c>
      <x:c r="J7048" s="24" t="n">
        <x:v>4</x:v>
      </x:c>
      <x:c r="K7048" s="26" t="n">
        <x:v>0.3</x:v>
      </x:c>
      <x:c r="L7048" s="22" t="n">
        <x:v>-14.195999999999984</x:v>
      </x:c>
      <x:c r="M7048" t="n">
        <x:v>2017</x:v>
      </x:c>
      <x:c r="N7048" s="20" t="n">
        <x:v>42917</x:v>
      </x:c>
    </x:row>
    <x:row r="7049" ht="18" customHeight="1">
      <x:c r="A7049" t="str">
        <x:v>US-2017-165358</x:v>
      </x:c>
      <x:c r="B7049" s="18" t="n">
        <x:v>42934</x:v>
      </x:c>
      <x:c r="C7049" t="str">
        <x:v>SV-20365</x:v>
      </x:c>
      <x:c r="D7049" t="str">
        <x:v>Seth Vernon</x:v>
      </x:c>
      <x:c r="E7049" t="str">
        <x:v>Consumer</x:v>
      </x:c>
      <x:c r="F7049" t="str">
        <x:v>East</x:v>
      </x:c>
      <x:c r="G7049" t="str">
        <x:v>Office Supplies</x:v>
      </x:c>
      <x:c r="H7049" t="str">
        <x:v>Supplies</x:v>
      </x:c>
      <x:c r="I7049" s="22" t="n">
        <x:v>9.184000000000001</x:v>
      </x:c>
      <x:c r="J7049" s="24" t="n">
        <x:v>2</x:v>
      </x:c>
      <x:c r="K7049" s="26" t="n">
        <x:v>0.2</x:v>
      </x:c>
      <x:c r="L7049" s="22" t="n">
        <x:v>1.1479999999999988</x:v>
      </x:c>
      <x:c r="M7049" t="n">
        <x:v>2017</x:v>
      </x:c>
      <x:c r="N7049" s="20" t="n">
        <x:v>42917</x:v>
      </x:c>
    </x:row>
    <x:row r="7050" ht="18" customHeight="1">
      <x:c r="A7050" t="str">
        <x:v>CA-2016-160136</x:v>
      </x:c>
      <x:c r="B7050" s="18" t="n">
        <x:v>42677</x:v>
      </x:c>
      <x:c r="C7050" t="str">
        <x:v>PJ-18835</x:v>
      </x:c>
      <x:c r="D7050" t="str">
        <x:v>Patrick Jones</x:v>
      </x:c>
      <x:c r="E7050" t="str">
        <x:v>Corporate</x:v>
      </x:c>
      <x:c r="F7050" t="str">
        <x:v>Central</x:v>
      </x:c>
      <x:c r="G7050" t="str">
        <x:v>Office Supplies</x:v>
      </x:c>
      <x:c r="H7050" t="str">
        <x:v>Paper</x:v>
      </x:c>
      <x:c r="I7050" s="22" t="n">
        <x:v>9.248000000000001</x:v>
      </x:c>
      <x:c r="J7050" s="24" t="n">
        <x:v>2</x:v>
      </x:c>
      <x:c r="K7050" s="26" t="n">
        <x:v>0.2</x:v>
      </x:c>
      <x:c r="L7050" s="22" t="n">
        <x:v>3.3524000000000003</x:v>
      </x:c>
      <x:c r="M7050" t="n">
        <x:v>2016</x:v>
      </x:c>
      <x:c r="N7050" s="20" t="n">
        <x:v>42675</x:v>
      </x:c>
    </x:row>
    <x:row r="7051" ht="18" customHeight="1">
      <x:c r="A7051" t="str">
        <x:v>CA-2014-150581</x:v>
      </x:c>
      <x:c r="B7051" s="18" t="n">
        <x:v>41737</x:v>
      </x:c>
      <x:c r="C7051" t="str">
        <x:v>NM-18445</x:v>
      </x:c>
      <x:c r="D7051" t="str">
        <x:v>Nathan Mautz</x:v>
      </x:c>
      <x:c r="E7051" t="str">
        <x:v>Home Office</x:v>
      </x:c>
      <x:c r="F7051" t="str">
        <x:v>West</x:v>
      </x:c>
      <x:c r="G7051" t="str">
        <x:v>Furniture</x:v>
      </x:c>
      <x:c r="H7051" t="str">
        <x:v>Tables</x:v>
      </x:c>
      <x:c r="I7051" s="22" t="n">
        <x:v>99.592</x:v>
      </x:c>
      <x:c r="J7051" s="24" t="n">
        <x:v>1</x:v>
      </x:c>
      <x:c r="K7051" s="26" t="n">
        <x:v>0.2</x:v>
      </x:c>
      <x:c r="L7051" s="22" t="n">
        <x:v>2.489799999999999</x:v>
      </x:c>
      <x:c r="M7051" t="n">
        <x:v>2014</x:v>
      </x:c>
      <x:c r="N7051" s="20" t="n">
        <x:v>41730</x:v>
      </x:c>
    </x:row>
    <x:row r="7052" ht="18" customHeight="1">
      <x:c r="A7052" t="str">
        <x:v>CA-2014-150581</x:v>
      </x:c>
      <x:c r="B7052" s="18" t="n">
        <x:v>41737</x:v>
      </x:c>
      <x:c r="C7052" t="str">
        <x:v>NM-18445</x:v>
      </x:c>
      <x:c r="D7052" t="str">
        <x:v>Nathan Mautz</x:v>
      </x:c>
      <x:c r="E7052" t="str">
        <x:v>Home Office</x:v>
      </x:c>
      <x:c r="F7052" t="str">
        <x:v>West</x:v>
      </x:c>
      <x:c r="G7052" t="str">
        <x:v>Technology</x:v>
      </x:c>
      <x:c r="H7052" t="str">
        <x:v>Accessories</x:v>
      </x:c>
      <x:c r="I7052" s="22" t="n">
        <x:v>399.96</x:v>
      </x:c>
      <x:c r="J7052" s="24" t="n">
        <x:v>4</x:v>
      </x:c>
      <x:c r="K7052" s="26" t="n">
        <x:v>0</x:v>
      </x:c>
      <x:c r="L7052" s="22" t="n">
        <x:v>139.986</x:v>
      </x:c>
      <x:c r="M7052" t="n">
        <x:v>2014</x:v>
      </x:c>
      <x:c r="N7052" s="20" t="n">
        <x:v>41730</x:v>
      </x:c>
    </x:row>
    <x:row r="7053" ht="18" customHeight="1">
      <x:c r="A7053" t="str">
        <x:v>CA-2016-119515</x:v>
      </x:c>
      <x:c r="B7053" s="18" t="n">
        <x:v>42596</x:v>
      </x:c>
      <x:c r="C7053" t="str">
        <x:v>TR-21325</x:v>
      </x:c>
      <x:c r="D7053" t="str">
        <x:v>Toby Ritter</x:v>
      </x:c>
      <x:c r="E7053" t="str">
        <x:v>Consumer</x:v>
      </x:c>
      <x:c r="F7053" t="str">
        <x:v>South</x:v>
      </x:c>
      <x:c r="G7053" t="str">
        <x:v>Office Supplies</x:v>
      </x:c>
      <x:c r="H7053" t="str">
        <x:v>Paper</x:v>
      </x:c>
      <x:c r="I7053" s="22" t="n">
        <x:v>15.552000000000003</x:v>
      </x:c>
      <x:c r="J7053" s="24" t="n">
        <x:v>3</x:v>
      </x:c>
      <x:c r="K7053" s="26" t="n">
        <x:v>0.2</x:v>
      </x:c>
      <x:c r="L7053" s="22" t="n">
        <x:v>5.4432</x:v>
      </x:c>
      <x:c r="M7053" t="n">
        <x:v>2016</x:v>
      </x:c>
      <x:c r="N7053" s="20" t="n">
        <x:v>42583</x:v>
      </x:c>
    </x:row>
    <x:row r="7054" ht="18" customHeight="1">
      <x:c r="A7054" t="str">
        <x:v>CA-2014-141355</x:v>
      </x:c>
      <x:c r="B7054" s="18" t="n">
        <x:v>41907</x:v>
      </x:c>
      <x:c r="C7054" t="str">
        <x:v>BF-11005</x:v>
      </x:c>
      <x:c r="D7054" t="str">
        <x:v>Barry Franz</x:v>
      </x:c>
      <x:c r="E7054" t="str">
        <x:v>Home Office</x:v>
      </x:c>
      <x:c r="F7054" t="str">
        <x:v>West</x:v>
      </x:c>
      <x:c r="G7054" t="str">
        <x:v>Office Supplies</x:v>
      </x:c>
      <x:c r="H7054" t="str">
        <x:v>Art</x:v>
      </x:c>
      <x:c r="I7054" s="22" t="n">
        <x:v>14.576</x:v>
      </x:c>
      <x:c r="J7054" s="24" t="n">
        <x:v>2</x:v>
      </x:c>
      <x:c r="K7054" s="26" t="n">
        <x:v>0.2</x:v>
      </x:c>
      <x:c r="L7054" s="22" t="n">
        <x:v>2.368599999999999</x:v>
      </x:c>
      <x:c r="M7054" t="n">
        <x:v>2014</x:v>
      </x:c>
      <x:c r="N7054" s="20" t="n">
        <x:v>41883</x:v>
      </x:c>
    </x:row>
    <x:row r="7055" ht="18" customHeight="1">
      <x:c r="A7055" t="str">
        <x:v>CA-2016-165330</x:v>
      </x:c>
      <x:c r="B7055" s="18" t="n">
        <x:v>42715</x:v>
      </x:c>
      <x:c r="C7055" t="str">
        <x:v>WB-21850</x:v>
      </x:c>
      <x:c r="D7055" t="str">
        <x:v>William Brown</x:v>
      </x:c>
      <x:c r="E7055" t="str">
        <x:v>Consumer</x:v>
      </x:c>
      <x:c r="F7055" t="str">
        <x:v>West</x:v>
      </x:c>
      <x:c r="G7055" t="str">
        <x:v>Office Supplies</x:v>
      </x:c>
      <x:c r="H7055" t="str">
        <x:v>Binders</x:v>
      </x:c>
      <x:c r="I7055" s="22" t="n">
        <x:v>209.60000000000002</x:v>
      </x:c>
      <x:c r="J7055" s="24" t="n">
        <x:v>5</x:v>
      </x:c>
      <x:c r="K7055" s="26" t="n">
        <x:v>0.2</x:v>
      </x:c>
      <x:c r="L7055" s="22" t="n">
        <x:v>68.11999999999999</x:v>
      </x:c>
      <x:c r="M7055" t="n">
        <x:v>2016</x:v>
      </x:c>
      <x:c r="N7055" s="20" t="n">
        <x:v>42705</x:v>
      </x:c>
    </x:row>
    <x:row r="7056" ht="18" customHeight="1">
      <x:c r="A7056" t="str">
        <x:v>CA-2016-165330</x:v>
      </x:c>
      <x:c r="B7056" s="18" t="n">
        <x:v>42715</x:v>
      </x:c>
      <x:c r="C7056" t="str">
        <x:v>WB-21850</x:v>
      </x:c>
      <x:c r="D7056" t="str">
        <x:v>William Brown</x:v>
      </x:c>
      <x:c r="E7056" t="str">
        <x:v>Consumer</x:v>
      </x:c>
      <x:c r="F7056" t="str">
        <x:v>West</x:v>
      </x:c>
      <x:c r="G7056" t="str">
        <x:v>Office Supplies</x:v>
      </x:c>
      <x:c r="H7056" t="str">
        <x:v>Art</x:v>
      </x:c>
      <x:c r="I7056" s="22" t="n">
        <x:v>23.32</x:v>
      </x:c>
      <x:c r="J7056" s="24" t="n">
        <x:v>2</x:v>
      </x:c>
      <x:c r="K7056" s="26" t="n">
        <x:v>0</x:v>
      </x:c>
      <x:c r="L7056" s="22" t="n">
        <x:v>6.063200000000002</x:v>
      </x:c>
      <x:c r="M7056" t="n">
        <x:v>2016</x:v>
      </x:c>
      <x:c r="N7056" s="20" t="n">
        <x:v>42705</x:v>
      </x:c>
    </x:row>
    <x:row r="7057" ht="18" customHeight="1">
      <x:c r="A7057" t="str">
        <x:v>CA-2016-165330</x:v>
      </x:c>
      <x:c r="B7057" s="18" t="n">
        <x:v>42715</x:v>
      </x:c>
      <x:c r="C7057" t="str">
        <x:v>WB-21850</x:v>
      </x:c>
      <x:c r="D7057" t="str">
        <x:v>William Brown</x:v>
      </x:c>
      <x:c r="E7057" t="str">
        <x:v>Consumer</x:v>
      </x:c>
      <x:c r="F7057" t="str">
        <x:v>West</x:v>
      </x:c>
      <x:c r="G7057" t="str">
        <x:v>Office Supplies</x:v>
      </x:c>
      <x:c r="H7057" t="str">
        <x:v>Paper</x:v>
      </x:c>
      <x:c r="I7057" s="22" t="n">
        <x:v>30.98</x:v>
      </x:c>
      <x:c r="J7057" s="24" t="n">
        <x:v>1</x:v>
      </x:c>
      <x:c r="K7057" s="26" t="n">
        <x:v>0</x:v>
      </x:c>
      <x:c r="L7057" s="22" t="n">
        <x:v>13.940999999999999</x:v>
      </x:c>
      <x:c r="M7057" t="n">
        <x:v>2016</x:v>
      </x:c>
      <x:c r="N7057" s="20" t="n">
        <x:v>42705</x:v>
      </x:c>
    </x:row>
    <x:row r="7058" ht="18" customHeight="1">
      <x:c r="A7058" t="str">
        <x:v>CA-2016-165330</x:v>
      </x:c>
      <x:c r="B7058" s="18" t="n">
        <x:v>42715</x:v>
      </x:c>
      <x:c r="C7058" t="str">
        <x:v>WB-21850</x:v>
      </x:c>
      <x:c r="D7058" t="str">
        <x:v>William Brown</x:v>
      </x:c>
      <x:c r="E7058" t="str">
        <x:v>Consumer</x:v>
      </x:c>
      <x:c r="F7058" t="str">
        <x:v>West</x:v>
      </x:c>
      <x:c r="G7058" t="str">
        <x:v>Technology</x:v>
      </x:c>
      <x:c r="H7058" t="str">
        <x:v>Accessories</x:v>
      </x:c>
      <x:c r="I7058" s="22" t="n">
        <x:v>119.96</x:v>
      </x:c>
      <x:c r="J7058" s="24" t="n">
        <x:v>4</x:v>
      </x:c>
      <x:c r="K7058" s="26" t="n">
        <x:v>0</x:v>
      </x:c>
      <x:c r="L7058" s="22" t="n">
        <x:v>25.191599999999994</x:v>
      </x:c>
      <x:c r="M7058" t="n">
        <x:v>2016</x:v>
      </x:c>
      <x:c r="N7058" s="20" t="n">
        <x:v>42705</x:v>
      </x:c>
    </x:row>
    <x:row r="7059" ht="18" customHeight="1">
      <x:c r="A7059" t="str">
        <x:v>CA-2016-165330</x:v>
      </x:c>
      <x:c r="B7059" s="18" t="n">
        <x:v>42715</x:v>
      </x:c>
      <x:c r="C7059" t="str">
        <x:v>WB-21850</x:v>
      </x:c>
      <x:c r="D7059" t="str">
        <x:v>William Brown</x:v>
      </x:c>
      <x:c r="E7059" t="str">
        <x:v>Consumer</x:v>
      </x:c>
      <x:c r="F7059" t="str">
        <x:v>West</x:v>
      </x:c>
      <x:c r="G7059" t="str">
        <x:v>Furniture</x:v>
      </x:c>
      <x:c r="H7059" t="str">
        <x:v>Chairs</x:v>
      </x:c>
      <x:c r="I7059" s="22" t="n">
        <x:v>363.92</x:v>
      </x:c>
      <x:c r="J7059" s="24" t="n">
        <x:v>5</x:v>
      </x:c>
      <x:c r="K7059" s="26" t="n">
        <x:v>0.2</x:v>
      </x:c>
      <x:c r="L7059" s="22" t="n">
        <x:v>-31.843000000000018</x:v>
      </x:c>
      <x:c r="M7059" t="n">
        <x:v>2016</x:v>
      </x:c>
      <x:c r="N7059" s="20" t="n">
        <x:v>42705</x:v>
      </x:c>
    </x:row>
    <x:row r="7060" ht="18" customHeight="1">
      <x:c r="A7060" t="str">
        <x:v>CA-2016-165330</x:v>
      </x:c>
      <x:c r="B7060" s="18" t="n">
        <x:v>42715</x:v>
      </x:c>
      <x:c r="C7060" t="str">
        <x:v>WB-21850</x:v>
      </x:c>
      <x:c r="D7060" t="str">
        <x:v>William Brown</x:v>
      </x:c>
      <x:c r="E7060" t="str">
        <x:v>Consumer</x:v>
      </x:c>
      <x:c r="F7060" t="str">
        <x:v>West</x:v>
      </x:c>
      <x:c r="G7060" t="str">
        <x:v>Office Supplies</x:v>
      </x:c>
      <x:c r="H7060" t="str">
        <x:v>Binders</x:v>
      </x:c>
      <x:c r="I7060" s="22" t="n">
        <x:v>35.808</x:v>
      </x:c>
      <x:c r="J7060" s="24" t="n">
        <x:v>3</x:v>
      </x:c>
      <x:c r="K7060" s="26" t="n">
        <x:v>0.2</x:v>
      </x:c>
      <x:c r="L7060" s="22" t="n">
        <x:v>11.189999999999996</x:v>
      </x:c>
      <x:c r="M7060" t="n">
        <x:v>2016</x:v>
      </x:c>
      <x:c r="N7060" s="20" t="n">
        <x:v>42705</x:v>
      </x:c>
    </x:row>
    <x:row r="7061" ht="18" customHeight="1">
      <x:c r="A7061" t="str">
        <x:v>CA-2016-165330</x:v>
      </x:c>
      <x:c r="B7061" s="18" t="n">
        <x:v>42715</x:v>
      </x:c>
      <x:c r="C7061" t="str">
        <x:v>WB-21850</x:v>
      </x:c>
      <x:c r="D7061" t="str">
        <x:v>William Brown</x:v>
      </x:c>
      <x:c r="E7061" t="str">
        <x:v>Consumer</x:v>
      </x:c>
      <x:c r="F7061" t="str">
        <x:v>West</x:v>
      </x:c>
      <x:c r="G7061" t="str">
        <x:v>Office Supplies</x:v>
      </x:c>
      <x:c r="H7061" t="str">
        <x:v>Binders</x:v>
      </x:c>
      <x:c r="I7061" s="22" t="n">
        <x:v>122.688</x:v>
      </x:c>
      <x:c r="J7061" s="24" t="n">
        <x:v>9</x:v>
      </x:c>
      <x:c r="K7061" s="26" t="n">
        <x:v>0.2</x:v>
      </x:c>
      <x:c r="L7061" s="22" t="n">
        <x:v>39.87359999999998</x:v>
      </x:c>
      <x:c r="M7061" t="n">
        <x:v>2016</x:v>
      </x:c>
      <x:c r="N7061" s="20" t="n">
        <x:v>42705</x:v>
      </x:c>
    </x:row>
    <x:row r="7062" ht="18" customHeight="1">
      <x:c r="A7062" t="str">
        <x:v>CA-2016-165330</x:v>
      </x:c>
      <x:c r="B7062" s="18" t="n">
        <x:v>42715</x:v>
      </x:c>
      <x:c r="C7062" t="str">
        <x:v>WB-21850</x:v>
      </x:c>
      <x:c r="D7062" t="str">
        <x:v>William Brown</x:v>
      </x:c>
      <x:c r="E7062" t="str">
        <x:v>Consumer</x:v>
      </x:c>
      <x:c r="F7062" t="str">
        <x:v>West</x:v>
      </x:c>
      <x:c r="G7062" t="str">
        <x:v>Furniture</x:v>
      </x:c>
      <x:c r="H7062" t="str">
        <x:v>Tables</x:v>
      </x:c>
      <x:c r="I7062" s="22" t="n">
        <x:v>892.1360000000001</x:v>
      </x:c>
      <x:c r="J7062" s="24" t="n">
        <x:v>7</x:v>
      </x:c>
      <x:c r="K7062" s="26" t="n">
        <x:v>0.2</x:v>
      </x:c>
      <x:c r="L7062" s="22" t="n">
        <x:v>111.51699999999991</x:v>
      </x:c>
      <x:c r="M7062" t="n">
        <x:v>2016</x:v>
      </x:c>
      <x:c r="N7062" s="20" t="n">
        <x:v>42705</x:v>
      </x:c>
    </x:row>
    <x:row r="7063" ht="18" customHeight="1">
      <x:c r="A7063" t="str">
        <x:v>CA-2016-165330</x:v>
      </x:c>
      <x:c r="B7063" s="18" t="n">
        <x:v>42715</x:v>
      </x:c>
      <x:c r="C7063" t="str">
        <x:v>WB-21850</x:v>
      </x:c>
      <x:c r="D7063" t="str">
        <x:v>William Brown</x:v>
      </x:c>
      <x:c r="E7063" t="str">
        <x:v>Consumer</x:v>
      </x:c>
      <x:c r="F7063" t="str">
        <x:v>West</x:v>
      </x:c>
      <x:c r="G7063" t="str">
        <x:v>Office Supplies</x:v>
      </x:c>
      <x:c r="H7063" t="str">
        <x:v>Storage</x:v>
      </x:c>
      <x:c r="I7063" s="22" t="n">
        <x:v>50.22</x:v>
      </x:c>
      <x:c r="J7063" s="24" t="n">
        <x:v>3</x:v>
      </x:c>
      <x:c r="K7063" s="26" t="n">
        <x:v>0</x:v>
      </x:c>
      <x:c r="L7063" s="22" t="n">
        <x:v>2.0087999999999973</x:v>
      </x:c>
      <x:c r="M7063" t="n">
        <x:v>2016</x:v>
      </x:c>
      <x:c r="N7063" s="20" t="n">
        <x:v>42705</x:v>
      </x:c>
    </x:row>
    <x:row r="7064" ht="18" customHeight="1">
      <x:c r="A7064" t="str">
        <x:v>CA-2016-165330</x:v>
      </x:c>
      <x:c r="B7064" s="18" t="n">
        <x:v>42715</x:v>
      </x:c>
      <x:c r="C7064" t="str">
        <x:v>WB-21850</x:v>
      </x:c>
      <x:c r="D7064" t="str">
        <x:v>William Brown</x:v>
      </x:c>
      <x:c r="E7064" t="str">
        <x:v>Consumer</x:v>
      </x:c>
      <x:c r="F7064" t="str">
        <x:v>West</x:v>
      </x:c>
      <x:c r="G7064" t="str">
        <x:v>Office Supplies</x:v>
      </x:c>
      <x:c r="H7064" t="str">
        <x:v>Appliances</x:v>
      </x:c>
      <x:c r="I7064" s="22" t="n">
        <x:v>83.42</x:v>
      </x:c>
      <x:c r="J7064" s="24" t="n">
        <x:v>2</x:v>
      </x:c>
      <x:c r="K7064" s="26" t="n">
        <x:v>0</x:v>
      </x:c>
      <x:c r="L7064" s="22" t="n">
        <x:v>24.191799999999994</x:v>
      </x:c>
      <x:c r="M7064" t="n">
        <x:v>2016</x:v>
      </x:c>
      <x:c r="N7064" s="20" t="n">
        <x:v>42705</x:v>
      </x:c>
    </x:row>
    <x:row r="7065" ht="18" customHeight="1">
      <x:c r="A7065" t="str">
        <x:v>CA-2016-165330</x:v>
      </x:c>
      <x:c r="B7065" s="18" t="n">
        <x:v>42715</x:v>
      </x:c>
      <x:c r="C7065" t="str">
        <x:v>WB-21850</x:v>
      </x:c>
      <x:c r="D7065" t="str">
        <x:v>William Brown</x:v>
      </x:c>
      <x:c r="E7065" t="str">
        <x:v>Consumer</x:v>
      </x:c>
      <x:c r="F7065" t="str">
        <x:v>West</x:v>
      </x:c>
      <x:c r="G7065" t="str">
        <x:v>Office Supplies</x:v>
      </x:c>
      <x:c r="H7065" t="str">
        <x:v>Binders</x:v>
      </x:c>
      <x:c r="I7065" s="22" t="n">
        <x:v>5.872</x:v>
      </x:c>
      <x:c r="J7065" s="24" t="n">
        <x:v>2</x:v>
      </x:c>
      <x:c r="K7065" s="26" t="n">
        <x:v>0.2</x:v>
      </x:c>
      <x:c r="L7065" s="22" t="n">
        <x:v>2.1286</x:v>
      </x:c>
      <x:c r="M7065" t="n">
        <x:v>2016</x:v>
      </x:c>
      <x:c r="N7065" s="20" t="n">
        <x:v>42705</x:v>
      </x:c>
    </x:row>
    <x:row r="7066" ht="18" customHeight="1">
      <x:c r="A7066" t="str">
        <x:v>CA-2015-132633</x:v>
      </x:c>
      <x:c r="B7066" s="18" t="n">
        <x:v>42038</x:v>
      </x:c>
      <x:c r="C7066" t="str">
        <x:v>KH-16630</x:v>
      </x:c>
      <x:c r="D7066" t="str">
        <x:v>Ken Heidel</x:v>
      </x:c>
      <x:c r="E7066" t="str">
        <x:v>Corporate</x:v>
      </x:c>
      <x:c r="F7066" t="str">
        <x:v>West</x:v>
      </x:c>
      <x:c r="G7066" t="str">
        <x:v>Office Supplies</x:v>
      </x:c>
      <x:c r="H7066" t="str">
        <x:v>Binders</x:v>
      </x:c>
      <x:c r="I7066" s="22" t="n">
        <x:v>12.144</x:v>
      </x:c>
      <x:c r="J7066" s="24" t="n">
        <x:v>3</x:v>
      </x:c>
      <x:c r="K7066" s="26" t="n">
        <x:v>0.2</x:v>
      </x:c>
      <x:c r="L7066" s="22" t="n">
        <x:v>4.098599999999999</x:v>
      </x:c>
      <x:c r="M7066" t="n">
        <x:v>2015</x:v>
      </x:c>
      <x:c r="N7066" s="20" t="n">
        <x:v>42036</x:v>
      </x:c>
    </x:row>
    <x:row r="7067" ht="18" customHeight="1">
      <x:c r="A7067" t="str">
        <x:v>CA-2016-157742</x:v>
      </x:c>
      <x:c r="B7067" s="18" t="n">
        <x:v>42733</x:v>
      </x:c>
      <x:c r="C7067" t="str">
        <x:v>KL-16645</x:v>
      </x:c>
      <x:c r="D7067" t="str">
        <x:v>Ken Lonsdale</x:v>
      </x:c>
      <x:c r="E7067" t="str">
        <x:v>Consumer</x:v>
      </x:c>
      <x:c r="F7067" t="str">
        <x:v>West</x:v>
      </x:c>
      <x:c r="G7067" t="str">
        <x:v>Office Supplies</x:v>
      </x:c>
      <x:c r="H7067" t="str">
        <x:v>Envelopes</x:v>
      </x:c>
      <x:c r="I7067" s="22" t="n">
        <x:v>27.792</x:v>
      </x:c>
      <x:c r="J7067" s="24" t="n">
        <x:v>3</x:v>
      </x:c>
      <x:c r="K7067" s="26" t="n">
        <x:v>0.2</x:v>
      </x:c>
      <x:c r="L7067" s="22" t="n">
        <x:v>10.422</x:v>
      </x:c>
      <x:c r="M7067" t="n">
        <x:v>2016</x:v>
      </x:c>
      <x:c r="N7067" s="20" t="n">
        <x:v>42705</x:v>
      </x:c>
    </x:row>
    <x:row r="7068" ht="18" customHeight="1">
      <x:c r="A7068" t="str">
        <x:v>CA-2017-127712</x:v>
      </x:c>
      <x:c r="B7068" s="18" t="n">
        <x:v>42978</x:v>
      </x:c>
      <x:c r="C7068" t="str">
        <x:v>MG-17890</x:v>
      </x:c>
      <x:c r="D7068" t="str">
        <x:v>Michael Granlund</x:v>
      </x:c>
      <x:c r="E7068" t="str">
        <x:v>Home Office</x:v>
      </x:c>
      <x:c r="F7068" t="str">
        <x:v>West</x:v>
      </x:c>
      <x:c r="G7068" t="str">
        <x:v>Office Supplies</x:v>
      </x:c>
      <x:c r="H7068" t="str">
        <x:v>Supplies</x:v>
      </x:c>
      <x:c r="I7068" s="22" t="n">
        <x:v>6.208</x:v>
      </x:c>
      <x:c r="J7068" s="24" t="n">
        <x:v>2</x:v>
      </x:c>
      <x:c r="K7068" s="26" t="n">
        <x:v>0.2</x:v>
      </x:c>
      <x:c r="L7068" s="22" t="n">
        <x:v>0.698399999999999</x:v>
      </x:c>
      <x:c r="M7068" t="n">
        <x:v>2017</x:v>
      </x:c>
      <x:c r="N7068" s="20" t="n">
        <x:v>42948</x:v>
      </x:c>
    </x:row>
    <x:row r="7069" ht="18" customHeight="1">
      <x:c r="A7069" t="str">
        <x:v>CA-2017-169474</x:v>
      </x:c>
      <x:c r="B7069" s="18" t="n">
        <x:v>42770</x:v>
      </x:c>
      <x:c r="C7069" t="str">
        <x:v>JF-15355</x:v>
      </x:c>
      <x:c r="D7069" t="str">
        <x:v>Jay Fein</x:v>
      </x:c>
      <x:c r="E7069" t="str">
        <x:v>Consumer</x:v>
      </x:c>
      <x:c r="F7069" t="str">
        <x:v>East</x:v>
      </x:c>
      <x:c r="G7069" t="str">
        <x:v>Office Supplies</x:v>
      </x:c>
      <x:c r="H7069" t="str">
        <x:v>Appliances</x:v>
      </x:c>
      <x:c r="I7069" s="22" t="n">
        <x:v>32.67</x:v>
      </x:c>
      <x:c r="J7069" s="24" t="n">
        <x:v>3</x:v>
      </x:c>
      <x:c r="K7069" s="26" t="n">
        <x:v>0</x:v>
      </x:c>
      <x:c r="L7069" s="22" t="n">
        <x:v>8.494200000000001</x:v>
      </x:c>
      <x:c r="M7069" t="n">
        <x:v>2017</x:v>
      </x:c>
      <x:c r="N7069" s="20" t="n">
        <x:v>42767</x:v>
      </x:c>
    </x:row>
    <x:row r="7070" ht="18" customHeight="1">
      <x:c r="A7070" t="str">
        <x:v>CA-2014-106726</x:v>
      </x:c>
      <x:c r="B7070" s="18" t="n">
        <x:v>41979</x:v>
      </x:c>
      <x:c r="C7070" t="str">
        <x:v>RS-19765</x:v>
      </x:c>
      <x:c r="D7070" t="str">
        <x:v>Roland Schwarz</x:v>
      </x:c>
      <x:c r="E7070" t="str">
        <x:v>Corporate</x:v>
      </x:c>
      <x:c r="F7070" t="str">
        <x:v>West</x:v>
      </x:c>
      <x:c r="G7070" t="str">
        <x:v>Office Supplies</x:v>
      </x:c>
      <x:c r="H7070" t="str">
        <x:v>Storage</x:v>
      </x:c>
      <x:c r="I7070" s="22" t="n">
        <x:v>1261.33</x:v>
      </x:c>
      <x:c r="J7070" s="24" t="n">
        <x:v>7</x:v>
      </x:c>
      <x:c r="K7070" s="26" t="n">
        <x:v>0</x:v>
      </x:c>
      <x:c r="L7070" s="22" t="n">
        <x:v>327.9458</x:v>
      </x:c>
      <x:c r="M7070" t="n">
        <x:v>2014</x:v>
      </x:c>
      <x:c r="N7070" s="20" t="n">
        <x:v>41974</x:v>
      </x:c>
    </x:row>
    <x:row r="7071" ht="18" customHeight="1">
      <x:c r="A7071" t="str">
        <x:v>CA-2016-147473</x:v>
      </x:c>
      <x:c r="B7071" s="18" t="n">
        <x:v>42520</x:v>
      </x:c>
      <x:c r="C7071" t="str">
        <x:v>NL-18310</x:v>
      </x:c>
      <x:c r="D7071" t="str">
        <x:v>Nancy Lomonaco</x:v>
      </x:c>
      <x:c r="E7071" t="str">
        <x:v>Home Office</x:v>
      </x:c>
      <x:c r="F7071" t="str">
        <x:v>West</x:v>
      </x:c>
      <x:c r="G7071" t="str">
        <x:v>Office Supplies</x:v>
      </x:c>
      <x:c r="H7071" t="str">
        <x:v>Paper</x:v>
      </x:c>
      <x:c r="I7071" s="22" t="n">
        <x:v>38.88</x:v>
      </x:c>
      <x:c r="J7071" s="24" t="n">
        <x:v>6</x:v>
      </x:c>
      <x:c r="K7071" s="26" t="n">
        <x:v>0</x:v>
      </x:c>
      <x:c r="L7071" s="22" t="n">
        <x:v>18.6624</x:v>
      </x:c>
      <x:c r="M7071" t="n">
        <x:v>2016</x:v>
      </x:c>
      <x:c r="N7071" s="20" t="n">
        <x:v>42491</x:v>
      </x:c>
    </x:row>
    <x:row r="7072" ht="18" customHeight="1">
      <x:c r="A7072" t="str">
        <x:v>CA-2016-114209</x:v>
      </x:c>
      <x:c r="B7072" s="18" t="n">
        <x:v>42511</x:v>
      </x:c>
      <x:c r="C7072" t="str">
        <x:v>AS-10285</x:v>
      </x:c>
      <x:c r="D7072" t="str">
        <x:v>Alejandro Savely</x:v>
      </x:c>
      <x:c r="E7072" t="str">
        <x:v>Corporate</x:v>
      </x:c>
      <x:c r="F7072" t="str">
        <x:v>Central</x:v>
      </x:c>
      <x:c r="G7072" t="str">
        <x:v>Office Supplies</x:v>
      </x:c>
      <x:c r="H7072" t="str">
        <x:v>Binders</x:v>
      </x:c>
      <x:c r="I7072" s="22" t="n">
        <x:v>1.9639999999999995</x:v>
      </x:c>
      <x:c r="J7072" s="24" t="n">
        <x:v>2</x:v>
      </x:c>
      <x:c r="K7072" s="26" t="n">
        <x:v>0.8</x:v>
      </x:c>
      <x:c r="L7072" s="22" t="n">
        <x:v>-3.2406000000000006</x:v>
      </x:c>
      <x:c r="M7072" t="n">
        <x:v>2016</x:v>
      </x:c>
      <x:c r="N7072" s="20" t="n">
        <x:v>42491</x:v>
      </x:c>
    </x:row>
    <x:row r="7073" ht="18" customHeight="1">
      <x:c r="A7073" t="str">
        <x:v>CA-2016-114209</x:v>
      </x:c>
      <x:c r="B7073" s="18" t="n">
        <x:v>42511</x:v>
      </x:c>
      <x:c r="C7073" t="str">
        <x:v>AS-10285</x:v>
      </x:c>
      <x:c r="D7073" t="str">
        <x:v>Alejandro Savely</x:v>
      </x:c>
      <x:c r="E7073" t="str">
        <x:v>Corporate</x:v>
      </x:c>
      <x:c r="F7073" t="str">
        <x:v>Central</x:v>
      </x:c>
      <x:c r="G7073" t="str">
        <x:v>Office Supplies</x:v>
      </x:c>
      <x:c r="H7073" t="str">
        <x:v>Paper</x:v>
      </x:c>
      <x:c r="I7073" s="22" t="n">
        <x:v>82.656</x:v>
      </x:c>
      <x:c r="J7073" s="24" t="n">
        <x:v>9</x:v>
      </x:c>
      <x:c r="K7073" s="26" t="n">
        <x:v>0.2</x:v>
      </x:c>
      <x:c r="L7073" s="22" t="n">
        <x:v>30.996000000000002</x:v>
      </x:c>
      <x:c r="M7073" t="n">
        <x:v>2016</x:v>
      </x:c>
      <x:c r="N7073" s="20" t="n">
        <x:v>42491</x:v>
      </x:c>
    </x:row>
    <x:row r="7074" ht="18" customHeight="1">
      <x:c r="A7074" t="str">
        <x:v>CA-2014-141901</x:v>
      </x:c>
      <x:c r="B7074" s="18" t="n">
        <x:v>41860</x:v>
      </x:c>
      <x:c r="C7074" t="str">
        <x:v>GM-14500</x:v>
      </x:c>
      <x:c r="D7074" t="str">
        <x:v>Gene McClure</x:v>
      </x:c>
      <x:c r="E7074" t="str">
        <x:v>Consumer</x:v>
      </x:c>
      <x:c r="F7074" t="str">
        <x:v>West</x:v>
      </x:c>
      <x:c r="G7074" t="str">
        <x:v>Office Supplies</x:v>
      </x:c>
      <x:c r="H7074" t="str">
        <x:v>Paper</x:v>
      </x:c>
      <x:c r="I7074" s="22" t="n">
        <x:v>5.98</x:v>
      </x:c>
      <x:c r="J7074" s="24" t="n">
        <x:v>1</x:v>
      </x:c>
      <x:c r="K7074" s="26" t="n">
        <x:v>0</x:v>
      </x:c>
      <x:c r="L7074" s="22" t="n">
        <x:v>2.691</x:v>
      </x:c>
      <x:c r="M7074" t="n">
        <x:v>2014</x:v>
      </x:c>
      <x:c r="N7074" s="20" t="n">
        <x:v>41852</x:v>
      </x:c>
    </x:row>
    <x:row r="7075" ht="18" customHeight="1">
      <x:c r="A7075" t="str">
        <x:v>CA-2016-164490</x:v>
      </x:c>
      <x:c r="B7075" s="18" t="n">
        <x:v>42618</x:v>
      </x:c>
      <x:c r="C7075" t="str">
        <x:v>SU-20665</x:v>
      </x:c>
      <x:c r="D7075" t="str">
        <x:v>Stephanie Ulpright</x:v>
      </x:c>
      <x:c r="E7075" t="str">
        <x:v>Home Office</x:v>
      </x:c>
      <x:c r="F7075" t="str">
        <x:v>Central</x:v>
      </x:c>
      <x:c r="G7075" t="str">
        <x:v>Office Supplies</x:v>
      </x:c>
      <x:c r="H7075" t="str">
        <x:v>Paper</x:v>
      </x:c>
      <x:c r="I7075" s="22" t="n">
        <x:v>9.248000000000001</x:v>
      </x:c>
      <x:c r="J7075" s="24" t="n">
        <x:v>2</x:v>
      </x:c>
      <x:c r="K7075" s="26" t="n">
        <x:v>0.2</x:v>
      </x:c>
      <x:c r="L7075" s="22" t="n">
        <x:v>3.3524000000000003</x:v>
      </x:c>
      <x:c r="M7075" t="n">
        <x:v>2016</x:v>
      </x:c>
      <x:c r="N7075" s="20" t="n">
        <x:v>42614</x:v>
      </x:c>
    </x:row>
    <x:row r="7076" ht="18" customHeight="1">
      <x:c r="A7076" t="str">
        <x:v>CA-2016-112256</x:v>
      </x:c>
      <x:c r="B7076" s="18" t="n">
        <x:v>42574</x:v>
      </x:c>
      <x:c r="C7076" t="str">
        <x:v>CK-12205</x:v>
      </x:c>
      <x:c r="D7076" t="str">
        <x:v>Chloris Kastensmidt</x:v>
      </x:c>
      <x:c r="E7076" t="str">
        <x:v>Consumer</x:v>
      </x:c>
      <x:c r="F7076" t="str">
        <x:v>Central</x:v>
      </x:c>
      <x:c r="G7076" t="str">
        <x:v>Office Supplies</x:v>
      </x:c>
      <x:c r="H7076" t="str">
        <x:v>Art</x:v>
      </x:c>
      <x:c r="I7076" s="22" t="n">
        <x:v>4.4479999999999995</x:v>
      </x:c>
      <x:c r="J7076" s="24" t="n">
        <x:v>2</x:v>
      </x:c>
      <x:c r="K7076" s="26" t="n">
        <x:v>0.2</x:v>
      </x:c>
      <x:c r="L7076" s="22" t="n">
        <x:v>0.3335999999999999</x:v>
      </x:c>
      <x:c r="M7076" t="n">
        <x:v>2016</x:v>
      </x:c>
      <x:c r="N7076" s="20" t="n">
        <x:v>42552</x:v>
      </x:c>
    </x:row>
    <x:row r="7077" ht="18" customHeight="1">
      <x:c r="A7077" t="str">
        <x:v>CA-2016-112256</x:v>
      </x:c>
      <x:c r="B7077" s="18" t="n">
        <x:v>42574</x:v>
      </x:c>
      <x:c r="C7077" t="str">
        <x:v>CK-12205</x:v>
      </x:c>
      <x:c r="D7077" t="str">
        <x:v>Chloris Kastensmidt</x:v>
      </x:c>
      <x:c r="E7077" t="str">
        <x:v>Consumer</x:v>
      </x:c>
      <x:c r="F7077" t="str">
        <x:v>Central</x:v>
      </x:c>
      <x:c r="G7077" t="str">
        <x:v>Office Supplies</x:v>
      </x:c>
      <x:c r="H7077" t="str">
        <x:v>Paper</x:v>
      </x:c>
      <x:c r="I7077" s="22" t="n">
        <x:v>5.184000000000001</x:v>
      </x:c>
      <x:c r="J7077" s="24" t="n">
        <x:v>1</x:v>
      </x:c>
      <x:c r="K7077" s="26" t="n">
        <x:v>0.2</x:v>
      </x:c>
      <x:c r="L7077" s="22" t="n">
        <x:v>1.8144</x:v>
      </x:c>
      <x:c r="M7077" t="n">
        <x:v>2016</x:v>
      </x:c>
      <x:c r="N7077" s="20" t="n">
        <x:v>42552</x:v>
      </x:c>
    </x:row>
    <x:row r="7078" ht="18" customHeight="1">
      <x:c r="A7078" t="str">
        <x:v>CA-2016-112256</x:v>
      </x:c>
      <x:c r="B7078" s="18" t="n">
        <x:v>42574</x:v>
      </x:c>
      <x:c r="C7078" t="str">
        <x:v>CK-12205</x:v>
      </x:c>
      <x:c r="D7078" t="str">
        <x:v>Chloris Kastensmidt</x:v>
      </x:c>
      <x:c r="E7078" t="str">
        <x:v>Consumer</x:v>
      </x:c>
      <x:c r="F7078" t="str">
        <x:v>Central</x:v>
      </x:c>
      <x:c r="G7078" t="str">
        <x:v>Office Supplies</x:v>
      </x:c>
      <x:c r="H7078" t="str">
        <x:v>Art</x:v>
      </x:c>
      <x:c r="I7078" s="22" t="n">
        <x:v>175.92</x:v>
      </x:c>
      <x:c r="J7078" s="24" t="n">
        <x:v>5</x:v>
      </x:c>
      <x:c r="K7078" s="26" t="n">
        <x:v>0.2</x:v>
      </x:c>
      <x:c r="L7078" s="22" t="n">
        <x:v>15.393000000000008</x:v>
      </x:c>
      <x:c r="M7078" t="n">
        <x:v>2016</x:v>
      </x:c>
      <x:c r="N7078" s="20" t="n">
        <x:v>42552</x:v>
      </x:c>
    </x:row>
    <x:row r="7079" ht="18" customHeight="1">
      <x:c r="A7079" t="str">
        <x:v>CA-2016-112256</x:v>
      </x:c>
      <x:c r="B7079" s="18" t="n">
        <x:v>42574</x:v>
      </x:c>
      <x:c r="C7079" t="str">
        <x:v>CK-12205</x:v>
      </x:c>
      <x:c r="D7079" t="str">
        <x:v>Chloris Kastensmidt</x:v>
      </x:c>
      <x:c r="E7079" t="str">
        <x:v>Consumer</x:v>
      </x:c>
      <x:c r="F7079" t="str">
        <x:v>Central</x:v>
      </x:c>
      <x:c r="G7079" t="str">
        <x:v>Office Supplies</x:v>
      </x:c>
      <x:c r="H7079" t="str">
        <x:v>Binders</x:v>
      </x:c>
      <x:c r="I7079" s="22" t="n">
        <x:v>4.751999999999999</x:v>
      </x:c>
      <x:c r="J7079" s="24" t="n">
        <x:v>4</x:v>
      </x:c>
      <x:c r="K7079" s="26" t="n">
        <x:v>0.8</x:v>
      </x:c>
      <x:c r="L7079" s="22" t="n">
        <x:v>-8.316000000000003</x:v>
      </x:c>
      <x:c r="M7079" t="n">
        <x:v>2016</x:v>
      </x:c>
      <x:c r="N7079" s="20" t="n">
        <x:v>42552</x:v>
      </x:c>
    </x:row>
    <x:row r="7080" ht="18" customHeight="1">
      <x:c r="A7080" t="str">
        <x:v>CA-2016-112256</x:v>
      </x:c>
      <x:c r="B7080" s="18" t="n">
        <x:v>42574</x:v>
      </x:c>
      <x:c r="C7080" t="str">
        <x:v>CK-12205</x:v>
      </x:c>
      <x:c r="D7080" t="str">
        <x:v>Chloris Kastensmidt</x:v>
      </x:c>
      <x:c r="E7080" t="str">
        <x:v>Consumer</x:v>
      </x:c>
      <x:c r="F7080" t="str">
        <x:v>Central</x:v>
      </x:c>
      <x:c r="G7080" t="str">
        <x:v>Office Supplies</x:v>
      </x:c>
      <x:c r="H7080" t="str">
        <x:v>Supplies</x:v>
      </x:c>
      <x:c r="I7080" s="22" t="n">
        <x:v>13.344000000000001</x:v>
      </x:c>
      <x:c r="J7080" s="24" t="n">
        <x:v>2</x:v>
      </x:c>
      <x:c r="K7080" s="26" t="n">
        <x:v>0.2</x:v>
      </x:c>
      <x:c r="L7080" s="22" t="n">
        <x:v>1.0008</x:v>
      </x:c>
      <x:c r="M7080" t="n">
        <x:v>2016</x:v>
      </x:c>
      <x:c r="N7080" s="20" t="n">
        <x:v>42552</x:v>
      </x:c>
    </x:row>
    <x:row r="7081" ht="18" customHeight="1">
      <x:c r="A7081" t="str">
        <x:v>CA-2016-167416</x:v>
      </x:c>
      <x:c r="B7081" s="18" t="n">
        <x:v>42502</x:v>
      </x:c>
      <x:c r="C7081" t="str">
        <x:v>JM-15580</x:v>
      </x:c>
      <x:c r="D7081" t="str">
        <x:v>Jill Matthias</x:v>
      </x:c>
      <x:c r="E7081" t="str">
        <x:v>Consumer</x:v>
      </x:c>
      <x:c r="F7081" t="str">
        <x:v>West</x:v>
      </x:c>
      <x:c r="G7081" t="str">
        <x:v>Office Supplies</x:v>
      </x:c>
      <x:c r="H7081" t="str">
        <x:v>Envelopes</x:v>
      </x:c>
      <x:c r="I7081" s="22" t="n">
        <x:v>54.900000000000006</x:v>
      </x:c>
      <x:c r="J7081" s="24" t="n">
        <x:v>5</x:v>
      </x:c>
      <x:c r="K7081" s="26" t="n">
        <x:v>0</x:v>
      </x:c>
      <x:c r="L7081" s="22" t="n">
        <x:v>26.901000000000003</x:v>
      </x:c>
      <x:c r="M7081" t="n">
        <x:v>2016</x:v>
      </x:c>
      <x:c r="N7081" s="20" t="n">
        <x:v>42491</x:v>
      </x:c>
    </x:row>
    <x:row r="7082" ht="18" customHeight="1">
      <x:c r="A7082" t="str">
        <x:v>CA-2016-106950</x:v>
      </x:c>
      <x:c r="B7082" s="18" t="n">
        <x:v>42615</x:v>
      </x:c>
      <x:c r="C7082" t="str">
        <x:v>JE-15715</x:v>
      </x:c>
      <x:c r="D7082" t="str">
        <x:v>Joe Elijah</x:v>
      </x:c>
      <x:c r="E7082" t="str">
        <x:v>Consumer</x:v>
      </x:c>
      <x:c r="F7082" t="str">
        <x:v>South</x:v>
      </x:c>
      <x:c r="G7082" t="str">
        <x:v>Office Supplies</x:v>
      </x:c>
      <x:c r="H7082" t="str">
        <x:v>Binders</x:v>
      </x:c>
      <x:c r="I7082" s="22" t="n">
        <x:v>22.911000000000005</x:v>
      </x:c>
      <x:c r="J7082" s="24" t="n">
        <x:v>7</x:v>
      </x:c>
      <x:c r="K7082" s="26" t="n">
        <x:v>0.7</x:v>
      </x:c>
      <x:c r="L7082" s="22" t="n">
        <x:v>-17.565099999999994</x:v>
      </x:c>
      <x:c r="M7082" t="n">
        <x:v>2016</x:v>
      </x:c>
      <x:c r="N7082" s="20" t="n">
        <x:v>42614</x:v>
      </x:c>
    </x:row>
    <x:row r="7083" ht="18" customHeight="1">
      <x:c r="A7083" t="str">
        <x:v>CA-2016-106950</x:v>
      </x:c>
      <x:c r="B7083" s="18" t="n">
        <x:v>42615</x:v>
      </x:c>
      <x:c r="C7083" t="str">
        <x:v>JE-15715</x:v>
      </x:c>
      <x:c r="D7083" t="str">
        <x:v>Joe Elijah</x:v>
      </x:c>
      <x:c r="E7083" t="str">
        <x:v>Consumer</x:v>
      </x:c>
      <x:c r="F7083" t="str">
        <x:v>South</x:v>
      </x:c>
      <x:c r="G7083" t="str">
        <x:v>Office Supplies</x:v>
      </x:c>
      <x:c r="H7083" t="str">
        <x:v>Appliances</x:v>
      </x:c>
      <x:c r="I7083" s="22" t="n">
        <x:v>309.456</x:v>
      </x:c>
      <x:c r="J7083" s="24" t="n">
        <x:v>9</x:v>
      </x:c>
      <x:c r="K7083" s="26" t="n">
        <x:v>0.2</x:v>
      </x:c>
      <x:c r="L7083" s="22" t="n">
        <x:v>34.813799999999944</x:v>
      </x:c>
      <x:c r="M7083" t="n">
        <x:v>2016</x:v>
      </x:c>
      <x:c r="N7083" s="20" t="n">
        <x:v>42614</x:v>
      </x:c>
    </x:row>
    <x:row r="7084" ht="18" customHeight="1">
      <x:c r="A7084" t="str">
        <x:v>CA-2016-106950</x:v>
      </x:c>
      <x:c r="B7084" s="18" t="n">
        <x:v>42615</x:v>
      </x:c>
      <x:c r="C7084" t="str">
        <x:v>JE-15715</x:v>
      </x:c>
      <x:c r="D7084" t="str">
        <x:v>Joe Elijah</x:v>
      </x:c>
      <x:c r="E7084" t="str">
        <x:v>Consumer</x:v>
      </x:c>
      <x:c r="F7084" t="str">
        <x:v>South</x:v>
      </x:c>
      <x:c r="G7084" t="str">
        <x:v>Office Supplies</x:v>
      </x:c>
      <x:c r="H7084" t="str">
        <x:v>Art</x:v>
      </x:c>
      <x:c r="I7084" s="22" t="n">
        <x:v>19.456000000000003</x:v>
      </x:c>
      <x:c r="J7084" s="24" t="n">
        <x:v>4</x:v>
      </x:c>
      <x:c r="K7084" s="26" t="n">
        <x:v>0.2</x:v>
      </x:c>
      <x:c r="L7084" s="22" t="n">
        <x:v>3.404799999999998</x:v>
      </x:c>
      <x:c r="M7084" t="n">
        <x:v>2016</x:v>
      </x:c>
      <x:c r="N7084" s="20" t="n">
        <x:v>42614</x:v>
      </x:c>
    </x:row>
    <x:row r="7085" ht="18" customHeight="1">
      <x:c r="A7085" t="str">
        <x:v>CA-2016-106950</x:v>
      </x:c>
      <x:c r="B7085" s="18" t="n">
        <x:v>42615</x:v>
      </x:c>
      <x:c r="C7085" t="str">
        <x:v>JE-15715</x:v>
      </x:c>
      <x:c r="D7085" t="str">
        <x:v>Joe Elijah</x:v>
      </x:c>
      <x:c r="E7085" t="str">
        <x:v>Consumer</x:v>
      </x:c>
      <x:c r="F7085" t="str">
        <x:v>South</x:v>
      </x:c>
      <x:c r="G7085" t="str">
        <x:v>Furniture</x:v>
      </x:c>
      <x:c r="H7085" t="str">
        <x:v>Tables</x:v>
      </x:c>
      <x:c r="I7085" s="22" t="n">
        <x:v>472.51800000000003</x:v>
      </x:c>
      <x:c r="J7085" s="24" t="n">
        <x:v>3</x:v>
      </x:c>
      <x:c r="K7085" s="26" t="n">
        <x:v>0.4</x:v>
      </x:c>
      <x:c r="L7085" s="22" t="n">
        <x:v>-149.63070000000005</x:v>
      </x:c>
      <x:c r="M7085" t="n">
        <x:v>2016</x:v>
      </x:c>
      <x:c r="N7085" s="20" t="n">
        <x:v>42614</x:v>
      </x:c>
    </x:row>
    <x:row r="7086" ht="18" customHeight="1">
      <x:c r="A7086" t="str">
        <x:v>CA-2016-106950</x:v>
      </x:c>
      <x:c r="B7086" s="18" t="n">
        <x:v>42615</x:v>
      </x:c>
      <x:c r="C7086" t="str">
        <x:v>JE-15715</x:v>
      </x:c>
      <x:c r="D7086" t="str">
        <x:v>Joe Elijah</x:v>
      </x:c>
      <x:c r="E7086" t="str">
        <x:v>Consumer</x:v>
      </x:c>
      <x:c r="F7086" t="str">
        <x:v>South</x:v>
      </x:c>
      <x:c r="G7086" t="str">
        <x:v>Technology</x:v>
      </x:c>
      <x:c r="H7086" t="str">
        <x:v>Accessories</x:v>
      </x:c>
      <x:c r="I7086" s="22" t="n">
        <x:v>1012.6800000000001</x:v>
      </x:c>
      <x:c r="J7086" s="24" t="n">
        <x:v>3</x:v>
      </x:c>
      <x:c r="K7086" s="26" t="n">
        <x:v>0.2</x:v>
      </x:c>
      <x:c r="L7086" s="22" t="n">
        <x:v>303.80400000000003</x:v>
      </x:c>
      <x:c r="M7086" t="n">
        <x:v>2016</x:v>
      </x:c>
      <x:c r="N7086" s="20" t="n">
        <x:v>42614</x:v>
      </x:c>
    </x:row>
    <x:row r="7087" ht="18" customHeight="1">
      <x:c r="A7087" t="str">
        <x:v>CA-2016-106950</x:v>
      </x:c>
      <x:c r="B7087" s="18" t="n">
        <x:v>42615</x:v>
      </x:c>
      <x:c r="C7087" t="str">
        <x:v>JE-15715</x:v>
      </x:c>
      <x:c r="D7087" t="str">
        <x:v>Joe Elijah</x:v>
      </x:c>
      <x:c r="E7087" t="str">
        <x:v>Consumer</x:v>
      </x:c>
      <x:c r="F7087" t="str">
        <x:v>South</x:v>
      </x:c>
      <x:c r="G7087" t="str">
        <x:v>Office Supplies</x:v>
      </x:c>
      <x:c r="H7087" t="str">
        <x:v>Binders</x:v>
      </x:c>
      <x:c r="I7087" s="22" t="n">
        <x:v>17.220000000000006</x:v>
      </x:c>
      <x:c r="J7087" s="24" t="n">
        <x:v>5</x:v>
      </x:c>
      <x:c r="K7087" s="26" t="n">
        <x:v>0.7</x:v>
      </x:c>
      <x:c r="L7087" s="22" t="n">
        <x:v>-12.628</x:v>
      </x:c>
      <x:c r="M7087" t="n">
        <x:v>2016</x:v>
      </x:c>
      <x:c r="N7087" s="20" t="n">
        <x:v>42614</x:v>
      </x:c>
    </x:row>
    <x:row r="7088" ht="18" customHeight="1">
      <x:c r="A7088" t="str">
        <x:v>CA-2017-118724</x:v>
      </x:c>
      <x:c r="B7088" s="18" t="n">
        <x:v>42937</x:v>
      </x:c>
      <x:c r="C7088" t="str">
        <x:v>AR-10825</x:v>
      </x:c>
      <x:c r="D7088" t="str">
        <x:v>Anthony Rawles</x:v>
      </x:c>
      <x:c r="E7088" t="str">
        <x:v>Corporate</x:v>
      </x:c>
      <x:c r="F7088" t="str">
        <x:v>West</x:v>
      </x:c>
      <x:c r="G7088" t="str">
        <x:v>Office Supplies</x:v>
      </x:c>
      <x:c r="H7088" t="str">
        <x:v>Art</x:v>
      </x:c>
      <x:c r="I7088" s="22" t="n">
        <x:v>3.52</x:v>
      </x:c>
      <x:c r="J7088" s="24" t="n">
        <x:v>2</x:v>
      </x:c>
      <x:c r="K7088" s="26" t="n">
        <x:v>0</x:v>
      </x:c>
      <x:c r="L7088" s="22" t="n">
        <x:v>1.6896</x:v>
      </x:c>
      <x:c r="M7088" t="n">
        <x:v>2017</x:v>
      </x:c>
      <x:c r="N7088" s="20" t="n">
        <x:v>42917</x:v>
      </x:c>
    </x:row>
    <x:row r="7089" ht="18" customHeight="1">
      <x:c r="A7089" t="str">
        <x:v>CA-2017-118724</x:v>
      </x:c>
      <x:c r="B7089" s="18" t="n">
        <x:v>42937</x:v>
      </x:c>
      <x:c r="C7089" t="str">
        <x:v>AR-10825</x:v>
      </x:c>
      <x:c r="D7089" t="str">
        <x:v>Anthony Rawles</x:v>
      </x:c>
      <x:c r="E7089" t="str">
        <x:v>Corporate</x:v>
      </x:c>
      <x:c r="F7089" t="str">
        <x:v>West</x:v>
      </x:c>
      <x:c r="G7089" t="str">
        <x:v>Technology</x:v>
      </x:c>
      <x:c r="H7089" t="str">
        <x:v>Phones</x:v>
      </x:c>
      <x:c r="I7089" s="22" t="n">
        <x:v>1626.1920000000002</x:v>
      </x:c>
      <x:c r="J7089" s="24" t="n">
        <x:v>9</x:v>
      </x:c>
      <x:c r="K7089" s="26" t="n">
        <x:v>0.2</x:v>
      </x:c>
      <x:c r="L7089" s="22" t="n">
        <x:v>121.96440000000001</x:v>
      </x:c>
      <x:c r="M7089" t="n">
        <x:v>2017</x:v>
      </x:c>
      <x:c r="N7089" s="20" t="n">
        <x:v>42917</x:v>
      </x:c>
    </x:row>
    <x:row r="7090" ht="18" customHeight="1">
      <x:c r="A7090" t="str">
        <x:v>CA-2017-112004</x:v>
      </x:c>
      <x:c r="B7090" s="18" t="n">
        <x:v>43003</x:v>
      </x:c>
      <x:c r="C7090" t="str">
        <x:v>AH-10075</x:v>
      </x:c>
      <x:c r="D7090" t="str">
        <x:v>Adam Hart</x:v>
      </x:c>
      <x:c r="E7090" t="str">
        <x:v>Corporate</x:v>
      </x:c>
      <x:c r="F7090" t="str">
        <x:v>East</x:v>
      </x:c>
      <x:c r="G7090" t="str">
        <x:v>Office Supplies</x:v>
      </x:c>
      <x:c r="H7090" t="str">
        <x:v>Binders</x:v>
      </x:c>
      <x:c r="I7090" s="22" t="n">
        <x:v>8.595000000000002</x:v>
      </x:c>
      <x:c r="J7090" s="24" t="n">
        <x:v>5</x:v>
      </x:c>
      <x:c r="K7090" s="26" t="n">
        <x:v>0.7</x:v>
      </x:c>
      <x:c r="L7090" s="22" t="n">
        <x:v>-6.303000000000001</x:v>
      </x:c>
      <x:c r="M7090" t="n">
        <x:v>2017</x:v>
      </x:c>
      <x:c r="N7090" s="20" t="n">
        <x:v>42979</x:v>
      </x:c>
    </x:row>
    <x:row r="7091" ht="18" customHeight="1">
      <x:c r="A7091" t="str">
        <x:v>CA-2017-112004</x:v>
      </x:c>
      <x:c r="B7091" s="18" t="n">
        <x:v>43003</x:v>
      </x:c>
      <x:c r="C7091" t="str">
        <x:v>AH-10075</x:v>
      </x:c>
      <x:c r="D7091" t="str">
        <x:v>Adam Hart</x:v>
      </x:c>
      <x:c r="E7091" t="str">
        <x:v>Corporate</x:v>
      </x:c>
      <x:c r="F7091" t="str">
        <x:v>East</x:v>
      </x:c>
      <x:c r="G7091" t="str">
        <x:v>Office Supplies</x:v>
      </x:c>
      <x:c r="H7091" t="str">
        <x:v>Supplies</x:v>
      </x:c>
      <x:c r="I7091" s="22" t="n">
        <x:v>190.89600000000002</x:v>
      </x:c>
      <x:c r="J7091" s="24" t="n">
        <x:v>2</x:v>
      </x:c>
      <x:c r="K7091" s="26" t="n">
        <x:v>0.2</x:v>
      </x:c>
      <x:c r="L7091" s="22" t="n">
        <x:v>-42.9516</x:v>
      </x:c>
      <x:c r="M7091" t="n">
        <x:v>2017</x:v>
      </x:c>
      <x:c r="N7091" s="20" t="n">
        <x:v>42979</x:v>
      </x:c>
    </x:row>
    <x:row r="7092" ht="18" customHeight="1">
      <x:c r="A7092" t="str">
        <x:v>US-2017-143175</x:v>
      </x:c>
      <x:c r="B7092" s="18" t="n">
        <x:v>42950</x:v>
      </x:c>
      <x:c r="C7092" t="str">
        <x:v>GA-14515</x:v>
      </x:c>
      <x:c r="D7092" t="str">
        <x:v>George Ashbrook</x:v>
      </x:c>
      <x:c r="E7092" t="str">
        <x:v>Consumer</x:v>
      </x:c>
      <x:c r="F7092" t="str">
        <x:v>West</x:v>
      </x:c>
      <x:c r="G7092" t="str">
        <x:v>Office Supplies</x:v>
      </x:c>
      <x:c r="H7092" t="str">
        <x:v>Storage</x:v>
      </x:c>
      <x:c r="I7092" s="22" t="n">
        <x:v>99.87</x:v>
      </x:c>
      <x:c r="J7092" s="24" t="n">
        <x:v>3</x:v>
      </x:c>
      <x:c r="K7092" s="26" t="n">
        <x:v>0</x:v>
      </x:c>
      <x:c r="L7092" s="22" t="n">
        <x:v>23.968799999999998</x:v>
      </x:c>
      <x:c r="M7092" t="n">
        <x:v>2017</x:v>
      </x:c>
      <x:c r="N7092" s="20" t="n">
        <x:v>42948</x:v>
      </x:c>
    </x:row>
    <x:row r="7093" ht="18" customHeight="1">
      <x:c r="A7093" t="str">
        <x:v>CA-2015-105844</x:v>
      </x:c>
      <x:c r="B7093" s="18" t="n">
        <x:v>42302</x:v>
      </x:c>
      <x:c r="C7093" t="str">
        <x:v>JF-15415</x:v>
      </x:c>
      <x:c r="D7093" t="str">
        <x:v>Jennifer Ferguson</x:v>
      </x:c>
      <x:c r="E7093" t="str">
        <x:v>Consumer</x:v>
      </x:c>
      <x:c r="F7093" t="str">
        <x:v>West</x:v>
      </x:c>
      <x:c r="G7093" t="str">
        <x:v>Office Supplies</x:v>
      </x:c>
      <x:c r="H7093" t="str">
        <x:v>Art</x:v>
      </x:c>
      <x:c r="I7093" s="22" t="n">
        <x:v>79.36</x:v>
      </x:c>
      <x:c r="J7093" s="24" t="n">
        <x:v>4</x:v>
      </x:c>
      <x:c r="K7093" s="26" t="n">
        <x:v>0</x:v>
      </x:c>
      <x:c r="L7093" s="22" t="n">
        <x:v>23.807999999999993</x:v>
      </x:c>
      <x:c r="M7093" t="n">
        <x:v>2015</x:v>
      </x:c>
      <x:c r="N7093" s="20" t="n">
        <x:v>42278</x:v>
      </x:c>
    </x:row>
    <x:row r="7094" ht="18" customHeight="1">
      <x:c r="A7094" t="str">
        <x:v>CA-2017-118864</x:v>
      </x:c>
      <x:c r="B7094" s="18" t="n">
        <x:v>42901</x:v>
      </x:c>
      <x:c r="C7094" t="str">
        <x:v>KH-16690</x:v>
      </x:c>
      <x:c r="D7094" t="str">
        <x:v>Kristen Hastings</x:v>
      </x:c>
      <x:c r="E7094" t="str">
        <x:v>Corporate</x:v>
      </x:c>
      <x:c r="F7094" t="str">
        <x:v>West</x:v>
      </x:c>
      <x:c r="G7094" t="str">
        <x:v>Technology</x:v>
      </x:c>
      <x:c r="H7094" t="str">
        <x:v>Phones</x:v>
      </x:c>
      <x:c r="I7094" s="22" t="n">
        <x:v>119.96</x:v>
      </x:c>
      <x:c r="J7094" s="24" t="n">
        <x:v>1</x:v>
      </x:c>
      <x:c r="K7094" s="26" t="n">
        <x:v>0.2</x:v>
      </x:c>
      <x:c r="L7094" s="22" t="n">
        <x:v>7.497499999999999</x:v>
      </x:c>
      <x:c r="M7094" t="n">
        <x:v>2017</x:v>
      </x:c>
      <x:c r="N7094" s="20" t="n">
        <x:v>42887</x:v>
      </x:c>
    </x:row>
    <x:row r="7095" ht="18" customHeight="1">
      <x:c r="A7095" t="str">
        <x:v>CA-2015-119480</x:v>
      </x:c>
      <x:c r="B7095" s="18" t="n">
        <x:v>42013</x:v>
      </x:c>
      <x:c r="C7095" t="str">
        <x:v>CC-12685</x:v>
      </x:c>
      <x:c r="D7095" t="str">
        <x:v>Craig Carroll</x:v>
      </x:c>
      <x:c r="E7095" t="str">
        <x:v>Consumer</x:v>
      </x:c>
      <x:c r="F7095" t="str">
        <x:v>South</x:v>
      </x:c>
      <x:c r="G7095" t="str">
        <x:v>Office Supplies</x:v>
      </x:c>
      <x:c r="H7095" t="str">
        <x:v>Paper</x:v>
      </x:c>
      <x:c r="I7095" s="22" t="n">
        <x:v>106.32</x:v>
      </x:c>
      <x:c r="J7095" s="24" t="n">
        <x:v>3</x:v>
      </x:c>
      <x:c r="K7095" s="26" t="n">
        <x:v>0</x:v>
      </x:c>
      <x:c r="L7095" s="22" t="n">
        <x:v>49.97039999999999</x:v>
      </x:c>
      <x:c r="M7095" t="n">
        <x:v>2015</x:v>
      </x:c>
      <x:c r="N7095" s="20" t="n">
        <x:v>42005</x:v>
      </x:c>
    </x:row>
    <x:row r="7096" ht="18" customHeight="1">
      <x:c r="A7096" t="str">
        <x:v>CA-2015-119480</x:v>
      </x:c>
      <x:c r="B7096" s="18" t="n">
        <x:v>42013</x:v>
      </x:c>
      <x:c r="C7096" t="str">
        <x:v>CC-12685</x:v>
      </x:c>
      <x:c r="D7096" t="str">
        <x:v>Craig Carroll</x:v>
      </x:c>
      <x:c r="E7096" t="str">
        <x:v>Consumer</x:v>
      </x:c>
      <x:c r="F7096" t="str">
        <x:v>South</x:v>
      </x:c>
      <x:c r="G7096" t="str">
        <x:v>Office Supplies</x:v>
      </x:c>
      <x:c r="H7096" t="str">
        <x:v>Appliances</x:v>
      </x:c>
      <x:c r="I7096" s="22" t="n">
        <x:v>163.44</x:v>
      </x:c>
      <x:c r="J7096" s="24" t="n">
        <x:v>3</x:v>
      </x:c>
      <x:c r="K7096" s="26" t="n">
        <x:v>0</x:v>
      </x:c>
      <x:c r="L7096" s="22" t="n">
        <x:v>45.76320000000001</x:v>
      </x:c>
      <x:c r="M7096" t="n">
        <x:v>2015</x:v>
      </x:c>
      <x:c r="N7096" s="20" t="n">
        <x:v>42005</x:v>
      </x:c>
    </x:row>
    <x:row r="7097" ht="18" customHeight="1">
      <x:c r="A7097" t="str">
        <x:v>CA-2015-119480</x:v>
      </x:c>
      <x:c r="B7097" s="18" t="n">
        <x:v>42013</x:v>
      </x:c>
      <x:c r="C7097" t="str">
        <x:v>CC-12685</x:v>
      </x:c>
      <x:c r="D7097" t="str">
        <x:v>Craig Carroll</x:v>
      </x:c>
      <x:c r="E7097" t="str">
        <x:v>Consumer</x:v>
      </x:c>
      <x:c r="F7097" t="str">
        <x:v>South</x:v>
      </x:c>
      <x:c r="G7097" t="str">
        <x:v>Office Supplies</x:v>
      </x:c>
      <x:c r="H7097" t="str">
        <x:v>Art</x:v>
      </x:c>
      <x:c r="I7097" s="22" t="n">
        <x:v>42.76</x:v>
      </x:c>
      <x:c r="J7097" s="24" t="n">
        <x:v>2</x:v>
      </x:c>
      <x:c r="K7097" s="26" t="n">
        <x:v>0</x:v>
      </x:c>
      <x:c r="L7097" s="22" t="n">
        <x:v>11.1176</x:v>
      </x:c>
      <x:c r="M7097" t="n">
        <x:v>2015</x:v>
      </x:c>
      <x:c r="N7097" s="20" t="n">
        <x:v>42005</x:v>
      </x:c>
    </x:row>
    <x:row r="7098" ht="18" customHeight="1">
      <x:c r="A7098" t="str">
        <x:v>CA-2015-119480</x:v>
      </x:c>
      <x:c r="B7098" s="18" t="n">
        <x:v>42013</x:v>
      </x:c>
      <x:c r="C7098" t="str">
        <x:v>CC-12685</x:v>
      </x:c>
      <x:c r="D7098" t="str">
        <x:v>Craig Carroll</x:v>
      </x:c>
      <x:c r="E7098" t="str">
        <x:v>Consumer</x:v>
      </x:c>
      <x:c r="F7098" t="str">
        <x:v>South</x:v>
      </x:c>
      <x:c r="G7098" t="str">
        <x:v>Office Supplies</x:v>
      </x:c>
      <x:c r="H7098" t="str">
        <x:v>Paper</x:v>
      </x:c>
      <x:c r="I7098" s="22" t="n">
        <x:v>51.550000000000004</x:v>
      </x:c>
      <x:c r="J7098" s="24" t="n">
        <x:v>5</x:v>
      </x:c>
      <x:c r="K7098" s="26" t="n">
        <x:v>0</x:v>
      </x:c>
      <x:c r="L7098" s="22" t="n">
        <x:v>24.2285</x:v>
      </x:c>
      <x:c r="M7098" t="n">
        <x:v>2015</x:v>
      </x:c>
      <x:c r="N7098" s="20" t="n">
        <x:v>42005</x:v>
      </x:c>
    </x:row>
    <x:row r="7099" ht="18" customHeight="1">
      <x:c r="A7099" t="str">
        <x:v>US-2015-153374</x:v>
      </x:c>
      <x:c r="B7099" s="18" t="n">
        <x:v>42044</x:v>
      </x:c>
      <x:c r="C7099" t="str">
        <x:v>JF-15565</x:v>
      </x:c>
      <x:c r="D7099" t="str">
        <x:v>Jill Fjeld</x:v>
      </x:c>
      <x:c r="E7099" t="str">
        <x:v>Consumer</x:v>
      </x:c>
      <x:c r="F7099" t="str">
        <x:v>Central</x:v>
      </x:c>
      <x:c r="G7099" t="str">
        <x:v>Technology</x:v>
      </x:c>
      <x:c r="H7099" t="str">
        <x:v>Accessories</x:v>
      </x:c>
      <x:c r="I7099" s="22" t="n">
        <x:v>479.952</x:v>
      </x:c>
      <x:c r="J7099" s="24" t="n">
        <x:v>6</x:v>
      </x:c>
      <x:c r="K7099" s="26" t="n">
        <x:v>0.2</x:v>
      </x:c>
      <x:c r="L7099" s="22" t="n">
        <x:v>89.99099999999999</x:v>
      </x:c>
      <x:c r="M7099" t="n">
        <x:v>2015</x:v>
      </x:c>
      <x:c r="N7099" s="20" t="n">
        <x:v>42036</x:v>
      </x:c>
    </x:row>
    <x:row r="7100" ht="18" customHeight="1">
      <x:c r="A7100" t="str">
        <x:v>CA-2016-101980</x:v>
      </x:c>
      <x:c r="B7100" s="18" t="n">
        <x:v>42601</x:v>
      </x:c>
      <x:c r="C7100" t="str">
        <x:v>RP-19390</x:v>
      </x:c>
      <x:c r="D7100" t="str">
        <x:v>Resi Pölking</x:v>
      </x:c>
      <x:c r="E7100" t="str">
        <x:v>Consumer</x:v>
      </x:c>
      <x:c r="F7100" t="str">
        <x:v>East</x:v>
      </x:c>
      <x:c r="G7100" t="str">
        <x:v>Office Supplies</x:v>
      </x:c>
      <x:c r="H7100" t="str">
        <x:v>Binders</x:v>
      </x:c>
      <x:c r="I7100" s="22" t="n">
        <x:v>146.688</x:v>
      </x:c>
      <x:c r="J7100" s="24" t="n">
        <x:v>6</x:v>
      </x:c>
      <x:c r="K7100" s="26" t="n">
        <x:v>0.2</x:v>
      </x:c>
      <x:c r="L7100" s="22" t="n">
        <x:v>55.007999999999996</x:v>
      </x:c>
      <x:c r="M7100" t="n">
        <x:v>2016</x:v>
      </x:c>
      <x:c r="N7100" s="20" t="n">
        <x:v>42583</x:v>
      </x:c>
    </x:row>
    <x:row r="7101" ht="18" customHeight="1">
      <x:c r="A7101" t="str">
        <x:v>CA-2016-101980</x:v>
      </x:c>
      <x:c r="B7101" s="18" t="n">
        <x:v>42601</x:v>
      </x:c>
      <x:c r="C7101" t="str">
        <x:v>RP-19390</x:v>
      </x:c>
      <x:c r="D7101" t="str">
        <x:v>Resi Pölking</x:v>
      </x:c>
      <x:c r="E7101" t="str">
        <x:v>Consumer</x:v>
      </x:c>
      <x:c r="F7101" t="str">
        <x:v>East</x:v>
      </x:c>
      <x:c r="G7101" t="str">
        <x:v>Office Supplies</x:v>
      </x:c>
      <x:c r="H7101" t="str">
        <x:v>Binders</x:v>
      </x:c>
      <x:c r="I7101" s="22" t="n">
        <x:v>276.78400000000005</x:v>
      </x:c>
      <x:c r="J7101" s="24" t="n">
        <x:v>2</x:v>
      </x:c>
      <x:c r="K7101" s="26" t="n">
        <x:v>0.2</x:v>
      </x:c>
      <x:c r="L7101" s="22" t="n">
        <x:v>89.95479999999999</x:v>
      </x:c>
      <x:c r="M7101" t="n">
        <x:v>2016</x:v>
      </x:c>
      <x:c r="N7101" s="20" t="n">
        <x:v>42583</x:v>
      </x:c>
    </x:row>
    <x:row r="7102" ht="18" customHeight="1">
      <x:c r="A7102" t="str">
        <x:v>CA-2016-101980</x:v>
      </x:c>
      <x:c r="B7102" s="18" t="n">
        <x:v>42601</x:v>
      </x:c>
      <x:c r="C7102" t="str">
        <x:v>RP-19390</x:v>
      </x:c>
      <x:c r="D7102" t="str">
        <x:v>Resi Pölking</x:v>
      </x:c>
      <x:c r="E7102" t="str">
        <x:v>Consumer</x:v>
      </x:c>
      <x:c r="F7102" t="str">
        <x:v>East</x:v>
      </x:c>
      <x:c r="G7102" t="str">
        <x:v>Office Supplies</x:v>
      </x:c>
      <x:c r="H7102" t="str">
        <x:v>Binders</x:v>
      </x:c>
      <x:c r="I7102" s="22" t="n">
        <x:v>25.32</x:v>
      </x:c>
      <x:c r="J7102" s="24" t="n">
        <x:v>5</x:v>
      </x:c>
      <x:c r="K7102" s="26" t="n">
        <x:v>0.2</x:v>
      </x:c>
      <x:c r="L7102" s="22" t="n">
        <x:v>9.178500000000001</x:v>
      </x:c>
      <x:c r="M7102" t="n">
        <x:v>2016</x:v>
      </x:c>
      <x:c r="N7102" s="20" t="n">
        <x:v>42583</x:v>
      </x:c>
    </x:row>
    <x:row r="7103" ht="18" customHeight="1">
      <x:c r="A7103" t="str">
        <x:v>CA-2017-144596</x:v>
      </x:c>
      <x:c r="B7103" s="18" t="n">
        <x:v>43045</x:v>
      </x:c>
      <x:c r="C7103" t="str">
        <x:v>CD-11980</x:v>
      </x:c>
      <x:c r="D7103" t="str">
        <x:v>Carol Darley</x:v>
      </x:c>
      <x:c r="E7103" t="str">
        <x:v>Consumer</x:v>
      </x:c>
      <x:c r="F7103" t="str">
        <x:v>East</x:v>
      </x:c>
      <x:c r="G7103" t="str">
        <x:v>Office Supplies</x:v>
      </x:c>
      <x:c r="H7103" t="str">
        <x:v>Paper</x:v>
      </x:c>
      <x:c r="I7103" s="22" t="n">
        <x:v>318.96</x:v>
      </x:c>
      <x:c r="J7103" s="24" t="n">
        <x:v>9</x:v>
      </x:c>
      <x:c r="K7103" s="26" t="n">
        <x:v>0</x:v>
      </x:c>
      <x:c r="L7103" s="22" t="n">
        <x:v>149.91119999999998</x:v>
      </x:c>
      <x:c r="M7103" t="n">
        <x:v>2017</x:v>
      </x:c>
      <x:c r="N7103" s="20" t="n">
        <x:v>43040</x:v>
      </x:c>
    </x:row>
    <x:row r="7104" ht="18" customHeight="1">
      <x:c r="A7104" t="str">
        <x:v>CA-2015-124933</x:v>
      </x:c>
      <x:c r="B7104" s="18" t="n">
        <x:v>42364</x:v>
      </x:c>
      <x:c r="C7104" t="str">
        <x:v>DF-13135</x:v>
      </x:c>
      <x:c r="D7104" t="str">
        <x:v>David Flashing</x:v>
      </x:c>
      <x:c r="E7104" t="str">
        <x:v>Consumer</x:v>
      </x:c>
      <x:c r="F7104" t="str">
        <x:v>East</x:v>
      </x:c>
      <x:c r="G7104" t="str">
        <x:v>Office Supplies</x:v>
      </x:c>
      <x:c r="H7104" t="str">
        <x:v>Paper</x:v>
      </x:c>
      <x:c r="I7104" s="22" t="n">
        <x:v>212.64</x:v>
      </x:c>
      <x:c r="J7104" s="24" t="n">
        <x:v>6</x:v>
      </x:c>
      <x:c r="K7104" s="26" t="n">
        <x:v>0</x:v>
      </x:c>
      <x:c r="L7104" s="22" t="n">
        <x:v>99.94079999999998</x:v>
      </x:c>
      <x:c r="M7104" t="n">
        <x:v>2015</x:v>
      </x:c>
      <x:c r="N7104" s="20" t="n">
        <x:v>42339</x:v>
      </x:c>
    </x:row>
    <x:row r="7105" ht="18" customHeight="1">
      <x:c r="A7105" t="str">
        <x:v>CA-2014-159625</x:v>
      </x:c>
      <x:c r="B7105" s="18" t="n">
        <x:v>41966</x:v>
      </x:c>
      <x:c r="C7105" t="str">
        <x:v>SM-20005</x:v>
      </x:c>
      <x:c r="D7105" t="str">
        <x:v>Sally Matthias</x:v>
      </x:c>
      <x:c r="E7105" t="str">
        <x:v>Consumer</x:v>
      </x:c>
      <x:c r="F7105" t="str">
        <x:v>West</x:v>
      </x:c>
      <x:c r="G7105" t="str">
        <x:v>Office Supplies</x:v>
      </x:c>
      <x:c r="H7105" t="str">
        <x:v>Envelopes</x:v>
      </x:c>
      <x:c r="I7105" s="22" t="n">
        <x:v>23.472</x:v>
      </x:c>
      <x:c r="J7105" s="24" t="n">
        <x:v>3</x:v>
      </x:c>
      <x:c r="K7105" s="26" t="n">
        <x:v>0.2</x:v>
      </x:c>
      <x:c r="L7105" s="22" t="n">
        <x:v>8.801999999999998</x:v>
      </x:c>
      <x:c r="M7105" t="n">
        <x:v>2014</x:v>
      </x:c>
      <x:c r="N7105" s="20" t="n">
        <x:v>41944</x:v>
      </x:c>
    </x:row>
    <x:row r="7106" ht="18" customHeight="1">
      <x:c r="A7106" t="str">
        <x:v>CA-2016-144337</x:v>
      </x:c>
      <x:c r="B7106" s="18" t="n">
        <x:v>42583</x:v>
      </x:c>
      <x:c r="C7106" t="str">
        <x:v>SG-20890</x:v>
      </x:c>
      <x:c r="D7106" t="str">
        <x:v>Susan Gilcrest</x:v>
      </x:c>
      <x:c r="E7106" t="str">
        <x:v>Corporate</x:v>
      </x:c>
      <x:c r="F7106" t="str">
        <x:v>Central</x:v>
      </x:c>
      <x:c r="G7106" t="str">
        <x:v>Office Supplies</x:v>
      </x:c>
      <x:c r="H7106" t="str">
        <x:v>Paper</x:v>
      </x:c>
      <x:c r="I7106" s="22" t="n">
        <x:v>19.648</x:v>
      </x:c>
      <x:c r="J7106" s="24" t="n">
        <x:v>2</x:v>
      </x:c>
      <x:c r="K7106" s="26" t="n">
        <x:v>0.2</x:v>
      </x:c>
      <x:c r="L7106" s="22" t="n">
        <x:v>6.631199999999999</x:v>
      </x:c>
      <x:c r="M7106" t="n">
        <x:v>2016</x:v>
      </x:c>
      <x:c r="N7106" s="20" t="n">
        <x:v>42583</x:v>
      </x:c>
    </x:row>
    <x:row r="7107" ht="18" customHeight="1">
      <x:c r="A7107" t="str">
        <x:v>CA-2014-117478</x:v>
      </x:c>
      <x:c r="B7107" s="18" t="n">
        <x:v>41903</x:v>
      </x:c>
      <x:c r="C7107" t="str">
        <x:v>LH-16750</x:v>
      </x:c>
      <x:c r="D7107" t="str">
        <x:v>Larry Hughes</x:v>
      </x:c>
      <x:c r="E7107" t="str">
        <x:v>Consumer</x:v>
      </x:c>
      <x:c r="F7107" t="str">
        <x:v>East</x:v>
      </x:c>
      <x:c r="G7107" t="str">
        <x:v>Office Supplies</x:v>
      </x:c>
      <x:c r="H7107" t="str">
        <x:v>Binders</x:v>
      </x:c>
      <x:c r="I7107" s="22" t="n">
        <x:v>6.570000000000001</x:v>
      </x:c>
      <x:c r="J7107" s="24" t="n">
        <x:v>3</x:v>
      </x:c>
      <x:c r="K7107" s="26" t="n">
        <x:v>0.7</x:v>
      </x:c>
      <x:c r="L7107" s="22" t="n">
        <x:v>-5.036999999999999</x:v>
      </x:c>
      <x:c r="M7107" t="n">
        <x:v>2014</x:v>
      </x:c>
      <x:c r="N7107" s="20" t="n">
        <x:v>41883</x:v>
      </x:c>
    </x:row>
    <x:row r="7108" ht="18" customHeight="1">
      <x:c r="A7108" t="str">
        <x:v>CA-2017-147410</x:v>
      </x:c>
      <x:c r="B7108" s="18" t="n">
        <x:v>42982</x:v>
      </x:c>
      <x:c r="C7108" t="str">
        <x:v>EJ-14155</x:v>
      </x:c>
      <x:c r="D7108" t="str">
        <x:v>Eva Jacobs</x:v>
      </x:c>
      <x:c r="E7108" t="str">
        <x:v>Consumer</x:v>
      </x:c>
      <x:c r="F7108" t="str">
        <x:v>West</x:v>
      </x:c>
      <x:c r="G7108" t="str">
        <x:v>Office Supplies</x:v>
      </x:c>
      <x:c r="H7108" t="str">
        <x:v>Storage</x:v>
      </x:c>
      <x:c r="I7108" s="22" t="n">
        <x:v>421.1</x:v>
      </x:c>
      <x:c r="J7108" s="24" t="n">
        <x:v>2</x:v>
      </x:c>
      <x:c r="K7108" s="26" t="n">
        <x:v>0</x:v>
      </x:c>
      <x:c r="L7108" s="22" t="n">
        <x:v>105.27499999999998</x:v>
      </x:c>
      <x:c r="M7108" t="n">
        <x:v>2017</x:v>
      </x:c>
      <x:c r="N7108" s="20" t="n">
        <x:v>42979</x:v>
      </x:c>
    </x:row>
    <x:row r="7109" ht="18" customHeight="1">
      <x:c r="A7109" t="str">
        <x:v>CA-2017-128944</x:v>
      </x:c>
      <x:c r="B7109" s="18" t="n">
        <x:v>42905</x:v>
      </x:c>
      <x:c r="C7109" t="str">
        <x:v>KH-16330</x:v>
      </x:c>
      <x:c r="D7109" t="str">
        <x:v>Katharine Harms</x:v>
      </x:c>
      <x:c r="E7109" t="str">
        <x:v>Corporate</x:v>
      </x:c>
      <x:c r="F7109" t="str">
        <x:v>East</x:v>
      </x:c>
      <x:c r="G7109" t="str">
        <x:v>Furniture</x:v>
      </x:c>
      <x:c r="H7109" t="str">
        <x:v>Chairs</x:v>
      </x:c>
      <x:c r="I7109" s="22" t="n">
        <x:v>760.1159999999999</x:v>
      </x:c>
      <x:c r="J7109" s="24" t="n">
        <x:v>6</x:v>
      </x:c>
      <x:c r="K7109" s="26" t="n">
        <x:v>0.3</x:v>
      </x:c>
      <x:c r="L7109" s="22" t="n">
        <x:v>-43.43520000000001</x:v>
      </x:c>
      <x:c r="M7109" t="n">
        <x:v>2017</x:v>
      </x:c>
      <x:c r="N7109" s="20" t="n">
        <x:v>42887</x:v>
      </x:c>
    </x:row>
    <x:row r="7110" ht="18" customHeight="1">
      <x:c r="A7110" t="str">
        <x:v>CA-2017-128944</x:v>
      </x:c>
      <x:c r="B7110" s="18" t="n">
        <x:v>42905</x:v>
      </x:c>
      <x:c r="C7110" t="str">
        <x:v>KH-16330</x:v>
      </x:c>
      <x:c r="D7110" t="str">
        <x:v>Katharine Harms</x:v>
      </x:c>
      <x:c r="E7110" t="str">
        <x:v>Corporate</x:v>
      </x:c>
      <x:c r="F7110" t="str">
        <x:v>East</x:v>
      </x:c>
      <x:c r="G7110" t="str">
        <x:v>Furniture</x:v>
      </x:c>
      <x:c r="H7110" t="str">
        <x:v>Furnishings</x:v>
      </x:c>
      <x:c r="I7110" s="22" t="n">
        <x:v>38.784000000000006</x:v>
      </x:c>
      <x:c r="J7110" s="24" t="n">
        <x:v>3</x:v>
      </x:c>
      <x:c r="K7110" s="26" t="n">
        <x:v>0.2</x:v>
      </x:c>
      <x:c r="L7110" s="22" t="n">
        <x:v>7.271999999999995</x:v>
      </x:c>
      <x:c r="M7110" t="n">
        <x:v>2017</x:v>
      </x:c>
      <x:c r="N7110" s="20" t="n">
        <x:v>42887</x:v>
      </x:c>
    </x:row>
    <x:row r="7111" ht="18" customHeight="1">
      <x:c r="A7111" t="str">
        <x:v>CA-2017-128944</x:v>
      </x:c>
      <x:c r="B7111" s="18" t="n">
        <x:v>42905</x:v>
      </x:c>
      <x:c r="C7111" t="str">
        <x:v>KH-16330</x:v>
      </x:c>
      <x:c r="D7111" t="str">
        <x:v>Katharine Harms</x:v>
      </x:c>
      <x:c r="E7111" t="str">
        <x:v>Corporate</x:v>
      </x:c>
      <x:c r="F7111" t="str">
        <x:v>East</x:v>
      </x:c>
      <x:c r="G7111" t="str">
        <x:v>Technology</x:v>
      </x:c>
      <x:c r="H7111" t="str">
        <x:v>Accessories</x:v>
      </x:c>
      <x:c r="I7111" s="22" t="n">
        <x:v>122.32799999999999</x:v>
      </x:c>
      <x:c r="J7111" s="24" t="n">
        <x:v>9</x:v>
      </x:c>
      <x:c r="K7111" s="26" t="n">
        <x:v>0.2</x:v>
      </x:c>
      <x:c r="L7111" s="22" t="n">
        <x:v>1.5291000000000032</x:v>
      </x:c>
      <x:c r="M7111" t="n">
        <x:v>2017</x:v>
      </x:c>
      <x:c r="N7111" s="20" t="n">
        <x:v>42887</x:v>
      </x:c>
    </x:row>
    <x:row r="7112" ht="18" customHeight="1">
      <x:c r="A7112" t="str">
        <x:v>CA-2016-109666</x:v>
      </x:c>
      <x:c r="B7112" s="18" t="n">
        <x:v>42479</x:v>
      </x:c>
      <x:c r="C7112" t="str">
        <x:v>KM-16720</x:v>
      </x:c>
      <x:c r="D7112" t="str">
        <x:v>Kunst Miller</x:v>
      </x:c>
      <x:c r="E7112" t="str">
        <x:v>Consumer</x:v>
      </x:c>
      <x:c r="F7112" t="str">
        <x:v>East</x:v>
      </x:c>
      <x:c r="G7112" t="str">
        <x:v>Technology</x:v>
      </x:c>
      <x:c r="H7112" t="str">
        <x:v>Phones</x:v>
      </x:c>
      <x:c r="I7112" s="22" t="n">
        <x:v>25.98</x:v>
      </x:c>
      <x:c r="J7112" s="24" t="n">
        <x:v>2</x:v>
      </x:c>
      <x:c r="K7112" s="26" t="n">
        <x:v>0</x:v>
      </x:c>
      <x:c r="L7112" s="22" t="n">
        <x:v>0.779399999999999</x:v>
      </x:c>
      <x:c r="M7112" t="n">
        <x:v>2016</x:v>
      </x:c>
      <x:c r="N7112" s="20" t="n">
        <x:v>42461</x:v>
      </x:c>
    </x:row>
    <x:row r="7113" ht="18" customHeight="1">
      <x:c r="A7113" t="str">
        <x:v>CA-2016-109666</x:v>
      </x:c>
      <x:c r="B7113" s="18" t="n">
        <x:v>42479</x:v>
      </x:c>
      <x:c r="C7113" t="str">
        <x:v>KM-16720</x:v>
      </x:c>
      <x:c r="D7113" t="str">
        <x:v>Kunst Miller</x:v>
      </x:c>
      <x:c r="E7113" t="str">
        <x:v>Consumer</x:v>
      </x:c>
      <x:c r="F7113" t="str">
        <x:v>East</x:v>
      </x:c>
      <x:c r="G7113" t="str">
        <x:v>Office Supplies</x:v>
      </x:c>
      <x:c r="H7113" t="str">
        <x:v>Art</x:v>
      </x:c>
      <x:c r="I7113" s="22" t="n">
        <x:v>3.28</x:v>
      </x:c>
      <x:c r="J7113" s="24" t="n">
        <x:v>2</x:v>
      </x:c>
      <x:c r="K7113" s="26" t="n">
        <x:v>0</x:v>
      </x:c>
      <x:c r="L7113" s="22" t="n">
        <x:v>1.4759999999999998</x:v>
      </x:c>
      <x:c r="M7113" t="n">
        <x:v>2016</x:v>
      </x:c>
      <x:c r="N7113" s="20" t="n">
        <x:v>42461</x:v>
      </x:c>
    </x:row>
    <x:row r="7114" ht="18" customHeight="1">
      <x:c r="A7114" t="str">
        <x:v>CA-2016-109666</x:v>
      </x:c>
      <x:c r="B7114" s="18" t="n">
        <x:v>42479</x:v>
      </x:c>
      <x:c r="C7114" t="str">
        <x:v>KM-16720</x:v>
      </x:c>
      <x:c r="D7114" t="str">
        <x:v>Kunst Miller</x:v>
      </x:c>
      <x:c r="E7114" t="str">
        <x:v>Consumer</x:v>
      </x:c>
      <x:c r="F7114" t="str">
        <x:v>East</x:v>
      </x:c>
      <x:c r="G7114" t="str">
        <x:v>Office Supplies</x:v>
      </x:c>
      <x:c r="H7114" t="str">
        <x:v>Storage</x:v>
      </x:c>
      <x:c r="I7114" s="22" t="n">
        <x:v>459.88</x:v>
      </x:c>
      <x:c r="J7114" s="24" t="n">
        <x:v>4</x:v>
      </x:c>
      <x:c r="K7114" s="26" t="n">
        <x:v>0</x:v>
      </x:c>
      <x:c r="L7114" s="22" t="n">
        <x:v>13.796400000000006</x:v>
      </x:c>
      <x:c r="M7114" t="n">
        <x:v>2016</x:v>
      </x:c>
      <x:c r="N7114" s="20" t="n">
        <x:v>42461</x:v>
      </x:c>
    </x:row>
    <x:row r="7115" ht="18" customHeight="1">
      <x:c r="A7115" t="str">
        <x:v>CA-2016-109666</x:v>
      </x:c>
      <x:c r="B7115" s="18" t="n">
        <x:v>42479</x:v>
      </x:c>
      <x:c r="C7115" t="str">
        <x:v>KM-16720</x:v>
      </x:c>
      <x:c r="D7115" t="str">
        <x:v>Kunst Miller</x:v>
      </x:c>
      <x:c r="E7115" t="str">
        <x:v>Consumer</x:v>
      </x:c>
      <x:c r="F7115" t="str">
        <x:v>East</x:v>
      </x:c>
      <x:c r="G7115" t="str">
        <x:v>Office Supplies</x:v>
      </x:c>
      <x:c r="H7115" t="str">
        <x:v>Supplies</x:v>
      </x:c>
      <x:c r="I7115" s="22" t="n">
        <x:v>7.76</x:v>
      </x:c>
      <x:c r="J7115" s="24" t="n">
        <x:v>2</x:v>
      </x:c>
      <x:c r="K7115" s="26" t="n">
        <x:v>0</x:v>
      </x:c>
      <x:c r="L7115" s="22" t="n">
        <x:v>2.250399999999999</x:v>
      </x:c>
      <x:c r="M7115" t="n">
        <x:v>2016</x:v>
      </x:c>
      <x:c r="N7115" s="20" t="n">
        <x:v>42461</x:v>
      </x:c>
    </x:row>
    <x:row r="7116" ht="18" customHeight="1">
      <x:c r="A7116" t="str">
        <x:v>CA-2016-109666</x:v>
      </x:c>
      <x:c r="B7116" s="18" t="n">
        <x:v>42479</x:v>
      </x:c>
      <x:c r="C7116" t="str">
        <x:v>KM-16720</x:v>
      </x:c>
      <x:c r="D7116" t="str">
        <x:v>Kunst Miller</x:v>
      </x:c>
      <x:c r="E7116" t="str">
        <x:v>Consumer</x:v>
      </x:c>
      <x:c r="F7116" t="str">
        <x:v>East</x:v>
      </x:c>
      <x:c r="G7116" t="str">
        <x:v>Office Supplies</x:v>
      </x:c>
      <x:c r="H7116" t="str">
        <x:v>Art</x:v>
      </x:c>
      <x:c r="I7116" s="22" t="n">
        <x:v>71.96</x:v>
      </x:c>
      <x:c r="J7116" s="24" t="n">
        <x:v>2</x:v>
      </x:c>
      <x:c r="K7116" s="26" t="n">
        <x:v>0</x:v>
      </x:c>
      <x:c r="L7116" s="22" t="n">
        <x:v>17.989999999999995</x:v>
      </x:c>
      <x:c r="M7116" t="n">
        <x:v>2016</x:v>
      </x:c>
      <x:c r="N7116" s="20" t="n">
        <x:v>42461</x:v>
      </x:c>
    </x:row>
    <x:row r="7117" ht="18" customHeight="1">
      <x:c r="A7117" t="str">
        <x:v>CA-2016-109666</x:v>
      </x:c>
      <x:c r="B7117" s="18" t="n">
        <x:v>42479</x:v>
      </x:c>
      <x:c r="C7117" t="str">
        <x:v>KM-16720</x:v>
      </x:c>
      <x:c r="D7117" t="str">
        <x:v>Kunst Miller</x:v>
      </x:c>
      <x:c r="E7117" t="str">
        <x:v>Consumer</x:v>
      </x:c>
      <x:c r="F7117" t="str">
        <x:v>East</x:v>
      </x:c>
      <x:c r="G7117" t="str">
        <x:v>Office Supplies</x:v>
      </x:c>
      <x:c r="H7117" t="str">
        <x:v>Supplies</x:v>
      </x:c>
      <x:c r="I7117" s="22" t="n">
        <x:v>54.900000000000006</x:v>
      </x:c>
      <x:c r="J7117" s="24" t="n">
        <x:v>5</x:v>
      </x:c>
      <x:c r="K7117" s="26" t="n">
        <x:v>0</x:v>
      </x:c>
      <x:c r="L7117" s="22" t="n">
        <x:v>15.372000000000003</x:v>
      </x:c>
      <x:c r="M7117" t="n">
        <x:v>2016</x:v>
      </x:c>
      <x:c r="N7117" s="20" t="n">
        <x:v>42461</x:v>
      </x:c>
    </x:row>
    <x:row r="7118" ht="18" customHeight="1">
      <x:c r="A7118" t="str">
        <x:v>CA-2016-109666</x:v>
      </x:c>
      <x:c r="B7118" s="18" t="n">
        <x:v>42479</x:v>
      </x:c>
      <x:c r="C7118" t="str">
        <x:v>KM-16720</x:v>
      </x:c>
      <x:c r="D7118" t="str">
        <x:v>Kunst Miller</x:v>
      </x:c>
      <x:c r="E7118" t="str">
        <x:v>Consumer</x:v>
      </x:c>
      <x:c r="F7118" t="str">
        <x:v>East</x:v>
      </x:c>
      <x:c r="G7118" t="str">
        <x:v>Office Supplies</x:v>
      </x:c>
      <x:c r="H7118" t="str">
        <x:v>Binders</x:v>
      </x:c>
      <x:c r="I7118" s="22" t="n">
        <x:v>9.28</x:v>
      </x:c>
      <x:c r="J7118" s="24" t="n">
        <x:v>2</x:v>
      </x:c>
      <x:c r="K7118" s="26" t="n">
        <x:v>0.2</x:v>
      </x:c>
      <x:c r="L7118" s="22" t="n">
        <x:v>3.2479999999999998</x:v>
      </x:c>
      <x:c r="M7118" t="n">
        <x:v>2016</x:v>
      </x:c>
      <x:c r="N7118" s="20" t="n">
        <x:v>42461</x:v>
      </x:c>
    </x:row>
    <x:row r="7119" ht="18" customHeight="1">
      <x:c r="A7119" t="str">
        <x:v>US-2016-102239</x:v>
      </x:c>
      <x:c r="B7119" s="18" t="n">
        <x:v>42495</x:v>
      </x:c>
      <x:c r="C7119" t="str">
        <x:v>LW-16990</x:v>
      </x:c>
      <x:c r="D7119" t="str">
        <x:v>Lindsay Williams</x:v>
      </x:c>
      <x:c r="E7119" t="str">
        <x:v>Corporate</x:v>
      </x:c>
      <x:c r="F7119" t="str">
        <x:v>West</x:v>
      </x:c>
      <x:c r="G7119" t="str">
        <x:v>Furniture</x:v>
      </x:c>
      <x:c r="H7119" t="str">
        <x:v>Tables</x:v>
      </x:c>
      <x:c r="I7119" s="22" t="n">
        <x:v>1685.88</x:v>
      </x:c>
      <x:c r="J7119" s="24" t="n">
        <x:v>6</x:v>
      </x:c>
      <x:c r="K7119" s="26" t="n">
        <x:v>0</x:v>
      </x:c>
      <x:c r="L7119" s="22" t="n">
        <x:v>320.3172</x:v>
      </x:c>
      <x:c r="M7119" t="n">
        <x:v>2016</x:v>
      </x:c>
      <x:c r="N7119" s="20" t="n">
        <x:v>42491</x:v>
      </x:c>
    </x:row>
    <x:row r="7120" ht="18" customHeight="1">
      <x:c r="A7120" t="str">
        <x:v>US-2016-102239</x:v>
      </x:c>
      <x:c r="B7120" s="18" t="n">
        <x:v>42495</x:v>
      </x:c>
      <x:c r="C7120" t="str">
        <x:v>LW-16990</x:v>
      </x:c>
      <x:c r="D7120" t="str">
        <x:v>Lindsay Williams</x:v>
      </x:c>
      <x:c r="E7120" t="str">
        <x:v>Corporate</x:v>
      </x:c>
      <x:c r="F7120" t="str">
        <x:v>West</x:v>
      </x:c>
      <x:c r="G7120" t="str">
        <x:v>Office Supplies</x:v>
      </x:c>
      <x:c r="H7120" t="str">
        <x:v>Binders</x:v>
      </x:c>
      <x:c r="I7120" s="22" t="n">
        <x:v>5.728000000000001</x:v>
      </x:c>
      <x:c r="J7120" s="24" t="n">
        <x:v>2</x:v>
      </x:c>
      <x:c r="K7120" s="26" t="n">
        <x:v>0.2</x:v>
      </x:c>
      <x:c r="L7120" s="22" t="n">
        <x:v>2.0047999999999995</x:v>
      </x:c>
      <x:c r="M7120" t="n">
        <x:v>2016</x:v>
      </x:c>
      <x:c r="N7120" s="20" t="n">
        <x:v>42491</x:v>
      </x:c>
    </x:row>
    <x:row r="7121" ht="18" customHeight="1">
      <x:c r="A7121" t="str">
        <x:v>CA-2014-143168</x:v>
      </x:c>
      <x:c r="B7121" s="18" t="n">
        <x:v>41930</x:v>
      </x:c>
      <x:c r="C7121" t="str">
        <x:v>IG-15085</x:v>
      </x:c>
      <x:c r="D7121" t="str">
        <x:v>Ivan Gibson</x:v>
      </x:c>
      <x:c r="E7121" t="str">
        <x:v>Consumer</x:v>
      </x:c>
      <x:c r="F7121" t="str">
        <x:v>West</x:v>
      </x:c>
      <x:c r="G7121" t="str">
        <x:v>Office Supplies</x:v>
      </x:c>
      <x:c r="H7121" t="str">
        <x:v>Paper</x:v>
      </x:c>
      <x:c r="I7121" s="22" t="n">
        <x:v>61.96</x:v>
      </x:c>
      <x:c r="J7121" s="24" t="n">
        <x:v>2</x:v>
      </x:c>
      <x:c r="K7121" s="26" t="n">
        <x:v>0</x:v>
      </x:c>
      <x:c r="L7121" s="22" t="n">
        <x:v>27.881999999999998</x:v>
      </x:c>
      <x:c r="M7121" t="n">
        <x:v>2014</x:v>
      </x:c>
      <x:c r="N7121" s="20" t="n">
        <x:v>41913</x:v>
      </x:c>
    </x:row>
    <x:row r="7122" ht="18" customHeight="1">
      <x:c r="A7122" t="str">
        <x:v>CA-2014-143168</x:v>
      </x:c>
      <x:c r="B7122" s="18" t="n">
        <x:v>41930</x:v>
      </x:c>
      <x:c r="C7122" t="str">
        <x:v>IG-15085</x:v>
      </x:c>
      <x:c r="D7122" t="str">
        <x:v>Ivan Gibson</x:v>
      </x:c>
      <x:c r="E7122" t="str">
        <x:v>Consumer</x:v>
      </x:c>
      <x:c r="F7122" t="str">
        <x:v>West</x:v>
      </x:c>
      <x:c r="G7122" t="str">
        <x:v>Office Supplies</x:v>
      </x:c>
      <x:c r="H7122" t="str">
        <x:v>Binders</x:v>
      </x:c>
      <x:c r="I7122" s="22" t="n">
        <x:v>1.344</x:v>
      </x:c>
      <x:c r="J7122" s="24" t="n">
        <x:v>1</x:v>
      </x:c>
      <x:c r="K7122" s="26" t="n">
        <x:v>0.2</x:v>
      </x:c>
      <x:c r="L7122" s="22" t="n">
        <x:v>0.4703999999999999</x:v>
      </x:c>
      <x:c r="M7122" t="n">
        <x:v>2014</x:v>
      </x:c>
      <x:c r="N7122" s="20" t="n">
        <x:v>41913</x:v>
      </x:c>
    </x:row>
    <x:row r="7123" ht="18" customHeight="1">
      <x:c r="A7123" t="str">
        <x:v>CA-2017-104906</x:v>
      </x:c>
      <x:c r="B7123" s="18" t="n">
        <x:v>42779</x:v>
      </x:c>
      <x:c r="C7123" t="str">
        <x:v>JP-15460</x:v>
      </x:c>
      <x:c r="D7123" t="str">
        <x:v>Jennifer Patt</x:v>
      </x:c>
      <x:c r="E7123" t="str">
        <x:v>Corporate</x:v>
      </x:c>
      <x:c r="F7123" t="str">
        <x:v>East</x:v>
      </x:c>
      <x:c r="G7123" t="str">
        <x:v>Office Supplies</x:v>
      </x:c>
      <x:c r="H7123" t="str">
        <x:v>Paper</x:v>
      </x:c>
      <x:c r="I7123" s="22" t="n">
        <x:v>17.94</x:v>
      </x:c>
      <x:c r="J7123" s="24" t="n">
        <x:v>3</x:v>
      </x:c>
      <x:c r="K7123" s="26" t="n">
        <x:v>0</x:v>
      </x:c>
      <x:c r="L7123" s="22" t="n">
        <x:v>8.790600000000001</x:v>
      </x:c>
      <x:c r="M7123" t="n">
        <x:v>2017</x:v>
      </x:c>
      <x:c r="N7123" s="20" t="n">
        <x:v>42767</x:v>
      </x:c>
    </x:row>
    <x:row r="7124" ht="18" customHeight="1">
      <x:c r="A7124" t="str">
        <x:v>CA-2017-118122</x:v>
      </x:c>
      <x:c r="B7124" s="18" t="n">
        <x:v>43056</x:v>
      </x:c>
      <x:c r="C7124" t="str">
        <x:v>GG-14650</x:v>
      </x:c>
      <x:c r="D7124" t="str">
        <x:v>Greg Guthrie</x:v>
      </x:c>
      <x:c r="E7124" t="str">
        <x:v>Corporate</x:v>
      </x:c>
      <x:c r="F7124" t="str">
        <x:v>West</x:v>
      </x:c>
      <x:c r="G7124" t="str">
        <x:v>Office Supplies</x:v>
      </x:c>
      <x:c r="H7124" t="str">
        <x:v>Binders</x:v>
      </x:c>
      <x:c r="I7124" s="22" t="n">
        <x:v>13.904</x:v>
      </x:c>
      <x:c r="J7124" s="24" t="n">
        <x:v>2</x:v>
      </x:c>
      <x:c r="K7124" s="26" t="n">
        <x:v>0.2</x:v>
      </x:c>
      <x:c r="L7124" s="22" t="n">
        <x:v>4.5188</x:v>
      </x:c>
      <x:c r="M7124" t="n">
        <x:v>2017</x:v>
      </x:c>
      <x:c r="N7124" s="20" t="n">
        <x:v>43040</x:v>
      </x:c>
    </x:row>
    <x:row r="7125" ht="18" customHeight="1">
      <x:c r="A7125" t="str">
        <x:v>US-2014-147774</x:v>
      </x:c>
      <x:c r="B7125" s="18" t="n">
        <x:v>41659</x:v>
      </x:c>
      <x:c r="C7125" t="str">
        <x:v>MM-18280</x:v>
      </x:c>
      <x:c r="D7125" t="str">
        <x:v>Muhammed MacIntyre</x:v>
      </x:c>
      <x:c r="E7125" t="str">
        <x:v>Corporate</x:v>
      </x:c>
      <x:c r="F7125" t="str">
        <x:v>South</x:v>
      </x:c>
      <x:c r="G7125" t="str">
        <x:v>Office Supplies</x:v>
      </x:c>
      <x:c r="H7125" t="str">
        <x:v>Binders</x:v>
      </x:c>
      <x:c r="I7125" s="22" t="n">
        <x:v>67.194</x:v>
      </x:c>
      <x:c r="J7125" s="24" t="n">
        <x:v>1</x:v>
      </x:c>
      <x:c r="K7125" s="26" t="n">
        <x:v>0.7</x:v>
      </x:c>
      <x:c r="L7125" s="22" t="n">
        <x:v>-51.515399999999985</x:v>
      </x:c>
      <x:c r="M7125" t="n">
        <x:v>2014</x:v>
      </x:c>
      <x:c r="N7125" s="20" t="n">
        <x:v>41640</x:v>
      </x:c>
    </x:row>
    <x:row r="7126" ht="18" customHeight="1">
      <x:c r="A7126" t="str">
        <x:v>CA-2017-166926</x:v>
      </x:c>
      <x:c r="B7126" s="18" t="n">
        <x:v>43070</x:v>
      </x:c>
      <x:c r="C7126" t="str">
        <x:v>SO-20335</x:v>
      </x:c>
      <x:c r="D7126" t="str">
        <x:v>Sean O'Donnell</x:v>
      </x:c>
      <x:c r="E7126" t="str">
        <x:v>Consumer</x:v>
      </x:c>
      <x:c r="F7126" t="str">
        <x:v>West</x:v>
      </x:c>
      <x:c r="G7126" t="str">
        <x:v>Office Supplies</x:v>
      </x:c>
      <x:c r="H7126" t="str">
        <x:v>Paper</x:v>
      </x:c>
      <x:c r="I7126" s="22" t="n">
        <x:v>41.86</x:v>
      </x:c>
      <x:c r="J7126" s="24" t="n">
        <x:v>7</x:v>
      </x:c>
      <x:c r="K7126" s="26" t="n">
        <x:v>0</x:v>
      </x:c>
      <x:c r="L7126" s="22" t="n">
        <x:v>18.837</x:v>
      </x:c>
      <x:c r="M7126" t="n">
        <x:v>2017</x:v>
      </x:c>
      <x:c r="N7126" s="20" t="n">
        <x:v>43070</x:v>
      </x:c>
    </x:row>
    <x:row r="7127" ht="18" customHeight="1">
      <x:c r="A7127" t="str">
        <x:v>CA-2017-166926</x:v>
      </x:c>
      <x:c r="B7127" s="18" t="n">
        <x:v>43070</x:v>
      </x:c>
      <x:c r="C7127" t="str">
        <x:v>SO-20335</x:v>
      </x:c>
      <x:c r="D7127" t="str">
        <x:v>Sean O'Donnell</x:v>
      </x:c>
      <x:c r="E7127" t="str">
        <x:v>Consumer</x:v>
      </x:c>
      <x:c r="F7127" t="str">
        <x:v>West</x:v>
      </x:c>
      <x:c r="G7127" t="str">
        <x:v>Furniture</x:v>
      </x:c>
      <x:c r="H7127" t="str">
        <x:v>Bookcases</x:v>
      </x:c>
      <x:c r="I7127" s="22" t="n">
        <x:v>141.96</x:v>
      </x:c>
      <x:c r="J7127" s="24" t="n">
        <x:v>2</x:v>
      </x:c>
      <x:c r="K7127" s="26" t="n">
        <x:v>0</x:v>
      </x:c>
      <x:c r="L7127" s="22" t="n">
        <x:v>41.16839999999999</x:v>
      </x:c>
      <x:c r="M7127" t="n">
        <x:v>2017</x:v>
      </x:c>
      <x:c r="N7127" s="20" t="n">
        <x:v>43070</x:v>
      </x:c>
    </x:row>
    <x:row r="7128" ht="18" customHeight="1">
      <x:c r="A7128" t="str">
        <x:v>CA-2015-128013</x:v>
      </x:c>
      <x:c r="B7128" s="18" t="n">
        <x:v>42225</x:v>
      </x:c>
      <x:c r="C7128" t="str">
        <x:v>MF-18250</x:v>
      </x:c>
      <x:c r="D7128" t="str">
        <x:v>Monica Federle</x:v>
      </x:c>
      <x:c r="E7128" t="str">
        <x:v>Corporate</x:v>
      </x:c>
      <x:c r="F7128" t="str">
        <x:v>East</x:v>
      </x:c>
      <x:c r="G7128" t="str">
        <x:v>Furniture</x:v>
      </x:c>
      <x:c r="H7128" t="str">
        <x:v>Furnishings</x:v>
      </x:c>
      <x:c r="I7128" s="22" t="n">
        <x:v>10.02</x:v>
      </x:c>
      <x:c r="J7128" s="24" t="n">
        <x:v>3</x:v>
      </x:c>
      <x:c r="K7128" s="26" t="n">
        <x:v>0</x:v>
      </x:c>
      <x:c r="L7128" s="22" t="n">
        <x:v>4.408800000000001</x:v>
      </x:c>
      <x:c r="M7128" t="n">
        <x:v>2015</x:v>
      </x:c>
      <x:c r="N7128" s="20" t="n">
        <x:v>42217</x:v>
      </x:c>
    </x:row>
    <x:row r="7129" ht="18" customHeight="1">
      <x:c r="A7129" t="str">
        <x:v>CA-2015-128013</x:v>
      </x:c>
      <x:c r="B7129" s="18" t="n">
        <x:v>42225</x:v>
      </x:c>
      <x:c r="C7129" t="str">
        <x:v>MF-18250</x:v>
      </x:c>
      <x:c r="D7129" t="str">
        <x:v>Monica Federle</x:v>
      </x:c>
      <x:c r="E7129" t="str">
        <x:v>Corporate</x:v>
      </x:c>
      <x:c r="F7129" t="str">
        <x:v>East</x:v>
      </x:c>
      <x:c r="G7129" t="str">
        <x:v>Office Supplies</x:v>
      </x:c>
      <x:c r="H7129" t="str">
        <x:v>Paper</x:v>
      </x:c>
      <x:c r="I7129" s="22" t="n">
        <x:v>144.12</x:v>
      </x:c>
      <x:c r="J7129" s="24" t="n">
        <x:v>3</x:v>
      </x:c>
      <x:c r="K7129" s="26" t="n">
        <x:v>0</x:v>
      </x:c>
      <x:c r="L7129" s="22" t="n">
        <x:v>69.17759999999998</x:v>
      </x:c>
      <x:c r="M7129" t="n">
        <x:v>2015</x:v>
      </x:c>
      <x:c r="N7129" s="20" t="n">
        <x:v>42217</x:v>
      </x:c>
    </x:row>
    <x:row r="7130" ht="18" customHeight="1">
      <x:c r="A7130" t="str">
        <x:v>CA-2016-123176</x:v>
      </x:c>
      <x:c r="B7130" s="18" t="n">
        <x:v>42640</x:v>
      </x:c>
      <x:c r="C7130" t="str">
        <x:v>JG-15160</x:v>
      </x:c>
      <x:c r="D7130" t="str">
        <x:v>James Galang</x:v>
      </x:c>
      <x:c r="E7130" t="str">
        <x:v>Consumer</x:v>
      </x:c>
      <x:c r="F7130" t="str">
        <x:v>South</x:v>
      </x:c>
      <x:c r="G7130" t="str">
        <x:v>Office Supplies</x:v>
      </x:c>
      <x:c r="H7130" t="str">
        <x:v>Paper</x:v>
      </x:c>
      <x:c r="I7130" s="22" t="n">
        <x:v>17.94</x:v>
      </x:c>
      <x:c r="J7130" s="24" t="n">
        <x:v>3</x:v>
      </x:c>
      <x:c r="K7130" s="26" t="n">
        <x:v>0</x:v>
      </x:c>
      <x:c r="L7130" s="22" t="n">
        <x:v>8.790600000000001</x:v>
      </x:c>
      <x:c r="M7130" t="n">
        <x:v>2016</x:v>
      </x:c>
      <x:c r="N7130" s="20" t="n">
        <x:v>42614</x:v>
      </x:c>
    </x:row>
    <x:row r="7131" ht="18" customHeight="1">
      <x:c r="A7131" t="str">
        <x:v>CA-2016-123176</x:v>
      </x:c>
      <x:c r="B7131" s="18" t="n">
        <x:v>42640</x:v>
      </x:c>
      <x:c r="C7131" t="str">
        <x:v>JG-15160</x:v>
      </x:c>
      <x:c r="D7131" t="str">
        <x:v>James Galang</x:v>
      </x:c>
      <x:c r="E7131" t="str">
        <x:v>Consumer</x:v>
      </x:c>
      <x:c r="F7131" t="str">
        <x:v>South</x:v>
      </x:c>
      <x:c r="G7131" t="str">
        <x:v>Office Supplies</x:v>
      </x:c>
      <x:c r="H7131" t="str">
        <x:v>Art</x:v>
      </x:c>
      <x:c r="I7131" s="22" t="n">
        <x:v>13.89</x:v>
      </x:c>
      <x:c r="J7131" s="24" t="n">
        <x:v>3</x:v>
      </x:c>
      <x:c r="K7131" s="26" t="n">
        <x:v>0</x:v>
      </x:c>
      <x:c r="L7131" s="22" t="n">
        <x:v>4.583699999999999</x:v>
      </x:c>
      <x:c r="M7131" t="n">
        <x:v>2016</x:v>
      </x:c>
      <x:c r="N7131" s="20" t="n">
        <x:v>42614</x:v>
      </x:c>
    </x:row>
    <x:row r="7132" ht="18" customHeight="1">
      <x:c r="A7132" t="str">
        <x:v>US-2016-117541</x:v>
      </x:c>
      <x:c r="B7132" s="18" t="n">
        <x:v>42688</x:v>
      </x:c>
      <x:c r="C7132" t="str">
        <x:v>JM-16195</x:v>
      </x:c>
      <x:c r="D7132" t="str">
        <x:v>Justin MacKendrick</x:v>
      </x:c>
      <x:c r="E7132" t="str">
        <x:v>Consumer</x:v>
      </x:c>
      <x:c r="F7132" t="str">
        <x:v>East</x:v>
      </x:c>
      <x:c r="G7132" t="str">
        <x:v>Office Supplies</x:v>
      </x:c>
      <x:c r="H7132" t="str">
        <x:v>Paper</x:v>
      </x:c>
      <x:c r="I7132" s="22" t="n">
        <x:v>16.45</x:v>
      </x:c>
      <x:c r="J7132" s="24" t="n">
        <x:v>5</x:v>
      </x:c>
      <x:c r="K7132" s="26" t="n">
        <x:v>0</x:v>
      </x:c>
      <x:c r="L7132" s="22" t="n">
        <x:v>7.566999999999999</x:v>
      </x:c>
      <x:c r="M7132" t="n">
        <x:v>2016</x:v>
      </x:c>
      <x:c r="N7132" s="20" t="n">
        <x:v>42675</x:v>
      </x:c>
    </x:row>
    <x:row r="7133" ht="18" customHeight="1">
      <x:c r="A7133" t="str">
        <x:v>US-2016-117541</x:v>
      </x:c>
      <x:c r="B7133" s="18" t="n">
        <x:v>42688</x:v>
      </x:c>
      <x:c r="C7133" t="str">
        <x:v>JM-16195</x:v>
      </x:c>
      <x:c r="D7133" t="str">
        <x:v>Justin MacKendrick</x:v>
      </x:c>
      <x:c r="E7133" t="str">
        <x:v>Consumer</x:v>
      </x:c>
      <x:c r="F7133" t="str">
        <x:v>East</x:v>
      </x:c>
      <x:c r="G7133" t="str">
        <x:v>Furniture</x:v>
      </x:c>
      <x:c r="H7133" t="str">
        <x:v>Furnishings</x:v>
      </x:c>
      <x:c r="I7133" s="22" t="n">
        <x:v>19.92</x:v>
      </x:c>
      <x:c r="J7133" s="24" t="n">
        <x:v>4</x:v>
      </x:c>
      <x:c r="K7133" s="26" t="n">
        <x:v>0</x:v>
      </x:c>
      <x:c r="L7133" s="22" t="n">
        <x:v>6.573599999999999</x:v>
      </x:c>
      <x:c r="M7133" t="n">
        <x:v>2016</x:v>
      </x:c>
      <x:c r="N7133" s="20" t="n">
        <x:v>42675</x:v>
      </x:c>
    </x:row>
    <x:row r="7134" ht="18" customHeight="1">
      <x:c r="A7134" t="str">
        <x:v>CA-2016-166282</x:v>
      </x:c>
      <x:c r="B7134" s="18" t="n">
        <x:v>42476</x:v>
      </x:c>
      <x:c r="C7134" t="str">
        <x:v>PK-19075</x:v>
      </x:c>
      <x:c r="D7134" t="str">
        <x:v>Pete Kriz</x:v>
      </x:c>
      <x:c r="E7134" t="str">
        <x:v>Consumer</x:v>
      </x:c>
      <x:c r="F7134" t="str">
        <x:v>South</x:v>
      </x:c>
      <x:c r="G7134" t="str">
        <x:v>Technology</x:v>
      </x:c>
      <x:c r="H7134" t="str">
        <x:v>Accessories</x:v>
      </x:c>
      <x:c r="I7134" s="22" t="n">
        <x:v>35.168</x:v>
      </x:c>
      <x:c r="J7134" s="24" t="n">
        <x:v>4</x:v>
      </x:c>
      <x:c r="K7134" s="26" t="n">
        <x:v>0.2</x:v>
      </x:c>
      <x:c r="L7134" s="22" t="n">
        <x:v>8.352400000000001</x:v>
      </x:c>
      <x:c r="M7134" t="n">
        <x:v>2016</x:v>
      </x:c>
      <x:c r="N7134" s="20" t="n">
        <x:v>42461</x:v>
      </x:c>
    </x:row>
    <x:row r="7135" ht="18" customHeight="1">
      <x:c r="A7135" t="str">
        <x:v>CA-2016-166282</x:v>
      </x:c>
      <x:c r="B7135" s="18" t="n">
        <x:v>42476</x:v>
      </x:c>
      <x:c r="C7135" t="str">
        <x:v>PK-19075</x:v>
      </x:c>
      <x:c r="D7135" t="str">
        <x:v>Pete Kriz</x:v>
      </x:c>
      <x:c r="E7135" t="str">
        <x:v>Consumer</x:v>
      </x:c>
      <x:c r="F7135" t="str">
        <x:v>South</x:v>
      </x:c>
      <x:c r="G7135" t="str">
        <x:v>Office Supplies</x:v>
      </x:c>
      <x:c r="H7135" t="str">
        <x:v>Paper</x:v>
      </x:c>
      <x:c r="I7135" s="22" t="n">
        <x:v>123.088</x:v>
      </x:c>
      <x:c r="J7135" s="24" t="n">
        <x:v>7</x:v>
      </x:c>
      <x:c r="K7135" s="26" t="n">
        <x:v>0.2</x:v>
      </x:c>
      <x:c r="L7135" s="22" t="n">
        <x:v>40.0036</x:v>
      </x:c>
      <x:c r="M7135" t="n">
        <x:v>2016</x:v>
      </x:c>
      <x:c r="N7135" s="20" t="n">
        <x:v>42461</x:v>
      </x:c>
    </x:row>
    <x:row r="7136" ht="18" customHeight="1">
      <x:c r="A7136" t="str">
        <x:v>CA-2017-141439</x:v>
      </x:c>
      <x:c r="B7136" s="18" t="n">
        <x:v>43065</x:v>
      </x:c>
      <x:c r="C7136" t="str">
        <x:v>TT-21460</x:v>
      </x:c>
      <x:c r="D7136" t="str">
        <x:v>Tonja Turnell</x:v>
      </x:c>
      <x:c r="E7136" t="str">
        <x:v>Home Office</x:v>
      </x:c>
      <x:c r="F7136" t="str">
        <x:v>Central</x:v>
      </x:c>
      <x:c r="G7136" t="str">
        <x:v>Furniture</x:v>
      </x:c>
      <x:c r="H7136" t="str">
        <x:v>Tables</x:v>
      </x:c>
      <x:c r="I7136" s="22" t="n">
        <x:v>257.94</x:v>
      </x:c>
      <x:c r="J7136" s="24" t="n">
        <x:v>3</x:v>
      </x:c>
      <x:c r="K7136" s="26" t="n">
        <x:v>0</x:v>
      </x:c>
      <x:c r="L7136" s="22" t="n">
        <x:v>67.0644</x:v>
      </x:c>
      <x:c r="M7136" t="n">
        <x:v>2017</x:v>
      </x:c>
      <x:c r="N7136" s="20" t="n">
        <x:v>43040</x:v>
      </x:c>
    </x:row>
    <x:row r="7137" ht="18" customHeight="1">
      <x:c r="A7137" t="str">
        <x:v>CA-2017-141439</x:v>
      </x:c>
      <x:c r="B7137" s="18" t="n">
        <x:v>43065</x:v>
      </x:c>
      <x:c r="C7137" t="str">
        <x:v>TT-21460</x:v>
      </x:c>
      <x:c r="D7137" t="str">
        <x:v>Tonja Turnell</x:v>
      </x:c>
      <x:c r="E7137" t="str">
        <x:v>Home Office</x:v>
      </x:c>
      <x:c r="F7137" t="str">
        <x:v>Central</x:v>
      </x:c>
      <x:c r="G7137" t="str">
        <x:v>Technology</x:v>
      </x:c>
      <x:c r="H7137" t="str">
        <x:v>Phones</x:v>
      </x:c>
      <x:c r="I7137" s="22" t="n">
        <x:v>1879.96</x:v>
      </x:c>
      <x:c r="J7137" s="24" t="n">
        <x:v>4</x:v>
      </x:c>
      <x:c r="K7137" s="26" t="n">
        <x:v>0</x:v>
      </x:c>
      <x:c r="L7137" s="22" t="n">
        <x:v>545.1883999999998</x:v>
      </x:c>
      <x:c r="M7137" t="n">
        <x:v>2017</x:v>
      </x:c>
      <x:c r="N7137" s="20" t="n">
        <x:v>43040</x:v>
      </x:c>
    </x:row>
    <x:row r="7138" ht="18" customHeight="1">
      <x:c r="A7138" t="str">
        <x:v>CA-2017-141439</x:v>
      </x:c>
      <x:c r="B7138" s="18" t="n">
        <x:v>43065</x:v>
      </x:c>
      <x:c r="C7138" t="str">
        <x:v>TT-21460</x:v>
      </x:c>
      <x:c r="D7138" t="str">
        <x:v>Tonja Turnell</x:v>
      </x:c>
      <x:c r="E7138" t="str">
        <x:v>Home Office</x:v>
      </x:c>
      <x:c r="F7138" t="str">
        <x:v>Central</x:v>
      </x:c>
      <x:c r="G7138" t="str">
        <x:v>Furniture</x:v>
      </x:c>
      <x:c r="H7138" t="str">
        <x:v>Furnishings</x:v>
      </x:c>
      <x:c r="I7138" s="22" t="n">
        <x:v>27.46</x:v>
      </x:c>
      <x:c r="J7138" s="24" t="n">
        <x:v>2</x:v>
      </x:c>
      <x:c r="K7138" s="26" t="n">
        <x:v>0</x:v>
      </x:c>
      <x:c r="L7138" s="22" t="n">
        <x:v>9.8856</x:v>
      </x:c>
      <x:c r="M7138" t="n">
        <x:v>2017</x:v>
      </x:c>
      <x:c r="N7138" s="20" t="n">
        <x:v>43040</x:v>
      </x:c>
    </x:row>
    <x:row r="7139" ht="18" customHeight="1">
      <x:c r="A7139" t="str">
        <x:v>CA-2017-141439</x:v>
      </x:c>
      <x:c r="B7139" s="18" t="n">
        <x:v>43065</x:v>
      </x:c>
      <x:c r="C7139" t="str">
        <x:v>TT-21460</x:v>
      </x:c>
      <x:c r="D7139" t="str">
        <x:v>Tonja Turnell</x:v>
      </x:c>
      <x:c r="E7139" t="str">
        <x:v>Home Office</x:v>
      </x:c>
      <x:c r="F7139" t="str">
        <x:v>Central</x:v>
      </x:c>
      <x:c r="G7139" t="str">
        <x:v>Technology</x:v>
      </x:c>
      <x:c r="H7139" t="str">
        <x:v>Phones</x:v>
      </x:c>
      <x:c r="I7139" s="22" t="n">
        <x:v>89.98</x:v>
      </x:c>
      <x:c r="J7139" s="24" t="n">
        <x:v>2</x:v>
      </x:c>
      <x:c r="K7139" s="26" t="n">
        <x:v>0</x:v>
      </x:c>
      <x:c r="L7139" s="22" t="n">
        <x:v>43.1904</x:v>
      </x:c>
      <x:c r="M7139" t="n">
        <x:v>2017</x:v>
      </x:c>
      <x:c r="N7139" s="20" t="n">
        <x:v>43040</x:v>
      </x:c>
    </x:row>
    <x:row r="7140" ht="18" customHeight="1">
      <x:c r="A7140" t="str">
        <x:v>CA-2017-141439</x:v>
      </x:c>
      <x:c r="B7140" s="18" t="n">
        <x:v>43065</x:v>
      </x:c>
      <x:c r="C7140" t="str">
        <x:v>TT-21460</x:v>
      </x:c>
      <x:c r="D7140" t="str">
        <x:v>Tonja Turnell</x:v>
      </x:c>
      <x:c r="E7140" t="str">
        <x:v>Home Office</x:v>
      </x:c>
      <x:c r="F7140" t="str">
        <x:v>Central</x:v>
      </x:c>
      <x:c r="G7140" t="str">
        <x:v>Furniture</x:v>
      </x:c>
      <x:c r="H7140" t="str">
        <x:v>Chairs</x:v>
      </x:c>
      <x:c r="I7140" s="22" t="n">
        <x:v>828.5999999999999</x:v>
      </x:c>
      <x:c r="J7140" s="24" t="n">
        <x:v>3</x:v>
      </x:c>
      <x:c r="K7140" s="26" t="n">
        <x:v>0</x:v>
      </x:c>
      <x:c r="L7140" s="22" t="n">
        <x:v>240.29399999999995</x:v>
      </x:c>
      <x:c r="M7140" t="n">
        <x:v>2017</x:v>
      </x:c>
      <x:c r="N7140" s="20" t="n">
        <x:v>43040</x:v>
      </x:c>
    </x:row>
    <x:row r="7141" ht="18" customHeight="1">
      <x:c r="A7141" t="str">
        <x:v>CA-2015-163965</x:v>
      </x:c>
      <x:c r="B7141" s="18" t="n">
        <x:v>42328</x:v>
      </x:c>
      <x:c r="C7141" t="str">
        <x:v>SS-20875</x:v>
      </x:c>
      <x:c r="D7141" t="str">
        <x:v>Sung Shariari</x:v>
      </x:c>
      <x:c r="E7141" t="str">
        <x:v>Consumer</x:v>
      </x:c>
      <x:c r="F7141" t="str">
        <x:v>South</x:v>
      </x:c>
      <x:c r="G7141" t="str">
        <x:v>Office Supplies</x:v>
      </x:c>
      <x:c r="H7141" t="str">
        <x:v>Binders</x:v>
      </x:c>
      <x:c r="I7141" s="22" t="n">
        <x:v>7.230000000000002</x:v>
      </x:c>
      <x:c r="J7141" s="24" t="n">
        <x:v>5</x:v>
      </x:c>
      <x:c r="K7141" s="26" t="n">
        <x:v>0.7</x:v>
      </x:c>
      <x:c r="L7141" s="22" t="n">
        <x:v>-5.784000000000001</x:v>
      </x:c>
      <x:c r="M7141" t="n">
        <x:v>2015</x:v>
      </x:c>
      <x:c r="N7141" s="20" t="n">
        <x:v>42309</x:v>
      </x:c>
    </x:row>
    <x:row r="7142" ht="18" customHeight="1">
      <x:c r="A7142" t="str">
        <x:v>CA-2015-163965</x:v>
      </x:c>
      <x:c r="B7142" s="18" t="n">
        <x:v>42328</x:v>
      </x:c>
      <x:c r="C7142" t="str">
        <x:v>SS-20875</x:v>
      </x:c>
      <x:c r="D7142" t="str">
        <x:v>Sung Shariari</x:v>
      </x:c>
      <x:c r="E7142" t="str">
        <x:v>Consumer</x:v>
      </x:c>
      <x:c r="F7142" t="str">
        <x:v>South</x:v>
      </x:c>
      <x:c r="G7142" t="str">
        <x:v>Office Supplies</x:v>
      </x:c>
      <x:c r="H7142" t="str">
        <x:v>Storage</x:v>
      </x:c>
      <x:c r="I7142" s="22" t="n">
        <x:v>17.44</x:v>
      </x:c>
      <x:c r="J7142" s="24" t="n">
        <x:v>2</x:v>
      </x:c>
      <x:c r="K7142" s="26" t="n">
        <x:v>0.2</x:v>
      </x:c>
      <x:c r="L7142" s="22" t="n">
        <x:v>1.307999999999999</x:v>
      </x:c>
      <x:c r="M7142" t="n">
        <x:v>2015</x:v>
      </x:c>
      <x:c r="N7142" s="20" t="n">
        <x:v>42309</x:v>
      </x:c>
    </x:row>
    <x:row r="7143" ht="18" customHeight="1">
      <x:c r="A7143" t="str">
        <x:v>CA-2015-163965</x:v>
      </x:c>
      <x:c r="B7143" s="18" t="n">
        <x:v>42328</x:v>
      </x:c>
      <x:c r="C7143" t="str">
        <x:v>SS-20875</x:v>
      </x:c>
      <x:c r="D7143" t="str">
        <x:v>Sung Shariari</x:v>
      </x:c>
      <x:c r="E7143" t="str">
        <x:v>Consumer</x:v>
      </x:c>
      <x:c r="F7143" t="str">
        <x:v>South</x:v>
      </x:c>
      <x:c r="G7143" t="str">
        <x:v>Office Supplies</x:v>
      </x:c>
      <x:c r="H7143" t="str">
        <x:v>Binders</x:v>
      </x:c>
      <x:c r="I7143" s="22" t="n">
        <x:v>62.88000000000001</x:v>
      </x:c>
      <x:c r="J7143" s="24" t="n">
        <x:v>4</x:v>
      </x:c>
      <x:c r="K7143" s="26" t="n">
        <x:v>0.7</x:v>
      </x:c>
      <x:c r="L7143" s="22" t="n">
        <x:v>-50.304</x:v>
      </x:c>
      <x:c r="M7143" t="n">
        <x:v>2015</x:v>
      </x:c>
      <x:c r="N7143" s="20" t="n">
        <x:v>42309</x:v>
      </x:c>
    </x:row>
    <x:row r="7144" ht="18" customHeight="1">
      <x:c r="A7144" t="str">
        <x:v>CA-2015-163965</x:v>
      </x:c>
      <x:c r="B7144" s="18" t="n">
        <x:v>42328</x:v>
      </x:c>
      <x:c r="C7144" t="str">
        <x:v>SS-20875</x:v>
      </x:c>
      <x:c r="D7144" t="str">
        <x:v>Sung Shariari</x:v>
      </x:c>
      <x:c r="E7144" t="str">
        <x:v>Consumer</x:v>
      </x:c>
      <x:c r="F7144" t="str">
        <x:v>South</x:v>
      </x:c>
      <x:c r="G7144" t="str">
        <x:v>Furniture</x:v>
      </x:c>
      <x:c r="H7144" t="str">
        <x:v>Bookcases</x:v>
      </x:c>
      <x:c r="I7144" s="22" t="n">
        <x:v>290.35200000000003</x:v>
      </x:c>
      <x:c r="J7144" s="24" t="n">
        <x:v>3</x:v>
      </x:c>
      <x:c r="K7144" s="26" t="n">
        <x:v>0.2</x:v>
      </x:c>
      <x:c r="L7144" s="22" t="n">
        <x:v>-36.29400000000001</x:v>
      </x:c>
      <x:c r="M7144" t="n">
        <x:v>2015</x:v>
      </x:c>
      <x:c r="N7144" s="20" t="n">
        <x:v>42309</x:v>
      </x:c>
    </x:row>
    <x:row r="7145" ht="18" customHeight="1">
      <x:c r="A7145" t="str">
        <x:v>CA-2017-128783</x:v>
      </x:c>
      <x:c r="B7145" s="18" t="n">
        <x:v>42985</x:v>
      </x:c>
      <x:c r="C7145" t="str">
        <x:v>TG-21640</x:v>
      </x:c>
      <x:c r="D7145" t="str">
        <x:v>Trudy Glocke</x:v>
      </x:c>
      <x:c r="E7145" t="str">
        <x:v>Consumer</x:v>
      </x:c>
      <x:c r="F7145" t="str">
        <x:v>Central</x:v>
      </x:c>
      <x:c r="G7145" t="str">
        <x:v>Technology</x:v>
      </x:c>
      <x:c r="H7145" t="str">
        <x:v>Accessories</x:v>
      </x:c>
      <x:c r="I7145" s="22" t="n">
        <x:v>113.52</x:v>
      </x:c>
      <x:c r="J7145" s="24" t="n">
        <x:v>4</x:v>
      </x:c>
      <x:c r="K7145" s="26" t="n">
        <x:v>0</x:v>
      </x:c>
      <x:c r="L7145" s="22" t="n">
        <x:v>46.5432</x:v>
      </x:c>
      <x:c r="M7145" t="n">
        <x:v>2017</x:v>
      </x:c>
      <x:c r="N7145" s="20" t="n">
        <x:v>42979</x:v>
      </x:c>
    </x:row>
    <x:row r="7146" ht="18" customHeight="1">
      <x:c r="A7146" t="str">
        <x:v>CA-2017-128783</x:v>
      </x:c>
      <x:c r="B7146" s="18" t="n">
        <x:v>42985</x:v>
      </x:c>
      <x:c r="C7146" t="str">
        <x:v>TG-21640</x:v>
      </x:c>
      <x:c r="D7146" t="str">
        <x:v>Trudy Glocke</x:v>
      </x:c>
      <x:c r="E7146" t="str">
        <x:v>Consumer</x:v>
      </x:c>
      <x:c r="F7146" t="str">
        <x:v>Central</x:v>
      </x:c>
      <x:c r="G7146" t="str">
        <x:v>Furniture</x:v>
      </x:c>
      <x:c r="H7146" t="str">
        <x:v>Furnishings</x:v>
      </x:c>
      <x:c r="I7146" s="22" t="n">
        <x:v>135.29999999999998</x:v>
      </x:c>
      <x:c r="J7146" s="24" t="n">
        <x:v>5</x:v>
      </x:c>
      <x:c r="K7146" s="26" t="n">
        <x:v>0</x:v>
      </x:c>
      <x:c r="L7146" s="22" t="n">
        <x:v>37.88399999999999</x:v>
      </x:c>
      <x:c r="M7146" t="n">
        <x:v>2017</x:v>
      </x:c>
      <x:c r="N7146" s="20" t="n">
        <x:v>42979</x:v>
      </x:c>
    </x:row>
    <x:row r="7147" ht="18" customHeight="1">
      <x:c r="A7147" t="str">
        <x:v>CA-2014-122217</x:v>
      </x:c>
      <x:c r="B7147" s="18" t="n">
        <x:v>41967</x:v>
      </x:c>
      <x:c r="C7147" t="str">
        <x:v>HP-14815</x:v>
      </x:c>
      <x:c r="D7147" t="str">
        <x:v>Harold Pawlan</x:v>
      </x:c>
      <x:c r="E7147" t="str">
        <x:v>Home Office</x:v>
      </x:c>
      <x:c r="F7147" t="str">
        <x:v>South</x:v>
      </x:c>
      <x:c r="G7147" t="str">
        <x:v>Furniture</x:v>
      </x:c>
      <x:c r="H7147" t="str">
        <x:v>Furnishings</x:v>
      </x:c>
      <x:c r="I7147" s="22" t="n">
        <x:v>111.15</x:v>
      </x:c>
      <x:c r="J7147" s="24" t="n">
        <x:v>5</x:v>
      </x:c>
      <x:c r="K7147" s="26" t="n">
        <x:v>0</x:v>
      </x:c>
      <x:c r="L7147" s="22" t="n">
        <x:v>48.906000000000006</x:v>
      </x:c>
      <x:c r="M7147" t="n">
        <x:v>2014</x:v>
      </x:c>
      <x:c r="N7147" s="20" t="n">
        <x:v>41944</x:v>
      </x:c>
    </x:row>
    <x:row r="7148" ht="18" customHeight="1">
      <x:c r="A7148" t="str">
        <x:v>US-2017-141558</x:v>
      </x:c>
      <x:c r="B7148" s="18" t="n">
        <x:v>42805</x:v>
      </x:c>
      <x:c r="C7148" t="str">
        <x:v>MH-17290</x:v>
      </x:c>
      <x:c r="D7148" t="str">
        <x:v>Marc Harrigan</x:v>
      </x:c>
      <x:c r="E7148" t="str">
        <x:v>Home Office</x:v>
      </x:c>
      <x:c r="F7148" t="str">
        <x:v>East</x:v>
      </x:c>
      <x:c r="G7148" t="str">
        <x:v>Technology</x:v>
      </x:c>
      <x:c r="H7148" t="str">
        <x:v>Phones</x:v>
      </x:c>
      <x:c r="I7148" s="22" t="n">
        <x:v>776.8499999999999</x:v>
      </x:c>
      <x:c r="J7148" s="24" t="n">
        <x:v>5</x:v>
      </x:c>
      <x:c r="K7148" s="26" t="n">
        <x:v>0.4</x:v>
      </x:c>
      <x:c r="L7148" s="22" t="n">
        <x:v>-181.265</x:v>
      </x:c>
      <x:c r="M7148" t="n">
        <x:v>2017</x:v>
      </x:c>
      <x:c r="N7148" s="20" t="n">
        <x:v>42795</x:v>
      </x:c>
    </x:row>
    <x:row r="7149" ht="18" customHeight="1">
      <x:c r="A7149" t="str">
        <x:v>US-2017-141558</x:v>
      </x:c>
      <x:c r="B7149" s="18" t="n">
        <x:v>42805</x:v>
      </x:c>
      <x:c r="C7149" t="str">
        <x:v>MH-17290</x:v>
      </x:c>
      <x:c r="D7149" t="str">
        <x:v>Marc Harrigan</x:v>
      </x:c>
      <x:c r="E7149" t="str">
        <x:v>Home Office</x:v>
      </x:c>
      <x:c r="F7149" t="str">
        <x:v>East</x:v>
      </x:c>
      <x:c r="G7149" t="str">
        <x:v>Office Supplies</x:v>
      </x:c>
      <x:c r="H7149" t="str">
        <x:v>Binders</x:v>
      </x:c>
      <x:c r="I7149" s="22" t="n">
        <x:v>12.294</x:v>
      </x:c>
      <x:c r="J7149" s="24" t="n">
        <x:v>1</x:v>
      </x:c>
      <x:c r="K7149" s="26" t="n">
        <x:v>0.7</x:v>
      </x:c>
      <x:c r="L7149" s="22" t="n">
        <x:v>-8.605799999999999</x:v>
      </x:c>
      <x:c r="M7149" t="n">
        <x:v>2017</x:v>
      </x:c>
      <x:c r="N7149" s="20" t="n">
        <x:v>42795</x:v>
      </x:c>
    </x:row>
    <x:row r="7150" ht="18" customHeight="1">
      <x:c r="A7150" t="str">
        <x:v>US-2017-141558</x:v>
      </x:c>
      <x:c r="B7150" s="18" t="n">
        <x:v>42805</x:v>
      </x:c>
      <x:c r="C7150" t="str">
        <x:v>MH-17290</x:v>
      </x:c>
      <x:c r="D7150" t="str">
        <x:v>Marc Harrigan</x:v>
      </x:c>
      <x:c r="E7150" t="str">
        <x:v>Home Office</x:v>
      </x:c>
      <x:c r="F7150" t="str">
        <x:v>East</x:v>
      </x:c>
      <x:c r="G7150" t="str">
        <x:v>Furniture</x:v>
      </x:c>
      <x:c r="H7150" t="str">
        <x:v>Tables</x:v>
      </x:c>
      <x:c r="I7150" s="22" t="n">
        <x:v>154.764</x:v>
      </x:c>
      <x:c r="J7150" s="24" t="n">
        <x:v>3</x:v>
      </x:c>
      <x:c r="K7150" s="26" t="n">
        <x:v>0.4</x:v>
      </x:c>
      <x:c r="L7150" s="22" t="n">
        <x:v>-46.42920000000002</x:v>
      </x:c>
      <x:c r="M7150" t="n">
        <x:v>2017</x:v>
      </x:c>
      <x:c r="N7150" s="20" t="n">
        <x:v>42795</x:v>
      </x:c>
    </x:row>
    <x:row r="7151" ht="18" customHeight="1">
      <x:c r="A7151" t="str">
        <x:v>US-2017-141558</x:v>
      </x:c>
      <x:c r="B7151" s="18" t="n">
        <x:v>42805</x:v>
      </x:c>
      <x:c r="C7151" t="str">
        <x:v>MH-17290</x:v>
      </x:c>
      <x:c r="D7151" t="str">
        <x:v>Marc Harrigan</x:v>
      </x:c>
      <x:c r="E7151" t="str">
        <x:v>Home Office</x:v>
      </x:c>
      <x:c r="F7151" t="str">
        <x:v>East</x:v>
      </x:c>
      <x:c r="G7151" t="str">
        <x:v>Office Supplies</x:v>
      </x:c>
      <x:c r="H7151" t="str">
        <x:v>Storage</x:v>
      </x:c>
      <x:c r="I7151" s="22" t="n">
        <x:v>43.28</x:v>
      </x:c>
      <x:c r="J7151" s="24" t="n">
        <x:v>1</x:v>
      </x:c>
      <x:c r="K7151" s="26" t="n">
        <x:v>0.2</x:v>
      </x:c>
      <x:c r="L7151" s="22" t="n">
        <x:v>3.246000000000002</x:v>
      </x:c>
      <x:c r="M7151" t="n">
        <x:v>2017</x:v>
      </x:c>
      <x:c r="N7151" s="20" t="n">
        <x:v>42795</x:v>
      </x:c>
    </x:row>
    <x:row r="7152" ht="18" customHeight="1">
      <x:c r="A7152" t="str">
        <x:v>CA-2016-139941</x:v>
      </x:c>
      <x:c r="B7152" s="18" t="n">
        <x:v>42533</x:v>
      </x:c>
      <x:c r="C7152" t="str">
        <x:v>CB-12415</x:v>
      </x:c>
      <x:c r="D7152" t="str">
        <x:v>Christy Brittain</x:v>
      </x:c>
      <x:c r="E7152" t="str">
        <x:v>Consumer</x:v>
      </x:c>
      <x:c r="F7152" t="str">
        <x:v>East</x:v>
      </x:c>
      <x:c r="G7152" t="str">
        <x:v>Office Supplies</x:v>
      </x:c>
      <x:c r="H7152" t="str">
        <x:v>Paper</x:v>
      </x:c>
      <x:c r="I7152" s="22" t="n">
        <x:v>92.94</x:v>
      </x:c>
      <x:c r="J7152" s="24" t="n">
        <x:v>3</x:v>
      </x:c>
      <x:c r="K7152" s="26" t="n">
        <x:v>0</x:v>
      </x:c>
      <x:c r="L7152" s="22" t="n">
        <x:v>41.82299999999999</x:v>
      </x:c>
      <x:c r="M7152" t="n">
        <x:v>2016</x:v>
      </x:c>
      <x:c r="N7152" s="20" t="n">
        <x:v>42522</x:v>
      </x:c>
    </x:row>
    <x:row r="7153" ht="18" customHeight="1">
      <x:c r="A7153" t="str">
        <x:v>CA-2016-139941</x:v>
      </x:c>
      <x:c r="B7153" s="18" t="n">
        <x:v>42533</x:v>
      </x:c>
      <x:c r="C7153" t="str">
        <x:v>CB-12415</x:v>
      </x:c>
      <x:c r="D7153" t="str">
        <x:v>Christy Brittain</x:v>
      </x:c>
      <x:c r="E7153" t="str">
        <x:v>Consumer</x:v>
      </x:c>
      <x:c r="F7153" t="str">
        <x:v>East</x:v>
      </x:c>
      <x:c r="G7153" t="str">
        <x:v>Office Supplies</x:v>
      </x:c>
      <x:c r="H7153" t="str">
        <x:v>Appliances</x:v>
      </x:c>
      <x:c r="I7153" s="22" t="n">
        <x:v>52.56</x:v>
      </x:c>
      <x:c r="J7153" s="24" t="n">
        <x:v>3</x:v>
      </x:c>
      <x:c r="K7153" s="26" t="n">
        <x:v>0</x:v>
      </x:c>
      <x:c r="L7153" s="22" t="n">
        <x:v>18.396</x:v>
      </x:c>
      <x:c r="M7153" t="n">
        <x:v>2016</x:v>
      </x:c>
      <x:c r="N7153" s="20" t="n">
        <x:v>42522</x:v>
      </x:c>
    </x:row>
    <x:row r="7154" ht="18" customHeight="1">
      <x:c r="A7154" t="str">
        <x:v>CA-2015-166583</x:v>
      </x:c>
      <x:c r="B7154" s="18" t="n">
        <x:v>42181</x:v>
      </x:c>
      <x:c r="C7154" t="str">
        <x:v>VD-21670</x:v>
      </x:c>
      <x:c r="D7154" t="str">
        <x:v>Valerie Dominguez</x:v>
      </x:c>
      <x:c r="E7154" t="str">
        <x:v>Consumer</x:v>
      </x:c>
      <x:c r="F7154" t="str">
        <x:v>Central</x:v>
      </x:c>
      <x:c r="G7154" t="str">
        <x:v>Technology</x:v>
      </x:c>
      <x:c r="H7154" t="str">
        <x:v>Phones</x:v>
      </x:c>
      <x:c r="I7154" s="22" t="n">
        <x:v>971.8800000000001</x:v>
      </x:c>
      <x:c r="J7154" s="24" t="n">
        <x:v>3</x:v>
      </x:c>
      <x:c r="K7154" s="26" t="n">
        <x:v>0.2</x:v>
      </x:c>
      <x:c r="L7154" s="22" t="n">
        <x:v>109.33649999999994</x:v>
      </x:c>
      <x:c r="M7154" t="n">
        <x:v>2015</x:v>
      </x:c>
      <x:c r="N7154" s="20" t="n">
        <x:v>42156</x:v>
      </x:c>
    </x:row>
    <x:row r="7155" ht="18" customHeight="1">
      <x:c r="A7155" t="str">
        <x:v>CA-2017-100412</x:v>
      </x:c>
      <x:c r="B7155" s="18" t="n">
        <x:v>43091</x:v>
      </x:c>
      <x:c r="C7155" t="str">
        <x:v>SR-20425</x:v>
      </x:c>
      <x:c r="D7155" t="str">
        <x:v>Sharelle Roach</x:v>
      </x:c>
      <x:c r="E7155" t="str">
        <x:v>Home Office</x:v>
      </x:c>
      <x:c r="F7155" t="str">
        <x:v>South</x:v>
      </x:c>
      <x:c r="G7155" t="str">
        <x:v>Furniture</x:v>
      </x:c>
      <x:c r="H7155" t="str">
        <x:v>Chairs</x:v>
      </x:c>
      <x:c r="I7155" s="22" t="n">
        <x:v>141.96</x:v>
      </x:c>
      <x:c r="J7155" s="24" t="n">
        <x:v>2</x:v>
      </x:c>
      <x:c r="K7155" s="26" t="n">
        <x:v>0</x:v>
      </x:c>
      <x:c r="L7155" s="22" t="n">
        <x:v>35.49000000000001</x:v>
      </x:c>
      <x:c r="M7155" t="n">
        <x:v>2017</x:v>
      </x:c>
      <x:c r="N7155" s="20" t="n">
        <x:v>43070</x:v>
      </x:c>
    </x:row>
    <x:row r="7156" ht="18" customHeight="1">
      <x:c r="A7156" t="str">
        <x:v>CA-2017-142909</x:v>
      </x:c>
      <x:c r="B7156" s="18" t="n">
        <x:v>43091</x:v>
      </x:c>
      <x:c r="C7156" t="str">
        <x:v>AG-10330</x:v>
      </x:c>
      <x:c r="D7156" t="str">
        <x:v>Alex Grayson</x:v>
      </x:c>
      <x:c r="E7156" t="str">
        <x:v>Consumer</x:v>
      </x:c>
      <x:c r="F7156" t="str">
        <x:v>West</x:v>
      </x:c>
      <x:c r="G7156" t="str">
        <x:v>Furniture</x:v>
      </x:c>
      <x:c r="H7156" t="str">
        <x:v>Tables</x:v>
      </x:c>
      <x:c r="I7156" s="22" t="n">
        <x:v>182.55</x:v>
      </x:c>
      <x:c r="J7156" s="24" t="n">
        <x:v>2</x:v>
      </x:c>
      <x:c r="K7156" s="26" t="n">
        <x:v>0.5</x:v>
      </x:c>
      <x:c r="L7156" s="22" t="n">
        <x:v>-135.087</x:v>
      </x:c>
      <x:c r="M7156" t="n">
        <x:v>2017</x:v>
      </x:c>
      <x:c r="N7156" s="20" t="n">
        <x:v>43070</x:v>
      </x:c>
    </x:row>
    <x:row r="7157" ht="18" customHeight="1">
      <x:c r="A7157" t="str">
        <x:v>CA-2014-137911</x:v>
      </x:c>
      <x:c r="B7157" s="18" t="n">
        <x:v>41921</x:v>
      </x:c>
      <x:c r="C7157" t="str">
        <x:v>BP-11095</x:v>
      </x:c>
      <x:c r="D7157" t="str">
        <x:v>Bart Pistole</x:v>
      </x:c>
      <x:c r="E7157" t="str">
        <x:v>Corporate</x:v>
      </x:c>
      <x:c r="F7157" t="str">
        <x:v>South</x:v>
      </x:c>
      <x:c r="G7157" t="str">
        <x:v>Office Supplies</x:v>
      </x:c>
      <x:c r="H7157" t="str">
        <x:v>Paper</x:v>
      </x:c>
      <x:c r="I7157" s="22" t="n">
        <x:v>88.768</x:v>
      </x:c>
      <x:c r="J7157" s="24" t="n">
        <x:v>2</x:v>
      </x:c>
      <x:c r="K7157" s="26" t="n">
        <x:v>0.2</x:v>
      </x:c>
      <x:c r="L7157" s="22" t="n">
        <x:v>31.068799999999996</x:v>
      </x:c>
      <x:c r="M7157" t="n">
        <x:v>2014</x:v>
      </x:c>
      <x:c r="N7157" s="20" t="n">
        <x:v>41913</x:v>
      </x:c>
    </x:row>
    <x:row r="7158" ht="18" customHeight="1">
      <x:c r="A7158" t="str">
        <x:v>CA-2015-106208</x:v>
      </x:c>
      <x:c r="B7158" s="18" t="n">
        <x:v>42348</x:v>
      </x:c>
      <x:c r="C7158" t="str">
        <x:v>JW-16075</x:v>
      </x:c>
      <x:c r="D7158" t="str">
        <x:v>Julia West</x:v>
      </x:c>
      <x:c r="E7158" t="str">
        <x:v>Consumer</x:v>
      </x:c>
      <x:c r="F7158" t="str">
        <x:v>Central</x:v>
      </x:c>
      <x:c r="G7158" t="str">
        <x:v>Office Supplies</x:v>
      </x:c>
      <x:c r="H7158" t="str">
        <x:v>Appliances</x:v>
      </x:c>
      <x:c r="I7158" s="22" t="n">
        <x:v>53.087999999999994</x:v>
      </x:c>
      <x:c r="J7158" s="24" t="n">
        <x:v>7</x:v>
      </x:c>
      <x:c r="K7158" s="26" t="n">
        <x:v>0.8</x:v>
      </x:c>
      <x:c r="L7158" s="22" t="n">
        <x:v>-108.8304</x:v>
      </x:c>
      <x:c r="M7158" t="n">
        <x:v>2015</x:v>
      </x:c>
      <x:c r="N7158" s="20" t="n">
        <x:v>42339</x:v>
      </x:c>
    </x:row>
    <x:row r="7159" ht="18" customHeight="1">
      <x:c r="A7159" t="str">
        <x:v>US-2015-136749</x:v>
      </x:c>
      <x:c r="B7159" s="18" t="n">
        <x:v>42363</x:v>
      </x:c>
      <x:c r="C7159" t="str">
        <x:v>LH-16900</x:v>
      </x:c>
      <x:c r="D7159" t="str">
        <x:v>Lena Hernandez</x:v>
      </x:c>
      <x:c r="E7159" t="str">
        <x:v>Consumer</x:v>
      </x:c>
      <x:c r="F7159" t="str">
        <x:v>South</x:v>
      </x:c>
      <x:c r="G7159" t="str">
        <x:v>Furniture</x:v>
      </x:c>
      <x:c r="H7159" t="str">
        <x:v>Furnishings</x:v>
      </x:c>
      <x:c r="I7159" s="22" t="n">
        <x:v>275.88</x:v>
      </x:c>
      <x:c r="J7159" s="24" t="n">
        <x:v>6</x:v>
      </x:c>
      <x:c r="K7159" s="26" t="n">
        <x:v>0</x:v>
      </x:c>
      <x:c r="L7159" s="22" t="n">
        <x:v>46.899599999999964</x:v>
      </x:c>
      <x:c r="M7159" t="n">
        <x:v>2015</x:v>
      </x:c>
      <x:c r="N7159" s="20" t="n">
        <x:v>42339</x:v>
      </x:c>
    </x:row>
    <x:row r="7160" ht="18" customHeight="1">
      <x:c r="A7160" t="str">
        <x:v>US-2015-136749</x:v>
      </x:c>
      <x:c r="B7160" s="18" t="n">
        <x:v>42363</x:v>
      </x:c>
      <x:c r="C7160" t="str">
        <x:v>LH-16900</x:v>
      </x:c>
      <x:c r="D7160" t="str">
        <x:v>Lena Hernandez</x:v>
      </x:c>
      <x:c r="E7160" t="str">
        <x:v>Consumer</x:v>
      </x:c>
      <x:c r="F7160" t="str">
        <x:v>South</x:v>
      </x:c>
      <x:c r="G7160" t="str">
        <x:v>Office Supplies</x:v>
      </x:c>
      <x:c r="H7160" t="str">
        <x:v>Binders</x:v>
      </x:c>
      <x:c r="I7160" s="22" t="n">
        <x:v>157.89999999999998</x:v>
      </x:c>
      <x:c r="J7160" s="24" t="n">
        <x:v>5</x:v>
      </x:c>
      <x:c r="K7160" s="26" t="n">
        <x:v>0</x:v>
      </x:c>
      <x:c r="L7160" s="22" t="n">
        <x:v>74.213</x:v>
      </x:c>
      <x:c r="M7160" t="n">
        <x:v>2015</x:v>
      </x:c>
      <x:c r="N7160" s="20" t="n">
        <x:v>42339</x:v>
      </x:c>
    </x:row>
    <x:row r="7161" ht="18" customHeight="1">
      <x:c r="A7161" t="str">
        <x:v>CA-2017-126718</x:v>
      </x:c>
      <x:c r="B7161" s="18" t="n">
        <x:v>42854</x:v>
      </x:c>
      <x:c r="C7161" t="str">
        <x:v>KT-16480</x:v>
      </x:c>
      <x:c r="D7161" t="str">
        <x:v>Kean Thornton</x:v>
      </x:c>
      <x:c r="E7161" t="str">
        <x:v>Consumer</x:v>
      </x:c>
      <x:c r="F7161" t="str">
        <x:v>East</x:v>
      </x:c>
      <x:c r="G7161" t="str">
        <x:v>Office Supplies</x:v>
      </x:c>
      <x:c r="H7161" t="str">
        <x:v>Labels</x:v>
      </x:c>
      <x:c r="I7161" s="22" t="n">
        <x:v>4.91</x:v>
      </x:c>
      <x:c r="J7161" s="24" t="n">
        <x:v>1</x:v>
      </x:c>
      <x:c r="K7161" s="26" t="n">
        <x:v>0</x:v>
      </x:c>
      <x:c r="L7161" s="22" t="n">
        <x:v>2.4059</x:v>
      </x:c>
      <x:c r="M7161" t="n">
        <x:v>2017</x:v>
      </x:c>
      <x:c r="N7161" s="20" t="n">
        <x:v>42826</x:v>
      </x:c>
    </x:row>
    <x:row r="7162" ht="18" customHeight="1">
      <x:c r="A7162" t="str">
        <x:v>CA-2016-131380</x:v>
      </x:c>
      <x:c r="B7162" s="18" t="n">
        <x:v>42457</x:v>
      </x:c>
      <x:c r="C7162" t="str">
        <x:v>CC-12220</x:v>
      </x:c>
      <x:c r="D7162" t="str">
        <x:v>Chris Cortes</x:v>
      </x:c>
      <x:c r="E7162" t="str">
        <x:v>Consumer</x:v>
      </x:c>
      <x:c r="F7162" t="str">
        <x:v>West</x:v>
      </x:c>
      <x:c r="G7162" t="str">
        <x:v>Office Supplies</x:v>
      </x:c>
      <x:c r="H7162" t="str">
        <x:v>Storage</x:v>
      </x:c>
      <x:c r="I7162" s="22" t="n">
        <x:v>87.92</x:v>
      </x:c>
      <x:c r="J7162" s="24" t="n">
        <x:v>4</x:v>
      </x:c>
      <x:c r="K7162" s="26" t="n">
        <x:v>0</x:v>
      </x:c>
      <x:c r="L7162" s="22" t="n">
        <x:v>0.8791999999999973</x:v>
      </x:c>
      <x:c r="M7162" t="n">
        <x:v>2016</x:v>
      </x:c>
      <x:c r="N7162" s="20" t="n">
        <x:v>42430</x:v>
      </x:c>
    </x:row>
    <x:row r="7163" ht="18" customHeight="1">
      <x:c r="A7163" t="str">
        <x:v>CA-2016-131380</x:v>
      </x:c>
      <x:c r="B7163" s="18" t="n">
        <x:v>42457</x:v>
      </x:c>
      <x:c r="C7163" t="str">
        <x:v>CC-12220</x:v>
      </x:c>
      <x:c r="D7163" t="str">
        <x:v>Chris Cortes</x:v>
      </x:c>
      <x:c r="E7163" t="str">
        <x:v>Consumer</x:v>
      </x:c>
      <x:c r="F7163" t="str">
        <x:v>West</x:v>
      </x:c>
      <x:c r="G7163" t="str">
        <x:v>Office Supplies</x:v>
      </x:c>
      <x:c r="H7163" t="str">
        <x:v>Paper</x:v>
      </x:c>
      <x:c r="I7163" s="22" t="n">
        <x:v>5.98</x:v>
      </x:c>
      <x:c r="J7163" s="24" t="n">
        <x:v>1</x:v>
      </x:c>
      <x:c r="K7163" s="26" t="n">
        <x:v>0</x:v>
      </x:c>
      <x:c r="L7163" s="22" t="n">
        <x:v>2.9302</x:v>
      </x:c>
      <x:c r="M7163" t="n">
        <x:v>2016</x:v>
      </x:c>
      <x:c r="N7163" s="20" t="n">
        <x:v>42430</x:v>
      </x:c>
    </x:row>
    <x:row r="7164" ht="18" customHeight="1">
      <x:c r="A7164" t="str">
        <x:v>CA-2015-145835</x:v>
      </x:c>
      <x:c r="B7164" s="18" t="n">
        <x:v>42137</x:v>
      </x:c>
      <x:c r="C7164" t="str">
        <x:v>BF-11170</x:v>
      </x:c>
      <x:c r="D7164" t="str">
        <x:v>Ben Ferrer</x:v>
      </x:c>
      <x:c r="E7164" t="str">
        <x:v>Home Office</x:v>
      </x:c>
      <x:c r="F7164" t="str">
        <x:v>Central</x:v>
      </x:c>
      <x:c r="G7164" t="str">
        <x:v>Technology</x:v>
      </x:c>
      <x:c r="H7164" t="str">
        <x:v>Phones</x:v>
      </x:c>
      <x:c r="I7164" s="22" t="n">
        <x:v>222.38400000000001</x:v>
      </x:c>
      <x:c r="J7164" s="24" t="n">
        <x:v>2</x:v>
      </x:c>
      <x:c r="K7164" s="26" t="n">
        <x:v>0.2</x:v>
      </x:c>
      <x:c r="L7164" s="22" t="n">
        <x:v>16.678799999999995</x:v>
      </x:c>
      <x:c r="M7164" t="n">
        <x:v>2015</x:v>
      </x:c>
      <x:c r="N7164" s="20" t="n">
        <x:v>42125</x:v>
      </x:c>
    </x:row>
    <x:row r="7165" ht="18" customHeight="1">
      <x:c r="A7165" t="str">
        <x:v>CA-2015-145835</x:v>
      </x:c>
      <x:c r="B7165" s="18" t="n">
        <x:v>42137</x:v>
      </x:c>
      <x:c r="C7165" t="str">
        <x:v>BF-11170</x:v>
      </x:c>
      <x:c r="D7165" t="str">
        <x:v>Ben Ferrer</x:v>
      </x:c>
      <x:c r="E7165" t="str">
        <x:v>Home Office</x:v>
      </x:c>
      <x:c r="F7165" t="str">
        <x:v>Central</x:v>
      </x:c>
      <x:c r="G7165" t="str">
        <x:v>Office Supplies</x:v>
      </x:c>
      <x:c r="H7165" t="str">
        <x:v>Fasteners</x:v>
      </x:c>
      <x:c r="I7165" s="22" t="n">
        <x:v>16</x:v>
      </x:c>
      <x:c r="J7165" s="24" t="n">
        <x:v>4</x:v>
      </x:c>
      <x:c r="K7165" s="26" t="n">
        <x:v>0.2</x:v>
      </x:c>
      <x:c r="L7165" s="22" t="n">
        <x:v>5.6</x:v>
      </x:c>
      <x:c r="M7165" t="n">
        <x:v>2015</x:v>
      </x:c>
      <x:c r="N7165" s="20" t="n">
        <x:v>42125</x:v>
      </x:c>
    </x:row>
    <x:row r="7166" ht="18" customHeight="1">
      <x:c r="A7166" t="str">
        <x:v>CA-2014-138709</x:v>
      </x:c>
      <x:c r="B7166" s="18" t="n">
        <x:v>41824</x:v>
      </x:c>
      <x:c r="C7166" t="str">
        <x:v>MS-17770</x:v>
      </x:c>
      <x:c r="D7166" t="str">
        <x:v>Maxwell Schwartz</x:v>
      </x:c>
      <x:c r="E7166" t="str">
        <x:v>Consumer</x:v>
      </x:c>
      <x:c r="F7166" t="str">
        <x:v>South</x:v>
      </x:c>
      <x:c r="G7166" t="str">
        <x:v>Office Supplies</x:v>
      </x:c>
      <x:c r="H7166" t="str">
        <x:v>Paper</x:v>
      </x:c>
      <x:c r="I7166" s="22" t="n">
        <x:v>21.84</x:v>
      </x:c>
      <x:c r="J7166" s="24" t="n">
        <x:v>3</x:v>
      </x:c>
      <x:c r="K7166" s="26" t="n">
        <x:v>0</x:v>
      </x:c>
      <x:c r="L7166" s="22" t="n">
        <x:v>10.92</x:v>
      </x:c>
      <x:c r="M7166" t="n">
        <x:v>2014</x:v>
      </x:c>
      <x:c r="N7166" s="20" t="n">
        <x:v>41821</x:v>
      </x:c>
    </x:row>
    <x:row r="7167" ht="18" customHeight="1">
      <x:c r="A7167" t="str">
        <x:v>CA-2014-138709</x:v>
      </x:c>
      <x:c r="B7167" s="18" t="n">
        <x:v>41824</x:v>
      </x:c>
      <x:c r="C7167" t="str">
        <x:v>MS-17770</x:v>
      </x:c>
      <x:c r="D7167" t="str">
        <x:v>Maxwell Schwartz</x:v>
      </x:c>
      <x:c r="E7167" t="str">
        <x:v>Consumer</x:v>
      </x:c>
      <x:c r="F7167" t="str">
        <x:v>South</x:v>
      </x:c>
      <x:c r="G7167" t="str">
        <x:v>Office Supplies</x:v>
      </x:c>
      <x:c r="H7167" t="str">
        <x:v>Binders</x:v>
      </x:c>
      <x:c r="I7167" s="22" t="n">
        <x:v>15.600000000000001</x:v>
      </x:c>
      <x:c r="J7167" s="24" t="n">
        <x:v>5</x:v>
      </x:c>
      <x:c r="K7167" s="26" t="n">
        <x:v>0</x:v>
      </x:c>
      <x:c r="L7167" s="22" t="n">
        <x:v>7.644</x:v>
      </x:c>
      <x:c r="M7167" t="n">
        <x:v>2014</x:v>
      </x:c>
      <x:c r="N7167" s="20" t="n">
        <x:v>41821</x:v>
      </x:c>
    </x:row>
    <x:row r="7168" ht="18" customHeight="1">
      <x:c r="A7168" t="str">
        <x:v>CA-2014-122070</x:v>
      </x:c>
      <x:c r="B7168" s="18" t="n">
        <x:v>41751</x:v>
      </x:c>
      <x:c r="C7168" t="str">
        <x:v>AH-10030</x:v>
      </x:c>
      <x:c r="D7168" t="str">
        <x:v>Aaron Hawkins</x:v>
      </x:c>
      <x:c r="E7168" t="str">
        <x:v>Corporate</x:v>
      </x:c>
      <x:c r="F7168" t="str">
        <x:v>East</x:v>
      </x:c>
      <x:c r="G7168" t="str">
        <x:v>Office Supplies</x:v>
      </x:c>
      <x:c r="H7168" t="str">
        <x:v>Envelopes</x:v>
      </x:c>
      <x:c r="I7168" s="22" t="n">
        <x:v>247.84</x:v>
      </x:c>
      <x:c r="J7168" s="24" t="n">
        <x:v>8</x:v>
      </x:c>
      <x:c r="K7168" s="26" t="n">
        <x:v>0</x:v>
      </x:c>
      <x:c r="L7168" s="22" t="n">
        <x:v>121.4416</x:v>
      </x:c>
      <x:c r="M7168" t="n">
        <x:v>2014</x:v>
      </x:c>
      <x:c r="N7168" s="20" t="n">
        <x:v>41730</x:v>
      </x:c>
    </x:row>
    <x:row r="7169" ht="18" customHeight="1">
      <x:c r="A7169" t="str">
        <x:v>CA-2014-122070</x:v>
      </x:c>
      <x:c r="B7169" s="18" t="n">
        <x:v>41751</x:v>
      </x:c>
      <x:c r="C7169" t="str">
        <x:v>AH-10030</x:v>
      </x:c>
      <x:c r="D7169" t="str">
        <x:v>Aaron Hawkins</x:v>
      </x:c>
      <x:c r="E7169" t="str">
        <x:v>Corporate</x:v>
      </x:c>
      <x:c r="F7169" t="str">
        <x:v>East</x:v>
      </x:c>
      <x:c r="G7169" t="str">
        <x:v>Office Supplies</x:v>
      </x:c>
      <x:c r="H7169" t="str">
        <x:v>Binders</x:v>
      </x:c>
      <x:c r="I7169" s="22" t="n">
        <x:v>9.912</x:v>
      </x:c>
      <x:c r="J7169" s="24" t="n">
        <x:v>3</x:v>
      </x:c>
      <x:c r="K7169" s="26" t="n">
        <x:v>0.2</x:v>
      </x:c>
      <x:c r="L7169" s="22" t="n">
        <x:v>3.3452999999999995</x:v>
      </x:c>
      <x:c r="M7169" t="n">
        <x:v>2014</x:v>
      </x:c>
      <x:c r="N7169" s="20" t="n">
        <x:v>41730</x:v>
      </x:c>
    </x:row>
    <x:row r="7170" ht="18" customHeight="1">
      <x:c r="A7170" t="str">
        <x:v>CA-2016-158610</x:v>
      </x:c>
      <x:c r="B7170" s="18" t="n">
        <x:v>42632</x:v>
      </x:c>
      <x:c r="C7170" t="str">
        <x:v>CK-12595</x:v>
      </x:c>
      <x:c r="D7170" t="str">
        <x:v>Clytie Kelty</x:v>
      </x:c>
      <x:c r="E7170" t="str">
        <x:v>Consumer</x:v>
      </x:c>
      <x:c r="F7170" t="str">
        <x:v>East</x:v>
      </x:c>
      <x:c r="G7170" t="str">
        <x:v>Office Supplies</x:v>
      </x:c>
      <x:c r="H7170" t="str">
        <x:v>Storage</x:v>
      </x:c>
      <x:c r="I7170" s="22" t="n">
        <x:v>69.52</x:v>
      </x:c>
      <x:c r="J7170" s="24" t="n">
        <x:v>2</x:v>
      </x:c>
      <x:c r="K7170" s="26" t="n">
        <x:v>0</x:v>
      </x:c>
      <x:c r="L7170" s="22" t="n">
        <x:v>17.379999999999995</x:v>
      </x:c>
      <x:c r="M7170" t="n">
        <x:v>2016</x:v>
      </x:c>
      <x:c r="N7170" s="20" t="n">
        <x:v>42614</x:v>
      </x:c>
    </x:row>
    <x:row r="7171" ht="18" customHeight="1">
      <x:c r="A7171" t="str">
        <x:v>CA-2014-117464</x:v>
      </x:c>
      <x:c r="B7171" s="18" t="n">
        <x:v>41842</x:v>
      </x:c>
      <x:c r="C7171" t="str">
        <x:v>NP-18325</x:v>
      </x:c>
      <x:c r="D7171" t="str">
        <x:v>Naresj Patel</x:v>
      </x:c>
      <x:c r="E7171" t="str">
        <x:v>Consumer</x:v>
      </x:c>
      <x:c r="F7171" t="str">
        <x:v>West</x:v>
      </x:c>
      <x:c r="G7171" t="str">
        <x:v>Office Supplies</x:v>
      </x:c>
      <x:c r="H7171" t="str">
        <x:v>Art</x:v>
      </x:c>
      <x:c r="I7171" s="22" t="n">
        <x:v>11.52</x:v>
      </x:c>
      <x:c r="J7171" s="24" t="n">
        <x:v>4</x:v>
      </x:c>
      <x:c r="K7171" s="26" t="n">
        <x:v>0</x:v>
      </x:c>
      <x:c r="L7171" s="22" t="n">
        <x:v>3.2256</x:v>
      </x:c>
      <x:c r="M7171" t="n">
        <x:v>2014</x:v>
      </x:c>
      <x:c r="N7171" s="20" t="n">
        <x:v>41821</x:v>
      </x:c>
    </x:row>
    <x:row r="7172" ht="18" customHeight="1">
      <x:c r="A7172" t="str">
        <x:v>CA-2014-117464</x:v>
      </x:c>
      <x:c r="B7172" s="18" t="n">
        <x:v>41842</x:v>
      </x:c>
      <x:c r="C7172" t="str">
        <x:v>NP-18325</x:v>
      </x:c>
      <x:c r="D7172" t="str">
        <x:v>Naresj Patel</x:v>
      </x:c>
      <x:c r="E7172" t="str">
        <x:v>Consumer</x:v>
      </x:c>
      <x:c r="F7172" t="str">
        <x:v>West</x:v>
      </x:c>
      <x:c r="G7172" t="str">
        <x:v>Furniture</x:v>
      </x:c>
      <x:c r="H7172" t="str">
        <x:v>Chairs</x:v>
      </x:c>
      <x:c r="I7172" s="22" t="n">
        <x:v>717.72</x:v>
      </x:c>
      <x:c r="J7172" s="24" t="n">
        <x:v>3</x:v>
      </x:c>
      <x:c r="K7172" s="26" t="n">
        <x:v>0.2</x:v>
      </x:c>
      <x:c r="L7172" s="22" t="n">
        <x:v>71.77200000000002</x:v>
      </x:c>
      <x:c r="M7172" t="n">
        <x:v>2014</x:v>
      </x:c>
      <x:c r="N7172" s="20" t="n">
        <x:v>41821</x:v>
      </x:c>
    </x:row>
    <x:row r="7173" ht="18" customHeight="1">
      <x:c r="A7173" t="str">
        <x:v>CA-2014-117464</x:v>
      </x:c>
      <x:c r="B7173" s="18" t="n">
        <x:v>41842</x:v>
      </x:c>
      <x:c r="C7173" t="str">
        <x:v>NP-18325</x:v>
      </x:c>
      <x:c r="D7173" t="str">
        <x:v>Naresj Patel</x:v>
      </x:c>
      <x:c r="E7173" t="str">
        <x:v>Consumer</x:v>
      </x:c>
      <x:c r="F7173" t="str">
        <x:v>West</x:v>
      </x:c>
      <x:c r="G7173" t="str">
        <x:v>Office Supplies</x:v>
      </x:c>
      <x:c r="H7173" t="str">
        <x:v>Storage</x:v>
      </x:c>
      <x:c r="I7173" s="22" t="n">
        <x:v>236.5</x:v>
      </x:c>
      <x:c r="J7173" s="24" t="n">
        <x:v>10</x:v>
      </x:c>
      <x:c r="K7173" s="26" t="n">
        <x:v>0</x:v>
      </x:c>
      <x:c r="L7173" s="22" t="n">
        <x:v>68.585</x:v>
      </x:c>
      <x:c r="M7173" t="n">
        <x:v>2014</x:v>
      </x:c>
      <x:c r="N7173" s="20" t="n">
        <x:v>41821</x:v>
      </x:c>
    </x:row>
    <x:row r="7174" ht="18" customHeight="1">
      <x:c r="A7174" t="str">
        <x:v>CA-2014-117464</x:v>
      </x:c>
      <x:c r="B7174" s="18" t="n">
        <x:v>41842</x:v>
      </x:c>
      <x:c r="C7174" t="str">
        <x:v>NP-18325</x:v>
      </x:c>
      <x:c r="D7174" t="str">
        <x:v>Naresj Patel</x:v>
      </x:c>
      <x:c r="E7174" t="str">
        <x:v>Consumer</x:v>
      </x:c>
      <x:c r="F7174" t="str">
        <x:v>West</x:v>
      </x:c>
      <x:c r="G7174" t="str">
        <x:v>Furniture</x:v>
      </x:c>
      <x:c r="H7174" t="str">
        <x:v>Tables</x:v>
      </x:c>
      <x:c r="I7174" s="22" t="n">
        <x:v>170.35200000000003</x:v>
      </x:c>
      <x:c r="J7174" s="24" t="n">
        <x:v>3</x:v>
      </x:c>
      <x:c r="K7174" s="26" t="n">
        <x:v>0.2</x:v>
      </x:c>
      <x:c r="L7174" s="22" t="n">
        <x:v>19.16459999999998</x:v>
      </x:c>
      <x:c r="M7174" t="n">
        <x:v>2014</x:v>
      </x:c>
      <x:c r="N7174" s="20" t="n">
        <x:v>41821</x:v>
      </x:c>
    </x:row>
    <x:row r="7175" ht="18" customHeight="1">
      <x:c r="A7175" t="str">
        <x:v>US-2017-168613</x:v>
      </x:c>
      <x:c r="B7175" s="18" t="n">
        <x:v>43016</x:v>
      </x:c>
      <x:c r="C7175" t="str">
        <x:v>GM-14440</x:v>
      </x:c>
      <x:c r="D7175" t="str">
        <x:v>Gary McGarr</x:v>
      </x:c>
      <x:c r="E7175" t="str">
        <x:v>Consumer</x:v>
      </x:c>
      <x:c r="F7175" t="str">
        <x:v>East</x:v>
      </x:c>
      <x:c r="G7175" t="str">
        <x:v>Furniture</x:v>
      </x:c>
      <x:c r="H7175" t="str">
        <x:v>Chairs</x:v>
      </x:c>
      <x:c r="I7175" s="22" t="n">
        <x:v>145.764</x:v>
      </x:c>
      <x:c r="J7175" s="24" t="n">
        <x:v>2</x:v>
      </x:c>
      <x:c r="K7175" s="26" t="n">
        <x:v>0.1</x:v>
      </x:c>
      <x:c r="L7175" s="22" t="n">
        <x:v>3.2392000000000074</x:v>
      </x:c>
      <x:c r="M7175" t="n">
        <x:v>2017</x:v>
      </x:c>
      <x:c r="N7175" s="20" t="n">
        <x:v>43009</x:v>
      </x:c>
    </x:row>
    <x:row r="7176" ht="18" customHeight="1">
      <x:c r="A7176" t="str">
        <x:v>CA-2017-125381</x:v>
      </x:c>
      <x:c r="B7176" s="18" t="n">
        <x:v>42850</x:v>
      </x:c>
      <x:c r="C7176" t="str">
        <x:v>SG-20605</x:v>
      </x:c>
      <x:c r="D7176" t="str">
        <x:v>Speros Goranitis</x:v>
      </x:c>
      <x:c r="E7176" t="str">
        <x:v>Consumer</x:v>
      </x:c>
      <x:c r="F7176" t="str">
        <x:v>West</x:v>
      </x:c>
      <x:c r="G7176" t="str">
        <x:v>Technology</x:v>
      </x:c>
      <x:c r="H7176" t="str">
        <x:v>Accessories</x:v>
      </x:c>
      <x:c r="I7176" s="22" t="n">
        <x:v>107.97</x:v>
      </x:c>
      <x:c r="J7176" s="24" t="n">
        <x:v>3</x:v>
      </x:c>
      <x:c r="K7176" s="26" t="n">
        <x:v>0</x:v>
      </x:c>
      <x:c r="L7176" s="22" t="n">
        <x:v>22.6737</x:v>
      </x:c>
      <x:c r="M7176" t="n">
        <x:v>2017</x:v>
      </x:c>
      <x:c r="N7176" s="20" t="n">
        <x:v>42826</x:v>
      </x:c>
    </x:row>
    <x:row r="7177" ht="18" customHeight="1">
      <x:c r="A7177" t="str">
        <x:v>US-2017-141677</x:v>
      </x:c>
      <x:c r="B7177" s="18" t="n">
        <x:v>42820</x:v>
      </x:c>
      <x:c r="C7177" t="str">
        <x:v>HK-14890</x:v>
      </x:c>
      <x:c r="D7177" t="str">
        <x:v>Heather Kirkland</x:v>
      </x:c>
      <x:c r="E7177" t="str">
        <x:v>Corporate</x:v>
      </x:c>
      <x:c r="F7177" t="str">
        <x:v>Central</x:v>
      </x:c>
      <x:c r="G7177" t="str">
        <x:v>Technology</x:v>
      </x:c>
      <x:c r="H7177" t="str">
        <x:v>Accessories</x:v>
      </x:c>
      <x:c r="I7177" s="22" t="n">
        <x:v>143.96</x:v>
      </x:c>
      <x:c r="J7177" s="24" t="n">
        <x:v>5</x:v>
      </x:c>
      <x:c r="K7177" s="26" t="n">
        <x:v>0.2</x:v>
      </x:c>
      <x:c r="L7177" s="22" t="n">
        <x:v>1.7995000000000019</x:v>
      </x:c>
      <x:c r="M7177" t="n">
        <x:v>2017</x:v>
      </x:c>
      <x:c r="N7177" s="20" t="n">
        <x:v>42795</x:v>
      </x:c>
    </x:row>
    <x:row r="7178" ht="18" customHeight="1">
      <x:c r="A7178" t="str">
        <x:v>US-2017-141677</x:v>
      </x:c>
      <x:c r="B7178" s="18" t="n">
        <x:v>42820</x:v>
      </x:c>
      <x:c r="C7178" t="str">
        <x:v>HK-14890</x:v>
      </x:c>
      <x:c r="D7178" t="str">
        <x:v>Heather Kirkland</x:v>
      </x:c>
      <x:c r="E7178" t="str">
        <x:v>Corporate</x:v>
      </x:c>
      <x:c r="F7178" t="str">
        <x:v>Central</x:v>
      </x:c>
      <x:c r="G7178" t="str">
        <x:v>Technology</x:v>
      </x:c>
      <x:c r="H7178" t="str">
        <x:v>Copiers</x:v>
      </x:c>
      <x:c r="I7178" s="22" t="n">
        <x:v>2399.96</x:v>
      </x:c>
      <x:c r="J7178" s="24" t="n">
        <x:v>5</x:v>
      </x:c>
      <x:c r="K7178" s="26" t="n">
        <x:v>0.2</x:v>
      </x:c>
      <x:c r="L7178" s="22" t="n">
        <x:v>569.9905000000001</x:v>
      </x:c>
      <x:c r="M7178" t="n">
        <x:v>2017</x:v>
      </x:c>
      <x:c r="N7178" s="20" t="n">
        <x:v>42795</x:v>
      </x:c>
    </x:row>
    <x:row r="7179" ht="18" customHeight="1">
      <x:c r="A7179" t="str">
        <x:v>US-2017-141677</x:v>
      </x:c>
      <x:c r="B7179" s="18" t="n">
        <x:v>42820</x:v>
      </x:c>
      <x:c r="C7179" t="str">
        <x:v>HK-14890</x:v>
      </x:c>
      <x:c r="D7179" t="str">
        <x:v>Heather Kirkland</x:v>
      </x:c>
      <x:c r="E7179" t="str">
        <x:v>Corporate</x:v>
      </x:c>
      <x:c r="F7179" t="str">
        <x:v>Central</x:v>
      </x:c>
      <x:c r="G7179" t="str">
        <x:v>Office Supplies</x:v>
      </x:c>
      <x:c r="H7179" t="str">
        <x:v>Paper</x:v>
      </x:c>
      <x:c r="I7179" s="22" t="n">
        <x:v>74.352</x:v>
      </x:c>
      <x:c r="J7179" s="24" t="n">
        <x:v>3</x:v>
      </x:c>
      <x:c r="K7179" s="26" t="n">
        <x:v>0.2</x:v>
      </x:c>
      <x:c r="L7179" s="22" t="n">
        <x:v>23.234999999999992</x:v>
      </x:c>
      <x:c r="M7179" t="n">
        <x:v>2017</x:v>
      </x:c>
      <x:c r="N7179" s="20" t="n">
        <x:v>42795</x:v>
      </x:c>
    </x:row>
    <x:row r="7180" ht="18" customHeight="1">
      <x:c r="A7180" t="str">
        <x:v>US-2017-141677</x:v>
      </x:c>
      <x:c r="B7180" s="18" t="n">
        <x:v>42820</x:v>
      </x:c>
      <x:c r="C7180" t="str">
        <x:v>HK-14890</x:v>
      </x:c>
      <x:c r="D7180" t="str">
        <x:v>Heather Kirkland</x:v>
      </x:c>
      <x:c r="E7180" t="str">
        <x:v>Corporate</x:v>
      </x:c>
      <x:c r="F7180" t="str">
        <x:v>Central</x:v>
      </x:c>
      <x:c r="G7180" t="str">
        <x:v>Office Supplies</x:v>
      </x:c>
      <x:c r="H7180" t="str">
        <x:v>Appliances</x:v>
      </x:c>
      <x:c r="I7180" s="22" t="n">
        <x:v>87.16799999999998</x:v>
      </x:c>
      <x:c r="J7180" s="24" t="n">
        <x:v>8</x:v>
      </x:c>
      <x:c r="K7180" s="26" t="n">
        <x:v>0.8</x:v>
      </x:c>
      <x:c r="L7180" s="22" t="n">
        <x:v>-226.6368</x:v>
      </x:c>
      <x:c r="M7180" t="n">
        <x:v>2017</x:v>
      </x:c>
      <x:c r="N7180" s="20" t="n">
        <x:v>42795</x:v>
      </x:c>
    </x:row>
    <x:row r="7181" ht="18" customHeight="1">
      <x:c r="A7181" t="str">
        <x:v>US-2017-141677</x:v>
      </x:c>
      <x:c r="B7181" s="18" t="n">
        <x:v>42820</x:v>
      </x:c>
      <x:c r="C7181" t="str">
        <x:v>HK-14890</x:v>
      </x:c>
      <x:c r="D7181" t="str">
        <x:v>Heather Kirkland</x:v>
      </x:c>
      <x:c r="E7181" t="str">
        <x:v>Corporate</x:v>
      </x:c>
      <x:c r="F7181" t="str">
        <x:v>Central</x:v>
      </x:c>
      <x:c r="G7181" t="str">
        <x:v>Office Supplies</x:v>
      </x:c>
      <x:c r="H7181" t="str">
        <x:v>Storage</x:v>
      </x:c>
      <x:c r="I7181" s="22" t="n">
        <x:v>32.232</x:v>
      </x:c>
      <x:c r="J7181" s="24" t="n">
        <x:v>3</x:v>
      </x:c>
      <x:c r="K7181" s="26" t="n">
        <x:v>0.2</x:v>
      </x:c>
      <x:c r="L7181" s="22" t="n">
        <x:v>2.417399999999999</x:v>
      </x:c>
      <x:c r="M7181" t="n">
        <x:v>2017</x:v>
      </x:c>
      <x:c r="N7181" s="20" t="n">
        <x:v>42795</x:v>
      </x:c>
    </x:row>
    <x:row r="7182" ht="18" customHeight="1">
      <x:c r="A7182" t="str">
        <x:v>CA-2017-133067</x:v>
      </x:c>
      <x:c r="B7182" s="18" t="n">
        <x:v>42859</x:v>
      </x:c>
      <x:c r="C7182" t="str">
        <x:v>MY-18295</x:v>
      </x:c>
      <x:c r="D7182" t="str">
        <x:v>Muhammed Yedwab</x:v>
      </x:c>
      <x:c r="E7182" t="str">
        <x:v>Corporate</x:v>
      </x:c>
      <x:c r="F7182" t="str">
        <x:v>East</x:v>
      </x:c>
      <x:c r="G7182" t="str">
        <x:v>Office Supplies</x:v>
      </x:c>
      <x:c r="H7182" t="str">
        <x:v>Binders</x:v>
      </x:c>
      <x:c r="I7182" s="22" t="n">
        <x:v>2.2020000000000004</x:v>
      </x:c>
      <x:c r="J7182" s="24" t="n">
        <x:v>2</x:v>
      </x:c>
      <x:c r="K7182" s="26" t="n">
        <x:v>0.7</x:v>
      </x:c>
      <x:c r="L7182" s="22" t="n">
        <x:v>-1.5413999999999999</x:v>
      </x:c>
      <x:c r="M7182" t="n">
        <x:v>2017</x:v>
      </x:c>
      <x:c r="N7182" s="20" t="n">
        <x:v>42856</x:v>
      </x:c>
    </x:row>
    <x:row r="7183" ht="18" customHeight="1">
      <x:c r="A7183" t="str">
        <x:v>CA-2017-133067</x:v>
      </x:c>
      <x:c r="B7183" s="18" t="n">
        <x:v>42859</x:v>
      </x:c>
      <x:c r="C7183" t="str">
        <x:v>MY-18295</x:v>
      </x:c>
      <x:c r="D7183" t="str">
        <x:v>Muhammed Yedwab</x:v>
      </x:c>
      <x:c r="E7183" t="str">
        <x:v>Corporate</x:v>
      </x:c>
      <x:c r="F7183" t="str">
        <x:v>East</x:v>
      </x:c>
      <x:c r="G7183" t="str">
        <x:v>Office Supplies</x:v>
      </x:c>
      <x:c r="H7183" t="str">
        <x:v>Binders</x:v>
      </x:c>
      <x:c r="I7183" s="22" t="n">
        <x:v>9.396</x:v>
      </x:c>
      <x:c r="J7183" s="24" t="n">
        <x:v>3</x:v>
      </x:c>
      <x:c r="K7183" s="26" t="n">
        <x:v>0.7</x:v>
      </x:c>
      <x:c r="L7183" s="22" t="n">
        <x:v>-7.516799999999996</x:v>
      </x:c>
      <x:c r="M7183" t="n">
        <x:v>2017</x:v>
      </x:c>
      <x:c r="N7183" s="20" t="n">
        <x:v>42856</x:v>
      </x:c>
    </x:row>
    <x:row r="7184" ht="18" customHeight="1">
      <x:c r="A7184" t="str">
        <x:v>US-2016-144351</x:v>
      </x:c>
      <x:c r="B7184" s="18" t="n">
        <x:v>42688</x:v>
      </x:c>
      <x:c r="C7184" t="str">
        <x:v>RC-19960</x:v>
      </x:c>
      <x:c r="D7184" t="str">
        <x:v>Ryan Crowe</x:v>
      </x:c>
      <x:c r="E7184" t="str">
        <x:v>Consumer</x:v>
      </x:c>
      <x:c r="F7184" t="str">
        <x:v>East</x:v>
      </x:c>
      <x:c r="G7184" t="str">
        <x:v>Technology</x:v>
      </x:c>
      <x:c r="H7184" t="str">
        <x:v>Phones</x:v>
      </x:c>
      <x:c r="I7184" s="22" t="n">
        <x:v>89.97</x:v>
      </x:c>
      <x:c r="J7184" s="24" t="n">
        <x:v>3</x:v>
      </x:c>
      <x:c r="K7184" s="26" t="n">
        <x:v>0</x:v>
      </x:c>
      <x:c r="L7184" s="22" t="n">
        <x:v>25.191600000000005</x:v>
      </x:c>
      <x:c r="M7184" t="n">
        <x:v>2016</x:v>
      </x:c>
      <x:c r="N7184" s="20" t="n">
        <x:v>42675</x:v>
      </x:c>
    </x:row>
    <x:row r="7185" ht="18" customHeight="1">
      <x:c r="A7185" t="str">
        <x:v>CA-2014-106054</x:v>
      </x:c>
      <x:c r="B7185" s="18" t="n">
        <x:v>41645</x:v>
      </x:c>
      <x:c r="C7185" t="str">
        <x:v>JO-15145</x:v>
      </x:c>
      <x:c r="D7185" t="str">
        <x:v>Jack O'Briant</x:v>
      </x:c>
      <x:c r="E7185" t="str">
        <x:v>Corporate</x:v>
      </x:c>
      <x:c r="F7185" t="str">
        <x:v>South</x:v>
      </x:c>
      <x:c r="G7185" t="str">
        <x:v>Office Supplies</x:v>
      </x:c>
      <x:c r="H7185" t="str">
        <x:v>Art</x:v>
      </x:c>
      <x:c r="I7185" s="22" t="n">
        <x:v>12.78</x:v>
      </x:c>
      <x:c r="J7185" s="24" t="n">
        <x:v>3</x:v>
      </x:c>
      <x:c r="K7185" s="26" t="n">
        <x:v>0</x:v>
      </x:c>
      <x:c r="L7185" s="22" t="n">
        <x:v>5.2398</x:v>
      </x:c>
      <x:c r="M7185" t="n">
        <x:v>2014</x:v>
      </x:c>
      <x:c r="N7185" s="20" t="n">
        <x:v>41640</x:v>
      </x:c>
    </x:row>
    <x:row r="7186" ht="18" customHeight="1">
      <x:c r="A7186" t="str">
        <x:v>CA-2016-138667</x:v>
      </x:c>
      <x:c r="B7186" s="18" t="n">
        <x:v>42731</x:v>
      </x:c>
      <x:c r="C7186" t="str">
        <x:v>MW-18220</x:v>
      </x:c>
      <x:c r="D7186" t="str">
        <x:v>Mitch Webber</x:v>
      </x:c>
      <x:c r="E7186" t="str">
        <x:v>Consumer</x:v>
      </x:c>
      <x:c r="F7186" t="str">
        <x:v>East</x:v>
      </x:c>
      <x:c r="G7186" t="str">
        <x:v>Technology</x:v>
      </x:c>
      <x:c r="H7186" t="str">
        <x:v>Accessories</x:v>
      </x:c>
      <x:c r="I7186" s="22" t="n">
        <x:v>40</x:v>
      </x:c>
      <x:c r="J7186" s="24" t="n">
        <x:v>2</x:v>
      </x:c>
      <x:c r="K7186" s="26" t="n">
        <x:v>0.2</x:v>
      </x:c>
      <x:c r="L7186" s="22" t="n">
        <x:v>0.5</x:v>
      </x:c>
      <x:c r="M7186" t="n">
        <x:v>2016</x:v>
      </x:c>
      <x:c r="N7186" s="20" t="n">
        <x:v>42705</x:v>
      </x:c>
    </x:row>
    <x:row r="7187" ht="18" customHeight="1">
      <x:c r="A7187" t="str">
        <x:v>CA-2017-150609</x:v>
      </x:c>
      <x:c r="B7187" s="18" t="n">
        <x:v>42855</x:v>
      </x:c>
      <x:c r="C7187" t="str">
        <x:v>NZ-18565</x:v>
      </x:c>
      <x:c r="D7187" t="str">
        <x:v>Nick Zandusky</x:v>
      </x:c>
      <x:c r="E7187" t="str">
        <x:v>Home Office</x:v>
      </x:c>
      <x:c r="F7187" t="str">
        <x:v>West</x:v>
      </x:c>
      <x:c r="G7187" t="str">
        <x:v>Office Supplies</x:v>
      </x:c>
      <x:c r="H7187" t="str">
        <x:v>Binders</x:v>
      </x:c>
      <x:c r="I7187" s="22" t="n">
        <x:v>23.24</x:v>
      </x:c>
      <x:c r="J7187" s="24" t="n">
        <x:v>5</x:v>
      </x:c>
      <x:c r="K7187" s="26" t="n">
        <x:v>0.2</x:v>
      </x:c>
      <x:c r="L7187" s="22" t="n">
        <x:v>7.552999999999998</x:v>
      </x:c>
      <x:c r="M7187" t="n">
        <x:v>2017</x:v>
      </x:c>
      <x:c r="N7187" s="20" t="n">
        <x:v>42826</x:v>
      </x:c>
    </x:row>
    <x:row r="7188" ht="18" customHeight="1">
      <x:c r="A7188" t="str">
        <x:v>CA-2017-128853</x:v>
      </x:c>
      <x:c r="B7188" s="18" t="n">
        <x:v>42846</x:v>
      </x:c>
      <x:c r="C7188" t="str">
        <x:v>JM-15250</x:v>
      </x:c>
      <x:c r="D7188" t="str">
        <x:v>Janet Martin</x:v>
      </x:c>
      <x:c r="E7188" t="str">
        <x:v>Consumer</x:v>
      </x:c>
      <x:c r="F7188" t="str">
        <x:v>East</x:v>
      </x:c>
      <x:c r="G7188" t="str">
        <x:v>Furniture</x:v>
      </x:c>
      <x:c r="H7188" t="str">
        <x:v>Chairs</x:v>
      </x:c>
      <x:c r="I7188" s="22" t="n">
        <x:v>908.82</x:v>
      </x:c>
      <x:c r="J7188" s="24" t="n">
        <x:v>9</x:v>
      </x:c>
      <x:c r="K7188" s="26" t="n">
        <x:v>0</x:v>
      </x:c>
      <x:c r="L7188" s="22" t="n">
        <x:v>227.20500000000004</x:v>
      </x:c>
      <x:c r="M7188" t="n">
        <x:v>2017</x:v>
      </x:c>
      <x:c r="N7188" s="20" t="n">
        <x:v>42826</x:v>
      </x:c>
    </x:row>
    <x:row r="7189" ht="18" customHeight="1">
      <x:c r="A7189" t="str">
        <x:v>CA-2017-133102</x:v>
      </x:c>
      <x:c r="B7189" s="18" t="n">
        <x:v>42964</x:v>
      </x:c>
      <x:c r="C7189" t="str">
        <x:v>ED-13885</x:v>
      </x:c>
      <x:c r="D7189" t="str">
        <x:v>Emily Ducich</x:v>
      </x:c>
      <x:c r="E7189" t="str">
        <x:v>Home Office</x:v>
      </x:c>
      <x:c r="F7189" t="str">
        <x:v>Central</x:v>
      </x:c>
      <x:c r="G7189" t="str">
        <x:v>Office Supplies</x:v>
      </x:c>
      <x:c r="H7189" t="str">
        <x:v>Supplies</x:v>
      </x:c>
      <x:c r="I7189" s="22" t="n">
        <x:v>5.5520000000000005</x:v>
      </x:c>
      <x:c r="J7189" s="24" t="n">
        <x:v>2</x:v>
      </x:c>
      <x:c r="K7189" s="26" t="n">
        <x:v>0.2</x:v>
      </x:c>
      <x:c r="L7189" s="22" t="n">
        <x:v>-1.0410000000000006</x:v>
      </x:c>
      <x:c r="M7189" t="n">
        <x:v>2017</x:v>
      </x:c>
      <x:c r="N7189" s="20" t="n">
        <x:v>42948</x:v>
      </x:c>
    </x:row>
    <x:row r="7190" ht="18" customHeight="1">
      <x:c r="A7190" t="str">
        <x:v>CA-2017-133102</x:v>
      </x:c>
      <x:c r="B7190" s="18" t="n">
        <x:v>42964</x:v>
      </x:c>
      <x:c r="C7190" t="str">
        <x:v>ED-13885</x:v>
      </x:c>
      <x:c r="D7190" t="str">
        <x:v>Emily Ducich</x:v>
      </x:c>
      <x:c r="E7190" t="str">
        <x:v>Home Office</x:v>
      </x:c>
      <x:c r="F7190" t="str">
        <x:v>Central</x:v>
      </x:c>
      <x:c r="G7190" t="str">
        <x:v>Office Supplies</x:v>
      </x:c>
      <x:c r="H7190" t="str">
        <x:v>Art</x:v>
      </x:c>
      <x:c r="I7190" s="22" t="n">
        <x:v>8.016</x:v>
      </x:c>
      <x:c r="J7190" s="24" t="n">
        <x:v>3</x:v>
      </x:c>
      <x:c r="K7190" s="26" t="n">
        <x:v>0.2</x:v>
      </x:c>
      <x:c r="L7190" s="22" t="n">
        <x:v>1.0019999999999993</x:v>
      </x:c>
      <x:c r="M7190" t="n">
        <x:v>2017</x:v>
      </x:c>
      <x:c r="N7190" s="20" t="n">
        <x:v>42948</x:v>
      </x:c>
    </x:row>
    <x:row r="7191" ht="18" customHeight="1">
      <x:c r="A7191" t="str">
        <x:v>CA-2017-133102</x:v>
      </x:c>
      <x:c r="B7191" s="18" t="n">
        <x:v>42964</x:v>
      </x:c>
      <x:c r="C7191" t="str">
        <x:v>ED-13885</x:v>
      </x:c>
      <x:c r="D7191" t="str">
        <x:v>Emily Ducich</x:v>
      </x:c>
      <x:c r="E7191" t="str">
        <x:v>Home Office</x:v>
      </x:c>
      <x:c r="F7191" t="str">
        <x:v>Central</x:v>
      </x:c>
      <x:c r="G7191" t="str">
        <x:v>Furniture</x:v>
      </x:c>
      <x:c r="H7191" t="str">
        <x:v>Chairs</x:v>
      </x:c>
      <x:c r="I7191" s="22" t="n">
        <x:v>74.592</x:v>
      </x:c>
      <x:c r="J7191" s="24" t="n">
        <x:v>4</x:v>
      </x:c>
      <x:c r="K7191" s="26" t="n">
        <x:v>0.3</x:v>
      </x:c>
      <x:c r="L7191" s="22" t="n">
        <x:v>-2.1312000000000033</x:v>
      </x:c>
      <x:c r="M7191" t="n">
        <x:v>2017</x:v>
      </x:c>
      <x:c r="N7191" s="20" t="n">
        <x:v>42948</x:v>
      </x:c>
    </x:row>
    <x:row r="7192" ht="18" customHeight="1">
      <x:c r="A7192" t="str">
        <x:v>CA-2017-133102</x:v>
      </x:c>
      <x:c r="B7192" s="18" t="n">
        <x:v>42964</x:v>
      </x:c>
      <x:c r="C7192" t="str">
        <x:v>ED-13885</x:v>
      </x:c>
      <x:c r="D7192" t="str">
        <x:v>Emily Ducich</x:v>
      </x:c>
      <x:c r="E7192" t="str">
        <x:v>Home Office</x:v>
      </x:c>
      <x:c r="F7192" t="str">
        <x:v>Central</x:v>
      </x:c>
      <x:c r="G7192" t="str">
        <x:v>Furniture</x:v>
      </x:c>
      <x:c r="H7192" t="str">
        <x:v>Furnishings</x:v>
      </x:c>
      <x:c r="I7192" s="22" t="n">
        <x:v>16.784000000000002</x:v>
      </x:c>
      <x:c r="J7192" s="24" t="n">
        <x:v>2</x:v>
      </x:c>
      <x:c r="K7192" s="26" t="n">
        <x:v>0.6</x:v>
      </x:c>
      <x:c r="L7192" s="22" t="n">
        <x:v>-22.2388</x:v>
      </x:c>
      <x:c r="M7192" t="n">
        <x:v>2017</x:v>
      </x:c>
      <x:c r="N7192" s="20" t="n">
        <x:v>42948</x:v>
      </x:c>
    </x:row>
    <x:row r="7193" ht="18" customHeight="1">
      <x:c r="A7193" t="str">
        <x:v>CA-2017-133102</x:v>
      </x:c>
      <x:c r="B7193" s="18" t="n">
        <x:v>42964</x:v>
      </x:c>
      <x:c r="C7193" t="str">
        <x:v>ED-13885</x:v>
      </x:c>
      <x:c r="D7193" t="str">
        <x:v>Emily Ducich</x:v>
      </x:c>
      <x:c r="E7193" t="str">
        <x:v>Home Office</x:v>
      </x:c>
      <x:c r="F7193" t="str">
        <x:v>Central</x:v>
      </x:c>
      <x:c r="G7193" t="str">
        <x:v>Office Supplies</x:v>
      </x:c>
      <x:c r="H7193" t="str">
        <x:v>Appliances</x:v>
      </x:c>
      <x:c r="I7193" s="22" t="n">
        <x:v>38.86399999999999</x:v>
      </x:c>
      <x:c r="J7193" s="24" t="n">
        <x:v>4</x:v>
      </x:c>
      <x:c r="K7193" s="26" t="n">
        <x:v>0.8</x:v>
      </x:c>
      <x:c r="L7193" s="22" t="n">
        <x:v>-99.10320000000004</x:v>
      </x:c>
      <x:c r="M7193" t="n">
        <x:v>2017</x:v>
      </x:c>
      <x:c r="N7193" s="20" t="n">
        <x:v>42948</x:v>
      </x:c>
    </x:row>
    <x:row r="7194" ht="18" customHeight="1">
      <x:c r="A7194" t="str">
        <x:v>CA-2016-164399</x:v>
      </x:c>
      <x:c r="B7194" s="18" t="n">
        <x:v>42686</x:v>
      </x:c>
      <x:c r="C7194" t="str">
        <x:v>DW-13480</x:v>
      </x:c>
      <x:c r="D7194" t="str">
        <x:v>Dianna Wilson</x:v>
      </x:c>
      <x:c r="E7194" t="str">
        <x:v>Home Office</x:v>
      </x:c>
      <x:c r="F7194" t="str">
        <x:v>West</x:v>
      </x:c>
      <x:c r="G7194" t="str">
        <x:v>Technology</x:v>
      </x:c>
      <x:c r="H7194" t="str">
        <x:v>Phones</x:v>
      </x:c>
      <x:c r="I7194" s="22" t="n">
        <x:v>203.976</x:v>
      </x:c>
      <x:c r="J7194" s="24" t="n">
        <x:v>3</x:v>
      </x:c>
      <x:c r="K7194" s="26" t="n">
        <x:v>0.2</x:v>
      </x:c>
      <x:c r="L7194" s="22" t="n">
        <x:v>25.496999999999986</x:v>
      </x:c>
      <x:c r="M7194" t="n">
        <x:v>2016</x:v>
      </x:c>
      <x:c r="N7194" s="20" t="n">
        <x:v>42675</x:v>
      </x:c>
    </x:row>
    <x:row r="7195" ht="18" customHeight="1">
      <x:c r="A7195" t="str">
        <x:v>CA-2016-164399</x:v>
      </x:c>
      <x:c r="B7195" s="18" t="n">
        <x:v>42686</x:v>
      </x:c>
      <x:c r="C7195" t="str">
        <x:v>DW-13480</x:v>
      </x:c>
      <x:c r="D7195" t="str">
        <x:v>Dianna Wilson</x:v>
      </x:c>
      <x:c r="E7195" t="str">
        <x:v>Home Office</x:v>
      </x:c>
      <x:c r="F7195" t="str">
        <x:v>West</x:v>
      </x:c>
      <x:c r="G7195" t="str">
        <x:v>Furniture</x:v>
      </x:c>
      <x:c r="H7195" t="str">
        <x:v>Tables</x:v>
      </x:c>
      <x:c r="I7195" s="22" t="n">
        <x:v>674.3520000000001</x:v>
      </x:c>
      <x:c r="J7195" s="24" t="n">
        <x:v>3</x:v>
      </x:c>
      <x:c r="K7195" s="26" t="n">
        <x:v>0.2</x:v>
      </x:c>
      <x:c r="L7195" s="22" t="n">
        <x:v>-8.429400000000015</x:v>
      </x:c>
      <x:c r="M7195" t="n">
        <x:v>2016</x:v>
      </x:c>
      <x:c r="N7195" s="20" t="n">
        <x:v>42675</x:v>
      </x:c>
    </x:row>
    <x:row r="7196" ht="18" customHeight="1">
      <x:c r="A7196" t="str">
        <x:v>CA-2016-116918</x:v>
      </x:c>
      <x:c r="B7196" s="18" t="n">
        <x:v>42644</x:v>
      </x:c>
      <x:c r="C7196" t="str">
        <x:v>JK-15205</x:v>
      </x:c>
      <x:c r="D7196" t="str">
        <x:v>Jamie Kunitz</x:v>
      </x:c>
      <x:c r="E7196" t="str">
        <x:v>Consumer</x:v>
      </x:c>
      <x:c r="F7196" t="str">
        <x:v>South</x:v>
      </x:c>
      <x:c r="G7196" t="str">
        <x:v>Office Supplies</x:v>
      </x:c>
      <x:c r="H7196" t="str">
        <x:v>Binders</x:v>
      </x:c>
      <x:c r="I7196" s="22" t="n">
        <x:v>5.388000000000001</x:v>
      </x:c>
      <x:c r="J7196" s="24" t="n">
        <x:v>4</x:v>
      </x:c>
      <x:c r="K7196" s="26" t="n">
        <x:v>0.7</x:v>
      </x:c>
      <x:c r="L7196" s="22" t="n">
        <x:v>-4.49</x:v>
      </x:c>
      <x:c r="M7196" t="n">
        <x:v>2016</x:v>
      </x:c>
      <x:c r="N7196" s="20" t="n">
        <x:v>42644</x:v>
      </x:c>
    </x:row>
    <x:row r="7197" ht="18" customHeight="1">
      <x:c r="A7197" t="str">
        <x:v>CA-2016-116918</x:v>
      </x:c>
      <x:c r="B7197" s="18" t="n">
        <x:v>42644</x:v>
      </x:c>
      <x:c r="C7197" t="str">
        <x:v>JK-15205</x:v>
      </x:c>
      <x:c r="D7197" t="str">
        <x:v>Jamie Kunitz</x:v>
      </x:c>
      <x:c r="E7197" t="str">
        <x:v>Consumer</x:v>
      </x:c>
      <x:c r="F7197" t="str">
        <x:v>South</x:v>
      </x:c>
      <x:c r="G7197" t="str">
        <x:v>Office Supplies</x:v>
      </x:c>
      <x:c r="H7197" t="str">
        <x:v>Art</x:v>
      </x:c>
      <x:c r="I7197" s="22" t="n">
        <x:v>30.976</x:v>
      </x:c>
      <x:c r="J7197" s="24" t="n">
        <x:v>8</x:v>
      </x:c>
      <x:c r="K7197" s="26" t="n">
        <x:v>0.2</x:v>
      </x:c>
      <x:c r="L7197" s="22" t="n">
        <x:v>5.0336</x:v>
      </x:c>
      <x:c r="M7197" t="n">
        <x:v>2016</x:v>
      </x:c>
      <x:c r="N7197" s="20" t="n">
        <x:v>42644</x:v>
      </x:c>
    </x:row>
    <x:row r="7198" ht="18" customHeight="1">
      <x:c r="A7198" t="str">
        <x:v>CA-2016-110492</x:v>
      </x:c>
      <x:c r="B7198" s="18" t="n">
        <x:v>42412</x:v>
      </x:c>
      <x:c r="C7198" t="str">
        <x:v>JS-15880</x:v>
      </x:c>
      <x:c r="D7198" t="str">
        <x:v>John Stevenson</x:v>
      </x:c>
      <x:c r="E7198" t="str">
        <x:v>Consumer</x:v>
      </x:c>
      <x:c r="F7198" t="str">
        <x:v>South</x:v>
      </x:c>
      <x:c r="G7198" t="str">
        <x:v>Office Supplies</x:v>
      </x:c>
      <x:c r="H7198" t="str">
        <x:v>Storage</x:v>
      </x:c>
      <x:c r="I7198" s="22" t="n">
        <x:v>1350.1200000000001</x:v>
      </x:c>
      <x:c r="J7198" s="24" t="n">
        <x:v>6</x:v>
      </x:c>
      <x:c r="K7198" s="26" t="n">
        <x:v>0</x:v>
      </x:c>
      <x:c r="L7198" s="22" t="n">
        <x:v>175.5156</x:v>
      </x:c>
      <x:c r="M7198" t="n">
        <x:v>2016</x:v>
      </x:c>
      <x:c r="N7198" s="20" t="n">
        <x:v>42401</x:v>
      </x:c>
    </x:row>
    <x:row r="7199" ht="18" customHeight="1">
      <x:c r="A7199" t="str">
        <x:v>CA-2016-110492</x:v>
      </x:c>
      <x:c r="B7199" s="18" t="n">
        <x:v>42412</x:v>
      </x:c>
      <x:c r="C7199" t="str">
        <x:v>JS-15880</x:v>
      </x:c>
      <x:c r="D7199" t="str">
        <x:v>John Stevenson</x:v>
      </x:c>
      <x:c r="E7199" t="str">
        <x:v>Consumer</x:v>
      </x:c>
      <x:c r="F7199" t="str">
        <x:v>South</x:v>
      </x:c>
      <x:c r="G7199" t="str">
        <x:v>Office Supplies</x:v>
      </x:c>
      <x:c r="H7199" t="str">
        <x:v>Binders</x:v>
      </x:c>
      <x:c r="I7199" s="22" t="n">
        <x:v>15.92</x:v>
      </x:c>
      <x:c r="J7199" s="24" t="n">
        <x:v>4</x:v>
      </x:c>
      <x:c r="K7199" s="26" t="n">
        <x:v>0</x:v>
      </x:c>
      <x:c r="L7199" s="22" t="n">
        <x:v>7.4824</x:v>
      </x:c>
      <x:c r="M7199" t="n">
        <x:v>2016</x:v>
      </x:c>
      <x:c r="N7199" s="20" t="n">
        <x:v>42401</x:v>
      </x:c>
    </x:row>
    <x:row r="7200" ht="18" customHeight="1">
      <x:c r="A7200" t="str">
        <x:v>CA-2016-147683</x:v>
      </x:c>
      <x:c r="B7200" s="18" t="n">
        <x:v>42687</x:v>
      </x:c>
      <x:c r="C7200" t="str">
        <x:v>PO-19180</x:v>
      </x:c>
      <x:c r="D7200" t="str">
        <x:v>Philisse Overcash</x:v>
      </x:c>
      <x:c r="E7200" t="str">
        <x:v>Home Office</x:v>
      </x:c>
      <x:c r="F7200" t="str">
        <x:v>West</x:v>
      </x:c>
      <x:c r="G7200" t="str">
        <x:v>Furniture</x:v>
      </x:c>
      <x:c r="H7200" t="str">
        <x:v>Furnishings</x:v>
      </x:c>
      <x:c r="I7200" s="22" t="n">
        <x:v>19.54</x:v>
      </x:c>
      <x:c r="J7200" s="24" t="n">
        <x:v>2</x:v>
      </x:c>
      <x:c r="K7200" s="26" t="n">
        <x:v>0</x:v>
      </x:c>
      <x:c r="L7200" s="22" t="n">
        <x:v>7.229799999999999</x:v>
      </x:c>
      <x:c r="M7200" t="n">
        <x:v>2016</x:v>
      </x:c>
      <x:c r="N7200" s="20" t="n">
        <x:v>42675</x:v>
      </x:c>
    </x:row>
    <x:row r="7201" ht="18" customHeight="1">
      <x:c r="A7201" t="str">
        <x:v>CA-2014-116785</x:v>
      </x:c>
      <x:c r="B7201" s="18" t="n">
        <x:v>41755</x:v>
      </x:c>
      <x:c r="C7201" t="str">
        <x:v>MH-17290</x:v>
      </x:c>
      <x:c r="D7201" t="str">
        <x:v>Marc Harrigan</x:v>
      </x:c>
      <x:c r="E7201" t="str">
        <x:v>Home Office</x:v>
      </x:c>
      <x:c r="F7201" t="str">
        <x:v>West</x:v>
      </x:c>
      <x:c r="G7201" t="str">
        <x:v>Office Supplies</x:v>
      </x:c>
      <x:c r="H7201" t="str">
        <x:v>Art</x:v>
      </x:c>
      <x:c r="I7201" s="22" t="n">
        <x:v>21.400000000000002</x:v>
      </x:c>
      <x:c r="J7201" s="24" t="n">
        <x:v>5</x:v>
      </x:c>
      <x:c r="K7201" s="26" t="n">
        <x:v>0</x:v>
      </x:c>
      <x:c r="L7201" s="22" t="n">
        <x:v>6.205999999999998</x:v>
      </x:c>
      <x:c r="M7201" t="n">
        <x:v>2014</x:v>
      </x:c>
      <x:c r="N7201" s="20" t="n">
        <x:v>41730</x:v>
      </x:c>
    </x:row>
    <x:row r="7202" ht="18" customHeight="1">
      <x:c r="A7202" t="str">
        <x:v>CA-2014-116785</x:v>
      </x:c>
      <x:c r="B7202" s="18" t="n">
        <x:v>41755</x:v>
      </x:c>
      <x:c r="C7202" t="str">
        <x:v>MH-17290</x:v>
      </x:c>
      <x:c r="D7202" t="str">
        <x:v>Marc Harrigan</x:v>
      </x:c>
      <x:c r="E7202" t="str">
        <x:v>Home Office</x:v>
      </x:c>
      <x:c r="F7202" t="str">
        <x:v>West</x:v>
      </x:c>
      <x:c r="G7202" t="str">
        <x:v>Office Supplies</x:v>
      </x:c>
      <x:c r="H7202" t="str">
        <x:v>Labels</x:v>
      </x:c>
      <x:c r="I7202" s="22" t="n">
        <x:v>12.6</x:v>
      </x:c>
      <x:c r="J7202" s="24" t="n">
        <x:v>2</x:v>
      </x:c>
      <x:c r="K7202" s="26" t="n">
        <x:v>0</x:v>
      </x:c>
      <x:c r="L7202" s="22" t="n">
        <x:v>5.795999999999999</x:v>
      </x:c>
      <x:c r="M7202" t="n">
        <x:v>2014</x:v>
      </x:c>
      <x:c r="N7202" s="20" t="n">
        <x:v>41730</x:v>
      </x:c>
    </x:row>
    <x:row r="7203" ht="18" customHeight="1">
      <x:c r="A7203" t="str">
        <x:v>US-2015-156797</x:v>
      </x:c>
      <x:c r="B7203" s="18" t="n">
        <x:v>42227</x:v>
      </x:c>
      <x:c r="C7203" t="str">
        <x:v>PO-19180</x:v>
      </x:c>
      <x:c r="D7203" t="str">
        <x:v>Philisse Overcash</x:v>
      </x:c>
      <x:c r="E7203" t="str">
        <x:v>Home Office</x:v>
      </x:c>
      <x:c r="F7203" t="str">
        <x:v>East</x:v>
      </x:c>
      <x:c r="G7203" t="str">
        <x:v>Office Supplies</x:v>
      </x:c>
      <x:c r="H7203" t="str">
        <x:v>Art</x:v>
      </x:c>
      <x:c r="I7203" s="22" t="n">
        <x:v>11.96</x:v>
      </x:c>
      <x:c r="J7203" s="24" t="n">
        <x:v>2</x:v>
      </x:c>
      <x:c r="K7203" s="26" t="n">
        <x:v>0</x:v>
      </x:c>
      <x:c r="L7203" s="22" t="n">
        <x:v>3.1096000000000004</x:v>
      </x:c>
      <x:c r="M7203" t="n">
        <x:v>2015</x:v>
      </x:c>
      <x:c r="N7203" s="20" t="n">
        <x:v>42217</x:v>
      </x:c>
    </x:row>
    <x:row r="7204" ht="18" customHeight="1">
      <x:c r="A7204" t="str">
        <x:v>US-2015-156797</x:v>
      </x:c>
      <x:c r="B7204" s="18" t="n">
        <x:v>42227</x:v>
      </x:c>
      <x:c r="C7204" t="str">
        <x:v>PO-19180</x:v>
      </x:c>
      <x:c r="D7204" t="str">
        <x:v>Philisse Overcash</x:v>
      </x:c>
      <x:c r="E7204" t="str">
        <x:v>Home Office</x:v>
      </x:c>
      <x:c r="F7204" t="str">
        <x:v>East</x:v>
      </x:c>
      <x:c r="G7204" t="str">
        <x:v>Technology</x:v>
      </x:c>
      <x:c r="H7204" t="str">
        <x:v>Phones</x:v>
      </x:c>
      <x:c r="I7204" s="22" t="n">
        <x:v>138</x:v>
      </x:c>
      <x:c r="J7204" s="24" t="n">
        <x:v>2</x:v>
      </x:c>
      <x:c r="K7204" s="26" t="n">
        <x:v>0</x:v>
      </x:c>
      <x:c r="L7204" s="22" t="n">
        <x:v>34.5</x:v>
      </x:c>
      <x:c r="M7204" t="n">
        <x:v>2015</x:v>
      </x:c>
      <x:c r="N7204" s="20" t="n">
        <x:v>42217</x:v>
      </x:c>
    </x:row>
    <x:row r="7205" ht="18" customHeight="1">
      <x:c r="A7205" t="str">
        <x:v>CA-2016-104276</x:v>
      </x:c>
      <x:c r="B7205" s="18" t="n">
        <x:v>42701</x:v>
      </x:c>
      <x:c r="C7205" t="str">
        <x:v>HF-14995</x:v>
      </x:c>
      <x:c r="D7205" t="str">
        <x:v>Herbert Flentye</x:v>
      </x:c>
      <x:c r="E7205" t="str">
        <x:v>Consumer</x:v>
      </x:c>
      <x:c r="F7205" t="str">
        <x:v>South</x:v>
      </x:c>
      <x:c r="G7205" t="str">
        <x:v>Technology</x:v>
      </x:c>
      <x:c r="H7205" t="str">
        <x:v>Phones</x:v>
      </x:c>
      <x:c r="I7205" s="22" t="n">
        <x:v>116.75999999999999</x:v>
      </x:c>
      <x:c r="J7205" s="24" t="n">
        <x:v>1</x:v>
      </x:c>
      <x:c r="K7205" s="26" t="n">
        <x:v>0.2</x:v>
      </x:c>
      <x:c r="L7205" s="22" t="n">
        <x:v>14.594999999999985</x:v>
      </x:c>
      <x:c r="M7205" t="n">
        <x:v>2016</x:v>
      </x:c>
      <x:c r="N7205" s="20" t="n">
        <x:v>42675</x:v>
      </x:c>
    </x:row>
    <x:row r="7206" ht="18" customHeight="1">
      <x:c r="A7206" t="str">
        <x:v>CA-2016-104276</x:v>
      </x:c>
      <x:c r="B7206" s="18" t="n">
        <x:v>42701</x:v>
      </x:c>
      <x:c r="C7206" t="str">
        <x:v>HF-14995</x:v>
      </x:c>
      <x:c r="D7206" t="str">
        <x:v>Herbert Flentye</x:v>
      </x:c>
      <x:c r="E7206" t="str">
        <x:v>Consumer</x:v>
      </x:c>
      <x:c r="F7206" t="str">
        <x:v>South</x:v>
      </x:c>
      <x:c r="G7206" t="str">
        <x:v>Furniture</x:v>
      </x:c>
      <x:c r="H7206" t="str">
        <x:v>Tables</x:v>
      </x:c>
      <x:c r="I7206" s="22" t="n">
        <x:v>331.0230000000001</x:v>
      </x:c>
      <x:c r="J7206" s="24" t="n">
        <x:v>7</x:v>
      </x:c>
      <x:c r="K7206" s="26" t="n">
        <x:v>0.45</x:v>
      </x:c>
      <x:c r="L7206" s="22" t="n">
        <x:v>-114.35339999999997</x:v>
      </x:c>
      <x:c r="M7206" t="n">
        <x:v>2016</x:v>
      </x:c>
      <x:c r="N7206" s="20" t="n">
        <x:v>42675</x:v>
      </x:c>
    </x:row>
    <x:row r="7207" ht="18" customHeight="1">
      <x:c r="A7207" t="str">
        <x:v>CA-2016-120369</x:v>
      </x:c>
      <x:c r="B7207" s="18" t="n">
        <x:v>42671</x:v>
      </x:c>
      <x:c r="C7207" t="str">
        <x:v>VB-21745</x:v>
      </x:c>
      <x:c r="D7207" t="str">
        <x:v>Victoria Brennan</x:v>
      </x:c>
      <x:c r="E7207" t="str">
        <x:v>Corporate</x:v>
      </x:c>
      <x:c r="F7207" t="str">
        <x:v>East</x:v>
      </x:c>
      <x:c r="G7207" t="str">
        <x:v>Furniture</x:v>
      </x:c>
      <x:c r="H7207" t="str">
        <x:v>Furnishings</x:v>
      </x:c>
      <x:c r="I7207" s="22" t="n">
        <x:v>756.8000000000001</x:v>
      </x:c>
      <x:c r="J7207" s="24" t="n">
        <x:v>5</x:v>
      </x:c>
      <x:c r="K7207" s="26" t="n">
        <x:v>0</x:v>
      </x:c>
      <x:c r="L7207" s="22" t="n">
        <x:v>75.67999999999998</x:v>
      </x:c>
      <x:c r="M7207" t="n">
        <x:v>2016</x:v>
      </x:c>
      <x:c r="N7207" s="20" t="n">
        <x:v>42644</x:v>
      </x:c>
    </x:row>
    <x:row r="7208" ht="18" customHeight="1">
      <x:c r="A7208" t="str">
        <x:v>CA-2014-118276</x:v>
      </x:c>
      <x:c r="B7208" s="18" t="n">
        <x:v>42002</x:v>
      </x:c>
      <x:c r="C7208" t="str">
        <x:v>MG-17890</x:v>
      </x:c>
      <x:c r="D7208" t="str">
        <x:v>Michael Granlund</x:v>
      </x:c>
      <x:c r="E7208" t="str">
        <x:v>Home Office</x:v>
      </x:c>
      <x:c r="F7208" t="str">
        <x:v>Central</x:v>
      </x:c>
      <x:c r="G7208" t="str">
        <x:v>Furniture</x:v>
      </x:c>
      <x:c r="H7208" t="str">
        <x:v>Furnishings</x:v>
      </x:c>
      <x:c r="I7208" s="22" t="n">
        <x:v>8.736</x:v>
      </x:c>
      <x:c r="J7208" s="24" t="n">
        <x:v>3</x:v>
      </x:c>
      <x:c r="K7208" s="26" t="n">
        <x:v>0.6</x:v>
      </x:c>
      <x:c r="L7208" s="22" t="n">
        <x:v>-4.804800000000002</x:v>
      </x:c>
      <x:c r="M7208" t="n">
        <x:v>2014</x:v>
      </x:c>
      <x:c r="N7208" s="20" t="n">
        <x:v>41974</x:v>
      </x:c>
    </x:row>
    <x:row r="7209" ht="18" customHeight="1">
      <x:c r="A7209" t="str">
        <x:v>CA-2015-136658</x:v>
      </x:c>
      <x:c r="B7209" s="18" t="n">
        <x:v>42257</x:v>
      </x:c>
      <x:c r="C7209" t="str">
        <x:v>BO-11425</x:v>
      </x:c>
      <x:c r="D7209" t="str">
        <x:v>Bobby Odegard</x:v>
      </x:c>
      <x:c r="E7209" t="str">
        <x:v>Consumer</x:v>
      </x:c>
      <x:c r="F7209" t="str">
        <x:v>East</x:v>
      </x:c>
      <x:c r="G7209" t="str">
        <x:v>Office Supplies</x:v>
      </x:c>
      <x:c r="H7209" t="str">
        <x:v>Art</x:v>
      </x:c>
      <x:c r="I7209" s="22" t="n">
        <x:v>6.08</x:v>
      </x:c>
      <x:c r="J7209" s="24" t="n">
        <x:v>2</x:v>
      </x:c>
      <x:c r="K7209" s="26" t="n">
        <x:v>0</x:v>
      </x:c>
      <x:c r="L7209" s="22" t="n">
        <x:v>2.0671999999999997</x:v>
      </x:c>
      <x:c r="M7209" t="n">
        <x:v>2015</x:v>
      </x:c>
      <x:c r="N7209" s="20" t="n">
        <x:v>42248</x:v>
      </x:c>
    </x:row>
    <x:row r="7210" ht="18" customHeight="1">
      <x:c r="A7210" t="str">
        <x:v>CA-2017-137414</x:v>
      </x:c>
      <x:c r="B7210" s="18" t="n">
        <x:v>43010</x:v>
      </x:c>
      <x:c r="C7210" t="str">
        <x:v>CM-12115</x:v>
      </x:c>
      <x:c r="D7210" t="str">
        <x:v>Chad McGuire</x:v>
      </x:c>
      <x:c r="E7210" t="str">
        <x:v>Consumer</x:v>
      </x:c>
      <x:c r="F7210" t="str">
        <x:v>West</x:v>
      </x:c>
      <x:c r="G7210" t="str">
        <x:v>Furniture</x:v>
      </x:c>
      <x:c r="H7210" t="str">
        <x:v>Furnishings</x:v>
      </x:c>
      <x:c r="I7210" s="22" t="n">
        <x:v>17.46</x:v>
      </x:c>
      <x:c r="J7210" s="24" t="n">
        <x:v>2</x:v>
      </x:c>
      <x:c r="K7210" s="26" t="n">
        <x:v>0</x:v>
      </x:c>
      <x:c r="L7210" s="22" t="n">
        <x:v>5.936399999999999</x:v>
      </x:c>
      <x:c r="M7210" t="n">
        <x:v>2017</x:v>
      </x:c>
      <x:c r="N7210" s="20" t="n">
        <x:v>43009</x:v>
      </x:c>
    </x:row>
    <x:row r="7211" ht="18" customHeight="1">
      <x:c r="A7211" t="str">
        <x:v>CA-2017-137414</x:v>
      </x:c>
      <x:c r="B7211" s="18" t="n">
        <x:v>43010</x:v>
      </x:c>
      <x:c r="C7211" t="str">
        <x:v>CM-12115</x:v>
      </x:c>
      <x:c r="D7211" t="str">
        <x:v>Chad McGuire</x:v>
      </x:c>
      <x:c r="E7211" t="str">
        <x:v>Consumer</x:v>
      </x:c>
      <x:c r="F7211" t="str">
        <x:v>West</x:v>
      </x:c>
      <x:c r="G7211" t="str">
        <x:v>Technology</x:v>
      </x:c>
      <x:c r="H7211" t="str">
        <x:v>Machines</x:v>
      </x:c>
      <x:c r="I7211" s="22" t="n">
        <x:v>369.16</x:v>
      </x:c>
      <x:c r="J7211" s="24" t="n">
        <x:v>11</x:v>
      </x:c>
      <x:c r="K7211" s="26" t="n">
        <x:v>0.2</x:v>
      </x:c>
      <x:c r="L7211" s="22" t="n">
        <x:v>32.30150000000002</x:v>
      </x:c>
      <x:c r="M7211" t="n">
        <x:v>2017</x:v>
      </x:c>
      <x:c r="N7211" s="20" t="n">
        <x:v>43009</x:v>
      </x:c>
    </x:row>
    <x:row r="7212" ht="18" customHeight="1">
      <x:c r="A7212" t="str">
        <x:v>CA-2016-143476</x:v>
      </x:c>
      <x:c r="B7212" s="18" t="n">
        <x:v>42624</x:v>
      </x:c>
      <x:c r="C7212" t="str">
        <x:v>LC-16930</x:v>
      </x:c>
      <x:c r="D7212" t="str">
        <x:v>Linda Cazamias</x:v>
      </x:c>
      <x:c r="E7212" t="str">
        <x:v>Corporate</x:v>
      </x:c>
      <x:c r="F7212" t="str">
        <x:v>West</x:v>
      </x:c>
      <x:c r="G7212" t="str">
        <x:v>Office Supplies</x:v>
      </x:c>
      <x:c r="H7212" t="str">
        <x:v>Art</x:v>
      </x:c>
      <x:c r="I7212" s="22" t="n">
        <x:v>2.9120000000000004</x:v>
      </x:c>
      <x:c r="J7212" s="24" t="n">
        <x:v>2</x:v>
      </x:c>
      <x:c r="K7212" s="26" t="n">
        <x:v>0.2</x:v>
      </x:c>
      <x:c r="L7212" s="22" t="n">
        <x:v>0.9099999999999998</x:v>
      </x:c>
      <x:c r="M7212" t="n">
        <x:v>2016</x:v>
      </x:c>
      <x:c r="N7212" s="20" t="n">
        <x:v>42614</x:v>
      </x:c>
    </x:row>
    <x:row r="7213" ht="18" customHeight="1">
      <x:c r="A7213" t="str">
        <x:v>CA-2016-143476</x:v>
      </x:c>
      <x:c r="B7213" s="18" t="n">
        <x:v>42624</x:v>
      </x:c>
      <x:c r="C7213" t="str">
        <x:v>LC-16930</x:v>
      </x:c>
      <x:c r="D7213" t="str">
        <x:v>Linda Cazamias</x:v>
      </x:c>
      <x:c r="E7213" t="str">
        <x:v>Corporate</x:v>
      </x:c>
      <x:c r="F7213" t="str">
        <x:v>West</x:v>
      </x:c>
      <x:c r="G7213" t="str">
        <x:v>Office Supplies</x:v>
      </x:c>
      <x:c r="H7213" t="str">
        <x:v>Paper</x:v>
      </x:c>
      <x:c r="I7213" s="22" t="n">
        <x:v>20.736000000000004</x:v>
      </x:c>
      <x:c r="J7213" s="24" t="n">
        <x:v>4</x:v>
      </x:c>
      <x:c r="K7213" s="26" t="n">
        <x:v>0.2</x:v>
      </x:c>
      <x:c r="L7213" s="22" t="n">
        <x:v>7.2576</x:v>
      </x:c>
      <x:c r="M7213" t="n">
        <x:v>2016</x:v>
      </x:c>
      <x:c r="N7213" s="20" t="n">
        <x:v>42614</x:v>
      </x:c>
    </x:row>
    <x:row r="7214" ht="18" customHeight="1">
      <x:c r="A7214" t="str">
        <x:v>CA-2016-143476</x:v>
      </x:c>
      <x:c r="B7214" s="18" t="n">
        <x:v>42624</x:v>
      </x:c>
      <x:c r="C7214" t="str">
        <x:v>LC-16930</x:v>
      </x:c>
      <x:c r="D7214" t="str">
        <x:v>Linda Cazamias</x:v>
      </x:c>
      <x:c r="E7214" t="str">
        <x:v>Corporate</x:v>
      </x:c>
      <x:c r="F7214" t="str">
        <x:v>West</x:v>
      </x:c>
      <x:c r="G7214" t="str">
        <x:v>Office Supplies</x:v>
      </x:c>
      <x:c r="H7214" t="str">
        <x:v>Paper</x:v>
      </x:c>
      <x:c r="I7214" s="22" t="n">
        <x:v>9.568000000000001</x:v>
      </x:c>
      <x:c r="J7214" s="24" t="n">
        <x:v>2</x:v>
      </x:c>
      <x:c r="K7214" s="26" t="n">
        <x:v>0.2</x:v>
      </x:c>
      <x:c r="L7214" s="22" t="n">
        <x:v>2.9899999999999993</x:v>
      </x:c>
      <x:c r="M7214" t="n">
        <x:v>2016</x:v>
      </x:c>
      <x:c r="N7214" s="20" t="n">
        <x:v>42614</x:v>
      </x:c>
    </x:row>
    <x:row r="7215" ht="18" customHeight="1">
      <x:c r="A7215" t="str">
        <x:v>US-2016-119046</x:v>
      </x:c>
      <x:c r="B7215" s="18" t="n">
        <x:v>42523</x:v>
      </x:c>
      <x:c r="C7215" t="str">
        <x:v>EH-13765</x:v>
      </x:c>
      <x:c r="D7215" t="str">
        <x:v>Edward Hooks</x:v>
      </x:c>
      <x:c r="E7215" t="str">
        <x:v>Corporate</x:v>
      </x:c>
      <x:c r="F7215" t="str">
        <x:v>West</x:v>
      </x:c>
      <x:c r="G7215" t="str">
        <x:v>Office Supplies</x:v>
      </x:c>
      <x:c r="H7215" t="str">
        <x:v>Paper</x:v>
      </x:c>
      <x:c r="I7215" s="22" t="n">
        <x:v>30.18</x:v>
      </x:c>
      <x:c r="J7215" s="24" t="n">
        <x:v>3</x:v>
      </x:c>
      <x:c r="K7215" s="26" t="n">
        <x:v>0</x:v>
      </x:c>
      <x:c r="L7215" s="22" t="n">
        <x:v>13.8828</x:v>
      </x:c>
      <x:c r="M7215" t="n">
        <x:v>2016</x:v>
      </x:c>
      <x:c r="N7215" s="20" t="n">
        <x:v>42522</x:v>
      </x:c>
    </x:row>
    <x:row r="7216" ht="18" customHeight="1">
      <x:c r="A7216" t="str">
        <x:v>US-2016-119046</x:v>
      </x:c>
      <x:c r="B7216" s="18" t="n">
        <x:v>42523</x:v>
      </x:c>
      <x:c r="C7216" t="str">
        <x:v>EH-13765</x:v>
      </x:c>
      <x:c r="D7216" t="str">
        <x:v>Edward Hooks</x:v>
      </x:c>
      <x:c r="E7216" t="str">
        <x:v>Corporate</x:v>
      </x:c>
      <x:c r="F7216" t="str">
        <x:v>West</x:v>
      </x:c>
      <x:c r="G7216" t="str">
        <x:v>Office Supplies</x:v>
      </x:c>
      <x:c r="H7216" t="str">
        <x:v>Binders</x:v>
      </x:c>
      <x:c r="I7216" s="22" t="n">
        <x:v>51.648</x:v>
      </x:c>
      <x:c r="J7216" s="24" t="n">
        <x:v>12</x:v>
      </x:c>
      <x:c r="K7216" s="26" t="n">
        <x:v>0.2</x:v>
      </x:c>
      <x:c r="L7216" s="22" t="n">
        <x:v>18.7224</x:v>
      </x:c>
      <x:c r="M7216" t="n">
        <x:v>2016</x:v>
      </x:c>
      <x:c r="N7216" s="20" t="n">
        <x:v>42522</x:v>
      </x:c>
    </x:row>
    <x:row r="7217" ht="18" customHeight="1">
      <x:c r="A7217" t="str">
        <x:v>US-2016-119046</x:v>
      </x:c>
      <x:c r="B7217" s="18" t="n">
        <x:v>42523</x:v>
      </x:c>
      <x:c r="C7217" t="str">
        <x:v>EH-13765</x:v>
      </x:c>
      <x:c r="D7217" t="str">
        <x:v>Edward Hooks</x:v>
      </x:c>
      <x:c r="E7217" t="str">
        <x:v>Corporate</x:v>
      </x:c>
      <x:c r="F7217" t="str">
        <x:v>West</x:v>
      </x:c>
      <x:c r="G7217" t="str">
        <x:v>Office Supplies</x:v>
      </x:c>
      <x:c r="H7217" t="str">
        <x:v>Binders</x:v>
      </x:c>
      <x:c r="I7217" s="22" t="n">
        <x:v>11.232</x:v>
      </x:c>
      <x:c r="J7217" s="24" t="n">
        <x:v>3</x:v>
      </x:c>
      <x:c r="K7217" s="26" t="n">
        <x:v>0.2</x:v>
      </x:c>
      <x:c r="L7217" s="22" t="n">
        <x:v>3.9312000000000005</x:v>
      </x:c>
      <x:c r="M7217" t="n">
        <x:v>2016</x:v>
      </x:c>
      <x:c r="N7217" s="20" t="n">
        <x:v>42522</x:v>
      </x:c>
    </x:row>
    <x:row r="7218" ht="18" customHeight="1">
      <x:c r="A7218" t="str">
        <x:v>CA-2017-154949</x:v>
      </x:c>
      <x:c r="B7218" s="18" t="n">
        <x:v>43023</x:v>
      </x:c>
      <x:c r="C7218" t="str">
        <x:v>MC-17275</x:v>
      </x:c>
      <x:c r="D7218" t="str">
        <x:v>Marc Crier</x:v>
      </x:c>
      <x:c r="E7218" t="str">
        <x:v>Consumer</x:v>
      </x:c>
      <x:c r="F7218" t="str">
        <x:v>West</x:v>
      </x:c>
      <x:c r="G7218" t="str">
        <x:v>Office Supplies</x:v>
      </x:c>
      <x:c r="H7218" t="str">
        <x:v>Labels</x:v>
      </x:c>
      <x:c r="I7218" s="22" t="n">
        <x:v>14.73</x:v>
      </x:c>
      <x:c r="J7218" s="24" t="n">
        <x:v>3</x:v>
      </x:c>
      <x:c r="K7218" s="26" t="n">
        <x:v>0</x:v>
      </x:c>
      <x:c r="L7218" s="22" t="n">
        <x:v>7.2177</x:v>
      </x:c>
      <x:c r="M7218" t="n">
        <x:v>2017</x:v>
      </x:c>
      <x:c r="N7218" s="20" t="n">
        <x:v>43009</x:v>
      </x:c>
    </x:row>
    <x:row r="7219" ht="18" customHeight="1">
      <x:c r="A7219" t="str">
        <x:v>CA-2015-103072</x:v>
      </x:c>
      <x:c r="B7219" s="18" t="n">
        <x:v>42274</x:v>
      </x:c>
      <x:c r="C7219" t="str">
        <x:v>HW-14935</x:v>
      </x:c>
      <x:c r="D7219" t="str">
        <x:v>Helen Wasserman</x:v>
      </x:c>
      <x:c r="E7219" t="str">
        <x:v>Corporate</x:v>
      </x:c>
      <x:c r="F7219" t="str">
        <x:v>Central</x:v>
      </x:c>
      <x:c r="G7219" t="str">
        <x:v>Office Supplies</x:v>
      </x:c>
      <x:c r="H7219" t="str">
        <x:v>Art</x:v>
      </x:c>
      <x:c r="I7219" s="22" t="n">
        <x:v>16.4</x:v>
      </x:c>
      <x:c r="J7219" s="24" t="n">
        <x:v>5</x:v>
      </x:c>
      <x:c r="K7219" s="26" t="n">
        <x:v>0</x:v>
      </x:c>
      <x:c r="L7219" s="22" t="n">
        <x:v>4.7559999999999985</x:v>
      </x:c>
      <x:c r="M7219" t="n">
        <x:v>2015</x:v>
      </x:c>
      <x:c r="N7219" s="20" t="n">
        <x:v>42248</x:v>
      </x:c>
    </x:row>
    <x:row r="7220" ht="18" customHeight="1">
      <x:c r="A7220" t="str">
        <x:v>CA-2015-103072</x:v>
      </x:c>
      <x:c r="B7220" s="18" t="n">
        <x:v>42274</x:v>
      </x:c>
      <x:c r="C7220" t="str">
        <x:v>HW-14935</x:v>
      </x:c>
      <x:c r="D7220" t="str">
        <x:v>Helen Wasserman</x:v>
      </x:c>
      <x:c r="E7220" t="str">
        <x:v>Corporate</x:v>
      </x:c>
      <x:c r="F7220" t="str">
        <x:v>Central</x:v>
      </x:c>
      <x:c r="G7220" t="str">
        <x:v>Office Supplies</x:v>
      </x:c>
      <x:c r="H7220" t="str">
        <x:v>Paper</x:v>
      </x:c>
      <x:c r="I7220" s="22" t="n">
        <x:v>25.92</x:v>
      </x:c>
      <x:c r="J7220" s="24" t="n">
        <x:v>4</x:v>
      </x:c>
      <x:c r="K7220" s="26" t="n">
        <x:v>0</x:v>
      </x:c>
      <x:c r="L7220" s="22" t="n">
        <x:v>12.441600000000001</x:v>
      </x:c>
      <x:c r="M7220" t="n">
        <x:v>2015</x:v>
      </x:c>
      <x:c r="N7220" s="20" t="n">
        <x:v>42248</x:v>
      </x:c>
    </x:row>
    <x:row r="7221" ht="18" customHeight="1">
      <x:c r="A7221" t="str">
        <x:v>CA-2015-150770</x:v>
      </x:c>
      <x:c r="B7221" s="18" t="n">
        <x:v>42127</x:v>
      </x:c>
      <x:c r="C7221" t="str">
        <x:v>LC-16870</x:v>
      </x:c>
      <x:c r="D7221" t="str">
        <x:v>Lena Cacioppo</x:v>
      </x:c>
      <x:c r="E7221" t="str">
        <x:v>Consumer</x:v>
      </x:c>
      <x:c r="F7221" t="str">
        <x:v>West</x:v>
      </x:c>
      <x:c r="G7221" t="str">
        <x:v>Office Supplies</x:v>
      </x:c>
      <x:c r="H7221" t="str">
        <x:v>Art</x:v>
      </x:c>
      <x:c r="I7221" s="22" t="n">
        <x:v>8.82</x:v>
      </x:c>
      <x:c r="J7221" s="24" t="n">
        <x:v>3</x:v>
      </x:c>
      <x:c r="K7221" s="26" t="n">
        <x:v>0</x:v>
      </x:c>
      <x:c r="L7221" s="22" t="n">
        <x:v>2.5577999999999994</x:v>
      </x:c>
      <x:c r="M7221" t="n">
        <x:v>2015</x:v>
      </x:c>
      <x:c r="N7221" s="20" t="n">
        <x:v>42125</x:v>
      </x:c>
    </x:row>
    <x:row r="7222" ht="18" customHeight="1">
      <x:c r="A7222" t="str">
        <x:v>CA-2015-150770</x:v>
      </x:c>
      <x:c r="B7222" s="18" t="n">
        <x:v>42127</x:v>
      </x:c>
      <x:c r="C7222" t="str">
        <x:v>LC-16870</x:v>
      </x:c>
      <x:c r="D7222" t="str">
        <x:v>Lena Cacioppo</x:v>
      </x:c>
      <x:c r="E7222" t="str">
        <x:v>Consumer</x:v>
      </x:c>
      <x:c r="F7222" t="str">
        <x:v>West</x:v>
      </x:c>
      <x:c r="G7222" t="str">
        <x:v>Office Supplies</x:v>
      </x:c>
      <x:c r="H7222" t="str">
        <x:v>Binders</x:v>
      </x:c>
      <x:c r="I7222" s="22" t="n">
        <x:v>62.49600000000001</x:v>
      </x:c>
      <x:c r="J7222" s="24" t="n">
        <x:v>2</x:v>
      </x:c>
      <x:c r="K7222" s="26" t="n">
        <x:v>0.2</x:v>
      </x:c>
      <x:c r="L7222" s="22" t="n">
        <x:v>21.873599999999996</x:v>
      </x:c>
      <x:c r="M7222" t="n">
        <x:v>2015</x:v>
      </x:c>
      <x:c r="N7222" s="20" t="n">
        <x:v>42125</x:v>
      </x:c>
    </x:row>
    <x:row r="7223" ht="18" customHeight="1">
      <x:c r="A7223" t="str">
        <x:v>CA-2015-150770</x:v>
      </x:c>
      <x:c r="B7223" s="18" t="n">
        <x:v>42127</x:v>
      </x:c>
      <x:c r="C7223" t="str">
        <x:v>LC-16870</x:v>
      </x:c>
      <x:c r="D7223" t="str">
        <x:v>Lena Cacioppo</x:v>
      </x:c>
      <x:c r="E7223" t="str">
        <x:v>Consumer</x:v>
      </x:c>
      <x:c r="F7223" t="str">
        <x:v>West</x:v>
      </x:c>
      <x:c r="G7223" t="str">
        <x:v>Technology</x:v>
      </x:c>
      <x:c r="H7223" t="str">
        <x:v>Accessories</x:v>
      </x:c>
      <x:c r="I7223" s="22" t="n">
        <x:v>339.96</x:v>
      </x:c>
      <x:c r="J7223" s="24" t="n">
        <x:v>4</x:v>
      </x:c>
      <x:c r="K7223" s="26" t="n">
        <x:v>0</x:v>
      </x:c>
      <x:c r="L7223" s="22" t="n">
        <x:v>122.38559999999998</x:v>
      </x:c>
      <x:c r="M7223" t="n">
        <x:v>2015</x:v>
      </x:c>
      <x:c r="N7223" s="20" t="n">
        <x:v>42125</x:v>
      </x:c>
    </x:row>
    <x:row r="7224" ht="18" customHeight="1">
      <x:c r="A7224" t="str">
        <x:v>CA-2015-150770</x:v>
      </x:c>
      <x:c r="B7224" s="18" t="n">
        <x:v>42127</x:v>
      </x:c>
      <x:c r="C7224" t="str">
        <x:v>LC-16870</x:v>
      </x:c>
      <x:c r="D7224" t="str">
        <x:v>Lena Cacioppo</x:v>
      </x:c>
      <x:c r="E7224" t="str">
        <x:v>Consumer</x:v>
      </x:c>
      <x:c r="F7224" t="str">
        <x:v>West</x:v>
      </x:c>
      <x:c r="G7224" t="str">
        <x:v>Office Supplies</x:v>
      </x:c>
      <x:c r="H7224" t="str">
        <x:v>Binders</x:v>
      </x:c>
      <x:c r="I7224" s="22" t="n">
        <x:v>49.568000000000005</x:v>
      </x:c>
      <x:c r="J7224" s="24" t="n">
        <x:v>2</x:v>
      </x:c>
      <x:c r="K7224" s="26" t="n">
        <x:v>0.2</x:v>
      </x:c>
      <x:c r="L7224" s="22" t="n">
        <x:v>17.348799999999997</x:v>
      </x:c>
      <x:c r="M7224" t="n">
        <x:v>2015</x:v>
      </x:c>
      <x:c r="N7224" s="20" t="n">
        <x:v>42125</x:v>
      </x:c>
    </x:row>
    <x:row r="7225" ht="18" customHeight="1">
      <x:c r="A7225" t="str">
        <x:v>CA-2017-154760</x:v>
      </x:c>
      <x:c r="B7225" s="18" t="n">
        <x:v>42744</x:v>
      </x:c>
      <x:c r="C7225" t="str">
        <x:v>BP-11290</x:v>
      </x:c>
      <x:c r="D7225" t="str">
        <x:v>Beth Paige</x:v>
      </x:c>
      <x:c r="E7225" t="str">
        <x:v>Consumer</x:v>
      </x:c>
      <x:c r="F7225" t="str">
        <x:v>East</x:v>
      </x:c>
      <x:c r="G7225" t="str">
        <x:v>Office Supplies</x:v>
      </x:c>
      <x:c r="H7225" t="str">
        <x:v>Binders</x:v>
      </x:c>
      <x:c r="I7225" s="22" t="n">
        <x:v>274.49100000000004</x:v>
      </x:c>
      <x:c r="J7225" s="24" t="n">
        <x:v>3</x:v>
      </x:c>
      <x:c r="K7225" s="26" t="n">
        <x:v>0.7</x:v>
      </x:c>
      <x:c r="L7225" s="22" t="n">
        <x:v>-228.74250000000006</x:v>
      </x:c>
      <x:c r="M7225" t="n">
        <x:v>2017</x:v>
      </x:c>
      <x:c r="N7225" s="20" t="n">
        <x:v>42736</x:v>
      </x:c>
    </x:row>
    <x:row r="7226" ht="18" customHeight="1">
      <x:c r="A7226" t="str">
        <x:v>US-2017-104437</x:v>
      </x:c>
      <x:c r="B7226" s="18" t="n">
        <x:v>42762</x:v>
      </x:c>
      <x:c r="C7226" t="str">
        <x:v>TG-21310</x:v>
      </x:c>
      <x:c r="D7226" t="str">
        <x:v>Toby Gnade</x:v>
      </x:c>
      <x:c r="E7226" t="str">
        <x:v>Consumer</x:v>
      </x:c>
      <x:c r="F7226" t="str">
        <x:v>East</x:v>
      </x:c>
      <x:c r="G7226" t="str">
        <x:v>Technology</x:v>
      </x:c>
      <x:c r="H7226" t="str">
        <x:v>Phones</x:v>
      </x:c>
      <x:c r="I7226" s="22" t="n">
        <x:v>137.94</x:v>
      </x:c>
      <x:c r="J7226" s="24" t="n">
        <x:v>3</x:v>
      </x:c>
      <x:c r="K7226" s="26" t="n">
        <x:v>0</x:v>
      </x:c>
      <x:c r="L7226" s="22" t="n">
        <x:v>35.864399999999996</x:v>
      </x:c>
      <x:c r="M7226" t="n">
        <x:v>2017</x:v>
      </x:c>
      <x:c r="N7226" s="20" t="n">
        <x:v>42736</x:v>
      </x:c>
    </x:row>
    <x:row r="7227" ht="18" customHeight="1">
      <x:c r="A7227" t="str">
        <x:v>CA-2017-113075</x:v>
      </x:c>
      <x:c r="B7227" s="18" t="n">
        <x:v>42980</x:v>
      </x:c>
      <x:c r="C7227" t="str">
        <x:v>MC-18100</x:v>
      </x:c>
      <x:c r="D7227" t="str">
        <x:v>Mick Crebagga</x:v>
      </x:c>
      <x:c r="E7227" t="str">
        <x:v>Consumer</x:v>
      </x:c>
      <x:c r="F7227" t="str">
        <x:v>Central</x:v>
      </x:c>
      <x:c r="G7227" t="str">
        <x:v>Technology</x:v>
      </x:c>
      <x:c r="H7227" t="str">
        <x:v>Accessories</x:v>
      </x:c>
      <x:c r="I7227" s="22" t="n">
        <x:v>40.68</x:v>
      </x:c>
      <x:c r="J7227" s="24" t="n">
        <x:v>3</x:v>
      </x:c>
      <x:c r="K7227" s="26" t="n">
        <x:v>0.2</x:v>
      </x:c>
      <x:c r="L7227" s="22" t="n">
        <x:v>-7.1190000000000015</x:v>
      </x:c>
      <x:c r="M7227" t="n">
        <x:v>2017</x:v>
      </x:c>
      <x:c r="N7227" s="20" t="n">
        <x:v>42979</x:v>
      </x:c>
    </x:row>
    <x:row r="7228" ht="18" customHeight="1">
      <x:c r="A7228" t="str">
        <x:v>CA-2016-109953</x:v>
      </x:c>
      <x:c r="B7228" s="18" t="n">
        <x:v>42565</x:v>
      </x:c>
      <x:c r="C7228" t="str">
        <x:v>RB-19360</x:v>
      </x:c>
      <x:c r="D7228" t="str">
        <x:v>Raymond Buch</x:v>
      </x:c>
      <x:c r="E7228" t="str">
        <x:v>Consumer</x:v>
      </x:c>
      <x:c r="F7228" t="str">
        <x:v>West</x:v>
      </x:c>
      <x:c r="G7228" t="str">
        <x:v>Technology</x:v>
      </x:c>
      <x:c r="H7228" t="str">
        <x:v>Phones</x:v>
      </x:c>
      <x:c r="I7228" s="22" t="n">
        <x:v>110.376</x:v>
      </x:c>
      <x:c r="J7228" s="24" t="n">
        <x:v>3</x:v>
      </x:c>
      <x:c r="K7228" s="26" t="n">
        <x:v>0.2</x:v>
      </x:c>
      <x:c r="L7228" s="22" t="n">
        <x:v>12.417299999999997</x:v>
      </x:c>
      <x:c r="M7228" t="n">
        <x:v>2016</x:v>
      </x:c>
      <x:c r="N7228" s="20" t="n">
        <x:v>42552</x:v>
      </x:c>
    </x:row>
    <x:row r="7229" ht="18" customHeight="1">
      <x:c r="A7229" t="str">
        <x:v>CA-2016-109953</x:v>
      </x:c>
      <x:c r="B7229" s="18" t="n">
        <x:v>42565</x:v>
      </x:c>
      <x:c r="C7229" t="str">
        <x:v>RB-19360</x:v>
      </x:c>
      <x:c r="D7229" t="str">
        <x:v>Raymond Buch</x:v>
      </x:c>
      <x:c r="E7229" t="str">
        <x:v>Consumer</x:v>
      </x:c>
      <x:c r="F7229" t="str">
        <x:v>West</x:v>
      </x:c>
      <x:c r="G7229" t="str">
        <x:v>Office Supplies</x:v>
      </x:c>
      <x:c r="H7229" t="str">
        <x:v>Appliances</x:v>
      </x:c>
      <x:c r="I7229" s="22" t="n">
        <x:v>151.62</x:v>
      </x:c>
      <x:c r="J7229" s="24" t="n">
        <x:v>7</x:v>
      </x:c>
      <x:c r="K7229" s="26" t="n">
        <x:v>0</x:v>
      </x:c>
      <x:c r="L7229" s="22" t="n">
        <x:v>50.03459999999999</x:v>
      </x:c>
      <x:c r="M7229" t="n">
        <x:v>2016</x:v>
      </x:c>
      <x:c r="N7229" s="20" t="n">
        <x:v>42552</x:v>
      </x:c>
    </x:row>
    <x:row r="7230" ht="18" customHeight="1">
      <x:c r="A7230" t="str">
        <x:v>CA-2016-109953</x:v>
      </x:c>
      <x:c r="B7230" s="18" t="n">
        <x:v>42565</x:v>
      </x:c>
      <x:c r="C7230" t="str">
        <x:v>RB-19360</x:v>
      </x:c>
      <x:c r="D7230" t="str">
        <x:v>Raymond Buch</x:v>
      </x:c>
      <x:c r="E7230" t="str">
        <x:v>Consumer</x:v>
      </x:c>
      <x:c r="F7230" t="str">
        <x:v>West</x:v>
      </x:c>
      <x:c r="G7230" t="str">
        <x:v>Furniture</x:v>
      </x:c>
      <x:c r="H7230" t="str">
        <x:v>Furnishings</x:v>
      </x:c>
      <x:c r="I7230" s="22" t="n">
        <x:v>30.8</x:v>
      </x:c>
      <x:c r="J7230" s="24" t="n">
        <x:v>4</x:v>
      </x:c>
      <x:c r="K7230" s="26" t="n">
        <x:v>0</x:v>
      </x:c>
      <x:c r="L7230" s="22" t="n">
        <x:v>10.163999999999998</x:v>
      </x:c>
      <x:c r="M7230" t="n">
        <x:v>2016</x:v>
      </x:c>
      <x:c r="N7230" s="20" t="n">
        <x:v>42552</x:v>
      </x:c>
    </x:row>
    <x:row r="7231" ht="18" customHeight="1">
      <x:c r="A7231" t="str">
        <x:v>CA-2017-127397</x:v>
      </x:c>
      <x:c r="B7231" s="18" t="n">
        <x:v>42790</x:v>
      </x:c>
      <x:c r="C7231" t="str">
        <x:v>ES-14080</x:v>
      </x:c>
      <x:c r="D7231" t="str">
        <x:v>Erin Smith</x:v>
      </x:c>
      <x:c r="E7231" t="str">
        <x:v>Corporate</x:v>
      </x:c>
      <x:c r="F7231" t="str">
        <x:v>East</x:v>
      </x:c>
      <x:c r="G7231" t="str">
        <x:v>Office Supplies</x:v>
      </x:c>
      <x:c r="H7231" t="str">
        <x:v>Paper</x:v>
      </x:c>
      <x:c r="I7231" s="22" t="n">
        <x:v>123.92000000000002</x:v>
      </x:c>
      <x:c r="J7231" s="24" t="n">
        <x:v>5</x:v>
      </x:c>
      <x:c r="K7231" s="26" t="n">
        <x:v>0.2</x:v>
      </x:c>
      <x:c r="L7231" s="22" t="n">
        <x:v>38.724999999999994</x:v>
      </x:c>
      <x:c r="M7231" t="n">
        <x:v>2017</x:v>
      </x:c>
      <x:c r="N7231" s="20" t="n">
        <x:v>42767</x:v>
      </x:c>
    </x:row>
    <x:row r="7232" ht="18" customHeight="1">
      <x:c r="A7232" t="str">
        <x:v>CA-2017-127397</x:v>
      </x:c>
      <x:c r="B7232" s="18" t="n">
        <x:v>42790</x:v>
      </x:c>
      <x:c r="C7232" t="str">
        <x:v>ES-14080</x:v>
      </x:c>
      <x:c r="D7232" t="str">
        <x:v>Erin Smith</x:v>
      </x:c>
      <x:c r="E7232" t="str">
        <x:v>Corporate</x:v>
      </x:c>
      <x:c r="F7232" t="str">
        <x:v>East</x:v>
      </x:c>
      <x:c r="G7232" t="str">
        <x:v>Technology</x:v>
      </x:c>
      <x:c r="H7232" t="str">
        <x:v>Accessories</x:v>
      </x:c>
      <x:c r="I7232" s="22" t="n">
        <x:v>1319.8</x:v>
      </x:c>
      <x:c r="J7232" s="24" t="n">
        <x:v>5</x:v>
      </x:c>
      <x:c r="K7232" s="26" t="n">
        <x:v>0.2</x:v>
      </x:c>
      <x:c r="L7232" s="22" t="n">
        <x:v>214.4674999999998</x:v>
      </x:c>
      <x:c r="M7232" t="n">
        <x:v>2017</x:v>
      </x:c>
      <x:c r="N7232" s="20" t="n">
        <x:v>42767</x:v>
      </x:c>
    </x:row>
    <x:row r="7233" ht="18" customHeight="1">
      <x:c r="A7233" t="str">
        <x:v>CA-2014-157546</x:v>
      </x:c>
      <x:c r="B7233" s="18" t="n">
        <x:v>41840</x:v>
      </x:c>
      <x:c r="C7233" t="str">
        <x:v>RD-19720</x:v>
      </x:c>
      <x:c r="D7233" t="str">
        <x:v>Roger Demir</x:v>
      </x:c>
      <x:c r="E7233" t="str">
        <x:v>Consumer</x:v>
      </x:c>
      <x:c r="F7233" t="str">
        <x:v>West</x:v>
      </x:c>
      <x:c r="G7233" t="str">
        <x:v>Office Supplies</x:v>
      </x:c>
      <x:c r="H7233" t="str">
        <x:v>Binders</x:v>
      </x:c>
      <x:c r="I7233" s="22" t="n">
        <x:v>89.71200000000002</x:v>
      </x:c>
      <x:c r="J7233" s="24" t="n">
        <x:v>6</x:v>
      </x:c>
      <x:c r="K7233" s="26" t="n">
        <x:v>0.2</x:v>
      </x:c>
      <x:c r="L7233" s="22" t="n">
        <x:v>30.277799999999992</x:v>
      </x:c>
      <x:c r="M7233" t="n">
        <x:v>2014</x:v>
      </x:c>
      <x:c r="N7233" s="20" t="n">
        <x:v>41821</x:v>
      </x:c>
    </x:row>
    <x:row r="7234" ht="18" customHeight="1">
      <x:c r="A7234" t="str">
        <x:v>CA-2014-157546</x:v>
      </x:c>
      <x:c r="B7234" s="18" t="n">
        <x:v>41840</x:v>
      </x:c>
      <x:c r="C7234" t="str">
        <x:v>RD-19720</x:v>
      </x:c>
      <x:c r="D7234" t="str">
        <x:v>Roger Demir</x:v>
      </x:c>
      <x:c r="E7234" t="str">
        <x:v>Consumer</x:v>
      </x:c>
      <x:c r="F7234" t="str">
        <x:v>West</x:v>
      </x:c>
      <x:c r="G7234" t="str">
        <x:v>Office Supplies</x:v>
      </x:c>
      <x:c r="H7234" t="str">
        <x:v>Paper</x:v>
      </x:c>
      <x:c r="I7234" s="22" t="n">
        <x:v>22.830000000000002</x:v>
      </x:c>
      <x:c r="J7234" s="24" t="n">
        <x:v>3</x:v>
      </x:c>
      <x:c r="K7234" s="26" t="n">
        <x:v>0</x:v>
      </x:c>
      <x:c r="L7234" s="22" t="n">
        <x:v>10.7301</x:v>
      </x:c>
      <x:c r="M7234" t="n">
        <x:v>2014</x:v>
      </x:c>
      <x:c r="N7234" s="20" t="n">
        <x:v>41821</x:v>
      </x:c>
    </x:row>
    <x:row r="7235" ht="18" customHeight="1">
      <x:c r="A7235" t="str">
        <x:v>CA-2017-153843</x:v>
      </x:c>
      <x:c r="B7235" s="18" t="n">
        <x:v>42807</x:v>
      </x:c>
      <x:c r="C7235" t="str">
        <x:v>SC-20380</x:v>
      </x:c>
      <x:c r="D7235" t="str">
        <x:v>Shahid Collister</x:v>
      </x:c>
      <x:c r="E7235" t="str">
        <x:v>Consumer</x:v>
      </x:c>
      <x:c r="F7235" t="str">
        <x:v>East</x:v>
      </x:c>
      <x:c r="G7235" t="str">
        <x:v>Office Supplies</x:v>
      </x:c>
      <x:c r="H7235" t="str">
        <x:v>Binders</x:v>
      </x:c>
      <x:c r="I7235" s="22" t="n">
        <x:v>30.88</x:v>
      </x:c>
      <x:c r="J7235" s="24" t="n">
        <x:v>2</x:v>
      </x:c>
      <x:c r="K7235" s="26" t="n">
        <x:v>0</x:v>
      </x:c>
      <x:c r="L7235" s="22" t="n">
        <x:v>15.44</x:v>
      </x:c>
      <x:c r="M7235" t="n">
        <x:v>2017</x:v>
      </x:c>
      <x:c r="N7235" s="20" t="n">
        <x:v>42795</x:v>
      </x:c>
    </x:row>
    <x:row r="7236" ht="18" customHeight="1">
      <x:c r="A7236" t="str">
        <x:v>CA-2017-153843</x:v>
      </x:c>
      <x:c r="B7236" s="18" t="n">
        <x:v>42807</x:v>
      </x:c>
      <x:c r="C7236" t="str">
        <x:v>SC-20380</x:v>
      </x:c>
      <x:c r="D7236" t="str">
        <x:v>Shahid Collister</x:v>
      </x:c>
      <x:c r="E7236" t="str">
        <x:v>Consumer</x:v>
      </x:c>
      <x:c r="F7236" t="str">
        <x:v>East</x:v>
      </x:c>
      <x:c r="G7236" t="str">
        <x:v>Office Supplies</x:v>
      </x:c>
      <x:c r="H7236" t="str">
        <x:v>Appliances</x:v>
      </x:c>
      <x:c r="I7236" s="22" t="n">
        <x:v>465.16</x:v>
      </x:c>
      <x:c r="J7236" s="24" t="n">
        <x:v>2</x:v>
      </x:c>
      <x:c r="K7236" s="26" t="n">
        <x:v>0</x:v>
      </x:c>
      <x:c r="L7236" s="22" t="n">
        <x:v>120.9416</x:v>
      </x:c>
      <x:c r="M7236" t="n">
        <x:v>2017</x:v>
      </x:c>
      <x:c r="N7236" s="20" t="n">
        <x:v>42795</x:v>
      </x:c>
    </x:row>
    <x:row r="7237" ht="18" customHeight="1">
      <x:c r="A7237" t="str">
        <x:v>CA-2017-153843</x:v>
      </x:c>
      <x:c r="B7237" s="18" t="n">
        <x:v>42807</x:v>
      </x:c>
      <x:c r="C7237" t="str">
        <x:v>SC-20380</x:v>
      </x:c>
      <x:c r="D7237" t="str">
        <x:v>Shahid Collister</x:v>
      </x:c>
      <x:c r="E7237" t="str">
        <x:v>Consumer</x:v>
      </x:c>
      <x:c r="F7237" t="str">
        <x:v>East</x:v>
      </x:c>
      <x:c r="G7237" t="str">
        <x:v>Office Supplies</x:v>
      </x:c>
      <x:c r="H7237" t="str">
        <x:v>Paper</x:v>
      </x:c>
      <x:c r="I7237" s="22" t="n">
        <x:v>27.12</x:v>
      </x:c>
      <x:c r="J7237" s="24" t="n">
        <x:v>4</x:v>
      </x:c>
      <x:c r="K7237" s="26" t="n">
        <x:v>0</x:v>
      </x:c>
      <x:c r="L7237" s="22" t="n">
        <x:v>12.4752</x:v>
      </x:c>
      <x:c r="M7237" t="n">
        <x:v>2017</x:v>
      </x:c>
      <x:c r="N7237" s="20" t="n">
        <x:v>42795</x:v>
      </x:c>
    </x:row>
    <x:row r="7238" ht="18" customHeight="1">
      <x:c r="A7238" t="str">
        <x:v>CA-2016-137337</x:v>
      </x:c>
      <x:c r="B7238" s="18" t="n">
        <x:v>42437</x:v>
      </x:c>
      <x:c r="C7238" t="str">
        <x:v>GB-14575</x:v>
      </x:c>
      <x:c r="D7238" t="str">
        <x:v>Giulietta Baptist</x:v>
      </x:c>
      <x:c r="E7238" t="str">
        <x:v>Consumer</x:v>
      </x:c>
      <x:c r="F7238" t="str">
        <x:v>East</x:v>
      </x:c>
      <x:c r="G7238" t="str">
        <x:v>Furniture</x:v>
      </x:c>
      <x:c r="H7238" t="str">
        <x:v>Furnishings</x:v>
      </x:c>
      <x:c r="I7238" s="22" t="n">
        <x:v>113.6</x:v>
      </x:c>
      <x:c r="J7238" s="24" t="n">
        <x:v>8</x:v>
      </x:c>
      <x:c r="K7238" s="26" t="n">
        <x:v>0</x:v>
      </x:c>
      <x:c r="L7238" s="22" t="n">
        <x:v>44.304</x:v>
      </x:c>
      <x:c r="M7238" t="n">
        <x:v>2016</x:v>
      </x:c>
      <x:c r="N7238" s="20" t="n">
        <x:v>42430</x:v>
      </x:c>
    </x:row>
    <x:row r="7239" ht="18" customHeight="1">
      <x:c r="A7239" t="str">
        <x:v>CA-2016-137337</x:v>
      </x:c>
      <x:c r="B7239" s="18" t="n">
        <x:v>42437</x:v>
      </x:c>
      <x:c r="C7239" t="str">
        <x:v>GB-14575</x:v>
      </x:c>
      <x:c r="D7239" t="str">
        <x:v>Giulietta Baptist</x:v>
      </x:c>
      <x:c r="E7239" t="str">
        <x:v>Consumer</x:v>
      </x:c>
      <x:c r="F7239" t="str">
        <x:v>East</x:v>
      </x:c>
      <x:c r="G7239" t="str">
        <x:v>Office Supplies</x:v>
      </x:c>
      <x:c r="H7239" t="str">
        <x:v>Paper</x:v>
      </x:c>
      <x:c r="I7239" s="22" t="n">
        <x:v>12.96</x:v>
      </x:c>
      <x:c r="J7239" s="24" t="n">
        <x:v>2</x:v>
      </x:c>
      <x:c r="K7239" s="26" t="n">
        <x:v>0</x:v>
      </x:c>
      <x:c r="L7239" s="22" t="n">
        <x:v>6.3504000000000005</x:v>
      </x:c>
      <x:c r="M7239" t="n">
        <x:v>2016</x:v>
      </x:c>
      <x:c r="N7239" s="20" t="n">
        <x:v>42430</x:v>
      </x:c>
    </x:row>
    <x:row r="7240" ht="18" customHeight="1">
      <x:c r="A7240" t="str">
        <x:v>CA-2016-137337</x:v>
      </x:c>
      <x:c r="B7240" s="18" t="n">
        <x:v>42437</x:v>
      </x:c>
      <x:c r="C7240" t="str">
        <x:v>GB-14575</x:v>
      </x:c>
      <x:c r="D7240" t="str">
        <x:v>Giulietta Baptist</x:v>
      </x:c>
      <x:c r="E7240" t="str">
        <x:v>Consumer</x:v>
      </x:c>
      <x:c r="F7240" t="str">
        <x:v>East</x:v>
      </x:c>
      <x:c r="G7240" t="str">
        <x:v>Office Supplies</x:v>
      </x:c>
      <x:c r="H7240" t="str">
        <x:v>Binders</x:v>
      </x:c>
      <x:c r="I7240" s="22" t="n">
        <x:v>69.456</x:v>
      </x:c>
      <x:c r="J7240" s="24" t="n">
        <x:v>2</x:v>
      </x:c>
      <x:c r="K7240" s="26" t="n">
        <x:v>0.2</x:v>
      </x:c>
      <x:c r="L7240" s="22" t="n">
        <x:v>22.573199999999996</x:v>
      </x:c>
      <x:c r="M7240" t="n">
        <x:v>2016</x:v>
      </x:c>
      <x:c r="N7240" s="20" t="n">
        <x:v>42430</x:v>
      </x:c>
    </x:row>
    <x:row r="7241" ht="18" customHeight="1">
      <x:c r="A7241" t="str">
        <x:v>CA-2014-138737</x:v>
      </x:c>
      <x:c r="B7241" s="18" t="n">
        <x:v>41980</x:v>
      </x:c>
      <x:c r="C7241" t="str">
        <x:v>FP-14320</x:v>
      </x:c>
      <x:c r="D7241" t="str">
        <x:v>Frank Preis</x:v>
      </x:c>
      <x:c r="E7241" t="str">
        <x:v>Consumer</x:v>
      </x:c>
      <x:c r="F7241" t="str">
        <x:v>West</x:v>
      </x:c>
      <x:c r="G7241" t="str">
        <x:v>Office Supplies</x:v>
      </x:c>
      <x:c r="H7241" t="str">
        <x:v>Art</x:v>
      </x:c>
      <x:c r="I7241" s="22" t="n">
        <x:v>8.64</x:v>
      </x:c>
      <x:c r="J7241" s="24" t="n">
        <x:v>3</x:v>
      </x:c>
      <x:c r="K7241" s="26" t="n">
        <x:v>0</x:v>
      </x:c>
      <x:c r="L7241" s="22" t="n">
        <x:v>2.4192</x:v>
      </x:c>
      <x:c r="M7241" t="n">
        <x:v>2014</x:v>
      </x:c>
      <x:c r="N7241" s="20" t="n">
        <x:v>41974</x:v>
      </x:c>
    </x:row>
    <x:row r="7242" ht="18" customHeight="1">
      <x:c r="A7242" t="str">
        <x:v>CA-2016-164924</x:v>
      </x:c>
      <x:c r="B7242" s="18" t="n">
        <x:v>42561</x:v>
      </x:c>
      <x:c r="C7242" t="str">
        <x:v>EA-14035</x:v>
      </x:c>
      <x:c r="D7242" t="str">
        <x:v>Erin Ashbrook</x:v>
      </x:c>
      <x:c r="E7242" t="str">
        <x:v>Corporate</x:v>
      </x:c>
      <x:c r="F7242" t="str">
        <x:v>East</x:v>
      </x:c>
      <x:c r="G7242" t="str">
        <x:v>Technology</x:v>
      </x:c>
      <x:c r="H7242" t="str">
        <x:v>Machines</x:v>
      </x:c>
      <x:c r="I7242" s="22" t="n">
        <x:v>341.99100000000004</x:v>
      </x:c>
      <x:c r="J7242" s="24" t="n">
        <x:v>3</x:v>
      </x:c>
      <x:c r="K7242" s="26" t="n">
        <x:v>0.7</x:v>
      </x:c>
      <x:c r="L7242" s="22" t="n">
        <x:v>-319.1916</x:v>
      </x:c>
      <x:c r="M7242" t="n">
        <x:v>2016</x:v>
      </x:c>
      <x:c r="N7242" s="20" t="n">
        <x:v>42552</x:v>
      </x:c>
    </x:row>
    <x:row r="7243" ht="18" customHeight="1">
      <x:c r="A7243" t="str">
        <x:v>CA-2016-101651</x:v>
      </x:c>
      <x:c r="B7243" s="18" t="n">
        <x:v>42728</x:v>
      </x:c>
      <x:c r="C7243" t="str">
        <x:v>SC-20305</x:v>
      </x:c>
      <x:c r="D7243" t="str">
        <x:v>Sean Christensen</x:v>
      </x:c>
      <x:c r="E7243" t="str">
        <x:v>Consumer</x:v>
      </x:c>
      <x:c r="F7243" t="str">
        <x:v>West</x:v>
      </x:c>
      <x:c r="G7243" t="str">
        <x:v>Furniture</x:v>
      </x:c>
      <x:c r="H7243" t="str">
        <x:v>Furnishings</x:v>
      </x:c>
      <x:c r="I7243" s="22" t="n">
        <x:v>43.96</x:v>
      </x:c>
      <x:c r="J7243" s="24" t="n">
        <x:v>7</x:v>
      </x:c>
      <x:c r="K7243" s="26" t="n">
        <x:v>0</x:v>
      </x:c>
      <x:c r="L7243" s="22" t="n">
        <x:v>18.463200000000004</x:v>
      </x:c>
      <x:c r="M7243" t="n">
        <x:v>2016</x:v>
      </x:c>
      <x:c r="N7243" s="20" t="n">
        <x:v>42705</x:v>
      </x:c>
    </x:row>
    <x:row r="7244" ht="18" customHeight="1">
      <x:c r="A7244" t="str">
        <x:v>CA-2016-101651</x:v>
      </x:c>
      <x:c r="B7244" s="18" t="n">
        <x:v>42728</x:v>
      </x:c>
      <x:c r="C7244" t="str">
        <x:v>SC-20305</x:v>
      </x:c>
      <x:c r="D7244" t="str">
        <x:v>Sean Christensen</x:v>
      </x:c>
      <x:c r="E7244" t="str">
        <x:v>Consumer</x:v>
      </x:c>
      <x:c r="F7244" t="str">
        <x:v>West</x:v>
      </x:c>
      <x:c r="G7244" t="str">
        <x:v>Office Supplies</x:v>
      </x:c>
      <x:c r="H7244" t="str">
        <x:v>Envelopes</x:v>
      </x:c>
      <x:c r="I7244" s="22" t="n">
        <x:v>39.76</x:v>
      </x:c>
      <x:c r="J7244" s="24" t="n">
        <x:v>7</x:v>
      </x:c>
      <x:c r="K7244" s="26" t="n">
        <x:v>0</x:v>
      </x:c>
      <x:c r="L7244" s="22" t="n">
        <x:v>18.687199999999997</x:v>
      </x:c>
      <x:c r="M7244" t="n">
        <x:v>2016</x:v>
      </x:c>
      <x:c r="N7244" s="20" t="n">
        <x:v>42705</x:v>
      </x:c>
    </x:row>
    <x:row r="7245" ht="18" customHeight="1">
      <x:c r="A7245" t="str">
        <x:v>CA-2017-136651</x:v>
      </x:c>
      <x:c r="B7245" s="18" t="n">
        <x:v>42848</x:v>
      </x:c>
      <x:c r="C7245" t="str">
        <x:v>JF-15355</x:v>
      </x:c>
      <x:c r="D7245" t="str">
        <x:v>Jay Fein</x:v>
      </x:c>
      <x:c r="E7245" t="str">
        <x:v>Consumer</x:v>
      </x:c>
      <x:c r="F7245" t="str">
        <x:v>West</x:v>
      </x:c>
      <x:c r="G7245" t="str">
        <x:v>Furniture</x:v>
      </x:c>
      <x:c r="H7245" t="str">
        <x:v>Furnishings</x:v>
      </x:c>
      <x:c r="I7245" s="22" t="n">
        <x:v>66.36</x:v>
      </x:c>
      <x:c r="J7245" s="24" t="n">
        <x:v>7</x:v>
      </x:c>
      <x:c r="K7245" s="26" t="n">
        <x:v>0</x:v>
      </x:c>
      <x:c r="L7245" s="22" t="n">
        <x:v>26.544000000000004</x:v>
      </x:c>
      <x:c r="M7245" t="n">
        <x:v>2017</x:v>
      </x:c>
      <x:c r="N7245" s="20" t="n">
        <x:v>42826</x:v>
      </x:c>
    </x:row>
    <x:row r="7246" ht="18" customHeight="1">
      <x:c r="A7246" t="str">
        <x:v>CA-2017-136651</x:v>
      </x:c>
      <x:c r="B7246" s="18" t="n">
        <x:v>42848</x:v>
      </x:c>
      <x:c r="C7246" t="str">
        <x:v>JF-15355</x:v>
      </x:c>
      <x:c r="D7246" t="str">
        <x:v>Jay Fein</x:v>
      </x:c>
      <x:c r="E7246" t="str">
        <x:v>Consumer</x:v>
      </x:c>
      <x:c r="F7246" t="str">
        <x:v>West</x:v>
      </x:c>
      <x:c r="G7246" t="str">
        <x:v>Office Supplies</x:v>
      </x:c>
      <x:c r="H7246" t="str">
        <x:v>Binders</x:v>
      </x:c>
      <x:c r="I7246" s="22" t="n">
        <x:v>92.88000000000001</x:v>
      </x:c>
      <x:c r="J7246" s="24" t="n">
        <x:v>6</x:v>
      </x:c>
      <x:c r="K7246" s="26" t="n">
        <x:v>0.2</x:v>
      </x:c>
      <x:c r="L7246" s="22" t="n">
        <x:v>30.185999999999996</x:v>
      </x:c>
      <x:c r="M7246" t="n">
        <x:v>2017</x:v>
      </x:c>
      <x:c r="N7246" s="20" t="n">
        <x:v>42826</x:v>
      </x:c>
    </x:row>
    <x:row r="7247" ht="18" customHeight="1">
      <x:c r="A7247" t="str">
        <x:v>CA-2017-136651</x:v>
      </x:c>
      <x:c r="B7247" s="18" t="n">
        <x:v>42848</x:v>
      </x:c>
      <x:c r="C7247" t="str">
        <x:v>JF-15355</x:v>
      </x:c>
      <x:c r="D7247" t="str">
        <x:v>Jay Fein</x:v>
      </x:c>
      <x:c r="E7247" t="str">
        <x:v>Consumer</x:v>
      </x:c>
      <x:c r="F7247" t="str">
        <x:v>West</x:v>
      </x:c>
      <x:c r="G7247" t="str">
        <x:v>Furniture</x:v>
      </x:c>
      <x:c r="H7247" t="str">
        <x:v>Furnishings</x:v>
      </x:c>
      <x:c r="I7247" s="22" t="n">
        <x:v>24.14</x:v>
      </x:c>
      <x:c r="J7247" s="24" t="n">
        <x:v>2</x:v>
      </x:c>
      <x:c r="K7247" s="26" t="n">
        <x:v>0</x:v>
      </x:c>
      <x:c r="L7247" s="22" t="n">
        <x:v>7.966200000000001</x:v>
      </x:c>
      <x:c r="M7247" t="n">
        <x:v>2017</x:v>
      </x:c>
      <x:c r="N7247" s="20" t="n">
        <x:v>42826</x:v>
      </x:c>
    </x:row>
    <x:row r="7248" ht="18" customHeight="1">
      <x:c r="A7248" t="str">
        <x:v>CA-2017-118892</x:v>
      </x:c>
      <x:c r="B7248" s="18" t="n">
        <x:v>42964</x:v>
      </x:c>
      <x:c r="C7248" t="str">
        <x:v>TP-21415</x:v>
      </x:c>
      <x:c r="D7248" t="str">
        <x:v>Tom Prescott</x:v>
      </x:c>
      <x:c r="E7248" t="str">
        <x:v>Consumer</x:v>
      </x:c>
      <x:c r="F7248" t="str">
        <x:v>East</x:v>
      </x:c>
      <x:c r="G7248" t="str">
        <x:v>Furniture</x:v>
      </x:c>
      <x:c r="H7248" t="str">
        <x:v>Chairs</x:v>
      </x:c>
      <x:c r="I7248" s="22" t="n">
        <x:v>4416.174</x:v>
      </x:c>
      <x:c r="J7248" s="24" t="n">
        <x:v>9</x:v>
      </x:c>
      <x:c r="K7248" s="26" t="n">
        <x:v>0.3</x:v>
      </x:c>
      <x:c r="L7248" s="22" t="n">
        <x:v>-630.8820000000001</x:v>
      </x:c>
      <x:c r="M7248" t="n">
        <x:v>2017</x:v>
      </x:c>
      <x:c r="N7248" s="20" t="n">
        <x:v>42948</x:v>
      </x:c>
    </x:row>
    <x:row r="7249" ht="18" customHeight="1">
      <x:c r="A7249" t="str">
        <x:v>US-2017-151127</x:v>
      </x:c>
      <x:c r="B7249" s="18" t="n">
        <x:v>42877</x:v>
      </x:c>
      <x:c r="C7249" t="str">
        <x:v>RL-19615</x:v>
      </x:c>
      <x:c r="D7249" t="str">
        <x:v>Rob Lucas</x:v>
      </x:c>
      <x:c r="E7249" t="str">
        <x:v>Consumer</x:v>
      </x:c>
      <x:c r="F7249" t="str">
        <x:v>West</x:v>
      </x:c>
      <x:c r="G7249" t="str">
        <x:v>Office Supplies</x:v>
      </x:c>
      <x:c r="H7249" t="str">
        <x:v>Art</x:v>
      </x:c>
      <x:c r="I7249" s="22" t="n">
        <x:v>49.56</x:v>
      </x:c>
      <x:c r="J7249" s="24" t="n">
        <x:v>7</x:v>
      </x:c>
      <x:c r="K7249" s="26" t="n">
        <x:v>0</x:v>
      </x:c>
      <x:c r="L7249" s="22" t="n">
        <x:v>18.832800000000002</x:v>
      </x:c>
      <x:c r="M7249" t="n">
        <x:v>2017</x:v>
      </x:c>
      <x:c r="N7249" s="20" t="n">
        <x:v>42856</x:v>
      </x:c>
    </x:row>
    <x:row r="7250" ht="18" customHeight="1">
      <x:c r="A7250" t="str">
        <x:v>CA-2017-145807</x:v>
      </x:c>
      <x:c r="B7250" s="18" t="n">
        <x:v>42775</x:v>
      </x:c>
      <x:c r="C7250" t="str">
        <x:v>SB-20170</x:v>
      </x:c>
      <x:c r="D7250" t="str">
        <x:v>Sarah Bern</x:v>
      </x:c>
      <x:c r="E7250" t="str">
        <x:v>Consumer</x:v>
      </x:c>
      <x:c r="F7250" t="str">
        <x:v>West</x:v>
      </x:c>
      <x:c r="G7250" t="str">
        <x:v>Office Supplies</x:v>
      </x:c>
      <x:c r="H7250" t="str">
        <x:v>Storage</x:v>
      </x:c>
      <x:c r="I7250" s="22" t="n">
        <x:v>354.90000000000003</x:v>
      </x:c>
      <x:c r="J7250" s="24" t="n">
        <x:v>5</x:v>
      </x:c>
      <x:c r="K7250" s="26" t="n">
        <x:v>0</x:v>
      </x:c>
      <x:c r="L7250" s="22" t="n">
        <x:v>17.744999999999962</x:v>
      </x:c>
      <x:c r="M7250" t="n">
        <x:v>2017</x:v>
      </x:c>
      <x:c r="N7250" s="20" t="n">
        <x:v>42767</x:v>
      </x:c>
    </x:row>
    <x:row r="7251" ht="18" customHeight="1">
      <x:c r="A7251" t="str">
        <x:v>US-2014-127978</x:v>
      </x:c>
      <x:c r="B7251" s="18" t="n">
        <x:v>41701</x:v>
      </x:c>
      <x:c r="C7251" t="str">
        <x:v>JS-15595</x:v>
      </x:c>
      <x:c r="D7251" t="str">
        <x:v>Jill Stevenson</x:v>
      </x:c>
      <x:c r="E7251" t="str">
        <x:v>Corporate</x:v>
      </x:c>
      <x:c r="F7251" t="str">
        <x:v>East</x:v>
      </x:c>
      <x:c r="G7251" t="str">
        <x:v>Office Supplies</x:v>
      </x:c>
      <x:c r="H7251" t="str">
        <x:v>Labels</x:v>
      </x:c>
      <x:c r="I7251" s="22" t="n">
        <x:v>15.120000000000001</x:v>
      </x:c>
      <x:c r="J7251" s="24" t="n">
        <x:v>3</x:v>
      </x:c>
      <x:c r="K7251" s="26" t="n">
        <x:v>0.2</x:v>
      </x:c>
      <x:c r="L7251" s="22" t="n">
        <x:v>4.913999999999999</x:v>
      </x:c>
      <x:c r="M7251" t="n">
        <x:v>2014</x:v>
      </x:c>
      <x:c r="N7251" s="20" t="n">
        <x:v>41699</x:v>
      </x:c>
    </x:row>
    <x:row r="7252" ht="18" customHeight="1">
      <x:c r="A7252" t="str">
        <x:v>US-2014-127978</x:v>
      </x:c>
      <x:c r="B7252" s="18" t="n">
        <x:v>41701</x:v>
      </x:c>
      <x:c r="C7252" t="str">
        <x:v>JS-15595</x:v>
      </x:c>
      <x:c r="D7252" t="str">
        <x:v>Jill Stevenson</x:v>
      </x:c>
      <x:c r="E7252" t="str">
        <x:v>Corporate</x:v>
      </x:c>
      <x:c r="F7252" t="str">
        <x:v>East</x:v>
      </x:c>
      <x:c r="G7252" t="str">
        <x:v>Furniture</x:v>
      </x:c>
      <x:c r="H7252" t="str">
        <x:v>Bookcases</x:v>
      </x:c>
      <x:c r="I7252" s="22" t="n">
        <x:v>302.45</x:v>
      </x:c>
      <x:c r="J7252" s="24" t="n">
        <x:v>5</x:v>
      </x:c>
      <x:c r="K7252" s="26" t="n">
        <x:v>0.5</x:v>
      </x:c>
      <x:c r="L7252" s="22" t="n">
        <x:v>-199.61700000000002</x:v>
      </x:c>
      <x:c r="M7252" t="n">
        <x:v>2014</x:v>
      </x:c>
      <x:c r="N7252" s="20" t="n">
        <x:v>41699</x:v>
      </x:c>
    </x:row>
    <x:row r="7253" ht="18" customHeight="1">
      <x:c r="A7253" t="str">
        <x:v>US-2014-127978</x:v>
      </x:c>
      <x:c r="B7253" s="18" t="n">
        <x:v>41701</x:v>
      </x:c>
      <x:c r="C7253" t="str">
        <x:v>JS-15595</x:v>
      </x:c>
      <x:c r="D7253" t="str">
        <x:v>Jill Stevenson</x:v>
      </x:c>
      <x:c r="E7253" t="str">
        <x:v>Corporate</x:v>
      </x:c>
      <x:c r="F7253" t="str">
        <x:v>East</x:v>
      </x:c>
      <x:c r="G7253" t="str">
        <x:v>Office Supplies</x:v>
      </x:c>
      <x:c r="H7253" t="str">
        <x:v>Storage</x:v>
      </x:c>
      <x:c r="I7253" s="22" t="n">
        <x:v>44.672000000000004</x:v>
      </x:c>
      <x:c r="J7253" s="24" t="n">
        <x:v>8</x:v>
      </x:c>
      <x:c r="K7253" s="26" t="n">
        <x:v>0.2</x:v>
      </x:c>
      <x:c r="L7253" s="22" t="n">
        <x:v>-10.051200000000003</x:v>
      </x:c>
      <x:c r="M7253" t="n">
        <x:v>2014</x:v>
      </x:c>
      <x:c r="N7253" s="20" t="n">
        <x:v>41699</x:v>
      </x:c>
    </x:row>
    <x:row r="7254" ht="18" customHeight="1">
      <x:c r="A7254" t="str">
        <x:v>CA-2015-158491</x:v>
      </x:c>
      <x:c r="B7254" s="18" t="n">
        <x:v>42159</x:v>
      </x:c>
      <x:c r="C7254" t="str">
        <x:v>BP-11155</x:v>
      </x:c>
      <x:c r="D7254" t="str">
        <x:v>Becky Pak</x:v>
      </x:c>
      <x:c r="E7254" t="str">
        <x:v>Consumer</x:v>
      </x:c>
      <x:c r="F7254" t="str">
        <x:v>West</x:v>
      </x:c>
      <x:c r="G7254" t="str">
        <x:v>Technology</x:v>
      </x:c>
      <x:c r="H7254" t="str">
        <x:v>Accessories</x:v>
      </x:c>
      <x:c r="I7254" s="22" t="n">
        <x:v>119.98</x:v>
      </x:c>
      <x:c r="J7254" s="24" t="n">
        <x:v>2</x:v>
      </x:c>
      <x:c r="K7254" s="26" t="n">
        <x:v>0</x:v>
      </x:c>
      <x:c r="L7254" s="22" t="n">
        <x:v>35.994</x:v>
      </x:c>
      <x:c r="M7254" t="n">
        <x:v>2015</x:v>
      </x:c>
      <x:c r="N7254" s="20" t="n">
        <x:v>42156</x:v>
      </x:c>
    </x:row>
    <x:row r="7255" ht="18" customHeight="1">
      <x:c r="A7255" t="str">
        <x:v>CA-2015-158491</x:v>
      </x:c>
      <x:c r="B7255" s="18" t="n">
        <x:v>42159</x:v>
      </x:c>
      <x:c r="C7255" t="str">
        <x:v>BP-11155</x:v>
      </x:c>
      <x:c r="D7255" t="str">
        <x:v>Becky Pak</x:v>
      </x:c>
      <x:c r="E7255" t="str">
        <x:v>Consumer</x:v>
      </x:c>
      <x:c r="F7255" t="str">
        <x:v>West</x:v>
      </x:c>
      <x:c r="G7255" t="str">
        <x:v>Technology</x:v>
      </x:c>
      <x:c r="H7255" t="str">
        <x:v>Accessories</x:v>
      </x:c>
      <x:c r="I7255" s="22" t="n">
        <x:v>989.97</x:v>
      </x:c>
      <x:c r="J7255" s="24" t="n">
        <x:v>3</x:v>
      </x:c>
      <x:c r="K7255" s="26" t="n">
        <x:v>0</x:v>
      </x:c>
      <x:c r="L7255" s="22" t="n">
        <x:v>395.98800000000006</x:v>
      </x:c>
      <x:c r="M7255" t="n">
        <x:v>2015</x:v>
      </x:c>
      <x:c r="N7255" s="20" t="n">
        <x:v>42156</x:v>
      </x:c>
    </x:row>
    <x:row r="7256" ht="18" customHeight="1">
      <x:c r="A7256" t="str">
        <x:v>CA-2016-116764</x:v>
      </x:c>
      <x:c r="B7256" s="18" t="n">
        <x:v>42609</x:v>
      </x:c>
      <x:c r="C7256" t="str">
        <x:v>EM-13825</x:v>
      </x:c>
      <x:c r="D7256" t="str">
        <x:v>Elizabeth Moffitt</x:v>
      </x:c>
      <x:c r="E7256" t="str">
        <x:v>Corporate</x:v>
      </x:c>
      <x:c r="F7256" t="str">
        <x:v>South</x:v>
      </x:c>
      <x:c r="G7256" t="str">
        <x:v>Office Supplies</x:v>
      </x:c>
      <x:c r="H7256" t="str">
        <x:v>Labels</x:v>
      </x:c>
      <x:c r="I7256" s="22" t="n">
        <x:v>9.216</x:v>
      </x:c>
      <x:c r="J7256" s="24" t="n">
        <x:v>4</x:v>
      </x:c>
      <x:c r="K7256" s="26" t="n">
        <x:v>0.2</x:v>
      </x:c>
      <x:c r="L7256" s="22" t="n">
        <x:v>3.3408</x:v>
      </x:c>
      <x:c r="M7256" t="n">
        <x:v>2016</x:v>
      </x:c>
      <x:c r="N7256" s="20" t="n">
        <x:v>42583</x:v>
      </x:c>
    </x:row>
    <x:row r="7257" ht="18" customHeight="1">
      <x:c r="A7257" t="str">
        <x:v>CA-2016-152457</x:v>
      </x:c>
      <x:c r="B7257" s="18" t="n">
        <x:v>42625</x:v>
      </x:c>
      <x:c r="C7257" t="str">
        <x:v>SC-20695</x:v>
      </x:c>
      <x:c r="D7257" t="str">
        <x:v>Steve Chapman</x:v>
      </x:c>
      <x:c r="E7257" t="str">
        <x:v>Corporate</x:v>
      </x:c>
      <x:c r="F7257" t="str">
        <x:v>Central</x:v>
      </x:c>
      <x:c r="G7257" t="str">
        <x:v>Office Supplies</x:v>
      </x:c>
      <x:c r="H7257" t="str">
        <x:v>Paper</x:v>
      </x:c>
      <x:c r="I7257" s="22" t="n">
        <x:v>68.52</x:v>
      </x:c>
      <x:c r="J7257" s="24" t="n">
        <x:v>3</x:v>
      </x:c>
      <x:c r="K7257" s="26" t="n">
        <x:v>0</x:v>
      </x:c>
      <x:c r="L7257" s="22" t="n">
        <x:v>31.519199999999998</x:v>
      </x:c>
      <x:c r="M7257" t="n">
        <x:v>2016</x:v>
      </x:c>
      <x:c r="N7257" s="20" t="n">
        <x:v>42614</x:v>
      </x:c>
    </x:row>
    <x:row r="7258" ht="18" customHeight="1">
      <x:c r="A7258" t="str">
        <x:v>CA-2016-152730</x:v>
      </x:c>
      <x:c r="B7258" s="18" t="n">
        <x:v>42520</x:v>
      </x:c>
      <x:c r="C7258" t="str">
        <x:v>EM-14140</x:v>
      </x:c>
      <x:c r="D7258" t="str">
        <x:v>Eugene Moren</x:v>
      </x:c>
      <x:c r="E7258" t="str">
        <x:v>Home Office</x:v>
      </x:c>
      <x:c r="F7258" t="str">
        <x:v>Central</x:v>
      </x:c>
      <x:c r="G7258" t="str">
        <x:v>Office Supplies</x:v>
      </x:c>
      <x:c r="H7258" t="str">
        <x:v>Appliances</x:v>
      </x:c>
      <x:c r="I7258" s="22" t="n">
        <x:v>364.74</x:v>
      </x:c>
      <x:c r="J7258" s="24" t="n">
        <x:v>3</x:v>
      </x:c>
      <x:c r="K7258" s="26" t="n">
        <x:v>0</x:v>
      </x:c>
      <x:c r="L7258" s="22" t="n">
        <x:v>109.42199999999997</x:v>
      </x:c>
      <x:c r="M7258" t="n">
        <x:v>2016</x:v>
      </x:c>
      <x:c r="N7258" s="20" t="n">
        <x:v>42491</x:v>
      </x:c>
    </x:row>
    <x:row r="7259" ht="18" customHeight="1">
      <x:c r="A7259" t="str">
        <x:v>CA-2016-152730</x:v>
      </x:c>
      <x:c r="B7259" s="18" t="n">
        <x:v>42520</x:v>
      </x:c>
      <x:c r="C7259" t="str">
        <x:v>EM-14140</x:v>
      </x:c>
      <x:c r="D7259" t="str">
        <x:v>Eugene Moren</x:v>
      </x:c>
      <x:c r="E7259" t="str">
        <x:v>Home Office</x:v>
      </x:c>
      <x:c r="F7259" t="str">
        <x:v>Central</x:v>
      </x:c>
      <x:c r="G7259" t="str">
        <x:v>Furniture</x:v>
      </x:c>
      <x:c r="H7259" t="str">
        <x:v>Furnishings</x:v>
      </x:c>
      <x:c r="I7259" s="22" t="n">
        <x:v>47.400000000000006</x:v>
      </x:c>
      <x:c r="J7259" s="24" t="n">
        <x:v>5</x:v>
      </x:c>
      <x:c r="K7259" s="26" t="n">
        <x:v>0</x:v>
      </x:c>
      <x:c r="L7259" s="22" t="n">
        <x:v>21.33</x:v>
      </x:c>
      <x:c r="M7259" t="n">
        <x:v>2016</x:v>
      </x:c>
      <x:c r="N7259" s="20" t="n">
        <x:v>42491</x:v>
      </x:c>
    </x:row>
    <x:row r="7260" ht="18" customHeight="1">
      <x:c r="A7260" t="str">
        <x:v>CA-2016-152730</x:v>
      </x:c>
      <x:c r="B7260" s="18" t="n">
        <x:v>42520</x:v>
      </x:c>
      <x:c r="C7260" t="str">
        <x:v>EM-14140</x:v>
      </x:c>
      <x:c r="D7260" t="str">
        <x:v>Eugene Moren</x:v>
      </x:c>
      <x:c r="E7260" t="str">
        <x:v>Home Office</x:v>
      </x:c>
      <x:c r="F7260" t="str">
        <x:v>Central</x:v>
      </x:c>
      <x:c r="G7260" t="str">
        <x:v>Office Supplies</x:v>
      </x:c>
      <x:c r="H7260" t="str">
        <x:v>Storage</x:v>
      </x:c>
      <x:c r="I7260" s="22" t="n">
        <x:v>49.76</x:v>
      </x:c>
      <x:c r="J7260" s="24" t="n">
        <x:v>4</x:v>
      </x:c>
      <x:c r="K7260" s="26" t="n">
        <x:v>0</x:v>
      </x:c>
      <x:c r="L7260" s="22" t="n">
        <x:v>13.9328</x:v>
      </x:c>
      <x:c r="M7260" t="n">
        <x:v>2016</x:v>
      </x:c>
      <x:c r="N7260" s="20" t="n">
        <x:v>42491</x:v>
      </x:c>
    </x:row>
    <x:row r="7261" ht="18" customHeight="1">
      <x:c r="A7261" t="str">
        <x:v>CA-2016-152730</x:v>
      </x:c>
      <x:c r="B7261" s="18" t="n">
        <x:v>42520</x:v>
      </x:c>
      <x:c r="C7261" t="str">
        <x:v>EM-14140</x:v>
      </x:c>
      <x:c r="D7261" t="str">
        <x:v>Eugene Moren</x:v>
      </x:c>
      <x:c r="E7261" t="str">
        <x:v>Home Office</x:v>
      </x:c>
      <x:c r="F7261" t="str">
        <x:v>Central</x:v>
      </x:c>
      <x:c r="G7261" t="str">
        <x:v>Office Supplies</x:v>
      </x:c>
      <x:c r="H7261" t="str">
        <x:v>Art</x:v>
      </x:c>
      <x:c r="I7261" s="22" t="n">
        <x:v>5.56</x:v>
      </x:c>
      <x:c r="J7261" s="24" t="n">
        <x:v>2</x:v>
      </x:c>
      <x:c r="K7261" s="26" t="n">
        <x:v>0</x:v>
      </x:c>
      <x:c r="L7261" s="22" t="n">
        <x:v>1.4455999999999998</x:v>
      </x:c>
      <x:c r="M7261" t="n">
        <x:v>2016</x:v>
      </x:c>
      <x:c r="N7261" s="20" t="n">
        <x:v>42491</x:v>
      </x:c>
    </x:row>
    <x:row r="7262" ht="18" customHeight="1">
      <x:c r="A7262" t="str">
        <x:v>CA-2016-152730</x:v>
      </x:c>
      <x:c r="B7262" s="18" t="n">
        <x:v>42520</x:v>
      </x:c>
      <x:c r="C7262" t="str">
        <x:v>EM-14140</x:v>
      </x:c>
      <x:c r="D7262" t="str">
        <x:v>Eugene Moren</x:v>
      </x:c>
      <x:c r="E7262" t="str">
        <x:v>Home Office</x:v>
      </x:c>
      <x:c r="F7262" t="str">
        <x:v>Central</x:v>
      </x:c>
      <x:c r="G7262" t="str">
        <x:v>Office Supplies</x:v>
      </x:c>
      <x:c r="H7262" t="str">
        <x:v>Paper</x:v>
      </x:c>
      <x:c r="I7262" s="22" t="n">
        <x:v>629.0999999999999</x:v>
      </x:c>
      <x:c r="J7262" s="24" t="n">
        <x:v>6</x:v>
      </x:c>
      <x:c r="K7262" s="26" t="n">
        <x:v>0</x:v>
      </x:c>
      <x:c r="L7262" s="22" t="n">
        <x:v>301.96799999999996</x:v>
      </x:c>
      <x:c r="M7262" t="n">
        <x:v>2016</x:v>
      </x:c>
      <x:c r="N7262" s="20" t="n">
        <x:v>42491</x:v>
      </x:c>
    </x:row>
    <x:row r="7263" ht="18" customHeight="1">
      <x:c r="A7263" t="str">
        <x:v>CA-2016-152730</x:v>
      </x:c>
      <x:c r="B7263" s="18" t="n">
        <x:v>42520</x:v>
      </x:c>
      <x:c r="C7263" t="str">
        <x:v>EM-14140</x:v>
      </x:c>
      <x:c r="D7263" t="str">
        <x:v>Eugene Moren</x:v>
      </x:c>
      <x:c r="E7263" t="str">
        <x:v>Home Office</x:v>
      </x:c>
      <x:c r="F7263" t="str">
        <x:v>Central</x:v>
      </x:c>
      <x:c r="G7263" t="str">
        <x:v>Office Supplies</x:v>
      </x:c>
      <x:c r="H7263" t="str">
        <x:v>Art</x:v>
      </x:c>
      <x:c r="I7263" s="22" t="n">
        <x:v>14.7</x:v>
      </x:c>
      <x:c r="J7263" s="24" t="n">
        <x:v>5</x:v>
      </x:c>
      <x:c r="K7263" s="26" t="n">
        <x:v>0</x:v>
      </x:c>
      <x:c r="L7263" s="22" t="n">
        <x:v>3.9690000000000003</x:v>
      </x:c>
      <x:c r="M7263" t="n">
        <x:v>2016</x:v>
      </x:c>
      <x:c r="N7263" s="20" t="n">
        <x:v>42491</x:v>
      </x:c>
    </x:row>
    <x:row r="7264" ht="18" customHeight="1">
      <x:c r="A7264" t="str">
        <x:v>CA-2016-152730</x:v>
      </x:c>
      <x:c r="B7264" s="18" t="n">
        <x:v>42520</x:v>
      </x:c>
      <x:c r="C7264" t="str">
        <x:v>EM-14140</x:v>
      </x:c>
      <x:c r="D7264" t="str">
        <x:v>Eugene Moren</x:v>
      </x:c>
      <x:c r="E7264" t="str">
        <x:v>Home Office</x:v>
      </x:c>
      <x:c r="F7264" t="str">
        <x:v>Central</x:v>
      </x:c>
      <x:c r="G7264" t="str">
        <x:v>Office Supplies</x:v>
      </x:c>
      <x:c r="H7264" t="str">
        <x:v>Paper</x:v>
      </x:c>
      <x:c r="I7264" s="22" t="n">
        <x:v>45.36</x:v>
      </x:c>
      <x:c r="J7264" s="24" t="n">
        <x:v>7</x:v>
      </x:c>
      <x:c r="K7264" s="26" t="n">
        <x:v>0</x:v>
      </x:c>
      <x:c r="L7264" s="22" t="n">
        <x:v>21.772800000000004</x:v>
      </x:c>
      <x:c r="M7264" t="n">
        <x:v>2016</x:v>
      </x:c>
      <x:c r="N7264" s="20" t="n">
        <x:v>42491</x:v>
      </x:c>
    </x:row>
    <x:row r="7265" ht="18" customHeight="1">
      <x:c r="A7265" t="str">
        <x:v>CA-2016-152730</x:v>
      </x:c>
      <x:c r="B7265" s="18" t="n">
        <x:v>42520</x:v>
      </x:c>
      <x:c r="C7265" t="str">
        <x:v>EM-14140</x:v>
      </x:c>
      <x:c r="D7265" t="str">
        <x:v>Eugene Moren</x:v>
      </x:c>
      <x:c r="E7265" t="str">
        <x:v>Home Office</x:v>
      </x:c>
      <x:c r="F7265" t="str">
        <x:v>Central</x:v>
      </x:c>
      <x:c r="G7265" t="str">
        <x:v>Technology</x:v>
      </x:c>
      <x:c r="H7265" t="str">
        <x:v>Phones</x:v>
      </x:c>
      <x:c r="I7265" s="22" t="n">
        <x:v>125.99</x:v>
      </x:c>
      <x:c r="J7265" s="24" t="n">
        <x:v>1</x:v>
      </x:c>
      <x:c r="K7265" s="26" t="n">
        <x:v>0</x:v>
      </x:c>
      <x:c r="L7265" s="22" t="n">
        <x:v>35.27720000000001</x:v>
      </x:c>
      <x:c r="M7265" t="n">
        <x:v>2016</x:v>
      </x:c>
      <x:c r="N7265" s="20" t="n">
        <x:v>42491</x:v>
      </x:c>
    </x:row>
    <x:row r="7266" ht="18" customHeight="1">
      <x:c r="A7266" t="str">
        <x:v>CA-2017-137001</x:v>
      </x:c>
      <x:c r="B7266" s="18" t="n">
        <x:v>42896</x:v>
      </x:c>
      <x:c r="C7266" t="str">
        <x:v>GZ-14545</x:v>
      </x:c>
      <x:c r="D7266" t="str">
        <x:v>George Zrebassa</x:v>
      </x:c>
      <x:c r="E7266" t="str">
        <x:v>Corporate</x:v>
      </x:c>
      <x:c r="F7266" t="str">
        <x:v>West</x:v>
      </x:c>
      <x:c r="G7266" t="str">
        <x:v>Office Supplies</x:v>
      </x:c>
      <x:c r="H7266" t="str">
        <x:v>Art</x:v>
      </x:c>
      <x:c r="I7266" s="22" t="n">
        <x:v>14.700000000000001</x:v>
      </x:c>
      <x:c r="J7266" s="24" t="n">
        <x:v>7</x:v>
      </x:c>
      <x:c r="K7266" s="26" t="n">
        <x:v>0</x:v>
      </x:c>
      <x:c r="L7266" s="22" t="n">
        <x:v>4.1160000000000005</x:v>
      </x:c>
      <x:c r="M7266" t="n">
        <x:v>2017</x:v>
      </x:c>
      <x:c r="N7266" s="20" t="n">
        <x:v>42887</x:v>
      </x:c>
    </x:row>
    <x:row r="7267" ht="18" customHeight="1">
      <x:c r="A7267" t="str">
        <x:v>CA-2017-156363</x:v>
      </x:c>
      <x:c r="B7267" s="18" t="n">
        <x:v>43030</x:v>
      </x:c>
      <x:c r="C7267" t="str">
        <x:v>ML-17395</x:v>
      </x:c>
      <x:c r="D7267" t="str">
        <x:v>Marina Lichtenstein</x:v>
      </x:c>
      <x:c r="E7267" t="str">
        <x:v>Corporate</x:v>
      </x:c>
      <x:c r="F7267" t="str">
        <x:v>East</x:v>
      </x:c>
      <x:c r="G7267" t="str">
        <x:v>Technology</x:v>
      </x:c>
      <x:c r="H7267" t="str">
        <x:v>Phones</x:v>
      </x:c>
      <x:c r="I7267" s="22" t="n">
        <x:v>32.7</x:v>
      </x:c>
      <x:c r="J7267" s="24" t="n">
        <x:v>5</x:v>
      </x:c>
      <x:c r="K7267" s="26" t="n">
        <x:v>0.4</x:v>
      </x:c>
      <x:c r="L7267" s="22" t="n">
        <x:v>-6.539999999999999</x:v>
      </x:c>
      <x:c r="M7267" t="n">
        <x:v>2017</x:v>
      </x:c>
      <x:c r="N7267" s="20" t="n">
        <x:v>43009</x:v>
      </x:c>
    </x:row>
    <x:row r="7268" ht="18" customHeight="1">
      <x:c r="A7268" t="str">
        <x:v>CA-2017-156363</x:v>
      </x:c>
      <x:c r="B7268" s="18" t="n">
        <x:v>43030</x:v>
      </x:c>
      <x:c r="C7268" t="str">
        <x:v>ML-17395</x:v>
      </x:c>
      <x:c r="D7268" t="str">
        <x:v>Marina Lichtenstein</x:v>
      </x:c>
      <x:c r="E7268" t="str">
        <x:v>Corporate</x:v>
      </x:c>
      <x:c r="F7268" t="str">
        <x:v>East</x:v>
      </x:c>
      <x:c r="G7268" t="str">
        <x:v>Office Supplies</x:v>
      </x:c>
      <x:c r="H7268" t="str">
        <x:v>Envelopes</x:v>
      </x:c>
      <x:c r="I7268" s="22" t="n">
        <x:v>31.680000000000003</x:v>
      </x:c>
      <x:c r="J7268" s="24" t="n">
        <x:v>4</x:v>
      </x:c>
      <x:c r="K7268" s="26" t="n">
        <x:v>0.2</x:v>
      </x:c>
      <x:c r="L7268" s="22" t="n">
        <x:v>11.087999999999997</x:v>
      </x:c>
      <x:c r="M7268" t="n">
        <x:v>2017</x:v>
      </x:c>
      <x:c r="N7268" s="20" t="n">
        <x:v>43009</x:v>
      </x:c>
    </x:row>
    <x:row r="7269" ht="18" customHeight="1">
      <x:c r="A7269" t="str">
        <x:v>CA-2017-122056</x:v>
      </x:c>
      <x:c r="B7269" s="18" t="n">
        <x:v>42899</x:v>
      </x:c>
      <x:c r="C7269" t="str">
        <x:v>PG-18895</x:v>
      </x:c>
      <x:c r="D7269" t="str">
        <x:v>Paul Gonzalez</x:v>
      </x:c>
      <x:c r="E7269" t="str">
        <x:v>Consumer</x:v>
      </x:c>
      <x:c r="F7269" t="str">
        <x:v>South</x:v>
      </x:c>
      <x:c r="G7269" t="str">
        <x:v>Office Supplies</x:v>
      </x:c>
      <x:c r="H7269" t="str">
        <x:v>Art</x:v>
      </x:c>
      <x:c r="I7269" s="22" t="n">
        <x:v>181.86</x:v>
      </x:c>
      <x:c r="J7269" s="24" t="n">
        <x:v>7</x:v>
      </x:c>
      <x:c r="K7269" s="26" t="n">
        <x:v>0</x:v>
      </x:c>
      <x:c r="L7269" s="22" t="n">
        <x:v>50.9208</x:v>
      </x:c>
      <x:c r="M7269" t="n">
        <x:v>2017</x:v>
      </x:c>
      <x:c r="N7269" s="20" t="n">
        <x:v>42887</x:v>
      </x:c>
    </x:row>
    <x:row r="7270" ht="18" customHeight="1">
      <x:c r="A7270" t="str">
        <x:v>US-2014-143721</x:v>
      </x:c>
      <x:c r="B7270" s="18" t="n">
        <x:v>41966</x:v>
      </x:c>
      <x:c r="C7270" t="str">
        <x:v>DK-12835</x:v>
      </x:c>
      <x:c r="D7270" t="str">
        <x:v>Damala Kotsonis</x:v>
      </x:c>
      <x:c r="E7270" t="str">
        <x:v>Corporate</x:v>
      </x:c>
      <x:c r="F7270" t="str">
        <x:v>Central</x:v>
      </x:c>
      <x:c r="G7270" t="str">
        <x:v>Furniture</x:v>
      </x:c>
      <x:c r="H7270" t="str">
        <x:v>Chairs</x:v>
      </x:c>
      <x:c r="I7270" s="22" t="n">
        <x:v>155.37199999999999</x:v>
      </x:c>
      <x:c r="J7270" s="24" t="n">
        <x:v>2</x:v>
      </x:c>
      <x:c r="K7270" s="26" t="n">
        <x:v>0.3</x:v>
      </x:c>
      <x:c r="L7270" s="22" t="n">
        <x:v>-35.5136</x:v>
      </x:c>
      <x:c r="M7270" t="n">
        <x:v>2014</x:v>
      </x:c>
      <x:c r="N7270" s="20" t="n">
        <x:v>41944</x:v>
      </x:c>
    </x:row>
    <x:row r="7271" ht="18" customHeight="1">
      <x:c r="A7271" t="str">
        <x:v>CA-2017-122987</x:v>
      </x:c>
      <x:c r="B7271" s="18" t="n">
        <x:v>42963</x:v>
      </x:c>
      <x:c r="C7271" t="str">
        <x:v>SJ-20215</x:v>
      </x:c>
      <x:c r="D7271" t="str">
        <x:v>Sarah Jordon</x:v>
      </x:c>
      <x:c r="E7271" t="str">
        <x:v>Consumer</x:v>
      </x:c>
      <x:c r="F7271" t="str">
        <x:v>South</x:v>
      </x:c>
      <x:c r="G7271" t="str">
        <x:v>Office Supplies</x:v>
      </x:c>
      <x:c r="H7271" t="str">
        <x:v>Binders</x:v>
      </x:c>
      <x:c r="I7271" s="22" t="n">
        <x:v>13.428000000000003</x:v>
      </x:c>
      <x:c r="J7271" s="24" t="n">
        <x:v>3</x:v>
      </x:c>
      <x:c r="K7271" s="26" t="n">
        <x:v>0.7</x:v>
      </x:c>
      <x:c r="L7271" s="22" t="n">
        <x:v>-11.190000000000001</x:v>
      </x:c>
      <x:c r="M7271" t="n">
        <x:v>2017</x:v>
      </x:c>
      <x:c r="N7271" s="20" t="n">
        <x:v>42948</x:v>
      </x:c>
    </x:row>
    <x:row r="7272" ht="18" customHeight="1">
      <x:c r="A7272" t="str">
        <x:v>CA-2017-122987</x:v>
      </x:c>
      <x:c r="B7272" s="18" t="n">
        <x:v>42963</x:v>
      </x:c>
      <x:c r="C7272" t="str">
        <x:v>SJ-20215</x:v>
      </x:c>
      <x:c r="D7272" t="str">
        <x:v>Sarah Jordon</x:v>
      </x:c>
      <x:c r="E7272" t="str">
        <x:v>Consumer</x:v>
      </x:c>
      <x:c r="F7272" t="str">
        <x:v>South</x:v>
      </x:c>
      <x:c r="G7272" t="str">
        <x:v>Office Supplies</x:v>
      </x:c>
      <x:c r="H7272" t="str">
        <x:v>Storage</x:v>
      </x:c>
      <x:c r="I7272" s="22" t="n">
        <x:v>67.13600000000001</x:v>
      </x:c>
      <x:c r="J7272" s="24" t="n">
        <x:v>4</x:v>
      </x:c>
      <x:c r="K7272" s="26" t="n">
        <x:v>0.2</x:v>
      </x:c>
      <x:c r="L7272" s="22" t="n">
        <x:v>-0.8392000000000017</x:v>
      </x:c>
      <x:c r="M7272" t="n">
        <x:v>2017</x:v>
      </x:c>
      <x:c r="N7272" s="20" t="n">
        <x:v>42948</x:v>
      </x:c>
    </x:row>
    <x:row r="7273" ht="18" customHeight="1">
      <x:c r="A7273" t="str">
        <x:v>CA-2016-133368</x:v>
      </x:c>
      <x:c r="B7273" s="18" t="n">
        <x:v>42383</x:v>
      </x:c>
      <x:c r="C7273" t="str">
        <x:v>AG-10675</x:v>
      </x:c>
      <x:c r="D7273" t="str">
        <x:v>Anna Gayman</x:v>
      </x:c>
      <x:c r="E7273" t="str">
        <x:v>Consumer</x:v>
      </x:c>
      <x:c r="F7273" t="str">
        <x:v>South</x:v>
      </x:c>
      <x:c r="G7273" t="str">
        <x:v>Office Supplies</x:v>
      </x:c>
      <x:c r="H7273" t="str">
        <x:v>Paper</x:v>
      </x:c>
      <x:c r="I7273" s="22" t="n">
        <x:v>89.568</x:v>
      </x:c>
      <x:c r="J7273" s="24" t="n">
        <x:v>2</x:v>
      </x:c>
      <x:c r="K7273" s="26" t="n">
        <x:v>0.2</x:v>
      </x:c>
      <x:c r="L7273" s="22" t="n">
        <x:v>32.4684</x:v>
      </x:c>
      <x:c r="M7273" t="n">
        <x:v>2016</x:v>
      </x:c>
      <x:c r="N7273" s="20" t="n">
        <x:v>42370</x:v>
      </x:c>
    </x:row>
    <x:row r="7274" ht="18" customHeight="1">
      <x:c r="A7274" t="str">
        <x:v>CA-2016-133368</x:v>
      </x:c>
      <x:c r="B7274" s="18" t="n">
        <x:v>42383</x:v>
      </x:c>
      <x:c r="C7274" t="str">
        <x:v>AG-10675</x:v>
      </x:c>
      <x:c r="D7274" t="str">
        <x:v>Anna Gayman</x:v>
      </x:c>
      <x:c r="E7274" t="str">
        <x:v>Consumer</x:v>
      </x:c>
      <x:c r="F7274" t="str">
        <x:v>South</x:v>
      </x:c>
      <x:c r="G7274" t="str">
        <x:v>Furniture</x:v>
      </x:c>
      <x:c r="H7274" t="str">
        <x:v>Furnishings</x:v>
      </x:c>
      <x:c r="I7274" s="22" t="n">
        <x:v>315.77600000000007</x:v>
      </x:c>
      <x:c r="J7274" s="24" t="n">
        <x:v>8</x:v>
      </x:c>
      <x:c r="K7274" s="26" t="n">
        <x:v>0.2</x:v>
      </x:c>
      <x:c r="L7274" s="22" t="n">
        <x:v>31.577600000000018</x:v>
      </x:c>
      <x:c r="M7274" t="n">
        <x:v>2016</x:v>
      </x:c>
      <x:c r="N7274" s="20" t="n">
        <x:v>42370</x:v>
      </x:c>
    </x:row>
    <x:row r="7275" ht="18" customHeight="1">
      <x:c r="A7275" t="str">
        <x:v>CA-2016-123337</x:v>
      </x:c>
      <x:c r="B7275" s="18" t="n">
        <x:v>42629</x:v>
      </x:c>
      <x:c r="C7275" t="str">
        <x:v>KD-16495</x:v>
      </x:c>
      <x:c r="D7275" t="str">
        <x:v>Keith Dawkins</x:v>
      </x:c>
      <x:c r="E7275" t="str">
        <x:v>Corporate</x:v>
      </x:c>
      <x:c r="F7275" t="str">
        <x:v>West</x:v>
      </x:c>
      <x:c r="G7275" t="str">
        <x:v>Furniture</x:v>
      </x:c>
      <x:c r="H7275" t="str">
        <x:v>Bookcases</x:v>
      </x:c>
      <x:c r="I7275" s="22" t="n">
        <x:v>273.666</x:v>
      </x:c>
      <x:c r="J7275" s="24" t="n">
        <x:v>2</x:v>
      </x:c>
      <x:c r="K7275" s="26" t="n">
        <x:v>0.15</x:v>
      </x:c>
      <x:c r="L7275" s="22" t="n">
        <x:v>-12.878400000000013</x:v>
      </x:c>
      <x:c r="M7275" t="n">
        <x:v>2016</x:v>
      </x:c>
      <x:c r="N7275" s="20" t="n">
        <x:v>42614</x:v>
      </x:c>
    </x:row>
    <x:row r="7276" ht="18" customHeight="1">
      <x:c r="A7276" t="str">
        <x:v>CA-2016-123337</x:v>
      </x:c>
      <x:c r="B7276" s="18" t="n">
        <x:v>42629</x:v>
      </x:c>
      <x:c r="C7276" t="str">
        <x:v>KD-16495</x:v>
      </x:c>
      <x:c r="D7276" t="str">
        <x:v>Keith Dawkins</x:v>
      </x:c>
      <x:c r="E7276" t="str">
        <x:v>Corporate</x:v>
      </x:c>
      <x:c r="F7276" t="str">
        <x:v>West</x:v>
      </x:c>
      <x:c r="G7276" t="str">
        <x:v>Office Supplies</x:v>
      </x:c>
      <x:c r="H7276" t="str">
        <x:v>Appliances</x:v>
      </x:c>
      <x:c r="I7276" s="22" t="n">
        <x:v>17.48</x:v>
      </x:c>
      <x:c r="J7276" s="24" t="n">
        <x:v>4</x:v>
      </x:c>
      <x:c r="K7276" s="26" t="n">
        <x:v>0</x:v>
      </x:c>
      <x:c r="L7276" s="22" t="n">
        <x:v>4.5448</x:v>
      </x:c>
      <x:c r="M7276" t="n">
        <x:v>2016</x:v>
      </x:c>
      <x:c r="N7276" s="20" t="n">
        <x:v>42614</x:v>
      </x:c>
    </x:row>
    <x:row r="7277" ht="18" customHeight="1">
      <x:c r="A7277" t="str">
        <x:v>US-2016-150357</x:v>
      </x:c>
      <x:c r="B7277" s="18" t="n">
        <x:v>42653</x:v>
      </x:c>
      <x:c r="C7277" t="str">
        <x:v>EB-13975</x:v>
      </x:c>
      <x:c r="D7277" t="str">
        <x:v>Erica Bern</x:v>
      </x:c>
      <x:c r="E7277" t="str">
        <x:v>Corporate</x:v>
      </x:c>
      <x:c r="F7277" t="str">
        <x:v>South</x:v>
      </x:c>
      <x:c r="G7277" t="str">
        <x:v>Office Supplies</x:v>
      </x:c>
      <x:c r="H7277" t="str">
        <x:v>Supplies</x:v>
      </x:c>
      <x:c r="I7277" s="22" t="n">
        <x:v>20.608000000000004</x:v>
      </x:c>
      <x:c r="J7277" s="24" t="n">
        <x:v>2</x:v>
      </x:c>
      <x:c r="K7277" s="26" t="n">
        <x:v>0.2</x:v>
      </x:c>
      <x:c r="L7277" s="22" t="n">
        <x:v>-4.379200000000001</x:v>
      </x:c>
      <x:c r="M7277" t="n">
        <x:v>2016</x:v>
      </x:c>
      <x:c r="N7277" s="20" t="n">
        <x:v>42644</x:v>
      </x:c>
    </x:row>
    <x:row r="7278" ht="18" customHeight="1">
      <x:c r="A7278" t="str">
        <x:v>US-2016-150357</x:v>
      </x:c>
      <x:c r="B7278" s="18" t="n">
        <x:v>42653</x:v>
      </x:c>
      <x:c r="C7278" t="str">
        <x:v>EB-13975</x:v>
      </x:c>
      <x:c r="D7278" t="str">
        <x:v>Erica Bern</x:v>
      </x:c>
      <x:c r="E7278" t="str">
        <x:v>Corporate</x:v>
      </x:c>
      <x:c r="F7278" t="str">
        <x:v>South</x:v>
      </x:c>
      <x:c r="G7278" t="str">
        <x:v>Office Supplies</x:v>
      </x:c>
      <x:c r="H7278" t="str">
        <x:v>Binders</x:v>
      </x:c>
      <x:c r="I7278" s="22" t="n">
        <x:v>4.095000000000001</x:v>
      </x:c>
      <x:c r="J7278" s="24" t="n">
        <x:v>3</x:v>
      </x:c>
      <x:c r="K7278" s="26" t="n">
        <x:v>0.7</x:v>
      </x:c>
      <x:c r="L7278" s="22" t="n">
        <x:v>-2.7300000000000004</x:v>
      </x:c>
      <x:c r="M7278" t="n">
        <x:v>2016</x:v>
      </x:c>
      <x:c r="N7278" s="20" t="n">
        <x:v>42644</x:v>
      </x:c>
    </x:row>
    <x:row r="7279" ht="18" customHeight="1">
      <x:c r="A7279" t="str">
        <x:v>CA-2015-144519</x:v>
      </x:c>
      <x:c r="B7279" s="18" t="n">
        <x:v>42321</x:v>
      </x:c>
      <x:c r="C7279" t="str">
        <x:v>AW-10930</x:v>
      </x:c>
      <x:c r="D7279" t="str">
        <x:v>Arthur Wiediger</x:v>
      </x:c>
      <x:c r="E7279" t="str">
        <x:v>Home Office</x:v>
      </x:c>
      <x:c r="F7279" t="str">
        <x:v>West</x:v>
      </x:c>
      <x:c r="G7279" t="str">
        <x:v>Technology</x:v>
      </x:c>
      <x:c r="H7279" t="str">
        <x:v>Phones</x:v>
      </x:c>
      <x:c r="I7279" s="22" t="n">
        <x:v>339.96000000000004</x:v>
      </x:c>
      <x:c r="J7279" s="24" t="n">
        <x:v>5</x:v>
      </x:c>
      <x:c r="K7279" s="26" t="n">
        <x:v>0.2</x:v>
      </x:c>
      <x:c r="L7279" s="22" t="n">
        <x:v>42.49499999999995</x:v>
      </x:c>
      <x:c r="M7279" t="n">
        <x:v>2015</x:v>
      </x:c>
      <x:c r="N7279" s="20" t="n">
        <x:v>42309</x:v>
      </x:c>
    </x:row>
    <x:row r="7280" ht="18" customHeight="1">
      <x:c r="A7280" t="str">
        <x:v>CA-2015-144519</x:v>
      </x:c>
      <x:c r="B7280" s="18" t="n">
        <x:v>42321</x:v>
      </x:c>
      <x:c r="C7280" t="str">
        <x:v>AW-10930</x:v>
      </x:c>
      <x:c r="D7280" t="str">
        <x:v>Arthur Wiediger</x:v>
      </x:c>
      <x:c r="E7280" t="str">
        <x:v>Home Office</x:v>
      </x:c>
      <x:c r="F7280" t="str">
        <x:v>West</x:v>
      </x:c>
      <x:c r="G7280" t="str">
        <x:v>Furniture</x:v>
      </x:c>
      <x:c r="H7280" t="str">
        <x:v>Furnishings</x:v>
      </x:c>
      <x:c r="I7280" s="22" t="n">
        <x:v>63.980000000000004</x:v>
      </x:c>
      <x:c r="J7280" s="24" t="n">
        <x:v>7</x:v>
      </x:c>
      <x:c r="K7280" s="26" t="n">
        <x:v>0</x:v>
      </x:c>
      <x:c r="L7280" s="22" t="n">
        <x:v>21.7532</x:v>
      </x:c>
      <x:c r="M7280" t="n">
        <x:v>2015</x:v>
      </x:c>
      <x:c r="N7280" s="20" t="n">
        <x:v>42309</x:v>
      </x:c>
    </x:row>
    <x:row r="7281" ht="18" customHeight="1">
      <x:c r="A7281" t="str">
        <x:v>CA-2014-120670</x:v>
      </x:c>
      <x:c r="B7281" s="18" t="n">
        <x:v>41945</x:v>
      </x:c>
      <x:c r="C7281" t="str">
        <x:v>JK-16120</x:v>
      </x:c>
      <x:c r="D7281" t="str">
        <x:v>Julie Kriz</x:v>
      </x:c>
      <x:c r="E7281" t="str">
        <x:v>Home Office</x:v>
      </x:c>
      <x:c r="F7281" t="str">
        <x:v>South</x:v>
      </x:c>
      <x:c r="G7281" t="str">
        <x:v>Technology</x:v>
      </x:c>
      <x:c r="H7281" t="str">
        <x:v>Accessories</x:v>
      </x:c>
      <x:c r="I7281" s="22" t="n">
        <x:v>799.9200000000001</x:v>
      </x:c>
      <x:c r="J7281" s="24" t="n">
        <x:v>10</x:v>
      </x:c>
      <x:c r="K7281" s="26" t="n">
        <x:v>0.2</x:v>
      </x:c>
      <x:c r="L7281" s="22" t="n">
        <x:v>239.976</x:v>
      </x:c>
      <x:c r="M7281" t="n">
        <x:v>2014</x:v>
      </x:c>
      <x:c r="N7281" s="20" t="n">
        <x:v>41944</x:v>
      </x:c>
    </x:row>
    <x:row r="7282" ht="18" customHeight="1">
      <x:c r="A7282" t="str">
        <x:v>CA-2016-157217</x:v>
      </x:c>
      <x:c r="B7282" s="18" t="n">
        <x:v>42570</x:v>
      </x:c>
      <x:c r="C7282" t="str">
        <x:v>TC-21535</x:v>
      </x:c>
      <x:c r="D7282" t="str">
        <x:v>Tracy Collins</x:v>
      </x:c>
      <x:c r="E7282" t="str">
        <x:v>Home Office</x:v>
      </x:c>
      <x:c r="F7282" t="str">
        <x:v>West</x:v>
      </x:c>
      <x:c r="G7282" t="str">
        <x:v>Technology</x:v>
      </x:c>
      <x:c r="H7282" t="str">
        <x:v>Phones</x:v>
      </x:c>
      <x:c r="I7282" s="22" t="n">
        <x:v>35.984</x:v>
      </x:c>
      <x:c r="J7282" s="24" t="n">
        <x:v>2</x:v>
      </x:c>
      <x:c r="K7282" s="26" t="n">
        <x:v>0.2</x:v>
      </x:c>
      <x:c r="L7282" s="22" t="n">
        <x:v>4.497999999999996</x:v>
      </x:c>
      <x:c r="M7282" t="n">
        <x:v>2016</x:v>
      </x:c>
      <x:c r="N7282" s="20" t="n">
        <x:v>42552</x:v>
      </x:c>
    </x:row>
    <x:row r="7283" ht="18" customHeight="1">
      <x:c r="A7283" t="str">
        <x:v>CA-2016-157217</x:v>
      </x:c>
      <x:c r="B7283" s="18" t="n">
        <x:v>42570</x:v>
      </x:c>
      <x:c r="C7283" t="str">
        <x:v>TC-21535</x:v>
      </x:c>
      <x:c r="D7283" t="str">
        <x:v>Tracy Collins</x:v>
      </x:c>
      <x:c r="E7283" t="str">
        <x:v>Home Office</x:v>
      </x:c>
      <x:c r="F7283" t="str">
        <x:v>West</x:v>
      </x:c>
      <x:c r="G7283" t="str">
        <x:v>Technology</x:v>
      </x:c>
      <x:c r="H7283" t="str">
        <x:v>Accessories</x:v>
      </x:c>
      <x:c r="I7283" s="22" t="n">
        <x:v>389.97</x:v>
      </x:c>
      <x:c r="J7283" s="24" t="n">
        <x:v>3</x:v>
      </x:c>
      <x:c r="K7283" s="26" t="n">
        <x:v>0</x:v>
      </x:c>
      <x:c r="L7283" s="22" t="n">
        <x:v>132.58980000000003</x:v>
      </x:c>
      <x:c r="M7283" t="n">
        <x:v>2016</x:v>
      </x:c>
      <x:c r="N7283" s="20" t="n">
        <x:v>42552</x:v>
      </x:c>
    </x:row>
    <x:row r="7284" ht="18" customHeight="1">
      <x:c r="A7284" t="str">
        <x:v>CA-2016-108224</x:v>
      </x:c>
      <x:c r="B7284" s="18" t="n">
        <x:v>42504</x:v>
      </x:c>
      <x:c r="C7284" t="str">
        <x:v>TH-21235</x:v>
      </x:c>
      <x:c r="D7284" t="str">
        <x:v>Tiffany House</x:v>
      </x:c>
      <x:c r="E7284" t="str">
        <x:v>Corporate</x:v>
      </x:c>
      <x:c r="F7284" t="str">
        <x:v>West</x:v>
      </x:c>
      <x:c r="G7284" t="str">
        <x:v>Technology</x:v>
      </x:c>
      <x:c r="H7284" t="str">
        <x:v>Accessories</x:v>
      </x:c>
      <x:c r="I7284" s="22" t="n">
        <x:v>185.52800000000002</x:v>
      </x:c>
      <x:c r="J7284" s="24" t="n">
        <x:v>7</x:v>
      </x:c>
      <x:c r="K7284" s="26" t="n">
        <x:v>0.2</x:v>
      </x:c>
      <x:c r="L7284" s="22" t="n">
        <x:v>48.7011</x:v>
      </x:c>
      <x:c r="M7284" t="n">
        <x:v>2016</x:v>
      </x:c>
      <x:c r="N7284" s="20" t="n">
        <x:v>42491</x:v>
      </x:c>
    </x:row>
    <x:row r="7285" ht="18" customHeight="1">
      <x:c r="A7285" t="str">
        <x:v>CA-2015-162782</x:v>
      </x:c>
      <x:c r="B7285" s="18" t="n">
        <x:v>42056</x:v>
      </x:c>
      <x:c r="C7285" t="str">
        <x:v>PW-19240</x:v>
      </x:c>
      <x:c r="D7285" t="str">
        <x:v>Pierre Wener</x:v>
      </x:c>
      <x:c r="E7285" t="str">
        <x:v>Consumer</x:v>
      </x:c>
      <x:c r="F7285" t="str">
        <x:v>East</x:v>
      </x:c>
      <x:c r="G7285" t="str">
        <x:v>Office Supplies</x:v>
      </x:c>
      <x:c r="H7285" t="str">
        <x:v>Binders</x:v>
      </x:c>
      <x:c r="I7285" s="22" t="n">
        <x:v>2541.98</x:v>
      </x:c>
      <x:c r="J7285" s="24" t="n">
        <x:v>2</x:v>
      </x:c>
      <x:c r="K7285" s="26" t="n">
        <x:v>0</x:v>
      </x:c>
      <x:c r="L7285" s="22" t="n">
        <x:v>1270.99</x:v>
      </x:c>
      <x:c r="M7285" t="n">
        <x:v>2015</x:v>
      </x:c>
      <x:c r="N7285" s="20" t="n">
        <x:v>42036</x:v>
      </x:c>
    </x:row>
    <x:row r="7286" ht="18" customHeight="1">
      <x:c r="A7286" t="str">
        <x:v>CA-2017-159282</x:v>
      </x:c>
      <x:c r="B7286" s="18" t="n">
        <x:v>43024</x:v>
      </x:c>
      <x:c r="C7286" t="str">
        <x:v>GH-14410</x:v>
      </x:c>
      <x:c r="D7286" t="str">
        <x:v>Gary Hansen</x:v>
      </x:c>
      <x:c r="E7286" t="str">
        <x:v>Home Office</x:v>
      </x:c>
      <x:c r="F7286" t="str">
        <x:v>West</x:v>
      </x:c>
      <x:c r="G7286" t="str">
        <x:v>Technology</x:v>
      </x:c>
      <x:c r="H7286" t="str">
        <x:v>Machines</x:v>
      </x:c>
      <x:c r="I7286" s="22" t="n">
        <x:v>599.9850000000001</x:v>
      </x:c>
      <x:c r="J7286" s="24" t="n">
        <x:v>5</x:v>
      </x:c>
      <x:c r="K7286" s="26" t="n">
        <x:v>0.7</x:v>
      </x:c>
      <x:c r="L7286" s="22" t="n">
        <x:v>-479.98799999999994</x:v>
      </x:c>
      <x:c r="M7286" t="n">
        <x:v>2017</x:v>
      </x:c>
      <x:c r="N7286" s="20" t="n">
        <x:v>43009</x:v>
      </x:c>
    </x:row>
    <x:row r="7287" ht="18" customHeight="1">
      <x:c r="A7287" t="str">
        <x:v>CA-2017-155936</x:v>
      </x:c>
      <x:c r="B7287" s="18" t="n">
        <x:v>42908</x:v>
      </x:c>
      <x:c r="C7287" t="str">
        <x:v>JK-15730</x:v>
      </x:c>
      <x:c r="D7287" t="str">
        <x:v>Joe Kamberova</x:v>
      </x:c>
      <x:c r="E7287" t="str">
        <x:v>Consumer</x:v>
      </x:c>
      <x:c r="F7287" t="str">
        <x:v>Central</x:v>
      </x:c>
      <x:c r="G7287" t="str">
        <x:v>Office Supplies</x:v>
      </x:c>
      <x:c r="H7287" t="str">
        <x:v>Binders</x:v>
      </x:c>
      <x:c r="I7287" s="22" t="n">
        <x:v>3.0359999999999996</x:v>
      </x:c>
      <x:c r="J7287" s="24" t="n">
        <x:v>3</x:v>
      </x:c>
      <x:c r="K7287" s="26" t="n">
        <x:v>0.8</x:v>
      </x:c>
      <x:c r="L7287" s="22" t="n">
        <x:v>-5.009400000000001</x:v>
      </x:c>
      <x:c r="M7287" t="n">
        <x:v>2017</x:v>
      </x:c>
      <x:c r="N7287" s="20" t="n">
        <x:v>42887</x:v>
      </x:c>
    </x:row>
    <x:row r="7288" ht="18" customHeight="1">
      <x:c r="A7288" t="str">
        <x:v>CA-2017-169439</x:v>
      </x:c>
      <x:c r="B7288" s="18" t="n">
        <x:v>42987</x:v>
      </x:c>
      <x:c r="C7288" t="str">
        <x:v>LC-17140</x:v>
      </x:c>
      <x:c r="D7288" t="str">
        <x:v>Logan Currie</x:v>
      </x:c>
      <x:c r="E7288" t="str">
        <x:v>Consumer</x:v>
      </x:c>
      <x:c r="F7288" t="str">
        <x:v>East</x:v>
      </x:c>
      <x:c r="G7288" t="str">
        <x:v>Office Supplies</x:v>
      </x:c>
      <x:c r="H7288" t="str">
        <x:v>Art</x:v>
      </x:c>
      <x:c r="I7288" s="22" t="n">
        <x:v>25.920000000000005</x:v>
      </x:c>
      <x:c r="J7288" s="24" t="n">
        <x:v>5</x:v>
      </x:c>
      <x:c r="K7288" s="26" t="n">
        <x:v>0.2</x:v>
      </x:c>
      <x:c r="L7288" s="22" t="n">
        <x:v>3.8879999999999972</x:v>
      </x:c>
      <x:c r="M7288" t="n">
        <x:v>2017</x:v>
      </x:c>
      <x:c r="N7288" s="20" t="n">
        <x:v>42979</x:v>
      </x:c>
    </x:row>
    <x:row r="7289" ht="18" customHeight="1">
      <x:c r="A7289" t="str">
        <x:v>CA-2017-169439</x:v>
      </x:c>
      <x:c r="B7289" s="18" t="n">
        <x:v>42987</x:v>
      </x:c>
      <x:c r="C7289" t="str">
        <x:v>LC-17140</x:v>
      </x:c>
      <x:c r="D7289" t="str">
        <x:v>Logan Currie</x:v>
      </x:c>
      <x:c r="E7289" t="str">
        <x:v>Consumer</x:v>
      </x:c>
      <x:c r="F7289" t="str">
        <x:v>East</x:v>
      </x:c>
      <x:c r="G7289" t="str">
        <x:v>Furniture</x:v>
      </x:c>
      <x:c r="H7289" t="str">
        <x:v>Furnishings</x:v>
      </x:c>
      <x:c r="I7289" s="22" t="n">
        <x:v>66.11200000000001</x:v>
      </x:c>
      <x:c r="J7289" s="24" t="n">
        <x:v>2</x:v>
      </x:c>
      <x:c r="K7289" s="26" t="n">
        <x:v>0.2</x:v>
      </x:c>
      <x:c r="L7289" s="22" t="n">
        <x:v>-9.090399999999999</x:v>
      </x:c>
      <x:c r="M7289" t="n">
        <x:v>2017</x:v>
      </x:c>
      <x:c r="N7289" s="20" t="n">
        <x:v>42979</x:v>
      </x:c>
    </x:row>
    <x:row r="7290" ht="18" customHeight="1">
      <x:c r="A7290" t="str">
        <x:v>CA-2017-151183</x:v>
      </x:c>
      <x:c r="B7290" s="18" t="n">
        <x:v>43022</x:v>
      </x:c>
      <x:c r="C7290" t="str">
        <x:v>BK-11260</x:v>
      </x:c>
      <x:c r="D7290" t="str">
        <x:v>Berenike Kampe</x:v>
      </x:c>
      <x:c r="E7290" t="str">
        <x:v>Consumer</x:v>
      </x:c>
      <x:c r="F7290" t="str">
        <x:v>West</x:v>
      </x:c>
      <x:c r="G7290" t="str">
        <x:v>Technology</x:v>
      </x:c>
      <x:c r="H7290" t="str">
        <x:v>Accessories</x:v>
      </x:c>
      <x:c r="I7290" s="22" t="n">
        <x:v>46.36</x:v>
      </x:c>
      <x:c r="J7290" s="24" t="n">
        <x:v>4</x:v>
      </x:c>
      <x:c r="K7290" s="26" t="n">
        <x:v>0</x:v>
      </x:c>
      <x:c r="L7290" s="22" t="n">
        <x:v>15.298799999999996</x:v>
      </x:c>
      <x:c r="M7290" t="n">
        <x:v>2017</x:v>
      </x:c>
      <x:c r="N7290" s="20" t="n">
        <x:v>43009</x:v>
      </x:c>
    </x:row>
    <x:row r="7291" ht="18" customHeight="1">
      <x:c r="A7291" t="str">
        <x:v>CA-2016-149965</x:v>
      </x:c>
      <x:c r="B7291" s="18" t="n">
        <x:v>42541</x:v>
      </x:c>
      <x:c r="C7291" t="str">
        <x:v>BS-11365</x:v>
      </x:c>
      <x:c r="D7291" t="str">
        <x:v>Bill Shonely</x:v>
      </x:c>
      <x:c r="E7291" t="str">
        <x:v>Corporate</x:v>
      </x:c>
      <x:c r="F7291" t="str">
        <x:v>Central</x:v>
      </x:c>
      <x:c r="G7291" t="str">
        <x:v>Technology</x:v>
      </x:c>
      <x:c r="H7291" t="str">
        <x:v>Accessories</x:v>
      </x:c>
      <x:c r="I7291" s="22" t="n">
        <x:v>6.9</x:v>
      </x:c>
      <x:c r="J7291" s="24" t="n">
        <x:v>1</x:v>
      </x:c>
      <x:c r="K7291" s="26" t="n">
        <x:v>0</x:v>
      </x:c>
      <x:c r="L7291" s="22" t="n">
        <x:v>0.5519999999999996</x:v>
      </x:c>
      <x:c r="M7291" t="n">
        <x:v>2016</x:v>
      </x:c>
      <x:c r="N7291" s="20" t="n">
        <x:v>42522</x:v>
      </x:c>
    </x:row>
    <x:row r="7292" ht="18" customHeight="1">
      <x:c r="A7292" t="str">
        <x:v>CA-2016-149965</x:v>
      </x:c>
      <x:c r="B7292" s="18" t="n">
        <x:v>42541</x:v>
      </x:c>
      <x:c r="C7292" t="str">
        <x:v>BS-11365</x:v>
      </x:c>
      <x:c r="D7292" t="str">
        <x:v>Bill Shonely</x:v>
      </x:c>
      <x:c r="E7292" t="str">
        <x:v>Corporate</x:v>
      </x:c>
      <x:c r="F7292" t="str">
        <x:v>Central</x:v>
      </x:c>
      <x:c r="G7292" t="str">
        <x:v>Furniture</x:v>
      </x:c>
      <x:c r="H7292" t="str">
        <x:v>Furnishings</x:v>
      </x:c>
      <x:c r="I7292" s="22" t="n">
        <x:v>57.69</x:v>
      </x:c>
      <x:c r="J7292" s="24" t="n">
        <x:v>3</x:v>
      </x:c>
      <x:c r="K7292" s="26" t="n">
        <x:v>0</x:v>
      </x:c>
      <x:c r="L7292" s="22" t="n">
        <x:v>23.652900000000002</x:v>
      </x:c>
      <x:c r="M7292" t="n">
        <x:v>2016</x:v>
      </x:c>
      <x:c r="N7292" s="20" t="n">
        <x:v>42522</x:v>
      </x:c>
    </x:row>
    <x:row r="7293" ht="18" customHeight="1">
      <x:c r="A7293" t="str">
        <x:v>CA-2014-158281</x:v>
      </x:c>
      <x:c r="B7293" s="18" t="n">
        <x:v>41884</x:v>
      </x:c>
      <x:c r="C7293" t="str">
        <x:v>AG-10525</x:v>
      </x:c>
      <x:c r="D7293" t="str">
        <x:v>Andy Gerbode</x:v>
      </x:c>
      <x:c r="E7293" t="str">
        <x:v>Corporate</x:v>
      </x:c>
      <x:c r="F7293" t="str">
        <x:v>Central</x:v>
      </x:c>
      <x:c r="G7293" t="str">
        <x:v>Technology</x:v>
      </x:c>
      <x:c r="H7293" t="str">
        <x:v>Machines</x:v>
      </x:c>
      <x:c r="I7293" s="22" t="n">
        <x:v>559.71</x:v>
      </x:c>
      <x:c r="J7293" s="24" t="n">
        <x:v>3</x:v>
      </x:c>
      <x:c r="K7293" s="26" t="n">
        <x:v>0.4</x:v>
      </x:c>
      <x:c r="L7293" s="22" t="n">
        <x:v>-121.27049999999997</x:v>
      </x:c>
      <x:c r="M7293" t="n">
        <x:v>2014</x:v>
      </x:c>
      <x:c r="N7293" s="20" t="n">
        <x:v>41883</x:v>
      </x:c>
    </x:row>
    <x:row r="7294" ht="18" customHeight="1">
      <x:c r="A7294" t="str">
        <x:v>CA-2016-153661</x:v>
      </x:c>
      <x:c r="B7294" s="18" t="n">
        <x:v>42399</x:v>
      </x:c>
      <x:c r="C7294" t="str">
        <x:v>SC-20725</x:v>
      </x:c>
      <x:c r="D7294" t="str">
        <x:v>Steven Cartwright</x:v>
      </x:c>
      <x:c r="E7294" t="str">
        <x:v>Consumer</x:v>
      </x:c>
      <x:c r="F7294" t="str">
        <x:v>West</x:v>
      </x:c>
      <x:c r="G7294" t="str">
        <x:v>Office Supplies</x:v>
      </x:c>
      <x:c r="H7294" t="str">
        <x:v>Storage</x:v>
      </x:c>
      <x:c r="I7294" s="22" t="n">
        <x:v>305.01</x:v>
      </x:c>
      <x:c r="J7294" s="24" t="n">
        <x:v>9</x:v>
      </x:c>
      <x:c r="K7294" s="26" t="n">
        <x:v>0</x:v>
      </x:c>
      <x:c r="L7294" s="22" t="n">
        <x:v>76.2525</x:v>
      </x:c>
      <x:c r="M7294" t="n">
        <x:v>2016</x:v>
      </x:c>
      <x:c r="N7294" s="20" t="n">
        <x:v>42370</x:v>
      </x:c>
    </x:row>
    <x:row r="7295" ht="18" customHeight="1">
      <x:c r="A7295" t="str">
        <x:v>CA-2016-153661</x:v>
      </x:c>
      <x:c r="B7295" s="18" t="n">
        <x:v>42399</x:v>
      </x:c>
      <x:c r="C7295" t="str">
        <x:v>SC-20725</x:v>
      </x:c>
      <x:c r="D7295" t="str">
        <x:v>Steven Cartwright</x:v>
      </x:c>
      <x:c r="E7295" t="str">
        <x:v>Consumer</x:v>
      </x:c>
      <x:c r="F7295" t="str">
        <x:v>West</x:v>
      </x:c>
      <x:c r="G7295" t="str">
        <x:v>Office Supplies</x:v>
      </x:c>
      <x:c r="H7295" t="str">
        <x:v>Binders</x:v>
      </x:c>
      <x:c r="I7295" s="22" t="n">
        <x:v>50.784</x:v>
      </x:c>
      <x:c r="J7295" s="24" t="n">
        <x:v>2</x:v>
      </x:c>
      <x:c r="K7295" s="26" t="n">
        <x:v>0.2</x:v>
      </x:c>
      <x:c r="L7295" s="22" t="n">
        <x:v>17.7744</x:v>
      </x:c>
      <x:c r="M7295" t="n">
        <x:v>2016</x:v>
      </x:c>
      <x:c r="N7295" s="20" t="n">
        <x:v>42370</x:v>
      </x:c>
    </x:row>
    <x:row r="7296" ht="18" customHeight="1">
      <x:c r="A7296" t="str">
        <x:v>CA-2016-153661</x:v>
      </x:c>
      <x:c r="B7296" s="18" t="n">
        <x:v>42399</x:v>
      </x:c>
      <x:c r="C7296" t="str">
        <x:v>SC-20725</x:v>
      </x:c>
      <x:c r="D7296" t="str">
        <x:v>Steven Cartwright</x:v>
      </x:c>
      <x:c r="E7296" t="str">
        <x:v>Consumer</x:v>
      </x:c>
      <x:c r="F7296" t="str">
        <x:v>West</x:v>
      </x:c>
      <x:c r="G7296" t="str">
        <x:v>Office Supplies</x:v>
      </x:c>
      <x:c r="H7296" t="str">
        <x:v>Labels</x:v>
      </x:c>
      <x:c r="I7296" s="22" t="n">
        <x:v>26.01</x:v>
      </x:c>
      <x:c r="J7296" s="24" t="n">
        <x:v>9</x:v>
      </x:c>
      <x:c r="K7296" s="26" t="n">
        <x:v>0</x:v>
      </x:c>
      <x:c r="L7296" s="22" t="n">
        <x:v>12.2247</x:v>
      </x:c>
      <x:c r="M7296" t="n">
        <x:v>2016</x:v>
      </x:c>
      <x:c r="N7296" s="20" t="n">
        <x:v>42370</x:v>
      </x:c>
    </x:row>
    <x:row r="7297" ht="18" customHeight="1">
      <x:c r="A7297" t="str">
        <x:v>CA-2017-109183</x:v>
      </x:c>
      <x:c r="B7297" s="18" t="n">
        <x:v>43073</x:v>
      </x:c>
      <x:c r="C7297" t="str">
        <x:v>LR-16915</x:v>
      </x:c>
      <x:c r="D7297" t="str">
        <x:v>Lena Radford</x:v>
      </x:c>
      <x:c r="E7297" t="str">
        <x:v>Consumer</x:v>
      </x:c>
      <x:c r="F7297" t="str">
        <x:v>South</x:v>
      </x:c>
      <x:c r="G7297" t="str">
        <x:v>Technology</x:v>
      </x:c>
      <x:c r="H7297" t="str">
        <x:v>Machines</x:v>
      </x:c>
      <x:c r="I7297" s="22" t="n">
        <x:v>649</x:v>
      </x:c>
      <x:c r="J7297" s="24" t="n">
        <x:v>2</x:v>
      </x:c>
      <x:c r="K7297" s="26" t="n">
        <x:v>0.5</x:v>
      </x:c>
      <x:c r="L7297" s="22" t="n">
        <x:v>-272.58000000000015</x:v>
      </x:c>
      <x:c r="M7297" t="n">
        <x:v>2017</x:v>
      </x:c>
      <x:c r="N7297" s="20" t="n">
        <x:v>43070</x:v>
      </x:c>
    </x:row>
    <x:row r="7298" ht="18" customHeight="1">
      <x:c r="A7298" t="str">
        <x:v>CA-2016-113656</x:v>
      </x:c>
      <x:c r="B7298" s="18" t="n">
        <x:v>42392</x:v>
      </x:c>
      <x:c r="C7298" t="str">
        <x:v>CB-12415</x:v>
      </x:c>
      <x:c r="D7298" t="str">
        <x:v>Christy Brittain</x:v>
      </x:c>
      <x:c r="E7298" t="str">
        <x:v>Consumer</x:v>
      </x:c>
      <x:c r="F7298" t="str">
        <x:v>West</x:v>
      </x:c>
      <x:c r="G7298" t="str">
        <x:v>Furniture</x:v>
      </x:c>
      <x:c r="H7298" t="str">
        <x:v>Furnishings</x:v>
      </x:c>
      <x:c r="I7298" s="22" t="n">
        <x:v>59.99</x:v>
      </x:c>
      <x:c r="J7298" s="24" t="n">
        <x:v>7</x:v>
      </x:c>
      <x:c r="K7298" s="26" t="n">
        <x:v>0</x:v>
      </x:c>
      <x:c r="L7298" s="22" t="n">
        <x:v>21.596400000000003</x:v>
      </x:c>
      <x:c r="M7298" t="n">
        <x:v>2016</x:v>
      </x:c>
      <x:c r="N7298" s="20" t="n">
        <x:v>42370</x:v>
      </x:c>
    </x:row>
    <x:row r="7299" ht="18" customHeight="1">
      <x:c r="A7299" t="str">
        <x:v>CA-2015-148964</x:v>
      </x:c>
      <x:c r="B7299" s="18" t="n">
        <x:v>42150</x:v>
      </x:c>
      <x:c r="C7299" t="str">
        <x:v>RD-19900</x:v>
      </x:c>
      <x:c r="D7299" t="str">
        <x:v>Ruben Dartt</x:v>
      </x:c>
      <x:c r="E7299" t="str">
        <x:v>Consumer</x:v>
      </x:c>
      <x:c r="F7299" t="str">
        <x:v>West</x:v>
      </x:c>
      <x:c r="G7299" t="str">
        <x:v>Furniture</x:v>
      </x:c>
      <x:c r="H7299" t="str">
        <x:v>Furnishings</x:v>
      </x:c>
      <x:c r="I7299" s="22" t="n">
        <x:v>20.24</x:v>
      </x:c>
      <x:c r="J7299" s="24" t="n">
        <x:v>1</x:v>
      </x:c>
      <x:c r="K7299" s="26" t="n">
        <x:v>0</x:v>
      </x:c>
      <x:c r="L7299" s="22" t="n">
        <x:v>7.893599999999999</x:v>
      </x:c>
      <x:c r="M7299" t="n">
        <x:v>2015</x:v>
      </x:c>
      <x:c r="N7299" s="20" t="n">
        <x:v>42125</x:v>
      </x:c>
    </x:row>
    <x:row r="7300" ht="18" customHeight="1">
      <x:c r="A7300" t="str">
        <x:v>CA-2014-111899</x:v>
      </x:c>
      <x:c r="B7300" s="18" t="n">
        <x:v>41763</x:v>
      </x:c>
      <x:c r="C7300" t="str">
        <x:v>NC-18340</x:v>
      </x:c>
      <x:c r="D7300" t="str">
        <x:v>Nat Carroll</x:v>
      </x:c>
      <x:c r="E7300" t="str">
        <x:v>Consumer</x:v>
      </x:c>
      <x:c r="F7300" t="str">
        <x:v>Central</x:v>
      </x:c>
      <x:c r="G7300" t="str">
        <x:v>Office Supplies</x:v>
      </x:c>
      <x:c r="H7300" t="str">
        <x:v>Art</x:v>
      </x:c>
      <x:c r="I7300" s="22" t="n">
        <x:v>37.839999999999996</x:v>
      </x:c>
      <x:c r="J7300" s="24" t="n">
        <x:v>2</x:v>
      </x:c>
      <x:c r="K7300" s="26" t="n">
        <x:v>0.2</x:v>
      </x:c>
      <x:c r="L7300" s="22" t="n">
        <x:v>2.8380000000000027</x:v>
      </x:c>
      <x:c r="M7300" t="n">
        <x:v>2014</x:v>
      </x:c>
      <x:c r="N7300" s="20" t="n">
        <x:v>41760</x:v>
      </x:c>
    </x:row>
    <x:row r="7301" ht="18" customHeight="1">
      <x:c r="A7301" t="str">
        <x:v>CA-2014-111899</x:v>
      </x:c>
      <x:c r="B7301" s="18" t="n">
        <x:v>41763</x:v>
      </x:c>
      <x:c r="C7301" t="str">
        <x:v>NC-18340</x:v>
      </x:c>
      <x:c r="D7301" t="str">
        <x:v>Nat Carroll</x:v>
      </x:c>
      <x:c r="E7301" t="str">
        <x:v>Consumer</x:v>
      </x:c>
      <x:c r="F7301" t="str">
        <x:v>Central</x:v>
      </x:c>
      <x:c r="G7301" t="str">
        <x:v>Office Supplies</x:v>
      </x:c>
      <x:c r="H7301" t="str">
        <x:v>Fasteners</x:v>
      </x:c>
      <x:c r="I7301" s="22" t="n">
        <x:v>5.4719999999999995</x:v>
      </x:c>
      <x:c r="J7301" s="24" t="n">
        <x:v>6</x:v>
      </x:c>
      <x:c r="K7301" s="26" t="n">
        <x:v>0.2</x:v>
      </x:c>
      <x:c r="L7301" s="22" t="n">
        <x:v>1.8467999999999996</x:v>
      </x:c>
      <x:c r="M7301" t="n">
        <x:v>2014</x:v>
      </x:c>
      <x:c r="N7301" s="20" t="n">
        <x:v>41760</x:v>
      </x:c>
    </x:row>
    <x:row r="7302" ht="18" customHeight="1">
      <x:c r="A7302" t="str">
        <x:v>CA-2015-101126</x:v>
      </x:c>
      <x:c r="B7302" s="18" t="n">
        <x:v>42045</x:v>
      </x:c>
      <x:c r="C7302" t="str">
        <x:v>NB-18655</x:v>
      </x:c>
      <x:c r="D7302" t="str">
        <x:v>Nona Balk</x:v>
      </x:c>
      <x:c r="E7302" t="str">
        <x:v>Corporate</x:v>
      </x:c>
      <x:c r="F7302" t="str">
        <x:v>East</x:v>
      </x:c>
      <x:c r="G7302" t="str">
        <x:v>Office Supplies</x:v>
      </x:c>
      <x:c r="H7302" t="str">
        <x:v>Storage</x:v>
      </x:c>
      <x:c r="I7302" s="22" t="n">
        <x:v>77.24000000000001</x:v>
      </x:c>
      <x:c r="J7302" s="24" t="n">
        <x:v>5</x:v>
      </x:c>
      <x:c r="K7302" s="26" t="n">
        <x:v>0.2</x:v>
      </x:c>
      <x:c r="L7302" s="22" t="n">
        <x:v>7.724</x:v>
      </x:c>
      <x:c r="M7302" t="n">
        <x:v>2015</x:v>
      </x:c>
      <x:c r="N7302" s="20" t="n">
        <x:v>42036</x:v>
      </x:c>
    </x:row>
    <x:row r="7303" ht="18" customHeight="1">
      <x:c r="A7303" t="str">
        <x:v>CA-2014-163468</x:v>
      </x:c>
      <x:c r="B7303" s="18" t="n">
        <x:v>41961</x:v>
      </x:c>
      <x:c r="C7303" t="str">
        <x:v>JK-15730</x:v>
      </x:c>
      <x:c r="D7303" t="str">
        <x:v>Joe Kamberova</x:v>
      </x:c>
      <x:c r="E7303" t="str">
        <x:v>Consumer</x:v>
      </x:c>
      <x:c r="F7303" t="str">
        <x:v>Central</x:v>
      </x:c>
      <x:c r="G7303" t="str">
        <x:v>Furniture</x:v>
      </x:c>
      <x:c r="H7303" t="str">
        <x:v>Tables</x:v>
      </x:c>
      <x:c r="I7303" s="22" t="n">
        <x:v>292.1</x:v>
      </x:c>
      <x:c r="J7303" s="24" t="n">
        <x:v>4</x:v>
      </x:c>
      <x:c r="K7303" s="26" t="n">
        <x:v>0.5</x:v>
      </x:c>
      <x:c r="L7303" s="22" t="n">
        <x:v>-175.26000000000005</x:v>
      </x:c>
      <x:c r="M7303" t="n">
        <x:v>2014</x:v>
      </x:c>
      <x:c r="N7303" s="20" t="n">
        <x:v>41944</x:v>
      </x:c>
    </x:row>
    <x:row r="7304" ht="18" customHeight="1">
      <x:c r="A7304" t="str">
        <x:v>CA-2014-163468</x:v>
      </x:c>
      <x:c r="B7304" s="18" t="n">
        <x:v>41961</x:v>
      </x:c>
      <x:c r="C7304" t="str">
        <x:v>JK-15730</x:v>
      </x:c>
      <x:c r="D7304" t="str">
        <x:v>Joe Kamberova</x:v>
      </x:c>
      <x:c r="E7304" t="str">
        <x:v>Consumer</x:v>
      </x:c>
      <x:c r="F7304" t="str">
        <x:v>Central</x:v>
      </x:c>
      <x:c r="G7304" t="str">
        <x:v>Furniture</x:v>
      </x:c>
      <x:c r="H7304" t="str">
        <x:v>Furnishings</x:v>
      </x:c>
      <x:c r="I7304" s="22" t="n">
        <x:v>8.544</x:v>
      </x:c>
      <x:c r="J7304" s="24" t="n">
        <x:v>2</x:v>
      </x:c>
      <x:c r="K7304" s="26" t="n">
        <x:v>0.6</x:v>
      </x:c>
      <x:c r="L7304" s="22" t="n">
        <x:v>-7.475999999999999</x:v>
      </x:c>
      <x:c r="M7304" t="n">
        <x:v>2014</x:v>
      </x:c>
      <x:c r="N7304" s="20" t="n">
        <x:v>41944</x:v>
      </x:c>
    </x:row>
    <x:row r="7305" ht="18" customHeight="1">
      <x:c r="A7305" t="str">
        <x:v>CA-2014-163468</x:v>
      </x:c>
      <x:c r="B7305" s="18" t="n">
        <x:v>41961</x:v>
      </x:c>
      <x:c r="C7305" t="str">
        <x:v>JK-15730</x:v>
      </x:c>
      <x:c r="D7305" t="str">
        <x:v>Joe Kamberova</x:v>
      </x:c>
      <x:c r="E7305" t="str">
        <x:v>Consumer</x:v>
      </x:c>
      <x:c r="F7305" t="str">
        <x:v>Central</x:v>
      </x:c>
      <x:c r="G7305" t="str">
        <x:v>Furniture</x:v>
      </x:c>
      <x:c r="H7305" t="str">
        <x:v>Bookcases</x:v>
      </x:c>
      <x:c r="I7305" s="22" t="n">
        <x:v>424.116</x:v>
      </x:c>
      <x:c r="J7305" s="24" t="n">
        <x:v>6</x:v>
      </x:c>
      <x:c r="K7305" s="26" t="n">
        <x:v>0.3</x:v>
      </x:c>
      <x:c r="L7305" s="22" t="n">
        <x:v>-30.293999999999983</x:v>
      </x:c>
      <x:c r="M7305" t="n">
        <x:v>2014</x:v>
      </x:c>
      <x:c r="N7305" s="20" t="n">
        <x:v>41944</x:v>
      </x:c>
    </x:row>
    <x:row r="7306" ht="18" customHeight="1">
      <x:c r="A7306" t="str">
        <x:v>CA-2014-163468</x:v>
      </x:c>
      <x:c r="B7306" s="18" t="n">
        <x:v>41961</x:v>
      </x:c>
      <x:c r="C7306" t="str">
        <x:v>JK-15730</x:v>
      </x:c>
      <x:c r="D7306" t="str">
        <x:v>Joe Kamberova</x:v>
      </x:c>
      <x:c r="E7306" t="str">
        <x:v>Consumer</x:v>
      </x:c>
      <x:c r="F7306" t="str">
        <x:v>Central</x:v>
      </x:c>
      <x:c r="G7306" t="str">
        <x:v>Office Supplies</x:v>
      </x:c>
      <x:c r="H7306" t="str">
        <x:v>Binders</x:v>
      </x:c>
      <x:c r="I7306" s="22" t="n">
        <x:v>2.8919999999999995</x:v>
      </x:c>
      <x:c r="J7306" s="24" t="n">
        <x:v>3</x:v>
      </x:c>
      <x:c r="K7306" s="26" t="n">
        <x:v>0.8</x:v>
      </x:c>
      <x:c r="L7306" s="22" t="n">
        <x:v>-4.916400000000001</x:v>
      </x:c>
      <x:c r="M7306" t="n">
        <x:v>2014</x:v>
      </x:c>
      <x:c r="N7306" s="20" t="n">
        <x:v>41944</x:v>
      </x:c>
    </x:row>
    <x:row r="7307" ht="18" customHeight="1">
      <x:c r="A7307" t="str">
        <x:v>CA-2014-163468</x:v>
      </x:c>
      <x:c r="B7307" s="18" t="n">
        <x:v>41961</x:v>
      </x:c>
      <x:c r="C7307" t="str">
        <x:v>JK-15730</x:v>
      </x:c>
      <x:c r="D7307" t="str">
        <x:v>Joe Kamberova</x:v>
      </x:c>
      <x:c r="E7307" t="str">
        <x:v>Consumer</x:v>
      </x:c>
      <x:c r="F7307" t="str">
        <x:v>Central</x:v>
      </x:c>
      <x:c r="G7307" t="str">
        <x:v>Office Supplies</x:v>
      </x:c>
      <x:c r="H7307" t="str">
        <x:v>Storage</x:v>
      </x:c>
      <x:c r="I7307" s="22" t="n">
        <x:v>381.72</x:v>
      </x:c>
      <x:c r="J7307" s="24" t="n">
        <x:v>5</x:v>
      </x:c>
      <x:c r="K7307" s="26" t="n">
        <x:v>0.2</x:v>
      </x:c>
      <x:c r="L7307" s="22" t="n">
        <x:v>-66.80100000000004</x:v>
      </x:c>
      <x:c r="M7307" t="n">
        <x:v>2014</x:v>
      </x:c>
      <x:c r="N7307" s="20" t="n">
        <x:v>41944</x:v>
      </x:c>
    </x:row>
    <x:row r="7308" ht="18" customHeight="1">
      <x:c r="A7308" t="str">
        <x:v>US-2017-117450</x:v>
      </x:c>
      <x:c r="B7308" s="18" t="n">
        <x:v>42982</x:v>
      </x:c>
      <x:c r="C7308" t="str">
        <x:v>DO-13645</x:v>
      </x:c>
      <x:c r="D7308" t="str">
        <x:v>Doug O'Connell</x:v>
      </x:c>
      <x:c r="E7308" t="str">
        <x:v>Consumer</x:v>
      </x:c>
      <x:c r="F7308" t="str">
        <x:v>South</x:v>
      </x:c>
      <x:c r="G7308" t="str">
        <x:v>Furniture</x:v>
      </x:c>
      <x:c r="H7308" t="str">
        <x:v>Chairs</x:v>
      </x:c>
      <x:c r="I7308" s="22" t="n">
        <x:v>97.18400000000001</x:v>
      </x:c>
      <x:c r="J7308" s="24" t="n">
        <x:v>2</x:v>
      </x:c>
      <x:c r="K7308" s="26" t="n">
        <x:v>0.2</x:v>
      </x:c>
      <x:c r="L7308" s="22" t="n">
        <x:v>6.074000000000002</x:v>
      </x:c>
      <x:c r="M7308" t="n">
        <x:v>2017</x:v>
      </x:c>
      <x:c r="N7308" s="20" t="n">
        <x:v>42979</x:v>
      </x:c>
    </x:row>
    <x:row r="7309" ht="18" customHeight="1">
      <x:c r="A7309" t="str">
        <x:v>US-2017-117450</x:v>
      </x:c>
      <x:c r="B7309" s="18" t="n">
        <x:v>42982</x:v>
      </x:c>
      <x:c r="C7309" t="str">
        <x:v>DO-13645</x:v>
      </x:c>
      <x:c r="D7309" t="str">
        <x:v>Doug O'Connell</x:v>
      </x:c>
      <x:c r="E7309" t="str">
        <x:v>Consumer</x:v>
      </x:c>
      <x:c r="F7309" t="str">
        <x:v>South</x:v>
      </x:c>
      <x:c r="G7309" t="str">
        <x:v>Office Supplies</x:v>
      </x:c>
      <x:c r="H7309" t="str">
        <x:v>Paper</x:v>
      </x:c>
      <x:c r="I7309" s="22" t="n">
        <x:v>10.368000000000002</x:v>
      </x:c>
      <x:c r="J7309" s="24" t="n">
        <x:v>2</x:v>
      </x:c>
      <x:c r="K7309" s="26" t="n">
        <x:v>0.2</x:v>
      </x:c>
      <x:c r="L7309" s="22" t="n">
        <x:v>3.6288</x:v>
      </x:c>
      <x:c r="M7309" t="n">
        <x:v>2017</x:v>
      </x:c>
      <x:c r="N7309" s="20" t="n">
        <x:v>42979</x:v>
      </x:c>
    </x:row>
    <x:row r="7310" ht="18" customHeight="1">
      <x:c r="A7310" t="str">
        <x:v>CA-2014-137274</x:v>
      </x:c>
      <x:c r="B7310" s="18" t="n">
        <x:v>41727</x:v>
      </x:c>
      <x:c r="C7310" t="str">
        <x:v>MG-18145</x:v>
      </x:c>
      <x:c r="D7310" t="str">
        <x:v>Mike Gockenbach</x:v>
      </x:c>
      <x:c r="E7310" t="str">
        <x:v>Consumer</x:v>
      </x:c>
      <x:c r="F7310" t="str">
        <x:v>Central</x:v>
      </x:c>
      <x:c r="G7310" t="str">
        <x:v>Furniture</x:v>
      </x:c>
      <x:c r="H7310" t="str">
        <x:v>Tables</x:v>
      </x:c>
      <x:c r="I7310" s="22" t="n">
        <x:v>890.8409999999999</x:v>
      </x:c>
      <x:c r="J7310" s="24" t="n">
        <x:v>3</x:v>
      </x:c>
      <x:c r="K7310" s="26" t="n">
        <x:v>0.3</x:v>
      </x:c>
      <x:c r="L7310" s="22" t="n">
        <x:v>-152.7156</x:v>
      </x:c>
      <x:c r="M7310" t="n">
        <x:v>2014</x:v>
      </x:c>
      <x:c r="N7310" s="20" t="n">
        <x:v>41699</x:v>
      </x:c>
    </x:row>
    <x:row r="7311" ht="18" customHeight="1">
      <x:c r="A7311" t="str">
        <x:v>CA-2016-144092</x:v>
      </x:c>
      <x:c r="B7311" s="18" t="n">
        <x:v>42679</x:v>
      </x:c>
      <x:c r="C7311" t="str">
        <x:v>LH-17155</x:v>
      </x:c>
      <x:c r="D7311" t="str">
        <x:v>Logan Haushalter</x:v>
      </x:c>
      <x:c r="E7311" t="str">
        <x:v>Consumer</x:v>
      </x:c>
      <x:c r="F7311" t="str">
        <x:v>West</x:v>
      </x:c>
      <x:c r="G7311" t="str">
        <x:v>Technology</x:v>
      </x:c>
      <x:c r="H7311" t="str">
        <x:v>Accessories</x:v>
      </x:c>
      <x:c r="I7311" s="22" t="n">
        <x:v>72</x:v>
      </x:c>
      <x:c r="J7311" s="24" t="n">
        <x:v>4</x:v>
      </x:c>
      <x:c r="K7311" s="26" t="n">
        <x:v>0</x:v>
      </x:c>
      <x:c r="L7311" s="22" t="n">
        <x:v>12.959999999999994</x:v>
      </x:c>
      <x:c r="M7311" t="n">
        <x:v>2016</x:v>
      </x:c>
      <x:c r="N7311" s="20" t="n">
        <x:v>42675</x:v>
      </x:c>
    </x:row>
    <x:row r="7312" ht="18" customHeight="1">
      <x:c r="A7312" t="str">
        <x:v>CA-2016-144092</x:v>
      </x:c>
      <x:c r="B7312" s="18" t="n">
        <x:v>42679</x:v>
      </x:c>
      <x:c r="C7312" t="str">
        <x:v>LH-17155</x:v>
      </x:c>
      <x:c r="D7312" t="str">
        <x:v>Logan Haushalter</x:v>
      </x:c>
      <x:c r="E7312" t="str">
        <x:v>Consumer</x:v>
      </x:c>
      <x:c r="F7312" t="str">
        <x:v>West</x:v>
      </x:c>
      <x:c r="G7312" t="str">
        <x:v>Furniture</x:v>
      </x:c>
      <x:c r="H7312" t="str">
        <x:v>Chairs</x:v>
      </x:c>
      <x:c r="I7312" s="22" t="n">
        <x:v>113.88800000000002</x:v>
      </x:c>
      <x:c r="J7312" s="24" t="n">
        <x:v>2</x:v>
      </x:c>
      <x:c r="K7312" s="26" t="n">
        <x:v>0.2</x:v>
      </x:c>
      <x:c r="L7312" s="22" t="n">
        <x:v>9.9652</x:v>
      </x:c>
      <x:c r="M7312" t="n">
        <x:v>2016</x:v>
      </x:c>
      <x:c r="N7312" s="20" t="n">
        <x:v>42675</x:v>
      </x:c>
    </x:row>
    <x:row r="7313" ht="18" customHeight="1">
      <x:c r="A7313" t="str">
        <x:v>CA-2016-144092</x:v>
      </x:c>
      <x:c r="B7313" s="18" t="n">
        <x:v>42679</x:v>
      </x:c>
      <x:c r="C7313" t="str">
        <x:v>LH-17155</x:v>
      </x:c>
      <x:c r="D7313" t="str">
        <x:v>Logan Haushalter</x:v>
      </x:c>
      <x:c r="E7313" t="str">
        <x:v>Consumer</x:v>
      </x:c>
      <x:c r="F7313" t="str">
        <x:v>West</x:v>
      </x:c>
      <x:c r="G7313" t="str">
        <x:v>Office Supplies</x:v>
      </x:c>
      <x:c r="H7313" t="str">
        <x:v>Envelopes</x:v>
      </x:c>
      <x:c r="I7313" s="22" t="n">
        <x:v>158.13</x:v>
      </x:c>
      <x:c r="J7313" s="24" t="n">
        <x:v>3</x:v>
      </x:c>
      <x:c r="K7313" s="26" t="n">
        <x:v>0</x:v>
      </x:c>
      <x:c r="L7313" s="22" t="n">
        <x:v>77.4837</x:v>
      </x:c>
      <x:c r="M7313" t="n">
        <x:v>2016</x:v>
      </x:c>
      <x:c r="N7313" s="20" t="n">
        <x:v>42675</x:v>
      </x:c>
    </x:row>
    <x:row r="7314" ht="18" customHeight="1">
      <x:c r="A7314" t="str">
        <x:v>CA-2017-112172</x:v>
      </x:c>
      <x:c r="B7314" s="18" t="n">
        <x:v>42896</x:v>
      </x:c>
      <x:c r="C7314" t="str">
        <x:v>MM-18280</x:v>
      </x:c>
      <x:c r="D7314" t="str">
        <x:v>Muhammed MacIntyre</x:v>
      </x:c>
      <x:c r="E7314" t="str">
        <x:v>Corporate</x:v>
      </x:c>
      <x:c r="F7314" t="str">
        <x:v>East</x:v>
      </x:c>
      <x:c r="G7314" t="str">
        <x:v>Office Supplies</x:v>
      </x:c>
      <x:c r="H7314" t="str">
        <x:v>Fasteners</x:v>
      </x:c>
      <x:c r="I7314" s="22" t="n">
        <x:v>14.129999999999999</x:v>
      </x:c>
      <x:c r="J7314" s="24" t="n">
        <x:v>3</x:v>
      </x:c>
      <x:c r="K7314" s="26" t="n">
        <x:v>0</x:v>
      </x:c>
      <x:c r="L7314" s="22" t="n">
        <x:v>0.7065000000000001</x:v>
      </x:c>
      <x:c r="M7314" t="n">
        <x:v>2017</x:v>
      </x:c>
      <x:c r="N7314" s="20" t="n">
        <x:v>42887</x:v>
      </x:c>
    </x:row>
    <x:row r="7315" ht="18" customHeight="1">
      <x:c r="A7315" t="str">
        <x:v>CA-2015-121699</x:v>
      </x:c>
      <x:c r="B7315" s="18" t="n">
        <x:v>42226</x:v>
      </x:c>
      <x:c r="C7315" t="str">
        <x:v>BD-11320</x:v>
      </x:c>
      <x:c r="D7315" t="str">
        <x:v>Bill Donatelli</x:v>
      </x:c>
      <x:c r="E7315" t="str">
        <x:v>Consumer</x:v>
      </x:c>
      <x:c r="F7315" t="str">
        <x:v>Central</x:v>
      </x:c>
      <x:c r="G7315" t="str">
        <x:v>Office Supplies</x:v>
      </x:c>
      <x:c r="H7315" t="str">
        <x:v>Binders</x:v>
      </x:c>
      <x:c r="I7315" s="22" t="n">
        <x:v>64.75</x:v>
      </x:c>
      <x:c r="J7315" s="24" t="n">
        <x:v>5</x:v>
      </x:c>
      <x:c r="K7315" s="26" t="n">
        <x:v>0</x:v>
      </x:c>
      <x:c r="L7315" s="22" t="n">
        <x:v>29.137499999999996</x:v>
      </x:c>
      <x:c r="M7315" t="n">
        <x:v>2015</x:v>
      </x:c>
      <x:c r="N7315" s="20" t="n">
        <x:v>42217</x:v>
      </x:c>
    </x:row>
    <x:row r="7316" ht="18" customHeight="1">
      <x:c r="A7316" t="str">
        <x:v>CA-2015-162761</x:v>
      </x:c>
      <x:c r="B7316" s="18" t="n">
        <x:v>42286</x:v>
      </x:c>
      <x:c r="C7316" t="str">
        <x:v>SC-20575</x:v>
      </x:c>
      <x:c r="D7316" t="str">
        <x:v>Sonia Cooley</x:v>
      </x:c>
      <x:c r="E7316" t="str">
        <x:v>Consumer</x:v>
      </x:c>
      <x:c r="F7316" t="str">
        <x:v>South</x:v>
      </x:c>
      <x:c r="G7316" t="str">
        <x:v>Office Supplies</x:v>
      </x:c>
      <x:c r="H7316" t="str">
        <x:v>Binders</x:v>
      </x:c>
      <x:c r="I7316" s="22" t="n">
        <x:v>1.8720000000000003</x:v>
      </x:c>
      <x:c r="J7316" s="24" t="n">
        <x:v>2</x:v>
      </x:c>
      <x:c r="K7316" s="26" t="n">
        <x:v>0.7</x:v>
      </x:c>
      <x:c r="L7316" s="22" t="n">
        <x:v>-1.3103999999999996</x:v>
      </x:c>
      <x:c r="M7316" t="n">
        <x:v>2015</x:v>
      </x:c>
      <x:c r="N7316" s="20" t="n">
        <x:v>42278</x:v>
      </x:c>
    </x:row>
    <x:row r="7317" ht="18" customHeight="1">
      <x:c r="A7317" t="str">
        <x:v>CA-2015-162761</x:v>
      </x:c>
      <x:c r="B7317" s="18" t="n">
        <x:v>42286</x:v>
      </x:c>
      <x:c r="C7317" t="str">
        <x:v>SC-20575</x:v>
      </x:c>
      <x:c r="D7317" t="str">
        <x:v>Sonia Cooley</x:v>
      </x:c>
      <x:c r="E7317" t="str">
        <x:v>Consumer</x:v>
      </x:c>
      <x:c r="F7317" t="str">
        <x:v>South</x:v>
      </x:c>
      <x:c r="G7317" t="str">
        <x:v>Office Supplies</x:v>
      </x:c>
      <x:c r="H7317" t="str">
        <x:v>Binders</x:v>
      </x:c>
      <x:c r="I7317" s="22" t="n">
        <x:v>11.214000000000002</x:v>
      </x:c>
      <x:c r="J7317" s="24" t="n">
        <x:v>2</x:v>
      </x:c>
      <x:c r="K7317" s="26" t="n">
        <x:v>0.7</x:v>
      </x:c>
      <x:c r="L7317" s="22" t="n">
        <x:v>-8.5974</x:v>
      </x:c>
      <x:c r="M7317" t="n">
        <x:v>2015</x:v>
      </x:c>
      <x:c r="N7317" s="20" t="n">
        <x:v>42278</x:v>
      </x:c>
    </x:row>
    <x:row r="7318" ht="18" customHeight="1">
      <x:c r="A7318" t="str">
        <x:v>CA-2015-162761</x:v>
      </x:c>
      <x:c r="B7318" s="18" t="n">
        <x:v>42286</x:v>
      </x:c>
      <x:c r="C7318" t="str">
        <x:v>SC-20575</x:v>
      </x:c>
      <x:c r="D7318" t="str">
        <x:v>Sonia Cooley</x:v>
      </x:c>
      <x:c r="E7318" t="str">
        <x:v>Consumer</x:v>
      </x:c>
      <x:c r="F7318" t="str">
        <x:v>South</x:v>
      </x:c>
      <x:c r="G7318" t="str">
        <x:v>Office Supplies</x:v>
      </x:c>
      <x:c r="H7318" t="str">
        <x:v>Art</x:v>
      </x:c>
      <x:c r="I7318" s="22" t="n">
        <x:v>37.376</x:v>
      </x:c>
      <x:c r="J7318" s="24" t="n">
        <x:v>8</x:v>
      </x:c>
      <x:c r="K7318" s="26" t="n">
        <x:v>0.2</x:v>
      </x:c>
      <x:c r="L7318" s="22" t="n">
        <x:v>7.475199999999999</x:v>
      </x:c>
      <x:c r="M7318" t="n">
        <x:v>2015</x:v>
      </x:c>
      <x:c r="N7318" s="20" t="n">
        <x:v>42278</x:v>
      </x:c>
    </x:row>
    <x:row r="7319" ht="18" customHeight="1">
      <x:c r="A7319" t="str">
        <x:v>CA-2016-121377</x:v>
      </x:c>
      <x:c r="B7319" s="18" t="n">
        <x:v>42518</x:v>
      </x:c>
      <x:c r="C7319" t="str">
        <x:v>TN-21040</x:v>
      </x:c>
      <x:c r="D7319" t="str">
        <x:v>Tanja Norvell</x:v>
      </x:c>
      <x:c r="E7319" t="str">
        <x:v>Home Office</x:v>
      </x:c>
      <x:c r="F7319" t="str">
        <x:v>Central</x:v>
      </x:c>
      <x:c r="G7319" t="str">
        <x:v>Technology</x:v>
      </x:c>
      <x:c r="H7319" t="str">
        <x:v>Phones</x:v>
      </x:c>
      <x:c r="I7319" s="22" t="n">
        <x:v>286.40000000000003</x:v>
      </x:c>
      <x:c r="J7319" s="24" t="n">
        <x:v>1</x:v>
      </x:c>
      <x:c r="K7319" s="26" t="n">
        <x:v>0.2</x:v>
      </x:c>
      <x:c r="L7319" s="22" t="n">
        <x:v>25.060000000000016</x:v>
      </x:c>
      <x:c r="M7319" t="n">
        <x:v>2016</x:v>
      </x:c>
      <x:c r="N7319" s="20" t="n">
        <x:v>42491</x:v>
      </x:c>
    </x:row>
    <x:row r="7320" ht="18" customHeight="1">
      <x:c r="A7320" t="str">
        <x:v>CA-2017-115322</x:v>
      </x:c>
      <x:c r="B7320" s="18" t="n">
        <x:v>42866</x:v>
      </x:c>
      <x:c r="C7320" t="str">
        <x:v>ZC-21910</x:v>
      </x:c>
      <x:c r="D7320" t="str">
        <x:v>Zuschuss Carroll</x:v>
      </x:c>
      <x:c r="E7320" t="str">
        <x:v>Consumer</x:v>
      </x:c>
      <x:c r="F7320" t="str">
        <x:v>East</x:v>
      </x:c>
      <x:c r="G7320" t="str">
        <x:v>Office Supplies</x:v>
      </x:c>
      <x:c r="H7320" t="str">
        <x:v>Art</x:v>
      </x:c>
      <x:c r="I7320" s="22" t="n">
        <x:v>43.92</x:v>
      </x:c>
      <x:c r="J7320" s="24" t="n">
        <x:v>3</x:v>
      </x:c>
      <x:c r="K7320" s="26" t="n">
        <x:v>0</x:v>
      </x:c>
      <x:c r="L7320" s="22" t="n">
        <x:v>12.736799999999999</x:v>
      </x:c>
      <x:c r="M7320" t="n">
        <x:v>2017</x:v>
      </x:c>
      <x:c r="N7320" s="20" t="n">
        <x:v>42856</x:v>
      </x:c>
    </x:row>
    <x:row r="7321" ht="18" customHeight="1">
      <x:c r="A7321" t="str">
        <x:v>CA-2016-132066</x:v>
      </x:c>
      <x:c r="B7321" s="18" t="n">
        <x:v>42659</x:v>
      </x:c>
      <x:c r="C7321" t="str">
        <x:v>NB-18655</x:v>
      </x:c>
      <x:c r="D7321" t="str">
        <x:v>Nona Balk</x:v>
      </x:c>
      <x:c r="E7321" t="str">
        <x:v>Corporate</x:v>
      </x:c>
      <x:c r="F7321" t="str">
        <x:v>East</x:v>
      </x:c>
      <x:c r="G7321" t="str">
        <x:v>Furniture</x:v>
      </x:c>
      <x:c r="H7321" t="str">
        <x:v>Tables</x:v>
      </x:c>
      <x:c r="I7321" s="22" t="n">
        <x:v>142.182</x:v>
      </x:c>
      <x:c r="J7321" s="24" t="n">
        <x:v>1</x:v>
      </x:c>
      <x:c r="K7321" s="26" t="n">
        <x:v>0.4</x:v>
      </x:c>
      <x:c r="L7321" s="22" t="n">
        <x:v>-37.91520000000003</x:v>
      </x:c>
      <x:c r="M7321" t="n">
        <x:v>2016</x:v>
      </x:c>
      <x:c r="N7321" s="20" t="n">
        <x:v>42644</x:v>
      </x:c>
    </x:row>
    <x:row r="7322" ht="18" customHeight="1">
      <x:c r="A7322" t="str">
        <x:v>CA-2017-158120</x:v>
      </x:c>
      <x:c r="B7322" s="18" t="n">
        <x:v>43056</x:v>
      </x:c>
      <x:c r="C7322" t="str">
        <x:v>KH-16330</x:v>
      </x:c>
      <x:c r="D7322" t="str">
        <x:v>Katharine Harms</x:v>
      </x:c>
      <x:c r="E7322" t="str">
        <x:v>Corporate</x:v>
      </x:c>
      <x:c r="F7322" t="str">
        <x:v>West</x:v>
      </x:c>
      <x:c r="G7322" t="str">
        <x:v>Office Supplies</x:v>
      </x:c>
      <x:c r="H7322" t="str">
        <x:v>Paper</x:v>
      </x:c>
      <x:c r="I7322" s="22" t="n">
        <x:v>19.608</x:v>
      </x:c>
      <x:c r="J7322" s="24" t="n">
        <x:v>3</x:v>
      </x:c>
      <x:c r="K7322" s="26" t="n">
        <x:v>0.2</x:v>
      </x:c>
      <x:c r="L7322" s="22" t="n">
        <x:v>6.6177</x:v>
      </x:c>
      <x:c r="M7322" t="n">
        <x:v>2017</x:v>
      </x:c>
      <x:c r="N7322" s="20" t="n">
        <x:v>43040</x:v>
      </x:c>
    </x:row>
    <x:row r="7323" ht="18" customHeight="1">
      <x:c r="A7323" t="str">
        <x:v>CA-2017-158120</x:v>
      </x:c>
      <x:c r="B7323" s="18" t="n">
        <x:v>43056</x:v>
      </x:c>
      <x:c r="C7323" t="str">
        <x:v>KH-16330</x:v>
      </x:c>
      <x:c r="D7323" t="str">
        <x:v>Katharine Harms</x:v>
      </x:c>
      <x:c r="E7323" t="str">
        <x:v>Corporate</x:v>
      </x:c>
      <x:c r="F7323" t="str">
        <x:v>West</x:v>
      </x:c>
      <x:c r="G7323" t="str">
        <x:v>Office Supplies</x:v>
      </x:c>
      <x:c r="H7323" t="str">
        <x:v>Binders</x:v>
      </x:c>
      <x:c r="I7323" s="22" t="n">
        <x:v>4.158</x:v>
      </x:c>
      <x:c r="J7323" s="24" t="n">
        <x:v>7</x:v>
      </x:c>
      <x:c r="K7323" s="26" t="n">
        <x:v>0.7</x:v>
      </x:c>
      <x:c r="L7323" s="22" t="n">
        <x:v>-3.465</x:v>
      </x:c>
      <x:c r="M7323" t="n">
        <x:v>2017</x:v>
      </x:c>
      <x:c r="N7323" s="20" t="n">
        <x:v>43040</x:v>
      </x:c>
    </x:row>
    <x:row r="7324" ht="18" customHeight="1">
      <x:c r="A7324" t="str">
        <x:v>CA-2017-100097</x:v>
      </x:c>
      <x:c r="B7324" s="18" t="n">
        <x:v>43065</x:v>
      </x:c>
      <x:c r="C7324" t="str">
        <x:v>MN-17935</x:v>
      </x:c>
      <x:c r="D7324" t="str">
        <x:v>Michael Nguyen</x:v>
      </x:c>
      <x:c r="E7324" t="str">
        <x:v>Consumer</x:v>
      </x:c>
      <x:c r="F7324" t="str">
        <x:v>East</x:v>
      </x:c>
      <x:c r="G7324" t="str">
        <x:v>Technology</x:v>
      </x:c>
      <x:c r="H7324" t="str">
        <x:v>Phones</x:v>
      </x:c>
      <x:c r="I7324" s="22" t="n">
        <x:v>979.95</x:v>
      </x:c>
      <x:c r="J7324" s="24" t="n">
        <x:v>5</x:v>
      </x:c>
      <x:c r="K7324" s="26" t="n">
        <x:v>0</x:v>
      </x:c>
      <x:c r="L7324" s="22" t="n">
        <x:v>264.58650000000006</x:v>
      </x:c>
      <x:c r="M7324" t="n">
        <x:v>2017</x:v>
      </x:c>
      <x:c r="N7324" s="20" t="n">
        <x:v>43040</x:v>
      </x:c>
    </x:row>
    <x:row r="7325" ht="18" customHeight="1">
      <x:c r="A7325" t="str">
        <x:v>CA-2017-100097</x:v>
      </x:c>
      <x:c r="B7325" s="18" t="n">
        <x:v>43065</x:v>
      </x:c>
      <x:c r="C7325" t="str">
        <x:v>MN-17935</x:v>
      </x:c>
      <x:c r="D7325" t="str">
        <x:v>Michael Nguyen</x:v>
      </x:c>
      <x:c r="E7325" t="str">
        <x:v>Consumer</x:v>
      </x:c>
      <x:c r="F7325" t="str">
        <x:v>East</x:v>
      </x:c>
      <x:c r="G7325" t="str">
        <x:v>Furniture</x:v>
      </x:c>
      <x:c r="H7325" t="str">
        <x:v>Furnishings</x:v>
      </x:c>
      <x:c r="I7325" s="22" t="n">
        <x:v>135.29999999999998</x:v>
      </x:c>
      <x:c r="J7325" s="24" t="n">
        <x:v>5</x:v>
      </x:c>
      <x:c r="K7325" s="26" t="n">
        <x:v>0</x:v>
      </x:c>
      <x:c r="L7325" s="22" t="n">
        <x:v>37.88399999999999</x:v>
      </x:c>
      <x:c r="M7325" t="n">
        <x:v>2017</x:v>
      </x:c>
      <x:c r="N7325" s="20" t="n">
        <x:v>43040</x:v>
      </x:c>
    </x:row>
    <x:row r="7326" ht="18" customHeight="1">
      <x:c r="A7326" t="str">
        <x:v>CA-2017-167626</x:v>
      </x:c>
      <x:c r="B7326" s="18" t="n">
        <x:v>42981</x:v>
      </x:c>
      <x:c r="C7326" t="str">
        <x:v>MY-18295</x:v>
      </x:c>
      <x:c r="D7326" t="str">
        <x:v>Muhammed Yedwab</x:v>
      </x:c>
      <x:c r="E7326" t="str">
        <x:v>Corporate</x:v>
      </x:c>
      <x:c r="F7326" t="str">
        <x:v>Central</x:v>
      </x:c>
      <x:c r="G7326" t="str">
        <x:v>Office Supplies</x:v>
      </x:c>
      <x:c r="H7326" t="str">
        <x:v>Paper</x:v>
      </x:c>
      <x:c r="I7326" s="22" t="n">
        <x:v>8.904</x:v>
      </x:c>
      <x:c r="J7326" s="24" t="n">
        <x:v>3</x:v>
      </x:c>
      <x:c r="K7326" s="26" t="n">
        <x:v>0.2</x:v>
      </x:c>
      <x:c r="L7326" s="22" t="n">
        <x:v>3.3389999999999995</x:v>
      </x:c>
      <x:c r="M7326" t="n">
        <x:v>2017</x:v>
      </x:c>
      <x:c r="N7326" s="20" t="n">
        <x:v>42979</x:v>
      </x:c>
    </x:row>
    <x:row r="7327" ht="18" customHeight="1">
      <x:c r="A7327" t="str">
        <x:v>CA-2017-167626</x:v>
      </x:c>
      <x:c r="B7327" s="18" t="n">
        <x:v>42981</x:v>
      </x:c>
      <x:c r="C7327" t="str">
        <x:v>MY-18295</x:v>
      </x:c>
      <x:c r="D7327" t="str">
        <x:v>Muhammed Yedwab</x:v>
      </x:c>
      <x:c r="E7327" t="str">
        <x:v>Corporate</x:v>
      </x:c>
      <x:c r="F7327" t="str">
        <x:v>Central</x:v>
      </x:c>
      <x:c r="G7327" t="str">
        <x:v>Technology</x:v>
      </x:c>
      <x:c r="H7327" t="str">
        <x:v>Accessories</x:v>
      </x:c>
      <x:c r="I7327" s="22" t="n">
        <x:v>100.80000000000001</x:v>
      </x:c>
      <x:c r="J7327" s="24" t="n">
        <x:v>2</x:v>
      </x:c>
      <x:c r="K7327" s="26" t="n">
        <x:v>0.2</x:v>
      </x:c>
      <x:c r="L7327" s="22" t="n">
        <x:v>21.42</x:v>
      </x:c>
      <x:c r="M7327" t="n">
        <x:v>2017</x:v>
      </x:c>
      <x:c r="N7327" s="20" t="n">
        <x:v>42979</x:v>
      </x:c>
    </x:row>
    <x:row r="7328" ht="18" customHeight="1">
      <x:c r="A7328" t="str">
        <x:v>US-2017-126053</x:v>
      </x:c>
      <x:c r="B7328" s="18" t="n">
        <x:v>43074</x:v>
      </x:c>
      <x:c r="C7328" t="str">
        <x:v>CS-11950</x:v>
      </x:c>
      <x:c r="D7328" t="str">
        <x:v>Carlos Soltero</x:v>
      </x:c>
      <x:c r="E7328" t="str">
        <x:v>Consumer</x:v>
      </x:c>
      <x:c r="F7328" t="str">
        <x:v>East</x:v>
      </x:c>
      <x:c r="G7328" t="str">
        <x:v>Furniture</x:v>
      </x:c>
      <x:c r="H7328" t="str">
        <x:v>Furnishings</x:v>
      </x:c>
      <x:c r="I7328" s="22" t="n">
        <x:v>41.96</x:v>
      </x:c>
      <x:c r="J7328" s="24" t="n">
        <x:v>2</x:v>
      </x:c>
      <x:c r="K7328" s="26" t="n">
        <x:v>0</x:v>
      </x:c>
      <x:c r="L7328" s="22" t="n">
        <x:v>10.909600000000001</x:v>
      </x:c>
      <x:c r="M7328" t="n">
        <x:v>2017</x:v>
      </x:c>
      <x:c r="N7328" s="20" t="n">
        <x:v>43070</x:v>
      </x:c>
    </x:row>
    <x:row r="7329" ht="18" customHeight="1">
      <x:c r="A7329" t="str">
        <x:v>US-2017-126053</x:v>
      </x:c>
      <x:c r="B7329" s="18" t="n">
        <x:v>43074</x:v>
      </x:c>
      <x:c r="C7329" t="str">
        <x:v>CS-11950</x:v>
      </x:c>
      <x:c r="D7329" t="str">
        <x:v>Carlos Soltero</x:v>
      </x:c>
      <x:c r="E7329" t="str">
        <x:v>Consumer</x:v>
      </x:c>
      <x:c r="F7329" t="str">
        <x:v>East</x:v>
      </x:c>
      <x:c r="G7329" t="str">
        <x:v>Office Supplies</x:v>
      </x:c>
      <x:c r="H7329" t="str">
        <x:v>Labels</x:v>
      </x:c>
      <x:c r="I7329" s="22" t="n">
        <x:v>9.45</x:v>
      </x:c>
      <x:c r="J7329" s="24" t="n">
        <x:v>3</x:v>
      </x:c>
      <x:c r="K7329" s="26" t="n">
        <x:v>0</x:v>
      </x:c>
      <x:c r="L7329" s="22" t="n">
        <x:v>4.536</x:v>
      </x:c>
      <x:c r="M7329" t="n">
        <x:v>2017</x:v>
      </x:c>
      <x:c r="N7329" s="20" t="n">
        <x:v>43070</x:v>
      </x:c>
    </x:row>
    <x:row r="7330" ht="18" customHeight="1">
      <x:c r="A7330" t="str">
        <x:v>US-2017-128447</x:v>
      </x:c>
      <x:c r="B7330" s="18" t="n">
        <x:v>43049</x:v>
      </x:c>
      <x:c r="C7330" t="str">
        <x:v>MC-17845</x:v>
      </x:c>
      <x:c r="D7330" t="str">
        <x:v>Michael Chen</x:v>
      </x:c>
      <x:c r="E7330" t="str">
        <x:v>Consumer</x:v>
      </x:c>
      <x:c r="F7330" t="str">
        <x:v>West</x:v>
      </x:c>
      <x:c r="G7330" t="str">
        <x:v>Office Supplies</x:v>
      </x:c>
      <x:c r="H7330" t="str">
        <x:v>Appliances</x:v>
      </x:c>
      <x:c r="I7330" s="22" t="n">
        <x:v>400.79999999999995</x:v>
      </x:c>
      <x:c r="J7330" s="24" t="n">
        <x:v>5</x:v>
      </x:c>
      <x:c r="K7330" s="26" t="n">
        <x:v>0</x:v>
      </x:c>
      <x:c r="L7330" s="22" t="n">
        <x:v>112.224</x:v>
      </x:c>
      <x:c r="M7330" t="n">
        <x:v>2017</x:v>
      </x:c>
      <x:c r="N7330" s="20" t="n">
        <x:v>43040</x:v>
      </x:c>
    </x:row>
    <x:row r="7331" ht="18" customHeight="1">
      <x:c r="A7331" t="str">
        <x:v>US-2017-128447</x:v>
      </x:c>
      <x:c r="B7331" s="18" t="n">
        <x:v>43049</x:v>
      </x:c>
      <x:c r="C7331" t="str">
        <x:v>MC-17845</x:v>
      </x:c>
      <x:c r="D7331" t="str">
        <x:v>Michael Chen</x:v>
      </x:c>
      <x:c r="E7331" t="str">
        <x:v>Consumer</x:v>
      </x:c>
      <x:c r="F7331" t="str">
        <x:v>West</x:v>
      </x:c>
      <x:c r="G7331" t="str">
        <x:v>Office Supplies</x:v>
      </x:c>
      <x:c r="H7331" t="str">
        <x:v>Binders</x:v>
      </x:c>
      <x:c r="I7331" s="22" t="n">
        <x:v>28.792</x:v>
      </x:c>
      <x:c r="J7331" s="24" t="n">
        <x:v>1</x:v>
      </x:c>
      <x:c r="K7331" s="26" t="n">
        <x:v>0.2</x:v>
      </x:c>
      <x:c r="L7331" s="22" t="n">
        <x:v>10.077200000000001</x:v>
      </x:c>
      <x:c r="M7331" t="n">
        <x:v>2017</x:v>
      </x:c>
      <x:c r="N7331" s="20" t="n">
        <x:v>43040</x:v>
      </x:c>
    </x:row>
    <x:row r="7332" ht="18" customHeight="1">
      <x:c r="A7332" t="str">
        <x:v>US-2014-131275</x:v>
      </x:c>
      <x:c r="B7332" s="18" t="n">
        <x:v>41716</x:v>
      </x:c>
      <x:c r="C7332" t="str">
        <x:v>SC-20050</x:v>
      </x:c>
      <x:c r="D7332" t="str">
        <x:v>Sample Company A</x:v>
      </x:c>
      <x:c r="E7332" t="str">
        <x:v>Home Office</x:v>
      </x:c>
      <x:c r="F7332" t="str">
        <x:v>West</x:v>
      </x:c>
      <x:c r="G7332" t="str">
        <x:v>Furniture</x:v>
      </x:c>
      <x:c r="H7332" t="str">
        <x:v>Furnishings</x:v>
      </x:c>
      <x:c r="I7332" s="22" t="n">
        <x:v>111</x:v>
      </x:c>
      <x:c r="J7332" s="24" t="n">
        <x:v>2</x:v>
      </x:c>
      <x:c r="K7332" s="26" t="n">
        <x:v>0</x:v>
      </x:c>
      <x:c r="L7332" s="22" t="n">
        <x:v>14.430000000000007</x:v>
      </x:c>
      <x:c r="M7332" t="n">
        <x:v>2014</x:v>
      </x:c>
      <x:c r="N7332" s="20" t="n">
        <x:v>41699</x:v>
      </x:c>
    </x:row>
    <x:row r="7333" ht="18" customHeight="1">
      <x:c r="A7333" t="str">
        <x:v>US-2014-131275</x:v>
      </x:c>
      <x:c r="B7333" s="18" t="n">
        <x:v>41716</x:v>
      </x:c>
      <x:c r="C7333" t="str">
        <x:v>SC-20050</x:v>
      </x:c>
      <x:c r="D7333" t="str">
        <x:v>Sample Company A</x:v>
      </x:c>
      <x:c r="E7333" t="str">
        <x:v>Home Office</x:v>
      </x:c>
      <x:c r="F7333" t="str">
        <x:v>West</x:v>
      </x:c>
      <x:c r="G7333" t="str">
        <x:v>Technology</x:v>
      </x:c>
      <x:c r="H7333" t="str">
        <x:v>Machines</x:v>
      </x:c>
      <x:c r="I7333" s="22" t="n">
        <x:v>1279.968</x:v>
      </x:c>
      <x:c r="J7333" s="24" t="n">
        <x:v>4</x:v>
      </x:c>
      <x:c r="K7333" s="26" t="n">
        <x:v>0.2</x:v>
      </x:c>
      <x:c r="L7333" s="22" t="n">
        <x:v>415.98959999999994</x:v>
      </x:c>
      <x:c r="M7333" t="n">
        <x:v>2014</x:v>
      </x:c>
      <x:c r="N7333" s="20" t="n">
        <x:v>41699</x:v>
      </x:c>
    </x:row>
    <x:row r="7334" ht="18" customHeight="1">
      <x:c r="A7334" t="str">
        <x:v>US-2014-131275</x:v>
      </x:c>
      <x:c r="B7334" s="18" t="n">
        <x:v>41716</x:v>
      </x:c>
      <x:c r="C7334" t="str">
        <x:v>SC-20050</x:v>
      </x:c>
      <x:c r="D7334" t="str">
        <x:v>Sample Company A</x:v>
      </x:c>
      <x:c r="E7334" t="str">
        <x:v>Home Office</x:v>
      </x:c>
      <x:c r="F7334" t="str">
        <x:v>West</x:v>
      </x:c>
      <x:c r="G7334" t="str">
        <x:v>Office Supplies</x:v>
      </x:c>
      <x:c r="H7334" t="str">
        <x:v>Storage</x:v>
      </x:c>
      <x:c r="I7334" s="22" t="n">
        <x:v>1856.19</x:v>
      </x:c>
      <x:c r="J7334" s="24" t="n">
        <x:v>7</x:v>
      </x:c>
      <x:c r="K7334" s="26" t="n">
        <x:v>0</x:v>
      </x:c>
      <x:c r="L7334" s="22" t="n">
        <x:v>334.11419999999987</x:v>
      </x:c>
      <x:c r="M7334" t="n">
        <x:v>2014</x:v>
      </x:c>
      <x:c r="N7334" s="20" t="n">
        <x:v>41699</x:v>
      </x:c>
    </x:row>
    <x:row r="7335" ht="18" customHeight="1">
      <x:c r="A7335" t="str">
        <x:v>CA-2016-149349</x:v>
      </x:c>
      <x:c r="B7335" s="18" t="n">
        <x:v>42686</x:v>
      </x:c>
      <x:c r="C7335" t="str">
        <x:v>SP-20650</x:v>
      </x:c>
      <x:c r="D7335" t="str">
        <x:v>Stephanie Phelps</x:v>
      </x:c>
      <x:c r="E7335" t="str">
        <x:v>Corporate</x:v>
      </x:c>
      <x:c r="F7335" t="str">
        <x:v>Central</x:v>
      </x:c>
      <x:c r="G7335" t="str">
        <x:v>Furniture</x:v>
      </x:c>
      <x:c r="H7335" t="str">
        <x:v>Furnishings</x:v>
      </x:c>
      <x:c r="I7335" s="22" t="n">
        <x:v>22.752000000000002</x:v>
      </x:c>
      <x:c r="J7335" s="24" t="n">
        <x:v>6</x:v>
      </x:c>
      <x:c r="K7335" s="26" t="n">
        <x:v>0.6</x:v>
      </x:c>
      <x:c r="L7335" s="22" t="n">
        <x:v>-8.532</x:v>
      </x:c>
      <x:c r="M7335" t="n">
        <x:v>2016</x:v>
      </x:c>
      <x:c r="N7335" s="20" t="n">
        <x:v>42675</x:v>
      </x:c>
    </x:row>
    <x:row r="7336" ht="18" customHeight="1">
      <x:c r="A7336" t="str">
        <x:v>CA-2017-115119</x:v>
      </x:c>
      <x:c r="B7336" s="18" t="n">
        <x:v>43034</x:v>
      </x:c>
      <x:c r="C7336" t="str">
        <x:v>SC-20440</x:v>
      </x:c>
      <x:c r="D7336" t="str">
        <x:v>Shaun Chance</x:v>
      </x:c>
      <x:c r="E7336" t="str">
        <x:v>Corporate</x:v>
      </x:c>
      <x:c r="F7336" t="str">
        <x:v>East</x:v>
      </x:c>
      <x:c r="G7336" t="str">
        <x:v>Technology</x:v>
      </x:c>
      <x:c r="H7336" t="str">
        <x:v>Phones</x:v>
      </x:c>
      <x:c r="I7336" s="22" t="n">
        <x:v>61.541999999999994</x:v>
      </x:c>
      <x:c r="J7336" s="24" t="n">
        <x:v>1</x:v>
      </x:c>
      <x:c r="K7336" s="26" t="n">
        <x:v>0.4</x:v>
      </x:c>
      <x:c r="L7336" s="22" t="n">
        <x:v>-13.3341</x:v>
      </x:c>
      <x:c r="M7336" t="n">
        <x:v>2017</x:v>
      </x:c>
      <x:c r="N7336" s="20" t="n">
        <x:v>43009</x:v>
      </x:c>
    </x:row>
    <x:row r="7337" ht="18" customHeight="1">
      <x:c r="A7337" t="str">
        <x:v>CA-2017-115119</x:v>
      </x:c>
      <x:c r="B7337" s="18" t="n">
        <x:v>43034</x:v>
      </x:c>
      <x:c r="C7337" t="str">
        <x:v>SC-20440</x:v>
      </x:c>
      <x:c r="D7337" t="str">
        <x:v>Shaun Chance</x:v>
      </x:c>
      <x:c r="E7337" t="str">
        <x:v>Corporate</x:v>
      </x:c>
      <x:c r="F7337" t="str">
        <x:v>East</x:v>
      </x:c>
      <x:c r="G7337" t="str">
        <x:v>Office Supplies</x:v>
      </x:c>
      <x:c r="H7337" t="str">
        <x:v>Binders</x:v>
      </x:c>
      <x:c r="I7337" s="22" t="n">
        <x:v>81.43800000000002</x:v>
      </x:c>
      <x:c r="J7337" s="24" t="n">
        <x:v>7</x:v>
      </x:c>
      <x:c r="K7337" s="26" t="n">
        <x:v>0.7</x:v>
      </x:c>
      <x:c r="L7337" s="22" t="n">
        <x:v>-65.15039999999999</x:v>
      </x:c>
      <x:c r="M7337" t="n">
        <x:v>2017</x:v>
      </x:c>
      <x:c r="N7337" s="20" t="n">
        <x:v>43009</x:v>
      </x:c>
    </x:row>
    <x:row r="7338" ht="18" customHeight="1">
      <x:c r="A7338" t="str">
        <x:v>CA-2015-125563</x:v>
      </x:c>
      <x:c r="B7338" s="18" t="n">
        <x:v>42105</x:v>
      </x:c>
      <x:c r="C7338" t="str">
        <x:v>PR-18880</x:v>
      </x:c>
      <x:c r="D7338" t="str">
        <x:v>Patrick Ryan</x:v>
      </x:c>
      <x:c r="E7338" t="str">
        <x:v>Consumer</x:v>
      </x:c>
      <x:c r="F7338" t="str">
        <x:v>South</x:v>
      </x:c>
      <x:c r="G7338" t="str">
        <x:v>Furniture</x:v>
      </x:c>
      <x:c r="H7338" t="str">
        <x:v>Furnishings</x:v>
      </x:c>
      <x:c r="I7338" s="22" t="n">
        <x:v>67.36</x:v>
      </x:c>
      <x:c r="J7338" s="24" t="n">
        <x:v>2</x:v>
      </x:c>
      <x:c r="K7338" s="26" t="n">
        <x:v>0.2</x:v>
      </x:c>
      <x:c r="L7338" s="22" t="n">
        <x:v>10.103999999999996</x:v>
      </x:c>
      <x:c r="M7338" t="n">
        <x:v>2015</x:v>
      </x:c>
      <x:c r="N7338" s="20" t="n">
        <x:v>42095</x:v>
      </x:c>
    </x:row>
    <x:row r="7339" ht="18" customHeight="1">
      <x:c r="A7339" t="str">
        <x:v>CA-2015-125563</x:v>
      </x:c>
      <x:c r="B7339" s="18" t="n">
        <x:v>42105</x:v>
      </x:c>
      <x:c r="C7339" t="str">
        <x:v>PR-18880</x:v>
      </x:c>
      <x:c r="D7339" t="str">
        <x:v>Patrick Ryan</x:v>
      </x:c>
      <x:c r="E7339" t="str">
        <x:v>Consumer</x:v>
      </x:c>
      <x:c r="F7339" t="str">
        <x:v>South</x:v>
      </x:c>
      <x:c r="G7339" t="str">
        <x:v>Furniture</x:v>
      </x:c>
      <x:c r="H7339" t="str">
        <x:v>Furnishings</x:v>
      </x:c>
      <x:c r="I7339" s="22" t="n">
        <x:v>54.52799999999999</x:v>
      </x:c>
      <x:c r="J7339" s="24" t="n">
        <x:v>3</x:v>
      </x:c>
      <x:c r="K7339" s="26" t="n">
        <x:v>0.2</x:v>
      </x:c>
      <x:c r="L7339" s="22" t="n">
        <x:v>14.313600000000005</x:v>
      </x:c>
      <x:c r="M7339" t="n">
        <x:v>2015</x:v>
      </x:c>
      <x:c r="N7339" s="20" t="n">
        <x:v>42095</x:v>
      </x:c>
    </x:row>
    <x:row r="7340" ht="18" customHeight="1">
      <x:c r="A7340" t="str">
        <x:v>CA-2015-113152</x:v>
      </x:c>
      <x:c r="B7340" s="18" t="n">
        <x:v>42363</x:v>
      </x:c>
      <x:c r="C7340" t="str">
        <x:v>JK-15625</x:v>
      </x:c>
      <x:c r="D7340" t="str">
        <x:v>Jim Karlsson</x:v>
      </x:c>
      <x:c r="E7340" t="str">
        <x:v>Consumer</x:v>
      </x:c>
      <x:c r="F7340" t="str">
        <x:v>East</x:v>
      </x:c>
      <x:c r="G7340" t="str">
        <x:v>Technology</x:v>
      </x:c>
      <x:c r="H7340" t="str">
        <x:v>Accessories</x:v>
      </x:c>
      <x:c r="I7340" s="22" t="n">
        <x:v>843.9</x:v>
      </x:c>
      <x:c r="J7340" s="24" t="n">
        <x:v>2</x:v>
      </x:c>
      <x:c r="K7340" s="26" t="n">
        <x:v>0</x:v>
      </x:c>
      <x:c r="L7340" s="22" t="n">
        <x:v>371.31600000000003</x:v>
      </x:c>
      <x:c r="M7340" t="n">
        <x:v>2015</x:v>
      </x:c>
      <x:c r="N7340" s="20" t="n">
        <x:v>42339</x:v>
      </x:c>
    </x:row>
    <x:row r="7341" ht="18" customHeight="1">
      <x:c r="A7341" t="str">
        <x:v>CA-2015-113152</x:v>
      </x:c>
      <x:c r="B7341" s="18" t="n">
        <x:v>42363</x:v>
      </x:c>
      <x:c r="C7341" t="str">
        <x:v>JK-15625</x:v>
      </x:c>
      <x:c r="D7341" t="str">
        <x:v>Jim Karlsson</x:v>
      </x:c>
      <x:c r="E7341" t="str">
        <x:v>Consumer</x:v>
      </x:c>
      <x:c r="F7341" t="str">
        <x:v>East</x:v>
      </x:c>
      <x:c r="G7341" t="str">
        <x:v>Furniture</x:v>
      </x:c>
      <x:c r="H7341" t="str">
        <x:v>Bookcases</x:v>
      </x:c>
      <x:c r="I7341" s="22" t="n">
        <x:v>449.56800000000004</x:v>
      </x:c>
      <x:c r="J7341" s="24" t="n">
        <x:v>2</x:v>
      </x:c>
      <x:c r="K7341" s="26" t="n">
        <x:v>0.2</x:v>
      </x:c>
      <x:c r="L7341" s="22" t="n">
        <x:v>56.195999999999955</x:v>
      </x:c>
      <x:c r="M7341" t="n">
        <x:v>2015</x:v>
      </x:c>
      <x:c r="N7341" s="20" t="n">
        <x:v>42339</x:v>
      </x:c>
    </x:row>
    <x:row r="7342" ht="18" customHeight="1">
      <x:c r="A7342" t="str">
        <x:v>CA-2017-165155</x:v>
      </x:c>
      <x:c r="B7342" s="18" t="n">
        <x:v>42999</x:v>
      </x:c>
      <x:c r="C7342" t="str">
        <x:v>BM-11575</x:v>
      </x:c>
      <x:c r="D7342" t="str">
        <x:v>Brendan Murry</x:v>
      </x:c>
      <x:c r="E7342" t="str">
        <x:v>Corporate</x:v>
      </x:c>
      <x:c r="F7342" t="str">
        <x:v>West</x:v>
      </x:c>
      <x:c r="G7342" t="str">
        <x:v>Office Supplies</x:v>
      </x:c>
      <x:c r="H7342" t="str">
        <x:v>Storage</x:v>
      </x:c>
      <x:c r="I7342" s="22" t="n">
        <x:v>15.51</x:v>
      </x:c>
      <x:c r="J7342" s="24" t="n">
        <x:v>1</x:v>
      </x:c>
      <x:c r="K7342" s="26" t="n">
        <x:v>0</x:v>
      </x:c>
      <x:c r="L7342" s="22" t="n">
        <x:v>3.8774999999999995</x:v>
      </x:c>
      <x:c r="M7342" t="n">
        <x:v>2017</x:v>
      </x:c>
      <x:c r="N7342" s="20" t="n">
        <x:v>42979</x:v>
      </x:c>
    </x:row>
    <x:row r="7343" ht="18" customHeight="1">
      <x:c r="A7343" t="str">
        <x:v>CA-2014-163412</x:v>
      </x:c>
      <x:c r="B7343" s="18" t="n">
        <x:v>41993</x:v>
      </x:c>
      <x:c r="C7343" t="str">
        <x:v>SM-20950</x:v>
      </x:c>
      <x:c r="D7343" t="str">
        <x:v>Suzanne McNair</x:v>
      </x:c>
      <x:c r="E7343" t="str">
        <x:v>Corporate</x:v>
      </x:c>
      <x:c r="F7343" t="str">
        <x:v>East</x:v>
      </x:c>
      <x:c r="G7343" t="str">
        <x:v>Furniture</x:v>
      </x:c>
      <x:c r="H7343" t="str">
        <x:v>Chairs</x:v>
      </x:c>
      <x:c r="I7343" s="22" t="n">
        <x:v>192.18600000000004</x:v>
      </x:c>
      <x:c r="J7343" s="24" t="n">
        <x:v>3</x:v>
      </x:c>
      <x:c r="K7343" s="26" t="n">
        <x:v>0.1</x:v>
      </x:c>
      <x:c r="L7343" s="22" t="n">
        <x:v>36.3018</x:v>
      </x:c>
      <x:c r="M7343" t="n">
        <x:v>2014</x:v>
      </x:c>
      <x:c r="N7343" s="20" t="n">
        <x:v>41974</x:v>
      </x:c>
    </x:row>
    <x:row r="7344" ht="18" customHeight="1">
      <x:c r="A7344" t="str">
        <x:v>CA-2015-159590</x:v>
      </x:c>
      <x:c r="B7344" s="18" t="n">
        <x:v>42203</x:v>
      </x:c>
      <x:c r="C7344" t="str">
        <x:v>KC-16255</x:v>
      </x:c>
      <x:c r="D7344" t="str">
        <x:v>Karen Carlisle</x:v>
      </x:c>
      <x:c r="E7344" t="str">
        <x:v>Corporate</x:v>
      </x:c>
      <x:c r="F7344" t="str">
        <x:v>East</x:v>
      </x:c>
      <x:c r="G7344" t="str">
        <x:v>Office Supplies</x:v>
      </x:c>
      <x:c r="H7344" t="str">
        <x:v>Art</x:v>
      </x:c>
      <x:c r="I7344" s="22" t="n">
        <x:v>5.76</x:v>
      </x:c>
      <x:c r="J7344" s="24" t="n">
        <x:v>2</x:v>
      </x:c>
      <x:c r="K7344" s="26" t="n">
        <x:v>0</x:v>
      </x:c>
      <x:c r="L7344" s="22" t="n">
        <x:v>1.6128</x:v>
      </x:c>
      <x:c r="M7344" t="n">
        <x:v>2015</x:v>
      </x:c>
      <x:c r="N7344" s="20" t="n">
        <x:v>42186</x:v>
      </x:c>
    </x:row>
    <x:row r="7345" ht="18" customHeight="1">
      <x:c r="A7345" t="str">
        <x:v>CA-2014-116190</x:v>
      </x:c>
      <x:c r="B7345" s="18" t="n">
        <x:v>41846</x:v>
      </x:c>
      <x:c r="C7345" t="str">
        <x:v>SG-20470</x:v>
      </x:c>
      <x:c r="D7345" t="str">
        <x:v>Sheri Gordon</x:v>
      </x:c>
      <x:c r="E7345" t="str">
        <x:v>Consumer</x:v>
      </x:c>
      <x:c r="F7345" t="str">
        <x:v>South</x:v>
      </x:c>
      <x:c r="G7345" t="str">
        <x:v>Furniture</x:v>
      </x:c>
      <x:c r="H7345" t="str">
        <x:v>Chairs</x:v>
      </x:c>
      <x:c r="I7345" s="22" t="n">
        <x:v>67.88</x:v>
      </x:c>
      <x:c r="J7345" s="24" t="n">
        <x:v>2</x:v>
      </x:c>
      <x:c r="K7345" s="26" t="n">
        <x:v>0</x:v>
      </x:c>
      <x:c r="L7345" s="22" t="n">
        <x:v>18.327599999999997</x:v>
      </x:c>
      <x:c r="M7345" t="n">
        <x:v>2014</x:v>
      </x:c>
      <x:c r="N7345" s="20" t="n">
        <x:v>41821</x:v>
      </x:c>
    </x:row>
    <x:row r="7346" ht="18" customHeight="1">
      <x:c r="A7346" t="str">
        <x:v>CA-2014-116190</x:v>
      </x:c>
      <x:c r="B7346" s="18" t="n">
        <x:v>41846</x:v>
      </x:c>
      <x:c r="C7346" t="str">
        <x:v>SG-20470</x:v>
      </x:c>
      <x:c r="D7346" t="str">
        <x:v>Sheri Gordon</x:v>
      </x:c>
      <x:c r="E7346" t="str">
        <x:v>Consumer</x:v>
      </x:c>
      <x:c r="F7346" t="str">
        <x:v>South</x:v>
      </x:c>
      <x:c r="G7346" t="str">
        <x:v>Office Supplies</x:v>
      </x:c>
      <x:c r="H7346" t="str">
        <x:v>Labels</x:v>
      </x:c>
      <x:c r="I7346" s="22" t="n">
        <x:v>162.89</x:v>
      </x:c>
      <x:c r="J7346" s="24" t="n">
        <x:v>13</x:v>
      </x:c>
      <x:c r="K7346" s="26" t="n">
        <x:v>0</x:v>
      </x:c>
      <x:c r="L7346" s="22" t="n">
        <x:v>76.55829999999999</x:v>
      </x:c>
      <x:c r="M7346" t="n">
        <x:v>2014</x:v>
      </x:c>
      <x:c r="N7346" s="20" t="n">
        <x:v>41821</x:v>
      </x:c>
    </x:row>
    <x:row r="7347" ht="18" customHeight="1">
      <x:c r="A7347" t="str">
        <x:v>CA-2014-116190</x:v>
      </x:c>
      <x:c r="B7347" s="18" t="n">
        <x:v>41846</x:v>
      </x:c>
      <x:c r="C7347" t="str">
        <x:v>SG-20470</x:v>
      </x:c>
      <x:c r="D7347" t="str">
        <x:v>Sheri Gordon</x:v>
      </x:c>
      <x:c r="E7347" t="str">
        <x:v>Consumer</x:v>
      </x:c>
      <x:c r="F7347" t="str">
        <x:v>South</x:v>
      </x:c>
      <x:c r="G7347" t="str">
        <x:v>Furniture</x:v>
      </x:c>
      <x:c r="H7347" t="str">
        <x:v>Furnishings</x:v>
      </x:c>
      <x:c r="I7347" s="22" t="n">
        <x:v>25.71</x:v>
      </x:c>
      <x:c r="J7347" s="24" t="n">
        <x:v>3</x:v>
      </x:c>
      <x:c r="K7347" s="26" t="n">
        <x:v>0</x:v>
      </x:c>
      <x:c r="L7347" s="22" t="n">
        <x:v>9.255600000000001</x:v>
      </x:c>
      <x:c r="M7347" t="n">
        <x:v>2014</x:v>
      </x:c>
      <x:c r="N7347" s="20" t="n">
        <x:v>41821</x:v>
      </x:c>
    </x:row>
    <x:row r="7348" ht="18" customHeight="1">
      <x:c r="A7348" t="str">
        <x:v>CA-2014-168473</x:v>
      </x:c>
      <x:c r="B7348" s="18" t="n">
        <x:v>41999</x:v>
      </x:c>
      <x:c r="C7348" t="str">
        <x:v>TB-21520</x:v>
      </x:c>
      <x:c r="D7348" t="str">
        <x:v>Tracy Blumstein</x:v>
      </x:c>
      <x:c r="E7348" t="str">
        <x:v>Consumer</x:v>
      </x:c>
      <x:c r="F7348" t="str">
        <x:v>East</x:v>
      </x:c>
      <x:c r="G7348" t="str">
        <x:v>Office Supplies</x:v>
      </x:c>
      <x:c r="H7348" t="str">
        <x:v>Storage</x:v>
      </x:c>
      <x:c r="I7348" s="22" t="n">
        <x:v>191.88</x:v>
      </x:c>
      <x:c r="J7348" s="24" t="n">
        <x:v>6</x:v>
      </x:c>
      <x:c r="K7348" s="26" t="n">
        <x:v>0</x:v>
      </x:c>
      <x:c r="L7348" s="22" t="n">
        <x:v>19.188000000000002</x:v>
      </x:c>
      <x:c r="M7348" t="n">
        <x:v>2014</x:v>
      </x:c>
      <x:c r="N7348" s="20" t="n">
        <x:v>41974</x:v>
      </x:c>
    </x:row>
    <x:row r="7349" ht="18" customHeight="1">
      <x:c r="A7349" t="str">
        <x:v>CA-2017-168389</x:v>
      </x:c>
      <x:c r="B7349" s="18" t="n">
        <x:v>43080</x:v>
      </x:c>
      <x:c r="C7349" t="str">
        <x:v>DV-13045</x:v>
      </x:c>
      <x:c r="D7349" t="str">
        <x:v>Darrin Van Huff</x:v>
      </x:c>
      <x:c r="E7349" t="str">
        <x:v>Corporate</x:v>
      </x:c>
      <x:c r="F7349" t="str">
        <x:v>South</x:v>
      </x:c>
      <x:c r="G7349" t="str">
        <x:v>Furniture</x:v>
      </x:c>
      <x:c r="H7349" t="str">
        <x:v>Tables</x:v>
      </x:c>
      <x:c r="I7349" s="22" t="n">
        <x:v>721.8750000000001</x:v>
      </x:c>
      <x:c r="J7349" s="24" t="n">
        <x:v>6</x:v>
      </x:c>
      <x:c r="K7349" s="26" t="n">
        <x:v>0.45</x:v>
      </x:c>
      <x:c r="L7349" s="22" t="n">
        <x:v>-420</x:v>
      </x:c>
      <x:c r="M7349" t="n">
        <x:v>2017</x:v>
      </x:c>
      <x:c r="N7349" s="20" t="n">
        <x:v>43070</x:v>
      </x:c>
    </x:row>
    <x:row r="7350" ht="18" customHeight="1">
      <x:c r="A7350" t="str">
        <x:v>CA-2017-168389</x:v>
      </x:c>
      <x:c r="B7350" s="18" t="n">
        <x:v>43080</x:v>
      </x:c>
      <x:c r="C7350" t="str">
        <x:v>DV-13045</x:v>
      </x:c>
      <x:c r="D7350" t="str">
        <x:v>Darrin Van Huff</x:v>
      </x:c>
      <x:c r="E7350" t="str">
        <x:v>Corporate</x:v>
      </x:c>
      <x:c r="F7350" t="str">
        <x:v>South</x:v>
      </x:c>
      <x:c r="G7350" t="str">
        <x:v>Technology</x:v>
      </x:c>
      <x:c r="H7350" t="str">
        <x:v>Phones</x:v>
      </x:c>
      <x:c r="I7350" s="22" t="n">
        <x:v>73.568</x:v>
      </x:c>
      <x:c r="J7350" s="24" t="n">
        <x:v>4</x:v>
      </x:c>
      <x:c r="K7350" s="26" t="n">
        <x:v>0.2</x:v>
      </x:c>
      <x:c r="L7350" s="22" t="n">
        <x:v>-16.552799999999994</x:v>
      </x:c>
      <x:c r="M7350" t="n">
        <x:v>2017</x:v>
      </x:c>
      <x:c r="N7350" s="20" t="n">
        <x:v>43070</x:v>
      </x:c>
    </x:row>
    <x:row r="7351" ht="18" customHeight="1">
      <x:c r="A7351" t="str">
        <x:v>CA-2017-168389</x:v>
      </x:c>
      <x:c r="B7351" s="18" t="n">
        <x:v>43080</x:v>
      </x:c>
      <x:c r="C7351" t="str">
        <x:v>DV-13045</x:v>
      </x:c>
      <x:c r="D7351" t="str">
        <x:v>Darrin Van Huff</x:v>
      </x:c>
      <x:c r="E7351" t="str">
        <x:v>Corporate</x:v>
      </x:c>
      <x:c r="F7351" t="str">
        <x:v>South</x:v>
      </x:c>
      <x:c r="G7351" t="str">
        <x:v>Office Supplies</x:v>
      </x:c>
      <x:c r="H7351" t="str">
        <x:v>Art</x:v>
      </x:c>
      <x:c r="I7351" s="22" t="n">
        <x:v>13.584000000000001</x:v>
      </x:c>
      <x:c r="J7351" s="24" t="n">
        <x:v>1</x:v>
      </x:c>
      <x:c r="K7351" s="26" t="n">
        <x:v>0.2</x:v>
      </x:c>
      <x:c r="L7351" s="22" t="n">
        <x:v>1.3584</x:v>
      </x:c>
      <x:c r="M7351" t="n">
        <x:v>2017</x:v>
      </x:c>
      <x:c r="N7351" s="20" t="n">
        <x:v>43070</x:v>
      </x:c>
    </x:row>
    <x:row r="7352" ht="18" customHeight="1">
      <x:c r="A7352" t="str">
        <x:v>CA-2017-168389</x:v>
      </x:c>
      <x:c r="B7352" s="18" t="n">
        <x:v>43080</x:v>
      </x:c>
      <x:c r="C7352" t="str">
        <x:v>DV-13045</x:v>
      </x:c>
      <x:c r="D7352" t="str">
        <x:v>Darrin Van Huff</x:v>
      </x:c>
      <x:c r="E7352" t="str">
        <x:v>Corporate</x:v>
      </x:c>
      <x:c r="F7352" t="str">
        <x:v>South</x:v>
      </x:c>
      <x:c r="G7352" t="str">
        <x:v>Furniture</x:v>
      </x:c>
      <x:c r="H7352" t="str">
        <x:v>Chairs</x:v>
      </x:c>
      <x:c r="I7352" s="22" t="n">
        <x:v>64.784</x:v>
      </x:c>
      <x:c r="J7352" s="24" t="n">
        <x:v>1</x:v>
      </x:c>
      <x:c r="K7352" s="26" t="n">
        <x:v>0.2</x:v>
      </x:c>
      <x:c r="L7352" s="22" t="n">
        <x:v>-12.14700000000001</x:v>
      </x:c>
      <x:c r="M7352" t="n">
        <x:v>2017</x:v>
      </x:c>
      <x:c r="N7352" s="20" t="n">
        <x:v>43070</x:v>
      </x:c>
    </x:row>
    <x:row r="7353" ht="18" customHeight="1">
      <x:c r="A7353" t="str">
        <x:v>CA-2014-130421</x:v>
      </x:c>
      <x:c r="B7353" s="18" t="n">
        <x:v>41701</x:v>
      </x:c>
      <x:c r="C7353" t="str">
        <x:v>SC-20020</x:v>
      </x:c>
      <x:c r="D7353" t="str">
        <x:v>Sam Craven</x:v>
      </x:c>
      <x:c r="E7353" t="str">
        <x:v>Consumer</x:v>
      </x:c>
      <x:c r="F7353" t="str">
        <x:v>Central</x:v>
      </x:c>
      <x:c r="G7353" t="str">
        <x:v>Office Supplies</x:v>
      </x:c>
      <x:c r="H7353" t="str">
        <x:v>Appliances</x:v>
      </x:c>
      <x:c r="I7353" s="22" t="n">
        <x:v>176.77199999999996</x:v>
      </x:c>
      <x:c r="J7353" s="24" t="n">
        <x:v>3</x:v>
      </x:c>
      <x:c r="K7353" s="26" t="n">
        <x:v>0.8</x:v>
      </x:c>
      <x:c r="L7353" s="22" t="n">
        <x:v>-459.60720000000003</x:v>
      </x:c>
      <x:c r="M7353" t="n">
        <x:v>2014</x:v>
      </x:c>
      <x:c r="N7353" s="20" t="n">
        <x:v>41699</x:v>
      </x:c>
    </x:row>
    <x:row r="7354" ht="18" customHeight="1">
      <x:c r="A7354" t="str">
        <x:v>CA-2017-142125</x:v>
      </x:c>
      <x:c r="B7354" s="18" t="n">
        <x:v>43029</x:v>
      </x:c>
      <x:c r="C7354" t="str">
        <x:v>JB-15400</x:v>
      </x:c>
      <x:c r="D7354" t="str">
        <x:v>Jennifer Braxton</x:v>
      </x:c>
      <x:c r="E7354" t="str">
        <x:v>Corporate</x:v>
      </x:c>
      <x:c r="F7354" t="str">
        <x:v>Central</x:v>
      </x:c>
      <x:c r="G7354" t="str">
        <x:v>Office Supplies</x:v>
      </x:c>
      <x:c r="H7354" t="str">
        <x:v>Binders</x:v>
      </x:c>
      <x:c r="I7354" s="22" t="n">
        <x:v>38.82</x:v>
      </x:c>
      <x:c r="J7354" s="24" t="n">
        <x:v>6</x:v>
      </x:c>
      <x:c r="K7354" s="26" t="n">
        <x:v>0</x:v>
      </x:c>
      <x:c r="L7354" s="22" t="n">
        <x:v>19.41</x:v>
      </x:c>
      <x:c r="M7354" t="n">
        <x:v>2017</x:v>
      </x:c>
      <x:c r="N7354" s="20" t="n">
        <x:v>43009</x:v>
      </x:c>
    </x:row>
    <x:row r="7355" ht="18" customHeight="1">
      <x:c r="A7355" t="str">
        <x:v>CA-2017-142125</x:v>
      </x:c>
      <x:c r="B7355" s="18" t="n">
        <x:v>43029</x:v>
      </x:c>
      <x:c r="C7355" t="str">
        <x:v>JB-15400</x:v>
      </x:c>
      <x:c r="D7355" t="str">
        <x:v>Jennifer Braxton</x:v>
      </x:c>
      <x:c r="E7355" t="str">
        <x:v>Corporate</x:v>
      </x:c>
      <x:c r="F7355" t="str">
        <x:v>Central</x:v>
      </x:c>
      <x:c r="G7355" t="str">
        <x:v>Office Supplies</x:v>
      </x:c>
      <x:c r="H7355" t="str">
        <x:v>Binders</x:v>
      </x:c>
      <x:c r="I7355" s="22" t="n">
        <x:v>21.9</x:v>
      </x:c>
      <x:c r="J7355" s="24" t="n">
        <x:v>5</x:v>
      </x:c>
      <x:c r="K7355" s="26" t="n">
        <x:v>0</x:v>
      </x:c>
      <x:c r="L7355" s="22" t="n">
        <x:v>10.511999999999999</x:v>
      </x:c>
      <x:c r="M7355" t="n">
        <x:v>2017</x:v>
      </x:c>
      <x:c r="N7355" s="20" t="n">
        <x:v>43009</x:v>
      </x:c>
    </x:row>
    <x:row r="7356" ht="18" customHeight="1">
      <x:c r="A7356" t="str">
        <x:v>CA-2017-141138</x:v>
      </x:c>
      <x:c r="B7356" s="18" t="n">
        <x:v>43049</x:v>
      </x:c>
      <x:c r="C7356" t="str">
        <x:v>GH-14425</x:v>
      </x:c>
      <x:c r="D7356" t="str">
        <x:v>Gary Hwang</x:v>
      </x:c>
      <x:c r="E7356" t="str">
        <x:v>Consumer</x:v>
      </x:c>
      <x:c r="F7356" t="str">
        <x:v>West</x:v>
      </x:c>
      <x:c r="G7356" t="str">
        <x:v>Technology</x:v>
      </x:c>
      <x:c r="H7356" t="str">
        <x:v>Accessories</x:v>
      </x:c>
      <x:c r="I7356" s="22" t="n">
        <x:v>111.79</x:v>
      </x:c>
      <x:c r="J7356" s="24" t="n">
        <x:v>7</x:v>
      </x:c>
      <x:c r="K7356" s="26" t="n">
        <x:v>0</x:v>
      </x:c>
      <x:c r="L7356" s="22" t="n">
        <x:v>43.5981</x:v>
      </x:c>
      <x:c r="M7356" t="n">
        <x:v>2017</x:v>
      </x:c>
      <x:c r="N7356" s="20" t="n">
        <x:v>43040</x:v>
      </x:c>
    </x:row>
    <x:row r="7357" ht="18" customHeight="1">
      <x:c r="A7357" t="str">
        <x:v>CA-2017-152135</x:v>
      </x:c>
      <x:c r="B7357" s="18" t="n">
        <x:v>42810</x:v>
      </x:c>
      <x:c r="C7357" t="str">
        <x:v>MG-17650</x:v>
      </x:c>
      <x:c r="D7357" t="str">
        <x:v>Matthew Grinstein</x:v>
      </x:c>
      <x:c r="E7357" t="str">
        <x:v>Home Office</x:v>
      </x:c>
      <x:c r="F7357" t="str">
        <x:v>East</x:v>
      </x:c>
      <x:c r="G7357" t="str">
        <x:v>Technology</x:v>
      </x:c>
      <x:c r="H7357" t="str">
        <x:v>Phones</x:v>
      </x:c>
      <x:c r="I7357" s="22" t="n">
        <x:v>445.44</x:v>
      </x:c>
      <x:c r="J7357" s="24" t="n">
        <x:v>8</x:v>
      </x:c>
      <x:c r="K7357" s="26" t="n">
        <x:v>0.4</x:v>
      </x:c>
      <x:c r="L7357" s="22" t="n">
        <x:v>-81.66400000000004</x:v>
      </x:c>
      <x:c r="M7357" t="n">
        <x:v>2017</x:v>
      </x:c>
      <x:c r="N7357" s="20" t="n">
        <x:v>42795</x:v>
      </x:c>
    </x:row>
    <x:row r="7358" ht="18" customHeight="1">
      <x:c r="A7358" t="str">
        <x:v>CA-2016-151974</x:v>
      </x:c>
      <x:c r="B7358" s="18" t="n">
        <x:v>42635</x:v>
      </x:c>
      <x:c r="C7358" t="str">
        <x:v>RD-19660</x:v>
      </x:c>
      <x:c r="D7358" t="str">
        <x:v>Robert Dilbeck</x:v>
      </x:c>
      <x:c r="E7358" t="str">
        <x:v>Home Office</x:v>
      </x:c>
      <x:c r="F7358" t="str">
        <x:v>East</x:v>
      </x:c>
      <x:c r="G7358" t="str">
        <x:v>Office Supplies</x:v>
      </x:c>
      <x:c r="H7358" t="str">
        <x:v>Labels</x:v>
      </x:c>
      <x:c r="I7358" s="22" t="n">
        <x:v>16.520000000000003</x:v>
      </x:c>
      <x:c r="J7358" s="24" t="n">
        <x:v>5</x:v>
      </x:c>
      <x:c r="K7358" s="26" t="n">
        <x:v>0.2</x:v>
      </x:c>
      <x:c r="L7358" s="22" t="n">
        <x:v>5.368999999999998</x:v>
      </x:c>
      <x:c r="M7358" t="n">
        <x:v>2016</x:v>
      </x:c>
      <x:c r="N7358" s="20" t="n">
        <x:v>42614</x:v>
      </x:c>
    </x:row>
    <x:row r="7359" ht="18" customHeight="1">
      <x:c r="A7359" t="str">
        <x:v>CA-2017-154102</x:v>
      </x:c>
      <x:c r="B7359" s="18" t="n">
        <x:v>42772</x:v>
      </x:c>
      <x:c r="C7359" t="str">
        <x:v>SN-20560</x:v>
      </x:c>
      <x:c r="D7359" t="str">
        <x:v>Skye Norling</x:v>
      </x:c>
      <x:c r="E7359" t="str">
        <x:v>Home Office</x:v>
      </x:c>
      <x:c r="F7359" t="str">
        <x:v>West</x:v>
      </x:c>
      <x:c r="G7359" t="str">
        <x:v>Office Supplies</x:v>
      </x:c>
      <x:c r="H7359" t="str">
        <x:v>Paper</x:v>
      </x:c>
      <x:c r="I7359" s="22" t="n">
        <x:v>29.900000000000002</x:v>
      </x:c>
      <x:c r="J7359" s="24" t="n">
        <x:v>5</x:v>
      </x:c>
      <x:c r="K7359" s="26" t="n">
        <x:v>0</x:v>
      </x:c>
      <x:c r="L7359" s="22" t="n">
        <x:v>13.454999999999998</x:v>
      </x:c>
      <x:c r="M7359" t="n">
        <x:v>2017</x:v>
      </x:c>
      <x:c r="N7359" s="20" t="n">
        <x:v>42767</x:v>
      </x:c>
    </x:row>
    <x:row r="7360" ht="18" customHeight="1">
      <x:c r="A7360" t="str">
        <x:v>CA-2015-139780</x:v>
      </x:c>
      <x:c r="B7360" s="18" t="n">
        <x:v>42369</x:v>
      </x:c>
      <x:c r="C7360" t="str">
        <x:v>AH-10690</x:v>
      </x:c>
      <x:c r="D7360" t="str">
        <x:v>Anna Häberlin</x:v>
      </x:c>
      <x:c r="E7360" t="str">
        <x:v>Corporate</x:v>
      </x:c>
      <x:c r="F7360" t="str">
        <x:v>Central</x:v>
      </x:c>
      <x:c r="G7360" t="str">
        <x:v>Office Supplies</x:v>
      </x:c>
      <x:c r="H7360" t="str">
        <x:v>Binders</x:v>
      </x:c>
      <x:c r="I7360" s="22" t="n">
        <x:v>116.4</x:v>
      </x:c>
      <x:c r="J7360" s="24" t="n">
        <x:v>8</x:v>
      </x:c>
      <x:c r="K7360" s="26" t="n">
        <x:v>0</x:v>
      </x:c>
      <x:c r="L7360" s="22" t="n">
        <x:v>52.379999999999995</x:v>
      </x:c>
      <x:c r="M7360" t="n">
        <x:v>2015</x:v>
      </x:c>
      <x:c r="N7360" s="20" t="n">
        <x:v>42339</x:v>
      </x:c>
    </x:row>
    <x:row r="7361" ht="18" customHeight="1">
      <x:c r="A7361" t="str">
        <x:v>CA-2016-114748</x:v>
      </x:c>
      <x:c r="B7361" s="18" t="n">
        <x:v>42652</x:v>
      </x:c>
      <x:c r="C7361" t="str">
        <x:v>MZ-17335</x:v>
      </x:c>
      <x:c r="D7361" t="str">
        <x:v>Maria Zettner</x:v>
      </x:c>
      <x:c r="E7361" t="str">
        <x:v>Home Office</x:v>
      </x:c>
      <x:c r="F7361" t="str">
        <x:v>West</x:v>
      </x:c>
      <x:c r="G7361" t="str">
        <x:v>Office Supplies</x:v>
      </x:c>
      <x:c r="H7361" t="str">
        <x:v>Art</x:v>
      </x:c>
      <x:c r="I7361" s="22" t="n">
        <x:v>1.4080000000000001</x:v>
      </x:c>
      <x:c r="J7361" s="24" t="n">
        <x:v>1</x:v>
      </x:c>
      <x:c r="K7361" s="26" t="n">
        <x:v>0.2</x:v>
      </x:c>
      <x:c r="L7361" s="22" t="n">
        <x:v>0.15839999999999993</x:v>
      </x:c>
      <x:c r="M7361" t="n">
        <x:v>2016</x:v>
      </x:c>
      <x:c r="N7361" s="20" t="n">
        <x:v>42644</x:v>
      </x:c>
    </x:row>
    <x:row r="7362" ht="18" customHeight="1">
      <x:c r="A7362" t="str">
        <x:v>CA-2016-114748</x:v>
      </x:c>
      <x:c r="B7362" s="18" t="n">
        <x:v>42652</x:v>
      </x:c>
      <x:c r="C7362" t="str">
        <x:v>MZ-17335</x:v>
      </x:c>
      <x:c r="D7362" t="str">
        <x:v>Maria Zettner</x:v>
      </x:c>
      <x:c r="E7362" t="str">
        <x:v>Home Office</x:v>
      </x:c>
      <x:c r="F7362" t="str">
        <x:v>West</x:v>
      </x:c>
      <x:c r="G7362" t="str">
        <x:v>Furniture</x:v>
      </x:c>
      <x:c r="H7362" t="str">
        <x:v>Furnishings</x:v>
      </x:c>
      <x:c r="I7362" s="22" t="n">
        <x:v>169.568</x:v>
      </x:c>
      <x:c r="J7362" s="24" t="n">
        <x:v>2</x:v>
      </x:c>
      <x:c r="K7362" s="26" t="n">
        <x:v>0.2</x:v>
      </x:c>
      <x:c r="L7362" s="22" t="n">
        <x:v>0</x:v>
      </x:c>
      <x:c r="M7362" t="n">
        <x:v>2016</x:v>
      </x:c>
      <x:c r="N7362" s="20" t="n">
        <x:v>42644</x:v>
      </x:c>
    </x:row>
    <x:row r="7363" ht="18" customHeight="1">
      <x:c r="A7363" t="str">
        <x:v>US-2014-115189</x:v>
      </x:c>
      <x:c r="B7363" s="18" t="n">
        <x:v>42003</x:v>
      </x:c>
      <x:c r="C7363" t="str">
        <x:v>AR-10345</x:v>
      </x:c>
      <x:c r="D7363" t="str">
        <x:v>Alex Russell</x:v>
      </x:c>
      <x:c r="E7363" t="str">
        <x:v>Corporate</x:v>
      </x:c>
      <x:c r="F7363" t="str">
        <x:v>East</x:v>
      </x:c>
      <x:c r="G7363" t="str">
        <x:v>Technology</x:v>
      </x:c>
      <x:c r="H7363" t="str">
        <x:v>Phones</x:v>
      </x:c>
      <x:c r="I7363" s="22" t="n">
        <x:v>251.96399999999994</x:v>
      </x:c>
      <x:c r="J7363" s="24" t="n">
        <x:v>6</x:v>
      </x:c>
      <x:c r="K7363" s="26" t="n">
        <x:v>0.4</x:v>
      </x:c>
      <x:c r="L7363" s="22" t="n">
        <x:v>-50.392799999999994</x:v>
      </x:c>
      <x:c r="M7363" t="n">
        <x:v>2014</x:v>
      </x:c>
      <x:c r="N7363" s="20" t="n">
        <x:v>41974</x:v>
      </x:c>
    </x:row>
    <x:row r="7364" ht="18" customHeight="1">
      <x:c r="A7364" t="str">
        <x:v>US-2014-115189</x:v>
      </x:c>
      <x:c r="B7364" s="18" t="n">
        <x:v>42003</x:v>
      </x:c>
      <x:c r="C7364" t="str">
        <x:v>AR-10345</x:v>
      </x:c>
      <x:c r="D7364" t="str">
        <x:v>Alex Russell</x:v>
      </x:c>
      <x:c r="E7364" t="str">
        <x:v>Corporate</x:v>
      </x:c>
      <x:c r="F7364" t="str">
        <x:v>East</x:v>
      </x:c>
      <x:c r="G7364" t="str">
        <x:v>Furniture</x:v>
      </x:c>
      <x:c r="H7364" t="str">
        <x:v>Tables</x:v>
      </x:c>
      <x:c r="I7364" s="22" t="n">
        <x:v>523.764</x:v>
      </x:c>
      <x:c r="J7364" s="24" t="n">
        <x:v>3</x:v>
      </x:c>
      <x:c r="K7364" s="26" t="n">
        <x:v>0.4</x:v>
      </x:c>
      <x:c r="L7364" s="22" t="n">
        <x:v>-192.04680000000008</x:v>
      </x:c>
      <x:c r="M7364" t="n">
        <x:v>2014</x:v>
      </x:c>
      <x:c r="N7364" s="20" t="n">
        <x:v>41974</x:v>
      </x:c>
    </x:row>
    <x:row r="7365" ht="18" customHeight="1">
      <x:c r="A7365" t="str">
        <x:v>CA-2016-163594</x:v>
      </x:c>
      <x:c r="B7365" s="18" t="n">
        <x:v>42472</x:v>
      </x:c>
      <x:c r="C7365" t="str">
        <x:v>JF-15295</x:v>
      </x:c>
      <x:c r="D7365" t="str">
        <x:v>Jason Fortune-</x:v>
      </x:c>
      <x:c r="E7365" t="str">
        <x:v>Consumer</x:v>
      </x:c>
      <x:c r="F7365" t="str">
        <x:v>West</x:v>
      </x:c>
      <x:c r="G7365" t="str">
        <x:v>Office Supplies</x:v>
      </x:c>
      <x:c r="H7365" t="str">
        <x:v>Paper</x:v>
      </x:c>
      <x:c r="I7365" s="22" t="n">
        <x:v>19.44</x:v>
      </x:c>
      <x:c r="J7365" s="24" t="n">
        <x:v>3</x:v>
      </x:c>
      <x:c r="K7365" s="26" t="n">
        <x:v>0</x:v>
      </x:c>
      <x:c r="L7365" s="22" t="n">
        <x:v>9.3312</x:v>
      </x:c>
      <x:c r="M7365" t="n">
        <x:v>2016</x:v>
      </x:c>
      <x:c r="N7365" s="20" t="n">
        <x:v>42461</x:v>
      </x:c>
    </x:row>
    <x:row r="7366" ht="18" customHeight="1">
      <x:c r="A7366" t="str">
        <x:v>CA-2016-163594</x:v>
      </x:c>
      <x:c r="B7366" s="18" t="n">
        <x:v>42472</x:v>
      </x:c>
      <x:c r="C7366" t="str">
        <x:v>JF-15295</x:v>
      </x:c>
      <x:c r="D7366" t="str">
        <x:v>Jason Fortune-</x:v>
      </x:c>
      <x:c r="E7366" t="str">
        <x:v>Consumer</x:v>
      </x:c>
      <x:c r="F7366" t="str">
        <x:v>West</x:v>
      </x:c>
      <x:c r="G7366" t="str">
        <x:v>Furniture</x:v>
      </x:c>
      <x:c r="H7366" t="str">
        <x:v>Chairs</x:v>
      </x:c>
      <x:c r="I7366" s="22" t="n">
        <x:v>194.35200000000003</x:v>
      </x:c>
      <x:c r="J7366" s="24" t="n">
        <x:v>3</x:v>
      </x:c>
      <x:c r="K7366" s="26" t="n">
        <x:v>0.2</x:v>
      </x:c>
      <x:c r="L7366" s="22" t="n">
        <x:v>-36.44100000000003</x:v>
      </x:c>
      <x:c r="M7366" t="n">
        <x:v>2016</x:v>
      </x:c>
      <x:c r="N7366" s="20" t="n">
        <x:v>42461</x:v>
      </x:c>
    </x:row>
    <x:row r="7367" ht="18" customHeight="1">
      <x:c r="A7367" t="str">
        <x:v>CA-2016-163594</x:v>
      </x:c>
      <x:c r="B7367" s="18" t="n">
        <x:v>42472</x:v>
      </x:c>
      <x:c r="C7367" t="str">
        <x:v>JF-15295</x:v>
      </x:c>
      <x:c r="D7367" t="str">
        <x:v>Jason Fortune-</x:v>
      </x:c>
      <x:c r="E7367" t="str">
        <x:v>Consumer</x:v>
      </x:c>
      <x:c r="F7367" t="str">
        <x:v>West</x:v>
      </x:c>
      <x:c r="G7367" t="str">
        <x:v>Office Supplies</x:v>
      </x:c>
      <x:c r="H7367" t="str">
        <x:v>Binders</x:v>
      </x:c>
      <x:c r="I7367" s="22" t="n">
        <x:v>36.624</x:v>
      </x:c>
      <x:c r="J7367" s="24" t="n">
        <x:v>3</x:v>
      </x:c>
      <x:c r="K7367" s="26" t="n">
        <x:v>0.2</x:v>
      </x:c>
      <x:c r="L7367" s="22" t="n">
        <x:v>13.734</x:v>
      </x:c>
      <x:c r="M7367" t="n">
        <x:v>2016</x:v>
      </x:c>
      <x:c r="N7367" s="20" t="n">
        <x:v>42461</x:v>
      </x:c>
    </x:row>
    <x:row r="7368" ht="18" customHeight="1">
      <x:c r="A7368" t="str">
        <x:v>CA-2016-127243</x:v>
      </x:c>
      <x:c r="B7368" s="18" t="n">
        <x:v>42702</x:v>
      </x:c>
      <x:c r="C7368" t="str">
        <x:v>DS-13180</x:v>
      </x:c>
      <x:c r="D7368" t="str">
        <x:v>David Smith</x:v>
      </x:c>
      <x:c r="E7368" t="str">
        <x:v>Corporate</x:v>
      </x:c>
      <x:c r="F7368" t="str">
        <x:v>East</x:v>
      </x:c>
      <x:c r="G7368" t="str">
        <x:v>Technology</x:v>
      </x:c>
      <x:c r="H7368" t="str">
        <x:v>Phones</x:v>
      </x:c>
      <x:c r="I7368" s="22" t="n">
        <x:v>340.182</x:v>
      </x:c>
      <x:c r="J7368" s="24" t="n">
        <x:v>3</x:v>
      </x:c>
      <x:c r="K7368" s="26" t="n">
        <x:v>0.4</x:v>
      </x:c>
      <x:c r="L7368" s="22" t="n">
        <x:v>-73.70610000000002</x:v>
      </x:c>
      <x:c r="M7368" t="n">
        <x:v>2016</x:v>
      </x:c>
      <x:c r="N7368" s="20" t="n">
        <x:v>42675</x:v>
      </x:c>
    </x:row>
    <x:row r="7369" ht="18" customHeight="1">
      <x:c r="A7369" t="str">
        <x:v>CA-2016-127243</x:v>
      </x:c>
      <x:c r="B7369" s="18" t="n">
        <x:v>42702</x:v>
      </x:c>
      <x:c r="C7369" t="str">
        <x:v>DS-13180</x:v>
      </x:c>
      <x:c r="D7369" t="str">
        <x:v>David Smith</x:v>
      </x:c>
      <x:c r="E7369" t="str">
        <x:v>Corporate</x:v>
      </x:c>
      <x:c r="F7369" t="str">
        <x:v>East</x:v>
      </x:c>
      <x:c r="G7369" t="str">
        <x:v>Office Supplies</x:v>
      </x:c>
      <x:c r="H7369" t="str">
        <x:v>Fasteners</x:v>
      </x:c>
      <x:c r="I7369" s="22" t="n">
        <x:v>12.672</x:v>
      </x:c>
      <x:c r="J7369" s="24" t="n">
        <x:v>8</x:v>
      </x:c>
      <x:c r="K7369" s="26" t="n">
        <x:v>0.2</x:v>
      </x:c>
      <x:c r="L7369" s="22" t="n">
        <x:v>2.692799999999999</x:v>
      </x:c>
      <x:c r="M7369" t="n">
        <x:v>2016</x:v>
      </x:c>
      <x:c r="N7369" s="20" t="n">
        <x:v>42675</x:v>
      </x:c>
    </x:row>
    <x:row r="7370" ht="18" customHeight="1">
      <x:c r="A7370" t="str">
        <x:v>CA-2016-127243</x:v>
      </x:c>
      <x:c r="B7370" s="18" t="n">
        <x:v>42702</x:v>
      </x:c>
      <x:c r="C7370" t="str">
        <x:v>DS-13180</x:v>
      </x:c>
      <x:c r="D7370" t="str">
        <x:v>David Smith</x:v>
      </x:c>
      <x:c r="E7370" t="str">
        <x:v>Corporate</x:v>
      </x:c>
      <x:c r="F7370" t="str">
        <x:v>East</x:v>
      </x:c>
      <x:c r="G7370" t="str">
        <x:v>Office Supplies</x:v>
      </x:c>
      <x:c r="H7370" t="str">
        <x:v>Binders</x:v>
      </x:c>
      <x:c r="I7370" s="22" t="n">
        <x:v>6.888000000000002</x:v>
      </x:c>
      <x:c r="J7370" s="24" t="n">
        <x:v>2</x:v>
      </x:c>
      <x:c r="K7370" s="26" t="n">
        <x:v>0.7</x:v>
      </x:c>
      <x:c r="L7370" s="22" t="n">
        <x:v>-5.0512</x:v>
      </x:c>
      <x:c r="M7370" t="n">
        <x:v>2016</x:v>
      </x:c>
      <x:c r="N7370" s="20" t="n">
        <x:v>42675</x:v>
      </x:c>
    </x:row>
    <x:row r="7371" ht="18" customHeight="1">
      <x:c r="A7371" t="str">
        <x:v>CA-2016-127243</x:v>
      </x:c>
      <x:c r="B7371" s="18" t="n">
        <x:v>42702</x:v>
      </x:c>
      <x:c r="C7371" t="str">
        <x:v>DS-13180</x:v>
      </x:c>
      <x:c r="D7371" t="str">
        <x:v>David Smith</x:v>
      </x:c>
      <x:c r="E7371" t="str">
        <x:v>Corporate</x:v>
      </x:c>
      <x:c r="F7371" t="str">
        <x:v>East</x:v>
      </x:c>
      <x:c r="G7371" t="str">
        <x:v>Office Supplies</x:v>
      </x:c>
      <x:c r="H7371" t="str">
        <x:v>Storage</x:v>
      </x:c>
      <x:c r="I7371" s="22" t="n">
        <x:v>32.544000000000004</x:v>
      </x:c>
      <x:c r="J7371" s="24" t="n">
        <x:v>2</x:v>
      </x:c>
      <x:c r="K7371" s="26" t="n">
        <x:v>0.2</x:v>
      </x:c>
      <x:c r="L7371" s="22" t="n">
        <x:v>-7.729200000000004</x:v>
      </x:c>
      <x:c r="M7371" t="n">
        <x:v>2016</x:v>
      </x:c>
      <x:c r="N7371" s="20" t="n">
        <x:v>42675</x:v>
      </x:c>
    </x:row>
    <x:row r="7372" ht="18" customHeight="1">
      <x:c r="A7372" t="str">
        <x:v>CA-2016-127243</x:v>
      </x:c>
      <x:c r="B7372" s="18" t="n">
        <x:v>42702</x:v>
      </x:c>
      <x:c r="C7372" t="str">
        <x:v>DS-13180</x:v>
      </x:c>
      <x:c r="D7372" t="str">
        <x:v>David Smith</x:v>
      </x:c>
      <x:c r="E7372" t="str">
        <x:v>Corporate</x:v>
      </x:c>
      <x:c r="F7372" t="str">
        <x:v>East</x:v>
      </x:c>
      <x:c r="G7372" t="str">
        <x:v>Furniture</x:v>
      </x:c>
      <x:c r="H7372" t="str">
        <x:v>Chairs</x:v>
      </x:c>
      <x:c r="I7372" s="22" t="n">
        <x:v>347.802</x:v>
      </x:c>
      <x:c r="J7372" s="24" t="n">
        <x:v>7</x:v>
      </x:c>
      <x:c r="K7372" s="26" t="n">
        <x:v>0.3</x:v>
      </x:c>
      <x:c r="L7372" s="22" t="n">
        <x:v>-24.84299999999996</x:v>
      </x:c>
      <x:c r="M7372" t="n">
        <x:v>2016</x:v>
      </x:c>
      <x:c r="N7372" s="20" t="n">
        <x:v>42675</x:v>
      </x:c>
    </x:row>
    <x:row r="7373" ht="18" customHeight="1">
      <x:c r="A7373" t="str">
        <x:v>CA-2017-161851</x:v>
      </x:c>
      <x:c r="B7373" s="18" t="n">
        <x:v>42840</x:v>
      </x:c>
      <x:c r="C7373" t="str">
        <x:v>BP-11095</x:v>
      </x:c>
      <x:c r="D7373" t="str">
        <x:v>Bart Pistole</x:v>
      </x:c>
      <x:c r="E7373" t="str">
        <x:v>Corporate</x:v>
      </x:c>
      <x:c r="F7373" t="str">
        <x:v>South</x:v>
      </x:c>
      <x:c r="G7373" t="str">
        <x:v>Office Supplies</x:v>
      </x:c>
      <x:c r="H7373" t="str">
        <x:v>Binders</x:v>
      </x:c>
      <x:c r="I7373" s="22" t="n">
        <x:v>15.570000000000004</x:v>
      </x:c>
      <x:c r="J7373" s="24" t="n">
        <x:v>3</x:v>
      </x:c>
      <x:c r="K7373" s="26" t="n">
        <x:v>0.7</x:v>
      </x:c>
      <x:c r="L7373" s="22" t="n">
        <x:v>-11.936999999999998</x:v>
      </x:c>
      <x:c r="M7373" t="n">
        <x:v>2017</x:v>
      </x:c>
      <x:c r="N7373" s="20" t="n">
        <x:v>42826</x:v>
      </x:c>
    </x:row>
    <x:row r="7374" ht="18" customHeight="1">
      <x:c r="A7374" t="str">
        <x:v>CA-2015-110345</x:v>
      </x:c>
      <x:c r="B7374" s="18" t="n">
        <x:v>42072</x:v>
      </x:c>
      <x:c r="C7374" t="str">
        <x:v>TG-21310</x:v>
      </x:c>
      <x:c r="D7374" t="str">
        <x:v>Toby Gnade</x:v>
      </x:c>
      <x:c r="E7374" t="str">
        <x:v>Consumer</x:v>
      </x:c>
      <x:c r="F7374" t="str">
        <x:v>South</x:v>
      </x:c>
      <x:c r="G7374" t="str">
        <x:v>Office Supplies</x:v>
      </x:c>
      <x:c r="H7374" t="str">
        <x:v>Labels</x:v>
      </x:c>
      <x:c r="I7374" s="22" t="n">
        <x:v>4.608</x:v>
      </x:c>
      <x:c r="J7374" s="24" t="n">
        <x:v>2</x:v>
      </x:c>
      <x:c r="K7374" s="26" t="n">
        <x:v>0.2</x:v>
      </x:c>
      <x:c r="L7374" s="22" t="n">
        <x:v>1.6704</x:v>
      </x:c>
      <x:c r="M7374" t="n">
        <x:v>2015</x:v>
      </x:c>
      <x:c r="N7374" s="20" t="n">
        <x:v>42064</x:v>
      </x:c>
    </x:row>
    <x:row r="7375" ht="18" customHeight="1">
      <x:c r="A7375" t="str">
        <x:v>CA-2014-107769</x:v>
      </x:c>
      <x:c r="B7375" s="18" t="n">
        <x:v>41940</x:v>
      </x:c>
      <x:c r="C7375" t="str">
        <x:v>BT-11395</x:v>
      </x:c>
      <x:c r="D7375" t="str">
        <x:v>Bill Tyler</x:v>
      </x:c>
      <x:c r="E7375" t="str">
        <x:v>Corporate</x:v>
      </x:c>
      <x:c r="F7375" t="str">
        <x:v>Central</x:v>
      </x:c>
      <x:c r="G7375" t="str">
        <x:v>Technology</x:v>
      </x:c>
      <x:c r="H7375" t="str">
        <x:v>Phones</x:v>
      </x:c>
      <x:c r="I7375" s="22" t="n">
        <x:v>257.98</x:v>
      </x:c>
      <x:c r="J7375" s="24" t="n">
        <x:v>2</x:v>
      </x:c>
      <x:c r="K7375" s="26" t="n">
        <x:v>0</x:v>
      </x:c>
      <x:c r="L7375" s="22" t="n">
        <x:v>74.8142</x:v>
      </x:c>
      <x:c r="M7375" t="n">
        <x:v>2014</x:v>
      </x:c>
      <x:c r="N7375" s="20" t="n">
        <x:v>41913</x:v>
      </x:c>
    </x:row>
    <x:row r="7376" ht="18" customHeight="1">
      <x:c r="A7376" t="str">
        <x:v>US-2017-123862</x:v>
      </x:c>
      <x:c r="B7376" s="18" t="n">
        <x:v>42742</x:v>
      </x:c>
      <x:c r="C7376" t="str">
        <x:v>JF-15190</x:v>
      </x:c>
      <x:c r="D7376" t="str">
        <x:v>Jamie Frazer</x:v>
      </x:c>
      <x:c r="E7376" t="str">
        <x:v>Consumer</x:v>
      </x:c>
      <x:c r="F7376" t="str">
        <x:v>West</x:v>
      </x:c>
      <x:c r="G7376" t="str">
        <x:v>Office Supplies</x:v>
      </x:c>
      <x:c r="H7376" t="str">
        <x:v>Storage</x:v>
      </x:c>
      <x:c r="I7376" s="22" t="n">
        <x:v>153.78</x:v>
      </x:c>
      <x:c r="J7376" s="24" t="n">
        <x:v>11</x:v>
      </x:c>
      <x:c r="K7376" s="26" t="n">
        <x:v>0</x:v>
      </x:c>
      <x:c r="L7376" s="22" t="n">
        <x:v>44.596199999999996</x:v>
      </x:c>
      <x:c r="M7376" t="n">
        <x:v>2017</x:v>
      </x:c>
      <x:c r="N7376" s="20" t="n">
        <x:v>42736</x:v>
      </x:c>
    </x:row>
    <x:row r="7377" ht="18" customHeight="1">
      <x:c r="A7377" t="str">
        <x:v>US-2017-123862</x:v>
      </x:c>
      <x:c r="B7377" s="18" t="n">
        <x:v>42742</x:v>
      </x:c>
      <x:c r="C7377" t="str">
        <x:v>JF-15190</x:v>
      </x:c>
      <x:c r="D7377" t="str">
        <x:v>Jamie Frazer</x:v>
      </x:c>
      <x:c r="E7377" t="str">
        <x:v>Consumer</x:v>
      </x:c>
      <x:c r="F7377" t="str">
        <x:v>West</x:v>
      </x:c>
      <x:c r="G7377" t="str">
        <x:v>Office Supplies</x:v>
      </x:c>
      <x:c r="H7377" t="str">
        <x:v>Storage</x:v>
      </x:c>
      <x:c r="I7377" s="22" t="n">
        <x:v>61.019999999999996</x:v>
      </x:c>
      <x:c r="J7377" s="24" t="n">
        <x:v>3</x:v>
      </x:c>
      <x:c r="K7377" s="26" t="n">
        <x:v>0</x:v>
      </x:c>
      <x:c r="L7377" s="22" t="n">
        <x:v>0.6101999999999954</x:v>
      </x:c>
      <x:c r="M7377" t="n">
        <x:v>2017</x:v>
      </x:c>
      <x:c r="N7377" s="20" t="n">
        <x:v>42736</x:v>
      </x:c>
    </x:row>
    <x:row r="7378" ht="18" customHeight="1">
      <x:c r="A7378" t="str">
        <x:v>US-2017-123862</x:v>
      </x:c>
      <x:c r="B7378" s="18" t="n">
        <x:v>42742</x:v>
      </x:c>
      <x:c r="C7378" t="str">
        <x:v>JF-15190</x:v>
      </x:c>
      <x:c r="D7378" t="str">
        <x:v>Jamie Frazer</x:v>
      </x:c>
      <x:c r="E7378" t="str">
        <x:v>Consumer</x:v>
      </x:c>
      <x:c r="F7378" t="str">
        <x:v>West</x:v>
      </x:c>
      <x:c r="G7378" t="str">
        <x:v>Office Supplies</x:v>
      </x:c>
      <x:c r="H7378" t="str">
        <x:v>Supplies</x:v>
      </x:c>
      <x:c r="I7378" s="22" t="n">
        <x:v>110.11</x:v>
      </x:c>
      <x:c r="J7378" s="24" t="n">
        <x:v>7</x:v>
      </x:c>
      <x:c r="K7378" s="26" t="n">
        <x:v>0</x:v>
      </x:c>
      <x:c r="L7378" s="22" t="n">
        <x:v>31.931899999999988</x:v>
      </x:c>
      <x:c r="M7378" t="n">
        <x:v>2017</x:v>
      </x:c>
      <x:c r="N7378" s="20" t="n">
        <x:v>42736</x:v>
      </x:c>
    </x:row>
    <x:row r="7379" ht="18" customHeight="1">
      <x:c r="A7379" t="str">
        <x:v>US-2017-123862</x:v>
      </x:c>
      <x:c r="B7379" s="18" t="n">
        <x:v>42742</x:v>
      </x:c>
      <x:c r="C7379" t="str">
        <x:v>JF-15190</x:v>
      </x:c>
      <x:c r="D7379" t="str">
        <x:v>Jamie Frazer</x:v>
      </x:c>
      <x:c r="E7379" t="str">
        <x:v>Consumer</x:v>
      </x:c>
      <x:c r="F7379" t="str">
        <x:v>West</x:v>
      </x:c>
      <x:c r="G7379" t="str">
        <x:v>Office Supplies</x:v>
      </x:c>
      <x:c r="H7379" t="str">
        <x:v>Fasteners</x:v>
      </x:c>
      <x:c r="I7379" s="22" t="n">
        <x:v>7.89</x:v>
      </x:c>
      <x:c r="J7379" s="24" t="n">
        <x:v>1</x:v>
      </x:c>
      <x:c r="K7379" s="26" t="n">
        <x:v>0</x:v>
      </x:c>
      <x:c r="L7379" s="22" t="n">
        <x:v>3.5504999999999995</x:v>
      </x:c>
      <x:c r="M7379" t="n">
        <x:v>2017</x:v>
      </x:c>
      <x:c r="N7379" s="20" t="n">
        <x:v>42736</x:v>
      </x:c>
    </x:row>
    <x:row r="7380" ht="18" customHeight="1">
      <x:c r="A7380" t="str">
        <x:v>CA-2017-100580</x:v>
      </x:c>
      <x:c r="B7380" s="18" t="n">
        <x:v>42960</x:v>
      </x:c>
      <x:c r="C7380" t="str">
        <x:v>MK-17905</x:v>
      </x:c>
      <x:c r="D7380" t="str">
        <x:v>Michael Kennedy</x:v>
      </x:c>
      <x:c r="E7380" t="str">
        <x:v>Corporate</x:v>
      </x:c>
      <x:c r="F7380" t="str">
        <x:v>West</x:v>
      </x:c>
      <x:c r="G7380" t="str">
        <x:v>Office Supplies</x:v>
      </x:c>
      <x:c r="H7380" t="str">
        <x:v>Binders</x:v>
      </x:c>
      <x:c r="I7380" s="22" t="n">
        <x:v>36.024</x:v>
      </x:c>
      <x:c r="J7380" s="24" t="n">
        <x:v>3</x:v>
      </x:c>
      <x:c r="K7380" s="26" t="n">
        <x:v>0.2</x:v>
      </x:c>
      <x:c r="L7380" s="22" t="n">
        <x:v>11.707799999999995</x:v>
      </x:c>
      <x:c r="M7380" t="n">
        <x:v>2017</x:v>
      </x:c>
      <x:c r="N7380" s="20" t="n">
        <x:v>42948</x:v>
      </x:c>
    </x:row>
    <x:row r="7381" ht="18" customHeight="1">
      <x:c r="A7381" t="str">
        <x:v>US-2017-145597</x:v>
      </x:c>
      <x:c r="B7381" s="18" t="n">
        <x:v>43041</x:v>
      </x:c>
      <x:c r="C7381" t="str">
        <x:v>GG-14650</x:v>
      </x:c>
      <x:c r="D7381" t="str">
        <x:v>Greg Guthrie</x:v>
      </x:c>
      <x:c r="E7381" t="str">
        <x:v>Corporate</x:v>
      </x:c>
      <x:c r="F7381" t="str">
        <x:v>Central</x:v>
      </x:c>
      <x:c r="G7381" t="str">
        <x:v>Office Supplies</x:v>
      </x:c>
      <x:c r="H7381" t="str">
        <x:v>Art</x:v>
      </x:c>
      <x:c r="I7381" s="22" t="n">
        <x:v>54.336000000000006</x:v>
      </x:c>
      <x:c r="J7381" s="24" t="n">
        <x:v>4</x:v>
      </x:c>
      <x:c r="K7381" s="26" t="n">
        <x:v>0.2</x:v>
      </x:c>
      <x:c r="L7381" s="22" t="n">
        <x:v>5.4336</x:v>
      </x:c>
      <x:c r="M7381" t="n">
        <x:v>2017</x:v>
      </x:c>
      <x:c r="N7381" s="20" t="n">
        <x:v>43040</x:v>
      </x:c>
    </x:row>
    <x:row r="7382" ht="18" customHeight="1">
      <x:c r="A7382" t="str">
        <x:v>CA-2014-132787</x:v>
      </x:c>
      <x:c r="B7382" s="18" t="n">
        <x:v>41901</x:v>
      </x:c>
      <x:c r="C7382" t="str">
        <x:v>MC-18130</x:v>
      </x:c>
      <x:c r="D7382" t="str">
        <x:v>Mike Caudle</x:v>
      </x:c>
      <x:c r="E7382" t="str">
        <x:v>Corporate</x:v>
      </x:c>
      <x:c r="F7382" t="str">
        <x:v>West</x:v>
      </x:c>
      <x:c r="G7382" t="str">
        <x:v>Office Supplies</x:v>
      </x:c>
      <x:c r="H7382" t="str">
        <x:v>Storage</x:v>
      </x:c>
      <x:c r="I7382" s="22" t="n">
        <x:v>92.52</x:v>
      </x:c>
      <x:c r="J7382" s="24" t="n">
        <x:v>6</x:v>
      </x:c>
      <x:c r="K7382" s="26" t="n">
        <x:v>0</x:v>
      </x:c>
      <x:c r="L7382" s="22" t="n">
        <x:v>24.980400000000007</x:v>
      </x:c>
      <x:c r="M7382" t="n">
        <x:v>2014</x:v>
      </x:c>
      <x:c r="N7382" s="20" t="n">
        <x:v>41883</x:v>
      </x:c>
    </x:row>
    <x:row r="7383" ht="18" customHeight="1">
      <x:c r="A7383" t="str">
        <x:v>CA-2015-136224</x:v>
      </x:c>
      <x:c r="B7383" s="18" t="n">
        <x:v>42155</x:v>
      </x:c>
      <x:c r="C7383" t="str">
        <x:v>ML-18265</x:v>
      </x:c>
      <x:c r="D7383" t="str">
        <x:v>Muhammed Lee</x:v>
      </x:c>
      <x:c r="E7383" t="str">
        <x:v>Consumer</x:v>
      </x:c>
      <x:c r="F7383" t="str">
        <x:v>South</x:v>
      </x:c>
      <x:c r="G7383" t="str">
        <x:v>Office Supplies</x:v>
      </x:c>
      <x:c r="H7383" t="str">
        <x:v>Art</x:v>
      </x:c>
      <x:c r="I7383" s="22" t="n">
        <x:v>10.272000000000002</x:v>
      </x:c>
      <x:c r="J7383" s="24" t="n">
        <x:v>3</x:v>
      </x:c>
      <x:c r="K7383" s="26" t="n">
        <x:v>0.2</x:v>
      </x:c>
      <x:c r="L7383" s="22" t="n">
        <x:v>1.1555999999999984</x:v>
      </x:c>
      <x:c r="M7383" t="n">
        <x:v>2015</x:v>
      </x:c>
      <x:c r="N7383" s="20" t="n">
        <x:v>42125</x:v>
      </x:c>
    </x:row>
    <x:row r="7384" ht="18" customHeight="1">
      <x:c r="A7384" t="str">
        <x:v>CA-2016-105732</x:v>
      </x:c>
      <x:c r="B7384" s="18" t="n">
        <x:v>42626</x:v>
      </x:c>
      <x:c r="C7384" t="str">
        <x:v>AG-10270</x:v>
      </x:c>
      <x:c r="D7384" t="str">
        <x:v>Alejandro Grove</x:v>
      </x:c>
      <x:c r="E7384" t="str">
        <x:v>Consumer</x:v>
      </x:c>
      <x:c r="F7384" t="str">
        <x:v>Central</x:v>
      </x:c>
      <x:c r="G7384" t="str">
        <x:v>Office Supplies</x:v>
      </x:c>
      <x:c r="H7384" t="str">
        <x:v>Storage</x:v>
      </x:c>
      <x:c r="I7384" s="22" t="n">
        <x:v>40.74</x:v>
      </x:c>
      <x:c r="J7384" s="24" t="n">
        <x:v>3</x:v>
      </x:c>
      <x:c r="K7384" s="26" t="n">
        <x:v>0</x:v>
      </x:c>
      <x:c r="L7384" s="22" t="n">
        <x:v>0.4073999999999991</x:v>
      </x:c>
      <x:c r="M7384" t="n">
        <x:v>2016</x:v>
      </x:c>
      <x:c r="N7384" s="20" t="n">
        <x:v>42614</x:v>
      </x:c>
    </x:row>
    <x:row r="7385" ht="18" customHeight="1">
      <x:c r="A7385" t="str">
        <x:v>CA-2016-105732</x:v>
      </x:c>
      <x:c r="B7385" s="18" t="n">
        <x:v>42626</x:v>
      </x:c>
      <x:c r="C7385" t="str">
        <x:v>AG-10270</x:v>
      </x:c>
      <x:c r="D7385" t="str">
        <x:v>Alejandro Grove</x:v>
      </x:c>
      <x:c r="E7385" t="str">
        <x:v>Consumer</x:v>
      </x:c>
      <x:c r="F7385" t="str">
        <x:v>Central</x:v>
      </x:c>
      <x:c r="G7385" t="str">
        <x:v>Office Supplies</x:v>
      </x:c>
      <x:c r="H7385" t="str">
        <x:v>Labels</x:v>
      </x:c>
      <x:c r="I7385" s="22" t="n">
        <x:v>14.399999999999999</x:v>
      </x:c>
      <x:c r="J7385" s="24" t="n">
        <x:v>5</x:v>
      </x:c>
      <x:c r="K7385" s="26" t="n">
        <x:v>0</x:v>
      </x:c>
      <x:c r="L7385" s="22" t="n">
        <x:v>7.056</x:v>
      </x:c>
      <x:c r="M7385" t="n">
        <x:v>2016</x:v>
      </x:c>
      <x:c r="N7385" s="20" t="n">
        <x:v>42614</x:v>
      </x:c>
    </x:row>
    <x:row r="7386" ht="18" customHeight="1">
      <x:c r="A7386" t="str">
        <x:v>CA-2016-105732</x:v>
      </x:c>
      <x:c r="B7386" s="18" t="n">
        <x:v>42626</x:v>
      </x:c>
      <x:c r="C7386" t="str">
        <x:v>AG-10270</x:v>
      </x:c>
      <x:c r="D7386" t="str">
        <x:v>Alejandro Grove</x:v>
      </x:c>
      <x:c r="E7386" t="str">
        <x:v>Consumer</x:v>
      </x:c>
      <x:c r="F7386" t="str">
        <x:v>Central</x:v>
      </x:c>
      <x:c r="G7386" t="str">
        <x:v>Technology</x:v>
      </x:c>
      <x:c r="H7386" t="str">
        <x:v>Phones</x:v>
      </x:c>
      <x:c r="I7386" s="22" t="n">
        <x:v>149.95</x:v>
      </x:c>
      <x:c r="J7386" s="24" t="n">
        <x:v>5</x:v>
      </x:c>
      <x:c r="K7386" s="26" t="n">
        <x:v>0</x:v>
      </x:c>
      <x:c r="L7386" s="22" t="n">
        <x:v>41.986000000000004</x:v>
      </x:c>
      <x:c r="M7386" t="n">
        <x:v>2016</x:v>
      </x:c>
      <x:c r="N7386" s="20" t="n">
        <x:v>42614</x:v>
      </x:c>
    </x:row>
    <x:row r="7387" ht="18" customHeight="1">
      <x:c r="A7387" t="str">
        <x:v>CA-2016-105732</x:v>
      </x:c>
      <x:c r="B7387" s="18" t="n">
        <x:v>42626</x:v>
      </x:c>
      <x:c r="C7387" t="str">
        <x:v>AG-10270</x:v>
      </x:c>
      <x:c r="D7387" t="str">
        <x:v>Alejandro Grove</x:v>
      </x:c>
      <x:c r="E7387" t="str">
        <x:v>Consumer</x:v>
      </x:c>
      <x:c r="F7387" t="str">
        <x:v>Central</x:v>
      </x:c>
      <x:c r="G7387" t="str">
        <x:v>Office Supplies</x:v>
      </x:c>
      <x:c r="H7387" t="str">
        <x:v>Supplies</x:v>
      </x:c>
      <x:c r="I7387" s="22" t="n">
        <x:v>16.9</x:v>
      </x:c>
      <x:c r="J7387" s="24" t="n">
        <x:v>2</x:v>
      </x:c>
      <x:c r="K7387" s="26" t="n">
        <x:v>0</x:v>
      </x:c>
      <x:c r="L7387" s="22" t="n">
        <x:v>5.0699999999999985</x:v>
      </x:c>
      <x:c r="M7387" t="n">
        <x:v>2016</x:v>
      </x:c>
      <x:c r="N7387" s="20" t="n">
        <x:v>42614</x:v>
      </x:c>
    </x:row>
    <x:row r="7388" ht="18" customHeight="1">
      <x:c r="A7388" t="str">
        <x:v>CA-2016-105732</x:v>
      </x:c>
      <x:c r="B7388" s="18" t="n">
        <x:v>42626</x:v>
      </x:c>
      <x:c r="C7388" t="str">
        <x:v>AG-10270</x:v>
      </x:c>
      <x:c r="D7388" t="str">
        <x:v>Alejandro Grove</x:v>
      </x:c>
      <x:c r="E7388" t="str">
        <x:v>Consumer</x:v>
      </x:c>
      <x:c r="F7388" t="str">
        <x:v>Central</x:v>
      </x:c>
      <x:c r="G7388" t="str">
        <x:v>Office Supplies</x:v>
      </x:c>
      <x:c r="H7388" t="str">
        <x:v>Paper</x:v>
      </x:c>
      <x:c r="I7388" s="22" t="n">
        <x:v>17.61</x:v>
      </x:c>
      <x:c r="J7388" s="24" t="n">
        <x:v>3</x:v>
      </x:c>
      <x:c r="K7388" s="26" t="n">
        <x:v>0</x:v>
      </x:c>
      <x:c r="L7388" s="22" t="n">
        <x:v>8.4528</x:v>
      </x:c>
      <x:c r="M7388" t="n">
        <x:v>2016</x:v>
      </x:c>
      <x:c r="N7388" s="20" t="n">
        <x:v>42614</x:v>
      </x:c>
    </x:row>
    <x:row r="7389" ht="18" customHeight="1">
      <x:c r="A7389" t="str">
        <x:v>CA-2016-105732</x:v>
      </x:c>
      <x:c r="B7389" s="18" t="n">
        <x:v>42626</x:v>
      </x:c>
      <x:c r="C7389" t="str">
        <x:v>AG-10270</x:v>
      </x:c>
      <x:c r="D7389" t="str">
        <x:v>Alejandro Grove</x:v>
      </x:c>
      <x:c r="E7389" t="str">
        <x:v>Consumer</x:v>
      </x:c>
      <x:c r="F7389" t="str">
        <x:v>Central</x:v>
      </x:c>
      <x:c r="G7389" t="str">
        <x:v>Office Supplies</x:v>
      </x:c>
      <x:c r="H7389" t="str">
        <x:v>Appliances</x:v>
      </x:c>
      <x:c r="I7389" s="22" t="n">
        <x:v>378</x:v>
      </x:c>
      <x:c r="J7389" s="24" t="n">
        <x:v>2</x:v>
      </x:c>
      <x:c r="K7389" s="26" t="n">
        <x:v>0</x:v>
      </x:c>
      <x:c r="L7389" s="22" t="n">
        <x:v>136.07999999999998</x:v>
      </x:c>
      <x:c r="M7389" t="n">
        <x:v>2016</x:v>
      </x:c>
      <x:c r="N7389" s="20" t="n">
        <x:v>42614</x:v>
      </x:c>
    </x:row>
    <x:row r="7390" ht="18" customHeight="1">
      <x:c r="A7390" t="str">
        <x:v>CA-2016-105732</x:v>
      </x:c>
      <x:c r="B7390" s="18" t="n">
        <x:v>42626</x:v>
      </x:c>
      <x:c r="C7390" t="str">
        <x:v>AG-10270</x:v>
      </x:c>
      <x:c r="D7390" t="str">
        <x:v>Alejandro Grove</x:v>
      </x:c>
      <x:c r="E7390" t="str">
        <x:v>Consumer</x:v>
      </x:c>
      <x:c r="F7390" t="str">
        <x:v>Central</x:v>
      </x:c>
      <x:c r="G7390" t="str">
        <x:v>Office Supplies</x:v>
      </x:c>
      <x:c r="H7390" t="str">
        <x:v>Paper</x:v>
      </x:c>
      <x:c r="I7390" s="22" t="n">
        <x:v>17.64</x:v>
      </x:c>
      <x:c r="J7390" s="24" t="n">
        <x:v>3</x:v>
      </x:c>
      <x:c r="K7390" s="26" t="n">
        <x:v>0</x:v>
      </x:c>
      <x:c r="L7390" s="22" t="n">
        <x:v>8.6436</x:v>
      </x:c>
      <x:c r="M7390" t="n">
        <x:v>2016</x:v>
      </x:c>
      <x:c r="N7390" s="20" t="n">
        <x:v>42614</x:v>
      </x:c>
    </x:row>
    <x:row r="7391" ht="18" customHeight="1">
      <x:c r="A7391" t="str">
        <x:v>CA-2016-105732</x:v>
      </x:c>
      <x:c r="B7391" s="18" t="n">
        <x:v>42626</x:v>
      </x:c>
      <x:c r="C7391" t="str">
        <x:v>AG-10270</x:v>
      </x:c>
      <x:c r="D7391" t="str">
        <x:v>Alejandro Grove</x:v>
      </x:c>
      <x:c r="E7391" t="str">
        <x:v>Consumer</x:v>
      </x:c>
      <x:c r="F7391" t="str">
        <x:v>Central</x:v>
      </x:c>
      <x:c r="G7391" t="str">
        <x:v>Office Supplies</x:v>
      </x:c>
      <x:c r="H7391" t="str">
        <x:v>Storage</x:v>
      </x:c>
      <x:c r="I7391" s="22" t="n">
        <x:v>373.08</x:v>
      </x:c>
      <x:c r="J7391" s="24" t="n">
        <x:v>6</x:v>
      </x:c>
      <x:c r="K7391" s="26" t="n">
        <x:v>0</x:v>
      </x:c>
      <x:c r="L7391" s="22" t="n">
        <x:v>100.73160000000001</x:v>
      </x:c>
      <x:c r="M7391" t="n">
        <x:v>2016</x:v>
      </x:c>
      <x:c r="N7391" s="20" t="n">
        <x:v>42614</x:v>
      </x:c>
    </x:row>
    <x:row r="7392" ht="18" customHeight="1">
      <x:c r="A7392" t="str">
        <x:v>CA-2016-105732</x:v>
      </x:c>
      <x:c r="B7392" s="18" t="n">
        <x:v>42626</x:v>
      </x:c>
      <x:c r="C7392" t="str">
        <x:v>AG-10270</x:v>
      </x:c>
      <x:c r="D7392" t="str">
        <x:v>Alejandro Grove</x:v>
      </x:c>
      <x:c r="E7392" t="str">
        <x:v>Consumer</x:v>
      </x:c>
      <x:c r="F7392" t="str">
        <x:v>Central</x:v>
      </x:c>
      <x:c r="G7392" t="str">
        <x:v>Furniture</x:v>
      </x:c>
      <x:c r="H7392" t="str">
        <x:v>Furnishings</x:v>
      </x:c>
      <x:c r="I7392" s="22" t="n">
        <x:v>1336.4399999999998</x:v>
      </x:c>
      <x:c r="J7392" s="24" t="n">
        <x:v>14</x:v>
      </x:c>
      <x:c r="K7392" s="26" t="n">
        <x:v>0</x:v>
      </x:c>
      <x:c r="L7392" s="22" t="n">
        <x:v>387.56759999999986</x:v>
      </x:c>
      <x:c r="M7392" t="n">
        <x:v>2016</x:v>
      </x:c>
      <x:c r="N7392" s="20" t="n">
        <x:v>42614</x:v>
      </x:c>
    </x:row>
    <x:row r="7393" ht="18" customHeight="1">
      <x:c r="A7393" t="str">
        <x:v>CA-2016-105732</x:v>
      </x:c>
      <x:c r="B7393" s="18" t="n">
        <x:v>42626</x:v>
      </x:c>
      <x:c r="C7393" t="str">
        <x:v>AG-10270</x:v>
      </x:c>
      <x:c r="D7393" t="str">
        <x:v>Alejandro Grove</x:v>
      </x:c>
      <x:c r="E7393" t="str">
        <x:v>Consumer</x:v>
      </x:c>
      <x:c r="F7393" t="str">
        <x:v>Central</x:v>
      </x:c>
      <x:c r="G7393" t="str">
        <x:v>Technology</x:v>
      </x:c>
      <x:c r="H7393" t="str">
        <x:v>Phones</x:v>
      </x:c>
      <x:c r="I7393" s="22" t="n">
        <x:v>29.97</x:v>
      </x:c>
      <x:c r="J7393" s="24" t="n">
        <x:v>3</x:v>
      </x:c>
      <x:c r="K7393" s="26" t="n">
        <x:v>0</x:v>
      </x:c>
      <x:c r="L7393" s="22" t="n">
        <x:v>0.29969999999999963</x:v>
      </x:c>
      <x:c r="M7393" t="n">
        <x:v>2016</x:v>
      </x:c>
      <x:c r="N7393" s="20" t="n">
        <x:v>42614</x:v>
      </x:c>
    </x:row>
    <x:row r="7394" ht="18" customHeight="1">
      <x:c r="A7394" t="str">
        <x:v>CA-2017-108035</x:v>
      </x:c>
      <x:c r="B7394" s="18" t="n">
        <x:v>43068</x:v>
      </x:c>
      <x:c r="C7394" t="str">
        <x:v>TT-21070</x:v>
      </x:c>
      <x:c r="D7394" t="str">
        <x:v>Ted Trevino</x:v>
      </x:c>
      <x:c r="E7394" t="str">
        <x:v>Consumer</x:v>
      </x:c>
      <x:c r="F7394" t="str">
        <x:v>South</x:v>
      </x:c>
      <x:c r="G7394" t="str">
        <x:v>Furniture</x:v>
      </x:c>
      <x:c r="H7394" t="str">
        <x:v>Chairs</x:v>
      </x:c>
      <x:c r="I7394" s="22" t="n">
        <x:v>390.368</x:v>
      </x:c>
      <x:c r="J7394" s="24" t="n">
        <x:v>2</x:v>
      </x:c>
      <x:c r="K7394" s="26" t="n">
        <x:v>0.2</x:v>
      </x:c>
      <x:c r="L7394" s="22" t="n">
        <x:v>48.79599999999998</x:v>
      </x:c>
      <x:c r="M7394" t="n">
        <x:v>2017</x:v>
      </x:c>
      <x:c r="N7394" s="20" t="n">
        <x:v>43040</x:v>
      </x:c>
    </x:row>
    <x:row r="7395" ht="18" customHeight="1">
      <x:c r="A7395" t="str">
        <x:v>CA-2017-108035</x:v>
      </x:c>
      <x:c r="B7395" s="18" t="n">
        <x:v>43068</x:v>
      </x:c>
      <x:c r="C7395" t="str">
        <x:v>TT-21070</x:v>
      </x:c>
      <x:c r="D7395" t="str">
        <x:v>Ted Trevino</x:v>
      </x:c>
      <x:c r="E7395" t="str">
        <x:v>Consumer</x:v>
      </x:c>
      <x:c r="F7395" t="str">
        <x:v>South</x:v>
      </x:c>
      <x:c r="G7395" t="str">
        <x:v>Furniture</x:v>
      </x:c>
      <x:c r="H7395" t="str">
        <x:v>Furnishings</x:v>
      </x:c>
      <x:c r="I7395" s="22" t="n">
        <x:v>101.52000000000001</x:v>
      </x:c>
      <x:c r="J7395" s="24" t="n">
        <x:v>5</x:v>
      </x:c>
      <x:c r="K7395" s="26" t="n">
        <x:v>0.2</x:v>
      </x:c>
      <x:c r="L7395" s="22" t="n">
        <x:v>19.03499999999999</x:v>
      </x:c>
      <x:c r="M7395" t="n">
        <x:v>2017</x:v>
      </x:c>
      <x:c r="N7395" s="20" t="n">
        <x:v>43040</x:v>
      </x:c>
    </x:row>
    <x:row r="7396" ht="18" customHeight="1">
      <x:c r="A7396" t="str">
        <x:v>CA-2017-160031</x:v>
      </x:c>
      <x:c r="B7396" s="18" t="n">
        <x:v>43073</x:v>
      </x:c>
      <x:c r="C7396" t="str">
        <x:v>LT-16765</x:v>
      </x:c>
      <x:c r="D7396" t="str">
        <x:v>Larry Tron</x:v>
      </x:c>
      <x:c r="E7396" t="str">
        <x:v>Consumer</x:v>
      </x:c>
      <x:c r="F7396" t="str">
        <x:v>East</x:v>
      </x:c>
      <x:c r="G7396" t="str">
        <x:v>Office Supplies</x:v>
      </x:c>
      <x:c r="H7396" t="str">
        <x:v>Paper</x:v>
      </x:c>
      <x:c r="I7396" s="22" t="n">
        <x:v>74.352</x:v>
      </x:c>
      <x:c r="J7396" s="24" t="n">
        <x:v>3</x:v>
      </x:c>
      <x:c r="K7396" s="26" t="n">
        <x:v>0.2</x:v>
      </x:c>
      <x:c r="L7396" s="22" t="n">
        <x:v>23.234999999999992</x:v>
      </x:c>
      <x:c r="M7396" t="n">
        <x:v>2017</x:v>
      </x:c>
      <x:c r="N7396" s="20" t="n">
        <x:v>43070</x:v>
      </x:c>
    </x:row>
    <x:row r="7397" ht="18" customHeight="1">
      <x:c r="A7397" t="str">
        <x:v>CA-2017-147844</x:v>
      </x:c>
      <x:c r="B7397" s="18" t="n">
        <x:v>42857</x:v>
      </x:c>
      <x:c r="C7397" t="str">
        <x:v>DD-13570</x:v>
      </x:c>
      <x:c r="D7397" t="str">
        <x:v>Dorothy Dickinson</x:v>
      </x:c>
      <x:c r="E7397" t="str">
        <x:v>Consumer</x:v>
      </x:c>
      <x:c r="F7397" t="str">
        <x:v>West</x:v>
      </x:c>
      <x:c r="G7397" t="str">
        <x:v>Office Supplies</x:v>
      </x:c>
      <x:c r="H7397" t="str">
        <x:v>Paper</x:v>
      </x:c>
      <x:c r="I7397" s="22" t="n">
        <x:v>15.700000000000001</x:v>
      </x:c>
      <x:c r="J7397" s="24" t="n">
        <x:v>5</x:v>
      </x:c>
      <x:c r="K7397" s="26" t="n">
        <x:v>0</x:v>
      </x:c>
      <x:c r="L7397" s="22" t="n">
        <x:v>7.0649999999999995</x:v>
      </x:c>
      <x:c r="M7397" t="n">
        <x:v>2017</x:v>
      </x:c>
      <x:c r="N7397" s="20" t="n">
        <x:v>42856</x:v>
      </x:c>
    </x:row>
    <x:row r="7398" ht="18" customHeight="1">
      <x:c r="A7398" t="str">
        <x:v>CA-2017-147844</x:v>
      </x:c>
      <x:c r="B7398" s="18" t="n">
        <x:v>42857</x:v>
      </x:c>
      <x:c r="C7398" t="str">
        <x:v>DD-13570</x:v>
      </x:c>
      <x:c r="D7398" t="str">
        <x:v>Dorothy Dickinson</x:v>
      </x:c>
      <x:c r="E7398" t="str">
        <x:v>Consumer</x:v>
      </x:c>
      <x:c r="F7398" t="str">
        <x:v>West</x:v>
      </x:c>
      <x:c r="G7398" t="str">
        <x:v>Office Supplies</x:v>
      </x:c>
      <x:c r="H7398" t="str">
        <x:v>Art</x:v>
      </x:c>
      <x:c r="I7398" s="22" t="n">
        <x:v>59.519999999999996</x:v>
      </x:c>
      <x:c r="J7398" s="24" t="n">
        <x:v>3</x:v>
      </x:c>
      <x:c r="K7398" s="26" t="n">
        <x:v>0</x:v>
      </x:c>
      <x:c r="L7398" s="22" t="n">
        <x:v>15.475200000000001</x:v>
      </x:c>
      <x:c r="M7398" t="n">
        <x:v>2017</x:v>
      </x:c>
      <x:c r="N7398" s="20" t="n">
        <x:v>42856</x:v>
      </x:c>
    </x:row>
    <x:row r="7399" ht="18" customHeight="1">
      <x:c r="A7399" t="str">
        <x:v>CA-2017-147844</x:v>
      </x:c>
      <x:c r="B7399" s="18" t="n">
        <x:v>42857</x:v>
      </x:c>
      <x:c r="C7399" t="str">
        <x:v>DD-13570</x:v>
      </x:c>
      <x:c r="D7399" t="str">
        <x:v>Dorothy Dickinson</x:v>
      </x:c>
      <x:c r="E7399" t="str">
        <x:v>Consumer</x:v>
      </x:c>
      <x:c r="F7399" t="str">
        <x:v>West</x:v>
      </x:c>
      <x:c r="G7399" t="str">
        <x:v>Office Supplies</x:v>
      </x:c>
      <x:c r="H7399" t="str">
        <x:v>Paper</x:v>
      </x:c>
      <x:c r="I7399" s="22" t="n">
        <x:v>34.4</x:v>
      </x:c>
      <x:c r="J7399" s="24" t="n">
        <x:v>5</x:v>
      </x:c>
      <x:c r="K7399" s="26" t="n">
        <x:v>0</x:v>
      </x:c>
      <x:c r="L7399" s="22" t="n">
        <x:v>15.823999999999998</x:v>
      </x:c>
      <x:c r="M7399" t="n">
        <x:v>2017</x:v>
      </x:c>
      <x:c r="N7399" s="20" t="n">
        <x:v>42856</x:v>
      </x:c>
    </x:row>
    <x:row r="7400" ht="18" customHeight="1">
      <x:c r="A7400" t="str">
        <x:v>CA-2016-110975</x:v>
      </x:c>
      <x:c r="B7400" s="18" t="n">
        <x:v>42729</x:v>
      </x:c>
      <x:c r="C7400" t="str">
        <x:v>DB-12970</x:v>
      </x:c>
      <x:c r="D7400" t="str">
        <x:v>Darren Budd</x:v>
      </x:c>
      <x:c r="E7400" t="str">
        <x:v>Corporate</x:v>
      </x:c>
      <x:c r="F7400" t="str">
        <x:v>East</x:v>
      </x:c>
      <x:c r="G7400" t="str">
        <x:v>Furniture</x:v>
      </x:c>
      <x:c r="H7400" t="str">
        <x:v>Tables</x:v>
      </x:c>
      <x:c r="I7400" s="22" t="n">
        <x:v>313.176</x:v>
      </x:c>
      <x:c r="J7400" s="24" t="n">
        <x:v>2</x:v>
      </x:c>
      <x:c r="K7400" s="26" t="n">
        <x:v>0.4</x:v>
      </x:c>
      <x:c r="L7400" s="22" t="n">
        <x:v>-120.05080000000007</x:v>
      </x:c>
      <x:c r="M7400" t="n">
        <x:v>2016</x:v>
      </x:c>
      <x:c r="N7400" s="20" t="n">
        <x:v>42705</x:v>
      </x:c>
    </x:row>
    <x:row r="7401" ht="18" customHeight="1">
      <x:c r="A7401" t="str">
        <x:v>CA-2016-110975</x:v>
      </x:c>
      <x:c r="B7401" s="18" t="n">
        <x:v>42729</x:v>
      </x:c>
      <x:c r="C7401" t="str">
        <x:v>DB-12970</x:v>
      </x:c>
      <x:c r="D7401" t="str">
        <x:v>Darren Budd</x:v>
      </x:c>
      <x:c r="E7401" t="str">
        <x:v>Corporate</x:v>
      </x:c>
      <x:c r="F7401" t="str">
        <x:v>East</x:v>
      </x:c>
      <x:c r="G7401" t="str">
        <x:v>Furniture</x:v>
      </x:c>
      <x:c r="H7401" t="str">
        <x:v>Chairs</x:v>
      </x:c>
      <x:c r="I7401" s="22" t="n">
        <x:v>866.646</x:v>
      </x:c>
      <x:c r="J7401" s="24" t="n">
        <x:v>3</x:v>
      </x:c>
      <x:c r="K7401" s="26" t="n">
        <x:v>0.1</x:v>
      </x:c>
      <x:c r="L7401" s="22" t="n">
        <x:v>173.3292</x:v>
      </x:c>
      <x:c r="M7401" t="n">
        <x:v>2016</x:v>
      </x:c>
      <x:c r="N7401" s="20" t="n">
        <x:v>42705</x:v>
      </x:c>
    </x:row>
    <x:row r="7402" ht="18" customHeight="1">
      <x:c r="A7402" t="str">
        <x:v>CA-2014-141649</x:v>
      </x:c>
      <x:c r="B7402" s="18" t="n">
        <x:v>41912</x:v>
      </x:c>
      <x:c r="C7402" t="str">
        <x:v>DM-12955</x:v>
      </x:c>
      <x:c r="D7402" t="str">
        <x:v>Dario Medina</x:v>
      </x:c>
      <x:c r="E7402" t="str">
        <x:v>Corporate</x:v>
      </x:c>
      <x:c r="F7402" t="str">
        <x:v>East</x:v>
      </x:c>
      <x:c r="G7402" t="str">
        <x:v>Office Supplies</x:v>
      </x:c>
      <x:c r="H7402" t="str">
        <x:v>Appliances</x:v>
      </x:c>
      <x:c r="I7402" s="22" t="n">
        <x:v>795.4080000000001</x:v>
      </x:c>
      <x:c r="J7402" s="24" t="n">
        <x:v>6</x:v>
      </x:c>
      <x:c r="K7402" s="26" t="n">
        <x:v>0.2</x:v>
      </x:c>
      <x:c r="L7402" s="22" t="n">
        <x:v>59.65559999999999</x:v>
      </x:c>
      <x:c r="M7402" t="n">
        <x:v>2014</x:v>
      </x:c>
      <x:c r="N7402" s="20" t="n">
        <x:v>41883</x:v>
      </x:c>
    </x:row>
    <x:row r="7403" ht="18" customHeight="1">
      <x:c r="A7403" t="str">
        <x:v>CA-2014-124807</x:v>
      </x:c>
      <x:c r="B7403" s="18" t="n">
        <x:v>41832</x:v>
      </x:c>
      <x:c r="C7403" t="str">
        <x:v>ME-17725</x:v>
      </x:c>
      <x:c r="D7403" t="str">
        <x:v>Max Engle</x:v>
      </x:c>
      <x:c r="E7403" t="str">
        <x:v>Consumer</x:v>
      </x:c>
      <x:c r="F7403" t="str">
        <x:v>Central</x:v>
      </x:c>
      <x:c r="G7403" t="str">
        <x:v>Office Supplies</x:v>
      </x:c>
      <x:c r="H7403" t="str">
        <x:v>Paper</x:v>
      </x:c>
      <x:c r="I7403" s="22" t="n">
        <x:v>35.856</x:v>
      </x:c>
      <x:c r="J7403" s="24" t="n">
        <x:v>9</x:v>
      </x:c>
      <x:c r="K7403" s="26" t="n">
        <x:v>0.2</x:v>
      </x:c>
      <x:c r="L7403" s="22" t="n">
        <x:v>12.997800000000003</x:v>
      </x:c>
      <x:c r="M7403" t="n">
        <x:v>2014</x:v>
      </x:c>
      <x:c r="N7403" s="20" t="n">
        <x:v>41821</x:v>
      </x:c>
    </x:row>
    <x:row r="7404" ht="18" customHeight="1">
      <x:c r="A7404" t="str">
        <x:v>CA-2014-124807</x:v>
      </x:c>
      <x:c r="B7404" s="18" t="n">
        <x:v>41832</x:v>
      </x:c>
      <x:c r="C7404" t="str">
        <x:v>ME-17725</x:v>
      </x:c>
      <x:c r="D7404" t="str">
        <x:v>Max Engle</x:v>
      </x:c>
      <x:c r="E7404" t="str">
        <x:v>Consumer</x:v>
      </x:c>
      <x:c r="F7404" t="str">
        <x:v>Central</x:v>
      </x:c>
      <x:c r="G7404" t="str">
        <x:v>Technology</x:v>
      </x:c>
      <x:c r="H7404" t="str">
        <x:v>Accessories</x:v>
      </x:c>
      <x:c r="I7404" s="22" t="n">
        <x:v>23.840000000000003</x:v>
      </x:c>
      <x:c r="J7404" s="24" t="n">
        <x:v>4</x:v>
      </x:c>
      <x:c r="K7404" s="26" t="n">
        <x:v>0.2</x:v>
      </x:c>
      <x:c r="L7404" s="22" t="n">
        <x:v>3.2779999999999987</x:v>
      </x:c>
      <x:c r="M7404" t="n">
        <x:v>2014</x:v>
      </x:c>
      <x:c r="N7404" s="20" t="n">
        <x:v>41821</x:v>
      </x:c>
    </x:row>
    <x:row r="7405" ht="18" customHeight="1">
      <x:c r="A7405" t="str">
        <x:v>CA-2016-110009</x:v>
      </x:c>
      <x:c r="B7405" s="18" t="n">
        <x:v>42621</x:v>
      </x:c>
      <x:c r="C7405" t="str">
        <x:v>TR-21325</x:v>
      </x:c>
      <x:c r="D7405" t="str">
        <x:v>Toby Ritter</x:v>
      </x:c>
      <x:c r="E7405" t="str">
        <x:v>Consumer</x:v>
      </x:c>
      <x:c r="F7405" t="str">
        <x:v>West</x:v>
      </x:c>
      <x:c r="G7405" t="str">
        <x:v>Furniture</x:v>
      </x:c>
      <x:c r="H7405" t="str">
        <x:v>Furnishings</x:v>
      </x:c>
      <x:c r="I7405" s="22" t="n">
        <x:v>43.13</x:v>
      </x:c>
      <x:c r="J7405" s="24" t="n">
        <x:v>1</x:v>
      </x:c>
      <x:c r="K7405" s="26" t="n">
        <x:v>0</x:v>
      </x:c>
      <x:c r="L7405" s="22" t="n">
        <x:v>14.664200000000001</x:v>
      </x:c>
      <x:c r="M7405" t="n">
        <x:v>2016</x:v>
      </x:c>
      <x:c r="N7405" s="20" t="n">
        <x:v>42614</x:v>
      </x:c>
    </x:row>
    <x:row r="7406" ht="18" customHeight="1">
      <x:c r="A7406" t="str">
        <x:v>CA-2016-110009</x:v>
      </x:c>
      <x:c r="B7406" s="18" t="n">
        <x:v>42621</x:v>
      </x:c>
      <x:c r="C7406" t="str">
        <x:v>TR-21325</x:v>
      </x:c>
      <x:c r="D7406" t="str">
        <x:v>Toby Ritter</x:v>
      </x:c>
      <x:c r="E7406" t="str">
        <x:v>Consumer</x:v>
      </x:c>
      <x:c r="F7406" t="str">
        <x:v>West</x:v>
      </x:c>
      <x:c r="G7406" t="str">
        <x:v>Office Supplies</x:v>
      </x:c>
      <x:c r="H7406" t="str">
        <x:v>Paper</x:v>
      </x:c>
      <x:c r="I7406" s="22" t="n">
        <x:v>30.87</x:v>
      </x:c>
      <x:c r="J7406" s="24" t="n">
        <x:v>7</x:v>
      </x:c>
      <x:c r="K7406" s="26" t="n">
        <x:v>0</x:v>
      </x:c>
      <x:c r="L7406" s="22" t="n">
        <x:v>14.200199999999999</x:v>
      </x:c>
      <x:c r="M7406" t="n">
        <x:v>2016</x:v>
      </x:c>
      <x:c r="N7406" s="20" t="n">
        <x:v>42614</x:v>
      </x:c>
    </x:row>
    <x:row r="7407" ht="18" customHeight="1">
      <x:c r="A7407" t="str">
        <x:v>CA-2017-168172</x:v>
      </x:c>
      <x:c r="B7407" s="18" t="n">
        <x:v>42953</x:v>
      </x:c>
      <x:c r="C7407" t="str">
        <x:v>SH-20395</x:v>
      </x:c>
      <x:c r="D7407" t="str">
        <x:v>Shahid Hopkins</x:v>
      </x:c>
      <x:c r="E7407" t="str">
        <x:v>Consumer</x:v>
      </x:c>
      <x:c r="F7407" t="str">
        <x:v>East</x:v>
      </x:c>
      <x:c r="G7407" t="str">
        <x:v>Office Supplies</x:v>
      </x:c>
      <x:c r="H7407" t="str">
        <x:v>Supplies</x:v>
      </x:c>
      <x:c r="I7407" s="22" t="n">
        <x:v>70.12</x:v>
      </x:c>
      <x:c r="J7407" s="24" t="n">
        <x:v>4</x:v>
      </x:c>
      <x:c r="K7407" s="26" t="n">
        <x:v>0</x:v>
      </x:c>
      <x:c r="L7407" s="22" t="n">
        <x:v>21.035999999999994</x:v>
      </x:c>
      <x:c r="M7407" t="n">
        <x:v>2017</x:v>
      </x:c>
      <x:c r="N7407" s="20" t="n">
        <x:v>42948</x:v>
      </x:c>
    </x:row>
    <x:row r="7408" ht="18" customHeight="1">
      <x:c r="A7408" t="str">
        <x:v>CA-2015-100146</x:v>
      </x:c>
      <x:c r="B7408" s="18" t="n">
        <x:v>42138</x:v>
      </x:c>
      <x:c r="C7408" t="str">
        <x:v>CB-12535</x:v>
      </x:c>
      <x:c r="D7408" t="str">
        <x:v>Claudia Bergmann</x:v>
      </x:c>
      <x:c r="E7408" t="str">
        <x:v>Corporate</x:v>
      </x:c>
      <x:c r="F7408" t="str">
        <x:v>West</x:v>
      </x:c>
      <x:c r="G7408" t="str">
        <x:v>Furniture</x:v>
      </x:c>
      <x:c r="H7408" t="str">
        <x:v>Bookcases</x:v>
      </x:c>
      <x:c r="I7408" s="22" t="n">
        <x:v>509.9574999999999</x:v>
      </x:c>
      <x:c r="J7408" s="24" t="n">
        <x:v>5</x:v>
      </x:c>
      <x:c r="K7408" s="26" t="n">
        <x:v>0.15</x:v>
      </x:c>
      <x:c r="L7408" s="22" t="n">
        <x:v>41.99649999999994</x:v>
      </x:c>
      <x:c r="M7408" t="n">
        <x:v>2015</x:v>
      </x:c>
      <x:c r="N7408" s="20" t="n">
        <x:v>42125</x:v>
      </x:c>
    </x:row>
    <x:row r="7409" ht="18" customHeight="1">
      <x:c r="A7409" t="str">
        <x:v>CA-2015-100146</x:v>
      </x:c>
      <x:c r="B7409" s="18" t="n">
        <x:v>42138</x:v>
      </x:c>
      <x:c r="C7409" t="str">
        <x:v>CB-12535</x:v>
      </x:c>
      <x:c r="D7409" t="str">
        <x:v>Claudia Bergmann</x:v>
      </x:c>
      <x:c r="E7409" t="str">
        <x:v>Corporate</x:v>
      </x:c>
      <x:c r="F7409" t="str">
        <x:v>West</x:v>
      </x:c>
      <x:c r="G7409" t="str">
        <x:v>Furniture</x:v>
      </x:c>
      <x:c r="H7409" t="str">
        <x:v>Furnishings</x:v>
      </x:c>
      <x:c r="I7409" s="22" t="n">
        <x:v>122.91</x:v>
      </x:c>
      <x:c r="J7409" s="24" t="n">
        <x:v>3</x:v>
      </x:c>
      <x:c r="K7409" s="26" t="n">
        <x:v>0</x:v>
      </x:c>
      <x:c r="L7409" s="22" t="n">
        <x:v>34.41480000000001</x:v>
      </x:c>
      <x:c r="M7409" t="n">
        <x:v>2015</x:v>
      </x:c>
      <x:c r="N7409" s="20" t="n">
        <x:v>42125</x:v>
      </x:c>
    </x:row>
    <x:row r="7410" ht="18" customHeight="1">
      <x:c r="A7410" t="str">
        <x:v>CA-2015-100146</x:v>
      </x:c>
      <x:c r="B7410" s="18" t="n">
        <x:v>42138</x:v>
      </x:c>
      <x:c r="C7410" t="str">
        <x:v>CB-12535</x:v>
      </x:c>
      <x:c r="D7410" t="str">
        <x:v>Claudia Bergmann</x:v>
      </x:c>
      <x:c r="E7410" t="str">
        <x:v>Corporate</x:v>
      </x:c>
      <x:c r="F7410" t="str">
        <x:v>West</x:v>
      </x:c>
      <x:c r="G7410" t="str">
        <x:v>Furniture</x:v>
      </x:c>
      <x:c r="H7410" t="str">
        <x:v>Chairs</x:v>
      </x:c>
      <x:c r="I7410" s="22" t="n">
        <x:v>97.568</x:v>
      </x:c>
      <x:c r="J7410" s="24" t="n">
        <x:v>2</x:v>
      </x:c>
      <x:c r="K7410" s="26" t="n">
        <x:v>0.2</x:v>
      </x:c>
      <x:c r="L7410" s="22" t="n">
        <x:v>-6.0980000000000025</x:v>
      </x:c>
      <x:c r="M7410" t="n">
        <x:v>2015</x:v>
      </x:c>
      <x:c r="N7410" s="20" t="n">
        <x:v>42125</x:v>
      </x:c>
    </x:row>
    <x:row r="7411" ht="18" customHeight="1">
      <x:c r="A7411" t="str">
        <x:v>CA-2015-100146</x:v>
      </x:c>
      <x:c r="B7411" s="18" t="n">
        <x:v>42138</x:v>
      </x:c>
      <x:c r="C7411" t="str">
        <x:v>CB-12535</x:v>
      </x:c>
      <x:c r="D7411" t="str">
        <x:v>Claudia Bergmann</x:v>
      </x:c>
      <x:c r="E7411" t="str">
        <x:v>Corporate</x:v>
      </x:c>
      <x:c r="F7411" t="str">
        <x:v>West</x:v>
      </x:c>
      <x:c r="G7411" t="str">
        <x:v>Furniture</x:v>
      </x:c>
      <x:c r="H7411" t="str">
        <x:v>Chairs</x:v>
      </x:c>
      <x:c r="I7411" s="22" t="n">
        <x:v>722.3520000000001</x:v>
      </x:c>
      <x:c r="J7411" s="24" t="n">
        <x:v>3</x:v>
      </x:c>
      <x:c r="K7411" s="26" t="n">
        <x:v>0.2</x:v>
      </x:c>
      <x:c r="L7411" s="22" t="n">
        <x:v>81.26459999999992</x:v>
      </x:c>
      <x:c r="M7411" t="n">
        <x:v>2015</x:v>
      </x:c>
      <x:c r="N7411" s="20" t="n">
        <x:v>42125</x:v>
      </x:c>
    </x:row>
    <x:row r="7412" ht="18" customHeight="1">
      <x:c r="A7412" t="str">
        <x:v>CA-2017-152079</x:v>
      </x:c>
      <x:c r="B7412" s="18" t="n">
        <x:v>42755</x:v>
      </x:c>
      <x:c r="C7412" t="str">
        <x:v>ML-17410</x:v>
      </x:c>
      <x:c r="D7412" t="str">
        <x:v>Maris LaWare</x:v>
      </x:c>
      <x:c r="E7412" t="str">
        <x:v>Consumer</x:v>
      </x:c>
      <x:c r="F7412" t="str">
        <x:v>Central</x:v>
      </x:c>
      <x:c r="G7412" t="str">
        <x:v>Office Supplies</x:v>
      </x:c>
      <x:c r="H7412" t="str">
        <x:v>Labels</x:v>
      </x:c>
      <x:c r="I7412" s="22" t="n">
        <x:v>11.52</x:v>
      </x:c>
      <x:c r="J7412" s="24" t="n">
        <x:v>5</x:v>
      </x:c>
      <x:c r="K7412" s="26" t="n">
        <x:v>0.2</x:v>
      </x:c>
      <x:c r="L7412" s="22" t="n">
        <x:v>4.176</x:v>
      </x:c>
      <x:c r="M7412" t="n">
        <x:v>2017</x:v>
      </x:c>
      <x:c r="N7412" s="20" t="n">
        <x:v>42736</x:v>
      </x:c>
    </x:row>
    <x:row r="7413" ht="18" customHeight="1">
      <x:c r="A7413" t="str">
        <x:v>CA-2016-129728</x:v>
      </x:c>
      <x:c r="B7413" s="18" t="n">
        <x:v>42520</x:v>
      </x:c>
      <x:c r="C7413" t="str">
        <x:v>JG-15310</x:v>
      </x:c>
      <x:c r="D7413" t="str">
        <x:v>Jason Gross</x:v>
      </x:c>
      <x:c r="E7413" t="str">
        <x:v>Corporate</x:v>
      </x:c>
      <x:c r="F7413" t="str">
        <x:v>West</x:v>
      </x:c>
      <x:c r="G7413" t="str">
        <x:v>Furniture</x:v>
      </x:c>
      <x:c r="H7413" t="str">
        <x:v>Furnishings</x:v>
      </x:c>
      <x:c r="I7413" s="22" t="n">
        <x:v>167.84</x:v>
      </x:c>
      <x:c r="J7413" s="24" t="n">
        <x:v>8</x:v>
      </x:c>
      <x:c r="K7413" s="26" t="n">
        <x:v>0</x:v>
      </x:c>
      <x:c r="L7413" s="22" t="n">
        <x:v>11.748799999999989</x:v>
      </x:c>
      <x:c r="M7413" t="n">
        <x:v>2016</x:v>
      </x:c>
      <x:c r="N7413" s="20" t="n">
        <x:v>42491</x:v>
      </x:c>
    </x:row>
    <x:row r="7414" ht="18" customHeight="1">
      <x:c r="A7414" t="str">
        <x:v>CA-2014-121769</x:v>
      </x:c>
      <x:c r="B7414" s="18" t="n">
        <x:v>41737</x:v>
      </x:c>
      <x:c r="C7414" t="str">
        <x:v>JS-15880</x:v>
      </x:c>
      <x:c r="D7414" t="str">
        <x:v>John Stevenson</x:v>
      </x:c>
      <x:c r="E7414" t="str">
        <x:v>Consumer</x:v>
      </x:c>
      <x:c r="F7414" t="str">
        <x:v>East</x:v>
      </x:c>
      <x:c r="G7414" t="str">
        <x:v>Furniture</x:v>
      </x:c>
      <x:c r="H7414" t="str">
        <x:v>Tables</x:v>
      </x:c>
      <x:c r="I7414" s="22" t="n">
        <x:v>172.11</x:v>
      </x:c>
      <x:c r="J7414" s="24" t="n">
        <x:v>1</x:v>
      </x:c>
      <x:c r="K7414" s="26" t="n">
        <x:v>0.4</x:v>
      </x:c>
      <x:c r="L7414" s="22" t="n">
        <x:v>-94.66050000000001</x:v>
      </x:c>
      <x:c r="M7414" t="n">
        <x:v>2014</x:v>
      </x:c>
      <x:c r="N7414" s="20" t="n">
        <x:v>41730</x:v>
      </x:c>
    </x:row>
    <x:row r="7415" ht="18" customHeight="1">
      <x:c r="A7415" t="str">
        <x:v>CA-2014-103058</x:v>
      </x:c>
      <x:c r="B7415" s="18" t="n">
        <x:v>41843</x:v>
      </x:c>
      <x:c r="C7415" t="str">
        <x:v>AG-10270</x:v>
      </x:c>
      <x:c r="D7415" t="str">
        <x:v>Alejandro Grove</x:v>
      </x:c>
      <x:c r="E7415" t="str">
        <x:v>Consumer</x:v>
      </x:c>
      <x:c r="F7415" t="str">
        <x:v>East</x:v>
      </x:c>
      <x:c r="G7415" t="str">
        <x:v>Technology</x:v>
      </x:c>
      <x:c r="H7415" t="str">
        <x:v>Accessories</x:v>
      </x:c>
      <x:c r="I7415" s="22" t="n">
        <x:v>99.98</x:v>
      </x:c>
      <x:c r="J7415" s="24" t="n">
        <x:v>2</x:v>
      </x:c>
      <x:c r="K7415" s="26" t="n">
        <x:v>0</x:v>
      </x:c>
      <x:c r="L7415" s="22" t="n">
        <x:v>7.9983999999999895</x:v>
      </x:c>
      <x:c r="M7415" t="n">
        <x:v>2014</x:v>
      </x:c>
      <x:c r="N7415" s="20" t="n">
        <x:v>41821</x:v>
      </x:c>
    </x:row>
    <x:row r="7416" ht="18" customHeight="1">
      <x:c r="A7416" t="str">
        <x:v>CA-2017-121125</x:v>
      </x:c>
      <x:c r="B7416" s="18" t="n">
        <x:v>42885</x:v>
      </x:c>
      <x:c r="C7416" t="str">
        <x:v>MG-17890</x:v>
      </x:c>
      <x:c r="D7416" t="str">
        <x:v>Michael Granlund</x:v>
      </x:c>
      <x:c r="E7416" t="str">
        <x:v>Home Office</x:v>
      </x:c>
      <x:c r="F7416" t="str">
        <x:v>West</x:v>
      </x:c>
      <x:c r="G7416" t="str">
        <x:v>Technology</x:v>
      </x:c>
      <x:c r="H7416" t="str">
        <x:v>Phones</x:v>
      </x:c>
      <x:c r="I7416" s="22" t="n">
        <x:v>156.79200000000003</x:v>
      </x:c>
      <x:c r="J7416" s="24" t="n">
        <x:v>1</x:v>
      </x:c>
      <x:c r="K7416" s="26" t="n">
        <x:v>0.2</x:v>
      </x:c>
      <x:c r="L7416" s="22" t="n">
        <x:v>17.639099999999985</x:v>
      </x:c>
      <x:c r="M7416" t="n">
        <x:v>2017</x:v>
      </x:c>
      <x:c r="N7416" s="20" t="n">
        <x:v>42856</x:v>
      </x:c>
    </x:row>
    <x:row r="7417" ht="18" customHeight="1">
      <x:c r="A7417" t="str">
        <x:v>CA-2017-121125</x:v>
      </x:c>
      <x:c r="B7417" s="18" t="n">
        <x:v>42885</x:v>
      </x:c>
      <x:c r="C7417" t="str">
        <x:v>MG-17890</x:v>
      </x:c>
      <x:c r="D7417" t="str">
        <x:v>Michael Granlund</x:v>
      </x:c>
      <x:c r="E7417" t="str">
        <x:v>Home Office</x:v>
      </x:c>
      <x:c r="F7417" t="str">
        <x:v>West</x:v>
      </x:c>
      <x:c r="G7417" t="str">
        <x:v>Technology</x:v>
      </x:c>
      <x:c r="H7417" t="str">
        <x:v>Accessories</x:v>
      </x:c>
      <x:c r="I7417" s="22" t="n">
        <x:v>35.36000000000001</x:v>
      </x:c>
      <x:c r="J7417" s="24" t="n">
        <x:v>2</x:v>
      </x:c>
      <x:c r="K7417" s="26" t="n">
        <x:v>0.2</x:v>
      </x:c>
      <x:c r="L7417" s="22" t="n">
        <x:v>-3.0939999999999994</x:v>
      </x:c>
      <x:c r="M7417" t="n">
        <x:v>2017</x:v>
      </x:c>
      <x:c r="N7417" s="20" t="n">
        <x:v>42856</x:v>
      </x:c>
    </x:row>
    <x:row r="7418" ht="18" customHeight="1">
      <x:c r="A7418" t="str">
        <x:v>CA-2017-121125</x:v>
      </x:c>
      <x:c r="B7418" s="18" t="n">
        <x:v>42885</x:v>
      </x:c>
      <x:c r="C7418" t="str">
        <x:v>MG-17890</x:v>
      </x:c>
      <x:c r="D7418" t="str">
        <x:v>Michael Granlund</x:v>
      </x:c>
      <x:c r="E7418" t="str">
        <x:v>Home Office</x:v>
      </x:c>
      <x:c r="F7418" t="str">
        <x:v>West</x:v>
      </x:c>
      <x:c r="G7418" t="str">
        <x:v>Furniture</x:v>
      </x:c>
      <x:c r="H7418" t="str">
        <x:v>Furnishings</x:v>
      </x:c>
      <x:c r="I7418" s="22" t="n">
        <x:v>13.591999999999999</x:v>
      </x:c>
      <x:c r="J7418" s="24" t="n">
        <x:v>1</x:v>
      </x:c>
      <x:c r="K7418" s="26" t="n">
        <x:v>0.2</x:v>
      </x:c>
      <x:c r="L7418" s="22" t="n">
        <x:v>-0.3398000000000003</x:v>
      </x:c>
      <x:c r="M7418" t="n">
        <x:v>2017</x:v>
      </x:c>
      <x:c r="N7418" s="20" t="n">
        <x:v>42856</x:v>
      </x:c>
    </x:row>
    <x:row r="7419" ht="18" customHeight="1">
      <x:c r="A7419" t="str">
        <x:v>US-2016-114013</x:v>
      </x:c>
      <x:c r="B7419" s="18" t="n">
        <x:v>42442</x:v>
      </x:c>
      <x:c r="C7419" t="str">
        <x:v>SC-20770</x:v>
      </x:c>
      <x:c r="D7419" t="str">
        <x:v>Stewart Carmichael</x:v>
      </x:c>
      <x:c r="E7419" t="str">
        <x:v>Corporate</x:v>
      </x:c>
      <x:c r="F7419" t="str">
        <x:v>East</x:v>
      </x:c>
      <x:c r="G7419" t="str">
        <x:v>Furniture</x:v>
      </x:c>
      <x:c r="H7419" t="str">
        <x:v>Chairs</x:v>
      </x:c>
      <x:c r="I7419" s="22" t="n">
        <x:v>386.67999999999995</x:v>
      </x:c>
      <x:c r="J7419" s="24" t="n">
        <x:v>2</x:v>
      </x:c>
      <x:c r="K7419" s="26" t="n">
        <x:v>0.3</x:v>
      </x:c>
      <x:c r="L7419" s="22" t="n">
        <x:v>-5.524000000000029</x:v>
      </x:c>
      <x:c r="M7419" t="n">
        <x:v>2016</x:v>
      </x:c>
      <x:c r="N7419" s="20" t="n">
        <x:v>42430</x:v>
      </x:c>
    </x:row>
    <x:row r="7420" ht="18" customHeight="1">
      <x:c r="A7420" t="str">
        <x:v>US-2016-114013</x:v>
      </x:c>
      <x:c r="B7420" s="18" t="n">
        <x:v>42442</x:v>
      </x:c>
      <x:c r="C7420" t="str">
        <x:v>SC-20770</x:v>
      </x:c>
      <x:c r="D7420" t="str">
        <x:v>Stewart Carmichael</x:v>
      </x:c>
      <x:c r="E7420" t="str">
        <x:v>Corporate</x:v>
      </x:c>
      <x:c r="F7420" t="str">
        <x:v>East</x:v>
      </x:c>
      <x:c r="G7420" t="str">
        <x:v>Technology</x:v>
      </x:c>
      <x:c r="H7420" t="str">
        <x:v>Accessories</x:v>
      </x:c>
      <x:c r="I7420" s="22" t="n">
        <x:v>379.96000000000004</x:v>
      </x:c>
      <x:c r="J7420" s="24" t="n">
        <x:v>5</x:v>
      </x:c>
      <x:c r="K7420" s="26" t="n">
        <x:v>0.2</x:v>
      </x:c>
      <x:c r="L7420" s="22" t="n">
        <x:v>47.49499999999992</x:v>
      </x:c>
      <x:c r="M7420" t="n">
        <x:v>2016</x:v>
      </x:c>
      <x:c r="N7420" s="20" t="n">
        <x:v>42430</x:v>
      </x:c>
    </x:row>
    <x:row r="7421" ht="18" customHeight="1">
      <x:c r="A7421" t="str">
        <x:v>US-2016-114013</x:v>
      </x:c>
      <x:c r="B7421" s="18" t="n">
        <x:v>42442</x:v>
      </x:c>
      <x:c r="C7421" t="str">
        <x:v>SC-20770</x:v>
      </x:c>
      <x:c r="D7421" t="str">
        <x:v>Stewart Carmichael</x:v>
      </x:c>
      <x:c r="E7421" t="str">
        <x:v>Corporate</x:v>
      </x:c>
      <x:c r="F7421" t="str">
        <x:v>East</x:v>
      </x:c>
      <x:c r="G7421" t="str">
        <x:v>Technology</x:v>
      </x:c>
      <x:c r="H7421" t="str">
        <x:v>Phones</x:v>
      </x:c>
      <x:c r="I7421" s="22" t="n">
        <x:v>539.91</x:v>
      </x:c>
      <x:c r="J7421" s="24" t="n">
        <x:v>3</x:v>
      </x:c>
      <x:c r="K7421" s="26" t="n">
        <x:v>0.4</x:v>
      </x:c>
      <x:c r="L7421" s="22" t="n">
        <x:v>-116.98049999999998</x:v>
      </x:c>
      <x:c r="M7421" t="n">
        <x:v>2016</x:v>
      </x:c>
      <x:c r="N7421" s="20" t="n">
        <x:v>42430</x:v>
      </x:c>
    </x:row>
    <x:row r="7422" ht="18" customHeight="1">
      <x:c r="A7422" t="str">
        <x:v>US-2016-114013</x:v>
      </x:c>
      <x:c r="B7422" s="18" t="n">
        <x:v>42442</x:v>
      </x:c>
      <x:c r="C7422" t="str">
        <x:v>SC-20770</x:v>
      </x:c>
      <x:c r="D7422" t="str">
        <x:v>Stewart Carmichael</x:v>
      </x:c>
      <x:c r="E7422" t="str">
        <x:v>Corporate</x:v>
      </x:c>
      <x:c r="F7422" t="str">
        <x:v>East</x:v>
      </x:c>
      <x:c r="G7422" t="str">
        <x:v>Office Supplies</x:v>
      </x:c>
      <x:c r="H7422" t="str">
        <x:v>Paper</x:v>
      </x:c>
      <x:c r="I7422" s="22" t="n">
        <x:v>41.24000000000001</x:v>
      </x:c>
      <x:c r="J7422" s="24" t="n">
        <x:v>5</x:v>
      </x:c>
      <x:c r="K7422" s="26" t="n">
        <x:v>0.2</x:v>
      </x:c>
      <x:c r="L7422" s="22" t="n">
        <x:v>13.918499999999998</x:v>
      </x:c>
      <x:c r="M7422" t="n">
        <x:v>2016</x:v>
      </x:c>
      <x:c r="N7422" s="20" t="n">
        <x:v>42430</x:v>
      </x:c>
    </x:row>
    <x:row r="7423" ht="18" customHeight="1">
      <x:c r="A7423" t="str">
        <x:v>US-2016-114013</x:v>
      </x:c>
      <x:c r="B7423" s="18" t="n">
        <x:v>42442</x:v>
      </x:c>
      <x:c r="C7423" t="str">
        <x:v>SC-20770</x:v>
      </x:c>
      <x:c r="D7423" t="str">
        <x:v>Stewart Carmichael</x:v>
      </x:c>
      <x:c r="E7423" t="str">
        <x:v>Corporate</x:v>
      </x:c>
      <x:c r="F7423" t="str">
        <x:v>East</x:v>
      </x:c>
      <x:c r="G7423" t="str">
        <x:v>Office Supplies</x:v>
      </x:c>
      <x:c r="H7423" t="str">
        <x:v>Binders</x:v>
      </x:c>
      <x:c r="I7423" s="22" t="n">
        <x:v>51.89700000000001</x:v>
      </x:c>
      <x:c r="J7423" s="24" t="n">
        <x:v>1</x:v>
      </x:c>
      <x:c r="K7423" s="26" t="n">
        <x:v>0.7</x:v>
      </x:c>
      <x:c r="L7423" s="22" t="n">
        <x:v>-41.5176</x:v>
      </x:c>
      <x:c r="M7423" t="n">
        <x:v>2016</x:v>
      </x:c>
      <x:c r="N7423" s="20" t="n">
        <x:v>42430</x:v>
      </x:c>
    </x:row>
    <x:row r="7424" ht="18" customHeight="1">
      <x:c r="A7424" t="str">
        <x:v>US-2016-114013</x:v>
      </x:c>
      <x:c r="B7424" s="18" t="n">
        <x:v>42442</x:v>
      </x:c>
      <x:c r="C7424" t="str">
        <x:v>SC-20770</x:v>
      </x:c>
      <x:c r="D7424" t="str">
        <x:v>Stewart Carmichael</x:v>
      </x:c>
      <x:c r="E7424" t="str">
        <x:v>Corporate</x:v>
      </x:c>
      <x:c r="F7424" t="str">
        <x:v>East</x:v>
      </x:c>
      <x:c r="G7424" t="str">
        <x:v>Office Supplies</x:v>
      </x:c>
      <x:c r="H7424" t="str">
        <x:v>Storage</x:v>
      </x:c>
      <x:c r="I7424" s="22" t="n">
        <x:v>552.56</x:v>
      </x:c>
      <x:c r="J7424" s="24" t="n">
        <x:v>5</x:v>
      </x:c>
      <x:c r="K7424" s="26" t="n">
        <x:v>0.2</x:v>
      </x:c>
      <x:c r="L7424" s="22" t="n">
        <x:v>-138.14</x:v>
      </x:c>
      <x:c r="M7424" t="n">
        <x:v>2016</x:v>
      </x:c>
      <x:c r="N7424" s="20" t="n">
        <x:v>42430</x:v>
      </x:c>
    </x:row>
    <x:row r="7425" ht="18" customHeight="1">
      <x:c r="A7425" t="str">
        <x:v>US-2016-114013</x:v>
      </x:c>
      <x:c r="B7425" s="18" t="n">
        <x:v>42442</x:v>
      </x:c>
      <x:c r="C7425" t="str">
        <x:v>SC-20770</x:v>
      </x:c>
      <x:c r="D7425" t="str">
        <x:v>Stewart Carmichael</x:v>
      </x:c>
      <x:c r="E7425" t="str">
        <x:v>Corporate</x:v>
      </x:c>
      <x:c r="F7425" t="str">
        <x:v>East</x:v>
      </x:c>
      <x:c r="G7425" t="str">
        <x:v>Office Supplies</x:v>
      </x:c>
      <x:c r="H7425" t="str">
        <x:v>Binders</x:v>
      </x:c>
      <x:c r="I7425" s="22" t="n">
        <x:v>23.160000000000004</x:v>
      </x:c>
      <x:c r="J7425" s="24" t="n">
        <x:v>5</x:v>
      </x:c>
      <x:c r="K7425" s="26" t="n">
        <x:v>0.7</x:v>
      </x:c>
      <x:c r="L7425" s="22" t="n">
        <x:v>-15.439999999999998</x:v>
      </x:c>
      <x:c r="M7425" t="n">
        <x:v>2016</x:v>
      </x:c>
      <x:c r="N7425" s="20" t="n">
        <x:v>42430</x:v>
      </x:c>
    </x:row>
    <x:row r="7426" ht="18" customHeight="1">
      <x:c r="A7426" t="str">
        <x:v>US-2016-114013</x:v>
      </x:c>
      <x:c r="B7426" s="18" t="n">
        <x:v>42442</x:v>
      </x:c>
      <x:c r="C7426" t="str">
        <x:v>SC-20770</x:v>
      </x:c>
      <x:c r="D7426" t="str">
        <x:v>Stewart Carmichael</x:v>
      </x:c>
      <x:c r="E7426" t="str">
        <x:v>Corporate</x:v>
      </x:c>
      <x:c r="F7426" t="str">
        <x:v>East</x:v>
      </x:c>
      <x:c r="G7426" t="str">
        <x:v>Office Supplies</x:v>
      </x:c>
      <x:c r="H7426" t="str">
        <x:v>Storage</x:v>
      </x:c>
      <x:c r="I7426" s="22" t="n">
        <x:v>126.08</x:v>
      </x:c>
      <x:c r="J7426" s="24" t="n">
        <x:v>2</x:v>
      </x:c>
      <x:c r="K7426" s="26" t="n">
        <x:v>0.2</x:v>
      </x:c>
      <x:c r="L7426" s="22" t="n">
        <x:v>-28.367999999999984</x:v>
      </x:c>
      <x:c r="M7426" t="n">
        <x:v>2016</x:v>
      </x:c>
      <x:c r="N7426" s="20" t="n">
        <x:v>42430</x:v>
      </x:c>
    </x:row>
    <x:row r="7427" ht="18" customHeight="1">
      <x:c r="A7427" t="str">
        <x:v>US-2016-114013</x:v>
      </x:c>
      <x:c r="B7427" s="18" t="n">
        <x:v>42442</x:v>
      </x:c>
      <x:c r="C7427" t="str">
        <x:v>SC-20770</x:v>
      </x:c>
      <x:c r="D7427" t="str">
        <x:v>Stewart Carmichael</x:v>
      </x:c>
      <x:c r="E7427" t="str">
        <x:v>Corporate</x:v>
      </x:c>
      <x:c r="F7427" t="str">
        <x:v>East</x:v>
      </x:c>
      <x:c r="G7427" t="str">
        <x:v>Technology</x:v>
      </x:c>
      <x:c r="H7427" t="str">
        <x:v>Machines</x:v>
      </x:c>
      <x:c r="I7427" s="22" t="n">
        <x:v>449.1</x:v>
      </x:c>
      <x:c r="J7427" s="24" t="n">
        <x:v>3</x:v>
      </x:c>
      <x:c r="K7427" s="26" t="n">
        <x:v>0.7</x:v>
      </x:c>
      <x:c r="L7427" s="22" t="n">
        <x:v>-643.7099999999998</x:v>
      </x:c>
      <x:c r="M7427" t="n">
        <x:v>2016</x:v>
      </x:c>
      <x:c r="N7427" s="20" t="n">
        <x:v>42430</x:v>
      </x:c>
    </x:row>
    <x:row r="7428" ht="18" customHeight="1">
      <x:c r="A7428" t="str">
        <x:v>CA-2017-135069</x:v>
      </x:c>
      <x:c r="B7428" s="18" t="n">
        <x:v>42835</x:v>
      </x:c>
      <x:c r="C7428" t="str">
        <x:v>BS-11755</x:v>
      </x:c>
      <x:c r="D7428" t="str">
        <x:v>Bruce Stewart</x:v>
      </x:c>
      <x:c r="E7428" t="str">
        <x:v>Consumer</x:v>
      </x:c>
      <x:c r="F7428" t="str">
        <x:v>East</x:v>
      </x:c>
      <x:c r="G7428" t="str">
        <x:v>Office Supplies</x:v>
      </x:c>
      <x:c r="H7428" t="str">
        <x:v>Appliances</x:v>
      </x:c>
      <x:c r="I7428" s="22" t="n">
        <x:v>195.104</x:v>
      </x:c>
      <x:c r="J7428" s="24" t="n">
        <x:v>4</x:v>
      </x:c>
      <x:c r="K7428" s="26" t="n">
        <x:v>0.2</x:v>
      </x:c>
      <x:c r="L7428" s="22" t="n">
        <x:v>21.94919999999997</x:v>
      </x:c>
      <x:c r="M7428" t="n">
        <x:v>2017</x:v>
      </x:c>
      <x:c r="N7428" s="20" t="n">
        <x:v>42826</x:v>
      </x:c>
    </x:row>
    <x:row r="7429" ht="18" customHeight="1">
      <x:c r="A7429" t="str">
        <x:v>CA-2017-135069</x:v>
      </x:c>
      <x:c r="B7429" s="18" t="n">
        <x:v>42835</x:v>
      </x:c>
      <x:c r="C7429" t="str">
        <x:v>BS-11755</x:v>
      </x:c>
      <x:c r="D7429" t="str">
        <x:v>Bruce Stewart</x:v>
      </x:c>
      <x:c r="E7429" t="str">
        <x:v>Consumer</x:v>
      </x:c>
      <x:c r="F7429" t="str">
        <x:v>East</x:v>
      </x:c>
      <x:c r="G7429" t="str">
        <x:v>Furniture</x:v>
      </x:c>
      <x:c r="H7429" t="str">
        <x:v>Furnishings</x:v>
      </x:c>
      <x:c r="I7429" s="22" t="n">
        <x:v>36.672</x:v>
      </x:c>
      <x:c r="J7429" s="24" t="n">
        <x:v>3</x:v>
      </x:c>
      <x:c r="K7429" s="26" t="n">
        <x:v>0.2</x:v>
      </x:c>
      <x:c r="L7429" s="22" t="n">
        <x:v>6.4176</x:v>
      </x:c>
      <x:c r="M7429" t="n">
        <x:v>2017</x:v>
      </x:c>
      <x:c r="N7429" s="20" t="n">
        <x:v>42826</x:v>
      </x:c>
    </x:row>
    <x:row r="7430" ht="18" customHeight="1">
      <x:c r="A7430" t="str">
        <x:v>CA-2016-101693</x:v>
      </x:c>
      <x:c r="B7430" s="18" t="n">
        <x:v>42546</x:v>
      </x:c>
      <x:c r="C7430" t="str">
        <x:v>LC-17140</x:v>
      </x:c>
      <x:c r="D7430" t="str">
        <x:v>Logan Currie</x:v>
      </x:c>
      <x:c r="E7430" t="str">
        <x:v>Consumer</x:v>
      </x:c>
      <x:c r="F7430" t="str">
        <x:v>Central</x:v>
      </x:c>
      <x:c r="G7430" t="str">
        <x:v>Furniture</x:v>
      </x:c>
      <x:c r="H7430" t="str">
        <x:v>Chairs</x:v>
      </x:c>
      <x:c r="I7430" s="22" t="n">
        <x:v>85.246</x:v>
      </x:c>
      <x:c r="J7430" s="24" t="n">
        <x:v>2</x:v>
      </x:c>
      <x:c r="K7430" s="26" t="n">
        <x:v>0.3</x:v>
      </x:c>
      <x:c r="L7430" s="22" t="n">
        <x:v>-6.089000000000006</x:v>
      </x:c>
      <x:c r="M7430" t="n">
        <x:v>2016</x:v>
      </x:c>
      <x:c r="N7430" s="20" t="n">
        <x:v>42522</x:v>
      </x:c>
    </x:row>
    <x:row r="7431" ht="18" customHeight="1">
      <x:c r="A7431" t="str">
        <x:v>CA-2016-101693</x:v>
      </x:c>
      <x:c r="B7431" s="18" t="n">
        <x:v>42546</x:v>
      </x:c>
      <x:c r="C7431" t="str">
        <x:v>LC-17140</x:v>
      </x:c>
      <x:c r="D7431" t="str">
        <x:v>Logan Currie</x:v>
      </x:c>
      <x:c r="E7431" t="str">
        <x:v>Consumer</x:v>
      </x:c>
      <x:c r="F7431" t="str">
        <x:v>Central</x:v>
      </x:c>
      <x:c r="G7431" t="str">
        <x:v>Furniture</x:v>
      </x:c>
      <x:c r="H7431" t="str">
        <x:v>Furnishings</x:v>
      </x:c>
      <x:c r="I7431" s="22" t="n">
        <x:v>32.712</x:v>
      </x:c>
      <x:c r="J7431" s="24" t="n">
        <x:v>2</x:v>
      </x:c>
      <x:c r="K7431" s="26" t="n">
        <x:v>0.6</x:v>
      </x:c>
      <x:c r="L7431" s="22" t="n">
        <x:v>-26.169599999999996</x:v>
      </x:c>
      <x:c r="M7431" t="n">
        <x:v>2016</x:v>
      </x:c>
      <x:c r="N7431" s="20" t="n">
        <x:v>42522</x:v>
      </x:c>
    </x:row>
    <x:row r="7432" ht="18" customHeight="1">
      <x:c r="A7432" t="str">
        <x:v>US-2014-164763</x:v>
      </x:c>
      <x:c r="B7432" s="18" t="n">
        <x:v>41715</x:v>
      </x:c>
      <x:c r="C7432" t="str">
        <x:v>MH-17440</x:v>
      </x:c>
      <x:c r="D7432" t="str">
        <x:v>Mark Haberlin</x:v>
      </x:c>
      <x:c r="E7432" t="str">
        <x:v>Corporate</x:v>
      </x:c>
      <x:c r="F7432" t="str">
        <x:v>South</x:v>
      </x:c>
      <x:c r="G7432" t="str">
        <x:v>Office Supplies</x:v>
      </x:c>
      <x:c r="H7432" t="str">
        <x:v>Binders</x:v>
      </x:c>
      <x:c r="I7432" s="22" t="n">
        <x:v>11.43</x:v>
      </x:c>
      <x:c r="J7432" s="24" t="n">
        <x:v>3</x:v>
      </x:c>
      <x:c r="K7432" s="26" t="n">
        <x:v>0</x:v>
      </x:c>
      <x:c r="L7432" s="22" t="n">
        <x:v>5.3721</x:v>
      </x:c>
      <x:c r="M7432" t="n">
        <x:v>2014</x:v>
      </x:c>
      <x:c r="N7432" s="20" t="n">
        <x:v>41699</x:v>
      </x:c>
    </x:row>
    <x:row r="7433" ht="18" customHeight="1">
      <x:c r="A7433" t="str">
        <x:v>US-2014-164763</x:v>
      </x:c>
      <x:c r="B7433" s="18" t="n">
        <x:v>41715</x:v>
      </x:c>
      <x:c r="C7433" t="str">
        <x:v>MH-17440</x:v>
      </x:c>
      <x:c r="D7433" t="str">
        <x:v>Mark Haberlin</x:v>
      </x:c>
      <x:c r="E7433" t="str">
        <x:v>Corporate</x:v>
      </x:c>
      <x:c r="F7433" t="str">
        <x:v>South</x:v>
      </x:c>
      <x:c r="G7433" t="str">
        <x:v>Office Supplies</x:v>
      </x:c>
      <x:c r="H7433" t="str">
        <x:v>Binders</x:v>
      </x:c>
      <x:c r="I7433" s="22" t="n">
        <x:v>30.44</x:v>
      </x:c>
      <x:c r="J7433" s="24" t="n">
        <x:v>2</x:v>
      </x:c>
      <x:c r="K7433" s="26" t="n">
        <x:v>0</x:v>
      </x:c>
      <x:c r="L7433" s="22" t="n">
        <x:v>14.9156</x:v>
      </x:c>
      <x:c r="M7433" t="n">
        <x:v>2014</x:v>
      </x:c>
      <x:c r="N7433" s="20" t="n">
        <x:v>41699</x:v>
      </x:c>
    </x:row>
    <x:row r="7434" ht="18" customHeight="1">
      <x:c r="A7434" t="str">
        <x:v>US-2014-164763</x:v>
      </x:c>
      <x:c r="B7434" s="18" t="n">
        <x:v>41715</x:v>
      </x:c>
      <x:c r="C7434" t="str">
        <x:v>MH-17440</x:v>
      </x:c>
      <x:c r="D7434" t="str">
        <x:v>Mark Haberlin</x:v>
      </x:c>
      <x:c r="E7434" t="str">
        <x:v>Corporate</x:v>
      </x:c>
      <x:c r="F7434" t="str">
        <x:v>South</x:v>
      </x:c>
      <x:c r="G7434" t="str">
        <x:v>Office Supplies</x:v>
      </x:c>
      <x:c r="H7434" t="str">
        <x:v>Paper</x:v>
      </x:c>
      <x:c r="I7434" s="22" t="n">
        <x:v>12.96</x:v>
      </x:c>
      <x:c r="J7434" s="24" t="n">
        <x:v>2</x:v>
      </x:c>
      <x:c r="K7434" s="26" t="n">
        <x:v>0</x:v>
      </x:c>
      <x:c r="L7434" s="22" t="n">
        <x:v>6.3504000000000005</x:v>
      </x:c>
      <x:c r="M7434" t="n">
        <x:v>2014</x:v>
      </x:c>
      <x:c r="N7434" s="20" t="n">
        <x:v>41699</x:v>
      </x:c>
    </x:row>
    <x:row r="7435" ht="18" customHeight="1">
      <x:c r="A7435" t="str">
        <x:v>US-2014-164763</x:v>
      </x:c>
      <x:c r="B7435" s="18" t="n">
        <x:v>41715</x:v>
      </x:c>
      <x:c r="C7435" t="str">
        <x:v>MH-17440</x:v>
      </x:c>
      <x:c r="D7435" t="str">
        <x:v>Mark Haberlin</x:v>
      </x:c>
      <x:c r="E7435" t="str">
        <x:v>Corporate</x:v>
      </x:c>
      <x:c r="F7435" t="str">
        <x:v>South</x:v>
      </x:c>
      <x:c r="G7435" t="str">
        <x:v>Office Supplies</x:v>
      </x:c>
      <x:c r="H7435" t="str">
        <x:v>Paper</x:v>
      </x:c>
      <x:c r="I7435" s="22" t="n">
        <x:v>16</x:v>
      </x:c>
      <x:c r="J7435" s="24" t="n">
        <x:v>4</x:v>
      </x:c>
      <x:c r="K7435" s="26" t="n">
        <x:v>0</x:v>
      </x:c>
      <x:c r="L7435" s="22" t="n">
        <x:v>7.68</x:v>
      </x:c>
      <x:c r="M7435" t="n">
        <x:v>2014</x:v>
      </x:c>
      <x:c r="N7435" s="20" t="n">
        <x:v>41699</x:v>
      </x:c>
    </x:row>
    <x:row r="7436" ht="18" customHeight="1">
      <x:c r="A7436" t="str">
        <x:v>US-2014-164763</x:v>
      </x:c>
      <x:c r="B7436" s="18" t="n">
        <x:v>41715</x:v>
      </x:c>
      <x:c r="C7436" t="str">
        <x:v>MH-17440</x:v>
      </x:c>
      <x:c r="D7436" t="str">
        <x:v>Mark Haberlin</x:v>
      </x:c>
      <x:c r="E7436" t="str">
        <x:v>Corporate</x:v>
      </x:c>
      <x:c r="F7436" t="str">
        <x:v>South</x:v>
      </x:c>
      <x:c r="G7436" t="str">
        <x:v>Office Supplies</x:v>
      </x:c>
      <x:c r="H7436" t="str">
        <x:v>Appliances</x:v>
      </x:c>
      <x:c r="I7436" s="22" t="n">
        <x:v>32.67</x:v>
      </x:c>
      <x:c r="J7436" s="24" t="n">
        <x:v>3</x:v>
      </x:c>
      <x:c r="K7436" s="26" t="n">
        <x:v>0</x:v>
      </x:c>
      <x:c r="L7436" s="22" t="n">
        <x:v>8.494200000000001</x:v>
      </x:c>
      <x:c r="M7436" t="n">
        <x:v>2014</x:v>
      </x:c>
      <x:c r="N7436" s="20" t="n">
        <x:v>41699</x:v>
      </x:c>
    </x:row>
    <x:row r="7437" ht="18" customHeight="1">
      <x:c r="A7437" t="str">
        <x:v>CA-2014-161249</x:v>
      </x:c>
      <x:c r="B7437" s="18" t="n">
        <x:v>41860</x:v>
      </x:c>
      <x:c r="C7437" t="str">
        <x:v>RD-19720</x:v>
      </x:c>
      <x:c r="D7437" t="str">
        <x:v>Roger Demir</x:v>
      </x:c>
      <x:c r="E7437" t="str">
        <x:v>Consumer</x:v>
      </x:c>
      <x:c r="F7437" t="str">
        <x:v>West</x:v>
      </x:c>
      <x:c r="G7437" t="str">
        <x:v>Office Supplies</x:v>
      </x:c>
      <x:c r="H7437" t="str">
        <x:v>Fasteners</x:v>
      </x:c>
      <x:c r="I7437" s="22" t="n">
        <x:v>4.464</x:v>
      </x:c>
      <x:c r="J7437" s="24" t="n">
        <x:v>3</x:v>
      </x:c>
      <x:c r="K7437" s="26" t="n">
        <x:v>0.2</x:v>
      </x:c>
      <x:c r="L7437" s="22" t="n">
        <x:v>-0.9485999999999999</x:v>
      </x:c>
      <x:c r="M7437" t="n">
        <x:v>2014</x:v>
      </x:c>
      <x:c r="N7437" s="20" t="n">
        <x:v>41852</x:v>
      </x:c>
    </x:row>
    <x:row r="7438" ht="18" customHeight="1">
      <x:c r="A7438" t="str">
        <x:v>CA-2014-161249</x:v>
      </x:c>
      <x:c r="B7438" s="18" t="n">
        <x:v>41860</x:v>
      </x:c>
      <x:c r="C7438" t="str">
        <x:v>RD-19720</x:v>
      </x:c>
      <x:c r="D7438" t="str">
        <x:v>Roger Demir</x:v>
      </x:c>
      <x:c r="E7438" t="str">
        <x:v>Consumer</x:v>
      </x:c>
      <x:c r="F7438" t="str">
        <x:v>West</x:v>
      </x:c>
      <x:c r="G7438" t="str">
        <x:v>Office Supplies</x:v>
      </x:c>
      <x:c r="H7438" t="str">
        <x:v>Binders</x:v>
      </x:c>
      <x:c r="I7438" s="22" t="n">
        <x:v>9.345000000000002</x:v>
      </x:c>
      <x:c r="J7438" s="24" t="n">
        <x:v>5</x:v>
      </x:c>
      <x:c r="K7438" s="26" t="n">
        <x:v>0.7</x:v>
      </x:c>
      <x:c r="L7438" s="22" t="n">
        <x:v>-6.541499999999999</x:v>
      </x:c>
      <x:c r="M7438" t="n">
        <x:v>2014</x:v>
      </x:c>
      <x:c r="N7438" s="20" t="n">
        <x:v>41852</x:v>
      </x:c>
    </x:row>
    <x:row r="7439" ht="18" customHeight="1">
      <x:c r="A7439" t="str">
        <x:v>CA-2015-148180</x:v>
      </x:c>
      <x:c r="B7439" s="18" t="n">
        <x:v>42211</x:v>
      </x:c>
      <x:c r="C7439" t="str">
        <x:v>BP-11095</x:v>
      </x:c>
      <x:c r="D7439" t="str">
        <x:v>Bart Pistole</x:v>
      </x:c>
      <x:c r="E7439" t="str">
        <x:v>Corporate</x:v>
      </x:c>
      <x:c r="F7439" t="str">
        <x:v>West</x:v>
      </x:c>
      <x:c r="G7439" t="str">
        <x:v>Office Supplies</x:v>
      </x:c>
      <x:c r="H7439" t="str">
        <x:v>Binders</x:v>
      </x:c>
      <x:c r="I7439" s="22" t="n">
        <x:v>9.144</x:v>
      </x:c>
      <x:c r="J7439" s="24" t="n">
        <x:v>3</x:v>
      </x:c>
      <x:c r="K7439" s="26" t="n">
        <x:v>0.2</x:v>
      </x:c>
      <x:c r="L7439" s="22" t="n">
        <x:v>3.0860999999999996</x:v>
      </x:c>
      <x:c r="M7439" t="n">
        <x:v>2015</x:v>
      </x:c>
      <x:c r="N7439" s="20" t="n">
        <x:v>42186</x:v>
      </x:c>
    </x:row>
    <x:row r="7440" ht="18" customHeight="1">
      <x:c r="A7440" t="str">
        <x:v>CA-2015-148180</x:v>
      </x:c>
      <x:c r="B7440" s="18" t="n">
        <x:v>42211</x:v>
      </x:c>
      <x:c r="C7440" t="str">
        <x:v>BP-11095</x:v>
      </x:c>
      <x:c r="D7440" t="str">
        <x:v>Bart Pistole</x:v>
      </x:c>
      <x:c r="E7440" t="str">
        <x:v>Corporate</x:v>
      </x:c>
      <x:c r="F7440" t="str">
        <x:v>West</x:v>
      </x:c>
      <x:c r="G7440" t="str">
        <x:v>Office Supplies</x:v>
      </x:c>
      <x:c r="H7440" t="str">
        <x:v>Binders</x:v>
      </x:c>
      <x:c r="I7440" s="22" t="n">
        <x:v>23.136000000000003</x:v>
      </x:c>
      <x:c r="J7440" s="24" t="n">
        <x:v>6</x:v>
      </x:c>
      <x:c r="K7440" s="26" t="n">
        <x:v>0.2</x:v>
      </x:c>
      <x:c r="L7440" s="22" t="n">
        <x:v>8.3868</x:v>
      </x:c>
      <x:c r="M7440" t="n">
        <x:v>2015</x:v>
      </x:c>
      <x:c r="N7440" s="20" t="n">
        <x:v>42186</x:v>
      </x:c>
    </x:row>
    <x:row r="7441" ht="18" customHeight="1">
      <x:c r="A7441" t="str">
        <x:v>CA-2015-148180</x:v>
      </x:c>
      <x:c r="B7441" s="18" t="n">
        <x:v>42211</x:v>
      </x:c>
      <x:c r="C7441" t="str">
        <x:v>BP-11095</x:v>
      </x:c>
      <x:c r="D7441" t="str">
        <x:v>Bart Pistole</x:v>
      </x:c>
      <x:c r="E7441" t="str">
        <x:v>Corporate</x:v>
      </x:c>
      <x:c r="F7441" t="str">
        <x:v>West</x:v>
      </x:c>
      <x:c r="G7441" t="str">
        <x:v>Office Supplies</x:v>
      </x:c>
      <x:c r="H7441" t="str">
        <x:v>Art</x:v>
      </x:c>
      <x:c r="I7441" s="22" t="n">
        <x:v>99.2</x:v>
      </x:c>
      <x:c r="J7441" s="24" t="n">
        <x:v>5</x:v>
      </x:c>
      <x:c r="K7441" s="26" t="n">
        <x:v>0</x:v>
      </x:c>
      <x:c r="L7441" s="22" t="n">
        <x:v>25.792</x:v>
      </x:c>
      <x:c r="M7441" t="n">
        <x:v>2015</x:v>
      </x:c>
      <x:c r="N7441" s="20" t="n">
        <x:v>42186</x:v>
      </x:c>
    </x:row>
    <x:row r="7442" ht="18" customHeight="1">
      <x:c r="A7442" t="str">
        <x:v>CA-2014-165568</x:v>
      </x:c>
      <x:c r="B7442" s="18" t="n">
        <x:v>41685</x:v>
      </x:c>
      <x:c r="C7442" t="str">
        <x:v>BF-11020</x:v>
      </x:c>
      <x:c r="D7442" t="str">
        <x:v>Barry Französisch</x:v>
      </x:c>
      <x:c r="E7442" t="str">
        <x:v>Corporate</x:v>
      </x:c>
      <x:c r="F7442" t="str">
        <x:v>West</x:v>
      </x:c>
      <x:c r="G7442" t="str">
        <x:v>Office Supplies</x:v>
      </x:c>
      <x:c r="H7442" t="str">
        <x:v>Binders</x:v>
      </x:c>
      <x:c r="I7442" s="22" t="n">
        <x:v>21.36</x:v>
      </x:c>
      <x:c r="J7442" s="24" t="n">
        <x:v>5</x:v>
      </x:c>
      <x:c r="K7442" s="26" t="n">
        <x:v>0.2</x:v>
      </x:c>
      <x:c r="L7442" s="22" t="n">
        <x:v>7.209</x:v>
      </x:c>
      <x:c r="M7442" t="n">
        <x:v>2014</x:v>
      </x:c>
      <x:c r="N7442" s="20" t="n">
        <x:v>41671</x:v>
      </x:c>
    </x:row>
    <x:row r="7443" ht="18" customHeight="1">
      <x:c r="A7443" t="str">
        <x:v>CA-2015-145457</x:v>
      </x:c>
      <x:c r="B7443" s="18" t="n">
        <x:v>42087</x:v>
      </x:c>
      <x:c r="C7443" t="str">
        <x:v>CP-12085</x:v>
      </x:c>
      <x:c r="D7443" t="str">
        <x:v>Cathy Prescott</x:v>
      </x:c>
      <x:c r="E7443" t="str">
        <x:v>Corporate</x:v>
      </x:c>
      <x:c r="F7443" t="str">
        <x:v>West</x:v>
      </x:c>
      <x:c r="G7443" t="str">
        <x:v>Furniture</x:v>
      </x:c>
      <x:c r="H7443" t="str">
        <x:v>Furnishings</x:v>
      </x:c>
      <x:c r="I7443" s="22" t="n">
        <x:v>46.900000000000006</x:v>
      </x:c>
      <x:c r="J7443" s="24" t="n">
        <x:v>5</x:v>
      </x:c>
      <x:c r="K7443" s="26" t="n">
        <x:v>0</x:v>
      </x:c>
      <x:c r="L7443" s="22" t="n">
        <x:v>13.132000000000001</x:v>
      </x:c>
      <x:c r="M7443" t="n">
        <x:v>2015</x:v>
      </x:c>
      <x:c r="N7443" s="20" t="n">
        <x:v>42064</x:v>
      </x:c>
    </x:row>
    <x:row r="7444" ht="18" customHeight="1">
      <x:c r="A7444" t="str">
        <x:v>US-2017-163657</x:v>
      </x:c>
      <x:c r="B7444" s="18" t="n">
        <x:v>42980</x:v>
      </x:c>
      <x:c r="C7444" t="str">
        <x:v>JL-15235</x:v>
      </x:c>
      <x:c r="D7444" t="str">
        <x:v>Janet Lee</x:v>
      </x:c>
      <x:c r="E7444" t="str">
        <x:v>Consumer</x:v>
      </x:c>
      <x:c r="F7444" t="str">
        <x:v>West</x:v>
      </x:c>
      <x:c r="G7444" t="str">
        <x:v>Office Supplies</x:v>
      </x:c>
      <x:c r="H7444" t="str">
        <x:v>Binders</x:v>
      </x:c>
      <x:c r="I7444" s="22" t="n">
        <x:v>18.72</x:v>
      </x:c>
      <x:c r="J7444" s="24" t="n">
        <x:v>5</x:v>
      </x:c>
      <x:c r="K7444" s="26" t="n">
        <x:v>0.2</x:v>
      </x:c>
      <x:c r="L7444" s="22" t="n">
        <x:v>6.552</x:v>
      </x:c>
      <x:c r="M7444" t="n">
        <x:v>2017</x:v>
      </x:c>
      <x:c r="N7444" s="20" t="n">
        <x:v>42979</x:v>
      </x:c>
    </x:row>
    <x:row r="7445" ht="18" customHeight="1">
      <x:c r="A7445" t="str">
        <x:v>US-2017-163657</x:v>
      </x:c>
      <x:c r="B7445" s="18" t="n">
        <x:v>42980</x:v>
      </x:c>
      <x:c r="C7445" t="str">
        <x:v>JL-15235</x:v>
      </x:c>
      <x:c r="D7445" t="str">
        <x:v>Janet Lee</x:v>
      </x:c>
      <x:c r="E7445" t="str">
        <x:v>Consumer</x:v>
      </x:c>
      <x:c r="F7445" t="str">
        <x:v>West</x:v>
      </x:c>
      <x:c r="G7445" t="str">
        <x:v>Furniture</x:v>
      </x:c>
      <x:c r="H7445" t="str">
        <x:v>Tables</x:v>
      </x:c>
      <x:c r="I7445" s="22" t="n">
        <x:v>236.52800000000002</x:v>
      </x:c>
      <x:c r="J7445" s="24" t="n">
        <x:v>2</x:v>
      </x:c>
      <x:c r="K7445" s="26" t="n">
        <x:v>0.2</x:v>
      </x:c>
      <x:c r="L7445" s="22" t="n">
        <x:v>-2.9566000000000088</x:v>
      </x:c>
      <x:c r="M7445" t="n">
        <x:v>2017</x:v>
      </x:c>
      <x:c r="N7445" s="20" t="n">
        <x:v>42979</x:v>
      </x:c>
    </x:row>
    <x:row r="7446" ht="18" customHeight="1">
      <x:c r="A7446" t="str">
        <x:v>CA-2015-120446</x:v>
      </x:c>
      <x:c r="B7446" s="18" t="n">
        <x:v>42324</x:v>
      </x:c>
      <x:c r="C7446" t="str">
        <x:v>JG-15805</x:v>
      </x:c>
      <x:c r="D7446" t="str">
        <x:v>John Grady</x:v>
      </x:c>
      <x:c r="E7446" t="str">
        <x:v>Corporate</x:v>
      </x:c>
      <x:c r="F7446" t="str">
        <x:v>West</x:v>
      </x:c>
      <x:c r="G7446" t="str">
        <x:v>Office Supplies</x:v>
      </x:c>
      <x:c r="H7446" t="str">
        <x:v>Labels</x:v>
      </x:c>
      <x:c r="I7446" s="22" t="n">
        <x:v>18.9</x:v>
      </x:c>
      <x:c r="J7446" s="24" t="n">
        <x:v>3</x:v>
      </x:c>
      <x:c r="K7446" s="26" t="n">
        <x:v>0</x:v>
      </x:c>
      <x:c r="L7446" s="22" t="n">
        <x:v>8.693999999999999</x:v>
      </x:c>
      <x:c r="M7446" t="n">
        <x:v>2015</x:v>
      </x:c>
      <x:c r="N7446" s="20" t="n">
        <x:v>42309</x:v>
      </x:c>
    </x:row>
    <x:row r="7447" ht="18" customHeight="1">
      <x:c r="A7447" t="str">
        <x:v>CA-2014-109932</x:v>
      </x:c>
      <x:c r="B7447" s="18" t="n">
        <x:v>41982</x:v>
      </x:c>
      <x:c r="C7447" t="str">
        <x:v>VP-21760</x:v>
      </x:c>
      <x:c r="D7447" t="str">
        <x:v>Victoria Pisteka</x:v>
      </x:c>
      <x:c r="E7447" t="str">
        <x:v>Corporate</x:v>
      </x:c>
      <x:c r="F7447" t="str">
        <x:v>Central</x:v>
      </x:c>
      <x:c r="G7447" t="str">
        <x:v>Office Supplies</x:v>
      </x:c>
      <x:c r="H7447" t="str">
        <x:v>Paper</x:v>
      </x:c>
      <x:c r="I7447" s="22" t="n">
        <x:v>10.688</x:v>
      </x:c>
      <x:c r="J7447" s="24" t="n">
        <x:v>2</x:v>
      </x:c>
      <x:c r="K7447" s="26" t="n">
        <x:v>0.2</x:v>
      </x:c>
      <x:c r="L7447" s="22" t="n">
        <x:v>3.7407999999999997</x:v>
      </x:c>
      <x:c r="M7447" t="n">
        <x:v>2014</x:v>
      </x:c>
      <x:c r="N7447" s="20" t="n">
        <x:v>41974</x:v>
      </x:c>
    </x:row>
    <x:row r="7448" ht="18" customHeight="1">
      <x:c r="A7448" t="str">
        <x:v>CA-2014-109932</x:v>
      </x:c>
      <x:c r="B7448" s="18" t="n">
        <x:v>41982</x:v>
      </x:c>
      <x:c r="C7448" t="str">
        <x:v>VP-21760</x:v>
      </x:c>
      <x:c r="D7448" t="str">
        <x:v>Victoria Pisteka</x:v>
      </x:c>
      <x:c r="E7448" t="str">
        <x:v>Corporate</x:v>
      </x:c>
      <x:c r="F7448" t="str">
        <x:v>Central</x:v>
      </x:c>
      <x:c r="G7448" t="str">
        <x:v>Office Supplies</x:v>
      </x:c>
      <x:c r="H7448" t="str">
        <x:v>Storage</x:v>
      </x:c>
      <x:c r="I7448" s="22" t="n">
        <x:v>237.09600000000003</x:v>
      </x:c>
      <x:c r="J7448" s="24" t="n">
        <x:v>3</x:v>
      </x:c>
      <x:c r="K7448" s="26" t="n">
        <x:v>0.2</x:v>
      </x:c>
      <x:c r="L7448" s="22" t="n">
        <x:v>20.745899999999985</x:v>
      </x:c>
      <x:c r="M7448" t="n">
        <x:v>2014</x:v>
      </x:c>
      <x:c r="N7448" s="20" t="n">
        <x:v>41974</x:v>
      </x:c>
    </x:row>
    <x:row r="7449" ht="18" customHeight="1">
      <x:c r="A7449" t="str">
        <x:v>CA-2017-127474</x:v>
      </x:c>
      <x:c r="B7449" s="18" t="n">
        <x:v>42769</x:v>
      </x:c>
      <x:c r="C7449" t="str">
        <x:v>RD-19810</x:v>
      </x:c>
      <x:c r="D7449" t="str">
        <x:v>Ross DeVincentis</x:v>
      </x:c>
      <x:c r="E7449" t="str">
        <x:v>Home Office</x:v>
      </x:c>
      <x:c r="F7449" t="str">
        <x:v>Central</x:v>
      </x:c>
      <x:c r="G7449" t="str">
        <x:v>Office Supplies</x:v>
      </x:c>
      <x:c r="H7449" t="str">
        <x:v>Paper</x:v>
      </x:c>
      <x:c r="I7449" s="22" t="n">
        <x:v>5.184000000000001</x:v>
      </x:c>
      <x:c r="J7449" s="24" t="n">
        <x:v>1</x:v>
      </x:c>
      <x:c r="K7449" s="26" t="n">
        <x:v>0.2</x:v>
      </x:c>
      <x:c r="L7449" s="22" t="n">
        <x:v>1.8144</x:v>
      </x:c>
      <x:c r="M7449" t="n">
        <x:v>2017</x:v>
      </x:c>
      <x:c r="N7449" s="20" t="n">
        <x:v>42767</x:v>
      </x:c>
    </x:row>
    <x:row r="7450" ht="18" customHeight="1">
      <x:c r="A7450" t="str">
        <x:v>CA-2017-127474</x:v>
      </x:c>
      <x:c r="B7450" s="18" t="n">
        <x:v>42769</x:v>
      </x:c>
      <x:c r="C7450" t="str">
        <x:v>RD-19810</x:v>
      </x:c>
      <x:c r="D7450" t="str">
        <x:v>Ross DeVincentis</x:v>
      </x:c>
      <x:c r="E7450" t="str">
        <x:v>Home Office</x:v>
      </x:c>
      <x:c r="F7450" t="str">
        <x:v>Central</x:v>
      </x:c>
      <x:c r="G7450" t="str">
        <x:v>Office Supplies</x:v>
      </x:c>
      <x:c r="H7450" t="str">
        <x:v>Paper</x:v>
      </x:c>
      <x:c r="I7450" s="22" t="n">
        <x:v>65.584</x:v>
      </x:c>
      <x:c r="J7450" s="24" t="n">
        <x:v>2</x:v>
      </x:c>
      <x:c r="K7450" s="26" t="n">
        <x:v>0.2</x:v>
      </x:c>
      <x:c r="L7450" s="22" t="n">
        <x:v>23.7742</x:v>
      </x:c>
      <x:c r="M7450" t="n">
        <x:v>2017</x:v>
      </x:c>
      <x:c r="N7450" s="20" t="n">
        <x:v>42767</x:v>
      </x:c>
    </x:row>
    <x:row r="7451" ht="18" customHeight="1">
      <x:c r="A7451" t="str">
        <x:v>CA-2017-127474</x:v>
      </x:c>
      <x:c r="B7451" s="18" t="n">
        <x:v>42769</x:v>
      </x:c>
      <x:c r="C7451" t="str">
        <x:v>RD-19810</x:v>
      </x:c>
      <x:c r="D7451" t="str">
        <x:v>Ross DeVincentis</x:v>
      </x:c>
      <x:c r="E7451" t="str">
        <x:v>Home Office</x:v>
      </x:c>
      <x:c r="F7451" t="str">
        <x:v>Central</x:v>
      </x:c>
      <x:c r="G7451" t="str">
        <x:v>Furniture</x:v>
      </x:c>
      <x:c r="H7451" t="str">
        <x:v>Furnishings</x:v>
      </x:c>
      <x:c r="I7451" s="22" t="n">
        <x:v>22.200000000000003</x:v>
      </x:c>
      <x:c r="J7451" s="24" t="n">
        <x:v>1</x:v>
      </x:c>
      <x:c r="K7451" s="26" t="n">
        <x:v>0.6</x:v>
      </x:c>
      <x:c r="L7451" s="22" t="n">
        <x:v>-26.084999999999994</x:v>
      </x:c>
      <x:c r="M7451" t="n">
        <x:v>2017</x:v>
      </x:c>
      <x:c r="N7451" s="20" t="n">
        <x:v>42767</x:v>
      </x:c>
    </x:row>
    <x:row r="7452" ht="18" customHeight="1">
      <x:c r="A7452" t="str">
        <x:v>CA-2017-127474</x:v>
      </x:c>
      <x:c r="B7452" s="18" t="n">
        <x:v>42769</x:v>
      </x:c>
      <x:c r="C7452" t="str">
        <x:v>RD-19810</x:v>
      </x:c>
      <x:c r="D7452" t="str">
        <x:v>Ross DeVincentis</x:v>
      </x:c>
      <x:c r="E7452" t="str">
        <x:v>Home Office</x:v>
      </x:c>
      <x:c r="F7452" t="str">
        <x:v>Central</x:v>
      </x:c>
      <x:c r="G7452" t="str">
        <x:v>Office Supplies</x:v>
      </x:c>
      <x:c r="H7452" t="str">
        <x:v>Paper</x:v>
      </x:c>
      <x:c r="I7452" s="22" t="n">
        <x:v>419.4</x:v>
      </x:c>
      <x:c r="J7452" s="24" t="n">
        <x:v>5</x:v>
      </x:c>
      <x:c r="K7452" s="26" t="n">
        <x:v>0.2</x:v>
      </x:c>
      <x:c r="L7452" s="22" t="n">
        <x:v>146.79</x:v>
      </x:c>
      <x:c r="M7452" t="n">
        <x:v>2017</x:v>
      </x:c>
      <x:c r="N7452" s="20" t="n">
        <x:v>42767</x:v>
      </x:c>
    </x:row>
    <x:row r="7453" ht="18" customHeight="1">
      <x:c r="A7453" t="str">
        <x:v>CA-2017-115448</x:v>
      </x:c>
      <x:c r="B7453" s="18" t="n">
        <x:v>43050</x:v>
      </x:c>
      <x:c r="C7453" t="str">
        <x:v>MH-18025</x:v>
      </x:c>
      <x:c r="D7453" t="str">
        <x:v>Michelle Huthwaite</x:v>
      </x:c>
      <x:c r="E7453" t="str">
        <x:v>Consumer</x:v>
      </x:c>
      <x:c r="F7453" t="str">
        <x:v>South</x:v>
      </x:c>
      <x:c r="G7453" t="str">
        <x:v>Furniture</x:v>
      </x:c>
      <x:c r="H7453" t="str">
        <x:v>Furnishings</x:v>
      </x:c>
      <x:c r="I7453" s="22" t="n">
        <x:v>88.92000000000002</x:v>
      </x:c>
      <x:c r="J7453" s="24" t="n">
        <x:v>5</x:v>
      </x:c>
      <x:c r="K7453" s="26" t="n">
        <x:v>0.2</x:v>
      </x:c>
      <x:c r="L7453" s="22" t="n">
        <x:v>14.449499999999986</x:v>
      </x:c>
      <x:c r="M7453" t="n">
        <x:v>2017</x:v>
      </x:c>
      <x:c r="N7453" s="20" t="n">
        <x:v>43040</x:v>
      </x:c>
    </x:row>
    <x:row r="7454" ht="18" customHeight="1">
      <x:c r="A7454" t="str">
        <x:v>CA-2017-105669</x:v>
      </x:c>
      <x:c r="B7454" s="18" t="n">
        <x:v>42995</x:v>
      </x:c>
      <x:c r="C7454" t="str">
        <x:v>SJ-20125</x:v>
      </x:c>
      <x:c r="D7454" t="str">
        <x:v>Sanjit Jacobs</x:v>
      </x:c>
      <x:c r="E7454" t="str">
        <x:v>Home Office</x:v>
      </x:c>
      <x:c r="F7454" t="str">
        <x:v>Central</x:v>
      </x:c>
      <x:c r="G7454" t="str">
        <x:v>Office Supplies</x:v>
      </x:c>
      <x:c r="H7454" t="str">
        <x:v>Art</x:v>
      </x:c>
      <x:c r="I7454" s="22" t="n">
        <x:v>9.912</x:v>
      </x:c>
      <x:c r="J7454" s="24" t="n">
        <x:v>3</x:v>
      </x:c>
      <x:c r="K7454" s="26" t="n">
        <x:v>0.2</x:v>
      </x:c>
      <x:c r="L7454" s="22" t="n">
        <x:v>3.2213999999999996</x:v>
      </x:c>
      <x:c r="M7454" t="n">
        <x:v>2017</x:v>
      </x:c>
      <x:c r="N7454" s="20" t="n">
        <x:v>42979</x:v>
      </x:c>
    </x:row>
    <x:row r="7455" ht="18" customHeight="1">
      <x:c r="A7455" t="str">
        <x:v>CA-2017-105669</x:v>
      </x:c>
      <x:c r="B7455" s="18" t="n">
        <x:v>42995</x:v>
      </x:c>
      <x:c r="C7455" t="str">
        <x:v>SJ-20125</x:v>
      </x:c>
      <x:c r="D7455" t="str">
        <x:v>Sanjit Jacobs</x:v>
      </x:c>
      <x:c r="E7455" t="str">
        <x:v>Home Office</x:v>
      </x:c>
      <x:c r="F7455" t="str">
        <x:v>Central</x:v>
      </x:c>
      <x:c r="G7455" t="str">
        <x:v>Furniture</x:v>
      </x:c>
      <x:c r="H7455" t="str">
        <x:v>Chairs</x:v>
      </x:c>
      <x:c r="I7455" s="22" t="n">
        <x:v>318.43</x:v>
      </x:c>
      <x:c r="J7455" s="24" t="n">
        <x:v>5</x:v>
      </x:c>
      <x:c r="K7455" s="26" t="n">
        <x:v>0.3</x:v>
      </x:c>
      <x:c r="L7455" s="22" t="n">
        <x:v>-77.33300000000001</x:v>
      </x:c>
      <x:c r="M7455" t="n">
        <x:v>2017</x:v>
      </x:c>
      <x:c r="N7455" s="20" t="n">
        <x:v>42979</x:v>
      </x:c>
    </x:row>
    <x:row r="7456" ht="18" customHeight="1">
      <x:c r="A7456" t="str">
        <x:v>CA-2017-105669</x:v>
      </x:c>
      <x:c r="B7456" s="18" t="n">
        <x:v>42995</x:v>
      </x:c>
      <x:c r="C7456" t="str">
        <x:v>SJ-20125</x:v>
      </x:c>
      <x:c r="D7456" t="str">
        <x:v>Sanjit Jacobs</x:v>
      </x:c>
      <x:c r="E7456" t="str">
        <x:v>Home Office</x:v>
      </x:c>
      <x:c r="F7456" t="str">
        <x:v>Central</x:v>
      </x:c>
      <x:c r="G7456" t="str">
        <x:v>Office Supplies</x:v>
      </x:c>
      <x:c r="H7456" t="str">
        <x:v>Binders</x:v>
      </x:c>
      <x:c r="I7456" s="22" t="n">
        <x:v>5.799999999999999</x:v>
      </x:c>
      <x:c r="J7456" s="24" t="n">
        <x:v>5</x:v>
      </x:c>
      <x:c r="K7456" s="26" t="n">
        <x:v>0.8</x:v>
      </x:c>
      <x:c r="L7456" s="22" t="n">
        <x:v>-10.15</x:v>
      </x:c>
      <x:c r="M7456" t="n">
        <x:v>2017</x:v>
      </x:c>
      <x:c r="N7456" s="20" t="n">
        <x:v>42979</x:v>
      </x:c>
    </x:row>
    <x:row r="7457" ht="18" customHeight="1">
      <x:c r="A7457" t="str">
        <x:v>CA-2017-105669</x:v>
      </x:c>
      <x:c r="B7457" s="18" t="n">
        <x:v>42995</x:v>
      </x:c>
      <x:c r="C7457" t="str">
        <x:v>SJ-20125</x:v>
      </x:c>
      <x:c r="D7457" t="str">
        <x:v>Sanjit Jacobs</x:v>
      </x:c>
      <x:c r="E7457" t="str">
        <x:v>Home Office</x:v>
      </x:c>
      <x:c r="F7457" t="str">
        <x:v>Central</x:v>
      </x:c>
      <x:c r="G7457" t="str">
        <x:v>Technology</x:v>
      </x:c>
      <x:c r="H7457" t="str">
        <x:v>Phones</x:v>
      </x:c>
      <x:c r="I7457" s="22" t="n">
        <x:v>1415.76</x:v>
      </x:c>
      <x:c r="J7457" s="24" t="n">
        <x:v>6</x:v>
      </x:c>
      <x:c r="K7457" s="26" t="n">
        <x:v>0.2</x:v>
      </x:c>
      <x:c r="L7457" s="22" t="n">
        <x:v>88.48500000000007</x:v>
      </x:c>
      <x:c r="M7457" t="n">
        <x:v>2017</x:v>
      </x:c>
      <x:c r="N7457" s="20" t="n">
        <x:v>42979</x:v>
      </x:c>
    </x:row>
    <x:row r="7458" ht="18" customHeight="1">
      <x:c r="A7458" t="str">
        <x:v>CA-2017-134796</x:v>
      </x:c>
      <x:c r="B7458" s="18" t="n">
        <x:v>42911</x:v>
      </x:c>
      <x:c r="C7458" t="str">
        <x:v>FM-14380</x:v>
      </x:c>
      <x:c r="D7458" t="str">
        <x:v>Fred McMath</x:v>
      </x:c>
      <x:c r="E7458" t="str">
        <x:v>Consumer</x:v>
      </x:c>
      <x:c r="F7458" t="str">
        <x:v>Central</x:v>
      </x:c>
      <x:c r="G7458" t="str">
        <x:v>Technology</x:v>
      </x:c>
      <x:c r="H7458" t="str">
        <x:v>Phones</x:v>
      </x:c>
      <x:c r="I7458" s="22" t="n">
        <x:v>148.48</x:v>
      </x:c>
      <x:c r="J7458" s="24" t="n">
        <x:v>2</x:v>
      </x:c>
      <x:c r="K7458" s="26" t="n">
        <x:v>0.2</x:v>
      </x:c>
      <x:c r="L7458" s="22" t="n">
        <x:v>16.703999999999986</x:v>
      </x:c>
      <x:c r="M7458" t="n">
        <x:v>2017</x:v>
      </x:c>
      <x:c r="N7458" s="20" t="n">
        <x:v>42887</x:v>
      </x:c>
    </x:row>
    <x:row r="7459" ht="18" customHeight="1">
      <x:c r="A7459" t="str">
        <x:v>CA-2016-137743</x:v>
      </x:c>
      <x:c r="B7459" s="18" t="n">
        <x:v>42581</x:v>
      </x:c>
      <x:c r="C7459" t="str">
        <x:v>KH-16360</x:v>
      </x:c>
      <x:c r="D7459" t="str">
        <x:v>Katherine Hughes</x:v>
      </x:c>
      <x:c r="E7459" t="str">
        <x:v>Consumer</x:v>
      </x:c>
      <x:c r="F7459" t="str">
        <x:v>Central</x:v>
      </x:c>
      <x:c r="G7459" t="str">
        <x:v>Office Supplies</x:v>
      </x:c>
      <x:c r="H7459" t="str">
        <x:v>Labels</x:v>
      </x:c>
      <x:c r="I7459" s="22" t="n">
        <x:v>9.248000000000001</x:v>
      </x:c>
      <x:c r="J7459" s="24" t="n">
        <x:v>4</x:v>
      </x:c>
      <x:c r="K7459" s="26" t="n">
        <x:v>0.2</x:v>
      </x:c>
      <x:c r="L7459" s="22" t="n">
        <x:v>3.1212</x:v>
      </x:c>
      <x:c r="M7459" t="n">
        <x:v>2016</x:v>
      </x:c>
      <x:c r="N7459" s="20" t="n">
        <x:v>42552</x:v>
      </x:c>
    </x:row>
    <x:row r="7460" ht="18" customHeight="1">
      <x:c r="A7460" t="str">
        <x:v>CA-2016-137743</x:v>
      </x:c>
      <x:c r="B7460" s="18" t="n">
        <x:v>42581</x:v>
      </x:c>
      <x:c r="C7460" t="str">
        <x:v>KH-16360</x:v>
      </x:c>
      <x:c r="D7460" t="str">
        <x:v>Katherine Hughes</x:v>
      </x:c>
      <x:c r="E7460" t="str">
        <x:v>Consumer</x:v>
      </x:c>
      <x:c r="F7460" t="str">
        <x:v>Central</x:v>
      </x:c>
      <x:c r="G7460" t="str">
        <x:v>Office Supplies</x:v>
      </x:c>
      <x:c r="H7460" t="str">
        <x:v>Storage</x:v>
      </x:c>
      <x:c r="I7460" s="22" t="n">
        <x:v>1036.624</x:v>
      </x:c>
      <x:c r="J7460" s="24" t="n">
        <x:v>2</x:v>
      </x:c>
      <x:c r="K7460" s="26" t="n">
        <x:v>0.2</x:v>
      </x:c>
      <x:c r="L7460" s="22" t="n">
        <x:v>51.831200000000024</x:v>
      </x:c>
      <x:c r="M7460" t="n">
        <x:v>2016</x:v>
      </x:c>
      <x:c r="N7460" s="20" t="n">
        <x:v>42552</x:v>
      </x:c>
    </x:row>
    <x:row r="7461" ht="18" customHeight="1">
      <x:c r="A7461" t="str">
        <x:v>CA-2015-137974</x:v>
      </x:c>
      <x:c r="B7461" s="18" t="n">
        <x:v>42110</x:v>
      </x:c>
      <x:c r="C7461" t="str">
        <x:v>LL-16840</x:v>
      </x:c>
      <x:c r="D7461" t="str">
        <x:v>Lauren Leatherbury</x:v>
      </x:c>
      <x:c r="E7461" t="str">
        <x:v>Consumer</x:v>
      </x:c>
      <x:c r="F7461" t="str">
        <x:v>South</x:v>
      </x:c>
      <x:c r="G7461" t="str">
        <x:v>Technology</x:v>
      </x:c>
      <x:c r="H7461" t="str">
        <x:v>Phones</x:v>
      </x:c>
      <x:c r="I7461" s="22" t="n">
        <x:v>569.64</x:v>
      </x:c>
      <x:c r="J7461" s="24" t="n">
        <x:v>2</x:v>
      </x:c>
      <x:c r="K7461" s="26" t="n">
        <x:v>0</x:v>
      </x:c>
      <x:c r="L7461" s="22" t="n">
        <x:v>148.1064</x:v>
      </x:c>
      <x:c r="M7461" t="n">
        <x:v>2015</x:v>
      </x:c>
      <x:c r="N7461" s="20" t="n">
        <x:v>42095</x:v>
      </x:c>
    </x:row>
    <x:row r="7462" ht="18" customHeight="1">
      <x:c r="A7462" t="str">
        <x:v>CA-2015-137974</x:v>
      </x:c>
      <x:c r="B7462" s="18" t="n">
        <x:v>42110</x:v>
      </x:c>
      <x:c r="C7462" t="str">
        <x:v>LL-16840</x:v>
      </x:c>
      <x:c r="D7462" t="str">
        <x:v>Lauren Leatherbury</x:v>
      </x:c>
      <x:c r="E7462" t="str">
        <x:v>Consumer</x:v>
      </x:c>
      <x:c r="F7462" t="str">
        <x:v>South</x:v>
      </x:c>
      <x:c r="G7462" t="str">
        <x:v>Office Supplies</x:v>
      </x:c>
      <x:c r="H7462" t="str">
        <x:v>Binders</x:v>
      </x:c>
      <x:c r="I7462" s="22" t="n">
        <x:v>9.14</x:v>
      </x:c>
      <x:c r="J7462" s="24" t="n">
        <x:v>1</x:v>
      </x:c>
      <x:c r="K7462" s="26" t="n">
        <x:v>0</x:v>
      </x:c>
      <x:c r="L7462" s="22" t="n">
        <x:v>4.57</x:v>
      </x:c>
      <x:c r="M7462" t="n">
        <x:v>2015</x:v>
      </x:c>
      <x:c r="N7462" s="20" t="n">
        <x:v>42095</x:v>
      </x:c>
    </x:row>
    <x:row r="7463" ht="18" customHeight="1">
      <x:c r="A7463" t="str">
        <x:v>CA-2015-137974</x:v>
      </x:c>
      <x:c r="B7463" s="18" t="n">
        <x:v>42110</x:v>
      </x:c>
      <x:c r="C7463" t="str">
        <x:v>LL-16840</x:v>
      </x:c>
      <x:c r="D7463" t="str">
        <x:v>Lauren Leatherbury</x:v>
      </x:c>
      <x:c r="E7463" t="str">
        <x:v>Consumer</x:v>
      </x:c>
      <x:c r="F7463" t="str">
        <x:v>South</x:v>
      </x:c>
      <x:c r="G7463" t="str">
        <x:v>Furniture</x:v>
      </x:c>
      <x:c r="H7463" t="str">
        <x:v>Furnishings</x:v>
      </x:c>
      <x:c r="I7463" s="22" t="n">
        <x:v>1196.86</x:v>
      </x:c>
      <x:c r="J7463" s="24" t="n">
        <x:v>7</x:v>
      </x:c>
      <x:c r="K7463" s="26" t="n">
        <x:v>0</x:v>
      </x:c>
      <x:c r="L7463" s="22" t="n">
        <x:v>119.6859999999999</x:v>
      </x:c>
      <x:c r="M7463" t="n">
        <x:v>2015</x:v>
      </x:c>
      <x:c r="N7463" s="20" t="n">
        <x:v>42095</x:v>
      </x:c>
    </x:row>
    <x:row r="7464" ht="18" customHeight="1">
      <x:c r="A7464" t="str">
        <x:v>CA-2015-137974</x:v>
      </x:c>
      <x:c r="B7464" s="18" t="n">
        <x:v>42110</x:v>
      </x:c>
      <x:c r="C7464" t="str">
        <x:v>LL-16840</x:v>
      </x:c>
      <x:c r="D7464" t="str">
        <x:v>Lauren Leatherbury</x:v>
      </x:c>
      <x:c r="E7464" t="str">
        <x:v>Consumer</x:v>
      </x:c>
      <x:c r="F7464" t="str">
        <x:v>South</x:v>
      </x:c>
      <x:c r="G7464" t="str">
        <x:v>Furniture</x:v>
      </x:c>
      <x:c r="H7464" t="str">
        <x:v>Bookcases</x:v>
      </x:c>
      <x:c r="I7464" s="22" t="n">
        <x:v>523.26</x:v>
      </x:c>
      <x:c r="J7464" s="24" t="n">
        <x:v>9</x:v>
      </x:c>
      <x:c r="K7464" s="26" t="n">
        <x:v>0</x:v>
      </x:c>
      <x:c r="L7464" s="22" t="n">
        <x:v>125.5824</x:v>
      </x:c>
      <x:c r="M7464" t="n">
        <x:v>2015</x:v>
      </x:c>
      <x:c r="N7464" s="20" t="n">
        <x:v>42095</x:v>
      </x:c>
    </x:row>
    <x:row r="7465" ht="18" customHeight="1">
      <x:c r="A7465" t="str">
        <x:v>US-2015-136987</x:v>
      </x:c>
      <x:c r="B7465" s="18" t="n">
        <x:v>42105</x:v>
      </x:c>
      <x:c r="C7465" t="str">
        <x:v>AR-10540</x:v>
      </x:c>
      <x:c r="D7465" t="str">
        <x:v>Andy Reiter</x:v>
      </x:c>
      <x:c r="E7465" t="str">
        <x:v>Consumer</x:v>
      </x:c>
      <x:c r="F7465" t="str">
        <x:v>West</x:v>
      </x:c>
      <x:c r="G7465" t="str">
        <x:v>Technology</x:v>
      </x:c>
      <x:c r="H7465" t="str">
        <x:v>Copiers</x:v>
      </x:c>
      <x:c r="I7465" s="22" t="n">
        <x:v>639.9680000000001</x:v>
      </x:c>
      <x:c r="J7465" s="24" t="n">
        <x:v>4</x:v>
      </x:c>
      <x:c r="K7465" s="26" t="n">
        <x:v>0.2</x:v>
      </x:c>
      <x:c r="L7465" s="22" t="n">
        <x:v>215.98919999999998</x:v>
      </x:c>
      <x:c r="M7465" t="n">
        <x:v>2015</x:v>
      </x:c>
      <x:c r="N7465" s="20" t="n">
        <x:v>42095</x:v>
      </x:c>
    </x:row>
    <x:row r="7466" ht="18" customHeight="1">
      <x:c r="A7466" t="str">
        <x:v>US-2015-136987</x:v>
      </x:c>
      <x:c r="B7466" s="18" t="n">
        <x:v>42105</x:v>
      </x:c>
      <x:c r="C7466" t="str">
        <x:v>AR-10540</x:v>
      </x:c>
      <x:c r="D7466" t="str">
        <x:v>Andy Reiter</x:v>
      </x:c>
      <x:c r="E7466" t="str">
        <x:v>Consumer</x:v>
      </x:c>
      <x:c r="F7466" t="str">
        <x:v>West</x:v>
      </x:c>
      <x:c r="G7466" t="str">
        <x:v>Office Supplies</x:v>
      </x:c>
      <x:c r="H7466" t="str">
        <x:v>Paper</x:v>
      </x:c>
      <x:c r="I7466" s="22" t="n">
        <x:v>52.76</x:v>
      </x:c>
      <x:c r="J7466" s="24" t="n">
        <x:v>2</x:v>
      </x:c>
      <x:c r="K7466" s="26" t="n">
        <x:v>0</x:v>
      </x:c>
      <x:c r="L7466" s="22" t="n">
        <x:v>24.269599999999997</x:v>
      </x:c>
      <x:c r="M7466" t="n">
        <x:v>2015</x:v>
      </x:c>
      <x:c r="N7466" s="20" t="n">
        <x:v>42095</x:v>
      </x:c>
    </x:row>
    <x:row r="7467" ht="18" customHeight="1">
      <x:c r="A7467" t="str">
        <x:v>CA-2015-138485</x:v>
      </x:c>
      <x:c r="B7467" s="18" t="n">
        <x:v>42062</x:v>
      </x:c>
      <x:c r="C7467" t="str">
        <x:v>NP-18670</x:v>
      </x:c>
      <x:c r="D7467" t="str">
        <x:v>Nora Paige</x:v>
      </x:c>
      <x:c r="E7467" t="str">
        <x:v>Consumer</x:v>
      </x:c>
      <x:c r="F7467" t="str">
        <x:v>West</x:v>
      </x:c>
      <x:c r="G7467" t="str">
        <x:v>Technology</x:v>
      </x:c>
      <x:c r="H7467" t="str">
        <x:v>Accessories</x:v>
      </x:c>
      <x:c r="I7467" s="22" t="n">
        <x:v>538.9200000000001</x:v>
      </x:c>
      <x:c r="J7467" s="24" t="n">
        <x:v>9</x:v>
      </x:c>
      <x:c r="K7467" s="26" t="n">
        <x:v>0</x:v>
      </x:c>
      <x:c r="L7467" s="22" t="n">
        <x:v>80.838</x:v>
      </x:c>
      <x:c r="M7467" t="n">
        <x:v>2015</x:v>
      </x:c>
      <x:c r="N7467" s="20" t="n">
        <x:v>42036</x:v>
      </x:c>
    </x:row>
    <x:row r="7468" ht="18" customHeight="1">
      <x:c r="A7468" t="str">
        <x:v>CA-2016-103709</x:v>
      </x:c>
      <x:c r="B7468" s="18" t="n">
        <x:v>42621</x:v>
      </x:c>
      <x:c r="C7468" t="str">
        <x:v>LP-17095</x:v>
      </x:c>
      <x:c r="D7468" t="str">
        <x:v>Liz Preis</x:v>
      </x:c>
      <x:c r="E7468" t="str">
        <x:v>Consumer</x:v>
      </x:c>
      <x:c r="F7468" t="str">
        <x:v>West</x:v>
      </x:c>
      <x:c r="G7468" t="str">
        <x:v>Office Supplies</x:v>
      </x:c>
      <x:c r="H7468" t="str">
        <x:v>Art</x:v>
      </x:c>
      <x:c r="I7468" s="22" t="n">
        <x:v>14.88</x:v>
      </x:c>
      <x:c r="J7468" s="24" t="n">
        <x:v>2</x:v>
      </x:c>
      <x:c r="K7468" s="26" t="n">
        <x:v>0</x:v>
      </x:c>
      <x:c r="L7468" s="22" t="n">
        <x:v>3.7200000000000006</x:v>
      </x:c>
      <x:c r="M7468" t="n">
        <x:v>2016</x:v>
      </x:c>
      <x:c r="N7468" s="20" t="n">
        <x:v>42614</x:v>
      </x:c>
    </x:row>
    <x:row r="7469" ht="18" customHeight="1">
      <x:c r="A7469" t="str">
        <x:v>CA-2016-103709</x:v>
      </x:c>
      <x:c r="B7469" s="18" t="n">
        <x:v>42621</x:v>
      </x:c>
      <x:c r="C7469" t="str">
        <x:v>LP-17095</x:v>
      </x:c>
      <x:c r="D7469" t="str">
        <x:v>Liz Preis</x:v>
      </x:c>
      <x:c r="E7469" t="str">
        <x:v>Consumer</x:v>
      </x:c>
      <x:c r="F7469" t="str">
        <x:v>West</x:v>
      </x:c>
      <x:c r="G7469" t="str">
        <x:v>Office Supplies</x:v>
      </x:c>
      <x:c r="H7469" t="str">
        <x:v>Paper</x:v>
      </x:c>
      <x:c r="I7469" s="22" t="n">
        <x:v>34.24</x:v>
      </x:c>
      <x:c r="J7469" s="24" t="n">
        <x:v>8</x:v>
      </x:c>
      <x:c r="K7469" s="26" t="n">
        <x:v>0</x:v>
      </x:c>
      <x:c r="L7469" s="22" t="n">
        <x:v>15.407999999999998</x:v>
      </x:c>
      <x:c r="M7469" t="n">
        <x:v>2016</x:v>
      </x:c>
      <x:c r="N7469" s="20" t="n">
        <x:v>42614</x:v>
      </x:c>
    </x:row>
    <x:row r="7470" ht="18" customHeight="1">
      <x:c r="A7470" t="str">
        <x:v>CA-2016-103709</x:v>
      </x:c>
      <x:c r="B7470" s="18" t="n">
        <x:v>42621</x:v>
      </x:c>
      <x:c r="C7470" t="str">
        <x:v>LP-17095</x:v>
      </x:c>
      <x:c r="D7470" t="str">
        <x:v>Liz Preis</x:v>
      </x:c>
      <x:c r="E7470" t="str">
        <x:v>Consumer</x:v>
      </x:c>
      <x:c r="F7470" t="str">
        <x:v>West</x:v>
      </x:c>
      <x:c r="G7470" t="str">
        <x:v>Office Supplies</x:v>
      </x:c>
      <x:c r="H7470" t="str">
        <x:v>Storage</x:v>
      </x:c>
      <x:c r="I7470" s="22" t="n">
        <x:v>261.74</x:v>
      </x:c>
      <x:c r="J7470" s="24" t="n">
        <x:v>2</x:v>
      </x:c>
      <x:c r="K7470" s="26" t="n">
        <x:v>0</x:v>
      </x:c>
      <x:c r="L7470" s="22" t="n">
        <x:v>65.435</x:v>
      </x:c>
      <x:c r="M7470" t="n">
        <x:v>2016</x:v>
      </x:c>
      <x:c r="N7470" s="20" t="n">
        <x:v>42614</x:v>
      </x:c>
    </x:row>
    <x:row r="7471" ht="18" customHeight="1">
      <x:c r="A7471" t="str">
        <x:v>CA-2016-138282</x:v>
      </x:c>
      <x:c r="B7471" s="18" t="n">
        <x:v>42509</x:v>
      </x:c>
      <x:c r="C7471" t="str">
        <x:v>AH-10690</x:v>
      </x:c>
      <x:c r="D7471" t="str">
        <x:v>Anna Häberlin</x:v>
      </x:c>
      <x:c r="E7471" t="str">
        <x:v>Corporate</x:v>
      </x:c>
      <x:c r="F7471" t="str">
        <x:v>West</x:v>
      </x:c>
      <x:c r="G7471" t="str">
        <x:v>Office Supplies</x:v>
      </x:c>
      <x:c r="H7471" t="str">
        <x:v>Appliances</x:v>
      </x:c>
      <x:c r="I7471" s="22" t="n">
        <x:v>87.84</x:v>
      </x:c>
      <x:c r="J7471" s="24" t="n">
        <x:v>8</x:v>
      </x:c>
      <x:c r="K7471" s="26" t="n">
        <x:v>0</x:v>
      </x:c>
      <x:c r="L7471" s="22" t="n">
        <x:v>23.716800000000006</x:v>
      </x:c>
      <x:c r="M7471" t="n">
        <x:v>2016</x:v>
      </x:c>
      <x:c r="N7471" s="20" t="n">
        <x:v>42491</x:v>
      </x:c>
    </x:row>
    <x:row r="7472" ht="18" customHeight="1">
      <x:c r="A7472" t="str">
        <x:v>CA-2017-148985</x:v>
      </x:c>
      <x:c r="B7472" s="18" t="n">
        <x:v>43050</x:v>
      </x:c>
      <x:c r="C7472" t="str">
        <x:v>TB-21190</x:v>
      </x:c>
      <x:c r="D7472" t="str">
        <x:v>Thomas Brumley</x:v>
      </x:c>
      <x:c r="E7472" t="str">
        <x:v>Home Office</x:v>
      </x:c>
      <x:c r="F7472" t="str">
        <x:v>West</x:v>
      </x:c>
      <x:c r="G7472" t="str">
        <x:v>Furniture</x:v>
      </x:c>
      <x:c r="H7472" t="str">
        <x:v>Furnishings</x:v>
      </x:c>
      <x:c r="I7472" s="22" t="n">
        <x:v>34.92</x:v>
      </x:c>
      <x:c r="J7472" s="24" t="n">
        <x:v>4</x:v>
      </x:c>
      <x:c r="K7472" s="26" t="n">
        <x:v>0</x:v>
      </x:c>
      <x:c r="L7472" s="22" t="n">
        <x:v>11.872799999999998</x:v>
      </x:c>
      <x:c r="M7472" t="n">
        <x:v>2017</x:v>
      </x:c>
      <x:c r="N7472" s="20" t="n">
        <x:v>43040</x:v>
      </x:c>
    </x:row>
    <x:row r="7473" ht="18" customHeight="1">
      <x:c r="A7473" t="str">
        <x:v>CA-2014-138100</x:v>
      </x:c>
      <x:c r="B7473" s="18" t="n">
        <x:v>41897</x:v>
      </x:c>
      <x:c r="C7473" t="str">
        <x:v>AA-10315</x:v>
      </x:c>
      <x:c r="D7473" t="str">
        <x:v>Alex Avila</x:v>
      </x:c>
      <x:c r="E7473" t="str">
        <x:v>Consumer</x:v>
      </x:c>
      <x:c r="F7473" t="str">
        <x:v>East</x:v>
      </x:c>
      <x:c r="G7473" t="str">
        <x:v>Office Supplies</x:v>
      </x:c>
      <x:c r="H7473" t="str">
        <x:v>Paper</x:v>
      </x:c>
      <x:c r="I7473" s="22" t="n">
        <x:v>14.940000000000001</x:v>
      </x:c>
      <x:c r="J7473" s="24" t="n">
        <x:v>3</x:v>
      </x:c>
      <x:c r="K7473" s="26" t="n">
        <x:v>0</x:v>
      </x:c>
      <x:c r="L7473" s="22" t="n">
        <x:v>7.021800000000001</x:v>
      </x:c>
      <x:c r="M7473" t="n">
        <x:v>2014</x:v>
      </x:c>
      <x:c r="N7473" s="20" t="n">
        <x:v>41883</x:v>
      </x:c>
    </x:row>
    <x:row r="7474" ht="18" customHeight="1">
      <x:c r="A7474" t="str">
        <x:v>CA-2014-138100</x:v>
      </x:c>
      <x:c r="B7474" s="18" t="n">
        <x:v>41897</x:v>
      </x:c>
      <x:c r="C7474" t="str">
        <x:v>AA-10315</x:v>
      </x:c>
      <x:c r="D7474" t="str">
        <x:v>Alex Avila</x:v>
      </x:c>
      <x:c r="E7474" t="str">
        <x:v>Consumer</x:v>
      </x:c>
      <x:c r="F7474" t="str">
        <x:v>East</x:v>
      </x:c>
      <x:c r="G7474" t="str">
        <x:v>Furniture</x:v>
      </x:c>
      <x:c r="H7474" t="str">
        <x:v>Furnishings</x:v>
      </x:c>
      <x:c r="I7474" s="22" t="n">
        <x:v>14.56</x:v>
      </x:c>
      <x:c r="J7474" s="24" t="n">
        <x:v>2</x:v>
      </x:c>
      <x:c r="K7474" s="26" t="n">
        <x:v>0</x:v>
      </x:c>
      <x:c r="L7474" s="22" t="n">
        <x:v>6.2608000000000015</x:v>
      </x:c>
      <x:c r="M7474" t="n">
        <x:v>2014</x:v>
      </x:c>
      <x:c r="N7474" s="20" t="n">
        <x:v>41883</x:v>
      </x:c>
    </x:row>
    <x:row r="7475" ht="18" customHeight="1">
      <x:c r="A7475" t="str">
        <x:v>CA-2015-100734</x:v>
      </x:c>
      <x:c r="B7475" s="18" t="n">
        <x:v>42262</x:v>
      </x:c>
      <x:c r="C7475" t="str">
        <x:v>AC-10615</x:v>
      </x:c>
      <x:c r="D7475" t="str">
        <x:v>Ann Chong</x:v>
      </x:c>
      <x:c r="E7475" t="str">
        <x:v>Corporate</x:v>
      </x:c>
      <x:c r="F7475" t="str">
        <x:v>East</x:v>
      </x:c>
      <x:c r="G7475" t="str">
        <x:v>Office Supplies</x:v>
      </x:c>
      <x:c r="H7475" t="str">
        <x:v>Binders</x:v>
      </x:c>
      <x:c r="I7475" s="22" t="n">
        <x:v>3.5760000000000005</x:v>
      </x:c>
      <x:c r="J7475" s="24" t="n">
        <x:v>4</x:v>
      </x:c>
      <x:c r="K7475" s="26" t="n">
        <x:v>0.7</x:v>
      </x:c>
      <x:c r="L7475" s="22" t="n">
        <x:v>-2.8608000000000002</x:v>
      </x:c>
      <x:c r="M7475" t="n">
        <x:v>2015</x:v>
      </x:c>
      <x:c r="N7475" s="20" t="n">
        <x:v>42248</x:v>
      </x:c>
    </x:row>
    <x:row r="7476" ht="18" customHeight="1">
      <x:c r="A7476" t="str">
        <x:v>CA-2015-100734</x:v>
      </x:c>
      <x:c r="B7476" s="18" t="n">
        <x:v>42262</x:v>
      </x:c>
      <x:c r="C7476" t="str">
        <x:v>AC-10615</x:v>
      </x:c>
      <x:c r="D7476" t="str">
        <x:v>Ann Chong</x:v>
      </x:c>
      <x:c r="E7476" t="str">
        <x:v>Corporate</x:v>
      </x:c>
      <x:c r="F7476" t="str">
        <x:v>East</x:v>
      </x:c>
      <x:c r="G7476" t="str">
        <x:v>Office Supplies</x:v>
      </x:c>
      <x:c r="H7476" t="str">
        <x:v>Storage</x:v>
      </x:c>
      <x:c r="I7476" s="22" t="n">
        <x:v>147.184</x:v>
      </x:c>
      <x:c r="J7476" s="24" t="n">
        <x:v>2</x:v>
      </x:c>
      <x:c r="K7476" s="26" t="n">
        <x:v>0.2</x:v>
      </x:c>
      <x:c r="L7476" s="22" t="n">
        <x:v>-29.436800000000012</x:v>
      </x:c>
      <x:c r="M7476" t="n">
        <x:v>2015</x:v>
      </x:c>
      <x:c r="N7476" s="20" t="n">
        <x:v>42248</x:v>
      </x:c>
    </x:row>
    <x:row r="7477" ht="18" customHeight="1">
      <x:c r="A7477" t="str">
        <x:v>CA-2016-139997</x:v>
      </x:c>
      <x:c r="B7477" s="18" t="n">
        <x:v>42552</x:v>
      </x:c>
      <x:c r="C7477" t="str">
        <x:v>EM-14140</x:v>
      </x:c>
      <x:c r="D7477" t="str">
        <x:v>Eugene Moren</x:v>
      </x:c>
      <x:c r="E7477" t="str">
        <x:v>Home Office</x:v>
      </x:c>
      <x:c r="F7477" t="str">
        <x:v>West</x:v>
      </x:c>
      <x:c r="G7477" t="str">
        <x:v>Technology</x:v>
      </x:c>
      <x:c r="H7477" t="str">
        <x:v>Copiers</x:v>
      </x:c>
      <x:c r="I7477" s="22" t="n">
        <x:v>1499.95</x:v>
      </x:c>
      <x:c r="J7477" s="24" t="n">
        <x:v>5</x:v>
      </x:c>
      <x:c r="K7477" s="26" t="n">
        <x:v>0</x:v>
      </x:c>
      <x:c r="L7477" s="22" t="n">
        <x:v>449.9849999999999</x:v>
      </x:c>
      <x:c r="M7477" t="n">
        <x:v>2016</x:v>
      </x:c>
      <x:c r="N7477" s="20" t="n">
        <x:v>42552</x:v>
      </x:c>
    </x:row>
    <x:row r="7478" ht="18" customHeight="1">
      <x:c r="A7478" t="str">
        <x:v>CA-2016-109652</x:v>
      </x:c>
      <x:c r="B7478" s="18" t="n">
        <x:v>42470</x:v>
      </x:c>
      <x:c r="C7478" t="str">
        <x:v>QJ-19255</x:v>
      </x:c>
      <x:c r="D7478" t="str">
        <x:v>Quincy Jones</x:v>
      </x:c>
      <x:c r="E7478" t="str">
        <x:v>Corporate</x:v>
      </x:c>
      <x:c r="F7478" t="str">
        <x:v>Central</x:v>
      </x:c>
      <x:c r="G7478" t="str">
        <x:v>Office Supplies</x:v>
      </x:c>
      <x:c r="H7478" t="str">
        <x:v>Art</x:v>
      </x:c>
      <x:c r="I7478" s="22" t="n">
        <x:v>13.568000000000001</x:v>
      </x:c>
      <x:c r="J7478" s="24" t="n">
        <x:v>4</x:v>
      </x:c>
      <x:c r="K7478" s="26" t="n">
        <x:v>0.2</x:v>
      </x:c>
      <x:c r="L7478" s="22" t="n">
        <x:v>3.2223999999999995</x:v>
      </x:c>
      <x:c r="M7478" t="n">
        <x:v>2016</x:v>
      </x:c>
      <x:c r="N7478" s="20" t="n">
        <x:v>42461</x:v>
      </x:c>
    </x:row>
    <x:row r="7479" ht="18" customHeight="1">
      <x:c r="A7479" t="str">
        <x:v>CA-2014-167199</x:v>
      </x:c>
      <x:c r="B7479" s="18" t="n">
        <x:v>41645</x:v>
      </x:c>
      <x:c r="C7479" t="str">
        <x:v>ME-17320</x:v>
      </x:c>
      <x:c r="D7479" t="str">
        <x:v>Maria Etezadi</x:v>
      </x:c>
      <x:c r="E7479" t="str">
        <x:v>Home Office</x:v>
      </x:c>
      <x:c r="F7479" t="str">
        <x:v>South</x:v>
      </x:c>
      <x:c r="G7479" t="str">
        <x:v>Furniture</x:v>
      </x:c>
      <x:c r="H7479" t="str">
        <x:v>Chairs</x:v>
      </x:c>
      <x:c r="I7479" s="22" t="n">
        <x:v>2573.82</x:v>
      </x:c>
      <x:c r="J7479" s="24" t="n">
        <x:v>9</x:v>
      </x:c>
      <x:c r="K7479" s="26" t="n">
        <x:v>0</x:v>
      </x:c>
      <x:c r="L7479" s="22" t="n">
        <x:v>746.4077999999997</x:v>
      </x:c>
      <x:c r="M7479" t="n">
        <x:v>2014</x:v>
      </x:c>
      <x:c r="N7479" s="20" t="n">
        <x:v>41640</x:v>
      </x:c>
    </x:row>
    <x:row r="7480" ht="18" customHeight="1">
      <x:c r="A7480" t="str">
        <x:v>CA-2014-167199</x:v>
      </x:c>
      <x:c r="B7480" s="18" t="n">
        <x:v>41645</x:v>
      </x:c>
      <x:c r="C7480" t="str">
        <x:v>ME-17320</x:v>
      </x:c>
      <x:c r="D7480" t="str">
        <x:v>Maria Etezadi</x:v>
      </x:c>
      <x:c r="E7480" t="str">
        <x:v>Home Office</x:v>
      </x:c>
      <x:c r="F7480" t="str">
        <x:v>South</x:v>
      </x:c>
      <x:c r="G7480" t="str">
        <x:v>Office Supplies</x:v>
      </x:c>
      <x:c r="H7480" t="str">
        <x:v>Binders</x:v>
      </x:c>
      <x:c r="I7480" s="22" t="n">
        <x:v>609.98</x:v>
      </x:c>
      <x:c r="J7480" s="24" t="n">
        <x:v>2</x:v>
      </x:c>
      <x:c r="K7480" s="26" t="n">
        <x:v>0</x:v>
      </x:c>
      <x:c r="L7480" s="22" t="n">
        <x:v>274.491</x:v>
      </x:c>
      <x:c r="M7480" t="n">
        <x:v>2014</x:v>
      </x:c>
      <x:c r="N7480" s="20" t="n">
        <x:v>41640</x:v>
      </x:c>
    </x:row>
    <x:row r="7481" ht="18" customHeight="1">
      <x:c r="A7481" t="str">
        <x:v>CA-2014-167199</x:v>
      </x:c>
      <x:c r="B7481" s="18" t="n">
        <x:v>41645</x:v>
      </x:c>
      <x:c r="C7481" t="str">
        <x:v>ME-17320</x:v>
      </x:c>
      <x:c r="D7481" t="str">
        <x:v>Maria Etezadi</x:v>
      </x:c>
      <x:c r="E7481" t="str">
        <x:v>Home Office</x:v>
      </x:c>
      <x:c r="F7481" t="str">
        <x:v>South</x:v>
      </x:c>
      <x:c r="G7481" t="str">
        <x:v>Office Supplies</x:v>
      </x:c>
      <x:c r="H7481" t="str">
        <x:v>Art</x:v>
      </x:c>
      <x:c r="I7481" s="22" t="n">
        <x:v>5.48</x:v>
      </x:c>
      <x:c r="J7481" s="24" t="n">
        <x:v>2</x:v>
      </x:c>
      <x:c r="K7481" s="26" t="n">
        <x:v>0</x:v>
      </x:c>
      <x:c r="L7481" s="22" t="n">
        <x:v>1.4796000000000005</x:v>
      </x:c>
      <x:c r="M7481" t="n">
        <x:v>2014</x:v>
      </x:c>
      <x:c r="N7481" s="20" t="n">
        <x:v>41640</x:v>
      </x:c>
    </x:row>
    <x:row r="7482" ht="18" customHeight="1">
      <x:c r="A7482" t="str">
        <x:v>CA-2014-167199</x:v>
      </x:c>
      <x:c r="B7482" s="18" t="n">
        <x:v>41645</x:v>
      </x:c>
      <x:c r="C7482" t="str">
        <x:v>ME-17320</x:v>
      </x:c>
      <x:c r="D7482" t="str">
        <x:v>Maria Etezadi</x:v>
      </x:c>
      <x:c r="E7482" t="str">
        <x:v>Home Office</x:v>
      </x:c>
      <x:c r="F7482" t="str">
        <x:v>South</x:v>
      </x:c>
      <x:c r="G7482" t="str">
        <x:v>Technology</x:v>
      </x:c>
      <x:c r="H7482" t="str">
        <x:v>Phones</x:v>
      </x:c>
      <x:c r="I7482" s="22" t="n">
        <x:v>391.98</x:v>
      </x:c>
      <x:c r="J7482" s="24" t="n">
        <x:v>2</x:v>
      </x:c>
      <x:c r="K7482" s="26" t="n">
        <x:v>0</x:v>
      </x:c>
      <x:c r="L7482" s="22" t="n">
        <x:v>113.67419999999998</x:v>
      </x:c>
      <x:c r="M7482" t="n">
        <x:v>2014</x:v>
      </x:c>
      <x:c r="N7482" s="20" t="n">
        <x:v>41640</x:v>
      </x:c>
    </x:row>
    <x:row r="7483" ht="18" customHeight="1">
      <x:c r="A7483" t="str">
        <x:v>CA-2014-167199</x:v>
      </x:c>
      <x:c r="B7483" s="18" t="n">
        <x:v>41645</x:v>
      </x:c>
      <x:c r="C7483" t="str">
        <x:v>ME-17320</x:v>
      </x:c>
      <x:c r="D7483" t="str">
        <x:v>Maria Etezadi</x:v>
      </x:c>
      <x:c r="E7483" t="str">
        <x:v>Home Office</x:v>
      </x:c>
      <x:c r="F7483" t="str">
        <x:v>South</x:v>
      </x:c>
      <x:c r="G7483" t="str">
        <x:v>Technology</x:v>
      </x:c>
      <x:c r="H7483" t="str">
        <x:v>Phones</x:v>
      </x:c>
      <x:c r="I7483" s="22" t="n">
        <x:v>755.96</x:v>
      </x:c>
      <x:c r="J7483" s="24" t="n">
        <x:v>4</x:v>
      </x:c>
      <x:c r="K7483" s="26" t="n">
        <x:v>0</x:v>
      </x:c>
      <x:c r="L7483" s="22" t="n">
        <x:v>204.1092</x:v>
      </x:c>
      <x:c r="M7483" t="n">
        <x:v>2014</x:v>
      </x:c>
      <x:c r="N7483" s="20" t="n">
        <x:v>41640</x:v>
      </x:c>
    </x:row>
    <x:row r="7484" ht="18" customHeight="1">
      <x:c r="A7484" t="str">
        <x:v>CA-2014-167199</x:v>
      </x:c>
      <x:c r="B7484" s="18" t="n">
        <x:v>41645</x:v>
      </x:c>
      <x:c r="C7484" t="str">
        <x:v>ME-17320</x:v>
      </x:c>
      <x:c r="D7484" t="str">
        <x:v>Maria Etezadi</x:v>
      </x:c>
      <x:c r="E7484" t="str">
        <x:v>Home Office</x:v>
      </x:c>
      <x:c r="F7484" t="str">
        <x:v>South</x:v>
      </x:c>
      <x:c r="G7484" t="str">
        <x:v>Office Supplies</x:v>
      </x:c>
      <x:c r="H7484" t="str">
        <x:v>Fasteners</x:v>
      </x:c>
      <x:c r="I7484" s="22" t="n">
        <x:v>31.12</x:v>
      </x:c>
      <x:c r="J7484" s="24" t="n">
        <x:v>4</x:v>
      </x:c>
      <x:c r="K7484" s="26" t="n">
        <x:v>0</x:v>
      </x:c>
      <x:c r="L7484" s="22" t="n">
        <x:v>0.3111999999999995</x:v>
      </x:c>
      <x:c r="M7484" t="n">
        <x:v>2014</x:v>
      </x:c>
      <x:c r="N7484" s="20" t="n">
        <x:v>41640</x:v>
      </x:c>
    </x:row>
    <x:row r="7485" ht="18" customHeight="1">
      <x:c r="A7485" t="str">
        <x:v>CA-2014-167199</x:v>
      </x:c>
      <x:c r="B7485" s="18" t="n">
        <x:v>41645</x:v>
      </x:c>
      <x:c r="C7485" t="str">
        <x:v>ME-17320</x:v>
      </x:c>
      <x:c r="D7485" t="str">
        <x:v>Maria Etezadi</x:v>
      </x:c>
      <x:c r="E7485" t="str">
        <x:v>Home Office</x:v>
      </x:c>
      <x:c r="F7485" t="str">
        <x:v>South</x:v>
      </x:c>
      <x:c r="G7485" t="str">
        <x:v>Office Supplies</x:v>
      </x:c>
      <x:c r="H7485" t="str">
        <x:v>Paper</x:v>
      </x:c>
      <x:c r="I7485" s="22" t="n">
        <x:v>6.54</x:v>
      </x:c>
      <x:c r="J7485" s="24" t="n">
        <x:v>1</x:v>
      </x:c>
      <x:c r="K7485" s="26" t="n">
        <x:v>0</x:v>
      </x:c>
      <x:c r="L7485" s="22" t="n">
        <x:v>3.0084</x:v>
      </x:c>
      <x:c r="M7485" t="n">
        <x:v>2014</x:v>
      </x:c>
      <x:c r="N7485" s="20" t="n">
        <x:v>41640</x:v>
      </x:c>
    </x:row>
    <x:row r="7486" ht="18" customHeight="1">
      <x:c r="A7486" t="str">
        <x:v>CA-2016-124583</x:v>
      </x:c>
      <x:c r="B7486" s="18" t="n">
        <x:v>42614</x:v>
      </x:c>
      <x:c r="C7486" t="str">
        <x:v>LB-16795</x:v>
      </x:c>
      <x:c r="D7486" t="str">
        <x:v>Laurel Beltran</x:v>
      </x:c>
      <x:c r="E7486" t="str">
        <x:v>Home Office</x:v>
      </x:c>
      <x:c r="F7486" t="str">
        <x:v>West</x:v>
      </x:c>
      <x:c r="G7486" t="str">
        <x:v>Office Supplies</x:v>
      </x:c>
      <x:c r="H7486" t="str">
        <x:v>Envelopes</x:v>
      </x:c>
      <x:c r="I7486" s="22" t="n">
        <x:v>12.78</x:v>
      </x:c>
      <x:c r="J7486" s="24" t="n">
        <x:v>1</x:v>
      </x:c>
      <x:c r="K7486" s="26" t="n">
        <x:v>0</x:v>
      </x:c>
      <x:c r="L7486" s="22" t="n">
        <x:v>5.7509999999999994</x:v>
      </x:c>
      <x:c r="M7486" t="n">
        <x:v>2016</x:v>
      </x:c>
      <x:c r="N7486" s="20" t="n">
        <x:v>42614</x:v>
      </x:c>
    </x:row>
    <x:row r="7487" ht="18" customHeight="1">
      <x:c r="A7487" t="str">
        <x:v>CA-2014-113964</x:v>
      </x:c>
      <x:c r="B7487" s="18" t="n">
        <x:v>41905</x:v>
      </x:c>
      <x:c r="C7487" t="str">
        <x:v>JP-16135</x:v>
      </x:c>
      <x:c r="D7487" t="str">
        <x:v>Julie Prescott</x:v>
      </x:c>
      <x:c r="E7487" t="str">
        <x:v>Home Office</x:v>
      </x:c>
      <x:c r="F7487" t="str">
        <x:v>East</x:v>
      </x:c>
      <x:c r="G7487" t="str">
        <x:v>Office Supplies</x:v>
      </x:c>
      <x:c r="H7487" t="str">
        <x:v>Binders</x:v>
      </x:c>
      <x:c r="I7487" s="22" t="n">
        <x:v>18.464</x:v>
      </x:c>
      <x:c r="J7487" s="24" t="n">
        <x:v>4</x:v>
      </x:c>
      <x:c r="K7487" s="26" t="n">
        <x:v>0.2</x:v>
      </x:c>
      <x:c r="L7487" s="22" t="n">
        <x:v>6.9239999999999995</x:v>
      </x:c>
      <x:c r="M7487" t="n">
        <x:v>2014</x:v>
      </x:c>
      <x:c r="N7487" s="20" t="n">
        <x:v>41883</x:v>
      </x:c>
    </x:row>
    <x:row r="7488" ht="18" customHeight="1">
      <x:c r="A7488" t="str">
        <x:v>CA-2014-129938</x:v>
      </x:c>
      <x:c r="B7488" s="18" t="n">
        <x:v>41988</x:v>
      </x:c>
      <x:c r="C7488" t="str">
        <x:v>EB-13705</x:v>
      </x:c>
      <x:c r="D7488" t="str">
        <x:v>Ed Braxton</x:v>
      </x:c>
      <x:c r="E7488" t="str">
        <x:v>Corporate</x:v>
      </x:c>
      <x:c r="F7488" t="str">
        <x:v>East</x:v>
      </x:c>
      <x:c r="G7488" t="str">
        <x:v>Furniture</x:v>
      </x:c>
      <x:c r="H7488" t="str">
        <x:v>Chairs</x:v>
      </x:c>
      <x:c r="I7488" s="22" t="n">
        <x:v>445.802</x:v>
      </x:c>
      <x:c r="J7488" s="24" t="n">
        <x:v>7</x:v>
      </x:c>
      <x:c r="K7488" s="26" t="n">
        <x:v>0.3</x:v>
      </x:c>
      <x:c r="L7488" s="22" t="n">
        <x:v>-108.26620000000001</x:v>
      </x:c>
      <x:c r="M7488" t="n">
        <x:v>2014</x:v>
      </x:c>
      <x:c r="N7488" s="20" t="n">
        <x:v>41974</x:v>
      </x:c>
    </x:row>
    <x:row r="7489" ht="18" customHeight="1">
      <x:c r="A7489" t="str">
        <x:v>CA-2017-135111</x:v>
      </x:c>
      <x:c r="B7489" s="18" t="n">
        <x:v>43097</x:v>
      </x:c>
      <x:c r="C7489" t="str">
        <x:v>CS-12400</x:v>
      </x:c>
      <x:c r="D7489" t="str">
        <x:v>Christopher Schild</x:v>
      </x:c>
      <x:c r="E7489" t="str">
        <x:v>Home Office</x:v>
      </x:c>
      <x:c r="F7489" t="str">
        <x:v>Central</x:v>
      </x:c>
      <x:c r="G7489" t="str">
        <x:v>Office Supplies</x:v>
      </x:c>
      <x:c r="H7489" t="str">
        <x:v>Art</x:v>
      </x:c>
      <x:c r="I7489" s="22" t="n">
        <x:v>2.48</x:v>
      </x:c>
      <x:c r="J7489" s="24" t="n">
        <x:v>1</x:v>
      </x:c>
      <x:c r="K7489" s="26" t="n">
        <x:v>0</x:v>
      </x:c>
      <x:c r="L7489" s="22" t="n">
        <x:v>0.8679999999999999</x:v>
      </x:c>
      <x:c r="M7489" t="n">
        <x:v>2017</x:v>
      </x:c>
      <x:c r="N7489" s="20" t="n">
        <x:v>43070</x:v>
      </x:c>
    </x:row>
    <x:row r="7490" ht="18" customHeight="1">
      <x:c r="A7490" t="str">
        <x:v>CA-2017-135111</x:v>
      </x:c>
      <x:c r="B7490" s="18" t="n">
        <x:v>43097</x:v>
      </x:c>
      <x:c r="C7490" t="str">
        <x:v>CS-12400</x:v>
      </x:c>
      <x:c r="D7490" t="str">
        <x:v>Christopher Schild</x:v>
      </x:c>
      <x:c r="E7490" t="str">
        <x:v>Home Office</x:v>
      </x:c>
      <x:c r="F7490" t="str">
        <x:v>Central</x:v>
      </x:c>
      <x:c r="G7490" t="str">
        <x:v>Office Supplies</x:v>
      </x:c>
      <x:c r="H7490" t="str">
        <x:v>Binders</x:v>
      </x:c>
      <x:c r="I7490" s="22" t="n">
        <x:v>25.9</x:v>
      </x:c>
      <x:c r="J7490" s="24" t="n">
        <x:v>5</x:v>
      </x:c>
      <x:c r="K7490" s="26" t="n">
        <x:v>0</x:v>
      </x:c>
      <x:c r="L7490" s="22" t="n">
        <x:v>12.690999999999999</x:v>
      </x:c>
      <x:c r="M7490" t="n">
        <x:v>2017</x:v>
      </x:c>
      <x:c r="N7490" s="20" t="n">
        <x:v>43070</x:v>
      </x:c>
    </x:row>
    <x:row r="7491" ht="18" customHeight="1">
      <x:c r="A7491" t="str">
        <x:v>US-2015-134558</x:v>
      </x:c>
      <x:c r="B7491" s="18" t="n">
        <x:v>42357</x:v>
      </x:c>
      <x:c r="C7491" t="str">
        <x:v>PM-19135</x:v>
      </x:c>
      <x:c r="D7491" t="str">
        <x:v>Peter McVee</x:v>
      </x:c>
      <x:c r="E7491" t="str">
        <x:v>Home Office</x:v>
      </x:c>
      <x:c r="F7491" t="str">
        <x:v>East</x:v>
      </x:c>
      <x:c r="G7491" t="str">
        <x:v>Office Supplies</x:v>
      </x:c>
      <x:c r="H7491" t="str">
        <x:v>Paper</x:v>
      </x:c>
      <x:c r="I7491" s="22" t="n">
        <x:v>29.900000000000002</x:v>
      </x:c>
      <x:c r="J7491" s="24" t="n">
        <x:v>5</x:v>
      </x:c>
      <x:c r="K7491" s="26" t="n">
        <x:v>0</x:v>
      </x:c>
      <x:c r="L7491" s="22" t="n">
        <x:v>14.651</x:v>
      </x:c>
      <x:c r="M7491" t="n">
        <x:v>2015</x:v>
      </x:c>
      <x:c r="N7491" s="20" t="n">
        <x:v>42339</x:v>
      </x:c>
    </x:row>
    <x:row r="7492" ht="18" customHeight="1">
      <x:c r="A7492" t="str">
        <x:v>US-2015-134558</x:v>
      </x:c>
      <x:c r="B7492" s="18" t="n">
        <x:v>42357</x:v>
      </x:c>
      <x:c r="C7492" t="str">
        <x:v>PM-19135</x:v>
      </x:c>
      <x:c r="D7492" t="str">
        <x:v>Peter McVee</x:v>
      </x:c>
      <x:c r="E7492" t="str">
        <x:v>Home Office</x:v>
      </x:c>
      <x:c r="F7492" t="str">
        <x:v>East</x:v>
      </x:c>
      <x:c r="G7492" t="str">
        <x:v>Technology</x:v>
      </x:c>
      <x:c r="H7492" t="str">
        <x:v>Accessories</x:v>
      </x:c>
      <x:c r="I7492" s="22" t="n">
        <x:v>2249.91</x:v>
      </x:c>
      <x:c r="J7492" s="24" t="n">
        <x:v>9</x:v>
      </x:c>
      <x:c r="K7492" s="26" t="n">
        <x:v>0</x:v>
      </x:c>
      <x:c r="L7492" s="22" t="n">
        <x:v>517.4793000000001</x:v>
      </x:c>
      <x:c r="M7492" t="n">
        <x:v>2015</x:v>
      </x:c>
      <x:c r="N7492" s="20" t="n">
        <x:v>42339</x:v>
      </x:c>
    </x:row>
    <x:row r="7493" ht="18" customHeight="1">
      <x:c r="A7493" t="str">
        <x:v>US-2015-134558</x:v>
      </x:c>
      <x:c r="B7493" s="18" t="n">
        <x:v>42357</x:v>
      </x:c>
      <x:c r="C7493" t="str">
        <x:v>PM-19135</x:v>
      </x:c>
      <x:c r="D7493" t="str">
        <x:v>Peter McVee</x:v>
      </x:c>
      <x:c r="E7493" t="str">
        <x:v>Home Office</x:v>
      </x:c>
      <x:c r="F7493" t="str">
        <x:v>East</x:v>
      </x:c>
      <x:c r="G7493" t="str">
        <x:v>Furniture</x:v>
      </x:c>
      <x:c r="H7493" t="str">
        <x:v>Tables</x:v>
      </x:c>
      <x:c r="I7493" s="22" t="n">
        <x:v>1053.164</x:v>
      </x:c>
      <x:c r="J7493" s="24" t="n">
        <x:v>4</x:v>
      </x:c>
      <x:c r="K7493" s="26" t="n">
        <x:v>0.3</x:v>
      </x:c>
      <x:c r="L7493" s="22" t="n">
        <x:v>-105.31639999999993</x:v>
      </x:c>
      <x:c r="M7493" t="n">
        <x:v>2015</x:v>
      </x:c>
      <x:c r="N7493" s="20" t="n">
        <x:v>42339</x:v>
      </x:c>
    </x:row>
    <x:row r="7494" ht="18" customHeight="1">
      <x:c r="A7494" t="str">
        <x:v>CA-2017-157196</x:v>
      </x:c>
      <x:c r="B7494" s="18" t="n">
        <x:v>43044</x:v>
      </x:c>
      <x:c r="C7494" t="str">
        <x:v>AA-10645</x:v>
      </x:c>
      <x:c r="D7494" t="str">
        <x:v>Anna Andreadi</x:v>
      </x:c>
      <x:c r="E7494" t="str">
        <x:v>Consumer</x:v>
      </x:c>
      <x:c r="F7494" t="str">
        <x:v>West</x:v>
      </x:c>
      <x:c r="G7494" t="str">
        <x:v>Office Supplies</x:v>
      </x:c>
      <x:c r="H7494" t="str">
        <x:v>Paper</x:v>
      </x:c>
      <x:c r="I7494" s="22" t="n">
        <x:v>12.96</x:v>
      </x:c>
      <x:c r="J7494" s="24" t="n">
        <x:v>2</x:v>
      </x:c>
      <x:c r="K7494" s="26" t="n">
        <x:v>0</x:v>
      </x:c>
      <x:c r="L7494" s="22" t="n">
        <x:v>6.2208000000000006</x:v>
      </x:c>
      <x:c r="M7494" t="n">
        <x:v>2017</x:v>
      </x:c>
      <x:c r="N7494" s="20" t="n">
        <x:v>43040</x:v>
      </x:c>
    </x:row>
    <x:row r="7495" ht="18" customHeight="1">
      <x:c r="A7495" t="str">
        <x:v>CA-2015-108672</x:v>
      </x:c>
      <x:c r="B7495" s="18" t="n">
        <x:v>42257</x:v>
      </x:c>
      <x:c r="C7495" t="str">
        <x:v>FA-14230</x:v>
      </x:c>
      <x:c r="D7495" t="str">
        <x:v>Frank Atkinson</x:v>
      </x:c>
      <x:c r="E7495" t="str">
        <x:v>Corporate</x:v>
      </x:c>
      <x:c r="F7495" t="str">
        <x:v>West</x:v>
      </x:c>
      <x:c r="G7495" t="str">
        <x:v>Furniture</x:v>
      </x:c>
      <x:c r="H7495" t="str">
        <x:v>Furnishings</x:v>
      </x:c>
      <x:c r="I7495" s="22" t="n">
        <x:v>106.68</x:v>
      </x:c>
      <x:c r="J7495" s="24" t="n">
        <x:v>6</x:v>
      </x:c>
      <x:c r="K7495" s="26" t="n">
        <x:v>0</x:v>
      </x:c>
      <x:c r="L7495" s="22" t="n">
        <x:v>33.07079999999999</x:v>
      </x:c>
      <x:c r="M7495" t="n">
        <x:v>2015</x:v>
      </x:c>
      <x:c r="N7495" s="20" t="n">
        <x:v>42248</x:v>
      </x:c>
    </x:row>
    <x:row r="7496" ht="18" customHeight="1">
      <x:c r="A7496" t="str">
        <x:v>US-2017-118598</x:v>
      </x:c>
      <x:c r="B7496" s="18" t="n">
        <x:v>43055</x:v>
      </x:c>
      <x:c r="C7496" t="str">
        <x:v>CM-12190</x:v>
      </x:c>
      <x:c r="D7496" t="str">
        <x:v>Charlotte Melton</x:v>
      </x:c>
      <x:c r="E7496" t="str">
        <x:v>Consumer</x:v>
      </x:c>
      <x:c r="F7496" t="str">
        <x:v>East</x:v>
      </x:c>
      <x:c r="G7496" t="str">
        <x:v>Technology</x:v>
      </x:c>
      <x:c r="H7496" t="str">
        <x:v>Phones</x:v>
      </x:c>
      <x:c r="I7496" s="22" t="n">
        <x:v>119.94</x:v>
      </x:c>
      <x:c r="J7496" s="24" t="n">
        <x:v>6</x:v>
      </x:c>
      <x:c r="K7496" s="26" t="n">
        <x:v>0</x:v>
      </x:c>
      <x:c r="L7496" s="22" t="n">
        <x:v>5.996999999999986</x:v>
      </x:c>
      <x:c r="M7496" t="n">
        <x:v>2017</x:v>
      </x:c>
      <x:c r="N7496" s="20" t="n">
        <x:v>43040</x:v>
      </x:c>
    </x:row>
    <x:row r="7497" ht="18" customHeight="1">
      <x:c r="A7497" t="str">
        <x:v>US-2017-160836</x:v>
      </x:c>
      <x:c r="B7497" s="18" t="n">
        <x:v>42989</x:v>
      </x:c>
      <x:c r="C7497" t="str">
        <x:v>CC-12475</x:v>
      </x:c>
      <x:c r="D7497" t="str">
        <x:v>Cindy Chapman</x:v>
      </x:c>
      <x:c r="E7497" t="str">
        <x:v>Consumer</x:v>
      </x:c>
      <x:c r="F7497" t="str">
        <x:v>Central</x:v>
      </x:c>
      <x:c r="G7497" t="str">
        <x:v>Office Supplies</x:v>
      </x:c>
      <x:c r="H7497" t="str">
        <x:v>Paper</x:v>
      </x:c>
      <x:c r="I7497" s="22" t="n">
        <x:v>10.272000000000002</x:v>
      </x:c>
      <x:c r="J7497" s="24" t="n">
        <x:v>3</x:v>
      </x:c>
      <x:c r="K7497" s="26" t="n">
        <x:v>0.2</x:v>
      </x:c>
      <x:c r="L7497" s="22" t="n">
        <x:v>3.209999999999998</x:v>
      </x:c>
      <x:c r="M7497" t="n">
        <x:v>2017</x:v>
      </x:c>
      <x:c r="N7497" s="20" t="n">
        <x:v>42979</x:v>
      </x:c>
    </x:row>
    <x:row r="7498" ht="18" customHeight="1">
      <x:c r="A7498" t="str">
        <x:v>US-2017-160836</x:v>
      </x:c>
      <x:c r="B7498" s="18" t="n">
        <x:v>42989</x:v>
      </x:c>
      <x:c r="C7498" t="str">
        <x:v>CC-12475</x:v>
      </x:c>
      <x:c r="D7498" t="str">
        <x:v>Cindy Chapman</x:v>
      </x:c>
      <x:c r="E7498" t="str">
        <x:v>Consumer</x:v>
      </x:c>
      <x:c r="F7498" t="str">
        <x:v>Central</x:v>
      </x:c>
      <x:c r="G7498" t="str">
        <x:v>Furniture</x:v>
      </x:c>
      <x:c r="H7498" t="str">
        <x:v>Tables</x:v>
      </x:c>
      <x:c r="I7498" s="22" t="n">
        <x:v>512.19</x:v>
      </x:c>
      <x:c r="J7498" s="24" t="n">
        <x:v>5</x:v>
      </x:c>
      <x:c r="K7498" s="26" t="n">
        <x:v>0.3</x:v>
      </x:c>
      <x:c r="L7498" s="22" t="n">
        <x:v>-65.85300000000001</x:v>
      </x:c>
      <x:c r="M7498" t="n">
        <x:v>2017</x:v>
      </x:c>
      <x:c r="N7498" s="20" t="n">
        <x:v>42979</x:v>
      </x:c>
    </x:row>
    <x:row r="7499" ht="18" customHeight="1">
      <x:c r="A7499" t="str">
        <x:v>US-2017-160836</x:v>
      </x:c>
      <x:c r="B7499" s="18" t="n">
        <x:v>42989</x:v>
      </x:c>
      <x:c r="C7499" t="str">
        <x:v>CC-12475</x:v>
      </x:c>
      <x:c r="D7499" t="str">
        <x:v>Cindy Chapman</x:v>
      </x:c>
      <x:c r="E7499" t="str">
        <x:v>Consumer</x:v>
      </x:c>
      <x:c r="F7499" t="str">
        <x:v>Central</x:v>
      </x:c>
      <x:c r="G7499" t="str">
        <x:v>Office Supplies</x:v>
      </x:c>
      <x:c r="H7499" t="str">
        <x:v>Appliances</x:v>
      </x:c>
      <x:c r="I7499" s="22" t="n">
        <x:v>1.5559999999999996</x:v>
      </x:c>
      <x:c r="J7499" s="24" t="n">
        <x:v>2</x:v>
      </x:c>
      <x:c r="K7499" s="26" t="n">
        <x:v>0.8</x:v>
      </x:c>
      <x:c r="L7499" s="22" t="n">
        <x:v>-4.2012</x:v>
      </x:c>
      <x:c r="M7499" t="n">
        <x:v>2017</x:v>
      </x:c>
      <x:c r="N7499" s="20" t="n">
        <x:v>42979</x:v>
      </x:c>
    </x:row>
    <x:row r="7500" ht="18" customHeight="1">
      <x:c r="A7500" t="str">
        <x:v>CA-2017-121048</x:v>
      </x:c>
      <x:c r="B7500" s="18" t="n">
        <x:v>42930</x:v>
      </x:c>
      <x:c r="C7500" t="str">
        <x:v>TC-21295</x:v>
      </x:c>
      <x:c r="D7500" t="str">
        <x:v>Toby Carlisle</x:v>
      </x:c>
      <x:c r="E7500" t="str">
        <x:v>Consumer</x:v>
      </x:c>
      <x:c r="F7500" t="str">
        <x:v>West</x:v>
      </x:c>
      <x:c r="G7500" t="str">
        <x:v>Office Supplies</x:v>
      </x:c>
      <x:c r="H7500" t="str">
        <x:v>Binders</x:v>
      </x:c>
      <x:c r="I7500" s="22" t="n">
        <x:v>4.4479999999999995</x:v>
      </x:c>
      <x:c r="J7500" s="24" t="n">
        <x:v>2</x:v>
      </x:c>
      <x:c r="K7500" s="26" t="n">
        <x:v>0.2</x:v>
      </x:c>
      <x:c r="L7500" s="22" t="n">
        <x:v>1.4455999999999996</x:v>
      </x:c>
      <x:c r="M7500" t="n">
        <x:v>2017</x:v>
      </x:c>
      <x:c r="N7500" s="20" t="n">
        <x:v>42917</x:v>
      </x:c>
    </x:row>
    <x:row r="7501" ht="18" customHeight="1">
      <x:c r="A7501" t="str">
        <x:v>CA-2017-121048</x:v>
      </x:c>
      <x:c r="B7501" s="18" t="n">
        <x:v>42930</x:v>
      </x:c>
      <x:c r="C7501" t="str">
        <x:v>TC-21295</x:v>
      </x:c>
      <x:c r="D7501" t="str">
        <x:v>Toby Carlisle</x:v>
      </x:c>
      <x:c r="E7501" t="str">
        <x:v>Consumer</x:v>
      </x:c>
      <x:c r="F7501" t="str">
        <x:v>West</x:v>
      </x:c>
      <x:c r="G7501" t="str">
        <x:v>Furniture</x:v>
      </x:c>
      <x:c r="H7501" t="str">
        <x:v>Furnishings</x:v>
      </x:c>
      <x:c r="I7501" s="22" t="n">
        <x:v>276.69</x:v>
      </x:c>
      <x:c r="J7501" s="24" t="n">
        <x:v>3</x:v>
      </x:c>
      <x:c r="K7501" s="26" t="n">
        <x:v>0</x:v>
      </x:c>
      <x:c r="L7501" s="22" t="n">
        <x:v>49.804199999999994</x:v>
      </x:c>
      <x:c r="M7501" t="n">
        <x:v>2017</x:v>
      </x:c>
      <x:c r="N7501" s="20" t="n">
        <x:v>42917</x:v>
      </x:c>
    </x:row>
    <x:row r="7502" ht="18" customHeight="1">
      <x:c r="A7502" t="str">
        <x:v>CA-2017-121048</x:v>
      </x:c>
      <x:c r="B7502" s="18" t="n">
        <x:v>42930</x:v>
      </x:c>
      <x:c r="C7502" t="str">
        <x:v>TC-21295</x:v>
      </x:c>
      <x:c r="D7502" t="str">
        <x:v>Toby Carlisle</x:v>
      </x:c>
      <x:c r="E7502" t="str">
        <x:v>Consumer</x:v>
      </x:c>
      <x:c r="F7502" t="str">
        <x:v>West</x:v>
      </x:c>
      <x:c r="G7502" t="str">
        <x:v>Office Supplies</x:v>
      </x:c>
      <x:c r="H7502" t="str">
        <x:v>Fasteners</x:v>
      </x:c>
      <x:c r="I7502" s="22" t="n">
        <x:v>4.96</x:v>
      </x:c>
      <x:c r="J7502" s="24" t="n">
        <x:v>4</x:v>
      </x:c>
      <x:c r="K7502" s="26" t="n">
        <x:v>0</x:v>
      </x:c>
      <x:c r="L7502" s="22" t="n">
        <x:v>2.3312</x:v>
      </x:c>
      <x:c r="M7502" t="n">
        <x:v>2017</x:v>
      </x:c>
      <x:c r="N7502" s="20" t="n">
        <x:v>42917</x:v>
      </x:c>
    </x:row>
    <x:row r="7503" ht="18" customHeight="1">
      <x:c r="A7503" t="str">
        <x:v>CA-2017-121048</x:v>
      </x:c>
      <x:c r="B7503" s="18" t="n">
        <x:v>42930</x:v>
      </x:c>
      <x:c r="C7503" t="str">
        <x:v>TC-21295</x:v>
      </x:c>
      <x:c r="D7503" t="str">
        <x:v>Toby Carlisle</x:v>
      </x:c>
      <x:c r="E7503" t="str">
        <x:v>Consumer</x:v>
      </x:c>
      <x:c r="F7503" t="str">
        <x:v>West</x:v>
      </x:c>
      <x:c r="G7503" t="str">
        <x:v>Office Supplies</x:v>
      </x:c>
      <x:c r="H7503" t="str">
        <x:v>Art</x:v>
      </x:c>
      <x:c r="I7503" s="22" t="n">
        <x:v>71.92</x:v>
      </x:c>
      <x:c r="J7503" s="24" t="n">
        <x:v>4</x:v>
      </x:c>
      <x:c r="K7503" s="26" t="n">
        <x:v>0</x:v>
      </x:c>
      <x:c r="L7503" s="22" t="n">
        <x:v>20.856799999999993</x:v>
      </x:c>
      <x:c r="M7503" t="n">
        <x:v>2017</x:v>
      </x:c>
      <x:c r="N7503" s="20" t="n">
        <x:v>42917</x:v>
      </x:c>
    </x:row>
    <x:row r="7504" ht="18" customHeight="1">
      <x:c r="A7504" t="str">
        <x:v>CA-2017-121048</x:v>
      </x:c>
      <x:c r="B7504" s="18" t="n">
        <x:v>42930</x:v>
      </x:c>
      <x:c r="C7504" t="str">
        <x:v>TC-21295</x:v>
      </x:c>
      <x:c r="D7504" t="str">
        <x:v>Toby Carlisle</x:v>
      </x:c>
      <x:c r="E7504" t="str">
        <x:v>Consumer</x:v>
      </x:c>
      <x:c r="F7504" t="str">
        <x:v>West</x:v>
      </x:c>
      <x:c r="G7504" t="str">
        <x:v>Furniture</x:v>
      </x:c>
      <x:c r="H7504" t="str">
        <x:v>Furnishings</x:v>
      </x:c>
      <x:c r="I7504" s="22" t="n">
        <x:v>18.84</x:v>
      </x:c>
      <x:c r="J7504" s="24" t="n">
        <x:v>3</x:v>
      </x:c>
      <x:c r="K7504" s="26" t="n">
        <x:v>0</x:v>
      </x:c>
      <x:c r="L7504" s="22" t="n">
        <x:v>7.912800000000001</x:v>
      </x:c>
      <x:c r="M7504" t="n">
        <x:v>2017</x:v>
      </x:c>
      <x:c r="N7504" s="20" t="n">
        <x:v>42917</x:v>
      </x:c>
    </x:row>
    <x:row r="7505" ht="18" customHeight="1">
      <x:c r="A7505" t="str">
        <x:v>CA-2017-121048</x:v>
      </x:c>
      <x:c r="B7505" s="18" t="n">
        <x:v>42930</x:v>
      </x:c>
      <x:c r="C7505" t="str">
        <x:v>TC-21295</x:v>
      </x:c>
      <x:c r="D7505" t="str">
        <x:v>Toby Carlisle</x:v>
      </x:c>
      <x:c r="E7505" t="str">
        <x:v>Consumer</x:v>
      </x:c>
      <x:c r="F7505" t="str">
        <x:v>West</x:v>
      </x:c>
      <x:c r="G7505" t="str">
        <x:v>Technology</x:v>
      </x:c>
      <x:c r="H7505" t="str">
        <x:v>Accessories</x:v>
      </x:c>
      <x:c r="I7505" s="22" t="n">
        <x:v>140.97</x:v>
      </x:c>
      <x:c r="J7505" s="24" t="n">
        <x:v>3</x:v>
      </x:c>
      <x:c r="K7505" s="26" t="n">
        <x:v>0</x:v>
      </x:c>
      <x:c r="L7505" s="22" t="n">
        <x:v>19.735800000000005</x:v>
      </x:c>
      <x:c r="M7505" t="n">
        <x:v>2017</x:v>
      </x:c>
      <x:c r="N7505" s="20" t="n">
        <x:v>42917</x:v>
      </x:c>
    </x:row>
    <x:row r="7506" ht="18" customHeight="1">
      <x:c r="A7506" t="str">
        <x:v>CA-2017-121048</x:v>
      </x:c>
      <x:c r="B7506" s="18" t="n">
        <x:v>42930</x:v>
      </x:c>
      <x:c r="C7506" t="str">
        <x:v>TC-21295</x:v>
      </x:c>
      <x:c r="D7506" t="str">
        <x:v>Toby Carlisle</x:v>
      </x:c>
      <x:c r="E7506" t="str">
        <x:v>Consumer</x:v>
      </x:c>
      <x:c r="F7506" t="str">
        <x:v>West</x:v>
      </x:c>
      <x:c r="G7506" t="str">
        <x:v>Technology</x:v>
      </x:c>
      <x:c r="H7506" t="str">
        <x:v>Phones</x:v>
      </x:c>
      <x:c r="I7506" s="22" t="n">
        <x:v>470.3760000000001</x:v>
      </x:c>
      <x:c r="J7506" s="24" t="n">
        <x:v>3</x:v>
      </x:c>
      <x:c r="K7506" s="26" t="n">
        <x:v>0.2</x:v>
      </x:c>
      <x:c r="L7506" s="22" t="n">
        <x:v>52.917299999999955</x:v>
      </x:c>
      <x:c r="M7506" t="n">
        <x:v>2017</x:v>
      </x:c>
      <x:c r="N7506" s="20" t="n">
        <x:v>42917</x:v>
      </x:c>
    </x:row>
    <x:row r="7507" ht="18" customHeight="1">
      <x:c r="A7507" t="str">
        <x:v>US-2017-120147</x:v>
      </x:c>
      <x:c r="B7507" s="18" t="n">
        <x:v>42824</x:v>
      </x:c>
      <x:c r="C7507" t="str">
        <x:v>TB-21400</x:v>
      </x:c>
      <x:c r="D7507" t="str">
        <x:v>Tom Boeckenhauer</x:v>
      </x:c>
      <x:c r="E7507" t="str">
        <x:v>Consumer</x:v>
      </x:c>
      <x:c r="F7507" t="str">
        <x:v>West</x:v>
      </x:c>
      <x:c r="G7507" t="str">
        <x:v>Office Supplies</x:v>
      </x:c>
      <x:c r="H7507" t="str">
        <x:v>Art</x:v>
      </x:c>
      <x:c r="I7507" s="22" t="n">
        <x:v>6.08</x:v>
      </x:c>
      <x:c r="J7507" s="24" t="n">
        <x:v>2</x:v>
      </x:c>
      <x:c r="K7507" s="26" t="n">
        <x:v>0</x:v>
      </x:c>
      <x:c r="L7507" s="22" t="n">
        <x:v>2.0671999999999997</x:v>
      </x:c>
      <x:c r="M7507" t="n">
        <x:v>2017</x:v>
      </x:c>
      <x:c r="N7507" s="20" t="n">
        <x:v>42795</x:v>
      </x:c>
    </x:row>
    <x:row r="7508" ht="18" customHeight="1">
      <x:c r="A7508" t="str">
        <x:v>US-2017-120147</x:v>
      </x:c>
      <x:c r="B7508" s="18" t="n">
        <x:v>42824</x:v>
      </x:c>
      <x:c r="C7508" t="str">
        <x:v>TB-21400</x:v>
      </x:c>
      <x:c r="D7508" t="str">
        <x:v>Tom Boeckenhauer</x:v>
      </x:c>
      <x:c r="E7508" t="str">
        <x:v>Consumer</x:v>
      </x:c>
      <x:c r="F7508" t="str">
        <x:v>West</x:v>
      </x:c>
      <x:c r="G7508" t="str">
        <x:v>Technology</x:v>
      </x:c>
      <x:c r="H7508" t="str">
        <x:v>Phones</x:v>
      </x:c>
      <x:c r="I7508" s="22" t="n">
        <x:v>164.79200000000003</x:v>
      </x:c>
      <x:c r="J7508" s="24" t="n">
        <x:v>1</x:v>
      </x:c>
      <x:c r="K7508" s="26" t="n">
        <x:v>0.2</x:v>
      </x:c>
      <x:c r="L7508" s="22" t="n">
        <x:v>18.53909999999999</x:v>
      </x:c>
      <x:c r="M7508" t="n">
        <x:v>2017</x:v>
      </x:c>
      <x:c r="N7508" s="20" t="n">
        <x:v>42795</x:v>
      </x:c>
    </x:row>
    <x:row r="7509" ht="18" customHeight="1">
      <x:c r="A7509" t="str">
        <x:v>CA-2016-158043</x:v>
      </x:c>
      <x:c r="B7509" s="18" t="n">
        <x:v>42400</x:v>
      </x:c>
      <x:c r="C7509" t="str">
        <x:v>JK-15325</x:v>
      </x:c>
      <x:c r="D7509" t="str">
        <x:v>Jason Klamczynski</x:v>
      </x:c>
      <x:c r="E7509" t="str">
        <x:v>Corporate</x:v>
      </x:c>
      <x:c r="F7509" t="str">
        <x:v>East</x:v>
      </x:c>
      <x:c r="G7509" t="str">
        <x:v>Office Supplies</x:v>
      </x:c>
      <x:c r="H7509" t="str">
        <x:v>Envelopes</x:v>
      </x:c>
      <x:c r="I7509" s="22" t="n">
        <x:v>23.36</x:v>
      </x:c>
      <x:c r="J7509" s="24" t="n">
        <x:v>2</x:v>
      </x:c>
      <x:c r="K7509" s="26" t="n">
        <x:v>0</x:v>
      </x:c>
      <x:c r="L7509" s="22" t="n">
        <x:v>11.68</x:v>
      </x:c>
      <x:c r="M7509" t="n">
        <x:v>2016</x:v>
      </x:c>
      <x:c r="N7509" s="20" t="n">
        <x:v>42370</x:v>
      </x:c>
    </x:row>
    <x:row r="7510" ht="18" customHeight="1">
      <x:c r="A7510" t="str">
        <x:v>US-2017-106579</x:v>
      </x:c>
      <x:c r="B7510" s="18" t="n">
        <x:v>42894</x:v>
      </x:c>
      <x:c r="C7510" t="str">
        <x:v>BW-11200</x:v>
      </x:c>
      <x:c r="D7510" t="str">
        <x:v>Ben Wallace</x:v>
      </x:c>
      <x:c r="E7510" t="str">
        <x:v>Consumer</x:v>
      </x:c>
      <x:c r="F7510" t="str">
        <x:v>Central</x:v>
      </x:c>
      <x:c r="G7510" t="str">
        <x:v>Office Supplies</x:v>
      </x:c>
      <x:c r="H7510" t="str">
        <x:v>Binders</x:v>
      </x:c>
      <x:c r="I7510" s="22" t="n">
        <x:v>12.175999999999998</x:v>
      </x:c>
      <x:c r="J7510" s="24" t="n">
        <x:v>4</x:v>
      </x:c>
      <x:c r="K7510" s="26" t="n">
        <x:v>0.8</x:v>
      </x:c>
      <x:c r="L7510" s="22" t="n">
        <x:v>-18.87280000000001</x:v>
      </x:c>
      <x:c r="M7510" t="n">
        <x:v>2017</x:v>
      </x:c>
      <x:c r="N7510" s="20" t="n">
        <x:v>42887</x:v>
      </x:c>
    </x:row>
    <x:row r="7511" ht="18" customHeight="1">
      <x:c r="A7511" t="str">
        <x:v>CA-2014-115889</x:v>
      </x:c>
      <x:c r="B7511" s="18" t="n">
        <x:v>41945</x:v>
      </x:c>
      <x:c r="C7511" t="str">
        <x:v>SH-20395</x:v>
      </x:c>
      <x:c r="D7511" t="str">
        <x:v>Shahid Hopkins</x:v>
      </x:c>
      <x:c r="E7511" t="str">
        <x:v>Consumer</x:v>
      </x:c>
      <x:c r="F7511" t="str">
        <x:v>West</x:v>
      </x:c>
      <x:c r="G7511" t="str">
        <x:v>Technology</x:v>
      </x:c>
      <x:c r="H7511" t="str">
        <x:v>Phones</x:v>
      </x:c>
      <x:c r="I7511" s="22" t="n">
        <x:v>46.384</x:v>
      </x:c>
      <x:c r="J7511" s="24" t="n">
        <x:v>2</x:v>
      </x:c>
      <x:c r="K7511" s="26" t="n">
        <x:v>0.2</x:v>
      </x:c>
      <x:c r="L7511" s="22" t="n">
        <x:v>5.218199999999992</x:v>
      </x:c>
      <x:c r="M7511" t="n">
        <x:v>2014</x:v>
      </x:c>
      <x:c r="N7511" s="20" t="n">
        <x:v>41944</x:v>
      </x:c>
    </x:row>
    <x:row r="7512" ht="18" customHeight="1">
      <x:c r="A7512" t="str">
        <x:v>CA-2014-115889</x:v>
      </x:c>
      <x:c r="B7512" s="18" t="n">
        <x:v>41945</x:v>
      </x:c>
      <x:c r="C7512" t="str">
        <x:v>SH-20395</x:v>
      </x:c>
      <x:c r="D7512" t="str">
        <x:v>Shahid Hopkins</x:v>
      </x:c>
      <x:c r="E7512" t="str">
        <x:v>Consumer</x:v>
      </x:c>
      <x:c r="F7512" t="str">
        <x:v>West</x:v>
      </x:c>
      <x:c r="G7512" t="str">
        <x:v>Office Supplies</x:v>
      </x:c>
      <x:c r="H7512" t="str">
        <x:v>Storage</x:v>
      </x:c>
      <x:c r="I7512" s="22" t="n">
        <x:v>362.92</x:v>
      </x:c>
      <x:c r="J7512" s="24" t="n">
        <x:v>2</x:v>
      </x:c>
      <x:c r="K7512" s="26" t="n">
        <x:v>0</x:v>
      </x:c>
      <x:c r="L7512" s="22" t="n">
        <x:v>105.24679999999995</x:v>
      </x:c>
      <x:c r="M7512" t="n">
        <x:v>2014</x:v>
      </x:c>
      <x:c r="N7512" s="20" t="n">
        <x:v>41944</x:v>
      </x:c>
    </x:row>
    <x:row r="7513" ht="18" customHeight="1">
      <x:c r="A7513" t="str">
        <x:v>US-2017-161935</x:v>
      </x:c>
      <x:c r="B7513" s="18" t="n">
        <x:v>42930</x:v>
      </x:c>
      <x:c r="C7513" t="str">
        <x:v>JL-15835</x:v>
      </x:c>
      <x:c r="D7513" t="str">
        <x:v>John Lee</x:v>
      </x:c>
      <x:c r="E7513" t="str">
        <x:v>Consumer</x:v>
      </x:c>
      <x:c r="F7513" t="str">
        <x:v>East</x:v>
      </x:c>
      <x:c r="G7513" t="str">
        <x:v>Office Supplies</x:v>
      </x:c>
      <x:c r="H7513" t="str">
        <x:v>Paper</x:v>
      </x:c>
      <x:c r="I7513" s="22" t="n">
        <x:v>9.248000000000001</x:v>
      </x:c>
      <x:c r="J7513" s="24" t="n">
        <x:v>2</x:v>
      </x:c>
      <x:c r="K7513" s="26" t="n">
        <x:v>0.2</x:v>
      </x:c>
      <x:c r="L7513" s="22" t="n">
        <x:v>3.3524000000000003</x:v>
      </x:c>
      <x:c r="M7513" t="n">
        <x:v>2017</x:v>
      </x:c>
      <x:c r="N7513" s="20" t="n">
        <x:v>42917</x:v>
      </x:c>
    </x:row>
    <x:row r="7514" ht="18" customHeight="1">
      <x:c r="A7514" t="str">
        <x:v>US-2017-161935</x:v>
      </x:c>
      <x:c r="B7514" s="18" t="n">
        <x:v>42930</x:v>
      </x:c>
      <x:c r="C7514" t="str">
        <x:v>JL-15835</x:v>
      </x:c>
      <x:c r="D7514" t="str">
        <x:v>John Lee</x:v>
      </x:c>
      <x:c r="E7514" t="str">
        <x:v>Consumer</x:v>
      </x:c>
      <x:c r="F7514" t="str">
        <x:v>East</x:v>
      </x:c>
      <x:c r="G7514" t="str">
        <x:v>Technology</x:v>
      </x:c>
      <x:c r="H7514" t="str">
        <x:v>Phones</x:v>
      </x:c>
      <x:c r="I7514" s="22" t="n">
        <x:v>1889.946</x:v>
      </x:c>
      <x:c r="J7514" s="24" t="n">
        <x:v>9</x:v>
      </x:c>
      <x:c r="K7514" s="26" t="n">
        <x:v>0.4</x:v>
      </x:c>
      <x:c r="L7514" s="22" t="n">
        <x:v>-377.9892</x:v>
      </x:c>
      <x:c r="M7514" t="n">
        <x:v>2017</x:v>
      </x:c>
      <x:c r="N7514" s="20" t="n">
        <x:v>42917</x:v>
      </x:c>
    </x:row>
    <x:row r="7515" ht="18" customHeight="1">
      <x:c r="A7515" t="str">
        <x:v>US-2017-161935</x:v>
      </x:c>
      <x:c r="B7515" s="18" t="n">
        <x:v>42930</x:v>
      </x:c>
      <x:c r="C7515" t="str">
        <x:v>JL-15835</x:v>
      </x:c>
      <x:c r="D7515" t="str">
        <x:v>John Lee</x:v>
      </x:c>
      <x:c r="E7515" t="str">
        <x:v>Consumer</x:v>
      </x:c>
      <x:c r="F7515" t="str">
        <x:v>East</x:v>
      </x:c>
      <x:c r="G7515" t="str">
        <x:v>Office Supplies</x:v>
      </x:c>
      <x:c r="H7515" t="str">
        <x:v>Storage</x:v>
      </x:c>
      <x:c r="I7515" s="22" t="n">
        <x:v>62.040000000000006</x:v>
      </x:c>
      <x:c r="J7515" s="24" t="n">
        <x:v>5</x:v>
      </x:c>
      <x:c r="K7515" s="26" t="n">
        <x:v>0.2</x:v>
      </x:c>
      <x:c r="L7515" s="22" t="n">
        <x:v>4.653000000000002</x:v>
      </x:c>
      <x:c r="M7515" t="n">
        <x:v>2017</x:v>
      </x:c>
      <x:c r="N7515" s="20" t="n">
        <x:v>42917</x:v>
      </x:c>
    </x:row>
    <x:row r="7516" ht="18" customHeight="1">
      <x:c r="A7516" t="str">
        <x:v>US-2017-161935</x:v>
      </x:c>
      <x:c r="B7516" s="18" t="n">
        <x:v>42930</x:v>
      </x:c>
      <x:c r="C7516" t="str">
        <x:v>JL-15835</x:v>
      </x:c>
      <x:c r="D7516" t="str">
        <x:v>John Lee</x:v>
      </x:c>
      <x:c r="E7516" t="str">
        <x:v>Consumer</x:v>
      </x:c>
      <x:c r="F7516" t="str">
        <x:v>East</x:v>
      </x:c>
      <x:c r="G7516" t="str">
        <x:v>Furniture</x:v>
      </x:c>
      <x:c r="H7516" t="str">
        <x:v>Furnishings</x:v>
      </x:c>
      <x:c r="I7516" s="22" t="n">
        <x:v>396.9200000000001</x:v>
      </x:c>
      <x:c r="J7516" s="24" t="n">
        <x:v>5</x:v>
      </x:c>
      <x:c r="K7516" s="26" t="n">
        <x:v>0.2</x:v>
      </x:c>
      <x:c r="L7516" s="22" t="n">
        <x:v>148.845</x:v>
      </x:c>
      <x:c r="M7516" t="n">
        <x:v>2017</x:v>
      </x:c>
      <x:c r="N7516" s="20" t="n">
        <x:v>42917</x:v>
      </x:c>
    </x:row>
    <x:row r="7517" ht="18" customHeight="1">
      <x:c r="A7517" t="str">
        <x:v>US-2017-161935</x:v>
      </x:c>
      <x:c r="B7517" s="18" t="n">
        <x:v>42930</x:v>
      </x:c>
      <x:c r="C7517" t="str">
        <x:v>JL-15835</x:v>
      </x:c>
      <x:c r="D7517" t="str">
        <x:v>John Lee</x:v>
      </x:c>
      <x:c r="E7517" t="str">
        <x:v>Consumer</x:v>
      </x:c>
      <x:c r="F7517" t="str">
        <x:v>East</x:v>
      </x:c>
      <x:c r="G7517" t="str">
        <x:v>Office Supplies</x:v>
      </x:c>
      <x:c r="H7517" t="str">
        <x:v>Storage</x:v>
      </x:c>
      <x:c r="I7517" s="22" t="n">
        <x:v>239.456</x:v>
      </x:c>
      <x:c r="J7517" s="24" t="n">
        <x:v>7</x:v>
      </x:c>
      <x:c r="K7517" s="26" t="n">
        <x:v>0.2</x:v>
      </x:c>
      <x:c r="L7517" s="22" t="n">
        <x:v>17.959200000000003</x:v>
      </x:c>
      <x:c r="M7517" t="n">
        <x:v>2017</x:v>
      </x:c>
      <x:c r="N7517" s="20" t="n">
        <x:v>42917</x:v>
      </x:c>
    </x:row>
    <x:row r="7518" ht="18" customHeight="1">
      <x:c r="A7518" t="str">
        <x:v>US-2017-161935</x:v>
      </x:c>
      <x:c r="B7518" s="18" t="n">
        <x:v>42930</x:v>
      </x:c>
      <x:c r="C7518" t="str">
        <x:v>JL-15835</x:v>
      </x:c>
      <x:c r="D7518" t="str">
        <x:v>John Lee</x:v>
      </x:c>
      <x:c r="E7518" t="str">
        <x:v>Consumer</x:v>
      </x:c>
      <x:c r="F7518" t="str">
        <x:v>East</x:v>
      </x:c>
      <x:c r="G7518" t="str">
        <x:v>Office Supplies</x:v>
      </x:c>
      <x:c r="H7518" t="str">
        <x:v>Art</x:v>
      </x:c>
      <x:c r="I7518" s="22" t="n">
        <x:v>13.120000000000001</x:v>
      </x:c>
      <x:c r="J7518" s="24" t="n">
        <x:v>5</x:v>
      </x:c>
      <x:c r="K7518" s="26" t="n">
        <x:v>0.2</x:v>
      </x:c>
      <x:c r="L7518" s="22" t="n">
        <x:v>2.131999999999999</x:v>
      </x:c>
      <x:c r="M7518" t="n">
        <x:v>2017</x:v>
      </x:c>
      <x:c r="N7518" s="20" t="n">
        <x:v>42917</x:v>
      </x:c>
    </x:row>
    <x:row r="7519" ht="18" customHeight="1">
      <x:c r="A7519" t="str">
        <x:v>US-2017-167920</x:v>
      </x:c>
      <x:c r="B7519" s="18" t="n">
        <x:v>43078</x:v>
      </x:c>
      <x:c r="C7519" t="str">
        <x:v>JL-15835</x:v>
      </x:c>
      <x:c r="D7519" t="str">
        <x:v>John Lee</x:v>
      </x:c>
      <x:c r="E7519" t="str">
        <x:v>Consumer</x:v>
      </x:c>
      <x:c r="F7519" t="str">
        <x:v>South</x:v>
      </x:c>
      <x:c r="G7519" t="str">
        <x:v>Office Supplies</x:v>
      </x:c>
      <x:c r="H7519" t="str">
        <x:v>Binders</x:v>
      </x:c>
      <x:c r="I7519" s="22" t="n">
        <x:v>29.36</x:v>
      </x:c>
      <x:c r="J7519" s="24" t="n">
        <x:v>2</x:v>
      </x:c>
      <x:c r="K7519" s="26" t="n">
        <x:v>0</x:v>
      </x:c>
      <x:c r="L7519" s="22" t="n">
        <x:v>13.5056</x:v>
      </x:c>
      <x:c r="M7519" t="n">
        <x:v>2017</x:v>
      </x:c>
      <x:c r="N7519" s="20" t="n">
        <x:v>43070</x:v>
      </x:c>
    </x:row>
    <x:row r="7520" ht="18" customHeight="1">
      <x:c r="A7520" t="str">
        <x:v>US-2017-167920</x:v>
      </x:c>
      <x:c r="B7520" s="18" t="n">
        <x:v>43078</x:v>
      </x:c>
      <x:c r="C7520" t="str">
        <x:v>JL-15835</x:v>
      </x:c>
      <x:c r="D7520" t="str">
        <x:v>John Lee</x:v>
      </x:c>
      <x:c r="E7520" t="str">
        <x:v>Consumer</x:v>
      </x:c>
      <x:c r="F7520" t="str">
        <x:v>South</x:v>
      </x:c>
      <x:c r="G7520" t="str">
        <x:v>Office Supplies</x:v>
      </x:c>
      <x:c r="H7520" t="str">
        <x:v>Appliances</x:v>
      </x:c>
      <x:c r="I7520" s="22" t="n">
        <x:v>214.89999999999998</x:v>
      </x:c>
      <x:c r="J7520" s="24" t="n">
        <x:v>5</x:v>
      </x:c>
      <x:c r="K7520" s="26" t="n">
        <x:v>0</x:v>
      </x:c>
      <x:c r="L7520" s="22" t="n">
        <x:v>62.32099999999997</x:v>
      </x:c>
      <x:c r="M7520" t="n">
        <x:v>2017</x:v>
      </x:c>
      <x:c r="N7520" s="20" t="n">
        <x:v>43070</x:v>
      </x:c>
    </x:row>
    <x:row r="7521" ht="18" customHeight="1">
      <x:c r="A7521" t="str">
        <x:v>US-2017-167920</x:v>
      </x:c>
      <x:c r="B7521" s="18" t="n">
        <x:v>43078</x:v>
      </x:c>
      <x:c r="C7521" t="str">
        <x:v>JL-15835</x:v>
      </x:c>
      <x:c r="D7521" t="str">
        <x:v>John Lee</x:v>
      </x:c>
      <x:c r="E7521" t="str">
        <x:v>Consumer</x:v>
      </x:c>
      <x:c r="F7521" t="str">
        <x:v>South</x:v>
      </x:c>
      <x:c r="G7521" t="str">
        <x:v>Office Supplies</x:v>
      </x:c>
      <x:c r="H7521" t="str">
        <x:v>Binders</x:v>
      </x:c>
      <x:c r="I7521" s="22" t="n">
        <x:v>15.92</x:v>
      </x:c>
      <x:c r="J7521" s="24" t="n">
        <x:v>4</x:v>
      </x:c>
      <x:c r="K7521" s="26" t="n">
        <x:v>0</x:v>
      </x:c>
      <x:c r="L7521" s="22" t="n">
        <x:v>7.4824</x:v>
      </x:c>
      <x:c r="M7521" t="n">
        <x:v>2017</x:v>
      </x:c>
      <x:c r="N7521" s="20" t="n">
        <x:v>43070</x:v>
      </x:c>
    </x:row>
    <x:row r="7522" ht="18" customHeight="1">
      <x:c r="A7522" t="str">
        <x:v>US-2017-167920</x:v>
      </x:c>
      <x:c r="B7522" s="18" t="n">
        <x:v>43078</x:v>
      </x:c>
      <x:c r="C7522" t="str">
        <x:v>JL-15835</x:v>
      </x:c>
      <x:c r="D7522" t="str">
        <x:v>John Lee</x:v>
      </x:c>
      <x:c r="E7522" t="str">
        <x:v>Consumer</x:v>
      </x:c>
      <x:c r="F7522" t="str">
        <x:v>South</x:v>
      </x:c>
      <x:c r="G7522" t="str">
        <x:v>Technology</x:v>
      </x:c>
      <x:c r="H7522" t="str">
        <x:v>Accessories</x:v>
      </x:c>
      <x:c r="I7522" s="22" t="n">
        <x:v>146.45</x:v>
      </x:c>
      <x:c r="J7522" s="24" t="n">
        <x:v>5</x:v>
      </x:c>
      <x:c r="K7522" s="26" t="n">
        <x:v>0</x:v>
      </x:c>
      <x:c r="L7522" s="22" t="n">
        <x:v>48.32849999999999</x:v>
      </x:c>
      <x:c r="M7522" t="n">
        <x:v>2017</x:v>
      </x:c>
      <x:c r="N7522" s="20" t="n">
        <x:v>43070</x:v>
      </x:c>
    </x:row>
    <x:row r="7523" ht="18" customHeight="1">
      <x:c r="A7523" t="str">
        <x:v>US-2017-167920</x:v>
      </x:c>
      <x:c r="B7523" s="18" t="n">
        <x:v>43078</x:v>
      </x:c>
      <x:c r="C7523" t="str">
        <x:v>JL-15835</x:v>
      </x:c>
      <x:c r="D7523" t="str">
        <x:v>John Lee</x:v>
      </x:c>
      <x:c r="E7523" t="str">
        <x:v>Consumer</x:v>
      </x:c>
      <x:c r="F7523" t="str">
        <x:v>South</x:v>
      </x:c>
      <x:c r="G7523" t="str">
        <x:v>Office Supplies</x:v>
      </x:c>
      <x:c r="H7523" t="str">
        <x:v>Storage</x:v>
      </x:c>
      <x:c r="I7523" s="22" t="n">
        <x:v>15.14</x:v>
      </x:c>
      <x:c r="J7523" s="24" t="n">
        <x:v>1</x:v>
      </x:c>
      <x:c r="K7523" s="26" t="n">
        <x:v>0</x:v>
      </x:c>
      <x:c r="L7523" s="22" t="n">
        <x:v>0.605599999999999</x:v>
      </x:c>
      <x:c r="M7523" t="n">
        <x:v>2017</x:v>
      </x:c>
      <x:c r="N7523" s="20" t="n">
        <x:v>43070</x:v>
      </x:c>
    </x:row>
    <x:row r="7524" ht="18" customHeight="1">
      <x:c r="A7524" t="str">
        <x:v>US-2017-167920</x:v>
      </x:c>
      <x:c r="B7524" s="18" t="n">
        <x:v>43078</x:v>
      </x:c>
      <x:c r="C7524" t="str">
        <x:v>JL-15835</x:v>
      </x:c>
      <x:c r="D7524" t="str">
        <x:v>John Lee</x:v>
      </x:c>
      <x:c r="E7524" t="str">
        <x:v>Consumer</x:v>
      </x:c>
      <x:c r="F7524" t="str">
        <x:v>South</x:v>
      </x:c>
      <x:c r="G7524" t="str">
        <x:v>Office Supplies</x:v>
      </x:c>
      <x:c r="H7524" t="str">
        <x:v>Labels</x:v>
      </x:c>
      <x:c r="I7524" s="22" t="n">
        <x:v>5.76</x:v>
      </x:c>
      <x:c r="J7524" s="24" t="n">
        <x:v>2</x:v>
      </x:c>
      <x:c r="K7524" s="26" t="n">
        <x:v>0</x:v>
      </x:c>
      <x:c r="L7524" s="22" t="n">
        <x:v>2.6495999999999995</x:v>
      </x:c>
      <x:c r="M7524" t="n">
        <x:v>2017</x:v>
      </x:c>
      <x:c r="N7524" s="20" t="n">
        <x:v>43070</x:v>
      </x:c>
    </x:row>
    <x:row r="7525" ht="18" customHeight="1">
      <x:c r="A7525" t="str">
        <x:v>US-2017-167920</x:v>
      </x:c>
      <x:c r="B7525" s="18" t="n">
        <x:v>43078</x:v>
      </x:c>
      <x:c r="C7525" t="str">
        <x:v>JL-15835</x:v>
      </x:c>
      <x:c r="D7525" t="str">
        <x:v>John Lee</x:v>
      </x:c>
      <x:c r="E7525" t="str">
        <x:v>Consumer</x:v>
      </x:c>
      <x:c r="F7525" t="str">
        <x:v>South</x:v>
      </x:c>
      <x:c r="G7525" t="str">
        <x:v>Technology</x:v>
      </x:c>
      <x:c r="H7525" t="str">
        <x:v>Copiers</x:v>
      </x:c>
      <x:c r="I7525" s="22" t="n">
        <x:v>1399.98</x:v>
      </x:c>
      <x:c r="J7525" s="24" t="n">
        <x:v>2</x:v>
      </x:c>
      <x:c r="K7525" s="26" t="n">
        <x:v>0</x:v>
      </x:c>
      <x:c r="L7525" s="22" t="n">
        <x:v>629.991</x:v>
      </x:c>
      <x:c r="M7525" t="n">
        <x:v>2017</x:v>
      </x:c>
      <x:c r="N7525" s="20" t="n">
        <x:v>43070</x:v>
      </x:c>
    </x:row>
    <x:row r="7526" ht="18" customHeight="1">
      <x:c r="A7526" t="str">
        <x:v>CA-2016-162383</x:v>
      </x:c>
      <x:c r="B7526" s="18" t="n">
        <x:v>42618</x:v>
      </x:c>
      <x:c r="C7526" t="str">
        <x:v>MD-17350</x:v>
      </x:c>
      <x:c r="D7526" t="str">
        <x:v>Maribeth Dona</x:v>
      </x:c>
      <x:c r="E7526" t="str">
        <x:v>Consumer</x:v>
      </x:c>
      <x:c r="F7526" t="str">
        <x:v>East</x:v>
      </x:c>
      <x:c r="G7526" t="str">
        <x:v>Office Supplies</x:v>
      </x:c>
      <x:c r="H7526" t="str">
        <x:v>Binders</x:v>
      </x:c>
      <x:c r="I7526" s="22" t="n">
        <x:v>8.952000000000002</x:v>
      </x:c>
      <x:c r="J7526" s="24" t="n">
        <x:v>2</x:v>
      </x:c>
      <x:c r="K7526" s="26" t="n">
        <x:v>0.7</x:v>
      </x:c>
      <x:c r="L7526" s="22" t="n">
        <x:v>-7.460000000000001</x:v>
      </x:c>
      <x:c r="M7526" t="n">
        <x:v>2016</x:v>
      </x:c>
      <x:c r="N7526" s="20" t="n">
        <x:v>42614</x:v>
      </x:c>
    </x:row>
    <x:row r="7527" ht="18" customHeight="1">
      <x:c r="A7527" t="str">
        <x:v>CA-2016-162383</x:v>
      </x:c>
      <x:c r="B7527" s="18" t="n">
        <x:v>42618</x:v>
      </x:c>
      <x:c r="C7527" t="str">
        <x:v>MD-17350</x:v>
      </x:c>
      <x:c r="D7527" t="str">
        <x:v>Maribeth Dona</x:v>
      </x:c>
      <x:c r="E7527" t="str">
        <x:v>Consumer</x:v>
      </x:c>
      <x:c r="F7527" t="str">
        <x:v>East</x:v>
      </x:c>
      <x:c r="G7527" t="str">
        <x:v>Office Supplies</x:v>
      </x:c>
      <x:c r="H7527" t="str">
        <x:v>Binders</x:v>
      </x:c>
      <x:c r="I7527" s="22" t="n">
        <x:v>8.856000000000002</x:v>
      </x:c>
      <x:c r="J7527" s="24" t="n">
        <x:v>6</x:v>
      </x:c>
      <x:c r="K7527" s="26" t="n">
        <x:v>0.7</x:v>
      </x:c>
      <x:c r="L7527" s="22" t="n">
        <x:v>-6.494400000000002</x:v>
      </x:c>
      <x:c r="M7527" t="n">
        <x:v>2016</x:v>
      </x:c>
      <x:c r="N7527" s="20" t="n">
        <x:v>42614</x:v>
      </x:c>
    </x:row>
    <x:row r="7528" ht="18" customHeight="1">
      <x:c r="A7528" t="str">
        <x:v>CA-2016-162383</x:v>
      </x:c>
      <x:c r="B7528" s="18" t="n">
        <x:v>42618</x:v>
      </x:c>
      <x:c r="C7528" t="str">
        <x:v>MD-17350</x:v>
      </x:c>
      <x:c r="D7528" t="str">
        <x:v>Maribeth Dona</x:v>
      </x:c>
      <x:c r="E7528" t="str">
        <x:v>Consumer</x:v>
      </x:c>
      <x:c r="F7528" t="str">
        <x:v>East</x:v>
      </x:c>
      <x:c r="G7528" t="str">
        <x:v>Furniture</x:v>
      </x:c>
      <x:c r="H7528" t="str">
        <x:v>Chairs</x:v>
      </x:c>
      <x:c r="I7528" s="22" t="n">
        <x:v>85.246</x:v>
      </x:c>
      <x:c r="J7528" s="24" t="n">
        <x:v>2</x:v>
      </x:c>
      <x:c r="K7528" s="26" t="n">
        <x:v>0.3</x:v>
      </x:c>
      <x:c r="L7528" s="22" t="n">
        <x:v>-1.217800000000004</x:v>
      </x:c>
      <x:c r="M7528" t="n">
        <x:v>2016</x:v>
      </x:c>
      <x:c r="N7528" s="20" t="n">
        <x:v>42614</x:v>
      </x:c>
    </x:row>
    <x:row r="7529" ht="18" customHeight="1">
      <x:c r="A7529" t="str">
        <x:v>CA-2014-125731</x:v>
      </x:c>
      <x:c r="B7529" s="18" t="n">
        <x:v>41892</x:v>
      </x:c>
      <x:c r="C7529" t="str">
        <x:v>CL-12565</x:v>
      </x:c>
      <x:c r="D7529" t="str">
        <x:v>Clay Ludtke</x:v>
      </x:c>
      <x:c r="E7529" t="str">
        <x:v>Consumer</x:v>
      </x:c>
      <x:c r="F7529" t="str">
        <x:v>West</x:v>
      </x:c>
      <x:c r="G7529" t="str">
        <x:v>Office Supplies</x:v>
      </x:c>
      <x:c r="H7529" t="str">
        <x:v>Envelopes</x:v>
      </x:c>
      <x:c r="I7529" s="22" t="n">
        <x:v>21.728</x:v>
      </x:c>
      <x:c r="J7529" s="24" t="n">
        <x:v>7</x:v>
      </x:c>
      <x:c r="K7529" s="26" t="n">
        <x:v>0.2</x:v>
      </x:c>
      <x:c r="L7529" s="22" t="n">
        <x:v>7.604799999999999</x:v>
      </x:c>
      <x:c r="M7529" t="n">
        <x:v>2014</x:v>
      </x:c>
      <x:c r="N7529" s="20" t="n">
        <x:v>41883</x:v>
      </x:c>
    </x:row>
    <x:row r="7530" ht="18" customHeight="1">
      <x:c r="A7530" t="str">
        <x:v>CA-2014-125731</x:v>
      </x:c>
      <x:c r="B7530" s="18" t="n">
        <x:v>41892</x:v>
      </x:c>
      <x:c r="C7530" t="str">
        <x:v>CL-12565</x:v>
      </x:c>
      <x:c r="D7530" t="str">
        <x:v>Clay Ludtke</x:v>
      </x:c>
      <x:c r="E7530" t="str">
        <x:v>Consumer</x:v>
      </x:c>
      <x:c r="F7530" t="str">
        <x:v>West</x:v>
      </x:c>
      <x:c r="G7530" t="str">
        <x:v>Furniture</x:v>
      </x:c>
      <x:c r="H7530" t="str">
        <x:v>Chairs</x:v>
      </x:c>
      <x:c r="I7530" s="22" t="n">
        <x:v>1487.04</x:v>
      </x:c>
      <x:c r="J7530" s="24" t="n">
        <x:v>5</x:v>
      </x:c>
      <x:c r="K7530" s="26" t="n">
        <x:v>0.2</x:v>
      </x:c>
      <x:c r="L7530" s="22" t="n">
        <x:v>148.70400000000006</x:v>
      </x:c>
      <x:c r="M7530" t="n">
        <x:v>2014</x:v>
      </x:c>
      <x:c r="N7530" s="20" t="n">
        <x:v>41883</x:v>
      </x:c>
    </x:row>
    <x:row r="7531" ht="18" customHeight="1">
      <x:c r="A7531" t="str">
        <x:v>US-2017-106145</x:v>
      </x:c>
      <x:c r="B7531" s="18" t="n">
        <x:v>43004</x:v>
      </x:c>
      <x:c r="C7531" t="str">
        <x:v>RA-19885</x:v>
      </x:c>
      <x:c r="D7531" t="str">
        <x:v>Ruben Ausman</x:v>
      </x:c>
      <x:c r="E7531" t="str">
        <x:v>Corporate</x:v>
      </x:c>
      <x:c r="F7531" t="str">
        <x:v>West</x:v>
      </x:c>
      <x:c r="G7531" t="str">
        <x:v>Office Supplies</x:v>
      </x:c>
      <x:c r="H7531" t="str">
        <x:v>Envelopes</x:v>
      </x:c>
      <x:c r="I7531" s="22" t="n">
        <x:v>71.88</x:v>
      </x:c>
      <x:c r="J7531" s="24" t="n">
        <x:v>6</x:v>
      </x:c>
      <x:c r="K7531" s="26" t="n">
        <x:v>0</x:v>
      </x:c>
      <x:c r="L7531" s="22" t="n">
        <x:v>33.0648</x:v>
      </x:c>
      <x:c r="M7531" t="n">
        <x:v>2017</x:v>
      </x:c>
      <x:c r="N7531" s="20" t="n">
        <x:v>42979</x:v>
      </x:c>
    </x:row>
    <x:row r="7532" ht="18" customHeight="1">
      <x:c r="A7532" t="str">
        <x:v>US-2017-106145</x:v>
      </x:c>
      <x:c r="B7532" s="18" t="n">
        <x:v>43004</x:v>
      </x:c>
      <x:c r="C7532" t="str">
        <x:v>RA-19885</x:v>
      </x:c>
      <x:c r="D7532" t="str">
        <x:v>Ruben Ausman</x:v>
      </x:c>
      <x:c r="E7532" t="str">
        <x:v>Corporate</x:v>
      </x:c>
      <x:c r="F7532" t="str">
        <x:v>West</x:v>
      </x:c>
      <x:c r="G7532" t="str">
        <x:v>Furniture</x:v>
      </x:c>
      <x:c r="H7532" t="str">
        <x:v>Furnishings</x:v>
      </x:c>
      <x:c r="I7532" s="22" t="n">
        <x:v>9.24</x:v>
      </x:c>
      <x:c r="J7532" s="24" t="n">
        <x:v>3</x:v>
      </x:c>
      <x:c r="K7532" s="26" t="n">
        <x:v>0</x:v>
      </x:c>
      <x:c r="L7532" s="22" t="n">
        <x:v>2.9567999999999994</x:v>
      </x:c>
      <x:c r="M7532" t="n">
        <x:v>2017</x:v>
      </x:c>
      <x:c r="N7532" s="20" t="n">
        <x:v>42979</x:v>
      </x:c>
    </x:row>
    <x:row r="7533" ht="18" customHeight="1">
      <x:c r="A7533" t="str">
        <x:v>US-2017-106145</x:v>
      </x:c>
      <x:c r="B7533" s="18" t="n">
        <x:v>43004</x:v>
      </x:c>
      <x:c r="C7533" t="str">
        <x:v>RA-19885</x:v>
      </x:c>
      <x:c r="D7533" t="str">
        <x:v>Ruben Ausman</x:v>
      </x:c>
      <x:c r="E7533" t="str">
        <x:v>Corporate</x:v>
      </x:c>
      <x:c r="F7533" t="str">
        <x:v>West</x:v>
      </x:c>
      <x:c r="G7533" t="str">
        <x:v>Office Supplies</x:v>
      </x:c>
      <x:c r="H7533" t="str">
        <x:v>Paper</x:v>
      </x:c>
      <x:c r="I7533" s="22" t="n">
        <x:v>35.88</x:v>
      </x:c>
      <x:c r="J7533" s="24" t="n">
        <x:v>6</x:v>
      </x:c>
      <x:c r="K7533" s="26" t="n">
        <x:v>0</x:v>
      </x:c>
      <x:c r="L7533" s="22" t="n">
        <x:v>16.146</x:v>
      </x:c>
      <x:c r="M7533" t="n">
        <x:v>2017</x:v>
      </x:c>
      <x:c r="N7533" s="20" t="n">
        <x:v>42979</x:v>
      </x:c>
    </x:row>
    <x:row r="7534" ht="18" customHeight="1">
      <x:c r="A7534" t="str">
        <x:v>US-2017-106145</x:v>
      </x:c>
      <x:c r="B7534" s="18" t="n">
        <x:v>43004</x:v>
      </x:c>
      <x:c r="C7534" t="str">
        <x:v>RA-19885</x:v>
      </x:c>
      <x:c r="D7534" t="str">
        <x:v>Ruben Ausman</x:v>
      </x:c>
      <x:c r="E7534" t="str">
        <x:v>Corporate</x:v>
      </x:c>
      <x:c r="F7534" t="str">
        <x:v>West</x:v>
      </x:c>
      <x:c r="G7534" t="str">
        <x:v>Office Supplies</x:v>
      </x:c>
      <x:c r="H7534" t="str">
        <x:v>Binders</x:v>
      </x:c>
      <x:c r="I7534" s="22" t="n">
        <x:v>17.04</x:v>
      </x:c>
      <x:c r="J7534" s="24" t="n">
        <x:v>3</x:v>
      </x:c>
      <x:c r="K7534" s="26" t="n">
        <x:v>0.2</x:v>
      </x:c>
      <x:c r="L7534" s="22" t="n">
        <x:v>5.5379999999999985</x:v>
      </x:c>
      <x:c r="M7534" t="n">
        <x:v>2017</x:v>
      </x:c>
      <x:c r="N7534" s="20" t="n">
        <x:v>42979</x:v>
      </x:c>
    </x:row>
    <x:row r="7535" ht="18" customHeight="1">
      <x:c r="A7535" t="str">
        <x:v>US-2017-106145</x:v>
      </x:c>
      <x:c r="B7535" s="18" t="n">
        <x:v>43004</x:v>
      </x:c>
      <x:c r="C7535" t="str">
        <x:v>RA-19885</x:v>
      </x:c>
      <x:c r="D7535" t="str">
        <x:v>Ruben Ausman</x:v>
      </x:c>
      <x:c r="E7535" t="str">
        <x:v>Corporate</x:v>
      </x:c>
      <x:c r="F7535" t="str">
        <x:v>West</x:v>
      </x:c>
      <x:c r="G7535" t="str">
        <x:v>Office Supplies</x:v>
      </x:c>
      <x:c r="H7535" t="str">
        <x:v>Binders</x:v>
      </x:c>
      <x:c r="I7535" s="22" t="n">
        <x:v>931.1760000000002</x:v>
      </x:c>
      <x:c r="J7535" s="24" t="n">
        <x:v>3</x:v>
      </x:c>
      <x:c r="K7535" s="26" t="n">
        <x:v>0.2</x:v>
      </x:c>
      <x:c r="L7535" s="22" t="n">
        <x:v>314.2719</x:v>
      </x:c>
      <x:c r="M7535" t="n">
        <x:v>2017</x:v>
      </x:c>
      <x:c r="N7535" s="20" t="n">
        <x:v>42979</x:v>
      </x:c>
    </x:row>
    <x:row r="7536" ht="18" customHeight="1">
      <x:c r="A7536" t="str">
        <x:v>CA-2016-107146</x:v>
      </x:c>
      <x:c r="B7536" s="18" t="n">
        <x:v>42538</x:v>
      </x:c>
      <x:c r="C7536" t="str">
        <x:v>LC-16885</x:v>
      </x:c>
      <x:c r="D7536" t="str">
        <x:v>Lena Creighton</x:v>
      </x:c>
      <x:c r="E7536" t="str">
        <x:v>Consumer</x:v>
      </x:c>
      <x:c r="F7536" t="str">
        <x:v>West</x:v>
      </x:c>
      <x:c r="G7536" t="str">
        <x:v>Furniture</x:v>
      </x:c>
      <x:c r="H7536" t="str">
        <x:v>Furnishings</x:v>
      </x:c>
      <x:c r="I7536" s="22" t="n">
        <x:v>266.35200000000003</x:v>
      </x:c>
      <x:c r="J7536" s="24" t="n">
        <x:v>3</x:v>
      </x:c>
      <x:c r="K7536" s="26" t="n">
        <x:v>0.2</x:v>
      </x:c>
      <x:c r="L7536" s="22" t="n">
        <x:v>-13.317600000000013</x:v>
      </x:c>
      <x:c r="M7536" t="n">
        <x:v>2016</x:v>
      </x:c>
      <x:c r="N7536" s="20" t="n">
        <x:v>42522</x:v>
      </x:c>
    </x:row>
    <x:row r="7537" ht="18" customHeight="1">
      <x:c r="A7537" t="str">
        <x:v>CA-2016-107146</x:v>
      </x:c>
      <x:c r="B7537" s="18" t="n">
        <x:v>42538</x:v>
      </x:c>
      <x:c r="C7537" t="str">
        <x:v>LC-16885</x:v>
      </x:c>
      <x:c r="D7537" t="str">
        <x:v>Lena Creighton</x:v>
      </x:c>
      <x:c r="E7537" t="str">
        <x:v>Consumer</x:v>
      </x:c>
      <x:c r="F7537" t="str">
        <x:v>West</x:v>
      </x:c>
      <x:c r="G7537" t="str">
        <x:v>Furniture</x:v>
      </x:c>
      <x:c r="H7537" t="str">
        <x:v>Chairs</x:v>
      </x:c>
      <x:c r="I7537" s="22" t="n">
        <x:v>483.13599999999997</x:v>
      </x:c>
      <x:c r="J7537" s="24" t="n">
        <x:v>4</x:v>
      </x:c>
      <x:c r="K7537" s="26" t="n">
        <x:v>0.2</x:v>
      </x:c>
      <x:c r="L7537" s="22" t="n">
        <x:v>54.352799999999945</x:v>
      </x:c>
      <x:c r="M7537" t="n">
        <x:v>2016</x:v>
      </x:c>
      <x:c r="N7537" s="20" t="n">
        <x:v>42522</x:v>
      </x:c>
    </x:row>
    <x:row r="7538" ht="18" customHeight="1">
      <x:c r="A7538" t="str">
        <x:v>US-2017-134642</x:v>
      </x:c>
      <x:c r="B7538" s="18" t="n">
        <x:v>42791</x:v>
      </x:c>
      <x:c r="C7538" t="str">
        <x:v>SW-20245</x:v>
      </x:c>
      <x:c r="D7538" t="str">
        <x:v>Scot Wooten</x:v>
      </x:c>
      <x:c r="E7538" t="str">
        <x:v>Consumer</x:v>
      </x:c>
      <x:c r="F7538" t="str">
        <x:v>South</x:v>
      </x:c>
      <x:c r="G7538" t="str">
        <x:v>Furniture</x:v>
      </x:c>
      <x:c r="H7538" t="str">
        <x:v>Chairs</x:v>
      </x:c>
      <x:c r="I7538" s="22" t="n">
        <x:v>196.784</x:v>
      </x:c>
      <x:c r="J7538" s="24" t="n">
        <x:v>2</x:v>
      </x:c>
      <x:c r="K7538" s="26" t="n">
        <x:v>0.2</x:v>
      </x:c>
      <x:c r="L7538" s="22" t="n">
        <x:v>-22.138200000000012</x:v>
      </x:c>
      <x:c r="M7538" t="n">
        <x:v>2017</x:v>
      </x:c>
      <x:c r="N7538" s="20" t="n">
        <x:v>42767</x:v>
      </x:c>
    </x:row>
    <x:row r="7539" ht="18" customHeight="1">
      <x:c r="A7539" t="str">
        <x:v>US-2017-134642</x:v>
      </x:c>
      <x:c r="B7539" s="18" t="n">
        <x:v>42791</x:v>
      </x:c>
      <x:c r="C7539" t="str">
        <x:v>SW-20245</x:v>
      </x:c>
      <x:c r="D7539" t="str">
        <x:v>Scot Wooten</x:v>
      </x:c>
      <x:c r="E7539" t="str">
        <x:v>Consumer</x:v>
      </x:c>
      <x:c r="F7539" t="str">
        <x:v>South</x:v>
      </x:c>
      <x:c r="G7539" t="str">
        <x:v>Furniture</x:v>
      </x:c>
      <x:c r="H7539" t="str">
        <x:v>Bookcases</x:v>
      </x:c>
      <x:c r="I7539" s="22" t="n">
        <x:v>231.92000000000002</x:v>
      </x:c>
      <x:c r="J7539" s="24" t="n">
        <x:v>5</x:v>
      </x:c>
      <x:c r="K7539" s="26" t="n">
        <x:v>0.2</x:v>
      </x:c>
      <x:c r="L7539" s="22" t="n">
        <x:v>5.798000000000002</x:v>
      </x:c>
      <x:c r="M7539" t="n">
        <x:v>2017</x:v>
      </x:c>
      <x:c r="N7539" s="20" t="n">
        <x:v>42767</x:v>
      </x:c>
    </x:row>
    <x:row r="7540" ht="18" customHeight="1">
      <x:c r="A7540" t="str">
        <x:v>US-2017-160143</x:v>
      </x:c>
      <x:c r="B7540" s="18" t="n">
        <x:v>42825</x:v>
      </x:c>
      <x:c r="C7540" t="str">
        <x:v>HG-14965</x:v>
      </x:c>
      <x:c r="D7540" t="str">
        <x:v>Henry Goldwyn</x:v>
      </x:c>
      <x:c r="E7540" t="str">
        <x:v>Corporate</x:v>
      </x:c>
      <x:c r="F7540" t="str">
        <x:v>West</x:v>
      </x:c>
      <x:c r="G7540" t="str">
        <x:v>Office Supplies</x:v>
      </x:c>
      <x:c r="H7540" t="str">
        <x:v>Supplies</x:v>
      </x:c>
      <x:c r="I7540" s="22" t="n">
        <x:v>29.700000000000003</x:v>
      </x:c>
      <x:c r="J7540" s="24" t="n">
        <x:v>3</x:v>
      </x:c>
      <x:c r="K7540" s="26" t="n">
        <x:v>0</x:v>
      </x:c>
      <x:c r="L7540" s="22" t="n">
        <x:v>8.019</x:v>
      </x:c>
      <x:c r="M7540" t="n">
        <x:v>2017</x:v>
      </x:c>
      <x:c r="N7540" s="20" t="n">
        <x:v>42795</x:v>
      </x:c>
    </x:row>
    <x:row r="7541" ht="18" customHeight="1">
      <x:c r="A7541" t="str">
        <x:v>CA-2017-103415</x:v>
      </x:c>
      <x:c r="B7541" s="18" t="n">
        <x:v>43072</x:v>
      </x:c>
      <x:c r="C7541" t="str">
        <x:v>MV-17485</x:v>
      </x:c>
      <x:c r="D7541" t="str">
        <x:v>Mark Van Huff</x:v>
      </x:c>
      <x:c r="E7541" t="str">
        <x:v>Consumer</x:v>
      </x:c>
      <x:c r="F7541" t="str">
        <x:v>Central</x:v>
      </x:c>
      <x:c r="G7541" t="str">
        <x:v>Furniture</x:v>
      </x:c>
      <x:c r="H7541" t="str">
        <x:v>Furnishings</x:v>
      </x:c>
      <x:c r="I7541" s="22" t="n">
        <x:v>13.591999999999999</x:v>
      </x:c>
      <x:c r="J7541" s="24" t="n">
        <x:v>2</x:v>
      </x:c>
      <x:c r="K7541" s="26" t="n">
        <x:v>0.6</x:v>
      </x:c>
      <x:c r="L7541" s="22" t="n">
        <x:v>-14.2716</x:v>
      </x:c>
      <x:c r="M7541" t="n">
        <x:v>2017</x:v>
      </x:c>
      <x:c r="N7541" s="20" t="n">
        <x:v>43070</x:v>
      </x:c>
    </x:row>
    <x:row r="7542" ht="18" customHeight="1">
      <x:c r="A7542" t="str">
        <x:v>CA-2016-106460</x:v>
      </x:c>
      <x:c r="B7542" s="18" t="n">
        <x:v>42419</x:v>
      </x:c>
      <x:c r="C7542" t="str">
        <x:v>GT-14710</x:v>
      </x:c>
      <x:c r="D7542" t="str">
        <x:v>Greg Tran</x:v>
      </x:c>
      <x:c r="E7542" t="str">
        <x:v>Consumer</x:v>
      </x:c>
      <x:c r="F7542" t="str">
        <x:v>West</x:v>
      </x:c>
      <x:c r="G7542" t="str">
        <x:v>Office Supplies</x:v>
      </x:c>
      <x:c r="H7542" t="str">
        <x:v>Paper</x:v>
      </x:c>
      <x:c r="I7542" s="22" t="n">
        <x:v>70.88</x:v>
      </x:c>
      <x:c r="J7542" s="24" t="n">
        <x:v>2</x:v>
      </x:c>
      <x:c r="K7542" s="26" t="n">
        <x:v>0</x:v>
      </x:c>
      <x:c r="L7542" s="22" t="n">
        <x:v>33.313599999999994</x:v>
      </x:c>
      <x:c r="M7542" t="n">
        <x:v>2016</x:v>
      </x:c>
      <x:c r="N7542" s="20" t="n">
        <x:v>42401</x:v>
      </x:c>
    </x:row>
    <x:row r="7543" ht="18" customHeight="1">
      <x:c r="A7543" t="str">
        <x:v>US-2017-112347</x:v>
      </x:c>
      <x:c r="B7543" s="18" t="n">
        <x:v>43071</x:v>
      </x:c>
      <x:c r="C7543" t="str">
        <x:v>BS-11380</x:v>
      </x:c>
      <x:c r="D7543" t="str">
        <x:v>Bill Stewart</x:v>
      </x:c>
      <x:c r="E7543" t="str">
        <x:v>Corporate</x:v>
      </x:c>
      <x:c r="F7543" t="str">
        <x:v>West</x:v>
      </x:c>
      <x:c r="G7543" t="str">
        <x:v>Office Supplies</x:v>
      </x:c>
      <x:c r="H7543" t="str">
        <x:v>Storage</x:v>
      </x:c>
      <x:c r="I7543" s="22" t="n">
        <x:v>114.28800000000001</x:v>
      </x:c>
      <x:c r="J7543" s="24" t="n">
        <x:v>1</x:v>
      </x:c>
      <x:c r="K7543" s="26" t="n">
        <x:v>0.2</x:v>
      </x:c>
      <x:c r="L7543" s="22" t="n">
        <x:v>12.857399999999984</x:v>
      </x:c>
      <x:c r="M7543" t="n">
        <x:v>2017</x:v>
      </x:c>
      <x:c r="N7543" s="20" t="n">
        <x:v>43070</x:v>
      </x:c>
    </x:row>
    <x:row r="7544" ht="18" customHeight="1">
      <x:c r="A7544" t="str">
        <x:v>US-2017-112347</x:v>
      </x:c>
      <x:c r="B7544" s="18" t="n">
        <x:v>43071</x:v>
      </x:c>
      <x:c r="C7544" t="str">
        <x:v>BS-11380</x:v>
      </x:c>
      <x:c r="D7544" t="str">
        <x:v>Bill Stewart</x:v>
      </x:c>
      <x:c r="E7544" t="str">
        <x:v>Corporate</x:v>
      </x:c>
      <x:c r="F7544" t="str">
        <x:v>West</x:v>
      </x:c>
      <x:c r="G7544" t="str">
        <x:v>Office Supplies</x:v>
      </x:c>
      <x:c r="H7544" t="str">
        <x:v>Binders</x:v>
      </x:c>
      <x:c r="I7544" s="22" t="n">
        <x:v>36.624</x:v>
      </x:c>
      <x:c r="J7544" s="24" t="n">
        <x:v>8</x:v>
      </x:c>
      <x:c r="K7544" s="26" t="n">
        <x:v>0.7</x:v>
      </x:c>
      <x:c r="L7544" s="22" t="n">
        <x:v>-24.41599999999999</x:v>
      </x:c>
      <x:c r="M7544" t="n">
        <x:v>2017</x:v>
      </x:c>
      <x:c r="N7544" s="20" t="n">
        <x:v>43070</x:v>
      </x:c>
    </x:row>
    <x:row r="7545" ht="18" customHeight="1">
      <x:c r="A7545" t="str">
        <x:v>US-2017-112347</x:v>
      </x:c>
      <x:c r="B7545" s="18" t="n">
        <x:v>43071</x:v>
      </x:c>
      <x:c r="C7545" t="str">
        <x:v>BS-11380</x:v>
      </x:c>
      <x:c r="D7545" t="str">
        <x:v>Bill Stewart</x:v>
      </x:c>
      <x:c r="E7545" t="str">
        <x:v>Corporate</x:v>
      </x:c>
      <x:c r="F7545" t="str">
        <x:v>West</x:v>
      </x:c>
      <x:c r="G7545" t="str">
        <x:v>Furniture</x:v>
      </x:c>
      <x:c r="H7545" t="str">
        <x:v>Bookcases</x:v>
      </x:c>
      <x:c r="I7545" s="22" t="n">
        <x:v>242.35200000000003</x:v>
      </x:c>
      <x:c r="J7545" s="24" t="n">
        <x:v>8</x:v>
      </x:c>
      <x:c r="K7545" s="26" t="n">
        <x:v>0.7</x:v>
      </x:c>
      <x:c r="L7545" s="22" t="n">
        <x:v>-363.5279999999999</x:v>
      </x:c>
      <x:c r="M7545" t="n">
        <x:v>2017</x:v>
      </x:c>
      <x:c r="N7545" s="20" t="n">
        <x:v>43070</x:v>
      </x:c>
    </x:row>
    <x:row r="7546" ht="18" customHeight="1">
      <x:c r="A7546" t="str">
        <x:v>US-2017-112347</x:v>
      </x:c>
      <x:c r="B7546" s="18" t="n">
        <x:v>43071</x:v>
      </x:c>
      <x:c r="C7546" t="str">
        <x:v>BS-11380</x:v>
      </x:c>
      <x:c r="D7546" t="str">
        <x:v>Bill Stewart</x:v>
      </x:c>
      <x:c r="E7546" t="str">
        <x:v>Corporate</x:v>
      </x:c>
      <x:c r="F7546" t="str">
        <x:v>West</x:v>
      </x:c>
      <x:c r="G7546" t="str">
        <x:v>Technology</x:v>
      </x:c>
      <x:c r="H7546" t="str">
        <x:v>Phones</x:v>
      </x:c>
      <x:c r="I7546" s="22" t="n">
        <x:v>49.61600000000001</x:v>
      </x:c>
      <x:c r="J7546" s="24" t="n">
        <x:v>2</x:v>
      </x:c>
      <x:c r="K7546" s="26" t="n">
        <x:v>0.2</x:v>
      </x:c>
      <x:c r="L7546" s="22" t="n">
        <x:v>4.961599999999999</x:v>
      </x:c>
      <x:c r="M7546" t="n">
        <x:v>2017</x:v>
      </x:c>
      <x:c r="N7546" s="20" t="n">
        <x:v>43070</x:v>
      </x:c>
    </x:row>
    <x:row r="7547" ht="18" customHeight="1">
      <x:c r="A7547" t="str">
        <x:v>US-2017-112347</x:v>
      </x:c>
      <x:c r="B7547" s="18" t="n">
        <x:v>43071</x:v>
      </x:c>
      <x:c r="C7547" t="str">
        <x:v>BS-11380</x:v>
      </x:c>
      <x:c r="D7547" t="str">
        <x:v>Bill Stewart</x:v>
      </x:c>
      <x:c r="E7547" t="str">
        <x:v>Corporate</x:v>
      </x:c>
      <x:c r="F7547" t="str">
        <x:v>West</x:v>
      </x:c>
      <x:c r="G7547" t="str">
        <x:v>Furniture</x:v>
      </x:c>
      <x:c r="H7547" t="str">
        <x:v>Furnishings</x:v>
      </x:c>
      <x:c r="I7547" s="22" t="n">
        <x:v>508.70400000000006</x:v>
      </x:c>
      <x:c r="J7547" s="24" t="n">
        <x:v>6</x:v>
      </x:c>
      <x:c r="K7547" s="26" t="n">
        <x:v>0.2</x:v>
      </x:c>
      <x:c r="L7547" s="22" t="n">
        <x:v>0</x:v>
      </x:c>
      <x:c r="M7547" t="n">
        <x:v>2017</x:v>
      </x:c>
      <x:c r="N7547" s="20" t="n">
        <x:v>43070</x:v>
      </x:c>
    </x:row>
    <x:row r="7548" ht="18" customHeight="1">
      <x:c r="A7548" t="str">
        <x:v>US-2017-112347</x:v>
      </x:c>
      <x:c r="B7548" s="18" t="n">
        <x:v>43071</x:v>
      </x:c>
      <x:c r="C7548" t="str">
        <x:v>BS-11380</x:v>
      </x:c>
      <x:c r="D7548" t="str">
        <x:v>Bill Stewart</x:v>
      </x:c>
      <x:c r="E7548" t="str">
        <x:v>Corporate</x:v>
      </x:c>
      <x:c r="F7548" t="str">
        <x:v>West</x:v>
      </x:c>
      <x:c r="G7548" t="str">
        <x:v>Technology</x:v>
      </x:c>
      <x:c r="H7548" t="str">
        <x:v>Phones</x:v>
      </x:c>
      <x:c r="I7548" s="22" t="n">
        <x:v>57.36</x:v>
      </x:c>
      <x:c r="J7548" s="24" t="n">
        <x:v>6</x:v>
      </x:c>
      <x:c r="K7548" s="26" t="n">
        <x:v>0.2</x:v>
      </x:c>
      <x:c r="L7548" s="22" t="n">
        <x:v>-14.34</x:v>
      </x:c>
      <x:c r="M7548" t="n">
        <x:v>2017</x:v>
      </x:c>
      <x:c r="N7548" s="20" t="n">
        <x:v>43070</x:v>
      </x:c>
    </x:row>
    <x:row r="7549" ht="18" customHeight="1">
      <x:c r="A7549" t="str">
        <x:v>US-2017-112347</x:v>
      </x:c>
      <x:c r="B7549" s="18" t="n">
        <x:v>43071</x:v>
      </x:c>
      <x:c r="C7549" t="str">
        <x:v>BS-11380</x:v>
      </x:c>
      <x:c r="D7549" t="str">
        <x:v>Bill Stewart</x:v>
      </x:c>
      <x:c r="E7549" t="str">
        <x:v>Corporate</x:v>
      </x:c>
      <x:c r="F7549" t="str">
        <x:v>West</x:v>
      </x:c>
      <x:c r="G7549" t="str">
        <x:v>Furniture</x:v>
      </x:c>
      <x:c r="H7549" t="str">
        <x:v>Chairs</x:v>
      </x:c>
      <x:c r="I7549" s="22" t="n">
        <x:v>906.6800000000001</x:v>
      </x:c>
      <x:c r="J7549" s="24" t="n">
        <x:v>5</x:v>
      </x:c>
      <x:c r="K7549" s="26" t="n">
        <x:v>0.2</x:v>
      </x:c>
      <x:c r="L7549" s="22" t="n">
        <x:v>68.00100000000003</x:v>
      </x:c>
      <x:c r="M7549" t="n">
        <x:v>2017</x:v>
      </x:c>
      <x:c r="N7549" s="20" t="n">
        <x:v>43070</x:v>
      </x:c>
    </x:row>
    <x:row r="7550" ht="18" customHeight="1">
      <x:c r="A7550" t="str">
        <x:v>CA-2014-103492</x:v>
      </x:c>
      <x:c r="B7550" s="18" t="n">
        <x:v>41922</x:v>
      </x:c>
      <x:c r="C7550" t="str">
        <x:v>CM-12715</x:v>
      </x:c>
      <x:c r="D7550" t="str">
        <x:v>Craig Molinari</x:v>
      </x:c>
      <x:c r="E7550" t="str">
        <x:v>Corporate</x:v>
      </x:c>
      <x:c r="F7550" t="str">
        <x:v>Central</x:v>
      </x:c>
      <x:c r="G7550" t="str">
        <x:v>Technology</x:v>
      </x:c>
      <x:c r="H7550" t="str">
        <x:v>Phones</x:v>
      </x:c>
      <x:c r="I7550" s="22" t="n">
        <x:v>719.9520000000001</x:v>
      </x:c>
      <x:c r="J7550" s="24" t="n">
        <x:v>6</x:v>
      </x:c>
      <x:c r="K7550" s="26" t="n">
        <x:v>0.2</x:v>
      </x:c>
      <x:c r="L7550" s="22" t="n">
        <x:v>71.99520000000001</x:v>
      </x:c>
      <x:c r="M7550" t="n">
        <x:v>2014</x:v>
      </x:c>
      <x:c r="N7550" s="20" t="n">
        <x:v>41913</x:v>
      </x:c>
    </x:row>
    <x:row r="7551" ht="18" customHeight="1">
      <x:c r="A7551" t="str">
        <x:v>CA-2014-103492</x:v>
      </x:c>
      <x:c r="B7551" s="18" t="n">
        <x:v>41922</x:v>
      </x:c>
      <x:c r="C7551" t="str">
        <x:v>CM-12715</x:v>
      </x:c>
      <x:c r="D7551" t="str">
        <x:v>Craig Molinari</x:v>
      </x:c>
      <x:c r="E7551" t="str">
        <x:v>Corporate</x:v>
      </x:c>
      <x:c r="F7551" t="str">
        <x:v>Central</x:v>
      </x:c>
      <x:c r="G7551" t="str">
        <x:v>Technology</x:v>
      </x:c>
      <x:c r="H7551" t="str">
        <x:v>Phones</x:v>
      </x:c>
      <x:c r="I7551" s="22" t="n">
        <x:v>755.9440000000002</x:v>
      </x:c>
      <x:c r="J7551" s="24" t="n">
        <x:v>7</x:v>
      </x:c>
      <x:c r="K7551" s="26" t="n">
        <x:v>0.2</x:v>
      </x:c>
      <x:c r="L7551" s="22" t="n">
        <x:v>66.14509999999996</x:v>
      </x:c>
      <x:c r="M7551" t="n">
        <x:v>2014</x:v>
      </x:c>
      <x:c r="N7551" s="20" t="n">
        <x:v>41913</x:v>
      </x:c>
    </x:row>
    <x:row r="7552" ht="18" customHeight="1">
      <x:c r="A7552" t="str">
        <x:v>CA-2014-103492</x:v>
      </x:c>
      <x:c r="B7552" s="18" t="n">
        <x:v>41922</x:v>
      </x:c>
      <x:c r="C7552" t="str">
        <x:v>CM-12715</x:v>
      </x:c>
      <x:c r="D7552" t="str">
        <x:v>Craig Molinari</x:v>
      </x:c>
      <x:c r="E7552" t="str">
        <x:v>Corporate</x:v>
      </x:c>
      <x:c r="F7552" t="str">
        <x:v>Central</x:v>
      </x:c>
      <x:c r="G7552" t="str">
        <x:v>Office Supplies</x:v>
      </x:c>
      <x:c r="H7552" t="str">
        <x:v>Binders</x:v>
      </x:c>
      <x:c r="I7552" s="22" t="n">
        <x:v>11.979999999999997</x:v>
      </x:c>
      <x:c r="J7552" s="24" t="n">
        <x:v>5</x:v>
      </x:c>
      <x:c r="K7552" s="26" t="n">
        <x:v>0.8</x:v>
      </x:c>
      <x:c r="L7552" s="22" t="n">
        <x:v>-19.16800000000001</x:v>
      </x:c>
      <x:c r="M7552" t="n">
        <x:v>2014</x:v>
      </x:c>
      <x:c r="N7552" s="20" t="n">
        <x:v>41913</x:v>
      </x:c>
    </x:row>
    <x:row r="7553" ht="18" customHeight="1">
      <x:c r="A7553" t="str">
        <x:v>CA-2014-103492</x:v>
      </x:c>
      <x:c r="B7553" s="18" t="n">
        <x:v>41922</x:v>
      </x:c>
      <x:c r="C7553" t="str">
        <x:v>CM-12715</x:v>
      </x:c>
      <x:c r="D7553" t="str">
        <x:v>Craig Molinari</x:v>
      </x:c>
      <x:c r="E7553" t="str">
        <x:v>Corporate</x:v>
      </x:c>
      <x:c r="F7553" t="str">
        <x:v>Central</x:v>
      </x:c>
      <x:c r="G7553" t="str">
        <x:v>Office Supplies</x:v>
      </x:c>
      <x:c r="H7553" t="str">
        <x:v>Binders</x:v>
      </x:c>
      <x:c r="I7553" s="22" t="n">
        <x:v>0.8979999999999998</x:v>
      </x:c>
      <x:c r="J7553" s="24" t="n">
        <x:v>1</x:v>
      </x:c>
      <x:c r="K7553" s="26" t="n">
        <x:v>0.8</x:v>
      </x:c>
      <x:c r="L7553" s="22" t="n">
        <x:v>-1.5715000000000008</x:v>
      </x:c>
      <x:c r="M7553" t="n">
        <x:v>2014</x:v>
      </x:c>
      <x:c r="N7553" s="20" t="n">
        <x:v>41913</x:v>
      </x:c>
    </x:row>
    <x:row r="7554" ht="18" customHeight="1">
      <x:c r="A7554" t="str">
        <x:v>CA-2016-136595</x:v>
      </x:c>
      <x:c r="B7554" s="18" t="n">
        <x:v>42618</x:v>
      </x:c>
      <x:c r="C7554" t="str">
        <x:v>EM-13825</x:v>
      </x:c>
      <x:c r="D7554" t="str">
        <x:v>Elizabeth Moffitt</x:v>
      </x:c>
      <x:c r="E7554" t="str">
        <x:v>Corporate</x:v>
      </x:c>
      <x:c r="F7554" t="str">
        <x:v>Central</x:v>
      </x:c>
      <x:c r="G7554" t="str">
        <x:v>Furniture</x:v>
      </x:c>
      <x:c r="H7554" t="str">
        <x:v>Furnishings</x:v>
      </x:c>
      <x:c r="I7554" s="22" t="n">
        <x:v>21.204000000000004</x:v>
      </x:c>
      <x:c r="J7554" s="24" t="n">
        <x:v>3</x:v>
      </x:c>
      <x:c r="K7554" s="26" t="n">
        <x:v>0.6</x:v>
      </x:c>
      <x:c r="L7554" s="22" t="n">
        <x:v>-11.662199999999999</x:v>
      </x:c>
      <x:c r="M7554" t="n">
        <x:v>2016</x:v>
      </x:c>
      <x:c r="N7554" s="20" t="n">
        <x:v>42614</x:v>
      </x:c>
    </x:row>
    <x:row r="7555" ht="18" customHeight="1">
      <x:c r="A7555" t="str">
        <x:v>CA-2014-140396</x:v>
      </x:c>
      <x:c r="B7555" s="18" t="n">
        <x:v>41963</x:v>
      </x:c>
      <x:c r="C7555" t="str">
        <x:v>KH-16330</x:v>
      </x:c>
      <x:c r="D7555" t="str">
        <x:v>Katharine Harms</x:v>
      </x:c>
      <x:c r="E7555" t="str">
        <x:v>Corporate</x:v>
      </x:c>
      <x:c r="F7555" t="str">
        <x:v>East</x:v>
      </x:c>
      <x:c r="G7555" t="str">
        <x:v>Office Supplies</x:v>
      </x:c>
      <x:c r="H7555" t="str">
        <x:v>Envelopes</x:v>
      </x:c>
      <x:c r="I7555" s="22" t="n">
        <x:v>34.74</x:v>
      </x:c>
      <x:c r="J7555" s="24" t="n">
        <x:v>3</x:v>
      </x:c>
      <x:c r="K7555" s="26" t="n">
        <x:v>0</x:v>
      </x:c>
      <x:c r="L7555" s="22" t="n">
        <x:v>17.37</x:v>
      </x:c>
      <x:c r="M7555" t="n">
        <x:v>2014</x:v>
      </x:c>
      <x:c r="N7555" s="20" t="n">
        <x:v>41944</x:v>
      </x:c>
    </x:row>
    <x:row r="7556" ht="18" customHeight="1">
      <x:c r="A7556" t="str">
        <x:v>CA-2014-140396</x:v>
      </x:c>
      <x:c r="B7556" s="18" t="n">
        <x:v>41963</x:v>
      </x:c>
      <x:c r="C7556" t="str">
        <x:v>KH-16330</x:v>
      </x:c>
      <x:c r="D7556" t="str">
        <x:v>Katharine Harms</x:v>
      </x:c>
      <x:c r="E7556" t="str">
        <x:v>Corporate</x:v>
      </x:c>
      <x:c r="F7556" t="str">
        <x:v>East</x:v>
      </x:c>
      <x:c r="G7556" t="str">
        <x:v>Technology</x:v>
      </x:c>
      <x:c r="H7556" t="str">
        <x:v>Phones</x:v>
      </x:c>
      <x:c r="I7556" s="22" t="n">
        <x:v>833.94</x:v>
      </x:c>
      <x:c r="J7556" s="24" t="n">
        <x:v>6</x:v>
      </x:c>
      <x:c r="K7556" s="26" t="n">
        <x:v>0</x:v>
      </x:c>
      <x:c r="L7556" s="22" t="n">
        <x:v>216.8244</x:v>
      </x:c>
      <x:c r="M7556" t="n">
        <x:v>2014</x:v>
      </x:c>
      <x:c r="N7556" s="20" t="n">
        <x:v>41944</x:v>
      </x:c>
    </x:row>
    <x:row r="7557" ht="18" customHeight="1">
      <x:c r="A7557" t="str">
        <x:v>CA-2014-140396</x:v>
      </x:c>
      <x:c r="B7557" s="18" t="n">
        <x:v>41963</x:v>
      </x:c>
      <x:c r="C7557" t="str">
        <x:v>KH-16330</x:v>
      </x:c>
      <x:c r="D7557" t="str">
        <x:v>Katharine Harms</x:v>
      </x:c>
      <x:c r="E7557" t="str">
        <x:v>Corporate</x:v>
      </x:c>
      <x:c r="F7557" t="str">
        <x:v>East</x:v>
      </x:c>
      <x:c r="G7557" t="str">
        <x:v>Office Supplies</x:v>
      </x:c>
      <x:c r="H7557" t="str">
        <x:v>Binders</x:v>
      </x:c>
      <x:c r="I7557" s="22" t="n">
        <x:v>12.96</x:v>
      </x:c>
      <x:c r="J7557" s="24" t="n">
        <x:v>3</x:v>
      </x:c>
      <x:c r="K7557" s="26" t="n">
        <x:v>0.2</x:v>
      </x:c>
      <x:c r="L7557" s="22" t="n">
        <x:v>4.536</x:v>
      </x:c>
      <x:c r="M7557" t="n">
        <x:v>2014</x:v>
      </x:c>
      <x:c r="N7557" s="20" t="n">
        <x:v>41944</x:v>
      </x:c>
    </x:row>
    <x:row r="7558" ht="18" customHeight="1">
      <x:c r="A7558" t="str">
        <x:v>CA-2014-140396</x:v>
      </x:c>
      <x:c r="B7558" s="18" t="n">
        <x:v>41963</x:v>
      </x:c>
      <x:c r="C7558" t="str">
        <x:v>KH-16330</x:v>
      </x:c>
      <x:c r="D7558" t="str">
        <x:v>Katharine Harms</x:v>
      </x:c>
      <x:c r="E7558" t="str">
        <x:v>Corporate</x:v>
      </x:c>
      <x:c r="F7558" t="str">
        <x:v>East</x:v>
      </x:c>
      <x:c r="G7558" t="str">
        <x:v>Office Supplies</x:v>
      </x:c>
      <x:c r="H7558" t="str">
        <x:v>Paper</x:v>
      </x:c>
      <x:c r="I7558" s="22" t="n">
        <x:v>25.92</x:v>
      </x:c>
      <x:c r="J7558" s="24" t="n">
        <x:v>4</x:v>
      </x:c>
      <x:c r="K7558" s="26" t="n">
        <x:v>0</x:v>
      </x:c>
      <x:c r="L7558" s="22" t="n">
        <x:v>12.441600000000001</x:v>
      </x:c>
      <x:c r="M7558" t="n">
        <x:v>2014</x:v>
      </x:c>
      <x:c r="N7558" s="20" t="n">
        <x:v>41944</x:v>
      </x:c>
    </x:row>
    <x:row r="7559" ht="18" customHeight="1">
      <x:c r="A7559" t="str">
        <x:v>CA-2014-114181</x:v>
      </x:c>
      <x:c r="B7559" s="18" t="n">
        <x:v>41769</x:v>
      </x:c>
      <x:c r="C7559" t="str">
        <x:v>AF-10885</x:v>
      </x:c>
      <x:c r="D7559" t="str">
        <x:v>Art Foster</x:v>
      </x:c>
      <x:c r="E7559" t="str">
        <x:v>Consumer</x:v>
      </x:c>
      <x:c r="F7559" t="str">
        <x:v>East</x:v>
      </x:c>
      <x:c r="G7559" t="str">
        <x:v>Furniture</x:v>
      </x:c>
      <x:c r="H7559" t="str">
        <x:v>Bookcases</x:v>
      </x:c>
      <x:c r="I7559" s="22" t="n">
        <x:v>349.965</x:v>
      </x:c>
      <x:c r="J7559" s="24" t="n">
        <x:v>7</x:v>
      </x:c>
      <x:c r="K7559" s="26" t="n">
        <x:v>0.5</x:v>
      </x:c>
      <x:c r="L7559" s="22" t="n">
        <x:v>-216.97830000000002</x:v>
      </x:c>
      <x:c r="M7559" t="n">
        <x:v>2014</x:v>
      </x:c>
      <x:c r="N7559" s="20" t="n">
        <x:v>41760</x:v>
      </x:c>
    </x:row>
    <x:row r="7560" ht="18" customHeight="1">
      <x:c r="A7560" t="str">
        <x:v>CA-2014-114181</x:v>
      </x:c>
      <x:c r="B7560" s="18" t="n">
        <x:v>41769</x:v>
      </x:c>
      <x:c r="C7560" t="str">
        <x:v>AF-10885</x:v>
      </x:c>
      <x:c r="D7560" t="str">
        <x:v>Art Foster</x:v>
      </x:c>
      <x:c r="E7560" t="str">
        <x:v>Consumer</x:v>
      </x:c>
      <x:c r="F7560" t="str">
        <x:v>East</x:v>
      </x:c>
      <x:c r="G7560" t="str">
        <x:v>Office Supplies</x:v>
      </x:c>
      <x:c r="H7560" t="str">
        <x:v>Art</x:v>
      </x:c>
      <x:c r="I7560" s="22" t="n">
        <x:v>22.32</x:v>
      </x:c>
      <x:c r="J7560" s="24" t="n">
        <x:v>5</x:v>
      </x:c>
      <x:c r="K7560" s="26" t="n">
        <x:v>0.2</x:v>
      </x:c>
      <x:c r="L7560" s="22" t="n">
        <x:v>5.301</x:v>
      </x:c>
      <x:c r="M7560" t="n">
        <x:v>2014</x:v>
      </x:c>
      <x:c r="N7560" s="20" t="n">
        <x:v>41760</x:v>
      </x:c>
    </x:row>
    <x:row r="7561" ht="18" customHeight="1">
      <x:c r="A7561" t="str">
        <x:v>CA-2017-159506</x:v>
      </x:c>
      <x:c r="B7561" s="18" t="n">
        <x:v>43066</x:v>
      </x:c>
      <x:c r="C7561" t="str">
        <x:v>JR-16210</x:v>
      </x:c>
      <x:c r="D7561" t="str">
        <x:v>Justin Ritter</x:v>
      </x:c>
      <x:c r="E7561" t="str">
        <x:v>Corporate</x:v>
      </x:c>
      <x:c r="F7561" t="str">
        <x:v>Central</x:v>
      </x:c>
      <x:c r="G7561" t="str">
        <x:v>Office Supplies</x:v>
      </x:c>
      <x:c r="H7561" t="str">
        <x:v>Paper</x:v>
      </x:c>
      <x:c r="I7561" s="22" t="n">
        <x:v>158.28</x:v>
      </x:c>
      <x:c r="J7561" s="24" t="n">
        <x:v>6</x:v>
      </x:c>
      <x:c r="K7561" s="26" t="n">
        <x:v>0</x:v>
      </x:c>
      <x:c r="L7561" s="22" t="n">
        <x:v>72.80879999999999</x:v>
      </x:c>
      <x:c r="M7561" t="n">
        <x:v>2017</x:v>
      </x:c>
      <x:c r="N7561" s="20" t="n">
        <x:v>43040</x:v>
      </x:c>
    </x:row>
    <x:row r="7562" ht="18" customHeight="1">
      <x:c r="A7562" t="str">
        <x:v>CA-2017-159506</x:v>
      </x:c>
      <x:c r="B7562" s="18" t="n">
        <x:v>43066</x:v>
      </x:c>
      <x:c r="C7562" t="str">
        <x:v>JR-16210</x:v>
      </x:c>
      <x:c r="D7562" t="str">
        <x:v>Justin Ritter</x:v>
      </x:c>
      <x:c r="E7562" t="str">
        <x:v>Corporate</x:v>
      </x:c>
      <x:c r="F7562" t="str">
        <x:v>Central</x:v>
      </x:c>
      <x:c r="G7562" t="str">
        <x:v>Office Supplies</x:v>
      </x:c>
      <x:c r="H7562" t="str">
        <x:v>Binders</x:v>
      </x:c>
      <x:c r="I7562" s="22" t="n">
        <x:v>497.93999999999994</x:v>
      </x:c>
      <x:c r="J7562" s="24" t="n">
        <x:v>3</x:v>
      </x:c>
      <x:c r="K7562" s="26" t="n">
        <x:v>0</x:v>
      </x:c>
      <x:c r="L7562" s="22" t="n">
        <x:v>224.07299999999998</x:v>
      </x:c>
      <x:c r="M7562" t="n">
        <x:v>2017</x:v>
      </x:c>
      <x:c r="N7562" s="20" t="n">
        <x:v>43040</x:v>
      </x:c>
    </x:row>
    <x:row r="7563" ht="18" customHeight="1">
      <x:c r="A7563" t="str">
        <x:v>US-2014-137155</x:v>
      </x:c>
      <x:c r="B7563" s="18" t="n">
        <x:v>41944</x:v>
      </x:c>
      <x:c r="C7563" t="str">
        <x:v>DL-12925</x:v>
      </x:c>
      <x:c r="D7563" t="str">
        <x:v>Daniel Lacy</x:v>
      </x:c>
      <x:c r="E7563" t="str">
        <x:v>Consumer</x:v>
      </x:c>
      <x:c r="F7563" t="str">
        <x:v>East</x:v>
      </x:c>
      <x:c r="G7563" t="str">
        <x:v>Office Supplies</x:v>
      </x:c>
      <x:c r="H7563" t="str">
        <x:v>Appliances</x:v>
      </x:c>
      <x:c r="I7563" s="22" t="n">
        <x:v>533.9399999999999</x:v>
      </x:c>
      <x:c r="J7563" s="24" t="n">
        <x:v>3</x:v>
      </x:c>
      <x:c r="K7563" s="26" t="n">
        <x:v>0</x:v>
      </x:c>
      <x:c r="L7563" s="22" t="n">
        <x:v>154.84259999999995</x:v>
      </x:c>
      <x:c r="M7563" t="n">
        <x:v>2014</x:v>
      </x:c>
      <x:c r="N7563" s="20" t="n">
        <x:v>41944</x:v>
      </x:c>
    </x:row>
    <x:row r="7564" ht="18" customHeight="1">
      <x:c r="A7564" t="str">
        <x:v>US-2014-137155</x:v>
      </x:c>
      <x:c r="B7564" s="18" t="n">
        <x:v>41944</x:v>
      </x:c>
      <x:c r="C7564" t="str">
        <x:v>DL-12925</x:v>
      </x:c>
      <x:c r="D7564" t="str">
        <x:v>Daniel Lacy</x:v>
      </x:c>
      <x:c r="E7564" t="str">
        <x:v>Consumer</x:v>
      </x:c>
      <x:c r="F7564" t="str">
        <x:v>East</x:v>
      </x:c>
      <x:c r="G7564" t="str">
        <x:v>Office Supplies</x:v>
      </x:c>
      <x:c r="H7564" t="str">
        <x:v>Paper</x:v>
      </x:c>
      <x:c r="I7564" s="22" t="n">
        <x:v>167.94</x:v>
      </x:c>
      <x:c r="J7564" s="24" t="n">
        <x:v>3</x:v>
      </x:c>
      <x:c r="K7564" s="26" t="n">
        <x:v>0</x:v>
      </x:c>
      <x:c r="L7564" s="22" t="n">
        <x:v>82.2906</x:v>
      </x:c>
      <x:c r="M7564" t="n">
        <x:v>2014</x:v>
      </x:c>
      <x:c r="N7564" s="20" t="n">
        <x:v>41944</x:v>
      </x:c>
    </x:row>
    <x:row r="7565" ht="18" customHeight="1">
      <x:c r="A7565" t="str">
        <x:v>US-2014-137155</x:v>
      </x:c>
      <x:c r="B7565" s="18" t="n">
        <x:v>41944</x:v>
      </x:c>
      <x:c r="C7565" t="str">
        <x:v>DL-12925</x:v>
      </x:c>
      <x:c r="D7565" t="str">
        <x:v>Daniel Lacy</x:v>
      </x:c>
      <x:c r="E7565" t="str">
        <x:v>Consumer</x:v>
      </x:c>
      <x:c r="F7565" t="str">
        <x:v>East</x:v>
      </x:c>
      <x:c r="G7565" t="str">
        <x:v>Furniture</x:v>
      </x:c>
      <x:c r="H7565" t="str">
        <x:v>Furnishings</x:v>
      </x:c>
      <x:c r="I7565" s="22" t="n">
        <x:v>31.68</x:v>
      </x:c>
      <x:c r="J7565" s="24" t="n">
        <x:v>6</x:v>
      </x:c>
      <x:c r="K7565" s="26" t="n">
        <x:v>0</x:v>
      </x:c>
      <x:c r="L7565" s="22" t="n">
        <x:v>9.820799999999998</x:v>
      </x:c>
      <x:c r="M7565" t="n">
        <x:v>2014</x:v>
      </x:c>
      <x:c r="N7565" s="20" t="n">
        <x:v>41944</x:v>
      </x:c>
    </x:row>
    <x:row r="7566" ht="18" customHeight="1">
      <x:c r="A7566" t="str">
        <x:v>CA-2016-105746</x:v>
      </x:c>
      <x:c r="B7566" s="18" t="n">
        <x:v>42734</x:v>
      </x:c>
      <x:c r="C7566" t="str">
        <x:v>BD-11605</x:v>
      </x:c>
      <x:c r="D7566" t="str">
        <x:v>Brian Dahlen</x:v>
      </x:c>
      <x:c r="E7566" t="str">
        <x:v>Consumer</x:v>
      </x:c>
      <x:c r="F7566" t="str">
        <x:v>East</x:v>
      </x:c>
      <x:c r="G7566" t="str">
        <x:v>Furniture</x:v>
      </x:c>
      <x:c r="H7566" t="str">
        <x:v>Chairs</x:v>
      </x:c>
      <x:c r="I7566" s="22" t="n">
        <x:v>170.78599999999997</x:v>
      </x:c>
      <x:c r="J7566" s="24" t="n">
        <x:v>1</x:v>
      </x:c>
      <x:c r="K7566" s="26" t="n">
        <x:v>0.3</x:v>
      </x:c>
      <x:c r="L7566" s="22" t="n">
        <x:v>0</x:v>
      </x:c>
      <x:c r="M7566" t="n">
        <x:v>2016</x:v>
      </x:c>
      <x:c r="N7566" s="20" t="n">
        <x:v>42705</x:v>
      </x:c>
    </x:row>
    <x:row r="7567" ht="18" customHeight="1">
      <x:c r="A7567" t="str">
        <x:v>US-2016-104815</x:v>
      </x:c>
      <x:c r="B7567" s="18" t="n">
        <x:v>42616</x:v>
      </x:c>
      <x:c r="C7567" t="str">
        <x:v>RB-19570</x:v>
      </x:c>
      <x:c r="D7567" t="str">
        <x:v>Rob Beeghly</x:v>
      </x:c>
      <x:c r="E7567" t="str">
        <x:v>Consumer</x:v>
      </x:c>
      <x:c r="F7567" t="str">
        <x:v>Central</x:v>
      </x:c>
      <x:c r="G7567" t="str">
        <x:v>Furniture</x:v>
      </x:c>
      <x:c r="H7567" t="str">
        <x:v>Bookcases</x:v>
      </x:c>
      <x:c r="I7567" s="22" t="n">
        <x:v>198.744</x:v>
      </x:c>
      <x:c r="J7567" s="24" t="n">
        <x:v>4</x:v>
      </x:c>
      <x:c r="K7567" s="26" t="n">
        <x:v>0.3</x:v>
      </x:c>
      <x:c r="L7567" s="22" t="n">
        <x:v>0</x:v>
      </x:c>
      <x:c r="M7567" t="n">
        <x:v>2016</x:v>
      </x:c>
      <x:c r="N7567" s="20" t="n">
        <x:v>42614</x:v>
      </x:c>
    </x:row>
    <x:row r="7568" ht="18" customHeight="1">
      <x:c r="A7568" t="str">
        <x:v>CA-2017-157672</x:v>
      </x:c>
      <x:c r="B7568" s="18" t="n">
        <x:v>43013</x:v>
      </x:c>
      <x:c r="C7568" t="str">
        <x:v>RB-19795</x:v>
      </x:c>
      <x:c r="D7568" t="str">
        <x:v>Ross Baird</x:v>
      </x:c>
      <x:c r="E7568" t="str">
        <x:v>Home Office</x:v>
      </x:c>
      <x:c r="F7568" t="str">
        <x:v>West</x:v>
      </x:c>
      <x:c r="G7568" t="str">
        <x:v>Technology</x:v>
      </x:c>
      <x:c r="H7568" t="str">
        <x:v>Accessories</x:v>
      </x:c>
      <x:c r="I7568" s="22" t="n">
        <x:v>63.824000000000005</x:v>
      </x:c>
      <x:c r="J7568" s="24" t="n">
        <x:v>2</x:v>
      </x:c>
      <x:c r="K7568" s="26" t="n">
        <x:v>0.2</x:v>
      </x:c>
      <x:c r="L7568" s="22" t="n">
        <x:v>13.562599999999998</x:v>
      </x:c>
      <x:c r="M7568" t="n">
        <x:v>2017</x:v>
      </x:c>
      <x:c r="N7568" s="20" t="n">
        <x:v>43009</x:v>
      </x:c>
    </x:row>
    <x:row r="7569" ht="18" customHeight="1">
      <x:c r="A7569" t="str">
        <x:v>US-2016-166660</x:v>
      </x:c>
      <x:c r="B7569" s="18" t="n">
        <x:v>42399</x:v>
      </x:c>
      <x:c r="C7569" t="str">
        <x:v>TB-21250</x:v>
      </x:c>
      <x:c r="D7569" t="str">
        <x:v>Tim Brockman</x:v>
      </x:c>
      <x:c r="E7569" t="str">
        <x:v>Consumer</x:v>
      </x:c>
      <x:c r="F7569" t="str">
        <x:v>West</x:v>
      </x:c>
      <x:c r="G7569" t="str">
        <x:v>Furniture</x:v>
      </x:c>
      <x:c r="H7569" t="str">
        <x:v>Chairs</x:v>
      </x:c>
      <x:c r="I7569" s="22" t="n">
        <x:v>435.16800000000006</x:v>
      </x:c>
      <x:c r="J7569" s="24" t="n">
        <x:v>4</x:v>
      </x:c>
      <x:c r="K7569" s="26" t="n">
        <x:v>0.2</x:v>
      </x:c>
      <x:c r="L7569" s="22" t="n">
        <x:v>-59.83560000000004</x:v>
      </x:c>
      <x:c r="M7569" t="n">
        <x:v>2016</x:v>
      </x:c>
      <x:c r="N7569" s="20" t="n">
        <x:v>42370</x:v>
      </x:c>
    </x:row>
    <x:row r="7570" ht="18" customHeight="1">
      <x:c r="A7570" t="str">
        <x:v>US-2016-166660</x:v>
      </x:c>
      <x:c r="B7570" s="18" t="n">
        <x:v>42399</x:v>
      </x:c>
      <x:c r="C7570" t="str">
        <x:v>TB-21250</x:v>
      </x:c>
      <x:c r="D7570" t="str">
        <x:v>Tim Brockman</x:v>
      </x:c>
      <x:c r="E7570" t="str">
        <x:v>Consumer</x:v>
      </x:c>
      <x:c r="F7570" t="str">
        <x:v>West</x:v>
      </x:c>
      <x:c r="G7570" t="str">
        <x:v>Furniture</x:v>
      </x:c>
      <x:c r="H7570" t="str">
        <x:v>Bookcases</x:v>
      </x:c>
      <x:c r="I7570" s="22" t="n">
        <x:v>48.58</x:v>
      </x:c>
      <x:c r="J7570" s="24" t="n">
        <x:v>1</x:v>
      </x:c>
      <x:c r="K7570" s="26" t="n">
        <x:v>0</x:v>
      </x:c>
      <x:c r="L7570" s="22" t="n">
        <x:v>7.772800000000004</x:v>
      </x:c>
      <x:c r="M7570" t="n">
        <x:v>2016</x:v>
      </x:c>
      <x:c r="N7570" s="20" t="n">
        <x:v>42370</x:v>
      </x:c>
    </x:row>
    <x:row r="7571" ht="18" customHeight="1">
      <x:c r="A7571" t="str">
        <x:v>CA-2017-140802</x:v>
      </x:c>
      <x:c r="B7571" s="18" t="n">
        <x:v>42846</x:v>
      </x:c>
      <x:c r="C7571" t="str">
        <x:v>KN-16390</x:v>
      </x:c>
      <x:c r="D7571" t="str">
        <x:v>Katherine Nockton</x:v>
      </x:c>
      <x:c r="E7571" t="str">
        <x:v>Corporate</x:v>
      </x:c>
      <x:c r="F7571" t="str">
        <x:v>Central</x:v>
      </x:c>
      <x:c r="G7571" t="str">
        <x:v>Technology</x:v>
      </x:c>
      <x:c r="H7571" t="str">
        <x:v>Accessories</x:v>
      </x:c>
      <x:c r="I7571" s="22" t="n">
        <x:v>47.976</x:v>
      </x:c>
      <x:c r="J7571" s="24" t="n">
        <x:v>3</x:v>
      </x:c>
      <x:c r="K7571" s="26" t="n">
        <x:v>0.2</x:v>
      </x:c>
      <x:c r="L7571" s="22" t="n">
        <x:v>8.395799999999994</x:v>
      </x:c>
      <x:c r="M7571" t="n">
        <x:v>2017</x:v>
      </x:c>
      <x:c r="N7571" s="20" t="n">
        <x:v>42826</x:v>
      </x:c>
    </x:row>
    <x:row r="7572" ht="18" customHeight="1">
      <x:c r="A7572" t="str">
        <x:v>CA-2017-140802</x:v>
      </x:c>
      <x:c r="B7572" s="18" t="n">
        <x:v>42846</x:v>
      </x:c>
      <x:c r="C7572" t="str">
        <x:v>KN-16390</x:v>
      </x:c>
      <x:c r="D7572" t="str">
        <x:v>Katherine Nockton</x:v>
      </x:c>
      <x:c r="E7572" t="str">
        <x:v>Corporate</x:v>
      </x:c>
      <x:c r="F7572" t="str">
        <x:v>Central</x:v>
      </x:c>
      <x:c r="G7572" t="str">
        <x:v>Office Supplies</x:v>
      </x:c>
      <x:c r="H7572" t="str">
        <x:v>Paper</x:v>
      </x:c>
      <x:c r="I7572" s="22" t="n">
        <x:v>20.736000000000004</x:v>
      </x:c>
      <x:c r="J7572" s="24" t="n">
        <x:v>4</x:v>
      </x:c>
      <x:c r="K7572" s="26" t="n">
        <x:v>0.2</x:v>
      </x:c>
      <x:c r="L7572" s="22" t="n">
        <x:v>7.2576</x:v>
      </x:c>
      <x:c r="M7572" t="n">
        <x:v>2017</x:v>
      </x:c>
      <x:c r="N7572" s="20" t="n">
        <x:v>42826</x:v>
      </x:c>
    </x:row>
    <x:row r="7573" ht="18" customHeight="1">
      <x:c r="A7573" t="str">
        <x:v>CA-2014-133830</x:v>
      </x:c>
      <x:c r="B7573" s="18" t="n">
        <x:v>41978</x:v>
      </x:c>
      <x:c r="C7573" t="str">
        <x:v>RL-19615</x:v>
      </x:c>
      <x:c r="D7573" t="str">
        <x:v>Rob Lucas</x:v>
      </x:c>
      <x:c r="E7573" t="str">
        <x:v>Consumer</x:v>
      </x:c>
      <x:c r="F7573" t="str">
        <x:v>West</x:v>
      </x:c>
      <x:c r="G7573" t="str">
        <x:v>Office Supplies</x:v>
      </x:c>
      <x:c r="H7573" t="str">
        <x:v>Art</x:v>
      </x:c>
      <x:c r="I7573" s="22" t="n">
        <x:v>26.46</x:v>
      </x:c>
      <x:c r="J7573" s="24" t="n">
        <x:v>9</x:v>
      </x:c>
      <x:c r="K7573" s="26" t="n">
        <x:v>0</x:v>
      </x:c>
      <x:c r="L7573" s="22" t="n">
        <x:v>11.907</x:v>
      </x:c>
      <x:c r="M7573" t="n">
        <x:v>2014</x:v>
      </x:c>
      <x:c r="N7573" s="20" t="n">
        <x:v>41974</x:v>
      </x:c>
    </x:row>
    <x:row r="7574" ht="18" customHeight="1">
      <x:c r="A7574" t="str">
        <x:v>CA-2014-133830</x:v>
      </x:c>
      <x:c r="B7574" s="18" t="n">
        <x:v>41978</x:v>
      </x:c>
      <x:c r="C7574" t="str">
        <x:v>RL-19615</x:v>
      </x:c>
      <x:c r="D7574" t="str">
        <x:v>Rob Lucas</x:v>
      </x:c>
      <x:c r="E7574" t="str">
        <x:v>Consumer</x:v>
      </x:c>
      <x:c r="F7574" t="str">
        <x:v>West</x:v>
      </x:c>
      <x:c r="G7574" t="str">
        <x:v>Office Supplies</x:v>
      </x:c>
      <x:c r="H7574" t="str">
        <x:v>Paper</x:v>
      </x:c>
      <x:c r="I7574" s="22" t="n">
        <x:v>49.12</x:v>
      </x:c>
      <x:c r="J7574" s="24" t="n">
        <x:v>4</x:v>
      </x:c>
      <x:c r="K7574" s="26" t="n">
        <x:v>0</x:v>
      </x:c>
      <x:c r="L7574" s="22" t="n">
        <x:v>23.086399999999998</x:v>
      </x:c>
      <x:c r="M7574" t="n">
        <x:v>2014</x:v>
      </x:c>
      <x:c r="N7574" s="20" t="n">
        <x:v>41974</x:v>
      </x:c>
    </x:row>
    <x:row r="7575" ht="18" customHeight="1">
      <x:c r="A7575" t="str">
        <x:v>CA-2014-133830</x:v>
      </x:c>
      <x:c r="B7575" s="18" t="n">
        <x:v>41978</x:v>
      </x:c>
      <x:c r="C7575" t="str">
        <x:v>RL-19615</x:v>
      </x:c>
      <x:c r="D7575" t="str">
        <x:v>Rob Lucas</x:v>
      </x:c>
      <x:c r="E7575" t="str">
        <x:v>Consumer</x:v>
      </x:c>
      <x:c r="F7575" t="str">
        <x:v>West</x:v>
      </x:c>
      <x:c r="G7575" t="str">
        <x:v>Office Supplies</x:v>
      </x:c>
      <x:c r="H7575" t="str">
        <x:v>Fasteners</x:v>
      </x:c>
      <x:c r="I7575" s="22" t="n">
        <x:v>15</x:v>
      </x:c>
      <x:c r="J7575" s="24" t="n">
        <x:v>3</x:v>
      </x:c>
      <x:c r="K7575" s="26" t="n">
        <x:v>0</x:v>
      </x:c>
      <x:c r="L7575" s="22" t="n">
        <x:v>7.199999999999999</x:v>
      </x:c>
      <x:c r="M7575" t="n">
        <x:v>2014</x:v>
      </x:c>
      <x:c r="N7575" s="20" t="n">
        <x:v>41974</x:v>
      </x:c>
    </x:row>
    <x:row r="7576" ht="18" customHeight="1">
      <x:c r="A7576" t="str">
        <x:v>CA-2014-100916</x:v>
      </x:c>
      <x:c r="B7576" s="18" t="n">
        <x:v>41933</x:v>
      </x:c>
      <x:c r="C7576" t="str">
        <x:v>FH-14275</x:v>
      </x:c>
      <x:c r="D7576" t="str">
        <x:v>Frank Hawley</x:v>
      </x:c>
      <x:c r="E7576" t="str">
        <x:v>Corporate</x:v>
      </x:c>
      <x:c r="F7576" t="str">
        <x:v>South</x:v>
      </x:c>
      <x:c r="G7576" t="str">
        <x:v>Office Supplies</x:v>
      </x:c>
      <x:c r="H7576" t="str">
        <x:v>Storage</x:v>
      </x:c>
      <x:c r="I7576" s="22" t="n">
        <x:v>194.7</x:v>
      </x:c>
      <x:c r="J7576" s="24" t="n">
        <x:v>5</x:v>
      </x:c>
      <x:c r="K7576" s="26" t="n">
        <x:v>0</x:v>
      </x:c>
      <x:c r="L7576" s="22" t="n">
        <x:v>9.734999999999978</x:v>
      </x:c>
      <x:c r="M7576" t="n">
        <x:v>2014</x:v>
      </x:c>
      <x:c r="N7576" s="20" t="n">
        <x:v>41913</x:v>
      </x:c>
    </x:row>
    <x:row r="7577" ht="18" customHeight="1">
      <x:c r="A7577" t="str">
        <x:v>CA-2014-100916</x:v>
      </x:c>
      <x:c r="B7577" s="18" t="n">
        <x:v>41933</x:v>
      </x:c>
      <x:c r="C7577" t="str">
        <x:v>FH-14275</x:v>
      </x:c>
      <x:c r="D7577" t="str">
        <x:v>Frank Hawley</x:v>
      </x:c>
      <x:c r="E7577" t="str">
        <x:v>Corporate</x:v>
      </x:c>
      <x:c r="F7577" t="str">
        <x:v>South</x:v>
      </x:c>
      <x:c r="G7577" t="str">
        <x:v>Furniture</x:v>
      </x:c>
      <x:c r="H7577" t="str">
        <x:v>Tables</x:v>
      </x:c>
      <x:c r="I7577" s="22" t="n">
        <x:v>591.32</x:v>
      </x:c>
      <x:c r="J7577" s="24" t="n">
        <x:v>4</x:v>
      </x:c>
      <x:c r="K7577" s="26" t="n">
        <x:v>0</x:v>
      </x:c>
      <x:c r="L7577" s="22" t="n">
        <x:v>112.35079999999999</x:v>
      </x:c>
      <x:c r="M7577" t="n">
        <x:v>2014</x:v>
      </x:c>
      <x:c r="N7577" s="20" t="n">
        <x:v>41913</x:v>
      </x:c>
    </x:row>
    <x:row r="7578" ht="18" customHeight="1">
      <x:c r="A7578" t="str">
        <x:v>CA-2014-100916</x:v>
      </x:c>
      <x:c r="B7578" s="18" t="n">
        <x:v>41933</x:v>
      </x:c>
      <x:c r="C7578" t="str">
        <x:v>FH-14275</x:v>
      </x:c>
      <x:c r="D7578" t="str">
        <x:v>Frank Hawley</x:v>
      </x:c>
      <x:c r="E7578" t="str">
        <x:v>Corporate</x:v>
      </x:c>
      <x:c r="F7578" t="str">
        <x:v>South</x:v>
      </x:c>
      <x:c r="G7578" t="str">
        <x:v>Office Supplies</x:v>
      </x:c>
      <x:c r="H7578" t="str">
        <x:v>Art</x:v>
      </x:c>
      <x:c r="I7578" s="22" t="n">
        <x:v>2.84</x:v>
      </x:c>
      <x:c r="J7578" s="24" t="n">
        <x:v>1</x:v>
      </x:c>
      <x:c r="K7578" s="26" t="n">
        <x:v>0</x:v>
      </x:c>
      <x:c r="L7578" s="22" t="n">
        <x:v>0.8803999999999998</x:v>
      </x:c>
      <x:c r="M7578" t="n">
        <x:v>2014</x:v>
      </x:c>
      <x:c r="N7578" s="20" t="n">
        <x:v>41913</x:v>
      </x:c>
    </x:row>
    <x:row r="7579" ht="18" customHeight="1">
      <x:c r="A7579" t="str">
        <x:v>CA-2015-129532</x:v>
      </x:c>
      <x:c r="B7579" s="18" t="n">
        <x:v>42346</x:v>
      </x:c>
      <x:c r="C7579" t="str">
        <x:v>YS-21880</x:v>
      </x:c>
      <x:c r="D7579" t="str">
        <x:v>Yana Sorensen</x:v>
      </x:c>
      <x:c r="E7579" t="str">
        <x:v>Corporate</x:v>
      </x:c>
      <x:c r="F7579" t="str">
        <x:v>West</x:v>
      </x:c>
      <x:c r="G7579" t="str">
        <x:v>Office Supplies</x:v>
      </x:c>
      <x:c r="H7579" t="str">
        <x:v>Storage</x:v>
      </x:c>
      <x:c r="I7579" s="22" t="n">
        <x:v>221.96</x:v>
      </x:c>
      <x:c r="J7579" s="24" t="n">
        <x:v>2</x:v>
      </x:c>
      <x:c r="K7579" s="26" t="n">
        <x:v>0</x:v>
      </x:c>
      <x:c r="L7579" s="22" t="n">
        <x:v>4.4392</x:v>
      </x:c>
      <x:c r="M7579" t="n">
        <x:v>2015</x:v>
      </x:c>
      <x:c r="N7579" s="20" t="n">
        <x:v>42339</x:v>
      </x:c>
    </x:row>
    <x:row r="7580" ht="18" customHeight="1">
      <x:c r="A7580" t="str">
        <x:v>CA-2015-129532</x:v>
      </x:c>
      <x:c r="B7580" s="18" t="n">
        <x:v>42346</x:v>
      </x:c>
      <x:c r="C7580" t="str">
        <x:v>YS-21880</x:v>
      </x:c>
      <x:c r="D7580" t="str">
        <x:v>Yana Sorensen</x:v>
      </x:c>
      <x:c r="E7580" t="str">
        <x:v>Corporate</x:v>
      </x:c>
      <x:c r="F7580" t="str">
        <x:v>West</x:v>
      </x:c>
      <x:c r="G7580" t="str">
        <x:v>Technology</x:v>
      </x:c>
      <x:c r="H7580" t="str">
        <x:v>Accessories</x:v>
      </x:c>
      <x:c r="I7580" s="22" t="n">
        <x:v>236</x:v>
      </x:c>
      <x:c r="J7580" s="24" t="n">
        <x:v>4</x:v>
      </x:c>
      <x:c r="K7580" s="26" t="n">
        <x:v>0</x:v>
      </x:c>
      <x:c r="L7580" s="22" t="n">
        <x:v>40.119999999999976</x:v>
      </x:c>
      <x:c r="M7580" t="n">
        <x:v>2015</x:v>
      </x:c>
      <x:c r="N7580" s="20" t="n">
        <x:v>42339</x:v>
      </x:c>
    </x:row>
    <x:row r="7581" ht="18" customHeight="1">
      <x:c r="A7581" t="str">
        <x:v>CA-2014-134726</x:v>
      </x:c>
      <x:c r="B7581" s="18" t="n">
        <x:v>41945</x:v>
      </x:c>
      <x:c r="C7581" t="str">
        <x:v>SW-20755</x:v>
      </x:c>
      <x:c r="D7581" t="str">
        <x:v>Steven Ward</x:v>
      </x:c>
      <x:c r="E7581" t="str">
        <x:v>Corporate</x:v>
      </x:c>
      <x:c r="F7581" t="str">
        <x:v>West</x:v>
      </x:c>
      <x:c r="G7581" t="str">
        <x:v>Technology</x:v>
      </x:c>
      <x:c r="H7581" t="str">
        <x:v>Accessories</x:v>
      </x:c>
      <x:c r="I7581" s="22" t="n">
        <x:v>41.94</x:v>
      </x:c>
      <x:c r="J7581" s="24" t="n">
        <x:v>2</x:v>
      </x:c>
      <x:c r="K7581" s="26" t="n">
        <x:v>0</x:v>
      </x:c>
      <x:c r="L7581" s="22" t="n">
        <x:v>15.098399999999998</x:v>
      </x:c>
      <x:c r="M7581" t="n">
        <x:v>2014</x:v>
      </x:c>
      <x:c r="N7581" s="20" t="n">
        <x:v>41944</x:v>
      </x:c>
    </x:row>
    <x:row r="7582" ht="18" customHeight="1">
      <x:c r="A7582" t="str">
        <x:v>CA-2014-134726</x:v>
      </x:c>
      <x:c r="B7582" s="18" t="n">
        <x:v>41945</x:v>
      </x:c>
      <x:c r="C7582" t="str">
        <x:v>SW-20755</x:v>
      </x:c>
      <x:c r="D7582" t="str">
        <x:v>Steven Ward</x:v>
      </x:c>
      <x:c r="E7582" t="str">
        <x:v>Corporate</x:v>
      </x:c>
      <x:c r="F7582" t="str">
        <x:v>West</x:v>
      </x:c>
      <x:c r="G7582" t="str">
        <x:v>Technology</x:v>
      </x:c>
      <x:c r="H7582" t="str">
        <x:v>Phones</x:v>
      </x:c>
      <x:c r="I7582" s="22" t="n">
        <x:v>52.792</x:v>
      </x:c>
      <x:c r="J7582" s="24" t="n">
        <x:v>1</x:v>
      </x:c>
      <x:c r="K7582" s="26" t="n">
        <x:v>0.2</x:v>
      </x:c>
      <x:c r="L7582" s="22" t="n">
        <x:v>4.619300000000003</x:v>
      </x:c>
      <x:c r="M7582" t="n">
        <x:v>2014</x:v>
      </x:c>
      <x:c r="N7582" s="20" t="n">
        <x:v>41944</x:v>
      </x:c>
    </x:row>
    <x:row r="7583" ht="18" customHeight="1">
      <x:c r="A7583" t="str">
        <x:v>CA-2016-138597</x:v>
      </x:c>
      <x:c r="B7583" s="18" t="n">
        <x:v>42722</x:v>
      </x:c>
      <x:c r="C7583" t="str">
        <x:v>PN-18775</x:v>
      </x:c>
      <x:c r="D7583" t="str">
        <x:v>Parhena Norris</x:v>
      </x:c>
      <x:c r="E7583" t="str">
        <x:v>Home Office</x:v>
      </x:c>
      <x:c r="F7583" t="str">
        <x:v>Central</x:v>
      </x:c>
      <x:c r="G7583" t="str">
        <x:v>Furniture</x:v>
      </x:c>
      <x:c r="H7583" t="str">
        <x:v>Chairs</x:v>
      </x:c>
      <x:c r="I7583" s="22" t="n">
        <x:v>563.9399999999999</x:v>
      </x:c>
      <x:c r="J7583" s="24" t="n">
        <x:v>3</x:v>
      </x:c>
      <x:c r="K7583" s="26" t="n">
        <x:v>0</x:v>
      </x:c>
      <x:c r="L7583" s="22" t="n">
        <x:v>112.78800000000001</x:v>
      </x:c>
      <x:c r="M7583" t="n">
        <x:v>2016</x:v>
      </x:c>
      <x:c r="N7583" s="20" t="n">
        <x:v>42705</x:v>
      </x:c>
    </x:row>
    <x:row r="7584" ht="18" customHeight="1">
      <x:c r="A7584" t="str">
        <x:v>CA-2015-123113</x:v>
      </x:c>
      <x:c r="B7584" s="18" t="n">
        <x:v>42331</x:v>
      </x:c>
      <x:c r="C7584" t="str">
        <x:v>AT-10735</x:v>
      </x:c>
      <x:c r="D7584" t="str">
        <x:v>Annie Thurman</x:v>
      </x:c>
      <x:c r="E7584" t="str">
        <x:v>Consumer</x:v>
      </x:c>
      <x:c r="F7584" t="str">
        <x:v>East</x:v>
      </x:c>
      <x:c r="G7584" t="str">
        <x:v>Office Supplies</x:v>
      </x:c>
      <x:c r="H7584" t="str">
        <x:v>Appliances</x:v>
      </x:c>
      <x:c r="I7584" s="22" t="n">
        <x:v>2625.12</x:v>
      </x:c>
      <x:c r="J7584" s="24" t="n">
        <x:v>8</x:v>
      </x:c>
      <x:c r="K7584" s="26" t="n">
        <x:v>0</x:v>
      </x:c>
      <x:c r="L7584" s="22" t="n">
        <x:v>735.0336</x:v>
      </x:c>
      <x:c r="M7584" t="n">
        <x:v>2015</x:v>
      </x:c>
      <x:c r="N7584" s="20" t="n">
        <x:v>42309</x:v>
      </x:c>
    </x:row>
    <x:row r="7585" ht="18" customHeight="1">
      <x:c r="A7585" t="str">
        <x:v>CA-2015-123113</x:v>
      </x:c>
      <x:c r="B7585" s="18" t="n">
        <x:v>42331</x:v>
      </x:c>
      <x:c r="C7585" t="str">
        <x:v>AT-10735</x:v>
      </x:c>
      <x:c r="D7585" t="str">
        <x:v>Annie Thurman</x:v>
      </x:c>
      <x:c r="E7585" t="str">
        <x:v>Consumer</x:v>
      </x:c>
      <x:c r="F7585" t="str">
        <x:v>East</x:v>
      </x:c>
      <x:c r="G7585" t="str">
        <x:v>Office Supplies</x:v>
      </x:c>
      <x:c r="H7585" t="str">
        <x:v>Art</x:v>
      </x:c>
      <x:c r="I7585" s="22" t="n">
        <x:v>17.94</x:v>
      </x:c>
      <x:c r="J7585" s="24" t="n">
        <x:v>3</x:v>
      </x:c>
      <x:c r="K7585" s="26" t="n">
        <x:v>0</x:v>
      </x:c>
      <x:c r="L7585" s="22" t="n">
        <x:v>4.485</x:v>
      </x:c>
      <x:c r="M7585" t="n">
        <x:v>2015</x:v>
      </x:c>
      <x:c r="N7585" s="20" t="n">
        <x:v>42309</x:v>
      </x:c>
    </x:row>
    <x:row r="7586" ht="18" customHeight="1">
      <x:c r="A7586" t="str">
        <x:v>CA-2015-169656</x:v>
      </x:c>
      <x:c r="B7586" s="18" t="n">
        <x:v>42229</x:v>
      </x:c>
      <x:c r="C7586" t="str">
        <x:v>EJ-13720</x:v>
      </x:c>
      <x:c r="D7586" t="str">
        <x:v>Ed Jacobs</x:v>
      </x:c>
      <x:c r="E7586" t="str">
        <x:v>Consumer</x:v>
      </x:c>
      <x:c r="F7586" t="str">
        <x:v>East</x:v>
      </x:c>
      <x:c r="G7586" t="str">
        <x:v>Office Supplies</x:v>
      </x:c>
      <x:c r="H7586" t="str">
        <x:v>Storage</x:v>
      </x:c>
      <x:c r="I7586" s="22" t="n">
        <x:v>422.856</x:v>
      </x:c>
      <x:c r="J7586" s="24" t="n">
        <x:v>3</x:v>
      </x:c>
      <x:c r="K7586" s="26" t="n">
        <x:v>0.2</x:v>
      </x:c>
      <x:c r="L7586" s="22" t="n">
        <x:v>15.857099999999974</x:v>
      </x:c>
      <x:c r="M7586" t="n">
        <x:v>2015</x:v>
      </x:c>
      <x:c r="N7586" s="20" t="n">
        <x:v>42217</x:v>
      </x:c>
    </x:row>
    <x:row r="7587" ht="18" customHeight="1">
      <x:c r="A7587" t="str">
        <x:v>CA-2015-142734</x:v>
      </x:c>
      <x:c r="B7587" s="18" t="n">
        <x:v>42110</x:v>
      </x:c>
      <x:c r="C7587" t="str">
        <x:v>DM-13345</x:v>
      </x:c>
      <x:c r="D7587" t="str">
        <x:v>Denise Monton</x:v>
      </x:c>
      <x:c r="E7587" t="str">
        <x:v>Corporate</x:v>
      </x:c>
      <x:c r="F7587" t="str">
        <x:v>East</x:v>
      </x:c>
      <x:c r="G7587" t="str">
        <x:v>Furniture</x:v>
      </x:c>
      <x:c r="H7587" t="str">
        <x:v>Chairs</x:v>
      </x:c>
      <x:c r="I7587" s="22" t="n">
        <x:v>127.76400000000001</x:v>
      </x:c>
      <x:c r="J7587" s="24" t="n">
        <x:v>2</x:v>
      </x:c>
      <x:c r="K7587" s="26" t="n">
        <x:v>0.1</x:v>
      </x:c>
      <x:c r="L7587" s="22" t="n">
        <x:v>2.8392000000000017</x:v>
      </x:c>
      <x:c r="M7587" t="n">
        <x:v>2015</x:v>
      </x:c>
      <x:c r="N7587" s="20" t="n">
        <x:v>42095</x:v>
      </x:c>
    </x:row>
    <x:row r="7588" ht="18" customHeight="1">
      <x:c r="A7588" t="str">
        <x:v>CA-2014-163223</x:v>
      </x:c>
      <x:c r="B7588" s="18" t="n">
        <x:v>41719</x:v>
      </x:c>
      <x:c r="C7588" t="str">
        <x:v>KH-16690</x:v>
      </x:c>
      <x:c r="D7588" t="str">
        <x:v>Kristen Hastings</x:v>
      </x:c>
      <x:c r="E7588" t="str">
        <x:v>Corporate</x:v>
      </x:c>
      <x:c r="F7588" t="str">
        <x:v>South</x:v>
      </x:c>
      <x:c r="G7588" t="str">
        <x:v>Technology</x:v>
      </x:c>
      <x:c r="H7588" t="str">
        <x:v>Phones</x:v>
      </x:c>
      <x:c r="I7588" s="22" t="n">
        <x:v>3499.9300000000003</x:v>
      </x:c>
      <x:c r="J7588" s="24" t="n">
        <x:v>7</x:v>
      </x:c>
      <x:c r="K7588" s="26" t="n">
        <x:v>0</x:v>
      </x:c>
      <x:c r="L7588" s="22" t="n">
        <x:v>909.9818000000002</x:v>
      </x:c>
      <x:c r="M7588" t="n">
        <x:v>2014</x:v>
      </x:c>
      <x:c r="N7588" s="20" t="n">
        <x:v>41699</x:v>
      </x:c>
    </x:row>
    <x:row r="7589" ht="18" customHeight="1">
      <x:c r="A7589" t="str">
        <x:v>CA-2014-163223</x:v>
      </x:c>
      <x:c r="B7589" s="18" t="n">
        <x:v>41719</x:v>
      </x:c>
      <x:c r="C7589" t="str">
        <x:v>KH-16690</x:v>
      </x:c>
      <x:c r="D7589" t="str">
        <x:v>Kristen Hastings</x:v>
      </x:c>
      <x:c r="E7589" t="str">
        <x:v>Corporate</x:v>
      </x:c>
      <x:c r="F7589" t="str">
        <x:v>South</x:v>
      </x:c>
      <x:c r="G7589" t="str">
        <x:v>Office Supplies</x:v>
      </x:c>
      <x:c r="H7589" t="str">
        <x:v>Labels</x:v>
      </x:c>
      <x:c r="I7589" s="22" t="n">
        <x:v>14.399999999999999</x:v>
      </x:c>
      <x:c r="J7589" s="24" t="n">
        <x:v>5</x:v>
      </x:c>
      <x:c r="K7589" s="26" t="n">
        <x:v>0</x:v>
      </x:c>
      <x:c r="L7589" s="22" t="n">
        <x:v>6.623999999999999</x:v>
      </x:c>
      <x:c r="M7589" t="n">
        <x:v>2014</x:v>
      </x:c>
      <x:c r="N7589" s="20" t="n">
        <x:v>41699</x:v>
      </x:c>
    </x:row>
    <x:row r="7590" ht="18" customHeight="1">
      <x:c r="A7590" t="str">
        <x:v>CA-2014-163223</x:v>
      </x:c>
      <x:c r="B7590" s="18" t="n">
        <x:v>41719</x:v>
      </x:c>
      <x:c r="C7590" t="str">
        <x:v>KH-16690</x:v>
      </x:c>
      <x:c r="D7590" t="str">
        <x:v>Kristen Hastings</x:v>
      </x:c>
      <x:c r="E7590" t="str">
        <x:v>Corporate</x:v>
      </x:c>
      <x:c r="F7590" t="str">
        <x:v>South</x:v>
      </x:c>
      <x:c r="G7590" t="str">
        <x:v>Office Supplies</x:v>
      </x:c>
      <x:c r="H7590" t="str">
        <x:v>Paper</x:v>
      </x:c>
      <x:c r="I7590" s="22" t="n">
        <x:v>122.97</x:v>
      </x:c>
      <x:c r="J7590" s="24" t="n">
        <x:v>3</x:v>
      </x:c>
      <x:c r="K7590" s="26" t="n">
        <x:v>0</x:v>
      </x:c>
      <x:c r="L7590" s="22" t="n">
        <x:v>60.255300000000005</x:v>
      </x:c>
      <x:c r="M7590" t="n">
        <x:v>2014</x:v>
      </x:c>
      <x:c r="N7590" s="20" t="n">
        <x:v>41699</x:v>
      </x:c>
    </x:row>
    <x:row r="7591" ht="18" customHeight="1">
      <x:c r="A7591" t="str">
        <x:v>CA-2014-163223</x:v>
      </x:c>
      <x:c r="B7591" s="18" t="n">
        <x:v>41719</x:v>
      </x:c>
      <x:c r="C7591" t="str">
        <x:v>KH-16690</x:v>
      </x:c>
      <x:c r="D7591" t="str">
        <x:v>Kristen Hastings</x:v>
      </x:c>
      <x:c r="E7591" t="str">
        <x:v>Corporate</x:v>
      </x:c>
      <x:c r="F7591" t="str">
        <x:v>South</x:v>
      </x:c>
      <x:c r="G7591" t="str">
        <x:v>Office Supplies</x:v>
      </x:c>
      <x:c r="H7591" t="str">
        <x:v>Art</x:v>
      </x:c>
      <x:c r="I7591" s="22" t="n">
        <x:v>9.32</x:v>
      </x:c>
      <x:c r="J7591" s="24" t="n">
        <x:v>4</x:v>
      </x:c>
      <x:c r="K7591" s="26" t="n">
        <x:v>0</x:v>
      </x:c>
      <x:c r="L7591" s="22" t="n">
        <x:v>2.702799999999999</x:v>
      </x:c>
      <x:c r="M7591" t="n">
        <x:v>2014</x:v>
      </x:c>
      <x:c r="N7591" s="20" t="n">
        <x:v>41699</x:v>
      </x:c>
    </x:row>
    <x:row r="7592" ht="18" customHeight="1">
      <x:c r="A7592" t="str">
        <x:v>CA-2014-163223</x:v>
      </x:c>
      <x:c r="B7592" s="18" t="n">
        <x:v>41719</x:v>
      </x:c>
      <x:c r="C7592" t="str">
        <x:v>KH-16690</x:v>
      </x:c>
      <x:c r="D7592" t="str">
        <x:v>Kristen Hastings</x:v>
      </x:c>
      <x:c r="E7592" t="str">
        <x:v>Corporate</x:v>
      </x:c>
      <x:c r="F7592" t="str">
        <x:v>South</x:v>
      </x:c>
      <x:c r="G7592" t="str">
        <x:v>Office Supplies</x:v>
      </x:c>
      <x:c r="H7592" t="str">
        <x:v>Binders</x:v>
      </x:c>
      <x:c r="I7592" s="22" t="n">
        <x:v>122.94</x:v>
      </x:c>
      <x:c r="J7592" s="24" t="n">
        <x:v>3</x:v>
      </x:c>
      <x:c r="K7592" s="26" t="n">
        <x:v>0</x:v>
      </x:c>
      <x:c r="L7592" s="22" t="n">
        <x:v>59.01119999999999</x:v>
      </x:c>
      <x:c r="M7592" t="n">
        <x:v>2014</x:v>
      </x:c>
      <x:c r="N7592" s="20" t="n">
        <x:v>41699</x:v>
      </x:c>
    </x:row>
    <x:row r="7593" ht="18" customHeight="1">
      <x:c r="A7593" t="str">
        <x:v>CA-2017-122945</x:v>
      </x:c>
      <x:c r="B7593" s="18" t="n">
        <x:v>43055</x:v>
      </x:c>
      <x:c r="C7593" t="str">
        <x:v>MB-18085</x:v>
      </x:c>
      <x:c r="D7593" t="str">
        <x:v>Mick Brown</x:v>
      </x:c>
      <x:c r="E7593" t="str">
        <x:v>Consumer</x:v>
      </x:c>
      <x:c r="F7593" t="str">
        <x:v>West</x:v>
      </x:c>
      <x:c r="G7593" t="str">
        <x:v>Furniture</x:v>
      </x:c>
      <x:c r="H7593" t="str">
        <x:v>Furnishings</x:v>
      </x:c>
      <x:c r="I7593" s="22" t="n">
        <x:v>17.31</x:v>
      </x:c>
      <x:c r="J7593" s="24" t="n">
        <x:v>3</x:v>
      </x:c>
      <x:c r="K7593" s="26" t="n">
        <x:v>0</x:v>
      </x:c>
      <x:c r="L7593" s="22" t="n">
        <x:v>5.193</x:v>
      </x:c>
      <x:c r="M7593" t="n">
        <x:v>2017</x:v>
      </x:c>
      <x:c r="N7593" s="20" t="n">
        <x:v>43040</x:v>
      </x:c>
    </x:row>
    <x:row r="7594" ht="18" customHeight="1">
      <x:c r="A7594" t="str">
        <x:v>CA-2015-139738</x:v>
      </x:c>
      <x:c r="B7594" s="18" t="n">
        <x:v>42272</x:v>
      </x:c>
      <x:c r="C7594" t="str">
        <x:v>DK-12895</x:v>
      </x:c>
      <x:c r="D7594" t="str">
        <x:v>Dana Kaydos</x:v>
      </x:c>
      <x:c r="E7594" t="str">
        <x:v>Consumer</x:v>
      </x:c>
      <x:c r="F7594" t="str">
        <x:v>Central</x:v>
      </x:c>
      <x:c r="G7594" t="str">
        <x:v>Office Supplies</x:v>
      </x:c>
      <x:c r="H7594" t="str">
        <x:v>Art</x:v>
      </x:c>
      <x:c r="I7594" s="22" t="n">
        <x:v>128.744</x:v>
      </x:c>
      <x:c r="J7594" s="24" t="n">
        <x:v>7</x:v>
      </x:c>
      <x:c r="K7594" s="26" t="n">
        <x:v>0.2</x:v>
      </x:c>
      <x:c r="L7594" s="22" t="n">
        <x:v>12.874400000000001</x:v>
      </x:c>
      <x:c r="M7594" t="n">
        <x:v>2015</x:v>
      </x:c>
      <x:c r="N7594" s="20" t="n">
        <x:v>42248</x:v>
      </x:c>
    </x:row>
    <x:row r="7595" ht="18" customHeight="1">
      <x:c r="A7595" t="str">
        <x:v>CA-2016-158778</x:v>
      </x:c>
      <x:c r="B7595" s="18" t="n">
        <x:v>42618</x:v>
      </x:c>
      <x:c r="C7595" t="str">
        <x:v>DB-13210</x:v>
      </x:c>
      <x:c r="D7595" t="str">
        <x:v>Dean Braden</x:v>
      </x:c>
      <x:c r="E7595" t="str">
        <x:v>Consumer</x:v>
      </x:c>
      <x:c r="F7595" t="str">
        <x:v>East</x:v>
      </x:c>
      <x:c r="G7595" t="str">
        <x:v>Furniture</x:v>
      </x:c>
      <x:c r="H7595" t="str">
        <x:v>Furnishings</x:v>
      </x:c>
      <x:c r="I7595" s="22" t="n">
        <x:v>58.248000000000005</x:v>
      </x:c>
      <x:c r="J7595" s="24" t="n">
        <x:v>9</x:v>
      </x:c>
      <x:c r="K7595" s="26" t="n">
        <x:v>0.2</x:v>
      </x:c>
      <x:c r="L7595" s="22" t="n">
        <x:v>11.649599999999996</x:v>
      </x:c>
      <x:c r="M7595" t="n">
        <x:v>2016</x:v>
      </x:c>
      <x:c r="N7595" s="20" t="n">
        <x:v>42614</x:v>
      </x:c>
    </x:row>
    <x:row r="7596" ht="18" customHeight="1">
      <x:c r="A7596" t="str">
        <x:v>CA-2016-158778</x:v>
      </x:c>
      <x:c r="B7596" s="18" t="n">
        <x:v>42618</x:v>
      </x:c>
      <x:c r="C7596" t="str">
        <x:v>DB-13210</x:v>
      </x:c>
      <x:c r="D7596" t="str">
        <x:v>Dean Braden</x:v>
      </x:c>
      <x:c r="E7596" t="str">
        <x:v>Consumer</x:v>
      </x:c>
      <x:c r="F7596" t="str">
        <x:v>East</x:v>
      </x:c>
      <x:c r="G7596" t="str">
        <x:v>Furniture</x:v>
      </x:c>
      <x:c r="H7596" t="str">
        <x:v>Chairs</x:v>
      </x:c>
      <x:c r="I7596" s="22" t="n">
        <x:v>71.246</x:v>
      </x:c>
      <x:c r="J7596" s="24" t="n">
        <x:v>2</x:v>
      </x:c>
      <x:c r="K7596" s="26" t="n">
        <x:v>0.3</x:v>
      </x:c>
      <x:c r="L7596" s="22" t="n">
        <x:v>-19.338199999999993</x:v>
      </x:c>
      <x:c r="M7596" t="n">
        <x:v>2016</x:v>
      </x:c>
      <x:c r="N7596" s="20" t="n">
        <x:v>42614</x:v>
      </x:c>
    </x:row>
    <x:row r="7597" ht="18" customHeight="1">
      <x:c r="A7597" t="str">
        <x:v>CA-2016-158778</x:v>
      </x:c>
      <x:c r="B7597" s="18" t="n">
        <x:v>42618</x:v>
      </x:c>
      <x:c r="C7597" t="str">
        <x:v>DB-13210</x:v>
      </x:c>
      <x:c r="D7597" t="str">
        <x:v>Dean Braden</x:v>
      </x:c>
      <x:c r="E7597" t="str">
        <x:v>Consumer</x:v>
      </x:c>
      <x:c r="F7597" t="str">
        <x:v>East</x:v>
      </x:c>
      <x:c r="G7597" t="str">
        <x:v>Office Supplies</x:v>
      </x:c>
      <x:c r="H7597" t="str">
        <x:v>Art</x:v>
      </x:c>
      <x:c r="I7597" s="22" t="n">
        <x:v>7.872</x:v>
      </x:c>
      <x:c r="J7597" s="24" t="n">
        <x:v>3</x:v>
      </x:c>
      <x:c r="K7597" s="26" t="n">
        <x:v>0.2</x:v>
      </x:c>
      <x:c r="L7597" s="22" t="n">
        <x:v>0.5903999999999994</x:v>
      </x:c>
      <x:c r="M7597" t="n">
        <x:v>2016</x:v>
      </x:c>
      <x:c r="N7597" s="20" t="n">
        <x:v>42614</x:v>
      </x:c>
    </x:row>
    <x:row r="7598" ht="18" customHeight="1">
      <x:c r="A7598" t="str">
        <x:v>CA-2016-158778</x:v>
      </x:c>
      <x:c r="B7598" s="18" t="n">
        <x:v>42618</x:v>
      </x:c>
      <x:c r="C7598" t="str">
        <x:v>DB-13210</x:v>
      </x:c>
      <x:c r="D7598" t="str">
        <x:v>Dean Braden</x:v>
      </x:c>
      <x:c r="E7598" t="str">
        <x:v>Consumer</x:v>
      </x:c>
      <x:c r="F7598" t="str">
        <x:v>East</x:v>
      </x:c>
      <x:c r="G7598" t="str">
        <x:v>Furniture</x:v>
      </x:c>
      <x:c r="H7598" t="str">
        <x:v>Chairs</x:v>
      </x:c>
      <x:c r="I7598" s="22" t="n">
        <x:v>887.2709999999998</x:v>
      </x:c>
      <x:c r="J7598" s="24" t="n">
        <x:v>3</x:v>
      </x:c>
      <x:c r="K7598" s="26" t="n">
        <x:v>0.3</x:v>
      </x:c>
      <x:c r="L7598" s="22" t="n">
        <x:v>-63.376499999999965</x:v>
      </x:c>
      <x:c r="M7598" t="n">
        <x:v>2016</x:v>
      </x:c>
      <x:c r="N7598" s="20" t="n">
        <x:v>42614</x:v>
      </x:c>
    </x:row>
    <x:row r="7599" ht="18" customHeight="1">
      <x:c r="A7599" t="str">
        <x:v>CA-2017-119655</x:v>
      </x:c>
      <x:c r="B7599" s="18" t="n">
        <x:v>42845</x:v>
      </x:c>
      <x:c r="C7599" t="str">
        <x:v>CV-12295</x:v>
      </x:c>
      <x:c r="D7599" t="str">
        <x:v>Christina VanderZanden</x:v>
      </x:c>
      <x:c r="E7599" t="str">
        <x:v>Consumer</x:v>
      </x:c>
      <x:c r="F7599" t="str">
        <x:v>Central</x:v>
      </x:c>
      <x:c r="G7599" t="str">
        <x:v>Office Supplies</x:v>
      </x:c>
      <x:c r="H7599" t="str">
        <x:v>Binders</x:v>
      </x:c>
      <x:c r="I7599" s="22" t="n">
        <x:v>146.86</x:v>
      </x:c>
      <x:c r="J7599" s="24" t="n">
        <x:v>7</x:v>
      </x:c>
      <x:c r="K7599" s="26" t="n">
        <x:v>0</x:v>
      </x:c>
      <x:c r="L7599" s="22" t="n">
        <x:v>70.49279999999999</x:v>
      </x:c>
      <x:c r="M7599" t="n">
        <x:v>2017</x:v>
      </x:c>
      <x:c r="N7599" s="20" t="n">
        <x:v>42826</x:v>
      </x:c>
    </x:row>
    <x:row r="7600" ht="18" customHeight="1">
      <x:c r="A7600" t="str">
        <x:v>CA-2017-119655</x:v>
      </x:c>
      <x:c r="B7600" s="18" t="n">
        <x:v>42845</x:v>
      </x:c>
      <x:c r="C7600" t="str">
        <x:v>CV-12295</x:v>
      </x:c>
      <x:c r="D7600" t="str">
        <x:v>Christina VanderZanden</x:v>
      </x:c>
      <x:c r="E7600" t="str">
        <x:v>Consumer</x:v>
      </x:c>
      <x:c r="F7600" t="str">
        <x:v>Central</x:v>
      </x:c>
      <x:c r="G7600" t="str">
        <x:v>Office Supplies</x:v>
      </x:c>
      <x:c r="H7600" t="str">
        <x:v>Binders</x:v>
      </x:c>
      <x:c r="I7600" s="22" t="n">
        <x:v>36.56</x:v>
      </x:c>
      <x:c r="J7600" s="24" t="n">
        <x:v>4</x:v>
      </x:c>
      <x:c r="K7600" s="26" t="n">
        <x:v>0</x:v>
      </x:c>
      <x:c r="L7600" s="22" t="n">
        <x:v>18.28</x:v>
      </x:c>
      <x:c r="M7600" t="n">
        <x:v>2017</x:v>
      </x:c>
      <x:c r="N7600" s="20" t="n">
        <x:v>42826</x:v>
      </x:c>
    </x:row>
    <x:row r="7601" ht="18" customHeight="1">
      <x:c r="A7601" t="str">
        <x:v>CA-2015-164567</x:v>
      </x:c>
      <x:c r="B7601" s="18" t="n">
        <x:v>42170</x:v>
      </x:c>
      <x:c r="C7601" t="str">
        <x:v>GK-14620</x:v>
      </x:c>
      <x:c r="D7601" t="str">
        <x:v>Grace Kelly</x:v>
      </x:c>
      <x:c r="E7601" t="str">
        <x:v>Corporate</x:v>
      </x:c>
      <x:c r="F7601" t="str">
        <x:v>West</x:v>
      </x:c>
      <x:c r="G7601" t="str">
        <x:v>Technology</x:v>
      </x:c>
      <x:c r="H7601" t="str">
        <x:v>Phones</x:v>
      </x:c>
      <x:c r="I7601" s="22" t="n">
        <x:v>225.57599999999996</x:v>
      </x:c>
      <x:c r="J7601" s="24" t="n">
        <x:v>3</x:v>
      </x:c>
      <x:c r="K7601" s="26" t="n">
        <x:v>0.2</x:v>
      </x:c>
      <x:c r="L7601" s="22" t="n">
        <x:v>22.557600000000008</x:v>
      </x:c>
      <x:c r="M7601" t="n">
        <x:v>2015</x:v>
      </x:c>
      <x:c r="N7601" s="20" t="n">
        <x:v>42156</x:v>
      </x:c>
    </x:row>
    <x:row r="7602" ht="18" customHeight="1">
      <x:c r="A7602" t="str">
        <x:v>CA-2014-131947</x:v>
      </x:c>
      <x:c r="B7602" s="18" t="n">
        <x:v>41899</x:v>
      </x:c>
      <x:c r="C7602" t="str">
        <x:v>JA-15970</x:v>
      </x:c>
      <x:c r="D7602" t="str">
        <x:v>Joseph Airdo</x:v>
      </x:c>
      <x:c r="E7602" t="str">
        <x:v>Consumer</x:v>
      </x:c>
      <x:c r="F7602" t="str">
        <x:v>West</x:v>
      </x:c>
      <x:c r="G7602" t="str">
        <x:v>Office Supplies</x:v>
      </x:c>
      <x:c r="H7602" t="str">
        <x:v>Art</x:v>
      </x:c>
      <x:c r="I7602" s="22" t="n">
        <x:v>5.248</x:v>
      </x:c>
      <x:c r="J7602" s="24" t="n">
        <x:v>2</x:v>
      </x:c>
      <x:c r="K7602" s="26" t="n">
        <x:v>0.2</x:v>
      </x:c>
      <x:c r="L7602" s="22" t="n">
        <x:v>0.4592000000000003</x:v>
      </x:c>
      <x:c r="M7602" t="n">
        <x:v>2014</x:v>
      </x:c>
      <x:c r="N7602" s="20" t="n">
        <x:v>41883</x:v>
      </x:c>
    </x:row>
    <x:row r="7603" ht="18" customHeight="1">
      <x:c r="A7603" t="str">
        <x:v>CA-2014-131947</x:v>
      </x:c>
      <x:c r="B7603" s="18" t="n">
        <x:v>41899</x:v>
      </x:c>
      <x:c r="C7603" t="str">
        <x:v>JA-15970</x:v>
      </x:c>
      <x:c r="D7603" t="str">
        <x:v>Joseph Airdo</x:v>
      </x:c>
      <x:c r="E7603" t="str">
        <x:v>Consumer</x:v>
      </x:c>
      <x:c r="F7603" t="str">
        <x:v>West</x:v>
      </x:c>
      <x:c r="G7603" t="str">
        <x:v>Office Supplies</x:v>
      </x:c>
      <x:c r="H7603" t="str">
        <x:v>Art</x:v>
      </x:c>
      <x:c r="I7603" s="22" t="n">
        <x:v>38.256</x:v>
      </x:c>
      <x:c r="J7603" s="24" t="n">
        <x:v>3</x:v>
      </x:c>
      <x:c r="K7603" s="26" t="n">
        <x:v>0.2</x:v>
      </x:c>
      <x:c r="L7603" s="22" t="n">
        <x:v>4.781999999999995</x:v>
      </x:c>
      <x:c r="M7603" t="n">
        <x:v>2014</x:v>
      </x:c>
      <x:c r="N7603" s="20" t="n">
        <x:v>41883</x:v>
      </x:c>
    </x:row>
    <x:row r="7604" ht="18" customHeight="1">
      <x:c r="A7604" t="str">
        <x:v>CA-2014-131947</x:v>
      </x:c>
      <x:c r="B7604" s="18" t="n">
        <x:v>41899</x:v>
      </x:c>
      <x:c r="C7604" t="str">
        <x:v>JA-15970</x:v>
      </x:c>
      <x:c r="D7604" t="str">
        <x:v>Joseph Airdo</x:v>
      </x:c>
      <x:c r="E7604" t="str">
        <x:v>Consumer</x:v>
      </x:c>
      <x:c r="F7604" t="str">
        <x:v>West</x:v>
      </x:c>
      <x:c r="G7604" t="str">
        <x:v>Office Supplies</x:v>
      </x:c>
      <x:c r="H7604" t="str">
        <x:v>Paper</x:v>
      </x:c>
      <x:c r="I7604" s="22" t="n">
        <x:v>40.24</x:v>
      </x:c>
      <x:c r="J7604" s="24" t="n">
        <x:v>5</x:v>
      </x:c>
      <x:c r="K7604" s="26" t="n">
        <x:v>0.2</x:v>
      </x:c>
      <x:c r="L7604" s="22" t="n">
        <x:v>13.078000000000001</x:v>
      </x:c>
      <x:c r="M7604" t="n">
        <x:v>2014</x:v>
      </x:c>
      <x:c r="N7604" s="20" t="n">
        <x:v>41883</x:v>
      </x:c>
    </x:row>
    <x:row r="7605" ht="18" customHeight="1">
      <x:c r="A7605" t="str">
        <x:v>CA-2014-131947</x:v>
      </x:c>
      <x:c r="B7605" s="18" t="n">
        <x:v>41899</x:v>
      </x:c>
      <x:c r="C7605" t="str">
        <x:v>JA-15970</x:v>
      </x:c>
      <x:c r="D7605" t="str">
        <x:v>Joseph Airdo</x:v>
      </x:c>
      <x:c r="E7605" t="str">
        <x:v>Consumer</x:v>
      </x:c>
      <x:c r="F7605" t="str">
        <x:v>West</x:v>
      </x:c>
      <x:c r="G7605" t="str">
        <x:v>Technology</x:v>
      </x:c>
      <x:c r="H7605" t="str">
        <x:v>Machines</x:v>
      </x:c>
      <x:c r="I7605" s="22" t="n">
        <x:v>29.925</x:v>
      </x:c>
      <x:c r="J7605" s="24" t="n">
        <x:v>5</x:v>
      </x:c>
      <x:c r="K7605" s="26" t="n">
        <x:v>0.7</x:v>
      </x:c>
      <x:c r="L7605" s="22" t="n">
        <x:v>-21.944999999999993</x:v>
      </x:c>
      <x:c r="M7605" t="n">
        <x:v>2014</x:v>
      </x:c>
      <x:c r="N7605" s="20" t="n">
        <x:v>41883</x:v>
      </x:c>
    </x:row>
    <x:row r="7606" ht="18" customHeight="1">
      <x:c r="A7606" t="str">
        <x:v>CA-2014-131947</x:v>
      </x:c>
      <x:c r="B7606" s="18" t="n">
        <x:v>41899</x:v>
      </x:c>
      <x:c r="C7606" t="str">
        <x:v>JA-15970</x:v>
      </x:c>
      <x:c r="D7606" t="str">
        <x:v>Joseph Airdo</x:v>
      </x:c>
      <x:c r="E7606" t="str">
        <x:v>Consumer</x:v>
      </x:c>
      <x:c r="F7606" t="str">
        <x:v>West</x:v>
      </x:c>
      <x:c r="G7606" t="str">
        <x:v>Office Supplies</x:v>
      </x:c>
      <x:c r="H7606" t="str">
        <x:v>Paper</x:v>
      </x:c>
      <x:c r="I7606" s="22" t="n">
        <x:v>148.704</x:v>
      </x:c>
      <x:c r="J7606" s="24" t="n">
        <x:v>6</x:v>
      </x:c>
      <x:c r="K7606" s="26" t="n">
        <x:v>0.2</x:v>
      </x:c>
      <x:c r="L7606" s="22" t="n">
        <x:v>46.469999999999985</x:v>
      </x:c>
      <x:c r="M7606" t="n">
        <x:v>2014</x:v>
      </x:c>
      <x:c r="N7606" s="20" t="n">
        <x:v>41883</x:v>
      </x:c>
    </x:row>
    <x:row r="7607" ht="18" customHeight="1">
      <x:c r="A7607" t="str">
        <x:v>CA-2014-131947</x:v>
      </x:c>
      <x:c r="B7607" s="18" t="n">
        <x:v>41899</x:v>
      </x:c>
      <x:c r="C7607" t="str">
        <x:v>JA-15970</x:v>
      </x:c>
      <x:c r="D7607" t="str">
        <x:v>Joseph Airdo</x:v>
      </x:c>
      <x:c r="E7607" t="str">
        <x:v>Consumer</x:v>
      </x:c>
      <x:c r="F7607" t="str">
        <x:v>West</x:v>
      </x:c>
      <x:c r="G7607" t="str">
        <x:v>Technology</x:v>
      </x:c>
      <x:c r="H7607" t="str">
        <x:v>Accessories</x:v>
      </x:c>
      <x:c r="I7607" s="22" t="n">
        <x:v>55.92</x:v>
      </x:c>
      <x:c r="J7607" s="24" t="n">
        <x:v>10</x:v>
      </x:c>
      <x:c r="K7607" s="26" t="n">
        <x:v>0.2</x:v>
      </x:c>
      <x:c r="L7607" s="22" t="n">
        <x:v>16.776000000000007</x:v>
      </x:c>
      <x:c r="M7607" t="n">
        <x:v>2014</x:v>
      </x:c>
      <x:c r="N7607" s="20" t="n">
        <x:v>41883</x:v>
      </x:c>
    </x:row>
    <x:row r="7608" ht="18" customHeight="1">
      <x:c r="A7608" t="str">
        <x:v>CA-2016-152520</x:v>
      </x:c>
      <x:c r="B7608" s="18" t="n">
        <x:v>42559</x:v>
      </x:c>
      <x:c r="C7608" t="str">
        <x:v>TH-21115</x:v>
      </x:c>
      <x:c r="D7608" t="str">
        <x:v>Thea Hudgings</x:v>
      </x:c>
      <x:c r="E7608" t="str">
        <x:v>Corporate</x:v>
      </x:c>
      <x:c r="F7608" t="str">
        <x:v>East</x:v>
      </x:c>
      <x:c r="G7608" t="str">
        <x:v>Office Supplies</x:v>
      </x:c>
      <x:c r="H7608" t="str">
        <x:v>Paper</x:v>
      </x:c>
      <x:c r="I7608" s="22" t="n">
        <x:v>12.96</x:v>
      </x:c>
      <x:c r="J7608" s="24" t="n">
        <x:v>2</x:v>
      </x:c>
      <x:c r="K7608" s="26" t="n">
        <x:v>0</x:v>
      </x:c>
      <x:c r="L7608" s="22" t="n">
        <x:v>6.2208000000000006</x:v>
      </x:c>
      <x:c r="M7608" t="n">
        <x:v>2016</x:v>
      </x:c>
      <x:c r="N7608" s="20" t="n">
        <x:v>42552</x:v>
      </x:c>
    </x:row>
    <x:row r="7609" ht="18" customHeight="1">
      <x:c r="A7609" t="str">
        <x:v>CA-2016-101791</x:v>
      </x:c>
      <x:c r="B7609" s="18" t="n">
        <x:v>42517</x:v>
      </x:c>
      <x:c r="C7609" t="str">
        <x:v>BS-11665</x:v>
      </x:c>
      <x:c r="D7609" t="str">
        <x:v>Brian Stugart</x:v>
      </x:c>
      <x:c r="E7609" t="str">
        <x:v>Consumer</x:v>
      </x:c>
      <x:c r="F7609" t="str">
        <x:v>Central</x:v>
      </x:c>
      <x:c r="G7609" t="str">
        <x:v>Furniture</x:v>
      </x:c>
      <x:c r="H7609" t="str">
        <x:v>Furnishings</x:v>
      </x:c>
      <x:c r="I7609" s="22" t="n">
        <x:v>25.176000000000002</x:v>
      </x:c>
      <x:c r="J7609" s="24" t="n">
        <x:v>3</x:v>
      </x:c>
      <x:c r="K7609" s="26" t="n">
        <x:v>0.6</x:v>
      </x:c>
      <x:c r="L7609" s="22" t="n">
        <x:v>-33.3582</x:v>
      </x:c>
      <x:c r="M7609" t="n">
        <x:v>2016</x:v>
      </x:c>
      <x:c r="N7609" s="20" t="n">
        <x:v>42491</x:v>
      </x:c>
    </x:row>
    <x:row r="7610" ht="18" customHeight="1">
      <x:c r="A7610" t="str">
        <x:v>CA-2016-101791</x:v>
      </x:c>
      <x:c r="B7610" s="18" t="n">
        <x:v>42517</x:v>
      </x:c>
      <x:c r="C7610" t="str">
        <x:v>BS-11665</x:v>
      </x:c>
      <x:c r="D7610" t="str">
        <x:v>Brian Stugart</x:v>
      </x:c>
      <x:c r="E7610" t="str">
        <x:v>Consumer</x:v>
      </x:c>
      <x:c r="F7610" t="str">
        <x:v>Central</x:v>
      </x:c>
      <x:c r="G7610" t="str">
        <x:v>Furniture</x:v>
      </x:c>
      <x:c r="H7610" t="str">
        <x:v>Furnishings</x:v>
      </x:c>
      <x:c r="I7610" s="22" t="n">
        <x:v>5.5840000000000005</x:v>
      </x:c>
      <x:c r="J7610" s="24" t="n">
        <x:v>2</x:v>
      </x:c>
      <x:c r="K7610" s="26" t="n">
        <x:v>0.6</x:v>
      </x:c>
      <x:c r="L7610" s="22" t="n">
        <x:v>-1.6751999999999994</x:v>
      </x:c>
      <x:c r="M7610" t="n">
        <x:v>2016</x:v>
      </x:c>
      <x:c r="N7610" s="20" t="n">
        <x:v>42491</x:v>
      </x:c>
    </x:row>
    <x:row r="7611" ht="18" customHeight="1">
      <x:c r="A7611" t="str">
        <x:v>CA-2016-101791</x:v>
      </x:c>
      <x:c r="B7611" s="18" t="n">
        <x:v>42517</x:v>
      </x:c>
      <x:c r="C7611" t="str">
        <x:v>BS-11665</x:v>
      </x:c>
      <x:c r="D7611" t="str">
        <x:v>Brian Stugart</x:v>
      </x:c>
      <x:c r="E7611" t="str">
        <x:v>Consumer</x:v>
      </x:c>
      <x:c r="F7611" t="str">
        <x:v>Central</x:v>
      </x:c>
      <x:c r="G7611" t="str">
        <x:v>Office Supplies</x:v>
      </x:c>
      <x:c r="H7611" t="str">
        <x:v>Storage</x:v>
      </x:c>
      <x:c r="I7611" s="22" t="n">
        <x:v>1297.3680000000002</x:v>
      </x:c>
      <x:c r="J7611" s="24" t="n">
        <x:v>9</x:v>
      </x:c>
      <x:c r="K7611" s="26" t="n">
        <x:v>0.2</x:v>
      </x:c>
      <x:c r="L7611" s="22" t="n">
        <x:v>97.30259999999998</x:v>
      </x:c>
      <x:c r="M7611" t="n">
        <x:v>2016</x:v>
      </x:c>
      <x:c r="N7611" s="20" t="n">
        <x:v>42491</x:v>
      </x:c>
    </x:row>
    <x:row r="7612" ht="18" customHeight="1">
      <x:c r="A7612" t="str">
        <x:v>CA-2017-121195</x:v>
      </x:c>
      <x:c r="B7612" s="18" t="n">
        <x:v>43093</x:v>
      </x:c>
      <x:c r="C7612" t="str">
        <x:v>NS-18505</x:v>
      </x:c>
      <x:c r="D7612" t="str">
        <x:v>Neola Schneider</x:v>
      </x:c>
      <x:c r="E7612" t="str">
        <x:v>Consumer</x:v>
      </x:c>
      <x:c r="F7612" t="str">
        <x:v>Central</x:v>
      </x:c>
      <x:c r="G7612" t="str">
        <x:v>Office Supplies</x:v>
      </x:c>
      <x:c r="H7612" t="str">
        <x:v>Storage</x:v>
      </x:c>
      <x:c r="I7612" s="22" t="n">
        <x:v>264.32</x:v>
      </x:c>
      <x:c r="J7612" s="24" t="n">
        <x:v>2</x:v>
      </x:c>
      <x:c r="K7612" s="26" t="n">
        <x:v>0.2</x:v>
      </x:c>
      <x:c r="L7612" s="22" t="n">
        <x:v>19.823999999999998</x:v>
      </x:c>
      <x:c r="M7612" t="n">
        <x:v>2017</x:v>
      </x:c>
      <x:c r="N7612" s="20" t="n">
        <x:v>43070</x:v>
      </x:c>
    </x:row>
    <x:row r="7613" ht="18" customHeight="1">
      <x:c r="A7613" t="str">
        <x:v>CA-2017-163209</x:v>
      </x:c>
      <x:c r="B7613" s="18" t="n">
        <x:v>42858</x:v>
      </x:c>
      <x:c r="C7613" t="str">
        <x:v>MK-18160</x:v>
      </x:c>
      <x:c r="D7613" t="str">
        <x:v>Mike Kennedy</x:v>
      </x:c>
      <x:c r="E7613" t="str">
        <x:v>Consumer</x:v>
      </x:c>
      <x:c r="F7613" t="str">
        <x:v>West</x:v>
      </x:c>
      <x:c r="G7613" t="str">
        <x:v>Office Supplies</x:v>
      </x:c>
      <x:c r="H7613" t="str">
        <x:v>Paper</x:v>
      </x:c>
      <x:c r="I7613" s="22" t="n">
        <x:v>25.92</x:v>
      </x:c>
      <x:c r="J7613" s="24" t="n">
        <x:v>4</x:v>
      </x:c>
      <x:c r="K7613" s="26" t="n">
        <x:v>0</x:v>
      </x:c>
      <x:c r="L7613" s="22" t="n">
        <x:v>12.441600000000001</x:v>
      </x:c>
      <x:c r="M7613" t="n">
        <x:v>2017</x:v>
      </x:c>
      <x:c r="N7613" s="20" t="n">
        <x:v>42856</x:v>
      </x:c>
    </x:row>
    <x:row r="7614" ht="18" customHeight="1">
      <x:c r="A7614" t="str">
        <x:v>CA-2017-163209</x:v>
      </x:c>
      <x:c r="B7614" s="18" t="n">
        <x:v>42858</x:v>
      </x:c>
      <x:c r="C7614" t="str">
        <x:v>MK-18160</x:v>
      </x:c>
      <x:c r="D7614" t="str">
        <x:v>Mike Kennedy</x:v>
      </x:c>
      <x:c r="E7614" t="str">
        <x:v>Consumer</x:v>
      </x:c>
      <x:c r="F7614" t="str">
        <x:v>West</x:v>
      </x:c>
      <x:c r="G7614" t="str">
        <x:v>Office Supplies</x:v>
      </x:c>
      <x:c r="H7614" t="str">
        <x:v>Art</x:v>
      </x:c>
      <x:c r="I7614" s="22" t="n">
        <x:v>22.959999999999997</x:v>
      </x:c>
      <x:c r="J7614" s="24" t="n">
        <x:v>7</x:v>
      </x:c>
      <x:c r="K7614" s="26" t="n">
        <x:v>0</x:v>
      </x:c>
      <x:c r="L7614" s="22" t="n">
        <x:v>6.658399999999997</x:v>
      </x:c>
      <x:c r="M7614" t="n">
        <x:v>2017</x:v>
      </x:c>
      <x:c r="N7614" s="20" t="n">
        <x:v>42856</x:v>
      </x:c>
    </x:row>
    <x:row r="7615" ht="18" customHeight="1">
      <x:c r="A7615" t="str">
        <x:v>CA-2014-133354</x:v>
      </x:c>
      <x:c r="B7615" s="18" t="n">
        <x:v>41692</x:v>
      </x:c>
      <x:c r="C7615" t="str">
        <x:v>SA-20830</x:v>
      </x:c>
      <x:c r="D7615" t="str">
        <x:v>Sue Ann Reed</x:v>
      </x:c>
      <x:c r="E7615" t="str">
        <x:v>Consumer</x:v>
      </x:c>
      <x:c r="F7615" t="str">
        <x:v>West</x:v>
      </x:c>
      <x:c r="G7615" t="str">
        <x:v>Office Supplies</x:v>
      </x:c>
      <x:c r="H7615" t="str">
        <x:v>Paper</x:v>
      </x:c>
      <x:c r="I7615" s="22" t="n">
        <x:v>19.44</x:v>
      </x:c>
      <x:c r="J7615" s="24" t="n">
        <x:v>3</x:v>
      </x:c>
      <x:c r="K7615" s="26" t="n">
        <x:v>0</x:v>
      </x:c>
      <x:c r="L7615" s="22" t="n">
        <x:v>9.3312</x:v>
      </x:c>
      <x:c r="M7615" t="n">
        <x:v>2014</x:v>
      </x:c>
      <x:c r="N7615" s="20" t="n">
        <x:v>41671</x:v>
      </x:c>
    </x:row>
    <x:row r="7616" ht="18" customHeight="1">
      <x:c r="A7616" t="str">
        <x:v>US-2015-130491</x:v>
      </x:c>
      <x:c r="B7616" s="18" t="n">
        <x:v>42043</x:v>
      </x:c>
      <x:c r="C7616" t="str">
        <x:v>BH-11710</x:v>
      </x:c>
      <x:c r="D7616" t="str">
        <x:v>Brosina Hoffman</x:v>
      </x:c>
      <x:c r="E7616" t="str">
        <x:v>Consumer</x:v>
      </x:c>
      <x:c r="F7616" t="str">
        <x:v>Central</x:v>
      </x:c>
      <x:c r="G7616" t="str">
        <x:v>Office Supplies</x:v>
      </x:c>
      <x:c r="H7616" t="str">
        <x:v>Paper</x:v>
      </x:c>
      <x:c r="I7616" s="22" t="n">
        <x:v>9.54</x:v>
      </x:c>
      <x:c r="J7616" s="24" t="n">
        <x:v>2</x:v>
      </x:c>
      <x:c r="K7616" s="26" t="n">
        <x:v>0</x:v>
      </x:c>
      <x:c r="L7616" s="22" t="n">
        <x:v>4.292999999999999</x:v>
      </x:c>
      <x:c r="M7616" t="n">
        <x:v>2015</x:v>
      </x:c>
      <x:c r="N7616" s="20" t="n">
        <x:v>42036</x:v>
      </x:c>
    </x:row>
    <x:row r="7617" ht="18" customHeight="1">
      <x:c r="A7617" t="str">
        <x:v>US-2015-130491</x:v>
      </x:c>
      <x:c r="B7617" s="18" t="n">
        <x:v>42043</x:v>
      </x:c>
      <x:c r="C7617" t="str">
        <x:v>BH-11710</x:v>
      </x:c>
      <x:c r="D7617" t="str">
        <x:v>Brosina Hoffman</x:v>
      </x:c>
      <x:c r="E7617" t="str">
        <x:v>Consumer</x:v>
      </x:c>
      <x:c r="F7617" t="str">
        <x:v>Central</x:v>
      </x:c>
      <x:c r="G7617" t="str">
        <x:v>Office Supplies</x:v>
      </x:c>
      <x:c r="H7617" t="str">
        <x:v>Fasteners</x:v>
      </x:c>
      <x:c r="I7617" s="22" t="n">
        <x:v>5.81</x:v>
      </x:c>
      <x:c r="J7617" s="24" t="n">
        <x:v>1</x:v>
      </x:c>
      <x:c r="K7617" s="26" t="n">
        <x:v>0</x:v>
      </x:c>
      <x:c r="L7617" s="22" t="n">
        <x:v>1.8011</x:v>
      </x:c>
      <x:c r="M7617" t="n">
        <x:v>2015</x:v>
      </x:c>
      <x:c r="N7617" s="20" t="n">
        <x:v>42036</x:v>
      </x:c>
    </x:row>
    <x:row r="7618" ht="18" customHeight="1">
      <x:c r="A7618" t="str">
        <x:v>US-2015-130491</x:v>
      </x:c>
      <x:c r="B7618" s="18" t="n">
        <x:v>42043</x:v>
      </x:c>
      <x:c r="C7618" t="str">
        <x:v>BH-11710</x:v>
      </x:c>
      <x:c r="D7618" t="str">
        <x:v>Brosina Hoffman</x:v>
      </x:c>
      <x:c r="E7618" t="str">
        <x:v>Consumer</x:v>
      </x:c>
      <x:c r="F7618" t="str">
        <x:v>Central</x:v>
      </x:c>
      <x:c r="G7618" t="str">
        <x:v>Office Supplies</x:v>
      </x:c>
      <x:c r="H7618" t="str">
        <x:v>Art</x:v>
      </x:c>
      <x:c r="I7618" s="22" t="n">
        <x:v>5.76</x:v>
      </x:c>
      <x:c r="J7618" s="24" t="n">
        <x:v>2</x:v>
      </x:c>
      <x:c r="K7618" s="26" t="n">
        <x:v>0</x:v>
      </x:c>
      <x:c r="L7618" s="22" t="n">
        <x:v>1.7279999999999998</x:v>
      </x:c>
      <x:c r="M7618" t="n">
        <x:v>2015</x:v>
      </x:c>
      <x:c r="N7618" s="20" t="n">
        <x:v>42036</x:v>
      </x:c>
    </x:row>
    <x:row r="7619" ht="18" customHeight="1">
      <x:c r="A7619" t="str">
        <x:v>CA-2015-113740</x:v>
      </x:c>
      <x:c r="B7619" s="18" t="n">
        <x:v>42240</x:v>
      </x:c>
      <x:c r="C7619" t="str">
        <x:v>SC-20380</x:v>
      </x:c>
      <x:c r="D7619" t="str">
        <x:v>Shahid Collister</x:v>
      </x:c>
      <x:c r="E7619" t="str">
        <x:v>Consumer</x:v>
      </x:c>
      <x:c r="F7619" t="str">
        <x:v>East</x:v>
      </x:c>
      <x:c r="G7619" t="str">
        <x:v>Furniture</x:v>
      </x:c>
      <x:c r="H7619" t="str">
        <x:v>Furnishings</x:v>
      </x:c>
      <x:c r="I7619" s="22" t="n">
        <x:v>14.91</x:v>
      </x:c>
      <x:c r="J7619" s="24" t="n">
        <x:v>3</x:v>
      </x:c>
      <x:c r="K7619" s="26" t="n">
        <x:v>0</x:v>
      </x:c>
      <x:c r="L7619" s="22" t="n">
        <x:v>4.6221</x:v>
      </x:c>
      <x:c r="M7619" t="n">
        <x:v>2015</x:v>
      </x:c>
      <x:c r="N7619" s="20" t="n">
        <x:v>42217</x:v>
      </x:c>
    </x:row>
    <x:row r="7620" ht="18" customHeight="1">
      <x:c r="A7620" t="str">
        <x:v>CA-2014-148425</x:v>
      </x:c>
      <x:c r="B7620" s="18" t="n">
        <x:v>41973</x:v>
      </x:c>
      <x:c r="C7620" t="str">
        <x:v>RF-19345</x:v>
      </x:c>
      <x:c r="D7620" t="str">
        <x:v>Randy Ferguson</x:v>
      </x:c>
      <x:c r="E7620" t="str">
        <x:v>Corporate</x:v>
      </x:c>
      <x:c r="F7620" t="str">
        <x:v>South</x:v>
      </x:c>
      <x:c r="G7620" t="str">
        <x:v>Office Supplies</x:v>
      </x:c>
      <x:c r="H7620" t="str">
        <x:v>Binders</x:v>
      </x:c>
      <x:c r="I7620" s="22" t="n">
        <x:v>6.642000000000001</x:v>
      </x:c>
      <x:c r="J7620" s="24" t="n">
        <x:v>9</x:v>
      </x:c>
      <x:c r="K7620" s="26" t="n">
        <x:v>0.7</x:v>
      </x:c>
      <x:c r="L7620" s="22" t="n">
        <x:v>-4.427999999999999</x:v>
      </x:c>
      <x:c r="M7620" t="n">
        <x:v>2014</x:v>
      </x:c>
      <x:c r="N7620" s="20" t="n">
        <x:v>41944</x:v>
      </x:c>
    </x:row>
    <x:row r="7621" ht="18" customHeight="1">
      <x:c r="A7621" t="str">
        <x:v>CA-2016-144309</x:v>
      </x:c>
      <x:c r="B7621" s="18" t="n">
        <x:v>42714</x:v>
      </x:c>
      <x:c r="C7621" t="str">
        <x:v>CM-12235</x:v>
      </x:c>
      <x:c r="D7621" t="str">
        <x:v>Chris McAfee</x:v>
      </x:c>
      <x:c r="E7621" t="str">
        <x:v>Consumer</x:v>
      </x:c>
      <x:c r="F7621" t="str">
        <x:v>East</x:v>
      </x:c>
      <x:c r="G7621" t="str">
        <x:v>Office Supplies</x:v>
      </x:c>
      <x:c r="H7621" t="str">
        <x:v>Paper</x:v>
      </x:c>
      <x:c r="I7621" s="22" t="n">
        <x:v>18.54</x:v>
      </x:c>
      <x:c r="J7621" s="24" t="n">
        <x:v>2</x:v>
      </x:c>
      <x:c r="K7621" s="26" t="n">
        <x:v>0</x:v>
      </x:c>
      <x:c r="L7621" s="22" t="n">
        <x:v>8.713799999999999</x:v>
      </x:c>
      <x:c r="M7621" t="n">
        <x:v>2016</x:v>
      </x:c>
      <x:c r="N7621" s="20" t="n">
        <x:v>42705</x:v>
      </x:c>
    </x:row>
    <x:row r="7622" ht="18" customHeight="1">
      <x:c r="A7622" t="str">
        <x:v>CA-2016-144309</x:v>
      </x:c>
      <x:c r="B7622" s="18" t="n">
        <x:v>42714</x:v>
      </x:c>
      <x:c r="C7622" t="str">
        <x:v>CM-12235</x:v>
      </x:c>
      <x:c r="D7622" t="str">
        <x:v>Chris McAfee</x:v>
      </x:c>
      <x:c r="E7622" t="str">
        <x:v>Consumer</x:v>
      </x:c>
      <x:c r="F7622" t="str">
        <x:v>East</x:v>
      </x:c>
      <x:c r="G7622" t="str">
        <x:v>Office Supplies</x:v>
      </x:c>
      <x:c r="H7622" t="str">
        <x:v>Binders</x:v>
      </x:c>
      <x:c r="I7622" s="22" t="n">
        <x:v>679.96</x:v>
      </x:c>
      <x:c r="J7622" s="24" t="n">
        <x:v>5</x:v>
      </x:c>
      <x:c r="K7622" s="26" t="n">
        <x:v>0.2</x:v>
      </x:c>
      <x:c r="L7622" s="22" t="n">
        <x:v>220.98699999999997</x:v>
      </x:c>
      <x:c r="M7622" t="n">
        <x:v>2016</x:v>
      </x:c>
      <x:c r="N7622" s="20" t="n">
        <x:v>42705</x:v>
      </x:c>
    </x:row>
    <x:row r="7623" ht="18" customHeight="1">
      <x:c r="A7623" t="str">
        <x:v>CA-2017-151225</x:v>
      </x:c>
      <x:c r="B7623" s="18" t="n">
        <x:v>43035</x:v>
      </x:c>
      <x:c r="C7623" t="str">
        <x:v>JM-15655</x:v>
      </x:c>
      <x:c r="D7623" t="str">
        <x:v>Jim Mitchum</x:v>
      </x:c>
      <x:c r="E7623" t="str">
        <x:v>Corporate</x:v>
      </x:c>
      <x:c r="F7623" t="str">
        <x:v>West</x:v>
      </x:c>
      <x:c r="G7623" t="str">
        <x:v>Furniture</x:v>
      </x:c>
      <x:c r="H7623" t="str">
        <x:v>Tables</x:v>
      </x:c>
      <x:c r="I7623" s="22" t="n">
        <x:v>189.57600000000002</x:v>
      </x:c>
      <x:c r="J7623" s="24" t="n">
        <x:v>1</x:v>
      </x:c>
      <x:c r="K7623" s="26" t="n">
        <x:v>0.2</x:v>
      </x:c>
      <x:c r="L7623" s="22" t="n">
        <x:v>9.478799999999978</x:v>
      </x:c>
      <x:c r="M7623" t="n">
        <x:v>2017</x:v>
      </x:c>
      <x:c r="N7623" s="20" t="n">
        <x:v>43009</x:v>
      </x:c>
    </x:row>
    <x:row r="7624" ht="18" customHeight="1">
      <x:c r="A7624" t="str">
        <x:v>CA-2017-151225</x:v>
      </x:c>
      <x:c r="B7624" s="18" t="n">
        <x:v>43035</x:v>
      </x:c>
      <x:c r="C7624" t="str">
        <x:v>JM-15655</x:v>
      </x:c>
      <x:c r="D7624" t="str">
        <x:v>Jim Mitchum</x:v>
      </x:c>
      <x:c r="E7624" t="str">
        <x:v>Corporate</x:v>
      </x:c>
      <x:c r="F7624" t="str">
        <x:v>West</x:v>
      </x:c>
      <x:c r="G7624" t="str">
        <x:v>Technology</x:v>
      </x:c>
      <x:c r="H7624" t="str">
        <x:v>Phones</x:v>
      </x:c>
      <x:c r="I7624" s="22" t="n">
        <x:v>71.96</x:v>
      </x:c>
      <x:c r="J7624" s="24" t="n">
        <x:v>5</x:v>
      </x:c>
      <x:c r="K7624" s="26" t="n">
        <x:v>0.2</x:v>
      </x:c>
      <x:c r="L7624" s="22" t="n">
        <x:v>7.1960000000000015</x:v>
      </x:c>
      <x:c r="M7624" t="n">
        <x:v>2017</x:v>
      </x:c>
      <x:c r="N7624" s="20" t="n">
        <x:v>43009</x:v>
      </x:c>
    </x:row>
    <x:row r="7625" ht="18" customHeight="1">
      <x:c r="A7625" t="str">
        <x:v>US-2014-144078</x:v>
      </x:c>
      <x:c r="B7625" s="18" t="n">
        <x:v>41968</x:v>
      </x:c>
      <x:c r="C7625" t="str">
        <x:v>RB-19435</x:v>
      </x:c>
      <x:c r="D7625" t="str">
        <x:v>Richard Bierner</x:v>
      </x:c>
      <x:c r="E7625" t="str">
        <x:v>Consumer</x:v>
      </x:c>
      <x:c r="F7625" t="str">
        <x:v>West</x:v>
      </x:c>
      <x:c r="G7625" t="str">
        <x:v>Technology</x:v>
      </x:c>
      <x:c r="H7625" t="str">
        <x:v>Phones</x:v>
      </x:c>
      <x:c r="I7625" s="22" t="n">
        <x:v>539.92</x:v>
      </x:c>
      <x:c r="J7625" s="24" t="n">
        <x:v>5</x:v>
      </x:c>
      <x:c r="K7625" s="26" t="n">
        <x:v>0.2</x:v>
      </x:c>
      <x:c r="L7625" s="22" t="n">
        <x:v>47.24299999999997</x:v>
      </x:c>
      <x:c r="M7625" t="n">
        <x:v>2014</x:v>
      </x:c>
      <x:c r="N7625" s="20" t="n">
        <x:v>41944</x:v>
      </x:c>
    </x:row>
    <x:row r="7626" ht="18" customHeight="1">
      <x:c r="A7626" t="str">
        <x:v>US-2014-144078</x:v>
      </x:c>
      <x:c r="B7626" s="18" t="n">
        <x:v>41968</x:v>
      </x:c>
      <x:c r="C7626" t="str">
        <x:v>RB-19435</x:v>
      </x:c>
      <x:c r="D7626" t="str">
        <x:v>Richard Bierner</x:v>
      </x:c>
      <x:c r="E7626" t="str">
        <x:v>Consumer</x:v>
      </x:c>
      <x:c r="F7626" t="str">
        <x:v>West</x:v>
      </x:c>
      <x:c r="G7626" t="str">
        <x:v>Furniture</x:v>
      </x:c>
      <x:c r="H7626" t="str">
        <x:v>Chairs</x:v>
      </x:c>
      <x:c r="I7626" s="22" t="n">
        <x:v>725.344</x:v>
      </x:c>
      <x:c r="J7626" s="24" t="n">
        <x:v>4</x:v>
      </x:c>
      <x:c r="K7626" s="26" t="n">
        <x:v>0.2</x:v>
      </x:c>
      <x:c r="L7626" s="22" t="n">
        <x:v>54.400800000000004</x:v>
      </x:c>
      <x:c r="M7626" t="n">
        <x:v>2014</x:v>
      </x:c>
      <x:c r="N7626" s="20" t="n">
        <x:v>41944</x:v>
      </x:c>
    </x:row>
    <x:row r="7627" ht="18" customHeight="1">
      <x:c r="A7627" t="str">
        <x:v>US-2014-144078</x:v>
      </x:c>
      <x:c r="B7627" s="18" t="n">
        <x:v>41968</x:v>
      </x:c>
      <x:c r="C7627" t="str">
        <x:v>RB-19435</x:v>
      </x:c>
      <x:c r="D7627" t="str">
        <x:v>Richard Bierner</x:v>
      </x:c>
      <x:c r="E7627" t="str">
        <x:v>Consumer</x:v>
      </x:c>
      <x:c r="F7627" t="str">
        <x:v>West</x:v>
      </x:c>
      <x:c r="G7627" t="str">
        <x:v>Office Supplies</x:v>
      </x:c>
      <x:c r="H7627" t="str">
        <x:v>Art</x:v>
      </x:c>
      <x:c r="I7627" s="22" t="n">
        <x:v>7.4399999999999995</x:v>
      </x:c>
      <x:c r="J7627" s="24" t="n">
        <x:v>3</x:v>
      </x:c>
      <x:c r="K7627" s="26" t="n">
        <x:v>0</x:v>
      </x:c>
      <x:c r="L7627" s="22" t="n">
        <x:v>2.6039999999999996</x:v>
      </x:c>
      <x:c r="M7627" t="n">
        <x:v>2014</x:v>
      </x:c>
      <x:c r="N7627" s="20" t="n">
        <x:v>41944</x:v>
      </x:c>
    </x:row>
    <x:row r="7628" ht="18" customHeight="1">
      <x:c r="A7628" t="str">
        <x:v>CA-2014-124464</x:v>
      </x:c>
      <x:c r="B7628" s="18" t="n">
        <x:v>41834</x:v>
      </x:c>
      <x:c r="C7628" t="str">
        <x:v>SS-20515</x:v>
      </x:c>
      <x:c r="D7628" t="str">
        <x:v>Shirley Schmidt</x:v>
      </x:c>
      <x:c r="E7628" t="str">
        <x:v>Home Office</x:v>
      </x:c>
      <x:c r="F7628" t="str">
        <x:v>East</x:v>
      </x:c>
      <x:c r="G7628" t="str">
        <x:v>Office Supplies</x:v>
      </x:c>
      <x:c r="H7628" t="str">
        <x:v>Appliances</x:v>
      </x:c>
      <x:c r="I7628" s="22" t="n">
        <x:v>39.48</x:v>
      </x:c>
      <x:c r="J7628" s="24" t="n">
        <x:v>1</x:v>
      </x:c>
      <x:c r="K7628" s="26" t="n">
        <x:v>0</x:v>
      </x:c>
      <x:c r="L7628" s="22" t="n">
        <x:v>11.054400000000001</x:v>
      </x:c>
      <x:c r="M7628" t="n">
        <x:v>2014</x:v>
      </x:c>
      <x:c r="N7628" s="20" t="n">
        <x:v>41821</x:v>
      </x:c>
    </x:row>
    <x:row r="7629" ht="18" customHeight="1">
      <x:c r="A7629" t="str">
        <x:v>CA-2015-136805</x:v>
      </x:c>
      <x:c r="B7629" s="18" t="n">
        <x:v>42147</x:v>
      </x:c>
      <x:c r="C7629" t="str">
        <x:v>NM-18445</x:v>
      </x:c>
      <x:c r="D7629" t="str">
        <x:v>Nathan Mautz</x:v>
      </x:c>
      <x:c r="E7629" t="str">
        <x:v>Home Office</x:v>
      </x:c>
      <x:c r="F7629" t="str">
        <x:v>Central</x:v>
      </x:c>
      <x:c r="G7629" t="str">
        <x:v>Office Supplies</x:v>
      </x:c>
      <x:c r="H7629" t="str">
        <x:v>Appliances</x:v>
      </x:c>
      <x:c r="I7629" s="22" t="n">
        <x:v>850.5</x:v>
      </x:c>
      <x:c r="J7629" s="24" t="n">
        <x:v>5</x:v>
      </x:c>
      <x:c r="K7629" s="26" t="n">
        <x:v>0.1</x:v>
      </x:c>
      <x:c r="L7629" s="22" t="n">
        <x:v>245.69999999999993</x:v>
      </x:c>
      <x:c r="M7629" t="n">
        <x:v>2015</x:v>
      </x:c>
      <x:c r="N7629" s="20" t="n">
        <x:v>42125</x:v>
      </x:c>
    </x:row>
    <x:row r="7630" ht="18" customHeight="1">
      <x:c r="A7630" t="str">
        <x:v>CA-2015-136805</x:v>
      </x:c>
      <x:c r="B7630" s="18" t="n">
        <x:v>42147</x:v>
      </x:c>
      <x:c r="C7630" t="str">
        <x:v>NM-18445</x:v>
      </x:c>
      <x:c r="D7630" t="str">
        <x:v>Nathan Mautz</x:v>
      </x:c>
      <x:c r="E7630" t="str">
        <x:v>Home Office</x:v>
      </x:c>
      <x:c r="F7630" t="str">
        <x:v>Central</x:v>
      </x:c>
      <x:c r="G7630" t="str">
        <x:v>Furniture</x:v>
      </x:c>
      <x:c r="H7630" t="str">
        <x:v>Furnishings</x:v>
      </x:c>
      <x:c r="I7630" s="22" t="n">
        <x:v>75.33</x:v>
      </x:c>
      <x:c r="J7630" s="24" t="n">
        <x:v>9</x:v>
      </x:c>
      <x:c r="K7630" s="26" t="n">
        <x:v>0</x:v>
      </x:c>
      <x:c r="L7630" s="22" t="n">
        <x:v>19.5858</x:v>
      </x:c>
      <x:c r="M7630" t="n">
        <x:v>2015</x:v>
      </x:c>
      <x:c r="N7630" s="20" t="n">
        <x:v>42125</x:v>
      </x:c>
    </x:row>
    <x:row r="7631" ht="18" customHeight="1">
      <x:c r="A7631" t="str">
        <x:v>US-2015-159499</x:v>
      </x:c>
      <x:c r="B7631" s="18" t="n">
        <x:v>42329</x:v>
      </x:c>
      <x:c r="C7631" t="str">
        <x:v>EM-14095</x:v>
      </x:c>
      <x:c r="D7631" t="str">
        <x:v>Eudokia Martin</x:v>
      </x:c>
      <x:c r="E7631" t="str">
        <x:v>Corporate</x:v>
      </x:c>
      <x:c r="F7631" t="str">
        <x:v>West</x:v>
      </x:c>
      <x:c r="G7631" t="str">
        <x:v>Office Supplies</x:v>
      </x:c>
      <x:c r="H7631" t="str">
        <x:v>Appliances</x:v>
      </x:c>
      <x:c r="I7631" s="22" t="n">
        <x:v>325.63200000000006</x:v>
      </x:c>
      <x:c r="J7631" s="24" t="n">
        <x:v>6</x:v>
      </x:c>
      <x:c r="K7631" s="26" t="n">
        <x:v>0.2</x:v>
      </x:c>
      <x:c r="L7631" s="22" t="n">
        <x:v>28.49279999999999</x:v>
      </x:c>
      <x:c r="M7631" t="n">
        <x:v>2015</x:v>
      </x:c>
      <x:c r="N7631" s="20" t="n">
        <x:v>42309</x:v>
      </x:c>
    </x:row>
    <x:row r="7632" ht="18" customHeight="1">
      <x:c r="A7632" t="str">
        <x:v>US-2015-159499</x:v>
      </x:c>
      <x:c r="B7632" s="18" t="n">
        <x:v>42329</x:v>
      </x:c>
      <x:c r="C7632" t="str">
        <x:v>EM-14095</x:v>
      </x:c>
      <x:c r="D7632" t="str">
        <x:v>Eudokia Martin</x:v>
      </x:c>
      <x:c r="E7632" t="str">
        <x:v>Corporate</x:v>
      </x:c>
      <x:c r="F7632" t="str">
        <x:v>West</x:v>
      </x:c>
      <x:c r="G7632" t="str">
        <x:v>Technology</x:v>
      </x:c>
      <x:c r="H7632" t="str">
        <x:v>Accessories</x:v>
      </x:c>
      <x:c r="I7632" s="22" t="n">
        <x:v>23.344</x:v>
      </x:c>
      <x:c r="J7632" s="24" t="n">
        <x:v>2</x:v>
      </x:c>
      <x:c r="K7632" s="26" t="n">
        <x:v>0.2</x:v>
      </x:c>
      <x:c r="L7632" s="22" t="n">
        <x:v>-1.4590000000000014</x:v>
      </x:c>
      <x:c r="M7632" t="n">
        <x:v>2015</x:v>
      </x:c>
      <x:c r="N7632" s="20" t="n">
        <x:v>42309</x:v>
      </x:c>
    </x:row>
    <x:row r="7633" ht="18" customHeight="1">
      <x:c r="A7633" t="str">
        <x:v>US-2015-159499</x:v>
      </x:c>
      <x:c r="B7633" s="18" t="n">
        <x:v>42329</x:v>
      </x:c>
      <x:c r="C7633" t="str">
        <x:v>EM-14095</x:v>
      </x:c>
      <x:c r="D7633" t="str">
        <x:v>Eudokia Martin</x:v>
      </x:c>
      <x:c r="E7633" t="str">
        <x:v>Corporate</x:v>
      </x:c>
      <x:c r="F7633" t="str">
        <x:v>West</x:v>
      </x:c>
      <x:c r="G7633" t="str">
        <x:v>Office Supplies</x:v>
      </x:c>
      <x:c r="H7633" t="str">
        <x:v>Labels</x:v>
      </x:c>
      <x:c r="I7633" s="22" t="n">
        <x:v>16.520000000000003</x:v>
      </x:c>
      <x:c r="J7633" s="24" t="n">
        <x:v>5</x:v>
      </x:c>
      <x:c r="K7633" s="26" t="n">
        <x:v>0.2</x:v>
      </x:c>
      <x:c r="L7633" s="22" t="n">
        <x:v>5.368999999999998</x:v>
      </x:c>
      <x:c r="M7633" t="n">
        <x:v>2015</x:v>
      </x:c>
      <x:c r="N7633" s="20" t="n">
        <x:v>42309</x:v>
      </x:c>
    </x:row>
    <x:row r="7634" ht="18" customHeight="1">
      <x:c r="A7634" t="str">
        <x:v>CA-2014-162089</x:v>
      </x:c>
      <x:c r="B7634" s="18" t="n">
        <x:v>41728</x:v>
      </x:c>
      <x:c r="C7634" t="str">
        <x:v>MP-17470</x:v>
      </x:c>
      <x:c r="D7634" t="str">
        <x:v>Mark Packer</x:v>
      </x:c>
      <x:c r="E7634" t="str">
        <x:v>Home Office</x:v>
      </x:c>
      <x:c r="F7634" t="str">
        <x:v>Central</x:v>
      </x:c>
      <x:c r="G7634" t="str">
        <x:v>Office Supplies</x:v>
      </x:c>
      <x:c r="H7634" t="str">
        <x:v>Envelopes</x:v>
      </x:c>
      <x:c r="I7634" s="22" t="n">
        <x:v>335.72</x:v>
      </x:c>
      <x:c r="J7634" s="24" t="n">
        <x:v>5</x:v>
      </x:c>
      <x:c r="K7634" s="26" t="n">
        <x:v>0.2</x:v>
      </x:c>
      <x:c r="L7634" s="22" t="n">
        <x:v>113.3055</x:v>
      </x:c>
      <x:c r="M7634" t="n">
        <x:v>2014</x:v>
      </x:c>
      <x:c r="N7634" s="20" t="n">
        <x:v>41699</x:v>
      </x:c>
    </x:row>
    <x:row r="7635" ht="18" customHeight="1">
      <x:c r="A7635" t="str">
        <x:v>CA-2014-162089</x:v>
      </x:c>
      <x:c r="B7635" s="18" t="n">
        <x:v>41728</x:v>
      </x:c>
      <x:c r="C7635" t="str">
        <x:v>MP-17470</x:v>
      </x:c>
      <x:c r="D7635" t="str">
        <x:v>Mark Packer</x:v>
      </x:c>
      <x:c r="E7635" t="str">
        <x:v>Home Office</x:v>
      </x:c>
      <x:c r="F7635" t="str">
        <x:v>Central</x:v>
      </x:c>
      <x:c r="G7635" t="str">
        <x:v>Technology</x:v>
      </x:c>
      <x:c r="H7635" t="str">
        <x:v>Phones</x:v>
      </x:c>
      <x:c r="I7635" s="22" t="n">
        <x:v>251.94400000000002</x:v>
      </x:c>
      <x:c r="J7635" s="24" t="n">
        <x:v>7</x:v>
      </x:c>
      <x:c r="K7635" s="26" t="n">
        <x:v>0.2</x:v>
      </x:c>
      <x:c r="L7635" s="22" t="n">
        <x:v>88.18039999999998</x:v>
      </x:c>
      <x:c r="M7635" t="n">
        <x:v>2014</x:v>
      </x:c>
      <x:c r="N7635" s="20" t="n">
        <x:v>41699</x:v>
      </x:c>
    </x:row>
    <x:row r="7636" ht="18" customHeight="1">
      <x:c r="A7636" t="str">
        <x:v>CA-2014-162089</x:v>
      </x:c>
      <x:c r="B7636" s="18" t="n">
        <x:v>41728</x:v>
      </x:c>
      <x:c r="C7636" t="str">
        <x:v>MP-17470</x:v>
      </x:c>
      <x:c r="D7636" t="str">
        <x:v>Mark Packer</x:v>
      </x:c>
      <x:c r="E7636" t="str">
        <x:v>Home Office</x:v>
      </x:c>
      <x:c r="F7636" t="str">
        <x:v>Central</x:v>
      </x:c>
      <x:c r="G7636" t="str">
        <x:v>Furniture</x:v>
      </x:c>
      <x:c r="H7636" t="str">
        <x:v>Chairs</x:v>
      </x:c>
      <x:c r="I7636" s="22" t="n">
        <x:v>127.30199999999999</x:v>
      </x:c>
      <x:c r="J7636" s="24" t="n">
        <x:v>7</x:v>
      </x:c>
      <x:c r="K7636" s="26" t="n">
        <x:v>0.3</x:v>
      </x:c>
      <x:c r="L7636" s="22" t="n">
        <x:v>-9.092999999999996</x:v>
      </x:c>
      <x:c r="M7636" t="n">
        <x:v>2014</x:v>
      </x:c>
      <x:c r="N7636" s="20" t="n">
        <x:v>41699</x:v>
      </x:c>
    </x:row>
    <x:row r="7637" ht="18" customHeight="1">
      <x:c r="A7637" t="str">
        <x:v>US-2017-158526</x:v>
      </x:c>
      <x:c r="B7637" s="18" t="n">
        <x:v>43098</x:v>
      </x:c>
      <x:c r="C7637" t="str">
        <x:v>KH-16360</x:v>
      </x:c>
      <x:c r="D7637" t="str">
        <x:v>Katherine Hughes</x:v>
      </x:c>
      <x:c r="E7637" t="str">
        <x:v>Consumer</x:v>
      </x:c>
      <x:c r="F7637" t="str">
        <x:v>South</x:v>
      </x:c>
      <x:c r="G7637" t="str">
        <x:v>Furniture</x:v>
      </x:c>
      <x:c r="H7637" t="str">
        <x:v>Chairs</x:v>
      </x:c>
      <x:c r="I7637" s="22" t="n">
        <x:v>1207.84</x:v>
      </x:c>
      <x:c r="J7637" s="24" t="n">
        <x:v>8</x:v>
      </x:c>
      <x:c r="K7637" s="26" t="n">
        <x:v>0</x:v>
      </x:c>
      <x:c r="L7637" s="22" t="n">
        <x:v>314.0384</x:v>
      </x:c>
      <x:c r="M7637" t="n">
        <x:v>2017</x:v>
      </x:c>
      <x:c r="N7637" s="20" t="n">
        <x:v>43070</x:v>
      </x:c>
    </x:row>
    <x:row r="7638" ht="18" customHeight="1">
      <x:c r="A7638" t="str">
        <x:v>US-2017-158526</x:v>
      </x:c>
      <x:c r="B7638" s="18" t="n">
        <x:v>43098</x:v>
      </x:c>
      <x:c r="C7638" t="str">
        <x:v>KH-16360</x:v>
      </x:c>
      <x:c r="D7638" t="str">
        <x:v>Katherine Hughes</x:v>
      </x:c>
      <x:c r="E7638" t="str">
        <x:v>Consumer</x:v>
      </x:c>
      <x:c r="F7638" t="str">
        <x:v>South</x:v>
      </x:c>
      <x:c r="G7638" t="str">
        <x:v>Office Supplies</x:v>
      </x:c>
      <x:c r="H7638" t="str">
        <x:v>Binders</x:v>
      </x:c>
      <x:c r="I7638" s="22" t="n">
        <x:v>12.53</x:v>
      </x:c>
      <x:c r="J7638" s="24" t="n">
        <x:v>1</x:v>
      </x:c>
      <x:c r="K7638" s="26" t="n">
        <x:v>0</x:v>
      </x:c>
      <x:c r="L7638" s="22" t="n">
        <x:v>5.889099999999999</x:v>
      </x:c>
      <x:c r="M7638" t="n">
        <x:v>2017</x:v>
      </x:c>
      <x:c r="N7638" s="20" t="n">
        <x:v>43070</x:v>
      </x:c>
    </x:row>
    <x:row r="7639" ht="18" customHeight="1">
      <x:c r="A7639" t="str">
        <x:v>US-2017-158526</x:v>
      </x:c>
      <x:c r="B7639" s="18" t="n">
        <x:v>43098</x:v>
      </x:c>
      <x:c r="C7639" t="str">
        <x:v>KH-16360</x:v>
      </x:c>
      <x:c r="D7639" t="str">
        <x:v>Katherine Hughes</x:v>
      </x:c>
      <x:c r="E7639" t="str">
        <x:v>Consumer</x:v>
      </x:c>
      <x:c r="F7639" t="str">
        <x:v>South</x:v>
      </x:c>
      <x:c r="G7639" t="str">
        <x:v>Office Supplies</x:v>
      </x:c>
      <x:c r="H7639" t="str">
        <x:v>Art</x:v>
      </x:c>
      <x:c r="I7639" s="22" t="n">
        <x:v>34.58</x:v>
      </x:c>
      <x:c r="J7639" s="24" t="n">
        <x:v>1</x:v>
      </x:c>
      <x:c r="K7639" s="26" t="n">
        <x:v>0</x:v>
      </x:c>
      <x:c r="L7639" s="22" t="n">
        <x:v>10.028199999999998</x:v>
      </x:c>
      <x:c r="M7639" t="n">
        <x:v>2017</x:v>
      </x:c>
      <x:c r="N7639" s="20" t="n">
        <x:v>43070</x:v>
      </x:c>
    </x:row>
    <x:row r="7640" ht="18" customHeight="1">
      <x:c r="A7640" t="str">
        <x:v>US-2017-158526</x:v>
      </x:c>
      <x:c r="B7640" s="18" t="n">
        <x:v>43098</x:v>
      </x:c>
      <x:c r="C7640" t="str">
        <x:v>KH-16360</x:v>
      </x:c>
      <x:c r="D7640" t="str">
        <x:v>Katherine Hughes</x:v>
      </x:c>
      <x:c r="E7640" t="str">
        <x:v>Consumer</x:v>
      </x:c>
      <x:c r="F7640" t="str">
        <x:v>South</x:v>
      </x:c>
      <x:c r="G7640" t="str">
        <x:v>Furniture</x:v>
      </x:c>
      <x:c r="H7640" t="str">
        <x:v>Chairs</x:v>
      </x:c>
      <x:c r="I7640" s="22" t="n">
        <x:v>300.98</x:v>
      </x:c>
      <x:c r="J7640" s="24" t="n">
        <x:v>1</x:v>
      </x:c>
      <x:c r="K7640" s="26" t="n">
        <x:v>0</x:v>
      </x:c>
      <x:c r="L7640" s="22" t="n">
        <x:v>87.28419999999997</x:v>
      </x:c>
      <x:c r="M7640" t="n">
        <x:v>2017</x:v>
      </x:c>
      <x:c r="N7640" s="20" t="n">
        <x:v>43070</x:v>
      </x:c>
    </x:row>
    <x:row r="7641" ht="18" customHeight="1">
      <x:c r="A7641" t="str">
        <x:v>US-2017-158526</x:v>
      </x:c>
      <x:c r="B7641" s="18" t="n">
        <x:v>43098</x:v>
      </x:c>
      <x:c r="C7641" t="str">
        <x:v>KH-16360</x:v>
      </x:c>
      <x:c r="D7641" t="str">
        <x:v>Katherine Hughes</x:v>
      </x:c>
      <x:c r="E7641" t="str">
        <x:v>Consumer</x:v>
      </x:c>
      <x:c r="F7641" t="str">
        <x:v>South</x:v>
      </x:c>
      <x:c r="G7641" t="str">
        <x:v>Furniture</x:v>
      </x:c>
      <x:c r="H7641" t="str">
        <x:v>Chairs</x:v>
      </x:c>
      <x:c r="I7641" s="22" t="n">
        <x:v>258.75</x:v>
      </x:c>
      <x:c r="J7641" s="24" t="n">
        <x:v>3</x:v>
      </x:c>
      <x:c r="K7641" s="26" t="n">
        <x:v>0</x:v>
      </x:c>
      <x:c r="L7641" s="22" t="n">
        <x:v>77.62499999999997</x:v>
      </x:c>
      <x:c r="M7641" t="n">
        <x:v>2017</x:v>
      </x:c>
      <x:c r="N7641" s="20" t="n">
        <x:v>43070</x:v>
      </x:c>
    </x:row>
    <x:row r="7642" ht="18" customHeight="1">
      <x:c r="A7642" t="str">
        <x:v>CA-2017-104885</x:v>
      </x:c>
      <x:c r="B7642" s="18" t="n">
        <x:v>42796</x:v>
      </x:c>
      <x:c r="C7642" t="str">
        <x:v>DB-13555</x:v>
      </x:c>
      <x:c r="D7642" t="str">
        <x:v>Dorothy Badders</x:v>
      </x:c>
      <x:c r="E7642" t="str">
        <x:v>Corporate</x:v>
      </x:c>
      <x:c r="F7642" t="str">
        <x:v>East</x:v>
      </x:c>
      <x:c r="G7642" t="str">
        <x:v>Office Supplies</x:v>
      </x:c>
      <x:c r="H7642" t="str">
        <x:v>Art</x:v>
      </x:c>
      <x:c r="I7642" s="22" t="n">
        <x:v>59.519999999999996</x:v>
      </x:c>
      <x:c r="J7642" s="24" t="n">
        <x:v>3</x:v>
      </x:c>
      <x:c r="K7642" s="26" t="n">
        <x:v>0</x:v>
      </x:c>
      <x:c r="L7642" s="22" t="n">
        <x:v>15.475200000000001</x:v>
      </x:c>
      <x:c r="M7642" t="n">
        <x:v>2017</x:v>
      </x:c>
      <x:c r="N7642" s="20" t="n">
        <x:v>42795</x:v>
      </x:c>
    </x:row>
    <x:row r="7643" ht="18" customHeight="1">
      <x:c r="A7643" t="str">
        <x:v>CA-2017-104885</x:v>
      </x:c>
      <x:c r="B7643" s="18" t="n">
        <x:v>42796</x:v>
      </x:c>
      <x:c r="C7643" t="str">
        <x:v>DB-13555</x:v>
      </x:c>
      <x:c r="D7643" t="str">
        <x:v>Dorothy Badders</x:v>
      </x:c>
      <x:c r="E7643" t="str">
        <x:v>Corporate</x:v>
      </x:c>
      <x:c r="F7643" t="str">
        <x:v>East</x:v>
      </x:c>
      <x:c r="G7643" t="str">
        <x:v>Office Supplies</x:v>
      </x:c>
      <x:c r="H7643" t="str">
        <x:v>Envelopes</x:v>
      </x:c>
      <x:c r="I7643" s="22" t="n">
        <x:v>57.959999999999994</x:v>
      </x:c>
      <x:c r="J7643" s="24" t="n">
        <x:v>7</x:v>
      </x:c>
      <x:c r="K7643" s="26" t="n">
        <x:v>0</x:v>
      </x:c>
      <x:c r="L7643" s="22" t="n">
        <x:v>27.241199999999996</x:v>
      </x:c>
      <x:c r="M7643" t="n">
        <x:v>2017</x:v>
      </x:c>
      <x:c r="N7643" s="20" t="n">
        <x:v>42795</x:v>
      </x:c>
    </x:row>
    <x:row r="7644" ht="18" customHeight="1">
      <x:c r="A7644" t="str">
        <x:v>CA-2017-104885</x:v>
      </x:c>
      <x:c r="B7644" s="18" t="n">
        <x:v>42796</x:v>
      </x:c>
      <x:c r="C7644" t="str">
        <x:v>DB-13555</x:v>
      </x:c>
      <x:c r="D7644" t="str">
        <x:v>Dorothy Badders</x:v>
      </x:c>
      <x:c r="E7644" t="str">
        <x:v>Corporate</x:v>
      </x:c>
      <x:c r="F7644" t="str">
        <x:v>East</x:v>
      </x:c>
      <x:c r="G7644" t="str">
        <x:v>Furniture</x:v>
      </x:c>
      <x:c r="H7644" t="str">
        <x:v>Bookcases</x:v>
      </x:c>
      <x:c r="I7644" s="22" t="n">
        <x:v>441.96</x:v>
      </x:c>
      <x:c r="J7644" s="24" t="n">
        <x:v>2</x:v>
      </x:c>
      <x:c r="K7644" s="26" t="n">
        <x:v>0</x:v>
      </x:c>
      <x:c r="L7644" s="22" t="n">
        <x:v>101.6508</x:v>
      </x:c>
      <x:c r="M7644" t="n">
        <x:v>2017</x:v>
      </x:c>
      <x:c r="N7644" s="20" t="n">
        <x:v>42795</x:v>
      </x:c>
    </x:row>
    <x:row r="7645" ht="18" customHeight="1">
      <x:c r="A7645" t="str">
        <x:v>CA-2017-104885</x:v>
      </x:c>
      <x:c r="B7645" s="18" t="n">
        <x:v>42796</x:v>
      </x:c>
      <x:c r="C7645" t="str">
        <x:v>DB-13555</x:v>
      </x:c>
      <x:c r="D7645" t="str">
        <x:v>Dorothy Badders</x:v>
      </x:c>
      <x:c r="E7645" t="str">
        <x:v>Corporate</x:v>
      </x:c>
      <x:c r="F7645" t="str">
        <x:v>East</x:v>
      </x:c>
      <x:c r="G7645" t="str">
        <x:v>Office Supplies</x:v>
      </x:c>
      <x:c r="H7645" t="str">
        <x:v>Paper</x:v>
      </x:c>
      <x:c r="I7645" s="22" t="n">
        <x:v>68.03999999999999</x:v>
      </x:c>
      <x:c r="J7645" s="24" t="n">
        <x:v>6</x:v>
      </x:c>
      <x:c r="K7645" s="26" t="n">
        <x:v>0</x:v>
      </x:c>
      <x:c r="L7645" s="22" t="n">
        <x:v>33.3396</x:v>
      </x:c>
      <x:c r="M7645" t="n">
        <x:v>2017</x:v>
      </x:c>
      <x:c r="N7645" s="20" t="n">
        <x:v>42795</x:v>
      </x:c>
    </x:row>
    <x:row r="7646" ht="18" customHeight="1">
      <x:c r="A7646" t="str">
        <x:v>US-2016-157490</x:v>
      </x:c>
      <x:c r="B7646" s="18" t="n">
        <x:v>42649</x:v>
      </x:c>
      <x:c r="C7646" t="str">
        <x:v>LB-16795</x:v>
      </x:c>
      <x:c r="D7646" t="str">
        <x:v>Laurel Beltran</x:v>
      </x:c>
      <x:c r="E7646" t="str">
        <x:v>Home Office</x:v>
      </x:c>
      <x:c r="F7646" t="str">
        <x:v>West</x:v>
      </x:c>
      <x:c r="G7646" t="str">
        <x:v>Technology</x:v>
      </x:c>
      <x:c r="H7646" t="str">
        <x:v>Machines</x:v>
      </x:c>
      <x:c r="I7646" s="22" t="n">
        <x:v>703.71</x:v>
      </x:c>
      <x:c r="J7646" s="24" t="n">
        <x:v>6</x:v>
      </x:c>
      <x:c r="K7646" s="26" t="n">
        <x:v>0.7</x:v>
      </x:c>
      <x:c r="L7646" s="22" t="n">
        <x:v>-938.28</x:v>
      </x:c>
      <x:c r="M7646" t="n">
        <x:v>2016</x:v>
      </x:c>
      <x:c r="N7646" s="20" t="n">
        <x:v>42644</x:v>
      </x:c>
    </x:row>
    <x:row r="7647" ht="18" customHeight="1">
      <x:c r="A7647" t="str">
        <x:v>US-2016-157490</x:v>
      </x:c>
      <x:c r="B7647" s="18" t="n">
        <x:v>42649</x:v>
      </x:c>
      <x:c r="C7647" t="str">
        <x:v>LB-16795</x:v>
      </x:c>
      <x:c r="D7647" t="str">
        <x:v>Laurel Beltran</x:v>
      </x:c>
      <x:c r="E7647" t="str">
        <x:v>Home Office</x:v>
      </x:c>
      <x:c r="F7647" t="str">
        <x:v>West</x:v>
      </x:c>
      <x:c r="G7647" t="str">
        <x:v>Office Supplies</x:v>
      </x:c>
      <x:c r="H7647" t="str">
        <x:v>Binders</x:v>
      </x:c>
      <x:c r="I7647" s="22" t="n">
        <x:v>17.904000000000003</x:v>
      </x:c>
      <x:c r="J7647" s="24" t="n">
        <x:v>4</x:v>
      </x:c>
      <x:c r="K7647" s="26" t="n">
        <x:v>0.7</x:v>
      </x:c>
      <x:c r="L7647" s="22" t="n">
        <x:v>-14.920000000000002</x:v>
      </x:c>
      <x:c r="M7647" t="n">
        <x:v>2016</x:v>
      </x:c>
      <x:c r="N7647" s="20" t="n">
        <x:v>42644</x:v>
      </x:c>
    </x:row>
    <x:row r="7648" ht="18" customHeight="1">
      <x:c r="A7648" t="str">
        <x:v>US-2016-157490</x:v>
      </x:c>
      <x:c r="B7648" s="18" t="n">
        <x:v>42649</x:v>
      </x:c>
      <x:c r="C7648" t="str">
        <x:v>LB-16795</x:v>
      </x:c>
      <x:c r="D7648" t="str">
        <x:v>Laurel Beltran</x:v>
      </x:c>
      <x:c r="E7648" t="str">
        <x:v>Home Office</x:v>
      </x:c>
      <x:c r="F7648" t="str">
        <x:v>West</x:v>
      </x:c>
      <x:c r="G7648" t="str">
        <x:v>Office Supplies</x:v>
      </x:c>
      <x:c r="H7648" t="str">
        <x:v>Binders</x:v>
      </x:c>
      <x:c r="I7648" s="22" t="n">
        <x:v>11.976000000000003</x:v>
      </x:c>
      <x:c r="J7648" s="24" t="n">
        <x:v>4</x:v>
      </x:c>
      <x:c r="K7648" s="26" t="n">
        <x:v>0.7</x:v>
      </x:c>
      <x:c r="L7648" s="22" t="n">
        <x:v>-9.1816</x:v>
      </x:c>
      <x:c r="M7648" t="n">
        <x:v>2016</x:v>
      </x:c>
      <x:c r="N7648" s="20" t="n">
        <x:v>42644</x:v>
      </x:c>
    </x:row>
    <x:row r="7649" ht="18" customHeight="1">
      <x:c r="A7649" t="str">
        <x:v>US-2016-157490</x:v>
      </x:c>
      <x:c r="B7649" s="18" t="n">
        <x:v>42649</x:v>
      </x:c>
      <x:c r="C7649" t="str">
        <x:v>LB-16795</x:v>
      </x:c>
      <x:c r="D7649" t="str">
        <x:v>Laurel Beltran</x:v>
      </x:c>
      <x:c r="E7649" t="str">
        <x:v>Home Office</x:v>
      </x:c>
      <x:c r="F7649" t="str">
        <x:v>West</x:v>
      </x:c>
      <x:c r="G7649" t="str">
        <x:v>Technology</x:v>
      </x:c>
      <x:c r="H7649" t="str">
        <x:v>Accessories</x:v>
      </x:c>
      <x:c r="I7649" s="22" t="n">
        <x:v>67.96</x:v>
      </x:c>
      <x:c r="J7649" s="24" t="n">
        <x:v>5</x:v>
      </x:c>
      <x:c r="K7649" s="26" t="n">
        <x:v>0.2</x:v>
      </x:c>
      <x:c r="L7649" s="22" t="n">
        <x:v>0.8495000000000026</x:v>
      </x:c>
      <x:c r="M7649" t="n">
        <x:v>2016</x:v>
      </x:c>
      <x:c r="N7649" s="20" t="n">
        <x:v>42644</x:v>
      </x:c>
    </x:row>
    <x:row r="7650" ht="18" customHeight="1">
      <x:c r="A7650" t="str">
        <x:v>CA-2015-161452</x:v>
      </x:c>
      <x:c r="B7650" s="18" t="n">
        <x:v>42099</x:v>
      </x:c>
      <x:c r="C7650" t="str">
        <x:v>CA-11965</x:v>
      </x:c>
      <x:c r="D7650" t="str">
        <x:v>Carol Adams</x:v>
      </x:c>
      <x:c r="E7650" t="str">
        <x:v>Corporate</x:v>
      </x:c>
      <x:c r="F7650" t="str">
        <x:v>West</x:v>
      </x:c>
      <x:c r="G7650" t="str">
        <x:v>Furniture</x:v>
      </x:c>
      <x:c r="H7650" t="str">
        <x:v>Chairs</x:v>
      </x:c>
      <x:c r="I7650" s="22" t="n">
        <x:v>892.224</x:v>
      </x:c>
      <x:c r="J7650" s="24" t="n">
        <x:v>3</x:v>
      </x:c>
      <x:c r="K7650" s="26" t="n">
        <x:v>0.2</x:v>
      </x:c>
      <x:c r="L7650" s="22" t="n">
        <x:v>89.22240000000002</x:v>
      </x:c>
      <x:c r="M7650" t="n">
        <x:v>2015</x:v>
      </x:c>
      <x:c r="N7650" s="20" t="n">
        <x:v>42095</x:v>
      </x:c>
    </x:row>
    <x:row r="7651" ht="18" customHeight="1">
      <x:c r="A7651" t="str">
        <x:v>US-2014-115196</x:v>
      </x:c>
      <x:c r="B7651" s="18" t="n">
        <x:v>41891</x:v>
      </x:c>
      <x:c r="C7651" t="str">
        <x:v>DL-12925</x:v>
      </x:c>
      <x:c r="D7651" t="str">
        <x:v>Daniel Lacy</x:v>
      </x:c>
      <x:c r="E7651" t="str">
        <x:v>Consumer</x:v>
      </x:c>
      <x:c r="F7651" t="str">
        <x:v>South</x:v>
      </x:c>
      <x:c r="G7651" t="str">
        <x:v>Technology</x:v>
      </x:c>
      <x:c r="H7651" t="str">
        <x:v>Machines</x:v>
      </x:c>
      <x:c r="I7651" s="22" t="n">
        <x:v>1299.99</x:v>
      </x:c>
      <x:c r="J7651" s="24" t="n">
        <x:v>2</x:v>
      </x:c>
      <x:c r="K7651" s="26" t="n">
        <x:v>0.5</x:v>
      </x:c>
      <x:c r="L7651" s="22" t="n">
        <x:v>-571.9956</x:v>
      </x:c>
      <x:c r="M7651" t="n">
        <x:v>2014</x:v>
      </x:c>
      <x:c r="N7651" s="20" t="n">
        <x:v>41883</x:v>
      </x:c>
    </x:row>
    <x:row r="7652" ht="18" customHeight="1">
      <x:c r="A7652" t="str">
        <x:v>CA-2016-138968</x:v>
      </x:c>
      <x:c r="B7652" s="18" t="n">
        <x:v>42444</x:v>
      </x:c>
      <x:c r="C7652" t="str">
        <x:v>FC-14335</x:v>
      </x:c>
      <x:c r="D7652" t="str">
        <x:v>Fred Chung</x:v>
      </x:c>
      <x:c r="E7652" t="str">
        <x:v>Corporate</x:v>
      </x:c>
      <x:c r="F7652" t="str">
        <x:v>West</x:v>
      </x:c>
      <x:c r="G7652" t="str">
        <x:v>Office Supplies</x:v>
      </x:c>
      <x:c r="H7652" t="str">
        <x:v>Binders</x:v>
      </x:c>
      <x:c r="I7652" s="22" t="n">
        <x:v>4.544</x:v>
      </x:c>
      <x:c r="J7652" s="24" t="n">
        <x:v>2</x:v>
      </x:c>
      <x:c r="K7652" s="26" t="n">
        <x:v>0.2</x:v>
      </x:c>
      <x:c r="L7652" s="22" t="n">
        <x:v>1.6472</x:v>
      </x:c>
      <x:c r="M7652" t="n">
        <x:v>2016</x:v>
      </x:c>
      <x:c r="N7652" s="20" t="n">
        <x:v>42430</x:v>
      </x:c>
    </x:row>
    <x:row r="7653" ht="18" customHeight="1">
      <x:c r="A7653" t="str">
        <x:v>CA-2016-138968</x:v>
      </x:c>
      <x:c r="B7653" s="18" t="n">
        <x:v>42444</x:v>
      </x:c>
      <x:c r="C7653" t="str">
        <x:v>FC-14335</x:v>
      </x:c>
      <x:c r="D7653" t="str">
        <x:v>Fred Chung</x:v>
      </x:c>
      <x:c r="E7653" t="str">
        <x:v>Corporate</x:v>
      </x:c>
      <x:c r="F7653" t="str">
        <x:v>West</x:v>
      </x:c>
      <x:c r="G7653" t="str">
        <x:v>Furniture</x:v>
      </x:c>
      <x:c r="H7653" t="str">
        <x:v>Chairs</x:v>
      </x:c>
      <x:c r="I7653" s="22" t="n">
        <x:v>1352.0320000000002</x:v>
      </x:c>
      <x:c r="J7653" s="24" t="n">
        <x:v>4</x:v>
      </x:c>
      <x:c r="K7653" s="26" t="n">
        <x:v>0.2</x:v>
      </x:c>
      <x:c r="L7653" s="22" t="n">
        <x:v>84.50199999999995</x:v>
      </x:c>
      <x:c r="M7653" t="n">
        <x:v>2016</x:v>
      </x:c>
      <x:c r="N7653" s="20" t="n">
        <x:v>42430</x:v>
      </x:c>
    </x:row>
    <x:row r="7654" ht="18" customHeight="1">
      <x:c r="A7654" t="str">
        <x:v>CA-2015-101889</x:v>
      </x:c>
      <x:c r="B7654" s="18" t="n">
        <x:v>42365</x:v>
      </x:c>
      <x:c r="C7654" t="str">
        <x:v>DB-13120</x:v>
      </x:c>
      <x:c r="D7654" t="str">
        <x:v>David Bremer</x:v>
      </x:c>
      <x:c r="E7654" t="str">
        <x:v>Corporate</x:v>
      </x:c>
      <x:c r="F7654" t="str">
        <x:v>East</x:v>
      </x:c>
      <x:c r="G7654" t="str">
        <x:v>Furniture</x:v>
      </x:c>
      <x:c r="H7654" t="str">
        <x:v>Tables</x:v>
      </x:c>
      <x:c r="I7654" s="22" t="n">
        <x:v>1548.9900000000002</x:v>
      </x:c>
      <x:c r="J7654" s="24" t="n">
        <x:v>9</x:v>
      </x:c>
      <x:c r="K7654" s="26" t="n">
        <x:v>0.4</x:v>
      </x:c>
      <x:c r="L7654" s="22" t="n">
        <x:v>-464.6970000000001</x:v>
      </x:c>
      <x:c r="M7654" t="n">
        <x:v>2015</x:v>
      </x:c>
      <x:c r="N7654" s="20" t="n">
        <x:v>42339</x:v>
      </x:c>
    </x:row>
    <x:row r="7655" ht="18" customHeight="1">
      <x:c r="A7655" t="str">
        <x:v>CA-2015-101889</x:v>
      </x:c>
      <x:c r="B7655" s="18" t="n">
        <x:v>42365</x:v>
      </x:c>
      <x:c r="C7655" t="str">
        <x:v>DB-13120</x:v>
      </x:c>
      <x:c r="D7655" t="str">
        <x:v>David Bremer</x:v>
      </x:c>
      <x:c r="E7655" t="str">
        <x:v>Corporate</x:v>
      </x:c>
      <x:c r="F7655" t="str">
        <x:v>East</x:v>
      </x:c>
      <x:c r="G7655" t="str">
        <x:v>Office Supplies</x:v>
      </x:c>
      <x:c r="H7655" t="str">
        <x:v>Envelopes</x:v>
      </x:c>
      <x:c r="I7655" s="22" t="n">
        <x:v>19.872</x:v>
      </x:c>
      <x:c r="J7655" s="24" t="n">
        <x:v>3</x:v>
      </x:c>
      <x:c r="K7655" s="26" t="n">
        <x:v>0.2</x:v>
      </x:c>
      <x:c r="L7655" s="22" t="n">
        <x:v>6.706799999999998</x:v>
      </x:c>
      <x:c r="M7655" t="n">
        <x:v>2015</x:v>
      </x:c>
      <x:c r="N7655" s="20" t="n">
        <x:v>42339</x:v>
      </x:c>
    </x:row>
    <x:row r="7656" ht="18" customHeight="1">
      <x:c r="A7656" t="str">
        <x:v>CA-2017-110821</x:v>
      </x:c>
      <x:c r="B7656" s="18" t="n">
        <x:v>42954</x:v>
      </x:c>
      <x:c r="C7656" t="str">
        <x:v>CK-12205</x:v>
      </x:c>
      <x:c r="D7656" t="str">
        <x:v>Chloris Kastensmidt</x:v>
      </x:c>
      <x:c r="E7656" t="str">
        <x:v>Consumer</x:v>
      </x:c>
      <x:c r="F7656" t="str">
        <x:v>Central</x:v>
      </x:c>
      <x:c r="G7656" t="str">
        <x:v>Technology</x:v>
      </x:c>
      <x:c r="H7656" t="str">
        <x:v>Accessories</x:v>
      </x:c>
      <x:c r="I7656" s="22" t="n">
        <x:v>119.44800000000001</x:v>
      </x:c>
      <x:c r="J7656" s="24" t="n">
        <x:v>3</x:v>
      </x:c>
      <x:c r="K7656" s="26" t="n">
        <x:v>0.2</x:v>
      </x:c>
      <x:c r="L7656" s="22" t="n">
        <x:v>-13.437900000000006</x:v>
      </x:c>
      <x:c r="M7656" t="n">
        <x:v>2017</x:v>
      </x:c>
      <x:c r="N7656" s="20" t="n">
        <x:v>42948</x:v>
      </x:c>
    </x:row>
    <x:row r="7657" ht="18" customHeight="1">
      <x:c r="A7657" t="str">
        <x:v>CA-2017-110821</x:v>
      </x:c>
      <x:c r="B7657" s="18" t="n">
        <x:v>42954</x:v>
      </x:c>
      <x:c r="C7657" t="str">
        <x:v>CK-12205</x:v>
      </x:c>
      <x:c r="D7657" t="str">
        <x:v>Chloris Kastensmidt</x:v>
      </x:c>
      <x:c r="E7657" t="str">
        <x:v>Consumer</x:v>
      </x:c>
      <x:c r="F7657" t="str">
        <x:v>Central</x:v>
      </x:c>
      <x:c r="G7657" t="str">
        <x:v>Office Supplies</x:v>
      </x:c>
      <x:c r="H7657" t="str">
        <x:v>Storage</x:v>
      </x:c>
      <x:c r="I7657" s="22" t="n">
        <x:v>118.16</x:v>
      </x:c>
      <x:c r="J7657" s="24" t="n">
        <x:v>2</x:v>
      </x:c>
      <x:c r="K7657" s="26" t="n">
        <x:v>0.2</x:v>
      </x:c>
      <x:c r="L7657" s="22" t="n">
        <x:v>-25.108999999999988</x:v>
      </x:c>
      <x:c r="M7657" t="n">
        <x:v>2017</x:v>
      </x:c>
      <x:c r="N7657" s="20" t="n">
        <x:v>42948</x:v>
      </x:c>
    </x:row>
    <x:row r="7658" ht="18" customHeight="1">
      <x:c r="A7658" t="str">
        <x:v>CA-2015-121552</x:v>
      </x:c>
      <x:c r="B7658" s="18" t="n">
        <x:v>42085</x:v>
      </x:c>
      <x:c r="C7658" t="str">
        <x:v>FW-14395</x:v>
      </x:c>
      <x:c r="D7658" t="str">
        <x:v>Fred Wasserman</x:v>
      </x:c>
      <x:c r="E7658" t="str">
        <x:v>Corporate</x:v>
      </x:c>
      <x:c r="F7658" t="str">
        <x:v>South</x:v>
      </x:c>
      <x:c r="G7658" t="str">
        <x:v>Office Supplies</x:v>
      </x:c>
      <x:c r="H7658" t="str">
        <x:v>Art</x:v>
      </x:c>
      <x:c r="I7658" s="22" t="n">
        <x:v>19.56</x:v>
      </x:c>
      <x:c r="J7658" s="24" t="n">
        <x:v>4</x:v>
      </x:c>
      <x:c r="K7658" s="26" t="n">
        <x:v>0</x:v>
      </x:c>
      <x:c r="L7658" s="22" t="n">
        <x:v>5.476800000000001</x:v>
      </x:c>
      <x:c r="M7658" t="n">
        <x:v>2015</x:v>
      </x:c>
      <x:c r="N7658" s="20" t="n">
        <x:v>42064</x:v>
      </x:c>
    </x:row>
    <x:row r="7659" ht="18" customHeight="1">
      <x:c r="A7659" t="str">
        <x:v>CA-2015-107685</x:v>
      </x:c>
      <x:c r="B7659" s="18" t="n">
        <x:v>42338</x:v>
      </x:c>
      <x:c r="C7659" t="str">
        <x:v>JM-15865</x:v>
      </x:c>
      <x:c r="D7659" t="str">
        <x:v>John Murray</x:v>
      </x:c>
      <x:c r="E7659" t="str">
        <x:v>Consumer</x:v>
      </x:c>
      <x:c r="F7659" t="str">
        <x:v>West</x:v>
      </x:c>
      <x:c r="G7659" t="str">
        <x:v>Furniture</x:v>
      </x:c>
      <x:c r="H7659" t="str">
        <x:v>Furnishings</x:v>
      </x:c>
      <x:c r="I7659" s="22" t="n">
        <x:v>80.96</x:v>
      </x:c>
      <x:c r="J7659" s="24" t="n">
        <x:v>4</x:v>
      </x:c>
      <x:c r="K7659" s="26" t="n">
        <x:v>0</x:v>
      </x:c>
      <x:c r="L7659" s="22" t="n">
        <x:v>29.145599999999995</x:v>
      </x:c>
      <x:c r="M7659" t="n">
        <x:v>2015</x:v>
      </x:c>
      <x:c r="N7659" s="20" t="n">
        <x:v>42309</x:v>
      </x:c>
    </x:row>
    <x:row r="7660" ht="18" customHeight="1">
      <x:c r="A7660" t="str">
        <x:v>CA-2015-107685</x:v>
      </x:c>
      <x:c r="B7660" s="18" t="n">
        <x:v>42338</x:v>
      </x:c>
      <x:c r="C7660" t="str">
        <x:v>JM-15865</x:v>
      </x:c>
      <x:c r="D7660" t="str">
        <x:v>John Murray</x:v>
      </x:c>
      <x:c r="E7660" t="str">
        <x:v>Consumer</x:v>
      </x:c>
      <x:c r="F7660" t="str">
        <x:v>West</x:v>
      </x:c>
      <x:c r="G7660" t="str">
        <x:v>Office Supplies</x:v>
      </x:c>
      <x:c r="H7660" t="str">
        <x:v>Paper</x:v>
      </x:c>
      <x:c r="I7660" s="22" t="n">
        <x:v>25.92</x:v>
      </x:c>
      <x:c r="J7660" s="24" t="n">
        <x:v>4</x:v>
      </x:c>
      <x:c r="K7660" s="26" t="n">
        <x:v>0</x:v>
      </x:c>
      <x:c r="L7660" s="22" t="n">
        <x:v>12.441600000000001</x:v>
      </x:c>
      <x:c r="M7660" t="n">
        <x:v>2015</x:v>
      </x:c>
      <x:c r="N7660" s="20" t="n">
        <x:v>42309</x:v>
      </x:c>
    </x:row>
    <x:row r="7661" ht="18" customHeight="1">
      <x:c r="A7661" t="str">
        <x:v>US-2014-120740</x:v>
      </x:c>
      <x:c r="B7661" s="18" t="n">
        <x:v>41744</x:v>
      </x:c>
      <x:c r="C7661" t="str">
        <x:v>PS-18970</x:v>
      </x:c>
      <x:c r="D7661" t="str">
        <x:v>Paul Stevenson</x:v>
      </x:c>
      <x:c r="E7661" t="str">
        <x:v>Home Office</x:v>
      </x:c>
      <x:c r="F7661" t="str">
        <x:v>West</x:v>
      </x:c>
      <x:c r="G7661" t="str">
        <x:v>Office Supplies</x:v>
      </x:c>
      <x:c r="H7661" t="str">
        <x:v>Appliances</x:v>
      </x:c>
      <x:c r="I7661" s="22" t="n">
        <x:v>106.96</x:v>
      </x:c>
      <x:c r="J7661" s="24" t="n">
        <x:v>2</x:v>
      </x:c>
      <x:c r="K7661" s="26" t="n">
        <x:v>0</x:v>
      </x:c>
      <x:c r="L7661" s="22" t="n">
        <x:v>31.018399999999986</x:v>
      </x:c>
      <x:c r="M7661" t="n">
        <x:v>2014</x:v>
      </x:c>
      <x:c r="N7661" s="20" t="n">
        <x:v>41730</x:v>
      </x:c>
    </x:row>
    <x:row r="7662" ht="18" customHeight="1">
      <x:c r="A7662" t="str">
        <x:v>US-2014-120740</x:v>
      </x:c>
      <x:c r="B7662" s="18" t="n">
        <x:v>41744</x:v>
      </x:c>
      <x:c r="C7662" t="str">
        <x:v>PS-18970</x:v>
      </x:c>
      <x:c r="D7662" t="str">
        <x:v>Paul Stevenson</x:v>
      </x:c>
      <x:c r="E7662" t="str">
        <x:v>Home Office</x:v>
      </x:c>
      <x:c r="F7662" t="str">
        <x:v>West</x:v>
      </x:c>
      <x:c r="G7662" t="str">
        <x:v>Furniture</x:v>
      </x:c>
      <x:c r="H7662" t="str">
        <x:v>Furnishings</x:v>
      </x:c>
      <x:c r="I7662" s="22" t="n">
        <x:v>187.76</x:v>
      </x:c>
      <x:c r="J7662" s="24" t="n">
        <x:v>4</x:v>
      </x:c>
      <x:c r="K7662" s="26" t="n">
        <x:v>0</x:v>
      </x:c>
      <x:c r="L7662" s="22" t="n">
        <x:v>76.9816</x:v>
      </x:c>
      <x:c r="M7662" t="n">
        <x:v>2014</x:v>
      </x:c>
      <x:c r="N7662" s="20" t="n">
        <x:v>41730</x:v>
      </x:c>
    </x:row>
    <x:row r="7663" ht="18" customHeight="1">
      <x:c r="A7663" t="str">
        <x:v>CA-2017-155740</x:v>
      </x:c>
      <x:c r="B7663" s="18" t="n">
        <x:v>42946</x:v>
      </x:c>
      <x:c r="C7663" t="str">
        <x:v>TC-21475</x:v>
      </x:c>
      <x:c r="D7663" t="str">
        <x:v>Tony Chapman</x:v>
      </x:c>
      <x:c r="E7663" t="str">
        <x:v>Home Office</x:v>
      </x:c>
      <x:c r="F7663" t="str">
        <x:v>East</x:v>
      </x:c>
      <x:c r="G7663" t="str">
        <x:v>Office Supplies</x:v>
      </x:c>
      <x:c r="H7663" t="str">
        <x:v>Binders</x:v>
      </x:c>
      <x:c r="I7663" s="22" t="n">
        <x:v>76.77600000000001</x:v>
      </x:c>
      <x:c r="J7663" s="24" t="n">
        <x:v>4</x:v>
      </x:c>
      <x:c r="K7663" s="26" t="n">
        <x:v>0.7</x:v>
      </x:c>
      <x:c r="L7663" s="22" t="n">
        <x:v>-53.74319999999997</x:v>
      </x:c>
      <x:c r="M7663" t="n">
        <x:v>2017</x:v>
      </x:c>
      <x:c r="N7663" s="20" t="n">
        <x:v>42917</x:v>
      </x:c>
    </x:row>
    <x:row r="7664" ht="18" customHeight="1">
      <x:c r="A7664" t="str">
        <x:v>CA-2017-146493</x:v>
      </x:c>
      <x:c r="B7664" s="18" t="n">
        <x:v>42887</x:v>
      </x:c>
      <x:c r="C7664" t="str">
        <x:v>CV-12805</x:v>
      </x:c>
      <x:c r="D7664" t="str">
        <x:v>Cynthia Voltz</x:v>
      </x:c>
      <x:c r="E7664" t="str">
        <x:v>Corporate</x:v>
      </x:c>
      <x:c r="F7664" t="str">
        <x:v>Central</x:v>
      </x:c>
      <x:c r="G7664" t="str">
        <x:v>Office Supplies</x:v>
      </x:c>
      <x:c r="H7664" t="str">
        <x:v>Binders</x:v>
      </x:c>
      <x:c r="I7664" s="22" t="n">
        <x:v>53.9</x:v>
      </x:c>
      <x:c r="J7664" s="24" t="n">
        <x:v>5</x:v>
      </x:c>
      <x:c r="K7664" s="26" t="n">
        <x:v>0</x:v>
      </x:c>
      <x:c r="L7664" s="22" t="n">
        <x:v>25.871999999999996</x:v>
      </x:c>
      <x:c r="M7664" t="n">
        <x:v>2017</x:v>
      </x:c>
      <x:c r="N7664" s="20" t="n">
        <x:v>42887</x:v>
      </x:c>
    </x:row>
    <x:row r="7665" ht="18" customHeight="1">
      <x:c r="A7665" t="str">
        <x:v>CA-2014-105417</x:v>
      </x:c>
      <x:c r="B7665" s="18" t="n">
        <x:v>41646</x:v>
      </x:c>
      <x:c r="C7665" t="str">
        <x:v>VS-21820</x:v>
      </x:c>
      <x:c r="D7665" t="str">
        <x:v>Vivek Sundaresam</x:v>
      </x:c>
      <x:c r="E7665" t="str">
        <x:v>Consumer</x:v>
      </x:c>
      <x:c r="F7665" t="str">
        <x:v>Central</x:v>
      </x:c>
      <x:c r="G7665" t="str">
        <x:v>Furniture</x:v>
      </x:c>
      <x:c r="H7665" t="str">
        <x:v>Furnishings</x:v>
      </x:c>
      <x:c r="I7665" s="22" t="n">
        <x:v>76.72800000000001</x:v>
      </x:c>
      <x:c r="J7665" s="24" t="n">
        <x:v>3</x:v>
      </x:c>
      <x:c r="K7665" s="26" t="n">
        <x:v>0.6</x:v>
      </x:c>
      <x:c r="L7665" s="22" t="n">
        <x:v>-53.70959999999999</x:v>
      </x:c>
      <x:c r="M7665" t="n">
        <x:v>2014</x:v>
      </x:c>
      <x:c r="N7665" s="20" t="n">
        <x:v>41640</x:v>
      </x:c>
    </x:row>
    <x:row r="7666" ht="18" customHeight="1">
      <x:c r="A7666" t="str">
        <x:v>CA-2014-105417</x:v>
      </x:c>
      <x:c r="B7666" s="18" t="n">
        <x:v>41646</x:v>
      </x:c>
      <x:c r="C7666" t="str">
        <x:v>VS-21820</x:v>
      </x:c>
      <x:c r="D7666" t="str">
        <x:v>Vivek Sundaresam</x:v>
      </x:c>
      <x:c r="E7666" t="str">
        <x:v>Consumer</x:v>
      </x:c>
      <x:c r="F7666" t="str">
        <x:v>Central</x:v>
      </x:c>
      <x:c r="G7666" t="str">
        <x:v>Office Supplies</x:v>
      </x:c>
      <x:c r="H7666" t="str">
        <x:v>Binders</x:v>
      </x:c>
      <x:c r="I7666" s="22" t="n">
        <x:v>10.429999999999998</x:v>
      </x:c>
      <x:c r="J7666" s="24" t="n">
        <x:v>7</x:v>
      </x:c>
      <x:c r="K7666" s="26" t="n">
        <x:v>0.8</x:v>
      </x:c>
      <x:c r="L7666" s="22" t="n">
        <x:v>-18.252500000000005</x:v>
      </x:c>
      <x:c r="M7666" t="n">
        <x:v>2014</x:v>
      </x:c>
      <x:c r="N7666" s="20" t="n">
        <x:v>41640</x:v>
      </x:c>
    </x:row>
    <x:row r="7667" ht="18" customHeight="1">
      <x:c r="A7667" t="str">
        <x:v>US-2017-141509</x:v>
      </x:c>
      <x:c r="B7667" s="18" t="n">
        <x:v>43007</x:v>
      </x:c>
      <x:c r="C7667" t="str">
        <x:v>SC-20575</x:v>
      </x:c>
      <x:c r="D7667" t="str">
        <x:v>Sonia Cooley</x:v>
      </x:c>
      <x:c r="E7667" t="str">
        <x:v>Consumer</x:v>
      </x:c>
      <x:c r="F7667" t="str">
        <x:v>West</x:v>
      </x:c>
      <x:c r="G7667" t="str">
        <x:v>Office Supplies</x:v>
      </x:c>
      <x:c r="H7667" t="str">
        <x:v>Art</x:v>
      </x:c>
      <x:c r="I7667" s="22" t="n">
        <x:v>99.2</x:v>
      </x:c>
      <x:c r="J7667" s="24" t="n">
        <x:v>5</x:v>
      </x:c>
      <x:c r="K7667" s="26" t="n">
        <x:v>0</x:v>
      </x:c>
      <x:c r="L7667" s="22" t="n">
        <x:v>25.792</x:v>
      </x:c>
      <x:c r="M7667" t="n">
        <x:v>2017</x:v>
      </x:c>
      <x:c r="N7667" s="20" t="n">
        <x:v>42979</x:v>
      </x:c>
    </x:row>
    <x:row r="7668" ht="18" customHeight="1">
      <x:c r="A7668" t="str">
        <x:v>CA-2017-139493</x:v>
      </x:c>
      <x:c r="B7668" s="18" t="n">
        <x:v>42991</x:v>
      </x:c>
      <x:c r="C7668" t="str">
        <x:v>SG-20605</x:v>
      </x:c>
      <x:c r="D7668" t="str">
        <x:v>Speros Goranitis</x:v>
      </x:c>
      <x:c r="E7668" t="str">
        <x:v>Consumer</x:v>
      </x:c>
      <x:c r="F7668" t="str">
        <x:v>South</x:v>
      </x:c>
      <x:c r="G7668" t="str">
        <x:v>Office Supplies</x:v>
      </x:c>
      <x:c r="H7668" t="str">
        <x:v>Art</x:v>
      </x:c>
      <x:c r="I7668" s="22" t="n">
        <x:v>15.920000000000002</x:v>
      </x:c>
      <x:c r="J7668" s="24" t="n">
        <x:v>5</x:v>
      </x:c>
      <x:c r="K7668" s="26" t="n">
        <x:v>0.2</x:v>
      </x:c>
      <x:c r="L7668" s="22" t="n">
        <x:v>2.785999999999998</x:v>
      </x:c>
      <x:c r="M7668" t="n">
        <x:v>2017</x:v>
      </x:c>
      <x:c r="N7668" s="20" t="n">
        <x:v>42979</x:v>
      </x:c>
    </x:row>
    <x:row r="7669" ht="18" customHeight="1">
      <x:c r="A7669" t="str">
        <x:v>CA-2014-151967</x:v>
      </x:c>
      <x:c r="B7669" s="18" t="n">
        <x:v>41934</x:v>
      </x:c>
      <x:c r="C7669" t="str">
        <x:v>NB-18580</x:v>
      </x:c>
      <x:c r="D7669" t="str">
        <x:v>Nicole Brennan</x:v>
      </x:c>
      <x:c r="E7669" t="str">
        <x:v>Corporate</x:v>
      </x:c>
      <x:c r="F7669" t="str">
        <x:v>South</x:v>
      </x:c>
      <x:c r="G7669" t="str">
        <x:v>Furniture</x:v>
      </x:c>
      <x:c r="H7669" t="str">
        <x:v>Furnishings</x:v>
      </x:c>
      <x:c r="I7669" s="22" t="n">
        <x:v>129.92</x:v>
      </x:c>
      <x:c r="J7669" s="24" t="n">
        <x:v>4</x:v>
      </x:c>
      <x:c r="K7669" s="26" t="n">
        <x:v>0</x:v>
      </x:c>
      <x:c r="L7669" s="22" t="n">
        <x:v>10.393599999999992</x:v>
      </x:c>
      <x:c r="M7669" t="n">
        <x:v>2014</x:v>
      </x:c>
      <x:c r="N7669" s="20" t="n">
        <x:v>41913</x:v>
      </x:c>
    </x:row>
    <x:row r="7670" ht="18" customHeight="1">
      <x:c r="A7670" t="str">
        <x:v>US-2016-140158</x:v>
      </x:c>
      <x:c r="B7670" s="18" t="n">
        <x:v>42647</x:v>
      </x:c>
      <x:c r="C7670" t="str">
        <x:v>DR-12940</x:v>
      </x:c>
      <x:c r="D7670" t="str">
        <x:v>Daniel Raglin</x:v>
      </x:c>
      <x:c r="E7670" t="str">
        <x:v>Home Office</x:v>
      </x:c>
      <x:c r="F7670" t="str">
        <x:v>East</x:v>
      </x:c>
      <x:c r="G7670" t="str">
        <x:v>Office Supplies</x:v>
      </x:c>
      <x:c r="H7670" t="str">
        <x:v>Binders</x:v>
      </x:c>
      <x:c r="I7670" s="22" t="n">
        <x:v>30.4</x:v>
      </x:c>
      <x:c r="J7670" s="24" t="n">
        <x:v>1</x:v>
      </x:c>
      <x:c r="K7670" s="26" t="n">
        <x:v>0</x:v>
      </x:c>
      <x:c r="L7670" s="22" t="n">
        <x:v>13.983999999999998</x:v>
      </x:c>
      <x:c r="M7670" t="n">
        <x:v>2016</x:v>
      </x:c>
      <x:c r="N7670" s="20" t="n">
        <x:v>42644</x:v>
      </x:c>
    </x:row>
    <x:row r="7671" ht="18" customHeight="1">
      <x:c r="A7671" t="str">
        <x:v>US-2016-140158</x:v>
      </x:c>
      <x:c r="B7671" s="18" t="n">
        <x:v>42647</x:v>
      </x:c>
      <x:c r="C7671" t="str">
        <x:v>DR-12940</x:v>
      </x:c>
      <x:c r="D7671" t="str">
        <x:v>Daniel Raglin</x:v>
      </x:c>
      <x:c r="E7671" t="str">
        <x:v>Home Office</x:v>
      </x:c>
      <x:c r="F7671" t="str">
        <x:v>East</x:v>
      </x:c>
      <x:c r="G7671" t="str">
        <x:v>Technology</x:v>
      </x:c>
      <x:c r="H7671" t="str">
        <x:v>Copiers</x:v>
      </x:c>
      <x:c r="I7671" s="22" t="n">
        <x:v>5399.91</x:v>
      </x:c>
      <x:c r="J7671" s="24" t="n">
        <x:v>9</x:v>
      </x:c>
      <x:c r="K7671" s="26" t="n">
        <x:v>0</x:v>
      </x:c>
      <x:c r="L7671" s="22" t="n">
        <x:v>2591.9568</x:v>
      </x:c>
      <x:c r="M7671" t="n">
        <x:v>2016</x:v>
      </x:c>
      <x:c r="N7671" s="20" t="n">
        <x:v>42644</x:v>
      </x:c>
    </x:row>
    <x:row r="7672" ht="18" customHeight="1">
      <x:c r="A7672" t="str">
        <x:v>US-2016-140158</x:v>
      </x:c>
      <x:c r="B7672" s="18" t="n">
        <x:v>42647</x:v>
      </x:c>
      <x:c r="C7672" t="str">
        <x:v>DR-12940</x:v>
      </x:c>
      <x:c r="D7672" t="str">
        <x:v>Daniel Raglin</x:v>
      </x:c>
      <x:c r="E7672" t="str">
        <x:v>Home Office</x:v>
      </x:c>
      <x:c r="F7672" t="str">
        <x:v>East</x:v>
      </x:c>
      <x:c r="G7672" t="str">
        <x:v>Office Supplies</x:v>
      </x:c>
      <x:c r="H7672" t="str">
        <x:v>Storage</x:v>
      </x:c>
      <x:c r="I7672" s="22" t="n">
        <x:v>119.10000000000001</x:v>
      </x:c>
      <x:c r="J7672" s="24" t="n">
        <x:v>3</x:v>
      </x:c>
      <x:c r="K7672" s="26" t="n">
        <x:v>0</x:v>
      </x:c>
      <x:c r="L7672" s="22" t="n">
        <x:v>34.538999999999994</x:v>
      </x:c>
      <x:c r="M7672" t="n">
        <x:v>2016</x:v>
      </x:c>
      <x:c r="N7672" s="20" t="n">
        <x:v>42644</x:v>
      </x:c>
    </x:row>
    <x:row r="7673" ht="18" customHeight="1">
      <x:c r="A7673" t="str">
        <x:v>CA-2015-130974</x:v>
      </x:c>
      <x:c r="B7673" s="18" t="n">
        <x:v>42335</x:v>
      </x:c>
      <x:c r="C7673" t="str">
        <x:v>MA-17560</x:v>
      </x:c>
      <x:c r="D7673" t="str">
        <x:v>Matt Abelman</x:v>
      </x:c>
      <x:c r="E7673" t="str">
        <x:v>Home Office</x:v>
      </x:c>
      <x:c r="F7673" t="str">
        <x:v>East</x:v>
      </x:c>
      <x:c r="G7673" t="str">
        <x:v>Office Supplies</x:v>
      </x:c>
      <x:c r="H7673" t="str">
        <x:v>Paper</x:v>
      </x:c>
      <x:c r="I7673" s="22" t="n">
        <x:v>40.08</x:v>
      </x:c>
      <x:c r="J7673" s="24" t="n">
        <x:v>6</x:v>
      </x:c>
      <x:c r="K7673" s="26" t="n">
        <x:v>0</x:v>
      </x:c>
      <x:c r="L7673" s="22" t="n">
        <x:v>19.2384</x:v>
      </x:c>
      <x:c r="M7673" t="n">
        <x:v>2015</x:v>
      </x:c>
      <x:c r="N7673" s="20" t="n">
        <x:v>42309</x:v>
      </x:c>
    </x:row>
    <x:row r="7674" ht="18" customHeight="1">
      <x:c r="A7674" t="str">
        <x:v>CA-2015-130974</x:v>
      </x:c>
      <x:c r="B7674" s="18" t="n">
        <x:v>42335</x:v>
      </x:c>
      <x:c r="C7674" t="str">
        <x:v>MA-17560</x:v>
      </x:c>
      <x:c r="D7674" t="str">
        <x:v>Matt Abelman</x:v>
      </x:c>
      <x:c r="E7674" t="str">
        <x:v>Home Office</x:v>
      </x:c>
      <x:c r="F7674" t="str">
        <x:v>East</x:v>
      </x:c>
      <x:c r="G7674" t="str">
        <x:v>Office Supplies</x:v>
      </x:c>
      <x:c r="H7674" t="str">
        <x:v>Paper</x:v>
      </x:c>
      <x:c r="I7674" s="22" t="n">
        <x:v>59.94</x:v>
      </x:c>
      <x:c r="J7674" s="24" t="n">
        <x:v>3</x:v>
      </x:c>
      <x:c r="K7674" s="26" t="n">
        <x:v>0</x:v>
      </x:c>
      <x:c r="L7674" s="22" t="n">
        <x:v>28.171799999999998</x:v>
      </x:c>
      <x:c r="M7674" t="n">
        <x:v>2015</x:v>
      </x:c>
      <x:c r="N7674" s="20" t="n">
        <x:v>42309</x:v>
      </x:c>
    </x:row>
    <x:row r="7675" ht="18" customHeight="1">
      <x:c r="A7675" t="str">
        <x:v>CA-2015-130974</x:v>
      </x:c>
      <x:c r="B7675" s="18" t="n">
        <x:v>42335</x:v>
      </x:c>
      <x:c r="C7675" t="str">
        <x:v>MA-17560</x:v>
      </x:c>
      <x:c r="D7675" t="str">
        <x:v>Matt Abelman</x:v>
      </x:c>
      <x:c r="E7675" t="str">
        <x:v>Home Office</x:v>
      </x:c>
      <x:c r="F7675" t="str">
        <x:v>East</x:v>
      </x:c>
      <x:c r="G7675" t="str">
        <x:v>Technology</x:v>
      </x:c>
      <x:c r="H7675" t="str">
        <x:v>Accessories</x:v>
      </x:c>
      <x:c r="I7675" s="22" t="n">
        <x:v>259.98</x:v>
      </x:c>
      <x:c r="J7675" s="24" t="n">
        <x:v>2</x:v>
      </x:c>
      <x:c r="K7675" s="26" t="n">
        <x:v>0</x:v>
      </x:c>
      <x:c r="L7675" s="22" t="n">
        <x:v>88.39320000000001</x:v>
      </x:c>
      <x:c r="M7675" t="n">
        <x:v>2015</x:v>
      </x:c>
      <x:c r="N7675" s="20" t="n">
        <x:v>42309</x:v>
      </x:c>
    </x:row>
    <x:row r="7676" ht="18" customHeight="1">
      <x:c r="A7676" t="str">
        <x:v>CA-2015-130974</x:v>
      </x:c>
      <x:c r="B7676" s="18" t="n">
        <x:v>42335</x:v>
      </x:c>
      <x:c r="C7676" t="str">
        <x:v>MA-17560</x:v>
      </x:c>
      <x:c r="D7676" t="str">
        <x:v>Matt Abelman</x:v>
      </x:c>
      <x:c r="E7676" t="str">
        <x:v>Home Office</x:v>
      </x:c>
      <x:c r="F7676" t="str">
        <x:v>East</x:v>
      </x:c>
      <x:c r="G7676" t="str">
        <x:v>Furniture</x:v>
      </x:c>
      <x:c r="H7676" t="str">
        <x:v>Bookcases</x:v>
      </x:c>
      <x:c r="I7676" s="22" t="n">
        <x:v>170.98</x:v>
      </x:c>
      <x:c r="J7676" s="24" t="n">
        <x:v>1</x:v>
      </x:c>
      <x:c r="K7676" s="26" t="n">
        <x:v>0</x:v>
      </x:c>
      <x:c r="L7676" s="22" t="n">
        <x:v>32.4862</x:v>
      </x:c>
      <x:c r="M7676" t="n">
        <x:v>2015</x:v>
      </x:c>
      <x:c r="N7676" s="20" t="n">
        <x:v>42309</x:v>
      </x:c>
    </x:row>
    <x:row r="7677" ht="18" customHeight="1">
      <x:c r="A7677" t="str">
        <x:v>CA-2015-130974</x:v>
      </x:c>
      <x:c r="B7677" s="18" t="n">
        <x:v>42335</x:v>
      </x:c>
      <x:c r="C7677" t="str">
        <x:v>MA-17560</x:v>
      </x:c>
      <x:c r="D7677" t="str">
        <x:v>Matt Abelman</x:v>
      </x:c>
      <x:c r="E7677" t="str">
        <x:v>Home Office</x:v>
      </x:c>
      <x:c r="F7677" t="str">
        <x:v>East</x:v>
      </x:c>
      <x:c r="G7677" t="str">
        <x:v>Furniture</x:v>
      </x:c>
      <x:c r="H7677" t="str">
        <x:v>Furnishings</x:v>
      </x:c>
      <x:c r="I7677" s="22" t="n">
        <x:v>38.97</x:v>
      </x:c>
      <x:c r="J7677" s="24" t="n">
        <x:v>3</x:v>
      </x:c>
      <x:c r="K7677" s="26" t="n">
        <x:v>0</x:v>
      </x:c>
      <x:c r="L7677" s="22" t="n">
        <x:v>4.676399999999999</x:v>
      </x:c>
      <x:c r="M7677" t="n">
        <x:v>2015</x:v>
      </x:c>
      <x:c r="N7677" s="20" t="n">
        <x:v>42309</x:v>
      </x:c>
    </x:row>
    <x:row r="7678" ht="18" customHeight="1">
      <x:c r="A7678" t="str">
        <x:v>CA-2015-130974</x:v>
      </x:c>
      <x:c r="B7678" s="18" t="n">
        <x:v>42335</x:v>
      </x:c>
      <x:c r="C7678" t="str">
        <x:v>MA-17560</x:v>
      </x:c>
      <x:c r="D7678" t="str">
        <x:v>Matt Abelman</x:v>
      </x:c>
      <x:c r="E7678" t="str">
        <x:v>Home Office</x:v>
      </x:c>
      <x:c r="F7678" t="str">
        <x:v>East</x:v>
      </x:c>
      <x:c r="G7678" t="str">
        <x:v>Office Supplies</x:v>
      </x:c>
      <x:c r="H7678" t="str">
        <x:v>Paper</x:v>
      </x:c>
      <x:c r="I7678" s="22" t="n">
        <x:v>154.9</x:v>
      </x:c>
      <x:c r="J7678" s="24" t="n">
        <x:v>5</x:v>
      </x:c>
      <x:c r="K7678" s="26" t="n">
        <x:v>0</x:v>
      </x:c>
      <x:c r="L7678" s="22" t="n">
        <x:v>69.705</x:v>
      </x:c>
      <x:c r="M7678" t="n">
        <x:v>2015</x:v>
      </x:c>
      <x:c r="N7678" s="20" t="n">
        <x:v>42309</x:v>
      </x:c>
    </x:row>
    <x:row r="7679" ht="18" customHeight="1">
      <x:c r="A7679" t="str">
        <x:v>CA-2015-130974</x:v>
      </x:c>
      <x:c r="B7679" s="18" t="n">
        <x:v>42335</x:v>
      </x:c>
      <x:c r="C7679" t="str">
        <x:v>MA-17560</x:v>
      </x:c>
      <x:c r="D7679" t="str">
        <x:v>Matt Abelman</x:v>
      </x:c>
      <x:c r="E7679" t="str">
        <x:v>Home Office</x:v>
      </x:c>
      <x:c r="F7679" t="str">
        <x:v>East</x:v>
      </x:c>
      <x:c r="G7679" t="str">
        <x:v>Furniture</x:v>
      </x:c>
      <x:c r="H7679" t="str">
        <x:v>Tables</x:v>
      </x:c>
      <x:c r="I7679" s="22" t="n">
        <x:v>446.068</x:v>
      </x:c>
      <x:c r="J7679" s="24" t="n">
        <x:v>4</x:v>
      </x:c>
      <x:c r="K7679" s="26" t="n">
        <x:v>0.3</x:v>
      </x:c>
      <x:c r="L7679" s="22" t="n">
        <x:v>0</x:v>
      </x:c>
      <x:c r="M7679" t="n">
        <x:v>2015</x:v>
      </x:c>
      <x:c r="N7679" s="20" t="n">
        <x:v>42309</x:v>
      </x:c>
    </x:row>
    <x:row r="7680" ht="18" customHeight="1">
      <x:c r="A7680" t="str">
        <x:v>CA-2017-133487</x:v>
      </x:c>
      <x:c r="B7680" s="18" t="n">
        <x:v>42861</x:v>
      </x:c>
      <x:c r="C7680" t="str">
        <x:v>TS-21655</x:v>
      </x:c>
      <x:c r="D7680" t="str">
        <x:v>Trudy Schmidt</x:v>
      </x:c>
      <x:c r="E7680" t="str">
        <x:v>Consumer</x:v>
      </x:c>
      <x:c r="F7680" t="str">
        <x:v>West</x:v>
      </x:c>
      <x:c r="G7680" t="str">
        <x:v>Office Supplies</x:v>
      </x:c>
      <x:c r="H7680" t="str">
        <x:v>Appliances</x:v>
      </x:c>
      <x:c r="I7680" s="22" t="n">
        <x:v>152.94</x:v>
      </x:c>
      <x:c r="J7680" s="24" t="n">
        <x:v>3</x:v>
      </x:c>
      <x:c r="K7680" s="26" t="n">
        <x:v>0</x:v>
      </x:c>
      <x:c r="L7680" s="22" t="n">
        <x:v>41.293800000000005</x:v>
      </x:c>
      <x:c r="M7680" t="n">
        <x:v>2017</x:v>
      </x:c>
      <x:c r="N7680" s="20" t="n">
        <x:v>42856</x:v>
      </x:c>
    </x:row>
    <x:row r="7681" ht="18" customHeight="1">
      <x:c r="A7681" t="str">
        <x:v>CA-2014-142951</x:v>
      </x:c>
      <x:c r="B7681" s="18" t="n">
        <x:v>41920</x:v>
      </x:c>
      <x:c r="C7681" t="str">
        <x:v>JG-15115</x:v>
      </x:c>
      <x:c r="D7681" t="str">
        <x:v>Jack Garza</x:v>
      </x:c>
      <x:c r="E7681" t="str">
        <x:v>Consumer</x:v>
      </x:c>
      <x:c r="F7681" t="str">
        <x:v>South</x:v>
      </x:c>
      <x:c r="G7681" t="str">
        <x:v>Technology</x:v>
      </x:c>
      <x:c r="H7681" t="str">
        <x:v>Accessories</x:v>
      </x:c>
      <x:c r="I7681" s="22" t="n">
        <x:v>23.472</x:v>
      </x:c>
      <x:c r="J7681" s="24" t="n">
        <x:v>3</x:v>
      </x:c>
      <x:c r="K7681" s="26" t="n">
        <x:v>0.2</x:v>
      </x:c>
      <x:c r="L7681" s="22" t="n">
        <x:v>4.987799999999998</x:v>
      </x:c>
      <x:c r="M7681" t="n">
        <x:v>2014</x:v>
      </x:c>
      <x:c r="N7681" s="20" t="n">
        <x:v>41913</x:v>
      </x:c>
    </x:row>
    <x:row r="7682" ht="18" customHeight="1">
      <x:c r="A7682" t="str">
        <x:v>CA-2014-133592</x:v>
      </x:c>
      <x:c r="B7682" s="18" t="n">
        <x:v>42004</x:v>
      </x:c>
      <x:c r="C7682" t="str">
        <x:v>KM-16375</x:v>
      </x:c>
      <x:c r="D7682" t="str">
        <x:v>Katherine Murray</x:v>
      </x:c>
      <x:c r="E7682" t="str">
        <x:v>Home Office</x:v>
      </x:c>
      <x:c r="F7682" t="str">
        <x:v>East</x:v>
      </x:c>
      <x:c r="G7682" t="str">
        <x:v>Office Supplies</x:v>
      </x:c>
      <x:c r="H7682" t="str">
        <x:v>Paper</x:v>
      </x:c>
      <x:c r="I7682" s="22" t="n">
        <x:v>195.64</x:v>
      </x:c>
      <x:c r="J7682" s="24" t="n">
        <x:v>4</x:v>
      </x:c>
      <x:c r="K7682" s="26" t="n">
        <x:v>0</x:v>
      </x:c>
      <x:c r="L7682" s="22" t="n">
        <x:v>91.95079999999999</x:v>
      </x:c>
      <x:c r="M7682" t="n">
        <x:v>2014</x:v>
      </x:c>
      <x:c r="N7682" s="20" t="n">
        <x:v>41974</x:v>
      </x:c>
    </x:row>
    <x:row r="7683" ht="18" customHeight="1">
      <x:c r="A7683" t="str">
        <x:v>CA-2014-133592</x:v>
      </x:c>
      <x:c r="B7683" s="18" t="n">
        <x:v>42004</x:v>
      </x:c>
      <x:c r="C7683" t="str">
        <x:v>KM-16375</x:v>
      </x:c>
      <x:c r="D7683" t="str">
        <x:v>Katherine Murray</x:v>
      </x:c>
      <x:c r="E7683" t="str">
        <x:v>Home Office</x:v>
      </x:c>
      <x:c r="F7683" t="str">
        <x:v>East</x:v>
      </x:c>
      <x:c r="G7683" t="str">
        <x:v>Office Supplies</x:v>
      </x:c>
      <x:c r="H7683" t="str">
        <x:v>Paper</x:v>
      </x:c>
      <x:c r="I7683" s="22" t="n">
        <x:v>14.940000000000001</x:v>
      </x:c>
      <x:c r="J7683" s="24" t="n">
        <x:v>3</x:v>
      </x:c>
      <x:c r="K7683" s="26" t="n">
        <x:v>0</x:v>
      </x:c>
      <x:c r="L7683" s="22" t="n">
        <x:v>7.021800000000001</x:v>
      </x:c>
      <x:c r="M7683" t="n">
        <x:v>2014</x:v>
      </x:c>
      <x:c r="N7683" s="20" t="n">
        <x:v>41974</x:v>
      </x:c>
    </x:row>
    <x:row r="7684" ht="18" customHeight="1">
      <x:c r="A7684" t="str">
        <x:v>CA-2014-133592</x:v>
      </x:c>
      <x:c r="B7684" s="18" t="n">
        <x:v>42004</x:v>
      </x:c>
      <x:c r="C7684" t="str">
        <x:v>KM-16375</x:v>
      </x:c>
      <x:c r="D7684" t="str">
        <x:v>Katherine Murray</x:v>
      </x:c>
      <x:c r="E7684" t="str">
        <x:v>Home Office</x:v>
      </x:c>
      <x:c r="F7684" t="str">
        <x:v>East</x:v>
      </x:c>
      <x:c r="G7684" t="str">
        <x:v>Technology</x:v>
      </x:c>
      <x:c r="H7684" t="str">
        <x:v>Accessories</x:v>
      </x:c>
      <x:c r="I7684" s="22" t="n">
        <x:v>1687.8</x:v>
      </x:c>
      <x:c r="J7684" s="24" t="n">
        <x:v>4</x:v>
      </x:c>
      <x:c r="K7684" s="26" t="n">
        <x:v>0</x:v>
      </x:c>
      <x:c r="L7684" s="22" t="n">
        <x:v>742.6320000000001</x:v>
      </x:c>
      <x:c r="M7684" t="n">
        <x:v>2014</x:v>
      </x:c>
      <x:c r="N7684" s="20" t="n">
        <x:v>41974</x:v>
      </x:c>
    </x:row>
    <x:row r="7685" ht="18" customHeight="1">
      <x:c r="A7685" t="str">
        <x:v>CA-2014-133592</x:v>
      </x:c>
      <x:c r="B7685" s="18" t="n">
        <x:v>42004</x:v>
      </x:c>
      <x:c r="C7685" t="str">
        <x:v>KM-16375</x:v>
      </x:c>
      <x:c r="D7685" t="str">
        <x:v>Katherine Murray</x:v>
      </x:c>
      <x:c r="E7685" t="str">
        <x:v>Home Office</x:v>
      </x:c>
      <x:c r="F7685" t="str">
        <x:v>East</x:v>
      </x:c>
      <x:c r="G7685" t="str">
        <x:v>Furniture</x:v>
      </x:c>
      <x:c r="H7685" t="str">
        <x:v>Bookcases</x:v>
      </x:c>
      <x:c r="I7685" s="22" t="n">
        <x:v>341.96</x:v>
      </x:c>
      <x:c r="J7685" s="24" t="n">
        <x:v>2</x:v>
      </x:c>
      <x:c r="K7685" s="26" t="n">
        <x:v>0</x:v>
      </x:c>
      <x:c r="L7685" s="22" t="n">
        <x:v>78.6508</x:v>
      </x:c>
      <x:c r="M7685" t="n">
        <x:v>2014</x:v>
      </x:c>
      <x:c r="N7685" s="20" t="n">
        <x:v>41974</x:v>
      </x:c>
    </x:row>
    <x:row r="7686" ht="18" customHeight="1">
      <x:c r="A7686" t="str">
        <x:v>CA-2014-133592</x:v>
      </x:c>
      <x:c r="B7686" s="18" t="n">
        <x:v>42004</x:v>
      </x:c>
      <x:c r="C7686" t="str">
        <x:v>KM-16375</x:v>
      </x:c>
      <x:c r="D7686" t="str">
        <x:v>Katherine Murray</x:v>
      </x:c>
      <x:c r="E7686" t="str">
        <x:v>Home Office</x:v>
      </x:c>
      <x:c r="F7686" t="str">
        <x:v>East</x:v>
      </x:c>
      <x:c r="G7686" t="str">
        <x:v>Furniture</x:v>
      </x:c>
      <x:c r="H7686" t="str">
        <x:v>Chairs</x:v>
      </x:c>
      <x:c r="I7686" s="22" t="n">
        <x:v>605.88</x:v>
      </x:c>
      <x:c r="J7686" s="24" t="n">
        <x:v>6</x:v>
      </x:c>
      <x:c r="K7686" s="26" t="n">
        <x:v>0</x:v>
      </x:c>
      <x:c r="L7686" s="22" t="n">
        <x:v>151.47000000000003</x:v>
      </x:c>
      <x:c r="M7686" t="n">
        <x:v>2014</x:v>
      </x:c>
      <x:c r="N7686" s="20" t="n">
        <x:v>41974</x:v>
      </x:c>
    </x:row>
    <x:row r="7687" ht="18" customHeight="1">
      <x:c r="A7687" t="str">
        <x:v>CA-2015-120782</x:v>
      </x:c>
      <x:c r="B7687" s="18" t="n">
        <x:v>42122</x:v>
      </x:c>
      <x:c r="C7687" t="str">
        <x:v>SD-20485</x:v>
      </x:c>
      <x:c r="D7687" t="str">
        <x:v>Shirley Daniels</x:v>
      </x:c>
      <x:c r="E7687" t="str">
        <x:v>Home Office</x:v>
      </x:c>
      <x:c r="F7687" t="str">
        <x:v>Central</x:v>
      </x:c>
      <x:c r="G7687" t="str">
        <x:v>Office Supplies</x:v>
      </x:c>
      <x:c r="H7687" t="str">
        <x:v>Appliances</x:v>
      </x:c>
      <x:c r="I7687" s="22" t="n">
        <x:v>186.732</x:v>
      </x:c>
      <x:c r="J7687" s="24" t="n">
        <x:v>1</x:v>
      </x:c>
      <x:c r="K7687" s="26" t="n">
        <x:v>0.1</x:v>
      </x:c>
      <x:c r="L7687" s="22" t="n">
        <x:v>41.49599999999997</x:v>
      </x:c>
      <x:c r="M7687" t="n">
        <x:v>2015</x:v>
      </x:c>
      <x:c r="N7687" s="20" t="n">
        <x:v>42095</x:v>
      </x:c>
    </x:row>
    <x:row r="7688" ht="18" customHeight="1">
      <x:c r="A7688" t="str">
        <x:v>CA-2015-120782</x:v>
      </x:c>
      <x:c r="B7688" s="18" t="n">
        <x:v>42122</x:v>
      </x:c>
      <x:c r="C7688" t="str">
        <x:v>SD-20485</x:v>
      </x:c>
      <x:c r="D7688" t="str">
        <x:v>Shirley Daniels</x:v>
      </x:c>
      <x:c r="E7688" t="str">
        <x:v>Home Office</x:v>
      </x:c>
      <x:c r="F7688" t="str">
        <x:v>Central</x:v>
      </x:c>
      <x:c r="G7688" t="str">
        <x:v>Office Supplies</x:v>
      </x:c>
      <x:c r="H7688" t="str">
        <x:v>Binders</x:v>
      </x:c>
      <x:c r="I7688" s="22" t="n">
        <x:v>3812.9700000000003</x:v>
      </x:c>
      <x:c r="J7688" s="24" t="n">
        <x:v>3</x:v>
      </x:c>
      <x:c r="K7688" s="26" t="n">
        <x:v>0</x:v>
      </x:c>
      <x:c r="L7688" s="22" t="n">
        <x:v>1906.4850000000001</x:v>
      </x:c>
      <x:c r="M7688" t="n">
        <x:v>2015</x:v>
      </x:c>
      <x:c r="N7688" s="20" t="n">
        <x:v>42095</x:v>
      </x:c>
    </x:row>
    <x:row r="7689" ht="18" customHeight="1">
      <x:c r="A7689" t="str">
        <x:v>CA-2015-116876</x:v>
      </x:c>
      <x:c r="B7689" s="18" t="n">
        <x:v>42049</x:v>
      </x:c>
      <x:c r="C7689" t="str">
        <x:v>TT-21070</x:v>
      </x:c>
      <x:c r="D7689" t="str">
        <x:v>Ted Trevino</x:v>
      </x:c>
      <x:c r="E7689" t="str">
        <x:v>Consumer</x:v>
      </x:c>
      <x:c r="F7689" t="str">
        <x:v>East</x:v>
      </x:c>
      <x:c r="G7689" t="str">
        <x:v>Office Supplies</x:v>
      </x:c>
      <x:c r="H7689" t="str">
        <x:v>Binders</x:v>
      </x:c>
      <x:c r="I7689" s="22" t="n">
        <x:v>26.424</x:v>
      </x:c>
      <x:c r="J7689" s="24" t="n">
        <x:v>9</x:v>
      </x:c>
      <x:c r="K7689" s="26" t="n">
        <x:v>0.2</x:v>
      </x:c>
      <x:c r="L7689" s="22" t="n">
        <x:v>9.5787</x:v>
      </x:c>
      <x:c r="M7689" t="n">
        <x:v>2015</x:v>
      </x:c>
      <x:c r="N7689" s="20" t="n">
        <x:v>42036</x:v>
      </x:c>
    </x:row>
    <x:row r="7690" ht="18" customHeight="1">
      <x:c r="A7690" t="str">
        <x:v>CA-2015-116876</x:v>
      </x:c>
      <x:c r="B7690" s="18" t="n">
        <x:v>42049</x:v>
      </x:c>
      <x:c r="C7690" t="str">
        <x:v>TT-21070</x:v>
      </x:c>
      <x:c r="D7690" t="str">
        <x:v>Ted Trevino</x:v>
      </x:c>
      <x:c r="E7690" t="str">
        <x:v>Consumer</x:v>
      </x:c>
      <x:c r="F7690" t="str">
        <x:v>East</x:v>
      </x:c>
      <x:c r="G7690" t="str">
        <x:v>Technology</x:v>
      </x:c>
      <x:c r="H7690" t="str">
        <x:v>Phones</x:v>
      </x:c>
      <x:c r="I7690" s="22" t="n">
        <x:v>625.99</x:v>
      </x:c>
      <x:c r="J7690" s="24" t="n">
        <x:v>1</x:v>
      </x:c>
      <x:c r="K7690" s="26" t="n">
        <x:v>0</x:v>
      </x:c>
      <x:c r="L7690" s="22" t="n">
        <x:v>187.79699999999997</x:v>
      </x:c>
      <x:c r="M7690" t="n">
        <x:v>2015</x:v>
      </x:c>
      <x:c r="N7690" s="20" t="n">
        <x:v>42036</x:v>
      </x:c>
    </x:row>
    <x:row r="7691" ht="18" customHeight="1">
      <x:c r="A7691" t="str">
        <x:v>CA-2016-169838</x:v>
      </x:c>
      <x:c r="B7691" s="18" t="n">
        <x:v>42699</x:v>
      </x:c>
      <x:c r="C7691" t="str">
        <x:v>BB-11545</x:v>
      </x:c>
      <x:c r="D7691" t="str">
        <x:v>Brenda Bowman</x:v>
      </x:c>
      <x:c r="E7691" t="str">
        <x:v>Corporate</x:v>
      </x:c>
      <x:c r="F7691" t="str">
        <x:v>Central</x:v>
      </x:c>
      <x:c r="G7691" t="str">
        <x:v>Furniture</x:v>
      </x:c>
      <x:c r="H7691" t="str">
        <x:v>Tables</x:v>
      </x:c>
      <x:c r="I7691" s="22" t="n">
        <x:v>1568.61</x:v>
      </x:c>
      <x:c r="J7691" s="24" t="n">
        <x:v>9</x:v>
      </x:c>
      <x:c r="K7691" s="26" t="n">
        <x:v>0</x:v>
      </x:c>
      <x:c r="L7691" s="22" t="n">
        <x:v>329.4081</x:v>
      </x:c>
      <x:c r="M7691" t="n">
        <x:v>2016</x:v>
      </x:c>
      <x:c r="N7691" s="20" t="n">
        <x:v>42675</x:v>
      </x:c>
    </x:row>
    <x:row r="7692" ht="18" customHeight="1">
      <x:c r="A7692" t="str">
        <x:v>CA-2016-169838</x:v>
      </x:c>
      <x:c r="B7692" s="18" t="n">
        <x:v>42699</x:v>
      </x:c>
      <x:c r="C7692" t="str">
        <x:v>BB-11545</x:v>
      </x:c>
      <x:c r="D7692" t="str">
        <x:v>Brenda Bowman</x:v>
      </x:c>
      <x:c r="E7692" t="str">
        <x:v>Corporate</x:v>
      </x:c>
      <x:c r="F7692" t="str">
        <x:v>Central</x:v>
      </x:c>
      <x:c r="G7692" t="str">
        <x:v>Office Supplies</x:v>
      </x:c>
      <x:c r="H7692" t="str">
        <x:v>Binders</x:v>
      </x:c>
      <x:c r="I7692" s="22" t="n">
        <x:v>17.3</x:v>
      </x:c>
      <x:c r="J7692" s="24" t="n">
        <x:v>1</x:v>
      </x:c>
      <x:c r="K7692" s="26" t="n">
        <x:v>0</x:v>
      </x:c>
      <x:c r="L7692" s="22" t="n">
        <x:v>8.304</x:v>
      </x:c>
      <x:c r="M7692" t="n">
        <x:v>2016</x:v>
      </x:c>
      <x:c r="N7692" s="20" t="n">
        <x:v>42675</x:v>
      </x:c>
    </x:row>
    <x:row r="7693" ht="18" customHeight="1">
      <x:c r="A7693" t="str">
        <x:v>CA-2016-169838</x:v>
      </x:c>
      <x:c r="B7693" s="18" t="n">
        <x:v>42699</x:v>
      </x:c>
      <x:c r="C7693" t="str">
        <x:v>BB-11545</x:v>
      </x:c>
      <x:c r="D7693" t="str">
        <x:v>Brenda Bowman</x:v>
      </x:c>
      <x:c r="E7693" t="str">
        <x:v>Corporate</x:v>
      </x:c>
      <x:c r="F7693" t="str">
        <x:v>Central</x:v>
      </x:c>
      <x:c r="G7693" t="str">
        <x:v>Technology</x:v>
      </x:c>
      <x:c r="H7693" t="str">
        <x:v>Accessories</x:v>
      </x:c>
      <x:c r="I7693" s="22" t="n">
        <x:v>160</x:v>
      </x:c>
      <x:c r="J7693" s="24" t="n">
        <x:v>8</x:v>
      </x:c>
      <x:c r="K7693" s="26" t="n">
        <x:v>0</x:v>
      </x:c>
      <x:c r="L7693" s="22" t="n">
        <x:v>62.400000000000006</x:v>
      </x:c>
      <x:c r="M7693" t="n">
        <x:v>2016</x:v>
      </x:c>
      <x:c r="N7693" s="20" t="n">
        <x:v>42675</x:v>
      </x:c>
    </x:row>
    <x:row r="7694" ht="18" customHeight="1">
      <x:c r="A7694" t="str">
        <x:v>US-2017-128951</x:v>
      </x:c>
      <x:c r="B7694" s="18" t="n">
        <x:v>42931</x:v>
      </x:c>
      <x:c r="C7694" t="str">
        <x:v>RS-19420</x:v>
      </x:c>
      <x:c r="D7694" t="str">
        <x:v>Ricardo Sperren</x:v>
      </x:c>
      <x:c r="E7694" t="str">
        <x:v>Corporate</x:v>
      </x:c>
      <x:c r="F7694" t="str">
        <x:v>South</x:v>
      </x:c>
      <x:c r="G7694" t="str">
        <x:v>Office Supplies</x:v>
      </x:c>
      <x:c r="H7694" t="str">
        <x:v>Appliances</x:v>
      </x:c>
      <x:c r="I7694" s="22" t="n">
        <x:v>179.94</x:v>
      </x:c>
      <x:c r="J7694" s="24" t="n">
        <x:v>3</x:v>
      </x:c>
      <x:c r="K7694" s="26" t="n">
        <x:v>0</x:v>
      </x:c>
      <x:c r="L7694" s="22" t="n">
        <x:v>50.38320000000001</x:v>
      </x:c>
      <x:c r="M7694" t="n">
        <x:v>2017</x:v>
      </x:c>
      <x:c r="N7694" s="20" t="n">
        <x:v>42917</x:v>
      </x:c>
    </x:row>
    <x:row r="7695" ht="18" customHeight="1">
      <x:c r="A7695" t="str">
        <x:v>US-2017-128951</x:v>
      </x:c>
      <x:c r="B7695" s="18" t="n">
        <x:v>42931</x:v>
      </x:c>
      <x:c r="C7695" t="str">
        <x:v>RS-19420</x:v>
      </x:c>
      <x:c r="D7695" t="str">
        <x:v>Ricardo Sperren</x:v>
      </x:c>
      <x:c r="E7695" t="str">
        <x:v>Corporate</x:v>
      </x:c>
      <x:c r="F7695" t="str">
        <x:v>South</x:v>
      </x:c>
      <x:c r="G7695" t="str">
        <x:v>Furniture</x:v>
      </x:c>
      <x:c r="H7695" t="str">
        <x:v>Tables</x:v>
      </x:c>
      <x:c r="I7695" s="22" t="n">
        <x:v>872.94</x:v>
      </x:c>
      <x:c r="J7695" s="24" t="n">
        <x:v>3</x:v>
      </x:c>
      <x:c r="K7695" s="26" t="n">
        <x:v>0</x:v>
      </x:c>
      <x:c r="L7695" s="22" t="n">
        <x:v>157.12919999999997</x:v>
      </x:c>
      <x:c r="M7695" t="n">
        <x:v>2017</x:v>
      </x:c>
      <x:c r="N7695" s="20" t="n">
        <x:v>42917</x:v>
      </x:c>
    </x:row>
    <x:row r="7696" ht="18" customHeight="1">
      <x:c r="A7696" t="str">
        <x:v>US-2017-128951</x:v>
      </x:c>
      <x:c r="B7696" s="18" t="n">
        <x:v>42931</x:v>
      </x:c>
      <x:c r="C7696" t="str">
        <x:v>RS-19420</x:v>
      </x:c>
      <x:c r="D7696" t="str">
        <x:v>Ricardo Sperren</x:v>
      </x:c>
      <x:c r="E7696" t="str">
        <x:v>Corporate</x:v>
      </x:c>
      <x:c r="F7696" t="str">
        <x:v>South</x:v>
      </x:c>
      <x:c r="G7696" t="str">
        <x:v>Office Supplies</x:v>
      </x:c>
      <x:c r="H7696" t="str">
        <x:v>Paper</x:v>
      </x:c>
      <x:c r="I7696" s="22" t="n">
        <x:v>12.96</x:v>
      </x:c>
      <x:c r="J7696" s="24" t="n">
        <x:v>2</x:v>
      </x:c>
      <x:c r="K7696" s="26" t="n">
        <x:v>0</x:v>
      </x:c>
      <x:c r="L7696" s="22" t="n">
        <x:v>6.2208000000000006</x:v>
      </x:c>
      <x:c r="M7696" t="n">
        <x:v>2017</x:v>
      </x:c>
      <x:c r="N7696" s="20" t="n">
        <x:v>42917</x:v>
      </x:c>
    </x:row>
    <x:row r="7697" ht="18" customHeight="1">
      <x:c r="A7697" t="str">
        <x:v>CA-2014-102330</x:v>
      </x:c>
      <x:c r="B7697" s="18" t="n">
        <x:v>42002</x:v>
      </x:c>
      <x:c r="C7697" t="str">
        <x:v>AI-10855</x:v>
      </x:c>
      <x:c r="D7697" t="str">
        <x:v>Arianne Irving</x:v>
      </x:c>
      <x:c r="E7697" t="str">
        <x:v>Consumer</x:v>
      </x:c>
      <x:c r="F7697" t="str">
        <x:v>West</x:v>
      </x:c>
      <x:c r="G7697" t="str">
        <x:v>Office Supplies</x:v>
      </x:c>
      <x:c r="H7697" t="str">
        <x:v>Labels</x:v>
      </x:c>
      <x:c r="I7697" s="22" t="n">
        <x:v>88.80000000000001</x:v>
      </x:c>
      <x:c r="J7697" s="24" t="n">
        <x:v>6</x:v>
      </x:c>
      <x:c r="K7697" s="26" t="n">
        <x:v>0</x:v>
      </x:c>
      <x:c r="L7697" s="22" t="n">
        <x:v>44.400000000000006</x:v>
      </x:c>
      <x:c r="M7697" t="n">
        <x:v>2014</x:v>
      </x:c>
      <x:c r="N7697" s="20" t="n">
        <x:v>41974</x:v>
      </x:c>
    </x:row>
    <x:row r="7698" ht="18" customHeight="1">
      <x:c r="A7698" t="str">
        <x:v>CA-2014-102330</x:v>
      </x:c>
      <x:c r="B7698" s="18" t="n">
        <x:v>42002</x:v>
      </x:c>
      <x:c r="C7698" t="str">
        <x:v>AI-10855</x:v>
      </x:c>
      <x:c r="D7698" t="str">
        <x:v>Arianne Irving</x:v>
      </x:c>
      <x:c r="E7698" t="str">
        <x:v>Consumer</x:v>
      </x:c>
      <x:c r="F7698" t="str">
        <x:v>West</x:v>
      </x:c>
      <x:c r="G7698" t="str">
        <x:v>Technology</x:v>
      </x:c>
      <x:c r="H7698" t="str">
        <x:v>Phones</x:v>
      </x:c>
      <x:c r="I7698" s="22" t="n">
        <x:v>319.968</x:v>
      </x:c>
      <x:c r="J7698" s="24" t="n">
        <x:v>4</x:v>
      </x:c>
      <x:c r="K7698" s="26" t="n">
        <x:v>0.2</x:v>
      </x:c>
      <x:c r="L7698" s="22" t="n">
        <x:v>35.99639999999995</x:v>
      </x:c>
      <x:c r="M7698" t="n">
        <x:v>2014</x:v>
      </x:c>
      <x:c r="N7698" s="20" t="n">
        <x:v>41974</x:v>
      </x:c>
    </x:row>
    <x:row r="7699" ht="18" customHeight="1">
      <x:c r="A7699" t="str">
        <x:v>CA-2016-118899</x:v>
      </x:c>
      <x:c r="B7699" s="18" t="n">
        <x:v>42451</x:v>
      </x:c>
      <x:c r="C7699" t="str">
        <x:v>MC-17275</x:v>
      </x:c>
      <x:c r="D7699" t="str">
        <x:v>Marc Crier</x:v>
      </x:c>
      <x:c r="E7699" t="str">
        <x:v>Consumer</x:v>
      </x:c>
      <x:c r="F7699" t="str">
        <x:v>West</x:v>
      </x:c>
      <x:c r="G7699" t="str">
        <x:v>Furniture</x:v>
      </x:c>
      <x:c r="H7699" t="str">
        <x:v>Chairs</x:v>
      </x:c>
      <x:c r="I7699" s="22" t="n">
        <x:v>167.888</x:v>
      </x:c>
      <x:c r="J7699" s="24" t="n">
        <x:v>7</x:v>
      </x:c>
      <x:c r="K7699" s="26" t="n">
        <x:v>0.2</x:v>
      </x:c>
      <x:c r="L7699" s="22" t="n">
        <x:v>14.690199999999997</x:v>
      </x:c>
      <x:c r="M7699" t="n">
        <x:v>2016</x:v>
      </x:c>
      <x:c r="N7699" s="20" t="n">
        <x:v>42430</x:v>
      </x:c>
    </x:row>
    <x:row r="7700" ht="18" customHeight="1">
      <x:c r="A7700" t="str">
        <x:v>CA-2017-107958</x:v>
      </x:c>
      <x:c r="B7700" s="18" t="n">
        <x:v>42918</x:v>
      </x:c>
      <x:c r="C7700" t="str">
        <x:v>AH-10120</x:v>
      </x:c>
      <x:c r="D7700" t="str">
        <x:v>Adrian Hane</x:v>
      </x:c>
      <x:c r="E7700" t="str">
        <x:v>Home Office</x:v>
      </x:c>
      <x:c r="F7700" t="str">
        <x:v>Central</x:v>
      </x:c>
      <x:c r="G7700" t="str">
        <x:v>Office Supplies</x:v>
      </x:c>
      <x:c r="H7700" t="str">
        <x:v>Paper</x:v>
      </x:c>
      <x:c r="I7700" s="22" t="n">
        <x:v>163.96</x:v>
      </x:c>
      <x:c r="J7700" s="24" t="n">
        <x:v>5</x:v>
      </x:c>
      <x:c r="K7700" s="26" t="n">
        <x:v>0.2</x:v>
      </x:c>
      <x:c r="L7700" s="22" t="n">
        <x:v>59.4355</x:v>
      </x:c>
      <x:c r="M7700" t="n">
        <x:v>2017</x:v>
      </x:c>
      <x:c r="N7700" s="20" t="n">
        <x:v>42917</x:v>
      </x:c>
    </x:row>
    <x:row r="7701" ht="18" customHeight="1">
      <x:c r="A7701" t="str">
        <x:v>CA-2017-107958</x:v>
      </x:c>
      <x:c r="B7701" s="18" t="n">
        <x:v>42918</x:v>
      </x:c>
      <x:c r="C7701" t="str">
        <x:v>AH-10120</x:v>
      </x:c>
      <x:c r="D7701" t="str">
        <x:v>Adrian Hane</x:v>
      </x:c>
      <x:c r="E7701" t="str">
        <x:v>Home Office</x:v>
      </x:c>
      <x:c r="F7701" t="str">
        <x:v>Central</x:v>
      </x:c>
      <x:c r="G7701" t="str">
        <x:v>Office Supplies</x:v>
      </x:c>
      <x:c r="H7701" t="str">
        <x:v>Binders</x:v>
      </x:c>
      <x:c r="I7701" s="22" t="n">
        <x:v>5.231999999999998</x:v>
      </x:c>
      <x:c r="J7701" s="24" t="n">
        <x:v>4</x:v>
      </x:c>
      <x:c r="K7701" s="26" t="n">
        <x:v>0.8</x:v>
      </x:c>
      <x:c r="L7701" s="22" t="n">
        <x:v>-8.1096</x:v>
      </x:c>
      <x:c r="M7701" t="n">
        <x:v>2017</x:v>
      </x:c>
      <x:c r="N7701" s="20" t="n">
        <x:v>42917</x:v>
      </x:c>
    </x:row>
    <x:row r="7702" ht="18" customHeight="1">
      <x:c r="A7702" t="str">
        <x:v>CA-2017-151799</x:v>
      </x:c>
      <x:c r="B7702" s="18" t="n">
        <x:v>43083</x:v>
      </x:c>
      <x:c r="C7702" t="str">
        <x:v>BF-11170</x:v>
      </x:c>
      <x:c r="D7702" t="str">
        <x:v>Ben Ferrer</x:v>
      </x:c>
      <x:c r="E7702" t="str">
        <x:v>Home Office</x:v>
      </x:c>
      <x:c r="F7702" t="str">
        <x:v>East</x:v>
      </x:c>
      <x:c r="G7702" t="str">
        <x:v>Technology</x:v>
      </x:c>
      <x:c r="H7702" t="str">
        <x:v>Copiers</x:v>
      </x:c>
      <x:c r="I7702" s="22" t="n">
        <x:v>1199.98</x:v>
      </x:c>
      <x:c r="J7702" s="24" t="n">
        <x:v>2</x:v>
      </x:c>
      <x:c r="K7702" s="26" t="n">
        <x:v>0</x:v>
      </x:c>
      <x:c r="L7702" s="22" t="n">
        <x:v>467.9922</x:v>
      </x:c>
      <x:c r="M7702" t="n">
        <x:v>2017</x:v>
      </x:c>
      <x:c r="N7702" s="20" t="n">
        <x:v>43070</x:v>
      </x:c>
    </x:row>
    <x:row r="7703" ht="18" customHeight="1">
      <x:c r="A7703" t="str">
        <x:v>CA-2017-151799</x:v>
      </x:c>
      <x:c r="B7703" s="18" t="n">
        <x:v>43083</x:v>
      </x:c>
      <x:c r="C7703" t="str">
        <x:v>BF-11170</x:v>
      </x:c>
      <x:c r="D7703" t="str">
        <x:v>Ben Ferrer</x:v>
      </x:c>
      <x:c r="E7703" t="str">
        <x:v>Home Office</x:v>
      </x:c>
      <x:c r="F7703" t="str">
        <x:v>East</x:v>
      </x:c>
      <x:c r="G7703" t="str">
        <x:v>Office Supplies</x:v>
      </x:c>
      <x:c r="H7703" t="str">
        <x:v>Storage</x:v>
      </x:c>
      <x:c r="I7703" s="22" t="n">
        <x:v>73.85</x:v>
      </x:c>
      <x:c r="J7703" s="24" t="n">
        <x:v>1</x:v>
      </x:c>
      <x:c r="K7703" s="26" t="n">
        <x:v>0</x:v>
      </x:c>
      <x:c r="L7703" s="22" t="n">
        <x:v>2.215500000000006</x:v>
      </x:c>
      <x:c r="M7703" t="n">
        <x:v>2017</x:v>
      </x:c>
      <x:c r="N7703" s="20" t="n">
        <x:v>43070</x:v>
      </x:c>
    </x:row>
    <x:row r="7704" ht="18" customHeight="1">
      <x:c r="A7704" t="str">
        <x:v>CA-2017-151799</x:v>
      </x:c>
      <x:c r="B7704" s="18" t="n">
        <x:v>43083</x:v>
      </x:c>
      <x:c r="C7704" t="str">
        <x:v>BF-11170</x:v>
      </x:c>
      <x:c r="D7704" t="str">
        <x:v>Ben Ferrer</x:v>
      </x:c>
      <x:c r="E7704" t="str">
        <x:v>Home Office</x:v>
      </x:c>
      <x:c r="F7704" t="str">
        <x:v>East</x:v>
      </x:c>
      <x:c r="G7704" t="str">
        <x:v>Office Supplies</x:v>
      </x:c>
      <x:c r="H7704" t="str">
        <x:v>Supplies</x:v>
      </x:c>
      <x:c r="I7704" s="22" t="n">
        <x:v>25.71</x:v>
      </x:c>
      <x:c r="J7704" s="24" t="n">
        <x:v>3</x:v>
      </x:c>
      <x:c r="K7704" s="26" t="n">
        <x:v>0</x:v>
      </x:c>
      <x:c r="L7704" s="22" t="n">
        <x:v>6.6846000000000005</x:v>
      </x:c>
      <x:c r="M7704" t="n">
        <x:v>2017</x:v>
      </x:c>
      <x:c r="N7704" s="20" t="n">
        <x:v>43070</x:v>
      </x:c>
    </x:row>
    <x:row r="7705" ht="18" customHeight="1">
      <x:c r="A7705" t="str">
        <x:v>CA-2017-151799</x:v>
      </x:c>
      <x:c r="B7705" s="18" t="n">
        <x:v>43083</x:v>
      </x:c>
      <x:c r="C7705" t="str">
        <x:v>BF-11170</x:v>
      </x:c>
      <x:c r="D7705" t="str">
        <x:v>Ben Ferrer</x:v>
      </x:c>
      <x:c r="E7705" t="str">
        <x:v>Home Office</x:v>
      </x:c>
      <x:c r="F7705" t="str">
        <x:v>East</x:v>
      </x:c>
      <x:c r="G7705" t="str">
        <x:v>Office Supplies</x:v>
      </x:c>
      <x:c r="H7705" t="str">
        <x:v>Fasteners</x:v>
      </x:c>
      <x:c r="I7705" s="22" t="n">
        <x:v>17.28</x:v>
      </x:c>
      <x:c r="J7705" s="24" t="n">
        <x:v>6</x:v>
      </x:c>
      <x:c r="K7705" s="26" t="n">
        <x:v>0</x:v>
      </x:c>
      <x:c r="L7705" s="22" t="n">
        <x:v>8.121599999999999</x:v>
      </x:c>
      <x:c r="M7705" t="n">
        <x:v>2017</x:v>
      </x:c>
      <x:c r="N7705" s="20" t="n">
        <x:v>43070</x:v>
      </x:c>
    </x:row>
    <x:row r="7706" ht="18" customHeight="1">
      <x:c r="A7706" t="str">
        <x:v>CA-2017-151799</x:v>
      </x:c>
      <x:c r="B7706" s="18" t="n">
        <x:v>43083</x:v>
      </x:c>
      <x:c r="C7706" t="str">
        <x:v>BF-11170</x:v>
      </x:c>
      <x:c r="D7706" t="str">
        <x:v>Ben Ferrer</x:v>
      </x:c>
      <x:c r="E7706" t="str">
        <x:v>Home Office</x:v>
      </x:c>
      <x:c r="F7706" t="str">
        <x:v>East</x:v>
      </x:c>
      <x:c r="G7706" t="str">
        <x:v>Furniture</x:v>
      </x:c>
      <x:c r="H7706" t="str">
        <x:v>Tables</x:v>
      </x:c>
      <x:c r="I7706" s="22" t="n">
        <x:v>526.582</x:v>
      </x:c>
      <x:c r="J7706" s="24" t="n">
        <x:v>2</x:v>
      </x:c>
      <x:c r="K7706" s="26" t="n">
        <x:v>0.3</x:v>
      </x:c>
      <x:c r="L7706" s="22" t="n">
        <x:v>-52.658199999999965</x:v>
      </x:c>
      <x:c r="M7706" t="n">
        <x:v>2017</x:v>
      </x:c>
      <x:c r="N7706" s="20" t="n">
        <x:v>43070</x:v>
      </x:c>
    </x:row>
    <x:row r="7707" ht="18" customHeight="1">
      <x:c r="A7707" t="str">
        <x:v>CA-2016-114601</x:v>
      </x:c>
      <x:c r="B7707" s="18" t="n">
        <x:v>42608</x:v>
      </x:c>
      <x:c r="C7707" t="str">
        <x:v>AA-10480</x:v>
      </x:c>
      <x:c r="D7707" t="str">
        <x:v>Andrew Allen</x:v>
      </x:c>
      <x:c r="E7707" t="str">
        <x:v>Consumer</x:v>
      </x:c>
      <x:c r="F7707" t="str">
        <x:v>Central</x:v>
      </x:c>
      <x:c r="G7707" t="str">
        <x:v>Office Supplies</x:v>
      </x:c>
      <x:c r="H7707" t="str">
        <x:v>Paper</x:v>
      </x:c>
      <x:c r="I7707" s="22" t="n">
        <x:v>11.56</x:v>
      </x:c>
      <x:c r="J7707" s="24" t="n">
        <x:v>2</x:v>
      </x:c>
      <x:c r="K7707" s="26" t="n">
        <x:v>0</x:v>
      </x:c>
      <x:c r="L7707" s="22" t="n">
        <x:v>5.6644000000000005</x:v>
      </x:c>
      <x:c r="M7707" t="n">
        <x:v>2016</x:v>
      </x:c>
      <x:c r="N7707" s="20" t="n">
        <x:v>42583</x:v>
      </x:c>
    </x:row>
    <x:row r="7708" ht="18" customHeight="1">
      <x:c r="A7708" t="str">
        <x:v>CA-2016-114601</x:v>
      </x:c>
      <x:c r="B7708" s="18" t="n">
        <x:v>42608</x:v>
      </x:c>
      <x:c r="C7708" t="str">
        <x:v>AA-10480</x:v>
      </x:c>
      <x:c r="D7708" t="str">
        <x:v>Andrew Allen</x:v>
      </x:c>
      <x:c r="E7708" t="str">
        <x:v>Consumer</x:v>
      </x:c>
      <x:c r="F7708" t="str">
        <x:v>Central</x:v>
      </x:c>
      <x:c r="G7708" t="str">
        <x:v>Technology</x:v>
      </x:c>
      <x:c r="H7708" t="str">
        <x:v>Phones</x:v>
      </x:c>
      <x:c r="I7708" s="22" t="n">
        <x:v>209.96999999999997</x:v>
      </x:c>
      <x:c r="J7708" s="24" t="n">
        <x:v>3</x:v>
      </x:c>
      <x:c r="K7708" s="26" t="n">
        <x:v>0</x:v>
      </x:c>
      <x:c r="L7708" s="22" t="n">
        <x:v>58.7916</x:v>
      </x:c>
      <x:c r="M7708" t="n">
        <x:v>2016</x:v>
      </x:c>
      <x:c r="N7708" s="20" t="n">
        <x:v>42583</x:v>
      </x:c>
    </x:row>
    <x:row r="7709" ht="18" customHeight="1">
      <x:c r="A7709" t="str">
        <x:v>CA-2016-114601</x:v>
      </x:c>
      <x:c r="B7709" s="18" t="n">
        <x:v>42608</x:v>
      </x:c>
      <x:c r="C7709" t="str">
        <x:v>AA-10480</x:v>
      </x:c>
      <x:c r="D7709" t="str">
        <x:v>Andrew Allen</x:v>
      </x:c>
      <x:c r="E7709" t="str">
        <x:v>Consumer</x:v>
      </x:c>
      <x:c r="F7709" t="str">
        <x:v>Central</x:v>
      </x:c>
      <x:c r="G7709" t="str">
        <x:v>Furniture</x:v>
      </x:c>
      <x:c r="H7709" t="str">
        <x:v>Tables</x:v>
      </x:c>
      <x:c r="I7709" s="22" t="n">
        <x:v>447.84</x:v>
      </x:c>
      <x:c r="J7709" s="24" t="n">
        <x:v>4</x:v>
      </x:c>
      <x:c r="K7709" s="26" t="n">
        <x:v>0</x:v>
      </x:c>
      <x:c r="L7709" s="22" t="n">
        <x:v>98.52479999999997</x:v>
      </x:c>
      <x:c r="M7709" t="n">
        <x:v>2016</x:v>
      </x:c>
      <x:c r="N7709" s="20" t="n">
        <x:v>42583</x:v>
      </x:c>
    </x:row>
    <x:row r="7710" ht="18" customHeight="1">
      <x:c r="A7710" t="str">
        <x:v>CA-2016-114601</x:v>
      </x:c>
      <x:c r="B7710" s="18" t="n">
        <x:v>42608</x:v>
      </x:c>
      <x:c r="C7710" t="str">
        <x:v>AA-10480</x:v>
      </x:c>
      <x:c r="D7710" t="str">
        <x:v>Andrew Allen</x:v>
      </x:c>
      <x:c r="E7710" t="str">
        <x:v>Consumer</x:v>
      </x:c>
      <x:c r="F7710" t="str">
        <x:v>Central</x:v>
      </x:c>
      <x:c r="G7710" t="str">
        <x:v>Technology</x:v>
      </x:c>
      <x:c r="H7710" t="str">
        <x:v>Accessories</x:v>
      </x:c>
      <x:c r="I7710" s="22" t="n">
        <x:v>479.97</x:v>
      </x:c>
      <x:c r="J7710" s="24" t="n">
        <x:v>3</x:v>
      </x:c>
      <x:c r="K7710" s="26" t="n">
        <x:v>0</x:v>
      </x:c>
      <x:c r="L7710" s="22" t="n">
        <x:v>163.1898</x:v>
      </x:c>
      <x:c r="M7710" t="n">
        <x:v>2016</x:v>
      </x:c>
      <x:c r="N7710" s="20" t="n">
        <x:v>42583</x:v>
      </x:c>
    </x:row>
    <x:row r="7711" ht="18" customHeight="1">
      <x:c r="A7711" t="str">
        <x:v>CA-2016-114601</x:v>
      </x:c>
      <x:c r="B7711" s="18" t="n">
        <x:v>42608</x:v>
      </x:c>
      <x:c r="C7711" t="str">
        <x:v>AA-10480</x:v>
      </x:c>
      <x:c r="D7711" t="str">
        <x:v>Andrew Allen</x:v>
      </x:c>
      <x:c r="E7711" t="str">
        <x:v>Consumer</x:v>
      </x:c>
      <x:c r="F7711" t="str">
        <x:v>Central</x:v>
      </x:c>
      <x:c r="G7711" t="str">
        <x:v>Office Supplies</x:v>
      </x:c>
      <x:c r="H7711" t="str">
        <x:v>Art</x:v>
      </x:c>
      <x:c r="I7711" s="22" t="n">
        <x:v>8.64</x:v>
      </x:c>
      <x:c r="J7711" s="24" t="n">
        <x:v>3</x:v>
      </x:c>
      <x:c r="K7711" s="26" t="n">
        <x:v>0</x:v>
      </x:c>
      <x:c r="L7711" s="22" t="n">
        <x:v>2.5056</x:v>
      </x:c>
      <x:c r="M7711" t="n">
        <x:v>2016</x:v>
      </x:c>
      <x:c r="N7711" s="20" t="n">
        <x:v>42583</x:v>
      </x:c>
    </x:row>
    <x:row r="7712" ht="18" customHeight="1">
      <x:c r="A7712" t="str">
        <x:v>CA-2017-100237</x:v>
      </x:c>
      <x:c r="B7712" s="18" t="n">
        <x:v>43023</x:v>
      </x:c>
      <x:c r="C7712" t="str">
        <x:v>SV-20815</x:v>
      </x:c>
      <x:c r="D7712" t="str">
        <x:v>Stuart Van</x:v>
      </x:c>
      <x:c r="E7712" t="str">
        <x:v>Corporate</x:v>
      </x:c>
      <x:c r="F7712" t="str">
        <x:v>West</x:v>
      </x:c>
      <x:c r="G7712" t="str">
        <x:v>Office Supplies</x:v>
      </x:c>
      <x:c r="H7712" t="str">
        <x:v>Art</x:v>
      </x:c>
      <x:c r="I7712" s="22" t="n">
        <x:v>11.68</x:v>
      </x:c>
      <x:c r="J7712" s="24" t="n">
        <x:v>2</x:v>
      </x:c>
      <x:c r="K7712" s="26" t="n">
        <x:v>0</x:v>
      </x:c>
      <x:c r="L7712" s="22" t="n">
        <x:v>4.2048</x:v>
      </x:c>
      <x:c r="M7712" t="n">
        <x:v>2017</x:v>
      </x:c>
      <x:c r="N7712" s="20" t="n">
        <x:v>43009</x:v>
      </x:c>
    </x:row>
    <x:row r="7713" ht="18" customHeight="1">
      <x:c r="A7713" t="str">
        <x:v>CA-2014-139542</x:v>
      </x:c>
      <x:c r="B7713" s="18" t="n">
        <x:v>41937</x:v>
      </x:c>
      <x:c r="C7713" t="str">
        <x:v>EH-14185</x:v>
      </x:c>
      <x:c r="D7713" t="str">
        <x:v>Evan Henry</x:v>
      </x:c>
      <x:c r="E7713" t="str">
        <x:v>Consumer</x:v>
      </x:c>
      <x:c r="F7713" t="str">
        <x:v>East</x:v>
      </x:c>
      <x:c r="G7713" t="str">
        <x:v>Technology</x:v>
      </x:c>
      <x:c r="H7713" t="str">
        <x:v>Accessories</x:v>
      </x:c>
      <x:c r="I7713" s="22" t="n">
        <x:v>40.775999999999996</x:v>
      </x:c>
      <x:c r="J7713" s="24" t="n">
        <x:v>3</x:v>
      </x:c>
      <x:c r="K7713" s="26" t="n">
        <x:v>0.2</x:v>
      </x:c>
      <x:c r="L7713" s="22" t="n">
        <x:v>0.5097000000000005</x:v>
      </x:c>
      <x:c r="M7713" t="n">
        <x:v>2014</x:v>
      </x:c>
      <x:c r="N7713" s="20" t="n">
        <x:v>41913</x:v>
      </x:c>
    </x:row>
    <x:row r="7714" ht="18" customHeight="1">
      <x:c r="A7714" t="str">
        <x:v>CA-2014-139542</x:v>
      </x:c>
      <x:c r="B7714" s="18" t="n">
        <x:v>41937</x:v>
      </x:c>
      <x:c r="C7714" t="str">
        <x:v>EH-14185</x:v>
      </x:c>
      <x:c r="D7714" t="str">
        <x:v>Evan Henry</x:v>
      </x:c>
      <x:c r="E7714" t="str">
        <x:v>Consumer</x:v>
      </x:c>
      <x:c r="F7714" t="str">
        <x:v>East</x:v>
      </x:c>
      <x:c r="G7714" t="str">
        <x:v>Office Supplies</x:v>
      </x:c>
      <x:c r="H7714" t="str">
        <x:v>Binders</x:v>
      </x:c>
      <x:c r="I7714" s="22" t="n">
        <x:v>13.698000000000002</x:v>
      </x:c>
      <x:c r="J7714" s="24" t="n">
        <x:v>3</x:v>
      </x:c>
      <x:c r="K7714" s="26" t="n">
        <x:v>0.7</x:v>
      </x:c>
      <x:c r="L7714" s="22" t="n">
        <x:v>-9.5886</x:v>
      </x:c>
      <x:c r="M7714" t="n">
        <x:v>2014</x:v>
      </x:c>
      <x:c r="N7714" s="20" t="n">
        <x:v>41913</x:v>
      </x:c>
    </x:row>
    <x:row r="7715" ht="18" customHeight="1">
      <x:c r="A7715" t="str">
        <x:v>US-2015-142811</x:v>
      </x:c>
      <x:c r="B7715" s="18" t="n">
        <x:v>42096</x:v>
      </x:c>
      <x:c r="C7715" t="str">
        <x:v>JL-15850</x:v>
      </x:c>
      <x:c r="D7715" t="str">
        <x:v>John Lucas</x:v>
      </x:c>
      <x:c r="E7715" t="str">
        <x:v>Consumer</x:v>
      </x:c>
      <x:c r="F7715" t="str">
        <x:v>West</x:v>
      </x:c>
      <x:c r="G7715" t="str">
        <x:v>Technology</x:v>
      </x:c>
      <x:c r="H7715" t="str">
        <x:v>Phones</x:v>
      </x:c>
      <x:c r="I7715" s="22" t="n">
        <x:v>87.8</x:v>
      </x:c>
      <x:c r="J7715" s="24" t="n">
        <x:v>5</x:v>
      </x:c>
      <x:c r="K7715" s="26" t="n">
        <x:v>0.2</x:v>
      </x:c>
      <x:c r="L7715" s="22" t="n">
        <x:v>32.925</x:v>
      </x:c>
      <x:c r="M7715" t="n">
        <x:v>2015</x:v>
      </x:c>
      <x:c r="N7715" s="20" t="n">
        <x:v>42095</x:v>
      </x:c>
    </x:row>
    <x:row r="7716" ht="18" customHeight="1">
      <x:c r="A7716" t="str">
        <x:v>CA-2017-139353</x:v>
      </x:c>
      <x:c r="B7716" s="18" t="n">
        <x:v>43036</x:v>
      </x:c>
      <x:c r="C7716" t="str">
        <x:v>JM-15250</x:v>
      </x:c>
      <x:c r="D7716" t="str">
        <x:v>Janet Martin</x:v>
      </x:c>
      <x:c r="E7716" t="str">
        <x:v>Consumer</x:v>
      </x:c>
      <x:c r="F7716" t="str">
        <x:v>South</x:v>
      </x:c>
      <x:c r="G7716" t="str">
        <x:v>Furniture</x:v>
      </x:c>
      <x:c r="H7716" t="str">
        <x:v>Furnishings</x:v>
      </x:c>
      <x:c r="I7716" s="22" t="n">
        <x:v>77.952</x:v>
      </x:c>
      <x:c r="J7716" s="24" t="n">
        <x:v>3</x:v>
      </x:c>
      <x:c r="K7716" s="26" t="n">
        <x:v>0.2</x:v>
      </x:c>
      <x:c r="L7716" s="22" t="n">
        <x:v>15.590399999999995</x:v>
      </x:c>
      <x:c r="M7716" t="n">
        <x:v>2017</x:v>
      </x:c>
      <x:c r="N7716" s="20" t="n">
        <x:v>43009</x:v>
      </x:c>
    </x:row>
    <x:row r="7717" ht="18" customHeight="1">
      <x:c r="A7717" t="str">
        <x:v>CA-2017-139353</x:v>
      </x:c>
      <x:c r="B7717" s="18" t="n">
        <x:v>43036</x:v>
      </x:c>
      <x:c r="C7717" t="str">
        <x:v>JM-15250</x:v>
      </x:c>
      <x:c r="D7717" t="str">
        <x:v>Janet Martin</x:v>
      </x:c>
      <x:c r="E7717" t="str">
        <x:v>Consumer</x:v>
      </x:c>
      <x:c r="F7717" t="str">
        <x:v>South</x:v>
      </x:c>
      <x:c r="G7717" t="str">
        <x:v>Office Supplies</x:v>
      </x:c>
      <x:c r="H7717" t="str">
        <x:v>Storage</x:v>
      </x:c>
      <x:c r="I7717" s="22" t="n">
        <x:v>147.184</x:v>
      </x:c>
      <x:c r="J7717" s="24" t="n">
        <x:v>2</x:v>
      </x:c>
      <x:c r="K7717" s="26" t="n">
        <x:v>0.2</x:v>
      </x:c>
      <x:c r="L7717" s="22" t="n">
        <x:v>-29.436800000000012</x:v>
      </x:c>
      <x:c r="M7717" t="n">
        <x:v>2017</x:v>
      </x:c>
      <x:c r="N7717" s="20" t="n">
        <x:v>43009</x:v>
      </x:c>
    </x:row>
    <x:row r="7718" ht="18" customHeight="1">
      <x:c r="A7718" t="str">
        <x:v>CA-2017-139353</x:v>
      </x:c>
      <x:c r="B7718" s="18" t="n">
        <x:v>43036</x:v>
      </x:c>
      <x:c r="C7718" t="str">
        <x:v>JM-15250</x:v>
      </x:c>
      <x:c r="D7718" t="str">
        <x:v>Janet Martin</x:v>
      </x:c>
      <x:c r="E7718" t="str">
        <x:v>Consumer</x:v>
      </x:c>
      <x:c r="F7718" t="str">
        <x:v>South</x:v>
      </x:c>
      <x:c r="G7718" t="str">
        <x:v>Office Supplies</x:v>
      </x:c>
      <x:c r="H7718" t="str">
        <x:v>Paper</x:v>
      </x:c>
      <x:c r="I7718" s="22" t="n">
        <x:v>47.952000000000005</x:v>
      </x:c>
      <x:c r="J7718" s="24" t="n">
        <x:v>3</x:v>
      </x:c>
      <x:c r="K7718" s="26" t="n">
        <x:v>0.2</x:v>
      </x:c>
      <x:c r="L7718" s="22" t="n">
        <x:v>16.183799999999998</x:v>
      </x:c>
      <x:c r="M7718" t="n">
        <x:v>2017</x:v>
      </x:c>
      <x:c r="N7718" s="20" t="n">
        <x:v>43009</x:v>
      </x:c>
    </x:row>
    <x:row r="7719" ht="18" customHeight="1">
      <x:c r="A7719" t="str">
        <x:v>CA-2014-150203</x:v>
      </x:c>
      <x:c r="B7719" s="18" t="n">
        <x:v>41978</x:v>
      </x:c>
      <x:c r="C7719" t="str">
        <x:v>JB-15925</x:v>
      </x:c>
      <x:c r="D7719" t="str">
        <x:v>Joni Blumstein</x:v>
      </x:c>
      <x:c r="E7719" t="str">
        <x:v>Consumer</x:v>
      </x:c>
      <x:c r="F7719" t="str">
        <x:v>West</x:v>
      </x:c>
      <x:c r="G7719" t="str">
        <x:v>Office Supplies</x:v>
      </x:c>
      <x:c r="H7719" t="str">
        <x:v>Appliances</x:v>
      </x:c>
      <x:c r="I7719" s="22" t="n">
        <x:v>250.26</x:v>
      </x:c>
      <x:c r="J7719" s="24" t="n">
        <x:v>6</x:v>
      </x:c>
      <x:c r="K7719" s="26" t="n">
        <x:v>0</x:v>
      </x:c>
      <x:c r="L7719" s="22" t="n">
        <x:v>72.57539999999997</x:v>
      </x:c>
      <x:c r="M7719" t="n">
        <x:v>2014</x:v>
      </x:c>
      <x:c r="N7719" s="20" t="n">
        <x:v>41974</x:v>
      </x:c>
    </x:row>
    <x:row r="7720" ht="18" customHeight="1">
      <x:c r="A7720" t="str">
        <x:v>US-2017-101518</x:v>
      </x:c>
      <x:c r="B7720" s="18" t="n">
        <x:v>43042</x:v>
      </x:c>
      <x:c r="C7720" t="str">
        <x:v>PB-19105</x:v>
      </x:c>
      <x:c r="D7720" t="str">
        <x:v>Peter Bühler</x:v>
      </x:c>
      <x:c r="E7720" t="str">
        <x:v>Consumer</x:v>
      </x:c>
      <x:c r="F7720" t="str">
        <x:v>East</x:v>
      </x:c>
      <x:c r="G7720" t="str">
        <x:v>Technology</x:v>
      </x:c>
      <x:c r="H7720" t="str">
        <x:v>Accessories</x:v>
      </x:c>
      <x:c r="I7720" s="22" t="n">
        <x:v>40.775999999999996</x:v>
      </x:c>
      <x:c r="J7720" s="24" t="n">
        <x:v>3</x:v>
      </x:c>
      <x:c r="K7720" s="26" t="n">
        <x:v>0.2</x:v>
      </x:c>
      <x:c r="L7720" s="22" t="n">
        <x:v>0.5097000000000005</x:v>
      </x:c>
      <x:c r="M7720" t="n">
        <x:v>2017</x:v>
      </x:c>
      <x:c r="N7720" s="20" t="n">
        <x:v>43040</x:v>
      </x:c>
    </x:row>
    <x:row r="7721" ht="18" customHeight="1">
      <x:c r="A7721" t="str">
        <x:v>CA-2015-149636</x:v>
      </x:c>
      <x:c r="B7721" s="18" t="n">
        <x:v>42010</x:v>
      </x:c>
      <x:c r="C7721" t="str">
        <x:v>SP-20620</x:v>
      </x:c>
      <x:c r="D7721" t="str">
        <x:v>Stefania Perrino</x:v>
      </x:c>
      <x:c r="E7721" t="str">
        <x:v>Corporate</x:v>
      </x:c>
      <x:c r="F7721" t="str">
        <x:v>West</x:v>
      </x:c>
      <x:c r="G7721" t="str">
        <x:v>Office Supplies</x:v>
      </x:c>
      <x:c r="H7721" t="str">
        <x:v>Paper</x:v>
      </x:c>
      <x:c r="I7721" s="22" t="n">
        <x:v>29.600000000000005</x:v>
      </x:c>
      <x:c r="J7721" s="24" t="n">
        <x:v>5</x:v>
      </x:c>
      <x:c r="K7721" s="26" t="n">
        <x:v>0.2</x:v>
      </x:c>
      <x:c r="L7721" s="22" t="n">
        <x:v>9.249999999999996</x:v>
      </x:c>
      <x:c r="M7721" t="n">
        <x:v>2015</x:v>
      </x:c>
      <x:c r="N7721" s="20" t="n">
        <x:v>42005</x:v>
      </x:c>
    </x:row>
    <x:row r="7722" ht="18" customHeight="1">
      <x:c r="A7722" t="str">
        <x:v>CA-2015-149636</x:v>
      </x:c>
      <x:c r="B7722" s="18" t="n">
        <x:v>42010</x:v>
      </x:c>
      <x:c r="C7722" t="str">
        <x:v>SP-20620</x:v>
      </x:c>
      <x:c r="D7722" t="str">
        <x:v>Stefania Perrino</x:v>
      </x:c>
      <x:c r="E7722" t="str">
        <x:v>Corporate</x:v>
      </x:c>
      <x:c r="F7722" t="str">
        <x:v>West</x:v>
      </x:c>
      <x:c r="G7722" t="str">
        <x:v>Office Supplies</x:v>
      </x:c>
      <x:c r="H7722" t="str">
        <x:v>Binders</x:v>
      </x:c>
      <x:c r="I7722" s="22" t="n">
        <x:v>1.9380000000000002</x:v>
      </x:c>
      <x:c r="J7722" s="24" t="n">
        <x:v>2</x:v>
      </x:c>
      <x:c r="K7722" s="26" t="n">
        <x:v>0.7</x:v>
      </x:c>
      <x:c r="L7722" s="22" t="n">
        <x:v>-1.3565999999999994</x:v>
      </x:c>
      <x:c r="M7722" t="n">
        <x:v>2015</x:v>
      </x:c>
      <x:c r="N7722" s="20" t="n">
        <x:v>42005</x:v>
      </x:c>
    </x:row>
    <x:row r="7723" ht="18" customHeight="1">
      <x:c r="A7723" t="str">
        <x:v>US-2017-146213</x:v>
      </x:c>
      <x:c r="B7723" s="18" t="n">
        <x:v>42987</x:v>
      </x:c>
      <x:c r="C7723" t="str">
        <x:v>MC-17605</x:v>
      </x:c>
      <x:c r="D7723" t="str">
        <x:v>Matt Connell</x:v>
      </x:c>
      <x:c r="E7723" t="str">
        <x:v>Corporate</x:v>
      </x:c>
      <x:c r="F7723" t="str">
        <x:v>West</x:v>
      </x:c>
      <x:c r="G7723" t="str">
        <x:v>Technology</x:v>
      </x:c>
      <x:c r="H7723" t="str">
        <x:v>Accessories</x:v>
      </x:c>
      <x:c r="I7723" s="22" t="n">
        <x:v>159.96</x:v>
      </x:c>
      <x:c r="J7723" s="24" t="n">
        <x:v>4</x:v>
      </x:c>
      <x:c r="K7723" s="26" t="n">
        <x:v>0</x:v>
      </x:c>
      <x:c r="L7723" s="22" t="n">
        <x:v>51.18719999999999</x:v>
      </x:c>
      <x:c r="M7723" t="n">
        <x:v>2017</x:v>
      </x:c>
      <x:c r="N7723" s="20" t="n">
        <x:v>42979</x:v>
      </x:c>
    </x:row>
    <x:row r="7724" ht="18" customHeight="1">
      <x:c r="A7724" t="str">
        <x:v>CA-2015-108588</x:v>
      </x:c>
      <x:c r="B7724" s="18" t="n">
        <x:v>42009</x:v>
      </x:c>
      <x:c r="C7724" t="str">
        <x:v>BG-11695</x:v>
      </x:c>
      <x:c r="D7724" t="str">
        <x:v>Brooke Gillingham</x:v>
      </x:c>
      <x:c r="E7724" t="str">
        <x:v>Corporate</x:v>
      </x:c>
      <x:c r="F7724" t="str">
        <x:v>East</x:v>
      </x:c>
      <x:c r="G7724" t="str">
        <x:v>Office Supplies</x:v>
      </x:c>
      <x:c r="H7724" t="str">
        <x:v>Art</x:v>
      </x:c>
      <x:c r="I7724" s="22" t="n">
        <x:v>59.519999999999996</x:v>
      </x:c>
      <x:c r="J7724" s="24" t="n">
        <x:v>3</x:v>
      </x:c>
      <x:c r="K7724" s="26" t="n">
        <x:v>0</x:v>
      </x:c>
      <x:c r="L7724" s="22" t="n">
        <x:v>15.475200000000001</x:v>
      </x:c>
      <x:c r="M7724" t="n">
        <x:v>2015</x:v>
      </x:c>
      <x:c r="N7724" s="20" t="n">
        <x:v>42005</x:v>
      </x:c>
    </x:row>
    <x:row r="7725" ht="18" customHeight="1">
      <x:c r="A7725" t="str">
        <x:v>CA-2015-108588</x:v>
      </x:c>
      <x:c r="B7725" s="18" t="n">
        <x:v>42009</x:v>
      </x:c>
      <x:c r="C7725" t="str">
        <x:v>BG-11695</x:v>
      </x:c>
      <x:c r="D7725" t="str">
        <x:v>Brooke Gillingham</x:v>
      </x:c>
      <x:c r="E7725" t="str">
        <x:v>Corporate</x:v>
      </x:c>
      <x:c r="F7725" t="str">
        <x:v>East</x:v>
      </x:c>
      <x:c r="G7725" t="str">
        <x:v>Office Supplies</x:v>
      </x:c>
      <x:c r="H7725" t="str">
        <x:v>Envelopes</x:v>
      </x:c>
      <x:c r="I7725" s="22" t="n">
        <x:v>17.48</x:v>
      </x:c>
      <x:c r="J7725" s="24" t="n">
        <x:v>2</x:v>
      </x:c>
      <x:c r="K7725" s="26" t="n">
        <x:v>0</x:v>
      </x:c>
      <x:c r="L7725" s="22" t="n">
        <x:v>8.2156</x:v>
      </x:c>
      <x:c r="M7725" t="n">
        <x:v>2015</x:v>
      </x:c>
      <x:c r="N7725" s="20" t="n">
        <x:v>42005</x:v>
      </x:c>
    </x:row>
    <x:row r="7726" ht="18" customHeight="1">
      <x:c r="A7726" t="str">
        <x:v>CA-2015-108588</x:v>
      </x:c>
      <x:c r="B7726" s="18" t="n">
        <x:v>42009</x:v>
      </x:c>
      <x:c r="C7726" t="str">
        <x:v>BG-11695</x:v>
      </x:c>
      <x:c r="D7726" t="str">
        <x:v>Brooke Gillingham</x:v>
      </x:c>
      <x:c r="E7726" t="str">
        <x:v>Corporate</x:v>
      </x:c>
      <x:c r="F7726" t="str">
        <x:v>East</x:v>
      </x:c>
      <x:c r="G7726" t="str">
        <x:v>Office Supplies</x:v>
      </x:c>
      <x:c r="H7726" t="str">
        <x:v>Binders</x:v>
      </x:c>
      <x:c r="I7726" s="22" t="n">
        <x:v>13.168000000000001</x:v>
      </x:c>
      <x:c r="J7726" s="24" t="n">
        <x:v>2</x:v>
      </x:c>
      <x:c r="K7726" s="26" t="n">
        <x:v>0.2</x:v>
      </x:c>
      <x:c r="L7726" s="22" t="n">
        <x:v>4.6088000000000005</x:v>
      </x:c>
      <x:c r="M7726" t="n">
        <x:v>2015</x:v>
      </x:c>
      <x:c r="N7726" s="20" t="n">
        <x:v>42005</x:v>
      </x:c>
    </x:row>
    <x:row r="7727" ht="18" customHeight="1">
      <x:c r="A7727" t="str">
        <x:v>US-2017-138086</x:v>
      </x:c>
      <x:c r="B7727" s="18" t="n">
        <x:v>42841</x:v>
      </x:c>
      <x:c r="C7727" t="str">
        <x:v>JO-15550</x:v>
      </x:c>
      <x:c r="D7727" t="str">
        <x:v>Jesus Ocampo</x:v>
      </x:c>
      <x:c r="E7727" t="str">
        <x:v>Home Office</x:v>
      </x:c>
      <x:c r="F7727" t="str">
        <x:v>West</x:v>
      </x:c>
      <x:c r="G7727" t="str">
        <x:v>Office Supplies</x:v>
      </x:c>
      <x:c r="H7727" t="str">
        <x:v>Appliances</x:v>
      </x:c>
      <x:c r="I7727" s="22" t="n">
        <x:v>40.74</x:v>
      </x:c>
      <x:c r="J7727" s="24" t="n">
        <x:v>3</x:v>
      </x:c>
      <x:c r="K7727" s="26" t="n">
        <x:v>0</x:v>
      </x:c>
      <x:c r="L7727" s="22" t="n">
        <x:v>12.222</x:v>
      </x:c>
      <x:c r="M7727" t="n">
        <x:v>2017</x:v>
      </x:c>
      <x:c r="N7727" s="20" t="n">
        <x:v>42826</x:v>
      </x:c>
    </x:row>
    <x:row r="7728" ht="18" customHeight="1">
      <x:c r="A7728" t="str">
        <x:v>CA-2015-139374</x:v>
      </x:c>
      <x:c r="B7728" s="18" t="n">
        <x:v>42257</x:v>
      </x:c>
      <x:c r="C7728" t="str">
        <x:v>AR-10345</x:v>
      </x:c>
      <x:c r="D7728" t="str">
        <x:v>Alex Russell</x:v>
      </x:c>
      <x:c r="E7728" t="str">
        <x:v>Corporate</x:v>
      </x:c>
      <x:c r="F7728" t="str">
        <x:v>Central</x:v>
      </x:c>
      <x:c r="G7728" t="str">
        <x:v>Furniture</x:v>
      </x:c>
      <x:c r="H7728" t="str">
        <x:v>Chairs</x:v>
      </x:c>
      <x:c r="I7728" s="22" t="n">
        <x:v>179.886</x:v>
      </x:c>
      <x:c r="J7728" s="24" t="n">
        <x:v>1</x:v>
      </x:c>
      <x:c r="K7728" s="26" t="n">
        <x:v>0.3</x:v>
      </x:c>
      <x:c r="L7728" s="22" t="n">
        <x:v>-2.569800000000029</x:v>
      </x:c>
      <x:c r="M7728" t="n">
        <x:v>2015</x:v>
      </x:c>
      <x:c r="N7728" s="20" t="n">
        <x:v>42248</x:v>
      </x:c>
    </x:row>
    <x:row r="7729" ht="18" customHeight="1">
      <x:c r="A7729" t="str">
        <x:v>CA-2016-113978</x:v>
      </x:c>
      <x:c r="B7729" s="18" t="n">
        <x:v>42638</x:v>
      </x:c>
      <x:c r="C7729" t="str">
        <x:v>TS-21505</x:v>
      </x:c>
      <x:c r="D7729" t="str">
        <x:v>Tony Sayre</x:v>
      </x:c>
      <x:c r="E7729" t="str">
        <x:v>Consumer</x:v>
      </x:c>
      <x:c r="F7729" t="str">
        <x:v>East</x:v>
      </x:c>
      <x:c r="G7729" t="str">
        <x:v>Office Supplies</x:v>
      </x:c>
      <x:c r="H7729" t="str">
        <x:v>Appliances</x:v>
      </x:c>
      <x:c r="I7729" s="22" t="n">
        <x:v>286.25600000000003</x:v>
      </x:c>
      <x:c r="J7729" s="24" t="n">
        <x:v>1</x:v>
      </x:c>
      <x:c r="K7729" s="26" t="n">
        <x:v>0.2</x:v>
      </x:c>
      <x:c r="L7729" s="22" t="n">
        <x:v>17.890999999999977</x:v>
      </x:c>
      <x:c r="M7729" t="n">
        <x:v>2016</x:v>
      </x:c>
      <x:c r="N7729" s="20" t="n">
        <x:v>42614</x:v>
      </x:c>
    </x:row>
    <x:row r="7730" ht="18" customHeight="1">
      <x:c r="A7730" t="str">
        <x:v>CA-2016-113978</x:v>
      </x:c>
      <x:c r="B7730" s="18" t="n">
        <x:v>42638</x:v>
      </x:c>
      <x:c r="C7730" t="str">
        <x:v>TS-21505</x:v>
      </x:c>
      <x:c r="D7730" t="str">
        <x:v>Tony Sayre</x:v>
      </x:c>
      <x:c r="E7730" t="str">
        <x:v>Consumer</x:v>
      </x:c>
      <x:c r="F7730" t="str">
        <x:v>East</x:v>
      </x:c>
      <x:c r="G7730" t="str">
        <x:v>Office Supplies</x:v>
      </x:c>
      <x:c r="H7730" t="str">
        <x:v>Storage</x:v>
      </x:c>
      <x:c r="I7730" s="22" t="n">
        <x:v>24.224000000000004</x:v>
      </x:c>
      <x:c r="J7730" s="24" t="n">
        <x:v>2</x:v>
      </x:c>
      <x:c r="K7730" s="26" t="n">
        <x:v>0.2</x:v>
      </x:c>
      <x:c r="L7730" s="22" t="n">
        <x:v>-4.844800000000003</x:v>
      </x:c>
      <x:c r="M7730" t="n">
        <x:v>2016</x:v>
      </x:c>
      <x:c r="N7730" s="20" t="n">
        <x:v>42614</x:v>
      </x:c>
    </x:row>
    <x:row r="7731" ht="18" customHeight="1">
      <x:c r="A7731" t="str">
        <x:v>CA-2016-113978</x:v>
      </x:c>
      <x:c r="B7731" s="18" t="n">
        <x:v>42638</x:v>
      </x:c>
      <x:c r="C7731" t="str">
        <x:v>TS-21505</x:v>
      </x:c>
      <x:c r="D7731" t="str">
        <x:v>Tony Sayre</x:v>
      </x:c>
      <x:c r="E7731" t="str">
        <x:v>Consumer</x:v>
      </x:c>
      <x:c r="F7731" t="str">
        <x:v>East</x:v>
      </x:c>
      <x:c r="G7731" t="str">
        <x:v>Office Supplies</x:v>
      </x:c>
      <x:c r="H7731" t="str">
        <x:v>Storage</x:v>
      </x:c>
      <x:c r="I7731" s="22" t="n">
        <x:v>331.536</x:v>
      </x:c>
      <x:c r="J7731" s="24" t="n">
        <x:v>3</x:v>
      </x:c>
      <x:c r="K7731" s="26" t="n">
        <x:v>0.2</x:v>
      </x:c>
      <x:c r="L7731" s="22" t="n">
        <x:v>-82.884</x:v>
      </x:c>
      <x:c r="M7731" t="n">
        <x:v>2016</x:v>
      </x:c>
      <x:c r="N7731" s="20" t="n">
        <x:v>42614</x:v>
      </x:c>
    </x:row>
    <x:row r="7732" ht="18" customHeight="1">
      <x:c r="A7732" t="str">
        <x:v>US-2015-150231</x:v>
      </x:c>
      <x:c r="B7732" s="18" t="n">
        <x:v>42079</x:v>
      </x:c>
      <x:c r="C7732" t="str">
        <x:v>JK-15640</x:v>
      </x:c>
      <x:c r="D7732" t="str">
        <x:v>Jim Kriz</x:v>
      </x:c>
      <x:c r="E7732" t="str">
        <x:v>Home Office</x:v>
      </x:c>
      <x:c r="F7732" t="str">
        <x:v>East</x:v>
      </x:c>
      <x:c r="G7732" t="str">
        <x:v>Office Supplies</x:v>
      </x:c>
      <x:c r="H7732" t="str">
        <x:v>Art</x:v>
      </x:c>
      <x:c r="I7732" s="22" t="n">
        <x:v>17.52</x:v>
      </x:c>
      <x:c r="J7732" s="24" t="n">
        <x:v>3</x:v>
      </x:c>
      <x:c r="K7732" s="26" t="n">
        <x:v>0</x:v>
      </x:c>
      <x:c r="L7732" s="22" t="n">
        <x:v>6.3072</x:v>
      </x:c>
      <x:c r="M7732" t="n">
        <x:v>2015</x:v>
      </x:c>
      <x:c r="N7732" s="20" t="n">
        <x:v>42064</x:v>
      </x:c>
    </x:row>
    <x:row r="7733" ht="18" customHeight="1">
      <x:c r="A7733" t="str">
        <x:v>CA-2016-106915</x:v>
      </x:c>
      <x:c r="B7733" s="18" t="n">
        <x:v>42700</x:v>
      </x:c>
      <x:c r="C7733" t="str">
        <x:v>GA-14515</x:v>
      </x:c>
      <x:c r="D7733" t="str">
        <x:v>George Ashbrook</x:v>
      </x:c>
      <x:c r="E7733" t="str">
        <x:v>Consumer</x:v>
      </x:c>
      <x:c r="F7733" t="str">
        <x:v>Central</x:v>
      </x:c>
      <x:c r="G7733" t="str">
        <x:v>Office Supplies</x:v>
      </x:c>
      <x:c r="H7733" t="str">
        <x:v>Art</x:v>
      </x:c>
      <x:c r="I7733" s="22" t="n">
        <x:v>17.856</x:v>
      </x:c>
      <x:c r="J7733" s="24" t="n">
        <x:v>4</x:v>
      </x:c>
      <x:c r="K7733" s="26" t="n">
        <x:v>0.2</x:v>
      </x:c>
      <x:c r="L7733" s="22" t="n">
        <x:v>4.2408</x:v>
      </x:c>
      <x:c r="M7733" t="n">
        <x:v>2016</x:v>
      </x:c>
      <x:c r="N7733" s="20" t="n">
        <x:v>42675</x:v>
      </x:c>
    </x:row>
    <x:row r="7734" ht="18" customHeight="1">
      <x:c r="A7734" t="str">
        <x:v>US-2016-109260</x:v>
      </x:c>
      <x:c r="B7734" s="18" t="n">
        <x:v>42639</x:v>
      </x:c>
      <x:c r="C7734" t="str">
        <x:v>TN-21040</x:v>
      </x:c>
      <x:c r="D7734" t="str">
        <x:v>Tanja Norvell</x:v>
      </x:c>
      <x:c r="E7734" t="str">
        <x:v>Home Office</x:v>
      </x:c>
      <x:c r="F7734" t="str">
        <x:v>South</x:v>
      </x:c>
      <x:c r="G7734" t="str">
        <x:v>Technology</x:v>
      </x:c>
      <x:c r="H7734" t="str">
        <x:v>Accessories</x:v>
      </x:c>
      <x:c r="I7734" s="22" t="n">
        <x:v>431.97600000000006</x:v>
      </x:c>
      <x:c r="J7734" s="24" t="n">
        <x:v>3</x:v>
      </x:c>
      <x:c r="K7734" s="26" t="n">
        <x:v>0.2</x:v>
      </x:c>
      <x:c r="L7734" s="22" t="n">
        <x:v>-75.59580000000004</x:v>
      </x:c>
      <x:c r="M7734" t="n">
        <x:v>2016</x:v>
      </x:c>
      <x:c r="N7734" s="20" t="n">
        <x:v>42614</x:v>
      </x:c>
    </x:row>
    <x:row r="7735" ht="18" customHeight="1">
      <x:c r="A7735" t="str">
        <x:v>CA-2017-104850</x:v>
      </x:c>
      <x:c r="B7735" s="18" t="n">
        <x:v>42899</x:v>
      </x:c>
      <x:c r="C7735" t="str">
        <x:v>TW-21025</x:v>
      </x:c>
      <x:c r="D7735" t="str">
        <x:v>Tamara Willingham</x:v>
      </x:c>
      <x:c r="E7735" t="str">
        <x:v>Home Office</x:v>
      </x:c>
      <x:c r="F7735" t="str">
        <x:v>West</x:v>
      </x:c>
      <x:c r="G7735" t="str">
        <x:v>Furniture</x:v>
      </x:c>
      <x:c r="H7735" t="str">
        <x:v>Chairs</x:v>
      </x:c>
      <x:c r="I7735" s="22" t="n">
        <x:v>291.136</x:v>
      </x:c>
      <x:c r="J7735" s="24" t="n">
        <x:v>4</x:v>
      </x:c>
      <x:c r="K7735" s="26" t="n">
        <x:v>0.2</x:v>
      </x:c>
      <x:c r="L7735" s="22" t="n">
        <x:v>-25.474400000000017</x:v>
      </x:c>
      <x:c r="M7735" t="n">
        <x:v>2017</x:v>
      </x:c>
      <x:c r="N7735" s="20" t="n">
        <x:v>42887</x:v>
      </x:c>
    </x:row>
    <x:row r="7736" ht="18" customHeight="1">
      <x:c r="A7736" t="str">
        <x:v>CA-2017-140508</x:v>
      </x:c>
      <x:c r="B7736" s="18" t="n">
        <x:v>42996</x:v>
      </x:c>
      <x:c r="C7736" t="str">
        <x:v>PA-19060</x:v>
      </x:c>
      <x:c r="D7736" t="str">
        <x:v>Pete Armstrong</x:v>
      </x:c>
      <x:c r="E7736" t="str">
        <x:v>Home Office</x:v>
      </x:c>
      <x:c r="F7736" t="str">
        <x:v>Central</x:v>
      </x:c>
      <x:c r="G7736" t="str">
        <x:v>Office Supplies</x:v>
      </x:c>
      <x:c r="H7736" t="str">
        <x:v>Envelopes</x:v>
      </x:c>
      <x:c r="I7736" s="22" t="n">
        <x:v>114.84800000000001</x:v>
      </x:c>
      <x:c r="J7736" s="24" t="n">
        <x:v>4</x:v>
      </x:c>
      <x:c r="K7736" s="26" t="n">
        <x:v>0.2</x:v>
      </x:c>
      <x:c r="L7736" s="22" t="n">
        <x:v>35.889999999999986</x:v>
      </x:c>
      <x:c r="M7736" t="n">
        <x:v>2017</x:v>
      </x:c>
      <x:c r="N7736" s="20" t="n">
        <x:v>42979</x:v>
      </x:c>
    </x:row>
    <x:row r="7737" ht="18" customHeight="1">
      <x:c r="A7737" t="str">
        <x:v>CA-2017-143294</x:v>
      </x:c>
      <x:c r="B7737" s="18" t="n">
        <x:v>42888</x:v>
      </x:c>
      <x:c r="C7737" t="str">
        <x:v>JD-15790</x:v>
      </x:c>
      <x:c r="D7737" t="str">
        <x:v>John Dryer</x:v>
      </x:c>
      <x:c r="E7737" t="str">
        <x:v>Consumer</x:v>
      </x:c>
      <x:c r="F7737" t="str">
        <x:v>Central</x:v>
      </x:c>
      <x:c r="G7737" t="str">
        <x:v>Office Supplies</x:v>
      </x:c>
      <x:c r="H7737" t="str">
        <x:v>Paper</x:v>
      </x:c>
      <x:c r="I7737" s="22" t="n">
        <x:v>10.688</x:v>
      </x:c>
      <x:c r="J7737" s="24" t="n">
        <x:v>2</x:v>
      </x:c>
      <x:c r="K7737" s="26" t="n">
        <x:v>0.2</x:v>
      </x:c>
      <x:c r="L7737" s="22" t="n">
        <x:v>3.7407999999999997</x:v>
      </x:c>
      <x:c r="M7737" t="n">
        <x:v>2017</x:v>
      </x:c>
      <x:c r="N7737" s="20" t="n">
        <x:v>42887</x:v>
      </x:c>
    </x:row>
    <x:row r="7738" ht="18" customHeight="1">
      <x:c r="A7738" t="str">
        <x:v>CA-2016-165673</x:v>
      </x:c>
      <x:c r="B7738" s="18" t="n">
        <x:v>42505</x:v>
      </x:c>
      <x:c r="C7738" t="str">
        <x:v>MN-17935</x:v>
      </x:c>
      <x:c r="D7738" t="str">
        <x:v>Michael Nguyen</x:v>
      </x:c>
      <x:c r="E7738" t="str">
        <x:v>Consumer</x:v>
      </x:c>
      <x:c r="F7738" t="str">
        <x:v>East</x:v>
      </x:c>
      <x:c r="G7738" t="str">
        <x:v>Office Supplies</x:v>
      </x:c>
      <x:c r="H7738" t="str">
        <x:v>Paper</x:v>
      </x:c>
      <x:c r="I7738" s="22" t="n">
        <x:v>15.232</x:v>
      </x:c>
      <x:c r="J7738" s="24" t="n">
        <x:v>4</x:v>
      </x:c>
      <x:c r="K7738" s="26" t="n">
        <x:v>0.2</x:v>
      </x:c>
      <x:c r="L7738" s="22" t="n">
        <x:v>5.521599999999999</x:v>
      </x:c>
      <x:c r="M7738" t="n">
        <x:v>2016</x:v>
      </x:c>
      <x:c r="N7738" s="20" t="n">
        <x:v>42491</x:v>
      </x:c>
    </x:row>
    <x:row r="7739" ht="18" customHeight="1">
      <x:c r="A7739" t="str">
        <x:v>CA-2017-134418</x:v>
      </x:c>
      <x:c r="B7739" s="18" t="n">
        <x:v>42993</x:v>
      </x:c>
      <x:c r="C7739" t="str">
        <x:v>GM-14500</x:v>
      </x:c>
      <x:c r="D7739" t="str">
        <x:v>Gene McClure</x:v>
      </x:c>
      <x:c r="E7739" t="str">
        <x:v>Consumer</x:v>
      </x:c>
      <x:c r="F7739" t="str">
        <x:v>West</x:v>
      </x:c>
      <x:c r="G7739" t="str">
        <x:v>Office Supplies</x:v>
      </x:c>
      <x:c r="H7739" t="str">
        <x:v>Art</x:v>
      </x:c>
      <x:c r="I7739" s="22" t="n">
        <x:v>12.419999999999998</x:v>
      </x:c>
      <x:c r="J7739" s="24" t="n">
        <x:v>3</x:v>
      </x:c>
      <x:c r="K7739" s="26" t="n">
        <x:v>0</x:v>
      </x:c>
      <x:c r="L7739" s="22" t="n">
        <x:v>5.2164</x:v>
      </x:c>
      <x:c r="M7739" t="n">
        <x:v>2017</x:v>
      </x:c>
      <x:c r="N7739" s="20" t="n">
        <x:v>42979</x:v>
      </x:c>
    </x:row>
    <x:row r="7740" ht="18" customHeight="1">
      <x:c r="A7740" t="str">
        <x:v>US-2016-106313</x:v>
      </x:c>
      <x:c r="B7740" s="18" t="n">
        <x:v>42604</x:v>
      </x:c>
      <x:c r="C7740" t="str">
        <x:v>DG-13300</x:v>
      </x:c>
      <x:c r="D7740" t="str">
        <x:v>Deirdre Greer</x:v>
      </x:c>
      <x:c r="E7740" t="str">
        <x:v>Corporate</x:v>
      </x:c>
      <x:c r="F7740" t="str">
        <x:v>West</x:v>
      </x:c>
      <x:c r="G7740" t="str">
        <x:v>Office Supplies</x:v>
      </x:c>
      <x:c r="H7740" t="str">
        <x:v>Paper</x:v>
      </x:c>
      <x:c r="I7740" s="22" t="n">
        <x:v>19.44</x:v>
      </x:c>
      <x:c r="J7740" s="24" t="n">
        <x:v>3</x:v>
      </x:c>
      <x:c r="K7740" s="26" t="n">
        <x:v>0</x:v>
      </x:c>
      <x:c r="L7740" s="22" t="n">
        <x:v>9.3312</x:v>
      </x:c>
      <x:c r="M7740" t="n">
        <x:v>2016</x:v>
      </x:c>
      <x:c r="N7740" s="20" t="n">
        <x:v>42583</x:v>
      </x:c>
    </x:row>
    <x:row r="7741" ht="18" customHeight="1">
      <x:c r="A7741" t="str">
        <x:v>CA-2014-105872</x:v>
      </x:c>
      <x:c r="B7741" s="18" t="n">
        <x:v>41789</x:v>
      </x:c>
      <x:c r="C7741" t="str">
        <x:v>JG-15160</x:v>
      </x:c>
      <x:c r="D7741" t="str">
        <x:v>James Galang</x:v>
      </x:c>
      <x:c r="E7741" t="str">
        <x:v>Consumer</x:v>
      </x:c>
      <x:c r="F7741" t="str">
        <x:v>East</x:v>
      </x:c>
      <x:c r="G7741" t="str">
        <x:v>Office Supplies</x:v>
      </x:c>
      <x:c r="H7741" t="str">
        <x:v>Binders</x:v>
      </x:c>
      <x:c r="I7741" s="22" t="n">
        <x:v>70.368</x:v>
      </x:c>
      <x:c r="J7741" s="24" t="n">
        <x:v>4</x:v>
      </x:c>
      <x:c r="K7741" s="26" t="n">
        <x:v>0.2</x:v>
      </x:c>
      <x:c r="L7741" s="22" t="n">
        <x:v>26.387999999999998</x:v>
      </x:c>
      <x:c r="M7741" t="n">
        <x:v>2014</x:v>
      </x:c>
      <x:c r="N7741" s="20" t="n">
        <x:v>41760</x:v>
      </x:c>
    </x:row>
    <x:row r="7742" ht="18" customHeight="1">
      <x:c r="A7742" t="str">
        <x:v>CA-2017-108287</x:v>
      </x:c>
      <x:c r="B7742" s="18" t="n">
        <x:v>43087</x:v>
      </x:c>
      <x:c r="C7742" t="str">
        <x:v>AG-10330</x:v>
      </x:c>
      <x:c r="D7742" t="str">
        <x:v>Alex Grayson</x:v>
      </x:c>
      <x:c r="E7742" t="str">
        <x:v>Consumer</x:v>
      </x:c>
      <x:c r="F7742" t="str">
        <x:v>South</x:v>
      </x:c>
      <x:c r="G7742" t="str">
        <x:v>Office Supplies</x:v>
      </x:c>
      <x:c r="H7742" t="str">
        <x:v>Art</x:v>
      </x:c>
      <x:c r="I7742" s="22" t="n">
        <x:v>12.672</x:v>
      </x:c>
      <x:c r="J7742" s="24" t="n">
        <x:v>9</x:v>
      </x:c>
      <x:c r="K7742" s="26" t="n">
        <x:v>0.2</x:v>
      </x:c>
      <x:c r="L7742" s="22" t="n">
        <x:v>1.4255999999999993</x:v>
      </x:c>
      <x:c r="M7742" t="n">
        <x:v>2017</x:v>
      </x:c>
      <x:c r="N7742" s="20" t="n">
        <x:v>43070</x:v>
      </x:c>
    </x:row>
    <x:row r="7743" ht="18" customHeight="1">
      <x:c r="A7743" t="str">
        <x:v>CA-2017-141103</x:v>
      </x:c>
      <x:c r="B7743" s="18" t="n">
        <x:v>42946</x:v>
      </x:c>
      <x:c r="C7743" t="str">
        <x:v>JF-15355</x:v>
      </x:c>
      <x:c r="D7743" t="str">
        <x:v>Jay Fein</x:v>
      </x:c>
      <x:c r="E7743" t="str">
        <x:v>Consumer</x:v>
      </x:c>
      <x:c r="F7743" t="str">
        <x:v>East</x:v>
      </x:c>
      <x:c r="G7743" t="str">
        <x:v>Technology</x:v>
      </x:c>
      <x:c r="H7743" t="str">
        <x:v>Phones</x:v>
      </x:c>
      <x:c r="I7743" s="22" t="n">
        <x:v>89.94999999999999</x:v>
      </x:c>
      <x:c r="J7743" s="24" t="n">
        <x:v>5</x:v>
      </x:c>
      <x:c r="K7743" s="26" t="n">
        <x:v>0</x:v>
      </x:c>
      <x:c r="L7743" s="22" t="n">
        <x:v>43.175999999999995</x:v>
      </x:c>
      <x:c r="M7743" t="n">
        <x:v>2017</x:v>
      </x:c>
      <x:c r="N7743" s="20" t="n">
        <x:v>42917</x:v>
      </x:c>
    </x:row>
    <x:row r="7744" ht="18" customHeight="1">
      <x:c r="A7744" t="str">
        <x:v>CA-2014-154781</x:v>
      </x:c>
      <x:c r="B7744" s="18" t="n">
        <x:v>41964</x:v>
      </x:c>
      <x:c r="C7744" t="str">
        <x:v>SC-20680</x:v>
      </x:c>
      <x:c r="D7744" t="str">
        <x:v>Steve Carroll</x:v>
      </x:c>
      <x:c r="E7744" t="str">
        <x:v>Home Office</x:v>
      </x:c>
      <x:c r="F7744" t="str">
        <x:v>West</x:v>
      </x:c>
      <x:c r="G7744" t="str">
        <x:v>Office Supplies</x:v>
      </x:c>
      <x:c r="H7744" t="str">
        <x:v>Paper</x:v>
      </x:c>
      <x:c r="I7744" s="22" t="n">
        <x:v>6.58</x:v>
      </x:c>
      <x:c r="J7744" s="24" t="n">
        <x:v>2</x:v>
      </x:c>
      <x:c r="K7744" s="26" t="n">
        <x:v>0</x:v>
      </x:c>
      <x:c r="L7744" s="22" t="n">
        <x:v>3.0267999999999997</x:v>
      </x:c>
      <x:c r="M7744" t="n">
        <x:v>2014</x:v>
      </x:c>
      <x:c r="N7744" s="20" t="n">
        <x:v>41944</x:v>
      </x:c>
    </x:row>
    <x:row r="7745" ht="18" customHeight="1">
      <x:c r="A7745" t="str">
        <x:v>CA-2014-154781</x:v>
      </x:c>
      <x:c r="B7745" s="18" t="n">
        <x:v>41964</x:v>
      </x:c>
      <x:c r="C7745" t="str">
        <x:v>SC-20680</x:v>
      </x:c>
      <x:c r="D7745" t="str">
        <x:v>Steve Carroll</x:v>
      </x:c>
      <x:c r="E7745" t="str">
        <x:v>Home Office</x:v>
      </x:c>
      <x:c r="F7745" t="str">
        <x:v>West</x:v>
      </x:c>
      <x:c r="G7745" t="str">
        <x:v>Technology</x:v>
      </x:c>
      <x:c r="H7745" t="str">
        <x:v>Accessories</x:v>
      </x:c>
      <x:c r="I7745" s="22" t="n">
        <x:v>94.99</x:v>
      </x:c>
      <x:c r="J7745" s="24" t="n">
        <x:v>1</x:v>
      </x:c>
      <x:c r="K7745" s="26" t="n">
        <x:v>0</x:v>
      </x:c>
      <x:c r="L7745" s="22" t="n">
        <x:v>28.496999999999986</x:v>
      </x:c>
      <x:c r="M7745" t="n">
        <x:v>2014</x:v>
      </x:c>
      <x:c r="N7745" s="20" t="n">
        <x:v>41944</x:v>
      </x:c>
    </x:row>
    <x:row r="7746" ht="18" customHeight="1">
      <x:c r="A7746" t="str">
        <x:v>CA-2015-147816</x:v>
      </x:c>
      <x:c r="B7746" s="18" t="n">
        <x:v>42271</x:v>
      </x:c>
      <x:c r="C7746" t="str">
        <x:v>CM-11935</x:v>
      </x:c>
      <x:c r="D7746" t="str">
        <x:v>Carlos Meador</x:v>
      </x:c>
      <x:c r="E7746" t="str">
        <x:v>Consumer</x:v>
      </x:c>
      <x:c r="F7746" t="str">
        <x:v>West</x:v>
      </x:c>
      <x:c r="G7746" t="str">
        <x:v>Technology</x:v>
      </x:c>
      <x:c r="H7746" t="str">
        <x:v>Phones</x:v>
      </x:c>
      <x:c r="I7746" s="22" t="n">
        <x:v>35.12</x:v>
      </x:c>
      <x:c r="J7746" s="24" t="n">
        <x:v>2</x:v>
      </x:c>
      <x:c r="K7746" s="26" t="n">
        <x:v>0.2</x:v>
      </x:c>
      <x:c r="L7746" s="22" t="n">
        <x:v>13.17</x:v>
      </x:c>
      <x:c r="M7746" t="n">
        <x:v>2015</x:v>
      </x:c>
      <x:c r="N7746" s="20" t="n">
        <x:v>42248</x:v>
      </x:c>
    </x:row>
    <x:row r="7747" ht="18" customHeight="1">
      <x:c r="A7747" t="str">
        <x:v>CA-2017-105326</x:v>
      </x:c>
      <x:c r="B7747" s="18" t="n">
        <x:v>42967</x:v>
      </x:c>
      <x:c r="C7747" t="str">
        <x:v>KT-16480</x:v>
      </x:c>
      <x:c r="D7747" t="str">
        <x:v>Kean Thornton</x:v>
      </x:c>
      <x:c r="E7747" t="str">
        <x:v>Consumer</x:v>
      </x:c>
      <x:c r="F7747" t="str">
        <x:v>West</x:v>
      </x:c>
      <x:c r="G7747" t="str">
        <x:v>Office Supplies</x:v>
      </x:c>
      <x:c r="H7747" t="str">
        <x:v>Paper</x:v>
      </x:c>
      <x:c r="I7747" s="22" t="n">
        <x:v>25.92</x:v>
      </x:c>
      <x:c r="J7747" s="24" t="n">
        <x:v>4</x:v>
      </x:c>
      <x:c r="K7747" s="26" t="n">
        <x:v>0</x:v>
      </x:c>
      <x:c r="L7747" s="22" t="n">
        <x:v>12.441600000000001</x:v>
      </x:c>
      <x:c r="M7747" t="n">
        <x:v>2017</x:v>
      </x:c>
      <x:c r="N7747" s="20" t="n">
        <x:v>42948</x:v>
      </x:c>
    </x:row>
    <x:row r="7748" ht="18" customHeight="1">
      <x:c r="A7748" t="str">
        <x:v>CA-2016-133613</x:v>
      </x:c>
      <x:c r="B7748" s="18" t="n">
        <x:v>42538</x:v>
      </x:c>
      <x:c r="C7748" t="str">
        <x:v>CP-12340</x:v>
      </x:c>
      <x:c r="D7748" t="str">
        <x:v>Christine Phan</x:v>
      </x:c>
      <x:c r="E7748" t="str">
        <x:v>Corporate</x:v>
      </x:c>
      <x:c r="F7748" t="str">
        <x:v>East</x:v>
      </x:c>
      <x:c r="G7748" t="str">
        <x:v>Office Supplies</x:v>
      </x:c>
      <x:c r="H7748" t="str">
        <x:v>Binders</x:v>
      </x:c>
      <x:c r="I7748" s="22" t="n">
        <x:v>7.96</x:v>
      </x:c>
      <x:c r="J7748" s="24" t="n">
        <x:v>2</x:v>
      </x:c>
      <x:c r="K7748" s="26" t="n">
        <x:v>0</x:v>
      </x:c>
      <x:c r="L7748" s="22" t="n">
        <x:v>3.7412</x:v>
      </x:c>
      <x:c r="M7748" t="n">
        <x:v>2016</x:v>
      </x:c>
      <x:c r="N7748" s="20" t="n">
        <x:v>42522</x:v>
      </x:c>
    </x:row>
    <x:row r="7749" ht="18" customHeight="1">
      <x:c r="A7749" t="str">
        <x:v>CA-2016-133613</x:v>
      </x:c>
      <x:c r="B7749" s="18" t="n">
        <x:v>42538</x:v>
      </x:c>
      <x:c r="C7749" t="str">
        <x:v>CP-12340</x:v>
      </x:c>
      <x:c r="D7749" t="str">
        <x:v>Christine Phan</x:v>
      </x:c>
      <x:c r="E7749" t="str">
        <x:v>Corporate</x:v>
      </x:c>
      <x:c r="F7749" t="str">
        <x:v>East</x:v>
      </x:c>
      <x:c r="G7749" t="str">
        <x:v>Technology</x:v>
      </x:c>
      <x:c r="H7749" t="str">
        <x:v>Phones</x:v>
      </x:c>
      <x:c r="I7749" s="22" t="n">
        <x:v>566.97</x:v>
      </x:c>
      <x:c r="J7749" s="24" t="n">
        <x:v>3</x:v>
      </x:c>
      <x:c r="K7749" s="26" t="n">
        <x:v>0</x:v>
      </x:c>
      <x:c r="L7749" s="22" t="n">
        <x:v>153.0819</x:v>
      </x:c>
      <x:c r="M7749" t="n">
        <x:v>2016</x:v>
      </x:c>
      <x:c r="N7749" s="20" t="n">
        <x:v>42522</x:v>
      </x:c>
    </x:row>
    <x:row r="7750" ht="18" customHeight="1">
      <x:c r="A7750" t="str">
        <x:v>CA-2016-133613</x:v>
      </x:c>
      <x:c r="B7750" s="18" t="n">
        <x:v>42538</x:v>
      </x:c>
      <x:c r="C7750" t="str">
        <x:v>CP-12340</x:v>
      </x:c>
      <x:c r="D7750" t="str">
        <x:v>Christine Phan</x:v>
      </x:c>
      <x:c r="E7750" t="str">
        <x:v>Corporate</x:v>
      </x:c>
      <x:c r="F7750" t="str">
        <x:v>East</x:v>
      </x:c>
      <x:c r="G7750" t="str">
        <x:v>Office Supplies</x:v>
      </x:c>
      <x:c r="H7750" t="str">
        <x:v>Art</x:v>
      </x:c>
      <x:c r="I7750" s="22" t="n">
        <x:v>9.84</x:v>
      </x:c>
      <x:c r="J7750" s="24" t="n">
        <x:v>3</x:v>
      </x:c>
      <x:c r="K7750" s="26" t="n">
        <x:v>0</x:v>
      </x:c>
      <x:c r="L7750" s="22" t="n">
        <x:v>2.853599999999999</x:v>
      </x:c>
      <x:c r="M7750" t="n">
        <x:v>2016</x:v>
      </x:c>
      <x:c r="N7750" s="20" t="n">
        <x:v>42522</x:v>
      </x:c>
    </x:row>
    <x:row r="7751" ht="18" customHeight="1">
      <x:c r="A7751" t="str">
        <x:v>CA-2015-109113</x:v>
      </x:c>
      <x:c r="B7751" s="18" t="n">
        <x:v>42357</x:v>
      </x:c>
      <x:c r="C7751" t="str">
        <x:v>EK-13795</x:v>
      </x:c>
      <x:c r="D7751" t="str">
        <x:v>Eileen Kiefer</x:v>
      </x:c>
      <x:c r="E7751" t="str">
        <x:v>Home Office</x:v>
      </x:c>
      <x:c r="F7751" t="str">
        <x:v>Central</x:v>
      </x:c>
      <x:c r="G7751" t="str">
        <x:v>Technology</x:v>
      </x:c>
      <x:c r="H7751" t="str">
        <x:v>Accessories</x:v>
      </x:c>
      <x:c r="I7751" s="22" t="n">
        <x:v>25.488</x:v>
      </x:c>
      <x:c r="J7751" s="24" t="n">
        <x:v>2</x:v>
      </x:c>
      <x:c r="K7751" s="26" t="n">
        <x:v>0.2</x:v>
      </x:c>
      <x:c r="L7751" s="22" t="n">
        <x:v>4.779</x:v>
      </x:c>
      <x:c r="M7751" t="n">
        <x:v>2015</x:v>
      </x:c>
      <x:c r="N7751" s="20" t="n">
        <x:v>42339</x:v>
      </x:c>
    </x:row>
    <x:row r="7752" ht="18" customHeight="1">
      <x:c r="A7752" t="str">
        <x:v>CA-2015-156153</x:v>
      </x:c>
      <x:c r="B7752" s="18" t="n">
        <x:v>42155</x:v>
      </x:c>
      <x:c r="C7752" t="str">
        <x:v>CW-11905</x:v>
      </x:c>
      <x:c r="D7752" t="str">
        <x:v>Carl Weiss</x:v>
      </x:c>
      <x:c r="E7752" t="str">
        <x:v>Home Office</x:v>
      </x:c>
      <x:c r="F7752" t="str">
        <x:v>East</x:v>
      </x:c>
      <x:c r="G7752" t="str">
        <x:v>Office Supplies</x:v>
      </x:c>
      <x:c r="H7752" t="str">
        <x:v>Fasteners</x:v>
      </x:c>
      <x:c r="I7752" s="22" t="n">
        <x:v>7.5600000000000005</x:v>
      </x:c>
      <x:c r="J7752" s="24" t="n">
        <x:v>6</x:v>
      </x:c>
      <x:c r="K7752" s="26" t="n">
        <x:v>0</x:v>
      </x:c>
      <x:c r="L7752" s="22" t="n">
        <x:v>0.3024</x:v>
      </x:c>
      <x:c r="M7752" t="n">
        <x:v>2015</x:v>
      </x:c>
      <x:c r="N7752" s="20" t="n">
        <x:v>42125</x:v>
      </x:c>
    </x:row>
    <x:row r="7753" ht="18" customHeight="1">
      <x:c r="A7753" t="str">
        <x:v>CA-2015-133242</x:v>
      </x:c>
      <x:c r="B7753" s="18" t="n">
        <x:v>42173</x:v>
      </x:c>
      <x:c r="C7753" t="str">
        <x:v>KH-16510</x:v>
      </x:c>
      <x:c r="D7753" t="str">
        <x:v>Keith Herrera</x:v>
      </x:c>
      <x:c r="E7753" t="str">
        <x:v>Consumer</x:v>
      </x:c>
      <x:c r="F7753" t="str">
        <x:v>South</x:v>
      </x:c>
      <x:c r="G7753" t="str">
        <x:v>Furniture</x:v>
      </x:c>
      <x:c r="H7753" t="str">
        <x:v>Furnishings</x:v>
      </x:c>
      <x:c r="I7753" s="22" t="n">
        <x:v>60.84</x:v>
      </x:c>
      <x:c r="J7753" s="24" t="n">
        <x:v>3</x:v>
      </x:c>
      <x:c r="K7753" s="26" t="n">
        <x:v>0</x:v>
      </x:c>
      <x:c r="L7753" s="22" t="n">
        <x:v>19.468799999999998</x:v>
      </x:c>
      <x:c r="M7753" t="n">
        <x:v>2015</x:v>
      </x:c>
      <x:c r="N7753" s="20" t="n">
        <x:v>42156</x:v>
      </x:c>
    </x:row>
    <x:row r="7754" ht="18" customHeight="1">
      <x:c r="A7754" t="str">
        <x:v>CA-2015-133242</x:v>
      </x:c>
      <x:c r="B7754" s="18" t="n">
        <x:v>42173</x:v>
      </x:c>
      <x:c r="C7754" t="str">
        <x:v>KH-16510</x:v>
      </x:c>
      <x:c r="D7754" t="str">
        <x:v>Keith Herrera</x:v>
      </x:c>
      <x:c r="E7754" t="str">
        <x:v>Consumer</x:v>
      </x:c>
      <x:c r="F7754" t="str">
        <x:v>South</x:v>
      </x:c>
      <x:c r="G7754" t="str">
        <x:v>Office Supplies</x:v>
      </x:c>
      <x:c r="H7754" t="str">
        <x:v>Storage</x:v>
      </x:c>
      <x:c r="I7754" s="22" t="n">
        <x:v>450.04</x:v>
      </x:c>
      <x:c r="J7754" s="24" t="n">
        <x:v>2</x:v>
      </x:c>
      <x:c r="K7754" s="26" t="n">
        <x:v>0</x:v>
      </x:c>
      <x:c r="L7754" s="22" t="n">
        <x:v>58.5052</x:v>
      </x:c>
      <x:c r="M7754" t="n">
        <x:v>2015</x:v>
      </x:c>
      <x:c r="N7754" s="20" t="n">
        <x:v>42156</x:v>
      </x:c>
    </x:row>
    <x:row r="7755" ht="18" customHeight="1">
      <x:c r="A7755" t="str">
        <x:v>CA-2015-133242</x:v>
      </x:c>
      <x:c r="B7755" s="18" t="n">
        <x:v>42173</x:v>
      </x:c>
      <x:c r="C7755" t="str">
        <x:v>KH-16510</x:v>
      </x:c>
      <x:c r="D7755" t="str">
        <x:v>Keith Herrera</x:v>
      </x:c>
      <x:c r="E7755" t="str">
        <x:v>Consumer</x:v>
      </x:c>
      <x:c r="F7755" t="str">
        <x:v>South</x:v>
      </x:c>
      <x:c r="G7755" t="str">
        <x:v>Office Supplies</x:v>
      </x:c>
      <x:c r="H7755" t="str">
        <x:v>Binders</x:v>
      </x:c>
      <x:c r="I7755" s="22" t="n">
        <x:v>34.6</x:v>
      </x:c>
      <x:c r="J7755" s="24" t="n">
        <x:v>2</x:v>
      </x:c>
      <x:c r="K7755" s="26" t="n">
        <x:v>0</x:v>
      </x:c>
      <x:c r="L7755" s="22" t="n">
        <x:v>16.608</x:v>
      </x:c>
      <x:c r="M7755" t="n">
        <x:v>2015</x:v>
      </x:c>
      <x:c r="N7755" s="20" t="n">
        <x:v>42156</x:v>
      </x:c>
    </x:row>
    <x:row r="7756" ht="18" customHeight="1">
      <x:c r="A7756" t="str">
        <x:v>CA-2015-133242</x:v>
      </x:c>
      <x:c r="B7756" s="18" t="n">
        <x:v>42173</x:v>
      </x:c>
      <x:c r="C7756" t="str">
        <x:v>KH-16510</x:v>
      </x:c>
      <x:c r="D7756" t="str">
        <x:v>Keith Herrera</x:v>
      </x:c>
      <x:c r="E7756" t="str">
        <x:v>Consumer</x:v>
      </x:c>
      <x:c r="F7756" t="str">
        <x:v>South</x:v>
      </x:c>
      <x:c r="G7756" t="str">
        <x:v>Technology</x:v>
      </x:c>
      <x:c r="H7756" t="str">
        <x:v>Phones</x:v>
      </x:c>
      <x:c r="I7756" s="22" t="n">
        <x:v>467.97</x:v>
      </x:c>
      <x:c r="J7756" s="24" t="n">
        <x:v>3</x:v>
      </x:c>
      <x:c r="K7756" s="26" t="n">
        <x:v>0</x:v>
      </x:c>
      <x:c r="L7756" s="22" t="n">
        <x:v>140.391</x:v>
      </x:c>
      <x:c r="M7756" t="n">
        <x:v>2015</x:v>
      </x:c>
      <x:c r="N7756" s="20" t="n">
        <x:v>42156</x:v>
      </x:c>
    </x:row>
    <x:row r="7757" ht="18" customHeight="1">
      <x:c r="A7757" t="str">
        <x:v>CA-2015-133242</x:v>
      </x:c>
      <x:c r="B7757" s="18" t="n">
        <x:v>42173</x:v>
      </x:c>
      <x:c r="C7757" t="str">
        <x:v>KH-16510</x:v>
      </x:c>
      <x:c r="D7757" t="str">
        <x:v>Keith Herrera</x:v>
      </x:c>
      <x:c r="E7757" t="str">
        <x:v>Consumer</x:v>
      </x:c>
      <x:c r="F7757" t="str">
        <x:v>South</x:v>
      </x:c>
      <x:c r="G7757" t="str">
        <x:v>Office Supplies</x:v>
      </x:c>
      <x:c r="H7757" t="str">
        <x:v>Binders</x:v>
      </x:c>
      <x:c r="I7757" s="22" t="n">
        <x:v>33.02</x:v>
      </x:c>
      <x:c r="J7757" s="24" t="n">
        <x:v>2</x:v>
      </x:c>
      <x:c r="K7757" s="26" t="n">
        <x:v>0</x:v>
      </x:c>
      <x:c r="L7757" s="22" t="n">
        <x:v>15.849600000000002</x:v>
      </x:c>
      <x:c r="M7757" t="n">
        <x:v>2015</x:v>
      </x:c>
      <x:c r="N7757" s="20" t="n">
        <x:v>42156</x:v>
      </x:c>
    </x:row>
    <x:row r="7758" ht="18" customHeight="1">
      <x:c r="A7758" t="str">
        <x:v>CA-2015-158323</x:v>
      </x:c>
      <x:c r="B7758" s="18" t="n">
        <x:v>42338</x:v>
      </x:c>
      <x:c r="C7758" t="str">
        <x:v>AB-10600</x:v>
      </x:c>
      <x:c r="D7758" t="str">
        <x:v>Ann Blume</x:v>
      </x:c>
      <x:c r="E7758" t="str">
        <x:v>Corporate</x:v>
      </x:c>
      <x:c r="F7758" t="str">
        <x:v>South</x:v>
      </x:c>
      <x:c r="G7758" t="str">
        <x:v>Furniture</x:v>
      </x:c>
      <x:c r="H7758" t="str">
        <x:v>Furnishings</x:v>
      </x:c>
      <x:c r="I7758" s="22" t="n">
        <x:v>17.088</x:v>
      </x:c>
      <x:c r="J7758" s="24" t="n">
        <x:v>2</x:v>
      </x:c>
      <x:c r="K7758" s="26" t="n">
        <x:v>0.2</x:v>
      </x:c>
      <x:c r="L7758" s="22" t="n">
        <x:v>1.0679999999999996</x:v>
      </x:c>
      <x:c r="M7758" t="n">
        <x:v>2015</x:v>
      </x:c>
      <x:c r="N7758" s="20" t="n">
        <x:v>42309</x:v>
      </x:c>
    </x:row>
    <x:row r="7759" ht="18" customHeight="1">
      <x:c r="A7759" t="str">
        <x:v>CA-2015-161795</x:v>
      </x:c>
      <x:c r="B7759" s="18" t="n">
        <x:v>42359</x:v>
      </x:c>
      <x:c r="C7759" t="str">
        <x:v>AH-10075</x:v>
      </x:c>
      <x:c r="D7759" t="str">
        <x:v>Adam Hart</x:v>
      </x:c>
      <x:c r="E7759" t="str">
        <x:v>Corporate</x:v>
      </x:c>
      <x:c r="F7759" t="str">
        <x:v>East</x:v>
      </x:c>
      <x:c r="G7759" t="str">
        <x:v>Office Supplies</x:v>
      </x:c>
      <x:c r="H7759" t="str">
        <x:v>Art</x:v>
      </x:c>
      <x:c r="I7759" s="22" t="n">
        <x:v>3.008</x:v>
      </x:c>
      <x:c r="J7759" s="24" t="n">
        <x:v>2</x:v>
      </x:c>
      <x:c r="K7759" s="26" t="n">
        <x:v>0.2</x:v>
      </x:c>
      <x:c r="L7759" s="22" t="n">
        <x:v>0.3383999999999998</x:v>
      </x:c>
      <x:c r="M7759" t="n">
        <x:v>2015</x:v>
      </x:c>
      <x:c r="N7759" s="20" t="n">
        <x:v>42339</x:v>
      </x:c>
    </x:row>
    <x:row r="7760" ht="18" customHeight="1">
      <x:c r="A7760" t="str">
        <x:v>CA-2017-100902</x:v>
      </x:c>
      <x:c r="B7760" s="18" t="n">
        <x:v>43056</x:v>
      </x:c>
      <x:c r="C7760" t="str">
        <x:v>CK-12595</x:v>
      </x:c>
      <x:c r="D7760" t="str">
        <x:v>Clytie Kelty</x:v>
      </x:c>
      <x:c r="E7760" t="str">
        <x:v>Consumer</x:v>
      </x:c>
      <x:c r="F7760" t="str">
        <x:v>South</x:v>
      </x:c>
      <x:c r="G7760" t="str">
        <x:v>Office Supplies</x:v>
      </x:c>
      <x:c r="H7760" t="str">
        <x:v>Paper</x:v>
      </x:c>
      <x:c r="I7760" s="22" t="n">
        <x:v>268.24</x:v>
      </x:c>
      <x:c r="J7760" s="24" t="n">
        <x:v>7</x:v>
      </x:c>
      <x:c r="K7760" s="26" t="n">
        <x:v>0.2</x:v>
      </x:c>
      <x:c r="L7760" s="22" t="n">
        <x:v>93.88399999999999</x:v>
      </x:c>
      <x:c r="M7760" t="n">
        <x:v>2017</x:v>
      </x:c>
      <x:c r="N7760" s="20" t="n">
        <x:v>43040</x:v>
      </x:c>
    </x:row>
    <x:row r="7761" ht="18" customHeight="1">
      <x:c r="A7761" t="str">
        <x:v>CA-2017-100902</x:v>
      </x:c>
      <x:c r="B7761" s="18" t="n">
        <x:v>43056</x:v>
      </x:c>
      <x:c r="C7761" t="str">
        <x:v>CK-12595</x:v>
      </x:c>
      <x:c r="D7761" t="str">
        <x:v>Clytie Kelty</x:v>
      </x:c>
      <x:c r="E7761" t="str">
        <x:v>Consumer</x:v>
      </x:c>
      <x:c r="F7761" t="str">
        <x:v>South</x:v>
      </x:c>
      <x:c r="G7761" t="str">
        <x:v>Technology</x:v>
      </x:c>
      <x:c r="H7761" t="str">
        <x:v>Accessories</x:v>
      </x:c>
      <x:c r="I7761" s="22" t="n">
        <x:v>431.1600000000001</x:v>
      </x:c>
      <x:c r="J7761" s="24" t="n">
        <x:v>5</x:v>
      </x:c>
      <x:c r="K7761" s="26" t="n">
        <x:v>0.2</x:v>
      </x:c>
      <x:c r="L7761" s="22" t="n">
        <x:v>107.78999999999996</x:v>
      </x:c>
      <x:c r="M7761" t="n">
        <x:v>2017</x:v>
      </x:c>
      <x:c r="N7761" s="20" t="n">
        <x:v>43040</x:v>
      </x:c>
    </x:row>
    <x:row r="7762" ht="18" customHeight="1">
      <x:c r="A7762" t="str">
        <x:v>CA-2017-112844</x:v>
      </x:c>
      <x:c r="B7762" s="18" t="n">
        <x:v>43052</x:v>
      </x:c>
      <x:c r="C7762" t="str">
        <x:v>SP-20620</x:v>
      </x:c>
      <x:c r="D7762" t="str">
        <x:v>Stefania Perrino</x:v>
      </x:c>
      <x:c r="E7762" t="str">
        <x:v>Corporate</x:v>
      </x:c>
      <x:c r="F7762" t="str">
        <x:v>East</x:v>
      </x:c>
      <x:c r="G7762" t="str">
        <x:v>Technology</x:v>
      </x:c>
      <x:c r="H7762" t="str">
        <x:v>Phones</x:v>
      </x:c>
      <x:c r="I7762" s="22" t="n">
        <x:v>43.6</x:v>
      </x:c>
      <x:c r="J7762" s="24" t="n">
        <x:v>4</x:v>
      </x:c>
      <x:c r="K7762" s="26" t="n">
        <x:v>0</x:v>
      </x:c>
      <x:c r="L7762" s="22" t="n">
        <x:v>12.208000000000002</x:v>
      </x:c>
      <x:c r="M7762" t="n">
        <x:v>2017</x:v>
      </x:c>
      <x:c r="N7762" s="20" t="n">
        <x:v>43040</x:v>
      </x:c>
    </x:row>
    <x:row r="7763" ht="18" customHeight="1">
      <x:c r="A7763" t="str">
        <x:v>CA-2017-112844</x:v>
      </x:c>
      <x:c r="B7763" s="18" t="n">
        <x:v>43052</x:v>
      </x:c>
      <x:c r="C7763" t="str">
        <x:v>SP-20620</x:v>
      </x:c>
      <x:c r="D7763" t="str">
        <x:v>Stefania Perrino</x:v>
      </x:c>
      <x:c r="E7763" t="str">
        <x:v>Corporate</x:v>
      </x:c>
      <x:c r="F7763" t="str">
        <x:v>East</x:v>
      </x:c>
      <x:c r="G7763" t="str">
        <x:v>Furniture</x:v>
      </x:c>
      <x:c r="H7763" t="str">
        <x:v>Furnishings</x:v>
      </x:c>
      <x:c r="I7763" s="22" t="n">
        <x:v>154.95</x:v>
      </x:c>
      <x:c r="J7763" s="24" t="n">
        <x:v>3</x:v>
      </x:c>
      <x:c r="K7763" s="26" t="n">
        <x:v>0</x:v>
      </x:c>
      <x:c r="L7763" s="22" t="n">
        <x:v>30.989999999999995</x:v>
      </x:c>
      <x:c r="M7763" t="n">
        <x:v>2017</x:v>
      </x:c>
      <x:c r="N7763" s="20" t="n">
        <x:v>43040</x:v>
      </x:c>
    </x:row>
    <x:row r="7764" ht="18" customHeight="1">
      <x:c r="A7764" t="str">
        <x:v>CA-2016-158925</x:v>
      </x:c>
      <x:c r="B7764" s="18" t="n">
        <x:v>42667</x:v>
      </x:c>
      <x:c r="C7764" t="str">
        <x:v>JP-15460</x:v>
      </x:c>
      <x:c r="D7764" t="str">
        <x:v>Jennifer Patt</x:v>
      </x:c>
      <x:c r="E7764" t="str">
        <x:v>Corporate</x:v>
      </x:c>
      <x:c r="F7764" t="str">
        <x:v>Central</x:v>
      </x:c>
      <x:c r="G7764" t="str">
        <x:v>Office Supplies</x:v>
      </x:c>
      <x:c r="H7764" t="str">
        <x:v>Paper</x:v>
      </x:c>
      <x:c r="I7764" s="22" t="n">
        <x:v>15.552000000000003</x:v>
      </x:c>
      <x:c r="J7764" s="24" t="n">
        <x:v>3</x:v>
      </x:c>
      <x:c r="K7764" s="26" t="n">
        <x:v>0.2</x:v>
      </x:c>
      <x:c r="L7764" s="22" t="n">
        <x:v>5.4432</x:v>
      </x:c>
      <x:c r="M7764" t="n">
        <x:v>2016</x:v>
      </x:c>
      <x:c r="N7764" s="20" t="n">
        <x:v>42644</x:v>
      </x:c>
    </x:row>
    <x:row r="7765" ht="18" customHeight="1">
      <x:c r="A7765" t="str">
        <x:v>CA-2014-155390</x:v>
      </x:c>
      <x:c r="B7765" s="18" t="n">
        <x:v>41979</x:v>
      </x:c>
      <x:c r="C7765" t="str">
        <x:v>BG-11035</x:v>
      </x:c>
      <x:c r="D7765" t="str">
        <x:v>Barry Gonzalez</x:v>
      </x:c>
      <x:c r="E7765" t="str">
        <x:v>Consumer</x:v>
      </x:c>
      <x:c r="F7765" t="str">
        <x:v>South</x:v>
      </x:c>
      <x:c r="G7765" t="str">
        <x:v>Office Supplies</x:v>
      </x:c>
      <x:c r="H7765" t="str">
        <x:v>Paper</x:v>
      </x:c>
      <x:c r="I7765" s="22" t="n">
        <x:v>42.208</x:v>
      </x:c>
      <x:c r="J7765" s="24" t="n">
        <x:v>2</x:v>
      </x:c>
      <x:c r="K7765" s="26" t="n">
        <x:v>0.2</x:v>
      </x:c>
      <x:c r="L7765" s="22" t="n">
        <x:v>13.717599999999997</x:v>
      </x:c>
      <x:c r="M7765" t="n">
        <x:v>2014</x:v>
      </x:c>
      <x:c r="N7765" s="20" t="n">
        <x:v>41974</x:v>
      </x:c>
    </x:row>
    <x:row r="7766" ht="18" customHeight="1">
      <x:c r="A7766" t="str">
        <x:v>CA-2017-123071</x:v>
      </x:c>
      <x:c r="B7766" s="18" t="n">
        <x:v>43072</x:v>
      </x:c>
      <x:c r="C7766" t="str">
        <x:v>CC-12550</x:v>
      </x:c>
      <x:c r="D7766" t="str">
        <x:v>Clay Cheatham</x:v>
      </x:c>
      <x:c r="E7766" t="str">
        <x:v>Consumer</x:v>
      </x:c>
      <x:c r="F7766" t="str">
        <x:v>Central</x:v>
      </x:c>
      <x:c r="G7766" t="str">
        <x:v>Office Supplies</x:v>
      </x:c>
      <x:c r="H7766" t="str">
        <x:v>Paper</x:v>
      </x:c>
      <x:c r="I7766" s="22" t="n">
        <x:v>10.368000000000002</x:v>
      </x:c>
      <x:c r="J7766" s="24" t="n">
        <x:v>2</x:v>
      </x:c>
      <x:c r="K7766" s="26" t="n">
        <x:v>0.2</x:v>
      </x:c>
      <x:c r="L7766" s="22" t="n">
        <x:v>3.6288</x:v>
      </x:c>
      <x:c r="M7766" t="n">
        <x:v>2017</x:v>
      </x:c>
      <x:c r="N7766" s="20" t="n">
        <x:v>43070</x:v>
      </x:c>
    </x:row>
    <x:row r="7767" ht="18" customHeight="1">
      <x:c r="A7767" t="str">
        <x:v>CA-2017-156391</x:v>
      </x:c>
      <x:c r="B7767" s="18" t="n">
        <x:v>43004</x:v>
      </x:c>
      <x:c r="C7767" t="str">
        <x:v>SL-20155</x:v>
      </x:c>
      <x:c r="D7767" t="str">
        <x:v>Sara Luxemburg</x:v>
      </x:c>
      <x:c r="E7767" t="str">
        <x:v>Home Office</x:v>
      </x:c>
      <x:c r="F7767" t="str">
        <x:v>West</x:v>
      </x:c>
      <x:c r="G7767" t="str">
        <x:v>Office Supplies</x:v>
      </x:c>
      <x:c r="H7767" t="str">
        <x:v>Art</x:v>
      </x:c>
      <x:c r="I7767" s="22" t="n">
        <x:v>2.2239999999999998</x:v>
      </x:c>
      <x:c r="J7767" s="24" t="n">
        <x:v>1</x:v>
      </x:c>
      <x:c r="K7767" s="26" t="n">
        <x:v>0.2</x:v>
      </x:c>
      <x:c r="L7767" s="22" t="n">
        <x:v>0.5559999999999999</x:v>
      </x:c>
      <x:c r="M7767" t="n">
        <x:v>2017</x:v>
      </x:c>
      <x:c r="N7767" s="20" t="n">
        <x:v>42979</x:v>
      </x:c>
    </x:row>
    <x:row r="7768" ht="18" customHeight="1">
      <x:c r="A7768" t="str">
        <x:v>CA-2015-103093</x:v>
      </x:c>
      <x:c r="B7768" s="18" t="n">
        <x:v>42038</x:v>
      </x:c>
      <x:c r="C7768" t="str">
        <x:v>FO-14305</x:v>
      </x:c>
      <x:c r="D7768" t="str">
        <x:v>Frank Olsen</x:v>
      </x:c>
      <x:c r="E7768" t="str">
        <x:v>Consumer</x:v>
      </x:c>
      <x:c r="F7768" t="str">
        <x:v>South</x:v>
      </x:c>
      <x:c r="G7768" t="str">
        <x:v>Office Supplies</x:v>
      </x:c>
      <x:c r="H7768" t="str">
        <x:v>Envelopes</x:v>
      </x:c>
      <x:c r="I7768" s="22" t="n">
        <x:v>74.52</x:v>
      </x:c>
      <x:c r="J7768" s="24" t="n">
        <x:v>9</x:v>
      </x:c>
      <x:c r="K7768" s="26" t="n">
        <x:v>0</x:v>
      </x:c>
      <x:c r="L7768" s="22" t="n">
        <x:v>35.02439999999999</x:v>
      </x:c>
      <x:c r="M7768" t="n">
        <x:v>2015</x:v>
      </x:c>
      <x:c r="N7768" s="20" t="n">
        <x:v>42036</x:v>
      </x:c>
    </x:row>
    <x:row r="7769" ht="18" customHeight="1">
      <x:c r="A7769" t="str">
        <x:v>US-2017-118941</x:v>
      </x:c>
      <x:c r="B7769" s="18" t="n">
        <x:v>42959</x:v>
      </x:c>
      <x:c r="C7769" t="str">
        <x:v>BB-11545</x:v>
      </x:c>
      <x:c r="D7769" t="str">
        <x:v>Brenda Bowman</x:v>
      </x:c>
      <x:c r="E7769" t="str">
        <x:v>Corporate</x:v>
      </x:c>
      <x:c r="F7769" t="str">
        <x:v>East</x:v>
      </x:c>
      <x:c r="G7769" t="str">
        <x:v>Office Supplies</x:v>
      </x:c>
      <x:c r="H7769" t="str">
        <x:v>Art</x:v>
      </x:c>
      <x:c r="I7769" s="22" t="n">
        <x:v>17.52</x:v>
      </x:c>
      <x:c r="J7769" s="24" t="n">
        <x:v>3</x:v>
      </x:c>
      <x:c r="K7769" s="26" t="n">
        <x:v>0</x:v>
      </x:c>
      <x:c r="L7769" s="22" t="n">
        <x:v>5.255999999999999</x:v>
      </x:c>
      <x:c r="M7769" t="n">
        <x:v>2017</x:v>
      </x:c>
      <x:c r="N7769" s="20" t="n">
        <x:v>42948</x:v>
      </x:c>
    </x:row>
    <x:row r="7770" ht="18" customHeight="1">
      <x:c r="A7770" t="str">
        <x:v>US-2017-118941</x:v>
      </x:c>
      <x:c r="B7770" s="18" t="n">
        <x:v>42959</x:v>
      </x:c>
      <x:c r="C7770" t="str">
        <x:v>BB-11545</x:v>
      </x:c>
      <x:c r="D7770" t="str">
        <x:v>Brenda Bowman</x:v>
      </x:c>
      <x:c r="E7770" t="str">
        <x:v>Corporate</x:v>
      </x:c>
      <x:c r="F7770" t="str">
        <x:v>East</x:v>
      </x:c>
      <x:c r="G7770" t="str">
        <x:v>Furniture</x:v>
      </x:c>
      <x:c r="H7770" t="str">
        <x:v>Chairs</x:v>
      </x:c>
      <x:c r="I7770" s="22" t="n">
        <x:v>1779.9</x:v>
      </x:c>
      <x:c r="J7770" s="24" t="n">
        <x:v>5</x:v>
      </x:c>
      <x:c r="K7770" s="26" t="n">
        <x:v>0</x:v>
      </x:c>
      <x:c r="L7770" s="22" t="n">
        <x:v>373.7789999999998</x:v>
      </x:c>
      <x:c r="M7770" t="n">
        <x:v>2017</x:v>
      </x:c>
      <x:c r="N7770" s="20" t="n">
        <x:v>42948</x:v>
      </x:c>
    </x:row>
    <x:row r="7771" ht="18" customHeight="1">
      <x:c r="A7771" t="str">
        <x:v>US-2017-118941</x:v>
      </x:c>
      <x:c r="B7771" s="18" t="n">
        <x:v>42959</x:v>
      </x:c>
      <x:c r="C7771" t="str">
        <x:v>BB-11545</x:v>
      </x:c>
      <x:c r="D7771" t="str">
        <x:v>Brenda Bowman</x:v>
      </x:c>
      <x:c r="E7771" t="str">
        <x:v>Corporate</x:v>
      </x:c>
      <x:c r="F7771" t="str">
        <x:v>East</x:v>
      </x:c>
      <x:c r="G7771" t="str">
        <x:v>Office Supplies</x:v>
      </x:c>
      <x:c r="H7771" t="str">
        <x:v>Art</x:v>
      </x:c>
      <x:c r="I7771" s="22" t="n">
        <x:v>219.89999999999998</x:v>
      </x:c>
      <x:c r="J7771" s="24" t="n">
        <x:v>5</x:v>
      </x:c>
      <x:c r="K7771" s="26" t="n">
        <x:v>0</x:v>
      </x:c>
      <x:c r="L7771" s="22" t="n">
        <x:v>59.373000000000005</x:v>
      </x:c>
      <x:c r="M7771" t="n">
        <x:v>2017</x:v>
      </x:c>
      <x:c r="N7771" s="20" t="n">
        <x:v>42948</x:v>
      </x:c>
    </x:row>
    <x:row r="7772" ht="18" customHeight="1">
      <x:c r="A7772" t="str">
        <x:v>CA-2015-169299</x:v>
      </x:c>
      <x:c r="B7772" s="18" t="n">
        <x:v>42240</x:v>
      </x:c>
      <x:c r="C7772" t="str">
        <x:v>DO-13435</x:v>
      </x:c>
      <x:c r="D7772" t="str">
        <x:v>Denny Ordway</x:v>
      </x:c>
      <x:c r="E7772" t="str">
        <x:v>Consumer</x:v>
      </x:c>
      <x:c r="F7772" t="str">
        <x:v>West</x:v>
      </x:c>
      <x:c r="G7772" t="str">
        <x:v>Office Supplies</x:v>
      </x:c>
      <x:c r="H7772" t="str">
        <x:v>Art</x:v>
      </x:c>
      <x:c r="I7772" s="22" t="n">
        <x:v>7.151999999999999</x:v>
      </x:c>
      <x:c r="J7772" s="24" t="n">
        <x:v>3</x:v>
      </x:c>
      <x:c r="K7772" s="26" t="n">
        <x:v>0.2</x:v>
      </x:c>
      <x:c r="L7772" s="22" t="n">
        <x:v>0.7152000000000003</x:v>
      </x:c>
      <x:c r="M7772" t="n">
        <x:v>2015</x:v>
      </x:c>
      <x:c r="N7772" s="20" t="n">
        <x:v>42217</x:v>
      </x:c>
    </x:row>
    <x:row r="7773" ht="18" customHeight="1">
      <x:c r="A7773" t="str">
        <x:v>CA-2017-154088</x:v>
      </x:c>
      <x:c r="B7773" s="18" t="n">
        <x:v>43051</x:v>
      </x:c>
      <x:c r="C7773" t="str">
        <x:v>LB-16735</x:v>
      </x:c>
      <x:c r="D7773" t="str">
        <x:v>Larry Blacks</x:v>
      </x:c>
      <x:c r="E7773" t="str">
        <x:v>Consumer</x:v>
      </x:c>
      <x:c r="F7773" t="str">
        <x:v>South</x:v>
      </x:c>
      <x:c r="G7773" t="str">
        <x:v>Office Supplies</x:v>
      </x:c>
      <x:c r="H7773" t="str">
        <x:v>Paper</x:v>
      </x:c>
      <x:c r="I7773" s="22" t="n">
        <x:v>26.720000000000002</x:v>
      </x:c>
      <x:c r="J7773" s="24" t="n">
        <x:v>5</x:v>
      </x:c>
      <x:c r="K7773" s="26" t="n">
        <x:v>0.2</x:v>
      </x:c>
      <x:c r="L7773" s="22" t="n">
        <x:v>9.352</x:v>
      </x:c>
      <x:c r="M7773" t="n">
        <x:v>2017</x:v>
      </x:c>
      <x:c r="N7773" s="20" t="n">
        <x:v>43040</x:v>
      </x:c>
    </x:row>
    <x:row r="7774" ht="18" customHeight="1">
      <x:c r="A7774" t="str">
        <x:v>CA-2016-155978</x:v>
      </x:c>
      <x:c r="B7774" s="18" t="n">
        <x:v>42583</x:v>
      </x:c>
      <x:c r="C7774" t="str">
        <x:v>TS-21205</x:v>
      </x:c>
      <x:c r="D7774" t="str">
        <x:v>Thomas Seio</x:v>
      </x:c>
      <x:c r="E7774" t="str">
        <x:v>Corporate</x:v>
      </x:c>
      <x:c r="F7774" t="str">
        <x:v>West</x:v>
      </x:c>
      <x:c r="G7774" t="str">
        <x:v>Technology</x:v>
      </x:c>
      <x:c r="H7774" t="str">
        <x:v>Phones</x:v>
      </x:c>
      <x:c r="I7774" s="22" t="n">
        <x:v>1039.728</x:v>
      </x:c>
      <x:c r="J7774" s="24" t="n">
        <x:v>2</x:v>
      </x:c>
      <x:c r="K7774" s="26" t="n">
        <x:v>0.2</x:v>
      </x:c>
      <x:c r="L7774" s="22" t="n">
        <x:v>90.97620000000006</x:v>
      </x:c>
      <x:c r="M7774" t="n">
        <x:v>2016</x:v>
      </x:c>
      <x:c r="N7774" s="20" t="n">
        <x:v>42583</x:v>
      </x:c>
    </x:row>
    <x:row r="7775" ht="18" customHeight="1">
      <x:c r="A7775" t="str">
        <x:v>CA-2016-155978</x:v>
      </x:c>
      <x:c r="B7775" s="18" t="n">
        <x:v>42583</x:v>
      </x:c>
      <x:c r="C7775" t="str">
        <x:v>TS-21205</x:v>
      </x:c>
      <x:c r="D7775" t="str">
        <x:v>Thomas Seio</x:v>
      </x:c>
      <x:c r="E7775" t="str">
        <x:v>Corporate</x:v>
      </x:c>
      <x:c r="F7775" t="str">
        <x:v>West</x:v>
      </x:c>
      <x:c r="G7775" t="str">
        <x:v>Office Supplies</x:v>
      </x:c>
      <x:c r="H7775" t="str">
        <x:v>Appliances</x:v>
      </x:c>
      <x:c r="I7775" s="22" t="n">
        <x:v>45.96</x:v>
      </x:c>
      <x:c r="J7775" s="24" t="n">
        <x:v>2</x:v>
      </x:c>
      <x:c r="K7775" s="26" t="n">
        <x:v>0</x:v>
      </x:c>
      <x:c r="L7775" s="22" t="n">
        <x:v>13.787999999999997</x:v>
      </x:c>
      <x:c r="M7775" t="n">
        <x:v>2016</x:v>
      </x:c>
      <x:c r="N7775" s="20" t="n">
        <x:v>42583</x:v>
      </x:c>
    </x:row>
    <x:row r="7776" ht="18" customHeight="1">
      <x:c r="A7776" t="str">
        <x:v>CA-2016-108196</x:v>
      </x:c>
      <x:c r="B7776" s="18" t="n">
        <x:v>42699</x:v>
      </x:c>
      <x:c r="C7776" t="str">
        <x:v>CS-12505</x:v>
      </x:c>
      <x:c r="D7776" t="str">
        <x:v>Cindy Stewart</x:v>
      </x:c>
      <x:c r="E7776" t="str">
        <x:v>Consumer</x:v>
      </x:c>
      <x:c r="F7776" t="str">
        <x:v>East</x:v>
      </x:c>
      <x:c r="G7776" t="str">
        <x:v>Office Supplies</x:v>
      </x:c>
      <x:c r="H7776" t="str">
        <x:v>Binders</x:v>
      </x:c>
      <x:c r="I7776" s="22" t="n">
        <x:v>456.5880000000001</x:v>
      </x:c>
      <x:c r="J7776" s="24" t="n">
        <x:v>2</x:v>
      </x:c>
      <x:c r="K7776" s="26" t="n">
        <x:v>0.7</x:v>
      </x:c>
      <x:c r="L7776" s="22" t="n">
        <x:v>-304.39200000000005</x:v>
      </x:c>
      <x:c r="M7776" t="n">
        <x:v>2016</x:v>
      </x:c>
      <x:c r="N7776" s="20" t="n">
        <x:v>42675</x:v>
      </x:c>
    </x:row>
    <x:row r="7777" ht="18" customHeight="1">
      <x:c r="A7777" t="str">
        <x:v>CA-2016-108196</x:v>
      </x:c>
      <x:c r="B7777" s="18" t="n">
        <x:v>42699</x:v>
      </x:c>
      <x:c r="C7777" t="str">
        <x:v>CS-12505</x:v>
      </x:c>
      <x:c r="D7777" t="str">
        <x:v>Cindy Stewart</x:v>
      </x:c>
      <x:c r="E7777" t="str">
        <x:v>Consumer</x:v>
      </x:c>
      <x:c r="F7777" t="str">
        <x:v>East</x:v>
      </x:c>
      <x:c r="G7777" t="str">
        <x:v>Technology</x:v>
      </x:c>
      <x:c r="H7777" t="str">
        <x:v>Machines</x:v>
      </x:c>
      <x:c r="I7777" s="22" t="n">
        <x:v>4499.985000000001</x:v>
      </x:c>
      <x:c r="J7777" s="24" t="n">
        <x:v>5</x:v>
      </x:c>
      <x:c r="K7777" s="26" t="n">
        <x:v>0.7</x:v>
      </x:c>
      <x:c r="L7777" s="22" t="n">
        <x:v>-6599.978000000001</x:v>
      </x:c>
      <x:c r="M7777" t="n">
        <x:v>2016</x:v>
      </x:c>
      <x:c r="N7777" s="20" t="n">
        <x:v>42675</x:v>
      </x:c>
    </x:row>
    <x:row r="7778" ht="18" customHeight="1">
      <x:c r="A7778" t="str">
        <x:v>CA-2016-108196</x:v>
      </x:c>
      <x:c r="B7778" s="18" t="n">
        <x:v>42699</x:v>
      </x:c>
      <x:c r="C7778" t="str">
        <x:v>CS-12505</x:v>
      </x:c>
      <x:c r="D7778" t="str">
        <x:v>Cindy Stewart</x:v>
      </x:c>
      <x:c r="E7778" t="str">
        <x:v>Consumer</x:v>
      </x:c>
      <x:c r="F7778" t="str">
        <x:v>East</x:v>
      </x:c>
      <x:c r="G7778" t="str">
        <x:v>Technology</x:v>
      </x:c>
      <x:c r="H7778" t="str">
        <x:v>Accessories</x:v>
      </x:c>
      <x:c r="I7778" s="22" t="n">
        <x:v>59.976</x:v>
      </x:c>
      <x:c r="J7778" s="24" t="n">
        <x:v>3</x:v>
      </x:c>
      <x:c r="K7778" s="26" t="n">
        <x:v>0.2</x:v>
      </x:c>
      <x:c r="L7778" s="22" t="n">
        <x:v>11.995199999999997</x:v>
      </x:c>
      <x:c r="M7778" t="n">
        <x:v>2016</x:v>
      </x:c>
      <x:c r="N7778" s="20" t="n">
        <x:v>42675</x:v>
      </x:c>
    </x:row>
    <x:row r="7779" ht="18" customHeight="1">
      <x:c r="A7779" t="str">
        <x:v>CA-2016-152800</x:v>
      </x:c>
      <x:c r="B7779" s="18" t="n">
        <x:v>42473</x:v>
      </x:c>
      <x:c r="C7779" t="str">
        <x:v>SP-20920</x:v>
      </x:c>
      <x:c r="D7779" t="str">
        <x:v>Susan Pistek</x:v>
      </x:c>
      <x:c r="E7779" t="str">
        <x:v>Consumer</x:v>
      </x:c>
      <x:c r="F7779" t="str">
        <x:v>West</x:v>
      </x:c>
      <x:c r="G7779" t="str">
        <x:v>Office Supplies</x:v>
      </x:c>
      <x:c r="H7779" t="str">
        <x:v>Envelopes</x:v>
      </x:c>
      <x:c r="I7779" s="22" t="n">
        <x:v>6.12</x:v>
      </x:c>
      <x:c r="J7779" s="24" t="n">
        <x:v>3</x:v>
      </x:c>
      <x:c r="K7779" s="26" t="n">
        <x:v>0</x:v>
      </x:c>
      <x:c r="L7779" s="22" t="n">
        <x:v>2.8763999999999994</x:v>
      </x:c>
      <x:c r="M7779" t="n">
        <x:v>2016</x:v>
      </x:c>
      <x:c r="N7779" s="20" t="n">
        <x:v>42461</x:v>
      </x:c>
    </x:row>
    <x:row r="7780" ht="18" customHeight="1">
      <x:c r="A7780" t="str">
        <x:v>CA-2014-166961</x:v>
      </x:c>
      <x:c r="B7780" s="18" t="n">
        <x:v>42000</x:v>
      </x:c>
      <x:c r="C7780" t="str">
        <x:v>CD-12790</x:v>
      </x:c>
      <x:c r="D7780" t="str">
        <x:v>Cynthia Delaney</x:v>
      </x:c>
      <x:c r="E7780" t="str">
        <x:v>Home Office</x:v>
      </x:c>
      <x:c r="F7780" t="str">
        <x:v>West</x:v>
      </x:c>
      <x:c r="G7780" t="str">
        <x:v>Office Supplies</x:v>
      </x:c>
      <x:c r="H7780" t="str">
        <x:v>Appliances</x:v>
      </x:c>
      <x:c r="I7780" s="22" t="n">
        <x:v>10.98</x:v>
      </x:c>
      <x:c r="J7780" s="24" t="n">
        <x:v>1</x:v>
      </x:c>
      <x:c r="K7780" s="26" t="n">
        <x:v>0</x:v>
      </x:c>
      <x:c r="L7780" s="22" t="n">
        <x:v>2.964600000000001</x:v>
      </x:c>
      <x:c r="M7780" t="n">
        <x:v>2014</x:v>
      </x:c>
      <x:c r="N7780" s="20" t="n">
        <x:v>41974</x:v>
      </x:c>
    </x:row>
    <x:row r="7781" ht="18" customHeight="1">
      <x:c r="A7781" t="str">
        <x:v>CA-2014-166961</x:v>
      </x:c>
      <x:c r="B7781" s="18" t="n">
        <x:v>42000</x:v>
      </x:c>
      <x:c r="C7781" t="str">
        <x:v>CD-12790</x:v>
      </x:c>
      <x:c r="D7781" t="str">
        <x:v>Cynthia Delaney</x:v>
      </x:c>
      <x:c r="E7781" t="str">
        <x:v>Home Office</x:v>
      </x:c>
      <x:c r="F7781" t="str">
        <x:v>West</x:v>
      </x:c>
      <x:c r="G7781" t="str">
        <x:v>Office Supplies</x:v>
      </x:c>
      <x:c r="H7781" t="str">
        <x:v>Fasteners</x:v>
      </x:c>
      <x:c r="I7781" s="22" t="n">
        <x:v>7.86</x:v>
      </x:c>
      <x:c r="J7781" s="24" t="n">
        <x:v>3</x:v>
      </x:c>
      <x:c r="K7781" s="26" t="n">
        <x:v>0</x:v>
      </x:c>
      <x:c r="L7781" s="22" t="n">
        <x:v>3.6156</x:v>
      </x:c>
      <x:c r="M7781" t="n">
        <x:v>2014</x:v>
      </x:c>
      <x:c r="N7781" s="20" t="n">
        <x:v>41974</x:v>
      </x:c>
    </x:row>
    <x:row r="7782" ht="18" customHeight="1">
      <x:c r="A7782" t="str">
        <x:v>CA-2014-166961</x:v>
      </x:c>
      <x:c r="B7782" s="18" t="n">
        <x:v>42000</x:v>
      </x:c>
      <x:c r="C7782" t="str">
        <x:v>CD-12790</x:v>
      </x:c>
      <x:c r="D7782" t="str">
        <x:v>Cynthia Delaney</x:v>
      </x:c>
      <x:c r="E7782" t="str">
        <x:v>Home Office</x:v>
      </x:c>
      <x:c r="F7782" t="str">
        <x:v>West</x:v>
      </x:c>
      <x:c r="G7782" t="str">
        <x:v>Office Supplies</x:v>
      </x:c>
      <x:c r="H7782" t="str">
        <x:v>Storage</x:v>
      </x:c>
      <x:c r="I7782" s="22" t="n">
        <x:v>51.449999999999996</x:v>
      </x:c>
      <x:c r="J7782" s="24" t="n">
        <x:v>3</x:v>
      </x:c>
      <x:c r="K7782" s="26" t="n">
        <x:v>0</x:v>
      </x:c>
      <x:c r="L7782" s="22" t="n">
        <x:v>13.891499999999999</x:v>
      </x:c>
      <x:c r="M7782" t="n">
        <x:v>2014</x:v>
      </x:c>
      <x:c r="N7782" s="20" t="n">
        <x:v>41974</x:v>
      </x:c>
    </x:row>
    <x:row r="7783" ht="18" customHeight="1">
      <x:c r="A7783" t="str">
        <x:v>CA-2014-166961</x:v>
      </x:c>
      <x:c r="B7783" s="18" t="n">
        <x:v>42000</x:v>
      </x:c>
      <x:c r="C7783" t="str">
        <x:v>CD-12790</x:v>
      </x:c>
      <x:c r="D7783" t="str">
        <x:v>Cynthia Delaney</x:v>
      </x:c>
      <x:c r="E7783" t="str">
        <x:v>Home Office</x:v>
      </x:c>
      <x:c r="F7783" t="str">
        <x:v>West</x:v>
      </x:c>
      <x:c r="G7783" t="str">
        <x:v>Office Supplies</x:v>
      </x:c>
      <x:c r="H7783" t="str">
        <x:v>Binders</x:v>
      </x:c>
      <x:c r="I7783" s="22" t="n">
        <x:v>37.056</x:v>
      </x:c>
      <x:c r="J7783" s="24" t="n">
        <x:v>3</x:v>
      </x:c>
      <x:c r="K7783" s="26" t="n">
        <x:v>0.2</x:v>
      </x:c>
      <x:c r="L7783" s="22" t="n">
        <x:v>13.896</x:v>
      </x:c>
      <x:c r="M7783" t="n">
        <x:v>2014</x:v>
      </x:c>
      <x:c r="N7783" s="20" t="n">
        <x:v>41974</x:v>
      </x:c>
    </x:row>
    <x:row r="7784" ht="18" customHeight="1">
      <x:c r="A7784" t="str">
        <x:v>CA-2016-139381</x:v>
      </x:c>
      <x:c r="B7784" s="18" t="n">
        <x:v>42478</x:v>
      </x:c>
      <x:c r="C7784" t="str">
        <x:v>RF-19840</x:v>
      </x:c>
      <x:c r="D7784" t="str">
        <x:v>Roy Französisch</x:v>
      </x:c>
      <x:c r="E7784" t="str">
        <x:v>Consumer</x:v>
      </x:c>
      <x:c r="F7784" t="str">
        <x:v>South</x:v>
      </x:c>
      <x:c r="G7784" t="str">
        <x:v>Office Supplies</x:v>
      </x:c>
      <x:c r="H7784" t="str">
        <x:v>Appliances</x:v>
      </x:c>
      <x:c r="I7784" s="22" t="n">
        <x:v>203.92</x:v>
      </x:c>
      <x:c r="J7784" s="24" t="n">
        <x:v>4</x:v>
      </x:c>
      <x:c r="K7784" s="26" t="n">
        <x:v>0</x:v>
      </x:c>
      <x:c r="L7784" s="22" t="n">
        <x:v>55.058400000000006</x:v>
      </x:c>
      <x:c r="M7784" t="n">
        <x:v>2016</x:v>
      </x:c>
      <x:c r="N7784" s="20" t="n">
        <x:v>42461</x:v>
      </x:c>
    </x:row>
    <x:row r="7785" ht="18" customHeight="1">
      <x:c r="A7785" t="str">
        <x:v>CA-2016-139381</x:v>
      </x:c>
      <x:c r="B7785" s="18" t="n">
        <x:v>42478</x:v>
      </x:c>
      <x:c r="C7785" t="str">
        <x:v>RF-19840</x:v>
      </x:c>
      <x:c r="D7785" t="str">
        <x:v>Roy Französisch</x:v>
      </x:c>
      <x:c r="E7785" t="str">
        <x:v>Consumer</x:v>
      </x:c>
      <x:c r="F7785" t="str">
        <x:v>South</x:v>
      </x:c>
      <x:c r="G7785" t="str">
        <x:v>Technology</x:v>
      </x:c>
      <x:c r="H7785" t="str">
        <x:v>Phones</x:v>
      </x:c>
      <x:c r="I7785" s="22" t="n">
        <x:v>29.56</x:v>
      </x:c>
      <x:c r="J7785" s="24" t="n">
        <x:v>4</x:v>
      </x:c>
      <x:c r="K7785" s="26" t="n">
        <x:v>0</x:v>
      </x:c>
      <x:c r="L7785" s="22" t="n">
        <x:v>7.981200000000001</x:v>
      </x:c>
      <x:c r="M7785" t="n">
        <x:v>2016</x:v>
      </x:c>
      <x:c r="N7785" s="20" t="n">
        <x:v>42461</x:v>
      </x:c>
    </x:row>
    <x:row r="7786" ht="18" customHeight="1">
      <x:c r="A7786" t="str">
        <x:v>CA-2015-132136</x:v>
      </x:c>
      <x:c r="B7786" s="18" t="n">
        <x:v>42071</x:v>
      </x:c>
      <x:c r="C7786" t="str">
        <x:v>FO-14305</x:v>
      </x:c>
      <x:c r="D7786" t="str">
        <x:v>Frank Olsen</x:v>
      </x:c>
      <x:c r="E7786" t="str">
        <x:v>Consumer</x:v>
      </x:c>
      <x:c r="F7786" t="str">
        <x:v>Central</x:v>
      </x:c>
      <x:c r="G7786" t="str">
        <x:v>Office Supplies</x:v>
      </x:c>
      <x:c r="H7786" t="str">
        <x:v>Binders</x:v>
      </x:c>
      <x:c r="I7786" s="22" t="n">
        <x:v>8.567999999999998</x:v>
      </x:c>
      <x:c r="J7786" s="24" t="n">
        <x:v>3</x:v>
      </x:c>
      <x:c r="K7786" s="26" t="n">
        <x:v>0.8</x:v>
      </x:c>
      <x:c r="L7786" s="22" t="n">
        <x:v>-14.5656</x:v>
      </x:c>
      <x:c r="M7786" t="n">
        <x:v>2015</x:v>
      </x:c>
      <x:c r="N7786" s="20" t="n">
        <x:v>42064</x:v>
      </x:c>
    </x:row>
    <x:row r="7787" ht="18" customHeight="1">
      <x:c r="A7787" t="str">
        <x:v>CA-2016-162236</x:v>
      </x:c>
      <x:c r="B7787" s="18" t="n">
        <x:v>42678</x:v>
      </x:c>
      <x:c r="C7787" t="str">
        <x:v>ER-13855</x:v>
      </x:c>
      <x:c r="D7787" t="str">
        <x:v>Elpida Rittenbach</x:v>
      </x:c>
      <x:c r="E7787" t="str">
        <x:v>Corporate</x:v>
      </x:c>
      <x:c r="F7787" t="str">
        <x:v>South</x:v>
      </x:c>
      <x:c r="G7787" t="str">
        <x:v>Office Supplies</x:v>
      </x:c>
      <x:c r="H7787" t="str">
        <x:v>Storage</x:v>
      </x:c>
      <x:c r="I7787" s="22" t="n">
        <x:v>45.248000000000005</x:v>
      </x:c>
      <x:c r="J7787" s="24" t="n">
        <x:v>2</x:v>
      </x:c>
      <x:c r="K7787" s="26" t="n">
        <x:v>0.2</x:v>
      </x:c>
      <x:c r="L7787" s="22" t="n">
        <x:v>3.959199999999999</x:v>
      </x:c>
      <x:c r="M7787" t="n">
        <x:v>2016</x:v>
      </x:c>
      <x:c r="N7787" s="20" t="n">
        <x:v>42675</x:v>
      </x:c>
    </x:row>
    <x:row r="7788" ht="18" customHeight="1">
      <x:c r="A7788" t="str">
        <x:v>CA-2016-162236</x:v>
      </x:c>
      <x:c r="B7788" s="18" t="n">
        <x:v>42678</x:v>
      </x:c>
      <x:c r="C7788" t="str">
        <x:v>ER-13855</x:v>
      </x:c>
      <x:c r="D7788" t="str">
        <x:v>Elpida Rittenbach</x:v>
      </x:c>
      <x:c r="E7788" t="str">
        <x:v>Corporate</x:v>
      </x:c>
      <x:c r="F7788" t="str">
        <x:v>South</x:v>
      </x:c>
      <x:c r="G7788" t="str">
        <x:v>Furniture</x:v>
      </x:c>
      <x:c r="H7788" t="str">
        <x:v>Tables</x:v>
      </x:c>
      <x:c r="I7788" s="22" t="n">
        <x:v>876.3000000000001</x:v>
      </x:c>
      <x:c r="J7788" s="24" t="n">
        <x:v>10</x:v>
      </x:c>
      <x:c r="K7788" s="26" t="n">
        <x:v>0.4</x:v>
      </x:c>
      <x:c r="L7788" s="22" t="n">
        <x:v>-292.10000000000014</x:v>
      </x:c>
      <x:c r="M7788" t="n">
        <x:v>2016</x:v>
      </x:c>
      <x:c r="N7788" s="20" t="n">
        <x:v>42675</x:v>
      </x:c>
    </x:row>
    <x:row r="7789" ht="18" customHeight="1">
      <x:c r="A7789" t="str">
        <x:v>CA-2016-162236</x:v>
      </x:c>
      <x:c r="B7789" s="18" t="n">
        <x:v>42678</x:v>
      </x:c>
      <x:c r="C7789" t="str">
        <x:v>ER-13855</x:v>
      </x:c>
      <x:c r="D7789" t="str">
        <x:v>Elpida Rittenbach</x:v>
      </x:c>
      <x:c r="E7789" t="str">
        <x:v>Corporate</x:v>
      </x:c>
      <x:c r="F7789" t="str">
        <x:v>South</x:v>
      </x:c>
      <x:c r="G7789" t="str">
        <x:v>Office Supplies</x:v>
      </x:c>
      <x:c r="H7789" t="str">
        <x:v>Supplies</x:v>
      </x:c>
      <x:c r="I7789" s="22" t="n">
        <x:v>185.376</x:v>
      </x:c>
      <x:c r="J7789" s="24" t="n">
        <x:v>2</x:v>
      </x:c>
      <x:c r="K7789" s="26" t="n">
        <x:v>0.2</x:v>
      </x:c>
      <x:c r="L7789" s="22" t="n">
        <x:v>-34.75800000000002</x:v>
      </x:c>
      <x:c r="M7789" t="n">
        <x:v>2016</x:v>
      </x:c>
      <x:c r="N7789" s="20" t="n">
        <x:v>42675</x:v>
      </x:c>
    </x:row>
    <x:row r="7790" ht="18" customHeight="1">
      <x:c r="A7790" t="str">
        <x:v>US-2014-111353</x:v>
      </x:c>
      <x:c r="B7790" s="18" t="n">
        <x:v>41972</x:v>
      </x:c>
      <x:c r="C7790" t="str">
        <x:v>PB-19150</x:v>
      </x:c>
      <x:c r="D7790" t="str">
        <x:v>Philip Brown</x:v>
      </x:c>
      <x:c r="E7790" t="str">
        <x:v>Consumer</x:v>
      </x:c>
      <x:c r="F7790" t="str">
        <x:v>East</x:v>
      </x:c>
      <x:c r="G7790" t="str">
        <x:v>Office Supplies</x:v>
      </x:c>
      <x:c r="H7790" t="str">
        <x:v>Labels</x:v>
      </x:c>
      <x:c r="I7790" s="22" t="n">
        <x:v>25.06</x:v>
      </x:c>
      <x:c r="J7790" s="24" t="n">
        <x:v>2</x:v>
      </x:c>
      <x:c r="K7790" s="26" t="n">
        <x:v>0</x:v>
      </x:c>
      <x:c r="L7790" s="22" t="n">
        <x:v>11.778199999999998</x:v>
      </x:c>
      <x:c r="M7790" t="n">
        <x:v>2014</x:v>
      </x:c>
      <x:c r="N7790" s="20" t="n">
        <x:v>41944</x:v>
      </x:c>
    </x:row>
    <x:row r="7791" ht="18" customHeight="1">
      <x:c r="A7791" t="str">
        <x:v>US-2016-117037</x:v>
      </x:c>
      <x:c r="B7791" s="18" t="n">
        <x:v>42507</x:v>
      </x:c>
      <x:c r="C7791" t="str">
        <x:v>LW-17215</x:v>
      </x:c>
      <x:c r="D7791" t="str">
        <x:v>Luke Weiss</x:v>
      </x:c>
      <x:c r="E7791" t="str">
        <x:v>Consumer</x:v>
      </x:c>
      <x:c r="F7791" t="str">
        <x:v>Central</x:v>
      </x:c>
      <x:c r="G7791" t="str">
        <x:v>Office Supplies</x:v>
      </x:c>
      <x:c r="H7791" t="str">
        <x:v>Binders</x:v>
      </x:c>
      <x:c r="I7791" s="22" t="n">
        <x:v>2.8899999999999992</x:v>
      </x:c>
      <x:c r="J7791" s="24" t="n">
        <x:v>1</x:v>
      </x:c>
      <x:c r="K7791" s="26" t="n">
        <x:v>0.8</x:v>
      </x:c>
      <x:c r="L7791" s="22" t="n">
        <x:v>-4.768500000000001</x:v>
      </x:c>
      <x:c r="M7791" t="n">
        <x:v>2016</x:v>
      </x:c>
      <x:c r="N7791" s="20" t="n">
        <x:v>42491</x:v>
      </x:c>
    </x:row>
    <x:row r="7792" ht="18" customHeight="1">
      <x:c r="A7792" t="str">
        <x:v>US-2016-117037</x:v>
      </x:c>
      <x:c r="B7792" s="18" t="n">
        <x:v>42507</x:v>
      </x:c>
      <x:c r="C7792" t="str">
        <x:v>LW-17215</x:v>
      </x:c>
      <x:c r="D7792" t="str">
        <x:v>Luke Weiss</x:v>
      </x:c>
      <x:c r="E7792" t="str">
        <x:v>Consumer</x:v>
      </x:c>
      <x:c r="F7792" t="str">
        <x:v>Central</x:v>
      </x:c>
      <x:c r="G7792" t="str">
        <x:v>Office Supplies</x:v>
      </x:c>
      <x:c r="H7792" t="str">
        <x:v>Fasteners</x:v>
      </x:c>
      <x:c r="I7792" s="22" t="n">
        <x:v>7.896000000000001</x:v>
      </x:c>
      <x:c r="J7792" s="24" t="n">
        <x:v>3</x:v>
      </x:c>
      <x:c r="K7792" s="26" t="n">
        <x:v>0.2</x:v>
      </x:c>
      <x:c r="L7792" s="22" t="n">
        <x:v>2.4674999999999994</x:v>
      </x:c>
      <x:c r="M7792" t="n">
        <x:v>2016</x:v>
      </x:c>
      <x:c r="N7792" s="20" t="n">
        <x:v>42491</x:v>
      </x:c>
    </x:row>
    <x:row r="7793" ht="18" customHeight="1">
      <x:c r="A7793" t="str">
        <x:v>US-2016-117037</x:v>
      </x:c>
      <x:c r="B7793" s="18" t="n">
        <x:v>42507</x:v>
      </x:c>
      <x:c r="C7793" t="str">
        <x:v>LW-17215</x:v>
      </x:c>
      <x:c r="D7793" t="str">
        <x:v>Luke Weiss</x:v>
      </x:c>
      <x:c r="E7793" t="str">
        <x:v>Consumer</x:v>
      </x:c>
      <x:c r="F7793" t="str">
        <x:v>Central</x:v>
      </x:c>
      <x:c r="G7793" t="str">
        <x:v>Furniture</x:v>
      </x:c>
      <x:c r="H7793" t="str">
        <x:v>Furnishings</x:v>
      </x:c>
      <x:c r="I7793" s="22" t="n">
        <x:v>22.608</x:v>
      </x:c>
      <x:c r="J7793" s="24" t="n">
        <x:v>3</x:v>
      </x:c>
      <x:c r="K7793" s="26" t="n">
        <x:v>0.6</x:v>
      </x:c>
      <x:c r="L7793" s="22" t="n">
        <x:v>-10.173599999999997</x:v>
      </x:c>
      <x:c r="M7793" t="n">
        <x:v>2016</x:v>
      </x:c>
      <x:c r="N7793" s="20" t="n">
        <x:v>42491</x:v>
      </x:c>
    </x:row>
    <x:row r="7794" ht="18" customHeight="1">
      <x:c r="A7794" t="str">
        <x:v>US-2016-117037</x:v>
      </x:c>
      <x:c r="B7794" s="18" t="n">
        <x:v>42507</x:v>
      </x:c>
      <x:c r="C7794" t="str">
        <x:v>LW-17215</x:v>
      </x:c>
      <x:c r="D7794" t="str">
        <x:v>Luke Weiss</x:v>
      </x:c>
      <x:c r="E7794" t="str">
        <x:v>Consumer</x:v>
      </x:c>
      <x:c r="F7794" t="str">
        <x:v>Central</x:v>
      </x:c>
      <x:c r="G7794" t="str">
        <x:v>Office Supplies</x:v>
      </x:c>
      <x:c r="H7794" t="str">
        <x:v>Paper</x:v>
      </x:c>
      <x:c r="I7794" s="22" t="n">
        <x:v>30.528</x:v>
      </x:c>
      <x:c r="J7794" s="24" t="n">
        <x:v>8</x:v>
      </x:c>
      <x:c r="K7794" s="26" t="n">
        <x:v>0.2</x:v>
      </x:c>
      <x:c r="L7794" s="22" t="n">
        <x:v>9.539999999999997</x:v>
      </x:c>
      <x:c r="M7794" t="n">
        <x:v>2016</x:v>
      </x:c>
      <x:c r="N7794" s="20" t="n">
        <x:v>42491</x:v>
      </x:c>
    </x:row>
    <x:row r="7795" ht="18" customHeight="1">
      <x:c r="A7795" t="str">
        <x:v>CA-2017-160801</x:v>
      </x:c>
      <x:c r="B7795" s="18" t="n">
        <x:v>42997</x:v>
      </x:c>
      <x:c r="C7795" t="str">
        <x:v>FG-14260</x:v>
      </x:c>
      <x:c r="D7795" t="str">
        <x:v>Frank Gastineau</x:v>
      </x:c>
      <x:c r="E7795" t="str">
        <x:v>Home Office</x:v>
      </x:c>
      <x:c r="F7795" t="str">
        <x:v>East</x:v>
      </x:c>
      <x:c r="G7795" t="str">
        <x:v>Office Supplies</x:v>
      </x:c>
      <x:c r="H7795" t="str">
        <x:v>Binders</x:v>
      </x:c>
      <x:c r="I7795" s="22" t="n">
        <x:v>4.8420000000000005</x:v>
      </x:c>
      <x:c r="J7795" s="24" t="n">
        <x:v>3</x:v>
      </x:c>
      <x:c r="K7795" s="26" t="n">
        <x:v>0.7</x:v>
      </x:c>
      <x:c r="L7795" s="22" t="n">
        <x:v>-3.3893999999999984</x:v>
      </x:c>
      <x:c r="M7795" t="n">
        <x:v>2017</x:v>
      </x:c>
      <x:c r="N7795" s="20" t="n">
        <x:v>42979</x:v>
      </x:c>
    </x:row>
    <x:row r="7796" ht="18" customHeight="1">
      <x:c r="A7796" t="str">
        <x:v>CA-2016-108364</x:v>
      </x:c>
      <x:c r="B7796" s="18" t="n">
        <x:v>42723</x:v>
      </x:c>
      <x:c r="C7796" t="str">
        <x:v>BP-11050</x:v>
      </x:c>
      <x:c r="D7796" t="str">
        <x:v>Barry Pond</x:v>
      </x:c>
      <x:c r="E7796" t="str">
        <x:v>Corporate</x:v>
      </x:c>
      <x:c r="F7796" t="str">
        <x:v>Central</x:v>
      </x:c>
      <x:c r="G7796" t="str">
        <x:v>Office Supplies</x:v>
      </x:c>
      <x:c r="H7796" t="str">
        <x:v>Binders</x:v>
      </x:c>
      <x:c r="I7796" s="22" t="n">
        <x:v>1.7999999999999996</x:v>
      </x:c>
      <x:c r="J7796" s="24" t="n">
        <x:v>5</x:v>
      </x:c>
      <x:c r="K7796" s="26" t="n">
        <x:v>0.8</x:v>
      </x:c>
      <x:c r="L7796" s="22" t="n">
        <x:v>-2.880000000000001</x:v>
      </x:c>
      <x:c r="M7796" t="n">
        <x:v>2016</x:v>
      </x:c>
      <x:c r="N7796" s="20" t="n">
        <x:v>42705</x:v>
      </x:c>
    </x:row>
    <x:row r="7797" ht="18" customHeight="1">
      <x:c r="A7797" t="str">
        <x:v>CA-2017-169362</x:v>
      </x:c>
      <x:c r="B7797" s="18" t="n">
        <x:v>43020</x:v>
      </x:c>
      <x:c r="C7797" t="str">
        <x:v>SP-20860</x:v>
      </x:c>
      <x:c r="D7797" t="str">
        <x:v>Sung Pak</x:v>
      </x:c>
      <x:c r="E7797" t="str">
        <x:v>Corporate</x:v>
      </x:c>
      <x:c r="F7797" t="str">
        <x:v>Central</x:v>
      </x:c>
      <x:c r="G7797" t="str">
        <x:v>Technology</x:v>
      </x:c>
      <x:c r="H7797" t="str">
        <x:v>Accessories</x:v>
      </x:c>
      <x:c r="I7797" s="22" t="n">
        <x:v>39.984</x:v>
      </x:c>
      <x:c r="J7797" s="24" t="n">
        <x:v>2</x:v>
      </x:c>
      <x:c r="K7797" s="26" t="n">
        <x:v>0.2</x:v>
      </x:c>
      <x:c r="L7797" s="22" t="n">
        <x:v>-1.4994000000000067</x:v>
      </x:c>
      <x:c r="M7797" t="n">
        <x:v>2017</x:v>
      </x:c>
      <x:c r="N7797" s="20" t="n">
        <x:v>43009</x:v>
      </x:c>
    </x:row>
    <x:row r="7798" ht="18" customHeight="1">
      <x:c r="A7798" t="str">
        <x:v>CA-2015-127481</x:v>
      </x:c>
      <x:c r="B7798" s="18" t="n">
        <x:v>42350</x:v>
      </x:c>
      <x:c r="C7798" t="str">
        <x:v>JD-15895</x:v>
      </x:c>
      <x:c r="D7798" t="str">
        <x:v>Jonathan Doherty</x:v>
      </x:c>
      <x:c r="E7798" t="str">
        <x:v>Corporate</x:v>
      </x:c>
      <x:c r="F7798" t="str">
        <x:v>West</x:v>
      </x:c>
      <x:c r="G7798" t="str">
        <x:v>Office Supplies</x:v>
      </x:c>
      <x:c r="H7798" t="str">
        <x:v>Paper</x:v>
      </x:c>
      <x:c r="I7798" s="22" t="n">
        <x:v>32.400000000000006</x:v>
      </x:c>
      <x:c r="J7798" s="24" t="n">
        <x:v>5</x:v>
      </x:c>
      <x:c r="K7798" s="26" t="n">
        <x:v>0</x:v>
      </x:c>
      <x:c r="L7798" s="22" t="n">
        <x:v>15.876000000000001</x:v>
      </x:c>
      <x:c r="M7798" t="n">
        <x:v>2015</x:v>
      </x:c>
      <x:c r="N7798" s="20" t="n">
        <x:v>42339</x:v>
      </x:c>
    </x:row>
    <x:row r="7799" ht="18" customHeight="1">
      <x:c r="A7799" t="str">
        <x:v>CA-2015-127481</x:v>
      </x:c>
      <x:c r="B7799" s="18" t="n">
        <x:v>42350</x:v>
      </x:c>
      <x:c r="C7799" t="str">
        <x:v>JD-15895</x:v>
      </x:c>
      <x:c r="D7799" t="str">
        <x:v>Jonathan Doherty</x:v>
      </x:c>
      <x:c r="E7799" t="str">
        <x:v>Corporate</x:v>
      </x:c>
      <x:c r="F7799" t="str">
        <x:v>West</x:v>
      </x:c>
      <x:c r="G7799" t="str">
        <x:v>Office Supplies</x:v>
      </x:c>
      <x:c r="H7799" t="str">
        <x:v>Paper</x:v>
      </x:c>
      <x:c r="I7799" s="22" t="n">
        <x:v>97.88</x:v>
      </x:c>
      <x:c r="J7799" s="24" t="n">
        <x:v>2</x:v>
      </x:c>
      <x:c r="K7799" s="26" t="n">
        <x:v>0</x:v>
      </x:c>
      <x:c r="L7799" s="22" t="n">
        <x:v>48.94</x:v>
      </x:c>
      <x:c r="M7799" t="n">
        <x:v>2015</x:v>
      </x:c>
      <x:c r="N7799" s="20" t="n">
        <x:v>42339</x:v>
      </x:c>
    </x:row>
    <x:row r="7800" ht="18" customHeight="1">
      <x:c r="A7800" t="str">
        <x:v>CA-2015-112711</x:v>
      </x:c>
      <x:c r="B7800" s="18" t="n">
        <x:v>42197</x:v>
      </x:c>
      <x:c r="C7800" t="str">
        <x:v>FM-14380</x:v>
      </x:c>
      <x:c r="D7800" t="str">
        <x:v>Fred McMath</x:v>
      </x:c>
      <x:c r="E7800" t="str">
        <x:v>Consumer</x:v>
      </x:c>
      <x:c r="F7800" t="str">
        <x:v>Central</x:v>
      </x:c>
      <x:c r="G7800" t="str">
        <x:v>Technology</x:v>
      </x:c>
      <x:c r="H7800" t="str">
        <x:v>Phones</x:v>
      </x:c>
      <x:c r="I7800" s="22" t="n">
        <x:v>307.168</x:v>
      </x:c>
      <x:c r="J7800" s="24" t="n">
        <x:v>4</x:v>
      </x:c>
      <x:c r="K7800" s="26" t="n">
        <x:v>0.2</x:v>
      </x:c>
      <x:c r="L7800" s="22" t="n">
        <x:v>30.716800000000006</x:v>
      </x:c>
      <x:c r="M7800" t="n">
        <x:v>2015</x:v>
      </x:c>
      <x:c r="N7800" s="20" t="n">
        <x:v>42186</x:v>
      </x:c>
    </x:row>
    <x:row r="7801" ht="18" customHeight="1">
      <x:c r="A7801" t="str">
        <x:v>US-2015-145121</x:v>
      </x:c>
      <x:c r="B7801" s="18" t="n">
        <x:v>42279</x:v>
      </x:c>
      <x:c r="C7801" t="str">
        <x:v>MP-17965</x:v>
      </x:c>
      <x:c r="D7801" t="str">
        <x:v>Michael Paige</x:v>
      </x:c>
      <x:c r="E7801" t="str">
        <x:v>Corporate</x:v>
      </x:c>
      <x:c r="F7801" t="str">
        <x:v>East</x:v>
      </x:c>
      <x:c r="G7801" t="str">
        <x:v>Office Supplies</x:v>
      </x:c>
      <x:c r="H7801" t="str">
        <x:v>Binders</x:v>
      </x:c>
      <x:c r="I7801" s="22" t="n">
        <x:v>26.9</x:v>
      </x:c>
      <x:c r="J7801" s="24" t="n">
        <x:v>5</x:v>
      </x:c>
      <x:c r="K7801" s="26" t="n">
        <x:v>0</x:v>
      </x:c>
      <x:c r="L7801" s="22" t="n">
        <x:v>13.181000000000001</x:v>
      </x:c>
      <x:c r="M7801" t="n">
        <x:v>2015</x:v>
      </x:c>
      <x:c r="N7801" s="20" t="n">
        <x:v>42278</x:v>
      </x:c>
    </x:row>
    <x:row r="7802" ht="18" customHeight="1">
      <x:c r="A7802" t="str">
        <x:v>CA-2017-166184</x:v>
      </x:c>
      <x:c r="B7802" s="18" t="n">
        <x:v>42818</x:v>
      </x:c>
      <x:c r="C7802" t="str">
        <x:v>HR-14830</x:v>
      </x:c>
      <x:c r="D7802" t="str">
        <x:v>Harold Ryan</x:v>
      </x:c>
      <x:c r="E7802" t="str">
        <x:v>Corporate</x:v>
      </x:c>
      <x:c r="F7802" t="str">
        <x:v>East</x:v>
      </x:c>
      <x:c r="G7802" t="str">
        <x:v>Office Supplies</x:v>
      </x:c>
      <x:c r="H7802" t="str">
        <x:v>Envelopes</x:v>
      </x:c>
      <x:c r="I7802" s="22" t="n">
        <x:v>47.01</x:v>
      </x:c>
      <x:c r="J7802" s="24" t="n">
        <x:v>3</x:v>
      </x:c>
      <x:c r="K7802" s="26" t="n">
        <x:v>0</x:v>
      </x:c>
      <x:c r="L7802" s="22" t="n">
        <x:v>22.094699999999996</x:v>
      </x:c>
      <x:c r="M7802" t="n">
        <x:v>2017</x:v>
      </x:c>
      <x:c r="N7802" s="20" t="n">
        <x:v>42795</x:v>
      </x:c>
    </x:row>
    <x:row r="7803" ht="18" customHeight="1">
      <x:c r="A7803" t="str">
        <x:v>CA-2017-166184</x:v>
      </x:c>
      <x:c r="B7803" s="18" t="n">
        <x:v>42818</x:v>
      </x:c>
      <x:c r="C7803" t="str">
        <x:v>HR-14830</x:v>
      </x:c>
      <x:c r="D7803" t="str">
        <x:v>Harold Ryan</x:v>
      </x:c>
      <x:c r="E7803" t="str">
        <x:v>Corporate</x:v>
      </x:c>
      <x:c r="F7803" t="str">
        <x:v>East</x:v>
      </x:c>
      <x:c r="G7803" t="str">
        <x:v>Technology</x:v>
      </x:c>
      <x:c r="H7803" t="str">
        <x:v>Phones</x:v>
      </x:c>
      <x:c r="I7803" s="22" t="n">
        <x:v>469.99</x:v>
      </x:c>
      <x:c r="J7803" s="24" t="n">
        <x:v>1</x:v>
      </x:c>
      <x:c r="K7803" s="26" t="n">
        <x:v>0</x:v>
      </x:c>
      <x:c r="L7803" s="22" t="n">
        <x:v>136.29709999999994</x:v>
      </x:c>
      <x:c r="M7803" t="n">
        <x:v>2017</x:v>
      </x:c>
      <x:c r="N7803" s="20" t="n">
        <x:v>42795</x:v>
      </x:c>
    </x:row>
    <x:row r="7804" ht="18" customHeight="1">
      <x:c r="A7804" t="str">
        <x:v>CA-2017-166184</x:v>
      </x:c>
      <x:c r="B7804" s="18" t="n">
        <x:v>42818</x:v>
      </x:c>
      <x:c r="C7804" t="str">
        <x:v>HR-14830</x:v>
      </x:c>
      <x:c r="D7804" t="str">
        <x:v>Harold Ryan</x:v>
      </x:c>
      <x:c r="E7804" t="str">
        <x:v>Corporate</x:v>
      </x:c>
      <x:c r="F7804" t="str">
        <x:v>East</x:v>
      </x:c>
      <x:c r="G7804" t="str">
        <x:v>Furniture</x:v>
      </x:c>
      <x:c r="H7804" t="str">
        <x:v>Chairs</x:v>
      </x:c>
      <x:c r="I7804" s="22" t="n">
        <x:v>207.84600000000003</x:v>
      </x:c>
      <x:c r="J7804" s="24" t="n">
        <x:v>3</x:v>
      </x:c>
      <x:c r="K7804" s="26" t="n">
        <x:v>0.1</x:v>
      </x:c>
      <x:c r="L7804" s="22" t="n">
        <x:v>2.3093999999999895</x:v>
      </x:c>
      <x:c r="M7804" t="n">
        <x:v>2017</x:v>
      </x:c>
      <x:c r="N7804" s="20" t="n">
        <x:v>42795</x:v>
      </x:c>
    </x:row>
    <x:row r="7805" ht="18" customHeight="1">
      <x:c r="A7805" t="str">
        <x:v>CA-2017-157413</x:v>
      </x:c>
      <x:c r="B7805" s="18" t="n">
        <x:v>42887</x:v>
      </x:c>
      <x:c r="C7805" t="str">
        <x:v>BW-11065</x:v>
      </x:c>
      <x:c r="D7805" t="str">
        <x:v>Barry Weirich</x:v>
      </x:c>
      <x:c r="E7805" t="str">
        <x:v>Consumer</x:v>
      </x:c>
      <x:c r="F7805" t="str">
        <x:v>East</x:v>
      </x:c>
      <x:c r="G7805" t="str">
        <x:v>Office Supplies</x:v>
      </x:c>
      <x:c r="H7805" t="str">
        <x:v>Storage</x:v>
      </x:c>
      <x:c r="I7805" s="22" t="n">
        <x:v>324.744</x:v>
      </x:c>
      <x:c r="J7805" s="24" t="n">
        <x:v>3</x:v>
      </x:c>
      <x:c r="K7805" s="26" t="n">
        <x:v>0.2</x:v>
      </x:c>
      <x:c r="L7805" s="22" t="n">
        <x:v>-77.12669999999997</x:v>
      </x:c>
      <x:c r="M7805" t="n">
        <x:v>2017</x:v>
      </x:c>
      <x:c r="N7805" s="20" t="n">
        <x:v>42887</x:v>
      </x:c>
    </x:row>
    <x:row r="7806" ht="18" customHeight="1">
      <x:c r="A7806" t="str">
        <x:v>CA-2014-143637</x:v>
      </x:c>
      <x:c r="B7806" s="18" t="n">
        <x:v>41722</x:v>
      </x:c>
      <x:c r="C7806" t="str">
        <x:v>MS-17710</x:v>
      </x:c>
      <x:c r="D7806" t="str">
        <x:v>Maurice Satty</x:v>
      </x:c>
      <x:c r="E7806" t="str">
        <x:v>Consumer</x:v>
      </x:c>
      <x:c r="F7806" t="str">
        <x:v>West</x:v>
      </x:c>
      <x:c r="G7806" t="str">
        <x:v>Furniture</x:v>
      </x:c>
      <x:c r="H7806" t="str">
        <x:v>Furnishings</x:v>
      </x:c>
      <x:c r="I7806" s="22" t="n">
        <x:v>40.48</x:v>
      </x:c>
      <x:c r="J7806" s="24" t="n">
        <x:v>2</x:v>
      </x:c>
      <x:c r="K7806" s="26" t="n">
        <x:v>0</x:v>
      </x:c>
      <x:c r="L7806" s="22" t="n">
        <x:v>14.572799999999997</x:v>
      </x:c>
      <x:c r="M7806" t="n">
        <x:v>2014</x:v>
      </x:c>
      <x:c r="N7806" s="20" t="n">
        <x:v>41699</x:v>
      </x:c>
    </x:row>
    <x:row r="7807" ht="18" customHeight="1">
      <x:c r="A7807" t="str">
        <x:v>CA-2015-102260</x:v>
      </x:c>
      <x:c r="B7807" s="18" t="n">
        <x:v>42269</x:v>
      </x:c>
      <x:c r="C7807" t="str">
        <x:v>SJ-20125</x:v>
      </x:c>
      <x:c r="D7807" t="str">
        <x:v>Sanjit Jacobs</x:v>
      </x:c>
      <x:c r="E7807" t="str">
        <x:v>Home Office</x:v>
      </x:c>
      <x:c r="F7807" t="str">
        <x:v>South</x:v>
      </x:c>
      <x:c r="G7807" t="str">
        <x:v>Office Supplies</x:v>
      </x:c>
      <x:c r="H7807" t="str">
        <x:v>Labels</x:v>
      </x:c>
      <x:c r="I7807" s="22" t="n">
        <x:v>12</x:v>
      </x:c>
      <x:c r="J7807" s="24" t="n">
        <x:v>4</x:v>
      </x:c>
      <x:c r="K7807" s="26" t="n">
        <x:v>0.2</x:v>
      </x:c>
      <x:c r="L7807" s="22" t="n">
        <x:v>4.199999999999999</x:v>
      </x:c>
      <x:c r="M7807" t="n">
        <x:v>2015</x:v>
      </x:c>
      <x:c r="N7807" s="20" t="n">
        <x:v>42248</x:v>
      </x:c>
    </x:row>
    <x:row r="7808" ht="18" customHeight="1">
      <x:c r="A7808" t="str">
        <x:v>CA-2015-102260</x:v>
      </x:c>
      <x:c r="B7808" s="18" t="n">
        <x:v>42269</x:v>
      </x:c>
      <x:c r="C7808" t="str">
        <x:v>SJ-20125</x:v>
      </x:c>
      <x:c r="D7808" t="str">
        <x:v>Sanjit Jacobs</x:v>
      </x:c>
      <x:c r="E7808" t="str">
        <x:v>Home Office</x:v>
      </x:c>
      <x:c r="F7808" t="str">
        <x:v>South</x:v>
      </x:c>
      <x:c r="G7808" t="str">
        <x:v>Office Supplies</x:v>
      </x:c>
      <x:c r="H7808" t="str">
        <x:v>Storage</x:v>
      </x:c>
      <x:c r="I7808" s="22" t="n">
        <x:v>720.0640000000001</x:v>
      </x:c>
      <x:c r="J7808" s="24" t="n">
        <x:v>4</x:v>
      </x:c>
      <x:c r="K7808" s="26" t="n">
        <x:v>0.2</x:v>
      </x:c>
      <x:c r="L7808" s="22" t="n">
        <x:v>-63.005600000000015</x:v>
      </x:c>
      <x:c r="M7808" t="n">
        <x:v>2015</x:v>
      </x:c>
      <x:c r="N7808" s="20" t="n">
        <x:v>42248</x:v>
      </x:c>
    </x:row>
    <x:row r="7809" ht="18" customHeight="1">
      <x:c r="A7809" t="str">
        <x:v>CA-2015-102260</x:v>
      </x:c>
      <x:c r="B7809" s="18" t="n">
        <x:v>42269</x:v>
      </x:c>
      <x:c r="C7809" t="str">
        <x:v>SJ-20125</x:v>
      </x:c>
      <x:c r="D7809" t="str">
        <x:v>Sanjit Jacobs</x:v>
      </x:c>
      <x:c r="E7809" t="str">
        <x:v>Home Office</x:v>
      </x:c>
      <x:c r="F7809" t="str">
        <x:v>South</x:v>
      </x:c>
      <x:c r="G7809" t="str">
        <x:v>Office Supplies</x:v>
      </x:c>
      <x:c r="H7809" t="str">
        <x:v>Storage</x:v>
      </x:c>
      <x:c r="I7809" s="22" t="n">
        <x:v>25.424000000000003</x:v>
      </x:c>
      <x:c r="J7809" s="24" t="n">
        <x:v>1</x:v>
      </x:c>
      <x:c r="K7809" s="26" t="n">
        <x:v>0.2</x:v>
      </x:c>
      <x:c r="L7809" s="22" t="n">
        <x:v>-4.767000000000002</x:v>
      </x:c>
      <x:c r="M7809" t="n">
        <x:v>2015</x:v>
      </x:c>
      <x:c r="N7809" s="20" t="n">
        <x:v>42248</x:v>
      </x:c>
    </x:row>
    <x:row r="7810" ht="18" customHeight="1">
      <x:c r="A7810" t="str">
        <x:v>CA-2015-102260</x:v>
      </x:c>
      <x:c r="B7810" s="18" t="n">
        <x:v>42269</x:v>
      </x:c>
      <x:c r="C7810" t="str">
        <x:v>SJ-20125</x:v>
      </x:c>
      <x:c r="D7810" t="str">
        <x:v>Sanjit Jacobs</x:v>
      </x:c>
      <x:c r="E7810" t="str">
        <x:v>Home Office</x:v>
      </x:c>
      <x:c r="F7810" t="str">
        <x:v>South</x:v>
      </x:c>
      <x:c r="G7810" t="str">
        <x:v>Office Supplies</x:v>
      </x:c>
      <x:c r="H7810" t="str">
        <x:v>Art</x:v>
      </x:c>
      <x:c r="I7810" s="22" t="n">
        <x:v>2.8160000000000003</x:v>
      </x:c>
      <x:c r="J7810" s="24" t="n">
        <x:v>2</x:v>
      </x:c>
      <x:c r="K7810" s="26" t="n">
        <x:v>0.2</x:v>
      </x:c>
      <x:c r="L7810" s="22" t="n">
        <x:v>0.31679999999999986</x:v>
      </x:c>
      <x:c r="M7810" t="n">
        <x:v>2015</x:v>
      </x:c>
      <x:c r="N7810" s="20" t="n">
        <x:v>42248</x:v>
      </x:c>
    </x:row>
    <x:row r="7811" ht="18" customHeight="1">
      <x:c r="A7811" t="str">
        <x:v>CA-2015-102260</x:v>
      </x:c>
      <x:c r="B7811" s="18" t="n">
        <x:v>42269</x:v>
      </x:c>
      <x:c r="C7811" t="str">
        <x:v>SJ-20125</x:v>
      </x:c>
      <x:c r="D7811" t="str">
        <x:v>Sanjit Jacobs</x:v>
      </x:c>
      <x:c r="E7811" t="str">
        <x:v>Home Office</x:v>
      </x:c>
      <x:c r="F7811" t="str">
        <x:v>South</x:v>
      </x:c>
      <x:c r="G7811" t="str">
        <x:v>Office Supplies</x:v>
      </x:c>
      <x:c r="H7811" t="str">
        <x:v>Binders</x:v>
      </x:c>
      <x:c r="I7811" s="22" t="n">
        <x:v>3.204</x:v>
      </x:c>
      <x:c r="J7811" s="24" t="n">
        <x:v>2</x:v>
      </x:c>
      <x:c r="K7811" s="26" t="n">
        <x:v>0.7</x:v>
      </x:c>
      <x:c r="L7811" s="22" t="n">
        <x:v>-2.5631999999999993</x:v>
      </x:c>
      <x:c r="M7811" t="n">
        <x:v>2015</x:v>
      </x:c>
      <x:c r="N7811" s="20" t="n">
        <x:v>42248</x:v>
      </x:c>
    </x:row>
    <x:row r="7812" ht="18" customHeight="1">
      <x:c r="A7812" t="str">
        <x:v>US-2016-137295</x:v>
      </x:c>
      <x:c r="B7812" s="18" t="n">
        <x:v>42377</x:v>
      </x:c>
      <x:c r="C7812" t="str">
        <x:v>VS-21820</x:v>
      </x:c>
      <x:c r="D7812" t="str">
        <x:v>Vivek Sundaresam</x:v>
      </x:c>
      <x:c r="E7812" t="str">
        <x:v>Consumer</x:v>
      </x:c>
      <x:c r="F7812" t="str">
        <x:v>South</x:v>
      </x:c>
      <x:c r="G7812" t="str">
        <x:v>Office Supplies</x:v>
      </x:c>
      <x:c r="H7812" t="str">
        <x:v>Binders</x:v>
      </x:c>
      <x:c r="I7812" s="22" t="n">
        <x:v>30.828000000000007</x:v>
      </x:c>
      <x:c r="J7812" s="24" t="n">
        <x:v>7</x:v>
      </x:c>
      <x:c r="K7812" s="26" t="n">
        <x:v>0.7</x:v>
      </x:c>
      <x:c r="L7812" s="22" t="n">
        <x:v>-24.662400000000005</x:v>
      </x:c>
      <x:c r="M7812" t="n">
        <x:v>2016</x:v>
      </x:c>
      <x:c r="N7812" s="20" t="n">
        <x:v>42370</x:v>
      </x:c>
    </x:row>
    <x:row r="7813" ht="18" customHeight="1">
      <x:c r="A7813" t="str">
        <x:v>US-2016-137295</x:v>
      </x:c>
      <x:c r="B7813" s="18" t="n">
        <x:v>42377</x:v>
      </x:c>
      <x:c r="C7813" t="str">
        <x:v>VS-21820</x:v>
      </x:c>
      <x:c r="D7813" t="str">
        <x:v>Vivek Sundaresam</x:v>
      </x:c>
      <x:c r="E7813" t="str">
        <x:v>Consumer</x:v>
      </x:c>
      <x:c r="F7813" t="str">
        <x:v>South</x:v>
      </x:c>
      <x:c r="G7813" t="str">
        <x:v>Office Supplies</x:v>
      </x:c>
      <x:c r="H7813" t="str">
        <x:v>Art</x:v>
      </x:c>
      <x:c r="I7813" s="22" t="n">
        <x:v>47.616</x:v>
      </x:c>
      <x:c r="J7813" s="24" t="n">
        <x:v>3</x:v>
      </x:c>
      <x:c r="K7813" s="26" t="n">
        <x:v>0.2</x:v>
      </x:c>
      <x:c r="L7813" s="22" t="n">
        <x:v>5.951999999999995</x:v>
      </x:c>
      <x:c r="M7813" t="n">
        <x:v>2016</x:v>
      </x:c>
      <x:c r="N7813" s="20" t="n">
        <x:v>42370</x:v>
      </x:c>
    </x:row>
    <x:row r="7814" ht="18" customHeight="1">
      <x:c r="A7814" t="str">
        <x:v>US-2016-137295</x:v>
      </x:c>
      <x:c r="B7814" s="18" t="n">
        <x:v>42377</x:v>
      </x:c>
      <x:c r="C7814" t="str">
        <x:v>VS-21820</x:v>
      </x:c>
      <x:c r="D7814" t="str">
        <x:v>Vivek Sundaresam</x:v>
      </x:c>
      <x:c r="E7814" t="str">
        <x:v>Consumer</x:v>
      </x:c>
      <x:c r="F7814" t="str">
        <x:v>South</x:v>
      </x:c>
      <x:c r="G7814" t="str">
        <x:v>Technology</x:v>
      </x:c>
      <x:c r="H7814" t="str">
        <x:v>Phones</x:v>
      </x:c>
      <x:c r="I7814" s="22" t="n">
        <x:v>108.78399999999999</x:v>
      </x:c>
      <x:c r="J7814" s="24" t="n">
        <x:v>2</x:v>
      </x:c>
      <x:c r="K7814" s="26" t="n">
        <x:v>0.2</x:v>
      </x:c>
      <x:c r="L7814" s="22" t="n">
        <x:v>10.8784</x:v>
      </x:c>
      <x:c r="M7814" t="n">
        <x:v>2016</x:v>
      </x:c>
      <x:c r="N7814" s="20" t="n">
        <x:v>42370</x:v>
      </x:c>
    </x:row>
    <x:row r="7815" ht="18" customHeight="1">
      <x:c r="A7815" t="str">
        <x:v>CA-2016-134334</x:v>
      </x:c>
      <x:c r="B7815" s="18" t="n">
        <x:v>42414</x:v>
      </x:c>
      <x:c r="C7815" t="str">
        <x:v>DK-13090</x:v>
      </x:c>
      <x:c r="D7815" t="str">
        <x:v>Dave Kipp</x:v>
      </x:c>
      <x:c r="E7815" t="str">
        <x:v>Consumer</x:v>
      </x:c>
      <x:c r="F7815" t="str">
        <x:v>East</x:v>
      </x:c>
      <x:c r="G7815" t="str">
        <x:v>Office Supplies</x:v>
      </x:c>
      <x:c r="H7815" t="str">
        <x:v>Paper</x:v>
      </x:c>
      <x:c r="I7815" s="22" t="n">
        <x:v>4.77</x:v>
      </x:c>
      <x:c r="J7815" s="24" t="n">
        <x:v>1</x:v>
      </x:c>
      <x:c r="K7815" s="26" t="n">
        <x:v>0</x:v>
      </x:c>
      <x:c r="L7815" s="22" t="n">
        <x:v>2.1464999999999996</x:v>
      </x:c>
      <x:c r="M7815" t="n">
        <x:v>2016</x:v>
      </x:c>
      <x:c r="N7815" s="20" t="n">
        <x:v>42401</x:v>
      </x:c>
    </x:row>
    <x:row r="7816" ht="18" customHeight="1">
      <x:c r="A7816" t="str">
        <x:v>CA-2016-134334</x:v>
      </x:c>
      <x:c r="B7816" s="18" t="n">
        <x:v>42414</x:v>
      </x:c>
      <x:c r="C7816" t="str">
        <x:v>DK-13090</x:v>
      </x:c>
      <x:c r="D7816" t="str">
        <x:v>Dave Kipp</x:v>
      </x:c>
      <x:c r="E7816" t="str">
        <x:v>Consumer</x:v>
      </x:c>
      <x:c r="F7816" t="str">
        <x:v>East</x:v>
      </x:c>
      <x:c r="G7816" t="str">
        <x:v>Office Supplies</x:v>
      </x:c>
      <x:c r="H7816" t="str">
        <x:v>Art</x:v>
      </x:c>
      <x:c r="I7816" s="22" t="n">
        <x:v>7.98</x:v>
      </x:c>
      <x:c r="J7816" s="24" t="n">
        <x:v>3</x:v>
      </x:c>
      <x:c r="K7816" s="26" t="n">
        <x:v>0</x:v>
      </x:c>
      <x:c r="L7816" s="22" t="n">
        <x:v>2.0747999999999998</x:v>
      </x:c>
      <x:c r="M7816" t="n">
        <x:v>2016</x:v>
      </x:c>
      <x:c r="N7816" s="20" t="n">
        <x:v>42401</x:v>
      </x:c>
    </x:row>
    <x:row r="7817" ht="18" customHeight="1">
      <x:c r="A7817" t="str">
        <x:v>CA-2016-134334</x:v>
      </x:c>
      <x:c r="B7817" s="18" t="n">
        <x:v>42414</x:v>
      </x:c>
      <x:c r="C7817" t="str">
        <x:v>DK-13090</x:v>
      </x:c>
      <x:c r="D7817" t="str">
        <x:v>Dave Kipp</x:v>
      </x:c>
      <x:c r="E7817" t="str">
        <x:v>Consumer</x:v>
      </x:c>
      <x:c r="F7817" t="str">
        <x:v>East</x:v>
      </x:c>
      <x:c r="G7817" t="str">
        <x:v>Furniture</x:v>
      </x:c>
      <x:c r="H7817" t="str">
        <x:v>Tables</x:v>
      </x:c>
      <x:c r="I7817" s="22" t="n">
        <x:v>550.431</x:v>
      </x:c>
      <x:c r="J7817" s="24" t="n">
        <x:v>3</x:v>
      </x:c>
      <x:c r="K7817" s="26" t="n">
        <x:v>0.3</x:v>
      </x:c>
      <x:c r="L7817" s="22" t="n">
        <x:v>-47.17980000000003</x:v>
      </x:c>
      <x:c r="M7817" t="n">
        <x:v>2016</x:v>
      </x:c>
      <x:c r="N7817" s="20" t="n">
        <x:v>42401</x:v>
      </x:c>
    </x:row>
    <x:row r="7818" ht="18" customHeight="1">
      <x:c r="A7818" t="str">
        <x:v>CA-2016-134334</x:v>
      </x:c>
      <x:c r="B7818" s="18" t="n">
        <x:v>42414</x:v>
      </x:c>
      <x:c r="C7818" t="str">
        <x:v>DK-13090</x:v>
      </x:c>
      <x:c r="D7818" t="str">
        <x:v>Dave Kipp</x:v>
      </x:c>
      <x:c r="E7818" t="str">
        <x:v>Consumer</x:v>
      </x:c>
      <x:c r="F7818" t="str">
        <x:v>East</x:v>
      </x:c>
      <x:c r="G7818" t="str">
        <x:v>Furniture</x:v>
      </x:c>
      <x:c r="H7818" t="str">
        <x:v>Furnishings</x:v>
      </x:c>
      <x:c r="I7818" s="22" t="n">
        <x:v>10.56</x:v>
      </x:c>
      <x:c r="J7818" s="24" t="n">
        <x:v>6</x:v>
      </x:c>
      <x:c r="K7818" s="26" t="n">
        <x:v>0</x:v>
      </x:c>
      <x:c r="L7818" s="22" t="n">
        <x:v>4.646400000000001</x:v>
      </x:c>
      <x:c r="M7818" t="n">
        <x:v>2016</x:v>
      </x:c>
      <x:c r="N7818" s="20" t="n">
        <x:v>42401</x:v>
      </x:c>
    </x:row>
    <x:row r="7819" ht="18" customHeight="1">
      <x:c r="A7819" t="str">
        <x:v>US-2017-109316</x:v>
      </x:c>
      <x:c r="B7819" s="18" t="n">
        <x:v>42894</x:v>
      </x:c>
      <x:c r="C7819" t="str">
        <x:v>MG-17680</x:v>
      </x:c>
      <x:c r="D7819" t="str">
        <x:v>Maureen Gastineau</x:v>
      </x:c>
      <x:c r="E7819" t="str">
        <x:v>Home Office</x:v>
      </x:c>
      <x:c r="F7819" t="str">
        <x:v>West</x:v>
      </x:c>
      <x:c r="G7819" t="str">
        <x:v>Furniture</x:v>
      </x:c>
      <x:c r="H7819" t="str">
        <x:v>Bookcases</x:v>
      </x:c>
      <x:c r="I7819" s="22" t="n">
        <x:v>1497.666</x:v>
      </x:c>
      <x:c r="J7819" s="24" t="n">
        <x:v>2</x:v>
      </x:c>
      <x:c r="K7819" s="26" t="n">
        <x:v>0.15</x:v>
      </x:c>
      <x:c r="L7819" s="22" t="n">
        <x:v>140.95680000000004</x:v>
      </x:c>
      <x:c r="M7819" t="n">
        <x:v>2017</x:v>
      </x:c>
      <x:c r="N7819" s="20" t="n">
        <x:v>42887</x:v>
      </x:c>
    </x:row>
    <x:row r="7820" ht="18" customHeight="1">
      <x:c r="A7820" t="str">
        <x:v>US-2017-109316</x:v>
      </x:c>
      <x:c r="B7820" s="18" t="n">
        <x:v>42894</x:v>
      </x:c>
      <x:c r="C7820" t="str">
        <x:v>MG-17680</x:v>
      </x:c>
      <x:c r="D7820" t="str">
        <x:v>Maureen Gastineau</x:v>
      </x:c>
      <x:c r="E7820" t="str">
        <x:v>Home Office</x:v>
      </x:c>
      <x:c r="F7820" t="str">
        <x:v>West</x:v>
      </x:c>
      <x:c r="G7820" t="str">
        <x:v>Technology</x:v>
      </x:c>
      <x:c r="H7820" t="str">
        <x:v>Phones</x:v>
      </x:c>
      <x:c r="I7820" s="22" t="n">
        <x:v>17.52</x:v>
      </x:c>
      <x:c r="J7820" s="24" t="n">
        <x:v>2</x:v>
      </x:c>
      <x:c r="K7820" s="26" t="n">
        <x:v>0.2</x:v>
      </x:c>
      <x:c r="L7820" s="22" t="n">
        <x:v>-3.5040000000000022</x:v>
      </x:c>
      <x:c r="M7820" t="n">
        <x:v>2017</x:v>
      </x:c>
      <x:c r="N7820" s="20" t="n">
        <x:v>42887</x:v>
      </x:c>
    </x:row>
    <x:row r="7821" ht="18" customHeight="1">
      <x:c r="A7821" t="str">
        <x:v>CA-2016-138478</x:v>
      </x:c>
      <x:c r="B7821" s="18" t="n">
        <x:v>42664</x:v>
      </x:c>
      <x:c r="C7821" t="str">
        <x:v>DP-13390</x:v>
      </x:c>
      <x:c r="D7821" t="str">
        <x:v>Dennis Pardue</x:v>
      </x:c>
      <x:c r="E7821" t="str">
        <x:v>Home Office</x:v>
      </x:c>
      <x:c r="F7821" t="str">
        <x:v>West</x:v>
      </x:c>
      <x:c r="G7821" t="str">
        <x:v>Office Supplies</x:v>
      </x:c>
      <x:c r="H7821" t="str">
        <x:v>Art</x:v>
      </x:c>
      <x:c r="I7821" s="22" t="n">
        <x:v>113.22</x:v>
      </x:c>
      <x:c r="J7821" s="24" t="n">
        <x:v>3</x:v>
      </x:c>
      <x:c r="K7821" s="26" t="n">
        <x:v>0</x:v>
      </x:c>
      <x:c r="L7821" s="22" t="n">
        <x:v>29.4372</x:v>
      </x:c>
      <x:c r="M7821" t="n">
        <x:v>2016</x:v>
      </x:c>
      <x:c r="N7821" s="20" t="n">
        <x:v>42644</x:v>
      </x:c>
    </x:row>
    <x:row r="7822" ht="18" customHeight="1">
      <x:c r="A7822" t="str">
        <x:v>CA-2016-138478</x:v>
      </x:c>
      <x:c r="B7822" s="18" t="n">
        <x:v>42664</x:v>
      </x:c>
      <x:c r="C7822" t="str">
        <x:v>DP-13390</x:v>
      </x:c>
      <x:c r="D7822" t="str">
        <x:v>Dennis Pardue</x:v>
      </x:c>
      <x:c r="E7822" t="str">
        <x:v>Home Office</x:v>
      </x:c>
      <x:c r="F7822" t="str">
        <x:v>West</x:v>
      </x:c>
      <x:c r="G7822" t="str">
        <x:v>Office Supplies</x:v>
      </x:c>
      <x:c r="H7822" t="str">
        <x:v>Paper</x:v>
      </x:c>
      <x:c r="I7822" s="22" t="n">
        <x:v>35.88</x:v>
      </x:c>
      <x:c r="J7822" s="24" t="n">
        <x:v>6</x:v>
      </x:c>
      <x:c r="K7822" s="26" t="n">
        <x:v>0</x:v>
      </x:c>
      <x:c r="L7822" s="22" t="n">
        <x:v>17.581200000000003</x:v>
      </x:c>
      <x:c r="M7822" t="n">
        <x:v>2016</x:v>
      </x:c>
      <x:c r="N7822" s="20" t="n">
        <x:v>42644</x:v>
      </x:c>
    </x:row>
    <x:row r="7823" ht="18" customHeight="1">
      <x:c r="A7823" t="str">
        <x:v>CA-2016-138478</x:v>
      </x:c>
      <x:c r="B7823" s="18" t="n">
        <x:v>42664</x:v>
      </x:c>
      <x:c r="C7823" t="str">
        <x:v>DP-13390</x:v>
      </x:c>
      <x:c r="D7823" t="str">
        <x:v>Dennis Pardue</x:v>
      </x:c>
      <x:c r="E7823" t="str">
        <x:v>Home Office</x:v>
      </x:c>
      <x:c r="F7823" t="str">
        <x:v>West</x:v>
      </x:c>
      <x:c r="G7823" t="str">
        <x:v>Office Supplies</x:v>
      </x:c>
      <x:c r="H7823" t="str">
        <x:v>Binders</x:v>
      </x:c>
      <x:c r="I7823" s="22" t="n">
        <x:v>4535.976000000001</x:v>
      </x:c>
      <x:c r="J7823" s="24" t="n">
        <x:v>3</x:v>
      </x:c>
      <x:c r="K7823" s="26" t="n">
        <x:v>0.2</x:v>
      </x:c>
      <x:c r="L7823" s="22" t="n">
        <x:v>1644.2912999999999</x:v>
      </x:c>
      <x:c r="M7823" t="n">
        <x:v>2016</x:v>
      </x:c>
      <x:c r="N7823" s="20" t="n">
        <x:v>42644</x:v>
      </x:c>
    </x:row>
    <x:row r="7824" ht="18" customHeight="1">
      <x:c r="A7824" t="str">
        <x:v>CA-2017-150469</x:v>
      </x:c>
      <x:c r="B7824" s="18" t="n">
        <x:v>42761</x:v>
      </x:c>
      <x:c r="C7824" t="str">
        <x:v>CJ-12010</x:v>
      </x:c>
      <x:c r="D7824" t="str">
        <x:v>Caroline Jumper</x:v>
      </x:c>
      <x:c r="E7824" t="str">
        <x:v>Consumer</x:v>
      </x:c>
      <x:c r="F7824" t="str">
        <x:v>West</x:v>
      </x:c>
      <x:c r="G7824" t="str">
        <x:v>Office Supplies</x:v>
      </x:c>
      <x:c r="H7824" t="str">
        <x:v>Fasteners</x:v>
      </x:c>
      <x:c r="I7824" s="22" t="n">
        <x:v>11.84</x:v>
      </x:c>
      <x:c r="J7824" s="24" t="n">
        <x:v>8</x:v>
      </x:c>
      <x:c r="K7824" s="26" t="n">
        <x:v>0</x:v>
      </x:c>
      <x:c r="L7824" s="22" t="n">
        <x:v>5.683199999999999</x:v>
      </x:c>
      <x:c r="M7824" t="n">
        <x:v>2017</x:v>
      </x:c>
      <x:c r="N7824" s="20" t="n">
        <x:v>42736</x:v>
      </x:c>
    </x:row>
    <x:row r="7825" ht="18" customHeight="1">
      <x:c r="A7825" t="str">
        <x:v>CA-2017-152436</x:v>
      </x:c>
      <x:c r="B7825" s="18" t="n">
        <x:v>43077</x:v>
      </x:c>
      <x:c r="C7825" t="str">
        <x:v>CW-11905</x:v>
      </x:c>
      <x:c r="D7825" t="str">
        <x:v>Carl Weiss</x:v>
      </x:c>
      <x:c r="E7825" t="str">
        <x:v>Home Office</x:v>
      </x:c>
      <x:c r="F7825" t="str">
        <x:v>East</x:v>
      </x:c>
      <x:c r="G7825" t="str">
        <x:v>Office Supplies</x:v>
      </x:c>
      <x:c r="H7825" t="str">
        <x:v>Storage</x:v>
      </x:c>
      <x:c r="I7825" s="22" t="n">
        <x:v>592.74</x:v>
      </x:c>
      <x:c r="J7825" s="24" t="n">
        <x:v>6</x:v>
      </x:c>
      <x:c r="K7825" s="26" t="n">
        <x:v>0</x:v>
      </x:c>
      <x:c r="L7825" s="22" t="n">
        <x:v>160.03979999999999</x:v>
      </x:c>
      <x:c r="M7825" t="n">
        <x:v>2017</x:v>
      </x:c>
      <x:c r="N7825" s="20" t="n">
        <x:v>43070</x:v>
      </x:c>
    </x:row>
    <x:row r="7826" ht="18" customHeight="1">
      <x:c r="A7826" t="str">
        <x:v>CA-2016-169334</x:v>
      </x:c>
      <x:c r="B7826" s="18" t="n">
        <x:v>42664</x:v>
      </x:c>
      <x:c r="C7826" t="str">
        <x:v>GW-14605</x:v>
      </x:c>
      <x:c r="D7826" t="str">
        <x:v>Giulietta Weimer</x:v>
      </x:c>
      <x:c r="E7826" t="str">
        <x:v>Consumer</x:v>
      </x:c>
      <x:c r="F7826" t="str">
        <x:v>South</x:v>
      </x:c>
      <x:c r="G7826" t="str">
        <x:v>Office Supplies</x:v>
      </x:c>
      <x:c r="H7826" t="str">
        <x:v>Storage</x:v>
      </x:c>
      <x:c r="I7826" s="22" t="n">
        <x:v>111.67200000000001</x:v>
      </x:c>
      <x:c r="J7826" s="24" t="n">
        <x:v>9</x:v>
      </x:c>
      <x:c r="K7826" s="26" t="n">
        <x:v>0.2</x:v>
      </x:c>
      <x:c r="L7826" s="22" t="n">
        <x:v>6.979499999999991</x:v>
      </x:c>
      <x:c r="M7826" t="n">
        <x:v>2016</x:v>
      </x:c>
      <x:c r="N7826" s="20" t="n">
        <x:v>42644</x:v>
      </x:c>
    </x:row>
    <x:row r="7827" ht="18" customHeight="1">
      <x:c r="A7827" t="str">
        <x:v>US-2014-115413</x:v>
      </x:c>
      <x:c r="B7827" s="18" t="n">
        <x:v>41877</x:v>
      </x:c>
      <x:c r="C7827" t="str">
        <x:v>PP-18955</x:v>
      </x:c>
      <x:c r="D7827" t="str">
        <x:v>Paul Prost</x:v>
      </x:c>
      <x:c r="E7827" t="str">
        <x:v>Home Office</x:v>
      </x:c>
      <x:c r="F7827" t="str">
        <x:v>East</x:v>
      </x:c>
      <x:c r="G7827" t="str">
        <x:v>Office Supplies</x:v>
      </x:c>
      <x:c r="H7827" t="str">
        <x:v>Art</x:v>
      </x:c>
      <x:c r="I7827" s="22" t="n">
        <x:v>8.64</x:v>
      </x:c>
      <x:c r="J7827" s="24" t="n">
        <x:v>3</x:v>
      </x:c>
      <x:c r="K7827" s="26" t="n">
        <x:v>0</x:v>
      </x:c>
      <x:c r="L7827" s="22" t="n">
        <x:v>2.5056</x:v>
      </x:c>
      <x:c r="M7827" t="n">
        <x:v>2014</x:v>
      </x:c>
      <x:c r="N7827" s="20" t="n">
        <x:v>41852</x:v>
      </x:c>
    </x:row>
    <x:row r="7828" ht="18" customHeight="1">
      <x:c r="A7828" t="str">
        <x:v>US-2014-115413</x:v>
      </x:c>
      <x:c r="B7828" s="18" t="n">
        <x:v>41877</x:v>
      </x:c>
      <x:c r="C7828" t="str">
        <x:v>PP-18955</x:v>
      </x:c>
      <x:c r="D7828" t="str">
        <x:v>Paul Prost</x:v>
      </x:c>
      <x:c r="E7828" t="str">
        <x:v>Home Office</x:v>
      </x:c>
      <x:c r="F7828" t="str">
        <x:v>East</x:v>
      </x:c>
      <x:c r="G7828" t="str">
        <x:v>Technology</x:v>
      </x:c>
      <x:c r="H7828" t="str">
        <x:v>Accessories</x:v>
      </x:c>
      <x:c r="I7828" s="22" t="n">
        <x:v>149.97</x:v>
      </x:c>
      <x:c r="J7828" s="24" t="n">
        <x:v>3</x:v>
      </x:c>
      <x:c r="K7828" s="26" t="n">
        <x:v>0</x:v>
      </x:c>
      <x:c r="L7828" s="22" t="n">
        <x:v>52.48949999999999</x:v>
      </x:c>
      <x:c r="M7828" t="n">
        <x:v>2014</x:v>
      </x:c>
      <x:c r="N7828" s="20" t="n">
        <x:v>41852</x:v>
      </x:c>
    </x:row>
    <x:row r="7829" ht="18" customHeight="1">
      <x:c r="A7829" t="str">
        <x:v>CA-2014-125150</x:v>
      </x:c>
      <x:c r="B7829" s="18" t="n">
        <x:v>41775</x:v>
      </x:c>
      <x:c r="C7829" t="str">
        <x:v>PW-19030</x:v>
      </x:c>
      <x:c r="D7829" t="str">
        <x:v>Pauline Webber</x:v>
      </x:c>
      <x:c r="E7829" t="str">
        <x:v>Corporate</x:v>
      </x:c>
      <x:c r="F7829" t="str">
        <x:v>West</x:v>
      </x:c>
      <x:c r="G7829" t="str">
        <x:v>Furniture</x:v>
      </x:c>
      <x:c r="H7829" t="str">
        <x:v>Chairs</x:v>
      </x:c>
      <x:c r="I7829" s="22" t="n">
        <x:v>232.88</x:v>
      </x:c>
      <x:c r="J7829" s="24" t="n">
        <x:v>5</x:v>
      </x:c>
      <x:c r="K7829" s="26" t="n">
        <x:v>0.2</x:v>
      </x:c>
      <x:c r="L7829" s="22" t="n">
        <x:v>17.466000000000008</x:v>
      </x:c>
      <x:c r="M7829" t="n">
        <x:v>2014</x:v>
      </x:c>
      <x:c r="N7829" s="20" t="n">
        <x:v>41760</x:v>
      </x:c>
    </x:row>
    <x:row r="7830" ht="18" customHeight="1">
      <x:c r="A7830" t="str">
        <x:v>CA-2015-127327</x:v>
      </x:c>
      <x:c r="B7830" s="18" t="n">
        <x:v>42038</x:v>
      </x:c>
      <x:c r="C7830" t="str">
        <x:v>PW-19030</x:v>
      </x:c>
      <x:c r="D7830" t="str">
        <x:v>Pauline Webber</x:v>
      </x:c>
      <x:c r="E7830" t="str">
        <x:v>Corporate</x:v>
      </x:c>
      <x:c r="F7830" t="str">
        <x:v>East</x:v>
      </x:c>
      <x:c r="G7830" t="str">
        <x:v>Furniture</x:v>
      </x:c>
      <x:c r="H7830" t="str">
        <x:v>Chairs</x:v>
      </x:c>
      <x:c r="I7830" s="22" t="n">
        <x:v>90.882</x:v>
      </x:c>
      <x:c r="J7830" s="24" t="n">
        <x:v>1</x:v>
      </x:c>
      <x:c r="K7830" s="26" t="n">
        <x:v>0.1</x:v>
      </x:c>
      <x:c r="L7830" s="22" t="n">
        <x:v>15.147000000000004</x:v>
      </x:c>
      <x:c r="M7830" t="n">
        <x:v>2015</x:v>
      </x:c>
      <x:c r="N7830" s="20" t="n">
        <x:v>42036</x:v>
      </x:c>
    </x:row>
    <x:row r="7831" ht="18" customHeight="1">
      <x:c r="A7831" t="str">
        <x:v>CA-2017-117114</x:v>
      </x:c>
      <x:c r="B7831" s="18" t="n">
        <x:v>43039</x:v>
      </x:c>
      <x:c r="C7831" t="str">
        <x:v>CY-12745</x:v>
      </x:c>
      <x:c r="D7831" t="str">
        <x:v>Craig Yedwab</x:v>
      </x:c>
      <x:c r="E7831" t="str">
        <x:v>Corporate</x:v>
      </x:c>
      <x:c r="F7831" t="str">
        <x:v>Central</x:v>
      </x:c>
      <x:c r="G7831" t="str">
        <x:v>Technology</x:v>
      </x:c>
      <x:c r="H7831" t="str">
        <x:v>Phones</x:v>
      </x:c>
      <x:c r="I7831" s="22" t="n">
        <x:v>508.76800000000003</x:v>
      </x:c>
      <x:c r="J7831" s="24" t="n">
        <x:v>4</x:v>
      </x:c>
      <x:c r="K7831" s="26" t="n">
        <x:v>0.2</x:v>
      </x:c>
      <x:c r="L7831" s="22" t="n">
        <x:v>38.1576</x:v>
      </x:c>
      <x:c r="M7831" t="n">
        <x:v>2017</x:v>
      </x:c>
      <x:c r="N7831" s="20" t="n">
        <x:v>43009</x:v>
      </x:c>
    </x:row>
    <x:row r="7832" ht="18" customHeight="1">
      <x:c r="A7832" t="str">
        <x:v>CA-2017-117114</x:v>
      </x:c>
      <x:c r="B7832" s="18" t="n">
        <x:v>43039</x:v>
      </x:c>
      <x:c r="C7832" t="str">
        <x:v>CY-12745</x:v>
      </x:c>
      <x:c r="D7832" t="str">
        <x:v>Craig Yedwab</x:v>
      </x:c>
      <x:c r="E7832" t="str">
        <x:v>Corporate</x:v>
      </x:c>
      <x:c r="F7832" t="str">
        <x:v>Central</x:v>
      </x:c>
      <x:c r="G7832" t="str">
        <x:v>Office Supplies</x:v>
      </x:c>
      <x:c r="H7832" t="str">
        <x:v>Envelopes</x:v>
      </x:c>
      <x:c r="I7832" s="22" t="n">
        <x:v>9.912</x:v>
      </x:c>
      <x:c r="J7832" s="24" t="n">
        <x:v>3</x:v>
      </x:c>
      <x:c r="K7832" s="26" t="n">
        <x:v>0.2</x:v>
      </x:c>
      <x:c r="L7832" s="22" t="n">
        <x:v>3.2213999999999996</x:v>
      </x:c>
      <x:c r="M7832" t="n">
        <x:v>2017</x:v>
      </x:c>
      <x:c r="N7832" s="20" t="n">
        <x:v>43009</x:v>
      </x:c>
    </x:row>
    <x:row r="7833" ht="18" customHeight="1">
      <x:c r="A7833" t="str">
        <x:v>CA-2015-137302</x:v>
      </x:c>
      <x:c r="B7833" s="18" t="n">
        <x:v>42120</x:v>
      </x:c>
      <x:c r="C7833" t="str">
        <x:v>BW-11110</x:v>
      </x:c>
      <x:c r="D7833" t="str">
        <x:v>Bart Watters</x:v>
      </x:c>
      <x:c r="E7833" t="str">
        <x:v>Corporate</x:v>
      </x:c>
      <x:c r="F7833" t="str">
        <x:v>West</x:v>
      </x:c>
      <x:c r="G7833" t="str">
        <x:v>Furniture</x:v>
      </x:c>
      <x:c r="H7833" t="str">
        <x:v>Chairs</x:v>
      </x:c>
      <x:c r="I7833" s="22" t="n">
        <x:v>63.93600000000001</x:v>
      </x:c>
      <x:c r="J7833" s="24" t="n">
        <x:v>3</x:v>
      </x:c>
      <x:c r="K7833" s="26" t="n">
        <x:v>0.2</x:v>
      </x:c>
      <x:c r="L7833" s="22" t="n">
        <x:v>6.393599999999996</x:v>
      </x:c>
      <x:c r="M7833" t="n">
        <x:v>2015</x:v>
      </x:c>
      <x:c r="N7833" s="20" t="n">
        <x:v>42095</x:v>
      </x:c>
    </x:row>
    <x:row r="7834" ht="18" customHeight="1">
      <x:c r="A7834" t="str">
        <x:v>CA-2015-137302</x:v>
      </x:c>
      <x:c r="B7834" s="18" t="n">
        <x:v>42120</x:v>
      </x:c>
      <x:c r="C7834" t="str">
        <x:v>BW-11110</x:v>
      </x:c>
      <x:c r="D7834" t="str">
        <x:v>Bart Watters</x:v>
      </x:c>
      <x:c r="E7834" t="str">
        <x:v>Corporate</x:v>
      </x:c>
      <x:c r="F7834" t="str">
        <x:v>West</x:v>
      </x:c>
      <x:c r="G7834" t="str">
        <x:v>Office Supplies</x:v>
      </x:c>
      <x:c r="H7834" t="str">
        <x:v>Art</x:v>
      </x:c>
      <x:c r="I7834" s="22" t="n">
        <x:v>59.519999999999996</x:v>
      </x:c>
      <x:c r="J7834" s="24" t="n">
        <x:v>3</x:v>
      </x:c>
      <x:c r="K7834" s="26" t="n">
        <x:v>0</x:v>
      </x:c>
      <x:c r="L7834" s="22" t="n">
        <x:v>15.475200000000001</x:v>
      </x:c>
      <x:c r="M7834" t="n">
        <x:v>2015</x:v>
      </x:c>
      <x:c r="N7834" s="20" t="n">
        <x:v>42095</x:v>
      </x:c>
    </x:row>
    <x:row r="7835" ht="18" customHeight="1">
      <x:c r="A7835" t="str">
        <x:v>CA-2015-137302</x:v>
      </x:c>
      <x:c r="B7835" s="18" t="n">
        <x:v>42120</x:v>
      </x:c>
      <x:c r="C7835" t="str">
        <x:v>BW-11110</x:v>
      </x:c>
      <x:c r="D7835" t="str">
        <x:v>Bart Watters</x:v>
      </x:c>
      <x:c r="E7835" t="str">
        <x:v>Corporate</x:v>
      </x:c>
      <x:c r="F7835" t="str">
        <x:v>West</x:v>
      </x:c>
      <x:c r="G7835" t="str">
        <x:v>Technology</x:v>
      </x:c>
      <x:c r="H7835" t="str">
        <x:v>Phones</x:v>
      </x:c>
      <x:c r="I7835" s="22" t="n">
        <x:v>311.97600000000006</x:v>
      </x:c>
      <x:c r="J7835" s="24" t="n">
        <x:v>3</x:v>
      </x:c>
      <x:c r="K7835" s="26" t="n">
        <x:v>0.2</x:v>
      </x:c>
      <x:c r="L7835" s="22" t="n">
        <x:v>38.996999999999986</x:v>
      </x:c>
      <x:c r="M7835" t="n">
        <x:v>2015</x:v>
      </x:c>
      <x:c r="N7835" s="20" t="n">
        <x:v>42095</x:v>
      </x:c>
    </x:row>
    <x:row r="7836" ht="18" customHeight="1">
      <x:c r="A7836" t="str">
        <x:v>CA-2015-137302</x:v>
      </x:c>
      <x:c r="B7836" s="18" t="n">
        <x:v>42120</x:v>
      </x:c>
      <x:c r="C7836" t="str">
        <x:v>BW-11110</x:v>
      </x:c>
      <x:c r="D7836" t="str">
        <x:v>Bart Watters</x:v>
      </x:c>
      <x:c r="E7836" t="str">
        <x:v>Corporate</x:v>
      </x:c>
      <x:c r="F7836" t="str">
        <x:v>West</x:v>
      </x:c>
      <x:c r="G7836" t="str">
        <x:v>Office Supplies</x:v>
      </x:c>
      <x:c r="H7836" t="str">
        <x:v>Binders</x:v>
      </x:c>
      <x:c r="I7836" s="22" t="n">
        <x:v>50.352000000000004</x:v>
      </x:c>
      <x:c r="J7836" s="24" t="n">
        <x:v>3</x:v>
      </x:c>
      <x:c r="K7836" s="26" t="n">
        <x:v>0.2</x:v>
      </x:c>
      <x:c r="L7836" s="22" t="n">
        <x:v>17.623199999999997</x:v>
      </x:c>
      <x:c r="M7836" t="n">
        <x:v>2015</x:v>
      </x:c>
      <x:c r="N7836" s="20" t="n">
        <x:v>42095</x:v>
      </x:c>
    </x:row>
    <x:row r="7837" ht="18" customHeight="1">
      <x:c r="A7837" t="str">
        <x:v>CA-2016-112382</x:v>
      </x:c>
      <x:c r="B7837" s="18" t="n">
        <x:v>42499</x:v>
      </x:c>
      <x:c r="C7837" t="str">
        <x:v>MB-18085</x:v>
      </x:c>
      <x:c r="D7837" t="str">
        <x:v>Mick Brown</x:v>
      </x:c>
      <x:c r="E7837" t="str">
        <x:v>Consumer</x:v>
      </x:c>
      <x:c r="F7837" t="str">
        <x:v>Central</x:v>
      </x:c>
      <x:c r="G7837" t="str">
        <x:v>Technology</x:v>
      </x:c>
      <x:c r="H7837" t="str">
        <x:v>Phones</x:v>
      </x:c>
      <x:c r="I7837" s="22" t="n">
        <x:v>19.136000000000003</x:v>
      </x:c>
      <x:c r="J7837" s="24" t="n">
        <x:v>2</x:v>
      </x:c>
      <x:c r="K7837" s="26" t="n">
        <x:v>0.2</x:v>
      </x:c>
      <x:c r="L7837" s="22" t="n">
        <x:v>1.9136000000000006</x:v>
      </x:c>
      <x:c r="M7837" t="n">
        <x:v>2016</x:v>
      </x:c>
      <x:c r="N7837" s="20" t="n">
        <x:v>42491</x:v>
      </x:c>
    </x:row>
    <x:row r="7838" ht="18" customHeight="1">
      <x:c r="A7838" t="str">
        <x:v>CA-2015-128958</x:v>
      </x:c>
      <x:c r="B7838" s="18" t="n">
        <x:v>42028</x:v>
      </x:c>
      <x:c r="C7838" t="str">
        <x:v>CR-12820</x:v>
      </x:c>
      <x:c r="D7838" t="str">
        <x:v>Cyra Reiten</x:v>
      </x:c>
      <x:c r="E7838" t="str">
        <x:v>Home Office</x:v>
      </x:c>
      <x:c r="F7838" t="str">
        <x:v>South</x:v>
      </x:c>
      <x:c r="G7838" t="str">
        <x:v>Office Supplies</x:v>
      </x:c>
      <x:c r="H7838" t="str">
        <x:v>Art</x:v>
      </x:c>
      <x:c r="I7838" s="22" t="n">
        <x:v>13.120000000000001</x:v>
      </x:c>
      <x:c r="J7838" s="24" t="n">
        <x:v>5</x:v>
      </x:c>
      <x:c r="K7838" s="26" t="n">
        <x:v>0.2</x:v>
      </x:c>
      <x:c r="L7838" s="22" t="n">
        <x:v>2.131999999999999</x:v>
      </x:c>
      <x:c r="M7838" t="n">
        <x:v>2015</x:v>
      </x:c>
      <x:c r="N7838" s="20" t="n">
        <x:v>42005</x:v>
      </x:c>
    </x:row>
    <x:row r="7839" ht="18" customHeight="1">
      <x:c r="A7839" t="str">
        <x:v>CA-2015-106257</x:v>
      </x:c>
      <x:c r="B7839" s="18" t="n">
        <x:v>42107</x:v>
      </x:c>
      <x:c r="C7839" t="str">
        <x:v>EB-14110</x:v>
      </x:c>
      <x:c r="D7839" t="str">
        <x:v>Eugene Barchas</x:v>
      </x:c>
      <x:c r="E7839" t="str">
        <x:v>Consumer</x:v>
      </x:c>
      <x:c r="F7839" t="str">
        <x:v>West</x:v>
      </x:c>
      <x:c r="G7839" t="str">
        <x:v>Furniture</x:v>
      </x:c>
      <x:c r="H7839" t="str">
        <x:v>Tables</x:v>
      </x:c>
      <x:c r="I7839" s="22" t="n">
        <x:v>241.56799999999998</x:v>
      </x:c>
      <x:c r="J7839" s="24" t="n">
        <x:v>2</x:v>
      </x:c>
      <x:c r="K7839" s="26" t="n">
        <x:v>0.2</x:v>
      </x:c>
      <x:c r="L7839" s="22" t="n">
        <x:v>-15.098000000000013</x:v>
      </x:c>
      <x:c r="M7839" t="n">
        <x:v>2015</x:v>
      </x:c>
      <x:c r="N7839" s="20" t="n">
        <x:v>42095</x:v>
      </x:c>
    </x:row>
    <x:row r="7840" ht="18" customHeight="1">
      <x:c r="A7840" t="str">
        <x:v>CA-2015-106257</x:v>
      </x:c>
      <x:c r="B7840" s="18" t="n">
        <x:v>42107</x:v>
      </x:c>
      <x:c r="C7840" t="str">
        <x:v>EB-14110</x:v>
      </x:c>
      <x:c r="D7840" t="str">
        <x:v>Eugene Barchas</x:v>
      </x:c>
      <x:c r="E7840" t="str">
        <x:v>Consumer</x:v>
      </x:c>
      <x:c r="F7840" t="str">
        <x:v>West</x:v>
      </x:c>
      <x:c r="G7840" t="str">
        <x:v>Technology</x:v>
      </x:c>
      <x:c r="H7840" t="str">
        <x:v>Phones</x:v>
      </x:c>
      <x:c r="I7840" s="22" t="n">
        <x:v>479.92</x:v>
      </x:c>
      <x:c r="J7840" s="24" t="n">
        <x:v>2</x:v>
      </x:c>
      <x:c r="K7840" s="26" t="n">
        <x:v>0.2</x:v>
      </x:c>
      <x:c r="L7840" s="22" t="n">
        <x:v>41.99300000000001</x:v>
      </x:c>
      <x:c r="M7840" t="n">
        <x:v>2015</x:v>
      </x:c>
      <x:c r="N7840" s="20" t="n">
        <x:v>42095</x:v>
      </x:c>
    </x:row>
    <x:row r="7841" ht="18" customHeight="1">
      <x:c r="A7841" t="str">
        <x:v>CA-2015-149083</x:v>
      </x:c>
      <x:c r="B7841" s="18" t="n">
        <x:v>42272</x:v>
      </x:c>
      <x:c r="C7841" t="str">
        <x:v>SH-19975</x:v>
      </x:c>
      <x:c r="D7841" t="str">
        <x:v>Sally Hughsby</x:v>
      </x:c>
      <x:c r="E7841" t="str">
        <x:v>Corporate</x:v>
      </x:c>
      <x:c r="F7841" t="str">
        <x:v>West</x:v>
      </x:c>
      <x:c r="G7841" t="str">
        <x:v>Furniture</x:v>
      </x:c>
      <x:c r="H7841" t="str">
        <x:v>Chairs</x:v>
      </x:c>
      <x:c r="I7841" s="22" t="n">
        <x:v>307.136</x:v>
      </x:c>
      <x:c r="J7841" s="24" t="n">
        <x:v>4</x:v>
      </x:c>
      <x:c r="K7841" s="26" t="n">
        <x:v>0.2</x:v>
      </x:c>
      <x:c r="L7841" s="22" t="n">
        <x:v>-11.51760000000003</x:v>
      </x:c>
      <x:c r="M7841" t="n">
        <x:v>2015</x:v>
      </x:c>
      <x:c r="N7841" s="20" t="n">
        <x:v>42248</x:v>
      </x:c>
    </x:row>
    <x:row r="7842" ht="18" customHeight="1">
      <x:c r="A7842" t="str">
        <x:v>CA-2015-149083</x:v>
      </x:c>
      <x:c r="B7842" s="18" t="n">
        <x:v>42272</x:v>
      </x:c>
      <x:c r="C7842" t="str">
        <x:v>SH-19975</x:v>
      </x:c>
      <x:c r="D7842" t="str">
        <x:v>Sally Hughsby</x:v>
      </x:c>
      <x:c r="E7842" t="str">
        <x:v>Corporate</x:v>
      </x:c>
      <x:c r="F7842" t="str">
        <x:v>West</x:v>
      </x:c>
      <x:c r="G7842" t="str">
        <x:v>Office Supplies</x:v>
      </x:c>
      <x:c r="H7842" t="str">
        <x:v>Labels</x:v>
      </x:c>
      <x:c r="I7842" s="22" t="n">
        <x:v>12.6</x:v>
      </x:c>
      <x:c r="J7842" s="24" t="n">
        <x:v>2</x:v>
      </x:c>
      <x:c r="K7842" s="26" t="n">
        <x:v>0</x:v>
      </x:c>
      <x:c r="L7842" s="22" t="n">
        <x:v>5.795999999999999</x:v>
      </x:c>
      <x:c r="M7842" t="n">
        <x:v>2015</x:v>
      </x:c>
      <x:c r="N7842" s="20" t="n">
        <x:v>42248</x:v>
      </x:c>
    </x:row>
    <x:row r="7843" ht="18" customHeight="1">
      <x:c r="A7843" t="str">
        <x:v>CA-2015-149083</x:v>
      </x:c>
      <x:c r="B7843" s="18" t="n">
        <x:v>42272</x:v>
      </x:c>
      <x:c r="C7843" t="str">
        <x:v>SH-19975</x:v>
      </x:c>
      <x:c r="D7843" t="str">
        <x:v>Sally Hughsby</x:v>
      </x:c>
      <x:c r="E7843" t="str">
        <x:v>Corporate</x:v>
      </x:c>
      <x:c r="F7843" t="str">
        <x:v>West</x:v>
      </x:c>
      <x:c r="G7843" t="str">
        <x:v>Technology</x:v>
      </x:c>
      <x:c r="H7843" t="str">
        <x:v>Accessories</x:v>
      </x:c>
      <x:c r="I7843" s="22" t="n">
        <x:v>159.98</x:v>
      </x:c>
      <x:c r="J7843" s="24" t="n">
        <x:v>2</x:v>
      </x:c>
      <x:c r="K7843" s="26" t="n">
        <x:v>0</x:v>
      </x:c>
      <x:c r="L7843" s="22" t="n">
        <x:v>57.5928</x:v>
      </x:c>
      <x:c r="M7843" t="n">
        <x:v>2015</x:v>
      </x:c>
      <x:c r="N7843" s="20" t="n">
        <x:v>42248</x:v>
      </x:c>
    </x:row>
    <x:row r="7844" ht="18" customHeight="1">
      <x:c r="A7844" t="str">
        <x:v>US-2014-137869</x:v>
      </x:c>
      <x:c r="B7844" s="18" t="n">
        <x:v>41726</x:v>
      </x:c>
      <x:c r="C7844" t="str">
        <x:v>CV-12295</x:v>
      </x:c>
      <x:c r="D7844" t="str">
        <x:v>Christina VanderZanden</x:v>
      </x:c>
      <x:c r="E7844" t="str">
        <x:v>Consumer</x:v>
      </x:c>
      <x:c r="F7844" t="str">
        <x:v>Central</x:v>
      </x:c>
      <x:c r="G7844" t="str">
        <x:v>Office Supplies</x:v>
      </x:c>
      <x:c r="H7844" t="str">
        <x:v>Envelopes</x:v>
      </x:c>
      <x:c r="I7844" s="22" t="n">
        <x:v>6.12</x:v>
      </x:c>
      <x:c r="J7844" s="24" t="n">
        <x:v>3</x:v>
      </x:c>
      <x:c r="K7844" s="26" t="n">
        <x:v>0</x:v>
      </x:c>
      <x:c r="L7844" s="22" t="n">
        <x:v>2.8763999999999994</x:v>
      </x:c>
      <x:c r="M7844" t="n">
        <x:v>2014</x:v>
      </x:c>
      <x:c r="N7844" s="20" t="n">
        <x:v>41699</x:v>
      </x:c>
    </x:row>
    <x:row r="7845" ht="18" customHeight="1">
      <x:c r="A7845" t="str">
        <x:v>US-2014-137869</x:v>
      </x:c>
      <x:c r="B7845" s="18" t="n">
        <x:v>41726</x:v>
      </x:c>
      <x:c r="C7845" t="str">
        <x:v>CV-12295</x:v>
      </x:c>
      <x:c r="D7845" t="str">
        <x:v>Christina VanderZanden</x:v>
      </x:c>
      <x:c r="E7845" t="str">
        <x:v>Consumer</x:v>
      </x:c>
      <x:c r="F7845" t="str">
        <x:v>Central</x:v>
      </x:c>
      <x:c r="G7845" t="str">
        <x:v>Furniture</x:v>
      </x:c>
      <x:c r="H7845" t="str">
        <x:v>Tables</x:v>
      </x:c>
      <x:c r="I7845" s="22" t="n">
        <x:v>1184.72</x:v>
      </x:c>
      <x:c r="J7845" s="24" t="n">
        <x:v>4</x:v>
      </x:c>
      <x:c r="K7845" s="26" t="n">
        <x:v>0</x:v>
      </x:c>
      <x:c r="L7845" s="22" t="n">
        <x:v>106.62480000000005</x:v>
      </x:c>
      <x:c r="M7845" t="n">
        <x:v>2014</x:v>
      </x:c>
      <x:c r="N7845" s="20" t="n">
        <x:v>41699</x:v>
      </x:c>
    </x:row>
    <x:row r="7846" ht="18" customHeight="1">
      <x:c r="A7846" t="str">
        <x:v>CA-2016-116603</x:v>
      </x:c>
      <x:c r="B7846" s="18" t="n">
        <x:v>42568</x:v>
      </x:c>
      <x:c r="C7846" t="str">
        <x:v>AT-10735</x:v>
      </x:c>
      <x:c r="D7846" t="str">
        <x:v>Annie Thurman</x:v>
      </x:c>
      <x:c r="E7846" t="str">
        <x:v>Consumer</x:v>
      </x:c>
      <x:c r="F7846" t="str">
        <x:v>East</x:v>
      </x:c>
      <x:c r="G7846" t="str">
        <x:v>Office Supplies</x:v>
      </x:c>
      <x:c r="H7846" t="str">
        <x:v>Appliances</x:v>
      </x:c>
      <x:c r="I7846" s="22" t="n">
        <x:v>45.96</x:v>
      </x:c>
      <x:c r="J7846" s="24" t="n">
        <x:v>2</x:v>
      </x:c>
      <x:c r="K7846" s="26" t="n">
        <x:v>0</x:v>
      </x:c>
      <x:c r="L7846" s="22" t="n">
        <x:v>13.787999999999997</x:v>
      </x:c>
      <x:c r="M7846" t="n">
        <x:v>2016</x:v>
      </x:c>
      <x:c r="N7846" s="20" t="n">
        <x:v>42552</x:v>
      </x:c>
    </x:row>
    <x:row r="7847" ht="18" customHeight="1">
      <x:c r="A7847" t="str">
        <x:v>CA-2014-158470</x:v>
      </x:c>
      <x:c r="B7847" s="18" t="n">
        <x:v>41748</x:v>
      </x:c>
      <x:c r="C7847" t="str">
        <x:v>AG-10390</x:v>
      </x:c>
      <x:c r="D7847" t="str">
        <x:v>Allen Goldenen</x:v>
      </x:c>
      <x:c r="E7847" t="str">
        <x:v>Consumer</x:v>
      </x:c>
      <x:c r="F7847" t="str">
        <x:v>South</x:v>
      </x:c>
      <x:c r="G7847" t="str">
        <x:v>Office Supplies</x:v>
      </x:c>
      <x:c r="H7847" t="str">
        <x:v>Binders</x:v>
      </x:c>
      <x:c r="I7847" s="22" t="n">
        <x:v>58.050000000000004</x:v>
      </x:c>
      <x:c r="J7847" s="24" t="n">
        <x:v>3</x:v>
      </x:c>
      <x:c r="K7847" s="26" t="n">
        <x:v>0</x:v>
      </x:c>
      <x:c r="L7847" s="22" t="n">
        <x:v>26.703</x:v>
      </x:c>
      <x:c r="M7847" t="n">
        <x:v>2014</x:v>
      </x:c>
      <x:c r="N7847" s="20" t="n">
        <x:v>41730</x:v>
      </x:c>
    </x:row>
    <x:row r="7848" ht="18" customHeight="1">
      <x:c r="A7848" t="str">
        <x:v>CA-2014-158470</x:v>
      </x:c>
      <x:c r="B7848" s="18" t="n">
        <x:v>41748</x:v>
      </x:c>
      <x:c r="C7848" t="str">
        <x:v>AG-10390</x:v>
      </x:c>
      <x:c r="D7848" t="str">
        <x:v>Allen Goldenen</x:v>
      </x:c>
      <x:c r="E7848" t="str">
        <x:v>Consumer</x:v>
      </x:c>
      <x:c r="F7848" t="str">
        <x:v>South</x:v>
      </x:c>
      <x:c r="G7848" t="str">
        <x:v>Office Supplies</x:v>
      </x:c>
      <x:c r="H7848" t="str">
        <x:v>Paper</x:v>
      </x:c>
      <x:c r="I7848" s="22" t="n">
        <x:v>71.28</x:v>
      </x:c>
      <x:c r="J7848" s="24" t="n">
        <x:v>11</x:v>
      </x:c>
      <x:c r="K7848" s="26" t="n">
        <x:v>0</x:v>
      </x:c>
      <x:c r="L7848" s="22" t="n">
        <x:v>34.214400000000005</x:v>
      </x:c>
      <x:c r="M7848" t="n">
        <x:v>2014</x:v>
      </x:c>
      <x:c r="N7848" s="20" t="n">
        <x:v>41730</x:v>
      </x:c>
    </x:row>
    <x:row r="7849" ht="18" customHeight="1">
      <x:c r="A7849" t="str">
        <x:v>US-2017-123834</x:v>
      </x:c>
      <x:c r="B7849" s="18" t="n">
        <x:v>42937</x:v>
      </x:c>
      <x:c r="C7849" t="str">
        <x:v>GM-14500</x:v>
      </x:c>
      <x:c r="D7849" t="str">
        <x:v>Gene McClure</x:v>
      </x:c>
      <x:c r="E7849" t="str">
        <x:v>Consumer</x:v>
      </x:c>
      <x:c r="F7849" t="str">
        <x:v>Central</x:v>
      </x:c>
      <x:c r="G7849" t="str">
        <x:v>Furniture</x:v>
      </x:c>
      <x:c r="H7849" t="str">
        <x:v>Tables</x:v>
      </x:c>
      <x:c r="I7849" s="22" t="n">
        <x:v>124.404</x:v>
      </x:c>
      <x:c r="J7849" s="24" t="n">
        <x:v>4</x:v>
      </x:c>
      <x:c r="K7849" s="26" t="n">
        <x:v>0.3</x:v>
      </x:c>
      <x:c r="L7849" s="22" t="n">
        <x:v>-21.3264</x:v>
      </x:c>
      <x:c r="M7849" t="n">
        <x:v>2017</x:v>
      </x:c>
      <x:c r="N7849" s="20" t="n">
        <x:v>42917</x:v>
      </x:c>
    </x:row>
    <x:row r="7850" ht="18" customHeight="1">
      <x:c r="A7850" t="str">
        <x:v>CA-2015-125976</x:v>
      </x:c>
      <x:c r="B7850" s="18" t="n">
        <x:v>42274</x:v>
      </x:c>
      <x:c r="C7850" t="str">
        <x:v>JK-15205</x:v>
      </x:c>
      <x:c r="D7850" t="str">
        <x:v>Jamie Kunitz</x:v>
      </x:c>
      <x:c r="E7850" t="str">
        <x:v>Consumer</x:v>
      </x:c>
      <x:c r="F7850" t="str">
        <x:v>South</x:v>
      </x:c>
      <x:c r="G7850" t="str">
        <x:v>Office Supplies</x:v>
      </x:c>
      <x:c r="H7850" t="str">
        <x:v>Paper</x:v>
      </x:c>
      <x:c r="I7850" s="22" t="n">
        <x:v>154.9</x:v>
      </x:c>
      <x:c r="J7850" s="24" t="n">
        <x:v>5</x:v>
      </x:c>
      <x:c r="K7850" s="26" t="n">
        <x:v>0</x:v>
      </x:c>
      <x:c r="L7850" s="22" t="n">
        <x:v>69.705</x:v>
      </x:c>
      <x:c r="M7850" t="n">
        <x:v>2015</x:v>
      </x:c>
      <x:c r="N7850" s="20" t="n">
        <x:v>42248</x:v>
      </x:c>
    </x:row>
    <x:row r="7851" ht="18" customHeight="1">
      <x:c r="A7851" t="str">
        <x:v>CA-2015-125976</x:v>
      </x:c>
      <x:c r="B7851" s="18" t="n">
        <x:v>42274</x:v>
      </x:c>
      <x:c r="C7851" t="str">
        <x:v>JK-15205</x:v>
      </x:c>
      <x:c r="D7851" t="str">
        <x:v>Jamie Kunitz</x:v>
      </x:c>
      <x:c r="E7851" t="str">
        <x:v>Consumer</x:v>
      </x:c>
      <x:c r="F7851" t="str">
        <x:v>South</x:v>
      </x:c>
      <x:c r="G7851" t="str">
        <x:v>Technology</x:v>
      </x:c>
      <x:c r="H7851" t="str">
        <x:v>Phones</x:v>
      </x:c>
      <x:c r="I7851" s="22" t="n">
        <x:v>1871.88</x:v>
      </x:c>
      <x:c r="J7851" s="24" t="n">
        <x:v>12</x:v>
      </x:c>
      <x:c r="K7851" s="26" t="n">
        <x:v>0</x:v>
      </x:c>
      <x:c r="L7851" s="22" t="n">
        <x:v>561.564</x:v>
      </x:c>
      <x:c r="M7851" t="n">
        <x:v>2015</x:v>
      </x:c>
      <x:c r="N7851" s="20" t="n">
        <x:v>42248</x:v>
      </x:c>
    </x:row>
    <x:row r="7852" ht="18" customHeight="1">
      <x:c r="A7852" t="str">
        <x:v>CA-2016-128706</x:v>
      </x:c>
      <x:c r="B7852" s="18" t="n">
        <x:v>42427</x:v>
      </x:c>
      <x:c r="C7852" t="str">
        <x:v>DW-13540</x:v>
      </x:c>
      <x:c r="D7852" t="str">
        <x:v>Don Weiss</x:v>
      </x:c>
      <x:c r="E7852" t="str">
        <x:v>Consumer</x:v>
      </x:c>
      <x:c r="F7852" t="str">
        <x:v>Central</x:v>
      </x:c>
      <x:c r="G7852" t="str">
        <x:v>Furniture</x:v>
      </x:c>
      <x:c r="H7852" t="str">
        <x:v>Furnishings</x:v>
      </x:c>
      <x:c r="I7852" s="22" t="n">
        <x:v>16.192</x:v>
      </x:c>
      <x:c r="J7852" s="24" t="n">
        <x:v>2</x:v>
      </x:c>
      <x:c r="K7852" s="26" t="n">
        <x:v>0.6</x:v>
      </x:c>
      <x:c r="L7852" s="22" t="n">
        <x:v>-6.881599999999995</x:v>
      </x:c>
      <x:c r="M7852" t="n">
        <x:v>2016</x:v>
      </x:c>
      <x:c r="N7852" s="20" t="n">
        <x:v>42401</x:v>
      </x:c>
    </x:row>
    <x:row r="7853" ht="18" customHeight="1">
      <x:c r="A7853" t="str">
        <x:v>CA-2016-104311</x:v>
      </x:c>
      <x:c r="B7853" s="18" t="n">
        <x:v>42492</x:v>
      </x:c>
      <x:c r="C7853" t="str">
        <x:v>AS-10090</x:v>
      </x:c>
      <x:c r="D7853" t="str">
        <x:v>Adam Shillingsburg</x:v>
      </x:c>
      <x:c r="E7853" t="str">
        <x:v>Consumer</x:v>
      </x:c>
      <x:c r="F7853" t="str">
        <x:v>Central</x:v>
      </x:c>
      <x:c r="G7853" t="str">
        <x:v>Office Supplies</x:v>
      </x:c>
      <x:c r="H7853" t="str">
        <x:v>Storage</x:v>
      </x:c>
      <x:c r="I7853" s="22" t="n">
        <x:v>18.936</x:v>
      </x:c>
      <x:c r="J7853" s="24" t="n">
        <x:v>3</x:v>
      </x:c>
      <x:c r="K7853" s="26" t="n">
        <x:v>0.2</x:v>
      </x:c>
      <x:c r="L7853" s="22" t="n">
        <x:v>-3.787200000000003</x:v>
      </x:c>
      <x:c r="M7853" t="n">
        <x:v>2016</x:v>
      </x:c>
      <x:c r="N7853" s="20" t="n">
        <x:v>42491</x:v>
      </x:c>
    </x:row>
    <x:row r="7854" ht="18" customHeight="1">
      <x:c r="A7854" t="str">
        <x:v>CA-2016-104311</x:v>
      </x:c>
      <x:c r="B7854" s="18" t="n">
        <x:v>42492</x:v>
      </x:c>
      <x:c r="C7854" t="str">
        <x:v>AS-10090</x:v>
      </x:c>
      <x:c r="D7854" t="str">
        <x:v>Adam Shillingsburg</x:v>
      </x:c>
      <x:c r="E7854" t="str">
        <x:v>Consumer</x:v>
      </x:c>
      <x:c r="F7854" t="str">
        <x:v>Central</x:v>
      </x:c>
      <x:c r="G7854" t="str">
        <x:v>Office Supplies</x:v>
      </x:c>
      <x:c r="H7854" t="str">
        <x:v>Storage</x:v>
      </x:c>
      <x:c r="I7854" s="22" t="n">
        <x:v>12.672</x:v>
      </x:c>
      <x:c r="J7854" s="24" t="n">
        <x:v>3</x:v>
      </x:c>
      <x:c r="K7854" s="26" t="n">
        <x:v>0.2</x:v>
      </x:c>
      <x:c r="L7854" s="22" t="n">
        <x:v>-3.168</x:v>
      </x:c>
      <x:c r="M7854" t="n">
        <x:v>2016</x:v>
      </x:c>
      <x:c r="N7854" s="20" t="n">
        <x:v>42491</x:v>
      </x:c>
    </x:row>
    <x:row r="7855" ht="18" customHeight="1">
      <x:c r="A7855" t="str">
        <x:v>CA-2016-104311</x:v>
      </x:c>
      <x:c r="B7855" s="18" t="n">
        <x:v>42492</x:v>
      </x:c>
      <x:c r="C7855" t="str">
        <x:v>AS-10090</x:v>
      </x:c>
      <x:c r="D7855" t="str">
        <x:v>Adam Shillingsburg</x:v>
      </x:c>
      <x:c r="E7855" t="str">
        <x:v>Consumer</x:v>
      </x:c>
      <x:c r="F7855" t="str">
        <x:v>Central</x:v>
      </x:c>
      <x:c r="G7855" t="str">
        <x:v>Office Supplies</x:v>
      </x:c>
      <x:c r="H7855" t="str">
        <x:v>Labels</x:v>
      </x:c>
      <x:c r="I7855" s="22" t="n">
        <x:v>5.04</x:v>
      </x:c>
      <x:c r="J7855" s="24" t="n">
        <x:v>2</x:v>
      </x:c>
      <x:c r="K7855" s="26" t="n">
        <x:v>0.2</x:v>
      </x:c>
      <x:c r="L7855" s="22" t="n">
        <x:v>1.764</x:v>
      </x:c>
      <x:c r="M7855" t="n">
        <x:v>2016</x:v>
      </x:c>
      <x:c r="N7855" s="20" t="n">
        <x:v>42491</x:v>
      </x:c>
    </x:row>
    <x:row r="7856" ht="18" customHeight="1">
      <x:c r="A7856" t="str">
        <x:v>CA-2014-169649</x:v>
      </x:c>
      <x:c r="B7856" s="18" t="n">
        <x:v>41982</x:v>
      </x:c>
      <x:c r="C7856" t="str">
        <x:v>TS-21205</x:v>
      </x:c>
      <x:c r="D7856" t="str">
        <x:v>Thomas Seio</x:v>
      </x:c>
      <x:c r="E7856" t="str">
        <x:v>Corporate</x:v>
      </x:c>
      <x:c r="F7856" t="str">
        <x:v>Central</x:v>
      </x:c>
      <x:c r="G7856" t="str">
        <x:v>Office Supplies</x:v>
      </x:c>
      <x:c r="H7856" t="str">
        <x:v>Paper</x:v>
      </x:c>
      <x:c r="I7856" s="22" t="n">
        <x:v>8.448</x:v>
      </x:c>
      <x:c r="J7856" s="24" t="n">
        <x:v>2</x:v>
      </x:c>
      <x:c r="K7856" s="26" t="n">
        <x:v>0.2</x:v>
      </x:c>
      <x:c r="L7856" s="22" t="n">
        <x:v>2.9568000000000003</x:v>
      </x:c>
      <x:c r="M7856" t="n">
        <x:v>2014</x:v>
      </x:c>
      <x:c r="N7856" s="20" t="n">
        <x:v>41974</x:v>
      </x:c>
    </x:row>
    <x:row r="7857" ht="18" customHeight="1">
      <x:c r="A7857" t="str">
        <x:v>CA-2014-169649</x:v>
      </x:c>
      <x:c r="B7857" s="18" t="n">
        <x:v>41982</x:v>
      </x:c>
      <x:c r="C7857" t="str">
        <x:v>TS-21205</x:v>
      </x:c>
      <x:c r="D7857" t="str">
        <x:v>Thomas Seio</x:v>
      </x:c>
      <x:c r="E7857" t="str">
        <x:v>Corporate</x:v>
      </x:c>
      <x:c r="F7857" t="str">
        <x:v>Central</x:v>
      </x:c>
      <x:c r="G7857" t="str">
        <x:v>Office Supplies</x:v>
      </x:c>
      <x:c r="H7857" t="str">
        <x:v>Appliances</x:v>
      </x:c>
      <x:c r="I7857" s="22" t="n">
        <x:v>20.387999999999995</x:v>
      </x:c>
      <x:c r="J7857" s="24" t="n">
        <x:v>2</x:v>
      </x:c>
      <x:c r="K7857" s="26" t="n">
        <x:v>0.8</x:v>
      </x:c>
      <x:c r="L7857" s="22" t="n">
        <x:v>-53.00880000000001</x:v>
      </x:c>
      <x:c r="M7857" t="n">
        <x:v>2014</x:v>
      </x:c>
      <x:c r="N7857" s="20" t="n">
        <x:v>41974</x:v>
      </x:c>
    </x:row>
    <x:row r="7858" ht="18" customHeight="1">
      <x:c r="A7858" t="str">
        <x:v>CA-2015-144890</x:v>
      </x:c>
      <x:c r="B7858" s="18" t="n">
        <x:v>42363</x:v>
      </x:c>
      <x:c r="C7858" t="str">
        <x:v>SM-20320</x:v>
      </x:c>
      <x:c r="D7858" t="str">
        <x:v>Sean Miller</x:v>
      </x:c>
      <x:c r="E7858" t="str">
        <x:v>Home Office</x:v>
      </x:c>
      <x:c r="F7858" t="str">
        <x:v>West</x:v>
      </x:c>
      <x:c r="G7858" t="str">
        <x:v>Office Supplies</x:v>
      </x:c>
      <x:c r="H7858" t="str">
        <x:v>Paper</x:v>
      </x:c>
      <x:c r="I7858" s="22" t="n">
        <x:v>9.96</x:v>
      </x:c>
      <x:c r="J7858" s="24" t="n">
        <x:v>2</x:v>
      </x:c>
      <x:c r="K7858" s="26" t="n">
        <x:v>0</x:v>
      </x:c>
      <x:c r="L7858" s="22" t="n">
        <x:v>4.880400000000001</x:v>
      </x:c>
      <x:c r="M7858" t="n">
        <x:v>2015</x:v>
      </x:c>
      <x:c r="N7858" s="20" t="n">
        <x:v>42339</x:v>
      </x:c>
    </x:row>
    <x:row r="7859" ht="18" customHeight="1">
      <x:c r="A7859" t="str">
        <x:v>CA-2017-135587</x:v>
      </x:c>
      <x:c r="B7859" s="18" t="n">
        <x:v>43076</x:v>
      </x:c>
      <x:c r="C7859" t="str">
        <x:v>BH-11710</x:v>
      </x:c>
      <x:c r="D7859" t="str">
        <x:v>Brosina Hoffman</x:v>
      </x:c>
      <x:c r="E7859" t="str">
        <x:v>Consumer</x:v>
      </x:c>
      <x:c r="F7859" t="str">
        <x:v>South</x:v>
      </x:c>
      <x:c r="G7859" t="str">
        <x:v>Office Supplies</x:v>
      </x:c>
      <x:c r="H7859" t="str">
        <x:v>Appliances</x:v>
      </x:c>
      <x:c r="I7859" s="22" t="n">
        <x:v>320.64</x:v>
      </x:c>
      <x:c r="J7859" s="24" t="n">
        <x:v>4</x:v>
      </x:c>
      <x:c r="K7859" s="26" t="n">
        <x:v>0</x:v>
      </x:c>
      <x:c r="L7859" s="22" t="n">
        <x:v>89.7792</x:v>
      </x:c>
      <x:c r="M7859" t="n">
        <x:v>2017</x:v>
      </x:c>
      <x:c r="N7859" s="20" t="n">
        <x:v>43070</x:v>
      </x:c>
    </x:row>
    <x:row r="7860" ht="18" customHeight="1">
      <x:c r="A7860" t="str">
        <x:v>CA-2017-135587</x:v>
      </x:c>
      <x:c r="B7860" s="18" t="n">
        <x:v>43076</x:v>
      </x:c>
      <x:c r="C7860" t="str">
        <x:v>BH-11710</x:v>
      </x:c>
      <x:c r="D7860" t="str">
        <x:v>Brosina Hoffman</x:v>
      </x:c>
      <x:c r="E7860" t="str">
        <x:v>Consumer</x:v>
      </x:c>
      <x:c r="F7860" t="str">
        <x:v>South</x:v>
      </x:c>
      <x:c r="G7860" t="str">
        <x:v>Technology</x:v>
      </x:c>
      <x:c r="H7860" t="str">
        <x:v>Accessories</x:v>
      </x:c>
      <x:c r="I7860" s="22" t="n">
        <x:v>52</x:v>
      </x:c>
      <x:c r="J7860" s="24" t="n">
        <x:v>4</x:v>
      </x:c>
      <x:c r="K7860" s="26" t="n">
        <x:v>0</x:v>
      </x:c>
      <x:c r="L7860" s="22" t="n">
        <x:v>23.4</x:v>
      </x:c>
      <x:c r="M7860" t="n">
        <x:v>2017</x:v>
      </x:c>
      <x:c r="N7860" s="20" t="n">
        <x:v>43070</x:v>
      </x:c>
    </x:row>
    <x:row r="7861" ht="18" customHeight="1">
      <x:c r="A7861" t="str">
        <x:v>CA-2014-103429</x:v>
      </x:c>
      <x:c r="B7861" s="18" t="n">
        <x:v>41789</x:v>
      </x:c>
      <x:c r="C7861" t="str">
        <x:v>LW-16825</x:v>
      </x:c>
      <x:c r="D7861" t="str">
        <x:v>Laurel Workman</x:v>
      </x:c>
      <x:c r="E7861" t="str">
        <x:v>Corporate</x:v>
      </x:c>
      <x:c r="F7861" t="str">
        <x:v>East</x:v>
      </x:c>
      <x:c r="G7861" t="str">
        <x:v>Office Supplies</x:v>
      </x:c>
      <x:c r="H7861" t="str">
        <x:v>Binders</x:v>
      </x:c>
      <x:c r="I7861" s="22" t="n">
        <x:v>25.584000000000003</x:v>
      </x:c>
      <x:c r="J7861" s="24" t="n">
        <x:v>2</x:v>
      </x:c>
      <x:c r="K7861" s="26" t="n">
        <x:v>0.2</x:v>
      </x:c>
      <x:c r="L7861" s="22" t="n">
        <x:v>8.9544</x:v>
      </x:c>
      <x:c r="M7861" t="n">
        <x:v>2014</x:v>
      </x:c>
      <x:c r="N7861" s="20" t="n">
        <x:v>41760</x:v>
      </x:c>
    </x:row>
    <x:row r="7862" ht="18" customHeight="1">
      <x:c r="A7862" t="str">
        <x:v>CA-2014-103429</x:v>
      </x:c>
      <x:c r="B7862" s="18" t="n">
        <x:v>41789</x:v>
      </x:c>
      <x:c r="C7862" t="str">
        <x:v>LW-16825</x:v>
      </x:c>
      <x:c r="D7862" t="str">
        <x:v>Laurel Workman</x:v>
      </x:c>
      <x:c r="E7862" t="str">
        <x:v>Corporate</x:v>
      </x:c>
      <x:c r="F7862" t="str">
        <x:v>East</x:v>
      </x:c>
      <x:c r="G7862" t="str">
        <x:v>Technology</x:v>
      </x:c>
      <x:c r="H7862" t="str">
        <x:v>Phones</x:v>
      </x:c>
      <x:c r="I7862" s="22" t="n">
        <x:v>464</x:v>
      </x:c>
      <x:c r="J7862" s="24" t="n">
        <x:v>5</x:v>
      </x:c>
      <x:c r="K7862" s="26" t="n">
        <x:v>0</x:v>
      </x:c>
      <x:c r="L7862" s="22" t="n">
        <x:v>134.55999999999995</x:v>
      </x:c>
      <x:c r="M7862" t="n">
        <x:v>2014</x:v>
      </x:c>
      <x:c r="N7862" s="20" t="n">
        <x:v>41760</x:v>
      </x:c>
    </x:row>
    <x:row r="7863" ht="18" customHeight="1">
      <x:c r="A7863" t="str">
        <x:v>CA-2014-103429</x:v>
      </x:c>
      <x:c r="B7863" s="18" t="n">
        <x:v>41789</x:v>
      </x:c>
      <x:c r="C7863" t="str">
        <x:v>LW-16825</x:v>
      </x:c>
      <x:c r="D7863" t="str">
        <x:v>Laurel Workman</x:v>
      </x:c>
      <x:c r="E7863" t="str">
        <x:v>Corporate</x:v>
      </x:c>
      <x:c r="F7863" t="str">
        <x:v>East</x:v>
      </x:c>
      <x:c r="G7863" t="str">
        <x:v>Office Supplies</x:v>
      </x:c>
      <x:c r="H7863" t="str">
        <x:v>Appliances</x:v>
      </x:c>
      <x:c r="I7863" s="22" t="n">
        <x:v>235.95000000000002</x:v>
      </x:c>
      <x:c r="J7863" s="24" t="n">
        <x:v>3</x:v>
      </x:c>
      <x:c r="K7863" s="26" t="n">
        <x:v>0</x:v>
      </x:c>
      <x:c r="L7863" s="22" t="n">
        <x:v>77.86349999999999</x:v>
      </x:c>
      <x:c r="M7863" t="n">
        <x:v>2014</x:v>
      </x:c>
      <x:c r="N7863" s="20" t="n">
        <x:v>41760</x:v>
      </x:c>
    </x:row>
    <x:row r="7864" ht="18" customHeight="1">
      <x:c r="A7864" t="str">
        <x:v>CA-2014-103429</x:v>
      </x:c>
      <x:c r="B7864" s="18" t="n">
        <x:v>41789</x:v>
      </x:c>
      <x:c r="C7864" t="str">
        <x:v>LW-16825</x:v>
      </x:c>
      <x:c r="D7864" t="str">
        <x:v>Laurel Workman</x:v>
      </x:c>
      <x:c r="E7864" t="str">
        <x:v>Corporate</x:v>
      </x:c>
      <x:c r="F7864" t="str">
        <x:v>East</x:v>
      </x:c>
      <x:c r="G7864" t="str">
        <x:v>Office Supplies</x:v>
      </x:c>
      <x:c r="H7864" t="str">
        <x:v>Paper</x:v>
      </x:c>
      <x:c r="I7864" s="22" t="n">
        <x:v>39.96</x:v>
      </x:c>
      <x:c r="J7864" s="24" t="n">
        <x:v>4</x:v>
      </x:c>
      <x:c r="K7864" s="26" t="n">
        <x:v>0</x:v>
      </x:c>
      <x:c r="L7864" s="22" t="n">
        <x:v>17.982</x:v>
      </x:c>
      <x:c r="M7864" t="n">
        <x:v>2014</x:v>
      </x:c>
      <x:c r="N7864" s="20" t="n">
        <x:v>41760</x:v>
      </x:c>
    </x:row>
    <x:row r="7865" ht="18" customHeight="1">
      <x:c r="A7865" t="str">
        <x:v>CA-2017-152261</x:v>
      </x:c>
      <x:c r="B7865" s="18" t="n">
        <x:v>42796</x:v>
      </x:c>
      <x:c r="C7865" t="str">
        <x:v>JA-15970</x:v>
      </x:c>
      <x:c r="D7865" t="str">
        <x:v>Joseph Airdo</x:v>
      </x:c>
      <x:c r="E7865" t="str">
        <x:v>Consumer</x:v>
      </x:c>
      <x:c r="F7865" t="str">
        <x:v>East</x:v>
      </x:c>
      <x:c r="G7865" t="str">
        <x:v>Office Supplies</x:v>
      </x:c>
      <x:c r="H7865" t="str">
        <x:v>Binders</x:v>
      </x:c>
      <x:c r="I7865" s="22" t="n">
        <x:v>18.528000000000002</x:v>
      </x:c>
      <x:c r="J7865" s="24" t="n">
        <x:v>4</x:v>
      </x:c>
      <x:c r="K7865" s="26" t="n">
        <x:v>0.7</x:v>
      </x:c>
      <x:c r="L7865" s="22" t="n">
        <x:v>-12.352</x:v>
      </x:c>
      <x:c r="M7865" t="n">
        <x:v>2017</x:v>
      </x:c>
      <x:c r="N7865" s="20" t="n">
        <x:v>42795</x:v>
      </x:c>
    </x:row>
    <x:row r="7866" ht="18" customHeight="1">
      <x:c r="A7866" t="str">
        <x:v>CA-2015-142993</x:v>
      </x:c>
      <x:c r="B7866" s="18" t="n">
        <x:v>42289</x:v>
      </x:c>
      <x:c r="C7866" t="str">
        <x:v>KA-16525</x:v>
      </x:c>
      <x:c r="D7866" t="str">
        <x:v>Kelly Andreada</x:v>
      </x:c>
      <x:c r="E7866" t="str">
        <x:v>Consumer</x:v>
      </x:c>
      <x:c r="F7866" t="str">
        <x:v>West</x:v>
      </x:c>
      <x:c r="G7866" t="str">
        <x:v>Technology</x:v>
      </x:c>
      <x:c r="H7866" t="str">
        <x:v>Accessories</x:v>
      </x:c>
      <x:c r="I7866" s="22" t="n">
        <x:v>17.9</x:v>
      </x:c>
      <x:c r="J7866" s="24" t="n">
        <x:v>2</x:v>
      </x:c>
      <x:c r="K7866" s="26" t="n">
        <x:v>0</x:v>
      </x:c>
      <x:c r="L7866" s="22" t="n">
        <x:v>3.400999999999998</x:v>
      </x:c>
      <x:c r="M7866" t="n">
        <x:v>2015</x:v>
      </x:c>
      <x:c r="N7866" s="20" t="n">
        <x:v>42278</x:v>
      </x:c>
    </x:row>
    <x:row r="7867" ht="18" customHeight="1">
      <x:c r="A7867" t="str">
        <x:v>CA-2015-142993</x:v>
      </x:c>
      <x:c r="B7867" s="18" t="n">
        <x:v>42289</x:v>
      </x:c>
      <x:c r="C7867" t="str">
        <x:v>KA-16525</x:v>
      </x:c>
      <x:c r="D7867" t="str">
        <x:v>Kelly Andreada</x:v>
      </x:c>
      <x:c r="E7867" t="str">
        <x:v>Consumer</x:v>
      </x:c>
      <x:c r="F7867" t="str">
        <x:v>West</x:v>
      </x:c>
      <x:c r="G7867" t="str">
        <x:v>Office Supplies</x:v>
      </x:c>
      <x:c r="H7867" t="str">
        <x:v>Storage</x:v>
      </x:c>
      <x:c r="I7867" s="22" t="n">
        <x:v>81.96</x:v>
      </x:c>
      <x:c r="J7867" s="24" t="n">
        <x:v>2</x:v>
      </x:c>
      <x:c r="K7867" s="26" t="n">
        <x:v>0</x:v>
      </x:c>
      <x:c r="L7867" s="22" t="n">
        <x:v>0</x:v>
      </x:c>
      <x:c r="M7867" t="n">
        <x:v>2015</x:v>
      </x:c>
      <x:c r="N7867" s="20" t="n">
        <x:v>42278</x:v>
      </x:c>
    </x:row>
    <x:row r="7868" ht="18" customHeight="1">
      <x:c r="A7868" t="str">
        <x:v>CA-2015-143364</x:v>
      </x:c>
      <x:c r="B7868" s="18" t="n">
        <x:v>42199</x:v>
      </x:c>
      <x:c r="C7868" t="str">
        <x:v>TG-21310</x:v>
      </x:c>
      <x:c r="D7868" t="str">
        <x:v>Toby Gnade</x:v>
      </x:c>
      <x:c r="E7868" t="str">
        <x:v>Consumer</x:v>
      </x:c>
      <x:c r="F7868" t="str">
        <x:v>West</x:v>
      </x:c>
      <x:c r="G7868" t="str">
        <x:v>Office Supplies</x:v>
      </x:c>
      <x:c r="H7868" t="str">
        <x:v>Storage</x:v>
      </x:c>
      <x:c r="I7868" s="22" t="n">
        <x:v>272.736</x:v>
      </x:c>
      <x:c r="J7868" s="24" t="n">
        <x:v>3</x:v>
      </x:c>
      <x:c r="K7868" s="26" t="n">
        <x:v>0.2</x:v>
      </x:c>
      <x:c r="L7868" s="22" t="n">
        <x:v>-64.77480000000001</x:v>
      </x:c>
      <x:c r="M7868" t="n">
        <x:v>2015</x:v>
      </x:c>
      <x:c r="N7868" s="20" t="n">
        <x:v>42186</x:v>
      </x:c>
    </x:row>
    <x:row r="7869" ht="18" customHeight="1">
      <x:c r="A7869" t="str">
        <x:v>CA-2015-143364</x:v>
      </x:c>
      <x:c r="B7869" s="18" t="n">
        <x:v>42199</x:v>
      </x:c>
      <x:c r="C7869" t="str">
        <x:v>TG-21310</x:v>
      </x:c>
      <x:c r="D7869" t="str">
        <x:v>Toby Gnade</x:v>
      </x:c>
      <x:c r="E7869" t="str">
        <x:v>Consumer</x:v>
      </x:c>
      <x:c r="F7869" t="str">
        <x:v>West</x:v>
      </x:c>
      <x:c r="G7869" t="str">
        <x:v>Office Supplies</x:v>
      </x:c>
      <x:c r="H7869" t="str">
        <x:v>Paper</x:v>
      </x:c>
      <x:c r="I7869" s="22" t="n">
        <x:v>18.496000000000002</x:v>
      </x:c>
      <x:c r="J7869" s="24" t="n">
        <x:v>4</x:v>
      </x:c>
      <x:c r="K7869" s="26" t="n">
        <x:v>0.2</x:v>
      </x:c>
      <x:c r="L7869" s="22" t="n">
        <x:v>6.7048000000000005</x:v>
      </x:c>
      <x:c r="M7869" t="n">
        <x:v>2015</x:v>
      </x:c>
      <x:c r="N7869" s="20" t="n">
        <x:v>42186</x:v>
      </x:c>
    </x:row>
    <x:row r="7870" ht="18" customHeight="1">
      <x:c r="A7870" t="str">
        <x:v>CA-2015-143364</x:v>
      </x:c>
      <x:c r="B7870" s="18" t="n">
        <x:v>42199</x:v>
      </x:c>
      <x:c r="C7870" t="str">
        <x:v>TG-21310</x:v>
      </x:c>
      <x:c r="D7870" t="str">
        <x:v>Toby Gnade</x:v>
      </x:c>
      <x:c r="E7870" t="str">
        <x:v>Consumer</x:v>
      </x:c>
      <x:c r="F7870" t="str">
        <x:v>West</x:v>
      </x:c>
      <x:c r="G7870" t="str">
        <x:v>Furniture</x:v>
      </x:c>
      <x:c r="H7870" t="str">
        <x:v>Chairs</x:v>
      </x:c>
      <x:c r="I7870" s="22" t="n">
        <x:v>441.92</x:v>
      </x:c>
      <x:c r="J7870" s="24" t="n">
        <x:v>2</x:v>
      </x:c>
      <x:c r="K7870" s="26" t="n">
        <x:v>0.2</x:v>
      </x:c>
      <x:c r="L7870" s="22" t="n">
        <x:v>49.715999999999966</x:v>
      </x:c>
      <x:c r="M7870" t="n">
        <x:v>2015</x:v>
      </x:c>
      <x:c r="N7870" s="20" t="n">
        <x:v>42186</x:v>
      </x:c>
    </x:row>
    <x:row r="7871" ht="18" customHeight="1">
      <x:c r="A7871" t="str">
        <x:v>CA-2015-143364</x:v>
      </x:c>
      <x:c r="B7871" s="18" t="n">
        <x:v>42199</x:v>
      </x:c>
      <x:c r="C7871" t="str">
        <x:v>TG-21310</x:v>
      </x:c>
      <x:c r="D7871" t="str">
        <x:v>Toby Gnade</x:v>
      </x:c>
      <x:c r="E7871" t="str">
        <x:v>Consumer</x:v>
      </x:c>
      <x:c r="F7871" t="str">
        <x:v>West</x:v>
      </x:c>
      <x:c r="G7871" t="str">
        <x:v>Furniture</x:v>
      </x:c>
      <x:c r="H7871" t="str">
        <x:v>Bookcases</x:v>
      </x:c>
      <x:c r="I7871" s="22" t="n">
        <x:v>127.76400000000002</x:v>
      </x:c>
      <x:c r="J7871" s="24" t="n">
        <x:v>6</x:v>
      </x:c>
      <x:c r="K7871" s="26" t="n">
        <x:v>0.7</x:v>
      </x:c>
      <x:c r="L7871" s="22" t="n">
        <x:v>-191.64599999999996</x:v>
      </x:c>
      <x:c r="M7871" t="n">
        <x:v>2015</x:v>
      </x:c>
      <x:c r="N7871" s="20" t="n">
        <x:v>42186</x:v>
      </x:c>
    </x:row>
    <x:row r="7872" ht="18" customHeight="1">
      <x:c r="A7872" t="str">
        <x:v>CA-2014-100972</x:v>
      </x:c>
      <x:c r="B7872" s="18" t="n">
        <x:v>41962</x:v>
      </x:c>
      <x:c r="C7872" t="str">
        <x:v>DB-13360</x:v>
      </x:c>
      <x:c r="D7872" t="str">
        <x:v>Dennis Bolton</x:v>
      </x:c>
      <x:c r="E7872" t="str">
        <x:v>Home Office</x:v>
      </x:c>
      <x:c r="F7872" t="str">
        <x:v>West</x:v>
      </x:c>
      <x:c r="G7872" t="str">
        <x:v>Office Supplies</x:v>
      </x:c>
      <x:c r="H7872" t="str">
        <x:v>Paper</x:v>
      </x:c>
      <x:c r="I7872" s="22" t="n">
        <x:v>166.44</x:v>
      </x:c>
      <x:c r="J7872" s="24" t="n">
        <x:v>3</x:v>
      </x:c>
      <x:c r="K7872" s="26" t="n">
        <x:v>0</x:v>
      </x:c>
      <x:c r="L7872" s="22" t="n">
        <x:v>79.8912</x:v>
      </x:c>
      <x:c r="M7872" t="n">
        <x:v>2014</x:v>
      </x:c>
      <x:c r="N7872" s="20" t="n">
        <x:v>41944</x:v>
      </x:c>
    </x:row>
    <x:row r="7873" ht="18" customHeight="1">
      <x:c r="A7873" t="str">
        <x:v>CA-2016-136994</x:v>
      </x:c>
      <x:c r="B7873" s="18" t="n">
        <x:v>42517</x:v>
      </x:c>
      <x:c r="C7873" t="str">
        <x:v>LS-17245</x:v>
      </x:c>
      <x:c r="D7873" t="str">
        <x:v>Lynn Smith</x:v>
      </x:c>
      <x:c r="E7873" t="str">
        <x:v>Consumer</x:v>
      </x:c>
      <x:c r="F7873" t="str">
        <x:v>West</x:v>
      </x:c>
      <x:c r="G7873" t="str">
        <x:v>Office Supplies</x:v>
      </x:c>
      <x:c r="H7873" t="str">
        <x:v>Paper</x:v>
      </x:c>
      <x:c r="I7873" s="22" t="n">
        <x:v>13.38</x:v>
      </x:c>
      <x:c r="J7873" s="24" t="n">
        <x:v>2</x:v>
      </x:c>
      <x:c r="K7873" s="26" t="n">
        <x:v>0</x:v>
      </x:c>
      <x:c r="L7873" s="22" t="n">
        <x:v>6.1548</x:v>
      </x:c>
      <x:c r="M7873" t="n">
        <x:v>2016</x:v>
      </x:c>
      <x:c r="N7873" s="20" t="n">
        <x:v>42491</x:v>
      </x:c>
    </x:row>
    <x:row r="7874" ht="18" customHeight="1">
      <x:c r="A7874" t="str">
        <x:v>US-2017-166233</x:v>
      </x:c>
      <x:c r="B7874" s="18" t="n">
        <x:v>42919</x:v>
      </x:c>
      <x:c r="C7874" t="str">
        <x:v>MO-17950</x:v>
      </x:c>
      <x:c r="D7874" t="str">
        <x:v>Michael Oakman</x:v>
      </x:c>
      <x:c r="E7874" t="str">
        <x:v>Consumer</x:v>
      </x:c>
      <x:c r="F7874" t="str">
        <x:v>South</x:v>
      </x:c>
      <x:c r="G7874" t="str">
        <x:v>Technology</x:v>
      </x:c>
      <x:c r="H7874" t="str">
        <x:v>Accessories</x:v>
      </x:c>
      <x:c r="I7874" s="22" t="n">
        <x:v>24</x:v>
      </x:c>
      <x:c r="J7874" s="24" t="n">
        <x:v>2</x:v>
      </x:c>
      <x:c r="K7874" s="26" t="n">
        <x:v>0.2</x:v>
      </x:c>
      <x:c r="L7874" s="22" t="n">
        <x:v>-2.6999999999999993</x:v>
      </x:c>
      <x:c r="M7874" t="n">
        <x:v>2017</x:v>
      </x:c>
      <x:c r="N7874" s="20" t="n">
        <x:v>42917</x:v>
      </x:c>
    </x:row>
    <x:row r="7875" ht="18" customHeight="1">
      <x:c r="A7875" t="str">
        <x:v>CA-2017-122112</x:v>
      </x:c>
      <x:c r="B7875" s="18" t="n">
        <x:v>43003</x:v>
      </x:c>
      <x:c r="C7875" t="str">
        <x:v>CA-11965</x:v>
      </x:c>
      <x:c r="D7875" t="str">
        <x:v>Carol Adams</x:v>
      </x:c>
      <x:c r="E7875" t="str">
        <x:v>Corporate</x:v>
      </x:c>
      <x:c r="F7875" t="str">
        <x:v>East</x:v>
      </x:c>
      <x:c r="G7875" t="str">
        <x:v>Office Supplies</x:v>
      </x:c>
      <x:c r="H7875" t="str">
        <x:v>Envelopes</x:v>
      </x:c>
      <x:c r="I7875" s="22" t="n">
        <x:v>24.448</x:v>
      </x:c>
      <x:c r="J7875" s="24" t="n">
        <x:v>4</x:v>
      </x:c>
      <x:c r="K7875" s="26" t="n">
        <x:v>0.2</x:v>
      </x:c>
      <x:c r="L7875" s="22" t="n">
        <x:v>8.8624</x:v>
      </x:c>
      <x:c r="M7875" t="n">
        <x:v>2017</x:v>
      </x:c>
      <x:c r="N7875" s="20" t="n">
        <x:v>42979</x:v>
      </x:c>
    </x:row>
    <x:row r="7876" ht="18" customHeight="1">
      <x:c r="A7876" t="str">
        <x:v>CA-2016-101672</x:v>
      </x:c>
      <x:c r="B7876" s="18" t="n">
        <x:v>42646</x:v>
      </x:c>
      <x:c r="C7876" t="str">
        <x:v>DB-12910</x:v>
      </x:c>
      <x:c r="D7876" t="str">
        <x:v>Daniel Byrd</x:v>
      </x:c>
      <x:c r="E7876" t="str">
        <x:v>Home Office</x:v>
      </x:c>
      <x:c r="F7876" t="str">
        <x:v>West</x:v>
      </x:c>
      <x:c r="G7876" t="str">
        <x:v>Office Supplies</x:v>
      </x:c>
      <x:c r="H7876" t="str">
        <x:v>Labels</x:v>
      </x:c>
      <x:c r="I7876" s="22" t="n">
        <x:v>6.16</x:v>
      </x:c>
      <x:c r="J7876" s="24" t="n">
        <x:v>2</x:v>
      </x:c>
      <x:c r="K7876" s="26" t="n">
        <x:v>0</x:v>
      </x:c>
      <x:c r="L7876" s="22" t="n">
        <x:v>2.9568</x:v>
      </x:c>
      <x:c r="M7876" t="n">
        <x:v>2016</x:v>
      </x:c>
      <x:c r="N7876" s="20" t="n">
        <x:v>42644</x:v>
      </x:c>
    </x:row>
    <x:row r="7877" ht="18" customHeight="1">
      <x:c r="A7877" t="str">
        <x:v>CA-2016-101672</x:v>
      </x:c>
      <x:c r="B7877" s="18" t="n">
        <x:v>42646</x:v>
      </x:c>
      <x:c r="C7877" t="str">
        <x:v>DB-12910</x:v>
      </x:c>
      <x:c r="D7877" t="str">
        <x:v>Daniel Byrd</x:v>
      </x:c>
      <x:c r="E7877" t="str">
        <x:v>Home Office</x:v>
      </x:c>
      <x:c r="F7877" t="str">
        <x:v>West</x:v>
      </x:c>
      <x:c r="G7877" t="str">
        <x:v>Furniture</x:v>
      </x:c>
      <x:c r="H7877" t="str">
        <x:v>Chairs</x:v>
      </x:c>
      <x:c r="I7877" s="22" t="n">
        <x:v>915.1360000000001</x:v>
      </x:c>
      <x:c r="J7877" s="24" t="n">
        <x:v>4</x:v>
      </x:c>
      <x:c r="K7877" s="26" t="n">
        <x:v>0.2</x:v>
      </x:c>
      <x:c r="L7877" s="22" t="n">
        <x:v>102.95279999999988</x:v>
      </x:c>
      <x:c r="M7877" t="n">
        <x:v>2016</x:v>
      </x:c>
      <x:c r="N7877" s="20" t="n">
        <x:v>42644</x:v>
      </x:c>
    </x:row>
    <x:row r="7878" ht="18" customHeight="1">
      <x:c r="A7878" t="str">
        <x:v>CA-2016-101672</x:v>
      </x:c>
      <x:c r="B7878" s="18" t="n">
        <x:v>42646</x:v>
      </x:c>
      <x:c r="C7878" t="str">
        <x:v>DB-12910</x:v>
      </x:c>
      <x:c r="D7878" t="str">
        <x:v>Daniel Byrd</x:v>
      </x:c>
      <x:c r="E7878" t="str">
        <x:v>Home Office</x:v>
      </x:c>
      <x:c r="F7878" t="str">
        <x:v>West</x:v>
      </x:c>
      <x:c r="G7878" t="str">
        <x:v>Office Supplies</x:v>
      </x:c>
      <x:c r="H7878" t="str">
        <x:v>Paper</x:v>
      </x:c>
      <x:c r="I7878" s="22" t="n">
        <x:v>8.56</x:v>
      </x:c>
      <x:c r="J7878" s="24" t="n">
        <x:v>2</x:v>
      </x:c>
      <x:c r="K7878" s="26" t="n">
        <x:v>0</x:v>
      </x:c>
      <x:c r="L7878" s="22" t="n">
        <x:v>3.8519999999999994</x:v>
      </x:c>
      <x:c r="M7878" t="n">
        <x:v>2016</x:v>
      </x:c>
      <x:c r="N7878" s="20" t="n">
        <x:v>42644</x:v>
      </x:c>
    </x:row>
    <x:row r="7879" ht="18" customHeight="1">
      <x:c r="A7879" t="str">
        <x:v>CA-2016-101672</x:v>
      </x:c>
      <x:c r="B7879" s="18" t="n">
        <x:v>42646</x:v>
      </x:c>
      <x:c r="C7879" t="str">
        <x:v>DB-12910</x:v>
      </x:c>
      <x:c r="D7879" t="str">
        <x:v>Daniel Byrd</x:v>
      </x:c>
      <x:c r="E7879" t="str">
        <x:v>Home Office</x:v>
      </x:c>
      <x:c r="F7879" t="str">
        <x:v>West</x:v>
      </x:c>
      <x:c r="G7879" t="str">
        <x:v>Office Supplies</x:v>
      </x:c>
      <x:c r="H7879" t="str">
        <x:v>Paper</x:v>
      </x:c>
      <x:c r="I7879" s="22" t="n">
        <x:v>97.82</x:v>
      </x:c>
      <x:c r="J7879" s="24" t="n">
        <x:v>2</x:v>
      </x:c>
      <x:c r="K7879" s="26" t="n">
        <x:v>0</x:v>
      </x:c>
      <x:c r="L7879" s="22" t="n">
        <x:v>45.97539999999999</x:v>
      </x:c>
      <x:c r="M7879" t="n">
        <x:v>2016</x:v>
      </x:c>
      <x:c r="N7879" s="20" t="n">
        <x:v>42644</x:v>
      </x:c>
    </x:row>
    <x:row r="7880" ht="18" customHeight="1">
      <x:c r="A7880" t="str">
        <x:v>CA-2017-168403</x:v>
      </x:c>
      <x:c r="B7880" s="18" t="n">
        <x:v>42987</x:v>
      </x:c>
      <x:c r="C7880" t="str">
        <x:v>DK-12835</x:v>
      </x:c>
      <x:c r="D7880" t="str">
        <x:v>Damala Kotsonis</x:v>
      </x:c>
      <x:c r="E7880" t="str">
        <x:v>Corporate</x:v>
      </x:c>
      <x:c r="F7880" t="str">
        <x:v>West</x:v>
      </x:c>
      <x:c r="G7880" t="str">
        <x:v>Office Supplies</x:v>
      </x:c>
      <x:c r="H7880" t="str">
        <x:v>Paper</x:v>
      </x:c>
      <x:c r="I7880" s="22" t="n">
        <x:v>31.104000000000006</x:v>
      </x:c>
      <x:c r="J7880" s="24" t="n">
        <x:v>6</x:v>
      </x:c>
      <x:c r="K7880" s="26" t="n">
        <x:v>0.2</x:v>
      </x:c>
      <x:c r="L7880" s="22" t="n">
        <x:v>11.2752</x:v>
      </x:c>
      <x:c r="M7880" t="n">
        <x:v>2017</x:v>
      </x:c>
      <x:c r="N7880" s="20" t="n">
        <x:v>42979</x:v>
      </x:c>
    </x:row>
    <x:row r="7881" ht="18" customHeight="1">
      <x:c r="A7881" t="str">
        <x:v>CA-2017-168403</x:v>
      </x:c>
      <x:c r="B7881" s="18" t="n">
        <x:v>42987</x:v>
      </x:c>
      <x:c r="C7881" t="str">
        <x:v>DK-12835</x:v>
      </x:c>
      <x:c r="D7881" t="str">
        <x:v>Damala Kotsonis</x:v>
      </x:c>
      <x:c r="E7881" t="str">
        <x:v>Corporate</x:v>
      </x:c>
      <x:c r="F7881" t="str">
        <x:v>West</x:v>
      </x:c>
      <x:c r="G7881" t="str">
        <x:v>Office Supplies</x:v>
      </x:c>
      <x:c r="H7881" t="str">
        <x:v>Appliances</x:v>
      </x:c>
      <x:c r="I7881" s="22" t="n">
        <x:v>11.176000000000002</x:v>
      </x:c>
      <x:c r="J7881" s="24" t="n">
        <x:v>1</x:v>
      </x:c>
      <x:c r="K7881" s="26" t="n">
        <x:v>0.2</x:v>
      </x:c>
      <x:c r="L7881" s="22" t="n">
        <x:v>0.8382000000000005</x:v>
      </x:c>
      <x:c r="M7881" t="n">
        <x:v>2017</x:v>
      </x:c>
      <x:c r="N7881" s="20" t="n">
        <x:v>42979</x:v>
      </x:c>
    </x:row>
    <x:row r="7882" ht="18" customHeight="1">
      <x:c r="A7882" t="str">
        <x:v>CA-2015-148705</x:v>
      </x:c>
      <x:c r="B7882" s="18" t="n">
        <x:v>42075</x:v>
      </x:c>
      <x:c r="C7882" t="str">
        <x:v>EB-14170</x:v>
      </x:c>
      <x:c r="D7882" t="str">
        <x:v>Evan Bailliet</x:v>
      </x:c>
      <x:c r="E7882" t="str">
        <x:v>Consumer</x:v>
      </x:c>
      <x:c r="F7882" t="str">
        <x:v>South</x:v>
      </x:c>
      <x:c r="G7882" t="str">
        <x:v>Office Supplies</x:v>
      </x:c>
      <x:c r="H7882" t="str">
        <x:v>Labels</x:v>
      </x:c>
      <x:c r="I7882" s="22" t="n">
        <x:v>5.04</x:v>
      </x:c>
      <x:c r="J7882" s="24" t="n">
        <x:v>2</x:v>
      </x:c>
      <x:c r="K7882" s="26" t="n">
        <x:v>0.2</x:v>
      </x:c>
      <x:c r="L7882" s="22" t="n">
        <x:v>1.764</x:v>
      </x:c>
      <x:c r="M7882" t="n">
        <x:v>2015</x:v>
      </x:c>
      <x:c r="N7882" s="20" t="n">
        <x:v>42064</x:v>
      </x:c>
    </x:row>
    <x:row r="7883" ht="18" customHeight="1">
      <x:c r="A7883" t="str">
        <x:v>CA-2016-160241</x:v>
      </x:c>
      <x:c r="B7883" s="18" t="n">
        <x:v>42703</x:v>
      </x:c>
      <x:c r="C7883" t="str">
        <x:v>DR-12940</x:v>
      </x:c>
      <x:c r="D7883" t="str">
        <x:v>Daniel Raglin</x:v>
      </x:c>
      <x:c r="E7883" t="str">
        <x:v>Home Office</x:v>
      </x:c>
      <x:c r="F7883" t="str">
        <x:v>Central</x:v>
      </x:c>
      <x:c r="G7883" t="str">
        <x:v>Furniture</x:v>
      </x:c>
      <x:c r="H7883" t="str">
        <x:v>Furnishings</x:v>
      </x:c>
      <x:c r="I7883" s="22" t="n">
        <x:v>242.17600000000004</x:v>
      </x:c>
      <x:c r="J7883" s="24" t="n">
        <x:v>4</x:v>
      </x:c>
      <x:c r="K7883" s="26" t="n">
        <x:v>0.6</x:v>
      </x:c>
      <x:c r="L7883" s="22" t="n">
        <x:v>-302.72</x:v>
      </x:c>
      <x:c r="M7883" t="n">
        <x:v>2016</x:v>
      </x:c>
      <x:c r="N7883" s="20" t="n">
        <x:v>42675</x:v>
      </x:c>
    </x:row>
    <x:row r="7884" ht="18" customHeight="1">
      <x:c r="A7884" t="str">
        <x:v>CA-2016-155747</x:v>
      </x:c>
      <x:c r="B7884" s="18" t="n">
        <x:v>42535</x:v>
      </x:c>
      <x:c r="C7884" t="str">
        <x:v>JS-15685</x:v>
      </x:c>
      <x:c r="D7884" t="str">
        <x:v>Jim Sink</x:v>
      </x:c>
      <x:c r="E7884" t="str">
        <x:v>Corporate</x:v>
      </x:c>
      <x:c r="F7884" t="str">
        <x:v>East</x:v>
      </x:c>
      <x:c r="G7884" t="str">
        <x:v>Furniture</x:v>
      </x:c>
      <x:c r="H7884" t="str">
        <x:v>Tables</x:v>
      </x:c>
      <x:c r="I7884" s="22" t="n">
        <x:v>337.176</x:v>
      </x:c>
      <x:c r="J7884" s="24" t="n">
        <x:v>2</x:v>
      </x:c>
      <x:c r="K7884" s="26" t="n">
        <x:v>0.4</x:v>
      </x:c>
      <x:c r="L7884" s="22" t="n">
        <x:v>-118.01160000000002</x:v>
      </x:c>
      <x:c r="M7884" t="n">
        <x:v>2016</x:v>
      </x:c>
      <x:c r="N7884" s="20" t="n">
        <x:v>42522</x:v>
      </x:c>
    </x:row>
    <x:row r="7885" ht="18" customHeight="1">
      <x:c r="A7885" t="str">
        <x:v>CA-2017-118017</x:v>
      </x:c>
      <x:c r="B7885" s="18" t="n">
        <x:v>43072</x:v>
      </x:c>
      <x:c r="C7885" t="str">
        <x:v>LC-16870</x:v>
      </x:c>
      <x:c r="D7885" t="str">
        <x:v>Lena Cacioppo</x:v>
      </x:c>
      <x:c r="E7885" t="str">
        <x:v>Consumer</x:v>
      </x:c>
      <x:c r="F7885" t="str">
        <x:v>West</x:v>
      </x:c>
      <x:c r="G7885" t="str">
        <x:v>Office Supplies</x:v>
      </x:c>
      <x:c r="H7885" t="str">
        <x:v>Art</x:v>
      </x:c>
      <x:c r="I7885" s="22" t="n">
        <x:v>13.343999999999998</x:v>
      </x:c>
      <x:c r="J7885" s="24" t="n">
        <x:v>6</x:v>
      </x:c>
      <x:c r="K7885" s="26" t="n">
        <x:v>0.2</x:v>
      </x:c>
      <x:c r="L7885" s="22" t="n">
        <x:v>1.0008</x:v>
      </x:c>
      <x:c r="M7885" t="n">
        <x:v>2017</x:v>
      </x:c>
      <x:c r="N7885" s="20" t="n">
        <x:v>43070</x:v>
      </x:c>
    </x:row>
    <x:row r="7886" ht="18" customHeight="1">
      <x:c r="A7886" t="str">
        <x:v>CA-2017-118017</x:v>
      </x:c>
      <x:c r="B7886" s="18" t="n">
        <x:v>43072</x:v>
      </x:c>
      <x:c r="C7886" t="str">
        <x:v>LC-16870</x:v>
      </x:c>
      <x:c r="D7886" t="str">
        <x:v>Lena Cacioppo</x:v>
      </x:c>
      <x:c r="E7886" t="str">
        <x:v>Consumer</x:v>
      </x:c>
      <x:c r="F7886" t="str">
        <x:v>West</x:v>
      </x:c>
      <x:c r="G7886" t="str">
        <x:v>Technology</x:v>
      </x:c>
      <x:c r="H7886" t="str">
        <x:v>Accessories</x:v>
      </x:c>
      <x:c r="I7886" s="22" t="n">
        <x:v>76.75200000000001</x:v>
      </x:c>
      <x:c r="J7886" s="24" t="n">
        <x:v>6</x:v>
      </x:c>
      <x:c r="K7886" s="26" t="n">
        <x:v>0.2</x:v>
      </x:c>
      <x:c r="L7886" s="22" t="n">
        <x:v>10.553399999999993</x:v>
      </x:c>
      <x:c r="M7886" t="n">
        <x:v>2017</x:v>
      </x:c>
      <x:c r="N7886" s="20" t="n">
        <x:v>43070</x:v>
      </x:c>
    </x:row>
    <x:row r="7887" ht="18" customHeight="1">
      <x:c r="A7887" t="str">
        <x:v>CA-2017-118017</x:v>
      </x:c>
      <x:c r="B7887" s="18" t="n">
        <x:v>43072</x:v>
      </x:c>
      <x:c r="C7887" t="str">
        <x:v>LC-16870</x:v>
      </x:c>
      <x:c r="D7887" t="str">
        <x:v>Lena Cacioppo</x:v>
      </x:c>
      <x:c r="E7887" t="str">
        <x:v>Consumer</x:v>
      </x:c>
      <x:c r="F7887" t="str">
        <x:v>West</x:v>
      </x:c>
      <x:c r="G7887" t="str">
        <x:v>Technology</x:v>
      </x:c>
      <x:c r="H7887" t="str">
        <x:v>Accessories</x:v>
      </x:c>
      <x:c r="I7887" s="22" t="n">
        <x:v>102.33600000000001</x:v>
      </x:c>
      <x:c r="J7887" s="24" t="n">
        <x:v>8</x:v>
      </x:c>
      <x:c r="K7887" s="26" t="n">
        <x:v>0.2</x:v>
      </x:c>
      <x:c r="L7887" s="22" t="n">
        <x:v>14.07119999999999</x:v>
      </x:c>
      <x:c r="M7887" t="n">
        <x:v>2017</x:v>
      </x:c>
      <x:c r="N7887" s="20" t="n">
        <x:v>43070</x:v>
      </x:c>
    </x:row>
    <x:row r="7888" ht="18" customHeight="1">
      <x:c r="A7888" t="str">
        <x:v>CA-2017-118017</x:v>
      </x:c>
      <x:c r="B7888" s="18" t="n">
        <x:v>43072</x:v>
      </x:c>
      <x:c r="C7888" t="str">
        <x:v>LC-16870</x:v>
      </x:c>
      <x:c r="D7888" t="str">
        <x:v>Lena Cacioppo</x:v>
      </x:c>
      <x:c r="E7888" t="str">
        <x:v>Consumer</x:v>
      </x:c>
      <x:c r="F7888" t="str">
        <x:v>West</x:v>
      </x:c>
      <x:c r="G7888" t="str">
        <x:v>Office Supplies</x:v>
      </x:c>
      <x:c r="H7888" t="str">
        <x:v>Paper</x:v>
      </x:c>
      <x:c r="I7888" s="22" t="n">
        <x:v>10.32</x:v>
      </x:c>
      <x:c r="J7888" s="24" t="n">
        <x:v>2</x:v>
      </x:c>
      <x:c r="K7888" s="26" t="n">
        <x:v>0.2</x:v>
      </x:c>
      <x:c r="L7888" s="22" t="n">
        <x:v>3.7409999999999997</x:v>
      </x:c>
      <x:c r="M7888" t="n">
        <x:v>2017</x:v>
      </x:c>
      <x:c r="N7888" s="20" t="n">
        <x:v>43070</x:v>
      </x:c>
    </x:row>
    <x:row r="7889" ht="18" customHeight="1">
      <x:c r="A7889" t="str">
        <x:v>CA-2017-118017</x:v>
      </x:c>
      <x:c r="B7889" s="18" t="n">
        <x:v>43072</x:v>
      </x:c>
      <x:c r="C7889" t="str">
        <x:v>LC-16870</x:v>
      </x:c>
      <x:c r="D7889" t="str">
        <x:v>Lena Cacioppo</x:v>
      </x:c>
      <x:c r="E7889" t="str">
        <x:v>Consumer</x:v>
      </x:c>
      <x:c r="F7889" t="str">
        <x:v>West</x:v>
      </x:c>
      <x:c r="G7889" t="str">
        <x:v>Office Supplies</x:v>
      </x:c>
      <x:c r="H7889" t="str">
        <x:v>Supplies</x:v>
      </x:c>
      <x:c r="I7889" s="22" t="n">
        <x:v>47.32</x:v>
      </x:c>
      <x:c r="J7889" s="24" t="n">
        <x:v>7</x:v>
      </x:c>
      <x:c r="K7889" s="26" t="n">
        <x:v>0.2</x:v>
      </x:c>
      <x:c r="L7889" s="22" t="n">
        <x:v>5.914999999999994</x:v>
      </x:c>
      <x:c r="M7889" t="n">
        <x:v>2017</x:v>
      </x:c>
      <x:c r="N7889" s="20" t="n">
        <x:v>43070</x:v>
      </x:c>
    </x:row>
    <x:row r="7890" ht="18" customHeight="1">
      <x:c r="A7890" t="str">
        <x:v>CA-2017-118017</x:v>
      </x:c>
      <x:c r="B7890" s="18" t="n">
        <x:v>43072</x:v>
      </x:c>
      <x:c r="C7890" t="str">
        <x:v>LC-16870</x:v>
      </x:c>
      <x:c r="D7890" t="str">
        <x:v>Lena Cacioppo</x:v>
      </x:c>
      <x:c r="E7890" t="str">
        <x:v>Consumer</x:v>
      </x:c>
      <x:c r="F7890" t="str">
        <x:v>West</x:v>
      </x:c>
      <x:c r="G7890" t="str">
        <x:v>Furniture</x:v>
      </x:c>
      <x:c r="H7890" t="str">
        <x:v>Furnishings</x:v>
      </x:c>
      <x:c r="I7890" s="22" t="n">
        <x:v>23.376</x:v>
      </x:c>
      <x:c r="J7890" s="24" t="n">
        <x:v>3</x:v>
      </x:c>
      <x:c r="K7890" s="26" t="n">
        <x:v>0.2</x:v>
      </x:c>
      <x:c r="L7890" s="22" t="n">
        <x:v>7.012800000000001</x:v>
      </x:c>
      <x:c r="M7890" t="n">
        <x:v>2017</x:v>
      </x:c>
      <x:c r="N7890" s="20" t="n">
        <x:v>43070</x:v>
      </x:c>
    </x:row>
    <x:row r="7891" ht="18" customHeight="1">
      <x:c r="A7891" t="str">
        <x:v>CA-2017-118017</x:v>
      </x:c>
      <x:c r="B7891" s="18" t="n">
        <x:v>43072</x:v>
      </x:c>
      <x:c r="C7891" t="str">
        <x:v>LC-16870</x:v>
      </x:c>
      <x:c r="D7891" t="str">
        <x:v>Lena Cacioppo</x:v>
      </x:c>
      <x:c r="E7891" t="str">
        <x:v>Consumer</x:v>
      </x:c>
      <x:c r="F7891" t="str">
        <x:v>West</x:v>
      </x:c>
      <x:c r="G7891" t="str">
        <x:v>Furniture</x:v>
      </x:c>
      <x:c r="H7891" t="str">
        <x:v>Furnishings</x:v>
      </x:c>
      <x:c r="I7891" s="22" t="n">
        <x:v>16.72</x:v>
      </x:c>
      <x:c r="J7891" s="24" t="n">
        <x:v>5</x:v>
      </x:c>
      <x:c r="K7891" s="26" t="n">
        <x:v>0.2</x:v>
      </x:c>
      <x:c r="L7891" s="22" t="n">
        <x:v>3.3439999999999994</x:v>
      </x:c>
      <x:c r="M7891" t="n">
        <x:v>2017</x:v>
      </x:c>
      <x:c r="N7891" s="20" t="n">
        <x:v>43070</x:v>
      </x:c>
    </x:row>
    <x:row r="7892" ht="18" customHeight="1">
      <x:c r="A7892" t="str">
        <x:v>CA-2017-118017</x:v>
      </x:c>
      <x:c r="B7892" s="18" t="n">
        <x:v>43072</x:v>
      </x:c>
      <x:c r="C7892" t="str">
        <x:v>LC-16870</x:v>
      </x:c>
      <x:c r="D7892" t="str">
        <x:v>Lena Cacioppo</x:v>
      </x:c>
      <x:c r="E7892" t="str">
        <x:v>Consumer</x:v>
      </x:c>
      <x:c r="F7892" t="str">
        <x:v>West</x:v>
      </x:c>
      <x:c r="G7892" t="str">
        <x:v>Furniture</x:v>
      </x:c>
      <x:c r="H7892" t="str">
        <x:v>Furnishings</x:v>
      </x:c>
      <x:c r="I7892" s="22" t="n">
        <x:v>16.192</x:v>
      </x:c>
      <x:c r="J7892" s="24" t="n">
        <x:v>1</x:v>
      </x:c>
      <x:c r="K7892" s="26" t="n">
        <x:v>0.2</x:v>
      </x:c>
      <x:c r="L7892" s="22" t="n">
        <x:v>4.655200000000001</x:v>
      </x:c>
      <x:c r="M7892" t="n">
        <x:v>2017</x:v>
      </x:c>
      <x:c r="N7892" s="20" t="n">
        <x:v>43070</x:v>
      </x:c>
    </x:row>
    <x:row r="7893" ht="18" customHeight="1">
      <x:c r="A7893" t="str">
        <x:v>CA-2016-113117</x:v>
      </x:c>
      <x:c r="B7893" s="18" t="n">
        <x:v>42598</x:v>
      </x:c>
      <x:c r="C7893" t="str">
        <x:v>JP-15520</x:v>
      </x:c>
      <x:c r="D7893" t="str">
        <x:v>Jeremy Pistek</x:v>
      </x:c>
      <x:c r="E7893" t="str">
        <x:v>Consumer</x:v>
      </x:c>
      <x:c r="F7893" t="str">
        <x:v>West</x:v>
      </x:c>
      <x:c r="G7893" t="str">
        <x:v>Office Supplies</x:v>
      </x:c>
      <x:c r="H7893" t="str">
        <x:v>Paper</x:v>
      </x:c>
      <x:c r="I7893" s="22" t="n">
        <x:v>32.400000000000006</x:v>
      </x:c>
      <x:c r="J7893" s="24" t="n">
        <x:v>5</x:v>
      </x:c>
      <x:c r="K7893" s="26" t="n">
        <x:v>0</x:v>
      </x:c>
      <x:c r="L7893" s="22" t="n">
        <x:v>15.552000000000001</x:v>
      </x:c>
      <x:c r="M7893" t="n">
        <x:v>2016</x:v>
      </x:c>
      <x:c r="N7893" s="20" t="n">
        <x:v>42583</x:v>
      </x:c>
    </x:row>
    <x:row r="7894" ht="18" customHeight="1">
      <x:c r="A7894" t="str">
        <x:v>CA-2016-148684</x:v>
      </x:c>
      <x:c r="B7894" s="18" t="n">
        <x:v>42729</x:v>
      </x:c>
      <x:c r="C7894" t="str">
        <x:v>TS-21655</x:v>
      </x:c>
      <x:c r="D7894" t="str">
        <x:v>Trudy Schmidt</x:v>
      </x:c>
      <x:c r="E7894" t="str">
        <x:v>Consumer</x:v>
      </x:c>
      <x:c r="F7894" t="str">
        <x:v>South</x:v>
      </x:c>
      <x:c r="G7894" t="str">
        <x:v>Office Supplies</x:v>
      </x:c>
      <x:c r="H7894" t="str">
        <x:v>Art</x:v>
      </x:c>
      <x:c r="I7894" s="22" t="n">
        <x:v>19.89</x:v>
      </x:c>
      <x:c r="J7894" s="24" t="n">
        <x:v>9</x:v>
      </x:c>
      <x:c r="K7894" s="26" t="n">
        <x:v>0</x:v>
      </x:c>
      <x:c r="L7894" s="22" t="n">
        <x:v>5.3703</x:v>
      </x:c>
      <x:c r="M7894" t="n">
        <x:v>2016</x:v>
      </x:c>
      <x:c r="N7894" s="20" t="n">
        <x:v>42705</x:v>
      </x:c>
    </x:row>
    <x:row r="7895" ht="18" customHeight="1">
      <x:c r="A7895" t="str">
        <x:v>CA-2016-148684</x:v>
      </x:c>
      <x:c r="B7895" s="18" t="n">
        <x:v>42729</x:v>
      </x:c>
      <x:c r="C7895" t="str">
        <x:v>TS-21655</x:v>
      </x:c>
      <x:c r="D7895" t="str">
        <x:v>Trudy Schmidt</x:v>
      </x:c>
      <x:c r="E7895" t="str">
        <x:v>Consumer</x:v>
      </x:c>
      <x:c r="F7895" t="str">
        <x:v>South</x:v>
      </x:c>
      <x:c r="G7895" t="str">
        <x:v>Technology</x:v>
      </x:c>
      <x:c r="H7895" t="str">
        <x:v>Accessories</x:v>
      </x:c>
      <x:c r="I7895" s="22" t="n">
        <x:v>399.98</x:v>
      </x:c>
      <x:c r="J7895" s="24" t="n">
        <x:v>2</x:v>
      </x:c>
      <x:c r="K7895" s="26" t="n">
        <x:v>0</x:v>
      </x:c>
      <x:c r="L7895" s="22" t="n">
        <x:v>171.99140000000003</x:v>
      </x:c>
      <x:c r="M7895" t="n">
        <x:v>2016</x:v>
      </x:c>
      <x:c r="N7895" s="20" t="n">
        <x:v>42705</x:v>
      </x:c>
    </x:row>
    <x:row r="7896" ht="18" customHeight="1">
      <x:c r="A7896" t="str">
        <x:v>CA-2016-148684</x:v>
      </x:c>
      <x:c r="B7896" s="18" t="n">
        <x:v>42729</x:v>
      </x:c>
      <x:c r="C7896" t="str">
        <x:v>TS-21655</x:v>
      </x:c>
      <x:c r="D7896" t="str">
        <x:v>Trudy Schmidt</x:v>
      </x:c>
      <x:c r="E7896" t="str">
        <x:v>Consumer</x:v>
      </x:c>
      <x:c r="F7896" t="str">
        <x:v>South</x:v>
      </x:c>
      <x:c r="G7896" t="str">
        <x:v>Furniture</x:v>
      </x:c>
      <x:c r="H7896" t="str">
        <x:v>Furnishings</x:v>
      </x:c>
      <x:c r="I7896" s="22" t="n">
        <x:v>343.84999999999997</x:v>
      </x:c>
      <x:c r="J7896" s="24" t="n">
        <x:v>5</x:v>
      </x:c>
      <x:c r="K7896" s="26" t="n">
        <x:v>0</x:v>
      </x:c>
      <x:c r="L7896" s="22" t="n">
        <x:v>137.54000000000002</x:v>
      </x:c>
      <x:c r="M7896" t="n">
        <x:v>2016</x:v>
      </x:c>
      <x:c r="N7896" s="20" t="n">
        <x:v>42705</x:v>
      </x:c>
    </x:row>
    <x:row r="7897" ht="18" customHeight="1">
      <x:c r="A7897" t="str">
        <x:v>CA-2016-148684</x:v>
      </x:c>
      <x:c r="B7897" s="18" t="n">
        <x:v>42729</x:v>
      </x:c>
      <x:c r="C7897" t="str">
        <x:v>TS-21655</x:v>
      </x:c>
      <x:c r="D7897" t="str">
        <x:v>Trudy Schmidt</x:v>
      </x:c>
      <x:c r="E7897" t="str">
        <x:v>Consumer</x:v>
      </x:c>
      <x:c r="F7897" t="str">
        <x:v>South</x:v>
      </x:c>
      <x:c r="G7897" t="str">
        <x:v>Office Supplies</x:v>
      </x:c>
      <x:c r="H7897" t="str">
        <x:v>Paper</x:v>
      </x:c>
      <x:c r="I7897" s="22" t="n">
        <x:v>106.32</x:v>
      </x:c>
      <x:c r="J7897" s="24" t="n">
        <x:v>3</x:v>
      </x:c>
      <x:c r="K7897" s="26" t="n">
        <x:v>0</x:v>
      </x:c>
      <x:c r="L7897" s="22" t="n">
        <x:v>49.97039999999999</x:v>
      </x:c>
      <x:c r="M7897" t="n">
        <x:v>2016</x:v>
      </x:c>
      <x:c r="N7897" s="20" t="n">
        <x:v>42705</x:v>
      </x:c>
    </x:row>
    <x:row r="7898" ht="18" customHeight="1">
      <x:c r="A7898" t="str">
        <x:v>CA-2017-125367</x:v>
      </x:c>
      <x:c r="B7898" s="18" t="n">
        <x:v>42939</x:v>
      </x:c>
      <x:c r="C7898" t="str">
        <x:v>NM-18445</x:v>
      </x:c>
      <x:c r="D7898" t="str">
        <x:v>Nathan Mautz</x:v>
      </x:c>
      <x:c r="E7898" t="str">
        <x:v>Home Office</x:v>
      </x:c>
      <x:c r="F7898" t="str">
        <x:v>East</x:v>
      </x:c>
      <x:c r="G7898" t="str">
        <x:v>Office Supplies</x:v>
      </x:c>
      <x:c r="H7898" t="str">
        <x:v>Binders</x:v>
      </x:c>
      <x:c r="I7898" s="22" t="n">
        <x:v>13.919999999999998</x:v>
      </x:c>
      <x:c r="J7898" s="24" t="n">
        <x:v>3</x:v>
      </x:c>
      <x:c r="K7898" s="26" t="n">
        <x:v>0.2</x:v>
      </x:c>
      <x:c r="L7898" s="22" t="n">
        <x:v>4.3500000000000005</x:v>
      </x:c>
      <x:c r="M7898" t="n">
        <x:v>2017</x:v>
      </x:c>
      <x:c r="N7898" s="20" t="n">
        <x:v>42917</x:v>
      </x:c>
    </x:row>
    <x:row r="7899" ht="18" customHeight="1">
      <x:c r="A7899" t="str">
        <x:v>CA-2017-124744</x:v>
      </x:c>
      <x:c r="B7899" s="18" t="n">
        <x:v>42907</x:v>
      </x:c>
      <x:c r="C7899" t="str">
        <x:v>EH-14125</x:v>
      </x:c>
      <x:c r="D7899" t="str">
        <x:v>Eugene Hildebrand</x:v>
      </x:c>
      <x:c r="E7899" t="str">
        <x:v>Home Office</x:v>
      </x:c>
      <x:c r="F7899" t="str">
        <x:v>East</x:v>
      </x:c>
      <x:c r="G7899" t="str">
        <x:v>Office Supplies</x:v>
      </x:c>
      <x:c r="H7899" t="str">
        <x:v>Binders</x:v>
      </x:c>
      <x:c r="I7899" s="22" t="n">
        <x:v>82.4</x:v>
      </x:c>
      <x:c r="J7899" s="24" t="n">
        <x:v>5</x:v>
      </x:c>
      <x:c r="K7899" s="26" t="n">
        <x:v>0</x:v>
      </x:c>
      <x:c r="L7899" s="22" t="n">
        <x:v>40.376000000000005</x:v>
      </x:c>
      <x:c r="M7899" t="n">
        <x:v>2017</x:v>
      </x:c>
      <x:c r="N7899" s="20" t="n">
        <x:v>42887</x:v>
      </x:c>
    </x:row>
    <x:row r="7900" ht="18" customHeight="1">
      <x:c r="A7900" t="str">
        <x:v>CA-2017-124744</x:v>
      </x:c>
      <x:c r="B7900" s="18" t="n">
        <x:v>42907</x:v>
      </x:c>
      <x:c r="C7900" t="str">
        <x:v>EH-14125</x:v>
      </x:c>
      <x:c r="D7900" t="str">
        <x:v>Eugene Hildebrand</x:v>
      </x:c>
      <x:c r="E7900" t="str">
        <x:v>Home Office</x:v>
      </x:c>
      <x:c r="F7900" t="str">
        <x:v>East</x:v>
      </x:c>
      <x:c r="G7900" t="str">
        <x:v>Office Supplies</x:v>
      </x:c>
      <x:c r="H7900" t="str">
        <x:v>Binders</x:v>
      </x:c>
      <x:c r="I7900" s="22" t="n">
        <x:v>6.24</x:v>
      </x:c>
      <x:c r="J7900" s="24" t="n">
        <x:v>2</x:v>
      </x:c>
      <x:c r="K7900" s="26" t="n">
        <x:v>0</x:v>
      </x:c>
      <x:c r="L7900" s="22" t="n">
        <x:v>3.0576</x:v>
      </x:c>
      <x:c r="M7900" t="n">
        <x:v>2017</x:v>
      </x:c>
      <x:c r="N7900" s="20" t="n">
        <x:v>42887</x:v>
      </x:c>
    </x:row>
    <x:row r="7901" ht="18" customHeight="1">
      <x:c r="A7901" t="str">
        <x:v>CA-2017-124744</x:v>
      </x:c>
      <x:c r="B7901" s="18" t="n">
        <x:v>42907</x:v>
      </x:c>
      <x:c r="C7901" t="str">
        <x:v>EH-14125</x:v>
      </x:c>
      <x:c r="D7901" t="str">
        <x:v>Eugene Hildebrand</x:v>
      </x:c>
      <x:c r="E7901" t="str">
        <x:v>Home Office</x:v>
      </x:c>
      <x:c r="F7901" t="str">
        <x:v>East</x:v>
      </x:c>
      <x:c r="G7901" t="str">
        <x:v>Office Supplies</x:v>
      </x:c>
      <x:c r="H7901" t="str">
        <x:v>Paper</x:v>
      </x:c>
      <x:c r="I7901" s="22" t="n">
        <x:v>447.84</x:v>
      </x:c>
      <x:c r="J7901" s="24" t="n">
        <x:v>8</x:v>
      </x:c>
      <x:c r="K7901" s="26" t="n">
        <x:v>0</x:v>
      </x:c>
      <x:c r="L7901" s="22" t="n">
        <x:v>219.4416</x:v>
      </x:c>
      <x:c r="M7901" t="n">
        <x:v>2017</x:v>
      </x:c>
      <x:c r="N7901" s="20" t="n">
        <x:v>42887</x:v>
      </x:c>
    </x:row>
    <x:row r="7902" ht="18" customHeight="1">
      <x:c r="A7902" t="str">
        <x:v>CA-2017-128363</x:v>
      </x:c>
      <x:c r="B7902" s="18" t="n">
        <x:v>42960</x:v>
      </x:c>
      <x:c r="C7902" t="str">
        <x:v>DC-12850</x:v>
      </x:c>
      <x:c r="D7902" t="str">
        <x:v>Dan Campbell</x:v>
      </x:c>
      <x:c r="E7902" t="str">
        <x:v>Consumer</x:v>
      </x:c>
      <x:c r="F7902" t="str">
        <x:v>South</x:v>
      </x:c>
      <x:c r="G7902" t="str">
        <x:v>Office Supplies</x:v>
      </x:c>
      <x:c r="H7902" t="str">
        <x:v>Appliances</x:v>
      </x:c>
      <x:c r="I7902" s="22" t="n">
        <x:v>272.048</x:v>
      </x:c>
      <x:c r="J7902" s="24" t="n">
        <x:v>7</x:v>
      </x:c>
      <x:c r="K7902" s="26" t="n">
        <x:v>0.2</x:v>
      </x:c>
      <x:c r="L7902" s="22" t="n">
        <x:v>30.605399999999946</x:v>
      </x:c>
      <x:c r="M7902" t="n">
        <x:v>2017</x:v>
      </x:c>
      <x:c r="N7902" s="20" t="n">
        <x:v>42948</x:v>
      </x:c>
    </x:row>
    <x:row r="7903" ht="18" customHeight="1">
      <x:c r="A7903" t="str">
        <x:v>CA-2017-128363</x:v>
      </x:c>
      <x:c r="B7903" s="18" t="n">
        <x:v>42960</x:v>
      </x:c>
      <x:c r="C7903" t="str">
        <x:v>DC-12850</x:v>
      </x:c>
      <x:c r="D7903" t="str">
        <x:v>Dan Campbell</x:v>
      </x:c>
      <x:c r="E7903" t="str">
        <x:v>Consumer</x:v>
      </x:c>
      <x:c r="F7903" t="str">
        <x:v>South</x:v>
      </x:c>
      <x:c r="G7903" t="str">
        <x:v>Office Supplies</x:v>
      </x:c>
      <x:c r="H7903" t="str">
        <x:v>Binders</x:v>
      </x:c>
      <x:c r="I7903" s="22" t="n">
        <x:v>1614.5820000000003</x:v>
      </x:c>
      <x:c r="J7903" s="24" t="n">
        <x:v>6</x:v>
      </x:c>
      <x:c r="K7903" s="26" t="n">
        <x:v>0.7</x:v>
      </x:c>
      <x:c r="L7903" s="22" t="n">
        <x:v>-1237.8461999999995</x:v>
      </x:c>
      <x:c r="M7903" t="n">
        <x:v>2017</x:v>
      </x:c>
      <x:c r="N7903" s="20" t="n">
        <x:v>42948</x:v>
      </x:c>
    </x:row>
    <x:row r="7904" ht="18" customHeight="1">
      <x:c r="A7904" t="str">
        <x:v>CA-2017-128363</x:v>
      </x:c>
      <x:c r="B7904" s="18" t="n">
        <x:v>42960</x:v>
      </x:c>
      <x:c r="C7904" t="str">
        <x:v>DC-12850</x:v>
      </x:c>
      <x:c r="D7904" t="str">
        <x:v>Dan Campbell</x:v>
      </x:c>
      <x:c r="E7904" t="str">
        <x:v>Consumer</x:v>
      </x:c>
      <x:c r="F7904" t="str">
        <x:v>South</x:v>
      </x:c>
      <x:c r="G7904" t="str">
        <x:v>Office Supplies</x:v>
      </x:c>
      <x:c r="H7904" t="str">
        <x:v>Fasteners</x:v>
      </x:c>
      <x:c r="I7904" s="22" t="n">
        <x:v>24.320000000000004</x:v>
      </x:c>
      <x:c r="J7904" s="24" t="n">
        <x:v>5</x:v>
      </x:c>
      <x:c r="K7904" s="26" t="n">
        <x:v>0.2</x:v>
      </x:c>
      <x:c r="L7904" s="22" t="n">
        <x:v>9.119999999999997</x:v>
      </x:c>
      <x:c r="M7904" t="n">
        <x:v>2017</x:v>
      </x:c>
      <x:c r="N7904" s="20" t="n">
        <x:v>42948</x:v>
      </x:c>
    </x:row>
    <x:row r="7905" ht="18" customHeight="1">
      <x:c r="A7905" t="str">
        <x:v>CA-2017-128363</x:v>
      </x:c>
      <x:c r="B7905" s="18" t="n">
        <x:v>42960</x:v>
      </x:c>
      <x:c r="C7905" t="str">
        <x:v>DC-12850</x:v>
      </x:c>
      <x:c r="D7905" t="str">
        <x:v>Dan Campbell</x:v>
      </x:c>
      <x:c r="E7905" t="str">
        <x:v>Consumer</x:v>
      </x:c>
      <x:c r="F7905" t="str">
        <x:v>South</x:v>
      </x:c>
      <x:c r="G7905" t="str">
        <x:v>Technology</x:v>
      </x:c>
      <x:c r="H7905" t="str">
        <x:v>Accessories</x:v>
      </x:c>
      <x:c r="I7905" s="22" t="n">
        <x:v>1.584</x:v>
      </x:c>
      <x:c r="J7905" s="24" t="n">
        <x:v>2</x:v>
      </x:c>
      <x:c r="K7905" s="26" t="n">
        <x:v>0.2</x:v>
      </x:c>
      <x:c r="L7905" s="22" t="n">
        <x:v>0.4752000000000002</x:v>
      </x:c>
      <x:c r="M7905" t="n">
        <x:v>2017</x:v>
      </x:c>
      <x:c r="N7905" s="20" t="n">
        <x:v>42948</x:v>
      </x:c>
    </x:row>
    <x:row r="7906" ht="18" customHeight="1">
      <x:c r="A7906" t="str">
        <x:v>CA-2017-128363</x:v>
      </x:c>
      <x:c r="B7906" s="18" t="n">
        <x:v>42960</x:v>
      </x:c>
      <x:c r="C7906" t="str">
        <x:v>DC-12850</x:v>
      </x:c>
      <x:c r="D7906" t="str">
        <x:v>Dan Campbell</x:v>
      </x:c>
      <x:c r="E7906" t="str">
        <x:v>Consumer</x:v>
      </x:c>
      <x:c r="F7906" t="str">
        <x:v>South</x:v>
      </x:c>
      <x:c r="G7906" t="str">
        <x:v>Furniture</x:v>
      </x:c>
      <x:c r="H7906" t="str">
        <x:v>Furnishings</x:v>
      </x:c>
      <x:c r="I7906" s="22" t="n">
        <x:v>31.983999999999998</x:v>
      </x:c>
      <x:c r="J7906" s="24" t="n">
        <x:v>1</x:v>
      </x:c>
      <x:c r="K7906" s="26" t="n">
        <x:v>0.2</x:v>
      </x:c>
      <x:c r="L7906" s="22" t="n">
        <x:v>0</x:v>
      </x:c>
      <x:c r="M7906" t="n">
        <x:v>2017</x:v>
      </x:c>
      <x:c r="N7906" s="20" t="n">
        <x:v>42948</x:v>
      </x:c>
    </x:row>
    <x:row r="7907" ht="18" customHeight="1">
      <x:c r="A7907" t="str">
        <x:v>CA-2017-128363</x:v>
      </x:c>
      <x:c r="B7907" s="18" t="n">
        <x:v>42960</x:v>
      </x:c>
      <x:c r="C7907" t="str">
        <x:v>DC-12850</x:v>
      </x:c>
      <x:c r="D7907" t="str">
        <x:v>Dan Campbell</x:v>
      </x:c>
      <x:c r="E7907" t="str">
        <x:v>Consumer</x:v>
      </x:c>
      <x:c r="F7907" t="str">
        <x:v>South</x:v>
      </x:c>
      <x:c r="G7907" t="str">
        <x:v>Office Supplies</x:v>
      </x:c>
      <x:c r="H7907" t="str">
        <x:v>Envelopes</x:v>
      </x:c>
      <x:c r="I7907" s="22" t="n">
        <x:v>14.76</x:v>
      </x:c>
      <x:c r="J7907" s="24" t="n">
        <x:v>5</x:v>
      </x:c>
      <x:c r="K7907" s="26" t="n">
        <x:v>0.2</x:v>
      </x:c>
      <x:c r="L7907" s="22" t="n">
        <x:v>4.796999999999999</x:v>
      </x:c>
      <x:c r="M7907" t="n">
        <x:v>2017</x:v>
      </x:c>
      <x:c r="N7907" s="20" t="n">
        <x:v>42948</x:v>
      </x:c>
    </x:row>
    <x:row r="7908" ht="18" customHeight="1">
      <x:c r="A7908" t="str">
        <x:v>CA-2017-128363</x:v>
      </x:c>
      <x:c r="B7908" s="18" t="n">
        <x:v>42960</x:v>
      </x:c>
      <x:c r="C7908" t="str">
        <x:v>DC-12850</x:v>
      </x:c>
      <x:c r="D7908" t="str">
        <x:v>Dan Campbell</x:v>
      </x:c>
      <x:c r="E7908" t="str">
        <x:v>Consumer</x:v>
      </x:c>
      <x:c r="F7908" t="str">
        <x:v>South</x:v>
      </x:c>
      <x:c r="G7908" t="str">
        <x:v>Furniture</x:v>
      </x:c>
      <x:c r="H7908" t="str">
        <x:v>Chairs</x:v>
      </x:c>
      <x:c r="I7908" s="22" t="n">
        <x:v>423.64799999999997</x:v>
      </x:c>
      <x:c r="J7908" s="24" t="n">
        <x:v>2</x:v>
      </x:c>
      <x:c r="K7908" s="26" t="n">
        <x:v>0.2</x:v>
      </x:c>
      <x:c r="L7908" s="22" t="n">
        <x:v>47.66039999999997</x:v>
      </x:c>
      <x:c r="M7908" t="n">
        <x:v>2017</x:v>
      </x:c>
      <x:c r="N7908" s="20" t="n">
        <x:v>42948</x:v>
      </x:c>
    </x:row>
    <x:row r="7909" ht="18" customHeight="1">
      <x:c r="A7909" t="str">
        <x:v>CA-2015-126669</x:v>
      </x:c>
      <x:c r="B7909" s="18" t="n">
        <x:v>42315</x:v>
      </x:c>
      <x:c r="C7909" t="str">
        <x:v>DO-13645</x:v>
      </x:c>
      <x:c r="D7909" t="str">
        <x:v>Doug O'Connell</x:v>
      </x:c>
      <x:c r="E7909" t="str">
        <x:v>Consumer</x:v>
      </x:c>
      <x:c r="F7909" t="str">
        <x:v>Central</x:v>
      </x:c>
      <x:c r="G7909" t="str">
        <x:v>Office Supplies</x:v>
      </x:c>
      <x:c r="H7909" t="str">
        <x:v>Paper</x:v>
      </x:c>
      <x:c r="I7909" s="22" t="n">
        <x:v>76.64</x:v>
      </x:c>
      <x:c r="J7909" s="24" t="n">
        <x:v>2</x:v>
      </x:c>
      <x:c r="K7909" s="26" t="n">
        <x:v>0.2</x:v>
      </x:c>
      <x:c r="L7909" s="22" t="n">
        <x:v>26.823999999999995</x:v>
      </x:c>
      <x:c r="M7909" t="n">
        <x:v>2015</x:v>
      </x:c>
      <x:c r="N7909" s="20" t="n">
        <x:v>42309</x:v>
      </x:c>
    </x:row>
    <x:row r="7910" ht="18" customHeight="1">
      <x:c r="A7910" t="str">
        <x:v>US-2015-118766</x:v>
      </x:c>
      <x:c r="B7910" s="18" t="n">
        <x:v>42292</x:v>
      </x:c>
      <x:c r="C7910" t="str">
        <x:v>LS-16975</x:v>
      </x:c>
      <x:c r="D7910" t="str">
        <x:v>Lindsay Shagiari</x:v>
      </x:c>
      <x:c r="E7910" t="str">
        <x:v>Home Office</x:v>
      </x:c>
      <x:c r="F7910" t="str">
        <x:v>Central</x:v>
      </x:c>
      <x:c r="G7910" t="str">
        <x:v>Office Supplies</x:v>
      </x:c>
      <x:c r="H7910" t="str">
        <x:v>Envelopes</x:v>
      </x:c>
      <x:c r="I7910" s="22" t="n">
        <x:v>4.464</x:v>
      </x:c>
      <x:c r="J7910" s="24" t="n">
        <x:v>1</x:v>
      </x:c>
      <x:c r="K7910" s="26" t="n">
        <x:v>0.2</x:v>
      </x:c>
      <x:c r="L7910" s="22" t="n">
        <x:v>1.674</x:v>
      </x:c>
      <x:c r="M7910" t="n">
        <x:v>2015</x:v>
      </x:c>
      <x:c r="N7910" s="20" t="n">
        <x:v>42278</x:v>
      </x:c>
    </x:row>
    <x:row r="7911" ht="18" customHeight="1">
      <x:c r="A7911" t="str">
        <x:v>US-2015-118766</x:v>
      </x:c>
      <x:c r="B7911" s="18" t="n">
        <x:v>42292</x:v>
      </x:c>
      <x:c r="C7911" t="str">
        <x:v>LS-16975</x:v>
      </x:c>
      <x:c r="D7911" t="str">
        <x:v>Lindsay Shagiari</x:v>
      </x:c>
      <x:c r="E7911" t="str">
        <x:v>Home Office</x:v>
      </x:c>
      <x:c r="F7911" t="str">
        <x:v>Central</x:v>
      </x:c>
      <x:c r="G7911" t="str">
        <x:v>Office Supplies</x:v>
      </x:c>
      <x:c r="H7911" t="str">
        <x:v>Binders</x:v>
      </x:c>
      <x:c r="I7911" s="22" t="n">
        <x:v>3.959999999999999</x:v>
      </x:c>
      <x:c r="J7911" s="24" t="n">
        <x:v>10</x:v>
      </x:c>
      <x:c r="K7911" s="26" t="n">
        <x:v>0.8</x:v>
      </x:c>
      <x:c r="L7911" s="22" t="n">
        <x:v>-6.93</x:v>
      </x:c>
      <x:c r="M7911" t="n">
        <x:v>2015</x:v>
      </x:c>
      <x:c r="N7911" s="20" t="n">
        <x:v>42278</x:v>
      </x:c>
    </x:row>
    <x:row r="7912" ht="18" customHeight="1">
      <x:c r="A7912" t="str">
        <x:v>CA-2016-112585</x:v>
      </x:c>
      <x:c r="B7912" s="18" t="n">
        <x:v>42581</x:v>
      </x:c>
      <x:c r="C7912" t="str">
        <x:v>RW-19630</x:v>
      </x:c>
      <x:c r="D7912" t="str">
        <x:v>Rob Williams</x:v>
      </x:c>
      <x:c r="E7912" t="str">
        <x:v>Corporate</x:v>
      </x:c>
      <x:c r="F7912" t="str">
        <x:v>West</x:v>
      </x:c>
      <x:c r="G7912" t="str">
        <x:v>Office Supplies</x:v>
      </x:c>
      <x:c r="H7912" t="str">
        <x:v>Appliances</x:v>
      </x:c>
      <x:c r="I7912" s="22" t="n">
        <x:v>715.64</x:v>
      </x:c>
      <x:c r="J7912" s="24" t="n">
        <x:v>2</x:v>
      </x:c>
      <x:c r="K7912" s="26" t="n">
        <x:v>0</x:v>
      </x:c>
      <x:c r="L7912" s="22" t="n">
        <x:v>178.90999999999997</x:v>
      </x:c>
      <x:c r="M7912" t="n">
        <x:v>2016</x:v>
      </x:c>
      <x:c r="N7912" s="20" t="n">
        <x:v>42552</x:v>
      </x:c>
    </x:row>
    <x:row r="7913" ht="18" customHeight="1">
      <x:c r="A7913" t="str">
        <x:v>CA-2016-149762</x:v>
      </x:c>
      <x:c r="B7913" s="18" t="n">
        <x:v>42707</x:v>
      </x:c>
      <x:c r="C7913" t="str">
        <x:v>RD-19720</x:v>
      </x:c>
      <x:c r="D7913" t="str">
        <x:v>Roger Demir</x:v>
      </x:c>
      <x:c r="E7913" t="str">
        <x:v>Consumer</x:v>
      </x:c>
      <x:c r="F7913" t="str">
        <x:v>West</x:v>
      </x:c>
      <x:c r="G7913" t="str">
        <x:v>Furniture</x:v>
      </x:c>
      <x:c r="H7913" t="str">
        <x:v>Tables</x:v>
      </x:c>
      <x:c r="I7913" s="22" t="n">
        <x:v>268.704</x:v>
      </x:c>
      <x:c r="J7913" s="24" t="n">
        <x:v>3</x:v>
      </x:c>
      <x:c r="K7913" s="26" t="n">
        <x:v>0.2</x:v>
      </x:c>
      <x:c r="L7913" s="22" t="n">
        <x:v>6.717599999999976</x:v>
      </x:c>
      <x:c r="M7913" t="n">
        <x:v>2016</x:v>
      </x:c>
      <x:c r="N7913" s="20" t="n">
        <x:v>42705</x:v>
      </x:c>
    </x:row>
    <x:row r="7914" ht="18" customHeight="1">
      <x:c r="A7914" t="str">
        <x:v>CA-2016-149762</x:v>
      </x:c>
      <x:c r="B7914" s="18" t="n">
        <x:v>42707</x:v>
      </x:c>
      <x:c r="C7914" t="str">
        <x:v>RD-19720</x:v>
      </x:c>
      <x:c r="D7914" t="str">
        <x:v>Roger Demir</x:v>
      </x:c>
      <x:c r="E7914" t="str">
        <x:v>Consumer</x:v>
      </x:c>
      <x:c r="F7914" t="str">
        <x:v>West</x:v>
      </x:c>
      <x:c r="G7914" t="str">
        <x:v>Office Supplies</x:v>
      </x:c>
      <x:c r="H7914" t="str">
        <x:v>Art</x:v>
      </x:c>
      <x:c r="I7914" s="22" t="n">
        <x:v>21.92</x:v>
      </x:c>
      <x:c r="J7914" s="24" t="n">
        <x:v>8</x:v>
      </x:c>
      <x:c r="K7914" s="26" t="n">
        <x:v>0</x:v>
      </x:c>
      <x:c r="L7914" s="22" t="n">
        <x:v>5.918400000000002</x:v>
      </x:c>
      <x:c r="M7914" t="n">
        <x:v>2016</x:v>
      </x:c>
      <x:c r="N7914" s="20" t="n">
        <x:v>42705</x:v>
      </x:c>
    </x:row>
    <x:row r="7915" ht="18" customHeight="1">
      <x:c r="A7915" t="str">
        <x:v>CA-2016-149762</x:v>
      </x:c>
      <x:c r="B7915" s="18" t="n">
        <x:v>42707</x:v>
      </x:c>
      <x:c r="C7915" t="str">
        <x:v>RD-19720</x:v>
      </x:c>
      <x:c r="D7915" t="str">
        <x:v>Roger Demir</x:v>
      </x:c>
      <x:c r="E7915" t="str">
        <x:v>Consumer</x:v>
      </x:c>
      <x:c r="F7915" t="str">
        <x:v>West</x:v>
      </x:c>
      <x:c r="G7915" t="str">
        <x:v>Office Supplies</x:v>
      </x:c>
      <x:c r="H7915" t="str">
        <x:v>Storage</x:v>
      </x:c>
      <x:c r="I7915" s="22" t="n">
        <x:v>48.72</x:v>
      </x:c>
      <x:c r="J7915" s="24" t="n">
        <x:v>3</x:v>
      </x:c>
      <x:c r="K7915" s="26" t="n">
        <x:v>0</x:v>
      </x:c>
      <x:c r="L7915" s="22" t="n">
        <x:v>7.308</x:v>
      </x:c>
      <x:c r="M7915" t="n">
        <x:v>2016</x:v>
      </x:c>
      <x:c r="N7915" s="20" t="n">
        <x:v>42705</x:v>
      </x:c>
    </x:row>
    <x:row r="7916" ht="18" customHeight="1">
      <x:c r="A7916" t="str">
        <x:v>CA-2016-149762</x:v>
      </x:c>
      <x:c r="B7916" s="18" t="n">
        <x:v>42707</x:v>
      </x:c>
      <x:c r="C7916" t="str">
        <x:v>RD-19720</x:v>
      </x:c>
      <x:c r="D7916" t="str">
        <x:v>Roger Demir</x:v>
      </x:c>
      <x:c r="E7916" t="str">
        <x:v>Consumer</x:v>
      </x:c>
      <x:c r="F7916" t="str">
        <x:v>West</x:v>
      </x:c>
      <x:c r="G7916" t="str">
        <x:v>Furniture</x:v>
      </x:c>
      <x:c r="H7916" t="str">
        <x:v>Bookcases</x:v>
      </x:c>
      <x:c r="I7916" s="22" t="n">
        <x:v>205.666</x:v>
      </x:c>
      <x:c r="J7916" s="24" t="n">
        <x:v>2</x:v>
      </x:c>
      <x:c r="K7916" s="26" t="n">
        <x:v>0.15</x:v>
      </x:c>
      <x:c r="L7916" s="22" t="n">
        <x:v>-12.097999999999999</x:v>
      </x:c>
      <x:c r="M7916" t="n">
        <x:v>2016</x:v>
      </x:c>
      <x:c r="N7916" s="20" t="n">
        <x:v>42705</x:v>
      </x:c>
    </x:row>
    <x:row r="7917" ht="18" customHeight="1">
      <x:c r="A7917" t="str">
        <x:v>CA-2016-167605</x:v>
      </x:c>
      <x:c r="B7917" s="18" t="n">
        <x:v>42488</x:v>
      </x:c>
      <x:c r="C7917" t="str">
        <x:v>RB-19570</x:v>
      </x:c>
      <x:c r="D7917" t="str">
        <x:v>Rob Beeghly</x:v>
      </x:c>
      <x:c r="E7917" t="str">
        <x:v>Consumer</x:v>
      </x:c>
      <x:c r="F7917" t="str">
        <x:v>Central</x:v>
      </x:c>
      <x:c r="G7917" t="str">
        <x:v>Furniture</x:v>
      </x:c>
      <x:c r="H7917" t="str">
        <x:v>Furnishings</x:v>
      </x:c>
      <x:c r="I7917" s="22" t="n">
        <x:v>30.344</x:v>
      </x:c>
      <x:c r="J7917" s="24" t="n">
        <x:v>2</x:v>
      </x:c>
      <x:c r="K7917" s="26" t="n">
        <x:v>0.6</x:v>
      </x:c>
      <x:c r="L7917" s="22" t="n">
        <x:v>-31.861200000000004</x:v>
      </x:c>
      <x:c r="M7917" t="n">
        <x:v>2016</x:v>
      </x:c>
      <x:c r="N7917" s="20" t="n">
        <x:v>42461</x:v>
      </x:c>
    </x:row>
    <x:row r="7918" ht="18" customHeight="1">
      <x:c r="A7918" t="str">
        <x:v>US-2017-105697</x:v>
      </x:c>
      <x:c r="B7918" s="18" t="n">
        <x:v>42972</x:v>
      </x:c>
      <x:c r="C7918" t="str">
        <x:v>JE-15715</x:v>
      </x:c>
      <x:c r="D7918" t="str">
        <x:v>Joe Elijah</x:v>
      </x:c>
      <x:c r="E7918" t="str">
        <x:v>Consumer</x:v>
      </x:c>
      <x:c r="F7918" t="str">
        <x:v>East</x:v>
      </x:c>
      <x:c r="G7918" t="str">
        <x:v>Office Supplies</x:v>
      </x:c>
      <x:c r="H7918" t="str">
        <x:v>Storage</x:v>
      </x:c>
      <x:c r="I7918" s="22" t="n">
        <x:v>25.695999999999998</x:v>
      </x:c>
      <x:c r="J7918" s="24" t="n">
        <x:v>2</x:v>
      </x:c>
      <x:c r="K7918" s="26" t="n">
        <x:v>0.2</x:v>
      </x:c>
      <x:c r="L7918" s="22" t="n">
        <x:v>1.9271999999999991</x:v>
      </x:c>
      <x:c r="M7918" t="n">
        <x:v>2017</x:v>
      </x:c>
      <x:c r="N7918" s="20" t="n">
        <x:v>42948</x:v>
      </x:c>
    </x:row>
    <x:row r="7919" ht="18" customHeight="1">
      <x:c r="A7919" t="str">
        <x:v>CA-2017-165323</x:v>
      </x:c>
      <x:c r="B7919" s="18" t="n">
        <x:v>42903</x:v>
      </x:c>
      <x:c r="C7919" t="str">
        <x:v>SR-20740</x:v>
      </x:c>
      <x:c r="D7919" t="str">
        <x:v>Steven Roelle</x:v>
      </x:c>
      <x:c r="E7919" t="str">
        <x:v>Home Office</x:v>
      </x:c>
      <x:c r="F7919" t="str">
        <x:v>East</x:v>
      </x:c>
      <x:c r="G7919" t="str">
        <x:v>Technology</x:v>
      </x:c>
      <x:c r="H7919" t="str">
        <x:v>Machines</x:v>
      </x:c>
      <x:c r="I7919" s="22" t="n">
        <x:v>3404.5</x:v>
      </x:c>
      <x:c r="J7919" s="24" t="n">
        <x:v>5</x:v>
      </x:c>
      <x:c r="K7919" s="26" t="n">
        <x:v>0</x:v>
      </x:c>
      <x:c r="L7919" s="22" t="n">
        <x:v>1668.205</x:v>
      </x:c>
      <x:c r="M7919" t="n">
        <x:v>2017</x:v>
      </x:c>
      <x:c r="N7919" s="20" t="n">
        <x:v>42887</x:v>
      </x:c>
    </x:row>
    <x:row r="7920" ht="18" customHeight="1">
      <x:c r="A7920" t="str">
        <x:v>CA-2017-165323</x:v>
      </x:c>
      <x:c r="B7920" s="18" t="n">
        <x:v>42903</x:v>
      </x:c>
      <x:c r="C7920" t="str">
        <x:v>SR-20740</x:v>
      </x:c>
      <x:c r="D7920" t="str">
        <x:v>Steven Roelle</x:v>
      </x:c>
      <x:c r="E7920" t="str">
        <x:v>Home Office</x:v>
      </x:c>
      <x:c r="F7920" t="str">
        <x:v>East</x:v>
      </x:c>
      <x:c r="G7920" t="str">
        <x:v>Technology</x:v>
      </x:c>
      <x:c r="H7920" t="str">
        <x:v>Accessories</x:v>
      </x:c>
      <x:c r="I7920" s="22" t="n">
        <x:v>101.34</x:v>
      </x:c>
      <x:c r="J7920" s="24" t="n">
        <x:v>3</x:v>
      </x:c>
      <x:c r="K7920" s="26" t="n">
        <x:v>0</x:v>
      </x:c>
      <x:c r="L7920" s="22" t="n">
        <x:v>8.107199999999992</x:v>
      </x:c>
      <x:c r="M7920" t="n">
        <x:v>2017</x:v>
      </x:c>
      <x:c r="N7920" s="20" t="n">
        <x:v>42887</x:v>
      </x:c>
    </x:row>
    <x:row r="7921" ht="18" customHeight="1">
      <x:c r="A7921" t="str">
        <x:v>CA-2015-110891</x:v>
      </x:c>
      <x:c r="B7921" s="18" t="n">
        <x:v>42328</x:v>
      </x:c>
      <x:c r="C7921" t="str">
        <x:v>PO-19195</x:v>
      </x:c>
      <x:c r="D7921" t="str">
        <x:v>Phillina Ober</x:v>
      </x:c>
      <x:c r="E7921" t="str">
        <x:v>Home Office</x:v>
      </x:c>
      <x:c r="F7921" t="str">
        <x:v>East</x:v>
      </x:c>
      <x:c r="G7921" t="str">
        <x:v>Furniture</x:v>
      </x:c>
      <x:c r="H7921" t="str">
        <x:v>Chairs</x:v>
      </x:c>
      <x:c r="I7921" s="22" t="n">
        <x:v>344.37199999999996</x:v>
      </x:c>
      <x:c r="J7921" s="24" t="n">
        <x:v>4</x:v>
      </x:c>
      <x:c r="K7921" s="26" t="n">
        <x:v>0.3</x:v>
      </x:c>
      <x:c r="L7921" s="22" t="n">
        <x:v>-93.47240000000002</x:v>
      </x:c>
      <x:c r="M7921" t="n">
        <x:v>2015</x:v>
      </x:c>
      <x:c r="N7921" s="20" t="n">
        <x:v>42309</x:v>
      </x:c>
    </x:row>
    <x:row r="7922" ht="18" customHeight="1">
      <x:c r="A7922" t="str">
        <x:v>CA-2017-100783</x:v>
      </x:c>
      <x:c r="B7922" s="18" t="n">
        <x:v>42982</x:v>
      </x:c>
      <x:c r="C7922" t="str">
        <x:v>JK-16120</x:v>
      </x:c>
      <x:c r="D7922" t="str">
        <x:v>Julie Kriz</x:v>
      </x:c>
      <x:c r="E7922" t="str">
        <x:v>Home Office</x:v>
      </x:c>
      <x:c r="F7922" t="str">
        <x:v>Central</x:v>
      </x:c>
      <x:c r="G7922" t="str">
        <x:v>Office Supplies</x:v>
      </x:c>
      <x:c r="H7922" t="str">
        <x:v>Art</x:v>
      </x:c>
      <x:c r="I7922" s="22" t="n">
        <x:v>30.384</x:v>
      </x:c>
      <x:c r="J7922" s="24" t="n">
        <x:v>1</x:v>
      </x:c>
      <x:c r="K7922" s="26" t="n">
        <x:v>0.2</x:v>
      </x:c>
      <x:c r="L7922" s="22" t="n">
        <x:v>3.7979999999999947</x:v>
      </x:c>
      <x:c r="M7922" t="n">
        <x:v>2017</x:v>
      </x:c>
      <x:c r="N7922" s="20" t="n">
        <x:v>42979</x:v>
      </x:c>
    </x:row>
    <x:row r="7923" ht="18" customHeight="1">
      <x:c r="A7923" t="str">
        <x:v>CA-2015-152513</x:v>
      </x:c>
      <x:c r="B7923" s="18" t="n">
        <x:v>42189</x:v>
      </x:c>
      <x:c r="C7923" t="str">
        <x:v>JP-16135</x:v>
      </x:c>
      <x:c r="D7923" t="str">
        <x:v>Julie Prescott</x:v>
      </x:c>
      <x:c r="E7923" t="str">
        <x:v>Home Office</x:v>
      </x:c>
      <x:c r="F7923" t="str">
        <x:v>West</x:v>
      </x:c>
      <x:c r="G7923" t="str">
        <x:v>Office Supplies</x:v>
      </x:c>
      <x:c r="H7923" t="str">
        <x:v>Binders</x:v>
      </x:c>
      <x:c r="I7923" s="22" t="n">
        <x:v>22.848</x:v>
      </x:c>
      <x:c r="J7923" s="24" t="n">
        <x:v>2</x:v>
      </x:c>
      <x:c r="K7923" s="26" t="n">
        <x:v>0.2</x:v>
      </x:c>
      <x:c r="L7923" s="22" t="n">
        <x:v>7.425599999999999</x:v>
      </x:c>
      <x:c r="M7923" t="n">
        <x:v>2015</x:v>
      </x:c>
      <x:c r="N7923" s="20" t="n">
        <x:v>42186</x:v>
      </x:c>
    </x:row>
    <x:row r="7924" ht="18" customHeight="1">
      <x:c r="A7924" t="str">
        <x:v>CA-2017-139822</x:v>
      </x:c>
      <x:c r="B7924" s="18" t="n">
        <x:v>42993</x:v>
      </x:c>
      <x:c r="C7924" t="str">
        <x:v>Dp-13240</x:v>
      </x:c>
      <x:c r="D7924" t="str">
        <x:v>Dean percer</x:v>
      </x:c>
      <x:c r="E7924" t="str">
        <x:v>Home Office</x:v>
      </x:c>
      <x:c r="F7924" t="str">
        <x:v>East</x:v>
      </x:c>
      <x:c r="G7924" t="str">
        <x:v>Office Supplies</x:v>
      </x:c>
      <x:c r="H7924" t="str">
        <x:v>Storage</x:v>
      </x:c>
      <x:c r="I7924" s="22" t="n">
        <x:v>38.62</x:v>
      </x:c>
      <x:c r="J7924" s="24" t="n">
        <x:v>2</x:v>
      </x:c>
      <x:c r="K7924" s="26" t="n">
        <x:v>0</x:v>
      </x:c>
      <x:c r="L7924" s="22" t="n">
        <x:v>10.813600000000001</x:v>
      </x:c>
      <x:c r="M7924" t="n">
        <x:v>2017</x:v>
      </x:c>
      <x:c r="N7924" s="20" t="n">
        <x:v>42979</x:v>
      </x:c>
    </x:row>
    <x:row r="7925" ht="18" customHeight="1">
      <x:c r="A7925" t="str">
        <x:v>CA-2017-139822</x:v>
      </x:c>
      <x:c r="B7925" s="18" t="n">
        <x:v>42993</x:v>
      </x:c>
      <x:c r="C7925" t="str">
        <x:v>Dp-13240</x:v>
      </x:c>
      <x:c r="D7925" t="str">
        <x:v>Dean percer</x:v>
      </x:c>
      <x:c r="E7925" t="str">
        <x:v>Home Office</x:v>
      </x:c>
      <x:c r="F7925" t="str">
        <x:v>East</x:v>
      </x:c>
      <x:c r="G7925" t="str">
        <x:v>Technology</x:v>
      </x:c>
      <x:c r="H7925" t="str">
        <x:v>Accessories</x:v>
      </x:c>
      <x:c r="I7925" s="22" t="n">
        <x:v>59.98</x:v>
      </x:c>
      <x:c r="J7925" s="24" t="n">
        <x:v>2</x:v>
      </x:c>
      <x:c r="K7925" s="26" t="n">
        <x:v>0</x:v>
      </x:c>
      <x:c r="L7925" s="22" t="n">
        <x:v>10.796399999999998</x:v>
      </x:c>
      <x:c r="M7925" t="n">
        <x:v>2017</x:v>
      </x:c>
      <x:c r="N7925" s="20" t="n">
        <x:v>42979</x:v>
      </x:c>
    </x:row>
    <x:row r="7926" ht="18" customHeight="1">
      <x:c r="A7926" t="str">
        <x:v>CA-2017-107713</x:v>
      </x:c>
      <x:c r="B7926" s="18" t="n">
        <x:v>42807</x:v>
      </x:c>
      <x:c r="C7926" t="str">
        <x:v>JB-16000</x:v>
      </x:c>
      <x:c r="D7926" t="str">
        <x:v>Joy Bell-</x:v>
      </x:c>
      <x:c r="E7926" t="str">
        <x:v>Consumer</x:v>
      </x:c>
      <x:c r="F7926" t="str">
        <x:v>East</x:v>
      </x:c>
      <x:c r="G7926" t="str">
        <x:v>Office Supplies</x:v>
      </x:c>
      <x:c r="H7926" t="str">
        <x:v>Binders</x:v>
      </x:c>
      <x:c r="I7926" s="22" t="n">
        <x:v>174.3</x:v>
      </x:c>
      <x:c r="J7926" s="24" t="n">
        <x:v>3</x:v>
      </x:c>
      <x:c r="K7926" s="26" t="n">
        <x:v>0</x:v>
      </x:c>
      <x:c r="L7926" s="22" t="n">
        <x:v>81.92099999999999</x:v>
      </x:c>
      <x:c r="M7926" t="n">
        <x:v>2017</x:v>
      </x:c>
      <x:c r="N7926" s="20" t="n">
        <x:v>42795</x:v>
      </x:c>
    </x:row>
    <x:row r="7927" ht="18" customHeight="1">
      <x:c r="A7927" t="str">
        <x:v>CA-2017-134096</x:v>
      </x:c>
      <x:c r="B7927" s="18" t="n">
        <x:v>43002</x:v>
      </x:c>
      <x:c r="C7927" t="str">
        <x:v>PP-18955</x:v>
      </x:c>
      <x:c r="D7927" t="str">
        <x:v>Paul Prost</x:v>
      </x:c>
      <x:c r="E7927" t="str">
        <x:v>Home Office</x:v>
      </x:c>
      <x:c r="F7927" t="str">
        <x:v>South</x:v>
      </x:c>
      <x:c r="G7927" t="str">
        <x:v>Technology</x:v>
      </x:c>
      <x:c r="H7927" t="str">
        <x:v>Phones</x:v>
      </x:c>
      <x:c r="I7927" s="22" t="n">
        <x:v>383.96000000000004</x:v>
      </x:c>
      <x:c r="J7927" s="24" t="n">
        <x:v>5</x:v>
      </x:c>
      <x:c r="K7927" s="26" t="n">
        <x:v>0.2</x:v>
      </x:c>
      <x:c r="L7927" s="22" t="n">
        <x:v>38.396000000000015</x:v>
      </x:c>
      <x:c r="M7927" t="n">
        <x:v>2017</x:v>
      </x:c>
      <x:c r="N7927" s="20" t="n">
        <x:v>42979</x:v>
      </x:c>
    </x:row>
    <x:row r="7928" ht="18" customHeight="1">
      <x:c r="A7928" t="str">
        <x:v>CA-2017-134096</x:v>
      </x:c>
      <x:c r="B7928" s="18" t="n">
        <x:v>43002</x:v>
      </x:c>
      <x:c r="C7928" t="str">
        <x:v>PP-18955</x:v>
      </x:c>
      <x:c r="D7928" t="str">
        <x:v>Paul Prost</x:v>
      </x:c>
      <x:c r="E7928" t="str">
        <x:v>Home Office</x:v>
      </x:c>
      <x:c r="F7928" t="str">
        <x:v>South</x:v>
      </x:c>
      <x:c r="G7928" t="str">
        <x:v>Office Supplies</x:v>
      </x:c>
      <x:c r="H7928" t="str">
        <x:v>Binders</x:v>
      </x:c>
      <x:c r="I7928" s="22" t="n">
        <x:v>15.570000000000004</x:v>
      </x:c>
      <x:c r="J7928" s="24" t="n">
        <x:v>3</x:v>
      </x:c>
      <x:c r="K7928" s="26" t="n">
        <x:v>0.7</x:v>
      </x:c>
      <x:c r="L7928" s="22" t="n">
        <x:v>-11.418</x:v>
      </x:c>
      <x:c r="M7928" t="n">
        <x:v>2017</x:v>
      </x:c>
      <x:c r="N7928" s="20" t="n">
        <x:v>42979</x:v>
      </x:c>
    </x:row>
    <x:row r="7929" ht="18" customHeight="1">
      <x:c r="A7929" t="str">
        <x:v>CA-2016-125843</x:v>
      </x:c>
      <x:c r="B7929" s="18" t="n">
        <x:v>42595</x:v>
      </x:c>
      <x:c r="C7929" t="str">
        <x:v>RF-19840</x:v>
      </x:c>
      <x:c r="D7929" t="str">
        <x:v>Roy Französisch</x:v>
      </x:c>
      <x:c r="E7929" t="str">
        <x:v>Consumer</x:v>
      </x:c>
      <x:c r="F7929" t="str">
        <x:v>South</x:v>
      </x:c>
      <x:c r="G7929" t="str">
        <x:v>Office Supplies</x:v>
      </x:c>
      <x:c r="H7929" t="str">
        <x:v>Binders</x:v>
      </x:c>
      <x:c r="I7929" s="22" t="n">
        <x:v>22.32</x:v>
      </x:c>
      <x:c r="J7929" s="24" t="n">
        <x:v>4</x:v>
      </x:c>
      <x:c r="K7929" s="26" t="n">
        <x:v>0</x:v>
      </x:c>
      <x:c r="L7929" s="22" t="n">
        <x:v>10.7136</x:v>
      </x:c>
      <x:c r="M7929" t="n">
        <x:v>2016</x:v>
      </x:c>
      <x:c r="N7929" s="20" t="n">
        <x:v>42583</x:v>
      </x:c>
    </x:row>
    <x:row r="7930" ht="18" customHeight="1">
      <x:c r="A7930" t="str">
        <x:v>CA-2016-125843</x:v>
      </x:c>
      <x:c r="B7930" s="18" t="n">
        <x:v>42595</x:v>
      </x:c>
      <x:c r="C7930" t="str">
        <x:v>RF-19840</x:v>
      </x:c>
      <x:c r="D7930" t="str">
        <x:v>Roy Französisch</x:v>
      </x:c>
      <x:c r="E7930" t="str">
        <x:v>Consumer</x:v>
      </x:c>
      <x:c r="F7930" t="str">
        <x:v>South</x:v>
      </x:c>
      <x:c r="G7930" t="str">
        <x:v>Office Supplies</x:v>
      </x:c>
      <x:c r="H7930" t="str">
        <x:v>Labels</x:v>
      </x:c>
      <x:c r="I7930" s="22" t="n">
        <x:v>103.60000000000001</x:v>
      </x:c>
      <x:c r="J7930" s="24" t="n">
        <x:v>7</x:v>
      </x:c>
      <x:c r="K7930" s="26" t="n">
        <x:v>0</x:v>
      </x:c>
      <x:c r="L7930" s="22" t="n">
        <x:v>51.800000000000004</x:v>
      </x:c>
      <x:c r="M7930" t="n">
        <x:v>2016</x:v>
      </x:c>
      <x:c r="N7930" s="20" t="n">
        <x:v>42583</x:v>
      </x:c>
    </x:row>
    <x:row r="7931" ht="18" customHeight="1">
      <x:c r="A7931" t="str">
        <x:v>CA-2017-120404</x:v>
      </x:c>
      <x:c r="B7931" s="18" t="n">
        <x:v>43059</x:v>
      </x:c>
      <x:c r="C7931" t="str">
        <x:v>KH-16330</x:v>
      </x:c>
      <x:c r="D7931" t="str">
        <x:v>Katharine Harms</x:v>
      </x:c>
      <x:c r="E7931" t="str">
        <x:v>Corporate</x:v>
      </x:c>
      <x:c r="F7931" t="str">
        <x:v>East</x:v>
      </x:c>
      <x:c r="G7931" t="str">
        <x:v>Technology</x:v>
      </x:c>
      <x:c r="H7931" t="str">
        <x:v>Accessories</x:v>
      </x:c>
      <x:c r="I7931" s="22" t="n">
        <x:v>2.9699999999999998</x:v>
      </x:c>
      <x:c r="J7931" s="24" t="n">
        <x:v>3</x:v>
      </x:c>
      <x:c r="K7931" s="26" t="n">
        <x:v>0</x:v>
      </x:c>
      <x:c r="L7931" s="22" t="n">
        <x:v>1.3365</x:v>
      </x:c>
      <x:c r="M7931" t="n">
        <x:v>2017</x:v>
      </x:c>
      <x:c r="N7931" s="20" t="n">
        <x:v>43040</x:v>
      </x:c>
    </x:row>
    <x:row r="7932" ht="18" customHeight="1">
      <x:c r="A7932" t="str">
        <x:v>CA-2017-120404</x:v>
      </x:c>
      <x:c r="B7932" s="18" t="n">
        <x:v>43059</x:v>
      </x:c>
      <x:c r="C7932" t="str">
        <x:v>KH-16330</x:v>
      </x:c>
      <x:c r="D7932" t="str">
        <x:v>Katharine Harms</x:v>
      </x:c>
      <x:c r="E7932" t="str">
        <x:v>Corporate</x:v>
      </x:c>
      <x:c r="F7932" t="str">
        <x:v>East</x:v>
      </x:c>
      <x:c r="G7932" t="str">
        <x:v>Technology</x:v>
      </x:c>
      <x:c r="H7932" t="str">
        <x:v>Phones</x:v>
      </x:c>
      <x:c r="I7932" s="22" t="n">
        <x:v>569.99</x:v>
      </x:c>
      <x:c r="J7932" s="24" t="n">
        <x:v>1</x:v>
      </x:c>
      <x:c r="K7932" s="26" t="n">
        <x:v>0</x:v>
      </x:c>
      <x:c r="L7932" s="22" t="n">
        <x:v>170.99699999999996</x:v>
      </x:c>
      <x:c r="M7932" t="n">
        <x:v>2017</x:v>
      </x:c>
      <x:c r="N7932" s="20" t="n">
        <x:v>43040</x:v>
      </x:c>
    </x:row>
    <x:row r="7933" ht="18" customHeight="1">
      <x:c r="A7933" t="str">
        <x:v>CA-2017-120404</x:v>
      </x:c>
      <x:c r="B7933" s="18" t="n">
        <x:v>43059</x:v>
      </x:c>
      <x:c r="C7933" t="str">
        <x:v>KH-16330</x:v>
      </x:c>
      <x:c r="D7933" t="str">
        <x:v>Katharine Harms</x:v>
      </x:c>
      <x:c r="E7933" t="str">
        <x:v>Corporate</x:v>
      </x:c>
      <x:c r="F7933" t="str">
        <x:v>East</x:v>
      </x:c>
      <x:c r="G7933" t="str">
        <x:v>Furniture</x:v>
      </x:c>
      <x:c r="H7933" t="str">
        <x:v>Furnishings</x:v>
      </x:c>
      <x:c r="I7933" s="22" t="n">
        <x:v>50.97</x:v>
      </x:c>
      <x:c r="J7933" s="24" t="n">
        <x:v>3</x:v>
      </x:c>
      <x:c r="K7933" s="26" t="n">
        <x:v>0</x:v>
      </x:c>
      <x:c r="L7933" s="22" t="n">
        <x:v>9.174599999999998</x:v>
      </x:c>
      <x:c r="M7933" t="n">
        <x:v>2017</x:v>
      </x:c>
      <x:c r="N7933" s="20" t="n">
        <x:v>43040</x:v>
      </x:c>
    </x:row>
    <x:row r="7934" ht="18" customHeight="1">
      <x:c r="A7934" t="str">
        <x:v>CA-2017-167549</x:v>
      </x:c>
      <x:c r="B7934" s="18" t="n">
        <x:v>42941</x:v>
      </x:c>
      <x:c r="C7934" t="str">
        <x:v>EM-14200</x:v>
      </x:c>
      <x:c r="D7934" t="str">
        <x:v>Evan Minnotte</x:v>
      </x:c>
      <x:c r="E7934" t="str">
        <x:v>Home Office</x:v>
      </x:c>
      <x:c r="F7934" t="str">
        <x:v>Central</x:v>
      </x:c>
      <x:c r="G7934" t="str">
        <x:v>Furniture</x:v>
      </x:c>
      <x:c r="H7934" t="str">
        <x:v>Tables</x:v>
      </x:c>
      <x:c r="I7934" s="22" t="n">
        <x:v>298.116</x:v>
      </x:c>
      <x:c r="J7934" s="24" t="n">
        <x:v>6</x:v>
      </x:c>
      <x:c r="K7934" s="26" t="n">
        <x:v>0.3</x:v>
      </x:c>
      <x:c r="L7934" s="22" t="n">
        <x:v>-4.258800000000036</x:v>
      </x:c>
      <x:c r="M7934" t="n">
        <x:v>2017</x:v>
      </x:c>
      <x:c r="N7934" s="20" t="n">
        <x:v>42917</x:v>
      </x:c>
    </x:row>
    <x:row r="7935" ht="18" customHeight="1">
      <x:c r="A7935" t="str">
        <x:v>CA-2016-120082</x:v>
      </x:c>
      <x:c r="B7935" s="18" t="n">
        <x:v>42454</x:v>
      </x:c>
      <x:c r="C7935" t="str">
        <x:v>DK-12835</x:v>
      </x:c>
      <x:c r="D7935" t="str">
        <x:v>Damala Kotsonis</x:v>
      </x:c>
      <x:c r="E7935" t="str">
        <x:v>Corporate</x:v>
      </x:c>
      <x:c r="F7935" t="str">
        <x:v>East</x:v>
      </x:c>
      <x:c r="G7935" t="str">
        <x:v>Office Supplies</x:v>
      </x:c>
      <x:c r="H7935" t="str">
        <x:v>Art</x:v>
      </x:c>
      <x:c r="I7935" s="22" t="n">
        <x:v>59.519999999999996</x:v>
      </x:c>
      <x:c r="J7935" s="24" t="n">
        <x:v>3</x:v>
      </x:c>
      <x:c r="K7935" s="26" t="n">
        <x:v>0</x:v>
      </x:c>
      <x:c r="L7935" s="22" t="n">
        <x:v>17.855999999999995</x:v>
      </x:c>
      <x:c r="M7935" t="n">
        <x:v>2016</x:v>
      </x:c>
      <x:c r="N7935" s="20" t="n">
        <x:v>42430</x:v>
      </x:c>
    </x:row>
    <x:row r="7936" ht="18" customHeight="1">
      <x:c r="A7936" t="str">
        <x:v>US-2016-168095</x:v>
      </x:c>
      <x:c r="B7936" s="18" t="n">
        <x:v>42566</x:v>
      </x:c>
      <x:c r="C7936" t="str">
        <x:v>MC-17425</x:v>
      </x:c>
      <x:c r="D7936" t="str">
        <x:v>Mark Cousins</x:v>
      </x:c>
      <x:c r="E7936" t="str">
        <x:v>Corporate</x:v>
      </x:c>
      <x:c r="F7936" t="str">
        <x:v>West</x:v>
      </x:c>
      <x:c r="G7936" t="str">
        <x:v>Furniture</x:v>
      </x:c>
      <x:c r="H7936" t="str">
        <x:v>Chairs</x:v>
      </x:c>
      <x:c r="I7936" s="22" t="n">
        <x:v>230.28000000000003</x:v>
      </x:c>
      <x:c r="J7936" s="24" t="n">
        <x:v>3</x:v>
      </x:c>
      <x:c r="K7936" s="26" t="n">
        <x:v>0.2</x:v>
      </x:c>
      <x:c r="L7936" s="22" t="n">
        <x:v>23.02799999999999</x:v>
      </x:c>
      <x:c r="M7936" t="n">
        <x:v>2016</x:v>
      </x:c>
      <x:c r="N7936" s="20" t="n">
        <x:v>42552</x:v>
      </x:c>
    </x:row>
    <x:row r="7937" ht="18" customHeight="1">
      <x:c r="A7937" t="str">
        <x:v>US-2016-168095</x:v>
      </x:c>
      <x:c r="B7937" s="18" t="n">
        <x:v>42566</x:v>
      </x:c>
      <x:c r="C7937" t="str">
        <x:v>MC-17425</x:v>
      </x:c>
      <x:c r="D7937" t="str">
        <x:v>Mark Cousins</x:v>
      </x:c>
      <x:c r="E7937" t="str">
        <x:v>Corporate</x:v>
      </x:c>
      <x:c r="F7937" t="str">
        <x:v>West</x:v>
      </x:c>
      <x:c r="G7937" t="str">
        <x:v>Office Supplies</x:v>
      </x:c>
      <x:c r="H7937" t="str">
        <x:v>Paper</x:v>
      </x:c>
      <x:c r="I7937" s="22" t="n">
        <x:v>105.52</x:v>
      </x:c>
      <x:c r="J7937" s="24" t="n">
        <x:v>5</x:v>
      </x:c>
      <x:c r="K7937" s="26" t="n">
        <x:v>0.2</x:v>
      </x:c>
      <x:c r="L7937" s="22" t="n">
        <x:v>34.294</x:v>
      </x:c>
      <x:c r="M7937" t="n">
        <x:v>2016</x:v>
      </x:c>
      <x:c r="N7937" s="20" t="n">
        <x:v>42552</x:v>
      </x:c>
    </x:row>
    <x:row r="7938" ht="18" customHeight="1">
      <x:c r="A7938" t="str">
        <x:v>CA-2017-166093</x:v>
      </x:c>
      <x:c r="B7938" s="18" t="n">
        <x:v>42964</x:v>
      </x:c>
      <x:c r="C7938" t="str">
        <x:v>RW-19540</x:v>
      </x:c>
      <x:c r="D7938" t="str">
        <x:v>Rick Wilson</x:v>
      </x:c>
      <x:c r="E7938" t="str">
        <x:v>Corporate</x:v>
      </x:c>
      <x:c r="F7938" t="str">
        <x:v>West</x:v>
      </x:c>
      <x:c r="G7938" t="str">
        <x:v>Office Supplies</x:v>
      </x:c>
      <x:c r="H7938" t="str">
        <x:v>Envelopes</x:v>
      </x:c>
      <x:c r="I7938" s="22" t="n">
        <x:v>23.36</x:v>
      </x:c>
      <x:c r="J7938" s="24" t="n">
        <x:v>2</x:v>
      </x:c>
      <x:c r="K7938" s="26" t="n">
        <x:v>0</x:v>
      </x:c>
      <x:c r="L7938" s="22" t="n">
        <x:v>11.68</x:v>
      </x:c>
      <x:c r="M7938" t="n">
        <x:v>2017</x:v>
      </x:c>
      <x:c r="N7938" s="20" t="n">
        <x:v>42948</x:v>
      </x:c>
    </x:row>
    <x:row r="7939" ht="18" customHeight="1">
      <x:c r="A7939" t="str">
        <x:v>CA-2017-166093</x:v>
      </x:c>
      <x:c r="B7939" s="18" t="n">
        <x:v>42964</x:v>
      </x:c>
      <x:c r="C7939" t="str">
        <x:v>RW-19540</x:v>
      </x:c>
      <x:c r="D7939" t="str">
        <x:v>Rick Wilson</x:v>
      </x:c>
      <x:c r="E7939" t="str">
        <x:v>Corporate</x:v>
      </x:c>
      <x:c r="F7939" t="str">
        <x:v>West</x:v>
      </x:c>
      <x:c r="G7939" t="str">
        <x:v>Technology</x:v>
      </x:c>
      <x:c r="H7939" t="str">
        <x:v>Phones</x:v>
      </x:c>
      <x:c r="I7939" s="22" t="n">
        <x:v>71.976</x:v>
      </x:c>
      <x:c r="J7939" s="24" t="n">
        <x:v>3</x:v>
      </x:c>
      <x:c r="K7939" s="26" t="n">
        <x:v>0.2</x:v>
      </x:c>
      <x:c r="L7939" s="22" t="n">
        <x:v>8.99699999999999</x:v>
      </x:c>
      <x:c r="M7939" t="n">
        <x:v>2017</x:v>
      </x:c>
      <x:c r="N7939" s="20" t="n">
        <x:v>42948</x:v>
      </x:c>
    </x:row>
    <x:row r="7940" ht="18" customHeight="1">
      <x:c r="A7940" t="str">
        <x:v>CA-2017-166093</x:v>
      </x:c>
      <x:c r="B7940" s="18" t="n">
        <x:v>42964</x:v>
      </x:c>
      <x:c r="C7940" t="str">
        <x:v>RW-19540</x:v>
      </x:c>
      <x:c r="D7940" t="str">
        <x:v>Rick Wilson</x:v>
      </x:c>
      <x:c r="E7940" t="str">
        <x:v>Corporate</x:v>
      </x:c>
      <x:c r="F7940" t="str">
        <x:v>West</x:v>
      </x:c>
      <x:c r="G7940" t="str">
        <x:v>Office Supplies</x:v>
      </x:c>
      <x:c r="H7940" t="str">
        <x:v>Paper</x:v>
      </x:c>
      <x:c r="I7940" s="22" t="n">
        <x:v>8.56</x:v>
      </x:c>
      <x:c r="J7940" s="24" t="n">
        <x:v>2</x:v>
      </x:c>
      <x:c r="K7940" s="26" t="n">
        <x:v>0</x:v>
      </x:c>
      <x:c r="L7940" s="22" t="n">
        <x:v>3.8519999999999994</x:v>
      </x:c>
      <x:c r="M7940" t="n">
        <x:v>2017</x:v>
      </x:c>
      <x:c r="N7940" s="20" t="n">
        <x:v>42948</x:v>
      </x:c>
    </x:row>
    <x:row r="7941" ht="18" customHeight="1">
      <x:c r="A7941" t="str">
        <x:v>CA-2017-166093</x:v>
      </x:c>
      <x:c r="B7941" s="18" t="n">
        <x:v>42964</x:v>
      </x:c>
      <x:c r="C7941" t="str">
        <x:v>RW-19540</x:v>
      </x:c>
      <x:c r="D7941" t="str">
        <x:v>Rick Wilson</x:v>
      </x:c>
      <x:c r="E7941" t="str">
        <x:v>Corporate</x:v>
      </x:c>
      <x:c r="F7941" t="str">
        <x:v>West</x:v>
      </x:c>
      <x:c r="G7941" t="str">
        <x:v>Office Supplies</x:v>
      </x:c>
      <x:c r="H7941" t="str">
        <x:v>Binders</x:v>
      </x:c>
      <x:c r="I7941" s="22" t="n">
        <x:v>13.919999999999998</x:v>
      </x:c>
      <x:c r="J7941" s="24" t="n">
        <x:v>3</x:v>
      </x:c>
      <x:c r="K7941" s="26" t="n">
        <x:v>0.2</x:v>
      </x:c>
      <x:c r="L7941" s="22" t="n">
        <x:v>4.872000000000001</x:v>
      </x:c>
      <x:c r="M7941" t="n">
        <x:v>2017</x:v>
      </x:c>
      <x:c r="N7941" s="20" t="n">
        <x:v>42948</x:v>
      </x:c>
    </x:row>
    <x:row r="7942" ht="18" customHeight="1">
      <x:c r="A7942" t="str">
        <x:v>CA-2017-166093</x:v>
      </x:c>
      <x:c r="B7942" s="18" t="n">
        <x:v>42964</x:v>
      </x:c>
      <x:c r="C7942" t="str">
        <x:v>RW-19540</x:v>
      </x:c>
      <x:c r="D7942" t="str">
        <x:v>Rick Wilson</x:v>
      </x:c>
      <x:c r="E7942" t="str">
        <x:v>Corporate</x:v>
      </x:c>
      <x:c r="F7942" t="str">
        <x:v>West</x:v>
      </x:c>
      <x:c r="G7942" t="str">
        <x:v>Office Supplies</x:v>
      </x:c>
      <x:c r="H7942" t="str">
        <x:v>Appliances</x:v>
      </x:c>
      <x:c r="I7942" s="22" t="n">
        <x:v>2518.29</x:v>
      </x:c>
      <x:c r="J7942" s="24" t="n">
        <x:v>9</x:v>
      </x:c>
      <x:c r="K7942" s="26" t="n">
        <x:v>0</x:v>
      </x:c>
      <x:c r="L7942" s="22" t="n">
        <x:v>654.7553999999999</x:v>
      </x:c>
      <x:c r="M7942" t="n">
        <x:v>2017</x:v>
      </x:c>
      <x:c r="N7942" s="20" t="n">
        <x:v>42948</x:v>
      </x:c>
    </x:row>
    <x:row r="7943" ht="18" customHeight="1">
      <x:c r="A7943" t="str">
        <x:v>CA-2017-166093</x:v>
      </x:c>
      <x:c r="B7943" s="18" t="n">
        <x:v>42964</x:v>
      </x:c>
      <x:c r="C7943" t="str">
        <x:v>RW-19540</x:v>
      </x:c>
      <x:c r="D7943" t="str">
        <x:v>Rick Wilson</x:v>
      </x:c>
      <x:c r="E7943" t="str">
        <x:v>Corporate</x:v>
      </x:c>
      <x:c r="F7943" t="str">
        <x:v>West</x:v>
      </x:c>
      <x:c r="G7943" t="str">
        <x:v>Office Supplies</x:v>
      </x:c>
      <x:c r="H7943" t="str">
        <x:v>Storage</x:v>
      </x:c>
      <x:c r="I7943" s="22" t="n">
        <x:v>540.5699999999999</x:v>
      </x:c>
      <x:c r="J7943" s="24" t="n">
        <x:v>3</x:v>
      </x:c>
      <x:c r="K7943" s="26" t="n">
        <x:v>0</x:v>
      </x:c>
      <x:c r="L7943" s="22" t="n">
        <x:v>140.5482</x:v>
      </x:c>
      <x:c r="M7943" t="n">
        <x:v>2017</x:v>
      </x:c>
      <x:c r="N7943" s="20" t="n">
        <x:v>42948</x:v>
      </x:c>
    </x:row>
    <x:row r="7944" ht="18" customHeight="1">
      <x:c r="A7944" t="str">
        <x:v>CA-2017-166093</x:v>
      </x:c>
      <x:c r="B7944" s="18" t="n">
        <x:v>42964</x:v>
      </x:c>
      <x:c r="C7944" t="str">
        <x:v>RW-19540</x:v>
      </x:c>
      <x:c r="D7944" t="str">
        <x:v>Rick Wilson</x:v>
      </x:c>
      <x:c r="E7944" t="str">
        <x:v>Corporate</x:v>
      </x:c>
      <x:c r="F7944" t="str">
        <x:v>West</x:v>
      </x:c>
      <x:c r="G7944" t="str">
        <x:v>Office Supplies</x:v>
      </x:c>
      <x:c r="H7944" t="str">
        <x:v>Binders</x:v>
      </x:c>
      <x:c r="I7944" s="22" t="n">
        <x:v>221.056</x:v>
      </x:c>
      <x:c r="J7944" s="24" t="n">
        <x:v>8</x:v>
      </x:c>
      <x:c r="K7944" s="26" t="n">
        <x:v>0.2</x:v>
      </x:c>
      <x:c r="L7944" s="22" t="n">
        <x:v>77.36959999999999</x:v>
      </x:c>
      <x:c r="M7944" t="n">
        <x:v>2017</x:v>
      </x:c>
      <x:c r="N7944" s="20" t="n">
        <x:v>42948</x:v>
      </x:c>
    </x:row>
    <x:row r="7945" ht="18" customHeight="1">
      <x:c r="A7945" t="str">
        <x:v>CA-2016-146325</x:v>
      </x:c>
      <x:c r="B7945" s="18" t="n">
        <x:v>42718</x:v>
      </x:c>
      <x:c r="C7945" t="str">
        <x:v>DS-13180</x:v>
      </x:c>
      <x:c r="D7945" t="str">
        <x:v>David Smith</x:v>
      </x:c>
      <x:c r="E7945" t="str">
        <x:v>Corporate</x:v>
      </x:c>
      <x:c r="F7945" t="str">
        <x:v>West</x:v>
      </x:c>
      <x:c r="G7945" t="str">
        <x:v>Furniture</x:v>
      </x:c>
      <x:c r="H7945" t="str">
        <x:v>Chairs</x:v>
      </x:c>
      <x:c r="I7945" s="22" t="n">
        <x:v>81.424</x:v>
      </x:c>
      <x:c r="J7945" s="24" t="n">
        <x:v>2</x:v>
      </x:c>
      <x:c r="K7945" s="26" t="n">
        <x:v>0.2</x:v>
      </x:c>
      <x:c r="L7945" s="22" t="n">
        <x:v>-9.160199999999996</x:v>
      </x:c>
      <x:c r="M7945" t="n">
        <x:v>2016</x:v>
      </x:c>
      <x:c r="N7945" s="20" t="n">
        <x:v>42705</x:v>
      </x:c>
    </x:row>
    <x:row r="7946" ht="18" customHeight="1">
      <x:c r="A7946" t="str">
        <x:v>CA-2016-146325</x:v>
      </x:c>
      <x:c r="B7946" s="18" t="n">
        <x:v>42718</x:v>
      </x:c>
      <x:c r="C7946" t="str">
        <x:v>DS-13180</x:v>
      </x:c>
      <x:c r="D7946" t="str">
        <x:v>David Smith</x:v>
      </x:c>
      <x:c r="E7946" t="str">
        <x:v>Corporate</x:v>
      </x:c>
      <x:c r="F7946" t="str">
        <x:v>West</x:v>
      </x:c>
      <x:c r="G7946" t="str">
        <x:v>Office Supplies</x:v>
      </x:c>
      <x:c r="H7946" t="str">
        <x:v>Storage</x:v>
      </x:c>
      <x:c r="I7946" s="22" t="n">
        <x:v>134.8</x:v>
      </x:c>
      <x:c r="J7946" s="24" t="n">
        <x:v>10</x:v>
      </x:c>
      <x:c r="K7946" s="26" t="n">
        <x:v>0</x:v>
      </x:c>
      <x:c r="L7946" s="22" t="n">
        <x:v>35.047999999999995</x:v>
      </x:c>
      <x:c r="M7946" t="n">
        <x:v>2016</x:v>
      </x:c>
      <x:c r="N7946" s="20" t="n">
        <x:v>42705</x:v>
      </x:c>
    </x:row>
    <x:row r="7947" ht="18" customHeight="1">
      <x:c r="A7947" t="str">
        <x:v>CA-2017-134194</x:v>
      </x:c>
      <x:c r="B7947" s="18" t="n">
        <x:v>43094</x:v>
      </x:c>
      <x:c r="C7947" t="str">
        <x:v>GA-14725</x:v>
      </x:c>
      <x:c r="D7947" t="str">
        <x:v>Guy Armstrong</x:v>
      </x:c>
      <x:c r="E7947" t="str">
        <x:v>Consumer</x:v>
      </x:c>
      <x:c r="F7947" t="str">
        <x:v>Central</x:v>
      </x:c>
      <x:c r="G7947" t="str">
        <x:v>Office Supplies</x:v>
      </x:c>
      <x:c r="H7947" t="str">
        <x:v>Binders</x:v>
      </x:c>
      <x:c r="I7947" s="22" t="n">
        <x:v>39.58199999999999</x:v>
      </x:c>
      <x:c r="J7947" s="24" t="n">
        <x:v>9</x:v>
      </x:c>
      <x:c r="K7947" s="26" t="n">
        <x:v>0.8</x:v>
      </x:c>
      <x:c r="L7947" s="22" t="n">
        <x:v>-59.372999999999976</x:v>
      </x:c>
      <x:c r="M7947" t="n">
        <x:v>2017</x:v>
      </x:c>
      <x:c r="N7947" s="20" t="n">
        <x:v>43070</x:v>
      </x:c>
    </x:row>
    <x:row r="7948" ht="18" customHeight="1">
      <x:c r="A7948" t="str">
        <x:v>CA-2017-134194</x:v>
      </x:c>
      <x:c r="B7948" s="18" t="n">
        <x:v>43094</x:v>
      </x:c>
      <x:c r="C7948" t="str">
        <x:v>GA-14725</x:v>
      </x:c>
      <x:c r="D7948" t="str">
        <x:v>Guy Armstrong</x:v>
      </x:c>
      <x:c r="E7948" t="str">
        <x:v>Consumer</x:v>
      </x:c>
      <x:c r="F7948" t="str">
        <x:v>Central</x:v>
      </x:c>
      <x:c r="G7948" t="str">
        <x:v>Office Supplies</x:v>
      </x:c>
      <x:c r="H7948" t="str">
        <x:v>Supplies</x:v>
      </x:c>
      <x:c r="I7948" s="22" t="n">
        <x:v>44.688</x:v>
      </x:c>
      <x:c r="J7948" s="24" t="n">
        <x:v>7</x:v>
      </x:c>
      <x:c r="K7948" s="26" t="n">
        <x:v>0.2</x:v>
      </x:c>
      <x:c r="L7948" s="22" t="n">
        <x:v>5.0273999999999965</x:v>
      </x:c>
      <x:c r="M7948" t="n">
        <x:v>2017</x:v>
      </x:c>
      <x:c r="N7948" s="20" t="n">
        <x:v>43070</x:v>
      </x:c>
    </x:row>
    <x:row r="7949" ht="18" customHeight="1">
      <x:c r="A7949" t="str">
        <x:v>CA-2017-134194</x:v>
      </x:c>
      <x:c r="B7949" s="18" t="n">
        <x:v>43094</x:v>
      </x:c>
      <x:c r="C7949" t="str">
        <x:v>GA-14725</x:v>
      </x:c>
      <x:c r="D7949" t="str">
        <x:v>Guy Armstrong</x:v>
      </x:c>
      <x:c r="E7949" t="str">
        <x:v>Consumer</x:v>
      </x:c>
      <x:c r="F7949" t="str">
        <x:v>Central</x:v>
      </x:c>
      <x:c r="G7949" t="str">
        <x:v>Office Supplies</x:v>
      </x:c>
      <x:c r="H7949" t="str">
        <x:v>Art</x:v>
      </x:c>
      <x:c r="I7949" s="22" t="n">
        <x:v>31.744</x:v>
      </x:c>
      <x:c r="J7949" s="24" t="n">
        <x:v>2</x:v>
      </x:c>
      <x:c r="K7949" s="26" t="n">
        <x:v>0.2</x:v>
      </x:c>
      <x:c r="L7949" s="22" t="n">
        <x:v>2.3808000000000007</x:v>
      </x:c>
      <x:c r="M7949" t="n">
        <x:v>2017</x:v>
      </x:c>
      <x:c r="N7949" s="20" t="n">
        <x:v>43070</x:v>
      </x:c>
    </x:row>
    <x:row r="7950" ht="18" customHeight="1">
      <x:c r="A7950" t="str">
        <x:v>CA-2017-134194</x:v>
      </x:c>
      <x:c r="B7950" s="18" t="n">
        <x:v>43094</x:v>
      </x:c>
      <x:c r="C7950" t="str">
        <x:v>GA-14725</x:v>
      </x:c>
      <x:c r="D7950" t="str">
        <x:v>Guy Armstrong</x:v>
      </x:c>
      <x:c r="E7950" t="str">
        <x:v>Consumer</x:v>
      </x:c>
      <x:c r="F7950" t="str">
        <x:v>Central</x:v>
      </x:c>
      <x:c r="G7950" t="str">
        <x:v>Office Supplies</x:v>
      </x:c>
      <x:c r="H7950" t="str">
        <x:v>Binders</x:v>
      </x:c>
      <x:c r="I7950" s="22" t="n">
        <x:v>40.97999999999999</x:v>
      </x:c>
      <x:c r="J7950" s="24" t="n">
        <x:v>5</x:v>
      </x:c>
      <x:c r="K7950" s="26" t="n">
        <x:v>0.8</x:v>
      </x:c>
      <x:c r="L7950" s="22" t="n">
        <x:v>-65.568</x:v>
      </x:c>
      <x:c r="M7950" t="n">
        <x:v>2017</x:v>
      </x:c>
      <x:c r="N7950" s="20" t="n">
        <x:v>43070</x:v>
      </x:c>
    </x:row>
    <x:row r="7951" ht="18" customHeight="1">
      <x:c r="A7951" t="str">
        <x:v>CA-2017-134194</x:v>
      </x:c>
      <x:c r="B7951" s="18" t="n">
        <x:v>43094</x:v>
      </x:c>
      <x:c r="C7951" t="str">
        <x:v>GA-14725</x:v>
      </x:c>
      <x:c r="D7951" t="str">
        <x:v>Guy Armstrong</x:v>
      </x:c>
      <x:c r="E7951" t="str">
        <x:v>Consumer</x:v>
      </x:c>
      <x:c r="F7951" t="str">
        <x:v>Central</x:v>
      </x:c>
      <x:c r="G7951" t="str">
        <x:v>Office Supplies</x:v>
      </x:c>
      <x:c r="H7951" t="str">
        <x:v>Binders</x:v>
      </x:c>
      <x:c r="I7951" s="22" t="n">
        <x:v>3.1679999999999993</x:v>
      </x:c>
      <x:c r="J7951" s="24" t="n">
        <x:v>3</x:v>
      </x:c>
      <x:c r="K7951" s="26" t="n">
        <x:v>0.8</x:v>
      </x:c>
      <x:c r="L7951" s="22" t="n">
        <x:v>-5.0687999999999995</x:v>
      </x:c>
      <x:c r="M7951" t="n">
        <x:v>2017</x:v>
      </x:c>
      <x:c r="N7951" s="20" t="n">
        <x:v>43070</x:v>
      </x:c>
    </x:row>
    <x:row r="7952" ht="18" customHeight="1">
      <x:c r="A7952" t="str">
        <x:v>CA-2014-131009</x:v>
      </x:c>
      <x:c r="B7952" s="18" t="n">
        <x:v>41699</x:v>
      </x:c>
      <x:c r="C7952" t="str">
        <x:v>SC-20380</x:v>
      </x:c>
      <x:c r="D7952" t="str">
        <x:v>Shahid Collister</x:v>
      </x:c>
      <x:c r="E7952" t="str">
        <x:v>Consumer</x:v>
      </x:c>
      <x:c r="F7952" t="str">
        <x:v>Central</x:v>
      </x:c>
      <x:c r="G7952" t="str">
        <x:v>Office Supplies</x:v>
      </x:c>
      <x:c r="H7952" t="str">
        <x:v>Fasteners</x:v>
      </x:c>
      <x:c r="I7952" s="22" t="n">
        <x:v>18.84</x:v>
      </x:c>
      <x:c r="J7952" s="24" t="n">
        <x:v>5</x:v>
      </x:c>
      <x:c r="K7952" s="26" t="n">
        <x:v>0.2</x:v>
      </x:c>
      <x:c r="L7952" s="22" t="n">
        <x:v>-3.5324999999999998</x:v>
      </x:c>
      <x:c r="M7952" t="n">
        <x:v>2014</x:v>
      </x:c>
      <x:c r="N7952" s="20" t="n">
        <x:v>41699</x:v>
      </x:c>
    </x:row>
    <x:row r="7953" ht="18" customHeight="1">
      <x:c r="A7953" t="str">
        <x:v>CA-2014-131009</x:v>
      </x:c>
      <x:c r="B7953" s="18" t="n">
        <x:v>41699</x:v>
      </x:c>
      <x:c r="C7953" t="str">
        <x:v>SC-20380</x:v>
      </x:c>
      <x:c r="D7953" t="str">
        <x:v>Shahid Collister</x:v>
      </x:c>
      <x:c r="E7953" t="str">
        <x:v>Consumer</x:v>
      </x:c>
      <x:c r="F7953" t="str">
        <x:v>Central</x:v>
      </x:c>
      <x:c r="G7953" t="str">
        <x:v>Furniture</x:v>
      </x:c>
      <x:c r="H7953" t="str">
        <x:v>Chairs</x:v>
      </x:c>
      <x:c r="I7953" s="22" t="n">
        <x:v>362.24999999999994</x:v>
      </x:c>
      <x:c r="J7953" s="24" t="n">
        <x:v>6</x:v>
      </x:c>
      <x:c r="K7953" s="26" t="n">
        <x:v>0.3</x:v>
      </x:c>
      <x:c r="L7953" s="22" t="n">
        <x:v>0</x:v>
      </x:c>
      <x:c r="M7953" t="n">
        <x:v>2014</x:v>
      </x:c>
      <x:c r="N7953" s="20" t="n">
        <x:v>41699</x:v>
      </x:c>
    </x:row>
    <x:row r="7954" ht="18" customHeight="1">
      <x:c r="A7954" t="str">
        <x:v>CA-2014-131009</x:v>
      </x:c>
      <x:c r="B7954" s="18" t="n">
        <x:v>41699</x:v>
      </x:c>
      <x:c r="C7954" t="str">
        <x:v>SC-20380</x:v>
      </x:c>
      <x:c r="D7954" t="str">
        <x:v>Shahid Collister</x:v>
      </x:c>
      <x:c r="E7954" t="str">
        <x:v>Consumer</x:v>
      </x:c>
      <x:c r="F7954" t="str">
        <x:v>Central</x:v>
      </x:c>
      <x:c r="G7954" t="str">
        <x:v>Furniture</x:v>
      </x:c>
      <x:c r="H7954" t="str">
        <x:v>Furnishings</x:v>
      </x:c>
      <x:c r="I7954" s="22" t="n">
        <x:v>63.55200000000001</x:v>
      </x:c>
      <x:c r="J7954" s="24" t="n">
        <x:v>6</x:v>
      </x:c>
      <x:c r="K7954" s="26" t="n">
        <x:v>0.6</x:v>
      </x:c>
      <x:c r="L7954" s="22" t="n">
        <x:v>-34.9536</x:v>
      </x:c>
      <x:c r="M7954" t="n">
        <x:v>2014</x:v>
      </x:c>
      <x:c r="N7954" s="20" t="n">
        <x:v>41699</x:v>
      </x:c>
    </x:row>
    <x:row r="7955" ht="18" customHeight="1">
      <x:c r="A7955" t="str">
        <x:v>CA-2014-131009</x:v>
      </x:c>
      <x:c r="B7955" s="18" t="n">
        <x:v>41699</x:v>
      </x:c>
      <x:c r="C7955" t="str">
        <x:v>SC-20380</x:v>
      </x:c>
      <x:c r="D7955" t="str">
        <x:v>Shahid Collister</x:v>
      </x:c>
      <x:c r="E7955" t="str">
        <x:v>Consumer</x:v>
      </x:c>
      <x:c r="F7955" t="str">
        <x:v>Central</x:v>
      </x:c>
      <x:c r="G7955" t="str">
        <x:v>Office Supplies</x:v>
      </x:c>
      <x:c r="H7955" t="str">
        <x:v>Storage</x:v>
      </x:c>
      <x:c r="I7955" s="22" t="n">
        <x:v>129.552</x:v>
      </x:c>
      <x:c r="J7955" s="24" t="n">
        <x:v>3</x:v>
      </x:c>
      <x:c r="K7955" s="26" t="n">
        <x:v>0.2</x:v>
      </x:c>
      <x:c r="L7955" s="22" t="n">
        <x:v>-22.671600000000005</x:v>
      </x:c>
      <x:c r="M7955" t="n">
        <x:v>2014</x:v>
      </x:c>
      <x:c r="N7955" s="20" t="n">
        <x:v>41699</x:v>
      </x:c>
    </x:row>
    <x:row r="7956" ht="18" customHeight="1">
      <x:c r="A7956" t="str">
        <x:v>CA-2015-145814</x:v>
      </x:c>
      <x:c r="B7956" s="18" t="n">
        <x:v>42327</x:v>
      </x:c>
      <x:c r="C7956" t="str">
        <x:v>KD-16345</x:v>
      </x:c>
      <x:c r="D7956" t="str">
        <x:v>Katherine Ducich</x:v>
      </x:c>
      <x:c r="E7956" t="str">
        <x:v>Consumer</x:v>
      </x:c>
      <x:c r="F7956" t="str">
        <x:v>East</x:v>
      </x:c>
      <x:c r="G7956" t="str">
        <x:v>Office Supplies</x:v>
      </x:c>
      <x:c r="H7956" t="str">
        <x:v>Binders</x:v>
      </x:c>
      <x:c r="I7956" s="22" t="n">
        <x:v>5.984000000000001</x:v>
      </x:c>
      <x:c r="J7956" s="24" t="n">
        <x:v>2</x:v>
      </x:c>
      <x:c r="K7956" s="26" t="n">
        <x:v>0.2</x:v>
      </x:c>
      <x:c r="L7956" s="22" t="n">
        <x:v>2.2439999999999998</x:v>
      </x:c>
      <x:c r="M7956" t="n">
        <x:v>2015</x:v>
      </x:c>
      <x:c r="N7956" s="20" t="n">
        <x:v>42309</x:v>
      </x:c>
    </x:row>
    <x:row r="7957" ht="18" customHeight="1">
      <x:c r="A7957" t="str">
        <x:v>CA-2015-145814</x:v>
      </x:c>
      <x:c r="B7957" s="18" t="n">
        <x:v>42327</x:v>
      </x:c>
      <x:c r="C7957" t="str">
        <x:v>KD-16345</x:v>
      </x:c>
      <x:c r="D7957" t="str">
        <x:v>Katherine Ducich</x:v>
      </x:c>
      <x:c r="E7957" t="str">
        <x:v>Consumer</x:v>
      </x:c>
      <x:c r="F7957" t="str">
        <x:v>East</x:v>
      </x:c>
      <x:c r="G7957" t="str">
        <x:v>Technology</x:v>
      </x:c>
      <x:c r="H7957" t="str">
        <x:v>Phones</x:v>
      </x:c>
      <x:c r="I7957" s="22" t="n">
        <x:v>861.76</x:v>
      </x:c>
      <x:c r="J7957" s="24" t="n">
        <x:v>4</x:v>
      </x:c>
      <x:c r="K7957" s="26" t="n">
        <x:v>0</x:v>
      </x:c>
      <x:c r="L7957" s="22" t="n">
        <x:v>249.91039999999998</x:v>
      </x:c>
      <x:c r="M7957" t="n">
        <x:v>2015</x:v>
      </x:c>
      <x:c r="N7957" s="20" t="n">
        <x:v>42309</x:v>
      </x:c>
    </x:row>
    <x:row r="7958" ht="18" customHeight="1">
      <x:c r="A7958" t="str">
        <x:v>CA-2014-138359</x:v>
      </x:c>
      <x:c r="B7958" s="18" t="n">
        <x:v>41730</x:v>
      </x:c>
      <x:c r="C7958" t="str">
        <x:v>KH-16330</x:v>
      </x:c>
      <x:c r="D7958" t="str">
        <x:v>Katharine Harms</x:v>
      </x:c>
      <x:c r="E7958" t="str">
        <x:v>Corporate</x:v>
      </x:c>
      <x:c r="F7958" t="str">
        <x:v>East</x:v>
      </x:c>
      <x:c r="G7958" t="str">
        <x:v>Office Supplies</x:v>
      </x:c>
      <x:c r="H7958" t="str">
        <x:v>Storage</x:v>
      </x:c>
      <x:c r="I7958" s="22" t="n">
        <x:v>66.96</x:v>
      </x:c>
      <x:c r="J7958" s="24" t="n">
        <x:v>4</x:v>
      </x:c>
      <x:c r="K7958" s="26" t="n">
        <x:v>0</x:v>
      </x:c>
      <x:c r="L7958" s="22" t="n">
        <x:v>2.6783999999999963</x:v>
      </x:c>
      <x:c r="M7958" t="n">
        <x:v>2014</x:v>
      </x:c>
      <x:c r="N7958" s="20" t="n">
        <x:v>41730</x:v>
      </x:c>
    </x:row>
    <x:row r="7959" ht="18" customHeight="1">
      <x:c r="A7959" t="str">
        <x:v>CA-2014-138359</x:v>
      </x:c>
      <x:c r="B7959" s="18" t="n">
        <x:v>41730</x:v>
      </x:c>
      <x:c r="C7959" t="str">
        <x:v>KH-16330</x:v>
      </x:c>
      <x:c r="D7959" t="str">
        <x:v>Katharine Harms</x:v>
      </x:c>
      <x:c r="E7959" t="str">
        <x:v>Corporate</x:v>
      </x:c>
      <x:c r="F7959" t="str">
        <x:v>East</x:v>
      </x:c>
      <x:c r="G7959" t="str">
        <x:v>Office Supplies</x:v>
      </x:c>
      <x:c r="H7959" t="str">
        <x:v>Binders</x:v>
      </x:c>
      <x:c r="I7959" s="22" t="n">
        <x:v>6.24</x:v>
      </x:c>
      <x:c r="J7959" s="24" t="n">
        <x:v>2</x:v>
      </x:c>
      <x:c r="K7959" s="26" t="n">
        <x:v>0</x:v>
      </x:c>
      <x:c r="L7959" s="22" t="n">
        <x:v>3.0576</x:v>
      </x:c>
      <x:c r="M7959" t="n">
        <x:v>2014</x:v>
      </x:c>
      <x:c r="N7959" s="20" t="n">
        <x:v>41730</x:v>
      </x:c>
    </x:row>
    <x:row r="7960" ht="18" customHeight="1">
      <x:c r="A7960" t="str">
        <x:v>CA-2017-131807</x:v>
      </x:c>
      <x:c r="B7960" s="18" t="n">
        <x:v>43013</x:v>
      </x:c>
      <x:c r="C7960" t="str">
        <x:v>GG-14650</x:v>
      </x:c>
      <x:c r="D7960" t="str">
        <x:v>Greg Guthrie</x:v>
      </x:c>
      <x:c r="E7960" t="str">
        <x:v>Corporate</x:v>
      </x:c>
      <x:c r="F7960" t="str">
        <x:v>West</x:v>
      </x:c>
      <x:c r="G7960" t="str">
        <x:v>Furniture</x:v>
      </x:c>
      <x:c r="H7960" t="str">
        <x:v>Chairs</x:v>
      </x:c>
      <x:c r="I7960" s="22" t="n">
        <x:v>435.16800000000006</x:v>
      </x:c>
      <x:c r="J7960" s="24" t="n">
        <x:v>4</x:v>
      </x:c>
      <x:c r="K7960" s="26" t="n">
        <x:v>0.2</x:v>
      </x:c>
      <x:c r="L7960" s="22" t="n">
        <x:v>-59.83560000000004</x:v>
      </x:c>
      <x:c r="M7960" t="n">
        <x:v>2017</x:v>
      </x:c>
      <x:c r="N7960" s="20" t="n">
        <x:v>43009</x:v>
      </x:c>
    </x:row>
    <x:row r="7961" ht="18" customHeight="1">
      <x:c r="A7961" t="str">
        <x:v>CA-2017-131807</x:v>
      </x:c>
      <x:c r="B7961" s="18" t="n">
        <x:v>43013</x:v>
      </x:c>
      <x:c r="C7961" t="str">
        <x:v>GG-14650</x:v>
      </x:c>
      <x:c r="D7961" t="str">
        <x:v>Greg Guthrie</x:v>
      </x:c>
      <x:c r="E7961" t="str">
        <x:v>Corporate</x:v>
      </x:c>
      <x:c r="F7961" t="str">
        <x:v>West</x:v>
      </x:c>
      <x:c r="G7961" t="str">
        <x:v>Office Supplies</x:v>
      </x:c>
      <x:c r="H7961" t="str">
        <x:v>Fasteners</x:v>
      </x:c>
      <x:c r="I7961" s="22" t="n">
        <x:v>14.9</x:v>
      </x:c>
      <x:c r="J7961" s="24" t="n">
        <x:v>5</x:v>
      </x:c>
      <x:c r="K7961" s="26" t="n">
        <x:v>0</x:v>
      </x:c>
      <x:c r="L7961" s="22" t="n">
        <x:v>6.853999999999999</x:v>
      </x:c>
      <x:c r="M7961" t="n">
        <x:v>2017</x:v>
      </x:c>
      <x:c r="N7961" s="20" t="n">
        <x:v>43009</x:v>
      </x:c>
    </x:row>
    <x:row r="7962" ht="18" customHeight="1">
      <x:c r="A7962" t="str">
        <x:v>CA-2017-131807</x:v>
      </x:c>
      <x:c r="B7962" s="18" t="n">
        <x:v>43013</x:v>
      </x:c>
      <x:c r="C7962" t="str">
        <x:v>GG-14650</x:v>
      </x:c>
      <x:c r="D7962" t="str">
        <x:v>Greg Guthrie</x:v>
      </x:c>
      <x:c r="E7962" t="str">
        <x:v>Corporate</x:v>
      </x:c>
      <x:c r="F7962" t="str">
        <x:v>West</x:v>
      </x:c>
      <x:c r="G7962" t="str">
        <x:v>Office Supplies</x:v>
      </x:c>
      <x:c r="H7962" t="str">
        <x:v>Appliances</x:v>
      </x:c>
      <x:c r="I7962" s="22" t="n">
        <x:v>15.8</x:v>
      </x:c>
      <x:c r="J7962" s="24" t="n">
        <x:v>4</x:v>
      </x:c>
      <x:c r="K7962" s="26" t="n">
        <x:v>0</x:v>
      </x:c>
      <x:c r="L7962" s="22" t="n">
        <x:v>4.1080000000000005</x:v>
      </x:c>
      <x:c r="M7962" t="n">
        <x:v>2017</x:v>
      </x:c>
      <x:c r="N7962" s="20" t="n">
        <x:v>43009</x:v>
      </x:c>
    </x:row>
    <x:row r="7963" ht="18" customHeight="1">
      <x:c r="A7963" t="str">
        <x:v>CA-2017-131807</x:v>
      </x:c>
      <x:c r="B7963" s="18" t="n">
        <x:v>43013</x:v>
      </x:c>
      <x:c r="C7963" t="str">
        <x:v>GG-14650</x:v>
      </x:c>
      <x:c r="D7963" t="str">
        <x:v>Greg Guthrie</x:v>
      </x:c>
      <x:c r="E7963" t="str">
        <x:v>Corporate</x:v>
      </x:c>
      <x:c r="F7963" t="str">
        <x:v>West</x:v>
      </x:c>
      <x:c r="G7963" t="str">
        <x:v>Furniture</x:v>
      </x:c>
      <x:c r="H7963" t="str">
        <x:v>Furnishings</x:v>
      </x:c>
      <x:c r="I7963" s="22" t="n">
        <x:v>72.9</x:v>
      </x:c>
      <x:c r="J7963" s="24" t="n">
        <x:v>5</x:v>
      </x:c>
      <x:c r="K7963" s="26" t="n">
        <x:v>0</x:v>
      </x:c>
      <x:c r="L7963" s="22" t="n">
        <x:v>26.973000000000003</x:v>
      </x:c>
      <x:c r="M7963" t="n">
        <x:v>2017</x:v>
      </x:c>
      <x:c r="N7963" s="20" t="n">
        <x:v>43009</x:v>
      </x:c>
    </x:row>
    <x:row r="7964" ht="18" customHeight="1">
      <x:c r="A7964" t="str">
        <x:v>CA-2017-131807</x:v>
      </x:c>
      <x:c r="B7964" s="18" t="n">
        <x:v>43013</x:v>
      </x:c>
      <x:c r="C7964" t="str">
        <x:v>GG-14650</x:v>
      </x:c>
      <x:c r="D7964" t="str">
        <x:v>Greg Guthrie</x:v>
      </x:c>
      <x:c r="E7964" t="str">
        <x:v>Corporate</x:v>
      </x:c>
      <x:c r="F7964" t="str">
        <x:v>West</x:v>
      </x:c>
      <x:c r="G7964" t="str">
        <x:v>Furniture</x:v>
      </x:c>
      <x:c r="H7964" t="str">
        <x:v>Tables</x:v>
      </x:c>
      <x:c r="I7964" s="22" t="n">
        <x:v>206.35200000000003</x:v>
      </x:c>
      <x:c r="J7964" s="24" t="n">
        <x:v>3</x:v>
      </x:c>
      <x:c r="K7964" s="26" t="n">
        <x:v>0.2</x:v>
      </x:c>
      <x:c r="L7964" s="22" t="n">
        <x:v>5.158799999999985</x:v>
      </x:c>
      <x:c r="M7964" t="n">
        <x:v>2017</x:v>
      </x:c>
      <x:c r="N7964" s="20" t="n">
        <x:v>43009</x:v>
      </x:c>
    </x:row>
    <x:row r="7965" ht="18" customHeight="1">
      <x:c r="A7965" t="str">
        <x:v>CA-2017-131807</x:v>
      </x:c>
      <x:c r="B7965" s="18" t="n">
        <x:v>43013</x:v>
      </x:c>
      <x:c r="C7965" t="str">
        <x:v>GG-14650</x:v>
      </x:c>
      <x:c r="D7965" t="str">
        <x:v>Greg Guthrie</x:v>
      </x:c>
      <x:c r="E7965" t="str">
        <x:v>Corporate</x:v>
      </x:c>
      <x:c r="F7965" t="str">
        <x:v>West</x:v>
      </x:c>
      <x:c r="G7965" t="str">
        <x:v>Technology</x:v>
      </x:c>
      <x:c r="H7965" t="str">
        <x:v>Phones</x:v>
      </x:c>
      <x:c r="I7965" s="22" t="n">
        <x:v>7.992000000000001</x:v>
      </x:c>
      <x:c r="J7965" s="24" t="n">
        <x:v>1</x:v>
      </x:c>
      <x:c r="K7965" s="26" t="n">
        <x:v>0.2</x:v>
      </x:c>
      <x:c r="L7965" s="22" t="n">
        <x:v>2.6972999999999994</x:v>
      </x:c>
      <x:c r="M7965" t="n">
        <x:v>2017</x:v>
      </x:c>
      <x:c r="N7965" s="20" t="n">
        <x:v>43009</x:v>
      </x:c>
    </x:row>
    <x:row r="7966" ht="18" customHeight="1">
      <x:c r="A7966" t="str">
        <x:v>CA-2017-104864</x:v>
      </x:c>
      <x:c r="B7966" s="18" t="n">
        <x:v>43057</x:v>
      </x:c>
      <x:c r="C7966" t="str">
        <x:v>JS-15685</x:v>
      </x:c>
      <x:c r="D7966" t="str">
        <x:v>Jim Sink</x:v>
      </x:c>
      <x:c r="E7966" t="str">
        <x:v>Corporate</x:v>
      </x:c>
      <x:c r="F7966" t="str">
        <x:v>South</x:v>
      </x:c>
      <x:c r="G7966" t="str">
        <x:v>Office Supplies</x:v>
      </x:c>
      <x:c r="H7966" t="str">
        <x:v>Storage</x:v>
      </x:c>
      <x:c r="I7966" s="22" t="n">
        <x:v>81.36000000000001</x:v>
      </x:c>
      <x:c r="J7966" s="24" t="n">
        <x:v>5</x:v>
      </x:c>
      <x:c r="K7966" s="26" t="n">
        <x:v>0.2</x:v>
      </x:c>
      <x:c r="L7966" s="22" t="n">
        <x:v>-19.32300000000001</x:v>
      </x:c>
      <x:c r="M7966" t="n">
        <x:v>2017</x:v>
      </x:c>
      <x:c r="N7966" s="20" t="n">
        <x:v>43040</x:v>
      </x:c>
    </x:row>
    <x:row r="7967" ht="18" customHeight="1">
      <x:c r="A7967" t="str">
        <x:v>CA-2017-104864</x:v>
      </x:c>
      <x:c r="B7967" s="18" t="n">
        <x:v>43057</x:v>
      </x:c>
      <x:c r="C7967" t="str">
        <x:v>JS-15685</x:v>
      </x:c>
      <x:c r="D7967" t="str">
        <x:v>Jim Sink</x:v>
      </x:c>
      <x:c r="E7967" t="str">
        <x:v>Corporate</x:v>
      </x:c>
      <x:c r="F7967" t="str">
        <x:v>South</x:v>
      </x:c>
      <x:c r="G7967" t="str">
        <x:v>Office Supplies</x:v>
      </x:c>
      <x:c r="H7967" t="str">
        <x:v>Binders</x:v>
      </x:c>
      <x:c r="I7967" s="22" t="n">
        <x:v>20.232000000000003</x:v>
      </x:c>
      <x:c r="J7967" s="24" t="n">
        <x:v>8</x:v>
      </x:c>
      <x:c r="K7967" s="26" t="n">
        <x:v>0.7</x:v>
      </x:c>
      <x:c r="L7967" s="22" t="n">
        <x:v>-16.1856</x:v>
      </x:c>
      <x:c r="M7967" t="n">
        <x:v>2017</x:v>
      </x:c>
      <x:c r="N7967" s="20" t="n">
        <x:v>43040</x:v>
      </x:c>
    </x:row>
    <x:row r="7968" ht="18" customHeight="1">
      <x:c r="A7968" t="str">
        <x:v>CA-2017-104864</x:v>
      </x:c>
      <x:c r="B7968" s="18" t="n">
        <x:v>43057</x:v>
      </x:c>
      <x:c r="C7968" t="str">
        <x:v>JS-15685</x:v>
      </x:c>
      <x:c r="D7968" t="str">
        <x:v>Jim Sink</x:v>
      </x:c>
      <x:c r="E7968" t="str">
        <x:v>Corporate</x:v>
      </x:c>
      <x:c r="F7968" t="str">
        <x:v>South</x:v>
      </x:c>
      <x:c r="G7968" t="str">
        <x:v>Office Supplies</x:v>
      </x:c>
      <x:c r="H7968" t="str">
        <x:v>Appliances</x:v>
      </x:c>
      <x:c r="I7968" s="22" t="n">
        <x:v>389.05600000000004</x:v>
      </x:c>
      <x:c r="J7968" s="24" t="n">
        <x:v>4</x:v>
      </x:c>
      <x:c r="K7968" s="26" t="n">
        <x:v>0.2</x:v>
      </x:c>
      <x:c r="L7968" s="22" t="n">
        <x:v>48.63199999999995</x:v>
      </x:c>
      <x:c r="M7968" t="n">
        <x:v>2017</x:v>
      </x:c>
      <x:c r="N7968" s="20" t="n">
        <x:v>43040</x:v>
      </x:c>
    </x:row>
    <x:row r="7969" ht="18" customHeight="1">
      <x:c r="A7969" t="str">
        <x:v>CA-2017-104864</x:v>
      </x:c>
      <x:c r="B7969" s="18" t="n">
        <x:v>43057</x:v>
      </x:c>
      <x:c r="C7969" t="str">
        <x:v>JS-15685</x:v>
      </x:c>
      <x:c r="D7969" t="str">
        <x:v>Jim Sink</x:v>
      </x:c>
      <x:c r="E7969" t="str">
        <x:v>Corporate</x:v>
      </x:c>
      <x:c r="F7969" t="str">
        <x:v>South</x:v>
      </x:c>
      <x:c r="G7969" t="str">
        <x:v>Office Supplies</x:v>
      </x:c>
      <x:c r="H7969" t="str">
        <x:v>Paper</x:v>
      </x:c>
      <x:c r="I7969" s="22" t="n">
        <x:v>20.736000000000004</x:v>
      </x:c>
      <x:c r="J7969" s="24" t="n">
        <x:v>4</x:v>
      </x:c>
      <x:c r="K7969" s="26" t="n">
        <x:v>0.2</x:v>
      </x:c>
      <x:c r="L7969" s="22" t="n">
        <x:v>7.2576</x:v>
      </x:c>
      <x:c r="M7969" t="n">
        <x:v>2017</x:v>
      </x:c>
      <x:c r="N7969" s="20" t="n">
        <x:v>43040</x:v>
      </x:c>
    </x:row>
    <x:row r="7970" ht="18" customHeight="1">
      <x:c r="A7970" t="str">
        <x:v>CA-2017-104864</x:v>
      </x:c>
      <x:c r="B7970" s="18" t="n">
        <x:v>43057</x:v>
      </x:c>
      <x:c r="C7970" t="str">
        <x:v>JS-15685</x:v>
      </x:c>
      <x:c r="D7970" t="str">
        <x:v>Jim Sink</x:v>
      </x:c>
      <x:c r="E7970" t="str">
        <x:v>Corporate</x:v>
      </x:c>
      <x:c r="F7970" t="str">
        <x:v>South</x:v>
      </x:c>
      <x:c r="G7970" t="str">
        <x:v>Office Supplies</x:v>
      </x:c>
      <x:c r="H7970" t="str">
        <x:v>Paper</x:v>
      </x:c>
      <x:c r="I7970" s="22" t="n">
        <x:v>41.47200000000001</x:v>
      </x:c>
      <x:c r="J7970" s="24" t="n">
        <x:v>8</x:v>
      </x:c>
      <x:c r="K7970" s="26" t="n">
        <x:v>0.2</x:v>
      </x:c>
      <x:c r="L7970" s="22" t="n">
        <x:v>14.5152</x:v>
      </x:c>
      <x:c r="M7970" t="n">
        <x:v>2017</x:v>
      </x:c>
      <x:c r="N7970" s="20" t="n">
        <x:v>43040</x:v>
      </x:c>
    </x:row>
    <x:row r="7971" ht="18" customHeight="1">
      <x:c r="A7971" t="str">
        <x:v>CA-2015-138219</x:v>
      </x:c>
      <x:c r="B7971" s="18" t="n">
        <x:v>42086</x:v>
      </x:c>
      <x:c r="C7971" t="str">
        <x:v>BP-11095</x:v>
      </x:c>
      <x:c r="D7971" t="str">
        <x:v>Bart Pistole</x:v>
      </x:c>
      <x:c r="E7971" t="str">
        <x:v>Corporate</x:v>
      </x:c>
      <x:c r="F7971" t="str">
        <x:v>West</x:v>
      </x:c>
      <x:c r="G7971" t="str">
        <x:v>Office Supplies</x:v>
      </x:c>
      <x:c r="H7971" t="str">
        <x:v>Paper</x:v>
      </x:c>
      <x:c r="I7971" s="22" t="n">
        <x:v>33.36</x:v>
      </x:c>
      <x:c r="J7971" s="24" t="n">
        <x:v>4</x:v>
      </x:c>
      <x:c r="K7971" s="26" t="n">
        <x:v>0</x:v>
      </x:c>
      <x:c r="L7971" s="22" t="n">
        <x:v>16.68</x:v>
      </x:c>
      <x:c r="M7971" t="n">
        <x:v>2015</x:v>
      </x:c>
      <x:c r="N7971" s="20" t="n">
        <x:v>42064</x:v>
      </x:c>
    </x:row>
    <x:row r="7972" ht="18" customHeight="1">
      <x:c r="A7972" t="str">
        <x:v>CA-2016-157707</x:v>
      </x:c>
      <x:c r="B7972" s="18" t="n">
        <x:v>42653</x:v>
      </x:c>
      <x:c r="C7972" t="str">
        <x:v>CC-12610</x:v>
      </x:c>
      <x:c r="D7972" t="str">
        <x:v>Corey Catlett</x:v>
      </x:c>
      <x:c r="E7972" t="str">
        <x:v>Corporate</x:v>
      </x:c>
      <x:c r="F7972" t="str">
        <x:v>West</x:v>
      </x:c>
      <x:c r="G7972" t="str">
        <x:v>Furniture</x:v>
      </x:c>
      <x:c r="H7972" t="str">
        <x:v>Bookcases</x:v>
      </x:c>
      <x:c r="I7972" s="22" t="n">
        <x:v>90.882</x:v>
      </x:c>
      <x:c r="J7972" s="24" t="n">
        <x:v>3</x:v>
      </x:c>
      <x:c r="K7972" s="26" t="n">
        <x:v>0.7</x:v>
      </x:c>
      <x:c r="L7972" s="22" t="n">
        <x:v>-190.85220000000004</x:v>
      </x:c>
      <x:c r="M7972" t="n">
        <x:v>2016</x:v>
      </x:c>
      <x:c r="N7972" s="20" t="n">
        <x:v>42644</x:v>
      </x:c>
    </x:row>
    <x:row r="7973" ht="18" customHeight="1">
      <x:c r="A7973" t="str">
        <x:v>CA-2016-157707</x:v>
      </x:c>
      <x:c r="B7973" s="18" t="n">
        <x:v>42653</x:v>
      </x:c>
      <x:c r="C7973" t="str">
        <x:v>CC-12610</x:v>
      </x:c>
      <x:c r="D7973" t="str">
        <x:v>Corey Catlett</x:v>
      </x:c>
      <x:c r="E7973" t="str">
        <x:v>Corporate</x:v>
      </x:c>
      <x:c r="F7973" t="str">
        <x:v>West</x:v>
      </x:c>
      <x:c r="G7973" t="str">
        <x:v>Technology</x:v>
      </x:c>
      <x:c r="H7973" t="str">
        <x:v>Phones</x:v>
      </x:c>
      <x:c r="I7973" s="22" t="n">
        <x:v>15.991999999999999</x:v>
      </x:c>
      <x:c r="J7973" s="24" t="n">
        <x:v>1</x:v>
      </x:c>
      <x:c r="K7973" s="26" t="n">
        <x:v>0.2</x:v>
      </x:c>
      <x:c r="L7973" s="22" t="n">
        <x:v>-2.998500000000002</x:v>
      </x:c>
      <x:c r="M7973" t="n">
        <x:v>2016</x:v>
      </x:c>
      <x:c r="N7973" s="20" t="n">
        <x:v>42644</x:v>
      </x:c>
    </x:row>
    <x:row r="7974" ht="18" customHeight="1">
      <x:c r="A7974" t="str">
        <x:v>CA-2016-157707</x:v>
      </x:c>
      <x:c r="B7974" s="18" t="n">
        <x:v>42653</x:v>
      </x:c>
      <x:c r="C7974" t="str">
        <x:v>CC-12610</x:v>
      </x:c>
      <x:c r="D7974" t="str">
        <x:v>Corey Catlett</x:v>
      </x:c>
      <x:c r="E7974" t="str">
        <x:v>Corporate</x:v>
      </x:c>
      <x:c r="F7974" t="str">
        <x:v>West</x:v>
      </x:c>
      <x:c r="G7974" t="str">
        <x:v>Furniture</x:v>
      </x:c>
      <x:c r="H7974" t="str">
        <x:v>Chairs</x:v>
      </x:c>
      <x:c r="I7974" s="22" t="n">
        <x:v>120.78399999999999</x:v>
      </x:c>
      <x:c r="J7974" s="24" t="n">
        <x:v>1</x:v>
      </x:c>
      <x:c r="K7974" s="26" t="n">
        <x:v>0.2</x:v>
      </x:c>
      <x:c r="L7974" s="22" t="n">
        <x:v>13.588199999999986</x:v>
      </x:c>
      <x:c r="M7974" t="n">
        <x:v>2016</x:v>
      </x:c>
      <x:c r="N7974" s="20" t="n">
        <x:v>42644</x:v>
      </x:c>
    </x:row>
    <x:row r="7975" ht="18" customHeight="1">
      <x:c r="A7975" t="str">
        <x:v>US-2015-126753</x:v>
      </x:c>
      <x:c r="B7975" s="18" t="n">
        <x:v>42232</x:v>
      </x:c>
      <x:c r="C7975" t="str">
        <x:v>SP-20860</x:v>
      </x:c>
      <x:c r="D7975" t="str">
        <x:v>Sung Pak</x:v>
      </x:c>
      <x:c r="E7975" t="str">
        <x:v>Corporate</x:v>
      </x:c>
      <x:c r="F7975" t="str">
        <x:v>East</x:v>
      </x:c>
      <x:c r="G7975" t="str">
        <x:v>Technology</x:v>
      </x:c>
      <x:c r="H7975" t="str">
        <x:v>Phones</x:v>
      </x:c>
      <x:c r="I7975" s="22" t="n">
        <x:v>519.792</x:v>
      </x:c>
      <x:c r="J7975" s="24" t="n">
        <x:v>4</x:v>
      </x:c>
      <x:c r="K7975" s="26" t="n">
        <x:v>0.4</x:v>
      </x:c>
      <x:c r="L7975" s="22" t="n">
        <x:v>-112.62159999999994</x:v>
      </x:c>
      <x:c r="M7975" t="n">
        <x:v>2015</x:v>
      </x:c>
      <x:c r="N7975" s="20" t="n">
        <x:v>42217</x:v>
      </x:c>
    </x:row>
    <x:row r="7976" ht="18" customHeight="1">
      <x:c r="A7976" t="str">
        <x:v>US-2015-126753</x:v>
      </x:c>
      <x:c r="B7976" s="18" t="n">
        <x:v>42232</x:v>
      </x:c>
      <x:c r="C7976" t="str">
        <x:v>SP-20860</x:v>
      </x:c>
      <x:c r="D7976" t="str">
        <x:v>Sung Pak</x:v>
      </x:c>
      <x:c r="E7976" t="str">
        <x:v>Corporate</x:v>
      </x:c>
      <x:c r="F7976" t="str">
        <x:v>East</x:v>
      </x:c>
      <x:c r="G7976" t="str">
        <x:v>Technology</x:v>
      </x:c>
      <x:c r="H7976" t="str">
        <x:v>Accessories</x:v>
      </x:c>
      <x:c r="I7976" s="22" t="n">
        <x:v>31.176000000000002</x:v>
      </x:c>
      <x:c r="J7976" s="24" t="n">
        <x:v>3</x:v>
      </x:c>
      <x:c r="K7976" s="26" t="n">
        <x:v>0.2</x:v>
      </x:c>
      <x:c r="L7976" s="22" t="n">
        <x:v>-5.4558000000000035</x:v>
      </x:c>
      <x:c r="M7976" t="n">
        <x:v>2015</x:v>
      </x:c>
      <x:c r="N7976" s="20" t="n">
        <x:v>42217</x:v>
      </x:c>
    </x:row>
    <x:row r="7977" ht="18" customHeight="1">
      <x:c r="A7977" t="str">
        <x:v>US-2015-126753</x:v>
      </x:c>
      <x:c r="B7977" s="18" t="n">
        <x:v>42232</x:v>
      </x:c>
      <x:c r="C7977" t="str">
        <x:v>SP-20860</x:v>
      </x:c>
      <x:c r="D7977" t="str">
        <x:v>Sung Pak</x:v>
      </x:c>
      <x:c r="E7977" t="str">
        <x:v>Corporate</x:v>
      </x:c>
      <x:c r="F7977" t="str">
        <x:v>East</x:v>
      </x:c>
      <x:c r="G7977" t="str">
        <x:v>Office Supplies</x:v>
      </x:c>
      <x:c r="H7977" t="str">
        <x:v>Paper</x:v>
      </x:c>
      <x:c r="I7977" s="22" t="n">
        <x:v>10.368000000000002</x:v>
      </x:c>
      <x:c r="J7977" s="24" t="n">
        <x:v>2</x:v>
      </x:c>
      <x:c r="K7977" s="26" t="n">
        <x:v>0.2</x:v>
      </x:c>
      <x:c r="L7977" s="22" t="n">
        <x:v>3.6288</x:v>
      </x:c>
      <x:c r="M7977" t="n">
        <x:v>2015</x:v>
      </x:c>
      <x:c r="N7977" s="20" t="n">
        <x:v>42217</x:v>
      </x:c>
    </x:row>
    <x:row r="7978" ht="18" customHeight="1">
      <x:c r="A7978" t="str">
        <x:v>US-2015-126753</x:v>
      </x:c>
      <x:c r="B7978" s="18" t="n">
        <x:v>42232</x:v>
      </x:c>
      <x:c r="C7978" t="str">
        <x:v>SP-20860</x:v>
      </x:c>
      <x:c r="D7978" t="str">
        <x:v>Sung Pak</x:v>
      </x:c>
      <x:c r="E7978" t="str">
        <x:v>Corporate</x:v>
      </x:c>
      <x:c r="F7978" t="str">
        <x:v>East</x:v>
      </x:c>
      <x:c r="G7978" t="str">
        <x:v>Office Supplies</x:v>
      </x:c>
      <x:c r="H7978" t="str">
        <x:v>Binders</x:v>
      </x:c>
      <x:c r="I7978" s="22" t="n">
        <x:v>2.7240000000000006</x:v>
      </x:c>
      <x:c r="J7978" s="24" t="n">
        <x:v>2</x:v>
      </x:c>
      <x:c r="K7978" s="26" t="n">
        <x:v>0.7</x:v>
      </x:c>
      <x:c r="L7978" s="22" t="n">
        <x:v>-1.9067999999999996</x:v>
      </x:c>
      <x:c r="M7978" t="n">
        <x:v>2015</x:v>
      </x:c>
      <x:c r="N7978" s="20" t="n">
        <x:v>42217</x:v>
      </x:c>
    </x:row>
    <x:row r="7979" ht="18" customHeight="1">
      <x:c r="A7979" t="str">
        <x:v>US-2015-126753</x:v>
      </x:c>
      <x:c r="B7979" s="18" t="n">
        <x:v>42232</x:v>
      </x:c>
      <x:c r="C7979" t="str">
        <x:v>SP-20860</x:v>
      </x:c>
      <x:c r="D7979" t="str">
        <x:v>Sung Pak</x:v>
      </x:c>
      <x:c r="E7979" t="str">
        <x:v>Corporate</x:v>
      </x:c>
      <x:c r="F7979" t="str">
        <x:v>East</x:v>
      </x:c>
      <x:c r="G7979" t="str">
        <x:v>Furniture</x:v>
      </x:c>
      <x:c r="H7979" t="str">
        <x:v>Furnishings</x:v>
      </x:c>
      <x:c r="I7979" s="22" t="n">
        <x:v>254.35200000000003</x:v>
      </x:c>
      <x:c r="J7979" s="24" t="n">
        <x:v>3</x:v>
      </x:c>
      <x:c r="K7979" s="26" t="n">
        <x:v>0.2</x:v>
      </x:c>
      <x:c r="L7979" s="22" t="n">
        <x:v>0</x:v>
      </x:c>
      <x:c r="M7979" t="n">
        <x:v>2015</x:v>
      </x:c>
      <x:c r="N7979" s="20" t="n">
        <x:v>42217</x:v>
      </x:c>
    </x:row>
    <x:row r="7980" ht="18" customHeight="1">
      <x:c r="A7980" t="str">
        <x:v>US-2015-126753</x:v>
      </x:c>
      <x:c r="B7980" s="18" t="n">
        <x:v>42232</x:v>
      </x:c>
      <x:c r="C7980" t="str">
        <x:v>SP-20860</x:v>
      </x:c>
      <x:c r="D7980" t="str">
        <x:v>Sung Pak</x:v>
      </x:c>
      <x:c r="E7980" t="str">
        <x:v>Corporate</x:v>
      </x:c>
      <x:c r="F7980" t="str">
        <x:v>East</x:v>
      </x:c>
      <x:c r="G7980" t="str">
        <x:v>Office Supplies</x:v>
      </x:c>
      <x:c r="H7980" t="str">
        <x:v>Binders</x:v>
      </x:c>
      <x:c r="I7980" s="22" t="n">
        <x:v>3.762</x:v>
      </x:c>
      <x:c r="J7980" s="24" t="n">
        <x:v>3</x:v>
      </x:c>
      <x:c r="K7980" s="26" t="n">
        <x:v>0.7</x:v>
      </x:c>
      <x:c r="L7980" s="22" t="n">
        <x:v>-2.758799999999999</x:v>
      </x:c>
      <x:c r="M7980" t="n">
        <x:v>2015</x:v>
      </x:c>
      <x:c r="N7980" s="20" t="n">
        <x:v>42217</x:v>
      </x:c>
    </x:row>
    <x:row r="7981" ht="18" customHeight="1">
      <x:c r="A7981" t="str">
        <x:v>US-2015-126753</x:v>
      </x:c>
      <x:c r="B7981" s="18" t="n">
        <x:v>42232</x:v>
      </x:c>
      <x:c r="C7981" t="str">
        <x:v>SP-20860</x:v>
      </x:c>
      <x:c r="D7981" t="str">
        <x:v>Sung Pak</x:v>
      </x:c>
      <x:c r="E7981" t="str">
        <x:v>Corporate</x:v>
      </x:c>
      <x:c r="F7981" t="str">
        <x:v>East</x:v>
      </x:c>
      <x:c r="G7981" t="str">
        <x:v>Office Supplies</x:v>
      </x:c>
      <x:c r="H7981" t="str">
        <x:v>Paper</x:v>
      </x:c>
      <x:c r="I7981" s="22" t="n">
        <x:v>10.272000000000002</x:v>
      </x:c>
      <x:c r="J7981" s="24" t="n">
        <x:v>3</x:v>
      </x:c>
      <x:c r="K7981" s="26" t="n">
        <x:v>0.2</x:v>
      </x:c>
      <x:c r="L7981" s="22" t="n">
        <x:v>3.209999999999998</x:v>
      </x:c>
      <x:c r="M7981" t="n">
        <x:v>2015</x:v>
      </x:c>
      <x:c r="N7981" s="20" t="n">
        <x:v>42217</x:v>
      </x:c>
    </x:row>
    <x:row r="7982" ht="18" customHeight="1">
      <x:c r="A7982" t="str">
        <x:v>CA-2014-166051</x:v>
      </x:c>
      <x:c r="B7982" s="18" t="n">
        <x:v>41790</x:v>
      </x:c>
      <x:c r="C7982" t="str">
        <x:v>JK-15625</x:v>
      </x:c>
      <x:c r="D7982" t="str">
        <x:v>Jim Karlsson</x:v>
      </x:c>
      <x:c r="E7982" t="str">
        <x:v>Consumer</x:v>
      </x:c>
      <x:c r="F7982" t="str">
        <x:v>South</x:v>
      </x:c>
      <x:c r="G7982" t="str">
        <x:v>Technology</x:v>
      </x:c>
      <x:c r="H7982" t="str">
        <x:v>Phones</x:v>
      </x:c>
      <x:c r="I7982" s="22" t="n">
        <x:v>659.97</x:v>
      </x:c>
      <x:c r="J7982" s="24" t="n">
        <x:v>3</x:v>
      </x:c>
      <x:c r="K7982" s="26" t="n">
        <x:v>0</x:v>
      </x:c>
      <x:c r="L7982" s="22" t="n">
        <x:v>197.99099999999996</x:v>
      </x:c>
      <x:c r="M7982" t="n">
        <x:v>2014</x:v>
      </x:c>
      <x:c r="N7982" s="20" t="n">
        <x:v>41760</x:v>
      </x:c>
    </x:row>
    <x:row r="7983" ht="18" customHeight="1">
      <x:c r="A7983" t="str">
        <x:v>CA-2014-166051</x:v>
      </x:c>
      <x:c r="B7983" s="18" t="n">
        <x:v>41790</x:v>
      </x:c>
      <x:c r="C7983" t="str">
        <x:v>JK-15625</x:v>
      </x:c>
      <x:c r="D7983" t="str">
        <x:v>Jim Karlsson</x:v>
      </x:c>
      <x:c r="E7983" t="str">
        <x:v>Consumer</x:v>
      </x:c>
      <x:c r="F7983" t="str">
        <x:v>South</x:v>
      </x:c>
      <x:c r="G7983" t="str">
        <x:v>Technology</x:v>
      </x:c>
      <x:c r="H7983" t="str">
        <x:v>Phones</x:v>
      </x:c>
      <x:c r="I7983" s="22" t="n">
        <x:v>113.72999999999999</x:v>
      </x:c>
      <x:c r="J7983" s="24" t="n">
        <x:v>3</x:v>
      </x:c>
      <x:c r="K7983" s="26" t="n">
        <x:v>0</x:v>
      </x:c>
      <x:c r="L7983" s="22" t="n">
        <x:v>32.98169999999999</x:v>
      </x:c>
      <x:c r="M7983" t="n">
        <x:v>2014</x:v>
      </x:c>
      <x:c r="N7983" s="20" t="n">
        <x:v>41760</x:v>
      </x:c>
    </x:row>
    <x:row r="7984" ht="18" customHeight="1">
      <x:c r="A7984" t="str">
        <x:v>CA-2015-113040</x:v>
      </x:c>
      <x:c r="B7984" s="18" t="n">
        <x:v>42243</x:v>
      </x:c>
      <x:c r="C7984" t="str">
        <x:v>CC-12100</x:v>
      </x:c>
      <x:c r="D7984" t="str">
        <x:v>Chad Cunningham</x:v>
      </x:c>
      <x:c r="E7984" t="str">
        <x:v>Home Office</x:v>
      </x:c>
      <x:c r="F7984" t="str">
        <x:v>West</x:v>
      </x:c>
      <x:c r="G7984" t="str">
        <x:v>Office Supplies</x:v>
      </x:c>
      <x:c r="H7984" t="str">
        <x:v>Binders</x:v>
      </x:c>
      <x:c r="I7984" s="22" t="n">
        <x:v>5.104</x:v>
      </x:c>
      <x:c r="J7984" s="24" t="n">
        <x:v>1</x:v>
      </x:c>
      <x:c r="K7984" s="26" t="n">
        <x:v>0.2</x:v>
      </x:c>
      <x:c r="L7984" s="22" t="n">
        <x:v>1.6587999999999996</x:v>
      </x:c>
      <x:c r="M7984" t="n">
        <x:v>2015</x:v>
      </x:c>
      <x:c r="N7984" s="20" t="n">
        <x:v>42217</x:v>
      </x:c>
    </x:row>
    <x:row r="7985" ht="18" customHeight="1">
      <x:c r="A7985" t="str">
        <x:v>CA-2014-103800</x:v>
      </x:c>
      <x:c r="B7985" s="18" t="n">
        <x:v>41642</x:v>
      </x:c>
      <x:c r="C7985" t="str">
        <x:v>DP-13000</x:v>
      </x:c>
      <x:c r="D7985" t="str">
        <x:v>Darren Powers</x:v>
      </x:c>
      <x:c r="E7985" t="str">
        <x:v>Consumer</x:v>
      </x:c>
      <x:c r="F7985" t="str">
        <x:v>Central</x:v>
      </x:c>
      <x:c r="G7985" t="str">
        <x:v>Office Supplies</x:v>
      </x:c>
      <x:c r="H7985" t="str">
        <x:v>Paper</x:v>
      </x:c>
      <x:c r="I7985" s="22" t="n">
        <x:v>16.448</x:v>
      </x:c>
      <x:c r="J7985" s="24" t="n">
        <x:v>2</x:v>
      </x:c>
      <x:c r="K7985" s="26" t="n">
        <x:v>0.2</x:v>
      </x:c>
      <x:c r="L7985" s="22" t="n">
        <x:v>5.551199999999998</x:v>
      </x:c>
      <x:c r="M7985" t="n">
        <x:v>2014</x:v>
      </x:c>
      <x:c r="N7985" s="20" t="n">
        <x:v>41640</x:v>
      </x:c>
    </x:row>
    <x:row r="7986" ht="18" customHeight="1">
      <x:c r="A7986" t="str">
        <x:v>CA-2014-113383</x:v>
      </x:c>
      <x:c r="B7986" s="18" t="n">
        <x:v>41892</x:v>
      </x:c>
      <x:c r="C7986" t="str">
        <x:v>SF-20065</x:v>
      </x:c>
      <x:c r="D7986" t="str">
        <x:v>Sandra Flanagan</x:v>
      </x:c>
      <x:c r="E7986" t="str">
        <x:v>Consumer</x:v>
      </x:c>
      <x:c r="F7986" t="str">
        <x:v>East</x:v>
      </x:c>
      <x:c r="G7986" t="str">
        <x:v>Office Supplies</x:v>
      </x:c>
      <x:c r="H7986" t="str">
        <x:v>Appliances</x:v>
      </x:c>
      <x:c r="I7986" s="22" t="n">
        <x:v>81.92</x:v>
      </x:c>
      <x:c r="J7986" s="24" t="n">
        <x:v>4</x:v>
      </x:c>
      <x:c r="K7986" s="26" t="n">
        <x:v>0</x:v>
      </x:c>
      <x:c r="L7986" s="22" t="n">
        <x:v>22.1184</x:v>
      </x:c>
      <x:c r="M7986" t="n">
        <x:v>2014</x:v>
      </x:c>
      <x:c r="N7986" s="20" t="n">
        <x:v>41883</x:v>
      </x:c>
    </x:row>
    <x:row r="7987" ht="18" customHeight="1">
      <x:c r="A7987" t="str">
        <x:v>CA-2014-113383</x:v>
      </x:c>
      <x:c r="B7987" s="18" t="n">
        <x:v>41892</x:v>
      </x:c>
      <x:c r="C7987" t="str">
        <x:v>SF-20065</x:v>
      </x:c>
      <x:c r="D7987" t="str">
        <x:v>Sandra Flanagan</x:v>
      </x:c>
      <x:c r="E7987" t="str">
        <x:v>Consumer</x:v>
      </x:c>
      <x:c r="F7987" t="str">
        <x:v>East</x:v>
      </x:c>
      <x:c r="G7987" t="str">
        <x:v>Furniture</x:v>
      </x:c>
      <x:c r="H7987" t="str">
        <x:v>Furnishings</x:v>
      </x:c>
      <x:c r="I7987" s="22" t="n">
        <x:v>254.89999999999998</x:v>
      </x:c>
      <x:c r="J7987" s="24" t="n">
        <x:v>5</x:v>
      </x:c>
      <x:c r="K7987" s="26" t="n">
        <x:v>0</x:v>
      </x:c>
      <x:c r="L7987" s="22" t="n">
        <x:v>76.46999999999998</x:v>
      </x:c>
      <x:c r="M7987" t="n">
        <x:v>2014</x:v>
      </x:c>
      <x:c r="N7987" s="20" t="n">
        <x:v>41883</x:v>
      </x:c>
    </x:row>
    <x:row r="7988" ht="18" customHeight="1">
      <x:c r="A7988" t="str">
        <x:v>CA-2017-152499</x:v>
      </x:c>
      <x:c r="B7988" s="18" t="n">
        <x:v>42757</x:v>
      </x:c>
      <x:c r="C7988" t="str">
        <x:v>EH-13765</x:v>
      </x:c>
      <x:c r="D7988" t="str">
        <x:v>Edward Hooks</x:v>
      </x:c>
      <x:c r="E7988" t="str">
        <x:v>Corporate</x:v>
      </x:c>
      <x:c r="F7988" t="str">
        <x:v>Central</x:v>
      </x:c>
      <x:c r="G7988" t="str">
        <x:v>Office Supplies</x:v>
      </x:c>
      <x:c r="H7988" t="str">
        <x:v>Fasteners</x:v>
      </x:c>
      <x:c r="I7988" s="22" t="n">
        <x:v>15.120000000000001</x:v>
      </x:c>
      <x:c r="J7988" s="24" t="n">
        <x:v>5</x:v>
      </x:c>
      <x:c r="K7988" s="26" t="n">
        <x:v>0.2</x:v>
      </x:c>
      <x:c r="L7988" s="22" t="n">
        <x:v>4.913999999999999</x:v>
      </x:c>
      <x:c r="M7988" t="n">
        <x:v>2017</x:v>
      </x:c>
      <x:c r="N7988" s="20" t="n">
        <x:v>42736</x:v>
      </x:c>
    </x:row>
    <x:row r="7989" ht="18" customHeight="1">
      <x:c r="A7989" t="str">
        <x:v>CA-2017-152499</x:v>
      </x:c>
      <x:c r="B7989" s="18" t="n">
        <x:v>42757</x:v>
      </x:c>
      <x:c r="C7989" t="str">
        <x:v>EH-13765</x:v>
      </x:c>
      <x:c r="D7989" t="str">
        <x:v>Edward Hooks</x:v>
      </x:c>
      <x:c r="E7989" t="str">
        <x:v>Corporate</x:v>
      </x:c>
      <x:c r="F7989" t="str">
        <x:v>Central</x:v>
      </x:c>
      <x:c r="G7989" t="str">
        <x:v>Office Supplies</x:v>
      </x:c>
      <x:c r="H7989" t="str">
        <x:v>Art</x:v>
      </x:c>
      <x:c r="I7989" s="22" t="n">
        <x:v>7.872</x:v>
      </x:c>
      <x:c r="J7989" s="24" t="n">
        <x:v>3</x:v>
      </x:c>
      <x:c r="K7989" s="26" t="n">
        <x:v>0.2</x:v>
      </x:c>
      <x:c r="L7989" s="22" t="n">
        <x:v>0.8855999999999988</x:v>
      </x:c>
      <x:c r="M7989" t="n">
        <x:v>2017</x:v>
      </x:c>
      <x:c r="N7989" s="20" t="n">
        <x:v>42736</x:v>
      </x:c>
    </x:row>
    <x:row r="7990" ht="18" customHeight="1">
      <x:c r="A7990" t="str">
        <x:v>CA-2016-151498</x:v>
      </x:c>
      <x:c r="B7990" s="18" t="n">
        <x:v>42481</x:v>
      </x:c>
      <x:c r="C7990" t="str">
        <x:v>DN-13690</x:v>
      </x:c>
      <x:c r="D7990" t="str">
        <x:v>Duane Noonan</x:v>
      </x:c>
      <x:c r="E7990" t="str">
        <x:v>Consumer</x:v>
      </x:c>
      <x:c r="F7990" t="str">
        <x:v>West</x:v>
      </x:c>
      <x:c r="G7990" t="str">
        <x:v>Office Supplies</x:v>
      </x:c>
      <x:c r="H7990" t="str">
        <x:v>Binders</x:v>
      </x:c>
      <x:c r="I7990" s="22" t="n">
        <x:v>8.32</x:v>
      </x:c>
      <x:c r="J7990" s="24" t="n">
        <x:v>5</x:v>
      </x:c>
      <x:c r="K7990" s="26" t="n">
        <x:v>0.2</x:v>
      </x:c>
      <x:c r="L7990" s="22" t="n">
        <x:v>2.808</x:v>
      </x:c>
      <x:c r="M7990" t="n">
        <x:v>2016</x:v>
      </x:c>
      <x:c r="N7990" s="20" t="n">
        <x:v>42461</x:v>
      </x:c>
    </x:row>
    <x:row r="7991" ht="18" customHeight="1">
      <x:c r="A7991" t="str">
        <x:v>CA-2016-137939</x:v>
      </x:c>
      <x:c r="B7991" s="18" t="n">
        <x:v>42571</x:v>
      </x:c>
      <x:c r="C7991" t="str">
        <x:v>PJ-19015</x:v>
      </x:c>
      <x:c r="D7991" t="str">
        <x:v>Pauline Johnson</x:v>
      </x:c>
      <x:c r="E7991" t="str">
        <x:v>Consumer</x:v>
      </x:c>
      <x:c r="F7991" t="str">
        <x:v>East</x:v>
      </x:c>
      <x:c r="G7991" t="str">
        <x:v>Technology</x:v>
      </x:c>
      <x:c r="H7991" t="str">
        <x:v>Phones</x:v>
      </x:c>
      <x:c r="I7991" s="22" t="n">
        <x:v>89.94999999999999</x:v>
      </x:c>
      <x:c r="J7991" s="24" t="n">
        <x:v>5</x:v>
      </x:c>
      <x:c r="K7991" s="26" t="n">
        <x:v>0</x:v>
      </x:c>
      <x:c r="L7991" s="22" t="n">
        <x:v>43.175999999999995</x:v>
      </x:c>
      <x:c r="M7991" t="n">
        <x:v>2016</x:v>
      </x:c>
      <x:c r="N7991" s="20" t="n">
        <x:v>42552</x:v>
      </x:c>
    </x:row>
    <x:row r="7992" ht="18" customHeight="1">
      <x:c r="A7992" t="str">
        <x:v>US-2016-117793</x:v>
      </x:c>
      <x:c r="B7992" s="18" t="n">
        <x:v>42605</x:v>
      </x:c>
      <x:c r="C7992" t="str">
        <x:v>MA-17560</x:v>
      </x:c>
      <x:c r="D7992" t="str">
        <x:v>Matt Abelman</x:v>
      </x:c>
      <x:c r="E7992" t="str">
        <x:v>Home Office</x:v>
      </x:c>
      <x:c r="F7992" t="str">
        <x:v>Central</x:v>
      </x:c>
      <x:c r="G7992" t="str">
        <x:v>Office Supplies</x:v>
      </x:c>
      <x:c r="H7992" t="str">
        <x:v>Labels</x:v>
      </x:c>
      <x:c r="I7992" s="22" t="n">
        <x:v>25.2</x:v>
      </x:c>
      <x:c r="J7992" s="24" t="n">
        <x:v>4</x:v>
      </x:c>
      <x:c r="K7992" s="26" t="n">
        <x:v>0</x:v>
      </x:c>
      <x:c r="L7992" s="22" t="n">
        <x:v>11.591999999999999</x:v>
      </x:c>
      <x:c r="M7992" t="n">
        <x:v>2016</x:v>
      </x:c>
      <x:c r="N7992" s="20" t="n">
        <x:v>42583</x:v>
      </x:c>
    </x:row>
    <x:row r="7993" ht="18" customHeight="1">
      <x:c r="A7993" t="str">
        <x:v>US-2016-117793</x:v>
      </x:c>
      <x:c r="B7993" s="18" t="n">
        <x:v>42605</x:v>
      </x:c>
      <x:c r="C7993" t="str">
        <x:v>MA-17560</x:v>
      </x:c>
      <x:c r="D7993" t="str">
        <x:v>Matt Abelman</x:v>
      </x:c>
      <x:c r="E7993" t="str">
        <x:v>Home Office</x:v>
      </x:c>
      <x:c r="F7993" t="str">
        <x:v>Central</x:v>
      </x:c>
      <x:c r="G7993" t="str">
        <x:v>Office Supplies</x:v>
      </x:c>
      <x:c r="H7993" t="str">
        <x:v>Labels</x:v>
      </x:c>
      <x:c r="I7993" s="22" t="n">
        <x:v>37.589999999999996</x:v>
      </x:c>
      <x:c r="J7993" s="24" t="n">
        <x:v>3</x:v>
      </x:c>
      <x:c r="K7993" s="26" t="n">
        <x:v>0</x:v>
      </x:c>
      <x:c r="L7993" s="22" t="n">
        <x:v>17.667299999999997</x:v>
      </x:c>
      <x:c r="M7993" t="n">
        <x:v>2016</x:v>
      </x:c>
      <x:c r="N7993" s="20" t="n">
        <x:v>42583</x:v>
      </x:c>
    </x:row>
    <x:row r="7994" ht="18" customHeight="1">
      <x:c r="A7994" t="str">
        <x:v>US-2016-117793</x:v>
      </x:c>
      <x:c r="B7994" s="18" t="n">
        <x:v>42605</x:v>
      </x:c>
      <x:c r="C7994" t="str">
        <x:v>MA-17560</x:v>
      </x:c>
      <x:c r="D7994" t="str">
        <x:v>Matt Abelman</x:v>
      </x:c>
      <x:c r="E7994" t="str">
        <x:v>Home Office</x:v>
      </x:c>
      <x:c r="F7994" t="str">
        <x:v>Central</x:v>
      </x:c>
      <x:c r="G7994" t="str">
        <x:v>Office Supplies</x:v>
      </x:c>
      <x:c r="H7994" t="str">
        <x:v>Storage</x:v>
      </x:c>
      <x:c r="I7994" s="22" t="n">
        <x:v>14.97</x:v>
      </x:c>
      <x:c r="J7994" s="24" t="n">
        <x:v>1</x:v>
      </x:c>
      <x:c r="K7994" s="26" t="n">
        <x:v>0</x:v>
      </x:c>
      <x:c r="L7994" s="22" t="n">
        <x:v>4.191600000000001</x:v>
      </x:c>
      <x:c r="M7994" t="n">
        <x:v>2016</x:v>
      </x:c>
      <x:c r="N7994" s="20" t="n">
        <x:v>42583</x:v>
      </x:c>
    </x:row>
    <x:row r="7995" ht="18" customHeight="1">
      <x:c r="A7995" t="str">
        <x:v>US-2016-117793</x:v>
      </x:c>
      <x:c r="B7995" s="18" t="n">
        <x:v>42605</x:v>
      </x:c>
      <x:c r="C7995" t="str">
        <x:v>MA-17560</x:v>
      </x:c>
      <x:c r="D7995" t="str">
        <x:v>Matt Abelman</x:v>
      </x:c>
      <x:c r="E7995" t="str">
        <x:v>Home Office</x:v>
      </x:c>
      <x:c r="F7995" t="str">
        <x:v>Central</x:v>
      </x:c>
      <x:c r="G7995" t="str">
        <x:v>Technology</x:v>
      </x:c>
      <x:c r="H7995" t="str">
        <x:v>Accessories</x:v>
      </x:c>
      <x:c r="I7995" s="22" t="n">
        <x:v>1.98</x:v>
      </x:c>
      <x:c r="J7995" s="24" t="n">
        <x:v>2</x:v>
      </x:c>
      <x:c r="K7995" s="26" t="n">
        <x:v>0</x:v>
      </x:c>
      <x:c r="L7995" s="22" t="n">
        <x:v>0.891</x:v>
      </x:c>
      <x:c r="M7995" t="n">
        <x:v>2016</x:v>
      </x:c>
      <x:c r="N7995" s="20" t="n">
        <x:v>42583</x:v>
      </x:c>
    </x:row>
    <x:row r="7996" ht="18" customHeight="1">
      <x:c r="A7996" t="str">
        <x:v>CA-2016-133872</x:v>
      </x:c>
      <x:c r="B7996" s="18" t="n">
        <x:v>42535</x:v>
      </x:c>
      <x:c r="C7996" t="str">
        <x:v>VM-21835</x:v>
      </x:c>
      <x:c r="D7996" t="str">
        <x:v>Vivian Mathis</x:v>
      </x:c>
      <x:c r="E7996" t="str">
        <x:v>Consumer</x:v>
      </x:c>
      <x:c r="F7996" t="str">
        <x:v>South</x:v>
      </x:c>
      <x:c r="G7996" t="str">
        <x:v>Office Supplies</x:v>
      </x:c>
      <x:c r="H7996" t="str">
        <x:v>Binders</x:v>
      </x:c>
      <x:c r="I7996" s="22" t="n">
        <x:v>39.93600000000001</x:v>
      </x:c>
      <x:c r="J7996" s="24" t="n">
        <x:v>4</x:v>
      </x:c>
      <x:c r="K7996" s="26" t="n">
        <x:v>0.7</x:v>
      </x:c>
      <x:c r="L7996" s="22" t="n">
        <x:v>-26.623999999999995</x:v>
      </x:c>
      <x:c r="M7996" t="n">
        <x:v>2016</x:v>
      </x:c>
      <x:c r="N7996" s="20" t="n">
        <x:v>42522</x:v>
      </x:c>
    </x:row>
    <x:row r="7997" ht="18" customHeight="1">
      <x:c r="A7997" t="str">
        <x:v>CA-2016-133872</x:v>
      </x:c>
      <x:c r="B7997" s="18" t="n">
        <x:v>42535</x:v>
      </x:c>
      <x:c r="C7997" t="str">
        <x:v>VM-21835</x:v>
      </x:c>
      <x:c r="D7997" t="str">
        <x:v>Vivian Mathis</x:v>
      </x:c>
      <x:c r="E7997" t="str">
        <x:v>Consumer</x:v>
      </x:c>
      <x:c r="F7997" t="str">
        <x:v>South</x:v>
      </x:c>
      <x:c r="G7997" t="str">
        <x:v>Technology</x:v>
      </x:c>
      <x:c r="H7997" t="str">
        <x:v>Accessories</x:v>
      </x:c>
      <x:c r="I7997" s="22" t="n">
        <x:v>18.464</x:v>
      </x:c>
      <x:c r="J7997" s="24" t="n">
        <x:v>2</x:v>
      </x:c>
      <x:c r="K7997" s="26" t="n">
        <x:v>0.2</x:v>
      </x:c>
      <x:c r="L7997" s="22" t="n">
        <x:v>2.308</x:v>
      </x:c>
      <x:c r="M7997" t="n">
        <x:v>2016</x:v>
      </x:c>
      <x:c r="N7997" s="20" t="n">
        <x:v>42522</x:v>
      </x:c>
    </x:row>
    <x:row r="7998" ht="18" customHeight="1">
      <x:c r="A7998" t="str">
        <x:v>US-2015-165743</x:v>
      </x:c>
      <x:c r="B7998" s="18" t="n">
        <x:v>42328</x:v>
      </x:c>
      <x:c r="C7998" t="str">
        <x:v>MM-18055</x:v>
      </x:c>
      <x:c r="D7998" t="str">
        <x:v>Michelle Moray</x:v>
      </x:c>
      <x:c r="E7998" t="str">
        <x:v>Consumer</x:v>
      </x:c>
      <x:c r="F7998" t="str">
        <x:v>West</x:v>
      </x:c>
      <x:c r="G7998" t="str">
        <x:v>Office Supplies</x:v>
      </x:c>
      <x:c r="H7998" t="str">
        <x:v>Binders</x:v>
      </x:c>
      <x:c r="I7998" s="22" t="n">
        <x:v>4.896000000000001</x:v>
      </x:c>
      <x:c r="J7998" s="24" t="n">
        <x:v>3</x:v>
      </x:c>
      <x:c r="K7998" s="26" t="n">
        <x:v>0.7</x:v>
      </x:c>
      <x:c r="L7998" s="22" t="n">
        <x:v>-3.427199999999999</x:v>
      </x:c>
      <x:c r="M7998" t="n">
        <x:v>2015</x:v>
      </x:c>
      <x:c r="N7998" s="20" t="n">
        <x:v>42309</x:v>
      </x:c>
    </x:row>
    <x:row r="7999" ht="18" customHeight="1">
      <x:c r="A7999" t="str">
        <x:v>US-2015-165743</x:v>
      </x:c>
      <x:c r="B7999" s="18" t="n">
        <x:v>42328</x:v>
      </x:c>
      <x:c r="C7999" t="str">
        <x:v>MM-18055</x:v>
      </x:c>
      <x:c r="D7999" t="str">
        <x:v>Michelle Moray</x:v>
      </x:c>
      <x:c r="E7999" t="str">
        <x:v>Consumer</x:v>
      </x:c>
      <x:c r="F7999" t="str">
        <x:v>West</x:v>
      </x:c>
      <x:c r="G7999" t="str">
        <x:v>Furniture</x:v>
      </x:c>
      <x:c r="H7999" t="str">
        <x:v>Bookcases</x:v>
      </x:c>
      <x:c r="I7999" s="22" t="n">
        <x:v>145.764</x:v>
      </x:c>
      <x:c r="J7999" s="24" t="n">
        <x:v>6</x:v>
      </x:c>
      <x:c r="K7999" s="26" t="n">
        <x:v>0.7</x:v>
      </x:c>
      <x:c r="L7999" s="22" t="n">
        <x:v>-247.79879999999997</x:v>
      </x:c>
      <x:c r="M7999" t="n">
        <x:v>2015</x:v>
      </x:c>
      <x:c r="N7999" s="20" t="n">
        <x:v>42309</x:v>
      </x:c>
    </x:row>
    <x:row r="8000" ht="18" customHeight="1">
      <x:c r="A8000" t="str">
        <x:v>US-2015-165743</x:v>
      </x:c>
      <x:c r="B8000" s="18" t="n">
        <x:v>42328</x:v>
      </x:c>
      <x:c r="C8000" t="str">
        <x:v>MM-18055</x:v>
      </x:c>
      <x:c r="D8000" t="str">
        <x:v>Michelle Moray</x:v>
      </x:c>
      <x:c r="E8000" t="str">
        <x:v>Consumer</x:v>
      </x:c>
      <x:c r="F8000" t="str">
        <x:v>West</x:v>
      </x:c>
      <x:c r="G8000" t="str">
        <x:v>Office Supplies</x:v>
      </x:c>
      <x:c r="H8000" t="str">
        <x:v>Binders</x:v>
      </x:c>
      <x:c r="I8000" s="22" t="n">
        <x:v>9.612</x:v>
      </x:c>
      <x:c r="J8000" s="24" t="n">
        <x:v>6</x:v>
      </x:c>
      <x:c r="K8000" s="26" t="n">
        <x:v>0.7</x:v>
      </x:c>
      <x:c r="L8000" s="22" t="n">
        <x:v>-7.369199999999999</x:v>
      </x:c>
      <x:c r="M8000" t="n">
        <x:v>2015</x:v>
      </x:c>
      <x:c r="N8000" s="20" t="n">
        <x:v>42309</x:v>
      </x:c>
    </x:row>
    <x:row r="8001" ht="18" customHeight="1">
      <x:c r="A8001" t="str">
        <x:v>US-2017-105998</x:v>
      </x:c>
      <x:c r="B8001" s="18" t="n">
        <x:v>43042</x:v>
      </x:c>
      <x:c r="C8001" t="str">
        <x:v>CR-12580</x:v>
      </x:c>
      <x:c r="D8001" t="str">
        <x:v>Clay Rozendal</x:v>
      </x:c>
      <x:c r="E8001" t="str">
        <x:v>Home Office</x:v>
      </x:c>
      <x:c r="F8001" t="str">
        <x:v>West</x:v>
      </x:c>
      <x:c r="G8001" t="str">
        <x:v>Technology</x:v>
      </x:c>
      <x:c r="H8001" t="str">
        <x:v>Accessories</x:v>
      </x:c>
      <x:c r="I8001" s="22" t="n">
        <x:v>199.75</x:v>
      </x:c>
      <x:c r="J8001" s="24" t="n">
        <x:v>5</x:v>
      </x:c>
      <x:c r="K8001" s="26" t="n">
        <x:v>0</x:v>
      </x:c>
      <x:c r="L8001" s="22" t="n">
        <x:v>87.89000000000001</x:v>
      </x:c>
      <x:c r="M8001" t="n">
        <x:v>2017</x:v>
      </x:c>
      <x:c r="N8001" s="20" t="n">
        <x:v>43040</x:v>
      </x:c>
    </x:row>
    <x:row r="8002" ht="18" customHeight="1">
      <x:c r="A8002" t="str">
        <x:v>US-2017-105998</x:v>
      </x:c>
      <x:c r="B8002" s="18" t="n">
        <x:v>43042</x:v>
      </x:c>
      <x:c r="C8002" t="str">
        <x:v>CR-12580</x:v>
      </x:c>
      <x:c r="D8002" t="str">
        <x:v>Clay Rozendal</x:v>
      </x:c>
      <x:c r="E8002" t="str">
        <x:v>Home Office</x:v>
      </x:c>
      <x:c r="F8002" t="str">
        <x:v>West</x:v>
      </x:c>
      <x:c r="G8002" t="str">
        <x:v>Furniture</x:v>
      </x:c>
      <x:c r="H8002" t="str">
        <x:v>Tables</x:v>
      </x:c>
      <x:c r="I8002" s="22" t="n">
        <x:v>1673.1839999999997</x:v>
      </x:c>
      <x:c r="J8002" s="24" t="n">
        <x:v>12</x:v>
      </x:c>
      <x:c r="K8002" s="26" t="n">
        <x:v>0.2</x:v>
      </x:c>
      <x:c r="L8002" s="22" t="n">
        <x:v>20.914800000000014</x:v>
      </x:c>
      <x:c r="M8002" t="n">
        <x:v>2017</x:v>
      </x:c>
      <x:c r="N8002" s="20" t="n">
        <x:v>43040</x:v>
      </x:c>
    </x:row>
    <x:row r="8003" ht="18" customHeight="1">
      <x:c r="A8003" t="str">
        <x:v>US-2014-148194</x:v>
      </x:c>
      <x:c r="B8003" s="18" t="n">
        <x:v>41763</x:v>
      </x:c>
      <x:c r="C8003" t="str">
        <x:v>BS-11365</x:v>
      </x:c>
      <x:c r="D8003" t="str">
        <x:v>Bill Shonely</x:v>
      </x:c>
      <x:c r="E8003" t="str">
        <x:v>Corporate</x:v>
      </x:c>
      <x:c r="F8003" t="str">
        <x:v>West</x:v>
      </x:c>
      <x:c r="G8003" t="str">
        <x:v>Furniture</x:v>
      </x:c>
      <x:c r="H8003" t="str">
        <x:v>Furnishings</x:v>
      </x:c>
      <x:c r="I8003" s="22" t="n">
        <x:v>12.18</x:v>
      </x:c>
      <x:c r="J8003" s="24" t="n">
        <x:v>7</x:v>
      </x:c>
      <x:c r="K8003" s="26" t="n">
        <x:v>0</x:v>
      </x:c>
      <x:c r="L8003" s="22" t="n">
        <x:v>3.8975999999999997</x:v>
      </x:c>
      <x:c r="M8003" t="n">
        <x:v>2014</x:v>
      </x:c>
      <x:c r="N8003" s="20" t="n">
        <x:v>41760</x:v>
      </x:c>
    </x:row>
    <x:row r="8004" ht="18" customHeight="1">
      <x:c r="A8004" t="str">
        <x:v>US-2014-148194</x:v>
      </x:c>
      <x:c r="B8004" s="18" t="n">
        <x:v>41763</x:v>
      </x:c>
      <x:c r="C8004" t="str">
        <x:v>BS-11365</x:v>
      </x:c>
      <x:c r="D8004" t="str">
        <x:v>Bill Shonely</x:v>
      </x:c>
      <x:c r="E8004" t="str">
        <x:v>Corporate</x:v>
      </x:c>
      <x:c r="F8004" t="str">
        <x:v>West</x:v>
      </x:c>
      <x:c r="G8004" t="str">
        <x:v>Office Supplies</x:v>
      </x:c>
      <x:c r="H8004" t="str">
        <x:v>Appliances</x:v>
      </x:c>
      <x:c r="I8004" s="22" t="n">
        <x:v>57.68</x:v>
      </x:c>
      <x:c r="J8004" s="24" t="n">
        <x:v>4</x:v>
      </x:c>
      <x:c r="K8004" s="26" t="n">
        <x:v>0</x:v>
      </x:c>
      <x:c r="L8004" s="22" t="n">
        <x:v>19.034399999999998</x:v>
      </x:c>
      <x:c r="M8004" t="n">
        <x:v>2014</x:v>
      </x:c>
      <x:c r="N8004" s="20" t="n">
        <x:v>41760</x:v>
      </x:c>
    </x:row>
    <x:row r="8005" ht="18" customHeight="1">
      <x:c r="A8005" t="str">
        <x:v>US-2015-151407</x:v>
      </x:c>
      <x:c r="B8005" s="18" t="n">
        <x:v>42316</x:v>
      </x:c>
      <x:c r="C8005" t="str">
        <x:v>RD-19585</x:v>
      </x:c>
      <x:c r="D8005" t="str">
        <x:v>Rob Dowd</x:v>
      </x:c>
      <x:c r="E8005" t="str">
        <x:v>Consumer</x:v>
      </x:c>
      <x:c r="F8005" t="str">
        <x:v>Central</x:v>
      </x:c>
      <x:c r="G8005" t="str">
        <x:v>Technology</x:v>
      </x:c>
      <x:c r="H8005" t="str">
        <x:v>Phones</x:v>
      </x:c>
      <x:c r="I8005" s="22" t="n">
        <x:v>263.96</x:v>
      </x:c>
      <x:c r="J8005" s="24" t="n">
        <x:v>4</x:v>
      </x:c>
      <x:c r="K8005" s="26" t="n">
        <x:v>0</x:v>
      </x:c>
      <x:c r="L8005" s="22" t="n">
        <x:v>76.54839999999999</x:v>
      </x:c>
      <x:c r="M8005" t="n">
        <x:v>2015</x:v>
      </x:c>
      <x:c r="N8005" s="20" t="n">
        <x:v>42309</x:v>
      </x:c>
    </x:row>
    <x:row r="8006" ht="18" customHeight="1">
      <x:c r="A8006" t="str">
        <x:v>CA-2015-110870</x:v>
      </x:c>
      <x:c r="B8006" s="18" t="n">
        <x:v>42350</x:v>
      </x:c>
      <x:c r="C8006" t="str">
        <x:v>KD-16270</x:v>
      </x:c>
      <x:c r="D8006" t="str">
        <x:v>Karen Daniels</x:v>
      </x:c>
      <x:c r="E8006" t="str">
        <x:v>Consumer</x:v>
      </x:c>
      <x:c r="F8006" t="str">
        <x:v>West</x:v>
      </x:c>
      <x:c r="G8006" t="str">
        <x:v>Technology</x:v>
      </x:c>
      <x:c r="H8006" t="str">
        <x:v>Accessories</x:v>
      </x:c>
      <x:c r="I8006" s="22" t="n">
        <x:v>299.94</x:v>
      </x:c>
      <x:c r="J8006" s="24" t="n">
        <x:v>6</x:v>
      </x:c>
      <x:c r="K8006" s="26" t="n">
        <x:v>0</x:v>
      </x:c>
      <x:c r="L8006" s="22" t="n">
        <x:v>128.97420000000002</x:v>
      </x:c>
      <x:c r="M8006" t="n">
        <x:v>2015</x:v>
      </x:c>
      <x:c r="N8006" s="20" t="n">
        <x:v>42339</x:v>
      </x:c>
    </x:row>
    <x:row r="8007" ht="18" customHeight="1">
      <x:c r="A8007" t="str">
        <x:v>CA-2015-110870</x:v>
      </x:c>
      <x:c r="B8007" s="18" t="n">
        <x:v>42350</x:v>
      </x:c>
      <x:c r="C8007" t="str">
        <x:v>KD-16270</x:v>
      </x:c>
      <x:c r="D8007" t="str">
        <x:v>Karen Daniels</x:v>
      </x:c>
      <x:c r="E8007" t="str">
        <x:v>Consumer</x:v>
      </x:c>
      <x:c r="F8007" t="str">
        <x:v>West</x:v>
      </x:c>
      <x:c r="G8007" t="str">
        <x:v>Office Supplies</x:v>
      </x:c>
      <x:c r="H8007" t="str">
        <x:v>Supplies</x:v>
      </x:c>
      <x:c r="I8007" s="22" t="n">
        <x:v>25.76</x:v>
      </x:c>
      <x:c r="J8007" s="24" t="n">
        <x:v>7</x:v>
      </x:c>
      <x:c r="K8007" s="26" t="n">
        <x:v>0</x:v>
      </x:c>
      <x:c r="L8007" s="22" t="n">
        <x:v>0.5151999999999992</x:v>
      </x:c>
      <x:c r="M8007" t="n">
        <x:v>2015</x:v>
      </x:c>
      <x:c r="N8007" s="20" t="n">
        <x:v>42339</x:v>
      </x:c>
    </x:row>
    <x:row r="8008" ht="18" customHeight="1">
      <x:c r="A8008" t="str">
        <x:v>CA-2014-143210</x:v>
      </x:c>
      <x:c r="B8008" s="18" t="n">
        <x:v>41974</x:v>
      </x:c>
      <x:c r="C8008" t="str">
        <x:v>AA-10645</x:v>
      </x:c>
      <x:c r="D8008" t="str">
        <x:v>Anna Andreadi</x:v>
      </x:c>
      <x:c r="E8008" t="str">
        <x:v>Consumer</x:v>
      </x:c>
      <x:c r="F8008" t="str">
        <x:v>East</x:v>
      </x:c>
      <x:c r="G8008" t="str">
        <x:v>Technology</x:v>
      </x:c>
      <x:c r="H8008" t="str">
        <x:v>Phones</x:v>
      </x:c>
      <x:c r="I8008" s="22" t="n">
        <x:v>271.9</x:v>
      </x:c>
      <x:c r="J8008" s="24" t="n">
        <x:v>2</x:v>
      </x:c>
      <x:c r="K8008" s="26" t="n">
        <x:v>0</x:v>
      </x:c>
      <x:c r="L8008" s="22" t="n">
        <x:v>78.85099999999997</x:v>
      </x:c>
      <x:c r="M8008" t="n">
        <x:v>2014</x:v>
      </x:c>
      <x:c r="N8008" s="20" t="n">
        <x:v>41974</x:v>
      </x:c>
    </x:row>
    <x:row r="8009" ht="18" customHeight="1">
      <x:c r="A8009" t="str">
        <x:v>CA-2014-143210</x:v>
      </x:c>
      <x:c r="B8009" s="18" t="n">
        <x:v>41974</x:v>
      </x:c>
      <x:c r="C8009" t="str">
        <x:v>AA-10645</x:v>
      </x:c>
      <x:c r="D8009" t="str">
        <x:v>Anna Andreadi</x:v>
      </x:c>
      <x:c r="E8009" t="str">
        <x:v>Consumer</x:v>
      </x:c>
      <x:c r="F8009" t="str">
        <x:v>East</x:v>
      </x:c>
      <x:c r="G8009" t="str">
        <x:v>Furniture</x:v>
      </x:c>
      <x:c r="H8009" t="str">
        <x:v>Furnishings</x:v>
      </x:c>
      <x:c r="I8009" s="22" t="n">
        <x:v>45.839999999999996</x:v>
      </x:c>
      <x:c r="J8009" s="24" t="n">
        <x:v>3</x:v>
      </x:c>
      <x:c r="K8009" s="26" t="n">
        <x:v>0</x:v>
      </x:c>
      <x:c r="L8009" s="22" t="n">
        <x:v>15.5856</x:v>
      </x:c>
      <x:c r="M8009" t="n">
        <x:v>2014</x:v>
      </x:c>
      <x:c r="N8009" s="20" t="n">
        <x:v>41974</x:v>
      </x:c>
    </x:row>
    <x:row r="8010" ht="18" customHeight="1">
      <x:c r="A8010" t="str">
        <x:v>CA-2014-143210</x:v>
      </x:c>
      <x:c r="B8010" s="18" t="n">
        <x:v>41974</x:v>
      </x:c>
      <x:c r="C8010" t="str">
        <x:v>AA-10645</x:v>
      </x:c>
      <x:c r="D8010" t="str">
        <x:v>Anna Andreadi</x:v>
      </x:c>
      <x:c r="E8010" t="str">
        <x:v>Consumer</x:v>
      </x:c>
      <x:c r="F8010" t="str">
        <x:v>East</x:v>
      </x:c>
      <x:c r="G8010" t="str">
        <x:v>Furniture</x:v>
      </x:c>
      <x:c r="H8010" t="str">
        <x:v>Furnishings</x:v>
      </x:c>
      <x:c r="I8010" s="22" t="n">
        <x:v>9.82</x:v>
      </x:c>
      <x:c r="J8010" s="24" t="n">
        <x:v>2</x:v>
      </x:c>
      <x:c r="K8010" s="26" t="n">
        <x:v>0</x:v>
      </x:c>
      <x:c r="L8010" s="22" t="n">
        <x:v>3.2405999999999997</x:v>
      </x:c>
      <x:c r="M8010" t="n">
        <x:v>2014</x:v>
      </x:c>
      <x:c r="N8010" s="20" t="n">
        <x:v>41974</x:v>
      </x:c>
    </x:row>
    <x:row r="8011" ht="18" customHeight="1">
      <x:c r="A8011" t="str">
        <x:v>CA-2016-139808</x:v>
      </x:c>
      <x:c r="B8011" s="18" t="n">
        <x:v>42650</x:v>
      </x:c>
      <x:c r="C8011" t="str">
        <x:v>MC-18100</x:v>
      </x:c>
      <x:c r="D8011" t="str">
        <x:v>Mick Crebagga</x:v>
      </x:c>
      <x:c r="E8011" t="str">
        <x:v>Consumer</x:v>
      </x:c>
      <x:c r="F8011" t="str">
        <x:v>West</x:v>
      </x:c>
      <x:c r="G8011" t="str">
        <x:v>Office Supplies</x:v>
      </x:c>
      <x:c r="H8011" t="str">
        <x:v>Fasteners</x:v>
      </x:c>
      <x:c r="I8011" s="22" t="n">
        <x:v>93.36</x:v>
      </x:c>
      <x:c r="J8011" s="24" t="n">
        <x:v>12</x:v>
      </x:c>
      <x:c r="K8011" s="26" t="n">
        <x:v>0</x:v>
      </x:c>
      <x:c r="L8011" s="22" t="n">
        <x:v>0.9335999999999984</x:v>
      </x:c>
      <x:c r="M8011" t="n">
        <x:v>2016</x:v>
      </x:c>
      <x:c r="N8011" s="20" t="n">
        <x:v>42644</x:v>
      </x:c>
    </x:row>
    <x:row r="8012" ht="18" customHeight="1">
      <x:c r="A8012" t="str">
        <x:v>CA-2015-110863</x:v>
      </x:c>
      <x:c r="B8012" s="18" t="n">
        <x:v>42325</x:v>
      </x:c>
      <x:c r="C8012" t="str">
        <x:v>AA-10645</x:v>
      </x:c>
      <x:c r="D8012" t="str">
        <x:v>Anna Andreadi</x:v>
      </x:c>
      <x:c r="E8012" t="str">
        <x:v>Consumer</x:v>
      </x:c>
      <x:c r="F8012" t="str">
        <x:v>Central</x:v>
      </x:c>
      <x:c r="G8012" t="str">
        <x:v>Office Supplies</x:v>
      </x:c>
      <x:c r="H8012" t="str">
        <x:v>Storage</x:v>
      </x:c>
      <x:c r="I8012" s="22" t="n">
        <x:v>541.24</x:v>
      </x:c>
      <x:c r="J8012" s="24" t="n">
        <x:v>4</x:v>
      </x:c>
      <x:c r="K8012" s="26" t="n">
        <x:v>0</x:v>
      </x:c>
      <x:c r="L8012" s="22" t="n">
        <x:v>5.412400000000048</x:v>
      </x:c>
      <x:c r="M8012" t="n">
        <x:v>2015</x:v>
      </x:c>
      <x:c r="N8012" s="20" t="n">
        <x:v>42309</x:v>
      </x:c>
    </x:row>
    <x:row r="8013" ht="18" customHeight="1">
      <x:c r="A8013" t="str">
        <x:v>CA-2015-110863</x:v>
      </x:c>
      <x:c r="B8013" s="18" t="n">
        <x:v>42325</x:v>
      </x:c>
      <x:c r="C8013" t="str">
        <x:v>AA-10645</x:v>
      </x:c>
      <x:c r="D8013" t="str">
        <x:v>Anna Andreadi</x:v>
      </x:c>
      <x:c r="E8013" t="str">
        <x:v>Consumer</x:v>
      </x:c>
      <x:c r="F8013" t="str">
        <x:v>Central</x:v>
      </x:c>
      <x:c r="G8013" t="str">
        <x:v>Office Supplies</x:v>
      </x:c>
      <x:c r="H8013" t="str">
        <x:v>Paper</x:v>
      </x:c>
      <x:c r="I8013" s="22" t="n">
        <x:v>106.32</x:v>
      </x:c>
      <x:c r="J8013" s="24" t="n">
        <x:v>3</x:v>
      </x:c>
      <x:c r="K8013" s="26" t="n">
        <x:v>0</x:v>
      </x:c>
      <x:c r="L8013" s="22" t="n">
        <x:v>49.97039999999999</x:v>
      </x:c>
      <x:c r="M8013" t="n">
        <x:v>2015</x:v>
      </x:c>
      <x:c r="N8013" s="20" t="n">
        <x:v>42309</x:v>
      </x:c>
    </x:row>
    <x:row r="8014" ht="18" customHeight="1">
      <x:c r="A8014" t="str">
        <x:v>CA-2015-110863</x:v>
      </x:c>
      <x:c r="B8014" s="18" t="n">
        <x:v>42325</x:v>
      </x:c>
      <x:c r="C8014" t="str">
        <x:v>AA-10645</x:v>
      </x:c>
      <x:c r="D8014" t="str">
        <x:v>Anna Andreadi</x:v>
      </x:c>
      <x:c r="E8014" t="str">
        <x:v>Consumer</x:v>
      </x:c>
      <x:c r="F8014" t="str">
        <x:v>Central</x:v>
      </x:c>
      <x:c r="G8014" t="str">
        <x:v>Furniture</x:v>
      </x:c>
      <x:c r="H8014" t="str">
        <x:v>Chairs</x:v>
      </x:c>
      <x:c r="I8014" s="22" t="n">
        <x:v>1323.8999999999999</x:v>
      </x:c>
      <x:c r="J8014" s="24" t="n">
        <x:v>5</x:v>
      </x:c>
      <x:c r="K8014" s="26" t="n">
        <x:v>0</x:v>
      </x:c>
      <x:c r="L8014" s="22" t="n">
        <x:v>383.9309999999999</x:v>
      </x:c>
      <x:c r="M8014" t="n">
        <x:v>2015</x:v>
      </x:c>
      <x:c r="N8014" s="20" t="n">
        <x:v>42309</x:v>
      </x:c>
    </x:row>
    <x:row r="8015" ht="18" customHeight="1">
      <x:c r="A8015" t="str">
        <x:v>CA-2014-127859</x:v>
      </x:c>
      <x:c r="B8015" s="18" t="n">
        <x:v>41715</x:v>
      </x:c>
      <x:c r="C8015" t="str">
        <x:v>QJ-19255</x:v>
      </x:c>
      <x:c r="D8015" t="str">
        <x:v>Quincy Jones</x:v>
      </x:c>
      <x:c r="E8015" t="str">
        <x:v>Corporate</x:v>
      </x:c>
      <x:c r="F8015" t="str">
        <x:v>East</x:v>
      </x:c>
      <x:c r="G8015" t="str">
        <x:v>Office Supplies</x:v>
      </x:c>
      <x:c r="H8015" t="str">
        <x:v>Paper</x:v>
      </x:c>
      <x:c r="I8015" s="22" t="n">
        <x:v>126.624</x:v>
      </x:c>
      <x:c r="J8015" s="24" t="n">
        <x:v>6</x:v>
      </x:c>
      <x:c r="K8015" s="26" t="n">
        <x:v>0.2</x:v>
      </x:c>
      <x:c r="L8015" s="22" t="n">
        <x:v>41.15279999999999</x:v>
      </x:c>
      <x:c r="M8015" t="n">
        <x:v>2014</x:v>
      </x:c>
      <x:c r="N8015" s="20" t="n">
        <x:v>41699</x:v>
      </x:c>
    </x:row>
    <x:row r="8016" ht="18" customHeight="1">
      <x:c r="A8016" t="str">
        <x:v>US-2015-136427</x:v>
      </x:c>
      <x:c r="B8016" s="18" t="n">
        <x:v>42175</x:v>
      </x:c>
      <x:c r="C8016" t="str">
        <x:v>JM-16195</x:v>
      </x:c>
      <x:c r="D8016" t="str">
        <x:v>Justin MacKendrick</x:v>
      </x:c>
      <x:c r="E8016" t="str">
        <x:v>Consumer</x:v>
      </x:c>
      <x:c r="F8016" t="str">
        <x:v>West</x:v>
      </x:c>
      <x:c r="G8016" t="str">
        <x:v>Technology</x:v>
      </x:c>
      <x:c r="H8016" t="str">
        <x:v>Phones</x:v>
      </x:c>
      <x:c r="I8016" s="22" t="n">
        <x:v>125.944</x:v>
      </x:c>
      <x:c r="J8016" s="24" t="n">
        <x:v>7</x:v>
      </x:c>
      <x:c r="K8016" s="26" t="n">
        <x:v>0.2</x:v>
      </x:c>
      <x:c r="L8016" s="22" t="n">
        <x:v>15.742999999999984</x:v>
      </x:c>
      <x:c r="M8016" t="n">
        <x:v>2015</x:v>
      </x:c>
      <x:c r="N8016" s="20" t="n">
        <x:v>42156</x:v>
      </x:c>
    </x:row>
    <x:row r="8017" ht="18" customHeight="1">
      <x:c r="A8017" t="str">
        <x:v>CA-2017-120168</x:v>
      </x:c>
      <x:c r="B8017" s="18" t="n">
        <x:v>42880</x:v>
      </x:c>
      <x:c r="C8017" t="str">
        <x:v>TB-21625</x:v>
      </x:c>
      <x:c r="D8017" t="str">
        <x:v>Trudy Brown</x:v>
      </x:c>
      <x:c r="E8017" t="str">
        <x:v>Consumer</x:v>
      </x:c>
      <x:c r="F8017" t="str">
        <x:v>East</x:v>
      </x:c>
      <x:c r="G8017" t="str">
        <x:v>Office Supplies</x:v>
      </x:c>
      <x:c r="H8017" t="str">
        <x:v>Binders</x:v>
      </x:c>
      <x:c r="I8017" s="22" t="n">
        <x:v>663.92</x:v>
      </x:c>
      <x:c r="J8017" s="24" t="n">
        <x:v>5</x:v>
      </x:c>
      <x:c r="K8017" s="26" t="n">
        <x:v>0.2</x:v>
      </x:c>
      <x:c r="L8017" s="22" t="n">
        <x:v>207.47499999999994</x:v>
      </x:c>
      <x:c r="M8017" t="n">
        <x:v>2017</x:v>
      </x:c>
      <x:c r="N8017" s="20" t="n">
        <x:v>42856</x:v>
      </x:c>
    </x:row>
    <x:row r="8018" ht="18" customHeight="1">
      <x:c r="A8018" t="str">
        <x:v>CA-2017-120168</x:v>
      </x:c>
      <x:c r="B8018" s="18" t="n">
        <x:v>42880</x:v>
      </x:c>
      <x:c r="C8018" t="str">
        <x:v>TB-21625</x:v>
      </x:c>
      <x:c r="D8018" t="str">
        <x:v>Trudy Brown</x:v>
      </x:c>
      <x:c r="E8018" t="str">
        <x:v>Consumer</x:v>
      </x:c>
      <x:c r="F8018" t="str">
        <x:v>East</x:v>
      </x:c>
      <x:c r="G8018" t="str">
        <x:v>Technology</x:v>
      </x:c>
      <x:c r="H8018" t="str">
        <x:v>Accessories</x:v>
      </x:c>
      <x:c r="I8018" s="22" t="n">
        <x:v>120</x:v>
      </x:c>
      <x:c r="J8018" s="24" t="n">
        <x:v>8</x:v>
      </x:c>
      <x:c r="K8018" s="26" t="n">
        <x:v>0</x:v>
      </x:c>
      <x:c r="L8018" s="22" t="n">
        <x:v>13.200000000000003</x:v>
      </x:c>
      <x:c r="M8018" t="n">
        <x:v>2017</x:v>
      </x:c>
      <x:c r="N8018" s="20" t="n">
        <x:v>42856</x:v>
      </x:c>
    </x:row>
    <x:row r="8019" ht="18" customHeight="1">
      <x:c r="A8019" t="str">
        <x:v>CA-2017-120168</x:v>
      </x:c>
      <x:c r="B8019" s="18" t="n">
        <x:v>42880</x:v>
      </x:c>
      <x:c r="C8019" t="str">
        <x:v>TB-21625</x:v>
      </x:c>
      <x:c r="D8019" t="str">
        <x:v>Trudy Brown</x:v>
      </x:c>
      <x:c r="E8019" t="str">
        <x:v>Consumer</x:v>
      </x:c>
      <x:c r="F8019" t="str">
        <x:v>East</x:v>
      </x:c>
      <x:c r="G8019" t="str">
        <x:v>Office Supplies</x:v>
      </x:c>
      <x:c r="H8019" t="str">
        <x:v>Fasteners</x:v>
      </x:c>
      <x:c r="I8019" s="22" t="n">
        <x:v>3.29</x:v>
      </x:c>
      <x:c r="J8019" s="24" t="n">
        <x:v>1</x:v>
      </x:c>
      <x:c r="K8019" s="26" t="n">
        <x:v>0</x:v>
      </x:c>
      <x:c r="L8019" s="22" t="n">
        <x:v>1.4805</x:v>
      </x:c>
      <x:c r="M8019" t="n">
        <x:v>2017</x:v>
      </x:c>
      <x:c r="N8019" s="20" t="n">
        <x:v>42856</x:v>
      </x:c>
    </x:row>
    <x:row r="8020" ht="18" customHeight="1">
      <x:c r="A8020" t="str">
        <x:v>CA-2017-120168</x:v>
      </x:c>
      <x:c r="B8020" s="18" t="n">
        <x:v>42880</x:v>
      </x:c>
      <x:c r="C8020" t="str">
        <x:v>TB-21625</x:v>
      </x:c>
      <x:c r="D8020" t="str">
        <x:v>Trudy Brown</x:v>
      </x:c>
      <x:c r="E8020" t="str">
        <x:v>Consumer</x:v>
      </x:c>
      <x:c r="F8020" t="str">
        <x:v>East</x:v>
      </x:c>
      <x:c r="G8020" t="str">
        <x:v>Furniture</x:v>
      </x:c>
      <x:c r="H8020" t="str">
        <x:v>Furnishings</x:v>
      </x:c>
      <x:c r="I8020" s="22" t="n">
        <x:v>18.84</x:v>
      </x:c>
      <x:c r="J8020" s="24" t="n">
        <x:v>3</x:v>
      </x:c>
      <x:c r="K8020" s="26" t="n">
        <x:v>0</x:v>
      </x:c>
      <x:c r="L8020" s="22" t="n">
        <x:v>6.0287999999999995</x:v>
      </x:c>
      <x:c r="M8020" t="n">
        <x:v>2017</x:v>
      </x:c>
      <x:c r="N8020" s="20" t="n">
        <x:v>42856</x:v>
      </x:c>
    </x:row>
    <x:row r="8021" ht="18" customHeight="1">
      <x:c r="A8021" t="str">
        <x:v>US-2014-131870</x:v>
      </x:c>
      <x:c r="B8021" s="18" t="n">
        <x:v>41891</x:v>
      </x:c>
      <x:c r="C8021" t="str">
        <x:v>NF-18595</x:v>
      </x:c>
      <x:c r="D8021" t="str">
        <x:v>Nicole Fjeld</x:v>
      </x:c>
      <x:c r="E8021" t="str">
        <x:v>Home Office</x:v>
      </x:c>
      <x:c r="F8021" t="str">
        <x:v>East</x:v>
      </x:c>
      <x:c r="G8021" t="str">
        <x:v>Furniture</x:v>
      </x:c>
      <x:c r="H8021" t="str">
        <x:v>Furnishings</x:v>
      </x:c>
      <x:c r="I8021" s="22" t="n">
        <x:v>60.67200000000001</x:v>
      </x:c>
      <x:c r="J8021" s="24" t="n">
        <x:v>6</x:v>
      </x:c>
      <x:c r="K8021" s="26" t="n">
        <x:v>0.2</x:v>
      </x:c>
      <x:c r="L8021" s="22" t="n">
        <x:v>12.892799999999998</x:v>
      </x:c>
      <x:c r="M8021" t="n">
        <x:v>2014</x:v>
      </x:c>
      <x:c r="N8021" s="20" t="n">
        <x:v>41883</x:v>
      </x:c>
    </x:row>
    <x:row r="8022" ht="18" customHeight="1">
      <x:c r="A8022" t="str">
        <x:v>US-2014-131870</x:v>
      </x:c>
      <x:c r="B8022" s="18" t="n">
        <x:v>41891</x:v>
      </x:c>
      <x:c r="C8022" t="str">
        <x:v>NF-18595</x:v>
      </x:c>
      <x:c r="D8022" t="str">
        <x:v>Nicole Fjeld</x:v>
      </x:c>
      <x:c r="E8022" t="str">
        <x:v>Home Office</x:v>
      </x:c>
      <x:c r="F8022" t="str">
        <x:v>East</x:v>
      </x:c>
      <x:c r="G8022" t="str">
        <x:v>Office Supplies</x:v>
      </x:c>
      <x:c r="H8022" t="str">
        <x:v>Art</x:v>
      </x:c>
      <x:c r="I8022" s="22" t="n">
        <x:v>30.816000000000003</x:v>
      </x:c>
      <x:c r="J8022" s="24" t="n">
        <x:v>9</x:v>
      </x:c>
      <x:c r="K8022" s="26" t="n">
        <x:v>0.2</x:v>
      </x:c>
      <x:c r="L8022" s="22" t="n">
        <x:v>2.6964000000000006</x:v>
      </x:c>
      <x:c r="M8022" t="n">
        <x:v>2014</x:v>
      </x:c>
      <x:c r="N8022" s="20" t="n">
        <x:v>41883</x:v>
      </x:c>
    </x:row>
    <x:row r="8023" ht="18" customHeight="1">
      <x:c r="A8023" t="str">
        <x:v>CA-2017-114804</x:v>
      </x:c>
      <x:c r="B8023" s="18" t="n">
        <x:v>43025</x:v>
      </x:c>
      <x:c r="C8023" t="str">
        <x:v>BF-11020</x:v>
      </x:c>
      <x:c r="D8023" t="str">
        <x:v>Barry Französisch</x:v>
      </x:c>
      <x:c r="E8023" t="str">
        <x:v>Corporate</x:v>
      </x:c>
      <x:c r="F8023" t="str">
        <x:v>West</x:v>
      </x:c>
      <x:c r="G8023" t="str">
        <x:v>Technology</x:v>
      </x:c>
      <x:c r="H8023" t="str">
        <x:v>Phones</x:v>
      </x:c>
      <x:c r="I8023" s="22" t="n">
        <x:v>52.792</x:v>
      </x:c>
      <x:c r="J8023" s="24" t="n">
        <x:v>1</x:v>
      </x:c>
      <x:c r="K8023" s="26" t="n">
        <x:v>0.2</x:v>
      </x:c>
      <x:c r="L8023" s="22" t="n">
        <x:v>4.619300000000003</x:v>
      </x:c>
      <x:c r="M8023" t="n">
        <x:v>2017</x:v>
      </x:c>
      <x:c r="N8023" s="20" t="n">
        <x:v>43009</x:v>
      </x:c>
    </x:row>
    <x:row r="8024" ht="18" customHeight="1">
      <x:c r="A8024" t="str">
        <x:v>CA-2017-167227</x:v>
      </x:c>
      <x:c r="B8024" s="18" t="n">
        <x:v>43041</x:v>
      </x:c>
      <x:c r="C8024" t="str">
        <x:v>NP-18670</x:v>
      </x:c>
      <x:c r="D8024" t="str">
        <x:v>Nora Paige</x:v>
      </x:c>
      <x:c r="E8024" t="str">
        <x:v>Consumer</x:v>
      </x:c>
      <x:c r="F8024" t="str">
        <x:v>Central</x:v>
      </x:c>
      <x:c r="G8024" t="str">
        <x:v>Office Supplies</x:v>
      </x:c>
      <x:c r="H8024" t="str">
        <x:v>Appliances</x:v>
      </x:c>
      <x:c r="I8024" s="22" t="n">
        <x:v>83.9</x:v>
      </x:c>
      <x:c r="J8024" s="24" t="n">
        <x:v>10</x:v>
      </x:c>
      <x:c r="K8024" s="26" t="n">
        <x:v>0</x:v>
      </x:c>
      <x:c r="L8024" s="22" t="n">
        <x:v>20.975</x:v>
      </x:c>
      <x:c r="M8024" t="n">
        <x:v>2017</x:v>
      </x:c>
      <x:c r="N8024" s="20" t="n">
        <x:v>43040</x:v>
      </x:c>
    </x:row>
    <x:row r="8025" ht="18" customHeight="1">
      <x:c r="A8025" t="str">
        <x:v>CA-2017-167227</x:v>
      </x:c>
      <x:c r="B8025" s="18" t="n">
        <x:v>43041</x:v>
      </x:c>
      <x:c r="C8025" t="str">
        <x:v>NP-18670</x:v>
      </x:c>
      <x:c r="D8025" t="str">
        <x:v>Nora Paige</x:v>
      </x:c>
      <x:c r="E8025" t="str">
        <x:v>Consumer</x:v>
      </x:c>
      <x:c r="F8025" t="str">
        <x:v>Central</x:v>
      </x:c>
      <x:c r="G8025" t="str">
        <x:v>Office Supplies</x:v>
      </x:c>
      <x:c r="H8025" t="str">
        <x:v>Paper</x:v>
      </x:c>
      <x:c r="I8025" s="22" t="n">
        <x:v>11.76</x:v>
      </x:c>
      <x:c r="J8025" s="24" t="n">
        <x:v>2</x:v>
      </x:c>
      <x:c r="K8025" s="26" t="n">
        <x:v>0</x:v>
      </x:c>
      <x:c r="L8025" s="22" t="n">
        <x:v>5.7623999999999995</x:v>
      </x:c>
      <x:c r="M8025" t="n">
        <x:v>2017</x:v>
      </x:c>
      <x:c r="N8025" s="20" t="n">
        <x:v>43040</x:v>
      </x:c>
    </x:row>
    <x:row r="8026" ht="18" customHeight="1">
      <x:c r="A8026" t="str">
        <x:v>CA-2014-129189</x:v>
      </x:c>
      <x:c r="B8026" s="18" t="n">
        <x:v>41841</x:v>
      </x:c>
      <x:c r="C8026" t="str">
        <x:v>HM-14860</x:v>
      </x:c>
      <x:c r="D8026" t="str">
        <x:v>Harry Marie</x:v>
      </x:c>
      <x:c r="E8026" t="str">
        <x:v>Corporate</x:v>
      </x:c>
      <x:c r="F8026" t="str">
        <x:v>Central</x:v>
      </x:c>
      <x:c r="G8026" t="str">
        <x:v>Office Supplies</x:v>
      </x:c>
      <x:c r="H8026" t="str">
        <x:v>Appliances</x:v>
      </x:c>
      <x:c r="I8026" s="22" t="n">
        <x:v>4.991999999999999</x:v>
      </x:c>
      <x:c r="J8026" s="24" t="n">
        <x:v>3</x:v>
      </x:c>
      <x:c r="K8026" s="26" t="n">
        <x:v>0.8</x:v>
      </x:c>
      <x:c r="L8026" s="22" t="n">
        <x:v>-12.979200000000002</x:v>
      </x:c>
      <x:c r="M8026" t="n">
        <x:v>2014</x:v>
      </x:c>
      <x:c r="N8026" s="20" t="n">
        <x:v>41821</x:v>
      </x:c>
    </x:row>
    <x:row r="8027" ht="18" customHeight="1">
      <x:c r="A8027" t="str">
        <x:v>CA-2014-129189</x:v>
      </x:c>
      <x:c r="B8027" s="18" t="n">
        <x:v>41841</x:v>
      </x:c>
      <x:c r="C8027" t="str">
        <x:v>HM-14860</x:v>
      </x:c>
      <x:c r="D8027" t="str">
        <x:v>Harry Marie</x:v>
      </x:c>
      <x:c r="E8027" t="str">
        <x:v>Corporate</x:v>
      </x:c>
      <x:c r="F8027" t="str">
        <x:v>Central</x:v>
      </x:c>
      <x:c r="G8027" t="str">
        <x:v>Office Supplies</x:v>
      </x:c>
      <x:c r="H8027" t="str">
        <x:v>Envelopes</x:v>
      </x:c>
      <x:c r="I8027" s="22" t="n">
        <x:v>87.92</x:v>
      </x:c>
      <x:c r="J8027" s="24" t="n">
        <x:v>5</x:v>
      </x:c>
      <x:c r="K8027" s="26" t="n">
        <x:v>0.2</x:v>
      </x:c>
      <x:c r="L8027" s="22" t="n">
        <x:v>29.673000000000005</x:v>
      </x:c>
      <x:c r="M8027" t="n">
        <x:v>2014</x:v>
      </x:c>
      <x:c r="N8027" s="20" t="n">
        <x:v>41821</x:v>
      </x:c>
    </x:row>
    <x:row r="8028" ht="18" customHeight="1">
      <x:c r="A8028" t="str">
        <x:v>CA-2014-129189</x:v>
      </x:c>
      <x:c r="B8028" s="18" t="n">
        <x:v>41841</x:v>
      </x:c>
      <x:c r="C8028" t="str">
        <x:v>HM-14860</x:v>
      </x:c>
      <x:c r="D8028" t="str">
        <x:v>Harry Marie</x:v>
      </x:c>
      <x:c r="E8028" t="str">
        <x:v>Corporate</x:v>
      </x:c>
      <x:c r="F8028" t="str">
        <x:v>Central</x:v>
      </x:c>
      <x:c r="G8028" t="str">
        <x:v>Furniture</x:v>
      </x:c>
      <x:c r="H8028" t="str">
        <x:v>Chairs</x:v>
      </x:c>
      <x:c r="I8028" s="22" t="n">
        <x:v>657.93</x:v>
      </x:c>
      <x:c r="J8028" s="24" t="n">
        <x:v>5</x:v>
      </x:c>
      <x:c r="K8028" s="26" t="n">
        <x:v>0.3</x:v>
      </x:c>
      <x:c r="L8028" s="22" t="n">
        <x:v>-93.98999999999995</x:v>
      </x:c>
      <x:c r="M8028" t="n">
        <x:v>2014</x:v>
      </x:c>
      <x:c r="N8028" s="20" t="n">
        <x:v>41821</x:v>
      </x:c>
    </x:row>
    <x:row r="8029" ht="18" customHeight="1">
      <x:c r="A8029" t="str">
        <x:v>CA-2014-129189</x:v>
      </x:c>
      <x:c r="B8029" s="18" t="n">
        <x:v>41841</x:v>
      </x:c>
      <x:c r="C8029" t="str">
        <x:v>HM-14860</x:v>
      </x:c>
      <x:c r="D8029" t="str">
        <x:v>Harry Marie</x:v>
      </x:c>
      <x:c r="E8029" t="str">
        <x:v>Corporate</x:v>
      </x:c>
      <x:c r="F8029" t="str">
        <x:v>Central</x:v>
      </x:c>
      <x:c r="G8029" t="str">
        <x:v>Office Supplies</x:v>
      </x:c>
      <x:c r="H8029" t="str">
        <x:v>Binders</x:v>
      </x:c>
      <x:c r="I8029" s="22" t="n">
        <x:v>1.0439999999999998</x:v>
      </x:c>
      <x:c r="J8029" s="24" t="n">
        <x:v>1</x:v>
      </x:c>
      <x:c r="K8029" s="26" t="n">
        <x:v>0.8</x:v>
      </x:c>
      <x:c r="L8029" s="22" t="n">
        <x:v>-1.8270000000000004</x:v>
      </x:c>
      <x:c r="M8029" t="n">
        <x:v>2014</x:v>
      </x:c>
      <x:c r="N8029" s="20" t="n">
        <x:v>41821</x:v>
      </x:c>
    </x:row>
    <x:row r="8030" ht="18" customHeight="1">
      <x:c r="A8030" t="str">
        <x:v>CA-2015-132465</x:v>
      </x:c>
      <x:c r="B8030" s="18" t="n">
        <x:v>42258</x:v>
      </x:c>
      <x:c r="C8030" t="str">
        <x:v>DM-13525</x:v>
      </x:c>
      <x:c r="D8030" t="str">
        <x:v>Don Miller</x:v>
      </x:c>
      <x:c r="E8030" t="str">
        <x:v>Corporate</x:v>
      </x:c>
      <x:c r="F8030" t="str">
        <x:v>East</x:v>
      </x:c>
      <x:c r="G8030" t="str">
        <x:v>Furniture</x:v>
      </x:c>
      <x:c r="H8030" t="str">
        <x:v>Furnishings</x:v>
      </x:c>
      <x:c r="I8030" s="22" t="n">
        <x:v>210.68</x:v>
      </x:c>
      <x:c r="J8030" s="24" t="n">
        <x:v>2</x:v>
      </x:c>
      <x:c r="K8030" s="26" t="n">
        <x:v>0</x:v>
      </x:c>
      <x:c r="L8030" s="22" t="n">
        <x:v>50.563199999999995</x:v>
      </x:c>
      <x:c r="M8030" t="n">
        <x:v>2015</x:v>
      </x:c>
      <x:c r="N8030" s="20" t="n">
        <x:v>42248</x:v>
      </x:c>
    </x:row>
    <x:row r="8031" ht="18" customHeight="1">
      <x:c r="A8031" t="str">
        <x:v>CA-2015-132465</x:v>
      </x:c>
      <x:c r="B8031" s="18" t="n">
        <x:v>42258</x:v>
      </x:c>
      <x:c r="C8031" t="str">
        <x:v>DM-13525</x:v>
      </x:c>
      <x:c r="D8031" t="str">
        <x:v>Don Miller</x:v>
      </x:c>
      <x:c r="E8031" t="str">
        <x:v>Corporate</x:v>
      </x:c>
      <x:c r="F8031" t="str">
        <x:v>East</x:v>
      </x:c>
      <x:c r="G8031" t="str">
        <x:v>Office Supplies</x:v>
      </x:c>
      <x:c r="H8031" t="str">
        <x:v>Storage</x:v>
      </x:c>
      <x:c r="I8031" s="22" t="n">
        <x:v>78.8</x:v>
      </x:c>
      <x:c r="J8031" s="24" t="n">
        <x:v>1</x:v>
      </x:c>
      <x:c r="K8031" s="26" t="n">
        <x:v>0</x:v>
      </x:c>
      <x:c r="L8031" s="22" t="n">
        <x:v>1.5760000000000076</x:v>
      </x:c>
      <x:c r="M8031" t="n">
        <x:v>2015</x:v>
      </x:c>
      <x:c r="N8031" s="20" t="n">
        <x:v>42248</x:v>
      </x:c>
    </x:row>
    <x:row r="8032" ht="18" customHeight="1">
      <x:c r="A8032" t="str">
        <x:v>CA-2015-132465</x:v>
      </x:c>
      <x:c r="B8032" s="18" t="n">
        <x:v>42258</x:v>
      </x:c>
      <x:c r="C8032" t="str">
        <x:v>DM-13525</x:v>
      </x:c>
      <x:c r="D8032" t="str">
        <x:v>Don Miller</x:v>
      </x:c>
      <x:c r="E8032" t="str">
        <x:v>Corporate</x:v>
      </x:c>
      <x:c r="F8032" t="str">
        <x:v>East</x:v>
      </x:c>
      <x:c r="G8032" t="str">
        <x:v>Technology</x:v>
      </x:c>
      <x:c r="H8032" t="str">
        <x:v>Accessories</x:v>
      </x:c>
      <x:c r="I8032" s="22" t="n">
        <x:v>19.99</x:v>
      </x:c>
      <x:c r="J8032" s="24" t="n">
        <x:v>1</x:v>
      </x:c>
      <x:c r="K8032" s="26" t="n">
        <x:v>0</x:v>
      </x:c>
      <x:c r="L8032" s="22" t="n">
        <x:v>6.796599999999998</x:v>
      </x:c>
      <x:c r="M8032" t="n">
        <x:v>2015</x:v>
      </x:c>
      <x:c r="N8032" s="20" t="n">
        <x:v>42248</x:v>
      </x:c>
    </x:row>
    <x:row r="8033" ht="18" customHeight="1">
      <x:c r="A8033" t="str">
        <x:v>CA-2015-132465</x:v>
      </x:c>
      <x:c r="B8033" s="18" t="n">
        <x:v>42258</x:v>
      </x:c>
      <x:c r="C8033" t="str">
        <x:v>DM-13525</x:v>
      </x:c>
      <x:c r="D8033" t="str">
        <x:v>Don Miller</x:v>
      </x:c>
      <x:c r="E8033" t="str">
        <x:v>Corporate</x:v>
      </x:c>
      <x:c r="F8033" t="str">
        <x:v>East</x:v>
      </x:c>
      <x:c r="G8033" t="str">
        <x:v>Office Supplies</x:v>
      </x:c>
      <x:c r="H8033" t="str">
        <x:v>Storage</x:v>
      </x:c>
      <x:c r="I8033" s="22" t="n">
        <x:v>772.68</x:v>
      </x:c>
      <x:c r="J8033" s="24" t="n">
        <x:v>4</x:v>
      </x:c>
      <x:c r="K8033" s="26" t="n">
        <x:v>0</x:v>
      </x:c>
      <x:c r="L8033" s="22" t="n">
        <x:v>108.17520000000002</x:v>
      </x:c>
      <x:c r="M8033" t="n">
        <x:v>2015</x:v>
      </x:c>
      <x:c r="N8033" s="20" t="n">
        <x:v>42248</x:v>
      </x:c>
    </x:row>
    <x:row r="8034" ht="18" customHeight="1">
      <x:c r="A8034" t="str">
        <x:v>CA-2016-166373</x:v>
      </x:c>
      <x:c r="B8034" s="18" t="n">
        <x:v>42664</x:v>
      </x:c>
      <x:c r="C8034" t="str">
        <x:v>JF-15565</x:v>
      </x:c>
      <x:c r="D8034" t="str">
        <x:v>Jill Fjeld</x:v>
      </x:c>
      <x:c r="E8034" t="str">
        <x:v>Consumer</x:v>
      </x:c>
      <x:c r="F8034" t="str">
        <x:v>Central</x:v>
      </x:c>
      <x:c r="G8034" t="str">
        <x:v>Technology</x:v>
      </x:c>
      <x:c r="H8034" t="str">
        <x:v>Accessories</x:v>
      </x:c>
      <x:c r="I8034" s="22" t="n">
        <x:v>106.08000000000001</x:v>
      </x:c>
      <x:c r="J8034" s="24" t="n">
        <x:v>6</x:v>
      </x:c>
      <x:c r="K8034" s="26" t="n">
        <x:v>0.2</x:v>
      </x:c>
      <x:c r="L8034" s="22" t="n">
        <x:v>-9.281999999999996</x:v>
      </x:c>
      <x:c r="M8034" t="n">
        <x:v>2016</x:v>
      </x:c>
      <x:c r="N8034" s="20" t="n">
        <x:v>42644</x:v>
      </x:c>
    </x:row>
    <x:row r="8035" ht="18" customHeight="1">
      <x:c r="A8035" t="str">
        <x:v>CA-2016-158806</x:v>
      </x:c>
      <x:c r="B8035" s="18" t="n">
        <x:v>42376</x:v>
      </x:c>
      <x:c r="C8035" t="str">
        <x:v>NM-18520</x:v>
      </x:c>
      <x:c r="D8035" t="str">
        <x:v>Neoma Murray</x:v>
      </x:c>
      <x:c r="E8035" t="str">
        <x:v>Consumer</x:v>
      </x:c>
      <x:c r="F8035" t="str">
        <x:v>Central</x:v>
      </x:c>
      <x:c r="G8035" t="str">
        <x:v>Furniture</x:v>
      </x:c>
      <x:c r="H8035" t="str">
        <x:v>Furnishings</x:v>
      </x:c>
      <x:c r="I8035" s="22" t="n">
        <x:v>23.076</x:v>
      </x:c>
      <x:c r="J8035" s="24" t="n">
        <x:v>3</x:v>
      </x:c>
      <x:c r="K8035" s="26" t="n">
        <x:v>0.6</x:v>
      </x:c>
      <x:c r="L8035" s="22" t="n">
        <x:v>-10.961100000000002</x:v>
      </x:c>
      <x:c r="M8035" t="n">
        <x:v>2016</x:v>
      </x:c>
      <x:c r="N8035" s="20" t="n">
        <x:v>42370</x:v>
      </x:c>
    </x:row>
    <x:row r="8036" ht="18" customHeight="1">
      <x:c r="A8036" t="str">
        <x:v>CA-2016-158806</x:v>
      </x:c>
      <x:c r="B8036" s="18" t="n">
        <x:v>42376</x:v>
      </x:c>
      <x:c r="C8036" t="str">
        <x:v>NM-18520</x:v>
      </x:c>
      <x:c r="D8036" t="str">
        <x:v>Neoma Murray</x:v>
      </x:c>
      <x:c r="E8036" t="str">
        <x:v>Consumer</x:v>
      </x:c>
      <x:c r="F8036" t="str">
        <x:v>Central</x:v>
      </x:c>
      <x:c r="G8036" t="str">
        <x:v>Office Supplies</x:v>
      </x:c>
      <x:c r="H8036" t="str">
        <x:v>Paper</x:v>
      </x:c>
      <x:c r="I8036" s="22" t="n">
        <x:v>25.920000000000005</x:v>
      </x:c>
      <x:c r="J8036" s="24" t="n">
        <x:v>5</x:v>
      </x:c>
      <x:c r="K8036" s="26" t="n">
        <x:v>0.2</x:v>
      </x:c>
      <x:c r="L8036" s="22" t="n">
        <x:v>9.072</x:v>
      </x:c>
      <x:c r="M8036" t="n">
        <x:v>2016</x:v>
      </x:c>
      <x:c r="N8036" s="20" t="n">
        <x:v>42370</x:v>
      </x:c>
    </x:row>
    <x:row r="8037" ht="18" customHeight="1">
      <x:c r="A8037" t="str">
        <x:v>CA-2015-119690</x:v>
      </x:c>
      <x:c r="B8037" s="18" t="n">
        <x:v>42180</x:v>
      </x:c>
      <x:c r="C8037" t="str">
        <x:v>MV-17485</x:v>
      </x:c>
      <x:c r="D8037" t="str">
        <x:v>Mark Van Huff</x:v>
      </x:c>
      <x:c r="E8037" t="str">
        <x:v>Consumer</x:v>
      </x:c>
      <x:c r="F8037" t="str">
        <x:v>Central</x:v>
      </x:c>
      <x:c r="G8037" t="str">
        <x:v>Office Supplies</x:v>
      </x:c>
      <x:c r="H8037" t="str">
        <x:v>Paper</x:v>
      </x:c>
      <x:c r="I8037" s="22" t="n">
        <x:v>47.952000000000005</x:v>
      </x:c>
      <x:c r="J8037" s="24" t="n">
        <x:v>3</x:v>
      </x:c>
      <x:c r="K8037" s="26" t="n">
        <x:v>0.2</x:v>
      </x:c>
      <x:c r="L8037" s="22" t="n">
        <x:v>16.183799999999998</x:v>
      </x:c>
      <x:c r="M8037" t="n">
        <x:v>2015</x:v>
      </x:c>
      <x:c r="N8037" s="20" t="n">
        <x:v>42156</x:v>
      </x:c>
    </x:row>
    <x:row r="8038" ht="18" customHeight="1">
      <x:c r="A8038" t="str">
        <x:v>CA-2015-119690</x:v>
      </x:c>
      <x:c r="B8038" s="18" t="n">
        <x:v>42180</x:v>
      </x:c>
      <x:c r="C8038" t="str">
        <x:v>MV-17485</x:v>
      </x:c>
      <x:c r="D8038" t="str">
        <x:v>Mark Van Huff</x:v>
      </x:c>
      <x:c r="E8038" t="str">
        <x:v>Consumer</x:v>
      </x:c>
      <x:c r="F8038" t="str">
        <x:v>Central</x:v>
      </x:c>
      <x:c r="G8038" t="str">
        <x:v>Office Supplies</x:v>
      </x:c>
      <x:c r="H8038" t="str">
        <x:v>Binders</x:v>
      </x:c>
      <x:c r="I8038" s="22" t="n">
        <x:v>0.9839999999999998</x:v>
      </x:c>
      <x:c r="J8038" s="24" t="n">
        <x:v>2</x:v>
      </x:c>
      <x:c r="K8038" s="26" t="n">
        <x:v>0.8</x:v>
      </x:c>
      <x:c r="L8038" s="22" t="n">
        <x:v>-1.476</x:v>
      </x:c>
      <x:c r="M8038" t="n">
        <x:v>2015</x:v>
      </x:c>
      <x:c r="N8038" s="20" t="n">
        <x:v>42156</x:v>
      </x:c>
    </x:row>
    <x:row r="8039" ht="18" customHeight="1">
      <x:c r="A8039" t="str">
        <x:v>CA-2015-119690</x:v>
      </x:c>
      <x:c r="B8039" s="18" t="n">
        <x:v>42180</x:v>
      </x:c>
      <x:c r="C8039" t="str">
        <x:v>MV-17485</x:v>
      </x:c>
      <x:c r="D8039" t="str">
        <x:v>Mark Van Huff</x:v>
      </x:c>
      <x:c r="E8039" t="str">
        <x:v>Consumer</x:v>
      </x:c>
      <x:c r="F8039" t="str">
        <x:v>Central</x:v>
      </x:c>
      <x:c r="G8039" t="str">
        <x:v>Furniture</x:v>
      </x:c>
      <x:c r="H8039" t="str">
        <x:v>Furnishings</x:v>
      </x:c>
      <x:c r="I8039" s="22" t="n">
        <x:v>75.38400000000001</x:v>
      </x:c>
      <x:c r="J8039" s="24" t="n">
        <x:v>9</x:v>
      </x:c>
      <x:c r="K8039" s="26" t="n">
        <x:v>0.6</x:v>
      </x:c>
      <x:c r="L8039" s="22" t="n">
        <x:v>-20.730599999999995</x:v>
      </x:c>
      <x:c r="M8039" t="n">
        <x:v>2015</x:v>
      </x:c>
      <x:c r="N8039" s="20" t="n">
        <x:v>42156</x:v>
      </x:c>
    </x:row>
    <x:row r="8040" ht="18" customHeight="1">
      <x:c r="A8040" t="str">
        <x:v>CA-2015-119690</x:v>
      </x:c>
      <x:c r="B8040" s="18" t="n">
        <x:v>42180</x:v>
      </x:c>
      <x:c r="C8040" t="str">
        <x:v>MV-17485</x:v>
      </x:c>
      <x:c r="D8040" t="str">
        <x:v>Mark Van Huff</x:v>
      </x:c>
      <x:c r="E8040" t="str">
        <x:v>Consumer</x:v>
      </x:c>
      <x:c r="F8040" t="str">
        <x:v>Central</x:v>
      </x:c>
      <x:c r="G8040" t="str">
        <x:v>Office Supplies</x:v>
      </x:c>
      <x:c r="H8040" t="str">
        <x:v>Labels</x:v>
      </x:c>
      <x:c r="I8040" s="22" t="n">
        <x:v>4.608</x:v>
      </x:c>
      <x:c r="J8040" s="24" t="n">
        <x:v>2</x:v>
      </x:c>
      <x:c r="K8040" s="26" t="n">
        <x:v>0.2</x:v>
      </x:c>
      <x:c r="L8040" s="22" t="n">
        <x:v>1.6704</x:v>
      </x:c>
      <x:c r="M8040" t="n">
        <x:v>2015</x:v>
      </x:c>
      <x:c r="N8040" s="20" t="n">
        <x:v>42156</x:v>
      </x:c>
    </x:row>
    <x:row r="8041" ht="18" customHeight="1">
      <x:c r="A8041" t="str">
        <x:v>CA-2015-153738</x:v>
      </x:c>
      <x:c r="B8041" s="18" t="n">
        <x:v>42267</x:v>
      </x:c>
      <x:c r="C8041" t="str">
        <x:v>AG-10270</x:v>
      </x:c>
      <x:c r="D8041" t="str">
        <x:v>Alejandro Grove</x:v>
      </x:c>
      <x:c r="E8041" t="str">
        <x:v>Consumer</x:v>
      </x:c>
      <x:c r="F8041" t="str">
        <x:v>East</x:v>
      </x:c>
      <x:c r="G8041" t="str">
        <x:v>Office Supplies</x:v>
      </x:c>
      <x:c r="H8041" t="str">
        <x:v>Binders</x:v>
      </x:c>
      <x:c r="I8041" s="22" t="n">
        <x:v>37.68</x:v>
      </x:c>
      <x:c r="J8041" s="24" t="n">
        <x:v>6</x:v>
      </x:c>
      <x:c r="K8041" s="26" t="n">
        <x:v>0</x:v>
      </x:c>
      <x:c r="L8041" s="22" t="n">
        <x:v>16.955999999999996</x:v>
      </x:c>
      <x:c r="M8041" t="n">
        <x:v>2015</x:v>
      </x:c>
      <x:c r="N8041" s="20" t="n">
        <x:v>42248</x:v>
      </x:c>
    </x:row>
    <x:row r="8042" ht="18" customHeight="1">
      <x:c r="A8042" t="str">
        <x:v>CA-2017-169012</x:v>
      </x:c>
      <x:c r="B8042" s="18" t="n">
        <x:v>42926</x:v>
      </x:c>
      <x:c r="C8042" t="str">
        <x:v>BF-11275</x:v>
      </x:c>
      <x:c r="D8042" t="str">
        <x:v>Beth Fritzler</x:v>
      </x:c>
      <x:c r="E8042" t="str">
        <x:v>Corporate</x:v>
      </x:c>
      <x:c r="F8042" t="str">
        <x:v>South</x:v>
      </x:c>
      <x:c r="G8042" t="str">
        <x:v>Office Supplies</x:v>
      </x:c>
      <x:c r="H8042" t="str">
        <x:v>Appliances</x:v>
      </x:c>
      <x:c r="I8042" s="22" t="n">
        <x:v>41.910000000000004</x:v>
      </x:c>
      <x:c r="J8042" s="24" t="n">
        <x:v>3</x:v>
      </x:c>
      <x:c r="K8042" s="26" t="n">
        <x:v>0</x:v>
      </x:c>
      <x:c r="L8042" s="22" t="n">
        <x:v>10.896600000000003</x:v>
      </x:c>
      <x:c r="M8042" t="n">
        <x:v>2017</x:v>
      </x:c>
      <x:c r="N8042" s="20" t="n">
        <x:v>42917</x:v>
      </x:c>
    </x:row>
    <x:row r="8043" ht="18" customHeight="1">
      <x:c r="A8043" t="str">
        <x:v>CA-2017-109393</x:v>
      </x:c>
      <x:c r="B8043" s="18" t="n">
        <x:v>42916</x:v>
      </x:c>
      <x:c r="C8043" t="str">
        <x:v>JC-15775</x:v>
      </x:c>
      <x:c r="D8043" t="str">
        <x:v>John Castell</x:v>
      </x:c>
      <x:c r="E8043" t="str">
        <x:v>Consumer</x:v>
      </x:c>
      <x:c r="F8043" t="str">
        <x:v>West</x:v>
      </x:c>
      <x:c r="G8043" t="str">
        <x:v>Furniture</x:v>
      </x:c>
      <x:c r="H8043" t="str">
        <x:v>Bookcases</x:v>
      </x:c>
      <x:c r="I8043" s="22" t="n">
        <x:v>435.999</x:v>
      </x:c>
      <x:c r="J8043" s="24" t="n">
        <x:v>3</x:v>
      </x:c>
      <x:c r="K8043" s="26" t="n">
        <x:v>0.15</x:v>
      </x:c>
      <x:c r="L8043" s="22" t="n">
        <x:v>5.1293999999999755</x:v>
      </x:c>
      <x:c r="M8043" t="n">
        <x:v>2017</x:v>
      </x:c>
      <x:c r="N8043" s="20" t="n">
        <x:v>42887</x:v>
      </x:c>
    </x:row>
    <x:row r="8044" ht="18" customHeight="1">
      <x:c r="A8044" t="str">
        <x:v>CA-2017-121489</x:v>
      </x:c>
      <x:c r="B8044" s="18" t="n">
        <x:v>42968</x:v>
      </x:c>
      <x:c r="C8044" t="str">
        <x:v>CM-11815</x:v>
      </x:c>
      <x:c r="D8044" t="str">
        <x:v>Candace McMahon</x:v>
      </x:c>
      <x:c r="E8044" t="str">
        <x:v>Corporate</x:v>
      </x:c>
      <x:c r="F8044" t="str">
        <x:v>West</x:v>
      </x:c>
      <x:c r="G8044" t="str">
        <x:v>Furniture</x:v>
      </x:c>
      <x:c r="H8044" t="str">
        <x:v>Chairs</x:v>
      </x:c>
      <x:c r="I8044" s="22" t="n">
        <x:v>388.70400000000006</x:v>
      </x:c>
      <x:c r="J8044" s="24" t="n">
        <x:v>6</x:v>
      </x:c>
      <x:c r="K8044" s="26" t="n">
        <x:v>0.2</x:v>
      </x:c>
      <x:c r="L8044" s="22" t="n">
        <x:v>38.87040000000002</x:v>
      </x:c>
      <x:c r="M8044" t="n">
        <x:v>2017</x:v>
      </x:c>
      <x:c r="N8044" s="20" t="n">
        <x:v>42948</x:v>
      </x:c>
    </x:row>
    <x:row r="8045" ht="18" customHeight="1">
      <x:c r="A8045" t="str">
        <x:v>CA-2017-121489</x:v>
      </x:c>
      <x:c r="B8045" s="18" t="n">
        <x:v>42968</x:v>
      </x:c>
      <x:c r="C8045" t="str">
        <x:v>CM-11815</x:v>
      </x:c>
      <x:c r="D8045" t="str">
        <x:v>Candace McMahon</x:v>
      </x:c>
      <x:c r="E8045" t="str">
        <x:v>Corporate</x:v>
      </x:c>
      <x:c r="F8045" t="str">
        <x:v>West</x:v>
      </x:c>
      <x:c r="G8045" t="str">
        <x:v>Office Supplies</x:v>
      </x:c>
      <x:c r="H8045" t="str">
        <x:v>Storage</x:v>
      </x:c>
      <x:c r="I8045" s="22" t="n">
        <x:v>572.58</x:v>
      </x:c>
      <x:c r="J8045" s="24" t="n">
        <x:v>6</x:v>
      </x:c>
      <x:c r="K8045" s="26" t="n">
        <x:v>0</x:v>
      </x:c>
      <x:c r="L8045" s="22" t="n">
        <x:v>34.354799999999955</x:v>
      </x:c>
      <x:c r="M8045" t="n">
        <x:v>2017</x:v>
      </x:c>
      <x:c r="N8045" s="20" t="n">
        <x:v>42948</x:v>
      </x:c>
    </x:row>
    <x:row r="8046" ht="18" customHeight="1">
      <x:c r="A8046" t="str">
        <x:v>CA-2017-121489</x:v>
      </x:c>
      <x:c r="B8046" s="18" t="n">
        <x:v>42968</x:v>
      </x:c>
      <x:c r="C8046" t="str">
        <x:v>CM-11815</x:v>
      </x:c>
      <x:c r="D8046" t="str">
        <x:v>Candace McMahon</x:v>
      </x:c>
      <x:c r="E8046" t="str">
        <x:v>Corporate</x:v>
      </x:c>
      <x:c r="F8046" t="str">
        <x:v>West</x:v>
      </x:c>
      <x:c r="G8046" t="str">
        <x:v>Technology</x:v>
      </x:c>
      <x:c r="H8046" t="str">
        <x:v>Accessories</x:v>
      </x:c>
      <x:c r="I8046" s="22" t="n">
        <x:v>33.18</x:v>
      </x:c>
      <x:c r="J8046" s="24" t="n">
        <x:v>2</x:v>
      </x:c>
      <x:c r="K8046" s="26" t="n">
        <x:v>0</x:v>
      </x:c>
      <x:c r="L8046" s="22" t="n">
        <x:v>11.613</x:v>
      </x:c>
      <x:c r="M8046" t="n">
        <x:v>2017</x:v>
      </x:c>
      <x:c r="N8046" s="20" t="n">
        <x:v>42948</x:v>
      </x:c>
    </x:row>
    <x:row r="8047" ht="18" customHeight="1">
      <x:c r="A8047" t="str">
        <x:v>US-2017-133081</x:v>
      </x:c>
      <x:c r="B8047" s="18" t="n">
        <x:v>42805</x:v>
      </x:c>
      <x:c r="C8047" t="str">
        <x:v>PV-18985</x:v>
      </x:c>
      <x:c r="D8047" t="str">
        <x:v>Paul Van Hugh</x:v>
      </x:c>
      <x:c r="E8047" t="str">
        <x:v>Home Office</x:v>
      </x:c>
      <x:c r="F8047" t="str">
        <x:v>East</x:v>
      </x:c>
      <x:c r="G8047" t="str">
        <x:v>Technology</x:v>
      </x:c>
      <x:c r="H8047" t="str">
        <x:v>Accessories</x:v>
      </x:c>
      <x:c r="I8047" s="22" t="n">
        <x:v>63.88</x:v>
      </x:c>
      <x:c r="J8047" s="24" t="n">
        <x:v>4</x:v>
      </x:c>
      <x:c r="K8047" s="26" t="n">
        <x:v>0</x:v>
      </x:c>
      <x:c r="L8047" s="22" t="n">
        <x:v>24.913200000000003</x:v>
      </x:c>
      <x:c r="M8047" t="n">
        <x:v>2017</x:v>
      </x:c>
      <x:c r="N8047" s="20" t="n">
        <x:v>42795</x:v>
      </x:c>
    </x:row>
    <x:row r="8048" ht="18" customHeight="1">
      <x:c r="A8048" t="str">
        <x:v>US-2017-133081</x:v>
      </x:c>
      <x:c r="B8048" s="18" t="n">
        <x:v>42805</x:v>
      </x:c>
      <x:c r="C8048" t="str">
        <x:v>PV-18985</x:v>
      </x:c>
      <x:c r="D8048" t="str">
        <x:v>Paul Van Hugh</x:v>
      </x:c>
      <x:c r="E8048" t="str">
        <x:v>Home Office</x:v>
      </x:c>
      <x:c r="F8048" t="str">
        <x:v>East</x:v>
      </x:c>
      <x:c r="G8048" t="str">
        <x:v>Furniture</x:v>
      </x:c>
      <x:c r="H8048" t="str">
        <x:v>Furnishings</x:v>
      </x:c>
      <x:c r="I8048" s="22" t="n">
        <x:v>26.72</x:v>
      </x:c>
      <x:c r="J8048" s="24" t="n">
        <x:v>1</x:v>
      </x:c>
      <x:c r="K8048" s="26" t="n">
        <x:v>0</x:v>
      </x:c>
      <x:c r="L8048" s="22" t="n">
        <x:v>11.756800000000002</x:v>
      </x:c>
      <x:c r="M8048" t="n">
        <x:v>2017</x:v>
      </x:c>
      <x:c r="N8048" s="20" t="n">
        <x:v>42795</x:v>
      </x:c>
    </x:row>
    <x:row r="8049" ht="18" customHeight="1">
      <x:c r="A8049" t="str">
        <x:v>CA-2017-165008</x:v>
      </x:c>
      <x:c r="B8049" s="18" t="n">
        <x:v>42993</x:v>
      </x:c>
      <x:c r="C8049" t="str">
        <x:v>DO-13645</x:v>
      </x:c>
      <x:c r="D8049" t="str">
        <x:v>Doug O'Connell</x:v>
      </x:c>
      <x:c r="E8049" t="str">
        <x:v>Consumer</x:v>
      </x:c>
      <x:c r="F8049" t="str">
        <x:v>West</x:v>
      </x:c>
      <x:c r="G8049" t="str">
        <x:v>Office Supplies</x:v>
      </x:c>
      <x:c r="H8049" t="str">
        <x:v>Binders</x:v>
      </x:c>
      <x:c r="I8049" s="22" t="n">
        <x:v>295.056</x:v>
      </x:c>
      <x:c r="J8049" s="24" t="n">
        <x:v>9</x:v>
      </x:c>
      <x:c r="K8049" s="26" t="n">
        <x:v>0.2</x:v>
      </x:c>
      <x:c r="L8049" s="22" t="n">
        <x:v>106.95779999999998</x:v>
      </x:c>
      <x:c r="M8049" t="n">
        <x:v>2017</x:v>
      </x:c>
      <x:c r="N8049" s="20" t="n">
        <x:v>42979</x:v>
      </x:c>
    </x:row>
    <x:row r="8050" ht="18" customHeight="1">
      <x:c r="A8050" t="str">
        <x:v>CA-2016-145611</x:v>
      </x:c>
      <x:c r="B8050" s="18" t="n">
        <x:v>42633</x:v>
      </x:c>
      <x:c r="C8050" t="str">
        <x:v>HA-14905</x:v>
      </x:c>
      <x:c r="D8050" t="str">
        <x:v>Helen Abelman</x:v>
      </x:c>
      <x:c r="E8050" t="str">
        <x:v>Consumer</x:v>
      </x:c>
      <x:c r="F8050" t="str">
        <x:v>East</x:v>
      </x:c>
      <x:c r="G8050" t="str">
        <x:v>Office Supplies</x:v>
      </x:c>
      <x:c r="H8050" t="str">
        <x:v>Appliances</x:v>
      </x:c>
      <x:c r="I8050" s="22" t="n">
        <x:v>393.25</x:v>
      </x:c>
      <x:c r="J8050" s="24" t="n">
        <x:v>5</x:v>
      </x:c>
      <x:c r="K8050" s="26" t="n">
        <x:v>0</x:v>
      </x:c>
      <x:c r="L8050" s="22" t="n">
        <x:v>129.77249999999998</x:v>
      </x:c>
      <x:c r="M8050" t="n">
        <x:v>2016</x:v>
      </x:c>
      <x:c r="N8050" s="20" t="n">
        <x:v>42614</x:v>
      </x:c>
    </x:row>
    <x:row r="8051" ht="18" customHeight="1">
      <x:c r="A8051" t="str">
        <x:v>CA-2016-113600</x:v>
      </x:c>
      <x:c r="B8051" s="18" t="n">
        <x:v>42719</x:v>
      </x:c>
      <x:c r="C8051" t="str">
        <x:v>SH-20395</x:v>
      </x:c>
      <x:c r="D8051" t="str">
        <x:v>Shahid Hopkins</x:v>
      </x:c>
      <x:c r="E8051" t="str">
        <x:v>Consumer</x:v>
      </x:c>
      <x:c r="F8051" t="str">
        <x:v>East</x:v>
      </x:c>
      <x:c r="G8051" t="str">
        <x:v>Office Supplies</x:v>
      </x:c>
      <x:c r="H8051" t="str">
        <x:v>Binders</x:v>
      </x:c>
      <x:c r="I8051" s="22" t="n">
        <x:v>2.2140000000000004</x:v>
      </x:c>
      <x:c r="J8051" s="24" t="n">
        <x:v>3</x:v>
      </x:c>
      <x:c r="K8051" s="26" t="n">
        <x:v>0.7</x:v>
      </x:c>
      <x:c r="L8051" s="22" t="n">
        <x:v>-1.4760000000000004</x:v>
      </x:c>
      <x:c r="M8051" t="n">
        <x:v>2016</x:v>
      </x:c>
      <x:c r="N8051" s="20" t="n">
        <x:v>42705</x:v>
      </x:c>
    </x:row>
    <x:row r="8052" ht="18" customHeight="1">
      <x:c r="A8052" t="str">
        <x:v>CA-2017-130834</x:v>
      </x:c>
      <x:c r="B8052" s="18" t="n">
        <x:v>43042</x:v>
      </x:c>
      <x:c r="C8052" t="str">
        <x:v>JM-16195</x:v>
      </x:c>
      <x:c r="D8052" t="str">
        <x:v>Justin MacKendrick</x:v>
      </x:c>
      <x:c r="E8052" t="str">
        <x:v>Consumer</x:v>
      </x:c>
      <x:c r="F8052" t="str">
        <x:v>South</x:v>
      </x:c>
      <x:c r="G8052" t="str">
        <x:v>Office Supplies</x:v>
      </x:c>
      <x:c r="H8052" t="str">
        <x:v>Paper</x:v>
      </x:c>
      <x:c r="I8052" s="22" t="n">
        <x:v>16.272000000000002</x:v>
      </x:c>
      <x:c r="J8052" s="24" t="n">
        <x:v>3</x:v>
      </x:c>
      <x:c r="K8052" s="26" t="n">
        <x:v>0.2</x:v>
      </x:c>
      <x:c r="L8052" s="22" t="n">
        <x:v>5.288399999999998</x:v>
      </x:c>
      <x:c r="M8052" t="n">
        <x:v>2017</x:v>
      </x:c>
      <x:c r="N8052" s="20" t="n">
        <x:v>43040</x:v>
      </x:c>
    </x:row>
    <x:row r="8053" ht="18" customHeight="1">
      <x:c r="A8053" t="str">
        <x:v>CA-2016-168543</x:v>
      </x:c>
      <x:c r="B8053" s="18" t="n">
        <x:v>42554</x:v>
      </x:c>
      <x:c r="C8053" t="str">
        <x:v>DK-13225</x:v>
      </x:c>
      <x:c r="D8053" t="str">
        <x:v>Dean Katz</x:v>
      </x:c>
      <x:c r="E8053" t="str">
        <x:v>Corporate</x:v>
      </x:c>
      <x:c r="F8053" t="str">
        <x:v>East</x:v>
      </x:c>
      <x:c r="G8053" t="str">
        <x:v>Office Supplies</x:v>
      </x:c>
      <x:c r="H8053" t="str">
        <x:v>Appliances</x:v>
      </x:c>
      <x:c r="I8053" s="22" t="n">
        <x:v>706.86</x:v>
      </x:c>
      <x:c r="J8053" s="24" t="n">
        <x:v>7</x:v>
      </x:c>
      <x:c r="K8053" s="26" t="n">
        <x:v>0</x:v>
      </x:c>
      <x:c r="L8053" s="22" t="n">
        <x:v>197.92079999999999</x:v>
      </x:c>
      <x:c r="M8053" t="n">
        <x:v>2016</x:v>
      </x:c>
      <x:c r="N8053" s="20" t="n">
        <x:v>42552</x:v>
      </x:c>
    </x:row>
    <x:row r="8054" ht="18" customHeight="1">
      <x:c r="A8054" t="str">
        <x:v>CA-2014-144974</x:v>
      </x:c>
      <x:c r="B8054" s="18" t="n">
        <x:v>41908</x:v>
      </x:c>
      <x:c r="C8054" t="str">
        <x:v>CM-12715</x:v>
      </x:c>
      <x:c r="D8054" t="str">
        <x:v>Craig Molinari</x:v>
      </x:c>
      <x:c r="E8054" t="str">
        <x:v>Corporate</x:v>
      </x:c>
      <x:c r="F8054" t="str">
        <x:v>East</x:v>
      </x:c>
      <x:c r="G8054" t="str">
        <x:v>Office Supplies</x:v>
      </x:c>
      <x:c r="H8054" t="str">
        <x:v>Binders</x:v>
      </x:c>
      <x:c r="I8054" s="22" t="n">
        <x:v>5.970000000000001</x:v>
      </x:c>
      <x:c r="J8054" s="24" t="n">
        <x:v>5</x:v>
      </x:c>
      <x:c r="K8054" s="26" t="n">
        <x:v>0.7</x:v>
      </x:c>
      <x:c r="L8054" s="22" t="n">
        <x:v>-4.577</x:v>
      </x:c>
      <x:c r="M8054" t="n">
        <x:v>2014</x:v>
      </x:c>
      <x:c r="N8054" s="20" t="n">
        <x:v>41883</x:v>
      </x:c>
    </x:row>
    <x:row r="8055" ht="18" customHeight="1">
      <x:c r="A8055" t="str">
        <x:v>CA-2014-144974</x:v>
      </x:c>
      <x:c r="B8055" s="18" t="n">
        <x:v>41908</x:v>
      </x:c>
      <x:c r="C8055" t="str">
        <x:v>CM-12715</x:v>
      </x:c>
      <x:c r="D8055" t="str">
        <x:v>Craig Molinari</x:v>
      </x:c>
      <x:c r="E8055" t="str">
        <x:v>Corporate</x:v>
      </x:c>
      <x:c r="F8055" t="str">
        <x:v>East</x:v>
      </x:c>
      <x:c r="G8055" t="str">
        <x:v>Furniture</x:v>
      </x:c>
      <x:c r="H8055" t="str">
        <x:v>Furnishings</x:v>
      </x:c>
      <x:c r="I8055" s="22" t="n">
        <x:v>21.184</x:v>
      </x:c>
      <x:c r="J8055" s="24" t="n">
        <x:v>1</x:v>
      </x:c>
      <x:c r="K8055" s="26" t="n">
        <x:v>0.2</x:v>
      </x:c>
      <x:c r="L8055" s="22" t="n">
        <x:v>4.7664</x:v>
      </x:c>
      <x:c r="M8055" t="n">
        <x:v>2014</x:v>
      </x:c>
      <x:c r="N8055" s="20" t="n">
        <x:v>41883</x:v>
      </x:c>
    </x:row>
    <x:row r="8056" ht="18" customHeight="1">
      <x:c r="A8056" t="str">
        <x:v>CA-2014-144974</x:v>
      </x:c>
      <x:c r="B8056" s="18" t="n">
        <x:v>41908</x:v>
      </x:c>
      <x:c r="C8056" t="str">
        <x:v>CM-12715</x:v>
      </x:c>
      <x:c r="D8056" t="str">
        <x:v>Craig Molinari</x:v>
      </x:c>
      <x:c r="E8056" t="str">
        <x:v>Corporate</x:v>
      </x:c>
      <x:c r="F8056" t="str">
        <x:v>East</x:v>
      </x:c>
      <x:c r="G8056" t="str">
        <x:v>Office Supplies</x:v>
      </x:c>
      <x:c r="H8056" t="str">
        <x:v>Appliances</x:v>
      </x:c>
      <x:c r="I8056" s="22" t="n">
        <x:v>41.376</x:v>
      </x:c>
      <x:c r="J8056" s="24" t="n">
        <x:v>6</x:v>
      </x:c>
      <x:c r="K8056" s="26" t="n">
        <x:v>0.2</x:v>
      </x:c>
      <x:c r="L8056" s="22" t="n">
        <x:v>3.103200000000001</x:v>
      </x:c>
      <x:c r="M8056" t="n">
        <x:v>2014</x:v>
      </x:c>
      <x:c r="N8056" s="20" t="n">
        <x:v>41883</x:v>
      </x:c>
    </x:row>
    <x:row r="8057" ht="18" customHeight="1">
      <x:c r="A8057" t="str">
        <x:v>CA-2014-109904</x:v>
      </x:c>
      <x:c r="B8057" s="18" t="n">
        <x:v>41834</x:v>
      </x:c>
      <x:c r="C8057" t="str">
        <x:v>BF-10975</x:v>
      </x:c>
      <x:c r="D8057" t="str">
        <x:v>Barbara Fisher</x:v>
      </x:c>
      <x:c r="E8057" t="str">
        <x:v>Corporate</x:v>
      </x:c>
      <x:c r="F8057" t="str">
        <x:v>East</x:v>
      </x:c>
      <x:c r="G8057" t="str">
        <x:v>Office Supplies</x:v>
      </x:c>
      <x:c r="H8057" t="str">
        <x:v>Art</x:v>
      </x:c>
      <x:c r="I8057" s="22" t="n">
        <x:v>17.94</x:v>
      </x:c>
      <x:c r="J8057" s="24" t="n">
        <x:v>3</x:v>
      </x:c>
      <x:c r="K8057" s="26" t="n">
        <x:v>0</x:v>
      </x:c>
      <x:c r="L8057" s="22" t="n">
        <x:v>4.485</x:v>
      </x:c>
      <x:c r="M8057" t="n">
        <x:v>2014</x:v>
      </x:c>
      <x:c r="N8057" s="20" t="n">
        <x:v>41821</x:v>
      </x:c>
    </x:row>
    <x:row r="8058" ht="18" customHeight="1">
      <x:c r="A8058" t="str">
        <x:v>CA-2017-152205</x:v>
      </x:c>
      <x:c r="B8058" s="18" t="n">
        <x:v>43006</x:v>
      </x:c>
      <x:c r="C8058" t="str">
        <x:v>SF-20965</x:v>
      </x:c>
      <x:c r="D8058" t="str">
        <x:v>Sylvia Foulston</x:v>
      </x:c>
      <x:c r="E8058" t="str">
        <x:v>Corporate</x:v>
      </x:c>
      <x:c r="F8058" t="str">
        <x:v>East</x:v>
      </x:c>
      <x:c r="G8058" t="str">
        <x:v>Office Supplies</x:v>
      </x:c>
      <x:c r="H8058" t="str">
        <x:v>Binders</x:v>
      </x:c>
      <x:c r="I8058" s="22" t="n">
        <x:v>2.6550000000000002</x:v>
      </x:c>
      <x:c r="J8058" s="24" t="n">
        <x:v>1</x:v>
      </x:c>
      <x:c r="K8058" s="26" t="n">
        <x:v>0.7</x:v>
      </x:c>
      <x:c r="L8058" s="22" t="n">
        <x:v>-1.8584999999999994</x:v>
      </x:c>
      <x:c r="M8058" t="n">
        <x:v>2017</x:v>
      </x:c>
      <x:c r="N8058" s="20" t="n">
        <x:v>42979</x:v>
      </x:c>
    </x:row>
    <x:row r="8059" ht="18" customHeight="1">
      <x:c r="A8059" t="str">
        <x:v>CA-2015-121188</x:v>
      </x:c>
      <x:c r="B8059" s="18" t="n">
        <x:v>42244</x:v>
      </x:c>
      <x:c r="C8059" t="str">
        <x:v>CB-12025</x:v>
      </x:c>
      <x:c r="D8059" t="str">
        <x:v>Cassandra Brandow</x:v>
      </x:c>
      <x:c r="E8059" t="str">
        <x:v>Consumer</x:v>
      </x:c>
      <x:c r="F8059" t="str">
        <x:v>West</x:v>
      </x:c>
      <x:c r="G8059" t="str">
        <x:v>Office Supplies</x:v>
      </x:c>
      <x:c r="H8059" t="str">
        <x:v>Storage</x:v>
      </x:c>
      <x:c r="I8059" s="22" t="n">
        <x:v>892.35</x:v>
      </x:c>
      <x:c r="J8059" s="24" t="n">
        <x:v>5</x:v>
      </x:c>
      <x:c r="K8059" s="26" t="n">
        <x:v>0</x:v>
      </x:c>
      <x:c r="L8059" s="22" t="n">
        <x:v>267.7049999999999</x:v>
      </x:c>
      <x:c r="M8059" t="n">
        <x:v>2015</x:v>
      </x:c>
      <x:c r="N8059" s="20" t="n">
        <x:v>42217</x:v>
      </x:c>
    </x:row>
    <x:row r="8060" ht="18" customHeight="1">
      <x:c r="A8060" t="str">
        <x:v>CA-2015-121188</x:v>
      </x:c>
      <x:c r="B8060" s="18" t="n">
        <x:v>42244</x:v>
      </x:c>
      <x:c r="C8060" t="str">
        <x:v>CB-12025</x:v>
      </x:c>
      <x:c r="D8060" t="str">
        <x:v>Cassandra Brandow</x:v>
      </x:c>
      <x:c r="E8060" t="str">
        <x:v>Consumer</x:v>
      </x:c>
      <x:c r="F8060" t="str">
        <x:v>West</x:v>
      </x:c>
      <x:c r="G8060" t="str">
        <x:v>Furniture</x:v>
      </x:c>
      <x:c r="H8060" t="str">
        <x:v>Bookcases</x:v>
      </x:c>
      <x:c r="I8060" s="22" t="n">
        <x:v>307.666</x:v>
      </x:c>
      <x:c r="J8060" s="24" t="n">
        <x:v>2</x:v>
      </x:c>
      <x:c r="K8060" s="26" t="n">
        <x:v>0.15</x:v>
      </x:c>
      <x:c r="L8060" s="22" t="n">
        <x:v>28.956799999999973</x:v>
      </x:c>
      <x:c r="M8060" t="n">
        <x:v>2015</x:v>
      </x:c>
      <x:c r="N8060" s="20" t="n">
        <x:v>42217</x:v>
      </x:c>
    </x:row>
    <x:row r="8061" ht="18" customHeight="1">
      <x:c r="A8061" t="str">
        <x:v>CA-2015-121188</x:v>
      </x:c>
      <x:c r="B8061" s="18" t="n">
        <x:v>42244</x:v>
      </x:c>
      <x:c r="C8061" t="str">
        <x:v>CB-12025</x:v>
      </x:c>
      <x:c r="D8061" t="str">
        <x:v>Cassandra Brandow</x:v>
      </x:c>
      <x:c r="E8061" t="str">
        <x:v>Consumer</x:v>
      </x:c>
      <x:c r="F8061" t="str">
        <x:v>West</x:v>
      </x:c>
      <x:c r="G8061" t="str">
        <x:v>Office Supplies</x:v>
      </x:c>
      <x:c r="H8061" t="str">
        <x:v>Storage</x:v>
      </x:c>
      <x:c r="I8061" s="22" t="n">
        <x:v>728.82</x:v>
      </x:c>
      <x:c r="J8061" s="24" t="n">
        <x:v>9</x:v>
      </x:c>
      <x:c r="K8061" s="26" t="n">
        <x:v>0</x:v>
      </x:c>
      <x:c r="L8061" s="22" t="n">
        <x:v>29.15279999999997</x:v>
      </x:c>
      <x:c r="M8061" t="n">
        <x:v>2015</x:v>
      </x:c>
      <x:c r="N8061" s="20" t="n">
        <x:v>42217</x:v>
      </x:c>
    </x:row>
    <x:row r="8062" ht="18" customHeight="1">
      <x:c r="A8062" t="str">
        <x:v>CA-2015-121188</x:v>
      </x:c>
      <x:c r="B8062" s="18" t="n">
        <x:v>42244</x:v>
      </x:c>
      <x:c r="C8062" t="str">
        <x:v>CB-12025</x:v>
      </x:c>
      <x:c r="D8062" t="str">
        <x:v>Cassandra Brandow</x:v>
      </x:c>
      <x:c r="E8062" t="str">
        <x:v>Consumer</x:v>
      </x:c>
      <x:c r="F8062" t="str">
        <x:v>West</x:v>
      </x:c>
      <x:c r="G8062" t="str">
        <x:v>Office Supplies</x:v>
      </x:c>
      <x:c r="H8062" t="str">
        <x:v>Binders</x:v>
      </x:c>
      <x:c r="I8062" s="22" t="n">
        <x:v>41.36</x:v>
      </x:c>
      <x:c r="J8062" s="24" t="n">
        <x:v>5</x:v>
      </x:c>
      <x:c r="K8062" s="26" t="n">
        <x:v>0.2</x:v>
      </x:c>
      <x:c r="L8062" s="22" t="n">
        <x:v>13.959</x:v>
      </x:c>
      <x:c r="M8062" t="n">
        <x:v>2015</x:v>
      </x:c>
      <x:c r="N8062" s="20" t="n">
        <x:v>42217</x:v>
      </x:c>
    </x:row>
    <x:row r="8063" ht="18" customHeight="1">
      <x:c r="A8063" t="str">
        <x:v>CA-2015-121188</x:v>
      </x:c>
      <x:c r="B8063" s="18" t="n">
        <x:v>42244</x:v>
      </x:c>
      <x:c r="C8063" t="str">
        <x:v>CB-12025</x:v>
      </x:c>
      <x:c r="D8063" t="str">
        <x:v>Cassandra Brandow</x:v>
      </x:c>
      <x:c r="E8063" t="str">
        <x:v>Consumer</x:v>
      </x:c>
      <x:c r="F8063" t="str">
        <x:v>West</x:v>
      </x:c>
      <x:c r="G8063" t="str">
        <x:v>Technology</x:v>
      </x:c>
      <x:c r="H8063" t="str">
        <x:v>Phones</x:v>
      </x:c>
      <x:c r="I8063" s="22" t="n">
        <x:v>43.176</x:v>
      </x:c>
      <x:c r="J8063" s="24" t="n">
        <x:v>3</x:v>
      </x:c>
      <x:c r="K8063" s="26" t="n">
        <x:v>0.2</x:v>
      </x:c>
      <x:c r="L8063" s="22" t="n">
        <x:v>15.1116</x:v>
      </x:c>
      <x:c r="M8063" t="n">
        <x:v>2015</x:v>
      </x:c>
      <x:c r="N8063" s="20" t="n">
        <x:v>42217</x:v>
      </x:c>
    </x:row>
    <x:row r="8064" ht="18" customHeight="1">
      <x:c r="A8064" t="str">
        <x:v>CA-2015-121188</x:v>
      </x:c>
      <x:c r="B8064" s="18" t="n">
        <x:v>42244</x:v>
      </x:c>
      <x:c r="C8064" t="str">
        <x:v>CB-12025</x:v>
      </x:c>
      <x:c r="D8064" t="str">
        <x:v>Cassandra Brandow</x:v>
      </x:c>
      <x:c r="E8064" t="str">
        <x:v>Consumer</x:v>
      </x:c>
      <x:c r="F8064" t="str">
        <x:v>West</x:v>
      </x:c>
      <x:c r="G8064" t="str">
        <x:v>Furniture</x:v>
      </x:c>
      <x:c r="H8064" t="str">
        <x:v>Furnishings</x:v>
      </x:c>
      <x:c r="I8064" s="22" t="n">
        <x:v>4.16</x:v>
      </x:c>
      <x:c r="J8064" s="24" t="n">
        <x:v>2</x:v>
      </x:c>
      <x:c r="K8064" s="26" t="n">
        <x:v>0</x:v>
      </x:c>
      <x:c r="L8064" s="22" t="n">
        <x:v>1.7472000000000003</x:v>
      </x:c>
      <x:c r="M8064" t="n">
        <x:v>2015</x:v>
      </x:c>
      <x:c r="N8064" s="20" t="n">
        <x:v>42217</x:v>
      </x:c>
    </x:row>
    <x:row r="8065" ht="18" customHeight="1">
      <x:c r="A8065" t="str">
        <x:v>CA-2015-156013</x:v>
      </x:c>
      <x:c r="B8065" s="18" t="n">
        <x:v>42267</x:v>
      </x:c>
      <x:c r="C8065" t="str">
        <x:v>TC-20980</x:v>
      </x:c>
      <x:c r="D8065" t="str">
        <x:v>Tamara Chand</x:v>
      </x:c>
      <x:c r="E8065" t="str">
        <x:v>Corporate</x:v>
      </x:c>
      <x:c r="F8065" t="str">
        <x:v>East</x:v>
      </x:c>
      <x:c r="G8065" t="str">
        <x:v>Office Supplies</x:v>
      </x:c>
      <x:c r="H8065" t="str">
        <x:v>Paper</x:v>
      </x:c>
      <x:c r="I8065" s="22" t="n">
        <x:v>61.4</x:v>
      </x:c>
      <x:c r="J8065" s="24" t="n">
        <x:v>5</x:v>
      </x:c>
      <x:c r="K8065" s="26" t="n">
        <x:v>0</x:v>
      </x:c>
      <x:c r="L8065" s="22" t="n">
        <x:v>28.857999999999997</x:v>
      </x:c>
      <x:c r="M8065" t="n">
        <x:v>2015</x:v>
      </x:c>
      <x:c r="N8065" s="20" t="n">
        <x:v>42248</x:v>
      </x:c>
    </x:row>
    <x:row r="8066" ht="18" customHeight="1">
      <x:c r="A8066" t="str">
        <x:v>CA-2015-156013</x:v>
      </x:c>
      <x:c r="B8066" s="18" t="n">
        <x:v>42267</x:v>
      </x:c>
      <x:c r="C8066" t="str">
        <x:v>TC-20980</x:v>
      </x:c>
      <x:c r="D8066" t="str">
        <x:v>Tamara Chand</x:v>
      </x:c>
      <x:c r="E8066" t="str">
        <x:v>Corporate</x:v>
      </x:c>
      <x:c r="F8066" t="str">
        <x:v>East</x:v>
      </x:c>
      <x:c r="G8066" t="str">
        <x:v>Office Supplies</x:v>
      </x:c>
      <x:c r="H8066" t="str">
        <x:v>Binders</x:v>
      </x:c>
      <x:c r="I8066" s="22" t="n">
        <x:v>24.448</x:v>
      </x:c>
      <x:c r="J8066" s="24" t="n">
        <x:v>2</x:v>
      </x:c>
      <x:c r="K8066" s="26" t="n">
        <x:v>0.2</x:v>
      </x:c>
      <x:c r="L8066" s="22" t="n">
        <x:v>8.8624</x:v>
      </x:c>
      <x:c r="M8066" t="n">
        <x:v>2015</x:v>
      </x:c>
      <x:c r="N8066" s="20" t="n">
        <x:v>42248</x:v>
      </x:c>
    </x:row>
    <x:row r="8067" ht="18" customHeight="1">
      <x:c r="A8067" t="str">
        <x:v>CA-2016-132997</x:v>
      </x:c>
      <x:c r="B8067" s="18" t="n">
        <x:v>42681</x:v>
      </x:c>
      <x:c r="C8067" t="str">
        <x:v>LW-17215</x:v>
      </x:c>
      <x:c r="D8067" t="str">
        <x:v>Luke Weiss</x:v>
      </x:c>
      <x:c r="E8067" t="str">
        <x:v>Consumer</x:v>
      </x:c>
      <x:c r="F8067" t="str">
        <x:v>East</x:v>
      </x:c>
      <x:c r="G8067" t="str">
        <x:v>Technology</x:v>
      </x:c>
      <x:c r="H8067" t="str">
        <x:v>Phones</x:v>
      </x:c>
      <x:c r="I8067" s="22" t="n">
        <x:v>263.96</x:v>
      </x:c>
      <x:c r="J8067" s="24" t="n">
        <x:v>4</x:v>
      </x:c>
      <x:c r="K8067" s="26" t="n">
        <x:v>0</x:v>
      </x:c>
      <x:c r="L8067" s="22" t="n">
        <x:v>71.26920000000001</x:v>
      </x:c>
      <x:c r="M8067" t="n">
        <x:v>2016</x:v>
      </x:c>
      <x:c r="N8067" s="20" t="n">
        <x:v>42675</x:v>
      </x:c>
    </x:row>
    <x:row r="8068" ht="18" customHeight="1">
      <x:c r="A8068" t="str">
        <x:v>CA-2016-132997</x:v>
      </x:c>
      <x:c r="B8068" s="18" t="n">
        <x:v>42681</x:v>
      </x:c>
      <x:c r="C8068" t="str">
        <x:v>LW-17215</x:v>
      </x:c>
      <x:c r="D8068" t="str">
        <x:v>Luke Weiss</x:v>
      </x:c>
      <x:c r="E8068" t="str">
        <x:v>Consumer</x:v>
      </x:c>
      <x:c r="F8068" t="str">
        <x:v>East</x:v>
      </x:c>
      <x:c r="G8068" t="str">
        <x:v>Technology</x:v>
      </x:c>
      <x:c r="H8068" t="str">
        <x:v>Phones</x:v>
      </x:c>
      <x:c r="I8068" s="22" t="n">
        <x:v>359.96999999999997</x:v>
      </x:c>
      <x:c r="J8068" s="24" t="n">
        <x:v>3</x:v>
      </x:c>
      <x:c r="K8068" s="26" t="n">
        <x:v>0</x:v>
      </x:c>
      <x:c r="L8068" s="22" t="n">
        <x:v>100.7916</x:v>
      </x:c>
      <x:c r="M8068" t="n">
        <x:v>2016</x:v>
      </x:c>
      <x:c r="N8068" s="20" t="n">
        <x:v>42675</x:v>
      </x:c>
    </x:row>
    <x:row r="8069" ht="18" customHeight="1">
      <x:c r="A8069" t="str">
        <x:v>CA-2016-132997</x:v>
      </x:c>
      <x:c r="B8069" s="18" t="n">
        <x:v>42681</x:v>
      </x:c>
      <x:c r="C8069" t="str">
        <x:v>LW-17215</x:v>
      </x:c>
      <x:c r="D8069" t="str">
        <x:v>Luke Weiss</x:v>
      </x:c>
      <x:c r="E8069" t="str">
        <x:v>Consumer</x:v>
      </x:c>
      <x:c r="F8069" t="str">
        <x:v>East</x:v>
      </x:c>
      <x:c r="G8069" t="str">
        <x:v>Office Supplies</x:v>
      </x:c>
      <x:c r="H8069" t="str">
        <x:v>Paper</x:v>
      </x:c>
      <x:c r="I8069" s="22" t="n">
        <x:v>12.96</x:v>
      </x:c>
      <x:c r="J8069" s="24" t="n">
        <x:v>2</x:v>
      </x:c>
      <x:c r="K8069" s="26" t="n">
        <x:v>0</x:v>
      </x:c>
      <x:c r="L8069" s="22" t="n">
        <x:v>6.2208000000000006</x:v>
      </x:c>
      <x:c r="M8069" t="n">
        <x:v>2016</x:v>
      </x:c>
      <x:c r="N8069" s="20" t="n">
        <x:v>42675</x:v>
      </x:c>
    </x:row>
    <x:row r="8070" ht="18" customHeight="1">
      <x:c r="A8070" t="str">
        <x:v>CA-2016-132997</x:v>
      </x:c>
      <x:c r="B8070" s="18" t="n">
        <x:v>42681</x:v>
      </x:c>
      <x:c r="C8070" t="str">
        <x:v>LW-17215</x:v>
      </x:c>
      <x:c r="D8070" t="str">
        <x:v>Luke Weiss</x:v>
      </x:c>
      <x:c r="E8070" t="str">
        <x:v>Consumer</x:v>
      </x:c>
      <x:c r="F8070" t="str">
        <x:v>East</x:v>
      </x:c>
      <x:c r="G8070" t="str">
        <x:v>Office Supplies</x:v>
      </x:c>
      <x:c r="H8070" t="str">
        <x:v>Storage</x:v>
      </x:c>
      <x:c r="I8070" s="22" t="n">
        <x:v>116.82</x:v>
      </x:c>
      <x:c r="J8070" s="24" t="n">
        <x:v>3</x:v>
      </x:c>
      <x:c r="K8070" s="26" t="n">
        <x:v>0</x:v>
      </x:c>
      <x:c r="L8070" s="22" t="n">
        <x:v>5.840999999999987</x:v>
      </x:c>
      <x:c r="M8070" t="n">
        <x:v>2016</x:v>
      </x:c>
      <x:c r="N8070" s="20" t="n">
        <x:v>42675</x:v>
      </x:c>
    </x:row>
    <x:row r="8071" ht="18" customHeight="1">
      <x:c r="A8071" t="str">
        <x:v>CA-2016-132997</x:v>
      </x:c>
      <x:c r="B8071" s="18" t="n">
        <x:v>42681</x:v>
      </x:c>
      <x:c r="C8071" t="str">
        <x:v>LW-17215</x:v>
      </x:c>
      <x:c r="D8071" t="str">
        <x:v>Luke Weiss</x:v>
      </x:c>
      <x:c r="E8071" t="str">
        <x:v>Consumer</x:v>
      </x:c>
      <x:c r="F8071" t="str">
        <x:v>East</x:v>
      </x:c>
      <x:c r="G8071" t="str">
        <x:v>Office Supplies</x:v>
      </x:c>
      <x:c r="H8071" t="str">
        <x:v>Binders</x:v>
      </x:c>
      <x:c r="I8071" s="22" t="n">
        <x:v>276.78400000000005</x:v>
      </x:c>
      <x:c r="J8071" s="24" t="n">
        <x:v>2</x:v>
      </x:c>
      <x:c r="K8071" s="26" t="n">
        <x:v>0.2</x:v>
      </x:c>
      <x:c r="L8071" s="22" t="n">
        <x:v>89.95479999999999</x:v>
      </x:c>
      <x:c r="M8071" t="n">
        <x:v>2016</x:v>
      </x:c>
      <x:c r="N8071" s="20" t="n">
        <x:v>42675</x:v>
      </x:c>
    </x:row>
    <x:row r="8072" ht="18" customHeight="1">
      <x:c r="A8072" t="str">
        <x:v>US-2015-160563</x:v>
      </x:c>
      <x:c r="B8072" s="18" t="n">
        <x:v>42297</x:v>
      </x:c>
      <x:c r="C8072" t="str">
        <x:v>NS-18640</x:v>
      </x:c>
      <x:c r="D8072" t="str">
        <x:v>Noel Staavos</x:v>
      </x:c>
      <x:c r="E8072" t="str">
        <x:v>Corporate</x:v>
      </x:c>
      <x:c r="F8072" t="str">
        <x:v>West</x:v>
      </x:c>
      <x:c r="G8072" t="str">
        <x:v>Technology</x:v>
      </x:c>
      <x:c r="H8072" t="str">
        <x:v>Accessories</x:v>
      </x:c>
      <x:c r="I8072" s="22" t="n">
        <x:v>239.96999999999997</x:v>
      </x:c>
      <x:c r="J8072" s="24" t="n">
        <x:v>3</x:v>
      </x:c>
      <x:c r="K8072" s="26" t="n">
        <x:v>0</x:v>
      </x:c>
      <x:c r="L8072" s="22" t="n">
        <x:v>86.38919999999999</x:v>
      </x:c>
      <x:c r="M8072" t="n">
        <x:v>2015</x:v>
      </x:c>
      <x:c r="N8072" s="20" t="n">
        <x:v>42278</x:v>
      </x:c>
    </x:row>
    <x:row r="8073" ht="18" customHeight="1">
      <x:c r="A8073" t="str">
        <x:v>US-2015-160563</x:v>
      </x:c>
      <x:c r="B8073" s="18" t="n">
        <x:v>42297</x:v>
      </x:c>
      <x:c r="C8073" t="str">
        <x:v>NS-18640</x:v>
      </x:c>
      <x:c r="D8073" t="str">
        <x:v>Noel Staavos</x:v>
      </x:c>
      <x:c r="E8073" t="str">
        <x:v>Corporate</x:v>
      </x:c>
      <x:c r="F8073" t="str">
        <x:v>West</x:v>
      </x:c>
      <x:c r="G8073" t="str">
        <x:v>Furniture</x:v>
      </x:c>
      <x:c r="H8073" t="str">
        <x:v>Furnishings</x:v>
      </x:c>
      <x:c r="I8073" s="22" t="n">
        <x:v>16.02</x:v>
      </x:c>
      <x:c r="J8073" s="24" t="n">
        <x:v>6</x:v>
      </x:c>
      <x:c r="K8073" s="26" t="n">
        <x:v>0</x:v>
      </x:c>
      <x:c r="L8073" s="22" t="n">
        <x:v>6.0876</x:v>
      </x:c>
      <x:c r="M8073" t="n">
        <x:v>2015</x:v>
      </x:c>
      <x:c r="N8073" s="20" t="n">
        <x:v>42278</x:v>
      </x:c>
    </x:row>
    <x:row r="8074" ht="18" customHeight="1">
      <x:c r="A8074" t="str">
        <x:v>CA-2017-151750</x:v>
      </x:c>
      <x:c r="B8074" s="18" t="n">
        <x:v>42736</x:v>
      </x:c>
      <x:c r="C8074" t="str">
        <x:v>JM-15250</x:v>
      </x:c>
      <x:c r="D8074" t="str">
        <x:v>Janet Martin</x:v>
      </x:c>
      <x:c r="E8074" t="str">
        <x:v>Consumer</x:v>
      </x:c>
      <x:c r="F8074" t="str">
        <x:v>Central</x:v>
      </x:c>
      <x:c r="G8074" t="str">
        <x:v>Office Supplies</x:v>
      </x:c>
      <x:c r="H8074" t="str">
        <x:v>Storage</x:v>
      </x:c>
      <x:c r="I8074" s="22" t="n">
        <x:v>454.56000000000006</x:v>
      </x:c>
      <x:c r="J8074" s="24" t="n">
        <x:v>5</x:v>
      </x:c>
      <x:c r="K8074" s="26" t="n">
        <x:v>0.2</x:v>
      </x:c>
      <x:c r="L8074" s="22" t="n">
        <x:v>-107.95800000000004</x:v>
      </x:c>
      <x:c r="M8074" t="n">
        <x:v>2017</x:v>
      </x:c>
      <x:c r="N8074" s="20" t="n">
        <x:v>42736</x:v>
      </x:c>
    </x:row>
    <x:row r="8075" ht="18" customHeight="1">
      <x:c r="A8075" t="str">
        <x:v>CA-2017-151750</x:v>
      </x:c>
      <x:c r="B8075" s="18" t="n">
        <x:v>42736</x:v>
      </x:c>
      <x:c r="C8075" t="str">
        <x:v>JM-15250</x:v>
      </x:c>
      <x:c r="D8075" t="str">
        <x:v>Janet Martin</x:v>
      </x:c>
      <x:c r="E8075" t="str">
        <x:v>Consumer</x:v>
      </x:c>
      <x:c r="F8075" t="str">
        <x:v>Central</x:v>
      </x:c>
      <x:c r="G8075" t="str">
        <x:v>Furniture</x:v>
      </x:c>
      <x:c r="H8075" t="str">
        <x:v>Furnishings</x:v>
      </x:c>
      <x:c r="I8075" s="22" t="n">
        <x:v>141.42</x:v>
      </x:c>
      <x:c r="J8075" s="24" t="n">
        <x:v>5</x:v>
      </x:c>
      <x:c r="K8075" s="26" t="n">
        <x:v>0.6</x:v>
      </x:c>
      <x:c r="L8075" s="22" t="n">
        <x:v>-187.38150000000002</x:v>
      </x:c>
      <x:c r="M8075" t="n">
        <x:v>2017</x:v>
      </x:c>
      <x:c r="N8075" s="20" t="n">
        <x:v>42736</x:v>
      </x:c>
    </x:row>
    <x:row r="8076" ht="18" customHeight="1">
      <x:c r="A8076" t="str">
        <x:v>CA-2017-151750</x:v>
      </x:c>
      <x:c r="B8076" s="18" t="n">
        <x:v>42736</x:v>
      </x:c>
      <x:c r="C8076" t="str">
        <x:v>JM-15250</x:v>
      </x:c>
      <x:c r="D8076" t="str">
        <x:v>Janet Martin</x:v>
      </x:c>
      <x:c r="E8076" t="str">
        <x:v>Consumer</x:v>
      </x:c>
      <x:c r="F8076" t="str">
        <x:v>Central</x:v>
      </x:c>
      <x:c r="G8076" t="str">
        <x:v>Furniture</x:v>
      </x:c>
      <x:c r="H8076" t="str">
        <x:v>Chairs</x:v>
      </x:c>
      <x:c r="I8076" s="22" t="n">
        <x:v>310.74399999999997</x:v>
      </x:c>
      <x:c r="J8076" s="24" t="n">
        <x:v>4</x:v>
      </x:c>
      <x:c r="K8076" s="26" t="n">
        <x:v>0.3</x:v>
      </x:c>
      <x:c r="L8076" s="22" t="n">
        <x:v>-26.635199999999998</x:v>
      </x:c>
      <x:c r="M8076" t="n">
        <x:v>2017</x:v>
      </x:c>
      <x:c r="N8076" s="20" t="n">
        <x:v>42736</x:v>
      </x:c>
    </x:row>
    <x:row r="8077" ht="18" customHeight="1">
      <x:c r="A8077" t="str">
        <x:v>CA-2017-151750</x:v>
      </x:c>
      <x:c r="B8077" s="18" t="n">
        <x:v>42736</x:v>
      </x:c>
      <x:c r="C8077" t="str">
        <x:v>JM-15250</x:v>
      </x:c>
      <x:c r="D8077" t="str">
        <x:v>Janet Martin</x:v>
      </x:c>
      <x:c r="E8077" t="str">
        <x:v>Consumer</x:v>
      </x:c>
      <x:c r="F8077" t="str">
        <x:v>Central</x:v>
      </x:c>
      <x:c r="G8077" t="str">
        <x:v>Office Supplies</x:v>
      </x:c>
      <x:c r="H8077" t="str">
        <x:v>Art</x:v>
      </x:c>
      <x:c r="I8077" s="22" t="n">
        <x:v>12.736</x:v>
      </x:c>
      <x:c r="J8077" s="24" t="n">
        <x:v>4</x:v>
      </x:c>
      <x:c r="K8077" s="26" t="n">
        <x:v>0.2</x:v>
      </x:c>
      <x:c r="L8077" s="22" t="n">
        <x:v>2.228799999999999</x:v>
      </x:c>
      <x:c r="M8077" t="n">
        <x:v>2017</x:v>
      </x:c>
      <x:c r="N8077" s="20" t="n">
        <x:v>42736</x:v>
      </x:c>
    </x:row>
    <x:row r="8078" ht="18" customHeight="1">
      <x:c r="A8078" t="str">
        <x:v>CA-2017-151750</x:v>
      </x:c>
      <x:c r="B8078" s="18" t="n">
        <x:v>42736</x:v>
      </x:c>
      <x:c r="C8078" t="str">
        <x:v>JM-15250</x:v>
      </x:c>
      <x:c r="D8078" t="str">
        <x:v>Janet Martin</x:v>
      </x:c>
      <x:c r="E8078" t="str">
        <x:v>Consumer</x:v>
      </x:c>
      <x:c r="F8078" t="str">
        <x:v>Central</x:v>
      </x:c>
      <x:c r="G8078" t="str">
        <x:v>Office Supplies</x:v>
      </x:c>
      <x:c r="H8078" t="str">
        <x:v>Binders</x:v>
      </x:c>
      <x:c r="I8078" s="22" t="n">
        <x:v>6.469999999999998</x:v>
      </x:c>
      <x:c r="J8078" s="24" t="n">
        <x:v>5</x:v>
      </x:c>
      <x:c r="K8078" s="26" t="n">
        <x:v>0.8</x:v>
      </x:c>
      <x:c r="L8078" s="22" t="n">
        <x:v>-9.705000000000002</x:v>
      </x:c>
      <x:c r="M8078" t="n">
        <x:v>2017</x:v>
      </x:c>
      <x:c r="N8078" s="20" t="n">
        <x:v>42736</x:v>
      </x:c>
    </x:row>
    <x:row r="8079" ht="18" customHeight="1">
      <x:c r="A8079" t="str">
        <x:v>CA-2017-151750</x:v>
      </x:c>
      <x:c r="B8079" s="18" t="n">
        <x:v>42736</x:v>
      </x:c>
      <x:c r="C8079" t="str">
        <x:v>JM-15250</x:v>
      </x:c>
      <x:c r="D8079" t="str">
        <x:v>Janet Martin</x:v>
      </x:c>
      <x:c r="E8079" t="str">
        <x:v>Consumer</x:v>
      </x:c>
      <x:c r="F8079" t="str">
        <x:v>Central</x:v>
      </x:c>
      <x:c r="G8079" t="str">
        <x:v>Office Supplies</x:v>
      </x:c>
      <x:c r="H8079" t="str">
        <x:v>Binders</x:v>
      </x:c>
      <x:c r="I8079" s="22" t="n">
        <x:v>13.747999999999998</x:v>
      </x:c>
      <x:c r="J8079" s="24" t="n">
        <x:v>14</x:v>
      </x:c>
      <x:c r="K8079" s="26" t="n">
        <x:v>0.8</x:v>
      </x:c>
      <x:c r="L8079" s="22" t="n">
        <x:v>-22.684200000000004</x:v>
      </x:c>
      <x:c r="M8079" t="n">
        <x:v>2017</x:v>
      </x:c>
      <x:c r="N8079" s="20" t="n">
        <x:v>42736</x:v>
      </x:c>
    </x:row>
    <x:row r="8080" ht="18" customHeight="1">
      <x:c r="A8080" t="str">
        <x:v>CA-2017-151750</x:v>
      </x:c>
      <x:c r="B8080" s="18" t="n">
        <x:v>42736</x:v>
      </x:c>
      <x:c r="C8080" t="str">
        <x:v>JM-15250</x:v>
      </x:c>
      <x:c r="D8080" t="str">
        <x:v>Janet Martin</x:v>
      </x:c>
      <x:c r="E8080" t="str">
        <x:v>Consumer</x:v>
      </x:c>
      <x:c r="F8080" t="str">
        <x:v>Central</x:v>
      </x:c>
      <x:c r="G8080" t="str">
        <x:v>Office Supplies</x:v>
      </x:c>
      <x:c r="H8080" t="str">
        <x:v>Appliances</x:v>
      </x:c>
      <x:c r="I8080" s="22" t="n">
        <x:v>15.223999999999997</x:v>
      </x:c>
      <x:c r="J8080" s="24" t="n">
        <x:v>2</x:v>
      </x:c>
      <x:c r="K8080" s="26" t="n">
        <x:v>0.8</x:v>
      </x:c>
      <x:c r="L8080" s="22" t="n">
        <x:v>-38.82120000000001</x:v>
      </x:c>
      <x:c r="M8080" t="n">
        <x:v>2017</x:v>
      </x:c>
      <x:c r="N8080" s="20" t="n">
        <x:v>42736</x:v>
      </x:c>
    </x:row>
    <x:row r="8081" ht="18" customHeight="1">
      <x:c r="A8081" t="str">
        <x:v>CA-2015-106187</x:v>
      </x:c>
      <x:c r="B8081" s="18" t="n">
        <x:v>42178</x:v>
      </x:c>
      <x:c r="C8081" t="str">
        <x:v>RF-19345</x:v>
      </x:c>
      <x:c r="D8081" t="str">
        <x:v>Randy Ferguson</x:v>
      </x:c>
      <x:c r="E8081" t="str">
        <x:v>Corporate</x:v>
      </x:c>
      <x:c r="F8081" t="str">
        <x:v>South</x:v>
      </x:c>
      <x:c r="G8081" t="str">
        <x:v>Furniture</x:v>
      </x:c>
      <x:c r="H8081" t="str">
        <x:v>Furnishings</x:v>
      </x:c>
      <x:c r="I8081" s="22" t="n">
        <x:v>27.42</x:v>
      </x:c>
      <x:c r="J8081" s="24" t="n">
        <x:v>3</x:v>
      </x:c>
      <x:c r="K8081" s="26" t="n">
        <x:v>0</x:v>
      </x:c>
      <x:c r="L8081" s="22" t="n">
        <x:v>9.322799999999999</x:v>
      </x:c>
      <x:c r="M8081" t="n">
        <x:v>2015</x:v>
      </x:c>
      <x:c r="N8081" s="20" t="n">
        <x:v>42156</x:v>
      </x:c>
    </x:row>
    <x:row r="8082" ht="18" customHeight="1">
      <x:c r="A8082" t="str">
        <x:v>CA-2015-106187</x:v>
      </x:c>
      <x:c r="B8082" s="18" t="n">
        <x:v>42178</x:v>
      </x:c>
      <x:c r="C8082" t="str">
        <x:v>RF-19345</x:v>
      </x:c>
      <x:c r="D8082" t="str">
        <x:v>Randy Ferguson</x:v>
      </x:c>
      <x:c r="E8082" t="str">
        <x:v>Corporate</x:v>
      </x:c>
      <x:c r="F8082" t="str">
        <x:v>South</x:v>
      </x:c>
      <x:c r="G8082" t="str">
        <x:v>Office Supplies</x:v>
      </x:c>
      <x:c r="H8082" t="str">
        <x:v>Binders</x:v>
      </x:c>
      <x:c r="I8082" s="22" t="n">
        <x:v>165.98</x:v>
      </x:c>
      <x:c r="J8082" s="24" t="n">
        <x:v>1</x:v>
      </x:c>
      <x:c r="K8082" s="26" t="n">
        <x:v>0</x:v>
      </x:c>
      <x:c r="L8082" s="22" t="n">
        <x:v>74.69099999999999</x:v>
      </x:c>
      <x:c r="M8082" t="n">
        <x:v>2015</x:v>
      </x:c>
      <x:c r="N8082" s="20" t="n">
        <x:v>42156</x:v>
      </x:c>
    </x:row>
    <x:row r="8083" ht="18" customHeight="1">
      <x:c r="A8083" t="str">
        <x:v>CA-2015-106187</x:v>
      </x:c>
      <x:c r="B8083" s="18" t="n">
        <x:v>42178</x:v>
      </x:c>
      <x:c r="C8083" t="str">
        <x:v>RF-19345</x:v>
      </x:c>
      <x:c r="D8083" t="str">
        <x:v>Randy Ferguson</x:v>
      </x:c>
      <x:c r="E8083" t="str">
        <x:v>Corporate</x:v>
      </x:c>
      <x:c r="F8083" t="str">
        <x:v>South</x:v>
      </x:c>
      <x:c r="G8083" t="str">
        <x:v>Technology</x:v>
      </x:c>
      <x:c r="H8083" t="str">
        <x:v>Accessories</x:v>
      </x:c>
      <x:c r="I8083" s="22" t="n">
        <x:v>75</x:v>
      </x:c>
      <x:c r="J8083" s="24" t="n">
        <x:v>3</x:v>
      </x:c>
      <x:c r="K8083" s="26" t="n">
        <x:v>0</x:v>
      </x:c>
      <x:c r="L8083" s="22" t="n">
        <x:v>18</x:v>
      </x:c>
      <x:c r="M8083" t="n">
        <x:v>2015</x:v>
      </x:c>
      <x:c r="N8083" s="20" t="n">
        <x:v>42156</x:v>
      </x:c>
    </x:row>
    <x:row r="8084" ht="18" customHeight="1">
      <x:c r="A8084" t="str">
        <x:v>US-2016-164945</x:v>
      </x:c>
      <x:c r="B8084" s="18" t="n">
        <x:v>42696</x:v>
      </x:c>
      <x:c r="C8084" t="str">
        <x:v>CA-12055</x:v>
      </x:c>
      <x:c r="D8084" t="str">
        <x:v>Cathy Armstrong</x:v>
      </x:c>
      <x:c r="E8084" t="str">
        <x:v>Home Office</x:v>
      </x:c>
      <x:c r="F8084" t="str">
        <x:v>East</x:v>
      </x:c>
      <x:c r="G8084" t="str">
        <x:v>Office Supplies</x:v>
      </x:c>
      <x:c r="H8084" t="str">
        <x:v>Binders</x:v>
      </x:c>
      <x:c r="I8084" s="22" t="n">
        <x:v>134.27200000000002</x:v>
      </x:c>
      <x:c r="J8084" s="24" t="n">
        <x:v>8</x:v>
      </x:c>
      <x:c r="K8084" s="26" t="n">
        <x:v>0.2</x:v>
      </x:c>
      <x:c r="L8084" s="22" t="n">
        <x:v>46.99519999999999</x:v>
      </x:c>
      <x:c r="M8084" t="n">
        <x:v>2016</x:v>
      </x:c>
      <x:c r="N8084" s="20" t="n">
        <x:v>42675</x:v>
      </x:c>
    </x:row>
    <x:row r="8085" ht="18" customHeight="1">
      <x:c r="A8085" t="str">
        <x:v>CA-2015-150714</x:v>
      </x:c>
      <x:c r="B8085" s="18" t="n">
        <x:v>42303</x:v>
      </x:c>
      <x:c r="C8085" t="str">
        <x:v>KH-16690</x:v>
      </x:c>
      <x:c r="D8085" t="str">
        <x:v>Kristen Hastings</x:v>
      </x:c>
      <x:c r="E8085" t="str">
        <x:v>Corporate</x:v>
      </x:c>
      <x:c r="F8085" t="str">
        <x:v>West</x:v>
      </x:c>
      <x:c r="G8085" t="str">
        <x:v>Office Supplies</x:v>
      </x:c>
      <x:c r="H8085" t="str">
        <x:v>Labels</x:v>
      </x:c>
      <x:c r="I8085" s="22" t="n">
        <x:v>146.544</x:v>
      </x:c>
      <x:c r="J8085" s="24" t="n">
        <x:v>6</x:v>
      </x:c>
      <x:c r="K8085" s="26" t="n">
        <x:v>0.2</x:v>
      </x:c>
      <x:c r="L8085" s="22" t="n">
        <x:v>47.626799999999996</x:v>
      </x:c>
      <x:c r="M8085" t="n">
        <x:v>2015</x:v>
      </x:c>
      <x:c r="N8085" s="20" t="n">
        <x:v>42278</x:v>
      </x:c>
    </x:row>
    <x:row r="8086" ht="18" customHeight="1">
      <x:c r="A8086" t="str">
        <x:v>CA-2015-150714</x:v>
      </x:c>
      <x:c r="B8086" s="18" t="n">
        <x:v>42303</x:v>
      </x:c>
      <x:c r="C8086" t="str">
        <x:v>KH-16690</x:v>
      </x:c>
      <x:c r="D8086" t="str">
        <x:v>Kristen Hastings</x:v>
      </x:c>
      <x:c r="E8086" t="str">
        <x:v>Corporate</x:v>
      </x:c>
      <x:c r="F8086" t="str">
        <x:v>West</x:v>
      </x:c>
      <x:c r="G8086" t="str">
        <x:v>Office Supplies</x:v>
      </x:c>
      <x:c r="H8086" t="str">
        <x:v>Paper</x:v>
      </x:c>
      <x:c r="I8086" s="22" t="n">
        <x:v>131.904</x:v>
      </x:c>
      <x:c r="J8086" s="24" t="n">
        <x:v>3</x:v>
      </x:c>
      <x:c r="K8086" s="26" t="n">
        <x:v>0.2</x:v>
      </x:c>
      <x:c r="L8086" s="22" t="n">
        <x:v>47.815200000000004</x:v>
      </x:c>
      <x:c r="M8086" t="n">
        <x:v>2015</x:v>
      </x:c>
      <x:c r="N8086" s="20" t="n">
        <x:v>42278</x:v>
      </x:c>
    </x:row>
    <x:row r="8087" ht="18" customHeight="1">
      <x:c r="A8087" t="str">
        <x:v>CA-2015-150714</x:v>
      </x:c>
      <x:c r="B8087" s="18" t="n">
        <x:v>42303</x:v>
      </x:c>
      <x:c r="C8087" t="str">
        <x:v>KH-16690</x:v>
      </x:c>
      <x:c r="D8087" t="str">
        <x:v>Kristen Hastings</x:v>
      </x:c>
      <x:c r="E8087" t="str">
        <x:v>Corporate</x:v>
      </x:c>
      <x:c r="F8087" t="str">
        <x:v>West</x:v>
      </x:c>
      <x:c r="G8087" t="str">
        <x:v>Office Supplies</x:v>
      </x:c>
      <x:c r="H8087" t="str">
        <x:v>Appliances</x:v>
      </x:c>
      <x:c r="I8087" s="22" t="n">
        <x:v>203.88000000000002</x:v>
      </x:c>
      <x:c r="J8087" s="24" t="n">
        <x:v>5</x:v>
      </x:c>
      <x:c r="K8087" s="26" t="n">
        <x:v>0.2</x:v>
      </x:c>
      <x:c r="L8087" s="22" t="n">
        <x:v>20.387999999999998</x:v>
      </x:c>
      <x:c r="M8087" t="n">
        <x:v>2015</x:v>
      </x:c>
      <x:c r="N8087" s="20" t="n">
        <x:v>42278</x:v>
      </x:c>
    </x:row>
    <x:row r="8088" ht="18" customHeight="1">
      <x:c r="A8088" t="str">
        <x:v>CA-2015-150714</x:v>
      </x:c>
      <x:c r="B8088" s="18" t="n">
        <x:v>42303</x:v>
      </x:c>
      <x:c r="C8088" t="str">
        <x:v>KH-16690</x:v>
      </x:c>
      <x:c r="D8088" t="str">
        <x:v>Kristen Hastings</x:v>
      </x:c>
      <x:c r="E8088" t="str">
        <x:v>Corporate</x:v>
      </x:c>
      <x:c r="F8088" t="str">
        <x:v>West</x:v>
      </x:c>
      <x:c r="G8088" t="str">
        <x:v>Office Supplies</x:v>
      </x:c>
      <x:c r="H8088" t="str">
        <x:v>Binders</x:v>
      </x:c>
      <x:c r="I8088" s="22" t="n">
        <x:v>14.301000000000002</x:v>
      </x:c>
      <x:c r="J8088" s="24" t="n">
        <x:v>7</x:v>
      </x:c>
      <x:c r="K8088" s="26" t="n">
        <x:v>0.7</x:v>
      </x:c>
      <x:c r="L8088" s="22" t="n">
        <x:v>-10.487400000000001</x:v>
      </x:c>
      <x:c r="M8088" t="n">
        <x:v>2015</x:v>
      </x:c>
      <x:c r="N8088" s="20" t="n">
        <x:v>42278</x:v>
      </x:c>
    </x:row>
    <x:row r="8089" ht="18" customHeight="1">
      <x:c r="A8089" t="str">
        <x:v>CA-2015-150714</x:v>
      </x:c>
      <x:c r="B8089" s="18" t="n">
        <x:v>42303</x:v>
      </x:c>
      <x:c r="C8089" t="str">
        <x:v>KH-16690</x:v>
      </x:c>
      <x:c r="D8089" t="str">
        <x:v>Kristen Hastings</x:v>
      </x:c>
      <x:c r="E8089" t="str">
        <x:v>Corporate</x:v>
      </x:c>
      <x:c r="F8089" t="str">
        <x:v>West</x:v>
      </x:c>
      <x:c r="G8089" t="str">
        <x:v>Office Supplies</x:v>
      </x:c>
      <x:c r="H8089" t="str">
        <x:v>Storage</x:v>
      </x:c>
      <x:c r="I8089" s="22" t="n">
        <x:v>718.6400000000001</x:v>
      </x:c>
      <x:c r="J8089" s="24" t="n">
        <x:v>10</x:v>
      </x:c>
      <x:c r="K8089" s="26" t="n">
        <x:v>0.2</x:v>
      </x:c>
      <x:c r="L8089" s="22" t="n">
        <x:v>-161.69400000000005</x:v>
      </x:c>
      <x:c r="M8089" t="n">
        <x:v>2015</x:v>
      </x:c>
      <x:c r="N8089" s="20" t="n">
        <x:v>42278</x:v>
      </x:c>
    </x:row>
    <x:row r="8090" ht="18" customHeight="1">
      <x:c r="A8090" t="str">
        <x:v>CA-2016-105753</x:v>
      </x:c>
      <x:c r="B8090" s="18" t="n">
        <x:v>42663</x:v>
      </x:c>
      <x:c r="C8090" t="str">
        <x:v>LC-16960</x:v>
      </x:c>
      <x:c r="D8090" t="str">
        <x:v>Lindsay Castell</x:v>
      </x:c>
      <x:c r="E8090" t="str">
        <x:v>Home Office</x:v>
      </x:c>
      <x:c r="F8090" t="str">
        <x:v>South</x:v>
      </x:c>
      <x:c r="G8090" t="str">
        <x:v>Furniture</x:v>
      </x:c>
      <x:c r="H8090" t="str">
        <x:v>Furnishings</x:v>
      </x:c>
      <x:c r="I8090" s="22" t="n">
        <x:v>61.1</x:v>
      </x:c>
      <x:c r="J8090" s="24" t="n">
        <x:v>5</x:v>
      </x:c>
      <x:c r="K8090" s="26" t="n">
        <x:v>0</x:v>
      </x:c>
      <x:c r="L8090" s="22" t="n">
        <x:v>18.32999999999999</x:v>
      </x:c>
      <x:c r="M8090" t="n">
        <x:v>2016</x:v>
      </x:c>
      <x:c r="N8090" s="20" t="n">
        <x:v>42644</x:v>
      </x:c>
    </x:row>
    <x:row r="8091" ht="18" customHeight="1">
      <x:c r="A8091" t="str">
        <x:v>CA-2017-120894</x:v>
      </x:c>
      <x:c r="B8091" s="18" t="n">
        <x:v>42853</x:v>
      </x:c>
      <x:c r="C8091" t="str">
        <x:v>JL-15130</x:v>
      </x:c>
      <x:c r="D8091" t="str">
        <x:v>Jack Lebron</x:v>
      </x:c>
      <x:c r="E8091" t="str">
        <x:v>Consumer</x:v>
      </x:c>
      <x:c r="F8091" t="str">
        <x:v>South</x:v>
      </x:c>
      <x:c r="G8091" t="str">
        <x:v>Office Supplies</x:v>
      </x:c>
      <x:c r="H8091" t="str">
        <x:v>Appliances</x:v>
      </x:c>
      <x:c r="I8091" s="22" t="n">
        <x:v>28.08</x:v>
      </x:c>
      <x:c r="J8091" s="24" t="n">
        <x:v>3</x:v>
      </x:c>
      <x:c r="K8091" s="26" t="n">
        <x:v>0.2</x:v>
      </x:c>
      <x:c r="L8091" s="22" t="n">
        <x:v>5.265000000000001</x:v>
      </x:c>
      <x:c r="M8091" t="n">
        <x:v>2017</x:v>
      </x:c>
      <x:c r="N8091" s="20" t="n">
        <x:v>42826</x:v>
      </x:c>
    </x:row>
    <x:row r="8092" ht="18" customHeight="1">
      <x:c r="A8092" t="str">
        <x:v>CA-2016-106621</x:v>
      </x:c>
      <x:c r="B8092" s="18" t="n">
        <x:v>42642</x:v>
      </x:c>
      <x:c r="C8092" t="str">
        <x:v>DM-12955</x:v>
      </x:c>
      <x:c r="D8092" t="str">
        <x:v>Dario Medina</x:v>
      </x:c>
      <x:c r="E8092" t="str">
        <x:v>Corporate</x:v>
      </x:c>
      <x:c r="F8092" t="str">
        <x:v>West</x:v>
      </x:c>
      <x:c r="G8092" t="str">
        <x:v>Office Supplies</x:v>
      </x:c>
      <x:c r="H8092" t="str">
        <x:v>Art</x:v>
      </x:c>
      <x:c r="I8092" s="22" t="n">
        <x:v>10.496</x:v>
      </x:c>
      <x:c r="J8092" s="24" t="n">
        <x:v>4</x:v>
      </x:c>
      <x:c r="K8092" s="26" t="n">
        <x:v>0.2</x:v>
      </x:c>
      <x:c r="L8092" s="22" t="n">
        <x:v>1.1807999999999983</x:v>
      </x:c>
      <x:c r="M8092" t="n">
        <x:v>2016</x:v>
      </x:c>
      <x:c r="N8092" s="20" t="n">
        <x:v>42614</x:v>
      </x:c>
    </x:row>
    <x:row r="8093" ht="18" customHeight="1">
      <x:c r="A8093" t="str">
        <x:v>CA-2015-107020</x:v>
      </x:c>
      <x:c r="B8093" s="18" t="n">
        <x:v>42195</x:v>
      </x:c>
      <x:c r="C8093" t="str">
        <x:v>MV-18190</x:v>
      </x:c>
      <x:c r="D8093" t="str">
        <x:v>Mike Vittorini</x:v>
      </x:c>
      <x:c r="E8093" t="str">
        <x:v>Consumer</x:v>
      </x:c>
      <x:c r="F8093" t="str">
        <x:v>West</x:v>
      </x:c>
      <x:c r="G8093" t="str">
        <x:v>Office Supplies</x:v>
      </x:c>
      <x:c r="H8093" t="str">
        <x:v>Binders</x:v>
      </x:c>
      <x:c r="I8093" s="22" t="n">
        <x:v>39.92</x:v>
      </x:c>
      <x:c r="J8093" s="24" t="n">
        <x:v>2</x:v>
      </x:c>
      <x:c r="K8093" s="26" t="n">
        <x:v>0.2</x:v>
      </x:c>
      <x:c r="L8093" s="22" t="n">
        <x:v>12.973999999999997</x:v>
      </x:c>
      <x:c r="M8093" t="n">
        <x:v>2015</x:v>
      </x:c>
      <x:c r="N8093" s="20" t="n">
        <x:v>42186</x:v>
      </x:c>
    </x:row>
    <x:row r="8094" ht="18" customHeight="1">
      <x:c r="A8094" t="str">
        <x:v>US-2015-117492</x:v>
      </x:c>
      <x:c r="B8094" s="18" t="n">
        <x:v>42223</x:v>
      </x:c>
      <x:c r="C8094" t="str">
        <x:v>NS-18640</x:v>
      </x:c>
      <x:c r="D8094" t="str">
        <x:v>Noel Staavos</x:v>
      </x:c>
      <x:c r="E8094" t="str">
        <x:v>Corporate</x:v>
      </x:c>
      <x:c r="F8094" t="str">
        <x:v>East</x:v>
      </x:c>
      <x:c r="G8094" t="str">
        <x:v>Office Supplies</x:v>
      </x:c>
      <x:c r="H8094" t="str">
        <x:v>Appliances</x:v>
      </x:c>
      <x:c r="I8094" s="22" t="n">
        <x:v>77.58</x:v>
      </x:c>
      <x:c r="J8094" s="24" t="n">
        <x:v>9</x:v>
      </x:c>
      <x:c r="K8094" s="26" t="n">
        <x:v>0</x:v>
      </x:c>
      <x:c r="L8094" s="22" t="n">
        <x:v>20.1708</x:v>
      </x:c>
      <x:c r="M8094" t="n">
        <x:v>2015</x:v>
      </x:c>
      <x:c r="N8094" s="20" t="n">
        <x:v>42217</x:v>
      </x:c>
    </x:row>
    <x:row r="8095" ht="18" customHeight="1">
      <x:c r="A8095" t="str">
        <x:v>CA-2014-101392</x:v>
      </x:c>
      <x:c r="B8095" s="18" t="n">
        <x:v>41980</x:v>
      </x:c>
      <x:c r="C8095" t="str">
        <x:v>AS-10630</x:v>
      </x:c>
      <x:c r="D8095" t="str">
        <x:v>Ann Steele</x:v>
      </x:c>
      <x:c r="E8095" t="str">
        <x:v>Home Office</x:v>
      </x:c>
      <x:c r="F8095" t="str">
        <x:v>West</x:v>
      </x:c>
      <x:c r="G8095" t="str">
        <x:v>Office Supplies</x:v>
      </x:c>
      <x:c r="H8095" t="str">
        <x:v>Storage</x:v>
      </x:c>
      <x:c r="I8095" s="22" t="n">
        <x:v>269.35999999999996</x:v>
      </x:c>
      <x:c r="J8095" s="24" t="n">
        <x:v>7</x:v>
      </x:c>
      <x:c r="K8095" s="26" t="n">
        <x:v>0</x:v>
      </x:c>
      <x:c r="L8095" s="22" t="n">
        <x:v>70.03359999999999</x:v>
      </x:c>
      <x:c r="M8095" t="n">
        <x:v>2014</x:v>
      </x:c>
      <x:c r="N8095" s="20" t="n">
        <x:v>41974</x:v>
      </x:c>
    </x:row>
    <x:row r="8096" ht="18" customHeight="1">
      <x:c r="A8096" t="str">
        <x:v>CA-2015-127502</x:v>
      </x:c>
      <x:c r="B8096" s="18" t="n">
        <x:v>42348</x:v>
      </x:c>
      <x:c r="C8096" t="str">
        <x:v>MT-17815</x:v>
      </x:c>
      <x:c r="D8096" t="str">
        <x:v>Meg Tillman</x:v>
      </x:c>
      <x:c r="E8096" t="str">
        <x:v>Consumer</x:v>
      </x:c>
      <x:c r="F8096" t="str">
        <x:v>West</x:v>
      </x:c>
      <x:c r="G8096" t="str">
        <x:v>Office Supplies</x:v>
      </x:c>
      <x:c r="H8096" t="str">
        <x:v>Labels</x:v>
      </x:c>
      <x:c r="I8096" s="22" t="n">
        <x:v>5.76</x:v>
      </x:c>
      <x:c r="J8096" s="24" t="n">
        <x:v>2</x:v>
      </x:c>
      <x:c r="K8096" s="26" t="n">
        <x:v>0</x:v>
      </x:c>
      <x:c r="L8096" s="22" t="n">
        <x:v>2.8224</x:v>
      </x:c>
      <x:c r="M8096" t="n">
        <x:v>2015</x:v>
      </x:c>
      <x:c r="N8096" s="20" t="n">
        <x:v>42339</x:v>
      </x:c>
    </x:row>
    <x:row r="8097" ht="18" customHeight="1">
      <x:c r="A8097" t="str">
        <x:v>CA-2017-143658</x:v>
      </x:c>
      <x:c r="B8097" s="18" t="n">
        <x:v>43047</x:v>
      </x:c>
      <x:c r="C8097" t="str">
        <x:v>SR-20425</x:v>
      </x:c>
      <x:c r="D8097" t="str">
        <x:v>Sharelle Roach</x:v>
      </x:c>
      <x:c r="E8097" t="str">
        <x:v>Home Office</x:v>
      </x:c>
      <x:c r="F8097" t="str">
        <x:v>East</x:v>
      </x:c>
      <x:c r="G8097" t="str">
        <x:v>Office Supplies</x:v>
      </x:c>
      <x:c r="H8097" t="str">
        <x:v>Art</x:v>
      </x:c>
      <x:c r="I8097" s="22" t="n">
        <x:v>109.9</x:v>
      </x:c>
      <x:c r="J8097" s="24" t="n">
        <x:v>5</x:v>
      </x:c>
      <x:c r="K8097" s="26" t="n">
        <x:v>0</x:v>
      </x:c>
      <x:c r="L8097" s="22" t="n">
        <x:v>32.97</x:v>
      </x:c>
      <x:c r="M8097" t="n">
        <x:v>2017</x:v>
      </x:c>
      <x:c r="N8097" s="20" t="n">
        <x:v>43040</x:v>
      </x:c>
    </x:row>
    <x:row r="8098" ht="18" customHeight="1">
      <x:c r="A8098" t="str">
        <x:v>CA-2017-133046</x:v>
      </x:c>
      <x:c r="B8098" s="18" t="n">
        <x:v>42943</x:v>
      </x:c>
      <x:c r="C8098" t="str">
        <x:v>DK-13375</x:v>
      </x:c>
      <x:c r="D8098" t="str">
        <x:v>Dennis Kane</x:v>
      </x:c>
      <x:c r="E8098" t="str">
        <x:v>Consumer</x:v>
      </x:c>
      <x:c r="F8098" t="str">
        <x:v>West</x:v>
      </x:c>
      <x:c r="G8098" t="str">
        <x:v>Furniture</x:v>
      </x:c>
      <x:c r="H8098" t="str">
        <x:v>Furnishings</x:v>
      </x:c>
      <x:c r="I8098" s="22" t="n">
        <x:v>23.88</x:v>
      </x:c>
      <x:c r="J8098" s="24" t="n">
        <x:v>3</x:v>
      </x:c>
      <x:c r="K8098" s="26" t="n">
        <x:v>0</x:v>
      </x:c>
      <x:c r="L8098" s="22" t="n">
        <x:v>10.507200000000001</x:v>
      </x:c>
      <x:c r="M8098" t="n">
        <x:v>2017</x:v>
      </x:c>
      <x:c r="N8098" s="20" t="n">
        <x:v>42917</x:v>
      </x:c>
    </x:row>
    <x:row r="8099" ht="18" customHeight="1">
      <x:c r="A8099" t="str">
        <x:v>CA-2017-133046</x:v>
      </x:c>
      <x:c r="B8099" s="18" t="n">
        <x:v>42943</x:v>
      </x:c>
      <x:c r="C8099" t="str">
        <x:v>DK-13375</x:v>
      </x:c>
      <x:c r="D8099" t="str">
        <x:v>Dennis Kane</x:v>
      </x:c>
      <x:c r="E8099" t="str">
        <x:v>Consumer</x:v>
      </x:c>
      <x:c r="F8099" t="str">
        <x:v>West</x:v>
      </x:c>
      <x:c r="G8099" t="str">
        <x:v>Office Supplies</x:v>
      </x:c>
      <x:c r="H8099" t="str">
        <x:v>Paper</x:v>
      </x:c>
      <x:c r="I8099" s="22" t="n">
        <x:v>26.2</x:v>
      </x:c>
      <x:c r="J8099" s="24" t="n">
        <x:v>4</x:v>
      </x:c>
      <x:c r="K8099" s="26" t="n">
        <x:v>0</x:v>
      </x:c>
      <x:c r="L8099" s="22" t="n">
        <x:v>12.052</x:v>
      </x:c>
      <x:c r="M8099" t="n">
        <x:v>2017</x:v>
      </x:c>
      <x:c r="N8099" s="20" t="n">
        <x:v>42917</x:v>
      </x:c>
    </x:row>
    <x:row r="8100" ht="18" customHeight="1">
      <x:c r="A8100" t="str">
        <x:v>CA-2017-133046</x:v>
      </x:c>
      <x:c r="B8100" s="18" t="n">
        <x:v>42943</x:v>
      </x:c>
      <x:c r="C8100" t="str">
        <x:v>DK-13375</x:v>
      </x:c>
      <x:c r="D8100" t="str">
        <x:v>Dennis Kane</x:v>
      </x:c>
      <x:c r="E8100" t="str">
        <x:v>Consumer</x:v>
      </x:c>
      <x:c r="F8100" t="str">
        <x:v>West</x:v>
      </x:c>
      <x:c r="G8100" t="str">
        <x:v>Office Supplies</x:v>
      </x:c>
      <x:c r="H8100" t="str">
        <x:v>Paper</x:v>
      </x:c>
      <x:c r="I8100" s="22" t="n">
        <x:v>12.96</x:v>
      </x:c>
      <x:c r="J8100" s="24" t="n">
        <x:v>2</x:v>
      </x:c>
      <x:c r="K8100" s="26" t="n">
        <x:v>0</x:v>
      </x:c>
      <x:c r="L8100" s="22" t="n">
        <x:v>6.2208000000000006</x:v>
      </x:c>
      <x:c r="M8100" t="n">
        <x:v>2017</x:v>
      </x:c>
      <x:c r="N8100" s="20" t="n">
        <x:v>42917</x:v>
      </x:c>
    </x:row>
    <x:row r="8101" ht="18" customHeight="1">
      <x:c r="A8101" t="str">
        <x:v>CA-2017-133046</x:v>
      </x:c>
      <x:c r="B8101" s="18" t="n">
        <x:v>42943</x:v>
      </x:c>
      <x:c r="C8101" t="str">
        <x:v>DK-13375</x:v>
      </x:c>
      <x:c r="D8101" t="str">
        <x:v>Dennis Kane</x:v>
      </x:c>
      <x:c r="E8101" t="str">
        <x:v>Consumer</x:v>
      </x:c>
      <x:c r="F8101" t="str">
        <x:v>West</x:v>
      </x:c>
      <x:c r="G8101" t="str">
        <x:v>Technology</x:v>
      </x:c>
      <x:c r="H8101" t="str">
        <x:v>Accessories</x:v>
      </x:c>
      <x:c r="I8101" s="22" t="n">
        <x:v>234.95000000000002</x:v>
      </x:c>
      <x:c r="J8101" s="24" t="n">
        <x:v>5</x:v>
      </x:c>
      <x:c r="K8101" s="26" t="n">
        <x:v>0</x:v>
      </x:c>
      <x:c r="L8101" s="22" t="n">
        <x:v>32.89300000000001</x:v>
      </x:c>
      <x:c r="M8101" t="n">
        <x:v>2017</x:v>
      </x:c>
      <x:c r="N8101" s="20" t="n">
        <x:v>42917</x:v>
      </x:c>
    </x:row>
    <x:row r="8102" ht="18" customHeight="1">
      <x:c r="A8102" t="str">
        <x:v>CA-2017-122798</x:v>
      </x:c>
      <x:c r="B8102" s="18" t="n">
        <x:v>43097</x:v>
      </x:c>
      <x:c r="C8102" t="str">
        <x:v>SV-20935</x:v>
      </x:c>
      <x:c r="D8102" t="str">
        <x:v>Susan Vittorini</x:v>
      </x:c>
      <x:c r="E8102" t="str">
        <x:v>Consumer</x:v>
      </x:c>
      <x:c r="F8102" t="str">
        <x:v>West</x:v>
      </x:c>
      <x:c r="G8102" t="str">
        <x:v>Office Supplies</x:v>
      </x:c>
      <x:c r="H8102" t="str">
        <x:v>Storage</x:v>
      </x:c>
      <x:c r="I8102" s="22" t="n">
        <x:v>118.25</x:v>
      </x:c>
      <x:c r="J8102" s="24" t="n">
        <x:v>5</x:v>
      </x:c>
      <x:c r="K8102" s="26" t="n">
        <x:v>0</x:v>
      </x:c>
      <x:c r="L8102" s="22" t="n">
        <x:v>34.2925</x:v>
      </x:c>
      <x:c r="M8102" t="n">
        <x:v>2017</x:v>
      </x:c>
      <x:c r="N8102" s="20" t="n">
        <x:v>43070</x:v>
      </x:c>
    </x:row>
    <x:row r="8103" ht="18" customHeight="1">
      <x:c r="A8103" t="str">
        <x:v>CA-2017-122798</x:v>
      </x:c>
      <x:c r="B8103" s="18" t="n">
        <x:v>43097</x:v>
      </x:c>
      <x:c r="C8103" t="str">
        <x:v>SV-20935</x:v>
      </x:c>
      <x:c r="D8103" t="str">
        <x:v>Susan Vittorini</x:v>
      </x:c>
      <x:c r="E8103" t="str">
        <x:v>Consumer</x:v>
      </x:c>
      <x:c r="F8103" t="str">
        <x:v>West</x:v>
      </x:c>
      <x:c r="G8103" t="str">
        <x:v>Office Supplies</x:v>
      </x:c>
      <x:c r="H8103" t="str">
        <x:v>Paper</x:v>
      </x:c>
      <x:c r="I8103" s="22" t="n">
        <x:v>4.28</x:v>
      </x:c>
      <x:c r="J8103" s="24" t="n">
        <x:v>1</x:v>
      </x:c>
      <x:c r="K8103" s="26" t="n">
        <x:v>0</x:v>
      </x:c>
      <x:c r="L8103" s="22" t="n">
        <x:v>1.9259999999999997</x:v>
      </x:c>
      <x:c r="M8103" t="n">
        <x:v>2017</x:v>
      </x:c>
      <x:c r="N8103" s="20" t="n">
        <x:v>43070</x:v>
      </x:c>
    </x:row>
    <x:row r="8104" ht="18" customHeight="1">
      <x:c r="A8104" t="str">
        <x:v>CA-2016-169663</x:v>
      </x:c>
      <x:c r="B8104" s="18" t="n">
        <x:v>42439</x:v>
      </x:c>
      <x:c r="C8104" t="str">
        <x:v>RH-19510</x:v>
      </x:c>
      <x:c r="D8104" t="str">
        <x:v>Rick Huthwaite</x:v>
      </x:c>
      <x:c r="E8104" t="str">
        <x:v>Home Office</x:v>
      </x:c>
      <x:c r="F8104" t="str">
        <x:v>West</x:v>
      </x:c>
      <x:c r="G8104" t="str">
        <x:v>Technology</x:v>
      </x:c>
      <x:c r="H8104" t="str">
        <x:v>Accessories</x:v>
      </x:c>
      <x:c r="I8104" s="22" t="n">
        <x:v>26.849999999999998</x:v>
      </x:c>
      <x:c r="J8104" s="24" t="n">
        <x:v>3</x:v>
      </x:c>
      <x:c r="K8104" s="26" t="n">
        <x:v>0</x:v>
      </x:c>
      <x:c r="L8104" s="22" t="n">
        <x:v>5.101499999999997</x:v>
      </x:c>
      <x:c r="M8104" t="n">
        <x:v>2016</x:v>
      </x:c>
      <x:c r="N8104" s="20" t="n">
        <x:v>42430</x:v>
      </x:c>
    </x:row>
    <x:row r="8105" ht="18" customHeight="1">
      <x:c r="A8105" t="str">
        <x:v>CA-2016-169663</x:v>
      </x:c>
      <x:c r="B8105" s="18" t="n">
        <x:v>42439</x:v>
      </x:c>
      <x:c r="C8105" t="str">
        <x:v>RH-19510</x:v>
      </x:c>
      <x:c r="D8105" t="str">
        <x:v>Rick Huthwaite</x:v>
      </x:c>
      <x:c r="E8105" t="str">
        <x:v>Home Office</x:v>
      </x:c>
      <x:c r="F8105" t="str">
        <x:v>West</x:v>
      </x:c>
      <x:c r="G8105" t="str">
        <x:v>Technology</x:v>
      </x:c>
      <x:c r="H8105" t="str">
        <x:v>Machines</x:v>
      </x:c>
      <x:c r="I8105" s="22" t="n">
        <x:v>3357.6000000000004</x:v>
      </x:c>
      <x:c r="J8105" s="24" t="n">
        <x:v>3</x:v>
      </x:c>
      <x:c r="K8105" s="26" t="n">
        <x:v>0.2</x:v>
      </x:c>
      <x:c r="L8105" s="22" t="n">
        <x:v>377.72999999999956</x:v>
      </x:c>
      <x:c r="M8105" t="n">
        <x:v>2016</x:v>
      </x:c>
      <x:c r="N8105" s="20" t="n">
        <x:v>42430</x:v>
      </x:c>
    </x:row>
    <x:row r="8106" ht="18" customHeight="1">
      <x:c r="A8106" t="str">
        <x:v>CA-2015-149846</x:v>
      </x:c>
      <x:c r="B8106" s="18" t="n">
        <x:v>42146</x:v>
      </x:c>
      <x:c r="C8106" t="str">
        <x:v>SB-20185</x:v>
      </x:c>
      <x:c r="D8106" t="str">
        <x:v>Sarah Brown</x:v>
      </x:c>
      <x:c r="E8106" t="str">
        <x:v>Consumer</x:v>
      </x:c>
      <x:c r="F8106" t="str">
        <x:v>West</x:v>
      </x:c>
      <x:c r="G8106" t="str">
        <x:v>Office Supplies</x:v>
      </x:c>
      <x:c r="H8106" t="str">
        <x:v>Labels</x:v>
      </x:c>
      <x:c r="I8106" s="22" t="n">
        <x:v>8.26</x:v>
      </x:c>
      <x:c r="J8106" s="24" t="n">
        <x:v>2</x:v>
      </x:c>
      <x:c r="K8106" s="26" t="n">
        <x:v>0</x:v>
      </x:c>
      <x:c r="L8106" s="22" t="n">
        <x:v>3.7996</x:v>
      </x:c>
      <x:c r="M8106" t="n">
        <x:v>2015</x:v>
      </x:c>
      <x:c r="N8106" s="20" t="n">
        <x:v>42125</x:v>
      </x:c>
    </x:row>
    <x:row r="8107" ht="18" customHeight="1">
      <x:c r="A8107" t="str">
        <x:v>CA-2015-149846</x:v>
      </x:c>
      <x:c r="B8107" s="18" t="n">
        <x:v>42146</x:v>
      </x:c>
      <x:c r="C8107" t="str">
        <x:v>SB-20185</x:v>
      </x:c>
      <x:c r="D8107" t="str">
        <x:v>Sarah Brown</x:v>
      </x:c>
      <x:c r="E8107" t="str">
        <x:v>Consumer</x:v>
      </x:c>
      <x:c r="F8107" t="str">
        <x:v>West</x:v>
      </x:c>
      <x:c r="G8107" t="str">
        <x:v>Technology</x:v>
      </x:c>
      <x:c r="H8107" t="str">
        <x:v>Machines</x:v>
      </x:c>
      <x:c r="I8107" s="22" t="n">
        <x:v>2973.32</x:v>
      </x:c>
      <x:c r="J8107" s="24" t="n">
        <x:v>7</x:v>
      </x:c>
      <x:c r="K8107" s="26" t="n">
        <x:v>0.2</x:v>
      </x:c>
      <x:c r="L8107" s="22" t="n">
        <x:v>334.4984999999996</x:v>
      </x:c>
      <x:c r="M8107" t="n">
        <x:v>2015</x:v>
      </x:c>
      <x:c r="N8107" s="20" t="n">
        <x:v>42125</x:v>
      </x:c>
    </x:row>
    <x:row r="8108" ht="18" customHeight="1">
      <x:c r="A8108" t="str">
        <x:v>CA-2015-149846</x:v>
      </x:c>
      <x:c r="B8108" s="18" t="n">
        <x:v>42146</x:v>
      </x:c>
      <x:c r="C8108" t="str">
        <x:v>SB-20185</x:v>
      </x:c>
      <x:c r="D8108" t="str">
        <x:v>Sarah Brown</x:v>
      </x:c>
      <x:c r="E8108" t="str">
        <x:v>Consumer</x:v>
      </x:c>
      <x:c r="F8108" t="str">
        <x:v>West</x:v>
      </x:c>
      <x:c r="G8108" t="str">
        <x:v>Office Supplies</x:v>
      </x:c>
      <x:c r="H8108" t="str">
        <x:v>Storage</x:v>
      </x:c>
      <x:c r="I8108" s="22" t="n">
        <x:v>104.79</x:v>
      </x:c>
      <x:c r="J8108" s="24" t="n">
        <x:v>7</x:v>
      </x:c>
      <x:c r="K8108" s="26" t="n">
        <x:v>0</x:v>
      </x:c>
      <x:c r="L8108" s="22" t="n">
        <x:v>29.341200000000008</x:v>
      </x:c>
      <x:c r="M8108" t="n">
        <x:v>2015</x:v>
      </x:c>
      <x:c r="N8108" s="20" t="n">
        <x:v>42125</x:v>
      </x:c>
    </x:row>
    <x:row r="8109" ht="18" customHeight="1">
      <x:c r="A8109" t="str">
        <x:v>CA-2015-149846</x:v>
      </x:c>
      <x:c r="B8109" s="18" t="n">
        <x:v>42146</x:v>
      </x:c>
      <x:c r="C8109" t="str">
        <x:v>SB-20185</x:v>
      </x:c>
      <x:c r="D8109" t="str">
        <x:v>Sarah Brown</x:v>
      </x:c>
      <x:c r="E8109" t="str">
        <x:v>Consumer</x:v>
      </x:c>
      <x:c r="F8109" t="str">
        <x:v>West</x:v>
      </x:c>
      <x:c r="G8109" t="str">
        <x:v>Technology</x:v>
      </x:c>
      <x:c r="H8109" t="str">
        <x:v>Phones</x:v>
      </x:c>
      <x:c r="I8109" s="22" t="n">
        <x:v>775.7280000000001</x:v>
      </x:c>
      <x:c r="J8109" s="24" t="n">
        <x:v>6</x:v>
      </x:c>
      <x:c r="K8109" s="26" t="n">
        <x:v>0.2</x:v>
      </x:c>
      <x:c r="L8109" s="22" t="n">
        <x:v>58.17960000000002</x:v>
      </x:c>
      <x:c r="M8109" t="n">
        <x:v>2015</x:v>
      </x:c>
      <x:c r="N8109" s="20" t="n">
        <x:v>42125</x:v>
      </x:c>
    </x:row>
    <x:row r="8110" ht="18" customHeight="1">
      <x:c r="A8110" t="str">
        <x:v>CA-2017-159149</x:v>
      </x:c>
      <x:c r="B8110" s="18" t="n">
        <x:v>42783</x:v>
      </x:c>
      <x:c r="C8110" t="str">
        <x:v>CR-12820</x:v>
      </x:c>
      <x:c r="D8110" t="str">
        <x:v>Cyra Reiten</x:v>
      </x:c>
      <x:c r="E8110" t="str">
        <x:v>Home Office</x:v>
      </x:c>
      <x:c r="F8110" t="str">
        <x:v>Central</x:v>
      </x:c>
      <x:c r="G8110" t="str">
        <x:v>Furniture</x:v>
      </x:c>
      <x:c r="H8110" t="str">
        <x:v>Bookcases</x:v>
      </x:c>
      <x:c r="I8110" s="22" t="n">
        <x:v>89.06639999999999</x:v>
      </x:c>
      <x:c r="J8110" s="24" t="n">
        <x:v>1</x:v>
      </x:c>
      <x:c r="K8110" s="26" t="n">
        <x:v>0.32</x:v>
      </x:c>
      <x:c r="L8110" s="22" t="n">
        <x:v>-17.027400000000007</x:v>
      </x:c>
      <x:c r="M8110" t="n">
        <x:v>2017</x:v>
      </x:c>
      <x:c r="N8110" s="20" t="n">
        <x:v>42767</x:v>
      </x:c>
    </x:row>
    <x:row r="8111" ht="18" customHeight="1">
      <x:c r="A8111" t="str">
        <x:v>CA-2017-159149</x:v>
      </x:c>
      <x:c r="B8111" s="18" t="n">
        <x:v>42783</x:v>
      </x:c>
      <x:c r="C8111" t="str">
        <x:v>CR-12820</x:v>
      </x:c>
      <x:c r="D8111" t="str">
        <x:v>Cyra Reiten</x:v>
      </x:c>
      <x:c r="E8111" t="str">
        <x:v>Home Office</x:v>
      </x:c>
      <x:c r="F8111" t="str">
        <x:v>Central</x:v>
      </x:c>
      <x:c r="G8111" t="str">
        <x:v>Office Supplies</x:v>
      </x:c>
      <x:c r="H8111" t="str">
        <x:v>Art</x:v>
      </x:c>
      <x:c r="I8111" s="22" t="n">
        <x:v>175.44</x:v>
      </x:c>
      <x:c r="J8111" s="24" t="n">
        <x:v>6</x:v>
      </x:c>
      <x:c r="K8111" s="26" t="n">
        <x:v>0.2</x:v>
      </x:c>
      <x:c r="L8111" s="22" t="n">
        <x:v>52.632000000000005</x:v>
      </x:c>
      <x:c r="M8111" t="n">
        <x:v>2017</x:v>
      </x:c>
      <x:c r="N8111" s="20" t="n">
        <x:v>42767</x:v>
      </x:c>
    </x:row>
    <x:row r="8112" ht="18" customHeight="1">
      <x:c r="A8112" t="str">
        <x:v>CA-2017-159149</x:v>
      </x:c>
      <x:c r="B8112" s="18" t="n">
        <x:v>42783</x:v>
      </x:c>
      <x:c r="C8112" t="str">
        <x:v>CR-12820</x:v>
      </x:c>
      <x:c r="D8112" t="str">
        <x:v>Cyra Reiten</x:v>
      </x:c>
      <x:c r="E8112" t="str">
        <x:v>Home Office</x:v>
      </x:c>
      <x:c r="F8112" t="str">
        <x:v>Central</x:v>
      </x:c>
      <x:c r="G8112" t="str">
        <x:v>Technology</x:v>
      </x:c>
      <x:c r="H8112" t="str">
        <x:v>Phones</x:v>
      </x:c>
      <x:c r="I8112" s="22" t="n">
        <x:v>438.336</x:v>
      </x:c>
      <x:c r="J8112" s="24" t="n">
        <x:v>4</x:v>
      </x:c>
      <x:c r="K8112" s="26" t="n">
        <x:v>0.2</x:v>
      </x:c>
      <x:c r="L8112" s="22" t="n">
        <x:v>-87.66720000000004</x:v>
      </x:c>
      <x:c r="M8112" t="n">
        <x:v>2017</x:v>
      </x:c>
      <x:c r="N8112" s="20" t="n">
        <x:v>42767</x:v>
      </x:c>
    </x:row>
    <x:row r="8113" ht="18" customHeight="1">
      <x:c r="A8113" t="str">
        <x:v>US-2017-167570</x:v>
      </x:c>
      <x:c r="B8113" s="18" t="n">
        <x:v>43077</x:v>
      </x:c>
      <x:c r="C8113" t="str">
        <x:v>EG-13900</x:v>
      </x:c>
      <x:c r="D8113" t="str">
        <x:v>Emily Grady</x:v>
      </x:c>
      <x:c r="E8113" t="str">
        <x:v>Consumer</x:v>
      </x:c>
      <x:c r="F8113" t="str">
        <x:v>East</x:v>
      </x:c>
      <x:c r="G8113" t="str">
        <x:v>Furniture</x:v>
      </x:c>
      <x:c r="H8113" t="str">
        <x:v>Chairs</x:v>
      </x:c>
      <x:c r="I8113" s="22" t="n">
        <x:v>215.544</x:v>
      </x:c>
      <x:c r="J8113" s="24" t="n">
        <x:v>4</x:v>
      </x:c>
      <x:c r="K8113" s="26" t="n">
        <x:v>0.3</x:v>
      </x:c>
      <x:c r="L8113" s="22" t="n">
        <x:v>-58.50480000000002</x:v>
      </x:c>
      <x:c r="M8113" t="n">
        <x:v>2017</x:v>
      </x:c>
      <x:c r="N8113" s="20" t="n">
        <x:v>43070</x:v>
      </x:c>
    </x:row>
    <x:row r="8114" ht="18" customHeight="1">
      <x:c r="A8114" t="str">
        <x:v>CA-2017-160122</x:v>
      </x:c>
      <x:c r="B8114" s="18" t="n">
        <x:v>43057</x:v>
      </x:c>
      <x:c r="C8114" t="str">
        <x:v>RD-19930</x:v>
      </x:c>
      <x:c r="D8114" t="str">
        <x:v>Russell D'Ascenzo</x:v>
      </x:c>
      <x:c r="E8114" t="str">
        <x:v>Consumer</x:v>
      </x:c>
      <x:c r="F8114" t="str">
        <x:v>Central</x:v>
      </x:c>
      <x:c r="G8114" t="str">
        <x:v>Office Supplies</x:v>
      </x:c>
      <x:c r="H8114" t="str">
        <x:v>Envelopes</x:v>
      </x:c>
      <x:c r="I8114" s="22" t="n">
        <x:v>55.584</x:v>
      </x:c>
      <x:c r="J8114" s="24" t="n">
        <x:v>6</x:v>
      </x:c>
      <x:c r="K8114" s="26" t="n">
        <x:v>0.2</x:v>
      </x:c>
      <x:c r="L8114" s="22" t="n">
        <x:v>20.844</x:v>
      </x:c>
      <x:c r="M8114" t="n">
        <x:v>2017</x:v>
      </x:c>
      <x:c r="N8114" s="20" t="n">
        <x:v>43040</x:v>
      </x:c>
    </x:row>
    <x:row r="8115" ht="18" customHeight="1">
      <x:c r="A8115" t="str">
        <x:v>CA-2017-160122</x:v>
      </x:c>
      <x:c r="B8115" s="18" t="n">
        <x:v>43057</x:v>
      </x:c>
      <x:c r="C8115" t="str">
        <x:v>RD-19930</x:v>
      </x:c>
      <x:c r="D8115" t="str">
        <x:v>Russell D'Ascenzo</x:v>
      </x:c>
      <x:c r="E8115" t="str">
        <x:v>Consumer</x:v>
      </x:c>
      <x:c r="F8115" t="str">
        <x:v>Central</x:v>
      </x:c>
      <x:c r="G8115" t="str">
        <x:v>Furniture</x:v>
      </x:c>
      <x:c r="H8115" t="str">
        <x:v>Chairs</x:v>
      </x:c>
      <x:c r="I8115" s="22" t="n">
        <x:v>127.38599999999998</x:v>
      </x:c>
      <x:c r="J8115" s="24" t="n">
        <x:v>2</x:v>
      </x:c>
      <x:c r="K8115" s="26" t="n">
        <x:v>0.3</x:v>
      </x:c>
      <x:c r="L8115" s="22" t="n">
        <x:v>-25.477199999999982</x:v>
      </x:c>
      <x:c r="M8115" t="n">
        <x:v>2017</x:v>
      </x:c>
      <x:c r="N8115" s="20" t="n">
        <x:v>43040</x:v>
      </x:c>
    </x:row>
    <x:row r="8116" ht="18" customHeight="1">
      <x:c r="A8116" t="str">
        <x:v>CA-2016-130393</x:v>
      </x:c>
      <x:c r="B8116" s="18" t="n">
        <x:v>42705</x:v>
      </x:c>
      <x:c r="C8116" t="str">
        <x:v>JM-15865</x:v>
      </x:c>
      <x:c r="D8116" t="str">
        <x:v>John Murray</x:v>
      </x:c>
      <x:c r="E8116" t="str">
        <x:v>Consumer</x:v>
      </x:c>
      <x:c r="F8116" t="str">
        <x:v>Central</x:v>
      </x:c>
      <x:c r="G8116" t="str">
        <x:v>Furniture</x:v>
      </x:c>
      <x:c r="H8116" t="str">
        <x:v>Chairs</x:v>
      </x:c>
      <x:c r="I8116" s="22" t="n">
        <x:v>248.43</x:v>
      </x:c>
      <x:c r="J8116" s="24" t="n">
        <x:v>5</x:v>
      </x:c>
      <x:c r="K8116" s="26" t="n">
        <x:v>0.3</x:v>
      </x:c>
      <x:c r="L8116" s="22" t="n">
        <x:v>-17.744999999999976</x:v>
      </x:c>
      <x:c r="M8116" t="n">
        <x:v>2016</x:v>
      </x:c>
      <x:c r="N8116" s="20" t="n">
        <x:v>42705</x:v>
      </x:c>
    </x:row>
    <x:row r="8117" ht="18" customHeight="1">
      <x:c r="A8117" t="str">
        <x:v>CA-2016-130393</x:v>
      </x:c>
      <x:c r="B8117" s="18" t="n">
        <x:v>42705</x:v>
      </x:c>
      <x:c r="C8117" t="str">
        <x:v>JM-15865</x:v>
      </x:c>
      <x:c r="D8117" t="str">
        <x:v>John Murray</x:v>
      </x:c>
      <x:c r="E8117" t="str">
        <x:v>Consumer</x:v>
      </x:c>
      <x:c r="F8117" t="str">
        <x:v>Central</x:v>
      </x:c>
      <x:c r="G8117" t="str">
        <x:v>Office Supplies</x:v>
      </x:c>
      <x:c r="H8117" t="str">
        <x:v>Appliances</x:v>
      </x:c>
      <x:c r="I8117" s="22" t="n">
        <x:v>11.647999999999998</x:v>
      </x:c>
      <x:c r="J8117" s="24" t="n">
        <x:v>4</x:v>
      </x:c>
      <x:c r="K8117" s="26" t="n">
        <x:v>0.8</x:v>
      </x:c>
      <x:c r="L8117" s="22" t="n">
        <x:v>-30.867200000000004</x:v>
      </x:c>
      <x:c r="M8117" t="n">
        <x:v>2016</x:v>
      </x:c>
      <x:c r="N8117" s="20" t="n">
        <x:v>42705</x:v>
      </x:c>
    </x:row>
    <x:row r="8118" ht="18" customHeight="1">
      <x:c r="A8118" t="str">
        <x:v>CA-2016-130393</x:v>
      </x:c>
      <x:c r="B8118" s="18" t="n">
        <x:v>42705</x:v>
      </x:c>
      <x:c r="C8118" t="str">
        <x:v>JM-15865</x:v>
      </x:c>
      <x:c r="D8118" t="str">
        <x:v>John Murray</x:v>
      </x:c>
      <x:c r="E8118" t="str">
        <x:v>Consumer</x:v>
      </x:c>
      <x:c r="F8118" t="str">
        <x:v>Central</x:v>
      </x:c>
      <x:c r="G8118" t="str">
        <x:v>Furniture</x:v>
      </x:c>
      <x:c r="H8118" t="str">
        <x:v>Chairs</x:v>
      </x:c>
      <x:c r="I8118" s="22" t="n">
        <x:v>85.246</x:v>
      </x:c>
      <x:c r="J8118" s="24" t="n">
        <x:v>2</x:v>
      </x:c>
      <x:c r="K8118" s="26" t="n">
        <x:v>0.3</x:v>
      </x:c>
      <x:c r="L8118" s="22" t="n">
        <x:v>-1.217800000000004</x:v>
      </x:c>
      <x:c r="M8118" t="n">
        <x:v>2016</x:v>
      </x:c>
      <x:c r="N8118" s="20" t="n">
        <x:v>42705</x:v>
      </x:c>
    </x:row>
    <x:row r="8119" ht="18" customHeight="1">
      <x:c r="A8119" t="str">
        <x:v>CA-2017-144820</x:v>
      </x:c>
      <x:c r="B8119" s="18" t="n">
        <x:v>43011</x:v>
      </x:c>
      <x:c r="C8119" t="str">
        <x:v>LW-16825</x:v>
      </x:c>
      <x:c r="D8119" t="str">
        <x:v>Laurel Workman</x:v>
      </x:c>
      <x:c r="E8119" t="str">
        <x:v>Corporate</x:v>
      </x:c>
      <x:c r="F8119" t="str">
        <x:v>Central</x:v>
      </x:c>
      <x:c r="G8119" t="str">
        <x:v>Office Supplies</x:v>
      </x:c>
      <x:c r="H8119" t="str">
        <x:v>Art</x:v>
      </x:c>
      <x:c r="I8119" s="22" t="n">
        <x:v>20.64</x:v>
      </x:c>
      <x:c r="J8119" s="24" t="n">
        <x:v>5</x:v>
      </x:c>
      <x:c r="K8119" s="26" t="n">
        <x:v>0.2</x:v>
      </x:c>
      <x:c r="L8119" s="22" t="n">
        <x:v>2.3219999999999974</x:v>
      </x:c>
      <x:c r="M8119" t="n">
        <x:v>2017</x:v>
      </x:c>
      <x:c r="N8119" s="20" t="n">
        <x:v>43009</x:v>
      </x:c>
    </x:row>
    <x:row r="8120" ht="18" customHeight="1">
      <x:c r="A8120" t="str">
        <x:v>CA-2017-101014</x:v>
      </x:c>
      <x:c r="B8120" s="18" t="n">
        <x:v>42976</x:v>
      </x:c>
      <x:c r="C8120" t="str">
        <x:v>RW-19540</x:v>
      </x:c>
      <x:c r="D8120" t="str">
        <x:v>Rick Wilson</x:v>
      </x:c>
      <x:c r="E8120" t="str">
        <x:v>Corporate</x:v>
      </x:c>
      <x:c r="F8120" t="str">
        <x:v>West</x:v>
      </x:c>
      <x:c r="G8120" t="str">
        <x:v>Furniture</x:v>
      </x:c>
      <x:c r="H8120" t="str">
        <x:v>Furnishings</x:v>
      </x:c>
      <x:c r="I8120" s="22" t="n">
        <x:v>148.02</x:v>
      </x:c>
      <x:c r="J8120" s="24" t="n">
        <x:v>3</x:v>
      </x:c>
      <x:c r="K8120" s="26" t="n">
        <x:v>0</x:v>
      </x:c>
      <x:c r="L8120" s="22" t="n">
        <x:v>41.44560000000001</x:v>
      </x:c>
      <x:c r="M8120" t="n">
        <x:v>2017</x:v>
      </x:c>
      <x:c r="N8120" s="20" t="n">
        <x:v>42948</x:v>
      </x:c>
    </x:row>
    <x:row r="8121" ht="18" customHeight="1">
      <x:c r="A8121" t="str">
        <x:v>CA-2017-105543</x:v>
      </x:c>
      <x:c r="B8121" s="18" t="n">
        <x:v>43063</x:v>
      </x:c>
      <x:c r="C8121" t="str">
        <x:v>BG-11695</x:v>
      </x:c>
      <x:c r="D8121" t="str">
        <x:v>Brooke Gillingham</x:v>
      </x:c>
      <x:c r="E8121" t="str">
        <x:v>Corporate</x:v>
      </x:c>
      <x:c r="F8121" t="str">
        <x:v>Central</x:v>
      </x:c>
      <x:c r="G8121" t="str">
        <x:v>Office Supplies</x:v>
      </x:c>
      <x:c r="H8121" t="str">
        <x:v>Storage</x:v>
      </x:c>
      <x:c r="I8121" s="22" t="n">
        <x:v>33.29</x:v>
      </x:c>
      <x:c r="J8121" s="24" t="n">
        <x:v>1</x:v>
      </x:c>
      <x:c r="K8121" s="26" t="n">
        <x:v>0</x:v>
      </x:c>
      <x:c r="L8121" s="22" t="n">
        <x:v>7.989599999999999</x:v>
      </x:c>
      <x:c r="M8121" t="n">
        <x:v>2017</x:v>
      </x:c>
      <x:c r="N8121" s="20" t="n">
        <x:v>43040</x:v>
      </x:c>
    </x:row>
    <x:row r="8122" ht="18" customHeight="1">
      <x:c r="A8122" t="str">
        <x:v>US-2017-113201</x:v>
      </x:c>
      <x:c r="B8122" s="18" t="n">
        <x:v>42916</x:v>
      </x:c>
      <x:c r="C8122" t="str">
        <x:v>TT-21220</x:v>
      </x:c>
      <x:c r="D8122" t="str">
        <x:v>Thomas Thornton</x:v>
      </x:c>
      <x:c r="E8122" t="str">
        <x:v>Consumer</x:v>
      </x:c>
      <x:c r="F8122" t="str">
        <x:v>West</x:v>
      </x:c>
      <x:c r="G8122" t="str">
        <x:v>Office Supplies</x:v>
      </x:c>
      <x:c r="H8122" t="str">
        <x:v>Paper</x:v>
      </x:c>
      <x:c r="I8122" s="22" t="n">
        <x:v>204.95000000000002</x:v>
      </x:c>
      <x:c r="J8122" s="24" t="n">
        <x:v>5</x:v>
      </x:c>
      <x:c r="K8122" s="26" t="n">
        <x:v>0</x:v>
      </x:c>
      <x:c r="L8122" s="22" t="n">
        <x:v>100.4255</x:v>
      </x:c>
      <x:c r="M8122" t="n">
        <x:v>2017</x:v>
      </x:c>
      <x:c r="N8122" s="20" t="n">
        <x:v>42887</x:v>
      </x:c>
    </x:row>
    <x:row r="8123" ht="18" customHeight="1">
      <x:c r="A8123" t="str">
        <x:v>US-2017-106551</x:v>
      </x:c>
      <x:c r="B8123" s="18" t="n">
        <x:v>42938</x:v>
      </x:c>
      <x:c r="C8123" t="str">
        <x:v>EB-13930</x:v>
      </x:c>
      <x:c r="D8123" t="str">
        <x:v>Eric Barreto</x:v>
      </x:c>
      <x:c r="E8123" t="str">
        <x:v>Consumer</x:v>
      </x:c>
      <x:c r="F8123" t="str">
        <x:v>Central</x:v>
      </x:c>
      <x:c r="G8123" t="str">
        <x:v>Furniture</x:v>
      </x:c>
      <x:c r="H8123" t="str">
        <x:v>Chairs</x:v>
      </x:c>
      <x:c r="I8123" s="22" t="n">
        <x:v>526.3439999999999</x:v>
      </x:c>
      <x:c r="J8123" s="24" t="n">
        <x:v>4</x:v>
      </x:c>
      <x:c r="K8123" s="26" t="n">
        <x:v>0.3</x:v>
      </x:c>
      <x:c r="L8123" s="22" t="n">
        <x:v>-75.19199999999998</x:v>
      </x:c>
      <x:c r="M8123" t="n">
        <x:v>2017</x:v>
      </x:c>
      <x:c r="N8123" s="20" t="n">
        <x:v>42917</x:v>
      </x:c>
    </x:row>
    <x:row r="8124" ht="18" customHeight="1">
      <x:c r="A8124" t="str">
        <x:v>CA-2016-116722</x:v>
      </x:c>
      <x:c r="B8124" s="18" t="n">
        <x:v>42685</x:v>
      </x:c>
      <x:c r="C8124" t="str">
        <x:v>LP-17080</x:v>
      </x:c>
      <x:c r="D8124" t="str">
        <x:v>Liz Pelletier</x:v>
      </x:c>
      <x:c r="E8124" t="str">
        <x:v>Consumer</x:v>
      </x:c>
      <x:c r="F8124" t="str">
        <x:v>West</x:v>
      </x:c>
      <x:c r="G8124" t="str">
        <x:v>Furniture</x:v>
      </x:c>
      <x:c r="H8124" t="str">
        <x:v>Furnishings</x:v>
      </x:c>
      <x:c r="I8124" s="22" t="n">
        <x:v>41.96</x:v>
      </x:c>
      <x:c r="J8124" s="24" t="n">
        <x:v>2</x:v>
      </x:c>
      <x:c r="K8124" s="26" t="n">
        <x:v>0</x:v>
      </x:c>
      <x:c r="L8124" s="22" t="n">
        <x:v>10.909600000000001</x:v>
      </x:c>
      <x:c r="M8124" t="n">
        <x:v>2016</x:v>
      </x:c>
      <x:c r="N8124" s="20" t="n">
        <x:v>42675</x:v>
      </x:c>
    </x:row>
    <x:row r="8125" ht="18" customHeight="1">
      <x:c r="A8125" t="str">
        <x:v>CA-2016-116722</x:v>
      </x:c>
      <x:c r="B8125" s="18" t="n">
        <x:v>42685</x:v>
      </x:c>
      <x:c r="C8125" t="str">
        <x:v>LP-17080</x:v>
      </x:c>
      <x:c r="D8125" t="str">
        <x:v>Liz Pelletier</x:v>
      </x:c>
      <x:c r="E8125" t="str">
        <x:v>Consumer</x:v>
      </x:c>
      <x:c r="F8125" t="str">
        <x:v>West</x:v>
      </x:c>
      <x:c r="G8125" t="str">
        <x:v>Furniture</x:v>
      </x:c>
      <x:c r="H8125" t="str">
        <x:v>Chairs</x:v>
      </x:c>
      <x:c r="I8125" s="22" t="n">
        <x:v>451.15199999999993</x:v>
      </x:c>
      <x:c r="J8125" s="24" t="n">
        <x:v>3</x:v>
      </x:c>
      <x:c r="K8125" s="26" t="n">
        <x:v>0.2</x:v>
      </x:c>
      <x:c r="L8125" s="22" t="n">
        <x:v>0</x:v>
      </x:c>
      <x:c r="M8125" t="n">
        <x:v>2016</x:v>
      </x:c>
      <x:c r="N8125" s="20" t="n">
        <x:v>42675</x:v>
      </x:c>
    </x:row>
    <x:row r="8126" ht="18" customHeight="1">
      <x:c r="A8126" t="str">
        <x:v>CA-2016-116722</x:v>
      </x:c>
      <x:c r="B8126" s="18" t="n">
        <x:v>42685</x:v>
      </x:c>
      <x:c r="C8126" t="str">
        <x:v>LP-17080</x:v>
      </x:c>
      <x:c r="D8126" t="str">
        <x:v>Liz Pelletier</x:v>
      </x:c>
      <x:c r="E8126" t="str">
        <x:v>Consumer</x:v>
      </x:c>
      <x:c r="F8126" t="str">
        <x:v>West</x:v>
      </x:c>
      <x:c r="G8126" t="str">
        <x:v>Office Supplies</x:v>
      </x:c>
      <x:c r="H8126" t="str">
        <x:v>Binders</x:v>
      </x:c>
      <x:c r="I8126" s="22" t="n">
        <x:v>31.504000000000005</x:v>
      </x:c>
      <x:c r="J8126" s="24" t="n">
        <x:v>11</x:v>
      </x:c>
      <x:c r="K8126" s="26" t="n">
        <x:v>0.2</x:v>
      </x:c>
      <x:c r="L8126" s="22" t="n">
        <x:v>11.026399999999999</x:v>
      </x:c>
      <x:c r="M8126" t="n">
        <x:v>2016</x:v>
      </x:c>
      <x:c r="N8126" s="20" t="n">
        <x:v>42675</x:v>
      </x:c>
    </x:row>
    <x:row r="8127" ht="18" customHeight="1">
      <x:c r="A8127" t="str">
        <x:v>CA-2014-138128</x:v>
      </x:c>
      <x:c r="B8127" s="18" t="n">
        <x:v>41982</x:v>
      </x:c>
      <x:c r="C8127" t="str">
        <x:v>FP-14320</x:v>
      </x:c>
      <x:c r="D8127" t="str">
        <x:v>Frank Preis</x:v>
      </x:c>
      <x:c r="E8127" t="str">
        <x:v>Consumer</x:v>
      </x:c>
      <x:c r="F8127" t="str">
        <x:v>East</x:v>
      </x:c>
      <x:c r="G8127" t="str">
        <x:v>Office Supplies</x:v>
      </x:c>
      <x:c r="H8127" t="str">
        <x:v>Envelopes</x:v>
      </x:c>
      <x:c r="I8127" s="22" t="n">
        <x:v>30.672</x:v>
      </x:c>
      <x:c r="J8127" s="24" t="n">
        <x:v>3</x:v>
      </x:c>
      <x:c r="K8127" s="26" t="n">
        <x:v>0.2</x:v>
      </x:c>
      <x:c r="L8127" s="22" t="n">
        <x:v>9.585</x:v>
      </x:c>
      <x:c r="M8127" t="n">
        <x:v>2014</x:v>
      </x:c>
      <x:c r="N8127" s="20" t="n">
        <x:v>41974</x:v>
      </x:c>
    </x:row>
    <x:row r="8128" ht="18" customHeight="1">
      <x:c r="A8128" t="str">
        <x:v>CA-2014-138128</x:v>
      </x:c>
      <x:c r="B8128" s="18" t="n">
        <x:v>41982</x:v>
      </x:c>
      <x:c r="C8128" t="str">
        <x:v>FP-14320</x:v>
      </x:c>
      <x:c r="D8128" t="str">
        <x:v>Frank Preis</x:v>
      </x:c>
      <x:c r="E8128" t="str">
        <x:v>Consumer</x:v>
      </x:c>
      <x:c r="F8128" t="str">
        <x:v>East</x:v>
      </x:c>
      <x:c r="G8128" t="str">
        <x:v>Technology</x:v>
      </x:c>
      <x:c r="H8128" t="str">
        <x:v>Copiers</x:v>
      </x:c>
      <x:c r="I8128" s="22" t="n">
        <x:v>1079.9759999999999</x:v>
      </x:c>
      <x:c r="J8128" s="24" t="n">
        <x:v>4</x:v>
      </x:c>
      <x:c r="K8128" s="26" t="n">
        <x:v>0.4</x:v>
      </x:c>
      <x:c r="L8128" s="22" t="n">
        <x:v>125.9971999999999</x:v>
      </x:c>
      <x:c r="M8128" t="n">
        <x:v>2014</x:v>
      </x:c>
      <x:c r="N8128" s="20" t="n">
        <x:v>41974</x:v>
      </x:c>
    </x:row>
    <x:row r="8129" ht="18" customHeight="1">
      <x:c r="A8129" t="str">
        <x:v>US-2017-150070</x:v>
      </x:c>
      <x:c r="B8129" s="18" t="n">
        <x:v>42985</x:v>
      </x:c>
      <x:c r="C8129" t="str">
        <x:v>JA-15970</x:v>
      </x:c>
      <x:c r="D8129" t="str">
        <x:v>Joseph Airdo</x:v>
      </x:c>
      <x:c r="E8129" t="str">
        <x:v>Consumer</x:v>
      </x:c>
      <x:c r="F8129" t="str">
        <x:v>West</x:v>
      </x:c>
      <x:c r="G8129" t="str">
        <x:v>Furniture</x:v>
      </x:c>
      <x:c r="H8129" t="str">
        <x:v>Chairs</x:v>
      </x:c>
      <x:c r="I8129" s="22" t="n">
        <x:v>161.568</x:v>
      </x:c>
      <x:c r="J8129" s="24" t="n">
        <x:v>2</x:v>
      </x:c>
      <x:c r="K8129" s="26" t="n">
        <x:v>0.2</x:v>
      </x:c>
      <x:c r="L8129" s="22" t="n">
        <x:v>-28.27440000000002</x:v>
      </x:c>
      <x:c r="M8129" t="n">
        <x:v>2017</x:v>
      </x:c>
      <x:c r="N8129" s="20" t="n">
        <x:v>42979</x:v>
      </x:c>
    </x:row>
    <x:row r="8130" ht="18" customHeight="1">
      <x:c r="A8130" t="str">
        <x:v>CA-2015-137064</x:v>
      </x:c>
      <x:c r="B8130" s="18" t="n">
        <x:v>42041</x:v>
      </x:c>
      <x:c r="C8130" t="str">
        <x:v>TS-21655</x:v>
      </x:c>
      <x:c r="D8130" t="str">
        <x:v>Trudy Schmidt</x:v>
      </x:c>
      <x:c r="E8130" t="str">
        <x:v>Consumer</x:v>
      </x:c>
      <x:c r="F8130" t="str">
        <x:v>Central</x:v>
      </x:c>
      <x:c r="G8130" t="str">
        <x:v>Office Supplies</x:v>
      </x:c>
      <x:c r="H8130" t="str">
        <x:v>Binders</x:v>
      </x:c>
      <x:c r="I8130" s="22" t="n">
        <x:v>2.9339999999999993</x:v>
      </x:c>
      <x:c r="J8130" s="24" t="n">
        <x:v>3</x:v>
      </x:c>
      <x:c r="K8130" s="26" t="n">
        <x:v>0.8</x:v>
      </x:c>
      <x:c r="L8130" s="22" t="n">
        <x:v>-4.987800000000002</x:v>
      </x:c>
      <x:c r="M8130" t="n">
        <x:v>2015</x:v>
      </x:c>
      <x:c r="N8130" s="20" t="n">
        <x:v>42036</x:v>
      </x:c>
    </x:row>
    <x:row r="8131" ht="18" customHeight="1">
      <x:c r="A8131" t="str">
        <x:v>CA-2015-137064</x:v>
      </x:c>
      <x:c r="B8131" s="18" t="n">
        <x:v>42041</x:v>
      </x:c>
      <x:c r="C8131" t="str">
        <x:v>TS-21655</x:v>
      </x:c>
      <x:c r="D8131" t="str">
        <x:v>Trudy Schmidt</x:v>
      </x:c>
      <x:c r="E8131" t="str">
        <x:v>Consumer</x:v>
      </x:c>
      <x:c r="F8131" t="str">
        <x:v>Central</x:v>
      </x:c>
      <x:c r="G8131" t="str">
        <x:v>Technology</x:v>
      </x:c>
      <x:c r="H8131" t="str">
        <x:v>Accessories</x:v>
      </x:c>
      <x:c r="I8131" s="22" t="n">
        <x:v>18.528000000000002</x:v>
      </x:c>
      <x:c r="J8131" s="24" t="n">
        <x:v>2</x:v>
      </x:c>
      <x:c r="K8131" s="26" t="n">
        <x:v>0.2</x:v>
      </x:c>
      <x:c r="L8131" s="22" t="n">
        <x:v>4.4004</x:v>
      </x:c>
      <x:c r="M8131" t="n">
        <x:v>2015</x:v>
      </x:c>
      <x:c r="N8131" s="20" t="n">
        <x:v>42036</x:v>
      </x:c>
    </x:row>
    <x:row r="8132" ht="18" customHeight="1">
      <x:c r="A8132" t="str">
        <x:v>CA-2015-137064</x:v>
      </x:c>
      <x:c r="B8132" s="18" t="n">
        <x:v>42041</x:v>
      </x:c>
      <x:c r="C8132" t="str">
        <x:v>TS-21655</x:v>
      </x:c>
      <x:c r="D8132" t="str">
        <x:v>Trudy Schmidt</x:v>
      </x:c>
      <x:c r="E8132" t="str">
        <x:v>Consumer</x:v>
      </x:c>
      <x:c r="F8132" t="str">
        <x:v>Central</x:v>
      </x:c>
      <x:c r="G8132" t="str">
        <x:v>Office Supplies</x:v>
      </x:c>
      <x:c r="H8132" t="str">
        <x:v>Storage</x:v>
      </x:c>
      <x:c r="I8132" s="22" t="n">
        <x:v>670.7520000000001</x:v>
      </x:c>
      <x:c r="J8132" s="24" t="n">
        <x:v>3</x:v>
      </x:c>
      <x:c r="K8132" s="26" t="n">
        <x:v>0.2</x:v>
      </x:c>
      <x:c r="L8132" s="22" t="n">
        <x:v>-125.76600000000005</x:v>
      </x:c>
      <x:c r="M8132" t="n">
        <x:v>2015</x:v>
      </x:c>
      <x:c r="N8132" s="20" t="n">
        <x:v>42036</x:v>
      </x:c>
    </x:row>
    <x:row r="8133" ht="18" customHeight="1">
      <x:c r="A8133" t="str">
        <x:v>CA-2017-157350</x:v>
      </x:c>
      <x:c r="B8133" s="18" t="n">
        <x:v>42973</x:v>
      </x:c>
      <x:c r="C8133" t="str">
        <x:v>DP-13000</x:v>
      </x:c>
      <x:c r="D8133" t="str">
        <x:v>Darren Powers</x:v>
      </x:c>
      <x:c r="E8133" t="str">
        <x:v>Consumer</x:v>
      </x:c>
      <x:c r="F8133" t="str">
        <x:v>Central</x:v>
      </x:c>
      <x:c r="G8133" t="str">
        <x:v>Furniture</x:v>
      </x:c>
      <x:c r="H8133" t="str">
        <x:v>Furnishings</x:v>
      </x:c>
      <x:c r="I8133" s="22" t="n">
        <x:v>64.96</x:v>
      </x:c>
      <x:c r="J8133" s="24" t="n">
        <x:v>5</x:v>
      </x:c>
      <x:c r="K8133" s="26" t="n">
        <x:v>0.6</x:v>
      </x:c>
      <x:c r="L8133" s="22" t="n">
        <x:v>-43.847999999999985</x:v>
      </x:c>
      <x:c r="M8133" t="n">
        <x:v>2017</x:v>
      </x:c>
      <x:c r="N8133" s="20" t="n">
        <x:v>42948</x:v>
      </x:c>
    </x:row>
    <x:row r="8134" ht="18" customHeight="1">
      <x:c r="A8134" t="str">
        <x:v>CA-2014-127866</x:v>
      </x:c>
      <x:c r="B8134" s="18" t="n">
        <x:v>41840</x:v>
      </x:c>
      <x:c r="C8134" t="str">
        <x:v>JD-15895</x:v>
      </x:c>
      <x:c r="D8134" t="str">
        <x:v>Jonathan Doherty</x:v>
      </x:c>
      <x:c r="E8134" t="str">
        <x:v>Corporate</x:v>
      </x:c>
      <x:c r="F8134" t="str">
        <x:v>West</x:v>
      </x:c>
      <x:c r="G8134" t="str">
        <x:v>Technology</x:v>
      </x:c>
      <x:c r="H8134" t="str">
        <x:v>Accessories</x:v>
      </x:c>
      <x:c r="I8134" s="22" t="n">
        <x:v>41.94</x:v>
      </x:c>
      <x:c r="J8134" s="24" t="n">
        <x:v>2</x:v>
      </x:c>
      <x:c r="K8134" s="26" t="n">
        <x:v>0</x:v>
      </x:c>
      <x:c r="L8134" s="22" t="n">
        <x:v>15.098399999999998</x:v>
      </x:c>
      <x:c r="M8134" t="n">
        <x:v>2014</x:v>
      </x:c>
      <x:c r="N8134" s="20" t="n">
        <x:v>41821</x:v>
      </x:c>
    </x:row>
    <x:row r="8135" ht="18" customHeight="1">
      <x:c r="A8135" t="str">
        <x:v>CA-2014-127866</x:v>
      </x:c>
      <x:c r="B8135" s="18" t="n">
        <x:v>41840</x:v>
      </x:c>
      <x:c r="C8135" t="str">
        <x:v>JD-15895</x:v>
      </x:c>
      <x:c r="D8135" t="str">
        <x:v>Jonathan Doherty</x:v>
      </x:c>
      <x:c r="E8135" t="str">
        <x:v>Corporate</x:v>
      </x:c>
      <x:c r="F8135" t="str">
        <x:v>West</x:v>
      </x:c>
      <x:c r="G8135" t="str">
        <x:v>Office Supplies</x:v>
      </x:c>
      <x:c r="H8135" t="str">
        <x:v>Paper</x:v>
      </x:c>
      <x:c r="I8135" s="22" t="n">
        <x:v>11.96</x:v>
      </x:c>
      <x:c r="J8135" s="24" t="n">
        <x:v>2</x:v>
      </x:c>
      <x:c r="K8135" s="26" t="n">
        <x:v>0</x:v>
      </x:c>
      <x:c r="L8135" s="22" t="n">
        <x:v>5.8604</x:v>
      </x:c>
      <x:c r="M8135" t="n">
        <x:v>2014</x:v>
      </x:c>
      <x:c r="N8135" s="20" t="n">
        <x:v>41821</x:v>
      </x:c>
    </x:row>
    <x:row r="8136" ht="18" customHeight="1">
      <x:c r="A8136" t="str">
        <x:v>CA-2014-127866</x:v>
      </x:c>
      <x:c r="B8136" s="18" t="n">
        <x:v>41840</x:v>
      </x:c>
      <x:c r="C8136" t="str">
        <x:v>JD-15895</x:v>
      </x:c>
      <x:c r="D8136" t="str">
        <x:v>Jonathan Doherty</x:v>
      </x:c>
      <x:c r="E8136" t="str">
        <x:v>Corporate</x:v>
      </x:c>
      <x:c r="F8136" t="str">
        <x:v>West</x:v>
      </x:c>
      <x:c r="G8136" t="str">
        <x:v>Office Supplies</x:v>
      </x:c>
      <x:c r="H8136" t="str">
        <x:v>Art</x:v>
      </x:c>
      <x:c r="I8136" s="22" t="n">
        <x:v>13.12</x:v>
      </x:c>
      <x:c r="J8136" s="24" t="n">
        <x:v>4</x:v>
      </x:c>
      <x:c r="K8136" s="26" t="n">
        <x:v>0</x:v>
      </x:c>
      <x:c r="L8136" s="22" t="n">
        <x:v>3.8047999999999984</x:v>
      </x:c>
      <x:c r="M8136" t="n">
        <x:v>2014</x:v>
      </x:c>
      <x:c r="N8136" s="20" t="n">
        <x:v>41821</x:v>
      </x:c>
    </x:row>
    <x:row r="8137" ht="18" customHeight="1">
      <x:c r="A8137" t="str">
        <x:v>CA-2014-127866</x:v>
      </x:c>
      <x:c r="B8137" s="18" t="n">
        <x:v>41840</x:v>
      </x:c>
      <x:c r="C8137" t="str">
        <x:v>JD-15895</x:v>
      </x:c>
      <x:c r="D8137" t="str">
        <x:v>Jonathan Doherty</x:v>
      </x:c>
      <x:c r="E8137" t="str">
        <x:v>Corporate</x:v>
      </x:c>
      <x:c r="F8137" t="str">
        <x:v>West</x:v>
      </x:c>
      <x:c r="G8137" t="str">
        <x:v>Office Supplies</x:v>
      </x:c>
      <x:c r="H8137" t="str">
        <x:v>Storage</x:v>
      </x:c>
      <x:c r="I8137" s="22" t="n">
        <x:v>535.41</x:v>
      </x:c>
      <x:c r="J8137" s="24" t="n">
        <x:v>3</x:v>
      </x:c>
      <x:c r="K8137" s="26" t="n">
        <x:v>0</x:v>
      </x:c>
      <x:c r="L8137" s="22" t="n">
        <x:v>160.62299999999993</x:v>
      </x:c>
      <x:c r="M8137" t="n">
        <x:v>2014</x:v>
      </x:c>
      <x:c r="N8137" s="20" t="n">
        <x:v>41821</x:v>
      </x:c>
    </x:row>
    <x:row r="8138" ht="18" customHeight="1">
      <x:c r="A8138" t="str">
        <x:v>CA-2015-131352</x:v>
      </x:c>
      <x:c r="B8138" s="18" t="n">
        <x:v>42285</x:v>
      </x:c>
      <x:c r="C8138" t="str">
        <x:v>GH-14485</x:v>
      </x:c>
      <x:c r="D8138" t="str">
        <x:v>Gene Hale</x:v>
      </x:c>
      <x:c r="E8138" t="str">
        <x:v>Corporate</x:v>
      </x:c>
      <x:c r="F8138" t="str">
        <x:v>Central</x:v>
      </x:c>
      <x:c r="G8138" t="str">
        <x:v>Furniture</x:v>
      </x:c>
      <x:c r="H8138" t="str">
        <x:v>Furnishings</x:v>
      </x:c>
      <x:c r="I8138" s="22" t="n">
        <x:v>72.78</x:v>
      </x:c>
      <x:c r="J8138" s="24" t="n">
        <x:v>3</x:v>
      </x:c>
      <x:c r="K8138" s="26" t="n">
        <x:v>0.6</x:v>
      </x:c>
      <x:c r="L8138" s="22" t="n">
        <x:v>-70.9605</x:v>
      </x:c>
      <x:c r="M8138" t="n">
        <x:v>2015</x:v>
      </x:c>
      <x:c r="N8138" s="20" t="n">
        <x:v>42278</x:v>
      </x:c>
    </x:row>
    <x:row r="8139" ht="18" customHeight="1">
      <x:c r="A8139" t="str">
        <x:v>CA-2015-121776</x:v>
      </x:c>
      <x:c r="B8139" s="18" t="n">
        <x:v>42051</x:v>
      </x:c>
      <x:c r="C8139" t="str">
        <x:v>RD-19585</x:v>
      </x:c>
      <x:c r="D8139" t="str">
        <x:v>Rob Dowd</x:v>
      </x:c>
      <x:c r="E8139" t="str">
        <x:v>Consumer</x:v>
      </x:c>
      <x:c r="F8139" t="str">
        <x:v>West</x:v>
      </x:c>
      <x:c r="G8139" t="str">
        <x:v>Office Supplies</x:v>
      </x:c>
      <x:c r="H8139" t="str">
        <x:v>Paper</x:v>
      </x:c>
      <x:c r="I8139" s="22" t="n">
        <x:v>36.839999999999996</x:v>
      </x:c>
      <x:c r="J8139" s="24" t="n">
        <x:v>3</x:v>
      </x:c>
      <x:c r="K8139" s="26" t="n">
        <x:v>0</x:v>
      </x:c>
      <x:c r="L8139" s="22" t="n">
        <x:v>17.314799999999998</x:v>
      </x:c>
      <x:c r="M8139" t="n">
        <x:v>2015</x:v>
      </x:c>
      <x:c r="N8139" s="20" t="n">
        <x:v>42036</x:v>
      </x:c>
    </x:row>
    <x:row r="8140" ht="18" customHeight="1">
      <x:c r="A8140" t="str">
        <x:v>CA-2015-121776</x:v>
      </x:c>
      <x:c r="B8140" s="18" t="n">
        <x:v>42051</x:v>
      </x:c>
      <x:c r="C8140" t="str">
        <x:v>RD-19585</x:v>
      </x:c>
      <x:c r="D8140" t="str">
        <x:v>Rob Dowd</x:v>
      </x:c>
      <x:c r="E8140" t="str">
        <x:v>Consumer</x:v>
      </x:c>
      <x:c r="F8140" t="str">
        <x:v>West</x:v>
      </x:c>
      <x:c r="G8140" t="str">
        <x:v>Office Supplies</x:v>
      </x:c>
      <x:c r="H8140" t="str">
        <x:v>Labels</x:v>
      </x:c>
      <x:c r="I8140" s="22" t="n">
        <x:v>87.71</x:v>
      </x:c>
      <x:c r="J8140" s="24" t="n">
        <x:v>7</x:v>
      </x:c>
      <x:c r="K8140" s="26" t="n">
        <x:v>0</x:v>
      </x:c>
      <x:c r="L8140" s="22" t="n">
        <x:v>41.223699999999994</x:v>
      </x:c>
      <x:c r="M8140" t="n">
        <x:v>2015</x:v>
      </x:c>
      <x:c r="N8140" s="20" t="n">
        <x:v>42036</x:v>
      </x:c>
    </x:row>
    <x:row r="8141" ht="18" customHeight="1">
      <x:c r="A8141" t="str">
        <x:v>CA-2016-118073</x:v>
      </x:c>
      <x:c r="B8141" s="18" t="n">
        <x:v>42594</x:v>
      </x:c>
      <x:c r="C8141" t="str">
        <x:v>CS-12490</x:v>
      </x:c>
      <x:c r="D8141" t="str">
        <x:v>Cindy Schnelling</x:v>
      </x:c>
      <x:c r="E8141" t="str">
        <x:v>Corporate</x:v>
      </x:c>
      <x:c r="F8141" t="str">
        <x:v>South</x:v>
      </x:c>
      <x:c r="G8141" t="str">
        <x:v>Furniture</x:v>
      </x:c>
      <x:c r="H8141" t="str">
        <x:v>Tables</x:v>
      </x:c>
      <x:c r="I8141" s="22" t="n">
        <x:v>562.2925000000001</x:v>
      </x:c>
      <x:c r="J8141" s="24" t="n">
        <x:v>7</x:v>
      </x:c>
      <x:c r="K8141" s="26" t="n">
        <x:v>0.45</x:v>
      </x:c>
      <x:c r="L8141" s="22" t="n">
        <x:v>-255.5875000000001</x:v>
      </x:c>
      <x:c r="M8141" t="n">
        <x:v>2016</x:v>
      </x:c>
      <x:c r="N8141" s="20" t="n">
        <x:v>42583</x:v>
      </x:c>
    </x:row>
    <x:row r="8142" ht="18" customHeight="1">
      <x:c r="A8142" t="str">
        <x:v>CA-2014-103219</x:v>
      </x:c>
      <x:c r="B8142" s="18" t="n">
        <x:v>41952</x:v>
      </x:c>
      <x:c r="C8142" t="str">
        <x:v>BF-11215</x:v>
      </x:c>
      <x:c r="D8142" t="str">
        <x:v>Benjamin Farhat</x:v>
      </x:c>
      <x:c r="E8142" t="str">
        <x:v>Home Office</x:v>
      </x:c>
      <x:c r="F8142" t="str">
        <x:v>East</x:v>
      </x:c>
      <x:c r="G8142" t="str">
        <x:v>Furniture</x:v>
      </x:c>
      <x:c r="H8142" t="str">
        <x:v>Furnishings</x:v>
      </x:c>
      <x:c r="I8142" s="22" t="n">
        <x:v>56.52</x:v>
      </x:c>
      <x:c r="J8142" s="24" t="n">
        <x:v>9</x:v>
      </x:c>
      <x:c r="K8142" s="26" t="n">
        <x:v>0</x:v>
      </x:c>
      <x:c r="L8142" s="22" t="n">
        <x:v>21.477600000000002</x:v>
      </x:c>
      <x:c r="M8142" t="n">
        <x:v>2014</x:v>
      </x:c>
      <x:c r="N8142" s="20" t="n">
        <x:v>41944</x:v>
      </x:c>
    </x:row>
    <x:row r="8143" ht="18" customHeight="1">
      <x:c r="A8143" t="str">
        <x:v>CA-2016-102561</x:v>
      </x:c>
      <x:c r="B8143" s="18" t="n">
        <x:v>42569</x:v>
      </x:c>
      <x:c r="C8143" t="str">
        <x:v>NK-18490</x:v>
      </x:c>
      <x:c r="D8143" t="str">
        <x:v>Neil Knudson</x:v>
      </x:c>
      <x:c r="E8143" t="str">
        <x:v>Home Office</x:v>
      </x:c>
      <x:c r="F8143" t="str">
        <x:v>East</x:v>
      </x:c>
      <x:c r="G8143" t="str">
        <x:v>Office Supplies</x:v>
      </x:c>
      <x:c r="H8143" t="str">
        <x:v>Art</x:v>
      </x:c>
      <x:c r="I8143" s="22" t="n">
        <x:v>11.264000000000001</x:v>
      </x:c>
      <x:c r="J8143" s="24" t="n">
        <x:v>8</x:v>
      </x:c>
      <x:c r="K8143" s="26" t="n">
        <x:v>0.2</x:v>
      </x:c>
      <x:c r="L8143" s="22" t="n">
        <x:v>1.2671999999999994</x:v>
      </x:c>
      <x:c r="M8143" t="n">
        <x:v>2016</x:v>
      </x:c>
      <x:c r="N8143" s="20" t="n">
        <x:v>42552</x:v>
      </x:c>
    </x:row>
    <x:row r="8144" ht="18" customHeight="1">
      <x:c r="A8144" t="str">
        <x:v>CA-2016-102561</x:v>
      </x:c>
      <x:c r="B8144" s="18" t="n">
        <x:v>42569</x:v>
      </x:c>
      <x:c r="C8144" t="str">
        <x:v>NK-18490</x:v>
      </x:c>
      <x:c r="D8144" t="str">
        <x:v>Neil Knudson</x:v>
      </x:c>
      <x:c r="E8144" t="str">
        <x:v>Home Office</x:v>
      </x:c>
      <x:c r="F8144" t="str">
        <x:v>East</x:v>
      </x:c>
      <x:c r="G8144" t="str">
        <x:v>Office Supplies</x:v>
      </x:c>
      <x:c r="H8144" t="str">
        <x:v>Storage</x:v>
      </x:c>
      <x:c r="I8144" s="22" t="n">
        <x:v>284.08000000000004</x:v>
      </x:c>
      <x:c r="J8144" s="24" t="n">
        <x:v>10</x:v>
      </x:c>
      <x:c r="K8144" s="26" t="n">
        <x:v>0.2</x:v>
      </x:c>
      <x:c r="L8144" s="22" t="n">
        <x:v>24.857</x:v>
      </x:c>
      <x:c r="M8144" t="n">
        <x:v>2016</x:v>
      </x:c>
      <x:c r="N8144" s="20" t="n">
        <x:v>42552</x:v>
      </x:c>
    </x:row>
    <x:row r="8145" ht="18" customHeight="1">
      <x:c r="A8145" t="str">
        <x:v>CA-2016-102561</x:v>
      </x:c>
      <x:c r="B8145" s="18" t="n">
        <x:v>42569</x:v>
      </x:c>
      <x:c r="C8145" t="str">
        <x:v>NK-18490</x:v>
      </x:c>
      <x:c r="D8145" t="str">
        <x:v>Neil Knudson</x:v>
      </x:c>
      <x:c r="E8145" t="str">
        <x:v>Home Office</x:v>
      </x:c>
      <x:c r="F8145" t="str">
        <x:v>East</x:v>
      </x:c>
      <x:c r="G8145" t="str">
        <x:v>Office Supplies</x:v>
      </x:c>
      <x:c r="H8145" t="str">
        <x:v>Paper</x:v>
      </x:c>
      <x:c r="I8145" s="22" t="n">
        <x:v>18.496000000000002</x:v>
      </x:c>
      <x:c r="J8145" s="24" t="n">
        <x:v>4</x:v>
      </x:c>
      <x:c r="K8145" s="26" t="n">
        <x:v>0.2</x:v>
      </x:c>
      <x:c r="L8145" s="22" t="n">
        <x:v>6.7048000000000005</x:v>
      </x:c>
      <x:c r="M8145" t="n">
        <x:v>2016</x:v>
      </x:c>
      <x:c r="N8145" s="20" t="n">
        <x:v>42552</x:v>
      </x:c>
    </x:row>
    <x:row r="8146" ht="18" customHeight="1">
      <x:c r="A8146" t="str">
        <x:v>CA-2016-100993</x:v>
      </x:c>
      <x:c r="B8146" s="18" t="n">
        <x:v>42405</x:v>
      </x:c>
      <x:c r="C8146" t="str">
        <x:v>AZ-10750</x:v>
      </x:c>
      <x:c r="D8146" t="str">
        <x:v>Annie Zypern</x:v>
      </x:c>
      <x:c r="E8146" t="str">
        <x:v>Consumer</x:v>
      </x:c>
      <x:c r="F8146" t="str">
        <x:v>West</x:v>
      </x:c>
      <x:c r="G8146" t="str">
        <x:v>Office Supplies</x:v>
      </x:c>
      <x:c r="H8146" t="str">
        <x:v>Labels</x:v>
      </x:c>
      <x:c r="I8146" s="22" t="n">
        <x:v>14.73</x:v>
      </x:c>
      <x:c r="J8146" s="24" t="n">
        <x:v>3</x:v>
      </x:c>
      <x:c r="K8146" s="26" t="n">
        <x:v>0</x:v>
      </x:c>
      <x:c r="L8146" s="22" t="n">
        <x:v>7.2177</x:v>
      </x:c>
      <x:c r="M8146" t="n">
        <x:v>2016</x:v>
      </x:c>
      <x:c r="N8146" s="20" t="n">
        <x:v>42401</x:v>
      </x:c>
    </x:row>
    <x:row r="8147" ht="18" customHeight="1">
      <x:c r="A8147" t="str">
        <x:v>CA-2016-100993</x:v>
      </x:c>
      <x:c r="B8147" s="18" t="n">
        <x:v>42405</x:v>
      </x:c>
      <x:c r="C8147" t="str">
        <x:v>AZ-10750</x:v>
      </x:c>
      <x:c r="D8147" t="str">
        <x:v>Annie Zypern</x:v>
      </x:c>
      <x:c r="E8147" t="str">
        <x:v>Consumer</x:v>
      </x:c>
      <x:c r="F8147" t="str">
        <x:v>West</x:v>
      </x:c>
      <x:c r="G8147" t="str">
        <x:v>Office Supplies</x:v>
      </x:c>
      <x:c r="H8147" t="str">
        <x:v>Storage</x:v>
      </x:c>
      <x:c r="I8147" s="22" t="n">
        <x:v>186.54</x:v>
      </x:c>
      <x:c r="J8147" s="24" t="n">
        <x:v>3</x:v>
      </x:c>
      <x:c r="K8147" s="26" t="n">
        <x:v>0</x:v>
      </x:c>
      <x:c r="L8147" s="22" t="n">
        <x:v>50.36580000000001</x:v>
      </x:c>
      <x:c r="M8147" t="n">
        <x:v>2016</x:v>
      </x:c>
      <x:c r="N8147" s="20" t="n">
        <x:v>42401</x:v>
      </x:c>
    </x:row>
    <x:row r="8148" ht="18" customHeight="1">
      <x:c r="A8148" t="str">
        <x:v>CA-2016-100993</x:v>
      </x:c>
      <x:c r="B8148" s="18" t="n">
        <x:v>42405</x:v>
      </x:c>
      <x:c r="C8148" t="str">
        <x:v>AZ-10750</x:v>
      </x:c>
      <x:c r="D8148" t="str">
        <x:v>Annie Zypern</x:v>
      </x:c>
      <x:c r="E8148" t="str">
        <x:v>Consumer</x:v>
      </x:c>
      <x:c r="F8148" t="str">
        <x:v>West</x:v>
      </x:c>
      <x:c r="G8148" t="str">
        <x:v>Furniture</x:v>
      </x:c>
      <x:c r="H8148" t="str">
        <x:v>Tables</x:v>
      </x:c>
      <x:c r="I8148" s="22" t="n">
        <x:v>557.728</x:v>
      </x:c>
      <x:c r="J8148" s="24" t="n">
        <x:v>4</x:v>
      </x:c>
      <x:c r="K8148" s="26" t="n">
        <x:v>0.2</x:v>
      </x:c>
      <x:c r="L8148" s="22" t="n">
        <x:v>6.971599999999995</x:v>
      </x:c>
      <x:c r="M8148" t="n">
        <x:v>2016</x:v>
      </x:c>
      <x:c r="N8148" s="20" t="n">
        <x:v>42401</x:v>
      </x:c>
    </x:row>
    <x:row r="8149" ht="18" customHeight="1">
      <x:c r="A8149" t="str">
        <x:v>CA-2016-100993</x:v>
      </x:c>
      <x:c r="B8149" s="18" t="n">
        <x:v>42405</x:v>
      </x:c>
      <x:c r="C8149" t="str">
        <x:v>AZ-10750</x:v>
      </x:c>
      <x:c r="D8149" t="str">
        <x:v>Annie Zypern</x:v>
      </x:c>
      <x:c r="E8149" t="str">
        <x:v>Consumer</x:v>
      </x:c>
      <x:c r="F8149" t="str">
        <x:v>West</x:v>
      </x:c>
      <x:c r="G8149" t="str">
        <x:v>Technology</x:v>
      </x:c>
      <x:c r="H8149" t="str">
        <x:v>Phones</x:v>
      </x:c>
      <x:c r="I8149" s="22" t="n">
        <x:v>159.96800000000002</x:v>
      </x:c>
      <x:c r="J8149" s="24" t="n">
        <x:v>4</x:v>
      </x:c>
      <x:c r="K8149" s="26" t="n">
        <x:v>0.2</x:v>
      </x:c>
      <x:c r="L8149" s="22" t="n">
        <x:v>-31.99360000000003</x:v>
      </x:c>
      <x:c r="M8149" t="n">
        <x:v>2016</x:v>
      </x:c>
      <x:c r="N8149" s="20" t="n">
        <x:v>42401</x:v>
      </x:c>
    </x:row>
    <x:row r="8150" ht="18" customHeight="1">
      <x:c r="A8150" t="str">
        <x:v>US-2014-112949</x:v>
      </x:c>
      <x:c r="B8150" s="18" t="n">
        <x:v>41810</x:v>
      </x:c>
      <x:c r="C8150" t="str">
        <x:v>Co-12640</x:v>
      </x:c>
      <x:c r="D8150" t="str">
        <x:v>Corey-Lock</x:v>
      </x:c>
      <x:c r="E8150" t="str">
        <x:v>Consumer</x:v>
      </x:c>
      <x:c r="F8150" t="str">
        <x:v>Central</x:v>
      </x:c>
      <x:c r="G8150" t="str">
        <x:v>Office Supplies</x:v>
      </x:c>
      <x:c r="H8150" t="str">
        <x:v>Appliances</x:v>
      </x:c>
      <x:c r="I8150" s="22" t="n">
        <x:v>471.90000000000003</x:v>
      </x:c>
      <x:c r="J8150" s="24" t="n">
        <x:v>6</x:v>
      </x:c>
      <x:c r="K8150" s="26" t="n">
        <x:v>0</x:v>
      </x:c>
      <x:c r="L8150" s="22" t="n">
        <x:v>155.72699999999998</x:v>
      </x:c>
      <x:c r="M8150" t="n">
        <x:v>2014</x:v>
      </x:c>
      <x:c r="N8150" s="20" t="n">
        <x:v>41791</x:v>
      </x:c>
    </x:row>
    <x:row r="8151" ht="18" customHeight="1">
      <x:c r="A8151" t="str">
        <x:v>US-2014-112949</x:v>
      </x:c>
      <x:c r="B8151" s="18" t="n">
        <x:v>41810</x:v>
      </x:c>
      <x:c r="C8151" t="str">
        <x:v>Co-12640</x:v>
      </x:c>
      <x:c r="D8151" t="str">
        <x:v>Corey-Lock</x:v>
      </x:c>
      <x:c r="E8151" t="str">
        <x:v>Consumer</x:v>
      </x:c>
      <x:c r="F8151" t="str">
        <x:v>Central</x:v>
      </x:c>
      <x:c r="G8151" t="str">
        <x:v>Office Supplies</x:v>
      </x:c>
      <x:c r="H8151" t="str">
        <x:v>Art</x:v>
      </x:c>
      <x:c r="I8151" s="22" t="n">
        <x:v>3.52</x:v>
      </x:c>
      <x:c r="J8151" s="24" t="n">
        <x:v>2</x:v>
      </x:c>
      <x:c r="K8151" s="26" t="n">
        <x:v>0</x:v>
      </x:c>
      <x:c r="L8151" s="22" t="n">
        <x:v>1.6896</x:v>
      </x:c>
      <x:c r="M8151" t="n">
        <x:v>2014</x:v>
      </x:c>
      <x:c r="N8151" s="20" t="n">
        <x:v>41791</x:v>
      </x:c>
    </x:row>
    <x:row r="8152" ht="18" customHeight="1">
      <x:c r="A8152" t="str">
        <x:v>US-2017-146822</x:v>
      </x:c>
      <x:c r="B8152" s="18" t="n">
        <x:v>42895</x:v>
      </x:c>
      <x:c r="C8152" t="str">
        <x:v>AG-10675</x:v>
      </x:c>
      <x:c r="D8152" t="str">
        <x:v>Anna Gayman</x:v>
      </x:c>
      <x:c r="E8152" t="str">
        <x:v>Consumer</x:v>
      </x:c>
      <x:c r="F8152" t="str">
        <x:v>South</x:v>
      </x:c>
      <x:c r="G8152" t="str">
        <x:v>Office Supplies</x:v>
      </x:c>
      <x:c r="H8152" t="str">
        <x:v>Paper</x:v>
      </x:c>
      <x:c r="I8152" s="22" t="n">
        <x:v>49.12</x:v>
      </x:c>
      <x:c r="J8152" s="24" t="n">
        <x:v>4</x:v>
      </x:c>
      <x:c r="K8152" s="26" t="n">
        <x:v>0</x:v>
      </x:c>
      <x:c r="L8152" s="22" t="n">
        <x:v>23.086399999999998</x:v>
      </x:c>
      <x:c r="M8152" t="n">
        <x:v>2017</x:v>
      </x:c>
      <x:c r="N8152" s="20" t="n">
        <x:v>42887</x:v>
      </x:c>
    </x:row>
    <x:row r="8153" ht="18" customHeight="1">
      <x:c r="A8153" t="str">
        <x:v>US-2016-131058</x:v>
      </x:c>
      <x:c r="B8153" s="18" t="n">
        <x:v>42731</x:v>
      </x:c>
      <x:c r="C8153" t="str">
        <x:v>EM-14140</x:v>
      </x:c>
      <x:c r="D8153" t="str">
        <x:v>Eugene Moren</x:v>
      </x:c>
      <x:c r="E8153" t="str">
        <x:v>Home Office</x:v>
      </x:c>
      <x:c r="F8153" t="str">
        <x:v>West</x:v>
      </x:c>
      <x:c r="G8153" t="str">
        <x:v>Office Supplies</x:v>
      </x:c>
      <x:c r="H8153" t="str">
        <x:v>Labels</x:v>
      </x:c>
      <x:c r="I8153" s="22" t="n">
        <x:v>20.16</x:v>
      </x:c>
      <x:c r="J8153" s="24" t="n">
        <x:v>7</x:v>
      </x:c>
      <x:c r="K8153" s="26" t="n">
        <x:v>0</x:v>
      </x:c>
      <x:c r="L8153" s="22" t="n">
        <x:v>9.8784</x:v>
      </x:c>
      <x:c r="M8153" t="n">
        <x:v>2016</x:v>
      </x:c>
      <x:c r="N8153" s="20" t="n">
        <x:v>42705</x:v>
      </x:c>
    </x:row>
    <x:row r="8154" ht="18" customHeight="1">
      <x:c r="A8154" t="str">
        <x:v>CA-2014-167997</x:v>
      </x:c>
      <x:c r="B8154" s="18" t="n">
        <x:v>41665</x:v>
      </x:c>
      <x:c r="C8154" t="str">
        <x:v>CA-11965</x:v>
      </x:c>
      <x:c r="D8154" t="str">
        <x:v>Carol Adams</x:v>
      </x:c>
      <x:c r="E8154" t="str">
        <x:v>Corporate</x:v>
      </x:c>
      <x:c r="F8154" t="str">
        <x:v>Central</x:v>
      </x:c>
      <x:c r="G8154" t="str">
        <x:v>Office Supplies</x:v>
      </x:c>
      <x:c r="H8154" t="str">
        <x:v>Binders</x:v>
      </x:c>
      <x:c r="I8154" s="22" t="n">
        <x:v>10.68</x:v>
      </x:c>
      <x:c r="J8154" s="24" t="n">
        <x:v>2</x:v>
      </x:c>
      <x:c r="K8154" s="26" t="n">
        <x:v>0</x:v>
      </x:c>
      <x:c r="L8154" s="22" t="n">
        <x:v>5.0196</x:v>
      </x:c>
      <x:c r="M8154" t="n">
        <x:v>2014</x:v>
      </x:c>
      <x:c r="N8154" s="20" t="n">
        <x:v>41640</x:v>
      </x:c>
    </x:row>
    <x:row r="8155" ht="18" customHeight="1">
      <x:c r="A8155" t="str">
        <x:v>CA-2014-167997</x:v>
      </x:c>
      <x:c r="B8155" s="18" t="n">
        <x:v>41665</x:v>
      </x:c>
      <x:c r="C8155" t="str">
        <x:v>CA-11965</x:v>
      </x:c>
      <x:c r="D8155" t="str">
        <x:v>Carol Adams</x:v>
      </x:c>
      <x:c r="E8155" t="str">
        <x:v>Corporate</x:v>
      </x:c>
      <x:c r="F8155" t="str">
        <x:v>Central</x:v>
      </x:c>
      <x:c r="G8155" t="str">
        <x:v>Furniture</x:v>
      </x:c>
      <x:c r="H8155" t="str">
        <x:v>Bookcases</x:v>
      </x:c>
      <x:c r="I8155" s="22" t="n">
        <x:v>141.96</x:v>
      </x:c>
      <x:c r="J8155" s="24" t="n">
        <x:v>2</x:v>
      </x:c>
      <x:c r="K8155" s="26" t="n">
        <x:v>0</x:v>
      </x:c>
      <x:c r="L8155" s="22" t="n">
        <x:v>39.7488</x:v>
      </x:c>
      <x:c r="M8155" t="n">
        <x:v>2014</x:v>
      </x:c>
      <x:c r="N8155" s="20" t="n">
        <x:v>41640</x:v>
      </x:c>
    </x:row>
    <x:row r="8156" ht="18" customHeight="1">
      <x:c r="A8156" t="str">
        <x:v>CA-2017-140151</x:v>
      </x:c>
      <x:c r="B8156" s="18" t="n">
        <x:v>42817</x:v>
      </x:c>
      <x:c r="C8156" t="str">
        <x:v>RB-19360</x:v>
      </x:c>
      <x:c r="D8156" t="str">
        <x:v>Raymond Buch</x:v>
      </x:c>
      <x:c r="E8156" t="str">
        <x:v>Consumer</x:v>
      </x:c>
      <x:c r="F8156" t="str">
        <x:v>West</x:v>
      </x:c>
      <x:c r="G8156" t="str">
        <x:v>Office Supplies</x:v>
      </x:c>
      <x:c r="H8156" t="str">
        <x:v>Storage</x:v>
      </x:c>
      <x:c r="I8156" s="22" t="n">
        <x:v>32.48</x:v>
      </x:c>
      <x:c r="J8156" s="24" t="n">
        <x:v>2</x:v>
      </x:c>
      <x:c r="K8156" s="26" t="n">
        <x:v>0</x:v>
      </x:c>
      <x:c r="L8156" s="22" t="n">
        <x:v>4.872</x:v>
      </x:c>
      <x:c r="M8156" t="n">
        <x:v>2017</x:v>
      </x:c>
      <x:c r="N8156" s="20" t="n">
        <x:v>42795</x:v>
      </x:c>
    </x:row>
    <x:row r="8157" ht="18" customHeight="1">
      <x:c r="A8157" t="str">
        <x:v>CA-2017-140151</x:v>
      </x:c>
      <x:c r="B8157" s="18" t="n">
        <x:v>42817</x:v>
      </x:c>
      <x:c r="C8157" t="str">
        <x:v>RB-19360</x:v>
      </x:c>
      <x:c r="D8157" t="str">
        <x:v>Raymond Buch</x:v>
      </x:c>
      <x:c r="E8157" t="str">
        <x:v>Consumer</x:v>
      </x:c>
      <x:c r="F8157" t="str">
        <x:v>West</x:v>
      </x:c>
      <x:c r="G8157" t="str">
        <x:v>Office Supplies</x:v>
      </x:c>
      <x:c r="H8157" t="str">
        <x:v>Paper</x:v>
      </x:c>
      <x:c r="I8157" s="22" t="n">
        <x:v>20.04</x:v>
      </x:c>
      <x:c r="J8157" s="24" t="n">
        <x:v>3</x:v>
      </x:c>
      <x:c r="K8157" s="26" t="n">
        <x:v>0</x:v>
      </x:c>
      <x:c r="L8157" s="22" t="n">
        <x:v>9.6192</x:v>
      </x:c>
      <x:c r="M8157" t="n">
        <x:v>2017</x:v>
      </x:c>
      <x:c r="N8157" s="20" t="n">
        <x:v>42795</x:v>
      </x:c>
    </x:row>
    <x:row r="8158" ht="18" customHeight="1">
      <x:c r="A8158" t="str">
        <x:v>CA-2017-140151</x:v>
      </x:c>
      <x:c r="B8158" s="18" t="n">
        <x:v>42817</x:v>
      </x:c>
      <x:c r="C8158" t="str">
        <x:v>RB-19360</x:v>
      </x:c>
      <x:c r="D8158" t="str">
        <x:v>Raymond Buch</x:v>
      </x:c>
      <x:c r="E8158" t="str">
        <x:v>Consumer</x:v>
      </x:c>
      <x:c r="F8158" t="str">
        <x:v>West</x:v>
      </x:c>
      <x:c r="G8158" t="str">
        <x:v>Technology</x:v>
      </x:c>
      <x:c r="H8158" t="str">
        <x:v>Copiers</x:v>
      </x:c>
      <x:c r="I8158" s="22" t="n">
        <x:v>13999.96</x:v>
      </x:c>
      <x:c r="J8158" s="24" t="n">
        <x:v>4</x:v>
      </x:c>
      <x:c r="K8158" s="26" t="n">
        <x:v>0</x:v>
      </x:c>
      <x:c r="L8158" s="22" t="n">
        <x:v>6719.980799999999</x:v>
      </x:c>
      <x:c r="M8158" t="n">
        <x:v>2017</x:v>
      </x:c>
      <x:c r="N8158" s="20" t="n">
        <x:v>42795</x:v>
      </x:c>
    </x:row>
    <x:row r="8159" ht="18" customHeight="1">
      <x:c r="A8159" t="str">
        <x:v>US-2017-143770</x:v>
      </x:c>
      <x:c r="B8159" s="18" t="n">
        <x:v>42814</x:v>
      </x:c>
      <x:c r="C8159" t="str">
        <x:v>RD-19720</x:v>
      </x:c>
      <x:c r="D8159" t="str">
        <x:v>Roger Demir</x:v>
      </x:c>
      <x:c r="E8159" t="str">
        <x:v>Consumer</x:v>
      </x:c>
      <x:c r="F8159" t="str">
        <x:v>East</x:v>
      </x:c>
      <x:c r="G8159" t="str">
        <x:v>Technology</x:v>
      </x:c>
      <x:c r="H8159" t="str">
        <x:v>Accessories</x:v>
      </x:c>
      <x:c r="I8159" s="22" t="n">
        <x:v>238</x:v>
      </x:c>
      <x:c r="J8159" s="24" t="n">
        <x:v>2</x:v>
      </x:c>
      <x:c r="K8159" s="26" t="n">
        <x:v>0</x:v>
      </x:c>
      <x:c r="L8159" s="22" t="n">
        <x:v>38.08000000000001</x:v>
      </x:c>
      <x:c r="M8159" t="n">
        <x:v>2017</x:v>
      </x:c>
      <x:c r="N8159" s="20" t="n">
        <x:v>42795</x:v>
      </x:c>
    </x:row>
    <x:row r="8160" ht="18" customHeight="1">
      <x:c r="A8160" t="str">
        <x:v>US-2017-143770</x:v>
      </x:c>
      <x:c r="B8160" s="18" t="n">
        <x:v>42814</x:v>
      </x:c>
      <x:c r="C8160" t="str">
        <x:v>RD-19720</x:v>
      </x:c>
      <x:c r="D8160" t="str">
        <x:v>Roger Demir</x:v>
      </x:c>
      <x:c r="E8160" t="str">
        <x:v>Consumer</x:v>
      </x:c>
      <x:c r="F8160" t="str">
        <x:v>East</x:v>
      </x:c>
      <x:c r="G8160" t="str">
        <x:v>Office Supplies</x:v>
      </x:c>
      <x:c r="H8160" t="str">
        <x:v>Paper</x:v>
      </x:c>
      <x:c r="I8160" s="22" t="n">
        <x:v>61.96</x:v>
      </x:c>
      <x:c r="J8160" s="24" t="n">
        <x:v>2</x:v>
      </x:c>
      <x:c r="K8160" s="26" t="n">
        <x:v>0</x:v>
      </x:c>
      <x:c r="L8160" s="22" t="n">
        <x:v>27.881999999999998</x:v>
      </x:c>
      <x:c r="M8160" t="n">
        <x:v>2017</x:v>
      </x:c>
      <x:c r="N8160" s="20" t="n">
        <x:v>42795</x:v>
      </x:c>
    </x:row>
    <x:row r="8161" ht="18" customHeight="1">
      <x:c r="A8161" t="str">
        <x:v>CA-2016-131296</x:v>
      </x:c>
      <x:c r="B8161" s="18" t="n">
        <x:v>42647</x:v>
      </x:c>
      <x:c r="C8161" t="str">
        <x:v>MS-17830</x:v>
      </x:c>
      <x:c r="D8161" t="str">
        <x:v>Melanie Seite</x:v>
      </x:c>
      <x:c r="E8161" t="str">
        <x:v>Consumer</x:v>
      </x:c>
      <x:c r="F8161" t="str">
        <x:v>East</x:v>
      </x:c>
      <x:c r="G8161" t="str">
        <x:v>Furniture</x:v>
      </x:c>
      <x:c r="H8161" t="str">
        <x:v>Tables</x:v>
      </x:c>
      <x:c r="I8161" s="22" t="n">
        <x:v>239.37199999999996</x:v>
      </x:c>
      <x:c r="J8161" s="24" t="n">
        <x:v>2</x:v>
      </x:c>
      <x:c r="K8161" s="26" t="n">
        <x:v>0.3</x:v>
      </x:c>
      <x:c r="L8161" s="22" t="n">
        <x:v>-23.93719999999999</x:v>
      </x:c>
      <x:c r="M8161" t="n">
        <x:v>2016</x:v>
      </x:c>
      <x:c r="N8161" s="20" t="n">
        <x:v>42644</x:v>
      </x:c>
    </x:row>
    <x:row r="8162" ht="18" customHeight="1">
      <x:c r="A8162" t="str">
        <x:v>CA-2016-103464</x:v>
      </x:c>
      <x:c r="B8162" s="18" t="n">
        <x:v>42692</x:v>
      </x:c>
      <x:c r="C8162" t="str">
        <x:v>PG-18820</x:v>
      </x:c>
      <x:c r="D8162" t="str">
        <x:v>Patrick Gardner</x:v>
      </x:c>
      <x:c r="E8162" t="str">
        <x:v>Consumer</x:v>
      </x:c>
      <x:c r="F8162" t="str">
        <x:v>West</x:v>
      </x:c>
      <x:c r="G8162" t="str">
        <x:v>Technology</x:v>
      </x:c>
      <x:c r="H8162" t="str">
        <x:v>Accessories</x:v>
      </x:c>
      <x:c r="I8162" s="22" t="n">
        <x:v>595</x:v>
      </x:c>
      <x:c r="J8162" s="24" t="n">
        <x:v>5</x:v>
      </x:c>
      <x:c r="K8162" s="26" t="n">
        <x:v>0</x:v>
      </x:c>
      <x:c r="L8162" s="22" t="n">
        <x:v>95.20000000000003</x:v>
      </x:c>
      <x:c r="M8162" t="n">
        <x:v>2016</x:v>
      </x:c>
      <x:c r="N8162" s="20" t="n">
        <x:v>42675</x:v>
      </x:c>
    </x:row>
    <x:row r="8163" ht="18" customHeight="1">
      <x:c r="A8163" t="str">
        <x:v>CA-2017-136238</x:v>
      </x:c>
      <x:c r="B8163" s="18" t="n">
        <x:v>43095</x:v>
      </x:c>
      <x:c r="C8163" t="str">
        <x:v>KB-16240</x:v>
      </x:c>
      <x:c r="D8163" t="str">
        <x:v>Karen Bern</x:v>
      </x:c>
      <x:c r="E8163" t="str">
        <x:v>Corporate</x:v>
      </x:c>
      <x:c r="F8163" t="str">
        <x:v>Central</x:v>
      </x:c>
      <x:c r="G8163" t="str">
        <x:v>Office Supplies</x:v>
      </x:c>
      <x:c r="H8163" t="str">
        <x:v>Paper</x:v>
      </x:c>
      <x:c r="I8163" s="22" t="n">
        <x:v>16.032</x:v>
      </x:c>
      <x:c r="J8163" s="24" t="n">
        <x:v>3</x:v>
      </x:c>
      <x:c r="K8163" s="26" t="n">
        <x:v>0.2</x:v>
      </x:c>
      <x:c r="L8163" s="22" t="n">
        <x:v>5.611199999999999</x:v>
      </x:c>
      <x:c r="M8163" t="n">
        <x:v>2017</x:v>
      </x:c>
      <x:c r="N8163" s="20" t="n">
        <x:v>43070</x:v>
      </x:c>
    </x:row>
    <x:row r="8164" ht="18" customHeight="1">
      <x:c r="A8164" t="str">
        <x:v>CA-2016-120803</x:v>
      </x:c>
      <x:c r="B8164" s="18" t="n">
        <x:v>42438</x:v>
      </x:c>
      <x:c r="C8164" t="str">
        <x:v>RB-19465</x:v>
      </x:c>
      <x:c r="D8164" t="str">
        <x:v>Rick Bensley</x:v>
      </x:c>
      <x:c r="E8164" t="str">
        <x:v>Home Office</x:v>
      </x:c>
      <x:c r="F8164" t="str">
        <x:v>East</x:v>
      </x:c>
      <x:c r="G8164" t="str">
        <x:v>Technology</x:v>
      </x:c>
      <x:c r="H8164" t="str">
        <x:v>Accessories</x:v>
      </x:c>
      <x:c r="I8164" s="22" t="n">
        <x:v>199.75</x:v>
      </x:c>
      <x:c r="J8164" s="24" t="n">
        <x:v>5</x:v>
      </x:c>
      <x:c r="K8164" s="26" t="n">
        <x:v>0</x:v>
      </x:c>
      <x:c r="L8164" s="22" t="n">
        <x:v>87.89000000000001</x:v>
      </x:c>
      <x:c r="M8164" t="n">
        <x:v>2016</x:v>
      </x:c>
      <x:c r="N8164" s="20" t="n">
        <x:v>42430</x:v>
      </x:c>
    </x:row>
    <x:row r="8165" ht="18" customHeight="1">
      <x:c r="A8165" t="str">
        <x:v>CA-2016-134138</x:v>
      </x:c>
      <x:c r="B8165" s="18" t="n">
        <x:v>42416</x:v>
      </x:c>
      <x:c r="C8165" t="str">
        <x:v>JD-15790</x:v>
      </x:c>
      <x:c r="D8165" t="str">
        <x:v>John Dryer</x:v>
      </x:c>
      <x:c r="E8165" t="str">
        <x:v>Consumer</x:v>
      </x:c>
      <x:c r="F8165" t="str">
        <x:v>East</x:v>
      </x:c>
      <x:c r="G8165" t="str">
        <x:v>Furniture</x:v>
      </x:c>
      <x:c r="H8165" t="str">
        <x:v>Chairs</x:v>
      </x:c>
      <x:c r="I8165" s="22" t="n">
        <x:v>227.96</x:v>
      </x:c>
      <x:c r="J8165" s="24" t="n">
        <x:v>2</x:v>
      </x:c>
      <x:c r="K8165" s="26" t="n">
        <x:v>0</x:v>
      </x:c>
      <x:c r="L8165" s="22" t="n">
        <x:v>36.473600000000005</x:v>
      </x:c>
      <x:c r="M8165" t="n">
        <x:v>2016</x:v>
      </x:c>
      <x:c r="N8165" s="20" t="n">
        <x:v>42401</x:v>
      </x:c>
    </x:row>
    <x:row r="8166" ht="18" customHeight="1">
      <x:c r="A8166" t="str">
        <x:v>CA-2015-120915</x:v>
      </x:c>
      <x:c r="B8166" s="18" t="n">
        <x:v>42275</x:v>
      </x:c>
      <x:c r="C8166" t="str">
        <x:v>JJ-15445</x:v>
      </x:c>
      <x:c r="D8166" t="str">
        <x:v>Jennifer Jackson</x:v>
      </x:c>
      <x:c r="E8166" t="str">
        <x:v>Consumer</x:v>
      </x:c>
      <x:c r="F8166" t="str">
        <x:v>East</x:v>
      </x:c>
      <x:c r="G8166" t="str">
        <x:v>Office Supplies</x:v>
      </x:c>
      <x:c r="H8166" t="str">
        <x:v>Appliances</x:v>
      </x:c>
      <x:c r="I8166" s="22" t="n">
        <x:v>293.52</x:v>
      </x:c>
      <x:c r="J8166" s="24" t="n">
        <x:v>6</x:v>
      </x:c>
      <x:c r="K8166" s="26" t="n">
        <x:v>0</x:v>
      </x:c>
      <x:c r="L8166" s="22" t="n">
        <x:v>76.3152</x:v>
      </x:c>
      <x:c r="M8166" t="n">
        <x:v>2015</x:v>
      </x:c>
      <x:c r="N8166" s="20" t="n">
        <x:v>42248</x:v>
      </x:c>
    </x:row>
    <x:row r="8167" ht="18" customHeight="1">
      <x:c r="A8167" t="str">
        <x:v>CA-2015-120915</x:v>
      </x:c>
      <x:c r="B8167" s="18" t="n">
        <x:v>42275</x:v>
      </x:c>
      <x:c r="C8167" t="str">
        <x:v>JJ-15445</x:v>
      </x:c>
      <x:c r="D8167" t="str">
        <x:v>Jennifer Jackson</x:v>
      </x:c>
      <x:c r="E8167" t="str">
        <x:v>Consumer</x:v>
      </x:c>
      <x:c r="F8167" t="str">
        <x:v>East</x:v>
      </x:c>
      <x:c r="G8167" t="str">
        <x:v>Technology</x:v>
      </x:c>
      <x:c r="H8167" t="str">
        <x:v>Phones</x:v>
      </x:c>
      <x:c r="I8167" s="22" t="n">
        <x:v>307.98</x:v>
      </x:c>
      <x:c r="J8167" s="24" t="n">
        <x:v>2</x:v>
      </x:c>
      <x:c r="K8167" s="26" t="n">
        <x:v>0</x:v>
      </x:c>
      <x:c r="L8167" s="22" t="n">
        <x:v>89.31419999999997</x:v>
      </x:c>
      <x:c r="M8167" t="n">
        <x:v>2015</x:v>
      </x:c>
      <x:c r="N8167" s="20" t="n">
        <x:v>42248</x:v>
      </x:c>
    </x:row>
    <x:row r="8168" ht="18" customHeight="1">
      <x:c r="A8168" t="str">
        <x:v>CA-2015-168207</x:v>
      </x:c>
      <x:c r="B8168" s="18" t="n">
        <x:v>42310</x:v>
      </x:c>
      <x:c r="C8168" t="str">
        <x:v>LT-17110</x:v>
      </x:c>
      <x:c r="D8168" t="str">
        <x:v>Liz Thompson</x:v>
      </x:c>
      <x:c r="E8168" t="str">
        <x:v>Consumer</x:v>
      </x:c>
      <x:c r="F8168" t="str">
        <x:v>West</x:v>
      </x:c>
      <x:c r="G8168" t="str">
        <x:v>Furniture</x:v>
      </x:c>
      <x:c r="H8168" t="str">
        <x:v>Furnishings</x:v>
      </x:c>
      <x:c r="I8168" s="22" t="n">
        <x:v>96.96000000000001</x:v>
      </x:c>
      <x:c r="J8168" s="24" t="n">
        <x:v>6</x:v>
      </x:c>
      <x:c r="K8168" s="26" t="n">
        <x:v>0</x:v>
      </x:c>
      <x:c r="L8168" s="22" t="n">
        <x:v>33.93599999999999</x:v>
      </x:c>
      <x:c r="M8168" t="n">
        <x:v>2015</x:v>
      </x:c>
      <x:c r="N8168" s="20" t="n">
        <x:v>42309</x:v>
      </x:c>
    </x:row>
    <x:row r="8169" ht="18" customHeight="1">
      <x:c r="A8169" t="str">
        <x:v>CA-2015-168207</x:v>
      </x:c>
      <x:c r="B8169" s="18" t="n">
        <x:v>42310</x:v>
      </x:c>
      <x:c r="C8169" t="str">
        <x:v>LT-17110</x:v>
      </x:c>
      <x:c r="D8169" t="str">
        <x:v>Liz Thompson</x:v>
      </x:c>
      <x:c r="E8169" t="str">
        <x:v>Consumer</x:v>
      </x:c>
      <x:c r="F8169" t="str">
        <x:v>West</x:v>
      </x:c>
      <x:c r="G8169" t="str">
        <x:v>Office Supplies</x:v>
      </x:c>
      <x:c r="H8169" t="str">
        <x:v>Binders</x:v>
      </x:c>
      <x:c r="I8169" s="22" t="n">
        <x:v>117.48800000000001</x:v>
      </x:c>
      <x:c r="J8169" s="24" t="n">
        <x:v>7</x:v>
      </x:c>
      <x:c r="K8169" s="26" t="n">
        <x:v>0.2</x:v>
      </x:c>
      <x:c r="L8169" s="22" t="n">
        <x:v>41.12079999999999</x:v>
      </x:c>
      <x:c r="M8169" t="n">
        <x:v>2015</x:v>
      </x:c>
      <x:c r="N8169" s="20" t="n">
        <x:v>42309</x:v>
      </x:c>
    </x:row>
    <x:row r="8170" ht="18" customHeight="1">
      <x:c r="A8170" t="str">
        <x:v>CA-2015-168207</x:v>
      </x:c>
      <x:c r="B8170" s="18" t="n">
        <x:v>42310</x:v>
      </x:c>
      <x:c r="C8170" t="str">
        <x:v>LT-17110</x:v>
      </x:c>
      <x:c r="D8170" t="str">
        <x:v>Liz Thompson</x:v>
      </x:c>
      <x:c r="E8170" t="str">
        <x:v>Consumer</x:v>
      </x:c>
      <x:c r="F8170" t="str">
        <x:v>West</x:v>
      </x:c>
      <x:c r="G8170" t="str">
        <x:v>Office Supplies</x:v>
      </x:c>
      <x:c r="H8170" t="str">
        <x:v>Binders</x:v>
      </x:c>
      <x:c r="I8170" s="22" t="n">
        <x:v>11.952000000000002</x:v>
      </x:c>
      <x:c r="J8170" s="24" t="n">
        <x:v>3</x:v>
      </x:c>
      <x:c r="K8170" s="26" t="n">
        <x:v>0.2</x:v>
      </x:c>
      <x:c r="L8170" s="22" t="n">
        <x:v>4.1832</x:v>
      </x:c>
      <x:c r="M8170" t="n">
        <x:v>2015</x:v>
      </x:c>
      <x:c r="N8170" s="20" t="n">
        <x:v>42309</x:v>
      </x:c>
    </x:row>
    <x:row r="8171" ht="18" customHeight="1">
      <x:c r="A8171" t="str">
        <x:v>CA-2015-168207</x:v>
      </x:c>
      <x:c r="B8171" s="18" t="n">
        <x:v>42310</x:v>
      </x:c>
      <x:c r="C8171" t="str">
        <x:v>LT-17110</x:v>
      </x:c>
      <x:c r="D8171" t="str">
        <x:v>Liz Thompson</x:v>
      </x:c>
      <x:c r="E8171" t="str">
        <x:v>Consumer</x:v>
      </x:c>
      <x:c r="F8171" t="str">
        <x:v>West</x:v>
      </x:c>
      <x:c r="G8171" t="str">
        <x:v>Furniture</x:v>
      </x:c>
      <x:c r="H8171" t="str">
        <x:v>Bookcases</x:v>
      </x:c>
      <x:c r="I8171" s="22" t="n">
        <x:v>512.499</x:v>
      </x:c>
      <x:c r="J8171" s="24" t="n">
        <x:v>3</x:v>
      </x:c>
      <x:c r="K8171" s="26" t="n">
        <x:v>0.15</x:v>
      </x:c>
      <x:c r="L8171" s="22" t="n">
        <x:v>-30.147000000000048</x:v>
      </x:c>
      <x:c r="M8171" t="n">
        <x:v>2015</x:v>
      </x:c>
      <x:c r="N8171" s="20" t="n">
        <x:v>42309</x:v>
      </x:c>
    </x:row>
    <x:row r="8172" ht="18" customHeight="1">
      <x:c r="A8172" t="str">
        <x:v>CA-2016-144148</x:v>
      </x:c>
      <x:c r="B8172" s="18" t="n">
        <x:v>42582</x:v>
      </x:c>
      <x:c r="C8172" t="str">
        <x:v>AH-10690</x:v>
      </x:c>
      <x:c r="D8172" t="str">
        <x:v>Anna Häberlin</x:v>
      </x:c>
      <x:c r="E8172" t="str">
        <x:v>Corporate</x:v>
      </x:c>
      <x:c r="F8172" t="str">
        <x:v>West</x:v>
      </x:c>
      <x:c r="G8172" t="str">
        <x:v>Furniture</x:v>
      </x:c>
      <x:c r="H8172" t="str">
        <x:v>Tables</x:v>
      </x:c>
      <x:c r="I8172" s="22" t="n">
        <x:v>863.128</x:v>
      </x:c>
      <x:c r="J8172" s="24" t="n">
        <x:v>7</x:v>
      </x:c>
      <x:c r="K8172" s="26" t="n">
        <x:v>0.2</x:v>
      </x:c>
      <x:c r="L8172" s="22" t="n">
        <x:v>-32.367300000000085</x:v>
      </x:c>
      <x:c r="M8172" t="n">
        <x:v>2016</x:v>
      </x:c>
      <x:c r="N8172" s="20" t="n">
        <x:v>42552</x:v>
      </x:c>
    </x:row>
    <x:row r="8173" ht="18" customHeight="1">
      <x:c r="A8173" t="str">
        <x:v>CA-2017-107174</x:v>
      </x:c>
      <x:c r="B8173" s="18" t="n">
        <x:v>43045</x:v>
      </x:c>
      <x:c r="C8173" t="str">
        <x:v>AB-10060</x:v>
      </x:c>
      <x:c r="D8173" t="str">
        <x:v>Adam Bellavance</x:v>
      </x:c>
      <x:c r="E8173" t="str">
        <x:v>Home Office</x:v>
      </x:c>
      <x:c r="F8173" t="str">
        <x:v>West</x:v>
      </x:c>
      <x:c r="G8173" t="str">
        <x:v>Furniture</x:v>
      </x:c>
      <x:c r="H8173" t="str">
        <x:v>Tables</x:v>
      </x:c>
      <x:c r="I8173" s="22" t="n">
        <x:v>2036.8600000000001</x:v>
      </x:c>
      <x:c r="J8173" s="24" t="n">
        <x:v>7</x:v>
      </x:c>
      <x:c r="K8173" s="26" t="n">
        <x:v>0</x:v>
      </x:c>
      <x:c r="L8173" s="22" t="n">
        <x:v>366.6347999999999</x:v>
      </x:c>
      <x:c r="M8173" t="n">
        <x:v>2017</x:v>
      </x:c>
      <x:c r="N8173" s="20" t="n">
        <x:v>43040</x:v>
      </x:c>
    </x:row>
    <x:row r="8174" ht="18" customHeight="1">
      <x:c r="A8174" t="str">
        <x:v>CA-2017-107174</x:v>
      </x:c>
      <x:c r="B8174" s="18" t="n">
        <x:v>43045</x:v>
      </x:c>
      <x:c r="C8174" t="str">
        <x:v>AB-10060</x:v>
      </x:c>
      <x:c r="D8174" t="str">
        <x:v>Adam Bellavance</x:v>
      </x:c>
      <x:c r="E8174" t="str">
        <x:v>Home Office</x:v>
      </x:c>
      <x:c r="F8174" t="str">
        <x:v>West</x:v>
      </x:c>
      <x:c r="G8174" t="str">
        <x:v>Furniture</x:v>
      </x:c>
      <x:c r="H8174" t="str">
        <x:v>Chairs</x:v>
      </x:c>
      <x:c r="I8174" s="22" t="n">
        <x:v>449.56800000000004</x:v>
      </x:c>
      <x:c r="J8174" s="24" t="n">
        <x:v>2</x:v>
      </x:c>
      <x:c r="K8174" s="26" t="n">
        <x:v>0.2</x:v>
      </x:c>
      <x:c r="L8174" s="22" t="n">
        <x:v>-73.05480000000007</x:v>
      </x:c>
      <x:c r="M8174" t="n">
        <x:v>2017</x:v>
      </x:c>
      <x:c r="N8174" s="20" t="n">
        <x:v>43040</x:v>
      </x:c>
    </x:row>
    <x:row r="8175" ht="18" customHeight="1">
      <x:c r="A8175" t="str">
        <x:v>CA-2017-107174</x:v>
      </x:c>
      <x:c r="B8175" s="18" t="n">
        <x:v>43045</x:v>
      </x:c>
      <x:c r="C8175" t="str">
        <x:v>AB-10060</x:v>
      </x:c>
      <x:c r="D8175" t="str">
        <x:v>Adam Bellavance</x:v>
      </x:c>
      <x:c r="E8175" t="str">
        <x:v>Home Office</x:v>
      </x:c>
      <x:c r="F8175" t="str">
        <x:v>West</x:v>
      </x:c>
      <x:c r="G8175" t="str">
        <x:v>Technology</x:v>
      </x:c>
      <x:c r="H8175" t="str">
        <x:v>Accessories</x:v>
      </x:c>
      <x:c r="I8175" s="22" t="n">
        <x:v>108.96000000000001</x:v>
      </x:c>
      <x:c r="J8175" s="24" t="n">
        <x:v>3</x:v>
      </x:c>
      <x:c r="K8175" s="26" t="n">
        <x:v>0</x:v>
      </x:c>
      <x:c r="L8175" s="22" t="n">
        <x:v>32.68799999999999</x:v>
      </x:c>
      <x:c r="M8175" t="n">
        <x:v>2017</x:v>
      </x:c>
      <x:c r="N8175" s="20" t="n">
        <x:v>43040</x:v>
      </x:c>
    </x:row>
    <x:row r="8176" ht="18" customHeight="1">
      <x:c r="A8176" t="str">
        <x:v>CA-2016-146150</x:v>
      </x:c>
      <x:c r="B8176" s="18" t="n">
        <x:v>42414</x:v>
      </x:c>
      <x:c r="C8176" t="str">
        <x:v>FM-14380</x:v>
      </x:c>
      <x:c r="D8176" t="str">
        <x:v>Fred McMath</x:v>
      </x:c>
      <x:c r="E8176" t="str">
        <x:v>Consumer</x:v>
      </x:c>
      <x:c r="F8176" t="str">
        <x:v>South</x:v>
      </x:c>
      <x:c r="G8176" t="str">
        <x:v>Office Supplies</x:v>
      </x:c>
      <x:c r="H8176" t="str">
        <x:v>Art</x:v>
      </x:c>
      <x:c r="I8176" s="22" t="n">
        <x:v>264.18</x:v>
      </x:c>
      <x:c r="J8176" s="24" t="n">
        <x:v>7</x:v>
      </x:c>
      <x:c r="K8176" s="26" t="n">
        <x:v>0</x:v>
      </x:c>
      <x:c r="L8176" s="22" t="n">
        <x:v>68.6868</x:v>
      </x:c>
      <x:c r="M8176" t="n">
        <x:v>2016</x:v>
      </x:c>
      <x:c r="N8176" s="20" t="n">
        <x:v>42401</x:v>
      </x:c>
    </x:row>
    <x:row r="8177" ht="18" customHeight="1">
      <x:c r="A8177" t="str">
        <x:v>CA-2014-114125</x:v>
      </x:c>
      <x:c r="B8177" s="18" t="n">
        <x:v>41829</x:v>
      </x:c>
      <x:c r="C8177" t="str">
        <x:v>GH-14410</x:v>
      </x:c>
      <x:c r="D8177" t="str">
        <x:v>Gary Hansen</x:v>
      </x:c>
      <x:c r="E8177" t="str">
        <x:v>Home Office</x:v>
      </x:c>
      <x:c r="F8177" t="str">
        <x:v>West</x:v>
      </x:c>
      <x:c r="G8177" t="str">
        <x:v>Office Supplies</x:v>
      </x:c>
      <x:c r="H8177" t="str">
        <x:v>Labels</x:v>
      </x:c>
      <x:c r="I8177" s="22" t="n">
        <x:v>2.88</x:v>
      </x:c>
      <x:c r="J8177" s="24" t="n">
        <x:v>1</x:v>
      </x:c>
      <x:c r="K8177" s="26" t="n">
        <x:v>0</x:v>
      </x:c>
      <x:c r="L8177" s="22" t="n">
        <x:v>1.4112</x:v>
      </x:c>
      <x:c r="M8177" t="n">
        <x:v>2014</x:v>
      </x:c>
      <x:c r="N8177" s="20" t="n">
        <x:v>41821</x:v>
      </x:c>
    </x:row>
    <x:row r="8178" ht="18" customHeight="1">
      <x:c r="A8178" t="str">
        <x:v>CA-2014-114125</x:v>
      </x:c>
      <x:c r="B8178" s="18" t="n">
        <x:v>41829</x:v>
      </x:c>
      <x:c r="C8178" t="str">
        <x:v>GH-14410</x:v>
      </x:c>
      <x:c r="D8178" t="str">
        <x:v>Gary Hansen</x:v>
      </x:c>
      <x:c r="E8178" t="str">
        <x:v>Home Office</x:v>
      </x:c>
      <x:c r="F8178" t="str">
        <x:v>West</x:v>
      </x:c>
      <x:c r="G8178" t="str">
        <x:v>Office Supplies</x:v>
      </x:c>
      <x:c r="H8178" t="str">
        <x:v>Binders</x:v>
      </x:c>
      <x:c r="I8178" s="22" t="n">
        <x:v>41.904</x:v>
      </x:c>
      <x:c r="J8178" s="24" t="n">
        <x:v>6</x:v>
      </x:c>
      <x:c r="K8178" s="26" t="n">
        <x:v>0.2</x:v>
      </x:c>
      <x:c r="L8178" s="22" t="n">
        <x:v>14.142599999999996</x:v>
      </x:c>
      <x:c r="M8178" t="n">
        <x:v>2014</x:v>
      </x:c>
      <x:c r="N8178" s="20" t="n">
        <x:v>41821</x:v>
      </x:c>
    </x:row>
    <x:row r="8179" ht="18" customHeight="1">
      <x:c r="A8179" t="str">
        <x:v>CA-2014-114125</x:v>
      </x:c>
      <x:c r="B8179" s="18" t="n">
        <x:v>41829</x:v>
      </x:c>
      <x:c r="C8179" t="str">
        <x:v>GH-14410</x:v>
      </x:c>
      <x:c r="D8179" t="str">
        <x:v>Gary Hansen</x:v>
      </x:c>
      <x:c r="E8179" t="str">
        <x:v>Home Office</x:v>
      </x:c>
      <x:c r="F8179" t="str">
        <x:v>West</x:v>
      </x:c>
      <x:c r="G8179" t="str">
        <x:v>Office Supplies</x:v>
      </x:c>
      <x:c r="H8179" t="str">
        <x:v>Storage</x:v>
      </x:c>
      <x:c r="I8179" s="22" t="n">
        <x:v>23.92</x:v>
      </x:c>
      <x:c r="J8179" s="24" t="n">
        <x:v>4</x:v>
      </x:c>
      <x:c r="K8179" s="26" t="n">
        <x:v>0</x:v>
      </x:c>
      <x:c r="L8179" s="22" t="n">
        <x:v>4.066399999999998</x:v>
      </x:c>
      <x:c r="M8179" t="n">
        <x:v>2014</x:v>
      </x:c>
      <x:c r="N8179" s="20" t="n">
        <x:v>41821</x:v>
      </x:c>
    </x:row>
    <x:row r="8180" ht="18" customHeight="1">
      <x:c r="A8180" t="str">
        <x:v>CA-2016-114944</x:v>
      </x:c>
      <x:c r="B8180" s="18" t="n">
        <x:v>42399</x:v>
      </x:c>
      <x:c r="C8180" t="str">
        <x:v>HE-14800</x:v>
      </x:c>
      <x:c r="D8180" t="str">
        <x:v>Harold Engle</x:v>
      </x:c>
      <x:c r="E8180" t="str">
        <x:v>Corporate</x:v>
      </x:c>
      <x:c r="F8180" t="str">
        <x:v>Central</x:v>
      </x:c>
      <x:c r="G8180" t="str">
        <x:v>Office Supplies</x:v>
      </x:c>
      <x:c r="H8180" t="str">
        <x:v>Paper</x:v>
      </x:c>
      <x:c r="I8180" s="22" t="n">
        <x:v>156.512</x:v>
      </x:c>
      <x:c r="J8180" s="24" t="n">
        <x:v>4</x:v>
      </x:c>
      <x:c r="K8180" s="26" t="n">
        <x:v>0.2</x:v>
      </x:c>
      <x:c r="L8180" s="22" t="n">
        <x:v>52.82279999999999</x:v>
      </x:c>
      <x:c r="M8180" t="n">
        <x:v>2016</x:v>
      </x:c>
      <x:c r="N8180" s="20" t="n">
        <x:v>42370</x:v>
      </x:c>
    </x:row>
    <x:row r="8181" ht="18" customHeight="1">
      <x:c r="A8181" t="str">
        <x:v>CA-2016-135965</x:v>
      </x:c>
      <x:c r="B8181" s="18" t="n">
        <x:v>42635</x:v>
      </x:c>
      <x:c r="C8181" t="str">
        <x:v>SZ-20035</x:v>
      </x:c>
      <x:c r="D8181" t="str">
        <x:v>Sam Zeldin</x:v>
      </x:c>
      <x:c r="E8181" t="str">
        <x:v>Home Office</x:v>
      </x:c>
      <x:c r="F8181" t="str">
        <x:v>East</x:v>
      </x:c>
      <x:c r="G8181" t="str">
        <x:v>Office Supplies</x:v>
      </x:c>
      <x:c r="H8181" t="str">
        <x:v>Storage</x:v>
      </x:c>
      <x:c r="I8181" s="22" t="n">
        <x:v>128.34</x:v>
      </x:c>
      <x:c r="J8181" s="24" t="n">
        <x:v>6</x:v>
      </x:c>
      <x:c r="K8181" s="26" t="n">
        <x:v>0</x:v>
      </x:c>
      <x:c r="L8181" s="22" t="n">
        <x:v>37.218599999999995</x:v>
      </x:c>
      <x:c r="M8181" t="n">
        <x:v>2016</x:v>
      </x:c>
      <x:c r="N8181" s="20" t="n">
        <x:v>42614</x:v>
      </x:c>
    </x:row>
    <x:row r="8182" ht="18" customHeight="1">
      <x:c r="A8182" t="str">
        <x:v>CA-2017-149699</x:v>
      </x:c>
      <x:c r="B8182" s="18" t="n">
        <x:v>43091</x:v>
      </x:c>
      <x:c r="C8182" t="str">
        <x:v>CM-12115</x:v>
      </x:c>
      <x:c r="D8182" t="str">
        <x:v>Chad McGuire</x:v>
      </x:c>
      <x:c r="E8182" t="str">
        <x:v>Consumer</x:v>
      </x:c>
      <x:c r="F8182" t="str">
        <x:v>West</x:v>
      </x:c>
      <x:c r="G8182" t="str">
        <x:v>Technology</x:v>
      </x:c>
      <x:c r="H8182" t="str">
        <x:v>Accessories</x:v>
      </x:c>
      <x:c r="I8182" s="22" t="n">
        <x:v>474.95</x:v>
      </x:c>
      <x:c r="J8182" s="24" t="n">
        <x:v>5</x:v>
      </x:c>
      <x:c r="K8182" s="26" t="n">
        <x:v>0</x:v>
      </x:c>
      <x:c r="L8182" s="22" t="n">
        <x:v>142.48499999999993</x:v>
      </x:c>
      <x:c r="M8182" t="n">
        <x:v>2017</x:v>
      </x:c>
      <x:c r="N8182" s="20" t="n">
        <x:v>43070</x:v>
      </x:c>
    </x:row>
    <x:row r="8183" ht="18" customHeight="1">
      <x:c r="A8183" t="str">
        <x:v>CA-2016-166429</x:v>
      </x:c>
      <x:c r="B8183" s="18" t="n">
        <x:v>42615</x:v>
      </x:c>
      <x:c r="C8183" t="str">
        <x:v>TG-21310</x:v>
      </x:c>
      <x:c r="D8183" t="str">
        <x:v>Toby Gnade</x:v>
      </x:c>
      <x:c r="E8183" t="str">
        <x:v>Consumer</x:v>
      </x:c>
      <x:c r="F8183" t="str">
        <x:v>West</x:v>
      </x:c>
      <x:c r="G8183" t="str">
        <x:v>Technology</x:v>
      </x:c>
      <x:c r="H8183" t="str">
        <x:v>Copiers</x:v>
      </x:c>
      <x:c r="I8183" s="22" t="n">
        <x:v>999.98</x:v>
      </x:c>
      <x:c r="J8183" s="24" t="n">
        <x:v>2</x:v>
      </x:c>
      <x:c r="K8183" s="26" t="n">
        <x:v>0</x:v>
      </x:c>
      <x:c r="L8183" s="22" t="n">
        <x:v>449.991</x:v>
      </x:c>
      <x:c r="M8183" t="n">
        <x:v>2016</x:v>
      </x:c>
      <x:c r="N8183" s="20" t="n">
        <x:v>42614</x:v>
      </x:c>
    </x:row>
    <x:row r="8184" ht="18" customHeight="1">
      <x:c r="A8184" t="str">
        <x:v>CA-2015-112767</x:v>
      </x:c>
      <x:c r="B8184" s="18" t="n">
        <x:v>42218</x:v>
      </x:c>
      <x:c r="C8184" t="str">
        <x:v>DK-12985</x:v>
      </x:c>
      <x:c r="D8184" t="str">
        <x:v>Darren Koutras</x:v>
      </x:c>
      <x:c r="E8184" t="str">
        <x:v>Consumer</x:v>
      </x:c>
      <x:c r="F8184" t="str">
        <x:v>West</x:v>
      </x:c>
      <x:c r="G8184" t="str">
        <x:v>Furniture</x:v>
      </x:c>
      <x:c r="H8184" t="str">
        <x:v>Tables</x:v>
      </x:c>
      <x:c r="I8184" s="22" t="n">
        <x:v>277.5</x:v>
      </x:c>
      <x:c r="J8184" s="24" t="n">
        <x:v>4</x:v>
      </x:c>
      <x:c r="K8184" s="26" t="n">
        <x:v>0.5</x:v>
      </x:c>
      <x:c r="L8184" s="22" t="n">
        <x:v>-188.7</x:v>
      </x:c>
      <x:c r="M8184" t="n">
        <x:v>2015</x:v>
      </x:c>
      <x:c r="N8184" s="20" t="n">
        <x:v>42217</x:v>
      </x:c>
    </x:row>
    <x:row r="8185" ht="18" customHeight="1">
      <x:c r="A8185" t="str">
        <x:v>CA-2015-119879</x:v>
      </x:c>
      <x:c r="B8185" s="18" t="n">
        <x:v>42329</x:v>
      </x:c>
      <x:c r="C8185" t="str">
        <x:v>SS-20410</x:v>
      </x:c>
      <x:c r="D8185" t="str">
        <x:v>Shahid Shariari</x:v>
      </x:c>
      <x:c r="E8185" t="str">
        <x:v>Consumer</x:v>
      </x:c>
      <x:c r="F8185" t="str">
        <x:v>East</x:v>
      </x:c>
      <x:c r="G8185" t="str">
        <x:v>Furniture</x:v>
      </x:c>
      <x:c r="H8185" t="str">
        <x:v>Tables</x:v>
      </x:c>
      <x:c r="I8185" s="22" t="n">
        <x:v>1252.704</x:v>
      </x:c>
      <x:c r="J8185" s="24" t="n">
        <x:v>8</x:v>
      </x:c>
      <x:c r="K8185" s="26" t="n">
        <x:v>0.4</x:v>
      </x:c>
      <x:c r="L8185" s="22" t="n">
        <x:v>-480.20320000000027</x:v>
      </x:c>
      <x:c r="M8185" t="n">
        <x:v>2015</x:v>
      </x:c>
      <x:c r="N8185" s="20" t="n">
        <x:v>42309</x:v>
      </x:c>
    </x:row>
    <x:row r="8186" ht="18" customHeight="1">
      <x:c r="A8186" t="str">
        <x:v>CA-2015-119879</x:v>
      </x:c>
      <x:c r="B8186" s="18" t="n">
        <x:v>42329</x:v>
      </x:c>
      <x:c r="C8186" t="str">
        <x:v>SS-20410</x:v>
      </x:c>
      <x:c r="D8186" t="str">
        <x:v>Shahid Shariari</x:v>
      </x:c>
      <x:c r="E8186" t="str">
        <x:v>Consumer</x:v>
      </x:c>
      <x:c r="F8186" t="str">
        <x:v>East</x:v>
      </x:c>
      <x:c r="G8186" t="str">
        <x:v>Technology</x:v>
      </x:c>
      <x:c r="H8186" t="str">
        <x:v>Phones</x:v>
      </x:c>
      <x:c r="I8186" s="22" t="n">
        <x:v>110.97</x:v>
      </x:c>
      <x:c r="J8186" s="24" t="n">
        <x:v>5</x:v>
      </x:c>
      <x:c r="K8186" s="26" t="n">
        <x:v>0.4</x:v>
      </x:c>
      <x:c r="L8186" s="22" t="n">
        <x:v>-24.043499999999995</x:v>
      </x:c>
      <x:c r="M8186" t="n">
        <x:v>2015</x:v>
      </x:c>
      <x:c r="N8186" s="20" t="n">
        <x:v>42309</x:v>
      </x:c>
    </x:row>
    <x:row r="8187" ht="18" customHeight="1">
      <x:c r="A8187" t="str">
        <x:v>CA-2017-155642</x:v>
      </x:c>
      <x:c r="B8187" s="18" t="n">
        <x:v>42873</x:v>
      </x:c>
      <x:c r="C8187" t="str">
        <x:v>BM-11575</x:v>
      </x:c>
      <x:c r="D8187" t="str">
        <x:v>Brendan Murry</x:v>
      </x:c>
      <x:c r="E8187" t="str">
        <x:v>Corporate</x:v>
      </x:c>
      <x:c r="F8187" t="str">
        <x:v>Central</x:v>
      </x:c>
      <x:c r="G8187" t="str">
        <x:v>Furniture</x:v>
      </x:c>
      <x:c r="H8187" t="str">
        <x:v>Furnishings</x:v>
      </x:c>
      <x:c r="I8187" s="22" t="n">
        <x:v>22.608</x:v>
      </x:c>
      <x:c r="J8187" s="24" t="n">
        <x:v>3</x:v>
      </x:c>
      <x:c r="K8187" s="26" t="n">
        <x:v>0.6</x:v>
      </x:c>
      <x:c r="L8187" s="22" t="n">
        <x:v>-10.173599999999997</x:v>
      </x:c>
      <x:c r="M8187" t="n">
        <x:v>2017</x:v>
      </x:c>
      <x:c r="N8187" s="20" t="n">
        <x:v>42856</x:v>
      </x:c>
    </x:row>
    <x:row r="8188" ht="18" customHeight="1">
      <x:c r="A8188" t="str">
        <x:v>CA-2017-155642</x:v>
      </x:c>
      <x:c r="B8188" s="18" t="n">
        <x:v>42873</x:v>
      </x:c>
      <x:c r="C8188" t="str">
        <x:v>BM-11575</x:v>
      </x:c>
      <x:c r="D8188" t="str">
        <x:v>Brendan Murry</x:v>
      </x:c>
      <x:c r="E8188" t="str">
        <x:v>Corporate</x:v>
      </x:c>
      <x:c r="F8188" t="str">
        <x:v>Central</x:v>
      </x:c>
      <x:c r="G8188" t="str">
        <x:v>Furniture</x:v>
      </x:c>
      <x:c r="H8188" t="str">
        <x:v>Furnishings</x:v>
      </x:c>
      <x:c r="I8188" s="22" t="n">
        <x:v>1.8920000000000003</x:v>
      </x:c>
      <x:c r="J8188" s="24" t="n">
        <x:v>1</x:v>
      </x:c>
      <x:c r="K8188" s="26" t="n">
        <x:v>0.6</x:v>
      </x:c>
      <x:c r="L8188" s="22" t="n">
        <x:v>-0.9932999999999996</x:v>
      </x:c>
      <x:c r="M8188" t="n">
        <x:v>2017</x:v>
      </x:c>
      <x:c r="N8188" s="20" t="n">
        <x:v>42856</x:v>
      </x:c>
    </x:row>
    <x:row r="8189" ht="18" customHeight="1">
      <x:c r="A8189" t="str">
        <x:v>US-2017-101721</x:v>
      </x:c>
      <x:c r="B8189" s="18" t="n">
        <x:v>42939</x:v>
      </x:c>
      <x:c r="C8189" t="str">
        <x:v>MY-17380</x:v>
      </x:c>
      <x:c r="D8189" t="str">
        <x:v>Maribeth Yedwab</x:v>
      </x:c>
      <x:c r="E8189" t="str">
        <x:v>Corporate</x:v>
      </x:c>
      <x:c r="F8189" t="str">
        <x:v>Central</x:v>
      </x:c>
      <x:c r="G8189" t="str">
        <x:v>Office Supplies</x:v>
      </x:c>
      <x:c r="H8189" t="str">
        <x:v>Paper</x:v>
      </x:c>
      <x:c r="I8189" s="22" t="n">
        <x:v>63.312</x:v>
      </x:c>
      <x:c r="J8189" s="24" t="n">
        <x:v>3</x:v>
      </x:c>
      <x:c r="K8189" s="26" t="n">
        <x:v>0.2</x:v>
      </x:c>
      <x:c r="L8189" s="22" t="n">
        <x:v>20.576399999999996</x:v>
      </x:c>
      <x:c r="M8189" t="n">
        <x:v>2017</x:v>
      </x:c>
      <x:c r="N8189" s="20" t="n">
        <x:v>42917</x:v>
      </x:c>
    </x:row>
    <x:row r="8190" ht="18" customHeight="1">
      <x:c r="A8190" t="str">
        <x:v>CA-2015-136728</x:v>
      </x:c>
      <x:c r="B8190" s="18" t="n">
        <x:v>42260</x:v>
      </x:c>
      <x:c r="C8190" t="str">
        <x:v>AG-10900</x:v>
      </x:c>
      <x:c r="D8190" t="str">
        <x:v>Arthur Gainer</x:v>
      </x:c>
      <x:c r="E8190" t="str">
        <x:v>Consumer</x:v>
      </x:c>
      <x:c r="F8190" t="str">
        <x:v>Central</x:v>
      </x:c>
      <x:c r="G8190" t="str">
        <x:v>Office Supplies</x:v>
      </x:c>
      <x:c r="H8190" t="str">
        <x:v>Envelopes</x:v>
      </x:c>
      <x:c r="I8190" s="22" t="n">
        <x:v>7.824</x:v>
      </x:c>
      <x:c r="J8190" s="24" t="n">
        <x:v>1</x:v>
      </x:c>
      <x:c r="K8190" s="26" t="n">
        <x:v>0.2</x:v>
      </x:c>
      <x:c r="L8190" s="22" t="n">
        <x:v>2.9339999999999997</x:v>
      </x:c>
      <x:c r="M8190" t="n">
        <x:v>2015</x:v>
      </x:c>
      <x:c r="N8190" s="20" t="n">
        <x:v>42248</x:v>
      </x:c>
    </x:row>
    <x:row r="8191" ht="18" customHeight="1">
      <x:c r="A8191" t="str">
        <x:v>CA-2015-136728</x:v>
      </x:c>
      <x:c r="B8191" s="18" t="n">
        <x:v>42260</x:v>
      </x:c>
      <x:c r="C8191" t="str">
        <x:v>AG-10900</x:v>
      </x:c>
      <x:c r="D8191" t="str">
        <x:v>Arthur Gainer</x:v>
      </x:c>
      <x:c r="E8191" t="str">
        <x:v>Consumer</x:v>
      </x:c>
      <x:c r="F8191" t="str">
        <x:v>Central</x:v>
      </x:c>
      <x:c r="G8191" t="str">
        <x:v>Furniture</x:v>
      </x:c>
      <x:c r="H8191" t="str">
        <x:v>Chairs</x:v>
      </x:c>
      <x:c r="I8191" s="22" t="n">
        <x:v>170.072</x:v>
      </x:c>
      <x:c r="J8191" s="24" t="n">
        <x:v>4</x:v>
      </x:c>
      <x:c r="K8191" s="26" t="n">
        <x:v>0.3</x:v>
      </x:c>
      <x:c r="L8191" s="22" t="n">
        <x:v>-12.147999999999996</x:v>
      </x:c>
      <x:c r="M8191" t="n">
        <x:v>2015</x:v>
      </x:c>
      <x:c r="N8191" s="20" t="n">
        <x:v>42248</x:v>
      </x:c>
    </x:row>
    <x:row r="8192" ht="18" customHeight="1">
      <x:c r="A8192" t="str">
        <x:v>CA-2016-127194</x:v>
      </x:c>
      <x:c r="B8192" s="18" t="n">
        <x:v>42714</x:v>
      </x:c>
      <x:c r="C8192" t="str">
        <x:v>BW-11110</x:v>
      </x:c>
      <x:c r="D8192" t="str">
        <x:v>Bart Watters</x:v>
      </x:c>
      <x:c r="E8192" t="str">
        <x:v>Corporate</x:v>
      </x:c>
      <x:c r="F8192" t="str">
        <x:v>East</x:v>
      </x:c>
      <x:c r="G8192" t="str">
        <x:v>Office Supplies</x:v>
      </x:c>
      <x:c r="H8192" t="str">
        <x:v>Paper</x:v>
      </x:c>
      <x:c r="I8192" s="22" t="n">
        <x:v>62.82000000000001</x:v>
      </x:c>
      <x:c r="J8192" s="24" t="n">
        <x:v>9</x:v>
      </x:c>
      <x:c r="K8192" s="26" t="n">
        <x:v>0</x:v>
      </x:c>
      <x:c r="L8192" s="22" t="n">
        <x:v>29.5254</x:v>
      </x:c>
      <x:c r="M8192" t="n">
        <x:v>2016</x:v>
      </x:c>
      <x:c r="N8192" s="20" t="n">
        <x:v>42705</x:v>
      </x:c>
    </x:row>
    <x:row r="8193" ht="18" customHeight="1">
      <x:c r="A8193" t="str">
        <x:v>CA-2015-140375</x:v>
      </x:c>
      <x:c r="B8193" s="18" t="n">
        <x:v>42279</x:v>
      </x:c>
      <x:c r="C8193" t="str">
        <x:v>SG-20470</x:v>
      </x:c>
      <x:c r="D8193" t="str">
        <x:v>Sheri Gordon</x:v>
      </x:c>
      <x:c r="E8193" t="str">
        <x:v>Consumer</x:v>
      </x:c>
      <x:c r="F8193" t="str">
        <x:v>East</x:v>
      </x:c>
      <x:c r="G8193" t="str">
        <x:v>Office Supplies</x:v>
      </x:c>
      <x:c r="H8193" t="str">
        <x:v>Paper</x:v>
      </x:c>
      <x:c r="I8193" s="22" t="n">
        <x:v>19.44</x:v>
      </x:c>
      <x:c r="J8193" s="24" t="n">
        <x:v>3</x:v>
      </x:c>
      <x:c r="K8193" s="26" t="n">
        <x:v>0</x:v>
      </x:c>
      <x:c r="L8193" s="22" t="n">
        <x:v>9.3312</x:v>
      </x:c>
      <x:c r="M8193" t="n">
        <x:v>2015</x:v>
      </x:c>
      <x:c r="N8193" s="20" t="n">
        <x:v>42278</x:v>
      </x:c>
    </x:row>
    <x:row r="8194" ht="18" customHeight="1">
      <x:c r="A8194" t="str">
        <x:v>CA-2015-140375</x:v>
      </x:c>
      <x:c r="B8194" s="18" t="n">
        <x:v>42279</x:v>
      </x:c>
      <x:c r="C8194" t="str">
        <x:v>SG-20470</x:v>
      </x:c>
      <x:c r="D8194" t="str">
        <x:v>Sheri Gordon</x:v>
      </x:c>
      <x:c r="E8194" t="str">
        <x:v>Consumer</x:v>
      </x:c>
      <x:c r="F8194" t="str">
        <x:v>East</x:v>
      </x:c>
      <x:c r="G8194" t="str">
        <x:v>Office Supplies</x:v>
      </x:c>
      <x:c r="H8194" t="str">
        <x:v>Binders</x:v>
      </x:c>
      <x:c r="I8194" s="22" t="n">
        <x:v>7.38</x:v>
      </x:c>
      <x:c r="J8194" s="24" t="n">
        <x:v>1</x:v>
      </x:c>
      <x:c r="K8194" s="26" t="n">
        <x:v>0</x:v>
      </x:c>
      <x:c r="L8194" s="22" t="n">
        <x:v>3.6162</x:v>
      </x:c>
      <x:c r="M8194" t="n">
        <x:v>2015</x:v>
      </x:c>
      <x:c r="N8194" s="20" t="n">
        <x:v>42278</x:v>
      </x:c>
    </x:row>
    <x:row r="8195" ht="18" customHeight="1">
      <x:c r="A8195" t="str">
        <x:v>US-2017-155866</x:v>
      </x:c>
      <x:c r="B8195" s="18" t="n">
        <x:v>43056</x:v>
      </x:c>
      <x:c r="C8195" t="str">
        <x:v>CC-12370</x:v>
      </x:c>
      <x:c r="D8195" t="str">
        <x:v>Christopher Conant</x:v>
      </x:c>
      <x:c r="E8195" t="str">
        <x:v>Consumer</x:v>
      </x:c>
      <x:c r="F8195" t="str">
        <x:v>East</x:v>
      </x:c>
      <x:c r="G8195" t="str">
        <x:v>Office Supplies</x:v>
      </x:c>
      <x:c r="H8195" t="str">
        <x:v>Paper</x:v>
      </x:c>
      <x:c r="I8195" s="22" t="n">
        <x:v>38.88</x:v>
      </x:c>
      <x:c r="J8195" s="24" t="n">
        <x:v>6</x:v>
      </x:c>
      <x:c r="K8195" s="26" t="n">
        <x:v>0</x:v>
      </x:c>
      <x:c r="L8195" s="22" t="n">
        <x:v>18.6624</x:v>
      </x:c>
      <x:c r="M8195" t="n">
        <x:v>2017</x:v>
      </x:c>
      <x:c r="N8195" s="20" t="n">
        <x:v>43040</x:v>
      </x:c>
    </x:row>
    <x:row r="8196" ht="18" customHeight="1">
      <x:c r="A8196" t="str">
        <x:v>US-2017-155866</x:v>
      </x:c>
      <x:c r="B8196" s="18" t="n">
        <x:v>43056</x:v>
      </x:c>
      <x:c r="C8196" t="str">
        <x:v>CC-12370</x:v>
      </x:c>
      <x:c r="D8196" t="str">
        <x:v>Christopher Conant</x:v>
      </x:c>
      <x:c r="E8196" t="str">
        <x:v>Consumer</x:v>
      </x:c>
      <x:c r="F8196" t="str">
        <x:v>East</x:v>
      </x:c>
      <x:c r="G8196" t="str">
        <x:v>Furniture</x:v>
      </x:c>
      <x:c r="H8196" t="str">
        <x:v>Furnishings</x:v>
      </x:c>
      <x:c r="I8196" s="22" t="n">
        <x:v>187.76</x:v>
      </x:c>
      <x:c r="J8196" s="24" t="n">
        <x:v>4</x:v>
      </x:c>
      <x:c r="K8196" s="26" t="n">
        <x:v>0</x:v>
      </x:c>
      <x:c r="L8196" s="22" t="n">
        <x:v>76.9816</x:v>
      </x:c>
      <x:c r="M8196" t="n">
        <x:v>2017</x:v>
      </x:c>
      <x:c r="N8196" s="20" t="n">
        <x:v>43040</x:v>
      </x:c>
    </x:row>
    <x:row r="8197" ht="18" customHeight="1">
      <x:c r="A8197" t="str">
        <x:v>CA-2015-141327</x:v>
      </x:c>
      <x:c r="B8197" s="18" t="n">
        <x:v>42338</x:v>
      </x:c>
      <x:c r="C8197" t="str">
        <x:v>LR-16915</x:v>
      </x:c>
      <x:c r="D8197" t="str">
        <x:v>Lena Radford</x:v>
      </x:c>
      <x:c r="E8197" t="str">
        <x:v>Consumer</x:v>
      </x:c>
      <x:c r="F8197" t="str">
        <x:v>South</x:v>
      </x:c>
      <x:c r="G8197" t="str">
        <x:v>Office Supplies</x:v>
      </x:c>
      <x:c r="H8197" t="str">
        <x:v>Binders</x:v>
      </x:c>
      <x:c r="I8197" s="22" t="n">
        <x:v>6.048000000000001</x:v>
      </x:c>
      <x:c r="J8197" s="24" t="n">
        <x:v>7</x:v>
      </x:c>
      <x:c r="K8197" s="26" t="n">
        <x:v>0.7</x:v>
      </x:c>
      <x:c r="L8197" s="22" t="n">
        <x:v>-4.233600000000001</x:v>
      </x:c>
      <x:c r="M8197" t="n">
        <x:v>2015</x:v>
      </x:c>
      <x:c r="N8197" s="20" t="n">
        <x:v>42309</x:v>
      </x:c>
    </x:row>
    <x:row r="8198" ht="18" customHeight="1">
      <x:c r="A8198" t="str">
        <x:v>CA-2015-141327</x:v>
      </x:c>
      <x:c r="B8198" s="18" t="n">
        <x:v>42338</x:v>
      </x:c>
      <x:c r="C8198" t="str">
        <x:v>LR-16915</x:v>
      </x:c>
      <x:c r="D8198" t="str">
        <x:v>Lena Radford</x:v>
      </x:c>
      <x:c r="E8198" t="str">
        <x:v>Consumer</x:v>
      </x:c>
      <x:c r="F8198" t="str">
        <x:v>South</x:v>
      </x:c>
      <x:c r="G8198" t="str">
        <x:v>Office Supplies</x:v>
      </x:c>
      <x:c r="H8198" t="str">
        <x:v>Appliances</x:v>
      </x:c>
      <x:c r="I8198" s="22" t="n">
        <x:v>98.352</x:v>
      </x:c>
      <x:c r="J8198" s="24" t="n">
        <x:v>3</x:v>
      </x:c>
      <x:c r="K8198" s="26" t="n">
        <x:v>0.2</x:v>
      </x:c>
      <x:c r="L8198" s="22" t="n">
        <x:v>9.835199999999993</x:v>
      </x:c>
      <x:c r="M8198" t="n">
        <x:v>2015</x:v>
      </x:c>
      <x:c r="N8198" s="20" t="n">
        <x:v>42309</x:v>
      </x:c>
    </x:row>
    <x:row r="8199" ht="18" customHeight="1">
      <x:c r="A8199" t="str">
        <x:v>CA-2015-141327</x:v>
      </x:c>
      <x:c r="B8199" s="18" t="n">
        <x:v>42338</x:v>
      </x:c>
      <x:c r="C8199" t="str">
        <x:v>LR-16915</x:v>
      </x:c>
      <x:c r="D8199" t="str">
        <x:v>Lena Radford</x:v>
      </x:c>
      <x:c r="E8199" t="str">
        <x:v>Consumer</x:v>
      </x:c>
      <x:c r="F8199" t="str">
        <x:v>South</x:v>
      </x:c>
      <x:c r="G8199" t="str">
        <x:v>Furniture</x:v>
      </x:c>
      <x:c r="H8199" t="str">
        <x:v>Furnishings</x:v>
      </x:c>
      <x:c r="I8199" s="22" t="n">
        <x:v>335.744</x:v>
      </x:c>
      <x:c r="J8199" s="24" t="n">
        <x:v>2</x:v>
      </x:c>
      <x:c r="K8199" s="26" t="n">
        <x:v>0.2</x:v>
      </x:c>
      <x:c r="L8199" s="22" t="n">
        <x:v>25.180800000000005</x:v>
      </x:c>
      <x:c r="M8199" t="n">
        <x:v>2015</x:v>
      </x:c>
      <x:c r="N8199" s="20" t="n">
        <x:v>42309</x:v>
      </x:c>
    </x:row>
    <x:row r="8200" ht="18" customHeight="1">
      <x:c r="A8200" t="str">
        <x:v>CA-2015-136700</x:v>
      </x:c>
      <x:c r="B8200" s="18" t="n">
        <x:v>42344</x:v>
      </x:c>
      <x:c r="C8200" t="str">
        <x:v>DB-13120</x:v>
      </x:c>
      <x:c r="D8200" t="str">
        <x:v>David Bremer</x:v>
      </x:c>
      <x:c r="E8200" t="str">
        <x:v>Corporate</x:v>
      </x:c>
      <x:c r="F8200" t="str">
        <x:v>West</x:v>
      </x:c>
      <x:c r="G8200" t="str">
        <x:v>Office Supplies</x:v>
      </x:c>
      <x:c r="H8200" t="str">
        <x:v>Paper</x:v>
      </x:c>
      <x:c r="I8200" s="22" t="n">
        <x:v>8.96</x:v>
      </x:c>
      <x:c r="J8200" s="24" t="n">
        <x:v>2</x:v>
      </x:c>
      <x:c r="K8200" s="26" t="n">
        <x:v>0</x:v>
      </x:c>
      <x:c r="L8200" s="22" t="n">
        <x:v>4.3904000000000005</x:v>
      </x:c>
      <x:c r="M8200" t="n">
        <x:v>2015</x:v>
      </x:c>
      <x:c r="N8200" s="20" t="n">
        <x:v>42339</x:v>
      </x:c>
    </x:row>
    <x:row r="8201" ht="18" customHeight="1">
      <x:c r="A8201" t="str">
        <x:v>CA-2017-102736</x:v>
      </x:c>
      <x:c r="B8201" s="18" t="n">
        <x:v>42983</x:v>
      </x:c>
      <x:c r="C8201" t="str">
        <x:v>LP-17095</x:v>
      </x:c>
      <x:c r="D8201" t="str">
        <x:v>Liz Preis</x:v>
      </x:c>
      <x:c r="E8201" t="str">
        <x:v>Consumer</x:v>
      </x:c>
      <x:c r="F8201" t="str">
        <x:v>South</x:v>
      </x:c>
      <x:c r="G8201" t="str">
        <x:v>Technology</x:v>
      </x:c>
      <x:c r="H8201" t="str">
        <x:v>Accessories</x:v>
      </x:c>
      <x:c r="I8201" s="22" t="n">
        <x:v>89.568</x:v>
      </x:c>
      <x:c r="J8201" s="24" t="n">
        <x:v>4</x:v>
      </x:c>
      <x:c r="K8201" s="26" t="n">
        <x:v>0.2</x:v>
      </x:c>
      <x:c r="L8201" s="22" t="n">
        <x:v>-1.119600000000009</x:v>
      </x:c>
      <x:c r="M8201" t="n">
        <x:v>2017</x:v>
      </x:c>
      <x:c r="N8201" s="20" t="n">
        <x:v>42979</x:v>
      </x:c>
    </x:row>
    <x:row r="8202" ht="18" customHeight="1">
      <x:c r="A8202" t="str">
        <x:v>CA-2017-102736</x:v>
      </x:c>
      <x:c r="B8202" s="18" t="n">
        <x:v>42983</x:v>
      </x:c>
      <x:c r="C8202" t="str">
        <x:v>LP-17095</x:v>
      </x:c>
      <x:c r="D8202" t="str">
        <x:v>Liz Preis</x:v>
      </x:c>
      <x:c r="E8202" t="str">
        <x:v>Consumer</x:v>
      </x:c>
      <x:c r="F8202" t="str">
        <x:v>South</x:v>
      </x:c>
      <x:c r="G8202" t="str">
        <x:v>Office Supplies</x:v>
      </x:c>
      <x:c r="H8202" t="str">
        <x:v>Art</x:v>
      </x:c>
      <x:c r="I8202" s="22" t="n">
        <x:v>71.96</x:v>
      </x:c>
      <x:c r="J8202" s="24" t="n">
        <x:v>5</x:v>
      </x:c>
      <x:c r="K8202" s="26" t="n">
        <x:v>0.2</x:v>
      </x:c>
      <x:c r="L8202" s="22" t="n">
        <x:v>7.1960000000000015</x:v>
      </x:c>
      <x:c r="M8202" t="n">
        <x:v>2017</x:v>
      </x:c>
      <x:c r="N8202" s="20" t="n">
        <x:v>42979</x:v>
      </x:c>
    </x:row>
    <x:row r="8203" ht="18" customHeight="1">
      <x:c r="A8203" t="str">
        <x:v>CA-2017-102736</x:v>
      </x:c>
      <x:c r="B8203" s="18" t="n">
        <x:v>42983</x:v>
      </x:c>
      <x:c r="C8203" t="str">
        <x:v>LP-17095</x:v>
      </x:c>
      <x:c r="D8203" t="str">
        <x:v>Liz Preis</x:v>
      </x:c>
      <x:c r="E8203" t="str">
        <x:v>Consumer</x:v>
      </x:c>
      <x:c r="F8203" t="str">
        <x:v>South</x:v>
      </x:c>
      <x:c r="G8203" t="str">
        <x:v>Office Supplies</x:v>
      </x:c>
      <x:c r="H8203" t="str">
        <x:v>Paper</x:v>
      </x:c>
      <x:c r="I8203" s="22" t="n">
        <x:v>15.552000000000003</x:v>
      </x:c>
      <x:c r="J8203" s="24" t="n">
        <x:v>3</x:v>
      </x:c>
      <x:c r="K8203" s="26" t="n">
        <x:v>0.2</x:v>
      </x:c>
      <x:c r="L8203" s="22" t="n">
        <x:v>5.4432</x:v>
      </x:c>
      <x:c r="M8203" t="n">
        <x:v>2017</x:v>
      </x:c>
      <x:c r="N8203" s="20" t="n">
        <x:v>42979</x:v>
      </x:c>
    </x:row>
    <x:row r="8204" ht="18" customHeight="1">
      <x:c r="A8204" t="str">
        <x:v>CA-2017-125269</x:v>
      </x:c>
      <x:c r="B8204" s="18" t="n">
        <x:v>42849</x:v>
      </x:c>
      <x:c r="C8204" t="str">
        <x:v>AF-10870</x:v>
      </x:c>
      <x:c r="D8204" t="str">
        <x:v>Art Ferguson</x:v>
      </x:c>
      <x:c r="E8204" t="str">
        <x:v>Consumer</x:v>
      </x:c>
      <x:c r="F8204" t="str">
        <x:v>Central</x:v>
      </x:c>
      <x:c r="G8204" t="str">
        <x:v>Office Supplies</x:v>
      </x:c>
      <x:c r="H8204" t="str">
        <x:v>Binders</x:v>
      </x:c>
      <x:c r="I8204" s="22" t="n">
        <x:v>10.429999999999996</x:v>
      </x:c>
      <x:c r="J8204" s="24" t="n">
        <x:v>5</x:v>
      </x:c>
      <x:c r="K8204" s="26" t="n">
        <x:v>0.8</x:v>
      </x:c>
      <x:c r="L8204" s="22" t="n">
        <x:v>-18.2525</x:v>
      </x:c>
      <x:c r="M8204" t="n">
        <x:v>2017</x:v>
      </x:c>
      <x:c r="N8204" s="20" t="n">
        <x:v>42826</x:v>
      </x:c>
    </x:row>
    <x:row r="8205" ht="18" customHeight="1">
      <x:c r="A8205" t="str">
        <x:v>CA-2017-125269</x:v>
      </x:c>
      <x:c r="B8205" s="18" t="n">
        <x:v>42849</x:v>
      </x:c>
      <x:c r="C8205" t="str">
        <x:v>AF-10870</x:v>
      </x:c>
      <x:c r="D8205" t="str">
        <x:v>Art Ferguson</x:v>
      </x:c>
      <x:c r="E8205" t="str">
        <x:v>Consumer</x:v>
      </x:c>
      <x:c r="F8205" t="str">
        <x:v>Central</x:v>
      </x:c>
      <x:c r="G8205" t="str">
        <x:v>Office Supplies</x:v>
      </x:c>
      <x:c r="H8205" t="str">
        <x:v>Storage</x:v>
      </x:c>
      <x:c r="I8205" s="22" t="n">
        <x:v>72.784</x:v>
      </x:c>
      <x:c r="J8205" s="24" t="n">
        <x:v>1</x:v>
      </x:c>
      <x:c r="K8205" s="26" t="n">
        <x:v>0.2</x:v>
      </x:c>
      <x:c r="L8205" s="22" t="n">
        <x:v>-18.196</x:v>
      </x:c>
      <x:c r="M8205" t="n">
        <x:v>2017</x:v>
      </x:c>
      <x:c r="N8205" s="20" t="n">
        <x:v>42826</x:v>
      </x:c>
    </x:row>
    <x:row r="8206" ht="18" customHeight="1">
      <x:c r="A8206" t="str">
        <x:v>CA-2015-114811</x:v>
      </x:c>
      <x:c r="B8206" s="18" t="n">
        <x:v>42316</x:v>
      </x:c>
      <x:c r="C8206" t="str">
        <x:v>KD-16495</x:v>
      </x:c>
      <x:c r="D8206" t="str">
        <x:v>Keith Dawkins</x:v>
      </x:c>
      <x:c r="E8206" t="str">
        <x:v>Corporate</x:v>
      </x:c>
      <x:c r="F8206" t="str">
        <x:v>East</x:v>
      </x:c>
      <x:c r="G8206" t="str">
        <x:v>Office Supplies</x:v>
      </x:c>
      <x:c r="H8206" t="str">
        <x:v>Storage</x:v>
      </x:c>
      <x:c r="I8206" s="22" t="n">
        <x:v>67.15</x:v>
      </x:c>
      <x:c r="J8206" s="24" t="n">
        <x:v>5</x:v>
      </x:c>
      <x:c r="K8206" s="26" t="n">
        <x:v>0</x:v>
      </x:c>
      <x:c r="L8206" s="22" t="n">
        <x:v>16.7875</x:v>
      </x:c>
      <x:c r="M8206" t="n">
        <x:v>2015</x:v>
      </x:c>
      <x:c r="N8206" s="20" t="n">
        <x:v>42309</x:v>
      </x:c>
    </x:row>
    <x:row r="8207" ht="18" customHeight="1">
      <x:c r="A8207" t="str">
        <x:v>CA-2015-114811</x:v>
      </x:c>
      <x:c r="B8207" s="18" t="n">
        <x:v>42316</x:v>
      </x:c>
      <x:c r="C8207" t="str">
        <x:v>KD-16495</x:v>
      </x:c>
      <x:c r="D8207" t="str">
        <x:v>Keith Dawkins</x:v>
      </x:c>
      <x:c r="E8207" t="str">
        <x:v>Corporate</x:v>
      </x:c>
      <x:c r="F8207" t="str">
        <x:v>East</x:v>
      </x:c>
      <x:c r="G8207" t="str">
        <x:v>Technology</x:v>
      </x:c>
      <x:c r="H8207" t="str">
        <x:v>Phones</x:v>
      </x:c>
      <x:c r="I8207" s="22" t="n">
        <x:v>549.98</x:v>
      </x:c>
      <x:c r="J8207" s="24" t="n">
        <x:v>2</x:v>
      </x:c>
      <x:c r="K8207" s="26" t="n">
        <x:v>0</x:v>
      </x:c>
      <x:c r="L8207" s="22" t="n">
        <x:v>142.9948</x:v>
      </x:c>
      <x:c r="M8207" t="n">
        <x:v>2015</x:v>
      </x:c>
      <x:c r="N8207" s="20" t="n">
        <x:v>42309</x:v>
      </x:c>
    </x:row>
    <x:row r="8208" ht="18" customHeight="1">
      <x:c r="A8208" t="str">
        <x:v>CA-2015-114811</x:v>
      </x:c>
      <x:c r="B8208" s="18" t="n">
        <x:v>42316</x:v>
      </x:c>
      <x:c r="C8208" t="str">
        <x:v>KD-16495</x:v>
      </x:c>
      <x:c r="D8208" t="str">
        <x:v>Keith Dawkins</x:v>
      </x:c>
      <x:c r="E8208" t="str">
        <x:v>Corporate</x:v>
      </x:c>
      <x:c r="F8208" t="str">
        <x:v>East</x:v>
      </x:c>
      <x:c r="G8208" t="str">
        <x:v>Furniture</x:v>
      </x:c>
      <x:c r="H8208" t="str">
        <x:v>Furnishings</x:v>
      </x:c>
      <x:c r="I8208" s="22" t="n">
        <x:v>11.82</x:v>
      </x:c>
      <x:c r="J8208" s="24" t="n">
        <x:v>3</x:v>
      </x:c>
      <x:c r="K8208" s="26" t="n">
        <x:v>0</x:v>
      </x:c>
      <x:c r="L8208" s="22" t="n">
        <x:v>4.728</x:v>
      </x:c>
      <x:c r="M8208" t="n">
        <x:v>2015</x:v>
      </x:c>
      <x:c r="N8208" s="20" t="n">
        <x:v>42309</x:v>
      </x:c>
    </x:row>
    <x:row r="8209" ht="18" customHeight="1">
      <x:c r="A8209" t="str">
        <x:v>CA-2015-114811</x:v>
      </x:c>
      <x:c r="B8209" s="18" t="n">
        <x:v>42316</x:v>
      </x:c>
      <x:c r="C8209" t="str">
        <x:v>KD-16495</x:v>
      </x:c>
      <x:c r="D8209" t="str">
        <x:v>Keith Dawkins</x:v>
      </x:c>
      <x:c r="E8209" t="str">
        <x:v>Corporate</x:v>
      </x:c>
      <x:c r="F8209" t="str">
        <x:v>East</x:v>
      </x:c>
      <x:c r="G8209" t="str">
        <x:v>Technology</x:v>
      </x:c>
      <x:c r="H8209" t="str">
        <x:v>Machines</x:v>
      </x:c>
      <x:c r="I8209" s="22" t="n">
        <x:v>4643.8</x:v>
      </x:c>
      <x:c r="J8209" s="24" t="n">
        <x:v>4</x:v>
      </x:c>
      <x:c r="K8209" s="26" t="n">
        <x:v>0</x:v>
      </x:c>
      <x:c r="L8209" s="22" t="n">
        <x:v>2229.024</x:v>
      </x:c>
      <x:c r="M8209" t="n">
        <x:v>2015</x:v>
      </x:c>
      <x:c r="N8209" s="20" t="n">
        <x:v>42309</x:v>
      </x:c>
    </x:row>
    <x:row r="8210" ht="18" customHeight="1">
      <x:c r="A8210" t="str">
        <x:v>CA-2015-114811</x:v>
      </x:c>
      <x:c r="B8210" s="18" t="n">
        <x:v>42316</x:v>
      </x:c>
      <x:c r="C8210" t="str">
        <x:v>KD-16495</x:v>
      </x:c>
      <x:c r="D8210" t="str">
        <x:v>Keith Dawkins</x:v>
      </x:c>
      <x:c r="E8210" t="str">
        <x:v>Corporate</x:v>
      </x:c>
      <x:c r="F8210" t="str">
        <x:v>East</x:v>
      </x:c>
      <x:c r="G8210" t="str">
        <x:v>Furniture</x:v>
      </x:c>
      <x:c r="H8210" t="str">
        <x:v>Chairs</x:v>
      </x:c>
      <x:c r="I8210" s="22" t="n">
        <x:v>577.764</x:v>
      </x:c>
      <x:c r="J8210" s="24" t="n">
        <x:v>2</x:v>
      </x:c>
      <x:c r="K8210" s="26" t="n">
        <x:v>0.1</x:v>
      </x:c>
      <x:c r="L8210" s="22" t="n">
        <x:v>115.5528</x:v>
      </x:c>
      <x:c r="M8210" t="n">
        <x:v>2015</x:v>
      </x:c>
      <x:c r="N8210" s="20" t="n">
        <x:v>42309</x:v>
      </x:c>
    </x:row>
    <x:row r="8211" ht="18" customHeight="1">
      <x:c r="A8211" t="str">
        <x:v>CA-2015-122266</x:v>
      </x:c>
      <x:c r="B8211" s="18" t="n">
        <x:v>42120</x:v>
      </x:c>
      <x:c r="C8211" t="str">
        <x:v>SA-20830</x:v>
      </x:c>
      <x:c r="D8211" t="str">
        <x:v>Sue Ann Reed</x:v>
      </x:c>
      <x:c r="E8211" t="str">
        <x:v>Consumer</x:v>
      </x:c>
      <x:c r="F8211" t="str">
        <x:v>South</x:v>
      </x:c>
      <x:c r="G8211" t="str">
        <x:v>Furniture</x:v>
      </x:c>
      <x:c r="H8211" t="str">
        <x:v>Tables</x:v>
      </x:c>
      <x:c r="I8211" s="22" t="n">
        <x:v>191.5155</x:v>
      </x:c>
      <x:c r="J8211" s="24" t="n">
        <x:v>1</x:v>
      </x:c>
      <x:c r="K8211" s="26" t="n">
        <x:v>0.45</x:v>
      </x:c>
      <x:c r="L8211" s="22" t="n">
        <x:v>-76.6062</x:v>
      </x:c>
      <x:c r="M8211" t="n">
        <x:v>2015</x:v>
      </x:c>
      <x:c r="N8211" s="20" t="n">
        <x:v>42095</x:v>
      </x:c>
    </x:row>
    <x:row r="8212" ht="18" customHeight="1">
      <x:c r="A8212" t="str">
        <x:v>CA-2015-122266</x:v>
      </x:c>
      <x:c r="B8212" s="18" t="n">
        <x:v>42120</x:v>
      </x:c>
      <x:c r="C8212" t="str">
        <x:v>SA-20830</x:v>
      </x:c>
      <x:c r="D8212" t="str">
        <x:v>Sue Ann Reed</x:v>
      </x:c>
      <x:c r="E8212" t="str">
        <x:v>Consumer</x:v>
      </x:c>
      <x:c r="F8212" t="str">
        <x:v>South</x:v>
      </x:c>
      <x:c r="G8212" t="str">
        <x:v>Office Supplies</x:v>
      </x:c>
      <x:c r="H8212" t="str">
        <x:v>Art</x:v>
      </x:c>
      <x:c r="I8212" s="22" t="n">
        <x:v>2.624</x:v>
      </x:c>
      <x:c r="J8212" s="24" t="n">
        <x:v>1</x:v>
      </x:c>
      <x:c r="K8212" s="26" t="n">
        <x:v>0.2</x:v>
      </x:c>
      <x:c r="L8212" s="22" t="n">
        <x:v>0.4263999999999998</x:v>
      </x:c>
      <x:c r="M8212" t="n">
        <x:v>2015</x:v>
      </x:c>
      <x:c r="N8212" s="20" t="n">
        <x:v>42095</x:v>
      </x:c>
    </x:row>
    <x:row r="8213" ht="18" customHeight="1">
      <x:c r="A8213" t="str">
        <x:v>CA-2015-141565</x:v>
      </x:c>
      <x:c r="B8213" s="18" t="n">
        <x:v>42267</x:v>
      </x:c>
      <x:c r="C8213" t="str">
        <x:v>BG-11035</x:v>
      </x:c>
      <x:c r="D8213" t="str">
        <x:v>Barry Gonzalez</x:v>
      </x:c>
      <x:c r="E8213" t="str">
        <x:v>Consumer</x:v>
      </x:c>
      <x:c r="F8213" t="str">
        <x:v>South</x:v>
      </x:c>
      <x:c r="G8213" t="str">
        <x:v>Office Supplies</x:v>
      </x:c>
      <x:c r="H8213" t="str">
        <x:v>Binders</x:v>
      </x:c>
      <x:c r="I8213" s="22" t="n">
        <x:v>1369.7640000000001</x:v>
      </x:c>
      <x:c r="J8213" s="24" t="n">
        <x:v>6</x:v>
      </x:c>
      <x:c r="K8213" s="26" t="n">
        <x:v>0.7</x:v>
      </x:c>
      <x:c r="L8213" s="22" t="n">
        <x:v>-913.1759999999999</x:v>
      </x:c>
      <x:c r="M8213" t="n">
        <x:v>2015</x:v>
      </x:c>
      <x:c r="N8213" s="20" t="n">
        <x:v>42248</x:v>
      </x:c>
    </x:row>
    <x:row r="8214" ht="18" customHeight="1">
      <x:c r="A8214" t="str">
        <x:v>CA-2015-141565</x:v>
      </x:c>
      <x:c r="B8214" s="18" t="n">
        <x:v>42267</x:v>
      </x:c>
      <x:c r="C8214" t="str">
        <x:v>BG-11035</x:v>
      </x:c>
      <x:c r="D8214" t="str">
        <x:v>Barry Gonzalez</x:v>
      </x:c>
      <x:c r="E8214" t="str">
        <x:v>Consumer</x:v>
      </x:c>
      <x:c r="F8214" t="str">
        <x:v>South</x:v>
      </x:c>
      <x:c r="G8214" t="str">
        <x:v>Office Supplies</x:v>
      </x:c>
      <x:c r="H8214" t="str">
        <x:v>Storage</x:v>
      </x:c>
      <x:c r="I8214" s="22" t="n">
        <x:v>294.368</x:v>
      </x:c>
      <x:c r="J8214" s="24" t="n">
        <x:v>4</x:v>
      </x:c>
      <x:c r="K8214" s="26" t="n">
        <x:v>0.2</x:v>
      </x:c>
      <x:c r="L8214" s="22" t="n">
        <x:v>-58.873600000000025</x:v>
      </x:c>
      <x:c r="M8214" t="n">
        <x:v>2015</x:v>
      </x:c>
      <x:c r="N8214" s="20" t="n">
        <x:v>42248</x:v>
      </x:c>
    </x:row>
    <x:row r="8215" ht="18" customHeight="1">
      <x:c r="A8215" t="str">
        <x:v>CA-2017-128769</x:v>
      </x:c>
      <x:c r="B8215" s="18" t="n">
        <x:v>42985</x:v>
      </x:c>
      <x:c r="C8215" t="str">
        <x:v>DM-12955</x:v>
      </x:c>
      <x:c r="D8215" t="str">
        <x:v>Dario Medina</x:v>
      </x:c>
      <x:c r="E8215" t="str">
        <x:v>Corporate</x:v>
      </x:c>
      <x:c r="F8215" t="str">
        <x:v>South</x:v>
      </x:c>
      <x:c r="G8215" t="str">
        <x:v>Office Supplies</x:v>
      </x:c>
      <x:c r="H8215" t="str">
        <x:v>Appliances</x:v>
      </x:c>
      <x:c r="I8215" s="22" t="n">
        <x:v>81.568</x:v>
      </x:c>
      <x:c r="J8215" s="24" t="n">
        <x:v>2</x:v>
      </x:c>
      <x:c r="K8215" s="26" t="n">
        <x:v>0.2</x:v>
      </x:c>
      <x:c r="L8215" s="22" t="n">
        <x:v>7.1372000000000035</x:v>
      </x:c>
      <x:c r="M8215" t="n">
        <x:v>2017</x:v>
      </x:c>
      <x:c r="N8215" s="20" t="n">
        <x:v>42979</x:v>
      </x:c>
    </x:row>
    <x:row r="8216" ht="18" customHeight="1">
      <x:c r="A8216" t="str">
        <x:v>CA-2016-116337</x:v>
      </x:c>
      <x:c r="B8216" s="18" t="n">
        <x:v>42681</x:v>
      </x:c>
      <x:c r="C8216" t="str">
        <x:v>MC-17845</x:v>
      </x:c>
      <x:c r="D8216" t="str">
        <x:v>Michael Chen</x:v>
      </x:c>
      <x:c r="E8216" t="str">
        <x:v>Consumer</x:v>
      </x:c>
      <x:c r="F8216" t="str">
        <x:v>Central</x:v>
      </x:c>
      <x:c r="G8216" t="str">
        <x:v>Furniture</x:v>
      </x:c>
      <x:c r="H8216" t="str">
        <x:v>Furnishings</x:v>
      </x:c>
      <x:c r="I8216" s="22" t="n">
        <x:v>44.46000000000001</x:v>
      </x:c>
      <x:c r="J8216" s="24" t="n">
        <x:v>5</x:v>
      </x:c>
      <x:c r="K8216" s="26" t="n">
        <x:v>0.6</x:v>
      </x:c>
      <x:c r="L8216" s="22" t="n">
        <x:v>-17.783999999999992</x:v>
      </x:c>
      <x:c r="M8216" t="n">
        <x:v>2016</x:v>
      </x:c>
      <x:c r="N8216" s="20" t="n">
        <x:v>42675</x:v>
      </x:c>
    </x:row>
    <x:row r="8217" ht="18" customHeight="1">
      <x:c r="A8217" t="str">
        <x:v>CA-2016-116337</x:v>
      </x:c>
      <x:c r="B8217" s="18" t="n">
        <x:v>42681</x:v>
      </x:c>
      <x:c r="C8217" t="str">
        <x:v>MC-17845</x:v>
      </x:c>
      <x:c r="D8217" t="str">
        <x:v>Michael Chen</x:v>
      </x:c>
      <x:c r="E8217" t="str">
        <x:v>Consumer</x:v>
      </x:c>
      <x:c r="F8217" t="str">
        <x:v>Central</x:v>
      </x:c>
      <x:c r="G8217" t="str">
        <x:v>Office Supplies</x:v>
      </x:c>
      <x:c r="H8217" t="str">
        <x:v>Storage</x:v>
      </x:c>
      <x:c r="I8217" s="22" t="n">
        <x:v>314.088</x:v>
      </x:c>
      <x:c r="J8217" s="24" t="n">
        <x:v>3</x:v>
      </x:c>
      <x:c r="K8217" s="26" t="n">
        <x:v>0.2</x:v>
      </x:c>
      <x:c r="L8217" s="22" t="n">
        <x:v>19.630499999999998</x:v>
      </x:c>
      <x:c r="M8217" t="n">
        <x:v>2016</x:v>
      </x:c>
      <x:c r="N8217" s="20" t="n">
        <x:v>42675</x:v>
      </x:c>
    </x:row>
    <x:row r="8218" ht="18" customHeight="1">
      <x:c r="A8218" t="str">
        <x:v>CA-2015-120845</x:v>
      </x:c>
      <x:c r="B8218" s="18" t="n">
        <x:v>42272</x:v>
      </x:c>
      <x:c r="C8218" t="str">
        <x:v>ML-17395</x:v>
      </x:c>
      <x:c r="D8218" t="str">
        <x:v>Marina Lichtenstein</x:v>
      </x:c>
      <x:c r="E8218" t="str">
        <x:v>Corporate</x:v>
      </x:c>
      <x:c r="F8218" t="str">
        <x:v>South</x:v>
      </x:c>
      <x:c r="G8218" t="str">
        <x:v>Office Supplies</x:v>
      </x:c>
      <x:c r="H8218" t="str">
        <x:v>Binders</x:v>
      </x:c>
      <x:c r="I8218" s="22" t="n">
        <x:v>6.336000000000001</x:v>
      </x:c>
      <x:c r="J8218" s="24" t="n">
        <x:v>4</x:v>
      </x:c>
      <x:c r="K8218" s="26" t="n">
        <x:v>0.7</x:v>
      </x:c>
      <x:c r="L8218" s="22" t="n">
        <x:v>-4.646399999999998</x:v>
      </x:c>
      <x:c r="M8218" t="n">
        <x:v>2015</x:v>
      </x:c>
      <x:c r="N8218" s="20" t="n">
        <x:v>42248</x:v>
      </x:c>
    </x:row>
    <x:row r="8219" ht="18" customHeight="1">
      <x:c r="A8219" t="str">
        <x:v>CA-2015-120845</x:v>
      </x:c>
      <x:c r="B8219" s="18" t="n">
        <x:v>42272</x:v>
      </x:c>
      <x:c r="C8219" t="str">
        <x:v>ML-17395</x:v>
      </x:c>
      <x:c r="D8219" t="str">
        <x:v>Marina Lichtenstein</x:v>
      </x:c>
      <x:c r="E8219" t="str">
        <x:v>Corporate</x:v>
      </x:c>
      <x:c r="F8219" t="str">
        <x:v>South</x:v>
      </x:c>
      <x:c r="G8219" t="str">
        <x:v>Office Supplies</x:v>
      </x:c>
      <x:c r="H8219" t="str">
        <x:v>Paper</x:v>
      </x:c>
      <x:c r="I8219" s="22" t="n">
        <x:v>10.48</x:v>
      </x:c>
      <x:c r="J8219" s="24" t="n">
        <x:v>1</x:v>
      </x:c>
      <x:c r="K8219" s="26" t="n">
        <x:v>0.2</x:v>
      </x:c>
      <x:c r="L8219" s="22" t="n">
        <x:v>3.7989999999999995</x:v>
      </x:c>
      <x:c r="M8219" t="n">
        <x:v>2015</x:v>
      </x:c>
      <x:c r="N8219" s="20" t="n">
        <x:v>42248</x:v>
      </x:c>
    </x:row>
    <x:row r="8220" ht="18" customHeight="1">
      <x:c r="A8220" t="str">
        <x:v>CA-2015-120845</x:v>
      </x:c>
      <x:c r="B8220" s="18" t="n">
        <x:v>42272</x:v>
      </x:c>
      <x:c r="C8220" t="str">
        <x:v>ML-17395</x:v>
      </x:c>
      <x:c r="D8220" t="str">
        <x:v>Marina Lichtenstein</x:v>
      </x:c>
      <x:c r="E8220" t="str">
        <x:v>Corporate</x:v>
      </x:c>
      <x:c r="F8220" t="str">
        <x:v>South</x:v>
      </x:c>
      <x:c r="G8220" t="str">
        <x:v>Office Supplies</x:v>
      </x:c>
      <x:c r="H8220" t="str">
        <x:v>Binders</x:v>
      </x:c>
      <x:c r="I8220" s="22" t="n">
        <x:v>2.4690000000000003</x:v>
      </x:c>
      <x:c r="J8220" s="24" t="n">
        <x:v>1</x:v>
      </x:c>
      <x:c r="K8220" s="26" t="n">
        <x:v>0.7</x:v>
      </x:c>
      <x:c r="L8220" s="22" t="n">
        <x:v>-1.8106</x:v>
      </x:c>
      <x:c r="M8220" t="n">
        <x:v>2015</x:v>
      </x:c>
      <x:c r="N8220" s="20" t="n">
        <x:v>42248</x:v>
      </x:c>
    </x:row>
    <x:row r="8221" ht="18" customHeight="1">
      <x:c r="A8221" t="str">
        <x:v>CA-2015-120845</x:v>
      </x:c>
      <x:c r="B8221" s="18" t="n">
        <x:v>42272</x:v>
      </x:c>
      <x:c r="C8221" t="str">
        <x:v>ML-17395</x:v>
      </x:c>
      <x:c r="D8221" t="str">
        <x:v>Marina Lichtenstein</x:v>
      </x:c>
      <x:c r="E8221" t="str">
        <x:v>Corporate</x:v>
      </x:c>
      <x:c r="F8221" t="str">
        <x:v>South</x:v>
      </x:c>
      <x:c r="G8221" t="str">
        <x:v>Office Supplies</x:v>
      </x:c>
      <x:c r="H8221" t="str">
        <x:v>Binders</x:v>
      </x:c>
      <x:c r="I8221" s="22" t="n">
        <x:v>3.2640000000000007</x:v>
      </x:c>
      <x:c r="J8221" s="24" t="n">
        <x:v>2</x:v>
      </x:c>
      <x:c r="K8221" s="26" t="n">
        <x:v>0.7</x:v>
      </x:c>
      <x:c r="L8221" s="22" t="n">
        <x:v>-2.2847999999999997</x:v>
      </x:c>
      <x:c r="M8221" t="n">
        <x:v>2015</x:v>
      </x:c>
      <x:c r="N8221" s="20" t="n">
        <x:v>42248</x:v>
      </x:c>
    </x:row>
    <x:row r="8222" ht="18" customHeight="1">
      <x:c r="A8222" t="str">
        <x:v>CA-2014-120775</x:v>
      </x:c>
      <x:c r="B8222" s="18" t="n">
        <x:v>41915</x:v>
      </x:c>
      <x:c r="C8222" t="str">
        <x:v>RD-19930</x:v>
      </x:c>
      <x:c r="D8222" t="str">
        <x:v>Russell D'Ascenzo</x:v>
      </x:c>
      <x:c r="E8222" t="str">
        <x:v>Consumer</x:v>
      </x:c>
      <x:c r="F8222" t="str">
        <x:v>Central</x:v>
      </x:c>
      <x:c r="G8222" t="str">
        <x:v>Office Supplies</x:v>
      </x:c>
      <x:c r="H8222" t="str">
        <x:v>Fasteners</x:v>
      </x:c>
      <x:c r="I8222" s="22" t="n">
        <x:v>4.344</x:v>
      </x:c>
      <x:c r="J8222" s="24" t="n">
        <x:v>3</x:v>
      </x:c>
      <x:c r="K8222" s="26" t="n">
        <x:v>0.2</x:v>
      </x:c>
      <x:c r="L8222" s="22" t="n">
        <x:v>0.8687999999999998</x:v>
      </x:c>
      <x:c r="M8222" t="n">
        <x:v>2014</x:v>
      </x:c>
      <x:c r="N8222" s="20" t="n">
        <x:v>41913</x:v>
      </x:c>
    </x:row>
    <x:row r="8223" ht="18" customHeight="1">
      <x:c r="A8223" t="str">
        <x:v>CA-2014-120775</x:v>
      </x:c>
      <x:c r="B8223" s="18" t="n">
        <x:v>41915</x:v>
      </x:c>
      <x:c r="C8223" t="str">
        <x:v>RD-19930</x:v>
      </x:c>
      <x:c r="D8223" t="str">
        <x:v>Russell D'Ascenzo</x:v>
      </x:c>
      <x:c r="E8223" t="str">
        <x:v>Consumer</x:v>
      </x:c>
      <x:c r="F8223" t="str">
        <x:v>Central</x:v>
      </x:c>
      <x:c r="G8223" t="str">
        <x:v>Furniture</x:v>
      </x:c>
      <x:c r="H8223" t="str">
        <x:v>Furnishings</x:v>
      </x:c>
      <x:c r="I8223" s="22" t="n">
        <x:v>31.776000000000003</x:v>
      </x:c>
      <x:c r="J8223" s="24" t="n">
        <x:v>3</x:v>
      </x:c>
      <x:c r="K8223" s="26" t="n">
        <x:v>0.6</x:v>
      </x:c>
      <x:c r="L8223" s="22" t="n">
        <x:v>-19.065600000000007</x:v>
      </x:c>
      <x:c r="M8223" t="n">
        <x:v>2014</x:v>
      </x:c>
      <x:c r="N8223" s="20" t="n">
        <x:v>41913</x:v>
      </x:c>
    </x:row>
    <x:row r="8224" ht="18" customHeight="1">
      <x:c r="A8224" t="str">
        <x:v>CA-2014-120775</x:v>
      </x:c>
      <x:c r="B8224" s="18" t="n">
        <x:v>41915</x:v>
      </x:c>
      <x:c r="C8224" t="str">
        <x:v>RD-19930</x:v>
      </x:c>
      <x:c r="D8224" t="str">
        <x:v>Russell D'Ascenzo</x:v>
      </x:c>
      <x:c r="E8224" t="str">
        <x:v>Consumer</x:v>
      </x:c>
      <x:c r="F8224" t="str">
        <x:v>Central</x:v>
      </x:c>
      <x:c r="G8224" t="str">
        <x:v>Office Supplies</x:v>
      </x:c>
      <x:c r="H8224" t="str">
        <x:v>Labels</x:v>
      </x:c>
      <x:c r="I8224" s="22" t="n">
        <x:v>4.928000000000001</x:v>
      </x:c>
      <x:c r="J8224" s="24" t="n">
        <x:v>2</x:v>
      </x:c>
      <x:c r="K8224" s="26" t="n">
        <x:v>0.2</x:v>
      </x:c>
      <x:c r="L8224" s="22" t="n">
        <x:v>1.7247999999999997</x:v>
      </x:c>
      <x:c r="M8224" t="n">
        <x:v>2014</x:v>
      </x:c>
      <x:c r="N8224" s="20" t="n">
        <x:v>41913</x:v>
      </x:c>
    </x:row>
    <x:row r="8225" ht="18" customHeight="1">
      <x:c r="A8225" t="str">
        <x:v>CA-2014-120775</x:v>
      </x:c>
      <x:c r="B8225" s="18" t="n">
        <x:v>41915</x:v>
      </x:c>
      <x:c r="C8225" t="str">
        <x:v>RD-19930</x:v>
      </x:c>
      <x:c r="D8225" t="str">
        <x:v>Russell D'Ascenzo</x:v>
      </x:c>
      <x:c r="E8225" t="str">
        <x:v>Consumer</x:v>
      </x:c>
      <x:c r="F8225" t="str">
        <x:v>Central</x:v>
      </x:c>
      <x:c r="G8225" t="str">
        <x:v>Office Supplies</x:v>
      </x:c>
      <x:c r="H8225" t="str">
        <x:v>Binders</x:v>
      </x:c>
      <x:c r="I8225" s="22" t="n">
        <x:v>1.7879999999999996</x:v>
      </x:c>
      <x:c r="J8225" s="24" t="n">
        <x:v>3</x:v>
      </x:c>
      <x:c r="K8225" s="26" t="n">
        <x:v>0.8</x:v>
      </x:c>
      <x:c r="L8225" s="22" t="n">
        <x:v>-3.0396</x:v>
      </x:c>
      <x:c r="M8225" t="n">
        <x:v>2014</x:v>
      </x:c>
      <x:c r="N8225" s="20" t="n">
        <x:v>41913</x:v>
      </x:c>
    </x:row>
    <x:row r="8226" ht="18" customHeight="1">
      <x:c r="A8226" t="str">
        <x:v>CA-2014-120775</x:v>
      </x:c>
      <x:c r="B8226" s="18" t="n">
        <x:v>41915</x:v>
      </x:c>
      <x:c r="C8226" t="str">
        <x:v>RD-19930</x:v>
      </x:c>
      <x:c r="D8226" t="str">
        <x:v>Russell D'Ascenzo</x:v>
      </x:c>
      <x:c r="E8226" t="str">
        <x:v>Consumer</x:v>
      </x:c>
      <x:c r="F8226" t="str">
        <x:v>Central</x:v>
      </x:c>
      <x:c r="G8226" t="str">
        <x:v>Office Supplies</x:v>
      </x:c>
      <x:c r="H8226" t="str">
        <x:v>Fasteners</x:v>
      </x:c>
      <x:c r="I8226" s="22" t="n">
        <x:v>15.072000000000001</x:v>
      </x:c>
      <x:c r="J8226" s="24" t="n">
        <x:v>4</x:v>
      </x:c>
      <x:c r="K8226" s="26" t="n">
        <x:v>0.2</x:v>
      </x:c>
      <x:c r="L8226" s="22" t="n">
        <x:v>-3.7680000000000002</x:v>
      </x:c>
      <x:c r="M8226" t="n">
        <x:v>2014</x:v>
      </x:c>
      <x:c r="N8226" s="20" t="n">
        <x:v>41913</x:v>
      </x:c>
    </x:row>
    <x:row r="8227" ht="18" customHeight="1">
      <x:c r="A8227" t="str">
        <x:v>CA-2014-152905</x:v>
      </x:c>
      <x:c r="B8227" s="18" t="n">
        <x:v>41688</x:v>
      </x:c>
      <x:c r="C8227" t="str">
        <x:v>AB-10015</x:v>
      </x:c>
      <x:c r="D8227" t="str">
        <x:v>Aaron Bergman</x:v>
      </x:c>
      <x:c r="E8227" t="str">
        <x:v>Consumer</x:v>
      </x:c>
      <x:c r="F8227" t="str">
        <x:v>Central</x:v>
      </x:c>
      <x:c r="G8227" t="str">
        <x:v>Office Supplies</x:v>
      </x:c>
      <x:c r="H8227" t="str">
        <x:v>Storage</x:v>
      </x:c>
      <x:c r="I8227" s="22" t="n">
        <x:v>12.624</x:v>
      </x:c>
      <x:c r="J8227" s="24" t="n">
        <x:v>2</x:v>
      </x:c>
      <x:c r="K8227" s="26" t="n">
        <x:v>0.2</x:v>
      </x:c>
      <x:c r="L8227" s="22" t="n">
        <x:v>-2.524800000000002</x:v>
      </x:c>
      <x:c r="M8227" t="n">
        <x:v>2014</x:v>
      </x:c>
      <x:c r="N8227" s="20" t="n">
        <x:v>41671</x:v>
      </x:c>
    </x:row>
    <x:row r="8228" ht="18" customHeight="1">
      <x:c r="A8228" t="str">
        <x:v>CA-2016-104633</x:v>
      </x:c>
      <x:c r="B8228" s="18" t="n">
        <x:v>42533</x:v>
      </x:c>
      <x:c r="C8228" t="str">
        <x:v>EA-14035</x:v>
      </x:c>
      <x:c r="D8228" t="str">
        <x:v>Erin Ashbrook</x:v>
      </x:c>
      <x:c r="E8228" t="str">
        <x:v>Corporate</x:v>
      </x:c>
      <x:c r="F8228" t="str">
        <x:v>West</x:v>
      </x:c>
      <x:c r="G8228" t="str">
        <x:v>Office Supplies</x:v>
      </x:c>
      <x:c r="H8228" t="str">
        <x:v>Paper</x:v>
      </x:c>
      <x:c r="I8228" s="22" t="n">
        <x:v>185.88</x:v>
      </x:c>
      <x:c r="J8228" s="24" t="n">
        <x:v>6</x:v>
      </x:c>
      <x:c r="K8228" s="26" t="n">
        <x:v>0</x:v>
      </x:c>
      <x:c r="L8228" s="22" t="n">
        <x:v>83.64599999999999</x:v>
      </x:c>
      <x:c r="M8228" t="n">
        <x:v>2016</x:v>
      </x:c>
      <x:c r="N8228" s="20" t="n">
        <x:v>42522</x:v>
      </x:c>
    </x:row>
    <x:row r="8229" ht="18" customHeight="1">
      <x:c r="A8229" t="str">
        <x:v>CA-2016-104633</x:v>
      </x:c>
      <x:c r="B8229" s="18" t="n">
        <x:v>42533</x:v>
      </x:c>
      <x:c r="C8229" t="str">
        <x:v>EA-14035</x:v>
      </x:c>
      <x:c r="D8229" t="str">
        <x:v>Erin Ashbrook</x:v>
      </x:c>
      <x:c r="E8229" t="str">
        <x:v>Corporate</x:v>
      </x:c>
      <x:c r="F8229" t="str">
        <x:v>West</x:v>
      </x:c>
      <x:c r="G8229" t="str">
        <x:v>Office Supplies</x:v>
      </x:c>
      <x:c r="H8229" t="str">
        <x:v>Paper</x:v>
      </x:c>
      <x:c r="I8229" s="22" t="n">
        <x:v>12.96</x:v>
      </x:c>
      <x:c r="J8229" s="24" t="n">
        <x:v>2</x:v>
      </x:c>
      <x:c r="K8229" s="26" t="n">
        <x:v>0</x:v>
      </x:c>
      <x:c r="L8229" s="22" t="n">
        <x:v>6.2208000000000006</x:v>
      </x:c>
      <x:c r="M8229" t="n">
        <x:v>2016</x:v>
      </x:c>
      <x:c r="N8229" s="20" t="n">
        <x:v>42522</x:v>
      </x:c>
    </x:row>
    <x:row r="8230" ht="18" customHeight="1">
      <x:c r="A8230" t="str">
        <x:v>CA-2017-104136</x:v>
      </x:c>
      <x:c r="B8230" s="18" t="n">
        <x:v>43040</x:v>
      </x:c>
      <x:c r="C8230" t="str">
        <x:v>SF-20065</x:v>
      </x:c>
      <x:c r="D8230" t="str">
        <x:v>Sandra Flanagan</x:v>
      </x:c>
      <x:c r="E8230" t="str">
        <x:v>Consumer</x:v>
      </x:c>
      <x:c r="F8230" t="str">
        <x:v>East</x:v>
      </x:c>
      <x:c r="G8230" t="str">
        <x:v>Office Supplies</x:v>
      </x:c>
      <x:c r="H8230" t="str">
        <x:v>Paper</x:v>
      </x:c>
      <x:c r="I8230" s="22" t="n">
        <x:v>189.7</x:v>
      </x:c>
      <x:c r="J8230" s="24" t="n">
        <x:v>10</x:v>
      </x:c>
      <x:c r="K8230" s="26" t="n">
        <x:v>0</x:v>
      </x:c>
      <x:c r="L8230" s="22" t="n">
        <x:v>91.05599999999998</x:v>
      </x:c>
      <x:c r="M8230" t="n">
        <x:v>2017</x:v>
      </x:c>
      <x:c r="N8230" s="20" t="n">
        <x:v>43040</x:v>
      </x:c>
    </x:row>
    <x:row r="8231" ht="18" customHeight="1">
      <x:c r="A8231" t="str">
        <x:v>CA-2017-104136</x:v>
      </x:c>
      <x:c r="B8231" s="18" t="n">
        <x:v>43040</x:v>
      </x:c>
      <x:c r="C8231" t="str">
        <x:v>SF-20065</x:v>
      </x:c>
      <x:c r="D8231" t="str">
        <x:v>Sandra Flanagan</x:v>
      </x:c>
      <x:c r="E8231" t="str">
        <x:v>Consumer</x:v>
      </x:c>
      <x:c r="F8231" t="str">
        <x:v>East</x:v>
      </x:c>
      <x:c r="G8231" t="str">
        <x:v>Office Supplies</x:v>
      </x:c>
      <x:c r="H8231" t="str">
        <x:v>Paper</x:v>
      </x:c>
      <x:c r="I8231" s="22" t="n">
        <x:v>40.99</x:v>
      </x:c>
      <x:c r="J8231" s="24" t="n">
        <x:v>1</x:v>
      </x:c>
      <x:c r="K8231" s="26" t="n">
        <x:v>0</x:v>
      </x:c>
      <x:c r="L8231" s="22" t="n">
        <x:v>20.0851</x:v>
      </x:c>
      <x:c r="M8231" t="n">
        <x:v>2017</x:v>
      </x:c>
      <x:c r="N8231" s="20" t="n">
        <x:v>43040</x:v>
      </x:c>
    </x:row>
    <x:row r="8232" ht="18" customHeight="1">
      <x:c r="A8232" t="str">
        <x:v>CA-2016-123050</x:v>
      </x:c>
      <x:c r="B8232" s="18" t="n">
        <x:v>42464</x:v>
      </x:c>
      <x:c r="C8232" t="str">
        <x:v>BC-11125</x:v>
      </x:c>
      <x:c r="D8232" t="str">
        <x:v>Becky Castell</x:v>
      </x:c>
      <x:c r="E8232" t="str">
        <x:v>Home Office</x:v>
      </x:c>
      <x:c r="F8232" t="str">
        <x:v>East</x:v>
      </x:c>
      <x:c r="G8232" t="str">
        <x:v>Furniture</x:v>
      </x:c>
      <x:c r="H8232" t="str">
        <x:v>Furnishings</x:v>
      </x:c>
      <x:c r="I8232" s="22" t="n">
        <x:v>82.64</x:v>
      </x:c>
      <x:c r="J8232" s="24" t="n">
        <x:v>2</x:v>
      </x:c>
      <x:c r="K8232" s="26" t="n">
        <x:v>0</x:v>
      </x:c>
      <x:c r="L8232" s="22" t="n">
        <x:v>7.437600000000003</x:v>
      </x:c>
      <x:c r="M8232" t="n">
        <x:v>2016</x:v>
      </x:c>
      <x:c r="N8232" s="20" t="n">
        <x:v>42461</x:v>
      </x:c>
    </x:row>
    <x:row r="8233" ht="18" customHeight="1">
      <x:c r="A8233" t="str">
        <x:v>CA-2016-123050</x:v>
      </x:c>
      <x:c r="B8233" s="18" t="n">
        <x:v>42464</x:v>
      </x:c>
      <x:c r="C8233" t="str">
        <x:v>BC-11125</x:v>
      </x:c>
      <x:c r="D8233" t="str">
        <x:v>Becky Castell</x:v>
      </x:c>
      <x:c r="E8233" t="str">
        <x:v>Home Office</x:v>
      </x:c>
      <x:c r="F8233" t="str">
        <x:v>East</x:v>
      </x:c>
      <x:c r="G8233" t="str">
        <x:v>Office Supplies</x:v>
      </x:c>
      <x:c r="H8233" t="str">
        <x:v>Storage</x:v>
      </x:c>
      <x:c r="I8233" s="22" t="n">
        <x:v>31.02</x:v>
      </x:c>
      <x:c r="J8233" s="24" t="n">
        <x:v>2</x:v>
      </x:c>
      <x:c r="K8233" s="26" t="n">
        <x:v>0</x:v>
      </x:c>
      <x:c r="L8233" s="22" t="n">
        <x:v>8.0652</x:v>
      </x:c>
      <x:c r="M8233" t="n">
        <x:v>2016</x:v>
      </x:c>
      <x:c r="N8233" s="20" t="n">
        <x:v>42461</x:v>
      </x:c>
    </x:row>
    <x:row r="8234" ht="18" customHeight="1">
      <x:c r="A8234" t="str">
        <x:v>CA-2016-123050</x:v>
      </x:c>
      <x:c r="B8234" s="18" t="n">
        <x:v>42464</x:v>
      </x:c>
      <x:c r="C8234" t="str">
        <x:v>BC-11125</x:v>
      </x:c>
      <x:c r="D8234" t="str">
        <x:v>Becky Castell</x:v>
      </x:c>
      <x:c r="E8234" t="str">
        <x:v>Home Office</x:v>
      </x:c>
      <x:c r="F8234" t="str">
        <x:v>East</x:v>
      </x:c>
      <x:c r="G8234" t="str">
        <x:v>Technology</x:v>
      </x:c>
      <x:c r="H8234" t="str">
        <x:v>Accessories</x:v>
      </x:c>
      <x:c r="I8234" s="22" t="n">
        <x:v>89.97</x:v>
      </x:c>
      <x:c r="J8234" s="24" t="n">
        <x:v>3</x:v>
      </x:c>
      <x:c r="K8234" s="26" t="n">
        <x:v>0</x:v>
      </x:c>
      <x:c r="L8234" s="22" t="n">
        <x:v>37.787400000000005</x:v>
      </x:c>
      <x:c r="M8234" t="n">
        <x:v>2016</x:v>
      </x:c>
      <x:c r="N8234" s="20" t="n">
        <x:v>42461</x:v>
      </x:c>
    </x:row>
    <x:row r="8235" ht="18" customHeight="1">
      <x:c r="A8235" t="str">
        <x:v>CA-2016-162355</x:v>
      </x:c>
      <x:c r="B8235" s="18" t="n">
        <x:v>42551</x:v>
      </x:c>
      <x:c r="C8235" t="str">
        <x:v>PF-19165</x:v>
      </x:c>
      <x:c r="D8235" t="str">
        <x:v>Philip Fox</x:v>
      </x:c>
      <x:c r="E8235" t="str">
        <x:v>Consumer</x:v>
      </x:c>
      <x:c r="F8235" t="str">
        <x:v>South</x:v>
      </x:c>
      <x:c r="G8235" t="str">
        <x:v>Office Supplies</x:v>
      </x:c>
      <x:c r="H8235" t="str">
        <x:v>Art</x:v>
      </x:c>
      <x:c r="I8235" s="22" t="n">
        <x:v>35.97</x:v>
      </x:c>
      <x:c r="J8235" s="24" t="n">
        <x:v>3</x:v>
      </x:c>
      <x:c r="K8235" s="26" t="n">
        <x:v>0</x:v>
      </x:c>
      <x:c r="L8235" s="22" t="n">
        <x:v>9.711899999999998</x:v>
      </x:c>
      <x:c r="M8235" t="n">
        <x:v>2016</x:v>
      </x:c>
      <x:c r="N8235" s="20" t="n">
        <x:v>42522</x:v>
      </x:c>
    </x:row>
    <x:row r="8236" ht="18" customHeight="1">
      <x:c r="A8236" t="str">
        <x:v>CA-2016-162355</x:v>
      </x:c>
      <x:c r="B8236" s="18" t="n">
        <x:v>42551</x:v>
      </x:c>
      <x:c r="C8236" t="str">
        <x:v>PF-19165</x:v>
      </x:c>
      <x:c r="D8236" t="str">
        <x:v>Philip Fox</x:v>
      </x:c>
      <x:c r="E8236" t="str">
        <x:v>Consumer</x:v>
      </x:c>
      <x:c r="F8236" t="str">
        <x:v>South</x:v>
      </x:c>
      <x:c r="G8236" t="str">
        <x:v>Furniture</x:v>
      </x:c>
      <x:c r="H8236" t="str">
        <x:v>Bookcases</x:v>
      </x:c>
      <x:c r="I8236" s="22" t="n">
        <x:v>1266.86</x:v>
      </x:c>
      <x:c r="J8236" s="24" t="n">
        <x:v>7</x:v>
      </x:c>
      <x:c r="K8236" s="26" t="n">
        <x:v>0</x:v>
      </x:c>
      <x:c r="L8236" s="22" t="n">
        <x:v>291.37779999999987</x:v>
      </x:c>
      <x:c r="M8236" t="n">
        <x:v>2016</x:v>
      </x:c>
      <x:c r="N8236" s="20" t="n">
        <x:v>42522</x:v>
      </x:c>
    </x:row>
    <x:row r="8237" ht="18" customHeight="1">
      <x:c r="A8237" t="str">
        <x:v>CA-2014-158225</x:v>
      </x:c>
      <x:c r="B8237" s="18" t="n">
        <x:v>41904</x:v>
      </x:c>
      <x:c r="C8237" t="str">
        <x:v>SE-20110</x:v>
      </x:c>
      <x:c r="D8237" t="str">
        <x:v>Sanjit Engle</x:v>
      </x:c>
      <x:c r="E8237" t="str">
        <x:v>Consumer</x:v>
      </x:c>
      <x:c r="F8237" t="str">
        <x:v>West</x:v>
      </x:c>
      <x:c r="G8237" t="str">
        <x:v>Office Supplies</x:v>
      </x:c>
      <x:c r="H8237" t="str">
        <x:v>Storage</x:v>
      </x:c>
      <x:c r="I8237" s="22" t="n">
        <x:v>169.45</x:v>
      </x:c>
      <x:c r="J8237" s="24" t="n">
        <x:v>5</x:v>
      </x:c>
      <x:c r="K8237" s="26" t="n">
        <x:v>0</x:v>
      </x:c>
      <x:c r="L8237" s="22" t="n">
        <x:v>42.3625</x:v>
      </x:c>
      <x:c r="M8237" t="n">
        <x:v>2014</x:v>
      </x:c>
      <x:c r="N8237" s="20" t="n">
        <x:v>41883</x:v>
      </x:c>
    </x:row>
    <x:row r="8238" ht="18" customHeight="1">
      <x:c r="A8238" t="str">
        <x:v>CA-2014-158225</x:v>
      </x:c>
      <x:c r="B8238" s="18" t="n">
        <x:v>41904</x:v>
      </x:c>
      <x:c r="C8238" t="str">
        <x:v>SE-20110</x:v>
      </x:c>
      <x:c r="D8238" t="str">
        <x:v>Sanjit Engle</x:v>
      </x:c>
      <x:c r="E8238" t="str">
        <x:v>Consumer</x:v>
      </x:c>
      <x:c r="F8238" t="str">
        <x:v>West</x:v>
      </x:c>
      <x:c r="G8238" t="str">
        <x:v>Office Supplies</x:v>
      </x:c>
      <x:c r="H8238" t="str">
        <x:v>Storage</x:v>
      </x:c>
      <x:c r="I8238" s="22" t="n">
        <x:v>40.68</x:v>
      </x:c>
      <x:c r="J8238" s="24" t="n">
        <x:v>2</x:v>
      </x:c>
      <x:c r="K8238" s="26" t="n">
        <x:v>0</x:v>
      </x:c>
      <x:c r="L8238" s="22" t="n">
        <x:v>0.40679999999999694</x:v>
      </x:c>
      <x:c r="M8238" t="n">
        <x:v>2014</x:v>
      </x:c>
      <x:c r="N8238" s="20" t="n">
        <x:v>41883</x:v>
      </x:c>
    </x:row>
    <x:row r="8239" ht="18" customHeight="1">
      <x:c r="A8239" t="str">
        <x:v>CA-2017-102204</x:v>
      </x:c>
      <x:c r="B8239" s="18" t="n">
        <x:v>42856</x:v>
      </x:c>
      <x:c r="C8239" t="str">
        <x:v>CJ-12010</x:v>
      </x:c>
      <x:c r="D8239" t="str">
        <x:v>Caroline Jumper</x:v>
      </x:c>
      <x:c r="E8239" t="str">
        <x:v>Consumer</x:v>
      </x:c>
      <x:c r="F8239" t="str">
        <x:v>South</x:v>
      </x:c>
      <x:c r="G8239" t="str">
        <x:v>Office Supplies</x:v>
      </x:c>
      <x:c r="H8239" t="str">
        <x:v>Supplies</x:v>
      </x:c>
      <x:c r="I8239" s="22" t="n">
        <x:v>3.3280000000000003</x:v>
      </x:c>
      <x:c r="J8239" s="24" t="n">
        <x:v>2</x:v>
      </x:c>
      <x:c r="K8239" s="26" t="n">
        <x:v>0.2</x:v>
      </x:c>
      <x:c r="L8239" s="22" t="n">
        <x:v>0.4159999999999997</x:v>
      </x:c>
      <x:c r="M8239" t="n">
        <x:v>2017</x:v>
      </x:c>
      <x:c r="N8239" s="20" t="n">
        <x:v>42856</x:v>
      </x:c>
    </x:row>
    <x:row r="8240" ht="18" customHeight="1">
      <x:c r="A8240" t="str">
        <x:v>CA-2017-102204</x:v>
      </x:c>
      <x:c r="B8240" s="18" t="n">
        <x:v>42856</x:v>
      </x:c>
      <x:c r="C8240" t="str">
        <x:v>CJ-12010</x:v>
      </x:c>
      <x:c r="D8240" t="str">
        <x:v>Caroline Jumper</x:v>
      </x:c>
      <x:c r="E8240" t="str">
        <x:v>Consumer</x:v>
      </x:c>
      <x:c r="F8240" t="str">
        <x:v>South</x:v>
      </x:c>
      <x:c r="G8240" t="str">
        <x:v>Furniture</x:v>
      </x:c>
      <x:c r="H8240" t="str">
        <x:v>Tables</x:v>
      </x:c>
      <x:c r="I8240" s="22" t="n">
        <x:v>933.2620000000001</x:v>
      </x:c>
      <x:c r="J8240" s="24" t="n">
        <x:v>4</x:v>
      </x:c>
      <x:c r="K8240" s="26" t="n">
        <x:v>0.45</x:v>
      </x:c>
      <x:c r="L8240" s="22" t="n">
        <x:v>-458.1468</x:v>
      </x:c>
      <x:c r="M8240" t="n">
        <x:v>2017</x:v>
      </x:c>
      <x:c r="N8240" s="20" t="n">
        <x:v>42856</x:v>
      </x:c>
    </x:row>
    <x:row r="8241" ht="18" customHeight="1">
      <x:c r="A8241" t="str">
        <x:v>CA-2017-102204</x:v>
      </x:c>
      <x:c r="B8241" s="18" t="n">
        <x:v>42856</x:v>
      </x:c>
      <x:c r="C8241" t="str">
        <x:v>CJ-12010</x:v>
      </x:c>
      <x:c r="D8241" t="str">
        <x:v>Caroline Jumper</x:v>
      </x:c>
      <x:c r="E8241" t="str">
        <x:v>Consumer</x:v>
      </x:c>
      <x:c r="F8241" t="str">
        <x:v>South</x:v>
      </x:c>
      <x:c r="G8241" t="str">
        <x:v>Furniture</x:v>
      </x:c>
      <x:c r="H8241" t="str">
        <x:v>Chairs</x:v>
      </x:c>
      <x:c r="I8241" s="22" t="n">
        <x:v>2803.92</x:v>
      </x:c>
      <x:c r="J8241" s="24" t="n">
        <x:v>5</x:v>
      </x:c>
      <x:c r="K8241" s="26" t="n">
        <x:v>0.2</x:v>
      </x:c>
      <x:c r="L8241" s="22" t="n">
        <x:v>0</x:v>
      </x:c>
      <x:c r="M8241" t="n">
        <x:v>2017</x:v>
      </x:c>
      <x:c r="N8241" s="20" t="n">
        <x:v>42856</x:v>
      </x:c>
    </x:row>
    <x:row r="8242" ht="18" customHeight="1">
      <x:c r="A8242" t="str">
        <x:v>CA-2017-103065</x:v>
      </x:c>
      <x:c r="B8242" s="18" t="n">
        <x:v>43028</x:v>
      </x:c>
      <x:c r="C8242" t="str">
        <x:v>PT-19090</x:v>
      </x:c>
      <x:c r="D8242" t="str">
        <x:v>Pete Takahito</x:v>
      </x:c>
      <x:c r="E8242" t="str">
        <x:v>Consumer</x:v>
      </x:c>
      <x:c r="F8242" t="str">
        <x:v>South</x:v>
      </x:c>
      <x:c r="G8242" t="str">
        <x:v>Office Supplies</x:v>
      </x:c>
      <x:c r="H8242" t="str">
        <x:v>Storage</x:v>
      </x:c>
      <x:c r="I8242" s="22" t="n">
        <x:v>4.768</x:v>
      </x:c>
      <x:c r="J8242" s="24" t="n">
        <x:v>2</x:v>
      </x:c>
      <x:c r="K8242" s="26" t="n">
        <x:v>0.2</x:v>
      </x:c>
      <x:c r="L8242" s="22" t="n">
        <x:v>-0.7748000000000006</x:v>
      </x:c>
      <x:c r="M8242" t="n">
        <x:v>2017</x:v>
      </x:c>
      <x:c r="N8242" s="20" t="n">
        <x:v>43009</x:v>
      </x:c>
    </x:row>
    <x:row r="8243" ht="18" customHeight="1">
      <x:c r="A8243" t="str">
        <x:v>CA-2017-103065</x:v>
      </x:c>
      <x:c r="B8243" s="18" t="n">
        <x:v>43028</x:v>
      </x:c>
      <x:c r="C8243" t="str">
        <x:v>PT-19090</x:v>
      </x:c>
      <x:c r="D8243" t="str">
        <x:v>Pete Takahito</x:v>
      </x:c>
      <x:c r="E8243" t="str">
        <x:v>Consumer</x:v>
      </x:c>
      <x:c r="F8243" t="str">
        <x:v>South</x:v>
      </x:c>
      <x:c r="G8243" t="str">
        <x:v>Office Supplies</x:v>
      </x:c>
      <x:c r="H8243" t="str">
        <x:v>Paper</x:v>
      </x:c>
      <x:c r="I8243" s="22" t="n">
        <x:v>6.672000000000001</x:v>
      </x:c>
      <x:c r="J8243" s="24" t="n">
        <x:v>1</x:v>
      </x:c>
      <x:c r="K8243" s="26" t="n">
        <x:v>0.2</x:v>
      </x:c>
      <x:c r="L8243" s="22" t="n">
        <x:v>2.502</x:v>
      </x:c>
      <x:c r="M8243" t="n">
        <x:v>2017</x:v>
      </x:c>
      <x:c r="N8243" s="20" t="n">
        <x:v>43009</x:v>
      </x:c>
    </x:row>
    <x:row r="8244" ht="18" customHeight="1">
      <x:c r="A8244" t="str">
        <x:v>CA-2017-103065</x:v>
      </x:c>
      <x:c r="B8244" s="18" t="n">
        <x:v>43028</x:v>
      </x:c>
      <x:c r="C8244" t="str">
        <x:v>PT-19090</x:v>
      </x:c>
      <x:c r="D8244" t="str">
        <x:v>Pete Takahito</x:v>
      </x:c>
      <x:c r="E8244" t="str">
        <x:v>Consumer</x:v>
      </x:c>
      <x:c r="F8244" t="str">
        <x:v>South</x:v>
      </x:c>
      <x:c r="G8244" t="str">
        <x:v>Office Supplies</x:v>
      </x:c>
      <x:c r="H8244" t="str">
        <x:v>Art</x:v>
      </x:c>
      <x:c r="I8244" s="22" t="n">
        <x:v>4.4479999999999995</x:v>
      </x:c>
      <x:c r="J8244" s="24" t="n">
        <x:v>2</x:v>
      </x:c>
      <x:c r="K8244" s="26" t="n">
        <x:v>0.2</x:v>
      </x:c>
      <x:c r="L8244" s="22" t="n">
        <x:v>1.1119999999999999</x:v>
      </x:c>
      <x:c r="M8244" t="n">
        <x:v>2017</x:v>
      </x:c>
      <x:c r="N8244" s="20" t="n">
        <x:v>43009</x:v>
      </x:c>
    </x:row>
    <x:row r="8245" ht="18" customHeight="1">
      <x:c r="A8245" t="str">
        <x:v>CA-2017-103065</x:v>
      </x:c>
      <x:c r="B8245" s="18" t="n">
        <x:v>43028</x:v>
      </x:c>
      <x:c r="C8245" t="str">
        <x:v>PT-19090</x:v>
      </x:c>
      <x:c r="D8245" t="str">
        <x:v>Pete Takahito</x:v>
      </x:c>
      <x:c r="E8245" t="str">
        <x:v>Consumer</x:v>
      </x:c>
      <x:c r="F8245" t="str">
        <x:v>South</x:v>
      </x:c>
      <x:c r="G8245" t="str">
        <x:v>Furniture</x:v>
      </x:c>
      <x:c r="H8245" t="str">
        <x:v>Furnishings</x:v>
      </x:c>
      <x:c r="I8245" s="22" t="n">
        <x:v>43.93600000000001</x:v>
      </x:c>
      <x:c r="J8245" s="24" t="n">
        <x:v>4</x:v>
      </x:c>
      <x:c r="K8245" s="26" t="n">
        <x:v>0.2</x:v>
      </x:c>
      <x:c r="L8245" s="22" t="n">
        <x:v>6.041199999999996</x:v>
      </x:c>
      <x:c r="M8245" t="n">
        <x:v>2017</x:v>
      </x:c>
      <x:c r="N8245" s="20" t="n">
        <x:v>43009</x:v>
      </x:c>
    </x:row>
    <x:row r="8246" ht="18" customHeight="1">
      <x:c r="A8246" t="str">
        <x:v>CA-2014-109855</x:v>
      </x:c>
      <x:c r="B8246" s="18" t="n">
        <x:v>41883</x:v>
      </x:c>
      <x:c r="C8246" t="str">
        <x:v>LH-16900</x:v>
      </x:c>
      <x:c r="D8246" t="str">
        <x:v>Lena Hernandez</x:v>
      </x:c>
      <x:c r="E8246" t="str">
        <x:v>Consumer</x:v>
      </x:c>
      <x:c r="F8246" t="str">
        <x:v>East</x:v>
      </x:c>
      <x:c r="G8246" t="str">
        <x:v>Office Supplies</x:v>
      </x:c>
      <x:c r="H8246" t="str">
        <x:v>Binders</x:v>
      </x:c>
      <x:c r="I8246" s="22" t="n">
        <x:v>23.744</x:v>
      </x:c>
      <x:c r="J8246" s="24" t="n">
        <x:v>2</x:v>
      </x:c>
      <x:c r="K8246" s="26" t="n">
        <x:v>0.2</x:v>
      </x:c>
      <x:c r="L8246" s="22" t="n">
        <x:v>8.3104</x:v>
      </x:c>
      <x:c r="M8246" t="n">
        <x:v>2014</x:v>
      </x:c>
      <x:c r="N8246" s="20" t="n">
        <x:v>41883</x:v>
      </x:c>
    </x:row>
    <x:row r="8247" ht="18" customHeight="1">
      <x:c r="A8247" t="str">
        <x:v>CA-2014-109855</x:v>
      </x:c>
      <x:c r="B8247" s="18" t="n">
        <x:v>41883</x:v>
      </x:c>
      <x:c r="C8247" t="str">
        <x:v>LH-16900</x:v>
      </x:c>
      <x:c r="D8247" t="str">
        <x:v>Lena Hernandez</x:v>
      </x:c>
      <x:c r="E8247" t="str">
        <x:v>Consumer</x:v>
      </x:c>
      <x:c r="F8247" t="str">
        <x:v>East</x:v>
      </x:c>
      <x:c r="G8247" t="str">
        <x:v>Technology</x:v>
      </x:c>
      <x:c r="H8247" t="str">
        <x:v>Accessories</x:v>
      </x:c>
      <x:c r="I8247" s="22" t="n">
        <x:v>357</x:v>
      </x:c>
      <x:c r="J8247" s="24" t="n">
        <x:v>3</x:v>
      </x:c>
      <x:c r="K8247" s="26" t="n">
        <x:v>0</x:v>
      </x:c>
      <x:c r="L8247" s="22" t="n">
        <x:v>57.12000000000002</x:v>
      </x:c>
      <x:c r="M8247" t="n">
        <x:v>2014</x:v>
      </x:c>
      <x:c r="N8247" s="20" t="n">
        <x:v>41883</x:v>
      </x:c>
    </x:row>
    <x:row r="8248" ht="18" customHeight="1">
      <x:c r="A8248" t="str">
        <x:v>CA-2014-109897</x:v>
      </x:c>
      <x:c r="B8248" s="18" t="n">
        <x:v>41863</x:v>
      </x:c>
      <x:c r="C8248" t="str">
        <x:v>BW-11200</x:v>
      </x:c>
      <x:c r="D8248" t="str">
        <x:v>Ben Wallace</x:v>
      </x:c>
      <x:c r="E8248" t="str">
        <x:v>Consumer</x:v>
      </x:c>
      <x:c r="F8248" t="str">
        <x:v>West</x:v>
      </x:c>
      <x:c r="G8248" t="str">
        <x:v>Technology</x:v>
      </x:c>
      <x:c r="H8248" t="str">
        <x:v>Phones</x:v>
      </x:c>
      <x:c r="I8248" s="22" t="n">
        <x:v>806.336</x:v>
      </x:c>
      <x:c r="J8248" s="24" t="n">
        <x:v>8</x:v>
      </x:c>
      <x:c r="K8248" s="26" t="n">
        <x:v>0.2</x:v>
      </x:c>
      <x:c r="L8248" s="22" t="n">
        <x:v>50.396000000000015</x:v>
      </x:c>
      <x:c r="M8248" t="n">
        <x:v>2014</x:v>
      </x:c>
      <x:c r="N8248" s="20" t="n">
        <x:v>41852</x:v>
      </x:c>
    </x:row>
    <x:row r="8249" ht="18" customHeight="1">
      <x:c r="A8249" t="str">
        <x:v>CA-2014-109897</x:v>
      </x:c>
      <x:c r="B8249" s="18" t="n">
        <x:v>41863</x:v>
      </x:c>
      <x:c r="C8249" t="str">
        <x:v>BW-11200</x:v>
      </x:c>
      <x:c r="D8249" t="str">
        <x:v>Ben Wallace</x:v>
      </x:c>
      <x:c r="E8249" t="str">
        <x:v>Consumer</x:v>
      </x:c>
      <x:c r="F8249" t="str">
        <x:v>West</x:v>
      </x:c>
      <x:c r="G8249" t="str">
        <x:v>Furniture</x:v>
      </x:c>
      <x:c r="H8249" t="str">
        <x:v>Furnishings</x:v>
      </x:c>
      <x:c r="I8249" s="22" t="n">
        <x:v>85.44</x:v>
      </x:c>
      <x:c r="J8249" s="24" t="n">
        <x:v>3</x:v>
      </x:c>
      <x:c r="K8249" s="26" t="n">
        <x:v>0</x:v>
      </x:c>
      <x:c r="L8249" s="22" t="n">
        <x:v>31.612800000000004</x:v>
      </x:c>
      <x:c r="M8249" t="n">
        <x:v>2014</x:v>
      </x:c>
      <x:c r="N8249" s="20" t="n">
        <x:v>41852</x:v>
      </x:c>
    </x:row>
    <x:row r="8250" ht="18" customHeight="1">
      <x:c r="A8250" t="str">
        <x:v>US-2014-143581</x:v>
      </x:c>
      <x:c r="B8250" s="18" t="n">
        <x:v>41870</x:v>
      </x:c>
      <x:c r="C8250" t="str">
        <x:v>BS-11365</x:v>
      </x:c>
      <x:c r="D8250" t="str">
        <x:v>Bill Shonely</x:v>
      </x:c>
      <x:c r="E8250" t="str">
        <x:v>Corporate</x:v>
      </x:c>
      <x:c r="F8250" t="str">
        <x:v>South</x:v>
      </x:c>
      <x:c r="G8250" t="str">
        <x:v>Office Supplies</x:v>
      </x:c>
      <x:c r="H8250" t="str">
        <x:v>Storage</x:v>
      </x:c>
      <x:c r="I8250" s="22" t="n">
        <x:v>344.90999999999997</x:v>
      </x:c>
      <x:c r="J8250" s="24" t="n">
        <x:v>3</x:v>
      </x:c>
      <x:c r="K8250" s="26" t="n">
        <x:v>0</x:v>
      </x:c>
      <x:c r="L8250" s="22" t="n">
        <x:v>10.347300000000004</x:v>
      </x:c>
      <x:c r="M8250" t="n">
        <x:v>2014</x:v>
      </x:c>
      <x:c r="N8250" s="20" t="n">
        <x:v>41852</x:v>
      </x:c>
    </x:row>
    <x:row r="8251" ht="18" customHeight="1">
      <x:c r="A8251" t="str">
        <x:v>CA-2015-129217</x:v>
      </x:c>
      <x:c r="B8251" s="18" t="n">
        <x:v>42134</x:v>
      </x:c>
      <x:c r="C8251" t="str">
        <x:v>DP-13390</x:v>
      </x:c>
      <x:c r="D8251" t="str">
        <x:v>Dennis Pardue</x:v>
      </x:c>
      <x:c r="E8251" t="str">
        <x:v>Home Office</x:v>
      </x:c>
      <x:c r="F8251" t="str">
        <x:v>Central</x:v>
      </x:c>
      <x:c r="G8251" t="str">
        <x:v>Office Supplies</x:v>
      </x:c>
      <x:c r="H8251" t="str">
        <x:v>Appliances</x:v>
      </x:c>
      <x:c r="I8251" s="22" t="n">
        <x:v>70.96999999999998</x:v>
      </x:c>
      <x:c r="J8251" s="24" t="n">
        <x:v>5</x:v>
      </x:c>
      <x:c r="K8251" s="26" t="n">
        <x:v>0.8</x:v>
      </x:c>
      <x:c r="L8251" s="22" t="n">
        <x:v>-191.619</x:v>
      </x:c>
      <x:c r="M8251" t="n">
        <x:v>2015</x:v>
      </x:c>
      <x:c r="N8251" s="20" t="n">
        <x:v>42125</x:v>
      </x:c>
    </x:row>
    <x:row r="8252" ht="18" customHeight="1">
      <x:c r="A8252" t="str">
        <x:v>CA-2015-129217</x:v>
      </x:c>
      <x:c r="B8252" s="18" t="n">
        <x:v>42134</x:v>
      </x:c>
      <x:c r="C8252" t="str">
        <x:v>DP-13390</x:v>
      </x:c>
      <x:c r="D8252" t="str">
        <x:v>Dennis Pardue</x:v>
      </x:c>
      <x:c r="E8252" t="str">
        <x:v>Home Office</x:v>
      </x:c>
      <x:c r="F8252" t="str">
        <x:v>Central</x:v>
      </x:c>
      <x:c r="G8252" t="str">
        <x:v>Office Supplies</x:v>
      </x:c>
      <x:c r="H8252" t="str">
        <x:v>Art</x:v>
      </x:c>
      <x:c r="I8252" s="22" t="n">
        <x:v>36.784</x:v>
      </x:c>
      <x:c r="J8252" s="24" t="n">
        <x:v>2</x:v>
      </x:c>
      <x:c r="K8252" s="26" t="n">
        <x:v>0.2</x:v>
      </x:c>
      <x:c r="L8252" s="22" t="n">
        <x:v>3.6784000000000017</x:v>
      </x:c>
      <x:c r="M8252" t="n">
        <x:v>2015</x:v>
      </x:c>
      <x:c r="N8252" s="20" t="n">
        <x:v>42125</x:v>
      </x:c>
    </x:row>
    <x:row r="8253" ht="18" customHeight="1">
      <x:c r="A8253" t="str">
        <x:v>CA-2016-133816</x:v>
      </x:c>
      <x:c r="B8253" s="18" t="n">
        <x:v>42500</x:v>
      </x:c>
      <x:c r="C8253" t="str">
        <x:v>CS-12400</x:v>
      </x:c>
      <x:c r="D8253" t="str">
        <x:v>Christopher Schild</x:v>
      </x:c>
      <x:c r="E8253" t="str">
        <x:v>Home Office</x:v>
      </x:c>
      <x:c r="F8253" t="str">
        <x:v>East</x:v>
      </x:c>
      <x:c r="G8253" t="str">
        <x:v>Technology</x:v>
      </x:c>
      <x:c r="H8253" t="str">
        <x:v>Phones</x:v>
      </x:c>
      <x:c r="I8253" s="22" t="n">
        <x:v>743.9879999999999</x:v>
      </x:c>
      <x:c r="J8253" s="24" t="n">
        <x:v>2</x:v>
      </x:c>
      <x:c r="K8253" s="26" t="n">
        <x:v>0.4</x:v>
      </x:c>
      <x:c r="L8253" s="22" t="n">
        <x:v>-123.9980000000001</x:v>
      </x:c>
      <x:c r="M8253" t="n">
        <x:v>2016</x:v>
      </x:c>
      <x:c r="N8253" s="20" t="n">
        <x:v>42491</x:v>
      </x:c>
    </x:row>
    <x:row r="8254" ht="18" customHeight="1">
      <x:c r="A8254" t="str">
        <x:v>CA-2015-140221</x:v>
      </x:c>
      <x:c r="B8254" s="18" t="n">
        <x:v>42068</x:v>
      </x:c>
      <x:c r="C8254" t="str">
        <x:v>MS-17365</x:v>
      </x:c>
      <x:c r="D8254" t="str">
        <x:v>Maribeth Schnelling</x:v>
      </x:c>
      <x:c r="E8254" t="str">
        <x:v>Consumer</x:v>
      </x:c>
      <x:c r="F8254" t="str">
        <x:v>Central</x:v>
      </x:c>
      <x:c r="G8254" t="str">
        <x:v>Office Supplies</x:v>
      </x:c>
      <x:c r="H8254" t="str">
        <x:v>Binders</x:v>
      </x:c>
      <x:c r="I8254" s="22" t="n">
        <x:v>11.211999999999998</x:v>
      </x:c>
      <x:c r="J8254" s="24" t="n">
        <x:v>2</x:v>
      </x:c>
      <x:c r="K8254" s="26" t="n">
        <x:v>0.8</x:v>
      </x:c>
      <x:c r="L8254" s="22" t="n">
        <x:v>-16.818000000000005</x:v>
      </x:c>
      <x:c r="M8254" t="n">
        <x:v>2015</x:v>
      </x:c>
      <x:c r="N8254" s="20" t="n">
        <x:v>42064</x:v>
      </x:c>
    </x:row>
    <x:row r="8255" ht="18" customHeight="1">
      <x:c r="A8255" t="str">
        <x:v>CA-2015-140221</x:v>
      </x:c>
      <x:c r="B8255" s="18" t="n">
        <x:v>42068</x:v>
      </x:c>
      <x:c r="C8255" t="str">
        <x:v>MS-17365</x:v>
      </x:c>
      <x:c r="D8255" t="str">
        <x:v>Maribeth Schnelling</x:v>
      </x:c>
      <x:c r="E8255" t="str">
        <x:v>Consumer</x:v>
      </x:c>
      <x:c r="F8255" t="str">
        <x:v>Central</x:v>
      </x:c>
      <x:c r="G8255" t="str">
        <x:v>Furniture</x:v>
      </x:c>
      <x:c r="H8255" t="str">
        <x:v>Furnishings</x:v>
      </x:c>
      <x:c r="I8255" s="22" t="n">
        <x:v>4.712</x:v>
      </x:c>
      <x:c r="J8255" s="24" t="n">
        <x:v>2</x:v>
      </x:c>
      <x:c r="K8255" s="26" t="n">
        <x:v>0.6</x:v>
      </x:c>
      <x:c r="L8255" s="22" t="n">
        <x:v>-1.8847999999999994</x:v>
      </x:c>
      <x:c r="M8255" t="n">
        <x:v>2015</x:v>
      </x:c>
      <x:c r="N8255" s="20" t="n">
        <x:v>42064</x:v>
      </x:c>
    </x:row>
    <x:row r="8256" ht="18" customHeight="1">
      <x:c r="A8256" t="str">
        <x:v>CA-2015-140221</x:v>
      </x:c>
      <x:c r="B8256" s="18" t="n">
        <x:v>42068</x:v>
      </x:c>
      <x:c r="C8256" t="str">
        <x:v>MS-17365</x:v>
      </x:c>
      <x:c r="D8256" t="str">
        <x:v>Maribeth Schnelling</x:v>
      </x:c>
      <x:c r="E8256" t="str">
        <x:v>Consumer</x:v>
      </x:c>
      <x:c r="F8256" t="str">
        <x:v>Central</x:v>
      </x:c>
      <x:c r="G8256" t="str">
        <x:v>Office Supplies</x:v>
      </x:c>
      <x:c r="H8256" t="str">
        <x:v>Appliances</x:v>
      </x:c>
      <x:c r="I8256" s="22" t="n">
        <x:v>180.97999999999996</x:v>
      </x:c>
      <x:c r="J8256" s="24" t="n">
        <x:v>5</x:v>
      </x:c>
      <x:c r="K8256" s="26" t="n">
        <x:v>0.8</x:v>
      </x:c>
      <x:c r="L8256" s="22" t="n">
        <x:v>-470.548</x:v>
      </x:c>
      <x:c r="M8256" t="n">
        <x:v>2015</x:v>
      </x:c>
      <x:c r="N8256" s="20" t="n">
        <x:v>42064</x:v>
      </x:c>
    </x:row>
    <x:row r="8257" ht="18" customHeight="1">
      <x:c r="A8257" t="str">
        <x:v>CA-2015-140221</x:v>
      </x:c>
      <x:c r="B8257" s="18" t="n">
        <x:v>42068</x:v>
      </x:c>
      <x:c r="C8257" t="str">
        <x:v>MS-17365</x:v>
      </x:c>
      <x:c r="D8257" t="str">
        <x:v>Maribeth Schnelling</x:v>
      </x:c>
      <x:c r="E8257" t="str">
        <x:v>Consumer</x:v>
      </x:c>
      <x:c r="F8257" t="str">
        <x:v>Central</x:v>
      </x:c>
      <x:c r="G8257" t="str">
        <x:v>Office Supplies</x:v>
      </x:c>
      <x:c r="H8257" t="str">
        <x:v>Storage</x:v>
      </x:c>
      <x:c r="I8257" s="22" t="n">
        <x:v>60.416</x:v>
      </x:c>
      <x:c r="J8257" s="24" t="n">
        <x:v>2</x:v>
      </x:c>
      <x:c r="K8257" s="26" t="n">
        <x:v>0.2</x:v>
      </x:c>
      <x:c r="L8257" s="22" t="n">
        <x:v>6.0416000000000025</x:v>
      </x:c>
      <x:c r="M8257" t="n">
        <x:v>2015</x:v>
      </x:c>
      <x:c r="N8257" s="20" t="n">
        <x:v>42064</x:v>
      </x:c>
    </x:row>
    <x:row r="8258" ht="18" customHeight="1">
      <x:c r="A8258" t="str">
        <x:v>CA-2017-152310</x:v>
      </x:c>
      <x:c r="B8258" s="18" t="n">
        <x:v>42959</x:v>
      </x:c>
      <x:c r="C8258" t="str">
        <x:v>DK-12895</x:v>
      </x:c>
      <x:c r="D8258" t="str">
        <x:v>Dana Kaydos</x:v>
      </x:c>
      <x:c r="E8258" t="str">
        <x:v>Consumer</x:v>
      </x:c>
      <x:c r="F8258" t="str">
        <x:v>West</x:v>
      </x:c>
      <x:c r="G8258" t="str">
        <x:v>Technology</x:v>
      </x:c>
      <x:c r="H8258" t="str">
        <x:v>Copiers</x:v>
      </x:c>
      <x:c r="I8258" s="22" t="n">
        <x:v>299.99</x:v>
      </x:c>
      <x:c r="J8258" s="24" t="n">
        <x:v>1</x:v>
      </x:c>
      <x:c r="K8258" s="26" t="n">
        <x:v>0</x:v>
      </x:c>
      <x:c r="L8258" s="22" t="n">
        <x:v>89.99699999999999</x:v>
      </x:c>
      <x:c r="M8258" t="n">
        <x:v>2017</x:v>
      </x:c>
      <x:c r="N8258" s="20" t="n">
        <x:v>42948</x:v>
      </x:c>
    </x:row>
    <x:row r="8259" ht="18" customHeight="1">
      <x:c r="A8259" t="str">
        <x:v>CA-2017-152310</x:v>
      </x:c>
      <x:c r="B8259" s="18" t="n">
        <x:v>42959</x:v>
      </x:c>
      <x:c r="C8259" t="str">
        <x:v>DK-12895</x:v>
      </x:c>
      <x:c r="D8259" t="str">
        <x:v>Dana Kaydos</x:v>
      </x:c>
      <x:c r="E8259" t="str">
        <x:v>Consumer</x:v>
      </x:c>
      <x:c r="F8259" t="str">
        <x:v>West</x:v>
      </x:c>
      <x:c r="G8259" t="str">
        <x:v>Office Supplies</x:v>
      </x:c>
      <x:c r="H8259" t="str">
        <x:v>Paper</x:v>
      </x:c>
      <x:c r="I8259" s="22" t="n">
        <x:v>192.16</x:v>
      </x:c>
      <x:c r="J8259" s="24" t="n">
        <x:v>4</x:v>
      </x:c>
      <x:c r="K8259" s="26" t="n">
        <x:v>0</x:v>
      </x:c>
      <x:c r="L8259" s="22" t="n">
        <x:v>92.23679999999999</x:v>
      </x:c>
      <x:c r="M8259" t="n">
        <x:v>2017</x:v>
      </x:c>
      <x:c r="N8259" s="20" t="n">
        <x:v>42948</x:v>
      </x:c>
    </x:row>
    <x:row r="8260" ht="18" customHeight="1">
      <x:c r="A8260" t="str">
        <x:v>CA-2017-152310</x:v>
      </x:c>
      <x:c r="B8260" s="18" t="n">
        <x:v>42959</x:v>
      </x:c>
      <x:c r="C8260" t="str">
        <x:v>DK-12895</x:v>
      </x:c>
      <x:c r="D8260" t="str">
        <x:v>Dana Kaydos</x:v>
      </x:c>
      <x:c r="E8260" t="str">
        <x:v>Consumer</x:v>
      </x:c>
      <x:c r="F8260" t="str">
        <x:v>West</x:v>
      </x:c>
      <x:c r="G8260" t="str">
        <x:v>Technology</x:v>
      </x:c>
      <x:c r="H8260" t="str">
        <x:v>Phones</x:v>
      </x:c>
      <x:c r="I8260" s="22" t="n">
        <x:v>242.624</x:v>
      </x:c>
      <x:c r="J8260" s="24" t="n">
        <x:v>8</x:v>
      </x:c>
      <x:c r="K8260" s="26" t="n">
        <x:v>0.2</x:v>
      </x:c>
      <x:c r="L8260" s="22" t="n">
        <x:v>27.295199999999973</x:v>
      </x:c>
      <x:c r="M8260" t="n">
        <x:v>2017</x:v>
      </x:c>
      <x:c r="N8260" s="20" t="n">
        <x:v>42948</x:v>
      </x:c>
    </x:row>
    <x:row r="8261" ht="18" customHeight="1">
      <x:c r="A8261" t="str">
        <x:v>CA-2017-152310</x:v>
      </x:c>
      <x:c r="B8261" s="18" t="n">
        <x:v>42959</x:v>
      </x:c>
      <x:c r="C8261" t="str">
        <x:v>DK-12895</x:v>
      </x:c>
      <x:c r="D8261" t="str">
        <x:v>Dana Kaydos</x:v>
      </x:c>
      <x:c r="E8261" t="str">
        <x:v>Consumer</x:v>
      </x:c>
      <x:c r="F8261" t="str">
        <x:v>West</x:v>
      </x:c>
      <x:c r="G8261" t="str">
        <x:v>Office Supplies</x:v>
      </x:c>
      <x:c r="H8261" t="str">
        <x:v>Storage</x:v>
      </x:c>
      <x:c r="I8261" s="22" t="n">
        <x:v>46.74</x:v>
      </x:c>
      <x:c r="J8261" s="24" t="n">
        <x:v>3</x:v>
      </x:c>
      <x:c r="K8261" s="26" t="n">
        <x:v>0</x:v>
      </x:c>
      <x:c r="L8261" s="22" t="n">
        <x:v>11.684999999999999</x:v>
      </x:c>
      <x:c r="M8261" t="n">
        <x:v>2017</x:v>
      </x:c>
      <x:c r="N8261" s="20" t="n">
        <x:v>42948</x:v>
      </x:c>
    </x:row>
    <x:row r="8262" ht="18" customHeight="1">
      <x:c r="A8262" t="str">
        <x:v>CA-2017-152310</x:v>
      </x:c>
      <x:c r="B8262" s="18" t="n">
        <x:v>42959</x:v>
      </x:c>
      <x:c r="C8262" t="str">
        <x:v>DK-12895</x:v>
      </x:c>
      <x:c r="D8262" t="str">
        <x:v>Dana Kaydos</x:v>
      </x:c>
      <x:c r="E8262" t="str">
        <x:v>Consumer</x:v>
      </x:c>
      <x:c r="F8262" t="str">
        <x:v>West</x:v>
      </x:c>
      <x:c r="G8262" t="str">
        <x:v>Technology</x:v>
      </x:c>
      <x:c r="H8262" t="str">
        <x:v>Accessories</x:v>
      </x:c>
      <x:c r="I8262" s="22" t="n">
        <x:v>174.95000000000002</x:v>
      </x:c>
      <x:c r="J8262" s="24" t="n">
        <x:v>5</x:v>
      </x:c>
      <x:c r="K8262" s="26" t="n">
        <x:v>0</x:v>
      </x:c>
      <x:c r="L8262" s="22" t="n">
        <x:v>12.246500000000005</x:v>
      </x:c>
      <x:c r="M8262" t="n">
        <x:v>2017</x:v>
      </x:c>
      <x:c r="N8262" s="20" t="n">
        <x:v>42948</x:v>
      </x:c>
    </x:row>
    <x:row r="8263" ht="18" customHeight="1">
      <x:c r="A8263" t="str">
        <x:v>CA-2017-152310</x:v>
      </x:c>
      <x:c r="B8263" s="18" t="n">
        <x:v>42959</x:v>
      </x:c>
      <x:c r="C8263" t="str">
        <x:v>DK-12895</x:v>
      </x:c>
      <x:c r="D8263" t="str">
        <x:v>Dana Kaydos</x:v>
      </x:c>
      <x:c r="E8263" t="str">
        <x:v>Consumer</x:v>
      </x:c>
      <x:c r="F8263" t="str">
        <x:v>West</x:v>
      </x:c>
      <x:c r="G8263" t="str">
        <x:v>Office Supplies</x:v>
      </x:c>
      <x:c r="H8263" t="str">
        <x:v>Binders</x:v>
      </x:c>
      <x:c r="I8263" s="22" t="n">
        <x:v>100.70400000000001</x:v>
      </x:c>
      <x:c r="J8263" s="24" t="n">
        <x:v>6</x:v>
      </x:c>
      <x:c r="K8263" s="26" t="n">
        <x:v>0.2</x:v>
      </x:c>
      <x:c r="L8263" s="22" t="n">
        <x:v>37.763999999999996</x:v>
      </x:c>
      <x:c r="M8263" t="n">
        <x:v>2017</x:v>
      </x:c>
      <x:c r="N8263" s="20" t="n">
        <x:v>42948</x:v>
      </x:c>
    </x:row>
    <x:row r="8264" ht="18" customHeight="1">
      <x:c r="A8264" t="str">
        <x:v>CA-2016-118101</x:v>
      </x:c>
      <x:c r="B8264" s="18" t="n">
        <x:v>42547</x:v>
      </x:c>
      <x:c r="C8264" t="str">
        <x:v>SN-20560</x:v>
      </x:c>
      <x:c r="D8264" t="str">
        <x:v>Skye Norling</x:v>
      </x:c>
      <x:c r="E8264" t="str">
        <x:v>Home Office</x:v>
      </x:c>
      <x:c r="F8264" t="str">
        <x:v>Central</x:v>
      </x:c>
      <x:c r="G8264" t="str">
        <x:v>Office Supplies</x:v>
      </x:c>
      <x:c r="H8264" t="str">
        <x:v>Paper</x:v>
      </x:c>
      <x:c r="I8264" s="22" t="n">
        <x:v>368.91</x:v>
      </x:c>
      <x:c r="J8264" s="24" t="n">
        <x:v>9</x:v>
      </x:c>
      <x:c r="K8264" s="26" t="n">
        <x:v>0</x:v>
      </x:c>
      <x:c r="L8264" s="22" t="n">
        <x:v>180.76590000000002</x:v>
      </x:c>
      <x:c r="M8264" t="n">
        <x:v>2016</x:v>
      </x:c>
      <x:c r="N8264" s="20" t="n">
        <x:v>42522</x:v>
      </x:c>
    </x:row>
    <x:row r="8265" ht="18" customHeight="1">
      <x:c r="A8265" t="str">
        <x:v>CA-2016-118101</x:v>
      </x:c>
      <x:c r="B8265" s="18" t="n">
        <x:v>42547</x:v>
      </x:c>
      <x:c r="C8265" t="str">
        <x:v>SN-20560</x:v>
      </x:c>
      <x:c r="D8265" t="str">
        <x:v>Skye Norling</x:v>
      </x:c>
      <x:c r="E8265" t="str">
        <x:v>Home Office</x:v>
      </x:c>
      <x:c r="F8265" t="str">
        <x:v>Central</x:v>
      </x:c>
      <x:c r="G8265" t="str">
        <x:v>Office Supplies</x:v>
      </x:c>
      <x:c r="H8265" t="str">
        <x:v>Binders</x:v>
      </x:c>
      <x:c r="I8265" s="22" t="n">
        <x:v>8.02</x:v>
      </x:c>
      <x:c r="J8265" s="24" t="n">
        <x:v>1</x:v>
      </x:c>
      <x:c r="K8265" s="26" t="n">
        <x:v>0</x:v>
      </x:c>
      <x:c r="L8265" s="22" t="n">
        <x:v>3.769399999999999</x:v>
      </x:c>
      <x:c r="M8265" t="n">
        <x:v>2016</x:v>
      </x:c>
      <x:c r="N8265" s="20" t="n">
        <x:v>42522</x:v>
      </x:c>
    </x:row>
    <x:row r="8266" ht="18" customHeight="1">
      <x:c r="A8266" t="str">
        <x:v>CA-2016-118101</x:v>
      </x:c>
      <x:c r="B8266" s="18" t="n">
        <x:v>42547</x:v>
      </x:c>
      <x:c r="C8266" t="str">
        <x:v>SN-20560</x:v>
      </x:c>
      <x:c r="D8266" t="str">
        <x:v>Skye Norling</x:v>
      </x:c>
      <x:c r="E8266" t="str">
        <x:v>Home Office</x:v>
      </x:c>
      <x:c r="F8266" t="str">
        <x:v>Central</x:v>
      </x:c>
      <x:c r="G8266" t="str">
        <x:v>Office Supplies</x:v>
      </x:c>
      <x:c r="H8266" t="str">
        <x:v>Storage</x:v>
      </x:c>
      <x:c r="I8266" s="22" t="n">
        <x:v>171.04</x:v>
      </x:c>
      <x:c r="J8266" s="24" t="n">
        <x:v>4</x:v>
      </x:c>
      <x:c r="K8266" s="26" t="n">
        <x:v>0</x:v>
      </x:c>
      <x:c r="L8266" s="22" t="n">
        <x:v>44.4704</x:v>
      </x:c>
      <x:c r="M8266" t="n">
        <x:v>2016</x:v>
      </x:c>
      <x:c r="N8266" s="20" t="n">
        <x:v>42522</x:v>
      </x:c>
    </x:row>
    <x:row r="8267" ht="18" customHeight="1">
      <x:c r="A8267" t="str">
        <x:v>CA-2016-100307</x:v>
      </x:c>
      <x:c r="B8267" s="18" t="n">
        <x:v>42719</x:v>
      </x:c>
      <x:c r="C8267" t="str">
        <x:v>TC-21475</x:v>
      </x:c>
      <x:c r="D8267" t="str">
        <x:v>Tony Chapman</x:v>
      </x:c>
      <x:c r="E8267" t="str">
        <x:v>Home Office</x:v>
      </x:c>
      <x:c r="F8267" t="str">
        <x:v>South</x:v>
      </x:c>
      <x:c r="G8267" t="str">
        <x:v>Office Supplies</x:v>
      </x:c>
      <x:c r="H8267" t="str">
        <x:v>Paper</x:v>
      </x:c>
      <x:c r="I8267" s="22" t="n">
        <x:v>19.44</x:v>
      </x:c>
      <x:c r="J8267" s="24" t="n">
        <x:v>3</x:v>
      </x:c>
      <x:c r="K8267" s="26" t="n">
        <x:v>0</x:v>
      </x:c>
      <x:c r="L8267" s="22" t="n">
        <x:v>9.3312</x:v>
      </x:c>
      <x:c r="M8267" t="n">
        <x:v>2016</x:v>
      </x:c>
      <x:c r="N8267" s="20" t="n">
        <x:v>42705</x:v>
      </x:c>
    </x:row>
    <x:row r="8268" ht="18" customHeight="1">
      <x:c r="A8268" t="str">
        <x:v>CA-2015-138457</x:v>
      </x:c>
      <x:c r="B8268" s="18" t="n">
        <x:v>42260</x:v>
      </x:c>
      <x:c r="C8268" t="str">
        <x:v>AM-10705</x:v>
      </x:c>
      <x:c r="D8268" t="str">
        <x:v>Anne McFarland</x:v>
      </x:c>
      <x:c r="E8268" t="str">
        <x:v>Consumer</x:v>
      </x:c>
      <x:c r="F8268" t="str">
        <x:v>South</x:v>
      </x:c>
      <x:c r="G8268" t="str">
        <x:v>Office Supplies</x:v>
      </x:c>
      <x:c r="H8268" t="str">
        <x:v>Binders</x:v>
      </x:c>
      <x:c r="I8268" s="22" t="n">
        <x:v>13.092000000000002</x:v>
      </x:c>
      <x:c r="J8268" s="24" t="n">
        <x:v>4</x:v>
      </x:c>
      <x:c r="K8268" s="26" t="n">
        <x:v>0.7</x:v>
      </x:c>
      <x:c r="L8268" s="22" t="n">
        <x:v>-10.037199999999999</x:v>
      </x:c>
      <x:c r="M8268" t="n">
        <x:v>2015</x:v>
      </x:c>
      <x:c r="N8268" s="20" t="n">
        <x:v>42248</x:v>
      </x:c>
    </x:row>
    <x:row r="8269" ht="18" customHeight="1">
      <x:c r="A8269" t="str">
        <x:v>CA-2014-131800</x:v>
      </x:c>
      <x:c r="B8269" s="18" t="n">
        <x:v>42003</x:v>
      </x:c>
      <x:c r="C8269" t="str">
        <x:v>AJ-10960</x:v>
      </x:c>
      <x:c r="D8269" t="str">
        <x:v>Astrea Jones</x:v>
      </x:c>
      <x:c r="E8269" t="str">
        <x:v>Consumer</x:v>
      </x:c>
      <x:c r="F8269" t="str">
        <x:v>East</x:v>
      </x:c>
      <x:c r="G8269" t="str">
        <x:v>Office Supplies</x:v>
      </x:c>
      <x:c r="H8269" t="str">
        <x:v>Appliances</x:v>
      </x:c>
      <x:c r="I8269" s="22" t="n">
        <x:v>122.94</x:v>
      </x:c>
      <x:c r="J8269" s="24" t="n">
        <x:v>3</x:v>
      </x:c>
      <x:c r="K8269" s="26" t="n">
        <x:v>0</x:v>
      </x:c>
      <x:c r="L8269" s="22" t="n">
        <x:v>30.734999999999992</x:v>
      </x:c>
      <x:c r="M8269" t="n">
        <x:v>2014</x:v>
      </x:c>
      <x:c r="N8269" s="20" t="n">
        <x:v>41974</x:v>
      </x:c>
    </x:row>
    <x:row r="8270" ht="18" customHeight="1">
      <x:c r="A8270" t="str">
        <x:v>CA-2014-131800</x:v>
      </x:c>
      <x:c r="B8270" s="18" t="n">
        <x:v>42003</x:v>
      </x:c>
      <x:c r="C8270" t="str">
        <x:v>AJ-10960</x:v>
      </x:c>
      <x:c r="D8270" t="str">
        <x:v>Astrea Jones</x:v>
      </x:c>
      <x:c r="E8270" t="str">
        <x:v>Consumer</x:v>
      </x:c>
      <x:c r="F8270" t="str">
        <x:v>East</x:v>
      </x:c>
      <x:c r="G8270" t="str">
        <x:v>Office Supplies</x:v>
      </x:c>
      <x:c r="H8270" t="str">
        <x:v>Binders</x:v>
      </x:c>
      <x:c r="I8270" s="22" t="n">
        <x:v>35.448</x:v>
      </x:c>
      <x:c r="J8270" s="24" t="n">
        <x:v>7</x:v>
      </x:c>
      <x:c r="K8270" s="26" t="n">
        <x:v>0.2</x:v>
      </x:c>
      <x:c r="L8270" s="22" t="n">
        <x:v>12.8499</x:v>
      </x:c>
      <x:c r="M8270" t="n">
        <x:v>2014</x:v>
      </x:c>
      <x:c r="N8270" s="20" t="n">
        <x:v>41974</x:v>
      </x:c>
    </x:row>
    <x:row r="8271" ht="18" customHeight="1">
      <x:c r="A8271" t="str">
        <x:v>CA-2014-118304</x:v>
      </x:c>
      <x:c r="B8271" s="18" t="n">
        <x:v>41758</x:v>
      </x:c>
      <x:c r="C8271" t="str">
        <x:v>KH-16360</x:v>
      </x:c>
      <x:c r="D8271" t="str">
        <x:v>Katherine Hughes</x:v>
      </x:c>
      <x:c r="E8271" t="str">
        <x:v>Consumer</x:v>
      </x:c>
      <x:c r="F8271" t="str">
        <x:v>East</x:v>
      </x:c>
      <x:c r="G8271" t="str">
        <x:v>Technology</x:v>
      </x:c>
      <x:c r="H8271" t="str">
        <x:v>Phones</x:v>
      </x:c>
      <x:c r="I8271" s="22" t="n">
        <x:v>19.98</x:v>
      </x:c>
      <x:c r="J8271" s="24" t="n">
        <x:v>2</x:v>
      </x:c>
      <x:c r="K8271" s="26" t="n">
        <x:v>0</x:v>
      </x:c>
      <x:c r="L8271" s="22" t="n">
        <x:v>5.194800000000001</x:v>
      </x:c>
      <x:c r="M8271" t="n">
        <x:v>2014</x:v>
      </x:c>
      <x:c r="N8271" s="20" t="n">
        <x:v>41730</x:v>
      </x:c>
    </x:row>
    <x:row r="8272" ht="18" customHeight="1">
      <x:c r="A8272" t="str">
        <x:v>CA-2017-121790</x:v>
      </x:c>
      <x:c r="B8272" s="18" t="n">
        <x:v>42765</x:v>
      </x:c>
      <x:c r="C8272" t="str">
        <x:v>LP-17095</x:v>
      </x:c>
      <x:c r="D8272" t="str">
        <x:v>Liz Preis</x:v>
      </x:c>
      <x:c r="E8272" t="str">
        <x:v>Consumer</x:v>
      </x:c>
      <x:c r="F8272" t="str">
        <x:v>Central</x:v>
      </x:c>
      <x:c r="G8272" t="str">
        <x:v>Furniture</x:v>
      </x:c>
      <x:c r="H8272" t="str">
        <x:v>Tables</x:v>
      </x:c>
      <x:c r="I8272" s="22" t="n">
        <x:v>69.375</x:v>
      </x:c>
      <x:c r="J8272" s="24" t="n">
        <x:v>1</x:v>
      </x:c>
      <x:c r="K8272" s="26" t="n">
        <x:v>0.5</x:v>
      </x:c>
      <x:c r="L8272" s="22" t="n">
        <x:v>-47.175</x:v>
      </x:c>
      <x:c r="M8272" t="n">
        <x:v>2017</x:v>
      </x:c>
      <x:c r="N8272" s="20" t="n">
        <x:v>42736</x:v>
      </x:c>
    </x:row>
    <x:row r="8273" ht="18" customHeight="1">
      <x:c r="A8273" t="str">
        <x:v>CA-2017-121790</x:v>
      </x:c>
      <x:c r="B8273" s="18" t="n">
        <x:v>42765</x:v>
      </x:c>
      <x:c r="C8273" t="str">
        <x:v>LP-17095</x:v>
      </x:c>
      <x:c r="D8273" t="str">
        <x:v>Liz Preis</x:v>
      </x:c>
      <x:c r="E8273" t="str">
        <x:v>Consumer</x:v>
      </x:c>
      <x:c r="F8273" t="str">
        <x:v>Central</x:v>
      </x:c>
      <x:c r="G8273" t="str">
        <x:v>Office Supplies</x:v>
      </x:c>
      <x:c r="H8273" t="str">
        <x:v>Supplies</x:v>
      </x:c>
      <x:c r="I8273" s="22" t="n">
        <x:v>31.680000000000003</x:v>
      </x:c>
      <x:c r="J8273" s="24" t="n">
        <x:v>4</x:v>
      </x:c>
      <x:c r="K8273" s="26" t="n">
        <x:v>0.2</x:v>
      </x:c>
      <x:c r="L8273" s="22" t="n">
        <x:v>2.7719999999999994</x:v>
      </x:c>
      <x:c r="M8273" t="n">
        <x:v>2017</x:v>
      </x:c>
      <x:c r="N8273" s="20" t="n">
        <x:v>42736</x:v>
      </x:c>
    </x:row>
    <x:row r="8274" ht="18" customHeight="1">
      <x:c r="A8274" t="str">
        <x:v>CA-2017-121790</x:v>
      </x:c>
      <x:c r="B8274" s="18" t="n">
        <x:v>42765</x:v>
      </x:c>
      <x:c r="C8274" t="str">
        <x:v>LP-17095</x:v>
      </x:c>
      <x:c r="D8274" t="str">
        <x:v>Liz Preis</x:v>
      </x:c>
      <x:c r="E8274" t="str">
        <x:v>Consumer</x:v>
      </x:c>
      <x:c r="F8274" t="str">
        <x:v>Central</x:v>
      </x:c>
      <x:c r="G8274" t="str">
        <x:v>Technology</x:v>
      </x:c>
      <x:c r="H8274" t="str">
        <x:v>Phones</x:v>
      </x:c>
      <x:c r="I8274" s="22" t="n">
        <x:v>2003.1680000000001</x:v>
      </x:c>
      <x:c r="J8274" s="24" t="n">
        <x:v>4</x:v>
      </x:c>
      <x:c r="K8274" s="26" t="n">
        <x:v>0.2</x:v>
      </x:c>
      <x:c r="L8274" s="22" t="n">
        <x:v>250.39599999999984</x:v>
      </x:c>
      <x:c r="M8274" t="n">
        <x:v>2017</x:v>
      </x:c>
      <x:c r="N8274" s="20" t="n">
        <x:v>42736</x:v>
      </x:c>
    </x:row>
    <x:row r="8275" ht="18" customHeight="1">
      <x:c r="A8275" t="str">
        <x:v>CA-2017-121790</x:v>
      </x:c>
      <x:c r="B8275" s="18" t="n">
        <x:v>42765</x:v>
      </x:c>
      <x:c r="C8275" t="str">
        <x:v>LP-17095</x:v>
      </x:c>
      <x:c r="D8275" t="str">
        <x:v>Liz Preis</x:v>
      </x:c>
      <x:c r="E8275" t="str">
        <x:v>Consumer</x:v>
      </x:c>
      <x:c r="F8275" t="str">
        <x:v>Central</x:v>
      </x:c>
      <x:c r="G8275" t="str">
        <x:v>Office Supplies</x:v>
      </x:c>
      <x:c r="H8275" t="str">
        <x:v>Art</x:v>
      </x:c>
      <x:c r="I8275" s="22" t="n">
        <x:v>9.344</x:v>
      </x:c>
      <x:c r="J8275" s="24" t="n">
        <x:v>2</x:v>
      </x:c>
      <x:c r="K8275" s="26" t="n">
        <x:v>0.2</x:v>
      </x:c>
      <x:c r="L8275" s="22" t="n">
        <x:v>3.1535999999999995</x:v>
      </x:c>
      <x:c r="M8275" t="n">
        <x:v>2017</x:v>
      </x:c>
      <x:c r="N8275" s="20" t="n">
        <x:v>42736</x:v>
      </x:c>
    </x:row>
    <x:row r="8276" ht="18" customHeight="1">
      <x:c r="A8276" t="str">
        <x:v>CA-2016-169670</x:v>
      </x:c>
      <x:c r="B8276" s="18" t="n">
        <x:v>42729</x:v>
      </x:c>
      <x:c r="C8276" t="str">
        <x:v>JE-15715</x:v>
      </x:c>
      <x:c r="D8276" t="str">
        <x:v>Joe Elijah</x:v>
      </x:c>
      <x:c r="E8276" t="str">
        <x:v>Consumer</x:v>
      </x:c>
      <x:c r="F8276" t="str">
        <x:v>East</x:v>
      </x:c>
      <x:c r="G8276" t="str">
        <x:v>Furniture</x:v>
      </x:c>
      <x:c r="H8276" t="str">
        <x:v>Chairs</x:v>
      </x:c>
      <x:c r="I8276" s="22" t="n">
        <x:v>2563.056</x:v>
      </x:c>
      <x:c r="J8276" s="24" t="n">
        <x:v>8</x:v>
      </x:c>
      <x:c r="K8276" s="26" t="n">
        <x:v>0.1</x:v>
      </x:c>
      <x:c r="L8276" s="22" t="n">
        <x:v>313.2623999999997</x:v>
      </x:c>
      <x:c r="M8276" t="n">
        <x:v>2016</x:v>
      </x:c>
      <x:c r="N8276" s="20" t="n">
        <x:v>42705</x:v>
      </x:c>
    </x:row>
    <x:row r="8277" ht="18" customHeight="1">
      <x:c r="A8277" t="str">
        <x:v>CA-2016-139549</x:v>
      </x:c>
      <x:c r="B8277" s="18" t="n">
        <x:v>42663</x:v>
      </x:c>
      <x:c r="C8277" t="str">
        <x:v>MY-18295</x:v>
      </x:c>
      <x:c r="D8277" t="str">
        <x:v>Muhammed Yedwab</x:v>
      </x:c>
      <x:c r="E8277" t="str">
        <x:v>Corporate</x:v>
      </x:c>
      <x:c r="F8277" t="str">
        <x:v>West</x:v>
      </x:c>
      <x:c r="G8277" t="str">
        <x:v>Furniture</x:v>
      </x:c>
      <x:c r="H8277" t="str">
        <x:v>Chairs</x:v>
      </x:c>
      <x:c r="I8277" s="22" t="n">
        <x:v>387.136</x:v>
      </x:c>
      <x:c r="J8277" s="24" t="n">
        <x:v>4</x:v>
      </x:c>
      <x:c r="K8277" s="26" t="n">
        <x:v>0.2</x:v>
      </x:c>
      <x:c r="L8277" s="22" t="n">
        <x:v>4.839199999999991</x:v>
      </x:c>
      <x:c r="M8277" t="n">
        <x:v>2016</x:v>
      </x:c>
      <x:c r="N8277" s="20" t="n">
        <x:v>42644</x:v>
      </x:c>
    </x:row>
    <x:row r="8278" ht="18" customHeight="1">
      <x:c r="A8278" t="str">
        <x:v>CA-2015-104059</x:v>
      </x:c>
      <x:c r="B8278" s="18" t="n">
        <x:v>42168</x:v>
      </x:c>
      <x:c r="C8278" t="str">
        <x:v>FC-14245</x:v>
      </x:c>
      <x:c r="D8278" t="str">
        <x:v>Frank Carlisle</x:v>
      </x:c>
      <x:c r="E8278" t="str">
        <x:v>Home Office</x:v>
      </x:c>
      <x:c r="F8278" t="str">
        <x:v>East</x:v>
      </x:c>
      <x:c r="G8278" t="str">
        <x:v>Office Supplies</x:v>
      </x:c>
      <x:c r="H8278" t="str">
        <x:v>Art</x:v>
      </x:c>
      <x:c r="I8278" s="22" t="n">
        <x:v>3.4240000000000004</x:v>
      </x:c>
      <x:c r="J8278" s="24" t="n">
        <x:v>1</x:v>
      </x:c>
      <x:c r="K8278" s="26" t="n">
        <x:v>0.2</x:v>
      </x:c>
      <x:c r="L8278" s="22" t="n">
        <x:v>0.2996000000000001</x:v>
      </x:c>
      <x:c r="M8278" t="n">
        <x:v>2015</x:v>
      </x:c>
      <x:c r="N8278" s="20" t="n">
        <x:v>42156</x:v>
      </x:c>
    </x:row>
    <x:row r="8279" ht="18" customHeight="1">
      <x:c r="A8279" t="str">
        <x:v>CA-2017-164112</x:v>
      </x:c>
      <x:c r="B8279" s="18" t="n">
        <x:v>42916</x:v>
      </x:c>
      <x:c r="C8279" t="str">
        <x:v>ND-18460</x:v>
      </x:c>
      <x:c r="D8279" t="str">
        <x:v>Neil Ducich</x:v>
      </x:c>
      <x:c r="E8279" t="str">
        <x:v>Corporate</x:v>
      </x:c>
      <x:c r="F8279" t="str">
        <x:v>East</x:v>
      </x:c>
      <x:c r="G8279" t="str">
        <x:v>Office Supplies</x:v>
      </x:c>
      <x:c r="H8279" t="str">
        <x:v>Storage</x:v>
      </x:c>
      <x:c r="I8279" s="22" t="n">
        <x:v>1085.42</x:v>
      </x:c>
      <x:c r="J8279" s="24" t="n">
        <x:v>7</x:v>
      </x:c>
      <x:c r="K8279" s="26" t="n">
        <x:v>0</x:v>
      </x:c>
      <x:c r="L8279" s="22" t="n">
        <x:v>282.2092</x:v>
      </x:c>
      <x:c r="M8279" t="n">
        <x:v>2017</x:v>
      </x:c>
      <x:c r="N8279" s="20" t="n">
        <x:v>42887</x:v>
      </x:c>
    </x:row>
    <x:row r="8280" ht="18" customHeight="1">
      <x:c r="A8280" t="str">
        <x:v>CA-2015-143882</x:v>
      </x:c>
      <x:c r="B8280" s="18" t="n">
        <x:v>42181</x:v>
      </x:c>
      <x:c r="C8280" t="str">
        <x:v>DB-13360</x:v>
      </x:c>
      <x:c r="D8280" t="str">
        <x:v>Dennis Bolton</x:v>
      </x:c>
      <x:c r="E8280" t="str">
        <x:v>Home Office</x:v>
      </x:c>
      <x:c r="F8280" t="str">
        <x:v>East</x:v>
      </x:c>
      <x:c r="G8280" t="str">
        <x:v>Office Supplies</x:v>
      </x:c>
      <x:c r="H8280" t="str">
        <x:v>Paper</x:v>
      </x:c>
      <x:c r="I8280" s="22" t="n">
        <x:v>43.056000000000004</x:v>
      </x:c>
      <x:c r="J8280" s="24" t="n">
        <x:v>9</x:v>
      </x:c>
      <x:c r="K8280" s="26" t="n">
        <x:v>0.2</x:v>
      </x:c>
      <x:c r="L8280" s="22" t="n">
        <x:v>15.6078</x:v>
      </x:c>
      <x:c r="M8280" t="n">
        <x:v>2015</x:v>
      </x:c>
      <x:c r="N8280" s="20" t="n">
        <x:v>42156</x:v>
      </x:c>
    </x:row>
    <x:row r="8281" ht="18" customHeight="1">
      <x:c r="A8281" t="str">
        <x:v>US-2016-139262</x:v>
      </x:c>
      <x:c r="B8281" s="18" t="n">
        <x:v>42421</x:v>
      </x:c>
      <x:c r="C8281" t="str">
        <x:v>LC-16960</x:v>
      </x:c>
      <x:c r="D8281" t="str">
        <x:v>Lindsay Castell</x:v>
      </x:c>
      <x:c r="E8281" t="str">
        <x:v>Home Office</x:v>
      </x:c>
      <x:c r="F8281" t="str">
        <x:v>South</x:v>
      </x:c>
      <x:c r="G8281" t="str">
        <x:v>Office Supplies</x:v>
      </x:c>
      <x:c r="H8281" t="str">
        <x:v>Binders</x:v>
      </x:c>
      <x:c r="I8281" s="22" t="n">
        <x:v>3.762</x:v>
      </x:c>
      <x:c r="J8281" s="24" t="n">
        <x:v>3</x:v>
      </x:c>
      <x:c r="K8281" s="26" t="n">
        <x:v>0.7</x:v>
      </x:c>
      <x:c r="L8281" s="22" t="n">
        <x:v>-2.758799999999999</x:v>
      </x:c>
      <x:c r="M8281" t="n">
        <x:v>2016</x:v>
      </x:c>
      <x:c r="N8281" s="20" t="n">
        <x:v>42401</x:v>
      </x:c>
    </x:row>
    <x:row r="8282" ht="18" customHeight="1">
      <x:c r="A8282" t="str">
        <x:v>US-2016-139262</x:v>
      </x:c>
      <x:c r="B8282" s="18" t="n">
        <x:v>42421</x:v>
      </x:c>
      <x:c r="C8282" t="str">
        <x:v>LC-16960</x:v>
      </x:c>
      <x:c r="D8282" t="str">
        <x:v>Lindsay Castell</x:v>
      </x:c>
      <x:c r="E8282" t="str">
        <x:v>Home Office</x:v>
      </x:c>
      <x:c r="F8282" t="str">
        <x:v>South</x:v>
      </x:c>
      <x:c r="G8282" t="str">
        <x:v>Office Supplies</x:v>
      </x:c>
      <x:c r="H8282" t="str">
        <x:v>Binders</x:v>
      </x:c>
      <x:c r="I8282" s="22" t="n">
        <x:v>34.86000000000001</x:v>
      </x:c>
      <x:c r="J8282" s="24" t="n">
        <x:v>2</x:v>
      </x:c>
      <x:c r="K8282" s="26" t="n">
        <x:v>0.7</x:v>
      </x:c>
      <x:c r="L8282" s="22" t="n">
        <x:v>-26.726000000000006</x:v>
      </x:c>
      <x:c r="M8282" t="n">
        <x:v>2016</x:v>
      </x:c>
      <x:c r="N8282" s="20" t="n">
        <x:v>42401</x:v>
      </x:c>
    </x:row>
    <x:row r="8283" ht="18" customHeight="1">
      <x:c r="A8283" t="str">
        <x:v>US-2016-139262</x:v>
      </x:c>
      <x:c r="B8283" s="18" t="n">
        <x:v>42421</x:v>
      </x:c>
      <x:c r="C8283" t="str">
        <x:v>LC-16960</x:v>
      </x:c>
      <x:c r="D8283" t="str">
        <x:v>Lindsay Castell</x:v>
      </x:c>
      <x:c r="E8283" t="str">
        <x:v>Home Office</x:v>
      </x:c>
      <x:c r="F8283" t="str">
        <x:v>South</x:v>
      </x:c>
      <x:c r="G8283" t="str">
        <x:v>Office Supplies</x:v>
      </x:c>
      <x:c r="H8283" t="str">
        <x:v>Storage</x:v>
      </x:c>
      <x:c r="I8283" s="22" t="n">
        <x:v>432.456</x:v>
      </x:c>
      <x:c r="J8283" s="24" t="n">
        <x:v>3</x:v>
      </x:c>
      <x:c r="K8283" s="26" t="n">
        <x:v>0.2</x:v>
      </x:c>
      <x:c r="L8283" s="22" t="n">
        <x:v>32.434200000000004</x:v>
      </x:c>
      <x:c r="M8283" t="n">
        <x:v>2016</x:v>
      </x:c>
      <x:c r="N8283" s="20" t="n">
        <x:v>42401</x:v>
      </x:c>
    </x:row>
    <x:row r="8284" ht="18" customHeight="1">
      <x:c r="A8284" t="str">
        <x:v>CA-2017-146192</x:v>
      </x:c>
      <x:c r="B8284" s="18" t="n">
        <x:v>42847</x:v>
      </x:c>
      <x:c r="C8284" t="str">
        <x:v>BD-11725</x:v>
      </x:c>
      <x:c r="D8284" t="str">
        <x:v>Bruce Degenhardt</x:v>
      </x:c>
      <x:c r="E8284" t="str">
        <x:v>Consumer</x:v>
      </x:c>
      <x:c r="F8284" t="str">
        <x:v>South</x:v>
      </x:c>
      <x:c r="G8284" t="str">
        <x:v>Office Supplies</x:v>
      </x:c>
      <x:c r="H8284" t="str">
        <x:v>Storage</x:v>
      </x:c>
      <x:c r="I8284" s="22" t="n">
        <x:v>675.0600000000001</x:v>
      </x:c>
      <x:c r="J8284" s="24" t="n">
        <x:v>3</x:v>
      </x:c>
      <x:c r="K8284" s="26" t="n">
        <x:v>0</x:v>
      </x:c>
      <x:c r="L8284" s="22" t="n">
        <x:v>87.7578</x:v>
      </x:c>
      <x:c r="M8284" t="n">
        <x:v>2017</x:v>
      </x:c>
      <x:c r="N8284" s="20" t="n">
        <x:v>42826</x:v>
      </x:c>
    </x:row>
    <x:row r="8285" ht="18" customHeight="1">
      <x:c r="A8285" t="str">
        <x:v>CA-2017-134810</x:v>
      </x:c>
      <x:c r="B8285" s="18" t="n">
        <x:v>42864</x:v>
      </x:c>
      <x:c r="C8285" t="str">
        <x:v>MC-17605</x:v>
      </x:c>
      <x:c r="D8285" t="str">
        <x:v>Matt Connell</x:v>
      </x:c>
      <x:c r="E8285" t="str">
        <x:v>Corporate</x:v>
      </x:c>
      <x:c r="F8285" t="str">
        <x:v>South</x:v>
      </x:c>
      <x:c r="G8285" t="str">
        <x:v>Office Supplies</x:v>
      </x:c>
      <x:c r="H8285" t="str">
        <x:v>Envelopes</x:v>
      </x:c>
      <x:c r="I8285" s="22" t="n">
        <x:v>65.232</x:v>
      </x:c>
      <x:c r="J8285" s="24" t="n">
        <x:v>3</x:v>
      </x:c>
      <x:c r="K8285" s="26" t="n">
        <x:v>0.2</x:v>
      </x:c>
      <x:c r="L8285" s="22" t="n">
        <x:v>22.0158</x:v>
      </x:c>
      <x:c r="M8285" t="n">
        <x:v>2017</x:v>
      </x:c>
      <x:c r="N8285" s="20" t="n">
        <x:v>42856</x:v>
      </x:c>
    </x:row>
    <x:row r="8286" ht="18" customHeight="1">
      <x:c r="A8286" t="str">
        <x:v>CA-2017-134810</x:v>
      </x:c>
      <x:c r="B8286" s="18" t="n">
        <x:v>42864</x:v>
      </x:c>
      <x:c r="C8286" t="str">
        <x:v>MC-17605</x:v>
      </x:c>
      <x:c r="D8286" t="str">
        <x:v>Matt Connell</x:v>
      </x:c>
      <x:c r="E8286" t="str">
        <x:v>Corporate</x:v>
      </x:c>
      <x:c r="F8286" t="str">
        <x:v>South</x:v>
      </x:c>
      <x:c r="G8286" t="str">
        <x:v>Furniture</x:v>
      </x:c>
      <x:c r="H8286" t="str">
        <x:v>Chairs</x:v>
      </x:c>
      <x:c r="I8286" s="22" t="n">
        <x:v>207</x:v>
      </x:c>
      <x:c r="J8286" s="24" t="n">
        <x:v>3</x:v>
      </x:c>
      <x:c r="K8286" s="26" t="n">
        <x:v>0.2</x:v>
      </x:c>
      <x:c r="L8286" s="22" t="n">
        <x:v>25.87499999999997</x:v>
      </x:c>
      <x:c r="M8286" t="n">
        <x:v>2017</x:v>
      </x:c>
      <x:c r="N8286" s="20" t="n">
        <x:v>42856</x:v>
      </x:c>
    </x:row>
    <x:row r="8287" ht="18" customHeight="1">
      <x:c r="A8287" t="str">
        <x:v>CA-2015-154284</x:v>
      </x:c>
      <x:c r="B8287" s="18" t="n">
        <x:v>42359</x:v>
      </x:c>
      <x:c r="C8287" t="str">
        <x:v>SZ-20035</x:v>
      </x:c>
      <x:c r="D8287" t="str">
        <x:v>Sam Zeldin</x:v>
      </x:c>
      <x:c r="E8287" t="str">
        <x:v>Home Office</x:v>
      </x:c>
      <x:c r="F8287" t="str">
        <x:v>Central</x:v>
      </x:c>
      <x:c r="G8287" t="str">
        <x:v>Technology</x:v>
      </x:c>
      <x:c r="H8287" t="str">
        <x:v>Machines</x:v>
      </x:c>
      <x:c r="I8287" s="22" t="n">
        <x:v>600.53</x:v>
      </x:c>
      <x:c r="J8287" s="24" t="n">
        <x:v>2</x:v>
      </x:c>
      <x:c r="K8287" s="26" t="n">
        <x:v>0.3</x:v>
      </x:c>
      <x:c r="L8287" s="22" t="n">
        <x:v>137.26399999999995</x:v>
      </x:c>
      <x:c r="M8287" t="n">
        <x:v>2015</x:v>
      </x:c>
      <x:c r="N8287" s="20" t="n">
        <x:v>42339</x:v>
      </x:c>
    </x:row>
    <x:row r="8288" ht="18" customHeight="1">
      <x:c r="A8288" t="str">
        <x:v>CA-2015-154284</x:v>
      </x:c>
      <x:c r="B8288" s="18" t="n">
        <x:v>42359</x:v>
      </x:c>
      <x:c r="C8288" t="str">
        <x:v>SZ-20035</x:v>
      </x:c>
      <x:c r="D8288" t="str">
        <x:v>Sam Zeldin</x:v>
      </x:c>
      <x:c r="E8288" t="str">
        <x:v>Home Office</x:v>
      </x:c>
      <x:c r="F8288" t="str">
        <x:v>Central</x:v>
      </x:c>
      <x:c r="G8288" t="str">
        <x:v>Office Supplies</x:v>
      </x:c>
      <x:c r="H8288" t="str">
        <x:v>Art</x:v>
      </x:c>
      <x:c r="I8288" s="22" t="n">
        <x:v>59.903999999999996</x:v>
      </x:c>
      <x:c r="J8288" s="24" t="n">
        <x:v>2</x:v>
      </x:c>
      <x:c r="K8288" s="26" t="n">
        <x:v>0.2</x:v>
      </x:c>
      <x:c r="L8288" s="22" t="n">
        <x:v>14.227200000000003</x:v>
      </x:c>
      <x:c r="M8288" t="n">
        <x:v>2015</x:v>
      </x:c>
      <x:c r="N8288" s="20" t="n">
        <x:v>42339</x:v>
      </x:c>
    </x:row>
    <x:row r="8289" ht="18" customHeight="1">
      <x:c r="A8289" t="str">
        <x:v>CA-2015-154284</x:v>
      </x:c>
      <x:c r="B8289" s="18" t="n">
        <x:v>42359</x:v>
      </x:c>
      <x:c r="C8289" t="str">
        <x:v>SZ-20035</x:v>
      </x:c>
      <x:c r="D8289" t="str">
        <x:v>Sam Zeldin</x:v>
      </x:c>
      <x:c r="E8289" t="str">
        <x:v>Home Office</x:v>
      </x:c>
      <x:c r="F8289" t="str">
        <x:v>Central</x:v>
      </x:c>
      <x:c r="G8289" t="str">
        <x:v>Technology</x:v>
      </x:c>
      <x:c r="H8289" t="str">
        <x:v>Accessories</x:v>
      </x:c>
      <x:c r="I8289" s="22" t="n">
        <x:v>637.44</x:v>
      </x:c>
      <x:c r="J8289" s="24" t="n">
        <x:v>8</x:v>
      </x:c>
      <x:c r="K8289" s="26" t="n">
        <x:v>0.2</x:v>
      </x:c>
      <x:c r="L8289" s="22" t="n">
        <x:v>135.45599999999996</x:v>
      </x:c>
      <x:c r="M8289" t="n">
        <x:v>2015</x:v>
      </x:c>
      <x:c r="N8289" s="20" t="n">
        <x:v>42339</x:v>
      </x:c>
    </x:row>
    <x:row r="8290" ht="18" customHeight="1">
      <x:c r="A8290" t="str">
        <x:v>CA-2015-154284</x:v>
      </x:c>
      <x:c r="B8290" s="18" t="n">
        <x:v>42359</x:v>
      </x:c>
      <x:c r="C8290" t="str">
        <x:v>SZ-20035</x:v>
      </x:c>
      <x:c r="D8290" t="str">
        <x:v>Sam Zeldin</x:v>
      </x:c>
      <x:c r="E8290" t="str">
        <x:v>Home Office</x:v>
      </x:c>
      <x:c r="F8290" t="str">
        <x:v>Central</x:v>
      </x:c>
      <x:c r="G8290" t="str">
        <x:v>Furniture</x:v>
      </x:c>
      <x:c r="H8290" t="str">
        <x:v>Furnishings</x:v>
      </x:c>
      <x:c r="I8290" s="22" t="n">
        <x:v>51.75600000000001</x:v>
      </x:c>
      <x:c r="J8290" s="24" t="n">
        <x:v>3</x:v>
      </x:c>
      <x:c r="K8290" s="26" t="n">
        <x:v>0.6</x:v>
      </x:c>
      <x:c r="L8290" s="22" t="n">
        <x:v>-33.6414</x:v>
      </x:c>
      <x:c r="M8290" t="n">
        <x:v>2015</x:v>
      </x:c>
      <x:c r="N8290" s="20" t="n">
        <x:v>42339</x:v>
      </x:c>
    </x:row>
    <x:row r="8291" ht="18" customHeight="1">
      <x:c r="A8291" t="str">
        <x:v>CA-2014-156244</x:v>
      </x:c>
      <x:c r="B8291" s="18" t="n">
        <x:v>41863</x:v>
      </x:c>
      <x:c r="C8291" t="str">
        <x:v>DH-13675</x:v>
      </x:c>
      <x:c r="D8291" t="str">
        <x:v>Duane Huffman</x:v>
      </x:c>
      <x:c r="E8291" t="str">
        <x:v>Home Office</x:v>
      </x:c>
      <x:c r="F8291" t="str">
        <x:v>South</x:v>
      </x:c>
      <x:c r="G8291" t="str">
        <x:v>Office Supplies</x:v>
      </x:c>
      <x:c r="H8291" t="str">
        <x:v>Paper</x:v>
      </x:c>
      <x:c r="I8291" s="22" t="n">
        <x:v>31.104000000000006</x:v>
      </x:c>
      <x:c r="J8291" s="24" t="n">
        <x:v>6</x:v>
      </x:c>
      <x:c r="K8291" s="26" t="n">
        <x:v>0.2</x:v>
      </x:c>
      <x:c r="L8291" s="22" t="n">
        <x:v>10.8864</x:v>
      </x:c>
      <x:c r="M8291" t="n">
        <x:v>2014</x:v>
      </x:c>
      <x:c r="N8291" s="20" t="n">
        <x:v>41852</x:v>
      </x:c>
    </x:row>
    <x:row r="8292" ht="18" customHeight="1">
      <x:c r="A8292" t="str">
        <x:v>CA-2014-156244</x:v>
      </x:c>
      <x:c r="B8292" s="18" t="n">
        <x:v>41863</x:v>
      </x:c>
      <x:c r="C8292" t="str">
        <x:v>DH-13675</x:v>
      </x:c>
      <x:c r="D8292" t="str">
        <x:v>Duane Huffman</x:v>
      </x:c>
      <x:c r="E8292" t="str">
        <x:v>Home Office</x:v>
      </x:c>
      <x:c r="F8292" t="str">
        <x:v>South</x:v>
      </x:c>
      <x:c r="G8292" t="str">
        <x:v>Office Supplies</x:v>
      </x:c>
      <x:c r="H8292" t="str">
        <x:v>Art</x:v>
      </x:c>
      <x:c r="I8292" s="22" t="n">
        <x:v>47.96</x:v>
      </x:c>
      <x:c r="J8292" s="24" t="n">
        <x:v>5</x:v>
      </x:c>
      <x:c r="K8292" s="26" t="n">
        <x:v>0.2</x:v>
      </x:c>
      <x:c r="L8292" s="22" t="n">
        <x:v>4.196499999999995</x:v>
      </x:c>
      <x:c r="M8292" t="n">
        <x:v>2014</x:v>
      </x:c>
      <x:c r="N8292" s="20" t="n">
        <x:v>41852</x:v>
      </x:c>
    </x:row>
    <x:row r="8293" ht="18" customHeight="1">
      <x:c r="A8293" t="str">
        <x:v>CA-2014-156244</x:v>
      </x:c>
      <x:c r="B8293" s="18" t="n">
        <x:v>41863</x:v>
      </x:c>
      <x:c r="C8293" t="str">
        <x:v>DH-13675</x:v>
      </x:c>
      <x:c r="D8293" t="str">
        <x:v>Duane Huffman</x:v>
      </x:c>
      <x:c r="E8293" t="str">
        <x:v>Home Office</x:v>
      </x:c>
      <x:c r="F8293" t="str">
        <x:v>South</x:v>
      </x:c>
      <x:c r="G8293" t="str">
        <x:v>Technology</x:v>
      </x:c>
      <x:c r="H8293" t="str">
        <x:v>Accessories</x:v>
      </x:c>
      <x:c r="I8293" s="22" t="n">
        <x:v>158.928</x:v>
      </x:c>
      <x:c r="J8293" s="24" t="n">
        <x:v>7</x:v>
      </x:c>
      <x:c r="K8293" s="26" t="n">
        <x:v>0.2</x:v>
      </x:c>
      <x:c r="L8293" s="22" t="n">
        <x:v>41.718599999999995</x:v>
      </x:c>
      <x:c r="M8293" t="n">
        <x:v>2014</x:v>
      </x:c>
      <x:c r="N8293" s="20" t="n">
        <x:v>41852</x:v>
      </x:c>
    </x:row>
    <x:row r="8294" ht="18" customHeight="1">
      <x:c r="A8294" t="str">
        <x:v>CA-2014-156244</x:v>
      </x:c>
      <x:c r="B8294" s="18" t="n">
        <x:v>41863</x:v>
      </x:c>
      <x:c r="C8294" t="str">
        <x:v>DH-13675</x:v>
      </x:c>
      <x:c r="D8294" t="str">
        <x:v>Duane Huffman</x:v>
      </x:c>
      <x:c r="E8294" t="str">
        <x:v>Home Office</x:v>
      </x:c>
      <x:c r="F8294" t="str">
        <x:v>South</x:v>
      </x:c>
      <x:c r="G8294" t="str">
        <x:v>Office Supplies</x:v>
      </x:c>
      <x:c r="H8294" t="str">
        <x:v>Appliances</x:v>
      </x:c>
      <x:c r="I8294" s="22" t="n">
        <x:v>211.248</x:v>
      </x:c>
      <x:c r="J8294" s="24" t="n">
        <x:v>6</x:v>
      </x:c>
      <x:c r="K8294" s="26" t="n">
        <x:v>0.2</x:v>
      </x:c>
      <x:c r="L8294" s="22" t="n">
        <x:v>15.843599999999995</x:v>
      </x:c>
      <x:c r="M8294" t="n">
        <x:v>2014</x:v>
      </x:c>
      <x:c r="N8294" s="20" t="n">
        <x:v>41852</x:v>
      </x:c>
    </x:row>
    <x:row r="8295" ht="18" customHeight="1">
      <x:c r="A8295" t="str">
        <x:v>CA-2014-156244</x:v>
      </x:c>
      <x:c r="B8295" s="18" t="n">
        <x:v>41863</x:v>
      </x:c>
      <x:c r="C8295" t="str">
        <x:v>DH-13675</x:v>
      </x:c>
      <x:c r="D8295" t="str">
        <x:v>Duane Huffman</x:v>
      </x:c>
      <x:c r="E8295" t="str">
        <x:v>Home Office</x:v>
      </x:c>
      <x:c r="F8295" t="str">
        <x:v>South</x:v>
      </x:c>
      <x:c r="G8295" t="str">
        <x:v>Office Supplies</x:v>
      </x:c>
      <x:c r="H8295" t="str">
        <x:v>Supplies</x:v>
      </x:c>
      <x:c r="I8295" s="22" t="n">
        <x:v>5.5520000000000005</x:v>
      </x:c>
      <x:c r="J8295" s="24" t="n">
        <x:v>2</x:v>
      </x:c>
      <x:c r="K8295" s="26" t="n">
        <x:v>0.2</x:v>
      </x:c>
      <x:c r="L8295" s="22" t="n">
        <x:v>-1.0410000000000006</x:v>
      </x:c>
      <x:c r="M8295" t="n">
        <x:v>2014</x:v>
      </x:c>
      <x:c r="N8295" s="20" t="n">
        <x:v>41852</x:v>
      </x:c>
    </x:row>
    <x:row r="8296" ht="18" customHeight="1">
      <x:c r="A8296" t="str">
        <x:v>CA-2014-156244</x:v>
      </x:c>
      <x:c r="B8296" s="18" t="n">
        <x:v>41863</x:v>
      </x:c>
      <x:c r="C8296" t="str">
        <x:v>DH-13675</x:v>
      </x:c>
      <x:c r="D8296" t="str">
        <x:v>Duane Huffman</x:v>
      </x:c>
      <x:c r="E8296" t="str">
        <x:v>Home Office</x:v>
      </x:c>
      <x:c r="F8296" t="str">
        <x:v>South</x:v>
      </x:c>
      <x:c r="G8296" t="str">
        <x:v>Office Supplies</x:v>
      </x:c>
      <x:c r="H8296" t="str">
        <x:v>Labels</x:v>
      </x:c>
      <x:c r="I8296" s="22" t="n">
        <x:v>2.952</x:v>
      </x:c>
      <x:c r="J8296" s="24" t="n">
        <x:v>1</x:v>
      </x:c>
      <x:c r="K8296" s="26" t="n">
        <x:v>0.2</x:v>
      </x:c>
      <x:c r="L8296" s="22" t="n">
        <x:v>0.9963</x:v>
      </x:c>
      <x:c r="M8296" t="n">
        <x:v>2014</x:v>
      </x:c>
      <x:c r="N8296" s="20" t="n">
        <x:v>41852</x:v>
      </x:c>
    </x:row>
    <x:row r="8297" ht="18" customHeight="1">
      <x:c r="A8297" t="str">
        <x:v>CA-2015-106362</x:v>
      </x:c>
      <x:c r="B8297" s="18" t="n">
        <x:v>42349</x:v>
      </x:c>
      <x:c r="C8297" t="str">
        <x:v>LC-16885</x:v>
      </x:c>
      <x:c r="D8297" t="str">
        <x:v>Lena Creighton</x:v>
      </x:c>
      <x:c r="E8297" t="str">
        <x:v>Consumer</x:v>
      </x:c>
      <x:c r="F8297" t="str">
        <x:v>East</x:v>
      </x:c>
      <x:c r="G8297" t="str">
        <x:v>Office Supplies</x:v>
      </x:c>
      <x:c r="H8297" t="str">
        <x:v>Binders</x:v>
      </x:c>
      <x:c r="I8297" s="22" t="n">
        <x:v>10.332000000000003</x:v>
      </x:c>
      <x:c r="J8297" s="24" t="n">
        <x:v>3</x:v>
      </x:c>
      <x:c r="K8297" s="26" t="n">
        <x:v>0.7</x:v>
      </x:c>
      <x:c r="L8297" s="22" t="n">
        <x:v>-7.576799999999999</x:v>
      </x:c>
      <x:c r="M8297" t="n">
        <x:v>2015</x:v>
      </x:c>
      <x:c r="N8297" s="20" t="n">
        <x:v>42339</x:v>
      </x:c>
    </x:row>
    <x:row r="8298" ht="18" customHeight="1">
      <x:c r="A8298" t="str">
        <x:v>US-2017-168802</x:v>
      </x:c>
      <x:c r="B8298" s="18" t="n">
        <x:v>43042</x:v>
      </x:c>
      <x:c r="C8298" t="str">
        <x:v>JO-15145</x:v>
      </x:c>
      <x:c r="D8298" t="str">
        <x:v>Jack O'Briant</x:v>
      </x:c>
      <x:c r="E8298" t="str">
        <x:v>Corporate</x:v>
      </x:c>
      <x:c r="F8298" t="str">
        <x:v>West</x:v>
      </x:c>
      <x:c r="G8298" t="str">
        <x:v>Office Supplies</x:v>
      </x:c>
      <x:c r="H8298" t="str">
        <x:v>Binders</x:v>
      </x:c>
      <x:c r="I8298" s="22" t="n">
        <x:v>18.368000000000002</x:v>
      </x:c>
      <x:c r="J8298" s="24" t="n">
        <x:v>4</x:v>
      </x:c>
      <x:c r="K8298" s="26" t="n">
        <x:v>0.2</x:v>
      </x:c>
      <x:c r="L8298" s="22" t="n">
        <x:v>5.9696</x:v>
      </x:c>
      <x:c r="M8298" t="n">
        <x:v>2017</x:v>
      </x:c>
      <x:c r="N8298" s="20" t="n">
        <x:v>43040</x:v>
      </x:c>
    </x:row>
    <x:row r="8299" ht="18" customHeight="1">
      <x:c r="A8299" t="str">
        <x:v>US-2017-146906</x:v>
      </x:c>
      <x:c r="B8299" s="18" t="n">
        <x:v>42807</x:v>
      </x:c>
      <x:c r="C8299" t="str">
        <x:v>MT-17815</x:v>
      </x:c>
      <x:c r="D8299" t="str">
        <x:v>Meg Tillman</x:v>
      </x:c>
      <x:c r="E8299" t="str">
        <x:v>Consumer</x:v>
      </x:c>
      <x:c r="F8299" t="str">
        <x:v>East</x:v>
      </x:c>
      <x:c r="G8299" t="str">
        <x:v>Technology</x:v>
      </x:c>
      <x:c r="H8299" t="str">
        <x:v>Phones</x:v>
      </x:c>
      <x:c r="I8299" s="22" t="n">
        <x:v>299.9</x:v>
      </x:c>
      <x:c r="J8299" s="24" t="n">
        <x:v>2</x:v>
      </x:c>
      <x:c r="K8299" s="26" t="n">
        <x:v>0</x:v>
      </x:c>
      <x:c r="L8299" s="22" t="n">
        <x:v>74.975</x:v>
      </x:c>
      <x:c r="M8299" t="n">
        <x:v>2017</x:v>
      </x:c>
      <x:c r="N8299" s="20" t="n">
        <x:v>42795</x:v>
      </x:c>
    </x:row>
    <x:row r="8300" ht="18" customHeight="1">
      <x:c r="A8300" t="str">
        <x:v>CA-2016-166380</x:v>
      </x:c>
      <x:c r="B8300" s="18" t="n">
        <x:v>42520</x:v>
      </x:c>
      <x:c r="C8300" t="str">
        <x:v>EB-13750</x:v>
      </x:c>
      <x:c r="D8300" t="str">
        <x:v>Edward Becker</x:v>
      </x:c>
      <x:c r="E8300" t="str">
        <x:v>Corporate</x:v>
      </x:c>
      <x:c r="F8300" t="str">
        <x:v>South</x:v>
      </x:c>
      <x:c r="G8300" t="str">
        <x:v>Office Supplies</x:v>
      </x:c>
      <x:c r="H8300" t="str">
        <x:v>Envelopes</x:v>
      </x:c>
      <x:c r="I8300" s="22" t="n">
        <x:v>26.55</x:v>
      </x:c>
      <x:c r="J8300" s="24" t="n">
        <x:v>9</x:v>
      </x:c>
      <x:c r="K8300" s="26" t="n">
        <x:v>0</x:v>
      </x:c>
      <x:c r="L8300" s="22" t="n">
        <x:v>12.744</x:v>
      </x:c>
      <x:c r="M8300" t="n">
        <x:v>2016</x:v>
      </x:c>
      <x:c r="N8300" s="20" t="n">
        <x:v>42491</x:v>
      </x:c>
    </x:row>
    <x:row r="8301" ht="18" customHeight="1">
      <x:c r="A8301" t="str">
        <x:v>CA-2016-166380</x:v>
      </x:c>
      <x:c r="B8301" s="18" t="n">
        <x:v>42520</x:v>
      </x:c>
      <x:c r="C8301" t="str">
        <x:v>EB-13750</x:v>
      </x:c>
      <x:c r="D8301" t="str">
        <x:v>Edward Becker</x:v>
      </x:c>
      <x:c r="E8301" t="str">
        <x:v>Corporate</x:v>
      </x:c>
      <x:c r="F8301" t="str">
        <x:v>South</x:v>
      </x:c>
      <x:c r="G8301" t="str">
        <x:v>Technology</x:v>
      </x:c>
      <x:c r="H8301" t="str">
        <x:v>Accessories</x:v>
      </x:c>
      <x:c r="I8301" s="22" t="n">
        <x:v>111.98</x:v>
      </x:c>
      <x:c r="J8301" s="24" t="n">
        <x:v>2</x:v>
      </x:c>
      <x:c r="K8301" s="26" t="n">
        <x:v>0</x:v>
      </x:c>
      <x:c r="L8301" s="22" t="n">
        <x:v>26.875200000000007</x:v>
      </x:c>
      <x:c r="M8301" t="n">
        <x:v>2016</x:v>
      </x:c>
      <x:c r="N8301" s="20" t="n">
        <x:v>42491</x:v>
      </x:c>
    </x:row>
    <x:row r="8302" ht="18" customHeight="1">
      <x:c r="A8302" t="str">
        <x:v>US-2015-158911</x:v>
      </x:c>
      <x:c r="B8302" s="18" t="n">
        <x:v>42190</x:v>
      </x:c>
      <x:c r="C8302" t="str">
        <x:v>RS-19765</x:v>
      </x:c>
      <x:c r="D8302" t="str">
        <x:v>Roland Schwarz</x:v>
      </x:c>
      <x:c r="E8302" t="str">
        <x:v>Corporate</x:v>
      </x:c>
      <x:c r="F8302" t="str">
        <x:v>South</x:v>
      </x:c>
      <x:c r="G8302" t="str">
        <x:v>Furniture</x:v>
      </x:c>
      <x:c r="H8302" t="str">
        <x:v>Furnishings</x:v>
      </x:c>
      <x:c r="I8302" s="22" t="n">
        <x:v>4.928000000000001</x:v>
      </x:c>
      <x:c r="J8302" s="24" t="n">
        <x:v>2</x:v>
      </x:c>
      <x:c r="K8302" s="26" t="n">
        <x:v>0.2</x:v>
      </x:c>
      <x:c r="L8302" s="22" t="n">
        <x:v>0.7391999999999994</x:v>
      </x:c>
      <x:c r="M8302" t="n">
        <x:v>2015</x:v>
      </x:c>
      <x:c r="N8302" s="20" t="n">
        <x:v>42186</x:v>
      </x:c>
    </x:row>
    <x:row r="8303" ht="18" customHeight="1">
      <x:c r="A8303" t="str">
        <x:v>US-2015-158911</x:v>
      </x:c>
      <x:c r="B8303" s="18" t="n">
        <x:v>42190</x:v>
      </x:c>
      <x:c r="C8303" t="str">
        <x:v>RS-19765</x:v>
      </x:c>
      <x:c r="D8303" t="str">
        <x:v>Roland Schwarz</x:v>
      </x:c>
      <x:c r="E8303" t="str">
        <x:v>Corporate</x:v>
      </x:c>
      <x:c r="F8303" t="str">
        <x:v>South</x:v>
      </x:c>
      <x:c r="G8303" t="str">
        <x:v>Office Supplies</x:v>
      </x:c>
      <x:c r="H8303" t="str">
        <x:v>Labels</x:v>
      </x:c>
      <x:c r="I8303" s="22" t="n">
        <x:v>11.784</x:v>
      </x:c>
      <x:c r="J8303" s="24" t="n">
        <x:v>3</x:v>
      </x:c>
      <x:c r="K8303" s="26" t="n">
        <x:v>0.2</x:v>
      </x:c>
      <x:c r="L8303" s="22" t="n">
        <x:v>4.271699999999999</x:v>
      </x:c>
      <x:c r="M8303" t="n">
        <x:v>2015</x:v>
      </x:c>
      <x:c r="N8303" s="20" t="n">
        <x:v>42186</x:v>
      </x:c>
    </x:row>
    <x:row r="8304" ht="18" customHeight="1">
      <x:c r="A8304" t="str">
        <x:v>US-2014-103338</x:v>
      </x:c>
      <x:c r="B8304" s="18" t="n">
        <x:v>41709</x:v>
      </x:c>
      <x:c r="C8304" t="str">
        <x:v>RB-19435</x:v>
      </x:c>
      <x:c r="D8304" t="str">
        <x:v>Richard Bierner</x:v>
      </x:c>
      <x:c r="E8304" t="str">
        <x:v>Consumer</x:v>
      </x:c>
      <x:c r="F8304" t="str">
        <x:v>West</x:v>
      </x:c>
      <x:c r="G8304" t="str">
        <x:v>Office Supplies</x:v>
      </x:c>
      <x:c r="H8304" t="str">
        <x:v>Art</x:v>
      </x:c>
      <x:c r="I8304" s="22" t="n">
        <x:v>7.98</x:v>
      </x:c>
      <x:c r="J8304" s="24" t="n">
        <x:v>3</x:v>
      </x:c>
      <x:c r="K8304" s="26" t="n">
        <x:v>0</x:v>
      </x:c>
      <x:c r="L8304" s="22" t="n">
        <x:v>2.0747999999999998</x:v>
      </x:c>
      <x:c r="M8304" t="n">
        <x:v>2014</x:v>
      </x:c>
      <x:c r="N8304" s="20" t="n">
        <x:v>41699</x:v>
      </x:c>
    </x:row>
    <x:row r="8305" ht="18" customHeight="1">
      <x:c r="A8305" t="str">
        <x:v>CA-2015-109169</x:v>
      </x:c>
      <x:c r="B8305" s="18" t="n">
        <x:v>42114</x:v>
      </x:c>
      <x:c r="C8305" t="str">
        <x:v>OT-18730</x:v>
      </x:c>
      <x:c r="D8305" t="str">
        <x:v>Olvera Toch</x:v>
      </x:c>
      <x:c r="E8305" t="str">
        <x:v>Consumer</x:v>
      </x:c>
      <x:c r="F8305" t="str">
        <x:v>Central</x:v>
      </x:c>
      <x:c r="G8305" t="str">
        <x:v>Office Supplies</x:v>
      </x:c>
      <x:c r="H8305" t="str">
        <x:v>Envelopes</x:v>
      </x:c>
      <x:c r="I8305" s="22" t="n">
        <x:v>180.96</x:v>
      </x:c>
      <x:c r="J8305" s="24" t="n">
        <x:v>2</x:v>
      </x:c>
      <x:c r="K8305" s="26" t="n">
        <x:v>0</x:v>
      </x:c>
      <x:c r="L8305" s="22" t="n">
        <x:v>81.432</x:v>
      </x:c>
      <x:c r="M8305" t="n">
        <x:v>2015</x:v>
      </x:c>
      <x:c r="N8305" s="20" t="n">
        <x:v>42095</x:v>
      </x:c>
    </x:row>
    <x:row r="8306" ht="18" customHeight="1">
      <x:c r="A8306" t="str">
        <x:v>US-2017-167318</x:v>
      </x:c>
      <x:c r="B8306" s="18" t="n">
        <x:v>42942</x:v>
      </x:c>
      <x:c r="C8306" t="str">
        <x:v>GZ-14545</x:v>
      </x:c>
      <x:c r="D8306" t="str">
        <x:v>George Zrebassa</x:v>
      </x:c>
      <x:c r="E8306" t="str">
        <x:v>Corporate</x:v>
      </x:c>
      <x:c r="F8306" t="str">
        <x:v>West</x:v>
      </x:c>
      <x:c r="G8306" t="str">
        <x:v>Technology</x:v>
      </x:c>
      <x:c r="H8306" t="str">
        <x:v>Accessories</x:v>
      </x:c>
      <x:c r="I8306" s="22" t="n">
        <x:v>1649.95</x:v>
      </x:c>
      <x:c r="J8306" s="24" t="n">
        <x:v>5</x:v>
      </x:c>
      <x:c r="K8306" s="26" t="n">
        <x:v>0</x:v>
      </x:c>
      <x:c r="L8306" s="22" t="n">
        <x:v>659.98</x:v>
      </x:c>
      <x:c r="M8306" t="n">
        <x:v>2017</x:v>
      </x:c>
      <x:c r="N8306" s="20" t="n">
        <x:v>42917</x:v>
      </x:c>
    </x:row>
    <x:row r="8307" ht="18" customHeight="1">
      <x:c r="A8307" t="str">
        <x:v>US-2017-167318</x:v>
      </x:c>
      <x:c r="B8307" s="18" t="n">
        <x:v>42942</x:v>
      </x:c>
      <x:c r="C8307" t="str">
        <x:v>GZ-14545</x:v>
      </x:c>
      <x:c r="D8307" t="str">
        <x:v>George Zrebassa</x:v>
      </x:c>
      <x:c r="E8307" t="str">
        <x:v>Corporate</x:v>
      </x:c>
      <x:c r="F8307" t="str">
        <x:v>West</x:v>
      </x:c>
      <x:c r="G8307" t="str">
        <x:v>Furniture</x:v>
      </x:c>
      <x:c r="H8307" t="str">
        <x:v>Chairs</x:v>
      </x:c>
      <x:c r="I8307" s="22" t="n">
        <x:v>362.352</x:v>
      </x:c>
      <x:c r="J8307" s="24" t="n">
        <x:v>3</x:v>
      </x:c>
      <x:c r="K8307" s="26" t="n">
        <x:v>0.2</x:v>
      </x:c>
      <x:c r="L8307" s="22" t="n">
        <x:v>45.293999999999954</x:v>
      </x:c>
      <x:c r="M8307" t="n">
        <x:v>2017</x:v>
      </x:c>
      <x:c r="N8307" s="20" t="n">
        <x:v>42917</x:v>
      </x:c>
    </x:row>
    <x:row r="8308" ht="18" customHeight="1">
      <x:c r="A8308" t="str">
        <x:v>US-2014-120313</x:v>
      </x:c>
      <x:c r="B8308" s="18" t="n">
        <x:v>41943</x:v>
      </x:c>
      <x:c r="C8308" t="str">
        <x:v>NL-18310</x:v>
      </x:c>
      <x:c r="D8308" t="str">
        <x:v>Nancy Lomonaco</x:v>
      </x:c>
      <x:c r="E8308" t="str">
        <x:v>Home Office</x:v>
      </x:c>
      <x:c r="F8308" t="str">
        <x:v>West</x:v>
      </x:c>
      <x:c r="G8308" t="str">
        <x:v>Technology</x:v>
      </x:c>
      <x:c r="H8308" t="str">
        <x:v>Phones</x:v>
      </x:c>
      <x:c r="I8308" s="22" t="n">
        <x:v>73.584</x:v>
      </x:c>
      <x:c r="J8308" s="24" t="n">
        <x:v>2</x:v>
      </x:c>
      <x:c r="K8308" s="26" t="n">
        <x:v>0.2</x:v>
      </x:c>
      <x:c r="L8308" s="22" t="n">
        <x:v>8.278199999999998</x:v>
      </x:c>
      <x:c r="M8308" t="n">
        <x:v>2014</x:v>
      </x:c>
      <x:c r="N8308" s="20" t="n">
        <x:v>41913</x:v>
      </x:c>
    </x:row>
    <x:row r="8309" ht="18" customHeight="1">
      <x:c r="A8309" t="str">
        <x:v>CA-2017-135419</x:v>
      </x:c>
      <x:c r="B8309" s="18" t="n">
        <x:v>43042</x:v>
      </x:c>
      <x:c r="C8309" t="str">
        <x:v>BG-11740</x:v>
      </x:c>
      <x:c r="D8309" t="str">
        <x:v>Bruce Geld</x:v>
      </x:c>
      <x:c r="E8309" t="str">
        <x:v>Consumer</x:v>
      </x:c>
      <x:c r="F8309" t="str">
        <x:v>West</x:v>
      </x:c>
      <x:c r="G8309" t="str">
        <x:v>Furniture</x:v>
      </x:c>
      <x:c r="H8309" t="str">
        <x:v>Tables</x:v>
      </x:c>
      <x:c r="I8309" s="22" t="n">
        <x:v>486.36800000000005</x:v>
      </x:c>
      <x:c r="J8309" s="24" t="n">
        <x:v>4</x:v>
      </x:c>
      <x:c r="K8309" s="26" t="n">
        <x:v>0.2</x:v>
      </x:c>
      <x:c r="L8309" s="22" t="n">
        <x:v>36.477600000000024</x:v>
      </x:c>
      <x:c r="M8309" t="n">
        <x:v>2017</x:v>
      </x:c>
      <x:c r="N8309" s="20" t="n">
        <x:v>43040</x:v>
      </x:c>
    </x:row>
    <x:row r="8310" ht="18" customHeight="1">
      <x:c r="A8310" t="str">
        <x:v>CA-2016-128671</x:v>
      </x:c>
      <x:c r="B8310" s="18" t="n">
        <x:v>42593</x:v>
      </x:c>
      <x:c r="C8310" t="str">
        <x:v>MT-18070</x:v>
      </x:c>
      <x:c r="D8310" t="str">
        <x:v>Michelle Tran</x:v>
      </x:c>
      <x:c r="E8310" t="str">
        <x:v>Home Office</x:v>
      </x:c>
      <x:c r="F8310" t="str">
        <x:v>Central</x:v>
      </x:c>
      <x:c r="G8310" t="str">
        <x:v>Office Supplies</x:v>
      </x:c>
      <x:c r="H8310" t="str">
        <x:v>Paper</x:v>
      </x:c>
      <x:c r="I8310" s="22" t="n">
        <x:v>32.400000000000006</x:v>
      </x:c>
      <x:c r="J8310" s="24" t="n">
        <x:v>5</x:v>
      </x:c>
      <x:c r="K8310" s="26" t="n">
        <x:v>0</x:v>
      </x:c>
      <x:c r="L8310" s="22" t="n">
        <x:v>15.552000000000001</x:v>
      </x:c>
      <x:c r="M8310" t="n">
        <x:v>2016</x:v>
      </x:c>
      <x:c r="N8310" s="20" t="n">
        <x:v>42583</x:v>
      </x:c>
    </x:row>
    <x:row r="8311" ht="18" customHeight="1">
      <x:c r="A8311" t="str">
        <x:v>CA-2016-128671</x:v>
      </x:c>
      <x:c r="B8311" s="18" t="n">
        <x:v>42593</x:v>
      </x:c>
      <x:c r="C8311" t="str">
        <x:v>MT-18070</x:v>
      </x:c>
      <x:c r="D8311" t="str">
        <x:v>Michelle Tran</x:v>
      </x:c>
      <x:c r="E8311" t="str">
        <x:v>Home Office</x:v>
      </x:c>
      <x:c r="F8311" t="str">
        <x:v>Central</x:v>
      </x:c>
      <x:c r="G8311" t="str">
        <x:v>Office Supplies</x:v>
      </x:c>
      <x:c r="H8311" t="str">
        <x:v>Binders</x:v>
      </x:c>
      <x:c r="I8311" s="22" t="n">
        <x:v>41.86</x:v>
      </x:c>
      <x:c r="J8311" s="24" t="n">
        <x:v>7</x:v>
      </x:c>
      <x:c r="K8311" s="26" t="n">
        <x:v>0</x:v>
      </x:c>
      <x:c r="L8311" s="22" t="n">
        <x:v>19.2556</x:v>
      </x:c>
      <x:c r="M8311" t="n">
        <x:v>2016</x:v>
      </x:c>
      <x:c r="N8311" s="20" t="n">
        <x:v>42583</x:v>
      </x:c>
    </x:row>
    <x:row r="8312" ht="18" customHeight="1">
      <x:c r="A8312" t="str">
        <x:v>CA-2016-128671</x:v>
      </x:c>
      <x:c r="B8312" s="18" t="n">
        <x:v>42593</x:v>
      </x:c>
      <x:c r="C8312" t="str">
        <x:v>MT-18070</x:v>
      </x:c>
      <x:c r="D8312" t="str">
        <x:v>Michelle Tran</x:v>
      </x:c>
      <x:c r="E8312" t="str">
        <x:v>Home Office</x:v>
      </x:c>
      <x:c r="F8312" t="str">
        <x:v>Central</x:v>
      </x:c>
      <x:c r="G8312" t="str">
        <x:v>Office Supplies</x:v>
      </x:c>
      <x:c r="H8312" t="str">
        <x:v>Binders</x:v>
      </x:c>
      <x:c r="I8312" s="22" t="n">
        <x:v>77.56</x:v>
      </x:c>
      <x:c r="J8312" s="24" t="n">
        <x:v>2</x:v>
      </x:c>
      <x:c r="K8312" s="26" t="n">
        <x:v>0</x:v>
      </x:c>
      <x:c r="L8312" s="22" t="n">
        <x:v>35.6776</x:v>
      </x:c>
      <x:c r="M8312" t="n">
        <x:v>2016</x:v>
      </x:c>
      <x:c r="N8312" s="20" t="n">
        <x:v>42583</x:v>
      </x:c>
    </x:row>
    <x:row r="8313" ht="18" customHeight="1">
      <x:c r="A8313" t="str">
        <x:v>CA-2016-149335</x:v>
      </x:c>
      <x:c r="B8313" s="18" t="n">
        <x:v>42576</x:v>
      </x:c>
      <x:c r="C8313" t="str">
        <x:v>BC-11125</x:v>
      </x:c>
      <x:c r="D8313" t="str">
        <x:v>Becky Castell</x:v>
      </x:c>
      <x:c r="E8313" t="str">
        <x:v>Home Office</x:v>
      </x:c>
      <x:c r="F8313" t="str">
        <x:v>West</x:v>
      </x:c>
      <x:c r="G8313" t="str">
        <x:v>Office Supplies</x:v>
      </x:c>
      <x:c r="H8313" t="str">
        <x:v>Art</x:v>
      </x:c>
      <x:c r="I8313" s="22" t="n">
        <x:v>37.17</x:v>
      </x:c>
      <x:c r="J8313" s="24" t="n">
        <x:v>9</x:v>
      </x:c>
      <x:c r="K8313" s="26" t="n">
        <x:v>0</x:v>
      </x:c>
      <x:c r="L8313" s="22" t="n">
        <x:v>11.151</x:v>
      </x:c>
      <x:c r="M8313" t="n">
        <x:v>2016</x:v>
      </x:c>
      <x:c r="N8313" s="20" t="n">
        <x:v>42552</x:v>
      </x:c>
    </x:row>
    <x:row r="8314" ht="18" customHeight="1">
      <x:c r="A8314" t="str">
        <x:v>CA-2014-168312</x:v>
      </x:c>
      <x:c r="B8314" s="18" t="n">
        <x:v>41699</x:v>
      </x:c>
      <x:c r="C8314" t="str">
        <x:v>GW-14605</x:v>
      </x:c>
      <x:c r="D8314" t="str">
        <x:v>Giulietta Weimer</x:v>
      </x:c>
      <x:c r="E8314" t="str">
        <x:v>Consumer</x:v>
      </x:c>
      <x:c r="F8314" t="str">
        <x:v>Central</x:v>
      </x:c>
      <x:c r="G8314" t="str">
        <x:v>Office Supplies</x:v>
      </x:c>
      <x:c r="H8314" t="str">
        <x:v>Storage</x:v>
      </x:c>
      <x:c r="I8314" s="22" t="n">
        <x:v>137.352</x:v>
      </x:c>
      <x:c r="J8314" s="24" t="n">
        <x:v>3</x:v>
      </x:c>
      <x:c r="K8314" s="26" t="n">
        <x:v>0.2</x:v>
      </x:c>
      <x:c r="L8314" s="22" t="n">
        <x:v>8.584499999999991</x:v>
      </x:c>
      <x:c r="M8314" t="n">
        <x:v>2014</x:v>
      </x:c>
      <x:c r="N8314" s="20" t="n">
        <x:v>41699</x:v>
      </x:c>
    </x:row>
    <x:row r="8315" ht="18" customHeight="1">
      <x:c r="A8315" t="str">
        <x:v>CA-2014-168312</x:v>
      </x:c>
      <x:c r="B8315" s="18" t="n">
        <x:v>41699</x:v>
      </x:c>
      <x:c r="C8315" t="str">
        <x:v>GW-14605</x:v>
      </x:c>
      <x:c r="D8315" t="str">
        <x:v>Giulietta Weimer</x:v>
      </x:c>
      <x:c r="E8315" t="str">
        <x:v>Consumer</x:v>
      </x:c>
      <x:c r="F8315" t="str">
        <x:v>Central</x:v>
      </x:c>
      <x:c r="G8315" t="str">
        <x:v>Furniture</x:v>
      </x:c>
      <x:c r="H8315" t="str">
        <x:v>Tables</x:v>
      </x:c>
      <x:c r="I8315" s="22" t="n">
        <x:v>376.50899999999996</x:v>
      </x:c>
      <x:c r="J8315" s="24" t="n">
        <x:v>3</x:v>
      </x:c>
      <x:c r="K8315" s="26" t="n">
        <x:v>0.3</x:v>
      </x:c>
      <x:c r="L8315" s="22" t="n">
        <x:v>-43.029600000000045</x:v>
      </x:c>
      <x:c r="M8315" t="n">
        <x:v>2014</x:v>
      </x:c>
      <x:c r="N8315" s="20" t="n">
        <x:v>41699</x:v>
      </x:c>
    </x:row>
    <x:row r="8316" ht="18" customHeight="1">
      <x:c r="A8316" t="str">
        <x:v>US-2017-105935</x:v>
      </x:c>
      <x:c r="B8316" s="18" t="n">
        <x:v>42761</x:v>
      </x:c>
      <x:c r="C8316" t="str">
        <x:v>BD-11500</x:v>
      </x:c>
      <x:c r="D8316" t="str">
        <x:v>Bradley Drucker</x:v>
      </x:c>
      <x:c r="E8316" t="str">
        <x:v>Consumer</x:v>
      </x:c>
      <x:c r="F8316" t="str">
        <x:v>South</x:v>
      </x:c>
      <x:c r="G8316" t="str">
        <x:v>Furniture</x:v>
      </x:c>
      <x:c r="H8316" t="str">
        <x:v>Furnishings</x:v>
      </x:c>
      <x:c r="I8316" s="22" t="n">
        <x:v>62.72</x:v>
      </x:c>
      <x:c r="J8316" s="24" t="n">
        <x:v>4</x:v>
      </x:c>
      <x:c r="K8316" s="26" t="n">
        <x:v>0</x:v>
      </x:c>
      <x:c r="L8316" s="22" t="n">
        <x:v>24.4608</x:v>
      </x:c>
      <x:c r="M8316" t="n">
        <x:v>2017</x:v>
      </x:c>
      <x:c r="N8316" s="20" t="n">
        <x:v>42736</x:v>
      </x:c>
    </x:row>
    <x:row r="8317" ht="18" customHeight="1">
      <x:c r="A8317" t="str">
        <x:v>US-2017-105935</x:v>
      </x:c>
      <x:c r="B8317" s="18" t="n">
        <x:v>42761</x:v>
      </x:c>
      <x:c r="C8317" t="str">
        <x:v>BD-11500</x:v>
      </x:c>
      <x:c r="D8317" t="str">
        <x:v>Bradley Drucker</x:v>
      </x:c>
      <x:c r="E8317" t="str">
        <x:v>Consumer</x:v>
      </x:c>
      <x:c r="F8317" t="str">
        <x:v>South</x:v>
      </x:c>
      <x:c r="G8317" t="str">
        <x:v>Technology</x:v>
      </x:c>
      <x:c r="H8317" t="str">
        <x:v>Phones</x:v>
      </x:c>
      <x:c r="I8317" s="22" t="n">
        <x:v>2939.9300000000003</x:v>
      </x:c>
      <x:c r="J8317" s="24" t="n">
        <x:v>7</x:v>
      </x:c>
      <x:c r="K8317" s="26" t="n">
        <x:v>0</x:v>
      </x:c>
      <x:c r="L8317" s="22" t="n">
        <x:v>764.3818000000001</x:v>
      </x:c>
      <x:c r="M8317" t="n">
        <x:v>2017</x:v>
      </x:c>
      <x:c r="N8317" s="20" t="n">
        <x:v>42736</x:v>
      </x:c>
    </x:row>
    <x:row r="8318" ht="18" customHeight="1">
      <x:c r="A8318" t="str">
        <x:v>CA-2014-161508</x:v>
      </x:c>
      <x:c r="B8318" s="18" t="n">
        <x:v>41832</x:v>
      </x:c>
      <x:c r="C8318" t="str">
        <x:v>PV-18985</x:v>
      </x:c>
      <x:c r="D8318" t="str">
        <x:v>Paul Van Hugh</x:v>
      </x:c>
      <x:c r="E8318" t="str">
        <x:v>Home Office</x:v>
      </x:c>
      <x:c r="F8318" t="str">
        <x:v>Central</x:v>
      </x:c>
      <x:c r="G8318" t="str">
        <x:v>Furniture</x:v>
      </x:c>
      <x:c r="H8318" t="str">
        <x:v>Chairs</x:v>
      </x:c>
      <x:c r="I8318" s="22" t="n">
        <x:v>512.358</x:v>
      </x:c>
      <x:c r="J8318" s="24" t="n">
        <x:v>3</x:v>
      </x:c>
      <x:c r="K8318" s="26" t="n">
        <x:v>0.3</x:v>
      </x:c>
      <x:c r="L8318" s="22" t="n">
        <x:v>-14.638799999999947</x:v>
      </x:c>
      <x:c r="M8318" t="n">
        <x:v>2014</x:v>
      </x:c>
      <x:c r="N8318" s="20" t="n">
        <x:v>41821</x:v>
      </x:c>
    </x:row>
    <x:row r="8319" ht="18" customHeight="1">
      <x:c r="A8319" t="str">
        <x:v>CA-2014-161508</x:v>
      </x:c>
      <x:c r="B8319" s="18" t="n">
        <x:v>41832</x:v>
      </x:c>
      <x:c r="C8319" t="str">
        <x:v>PV-18985</x:v>
      </x:c>
      <x:c r="D8319" t="str">
        <x:v>Paul Van Hugh</x:v>
      </x:c>
      <x:c r="E8319" t="str">
        <x:v>Home Office</x:v>
      </x:c>
      <x:c r="F8319" t="str">
        <x:v>Central</x:v>
      </x:c>
      <x:c r="G8319" t="str">
        <x:v>Office Supplies</x:v>
      </x:c>
      <x:c r="H8319" t="str">
        <x:v>Fasteners</x:v>
      </x:c>
      <x:c r="I8319" s="22" t="n">
        <x:v>3.4880000000000004</x:v>
      </x:c>
      <x:c r="J8319" s="24" t="n">
        <x:v>2</x:v>
      </x:c>
      <x:c r="K8319" s="26" t="n">
        <x:v>0.2</x:v>
      </x:c>
      <x:c r="L8319" s="22" t="n">
        <x:v>0.5668</x:v>
      </x:c>
      <x:c r="M8319" t="n">
        <x:v>2014</x:v>
      </x:c>
      <x:c r="N8319" s="20" t="n">
        <x:v>41821</x:v>
      </x:c>
    </x:row>
    <x:row r="8320" ht="18" customHeight="1">
      <x:c r="A8320" t="str">
        <x:v>CA-2014-161508</x:v>
      </x:c>
      <x:c r="B8320" s="18" t="n">
        <x:v>41832</x:v>
      </x:c>
      <x:c r="C8320" t="str">
        <x:v>PV-18985</x:v>
      </x:c>
      <x:c r="D8320" t="str">
        <x:v>Paul Van Hugh</x:v>
      </x:c>
      <x:c r="E8320" t="str">
        <x:v>Home Office</x:v>
      </x:c>
      <x:c r="F8320" t="str">
        <x:v>Central</x:v>
      </x:c>
      <x:c r="G8320" t="str">
        <x:v>Office Supplies</x:v>
      </x:c>
      <x:c r="H8320" t="str">
        <x:v>Art</x:v>
      </x:c>
      <x:c r="I8320" s="22" t="n">
        <x:v>22.288</x:v>
      </x:c>
      <x:c r="J8320" s="24" t="n">
        <x:v>7</x:v>
      </x:c>
      <x:c r="K8320" s="26" t="n">
        <x:v>0.2</x:v>
      </x:c>
      <x:c r="L8320" s="22" t="n">
        <x:v>3.9003999999999985</x:v>
      </x:c>
      <x:c r="M8320" t="n">
        <x:v>2014</x:v>
      </x:c>
      <x:c r="N8320" s="20" t="n">
        <x:v>41821</x:v>
      </x:c>
    </x:row>
    <x:row r="8321" ht="18" customHeight="1">
      <x:c r="A8321" t="str">
        <x:v>CA-2014-161508</x:v>
      </x:c>
      <x:c r="B8321" s="18" t="n">
        <x:v>41832</x:v>
      </x:c>
      <x:c r="C8321" t="str">
        <x:v>PV-18985</x:v>
      </x:c>
      <x:c r="D8321" t="str">
        <x:v>Paul Van Hugh</x:v>
      </x:c>
      <x:c r="E8321" t="str">
        <x:v>Home Office</x:v>
      </x:c>
      <x:c r="F8321" t="str">
        <x:v>Central</x:v>
      </x:c>
      <x:c r="G8321" t="str">
        <x:v>Office Supplies</x:v>
      </x:c>
      <x:c r="H8321" t="str">
        <x:v>Paper</x:v>
      </x:c>
      <x:c r="I8321" s="22" t="n">
        <x:v>16.032</x:v>
      </x:c>
      <x:c r="J8321" s="24" t="n">
        <x:v>3</x:v>
      </x:c>
      <x:c r="K8321" s="26" t="n">
        <x:v>0.2</x:v>
      </x:c>
      <x:c r="L8321" s="22" t="n">
        <x:v>5.611199999999999</x:v>
      </x:c>
      <x:c r="M8321" t="n">
        <x:v>2014</x:v>
      </x:c>
      <x:c r="N8321" s="20" t="n">
        <x:v>41821</x:v>
      </x:c>
    </x:row>
    <x:row r="8322" ht="18" customHeight="1">
      <x:c r="A8322" t="str">
        <x:v>CA-2017-130904</x:v>
      </x:c>
      <x:c r="B8322" s="18" t="n">
        <x:v>42836</x:v>
      </x:c>
      <x:c r="C8322" t="str">
        <x:v>HM-14980</x:v>
      </x:c>
      <x:c r="D8322" t="str">
        <x:v>Henry MacAllister</x:v>
      </x:c>
      <x:c r="E8322" t="str">
        <x:v>Consumer</x:v>
      </x:c>
      <x:c r="F8322" t="str">
        <x:v>South</x:v>
      </x:c>
      <x:c r="G8322" t="str">
        <x:v>Office Supplies</x:v>
      </x:c>
      <x:c r="H8322" t="str">
        <x:v>Art</x:v>
      </x:c>
      <x:c r="I8322" s="22" t="n">
        <x:v>1.752</x:v>
      </x:c>
      <x:c r="J8322" s="24" t="n">
        <x:v>1</x:v>
      </x:c>
      <x:c r="K8322" s="26" t="n">
        <x:v>0.2</x:v>
      </x:c>
      <x:c r="L8322" s="22" t="n">
        <x:v>0.15329999999999994</x:v>
      </x:c>
      <x:c r="M8322" t="n">
        <x:v>2017</x:v>
      </x:c>
      <x:c r="N8322" s="20" t="n">
        <x:v>42826</x:v>
      </x:c>
    </x:row>
    <x:row r="8323" ht="18" customHeight="1">
      <x:c r="A8323" t="str">
        <x:v>CA-2017-130904</x:v>
      </x:c>
      <x:c r="B8323" s="18" t="n">
        <x:v>42836</x:v>
      </x:c>
      <x:c r="C8323" t="str">
        <x:v>HM-14980</x:v>
      </x:c>
      <x:c r="D8323" t="str">
        <x:v>Henry MacAllister</x:v>
      </x:c>
      <x:c r="E8323" t="str">
        <x:v>Consumer</x:v>
      </x:c>
      <x:c r="F8323" t="str">
        <x:v>South</x:v>
      </x:c>
      <x:c r="G8323" t="str">
        <x:v>Office Supplies</x:v>
      </x:c>
      <x:c r="H8323" t="str">
        <x:v>Art</x:v>
      </x:c>
      <x:c r="I8323" s="22" t="n">
        <x:v>20.992</x:v>
      </x:c>
      <x:c r="J8323" s="24" t="n">
        <x:v>8</x:v>
      </x:c>
      <x:c r="K8323" s="26" t="n">
        <x:v>0.2</x:v>
      </x:c>
      <x:c r="L8323" s="22" t="n">
        <x:v>2.3615999999999966</x:v>
      </x:c>
      <x:c r="M8323" t="n">
        <x:v>2017</x:v>
      </x:c>
      <x:c r="N8323" s="20" t="n">
        <x:v>42826</x:v>
      </x:c>
    </x:row>
    <x:row r="8324" ht="18" customHeight="1">
      <x:c r="A8324" t="str">
        <x:v>CA-2017-133620</x:v>
      </x:c>
      <x:c r="B8324" s="18" t="n">
        <x:v>43052</x:v>
      </x:c>
      <x:c r="C8324" t="str">
        <x:v>EM-14065</x:v>
      </x:c>
      <x:c r="D8324" t="str">
        <x:v>Erin Mull</x:v>
      </x:c>
      <x:c r="E8324" t="str">
        <x:v>Consumer</x:v>
      </x:c>
      <x:c r="F8324" t="str">
        <x:v>East</x:v>
      </x:c>
      <x:c r="G8324" t="str">
        <x:v>Office Supplies</x:v>
      </x:c>
      <x:c r="H8324" t="str">
        <x:v>Storage</x:v>
      </x:c>
      <x:c r="I8324" s="22" t="n">
        <x:v>11.21</x:v>
      </x:c>
      <x:c r="J8324" s="24" t="n">
        <x:v>1</x:v>
      </x:c>
      <x:c r="K8324" s="26" t="n">
        <x:v>0</x:v>
      </x:c>
      <x:c r="L8324" s="22" t="n">
        <x:v>3.3629999999999995</x:v>
      </x:c>
      <x:c r="M8324" t="n">
        <x:v>2017</x:v>
      </x:c>
      <x:c r="N8324" s="20" t="n">
        <x:v>43040</x:v>
      </x:c>
    </x:row>
    <x:row r="8325" ht="18" customHeight="1">
      <x:c r="A8325" t="str">
        <x:v>CA-2015-142937</x:v>
      </x:c>
      <x:c r="B8325" s="18" t="n">
        <x:v>42343</x:v>
      </x:c>
      <x:c r="C8325" t="str">
        <x:v>SF-20065</x:v>
      </x:c>
      <x:c r="D8325" t="str">
        <x:v>Sandra Flanagan</x:v>
      </x:c>
      <x:c r="E8325" t="str">
        <x:v>Consumer</x:v>
      </x:c>
      <x:c r="F8325" t="str">
        <x:v>Central</x:v>
      </x:c>
      <x:c r="G8325" t="str">
        <x:v>Office Supplies</x:v>
      </x:c>
      <x:c r="H8325" t="str">
        <x:v>Art</x:v>
      </x:c>
      <x:c r="I8325" s="22" t="n">
        <x:v>45.04</x:v>
      </x:c>
      <x:c r="J8325" s="24" t="n">
        <x:v>2</x:v>
      </x:c>
      <x:c r="K8325" s="26" t="n">
        <x:v>0.2</x:v>
      </x:c>
      <x:c r="L8325" s="22" t="n">
        <x:v>4.504000000000003</x:v>
      </x:c>
      <x:c r="M8325" t="n">
        <x:v>2015</x:v>
      </x:c>
      <x:c r="N8325" s="20" t="n">
        <x:v>42339</x:v>
      </x:c>
    </x:row>
    <x:row r="8326" ht="18" customHeight="1">
      <x:c r="A8326" t="str">
        <x:v>US-2016-149790</x:v>
      </x:c>
      <x:c r="B8326" s="18" t="n">
        <x:v>42639</x:v>
      </x:c>
      <x:c r="C8326" t="str">
        <x:v>SC-20380</x:v>
      </x:c>
      <x:c r="D8326" t="str">
        <x:v>Shahid Collister</x:v>
      </x:c>
      <x:c r="E8326" t="str">
        <x:v>Consumer</x:v>
      </x:c>
      <x:c r="F8326" t="str">
        <x:v>Central</x:v>
      </x:c>
      <x:c r="G8326" t="str">
        <x:v>Office Supplies</x:v>
      </x:c>
      <x:c r="H8326" t="str">
        <x:v>Binders</x:v>
      </x:c>
      <x:c r="I8326" s="22" t="n">
        <x:v>15.623999999999997</x:v>
      </x:c>
      <x:c r="J8326" s="24" t="n">
        <x:v>2</x:v>
      </x:c>
      <x:c r="K8326" s="26" t="n">
        <x:v>0.8</x:v>
      </x:c>
      <x:c r="L8326" s="22" t="n">
        <x:v>-24.99840000000001</x:v>
      </x:c>
      <x:c r="M8326" t="n">
        <x:v>2016</x:v>
      </x:c>
      <x:c r="N8326" s="20" t="n">
        <x:v>42614</x:v>
      </x:c>
    </x:row>
    <x:row r="8327" ht="18" customHeight="1">
      <x:c r="A8327" t="str">
        <x:v>CA-2016-130778</x:v>
      </x:c>
      <x:c r="B8327" s="18" t="n">
        <x:v>42693</x:v>
      </x:c>
      <x:c r="C8327" t="str">
        <x:v>ND-18370</x:v>
      </x:c>
      <x:c r="D8327" t="str">
        <x:v>Natalie DeCherney</x:v>
      </x:c>
      <x:c r="E8327" t="str">
        <x:v>Consumer</x:v>
      </x:c>
      <x:c r="F8327" t="str">
        <x:v>East</x:v>
      </x:c>
      <x:c r="G8327" t="str">
        <x:v>Office Supplies</x:v>
      </x:c>
      <x:c r="H8327" t="str">
        <x:v>Appliances</x:v>
      </x:c>
      <x:c r="I8327" s="22" t="n">
        <x:v>8.74</x:v>
      </x:c>
      <x:c r="J8327" s="24" t="n">
        <x:v>2</x:v>
      </x:c>
      <x:c r="K8327" s="26" t="n">
        <x:v>0</x:v>
      </x:c>
      <x:c r="L8327" s="22" t="n">
        <x:v>2.2724</x:v>
      </x:c>
      <x:c r="M8327" t="n">
        <x:v>2016</x:v>
      </x:c>
      <x:c r="N8327" s="20" t="n">
        <x:v>42675</x:v>
      </x:c>
    </x:row>
    <x:row r="8328" ht="18" customHeight="1">
      <x:c r="A8328" t="str">
        <x:v>CA-2016-130778</x:v>
      </x:c>
      <x:c r="B8328" s="18" t="n">
        <x:v>42693</x:v>
      </x:c>
      <x:c r="C8328" t="str">
        <x:v>ND-18370</x:v>
      </x:c>
      <x:c r="D8328" t="str">
        <x:v>Natalie DeCherney</x:v>
      </x:c>
      <x:c r="E8328" t="str">
        <x:v>Consumer</x:v>
      </x:c>
      <x:c r="F8328" t="str">
        <x:v>East</x:v>
      </x:c>
      <x:c r="G8328" t="str">
        <x:v>Office Supplies</x:v>
      </x:c>
      <x:c r="H8328" t="str">
        <x:v>Paper</x:v>
      </x:c>
      <x:c r="I8328" s="22" t="n">
        <x:v>44.75</x:v>
      </x:c>
      <x:c r="J8328" s="24" t="n">
        <x:v>5</x:v>
      </x:c>
      <x:c r="K8328" s="26" t="n">
        <x:v>0</x:v>
      </x:c>
      <x:c r="L8328" s="22" t="n">
        <x:v>20.584999999999994</x:v>
      </x:c>
      <x:c r="M8328" t="n">
        <x:v>2016</x:v>
      </x:c>
      <x:c r="N8328" s="20" t="n">
        <x:v>42675</x:v>
      </x:c>
    </x:row>
    <x:row r="8329" ht="18" customHeight="1">
      <x:c r="A8329" t="str">
        <x:v>CA-2017-144456</x:v>
      </x:c>
      <x:c r="B8329" s="18" t="n">
        <x:v>42986</x:v>
      </x:c>
      <x:c r="C8329" t="str">
        <x:v>FC-14245</x:v>
      </x:c>
      <x:c r="D8329" t="str">
        <x:v>Frank Carlisle</x:v>
      </x:c>
      <x:c r="E8329" t="str">
        <x:v>Home Office</x:v>
      </x:c>
      <x:c r="F8329" t="str">
        <x:v>South</x:v>
      </x:c>
      <x:c r="G8329" t="str">
        <x:v>Office Supplies</x:v>
      </x:c>
      <x:c r="H8329" t="str">
        <x:v>Storage</x:v>
      </x:c>
      <x:c r="I8329" s="22" t="n">
        <x:v>61.68</x:v>
      </x:c>
      <x:c r="J8329" s="24" t="n">
        <x:v>5</x:v>
      </x:c>
      <x:c r="K8329" s="26" t="n">
        <x:v>0.2</x:v>
      </x:c>
      <x:c r="L8329" s="22" t="n">
        <x:v>5.397000000000007</x:v>
      </x:c>
      <x:c r="M8329" t="n">
        <x:v>2017</x:v>
      </x:c>
      <x:c r="N8329" s="20" t="n">
        <x:v>42979</x:v>
      </x:c>
    </x:row>
    <x:row r="8330" ht="18" customHeight="1">
      <x:c r="A8330" t="str">
        <x:v>CA-2017-144456</x:v>
      </x:c>
      <x:c r="B8330" s="18" t="n">
        <x:v>42986</x:v>
      </x:c>
      <x:c r="C8330" t="str">
        <x:v>FC-14245</x:v>
      </x:c>
      <x:c r="D8330" t="str">
        <x:v>Frank Carlisle</x:v>
      </x:c>
      <x:c r="E8330" t="str">
        <x:v>Home Office</x:v>
      </x:c>
      <x:c r="F8330" t="str">
        <x:v>South</x:v>
      </x:c>
      <x:c r="G8330" t="str">
        <x:v>Technology</x:v>
      </x:c>
      <x:c r="H8330" t="str">
        <x:v>Phones</x:v>
      </x:c>
      <x:c r="I8330" s="22" t="n">
        <x:v>158.376</x:v>
      </x:c>
      <x:c r="J8330" s="24" t="n">
        <x:v>3</x:v>
      </x:c>
      <x:c r="K8330" s="26" t="n">
        <x:v>0.2</x:v>
      </x:c>
      <x:c r="L8330" s="22" t="n">
        <x:v>13.857900000000008</x:v>
      </x:c>
      <x:c r="M8330" t="n">
        <x:v>2017</x:v>
      </x:c>
      <x:c r="N8330" s="20" t="n">
        <x:v>42979</x:v>
      </x:c>
    </x:row>
    <x:row r="8331" ht="18" customHeight="1">
      <x:c r="A8331" t="str">
        <x:v>CA-2017-103478</x:v>
      </x:c>
      <x:c r="B8331" s="18" t="n">
        <x:v>42937</x:v>
      </x:c>
      <x:c r="C8331" t="str">
        <x:v>KL-16555</x:v>
      </x:c>
      <x:c r="D8331" t="str">
        <x:v>Kelly Lampkin</x:v>
      </x:c>
      <x:c r="E8331" t="str">
        <x:v>Corporate</x:v>
      </x:c>
      <x:c r="F8331" t="str">
        <x:v>Central</x:v>
      </x:c>
      <x:c r="G8331" t="str">
        <x:v>Office Supplies</x:v>
      </x:c>
      <x:c r="H8331" t="str">
        <x:v>Binders</x:v>
      </x:c>
      <x:c r="I8331" s="22" t="n">
        <x:v>2.8639999999999994</x:v>
      </x:c>
      <x:c r="J8331" s="24" t="n">
        <x:v>4</x:v>
      </x:c>
      <x:c r="K8331" s="26" t="n">
        <x:v>0.8</x:v>
      </x:c>
      <x:c r="L8331" s="22" t="n">
        <x:v>-4.582400000000002</x:v>
      </x:c>
      <x:c r="M8331" t="n">
        <x:v>2017</x:v>
      </x:c>
      <x:c r="N8331" s="20" t="n">
        <x:v>42917</x:v>
      </x:c>
    </x:row>
    <x:row r="8332" ht="18" customHeight="1">
      <x:c r="A8332" t="str">
        <x:v>CA-2017-103478</x:v>
      </x:c>
      <x:c r="B8332" s="18" t="n">
        <x:v>42937</x:v>
      </x:c>
      <x:c r="C8332" t="str">
        <x:v>KL-16555</x:v>
      </x:c>
      <x:c r="D8332" t="str">
        <x:v>Kelly Lampkin</x:v>
      </x:c>
      <x:c r="E8332" t="str">
        <x:v>Corporate</x:v>
      </x:c>
      <x:c r="F8332" t="str">
        <x:v>Central</x:v>
      </x:c>
      <x:c r="G8332" t="str">
        <x:v>Office Supplies</x:v>
      </x:c>
      <x:c r="H8332" t="str">
        <x:v>Binders</x:v>
      </x:c>
      <x:c r="I8332" s="22" t="n">
        <x:v>94.19199999999998</x:v>
      </x:c>
      <x:c r="J8332" s="24" t="n">
        <x:v>7</x:v>
      </x:c>
      <x:c r="K8332" s="26" t="n">
        <x:v>0.8</x:v>
      </x:c>
      <x:c r="L8332" s="22" t="n">
        <x:v>-164.83600000000007</x:v>
      </x:c>
      <x:c r="M8332" t="n">
        <x:v>2017</x:v>
      </x:c>
      <x:c r="N8332" s="20" t="n">
        <x:v>42917</x:v>
      </x:c>
    </x:row>
    <x:row r="8333" ht="18" customHeight="1">
      <x:c r="A8333" t="str">
        <x:v>CA-2017-118577</x:v>
      </x:c>
      <x:c r="B8333" s="18" t="n">
        <x:v>43014</x:v>
      </x:c>
      <x:c r="C8333" t="str">
        <x:v>XP-21865</x:v>
      </x:c>
      <x:c r="D8333" t="str">
        <x:v>Xylona Preis</x:v>
      </x:c>
      <x:c r="E8333" t="str">
        <x:v>Consumer</x:v>
      </x:c>
      <x:c r="F8333" t="str">
        <x:v>East</x:v>
      </x:c>
      <x:c r="G8333" t="str">
        <x:v>Office Supplies</x:v>
      </x:c>
      <x:c r="H8333" t="str">
        <x:v>Paper</x:v>
      </x:c>
      <x:c r="I8333" s="22" t="n">
        <x:v>143.7</x:v>
      </x:c>
      <x:c r="J8333" s="24" t="n">
        <x:v>3</x:v>
      </x:c>
      <x:c r="K8333" s="26" t="n">
        <x:v>0</x:v>
      </x:c>
      <x:c r="L8333" s="22" t="n">
        <x:v>68.976</x:v>
      </x:c>
      <x:c r="M8333" t="n">
        <x:v>2017</x:v>
      </x:c>
      <x:c r="N8333" s="20" t="n">
        <x:v>43009</x:v>
      </x:c>
    </x:row>
    <x:row r="8334" ht="18" customHeight="1">
      <x:c r="A8334" t="str">
        <x:v>CA-2017-118577</x:v>
      </x:c>
      <x:c r="B8334" s="18" t="n">
        <x:v>43014</x:v>
      </x:c>
      <x:c r="C8334" t="str">
        <x:v>XP-21865</x:v>
      </x:c>
      <x:c r="D8334" t="str">
        <x:v>Xylona Preis</x:v>
      </x:c>
      <x:c r="E8334" t="str">
        <x:v>Consumer</x:v>
      </x:c>
      <x:c r="F8334" t="str">
        <x:v>East</x:v>
      </x:c>
      <x:c r="G8334" t="str">
        <x:v>Office Supplies</x:v>
      </x:c>
      <x:c r="H8334" t="str">
        <x:v>Paper</x:v>
      </x:c>
      <x:c r="I8334" s="22" t="n">
        <x:v>6.48</x:v>
      </x:c>
      <x:c r="J8334" s="24" t="n">
        <x:v>1</x:v>
      </x:c>
      <x:c r="K8334" s="26" t="n">
        <x:v>0</x:v>
      </x:c>
      <x:c r="L8334" s="22" t="n">
        <x:v>3.1104000000000003</x:v>
      </x:c>
      <x:c r="M8334" t="n">
        <x:v>2017</x:v>
      </x:c>
      <x:c r="N8334" s="20" t="n">
        <x:v>43009</x:v>
      </x:c>
    </x:row>
    <x:row r="8335" ht="18" customHeight="1">
      <x:c r="A8335" t="str">
        <x:v>CA-2017-113572</x:v>
      </x:c>
      <x:c r="B8335" s="18" t="n">
        <x:v>43046</x:v>
      </x:c>
      <x:c r="C8335" t="str">
        <x:v>FP-14320</x:v>
      </x:c>
      <x:c r="D8335" t="str">
        <x:v>Frank Preis</x:v>
      </x:c>
      <x:c r="E8335" t="str">
        <x:v>Consumer</x:v>
      </x:c>
      <x:c r="F8335" t="str">
        <x:v>East</x:v>
      </x:c>
      <x:c r="G8335" t="str">
        <x:v>Technology</x:v>
      </x:c>
      <x:c r="H8335" t="str">
        <x:v>Accessories</x:v>
      </x:c>
      <x:c r="I8335" s="22" t="n">
        <x:v>7.88</x:v>
      </x:c>
      <x:c r="J8335" s="24" t="n">
        <x:v>4</x:v>
      </x:c>
      <x:c r="K8335" s="26" t="n">
        <x:v>0</x:v>
      </x:c>
      <x:c r="L8335" s="22" t="n">
        <x:v>2.5215999999999994</x:v>
      </x:c>
      <x:c r="M8335" t="n">
        <x:v>2017</x:v>
      </x:c>
      <x:c r="N8335" s="20" t="n">
        <x:v>43040</x:v>
      </x:c>
    </x:row>
    <x:row r="8336" ht="18" customHeight="1">
      <x:c r="A8336" t="str">
        <x:v>CA-2016-153269</x:v>
      </x:c>
      <x:c r="B8336" s="18" t="n">
        <x:v>42438</x:v>
      </x:c>
      <x:c r="C8336" t="str">
        <x:v>PS-18760</x:v>
      </x:c>
      <x:c r="D8336" t="str">
        <x:v>Pamela Stobb</x:v>
      </x:c>
      <x:c r="E8336" t="str">
        <x:v>Consumer</x:v>
      </x:c>
      <x:c r="F8336" t="str">
        <x:v>East</x:v>
      </x:c>
      <x:c r="G8336" t="str">
        <x:v>Office Supplies</x:v>
      </x:c>
      <x:c r="H8336" t="str">
        <x:v>Storage</x:v>
      </x:c>
      <x:c r="I8336" s="22" t="n">
        <x:v>11.21</x:v>
      </x:c>
      <x:c r="J8336" s="24" t="n">
        <x:v>1</x:v>
      </x:c>
      <x:c r="K8336" s="26" t="n">
        <x:v>0</x:v>
      </x:c>
      <x:c r="L8336" s="22" t="n">
        <x:v>3.3629999999999995</x:v>
      </x:c>
      <x:c r="M8336" t="n">
        <x:v>2016</x:v>
      </x:c>
      <x:c r="N8336" s="20" t="n">
        <x:v>42430</x:v>
      </x:c>
    </x:row>
    <x:row r="8337" ht="18" customHeight="1">
      <x:c r="A8337" t="str">
        <x:v>CA-2016-153269</x:v>
      </x:c>
      <x:c r="B8337" s="18" t="n">
        <x:v>42438</x:v>
      </x:c>
      <x:c r="C8337" t="str">
        <x:v>PS-18760</x:v>
      </x:c>
      <x:c r="D8337" t="str">
        <x:v>Pamela Stobb</x:v>
      </x:c>
      <x:c r="E8337" t="str">
        <x:v>Consumer</x:v>
      </x:c>
      <x:c r="F8337" t="str">
        <x:v>East</x:v>
      </x:c>
      <x:c r="G8337" t="str">
        <x:v>Furniture</x:v>
      </x:c>
      <x:c r="H8337" t="str">
        <x:v>Chairs</x:v>
      </x:c>
      <x:c r="I8337" s="22" t="n">
        <x:v>354.90000000000003</x:v>
      </x:c>
      <x:c r="J8337" s="24" t="n">
        <x:v>5</x:v>
      </x:c>
      <x:c r="K8337" s="26" t="n">
        <x:v>0</x:v>
      </x:c>
      <x:c r="L8337" s="22" t="n">
        <x:v>88.72500000000002</x:v>
      </x:c>
      <x:c r="M8337" t="n">
        <x:v>2016</x:v>
      </x:c>
      <x:c r="N8337" s="20" t="n">
        <x:v>42430</x:v>
      </x:c>
    </x:row>
    <x:row r="8338" ht="18" customHeight="1">
      <x:c r="A8338" t="str">
        <x:v>CA-2016-153269</x:v>
      </x:c>
      <x:c r="B8338" s="18" t="n">
        <x:v>42438</x:v>
      </x:c>
      <x:c r="C8338" t="str">
        <x:v>PS-18760</x:v>
      </x:c>
      <x:c r="D8338" t="str">
        <x:v>Pamela Stobb</x:v>
      </x:c>
      <x:c r="E8338" t="str">
        <x:v>Consumer</x:v>
      </x:c>
      <x:c r="F8338" t="str">
        <x:v>East</x:v>
      </x:c>
      <x:c r="G8338" t="str">
        <x:v>Office Supplies</x:v>
      </x:c>
      <x:c r="H8338" t="str">
        <x:v>Paper</x:v>
      </x:c>
      <x:c r="I8338" s="22" t="n">
        <x:v>17.94</x:v>
      </x:c>
      <x:c r="J8338" s="24" t="n">
        <x:v>3</x:v>
      </x:c>
      <x:c r="K8338" s="26" t="n">
        <x:v>0</x:v>
      </x:c>
      <x:c r="L8338" s="22" t="n">
        <x:v>8.790600000000001</x:v>
      </x:c>
      <x:c r="M8338" t="n">
        <x:v>2016</x:v>
      </x:c>
      <x:c r="N8338" s="20" t="n">
        <x:v>42430</x:v>
      </x:c>
    </x:row>
    <x:row r="8339" ht="18" customHeight="1">
      <x:c r="A8339" t="str">
        <x:v>CA-2016-153269</x:v>
      </x:c>
      <x:c r="B8339" s="18" t="n">
        <x:v>42438</x:v>
      </x:c>
      <x:c r="C8339" t="str">
        <x:v>PS-18760</x:v>
      </x:c>
      <x:c r="D8339" t="str">
        <x:v>Pamela Stobb</x:v>
      </x:c>
      <x:c r="E8339" t="str">
        <x:v>Consumer</x:v>
      </x:c>
      <x:c r="F8339" t="str">
        <x:v>East</x:v>
      </x:c>
      <x:c r="G8339" t="str">
        <x:v>Office Supplies</x:v>
      </x:c>
      <x:c r="H8339" t="str">
        <x:v>Binders</x:v>
      </x:c>
      <x:c r="I8339" s="22" t="n">
        <x:v>51.8</x:v>
      </x:c>
      <x:c r="J8339" s="24" t="n">
        <x:v>4</x:v>
      </x:c>
      <x:c r="K8339" s="26" t="n">
        <x:v>0</x:v>
      </x:c>
      <x:c r="L8339" s="22" t="n">
        <x:v>23.309999999999995</x:v>
      </x:c>
      <x:c r="M8339" t="n">
        <x:v>2016</x:v>
      </x:c>
      <x:c r="N8339" s="20" t="n">
        <x:v>42430</x:v>
      </x:c>
    </x:row>
    <x:row r="8340" ht="18" customHeight="1">
      <x:c r="A8340" t="str">
        <x:v>CA-2017-161655</x:v>
      </x:c>
      <x:c r="B8340" s="18" t="n">
        <x:v>42868</x:v>
      </x:c>
      <x:c r="C8340" t="str">
        <x:v>CW-11905</x:v>
      </x:c>
      <x:c r="D8340" t="str">
        <x:v>Carl Weiss</x:v>
      </x:c>
      <x:c r="E8340" t="str">
        <x:v>Home Office</x:v>
      </x:c>
      <x:c r="F8340" t="str">
        <x:v>East</x:v>
      </x:c>
      <x:c r="G8340" t="str">
        <x:v>Office Supplies</x:v>
      </x:c>
      <x:c r="H8340" t="str">
        <x:v>Binders</x:v>
      </x:c>
      <x:c r="I8340" s="22" t="n">
        <x:v>299.52</x:v>
      </x:c>
      <x:c r="J8340" s="24" t="n">
        <x:v>9</x:v>
      </x:c>
      <x:c r="K8340" s="26" t="n">
        <x:v>0</x:v>
      </x:c>
      <x:c r="L8340" s="22" t="n">
        <x:v>149.76</x:v>
      </x:c>
      <x:c r="M8340" t="n">
        <x:v>2017</x:v>
      </x:c>
      <x:c r="N8340" s="20" t="n">
        <x:v>42856</x:v>
      </x:c>
    </x:row>
    <x:row r="8341" ht="18" customHeight="1">
      <x:c r="A8341" t="str">
        <x:v>CA-2016-101469</x:v>
      </x:c>
      <x:c r="B8341" s="18" t="n">
        <x:v>42553</x:v>
      </x:c>
      <x:c r="C8341" t="str">
        <x:v>KH-16360</x:v>
      </x:c>
      <x:c r="D8341" t="str">
        <x:v>Katherine Hughes</x:v>
      </x:c>
      <x:c r="E8341" t="str">
        <x:v>Consumer</x:v>
      </x:c>
      <x:c r="F8341" t="str">
        <x:v>South</x:v>
      </x:c>
      <x:c r="G8341" t="str">
        <x:v>Office Supplies</x:v>
      </x:c>
      <x:c r="H8341" t="str">
        <x:v>Art</x:v>
      </x:c>
      <x:c r="I8341" s="22" t="n">
        <x:v>7.7</x:v>
      </x:c>
      <x:c r="J8341" s="24" t="n">
        <x:v>2</x:v>
      </x:c>
      <x:c r="K8341" s="26" t="n">
        <x:v>0</x:v>
      </x:c>
      <x:c r="L8341" s="22" t="n">
        <x:v>3.157</x:v>
      </x:c>
      <x:c r="M8341" t="n">
        <x:v>2016</x:v>
      </x:c>
      <x:c r="N8341" s="20" t="n">
        <x:v>42552</x:v>
      </x:c>
    </x:row>
    <x:row r="8342" ht="18" customHeight="1">
      <x:c r="A8342" t="str">
        <x:v>CA-2014-153087</x:v>
      </x:c>
      <x:c r="B8342" s="18" t="n">
        <x:v>42000</x:v>
      </x:c>
      <x:c r="C8342" t="str">
        <x:v>TC-20980</x:v>
      </x:c>
      <x:c r="D8342" t="str">
        <x:v>Tamara Chand</x:v>
      </x:c>
      <x:c r="E8342" t="str">
        <x:v>Corporate</x:v>
      </x:c>
      <x:c r="F8342" t="str">
        <x:v>South</x:v>
      </x:c>
      <x:c r="G8342" t="str">
        <x:v>Office Supplies</x:v>
      </x:c>
      <x:c r="H8342" t="str">
        <x:v>Paper</x:v>
      </x:c>
      <x:c r="I8342" s="22" t="n">
        <x:v>23.92</x:v>
      </x:c>
      <x:c r="J8342" s="24" t="n">
        <x:v>4</x:v>
      </x:c>
      <x:c r="K8342" s="26" t="n">
        <x:v>0</x:v>
      </x:c>
      <x:c r="L8342" s="22" t="n">
        <x:v>11.7208</x:v>
      </x:c>
      <x:c r="M8342" t="n">
        <x:v>2014</x:v>
      </x:c>
      <x:c r="N8342" s="20" t="n">
        <x:v>41974</x:v>
      </x:c>
    </x:row>
    <x:row r="8343" ht="18" customHeight="1">
      <x:c r="A8343" t="str">
        <x:v>CA-2014-153087</x:v>
      </x:c>
      <x:c r="B8343" s="18" t="n">
        <x:v>42000</x:v>
      </x:c>
      <x:c r="C8343" t="str">
        <x:v>TC-20980</x:v>
      </x:c>
      <x:c r="D8343" t="str">
        <x:v>Tamara Chand</x:v>
      </x:c>
      <x:c r="E8343" t="str">
        <x:v>Corporate</x:v>
      </x:c>
      <x:c r="F8343" t="str">
        <x:v>South</x:v>
      </x:c>
      <x:c r="G8343" t="str">
        <x:v>Technology</x:v>
      </x:c>
      <x:c r="H8343" t="str">
        <x:v>Accessories</x:v>
      </x:c>
      <x:c r="I8343" s="22" t="n">
        <x:v>498</x:v>
      </x:c>
      <x:c r="J8343" s="24" t="n">
        <x:v>5</x:v>
      </x:c>
      <x:c r="K8343" s="26" t="n">
        <x:v>0</x:v>
      </x:c>
      <x:c r="L8343" s="22" t="n">
        <x:v>184.26</x:v>
      </x:c>
      <x:c r="M8343" t="n">
        <x:v>2014</x:v>
      </x:c>
      <x:c r="N8343" s="20" t="n">
        <x:v>41974</x:v>
      </x:c>
    </x:row>
    <x:row r="8344" ht="18" customHeight="1">
      <x:c r="A8344" t="str">
        <x:v>CA-2017-135076</x:v>
      </x:c>
      <x:c r="B8344" s="18" t="n">
        <x:v>42838</x:v>
      </x:c>
      <x:c r="C8344" t="str">
        <x:v>YS-21880</x:v>
      </x:c>
      <x:c r="D8344" t="str">
        <x:v>Yana Sorensen</x:v>
      </x:c>
      <x:c r="E8344" t="str">
        <x:v>Corporate</x:v>
      </x:c>
      <x:c r="F8344" t="str">
        <x:v>West</x:v>
      </x:c>
      <x:c r="G8344" t="str">
        <x:v>Furniture</x:v>
      </x:c>
      <x:c r="H8344" t="str">
        <x:v>Chairs</x:v>
      </x:c>
      <x:c r="I8344" s="22" t="n">
        <x:v>436.70400000000006</x:v>
      </x:c>
      <x:c r="J8344" s="24" t="n">
        <x:v>6</x:v>
      </x:c>
      <x:c r="K8344" s="26" t="n">
        <x:v>0.2</x:v>
      </x:c>
      <x:c r="L8344" s="22" t="n">
        <x:v>-38.21160000000003</x:v>
      </x:c>
      <x:c r="M8344" t="n">
        <x:v>2017</x:v>
      </x:c>
      <x:c r="N8344" s="20" t="n">
        <x:v>42826</x:v>
      </x:c>
    </x:row>
    <x:row r="8345" ht="18" customHeight="1">
      <x:c r="A8345" t="str">
        <x:v>CA-2014-161634</x:v>
      </x:c>
      <x:c r="B8345" s="18" t="n">
        <x:v>41957</x:v>
      </x:c>
      <x:c r="C8345" t="str">
        <x:v>CC-12220</x:v>
      </x:c>
      <x:c r="D8345" t="str">
        <x:v>Chris Cortes</x:v>
      </x:c>
      <x:c r="E8345" t="str">
        <x:v>Consumer</x:v>
      </x:c>
      <x:c r="F8345" t="str">
        <x:v>South</x:v>
      </x:c>
      <x:c r="G8345" t="str">
        <x:v>Office Supplies</x:v>
      </x:c>
      <x:c r="H8345" t="str">
        <x:v>Paper</x:v>
      </x:c>
      <x:c r="I8345" s="22" t="n">
        <x:v>32.400000000000006</x:v>
      </x:c>
      <x:c r="J8345" s="24" t="n">
        <x:v>5</x:v>
      </x:c>
      <x:c r="K8345" s="26" t="n">
        <x:v>0</x:v>
      </x:c>
      <x:c r="L8345" s="22" t="n">
        <x:v>15.552000000000001</x:v>
      </x:c>
      <x:c r="M8345" t="n">
        <x:v>2014</x:v>
      </x:c>
      <x:c r="N8345" s="20" t="n">
        <x:v>41944</x:v>
      </x:c>
    </x:row>
    <x:row r="8346" ht="18" customHeight="1">
      <x:c r="A8346" t="str">
        <x:v>CA-2017-141481</x:v>
      </x:c>
      <x:c r="B8346" s="18" t="n">
        <x:v>42897</x:v>
      </x:c>
      <x:c r="C8346" t="str">
        <x:v>ZD-21925</x:v>
      </x:c>
      <x:c r="D8346" t="str">
        <x:v>Zuschuss Donatelli</x:v>
      </x:c>
      <x:c r="E8346" t="str">
        <x:v>Consumer</x:v>
      </x:c>
      <x:c r="F8346" t="str">
        <x:v>West</x:v>
      </x:c>
      <x:c r="G8346" t="str">
        <x:v>Office Supplies</x:v>
      </x:c>
      <x:c r="H8346" t="str">
        <x:v>Appliances</x:v>
      </x:c>
      <x:c r="I8346" s="22" t="n">
        <x:v>61.44</x:v>
      </x:c>
      <x:c r="J8346" s="24" t="n">
        <x:v>3</x:v>
      </x:c>
      <x:c r="K8346" s="26" t="n">
        <x:v>0</x:v>
      </x:c>
      <x:c r="L8346" s="22" t="n">
        <x:v>16.5888</x:v>
      </x:c>
      <x:c r="M8346" t="n">
        <x:v>2017</x:v>
      </x:c>
      <x:c r="N8346" s="20" t="n">
        <x:v>42887</x:v>
      </x:c>
    </x:row>
    <x:row r="8347" ht="18" customHeight="1">
      <x:c r="A8347" t="str">
        <x:v>CA-2016-132549</x:v>
      </x:c>
      <x:c r="B8347" s="18" t="n">
        <x:v>42699</x:v>
      </x:c>
      <x:c r="C8347" t="str">
        <x:v>JK-15370</x:v>
      </x:c>
      <x:c r="D8347" t="str">
        <x:v>Jay Kimmel</x:v>
      </x:c>
      <x:c r="E8347" t="str">
        <x:v>Consumer</x:v>
      </x:c>
      <x:c r="F8347" t="str">
        <x:v>South</x:v>
      </x:c>
      <x:c r="G8347" t="str">
        <x:v>Office Supplies</x:v>
      </x:c>
      <x:c r="H8347" t="str">
        <x:v>Storage</x:v>
      </x:c>
      <x:c r="I8347" s="22" t="n">
        <x:v>73.36</x:v>
      </x:c>
      <x:c r="J8347" s="24" t="n">
        <x:v>7</x:v>
      </x:c>
      <x:c r="K8347" s="26" t="n">
        <x:v>0</x:v>
      </x:c>
      <x:c r="L8347" s="22" t="n">
        <x:v>19.8072</x:v>
      </x:c>
      <x:c r="M8347" t="n">
        <x:v>2016</x:v>
      </x:c>
      <x:c r="N8347" s="20" t="n">
        <x:v>42675</x:v>
      </x:c>
    </x:row>
    <x:row r="8348" ht="18" customHeight="1">
      <x:c r="A8348" t="str">
        <x:v>US-2014-155544</x:v>
      </x:c>
      <x:c r="B8348" s="18" t="n">
        <x:v>41719</x:v>
      </x:c>
      <x:c r="C8348" t="str">
        <x:v>GM-14440</x:v>
      </x:c>
      <x:c r="D8348" t="str">
        <x:v>Gary McGarr</x:v>
      </x:c>
      <x:c r="E8348" t="str">
        <x:v>Consumer</x:v>
      </x:c>
      <x:c r="F8348" t="str">
        <x:v>South</x:v>
      </x:c>
      <x:c r="G8348" t="str">
        <x:v>Office Supplies</x:v>
      </x:c>
      <x:c r="H8348" t="str">
        <x:v>Labels</x:v>
      </x:c>
      <x:c r="I8348" s="22" t="n">
        <x:v>59.20000000000001</x:v>
      </x:c>
      <x:c r="J8348" s="24" t="n">
        <x:v>5</x:v>
      </x:c>
      <x:c r="K8348" s="26" t="n">
        <x:v>0.2</x:v>
      </x:c>
      <x:c r="L8348" s="22" t="n">
        <x:v>22.199999999999996</x:v>
      </x:c>
      <x:c r="M8348" t="n">
        <x:v>2014</x:v>
      </x:c>
      <x:c r="N8348" s="20" t="n">
        <x:v>41699</x:v>
      </x:c>
    </x:row>
    <x:row r="8349" ht="18" customHeight="1">
      <x:c r="A8349" t="str">
        <x:v>US-2014-155544</x:v>
      </x:c>
      <x:c r="B8349" s="18" t="n">
        <x:v>41719</x:v>
      </x:c>
      <x:c r="C8349" t="str">
        <x:v>GM-14440</x:v>
      </x:c>
      <x:c r="D8349" t="str">
        <x:v>Gary McGarr</x:v>
      </x:c>
      <x:c r="E8349" t="str">
        <x:v>Consumer</x:v>
      </x:c>
      <x:c r="F8349" t="str">
        <x:v>South</x:v>
      </x:c>
      <x:c r="G8349" t="str">
        <x:v>Furniture</x:v>
      </x:c>
      <x:c r="H8349" t="str">
        <x:v>Furnishings</x:v>
      </x:c>
      <x:c r="I8349" s="22" t="n">
        <x:v>32.952000000000005</x:v>
      </x:c>
      <x:c r="J8349" s="24" t="n">
        <x:v>3</x:v>
      </x:c>
      <x:c r="K8349" s="26" t="n">
        <x:v>0.2</x:v>
      </x:c>
      <x:c r="L8349" s="22" t="n">
        <x:v>6.590399999999999</x:v>
      </x:c>
      <x:c r="M8349" t="n">
        <x:v>2014</x:v>
      </x:c>
      <x:c r="N8349" s="20" t="n">
        <x:v>41699</x:v>
      </x:c>
    </x:row>
    <x:row r="8350" ht="18" customHeight="1">
      <x:c r="A8350" t="str">
        <x:v>US-2014-155544</x:v>
      </x:c>
      <x:c r="B8350" s="18" t="n">
        <x:v>41719</x:v>
      </x:c>
      <x:c r="C8350" t="str">
        <x:v>GM-14440</x:v>
      </x:c>
      <x:c r="D8350" t="str">
        <x:v>Gary McGarr</x:v>
      </x:c>
      <x:c r="E8350" t="str">
        <x:v>Consumer</x:v>
      </x:c>
      <x:c r="F8350" t="str">
        <x:v>South</x:v>
      </x:c>
      <x:c r="G8350" t="str">
        <x:v>Furniture</x:v>
      </x:c>
      <x:c r="H8350" t="str">
        <x:v>Chairs</x:v>
      </x:c>
      <x:c r="I8350" s="22" t="n">
        <x:v>218.376</x:v>
      </x:c>
      <x:c r="J8350" s="24" t="n">
        <x:v>3</x:v>
      </x:c>
      <x:c r="K8350" s="26" t="n">
        <x:v>0.2</x:v>
      </x:c>
      <x:c r="L8350" s="22" t="n">
        <x:v>-10.918799999999983</x:v>
      </x:c>
      <x:c r="M8350" t="n">
        <x:v>2014</x:v>
      </x:c>
      <x:c r="N8350" s="20" t="n">
        <x:v>41699</x:v>
      </x:c>
    </x:row>
    <x:row r="8351" ht="18" customHeight="1">
      <x:c r="A8351" t="str">
        <x:v>US-2015-115238</x:v>
      </x:c>
      <x:c r="B8351" s="18" t="n">
        <x:v>42124</x:v>
      </x:c>
      <x:c r="C8351" t="str">
        <x:v>JW-15220</x:v>
      </x:c>
      <x:c r="D8351" t="str">
        <x:v>Jane Waco</x:v>
      </x:c>
      <x:c r="E8351" t="str">
        <x:v>Corporate</x:v>
      </x:c>
      <x:c r="F8351" t="str">
        <x:v>East</x:v>
      </x:c>
      <x:c r="G8351" t="str">
        <x:v>Furniture</x:v>
      </x:c>
      <x:c r="H8351" t="str">
        <x:v>Furnishings</x:v>
      </x:c>
      <x:c r="I8351" s="22" t="n">
        <x:v>31.400000000000002</x:v>
      </x:c>
      <x:c r="J8351" s="24" t="n">
        <x:v>5</x:v>
      </x:c>
      <x:c r="K8351" s="26" t="n">
        <x:v>0</x:v>
      </x:c>
      <x:c r="L8351" s="22" t="n">
        <x:v>13.188000000000002</x:v>
      </x:c>
      <x:c r="M8351" t="n">
        <x:v>2015</x:v>
      </x:c>
      <x:c r="N8351" s="20" t="n">
        <x:v>42095</x:v>
      </x:c>
    </x:row>
    <x:row r="8352" ht="18" customHeight="1">
      <x:c r="A8352" t="str">
        <x:v>US-2015-115238</x:v>
      </x:c>
      <x:c r="B8352" s="18" t="n">
        <x:v>42124</x:v>
      </x:c>
      <x:c r="C8352" t="str">
        <x:v>JW-15220</x:v>
      </x:c>
      <x:c r="D8352" t="str">
        <x:v>Jane Waco</x:v>
      </x:c>
      <x:c r="E8352" t="str">
        <x:v>Corporate</x:v>
      </x:c>
      <x:c r="F8352" t="str">
        <x:v>East</x:v>
      </x:c>
      <x:c r="G8352" t="str">
        <x:v>Furniture</x:v>
      </x:c>
      <x:c r="H8352" t="str">
        <x:v>Furnishings</x:v>
      </x:c>
      <x:c r="I8352" s="22" t="n">
        <x:v>9.48</x:v>
      </x:c>
      <x:c r="J8352" s="24" t="n">
        <x:v>1</x:v>
      </x:c>
      <x:c r="K8352" s="26" t="n">
        <x:v>0</x:v>
      </x:c>
      <x:c r="L8352" s="22" t="n">
        <x:v>3.7920000000000007</x:v>
      </x:c>
      <x:c r="M8352" t="n">
        <x:v>2015</x:v>
      </x:c>
      <x:c r="N8352" s="20" t="n">
        <x:v>42095</x:v>
      </x:c>
    </x:row>
    <x:row r="8353" ht="18" customHeight="1">
      <x:c r="A8353" t="str">
        <x:v>US-2015-115238</x:v>
      </x:c>
      <x:c r="B8353" s="18" t="n">
        <x:v>42124</x:v>
      </x:c>
      <x:c r="C8353" t="str">
        <x:v>JW-15220</x:v>
      </x:c>
      <x:c r="D8353" t="str">
        <x:v>Jane Waco</x:v>
      </x:c>
      <x:c r="E8353" t="str">
        <x:v>Corporate</x:v>
      </x:c>
      <x:c r="F8353" t="str">
        <x:v>East</x:v>
      </x:c>
      <x:c r="G8353" t="str">
        <x:v>Technology</x:v>
      </x:c>
      <x:c r="H8353" t="str">
        <x:v>Phones</x:v>
      </x:c>
      <x:c r="I8353" s="22" t="n">
        <x:v>209.5</x:v>
      </x:c>
      <x:c r="J8353" s="24" t="n">
        <x:v>10</x:v>
      </x:c>
      <x:c r="K8353" s="26" t="n">
        <x:v>0</x:v>
      </x:c>
      <x:c r="L8353" s="22" t="n">
        <x:v>58.66</x:v>
      </x:c>
      <x:c r="M8353" t="n">
        <x:v>2015</x:v>
      </x:c>
      <x:c r="N8353" s="20" t="n">
        <x:v>42095</x:v>
      </x:c>
    </x:row>
    <x:row r="8354" ht="18" customHeight="1">
      <x:c r="A8354" t="str">
        <x:v>US-2015-115238</x:v>
      </x:c>
      <x:c r="B8354" s="18" t="n">
        <x:v>42124</x:v>
      </x:c>
      <x:c r="C8354" t="str">
        <x:v>JW-15220</x:v>
      </x:c>
      <x:c r="D8354" t="str">
        <x:v>Jane Waco</x:v>
      </x:c>
      <x:c r="E8354" t="str">
        <x:v>Corporate</x:v>
      </x:c>
      <x:c r="F8354" t="str">
        <x:v>East</x:v>
      </x:c>
      <x:c r="G8354" t="str">
        <x:v>Furniture</x:v>
      </x:c>
      <x:c r="H8354" t="str">
        <x:v>Furnishings</x:v>
      </x:c>
      <x:c r="I8354" s="22" t="n">
        <x:v>24.3</x:v>
      </x:c>
      <x:c r="J8354" s="24" t="n">
        <x:v>5</x:v>
      </x:c>
      <x:c r="K8354" s="26" t="n">
        <x:v>0</x:v>
      </x:c>
      <x:c r="L8354" s="22" t="n">
        <x:v>10.449000000000002</x:v>
      </x:c>
      <x:c r="M8354" t="n">
        <x:v>2015</x:v>
      </x:c>
      <x:c r="N8354" s="20" t="n">
        <x:v>42095</x:v>
      </x:c>
    </x:row>
    <x:row r="8355" ht="18" customHeight="1">
      <x:c r="A8355" t="str">
        <x:v>US-2015-115238</x:v>
      </x:c>
      <x:c r="B8355" s="18" t="n">
        <x:v>42124</x:v>
      </x:c>
      <x:c r="C8355" t="str">
        <x:v>JW-15220</x:v>
      </x:c>
      <x:c r="D8355" t="str">
        <x:v>Jane Waco</x:v>
      </x:c>
      <x:c r="E8355" t="str">
        <x:v>Corporate</x:v>
      </x:c>
      <x:c r="F8355" t="str">
        <x:v>East</x:v>
      </x:c>
      <x:c r="G8355" t="str">
        <x:v>Office Supplies</x:v>
      </x:c>
      <x:c r="H8355" t="str">
        <x:v>Paper</x:v>
      </x:c>
      <x:c r="I8355" s="22" t="n">
        <x:v>6.48</x:v>
      </x:c>
      <x:c r="J8355" s="24" t="n">
        <x:v>1</x:v>
      </x:c>
      <x:c r="K8355" s="26" t="n">
        <x:v>0</x:v>
      </x:c>
      <x:c r="L8355" s="22" t="n">
        <x:v>3.1104000000000003</x:v>
      </x:c>
      <x:c r="M8355" t="n">
        <x:v>2015</x:v>
      </x:c>
      <x:c r="N8355" s="20" t="n">
        <x:v>42095</x:v>
      </x:c>
    </x:row>
    <x:row r="8356" ht="18" customHeight="1">
      <x:c r="A8356" t="str">
        <x:v>CA-2017-132199</x:v>
      </x:c>
      <x:c r="B8356" s="18" t="n">
        <x:v>42858</x:v>
      </x:c>
      <x:c r="C8356" t="str">
        <x:v>BO-11350</x:v>
      </x:c>
      <x:c r="D8356" t="str">
        <x:v>Bill Overfelt</x:v>
      </x:c>
      <x:c r="E8356" t="str">
        <x:v>Corporate</x:v>
      </x:c>
      <x:c r="F8356" t="str">
        <x:v>East</x:v>
      </x:c>
      <x:c r="G8356" t="str">
        <x:v>Furniture</x:v>
      </x:c>
      <x:c r="H8356" t="str">
        <x:v>Furnishings</x:v>
      </x:c>
      <x:c r="I8356" s="22" t="n">
        <x:v>32.448</x:v>
      </x:c>
      <x:c r="J8356" s="24" t="n">
        <x:v>2</x:v>
      </x:c>
      <x:c r="K8356" s="26" t="n">
        <x:v>0.2</x:v>
      </x:c>
      <x:c r="L8356" s="22" t="n">
        <x:v>7.300800000000001</x:v>
      </x:c>
      <x:c r="M8356" t="n">
        <x:v>2017</x:v>
      </x:c>
      <x:c r="N8356" s="20" t="n">
        <x:v>42856</x:v>
      </x:c>
    </x:row>
    <x:row r="8357" ht="18" customHeight="1">
      <x:c r="A8357" t="str">
        <x:v>CA-2017-132199</x:v>
      </x:c>
      <x:c r="B8357" s="18" t="n">
        <x:v>42858</x:v>
      </x:c>
      <x:c r="C8357" t="str">
        <x:v>BO-11350</x:v>
      </x:c>
      <x:c r="D8357" t="str">
        <x:v>Bill Overfelt</x:v>
      </x:c>
      <x:c r="E8357" t="str">
        <x:v>Corporate</x:v>
      </x:c>
      <x:c r="F8357" t="str">
        <x:v>East</x:v>
      </x:c>
      <x:c r="G8357" t="str">
        <x:v>Office Supplies</x:v>
      </x:c>
      <x:c r="H8357" t="str">
        <x:v>Binders</x:v>
      </x:c>
      <x:c r="I8357" s="22" t="n">
        <x:v>26.388</x:v>
      </x:c>
      <x:c r="J8357" s="24" t="n">
        <x:v>4</x:v>
      </x:c>
      <x:c r="K8357" s="26" t="n">
        <x:v>0.7</x:v>
      </x:c>
      <x:c r="L8357" s="22" t="n">
        <x:v>-17.59199999999999</x:v>
      </x:c>
      <x:c r="M8357" t="n">
        <x:v>2017</x:v>
      </x:c>
      <x:c r="N8357" s="20" t="n">
        <x:v>42856</x:v>
      </x:c>
    </x:row>
    <x:row r="8358" ht="18" customHeight="1">
      <x:c r="A8358" t="str">
        <x:v>CA-2017-132199</x:v>
      </x:c>
      <x:c r="B8358" s="18" t="n">
        <x:v>42858</x:v>
      </x:c>
      <x:c r="C8358" t="str">
        <x:v>BO-11350</x:v>
      </x:c>
      <x:c r="D8358" t="str">
        <x:v>Bill Overfelt</x:v>
      </x:c>
      <x:c r="E8358" t="str">
        <x:v>Corporate</x:v>
      </x:c>
      <x:c r="F8358" t="str">
        <x:v>East</x:v>
      </x:c>
      <x:c r="G8358" t="str">
        <x:v>Furniture</x:v>
      </x:c>
      <x:c r="H8358" t="str">
        <x:v>Tables</x:v>
      </x:c>
      <x:c r="I8358" s="22" t="n">
        <x:v>373.4699999999999</x:v>
      </x:c>
      <x:c r="J8358" s="24" t="n">
        <x:v>5</x:v>
      </x:c>
      <x:c r="K8358" s="26" t="n">
        <x:v>0.4</x:v>
      </x:c>
      <x:c r="L8358" s="22" t="n">
        <x:v>-112.041</x:v>
      </x:c>
      <x:c r="M8358" t="n">
        <x:v>2017</x:v>
      </x:c>
      <x:c r="N8358" s="20" t="n">
        <x:v>42856</x:v>
      </x:c>
    </x:row>
    <x:row r="8359" ht="18" customHeight="1">
      <x:c r="A8359" t="str">
        <x:v>CA-2017-132199</x:v>
      </x:c>
      <x:c r="B8359" s="18" t="n">
        <x:v>42858</x:v>
      </x:c>
      <x:c r="C8359" t="str">
        <x:v>BO-11350</x:v>
      </x:c>
      <x:c r="D8359" t="str">
        <x:v>Bill Overfelt</x:v>
      </x:c>
      <x:c r="E8359" t="str">
        <x:v>Corporate</x:v>
      </x:c>
      <x:c r="F8359" t="str">
        <x:v>East</x:v>
      </x:c>
      <x:c r="G8359" t="str">
        <x:v>Office Supplies</x:v>
      </x:c>
      <x:c r="H8359" t="str">
        <x:v>Binders</x:v>
      </x:c>
      <x:c r="I8359" s="22" t="n">
        <x:v>64.2</x:v>
      </x:c>
      <x:c r="J8359" s="24" t="n">
        <x:v>5</x:v>
      </x:c>
      <x:c r="K8359" s="26" t="n">
        <x:v>0.7</x:v>
      </x:c>
      <x:c r="L8359" s="22" t="n">
        <x:v>-44.94</x:v>
      </x:c>
      <x:c r="M8359" t="n">
        <x:v>2017</x:v>
      </x:c>
      <x:c r="N8359" s="20" t="n">
        <x:v>42856</x:v>
      </x:c>
    </x:row>
    <x:row r="8360" ht="18" customHeight="1">
      <x:c r="A8360" t="str">
        <x:v>CA-2017-132199</x:v>
      </x:c>
      <x:c r="B8360" s="18" t="n">
        <x:v>42858</x:v>
      </x:c>
      <x:c r="C8360" t="str">
        <x:v>BO-11350</x:v>
      </x:c>
      <x:c r="D8360" t="str">
        <x:v>Bill Overfelt</x:v>
      </x:c>
      <x:c r="E8360" t="str">
        <x:v>Corporate</x:v>
      </x:c>
      <x:c r="F8360" t="str">
        <x:v>East</x:v>
      </x:c>
      <x:c r="G8360" t="str">
        <x:v>Office Supplies</x:v>
      </x:c>
      <x:c r="H8360" t="str">
        <x:v>Fasteners</x:v>
      </x:c>
      <x:c r="I8360" s="22" t="n">
        <x:v>8</x:v>
      </x:c>
      <x:c r="J8360" s="24" t="n">
        <x:v>2</x:v>
      </x:c>
      <x:c r="K8360" s="26" t="n">
        <x:v>0.2</x:v>
      </x:c>
      <x:c r="L8360" s="22" t="n">
        <x:v>2.8</x:v>
      </x:c>
      <x:c r="M8360" t="n">
        <x:v>2017</x:v>
      </x:c>
      <x:c r="N8360" s="20" t="n">
        <x:v>42856</x:v>
      </x:c>
    </x:row>
    <x:row r="8361" ht="18" customHeight="1">
      <x:c r="A8361" t="str">
        <x:v>CA-2016-163174</x:v>
      </x:c>
      <x:c r="B8361" s="18" t="n">
        <x:v>42608</x:v>
      </x:c>
      <x:c r="C8361" t="str">
        <x:v>XP-21865</x:v>
      </x:c>
      <x:c r="D8361" t="str">
        <x:v>Xylona Preis</x:v>
      </x:c>
      <x:c r="E8361" t="str">
        <x:v>Consumer</x:v>
      </x:c>
      <x:c r="F8361" t="str">
        <x:v>South</x:v>
      </x:c>
      <x:c r="G8361" t="str">
        <x:v>Furniture</x:v>
      </x:c>
      <x:c r="H8361" t="str">
        <x:v>Furnishings</x:v>
      </x:c>
      <x:c r="I8361" s="22" t="n">
        <x:v>186.54</x:v>
      </x:c>
      <x:c r="J8361" s="24" t="n">
        <x:v>3</x:v>
      </x:c>
      <x:c r="K8361" s="26" t="n">
        <x:v>0</x:v>
      </x:c>
      <x:c r="L8361" s="22" t="n">
        <x:v>41.0388</x:v>
      </x:c>
      <x:c r="M8361" t="n">
        <x:v>2016</x:v>
      </x:c>
      <x:c r="N8361" s="20" t="n">
        <x:v>42583</x:v>
      </x:c>
    </x:row>
    <x:row r="8362" ht="18" customHeight="1">
      <x:c r="A8362" t="str">
        <x:v>CA-2014-110555</x:v>
      </x:c>
      <x:c r="B8362" s="18" t="n">
        <x:v>41740</x:v>
      </x:c>
      <x:c r="C8362" t="str">
        <x:v>MM-18055</x:v>
      </x:c>
      <x:c r="D8362" t="str">
        <x:v>Michelle Moray</x:v>
      </x:c>
      <x:c r="E8362" t="str">
        <x:v>Consumer</x:v>
      </x:c>
      <x:c r="F8362" t="str">
        <x:v>West</x:v>
      </x:c>
      <x:c r="G8362" t="str">
        <x:v>Office Supplies</x:v>
      </x:c>
      <x:c r="H8362" t="str">
        <x:v>Storage</x:v>
      </x:c>
      <x:c r="I8362" s="22" t="n">
        <x:v>87.08</x:v>
      </x:c>
      <x:c r="J8362" s="24" t="n">
        <x:v>7</x:v>
      </x:c>
      <x:c r="K8362" s="26" t="n">
        <x:v>0</x:v>
      </x:c>
      <x:c r="L8362" s="22" t="n">
        <x:v>24.3824</x:v>
      </x:c>
      <x:c r="M8362" t="n">
        <x:v>2014</x:v>
      </x:c>
      <x:c r="N8362" s="20" t="n">
        <x:v>41730</x:v>
      </x:c>
    </x:row>
    <x:row r="8363" ht="18" customHeight="1">
      <x:c r="A8363" t="str">
        <x:v>CA-2014-110555</x:v>
      </x:c>
      <x:c r="B8363" s="18" t="n">
        <x:v>41740</x:v>
      </x:c>
      <x:c r="C8363" t="str">
        <x:v>MM-18055</x:v>
      </x:c>
      <x:c r="D8363" t="str">
        <x:v>Michelle Moray</x:v>
      </x:c>
      <x:c r="E8363" t="str">
        <x:v>Consumer</x:v>
      </x:c>
      <x:c r="F8363" t="str">
        <x:v>West</x:v>
      </x:c>
      <x:c r="G8363" t="str">
        <x:v>Technology</x:v>
      </x:c>
      <x:c r="H8363" t="str">
        <x:v>Phones</x:v>
      </x:c>
      <x:c r="I8363" s="22" t="n">
        <x:v>105.584</x:v>
      </x:c>
      <x:c r="J8363" s="24" t="n">
        <x:v>2</x:v>
      </x:c>
      <x:c r="K8363" s="26" t="n">
        <x:v>0.2</x:v>
      </x:c>
      <x:c r="L8363" s="22" t="n">
        <x:v>9.238600000000005</x:v>
      </x:c>
      <x:c r="M8363" t="n">
        <x:v>2014</x:v>
      </x:c>
      <x:c r="N8363" s="20" t="n">
        <x:v>41730</x:v>
      </x:c>
    </x:row>
    <x:row r="8364" ht="18" customHeight="1">
      <x:c r="A8364" t="str">
        <x:v>CA-2014-110555</x:v>
      </x:c>
      <x:c r="B8364" s="18" t="n">
        <x:v>41740</x:v>
      </x:c>
      <x:c r="C8364" t="str">
        <x:v>MM-18055</x:v>
      </x:c>
      <x:c r="D8364" t="str">
        <x:v>Michelle Moray</x:v>
      </x:c>
      <x:c r="E8364" t="str">
        <x:v>Consumer</x:v>
      </x:c>
      <x:c r="F8364" t="str">
        <x:v>West</x:v>
      </x:c>
      <x:c r="G8364" t="str">
        <x:v>Technology</x:v>
      </x:c>
      <x:c r="H8364" t="str">
        <x:v>Accessories</x:v>
      </x:c>
      <x:c r="I8364" s="22" t="n">
        <x:v>217.44</x:v>
      </x:c>
      <x:c r="J8364" s="24" t="n">
        <x:v>6</x:v>
      </x:c>
      <x:c r="K8364" s="26" t="n">
        <x:v>0</x:v>
      </x:c>
      <x:c r="L8364" s="22" t="n">
        <x:v>91.32480000000001</x:v>
      </x:c>
      <x:c r="M8364" t="n">
        <x:v>2014</x:v>
      </x:c>
      <x:c r="N8364" s="20" t="n">
        <x:v>41730</x:v>
      </x:c>
    </x:row>
    <x:row r="8365" ht="18" customHeight="1">
      <x:c r="A8365" t="str">
        <x:v>CA-2017-147207</x:v>
      </x:c>
      <x:c r="B8365" s="18" t="n">
        <x:v>42737</x:v>
      </x:c>
      <x:c r="C8365" t="str">
        <x:v>TS-21655</x:v>
      </x:c>
      <x:c r="D8365" t="str">
        <x:v>Trudy Schmidt</x:v>
      </x:c>
      <x:c r="E8365" t="str">
        <x:v>Consumer</x:v>
      </x:c>
      <x:c r="F8365" t="str">
        <x:v>Central</x:v>
      </x:c>
      <x:c r="G8365" t="str">
        <x:v>Office Supplies</x:v>
      </x:c>
      <x:c r="H8365" t="str">
        <x:v>Art</x:v>
      </x:c>
      <x:c r="I8365" s="22" t="n">
        <x:v>31.744</x:v>
      </x:c>
      <x:c r="J8365" s="24" t="n">
        <x:v>2</x:v>
      </x:c>
      <x:c r="K8365" s="26" t="n">
        <x:v>0.2</x:v>
      </x:c>
      <x:c r="L8365" s="22" t="n">
        <x:v>3.9679999999999964</x:v>
      </x:c>
      <x:c r="M8365" t="n">
        <x:v>2017</x:v>
      </x:c>
      <x:c r="N8365" s="20" t="n">
        <x:v>42736</x:v>
      </x:c>
    </x:row>
    <x:row r="8366" ht="18" customHeight="1">
      <x:c r="A8366" t="str">
        <x:v>CA-2017-147207</x:v>
      </x:c>
      <x:c r="B8366" s="18" t="n">
        <x:v>42737</x:v>
      </x:c>
      <x:c r="C8366" t="str">
        <x:v>TS-21655</x:v>
      </x:c>
      <x:c r="D8366" t="str">
        <x:v>Trudy Schmidt</x:v>
      </x:c>
      <x:c r="E8366" t="str">
        <x:v>Consumer</x:v>
      </x:c>
      <x:c r="F8366" t="str">
        <x:v>Central</x:v>
      </x:c>
      <x:c r="G8366" t="str">
        <x:v>Office Supplies</x:v>
      </x:c>
      <x:c r="H8366" t="str">
        <x:v>Appliances</x:v>
      </x:c>
      <x:c r="I8366" s="22" t="n">
        <x:v>5.431999999999999</x:v>
      </x:c>
      <x:c r="J8366" s="24" t="n">
        <x:v>2</x:v>
      </x:c>
      <x:c r="K8366" s="26" t="n">
        <x:v>0.8</x:v>
      </x:c>
      <x:c r="L8366" s="22" t="n">
        <x:v>-13.580000000000002</x:v>
      </x:c>
      <x:c r="M8366" t="n">
        <x:v>2017</x:v>
      </x:c>
      <x:c r="N8366" s="20" t="n">
        <x:v>42736</x:v>
      </x:c>
    </x:row>
    <x:row r="8367" ht="18" customHeight="1">
      <x:c r="A8367" t="str">
        <x:v>CA-2017-147207</x:v>
      </x:c>
      <x:c r="B8367" s="18" t="n">
        <x:v>42737</x:v>
      </x:c>
      <x:c r="C8367" t="str">
        <x:v>TS-21655</x:v>
      </x:c>
      <x:c r="D8367" t="str">
        <x:v>Trudy Schmidt</x:v>
      </x:c>
      <x:c r="E8367" t="str">
        <x:v>Consumer</x:v>
      </x:c>
      <x:c r="F8367" t="str">
        <x:v>Central</x:v>
      </x:c>
      <x:c r="G8367" t="str">
        <x:v>Furniture</x:v>
      </x:c>
      <x:c r="H8367" t="str">
        <x:v>Tables</x:v>
      </x:c>
      <x:c r="I8367" s="22" t="n">
        <x:v>913.4300000000001</x:v>
      </x:c>
      <x:c r="J8367" s="24" t="n">
        <x:v>5</x:v>
      </x:c>
      <x:c r="K8367" s="26" t="n">
        <x:v>0.3</x:v>
      </x:c>
      <x:c r="L8367" s="22" t="n">
        <x:v>-169.63700000000009</x:v>
      </x:c>
      <x:c r="M8367" t="n">
        <x:v>2017</x:v>
      </x:c>
      <x:c r="N8367" s="20" t="n">
        <x:v>42736</x:v>
      </x:c>
    </x:row>
    <x:row r="8368" ht="18" customHeight="1">
      <x:c r="A8368" t="str">
        <x:v>CA-2017-147207</x:v>
      </x:c>
      <x:c r="B8368" s="18" t="n">
        <x:v>42737</x:v>
      </x:c>
      <x:c r="C8368" t="str">
        <x:v>TS-21655</x:v>
      </x:c>
      <x:c r="D8368" t="str">
        <x:v>Trudy Schmidt</x:v>
      </x:c>
      <x:c r="E8368" t="str">
        <x:v>Consumer</x:v>
      </x:c>
      <x:c r="F8368" t="str">
        <x:v>Central</x:v>
      </x:c>
      <x:c r="G8368" t="str">
        <x:v>Office Supplies</x:v>
      </x:c>
      <x:c r="H8368" t="str">
        <x:v>Storage</x:v>
      </x:c>
      <x:c r="I8368" s="22" t="n">
        <x:v>372.144</x:v>
      </x:c>
      <x:c r="J8368" s="24" t="n">
        <x:v>3</x:v>
      </x:c>
      <x:c r="K8368" s="26" t="n">
        <x:v>0.2</x:v>
      </x:c>
      <x:c r="L8368" s="22" t="n">
        <x:v>27.91080000000001</x:v>
      </x:c>
      <x:c r="M8368" t="n">
        <x:v>2017</x:v>
      </x:c>
      <x:c r="N8368" s="20" t="n">
        <x:v>42736</x:v>
      </x:c>
    </x:row>
    <x:row r="8369" ht="18" customHeight="1">
      <x:c r="A8369" t="str">
        <x:v>CA-2017-137631</x:v>
      </x:c>
      <x:c r="B8369" s="18" t="n">
        <x:v>42853</x:v>
      </x:c>
      <x:c r="C8369" t="str">
        <x:v>JL-15235</x:v>
      </x:c>
      <x:c r="D8369" t="str">
        <x:v>Janet Lee</x:v>
      </x:c>
      <x:c r="E8369" t="str">
        <x:v>Consumer</x:v>
      </x:c>
      <x:c r="F8369" t="str">
        <x:v>South</x:v>
      </x:c>
      <x:c r="G8369" t="str">
        <x:v>Technology</x:v>
      </x:c>
      <x:c r="H8369" t="str">
        <x:v>Phones</x:v>
      </x:c>
      <x:c r="I8369" s="22" t="n">
        <x:v>751.984</x:v>
      </x:c>
      <x:c r="J8369" s="24" t="n">
        <x:v>2</x:v>
      </x:c>
      <x:c r="K8369" s="26" t="n">
        <x:v>0.2</x:v>
      </x:c>
      <x:c r="L8369" s="22" t="n">
        <x:v>84.59819999999988</x:v>
      </x:c>
      <x:c r="M8369" t="n">
        <x:v>2017</x:v>
      </x:c>
      <x:c r="N8369" s="20" t="n">
        <x:v>42826</x:v>
      </x:c>
    </x:row>
    <x:row r="8370" ht="18" customHeight="1">
      <x:c r="A8370" t="str">
        <x:v>CA-2017-157273</x:v>
      </x:c>
      <x:c r="B8370" s="18" t="n">
        <x:v>42765</x:v>
      </x:c>
      <x:c r="C8370" t="str">
        <x:v>SZ-20035</x:v>
      </x:c>
      <x:c r="D8370" t="str">
        <x:v>Sam Zeldin</x:v>
      </x:c>
      <x:c r="E8370" t="str">
        <x:v>Home Office</x:v>
      </x:c>
      <x:c r="F8370" t="str">
        <x:v>West</x:v>
      </x:c>
      <x:c r="G8370" t="str">
        <x:v>Technology</x:v>
      </x:c>
      <x:c r="H8370" t="str">
        <x:v>Phones</x:v>
      </x:c>
      <x:c r="I8370" s="22" t="n">
        <x:v>604.768</x:v>
      </x:c>
      <x:c r="J8370" s="24" t="n">
        <x:v>4</x:v>
      </x:c>
      <x:c r="K8370" s="26" t="n">
        <x:v>0.2</x:v>
      </x:c>
      <x:c r="L8370" s="22" t="n">
        <x:v>60.476800000000026</x:v>
      </x:c>
      <x:c r="M8370" t="n">
        <x:v>2017</x:v>
      </x:c>
      <x:c r="N8370" s="20" t="n">
        <x:v>42736</x:v>
      </x:c>
    </x:row>
    <x:row r="8371" ht="18" customHeight="1">
      <x:c r="A8371" t="str">
        <x:v>CA-2014-109918</x:v>
      </x:c>
      <x:c r="B8371" s="18" t="n">
        <x:v>41889</x:v>
      </x:c>
      <x:c r="C8371" t="str">
        <x:v>LR-17035</x:v>
      </x:c>
      <x:c r="D8371" t="str">
        <x:v>Lisa Ryan</x:v>
      </x:c>
      <x:c r="E8371" t="str">
        <x:v>Corporate</x:v>
      </x:c>
      <x:c r="F8371" t="str">
        <x:v>West</x:v>
      </x:c>
      <x:c r="G8371" t="str">
        <x:v>Office Supplies</x:v>
      </x:c>
      <x:c r="H8371" t="str">
        <x:v>Supplies</x:v>
      </x:c>
      <x:c r="I8371" s="22" t="n">
        <x:v>27.36</x:v>
      </x:c>
      <x:c r="J8371" s="24" t="n">
        <x:v>4</x:v>
      </x:c>
      <x:c r="K8371" s="26" t="n">
        <x:v>0</x:v>
      </x:c>
      <x:c r="L8371" s="22" t="n">
        <x:v>7.3872</x:v>
      </x:c>
      <x:c r="M8371" t="n">
        <x:v>2014</x:v>
      </x:c>
      <x:c r="N8371" s="20" t="n">
        <x:v>41883</x:v>
      </x:c>
    </x:row>
    <x:row r="8372" ht="18" customHeight="1">
      <x:c r="A8372" t="str">
        <x:v>CA-2014-109918</x:v>
      </x:c>
      <x:c r="B8372" s="18" t="n">
        <x:v>41889</x:v>
      </x:c>
      <x:c r="C8372" t="str">
        <x:v>LR-17035</x:v>
      </x:c>
      <x:c r="D8372" t="str">
        <x:v>Lisa Ryan</x:v>
      </x:c>
      <x:c r="E8372" t="str">
        <x:v>Corporate</x:v>
      </x:c>
      <x:c r="F8372" t="str">
        <x:v>West</x:v>
      </x:c>
      <x:c r="G8372" t="str">
        <x:v>Office Supplies</x:v>
      </x:c>
      <x:c r="H8372" t="str">
        <x:v>Paper</x:v>
      </x:c>
      <x:c r="I8372" s="22" t="n">
        <x:v>20.56</x:v>
      </x:c>
      <x:c r="J8372" s="24" t="n">
        <x:v>2</x:v>
      </x:c>
      <x:c r="K8372" s="26" t="n">
        <x:v>0</x:v>
      </x:c>
      <x:c r="L8372" s="22" t="n">
        <x:v>9.663199999999998</x:v>
      </x:c>
      <x:c r="M8372" t="n">
        <x:v>2014</x:v>
      </x:c>
      <x:c r="N8372" s="20" t="n">
        <x:v>41883</x:v>
      </x:c>
    </x:row>
    <x:row r="8373" ht="18" customHeight="1">
      <x:c r="A8373" t="str">
        <x:v>CA-2014-109918</x:v>
      </x:c>
      <x:c r="B8373" s="18" t="n">
        <x:v>41889</x:v>
      </x:c>
      <x:c r="C8373" t="str">
        <x:v>LR-17035</x:v>
      </x:c>
      <x:c r="D8373" t="str">
        <x:v>Lisa Ryan</x:v>
      </x:c>
      <x:c r="E8373" t="str">
        <x:v>Corporate</x:v>
      </x:c>
      <x:c r="F8373" t="str">
        <x:v>West</x:v>
      </x:c>
      <x:c r="G8373" t="str">
        <x:v>Office Supplies</x:v>
      </x:c>
      <x:c r="H8373" t="str">
        <x:v>Binders</x:v>
      </x:c>
      <x:c r="I8373" s="22" t="n">
        <x:v>83.92000000000002</x:v>
      </x:c>
      <x:c r="J8373" s="24" t="n">
        <x:v>5</x:v>
      </x:c>
      <x:c r="K8373" s="26" t="n">
        <x:v>0.2</x:v>
      </x:c>
      <x:c r="L8373" s="22" t="n">
        <x:v>31.47</x:v>
      </x:c>
      <x:c r="M8373" t="n">
        <x:v>2014</x:v>
      </x:c>
      <x:c r="N8373" s="20" t="n">
        <x:v>41883</x:v>
      </x:c>
    </x:row>
    <x:row r="8374" ht="18" customHeight="1">
      <x:c r="A8374" t="str">
        <x:v>CA-2016-118745</x:v>
      </x:c>
      <x:c r="B8374" s="18" t="n">
        <x:v>42532</x:v>
      </x:c>
      <x:c r="C8374" t="str">
        <x:v>SV-20365</x:v>
      </x:c>
      <x:c r="D8374" t="str">
        <x:v>Seth Vernon</x:v>
      </x:c>
      <x:c r="E8374" t="str">
        <x:v>Consumer</x:v>
      </x:c>
      <x:c r="F8374" t="str">
        <x:v>West</x:v>
      </x:c>
      <x:c r="G8374" t="str">
        <x:v>Furniture</x:v>
      </x:c>
      <x:c r="H8374" t="str">
        <x:v>Tables</x:v>
      </x:c>
      <x:c r="I8374" s="22" t="n">
        <x:v>902.712</x:v>
      </x:c>
      <x:c r="J8374" s="24" t="n">
        <x:v>3</x:v>
      </x:c>
      <x:c r="K8374" s="26" t="n">
        <x:v>0.2</x:v>
      </x:c>
      <x:c r="L8374" s="22" t="n">
        <x:v>33.85170000000005</x:v>
      </x:c>
      <x:c r="M8374" t="n">
        <x:v>2016</x:v>
      </x:c>
      <x:c r="N8374" s="20" t="n">
        <x:v>42522</x:v>
      </x:c>
    </x:row>
    <x:row r="8375" ht="18" customHeight="1">
      <x:c r="A8375" t="str">
        <x:v>CA-2016-163972</x:v>
      </x:c>
      <x:c r="B8375" s="18" t="n">
        <x:v>42660</x:v>
      </x:c>
      <x:c r="C8375" t="str">
        <x:v>MG-17890</x:v>
      </x:c>
      <x:c r="D8375" t="str">
        <x:v>Michael Granlund</x:v>
      </x:c>
      <x:c r="E8375" t="str">
        <x:v>Home Office</x:v>
      </x:c>
      <x:c r="F8375" t="str">
        <x:v>West</x:v>
      </x:c>
      <x:c r="G8375" t="str">
        <x:v>Furniture</x:v>
      </x:c>
      <x:c r="H8375" t="str">
        <x:v>Bookcases</x:v>
      </x:c>
      <x:c r="I8375" s="22" t="n">
        <x:v>120.666</x:v>
      </x:c>
      <x:c r="J8375" s="24" t="n">
        <x:v>2</x:v>
      </x:c>
      <x:c r="K8375" s="26" t="n">
        <x:v>0.15</x:v>
      </x:c>
      <x:c r="L8375" s="22" t="n">
        <x:v>21.293999999999993</x:v>
      </x:c>
      <x:c r="M8375" t="n">
        <x:v>2016</x:v>
      </x:c>
      <x:c r="N8375" s="20" t="n">
        <x:v>42644</x:v>
      </x:c>
    </x:row>
    <x:row r="8376" ht="18" customHeight="1">
      <x:c r="A8376" t="str">
        <x:v>CA-2014-165393</x:v>
      </x:c>
      <x:c r="B8376" s="18" t="n">
        <x:v>42000</x:v>
      </x:c>
      <x:c r="C8376" t="str">
        <x:v>NC-18415</x:v>
      </x:c>
      <x:c r="D8376" t="str">
        <x:v>Nathan Cano</x:v>
      </x:c>
      <x:c r="E8376" t="str">
        <x:v>Consumer</x:v>
      </x:c>
      <x:c r="F8376" t="str">
        <x:v>Central</x:v>
      </x:c>
      <x:c r="G8376" t="str">
        <x:v>Office Supplies</x:v>
      </x:c>
      <x:c r="H8376" t="str">
        <x:v>Binders</x:v>
      </x:c>
      <x:c r="I8376" s="22" t="n">
        <x:v>4.983999999999999</x:v>
      </x:c>
      <x:c r="J8376" s="24" t="n">
        <x:v>1</x:v>
      </x:c>
      <x:c r="K8376" s="26" t="n">
        <x:v>0.8</x:v>
      </x:c>
      <x:c r="L8376" s="22" t="n">
        <x:v>-8.472800000000003</x:v>
      </x:c>
      <x:c r="M8376" t="n">
        <x:v>2014</x:v>
      </x:c>
      <x:c r="N8376" s="20" t="n">
        <x:v>41974</x:v>
      </x:c>
    </x:row>
    <x:row r="8377" ht="18" customHeight="1">
      <x:c r="A8377" t="str">
        <x:v>CA-2016-113726</x:v>
      </x:c>
      <x:c r="B8377" s="18" t="n">
        <x:v>42698</x:v>
      </x:c>
      <x:c r="C8377" t="str">
        <x:v>SC-20680</x:v>
      </x:c>
      <x:c r="D8377" t="str">
        <x:v>Steve Carroll</x:v>
      </x:c>
      <x:c r="E8377" t="str">
        <x:v>Home Office</x:v>
      </x:c>
      <x:c r="F8377" t="str">
        <x:v>West</x:v>
      </x:c>
      <x:c r="G8377" t="str">
        <x:v>Furniture</x:v>
      </x:c>
      <x:c r="H8377" t="str">
        <x:v>Furnishings</x:v>
      </x:c>
      <x:c r="I8377" s="22" t="n">
        <x:v>82.26</x:v>
      </x:c>
      <x:c r="J8377" s="24" t="n">
        <x:v>3</x:v>
      </x:c>
      <x:c r="K8377" s="26" t="n">
        <x:v>0</x:v>
      </x:c>
      <x:c r="L8377" s="22" t="n">
        <x:v>33.726600000000005</x:v>
      </x:c>
      <x:c r="M8377" t="n">
        <x:v>2016</x:v>
      </x:c>
      <x:c r="N8377" s="20" t="n">
        <x:v>42675</x:v>
      </x:c>
    </x:row>
    <x:row r="8378" ht="18" customHeight="1">
      <x:c r="A8378" t="str">
        <x:v>CA-2016-152940</x:v>
      </x:c>
      <x:c r="B8378" s="18" t="n">
        <x:v>42684</x:v>
      </x:c>
      <x:c r="C8378" t="str">
        <x:v>RO-19780</x:v>
      </x:c>
      <x:c r="D8378" t="str">
        <x:v>Rose O'Brian</x:v>
      </x:c>
      <x:c r="E8378" t="str">
        <x:v>Consumer</x:v>
      </x:c>
      <x:c r="F8378" t="str">
        <x:v>West</x:v>
      </x:c>
      <x:c r="G8378" t="str">
        <x:v>Office Supplies</x:v>
      </x:c>
      <x:c r="H8378" t="str">
        <x:v>Storage</x:v>
      </x:c>
      <x:c r="I8378" s="22" t="n">
        <x:v>29.74</x:v>
      </x:c>
      <x:c r="J8378" s="24" t="n">
        <x:v>1</x:v>
      </x:c>
      <x:c r="K8378" s="26" t="n">
        <x:v>0</x:v>
      </x:c>
      <x:c r="L8378" s="22" t="n">
        <x:v>4.461000000000002</x:v>
      </x:c>
      <x:c r="M8378" t="n">
        <x:v>2016</x:v>
      </x:c>
      <x:c r="N8378" s="20" t="n">
        <x:v>42675</x:v>
      </x:c>
    </x:row>
    <x:row r="8379" ht="18" customHeight="1">
      <x:c r="A8379" t="str">
        <x:v>CA-2015-158701</x:v>
      </x:c>
      <x:c r="B8379" s="18" t="n">
        <x:v>42009</x:v>
      </x:c>
      <x:c r="C8379" t="str">
        <x:v>JL-15175</x:v>
      </x:c>
      <x:c r="D8379" t="str">
        <x:v>James Lanier</x:v>
      </x:c>
      <x:c r="E8379" t="str">
        <x:v>Home Office</x:v>
      </x:c>
      <x:c r="F8379" t="str">
        <x:v>West</x:v>
      </x:c>
      <x:c r="G8379" t="str">
        <x:v>Office Supplies</x:v>
      </x:c>
      <x:c r="H8379" t="str">
        <x:v>Appliances</x:v>
      </x:c>
      <x:c r="I8379" s="22" t="n">
        <x:v>87.36</x:v>
      </x:c>
      <x:c r="J8379" s="24" t="n">
        <x:v>6</x:v>
      </x:c>
      <x:c r="K8379" s="26" t="n">
        <x:v>0</x:v>
      </x:c>
      <x:c r="L8379" s="22" t="n">
        <x:v>23.587200000000003</x:v>
      </x:c>
      <x:c r="M8379" t="n">
        <x:v>2015</x:v>
      </x:c>
      <x:c r="N8379" s="20" t="n">
        <x:v>42005</x:v>
      </x:c>
    </x:row>
    <x:row r="8380" ht="18" customHeight="1">
      <x:c r="A8380" t="str">
        <x:v>CA-2015-158701</x:v>
      </x:c>
      <x:c r="B8380" s="18" t="n">
        <x:v>42009</x:v>
      </x:c>
      <x:c r="C8380" t="str">
        <x:v>JL-15175</x:v>
      </x:c>
      <x:c r="D8380" t="str">
        <x:v>James Lanier</x:v>
      </x:c>
      <x:c r="E8380" t="str">
        <x:v>Home Office</x:v>
      </x:c>
      <x:c r="F8380" t="str">
        <x:v>West</x:v>
      </x:c>
      <x:c r="G8380" t="str">
        <x:v>Office Supplies</x:v>
      </x:c>
      <x:c r="H8380" t="str">
        <x:v>Binders</x:v>
      </x:c>
      <x:c r="I8380" s="22" t="n">
        <x:v>56.16</x:v>
      </x:c>
      <x:c r="J8380" s="24" t="n">
        <x:v>6</x:v>
      </x:c>
      <x:c r="K8380" s="26" t="n">
        <x:v>0.2</x:v>
      </x:c>
      <x:c r="L8380" s="22" t="n">
        <x:v>17.549999999999994</x:v>
      </x:c>
      <x:c r="M8380" t="n">
        <x:v>2015</x:v>
      </x:c>
      <x:c r="N8380" s="20" t="n">
        <x:v>42005</x:v>
      </x:c>
    </x:row>
    <x:row r="8381" ht="18" customHeight="1">
      <x:c r="A8381" t="str">
        <x:v>CA-2017-156272</x:v>
      </x:c>
      <x:c r="B8381" s="18" t="n">
        <x:v>42815</x:v>
      </x:c>
      <x:c r="C8381" t="str">
        <x:v>PW-19030</x:v>
      </x:c>
      <x:c r="D8381" t="str">
        <x:v>Pauline Webber</x:v>
      </x:c>
      <x:c r="E8381" t="str">
        <x:v>Corporate</x:v>
      </x:c>
      <x:c r="F8381" t="str">
        <x:v>South</x:v>
      </x:c>
      <x:c r="G8381" t="str">
        <x:v>Office Supplies</x:v>
      </x:c>
      <x:c r="H8381" t="str">
        <x:v>Appliances</x:v>
      </x:c>
      <x:c r="I8381" s="22" t="n">
        <x:v>64.384</x:v>
      </x:c>
      <x:c r="J8381" s="24" t="n">
        <x:v>1</x:v>
      </x:c>
      <x:c r="K8381" s="26" t="n">
        <x:v>0.2</x:v>
      </x:c>
      <x:c r="L8381" s="22" t="n">
        <x:v>8.047999999999998</x:v>
      </x:c>
      <x:c r="M8381" t="n">
        <x:v>2017</x:v>
      </x:c>
      <x:c r="N8381" s="20" t="n">
        <x:v>42795</x:v>
      </x:c>
    </x:row>
    <x:row r="8382" ht="18" customHeight="1">
      <x:c r="A8382" t="str">
        <x:v>CA-2015-162964</x:v>
      </x:c>
      <x:c r="B8382" s="18" t="n">
        <x:v>42320</x:v>
      </x:c>
      <x:c r="C8382" t="str">
        <x:v>MF-18250</x:v>
      </x:c>
      <x:c r="D8382" t="str">
        <x:v>Monica Federle</x:v>
      </x:c>
      <x:c r="E8382" t="str">
        <x:v>Corporate</x:v>
      </x:c>
      <x:c r="F8382" t="str">
        <x:v>Central</x:v>
      </x:c>
      <x:c r="G8382" t="str">
        <x:v>Office Supplies</x:v>
      </x:c>
      <x:c r="H8382" t="str">
        <x:v>Storage</x:v>
      </x:c>
      <x:c r="I8382" s="22" t="n">
        <x:v>64.784</x:v>
      </x:c>
      <x:c r="J8382" s="24" t="n">
        <x:v>1</x:v>
      </x:c>
      <x:c r="K8382" s="26" t="n">
        <x:v>0.2</x:v>
      </x:c>
      <x:c r="L8382" s="22" t="n">
        <x:v>-14.576399999999996</x:v>
      </x:c>
      <x:c r="M8382" t="n">
        <x:v>2015</x:v>
      </x:c>
      <x:c r="N8382" s="20" t="n">
        <x:v>42309</x:v>
      </x:c>
    </x:row>
    <x:row r="8383" ht="18" customHeight="1">
      <x:c r="A8383" t="str">
        <x:v>CA-2015-162964</x:v>
      </x:c>
      <x:c r="B8383" s="18" t="n">
        <x:v>42320</x:v>
      </x:c>
      <x:c r="C8383" t="str">
        <x:v>MF-18250</x:v>
      </x:c>
      <x:c r="D8383" t="str">
        <x:v>Monica Federle</x:v>
      </x:c>
      <x:c r="E8383" t="str">
        <x:v>Corporate</x:v>
      </x:c>
      <x:c r="F8383" t="str">
        <x:v>Central</x:v>
      </x:c>
      <x:c r="G8383" t="str">
        <x:v>Office Supplies</x:v>
      </x:c>
      <x:c r="H8383" t="str">
        <x:v>Paper</x:v>
      </x:c>
      <x:c r="I8383" s="22" t="n">
        <x:v>15.552000000000003</x:v>
      </x:c>
      <x:c r="J8383" s="24" t="n">
        <x:v>3</x:v>
      </x:c>
      <x:c r="K8383" s="26" t="n">
        <x:v>0.2</x:v>
      </x:c>
      <x:c r="L8383" s="22" t="n">
        <x:v>5.6376</x:v>
      </x:c>
      <x:c r="M8383" t="n">
        <x:v>2015</x:v>
      </x:c>
      <x:c r="N8383" s="20" t="n">
        <x:v>42309</x:v>
      </x:c>
    </x:row>
    <x:row r="8384" ht="18" customHeight="1">
      <x:c r="A8384" t="str">
        <x:v>CA-2015-162964</x:v>
      </x:c>
      <x:c r="B8384" s="18" t="n">
        <x:v>42320</x:v>
      </x:c>
      <x:c r="C8384" t="str">
        <x:v>MF-18250</x:v>
      </x:c>
      <x:c r="D8384" t="str">
        <x:v>Monica Federle</x:v>
      </x:c>
      <x:c r="E8384" t="str">
        <x:v>Corporate</x:v>
      </x:c>
      <x:c r="F8384" t="str">
        <x:v>Central</x:v>
      </x:c>
      <x:c r="G8384" t="str">
        <x:v>Office Supplies</x:v>
      </x:c>
      <x:c r="H8384" t="str">
        <x:v>Envelopes</x:v>
      </x:c>
      <x:c r="I8384" s="22" t="n">
        <x:v>223.88799999999998</x:v>
      </x:c>
      <x:c r="J8384" s="24" t="n">
        <x:v>7</x:v>
      </x:c>
      <x:c r="K8384" s="26" t="n">
        <x:v>0.2</x:v>
      </x:c>
      <x:c r="L8384" s="22" t="n">
        <x:v>69.96499999999997</x:v>
      </x:c>
      <x:c r="M8384" t="n">
        <x:v>2015</x:v>
      </x:c>
      <x:c r="N8384" s="20" t="n">
        <x:v>42309</x:v>
      </x:c>
    </x:row>
    <x:row r="8385" ht="18" customHeight="1">
      <x:c r="A8385" t="str">
        <x:v>CA-2014-103527</x:v>
      </x:c>
      <x:c r="B8385" s="18" t="n">
        <x:v>41891</x:v>
      </x:c>
      <x:c r="C8385" t="str">
        <x:v>CC-12220</x:v>
      </x:c>
      <x:c r="D8385" t="str">
        <x:v>Chris Cortes</x:v>
      </x:c>
      <x:c r="E8385" t="str">
        <x:v>Consumer</x:v>
      </x:c>
      <x:c r="F8385" t="str">
        <x:v>Central</x:v>
      </x:c>
      <x:c r="G8385" t="str">
        <x:v>Office Supplies</x:v>
      </x:c>
      <x:c r="H8385" t="str">
        <x:v>Paper</x:v>
      </x:c>
      <x:c r="I8385" s="22" t="n">
        <x:v>10.896</x:v>
      </x:c>
      <x:c r="J8385" s="24" t="n">
        <x:v>3</x:v>
      </x:c>
      <x:c r="K8385" s="26" t="n">
        <x:v>0.2</x:v>
      </x:c>
      <x:c r="L8385" s="22" t="n">
        <x:v>3.4049999999999994</x:v>
      </x:c>
      <x:c r="M8385" t="n">
        <x:v>2014</x:v>
      </x:c>
      <x:c r="N8385" s="20" t="n">
        <x:v>41883</x:v>
      </x:c>
    </x:row>
    <x:row r="8386" ht="18" customHeight="1">
      <x:c r="A8386" t="str">
        <x:v>CA-2016-134544</x:v>
      </x:c>
      <x:c r="B8386" s="18" t="n">
        <x:v>42446</x:v>
      </x:c>
      <x:c r="C8386" t="str">
        <x:v>AC-10660</x:v>
      </x:c>
      <x:c r="D8386" t="str">
        <x:v>Anna Chung</x:v>
      </x:c>
      <x:c r="E8386" t="str">
        <x:v>Consumer</x:v>
      </x:c>
      <x:c r="F8386" t="str">
        <x:v>West</x:v>
      </x:c>
      <x:c r="G8386" t="str">
        <x:v>Technology</x:v>
      </x:c>
      <x:c r="H8386" t="str">
        <x:v>Phones</x:v>
      </x:c>
      <x:c r="I8386" s="22" t="n">
        <x:v>84.784</x:v>
      </x:c>
      <x:c r="J8386" s="24" t="n">
        <x:v>2</x:v>
      </x:c>
      <x:c r="K8386" s="26" t="n">
        <x:v>0.2</x:v>
      </x:c>
      <x:c r="L8386" s="22" t="n">
        <x:v>-20.136200000000006</x:v>
      </x:c>
      <x:c r="M8386" t="n">
        <x:v>2016</x:v>
      </x:c>
      <x:c r="N8386" s="20" t="n">
        <x:v>42430</x:v>
      </x:c>
    </x:row>
    <x:row r="8387" ht="18" customHeight="1">
      <x:c r="A8387" t="str">
        <x:v>CA-2016-163048</x:v>
      </x:c>
      <x:c r="B8387" s="18" t="n">
        <x:v>42408</x:v>
      </x:c>
      <x:c r="C8387" t="str">
        <x:v>MH-17440</x:v>
      </x:c>
      <x:c r="D8387" t="str">
        <x:v>Mark Haberlin</x:v>
      </x:c>
      <x:c r="E8387" t="str">
        <x:v>Corporate</x:v>
      </x:c>
      <x:c r="F8387" t="str">
        <x:v>Central</x:v>
      </x:c>
      <x:c r="G8387" t="str">
        <x:v>Furniture</x:v>
      </x:c>
      <x:c r="H8387" t="str">
        <x:v>Chairs</x:v>
      </x:c>
      <x:c r="I8387" s="22" t="n">
        <x:v>241.49999999999997</x:v>
      </x:c>
      <x:c r="J8387" s="24" t="n">
        <x:v>4</x:v>
      </x:c>
      <x:c r="K8387" s="26" t="n">
        <x:v>0.3</x:v>
      </x:c>
      <x:c r="L8387" s="22" t="n">
        <x:v>0</x:v>
      </x:c>
      <x:c r="M8387" t="n">
        <x:v>2016</x:v>
      </x:c>
      <x:c r="N8387" s="20" t="n">
        <x:v>42401</x:v>
      </x:c>
    </x:row>
    <x:row r="8388" ht="18" customHeight="1">
      <x:c r="A8388" t="str">
        <x:v>CA-2016-145135</x:v>
      </x:c>
      <x:c r="B8388" s="18" t="n">
        <x:v>42700</x:v>
      </x:c>
      <x:c r="C8388" t="str">
        <x:v>CD-12790</x:v>
      </x:c>
      <x:c r="D8388" t="str">
        <x:v>Cynthia Delaney</x:v>
      </x:c>
      <x:c r="E8388" t="str">
        <x:v>Home Office</x:v>
      </x:c>
      <x:c r="F8388" t="str">
        <x:v>East</x:v>
      </x:c>
      <x:c r="G8388" t="str">
        <x:v>Technology</x:v>
      </x:c>
      <x:c r="H8388" t="str">
        <x:v>Accessories</x:v>
      </x:c>
      <x:c r="I8388" s="22" t="n">
        <x:v>59.97</x:v>
      </x:c>
      <x:c r="J8388" s="24" t="n">
        <x:v>3</x:v>
      </x:c>
      <x:c r="K8388" s="26" t="n">
        <x:v>0</x:v>
      </x:c>
      <x:c r="L8388" s="22" t="n">
        <x:v>14.992499999999996</x:v>
      </x:c>
      <x:c r="M8388" t="n">
        <x:v>2016</x:v>
      </x:c>
      <x:c r="N8388" s="20" t="n">
        <x:v>42675</x:v>
      </x:c>
    </x:row>
    <x:row r="8389" ht="18" customHeight="1">
      <x:c r="A8389" t="str">
        <x:v>CA-2016-145135</x:v>
      </x:c>
      <x:c r="B8389" s="18" t="n">
        <x:v>42700</x:v>
      </x:c>
      <x:c r="C8389" t="str">
        <x:v>CD-12790</x:v>
      </x:c>
      <x:c r="D8389" t="str">
        <x:v>Cynthia Delaney</x:v>
      </x:c>
      <x:c r="E8389" t="str">
        <x:v>Home Office</x:v>
      </x:c>
      <x:c r="F8389" t="str">
        <x:v>East</x:v>
      </x:c>
      <x:c r="G8389" t="str">
        <x:v>Office Supplies</x:v>
      </x:c>
      <x:c r="H8389" t="str">
        <x:v>Paper</x:v>
      </x:c>
      <x:c r="I8389" s="22" t="n">
        <x:v>13.36</x:v>
      </x:c>
      <x:c r="J8389" s="24" t="n">
        <x:v>2</x:v>
      </x:c>
      <x:c r="K8389" s="26" t="n">
        <x:v>0</x:v>
      </x:c>
      <x:c r="L8389" s="22" t="n">
        <x:v>6.4128</x:v>
      </x:c>
      <x:c r="M8389" t="n">
        <x:v>2016</x:v>
      </x:c>
      <x:c r="N8389" s="20" t="n">
        <x:v>42675</x:v>
      </x:c>
    </x:row>
    <x:row r="8390" ht="18" customHeight="1">
      <x:c r="A8390" t="str">
        <x:v>CA-2017-137582</x:v>
      </x:c>
      <x:c r="B8390" s="18" t="n">
        <x:v>42982</x:v>
      </x:c>
      <x:c r="C8390" t="str">
        <x:v>CV-12805</x:v>
      </x:c>
      <x:c r="D8390" t="str">
        <x:v>Cynthia Voltz</x:v>
      </x:c>
      <x:c r="E8390" t="str">
        <x:v>Corporate</x:v>
      </x:c>
      <x:c r="F8390" t="str">
        <x:v>West</x:v>
      </x:c>
      <x:c r="G8390" t="str">
        <x:v>Office Supplies</x:v>
      </x:c>
      <x:c r="H8390" t="str">
        <x:v>Binders</x:v>
      </x:c>
      <x:c r="I8390" s="22" t="n">
        <x:v>11.808</x:v>
      </x:c>
      <x:c r="J8390" s="24" t="n">
        <x:v>3</x:v>
      </x:c>
      <x:c r="K8390" s="26" t="n">
        <x:v>0.2</x:v>
      </x:c>
      <x:c r="L8390" s="22" t="n">
        <x:v>4.1328</x:v>
      </x:c>
      <x:c r="M8390" t="n">
        <x:v>2017</x:v>
      </x:c>
      <x:c r="N8390" s="20" t="n">
        <x:v>42979</x:v>
      </x:c>
    </x:row>
    <x:row r="8391" ht="18" customHeight="1">
      <x:c r="A8391" t="str">
        <x:v>CA-2015-149601</x:v>
      </x:c>
      <x:c r="B8391" s="18" t="n">
        <x:v>42152</x:v>
      </x:c>
      <x:c r="C8391" t="str">
        <x:v>TB-21625</x:v>
      </x:c>
      <x:c r="D8391" t="str">
        <x:v>Trudy Brown</x:v>
      </x:c>
      <x:c r="E8391" t="str">
        <x:v>Consumer</x:v>
      </x:c>
      <x:c r="F8391" t="str">
        <x:v>East</x:v>
      </x:c>
      <x:c r="G8391" t="str">
        <x:v>Office Supplies</x:v>
      </x:c>
      <x:c r="H8391" t="str">
        <x:v>Storage</x:v>
      </x:c>
      <x:c r="I8391" s="22" t="n">
        <x:v>16.24</x:v>
      </x:c>
      <x:c r="J8391" s="24" t="n">
        <x:v>1</x:v>
      </x:c>
      <x:c r="K8391" s="26" t="n">
        <x:v>0</x:v>
      </x:c>
      <x:c r="L8391" s="22" t="n">
        <x:v>2.436</x:v>
      </x:c>
      <x:c r="M8391" t="n">
        <x:v>2015</x:v>
      </x:c>
      <x:c r="N8391" s="20" t="n">
        <x:v>42125</x:v>
      </x:c>
    </x:row>
    <x:row r="8392" ht="18" customHeight="1">
      <x:c r="A8392" t="str">
        <x:v>CA-2015-149601</x:v>
      </x:c>
      <x:c r="B8392" s="18" t="n">
        <x:v>42152</x:v>
      </x:c>
      <x:c r="C8392" t="str">
        <x:v>TB-21625</x:v>
      </x:c>
      <x:c r="D8392" t="str">
        <x:v>Trudy Brown</x:v>
      </x:c>
      <x:c r="E8392" t="str">
        <x:v>Consumer</x:v>
      </x:c>
      <x:c r="F8392" t="str">
        <x:v>East</x:v>
      </x:c>
      <x:c r="G8392" t="str">
        <x:v>Office Supplies</x:v>
      </x:c>
      <x:c r="H8392" t="str">
        <x:v>Storage</x:v>
      </x:c>
      <x:c r="I8392" s="22" t="n">
        <x:v>77.55</x:v>
      </x:c>
      <x:c r="J8392" s="24" t="n">
        <x:v>5</x:v>
      </x:c>
      <x:c r="K8392" s="26" t="n">
        <x:v>0</x:v>
      </x:c>
      <x:c r="L8392" s="22" t="n">
        <x:v>21.714000000000002</x:v>
      </x:c>
      <x:c r="M8392" t="n">
        <x:v>2015</x:v>
      </x:c>
      <x:c r="N8392" s="20" t="n">
        <x:v>42125</x:v>
      </x:c>
    </x:row>
    <x:row r="8393" ht="18" customHeight="1">
      <x:c r="A8393" t="str">
        <x:v>CA-2014-139423</x:v>
      </x:c>
      <x:c r="B8393" s="18" t="n">
        <x:v>41944</x:v>
      </x:c>
      <x:c r="C8393" t="str">
        <x:v>DG-13300</x:v>
      </x:c>
      <x:c r="D8393" t="str">
        <x:v>Deirdre Greer</x:v>
      </x:c>
      <x:c r="E8393" t="str">
        <x:v>Corporate</x:v>
      </x:c>
      <x:c r="F8393" t="str">
        <x:v>East</x:v>
      </x:c>
      <x:c r="G8393" t="str">
        <x:v>Office Supplies</x:v>
      </x:c>
      <x:c r="H8393" t="str">
        <x:v>Appliances</x:v>
      </x:c>
      <x:c r="I8393" s="22" t="n">
        <x:v>76.12</x:v>
      </x:c>
      <x:c r="J8393" s="24" t="n">
        <x:v>2</x:v>
      </x:c>
      <x:c r="K8393" s="26" t="n">
        <x:v>0</x:v>
      </x:c>
      <x:c r="L8393" s="22" t="n">
        <x:v>22.074799999999996</x:v>
      </x:c>
      <x:c r="M8393" t="n">
        <x:v>2014</x:v>
      </x:c>
      <x:c r="N8393" s="20" t="n">
        <x:v>41944</x:v>
      </x:c>
    </x:row>
    <x:row r="8394" ht="18" customHeight="1">
      <x:c r="A8394" t="str">
        <x:v>CA-2016-102596</x:v>
      </x:c>
      <x:c r="B8394" s="18" t="n">
        <x:v>42731</x:v>
      </x:c>
      <x:c r="C8394" t="str">
        <x:v>RD-19810</x:v>
      </x:c>
      <x:c r="D8394" t="str">
        <x:v>Ross DeVincentis</x:v>
      </x:c>
      <x:c r="E8394" t="str">
        <x:v>Home Office</x:v>
      </x:c>
      <x:c r="F8394" t="str">
        <x:v>East</x:v>
      </x:c>
      <x:c r="G8394" t="str">
        <x:v>Office Supplies</x:v>
      </x:c>
      <x:c r="H8394" t="str">
        <x:v>Fasteners</x:v>
      </x:c>
      <x:c r="I8394" s="22" t="n">
        <x:v>17.184</x:v>
      </x:c>
      <x:c r="J8394" s="24" t="n">
        <x:v>6</x:v>
      </x:c>
      <x:c r="K8394" s="26" t="n">
        <x:v>0.2</x:v>
      </x:c>
      <x:c r="L8394" s="22" t="n">
        <x:v>6.2292</x:v>
      </x:c>
      <x:c r="M8394" t="n">
        <x:v>2016</x:v>
      </x:c>
      <x:c r="N8394" s="20" t="n">
        <x:v>42705</x:v>
      </x:c>
    </x:row>
    <x:row r="8395" ht="18" customHeight="1">
      <x:c r="A8395" t="str">
        <x:v>CA-2017-153227</x:v>
      </x:c>
      <x:c r="B8395" s="18" t="n">
        <x:v>43073</x:v>
      </x:c>
      <x:c r="C8395" t="str">
        <x:v>CS-12250</x:v>
      </x:c>
      <x:c r="D8395" t="str">
        <x:v>Chris Selesnick</x:v>
      </x:c>
      <x:c r="E8395" t="str">
        <x:v>Corporate</x:v>
      </x:c>
      <x:c r="F8395" t="str">
        <x:v>West</x:v>
      </x:c>
      <x:c r="G8395" t="str">
        <x:v>Office Supplies</x:v>
      </x:c>
      <x:c r="H8395" t="str">
        <x:v>Paper</x:v>
      </x:c>
      <x:c r="I8395" s="22" t="n">
        <x:v>11.76</x:v>
      </x:c>
      <x:c r="J8395" s="24" t="n">
        <x:v>2</x:v>
      </x:c>
      <x:c r="K8395" s="26" t="n">
        <x:v>0</x:v>
      </x:c>
      <x:c r="L8395" s="22" t="n">
        <x:v>5.7623999999999995</x:v>
      </x:c>
      <x:c r="M8395" t="n">
        <x:v>2017</x:v>
      </x:c>
      <x:c r="N8395" s="20" t="n">
        <x:v>43070</x:v>
      </x:c>
    </x:row>
    <x:row r="8396" ht="18" customHeight="1">
      <x:c r="A8396" t="str">
        <x:v>CA-2017-110625</x:v>
      </x:c>
      <x:c r="B8396" s="18" t="n">
        <x:v>43092</x:v>
      </x:c>
      <x:c r="C8396" t="str">
        <x:v>JB-16045</x:v>
      </x:c>
      <x:c r="D8396" t="str">
        <x:v>Julia Barnett</x:v>
      </x:c>
      <x:c r="E8396" t="str">
        <x:v>Home Office</x:v>
      </x:c>
      <x:c r="F8396" t="str">
        <x:v>East</x:v>
      </x:c>
      <x:c r="G8396" t="str">
        <x:v>Furniture</x:v>
      </x:c>
      <x:c r="H8396" t="str">
        <x:v>Furnishings</x:v>
      </x:c>
      <x:c r="I8396" s="22" t="n">
        <x:v>27.46</x:v>
      </x:c>
      <x:c r="J8396" s="24" t="n">
        <x:v>2</x:v>
      </x:c>
      <x:c r="K8396" s="26" t="n">
        <x:v>0</x:v>
      </x:c>
      <x:c r="L8396" s="22" t="n">
        <x:v>9.8856</x:v>
      </x:c>
      <x:c r="M8396" t="n">
        <x:v>2017</x:v>
      </x:c>
      <x:c r="N8396" s="20" t="n">
        <x:v>43070</x:v>
      </x:c>
    </x:row>
    <x:row r="8397" ht="18" customHeight="1">
      <x:c r="A8397" t="str">
        <x:v>CA-2016-142594</x:v>
      </x:c>
      <x:c r="B8397" s="18" t="n">
        <x:v>42705</x:v>
      </x:c>
      <x:c r="C8397" t="str">
        <x:v>EJ-14155</x:v>
      </x:c>
      <x:c r="D8397" t="str">
        <x:v>Eva Jacobs</x:v>
      </x:c>
      <x:c r="E8397" t="str">
        <x:v>Consumer</x:v>
      </x:c>
      <x:c r="F8397" t="str">
        <x:v>East</x:v>
      </x:c>
      <x:c r="G8397" t="str">
        <x:v>Technology</x:v>
      </x:c>
      <x:c r="H8397" t="str">
        <x:v>Phones</x:v>
      </x:c>
      <x:c r="I8397" s="22" t="n">
        <x:v>137.94</x:v>
      </x:c>
      <x:c r="J8397" s="24" t="n">
        <x:v>3</x:v>
      </x:c>
      <x:c r="K8397" s="26" t="n">
        <x:v>0</x:v>
      </x:c>
      <x:c r="L8397" s="22" t="n">
        <x:v>35.864399999999996</x:v>
      </x:c>
      <x:c r="M8397" t="n">
        <x:v>2016</x:v>
      </x:c>
      <x:c r="N8397" s="20" t="n">
        <x:v>42705</x:v>
      </x:c>
    </x:row>
    <x:row r="8398" ht="18" customHeight="1">
      <x:c r="A8398" t="str">
        <x:v>CA-2016-142594</x:v>
      </x:c>
      <x:c r="B8398" s="18" t="n">
        <x:v>42705</x:v>
      </x:c>
      <x:c r="C8398" t="str">
        <x:v>EJ-14155</x:v>
      </x:c>
      <x:c r="D8398" t="str">
        <x:v>Eva Jacobs</x:v>
      </x:c>
      <x:c r="E8398" t="str">
        <x:v>Consumer</x:v>
      </x:c>
      <x:c r="F8398" t="str">
        <x:v>East</x:v>
      </x:c>
      <x:c r="G8398" t="str">
        <x:v>Furniture</x:v>
      </x:c>
      <x:c r="H8398" t="str">
        <x:v>Furnishings</x:v>
      </x:c>
      <x:c r="I8398" s="22" t="n">
        <x:v>111.15</x:v>
      </x:c>
      <x:c r="J8398" s="24" t="n">
        <x:v>5</x:v>
      </x:c>
      <x:c r="K8398" s="26" t="n">
        <x:v>0</x:v>
      </x:c>
      <x:c r="L8398" s="22" t="n">
        <x:v>48.906000000000006</x:v>
      </x:c>
      <x:c r="M8398" t="n">
        <x:v>2016</x:v>
      </x:c>
      <x:c r="N8398" s="20" t="n">
        <x:v>42705</x:v>
      </x:c>
    </x:row>
    <x:row r="8399" ht="18" customHeight="1">
      <x:c r="A8399" t="str">
        <x:v>CA-2016-142594</x:v>
      </x:c>
      <x:c r="B8399" s="18" t="n">
        <x:v>42705</x:v>
      </x:c>
      <x:c r="C8399" t="str">
        <x:v>EJ-14155</x:v>
      </x:c>
      <x:c r="D8399" t="str">
        <x:v>Eva Jacobs</x:v>
      </x:c>
      <x:c r="E8399" t="str">
        <x:v>Consumer</x:v>
      </x:c>
      <x:c r="F8399" t="str">
        <x:v>East</x:v>
      </x:c>
      <x:c r="G8399" t="str">
        <x:v>Office Supplies</x:v>
      </x:c>
      <x:c r="H8399" t="str">
        <x:v>Appliances</x:v>
      </x:c>
      <x:c r="I8399" s="22" t="n">
        <x:v>901.9499999999999</x:v>
      </x:c>
      <x:c r="J8399" s="24" t="n">
        <x:v>3</x:v>
      </x:c>
      <x:c r="K8399" s="26" t="n">
        <x:v>0</x:v>
      </x:c>
      <x:c r="L8399" s="22" t="n">
        <x:v>297.64349999999996</x:v>
      </x:c>
      <x:c r="M8399" t="n">
        <x:v>2016</x:v>
      </x:c>
      <x:c r="N8399" s="20" t="n">
        <x:v>42705</x:v>
      </x:c>
    </x:row>
    <x:row r="8400" ht="18" customHeight="1">
      <x:c r="A8400" t="str">
        <x:v>CA-2016-142594</x:v>
      </x:c>
      <x:c r="B8400" s="18" t="n">
        <x:v>42705</x:v>
      </x:c>
      <x:c r="C8400" t="str">
        <x:v>EJ-14155</x:v>
      </x:c>
      <x:c r="D8400" t="str">
        <x:v>Eva Jacobs</x:v>
      </x:c>
      <x:c r="E8400" t="str">
        <x:v>Consumer</x:v>
      </x:c>
      <x:c r="F8400" t="str">
        <x:v>East</x:v>
      </x:c>
      <x:c r="G8400" t="str">
        <x:v>Furniture</x:v>
      </x:c>
      <x:c r="H8400" t="str">
        <x:v>Tables</x:v>
      </x:c>
      <x:c r="I8400" s="22" t="n">
        <x:v>366.00899999999996</x:v>
      </x:c>
      <x:c r="J8400" s="24" t="n">
        <x:v>3</x:v>
      </x:c>
      <x:c r="K8400" s="26" t="n">
        <x:v>0.3</x:v>
      </x:c>
      <x:c r="L8400" s="22" t="n">
        <x:v>-47.0583</x:v>
      </x:c>
      <x:c r="M8400" t="n">
        <x:v>2016</x:v>
      </x:c>
      <x:c r="N8400" s="20" t="n">
        <x:v>42705</x:v>
      </x:c>
    </x:row>
    <x:row r="8401" ht="18" customHeight="1">
      <x:c r="A8401" t="str">
        <x:v>CA-2014-152254</x:v>
      </x:c>
      <x:c r="B8401" s="18" t="n">
        <x:v>41820</x:v>
      </x:c>
      <x:c r="C8401" t="str">
        <x:v>BD-11620</x:v>
      </x:c>
      <x:c r="D8401" t="str">
        <x:v>Brian DeCherney</x:v>
      </x:c>
      <x:c r="E8401" t="str">
        <x:v>Consumer</x:v>
      </x:c>
      <x:c r="F8401" t="str">
        <x:v>South</x:v>
      </x:c>
      <x:c r="G8401" t="str">
        <x:v>Office Supplies</x:v>
      </x:c>
      <x:c r="H8401" t="str">
        <x:v>Paper</x:v>
      </x:c>
      <x:c r="I8401" s="22" t="n">
        <x:v>310.688</x:v>
      </x:c>
      <x:c r="J8401" s="24" t="n">
        <x:v>7</x:v>
      </x:c>
      <x:c r="K8401" s="26" t="n">
        <x:v>0.2</x:v>
      </x:c>
      <x:c r="L8401" s="22" t="n">
        <x:v>108.74079999999998</x:v>
      </x:c>
      <x:c r="M8401" t="n">
        <x:v>2014</x:v>
      </x:c>
      <x:c r="N8401" s="20" t="n">
        <x:v>41791</x:v>
      </x:c>
    </x:row>
    <x:row r="8402" ht="18" customHeight="1">
      <x:c r="A8402" t="str">
        <x:v>US-2014-120236</x:v>
      </x:c>
      <x:c r="B8402" s="18" t="n">
        <x:v>41885</x:v>
      </x:c>
      <x:c r="C8402" t="str">
        <x:v>MR-17545</x:v>
      </x:c>
      <x:c r="D8402" t="str">
        <x:v>Mathew Reese</x:v>
      </x:c>
      <x:c r="E8402" t="str">
        <x:v>Home Office</x:v>
      </x:c>
      <x:c r="F8402" t="str">
        <x:v>Central</x:v>
      </x:c>
      <x:c r="G8402" t="str">
        <x:v>Office Supplies</x:v>
      </x:c>
      <x:c r="H8402" t="str">
        <x:v>Binders</x:v>
      </x:c>
      <x:c r="I8402" s="22" t="n">
        <x:v>7.679999999999998</x:v>
      </x:c>
      <x:c r="J8402" s="24" t="n">
        <x:v>5</x:v>
      </x:c>
      <x:c r="K8402" s="26" t="n">
        <x:v>0.8</x:v>
      </x:c>
      <x:c r="L8402" s="22" t="n">
        <x:v>-11.52</x:v>
      </x:c>
      <x:c r="M8402" t="n">
        <x:v>2014</x:v>
      </x:c>
      <x:c r="N8402" s="20" t="n">
        <x:v>41883</x:v>
      </x:c>
    </x:row>
    <x:row r="8403" ht="18" customHeight="1">
      <x:c r="A8403" t="str">
        <x:v>CA-2017-120061</x:v>
      </x:c>
      <x:c r="B8403" s="18" t="n">
        <x:v>43041</x:v>
      </x:c>
      <x:c r="C8403" t="str">
        <x:v>SR-20425</x:v>
      </x:c>
      <x:c r="D8403" t="str">
        <x:v>Sharelle Roach</x:v>
      </x:c>
      <x:c r="E8403" t="str">
        <x:v>Home Office</x:v>
      </x:c>
      <x:c r="F8403" t="str">
        <x:v>East</x:v>
      </x:c>
      <x:c r="G8403" t="str">
        <x:v>Furniture</x:v>
      </x:c>
      <x:c r="H8403" t="str">
        <x:v>Chairs</x:v>
      </x:c>
      <x:c r="I8403" s="22" t="n">
        <x:v>155.37199999999999</x:v>
      </x:c>
      <x:c r="J8403" s="24" t="n">
        <x:v>2</x:v>
      </x:c>
      <x:c r="K8403" s="26" t="n">
        <x:v>0.3</x:v>
      </x:c>
      <x:c r="L8403" s="22" t="n">
        <x:v>-35.5136</x:v>
      </x:c>
      <x:c r="M8403" t="n">
        <x:v>2017</x:v>
      </x:c>
      <x:c r="N8403" s="20" t="n">
        <x:v>43040</x:v>
      </x:c>
    </x:row>
    <x:row r="8404" ht="18" customHeight="1">
      <x:c r="A8404" t="str">
        <x:v>CA-2015-133837</x:v>
      </x:c>
      <x:c r="B8404" s="18" t="n">
        <x:v>42107</x:v>
      </x:c>
      <x:c r="C8404" t="str">
        <x:v>TH-21100</x:v>
      </x:c>
      <x:c r="D8404" t="str">
        <x:v>Thea Hendricks</x:v>
      </x:c>
      <x:c r="E8404" t="str">
        <x:v>Consumer</x:v>
      </x:c>
      <x:c r="F8404" t="str">
        <x:v>West</x:v>
      </x:c>
      <x:c r="G8404" t="str">
        <x:v>Office Supplies</x:v>
      </x:c>
      <x:c r="H8404" t="str">
        <x:v>Storage</x:v>
      </x:c>
      <x:c r="I8404" s="22" t="n">
        <x:v>10.744</x:v>
      </x:c>
      <x:c r="J8404" s="24" t="n">
        <x:v>1</x:v>
      </x:c>
      <x:c r="K8404" s="26" t="n">
        <x:v>0.2</x:v>
      </x:c>
      <x:c r="L8404" s="22" t="n">
        <x:v>0.8057999999999996</x:v>
      </x:c>
      <x:c r="M8404" t="n">
        <x:v>2015</x:v>
      </x:c>
      <x:c r="N8404" s="20" t="n">
        <x:v>42095</x:v>
      </x:c>
    </x:row>
    <x:row r="8405" ht="18" customHeight="1">
      <x:c r="A8405" t="str">
        <x:v>CA-2015-110814</x:v>
      </x:c>
      <x:c r="B8405" s="18" t="n">
        <x:v>42343</x:v>
      </x:c>
      <x:c r="C8405" t="str">
        <x:v>BD-11635</x:v>
      </x:c>
      <x:c r="D8405" t="str">
        <x:v>Brian Derr</x:v>
      </x:c>
      <x:c r="E8405" t="str">
        <x:v>Consumer</x:v>
      </x:c>
      <x:c r="F8405" t="str">
        <x:v>East</x:v>
      </x:c>
      <x:c r="G8405" t="str">
        <x:v>Office Supplies</x:v>
      </x:c>
      <x:c r="H8405" t="str">
        <x:v>Binders</x:v>
      </x:c>
      <x:c r="I8405" s="22" t="n">
        <x:v>232.40000000000003</x:v>
      </x:c>
      <x:c r="J8405" s="24" t="n">
        <x:v>5</x:v>
      </x:c>
      <x:c r="K8405" s="26" t="n">
        <x:v>0.2</x:v>
      </x:c>
      <x:c r="L8405" s="22" t="n">
        <x:v>78.43499999999999</x:v>
      </x:c>
      <x:c r="M8405" t="n">
        <x:v>2015</x:v>
      </x:c>
      <x:c r="N8405" s="20" t="n">
        <x:v>42339</x:v>
      </x:c>
    </x:row>
    <x:row r="8406" ht="18" customHeight="1">
      <x:c r="A8406" t="str">
        <x:v>CA-2015-110814</x:v>
      </x:c>
      <x:c r="B8406" s="18" t="n">
        <x:v>42343</x:v>
      </x:c>
      <x:c r="C8406" t="str">
        <x:v>BD-11635</x:v>
      </x:c>
      <x:c r="D8406" t="str">
        <x:v>Brian Derr</x:v>
      </x:c>
      <x:c r="E8406" t="str">
        <x:v>Consumer</x:v>
      </x:c>
      <x:c r="F8406" t="str">
        <x:v>East</x:v>
      </x:c>
      <x:c r="G8406" t="str">
        <x:v>Furniture</x:v>
      </x:c>
      <x:c r="H8406" t="str">
        <x:v>Chairs</x:v>
      </x:c>
      <x:c r="I8406" s="22" t="n">
        <x:v>164.646</x:v>
      </x:c>
      <x:c r="J8406" s="24" t="n">
        <x:v>3</x:v>
      </x:c>
      <x:c r="K8406" s="26" t="n">
        <x:v>0.1</x:v>
      </x:c>
      <x:c r="L8406" s="22" t="n">
        <x:v>12.805799999999994</x:v>
      </x:c>
      <x:c r="M8406" t="n">
        <x:v>2015</x:v>
      </x:c>
      <x:c r="N8406" s="20" t="n">
        <x:v>42339</x:v>
      </x:c>
    </x:row>
    <x:row r="8407" ht="18" customHeight="1">
      <x:c r="A8407" t="str">
        <x:v>CA-2015-110814</x:v>
      </x:c>
      <x:c r="B8407" s="18" t="n">
        <x:v>42343</x:v>
      </x:c>
      <x:c r="C8407" t="str">
        <x:v>BD-11635</x:v>
      </x:c>
      <x:c r="D8407" t="str">
        <x:v>Brian Derr</x:v>
      </x:c>
      <x:c r="E8407" t="str">
        <x:v>Consumer</x:v>
      </x:c>
      <x:c r="F8407" t="str">
        <x:v>East</x:v>
      </x:c>
      <x:c r="G8407" t="str">
        <x:v>Office Supplies</x:v>
      </x:c>
      <x:c r="H8407" t="str">
        <x:v>Paper</x:v>
      </x:c>
      <x:c r="I8407" s="22" t="n">
        <x:v>22.68</x:v>
      </x:c>
      <x:c r="J8407" s="24" t="n">
        <x:v>2</x:v>
      </x:c>
      <x:c r="K8407" s="26" t="n">
        <x:v>0</x:v>
      </x:c>
      <x:c r="L8407" s="22" t="n">
        <x:v>11.113199999999999</x:v>
      </x:c>
      <x:c r="M8407" t="n">
        <x:v>2015</x:v>
      </x:c>
      <x:c r="N8407" s="20" t="n">
        <x:v>42339</x:v>
      </x:c>
    </x:row>
    <x:row r="8408" ht="18" customHeight="1">
      <x:c r="A8408" t="str">
        <x:v>CA-2016-154067</x:v>
      </x:c>
      <x:c r="B8408" s="18" t="n">
        <x:v>42401</x:v>
      </x:c>
      <x:c r="C8408" t="str">
        <x:v>SM-20950</x:v>
      </x:c>
      <x:c r="D8408" t="str">
        <x:v>Suzanne McNair</x:v>
      </x:c>
      <x:c r="E8408" t="str">
        <x:v>Corporate</x:v>
      </x:c>
      <x:c r="F8408" t="str">
        <x:v>West</x:v>
      </x:c>
      <x:c r="G8408" t="str">
        <x:v>Office Supplies</x:v>
      </x:c>
      <x:c r="H8408" t="str">
        <x:v>Paper</x:v>
      </x:c>
      <x:c r="I8408" s="22" t="n">
        <x:v>105.52</x:v>
      </x:c>
      <x:c r="J8408" s="24" t="n">
        <x:v>4</x:v>
      </x:c>
      <x:c r="K8408" s="26" t="n">
        <x:v>0</x:v>
      </x:c>
      <x:c r="L8408" s="22" t="n">
        <x:v>48.539199999999994</x:v>
      </x:c>
      <x:c r="M8408" t="n">
        <x:v>2016</x:v>
      </x:c>
      <x:c r="N8408" s="20" t="n">
        <x:v>42401</x:v>
      </x:c>
    </x:row>
    <x:row r="8409" ht="18" customHeight="1">
      <x:c r="A8409" t="str">
        <x:v>CA-2017-140480</x:v>
      </x:c>
      <x:c r="B8409" s="18" t="n">
        <x:v>42924</x:v>
      </x:c>
      <x:c r="C8409" t="str">
        <x:v>HE-14800</x:v>
      </x:c>
      <x:c r="D8409" t="str">
        <x:v>Harold Engle</x:v>
      </x:c>
      <x:c r="E8409" t="str">
        <x:v>Corporate</x:v>
      </x:c>
      <x:c r="F8409" t="str">
        <x:v>East</x:v>
      </x:c>
      <x:c r="G8409" t="str">
        <x:v>Furniture</x:v>
      </x:c>
      <x:c r="H8409" t="str">
        <x:v>Furnishings</x:v>
      </x:c>
      <x:c r="I8409" s="22" t="n">
        <x:v>83.92</x:v>
      </x:c>
      <x:c r="J8409" s="24" t="n">
        <x:v>4</x:v>
      </x:c>
      <x:c r="K8409" s="26" t="n">
        <x:v>0</x:v>
      </x:c>
      <x:c r="L8409" s="22" t="n">
        <x:v>5.874399999999994</x:v>
      </x:c>
      <x:c r="M8409" t="n">
        <x:v>2017</x:v>
      </x:c>
      <x:c r="N8409" s="20" t="n">
        <x:v>42917</x:v>
      </x:c>
    </x:row>
    <x:row r="8410" ht="18" customHeight="1">
      <x:c r="A8410" t="str">
        <x:v>CA-2017-140480</x:v>
      </x:c>
      <x:c r="B8410" s="18" t="n">
        <x:v>42924</x:v>
      </x:c>
      <x:c r="C8410" t="str">
        <x:v>HE-14800</x:v>
      </x:c>
      <x:c r="D8410" t="str">
        <x:v>Harold Engle</x:v>
      </x:c>
      <x:c r="E8410" t="str">
        <x:v>Corporate</x:v>
      </x:c>
      <x:c r="F8410" t="str">
        <x:v>East</x:v>
      </x:c>
      <x:c r="G8410" t="str">
        <x:v>Technology</x:v>
      </x:c>
      <x:c r="H8410" t="str">
        <x:v>Accessories</x:v>
      </x:c>
      <x:c r="I8410" s="22" t="n">
        <x:v>141.9</x:v>
      </x:c>
      <x:c r="J8410" s="24" t="n">
        <x:v>5</x:v>
      </x:c>
      <x:c r="K8410" s="26" t="n">
        <x:v>0</x:v>
      </x:c>
      <x:c r="L8410" s="22" t="n">
        <x:v>58.179</x:v>
      </x:c>
      <x:c r="M8410" t="n">
        <x:v>2017</x:v>
      </x:c>
      <x:c r="N8410" s="20" t="n">
        <x:v>42917</x:v>
      </x:c>
    </x:row>
    <x:row r="8411" ht="18" customHeight="1">
      <x:c r="A8411" t="str">
        <x:v>CA-2017-140480</x:v>
      </x:c>
      <x:c r="B8411" s="18" t="n">
        <x:v>42924</x:v>
      </x:c>
      <x:c r="C8411" t="str">
        <x:v>HE-14800</x:v>
      </x:c>
      <x:c r="D8411" t="str">
        <x:v>Harold Engle</x:v>
      </x:c>
      <x:c r="E8411" t="str">
        <x:v>Corporate</x:v>
      </x:c>
      <x:c r="F8411" t="str">
        <x:v>East</x:v>
      </x:c>
      <x:c r="G8411" t="str">
        <x:v>Furniture</x:v>
      </x:c>
      <x:c r="H8411" t="str">
        <x:v>Furnishings</x:v>
      </x:c>
      <x:c r="I8411" s="22" t="n">
        <x:v>39.98</x:v>
      </x:c>
      <x:c r="J8411" s="24" t="n">
        <x:v>2</x:v>
      </x:c>
      <x:c r="K8411" s="26" t="n">
        <x:v>0</x:v>
      </x:c>
      <x:c r="L8411" s="22" t="n">
        <x:v>9.1954</x:v>
      </x:c>
      <x:c r="M8411" t="n">
        <x:v>2017</x:v>
      </x:c>
      <x:c r="N8411" s="20" t="n">
        <x:v>42917</x:v>
      </x:c>
    </x:row>
    <x:row r="8412" ht="18" customHeight="1">
      <x:c r="A8412" t="str">
        <x:v>CA-2017-140480</x:v>
      </x:c>
      <x:c r="B8412" s="18" t="n">
        <x:v>42924</x:v>
      </x:c>
      <x:c r="C8412" t="str">
        <x:v>HE-14800</x:v>
      </x:c>
      <x:c r="D8412" t="str">
        <x:v>Harold Engle</x:v>
      </x:c>
      <x:c r="E8412" t="str">
        <x:v>Corporate</x:v>
      </x:c>
      <x:c r="F8412" t="str">
        <x:v>East</x:v>
      </x:c>
      <x:c r="G8412" t="str">
        <x:v>Office Supplies</x:v>
      </x:c>
      <x:c r="H8412" t="str">
        <x:v>Art</x:v>
      </x:c>
      <x:c r="I8412" s="22" t="n">
        <x:v>28.91</x:v>
      </x:c>
      <x:c r="J8412" s="24" t="n">
        <x:v>7</x:v>
      </x:c>
      <x:c r="K8412" s="26" t="n">
        <x:v>0</x:v>
      </x:c>
      <x:c r="L8412" s="22" t="n">
        <x:v>8.672999999999998</x:v>
      </x:c>
      <x:c r="M8412" t="n">
        <x:v>2017</x:v>
      </x:c>
      <x:c r="N8412" s="20" t="n">
        <x:v>42917</x:v>
      </x:c>
    </x:row>
    <x:row r="8413" ht="18" customHeight="1">
      <x:c r="A8413" t="str">
        <x:v>CA-2017-140480</x:v>
      </x:c>
      <x:c r="B8413" s="18" t="n">
        <x:v>42924</x:v>
      </x:c>
      <x:c r="C8413" t="str">
        <x:v>HE-14800</x:v>
      </x:c>
      <x:c r="D8413" t="str">
        <x:v>Harold Engle</x:v>
      </x:c>
      <x:c r="E8413" t="str">
        <x:v>Corporate</x:v>
      </x:c>
      <x:c r="F8413" t="str">
        <x:v>East</x:v>
      </x:c>
      <x:c r="G8413" t="str">
        <x:v>Office Supplies</x:v>
      </x:c>
      <x:c r="H8413" t="str">
        <x:v>Art</x:v>
      </x:c>
      <x:c r="I8413" s="22" t="n">
        <x:v>174.95000000000002</x:v>
      </x:c>
      <x:c r="J8413" s="24" t="n">
        <x:v>5</x:v>
      </x:c>
      <x:c r="K8413" s="26" t="n">
        <x:v>0</x:v>
      </x:c>
      <x:c r="L8413" s="22" t="n">
        <x:v>45.487</x:v>
      </x:c>
      <x:c r="M8413" t="n">
        <x:v>2017</x:v>
      </x:c>
      <x:c r="N8413" s="20" t="n">
        <x:v>42917</x:v>
      </x:c>
    </x:row>
    <x:row r="8414" ht="18" customHeight="1">
      <x:c r="A8414" t="str">
        <x:v>CA-2015-134082</x:v>
      </x:c>
      <x:c r="B8414" s="18" t="n">
        <x:v>42349</x:v>
      </x:c>
      <x:c r="C8414" t="str">
        <x:v>JK-15640</x:v>
      </x:c>
      <x:c r="D8414" t="str">
        <x:v>Jim Kriz</x:v>
      </x:c>
      <x:c r="E8414" t="str">
        <x:v>Home Office</x:v>
      </x:c>
      <x:c r="F8414" t="str">
        <x:v>West</x:v>
      </x:c>
      <x:c r="G8414" t="str">
        <x:v>Office Supplies</x:v>
      </x:c>
      <x:c r="H8414" t="str">
        <x:v>Binders</x:v>
      </x:c>
      <x:c r="I8414" s="22" t="n">
        <x:v>110.528</x:v>
      </x:c>
      <x:c r="J8414" s="24" t="n">
        <x:v>4</x:v>
      </x:c>
      <x:c r="K8414" s="26" t="n">
        <x:v>0.2</x:v>
      </x:c>
      <x:c r="L8414" s="22" t="n">
        <x:v>38.684799999999996</x:v>
      </x:c>
      <x:c r="M8414" t="n">
        <x:v>2015</x:v>
      </x:c>
      <x:c r="N8414" s="20" t="n">
        <x:v>42339</x:v>
      </x:c>
    </x:row>
    <x:row r="8415" ht="18" customHeight="1">
      <x:c r="A8415" t="str">
        <x:v>CA-2016-130820</x:v>
      </x:c>
      <x:c r="B8415" s="18" t="n">
        <x:v>42689</x:v>
      </x:c>
      <x:c r="C8415" t="str">
        <x:v>ON-18715</x:v>
      </x:c>
      <x:c r="D8415" t="str">
        <x:v>Odella Nelson</x:v>
      </x:c>
      <x:c r="E8415" t="str">
        <x:v>Corporate</x:v>
      </x:c>
      <x:c r="F8415" t="str">
        <x:v>South</x:v>
      </x:c>
      <x:c r="G8415" t="str">
        <x:v>Furniture</x:v>
      </x:c>
      <x:c r="H8415" t="str">
        <x:v>Tables</x:v>
      </x:c>
      <x:c r="I8415" s="22" t="n">
        <x:v>630.024</x:v>
      </x:c>
      <x:c r="J8415" s="24" t="n">
        <x:v>4</x:v>
      </x:c>
      <x:c r="K8415" s="26" t="n">
        <x:v>0.4</x:v>
      </x:c>
      <x:c r="L8415" s="22" t="n">
        <x:v>-199.50760000000008</x:v>
      </x:c>
      <x:c r="M8415" t="n">
        <x:v>2016</x:v>
      </x:c>
      <x:c r="N8415" s="20" t="n">
        <x:v>42675</x:v>
      </x:c>
    </x:row>
    <x:row r="8416" ht="18" customHeight="1">
      <x:c r="A8416" t="str">
        <x:v>CA-2016-159765</x:v>
      </x:c>
      <x:c r="B8416" s="18" t="n">
        <x:v>42499</x:v>
      </x:c>
      <x:c r="C8416" t="str">
        <x:v>TH-21100</x:v>
      </x:c>
      <x:c r="D8416" t="str">
        <x:v>Thea Hendricks</x:v>
      </x:c>
      <x:c r="E8416" t="str">
        <x:v>Consumer</x:v>
      </x:c>
      <x:c r="F8416" t="str">
        <x:v>South</x:v>
      </x:c>
      <x:c r="G8416" t="str">
        <x:v>Office Supplies</x:v>
      </x:c>
      <x:c r="H8416" t="str">
        <x:v>Art</x:v>
      </x:c>
      <x:c r="I8416" s="22" t="n">
        <x:v>27.86</x:v>
      </x:c>
      <x:c r="J8416" s="24" t="n">
        <x:v>7</x:v>
      </x:c>
      <x:c r="K8416" s="26" t="n">
        <x:v>0</x:v>
      </x:c>
      <x:c r="L8416" s="22" t="n">
        <x:v>9.193799999999998</x:v>
      </x:c>
      <x:c r="M8416" t="n">
        <x:v>2016</x:v>
      </x:c>
      <x:c r="N8416" s="20" t="n">
        <x:v>42491</x:v>
      </x:c>
    </x:row>
    <x:row r="8417" ht="18" customHeight="1">
      <x:c r="A8417" t="str">
        <x:v>CA-2017-132290</x:v>
      </x:c>
      <x:c r="B8417" s="18" t="n">
        <x:v>42804</x:v>
      </x:c>
      <x:c r="C8417" t="str">
        <x:v>MD-17350</x:v>
      </x:c>
      <x:c r="D8417" t="str">
        <x:v>Maribeth Dona</x:v>
      </x:c>
      <x:c r="E8417" t="str">
        <x:v>Consumer</x:v>
      </x:c>
      <x:c r="F8417" t="str">
        <x:v>Central</x:v>
      </x:c>
      <x:c r="G8417" t="str">
        <x:v>Furniture</x:v>
      </x:c>
      <x:c r="H8417" t="str">
        <x:v>Tables</x:v>
      </x:c>
      <x:c r="I8417" s="22" t="n">
        <x:v>933.408</x:v>
      </x:c>
      <x:c r="J8417" s="24" t="n">
        <x:v>4</x:v>
      </x:c>
      <x:c r="K8417" s="26" t="n">
        <x:v>0.3</x:v>
      </x:c>
      <x:c r="L8417" s="22" t="n">
        <x:v>-173.3472</x:v>
      </x:c>
      <x:c r="M8417" t="n">
        <x:v>2017</x:v>
      </x:c>
      <x:c r="N8417" s="20" t="n">
        <x:v>42795</x:v>
      </x:c>
    </x:row>
    <x:row r="8418" ht="18" customHeight="1">
      <x:c r="A8418" t="str">
        <x:v>CA-2016-147109</x:v>
      </x:c>
      <x:c r="B8418" s="18" t="n">
        <x:v>42721</x:v>
      </x:c>
      <x:c r="C8418" t="str">
        <x:v>AH-10075</x:v>
      </x:c>
      <x:c r="D8418" t="str">
        <x:v>Adam Hart</x:v>
      </x:c>
      <x:c r="E8418" t="str">
        <x:v>Corporate</x:v>
      </x:c>
      <x:c r="F8418" t="str">
        <x:v>Central</x:v>
      </x:c>
      <x:c r="G8418" t="str">
        <x:v>Office Supplies</x:v>
      </x:c>
      <x:c r="H8418" t="str">
        <x:v>Paper</x:v>
      </x:c>
      <x:c r="I8418" s="22" t="n">
        <x:v>51.84000000000001</x:v>
      </x:c>
      <x:c r="J8418" s="24" t="n">
        <x:v>10</x:v>
      </x:c>
      <x:c r="K8418" s="26" t="n">
        <x:v>0.2</x:v>
      </x:c>
      <x:c r="L8418" s="22" t="n">
        <x:v>18.144</x:v>
      </x:c>
      <x:c r="M8418" t="n">
        <x:v>2016</x:v>
      </x:c>
      <x:c r="N8418" s="20" t="n">
        <x:v>42705</x:v>
      </x:c>
    </x:row>
    <x:row r="8419" ht="18" customHeight="1">
      <x:c r="A8419" t="str">
        <x:v>CA-2016-147109</x:v>
      </x:c>
      <x:c r="B8419" s="18" t="n">
        <x:v>42721</x:v>
      </x:c>
      <x:c r="C8419" t="str">
        <x:v>AH-10075</x:v>
      </x:c>
      <x:c r="D8419" t="str">
        <x:v>Adam Hart</x:v>
      </x:c>
      <x:c r="E8419" t="str">
        <x:v>Corporate</x:v>
      </x:c>
      <x:c r="F8419" t="str">
        <x:v>Central</x:v>
      </x:c>
      <x:c r="G8419" t="str">
        <x:v>Technology</x:v>
      </x:c>
      <x:c r="H8419" t="str">
        <x:v>Accessories</x:v>
      </x:c>
      <x:c r="I8419" s="22" t="n">
        <x:v>165.60000000000002</x:v>
      </x:c>
      <x:c r="J8419" s="24" t="n">
        <x:v>3</x:v>
      </x:c>
      <x:c r="K8419" s="26" t="n">
        <x:v>0.2</x:v>
      </x:c>
      <x:c r="L8419" s="22" t="n">
        <x:v>-6.210000000000015</x:v>
      </x:c>
      <x:c r="M8419" t="n">
        <x:v>2016</x:v>
      </x:c>
      <x:c r="N8419" s="20" t="n">
        <x:v>42705</x:v>
      </x:c>
    </x:row>
    <x:row r="8420" ht="18" customHeight="1">
      <x:c r="A8420" t="str">
        <x:v>CA-2017-107265</x:v>
      </x:c>
      <x:c r="B8420" s="18" t="n">
        <x:v>42831</x:v>
      </x:c>
      <x:c r="C8420" t="str">
        <x:v>ML-17755</x:v>
      </x:c>
      <x:c r="D8420" t="str">
        <x:v>Max Ludwig</x:v>
      </x:c>
      <x:c r="E8420" t="str">
        <x:v>Home Office</x:v>
      </x:c>
      <x:c r="F8420" t="str">
        <x:v>Central</x:v>
      </x:c>
      <x:c r="G8420" t="str">
        <x:v>Office Supplies</x:v>
      </x:c>
      <x:c r="H8420" t="str">
        <x:v>Paper</x:v>
      </x:c>
      <x:c r="I8420" s="22" t="n">
        <x:v>106.32</x:v>
      </x:c>
      <x:c r="J8420" s="24" t="n">
        <x:v>3</x:v>
      </x:c>
      <x:c r="K8420" s="26" t="n">
        <x:v>0</x:v>
      </x:c>
      <x:c r="L8420" s="22" t="n">
        <x:v>49.97039999999999</x:v>
      </x:c>
      <x:c r="M8420" t="n">
        <x:v>2017</x:v>
      </x:c>
      <x:c r="N8420" s="20" t="n">
        <x:v>42826</x:v>
      </x:c>
    </x:row>
    <x:row r="8421" ht="18" customHeight="1">
      <x:c r="A8421" t="str">
        <x:v>CA-2017-118199</x:v>
      </x:c>
      <x:c r="B8421" s="18" t="n">
        <x:v>42864</x:v>
      </x:c>
      <x:c r="C8421" t="str">
        <x:v>LB-16795</x:v>
      </x:c>
      <x:c r="D8421" t="str">
        <x:v>Laurel Beltran</x:v>
      </x:c>
      <x:c r="E8421" t="str">
        <x:v>Home Office</x:v>
      </x:c>
      <x:c r="F8421" t="str">
        <x:v>West</x:v>
      </x:c>
      <x:c r="G8421" t="str">
        <x:v>Office Supplies</x:v>
      </x:c>
      <x:c r="H8421" t="str">
        <x:v>Binders</x:v>
      </x:c>
      <x:c r="I8421" s="22" t="n">
        <x:v>147.92</x:v>
      </x:c>
      <x:c r="J8421" s="24" t="n">
        <x:v>5</x:v>
      </x:c>
      <x:c r="K8421" s="26" t="n">
        <x:v>0.2</x:v>
      </x:c>
      <x:c r="L8421" s="22" t="n">
        <x:v>46.22499999999999</x:v>
      </x:c>
      <x:c r="M8421" t="n">
        <x:v>2017</x:v>
      </x:c>
      <x:c r="N8421" s="20" t="n">
        <x:v>42856</x:v>
      </x:c>
    </x:row>
    <x:row r="8422" ht="18" customHeight="1">
      <x:c r="A8422" t="str">
        <x:v>CA-2017-118199</x:v>
      </x:c>
      <x:c r="B8422" s="18" t="n">
        <x:v>42864</x:v>
      </x:c>
      <x:c r="C8422" t="str">
        <x:v>LB-16795</x:v>
      </x:c>
      <x:c r="D8422" t="str">
        <x:v>Laurel Beltran</x:v>
      </x:c>
      <x:c r="E8422" t="str">
        <x:v>Home Office</x:v>
      </x:c>
      <x:c r="F8422" t="str">
        <x:v>West</x:v>
      </x:c>
      <x:c r="G8422" t="str">
        <x:v>Office Supplies</x:v>
      </x:c>
      <x:c r="H8422" t="str">
        <x:v>Storage</x:v>
      </x:c>
      <x:c r="I8422" s="22" t="n">
        <x:v>104.28</x:v>
      </x:c>
      <x:c r="J8422" s="24" t="n">
        <x:v>3</x:v>
      </x:c>
      <x:c r="K8422" s="26" t="n">
        <x:v>0</x:v>
      </x:c>
      <x:c r="L8422" s="22" t="n">
        <x:v>26.069999999999993</x:v>
      </x:c>
      <x:c r="M8422" t="n">
        <x:v>2017</x:v>
      </x:c>
      <x:c r="N8422" s="20" t="n">
        <x:v>42856</x:v>
      </x:c>
    </x:row>
    <x:row r="8423" ht="18" customHeight="1">
      <x:c r="A8423" t="str">
        <x:v>CA-2017-118199</x:v>
      </x:c>
      <x:c r="B8423" s="18" t="n">
        <x:v>42864</x:v>
      </x:c>
      <x:c r="C8423" t="str">
        <x:v>LB-16795</x:v>
      </x:c>
      <x:c r="D8423" t="str">
        <x:v>Laurel Beltran</x:v>
      </x:c>
      <x:c r="E8423" t="str">
        <x:v>Home Office</x:v>
      </x:c>
      <x:c r="F8423" t="str">
        <x:v>West</x:v>
      </x:c>
      <x:c r="G8423" t="str">
        <x:v>Furniture</x:v>
      </x:c>
      <x:c r="H8423" t="str">
        <x:v>Tables</x:v>
      </x:c>
      <x:c r="I8423" s="22" t="n">
        <x:v>286.85</x:v>
      </x:c>
      <x:c r="J8423" s="24" t="n">
        <x:v>1</x:v>
      </x:c>
      <x:c r="K8423" s="26" t="n">
        <x:v>0</x:v>
      </x:c>
      <x:c r="L8423" s="22" t="n">
        <x:v>63.107</x:v>
      </x:c>
      <x:c r="M8423" t="n">
        <x:v>2017</x:v>
      </x:c>
      <x:c r="N8423" s="20" t="n">
        <x:v>42856</x:v>
      </x:c>
    </x:row>
    <x:row r="8424" ht="18" customHeight="1">
      <x:c r="A8424" t="str">
        <x:v>CA-2017-118199</x:v>
      </x:c>
      <x:c r="B8424" s="18" t="n">
        <x:v>42864</x:v>
      </x:c>
      <x:c r="C8424" t="str">
        <x:v>LB-16795</x:v>
      </x:c>
      <x:c r="D8424" t="str">
        <x:v>Laurel Beltran</x:v>
      </x:c>
      <x:c r="E8424" t="str">
        <x:v>Home Office</x:v>
      </x:c>
      <x:c r="F8424" t="str">
        <x:v>West</x:v>
      </x:c>
      <x:c r="G8424" t="str">
        <x:v>Office Supplies</x:v>
      </x:c>
      <x:c r="H8424" t="str">
        <x:v>Storage</x:v>
      </x:c>
      <x:c r="I8424" s="22" t="n">
        <x:v>66.96</x:v>
      </x:c>
      <x:c r="J8424" s="24" t="n">
        <x:v>4</x:v>
      </x:c>
      <x:c r="K8424" s="26" t="n">
        <x:v>0</x:v>
      </x:c>
      <x:c r="L8424" s="22" t="n">
        <x:v>2.6783999999999963</x:v>
      </x:c>
      <x:c r="M8424" t="n">
        <x:v>2017</x:v>
      </x:c>
      <x:c r="N8424" s="20" t="n">
        <x:v>42856</x:v>
      </x:c>
    </x:row>
    <x:row r="8425" ht="18" customHeight="1">
      <x:c r="A8425" t="str">
        <x:v>CA-2017-118199</x:v>
      </x:c>
      <x:c r="B8425" s="18" t="n">
        <x:v>42864</x:v>
      </x:c>
      <x:c r="C8425" t="str">
        <x:v>LB-16795</x:v>
      </x:c>
      <x:c r="D8425" t="str">
        <x:v>Laurel Beltran</x:v>
      </x:c>
      <x:c r="E8425" t="str">
        <x:v>Home Office</x:v>
      </x:c>
      <x:c r="F8425" t="str">
        <x:v>West</x:v>
      </x:c>
      <x:c r="G8425" t="str">
        <x:v>Technology</x:v>
      </x:c>
      <x:c r="H8425" t="str">
        <x:v>Accessories</x:v>
      </x:c>
      <x:c r="I8425" s="22" t="n">
        <x:v>199.98</x:v>
      </x:c>
      <x:c r="J8425" s="24" t="n">
        <x:v>2</x:v>
      </x:c>
      <x:c r="K8425" s="26" t="n">
        <x:v>0</x:v>
      </x:c>
      <x:c r="L8425" s="22" t="n">
        <x:v>87.9912</x:v>
      </x:c>
      <x:c r="M8425" t="n">
        <x:v>2017</x:v>
      </x:c>
      <x:c r="N8425" s="20" t="n">
        <x:v>42856</x:v>
      </x:c>
    </x:row>
    <x:row r="8426" ht="18" customHeight="1">
      <x:c r="A8426" t="str">
        <x:v>CA-2017-150091</x:v>
      </x:c>
      <x:c r="B8426" s="18" t="n">
        <x:v>43020</x:v>
      </x:c>
      <x:c r="C8426" t="str">
        <x:v>NP-18670</x:v>
      </x:c>
      <x:c r="D8426" t="str">
        <x:v>Nora Paige</x:v>
      </x:c>
      <x:c r="E8426" t="str">
        <x:v>Consumer</x:v>
      </x:c>
      <x:c r="F8426" t="str">
        <x:v>East</x:v>
      </x:c>
      <x:c r="G8426" t="str">
        <x:v>Technology</x:v>
      </x:c>
      <x:c r="H8426" t="str">
        <x:v>Accessories</x:v>
      </x:c>
      <x:c r="I8426" s="22" t="n">
        <x:v>45</x:v>
      </x:c>
      <x:c r="J8426" s="24" t="n">
        <x:v>3</x:v>
      </x:c>
      <x:c r="K8426" s="26" t="n">
        <x:v>0</x:v>
      </x:c>
      <x:c r="L8426" s="22" t="n">
        <x:v>4.950000000000001</x:v>
      </x:c>
      <x:c r="M8426" t="n">
        <x:v>2017</x:v>
      </x:c>
      <x:c r="N8426" s="20" t="n">
        <x:v>43009</x:v>
      </x:c>
    </x:row>
    <x:row r="8427" ht="18" customHeight="1">
      <x:c r="A8427" t="str">
        <x:v>CA-2017-150091</x:v>
      </x:c>
      <x:c r="B8427" s="18" t="n">
        <x:v>43020</x:v>
      </x:c>
      <x:c r="C8427" t="str">
        <x:v>NP-18670</x:v>
      </x:c>
      <x:c r="D8427" t="str">
        <x:v>Nora Paige</x:v>
      </x:c>
      <x:c r="E8427" t="str">
        <x:v>Consumer</x:v>
      </x:c>
      <x:c r="F8427" t="str">
        <x:v>East</x:v>
      </x:c>
      <x:c r="G8427" t="str">
        <x:v>Office Supplies</x:v>
      </x:c>
      <x:c r="H8427" t="str">
        <x:v>Fasteners</x:v>
      </x:c>
      <x:c r="I8427" s="22" t="n">
        <x:v>17.9</x:v>
      </x:c>
      <x:c r="J8427" s="24" t="n">
        <x:v>5</x:v>
      </x:c>
      <x:c r="K8427" s="26" t="n">
        <x:v>0</x:v>
      </x:c>
      <x:c r="L8427" s="22" t="n">
        <x:v>8.771</x:v>
      </x:c>
      <x:c r="M8427" t="n">
        <x:v>2017</x:v>
      </x:c>
      <x:c r="N8427" s="20" t="n">
        <x:v>43009</x:v>
      </x:c>
    </x:row>
    <x:row r="8428" ht="18" customHeight="1">
      <x:c r="A8428" t="str">
        <x:v>CA-2017-150091</x:v>
      </x:c>
      <x:c r="B8428" s="18" t="n">
        <x:v>43020</x:v>
      </x:c>
      <x:c r="C8428" t="str">
        <x:v>NP-18670</x:v>
      </x:c>
      <x:c r="D8428" t="str">
        <x:v>Nora Paige</x:v>
      </x:c>
      <x:c r="E8428" t="str">
        <x:v>Consumer</x:v>
      </x:c>
      <x:c r="F8428" t="str">
        <x:v>East</x:v>
      </x:c>
      <x:c r="G8428" t="str">
        <x:v>Furniture</x:v>
      </x:c>
      <x:c r="H8428" t="str">
        <x:v>Furnishings</x:v>
      </x:c>
      <x:c r="I8428" s="22" t="n">
        <x:v>40.48</x:v>
      </x:c>
      <x:c r="J8428" s="24" t="n">
        <x:v>2</x:v>
      </x:c>
      <x:c r="K8428" s="26" t="n">
        <x:v>0</x:v>
      </x:c>
      <x:c r="L8428" s="22" t="n">
        <x:v>17.4064</x:v>
      </x:c>
      <x:c r="M8428" t="n">
        <x:v>2017</x:v>
      </x:c>
      <x:c r="N8428" s="20" t="n">
        <x:v>43009</x:v>
      </x:c>
    </x:row>
    <x:row r="8429" ht="18" customHeight="1">
      <x:c r="A8429" t="str">
        <x:v>CA-2017-150091</x:v>
      </x:c>
      <x:c r="B8429" s="18" t="n">
        <x:v>43020</x:v>
      </x:c>
      <x:c r="C8429" t="str">
        <x:v>NP-18670</x:v>
      </x:c>
      <x:c r="D8429" t="str">
        <x:v>Nora Paige</x:v>
      </x:c>
      <x:c r="E8429" t="str">
        <x:v>Consumer</x:v>
      </x:c>
      <x:c r="F8429" t="str">
        <x:v>East</x:v>
      </x:c>
      <x:c r="G8429" t="str">
        <x:v>Furniture</x:v>
      </x:c>
      <x:c r="H8429" t="str">
        <x:v>Bookcases</x:v>
      </x:c>
      <x:c r="I8429" s="22" t="n">
        <x:v>2154.9</x:v>
      </x:c>
      <x:c r="J8429" s="24" t="n">
        <x:v>5</x:v>
      </x:c>
      <x:c r="K8429" s="26" t="n">
        <x:v>0</x:v>
      </x:c>
      <x:c r="L8429" s="22" t="n">
        <x:v>129.29399999999987</x:v>
      </x:c>
      <x:c r="M8429" t="n">
        <x:v>2017</x:v>
      </x:c>
      <x:c r="N8429" s="20" t="n">
        <x:v>43009</x:v>
      </x:c>
    </x:row>
    <x:row r="8430" ht="18" customHeight="1">
      <x:c r="A8430" t="str">
        <x:v>CA-2016-137652</x:v>
      </x:c>
      <x:c r="B8430" s="18" t="n">
        <x:v>42610</x:v>
      </x:c>
      <x:c r="C8430" t="str">
        <x:v>EB-13750</x:v>
      </x:c>
      <x:c r="D8430" t="str">
        <x:v>Edward Becker</x:v>
      </x:c>
      <x:c r="E8430" t="str">
        <x:v>Corporate</x:v>
      </x:c>
      <x:c r="F8430" t="str">
        <x:v>East</x:v>
      </x:c>
      <x:c r="G8430" t="str">
        <x:v>Office Supplies</x:v>
      </x:c>
      <x:c r="H8430" t="str">
        <x:v>Binders</x:v>
      </x:c>
      <x:c r="I8430" s="22" t="n">
        <x:v>18.432000000000002</x:v>
      </x:c>
      <x:c r="J8430" s="24" t="n">
        <x:v>8</x:v>
      </x:c>
      <x:c r="K8430" s="26" t="n">
        <x:v>0.7</x:v>
      </x:c>
      <x:c r="L8430" s="22" t="n">
        <x:v>-12.287999999999997</x:v>
      </x:c>
      <x:c r="M8430" t="n">
        <x:v>2016</x:v>
      </x:c>
      <x:c r="N8430" s="20" t="n">
        <x:v>42583</x:v>
      </x:c>
    </x:row>
    <x:row r="8431" ht="18" customHeight="1">
      <x:c r="A8431" t="str">
        <x:v>CA-2015-128356</x:v>
      </x:c>
      <x:c r="B8431" s="18" t="n">
        <x:v>42279</x:v>
      </x:c>
      <x:c r="C8431" t="str">
        <x:v>RP-19390</x:v>
      </x:c>
      <x:c r="D8431" t="str">
        <x:v>Resi Pölking</x:v>
      </x:c>
      <x:c r="E8431" t="str">
        <x:v>Consumer</x:v>
      </x:c>
      <x:c r="F8431" t="str">
        <x:v>West</x:v>
      </x:c>
      <x:c r="G8431" t="str">
        <x:v>Office Supplies</x:v>
      </x:c>
      <x:c r="H8431" t="str">
        <x:v>Supplies</x:v>
      </x:c>
      <x:c r="I8431" s="22" t="n">
        <x:v>10.944</x:v>
      </x:c>
      <x:c r="J8431" s="24" t="n">
        <x:v>2</x:v>
      </x:c>
      <x:c r="K8431" s="26" t="n">
        <x:v>0.2</x:v>
      </x:c>
      <x:c r="L8431" s="22" t="n">
        <x:v>0.9575999999999998</x:v>
      </x:c>
      <x:c r="M8431" t="n">
        <x:v>2015</x:v>
      </x:c>
      <x:c r="N8431" s="20" t="n">
        <x:v>42278</x:v>
      </x:c>
    </x:row>
    <x:row r="8432" ht="18" customHeight="1">
      <x:c r="A8432" t="str">
        <x:v>CA-2017-167017</x:v>
      </x:c>
      <x:c r="B8432" s="18" t="n">
        <x:v>43062</x:v>
      </x:c>
      <x:c r="C8432" t="str">
        <x:v>DC-12850</x:v>
      </x:c>
      <x:c r="D8432" t="str">
        <x:v>Dan Campbell</x:v>
      </x:c>
      <x:c r="E8432" t="str">
        <x:v>Consumer</x:v>
      </x:c>
      <x:c r="F8432" t="str">
        <x:v>Central</x:v>
      </x:c>
      <x:c r="G8432" t="str">
        <x:v>Office Supplies</x:v>
      </x:c>
      <x:c r="H8432" t="str">
        <x:v>Supplies</x:v>
      </x:c>
      <x:c r="I8432" s="22" t="n">
        <x:v>4.36</x:v>
      </x:c>
      <x:c r="J8432" s="24" t="n">
        <x:v>2</x:v>
      </x:c>
      <x:c r="K8432" s="26" t="n">
        <x:v>0</x:v>
      </x:c>
      <x:c r="L8432" s="22" t="n">
        <x:v>0.17439999999999944</x:v>
      </x:c>
      <x:c r="M8432" t="n">
        <x:v>2017</x:v>
      </x:c>
      <x:c r="N8432" s="20" t="n">
        <x:v>43040</x:v>
      </x:c>
    </x:row>
    <x:row r="8433" ht="18" customHeight="1">
      <x:c r="A8433" t="str">
        <x:v>US-2017-132220</x:v>
      </x:c>
      <x:c r="B8433" s="18" t="n">
        <x:v>43051</x:v>
      </x:c>
      <x:c r="C8433" t="str">
        <x:v>DJ-13510</x:v>
      </x:c>
      <x:c r="D8433" t="str">
        <x:v>Don Jones</x:v>
      </x:c>
      <x:c r="E8433" t="str">
        <x:v>Corporate</x:v>
      </x:c>
      <x:c r="F8433" t="str">
        <x:v>West</x:v>
      </x:c>
      <x:c r="G8433" t="str">
        <x:v>Technology</x:v>
      </x:c>
      <x:c r="H8433" t="str">
        <x:v>Accessories</x:v>
      </x:c>
      <x:c r="I8433" s="22" t="n">
        <x:v>62.352000000000004</x:v>
      </x:c>
      <x:c r="J8433" s="24" t="n">
        <x:v>6</x:v>
      </x:c>
      <x:c r="K8433" s="26" t="n">
        <x:v>0.2</x:v>
      </x:c>
      <x:c r="L8433" s="22" t="n">
        <x:v>-10.911600000000007</x:v>
      </x:c>
      <x:c r="M8433" t="n">
        <x:v>2017</x:v>
      </x:c>
      <x:c r="N8433" s="20" t="n">
        <x:v>43040</x:v>
      </x:c>
    </x:row>
    <x:row r="8434" ht="18" customHeight="1">
      <x:c r="A8434" t="str">
        <x:v>CA-2016-118129</x:v>
      </x:c>
      <x:c r="B8434" s="18" t="n">
        <x:v>42723</x:v>
      </x:c>
      <x:c r="C8434" t="str">
        <x:v>CL-12565</x:v>
      </x:c>
      <x:c r="D8434" t="str">
        <x:v>Clay Ludtke</x:v>
      </x:c>
      <x:c r="E8434" t="str">
        <x:v>Consumer</x:v>
      </x:c>
      <x:c r="F8434" t="str">
        <x:v>East</x:v>
      </x:c>
      <x:c r="G8434" t="str">
        <x:v>Furniture</x:v>
      </x:c>
      <x:c r="H8434" t="str">
        <x:v>Furnishings</x:v>
      </x:c>
      <x:c r="I8434" s="22" t="n">
        <x:v>303.92</x:v>
      </x:c>
      <x:c r="J8434" s="24" t="n">
        <x:v>5</x:v>
      </x:c>
      <x:c r="K8434" s="26" t="n">
        <x:v>0.2</x:v>
      </x:c>
      <x:c r="L8434" s="22" t="n">
        <x:v>-30.392000000000024</x:v>
      </x:c>
      <x:c r="M8434" t="n">
        <x:v>2016</x:v>
      </x:c>
      <x:c r="N8434" s="20" t="n">
        <x:v>42705</x:v>
      </x:c>
    </x:row>
    <x:row r="8435" ht="18" customHeight="1">
      <x:c r="A8435" t="str">
        <x:v>US-2014-113124</x:v>
      </x:c>
      <x:c r="B8435" s="18" t="n">
        <x:v>41728</x:v>
      </x:c>
      <x:c r="C8435" t="str">
        <x:v>NC-18340</x:v>
      </x:c>
      <x:c r="D8435" t="str">
        <x:v>Nat Carroll</x:v>
      </x:c>
      <x:c r="E8435" t="str">
        <x:v>Consumer</x:v>
      </x:c>
      <x:c r="F8435" t="str">
        <x:v>Central</x:v>
      </x:c>
      <x:c r="G8435" t="str">
        <x:v>Office Supplies</x:v>
      </x:c>
      <x:c r="H8435" t="str">
        <x:v>Storage</x:v>
      </x:c>
      <x:c r="I8435" s="22" t="n">
        <x:v>129.3</x:v>
      </x:c>
      <x:c r="J8435" s="24" t="n">
        <x:v>2</x:v>
      </x:c>
      <x:c r="K8435" s="26" t="n">
        <x:v>0</x:v>
      </x:c>
      <x:c r="L8435" s="22" t="n">
        <x:v>6.464999999999989</x:v>
      </x:c>
      <x:c r="M8435" t="n">
        <x:v>2014</x:v>
      </x:c>
      <x:c r="N8435" s="20" t="n">
        <x:v>41699</x:v>
      </x:c>
    </x:row>
    <x:row r="8436" ht="18" customHeight="1">
      <x:c r="A8436" t="str">
        <x:v>CA-2017-155621</x:v>
      </x:c>
      <x:c r="B8436" s="18" t="n">
        <x:v>43047</x:v>
      </x:c>
      <x:c r="C8436" t="str">
        <x:v>KN-16450</x:v>
      </x:c>
      <x:c r="D8436" t="str">
        <x:v>Kean Nguyen</x:v>
      </x:c>
      <x:c r="E8436" t="str">
        <x:v>Corporate</x:v>
      </x:c>
      <x:c r="F8436" t="str">
        <x:v>East</x:v>
      </x:c>
      <x:c r="G8436" t="str">
        <x:v>Furniture</x:v>
      </x:c>
      <x:c r="H8436" t="str">
        <x:v>Furnishings</x:v>
      </x:c>
      <x:c r="I8436" s="22" t="n">
        <x:v>274.20000000000005</x:v>
      </x:c>
      <x:c r="J8436" s="24" t="n">
        <x:v>10</x:v>
      </x:c>
      <x:c r="K8436" s="26" t="n">
        <x:v>0</x:v>
      </x:c>
      <x:c r="L8436" s="22" t="n">
        <x:v>112.422</x:v>
      </x:c>
      <x:c r="M8436" t="n">
        <x:v>2017</x:v>
      </x:c>
      <x:c r="N8436" s="20" t="n">
        <x:v>43040</x:v>
      </x:c>
    </x:row>
    <x:row r="8437" ht="18" customHeight="1">
      <x:c r="A8437" t="str">
        <x:v>US-2014-127635</x:v>
      </x:c>
      <x:c r="B8437" s="18" t="n">
        <x:v>41896</x:v>
      </x:c>
      <x:c r="C8437" t="str">
        <x:v>SC-20260</x:v>
      </x:c>
      <x:c r="D8437" t="str">
        <x:v>Scott Cohen</x:v>
      </x:c>
      <x:c r="E8437" t="str">
        <x:v>Corporate</x:v>
      </x:c>
      <x:c r="F8437" t="str">
        <x:v>Central</x:v>
      </x:c>
      <x:c r="G8437" t="str">
        <x:v>Office Supplies</x:v>
      </x:c>
      <x:c r="H8437" t="str">
        <x:v>Fasteners</x:v>
      </x:c>
      <x:c r="I8437" s="22" t="n">
        <x:v>6.048</x:v>
      </x:c>
      <x:c r="J8437" s="24" t="n">
        <x:v>4</x:v>
      </x:c>
      <x:c r="K8437" s="26" t="n">
        <x:v>0.2</x:v>
      </x:c>
      <x:c r="L8437" s="22" t="n">
        <x:v>-1.3607999999999998</x:v>
      </x:c>
      <x:c r="M8437" t="n">
        <x:v>2014</x:v>
      </x:c>
      <x:c r="N8437" s="20" t="n">
        <x:v>41883</x:v>
      </x:c>
    </x:row>
    <x:row r="8438" ht="18" customHeight="1">
      <x:c r="A8438" t="str">
        <x:v>US-2014-127635</x:v>
      </x:c>
      <x:c r="B8438" s="18" t="n">
        <x:v>41896</x:v>
      </x:c>
      <x:c r="C8438" t="str">
        <x:v>SC-20260</x:v>
      </x:c>
      <x:c r="D8438" t="str">
        <x:v>Scott Cohen</x:v>
      </x:c>
      <x:c r="E8438" t="str">
        <x:v>Corporate</x:v>
      </x:c>
      <x:c r="F8438" t="str">
        <x:v>Central</x:v>
      </x:c>
      <x:c r="G8438" t="str">
        <x:v>Office Supplies</x:v>
      </x:c>
      <x:c r="H8438" t="str">
        <x:v>Paper</x:v>
      </x:c>
      <x:c r="I8438" s="22" t="n">
        <x:v>6.848000000000001</x:v>
      </x:c>
      <x:c r="J8438" s="24" t="n">
        <x:v>2</x:v>
      </x:c>
      <x:c r="K8438" s="26" t="n">
        <x:v>0.2</x:v>
      </x:c>
      <x:c r="L8438" s="22" t="n">
        <x:v>2.1399999999999992</x:v>
      </x:c>
      <x:c r="M8438" t="n">
        <x:v>2014</x:v>
      </x:c>
      <x:c r="N8438" s="20" t="n">
        <x:v>41883</x:v>
      </x:c>
    </x:row>
    <x:row r="8439" ht="18" customHeight="1">
      <x:c r="A8439" t="str">
        <x:v>US-2014-127635</x:v>
      </x:c>
      <x:c r="B8439" s="18" t="n">
        <x:v>41896</x:v>
      </x:c>
      <x:c r="C8439" t="str">
        <x:v>SC-20260</x:v>
      </x:c>
      <x:c r="D8439" t="str">
        <x:v>Scott Cohen</x:v>
      </x:c>
      <x:c r="E8439" t="str">
        <x:v>Corporate</x:v>
      </x:c>
      <x:c r="F8439" t="str">
        <x:v>Central</x:v>
      </x:c>
      <x:c r="G8439" t="str">
        <x:v>Furniture</x:v>
      </x:c>
      <x:c r="H8439" t="str">
        <x:v>Furnishings</x:v>
      </x:c>
      <x:c r="I8439" s="22" t="n">
        <x:v>9.96</x:v>
      </x:c>
      <x:c r="J8439" s="24" t="n">
        <x:v>5</x:v>
      </x:c>
      <x:c r="K8439" s="26" t="n">
        <x:v>0.6</x:v>
      </x:c>
      <x:c r="L8439" s="22" t="n">
        <x:v>-6.723000000000001</x:v>
      </x:c>
      <x:c r="M8439" t="n">
        <x:v>2014</x:v>
      </x:c>
      <x:c r="N8439" s="20" t="n">
        <x:v>41883</x:v>
      </x:c>
    </x:row>
    <x:row r="8440" ht="18" customHeight="1">
      <x:c r="A8440" t="str">
        <x:v>US-2014-127635</x:v>
      </x:c>
      <x:c r="B8440" s="18" t="n">
        <x:v>41896</x:v>
      </x:c>
      <x:c r="C8440" t="str">
        <x:v>SC-20260</x:v>
      </x:c>
      <x:c r="D8440" t="str">
        <x:v>Scott Cohen</x:v>
      </x:c>
      <x:c r="E8440" t="str">
        <x:v>Corporate</x:v>
      </x:c>
      <x:c r="F8440" t="str">
        <x:v>Central</x:v>
      </x:c>
      <x:c r="G8440" t="str">
        <x:v>Office Supplies</x:v>
      </x:c>
      <x:c r="H8440" t="str">
        <x:v>Binders</x:v>
      </x:c>
      <x:c r="I8440" s="22" t="n">
        <x:v>8.551999999999998</x:v>
      </x:c>
      <x:c r="J8440" s="24" t="n">
        <x:v>2</x:v>
      </x:c>
      <x:c r="K8440" s="26" t="n">
        <x:v>0.8</x:v>
      </x:c>
      <x:c r="L8440" s="22" t="n">
        <x:v>-13.6832</x:v>
      </x:c>
      <x:c r="M8440" t="n">
        <x:v>2014</x:v>
      </x:c>
      <x:c r="N8440" s="20" t="n">
        <x:v>41883</x:v>
      </x:c>
    </x:row>
    <x:row r="8441" ht="18" customHeight="1">
      <x:c r="A8441" t="str">
        <x:v>CA-2015-151470</x:v>
      </x:c>
      <x:c r="B8441" s="18" t="n">
        <x:v>42267</x:v>
      </x:c>
      <x:c r="C8441" t="str">
        <x:v>AM-10705</x:v>
      </x:c>
      <x:c r="D8441" t="str">
        <x:v>Anne McFarland</x:v>
      </x:c>
      <x:c r="E8441" t="str">
        <x:v>Consumer</x:v>
      </x:c>
      <x:c r="F8441" t="str">
        <x:v>West</x:v>
      </x:c>
      <x:c r="G8441" t="str">
        <x:v>Office Supplies</x:v>
      </x:c>
      <x:c r="H8441" t="str">
        <x:v>Binders</x:v>
      </x:c>
      <x:c r="I8441" s="22" t="n">
        <x:v>45.584</x:v>
      </x:c>
      <x:c r="J8441" s="24" t="n">
        <x:v>11</x:v>
      </x:c>
      <x:c r="K8441" s="26" t="n">
        <x:v>0.2</x:v>
      </x:c>
      <x:c r="L8441" s="22" t="n">
        <x:v>16.524199999999997</x:v>
      </x:c>
      <x:c r="M8441" t="n">
        <x:v>2015</x:v>
      </x:c>
      <x:c r="N8441" s="20" t="n">
        <x:v>42248</x:v>
      </x:c>
    </x:row>
    <x:row r="8442" ht="18" customHeight="1">
      <x:c r="A8442" t="str">
        <x:v>CA-2015-112823</x:v>
      </x:c>
      <x:c r="B8442" s="18" t="n">
        <x:v>42348</x:v>
      </x:c>
      <x:c r="C8442" t="str">
        <x:v>RA-19945</x:v>
      </x:c>
      <x:c r="D8442" t="str">
        <x:v>Ryan Akin</x:v>
      </x:c>
      <x:c r="E8442" t="str">
        <x:v>Consumer</x:v>
      </x:c>
      <x:c r="F8442" t="str">
        <x:v>East</x:v>
      </x:c>
      <x:c r="G8442" t="str">
        <x:v>Technology</x:v>
      </x:c>
      <x:c r="H8442" t="str">
        <x:v>Accessories</x:v>
      </x:c>
      <x:c r="I8442" s="22" t="n">
        <x:v>25.488</x:v>
      </x:c>
      <x:c r="J8442" s="24" t="n">
        <x:v>2</x:v>
      </x:c>
      <x:c r="K8442" s="26" t="n">
        <x:v>0.2</x:v>
      </x:c>
      <x:c r="L8442" s="22" t="n">
        <x:v>4.4604</x:v>
      </x:c>
      <x:c r="M8442" t="n">
        <x:v>2015</x:v>
      </x:c>
      <x:c r="N8442" s="20" t="n">
        <x:v>42339</x:v>
      </x:c>
    </x:row>
    <x:row r="8443" ht="18" customHeight="1">
      <x:c r="A8443" t="str">
        <x:v>CA-2014-108861</x:v>
      </x:c>
      <x:c r="B8443" s="18" t="n">
        <x:v>41787</x:v>
      </x:c>
      <x:c r="C8443" t="str">
        <x:v>MM-17260</x:v>
      </x:c>
      <x:c r="D8443" t="str">
        <x:v>Magdelene Morse</x:v>
      </x:c>
      <x:c r="E8443" t="str">
        <x:v>Consumer</x:v>
      </x:c>
      <x:c r="F8443" t="str">
        <x:v>West</x:v>
      </x:c>
      <x:c r="G8443" t="str">
        <x:v>Office Supplies</x:v>
      </x:c>
      <x:c r="H8443" t="str">
        <x:v>Binders</x:v>
      </x:c>
      <x:c r="I8443" s="22" t="n">
        <x:v>136.96</x:v>
      </x:c>
      <x:c r="J8443" s="24" t="n">
        <x:v>4</x:v>
      </x:c>
      <x:c r="K8443" s="26" t="n">
        <x:v>0.2</x:v>
      </x:c>
      <x:c r="L8443" s="22" t="n">
        <x:v>51.35999999999999</x:v>
      </x:c>
      <x:c r="M8443" t="n">
        <x:v>2014</x:v>
      </x:c>
      <x:c r="N8443" s="20" t="n">
        <x:v>41760</x:v>
      </x:c>
    </x:row>
    <x:row r="8444" ht="18" customHeight="1">
      <x:c r="A8444" t="str">
        <x:v>CA-2017-114370</x:v>
      </x:c>
      <x:c r="B8444" s="18" t="n">
        <x:v>42808</x:v>
      </x:c>
      <x:c r="C8444" t="str">
        <x:v>BN-11470</x:v>
      </x:c>
      <x:c r="D8444" t="str">
        <x:v>Brad Norvell</x:v>
      </x:c>
      <x:c r="E8444" t="str">
        <x:v>Corporate</x:v>
      </x:c>
      <x:c r="F8444" t="str">
        <x:v>Central</x:v>
      </x:c>
      <x:c r="G8444" t="str">
        <x:v>Technology</x:v>
      </x:c>
      <x:c r="H8444" t="str">
        <x:v>Phones</x:v>
      </x:c>
      <x:c r="I8444" s="22" t="n">
        <x:v>49.61600000000001</x:v>
      </x:c>
      <x:c r="J8444" s="24" t="n">
        <x:v>2</x:v>
      </x:c>
      <x:c r="K8444" s="26" t="n">
        <x:v>0.2</x:v>
      </x:c>
      <x:c r="L8444" s="22" t="n">
        <x:v>4.961599999999999</x:v>
      </x:c>
      <x:c r="M8444" t="n">
        <x:v>2017</x:v>
      </x:c>
      <x:c r="N8444" s="20" t="n">
        <x:v>42795</x:v>
      </x:c>
    </x:row>
    <x:row r="8445" ht="18" customHeight="1">
      <x:c r="A8445" t="str">
        <x:v>CA-2016-158302</x:v>
      </x:c>
      <x:c r="B8445" s="18" t="n">
        <x:v>42712</x:v>
      </x:c>
      <x:c r="C8445" t="str">
        <x:v>JB-16045</x:v>
      </x:c>
      <x:c r="D8445" t="str">
        <x:v>Julia Barnett</x:v>
      </x:c>
      <x:c r="E8445" t="str">
        <x:v>Home Office</x:v>
      </x:c>
      <x:c r="F8445" t="str">
        <x:v>East</x:v>
      </x:c>
      <x:c r="G8445" t="str">
        <x:v>Office Supplies</x:v>
      </x:c>
      <x:c r="H8445" t="str">
        <x:v>Paper</x:v>
      </x:c>
      <x:c r="I8445" s="22" t="n">
        <x:v>10.584000000000001</x:v>
      </x:c>
      <x:c r="J8445" s="24" t="n">
        <x:v>3</x:v>
      </x:c>
      <x:c r="K8445" s="26" t="n">
        <x:v>0.2</x:v>
      </x:c>
      <x:c r="L8445" s="22" t="n">
        <x:v>3.4397999999999995</x:v>
      </x:c>
      <x:c r="M8445" t="n">
        <x:v>2016</x:v>
      </x:c>
      <x:c r="N8445" s="20" t="n">
        <x:v>42705</x:v>
      </x:c>
    </x:row>
    <x:row r="8446" ht="18" customHeight="1">
      <x:c r="A8446" t="str">
        <x:v>CA-2017-145779</x:v>
      </x:c>
      <x:c r="B8446" s="18" t="n">
        <x:v>42861</x:v>
      </x:c>
      <x:c r="C8446" t="str">
        <x:v>DB-13615</x:v>
      </x:c>
      <x:c r="D8446" t="str">
        <x:v>Doug Bickford</x:v>
      </x:c>
      <x:c r="E8446" t="str">
        <x:v>Consumer</x:v>
      </x:c>
      <x:c r="F8446" t="str">
        <x:v>West</x:v>
      </x:c>
      <x:c r="G8446" t="str">
        <x:v>Office Supplies</x:v>
      </x:c>
      <x:c r="H8446" t="str">
        <x:v>Paper</x:v>
      </x:c>
      <x:c r="I8446" s="22" t="n">
        <x:v>84.416</x:v>
      </x:c>
      <x:c r="J8446" s="24" t="n">
        <x:v>4</x:v>
      </x:c>
      <x:c r="K8446" s="26" t="n">
        <x:v>0.2</x:v>
      </x:c>
      <x:c r="L8446" s="22" t="n">
        <x:v>27.435199999999995</x:v>
      </x:c>
      <x:c r="M8446" t="n">
        <x:v>2017</x:v>
      </x:c>
      <x:c r="N8446" s="20" t="n">
        <x:v>42856</x:v>
      </x:c>
    </x:row>
    <x:row r="8447" ht="18" customHeight="1">
      <x:c r="A8447" t="str">
        <x:v>US-2016-155173</x:v>
      </x:c>
      <x:c r="B8447" s="18" t="n">
        <x:v>42435</x:v>
      </x:c>
      <x:c r="C8447" t="str">
        <x:v>JB-16045</x:v>
      </x:c>
      <x:c r="D8447" t="str">
        <x:v>Julia Barnett</x:v>
      </x:c>
      <x:c r="E8447" t="str">
        <x:v>Home Office</x:v>
      </x:c>
      <x:c r="F8447" t="str">
        <x:v>East</x:v>
      </x:c>
      <x:c r="G8447" t="str">
        <x:v>Technology</x:v>
      </x:c>
      <x:c r="H8447" t="str">
        <x:v>Phones</x:v>
      </x:c>
      <x:c r="I8447" s="22" t="n">
        <x:v>431.94</x:v>
      </x:c>
      <x:c r="J8447" s="24" t="n">
        <x:v>2</x:v>
      </x:c>
      <x:c r="K8447" s="26" t="n">
        <x:v>0.4</x:v>
      </x:c>
      <x:c r="L8447" s="22" t="n">
        <x:v>-71.99000000000001</x:v>
      </x:c>
      <x:c r="M8447" t="n">
        <x:v>2016</x:v>
      </x:c>
      <x:c r="N8447" s="20" t="n">
        <x:v>42430</x:v>
      </x:c>
    </x:row>
    <x:row r="8448" ht="18" customHeight="1">
      <x:c r="A8448" t="str">
        <x:v>US-2016-155173</x:v>
      </x:c>
      <x:c r="B8448" s="18" t="n">
        <x:v>42435</x:v>
      </x:c>
      <x:c r="C8448" t="str">
        <x:v>JB-16045</x:v>
      </x:c>
      <x:c r="D8448" t="str">
        <x:v>Julia Barnett</x:v>
      </x:c>
      <x:c r="E8448" t="str">
        <x:v>Home Office</x:v>
      </x:c>
      <x:c r="F8448" t="str">
        <x:v>East</x:v>
      </x:c>
      <x:c r="G8448" t="str">
        <x:v>Office Supplies</x:v>
      </x:c>
      <x:c r="H8448" t="str">
        <x:v>Binders</x:v>
      </x:c>
      <x:c r="I8448" s="22" t="n">
        <x:v>2.043</x:v>
      </x:c>
      <x:c r="J8448" s="24" t="n">
        <x:v>1</x:v>
      </x:c>
      <x:c r="K8448" s="26" t="n">
        <x:v>0.7</x:v>
      </x:c>
      <x:c r="L8448" s="22" t="n">
        <x:v>-1.4981999999999998</x:v>
      </x:c>
      <x:c r="M8448" t="n">
        <x:v>2016</x:v>
      </x:c>
      <x:c r="N8448" s="20" t="n">
        <x:v>42430</x:v>
      </x:c>
    </x:row>
    <x:row r="8449" ht="18" customHeight="1">
      <x:c r="A8449" t="str">
        <x:v>US-2016-155173</x:v>
      </x:c>
      <x:c r="B8449" s="18" t="n">
        <x:v>42435</x:v>
      </x:c>
      <x:c r="C8449" t="str">
        <x:v>JB-16045</x:v>
      </x:c>
      <x:c r="D8449" t="str">
        <x:v>Julia Barnett</x:v>
      </x:c>
      <x:c r="E8449" t="str">
        <x:v>Home Office</x:v>
      </x:c>
      <x:c r="F8449" t="str">
        <x:v>East</x:v>
      </x:c>
      <x:c r="G8449" t="str">
        <x:v>Technology</x:v>
      </x:c>
      <x:c r="H8449" t="str">
        <x:v>Phones</x:v>
      </x:c>
      <x:c r="I8449" s="22" t="n">
        <x:v>68.238</x:v>
      </x:c>
      <x:c r="J8449" s="24" t="n">
        <x:v>3</x:v>
      </x:c>
      <x:c r="K8449" s="26" t="n">
        <x:v>0.4</x:v>
      </x:c>
      <x:c r="L8449" s="22" t="n">
        <x:v>-12.510300000000008</x:v>
      </x:c>
      <x:c r="M8449" t="n">
        <x:v>2016</x:v>
      </x:c>
      <x:c r="N8449" s="20" t="n">
        <x:v>42430</x:v>
      </x:c>
    </x:row>
    <x:row r="8450" ht="18" customHeight="1">
      <x:c r="A8450" t="str">
        <x:v>CA-2017-125451</x:v>
      </x:c>
      <x:c r="B8450" s="18" t="n">
        <x:v>43031</x:v>
      </x:c>
      <x:c r="C8450" t="str">
        <x:v>AH-10075</x:v>
      </x:c>
      <x:c r="D8450" t="str">
        <x:v>Adam Hart</x:v>
      </x:c>
      <x:c r="E8450" t="str">
        <x:v>Corporate</x:v>
      </x:c>
      <x:c r="F8450" t="str">
        <x:v>East</x:v>
      </x:c>
      <x:c r="G8450" t="str">
        <x:v>Furniture</x:v>
      </x:c>
      <x:c r="H8450" t="str">
        <x:v>Tables</x:v>
      </x:c>
      <x:c r="I8450" s="22" t="n">
        <x:v>240.744</x:v>
      </x:c>
      <x:c r="J8450" s="24" t="n">
        <x:v>4</x:v>
      </x:c>
      <x:c r="K8450" s="26" t="n">
        <x:v>0.3</x:v>
      </x:c>
      <x:c r="L8450" s="22" t="n">
        <x:v>-13.756799999999984</x:v>
      </x:c>
      <x:c r="M8450" t="n">
        <x:v>2017</x:v>
      </x:c>
      <x:c r="N8450" s="20" t="n">
        <x:v>43009</x:v>
      </x:c>
    </x:row>
    <x:row r="8451" ht="18" customHeight="1">
      <x:c r="A8451" t="str">
        <x:v>CA-2017-125451</x:v>
      </x:c>
      <x:c r="B8451" s="18" t="n">
        <x:v>43031</x:v>
      </x:c>
      <x:c r="C8451" t="str">
        <x:v>AH-10075</x:v>
      </x:c>
      <x:c r="D8451" t="str">
        <x:v>Adam Hart</x:v>
      </x:c>
      <x:c r="E8451" t="str">
        <x:v>Corporate</x:v>
      </x:c>
      <x:c r="F8451" t="str">
        <x:v>East</x:v>
      </x:c>
      <x:c r="G8451" t="str">
        <x:v>Furniture</x:v>
      </x:c>
      <x:c r="H8451" t="str">
        <x:v>Furnishings</x:v>
      </x:c>
      <x:c r="I8451" s="22" t="n">
        <x:v>35</x:v>
      </x:c>
      <x:c r="J8451" s="24" t="n">
        <x:v>4</x:v>
      </x:c>
      <x:c r="K8451" s="26" t="n">
        <x:v>0</x:v>
      </x:c>
      <x:c r="L8451" s="22" t="n">
        <x:v>14.700000000000003</x:v>
      </x:c>
      <x:c r="M8451" t="n">
        <x:v>2017</x:v>
      </x:c>
      <x:c r="N8451" s="20" t="n">
        <x:v>43009</x:v>
      </x:c>
    </x:row>
    <x:row r="8452" ht="18" customHeight="1">
      <x:c r="A8452" t="str">
        <x:v>CA-2017-125451</x:v>
      </x:c>
      <x:c r="B8452" s="18" t="n">
        <x:v>43031</x:v>
      </x:c>
      <x:c r="C8452" t="str">
        <x:v>AH-10075</x:v>
      </x:c>
      <x:c r="D8452" t="str">
        <x:v>Adam Hart</x:v>
      </x:c>
      <x:c r="E8452" t="str">
        <x:v>Corporate</x:v>
      </x:c>
      <x:c r="F8452" t="str">
        <x:v>East</x:v>
      </x:c>
      <x:c r="G8452" t="str">
        <x:v>Furniture</x:v>
      </x:c>
      <x:c r="H8452" t="str">
        <x:v>Furnishings</x:v>
      </x:c>
      <x:c r="I8452" s="22" t="n">
        <x:v>210.68</x:v>
      </x:c>
      <x:c r="J8452" s="24" t="n">
        <x:v>2</x:v>
      </x:c>
      <x:c r="K8452" s="26" t="n">
        <x:v>0</x:v>
      </x:c>
      <x:c r="L8452" s="22" t="n">
        <x:v>50.563199999999995</x:v>
      </x:c>
      <x:c r="M8452" t="n">
        <x:v>2017</x:v>
      </x:c>
      <x:c r="N8452" s="20" t="n">
        <x:v>43009</x:v>
      </x:c>
    </x:row>
    <x:row r="8453" ht="18" customHeight="1">
      <x:c r="A8453" t="str">
        <x:v>CA-2017-125451</x:v>
      </x:c>
      <x:c r="B8453" s="18" t="n">
        <x:v>43031</x:v>
      </x:c>
      <x:c r="C8453" t="str">
        <x:v>AH-10075</x:v>
      </x:c>
      <x:c r="D8453" t="str">
        <x:v>Adam Hart</x:v>
      </x:c>
      <x:c r="E8453" t="str">
        <x:v>Corporate</x:v>
      </x:c>
      <x:c r="F8453" t="str">
        <x:v>East</x:v>
      </x:c>
      <x:c r="G8453" t="str">
        <x:v>Furniture</x:v>
      </x:c>
      <x:c r="H8453" t="str">
        <x:v>Tables</x:v>
      </x:c>
      <x:c r="I8453" s="22" t="n">
        <x:v>637.896</x:v>
      </x:c>
      <x:c r="J8453" s="24" t="n">
        <x:v>3</x:v>
      </x:c>
      <x:c r="K8453" s="26" t="n">
        <x:v>0.3</x:v>
      </x:c>
      <x:c r="L8453" s="22" t="n">
        <x:v>-127.57919999999996</x:v>
      </x:c>
      <x:c r="M8453" t="n">
        <x:v>2017</x:v>
      </x:c>
      <x:c r="N8453" s="20" t="n">
        <x:v>43009</x:v>
      </x:c>
    </x:row>
    <x:row r="8454" ht="18" customHeight="1">
      <x:c r="A8454" t="str">
        <x:v>CA-2017-125451</x:v>
      </x:c>
      <x:c r="B8454" s="18" t="n">
        <x:v>43031</x:v>
      </x:c>
      <x:c r="C8454" t="str">
        <x:v>AH-10075</x:v>
      </x:c>
      <x:c r="D8454" t="str">
        <x:v>Adam Hart</x:v>
      </x:c>
      <x:c r="E8454" t="str">
        <x:v>Corporate</x:v>
      </x:c>
      <x:c r="F8454" t="str">
        <x:v>East</x:v>
      </x:c>
      <x:c r="G8454" t="str">
        <x:v>Office Supplies</x:v>
      </x:c>
      <x:c r="H8454" t="str">
        <x:v>Paper</x:v>
      </x:c>
      <x:c r="I8454" s="22" t="n">
        <x:v>43.44</x:v>
      </x:c>
      <x:c r="J8454" s="24" t="n">
        <x:v>8</x:v>
      </x:c>
      <x:c r="K8454" s="26" t="n">
        <x:v>0</x:v>
      </x:c>
      <x:c r="L8454" s="22" t="n">
        <x:v>21.2856</x:v>
      </x:c>
      <x:c r="M8454" t="n">
        <x:v>2017</x:v>
      </x:c>
      <x:c r="N8454" s="20" t="n">
        <x:v>43009</x:v>
      </x:c>
    </x:row>
    <x:row r="8455" ht="18" customHeight="1">
      <x:c r="A8455" t="str">
        <x:v>CA-2017-125451</x:v>
      </x:c>
      <x:c r="B8455" s="18" t="n">
        <x:v>43031</x:v>
      </x:c>
      <x:c r="C8455" t="str">
        <x:v>AH-10075</x:v>
      </x:c>
      <x:c r="D8455" t="str">
        <x:v>Adam Hart</x:v>
      </x:c>
      <x:c r="E8455" t="str">
        <x:v>Corporate</x:v>
      </x:c>
      <x:c r="F8455" t="str">
        <x:v>East</x:v>
      </x:c>
      <x:c r="G8455" t="str">
        <x:v>Office Supplies</x:v>
      </x:c>
      <x:c r="H8455" t="str">
        <x:v>Appliances</x:v>
      </x:c>
      <x:c r="I8455" s="22" t="n">
        <x:v>2.22</x:v>
      </x:c>
      <x:c r="J8455" s="24" t="n">
        <x:v>1</x:v>
      </x:c>
      <x:c r="K8455" s="26" t="n">
        <x:v>0</x:v>
      </x:c>
      <x:c r="L8455" s="22" t="n">
        <x:v>0.6659999999999999</x:v>
      </x:c>
      <x:c r="M8455" t="n">
        <x:v>2017</x:v>
      </x:c>
      <x:c r="N8455" s="20" t="n">
        <x:v>43009</x:v>
      </x:c>
    </x:row>
    <x:row r="8456" ht="18" customHeight="1">
      <x:c r="A8456" t="str">
        <x:v>CA-2014-131387</x:v>
      </x:c>
      <x:c r="B8456" s="18" t="n">
        <x:v>41757</x:v>
      </x:c>
      <x:c r="C8456" t="str">
        <x:v>AI-10855</x:v>
      </x:c>
      <x:c r="D8456" t="str">
        <x:v>Arianne Irving</x:v>
      </x:c>
      <x:c r="E8456" t="str">
        <x:v>Consumer</x:v>
      </x:c>
      <x:c r="F8456" t="str">
        <x:v>West</x:v>
      </x:c>
      <x:c r="G8456" t="str">
        <x:v>Technology</x:v>
      </x:c>
      <x:c r="H8456" t="str">
        <x:v>Phones</x:v>
      </x:c>
      <x:c r="I8456" s="22" t="n">
        <x:v>1679.96</x:v>
      </x:c>
      <x:c r="J8456" s="24" t="n">
        <x:v>5</x:v>
      </x:c>
      <x:c r="K8456" s="26" t="n">
        <x:v>0.2</x:v>
      </x:c>
      <x:c r="L8456" s="22" t="n">
        <x:v>125.99700000000007</x:v>
      </x:c>
      <x:c r="M8456" t="n">
        <x:v>2014</x:v>
      </x:c>
      <x:c r="N8456" s="20" t="n">
        <x:v>41730</x:v>
      </x:c>
    </x:row>
    <x:row r="8457" ht="18" customHeight="1">
      <x:c r="A8457" t="str">
        <x:v>CA-2016-125087</x:v>
      </x:c>
      <x:c r="B8457" s="18" t="n">
        <x:v>42478</x:v>
      </x:c>
      <x:c r="C8457" t="str">
        <x:v>TH-21115</x:v>
      </x:c>
      <x:c r="D8457" t="str">
        <x:v>Thea Hudgings</x:v>
      </x:c>
      <x:c r="E8457" t="str">
        <x:v>Corporate</x:v>
      </x:c>
      <x:c r="F8457" t="str">
        <x:v>Central</x:v>
      </x:c>
      <x:c r="G8457" t="str">
        <x:v>Furniture</x:v>
      </x:c>
      <x:c r="H8457" t="str">
        <x:v>Chairs</x:v>
      </x:c>
      <x:c r="I8457" s="22" t="n">
        <x:v>344.37199999999996</x:v>
      </x:c>
      <x:c r="J8457" s="24" t="n">
        <x:v>4</x:v>
      </x:c>
      <x:c r="K8457" s="26" t="n">
        <x:v>0.3</x:v>
      </x:c>
      <x:c r="L8457" s="22" t="n">
        <x:v>-93.47240000000002</x:v>
      </x:c>
      <x:c r="M8457" t="n">
        <x:v>2016</x:v>
      </x:c>
      <x:c r="N8457" s="20" t="n">
        <x:v>42461</x:v>
      </x:c>
    </x:row>
    <x:row r="8458" ht="18" customHeight="1">
      <x:c r="A8458" t="str">
        <x:v>CA-2016-125087</x:v>
      </x:c>
      <x:c r="B8458" s="18" t="n">
        <x:v>42478</x:v>
      </x:c>
      <x:c r="C8458" t="str">
        <x:v>TH-21115</x:v>
      </x:c>
      <x:c r="D8458" t="str">
        <x:v>Thea Hudgings</x:v>
      </x:c>
      <x:c r="E8458" t="str">
        <x:v>Corporate</x:v>
      </x:c>
      <x:c r="F8458" t="str">
        <x:v>Central</x:v>
      </x:c>
      <x:c r="G8458" t="str">
        <x:v>Office Supplies</x:v>
      </x:c>
      <x:c r="H8458" t="str">
        <x:v>Storage</x:v>
      </x:c>
      <x:c r="I8458" s="22" t="n">
        <x:v>1554.9360000000001</x:v>
      </x:c>
      <x:c r="J8458" s="24" t="n">
        <x:v>3</x:v>
      </x:c>
      <x:c r="K8458" s="26" t="n">
        <x:v>0.2</x:v>
      </x:c>
      <x:c r="L8458" s="22" t="n">
        <x:v>77.74680000000001</x:v>
      </x:c>
      <x:c r="M8458" t="n">
        <x:v>2016</x:v>
      </x:c>
      <x:c r="N8458" s="20" t="n">
        <x:v>42461</x:v>
      </x:c>
    </x:row>
    <x:row r="8459" ht="18" customHeight="1">
      <x:c r="A8459" t="str">
        <x:v>CA-2016-125087</x:v>
      </x:c>
      <x:c r="B8459" s="18" t="n">
        <x:v>42478</x:v>
      </x:c>
      <x:c r="C8459" t="str">
        <x:v>TH-21115</x:v>
      </x:c>
      <x:c r="D8459" t="str">
        <x:v>Thea Hudgings</x:v>
      </x:c>
      <x:c r="E8459" t="str">
        <x:v>Corporate</x:v>
      </x:c>
      <x:c r="F8459" t="str">
        <x:v>Central</x:v>
      </x:c>
      <x:c r="G8459" t="str">
        <x:v>Furniture</x:v>
      </x:c>
      <x:c r="H8459" t="str">
        <x:v>Furnishings</x:v>
      </x:c>
      <x:c r="I8459" s="22" t="n">
        <x:v>127.88</x:v>
      </x:c>
      <x:c r="J8459" s="24" t="n">
        <x:v>5</x:v>
      </x:c>
      <x:c r="K8459" s="26" t="n">
        <x:v>0.6</x:v>
      </x:c>
      <x:c r="L8459" s="22" t="n">
        <x:v>-67.137</x:v>
      </x:c>
      <x:c r="M8459" t="n">
        <x:v>2016</x:v>
      </x:c>
      <x:c r="N8459" s="20" t="n">
        <x:v>42461</x:v>
      </x:c>
    </x:row>
    <x:row r="8460" ht="18" customHeight="1">
      <x:c r="A8460" t="str">
        <x:v>CA-2016-154081</x:v>
      </x:c>
      <x:c r="B8460" s="18" t="n">
        <x:v>42512</x:v>
      </x:c>
      <x:c r="C8460" t="str">
        <x:v>JE-15610</x:v>
      </x:c>
      <x:c r="D8460" t="str">
        <x:v>Jim Epp</x:v>
      </x:c>
      <x:c r="E8460" t="str">
        <x:v>Corporate</x:v>
      </x:c>
      <x:c r="F8460" t="str">
        <x:v>West</x:v>
      </x:c>
      <x:c r="G8460" t="str">
        <x:v>Technology</x:v>
      </x:c>
      <x:c r="H8460" t="str">
        <x:v>Phones</x:v>
      </x:c>
      <x:c r="I8460" s="22" t="n">
        <x:v>222.38400000000001</x:v>
      </x:c>
      <x:c r="J8460" s="24" t="n">
        <x:v>2</x:v>
      </x:c>
      <x:c r="K8460" s="26" t="n">
        <x:v>0.2</x:v>
      </x:c>
      <x:c r="L8460" s="22" t="n">
        <x:v>22.238400000000013</x:v>
      </x:c>
      <x:c r="M8460" t="n">
        <x:v>2016</x:v>
      </x:c>
      <x:c r="N8460" s="20" t="n">
        <x:v>42491</x:v>
      </x:c>
    </x:row>
    <x:row r="8461" ht="18" customHeight="1">
      <x:c r="A8461" t="str">
        <x:v>US-2017-118556</x:v>
      </x:c>
      <x:c r="B8461" s="18" t="n">
        <x:v>42883</x:v>
      </x:c>
      <x:c r="C8461" t="str">
        <x:v>TH-21235</x:v>
      </x:c>
      <x:c r="D8461" t="str">
        <x:v>Tiffany House</x:v>
      </x:c>
      <x:c r="E8461" t="str">
        <x:v>Corporate</x:v>
      </x:c>
      <x:c r="F8461" t="str">
        <x:v>Central</x:v>
      </x:c>
      <x:c r="G8461" t="str">
        <x:v>Furniture</x:v>
      </x:c>
      <x:c r="H8461" t="str">
        <x:v>Chairs</x:v>
      </x:c>
      <x:c r="I8461" s="22" t="n">
        <x:v>106.869</x:v>
      </x:c>
      <x:c r="J8461" s="24" t="n">
        <x:v>3</x:v>
      </x:c>
      <x:c r="K8461" s="26" t="n">
        <x:v>0.3</x:v>
      </x:c>
      <x:c r="L8461" s="22" t="n">
        <x:v>-29.007299999999994</x:v>
      </x:c>
      <x:c r="M8461" t="n">
        <x:v>2017</x:v>
      </x:c>
      <x:c r="N8461" s="20" t="n">
        <x:v>42856</x:v>
      </x:c>
    </x:row>
    <x:row r="8462" ht="18" customHeight="1">
      <x:c r="A8462" t="str">
        <x:v>US-2017-118556</x:v>
      </x:c>
      <x:c r="B8462" s="18" t="n">
        <x:v>42883</x:v>
      </x:c>
      <x:c r="C8462" t="str">
        <x:v>TH-21235</x:v>
      </x:c>
      <x:c r="D8462" t="str">
        <x:v>Tiffany House</x:v>
      </x:c>
      <x:c r="E8462" t="str">
        <x:v>Corporate</x:v>
      </x:c>
      <x:c r="F8462" t="str">
        <x:v>Central</x:v>
      </x:c>
      <x:c r="G8462" t="str">
        <x:v>Office Supplies</x:v>
      </x:c>
      <x:c r="H8462" t="str">
        <x:v>Binders</x:v>
      </x:c>
      <x:c r="I8462" s="22" t="n">
        <x:v>3.563999999999999</x:v>
      </x:c>
      <x:c r="J8462" s="24" t="n">
        <x:v>3</x:v>
      </x:c>
      <x:c r="K8462" s="26" t="n">
        <x:v>0.8</x:v>
      </x:c>
      <x:c r="L8462" s="22" t="n">
        <x:v>-6.237000000000002</x:v>
      </x:c>
      <x:c r="M8462" t="n">
        <x:v>2017</x:v>
      </x:c>
      <x:c r="N8462" s="20" t="n">
        <x:v>42856</x:v>
      </x:c>
    </x:row>
    <x:row r="8463" ht="18" customHeight="1">
      <x:c r="A8463" t="str">
        <x:v>CA-2014-126200</x:v>
      </x:c>
      <x:c r="B8463" s="18" t="n">
        <x:v>41876</x:v>
      </x:c>
      <x:c r="C8463" t="str">
        <x:v>JE-15715</x:v>
      </x:c>
      <x:c r="D8463" t="str">
        <x:v>Joe Elijah</x:v>
      </x:c>
      <x:c r="E8463" t="str">
        <x:v>Consumer</x:v>
      </x:c>
      <x:c r="F8463" t="str">
        <x:v>Central</x:v>
      </x:c>
      <x:c r="G8463" t="str">
        <x:v>Office Supplies</x:v>
      </x:c>
      <x:c r="H8463" t="str">
        <x:v>Binders</x:v>
      </x:c>
      <x:c r="I8463" s="22" t="n">
        <x:v>25.679999999999993</x:v>
      </x:c>
      <x:c r="J8463" s="24" t="n">
        <x:v>3</x:v>
      </x:c>
      <x:c r="K8463" s="26" t="n">
        <x:v>0.8</x:v>
      </x:c>
      <x:c r="L8463" s="22" t="n">
        <x:v>-39.804</x:v>
      </x:c>
      <x:c r="M8463" t="n">
        <x:v>2014</x:v>
      </x:c>
      <x:c r="N8463" s="20" t="n">
        <x:v>41852</x:v>
      </x:c>
    </x:row>
    <x:row r="8464" ht="18" customHeight="1">
      <x:c r="A8464" t="str">
        <x:v>CA-2014-126200</x:v>
      </x:c>
      <x:c r="B8464" s="18" t="n">
        <x:v>41876</x:v>
      </x:c>
      <x:c r="C8464" t="str">
        <x:v>JE-15715</x:v>
      </x:c>
      <x:c r="D8464" t="str">
        <x:v>Joe Elijah</x:v>
      </x:c>
      <x:c r="E8464" t="str">
        <x:v>Consumer</x:v>
      </x:c>
      <x:c r="F8464" t="str">
        <x:v>Central</x:v>
      </x:c>
      <x:c r="G8464" t="str">
        <x:v>Office Supplies</x:v>
      </x:c>
      <x:c r="H8464" t="str">
        <x:v>Binders</x:v>
      </x:c>
      <x:c r="I8464" s="22" t="n">
        <x:v>12.383999999999997</x:v>
      </x:c>
      <x:c r="J8464" s="24" t="n">
        <x:v>3</x:v>
      </x:c>
      <x:c r="K8464" s="26" t="n">
        <x:v>0.8</x:v>
      </x:c>
      <x:c r="L8464" s="22" t="n">
        <x:v>-19.814400000000003</x:v>
      </x:c>
      <x:c r="M8464" t="n">
        <x:v>2014</x:v>
      </x:c>
      <x:c r="N8464" s="20" t="n">
        <x:v>41852</x:v>
      </x:c>
    </x:row>
    <x:row r="8465" ht="18" customHeight="1">
      <x:c r="A8465" t="str">
        <x:v>CA-2014-146500</x:v>
      </x:c>
      <x:c r="B8465" s="18" t="n">
        <x:v>41881</x:v>
      </x:c>
      <x:c r="C8465" t="str">
        <x:v>AT-10735</x:v>
      </x:c>
      <x:c r="D8465" t="str">
        <x:v>Annie Thurman</x:v>
      </x:c>
      <x:c r="E8465" t="str">
        <x:v>Consumer</x:v>
      </x:c>
      <x:c r="F8465" t="str">
        <x:v>East</x:v>
      </x:c>
      <x:c r="G8465" t="str">
        <x:v>Office Supplies</x:v>
      </x:c>
      <x:c r="H8465" t="str">
        <x:v>Binders</x:v>
      </x:c>
      <x:c r="I8465" s="22" t="n">
        <x:v>25.299999999999997</x:v>
      </x:c>
      <x:c r="J8465" s="24" t="n">
        <x:v>5</x:v>
      </x:c>
      <x:c r="K8465" s="26" t="n">
        <x:v>0</x:v>
      </x:c>
      <x:c r="L8465" s="22" t="n">
        <x:v>11.890999999999998</x:v>
      </x:c>
      <x:c r="M8465" t="n">
        <x:v>2014</x:v>
      </x:c>
      <x:c r="N8465" s="20" t="n">
        <x:v>41852</x:v>
      </x:c>
    </x:row>
    <x:row r="8466" ht="18" customHeight="1">
      <x:c r="A8466" t="str">
        <x:v>CA-2014-146500</x:v>
      </x:c>
      <x:c r="B8466" s="18" t="n">
        <x:v>41881</x:v>
      </x:c>
      <x:c r="C8466" t="str">
        <x:v>AT-10735</x:v>
      </x:c>
      <x:c r="D8466" t="str">
        <x:v>Annie Thurman</x:v>
      </x:c>
      <x:c r="E8466" t="str">
        <x:v>Consumer</x:v>
      </x:c>
      <x:c r="F8466" t="str">
        <x:v>East</x:v>
      </x:c>
      <x:c r="G8466" t="str">
        <x:v>Office Supplies</x:v>
      </x:c>
      <x:c r="H8466" t="str">
        <x:v>Storage</x:v>
      </x:c>
      <x:c r="I8466" s="22" t="n">
        <x:v>95.94</x:v>
      </x:c>
      <x:c r="J8466" s="24" t="n">
        <x:v>3</x:v>
      </x:c>
      <x:c r="K8466" s="26" t="n">
        <x:v>0</x:v>
      </x:c>
      <x:c r="L8466" s="22" t="n">
        <x:v>9.594000000000001</x:v>
      </x:c>
      <x:c r="M8466" t="n">
        <x:v>2014</x:v>
      </x:c>
      <x:c r="N8466" s="20" t="n">
        <x:v>41852</x:v>
      </x:c>
    </x:row>
    <x:row r="8467" ht="18" customHeight="1">
      <x:c r="A8467" t="str">
        <x:v>CA-2015-169537</x:v>
      </x:c>
      <x:c r="B8467" s="18" t="n">
        <x:v>42250</x:v>
      </x:c>
      <x:c r="C8467" t="str">
        <x:v>JH-15820</x:v>
      </x:c>
      <x:c r="D8467" t="str">
        <x:v>John Huston</x:v>
      </x:c>
      <x:c r="E8467" t="str">
        <x:v>Consumer</x:v>
      </x:c>
      <x:c r="F8467" t="str">
        <x:v>Central</x:v>
      </x:c>
      <x:c r="G8467" t="str">
        <x:v>Office Supplies</x:v>
      </x:c>
      <x:c r="H8467" t="str">
        <x:v>Labels</x:v>
      </x:c>
      <x:c r="I8467" s="22" t="n">
        <x:v>7.5</x:v>
      </x:c>
      <x:c r="J8467" s="24" t="n">
        <x:v>2</x:v>
      </x:c>
      <x:c r="K8467" s="26" t="n">
        <x:v>0</x:v>
      </x:c>
      <x:c r="L8467" s="22" t="n">
        <x:v>3.5999999999999996</x:v>
      </x:c>
      <x:c r="M8467" t="n">
        <x:v>2015</x:v>
      </x:c>
      <x:c r="N8467" s="20" t="n">
        <x:v>42248</x:v>
      </x:c>
    </x:row>
    <x:row r="8468" ht="18" customHeight="1">
      <x:c r="A8468" t="str">
        <x:v>CA-2014-100881</x:v>
      </x:c>
      <x:c r="B8468" s="18" t="n">
        <x:v>41726</x:v>
      </x:c>
      <x:c r="C8468" t="str">
        <x:v>DR-12940</x:v>
      </x:c>
      <x:c r="D8468" t="str">
        <x:v>Daniel Raglin</x:v>
      </x:c>
      <x:c r="E8468" t="str">
        <x:v>Home Office</x:v>
      </x:c>
      <x:c r="F8468" t="str">
        <x:v>West</x:v>
      </x:c>
      <x:c r="G8468" t="str">
        <x:v>Technology</x:v>
      </x:c>
      <x:c r="H8468" t="str">
        <x:v>Phones</x:v>
      </x:c>
      <x:c r="I8468" s="22" t="n">
        <x:v>302.376</x:v>
      </x:c>
      <x:c r="J8468" s="24" t="n">
        <x:v>3</x:v>
      </x:c>
      <x:c r="K8468" s="26" t="n">
        <x:v>0.2</x:v>
      </x:c>
      <x:c r="L8468" s="22" t="n">
        <x:v>22.678200000000018</x:v>
      </x:c>
      <x:c r="M8468" t="n">
        <x:v>2014</x:v>
      </x:c>
      <x:c r="N8468" s="20" t="n">
        <x:v>41699</x:v>
      </x:c>
    </x:row>
    <x:row r="8469" ht="18" customHeight="1">
      <x:c r="A8469" t="str">
        <x:v>CA-2015-144043</x:v>
      </x:c>
      <x:c r="B8469" s="18" t="n">
        <x:v>42134</x:v>
      </x:c>
      <x:c r="C8469" t="str">
        <x:v>AB-10165</x:v>
      </x:c>
      <x:c r="D8469" t="str">
        <x:v>Alan Barnes</x:v>
      </x:c>
      <x:c r="E8469" t="str">
        <x:v>Consumer</x:v>
      </x:c>
      <x:c r="F8469" t="str">
        <x:v>West</x:v>
      </x:c>
      <x:c r="G8469" t="str">
        <x:v>Technology</x:v>
      </x:c>
      <x:c r="H8469" t="str">
        <x:v>Accessories</x:v>
      </x:c>
      <x:c r="I8469" s="22" t="n">
        <x:v>46.688</x:v>
      </x:c>
      <x:c r="J8469" s="24" t="n">
        <x:v>4</x:v>
      </x:c>
      <x:c r="K8469" s="26" t="n">
        <x:v>0.2</x:v>
      </x:c>
      <x:c r="L8469" s="22" t="n">
        <x:v>-2.918000000000003</x:v>
      </x:c>
      <x:c r="M8469" t="n">
        <x:v>2015</x:v>
      </x:c>
      <x:c r="N8469" s="20" t="n">
        <x:v>42125</x:v>
      </x:c>
    </x:row>
    <x:row r="8470" ht="18" customHeight="1">
      <x:c r="A8470" t="str">
        <x:v>CA-2015-116512</x:v>
      </x:c>
      <x:c r="B8470" s="18" t="n">
        <x:v>42103</x:v>
      </x:c>
      <x:c r="C8470" t="str">
        <x:v>MC-18100</x:v>
      </x:c>
      <x:c r="D8470" t="str">
        <x:v>Mick Crebagga</x:v>
      </x:c>
      <x:c r="E8470" t="str">
        <x:v>Consumer</x:v>
      </x:c>
      <x:c r="F8470" t="str">
        <x:v>East</x:v>
      </x:c>
      <x:c r="G8470" t="str">
        <x:v>Office Supplies</x:v>
      </x:c>
      <x:c r="H8470" t="str">
        <x:v>Storage</x:v>
      </x:c>
      <x:c r="I8470" s="22" t="n">
        <x:v>17.94</x:v>
      </x:c>
      <x:c r="J8470" s="24" t="n">
        <x:v>3</x:v>
      </x:c>
      <x:c r="K8470" s="26" t="n">
        <x:v>0</x:v>
      </x:c>
      <x:c r="L8470" s="22" t="n">
        <x:v>3.0497999999999985</x:v>
      </x:c>
      <x:c r="M8470" t="n">
        <x:v>2015</x:v>
      </x:c>
      <x:c r="N8470" s="20" t="n">
        <x:v>42095</x:v>
      </x:c>
    </x:row>
    <x:row r="8471" ht="18" customHeight="1">
      <x:c r="A8471" t="str">
        <x:v>CA-2015-101000</x:v>
      </x:c>
      <x:c r="B8471" s="18" t="n">
        <x:v>42103</x:v>
      </x:c>
      <x:c r="C8471" t="str">
        <x:v>IG-15085</x:v>
      </x:c>
      <x:c r="D8471" t="str">
        <x:v>Ivan Gibson</x:v>
      </x:c>
      <x:c r="E8471" t="str">
        <x:v>Consumer</x:v>
      </x:c>
      <x:c r="F8471" t="str">
        <x:v>East</x:v>
      </x:c>
      <x:c r="G8471" t="str">
        <x:v>Office Supplies</x:v>
      </x:c>
      <x:c r="H8471" t="str">
        <x:v>Appliances</x:v>
      </x:c>
      <x:c r="I8471" s="22" t="n">
        <x:v>370.14</x:v>
      </x:c>
      <x:c r="J8471" s="24" t="n">
        <x:v>3</x:v>
      </x:c>
      <x:c r="K8471" s="26" t="n">
        <x:v>0</x:v>
      </x:c>
      <x:c r="L8471" s="22" t="n">
        <x:v>144.3546</x:v>
      </x:c>
      <x:c r="M8471" t="n">
        <x:v>2015</x:v>
      </x:c>
      <x:c r="N8471" s="20" t="n">
        <x:v>42095</x:v>
      </x:c>
    </x:row>
    <x:row r="8472" ht="18" customHeight="1">
      <x:c r="A8472" t="str">
        <x:v>CA-2016-168557</x:v>
      </x:c>
      <x:c r="B8472" s="18" t="n">
        <x:v>42632</x:v>
      </x:c>
      <x:c r="C8472" t="str">
        <x:v>FH-14275</x:v>
      </x:c>
      <x:c r="D8472" t="str">
        <x:v>Frank Hawley</x:v>
      </x:c>
      <x:c r="E8472" t="str">
        <x:v>Corporate</x:v>
      </x:c>
      <x:c r="F8472" t="str">
        <x:v>West</x:v>
      </x:c>
      <x:c r="G8472" t="str">
        <x:v>Office Supplies</x:v>
      </x:c>
      <x:c r="H8472" t="str">
        <x:v>Binders</x:v>
      </x:c>
      <x:c r="I8472" s="22" t="n">
        <x:v>8.928</x:v>
      </x:c>
      <x:c r="J8472" s="24" t="n">
        <x:v>2</x:v>
      </x:c>
      <x:c r="K8472" s="26" t="n">
        <x:v>0.2</x:v>
      </x:c>
      <x:c r="L8472" s="22" t="n">
        <x:v>3.1247999999999996</x:v>
      </x:c>
      <x:c r="M8472" t="n">
        <x:v>2016</x:v>
      </x:c>
      <x:c r="N8472" s="20" t="n">
        <x:v>42614</x:v>
      </x:c>
    </x:row>
    <x:row r="8473" ht="18" customHeight="1">
      <x:c r="A8473" t="str">
        <x:v>US-2016-164196</x:v>
      </x:c>
      <x:c r="B8473" s="18" t="n">
        <x:v>42685</x:v>
      </x:c>
      <x:c r="C8473" t="str">
        <x:v>AS-10285</x:v>
      </x:c>
      <x:c r="D8473" t="str">
        <x:v>Alejandro Savely</x:v>
      </x:c>
      <x:c r="E8473" t="str">
        <x:v>Corporate</x:v>
      </x:c>
      <x:c r="F8473" t="str">
        <x:v>Central</x:v>
      </x:c>
      <x:c r="G8473" t="str">
        <x:v>Furniture</x:v>
      </x:c>
      <x:c r="H8473" t="str">
        <x:v>Tables</x:v>
      </x:c>
      <x:c r="I8473" s="22" t="n">
        <x:v>2678.94</x:v>
      </x:c>
      <x:c r="J8473" s="24" t="n">
        <x:v>6</x:v>
      </x:c>
      <x:c r="K8473" s="26" t="n">
        <x:v>0</x:v>
      </x:c>
      <x:c r="L8473" s="22" t="n">
        <x:v>241.1046</x:v>
      </x:c>
      <x:c r="M8473" t="n">
        <x:v>2016</x:v>
      </x:c>
      <x:c r="N8473" s="20" t="n">
        <x:v>42675</x:v>
      </x:c>
    </x:row>
    <x:row r="8474" ht="18" customHeight="1">
      <x:c r="A8474" t="str">
        <x:v>US-2017-132031</x:v>
      </x:c>
      <x:c r="B8474" s="18" t="n">
        <x:v>42848</x:v>
      </x:c>
      <x:c r="C8474" t="str">
        <x:v>PN-18775</x:v>
      </x:c>
      <x:c r="D8474" t="str">
        <x:v>Parhena Norris</x:v>
      </x:c>
      <x:c r="E8474" t="str">
        <x:v>Home Office</x:v>
      </x:c>
      <x:c r="F8474" t="str">
        <x:v>South</x:v>
      </x:c>
      <x:c r="G8474" t="str">
        <x:v>Furniture</x:v>
      </x:c>
      <x:c r="H8474" t="str">
        <x:v>Bookcases</x:v>
      </x:c>
      <x:c r="I8474" s="22" t="n">
        <x:v>387.136</x:v>
      </x:c>
      <x:c r="J8474" s="24" t="n">
        <x:v>4</x:v>
      </x:c>
      <x:c r="K8474" s="26" t="n">
        <x:v>0.2</x:v>
      </x:c>
      <x:c r="L8474" s="22" t="n">
        <x:v>-14.51760000000003</x:v>
      </x:c>
      <x:c r="M8474" t="n">
        <x:v>2017</x:v>
      </x:c>
      <x:c r="N8474" s="20" t="n">
        <x:v>42826</x:v>
      </x:c>
    </x:row>
    <x:row r="8475" ht="18" customHeight="1">
      <x:c r="A8475" t="str">
        <x:v>US-2017-132031</x:v>
      </x:c>
      <x:c r="B8475" s="18" t="n">
        <x:v>42848</x:v>
      </x:c>
      <x:c r="C8475" t="str">
        <x:v>PN-18775</x:v>
      </x:c>
      <x:c r="D8475" t="str">
        <x:v>Parhena Norris</x:v>
      </x:c>
      <x:c r="E8475" t="str">
        <x:v>Home Office</x:v>
      </x:c>
      <x:c r="F8475" t="str">
        <x:v>South</x:v>
      </x:c>
      <x:c r="G8475" t="str">
        <x:v>Technology</x:v>
      </x:c>
      <x:c r="H8475" t="str">
        <x:v>Accessories</x:v>
      </x:c>
      <x:c r="I8475" s="22" t="n">
        <x:v>45.408</x:v>
      </x:c>
      <x:c r="J8475" s="24" t="n">
        <x:v>2</x:v>
      </x:c>
      <x:c r="K8475" s="26" t="n">
        <x:v>0.2</x:v>
      </x:c>
      <x:c r="L8475" s="22" t="n">
        <x:v>11.919599999999999</x:v>
      </x:c>
      <x:c r="M8475" t="n">
        <x:v>2017</x:v>
      </x:c>
      <x:c r="N8475" s="20" t="n">
        <x:v>42826</x:v>
      </x:c>
    </x:row>
    <x:row r="8476" ht="18" customHeight="1">
      <x:c r="A8476" t="str">
        <x:v>US-2017-132031</x:v>
      </x:c>
      <x:c r="B8476" s="18" t="n">
        <x:v>42848</x:v>
      </x:c>
      <x:c r="C8476" t="str">
        <x:v>PN-18775</x:v>
      </x:c>
      <x:c r="D8476" t="str">
        <x:v>Parhena Norris</x:v>
      </x:c>
      <x:c r="E8476" t="str">
        <x:v>Home Office</x:v>
      </x:c>
      <x:c r="F8476" t="str">
        <x:v>South</x:v>
      </x:c>
      <x:c r="G8476" t="str">
        <x:v>Furniture</x:v>
      </x:c>
      <x:c r="H8476" t="str">
        <x:v>Furnishings</x:v>
      </x:c>
      <x:c r="I8476" s="22" t="n">
        <x:v>77.952</x:v>
      </x:c>
      <x:c r="J8476" s="24" t="n">
        <x:v>3</x:v>
      </x:c>
      <x:c r="K8476" s="26" t="n">
        <x:v>0.2</x:v>
      </x:c>
      <x:c r="L8476" s="22" t="n">
        <x:v>-11.692800000000005</x:v>
      </x:c>
      <x:c r="M8476" t="n">
        <x:v>2017</x:v>
      </x:c>
      <x:c r="N8476" s="20" t="n">
        <x:v>42826</x:v>
      </x:c>
    </x:row>
    <x:row r="8477" ht="18" customHeight="1">
      <x:c r="A8477" t="str">
        <x:v>US-2017-132031</x:v>
      </x:c>
      <x:c r="B8477" s="18" t="n">
        <x:v>42848</x:v>
      </x:c>
      <x:c r="C8477" t="str">
        <x:v>PN-18775</x:v>
      </x:c>
      <x:c r="D8477" t="str">
        <x:v>Parhena Norris</x:v>
      </x:c>
      <x:c r="E8477" t="str">
        <x:v>Home Office</x:v>
      </x:c>
      <x:c r="F8477" t="str">
        <x:v>South</x:v>
      </x:c>
      <x:c r="G8477" t="str">
        <x:v>Office Supplies</x:v>
      </x:c>
      <x:c r="H8477" t="str">
        <x:v>Labels</x:v>
      </x:c>
      <x:c r="I8477" s="22" t="n">
        <x:v>3</x:v>
      </x:c>
      <x:c r="J8477" s="24" t="n">
        <x:v>1</x:v>
      </x:c>
      <x:c r="K8477" s="26" t="n">
        <x:v>0.2</x:v>
      </x:c>
      <x:c r="L8477" s="22" t="n">
        <x:v>1.0499999999999998</x:v>
      </x:c>
      <x:c r="M8477" t="n">
        <x:v>2017</x:v>
      </x:c>
      <x:c r="N8477" s="20" t="n">
        <x:v>42826</x:v>
      </x:c>
    </x:row>
    <x:row r="8478" ht="18" customHeight="1">
      <x:c r="A8478" t="str">
        <x:v>CA-2015-169733</x:v>
      </x:c>
      <x:c r="B8478" s="18" t="n">
        <x:v>42299</x:v>
      </x:c>
      <x:c r="C8478" t="str">
        <x:v>GM-14500</x:v>
      </x:c>
      <x:c r="D8478" t="str">
        <x:v>Gene McClure</x:v>
      </x:c>
      <x:c r="E8478" t="str">
        <x:v>Consumer</x:v>
      </x:c>
      <x:c r="F8478" t="str">
        <x:v>South</x:v>
      </x:c>
      <x:c r="G8478" t="str">
        <x:v>Office Supplies</x:v>
      </x:c>
      <x:c r="H8478" t="str">
        <x:v>Storage</x:v>
      </x:c>
      <x:c r="I8478" s="22" t="n">
        <x:v>9.952</x:v>
      </x:c>
      <x:c r="J8478" s="24" t="n">
        <x:v>1</x:v>
      </x:c>
      <x:c r="K8478" s="26" t="n">
        <x:v>0.2</x:v>
      </x:c>
      <x:c r="L8478" s="22" t="n">
        <x:v>0.9952000000000001</x:v>
      </x:c>
      <x:c r="M8478" t="n">
        <x:v>2015</x:v>
      </x:c>
      <x:c r="N8478" s="20" t="n">
        <x:v>42278</x:v>
      </x:c>
    </x:row>
    <x:row r="8479" ht="18" customHeight="1">
      <x:c r="A8479" t="str">
        <x:v>CA-2017-169404</x:v>
      </x:c>
      <x:c r="B8479" s="18" t="n">
        <x:v>42834</x:v>
      </x:c>
      <x:c r="C8479" t="str">
        <x:v>NC-18625</x:v>
      </x:c>
      <x:c r="D8479" t="str">
        <x:v>Noah Childs</x:v>
      </x:c>
      <x:c r="E8479" t="str">
        <x:v>Corporate</x:v>
      </x:c>
      <x:c r="F8479" t="str">
        <x:v>East</x:v>
      </x:c>
      <x:c r="G8479" t="str">
        <x:v>Office Supplies</x:v>
      </x:c>
      <x:c r="H8479" t="str">
        <x:v>Binders</x:v>
      </x:c>
      <x:c r="I8479" s="22" t="n">
        <x:v>37.896</x:v>
      </x:c>
      <x:c r="J8479" s="24" t="n">
        <x:v>4</x:v>
      </x:c>
      <x:c r="K8479" s="26" t="n">
        <x:v>0.7</x:v>
      </x:c>
      <x:c r="L8479" s="22" t="n">
        <x:v>-29.053600000000003</x:v>
      </x:c>
      <x:c r="M8479" t="n">
        <x:v>2017</x:v>
      </x:c>
      <x:c r="N8479" s="20" t="n">
        <x:v>42826</x:v>
      </x:c>
    </x:row>
    <x:row r="8480" ht="18" customHeight="1">
      <x:c r="A8480" t="str">
        <x:v>CA-2017-169404</x:v>
      </x:c>
      <x:c r="B8480" s="18" t="n">
        <x:v>42834</x:v>
      </x:c>
      <x:c r="C8480" t="str">
        <x:v>NC-18625</x:v>
      </x:c>
      <x:c r="D8480" t="str">
        <x:v>Noah Childs</x:v>
      </x:c>
      <x:c r="E8480" t="str">
        <x:v>Corporate</x:v>
      </x:c>
      <x:c r="F8480" t="str">
        <x:v>East</x:v>
      </x:c>
      <x:c r="G8480" t="str">
        <x:v>Office Supplies</x:v>
      </x:c>
      <x:c r="H8480" t="str">
        <x:v>Paper</x:v>
      </x:c>
      <x:c r="I8480" s="22" t="n">
        <x:v>65.584</x:v>
      </x:c>
      <x:c r="J8480" s="24" t="n">
        <x:v>2</x:v>
      </x:c>
      <x:c r="K8480" s="26" t="n">
        <x:v>0.2</x:v>
      </x:c>
      <x:c r="L8480" s="22" t="n">
        <x:v>23.7742</x:v>
      </x:c>
      <x:c r="M8480" t="n">
        <x:v>2017</x:v>
      </x:c>
      <x:c r="N8480" s="20" t="n">
        <x:v>42826</x:v>
      </x:c>
    </x:row>
    <x:row r="8481" ht="18" customHeight="1">
      <x:c r="A8481" t="str">
        <x:v>CA-2017-134880</x:v>
      </x:c>
      <x:c r="B8481" s="18" t="n">
        <x:v>43035</x:v>
      </x:c>
      <x:c r="C8481" t="str">
        <x:v>TW-21025</x:v>
      </x:c>
      <x:c r="D8481" t="str">
        <x:v>Tamara Willingham</x:v>
      </x:c>
      <x:c r="E8481" t="str">
        <x:v>Home Office</x:v>
      </x:c>
      <x:c r="F8481" t="str">
        <x:v>West</x:v>
      </x:c>
      <x:c r="G8481" t="str">
        <x:v>Office Supplies</x:v>
      </x:c>
      <x:c r="H8481" t="str">
        <x:v>Paper</x:v>
      </x:c>
      <x:c r="I8481" s="22" t="n">
        <x:v>44.784</x:v>
      </x:c>
      <x:c r="J8481" s="24" t="n">
        <x:v>1</x:v>
      </x:c>
      <x:c r="K8481" s="26" t="n">
        <x:v>0.2</x:v>
      </x:c>
      <x:c r="L8481" s="22" t="n">
        <x:v>16.2342</x:v>
      </x:c>
      <x:c r="M8481" t="n">
        <x:v>2017</x:v>
      </x:c>
      <x:c r="N8481" s="20" t="n">
        <x:v>43009</x:v>
      </x:c>
    </x:row>
    <x:row r="8482" ht="18" customHeight="1">
      <x:c r="A8482" t="str">
        <x:v>CA-2015-145758</x:v>
      </x:c>
      <x:c r="B8482" s="18" t="n">
        <x:v>42307</x:v>
      </x:c>
      <x:c r="C8482" t="str">
        <x:v>BF-11020</x:v>
      </x:c>
      <x:c r="D8482" t="str">
        <x:v>Barry Französisch</x:v>
      </x:c>
      <x:c r="E8482" t="str">
        <x:v>Corporate</x:v>
      </x:c>
      <x:c r="F8482" t="str">
        <x:v>East</x:v>
      </x:c>
      <x:c r="G8482" t="str">
        <x:v>Technology</x:v>
      </x:c>
      <x:c r="H8482" t="str">
        <x:v>Machines</x:v>
      </x:c>
      <x:c r="I8482" s="22" t="n">
        <x:v>1035.8</x:v>
      </x:c>
      <x:c r="J8482" s="24" t="n">
        <x:v>4</x:v>
      </x:c>
      <x:c r="K8482" s="26" t="n">
        <x:v>0</x:v>
      </x:c>
      <x:c r="L8482" s="22" t="n">
        <x:v>269.308</x:v>
      </x:c>
      <x:c r="M8482" t="n">
        <x:v>2015</x:v>
      </x:c>
      <x:c r="N8482" s="20" t="n">
        <x:v>42278</x:v>
      </x:c>
    </x:row>
    <x:row r="8483" ht="18" customHeight="1">
      <x:c r="A8483" t="str">
        <x:v>CA-2017-158736</x:v>
      </x:c>
      <x:c r="B8483" s="18" t="n">
        <x:v>43087</x:v>
      </x:c>
      <x:c r="C8483" t="str">
        <x:v>TT-21460</x:v>
      </x:c>
      <x:c r="D8483" t="str">
        <x:v>Tonja Turnell</x:v>
      </x:c>
      <x:c r="E8483" t="str">
        <x:v>Home Office</x:v>
      </x:c>
      <x:c r="F8483" t="str">
        <x:v>West</x:v>
      </x:c>
      <x:c r="G8483" t="str">
        <x:v>Office Supplies</x:v>
      </x:c>
      <x:c r="H8483" t="str">
        <x:v>Art</x:v>
      </x:c>
      <x:c r="I8483" s="22" t="n">
        <x:v>5.76</x:v>
      </x:c>
      <x:c r="J8483" s="24" t="n">
        <x:v>2</x:v>
      </x:c>
      <x:c r="K8483" s="26" t="n">
        <x:v>0</x:v>
      </x:c>
      <x:c r="L8483" s="22" t="n">
        <x:v>1.6703999999999999</x:v>
      </x:c>
      <x:c r="M8483" t="n">
        <x:v>2017</x:v>
      </x:c>
      <x:c r="N8483" s="20" t="n">
        <x:v>43070</x:v>
      </x:c>
    </x:row>
    <x:row r="8484" ht="18" customHeight="1">
      <x:c r="A8484" t="str">
        <x:v>US-2016-119270</x:v>
      </x:c>
      <x:c r="B8484" s="18" t="n">
        <x:v>42441</x:v>
      </x:c>
      <x:c r="C8484" t="str">
        <x:v>SW-20245</x:v>
      </x:c>
      <x:c r="D8484" t="str">
        <x:v>Scot Wooten</x:v>
      </x:c>
      <x:c r="E8484" t="str">
        <x:v>Consumer</x:v>
      </x:c>
      <x:c r="F8484" t="str">
        <x:v>West</x:v>
      </x:c>
      <x:c r="G8484" t="str">
        <x:v>Office Supplies</x:v>
      </x:c>
      <x:c r="H8484" t="str">
        <x:v>Paper</x:v>
      </x:c>
      <x:c r="I8484" s="22" t="n">
        <x:v>19.98</x:v>
      </x:c>
      <x:c r="J8484" s="24" t="n">
        <x:v>2</x:v>
      </x:c>
      <x:c r="K8484" s="26" t="n">
        <x:v>0</x:v>
      </x:c>
      <x:c r="L8484" s="22" t="n">
        <x:v>8.991</x:v>
      </x:c>
      <x:c r="M8484" t="n">
        <x:v>2016</x:v>
      </x:c>
      <x:c r="N8484" s="20" t="n">
        <x:v>42430</x:v>
      </x:c>
    </x:row>
    <x:row r="8485" ht="18" customHeight="1">
      <x:c r="A8485" t="str">
        <x:v>CA-2014-109890</x:v>
      </x:c>
      <x:c r="B8485" s="18" t="n">
        <x:v>41841</x:v>
      </x:c>
      <x:c r="C8485" t="str">
        <x:v>PG-18820</x:v>
      </x:c>
      <x:c r="D8485" t="str">
        <x:v>Patrick Gardner</x:v>
      </x:c>
      <x:c r="E8485" t="str">
        <x:v>Consumer</x:v>
      </x:c>
      <x:c r="F8485" t="str">
        <x:v>Central</x:v>
      </x:c>
      <x:c r="G8485" t="str">
        <x:v>Technology</x:v>
      </x:c>
      <x:c r="H8485" t="str">
        <x:v>Phones</x:v>
      </x:c>
      <x:c r="I8485" s="22" t="n">
        <x:v>35.98</x:v>
      </x:c>
      <x:c r="J8485" s="24" t="n">
        <x:v>2</x:v>
      </x:c>
      <x:c r="K8485" s="26" t="n">
        <x:v>0</x:v>
      </x:c>
      <x:c r="L8485" s="22" t="n">
        <x:v>10.0744</x:v>
      </x:c>
      <x:c r="M8485" t="n">
        <x:v>2014</x:v>
      </x:c>
      <x:c r="N8485" s="20" t="n">
        <x:v>41821</x:v>
      </x:c>
    </x:row>
    <x:row r="8486" ht="18" customHeight="1">
      <x:c r="A8486" t="str">
        <x:v>CA-2016-138583</x:v>
      </x:c>
      <x:c r="B8486" s="18" t="n">
        <x:v>42514</x:v>
      </x:c>
      <x:c r="C8486" t="str">
        <x:v>DP-13390</x:v>
      </x:c>
      <x:c r="D8486" t="str">
        <x:v>Dennis Pardue</x:v>
      </x:c>
      <x:c r="E8486" t="str">
        <x:v>Home Office</x:v>
      </x:c>
      <x:c r="F8486" t="str">
        <x:v>East</x:v>
      </x:c>
      <x:c r="G8486" t="str">
        <x:v>Office Supplies</x:v>
      </x:c>
      <x:c r="H8486" t="str">
        <x:v>Art</x:v>
      </x:c>
      <x:c r="I8486" s="22" t="n">
        <x:v>16.656000000000002</x:v>
      </x:c>
      <x:c r="J8486" s="24" t="n">
        <x:v>3</x:v>
      </x:c>
      <x:c r="K8486" s="26" t="n">
        <x:v>0.2</x:v>
      </x:c>
      <x:c r="L8486" s="22" t="n">
        <x:v>3.3312</x:v>
      </x:c>
      <x:c r="M8486" t="n">
        <x:v>2016</x:v>
      </x:c>
      <x:c r="N8486" s="20" t="n">
        <x:v>42491</x:v>
      </x:c>
    </x:row>
    <x:row r="8487" ht="18" customHeight="1">
      <x:c r="A8487" t="str">
        <x:v>US-2017-118535</x:v>
      </x:c>
      <x:c r="B8487" s="18" t="n">
        <x:v>42777</x:v>
      </x:c>
      <x:c r="C8487" t="str">
        <x:v>DJ-13510</x:v>
      </x:c>
      <x:c r="D8487" t="str">
        <x:v>Don Jones</x:v>
      </x:c>
      <x:c r="E8487" t="str">
        <x:v>Corporate</x:v>
      </x:c>
      <x:c r="F8487" t="str">
        <x:v>East</x:v>
      </x:c>
      <x:c r="G8487" t="str">
        <x:v>Office Supplies</x:v>
      </x:c>
      <x:c r="H8487" t="str">
        <x:v>Labels</x:v>
      </x:c>
      <x:c r="I8487" s="22" t="n">
        <x:v>20.7</x:v>
      </x:c>
      <x:c r="J8487" s="24" t="n">
        <x:v>2</x:v>
      </x:c>
      <x:c r="K8487" s="26" t="n">
        <x:v>0</x:v>
      </x:c>
      <x:c r="L8487" s="22" t="n">
        <x:v>9.936</x:v>
      </x:c>
      <x:c r="M8487" t="n">
        <x:v>2017</x:v>
      </x:c>
      <x:c r="N8487" s="20" t="n">
        <x:v>42767</x:v>
      </x:c>
    </x:row>
    <x:row r="8488" ht="18" customHeight="1">
      <x:c r="A8488" t="str">
        <x:v>CA-2016-126284</x:v>
      </x:c>
      <x:c r="B8488" s="18" t="n">
        <x:v>42633</x:v>
      </x:c>
      <x:c r="C8488" t="str">
        <x:v>EN-13780</x:v>
      </x:c>
      <x:c r="D8488" t="str">
        <x:v>Edward Nazzal</x:v>
      </x:c>
      <x:c r="E8488" t="str">
        <x:v>Consumer</x:v>
      </x:c>
      <x:c r="F8488" t="str">
        <x:v>Central</x:v>
      </x:c>
      <x:c r="G8488" t="str">
        <x:v>Office Supplies</x:v>
      </x:c>
      <x:c r="H8488" t="str">
        <x:v>Binders</x:v>
      </x:c>
      <x:c r="I8488" s="22" t="n">
        <x:v>83.69999999999999</x:v>
      </x:c>
      <x:c r="J8488" s="24" t="n">
        <x:v>5</x:v>
      </x:c>
      <x:c r="K8488" s="26" t="n">
        <x:v>0</x:v>
      </x:c>
      <x:c r="L8488" s="22" t="n">
        <x:v>41.01299999999999</x:v>
      </x:c>
      <x:c r="M8488" t="n">
        <x:v>2016</x:v>
      </x:c>
      <x:c r="N8488" s="20" t="n">
        <x:v>42614</x:v>
      </x:c>
    </x:row>
    <x:row r="8489" ht="18" customHeight="1">
      <x:c r="A8489" t="str">
        <x:v>CA-2017-142391</x:v>
      </x:c>
      <x:c r="B8489" s="18" t="n">
        <x:v>43002</x:v>
      </x:c>
      <x:c r="C8489" t="str">
        <x:v>PB-19150</x:v>
      </x:c>
      <x:c r="D8489" t="str">
        <x:v>Philip Brown</x:v>
      </x:c>
      <x:c r="E8489" t="str">
        <x:v>Consumer</x:v>
      </x:c>
      <x:c r="F8489" t="str">
        <x:v>West</x:v>
      </x:c>
      <x:c r="G8489" t="str">
        <x:v>Furniture</x:v>
      </x:c>
      <x:c r="H8489" t="str">
        <x:v>Furnishings</x:v>
      </x:c>
      <x:c r="I8489" s="22" t="n">
        <x:v>199.8</x:v>
      </x:c>
      <x:c r="J8489" s="24" t="n">
        <x:v>10</x:v>
      </x:c>
      <x:c r="K8489" s="26" t="n">
        <x:v>0</x:v>
      </x:c>
      <x:c r="L8489" s="22" t="n">
        <x:v>71.928</x:v>
      </x:c>
      <x:c r="M8489" t="n">
        <x:v>2017</x:v>
      </x:c>
      <x:c r="N8489" s="20" t="n">
        <x:v>42979</x:v>
      </x:c>
    </x:row>
    <x:row r="8490" ht="18" customHeight="1">
      <x:c r="A8490" t="str">
        <x:v>CA-2017-124716</x:v>
      </x:c>
      <x:c r="B8490" s="18" t="n">
        <x:v>42821</x:v>
      </x:c>
      <x:c r="C8490" t="str">
        <x:v>BD-11560</x:v>
      </x:c>
      <x:c r="D8490" t="str">
        <x:v>Brendan Dodson</x:v>
      </x:c>
      <x:c r="E8490" t="str">
        <x:v>Home Office</x:v>
      </x:c>
      <x:c r="F8490" t="str">
        <x:v>West</x:v>
      </x:c>
      <x:c r="G8490" t="str">
        <x:v>Office Supplies</x:v>
      </x:c>
      <x:c r="H8490" t="str">
        <x:v>Paper</x:v>
      </x:c>
      <x:c r="I8490" s="22" t="n">
        <x:v>45.68</x:v>
      </x:c>
      <x:c r="J8490" s="24" t="n">
        <x:v>2</x:v>
      </x:c>
      <x:c r="K8490" s="26" t="n">
        <x:v>0</x:v>
      </x:c>
      <x:c r="L8490" s="22" t="n">
        <x:v>21.0128</x:v>
      </x:c>
      <x:c r="M8490" t="n">
        <x:v>2017</x:v>
      </x:c>
      <x:c r="N8490" s="20" t="n">
        <x:v>42795</x:v>
      </x:c>
    </x:row>
    <x:row r="8491" ht="18" customHeight="1">
      <x:c r="A8491" t="str">
        <x:v>CA-2017-124716</x:v>
      </x:c>
      <x:c r="B8491" s="18" t="n">
        <x:v>42821</x:v>
      </x:c>
      <x:c r="C8491" t="str">
        <x:v>BD-11560</x:v>
      </x:c>
      <x:c r="D8491" t="str">
        <x:v>Brendan Dodson</x:v>
      </x:c>
      <x:c r="E8491" t="str">
        <x:v>Home Office</x:v>
      </x:c>
      <x:c r="F8491" t="str">
        <x:v>West</x:v>
      </x:c>
      <x:c r="G8491" t="str">
        <x:v>Office Supplies</x:v>
      </x:c>
      <x:c r="H8491" t="str">
        <x:v>Paper</x:v>
      </x:c>
      <x:c r="I8491" s="22" t="n">
        <x:v>110.96</x:v>
      </x:c>
      <x:c r="J8491" s="24" t="n">
        <x:v>2</x:v>
      </x:c>
      <x:c r="K8491" s="26" t="n">
        <x:v>0</x:v>
      </x:c>
      <x:c r="L8491" s="22" t="n">
        <x:v>53.260799999999996</x:v>
      </x:c>
      <x:c r="M8491" t="n">
        <x:v>2017</x:v>
      </x:c>
      <x:c r="N8491" s="20" t="n">
        <x:v>42795</x:v>
      </x:c>
    </x:row>
    <x:row r="8492" ht="18" customHeight="1">
      <x:c r="A8492" t="str">
        <x:v>CA-2017-124716</x:v>
      </x:c>
      <x:c r="B8492" s="18" t="n">
        <x:v>42821</x:v>
      </x:c>
      <x:c r="C8492" t="str">
        <x:v>BD-11560</x:v>
      </x:c>
      <x:c r="D8492" t="str">
        <x:v>Brendan Dodson</x:v>
      </x:c>
      <x:c r="E8492" t="str">
        <x:v>Home Office</x:v>
      </x:c>
      <x:c r="F8492" t="str">
        <x:v>West</x:v>
      </x:c>
      <x:c r="G8492" t="str">
        <x:v>Office Supplies</x:v>
      </x:c>
      <x:c r="H8492" t="str">
        <x:v>Paper</x:v>
      </x:c>
      <x:c r="I8492" s="22" t="n">
        <x:v>11.94</x:v>
      </x:c>
      <x:c r="J8492" s="24" t="n">
        <x:v>3</x:v>
      </x:c>
      <x:c r="K8492" s="26" t="n">
        <x:v>0</x:v>
      </x:c>
      <x:c r="L8492" s="22" t="n">
        <x:v>5.97</x:v>
      </x:c>
      <x:c r="M8492" t="n">
        <x:v>2017</x:v>
      </x:c>
      <x:c r="N8492" s="20" t="n">
        <x:v>42795</x:v>
      </x:c>
    </x:row>
    <x:row r="8493" ht="18" customHeight="1">
      <x:c r="A8493" t="str">
        <x:v>CA-2016-158841</x:v>
      </x:c>
      <x:c r="B8493" s="18" t="n">
        <x:v>42402</x:v>
      </x:c>
      <x:c r="C8493" t="str">
        <x:v>SE-20110</x:v>
      </x:c>
      <x:c r="D8493" t="str">
        <x:v>Sanjit Engle</x:v>
      </x:c>
      <x:c r="E8493" t="str">
        <x:v>Consumer</x:v>
      </x:c>
      <x:c r="F8493" t="str">
        <x:v>South</x:v>
      </x:c>
      <x:c r="G8493" t="str">
        <x:v>Technology</x:v>
      </x:c>
      <x:c r="H8493" t="str">
        <x:v>Machines</x:v>
      </x:c>
      <x:c r="I8493" s="22" t="n">
        <x:v>8749.95</x:v>
      </x:c>
      <x:c r="J8493" s="24" t="n">
        <x:v>5</x:v>
      </x:c>
      <x:c r="K8493" s="26" t="n">
        <x:v>0</x:v>
      </x:c>
      <x:c r="L8493" s="22" t="n">
        <x:v>2799.9839999999995</x:v>
      </x:c>
      <x:c r="M8493" t="n">
        <x:v>2016</x:v>
      </x:c>
      <x:c r="N8493" s="20" t="n">
        <x:v>42401</x:v>
      </x:c>
    </x:row>
    <x:row r="8494" ht="18" customHeight="1">
      <x:c r="A8494" t="str">
        <x:v>CA-2016-158841</x:v>
      </x:c>
      <x:c r="B8494" s="18" t="n">
        <x:v>42402</x:v>
      </x:c>
      <x:c r="C8494" t="str">
        <x:v>SE-20110</x:v>
      </x:c>
      <x:c r="D8494" t="str">
        <x:v>Sanjit Engle</x:v>
      </x:c>
      <x:c r="E8494" t="str">
        <x:v>Consumer</x:v>
      </x:c>
      <x:c r="F8494" t="str">
        <x:v>South</x:v>
      </x:c>
      <x:c r="G8494" t="str">
        <x:v>Office Supplies</x:v>
      </x:c>
      <x:c r="H8494" t="str">
        <x:v>Binders</x:v>
      </x:c>
      <x:c r="I8494" s="22" t="n">
        <x:v>36.4</x:v>
      </x:c>
      <x:c r="J8494" s="24" t="n">
        <x:v>8</x:v>
      </x:c>
      <x:c r="K8494" s="26" t="n">
        <x:v>0</x:v>
      </x:c>
      <x:c r="L8494" s="22" t="n">
        <x:v>18.2</x:v>
      </x:c>
      <x:c r="M8494" t="n">
        <x:v>2016</x:v>
      </x:c>
      <x:c r="N8494" s="20" t="n">
        <x:v>42401</x:v>
      </x:c>
    </x:row>
    <x:row r="8495" ht="18" customHeight="1">
      <x:c r="A8495" t="str">
        <x:v>CA-2016-158841</x:v>
      </x:c>
      <x:c r="B8495" s="18" t="n">
        <x:v>42402</x:v>
      </x:c>
      <x:c r="C8495" t="str">
        <x:v>SE-20110</x:v>
      </x:c>
      <x:c r="D8495" t="str">
        <x:v>Sanjit Engle</x:v>
      </x:c>
      <x:c r="E8495" t="str">
        <x:v>Consumer</x:v>
      </x:c>
      <x:c r="F8495" t="str">
        <x:v>South</x:v>
      </x:c>
      <x:c r="G8495" t="str">
        <x:v>Furniture</x:v>
      </x:c>
      <x:c r="H8495" t="str">
        <x:v>Furnishings</x:v>
      </x:c>
      <x:c r="I8495" s="22" t="n">
        <x:v>18.689999999999998</x:v>
      </x:c>
      <x:c r="J8495" s="24" t="n">
        <x:v>7</x:v>
      </x:c>
      <x:c r="K8495" s="26" t="n">
        <x:v>0</x:v>
      </x:c>
      <x:c r="L8495" s="22" t="n">
        <x:v>7.1022</x:v>
      </x:c>
      <x:c r="M8495" t="n">
        <x:v>2016</x:v>
      </x:c>
      <x:c r="N8495" s="20" t="n">
        <x:v>42401</x:v>
      </x:c>
    </x:row>
    <x:row r="8496" ht="18" customHeight="1">
      <x:c r="A8496" t="str">
        <x:v>CA-2017-106824</x:v>
      </x:c>
      <x:c r="B8496" s="18" t="n">
        <x:v>42923</x:v>
      </x:c>
      <x:c r="C8496" t="str">
        <x:v>AT-10735</x:v>
      </x:c>
      <x:c r="D8496" t="str">
        <x:v>Annie Thurman</x:v>
      </x:c>
      <x:c r="E8496" t="str">
        <x:v>Consumer</x:v>
      </x:c>
      <x:c r="F8496" t="str">
        <x:v>West</x:v>
      </x:c>
      <x:c r="G8496" t="str">
        <x:v>Office Supplies</x:v>
      </x:c>
      <x:c r="H8496" t="str">
        <x:v>Fasteners</x:v>
      </x:c>
      <x:c r="I8496" s="22" t="n">
        <x:v>5.9399999999999995</x:v>
      </x:c>
      <x:c r="J8496" s="24" t="n">
        <x:v>3</x:v>
      </x:c>
      <x:c r="K8496" s="26" t="n">
        <x:v>0</x:v>
      </x:c>
      <x:c r="L8496" s="22" t="n">
        <x:v>0.11880000000000024</x:v>
      </x:c>
      <x:c r="M8496" t="n">
        <x:v>2017</x:v>
      </x:c>
      <x:c r="N8496" s="20" t="n">
        <x:v>42917</x:v>
      </x:c>
    </x:row>
    <x:row r="8497" ht="18" customHeight="1">
      <x:c r="A8497" t="str">
        <x:v>CA-2015-109190</x:v>
      </x:c>
      <x:c r="B8497" s="18" t="n">
        <x:v>42300</x:v>
      </x:c>
      <x:c r="C8497" t="str">
        <x:v>CC-12685</x:v>
      </x:c>
      <x:c r="D8497" t="str">
        <x:v>Craig Carroll</x:v>
      </x:c>
      <x:c r="E8497" t="str">
        <x:v>Consumer</x:v>
      </x:c>
      <x:c r="F8497" t="str">
        <x:v>Central</x:v>
      </x:c>
      <x:c r="G8497" t="str">
        <x:v>Office Supplies</x:v>
      </x:c>
      <x:c r="H8497" t="str">
        <x:v>Paper</x:v>
      </x:c>
      <x:c r="I8497" s="22" t="n">
        <x:v>60.736000000000004</x:v>
      </x:c>
      <x:c r="J8497" s="24" t="n">
        <x:v>8</x:v>
      </x:c>
      <x:c r="K8497" s="26" t="n">
        <x:v>0.2</x:v>
      </x:c>
      <x:c r="L8497" s="22" t="n">
        <x:v>20.4984</x:v>
      </x:c>
      <x:c r="M8497" t="n">
        <x:v>2015</x:v>
      </x:c>
      <x:c r="N8497" s="20" t="n">
        <x:v>42278</x:v>
      </x:c>
    </x:row>
    <x:row r="8498" ht="18" customHeight="1">
      <x:c r="A8498" t="str">
        <x:v>CA-2015-109190</x:v>
      </x:c>
      <x:c r="B8498" s="18" t="n">
        <x:v>42300</x:v>
      </x:c>
      <x:c r="C8498" t="str">
        <x:v>CC-12685</x:v>
      </x:c>
      <x:c r="D8498" t="str">
        <x:v>Craig Carroll</x:v>
      </x:c>
      <x:c r="E8498" t="str">
        <x:v>Consumer</x:v>
      </x:c>
      <x:c r="F8498" t="str">
        <x:v>Central</x:v>
      </x:c>
      <x:c r="G8498" t="str">
        <x:v>Technology</x:v>
      </x:c>
      <x:c r="H8498" t="str">
        <x:v>Copiers</x:v>
      </x:c>
      <x:c r="I8498" s="22" t="n">
        <x:v>479.97600000000006</x:v>
      </x:c>
      <x:c r="J8498" s="24" t="n">
        <x:v>3</x:v>
      </x:c>
      <x:c r="K8498" s="26" t="n">
        <x:v>0.2</x:v>
      </x:c>
      <x:c r="L8498" s="22" t="n">
        <x:v>161.9919</x:v>
      </x:c>
      <x:c r="M8498" t="n">
        <x:v>2015</x:v>
      </x:c>
      <x:c r="N8498" s="20" t="n">
        <x:v>42278</x:v>
      </x:c>
    </x:row>
    <x:row r="8499" ht="18" customHeight="1">
      <x:c r="A8499" t="str">
        <x:v>CA-2015-109190</x:v>
      </x:c>
      <x:c r="B8499" s="18" t="n">
        <x:v>42300</x:v>
      </x:c>
      <x:c r="C8499" t="str">
        <x:v>CC-12685</x:v>
      </x:c>
      <x:c r="D8499" t="str">
        <x:v>Craig Carroll</x:v>
      </x:c>
      <x:c r="E8499" t="str">
        <x:v>Consumer</x:v>
      </x:c>
      <x:c r="F8499" t="str">
        <x:v>Central</x:v>
      </x:c>
      <x:c r="G8499" t="str">
        <x:v>Office Supplies</x:v>
      </x:c>
      <x:c r="H8499" t="str">
        <x:v>Binders</x:v>
      </x:c>
      <x:c r="I8499" s="22" t="n">
        <x:v>6.079999999999998</x:v>
      </x:c>
      <x:c r="J8499" s="24" t="n">
        <x:v>1</x:v>
      </x:c>
      <x:c r="K8499" s="26" t="n">
        <x:v>0.8</x:v>
      </x:c>
      <x:c r="L8499" s="22" t="n">
        <x:v>-10.336000000000002</x:v>
      </x:c>
      <x:c r="M8499" t="n">
        <x:v>2015</x:v>
      </x:c>
      <x:c r="N8499" s="20" t="n">
        <x:v>42278</x:v>
      </x:c>
    </x:row>
    <x:row r="8500" ht="18" customHeight="1">
      <x:c r="A8500" t="str">
        <x:v>CA-2016-143154</x:v>
      </x:c>
      <x:c r="B8500" s="18" t="n">
        <x:v>42706</x:v>
      </x:c>
      <x:c r="C8500" t="str">
        <x:v>AS-10225</x:v>
      </x:c>
      <x:c r="D8500" t="str">
        <x:v>Alan Schoenberger</x:v>
      </x:c>
      <x:c r="E8500" t="str">
        <x:v>Corporate</x:v>
      </x:c>
      <x:c r="F8500" t="str">
        <x:v>West</x:v>
      </x:c>
      <x:c r="G8500" t="str">
        <x:v>Technology</x:v>
      </x:c>
      <x:c r="H8500" t="str">
        <x:v>Accessories</x:v>
      </x:c>
      <x:c r="I8500" s="22" t="n">
        <x:v>165.60000000000002</x:v>
      </x:c>
      <x:c r="J8500" s="24" t="n">
        <x:v>3</x:v>
      </x:c>
      <x:c r="K8500" s="26" t="n">
        <x:v>0.2</x:v>
      </x:c>
      <x:c r="L8500" s="22" t="n">
        <x:v>-6.210000000000015</x:v>
      </x:c>
      <x:c r="M8500" t="n">
        <x:v>2016</x:v>
      </x:c>
      <x:c r="N8500" s="20" t="n">
        <x:v>42705</x:v>
      </x:c>
    </x:row>
    <x:row r="8501" ht="18" customHeight="1">
      <x:c r="A8501" t="str">
        <x:v>CA-2014-169061</x:v>
      </x:c>
      <x:c r="B8501" s="18" t="n">
        <x:v>41703</x:v>
      </x:c>
      <x:c r="C8501" t="str">
        <x:v>AB-10150</x:v>
      </x:c>
      <x:c r="D8501" t="str">
        <x:v>Aimee Bixby</x:v>
      </x:c>
      <x:c r="E8501" t="str">
        <x:v>Consumer</x:v>
      </x:c>
      <x:c r="F8501" t="str">
        <x:v>East</x:v>
      </x:c>
      <x:c r="G8501" t="str">
        <x:v>Office Supplies</x:v>
      </x:c>
      <x:c r="H8501" t="str">
        <x:v>Art</x:v>
      </x:c>
      <x:c r="I8501" s="22" t="n">
        <x:v>59.519999999999996</x:v>
      </x:c>
      <x:c r="J8501" s="24" t="n">
        <x:v>3</x:v>
      </x:c>
      <x:c r="K8501" s="26" t="n">
        <x:v>0</x:v>
      </x:c>
      <x:c r="L8501" s="22" t="n">
        <x:v>15.475200000000001</x:v>
      </x:c>
      <x:c r="M8501" t="n">
        <x:v>2014</x:v>
      </x:c>
      <x:c r="N8501" s="20" t="n">
        <x:v>41699</x:v>
      </x:c>
    </x:row>
    <x:row r="8502" ht="18" customHeight="1">
      <x:c r="A8502" t="str">
        <x:v>CA-2014-169061</x:v>
      </x:c>
      <x:c r="B8502" s="18" t="n">
        <x:v>41703</x:v>
      </x:c>
      <x:c r="C8502" t="str">
        <x:v>AB-10150</x:v>
      </x:c>
      <x:c r="D8502" t="str">
        <x:v>Aimee Bixby</x:v>
      </x:c>
      <x:c r="E8502" t="str">
        <x:v>Consumer</x:v>
      </x:c>
      <x:c r="F8502" t="str">
        <x:v>East</x:v>
      </x:c>
      <x:c r="G8502" t="str">
        <x:v>Technology</x:v>
      </x:c>
      <x:c r="H8502" t="str">
        <x:v>Accessories</x:v>
      </x:c>
      <x:c r="I8502" s="22" t="n">
        <x:v>479.97</x:v>
      </x:c>
      <x:c r="J8502" s="24" t="n">
        <x:v>3</x:v>
      </x:c>
      <x:c r="K8502" s="26" t="n">
        <x:v>0</x:v>
      </x:c>
      <x:c r="L8502" s="22" t="n">
        <x:v>177.58890000000002</x:v>
      </x:c>
      <x:c r="M8502" t="n">
        <x:v>2014</x:v>
      </x:c>
      <x:c r="N8502" s="20" t="n">
        <x:v>41699</x:v>
      </x:c>
    </x:row>
    <x:row r="8503" ht="18" customHeight="1">
      <x:c r="A8503" t="str">
        <x:v>CA-2014-169061</x:v>
      </x:c>
      <x:c r="B8503" s="18" t="n">
        <x:v>41703</x:v>
      </x:c>
      <x:c r="C8503" t="str">
        <x:v>AB-10150</x:v>
      </x:c>
      <x:c r="D8503" t="str">
        <x:v>Aimee Bixby</x:v>
      </x:c>
      <x:c r="E8503" t="str">
        <x:v>Consumer</x:v>
      </x:c>
      <x:c r="F8503" t="str">
        <x:v>East</x:v>
      </x:c>
      <x:c r="G8503" t="str">
        <x:v>Office Supplies</x:v>
      </x:c>
      <x:c r="H8503" t="str">
        <x:v>Supplies</x:v>
      </x:c>
      <x:c r="I8503" s="22" t="n">
        <x:v>18.62</x:v>
      </x:c>
      <x:c r="J8503" s="24" t="n">
        <x:v>2</x:v>
      </x:c>
      <x:c r="K8503" s="26" t="n">
        <x:v>0</x:v>
      </x:c>
      <x:c r="L8503" s="22" t="n">
        <x:v>5.399799999999999</x:v>
      </x:c>
      <x:c r="M8503" t="n">
        <x:v>2014</x:v>
      </x:c>
      <x:c r="N8503" s="20" t="n">
        <x:v>41699</x:v>
      </x:c>
    </x:row>
    <x:row r="8504" ht="18" customHeight="1">
      <x:c r="A8504" t="str">
        <x:v>CA-2014-169061</x:v>
      </x:c>
      <x:c r="B8504" s="18" t="n">
        <x:v>41703</x:v>
      </x:c>
      <x:c r="C8504" t="str">
        <x:v>AB-10150</x:v>
      </x:c>
      <x:c r="D8504" t="str">
        <x:v>Aimee Bixby</x:v>
      </x:c>
      <x:c r="E8504" t="str">
        <x:v>Consumer</x:v>
      </x:c>
      <x:c r="F8504" t="str">
        <x:v>East</x:v>
      </x:c>
      <x:c r="G8504" t="str">
        <x:v>Office Supplies</x:v>
      </x:c>
      <x:c r="H8504" t="str">
        <x:v>Binders</x:v>
      </x:c>
      <x:c r="I8504" s="22" t="n">
        <x:v>49.632000000000005</x:v>
      </x:c>
      <x:c r="J8504" s="24" t="n">
        <x:v>6</x:v>
      </x:c>
      <x:c r="K8504" s="26" t="n">
        <x:v>0.2</x:v>
      </x:c>
      <x:c r="L8504" s="22" t="n">
        <x:v>16.750799999999998</x:v>
      </x:c>
      <x:c r="M8504" t="n">
        <x:v>2014</x:v>
      </x:c>
      <x:c r="N8504" s="20" t="n">
        <x:v>41699</x:v>
      </x:c>
    </x:row>
    <x:row r="8505" ht="18" customHeight="1">
      <x:c r="A8505" t="str">
        <x:v>CA-2014-169061</x:v>
      </x:c>
      <x:c r="B8505" s="18" t="n">
        <x:v>41703</x:v>
      </x:c>
      <x:c r="C8505" t="str">
        <x:v>AB-10150</x:v>
      </x:c>
      <x:c r="D8505" t="str">
        <x:v>Aimee Bixby</x:v>
      </x:c>
      <x:c r="E8505" t="str">
        <x:v>Consumer</x:v>
      </x:c>
      <x:c r="F8505" t="str">
        <x:v>East</x:v>
      </x:c>
      <x:c r="G8505" t="str">
        <x:v>Office Supplies</x:v>
      </x:c>
      <x:c r="H8505" t="str">
        <x:v>Paper</x:v>
      </x:c>
      <x:c r="I8505" s="22" t="n">
        <x:v>97.82</x:v>
      </x:c>
      <x:c r="J8505" s="24" t="n">
        <x:v>2</x:v>
      </x:c>
      <x:c r="K8505" s="26" t="n">
        <x:v>0</x:v>
      </x:c>
      <x:c r="L8505" s="22" t="n">
        <x:v>45.97539999999999</x:v>
      </x:c>
      <x:c r="M8505" t="n">
        <x:v>2014</x:v>
      </x:c>
      <x:c r="N8505" s="20" t="n">
        <x:v>41699</x:v>
      </x:c>
    </x:row>
    <x:row r="8506" ht="18" customHeight="1">
      <x:c r="A8506" t="str">
        <x:v>CA-2015-102316</x:v>
      </x:c>
      <x:c r="B8506" s="18" t="n">
        <x:v>42064</x:v>
      </x:c>
      <x:c r="C8506" t="str">
        <x:v>DH-13075</x:v>
      </x:c>
      <x:c r="D8506" t="str">
        <x:v>Dave Hallsten</x:v>
      </x:c>
      <x:c r="E8506" t="str">
        <x:v>Corporate</x:v>
      </x:c>
      <x:c r="F8506" t="str">
        <x:v>West</x:v>
      </x:c>
      <x:c r="G8506" t="str">
        <x:v>Technology</x:v>
      </x:c>
      <x:c r="H8506" t="str">
        <x:v>Phones</x:v>
      </x:c>
      <x:c r="I8506" s="22" t="n">
        <x:v>15.984000000000002</x:v>
      </x:c>
      <x:c r="J8506" s="24" t="n">
        <x:v>2</x:v>
      </x:c>
      <x:c r="K8506" s="26" t="n">
        <x:v>0.2</x:v>
      </x:c>
      <x:c r="L8506" s="22" t="n">
        <x:v>1.1988000000000003</x:v>
      </x:c>
      <x:c r="M8506" t="n">
        <x:v>2015</x:v>
      </x:c>
      <x:c r="N8506" s="20" t="n">
        <x:v>42064</x:v>
      </x:c>
    </x:row>
    <x:row r="8507" ht="18" customHeight="1">
      <x:c r="A8507" t="str">
        <x:v>CA-2015-102316</x:v>
      </x:c>
      <x:c r="B8507" s="18" t="n">
        <x:v>42064</x:v>
      </x:c>
      <x:c r="C8507" t="str">
        <x:v>DH-13075</x:v>
      </x:c>
      <x:c r="D8507" t="str">
        <x:v>Dave Hallsten</x:v>
      </x:c>
      <x:c r="E8507" t="str">
        <x:v>Corporate</x:v>
      </x:c>
      <x:c r="F8507" t="str">
        <x:v>West</x:v>
      </x:c>
      <x:c r="G8507" t="str">
        <x:v>Furniture</x:v>
      </x:c>
      <x:c r="H8507" t="str">
        <x:v>Chairs</x:v>
      </x:c>
      <x:c r="I8507" s="22" t="n">
        <x:v>184.752</x:v>
      </x:c>
      <x:c r="J8507" s="24" t="n">
        <x:v>3</x:v>
      </x:c>
      <x:c r="K8507" s="26" t="n">
        <x:v>0.2</x:v>
      </x:c>
      <x:c r="L8507" s="22" t="n">
        <x:v>-20.78460000000001</x:v>
      </x:c>
      <x:c r="M8507" t="n">
        <x:v>2015</x:v>
      </x:c>
      <x:c r="N8507" s="20" t="n">
        <x:v>42064</x:v>
      </x:c>
    </x:row>
    <x:row r="8508" ht="18" customHeight="1">
      <x:c r="A8508" t="str">
        <x:v>CA-2014-164903</x:v>
      </x:c>
      <x:c r="B8508" s="18" t="n">
        <x:v>41690</x:v>
      </x:c>
      <x:c r="C8508" t="str">
        <x:v>SR-20740</x:v>
      </x:c>
      <x:c r="D8508" t="str">
        <x:v>Steven Roelle</x:v>
      </x:c>
      <x:c r="E8508" t="str">
        <x:v>Home Office</x:v>
      </x:c>
      <x:c r="F8508" t="str">
        <x:v>West</x:v>
      </x:c>
      <x:c r="G8508" t="str">
        <x:v>Office Supplies</x:v>
      </x:c>
      <x:c r="H8508" t="str">
        <x:v>Paper</x:v>
      </x:c>
      <x:c r="I8508" s="22" t="n">
        <x:v>12.96</x:v>
      </x:c>
      <x:c r="J8508" s="24" t="n">
        <x:v>2</x:v>
      </x:c>
      <x:c r="K8508" s="26" t="n">
        <x:v>0</x:v>
      </x:c>
      <x:c r="L8508" s="22" t="n">
        <x:v>6.2208000000000006</x:v>
      </x:c>
      <x:c r="M8508" t="n">
        <x:v>2014</x:v>
      </x:c>
      <x:c r="N8508" s="20" t="n">
        <x:v>41671</x:v>
      </x:c>
    </x:row>
    <x:row r="8509" ht="18" customHeight="1">
      <x:c r="A8509" t="str">
        <x:v>CA-2016-109400</x:v>
      </x:c>
      <x:c r="B8509" s="18" t="n">
        <x:v>42492</x:v>
      </x:c>
      <x:c r="C8509" t="str">
        <x:v>NR-18550</x:v>
      </x:c>
      <x:c r="D8509" t="str">
        <x:v>Nick Radford</x:v>
      </x:c>
      <x:c r="E8509" t="str">
        <x:v>Consumer</x:v>
      </x:c>
      <x:c r="F8509" t="str">
        <x:v>Central</x:v>
      </x:c>
      <x:c r="G8509" t="str">
        <x:v>Furniture</x:v>
      </x:c>
      <x:c r="H8509" t="str">
        <x:v>Chairs</x:v>
      </x:c>
      <x:c r="I8509" s="22" t="n">
        <x:v>366.74399999999997</x:v>
      </x:c>
      <x:c r="J8509" s="24" t="n">
        <x:v>4</x:v>
      </x:c>
      <x:c r="K8509" s="26" t="n">
        <x:v>0.3</x:v>
      </x:c>
      <x:c r="L8509" s="22" t="n">
        <x:v>-110.02320000000003</x:v>
      </x:c>
      <x:c r="M8509" t="n">
        <x:v>2016</x:v>
      </x:c>
      <x:c r="N8509" s="20" t="n">
        <x:v>42491</x:v>
      </x:c>
    </x:row>
    <x:row r="8510" ht="18" customHeight="1">
      <x:c r="A8510" t="str">
        <x:v>CA-2016-130400</x:v>
      </x:c>
      <x:c r="B8510" s="18" t="n">
        <x:v>42437</x:v>
      </x:c>
      <x:c r="C8510" t="str">
        <x:v>SJ-20125</x:v>
      </x:c>
      <x:c r="D8510" t="str">
        <x:v>Sanjit Jacobs</x:v>
      </x:c>
      <x:c r="E8510" t="str">
        <x:v>Home Office</x:v>
      </x:c>
      <x:c r="F8510" t="str">
        <x:v>Central</x:v>
      </x:c>
      <x:c r="G8510" t="str">
        <x:v>Office Supplies</x:v>
      </x:c>
      <x:c r="H8510" t="str">
        <x:v>Binders</x:v>
      </x:c>
      <x:c r="I8510" s="22" t="n">
        <x:v>8.855999999999998</x:v>
      </x:c>
      <x:c r="J8510" s="24" t="n">
        <x:v>9</x:v>
      </x:c>
      <x:c r="K8510" s="26" t="n">
        <x:v>0.8</x:v>
      </x:c>
      <x:c r="L8510" s="22" t="n">
        <x:v>-14.169600000000003</x:v>
      </x:c>
      <x:c r="M8510" t="n">
        <x:v>2016</x:v>
      </x:c>
      <x:c r="N8510" s="20" t="n">
        <x:v>42430</x:v>
      </x:c>
    </x:row>
    <x:row r="8511" ht="18" customHeight="1">
      <x:c r="A8511" t="str">
        <x:v>CA-2016-130400</x:v>
      </x:c>
      <x:c r="B8511" s="18" t="n">
        <x:v>42437</x:v>
      </x:c>
      <x:c r="C8511" t="str">
        <x:v>SJ-20125</x:v>
      </x:c>
      <x:c r="D8511" t="str">
        <x:v>Sanjit Jacobs</x:v>
      </x:c>
      <x:c r="E8511" t="str">
        <x:v>Home Office</x:v>
      </x:c>
      <x:c r="F8511" t="str">
        <x:v>Central</x:v>
      </x:c>
      <x:c r="G8511" t="str">
        <x:v>Technology</x:v>
      </x:c>
      <x:c r="H8511" t="str">
        <x:v>Accessories</x:v>
      </x:c>
      <x:c r="I8511" s="22" t="n">
        <x:v>27.96</x:v>
      </x:c>
      <x:c r="J8511" s="24" t="n">
        <x:v>5</x:v>
      </x:c>
      <x:c r="K8511" s="26" t="n">
        <x:v>0.2</x:v>
      </x:c>
      <x:c r="L8511" s="22" t="n">
        <x:v>8.388000000000003</x:v>
      </x:c>
      <x:c r="M8511" t="n">
        <x:v>2016</x:v>
      </x:c>
      <x:c r="N8511" s="20" t="n">
        <x:v>42430</x:v>
      </x:c>
    </x:row>
    <x:row r="8512" ht="18" customHeight="1">
      <x:c r="A8512" t="str">
        <x:v>CA-2016-130400</x:v>
      </x:c>
      <x:c r="B8512" s="18" t="n">
        <x:v>42437</x:v>
      </x:c>
      <x:c r="C8512" t="str">
        <x:v>SJ-20125</x:v>
      </x:c>
      <x:c r="D8512" t="str">
        <x:v>Sanjit Jacobs</x:v>
      </x:c>
      <x:c r="E8512" t="str">
        <x:v>Home Office</x:v>
      </x:c>
      <x:c r="F8512" t="str">
        <x:v>Central</x:v>
      </x:c>
      <x:c r="G8512" t="str">
        <x:v>Office Supplies</x:v>
      </x:c>
      <x:c r="H8512" t="str">
        <x:v>Envelopes</x:v>
      </x:c>
      <x:c r="I8512" s="22" t="n">
        <x:v>146.352</x:v>
      </x:c>
      <x:c r="J8512" s="24" t="n">
        <x:v>3</x:v>
      </x:c>
      <x:c r="K8512" s="26" t="n">
        <x:v>0.2</x:v>
      </x:c>
      <x:c r="L8512" s="22" t="n">
        <x:v>49.39379999999999</x:v>
      </x:c>
      <x:c r="M8512" t="n">
        <x:v>2016</x:v>
      </x:c>
      <x:c r="N8512" s="20" t="n">
        <x:v>42430</x:v>
      </x:c>
    </x:row>
    <x:row r="8513" ht="18" customHeight="1">
      <x:c r="A8513" t="str">
        <x:v>CA-2015-135853</x:v>
      </x:c>
      <x:c r="B8513" s="18" t="n">
        <x:v>42349</x:v>
      </x:c>
      <x:c r="C8513" t="str">
        <x:v>CA-12775</x:v>
      </x:c>
      <x:c r="D8513" t="str">
        <x:v>Cynthia Arntzen</x:v>
      </x:c>
      <x:c r="E8513" t="str">
        <x:v>Consumer</x:v>
      </x:c>
      <x:c r="F8513" t="str">
        <x:v>Central</x:v>
      </x:c>
      <x:c r="G8513" t="str">
        <x:v>Technology</x:v>
      </x:c>
      <x:c r="H8513" t="str">
        <x:v>Accessories</x:v>
      </x:c>
      <x:c r="I8513" s="22" t="n">
        <x:v>175.23</x:v>
      </x:c>
      <x:c r="J8513" s="24" t="n">
        <x:v>11</x:v>
      </x:c>
      <x:c r="K8513" s="26" t="n">
        <x:v>0</x:v>
      </x:c>
      <x:c r="L8513" s="22" t="n">
        <x:v>61.3305</x:v>
      </x:c>
      <x:c r="M8513" t="n">
        <x:v>2015</x:v>
      </x:c>
      <x:c r="N8513" s="20" t="n">
        <x:v>42339</x:v>
      </x:c>
    </x:row>
    <x:row r="8514" ht="18" customHeight="1">
      <x:c r="A8514" t="str">
        <x:v>CA-2015-135853</x:v>
      </x:c>
      <x:c r="B8514" s="18" t="n">
        <x:v>42349</x:v>
      </x:c>
      <x:c r="C8514" t="str">
        <x:v>CA-12775</x:v>
      </x:c>
      <x:c r="D8514" t="str">
        <x:v>Cynthia Arntzen</x:v>
      </x:c>
      <x:c r="E8514" t="str">
        <x:v>Consumer</x:v>
      </x:c>
      <x:c r="F8514" t="str">
        <x:v>Central</x:v>
      </x:c>
      <x:c r="G8514" t="str">
        <x:v>Technology</x:v>
      </x:c>
      <x:c r="H8514" t="str">
        <x:v>Phones</x:v>
      </x:c>
      <x:c r="I8514" s="22" t="n">
        <x:v>125.99</x:v>
      </x:c>
      <x:c r="J8514" s="24" t="n">
        <x:v>1</x:v>
      </x:c>
      <x:c r="K8514" s="26" t="n">
        <x:v>0</x:v>
      </x:c>
      <x:c r="L8514" s="22" t="n">
        <x:v>31.497500000000002</x:v>
      </x:c>
      <x:c r="M8514" t="n">
        <x:v>2015</x:v>
      </x:c>
      <x:c r="N8514" s="20" t="n">
        <x:v>42339</x:v>
      </x:c>
    </x:row>
    <x:row r="8515" ht="18" customHeight="1">
      <x:c r="A8515" t="str">
        <x:v>CA-2015-135853</x:v>
      </x:c>
      <x:c r="B8515" s="18" t="n">
        <x:v>42349</x:v>
      </x:c>
      <x:c r="C8515" t="str">
        <x:v>CA-12775</x:v>
      </x:c>
      <x:c r="D8515" t="str">
        <x:v>Cynthia Arntzen</x:v>
      </x:c>
      <x:c r="E8515" t="str">
        <x:v>Consumer</x:v>
      </x:c>
      <x:c r="F8515" t="str">
        <x:v>Central</x:v>
      </x:c>
      <x:c r="G8515" t="str">
        <x:v>Office Supplies</x:v>
      </x:c>
      <x:c r="H8515" t="str">
        <x:v>Binders</x:v>
      </x:c>
      <x:c r="I8515" s="22" t="n">
        <x:v>23</x:v>
      </x:c>
      <x:c r="J8515" s="24" t="n">
        <x:v>2</x:v>
      </x:c>
      <x:c r="K8515" s="26" t="n">
        <x:v>0</x:v>
      </x:c>
      <x:c r="L8515" s="22" t="n">
        <x:v>10.35</x:v>
      </x:c>
      <x:c r="M8515" t="n">
        <x:v>2015</x:v>
      </x:c>
      <x:c r="N8515" s="20" t="n">
        <x:v>42339</x:v>
      </x:c>
    </x:row>
    <x:row r="8516" ht="18" customHeight="1">
      <x:c r="A8516" t="str">
        <x:v>CA-2016-103359</x:v>
      </x:c>
      <x:c r="B8516" s="18" t="n">
        <x:v>42726</x:v>
      </x:c>
      <x:c r="C8516" t="str">
        <x:v>LC-16885</x:v>
      </x:c>
      <x:c r="D8516" t="str">
        <x:v>Lena Creighton</x:v>
      </x:c>
      <x:c r="E8516" t="str">
        <x:v>Consumer</x:v>
      </x:c>
      <x:c r="F8516" t="str">
        <x:v>East</x:v>
      </x:c>
      <x:c r="G8516" t="str">
        <x:v>Office Supplies</x:v>
      </x:c>
      <x:c r="H8516" t="str">
        <x:v>Binders</x:v>
      </x:c>
      <x:c r="I8516" s="22" t="n">
        <x:v>25.584000000000003</x:v>
      </x:c>
      <x:c r="J8516" s="24" t="n">
        <x:v>2</x:v>
      </x:c>
      <x:c r="K8516" s="26" t="n">
        <x:v>0.2</x:v>
      </x:c>
      <x:c r="L8516" s="22" t="n">
        <x:v>8.9544</x:v>
      </x:c>
      <x:c r="M8516" t="n">
        <x:v>2016</x:v>
      </x:c>
      <x:c r="N8516" s="20" t="n">
        <x:v>42705</x:v>
      </x:c>
    </x:row>
    <x:row r="8517" ht="18" customHeight="1">
      <x:c r="A8517" t="str">
        <x:v>CA-2016-144645</x:v>
      </x:c>
      <x:c r="B8517" s="18" t="n">
        <x:v>42402</x:v>
      </x:c>
      <x:c r="C8517" t="str">
        <x:v>NS-18640</x:v>
      </x:c>
      <x:c r="D8517" t="str">
        <x:v>Noel Staavos</x:v>
      </x:c>
      <x:c r="E8517" t="str">
        <x:v>Corporate</x:v>
      </x:c>
      <x:c r="F8517" t="str">
        <x:v>Central</x:v>
      </x:c>
      <x:c r="G8517" t="str">
        <x:v>Furniture</x:v>
      </x:c>
      <x:c r="H8517" t="str">
        <x:v>Furnishings</x:v>
      </x:c>
      <x:c r="I8517" s="22" t="n">
        <x:v>73.784</x:v>
      </x:c>
      <x:c r="J8517" s="24" t="n">
        <x:v>2</x:v>
      </x:c>
      <x:c r="K8517" s="26" t="n">
        <x:v>0.6</x:v>
      </x:c>
      <x:c r="L8517" s="22" t="n">
        <x:v>-77.4732</x:v>
      </x:c>
      <x:c r="M8517" t="n">
        <x:v>2016</x:v>
      </x:c>
      <x:c r="N8517" s="20" t="n">
        <x:v>42401</x:v>
      </x:c>
    </x:row>
    <x:row r="8518" ht="18" customHeight="1">
      <x:c r="A8518" t="str">
        <x:v>CA-2017-141614</x:v>
      </x:c>
      <x:c r="B8518" s="18" t="n">
        <x:v>42891</x:v>
      </x:c>
      <x:c r="C8518" t="str">
        <x:v>NS-18640</x:v>
      </x:c>
      <x:c r="D8518" t="str">
        <x:v>Noel Staavos</x:v>
      </x:c>
      <x:c r="E8518" t="str">
        <x:v>Corporate</x:v>
      </x:c>
      <x:c r="F8518" t="str">
        <x:v>South</x:v>
      </x:c>
      <x:c r="G8518" t="str">
        <x:v>Office Supplies</x:v>
      </x:c>
      <x:c r="H8518" t="str">
        <x:v>Paper</x:v>
      </x:c>
      <x:c r="I8518" s="22" t="n">
        <x:v>20.736000000000004</x:v>
      </x:c>
      <x:c r="J8518" s="24" t="n">
        <x:v>4</x:v>
      </x:c>
      <x:c r="K8518" s="26" t="n">
        <x:v>0.2</x:v>
      </x:c>
      <x:c r="L8518" s="22" t="n">
        <x:v>7.2576</x:v>
      </x:c>
      <x:c r="M8518" t="n">
        <x:v>2017</x:v>
      </x:c>
      <x:c r="N8518" s="20" t="n">
        <x:v>42887</x:v>
      </x:c>
    </x:row>
    <x:row r="8519" ht="18" customHeight="1">
      <x:c r="A8519" t="str">
        <x:v>CA-2015-122168</x:v>
      </x:c>
      <x:c r="B8519" s="18" t="n">
        <x:v>42237</x:v>
      </x:c>
      <x:c r="C8519" t="str">
        <x:v>HG-14965</x:v>
      </x:c>
      <x:c r="D8519" t="str">
        <x:v>Henry Goldwyn</x:v>
      </x:c>
      <x:c r="E8519" t="str">
        <x:v>Corporate</x:v>
      </x:c>
      <x:c r="F8519" t="str">
        <x:v>South</x:v>
      </x:c>
      <x:c r="G8519" t="str">
        <x:v>Office Supplies</x:v>
      </x:c>
      <x:c r="H8519" t="str">
        <x:v>Art</x:v>
      </x:c>
      <x:c r="I8519" s="22" t="n">
        <x:v>17.52</x:v>
      </x:c>
      <x:c r="J8519" s="24" t="n">
        <x:v>3</x:v>
      </x:c>
      <x:c r="K8519" s="26" t="n">
        <x:v>0</x:v>
      </x:c>
      <x:c r="L8519" s="22" t="n">
        <x:v>8.234399999999999</x:v>
      </x:c>
      <x:c r="M8519" t="n">
        <x:v>2015</x:v>
      </x:c>
      <x:c r="N8519" s="20" t="n">
        <x:v>42217</x:v>
      </x:c>
    </x:row>
    <x:row r="8520" ht="18" customHeight="1">
      <x:c r="A8520" t="str">
        <x:v>CA-2015-122168</x:v>
      </x:c>
      <x:c r="B8520" s="18" t="n">
        <x:v>42237</x:v>
      </x:c>
      <x:c r="C8520" t="str">
        <x:v>HG-14965</x:v>
      </x:c>
      <x:c r="D8520" t="str">
        <x:v>Henry Goldwyn</x:v>
      </x:c>
      <x:c r="E8520" t="str">
        <x:v>Corporate</x:v>
      </x:c>
      <x:c r="F8520" t="str">
        <x:v>South</x:v>
      </x:c>
      <x:c r="G8520" t="str">
        <x:v>Office Supplies</x:v>
      </x:c>
      <x:c r="H8520" t="str">
        <x:v>Art</x:v>
      </x:c>
      <x:c r="I8520" s="22" t="n">
        <x:v>35.76</x:v>
      </x:c>
      <x:c r="J8520" s="24" t="n">
        <x:v>12</x:v>
      </x:c>
      <x:c r="K8520" s="26" t="n">
        <x:v>0</x:v>
      </x:c>
      <x:c r="L8520" s="22" t="n">
        <x:v>10.0128</x:v>
      </x:c>
      <x:c r="M8520" t="n">
        <x:v>2015</x:v>
      </x:c>
      <x:c r="N8520" s="20" t="n">
        <x:v>42217</x:v>
      </x:c>
    </x:row>
    <x:row r="8521" ht="18" customHeight="1">
      <x:c r="A8521" t="str">
        <x:v>CA-2016-132899</x:v>
      </x:c>
      <x:c r="B8521" s="18" t="n">
        <x:v>42467</x:v>
      </x:c>
      <x:c r="C8521" t="str">
        <x:v>SF-20200</x:v>
      </x:c>
      <x:c r="D8521" t="str">
        <x:v>Sarah Foster</x:v>
      </x:c>
      <x:c r="E8521" t="str">
        <x:v>Consumer</x:v>
      </x:c>
      <x:c r="F8521" t="str">
        <x:v>East</x:v>
      </x:c>
      <x:c r="G8521" t="str">
        <x:v>Office Supplies</x:v>
      </x:c>
      <x:c r="H8521" t="str">
        <x:v>Art</x:v>
      </x:c>
      <x:c r="I8521" s="22" t="n">
        <x:v>3.64</x:v>
      </x:c>
      <x:c r="J8521" s="24" t="n">
        <x:v>2</x:v>
      </x:c>
      <x:c r="K8521" s="26" t="n">
        <x:v>0</x:v>
      </x:c>
      <x:c r="L8521" s="22" t="n">
        <x:v>0.9828000000000001</x:v>
      </x:c>
      <x:c r="M8521" t="n">
        <x:v>2016</x:v>
      </x:c>
      <x:c r="N8521" s="20" t="n">
        <x:v>42461</x:v>
      </x:c>
    </x:row>
    <x:row r="8522" ht="18" customHeight="1">
      <x:c r="A8522" t="str">
        <x:v>CA-2017-149720</x:v>
      </x:c>
      <x:c r="B8522" s="18" t="n">
        <x:v>42890</x:v>
      </x:c>
      <x:c r="C8522" t="str">
        <x:v>EM-14065</x:v>
      </x:c>
      <x:c r="D8522" t="str">
        <x:v>Erin Mull</x:v>
      </x:c>
      <x:c r="E8522" t="str">
        <x:v>Consumer</x:v>
      </x:c>
      <x:c r="F8522" t="str">
        <x:v>Central</x:v>
      </x:c>
      <x:c r="G8522" t="str">
        <x:v>Furniture</x:v>
      </x:c>
      <x:c r="H8522" t="str">
        <x:v>Furnishings</x:v>
      </x:c>
      <x:c r="I8522" s="22" t="n">
        <x:v>30.336000000000006</x:v>
      </x:c>
      <x:c r="J8522" s="24" t="n">
        <x:v>6</x:v>
      </x:c>
      <x:c r="K8522" s="26" t="n">
        <x:v>0.6</x:v>
      </x:c>
      <x:c r="L8522" s="22" t="n">
        <x:v>-17.443199999999997</x:v>
      </x:c>
      <x:c r="M8522" t="n">
        <x:v>2017</x:v>
      </x:c>
      <x:c r="N8522" s="20" t="n">
        <x:v>42887</x:v>
      </x:c>
    </x:row>
    <x:row r="8523" ht="18" customHeight="1">
      <x:c r="A8523" t="str">
        <x:v>CA-2017-118003</x:v>
      </x:c>
      <x:c r="B8523" s="18" t="n">
        <x:v>43073</x:v>
      </x:c>
      <x:c r="C8523" t="str">
        <x:v>DO-13645</x:v>
      </x:c>
      <x:c r="D8523" t="str">
        <x:v>Doug O'Connell</x:v>
      </x:c>
      <x:c r="E8523" t="str">
        <x:v>Consumer</x:v>
      </x:c>
      <x:c r="F8523" t="str">
        <x:v>East</x:v>
      </x:c>
      <x:c r="G8523" t="str">
        <x:v>Furniture</x:v>
      </x:c>
      <x:c r="H8523" t="str">
        <x:v>Furnishings</x:v>
      </x:c>
      <x:c r="I8523" s="22" t="n">
        <x:v>12.99</x:v>
      </x:c>
      <x:c r="J8523" s="24" t="n">
        <x:v>1</x:v>
      </x:c>
      <x:c r="K8523" s="26" t="n">
        <x:v>0</x:v>
      </x:c>
      <x:c r="L8523" s="22" t="n">
        <x:v>1.5587999999999997</x:v>
      </x:c>
      <x:c r="M8523" t="n">
        <x:v>2017</x:v>
      </x:c>
      <x:c r="N8523" s="20" t="n">
        <x:v>43070</x:v>
      </x:c>
    </x:row>
    <x:row r="8524" ht="18" customHeight="1">
      <x:c r="A8524" t="str">
        <x:v>CA-2017-118003</x:v>
      </x:c>
      <x:c r="B8524" s="18" t="n">
        <x:v>43073</x:v>
      </x:c>
      <x:c r="C8524" t="str">
        <x:v>DO-13645</x:v>
      </x:c>
      <x:c r="D8524" t="str">
        <x:v>Doug O'Connell</x:v>
      </x:c>
      <x:c r="E8524" t="str">
        <x:v>Consumer</x:v>
      </x:c>
      <x:c r="F8524" t="str">
        <x:v>East</x:v>
      </x:c>
      <x:c r="G8524" t="str">
        <x:v>Furniture</x:v>
      </x:c>
      <x:c r="H8524" t="str">
        <x:v>Chairs</x:v>
      </x:c>
      <x:c r="I8524" s="22" t="n">
        <x:v>182.22</x:v>
      </x:c>
      <x:c r="J8524" s="24" t="n">
        <x:v>3</x:v>
      </x:c>
      <x:c r="K8524" s="26" t="n">
        <x:v>0</x:v>
      </x:c>
      <x:c r="L8524" s="22" t="n">
        <x:v>45.55500000000001</x:v>
      </x:c>
      <x:c r="M8524" t="n">
        <x:v>2017</x:v>
      </x:c>
      <x:c r="N8524" s="20" t="n">
        <x:v>43070</x:v>
      </x:c>
    </x:row>
    <x:row r="8525" ht="18" customHeight="1">
      <x:c r="A8525" t="str">
        <x:v>CA-2017-118003</x:v>
      </x:c>
      <x:c r="B8525" s="18" t="n">
        <x:v>43073</x:v>
      </x:c>
      <x:c r="C8525" t="str">
        <x:v>DO-13645</x:v>
      </x:c>
      <x:c r="D8525" t="str">
        <x:v>Doug O'Connell</x:v>
      </x:c>
      <x:c r="E8525" t="str">
        <x:v>Consumer</x:v>
      </x:c>
      <x:c r="F8525" t="str">
        <x:v>East</x:v>
      </x:c>
      <x:c r="G8525" t="str">
        <x:v>Furniture</x:v>
      </x:c>
      <x:c r="H8525" t="str">
        <x:v>Chairs</x:v>
      </x:c>
      <x:c r="I8525" s="22" t="n">
        <x:v>302.94</x:v>
      </x:c>
      <x:c r="J8525" s="24" t="n">
        <x:v>3</x:v>
      </x:c>
      <x:c r="K8525" s="26" t="n">
        <x:v>0</x:v>
      </x:c>
      <x:c r="L8525" s="22" t="n">
        <x:v>18.176399999999973</x:v>
      </x:c>
      <x:c r="M8525" t="n">
        <x:v>2017</x:v>
      </x:c>
      <x:c r="N8525" s="20" t="n">
        <x:v>43070</x:v>
      </x:c>
    </x:row>
    <x:row r="8526" ht="18" customHeight="1">
      <x:c r="A8526" t="str">
        <x:v>CA-2016-141887</x:v>
      </x:c>
      <x:c r="B8526" s="18" t="n">
        <x:v>42380</x:v>
      </x:c>
      <x:c r="C8526" t="str">
        <x:v>MP-17470</x:v>
      </x:c>
      <x:c r="D8526" t="str">
        <x:v>Mark Packer</x:v>
      </x:c>
      <x:c r="E8526" t="str">
        <x:v>Home Office</x:v>
      </x:c>
      <x:c r="F8526" t="str">
        <x:v>East</x:v>
      </x:c>
      <x:c r="G8526" t="str">
        <x:v>Furniture</x:v>
      </x:c>
      <x:c r="H8526" t="str">
        <x:v>Furnishings</x:v>
      </x:c>
      <x:c r="I8526" s="22" t="n">
        <x:v>54.992000000000004</x:v>
      </x:c>
      <x:c r="J8526" s="24" t="n">
        <x:v>14</x:v>
      </x:c>
      <x:c r="K8526" s="26" t="n">
        <x:v>0.2</x:v>
      </x:c>
      <x:c r="L8526" s="22" t="n">
        <x:v>8.936199999999996</x:v>
      </x:c>
      <x:c r="M8526" t="n">
        <x:v>2016</x:v>
      </x:c>
      <x:c r="N8526" s="20" t="n">
        <x:v>42370</x:v>
      </x:c>
    </x:row>
    <x:row r="8527" ht="18" customHeight="1">
      <x:c r="A8527" t="str">
        <x:v>US-2016-160206</x:v>
      </x:c>
      <x:c r="B8527" s="18" t="n">
        <x:v>42461</x:v>
      </x:c>
      <x:c r="C8527" t="str">
        <x:v>MY-18295</x:v>
      </x:c>
      <x:c r="D8527" t="str">
        <x:v>Muhammed Yedwab</x:v>
      </x:c>
      <x:c r="E8527" t="str">
        <x:v>Corporate</x:v>
      </x:c>
      <x:c r="F8527" t="str">
        <x:v>Central</x:v>
      </x:c>
      <x:c r="G8527" t="str">
        <x:v>Technology</x:v>
      </x:c>
      <x:c r="H8527" t="str">
        <x:v>Phones</x:v>
      </x:c>
      <x:c r="I8527" s="22" t="n">
        <x:v>12.99</x:v>
      </x:c>
      <x:c r="J8527" s="24" t="n">
        <x:v>1</x:v>
      </x:c>
      <x:c r="K8527" s="26" t="n">
        <x:v>0</x:v>
      </x:c>
      <x:c r="L8527" s="22" t="n">
        <x:v>0.25980000000000025</x:v>
      </x:c>
      <x:c r="M8527" t="n">
        <x:v>2016</x:v>
      </x:c>
      <x:c r="N8527" s="20" t="n">
        <x:v>42461</x:v>
      </x:c>
    </x:row>
    <x:row r="8528" ht="18" customHeight="1">
      <x:c r="A8528" t="str">
        <x:v>CA-2017-133074</x:v>
      </x:c>
      <x:c r="B8528" s="18" t="n">
        <x:v>42999</x:v>
      </x:c>
      <x:c r="C8528" t="str">
        <x:v>DB-13615</x:v>
      </x:c>
      <x:c r="D8528" t="str">
        <x:v>Doug Bickford</x:v>
      </x:c>
      <x:c r="E8528" t="str">
        <x:v>Consumer</x:v>
      </x:c>
      <x:c r="F8528" t="str">
        <x:v>West</x:v>
      </x:c>
      <x:c r="G8528" t="str">
        <x:v>Office Supplies</x:v>
      </x:c>
      <x:c r="H8528" t="str">
        <x:v>Paper</x:v>
      </x:c>
      <x:c r="I8528" s="22" t="n">
        <x:v>55.86</x:v>
      </x:c>
      <x:c r="J8528" s="24" t="n">
        <x:v>7</x:v>
      </x:c>
      <x:c r="K8528" s="26" t="n">
        <x:v>0</x:v>
      </x:c>
      <x:c r="L8528" s="22" t="n">
        <x:v>27.93</x:v>
      </x:c>
      <x:c r="M8528" t="n">
        <x:v>2017</x:v>
      </x:c>
      <x:c r="N8528" s="20" t="n">
        <x:v>42979</x:v>
      </x:c>
    </x:row>
    <x:row r="8529" ht="18" customHeight="1">
      <x:c r="A8529" t="str">
        <x:v>CA-2017-161172</x:v>
      </x:c>
      <x:c r="B8529" s="18" t="n">
        <x:v>42810</x:v>
      </x:c>
      <x:c r="C8529" t="str">
        <x:v>SP-20920</x:v>
      </x:c>
      <x:c r="D8529" t="str">
        <x:v>Susan Pistek</x:v>
      </x:c>
      <x:c r="E8529" t="str">
        <x:v>Consumer</x:v>
      </x:c>
      <x:c r="F8529" t="str">
        <x:v>East</x:v>
      </x:c>
      <x:c r="G8529" t="str">
        <x:v>Technology</x:v>
      </x:c>
      <x:c r="H8529" t="str">
        <x:v>Phones</x:v>
      </x:c>
      <x:c r="I8529" s="22" t="n">
        <x:v>44.376</x:v>
      </x:c>
      <x:c r="J8529" s="24" t="n">
        <x:v>2</x:v>
      </x:c>
      <x:c r="K8529" s="26" t="n">
        <x:v>0.4</x:v>
      </x:c>
      <x:c r="L8529" s="22" t="n">
        <x:v>-7.396000000000004</x:v>
      </x:c>
      <x:c r="M8529" t="n">
        <x:v>2017</x:v>
      </x:c>
      <x:c r="N8529" s="20" t="n">
        <x:v>42795</x:v>
      </x:c>
    </x:row>
    <x:row r="8530" ht="18" customHeight="1">
      <x:c r="A8530" t="str">
        <x:v>CA-2017-161172</x:v>
      </x:c>
      <x:c r="B8530" s="18" t="n">
        <x:v>42810</x:v>
      </x:c>
      <x:c r="C8530" t="str">
        <x:v>SP-20920</x:v>
      </x:c>
      <x:c r="D8530" t="str">
        <x:v>Susan Pistek</x:v>
      </x:c>
      <x:c r="E8530" t="str">
        <x:v>Consumer</x:v>
      </x:c>
      <x:c r="F8530" t="str">
        <x:v>East</x:v>
      </x:c>
      <x:c r="G8530" t="str">
        <x:v>Furniture</x:v>
      </x:c>
      <x:c r="H8530" t="str">
        <x:v>Furnishings</x:v>
      </x:c>
      <x:c r="I8530" s="22" t="n">
        <x:v>51.264</x:v>
      </x:c>
      <x:c r="J8530" s="24" t="n">
        <x:v>6</x:v>
      </x:c>
      <x:c r="K8530" s="26" t="n">
        <x:v>0.2</x:v>
      </x:c>
      <x:c r="L8530" s="22" t="n">
        <x:v>7.689599999999993</x:v>
      </x:c>
      <x:c r="M8530" t="n">
        <x:v>2017</x:v>
      </x:c>
      <x:c r="N8530" s="20" t="n">
        <x:v>42795</x:v>
      </x:c>
    </x:row>
    <x:row r="8531" ht="18" customHeight="1">
      <x:c r="A8531" t="str">
        <x:v>CA-2017-161172</x:v>
      </x:c>
      <x:c r="B8531" s="18" t="n">
        <x:v>42810</x:v>
      </x:c>
      <x:c r="C8531" t="str">
        <x:v>SP-20920</x:v>
      </x:c>
      <x:c r="D8531" t="str">
        <x:v>Susan Pistek</x:v>
      </x:c>
      <x:c r="E8531" t="str">
        <x:v>Consumer</x:v>
      </x:c>
      <x:c r="F8531" t="str">
        <x:v>East</x:v>
      </x:c>
      <x:c r="G8531" t="str">
        <x:v>Office Supplies</x:v>
      </x:c>
      <x:c r="H8531" t="str">
        <x:v>Binders</x:v>
      </x:c>
      <x:c r="I8531" s="22" t="n">
        <x:v>5.1930000000000005</x:v>
      </x:c>
      <x:c r="J8531" s="24" t="n">
        <x:v>3</x:v>
      </x:c>
      <x:c r="K8531" s="26" t="n">
        <x:v>0.7</x:v>
      </x:c>
      <x:c r="L8531" s="22" t="n">
        <x:v>-3.4619999999999997</x:v>
      </x:c>
      <x:c r="M8531" t="n">
        <x:v>2017</x:v>
      </x:c>
      <x:c r="N8531" s="20" t="n">
        <x:v>42795</x:v>
      </x:c>
    </x:row>
    <x:row r="8532" ht="18" customHeight="1">
      <x:c r="A8532" t="str">
        <x:v>CA-2017-161172</x:v>
      </x:c>
      <x:c r="B8532" s="18" t="n">
        <x:v>42810</x:v>
      </x:c>
      <x:c r="C8532" t="str">
        <x:v>SP-20920</x:v>
      </x:c>
      <x:c r="D8532" t="str">
        <x:v>Susan Pistek</x:v>
      </x:c>
      <x:c r="E8532" t="str">
        <x:v>Consumer</x:v>
      </x:c>
      <x:c r="F8532" t="str">
        <x:v>East</x:v>
      </x:c>
      <x:c r="G8532" t="str">
        <x:v>Technology</x:v>
      </x:c>
      <x:c r="H8532" t="str">
        <x:v>Accessories</x:v>
      </x:c>
      <x:c r="I8532" s="22" t="n">
        <x:v>159.984</x:v>
      </x:c>
      <x:c r="J8532" s="24" t="n">
        <x:v>2</x:v>
      </x:c>
      <x:c r="K8532" s="26" t="n">
        <x:v>0.2</x:v>
      </x:c>
      <x:c r="L8532" s="22" t="n">
        <x:v>43.9956</x:v>
      </x:c>
      <x:c r="M8532" t="n">
        <x:v>2017</x:v>
      </x:c>
      <x:c r="N8532" s="20" t="n">
        <x:v>42795</x:v>
      </x:c>
    </x:row>
    <x:row r="8533" ht="18" customHeight="1">
      <x:c r="A8533" t="str">
        <x:v>CA-2017-161172</x:v>
      </x:c>
      <x:c r="B8533" s="18" t="n">
        <x:v>42810</x:v>
      </x:c>
      <x:c r="C8533" t="str">
        <x:v>SP-20920</x:v>
      </x:c>
      <x:c r="D8533" t="str">
        <x:v>Susan Pistek</x:v>
      </x:c>
      <x:c r="E8533" t="str">
        <x:v>Consumer</x:v>
      </x:c>
      <x:c r="F8533" t="str">
        <x:v>East</x:v>
      </x:c>
      <x:c r="G8533" t="str">
        <x:v>Office Supplies</x:v>
      </x:c>
      <x:c r="H8533" t="str">
        <x:v>Storage</x:v>
      </x:c>
      <x:c r="I8533" s="22" t="n">
        <x:v>54.224000000000004</x:v>
      </x:c>
      <x:c r="J8533" s="24" t="n">
        <x:v>2</x:v>
      </x:c>
      <x:c r="K8533" s="26" t="n">
        <x:v>0.2</x:v>
      </x:c>
      <x:c r="L8533" s="22" t="n">
        <x:v>3.3889999999999993</x:v>
      </x:c>
      <x:c r="M8533" t="n">
        <x:v>2017</x:v>
      </x:c>
      <x:c r="N8533" s="20" t="n">
        <x:v>42795</x:v>
      </x:c>
    </x:row>
    <x:row r="8534" ht="18" customHeight="1">
      <x:c r="A8534" t="str">
        <x:v>CA-2017-137624</x:v>
      </x:c>
      <x:c r="B8534" s="18" t="n">
        <x:v>43049</x:v>
      </x:c>
      <x:c r="C8534" t="str">
        <x:v>ME-17320</x:v>
      </x:c>
      <x:c r="D8534" t="str">
        <x:v>Maria Etezadi</x:v>
      </x:c>
      <x:c r="E8534" t="str">
        <x:v>Home Office</x:v>
      </x:c>
      <x:c r="F8534" t="str">
        <x:v>West</x:v>
      </x:c>
      <x:c r="G8534" t="str">
        <x:v>Furniture</x:v>
      </x:c>
      <x:c r="H8534" t="str">
        <x:v>Chairs</x:v>
      </x:c>
      <x:c r="I8534" s="22" t="n">
        <x:v>241.42399999999998</x:v>
      </x:c>
      <x:c r="J8534" s="24" t="n">
        <x:v>2</x:v>
      </x:c>
      <x:c r="K8534" s="26" t="n">
        <x:v>0.2</x:v>
      </x:c>
      <x:c r="L8534" s="22" t="n">
        <x:v>-36.213599999999985</x:v>
      </x:c>
      <x:c r="M8534" t="n">
        <x:v>2017</x:v>
      </x:c>
      <x:c r="N8534" s="20" t="n">
        <x:v>43040</x:v>
      </x:c>
    </x:row>
    <x:row r="8535" ht="18" customHeight="1">
      <x:c r="A8535" t="str">
        <x:v>CA-2016-156748</x:v>
      </x:c>
      <x:c r="B8535" s="18" t="n">
        <x:v>42704</x:v>
      </x:c>
      <x:c r="C8535" t="str">
        <x:v>BS-11755</x:v>
      </x:c>
      <x:c r="D8535" t="str">
        <x:v>Bruce Stewart</x:v>
      </x:c>
      <x:c r="E8535" t="str">
        <x:v>Consumer</x:v>
      </x:c>
      <x:c r="F8535" t="str">
        <x:v>Central</x:v>
      </x:c>
      <x:c r="G8535" t="str">
        <x:v>Office Supplies</x:v>
      </x:c>
      <x:c r="H8535" t="str">
        <x:v>Paper</x:v>
      </x:c>
      <x:c r="I8535" s="22" t="n">
        <x:v>33.36</x:v>
      </x:c>
      <x:c r="J8535" s="24" t="n">
        <x:v>4</x:v>
      </x:c>
      <x:c r="K8535" s="26" t="n">
        <x:v>0</x:v>
      </x:c>
      <x:c r="L8535" s="22" t="n">
        <x:v>16.68</x:v>
      </x:c>
      <x:c r="M8535" t="n">
        <x:v>2016</x:v>
      </x:c>
      <x:c r="N8535" s="20" t="n">
        <x:v>42675</x:v>
      </x:c>
    </x:row>
    <x:row r="8536" ht="18" customHeight="1">
      <x:c r="A8536" t="str">
        <x:v>CA-2016-156748</x:v>
      </x:c>
      <x:c r="B8536" s="18" t="n">
        <x:v>42704</x:v>
      </x:c>
      <x:c r="C8536" t="str">
        <x:v>BS-11755</x:v>
      </x:c>
      <x:c r="D8536" t="str">
        <x:v>Bruce Stewart</x:v>
      </x:c>
      <x:c r="E8536" t="str">
        <x:v>Consumer</x:v>
      </x:c>
      <x:c r="F8536" t="str">
        <x:v>Central</x:v>
      </x:c>
      <x:c r="G8536" t="str">
        <x:v>Office Supplies</x:v>
      </x:c>
      <x:c r="H8536" t="str">
        <x:v>Paper</x:v>
      </x:c>
      <x:c r="I8536" s="22" t="n">
        <x:v>13.76</x:v>
      </x:c>
      <x:c r="J8536" s="24" t="n">
        <x:v>2</x:v>
      </x:c>
      <x:c r="K8536" s="26" t="n">
        <x:v>0</x:v>
      </x:c>
      <x:c r="L8536" s="22" t="n">
        <x:v>6.329599999999999</x:v>
      </x:c>
      <x:c r="M8536" t="n">
        <x:v>2016</x:v>
      </x:c>
      <x:c r="N8536" s="20" t="n">
        <x:v>42675</x:v>
      </x:c>
    </x:row>
    <x:row r="8537" ht="18" customHeight="1">
      <x:c r="A8537" t="str">
        <x:v>CA-2016-156748</x:v>
      </x:c>
      <x:c r="B8537" s="18" t="n">
        <x:v>42704</x:v>
      </x:c>
      <x:c r="C8537" t="str">
        <x:v>BS-11755</x:v>
      </x:c>
      <x:c r="D8537" t="str">
        <x:v>Bruce Stewart</x:v>
      </x:c>
      <x:c r="E8537" t="str">
        <x:v>Consumer</x:v>
      </x:c>
      <x:c r="F8537" t="str">
        <x:v>Central</x:v>
      </x:c>
      <x:c r="G8537" t="str">
        <x:v>Office Supplies</x:v>
      </x:c>
      <x:c r="H8537" t="str">
        <x:v>Storage</x:v>
      </x:c>
      <x:c r="I8537" s="22" t="n">
        <x:v>496.86</x:v>
      </x:c>
      <x:c r="J8537" s="24" t="n">
        <x:v>7</x:v>
      </x:c>
      <x:c r="K8537" s="26" t="n">
        <x:v>0</x:v>
      </x:c>
      <x:c r="L8537" s="22" t="n">
        <x:v>24.842999999999947</x:v>
      </x:c>
      <x:c r="M8537" t="n">
        <x:v>2016</x:v>
      </x:c>
      <x:c r="N8537" s="20" t="n">
        <x:v>42675</x:v>
      </x:c>
    </x:row>
    <x:row r="8538" ht="18" customHeight="1">
      <x:c r="A8538" t="str">
        <x:v>CA-2016-156748</x:v>
      </x:c>
      <x:c r="B8538" s="18" t="n">
        <x:v>42704</x:v>
      </x:c>
      <x:c r="C8538" t="str">
        <x:v>BS-11755</x:v>
      </x:c>
      <x:c r="D8538" t="str">
        <x:v>Bruce Stewart</x:v>
      </x:c>
      <x:c r="E8538" t="str">
        <x:v>Consumer</x:v>
      </x:c>
      <x:c r="F8538" t="str">
        <x:v>Central</x:v>
      </x:c>
      <x:c r="G8538" t="str">
        <x:v>Furniture</x:v>
      </x:c>
      <x:c r="H8538" t="str">
        <x:v>Chairs</x:v>
      </x:c>
      <x:c r="I8538" s="22" t="n">
        <x:v>389.97</x:v>
      </x:c>
      <x:c r="J8538" s="24" t="n">
        <x:v>3</x:v>
      </x:c>
      <x:c r="K8538" s="26" t="n">
        <x:v>0</x:v>
      </x:c>
      <x:c r="L8538" s="22" t="n">
        <x:v>35.097300000000004</x:v>
      </x:c>
      <x:c r="M8538" t="n">
        <x:v>2016</x:v>
      </x:c>
      <x:c r="N8538" s="20" t="n">
        <x:v>42675</x:v>
      </x:c>
    </x:row>
    <x:row r="8539" ht="18" customHeight="1">
      <x:c r="A8539" t="str">
        <x:v>CA-2015-169677</x:v>
      </x:c>
      <x:c r="B8539" s="18" t="n">
        <x:v>42017</x:v>
      </x:c>
      <x:c r="C8539" t="str">
        <x:v>KS-16300</x:v>
      </x:c>
      <x:c r="D8539" t="str">
        <x:v>Karen Seio</x:v>
      </x:c>
      <x:c r="E8539" t="str">
        <x:v>Corporate</x:v>
      </x:c>
      <x:c r="F8539" t="str">
        <x:v>South</x:v>
      </x:c>
      <x:c r="G8539" t="str">
        <x:v>Office Supplies</x:v>
      </x:c>
      <x:c r="H8539" t="str">
        <x:v>Labels</x:v>
      </x:c>
      <x:c r="I8539" s="22" t="n">
        <x:v>9.82</x:v>
      </x:c>
      <x:c r="J8539" s="24" t="n">
        <x:v>2</x:v>
      </x:c>
      <x:c r="K8539" s="26" t="n">
        <x:v>0</x:v>
      </x:c>
      <x:c r="L8539" s="22" t="n">
        <x:v>4.8118</x:v>
      </x:c>
      <x:c r="M8539" t="n">
        <x:v>2015</x:v>
      </x:c>
      <x:c r="N8539" s="20" t="n">
        <x:v>42005</x:v>
      </x:c>
    </x:row>
    <x:row r="8540" ht="18" customHeight="1">
      <x:c r="A8540" t="str">
        <x:v>US-2014-163146</x:v>
      </x:c>
      <x:c r="B8540" s="18" t="n">
        <x:v>41775</x:v>
      </x:c>
      <x:c r="C8540" t="str">
        <x:v>CC-12475</x:v>
      </x:c>
      <x:c r="D8540" t="str">
        <x:v>Cindy Chapman</x:v>
      </x:c>
      <x:c r="E8540" t="str">
        <x:v>Consumer</x:v>
      </x:c>
      <x:c r="F8540" t="str">
        <x:v>West</x:v>
      </x:c>
      <x:c r="G8540" t="str">
        <x:v>Technology</x:v>
      </x:c>
      <x:c r="H8540" t="str">
        <x:v>Accessories</x:v>
      </x:c>
      <x:c r="I8540" s="22" t="n">
        <x:v>56.400000000000006</x:v>
      </x:c>
      <x:c r="J8540" s="24" t="n">
        <x:v>3</x:v>
      </x:c>
      <x:c r="K8540" s="26" t="n">
        <x:v>0</x:v>
      </x:c>
      <x:c r="L8540" s="22" t="n">
        <x:v>3.3840000000000003</x:v>
      </x:c>
      <x:c r="M8540" t="n">
        <x:v>2014</x:v>
      </x:c>
      <x:c r="N8540" s="20" t="n">
        <x:v>41760</x:v>
      </x:c>
    </x:row>
    <x:row r="8541" ht="18" customHeight="1">
      <x:c r="A8541" t="str">
        <x:v>CA-2015-157343</x:v>
      </x:c>
      <x:c r="B8541" s="18" t="n">
        <x:v>42162</x:v>
      </x:c>
      <x:c r="C8541" t="str">
        <x:v>HD-14785</x:v>
      </x:c>
      <x:c r="D8541" t="str">
        <x:v>Harold Dahlen</x:v>
      </x:c>
      <x:c r="E8541" t="str">
        <x:v>Home Office</x:v>
      </x:c>
      <x:c r="F8541" t="str">
        <x:v>East</x:v>
      </x:c>
      <x:c r="G8541" t="str">
        <x:v>Office Supplies</x:v>
      </x:c>
      <x:c r="H8541" t="str">
        <x:v>Binders</x:v>
      </x:c>
      <x:c r="I8541" s="22" t="n">
        <x:v>18.312</x:v>
      </x:c>
      <x:c r="J8541" s="24" t="n">
        <x:v>4</x:v>
      </x:c>
      <x:c r="K8541" s="26" t="n">
        <x:v>0.7</x:v>
      </x:c>
      <x:c r="L8541" s="22" t="n">
        <x:v>-12.207999999999995</x:v>
      </x:c>
      <x:c r="M8541" t="n">
        <x:v>2015</x:v>
      </x:c>
      <x:c r="N8541" s="20" t="n">
        <x:v>42156</x:v>
      </x:c>
    </x:row>
    <x:row r="8542" ht="18" customHeight="1">
      <x:c r="A8542" t="str">
        <x:v>CA-2015-157343</x:v>
      </x:c>
      <x:c r="B8542" s="18" t="n">
        <x:v>42162</x:v>
      </x:c>
      <x:c r="C8542" t="str">
        <x:v>HD-14785</x:v>
      </x:c>
      <x:c r="D8542" t="str">
        <x:v>Harold Dahlen</x:v>
      </x:c>
      <x:c r="E8542" t="str">
        <x:v>Home Office</x:v>
      </x:c>
      <x:c r="F8542" t="str">
        <x:v>East</x:v>
      </x:c>
      <x:c r="G8542" t="str">
        <x:v>Office Supplies</x:v>
      </x:c>
      <x:c r="H8542" t="str">
        <x:v>Paper</x:v>
      </x:c>
      <x:c r="I8542" s="22" t="n">
        <x:v>25.920000000000005</x:v>
      </x:c>
      <x:c r="J8542" s="24" t="n">
        <x:v>5</x:v>
      </x:c>
      <x:c r="K8542" s="26" t="n">
        <x:v>0.2</x:v>
      </x:c>
      <x:c r="L8542" s="22" t="n">
        <x:v>9.072</x:v>
      </x:c>
      <x:c r="M8542" t="n">
        <x:v>2015</x:v>
      </x:c>
      <x:c r="N8542" s="20" t="n">
        <x:v>42156</x:v>
      </x:c>
    </x:row>
    <x:row r="8543" ht="18" customHeight="1">
      <x:c r="A8543" t="str">
        <x:v>CA-2015-157343</x:v>
      </x:c>
      <x:c r="B8543" s="18" t="n">
        <x:v>42162</x:v>
      </x:c>
      <x:c r="C8543" t="str">
        <x:v>HD-14785</x:v>
      </x:c>
      <x:c r="D8543" t="str">
        <x:v>Harold Dahlen</x:v>
      </x:c>
      <x:c r="E8543" t="str">
        <x:v>Home Office</x:v>
      </x:c>
      <x:c r="F8543" t="str">
        <x:v>East</x:v>
      </x:c>
      <x:c r="G8543" t="str">
        <x:v>Office Supplies</x:v>
      </x:c>
      <x:c r="H8543" t="str">
        <x:v>Art</x:v>
      </x:c>
      <x:c r="I8543" s="22" t="n">
        <x:v>8.016</x:v>
      </x:c>
      <x:c r="J8543" s="24" t="n">
        <x:v>3</x:v>
      </x:c>
      <x:c r="K8543" s="26" t="n">
        <x:v>0.2</x:v>
      </x:c>
      <x:c r="L8543" s="22" t="n">
        <x:v>1.0019999999999993</x:v>
      </x:c>
      <x:c r="M8543" t="n">
        <x:v>2015</x:v>
      </x:c>
      <x:c r="N8543" s="20" t="n">
        <x:v>42156</x:v>
      </x:c>
    </x:row>
    <x:row r="8544" ht="18" customHeight="1">
      <x:c r="A8544" t="str">
        <x:v>CA-2017-147354</x:v>
      </x:c>
      <x:c r="B8544" s="18" t="n">
        <x:v>42803</x:v>
      </x:c>
      <x:c r="C8544" t="str">
        <x:v>KB-16315</x:v>
      </x:c>
      <x:c r="D8544" t="str">
        <x:v>Karl Braun</x:v>
      </x:c>
      <x:c r="E8544" t="str">
        <x:v>Consumer</x:v>
      </x:c>
      <x:c r="F8544" t="str">
        <x:v>West</x:v>
      </x:c>
      <x:c r="G8544" t="str">
        <x:v>Technology</x:v>
      </x:c>
      <x:c r="H8544" t="str">
        <x:v>Copiers</x:v>
      </x:c>
      <x:c r="I8544" s="22" t="n">
        <x:v>479.98400000000004</x:v>
      </x:c>
      <x:c r="J8544" s="24" t="n">
        <x:v>2</x:v>
      </x:c>
      <x:c r="K8544" s="26" t="n">
        <x:v>0.2</x:v>
      </x:c>
      <x:c r="L8544" s="22" t="n">
        <x:v>59.99799999999996</x:v>
      </x:c>
      <x:c r="M8544" t="n">
        <x:v>2017</x:v>
      </x:c>
      <x:c r="N8544" s="20" t="n">
        <x:v>42795</x:v>
      </x:c>
    </x:row>
    <x:row r="8545" ht="18" customHeight="1">
      <x:c r="A8545" t="str">
        <x:v>CA-2017-147354</x:v>
      </x:c>
      <x:c r="B8545" s="18" t="n">
        <x:v>42803</x:v>
      </x:c>
      <x:c r="C8545" t="str">
        <x:v>KB-16315</x:v>
      </x:c>
      <x:c r="D8545" t="str">
        <x:v>Karl Braun</x:v>
      </x:c>
      <x:c r="E8545" t="str">
        <x:v>Consumer</x:v>
      </x:c>
      <x:c r="F8545" t="str">
        <x:v>West</x:v>
      </x:c>
      <x:c r="G8545" t="str">
        <x:v>Office Supplies</x:v>
      </x:c>
      <x:c r="H8545" t="str">
        <x:v>Binders</x:v>
      </x:c>
      <x:c r="I8545" s="22" t="n">
        <x:v>30.84</x:v>
      </x:c>
      <x:c r="J8545" s="24" t="n">
        <x:v>5</x:v>
      </x:c>
      <x:c r="K8545" s="26" t="n">
        <x:v>0.2</x:v>
      </x:c>
      <x:c r="L8545" s="22" t="n">
        <x:v>9.6375</x:v>
      </x:c>
      <x:c r="M8545" t="n">
        <x:v>2017</x:v>
      </x:c>
      <x:c r="N8545" s="20" t="n">
        <x:v>42795</x:v>
      </x:c>
    </x:row>
    <x:row r="8546" ht="18" customHeight="1">
      <x:c r="A8546" t="str">
        <x:v>CA-2015-157287</x:v>
      </x:c>
      <x:c r="B8546" s="18" t="n">
        <x:v>42360</x:v>
      </x:c>
      <x:c r="C8546" t="str">
        <x:v>HR-14830</x:v>
      </x:c>
      <x:c r="D8546" t="str">
        <x:v>Harold Ryan</x:v>
      </x:c>
      <x:c r="E8546" t="str">
        <x:v>Corporate</x:v>
      </x:c>
      <x:c r="F8546" t="str">
        <x:v>East</x:v>
      </x:c>
      <x:c r="G8546" t="str">
        <x:v>Office Supplies</x:v>
      </x:c>
      <x:c r="H8546" t="str">
        <x:v>Storage</x:v>
      </x:c>
      <x:c r="I8546" s="22" t="n">
        <x:v>33.568000000000005</x:v>
      </x:c>
      <x:c r="J8546" s="24" t="n">
        <x:v>2</x:v>
      </x:c>
      <x:c r="K8546" s="26" t="n">
        <x:v>0.2</x:v>
      </x:c>
      <x:c r="L8546" s="22" t="n">
        <x:v>1.6783999999999981</x:v>
      </x:c>
      <x:c r="M8546" t="n">
        <x:v>2015</x:v>
      </x:c>
      <x:c r="N8546" s="20" t="n">
        <x:v>42339</x:v>
      </x:c>
    </x:row>
    <x:row r="8547" ht="18" customHeight="1">
      <x:c r="A8547" t="str">
        <x:v>CA-2015-157287</x:v>
      </x:c>
      <x:c r="B8547" s="18" t="n">
        <x:v>42360</x:v>
      </x:c>
      <x:c r="C8547" t="str">
        <x:v>HR-14830</x:v>
      </x:c>
      <x:c r="D8547" t="str">
        <x:v>Harold Ryan</x:v>
      </x:c>
      <x:c r="E8547" t="str">
        <x:v>Corporate</x:v>
      </x:c>
      <x:c r="F8547" t="str">
        <x:v>East</x:v>
      </x:c>
      <x:c r="G8547" t="str">
        <x:v>Furniture</x:v>
      </x:c>
      <x:c r="H8547" t="str">
        <x:v>Chairs</x:v>
      </x:c>
      <x:c r="I8547" s="22" t="n">
        <x:v>422.62499999999994</x:v>
      </x:c>
      <x:c r="J8547" s="24" t="n">
        <x:v>7</x:v>
      </x:c>
      <x:c r="K8547" s="26" t="n">
        <x:v>0.3</x:v>
      </x:c>
      <x:c r="L8547" s="22" t="n">
        <x:v>0</x:v>
      </x:c>
      <x:c r="M8547" t="n">
        <x:v>2015</x:v>
      </x:c>
      <x:c r="N8547" s="20" t="n">
        <x:v>42339</x:v>
      </x:c>
    </x:row>
    <x:row r="8548" ht="18" customHeight="1">
      <x:c r="A8548" t="str">
        <x:v>CA-2014-137575</x:v>
      </x:c>
      <x:c r="B8548" s="18" t="n">
        <x:v>41857</x:v>
      </x:c>
      <x:c r="C8548" t="str">
        <x:v>TB-21625</x:v>
      </x:c>
      <x:c r="D8548" t="str">
        <x:v>Trudy Brown</x:v>
      </x:c>
      <x:c r="E8548" t="str">
        <x:v>Consumer</x:v>
      </x:c>
      <x:c r="F8548" t="str">
        <x:v>East</x:v>
      </x:c>
      <x:c r="G8548" t="str">
        <x:v>Technology</x:v>
      </x:c>
      <x:c r="H8548" t="str">
        <x:v>Accessories</x:v>
      </x:c>
      <x:c r="I8548" s="22" t="n">
        <x:v>199.98</x:v>
      </x:c>
      <x:c r="J8548" s="24" t="n">
        <x:v>2</x:v>
      </x:c>
      <x:c r="K8548" s="26" t="n">
        <x:v>0</x:v>
      </x:c>
      <x:c r="L8548" s="22" t="n">
        <x:v>83.9916</x:v>
      </x:c>
      <x:c r="M8548" t="n">
        <x:v>2014</x:v>
      </x:c>
      <x:c r="N8548" s="20" t="n">
        <x:v>41852</x:v>
      </x:c>
    </x:row>
    <x:row r="8549" ht="18" customHeight="1">
      <x:c r="A8549" t="str">
        <x:v>CA-2016-119074</x:v>
      </x:c>
      <x:c r="B8549" s="18" t="n">
        <x:v>42456</x:v>
      </x:c>
      <x:c r="C8549" t="str">
        <x:v>DS-13180</x:v>
      </x:c>
      <x:c r="D8549" t="str">
        <x:v>David Smith</x:v>
      </x:c>
      <x:c r="E8549" t="str">
        <x:v>Corporate</x:v>
      </x:c>
      <x:c r="F8549" t="str">
        <x:v>South</x:v>
      </x:c>
      <x:c r="G8549" t="str">
        <x:v>Furniture</x:v>
      </x:c>
      <x:c r="H8549" t="str">
        <x:v>Furnishings</x:v>
      </x:c>
      <x:c r="I8549" s="22" t="n">
        <x:v>20.24</x:v>
      </x:c>
      <x:c r="J8549" s="24" t="n">
        <x:v>1</x:v>
      </x:c>
      <x:c r="K8549" s="26" t="n">
        <x:v>0</x:v>
      </x:c>
      <x:c r="L8549" s="22" t="n">
        <x:v>8.7032</x:v>
      </x:c>
      <x:c r="M8549" t="n">
        <x:v>2016</x:v>
      </x:c>
      <x:c r="N8549" s="20" t="n">
        <x:v>42430</x:v>
      </x:c>
    </x:row>
    <x:row r="8550" ht="18" customHeight="1">
      <x:c r="A8550" t="str">
        <x:v>CA-2016-119074</x:v>
      </x:c>
      <x:c r="B8550" s="18" t="n">
        <x:v>42456</x:v>
      </x:c>
      <x:c r="C8550" t="str">
        <x:v>DS-13180</x:v>
      </x:c>
      <x:c r="D8550" t="str">
        <x:v>David Smith</x:v>
      </x:c>
      <x:c r="E8550" t="str">
        <x:v>Corporate</x:v>
      </x:c>
      <x:c r="F8550" t="str">
        <x:v>South</x:v>
      </x:c>
      <x:c r="G8550" t="str">
        <x:v>Furniture</x:v>
      </x:c>
      <x:c r="H8550" t="str">
        <x:v>Furnishings</x:v>
      </x:c>
      <x:c r="I8550" s="22" t="n">
        <x:v>39.92</x:v>
      </x:c>
      <x:c r="J8550" s="24" t="n">
        <x:v>4</x:v>
      </x:c>
      <x:c r="K8550" s="26" t="n">
        <x:v>0</x:v>
      </x:c>
      <x:c r="L8550" s="22" t="n">
        <x:v>11.177600000000002</x:v>
      </x:c>
      <x:c r="M8550" t="n">
        <x:v>2016</x:v>
      </x:c>
      <x:c r="N8550" s="20" t="n">
        <x:v>42430</x:v>
      </x:c>
    </x:row>
    <x:row r="8551" ht="18" customHeight="1">
      <x:c r="A8551" t="str">
        <x:v>CA-2016-119074</x:v>
      </x:c>
      <x:c r="B8551" s="18" t="n">
        <x:v>42456</x:v>
      </x:c>
      <x:c r="C8551" t="str">
        <x:v>DS-13180</x:v>
      </x:c>
      <x:c r="D8551" t="str">
        <x:v>David Smith</x:v>
      </x:c>
      <x:c r="E8551" t="str">
        <x:v>Corporate</x:v>
      </x:c>
      <x:c r="F8551" t="str">
        <x:v>South</x:v>
      </x:c>
      <x:c r="G8551" t="str">
        <x:v>Office Supplies</x:v>
      </x:c>
      <x:c r="H8551" t="str">
        <x:v>Binders</x:v>
      </x:c>
      <x:c r="I8551" s="22" t="n">
        <x:v>32.54</x:v>
      </x:c>
      <x:c r="J8551" s="24" t="n">
        <x:v>2</x:v>
      </x:c>
      <x:c r="K8551" s="26" t="n">
        <x:v>0</x:v>
      </x:c>
      <x:c r="L8551" s="22" t="n">
        <x:v>15.944599999999998</x:v>
      </x:c>
      <x:c r="M8551" t="n">
        <x:v>2016</x:v>
      </x:c>
      <x:c r="N8551" s="20" t="n">
        <x:v>42430</x:v>
      </x:c>
    </x:row>
    <x:row r="8552" ht="18" customHeight="1">
      <x:c r="A8552" t="str">
        <x:v>CA-2015-149566</x:v>
      </x:c>
      <x:c r="B8552" s="18" t="n">
        <x:v>42343</x:v>
      </x:c>
      <x:c r="C8552" t="str">
        <x:v>GB-14530</x:v>
      </x:c>
      <x:c r="D8552" t="str">
        <x:v>George Bell</x:v>
      </x:c>
      <x:c r="E8552" t="str">
        <x:v>Corporate</x:v>
      </x:c>
      <x:c r="F8552" t="str">
        <x:v>West</x:v>
      </x:c>
      <x:c r="G8552" t="str">
        <x:v>Technology</x:v>
      </x:c>
      <x:c r="H8552" t="str">
        <x:v>Accessories</x:v>
      </x:c>
      <x:c r="I8552" s="22" t="n">
        <x:v>39</x:v>
      </x:c>
      <x:c r="J8552" s="24" t="n">
        <x:v>3</x:v>
      </x:c>
      <x:c r="K8552" s="26" t="n">
        <x:v>0</x:v>
      </x:c>
      <x:c r="L8552" s="22" t="n">
        <x:v>17.549999999999997</x:v>
      </x:c>
      <x:c r="M8552" t="n">
        <x:v>2015</x:v>
      </x:c>
      <x:c r="N8552" s="20" t="n">
        <x:v>42339</x:v>
      </x:c>
    </x:row>
    <x:row r="8553" ht="18" customHeight="1">
      <x:c r="A8553" t="str">
        <x:v>CA-2015-149566</x:v>
      </x:c>
      <x:c r="B8553" s="18" t="n">
        <x:v>42343</x:v>
      </x:c>
      <x:c r="C8553" t="str">
        <x:v>GB-14530</x:v>
      </x:c>
      <x:c r="D8553" t="str">
        <x:v>George Bell</x:v>
      </x:c>
      <x:c r="E8553" t="str">
        <x:v>Corporate</x:v>
      </x:c>
      <x:c r="F8553" t="str">
        <x:v>West</x:v>
      </x:c>
      <x:c r="G8553" t="str">
        <x:v>Office Supplies</x:v>
      </x:c>
      <x:c r="H8553" t="str">
        <x:v>Labels</x:v>
      </x:c>
      <x:c r="I8553" s="22" t="n">
        <x:v>12.6</x:v>
      </x:c>
      <x:c r="J8553" s="24" t="n">
        <x:v>4</x:v>
      </x:c>
      <x:c r="K8553" s="26" t="n">
        <x:v>0</x:v>
      </x:c>
      <x:c r="L8553" s="22" t="n">
        <x:v>6.048</x:v>
      </x:c>
      <x:c r="M8553" t="n">
        <x:v>2015</x:v>
      </x:c>
      <x:c r="N8553" s="20" t="n">
        <x:v>42339</x:v>
      </x:c>
    </x:row>
    <x:row r="8554" ht="18" customHeight="1">
      <x:c r="A8554" t="str">
        <x:v>CA-2015-126186</x:v>
      </x:c>
      <x:c r="B8554" s="18" t="n">
        <x:v>42258</x:v>
      </x:c>
      <x:c r="C8554" t="str">
        <x:v>GB-14530</x:v>
      </x:c>
      <x:c r="D8554" t="str">
        <x:v>George Bell</x:v>
      </x:c>
      <x:c r="E8554" t="str">
        <x:v>Corporate</x:v>
      </x:c>
      <x:c r="F8554" t="str">
        <x:v>West</x:v>
      </x:c>
      <x:c r="G8554" t="str">
        <x:v>Furniture</x:v>
      </x:c>
      <x:c r="H8554" t="str">
        <x:v>Furnishings</x:v>
      </x:c>
      <x:c r="I8554" s="22" t="n">
        <x:v>24.64</x:v>
      </x:c>
      <x:c r="J8554" s="24" t="n">
        <x:v>4</x:v>
      </x:c>
      <x:c r="K8554" s="26" t="n">
        <x:v>0.2</x:v>
      </x:c>
      <x:c r="L8554" s="22" t="n">
        <x:v>4.003999999999998</x:v>
      </x:c>
      <x:c r="M8554" t="n">
        <x:v>2015</x:v>
      </x:c>
      <x:c r="N8554" s="20" t="n">
        <x:v>42248</x:v>
      </x:c>
    </x:row>
    <x:row r="8555" ht="18" customHeight="1">
      <x:c r="A8555" t="str">
        <x:v>CA-2015-121132</x:v>
      </x:c>
      <x:c r="B8555" s="18" t="n">
        <x:v>42202</x:v>
      </x:c>
      <x:c r="C8555" t="str">
        <x:v>VB-21745</x:v>
      </x:c>
      <x:c r="D8555" t="str">
        <x:v>Victoria Brennan</x:v>
      </x:c>
      <x:c r="E8555" t="str">
        <x:v>Corporate</x:v>
      </x:c>
      <x:c r="F8555" t="str">
        <x:v>Central</x:v>
      </x:c>
      <x:c r="G8555" t="str">
        <x:v>Office Supplies</x:v>
      </x:c>
      <x:c r="H8555" t="str">
        <x:v>Labels</x:v>
      </x:c>
      <x:c r="I8555" s="22" t="n">
        <x:v>6.264</x:v>
      </x:c>
      <x:c r="J8555" s="24" t="n">
        <x:v>3</x:v>
      </x:c>
      <x:c r="K8555" s="26" t="n">
        <x:v>0.2</x:v>
      </x:c>
      <x:c r="L8555" s="22" t="n">
        <x:v>2.0358</x:v>
      </x:c>
      <x:c r="M8555" t="n">
        <x:v>2015</x:v>
      </x:c>
      <x:c r="N8555" s="20" t="n">
        <x:v>42186</x:v>
      </x:c>
    </x:row>
    <x:row r="8556" ht="18" customHeight="1">
      <x:c r="A8556" t="str">
        <x:v>CA-2015-121132</x:v>
      </x:c>
      <x:c r="B8556" s="18" t="n">
        <x:v>42202</x:v>
      </x:c>
      <x:c r="C8556" t="str">
        <x:v>VB-21745</x:v>
      </x:c>
      <x:c r="D8556" t="str">
        <x:v>Victoria Brennan</x:v>
      </x:c>
      <x:c r="E8556" t="str">
        <x:v>Corporate</x:v>
      </x:c>
      <x:c r="F8556" t="str">
        <x:v>Central</x:v>
      </x:c>
      <x:c r="G8556" t="str">
        <x:v>Office Supplies</x:v>
      </x:c>
      <x:c r="H8556" t="str">
        <x:v>Fasteners</x:v>
      </x:c>
      <x:c r="I8556" s="22" t="n">
        <x:v>14.432</x:v>
      </x:c>
      <x:c r="J8556" s="24" t="n">
        <x:v>4</x:v>
      </x:c>
      <x:c r="K8556" s="26" t="n">
        <x:v>0.2</x:v>
      </x:c>
      <x:c r="L8556" s="22" t="n">
        <x:v>3.4276000000000004</x:v>
      </x:c>
      <x:c r="M8556" t="n">
        <x:v>2015</x:v>
      </x:c>
      <x:c r="N8556" s="20" t="n">
        <x:v>42186</x:v>
      </x:c>
    </x:row>
    <x:row r="8557" ht="18" customHeight="1">
      <x:c r="A8557" t="str">
        <x:v>CA-2014-140473</x:v>
      </x:c>
      <x:c r="B8557" s="18" t="n">
        <x:v>41789</x:v>
      </x:c>
      <x:c r="C8557" t="str">
        <x:v>MC-17425</x:v>
      </x:c>
      <x:c r="D8557" t="str">
        <x:v>Mark Cousins</x:v>
      </x:c>
      <x:c r="E8557" t="str">
        <x:v>Corporate</x:v>
      </x:c>
      <x:c r="F8557" t="str">
        <x:v>Central</x:v>
      </x:c>
      <x:c r="G8557" t="str">
        <x:v>Technology</x:v>
      </x:c>
      <x:c r="H8557" t="str">
        <x:v>Copiers</x:v>
      </x:c>
      <x:c r="I8557" s="22" t="n">
        <x:v>719.9760000000001</x:v>
      </x:c>
      <x:c r="J8557" s="24" t="n">
        <x:v>3</x:v>
      </x:c>
      <x:c r="K8557" s="26" t="n">
        <x:v>0.2</x:v>
      </x:c>
      <x:c r="L8557" s="22" t="n">
        <x:v>134.9955</x:v>
      </x:c>
      <x:c r="M8557" t="n">
        <x:v>2014</x:v>
      </x:c>
      <x:c r="N8557" s="20" t="n">
        <x:v>41760</x:v>
      </x:c>
    </x:row>
    <x:row r="8558" ht="18" customHeight="1">
      <x:c r="A8558" t="str">
        <x:v>US-2017-102904</x:v>
      </x:c>
      <x:c r="B8558" s="18" t="n">
        <x:v>43052</x:v>
      </x:c>
      <x:c r="C8558" t="str">
        <x:v>CB-12025</x:v>
      </x:c>
      <x:c r="D8558" t="str">
        <x:v>Cassandra Brandow</x:v>
      </x:c>
      <x:c r="E8558" t="str">
        <x:v>Consumer</x:v>
      </x:c>
      <x:c r="F8558" t="str">
        <x:v>South</x:v>
      </x:c>
      <x:c r="G8558" t="str">
        <x:v>Technology</x:v>
      </x:c>
      <x:c r="H8558" t="str">
        <x:v>Accessories</x:v>
      </x:c>
      <x:c r="I8558" s="22" t="n">
        <x:v>239.92</x:v>
      </x:c>
      <x:c r="J8558" s="24" t="n">
        <x:v>8</x:v>
      </x:c>
      <x:c r="K8558" s="26" t="n">
        <x:v>0</x:v>
      </x:c>
      <x:c r="L8558" s="22" t="n">
        <x:v>23.99199999999999</x:v>
      </x:c>
      <x:c r="M8558" t="n">
        <x:v>2017</x:v>
      </x:c>
      <x:c r="N8558" s="20" t="n">
        <x:v>43040</x:v>
      </x:c>
    </x:row>
    <x:row r="8559" ht="18" customHeight="1">
      <x:c r="A8559" t="str">
        <x:v>CA-2016-102092</x:v>
      </x:c>
      <x:c r="B8559" s="18" t="n">
        <x:v>42713</x:v>
      </x:c>
      <x:c r="C8559" t="str">
        <x:v>PM-18940</x:v>
      </x:c>
      <x:c r="D8559" t="str">
        <x:v>Paul MacIntyre</x:v>
      </x:c>
      <x:c r="E8559" t="str">
        <x:v>Consumer</x:v>
      </x:c>
      <x:c r="F8559" t="str">
        <x:v>South</x:v>
      </x:c>
      <x:c r="G8559" t="str">
        <x:v>Furniture</x:v>
      </x:c>
      <x:c r="H8559" t="str">
        <x:v>Tables</x:v>
      </x:c>
      <x:c r="I8559" s="22" t="n">
        <x:v>1056.86</x:v>
      </x:c>
      <x:c r="J8559" s="24" t="n">
        <x:v>7</x:v>
      </x:c>
      <x:c r="K8559" s="26" t="n">
        <x:v>0</x:v>
      </x:c>
      <x:c r="L8559" s="22" t="n">
        <x:v>158.52899999999994</x:v>
      </x:c>
      <x:c r="M8559" t="n">
        <x:v>2016</x:v>
      </x:c>
      <x:c r="N8559" s="20" t="n">
        <x:v>42705</x:v>
      </x:c>
    </x:row>
    <x:row r="8560" ht="18" customHeight="1">
      <x:c r="A8560" t="str">
        <x:v>CA-2015-117884</x:v>
      </x:c>
      <x:c r="B8560" s="18" t="n">
        <x:v>42085</x:v>
      </x:c>
      <x:c r="C8560" t="str">
        <x:v>DC-13285</x:v>
      </x:c>
      <x:c r="D8560" t="str">
        <x:v>Debra Catini</x:v>
      </x:c>
      <x:c r="E8560" t="str">
        <x:v>Consumer</x:v>
      </x:c>
      <x:c r="F8560" t="str">
        <x:v>South</x:v>
      </x:c>
      <x:c r="G8560" t="str">
        <x:v>Technology</x:v>
      </x:c>
      <x:c r="H8560" t="str">
        <x:v>Accessories</x:v>
      </x:c>
      <x:c r="I8560" s="22" t="n">
        <x:v>447.94399999999996</x:v>
      </x:c>
      <x:c r="J8560" s="24" t="n">
        <x:v>7</x:v>
      </x:c>
      <x:c r="K8560" s="26" t="n">
        <x:v>0.2</x:v>
      </x:c>
      <x:c r="L8560" s="22" t="n">
        <x:v>89.58879999999999</x:v>
      </x:c>
      <x:c r="M8560" t="n">
        <x:v>2015</x:v>
      </x:c>
      <x:c r="N8560" s="20" t="n">
        <x:v>42064</x:v>
      </x:c>
    </x:row>
    <x:row r="8561" ht="18" customHeight="1">
      <x:c r="A8561" t="str">
        <x:v>CA-2015-117884</x:v>
      </x:c>
      <x:c r="B8561" s="18" t="n">
        <x:v>42085</x:v>
      </x:c>
      <x:c r="C8561" t="str">
        <x:v>DC-13285</x:v>
      </x:c>
      <x:c r="D8561" t="str">
        <x:v>Debra Catini</x:v>
      </x:c>
      <x:c r="E8561" t="str">
        <x:v>Consumer</x:v>
      </x:c>
      <x:c r="F8561" t="str">
        <x:v>South</x:v>
      </x:c>
      <x:c r="G8561" t="str">
        <x:v>Office Supplies</x:v>
      </x:c>
      <x:c r="H8561" t="str">
        <x:v>Storage</x:v>
      </x:c>
      <x:c r="I8561" s="22" t="n">
        <x:v>150.408</x:v>
      </x:c>
      <x:c r="J8561" s="24" t="n">
        <x:v>9</x:v>
      </x:c>
      <x:c r="K8561" s="26" t="n">
        <x:v>0.2</x:v>
      </x:c>
      <x:c r="L8561" s="22" t="n">
        <x:v>-33.8418</x:v>
      </x:c>
      <x:c r="M8561" t="n">
        <x:v>2015</x:v>
      </x:c>
      <x:c r="N8561" s="20" t="n">
        <x:v>42064</x:v>
      </x:c>
    </x:row>
    <x:row r="8562" ht="18" customHeight="1">
      <x:c r="A8562" t="str">
        <x:v>CA-2016-132829</x:v>
      </x:c>
      <x:c r="B8562" s="18" t="n">
        <x:v>42727</x:v>
      </x:c>
      <x:c r="C8562" t="str">
        <x:v>LA-16780</x:v>
      </x:c>
      <x:c r="D8562" t="str">
        <x:v>Laura Armstrong</x:v>
      </x:c>
      <x:c r="E8562" t="str">
        <x:v>Corporate</x:v>
      </x:c>
      <x:c r="F8562" t="str">
        <x:v>Central</x:v>
      </x:c>
      <x:c r="G8562" t="str">
        <x:v>Technology</x:v>
      </x:c>
      <x:c r="H8562" t="str">
        <x:v>Phones</x:v>
      </x:c>
      <x:c r="I8562" s="22" t="n">
        <x:v>453.576</x:v>
      </x:c>
      <x:c r="J8562" s="24" t="n">
        <x:v>3</x:v>
      </x:c>
      <x:c r="K8562" s="26" t="n">
        <x:v>0.2</x:v>
      </x:c>
      <x:c r="L8562" s="22" t="n">
        <x:v>39.687899999999985</x:v>
      </x:c>
      <x:c r="M8562" t="n">
        <x:v>2016</x:v>
      </x:c>
      <x:c r="N8562" s="20" t="n">
        <x:v>42705</x:v>
      </x:c>
    </x:row>
    <x:row r="8563" ht="18" customHeight="1">
      <x:c r="A8563" t="str">
        <x:v>CA-2016-132829</x:v>
      </x:c>
      <x:c r="B8563" s="18" t="n">
        <x:v>42727</x:v>
      </x:c>
      <x:c r="C8563" t="str">
        <x:v>LA-16780</x:v>
      </x:c>
      <x:c r="D8563" t="str">
        <x:v>Laura Armstrong</x:v>
      </x:c>
      <x:c r="E8563" t="str">
        <x:v>Corporate</x:v>
      </x:c>
      <x:c r="F8563" t="str">
        <x:v>Central</x:v>
      </x:c>
      <x:c r="G8563" t="str">
        <x:v>Office Supplies</x:v>
      </x:c>
      <x:c r="H8563" t="str">
        <x:v>Labels</x:v>
      </x:c>
      <x:c r="I8563" s="22" t="n">
        <x:v>45.36</x:v>
      </x:c>
      <x:c r="J8563" s="24" t="n">
        <x:v>9</x:v>
      </x:c>
      <x:c r="K8563" s="26" t="n">
        <x:v>0.2</x:v>
      </x:c>
      <x:c r="L8563" s="22" t="n">
        <x:v>14.741999999999997</x:v>
      </x:c>
      <x:c r="M8563" t="n">
        <x:v>2016</x:v>
      </x:c>
      <x:c r="N8563" s="20" t="n">
        <x:v>42705</x:v>
      </x:c>
    </x:row>
    <x:row r="8564" ht="18" customHeight="1">
      <x:c r="A8564" t="str">
        <x:v>CA-2016-132829</x:v>
      </x:c>
      <x:c r="B8564" s="18" t="n">
        <x:v>42727</x:v>
      </x:c>
      <x:c r="C8564" t="str">
        <x:v>LA-16780</x:v>
      </x:c>
      <x:c r="D8564" t="str">
        <x:v>Laura Armstrong</x:v>
      </x:c>
      <x:c r="E8564" t="str">
        <x:v>Corporate</x:v>
      </x:c>
      <x:c r="F8564" t="str">
        <x:v>Central</x:v>
      </x:c>
      <x:c r="G8564" t="str">
        <x:v>Technology</x:v>
      </x:c>
      <x:c r="H8564" t="str">
        <x:v>Phones</x:v>
      </x:c>
      <x:c r="I8564" s="22" t="n">
        <x:v>287.88</x:v>
      </x:c>
      <x:c r="J8564" s="24" t="n">
        <x:v>3</x:v>
      </x:c>
      <x:c r="K8564" s="26" t="n">
        <x:v>0.2</x:v>
      </x:c>
      <x:c r="L8564" s="22" t="n">
        <x:v>35.985</x:v>
      </x:c>
      <x:c r="M8564" t="n">
        <x:v>2016</x:v>
      </x:c>
      <x:c r="N8564" s="20" t="n">
        <x:v>42705</x:v>
      </x:c>
    </x:row>
    <x:row r="8565" ht="18" customHeight="1">
      <x:c r="A8565" t="str">
        <x:v>CA-2016-132829</x:v>
      </x:c>
      <x:c r="B8565" s="18" t="n">
        <x:v>42727</x:v>
      </x:c>
      <x:c r="C8565" t="str">
        <x:v>LA-16780</x:v>
      </x:c>
      <x:c r="D8565" t="str">
        <x:v>Laura Armstrong</x:v>
      </x:c>
      <x:c r="E8565" t="str">
        <x:v>Corporate</x:v>
      </x:c>
      <x:c r="F8565" t="str">
        <x:v>Central</x:v>
      </x:c>
      <x:c r="G8565" t="str">
        <x:v>Technology</x:v>
      </x:c>
      <x:c r="H8565" t="str">
        <x:v>Phones</x:v>
      </x:c>
      <x:c r="I8565" s="22" t="n">
        <x:v>131.88000000000002</x:v>
      </x:c>
      <x:c r="J8565" s="24" t="n">
        <x:v>3</x:v>
      </x:c>
      <x:c r="K8565" s="26" t="n">
        <x:v>0.2</x:v>
      </x:c>
      <x:c r="L8565" s="22" t="n">
        <x:v>14.836499999999987</x:v>
      </x:c>
      <x:c r="M8565" t="n">
        <x:v>2016</x:v>
      </x:c>
      <x:c r="N8565" s="20" t="n">
        <x:v>42705</x:v>
      </x:c>
    </x:row>
    <x:row r="8566" ht="18" customHeight="1">
      <x:c r="A8566" t="str">
        <x:v>CA-2016-132829</x:v>
      </x:c>
      <x:c r="B8566" s="18" t="n">
        <x:v>42727</x:v>
      </x:c>
      <x:c r="C8566" t="str">
        <x:v>LA-16780</x:v>
      </x:c>
      <x:c r="D8566" t="str">
        <x:v>Laura Armstrong</x:v>
      </x:c>
      <x:c r="E8566" t="str">
        <x:v>Corporate</x:v>
      </x:c>
      <x:c r="F8566" t="str">
        <x:v>Central</x:v>
      </x:c>
      <x:c r="G8566" t="str">
        <x:v>Furniture</x:v>
      </x:c>
      <x:c r="H8566" t="str">
        <x:v>Furnishings</x:v>
      </x:c>
      <x:c r="I8566" s="22" t="n">
        <x:v>2.3280000000000003</x:v>
      </x:c>
      <x:c r="J8566" s="24" t="n">
        <x:v>2</x:v>
      </x:c>
      <x:c r="K8566" s="26" t="n">
        <x:v>0.6</x:v>
      </x:c>
      <x:c r="L8566" s="22" t="n">
        <x:v>-0.7566000000000002</x:v>
      </x:c>
      <x:c r="M8566" t="n">
        <x:v>2016</x:v>
      </x:c>
      <x:c r="N8566" s="20" t="n">
        <x:v>42705</x:v>
      </x:c>
    </x:row>
    <x:row r="8567" ht="18" customHeight="1">
      <x:c r="A8567" t="str">
        <x:v>CA-2016-123540</x:v>
      </x:c>
      <x:c r="B8567" s="18" t="n">
        <x:v>42462</x:v>
      </x:c>
      <x:c r="C8567" t="str">
        <x:v>DJ-13420</x:v>
      </x:c>
      <x:c r="D8567" t="str">
        <x:v>Denny Joy</x:v>
      </x:c>
      <x:c r="E8567" t="str">
        <x:v>Corporate</x:v>
      </x:c>
      <x:c r="F8567" t="str">
        <x:v>Central</x:v>
      </x:c>
      <x:c r="G8567" t="str">
        <x:v>Furniture</x:v>
      </x:c>
      <x:c r="H8567" t="str">
        <x:v>Chairs</x:v>
      </x:c>
      <x:c r="I8567" s="22" t="n">
        <x:v>1454.9</x:v>
      </x:c>
      <x:c r="J8567" s="24" t="n">
        <x:v>5</x:v>
      </x:c>
      <x:c r="K8567" s="26" t="n">
        <x:v>0</x:v>
      </x:c>
      <x:c r="L8567" s="22" t="n">
        <x:v>378.274</x:v>
      </x:c>
      <x:c r="M8567" t="n">
        <x:v>2016</x:v>
      </x:c>
      <x:c r="N8567" s="20" t="n">
        <x:v>42461</x:v>
      </x:c>
    </x:row>
    <x:row r="8568" ht="18" customHeight="1">
      <x:c r="A8568" t="str">
        <x:v>US-2017-108315</x:v>
      </x:c>
      <x:c r="B8568" s="18" t="n">
        <x:v>42855</x:v>
      </x:c>
      <x:c r="C8568" t="str">
        <x:v>MH-18115</x:v>
      </x:c>
      <x:c r="D8568" t="str">
        <x:v>Mick Hernandez</x:v>
      </x:c>
      <x:c r="E8568" t="str">
        <x:v>Home Office</x:v>
      </x:c>
      <x:c r="F8568" t="str">
        <x:v>South</x:v>
      </x:c>
      <x:c r="G8568" t="str">
        <x:v>Office Supplies</x:v>
      </x:c>
      <x:c r="H8568" t="str">
        <x:v>Binders</x:v>
      </x:c>
      <x:c r="I8568" s="22" t="n">
        <x:v>4.8420000000000005</x:v>
      </x:c>
      <x:c r="J8568" s="24" t="n">
        <x:v>3</x:v>
      </x:c>
      <x:c r="K8568" s="26" t="n">
        <x:v>0.7</x:v>
      </x:c>
      <x:c r="L8568" s="22" t="n">
        <x:v>-3.550799999999999</x:v>
      </x:c>
      <x:c r="M8568" t="n">
        <x:v>2017</x:v>
      </x:c>
      <x:c r="N8568" s="20" t="n">
        <x:v>42826</x:v>
      </x:c>
    </x:row>
    <x:row r="8569" ht="18" customHeight="1">
      <x:c r="A8569" t="str">
        <x:v>US-2017-108315</x:v>
      </x:c>
      <x:c r="B8569" s="18" t="n">
        <x:v>42855</x:v>
      </x:c>
      <x:c r="C8569" t="str">
        <x:v>MH-18115</x:v>
      </x:c>
      <x:c r="D8569" t="str">
        <x:v>Mick Hernandez</x:v>
      </x:c>
      <x:c r="E8569" t="str">
        <x:v>Home Office</x:v>
      </x:c>
      <x:c r="F8569" t="str">
        <x:v>South</x:v>
      </x:c>
      <x:c r="G8569" t="str">
        <x:v>Furniture</x:v>
      </x:c>
      <x:c r="H8569" t="str">
        <x:v>Furnishings</x:v>
      </x:c>
      <x:c r="I8569" s="22" t="n">
        <x:v>220.704</x:v>
      </x:c>
      <x:c r="J8569" s="24" t="n">
        <x:v>6</x:v>
      </x:c>
      <x:c r="K8569" s="26" t="n">
        <x:v>0.2</x:v>
      </x:c>
      <x:c r="L8569" s="22" t="n">
        <x:v>-8.276400000000038</x:v>
      </x:c>
      <x:c r="M8569" t="n">
        <x:v>2017</x:v>
      </x:c>
      <x:c r="N8569" s="20" t="n">
        <x:v>42826</x:v>
      </x:c>
    </x:row>
    <x:row r="8570" ht="18" customHeight="1">
      <x:c r="A8570" t="str">
        <x:v>CA-2016-134110</x:v>
      </x:c>
      <x:c r="B8570" s="18" t="n">
        <x:v>42691</x:v>
      </x:c>
      <x:c r="C8570" t="str">
        <x:v>BG-11035</x:v>
      </x:c>
      <x:c r="D8570" t="str">
        <x:v>Barry Gonzalez</x:v>
      </x:c>
      <x:c r="E8570" t="str">
        <x:v>Consumer</x:v>
      </x:c>
      <x:c r="F8570" t="str">
        <x:v>Central</x:v>
      </x:c>
      <x:c r="G8570" t="str">
        <x:v>Technology</x:v>
      </x:c>
      <x:c r="H8570" t="str">
        <x:v>Phones</x:v>
      </x:c>
      <x:c r="I8570" s="22" t="n">
        <x:v>67.176</x:v>
      </x:c>
      <x:c r="J8570" s="24" t="n">
        <x:v>3</x:v>
      </x:c>
      <x:c r="K8570" s="26" t="n">
        <x:v>0.2</x:v>
      </x:c>
      <x:c r="L8570" s="22" t="n">
        <x:v>6.717599999999997</x:v>
      </x:c>
      <x:c r="M8570" t="n">
        <x:v>2016</x:v>
      </x:c>
      <x:c r="N8570" s="20" t="n">
        <x:v>42675</x:v>
      </x:c>
    </x:row>
    <x:row r="8571" ht="18" customHeight="1">
      <x:c r="A8571" t="str">
        <x:v>CA-2016-134110</x:v>
      </x:c>
      <x:c r="B8571" s="18" t="n">
        <x:v>42691</x:v>
      </x:c>
      <x:c r="C8571" t="str">
        <x:v>BG-11035</x:v>
      </x:c>
      <x:c r="D8571" t="str">
        <x:v>Barry Gonzalez</x:v>
      </x:c>
      <x:c r="E8571" t="str">
        <x:v>Consumer</x:v>
      </x:c>
      <x:c r="F8571" t="str">
        <x:v>Central</x:v>
      </x:c>
      <x:c r="G8571" t="str">
        <x:v>Office Supplies</x:v>
      </x:c>
      <x:c r="H8571" t="str">
        <x:v>Paper</x:v>
      </x:c>
      <x:c r="I8571" s="22" t="n">
        <x:v>15.232</x:v>
      </x:c>
      <x:c r="J8571" s="24" t="n">
        <x:v>4</x:v>
      </x:c>
      <x:c r="K8571" s="26" t="n">
        <x:v>0.2</x:v>
      </x:c>
      <x:c r="L8571" s="22" t="n">
        <x:v>5.521599999999999</x:v>
      </x:c>
      <x:c r="M8571" t="n">
        <x:v>2016</x:v>
      </x:c>
      <x:c r="N8571" s="20" t="n">
        <x:v>42675</x:v>
      </x:c>
    </x:row>
    <x:row r="8572" ht="18" customHeight="1">
      <x:c r="A8572" t="str">
        <x:v>US-2016-136581</x:v>
      </x:c>
      <x:c r="B8572" s="18" t="n">
        <x:v>42684</x:v>
      </x:c>
      <x:c r="C8572" t="str">
        <x:v>SV-20365</x:v>
      </x:c>
      <x:c r="D8572" t="str">
        <x:v>Seth Vernon</x:v>
      </x:c>
      <x:c r="E8572" t="str">
        <x:v>Consumer</x:v>
      </x:c>
      <x:c r="F8572" t="str">
        <x:v>East</x:v>
      </x:c>
      <x:c r="G8572" t="str">
        <x:v>Office Supplies</x:v>
      </x:c>
      <x:c r="H8572" t="str">
        <x:v>Paper</x:v>
      </x:c>
      <x:c r="I8572" s="22" t="n">
        <x:v>31.104000000000006</x:v>
      </x:c>
      <x:c r="J8572" s="24" t="n">
        <x:v>6</x:v>
      </x:c>
      <x:c r="K8572" s="26" t="n">
        <x:v>0.2</x:v>
      </x:c>
      <x:c r="L8572" s="22" t="n">
        <x:v>10.8864</x:v>
      </x:c>
      <x:c r="M8572" t="n">
        <x:v>2016</x:v>
      </x:c>
      <x:c r="N8572" s="20" t="n">
        <x:v>42675</x:v>
      </x:c>
    </x:row>
    <x:row r="8573" ht="18" customHeight="1">
      <x:c r="A8573" t="str">
        <x:v>CA-2016-162390</x:v>
      </x:c>
      <x:c r="B8573" s="18" t="n">
        <x:v>42710</x:v>
      </x:c>
      <x:c r="C8573" t="str">
        <x:v>DP-13105</x:v>
      </x:c>
      <x:c r="D8573" t="str">
        <x:v>Dave Poirier</x:v>
      </x:c>
      <x:c r="E8573" t="str">
        <x:v>Corporate</x:v>
      </x:c>
      <x:c r="F8573" t="str">
        <x:v>East</x:v>
      </x:c>
      <x:c r="G8573" t="str">
        <x:v>Office Supplies</x:v>
      </x:c>
      <x:c r="H8573" t="str">
        <x:v>Binders</x:v>
      </x:c>
      <x:c r="I8573" s="22" t="n">
        <x:v>968.7440000000001</x:v>
      </x:c>
      <x:c r="J8573" s="24" t="n">
        <x:v>7</x:v>
      </x:c>
      <x:c r="K8573" s="26" t="n">
        <x:v>0.2</x:v>
      </x:c>
      <x:c r="L8573" s="22" t="n">
        <x:v>314.84180000000003</x:v>
      </x:c>
      <x:c r="M8573" t="n">
        <x:v>2016</x:v>
      </x:c>
      <x:c r="N8573" s="20" t="n">
        <x:v>42705</x:v>
      </x:c>
    </x:row>
    <x:row r="8574" ht="18" customHeight="1">
      <x:c r="A8574" t="str">
        <x:v>CA-2016-162390</x:v>
      </x:c>
      <x:c r="B8574" s="18" t="n">
        <x:v>42710</x:v>
      </x:c>
      <x:c r="C8574" t="str">
        <x:v>DP-13105</x:v>
      </x:c>
      <x:c r="D8574" t="str">
        <x:v>Dave Poirier</x:v>
      </x:c>
      <x:c r="E8574" t="str">
        <x:v>Corporate</x:v>
      </x:c>
      <x:c r="F8574" t="str">
        <x:v>East</x:v>
      </x:c>
      <x:c r="G8574" t="str">
        <x:v>Office Supplies</x:v>
      </x:c>
      <x:c r="H8574" t="str">
        <x:v>Binders</x:v>
      </x:c>
      <x:c r="I8574" s="22" t="n">
        <x:v>222.35199999999998</x:v>
      </x:c>
      <x:c r="J8574" s="24" t="n">
        <x:v>13</x:v>
      </x:c>
      <x:c r="K8574" s="26" t="n">
        <x:v>0.2</x:v>
      </x:c>
      <x:c r="L8574" s="22" t="n">
        <x:v>77.82320000000001</x:v>
      </x:c>
      <x:c r="M8574" t="n">
        <x:v>2016</x:v>
      </x:c>
      <x:c r="N8574" s="20" t="n">
        <x:v>42705</x:v>
      </x:c>
    </x:row>
    <x:row r="8575" ht="18" customHeight="1">
      <x:c r="A8575" t="str">
        <x:v>CA-2016-162390</x:v>
      </x:c>
      <x:c r="B8575" s="18" t="n">
        <x:v>42710</x:v>
      </x:c>
      <x:c r="C8575" t="str">
        <x:v>DP-13105</x:v>
      </x:c>
      <x:c r="D8575" t="str">
        <x:v>Dave Poirier</x:v>
      </x:c>
      <x:c r="E8575" t="str">
        <x:v>Corporate</x:v>
      </x:c>
      <x:c r="F8575" t="str">
        <x:v>East</x:v>
      </x:c>
      <x:c r="G8575" t="str">
        <x:v>Technology</x:v>
      </x:c>
      <x:c r="H8575" t="str">
        <x:v>Copiers</x:v>
      </x:c>
      <x:c r="I8575" s="22" t="n">
        <x:v>479.98400000000004</x:v>
      </x:c>
      <x:c r="J8575" s="24" t="n">
        <x:v>2</x:v>
      </x:c>
      <x:c r="K8575" s="26" t="n">
        <x:v>0.2</x:v>
      </x:c>
      <x:c r="L8575" s="22" t="n">
        <x:v>89.99699999999999</x:v>
      </x:c>
      <x:c r="M8575" t="n">
        <x:v>2016</x:v>
      </x:c>
      <x:c r="N8575" s="20" t="n">
        <x:v>42705</x:v>
      </x:c>
    </x:row>
    <x:row r="8576" ht="18" customHeight="1">
      <x:c r="A8576" t="str">
        <x:v>CA-2016-162222</x:v>
      </x:c>
      <x:c r="B8576" s="18" t="n">
        <x:v>42463</x:v>
      </x:c>
      <x:c r="C8576" t="str">
        <x:v>SR-20740</x:v>
      </x:c>
      <x:c r="D8576" t="str">
        <x:v>Steven Roelle</x:v>
      </x:c>
      <x:c r="E8576" t="str">
        <x:v>Home Office</x:v>
      </x:c>
      <x:c r="F8576" t="str">
        <x:v>Central</x:v>
      </x:c>
      <x:c r="G8576" t="str">
        <x:v>Office Supplies</x:v>
      </x:c>
      <x:c r="H8576" t="str">
        <x:v>Paper</x:v>
      </x:c>
      <x:c r="I8576" s="22" t="n">
        <x:v>10.272000000000002</x:v>
      </x:c>
      <x:c r="J8576" s="24" t="n">
        <x:v>3</x:v>
      </x:c>
      <x:c r="K8576" s="26" t="n">
        <x:v>0.2</x:v>
      </x:c>
      <x:c r="L8576" s="22" t="n">
        <x:v>3.209999999999998</x:v>
      </x:c>
      <x:c r="M8576" t="n">
        <x:v>2016</x:v>
      </x:c>
      <x:c r="N8576" s="20" t="n">
        <x:v>42461</x:v>
      </x:c>
    </x:row>
    <x:row r="8577" ht="18" customHeight="1">
      <x:c r="A8577" t="str">
        <x:v>CA-2014-121629</x:v>
      </x:c>
      <x:c r="B8577" s="18" t="n">
        <x:v>41971</x:v>
      </x:c>
      <x:c r="C8577" t="str">
        <x:v>BT-11680</x:v>
      </x:c>
      <x:c r="D8577" t="str">
        <x:v>Brian Thompson</x:v>
      </x:c>
      <x:c r="E8577" t="str">
        <x:v>Consumer</x:v>
      </x:c>
      <x:c r="F8577" t="str">
        <x:v>Central</x:v>
      </x:c>
      <x:c r="G8577" t="str">
        <x:v>Technology</x:v>
      </x:c>
      <x:c r="H8577" t="str">
        <x:v>Machines</x:v>
      </x:c>
      <x:c r="I8577" s="22" t="n">
        <x:v>998.8499999999999</x:v>
      </x:c>
      <x:c r="J8577" s="24" t="n">
        <x:v>5</x:v>
      </x:c>
      <x:c r="K8577" s="26" t="n">
        <x:v>0.4</x:v>
      </x:c>
      <x:c r="L8577" s="22" t="n">
        <x:v>-199.7700000000001</x:v>
      </x:c>
      <x:c r="M8577" t="n">
        <x:v>2014</x:v>
      </x:c>
      <x:c r="N8577" s="20" t="n">
        <x:v>41944</x:v>
      </x:c>
    </x:row>
    <x:row r="8578" ht="18" customHeight="1">
      <x:c r="A8578" t="str">
        <x:v>CA-2015-164623</x:v>
      </x:c>
      <x:c r="B8578" s="18" t="n">
        <x:v>42297</x:v>
      </x:c>
      <x:c r="C8578" t="str">
        <x:v>MS-17770</x:v>
      </x:c>
      <x:c r="D8578" t="str">
        <x:v>Maxwell Schwartz</x:v>
      </x:c>
      <x:c r="E8578" t="str">
        <x:v>Consumer</x:v>
      </x:c>
      <x:c r="F8578" t="str">
        <x:v>East</x:v>
      </x:c>
      <x:c r="G8578" t="str">
        <x:v>Office Supplies</x:v>
      </x:c>
      <x:c r="H8578" t="str">
        <x:v>Paper</x:v>
      </x:c>
      <x:c r="I8578" s="22" t="n">
        <x:v>24.56</x:v>
      </x:c>
      <x:c r="J8578" s="24" t="n">
        <x:v>2</x:v>
      </x:c>
      <x:c r="K8578" s="26" t="n">
        <x:v>0</x:v>
      </x:c>
      <x:c r="L8578" s="22" t="n">
        <x:v>11.543199999999999</x:v>
      </x:c>
      <x:c r="M8578" t="n">
        <x:v>2015</x:v>
      </x:c>
      <x:c r="N8578" s="20" t="n">
        <x:v>42278</x:v>
      </x:c>
    </x:row>
    <x:row r="8579" ht="18" customHeight="1">
      <x:c r="A8579" t="str">
        <x:v>CA-2014-159849</x:v>
      </x:c>
      <x:c r="B8579" s="18" t="n">
        <x:v>41901</x:v>
      </x:c>
      <x:c r="C8579" t="str">
        <x:v>JK-15640</x:v>
      </x:c>
      <x:c r="D8579" t="str">
        <x:v>Jim Kriz</x:v>
      </x:c>
      <x:c r="E8579" t="str">
        <x:v>Home Office</x:v>
      </x:c>
      <x:c r="F8579" t="str">
        <x:v>West</x:v>
      </x:c>
      <x:c r="G8579" t="str">
        <x:v>Office Supplies</x:v>
      </x:c>
      <x:c r="H8579" t="str">
        <x:v>Fasteners</x:v>
      </x:c>
      <x:c r="I8579" s="22" t="n">
        <x:v>5.67</x:v>
      </x:c>
      <x:c r="J8579" s="24" t="n">
        <x:v>3</x:v>
      </x:c>
      <x:c r="K8579" s="26" t="n">
        <x:v>0</x:v>
      </x:c>
      <x:c r="L8579" s="22" t="n">
        <x:v>0.11340000000000017</x:v>
      </x:c>
      <x:c r="M8579" t="n">
        <x:v>2014</x:v>
      </x:c>
      <x:c r="N8579" s="20" t="n">
        <x:v>41883</x:v>
      </x:c>
    </x:row>
    <x:row r="8580" ht="18" customHeight="1">
      <x:c r="A8580" t="str">
        <x:v>CA-2017-101273</x:v>
      </x:c>
      <x:c r="B8580" s="18" t="n">
        <x:v>42974</x:v>
      </x:c>
      <x:c r="C8580" t="str">
        <x:v>ST-20530</x:v>
      </x:c>
      <x:c r="D8580" t="str">
        <x:v>Shui Tom</x:v>
      </x:c>
      <x:c r="E8580" t="str">
        <x:v>Consumer</x:v>
      </x:c>
      <x:c r="F8580" t="str">
        <x:v>South</x:v>
      </x:c>
      <x:c r="G8580" t="str">
        <x:v>Office Supplies</x:v>
      </x:c>
      <x:c r="H8580" t="str">
        <x:v>Appliances</x:v>
      </x:c>
      <x:c r="I8580" s="22" t="n">
        <x:v>14.336000000000002</x:v>
      </x:c>
      <x:c r="J8580" s="24" t="n">
        <x:v>4</x:v>
      </x:c>
      <x:c r="K8580" s="26" t="n">
        <x:v>0.2</x:v>
      </x:c>
      <x:c r="L8580" s="22" t="n">
        <x:v>0.8959999999999999</x:v>
      </x:c>
      <x:c r="M8580" t="n">
        <x:v>2017</x:v>
      </x:c>
      <x:c r="N8580" s="20" t="n">
        <x:v>42948</x:v>
      </x:c>
    </x:row>
    <x:row r="8581" ht="18" customHeight="1">
      <x:c r="A8581" t="str">
        <x:v>CA-2017-106747</x:v>
      </x:c>
      <x:c r="B8581" s="18" t="n">
        <x:v>42919</x:v>
      </x:c>
      <x:c r="C8581" t="str">
        <x:v>TS-21505</x:v>
      </x:c>
      <x:c r="D8581" t="str">
        <x:v>Tony Sayre</x:v>
      </x:c>
      <x:c r="E8581" t="str">
        <x:v>Consumer</x:v>
      </x:c>
      <x:c r="F8581" t="str">
        <x:v>East</x:v>
      </x:c>
      <x:c r="G8581" t="str">
        <x:v>Furniture</x:v>
      </x:c>
      <x:c r="H8581" t="str">
        <x:v>Furnishings</x:v>
      </x:c>
      <x:c r="I8581" s="22" t="n">
        <x:v>102.3</x:v>
      </x:c>
      <x:c r="J8581" s="24" t="n">
        <x:v>1</x:v>
      </x:c>
      <x:c r="K8581" s="26" t="n">
        <x:v>0</x:v>
      </x:c>
      <x:c r="L8581" s="22" t="n">
        <x:v>26.598</x:v>
      </x:c>
      <x:c r="M8581" t="n">
        <x:v>2017</x:v>
      </x:c>
      <x:c r="N8581" s="20" t="n">
        <x:v>42917</x:v>
      </x:c>
    </x:row>
    <x:row r="8582" ht="18" customHeight="1">
      <x:c r="A8582" t="str">
        <x:v>CA-2017-146164</x:v>
      </x:c>
      <x:c r="B8582" s="18" t="n">
        <x:v>43091</x:v>
      </x:c>
      <x:c r="C8582" t="str">
        <x:v>CM-12190</x:v>
      </x:c>
      <x:c r="D8582" t="str">
        <x:v>Charlotte Melton</x:v>
      </x:c>
      <x:c r="E8582" t="str">
        <x:v>Consumer</x:v>
      </x:c>
      <x:c r="F8582" t="str">
        <x:v>Central</x:v>
      </x:c>
      <x:c r="G8582" t="str">
        <x:v>Furniture</x:v>
      </x:c>
      <x:c r="H8582" t="str">
        <x:v>Tables</x:v>
      </x:c>
      <x:c r="I8582" s="22" t="n">
        <x:v>607.52</x:v>
      </x:c>
      <x:c r="J8582" s="24" t="n">
        <x:v>2</x:v>
      </x:c>
      <x:c r="K8582" s="26" t="n">
        <x:v>0</x:v>
      </x:c>
      <x:c r="L8582" s="22" t="n">
        <x:v>97.20320000000004</x:v>
      </x:c>
      <x:c r="M8582" t="n">
        <x:v>2017</x:v>
      </x:c>
      <x:c r="N8582" s="20" t="n">
        <x:v>43070</x:v>
      </x:c>
    </x:row>
    <x:row r="8583" ht="18" customHeight="1">
      <x:c r="A8583" t="str">
        <x:v>CA-2017-146164</x:v>
      </x:c>
      <x:c r="B8583" s="18" t="n">
        <x:v>43091</x:v>
      </x:c>
      <x:c r="C8583" t="str">
        <x:v>CM-12190</x:v>
      </x:c>
      <x:c r="D8583" t="str">
        <x:v>Charlotte Melton</x:v>
      </x:c>
      <x:c r="E8583" t="str">
        <x:v>Consumer</x:v>
      </x:c>
      <x:c r="F8583" t="str">
        <x:v>Central</x:v>
      </x:c>
      <x:c r="G8583" t="str">
        <x:v>Office Supplies</x:v>
      </x:c>
      <x:c r="H8583" t="str">
        <x:v>Storage</x:v>
      </x:c>
      <x:c r="I8583" s="22" t="n">
        <x:v>31.16</x:v>
      </x:c>
      <x:c r="J8583" s="24" t="n">
        <x:v>2</x:v>
      </x:c>
      <x:c r="K8583" s="26" t="n">
        <x:v>0</x:v>
      </x:c>
      <x:c r="L8583" s="22" t="n">
        <x:v>7.789999999999999</x:v>
      </x:c>
      <x:c r="M8583" t="n">
        <x:v>2017</x:v>
      </x:c>
      <x:c r="N8583" s="20" t="n">
        <x:v>43070</x:v>
      </x:c>
    </x:row>
    <x:row r="8584" ht="18" customHeight="1">
      <x:c r="A8584" t="str">
        <x:v>CA-2016-111605</x:v>
      </x:c>
      <x:c r="B8584" s="18" t="n">
        <x:v>42731</x:v>
      </x:c>
      <x:c r="C8584" t="str">
        <x:v>JW-15955</x:v>
      </x:c>
      <x:c r="D8584" t="str">
        <x:v>Joni Wasserman</x:v>
      </x:c>
      <x:c r="E8584" t="str">
        <x:v>Consumer</x:v>
      </x:c>
      <x:c r="F8584" t="str">
        <x:v>South</x:v>
      </x:c>
      <x:c r="G8584" t="str">
        <x:v>Office Supplies</x:v>
      </x:c>
      <x:c r="H8584" t="str">
        <x:v>Labels</x:v>
      </x:c>
      <x:c r="I8584" s="22" t="n">
        <x:v>2.61</x:v>
      </x:c>
      <x:c r="J8584" s="24" t="n">
        <x:v>1</x:v>
      </x:c>
      <x:c r="K8584" s="26" t="n">
        <x:v>0</x:v>
      </x:c>
      <x:c r="L8584" s="22" t="n">
        <x:v>1.2006</x:v>
      </x:c>
      <x:c r="M8584" t="n">
        <x:v>2016</x:v>
      </x:c>
      <x:c r="N8584" s="20" t="n">
        <x:v>42705</x:v>
      </x:c>
    </x:row>
    <x:row r="8585" ht="18" customHeight="1">
      <x:c r="A8585" t="str">
        <x:v>CA-2014-130673</x:v>
      </x:c>
      <x:c r="B8585" s="18" t="n">
        <x:v>41779</x:v>
      </x:c>
      <x:c r="C8585" t="str">
        <x:v>MC-17590</x:v>
      </x:c>
      <x:c r="D8585" t="str">
        <x:v>Matt Collister</x:v>
      </x:c>
      <x:c r="E8585" t="str">
        <x:v>Corporate</x:v>
      </x:c>
      <x:c r="F8585" t="str">
        <x:v>Central</x:v>
      </x:c>
      <x:c r="G8585" t="str">
        <x:v>Furniture</x:v>
      </x:c>
      <x:c r="H8585" t="str">
        <x:v>Furnishings</x:v>
      </x:c>
      <x:c r="I8585" s="22" t="n">
        <x:v>10.332</x:v>
      </x:c>
      <x:c r="J8585" s="24" t="n">
        <x:v>3</x:v>
      </x:c>
      <x:c r="K8585" s="26" t="n">
        <x:v>0.6</x:v>
      </x:c>
      <x:c r="L8585" s="22" t="n">
        <x:v>-5.940899999999999</x:v>
      </x:c>
      <x:c r="M8585" t="n">
        <x:v>2014</x:v>
      </x:c>
      <x:c r="N8585" s="20" t="n">
        <x:v>41760</x:v>
      </x:c>
    </x:row>
    <x:row r="8586" ht="18" customHeight="1">
      <x:c r="A8586" t="str">
        <x:v>CA-2014-130673</x:v>
      </x:c>
      <x:c r="B8586" s="18" t="n">
        <x:v>41779</x:v>
      </x:c>
      <x:c r="C8586" t="str">
        <x:v>MC-17590</x:v>
      </x:c>
      <x:c r="D8586" t="str">
        <x:v>Matt Collister</x:v>
      </x:c>
      <x:c r="E8586" t="str">
        <x:v>Corporate</x:v>
      </x:c>
      <x:c r="F8586" t="str">
        <x:v>Central</x:v>
      </x:c>
      <x:c r="G8586" t="str">
        <x:v>Office Supplies</x:v>
      </x:c>
      <x:c r="H8586" t="str">
        <x:v>Paper</x:v>
      </x:c>
      <x:c r="I8586" s="22" t="n">
        <x:v>10.368000000000002</x:v>
      </x:c>
      <x:c r="J8586" s="24" t="n">
        <x:v>2</x:v>
      </x:c>
      <x:c r="K8586" s="26" t="n">
        <x:v>0.2</x:v>
      </x:c>
      <x:c r="L8586" s="22" t="n">
        <x:v>3.6288</x:v>
      </x:c>
      <x:c r="M8586" t="n">
        <x:v>2014</x:v>
      </x:c>
      <x:c r="N8586" s="20" t="n">
        <x:v>41760</x:v>
      </x:c>
    </x:row>
    <x:row r="8587" ht="18" customHeight="1">
      <x:c r="A8587" t="str">
        <x:v>CA-2014-130673</x:v>
      </x:c>
      <x:c r="B8587" s="18" t="n">
        <x:v>41779</x:v>
      </x:c>
      <x:c r="C8587" t="str">
        <x:v>MC-17590</x:v>
      </x:c>
      <x:c r="D8587" t="str">
        <x:v>Matt Collister</x:v>
      </x:c>
      <x:c r="E8587" t="str">
        <x:v>Corporate</x:v>
      </x:c>
      <x:c r="F8587" t="str">
        <x:v>Central</x:v>
      </x:c>
      <x:c r="G8587" t="str">
        <x:v>Technology</x:v>
      </x:c>
      <x:c r="H8587" t="str">
        <x:v>Accessories</x:v>
      </x:c>
      <x:c r="I8587" s="22" t="n">
        <x:v>20.784000000000002</x:v>
      </x:c>
      <x:c r="J8587" s="24" t="n">
        <x:v>2</x:v>
      </x:c>
      <x:c r="K8587" s="26" t="n">
        <x:v>0.2</x:v>
      </x:c>
      <x:c r="L8587" s="22" t="n">
        <x:v>-3.6372000000000027</x:v>
      </x:c>
      <x:c r="M8587" t="n">
        <x:v>2014</x:v>
      </x:c>
      <x:c r="N8587" s="20" t="n">
        <x:v>41760</x:v>
      </x:c>
    </x:row>
    <x:row r="8588" ht="18" customHeight="1">
      <x:c r="A8588" t="str">
        <x:v>CA-2014-130673</x:v>
      </x:c>
      <x:c r="B8588" s="18" t="n">
        <x:v>41779</x:v>
      </x:c>
      <x:c r="C8588" t="str">
        <x:v>MC-17590</x:v>
      </x:c>
      <x:c r="D8588" t="str">
        <x:v>Matt Collister</x:v>
      </x:c>
      <x:c r="E8588" t="str">
        <x:v>Corporate</x:v>
      </x:c>
      <x:c r="F8588" t="str">
        <x:v>Central</x:v>
      </x:c>
      <x:c r="G8588" t="str">
        <x:v>Office Supplies</x:v>
      </x:c>
      <x:c r="H8588" t="str">
        <x:v>Storage</x:v>
      </x:c>
      <x:c r="I8588" s="22" t="n">
        <x:v>66.96</x:v>
      </x:c>
      <x:c r="J8588" s="24" t="n">
        <x:v>5</x:v>
      </x:c>
      <x:c r="K8588" s="26" t="n">
        <x:v>0.2</x:v>
      </x:c>
      <x:c r="L8588" s="22" t="n">
        <x:v>-13.392000000000003</x:v>
      </x:c>
      <x:c r="M8588" t="n">
        <x:v>2014</x:v>
      </x:c>
      <x:c r="N8588" s="20" t="n">
        <x:v>41760</x:v>
      </x:c>
    </x:row>
    <x:row r="8589" ht="18" customHeight="1">
      <x:c r="A8589" t="str">
        <x:v>CA-2014-104808</x:v>
      </x:c>
      <x:c r="B8589" s="18" t="n">
        <x:v>41674</x:v>
      </x:c>
      <x:c r="C8589" t="str">
        <x:v>MH-17440</x:v>
      </x:c>
      <x:c r="D8589" t="str">
        <x:v>Mark Haberlin</x:v>
      </x:c>
      <x:c r="E8589" t="str">
        <x:v>Corporate</x:v>
      </x:c>
      <x:c r="F8589" t="str">
        <x:v>West</x:v>
      </x:c>
      <x:c r="G8589" t="str">
        <x:v>Office Supplies</x:v>
      </x:c>
      <x:c r="H8589" t="str">
        <x:v>Binders</x:v>
      </x:c>
      <x:c r="I8589" s="22" t="n">
        <x:v>17.248</x:v>
      </x:c>
      <x:c r="J8589" s="24" t="n">
        <x:v>2</x:v>
      </x:c>
      <x:c r="K8589" s="26" t="n">
        <x:v>0.2</x:v>
      </x:c>
      <x:c r="L8589" s="22" t="n">
        <x:v>6.036799999999999</x:v>
      </x:c>
      <x:c r="M8589" t="n">
        <x:v>2014</x:v>
      </x:c>
      <x:c r="N8589" s="20" t="n">
        <x:v>41671</x:v>
      </x:c>
    </x:row>
    <x:row r="8590" ht="18" customHeight="1">
      <x:c r="A8590" t="str">
        <x:v>US-2017-132927</x:v>
      </x:c>
      <x:c r="B8590" s="18" t="n">
        <x:v>43078</x:v>
      </x:c>
      <x:c r="C8590" t="str">
        <x:v>RD-19720</x:v>
      </x:c>
      <x:c r="D8590" t="str">
        <x:v>Roger Demir</x:v>
      </x:c>
      <x:c r="E8590" t="str">
        <x:v>Consumer</x:v>
      </x:c>
      <x:c r="F8590" t="str">
        <x:v>East</x:v>
      </x:c>
      <x:c r="G8590" t="str">
        <x:v>Office Supplies</x:v>
      </x:c>
      <x:c r="H8590" t="str">
        <x:v>Binders</x:v>
      </x:c>
      <x:c r="I8590" s="22" t="n">
        <x:v>11.088000000000003</x:v>
      </x:c>
      <x:c r="J8590" s="24" t="n">
        <x:v>7</x:v>
      </x:c>
      <x:c r="K8590" s="26" t="n">
        <x:v>0.7</x:v>
      </x:c>
      <x:c r="L8590" s="22" t="n">
        <x:v>-8.1312</x:v>
      </x:c>
      <x:c r="M8590" t="n">
        <x:v>2017</x:v>
      </x:c>
      <x:c r="N8590" s="20" t="n">
        <x:v>43070</x:v>
      </x:c>
    </x:row>
    <x:row r="8591" ht="18" customHeight="1">
      <x:c r="A8591" t="str">
        <x:v>CA-2017-162015</x:v>
      </x:c>
      <x:c r="B8591" s="18" t="n">
        <x:v>42927</x:v>
      </x:c>
      <x:c r="C8591" t="str">
        <x:v>KB-16240</x:v>
      </x:c>
      <x:c r="D8591" t="str">
        <x:v>Karen Bern</x:v>
      </x:c>
      <x:c r="E8591" t="str">
        <x:v>Corporate</x:v>
      </x:c>
      <x:c r="F8591" t="str">
        <x:v>West</x:v>
      </x:c>
      <x:c r="G8591" t="str">
        <x:v>Technology</x:v>
      </x:c>
      <x:c r="H8591" t="str">
        <x:v>Accessories</x:v>
      </x:c>
      <x:c r="I8591" s="22" t="n">
        <x:v>1287.45</x:v>
      </x:c>
      <x:c r="J8591" s="24" t="n">
        <x:v>5</x:v>
      </x:c>
      <x:c r="K8591" s="26" t="n">
        <x:v>0</x:v>
      </x:c>
      <x:c r="L8591" s="22" t="n">
        <x:v>244.61549999999988</x:v>
      </x:c>
      <x:c r="M8591" t="n">
        <x:v>2017</x:v>
      </x:c>
      <x:c r="N8591" s="20" t="n">
        <x:v>42917</x:v>
      </x:c>
    </x:row>
    <x:row r="8592" ht="18" customHeight="1">
      <x:c r="A8592" t="str">
        <x:v>CA-2017-162015</x:v>
      </x:c>
      <x:c r="B8592" s="18" t="n">
        <x:v>42927</x:v>
      </x:c>
      <x:c r="C8592" t="str">
        <x:v>KB-16240</x:v>
      </x:c>
      <x:c r="D8592" t="str">
        <x:v>Karen Bern</x:v>
      </x:c>
      <x:c r="E8592" t="str">
        <x:v>Corporate</x:v>
      </x:c>
      <x:c r="F8592" t="str">
        <x:v>West</x:v>
      </x:c>
      <x:c r="G8592" t="str">
        <x:v>Office Supplies</x:v>
      </x:c>
      <x:c r="H8592" t="str">
        <x:v>Appliances</x:v>
      </x:c>
      <x:c r="I8592" s="22" t="n">
        <x:v>168.1</x:v>
      </x:c>
      <x:c r="J8592" s="24" t="n">
        <x:v>5</x:v>
      </x:c>
      <x:c r="K8592" s="26" t="n">
        <x:v>0</x:v>
      </x:c>
      <x:c r="L8592" s="22" t="n">
        <x:v>43.705999999999996</x:v>
      </x:c>
      <x:c r="M8592" t="n">
        <x:v>2017</x:v>
      </x:c>
      <x:c r="N8592" s="20" t="n">
        <x:v>42917</x:v>
      </x:c>
    </x:row>
    <x:row r="8593" ht="18" customHeight="1">
      <x:c r="A8593" t="str">
        <x:v>CA-2015-138492</x:v>
      </x:c>
      <x:c r="B8593" s="18" t="n">
        <x:v>42139</x:v>
      </x:c>
      <x:c r="C8593" t="str">
        <x:v>FC-14335</x:v>
      </x:c>
      <x:c r="D8593" t="str">
        <x:v>Fred Chung</x:v>
      </x:c>
      <x:c r="E8593" t="str">
        <x:v>Corporate</x:v>
      </x:c>
      <x:c r="F8593" t="str">
        <x:v>East</x:v>
      </x:c>
      <x:c r="G8593" t="str">
        <x:v>Office Supplies</x:v>
      </x:c>
      <x:c r="H8593" t="str">
        <x:v>Storage</x:v>
      </x:c>
      <x:c r="I8593" s="22" t="n">
        <x:v>51.967999999999996</x:v>
      </x:c>
      <x:c r="J8593" s="24" t="n">
        <x:v>2</x:v>
      </x:c>
      <x:c r="K8593" s="26" t="n">
        <x:v>0.2</x:v>
      </x:c>
      <x:c r="L8593" s="22" t="n">
        <x:v>-10.393600000000001</x:v>
      </x:c>
      <x:c r="M8593" t="n">
        <x:v>2015</x:v>
      </x:c>
      <x:c r="N8593" s="20" t="n">
        <x:v>42125</x:v>
      </x:c>
    </x:row>
    <x:row r="8594" ht="18" customHeight="1">
      <x:c r="A8594" t="str">
        <x:v>CA-2017-145338</x:v>
      </x:c>
      <x:c r="B8594" s="18" t="n">
        <x:v>42764</x:v>
      </x:c>
      <x:c r="C8594" t="str">
        <x:v>BD-11770</x:v>
      </x:c>
      <x:c r="D8594" t="str">
        <x:v>Bryan Davis</x:v>
      </x:c>
      <x:c r="E8594" t="str">
        <x:v>Consumer</x:v>
      </x:c>
      <x:c r="F8594" t="str">
        <x:v>East</x:v>
      </x:c>
      <x:c r="G8594" t="str">
        <x:v>Office Supplies</x:v>
      </x:c>
      <x:c r="H8594" t="str">
        <x:v>Art</x:v>
      </x:c>
      <x:c r="I8594" s="22" t="n">
        <x:v>4.768</x:v>
      </x:c>
      <x:c r="J8594" s="24" t="n">
        <x:v>2</x:v>
      </x:c>
      <x:c r="K8594" s="26" t="n">
        <x:v>0.2</x:v>
      </x:c>
      <x:c r="L8594" s="22" t="n">
        <x:v>0.4768000000000001</x:v>
      </x:c>
      <x:c r="M8594" t="n">
        <x:v>2017</x:v>
      </x:c>
      <x:c r="N8594" s="20" t="n">
        <x:v>42736</x:v>
      </x:c>
    </x:row>
    <x:row r="8595" ht="18" customHeight="1">
      <x:c r="A8595" t="str">
        <x:v>CA-2017-126676</x:v>
      </x:c>
      <x:c r="B8595" s="18" t="n">
        <x:v>43007</x:v>
      </x:c>
      <x:c r="C8595" t="str">
        <x:v>FH-14365</x:v>
      </x:c>
      <x:c r="D8595" t="str">
        <x:v>Fred Hopkins</x:v>
      </x:c>
      <x:c r="E8595" t="str">
        <x:v>Corporate</x:v>
      </x:c>
      <x:c r="F8595" t="str">
        <x:v>East</x:v>
      </x:c>
      <x:c r="G8595" t="str">
        <x:v>Office Supplies</x:v>
      </x:c>
      <x:c r="H8595" t="str">
        <x:v>Envelopes</x:v>
      </x:c>
      <x:c r="I8595" s="22" t="n">
        <x:v>7.98</x:v>
      </x:c>
      <x:c r="J8595" s="24" t="n">
        <x:v>3</x:v>
      </x:c>
      <x:c r="K8595" s="26" t="n">
        <x:v>0</x:v>
      </x:c>
      <x:c r="L8595" s="22" t="n">
        <x:v>3.9102000000000006</x:v>
      </x:c>
      <x:c r="M8595" t="n">
        <x:v>2017</x:v>
      </x:c>
      <x:c r="N8595" s="20" t="n">
        <x:v>42979</x:v>
      </x:c>
    </x:row>
    <x:row r="8596" ht="18" customHeight="1">
      <x:c r="A8596" t="str">
        <x:v>CA-2017-101700</x:v>
      </x:c>
      <x:c r="B8596" s="18" t="n">
        <x:v>42848</x:v>
      </x:c>
      <x:c r="C8596" t="str">
        <x:v>SO-20335</x:v>
      </x:c>
      <x:c r="D8596" t="str">
        <x:v>Sean O'Donnell</x:v>
      </x:c>
      <x:c r="E8596" t="str">
        <x:v>Consumer</x:v>
      </x:c>
      <x:c r="F8596" t="str">
        <x:v>West</x:v>
      </x:c>
      <x:c r="G8596" t="str">
        <x:v>Office Supplies</x:v>
      </x:c>
      <x:c r="H8596" t="str">
        <x:v>Envelopes</x:v>
      </x:c>
      <x:c r="I8596" s="22" t="n">
        <x:v>18.688</x:v>
      </x:c>
      <x:c r="J8596" s="24" t="n">
        <x:v>2</x:v>
      </x:c>
      <x:c r="K8596" s="26" t="n">
        <x:v>0.2</x:v>
      </x:c>
      <x:c r="L8596" s="22" t="n">
        <x:v>7.008</x:v>
      </x:c>
      <x:c r="M8596" t="n">
        <x:v>2017</x:v>
      </x:c>
      <x:c r="N8596" s="20" t="n">
        <x:v>42826</x:v>
      </x:c>
    </x:row>
    <x:row r="8597" ht="18" customHeight="1">
      <x:c r="A8597" t="str">
        <x:v>CA-2017-101700</x:v>
      </x:c>
      <x:c r="B8597" s="18" t="n">
        <x:v>42848</x:v>
      </x:c>
      <x:c r="C8597" t="str">
        <x:v>SO-20335</x:v>
      </x:c>
      <x:c r="D8597" t="str">
        <x:v>Sean O'Donnell</x:v>
      </x:c>
      <x:c r="E8597" t="str">
        <x:v>Consumer</x:v>
      </x:c>
      <x:c r="F8597" t="str">
        <x:v>West</x:v>
      </x:c>
      <x:c r="G8597" t="str">
        <x:v>Furniture</x:v>
      </x:c>
      <x:c r="H8597" t="str">
        <x:v>Furnishings</x:v>
      </x:c>
      <x:c r="I8597" s="22" t="n">
        <x:v>11.664000000000001</x:v>
      </x:c>
      <x:c r="J8597" s="24" t="n">
        <x:v>3</x:v>
      </x:c>
      <x:c r="K8597" s="26" t="n">
        <x:v>0.2</x:v>
      </x:c>
      <x:c r="L8597" s="22" t="n">
        <x:v>3.3534000000000006</x:v>
      </x:c>
      <x:c r="M8597" t="n">
        <x:v>2017</x:v>
      </x:c>
      <x:c r="N8597" s="20" t="n">
        <x:v>42826</x:v>
      </x:c>
    </x:row>
    <x:row r="8598" ht="18" customHeight="1">
      <x:c r="A8598" t="str">
        <x:v>CA-2017-159667</x:v>
      </x:c>
      <x:c r="B8598" s="18" t="n">
        <x:v>43048</x:v>
      </x:c>
      <x:c r="C8598" t="str">
        <x:v>PM-19135</x:v>
      </x:c>
      <x:c r="D8598" t="str">
        <x:v>Peter McVee</x:v>
      </x:c>
      <x:c r="E8598" t="str">
        <x:v>Home Office</x:v>
      </x:c>
      <x:c r="F8598" t="str">
        <x:v>South</x:v>
      </x:c>
      <x:c r="G8598" t="str">
        <x:v>Technology</x:v>
      </x:c>
      <x:c r="H8598" t="str">
        <x:v>Accessories</x:v>
      </x:c>
      <x:c r="I8598" s="22" t="n">
        <x:v>191.976</x:v>
      </x:c>
      <x:c r="J8598" s="24" t="n">
        <x:v>3</x:v>
      </x:c>
      <x:c r="K8598" s="26" t="n">
        <x:v>0.2</x:v>
      </x:c>
      <x:c r="L8598" s="22" t="n">
        <x:v>38.39519999999999</x:v>
      </x:c>
      <x:c r="M8598" t="n">
        <x:v>2017</x:v>
      </x:c>
      <x:c r="N8598" s="20" t="n">
        <x:v>43040</x:v>
      </x:c>
    </x:row>
    <x:row r="8599" ht="18" customHeight="1">
      <x:c r="A8599" t="str">
        <x:v>CA-2017-159667</x:v>
      </x:c>
      <x:c r="B8599" s="18" t="n">
        <x:v>43048</x:v>
      </x:c>
      <x:c r="C8599" t="str">
        <x:v>PM-19135</x:v>
      </x:c>
      <x:c r="D8599" t="str">
        <x:v>Peter McVee</x:v>
      </x:c>
      <x:c r="E8599" t="str">
        <x:v>Home Office</x:v>
      </x:c>
      <x:c r="F8599" t="str">
        <x:v>South</x:v>
      </x:c>
      <x:c r="G8599" t="str">
        <x:v>Technology</x:v>
      </x:c>
      <x:c r="H8599" t="str">
        <x:v>Phones</x:v>
      </x:c>
      <x:c r="I8599" s="22" t="n">
        <x:v>499.16800000000006</x:v>
      </x:c>
      <x:c r="J8599" s="24" t="n">
        <x:v>4</x:v>
      </x:c>
      <x:c r="K8599" s="26" t="n">
        <x:v>0.2</x:v>
      </x:c>
      <x:c r="L8599" s="22" t="n">
        <x:v>31.197999999999993</x:v>
      </x:c>
      <x:c r="M8599" t="n">
        <x:v>2017</x:v>
      </x:c>
      <x:c r="N8599" s="20" t="n">
        <x:v>43040</x:v>
      </x:c>
    </x:row>
    <x:row r="8600" ht="18" customHeight="1">
      <x:c r="A8600" t="str">
        <x:v>CA-2014-111934</x:v>
      </x:c>
      <x:c r="B8600" s="18" t="n">
        <x:v>41764</x:v>
      </x:c>
      <x:c r="C8600" t="str">
        <x:v>GD-14590</x:v>
      </x:c>
      <x:c r="D8600" t="str">
        <x:v>Giulietta Dortch</x:v>
      </x:c>
      <x:c r="E8600" t="str">
        <x:v>Corporate</x:v>
      </x:c>
      <x:c r="F8600" t="str">
        <x:v>South</x:v>
      </x:c>
      <x:c r="G8600" t="str">
        <x:v>Office Supplies</x:v>
      </x:c>
      <x:c r="H8600" t="str">
        <x:v>Binders</x:v>
      </x:c>
      <x:c r="I8600" s="22" t="n">
        <x:v>11.88</x:v>
      </x:c>
      <x:c r="J8600" s="24" t="n">
        <x:v>2</x:v>
      </x:c>
      <x:c r="K8600" s="26" t="n">
        <x:v>0</x:v>
      </x:c>
      <x:c r="L8600" s="22" t="n">
        <x:v>5.346</x:v>
      </x:c>
      <x:c r="M8600" t="n">
        <x:v>2014</x:v>
      </x:c>
      <x:c r="N8600" s="20" t="n">
        <x:v>41760</x:v>
      </x:c>
    </x:row>
    <x:row r="8601" ht="18" customHeight="1">
      <x:c r="A8601" t="str">
        <x:v>CA-2014-111934</x:v>
      </x:c>
      <x:c r="B8601" s="18" t="n">
        <x:v>41764</x:v>
      </x:c>
      <x:c r="C8601" t="str">
        <x:v>GD-14590</x:v>
      </x:c>
      <x:c r="D8601" t="str">
        <x:v>Giulietta Dortch</x:v>
      </x:c>
      <x:c r="E8601" t="str">
        <x:v>Corporate</x:v>
      </x:c>
      <x:c r="F8601" t="str">
        <x:v>South</x:v>
      </x:c>
      <x:c r="G8601" t="str">
        <x:v>Office Supplies</x:v>
      </x:c>
      <x:c r="H8601" t="str">
        <x:v>Paper</x:v>
      </x:c>
      <x:c r="I8601" s="22" t="n">
        <x:v>35.44</x:v>
      </x:c>
      <x:c r="J8601" s="24" t="n">
        <x:v>1</x:v>
      </x:c>
      <x:c r="K8601" s="26" t="n">
        <x:v>0</x:v>
      </x:c>
      <x:c r="L8601" s="22" t="n">
        <x:v>16.656799999999997</x:v>
      </x:c>
      <x:c r="M8601" t="n">
        <x:v>2014</x:v>
      </x:c>
      <x:c r="N8601" s="20" t="n">
        <x:v>41760</x:v>
      </x:c>
    </x:row>
    <x:row r="8602" ht="18" customHeight="1">
      <x:c r="A8602" t="str">
        <x:v>US-2016-117387</x:v>
      </x:c>
      <x:c r="B8602" s="18" t="n">
        <x:v>42670</x:v>
      </x:c>
      <x:c r="C8602" t="str">
        <x:v>PA-19060</x:v>
      </x:c>
      <x:c r="D8602" t="str">
        <x:v>Pete Armstrong</x:v>
      </x:c>
      <x:c r="E8602" t="str">
        <x:v>Home Office</x:v>
      </x:c>
      <x:c r="F8602" t="str">
        <x:v>West</x:v>
      </x:c>
      <x:c r="G8602" t="str">
        <x:v>Office Supplies</x:v>
      </x:c>
      <x:c r="H8602" t="str">
        <x:v>Binders</x:v>
      </x:c>
      <x:c r="I8602" s="22" t="n">
        <x:v>67.13600000000001</x:v>
      </x:c>
      <x:c r="J8602" s="24" t="n">
        <x:v>4</x:v>
      </x:c>
      <x:c r="K8602" s="26" t="n">
        <x:v>0.2</x:v>
      </x:c>
      <x:c r="L8602" s="22" t="n">
        <x:v>25.176</x:v>
      </x:c>
      <x:c r="M8602" t="n">
        <x:v>2016</x:v>
      </x:c>
      <x:c r="N8602" s="20" t="n">
        <x:v>42644</x:v>
      </x:c>
    </x:row>
    <x:row r="8603" ht="18" customHeight="1">
      <x:c r="A8603" t="str">
        <x:v>CA-2014-141110</x:v>
      </x:c>
      <x:c r="B8603" s="18" t="n">
        <x:v>41969</x:v>
      </x:c>
      <x:c r="C8603" t="str">
        <x:v>LS-17200</x:v>
      </x:c>
      <x:c r="D8603" t="str">
        <x:v>Luke Schmidt</x:v>
      </x:c>
      <x:c r="E8603" t="str">
        <x:v>Corporate</x:v>
      </x:c>
      <x:c r="F8603" t="str">
        <x:v>West</x:v>
      </x:c>
      <x:c r="G8603" t="str">
        <x:v>Office Supplies</x:v>
      </x:c>
      <x:c r="H8603" t="str">
        <x:v>Binders</x:v>
      </x:c>
      <x:c r="I8603" s="22" t="n">
        <x:v>4.32</x:v>
      </x:c>
      <x:c r="J8603" s="24" t="n">
        <x:v>3</x:v>
      </x:c>
      <x:c r="K8603" s="26" t="n">
        <x:v>0.2</x:v>
      </x:c>
      <x:c r="L8603" s="22" t="n">
        <x:v>1.512</x:v>
      </x:c>
      <x:c r="M8603" t="n">
        <x:v>2014</x:v>
      </x:c>
      <x:c r="N8603" s="20" t="n">
        <x:v>41944</x:v>
      </x:c>
    </x:row>
    <x:row r="8604" ht="18" customHeight="1">
      <x:c r="A8604" t="str">
        <x:v>CA-2014-141110</x:v>
      </x:c>
      <x:c r="B8604" s="18" t="n">
        <x:v>41969</x:v>
      </x:c>
      <x:c r="C8604" t="str">
        <x:v>LS-17200</x:v>
      </x:c>
      <x:c r="D8604" t="str">
        <x:v>Luke Schmidt</x:v>
      </x:c>
      <x:c r="E8604" t="str">
        <x:v>Corporate</x:v>
      </x:c>
      <x:c r="F8604" t="str">
        <x:v>West</x:v>
      </x:c>
      <x:c r="G8604" t="str">
        <x:v>Office Supplies</x:v>
      </x:c>
      <x:c r="H8604" t="str">
        <x:v>Paper</x:v>
      </x:c>
      <x:c r="I8604" s="22" t="n">
        <x:v>14.940000000000001</x:v>
      </x:c>
      <x:c r="J8604" s="24" t="n">
        <x:v>3</x:v>
      </x:c>
      <x:c r="K8604" s="26" t="n">
        <x:v>0</x:v>
      </x:c>
      <x:c r="L8604" s="22" t="n">
        <x:v>7.021800000000001</x:v>
      </x:c>
      <x:c r="M8604" t="n">
        <x:v>2014</x:v>
      </x:c>
      <x:c r="N8604" s="20" t="n">
        <x:v>41944</x:v>
      </x:c>
    </x:row>
    <x:row r="8605" ht="18" customHeight="1">
      <x:c r="A8605" t="str">
        <x:v>CA-2014-141110</x:v>
      </x:c>
      <x:c r="B8605" s="18" t="n">
        <x:v>41969</x:v>
      </x:c>
      <x:c r="C8605" t="str">
        <x:v>LS-17200</x:v>
      </x:c>
      <x:c r="D8605" t="str">
        <x:v>Luke Schmidt</x:v>
      </x:c>
      <x:c r="E8605" t="str">
        <x:v>Corporate</x:v>
      </x:c>
      <x:c r="F8605" t="str">
        <x:v>West</x:v>
      </x:c>
      <x:c r="G8605" t="str">
        <x:v>Office Supplies</x:v>
      </x:c>
      <x:c r="H8605" t="str">
        <x:v>Appliances</x:v>
      </x:c>
      <x:c r="I8605" s="22" t="n">
        <x:v>40.54</x:v>
      </x:c>
      <x:c r="J8605" s="24" t="n">
        <x:v>2</x:v>
      </x:c>
      <x:c r="K8605" s="26" t="n">
        <x:v>0</x:v>
      </x:c>
      <x:c r="L8605" s="22" t="n">
        <x:v>11.351200000000002</x:v>
      </x:c>
      <x:c r="M8605" t="n">
        <x:v>2014</x:v>
      </x:c>
      <x:c r="N8605" s="20" t="n">
        <x:v>41944</x:v>
      </x:c>
    </x:row>
    <x:row r="8606" ht="18" customHeight="1">
      <x:c r="A8606" t="str">
        <x:v>CA-2014-141110</x:v>
      </x:c>
      <x:c r="B8606" s="18" t="n">
        <x:v>41969</x:v>
      </x:c>
      <x:c r="C8606" t="str">
        <x:v>LS-17200</x:v>
      </x:c>
      <x:c r="D8606" t="str">
        <x:v>Luke Schmidt</x:v>
      </x:c>
      <x:c r="E8606" t="str">
        <x:v>Corporate</x:v>
      </x:c>
      <x:c r="F8606" t="str">
        <x:v>West</x:v>
      </x:c>
      <x:c r="G8606" t="str">
        <x:v>Office Supplies</x:v>
      </x:c>
      <x:c r="H8606" t="str">
        <x:v>Binders</x:v>
      </x:c>
      <x:c r="I8606" s="22" t="n">
        <x:v>7.312000000000001</x:v>
      </x:c>
      <x:c r="J8606" s="24" t="n">
        <x:v>1</x:v>
      </x:c>
      <x:c r="K8606" s="26" t="n">
        <x:v>0.2</x:v>
      </x:c>
      <x:c r="L8606" s="22" t="n">
        <x:v>2.5591999999999997</x:v>
      </x:c>
      <x:c r="M8606" t="n">
        <x:v>2014</x:v>
      </x:c>
      <x:c r="N8606" s="20" t="n">
        <x:v>41944</x:v>
      </x:c>
    </x:row>
    <x:row r="8607" ht="18" customHeight="1">
      <x:c r="A8607" t="str">
        <x:v>US-2014-133949</x:v>
      </x:c>
      <x:c r="B8607" s="18" t="n">
        <x:v>42004</x:v>
      </x:c>
      <x:c r="C8607" t="str">
        <x:v>JL-15175</x:v>
      </x:c>
      <x:c r="D8607" t="str">
        <x:v>James Lanier</x:v>
      </x:c>
      <x:c r="E8607" t="str">
        <x:v>Home Office</x:v>
      </x:c>
      <x:c r="F8607" t="str">
        <x:v>West</x:v>
      </x:c>
      <x:c r="G8607" t="str">
        <x:v>Technology</x:v>
      </x:c>
      <x:c r="H8607" t="str">
        <x:v>Phones</x:v>
      </x:c>
      <x:c r="I8607" s="22" t="n">
        <x:v>475.944</x:v>
      </x:c>
      <x:c r="J8607" s="24" t="n">
        <x:v>7</x:v>
      </x:c>
      <x:c r="K8607" s="26" t="n">
        <x:v>0.2</x:v>
      </x:c>
      <x:c r="L8607" s="22" t="n">
        <x:v>59.49299999999995</x:v>
      </x:c>
      <x:c r="M8607" t="n">
        <x:v>2014</x:v>
      </x:c>
      <x:c r="N8607" s="20" t="n">
        <x:v>41974</x:v>
      </x:c>
    </x:row>
    <x:row r="8608" ht="18" customHeight="1">
      <x:c r="A8608" t="str">
        <x:v>US-2016-116365</x:v>
      </x:c>
      <x:c r="B8608" s="18" t="n">
        <x:v>42372</x:v>
      </x:c>
      <x:c r="C8608" t="str">
        <x:v>CA-12310</x:v>
      </x:c>
      <x:c r="D8608" t="str">
        <x:v>Christine Abelman</x:v>
      </x:c>
      <x:c r="E8608" t="str">
        <x:v>Corporate</x:v>
      </x:c>
      <x:c r="F8608" t="str">
        <x:v>Central</x:v>
      </x:c>
      <x:c r="G8608" t="str">
        <x:v>Technology</x:v>
      </x:c>
      <x:c r="H8608" t="str">
        <x:v>Accessories</x:v>
      </x:c>
      <x:c r="I8608" s="22" t="n">
        <x:v>30.080000000000002</x:v>
      </x:c>
      <x:c r="J8608" s="24" t="n">
        <x:v>2</x:v>
      </x:c>
      <x:c r="K8608" s="26" t="n">
        <x:v>0.2</x:v>
      </x:c>
      <x:c r="L8608" s="22" t="n">
        <x:v>-5.264</x:v>
      </x:c>
      <x:c r="M8608" t="n">
        <x:v>2016</x:v>
      </x:c>
      <x:c r="N8608" s="20" t="n">
        <x:v>42370</x:v>
      </x:c>
    </x:row>
    <x:row r="8609" ht="18" customHeight="1">
      <x:c r="A8609" t="str">
        <x:v>US-2016-116365</x:v>
      </x:c>
      <x:c r="B8609" s="18" t="n">
        <x:v>42372</x:v>
      </x:c>
      <x:c r="C8609" t="str">
        <x:v>CA-12310</x:v>
      </x:c>
      <x:c r="D8609" t="str">
        <x:v>Christine Abelman</x:v>
      </x:c>
      <x:c r="E8609" t="str">
        <x:v>Corporate</x:v>
      </x:c>
      <x:c r="F8609" t="str">
        <x:v>Central</x:v>
      </x:c>
      <x:c r="G8609" t="str">
        <x:v>Technology</x:v>
      </x:c>
      <x:c r="H8609" t="str">
        <x:v>Accessories</x:v>
      </x:c>
      <x:c r="I8609" s="22" t="n">
        <x:v>165.60000000000002</x:v>
      </x:c>
      <x:c r="J8609" s="24" t="n">
        <x:v>3</x:v>
      </x:c>
      <x:c r="K8609" s="26" t="n">
        <x:v>0.2</x:v>
      </x:c>
      <x:c r="L8609" s="22" t="n">
        <x:v>-6.210000000000015</x:v>
      </x:c>
      <x:c r="M8609" t="n">
        <x:v>2016</x:v>
      </x:c>
      <x:c r="N8609" s="20" t="n">
        <x:v>42370</x:v>
      </x:c>
    </x:row>
    <x:row r="8610" ht="18" customHeight="1">
      <x:c r="A8610" t="str">
        <x:v>US-2016-116365</x:v>
      </x:c>
      <x:c r="B8610" s="18" t="n">
        <x:v>42372</x:v>
      </x:c>
      <x:c r="C8610" t="str">
        <x:v>CA-12310</x:v>
      </x:c>
      <x:c r="D8610" t="str">
        <x:v>Christine Abelman</x:v>
      </x:c>
      <x:c r="E8610" t="str">
        <x:v>Corporate</x:v>
      </x:c>
      <x:c r="F8610" t="str">
        <x:v>Central</x:v>
      </x:c>
      <x:c r="G8610" t="str">
        <x:v>Technology</x:v>
      </x:c>
      <x:c r="H8610" t="str">
        <x:v>Phones</x:v>
      </x:c>
      <x:c r="I8610" s="22" t="n">
        <x:v>180.96</x:v>
      </x:c>
      <x:c r="J8610" s="24" t="n">
        <x:v>5</x:v>
      </x:c>
      <x:c r="K8610" s="26" t="n">
        <x:v>0.2</x:v>
      </x:c>
      <x:c r="L8610" s="22" t="n">
        <x:v>13.571999999999996</x:v>
      </x:c>
      <x:c r="M8610" t="n">
        <x:v>2016</x:v>
      </x:c>
      <x:c r="N8610" s="20" t="n">
        <x:v>42370</x:v>
      </x:c>
    </x:row>
    <x:row r="8611" ht="18" customHeight="1">
      <x:c r="A8611" t="str">
        <x:v>CA-2017-162936</x:v>
      </x:c>
      <x:c r="B8611" s="18" t="n">
        <x:v>42965</x:v>
      </x:c>
      <x:c r="C8611" t="str">
        <x:v>CM-12160</x:v>
      </x:c>
      <x:c r="D8611" t="str">
        <x:v>Charles McCrossin</x:v>
      </x:c>
      <x:c r="E8611" t="str">
        <x:v>Consumer</x:v>
      </x:c>
      <x:c r="F8611" t="str">
        <x:v>East</x:v>
      </x:c>
      <x:c r="G8611" t="str">
        <x:v>Technology</x:v>
      </x:c>
      <x:c r="H8611" t="str">
        <x:v>Accessories</x:v>
      </x:c>
      <x:c r="I8611" s="22" t="n">
        <x:v>23.18</x:v>
      </x:c>
      <x:c r="J8611" s="24" t="n">
        <x:v>2</x:v>
      </x:c>
      <x:c r="K8611" s="26" t="n">
        <x:v>0</x:v>
      </x:c>
      <x:c r="L8611" s="22" t="n">
        <x:v>7.649399999999998</x:v>
      </x:c>
      <x:c r="M8611" t="n">
        <x:v>2017</x:v>
      </x:c>
      <x:c r="N8611" s="20" t="n">
        <x:v>42948</x:v>
      </x:c>
    </x:row>
    <x:row r="8612" ht="18" customHeight="1">
      <x:c r="A8612" t="str">
        <x:v>CA-2014-151946</x:v>
      </x:c>
      <x:c r="B8612" s="18" t="n">
        <x:v>41794</x:v>
      </x:c>
      <x:c r="C8612" t="str">
        <x:v>BT-11440</x:v>
      </x:c>
      <x:c r="D8612" t="str">
        <x:v>Bobby Trafton</x:v>
      </x:c>
      <x:c r="E8612" t="str">
        <x:v>Consumer</x:v>
      </x:c>
      <x:c r="F8612" t="str">
        <x:v>East</x:v>
      </x:c>
      <x:c r="G8612" t="str">
        <x:v>Furniture</x:v>
      </x:c>
      <x:c r="H8612" t="str">
        <x:v>Furnishings</x:v>
      </x:c>
      <x:c r="I8612" s="22" t="n">
        <x:v>56.96</x:v>
      </x:c>
      <x:c r="J8612" s="24" t="n">
        <x:v>2</x:v>
      </x:c>
      <x:c r="K8612" s="26" t="n">
        <x:v>0</x:v>
      </x:c>
      <x:c r="L8612" s="22" t="n">
        <x:v>21.075200000000002</x:v>
      </x:c>
      <x:c r="M8612" t="n">
        <x:v>2014</x:v>
      </x:c>
      <x:c r="N8612" s="20" t="n">
        <x:v>41791</x:v>
      </x:c>
    </x:row>
    <x:row r="8613" ht="18" customHeight="1">
      <x:c r="A8613" t="str">
        <x:v>CA-2014-151946</x:v>
      </x:c>
      <x:c r="B8613" s="18" t="n">
        <x:v>41794</x:v>
      </x:c>
      <x:c r="C8613" t="str">
        <x:v>BT-11440</x:v>
      </x:c>
      <x:c r="D8613" t="str">
        <x:v>Bobby Trafton</x:v>
      </x:c>
      <x:c r="E8613" t="str">
        <x:v>Consumer</x:v>
      </x:c>
      <x:c r="F8613" t="str">
        <x:v>East</x:v>
      </x:c>
      <x:c r="G8613" t="str">
        <x:v>Office Supplies</x:v>
      </x:c>
      <x:c r="H8613" t="str">
        <x:v>Appliances</x:v>
      </x:c>
      <x:c r="I8613" s="22" t="n">
        <x:v>15.56</x:v>
      </x:c>
      <x:c r="J8613" s="24" t="n">
        <x:v>4</x:v>
      </x:c>
      <x:c r="K8613" s="26" t="n">
        <x:v>0</x:v>
      </x:c>
      <x:c r="L8613" s="22" t="n">
        <x:v>4.0456</x:v>
      </x:c>
      <x:c r="M8613" t="n">
        <x:v>2014</x:v>
      </x:c>
      <x:c r="N8613" s="20" t="n">
        <x:v>41791</x:v>
      </x:c>
    </x:row>
    <x:row r="8614" ht="18" customHeight="1">
      <x:c r="A8614" t="str">
        <x:v>CA-2014-151946</x:v>
      </x:c>
      <x:c r="B8614" s="18" t="n">
        <x:v>41794</x:v>
      </x:c>
      <x:c r="C8614" t="str">
        <x:v>BT-11440</x:v>
      </x:c>
      <x:c r="D8614" t="str">
        <x:v>Bobby Trafton</x:v>
      </x:c>
      <x:c r="E8614" t="str">
        <x:v>Consumer</x:v>
      </x:c>
      <x:c r="F8614" t="str">
        <x:v>East</x:v>
      </x:c>
      <x:c r="G8614" t="str">
        <x:v>Furniture</x:v>
      </x:c>
      <x:c r="H8614" t="str">
        <x:v>Bookcases</x:v>
      </x:c>
      <x:c r="I8614" s="22" t="n">
        <x:v>353.568</x:v>
      </x:c>
      <x:c r="J8614" s="24" t="n">
        <x:v>2</x:v>
      </x:c>
      <x:c r="K8614" s="26" t="n">
        <x:v>0.2</x:v>
      </x:c>
      <x:c r="L8614" s="22" t="n">
        <x:v>-44.196000000000026</x:v>
      </x:c>
      <x:c r="M8614" t="n">
        <x:v>2014</x:v>
      </x:c>
      <x:c r="N8614" s="20" t="n">
        <x:v>41791</x:v>
      </x:c>
    </x:row>
    <x:row r="8615" ht="18" customHeight="1">
      <x:c r="A8615" t="str">
        <x:v>CA-2014-151946</x:v>
      </x:c>
      <x:c r="B8615" s="18" t="n">
        <x:v>41794</x:v>
      </x:c>
      <x:c r="C8615" t="str">
        <x:v>BT-11440</x:v>
      </x:c>
      <x:c r="D8615" t="str">
        <x:v>Bobby Trafton</x:v>
      </x:c>
      <x:c r="E8615" t="str">
        <x:v>Consumer</x:v>
      </x:c>
      <x:c r="F8615" t="str">
        <x:v>East</x:v>
      </x:c>
      <x:c r="G8615" t="str">
        <x:v>Furniture</x:v>
      </x:c>
      <x:c r="H8615" t="str">
        <x:v>Furnishings</x:v>
      </x:c>
      <x:c r="I8615" s="22" t="n">
        <x:v>13.96</x:v>
      </x:c>
      <x:c r="J8615" s="24" t="n">
        <x:v>2</x:v>
      </x:c>
      <x:c r="K8615" s="26" t="n">
        <x:v>0</x:v>
      </x:c>
      <x:c r="L8615" s="22" t="n">
        <x:v>6.7008</x:v>
      </x:c>
      <x:c r="M8615" t="n">
        <x:v>2014</x:v>
      </x:c>
      <x:c r="N8615" s="20" t="n">
        <x:v>41791</x:v>
      </x:c>
    </x:row>
    <x:row r="8616" ht="18" customHeight="1">
      <x:c r="A8616" t="str">
        <x:v>CA-2017-123624</x:v>
      </x:c>
      <x:c r="B8616" s="18" t="n">
        <x:v>43052</x:v>
      </x:c>
      <x:c r="C8616" t="str">
        <x:v>SE-20110</x:v>
      </x:c>
      <x:c r="D8616" t="str">
        <x:v>Sanjit Engle</x:v>
      </x:c>
      <x:c r="E8616" t="str">
        <x:v>Consumer</x:v>
      </x:c>
      <x:c r="F8616" t="str">
        <x:v>West</x:v>
      </x:c>
      <x:c r="G8616" t="str">
        <x:v>Technology</x:v>
      </x:c>
      <x:c r="H8616" t="str">
        <x:v>Accessories</x:v>
      </x:c>
      <x:c r="I8616" s="22" t="n">
        <x:v>82.95</x:v>
      </x:c>
      <x:c r="J8616" s="24" t="n">
        <x:v>5</x:v>
      </x:c>
      <x:c r="K8616" s="26" t="n">
        <x:v>0</x:v>
      </x:c>
      <x:c r="L8616" s="22" t="n">
        <x:v>29.0325</x:v>
      </x:c>
      <x:c r="M8616" t="n">
        <x:v>2017</x:v>
      </x:c>
      <x:c r="N8616" s="20" t="n">
        <x:v>43040</x:v>
      </x:c>
    </x:row>
    <x:row r="8617" ht="18" customHeight="1">
      <x:c r="A8617" t="str">
        <x:v>CA-2016-146437</x:v>
      </x:c>
      <x:c r="B8617" s="18" t="n">
        <x:v>42397</x:v>
      </x:c>
      <x:c r="C8617" t="str">
        <x:v>HG-14965</x:v>
      </x:c>
      <x:c r="D8617" t="str">
        <x:v>Henry Goldwyn</x:v>
      </x:c>
      <x:c r="E8617" t="str">
        <x:v>Corporate</x:v>
      </x:c>
      <x:c r="F8617" t="str">
        <x:v>West</x:v>
      </x:c>
      <x:c r="G8617" t="str">
        <x:v>Office Supplies</x:v>
      </x:c>
      <x:c r="H8617" t="str">
        <x:v>Art</x:v>
      </x:c>
      <x:c r="I8617" s="22" t="n">
        <x:v>39.68</x:v>
      </x:c>
      <x:c r="J8617" s="24" t="n">
        <x:v>2</x:v>
      </x:c>
      <x:c r="K8617" s="26" t="n">
        <x:v>0</x:v>
      </x:c>
      <x:c r="L8617" s="22" t="n">
        <x:v>10.3168</x:v>
      </x:c>
      <x:c r="M8617" t="n">
        <x:v>2016</x:v>
      </x:c>
      <x:c r="N8617" s="20" t="n">
        <x:v>42370</x:v>
      </x:c>
    </x:row>
    <x:row r="8618" ht="18" customHeight="1">
      <x:c r="A8618" t="str">
        <x:v>CA-2016-138233</x:v>
      </x:c>
      <x:c r="B8618" s="18" t="n">
        <x:v>42683</x:v>
      </x:c>
      <x:c r="C8618" t="str">
        <x:v>PF-19165</x:v>
      </x:c>
      <x:c r="D8618" t="str">
        <x:v>Philip Fox</x:v>
      </x:c>
      <x:c r="E8618" t="str">
        <x:v>Consumer</x:v>
      </x:c>
      <x:c r="F8618" t="str">
        <x:v>West</x:v>
      </x:c>
      <x:c r="G8618" t="str">
        <x:v>Technology</x:v>
      </x:c>
      <x:c r="H8618" t="str">
        <x:v>Accessories</x:v>
      </x:c>
      <x:c r="I8618" s="22" t="n">
        <x:v>479.97</x:v>
      </x:c>
      <x:c r="J8618" s="24" t="n">
        <x:v>3</x:v>
      </x:c>
      <x:c r="K8618" s="26" t="n">
        <x:v>0</x:v>
      </x:c>
      <x:c r="L8618" s="22" t="n">
        <x:v>177.58890000000002</x:v>
      </x:c>
      <x:c r="M8618" t="n">
        <x:v>2016</x:v>
      </x:c>
      <x:c r="N8618" s="20" t="n">
        <x:v>42675</x:v>
      </x:c>
    </x:row>
    <x:row r="8619" ht="18" customHeight="1">
      <x:c r="A8619" t="str">
        <x:v>CA-2016-165918</x:v>
      </x:c>
      <x:c r="B8619" s="18" t="n">
        <x:v>42623</x:v>
      </x:c>
      <x:c r="C8619" t="str">
        <x:v>BD-11770</x:v>
      </x:c>
      <x:c r="D8619" t="str">
        <x:v>Bryan Davis</x:v>
      </x:c>
      <x:c r="E8619" t="str">
        <x:v>Consumer</x:v>
      </x:c>
      <x:c r="F8619" t="str">
        <x:v>West</x:v>
      </x:c>
      <x:c r="G8619" t="str">
        <x:v>Office Supplies</x:v>
      </x:c>
      <x:c r="H8619" t="str">
        <x:v>Labels</x:v>
      </x:c>
      <x:c r="I8619" s="22" t="n">
        <x:v>7.38</x:v>
      </x:c>
      <x:c r="J8619" s="24" t="n">
        <x:v>2</x:v>
      </x:c>
      <x:c r="K8619" s="26" t="n">
        <x:v>0</x:v>
      </x:c>
      <x:c r="L8619" s="22" t="n">
        <x:v>3.4686</x:v>
      </x:c>
      <x:c r="M8619" t="n">
        <x:v>2016</x:v>
      </x:c>
      <x:c r="N8619" s="20" t="n">
        <x:v>42614</x:v>
      </x:c>
    </x:row>
    <x:row r="8620" ht="18" customHeight="1">
      <x:c r="A8620" t="str">
        <x:v>CA-2016-165918</x:v>
      </x:c>
      <x:c r="B8620" s="18" t="n">
        <x:v>42623</x:v>
      </x:c>
      <x:c r="C8620" t="str">
        <x:v>BD-11770</x:v>
      </x:c>
      <x:c r="D8620" t="str">
        <x:v>Bryan Davis</x:v>
      </x:c>
      <x:c r="E8620" t="str">
        <x:v>Consumer</x:v>
      </x:c>
      <x:c r="F8620" t="str">
        <x:v>West</x:v>
      </x:c>
      <x:c r="G8620" t="str">
        <x:v>Office Supplies</x:v>
      </x:c>
      <x:c r="H8620" t="str">
        <x:v>Binders</x:v>
      </x:c>
      <x:c r="I8620" s="22" t="n">
        <x:v>14.256000000000002</x:v>
      </x:c>
      <x:c r="J8620" s="24" t="n">
        <x:v>3</x:v>
      </x:c>
      <x:c r="K8620" s="26" t="n">
        <x:v>0.2</x:v>
      </x:c>
      <x:c r="L8620" s="22" t="n">
        <x:v>4.455</x:v>
      </x:c>
      <x:c r="M8620" t="n">
        <x:v>2016</x:v>
      </x:c>
      <x:c r="N8620" s="20" t="n">
        <x:v>42614</x:v>
      </x:c>
    </x:row>
    <x:row r="8621" ht="18" customHeight="1">
      <x:c r="A8621" t="str">
        <x:v>CA-2016-165918</x:v>
      </x:c>
      <x:c r="B8621" s="18" t="n">
        <x:v>42623</x:v>
      </x:c>
      <x:c r="C8621" t="str">
        <x:v>BD-11770</x:v>
      </x:c>
      <x:c r="D8621" t="str">
        <x:v>Bryan Davis</x:v>
      </x:c>
      <x:c r="E8621" t="str">
        <x:v>Consumer</x:v>
      </x:c>
      <x:c r="F8621" t="str">
        <x:v>West</x:v>
      </x:c>
      <x:c r="G8621" t="str">
        <x:v>Office Supplies</x:v>
      </x:c>
      <x:c r="H8621" t="str">
        <x:v>Paper</x:v>
      </x:c>
      <x:c r="I8621" s="22" t="n">
        <x:v>81.98</x:v>
      </x:c>
      <x:c r="J8621" s="24" t="n">
        <x:v>2</x:v>
      </x:c>
      <x:c r="K8621" s="26" t="n">
        <x:v>0</x:v>
      </x:c>
      <x:c r="L8621" s="22" t="n">
        <x:v>40.1702</x:v>
      </x:c>
      <x:c r="M8621" t="n">
        <x:v>2016</x:v>
      </x:c>
      <x:c r="N8621" s="20" t="n">
        <x:v>42614</x:v>
      </x:c>
    </x:row>
    <x:row r="8622" ht="18" customHeight="1">
      <x:c r="A8622" t="str">
        <x:v>CA-2016-165918</x:v>
      </x:c>
      <x:c r="B8622" s="18" t="n">
        <x:v>42623</x:v>
      </x:c>
      <x:c r="C8622" t="str">
        <x:v>BD-11770</x:v>
      </x:c>
      <x:c r="D8622" t="str">
        <x:v>Bryan Davis</x:v>
      </x:c>
      <x:c r="E8622" t="str">
        <x:v>Consumer</x:v>
      </x:c>
      <x:c r="F8622" t="str">
        <x:v>West</x:v>
      </x:c>
      <x:c r="G8622" t="str">
        <x:v>Office Supplies</x:v>
      </x:c>
      <x:c r="H8622" t="str">
        <x:v>Binders</x:v>
      </x:c>
      <x:c r="I8622" s="22" t="n">
        <x:v>39.62400000000001</x:v>
      </x:c>
      <x:c r="J8622" s="24" t="n">
        <x:v>3</x:v>
      </x:c>
      <x:c r="K8622" s="26" t="n">
        <x:v>0.2</x:v>
      </x:c>
      <x:c r="L8622" s="22" t="n">
        <x:v>13.868400000000001</x:v>
      </x:c>
      <x:c r="M8622" t="n">
        <x:v>2016</x:v>
      </x:c>
      <x:c r="N8622" s="20" t="n">
        <x:v>42614</x:v>
      </x:c>
    </x:row>
    <x:row r="8623" ht="18" customHeight="1">
      <x:c r="A8623" t="str">
        <x:v>CA-2017-117513</x:v>
      </x:c>
      <x:c r="B8623" s="18" t="n">
        <x:v>42797</x:v>
      </x:c>
      <x:c r="C8623" t="str">
        <x:v>BT-11395</x:v>
      </x:c>
      <x:c r="D8623" t="str">
        <x:v>Bill Tyler</x:v>
      </x:c>
      <x:c r="E8623" t="str">
        <x:v>Corporate</x:v>
      </x:c>
      <x:c r="F8623" t="str">
        <x:v>West</x:v>
      </x:c>
      <x:c r="G8623" t="str">
        <x:v>Furniture</x:v>
      </x:c>
      <x:c r="H8623" t="str">
        <x:v>Tables</x:v>
      </x:c>
      <x:c r="I8623" s="22" t="n">
        <x:v>399.672</x:v>
      </x:c>
      <x:c r="J8623" s="24" t="n">
        <x:v>7</x:v>
      </x:c>
      <x:c r="K8623" s="26" t="n">
        <x:v>0.2</x:v>
      </x:c>
      <x:c r="L8623" s="22" t="n">
        <x:v>-14.98770000000006</x:v>
      </x:c>
      <x:c r="M8623" t="n">
        <x:v>2017</x:v>
      </x:c>
      <x:c r="N8623" s="20" t="n">
        <x:v>42795</x:v>
      </x:c>
    </x:row>
    <x:row r="8624" ht="18" customHeight="1">
      <x:c r="A8624" t="str">
        <x:v>CA-2017-132437</x:v>
      </x:c>
      <x:c r="B8624" s="18" t="n">
        <x:v>42986</x:v>
      </x:c>
      <x:c r="C8624" t="str">
        <x:v>EM-14095</x:v>
      </x:c>
      <x:c r="D8624" t="str">
        <x:v>Eudokia Martin</x:v>
      </x:c>
      <x:c r="E8624" t="str">
        <x:v>Corporate</x:v>
      </x:c>
      <x:c r="F8624" t="str">
        <x:v>East</x:v>
      </x:c>
      <x:c r="G8624" t="str">
        <x:v>Office Supplies</x:v>
      </x:c>
      <x:c r="H8624" t="str">
        <x:v>Storage</x:v>
      </x:c>
      <x:c r="I8624" s="22" t="n">
        <x:v>65.12</x:v>
      </x:c>
      <x:c r="J8624" s="24" t="n">
        <x:v>4</x:v>
      </x:c>
      <x:c r="K8624" s="26" t="n">
        <x:v>0</x:v>
      </x:c>
      <x:c r="L8624" s="22" t="n">
        <x:v>16.931200000000004</x:v>
      </x:c>
      <x:c r="M8624" t="n">
        <x:v>2017</x:v>
      </x:c>
      <x:c r="N8624" s="20" t="n">
        <x:v>42979</x:v>
      </x:c>
    </x:row>
    <x:row r="8625" ht="18" customHeight="1">
      <x:c r="A8625" t="str">
        <x:v>US-2017-119319</x:v>
      </x:c>
      <x:c r="B8625" s="18" t="n">
        <x:v>43045</x:v>
      </x:c>
      <x:c r="C8625" t="str">
        <x:v>LC-17050</x:v>
      </x:c>
      <x:c r="D8625" t="str">
        <x:v>Liz Carlisle</x:v>
      </x:c>
      <x:c r="E8625" t="str">
        <x:v>Consumer</x:v>
      </x:c>
      <x:c r="F8625" t="str">
        <x:v>Central</x:v>
      </x:c>
      <x:c r="G8625" t="str">
        <x:v>Furniture</x:v>
      </x:c>
      <x:c r="H8625" t="str">
        <x:v>Furnishings</x:v>
      </x:c>
      <x:c r="I8625" s="22" t="n">
        <x:v>30.560000000000002</x:v>
      </x:c>
      <x:c r="J8625" s="24" t="n">
        <x:v>5</x:v>
      </x:c>
      <x:c r="K8625" s="26" t="n">
        <x:v>0.6</x:v>
      </x:c>
      <x:c r="L8625" s="22" t="n">
        <x:v>-19.863999999999997</x:v>
      </x:c>
      <x:c r="M8625" t="n">
        <x:v>2017</x:v>
      </x:c>
      <x:c r="N8625" s="20" t="n">
        <x:v>43040</x:v>
      </x:c>
    </x:row>
    <x:row r="8626" ht="18" customHeight="1">
      <x:c r="A8626" t="str">
        <x:v>CA-2017-104318</x:v>
      </x:c>
      <x:c r="B8626" s="18" t="n">
        <x:v>42868</x:v>
      </x:c>
      <x:c r="C8626" t="str">
        <x:v>FH-14275</x:v>
      </x:c>
      <x:c r="D8626" t="str">
        <x:v>Frank Hawley</x:v>
      </x:c>
      <x:c r="E8626" t="str">
        <x:v>Corporate</x:v>
      </x:c>
      <x:c r="F8626" t="str">
        <x:v>South</x:v>
      </x:c>
      <x:c r="G8626" t="str">
        <x:v>Office Supplies</x:v>
      </x:c>
      <x:c r="H8626" t="str">
        <x:v>Appliances</x:v>
      </x:c>
      <x:c r="I8626" s="22" t="n">
        <x:v>20.768</x:v>
      </x:c>
      <x:c r="J8626" s="24" t="n">
        <x:v>2</x:v>
      </x:c>
      <x:c r="K8626" s="26" t="n">
        <x:v>0.2</x:v>
      </x:c>
      <x:c r="L8626" s="22" t="n">
        <x:v>2.3363999999999976</x:v>
      </x:c>
      <x:c r="M8626" t="n">
        <x:v>2017</x:v>
      </x:c>
      <x:c r="N8626" s="20" t="n">
        <x:v>42856</x:v>
      </x:c>
    </x:row>
    <x:row r="8627" ht="18" customHeight="1">
      <x:c r="A8627" t="str">
        <x:v>US-2016-114230</x:v>
      </x:c>
      <x:c r="B8627" s="18" t="n">
        <x:v>42701</x:v>
      </x:c>
      <x:c r="C8627" t="str">
        <x:v>CM-12235</x:v>
      </x:c>
      <x:c r="D8627" t="str">
        <x:v>Chris McAfee</x:v>
      </x:c>
      <x:c r="E8627" t="str">
        <x:v>Consumer</x:v>
      </x:c>
      <x:c r="F8627" t="str">
        <x:v>West</x:v>
      </x:c>
      <x:c r="G8627" t="str">
        <x:v>Office Supplies</x:v>
      </x:c>
      <x:c r="H8627" t="str">
        <x:v>Storage</x:v>
      </x:c>
      <x:c r="I8627" s="22" t="n">
        <x:v>39.808</x:v>
      </x:c>
      <x:c r="J8627" s="24" t="n">
        <x:v>4</x:v>
      </x:c>
      <x:c r="K8627" s="26" t="n">
        <x:v>0.2</x:v>
      </x:c>
      <x:c r="L8627" s="22" t="n">
        <x:v>3.9808000000000003</x:v>
      </x:c>
      <x:c r="M8627" t="n">
        <x:v>2016</x:v>
      </x:c>
      <x:c r="N8627" s="20" t="n">
        <x:v>42675</x:v>
      </x:c>
    </x:row>
    <x:row r="8628" ht="18" customHeight="1">
      <x:c r="A8628" t="str">
        <x:v>CA-2015-136147</x:v>
      </x:c>
      <x:c r="B8628" s="18" t="n">
        <x:v>42321</x:v>
      </x:c>
      <x:c r="C8628" t="str">
        <x:v>FM-14380</x:v>
      </x:c>
      <x:c r="D8628" t="str">
        <x:v>Fred McMath</x:v>
      </x:c>
      <x:c r="E8628" t="str">
        <x:v>Consumer</x:v>
      </x:c>
      <x:c r="F8628" t="str">
        <x:v>South</x:v>
      </x:c>
      <x:c r="G8628" t="str">
        <x:v>Office Supplies</x:v>
      </x:c>
      <x:c r="H8628" t="str">
        <x:v>Binders</x:v>
      </x:c>
      <x:c r="I8628" s="22" t="n">
        <x:v>121.10400000000003</x:v>
      </x:c>
      <x:c r="J8628" s="24" t="n">
        <x:v>6</x:v>
      </x:c>
      <x:c r="K8628" s="26" t="n">
        <x:v>0.7</x:v>
      </x:c>
      <x:c r="L8628" s="22" t="n">
        <x:v>-100.91999999999999</x:v>
      </x:c>
      <x:c r="M8628" t="n">
        <x:v>2015</x:v>
      </x:c>
      <x:c r="N8628" s="20" t="n">
        <x:v>42309</x:v>
      </x:c>
    </x:row>
    <x:row r="8629" ht="18" customHeight="1">
      <x:c r="A8629" t="str">
        <x:v>CA-2015-136147</x:v>
      </x:c>
      <x:c r="B8629" s="18" t="n">
        <x:v>42321</x:v>
      </x:c>
      <x:c r="C8629" t="str">
        <x:v>FM-14380</x:v>
      </x:c>
      <x:c r="D8629" t="str">
        <x:v>Fred McMath</x:v>
      </x:c>
      <x:c r="E8629" t="str">
        <x:v>Consumer</x:v>
      </x:c>
      <x:c r="F8629" t="str">
        <x:v>South</x:v>
      </x:c>
      <x:c r="G8629" t="str">
        <x:v>Technology</x:v>
      </x:c>
      <x:c r="H8629" t="str">
        <x:v>Accessories</x:v>
      </x:c>
      <x:c r="I8629" s="22" t="n">
        <x:v>111.96</x:v>
      </x:c>
      <x:c r="J8629" s="24" t="n">
        <x:v>5</x:v>
      </x:c>
      <x:c r="K8629" s="26" t="n">
        <x:v>0.2</x:v>
      </x:c>
      <x:c r="L8629" s="22" t="n">
        <x:v>-1.3995000000000104</x:v>
      </x:c>
      <x:c r="M8629" t="n">
        <x:v>2015</x:v>
      </x:c>
      <x:c r="N8629" s="20" t="n">
        <x:v>42309</x:v>
      </x:c>
    </x:row>
    <x:row r="8630" ht="18" customHeight="1">
      <x:c r="A8630" t="str">
        <x:v>CA-2015-156118</x:v>
      </x:c>
      <x:c r="B8630" s="18" t="n">
        <x:v>42346</x:v>
      </x:c>
      <x:c r="C8630" t="str">
        <x:v>HG-14965</x:v>
      </x:c>
      <x:c r="D8630" t="str">
        <x:v>Henry Goldwyn</x:v>
      </x:c>
      <x:c r="E8630" t="str">
        <x:v>Corporate</x:v>
      </x:c>
      <x:c r="F8630" t="str">
        <x:v>West</x:v>
      </x:c>
      <x:c r="G8630" t="str">
        <x:v>Office Supplies</x:v>
      </x:c>
      <x:c r="H8630" t="str">
        <x:v>Paper</x:v>
      </x:c>
      <x:c r="I8630" s="22" t="n">
        <x:v>15.696000000000002</x:v>
      </x:c>
      <x:c r="J8630" s="24" t="n">
        <x:v>3</x:v>
      </x:c>
      <x:c r="K8630" s="26" t="n">
        <x:v>0.2</x:v>
      </x:c>
      <x:c r="L8630" s="22" t="n">
        <x:v>5.1011999999999995</x:v>
      </x:c>
      <x:c r="M8630" t="n">
        <x:v>2015</x:v>
      </x:c>
      <x:c r="N8630" s="20" t="n">
        <x:v>42339</x:v>
      </x:c>
    </x:row>
    <x:row r="8631" ht="18" customHeight="1">
      <x:c r="A8631" t="str">
        <x:v>CA-2015-164084</x:v>
      </x:c>
      <x:c r="B8631" s="18" t="n">
        <x:v>42254</x:v>
      </x:c>
      <x:c r="C8631" t="str">
        <x:v>AG-10525</x:v>
      </x:c>
      <x:c r="D8631" t="str">
        <x:v>Andy Gerbode</x:v>
      </x:c>
      <x:c r="E8631" t="str">
        <x:v>Corporate</x:v>
      </x:c>
      <x:c r="F8631" t="str">
        <x:v>East</x:v>
      </x:c>
      <x:c r="G8631" t="str">
        <x:v>Office Supplies</x:v>
      </x:c>
      <x:c r="H8631" t="str">
        <x:v>Storage</x:v>
      </x:c>
      <x:c r="I8631" s="22" t="n">
        <x:v>70.26</x:v>
      </x:c>
      <x:c r="J8631" s="24" t="n">
        <x:v>3</x:v>
      </x:c>
      <x:c r="K8631" s="26" t="n">
        <x:v>0</x:v>
      </x:c>
      <x:c r="L8631" s="22" t="n">
        <x:v>18.9702</x:v>
      </x:c>
      <x:c r="M8631" t="n">
        <x:v>2015</x:v>
      </x:c>
      <x:c r="N8631" s="20" t="n">
        <x:v>42248</x:v>
      </x:c>
    </x:row>
    <x:row r="8632" ht="18" customHeight="1">
      <x:c r="A8632" t="str">
        <x:v>CA-2015-164084</x:v>
      </x:c>
      <x:c r="B8632" s="18" t="n">
        <x:v>42254</x:v>
      </x:c>
      <x:c r="C8632" t="str">
        <x:v>AG-10525</x:v>
      </x:c>
      <x:c r="D8632" t="str">
        <x:v>Andy Gerbode</x:v>
      </x:c>
      <x:c r="E8632" t="str">
        <x:v>Corporate</x:v>
      </x:c>
      <x:c r="F8632" t="str">
        <x:v>East</x:v>
      </x:c>
      <x:c r="G8632" t="str">
        <x:v>Technology</x:v>
      </x:c>
      <x:c r="H8632" t="str">
        <x:v>Accessories</x:v>
      </x:c>
      <x:c r="I8632" s="22" t="n">
        <x:v>90</x:v>
      </x:c>
      <x:c r="J8632" s="24" t="n">
        <x:v>5</x:v>
      </x:c>
      <x:c r="K8632" s="26" t="n">
        <x:v>0</x:v>
      </x:c>
      <x:c r="L8632" s="22" t="n">
        <x:v>16.199999999999992</x:v>
      </x:c>
      <x:c r="M8632" t="n">
        <x:v>2015</x:v>
      </x:c>
      <x:c r="N8632" s="20" t="n">
        <x:v>42248</x:v>
      </x:c>
    </x:row>
    <x:row r="8633" ht="18" customHeight="1">
      <x:c r="A8633" t="str">
        <x:v>CA-2015-164084</x:v>
      </x:c>
      <x:c r="B8633" s="18" t="n">
        <x:v>42254</x:v>
      </x:c>
      <x:c r="C8633" t="str">
        <x:v>AG-10525</x:v>
      </x:c>
      <x:c r="D8633" t="str">
        <x:v>Andy Gerbode</x:v>
      </x:c>
      <x:c r="E8633" t="str">
        <x:v>Corporate</x:v>
      </x:c>
      <x:c r="F8633" t="str">
        <x:v>East</x:v>
      </x:c>
      <x:c r="G8633" t="str">
        <x:v>Office Supplies</x:v>
      </x:c>
      <x:c r="H8633" t="str">
        <x:v>Binders</x:v>
      </x:c>
      <x:c r="I8633" s="22" t="n">
        <x:v>6.096</x:v>
      </x:c>
      <x:c r="J8633" s="24" t="n">
        <x:v>2</x:v>
      </x:c>
      <x:c r="K8633" s="26" t="n">
        <x:v>0.2</x:v>
      </x:c>
      <x:c r="L8633" s="22" t="n">
        <x:v>2.0573999999999995</x:v>
      </x:c>
      <x:c r="M8633" t="n">
        <x:v>2015</x:v>
      </x:c>
      <x:c r="N8633" s="20" t="n">
        <x:v>42248</x:v>
      </x:c>
    </x:row>
    <x:row r="8634" ht="18" customHeight="1">
      <x:c r="A8634" t="str">
        <x:v>CA-2015-164084</x:v>
      </x:c>
      <x:c r="B8634" s="18" t="n">
        <x:v>42254</x:v>
      </x:c>
      <x:c r="C8634" t="str">
        <x:v>AG-10525</x:v>
      </x:c>
      <x:c r="D8634" t="str">
        <x:v>Andy Gerbode</x:v>
      </x:c>
      <x:c r="E8634" t="str">
        <x:v>Corporate</x:v>
      </x:c>
      <x:c r="F8634" t="str">
        <x:v>East</x:v>
      </x:c>
      <x:c r="G8634" t="str">
        <x:v>Furniture</x:v>
      </x:c>
      <x:c r="H8634" t="str">
        <x:v>Tables</x:v>
      </x:c>
      <x:c r="I8634" s="22" t="n">
        <x:v>481.176</x:v>
      </x:c>
      <x:c r="J8634" s="24" t="n">
        <x:v>2</x:v>
      </x:c>
      <x:c r="K8634" s="26" t="n">
        <x:v>0.4</x:v>
      </x:c>
      <x:c r="L8634" s="22" t="n">
        <x:v>-120.29400000000004</x:v>
      </x:c>
      <x:c r="M8634" t="n">
        <x:v>2015</x:v>
      </x:c>
      <x:c r="N8634" s="20" t="n">
        <x:v>42248</x:v>
      </x:c>
    </x:row>
    <x:row r="8635" ht="18" customHeight="1">
      <x:c r="A8635" t="str">
        <x:v>CA-2015-164084</x:v>
      </x:c>
      <x:c r="B8635" s="18" t="n">
        <x:v>42254</x:v>
      </x:c>
      <x:c r="C8635" t="str">
        <x:v>AG-10525</x:v>
      </x:c>
      <x:c r="D8635" t="str">
        <x:v>Andy Gerbode</x:v>
      </x:c>
      <x:c r="E8635" t="str">
        <x:v>Corporate</x:v>
      </x:c>
      <x:c r="F8635" t="str">
        <x:v>East</x:v>
      </x:c>
      <x:c r="G8635" t="str">
        <x:v>Office Supplies</x:v>
      </x:c>
      <x:c r="H8635" t="str">
        <x:v>Fasteners</x:v>
      </x:c>
      <x:c r="I8635" s="22" t="n">
        <x:v>7.24</x:v>
      </x:c>
      <x:c r="J8635" s="24" t="n">
        <x:v>4</x:v>
      </x:c>
      <x:c r="K8635" s="26" t="n">
        <x:v>0</x:v>
      </x:c>
      <x:c r="L8635" s="22" t="n">
        <x:v>2.3891999999999998</x:v>
      </x:c>
      <x:c r="M8635" t="n">
        <x:v>2015</x:v>
      </x:c>
      <x:c r="N8635" s="20" t="n">
        <x:v>42248</x:v>
      </x:c>
    </x:row>
    <x:row r="8636" ht="18" customHeight="1">
      <x:c r="A8636" t="str">
        <x:v>CA-2016-107783</x:v>
      </x:c>
      <x:c r="B8636" s="18" t="n">
        <x:v>42579</x:v>
      </x:c>
      <x:c r="C8636" t="str">
        <x:v>OT-18730</x:v>
      </x:c>
      <x:c r="D8636" t="str">
        <x:v>Olvera Toch</x:v>
      </x:c>
      <x:c r="E8636" t="str">
        <x:v>Consumer</x:v>
      </x:c>
      <x:c r="F8636" t="str">
        <x:v>East</x:v>
      </x:c>
      <x:c r="G8636" t="str">
        <x:v>Furniture</x:v>
      </x:c>
      <x:c r="H8636" t="str">
        <x:v>Bookcases</x:v>
      </x:c>
      <x:c r="I8636" s="22" t="n">
        <x:v>177.45000000000002</x:v>
      </x:c>
      <x:c r="J8636" s="24" t="n">
        <x:v>5</x:v>
      </x:c>
      <x:c r="K8636" s="26" t="n">
        <x:v>0.5</x:v>
      </x:c>
      <x:c r="L8636" s="22" t="n">
        <x:v>-78.078</x:v>
      </x:c>
      <x:c r="M8636" t="n">
        <x:v>2016</x:v>
      </x:c>
      <x:c r="N8636" s="20" t="n">
        <x:v>42552</x:v>
      </x:c>
    </x:row>
    <x:row r="8637" ht="18" customHeight="1">
      <x:c r="A8637" t="str">
        <x:v>CA-2016-107783</x:v>
      </x:c>
      <x:c r="B8637" s="18" t="n">
        <x:v>42579</x:v>
      </x:c>
      <x:c r="C8637" t="str">
        <x:v>OT-18730</x:v>
      </x:c>
      <x:c r="D8637" t="str">
        <x:v>Olvera Toch</x:v>
      </x:c>
      <x:c r="E8637" t="str">
        <x:v>Consumer</x:v>
      </x:c>
      <x:c r="F8637" t="str">
        <x:v>East</x:v>
      </x:c>
      <x:c r="G8637" t="str">
        <x:v>Office Supplies</x:v>
      </x:c>
      <x:c r="H8637" t="str">
        <x:v>Binders</x:v>
      </x:c>
      <x:c r="I8637" s="22" t="n">
        <x:v>1369.7640000000001</x:v>
      </x:c>
      <x:c r="J8637" s="24" t="n">
        <x:v>6</x:v>
      </x:c>
      <x:c r="K8637" s="26" t="n">
        <x:v>0.7</x:v>
      </x:c>
      <x:c r="L8637" s="22" t="n">
        <x:v>-913.1759999999999</x:v>
      </x:c>
      <x:c r="M8637" t="n">
        <x:v>2016</x:v>
      </x:c>
      <x:c r="N8637" s="20" t="n">
        <x:v>42552</x:v>
      </x:c>
    </x:row>
    <x:row r="8638" ht="18" customHeight="1">
      <x:c r="A8638" t="str">
        <x:v>CA-2016-107783</x:v>
      </x:c>
      <x:c r="B8638" s="18" t="n">
        <x:v>42579</x:v>
      </x:c>
      <x:c r="C8638" t="str">
        <x:v>OT-18730</x:v>
      </x:c>
      <x:c r="D8638" t="str">
        <x:v>Olvera Toch</x:v>
      </x:c>
      <x:c r="E8638" t="str">
        <x:v>Consumer</x:v>
      </x:c>
      <x:c r="F8638" t="str">
        <x:v>East</x:v>
      </x:c>
      <x:c r="G8638" t="str">
        <x:v>Office Supplies</x:v>
      </x:c>
      <x:c r="H8638" t="str">
        <x:v>Appliances</x:v>
      </x:c>
      <x:c r="I8638" s="22" t="n">
        <x:v>9.48</x:v>
      </x:c>
      <x:c r="J8638" s="24" t="n">
        <x:v>3</x:v>
      </x:c>
      <x:c r="K8638" s="26" t="n">
        <x:v>0.2</x:v>
      </x:c>
      <x:c r="L8638" s="22" t="n">
        <x:v>0.7110000000000003</x:v>
      </x:c>
      <x:c r="M8638" t="n">
        <x:v>2016</x:v>
      </x:c>
      <x:c r="N8638" s="20" t="n">
        <x:v>42552</x:v>
      </x:c>
    </x:row>
    <x:row r="8639" ht="18" customHeight="1">
      <x:c r="A8639" t="str">
        <x:v>CA-2017-159793</x:v>
      </x:c>
      <x:c r="B8639" s="18" t="n">
        <x:v>42972</x:v>
      </x:c>
      <x:c r="C8639" t="str">
        <x:v>SV-20365</x:v>
      </x:c>
      <x:c r="D8639" t="str">
        <x:v>Seth Vernon</x:v>
      </x:c>
      <x:c r="E8639" t="str">
        <x:v>Consumer</x:v>
      </x:c>
      <x:c r="F8639" t="str">
        <x:v>East</x:v>
      </x:c>
      <x:c r="G8639" t="str">
        <x:v>Furniture</x:v>
      </x:c>
      <x:c r="H8639" t="str">
        <x:v>Bookcases</x:v>
      </x:c>
      <x:c r="I8639" s="22" t="n">
        <x:v>130.98</x:v>
      </x:c>
      <x:c r="J8639" s="24" t="n">
        <x:v>2</x:v>
      </x:c>
      <x:c r="K8639" s="26" t="n">
        <x:v>0.5</x:v>
      </x:c>
      <x:c r="L8639" s="22" t="n">
        <x:v>-89.06639999999999</x:v>
      </x:c>
      <x:c r="M8639" t="n">
        <x:v>2017</x:v>
      </x:c>
      <x:c r="N8639" s="20" t="n">
        <x:v>42948</x:v>
      </x:c>
    </x:row>
    <x:row r="8640" ht="18" customHeight="1">
      <x:c r="A8640" t="str">
        <x:v>CA-2014-160094</x:v>
      </x:c>
      <x:c r="B8640" s="18" t="n">
        <x:v>41759</x:v>
      </x:c>
      <x:c r="C8640" t="str">
        <x:v>JM-16195</x:v>
      </x:c>
      <x:c r="D8640" t="str">
        <x:v>Justin MacKendrick</x:v>
      </x:c>
      <x:c r="E8640" t="str">
        <x:v>Consumer</x:v>
      </x:c>
      <x:c r="F8640" t="str">
        <x:v>South</x:v>
      </x:c>
      <x:c r="G8640" t="str">
        <x:v>Office Supplies</x:v>
      </x:c>
      <x:c r="H8640" t="str">
        <x:v>Art</x:v>
      </x:c>
      <x:c r="I8640" s="22" t="n">
        <x:v>174.95000000000002</x:v>
      </x:c>
      <x:c r="J8640" s="24" t="n">
        <x:v>5</x:v>
      </x:c>
      <x:c r="K8640" s="26" t="n">
        <x:v>0</x:v>
      </x:c>
      <x:c r="L8640" s="22" t="n">
        <x:v>45.487</x:v>
      </x:c>
      <x:c r="M8640" t="n">
        <x:v>2014</x:v>
      </x:c>
      <x:c r="N8640" s="20" t="n">
        <x:v>41730</x:v>
      </x:c>
    </x:row>
    <x:row r="8641" ht="18" customHeight="1">
      <x:c r="A8641" t="str">
        <x:v>CA-2014-160094</x:v>
      </x:c>
      <x:c r="B8641" s="18" t="n">
        <x:v>41759</x:v>
      </x:c>
      <x:c r="C8641" t="str">
        <x:v>JM-16195</x:v>
      </x:c>
      <x:c r="D8641" t="str">
        <x:v>Justin MacKendrick</x:v>
      </x:c>
      <x:c r="E8641" t="str">
        <x:v>Consumer</x:v>
      </x:c>
      <x:c r="F8641" t="str">
        <x:v>South</x:v>
      </x:c>
      <x:c r="G8641" t="str">
        <x:v>Office Supplies</x:v>
      </x:c>
      <x:c r="H8641" t="str">
        <x:v>Storage</x:v>
      </x:c>
      <x:c r="I8641" s="22" t="n">
        <x:v>826</x:v>
      </x:c>
      <x:c r="J8641" s="24" t="n">
        <x:v>5</x:v>
      </x:c>
      <x:c r="K8641" s="26" t="n">
        <x:v>0</x:v>
      </x:c>
      <x:c r="L8641" s="22" t="n">
        <x:v>214.76</x:v>
      </x:c>
      <x:c r="M8641" t="n">
        <x:v>2014</x:v>
      </x:c>
      <x:c r="N8641" s="20" t="n">
        <x:v>41730</x:v>
      </x:c>
    </x:row>
    <x:row r="8642" ht="18" customHeight="1">
      <x:c r="A8642" t="str">
        <x:v>CA-2017-151281</x:v>
      </x:c>
      <x:c r="B8642" s="18" t="n">
        <x:v>42852</x:v>
      </x:c>
      <x:c r="C8642" t="str">
        <x:v>HM-14980</x:v>
      </x:c>
      <x:c r="D8642" t="str">
        <x:v>Henry MacAllister</x:v>
      </x:c>
      <x:c r="E8642" t="str">
        <x:v>Consumer</x:v>
      </x:c>
      <x:c r="F8642" t="str">
        <x:v>West</x:v>
      </x:c>
      <x:c r="G8642" t="str">
        <x:v>Furniture</x:v>
      </x:c>
      <x:c r="H8642" t="str">
        <x:v>Furnishings</x:v>
      </x:c>
      <x:c r="I8642" s="22" t="n">
        <x:v>139.58</x:v>
      </x:c>
      <x:c r="J8642" s="24" t="n">
        <x:v>7</x:v>
      </x:c>
      <x:c r="K8642" s="26" t="n">
        <x:v>0</x:v>
      </x:c>
      <x:c r="L8642" s="22" t="n">
        <x:v>39.08240000000001</x:v>
      </x:c>
      <x:c r="M8642" t="n">
        <x:v>2017</x:v>
      </x:c>
      <x:c r="N8642" s="20" t="n">
        <x:v>42826</x:v>
      </x:c>
    </x:row>
    <x:row r="8643" ht="18" customHeight="1">
      <x:c r="A8643" t="str">
        <x:v>CA-2017-118346</x:v>
      </x:c>
      <x:c r="B8643" s="18" t="n">
        <x:v>42939</x:v>
      </x:c>
      <x:c r="C8643" t="str">
        <x:v>PO-19180</x:v>
      </x:c>
      <x:c r="D8643" t="str">
        <x:v>Philisse Overcash</x:v>
      </x:c>
      <x:c r="E8643" t="str">
        <x:v>Home Office</x:v>
      </x:c>
      <x:c r="F8643" t="str">
        <x:v>Central</x:v>
      </x:c>
      <x:c r="G8643" t="str">
        <x:v>Technology</x:v>
      </x:c>
      <x:c r="H8643" t="str">
        <x:v>Accessories</x:v>
      </x:c>
      <x:c r="I8643" s="22" t="n">
        <x:v>399.95</x:v>
      </x:c>
      <x:c r="J8643" s="24" t="n">
        <x:v>5</x:v>
      </x:c>
      <x:c r="K8643" s="26" t="n">
        <x:v>0</x:v>
      </x:c>
      <x:c r="L8643" s="22" t="n">
        <x:v>143.982</x:v>
      </x:c>
      <x:c r="M8643" t="n">
        <x:v>2017</x:v>
      </x:c>
      <x:c r="N8643" s="20" t="n">
        <x:v>42917</x:v>
      </x:c>
    </x:row>
    <x:row r="8644" ht="18" customHeight="1">
      <x:c r="A8644" t="str">
        <x:v>CA-2014-129819</x:v>
      </x:c>
      <x:c r="B8644" s="18" t="n">
        <x:v>41986</x:v>
      </x:c>
      <x:c r="C8644" t="str">
        <x:v>KC-16675</x:v>
      </x:c>
      <x:c r="D8644" t="str">
        <x:v>Kimberly Carter</x:v>
      </x:c>
      <x:c r="E8644" t="str">
        <x:v>Corporate</x:v>
      </x:c>
      <x:c r="F8644" t="str">
        <x:v>South</x:v>
      </x:c>
      <x:c r="G8644" t="str">
        <x:v>Office Supplies</x:v>
      </x:c>
      <x:c r="H8644" t="str">
        <x:v>Binders</x:v>
      </x:c>
      <x:c r="I8644" s="22" t="n">
        <x:v>12.39</x:v>
      </x:c>
      <x:c r="J8644" s="24" t="n">
        <x:v>3</x:v>
      </x:c>
      <x:c r="K8644" s="26" t="n">
        <x:v>0</x:v>
      </x:c>
      <x:c r="L8644" s="22" t="n">
        <x:v>5.8233</x:v>
      </x:c>
      <x:c r="M8644" t="n">
        <x:v>2014</x:v>
      </x:c>
      <x:c r="N8644" s="20" t="n">
        <x:v>41974</x:v>
      </x:c>
    </x:row>
    <x:row r="8645" ht="18" customHeight="1">
      <x:c r="A8645" t="str">
        <x:v>US-2017-148551</x:v>
      </x:c>
      <x:c r="B8645" s="18" t="n">
        <x:v>42747</x:v>
      </x:c>
      <x:c r="C8645" t="str">
        <x:v>DB-13120</x:v>
      </x:c>
      <x:c r="D8645" t="str">
        <x:v>David Bremer</x:v>
      </x:c>
      <x:c r="E8645" t="str">
        <x:v>Corporate</x:v>
      </x:c>
      <x:c r="F8645" t="str">
        <x:v>Central</x:v>
      </x:c>
      <x:c r="G8645" t="str">
        <x:v>Office Supplies</x:v>
      </x:c>
      <x:c r="H8645" t="str">
        <x:v>Binders</x:v>
      </x:c>
      <x:c r="I8645" s="22" t="n">
        <x:v>760.9799999999998</x:v>
      </x:c>
      <x:c r="J8645" s="24" t="n">
        <x:v>5</x:v>
      </x:c>
      <x:c r="K8645" s="26" t="n">
        <x:v>0.8</x:v>
      </x:c>
      <x:c r="L8645" s="22" t="n">
        <x:v>-1141.47</x:v>
      </x:c>
      <x:c r="M8645" t="n">
        <x:v>2017</x:v>
      </x:c>
      <x:c r="N8645" s="20" t="n">
        <x:v>42736</x:v>
      </x:c>
    </x:row>
    <x:row r="8646" ht="18" customHeight="1">
      <x:c r="A8646" t="str">
        <x:v>CA-2017-147767</x:v>
      </x:c>
      <x:c r="B8646" s="18" t="n">
        <x:v>43071</x:v>
      </x:c>
      <x:c r="C8646" t="str">
        <x:v>SV-20935</x:v>
      </x:c>
      <x:c r="D8646" t="str">
        <x:v>Susan Vittorini</x:v>
      </x:c>
      <x:c r="E8646" t="str">
        <x:v>Consumer</x:v>
      </x:c>
      <x:c r="F8646" t="str">
        <x:v>West</x:v>
      </x:c>
      <x:c r="G8646" t="str">
        <x:v>Office Supplies</x:v>
      </x:c>
      <x:c r="H8646" t="str">
        <x:v>Binders</x:v>
      </x:c>
      <x:c r="I8646" s="22" t="n">
        <x:v>67.86000000000001</x:v>
      </x:c>
      <x:c r="J8646" s="24" t="n">
        <x:v>6</x:v>
      </x:c>
      <x:c r="K8646" s="26" t="n">
        <x:v>0.7</x:v>
      </x:c>
      <x:c r="L8646" s="22" t="n">
        <x:v>-45.239999999999995</x:v>
      </x:c>
      <x:c r="M8646" t="n">
        <x:v>2017</x:v>
      </x:c>
      <x:c r="N8646" s="20" t="n">
        <x:v>43070</x:v>
      </x:c>
    </x:row>
    <x:row r="8647" ht="18" customHeight="1">
      <x:c r="A8647" t="str">
        <x:v>CA-2015-108259</x:v>
      </x:c>
      <x:c r="B8647" s="18" t="n">
        <x:v>42316</x:v>
      </x:c>
      <x:c r="C8647" t="str">
        <x:v>NS-18640</x:v>
      </x:c>
      <x:c r="D8647" t="str">
        <x:v>Noel Staavos</x:v>
      </x:c>
      <x:c r="E8647" t="str">
        <x:v>Corporate</x:v>
      </x:c>
      <x:c r="F8647" t="str">
        <x:v>South</x:v>
      </x:c>
      <x:c r="G8647" t="str">
        <x:v>Office Supplies</x:v>
      </x:c>
      <x:c r="H8647" t="str">
        <x:v>Fasteners</x:v>
      </x:c>
      <x:c r="I8647" s="22" t="n">
        <x:v>31.504000000000005</x:v>
      </x:c>
      <x:c r="J8647" s="24" t="n">
        <x:v>11</x:v>
      </x:c>
      <x:c r="K8647" s="26" t="n">
        <x:v>0.2</x:v>
      </x:c>
      <x:c r="L8647" s="22" t="n">
        <x:v>11.814</x:v>
      </x:c>
      <x:c r="M8647" t="n">
        <x:v>2015</x:v>
      </x:c>
      <x:c r="N8647" s="20" t="n">
        <x:v>42309</x:v>
      </x:c>
    </x:row>
    <x:row r="8648" ht="18" customHeight="1">
      <x:c r="A8648" t="str">
        <x:v>CA-2015-108259</x:v>
      </x:c>
      <x:c r="B8648" s="18" t="n">
        <x:v>42316</x:v>
      </x:c>
      <x:c r="C8648" t="str">
        <x:v>NS-18640</x:v>
      </x:c>
      <x:c r="D8648" t="str">
        <x:v>Noel Staavos</x:v>
      </x:c>
      <x:c r="E8648" t="str">
        <x:v>Corporate</x:v>
      </x:c>
      <x:c r="F8648" t="str">
        <x:v>South</x:v>
      </x:c>
      <x:c r="G8648" t="str">
        <x:v>Office Supplies</x:v>
      </x:c>
      <x:c r="H8648" t="str">
        <x:v>Labels</x:v>
      </x:c>
      <x:c r="I8648" s="22" t="n">
        <x:v>5.04</x:v>
      </x:c>
      <x:c r="J8648" s="24" t="n">
        <x:v>1</x:v>
      </x:c>
      <x:c r="K8648" s="26" t="n">
        <x:v>0.2</x:v>
      </x:c>
      <x:c r="L8648" s="22" t="n">
        <x:v>1.6379999999999997</x:v>
      </x:c>
      <x:c r="M8648" t="n">
        <x:v>2015</x:v>
      </x:c>
      <x:c r="N8648" s="20" t="n">
        <x:v>42309</x:v>
      </x:c>
    </x:row>
    <x:row r="8649" ht="18" customHeight="1">
      <x:c r="A8649" t="str">
        <x:v>CA-2015-108259</x:v>
      </x:c>
      <x:c r="B8649" s="18" t="n">
        <x:v>42316</x:v>
      </x:c>
      <x:c r="C8649" t="str">
        <x:v>NS-18640</x:v>
      </x:c>
      <x:c r="D8649" t="str">
        <x:v>Noel Staavos</x:v>
      </x:c>
      <x:c r="E8649" t="str">
        <x:v>Corporate</x:v>
      </x:c>
      <x:c r="F8649" t="str">
        <x:v>South</x:v>
      </x:c>
      <x:c r="G8649" t="str">
        <x:v>Office Supplies</x:v>
      </x:c>
      <x:c r="H8649" t="str">
        <x:v>Binders</x:v>
      </x:c>
      <x:c r="I8649" s="22" t="n">
        <x:v>39.879</x:v>
      </x:c>
      <x:c r="J8649" s="24" t="n">
        <x:v>7</x:v>
      </x:c>
      <x:c r="K8649" s="26" t="n">
        <x:v>0.7</x:v>
      </x:c>
      <x:c r="L8649" s="22" t="n">
        <x:v>-29.24459999999999</x:v>
      </x:c>
      <x:c r="M8649" t="n">
        <x:v>2015</x:v>
      </x:c>
      <x:c r="N8649" s="20" t="n">
        <x:v>42309</x:v>
      </x:c>
    </x:row>
    <x:row r="8650" ht="18" customHeight="1">
      <x:c r="A8650" t="str">
        <x:v>CA-2015-108259</x:v>
      </x:c>
      <x:c r="B8650" s="18" t="n">
        <x:v>42316</x:v>
      </x:c>
      <x:c r="C8650" t="str">
        <x:v>NS-18640</x:v>
      </x:c>
      <x:c r="D8650" t="str">
        <x:v>Noel Staavos</x:v>
      </x:c>
      <x:c r="E8650" t="str">
        <x:v>Corporate</x:v>
      </x:c>
      <x:c r="F8650" t="str">
        <x:v>South</x:v>
      </x:c>
      <x:c r="G8650" t="str">
        <x:v>Furniture</x:v>
      </x:c>
      <x:c r="H8650" t="str">
        <x:v>Furnishings</x:v>
      </x:c>
      <x:c r="I8650" s="22" t="n">
        <x:v>4.712</x:v>
      </x:c>
      <x:c r="J8650" s="24" t="n">
        <x:v>1</x:v>
      </x:c>
      <x:c r="K8650" s="26" t="n">
        <x:v>0.2</x:v>
      </x:c>
      <x:c r="L8650" s="22" t="n">
        <x:v>1.4136000000000002</x:v>
      </x:c>
      <x:c r="M8650" t="n">
        <x:v>2015</x:v>
      </x:c>
      <x:c r="N8650" s="20" t="n">
        <x:v>42309</x:v>
      </x:c>
    </x:row>
    <x:row r="8651" ht="18" customHeight="1">
      <x:c r="A8651" t="str">
        <x:v>CA-2016-113341</x:v>
      </x:c>
      <x:c r="B8651" s="18" t="n">
        <x:v>42699</x:v>
      </x:c>
      <x:c r="C8651" t="str">
        <x:v>MH-17455</x:v>
      </x:c>
      <x:c r="D8651" t="str">
        <x:v>Mark Hamilton</x:v>
      </x:c>
      <x:c r="E8651" t="str">
        <x:v>Consumer</x:v>
      </x:c>
      <x:c r="F8651" t="str">
        <x:v>West</x:v>
      </x:c>
      <x:c r="G8651" t="str">
        <x:v>Furniture</x:v>
      </x:c>
      <x:c r="H8651" t="str">
        <x:v>Chairs</x:v>
      </x:c>
      <x:c r="I8651" s="22" t="n">
        <x:v>194.35200000000003</x:v>
      </x:c>
      <x:c r="J8651" s="24" t="n">
        <x:v>3</x:v>
      </x:c>
      <x:c r="K8651" s="26" t="n">
        <x:v>0.2</x:v>
      </x:c>
      <x:c r="L8651" s="22" t="n">
        <x:v>19.43520000000001</x:v>
      </x:c>
      <x:c r="M8651" t="n">
        <x:v>2016</x:v>
      </x:c>
      <x:c r="N8651" s="20" t="n">
        <x:v>42675</x:v>
      </x:c>
    </x:row>
    <x:row r="8652" ht="18" customHeight="1">
      <x:c r="A8652" t="str">
        <x:v>US-2015-131842</x:v>
      </x:c>
      <x:c r="B8652" s="18" t="n">
        <x:v>42343</x:v>
      </x:c>
      <x:c r="C8652" t="str">
        <x:v>RR-19525</x:v>
      </x:c>
      <x:c r="D8652" t="str">
        <x:v>Rick Reed</x:v>
      </x:c>
      <x:c r="E8652" t="str">
        <x:v>Corporate</x:v>
      </x:c>
      <x:c r="F8652" t="str">
        <x:v>South</x:v>
      </x:c>
      <x:c r="G8652" t="str">
        <x:v>Furniture</x:v>
      </x:c>
      <x:c r="H8652" t="str">
        <x:v>Chairs</x:v>
      </x:c>
      <x:c r="I8652" s="22" t="n">
        <x:v>97.424</x:v>
      </x:c>
      <x:c r="J8652" s="24" t="n">
        <x:v>2</x:v>
      </x:c>
      <x:c r="K8652" s="26" t="n">
        <x:v>0.2</x:v>
      </x:c>
      <x:c r="L8652" s="22" t="n">
        <x:v>10.960199999999993</x:v>
      </x:c>
      <x:c r="M8652" t="n">
        <x:v>2015</x:v>
      </x:c>
      <x:c r="N8652" s="20" t="n">
        <x:v>42339</x:v>
      </x:c>
    </x:row>
    <x:row r="8653" ht="18" customHeight="1">
      <x:c r="A8653" t="str">
        <x:v>CA-2016-164574</x:v>
      </x:c>
      <x:c r="B8653" s="18" t="n">
        <x:v>42580</x:v>
      </x:c>
      <x:c r="C8653" t="str">
        <x:v>RH-19555</x:v>
      </x:c>
      <x:c r="D8653" t="str">
        <x:v>Ritsa Hightower</x:v>
      </x:c>
      <x:c r="E8653" t="str">
        <x:v>Consumer</x:v>
      </x:c>
      <x:c r="F8653" t="str">
        <x:v>South</x:v>
      </x:c>
      <x:c r="G8653" t="str">
        <x:v>Office Supplies</x:v>
      </x:c>
      <x:c r="H8653" t="str">
        <x:v>Storage</x:v>
      </x:c>
      <x:c r="I8653" s="22" t="n">
        <x:v>704.76</x:v>
      </x:c>
      <x:c r="J8653" s="24" t="n">
        <x:v>5</x:v>
      </x:c>
      <x:c r="K8653" s="26" t="n">
        <x:v>0.2</x:v>
      </x:c>
      <x:c r="L8653" s="22" t="n">
        <x:v>26.428499999999957</x:v>
      </x:c>
      <x:c r="M8653" t="n">
        <x:v>2016</x:v>
      </x:c>
      <x:c r="N8653" s="20" t="n">
        <x:v>42552</x:v>
      </x:c>
    </x:row>
    <x:row r="8654" ht="18" customHeight="1">
      <x:c r="A8654" t="str">
        <x:v>CA-2016-164574</x:v>
      </x:c>
      <x:c r="B8654" s="18" t="n">
        <x:v>42580</x:v>
      </x:c>
      <x:c r="C8654" t="str">
        <x:v>RH-19555</x:v>
      </x:c>
      <x:c r="D8654" t="str">
        <x:v>Ritsa Hightower</x:v>
      </x:c>
      <x:c r="E8654" t="str">
        <x:v>Consumer</x:v>
      </x:c>
      <x:c r="F8654" t="str">
        <x:v>South</x:v>
      </x:c>
      <x:c r="G8654" t="str">
        <x:v>Office Supplies</x:v>
      </x:c>
      <x:c r="H8654" t="str">
        <x:v>Binders</x:v>
      </x:c>
      <x:c r="I8654" s="22" t="n">
        <x:v>27.396000000000004</x:v>
      </x:c>
      <x:c r="J8654" s="24" t="n">
        <x:v>3</x:v>
      </x:c>
      <x:c r="K8654" s="26" t="n">
        <x:v>0.7</x:v>
      </x:c>
      <x:c r="L8654" s="22" t="n">
        <x:v>-20.090399999999995</x:v>
      </x:c>
      <x:c r="M8654" t="n">
        <x:v>2016</x:v>
      </x:c>
      <x:c r="N8654" s="20" t="n">
        <x:v>42552</x:v>
      </x:c>
    </x:row>
    <x:row r="8655" ht="18" customHeight="1">
      <x:c r="A8655" t="str">
        <x:v>CA-2014-142769</x:v>
      </x:c>
      <x:c r="B8655" s="18" t="n">
        <x:v>41895</x:v>
      </x:c>
      <x:c r="C8655" t="str">
        <x:v>RP-19390</x:v>
      </x:c>
      <x:c r="D8655" t="str">
        <x:v>Resi Pölking</x:v>
      </x:c>
      <x:c r="E8655" t="str">
        <x:v>Consumer</x:v>
      </x:c>
      <x:c r="F8655" t="str">
        <x:v>West</x:v>
      </x:c>
      <x:c r="G8655" t="str">
        <x:v>Office Supplies</x:v>
      </x:c>
      <x:c r="H8655" t="str">
        <x:v>Fasteners</x:v>
      </x:c>
      <x:c r="I8655" s="22" t="n">
        <x:v>5.699999999999999</x:v>
      </x:c>
      <x:c r="J8655" s="24" t="n">
        <x:v>5</x:v>
      </x:c>
      <x:c r="K8655" s="26" t="n">
        <x:v>0</x:v>
      </x:c>
      <x:c r="L8655" s="22" t="n">
        <x:v>2.679</x:v>
      </x:c>
      <x:c r="M8655" t="n">
        <x:v>2014</x:v>
      </x:c>
      <x:c r="N8655" s="20" t="n">
        <x:v>41883</x:v>
      </x:c>
    </x:row>
    <x:row r="8656" ht="18" customHeight="1">
      <x:c r="A8656" t="str">
        <x:v>CA-2014-142769</x:v>
      </x:c>
      <x:c r="B8656" s="18" t="n">
        <x:v>41895</x:v>
      </x:c>
      <x:c r="C8656" t="str">
        <x:v>RP-19390</x:v>
      </x:c>
      <x:c r="D8656" t="str">
        <x:v>Resi Pölking</x:v>
      </x:c>
      <x:c r="E8656" t="str">
        <x:v>Consumer</x:v>
      </x:c>
      <x:c r="F8656" t="str">
        <x:v>West</x:v>
      </x:c>
      <x:c r="G8656" t="str">
        <x:v>Furniture</x:v>
      </x:c>
      <x:c r="H8656" t="str">
        <x:v>Furnishings</x:v>
      </x:c>
      <x:c r="I8656" s="22" t="n">
        <x:v>14.190000000000001</x:v>
      </x:c>
      <x:c r="J8656" s="24" t="n">
        <x:v>3</x:v>
      </x:c>
      <x:c r="K8656" s="26" t="n">
        <x:v>0</x:v>
      </x:c>
      <x:c r="L8656" s="22" t="n">
        <x:v>5.534100000000001</x:v>
      </x:c>
      <x:c r="M8656" t="n">
        <x:v>2014</x:v>
      </x:c>
      <x:c r="N8656" s="20" t="n">
        <x:v>41883</x:v>
      </x:c>
    </x:row>
    <x:row r="8657" ht="18" customHeight="1">
      <x:c r="A8657" t="str">
        <x:v>CA-2014-142769</x:v>
      </x:c>
      <x:c r="B8657" s="18" t="n">
        <x:v>41895</x:v>
      </x:c>
      <x:c r="C8657" t="str">
        <x:v>RP-19390</x:v>
      </x:c>
      <x:c r="D8657" t="str">
        <x:v>Resi Pölking</x:v>
      </x:c>
      <x:c r="E8657" t="str">
        <x:v>Consumer</x:v>
      </x:c>
      <x:c r="F8657" t="str">
        <x:v>West</x:v>
      </x:c>
      <x:c r="G8657" t="str">
        <x:v>Office Supplies</x:v>
      </x:c>
      <x:c r="H8657" t="str">
        <x:v>Supplies</x:v>
      </x:c>
      <x:c r="I8657" s="22" t="n">
        <x:v>7.3</x:v>
      </x:c>
      <x:c r="J8657" s="24" t="n">
        <x:v>2</x:v>
      </x:c>
      <x:c r="K8657" s="26" t="n">
        <x:v>0</x:v>
      </x:c>
      <x:c r="L8657" s="22" t="n">
        <x:v>2.1899999999999995</x:v>
      </x:c>
      <x:c r="M8657" t="n">
        <x:v>2014</x:v>
      </x:c>
      <x:c r="N8657" s="20" t="n">
        <x:v>41883</x:v>
      </x:c>
    </x:row>
    <x:row r="8658" ht="18" customHeight="1">
      <x:c r="A8658" t="str">
        <x:v>CA-2014-142769</x:v>
      </x:c>
      <x:c r="B8658" s="18" t="n">
        <x:v>41895</x:v>
      </x:c>
      <x:c r="C8658" t="str">
        <x:v>RP-19390</x:v>
      </x:c>
      <x:c r="D8658" t="str">
        <x:v>Resi Pölking</x:v>
      </x:c>
      <x:c r="E8658" t="str">
        <x:v>Consumer</x:v>
      </x:c>
      <x:c r="F8658" t="str">
        <x:v>West</x:v>
      </x:c>
      <x:c r="G8658" t="str">
        <x:v>Technology</x:v>
      </x:c>
      <x:c r="H8658" t="str">
        <x:v>Accessories</x:v>
      </x:c>
      <x:c r="I8658" s="22" t="n">
        <x:v>199.98</x:v>
      </x:c>
      <x:c r="J8658" s="24" t="n">
        <x:v>2</x:v>
      </x:c>
      <x:c r="K8658" s="26" t="n">
        <x:v>0</x:v>
      </x:c>
      <x:c r="L8658" s="22" t="n">
        <x:v>75.9924</x:v>
      </x:c>
      <x:c r="M8658" t="n">
        <x:v>2014</x:v>
      </x:c>
      <x:c r="N8658" s="20" t="n">
        <x:v>41883</x:v>
      </x:c>
    </x:row>
    <x:row r="8659" ht="18" customHeight="1">
      <x:c r="A8659" t="str">
        <x:v>CA-2014-142769</x:v>
      </x:c>
      <x:c r="B8659" s="18" t="n">
        <x:v>41895</x:v>
      </x:c>
      <x:c r="C8659" t="str">
        <x:v>RP-19390</x:v>
      </x:c>
      <x:c r="D8659" t="str">
        <x:v>Resi Pölking</x:v>
      </x:c>
      <x:c r="E8659" t="str">
        <x:v>Consumer</x:v>
      </x:c>
      <x:c r="F8659" t="str">
        <x:v>West</x:v>
      </x:c>
      <x:c r="G8659" t="str">
        <x:v>Technology</x:v>
      </x:c>
      <x:c r="H8659" t="str">
        <x:v>Accessories</x:v>
      </x:c>
      <x:c r="I8659" s="22" t="n">
        <x:v>144.96</x:v>
      </x:c>
      <x:c r="J8659" s="24" t="n">
        <x:v>4</x:v>
      </x:c>
      <x:c r="K8659" s="26" t="n">
        <x:v>0</x:v>
      </x:c>
      <x:c r="L8659" s="22" t="n">
        <x:v>60.8832</x:v>
      </x:c>
      <x:c r="M8659" t="n">
        <x:v>2014</x:v>
      </x:c>
      <x:c r="N8659" s="20" t="n">
        <x:v>41883</x:v>
      </x:c>
    </x:row>
    <x:row r="8660" ht="18" customHeight="1">
      <x:c r="A8660" t="str">
        <x:v>CA-2014-142769</x:v>
      </x:c>
      <x:c r="B8660" s="18" t="n">
        <x:v>41895</x:v>
      </x:c>
      <x:c r="C8660" t="str">
        <x:v>RP-19390</x:v>
      </x:c>
      <x:c r="D8660" t="str">
        <x:v>Resi Pölking</x:v>
      </x:c>
      <x:c r="E8660" t="str">
        <x:v>Consumer</x:v>
      </x:c>
      <x:c r="F8660" t="str">
        <x:v>West</x:v>
      </x:c>
      <x:c r="G8660" t="str">
        <x:v>Technology</x:v>
      </x:c>
      <x:c r="H8660" t="str">
        <x:v>Accessories</x:v>
      </x:c>
      <x:c r="I8660" s="22" t="n">
        <x:v>118</x:v>
      </x:c>
      <x:c r="J8660" s="24" t="n">
        <x:v>2</x:v>
      </x:c>
      <x:c r="K8660" s="26" t="n">
        <x:v>0</x:v>
      </x:c>
      <x:c r="L8660" s="22" t="n">
        <x:v>20.059999999999988</x:v>
      </x:c>
      <x:c r="M8660" t="n">
        <x:v>2014</x:v>
      </x:c>
      <x:c r="N8660" s="20" t="n">
        <x:v>41883</x:v>
      </x:c>
    </x:row>
    <x:row r="8661" ht="18" customHeight="1">
      <x:c r="A8661" t="str">
        <x:v>CA-2014-142769</x:v>
      </x:c>
      <x:c r="B8661" s="18" t="n">
        <x:v>41895</x:v>
      </x:c>
      <x:c r="C8661" t="str">
        <x:v>RP-19390</x:v>
      </x:c>
      <x:c r="D8661" t="str">
        <x:v>Resi Pölking</x:v>
      </x:c>
      <x:c r="E8661" t="str">
        <x:v>Consumer</x:v>
      </x:c>
      <x:c r="F8661" t="str">
        <x:v>West</x:v>
      </x:c>
      <x:c r="G8661" t="str">
        <x:v>Office Supplies</x:v>
      </x:c>
      <x:c r="H8661" t="str">
        <x:v>Paper</x:v>
      </x:c>
      <x:c r="I8661" s="22" t="n">
        <x:v>48.94</x:v>
      </x:c>
      <x:c r="J8661" s="24" t="n">
        <x:v>1</x:v>
      </x:c>
      <x:c r="K8661" s="26" t="n">
        <x:v>0</x:v>
      </x:c>
      <x:c r="L8661" s="22" t="n">
        <x:v>24.47</x:v>
      </x:c>
      <x:c r="M8661" t="n">
        <x:v>2014</x:v>
      </x:c>
      <x:c r="N8661" s="20" t="n">
        <x:v>41883</x:v>
      </x:c>
    </x:row>
    <x:row r="8662" ht="18" customHeight="1">
      <x:c r="A8662" t="str">
        <x:v>CA-2014-142769</x:v>
      </x:c>
      <x:c r="B8662" s="18" t="n">
        <x:v>41895</x:v>
      </x:c>
      <x:c r="C8662" t="str">
        <x:v>RP-19390</x:v>
      </x:c>
      <x:c r="D8662" t="str">
        <x:v>Resi Pölking</x:v>
      </x:c>
      <x:c r="E8662" t="str">
        <x:v>Consumer</x:v>
      </x:c>
      <x:c r="F8662" t="str">
        <x:v>West</x:v>
      </x:c>
      <x:c r="G8662" t="str">
        <x:v>Office Supplies</x:v>
      </x:c>
      <x:c r="H8662" t="str">
        <x:v>Appliances</x:v>
      </x:c>
      <x:c r="I8662" s="22" t="n">
        <x:v>22.66</x:v>
      </x:c>
      <x:c r="J8662" s="24" t="n">
        <x:v>2</x:v>
      </x:c>
      <x:c r="K8662" s="26" t="n">
        <x:v>0</x:v>
      </x:c>
      <x:c r="L8662" s="22" t="n">
        <x:v>9.743800000000002</x:v>
      </x:c>
      <x:c r="M8662" t="n">
        <x:v>2014</x:v>
      </x:c>
      <x:c r="N8662" s="20" t="n">
        <x:v>41883</x:v>
      </x:c>
    </x:row>
    <x:row r="8663" ht="18" customHeight="1">
      <x:c r="A8663" t="str">
        <x:v>CA-2016-168361</x:v>
      </x:c>
      <x:c r="B8663" s="18" t="n">
        <x:v>42542</x:v>
      </x:c>
      <x:c r="C8663" t="str">
        <x:v>KB-16600</x:v>
      </x:c>
      <x:c r="D8663" t="str">
        <x:v>Ken Brennan</x:v>
      </x:c>
      <x:c r="E8663" t="str">
        <x:v>Corporate</x:v>
      </x:c>
      <x:c r="F8663" t="str">
        <x:v>Central</x:v>
      </x:c>
      <x:c r="G8663" t="str">
        <x:v>Office Supplies</x:v>
      </x:c>
      <x:c r="H8663" t="str">
        <x:v>Binders</x:v>
      </x:c>
      <x:c r="I8663" s="22" t="n">
        <x:v>0.8359999999999997</x:v>
      </x:c>
      <x:c r="J8663" s="24" t="n">
        <x:v>1</x:v>
      </x:c>
      <x:c r="K8663" s="26" t="n">
        <x:v>0.8</x:v>
      </x:c>
      <x:c r="L8663" s="22" t="n">
        <x:v>-1.3376000000000001</x:v>
      </x:c>
      <x:c r="M8663" t="n">
        <x:v>2016</x:v>
      </x:c>
      <x:c r="N8663" s="20" t="n">
        <x:v>42522</x:v>
      </x:c>
    </x:row>
    <x:row r="8664" ht="18" customHeight="1">
      <x:c r="A8664" t="str">
        <x:v>CA-2016-153185</x:v>
      </x:c>
      <x:c r="B8664" s="18" t="n">
        <x:v>42616</x:v>
      </x:c>
      <x:c r="C8664" t="str">
        <x:v>MH-17620</x:v>
      </x:c>
      <x:c r="D8664" t="str">
        <x:v>Matt Hagelstein</x:v>
      </x:c>
      <x:c r="E8664" t="str">
        <x:v>Corporate</x:v>
      </x:c>
      <x:c r="F8664" t="str">
        <x:v>East</x:v>
      </x:c>
      <x:c r="G8664" t="str">
        <x:v>Office Supplies</x:v>
      </x:c>
      <x:c r="H8664" t="str">
        <x:v>Paper</x:v>
      </x:c>
      <x:c r="I8664" s="22" t="n">
        <x:v>30.96</x:v>
      </x:c>
      <x:c r="J8664" s="24" t="n">
        <x:v>6</x:v>
      </x:c>
      <x:c r="K8664" s="26" t="n">
        <x:v>0.2</x:v>
      </x:c>
      <x:c r="L8664" s="22" t="n">
        <x:v>11.223</x:v>
      </x:c>
      <x:c r="M8664" t="n">
        <x:v>2016</x:v>
      </x:c>
      <x:c r="N8664" s="20" t="n">
        <x:v>42614</x:v>
      </x:c>
    </x:row>
    <x:row r="8665" ht="18" customHeight="1">
      <x:c r="A8665" t="str">
        <x:v>CA-2017-124765</x:v>
      </x:c>
      <x:c r="B8665" s="18" t="n">
        <x:v>43064</x:v>
      </x:c>
      <x:c r="C8665" t="str">
        <x:v>HZ-14950</x:v>
      </x:c>
      <x:c r="D8665" t="str">
        <x:v>Henia Zydlo</x:v>
      </x:c>
      <x:c r="E8665" t="str">
        <x:v>Consumer</x:v>
      </x:c>
      <x:c r="F8665" t="str">
        <x:v>South</x:v>
      </x:c>
      <x:c r="G8665" t="str">
        <x:v>Furniture</x:v>
      </x:c>
      <x:c r="H8665" t="str">
        <x:v>Bookcases</x:v>
      </x:c>
      <x:c r="I8665" s="22" t="n">
        <x:v>723.92</x:v>
      </x:c>
      <x:c r="J8665" s="24" t="n">
        <x:v>5</x:v>
      </x:c>
      <x:c r="K8665" s="26" t="n">
        <x:v>0.2</x:v>
      </x:c>
      <x:c r="L8665" s="22" t="n">
        <x:v>-81.44099999999995</x:v>
      </x:c>
      <x:c r="M8665" t="n">
        <x:v>2017</x:v>
      </x:c>
      <x:c r="N8665" s="20" t="n">
        <x:v>43040</x:v>
      </x:c>
    </x:row>
    <x:row r="8666" ht="18" customHeight="1">
      <x:c r="A8666" t="str">
        <x:v>CA-2015-131856</x:v>
      </x:c>
      <x:c r="B8666" s="18" t="n">
        <x:v>42136</x:v>
      </x:c>
      <x:c r="C8666" t="str">
        <x:v>JG-15160</x:v>
      </x:c>
      <x:c r="D8666" t="str">
        <x:v>James Galang</x:v>
      </x:c>
      <x:c r="E8666" t="str">
        <x:v>Consumer</x:v>
      </x:c>
      <x:c r="F8666" t="str">
        <x:v>Central</x:v>
      </x:c>
      <x:c r="G8666" t="str">
        <x:v>Furniture</x:v>
      </x:c>
      <x:c r="H8666" t="str">
        <x:v>Furnishings</x:v>
      </x:c>
      <x:c r="I8666" s="22" t="n">
        <x:v>21.968000000000004</x:v>
      </x:c>
      <x:c r="J8666" s="24" t="n">
        <x:v>4</x:v>
      </x:c>
      <x:c r="K8666" s="26" t="n">
        <x:v>0.6</x:v>
      </x:c>
      <x:c r="L8666" s="22" t="n">
        <x:v>-15.9268</x:v>
      </x:c>
      <x:c r="M8666" t="n">
        <x:v>2015</x:v>
      </x:c>
      <x:c r="N8666" s="20" t="n">
        <x:v>42125</x:v>
      </x:c>
    </x:row>
    <x:row r="8667" ht="18" customHeight="1">
      <x:c r="A8667" t="str">
        <x:v>CA-2015-131856</x:v>
      </x:c>
      <x:c r="B8667" s="18" t="n">
        <x:v>42136</x:v>
      </x:c>
      <x:c r="C8667" t="str">
        <x:v>JG-15160</x:v>
      </x:c>
      <x:c r="D8667" t="str">
        <x:v>James Galang</x:v>
      </x:c>
      <x:c r="E8667" t="str">
        <x:v>Consumer</x:v>
      </x:c>
      <x:c r="F8667" t="str">
        <x:v>Central</x:v>
      </x:c>
      <x:c r="G8667" t="str">
        <x:v>Technology</x:v>
      </x:c>
      <x:c r="H8667" t="str">
        <x:v>Phones</x:v>
      </x:c>
      <x:c r="I8667" s="22" t="n">
        <x:v>619.152</x:v>
      </x:c>
      <x:c r="J8667" s="24" t="n">
        <x:v>6</x:v>
      </x:c>
      <x:c r="K8667" s="26" t="n">
        <x:v>0.2</x:v>
      </x:c>
      <x:c r="L8667" s="22" t="n">
        <x:v>69.65459999999999</x:v>
      </x:c>
      <x:c r="M8667" t="n">
        <x:v>2015</x:v>
      </x:c>
      <x:c r="N8667" s="20" t="n">
        <x:v>42125</x:v>
      </x:c>
    </x:row>
    <x:row r="8668" ht="18" customHeight="1">
      <x:c r="A8668" t="str">
        <x:v>CA-2015-131856</x:v>
      </x:c>
      <x:c r="B8668" s="18" t="n">
        <x:v>42136</x:v>
      </x:c>
      <x:c r="C8668" t="str">
        <x:v>JG-15160</x:v>
      </x:c>
      <x:c r="D8668" t="str">
        <x:v>James Galang</x:v>
      </x:c>
      <x:c r="E8668" t="str">
        <x:v>Consumer</x:v>
      </x:c>
      <x:c r="F8668" t="str">
        <x:v>Central</x:v>
      </x:c>
      <x:c r="G8668" t="str">
        <x:v>Office Supplies</x:v>
      </x:c>
      <x:c r="H8668" t="str">
        <x:v>Paper</x:v>
      </x:c>
      <x:c r="I8668" s="22" t="n">
        <x:v>127.90400000000001</x:v>
      </x:c>
      <x:c r="J8668" s="24" t="n">
        <x:v>7</x:v>
      </x:c>
      <x:c r="K8668" s="26" t="n">
        <x:v>0.2</x:v>
      </x:c>
      <x:c r="L8668" s="22" t="n">
        <x:v>41.568799999999996</x:v>
      </x:c>
      <x:c r="M8668" t="n">
        <x:v>2015</x:v>
      </x:c>
      <x:c r="N8668" s="20" t="n">
        <x:v>42125</x:v>
      </x:c>
    </x:row>
    <x:row r="8669" ht="18" customHeight="1">
      <x:c r="A8669" t="str">
        <x:v>CA-2017-126634</x:v>
      </x:c>
      <x:c r="B8669" s="18" t="n">
        <x:v>42824</x:v>
      </x:c>
      <x:c r="C8669" t="str">
        <x:v>AB-10165</x:v>
      </x:c>
      <x:c r="D8669" t="str">
        <x:v>Alan Barnes</x:v>
      </x:c>
      <x:c r="E8669" t="str">
        <x:v>Consumer</x:v>
      </x:c>
      <x:c r="F8669" t="str">
        <x:v>West</x:v>
      </x:c>
      <x:c r="G8669" t="str">
        <x:v>Furniture</x:v>
      </x:c>
      <x:c r="H8669" t="str">
        <x:v>Furnishings</x:v>
      </x:c>
      <x:c r="I8669" s="22" t="n">
        <x:v>94.2</x:v>
      </x:c>
      <x:c r="J8669" s="24" t="n">
        <x:v>5</x:v>
      </x:c>
      <x:c r="K8669" s="26" t="n">
        <x:v>0</x:v>
      </x:c>
      <x:c r="L8669" s="22" t="n">
        <x:v>39.56400000000001</x:v>
      </x:c>
      <x:c r="M8669" t="n">
        <x:v>2017</x:v>
      </x:c>
      <x:c r="N8669" s="20" t="n">
        <x:v>42795</x:v>
      </x:c>
    </x:row>
    <x:row r="8670" ht="18" customHeight="1">
      <x:c r="A8670" t="str">
        <x:v>CA-2016-118500</x:v>
      </x:c>
      <x:c r="B8670" s="18" t="n">
        <x:v>42691</x:v>
      </x:c>
      <x:c r="C8670" t="str">
        <x:v>HJ-14875</x:v>
      </x:c>
      <x:c r="D8670" t="str">
        <x:v>Heather Jas</x:v>
      </x:c>
      <x:c r="E8670" t="str">
        <x:v>Home Office</x:v>
      </x:c>
      <x:c r="F8670" t="str">
        <x:v>West</x:v>
      </x:c>
      <x:c r="G8670" t="str">
        <x:v>Office Supplies</x:v>
      </x:c>
      <x:c r="H8670" t="str">
        <x:v>Supplies</x:v>
      </x:c>
      <x:c r="I8670" s="22" t="n">
        <x:v>49.5</x:v>
      </x:c>
      <x:c r="J8670" s="24" t="n">
        <x:v>5</x:v>
      </x:c>
      <x:c r="K8670" s="26" t="n">
        <x:v>0</x:v>
      </x:c>
      <x:c r="L8670" s="22" t="n">
        <x:v>13.365</x:v>
      </x:c>
      <x:c r="M8670" t="n">
        <x:v>2016</x:v>
      </x:c>
      <x:c r="N8670" s="20" t="n">
        <x:v>42675</x:v>
      </x:c>
    </x:row>
    <x:row r="8671" ht="18" customHeight="1">
      <x:c r="A8671" t="str">
        <x:v>CA-2016-163951</x:v>
      </x:c>
      <x:c r="B8671" s="18" t="n">
        <x:v>42734</x:v>
      </x:c>
      <x:c r="C8671" t="str">
        <x:v>CJ-11875</x:v>
      </x:c>
      <x:c r="D8671" t="str">
        <x:v>Carl Jackson</x:v>
      </x:c>
      <x:c r="E8671" t="str">
        <x:v>Corporate</x:v>
      </x:c>
      <x:c r="F8671" t="str">
        <x:v>East</x:v>
      </x:c>
      <x:c r="G8671" t="str">
        <x:v>Office Supplies</x:v>
      </x:c>
      <x:c r="H8671" t="str">
        <x:v>Art</x:v>
      </x:c>
      <x:c r="I8671" s="22" t="n">
        <x:v>16.520000000000003</x:v>
      </x:c>
      <x:c r="J8671" s="24" t="n">
        <x:v>5</x:v>
      </x:c>
      <x:c r="K8671" s="26" t="n">
        <x:v>0.2</x:v>
      </x:c>
      <x:c r="L8671" s="22" t="n">
        <x:v>1.6519999999999992</x:v>
      </x:c>
      <x:c r="M8671" t="n">
        <x:v>2016</x:v>
      </x:c>
      <x:c r="N8671" s="20" t="n">
        <x:v>42705</x:v>
      </x:c>
    </x:row>
    <x:row r="8672" ht="18" customHeight="1">
      <x:c r="A8672" t="str">
        <x:v>CA-2016-149916</x:v>
      </x:c>
      <x:c r="B8672" s="18" t="n">
        <x:v>42726</x:v>
      </x:c>
      <x:c r="C8672" t="str">
        <x:v>ED-13885</x:v>
      </x:c>
      <x:c r="D8672" t="str">
        <x:v>Emily Ducich</x:v>
      </x:c>
      <x:c r="E8672" t="str">
        <x:v>Home Office</x:v>
      </x:c>
      <x:c r="F8672" t="str">
        <x:v>West</x:v>
      </x:c>
      <x:c r="G8672" t="str">
        <x:v>Office Supplies</x:v>
      </x:c>
      <x:c r="H8672" t="str">
        <x:v>Binders</x:v>
      </x:c>
      <x:c r="I8672" s="22" t="n">
        <x:v>55.36000000000001</x:v>
      </x:c>
      <x:c r="J8672" s="24" t="n">
        <x:v>4</x:v>
      </x:c>
      <x:c r="K8672" s="26" t="n">
        <x:v>0.2</x:v>
      </x:c>
      <x:c r="L8672" s="22" t="n">
        <x:v>19.375999999999998</x:v>
      </x:c>
      <x:c r="M8672" t="n">
        <x:v>2016</x:v>
      </x:c>
      <x:c r="N8672" s="20" t="n">
        <x:v>42705</x:v>
      </x:c>
    </x:row>
    <x:row r="8673" ht="18" customHeight="1">
      <x:c r="A8673" t="str">
        <x:v>CA-2016-149916</x:v>
      </x:c>
      <x:c r="B8673" s="18" t="n">
        <x:v>42726</x:v>
      </x:c>
      <x:c r="C8673" t="str">
        <x:v>ED-13885</x:v>
      </x:c>
      <x:c r="D8673" t="str">
        <x:v>Emily Ducich</x:v>
      </x:c>
      <x:c r="E8673" t="str">
        <x:v>Home Office</x:v>
      </x:c>
      <x:c r="F8673" t="str">
        <x:v>West</x:v>
      </x:c>
      <x:c r="G8673" t="str">
        <x:v>Technology</x:v>
      </x:c>
      <x:c r="H8673" t="str">
        <x:v>Machines</x:v>
      </x:c>
      <x:c r="I8673" s="22" t="n">
        <x:v>11.56</x:v>
      </x:c>
      <x:c r="J8673" s="24" t="n">
        <x:v>1</x:v>
      </x:c>
      <x:c r="K8673" s="26" t="n">
        <x:v>0.2</x:v>
      </x:c>
      <x:c r="L8673" s="22" t="n">
        <x:v>3.7569999999999992</x:v>
      </x:c>
      <x:c r="M8673" t="n">
        <x:v>2016</x:v>
      </x:c>
      <x:c r="N8673" s="20" t="n">
        <x:v>42705</x:v>
      </x:c>
    </x:row>
    <x:row r="8674" ht="18" customHeight="1">
      <x:c r="A8674" t="str">
        <x:v>CA-2015-158918</x:v>
      </x:c>
      <x:c r="B8674" s="18" t="n">
        <x:v>42358</x:v>
      </x:c>
      <x:c r="C8674" t="str">
        <x:v>AI-10855</x:v>
      </x:c>
      <x:c r="D8674" t="str">
        <x:v>Arianne Irving</x:v>
      </x:c>
      <x:c r="E8674" t="str">
        <x:v>Consumer</x:v>
      </x:c>
      <x:c r="F8674" t="str">
        <x:v>West</x:v>
      </x:c>
      <x:c r="G8674" t="str">
        <x:v>Office Supplies</x:v>
      </x:c>
      <x:c r="H8674" t="str">
        <x:v>Paper</x:v>
      </x:c>
      <x:c r="I8674" s="22" t="n">
        <x:v>17.12</x:v>
      </x:c>
      <x:c r="J8674" s="24" t="n">
        <x:v>4</x:v>
      </x:c>
      <x:c r="K8674" s="26" t="n">
        <x:v>0</x:v>
      </x:c>
      <x:c r="L8674" s="22" t="n">
        <x:v>7.703999999999999</x:v>
      </x:c>
      <x:c r="M8674" t="n">
        <x:v>2015</x:v>
      </x:c>
      <x:c r="N8674" s="20" t="n">
        <x:v>42339</x:v>
      </x:c>
    </x:row>
    <x:row r="8675" ht="18" customHeight="1">
      <x:c r="A8675" t="str">
        <x:v>US-2014-159611</x:v>
      </x:c>
      <x:c r="B8675" s="18" t="n">
        <x:v>42000</x:v>
      </x:c>
      <x:c r="C8675" t="str">
        <x:v>KB-16315</x:v>
      </x:c>
      <x:c r="D8675" t="str">
        <x:v>Karl Braun</x:v>
      </x:c>
      <x:c r="E8675" t="str">
        <x:v>Consumer</x:v>
      </x:c>
      <x:c r="F8675" t="str">
        <x:v>East</x:v>
      </x:c>
      <x:c r="G8675" t="str">
        <x:v>Furniture</x:v>
      </x:c>
      <x:c r="H8675" t="str">
        <x:v>Furnishings</x:v>
      </x:c>
      <x:c r="I8675" s="22" t="n">
        <x:v>182.35200000000003</x:v>
      </x:c>
      <x:c r="J8675" s="24" t="n">
        <x:v>3</x:v>
      </x:c>
      <x:c r="K8675" s="26" t="n">
        <x:v>0.2</x:v>
      </x:c>
      <x:c r="L8675" s="22" t="n">
        <x:v>-18.23520000000002</x:v>
      </x:c>
      <x:c r="M8675" t="n">
        <x:v>2014</x:v>
      </x:c>
      <x:c r="N8675" s="20" t="n">
        <x:v>41974</x:v>
      </x:c>
    </x:row>
    <x:row r="8676" ht="18" customHeight="1">
      <x:c r="A8676" t="str">
        <x:v>US-2014-159611</x:v>
      </x:c>
      <x:c r="B8676" s="18" t="n">
        <x:v>42000</x:v>
      </x:c>
      <x:c r="C8676" t="str">
        <x:v>KB-16315</x:v>
      </x:c>
      <x:c r="D8676" t="str">
        <x:v>Karl Braun</x:v>
      </x:c>
      <x:c r="E8676" t="str">
        <x:v>Consumer</x:v>
      </x:c>
      <x:c r="F8676" t="str">
        <x:v>East</x:v>
      </x:c>
      <x:c r="G8676" t="str">
        <x:v>Office Supplies</x:v>
      </x:c>
      <x:c r="H8676" t="str">
        <x:v>Storage</x:v>
      </x:c>
      <x:c r="I8676" s="22" t="n">
        <x:v>118.16</x:v>
      </x:c>
      <x:c r="J8676" s="24" t="n">
        <x:v>2</x:v>
      </x:c>
      <x:c r="K8676" s="26" t="n">
        <x:v>0.2</x:v>
      </x:c>
      <x:c r="L8676" s="22" t="n">
        <x:v>-25.108999999999988</x:v>
      </x:c>
      <x:c r="M8676" t="n">
        <x:v>2014</x:v>
      </x:c>
      <x:c r="N8676" s="20" t="n">
        <x:v>41974</x:v>
      </x:c>
    </x:row>
    <x:row r="8677" ht="18" customHeight="1">
      <x:c r="A8677" t="str">
        <x:v>CA-2017-163265</x:v>
      </x:c>
      <x:c r="B8677" s="18" t="n">
        <x:v>42782</x:v>
      </x:c>
      <x:c r="C8677" t="str">
        <x:v>JS-16030</x:v>
      </x:c>
      <x:c r="D8677" t="str">
        <x:v>Joy Smith</x:v>
      </x:c>
      <x:c r="E8677" t="str">
        <x:v>Consumer</x:v>
      </x:c>
      <x:c r="F8677" t="str">
        <x:v>Central</x:v>
      </x:c>
      <x:c r="G8677" t="str">
        <x:v>Office Supplies</x:v>
      </x:c>
      <x:c r="H8677" t="str">
        <x:v>Fasteners</x:v>
      </x:c>
      <x:c r="I8677" s="22" t="n">
        <x:v>18.368000000000002</x:v>
      </x:c>
      <x:c r="J8677" s="24" t="n">
        <x:v>2</x:v>
      </x:c>
      <x:c r="K8677" s="26" t="n">
        <x:v>0.2</x:v>
      </x:c>
      <x:c r="L8677" s="22" t="n">
        <x:v>6.199199999999999</x:v>
      </x:c>
      <x:c r="M8677" t="n">
        <x:v>2017</x:v>
      </x:c>
      <x:c r="N8677" s="20" t="n">
        <x:v>42767</x:v>
      </x:c>
    </x:row>
    <x:row r="8678" ht="18" customHeight="1">
      <x:c r="A8678" t="str">
        <x:v>CA-2017-163265</x:v>
      </x:c>
      <x:c r="B8678" s="18" t="n">
        <x:v>42782</x:v>
      </x:c>
      <x:c r="C8678" t="str">
        <x:v>JS-16030</x:v>
      </x:c>
      <x:c r="D8678" t="str">
        <x:v>Joy Smith</x:v>
      </x:c>
      <x:c r="E8678" t="str">
        <x:v>Consumer</x:v>
      </x:c>
      <x:c r="F8678" t="str">
        <x:v>Central</x:v>
      </x:c>
      <x:c r="G8678" t="str">
        <x:v>Furniture</x:v>
      </x:c>
      <x:c r="H8678" t="str">
        <x:v>Chairs</x:v>
      </x:c>
      <x:c r="I8678" s="22" t="n">
        <x:v>600.558</x:v>
      </x:c>
      <x:c r="J8678" s="24" t="n">
        <x:v>3</x:v>
      </x:c>
      <x:c r="K8678" s="26" t="n">
        <x:v>0.3</x:v>
      </x:c>
      <x:c r="L8678" s="22" t="n">
        <x:v>-8.579400000000078</x:v>
      </x:c>
      <x:c r="M8678" t="n">
        <x:v>2017</x:v>
      </x:c>
      <x:c r="N8678" s="20" t="n">
        <x:v>42767</x:v>
      </x:c>
    </x:row>
    <x:row r="8679" ht="18" customHeight="1">
      <x:c r="A8679" t="str">
        <x:v>CA-2017-163265</x:v>
      </x:c>
      <x:c r="B8679" s="18" t="n">
        <x:v>42782</x:v>
      </x:c>
      <x:c r="C8679" t="str">
        <x:v>JS-16030</x:v>
      </x:c>
      <x:c r="D8679" t="str">
        <x:v>Joy Smith</x:v>
      </x:c>
      <x:c r="E8679" t="str">
        <x:v>Consumer</x:v>
      </x:c>
      <x:c r="F8679" t="str">
        <x:v>Central</x:v>
      </x:c>
      <x:c r="G8679" t="str">
        <x:v>Office Supplies</x:v>
      </x:c>
      <x:c r="H8679" t="str">
        <x:v>Storage</x:v>
      </x:c>
      <x:c r="I8679" s="22" t="n">
        <x:v>50.352000000000004</x:v>
      </x:c>
      <x:c r="J8679" s="24" t="n">
        <x:v>3</x:v>
      </x:c>
      <x:c r="K8679" s="26" t="n">
        <x:v>0.2</x:v>
      </x:c>
      <x:c r="L8679" s="22" t="n">
        <x:v>-8.182200000000005</x:v>
      </x:c>
      <x:c r="M8679" t="n">
        <x:v>2017</x:v>
      </x:c>
      <x:c r="N8679" s="20" t="n">
        <x:v>42767</x:v>
      </x:c>
    </x:row>
    <x:row r="8680" ht="18" customHeight="1">
      <x:c r="A8680" t="str">
        <x:v>CA-2017-163265</x:v>
      </x:c>
      <x:c r="B8680" s="18" t="n">
        <x:v>42782</x:v>
      </x:c>
      <x:c r="C8680" t="str">
        <x:v>JS-16030</x:v>
      </x:c>
      <x:c r="D8680" t="str">
        <x:v>Joy Smith</x:v>
      </x:c>
      <x:c r="E8680" t="str">
        <x:v>Consumer</x:v>
      </x:c>
      <x:c r="F8680" t="str">
        <x:v>Central</x:v>
      </x:c>
      <x:c r="G8680" t="str">
        <x:v>Office Supplies</x:v>
      </x:c>
      <x:c r="H8680" t="str">
        <x:v>Art</x:v>
      </x:c>
      <x:c r="I8680" s="22" t="n">
        <x:v>28.031999999999996</x:v>
      </x:c>
      <x:c r="J8680" s="24" t="n">
        <x:v>6</x:v>
      </x:c>
      <x:c r="K8680" s="26" t="n">
        <x:v>0.2</x:v>
      </x:c>
      <x:c r="L8680" s="22" t="n">
        <x:v>3.5039999999999996</x:v>
      </x:c>
      <x:c r="M8680" t="n">
        <x:v>2017</x:v>
      </x:c>
      <x:c r="N8680" s="20" t="n">
        <x:v>42767</x:v>
      </x:c>
    </x:row>
    <x:row r="8681" ht="18" customHeight="1">
      <x:c r="A8681" t="str">
        <x:v>CA-2017-163265</x:v>
      </x:c>
      <x:c r="B8681" s="18" t="n">
        <x:v>42782</x:v>
      </x:c>
      <x:c r="C8681" t="str">
        <x:v>JS-16030</x:v>
      </x:c>
      <x:c r="D8681" t="str">
        <x:v>Joy Smith</x:v>
      </x:c>
      <x:c r="E8681" t="str">
        <x:v>Consumer</x:v>
      </x:c>
      <x:c r="F8681" t="str">
        <x:v>Central</x:v>
      </x:c>
      <x:c r="G8681" t="str">
        <x:v>Furniture</x:v>
      </x:c>
      <x:c r="H8681" t="str">
        <x:v>Furnishings</x:v>
      </x:c>
      <x:c r="I8681" s="22" t="n">
        <x:v>7.692</x:v>
      </x:c>
      <x:c r="J8681" s="24" t="n">
        <x:v>1</x:v>
      </x:c>
      <x:c r="K8681" s="26" t="n">
        <x:v>0.6</x:v>
      </x:c>
      <x:c r="L8681" s="22" t="n">
        <x:v>-3.653699999999999</x:v>
      </x:c>
      <x:c r="M8681" t="n">
        <x:v>2017</x:v>
      </x:c>
      <x:c r="N8681" s="20" t="n">
        <x:v>42767</x:v>
      </x:c>
    </x:row>
    <x:row r="8682" ht="18" customHeight="1">
      <x:c r="A8682" t="str">
        <x:v>CA-2017-141705</x:v>
      </x:c>
      <x:c r="B8682" s="18" t="n">
        <x:v>43032</x:v>
      </x:c>
      <x:c r="C8682" t="str">
        <x:v>PO-18850</x:v>
      </x:c>
      <x:c r="D8682" t="str">
        <x:v>Patrick O'Brill</x:v>
      </x:c>
      <x:c r="E8682" t="str">
        <x:v>Consumer</x:v>
      </x:c>
      <x:c r="F8682" t="str">
        <x:v>Central</x:v>
      </x:c>
      <x:c r="G8682" t="str">
        <x:v>Furniture</x:v>
      </x:c>
      <x:c r="H8682" t="str">
        <x:v>Tables</x:v>
      </x:c>
      <x:c r="I8682" s="22" t="n">
        <x:v>517.4050000000001</x:v>
      </x:c>
      <x:c r="J8682" s="24" t="n">
        <x:v>5</x:v>
      </x:c>
      <x:c r="K8682" s="26" t="n">
        <x:v>0.3</x:v>
      </x:c>
      <x:c r="L8682" s="22" t="n">
        <x:v>-81.30650000000003</x:v>
      </x:c>
      <x:c r="M8682" t="n">
        <x:v>2017</x:v>
      </x:c>
      <x:c r="N8682" s="20" t="n">
        <x:v>43009</x:v>
      </x:c>
    </x:row>
    <x:row r="8683" ht="18" customHeight="1">
      <x:c r="A8683" t="str">
        <x:v>CA-2016-112739</x:v>
      </x:c>
      <x:c r="B8683" s="18" t="n">
        <x:v>42615</x:v>
      </x:c>
      <x:c r="C8683" t="str">
        <x:v>RD-19810</x:v>
      </x:c>
      <x:c r="D8683" t="str">
        <x:v>Ross DeVincentis</x:v>
      </x:c>
      <x:c r="E8683" t="str">
        <x:v>Home Office</x:v>
      </x:c>
      <x:c r="F8683" t="str">
        <x:v>Central</x:v>
      </x:c>
      <x:c r="G8683" t="str">
        <x:v>Office Supplies</x:v>
      </x:c>
      <x:c r="H8683" t="str">
        <x:v>Binders</x:v>
      </x:c>
      <x:c r="I8683" s="22" t="n">
        <x:v>8.607999999999999</x:v>
      </x:c>
      <x:c r="J8683" s="24" t="n">
        <x:v>8</x:v>
      </x:c>
      <x:c r="K8683" s="26" t="n">
        <x:v>0.8</x:v>
      </x:c>
      <x:c r="L8683" s="22" t="n">
        <x:v>-13.342400000000001</x:v>
      </x:c>
      <x:c r="M8683" t="n">
        <x:v>2016</x:v>
      </x:c>
      <x:c r="N8683" s="20" t="n">
        <x:v>42614</x:v>
      </x:c>
    </x:row>
    <x:row r="8684" ht="18" customHeight="1">
      <x:c r="A8684" t="str">
        <x:v>CA-2016-112739</x:v>
      </x:c>
      <x:c r="B8684" s="18" t="n">
        <x:v>42615</x:v>
      </x:c>
      <x:c r="C8684" t="str">
        <x:v>RD-19810</x:v>
      </x:c>
      <x:c r="D8684" t="str">
        <x:v>Ross DeVincentis</x:v>
      </x:c>
      <x:c r="E8684" t="str">
        <x:v>Home Office</x:v>
      </x:c>
      <x:c r="F8684" t="str">
        <x:v>Central</x:v>
      </x:c>
      <x:c r="G8684" t="str">
        <x:v>Technology</x:v>
      </x:c>
      <x:c r="H8684" t="str">
        <x:v>Accessories</x:v>
      </x:c>
      <x:c r="I8684" s="22" t="n">
        <x:v>159.56</x:v>
      </x:c>
      <x:c r="J8684" s="24" t="n">
        <x:v>5</x:v>
      </x:c>
      <x:c r="K8684" s="26" t="n">
        <x:v>0.2</x:v>
      </x:c>
      <x:c r="L8684" s="22" t="n">
        <x:v>33.906499999999994</x:v>
      </x:c>
      <x:c r="M8684" t="n">
        <x:v>2016</x:v>
      </x:c>
      <x:c r="N8684" s="20" t="n">
        <x:v>42614</x:v>
      </x:c>
    </x:row>
    <x:row r="8685" ht="18" customHeight="1">
      <x:c r="A8685" t="str">
        <x:v>CA-2016-143805</x:v>
      </x:c>
      <x:c r="B8685" s="18" t="n">
        <x:v>42705</x:v>
      </x:c>
      <x:c r="C8685" t="str">
        <x:v>JD-15895</x:v>
      </x:c>
      <x:c r="D8685" t="str">
        <x:v>Jonathan Doherty</x:v>
      </x:c>
      <x:c r="E8685" t="str">
        <x:v>Corporate</x:v>
      </x:c>
      <x:c r="F8685" t="str">
        <x:v>South</x:v>
      </x:c>
      <x:c r="G8685" t="str">
        <x:v>Office Supplies</x:v>
      </x:c>
      <x:c r="H8685" t="str">
        <x:v>Appliances</x:v>
      </x:c>
      <x:c r="I8685" s="22" t="n">
        <x:v>2104.5499999999997</x:v>
      </x:c>
      <x:c r="J8685" s="24" t="n">
        <x:v>7</x:v>
      </x:c>
      <x:c r="K8685" s="26" t="n">
        <x:v>0</x:v>
      </x:c>
      <x:c r="L8685" s="22" t="n">
        <x:v>694.5014999999999</x:v>
      </x:c>
      <x:c r="M8685" t="n">
        <x:v>2016</x:v>
      </x:c>
      <x:c r="N8685" s="20" t="n">
        <x:v>42705</x:v>
      </x:c>
    </x:row>
    <x:row r="8686" ht="18" customHeight="1">
      <x:c r="A8686" t="str">
        <x:v>CA-2016-143805</x:v>
      </x:c>
      <x:c r="B8686" s="18" t="n">
        <x:v>42705</x:v>
      </x:c>
      <x:c r="C8686" t="str">
        <x:v>JD-15895</x:v>
      </x:c>
      <x:c r="D8686" t="str">
        <x:v>Jonathan Doherty</x:v>
      </x:c>
      <x:c r="E8686" t="str">
        <x:v>Corporate</x:v>
      </x:c>
      <x:c r="F8686" t="str">
        <x:v>South</x:v>
      </x:c>
      <x:c r="G8686" t="str">
        <x:v>Office Supplies</x:v>
      </x:c>
      <x:c r="H8686" t="str">
        <x:v>Supplies</x:v>
      </x:c>
      <x:c r="I8686" s="22" t="n">
        <x:v>40.7</x:v>
      </x:c>
      <x:c r="J8686" s="24" t="n">
        <x:v>5</x:v>
      </x:c>
      <x:c r="K8686" s="26" t="n">
        <x:v>0</x:v>
      </x:c>
      <x:c r="L8686" s="22" t="n">
        <x:v>11.802999999999999</x:v>
      </x:c>
      <x:c r="M8686" t="n">
        <x:v>2016</x:v>
      </x:c>
      <x:c r="N8686" s="20" t="n">
        <x:v>42705</x:v>
      </x:c>
    </x:row>
    <x:row r="8687" ht="18" customHeight="1">
      <x:c r="A8687" t="str">
        <x:v>CA-2014-133634</x:v>
      </x:c>
      <x:c r="B8687" s="18" t="n">
        <x:v>41948</x:v>
      </x:c>
      <x:c r="C8687" t="str">
        <x:v>SR-20740</x:v>
      </x:c>
      <x:c r="D8687" t="str">
        <x:v>Steven Roelle</x:v>
      </x:c>
      <x:c r="E8687" t="str">
        <x:v>Home Office</x:v>
      </x:c>
      <x:c r="F8687" t="str">
        <x:v>South</x:v>
      </x:c>
      <x:c r="G8687" t="str">
        <x:v>Technology</x:v>
      </x:c>
      <x:c r="H8687" t="str">
        <x:v>Accessories</x:v>
      </x:c>
      <x:c r="I8687" s="22" t="n">
        <x:v>47.79</x:v>
      </x:c>
      <x:c r="J8687" s="24" t="n">
        <x:v>3</x:v>
      </x:c>
      <x:c r="K8687" s="26" t="n">
        <x:v>0</x:v>
      </x:c>
      <x:c r="L8687" s="22" t="n">
        <x:v>16.2486</x:v>
      </x:c>
      <x:c r="M8687" t="n">
        <x:v>2014</x:v>
      </x:c>
      <x:c r="N8687" s="20" t="n">
        <x:v>41944</x:v>
      </x:c>
    </x:row>
    <x:row r="8688" ht="18" customHeight="1">
      <x:c r="A8688" t="str">
        <x:v>CA-2017-101665</x:v>
      </x:c>
      <x:c r="B8688" s="18" t="n">
        <x:v>43064</x:v>
      </x:c>
      <x:c r="C8688" t="str">
        <x:v>TZ-21580</x:v>
      </x:c>
      <x:c r="D8688" t="str">
        <x:v>Tracy Zic</x:v>
      </x:c>
      <x:c r="E8688" t="str">
        <x:v>Consumer</x:v>
      </x:c>
      <x:c r="F8688" t="str">
        <x:v>West</x:v>
      </x:c>
      <x:c r="G8688" t="str">
        <x:v>Office Supplies</x:v>
      </x:c>
      <x:c r="H8688" t="str">
        <x:v>Art</x:v>
      </x:c>
      <x:c r="I8688" s="22" t="n">
        <x:v>5.16</x:v>
      </x:c>
      <x:c r="J8688" s="24" t="n">
        <x:v>2</x:v>
      </x:c>
      <x:c r="K8688" s="26" t="n">
        <x:v>0</x:v>
      </x:c>
      <x:c r="L8688" s="22" t="n">
        <x:v>1.3416000000000001</x:v>
      </x:c>
      <x:c r="M8688" t="n">
        <x:v>2017</x:v>
      </x:c>
      <x:c r="N8688" s="20" t="n">
        <x:v>43040</x:v>
      </x:c>
    </x:row>
    <x:row r="8689" ht="18" customHeight="1">
      <x:c r="A8689" t="str">
        <x:v>CA-2016-155446</x:v>
      </x:c>
      <x:c r="B8689" s="18" t="n">
        <x:v>42720</x:v>
      </x:c>
      <x:c r="C8689" t="str">
        <x:v>TN-21040</x:v>
      </x:c>
      <x:c r="D8689" t="str">
        <x:v>Tanja Norvell</x:v>
      </x:c>
      <x:c r="E8689" t="str">
        <x:v>Home Office</x:v>
      </x:c>
      <x:c r="F8689" t="str">
        <x:v>West</x:v>
      </x:c>
      <x:c r="G8689" t="str">
        <x:v>Technology</x:v>
      </x:c>
      <x:c r="H8689" t="str">
        <x:v>Accessories</x:v>
      </x:c>
      <x:c r="I8689" s="22" t="n">
        <x:v>21.209999999999997</x:v>
      </x:c>
      <x:c r="J8689" s="24" t="n">
        <x:v>7</x:v>
      </x:c>
      <x:c r="K8689" s="26" t="n">
        <x:v>0</x:v>
      </x:c>
      <x:c r="L8689" s="22" t="n">
        <x:v>4.454099999999999</x:v>
      </x:c>
      <x:c r="M8689" t="n">
        <x:v>2016</x:v>
      </x:c>
      <x:c r="N8689" s="20" t="n">
        <x:v>42705</x:v>
      </x:c>
    </x:row>
    <x:row r="8690" ht="18" customHeight="1">
      <x:c r="A8690" t="str">
        <x:v>CA-2017-137323</x:v>
      </x:c>
      <x:c r="B8690" s="18" t="n">
        <x:v>43053</x:v>
      </x:c>
      <x:c r="C8690" t="str">
        <x:v>PW-19030</x:v>
      </x:c>
      <x:c r="D8690" t="str">
        <x:v>Pauline Webber</x:v>
      </x:c>
      <x:c r="E8690" t="str">
        <x:v>Corporate</x:v>
      </x:c>
      <x:c r="F8690" t="str">
        <x:v>East</x:v>
      </x:c>
      <x:c r="G8690" t="str">
        <x:v>Office Supplies</x:v>
      </x:c>
      <x:c r="H8690" t="str">
        <x:v>Storage</x:v>
      </x:c>
      <x:c r="I8690" s="22" t="n">
        <x:v>96.35999999999999</x:v>
      </x:c>
      <x:c r="J8690" s="24" t="n">
        <x:v>6</x:v>
      </x:c>
      <x:c r="K8690" s="26" t="n">
        <x:v>0</x:v>
      </x:c>
      <x:c r="L8690" s="22" t="n">
        <x:v>25.053599999999996</x:v>
      </x:c>
      <x:c r="M8690" t="n">
        <x:v>2017</x:v>
      </x:c>
      <x:c r="N8690" s="20" t="n">
        <x:v>43040</x:v>
      </x:c>
    </x:row>
    <x:row r="8691" ht="18" customHeight="1">
      <x:c r="A8691" t="str">
        <x:v>CA-2016-144015</x:v>
      </x:c>
      <x:c r="B8691" s="18" t="n">
        <x:v>42547</x:v>
      </x:c>
      <x:c r="C8691" t="str">
        <x:v>AH-10075</x:v>
      </x:c>
      <x:c r="D8691" t="str">
        <x:v>Adam Hart</x:v>
      </x:c>
      <x:c r="E8691" t="str">
        <x:v>Corporate</x:v>
      </x:c>
      <x:c r="F8691" t="str">
        <x:v>West</x:v>
      </x:c>
      <x:c r="G8691" t="str">
        <x:v>Office Supplies</x:v>
      </x:c>
      <x:c r="H8691" t="str">
        <x:v>Supplies</x:v>
      </x:c>
      <x:c r="I8691" s="22" t="n">
        <x:v>231.72</x:v>
      </x:c>
      <x:c r="J8691" s="24" t="n">
        <x:v>2</x:v>
      </x:c>
      <x:c r="K8691" s="26" t="n">
        <x:v>0</x:v>
      </x:c>
      <x:c r="L8691" s="22" t="n">
        <x:v>11.585999999999984</x:v>
      </x:c>
      <x:c r="M8691" t="n">
        <x:v>2016</x:v>
      </x:c>
      <x:c r="N8691" s="20" t="n">
        <x:v>42522</x:v>
      </x:c>
    </x:row>
    <x:row r="8692" ht="18" customHeight="1">
      <x:c r="A8692" t="str">
        <x:v>CA-2016-144015</x:v>
      </x:c>
      <x:c r="B8692" s="18" t="n">
        <x:v>42547</x:v>
      </x:c>
      <x:c r="C8692" t="str">
        <x:v>AH-10075</x:v>
      </x:c>
      <x:c r="D8692" t="str">
        <x:v>Adam Hart</x:v>
      </x:c>
      <x:c r="E8692" t="str">
        <x:v>Corporate</x:v>
      </x:c>
      <x:c r="F8692" t="str">
        <x:v>West</x:v>
      </x:c>
      <x:c r="G8692" t="str">
        <x:v>Office Supplies</x:v>
      </x:c>
      <x:c r="H8692" t="str">
        <x:v>Fasteners</x:v>
      </x:c>
      <x:c r="I8692" s="22" t="n">
        <x:v>17.9</x:v>
      </x:c>
      <x:c r="J8692" s="24" t="n">
        <x:v>5</x:v>
      </x:c>
      <x:c r="K8692" s="26" t="n">
        <x:v>0</x:v>
      </x:c>
      <x:c r="L8692" s="22" t="n">
        <x:v>8.95</x:v>
      </x:c>
      <x:c r="M8692" t="n">
        <x:v>2016</x:v>
      </x:c>
      <x:c r="N8692" s="20" t="n">
        <x:v>42522</x:v>
      </x:c>
    </x:row>
    <x:row r="8693" ht="18" customHeight="1">
      <x:c r="A8693" t="str">
        <x:v>CA-2016-144015</x:v>
      </x:c>
      <x:c r="B8693" s="18" t="n">
        <x:v>42547</x:v>
      </x:c>
      <x:c r="C8693" t="str">
        <x:v>AH-10075</x:v>
      </x:c>
      <x:c r="D8693" t="str">
        <x:v>Adam Hart</x:v>
      </x:c>
      <x:c r="E8693" t="str">
        <x:v>Corporate</x:v>
      </x:c>
      <x:c r="F8693" t="str">
        <x:v>West</x:v>
      </x:c>
      <x:c r="G8693" t="str">
        <x:v>Office Supplies</x:v>
      </x:c>
      <x:c r="H8693" t="str">
        <x:v>Paper</x:v>
      </x:c>
      <x:c r="I8693" s="22" t="n">
        <x:v>12.48</x:v>
      </x:c>
      <x:c r="J8693" s="24" t="n">
        <x:v>2</x:v>
      </x:c>
      <x:c r="K8693" s="26" t="n">
        <x:v>0</x:v>
      </x:c>
      <x:c r="L8693" s="22" t="n">
        <x:v>5.616</x:v>
      </x:c>
      <x:c r="M8693" t="n">
        <x:v>2016</x:v>
      </x:c>
      <x:c r="N8693" s="20" t="n">
        <x:v>42522</x:v>
      </x:c>
    </x:row>
    <x:row r="8694" ht="18" customHeight="1">
      <x:c r="A8694" t="str">
        <x:v>CA-2014-101427</x:v>
      </x:c>
      <x:c r="B8694" s="18" t="n">
        <x:v>41999</x:v>
      </x:c>
      <x:c r="C8694" t="str">
        <x:v>AY-10555</x:v>
      </x:c>
      <x:c r="D8694" t="str">
        <x:v>Andy Yotov</x:v>
      </x:c>
      <x:c r="E8694" t="str">
        <x:v>Corporate</x:v>
      </x:c>
      <x:c r="F8694" t="str">
        <x:v>East</x:v>
      </x:c>
      <x:c r="G8694" t="str">
        <x:v>Office Supplies</x:v>
      </x:c>
      <x:c r="H8694" t="str">
        <x:v>Art</x:v>
      </x:c>
      <x:c r="I8694" s="22" t="n">
        <x:v>8.016</x:v>
      </x:c>
      <x:c r="J8694" s="24" t="n">
        <x:v>3</x:v>
      </x:c>
      <x:c r="K8694" s="26" t="n">
        <x:v>0.2</x:v>
      </x:c>
      <x:c r="L8694" s="22" t="n">
        <x:v>1.102199999999999</x:v>
      </x:c>
      <x:c r="M8694" t="n">
        <x:v>2014</x:v>
      </x:c>
      <x:c r="N8694" s="20" t="n">
        <x:v>41974</x:v>
      </x:c>
    </x:row>
    <x:row r="8695" ht="18" customHeight="1">
      <x:c r="A8695" t="str">
        <x:v>CA-2016-136770</x:v>
      </x:c>
      <x:c r="B8695" s="18" t="n">
        <x:v>42596</x:v>
      </x:c>
      <x:c r="C8695" t="str">
        <x:v>SP-20650</x:v>
      </x:c>
      <x:c r="D8695" t="str">
        <x:v>Stephanie Phelps</x:v>
      </x:c>
      <x:c r="E8695" t="str">
        <x:v>Corporate</x:v>
      </x:c>
      <x:c r="F8695" t="str">
        <x:v>East</x:v>
      </x:c>
      <x:c r="G8695" t="str">
        <x:v>Technology</x:v>
      </x:c>
      <x:c r="H8695" t="str">
        <x:v>Phones</x:v>
      </x:c>
      <x:c r="I8695" s="22" t="n">
        <x:v>259.896</x:v>
      </x:c>
      <x:c r="J8695" s="24" t="n">
        <x:v>2</x:v>
      </x:c>
      <x:c r="K8695" s="26" t="n">
        <x:v>0.4</x:v>
      </x:c>
      <x:c r="L8695" s="22" t="n">
        <x:v>-56.31079999999997</x:v>
      </x:c>
      <x:c r="M8695" t="n">
        <x:v>2016</x:v>
      </x:c>
      <x:c r="N8695" s="20" t="n">
        <x:v>42583</x:v>
      </x:c>
    </x:row>
    <x:row r="8696" ht="18" customHeight="1">
      <x:c r="A8696" t="str">
        <x:v>CA-2016-136770</x:v>
      </x:c>
      <x:c r="B8696" s="18" t="n">
        <x:v>42596</x:v>
      </x:c>
      <x:c r="C8696" t="str">
        <x:v>SP-20650</x:v>
      </x:c>
      <x:c r="D8696" t="str">
        <x:v>Stephanie Phelps</x:v>
      </x:c>
      <x:c r="E8696" t="str">
        <x:v>Corporate</x:v>
      </x:c>
      <x:c r="F8696" t="str">
        <x:v>East</x:v>
      </x:c>
      <x:c r="G8696" t="str">
        <x:v>Technology</x:v>
      </x:c>
      <x:c r="H8696" t="str">
        <x:v>Phones</x:v>
      </x:c>
      <x:c r="I8696" s="22" t="n">
        <x:v>247.188</x:v>
      </x:c>
      <x:c r="J8696" s="24" t="n">
        <x:v>2</x:v>
      </x:c>
      <x:c r="K8696" s="26" t="n">
        <x:v>0.4</x:v>
      </x:c>
      <x:c r="L8696" s="22" t="n">
        <x:v>-49.43760000000003</x:v>
      </x:c>
      <x:c r="M8696" t="n">
        <x:v>2016</x:v>
      </x:c>
      <x:c r="N8696" s="20" t="n">
        <x:v>42583</x:v>
      </x:c>
    </x:row>
    <x:row r="8697" ht="18" customHeight="1">
      <x:c r="A8697" t="str">
        <x:v>CA-2016-136770</x:v>
      </x:c>
      <x:c r="B8697" s="18" t="n">
        <x:v>42596</x:v>
      </x:c>
      <x:c r="C8697" t="str">
        <x:v>SP-20650</x:v>
      </x:c>
      <x:c r="D8697" t="str">
        <x:v>Stephanie Phelps</x:v>
      </x:c>
      <x:c r="E8697" t="str">
        <x:v>Corporate</x:v>
      </x:c>
      <x:c r="F8697" t="str">
        <x:v>East</x:v>
      </x:c>
      <x:c r="G8697" t="str">
        <x:v>Technology</x:v>
      </x:c>
      <x:c r="H8697" t="str">
        <x:v>Accessories</x:v>
      </x:c>
      <x:c r="I8697" s="22" t="n">
        <x:v>279.96</x:v>
      </x:c>
      <x:c r="J8697" s="24" t="n">
        <x:v>5</x:v>
      </x:c>
      <x:c r="K8697" s="26" t="n">
        <x:v>0.2</x:v>
      </x:c>
      <x:c r="L8697" s="22" t="n">
        <x:v>48.992999999999995</x:v>
      </x:c>
      <x:c r="M8697" t="n">
        <x:v>2016</x:v>
      </x:c>
      <x:c r="N8697" s="20" t="n">
        <x:v>42583</x:v>
      </x:c>
    </x:row>
    <x:row r="8698" ht="18" customHeight="1">
      <x:c r="A8698" t="str">
        <x:v>CA-2016-118311</x:v>
      </x:c>
      <x:c r="B8698" s="18" t="n">
        <x:v>42667</x:v>
      </x:c>
      <x:c r="C8698" t="str">
        <x:v>ED-13885</x:v>
      </x:c>
      <x:c r="D8698" t="str">
        <x:v>Emily Ducich</x:v>
      </x:c>
      <x:c r="E8698" t="str">
        <x:v>Home Office</x:v>
      </x:c>
      <x:c r="F8698" t="str">
        <x:v>West</x:v>
      </x:c>
      <x:c r="G8698" t="str">
        <x:v>Technology</x:v>
      </x:c>
      <x:c r="H8698" t="str">
        <x:v>Accessories</x:v>
      </x:c>
      <x:c r="I8698" s="22" t="n">
        <x:v>450</x:v>
      </x:c>
      <x:c r="J8698" s="24" t="n">
        <x:v>5</x:v>
      </x:c>
      <x:c r="K8698" s="26" t="n">
        <x:v>0</x:v>
      </x:c>
      <x:c r="L8698" s="22" t="n">
        <x:v>162</x:v>
      </x:c>
      <x:c r="M8698" t="n">
        <x:v>2016</x:v>
      </x:c>
      <x:c r="N8698" s="20" t="n">
        <x:v>42644</x:v>
      </x:c>
    </x:row>
    <x:row r="8699" ht="18" customHeight="1">
      <x:c r="A8699" t="str">
        <x:v>US-2014-112795</x:v>
      </x:c>
      <x:c r="B8699" s="18" t="n">
        <x:v>41874</x:v>
      </x:c>
      <x:c r="C8699" t="str">
        <x:v>CR-12625</x:v>
      </x:c>
      <x:c r="D8699" t="str">
        <x:v>Corey Roper</x:v>
      </x:c>
      <x:c r="E8699" t="str">
        <x:v>Home Office</x:v>
      </x:c>
      <x:c r="F8699" t="str">
        <x:v>Central</x:v>
      </x:c>
      <x:c r="G8699" t="str">
        <x:v>Office Supplies</x:v>
      </x:c>
      <x:c r="H8699" t="str">
        <x:v>Paper</x:v>
      </x:c>
      <x:c r="I8699" s="22" t="n">
        <x:v>19.44</x:v>
      </x:c>
      <x:c r="J8699" s="24" t="n">
        <x:v>3</x:v>
      </x:c>
      <x:c r="K8699" s="26" t="n">
        <x:v>0</x:v>
      </x:c>
      <x:c r="L8699" s="22" t="n">
        <x:v>9.5256</x:v>
      </x:c>
      <x:c r="M8699" t="n">
        <x:v>2014</x:v>
      </x:c>
      <x:c r="N8699" s="20" t="n">
        <x:v>41852</x:v>
      </x:c>
    </x:row>
    <x:row r="8700" ht="18" customHeight="1">
      <x:c r="A8700" t="str">
        <x:v>CA-2017-127096</x:v>
      </x:c>
      <x:c r="B8700" s="18" t="n">
        <x:v>42993</x:v>
      </x:c>
      <x:c r="C8700" t="str">
        <x:v>CS-12400</x:v>
      </x:c>
      <x:c r="D8700" t="str">
        <x:v>Christopher Schild</x:v>
      </x:c>
      <x:c r="E8700" t="str">
        <x:v>Home Office</x:v>
      </x:c>
      <x:c r="F8700" t="str">
        <x:v>West</x:v>
      </x:c>
      <x:c r="G8700" t="str">
        <x:v>Furniture</x:v>
      </x:c>
      <x:c r="H8700" t="str">
        <x:v>Tables</x:v>
      </x:c>
      <x:c r="I8700" s="22" t="n">
        <x:v>300.904</x:v>
      </x:c>
      <x:c r="J8700" s="24" t="n">
        <x:v>1</x:v>
      </x:c>
      <x:c r="K8700" s="26" t="n">
        <x:v>0.2</x:v>
      </x:c>
      <x:c r="L8700" s="22" t="n">
        <x:v>11.283900000000017</x:v>
      </x:c>
      <x:c r="M8700" t="n">
        <x:v>2017</x:v>
      </x:c>
      <x:c r="N8700" s="20" t="n">
        <x:v>42979</x:v>
      </x:c>
    </x:row>
    <x:row r="8701" ht="18" customHeight="1">
      <x:c r="A8701" t="str">
        <x:v>CA-2017-119284</x:v>
      </x:c>
      <x:c r="B8701" s="18" t="n">
        <x:v>42901</x:v>
      </x:c>
      <x:c r="C8701" t="str">
        <x:v>TS-21205</x:v>
      </x:c>
      <x:c r="D8701" t="str">
        <x:v>Thomas Seio</x:v>
      </x:c>
      <x:c r="E8701" t="str">
        <x:v>Corporate</x:v>
      </x:c>
      <x:c r="F8701" t="str">
        <x:v>South</x:v>
      </x:c>
      <x:c r="G8701" t="str">
        <x:v>Technology</x:v>
      </x:c>
      <x:c r="H8701" t="str">
        <x:v>Phones</x:v>
      </x:c>
      <x:c r="I8701" s="22" t="n">
        <x:v>239.976</x:v>
      </x:c>
      <x:c r="J8701" s="24" t="n">
        <x:v>3</x:v>
      </x:c>
      <x:c r="K8701" s="26" t="n">
        <x:v>0.2</x:v>
      </x:c>
      <x:c r="L8701" s="22" t="n">
        <x:v>26.997299999999967</x:v>
      </x:c>
      <x:c r="M8701" t="n">
        <x:v>2017</x:v>
      </x:c>
      <x:c r="N8701" s="20" t="n">
        <x:v>42887</x:v>
      </x:c>
    </x:row>
    <x:row r="8702" ht="18" customHeight="1">
      <x:c r="A8702" t="str">
        <x:v>CA-2017-119284</x:v>
      </x:c>
      <x:c r="B8702" s="18" t="n">
        <x:v>42901</x:v>
      </x:c>
      <x:c r="C8702" t="str">
        <x:v>TS-21205</x:v>
      </x:c>
      <x:c r="D8702" t="str">
        <x:v>Thomas Seio</x:v>
      </x:c>
      <x:c r="E8702" t="str">
        <x:v>Corporate</x:v>
      </x:c>
      <x:c r="F8702" t="str">
        <x:v>South</x:v>
      </x:c>
      <x:c r="G8702" t="str">
        <x:v>Furniture</x:v>
      </x:c>
      <x:c r="H8702" t="str">
        <x:v>Furnishings</x:v>
      </x:c>
      <x:c r="I8702" s="22" t="n">
        <x:v>31.168000000000003</x:v>
      </x:c>
      <x:c r="J8702" s="24" t="n">
        <x:v>4</x:v>
      </x:c>
      <x:c r="K8702" s="26" t="n">
        <x:v>0.2</x:v>
      </x:c>
      <x:c r="L8702" s="22" t="n">
        <x:v>9.3504</x:v>
      </x:c>
      <x:c r="M8702" t="n">
        <x:v>2017</x:v>
      </x:c>
      <x:c r="N8702" s="20" t="n">
        <x:v>42887</x:v>
      </x:c>
    </x:row>
    <x:row r="8703" ht="18" customHeight="1">
      <x:c r="A8703" t="str">
        <x:v>CA-2017-119284</x:v>
      </x:c>
      <x:c r="B8703" s="18" t="n">
        <x:v>42901</x:v>
      </x:c>
      <x:c r="C8703" t="str">
        <x:v>TS-21205</x:v>
      </x:c>
      <x:c r="D8703" t="str">
        <x:v>Thomas Seio</x:v>
      </x:c>
      <x:c r="E8703" t="str">
        <x:v>Corporate</x:v>
      </x:c>
      <x:c r="F8703" t="str">
        <x:v>South</x:v>
      </x:c>
      <x:c r="G8703" t="str">
        <x:v>Furniture</x:v>
      </x:c>
      <x:c r="H8703" t="str">
        <x:v>Tables</x:v>
      </x:c>
      <x:c r="I8703" s="22" t="n">
        <x:v>120.96</x:v>
      </x:c>
      <x:c r="J8703" s="24" t="n">
        <x:v>2</x:v>
      </x:c>
      <x:c r="K8703" s="26" t="n">
        <x:v>0.4</x:v>
      </x:c>
      <x:c r="L8703" s="22" t="n">
        <x:v>-28.224000000000004</x:v>
      </x:c>
      <x:c r="M8703" t="n">
        <x:v>2017</x:v>
      </x:c>
      <x:c r="N8703" s="20" t="n">
        <x:v>42887</x:v>
      </x:c>
    </x:row>
    <x:row r="8704" ht="18" customHeight="1">
      <x:c r="A8704" t="str">
        <x:v>CA-2017-119284</x:v>
      </x:c>
      <x:c r="B8704" s="18" t="n">
        <x:v>42901</x:v>
      </x:c>
      <x:c r="C8704" t="str">
        <x:v>TS-21205</x:v>
      </x:c>
      <x:c r="D8704" t="str">
        <x:v>Thomas Seio</x:v>
      </x:c>
      <x:c r="E8704" t="str">
        <x:v>Corporate</x:v>
      </x:c>
      <x:c r="F8704" t="str">
        <x:v>South</x:v>
      </x:c>
      <x:c r="G8704" t="str">
        <x:v>Technology</x:v>
      </x:c>
      <x:c r="H8704" t="str">
        <x:v>Phones</x:v>
      </x:c>
      <x:c r="I8704" s="22" t="n">
        <x:v>2239.936</x:v>
      </x:c>
      <x:c r="J8704" s="24" t="n">
        <x:v>8</x:v>
      </x:c>
      <x:c r="K8704" s="26" t="n">
        <x:v>0.2</x:v>
      </x:c>
      <x:c r="L8704" s="22" t="n">
        <x:v>223.99360000000013</x:v>
      </x:c>
      <x:c r="M8704" t="n">
        <x:v>2017</x:v>
      </x:c>
      <x:c r="N8704" s="20" t="n">
        <x:v>42887</x:v>
      </x:c>
    </x:row>
    <x:row r="8705" ht="18" customHeight="1">
      <x:c r="A8705" t="str">
        <x:v>CA-2017-119284</x:v>
      </x:c>
      <x:c r="B8705" s="18" t="n">
        <x:v>42901</x:v>
      </x:c>
      <x:c r="C8705" t="str">
        <x:v>TS-21205</x:v>
      </x:c>
      <x:c r="D8705" t="str">
        <x:v>Thomas Seio</x:v>
      </x:c>
      <x:c r="E8705" t="str">
        <x:v>Corporate</x:v>
      </x:c>
      <x:c r="F8705" t="str">
        <x:v>South</x:v>
      </x:c>
      <x:c r="G8705" t="str">
        <x:v>Office Supplies</x:v>
      </x:c>
      <x:c r="H8705" t="str">
        <x:v>Appliances</x:v>
      </x:c>
      <x:c r="I8705" s="22" t="n">
        <x:v>76.608</x:v>
      </x:c>
      <x:c r="J8705" s="24" t="n">
        <x:v>8</x:v>
      </x:c>
      <x:c r="K8705" s="26" t="n">
        <x:v>0.2</x:v>
      </x:c>
      <x:c r="L8705" s="22" t="n">
        <x:v>6.703199999999995</x:v>
      </x:c>
      <x:c r="M8705" t="n">
        <x:v>2017</x:v>
      </x:c>
      <x:c r="N8705" s="20" t="n">
        <x:v>42887</x:v>
      </x:c>
    </x:row>
    <x:row r="8706" ht="18" customHeight="1">
      <x:c r="A8706" t="str">
        <x:v>CA-2017-119284</x:v>
      </x:c>
      <x:c r="B8706" s="18" t="n">
        <x:v>42901</x:v>
      </x:c>
      <x:c r="C8706" t="str">
        <x:v>TS-21205</x:v>
      </x:c>
      <x:c r="D8706" t="str">
        <x:v>Thomas Seio</x:v>
      </x:c>
      <x:c r="E8706" t="str">
        <x:v>Corporate</x:v>
      </x:c>
      <x:c r="F8706" t="str">
        <x:v>South</x:v>
      </x:c>
      <x:c r="G8706" t="str">
        <x:v>Office Supplies</x:v>
      </x:c>
      <x:c r="H8706" t="str">
        <x:v>Storage</x:v>
      </x:c>
      <x:c r="I8706" s="22" t="n">
        <x:v>142.776</x:v>
      </x:c>
      <x:c r="J8706" s="24" t="n">
        <x:v>1</x:v>
      </x:c>
      <x:c r="K8706" s="26" t="n">
        <x:v>0.2</x:v>
      </x:c>
      <x:c r="L8706" s="22" t="n">
        <x:v>17.84699999999998</x:v>
      </x:c>
      <x:c r="M8706" t="n">
        <x:v>2017</x:v>
      </x:c>
      <x:c r="N8706" s="20" t="n">
        <x:v>42887</x:v>
      </x:c>
    </x:row>
    <x:row r="8707" ht="18" customHeight="1">
      <x:c r="A8707" t="str">
        <x:v>CA-2017-119284</x:v>
      </x:c>
      <x:c r="B8707" s="18" t="n">
        <x:v>42901</x:v>
      </x:c>
      <x:c r="C8707" t="str">
        <x:v>TS-21205</x:v>
      </x:c>
      <x:c r="D8707" t="str">
        <x:v>Thomas Seio</x:v>
      </x:c>
      <x:c r="E8707" t="str">
        <x:v>Corporate</x:v>
      </x:c>
      <x:c r="F8707" t="str">
        <x:v>South</x:v>
      </x:c>
      <x:c r="G8707" t="str">
        <x:v>Office Supplies</x:v>
      </x:c>
      <x:c r="H8707" t="str">
        <x:v>Paper</x:v>
      </x:c>
      <x:c r="I8707" s="22" t="n">
        <x:v>91.36000000000001</x:v>
      </x:c>
      <x:c r="J8707" s="24" t="n">
        <x:v>5</x:v>
      </x:c>
      <x:c r="K8707" s="26" t="n">
        <x:v>0.2</x:v>
      </x:c>
      <x:c r="L8707" s="22" t="n">
        <x:v>29.691999999999993</x:v>
      </x:c>
      <x:c r="M8707" t="n">
        <x:v>2017</x:v>
      </x:c>
      <x:c r="N8707" s="20" t="n">
        <x:v>42887</x:v>
      </x:c>
    </x:row>
    <x:row r="8708" ht="18" customHeight="1">
      <x:c r="A8708" t="str">
        <x:v>CA-2015-133494</x:v>
      </x:c>
      <x:c r="B8708" s="18" t="n">
        <x:v>42064</x:v>
      </x:c>
      <x:c r="C8708" t="str">
        <x:v>RP-19390</x:v>
      </x:c>
      <x:c r="D8708" t="str">
        <x:v>Resi Pölking</x:v>
      </x:c>
      <x:c r="E8708" t="str">
        <x:v>Consumer</x:v>
      </x:c>
      <x:c r="F8708" t="str">
        <x:v>East</x:v>
      </x:c>
      <x:c r="G8708" t="str">
        <x:v>Office Supplies</x:v>
      </x:c>
      <x:c r="H8708" t="str">
        <x:v>Appliances</x:v>
      </x:c>
      <x:c r="I8708" s="22" t="n">
        <x:v>3.5520000000000005</x:v>
      </x:c>
      <x:c r="J8708" s="24" t="n">
        <x:v>2</x:v>
      </x:c>
      <x:c r="K8708" s="26" t="n">
        <x:v>0.2</x:v>
      </x:c>
      <x:c r="L8708" s="22" t="n">
        <x:v>0.44399999999999973</x:v>
      </x:c>
      <x:c r="M8708" t="n">
        <x:v>2015</x:v>
      </x:c>
      <x:c r="N8708" s="20" t="n">
        <x:v>42064</x:v>
      </x:c>
    </x:row>
    <x:row r="8709" ht="18" customHeight="1">
      <x:c r="A8709" t="str">
        <x:v>CA-2016-111318</x:v>
      </x:c>
      <x:c r="B8709" s="18" t="n">
        <x:v>42574</x:v>
      </x:c>
      <x:c r="C8709" t="str">
        <x:v>IL-15100</x:v>
      </x:c>
      <x:c r="D8709" t="str">
        <x:v>Ivan Liston</x:v>
      </x:c>
      <x:c r="E8709" t="str">
        <x:v>Consumer</x:v>
      </x:c>
      <x:c r="F8709" t="str">
        <x:v>Central</x:v>
      </x:c>
      <x:c r="G8709" t="str">
        <x:v>Technology</x:v>
      </x:c>
      <x:c r="H8709" t="str">
        <x:v>Phones</x:v>
      </x:c>
      <x:c r="I8709" s="22" t="n">
        <x:v>115.136</x:v>
      </x:c>
      <x:c r="J8709" s="24" t="n">
        <x:v>8</x:v>
      </x:c>
      <x:c r="K8709" s="26" t="n">
        <x:v>0.2</x:v>
      </x:c>
      <x:c r="L8709" s="22" t="n">
        <x:v>11.513600000000004</x:v>
      </x:c>
      <x:c r="M8709" t="n">
        <x:v>2016</x:v>
      </x:c>
      <x:c r="N8709" s="20" t="n">
        <x:v>42552</x:v>
      </x:c>
    </x:row>
    <x:row r="8710" ht="18" customHeight="1">
      <x:c r="A8710" t="str">
        <x:v>US-2014-132745</x:v>
      </x:c>
      <x:c r="B8710" s="18" t="n">
        <x:v>41913</x:v>
      </x:c>
      <x:c r="C8710" t="str">
        <x:v>NF-18475</x:v>
      </x:c>
      <x:c r="D8710" t="str">
        <x:v>Neil Französisch</x:v>
      </x:c>
      <x:c r="E8710" t="str">
        <x:v>Home Office</x:v>
      </x:c>
      <x:c r="F8710" t="str">
        <x:v>West</x:v>
      </x:c>
      <x:c r="G8710" t="str">
        <x:v>Office Supplies</x:v>
      </x:c>
      <x:c r="H8710" t="str">
        <x:v>Fasteners</x:v>
      </x:c>
      <x:c r="I8710" s="22" t="n">
        <x:v>4.71</x:v>
      </x:c>
      <x:c r="J8710" s="24" t="n">
        <x:v>1</x:v>
      </x:c>
      <x:c r="K8710" s="26" t="n">
        <x:v>0</x:v>
      </x:c>
      <x:c r="L8710" s="22" t="n">
        <x:v>0</x:v>
      </x:c>
      <x:c r="M8710" t="n">
        <x:v>2014</x:v>
      </x:c>
      <x:c r="N8710" s="20" t="n">
        <x:v>41913</x:v>
      </x:c>
    </x:row>
    <x:row r="8711" ht="18" customHeight="1">
      <x:c r="A8711" t="str">
        <x:v>CA-2014-146815</x:v>
      </x:c>
      <x:c r="B8711" s="18" t="n">
        <x:v>41890</x:v>
      </x:c>
      <x:c r="C8711" t="str">
        <x:v>PP-18955</x:v>
      </x:c>
      <x:c r="D8711" t="str">
        <x:v>Paul Prost</x:v>
      </x:c>
      <x:c r="E8711" t="str">
        <x:v>Home Office</x:v>
      </x:c>
      <x:c r="F8711" t="str">
        <x:v>East</x:v>
      </x:c>
      <x:c r="G8711" t="str">
        <x:v>Furniture</x:v>
      </x:c>
      <x:c r="H8711" t="str">
        <x:v>Chairs</x:v>
      </x:c>
      <x:c r="I8711" s="22" t="n">
        <x:v>172.764</x:v>
      </x:c>
      <x:c r="J8711" s="24" t="n">
        <x:v>2</x:v>
      </x:c>
      <x:c r="K8711" s="26" t="n">
        <x:v>0.1</x:v>
      </x:c>
      <x:c r="L8711" s="22" t="n">
        <x:v>13.437199999999986</x:v>
      </x:c>
      <x:c r="M8711" t="n">
        <x:v>2014</x:v>
      </x:c>
      <x:c r="N8711" s="20" t="n">
        <x:v>41883</x:v>
      </x:c>
    </x:row>
    <x:row r="8712" ht="18" customHeight="1">
      <x:c r="A8712" t="str">
        <x:v>CA-2014-146815</x:v>
      </x:c>
      <x:c r="B8712" s="18" t="n">
        <x:v>41890</x:v>
      </x:c>
      <x:c r="C8712" t="str">
        <x:v>PP-18955</x:v>
      </x:c>
      <x:c r="D8712" t="str">
        <x:v>Paul Prost</x:v>
      </x:c>
      <x:c r="E8712" t="str">
        <x:v>Home Office</x:v>
      </x:c>
      <x:c r="F8712" t="str">
        <x:v>East</x:v>
      </x:c>
      <x:c r="G8712" t="str">
        <x:v>Office Supplies</x:v>
      </x:c>
      <x:c r="H8712" t="str">
        <x:v>Art</x:v>
      </x:c>
      <x:c r="I8712" s="22" t="n">
        <x:v>3.52</x:v>
      </x:c>
      <x:c r="J8712" s="24" t="n">
        <x:v>2</x:v>
      </x:c>
      <x:c r="K8712" s="26" t="n">
        <x:v>0</x:v>
      </x:c>
      <x:c r="L8712" s="22" t="n">
        <x:v>1.6896</x:v>
      </x:c>
      <x:c r="M8712" t="n">
        <x:v>2014</x:v>
      </x:c>
      <x:c r="N8712" s="20" t="n">
        <x:v>41883</x:v>
      </x:c>
    </x:row>
    <x:row r="8713" ht="18" customHeight="1">
      <x:c r="A8713" t="str">
        <x:v>CA-2014-119144</x:v>
      </x:c>
      <x:c r="B8713" s="18" t="n">
        <x:v>41959</x:v>
      </x:c>
      <x:c r="C8713" t="str">
        <x:v>JD-16150</x:v>
      </x:c>
      <x:c r="D8713" t="str">
        <x:v>Justin Deggeller</x:v>
      </x:c>
      <x:c r="E8713" t="str">
        <x:v>Corporate</x:v>
      </x:c>
      <x:c r="F8713" t="str">
        <x:v>West</x:v>
      </x:c>
      <x:c r="G8713" t="str">
        <x:v>Technology</x:v>
      </x:c>
      <x:c r="H8713" t="str">
        <x:v>Phones</x:v>
      </x:c>
      <x:c r="I8713" s="22" t="n">
        <x:v>79.968</x:v>
      </x:c>
      <x:c r="J8713" s="24" t="n">
        <x:v>4</x:v>
      </x:c>
      <x:c r="K8713" s="26" t="n">
        <x:v>0.2</x:v>
      </x:c>
      <x:c r="L8713" s="22" t="n">
        <x:v>-17.9928</x:v>
      </x:c>
      <x:c r="M8713" t="n">
        <x:v>2014</x:v>
      </x:c>
      <x:c r="N8713" s="20" t="n">
        <x:v>41944</x:v>
      </x:c>
    </x:row>
    <x:row r="8714" ht="18" customHeight="1">
      <x:c r="A8714" t="str">
        <x:v>CA-2014-119144</x:v>
      </x:c>
      <x:c r="B8714" s="18" t="n">
        <x:v>41959</x:v>
      </x:c>
      <x:c r="C8714" t="str">
        <x:v>JD-16150</x:v>
      </x:c>
      <x:c r="D8714" t="str">
        <x:v>Justin Deggeller</x:v>
      </x:c>
      <x:c r="E8714" t="str">
        <x:v>Corporate</x:v>
      </x:c>
      <x:c r="F8714" t="str">
        <x:v>West</x:v>
      </x:c>
      <x:c r="G8714" t="str">
        <x:v>Furniture</x:v>
      </x:c>
      <x:c r="H8714" t="str">
        <x:v>Bookcases</x:v>
      </x:c>
      <x:c r="I8714" s="22" t="n">
        <x:v>305.9745</x:v>
      </x:c>
      <x:c r="J8714" s="24" t="n">
        <x:v>3</x:v>
      </x:c>
      <x:c r="K8714" s="26" t="n">
        <x:v>0.15</x:v>
      </x:c>
      <x:c r="L8714" s="22" t="n">
        <x:v>25.19789999999997</x:v>
      </x:c>
      <x:c r="M8714" t="n">
        <x:v>2014</x:v>
      </x:c>
      <x:c r="N8714" s="20" t="n">
        <x:v>41944</x:v>
      </x:c>
    </x:row>
    <x:row r="8715" ht="18" customHeight="1">
      <x:c r="A8715" t="str">
        <x:v>CA-2014-119144</x:v>
      </x:c>
      <x:c r="B8715" s="18" t="n">
        <x:v>41959</x:v>
      </x:c>
      <x:c r="C8715" t="str">
        <x:v>JD-16150</x:v>
      </x:c>
      <x:c r="D8715" t="str">
        <x:v>Justin Deggeller</x:v>
      </x:c>
      <x:c r="E8715" t="str">
        <x:v>Corporate</x:v>
      </x:c>
      <x:c r="F8715" t="str">
        <x:v>West</x:v>
      </x:c>
      <x:c r="G8715" t="str">
        <x:v>Office Supplies</x:v>
      </x:c>
      <x:c r="H8715" t="str">
        <x:v>Storage</x:v>
      </x:c>
      <x:c r="I8715" s="22" t="n">
        <x:v>344.90999999999997</x:v>
      </x:c>
      <x:c r="J8715" s="24" t="n">
        <x:v>3</x:v>
      </x:c>
      <x:c r="K8715" s="26" t="n">
        <x:v>0</x:v>
      </x:c>
      <x:c r="L8715" s="22" t="n">
        <x:v>10.347300000000004</x:v>
      </x:c>
      <x:c r="M8715" t="n">
        <x:v>2014</x:v>
      </x:c>
      <x:c r="N8715" s="20" t="n">
        <x:v>41944</x:v>
      </x:c>
    </x:row>
    <x:row r="8716" ht="18" customHeight="1">
      <x:c r="A8716" t="str">
        <x:v>CA-2014-105648</x:v>
      </x:c>
      <x:c r="B8716" s="18" t="n">
        <x:v>41701</x:v>
      </x:c>
      <x:c r="C8716" t="str">
        <x:v>EJ-14155</x:v>
      </x:c>
      <x:c r="D8716" t="str">
        <x:v>Eva Jacobs</x:v>
      </x:c>
      <x:c r="E8716" t="str">
        <x:v>Consumer</x:v>
      </x:c>
      <x:c r="F8716" t="str">
        <x:v>West</x:v>
      </x:c>
      <x:c r="G8716" t="str">
        <x:v>Furniture</x:v>
      </x:c>
      <x:c r="H8716" t="str">
        <x:v>Tables</x:v>
      </x:c>
      <x:c r="I8716" s="22" t="n">
        <x:v>626.3520000000001</x:v>
      </x:c>
      <x:c r="J8716" s="24" t="n">
        <x:v>3</x:v>
      </x:c>
      <x:c r="K8716" s="26" t="n">
        <x:v>0.2</x:v>
      </x:c>
      <x:c r="L8716" s="22" t="n">
        <x:v>-23.48820000000009</x:v>
      </x:c>
      <x:c r="M8716" t="n">
        <x:v>2014</x:v>
      </x:c>
      <x:c r="N8716" s="20" t="n">
        <x:v>41699</x:v>
      </x:c>
    </x:row>
    <x:row r="8717" ht="18" customHeight="1">
      <x:c r="A8717" t="str">
        <x:v>US-2015-145422</x:v>
      </x:c>
      <x:c r="B8717" s="18" t="n">
        <x:v>42341</x:v>
      </x:c>
      <x:c r="C8717" t="str">
        <x:v>PW-19240</x:v>
      </x:c>
      <x:c r="D8717" t="str">
        <x:v>Pierre Wener</x:v>
      </x:c>
      <x:c r="E8717" t="str">
        <x:v>Consumer</x:v>
      </x:c>
      <x:c r="F8717" t="str">
        <x:v>West</x:v>
      </x:c>
      <x:c r="G8717" t="str">
        <x:v>Furniture</x:v>
      </x:c>
      <x:c r="H8717" t="str">
        <x:v>Bookcases</x:v>
      </x:c>
      <x:c r="I8717" s="22" t="n">
        <x:v>359.49899999999997</x:v>
      </x:c>
      <x:c r="J8717" s="24" t="n">
        <x:v>3</x:v>
      </x:c>
      <x:c r="K8717" s="26" t="n">
        <x:v>0.15</x:v>
      </x:c>
      <x:c r="L8717" s="22" t="n">
        <x:v>-29.60579999999998</x:v>
      </x:c>
      <x:c r="M8717" t="n">
        <x:v>2015</x:v>
      </x:c>
      <x:c r="N8717" s="20" t="n">
        <x:v>42339</x:v>
      </x:c>
    </x:row>
    <x:row r="8718" ht="18" customHeight="1">
      <x:c r="A8718" t="str">
        <x:v>CA-2017-136623</x:v>
      </x:c>
      <x:c r="B8718" s="18" t="n">
        <x:v>42927</x:v>
      </x:c>
      <x:c r="C8718" t="str">
        <x:v>TS-21430</x:v>
      </x:c>
      <x:c r="D8718" t="str">
        <x:v>Tom Stivers</x:v>
      </x:c>
      <x:c r="E8718" t="str">
        <x:v>Corporate</x:v>
      </x:c>
      <x:c r="F8718" t="str">
        <x:v>West</x:v>
      </x:c>
      <x:c r="G8718" t="str">
        <x:v>Technology</x:v>
      </x:c>
      <x:c r="H8718" t="str">
        <x:v>Phones</x:v>
      </x:c>
      <x:c r="I8718" s="22" t="n">
        <x:v>71.952</x:v>
      </x:c>
      <x:c r="J8718" s="24" t="n">
        <x:v>6</x:v>
      </x:c>
      <x:c r="K8718" s="26" t="n">
        <x:v>0.2</x:v>
      </x:c>
      <x:c r="L8718" s="22" t="n">
        <x:v>5.396399999999996</x:v>
      </x:c>
      <x:c r="M8718" t="n">
        <x:v>2017</x:v>
      </x:c>
      <x:c r="N8718" s="20" t="n">
        <x:v>42917</x:v>
      </x:c>
    </x:row>
    <x:row r="8719" ht="18" customHeight="1">
      <x:c r="A8719" t="str">
        <x:v>CA-2017-136623</x:v>
      </x:c>
      <x:c r="B8719" s="18" t="n">
        <x:v>42927</x:v>
      </x:c>
      <x:c r="C8719" t="str">
        <x:v>TS-21430</x:v>
      </x:c>
      <x:c r="D8719" t="str">
        <x:v>Tom Stivers</x:v>
      </x:c>
      <x:c r="E8719" t="str">
        <x:v>Corporate</x:v>
      </x:c>
      <x:c r="F8719" t="str">
        <x:v>West</x:v>
      </x:c>
      <x:c r="G8719" t="str">
        <x:v>Office Supplies</x:v>
      </x:c>
      <x:c r="H8719" t="str">
        <x:v>Binders</x:v>
      </x:c>
      <x:c r="I8719" s="22" t="n">
        <x:v>29.800000000000004</x:v>
      </x:c>
      <x:c r="J8719" s="24" t="n">
        <x:v>5</x:v>
      </x:c>
      <x:c r="K8719" s="26" t="n">
        <x:v>0.2</x:v>
      </x:c>
      <x:c r="L8719" s="22" t="n">
        <x:v>9.312499999999998</x:v>
      </x:c>
      <x:c r="M8719" t="n">
        <x:v>2017</x:v>
      </x:c>
      <x:c r="N8719" s="20" t="n">
        <x:v>42917</x:v>
      </x:c>
    </x:row>
    <x:row r="8720" ht="18" customHeight="1">
      <x:c r="A8720" t="str">
        <x:v>CA-2017-121678</x:v>
      </x:c>
      <x:c r="B8720" s="18" t="n">
        <x:v>43055</x:v>
      </x:c>
      <x:c r="C8720" t="str">
        <x:v>BM-11650</x:v>
      </x:c>
      <x:c r="D8720" t="str">
        <x:v>Brian Moss</x:v>
      </x:c>
      <x:c r="E8720" t="str">
        <x:v>Corporate</x:v>
      </x:c>
      <x:c r="F8720" t="str">
        <x:v>East</x:v>
      </x:c>
      <x:c r="G8720" t="str">
        <x:v>Office Supplies</x:v>
      </x:c>
      <x:c r="H8720" t="str">
        <x:v>Binders</x:v>
      </x:c>
      <x:c r="I8720" s="22" t="n">
        <x:v>1.8240000000000003</x:v>
      </x:c>
      <x:c r="J8720" s="24" t="n">
        <x:v>1</x:v>
      </x:c>
      <x:c r="K8720" s="26" t="n">
        <x:v>0.7</x:v>
      </x:c>
      <x:c r="L8720" s="22" t="n">
        <x:v>-1.3983999999999996</x:v>
      </x:c>
      <x:c r="M8720" t="n">
        <x:v>2017</x:v>
      </x:c>
      <x:c r="N8720" s="20" t="n">
        <x:v>43040</x:v>
      </x:c>
    </x:row>
    <x:row r="8721" ht="18" customHeight="1">
      <x:c r="A8721" t="str">
        <x:v>CA-2016-120824</x:v>
      </x:c>
      <x:c r="B8721" s="18" t="n">
        <x:v>42533</x:v>
      </x:c>
      <x:c r="C8721" t="str">
        <x:v>AW-10930</x:v>
      </x:c>
      <x:c r="D8721" t="str">
        <x:v>Arthur Wiediger</x:v>
      </x:c>
      <x:c r="E8721" t="str">
        <x:v>Home Office</x:v>
      </x:c>
      <x:c r="F8721" t="str">
        <x:v>Central</x:v>
      </x:c>
      <x:c r="G8721" t="str">
        <x:v>Office Supplies</x:v>
      </x:c>
      <x:c r="H8721" t="str">
        <x:v>Appliances</x:v>
      </x:c>
      <x:c r="I8721" s="22" t="n">
        <x:v>64.38399999999999</x:v>
      </x:c>
      <x:c r="J8721" s="24" t="n">
        <x:v>4</x:v>
      </x:c>
      <x:c r="K8721" s="26" t="n">
        <x:v>0.8</x:v>
      </x:c>
      <x:c r="L8721" s="22" t="n">
        <x:v>-160.96</x:v>
      </x:c>
      <x:c r="M8721" t="n">
        <x:v>2016</x:v>
      </x:c>
      <x:c r="N8721" s="20" t="n">
        <x:v>42522</x:v>
      </x:c>
    </x:row>
    <x:row r="8722" ht="18" customHeight="1">
      <x:c r="A8722" t="str">
        <x:v>CA-2016-120824</x:v>
      </x:c>
      <x:c r="B8722" s="18" t="n">
        <x:v>42533</x:v>
      </x:c>
      <x:c r="C8722" t="str">
        <x:v>AW-10930</x:v>
      </x:c>
      <x:c r="D8722" t="str">
        <x:v>Arthur Wiediger</x:v>
      </x:c>
      <x:c r="E8722" t="str">
        <x:v>Home Office</x:v>
      </x:c>
      <x:c r="F8722" t="str">
        <x:v>Central</x:v>
      </x:c>
      <x:c r="G8722" t="str">
        <x:v>Furniture</x:v>
      </x:c>
      <x:c r="H8722" t="str">
        <x:v>Furnishings</x:v>
      </x:c>
      <x:c r="I8722" s="22" t="n">
        <x:v>6.984000000000001</x:v>
      </x:c>
      <x:c r="J8722" s="24" t="n">
        <x:v>2</x:v>
      </x:c>
      <x:c r="K8722" s="26" t="n">
        <x:v>0.6</x:v>
      </x:c>
      <x:c r="L8722" s="22" t="n">
        <x:v>-4.539600000000002</x:v>
      </x:c>
      <x:c r="M8722" t="n">
        <x:v>2016</x:v>
      </x:c>
      <x:c r="N8722" s="20" t="n">
        <x:v>42522</x:v>
      </x:c>
    </x:row>
    <x:row r="8723" ht="18" customHeight="1">
      <x:c r="A8723" t="str">
        <x:v>CA-2016-120824</x:v>
      </x:c>
      <x:c r="B8723" s="18" t="n">
        <x:v>42533</x:v>
      </x:c>
      <x:c r="C8723" t="str">
        <x:v>AW-10930</x:v>
      </x:c>
      <x:c r="D8723" t="str">
        <x:v>Arthur Wiediger</x:v>
      </x:c>
      <x:c r="E8723" t="str">
        <x:v>Home Office</x:v>
      </x:c>
      <x:c r="F8723" t="str">
        <x:v>Central</x:v>
      </x:c>
      <x:c r="G8723" t="str">
        <x:v>Office Supplies</x:v>
      </x:c>
      <x:c r="H8723" t="str">
        <x:v>Art</x:v>
      </x:c>
      <x:c r="I8723" s="22" t="n">
        <x:v>11.264000000000001</x:v>
      </x:c>
      <x:c r="J8723" s="24" t="n">
        <x:v>8</x:v>
      </x:c>
      <x:c r="K8723" s="26" t="n">
        <x:v>0.2</x:v>
      </x:c>
      <x:c r="L8723" s="22" t="n">
        <x:v>3.9423999999999997</x:v>
      </x:c>
      <x:c r="M8723" t="n">
        <x:v>2016</x:v>
      </x:c>
      <x:c r="N8723" s="20" t="n">
        <x:v>42522</x:v>
      </x:c>
    </x:row>
    <x:row r="8724" ht="18" customHeight="1">
      <x:c r="A8724" t="str">
        <x:v>CA-2016-120824</x:v>
      </x:c>
      <x:c r="B8724" s="18" t="n">
        <x:v>42533</x:v>
      </x:c>
      <x:c r="C8724" t="str">
        <x:v>AW-10930</x:v>
      </x:c>
      <x:c r="D8724" t="str">
        <x:v>Arthur Wiediger</x:v>
      </x:c>
      <x:c r="E8724" t="str">
        <x:v>Home Office</x:v>
      </x:c>
      <x:c r="F8724" t="str">
        <x:v>Central</x:v>
      </x:c>
      <x:c r="G8724" t="str">
        <x:v>Office Supplies</x:v>
      </x:c>
      <x:c r="H8724" t="str">
        <x:v>Paper</x:v>
      </x:c>
      <x:c r="I8724" s="22" t="n">
        <x:v>15.552000000000003</x:v>
      </x:c>
      <x:c r="J8724" s="24" t="n">
        <x:v>3</x:v>
      </x:c>
      <x:c r="K8724" s="26" t="n">
        <x:v>0.2</x:v>
      </x:c>
      <x:c r="L8724" s="22" t="n">
        <x:v>5.6376</x:v>
      </x:c>
      <x:c r="M8724" t="n">
        <x:v>2016</x:v>
      </x:c>
      <x:c r="N8724" s="20" t="n">
        <x:v>42522</x:v>
      </x:c>
    </x:row>
    <x:row r="8725" ht="18" customHeight="1">
      <x:c r="A8725" t="str">
        <x:v>CA-2016-120824</x:v>
      </x:c>
      <x:c r="B8725" s="18" t="n">
        <x:v>42533</x:v>
      </x:c>
      <x:c r="C8725" t="str">
        <x:v>AW-10930</x:v>
      </x:c>
      <x:c r="D8725" t="str">
        <x:v>Arthur Wiediger</x:v>
      </x:c>
      <x:c r="E8725" t="str">
        <x:v>Home Office</x:v>
      </x:c>
      <x:c r="F8725" t="str">
        <x:v>Central</x:v>
      </x:c>
      <x:c r="G8725" t="str">
        <x:v>Furniture</x:v>
      </x:c>
      <x:c r="H8725" t="str">
        <x:v>Chairs</x:v>
      </x:c>
      <x:c r="I8725" s="22" t="n">
        <x:v>379.372</x:v>
      </x:c>
      <x:c r="J8725" s="24" t="n">
        <x:v>2</x:v>
      </x:c>
      <x:c r="K8725" s="26" t="n">
        <x:v>0.3</x:v>
      </x:c>
      <x:c r="L8725" s="22" t="n">
        <x:v>-119.23120000000003</x:v>
      </x:c>
      <x:c r="M8725" t="n">
        <x:v>2016</x:v>
      </x:c>
      <x:c r="N8725" s="20" t="n">
        <x:v>42522</x:v>
      </x:c>
    </x:row>
    <x:row r="8726" ht="18" customHeight="1">
      <x:c r="A8726" t="str">
        <x:v>CA-2016-120824</x:v>
      </x:c>
      <x:c r="B8726" s="18" t="n">
        <x:v>42533</x:v>
      </x:c>
      <x:c r="C8726" t="str">
        <x:v>AW-10930</x:v>
      </x:c>
      <x:c r="D8726" t="str">
        <x:v>Arthur Wiediger</x:v>
      </x:c>
      <x:c r="E8726" t="str">
        <x:v>Home Office</x:v>
      </x:c>
      <x:c r="F8726" t="str">
        <x:v>Central</x:v>
      </x:c>
      <x:c r="G8726" t="str">
        <x:v>Office Supplies</x:v>
      </x:c>
      <x:c r="H8726" t="str">
        <x:v>Storage</x:v>
      </x:c>
      <x:c r="I8726" s="22" t="n">
        <x:v>67.53600000000002</x:v>
      </x:c>
      <x:c r="J8726" s="24" t="n">
        <x:v>9</x:v>
      </x:c>
      <x:c r="K8726" s="26" t="n">
        <x:v>0.2</x:v>
      </x:c>
      <x:c r="L8726" s="22" t="n">
        <x:v>6.753599999999999</x:v>
      </x:c>
      <x:c r="M8726" t="n">
        <x:v>2016</x:v>
      </x:c>
      <x:c r="N8726" s="20" t="n">
        <x:v>42522</x:v>
      </x:c>
    </x:row>
    <x:row r="8727" ht="18" customHeight="1">
      <x:c r="A8727" t="str">
        <x:v>CA-2016-120824</x:v>
      </x:c>
      <x:c r="B8727" s="18" t="n">
        <x:v>42533</x:v>
      </x:c>
      <x:c r="C8727" t="str">
        <x:v>AW-10930</x:v>
      </x:c>
      <x:c r="D8727" t="str">
        <x:v>Arthur Wiediger</x:v>
      </x:c>
      <x:c r="E8727" t="str">
        <x:v>Home Office</x:v>
      </x:c>
      <x:c r="F8727" t="str">
        <x:v>Central</x:v>
      </x:c>
      <x:c r="G8727" t="str">
        <x:v>Office Supplies</x:v>
      </x:c>
      <x:c r="H8727" t="str">
        <x:v>Binders</x:v>
      </x:c>
      <x:c r="I8727" s="22" t="n">
        <x:v>1.5239999999999996</x:v>
      </x:c>
      <x:c r="J8727" s="24" t="n">
        <x:v>2</x:v>
      </x:c>
      <x:c r="K8727" s="26" t="n">
        <x:v>0.8</x:v>
      </x:c>
      <x:c r="L8727" s="22" t="n">
        <x:v>-2.6670000000000007</x:v>
      </x:c>
      <x:c r="M8727" t="n">
        <x:v>2016</x:v>
      </x:c>
      <x:c r="N8727" s="20" t="n">
        <x:v>42522</x:v>
      </x:c>
    </x:row>
    <x:row r="8728" ht="18" customHeight="1">
      <x:c r="A8728" t="str">
        <x:v>US-2016-135209</x:v>
      </x:c>
      <x:c r="B8728" s="18" t="n">
        <x:v>42733</x:v>
      </x:c>
      <x:c r="C8728" t="str">
        <x:v>MH-17290</x:v>
      </x:c>
      <x:c r="D8728" t="str">
        <x:v>Marc Harrigan</x:v>
      </x:c>
      <x:c r="E8728" t="str">
        <x:v>Home Office</x:v>
      </x:c>
      <x:c r="F8728" t="str">
        <x:v>South</x:v>
      </x:c>
      <x:c r="G8728" t="str">
        <x:v>Office Supplies</x:v>
      </x:c>
      <x:c r="H8728" t="str">
        <x:v>Paper</x:v>
      </x:c>
      <x:c r="I8728" s="22" t="n">
        <x:v>37.408</x:v>
      </x:c>
      <x:c r="J8728" s="24" t="n">
        <x:v>7</x:v>
      </x:c>
      <x:c r="K8728" s="26" t="n">
        <x:v>0.2</x:v>
      </x:c>
      <x:c r="L8728" s="22" t="n">
        <x:v>13.0928</x:v>
      </x:c>
      <x:c r="M8728" t="n">
        <x:v>2016</x:v>
      </x:c>
      <x:c r="N8728" s="20" t="n">
        <x:v>42705</x:v>
      </x:c>
    </x:row>
    <x:row r="8729" ht="18" customHeight="1">
      <x:c r="A8729" t="str">
        <x:v>US-2016-135209</x:v>
      </x:c>
      <x:c r="B8729" s="18" t="n">
        <x:v>42733</x:v>
      </x:c>
      <x:c r="C8729" t="str">
        <x:v>MH-17290</x:v>
      </x:c>
      <x:c r="D8729" t="str">
        <x:v>Marc Harrigan</x:v>
      </x:c>
      <x:c r="E8729" t="str">
        <x:v>Home Office</x:v>
      </x:c>
      <x:c r="F8729" t="str">
        <x:v>South</x:v>
      </x:c>
      <x:c r="G8729" t="str">
        <x:v>Office Supplies</x:v>
      </x:c>
      <x:c r="H8729" t="str">
        <x:v>Paper</x:v>
      </x:c>
      <x:c r="I8729" s="22" t="n">
        <x:v>25.344</x:v>
      </x:c>
      <x:c r="J8729" s="24" t="n">
        <x:v>6</x:v>
      </x:c>
      <x:c r="K8729" s="26" t="n">
        <x:v>0.2</x:v>
      </x:c>
      <x:c r="L8729" s="22" t="n">
        <x:v>8.870400000000002</x:v>
      </x:c>
      <x:c r="M8729" t="n">
        <x:v>2016</x:v>
      </x:c>
      <x:c r="N8729" s="20" t="n">
        <x:v>42705</x:v>
      </x:c>
    </x:row>
    <x:row r="8730" ht="18" customHeight="1">
      <x:c r="A8730" t="str">
        <x:v>CA-2017-148145</x:v>
      </x:c>
      <x:c r="B8730" s="18" t="n">
        <x:v>42812</x:v>
      </x:c>
      <x:c r="C8730" t="str">
        <x:v>SW-20275</x:v>
      </x:c>
      <x:c r="D8730" t="str">
        <x:v>Scott Williamson</x:v>
      </x:c>
      <x:c r="E8730" t="str">
        <x:v>Consumer</x:v>
      </x:c>
      <x:c r="F8730" t="str">
        <x:v>West</x:v>
      </x:c>
      <x:c r="G8730" t="str">
        <x:v>Office Supplies</x:v>
      </x:c>
      <x:c r="H8730" t="str">
        <x:v>Art</x:v>
      </x:c>
      <x:c r="I8730" s="22" t="n">
        <x:v>46.2</x:v>
      </x:c>
      <x:c r="J8730" s="24" t="n">
        <x:v>4</x:v>
      </x:c>
      <x:c r="K8730" s="26" t="n">
        <x:v>0</x:v>
      </x:c>
      <x:c r="L8730" s="22" t="n">
        <x:v>21.252</x:v>
      </x:c>
      <x:c r="M8730" t="n">
        <x:v>2017</x:v>
      </x:c>
      <x:c r="N8730" s="20" t="n">
        <x:v>42795</x:v>
      </x:c>
    </x:row>
    <x:row r="8731" ht="18" customHeight="1">
      <x:c r="A8731" t="str">
        <x:v>CA-2015-103870</x:v>
      </x:c>
      <x:c r="B8731" s="18" t="n">
        <x:v>42365</x:v>
      </x:c>
      <x:c r="C8731" t="str">
        <x:v>SP-20860</x:v>
      </x:c>
      <x:c r="D8731" t="str">
        <x:v>Sung Pak</x:v>
      </x:c>
      <x:c r="E8731" t="str">
        <x:v>Corporate</x:v>
      </x:c>
      <x:c r="F8731" t="str">
        <x:v>South</x:v>
      </x:c>
      <x:c r="G8731" t="str">
        <x:v>Technology</x:v>
      </x:c>
      <x:c r="H8731" t="str">
        <x:v>Accessories</x:v>
      </x:c>
      <x:c r="I8731" s="22" t="n">
        <x:v>4.728</x:v>
      </x:c>
      <x:c r="J8731" s="24" t="n">
        <x:v>3</x:v>
      </x:c>
      <x:c r="K8731" s="26" t="n">
        <x:v>0.2</x:v>
      </x:c>
      <x:c r="L8731" s="22" t="n">
        <x:v>0.7091999999999996</x:v>
      </x:c>
      <x:c r="M8731" t="n">
        <x:v>2015</x:v>
      </x:c>
      <x:c r="N8731" s="20" t="n">
        <x:v>42339</x:v>
      </x:c>
    </x:row>
    <x:row r="8732" ht="18" customHeight="1">
      <x:c r="A8732" t="str">
        <x:v>CA-2015-103870</x:v>
      </x:c>
      <x:c r="B8732" s="18" t="n">
        <x:v>42365</x:v>
      </x:c>
      <x:c r="C8732" t="str">
        <x:v>SP-20860</x:v>
      </x:c>
      <x:c r="D8732" t="str">
        <x:v>Sung Pak</x:v>
      </x:c>
      <x:c r="E8732" t="str">
        <x:v>Corporate</x:v>
      </x:c>
      <x:c r="F8732" t="str">
        <x:v>South</x:v>
      </x:c>
      <x:c r="G8732" t="str">
        <x:v>Furniture</x:v>
      </x:c>
      <x:c r="H8732" t="str">
        <x:v>Furnishings</x:v>
      </x:c>
      <x:c r="I8732" s="22" t="n">
        <x:v>53.352000000000004</x:v>
      </x:c>
      <x:c r="J8732" s="24" t="n">
        <x:v>3</x:v>
      </x:c>
      <x:c r="K8732" s="26" t="n">
        <x:v>0.2</x:v>
      </x:c>
      <x:c r="L8732" s="22" t="n">
        <x:v>16.005600000000005</x:v>
      </x:c>
      <x:c r="M8732" t="n">
        <x:v>2015</x:v>
      </x:c>
      <x:c r="N8732" s="20" t="n">
        <x:v>42339</x:v>
      </x:c>
    </x:row>
    <x:row r="8733" ht="18" customHeight="1">
      <x:c r="A8733" t="str">
        <x:v>CA-2015-103870</x:v>
      </x:c>
      <x:c r="B8733" s="18" t="n">
        <x:v>42365</x:v>
      </x:c>
      <x:c r="C8733" t="str">
        <x:v>SP-20860</x:v>
      </x:c>
      <x:c r="D8733" t="str">
        <x:v>Sung Pak</x:v>
      </x:c>
      <x:c r="E8733" t="str">
        <x:v>Corporate</x:v>
      </x:c>
      <x:c r="F8733" t="str">
        <x:v>South</x:v>
      </x:c>
      <x:c r="G8733" t="str">
        <x:v>Furniture</x:v>
      </x:c>
      <x:c r="H8733" t="str">
        <x:v>Bookcases</x:v>
      </x:c>
      <x:c r="I8733" s="22" t="n">
        <x:v>131.104</x:v>
      </x:c>
      <x:c r="J8733" s="24" t="n">
        <x:v>2</x:v>
      </x:c>
      <x:c r="K8733" s="26" t="n">
        <x:v>0.2</x:v>
      </x:c>
      <x:c r="L8733" s="22" t="n">
        <x:v>8.193999999999996</x:v>
      </x:c>
      <x:c r="M8733" t="n">
        <x:v>2015</x:v>
      </x:c>
      <x:c r="N8733" s="20" t="n">
        <x:v>42339</x:v>
      </x:c>
    </x:row>
    <x:row r="8734" ht="18" customHeight="1">
      <x:c r="A8734" t="str">
        <x:v>CA-2015-103870</x:v>
      </x:c>
      <x:c r="B8734" s="18" t="n">
        <x:v>42365</x:v>
      </x:c>
      <x:c r="C8734" t="str">
        <x:v>SP-20860</x:v>
      </x:c>
      <x:c r="D8734" t="str">
        <x:v>Sung Pak</x:v>
      </x:c>
      <x:c r="E8734" t="str">
        <x:v>Corporate</x:v>
      </x:c>
      <x:c r="F8734" t="str">
        <x:v>South</x:v>
      </x:c>
      <x:c r="G8734" t="str">
        <x:v>Office Supplies</x:v>
      </x:c>
      <x:c r="H8734" t="str">
        <x:v>Storage</x:v>
      </x:c>
      <x:c r="I8734" s="22" t="n">
        <x:v>22.512000000000004</x:v>
      </x:c>
      <x:c r="J8734" s="24" t="n">
        <x:v>3</x:v>
      </x:c>
      <x:c r="K8734" s="26" t="n">
        <x:v>0.2</x:v>
      </x:c>
      <x:c r="L8734" s="22" t="n">
        <x:v>2.2512</x:v>
      </x:c>
      <x:c r="M8734" t="n">
        <x:v>2015</x:v>
      </x:c>
      <x:c r="N8734" s="20" t="n">
        <x:v>42339</x:v>
      </x:c>
    </x:row>
    <x:row r="8735" ht="18" customHeight="1">
      <x:c r="A8735" t="str">
        <x:v>CA-2015-103870</x:v>
      </x:c>
      <x:c r="B8735" s="18" t="n">
        <x:v>42365</x:v>
      </x:c>
      <x:c r="C8735" t="str">
        <x:v>SP-20860</x:v>
      </x:c>
      <x:c r="D8735" t="str">
        <x:v>Sung Pak</x:v>
      </x:c>
      <x:c r="E8735" t="str">
        <x:v>Corporate</x:v>
      </x:c>
      <x:c r="F8735" t="str">
        <x:v>South</x:v>
      </x:c>
      <x:c r="G8735" t="str">
        <x:v>Technology</x:v>
      </x:c>
      <x:c r="H8735" t="str">
        <x:v>Accessories</x:v>
      </x:c>
      <x:c r="I8735" s="22" t="n">
        <x:v>72.74400000000001</x:v>
      </x:c>
      <x:c r="J8735" s="24" t="n">
        <x:v>7</x:v>
      </x:c>
      <x:c r="K8735" s="26" t="n">
        <x:v>0.2</x:v>
      </x:c>
      <x:c r="L8735" s="22" t="n">
        <x:v>-12.73020000000001</x:v>
      </x:c>
      <x:c r="M8735" t="n">
        <x:v>2015</x:v>
      </x:c>
      <x:c r="N8735" s="20" t="n">
        <x:v>42339</x:v>
      </x:c>
    </x:row>
    <x:row r="8736" ht="18" customHeight="1">
      <x:c r="A8736" t="str">
        <x:v>CA-2015-111017</x:v>
      </x:c>
      <x:c r="B8736" s="18" t="n">
        <x:v>42216</x:v>
      </x:c>
      <x:c r="C8736" t="str">
        <x:v>SC-20695</x:v>
      </x:c>
      <x:c r="D8736" t="str">
        <x:v>Steve Chapman</x:v>
      </x:c>
      <x:c r="E8736" t="str">
        <x:v>Corporate</x:v>
      </x:c>
      <x:c r="F8736" t="str">
        <x:v>Central</x:v>
      </x:c>
      <x:c r="G8736" t="str">
        <x:v>Office Supplies</x:v>
      </x:c>
      <x:c r="H8736" t="str">
        <x:v>Supplies</x:v>
      </x:c>
      <x:c r="I8736" s="22" t="n">
        <x:v>52.59</x:v>
      </x:c>
      <x:c r="J8736" s="24" t="n">
        <x:v>3</x:v>
      </x:c>
      <x:c r="K8736" s="26" t="n">
        <x:v>0</x:v>
      </x:c>
      <x:c r="L8736" s="22" t="n">
        <x:v>15.776999999999996</x:v>
      </x:c>
      <x:c r="M8736" t="n">
        <x:v>2015</x:v>
      </x:c>
      <x:c r="N8736" s="20" t="n">
        <x:v>42186</x:v>
      </x:c>
    </x:row>
    <x:row r="8737" ht="18" customHeight="1">
      <x:c r="A8737" t="str">
        <x:v>CA-2017-116988</x:v>
      </x:c>
      <x:c r="B8737" s="18" t="n">
        <x:v>42913</x:v>
      </x:c>
      <x:c r="C8737" t="str">
        <x:v>PW-19030</x:v>
      </x:c>
      <x:c r="D8737" t="str">
        <x:v>Pauline Webber</x:v>
      </x:c>
      <x:c r="E8737" t="str">
        <x:v>Corporate</x:v>
      </x:c>
      <x:c r="F8737" t="str">
        <x:v>West</x:v>
      </x:c>
      <x:c r="G8737" t="str">
        <x:v>Office Supplies</x:v>
      </x:c>
      <x:c r="H8737" t="str">
        <x:v>Paper</x:v>
      </x:c>
      <x:c r="I8737" s="22" t="n">
        <x:v>19.44</x:v>
      </x:c>
      <x:c r="J8737" s="24" t="n">
        <x:v>3</x:v>
      </x:c>
      <x:c r="K8737" s="26" t="n">
        <x:v>0</x:v>
      </x:c>
      <x:c r="L8737" s="22" t="n">
        <x:v>9.3312</x:v>
      </x:c>
      <x:c r="M8737" t="n">
        <x:v>2017</x:v>
      </x:c>
      <x:c r="N8737" s="20" t="n">
        <x:v>42887</x:v>
      </x:c>
    </x:row>
    <x:row r="8738" ht="18" customHeight="1">
      <x:c r="A8738" t="str">
        <x:v>CA-2017-116988</x:v>
      </x:c>
      <x:c r="B8738" s="18" t="n">
        <x:v>42913</x:v>
      </x:c>
      <x:c r="C8738" t="str">
        <x:v>PW-19030</x:v>
      </x:c>
      <x:c r="D8738" t="str">
        <x:v>Pauline Webber</x:v>
      </x:c>
      <x:c r="E8738" t="str">
        <x:v>Corporate</x:v>
      </x:c>
      <x:c r="F8738" t="str">
        <x:v>West</x:v>
      </x:c>
      <x:c r="G8738" t="str">
        <x:v>Furniture</x:v>
      </x:c>
      <x:c r="H8738" t="str">
        <x:v>Furnishings</x:v>
      </x:c>
      <x:c r="I8738" s="22" t="n">
        <x:v>126.30000000000001</x:v>
      </x:c>
      <x:c r="J8738" s="24" t="n">
        <x:v>3</x:v>
      </x:c>
      <x:c r="K8738" s="26" t="n">
        <x:v>0</x:v>
      </x:c>
      <x:c r="L8738" s="22" t="n">
        <x:v>40.416</x:v>
      </x:c>
      <x:c r="M8738" t="n">
        <x:v>2017</x:v>
      </x:c>
      <x:c r="N8738" s="20" t="n">
        <x:v>42887</x:v>
      </x:c>
    </x:row>
    <x:row r="8739" ht="18" customHeight="1">
      <x:c r="A8739" t="str">
        <x:v>CA-2017-116988</x:v>
      </x:c>
      <x:c r="B8739" s="18" t="n">
        <x:v>42913</x:v>
      </x:c>
      <x:c r="C8739" t="str">
        <x:v>PW-19030</x:v>
      </x:c>
      <x:c r="D8739" t="str">
        <x:v>Pauline Webber</x:v>
      </x:c>
      <x:c r="E8739" t="str">
        <x:v>Corporate</x:v>
      </x:c>
      <x:c r="F8739" t="str">
        <x:v>West</x:v>
      </x:c>
      <x:c r="G8739" t="str">
        <x:v>Technology</x:v>
      </x:c>
      <x:c r="H8739" t="str">
        <x:v>Accessories</x:v>
      </x:c>
      <x:c r="I8739" s="22" t="n">
        <x:v>1287.45</x:v>
      </x:c>
      <x:c r="J8739" s="24" t="n">
        <x:v>5</x:v>
      </x:c>
      <x:c r="K8739" s="26" t="n">
        <x:v>0</x:v>
      </x:c>
      <x:c r="L8739" s="22" t="n">
        <x:v>244.61549999999988</x:v>
      </x:c>
      <x:c r="M8739" t="n">
        <x:v>2017</x:v>
      </x:c>
      <x:c r="N8739" s="20" t="n">
        <x:v>42887</x:v>
      </x:c>
    </x:row>
    <x:row r="8740" ht="18" customHeight="1">
      <x:c r="A8740" t="str">
        <x:v>US-2014-169390</x:v>
      </x:c>
      <x:c r="B8740" s="18" t="n">
        <x:v>41677</x:v>
      </x:c>
      <x:c r="C8740" t="str">
        <x:v>CS-12250</x:v>
      </x:c>
      <x:c r="D8740" t="str">
        <x:v>Chris Selesnick</x:v>
      </x:c>
      <x:c r="E8740" t="str">
        <x:v>Corporate</x:v>
      </x:c>
      <x:c r="F8740" t="str">
        <x:v>East</x:v>
      </x:c>
      <x:c r="G8740" t="str">
        <x:v>Office Supplies</x:v>
      </x:c>
      <x:c r="H8740" t="str">
        <x:v>Storage</x:v>
      </x:c>
      <x:c r="I8740" s="22" t="n">
        <x:v>64.96</x:v>
      </x:c>
      <x:c r="J8740" s="24" t="n">
        <x:v>4</x:v>
      </x:c>
      <x:c r="K8740" s="26" t="n">
        <x:v>0</x:v>
      </x:c>
      <x:c r="L8740" s="22" t="n">
        <x:v>9.744</x:v>
      </x:c>
      <x:c r="M8740" t="n">
        <x:v>2014</x:v>
      </x:c>
      <x:c r="N8740" s="20" t="n">
        <x:v>41671</x:v>
      </x:c>
    </x:row>
    <x:row r="8741" ht="18" customHeight="1">
      <x:c r="A8741" t="str">
        <x:v>CA-2016-168774</x:v>
      </x:c>
      <x:c r="B8741" s="18" t="n">
        <x:v>42617</x:v>
      </x:c>
      <x:c r="C8741" t="str">
        <x:v>RP-19855</x:v>
      </x:c>
      <x:c r="D8741" t="str">
        <x:v>Roy Phan</x:v>
      </x:c>
      <x:c r="E8741" t="str">
        <x:v>Corporate</x:v>
      </x:c>
      <x:c r="F8741" t="str">
        <x:v>Central</x:v>
      </x:c>
      <x:c r="G8741" t="str">
        <x:v>Office Supplies</x:v>
      </x:c>
      <x:c r="H8741" t="str">
        <x:v>Storage</x:v>
      </x:c>
      <x:c r="I8741" s="22" t="n">
        <x:v>535.41</x:v>
      </x:c>
      <x:c r="J8741" s="24" t="n">
        <x:v>3</x:v>
      </x:c>
      <x:c r="K8741" s="26" t="n">
        <x:v>0</x:v>
      </x:c>
      <x:c r="L8741" s="22" t="n">
        <x:v>160.62299999999993</x:v>
      </x:c>
      <x:c r="M8741" t="n">
        <x:v>2016</x:v>
      </x:c>
      <x:c r="N8741" s="20" t="n">
        <x:v>42614</x:v>
      </x:c>
    </x:row>
    <x:row r="8742" ht="18" customHeight="1">
      <x:c r="A8742" t="str">
        <x:v>CA-2017-161592</x:v>
      </x:c>
      <x:c r="B8742" s="18" t="n">
        <x:v>42831</x:v>
      </x:c>
      <x:c r="C8742" t="str">
        <x:v>CS-12175</x:v>
      </x:c>
      <x:c r="D8742" t="str">
        <x:v>Charles Sheldon</x:v>
      </x:c>
      <x:c r="E8742" t="str">
        <x:v>Corporate</x:v>
      </x:c>
      <x:c r="F8742" t="str">
        <x:v>South</x:v>
      </x:c>
      <x:c r="G8742" t="str">
        <x:v>Office Supplies</x:v>
      </x:c>
      <x:c r="H8742" t="str">
        <x:v>Binders</x:v>
      </x:c>
      <x:c r="I8742" s="22" t="n">
        <x:v>8.100000000000001</x:v>
      </x:c>
      <x:c r="J8742" s="24" t="n">
        <x:v>5</x:v>
      </x:c>
      <x:c r="K8742" s="26" t="n">
        <x:v>0.7</x:v>
      </x:c>
      <x:c r="L8742" s="22" t="n">
        <x:v>-5.939999999999998</x:v>
      </x:c>
      <x:c r="M8742" t="n">
        <x:v>2017</x:v>
      </x:c>
      <x:c r="N8742" s="20" t="n">
        <x:v>42826</x:v>
      </x:c>
    </x:row>
    <x:row r="8743" ht="18" customHeight="1">
      <x:c r="A8743" t="str">
        <x:v>US-2017-131961</x:v>
      </x:c>
      <x:c r="B8743" s="18" t="n">
        <x:v>43077</x:v>
      </x:c>
      <x:c r="C8743" t="str">
        <x:v>MJ-17740</x:v>
      </x:c>
      <x:c r="D8743" t="str">
        <x:v>Max Jones</x:v>
      </x:c>
      <x:c r="E8743" t="str">
        <x:v>Consumer</x:v>
      </x:c>
      <x:c r="F8743" t="str">
        <x:v>East</x:v>
      </x:c>
      <x:c r="G8743" t="str">
        <x:v>Office Supplies</x:v>
      </x:c>
      <x:c r="H8743" t="str">
        <x:v>Art</x:v>
      </x:c>
      <x:c r="I8743" s="22" t="n">
        <x:v>13.248</x:v>
      </x:c>
      <x:c r="J8743" s="24" t="n">
        <x:v>4</x:v>
      </x:c>
      <x:c r="K8743" s="26" t="n">
        <x:v>0.2</x:v>
      </x:c>
      <x:c r="L8743" s="22" t="n">
        <x:v>3.6431999999999998</x:v>
      </x:c>
      <x:c r="M8743" t="n">
        <x:v>2017</x:v>
      </x:c>
      <x:c r="N8743" s="20" t="n">
        <x:v>43070</x:v>
      </x:c>
    </x:row>
    <x:row r="8744" ht="18" customHeight="1">
      <x:c r="A8744" t="str">
        <x:v>US-2017-131961</x:v>
      </x:c>
      <x:c r="B8744" s="18" t="n">
        <x:v>43077</x:v>
      </x:c>
      <x:c r="C8744" t="str">
        <x:v>MJ-17740</x:v>
      </x:c>
      <x:c r="D8744" t="str">
        <x:v>Max Jones</x:v>
      </x:c>
      <x:c r="E8744" t="str">
        <x:v>Consumer</x:v>
      </x:c>
      <x:c r="F8744" t="str">
        <x:v>East</x:v>
      </x:c>
      <x:c r="G8744" t="str">
        <x:v>Technology</x:v>
      </x:c>
      <x:c r="H8744" t="str">
        <x:v>Phones</x:v>
      </x:c>
      <x:c r="I8744" s="22" t="n">
        <x:v>83.98799999999999</x:v>
      </x:c>
      <x:c r="J8744" s="24" t="n">
        <x:v>2</x:v>
      </x:c>
      <x:c r="K8744" s="26" t="n">
        <x:v>0.4</x:v>
      </x:c>
      <x:c r="L8744" s="22" t="n">
        <x:v>-20.996999999999993</x:v>
      </x:c>
      <x:c r="M8744" t="n">
        <x:v>2017</x:v>
      </x:c>
      <x:c r="N8744" s="20" t="n">
        <x:v>43070</x:v>
      </x:c>
    </x:row>
    <x:row r="8745" ht="18" customHeight="1">
      <x:c r="A8745" t="str">
        <x:v>CA-2016-102498</x:v>
      </x:c>
      <x:c r="B8745" s="18" t="n">
        <x:v>42575</x:v>
      </x:c>
      <x:c r="C8745" t="str">
        <x:v>JG-15160</x:v>
      </x:c>
      <x:c r="D8745" t="str">
        <x:v>James Galang</x:v>
      </x:c>
      <x:c r="E8745" t="str">
        <x:v>Consumer</x:v>
      </x:c>
      <x:c r="F8745" t="str">
        <x:v>South</x:v>
      </x:c>
      <x:c r="G8745" t="str">
        <x:v>Office Supplies</x:v>
      </x:c>
      <x:c r="H8745" t="str">
        <x:v>Art</x:v>
      </x:c>
      <x:c r="I8745" s="22" t="n">
        <x:v>73.2</x:v>
      </x:c>
      <x:c r="J8745" s="24" t="n">
        <x:v>5</x:v>
      </x:c>
      <x:c r="K8745" s="26" t="n">
        <x:v>0</x:v>
      </x:c>
      <x:c r="L8745" s="22" t="n">
        <x:v>21.227999999999998</x:v>
      </x:c>
      <x:c r="M8745" t="n">
        <x:v>2016</x:v>
      </x:c>
      <x:c r="N8745" s="20" t="n">
        <x:v>42552</x:v>
      </x:c>
    </x:row>
    <x:row r="8746" ht="18" customHeight="1">
      <x:c r="A8746" t="str">
        <x:v>CA-2015-113222</x:v>
      </x:c>
      <x:c r="B8746" s="18" t="n">
        <x:v>42317</x:v>
      </x:c>
      <x:c r="C8746" t="str">
        <x:v>AG-10765</x:v>
      </x:c>
      <x:c r="D8746" t="str">
        <x:v>Anthony Garverick</x:v>
      </x:c>
      <x:c r="E8746" t="str">
        <x:v>Home Office</x:v>
      </x:c>
      <x:c r="F8746" t="str">
        <x:v>Central</x:v>
      </x:c>
      <x:c r="G8746" t="str">
        <x:v>Office Supplies</x:v>
      </x:c>
      <x:c r="H8746" t="str">
        <x:v>Binders</x:v>
      </x:c>
      <x:c r="I8746" s="22" t="n">
        <x:v>10.74</x:v>
      </x:c>
      <x:c r="J8746" s="24" t="n">
        <x:v>3</x:v>
      </x:c>
      <x:c r="K8746" s="26" t="n">
        <x:v>0</x:v>
      </x:c>
      <x:c r="L8746" s="22" t="n">
        <x:v>5.1552</x:v>
      </x:c>
      <x:c r="M8746" t="n">
        <x:v>2015</x:v>
      </x:c>
      <x:c r="N8746" s="20" t="n">
        <x:v>42309</x:v>
      </x:c>
    </x:row>
    <x:row r="8747" ht="18" customHeight="1">
      <x:c r="A8747" t="str">
        <x:v>US-2015-144771</x:v>
      </x:c>
      <x:c r="B8747" s="18" t="n">
        <x:v>42279</x:v>
      </x:c>
      <x:c r="C8747" t="str">
        <x:v>CK-12205</x:v>
      </x:c>
      <x:c r="D8747" t="str">
        <x:v>Chloris Kastensmidt</x:v>
      </x:c>
      <x:c r="E8747" t="str">
        <x:v>Consumer</x:v>
      </x:c>
      <x:c r="F8747" t="str">
        <x:v>West</x:v>
      </x:c>
      <x:c r="G8747" t="str">
        <x:v>Furniture</x:v>
      </x:c>
      <x:c r="H8747" t="str">
        <x:v>Furnishings</x:v>
      </x:c>
      <x:c r="I8747" s="22" t="n">
        <x:v>11.032</x:v>
      </x:c>
      <x:c r="J8747" s="24" t="n">
        <x:v>1</x:v>
      </x:c>
      <x:c r="K8747" s="26" t="n">
        <x:v>0.2</x:v>
      </x:c>
      <x:c r="L8747" s="22" t="n">
        <x:v>3.0338000000000003</x:v>
      </x:c>
      <x:c r="M8747" t="n">
        <x:v>2015</x:v>
      </x:c>
      <x:c r="N8747" s="20" t="n">
        <x:v>42278</x:v>
      </x:c>
    </x:row>
    <x:row r="8748" ht="18" customHeight="1">
      <x:c r="A8748" t="str">
        <x:v>US-2015-144771</x:v>
      </x:c>
      <x:c r="B8748" s="18" t="n">
        <x:v>42279</x:v>
      </x:c>
      <x:c r="C8748" t="str">
        <x:v>CK-12205</x:v>
      </x:c>
      <x:c r="D8748" t="str">
        <x:v>Chloris Kastensmidt</x:v>
      </x:c>
      <x:c r="E8748" t="str">
        <x:v>Consumer</x:v>
      </x:c>
      <x:c r="F8748" t="str">
        <x:v>West</x:v>
      </x:c>
      <x:c r="G8748" t="str">
        <x:v>Technology</x:v>
      </x:c>
      <x:c r="H8748" t="str">
        <x:v>Accessories</x:v>
      </x:c>
      <x:c r="I8748" s="22" t="n">
        <x:v>53.040000000000006</x:v>
      </x:c>
      <x:c r="J8748" s="24" t="n">
        <x:v>3</x:v>
      </x:c>
      <x:c r="K8748" s="26" t="n">
        <x:v>0.2</x:v>
      </x:c>
      <x:c r="L8748" s="22" t="n">
        <x:v>-4.640999999999998</x:v>
      </x:c>
      <x:c r="M8748" t="n">
        <x:v>2015</x:v>
      </x:c>
      <x:c r="N8748" s="20" t="n">
        <x:v>42278</x:v>
      </x:c>
    </x:row>
    <x:row r="8749" ht="18" customHeight="1">
      <x:c r="A8749" t="str">
        <x:v>CA-2015-162376</x:v>
      </x:c>
      <x:c r="B8749" s="18" t="n">
        <x:v>42330</x:v>
      </x:c>
      <x:c r="C8749" t="str">
        <x:v>HD-14785</x:v>
      </x:c>
      <x:c r="D8749" t="str">
        <x:v>Harold Dahlen</x:v>
      </x:c>
      <x:c r="E8749" t="str">
        <x:v>Home Office</x:v>
      </x:c>
      <x:c r="F8749" t="str">
        <x:v>East</x:v>
      </x:c>
      <x:c r="G8749" t="str">
        <x:v>Office Supplies</x:v>
      </x:c>
      <x:c r="H8749" t="str">
        <x:v>Art</x:v>
      </x:c>
      <x:c r="I8749" s="22" t="n">
        <x:v>17.12</x:v>
      </x:c>
      <x:c r="J8749" s="24" t="n">
        <x:v>4</x:v>
      </x:c>
      <x:c r="K8749" s="26" t="n">
        <x:v>0</x:v>
      </x:c>
      <x:c r="L8749" s="22" t="n">
        <x:v>4.9647999999999985</x:v>
      </x:c>
      <x:c r="M8749" t="n">
        <x:v>2015</x:v>
      </x:c>
      <x:c r="N8749" s="20" t="n">
        <x:v>42309</x:v>
      </x:c>
    </x:row>
    <x:row r="8750" ht="18" customHeight="1">
      <x:c r="A8750" t="str">
        <x:v>CA-2015-162376</x:v>
      </x:c>
      <x:c r="B8750" s="18" t="n">
        <x:v>42330</x:v>
      </x:c>
      <x:c r="C8750" t="str">
        <x:v>HD-14785</x:v>
      </x:c>
      <x:c r="D8750" t="str">
        <x:v>Harold Dahlen</x:v>
      </x:c>
      <x:c r="E8750" t="str">
        <x:v>Home Office</x:v>
      </x:c>
      <x:c r="F8750" t="str">
        <x:v>East</x:v>
      </x:c>
      <x:c r="G8750" t="str">
        <x:v>Office Supplies</x:v>
      </x:c>
      <x:c r="H8750" t="str">
        <x:v>Paper</x:v>
      </x:c>
      <x:c r="I8750" s="22" t="n">
        <x:v>59.94</x:v>
      </x:c>
      <x:c r="J8750" s="24" t="n">
        <x:v>3</x:v>
      </x:c>
      <x:c r="K8750" s="26" t="n">
        <x:v>0</x:v>
      </x:c>
      <x:c r="L8750" s="22" t="n">
        <x:v>28.171799999999998</x:v>
      </x:c>
      <x:c r="M8750" t="n">
        <x:v>2015</x:v>
      </x:c>
      <x:c r="N8750" s="20" t="n">
        <x:v>42309</x:v>
      </x:c>
    </x:row>
    <x:row r="8751" ht="18" customHeight="1">
      <x:c r="A8751" t="str">
        <x:v>CA-2017-128076</x:v>
      </x:c>
      <x:c r="B8751" s="18" t="n">
        <x:v>42768</x:v>
      </x:c>
      <x:c r="C8751" t="str">
        <x:v>BO-11350</x:v>
      </x:c>
      <x:c r="D8751" t="str">
        <x:v>Bill Overfelt</x:v>
      </x:c>
      <x:c r="E8751" t="str">
        <x:v>Corporate</x:v>
      </x:c>
      <x:c r="F8751" t="str">
        <x:v>West</x:v>
      </x:c>
      <x:c r="G8751" t="str">
        <x:v>Furniture</x:v>
      </x:c>
      <x:c r="H8751" t="str">
        <x:v>Furnishings</x:v>
      </x:c>
      <x:c r="I8751" s="22" t="n">
        <x:v>210.58</x:v>
      </x:c>
      <x:c r="J8751" s="24" t="n">
        <x:v>2</x:v>
      </x:c>
      <x:c r="K8751" s="26" t="n">
        <x:v>0</x:v>
      </x:c>
      <x:c r="L8751" s="22" t="n">
        <x:v>12.634799999999984</x:v>
      </x:c>
      <x:c r="M8751" t="n">
        <x:v>2017</x:v>
      </x:c>
      <x:c r="N8751" s="20" t="n">
        <x:v>42767</x:v>
      </x:c>
    </x:row>
    <x:row r="8752" ht="18" customHeight="1">
      <x:c r="A8752" t="str">
        <x:v>CA-2017-128076</x:v>
      </x:c>
      <x:c r="B8752" s="18" t="n">
        <x:v>42768</x:v>
      </x:c>
      <x:c r="C8752" t="str">
        <x:v>BO-11350</x:v>
      </x:c>
      <x:c r="D8752" t="str">
        <x:v>Bill Overfelt</x:v>
      </x:c>
      <x:c r="E8752" t="str">
        <x:v>Corporate</x:v>
      </x:c>
      <x:c r="F8752" t="str">
        <x:v>West</x:v>
      </x:c>
      <x:c r="G8752" t="str">
        <x:v>Office Supplies</x:v>
      </x:c>
      <x:c r="H8752" t="str">
        <x:v>Binders</x:v>
      </x:c>
      <x:c r="I8752" s="22" t="n">
        <x:v>30.960000000000004</x:v>
      </x:c>
      <x:c r="J8752" s="24" t="n">
        <x:v>2</x:v>
      </x:c>
      <x:c r="K8752" s="26" t="n">
        <x:v>0.2</x:v>
      </x:c>
      <x:c r="L8752" s="22" t="n">
        <x:v>10.061999999999998</x:v>
      </x:c>
      <x:c r="M8752" t="n">
        <x:v>2017</x:v>
      </x:c>
      <x:c r="N8752" s="20" t="n">
        <x:v>42767</x:v>
      </x:c>
    </x:row>
    <x:row r="8753" ht="18" customHeight="1">
      <x:c r="A8753" t="str">
        <x:v>CA-2017-128076</x:v>
      </x:c>
      <x:c r="B8753" s="18" t="n">
        <x:v>42768</x:v>
      </x:c>
      <x:c r="C8753" t="str">
        <x:v>BO-11350</x:v>
      </x:c>
      <x:c r="D8753" t="str">
        <x:v>Bill Overfelt</x:v>
      </x:c>
      <x:c r="E8753" t="str">
        <x:v>Corporate</x:v>
      </x:c>
      <x:c r="F8753" t="str">
        <x:v>West</x:v>
      </x:c>
      <x:c r="G8753" t="str">
        <x:v>Technology</x:v>
      </x:c>
      <x:c r="H8753" t="str">
        <x:v>Machines</x:v>
      </x:c>
      <x:c r="I8753" s="22" t="n">
        <x:v>239.98400000000004</x:v>
      </x:c>
      <x:c r="J8753" s="24" t="n">
        <x:v>2</x:v>
      </x:c>
      <x:c r="K8753" s="26" t="n">
        <x:v>0.2</x:v>
      </x:c>
      <x:c r="L8753" s="22" t="n">
        <x:v>38.99739999999997</x:v>
      </x:c>
      <x:c r="M8753" t="n">
        <x:v>2017</x:v>
      </x:c>
      <x:c r="N8753" s="20" t="n">
        <x:v>42767</x:v>
      </x:c>
    </x:row>
    <x:row r="8754" ht="18" customHeight="1">
      <x:c r="A8754" t="str">
        <x:v>US-2015-163825</x:v>
      </x:c>
      <x:c r="B8754" s="18" t="n">
        <x:v>42171</x:v>
      </x:c>
      <x:c r="C8754" t="str">
        <x:v>LC-16885</x:v>
      </x:c>
      <x:c r="D8754" t="str">
        <x:v>Lena Creighton</x:v>
      </x:c>
      <x:c r="E8754" t="str">
        <x:v>Consumer</x:v>
      </x:c>
      <x:c r="F8754" t="str">
        <x:v>East</x:v>
      </x:c>
      <x:c r="G8754" t="str">
        <x:v>Office Supplies</x:v>
      </x:c>
      <x:c r="H8754" t="str">
        <x:v>Binders</x:v>
      </x:c>
      <x:c r="I8754" s="22" t="n">
        <x:v>3050.376</x:v>
      </x:c>
      <x:c r="J8754" s="24" t="n">
        <x:v>3</x:v>
      </x:c>
      <x:c r="K8754" s="26" t="n">
        <x:v>0.2</x:v>
      </x:c>
      <x:c r="L8754" s="22" t="n">
        <x:v>1143.891</x:v>
      </x:c>
      <x:c r="M8754" t="n">
        <x:v>2015</x:v>
      </x:c>
      <x:c r="N8754" s="20" t="n">
        <x:v>42156</x:v>
      </x:c>
    </x:row>
    <x:row r="8755" ht="18" customHeight="1">
      <x:c r="A8755" t="str">
        <x:v>US-2015-163825</x:v>
      </x:c>
      <x:c r="B8755" s="18" t="n">
        <x:v>42171</x:v>
      </x:c>
      <x:c r="C8755" t="str">
        <x:v>LC-16885</x:v>
      </x:c>
      <x:c r="D8755" t="str">
        <x:v>Lena Creighton</x:v>
      </x:c>
      <x:c r="E8755" t="str">
        <x:v>Consumer</x:v>
      </x:c>
      <x:c r="F8755" t="str">
        <x:v>East</x:v>
      </x:c>
      <x:c r="G8755" t="str">
        <x:v>Technology</x:v>
      </x:c>
      <x:c r="H8755" t="str">
        <x:v>Phones</x:v>
      </x:c>
      <x:c r="I8755" s="22" t="n">
        <x:v>133.98</x:v>
      </x:c>
      <x:c r="J8755" s="24" t="n">
        <x:v>2</x:v>
      </x:c>
      <x:c r="K8755" s="26" t="n">
        <x:v>0</x:v>
      </x:c>
      <x:c r="L8755" s="22" t="n">
        <x:v>33.495000000000005</x:v>
      </x:c>
      <x:c r="M8755" t="n">
        <x:v>2015</x:v>
      </x:c>
      <x:c r="N8755" s="20" t="n">
        <x:v>42156</x:v>
      </x:c>
    </x:row>
    <x:row r="8756" ht="18" customHeight="1">
      <x:c r="A8756" t="str">
        <x:v>CA-2016-105662</x:v>
      </x:c>
      <x:c r="B8756" s="18" t="n">
        <x:v>42495</x:v>
      </x:c>
      <x:c r="C8756" t="str">
        <x:v>RB-19465</x:v>
      </x:c>
      <x:c r="D8756" t="str">
        <x:v>Rick Bensley</x:v>
      </x:c>
      <x:c r="E8756" t="str">
        <x:v>Home Office</x:v>
      </x:c>
      <x:c r="F8756" t="str">
        <x:v>South</x:v>
      </x:c>
      <x:c r="G8756" t="str">
        <x:v>Office Supplies</x:v>
      </x:c>
      <x:c r="H8756" t="str">
        <x:v>Paper</x:v>
      </x:c>
      <x:c r="I8756" s="22" t="n">
        <x:v>93.248</x:v>
      </x:c>
      <x:c r="J8756" s="24" t="n">
        <x:v>4</x:v>
      </x:c>
      <x:c r="K8756" s="26" t="n">
        <x:v>0.2</x:v>
      </x:c>
      <x:c r="L8756" s="22" t="n">
        <x:v>31.4712</x:v>
      </x:c>
      <x:c r="M8756" t="n">
        <x:v>2016</x:v>
      </x:c>
      <x:c r="N8756" s="20" t="n">
        <x:v>42491</x:v>
      </x:c>
    </x:row>
    <x:row r="8757" ht="18" customHeight="1">
      <x:c r="A8757" t="str">
        <x:v>CA-2016-105662</x:v>
      </x:c>
      <x:c r="B8757" s="18" t="n">
        <x:v>42495</x:v>
      </x:c>
      <x:c r="C8757" t="str">
        <x:v>RB-19465</x:v>
      </x:c>
      <x:c r="D8757" t="str">
        <x:v>Rick Bensley</x:v>
      </x:c>
      <x:c r="E8757" t="str">
        <x:v>Home Office</x:v>
      </x:c>
      <x:c r="F8757" t="str">
        <x:v>South</x:v>
      </x:c>
      <x:c r="G8757" t="str">
        <x:v>Technology</x:v>
      </x:c>
      <x:c r="H8757" t="str">
        <x:v>Phones</x:v>
      </x:c>
      <x:c r="I8757" s="22" t="n">
        <x:v>177.48000000000002</x:v>
      </x:c>
      <x:c r="J8757" s="24" t="n">
        <x:v>3</x:v>
      </x:c>
      <x:c r="K8757" s="26" t="n">
        <x:v>0.2</x:v>
      </x:c>
      <x:c r="L8757" s="22" t="n">
        <x:v>19.966499999999982</x:v>
      </x:c>
      <x:c r="M8757" t="n">
        <x:v>2016</x:v>
      </x:c>
      <x:c r="N8757" s="20" t="n">
        <x:v>42491</x:v>
      </x:c>
    </x:row>
    <x:row r="8758" ht="18" customHeight="1">
      <x:c r="A8758" t="str">
        <x:v>CA-2017-152198</x:v>
      </x:c>
      <x:c r="B8758" s="18" t="n">
        <x:v>42987</x:v>
      </x:c>
      <x:c r="C8758" t="str">
        <x:v>JD-16015</x:v>
      </x:c>
      <x:c r="D8758" t="str">
        <x:v>Joy Daniels</x:v>
      </x:c>
      <x:c r="E8758" t="str">
        <x:v>Consumer</x:v>
      </x:c>
      <x:c r="F8758" t="str">
        <x:v>East</x:v>
      </x:c>
      <x:c r="G8758" t="str">
        <x:v>Office Supplies</x:v>
      </x:c>
      <x:c r="H8758" t="str">
        <x:v>Labels</x:v>
      </x:c>
      <x:c r="I8758" s="22" t="n">
        <x:v>17.712</x:v>
      </x:c>
      <x:c r="J8758" s="24" t="n">
        <x:v>6</x:v>
      </x:c>
      <x:c r="K8758" s="26" t="n">
        <x:v>0.2</x:v>
      </x:c>
      <x:c r="L8758" s="22" t="n">
        <x:v>5.977799999999999</x:v>
      </x:c>
      <x:c r="M8758" t="n">
        <x:v>2017</x:v>
      </x:c>
      <x:c r="N8758" s="20" t="n">
        <x:v>42979</x:v>
      </x:c>
    </x:row>
    <x:row r="8759" ht="18" customHeight="1">
      <x:c r="A8759" t="str">
        <x:v>CA-2017-152198</x:v>
      </x:c>
      <x:c r="B8759" s="18" t="n">
        <x:v>42987</x:v>
      </x:c>
      <x:c r="C8759" t="str">
        <x:v>JD-16015</x:v>
      </x:c>
      <x:c r="D8759" t="str">
        <x:v>Joy Daniels</x:v>
      </x:c>
      <x:c r="E8759" t="str">
        <x:v>Consumer</x:v>
      </x:c>
      <x:c r="F8759" t="str">
        <x:v>East</x:v>
      </x:c>
      <x:c r="G8759" t="str">
        <x:v>Office Supplies</x:v>
      </x:c>
      <x:c r="H8759" t="str">
        <x:v>Binders</x:v>
      </x:c>
      <x:c r="I8759" s="22" t="n">
        <x:v>4.860000000000001</x:v>
      </x:c>
      <x:c r="J8759" s="24" t="n">
        <x:v>3</x:v>
      </x:c>
      <x:c r="K8759" s="26" t="n">
        <x:v>0.7</x:v>
      </x:c>
      <x:c r="L8759" s="22" t="n">
        <x:v>-3.564</x:v>
      </x:c>
      <x:c r="M8759" t="n">
        <x:v>2017</x:v>
      </x:c>
      <x:c r="N8759" s="20" t="n">
        <x:v>42979</x:v>
      </x:c>
    </x:row>
    <x:row r="8760" ht="18" customHeight="1">
      <x:c r="A8760" t="str">
        <x:v>CA-2017-152198</x:v>
      </x:c>
      <x:c r="B8760" s="18" t="n">
        <x:v>42987</x:v>
      </x:c>
      <x:c r="C8760" t="str">
        <x:v>JD-16015</x:v>
      </x:c>
      <x:c r="D8760" t="str">
        <x:v>Joy Daniels</x:v>
      </x:c>
      <x:c r="E8760" t="str">
        <x:v>Consumer</x:v>
      </x:c>
      <x:c r="F8760" t="str">
        <x:v>East</x:v>
      </x:c>
      <x:c r="G8760" t="str">
        <x:v>Office Supplies</x:v>
      </x:c>
      <x:c r="H8760" t="str">
        <x:v>Binders</x:v>
      </x:c>
      <x:c r="I8760" s="22" t="n">
        <x:v>6.258000000000001</x:v>
      </x:c>
      <x:c r="J8760" s="24" t="n">
        <x:v>2</x:v>
      </x:c>
      <x:c r="K8760" s="26" t="n">
        <x:v>0.7</x:v>
      </x:c>
      <x:c r="L8760" s="22" t="n">
        <x:v>-5.215</x:v>
      </x:c>
      <x:c r="M8760" t="n">
        <x:v>2017</x:v>
      </x:c>
      <x:c r="N8760" s="20" t="n">
        <x:v>42979</x:v>
      </x:c>
    </x:row>
    <x:row r="8761" ht="18" customHeight="1">
      <x:c r="A8761" t="str">
        <x:v>CA-2016-114307</x:v>
      </x:c>
      <x:c r="B8761" s="18" t="n">
        <x:v>42573</x:v>
      </x:c>
      <x:c r="C8761" t="str">
        <x:v>MF-17665</x:v>
      </x:c>
      <x:c r="D8761" t="str">
        <x:v>Maureen Fritzler</x:v>
      </x:c>
      <x:c r="E8761" t="str">
        <x:v>Corporate</x:v>
      </x:c>
      <x:c r="F8761" t="str">
        <x:v>East</x:v>
      </x:c>
      <x:c r="G8761" t="str">
        <x:v>Office Supplies</x:v>
      </x:c>
      <x:c r="H8761" t="str">
        <x:v>Appliances</x:v>
      </x:c>
      <x:c r="I8761" s="22" t="n">
        <x:v>37.68</x:v>
      </x:c>
      <x:c r="J8761" s="24" t="n">
        <x:v>2</x:v>
      </x:c>
      <x:c r="K8761" s="26" t="n">
        <x:v>0</x:v>
      </x:c>
      <x:c r="L8761" s="22" t="n">
        <x:v>10.5504</x:v>
      </x:c>
      <x:c r="M8761" t="n">
        <x:v>2016</x:v>
      </x:c>
      <x:c r="N8761" s="20" t="n">
        <x:v>42552</x:v>
      </x:c>
    </x:row>
    <x:row r="8762" ht="18" customHeight="1">
      <x:c r="A8762" t="str">
        <x:v>CA-2016-114307</x:v>
      </x:c>
      <x:c r="B8762" s="18" t="n">
        <x:v>42573</x:v>
      </x:c>
      <x:c r="C8762" t="str">
        <x:v>MF-17665</x:v>
      </x:c>
      <x:c r="D8762" t="str">
        <x:v>Maureen Fritzler</x:v>
      </x:c>
      <x:c r="E8762" t="str">
        <x:v>Corporate</x:v>
      </x:c>
      <x:c r="F8762" t="str">
        <x:v>East</x:v>
      </x:c>
      <x:c r="G8762" t="str">
        <x:v>Office Supplies</x:v>
      </x:c>
      <x:c r="H8762" t="str">
        <x:v>Paper</x:v>
      </x:c>
      <x:c r="I8762" s="22" t="n">
        <x:v>51.84</x:v>
      </x:c>
      <x:c r="J8762" s="24" t="n">
        <x:v>8</x:v>
      </x:c>
      <x:c r="K8762" s="26" t="n">
        <x:v>0</x:v>
      </x:c>
      <x:c r="L8762" s="22" t="n">
        <x:v>24.883200000000002</x:v>
      </x:c>
      <x:c r="M8762" t="n">
        <x:v>2016</x:v>
      </x:c>
      <x:c r="N8762" s="20" t="n">
        <x:v>42552</x:v>
      </x:c>
    </x:row>
    <x:row r="8763" ht="18" customHeight="1">
      <x:c r="A8763" t="str">
        <x:v>CA-2016-114307</x:v>
      </x:c>
      <x:c r="B8763" s="18" t="n">
        <x:v>42573</x:v>
      </x:c>
      <x:c r="C8763" t="str">
        <x:v>MF-17665</x:v>
      </x:c>
      <x:c r="D8763" t="str">
        <x:v>Maureen Fritzler</x:v>
      </x:c>
      <x:c r="E8763" t="str">
        <x:v>Corporate</x:v>
      </x:c>
      <x:c r="F8763" t="str">
        <x:v>East</x:v>
      </x:c>
      <x:c r="G8763" t="str">
        <x:v>Furniture</x:v>
      </x:c>
      <x:c r="H8763" t="str">
        <x:v>Furnishings</x:v>
      </x:c>
      <x:c r="I8763" s="22" t="n">
        <x:v>27.42</x:v>
      </x:c>
      <x:c r="J8763" s="24" t="n">
        <x:v>3</x:v>
      </x:c>
      <x:c r="K8763" s="26" t="n">
        <x:v>0</x:v>
      </x:c>
      <x:c r="L8763" s="22" t="n">
        <x:v>9.322799999999999</x:v>
      </x:c>
      <x:c r="M8763" t="n">
        <x:v>2016</x:v>
      </x:c>
      <x:c r="N8763" s="20" t="n">
        <x:v>42552</x:v>
      </x:c>
    </x:row>
    <x:row r="8764" ht="18" customHeight="1">
      <x:c r="A8764" t="str">
        <x:v>CA-2016-114307</x:v>
      </x:c>
      <x:c r="B8764" s="18" t="n">
        <x:v>42573</x:v>
      </x:c>
      <x:c r="C8764" t="str">
        <x:v>MF-17665</x:v>
      </x:c>
      <x:c r="D8764" t="str">
        <x:v>Maureen Fritzler</x:v>
      </x:c>
      <x:c r="E8764" t="str">
        <x:v>Corporate</x:v>
      </x:c>
      <x:c r="F8764" t="str">
        <x:v>East</x:v>
      </x:c>
      <x:c r="G8764" t="str">
        <x:v>Office Supplies</x:v>
      </x:c>
      <x:c r="H8764" t="str">
        <x:v>Binders</x:v>
      </x:c>
      <x:c r="I8764" s="22" t="n">
        <x:v>5.4</x:v>
      </x:c>
      <x:c r="J8764" s="24" t="n">
        <x:v>3</x:v>
      </x:c>
      <x:c r="K8764" s="26" t="n">
        <x:v>0</x:v>
      </x:c>
      <x:c r="L8764" s="22" t="n">
        <x:v>2.592</x:v>
      </x:c>
      <x:c r="M8764" t="n">
        <x:v>2016</x:v>
      </x:c>
      <x:c r="N8764" s="20" t="n">
        <x:v>42552</x:v>
      </x:c>
    </x:row>
    <x:row r="8765" ht="18" customHeight="1">
      <x:c r="A8765" t="str">
        <x:v>CA-2016-159891</x:v>
      </x:c>
      <x:c r="B8765" s="18" t="n">
        <x:v>42400</x:v>
      </x:c>
      <x:c r="C8765" t="str">
        <x:v>BF-11170</x:v>
      </x:c>
      <x:c r="D8765" t="str">
        <x:v>Ben Ferrer</x:v>
      </x:c>
      <x:c r="E8765" t="str">
        <x:v>Home Office</x:v>
      </x:c>
      <x:c r="F8765" t="str">
        <x:v>South</x:v>
      </x:c>
      <x:c r="G8765" t="str">
        <x:v>Office Supplies</x:v>
      </x:c>
      <x:c r="H8765" t="str">
        <x:v>Binders</x:v>
      </x:c>
      <x:c r="I8765" s="22" t="n">
        <x:v>1270.99</x:v>
      </x:c>
      <x:c r="J8765" s="24" t="n">
        <x:v>1</x:v>
      </x:c>
      <x:c r="K8765" s="26" t="n">
        <x:v>0</x:v>
      </x:c>
      <x:c r="L8765" s="22" t="n">
        <x:v>635.495</x:v>
      </x:c>
      <x:c r="M8765" t="n">
        <x:v>2016</x:v>
      </x:c>
      <x:c r="N8765" s="20" t="n">
        <x:v>42370</x:v>
      </x:c>
    </x:row>
    <x:row r="8766" ht="18" customHeight="1">
      <x:c r="A8766" t="str">
        <x:v>CA-2016-159891</x:v>
      </x:c>
      <x:c r="B8766" s="18" t="n">
        <x:v>42400</x:v>
      </x:c>
      <x:c r="C8766" t="str">
        <x:v>BF-11170</x:v>
      </x:c>
      <x:c r="D8766" t="str">
        <x:v>Ben Ferrer</x:v>
      </x:c>
      <x:c r="E8766" t="str">
        <x:v>Home Office</x:v>
      </x:c>
      <x:c r="F8766" t="str">
        <x:v>South</x:v>
      </x:c>
      <x:c r="G8766" t="str">
        <x:v>Office Supplies</x:v>
      </x:c>
      <x:c r="H8766" t="str">
        <x:v>Envelopes</x:v>
      </x:c>
      <x:c r="I8766" s="22" t="n">
        <x:v>125.36</x:v>
      </x:c>
      <x:c r="J8766" s="24" t="n">
        <x:v>8</x:v>
      </x:c>
      <x:c r="K8766" s="26" t="n">
        <x:v>0</x:v>
      </x:c>
      <x:c r="L8766" s="22" t="n">
        <x:v>58.91919999999999</x:v>
      </x:c>
      <x:c r="M8766" t="n">
        <x:v>2016</x:v>
      </x:c>
      <x:c r="N8766" s="20" t="n">
        <x:v>42370</x:v>
      </x:c>
    </x:row>
    <x:row r="8767" ht="18" customHeight="1">
      <x:c r="A8767" t="str">
        <x:v>CA-2016-112578</x:v>
      </x:c>
      <x:c r="B8767" s="18" t="n">
        <x:v>42733</x:v>
      </x:c>
      <x:c r="C8767" t="str">
        <x:v>FO-14305</x:v>
      </x:c>
      <x:c r="D8767" t="str">
        <x:v>Frank Olsen</x:v>
      </x:c>
      <x:c r="E8767" t="str">
        <x:v>Consumer</x:v>
      </x:c>
      <x:c r="F8767" t="str">
        <x:v>West</x:v>
      </x:c>
      <x:c r="G8767" t="str">
        <x:v>Office Supplies</x:v>
      </x:c>
      <x:c r="H8767" t="str">
        <x:v>Storage</x:v>
      </x:c>
      <x:c r="I8767" s="22" t="n">
        <x:v>14.03</x:v>
      </x:c>
      <x:c r="J8767" s="24" t="n">
        <x:v>1</x:v>
      </x:c>
      <x:c r="K8767" s="26" t="n">
        <x:v>0</x:v>
      </x:c>
      <x:c r="L8767" s="22" t="n">
        <x:v>4.068699999999998</x:v>
      </x:c>
      <x:c r="M8767" t="n">
        <x:v>2016</x:v>
      </x:c>
      <x:c r="N8767" s="20" t="n">
        <x:v>42705</x:v>
      </x:c>
    </x:row>
    <x:row r="8768" ht="18" customHeight="1">
      <x:c r="A8768" t="str">
        <x:v>CA-2016-112578</x:v>
      </x:c>
      <x:c r="B8768" s="18" t="n">
        <x:v>42733</x:v>
      </x:c>
      <x:c r="C8768" t="str">
        <x:v>FO-14305</x:v>
      </x:c>
      <x:c r="D8768" t="str">
        <x:v>Frank Olsen</x:v>
      </x:c>
      <x:c r="E8768" t="str">
        <x:v>Consumer</x:v>
      </x:c>
      <x:c r="F8768" t="str">
        <x:v>West</x:v>
      </x:c>
      <x:c r="G8768" t="str">
        <x:v>Office Supplies</x:v>
      </x:c>
      <x:c r="H8768" t="str">
        <x:v>Supplies</x:v>
      </x:c>
      <x:c r="I8768" s="22" t="n">
        <x:v>27.96</x:v>
      </x:c>
      <x:c r="J8768" s="24" t="n">
        <x:v>2</x:v>
      </x:c>
      <x:c r="K8768" s="26" t="n">
        <x:v>0</x:v>
      </x:c>
      <x:c r="L8768" s="22" t="n">
        <x:v>7.2696000000000005</x:v>
      </x:c>
      <x:c r="M8768" t="n">
        <x:v>2016</x:v>
      </x:c>
      <x:c r="N8768" s="20" t="n">
        <x:v>42705</x:v>
      </x:c>
    </x:row>
    <x:row r="8769" ht="18" customHeight="1">
      <x:c r="A8769" t="str">
        <x:v>CA-2015-107083</x:v>
      </x:c>
      <x:c r="B8769" s="18" t="n">
        <x:v>42329</x:v>
      </x:c>
      <x:c r="C8769" t="str">
        <x:v>BB-11545</x:v>
      </x:c>
      <x:c r="D8769" t="str">
        <x:v>Brenda Bowman</x:v>
      </x:c>
      <x:c r="E8769" t="str">
        <x:v>Corporate</x:v>
      </x:c>
      <x:c r="F8769" t="str">
        <x:v>Central</x:v>
      </x:c>
      <x:c r="G8769" t="str">
        <x:v>Office Supplies</x:v>
      </x:c>
      <x:c r="H8769" t="str">
        <x:v>Art</x:v>
      </x:c>
      <x:c r="I8769" s="22" t="n">
        <x:v>5.344</x:v>
      </x:c>
      <x:c r="J8769" s="24" t="n">
        <x:v>2</x:v>
      </x:c>
      <x:c r="K8769" s="26" t="n">
        <x:v>0.2</x:v>
      </x:c>
      <x:c r="L8769" s="22" t="n">
        <x:v>0.7347999999999992</x:v>
      </x:c>
      <x:c r="M8769" t="n">
        <x:v>2015</x:v>
      </x:c>
      <x:c r="N8769" s="20" t="n">
        <x:v>42309</x:v>
      </x:c>
    </x:row>
    <x:row r="8770" ht="18" customHeight="1">
      <x:c r="A8770" t="str">
        <x:v>CA-2015-107083</x:v>
      </x:c>
      <x:c r="B8770" s="18" t="n">
        <x:v>42329</x:v>
      </x:c>
      <x:c r="C8770" t="str">
        <x:v>BB-11545</x:v>
      </x:c>
      <x:c r="D8770" t="str">
        <x:v>Brenda Bowman</x:v>
      </x:c>
      <x:c r="E8770" t="str">
        <x:v>Corporate</x:v>
      </x:c>
      <x:c r="F8770" t="str">
        <x:v>Central</x:v>
      </x:c>
      <x:c r="G8770" t="str">
        <x:v>Office Supplies</x:v>
      </x:c>
      <x:c r="H8770" t="str">
        <x:v>Binders</x:v>
      </x:c>
      <x:c r="I8770" s="22" t="n">
        <x:v>1.6959999999999997</x:v>
      </x:c>
      <x:c r="J8770" s="24" t="n">
        <x:v>2</x:v>
      </x:c>
      <x:c r="K8770" s="26" t="n">
        <x:v>0.8</x:v>
      </x:c>
      <x:c r="L8770" s="22" t="n">
        <x:v>-2.5440000000000005</x:v>
      </x:c>
      <x:c r="M8770" t="n">
        <x:v>2015</x:v>
      </x:c>
      <x:c r="N8770" s="20" t="n">
        <x:v>42309</x:v>
      </x:c>
    </x:row>
    <x:row r="8771" ht="18" customHeight="1">
      <x:c r="A8771" t="str">
        <x:v>CA-2015-107083</x:v>
      </x:c>
      <x:c r="B8771" s="18" t="n">
        <x:v>42329</x:v>
      </x:c>
      <x:c r="C8771" t="str">
        <x:v>BB-11545</x:v>
      </x:c>
      <x:c r="D8771" t="str">
        <x:v>Brenda Bowman</x:v>
      </x:c>
      <x:c r="E8771" t="str">
        <x:v>Corporate</x:v>
      </x:c>
      <x:c r="F8771" t="str">
        <x:v>Central</x:v>
      </x:c>
      <x:c r="G8771" t="str">
        <x:v>Office Supplies</x:v>
      </x:c>
      <x:c r="H8771" t="str">
        <x:v>Appliances</x:v>
      </x:c>
      <x:c r="I8771" s="22" t="n">
        <x:v>24.587999999999994</x:v>
      </x:c>
      <x:c r="J8771" s="24" t="n">
        <x:v>3</x:v>
      </x:c>
      <x:c r="K8771" s="26" t="n">
        <x:v>0.8</x:v>
      </x:c>
      <x:c r="L8771" s="22" t="n">
        <x:v>-67.61700000000002</x:v>
      </x:c>
      <x:c r="M8771" t="n">
        <x:v>2015</x:v>
      </x:c>
      <x:c r="N8771" s="20" t="n">
        <x:v>42309</x:v>
      </x:c>
    </x:row>
    <x:row r="8772" ht="18" customHeight="1">
      <x:c r="A8772" t="str">
        <x:v>CA-2015-107083</x:v>
      </x:c>
      <x:c r="B8772" s="18" t="n">
        <x:v>42329</x:v>
      </x:c>
      <x:c r="C8772" t="str">
        <x:v>BB-11545</x:v>
      </x:c>
      <x:c r="D8772" t="str">
        <x:v>Brenda Bowman</x:v>
      </x:c>
      <x:c r="E8772" t="str">
        <x:v>Corporate</x:v>
      </x:c>
      <x:c r="F8772" t="str">
        <x:v>Central</x:v>
      </x:c>
      <x:c r="G8772" t="str">
        <x:v>Office Supplies</x:v>
      </x:c>
      <x:c r="H8772" t="str">
        <x:v>Binders</x:v>
      </x:c>
      <x:c r="I8772" s="22" t="n">
        <x:v>7.979999999999999</x:v>
      </x:c>
      <x:c r="J8772" s="24" t="n">
        <x:v>5</x:v>
      </x:c>
      <x:c r="K8772" s="26" t="n">
        <x:v>0.8</x:v>
      </x:c>
      <x:c r="L8772" s="22" t="n">
        <x:v>-13.167000000000002</x:v>
      </x:c>
      <x:c r="M8772" t="n">
        <x:v>2015</x:v>
      </x:c>
      <x:c r="N8772" s="20" t="n">
        <x:v>42309</x:v>
      </x:c>
    </x:row>
    <x:row r="8773" ht="18" customHeight="1">
      <x:c r="A8773" t="str">
        <x:v>CA-2015-151722</x:v>
      </x:c>
      <x:c r="B8773" s="18" t="n">
        <x:v>42282</x:v>
      </x:c>
      <x:c r="C8773" t="str">
        <x:v>IL-15100</x:v>
      </x:c>
      <x:c r="D8773" t="str">
        <x:v>Ivan Liston</x:v>
      </x:c>
      <x:c r="E8773" t="str">
        <x:v>Consumer</x:v>
      </x:c>
      <x:c r="F8773" t="str">
        <x:v>East</x:v>
      </x:c>
      <x:c r="G8773" t="str">
        <x:v>Technology</x:v>
      </x:c>
      <x:c r="H8773" t="str">
        <x:v>Accessories</x:v>
      </x:c>
      <x:c r="I8773" s="22" t="n">
        <x:v>288</x:v>
      </x:c>
      <x:c r="J8773" s="24" t="n">
        <x:v>4</x:v>
      </x:c>
      <x:c r="K8773" s="26" t="n">
        <x:v>0.2</x:v>
      </x:c>
      <x:c r="L8773" s="22" t="n">
        <x:v>57.599999999999994</x:v>
      </x:c>
      <x:c r="M8773" t="n">
        <x:v>2015</x:v>
      </x:c>
      <x:c r="N8773" s="20" t="n">
        <x:v>42278</x:v>
      </x:c>
    </x:row>
    <x:row r="8774" ht="18" customHeight="1">
      <x:c r="A8774" t="str">
        <x:v>CA-2016-151148</x:v>
      </x:c>
      <x:c r="B8774" s="18" t="n">
        <x:v>42625</x:v>
      </x:c>
      <x:c r="C8774" t="str">
        <x:v>PO-19180</x:v>
      </x:c>
      <x:c r="D8774" t="str">
        <x:v>Philisse Overcash</x:v>
      </x:c>
      <x:c r="E8774" t="str">
        <x:v>Home Office</x:v>
      </x:c>
      <x:c r="F8774" t="str">
        <x:v>West</x:v>
      </x:c>
      <x:c r="G8774" t="str">
        <x:v>Technology</x:v>
      </x:c>
      <x:c r="H8774" t="str">
        <x:v>Phones</x:v>
      </x:c>
      <x:c r="I8774" s="22" t="n">
        <x:v>146.952</x:v>
      </x:c>
      <x:c r="J8774" s="24" t="n">
        <x:v>3</x:v>
      </x:c>
      <x:c r="K8774" s="26" t="n">
        <x:v>0.2</x:v>
      </x:c>
      <x:c r="L8774" s="22" t="n">
        <x:v>9.184499999999993</x:v>
      </x:c>
      <x:c r="M8774" t="n">
        <x:v>2016</x:v>
      </x:c>
      <x:c r="N8774" s="20" t="n">
        <x:v>42614</x:v>
      </x:c>
    </x:row>
    <x:row r="8775" ht="18" customHeight="1">
      <x:c r="A8775" t="str">
        <x:v>CA-2016-151148</x:v>
      </x:c>
      <x:c r="B8775" s="18" t="n">
        <x:v>42625</x:v>
      </x:c>
      <x:c r="C8775" t="str">
        <x:v>PO-19180</x:v>
      </x:c>
      <x:c r="D8775" t="str">
        <x:v>Philisse Overcash</x:v>
      </x:c>
      <x:c r="E8775" t="str">
        <x:v>Home Office</x:v>
      </x:c>
      <x:c r="F8775" t="str">
        <x:v>West</x:v>
      </x:c>
      <x:c r="G8775" t="str">
        <x:v>Furniture</x:v>
      </x:c>
      <x:c r="H8775" t="str">
        <x:v>Chairs</x:v>
      </x:c>
      <x:c r="I8775" s="22" t="n">
        <x:v>83.13600000000001</x:v>
      </x:c>
      <x:c r="J8775" s="24" t="n">
        <x:v>4</x:v>
      </x:c>
      <x:c r="K8775" s="26" t="n">
        <x:v>0.2</x:v>
      </x:c>
      <x:c r="L8775" s="22" t="n">
        <x:v>5.1960000000000015</x:v>
      </x:c>
      <x:c r="M8775" t="n">
        <x:v>2016</x:v>
      </x:c>
      <x:c r="N8775" s="20" t="n">
        <x:v>42614</x:v>
      </x:c>
    </x:row>
    <x:row r="8776" ht="18" customHeight="1">
      <x:c r="A8776" t="str">
        <x:v>CA-2017-115882</x:v>
      </x:c>
      <x:c r="B8776" s="18" t="n">
        <x:v>42992</x:v>
      </x:c>
      <x:c r="C8776" t="str">
        <x:v>DB-13555</x:v>
      </x:c>
      <x:c r="D8776" t="str">
        <x:v>Dorothy Badders</x:v>
      </x:c>
      <x:c r="E8776" t="str">
        <x:v>Corporate</x:v>
      </x:c>
      <x:c r="F8776" t="str">
        <x:v>South</x:v>
      </x:c>
      <x:c r="G8776" t="str">
        <x:v>Office Supplies</x:v>
      </x:c>
      <x:c r="H8776" t="str">
        <x:v>Appliances</x:v>
      </x:c>
      <x:c r="I8776" s="22" t="n">
        <x:v>942.7840000000001</x:v>
      </x:c>
      <x:c r="J8776" s="24" t="n">
        <x:v>4</x:v>
      </x:c>
      <x:c r="K8776" s="26" t="n">
        <x:v>0.2</x:v>
      </x:c>
      <x:c r="L8776" s="22" t="n">
        <x:v>94.27840000000003</x:v>
      </x:c>
      <x:c r="M8776" t="n">
        <x:v>2017</x:v>
      </x:c>
      <x:c r="N8776" s="20" t="n">
        <x:v>42979</x:v>
      </x:c>
    </x:row>
    <x:row r="8777" ht="18" customHeight="1">
      <x:c r="A8777" t="str">
        <x:v>CA-2017-115882</x:v>
      </x:c>
      <x:c r="B8777" s="18" t="n">
        <x:v>42992</x:v>
      </x:c>
      <x:c r="C8777" t="str">
        <x:v>DB-13555</x:v>
      </x:c>
      <x:c r="D8777" t="str">
        <x:v>Dorothy Badders</x:v>
      </x:c>
      <x:c r="E8777" t="str">
        <x:v>Corporate</x:v>
      </x:c>
      <x:c r="F8777" t="str">
        <x:v>South</x:v>
      </x:c>
      <x:c r="G8777" t="str">
        <x:v>Office Supplies</x:v>
      </x:c>
      <x:c r="H8777" t="str">
        <x:v>Paper</x:v>
      </x:c>
      <x:c r="I8777" s="22" t="n">
        <x:v>74.352</x:v>
      </x:c>
      <x:c r="J8777" s="24" t="n">
        <x:v>3</x:v>
      </x:c>
      <x:c r="K8777" s="26" t="n">
        <x:v>0.2</x:v>
      </x:c>
      <x:c r="L8777" s="22" t="n">
        <x:v>23.234999999999992</x:v>
      </x:c>
      <x:c r="M8777" t="n">
        <x:v>2017</x:v>
      </x:c>
      <x:c r="N8777" s="20" t="n">
        <x:v>42979</x:v>
      </x:c>
    </x:row>
    <x:row r="8778" ht="18" customHeight="1">
      <x:c r="A8778" t="str">
        <x:v>CA-2015-132276</x:v>
      </x:c>
      <x:c r="B8778" s="18" t="n">
        <x:v>42058</x:v>
      </x:c>
      <x:c r="C8778" t="str">
        <x:v>LC-16960</x:v>
      </x:c>
      <x:c r="D8778" t="str">
        <x:v>Lindsay Castell</x:v>
      </x:c>
      <x:c r="E8778" t="str">
        <x:v>Home Office</x:v>
      </x:c>
      <x:c r="F8778" t="str">
        <x:v>East</x:v>
      </x:c>
      <x:c r="G8778" t="str">
        <x:v>Office Supplies</x:v>
      </x:c>
      <x:c r="H8778" t="str">
        <x:v>Appliances</x:v>
      </x:c>
      <x:c r="I8778" s="22" t="n">
        <x:v>26.880000000000003</x:v>
      </x:c>
      <x:c r="J8778" s="24" t="n">
        <x:v>6</x:v>
      </x:c>
      <x:c r="K8778" s="26" t="n">
        <x:v>0</x:v>
      </x:c>
      <x:c r="L8778" s="22" t="n">
        <x:v>6.720000000000001</x:v>
      </x:c>
      <x:c r="M8778" t="n">
        <x:v>2015</x:v>
      </x:c>
      <x:c r="N8778" s="20" t="n">
        <x:v>42036</x:v>
      </x:c>
    </x:row>
    <x:row r="8779" ht="18" customHeight="1">
      <x:c r="A8779" t="str">
        <x:v>CA-2015-132276</x:v>
      </x:c>
      <x:c r="B8779" s="18" t="n">
        <x:v>42058</x:v>
      </x:c>
      <x:c r="C8779" t="str">
        <x:v>LC-16960</x:v>
      </x:c>
      <x:c r="D8779" t="str">
        <x:v>Lindsay Castell</x:v>
      </x:c>
      <x:c r="E8779" t="str">
        <x:v>Home Office</x:v>
      </x:c>
      <x:c r="F8779" t="str">
        <x:v>East</x:v>
      </x:c>
      <x:c r="G8779" t="str">
        <x:v>Office Supplies</x:v>
      </x:c>
      <x:c r="H8779" t="str">
        <x:v>Binders</x:v>
      </x:c>
      <x:c r="I8779" s="22" t="n">
        <x:v>10.896</x:v>
      </x:c>
      <x:c r="J8779" s="24" t="n">
        <x:v>2</x:v>
      </x:c>
      <x:c r="K8779" s="26" t="n">
        <x:v>0.2</x:v>
      </x:c>
      <x:c r="L8779" s="22" t="n">
        <x:v>3.813599999999999</x:v>
      </x:c>
      <x:c r="M8779" t="n">
        <x:v>2015</x:v>
      </x:c>
      <x:c r="N8779" s="20" t="n">
        <x:v>42036</x:v>
      </x:c>
    </x:row>
    <x:row r="8780" ht="18" customHeight="1">
      <x:c r="A8780" t="str">
        <x:v>CA-2016-163636</x:v>
      </x:c>
      <x:c r="B8780" s="18" t="n">
        <x:v>42709</x:v>
      </x:c>
      <x:c r="C8780" t="str">
        <x:v>MP-18175</x:v>
      </x:c>
      <x:c r="D8780" t="str">
        <x:v>Mike Pelletier</x:v>
      </x:c>
      <x:c r="E8780" t="str">
        <x:v>Home Office</x:v>
      </x:c>
      <x:c r="F8780" t="str">
        <x:v>Central</x:v>
      </x:c>
      <x:c r="G8780" t="str">
        <x:v>Office Supplies</x:v>
      </x:c>
      <x:c r="H8780" t="str">
        <x:v>Art</x:v>
      </x:c>
      <x:c r="I8780" s="22" t="n">
        <x:v>3.536</x:v>
      </x:c>
      <x:c r="J8780" s="24" t="n">
        <x:v>2</x:v>
      </x:c>
      <x:c r="K8780" s="26" t="n">
        <x:v>0.2</x:v>
      </x:c>
      <x:c r="L8780" s="22" t="n">
        <x:v>0.3094</x:v>
      </x:c>
      <x:c r="M8780" t="n">
        <x:v>2016</x:v>
      </x:c>
      <x:c r="N8780" s="20" t="n">
        <x:v>42705</x:v>
      </x:c>
    </x:row>
    <x:row r="8781" ht="18" customHeight="1">
      <x:c r="A8781" t="str">
        <x:v>CA-2016-102813</x:v>
      </x:c>
      <x:c r="B8781" s="18" t="n">
        <x:v>42553</x:v>
      </x:c>
      <x:c r="C8781" t="str">
        <x:v>EA-14035</x:v>
      </x:c>
      <x:c r="D8781" t="str">
        <x:v>Erin Ashbrook</x:v>
      </x:c>
      <x:c r="E8781" t="str">
        <x:v>Corporate</x:v>
      </x:c>
      <x:c r="F8781" t="str">
        <x:v>Central</x:v>
      </x:c>
      <x:c r="G8781" t="str">
        <x:v>Furniture</x:v>
      </x:c>
      <x:c r="H8781" t="str">
        <x:v>Chairs</x:v>
      </x:c>
      <x:c r="I8781" s="22" t="n">
        <x:v>528.43</x:v>
      </x:c>
      <x:c r="J8781" s="24" t="n">
        <x:v>5</x:v>
      </x:c>
      <x:c r="K8781" s="26" t="n">
        <x:v>0.3</x:v>
      </x:c>
      <x:c r="L8781" s="22" t="n">
        <x:v>0</x:v>
      </x:c>
      <x:c r="M8781" t="n">
        <x:v>2016</x:v>
      </x:c>
      <x:c r="N8781" s="20" t="n">
        <x:v>42552</x:v>
      </x:c>
    </x:row>
    <x:row r="8782" ht="18" customHeight="1">
      <x:c r="A8782" t="str">
        <x:v>CA-2016-102813</x:v>
      </x:c>
      <x:c r="B8782" s="18" t="n">
        <x:v>42553</x:v>
      </x:c>
      <x:c r="C8782" t="str">
        <x:v>EA-14035</x:v>
      </x:c>
      <x:c r="D8782" t="str">
        <x:v>Erin Ashbrook</x:v>
      </x:c>
      <x:c r="E8782" t="str">
        <x:v>Corporate</x:v>
      </x:c>
      <x:c r="F8782" t="str">
        <x:v>Central</x:v>
      </x:c>
      <x:c r="G8782" t="str">
        <x:v>Office Supplies</x:v>
      </x:c>
      <x:c r="H8782" t="str">
        <x:v>Paper</x:v>
      </x:c>
      <x:c r="I8782" s="22" t="n">
        <x:v>41.47200000000001</x:v>
      </x:c>
      <x:c r="J8782" s="24" t="n">
        <x:v>8</x:v>
      </x:c>
      <x:c r="K8782" s="26" t="n">
        <x:v>0.2</x:v>
      </x:c>
      <x:c r="L8782" s="22" t="n">
        <x:v>14.5152</x:v>
      </x:c>
      <x:c r="M8782" t="n">
        <x:v>2016</x:v>
      </x:c>
      <x:c r="N8782" s="20" t="n">
        <x:v>42552</x:v>
      </x:c>
    </x:row>
    <x:row r="8783" ht="18" customHeight="1">
      <x:c r="A8783" t="str">
        <x:v>CA-2017-135377</x:v>
      </x:c>
      <x:c r="B8783" s="18" t="n">
        <x:v>43082</x:v>
      </x:c>
      <x:c r="C8783" t="str">
        <x:v>BP-11095</x:v>
      </x:c>
      <x:c r="D8783" t="str">
        <x:v>Bart Pistole</x:v>
      </x:c>
      <x:c r="E8783" t="str">
        <x:v>Corporate</x:v>
      </x:c>
      <x:c r="F8783" t="str">
        <x:v>East</x:v>
      </x:c>
      <x:c r="G8783" t="str">
        <x:v>Furniture</x:v>
      </x:c>
      <x:c r="H8783" t="str">
        <x:v>Bookcases</x:v>
      </x:c>
      <x:c r="I8783" s="22" t="n">
        <x:v>287.976</x:v>
      </x:c>
      <x:c r="J8783" s="24" t="n">
        <x:v>3</x:v>
      </x:c>
      <x:c r="K8783" s="26" t="n">
        <x:v>0.2</x:v>
      </x:c>
      <x:c r="L8783" s="22" t="n">
        <x:v>7.199399999999969</x:v>
      </x:c>
      <x:c r="M8783" t="n">
        <x:v>2017</x:v>
      </x:c>
      <x:c r="N8783" s="20" t="n">
        <x:v>43070</x:v>
      </x:c>
    </x:row>
    <x:row r="8784" ht="18" customHeight="1">
      <x:c r="A8784" t="str">
        <x:v>CA-2015-165813</x:v>
      </x:c>
      <x:c r="B8784" s="18" t="n">
        <x:v>42083</x:v>
      </x:c>
      <x:c r="C8784" t="str">
        <x:v>BM-11785</x:v>
      </x:c>
      <x:c r="D8784" t="str">
        <x:v>Bryan Mills</x:v>
      </x:c>
      <x:c r="E8784" t="str">
        <x:v>Consumer</x:v>
      </x:c>
      <x:c r="F8784" t="str">
        <x:v>West</x:v>
      </x:c>
      <x:c r="G8784" t="str">
        <x:v>Office Supplies</x:v>
      </x:c>
      <x:c r="H8784" t="str">
        <x:v>Storage</x:v>
      </x:c>
      <x:c r="I8784" s="22" t="n">
        <x:v>29.304000000000002</x:v>
      </x:c>
      <x:c r="J8784" s="24" t="n">
        <x:v>3</x:v>
      </x:c>
      <x:c r="K8784" s="26" t="n">
        <x:v>0.2</x:v>
      </x:c>
      <x:c r="L8784" s="22" t="n">
        <x:v>2.5641000000000034</x:v>
      </x:c>
      <x:c r="M8784" t="n">
        <x:v>2015</x:v>
      </x:c>
      <x:c r="N8784" s="20" t="n">
        <x:v>42064</x:v>
      </x:c>
    </x:row>
    <x:row r="8785" ht="18" customHeight="1">
      <x:c r="A8785" t="str">
        <x:v>CA-2015-133585</x:v>
      </x:c>
      <x:c r="B8785" s="18" t="n">
        <x:v>42064</x:v>
      </x:c>
      <x:c r="C8785" t="str">
        <x:v>CM-12715</x:v>
      </x:c>
      <x:c r="D8785" t="str">
        <x:v>Craig Molinari</x:v>
      </x:c>
      <x:c r="E8785" t="str">
        <x:v>Corporate</x:v>
      </x:c>
      <x:c r="F8785" t="str">
        <x:v>Central</x:v>
      </x:c>
      <x:c r="G8785" t="str">
        <x:v>Office Supplies</x:v>
      </x:c>
      <x:c r="H8785" t="str">
        <x:v>Art</x:v>
      </x:c>
      <x:c r="I8785" s="22" t="n">
        <x:v>55.328</x:v>
      </x:c>
      <x:c r="J8785" s="24" t="n">
        <x:v>2</x:v>
      </x:c>
      <x:c r="K8785" s="26" t="n">
        <x:v>0.2</x:v>
      </x:c>
      <x:c r="L8785" s="22" t="n">
        <x:v>6.224399999999996</x:v>
      </x:c>
      <x:c r="M8785" t="n">
        <x:v>2015</x:v>
      </x:c>
      <x:c r="N8785" s="20" t="n">
        <x:v>42064</x:v>
      </x:c>
    </x:row>
    <x:row r="8786" ht="18" customHeight="1">
      <x:c r="A8786" t="str">
        <x:v>CA-2015-133585</x:v>
      </x:c>
      <x:c r="B8786" s="18" t="n">
        <x:v>42064</x:v>
      </x:c>
      <x:c r="C8786" t="str">
        <x:v>CM-12715</x:v>
      </x:c>
      <x:c r="D8786" t="str">
        <x:v>Craig Molinari</x:v>
      </x:c>
      <x:c r="E8786" t="str">
        <x:v>Corporate</x:v>
      </x:c>
      <x:c r="F8786" t="str">
        <x:v>Central</x:v>
      </x:c>
      <x:c r="G8786" t="str">
        <x:v>Furniture</x:v>
      </x:c>
      <x:c r="H8786" t="str">
        <x:v>Bookcases</x:v>
      </x:c>
      <x:c r="I8786" s="22" t="n">
        <x:v>1227.9984</x:v>
      </x:c>
      <x:c r="J8786" s="24" t="n">
        <x:v>6</x:v>
      </x:c>
      <x:c r="K8786" s="26" t="n">
        <x:v>0.32</x:v>
      </x:c>
      <x:c r="L8786" s="22" t="n">
        <x:v>-36.11760000000015</x:v>
      </x:c>
      <x:c r="M8786" t="n">
        <x:v>2015</x:v>
      </x:c>
      <x:c r="N8786" s="20" t="n">
        <x:v>42064</x:v>
      </x:c>
    </x:row>
    <x:row r="8787" ht="18" customHeight="1">
      <x:c r="A8787" t="str">
        <x:v>CA-2016-116911</x:v>
      </x:c>
      <x:c r="B8787" s="18" t="n">
        <x:v>42628</x:v>
      </x:c>
      <x:c r="C8787" t="str">
        <x:v>JD-16150</x:v>
      </x:c>
      <x:c r="D8787" t="str">
        <x:v>Justin Deggeller</x:v>
      </x:c>
      <x:c r="E8787" t="str">
        <x:v>Corporate</x:v>
      </x:c>
      <x:c r="F8787" t="str">
        <x:v>West</x:v>
      </x:c>
      <x:c r="G8787" t="str">
        <x:v>Office Supplies</x:v>
      </x:c>
      <x:c r="H8787" t="str">
        <x:v>Binders</x:v>
      </x:c>
      <x:c r="I8787" s="22" t="n">
        <x:v>20.416</x:v>
      </x:c>
      <x:c r="J8787" s="24" t="n">
        <x:v>4</x:v>
      </x:c>
      <x:c r="K8787" s="26" t="n">
        <x:v>0.2</x:v>
      </x:c>
      <x:c r="L8787" s="22" t="n">
        <x:v>6.635199999999998</x:v>
      </x:c>
      <x:c r="M8787" t="n">
        <x:v>2016</x:v>
      </x:c>
      <x:c r="N8787" s="20" t="n">
        <x:v>42614</x:v>
      </x:c>
    </x:row>
    <x:row r="8788" ht="18" customHeight="1">
      <x:c r="A8788" t="str">
        <x:v>CA-2016-116911</x:v>
      </x:c>
      <x:c r="B8788" s="18" t="n">
        <x:v>42628</x:v>
      </x:c>
      <x:c r="C8788" t="str">
        <x:v>JD-16150</x:v>
      </x:c>
      <x:c r="D8788" t="str">
        <x:v>Justin Deggeller</x:v>
      </x:c>
      <x:c r="E8788" t="str">
        <x:v>Corporate</x:v>
      </x:c>
      <x:c r="F8788" t="str">
        <x:v>West</x:v>
      </x:c>
      <x:c r="G8788" t="str">
        <x:v>Furniture</x:v>
      </x:c>
      <x:c r="H8788" t="str">
        <x:v>Tables</x:v>
      </x:c>
      <x:c r="I8788" s="22" t="n">
        <x:v>1128.3899999999999</x:v>
      </x:c>
      <x:c r="J8788" s="24" t="n">
        <x:v>3</x:v>
      </x:c>
      <x:c r="K8788" s="26" t="n">
        <x:v>0</x:v>
      </x:c>
      <x:c r="L8788" s="22" t="n">
        <x:v>259.52970000000005</x:v>
      </x:c>
      <x:c r="M8788" t="n">
        <x:v>2016</x:v>
      </x:c>
      <x:c r="N8788" s="20" t="n">
        <x:v>42614</x:v>
      </x:c>
    </x:row>
    <x:row r="8789" ht="18" customHeight="1">
      <x:c r="A8789" t="str">
        <x:v>US-2017-129224</x:v>
      </x:c>
      <x:c r="B8789" s="18" t="n">
        <x:v>42811</x:v>
      </x:c>
      <x:c r="C8789" t="str">
        <x:v>AS-10630</x:v>
      </x:c>
      <x:c r="D8789" t="str">
        <x:v>Ann Steele</x:v>
      </x:c>
      <x:c r="E8789" t="str">
        <x:v>Home Office</x:v>
      </x:c>
      <x:c r="F8789" t="str">
        <x:v>South</x:v>
      </x:c>
      <x:c r="G8789" t="str">
        <x:v>Office Supplies</x:v>
      </x:c>
      <x:c r="H8789" t="str">
        <x:v>Labels</x:v>
      </x:c>
      <x:c r="I8789" s="22" t="n">
        <x:v>4.608</x:v>
      </x:c>
      <x:c r="J8789" s="24" t="n">
        <x:v>2</x:v>
      </x:c>
      <x:c r="K8789" s="26" t="n">
        <x:v>0.2</x:v>
      </x:c>
      <x:c r="L8789" s="22" t="n">
        <x:v>1.6704</x:v>
      </x:c>
      <x:c r="M8789" t="n">
        <x:v>2017</x:v>
      </x:c>
      <x:c r="N8789" s="20" t="n">
        <x:v>42795</x:v>
      </x:c>
    </x:row>
    <x:row r="8790" ht="18" customHeight="1">
      <x:c r="A8790" t="str">
        <x:v>CA-2017-145765</x:v>
      </x:c>
      <x:c r="B8790" s="18" t="n">
        <x:v>42883</x:v>
      </x:c>
      <x:c r="C8790" t="str">
        <x:v>CM-11815</x:v>
      </x:c>
      <x:c r="D8790" t="str">
        <x:v>Candace McMahon</x:v>
      </x:c>
      <x:c r="E8790" t="str">
        <x:v>Corporate</x:v>
      </x:c>
      <x:c r="F8790" t="str">
        <x:v>West</x:v>
      </x:c>
      <x:c r="G8790" t="str">
        <x:v>Technology</x:v>
      </x:c>
      <x:c r="H8790" t="str">
        <x:v>Phones</x:v>
      </x:c>
      <x:c r="I8790" s="22" t="n">
        <x:v>195.96000000000004</x:v>
      </x:c>
      <x:c r="J8790" s="24" t="n">
        <x:v>5</x:v>
      </x:c>
      <x:c r="K8790" s="26" t="n">
        <x:v>0.2</x:v>
      </x:c>
      <x:c r="L8790" s="22" t="n">
        <x:v>19.596000000000018</x:v>
      </x:c>
      <x:c r="M8790" t="n">
        <x:v>2017</x:v>
      </x:c>
      <x:c r="N8790" s="20" t="n">
        <x:v>42856</x:v>
      </x:c>
    </x:row>
    <x:row r="8791" ht="18" customHeight="1">
      <x:c r="A8791" t="str">
        <x:v>CA-2017-145765</x:v>
      </x:c>
      <x:c r="B8791" s="18" t="n">
        <x:v>42883</x:v>
      </x:c>
      <x:c r="C8791" t="str">
        <x:v>CM-11815</x:v>
      </x:c>
      <x:c r="D8791" t="str">
        <x:v>Candace McMahon</x:v>
      </x:c>
      <x:c r="E8791" t="str">
        <x:v>Corporate</x:v>
      </x:c>
      <x:c r="F8791" t="str">
        <x:v>West</x:v>
      </x:c>
      <x:c r="G8791" t="str">
        <x:v>Office Supplies</x:v>
      </x:c>
      <x:c r="H8791" t="str">
        <x:v>Paper</x:v>
      </x:c>
      <x:c r="I8791" s="22" t="n">
        <x:v>15.552000000000003</x:v>
      </x:c>
      <x:c r="J8791" s="24" t="n">
        <x:v>3</x:v>
      </x:c>
      <x:c r="K8791" s="26" t="n">
        <x:v>0.2</x:v>
      </x:c>
      <x:c r="L8791" s="22" t="n">
        <x:v>5.4432</x:v>
      </x:c>
      <x:c r="M8791" t="n">
        <x:v>2017</x:v>
      </x:c>
      <x:c r="N8791" s="20" t="n">
        <x:v>42856</x:v>
      </x:c>
    </x:row>
    <x:row r="8792" ht="18" customHeight="1">
      <x:c r="A8792" t="str">
        <x:v>CA-2017-145765</x:v>
      </x:c>
      <x:c r="B8792" s="18" t="n">
        <x:v>42883</x:v>
      </x:c>
      <x:c r="C8792" t="str">
        <x:v>CM-11815</x:v>
      </x:c>
      <x:c r="D8792" t="str">
        <x:v>Candace McMahon</x:v>
      </x:c>
      <x:c r="E8792" t="str">
        <x:v>Corporate</x:v>
      </x:c>
      <x:c r="F8792" t="str">
        <x:v>West</x:v>
      </x:c>
      <x:c r="G8792" t="str">
        <x:v>Technology</x:v>
      </x:c>
      <x:c r="H8792" t="str">
        <x:v>Accessories</x:v>
      </x:c>
      <x:c r="I8792" s="22" t="n">
        <x:v>271.968</x:v>
      </x:c>
      <x:c r="J8792" s="24" t="n">
        <x:v>4</x:v>
      </x:c>
      <x:c r="K8792" s="26" t="n">
        <x:v>0.2</x:v>
      </x:c>
      <x:c r="L8792" s="22" t="n">
        <x:v>54.39359999999998</x:v>
      </x:c>
      <x:c r="M8792" t="n">
        <x:v>2017</x:v>
      </x:c>
      <x:c r="N8792" s="20" t="n">
        <x:v>42856</x:v>
      </x:c>
    </x:row>
    <x:row r="8793" ht="18" customHeight="1">
      <x:c r="A8793" t="str">
        <x:v>CA-2017-126914</x:v>
      </x:c>
      <x:c r="B8793" s="18" t="n">
        <x:v>42901</x:v>
      </x:c>
      <x:c r="C8793" t="str">
        <x:v>JE-15715</x:v>
      </x:c>
      <x:c r="D8793" t="str">
        <x:v>Joe Elijah</x:v>
      </x:c>
      <x:c r="E8793" t="str">
        <x:v>Consumer</x:v>
      </x:c>
      <x:c r="F8793" t="str">
        <x:v>South</x:v>
      </x:c>
      <x:c r="G8793" t="str">
        <x:v>Furniture</x:v>
      </x:c>
      <x:c r="H8793" t="str">
        <x:v>Chairs</x:v>
      </x:c>
      <x:c r="I8793" s="22" t="n">
        <x:v>698.3520000000001</x:v>
      </x:c>
      <x:c r="J8793" s="24" t="n">
        <x:v>3</x:v>
      </x:c>
      <x:c r="K8793" s="26" t="n">
        <x:v>0.2</x:v>
      </x:c>
      <x:c r="L8793" s="22" t="n">
        <x:v>52.37639999999996</x:v>
      </x:c>
      <x:c r="M8793" t="n">
        <x:v>2017</x:v>
      </x:c>
      <x:c r="N8793" s="20" t="n">
        <x:v>42887</x:v>
      </x:c>
    </x:row>
    <x:row r="8794" ht="18" customHeight="1">
      <x:c r="A8794" t="str">
        <x:v>CA-2017-126914</x:v>
      </x:c>
      <x:c r="B8794" s="18" t="n">
        <x:v>42901</x:v>
      </x:c>
      <x:c r="C8794" t="str">
        <x:v>JE-15715</x:v>
      </x:c>
      <x:c r="D8794" t="str">
        <x:v>Joe Elijah</x:v>
      </x:c>
      <x:c r="E8794" t="str">
        <x:v>Consumer</x:v>
      </x:c>
      <x:c r="F8794" t="str">
        <x:v>South</x:v>
      </x:c>
      <x:c r="G8794" t="str">
        <x:v>Furniture</x:v>
      </x:c>
      <x:c r="H8794" t="str">
        <x:v>Bookcases</x:v>
      </x:c>
      <x:c r="I8794" s="22" t="n">
        <x:v>77.72800000000001</x:v>
      </x:c>
      <x:c r="J8794" s="24" t="n">
        <x:v>2</x:v>
      </x:c>
      <x:c r="K8794" s="26" t="n">
        <x:v>0.2</x:v>
      </x:c>
      <x:c r="L8794" s="22" t="n">
        <x:v>-3.8863999999999947</x:v>
      </x:c>
      <x:c r="M8794" t="n">
        <x:v>2017</x:v>
      </x:c>
      <x:c r="N8794" s="20" t="n">
        <x:v>42887</x:v>
      </x:c>
    </x:row>
    <x:row r="8795" ht="18" customHeight="1">
      <x:c r="A8795" t="str">
        <x:v>CA-2015-169572</x:v>
      </x:c>
      <x:c r="B8795" s="18" t="n">
        <x:v>42253</x:v>
      </x:c>
      <x:c r="C8795" t="str">
        <x:v>AG-10525</x:v>
      </x:c>
      <x:c r="D8795" t="str">
        <x:v>Andy Gerbode</x:v>
      </x:c>
      <x:c r="E8795" t="str">
        <x:v>Corporate</x:v>
      </x:c>
      <x:c r="F8795" t="str">
        <x:v>South</x:v>
      </x:c>
      <x:c r="G8795" t="str">
        <x:v>Office Supplies</x:v>
      </x:c>
      <x:c r="H8795" t="str">
        <x:v>Binders</x:v>
      </x:c>
      <x:c r="I8795" s="22" t="n">
        <x:v>46.62</x:v>
      </x:c>
      <x:c r="J8795" s="24" t="n">
        <x:v>9</x:v>
      </x:c>
      <x:c r="K8795" s="26" t="n">
        <x:v>0</x:v>
      </x:c>
      <x:c r="L8795" s="22" t="n">
        <x:v>21.445199999999996</x:v>
      </x:c>
      <x:c r="M8795" t="n">
        <x:v>2015</x:v>
      </x:c>
      <x:c r="N8795" s="20" t="n">
        <x:v>42248</x:v>
      </x:c>
    </x:row>
    <x:row r="8796" ht="18" customHeight="1">
      <x:c r="A8796" t="str">
        <x:v>CA-2017-162075</x:v>
      </x:c>
      <x:c r="B8796" s="18" t="n">
        <x:v>42812</x:v>
      </x:c>
      <x:c r="C8796" t="str">
        <x:v>TT-21220</x:v>
      </x:c>
      <x:c r="D8796" t="str">
        <x:v>Thomas Thornton</x:v>
      </x:c>
      <x:c r="E8796" t="str">
        <x:v>Consumer</x:v>
      </x:c>
      <x:c r="F8796" t="str">
        <x:v>Central</x:v>
      </x:c>
      <x:c r="G8796" t="str">
        <x:v>Technology</x:v>
      </x:c>
      <x:c r="H8796" t="str">
        <x:v>Phones</x:v>
      </x:c>
      <x:c r="I8796" s="22" t="n">
        <x:v>537.544</x:v>
      </x:c>
      <x:c r="J8796" s="24" t="n">
        <x:v>7</x:v>
      </x:c>
      <x:c r="K8796" s="26" t="n">
        <x:v>0.2</x:v>
      </x:c>
      <x:c r="L8796" s="22" t="n">
        <x:v>47.03509999999997</x:v>
      </x:c>
      <x:c r="M8796" t="n">
        <x:v>2017</x:v>
      </x:c>
      <x:c r="N8796" s="20" t="n">
        <x:v>42795</x:v>
      </x:c>
    </x:row>
    <x:row r="8797" ht="18" customHeight="1">
      <x:c r="A8797" t="str">
        <x:v>CA-2014-162992</x:v>
      </x:c>
      <x:c r="B8797" s="18" t="n">
        <x:v>41992</x:v>
      </x:c>
      <x:c r="C8797" t="str">
        <x:v>BP-11095</x:v>
      </x:c>
      <x:c r="D8797" t="str">
        <x:v>Bart Pistole</x:v>
      </x:c>
      <x:c r="E8797" t="str">
        <x:v>Corporate</x:v>
      </x:c>
      <x:c r="F8797" t="str">
        <x:v>West</x:v>
      </x:c>
      <x:c r="G8797" t="str">
        <x:v>Office Supplies</x:v>
      </x:c>
      <x:c r="H8797" t="str">
        <x:v>Labels</x:v>
      </x:c>
      <x:c r="I8797" s="22" t="n">
        <x:v>14.62</x:v>
      </x:c>
      <x:c r="J8797" s="24" t="n">
        <x:v>2</x:v>
      </x:c>
      <x:c r="K8797" s="26" t="n">
        <x:v>0</x:v>
      </x:c>
      <x:c r="L8797" s="22" t="n">
        <x:v>6.8713999999999995</x:v>
      </x:c>
      <x:c r="M8797" t="n">
        <x:v>2014</x:v>
      </x:c>
      <x:c r="N8797" s="20" t="n">
        <x:v>41974</x:v>
      </x:c>
    </x:row>
    <x:row r="8798" ht="18" customHeight="1">
      <x:c r="A8798" t="str">
        <x:v>CA-2014-162992</x:v>
      </x:c>
      <x:c r="B8798" s="18" t="n">
        <x:v>41992</x:v>
      </x:c>
      <x:c r="C8798" t="str">
        <x:v>BP-11095</x:v>
      </x:c>
      <x:c r="D8798" t="str">
        <x:v>Bart Pistole</x:v>
      </x:c>
      <x:c r="E8798" t="str">
        <x:v>Corporate</x:v>
      </x:c>
      <x:c r="F8798" t="str">
        <x:v>West</x:v>
      </x:c>
      <x:c r="G8798" t="str">
        <x:v>Office Supplies</x:v>
      </x:c>
      <x:c r="H8798" t="str">
        <x:v>Fasteners</x:v>
      </x:c>
      <x:c r="I8798" s="22" t="n">
        <x:v>22.549999999999997</x:v>
      </x:c>
      <x:c r="J8798" s="24" t="n">
        <x:v>5</x:v>
      </x:c>
      <x:c r="K8798" s="26" t="n">
        <x:v>0</x:v>
      </x:c>
      <x:c r="L8798" s="22" t="n">
        <x:v>8.794500000000001</x:v>
      </x:c>
      <x:c r="M8798" t="n">
        <x:v>2014</x:v>
      </x:c>
      <x:c r="N8798" s="20" t="n">
        <x:v>41974</x:v>
      </x:c>
    </x:row>
    <x:row r="8799" ht="18" customHeight="1">
      <x:c r="A8799" t="str">
        <x:v>CA-2014-162992</x:v>
      </x:c>
      <x:c r="B8799" s="18" t="n">
        <x:v>41992</x:v>
      </x:c>
      <x:c r="C8799" t="str">
        <x:v>BP-11095</x:v>
      </x:c>
      <x:c r="D8799" t="str">
        <x:v>Bart Pistole</x:v>
      </x:c>
      <x:c r="E8799" t="str">
        <x:v>Corporate</x:v>
      </x:c>
      <x:c r="F8799" t="str">
        <x:v>West</x:v>
      </x:c>
      <x:c r="G8799" t="str">
        <x:v>Technology</x:v>
      </x:c>
      <x:c r="H8799" t="str">
        <x:v>Phones</x:v>
      </x:c>
      <x:c r="I8799" s="22" t="n">
        <x:v>583.8</x:v>
      </x:c>
      <x:c r="J8799" s="24" t="n">
        <x:v>5</x:v>
      </x:c>
      <x:c r="K8799" s="26" t="n">
        <x:v>0.2</x:v>
      </x:c>
      <x:c r="L8799" s="22" t="n">
        <x:v>72.97499999999991</x:v>
      </x:c>
      <x:c r="M8799" t="n">
        <x:v>2014</x:v>
      </x:c>
      <x:c r="N8799" s="20" t="n">
        <x:v>41974</x:v>
      </x:c>
    </x:row>
    <x:row r="8800" ht="18" customHeight="1">
      <x:c r="A8800" t="str">
        <x:v>CA-2014-162992</x:v>
      </x:c>
      <x:c r="B8800" s="18" t="n">
        <x:v>41992</x:v>
      </x:c>
      <x:c r="C8800" t="str">
        <x:v>BP-11095</x:v>
      </x:c>
      <x:c r="D8800" t="str">
        <x:v>Bart Pistole</x:v>
      </x:c>
      <x:c r="E8800" t="str">
        <x:v>Corporate</x:v>
      </x:c>
      <x:c r="F8800" t="str">
        <x:v>West</x:v>
      </x:c>
      <x:c r="G8800" t="str">
        <x:v>Technology</x:v>
      </x:c>
      <x:c r="H8800" t="str">
        <x:v>Phones</x:v>
      </x:c>
      <x:c r="I8800" s="22" t="n">
        <x:v>211.168</x:v>
      </x:c>
      <x:c r="J8800" s="24" t="n">
        <x:v>4</x:v>
      </x:c>
      <x:c r="K8800" s="26" t="n">
        <x:v>0.2</x:v>
      </x:c>
      <x:c r="L8800" s="22" t="n">
        <x:v>15.837600000000009</x:v>
      </x:c>
      <x:c r="M8800" t="n">
        <x:v>2014</x:v>
      </x:c>
      <x:c r="N8800" s="20" t="n">
        <x:v>41974</x:v>
      </x:c>
    </x:row>
    <x:row r="8801" ht="18" customHeight="1">
      <x:c r="A8801" t="str">
        <x:v>CA-2016-106397</x:v>
      </x:c>
      <x:c r="B8801" s="18" t="n">
        <x:v>42558</x:v>
      </x:c>
      <x:c r="C8801" t="str">
        <x:v>MJ-17740</x:v>
      </x:c>
      <x:c r="D8801" t="str">
        <x:v>Max Jones</x:v>
      </x:c>
      <x:c r="E8801" t="str">
        <x:v>Consumer</x:v>
      </x:c>
      <x:c r="F8801" t="str">
        <x:v>West</x:v>
      </x:c>
      <x:c r="G8801" t="str">
        <x:v>Office Supplies</x:v>
      </x:c>
      <x:c r="H8801" t="str">
        <x:v>Paper</x:v>
      </x:c>
      <x:c r="I8801" s="22" t="n">
        <x:v>12.96</x:v>
      </x:c>
      <x:c r="J8801" s="24" t="n">
        <x:v>2</x:v>
      </x:c>
      <x:c r="K8801" s="26" t="n">
        <x:v>0</x:v>
      </x:c>
      <x:c r="L8801" s="22" t="n">
        <x:v>6.2208000000000006</x:v>
      </x:c>
      <x:c r="M8801" t="n">
        <x:v>2016</x:v>
      </x:c>
      <x:c r="N8801" s="20" t="n">
        <x:v>42552</x:v>
      </x:c>
    </x:row>
    <x:row r="8802" ht="18" customHeight="1">
      <x:c r="A8802" t="str">
        <x:v>CA-2016-106397</x:v>
      </x:c>
      <x:c r="B8802" s="18" t="n">
        <x:v>42558</x:v>
      </x:c>
      <x:c r="C8802" t="str">
        <x:v>MJ-17740</x:v>
      </x:c>
      <x:c r="D8802" t="str">
        <x:v>Max Jones</x:v>
      </x:c>
      <x:c r="E8802" t="str">
        <x:v>Consumer</x:v>
      </x:c>
      <x:c r="F8802" t="str">
        <x:v>West</x:v>
      </x:c>
      <x:c r="G8802" t="str">
        <x:v>Office Supplies</x:v>
      </x:c>
      <x:c r="H8802" t="str">
        <x:v>Art</x:v>
      </x:c>
      <x:c r="I8802" s="22" t="n">
        <x:v>45.98</x:v>
      </x:c>
      <x:c r="J8802" s="24" t="n">
        <x:v>2</x:v>
      </x:c>
      <x:c r="K8802" s="26" t="n">
        <x:v>0</x:v>
      </x:c>
      <x:c r="L8802" s="22" t="n">
        <x:v>12.874400000000001</x:v>
      </x:c>
      <x:c r="M8802" t="n">
        <x:v>2016</x:v>
      </x:c>
      <x:c r="N8802" s="20" t="n">
        <x:v>42552</x:v>
      </x:c>
    </x:row>
    <x:row r="8803" ht="18" customHeight="1">
      <x:c r="A8803" t="str">
        <x:v>US-2016-150140</x:v>
      </x:c>
      <x:c r="B8803" s="18" t="n">
        <x:v>42466</x:v>
      </x:c>
      <x:c r="C8803" t="str">
        <x:v>VM-21685</x:v>
      </x:c>
      <x:c r="D8803" t="str">
        <x:v>Valerie Mitchum</x:v>
      </x:c>
      <x:c r="E8803" t="str">
        <x:v>Home Office</x:v>
      </x:c>
      <x:c r="F8803" t="str">
        <x:v>East</x:v>
      </x:c>
      <x:c r="G8803" t="str">
        <x:v>Technology</x:v>
      </x:c>
      <x:c r="H8803" t="str">
        <x:v>Phones</x:v>
      </x:c>
      <x:c r="I8803" s="22" t="n">
        <x:v>1294.75</x:v>
      </x:c>
      <x:c r="J8803" s="24" t="n">
        <x:v>5</x:v>
      </x:c>
      <x:c r="K8803" s="26" t="n">
        <x:v>0</x:v>
      </x:c>
      <x:c r="L8803" s="22" t="n">
        <x:v>336.635</x:v>
      </x:c>
      <x:c r="M8803" t="n">
        <x:v>2016</x:v>
      </x:c>
      <x:c r="N8803" s="20" t="n">
        <x:v>42461</x:v>
      </x:c>
    </x:row>
    <x:row r="8804" ht="18" customHeight="1">
      <x:c r="A8804" t="str">
        <x:v>CA-2014-116666</x:v>
      </x:c>
      <x:c r="B8804" s="18" t="n">
        <x:v>41767</x:v>
      </x:c>
      <x:c r="C8804" t="str">
        <x:v>KT-16480</x:v>
      </x:c>
      <x:c r="D8804" t="str">
        <x:v>Kean Thornton</x:v>
      </x:c>
      <x:c r="E8804" t="str">
        <x:v>Consumer</x:v>
      </x:c>
      <x:c r="F8804" t="str">
        <x:v>East</x:v>
      </x:c>
      <x:c r="G8804" t="str">
        <x:v>Technology</x:v>
      </x:c>
      <x:c r="H8804" t="str">
        <x:v>Copiers</x:v>
      </x:c>
      <x:c r="I8804" s="22" t="n">
        <x:v>1799.9699999999998</x:v>
      </x:c>
      <x:c r="J8804" s="24" t="n">
        <x:v>5</x:v>
      </x:c>
      <x:c r="K8804" s="26" t="n">
        <x:v>0.4</x:v>
      </x:c>
      <x:c r="L8804" s="22" t="n">
        <x:v>239.9960000000001</x:v>
      </x:c>
      <x:c r="M8804" t="n">
        <x:v>2014</x:v>
      </x:c>
      <x:c r="N8804" s="20" t="n">
        <x:v>41760</x:v>
      </x:c>
    </x:row>
    <x:row r="8805" ht="18" customHeight="1">
      <x:c r="A8805" t="str">
        <x:v>CA-2017-148992</x:v>
      </x:c>
      <x:c r="B8805" s="18" t="n">
        <x:v>43062</x:v>
      </x:c>
      <x:c r="C8805" t="str">
        <x:v>CS-12250</x:v>
      </x:c>
      <x:c r="D8805" t="str">
        <x:v>Chris Selesnick</x:v>
      </x:c>
      <x:c r="E8805" t="str">
        <x:v>Corporate</x:v>
      </x:c>
      <x:c r="F8805" t="str">
        <x:v>Central</x:v>
      </x:c>
      <x:c r="G8805" t="str">
        <x:v>Office Supplies</x:v>
      </x:c>
      <x:c r="H8805" t="str">
        <x:v>Paper</x:v>
      </x:c>
      <x:c r="I8805" s="22" t="n">
        <x:v>10.688</x:v>
      </x:c>
      <x:c r="J8805" s="24" t="n">
        <x:v>2</x:v>
      </x:c>
      <x:c r="K8805" s="26" t="n">
        <x:v>0.2</x:v>
      </x:c>
      <x:c r="L8805" s="22" t="n">
        <x:v>3.7407999999999997</x:v>
      </x:c>
      <x:c r="M8805" t="n">
        <x:v>2017</x:v>
      </x:c>
      <x:c r="N8805" s="20" t="n">
        <x:v>43040</x:v>
      </x:c>
    </x:row>
    <x:row r="8806" ht="18" customHeight="1">
      <x:c r="A8806" t="str">
        <x:v>CA-2016-140935</x:v>
      </x:c>
      <x:c r="B8806" s="18" t="n">
        <x:v>42684</x:v>
      </x:c>
      <x:c r="C8806" t="str">
        <x:v>AB-10015</x:v>
      </x:c>
      <x:c r="D8806" t="str">
        <x:v>Aaron Bergman</x:v>
      </x:c>
      <x:c r="E8806" t="str">
        <x:v>Consumer</x:v>
      </x:c>
      <x:c r="F8806" t="str">
        <x:v>Central</x:v>
      </x:c>
      <x:c r="G8806" t="str">
        <x:v>Technology</x:v>
      </x:c>
      <x:c r="H8806" t="str">
        <x:v>Phones</x:v>
      </x:c>
      <x:c r="I8806" s="22" t="n">
        <x:v>221.98</x:v>
      </x:c>
      <x:c r="J8806" s="24" t="n">
        <x:v>2</x:v>
      </x:c>
      <x:c r="K8806" s="26" t="n">
        <x:v>0</x:v>
      </x:c>
      <x:c r="L8806" s="22" t="n">
        <x:v>62.15440000000001</x:v>
      </x:c>
      <x:c r="M8806" t="n">
        <x:v>2016</x:v>
      </x:c>
      <x:c r="N8806" s="20" t="n">
        <x:v>42675</x:v>
      </x:c>
    </x:row>
    <x:row r="8807" ht="18" customHeight="1">
      <x:c r="A8807" t="str">
        <x:v>CA-2016-140935</x:v>
      </x:c>
      <x:c r="B8807" s="18" t="n">
        <x:v>42684</x:v>
      </x:c>
      <x:c r="C8807" t="str">
        <x:v>AB-10015</x:v>
      </x:c>
      <x:c r="D8807" t="str">
        <x:v>Aaron Bergman</x:v>
      </x:c>
      <x:c r="E8807" t="str">
        <x:v>Consumer</x:v>
      </x:c>
      <x:c r="F8807" t="str">
        <x:v>Central</x:v>
      </x:c>
      <x:c r="G8807" t="str">
        <x:v>Furniture</x:v>
      </x:c>
      <x:c r="H8807" t="str">
        <x:v>Bookcases</x:v>
      </x:c>
      <x:c r="I8807" s="22" t="n">
        <x:v>341.96</x:v>
      </x:c>
      <x:c r="J8807" s="24" t="n">
        <x:v>2</x:v>
      </x:c>
      <x:c r="K8807" s="26" t="n">
        <x:v>0</x:v>
      </x:c>
      <x:c r="L8807" s="22" t="n">
        <x:v>54.713599999999985</x:v>
      </x:c>
      <x:c r="M8807" t="n">
        <x:v>2016</x:v>
      </x:c>
      <x:c r="N8807" s="20" t="n">
        <x:v>42675</x:v>
      </x:c>
    </x:row>
    <x:row r="8808" ht="18" customHeight="1">
      <x:c r="A8808" t="str">
        <x:v>CA-2014-157644</x:v>
      </x:c>
      <x:c r="B8808" s="18" t="n">
        <x:v>42004</x:v>
      </x:c>
      <x:c r="C8808" t="str">
        <x:v>AH-10030</x:v>
      </x:c>
      <x:c r="D8808" t="str">
        <x:v>Aaron Hawkins</x:v>
      </x:c>
      <x:c r="E8808" t="str">
        <x:v>Corporate</x:v>
      </x:c>
      <x:c r="F8808" t="str">
        <x:v>East</x:v>
      </x:c>
      <x:c r="G8808" t="str">
        <x:v>Technology</x:v>
      </x:c>
      <x:c r="H8808" t="str">
        <x:v>Accessories</x:v>
      </x:c>
      <x:c r="I8808" s="22" t="n">
        <x:v>34.769999999999996</x:v>
      </x:c>
      <x:c r="J8808" s="24" t="n">
        <x:v>3</x:v>
      </x:c>
      <x:c r="K8808" s="26" t="n">
        <x:v>0</x:v>
      </x:c>
      <x:c r="L8808" s="22" t="n">
        <x:v>11.474099999999996</x:v>
      </x:c>
      <x:c r="M8808" t="n">
        <x:v>2014</x:v>
      </x:c>
      <x:c r="N8808" s="20" t="n">
        <x:v>41974</x:v>
      </x:c>
    </x:row>
    <x:row r="8809" ht="18" customHeight="1">
      <x:c r="A8809" t="str">
        <x:v>CA-2014-157644</x:v>
      </x:c>
      <x:c r="B8809" s="18" t="n">
        <x:v>42004</x:v>
      </x:c>
      <x:c r="C8809" t="str">
        <x:v>AH-10030</x:v>
      </x:c>
      <x:c r="D8809" t="str">
        <x:v>Aaron Hawkins</x:v>
      </x:c>
      <x:c r="E8809" t="str">
        <x:v>Corporate</x:v>
      </x:c>
      <x:c r="F8809" t="str">
        <x:v>East</x:v>
      </x:c>
      <x:c r="G8809" t="str">
        <x:v>Office Supplies</x:v>
      </x:c>
      <x:c r="H8809" t="str">
        <x:v>Labels</x:v>
      </x:c>
      <x:c r="I8809" s="22" t="n">
        <x:v>18.9</x:v>
      </x:c>
      <x:c r="J8809" s="24" t="n">
        <x:v>3</x:v>
      </x:c>
      <x:c r="K8809" s="26" t="n">
        <x:v>0</x:v>
      </x:c>
      <x:c r="L8809" s="22" t="n">
        <x:v>8.693999999999999</x:v>
      </x:c>
      <x:c r="M8809" t="n">
        <x:v>2014</x:v>
      </x:c>
      <x:c r="N8809" s="20" t="n">
        <x:v>41974</x:v>
      </x:c>
    </x:row>
    <x:row r="8810" ht="18" customHeight="1">
      <x:c r="A8810" t="str">
        <x:v>US-2017-100398</x:v>
      </x:c>
      <x:c r="B8810" s="18" t="n">
        <x:v>42966</x:v>
      </x:c>
      <x:c r="C8810" t="str">
        <x:v>DO-13435</x:v>
      </x:c>
      <x:c r="D8810" t="str">
        <x:v>Denny Ordway</x:v>
      </x:c>
      <x:c r="E8810" t="str">
        <x:v>Consumer</x:v>
      </x:c>
      <x:c r="F8810" t="str">
        <x:v>West</x:v>
      </x:c>
      <x:c r="G8810" t="str">
        <x:v>Office Supplies</x:v>
      </x:c>
      <x:c r="H8810" t="str">
        <x:v>Binders</x:v>
      </x:c>
      <x:c r="I8810" s="22" t="n">
        <x:v>102.72</x:v>
      </x:c>
      <x:c r="J8810" s="24" t="n">
        <x:v>3</x:v>
      </x:c>
      <x:c r="K8810" s="26" t="n">
        <x:v>0.2</x:v>
      </x:c>
      <x:c r="L8810" s="22" t="n">
        <x:v>37.236</x:v>
      </x:c>
      <x:c r="M8810" t="n">
        <x:v>2017</x:v>
      </x:c>
      <x:c r="N8810" s="20" t="n">
        <x:v>42948</x:v>
      </x:c>
    </x:row>
    <x:row r="8811" ht="18" customHeight="1">
      <x:c r="A8811" t="str">
        <x:v>CA-2016-113082</x:v>
      </x:c>
      <x:c r="B8811" s="18" t="n">
        <x:v>42625</x:v>
      </x:c>
      <x:c r="C8811" t="str">
        <x:v>MC-17590</x:v>
      </x:c>
      <x:c r="D8811" t="str">
        <x:v>Matt Collister</x:v>
      </x:c>
      <x:c r="E8811" t="str">
        <x:v>Corporate</x:v>
      </x:c>
      <x:c r="F8811" t="str">
        <x:v>East</x:v>
      </x:c>
      <x:c r="G8811" t="str">
        <x:v>Furniture</x:v>
      </x:c>
      <x:c r="H8811" t="str">
        <x:v>Furnishings</x:v>
      </x:c>
      <x:c r="I8811" s="22" t="n">
        <x:v>40.48</x:v>
      </x:c>
      <x:c r="J8811" s="24" t="n">
        <x:v>2</x:v>
      </x:c>
      <x:c r="K8811" s="26" t="n">
        <x:v>0</x:v>
      </x:c>
      <x:c r="L8811" s="22" t="n">
        <x:v>14.572799999999997</x:v>
      </x:c>
      <x:c r="M8811" t="n">
        <x:v>2016</x:v>
      </x:c>
      <x:c r="N8811" s="20" t="n">
        <x:v>42614</x:v>
      </x:c>
    </x:row>
    <x:row r="8812" ht="18" customHeight="1">
      <x:c r="A8812" t="str">
        <x:v>US-2017-110646</x:v>
      </x:c>
      <x:c r="B8812" s="18" t="n">
        <x:v>43034</x:v>
      </x:c>
      <x:c r="C8812" t="str">
        <x:v>JF-15190</x:v>
      </x:c>
      <x:c r="D8812" t="str">
        <x:v>Jamie Frazer</x:v>
      </x:c>
      <x:c r="E8812" t="str">
        <x:v>Consumer</x:v>
      </x:c>
      <x:c r="F8812" t="str">
        <x:v>East</x:v>
      </x:c>
      <x:c r="G8812" t="str">
        <x:v>Office Supplies</x:v>
      </x:c>
      <x:c r="H8812" t="str">
        <x:v>Binders</x:v>
      </x:c>
      <x:c r="I8812" s="22" t="n">
        <x:v>33.282000000000004</x:v>
      </x:c>
      <x:c r="J8812" s="24" t="n">
        <x:v>3</x:v>
      </x:c>
      <x:c r="K8812" s="26" t="n">
        <x:v>0.7</x:v>
      </x:c>
      <x:c r="L8812" s="22" t="n">
        <x:v>-27.734999999999992</x:v>
      </x:c>
      <x:c r="M8812" t="n">
        <x:v>2017</x:v>
      </x:c>
      <x:c r="N8812" s="20" t="n">
        <x:v>43009</x:v>
      </x:c>
    </x:row>
    <x:row r="8813" ht="18" customHeight="1">
      <x:c r="A8813" t="str">
        <x:v>US-2017-110646</x:v>
      </x:c>
      <x:c r="B8813" s="18" t="n">
        <x:v>43034</x:v>
      </x:c>
      <x:c r="C8813" t="str">
        <x:v>JF-15190</x:v>
      </x:c>
      <x:c r="D8813" t="str">
        <x:v>Jamie Frazer</x:v>
      </x:c>
      <x:c r="E8813" t="str">
        <x:v>Consumer</x:v>
      </x:c>
      <x:c r="F8813" t="str">
        <x:v>East</x:v>
      </x:c>
      <x:c r="G8813" t="str">
        <x:v>Technology</x:v>
      </x:c>
      <x:c r="H8813" t="str">
        <x:v>Phones</x:v>
      </x:c>
      <x:c r="I8813" s="22" t="n">
        <x:v>118.64999999999998</x:v>
      </x:c>
      <x:c r="J8813" s="24" t="n">
        <x:v>5</x:v>
      </x:c>
      <x:c r="K8813" s="26" t="n">
        <x:v>0.4</x:v>
      </x:c>
      <x:c r="L8813" s="22" t="n">
        <x:v>19.775000000000006</x:v>
      </x:c>
      <x:c r="M8813" t="n">
        <x:v>2017</x:v>
      </x:c>
      <x:c r="N8813" s="20" t="n">
        <x:v>43009</x:v>
      </x:c>
    </x:row>
    <x:row r="8814" ht="18" customHeight="1">
      <x:c r="A8814" t="str">
        <x:v>US-2017-110646</x:v>
      </x:c>
      <x:c r="B8814" s="18" t="n">
        <x:v>43034</x:v>
      </x:c>
      <x:c r="C8814" t="str">
        <x:v>JF-15190</x:v>
      </x:c>
      <x:c r="D8814" t="str">
        <x:v>Jamie Frazer</x:v>
      </x:c>
      <x:c r="E8814" t="str">
        <x:v>Consumer</x:v>
      </x:c>
      <x:c r="F8814" t="str">
        <x:v>East</x:v>
      </x:c>
      <x:c r="G8814" t="str">
        <x:v>Office Supplies</x:v>
      </x:c>
      <x:c r="H8814" t="str">
        <x:v>Labels</x:v>
      </x:c>
      <x:c r="I8814" s="22" t="n">
        <x:v>14.76</x:v>
      </x:c>
      <x:c r="J8814" s="24" t="n">
        <x:v>5</x:v>
      </x:c>
      <x:c r="K8814" s="26" t="n">
        <x:v>0.2</x:v>
      </x:c>
      <x:c r="L8814" s="22" t="n">
        <x:v>4.9815000000000005</x:v>
      </x:c>
      <x:c r="M8814" t="n">
        <x:v>2017</x:v>
      </x:c>
      <x:c r="N8814" s="20" t="n">
        <x:v>43009</x:v>
      </x:c>
    </x:row>
    <x:row r="8815" ht="18" customHeight="1">
      <x:c r="A8815" t="str">
        <x:v>CA-2017-120614</x:v>
      </x:c>
      <x:c r="B8815" s="18" t="n">
        <x:v>42885</x:v>
      </x:c>
      <x:c r="C8815" t="str">
        <x:v>SM-20950</x:v>
      </x:c>
      <x:c r="D8815" t="str">
        <x:v>Suzanne McNair</x:v>
      </x:c>
      <x:c r="E8815" t="str">
        <x:v>Corporate</x:v>
      </x:c>
      <x:c r="F8815" t="str">
        <x:v>West</x:v>
      </x:c>
      <x:c r="G8815" t="str">
        <x:v>Office Supplies</x:v>
      </x:c>
      <x:c r="H8815" t="str">
        <x:v>Paper</x:v>
      </x:c>
      <x:c r="I8815" s="22" t="n">
        <x:v>37.52</x:v>
      </x:c>
      <x:c r="J8815" s="24" t="n">
        <x:v>4</x:v>
      </x:c>
      <x:c r="K8815" s="26" t="n">
        <x:v>0</x:v>
      </x:c>
      <x:c r="L8815" s="22" t="n">
        <x:v>18.009600000000002</x:v>
      </x:c>
      <x:c r="M8815" t="n">
        <x:v>2017</x:v>
      </x:c>
      <x:c r="N8815" s="20" t="n">
        <x:v>42856</x:v>
      </x:c>
    </x:row>
    <x:row r="8816" ht="18" customHeight="1">
      <x:c r="A8816" t="str">
        <x:v>US-2016-140172</x:v>
      </x:c>
      <x:c r="B8816" s="18" t="n">
        <x:v>42437</x:v>
      </x:c>
      <x:c r="C8816" t="str">
        <x:v>SP-20650</x:v>
      </x:c>
      <x:c r="D8816" t="str">
        <x:v>Stephanie Phelps</x:v>
      </x:c>
      <x:c r="E8816" t="str">
        <x:v>Corporate</x:v>
      </x:c>
      <x:c r="F8816" t="str">
        <x:v>Central</x:v>
      </x:c>
      <x:c r="G8816" t="str">
        <x:v>Office Supplies</x:v>
      </x:c>
      <x:c r="H8816" t="str">
        <x:v>Appliances</x:v>
      </x:c>
      <x:c r="I8816" s="22" t="n">
        <x:v>207.144</x:v>
      </x:c>
      <x:c r="J8816" s="24" t="n">
        <x:v>3</x:v>
      </x:c>
      <x:c r="K8816" s="26" t="n">
        <x:v>0.1</x:v>
      </x:c>
      <x:c r="L8816" s="22" t="n">
        <x:v>48.333599999999976</x:v>
      </x:c>
      <x:c r="M8816" t="n">
        <x:v>2016</x:v>
      </x:c>
      <x:c r="N8816" s="20" t="n">
        <x:v>42430</x:v>
      </x:c>
    </x:row>
    <x:row r="8817" ht="18" customHeight="1">
      <x:c r="A8817" t="str">
        <x:v>US-2016-140172</x:v>
      </x:c>
      <x:c r="B8817" s="18" t="n">
        <x:v>42437</x:v>
      </x:c>
      <x:c r="C8817" t="str">
        <x:v>SP-20650</x:v>
      </x:c>
      <x:c r="D8817" t="str">
        <x:v>Stephanie Phelps</x:v>
      </x:c>
      <x:c r="E8817" t="str">
        <x:v>Corporate</x:v>
      </x:c>
      <x:c r="F8817" t="str">
        <x:v>Central</x:v>
      </x:c>
      <x:c r="G8817" t="str">
        <x:v>Office Supplies</x:v>
      </x:c>
      <x:c r="H8817" t="str">
        <x:v>Art</x:v>
      </x:c>
      <x:c r="I8817" s="22" t="n">
        <x:v>13.899999999999999</x:v>
      </x:c>
      <x:c r="J8817" s="24" t="n">
        <x:v>5</x:v>
      </x:c>
      <x:c r="K8817" s="26" t="n">
        <x:v>0</x:v>
      </x:c>
      <x:c r="L8817" s="22" t="n">
        <x:v>3.7529999999999997</x:v>
      </x:c>
      <x:c r="M8817" t="n">
        <x:v>2016</x:v>
      </x:c>
      <x:c r="N8817" s="20" t="n">
        <x:v>42430</x:v>
      </x:c>
    </x:row>
    <x:row r="8818" ht="18" customHeight="1">
      <x:c r="A8818" t="str">
        <x:v>CA-2015-127754</x:v>
      </x:c>
      <x:c r="B8818" s="18" t="n">
        <x:v>42211</x:v>
      </x:c>
      <x:c r="C8818" t="str">
        <x:v>CK-12760</x:v>
      </x:c>
      <x:c r="D8818" t="str">
        <x:v>Cyma Kinney</x:v>
      </x:c>
      <x:c r="E8818" t="str">
        <x:v>Corporate</x:v>
      </x:c>
      <x:c r="F8818" t="str">
        <x:v>West</x:v>
      </x:c>
      <x:c r="G8818" t="str">
        <x:v>Furniture</x:v>
      </x:c>
      <x:c r="H8818" t="str">
        <x:v>Chairs</x:v>
      </x:c>
      <x:c r="I8818" s="22" t="n">
        <x:v>266.35200000000003</x:v>
      </x:c>
      <x:c r="J8818" s="24" t="n">
        <x:v>3</x:v>
      </x:c>
      <x:c r="K8818" s="26" t="n">
        <x:v>0.2</x:v>
      </x:c>
      <x:c r="L8818" s="22" t="n">
        <x:v>13.317599999999985</x:v>
      </x:c>
      <x:c r="M8818" t="n">
        <x:v>2015</x:v>
      </x:c>
      <x:c r="N8818" s="20" t="n">
        <x:v>42186</x:v>
      </x:c>
    </x:row>
    <x:row r="8819" ht="18" customHeight="1">
      <x:c r="A8819" t="str">
        <x:v>CA-2015-144274</x:v>
      </x:c>
      <x:c r="B8819" s="18" t="n">
        <x:v>42331</x:v>
      </x:c>
      <x:c r="C8819" t="str">
        <x:v>PW-19240</x:v>
      </x:c>
      <x:c r="D8819" t="str">
        <x:v>Pierre Wener</x:v>
      </x:c>
      <x:c r="E8819" t="str">
        <x:v>Consumer</x:v>
      </x:c>
      <x:c r="F8819" t="str">
        <x:v>East</x:v>
      </x:c>
      <x:c r="G8819" t="str">
        <x:v>Technology</x:v>
      </x:c>
      <x:c r="H8819" t="str">
        <x:v>Phones</x:v>
      </x:c>
      <x:c r="I8819" s="22" t="n">
        <x:v>307.98</x:v>
      </x:c>
      <x:c r="J8819" s="24" t="n">
        <x:v>2</x:v>
      </x:c>
      <x:c r="K8819" s="26" t="n">
        <x:v>0</x:v>
      </x:c>
      <x:c r="L8819" s="22" t="n">
        <x:v>89.31419999999997</x:v>
      </x:c>
      <x:c r="M8819" t="n">
        <x:v>2015</x:v>
      </x:c>
      <x:c r="N8819" s="20" t="n">
        <x:v>42309</x:v>
      </x:c>
    </x:row>
    <x:row r="8820" ht="18" customHeight="1">
      <x:c r="A8820" t="str">
        <x:v>CA-2015-144274</x:v>
      </x:c>
      <x:c r="B8820" s="18" t="n">
        <x:v>42331</x:v>
      </x:c>
      <x:c r="C8820" t="str">
        <x:v>PW-19240</x:v>
      </x:c>
      <x:c r="D8820" t="str">
        <x:v>Pierre Wener</x:v>
      </x:c>
      <x:c r="E8820" t="str">
        <x:v>Consumer</x:v>
      </x:c>
      <x:c r="F8820" t="str">
        <x:v>East</x:v>
      </x:c>
      <x:c r="G8820" t="str">
        <x:v>Office Supplies</x:v>
      </x:c>
      <x:c r="H8820" t="str">
        <x:v>Paper</x:v>
      </x:c>
      <x:c r="I8820" s="22" t="n">
        <x:v>44.099999999999994</x:v>
      </x:c>
      <x:c r="J8820" s="24" t="n">
        <x:v>6</x:v>
      </x:c>
      <x:c r="K8820" s="26" t="n">
        <x:v>0</x:v>
      </x:c>
      <x:c r="L8820" s="22" t="n">
        <x:v>20.726999999999997</x:v>
      </x:c>
      <x:c r="M8820" t="n">
        <x:v>2015</x:v>
      </x:c>
      <x:c r="N8820" s="20" t="n">
        <x:v>42309</x:v>
      </x:c>
    </x:row>
    <x:row r="8821" ht="18" customHeight="1">
      <x:c r="A8821" t="str">
        <x:v>CA-2015-144274</x:v>
      </x:c>
      <x:c r="B8821" s="18" t="n">
        <x:v>42331</x:v>
      </x:c>
      <x:c r="C8821" t="str">
        <x:v>PW-19240</x:v>
      </x:c>
      <x:c r="D8821" t="str">
        <x:v>Pierre Wener</x:v>
      </x:c>
      <x:c r="E8821" t="str">
        <x:v>Consumer</x:v>
      </x:c>
      <x:c r="F8821" t="str">
        <x:v>East</x:v>
      </x:c>
      <x:c r="G8821" t="str">
        <x:v>Office Supplies</x:v>
      </x:c>
      <x:c r="H8821" t="str">
        <x:v>Art</x:v>
      </x:c>
      <x:c r="I8821" s="22" t="n">
        <x:v>13.12</x:v>
      </x:c>
      <x:c r="J8821" s="24" t="n">
        <x:v>4</x:v>
      </x:c>
      <x:c r="K8821" s="26" t="n">
        <x:v>0</x:v>
      </x:c>
      <x:c r="L8821" s="22" t="n">
        <x:v>5.6416</x:v>
      </x:c>
      <x:c r="M8821" t="n">
        <x:v>2015</x:v>
      </x:c>
      <x:c r="N8821" s="20" t="n">
        <x:v>42309</x:v>
      </x:c>
    </x:row>
    <x:row r="8822" ht="18" customHeight="1">
      <x:c r="A8822" t="str">
        <x:v>CA-2015-144274</x:v>
      </x:c>
      <x:c r="B8822" s="18" t="n">
        <x:v>42331</x:v>
      </x:c>
      <x:c r="C8822" t="str">
        <x:v>PW-19240</x:v>
      </x:c>
      <x:c r="D8822" t="str">
        <x:v>Pierre Wener</x:v>
      </x:c>
      <x:c r="E8822" t="str">
        <x:v>Consumer</x:v>
      </x:c>
      <x:c r="F8822" t="str">
        <x:v>East</x:v>
      </x:c>
      <x:c r="G8822" t="str">
        <x:v>Office Supplies</x:v>
      </x:c>
      <x:c r="H8822" t="str">
        <x:v>Envelopes</x:v>
      </x:c>
      <x:c r="I8822" s="22" t="n">
        <x:v>16.56</x:v>
      </x:c>
      <x:c r="J8822" s="24" t="n">
        <x:v>2</x:v>
      </x:c>
      <x:c r="K8822" s="26" t="n">
        <x:v>0</x:v>
      </x:c>
      <x:c r="L8822" s="22" t="n">
        <x:v>7.783199999999999</x:v>
      </x:c>
      <x:c r="M8822" t="n">
        <x:v>2015</x:v>
      </x:c>
      <x:c r="N8822" s="20" t="n">
        <x:v>42309</x:v>
      </x:c>
    </x:row>
    <x:row r="8823" ht="18" customHeight="1">
      <x:c r="A8823" t="str">
        <x:v>CA-2015-144274</x:v>
      </x:c>
      <x:c r="B8823" s="18" t="n">
        <x:v>42331</x:v>
      </x:c>
      <x:c r="C8823" t="str">
        <x:v>PW-19240</x:v>
      </x:c>
      <x:c r="D8823" t="str">
        <x:v>Pierre Wener</x:v>
      </x:c>
      <x:c r="E8823" t="str">
        <x:v>Consumer</x:v>
      </x:c>
      <x:c r="F8823" t="str">
        <x:v>East</x:v>
      </x:c>
      <x:c r="G8823" t="str">
        <x:v>Office Supplies</x:v>
      </x:c>
      <x:c r="H8823" t="str">
        <x:v>Paper</x:v>
      </x:c>
      <x:c r="I8823" s="22" t="n">
        <x:v>38.88</x:v>
      </x:c>
      <x:c r="J8823" s="24" t="n">
        <x:v>6</x:v>
      </x:c>
      <x:c r="K8823" s="26" t="n">
        <x:v>0</x:v>
      </x:c>
      <x:c r="L8823" s="22" t="n">
        <x:v>18.6624</x:v>
      </x:c>
      <x:c r="M8823" t="n">
        <x:v>2015</x:v>
      </x:c>
      <x:c r="N8823" s="20" t="n">
        <x:v>42309</x:v>
      </x:c>
    </x:row>
    <x:row r="8824" ht="18" customHeight="1">
      <x:c r="A8824" t="str">
        <x:v>CA-2015-142930</x:v>
      </x:c>
      <x:c r="B8824" s="18" t="n">
        <x:v>42336</x:v>
      </x:c>
      <x:c r="C8824" t="str">
        <x:v>EB-14170</x:v>
      </x:c>
      <x:c r="D8824" t="str">
        <x:v>Evan Bailliet</x:v>
      </x:c>
      <x:c r="E8824" t="str">
        <x:v>Consumer</x:v>
      </x:c>
      <x:c r="F8824" t="str">
        <x:v>Central</x:v>
      </x:c>
      <x:c r="G8824" t="str">
        <x:v>Office Supplies</x:v>
      </x:c>
      <x:c r="H8824" t="str">
        <x:v>Paper</x:v>
      </x:c>
      <x:c r="I8824" s="22" t="n">
        <x:v>335.52</x:v>
      </x:c>
      <x:c r="J8824" s="24" t="n">
        <x:v>4</x:v>
      </x:c>
      <x:c r="K8824" s="26" t="n">
        <x:v>0.2</x:v>
      </x:c>
      <x:c r="L8824" s="22" t="n">
        <x:v>117.43199999999999</x:v>
      </x:c>
      <x:c r="M8824" t="n">
        <x:v>2015</x:v>
      </x:c>
      <x:c r="N8824" s="20" t="n">
        <x:v>42309</x:v>
      </x:c>
    </x:row>
    <x:row r="8825" ht="18" customHeight="1">
      <x:c r="A8825" t="str">
        <x:v>CA-2017-100622</x:v>
      </x:c>
      <x:c r="B8825" s="18" t="n">
        <x:v>43042</x:v>
      </x:c>
      <x:c r="C8825" t="str">
        <x:v>DK-13090</x:v>
      </x:c>
      <x:c r="D8825" t="str">
        <x:v>Dave Kipp</x:v>
      </x:c>
      <x:c r="E8825" t="str">
        <x:v>Consumer</x:v>
      </x:c>
      <x:c r="F8825" t="str">
        <x:v>South</x:v>
      </x:c>
      <x:c r="G8825" t="str">
        <x:v>Technology</x:v>
      </x:c>
      <x:c r="H8825" t="str">
        <x:v>Copiers</x:v>
      </x:c>
      <x:c r="I8825" s="22" t="n">
        <x:v>959.984</x:v>
      </x:c>
      <x:c r="J8825" s="24" t="n">
        <x:v>2</x:v>
      </x:c>
      <x:c r="K8825" s="26" t="n">
        <x:v>0.2</x:v>
      </x:c>
      <x:c r="L8825" s="22" t="n">
        <x:v>311.99479999999994</x:v>
      </x:c>
      <x:c r="M8825" t="n">
        <x:v>2017</x:v>
      </x:c>
      <x:c r="N8825" s="20" t="n">
        <x:v>43040</x:v>
      </x:c>
    </x:row>
    <x:row r="8826" ht="18" customHeight="1">
      <x:c r="A8826" t="str">
        <x:v>CA-2017-100622</x:v>
      </x:c>
      <x:c r="B8826" s="18" t="n">
        <x:v>43042</x:v>
      </x:c>
      <x:c r="C8826" t="str">
        <x:v>DK-13090</x:v>
      </x:c>
      <x:c r="D8826" t="str">
        <x:v>Dave Kipp</x:v>
      </x:c>
      <x:c r="E8826" t="str">
        <x:v>Consumer</x:v>
      </x:c>
      <x:c r="F8826" t="str">
        <x:v>South</x:v>
      </x:c>
      <x:c r="G8826" t="str">
        <x:v>Office Supplies</x:v>
      </x:c>
      <x:c r="H8826" t="str">
        <x:v>Binders</x:v>
      </x:c>
      <x:c r="I8826" s="22" t="n">
        <x:v>4.086</x:v>
      </x:c>
      <x:c r="J8826" s="24" t="n">
        <x:v>2</x:v>
      </x:c>
      <x:c r="K8826" s="26" t="n">
        <x:v>0.7</x:v>
      </x:c>
      <x:c r="L8826" s="22" t="n">
        <x:v>-2.9963999999999995</x:v>
      </x:c>
      <x:c r="M8826" t="n">
        <x:v>2017</x:v>
      </x:c>
      <x:c r="N8826" s="20" t="n">
        <x:v>43040</x:v>
      </x:c>
    </x:row>
    <x:row r="8827" ht="18" customHeight="1">
      <x:c r="A8827" t="str">
        <x:v>CA-2017-100622</x:v>
      </x:c>
      <x:c r="B8827" s="18" t="n">
        <x:v>43042</x:v>
      </x:c>
      <x:c r="C8827" t="str">
        <x:v>DK-13090</x:v>
      </x:c>
      <x:c r="D8827" t="str">
        <x:v>Dave Kipp</x:v>
      </x:c>
      <x:c r="E8827" t="str">
        <x:v>Consumer</x:v>
      </x:c>
      <x:c r="F8827" t="str">
        <x:v>South</x:v>
      </x:c>
      <x:c r="G8827" t="str">
        <x:v>Office Supplies</x:v>
      </x:c>
      <x:c r="H8827" t="str">
        <x:v>Art</x:v>
      </x:c>
      <x:c r="I8827" s="22" t="n">
        <x:v>55.98400000000001</x:v>
      </x:c>
      <x:c r="J8827" s="24" t="n">
        <x:v>2</x:v>
      </x:c>
      <x:c r="K8827" s="26" t="n">
        <x:v>0.2</x:v>
      </x:c>
      <x:c r="L8827" s="22" t="n">
        <x:v>4.1987999999999985</x:v>
      </x:c>
      <x:c r="M8827" t="n">
        <x:v>2017</x:v>
      </x:c>
      <x:c r="N8827" s="20" t="n">
        <x:v>43040</x:v>
      </x:c>
    </x:row>
    <x:row r="8828" ht="18" customHeight="1">
      <x:c r="A8828" t="str">
        <x:v>CA-2017-100622</x:v>
      </x:c>
      <x:c r="B8828" s="18" t="n">
        <x:v>43042</x:v>
      </x:c>
      <x:c r="C8828" t="str">
        <x:v>DK-13090</x:v>
      </x:c>
      <x:c r="D8828" t="str">
        <x:v>Dave Kipp</x:v>
      </x:c>
      <x:c r="E8828" t="str">
        <x:v>Consumer</x:v>
      </x:c>
      <x:c r="F8828" t="str">
        <x:v>South</x:v>
      </x:c>
      <x:c r="G8828" t="str">
        <x:v>Office Supplies</x:v>
      </x:c>
      <x:c r="H8828" t="str">
        <x:v>Paper</x:v>
      </x:c>
      <x:c r="I8828" s="22" t="n">
        <x:v>10.688</x:v>
      </x:c>
      <x:c r="J8828" s="24" t="n">
        <x:v>2</x:v>
      </x:c>
      <x:c r="K8828" s="26" t="n">
        <x:v>0.2</x:v>
      </x:c>
      <x:c r="L8828" s="22" t="n">
        <x:v>3.7407999999999997</x:v>
      </x:c>
      <x:c r="M8828" t="n">
        <x:v>2017</x:v>
      </x:c>
      <x:c r="N8828" s="20" t="n">
        <x:v>43040</x:v>
      </x:c>
    </x:row>
    <x:row r="8829" ht="18" customHeight="1">
      <x:c r="A8829" t="str">
        <x:v>CA-2017-117156</x:v>
      </x:c>
      <x:c r="B8829" s="18" t="n">
        <x:v>42815</x:v>
      </x:c>
      <x:c r="C8829" t="str">
        <x:v>TB-21055</x:v>
      </x:c>
      <x:c r="D8829" t="str">
        <x:v>Ted Butterfield</x:v>
      </x:c>
      <x:c r="E8829" t="str">
        <x:v>Consumer</x:v>
      </x:c>
      <x:c r="F8829" t="str">
        <x:v>East</x:v>
      </x:c>
      <x:c r="G8829" t="str">
        <x:v>Office Supplies</x:v>
      </x:c>
      <x:c r="H8829" t="str">
        <x:v>Envelopes</x:v>
      </x:c>
      <x:c r="I8829" s="22" t="n">
        <x:v>8.856</x:v>
      </x:c>
      <x:c r="J8829" s="24" t="n">
        <x:v>3</x:v>
      </x:c>
      <x:c r="K8829" s="26" t="n">
        <x:v>0.2</x:v>
      </x:c>
      <x:c r="L8829" s="22" t="n">
        <x:v>2.878199999999999</x:v>
      </x:c>
      <x:c r="M8829" t="n">
        <x:v>2017</x:v>
      </x:c>
      <x:c r="N8829" s="20" t="n">
        <x:v>42795</x:v>
      </x:c>
    </x:row>
    <x:row r="8830" ht="18" customHeight="1">
      <x:c r="A8830" t="str">
        <x:v>CA-2015-115399</x:v>
      </x:c>
      <x:c r="B8830" s="18" t="n">
        <x:v>42357</x:v>
      </x:c>
      <x:c r="C8830" t="str">
        <x:v>AG-10900</x:v>
      </x:c>
      <x:c r="D8830" t="str">
        <x:v>Arthur Gainer</x:v>
      </x:c>
      <x:c r="E8830" t="str">
        <x:v>Consumer</x:v>
      </x:c>
      <x:c r="F8830" t="str">
        <x:v>East</x:v>
      </x:c>
      <x:c r="G8830" t="str">
        <x:v>Office Supplies</x:v>
      </x:c>
      <x:c r="H8830" t="str">
        <x:v>Labels</x:v>
      </x:c>
      <x:c r="I8830" s="22" t="n">
        <x:v>6.911999999999999</x:v>
      </x:c>
      <x:c r="J8830" s="24" t="n">
        <x:v>3</x:v>
      </x:c>
      <x:c r="K8830" s="26" t="n">
        <x:v>0.2</x:v>
      </x:c>
      <x:c r="L8830" s="22" t="n">
        <x:v>2.5056000000000003</x:v>
      </x:c>
      <x:c r="M8830" t="n">
        <x:v>2015</x:v>
      </x:c>
      <x:c r="N8830" s="20" t="n">
        <x:v>42339</x:v>
      </x:c>
    </x:row>
    <x:row r="8831" ht="18" customHeight="1">
      <x:c r="A8831" t="str">
        <x:v>US-2014-157847</x:v>
      </x:c>
      <x:c r="B8831" s="18" t="n">
        <x:v>41731</x:v>
      </x:c>
      <x:c r="C8831" t="str">
        <x:v>SC-20020</x:v>
      </x:c>
      <x:c r="D8831" t="str">
        <x:v>Sam Craven</x:v>
      </x:c>
      <x:c r="E8831" t="str">
        <x:v>Consumer</x:v>
      </x:c>
      <x:c r="F8831" t="str">
        <x:v>Central</x:v>
      </x:c>
      <x:c r="G8831" t="str">
        <x:v>Office Supplies</x:v>
      </x:c>
      <x:c r="H8831" t="str">
        <x:v>Paper</x:v>
      </x:c>
      <x:c r="I8831" s="22" t="n">
        <x:v>26.720000000000002</x:v>
      </x:c>
      <x:c r="J8831" s="24" t="n">
        <x:v>5</x:v>
      </x:c>
      <x:c r="K8831" s="26" t="n">
        <x:v>0.2</x:v>
      </x:c>
      <x:c r="L8831" s="22" t="n">
        <x:v>9.352</x:v>
      </x:c>
      <x:c r="M8831" t="n">
        <x:v>2014</x:v>
      </x:c>
      <x:c r="N8831" s="20" t="n">
        <x:v>41730</x:v>
      </x:c>
    </x:row>
    <x:row r="8832" ht="18" customHeight="1">
      <x:c r="A8832" t="str">
        <x:v>US-2014-157847</x:v>
      </x:c>
      <x:c r="B8832" s="18" t="n">
        <x:v>41731</x:v>
      </x:c>
      <x:c r="C8832" t="str">
        <x:v>SC-20020</x:v>
      </x:c>
      <x:c r="D8832" t="str">
        <x:v>Sam Craven</x:v>
      </x:c>
      <x:c r="E8832" t="str">
        <x:v>Consumer</x:v>
      </x:c>
      <x:c r="F8832" t="str">
        <x:v>Central</x:v>
      </x:c>
      <x:c r="G8832" t="str">
        <x:v>Office Supplies</x:v>
      </x:c>
      <x:c r="H8832" t="str">
        <x:v>Paper</x:v>
      </x:c>
      <x:c r="I8832" s="22" t="n">
        <x:v>33.48800000000001</x:v>
      </x:c>
      <x:c r="J8832" s="24" t="n">
        <x:v>7</x:v>
      </x:c>
      <x:c r="K8832" s="26" t="n">
        <x:v>0.2</x:v>
      </x:c>
      <x:c r="L8832" s="22" t="n">
        <x:v>10.464999999999998</x:v>
      </x:c>
      <x:c r="M8832" t="n">
        <x:v>2014</x:v>
      </x:c>
      <x:c r="N8832" s="20" t="n">
        <x:v>41730</x:v>
      </x:c>
    </x:row>
    <x:row r="8833" ht="18" customHeight="1">
      <x:c r="A8833" t="str">
        <x:v>CA-2015-115168</x:v>
      </x:c>
      <x:c r="B8833" s="18" t="n">
        <x:v>42160</x:v>
      </x:c>
      <x:c r="C8833" t="str">
        <x:v>BB-11545</x:v>
      </x:c>
      <x:c r="D8833" t="str">
        <x:v>Brenda Bowman</x:v>
      </x:c>
      <x:c r="E8833" t="str">
        <x:v>Corporate</x:v>
      </x:c>
      <x:c r="F8833" t="str">
        <x:v>Central</x:v>
      </x:c>
      <x:c r="G8833" t="str">
        <x:v>Office Supplies</x:v>
      </x:c>
      <x:c r="H8833" t="str">
        <x:v>Paper</x:v>
      </x:c>
      <x:c r="I8833" s="22" t="n">
        <x:v>10.56</x:v>
      </x:c>
      <x:c r="J8833" s="24" t="n">
        <x:v>2</x:v>
      </x:c>
      <x:c r="K8833" s="26" t="n">
        <x:v>0</x:v>
      </x:c>
      <x:c r="L8833" s="22" t="n">
        <x:v>4.752</x:v>
      </x:c>
      <x:c r="M8833" t="n">
        <x:v>2015</x:v>
      </x:c>
      <x:c r="N8833" s="20" t="n">
        <x:v>42156</x:v>
      </x:c>
    </x:row>
    <x:row r="8834" ht="18" customHeight="1">
      <x:c r="A8834" t="str">
        <x:v>CA-2014-109680</x:v>
      </x:c>
      <x:c r="B8834" s="18" t="n">
        <x:v>41918</x:v>
      </x:c>
      <x:c r="C8834" t="str">
        <x:v>VP-21760</x:v>
      </x:c>
      <x:c r="D8834" t="str">
        <x:v>Victoria Pisteka</x:v>
      </x:c>
      <x:c r="E8834" t="str">
        <x:v>Corporate</x:v>
      </x:c>
      <x:c r="F8834" t="str">
        <x:v>Central</x:v>
      </x:c>
      <x:c r="G8834" t="str">
        <x:v>Office Supplies</x:v>
      </x:c>
      <x:c r="H8834" t="str">
        <x:v>Storage</x:v>
      </x:c>
      <x:c r="I8834" s="22" t="n">
        <x:v>386.34</x:v>
      </x:c>
      <x:c r="J8834" s="24" t="n">
        <x:v>2</x:v>
      </x:c>
      <x:c r="K8834" s="26" t="n">
        <x:v>0</x:v>
      </x:c>
      <x:c r="L8834" s="22" t="n">
        <x:v>54.08760000000001</x:v>
      </x:c>
      <x:c r="M8834" t="n">
        <x:v>2014</x:v>
      </x:c>
      <x:c r="N8834" s="20" t="n">
        <x:v>41913</x:v>
      </x:c>
    </x:row>
    <x:row r="8835" ht="18" customHeight="1">
      <x:c r="A8835" t="str">
        <x:v>CA-2016-167983</x:v>
      </x:c>
      <x:c r="B8835" s="18" t="n">
        <x:v>42603</x:v>
      </x:c>
      <x:c r="C8835" t="str">
        <x:v>RP-19270</x:v>
      </x:c>
      <x:c r="D8835" t="str">
        <x:v>Rachel Payne</x:v>
      </x:c>
      <x:c r="E8835" t="str">
        <x:v>Corporate</x:v>
      </x:c>
      <x:c r="F8835" t="str">
        <x:v>West</x:v>
      </x:c>
      <x:c r="G8835" t="str">
        <x:v>Office Supplies</x:v>
      </x:c>
      <x:c r="H8835" t="str">
        <x:v>Binders</x:v>
      </x:c>
      <x:c r="I8835" s="22" t="n">
        <x:v>33.44</x:v>
      </x:c>
      <x:c r="J8835" s="24" t="n">
        <x:v>10</x:v>
      </x:c>
      <x:c r="K8835" s="26" t="n">
        <x:v>0.2</x:v>
      </x:c>
      <x:c r="L8835" s="22" t="n">
        <x:v>11.703999999999997</x:v>
      </x:c>
      <x:c r="M8835" t="n">
        <x:v>2016</x:v>
      </x:c>
      <x:c r="N8835" s="20" t="n">
        <x:v>42583</x:v>
      </x:c>
    </x:row>
    <x:row r="8836" ht="18" customHeight="1">
      <x:c r="A8836" t="str">
        <x:v>CA-2015-145324</x:v>
      </x:c>
      <x:c r="B8836" s="18" t="n">
        <x:v>42323</x:v>
      </x:c>
      <x:c r="C8836" t="str">
        <x:v>DH-13675</x:v>
      </x:c>
      <x:c r="D8836" t="str">
        <x:v>Duane Huffman</x:v>
      </x:c>
      <x:c r="E8836" t="str">
        <x:v>Home Office</x:v>
      </x:c>
      <x:c r="F8836" t="str">
        <x:v>South</x:v>
      </x:c>
      <x:c r="G8836" t="str">
        <x:v>Furniture</x:v>
      </x:c>
      <x:c r="H8836" t="str">
        <x:v>Furnishings</x:v>
      </x:c>
      <x:c r="I8836" s="22" t="n">
        <x:v>39.96</x:v>
      </x:c>
      <x:c r="J8836" s="24" t="n">
        <x:v>2</x:v>
      </x:c>
      <x:c r="K8836" s="26" t="n">
        <x:v>0</x:v>
      </x:c>
      <x:c r="L8836" s="22" t="n">
        <x:v>14.3856</x:v>
      </x:c>
      <x:c r="M8836" t="n">
        <x:v>2015</x:v>
      </x:c>
      <x:c r="N8836" s="20" t="n">
        <x:v>42309</x:v>
      </x:c>
    </x:row>
    <x:row r="8837" ht="18" customHeight="1">
      <x:c r="A8837" t="str">
        <x:v>CA-2015-153423</x:v>
      </x:c>
      <x:c r="B8837" s="18" t="n">
        <x:v>42177</x:v>
      </x:c>
      <x:c r="C8837" t="str">
        <x:v>SW-20455</x:v>
      </x:c>
      <x:c r="D8837" t="str">
        <x:v>Shaun Weien</x:v>
      </x:c>
      <x:c r="E8837" t="str">
        <x:v>Consumer</x:v>
      </x:c>
      <x:c r="F8837" t="str">
        <x:v>East</x:v>
      </x:c>
      <x:c r="G8837" t="str">
        <x:v>Office Supplies</x:v>
      </x:c>
      <x:c r="H8837" t="str">
        <x:v>Binders</x:v>
      </x:c>
      <x:c r="I8837" s="22" t="n">
        <x:v>1217.568</x:v>
      </x:c>
      <x:c r="J8837" s="24" t="n">
        <x:v>2</x:v>
      </x:c>
      <x:c r="K8837" s="26" t="n">
        <x:v>0.2</x:v>
      </x:c>
      <x:c r="L8837" s="22" t="n">
        <x:v>456.588</x:v>
      </x:c>
      <x:c r="M8837" t="n">
        <x:v>2015</x:v>
      </x:c>
      <x:c r="N8837" s="20" t="n">
        <x:v>42156</x:v>
      </x:c>
    </x:row>
    <x:row r="8838" ht="18" customHeight="1">
      <x:c r="A8838" t="str">
        <x:v>US-2017-132675</x:v>
      </x:c>
      <x:c r="B8838" s="18" t="n">
        <x:v>43002</x:v>
      </x:c>
      <x:c r="C8838" t="str">
        <x:v>KF-16285</x:v>
      </x:c>
      <x:c r="D8838" t="str">
        <x:v>Karen Ferguson</x:v>
      </x:c>
      <x:c r="E8838" t="str">
        <x:v>Home Office</x:v>
      </x:c>
      <x:c r="F8838" t="str">
        <x:v>South</x:v>
      </x:c>
      <x:c r="G8838" t="str">
        <x:v>Office Supplies</x:v>
      </x:c>
      <x:c r="H8838" t="str">
        <x:v>Storage</x:v>
      </x:c>
      <x:c r="I8838" s="22" t="n">
        <x:v>15.51</x:v>
      </x:c>
      <x:c r="J8838" s="24" t="n">
        <x:v>1</x:v>
      </x:c>
      <x:c r="K8838" s="26" t="n">
        <x:v>0</x:v>
      </x:c>
      <x:c r="L8838" s="22" t="n">
        <x:v>3.8774999999999995</x:v>
      </x:c>
      <x:c r="M8838" t="n">
        <x:v>2017</x:v>
      </x:c>
      <x:c r="N8838" s="20" t="n">
        <x:v>42979</x:v>
      </x:c>
    </x:row>
    <x:row r="8839" ht="18" customHeight="1">
      <x:c r="A8839" t="str">
        <x:v>US-2017-132675</x:v>
      </x:c>
      <x:c r="B8839" s="18" t="n">
        <x:v>43002</x:v>
      </x:c>
      <x:c r="C8839" t="str">
        <x:v>KF-16285</x:v>
      </x:c>
      <x:c r="D8839" t="str">
        <x:v>Karen Ferguson</x:v>
      </x:c>
      <x:c r="E8839" t="str">
        <x:v>Home Office</x:v>
      </x:c>
      <x:c r="F8839" t="str">
        <x:v>South</x:v>
      </x:c>
      <x:c r="G8839" t="str">
        <x:v>Technology</x:v>
      </x:c>
      <x:c r="H8839" t="str">
        <x:v>Phones</x:v>
      </x:c>
      <x:c r="I8839" s="22" t="n">
        <x:v>89.9</x:v>
      </x:c>
      <x:c r="J8839" s="24" t="n">
        <x:v>2</x:v>
      </x:c>
      <x:c r="K8839" s="26" t="n">
        <x:v>0</x:v>
      </x:c>
      <x:c r="L8839" s="22" t="n">
        <x:v>25.171999999999997</x:v>
      </x:c>
      <x:c r="M8839" t="n">
        <x:v>2017</x:v>
      </x:c>
      <x:c r="N8839" s="20" t="n">
        <x:v>42979</x:v>
      </x:c>
    </x:row>
    <x:row r="8840" ht="18" customHeight="1">
      <x:c r="A8840" t="str">
        <x:v>US-2017-132675</x:v>
      </x:c>
      <x:c r="B8840" s="18" t="n">
        <x:v>43002</x:v>
      </x:c>
      <x:c r="C8840" t="str">
        <x:v>KF-16285</x:v>
      </x:c>
      <x:c r="D8840" t="str">
        <x:v>Karen Ferguson</x:v>
      </x:c>
      <x:c r="E8840" t="str">
        <x:v>Home Office</x:v>
      </x:c>
      <x:c r="F8840" t="str">
        <x:v>South</x:v>
      </x:c>
      <x:c r="G8840" t="str">
        <x:v>Office Supplies</x:v>
      </x:c>
      <x:c r="H8840" t="str">
        <x:v>Art</x:v>
      </x:c>
      <x:c r="I8840" s="22" t="n">
        <x:v>14.28</x:v>
      </x:c>
      <x:c r="J8840" s="24" t="n">
        <x:v>4</x:v>
      </x:c>
      <x:c r="K8840" s="26" t="n">
        <x:v>0</x:v>
      </x:c>
      <x:c r="L8840" s="22" t="n">
        <x:v>3.7127999999999997</x:v>
      </x:c>
      <x:c r="M8840" t="n">
        <x:v>2017</x:v>
      </x:c>
      <x:c r="N8840" s="20" t="n">
        <x:v>42979</x:v>
      </x:c>
    </x:row>
    <x:row r="8841" ht="18" customHeight="1">
      <x:c r="A8841" t="str">
        <x:v>US-2017-132675</x:v>
      </x:c>
      <x:c r="B8841" s="18" t="n">
        <x:v>43002</x:v>
      </x:c>
      <x:c r="C8841" t="str">
        <x:v>KF-16285</x:v>
      </x:c>
      <x:c r="D8841" t="str">
        <x:v>Karen Ferguson</x:v>
      </x:c>
      <x:c r="E8841" t="str">
        <x:v>Home Office</x:v>
      </x:c>
      <x:c r="F8841" t="str">
        <x:v>South</x:v>
      </x:c>
      <x:c r="G8841" t="str">
        <x:v>Office Supplies</x:v>
      </x:c>
      <x:c r="H8841" t="str">
        <x:v>Art</x:v>
      </x:c>
      <x:c r="I8841" s="22" t="n">
        <x:v>12.72</x:v>
      </x:c>
      <x:c r="J8841" s="24" t="n">
        <x:v>3</x:v>
      </x:c>
      <x:c r="K8841" s="26" t="n">
        <x:v>0</x:v>
      </x:c>
      <x:c r="L8841" s="22" t="n">
        <x:v>4.9608</x:v>
      </x:c>
      <x:c r="M8841" t="n">
        <x:v>2017</x:v>
      </x:c>
      <x:c r="N8841" s="20" t="n">
        <x:v>42979</x:v>
      </x:c>
    </x:row>
    <x:row r="8842" ht="18" customHeight="1">
      <x:c r="A8842" t="str">
        <x:v>US-2017-132675</x:v>
      </x:c>
      <x:c r="B8842" s="18" t="n">
        <x:v>43002</x:v>
      </x:c>
      <x:c r="C8842" t="str">
        <x:v>KF-16285</x:v>
      </x:c>
      <x:c r="D8842" t="str">
        <x:v>Karen Ferguson</x:v>
      </x:c>
      <x:c r="E8842" t="str">
        <x:v>Home Office</x:v>
      </x:c>
      <x:c r="F8842" t="str">
        <x:v>South</x:v>
      </x:c>
      <x:c r="G8842" t="str">
        <x:v>Office Supplies</x:v>
      </x:c>
      <x:c r="H8842" t="str">
        <x:v>Labels</x:v>
      </x:c>
      <x:c r="I8842" s="22" t="n">
        <x:v>15.75</x:v>
      </x:c>
      <x:c r="J8842" s="24" t="n">
        <x:v>5</x:v>
      </x:c>
      <x:c r="K8842" s="26" t="n">
        <x:v>0</x:v>
      </x:c>
      <x:c r="L8842" s="22" t="n">
        <x:v>7.5600000000000005</x:v>
      </x:c>
      <x:c r="M8842" t="n">
        <x:v>2017</x:v>
      </x:c>
      <x:c r="N8842" s="20" t="n">
        <x:v>42979</x:v>
      </x:c>
    </x:row>
    <x:row r="8843" ht="18" customHeight="1">
      <x:c r="A8843" t="str">
        <x:v>CA-2014-153808</x:v>
      </x:c>
      <x:c r="B8843" s="18" t="n">
        <x:v>41735</x:v>
      </x:c>
      <x:c r="C8843" t="str">
        <x:v>FH-14275</x:v>
      </x:c>
      <x:c r="D8843" t="str">
        <x:v>Frank Hawley</x:v>
      </x:c>
      <x:c r="E8843" t="str">
        <x:v>Corporate</x:v>
      </x:c>
      <x:c r="F8843" t="str">
        <x:v>West</x:v>
      </x:c>
      <x:c r="G8843" t="str">
        <x:v>Office Supplies</x:v>
      </x:c>
      <x:c r="H8843" t="str">
        <x:v>Art</x:v>
      </x:c>
      <x:c r="I8843" s="22" t="n">
        <x:v>70.94999999999999</x:v>
      </x:c>
      <x:c r="J8843" s="24" t="n">
        <x:v>3</x:v>
      </x:c>
      <x:c r="K8843" s="26" t="n">
        <x:v>0</x:v>
      </x:c>
      <x:c r="L8843" s="22" t="n">
        <x:v>18.447000000000003</x:v>
      </x:c>
      <x:c r="M8843" t="n">
        <x:v>2014</x:v>
      </x:c>
      <x:c r="N8843" s="20" t="n">
        <x:v>41730</x:v>
      </x:c>
    </x:row>
    <x:row r="8844" ht="18" customHeight="1">
      <x:c r="A8844" t="str">
        <x:v>CA-2014-153808</x:v>
      </x:c>
      <x:c r="B8844" s="18" t="n">
        <x:v>41735</x:v>
      </x:c>
      <x:c r="C8844" t="str">
        <x:v>FH-14275</x:v>
      </x:c>
      <x:c r="D8844" t="str">
        <x:v>Frank Hawley</x:v>
      </x:c>
      <x:c r="E8844" t="str">
        <x:v>Corporate</x:v>
      </x:c>
      <x:c r="F8844" t="str">
        <x:v>West</x:v>
      </x:c>
      <x:c r="G8844" t="str">
        <x:v>Office Supplies</x:v>
      </x:c>
      <x:c r="H8844" t="str">
        <x:v>Binders</x:v>
      </x:c>
      <x:c r="I8844" s="22" t="n">
        <x:v>65.568</x:v>
      </x:c>
      <x:c r="J8844" s="24" t="n">
        <x:v>2</x:v>
      </x:c>
      <x:c r="K8844" s="26" t="n">
        <x:v>0.2</x:v>
      </x:c>
      <x:c r="L8844" s="22" t="n">
        <x:v>23.768399999999996</x:v>
      </x:c>
      <x:c r="M8844" t="n">
        <x:v>2014</x:v>
      </x:c>
      <x:c r="N8844" s="20" t="n">
        <x:v>41730</x:v>
      </x:c>
    </x:row>
    <x:row r="8845" ht="18" customHeight="1">
      <x:c r="A8845" t="str">
        <x:v>CA-2014-153808</x:v>
      </x:c>
      <x:c r="B8845" s="18" t="n">
        <x:v>41735</x:v>
      </x:c>
      <x:c r="C8845" t="str">
        <x:v>FH-14275</x:v>
      </x:c>
      <x:c r="D8845" t="str">
        <x:v>Frank Hawley</x:v>
      </x:c>
      <x:c r="E8845" t="str">
        <x:v>Corporate</x:v>
      </x:c>
      <x:c r="F8845" t="str">
        <x:v>West</x:v>
      </x:c>
      <x:c r="G8845" t="str">
        <x:v>Technology</x:v>
      </x:c>
      <x:c r="H8845" t="str">
        <x:v>Accessories</x:v>
      </x:c>
      <x:c r="I8845" s="22" t="n">
        <x:v>299.96999999999997</x:v>
      </x:c>
      <x:c r="J8845" s="24" t="n">
        <x:v>3</x:v>
      </x:c>
      <x:c r="K8845" s="26" t="n">
        <x:v>0</x:v>
      </x:c>
      <x:c r="L8845" s="22" t="n">
        <x:v>131.98680000000002</x:v>
      </x:c>
      <x:c r="M8845" t="n">
        <x:v>2014</x:v>
      </x:c>
      <x:c r="N8845" s="20" t="n">
        <x:v>41730</x:v>
      </x:c>
    </x:row>
    <x:row r="8846" ht="18" customHeight="1">
      <x:c r="A8846" t="str">
        <x:v>US-2016-112396</x:v>
      </x:c>
      <x:c r="B8846" s="18" t="n">
        <x:v>42409</x:v>
      </x:c>
      <x:c r="C8846" t="str">
        <x:v>JR-16210</x:v>
      </x:c>
      <x:c r="D8846" t="str">
        <x:v>Justin Ritter</x:v>
      </x:c>
      <x:c r="E8846" t="str">
        <x:v>Corporate</x:v>
      </x:c>
      <x:c r="F8846" t="str">
        <x:v>West</x:v>
      </x:c>
      <x:c r="G8846" t="str">
        <x:v>Technology</x:v>
      </x:c>
      <x:c r="H8846" t="str">
        <x:v>Accessories</x:v>
      </x:c>
      <x:c r="I8846" s="22" t="n">
        <x:v>89.97</x:v>
      </x:c>
      <x:c r="J8846" s="24" t="n">
        <x:v>3</x:v>
      </x:c>
      <x:c r="K8846" s="26" t="n">
        <x:v>0</x:v>
      </x:c>
      <x:c r="L8846" s="22" t="n">
        <x:v>39.58680000000001</x:v>
      </x:c>
      <x:c r="M8846" t="n">
        <x:v>2016</x:v>
      </x:c>
      <x:c r="N8846" s="20" t="n">
        <x:v>42401</x:v>
      </x:c>
    </x:row>
    <x:row r="8847" ht="18" customHeight="1">
      <x:c r="A8847" t="str">
        <x:v>US-2016-112396</x:v>
      </x:c>
      <x:c r="B8847" s="18" t="n">
        <x:v>42409</x:v>
      </x:c>
      <x:c r="C8847" t="str">
        <x:v>JR-16210</x:v>
      </x:c>
      <x:c r="D8847" t="str">
        <x:v>Justin Ritter</x:v>
      </x:c>
      <x:c r="E8847" t="str">
        <x:v>Corporate</x:v>
      </x:c>
      <x:c r="F8847" t="str">
        <x:v>West</x:v>
      </x:c>
      <x:c r="G8847" t="str">
        <x:v>Technology</x:v>
      </x:c>
      <x:c r="H8847" t="str">
        <x:v>Accessories</x:v>
      </x:c>
      <x:c r="I8847" s="22" t="n">
        <x:v>31.86</x:v>
      </x:c>
      <x:c r="J8847" s="24" t="n">
        <x:v>2</x:v>
      </x:c>
      <x:c r="K8847" s="26" t="n">
        <x:v>0</x:v>
      </x:c>
      <x:c r="L8847" s="22" t="n">
        <x:v>11.151</x:v>
      </x:c>
      <x:c r="M8847" t="n">
        <x:v>2016</x:v>
      </x:c>
      <x:c r="N8847" s="20" t="n">
        <x:v>42401</x:v>
      </x:c>
    </x:row>
    <x:row r="8848" ht="18" customHeight="1">
      <x:c r="A8848" t="str">
        <x:v>CA-2014-141173</x:v>
      </x:c>
      <x:c r="B8848" s="18" t="n">
        <x:v>41961</x:v>
      </x:c>
      <x:c r="C8848" t="str">
        <x:v>JC-16105</x:v>
      </x:c>
      <x:c r="D8848" t="str">
        <x:v>Julie Creighton</x:v>
      </x:c>
      <x:c r="E8848" t="str">
        <x:v>Corporate</x:v>
      </x:c>
      <x:c r="F8848" t="str">
        <x:v>Central</x:v>
      </x:c>
      <x:c r="G8848" t="str">
        <x:v>Office Supplies</x:v>
      </x:c>
      <x:c r="H8848" t="str">
        <x:v>Storage</x:v>
      </x:c>
      <x:c r="I8848" s="22" t="n">
        <x:v>67.15</x:v>
      </x:c>
      <x:c r="J8848" s="24" t="n">
        <x:v>5</x:v>
      </x:c>
      <x:c r="K8848" s="26" t="n">
        <x:v>0</x:v>
      </x:c>
      <x:c r="L8848" s="22" t="n">
        <x:v>16.7875</x:v>
      </x:c>
      <x:c r="M8848" t="n">
        <x:v>2014</x:v>
      </x:c>
      <x:c r="N8848" s="20" t="n">
        <x:v>41944</x:v>
      </x:c>
    </x:row>
    <x:row r="8849" ht="18" customHeight="1">
      <x:c r="A8849" t="str">
        <x:v>CA-2017-156664</x:v>
      </x:c>
      <x:c r="B8849" s="18" t="n">
        <x:v>43087</x:v>
      </x:c>
      <x:c r="C8849" t="str">
        <x:v>BP-11290</x:v>
      </x:c>
      <x:c r="D8849" t="str">
        <x:v>Beth Paige</x:v>
      </x:c>
      <x:c r="E8849" t="str">
        <x:v>Consumer</x:v>
      </x:c>
      <x:c r="F8849" t="str">
        <x:v>East</x:v>
      </x:c>
      <x:c r="G8849" t="str">
        <x:v>Office Supplies</x:v>
      </x:c>
      <x:c r="H8849" t="str">
        <x:v>Binders</x:v>
      </x:c>
      <x:c r="I8849" s="22" t="n">
        <x:v>7.236</x:v>
      </x:c>
      <x:c r="J8849" s="24" t="n">
        <x:v>3</x:v>
      </x:c>
      <x:c r="K8849" s="26" t="n">
        <x:v>0.7</x:v>
      </x:c>
      <x:c r="L8849" s="22" t="n">
        <x:v>-6.029999999999998</x:v>
      </x:c>
      <x:c r="M8849" t="n">
        <x:v>2017</x:v>
      </x:c>
      <x:c r="N8849" s="20" t="n">
        <x:v>43070</x:v>
      </x:c>
    </x:row>
    <x:row r="8850" ht="18" customHeight="1">
      <x:c r="A8850" t="str">
        <x:v>CA-2017-156664</x:v>
      </x:c>
      <x:c r="B8850" s="18" t="n">
        <x:v>43087</x:v>
      </x:c>
      <x:c r="C8850" t="str">
        <x:v>BP-11290</x:v>
      </x:c>
      <x:c r="D8850" t="str">
        <x:v>Beth Paige</x:v>
      </x:c>
      <x:c r="E8850" t="str">
        <x:v>Consumer</x:v>
      </x:c>
      <x:c r="F8850" t="str">
        <x:v>East</x:v>
      </x:c>
      <x:c r="G8850" t="str">
        <x:v>Office Supplies</x:v>
      </x:c>
      <x:c r="H8850" t="str">
        <x:v>Fasteners</x:v>
      </x:c>
      <x:c r="I8850" s="22" t="n">
        <x:v>4.824</x:v>
      </x:c>
      <x:c r="J8850" s="24" t="n">
        <x:v>3</x:v>
      </x:c>
      <x:c r="K8850" s="26" t="n">
        <x:v>0.2</x:v>
      </x:c>
      <x:c r="L8850" s="22" t="n">
        <x:v>1.7487</x:v>
      </x:c>
      <x:c r="M8850" t="n">
        <x:v>2017</x:v>
      </x:c>
      <x:c r="N8850" s="20" t="n">
        <x:v>43070</x:v>
      </x:c>
    </x:row>
    <x:row r="8851" ht="18" customHeight="1">
      <x:c r="A8851" t="str">
        <x:v>CA-2017-156664</x:v>
      </x:c>
      <x:c r="B8851" s="18" t="n">
        <x:v>43087</x:v>
      </x:c>
      <x:c r="C8851" t="str">
        <x:v>BP-11290</x:v>
      </x:c>
      <x:c r="D8851" t="str">
        <x:v>Beth Paige</x:v>
      </x:c>
      <x:c r="E8851" t="str">
        <x:v>Consumer</x:v>
      </x:c>
      <x:c r="F8851" t="str">
        <x:v>East</x:v>
      </x:c>
      <x:c r="G8851" t="str">
        <x:v>Office Supplies</x:v>
      </x:c>
      <x:c r="H8851" t="str">
        <x:v>Paper</x:v>
      </x:c>
      <x:c r="I8851" s="22" t="n">
        <x:v>91.36000000000001</x:v>
      </x:c>
      <x:c r="J8851" s="24" t="n">
        <x:v>5</x:v>
      </x:c>
      <x:c r="K8851" s="26" t="n">
        <x:v>0.2</x:v>
      </x:c>
      <x:c r="L8851" s="22" t="n">
        <x:v>29.691999999999993</x:v>
      </x:c>
      <x:c r="M8851" t="n">
        <x:v>2017</x:v>
      </x:c>
      <x:c r="N8851" s="20" t="n">
        <x:v>43070</x:v>
      </x:c>
    </x:row>
    <x:row r="8852" ht="18" customHeight="1">
      <x:c r="A8852" t="str">
        <x:v>CA-2017-156664</x:v>
      </x:c>
      <x:c r="B8852" s="18" t="n">
        <x:v>43087</x:v>
      </x:c>
      <x:c r="C8852" t="str">
        <x:v>BP-11290</x:v>
      </x:c>
      <x:c r="D8852" t="str">
        <x:v>Beth Paige</x:v>
      </x:c>
      <x:c r="E8852" t="str">
        <x:v>Consumer</x:v>
      </x:c>
      <x:c r="F8852" t="str">
        <x:v>East</x:v>
      </x:c>
      <x:c r="G8852" t="str">
        <x:v>Office Supplies</x:v>
      </x:c>
      <x:c r="H8852" t="str">
        <x:v>Appliances</x:v>
      </x:c>
      <x:c r="I8852" s="22" t="n">
        <x:v>130.112</x:v>
      </x:c>
      <x:c r="J8852" s="24" t="n">
        <x:v>2</x:v>
      </x:c>
      <x:c r="K8852" s="26" t="n">
        <x:v>0.2</x:v>
      </x:c>
      <x:c r="L8852" s="22" t="n">
        <x:v>13.011199999999995</x:v>
      </x:c>
      <x:c r="M8852" t="n">
        <x:v>2017</x:v>
      </x:c>
      <x:c r="N8852" s="20" t="n">
        <x:v>43070</x:v>
      </x:c>
    </x:row>
    <x:row r="8853" ht="18" customHeight="1">
      <x:c r="A8853" t="str">
        <x:v>CA-2015-140718</x:v>
      </x:c>
      <x:c r="B8853" s="18" t="n">
        <x:v>42187</x:v>
      </x:c>
      <x:c r="C8853" t="str">
        <x:v>FA-14230</x:v>
      </x:c>
      <x:c r="D8853" t="str">
        <x:v>Frank Atkinson</x:v>
      </x:c>
      <x:c r="E8853" t="str">
        <x:v>Corporate</x:v>
      </x:c>
      <x:c r="F8853" t="str">
        <x:v>South</x:v>
      </x:c>
      <x:c r="G8853" t="str">
        <x:v>Technology</x:v>
      </x:c>
      <x:c r="H8853" t="str">
        <x:v>Phones</x:v>
      </x:c>
      <x:c r="I8853" s="22" t="n">
        <x:v>74.24</x:v>
      </x:c>
      <x:c r="J8853" s="24" t="n">
        <x:v>1</x:v>
      </x:c>
      <x:c r="K8853" s="26" t="n">
        <x:v>0.2</x:v>
      </x:c>
      <x:c r="L8853" s="22" t="n">
        <x:v>8.351999999999993</x:v>
      </x:c>
      <x:c r="M8853" t="n">
        <x:v>2015</x:v>
      </x:c>
      <x:c r="N8853" s="20" t="n">
        <x:v>42186</x:v>
      </x:c>
    </x:row>
    <x:row r="8854" ht="18" customHeight="1">
      <x:c r="A8854" t="str">
        <x:v>CA-2015-140718</x:v>
      </x:c>
      <x:c r="B8854" s="18" t="n">
        <x:v>42187</x:v>
      </x:c>
      <x:c r="C8854" t="str">
        <x:v>FA-14230</x:v>
      </x:c>
      <x:c r="D8854" t="str">
        <x:v>Frank Atkinson</x:v>
      </x:c>
      <x:c r="E8854" t="str">
        <x:v>Corporate</x:v>
      </x:c>
      <x:c r="F8854" t="str">
        <x:v>South</x:v>
      </x:c>
      <x:c r="G8854" t="str">
        <x:v>Furniture</x:v>
      </x:c>
      <x:c r="H8854" t="str">
        <x:v>Furnishings</x:v>
      </x:c>
      <x:c r="I8854" s="22" t="n">
        <x:v>159.84000000000003</x:v>
      </x:c>
      <x:c r="J8854" s="24" t="n">
        <x:v>10</x:v>
      </x:c>
      <x:c r="K8854" s="26" t="n">
        <x:v>0.2</x:v>
      </x:c>
      <x:c r="L8854" s="22" t="n">
        <x:v>45.95400000000001</x:v>
      </x:c>
      <x:c r="M8854" t="n">
        <x:v>2015</x:v>
      </x:c>
      <x:c r="N8854" s="20" t="n">
        <x:v>42186</x:v>
      </x:c>
    </x:row>
    <x:row r="8855" ht="18" customHeight="1">
      <x:c r="A8855" t="str">
        <x:v>CA-2015-140718</x:v>
      </x:c>
      <x:c r="B8855" s="18" t="n">
        <x:v>42187</x:v>
      </x:c>
      <x:c r="C8855" t="str">
        <x:v>FA-14230</x:v>
      </x:c>
      <x:c r="D8855" t="str">
        <x:v>Frank Atkinson</x:v>
      </x:c>
      <x:c r="E8855" t="str">
        <x:v>Corporate</x:v>
      </x:c>
      <x:c r="F8855" t="str">
        <x:v>South</x:v>
      </x:c>
      <x:c r="G8855" t="str">
        <x:v>Office Supplies</x:v>
      </x:c>
      <x:c r="H8855" t="str">
        <x:v>Binders</x:v>
      </x:c>
      <x:c r="I8855" s="22" t="n">
        <x:v>2.892000000000001</x:v>
      </x:c>
      <x:c r="J8855" s="24" t="n">
        <x:v>2</x:v>
      </x:c>
      <x:c r="K8855" s="26" t="n">
        <x:v>0.7</x:v>
      </x:c>
      <x:c r="L8855" s="22" t="n">
        <x:v>-2.3136</x:v>
      </x:c>
      <x:c r="M8855" t="n">
        <x:v>2015</x:v>
      </x:c>
      <x:c r="N8855" s="20" t="n">
        <x:v>42186</x:v>
      </x:c>
    </x:row>
    <x:row r="8856" ht="18" customHeight="1">
      <x:c r="A8856" t="str">
        <x:v>CA-2015-140718</x:v>
      </x:c>
      <x:c r="B8856" s="18" t="n">
        <x:v>42187</x:v>
      </x:c>
      <x:c r="C8856" t="str">
        <x:v>FA-14230</x:v>
      </x:c>
      <x:c r="D8856" t="str">
        <x:v>Frank Atkinson</x:v>
      </x:c>
      <x:c r="E8856" t="str">
        <x:v>Corporate</x:v>
      </x:c>
      <x:c r="F8856" t="str">
        <x:v>South</x:v>
      </x:c>
      <x:c r="G8856" t="str">
        <x:v>Office Supplies</x:v>
      </x:c>
      <x:c r="H8856" t="str">
        <x:v>Paper</x:v>
      </x:c>
      <x:c r="I8856" s="22" t="n">
        <x:v>9.392000000000001</x:v>
      </x:c>
      <x:c r="J8856" s="24" t="n">
        <x:v>2</x:v>
      </x:c>
      <x:c r="K8856" s="26" t="n">
        <x:v>0.2</x:v>
      </x:c>
      <x:c r="L8856" s="22" t="n">
        <x:v>3.2872</x:v>
      </x:c>
      <x:c r="M8856" t="n">
        <x:v>2015</x:v>
      </x:c>
      <x:c r="N8856" s="20" t="n">
        <x:v>42186</x:v>
      </x:c>
    </x:row>
    <x:row r="8857" ht="18" customHeight="1">
      <x:c r="A8857" t="str">
        <x:v>CA-2014-119977</x:v>
      </x:c>
      <x:c r="B8857" s="18" t="n">
        <x:v>41920</x:v>
      </x:c>
      <x:c r="C8857" t="str">
        <x:v>DN-13690</x:v>
      </x:c>
      <x:c r="D8857" t="str">
        <x:v>Duane Noonan</x:v>
      </x:c>
      <x:c r="E8857" t="str">
        <x:v>Consumer</x:v>
      </x:c>
      <x:c r="F8857" t="str">
        <x:v>East</x:v>
      </x:c>
      <x:c r="G8857" t="str">
        <x:v>Office Supplies</x:v>
      </x:c>
      <x:c r="H8857" t="str">
        <x:v>Paper</x:v>
      </x:c>
      <x:c r="I8857" s="22" t="n">
        <x:v>123.92</x:v>
      </x:c>
      <x:c r="J8857" s="24" t="n">
        <x:v>4</x:v>
      </x:c>
      <x:c r="K8857" s="26" t="n">
        <x:v>0</x:v>
      </x:c>
      <x:c r="L8857" s="22" t="n">
        <x:v>55.763999999999996</x:v>
      </x:c>
      <x:c r="M8857" t="n">
        <x:v>2014</x:v>
      </x:c>
      <x:c r="N8857" s="20" t="n">
        <x:v>41913</x:v>
      </x:c>
    </x:row>
    <x:row r="8858" ht="18" customHeight="1">
      <x:c r="A8858" t="str">
        <x:v>US-2015-115343</x:v>
      </x:c>
      <x:c r="B8858" s="18" t="n">
        <x:v>42269</x:v>
      </x:c>
      <x:c r="C8858" t="str">
        <x:v>FO-14305</x:v>
      </x:c>
      <x:c r="D8858" t="str">
        <x:v>Frank Olsen</x:v>
      </x:c>
      <x:c r="E8858" t="str">
        <x:v>Consumer</x:v>
      </x:c>
      <x:c r="F8858" t="str">
        <x:v>East</x:v>
      </x:c>
      <x:c r="G8858" t="str">
        <x:v>Office Supplies</x:v>
      </x:c>
      <x:c r="H8858" t="str">
        <x:v>Supplies</x:v>
      </x:c>
      <x:c r="I8858" s="22" t="n">
        <x:v>55.60000000000001</x:v>
      </x:c>
      <x:c r="J8858" s="24" t="n">
        <x:v>5</x:v>
      </x:c>
      <x:c r="K8858" s="26" t="n">
        <x:v>0.2</x:v>
      </x:c>
      <x:c r="L8858" s="22" t="n">
        <x:v>6.254999999999992</x:v>
      </x:c>
      <x:c r="M8858" t="n">
        <x:v>2015</x:v>
      </x:c>
      <x:c r="N8858" s="20" t="n">
        <x:v>42248</x:v>
      </x:c>
    </x:row>
    <x:row r="8859" ht="18" customHeight="1">
      <x:c r="A8859" t="str">
        <x:v>US-2015-115343</x:v>
      </x:c>
      <x:c r="B8859" s="18" t="n">
        <x:v>42269</x:v>
      </x:c>
      <x:c r="C8859" t="str">
        <x:v>FO-14305</x:v>
      </x:c>
      <x:c r="D8859" t="str">
        <x:v>Frank Olsen</x:v>
      </x:c>
      <x:c r="E8859" t="str">
        <x:v>Consumer</x:v>
      </x:c>
      <x:c r="F8859" t="str">
        <x:v>East</x:v>
      </x:c>
      <x:c r="G8859" t="str">
        <x:v>Technology</x:v>
      </x:c>
      <x:c r="H8859" t="str">
        <x:v>Accessories</x:v>
      </x:c>
      <x:c r="I8859" s="22" t="n">
        <x:v>617.9760000000001</x:v>
      </x:c>
      <x:c r="J8859" s="24" t="n">
        <x:v>3</x:v>
      </x:c>
      <x:c r="K8859" s="26" t="n">
        <x:v>0.2</x:v>
      </x:c>
      <x:c r="L8859" s="22" t="n">
        <x:v>-7.724700000000098</x:v>
      </x:c>
      <x:c r="M8859" t="n">
        <x:v>2015</x:v>
      </x:c>
      <x:c r="N8859" s="20" t="n">
        <x:v>42248</x:v>
      </x:c>
    </x:row>
    <x:row r="8860" ht="18" customHeight="1">
      <x:c r="A8860" t="str">
        <x:v>CA-2017-163671</x:v>
      </x:c>
      <x:c r="B8860" s="18" t="n">
        <x:v>43093</x:v>
      </x:c>
      <x:c r="C8860" t="str">
        <x:v>DP-13105</x:v>
      </x:c>
      <x:c r="D8860" t="str">
        <x:v>Dave Poirier</x:v>
      </x:c>
      <x:c r="E8860" t="str">
        <x:v>Corporate</x:v>
      </x:c>
      <x:c r="F8860" t="str">
        <x:v>West</x:v>
      </x:c>
      <x:c r="G8860" t="str">
        <x:v>Office Supplies</x:v>
      </x:c>
      <x:c r="H8860" t="str">
        <x:v>Binders</x:v>
      </x:c>
      <x:c r="I8860" s="22" t="n">
        <x:v>21.312000000000005</x:v>
      </x:c>
      <x:c r="J8860" s="24" t="n">
        <x:v>3</x:v>
      </x:c>
      <x:c r="K8860" s="26" t="n">
        <x:v>0.2</x:v>
      </x:c>
      <x:c r="L8860" s="22" t="n">
        <x:v>7.991999999999999</x:v>
      </x:c>
      <x:c r="M8860" t="n">
        <x:v>2017</x:v>
      </x:c>
      <x:c r="N8860" s="20" t="n">
        <x:v>43070</x:v>
      </x:c>
    </x:row>
    <x:row r="8861" ht="18" customHeight="1">
      <x:c r="A8861" t="str">
        <x:v>CA-2017-135909</x:v>
      </x:c>
      <x:c r="B8861" s="18" t="n">
        <x:v>43021</x:v>
      </x:c>
      <x:c r="C8861" t="str">
        <x:v>JW-15220</x:v>
      </x:c>
      <x:c r="D8861" t="str">
        <x:v>Jane Waco</x:v>
      </x:c>
      <x:c r="E8861" t="str">
        <x:v>Corporate</x:v>
      </x:c>
      <x:c r="F8861" t="str">
        <x:v>West</x:v>
      </x:c>
      <x:c r="G8861" t="str">
        <x:v>Technology</x:v>
      </x:c>
      <x:c r="H8861" t="str">
        <x:v>Accessories</x:v>
      </x:c>
      <x:c r="I8861" s="22" t="n">
        <x:v>209.94</x:v>
      </x:c>
      <x:c r="J8861" s="24" t="n">
        <x:v>6</x:v>
      </x:c>
      <x:c r="K8861" s="26" t="n">
        <x:v>0</x:v>
      </x:c>
      <x:c r="L8861" s="22" t="n">
        <x:v>39.8886</x:v>
      </x:c>
      <x:c r="M8861" t="n">
        <x:v>2017</x:v>
      </x:c>
      <x:c r="N8861" s="20" t="n">
        <x:v>43009</x:v>
      </x:c>
    </x:row>
    <x:row r="8862" ht="18" customHeight="1">
      <x:c r="A8862" t="str">
        <x:v>CA-2017-135909</x:v>
      </x:c>
      <x:c r="B8862" s="18" t="n">
        <x:v>43021</x:v>
      </x:c>
      <x:c r="C8862" t="str">
        <x:v>JW-15220</x:v>
      </x:c>
      <x:c r="D8862" t="str">
        <x:v>Jane Waco</x:v>
      </x:c>
      <x:c r="E8862" t="str">
        <x:v>Corporate</x:v>
      </x:c>
      <x:c r="F8862" t="str">
        <x:v>West</x:v>
      </x:c>
      <x:c r="G8862" t="str">
        <x:v>Technology</x:v>
      </x:c>
      <x:c r="H8862" t="str">
        <x:v>Phones</x:v>
      </x:c>
      <x:c r="I8862" s="22" t="n">
        <x:v>31.983999999999998</x:v>
      </x:c>
      <x:c r="J8862" s="24" t="n">
        <x:v>2</x:v>
      </x:c>
      <x:c r="K8862" s="26" t="n">
        <x:v>0.2</x:v>
      </x:c>
      <x:c r="L8862" s="22" t="n">
        <x:v>-7.9959999999999996</x:v>
      </x:c>
      <x:c r="M8862" t="n">
        <x:v>2017</x:v>
      </x:c>
      <x:c r="N8862" s="20" t="n">
        <x:v>43009</x:v>
      </x:c>
    </x:row>
    <x:row r="8863" ht="18" customHeight="1">
      <x:c r="A8863" t="str">
        <x:v>CA-2017-135909</x:v>
      </x:c>
      <x:c r="B8863" s="18" t="n">
        <x:v>43021</x:v>
      </x:c>
      <x:c r="C8863" t="str">
        <x:v>JW-15220</x:v>
      </x:c>
      <x:c r="D8863" t="str">
        <x:v>Jane Waco</x:v>
      </x:c>
      <x:c r="E8863" t="str">
        <x:v>Corporate</x:v>
      </x:c>
      <x:c r="F8863" t="str">
        <x:v>West</x:v>
      </x:c>
      <x:c r="G8863" t="str">
        <x:v>Office Supplies</x:v>
      </x:c>
      <x:c r="H8863" t="str">
        <x:v>Binders</x:v>
      </x:c>
      <x:c r="I8863" s="22" t="n">
        <x:v>5083.96</x:v>
      </x:c>
      <x:c r="J8863" s="24" t="n">
        <x:v>5</x:v>
      </x:c>
      <x:c r="K8863" s="26" t="n">
        <x:v>0.2</x:v>
      </x:c>
      <x:c r="L8863" s="22" t="n">
        <x:v>1906.485</x:v>
      </x:c>
      <x:c r="M8863" t="n">
        <x:v>2017</x:v>
      </x:c>
      <x:c r="N8863" s="20" t="n">
        <x:v>43009</x:v>
      </x:c>
    </x:row>
    <x:row r="8864" ht="18" customHeight="1">
      <x:c r="A8864" t="str">
        <x:v>US-2017-114356</x:v>
      </x:c>
      <x:c r="B8864" s="18" t="n">
        <x:v>42967</x:v>
      </x:c>
      <x:c r="C8864" t="str">
        <x:v>TT-21460</x:v>
      </x:c>
      <x:c r="D8864" t="str">
        <x:v>Tonja Turnell</x:v>
      </x:c>
      <x:c r="E8864" t="str">
        <x:v>Home Office</x:v>
      </x:c>
      <x:c r="F8864" t="str">
        <x:v>South</x:v>
      </x:c>
      <x:c r="G8864" t="str">
        <x:v>Technology</x:v>
      </x:c>
      <x:c r="H8864" t="str">
        <x:v>Phones</x:v>
      </x:c>
      <x:c r="I8864" s="22" t="n">
        <x:v>35.96</x:v>
      </x:c>
      <x:c r="J8864" s="24" t="n">
        <x:v>1</x:v>
      </x:c>
      <x:c r="K8864" s="26" t="n">
        <x:v>0.2</x:v>
      </x:c>
      <x:c r="L8864" s="22" t="n">
        <x:v>3.5959999999999983</x:v>
      </x:c>
      <x:c r="M8864" t="n">
        <x:v>2017</x:v>
      </x:c>
      <x:c r="N8864" s="20" t="n">
        <x:v>42948</x:v>
      </x:c>
    </x:row>
    <x:row r="8865" ht="18" customHeight="1">
      <x:c r="A8865" t="str">
        <x:v>CA-2015-125934</x:v>
      </x:c>
      <x:c r="B8865" s="18" t="n">
        <x:v>42258</x:v>
      </x:c>
      <x:c r="C8865" t="str">
        <x:v>SN-20560</x:v>
      </x:c>
      <x:c r="D8865" t="str">
        <x:v>Skye Norling</x:v>
      </x:c>
      <x:c r="E8865" t="str">
        <x:v>Home Office</x:v>
      </x:c>
      <x:c r="F8865" t="str">
        <x:v>East</x:v>
      </x:c>
      <x:c r="G8865" t="str">
        <x:v>Office Supplies</x:v>
      </x:c>
      <x:c r="H8865" t="str">
        <x:v>Labels</x:v>
      </x:c>
      <x:c r="I8865" s="22" t="n">
        <x:v>31.049999999999997</x:v>
      </x:c>
      <x:c r="J8865" s="24" t="n">
        <x:v>3</x:v>
      </x:c>
      <x:c r="K8865" s="26" t="n">
        <x:v>0</x:v>
      </x:c>
      <x:c r="L8865" s="22" t="n">
        <x:v>14.904</x:v>
      </x:c>
      <x:c r="M8865" t="n">
        <x:v>2015</x:v>
      </x:c>
      <x:c r="N8865" s="20" t="n">
        <x:v>42248</x:v>
      </x:c>
    </x:row>
    <x:row r="8866" ht="18" customHeight="1">
      <x:c r="A8866" t="str">
        <x:v>CA-2015-125934</x:v>
      </x:c>
      <x:c r="B8866" s="18" t="n">
        <x:v>42258</x:v>
      </x:c>
      <x:c r="C8866" t="str">
        <x:v>SN-20560</x:v>
      </x:c>
      <x:c r="D8866" t="str">
        <x:v>Skye Norling</x:v>
      </x:c>
      <x:c r="E8866" t="str">
        <x:v>Home Office</x:v>
      </x:c>
      <x:c r="F8866" t="str">
        <x:v>East</x:v>
      </x:c>
      <x:c r="G8866" t="str">
        <x:v>Furniture</x:v>
      </x:c>
      <x:c r="H8866" t="str">
        <x:v>Furnishings</x:v>
      </x:c>
      <x:c r="I8866" s="22" t="n">
        <x:v>8.92</x:v>
      </x:c>
      <x:c r="J8866" s="24" t="n">
        <x:v>4</x:v>
      </x:c>
      <x:c r="K8866" s="26" t="n">
        <x:v>0</x:v>
      </x:c>
      <x:c r="L8866" s="22" t="n">
        <x:v>3.9248000000000003</x:v>
      </x:c>
      <x:c r="M8866" t="n">
        <x:v>2015</x:v>
      </x:c>
      <x:c r="N8866" s="20" t="n">
        <x:v>42248</x:v>
      </x:c>
    </x:row>
    <x:row r="8867" ht="18" customHeight="1">
      <x:c r="A8867" t="str">
        <x:v>CA-2015-125934</x:v>
      </x:c>
      <x:c r="B8867" s="18" t="n">
        <x:v>42258</x:v>
      </x:c>
      <x:c r="C8867" t="str">
        <x:v>SN-20560</x:v>
      </x:c>
      <x:c r="D8867" t="str">
        <x:v>Skye Norling</x:v>
      </x:c>
      <x:c r="E8867" t="str">
        <x:v>Home Office</x:v>
      </x:c>
      <x:c r="F8867" t="str">
        <x:v>East</x:v>
      </x:c>
      <x:c r="G8867" t="str">
        <x:v>Office Supplies</x:v>
      </x:c>
      <x:c r="H8867" t="str">
        <x:v>Binders</x:v>
      </x:c>
      <x:c r="I8867" s="22" t="n">
        <x:v>209.6</x:v>
      </x:c>
      <x:c r="J8867" s="24" t="n">
        <x:v>4</x:v>
      </x:c>
      <x:c r="K8867" s="26" t="n">
        <x:v>0</x:v>
      </x:c>
      <x:c r="L8867" s="22" t="n">
        <x:v>96.416</x:v>
      </x:c>
      <x:c r="M8867" t="n">
        <x:v>2015</x:v>
      </x:c>
      <x:c r="N8867" s="20" t="n">
        <x:v>42248</x:v>
      </x:c>
    </x:row>
    <x:row r="8868" ht="18" customHeight="1">
      <x:c r="A8868" t="str">
        <x:v>CA-2015-125934</x:v>
      </x:c>
      <x:c r="B8868" s="18" t="n">
        <x:v>42258</x:v>
      </x:c>
      <x:c r="C8868" t="str">
        <x:v>SN-20560</x:v>
      </x:c>
      <x:c r="D8868" t="str">
        <x:v>Skye Norling</x:v>
      </x:c>
      <x:c r="E8868" t="str">
        <x:v>Home Office</x:v>
      </x:c>
      <x:c r="F8868" t="str">
        <x:v>East</x:v>
      </x:c>
      <x:c r="G8868" t="str">
        <x:v>Office Supplies</x:v>
      </x:c>
      <x:c r="H8868" t="str">
        <x:v>Appliances</x:v>
      </x:c>
      <x:c r="I8868" s="22" t="n">
        <x:v>111.04</x:v>
      </x:c>
      <x:c r="J8868" s="24" t="n">
        <x:v>4</x:v>
      </x:c>
      <x:c r="K8868" s="26" t="n">
        <x:v>0</x:v>
      </x:c>
      <x:c r="L8868" s="22" t="n">
        <x:v>29.980800000000002</x:v>
      </x:c>
      <x:c r="M8868" t="n">
        <x:v>2015</x:v>
      </x:c>
      <x:c r="N8868" s="20" t="n">
        <x:v>42248</x:v>
      </x:c>
    </x:row>
    <x:row r="8869" ht="18" customHeight="1">
      <x:c r="A8869" t="str">
        <x:v>CA-2015-125934</x:v>
      </x:c>
      <x:c r="B8869" s="18" t="n">
        <x:v>42258</x:v>
      </x:c>
      <x:c r="C8869" t="str">
        <x:v>SN-20560</x:v>
      </x:c>
      <x:c r="D8869" t="str">
        <x:v>Skye Norling</x:v>
      </x:c>
      <x:c r="E8869" t="str">
        <x:v>Home Office</x:v>
      </x:c>
      <x:c r="F8869" t="str">
        <x:v>East</x:v>
      </x:c>
      <x:c r="G8869" t="str">
        <x:v>Office Supplies</x:v>
      </x:c>
      <x:c r="H8869" t="str">
        <x:v>Paper</x:v>
      </x:c>
      <x:c r="I8869" s="22" t="n">
        <x:v>38.88</x:v>
      </x:c>
      <x:c r="J8869" s="24" t="n">
        <x:v>6</x:v>
      </x:c>
      <x:c r="K8869" s="26" t="n">
        <x:v>0</x:v>
      </x:c>
      <x:c r="L8869" s="22" t="n">
        <x:v>18.6624</x:v>
      </x:c>
      <x:c r="M8869" t="n">
        <x:v>2015</x:v>
      </x:c>
      <x:c r="N8869" s="20" t="n">
        <x:v>42248</x:v>
      </x:c>
    </x:row>
    <x:row r="8870" ht="18" customHeight="1">
      <x:c r="A8870" t="str">
        <x:v>CA-2015-158148</x:v>
      </x:c>
      <x:c r="B8870" s="18" t="n">
        <x:v>42358</x:v>
      </x:c>
      <x:c r="C8870" t="str">
        <x:v>JM-15865</x:v>
      </x:c>
      <x:c r="D8870" t="str">
        <x:v>John Murray</x:v>
      </x:c>
      <x:c r="E8870" t="str">
        <x:v>Consumer</x:v>
      </x:c>
      <x:c r="F8870" t="str">
        <x:v>South</x:v>
      </x:c>
      <x:c r="G8870" t="str">
        <x:v>Office Supplies</x:v>
      </x:c>
      <x:c r="H8870" t="str">
        <x:v>Appliances</x:v>
      </x:c>
      <x:c r="I8870" s="22" t="n">
        <x:v>36.269999999999996</x:v>
      </x:c>
      <x:c r="J8870" s="24" t="n">
        <x:v>3</x:v>
      </x:c>
      <x:c r="K8870" s="26" t="n">
        <x:v>0</x:v>
      </x:c>
      <x:c r="L8870" s="22" t="n">
        <x:v>10.880999999999997</x:v>
      </x:c>
      <x:c r="M8870" t="n">
        <x:v>2015</x:v>
      </x:c>
      <x:c r="N8870" s="20" t="n">
        <x:v>42339</x:v>
      </x:c>
    </x:row>
    <x:row r="8871" ht="18" customHeight="1">
      <x:c r="A8871" t="str">
        <x:v>CA-2014-120411</x:v>
      </x:c>
      <x:c r="B8871" s="18" t="n">
        <x:v>41902</x:v>
      </x:c>
      <x:c r="C8871" t="str">
        <x:v>SB-20185</x:v>
      </x:c>
      <x:c r="D8871" t="str">
        <x:v>Sarah Brown</x:v>
      </x:c>
      <x:c r="E8871" t="str">
        <x:v>Consumer</x:v>
      </x:c>
      <x:c r="F8871" t="str">
        <x:v>Central</x:v>
      </x:c>
      <x:c r="G8871" t="str">
        <x:v>Furniture</x:v>
      </x:c>
      <x:c r="H8871" t="str">
        <x:v>Bookcases</x:v>
      </x:c>
      <x:c r="I8871" s="22" t="n">
        <x:v>493.42999999999995</x:v>
      </x:c>
      <x:c r="J8871" s="24" t="n">
        <x:v>5</x:v>
      </x:c>
      <x:c r="K8871" s="26" t="n">
        <x:v>0.3</x:v>
      </x:c>
      <x:c r="L8871" s="22" t="n">
        <x:v>-70.48999999999998</x:v>
      </x:c>
      <x:c r="M8871" t="n">
        <x:v>2014</x:v>
      </x:c>
      <x:c r="N8871" s="20" t="n">
        <x:v>41883</x:v>
      </x:c>
    </x:row>
    <x:row r="8872" ht="18" customHeight="1">
      <x:c r="A8872" t="str">
        <x:v>CA-2014-120411</x:v>
      </x:c>
      <x:c r="B8872" s="18" t="n">
        <x:v>41902</x:v>
      </x:c>
      <x:c r="C8872" t="str">
        <x:v>SB-20185</x:v>
      </x:c>
      <x:c r="D8872" t="str">
        <x:v>Sarah Brown</x:v>
      </x:c>
      <x:c r="E8872" t="str">
        <x:v>Consumer</x:v>
      </x:c>
      <x:c r="F8872" t="str">
        <x:v>Central</x:v>
      </x:c>
      <x:c r="G8872" t="str">
        <x:v>Technology</x:v>
      </x:c>
      <x:c r="H8872" t="str">
        <x:v>Phones</x:v>
      </x:c>
      <x:c r="I8872" s="22" t="n">
        <x:v>11.120000000000001</x:v>
      </x:c>
      <x:c r="J8872" s="24" t="n">
        <x:v>2</x:v>
      </x:c>
      <x:c r="K8872" s="26" t="n">
        <x:v>0.2</x:v>
      </x:c>
      <x:c r="L8872" s="22" t="n">
        <x:v>3.4749999999999996</x:v>
      </x:c>
      <x:c r="M8872" t="n">
        <x:v>2014</x:v>
      </x:c>
      <x:c r="N8872" s="20" t="n">
        <x:v>41883</x:v>
      </x:c>
    </x:row>
    <x:row r="8873" ht="18" customHeight="1">
      <x:c r="A8873" t="str">
        <x:v>CA-2016-158260</x:v>
      </x:c>
      <x:c r="B8873" s="18" t="n">
        <x:v>42678</x:v>
      </x:c>
      <x:c r="C8873" t="str">
        <x:v>CC-12475</x:v>
      </x:c>
      <x:c r="D8873" t="str">
        <x:v>Cindy Chapman</x:v>
      </x:c>
      <x:c r="E8873" t="str">
        <x:v>Consumer</x:v>
      </x:c>
      <x:c r="F8873" t="str">
        <x:v>West</x:v>
      </x:c>
      <x:c r="G8873" t="str">
        <x:v>Technology</x:v>
      </x:c>
      <x:c r="H8873" t="str">
        <x:v>Machines</x:v>
      </x:c>
      <x:c r="I8873" s="22" t="n">
        <x:v>686.4000000000001</x:v>
      </x:c>
      <x:c r="J8873" s="24" t="n">
        <x:v>2</x:v>
      </x:c>
      <x:c r="K8873" s="26" t="n">
        <x:v>0.2</x:v>
      </x:c>
      <x:c r="L8873" s="22" t="n">
        <x:v>77.21999999999991</x:v>
      </x:c>
      <x:c r="M8873" t="n">
        <x:v>2016</x:v>
      </x:c>
      <x:c r="N8873" s="20" t="n">
        <x:v>42675</x:v>
      </x:c>
    </x:row>
    <x:row r="8874" ht="18" customHeight="1">
      <x:c r="A8874" t="str">
        <x:v>CA-2017-101805</x:v>
      </x:c>
      <x:c r="B8874" s="18" t="n">
        <x:v>43070</x:v>
      </x:c>
      <x:c r="C8874" t="str">
        <x:v>SH-19975</x:v>
      </x:c>
      <x:c r="D8874" t="str">
        <x:v>Sally Hughsby</x:v>
      </x:c>
      <x:c r="E8874" t="str">
        <x:v>Corporate</x:v>
      </x:c>
      <x:c r="F8874" t="str">
        <x:v>West</x:v>
      </x:c>
      <x:c r="G8874" t="str">
        <x:v>Office Supplies</x:v>
      </x:c>
      <x:c r="H8874" t="str">
        <x:v>Binders</x:v>
      </x:c>
      <x:c r="I8874" s="22" t="n">
        <x:v>15.920000000000002</x:v>
      </x:c>
      <x:c r="J8874" s="24" t="n">
        <x:v>5</x:v>
      </x:c>
      <x:c r="K8874" s="26" t="n">
        <x:v>0.2</x:v>
      </x:c>
      <x:c r="L8874" s="22" t="n">
        <x:v>5.372999999999999</x:v>
      </x:c>
      <x:c r="M8874" t="n">
        <x:v>2017</x:v>
      </x:c>
      <x:c r="N8874" s="20" t="n">
        <x:v>43070</x:v>
      </x:c>
    </x:row>
    <x:row r="8875" ht="18" customHeight="1">
      <x:c r="A8875" t="str">
        <x:v>CA-2017-101805</x:v>
      </x:c>
      <x:c r="B8875" s="18" t="n">
        <x:v>43070</x:v>
      </x:c>
      <x:c r="C8875" t="str">
        <x:v>SH-19975</x:v>
      </x:c>
      <x:c r="D8875" t="str">
        <x:v>Sally Hughsby</x:v>
      </x:c>
      <x:c r="E8875" t="str">
        <x:v>Corporate</x:v>
      </x:c>
      <x:c r="F8875" t="str">
        <x:v>West</x:v>
      </x:c>
      <x:c r="G8875" t="str">
        <x:v>Furniture</x:v>
      </x:c>
      <x:c r="H8875" t="str">
        <x:v>Furnishings</x:v>
      </x:c>
      <x:c r="I8875" s="22" t="n">
        <x:v>70.67999999999999</x:v>
      </x:c>
      <x:c r="J8875" s="24" t="n">
        <x:v>12</x:v>
      </x:c>
      <x:c r="K8875" s="26" t="n">
        <x:v>0</x:v>
      </x:c>
      <x:c r="L8875" s="22" t="n">
        <x:v>31.099200000000003</x:v>
      </x:c>
      <x:c r="M8875" t="n">
        <x:v>2017</x:v>
      </x:c>
      <x:c r="N8875" s="20" t="n">
        <x:v>43070</x:v>
      </x:c>
    </x:row>
    <x:row r="8876" ht="18" customHeight="1">
      <x:c r="A8876" t="str">
        <x:v>CA-2017-101805</x:v>
      </x:c>
      <x:c r="B8876" s="18" t="n">
        <x:v>43070</x:v>
      </x:c>
      <x:c r="C8876" t="str">
        <x:v>SH-19975</x:v>
      </x:c>
      <x:c r="D8876" t="str">
        <x:v>Sally Hughsby</x:v>
      </x:c>
      <x:c r="E8876" t="str">
        <x:v>Corporate</x:v>
      </x:c>
      <x:c r="F8876" t="str">
        <x:v>West</x:v>
      </x:c>
      <x:c r="G8876" t="str">
        <x:v>Office Supplies</x:v>
      </x:c>
      <x:c r="H8876" t="str">
        <x:v>Storage</x:v>
      </x:c>
      <x:c r="I8876" s="22" t="n">
        <x:v>541.24</x:v>
      </x:c>
      <x:c r="J8876" s="24" t="n">
        <x:v>4</x:v>
      </x:c>
      <x:c r="K8876" s="26" t="n">
        <x:v>0</x:v>
      </x:c>
      <x:c r="L8876" s="22" t="n">
        <x:v>5.412400000000048</x:v>
      </x:c>
      <x:c r="M8876" t="n">
        <x:v>2017</x:v>
      </x:c>
      <x:c r="N8876" s="20" t="n">
        <x:v>43070</x:v>
      </x:c>
    </x:row>
    <x:row r="8877" ht="18" customHeight="1">
      <x:c r="A8877" t="str">
        <x:v>US-2014-105137</x:v>
      </x:c>
      <x:c r="B8877" s="18" t="n">
        <x:v>41922</x:v>
      </x:c>
      <x:c r="C8877" t="str">
        <x:v>RB-19435</x:v>
      </x:c>
      <x:c r="D8877" t="str">
        <x:v>Richard Bierner</x:v>
      </x:c>
      <x:c r="E8877" t="str">
        <x:v>Consumer</x:v>
      </x:c>
      <x:c r="F8877" t="str">
        <x:v>East</x:v>
      </x:c>
      <x:c r="G8877" t="str">
        <x:v>Technology</x:v>
      </x:c>
      <x:c r="H8877" t="str">
        <x:v>Machines</x:v>
      </x:c>
      <x:c r="I8877" s="22" t="n">
        <x:v>101.99400000000001</x:v>
      </x:c>
      <x:c r="J8877" s="24" t="n">
        <x:v>2</x:v>
      </x:c>
      <x:c r="K8877" s="26" t="n">
        <x:v>0.7</x:v>
      </x:c>
      <x:c r="L8877" s="22" t="n">
        <x:v>-71.39579999999998</x:v>
      </x:c>
      <x:c r="M8877" t="n">
        <x:v>2014</x:v>
      </x:c>
      <x:c r="N8877" s="20" t="n">
        <x:v>41913</x:v>
      </x:c>
    </x:row>
    <x:row r="8878" ht="18" customHeight="1">
      <x:c r="A8878" t="str">
        <x:v>US-2014-105137</x:v>
      </x:c>
      <x:c r="B8878" s="18" t="n">
        <x:v>41922</x:v>
      </x:c>
      <x:c r="C8878" t="str">
        <x:v>RB-19435</x:v>
      </x:c>
      <x:c r="D8878" t="str">
        <x:v>Richard Bierner</x:v>
      </x:c>
      <x:c r="E8878" t="str">
        <x:v>Consumer</x:v>
      </x:c>
      <x:c r="F8878" t="str">
        <x:v>East</x:v>
      </x:c>
      <x:c r="G8878" t="str">
        <x:v>Office Supplies</x:v>
      </x:c>
      <x:c r="H8878" t="str">
        <x:v>Binders</x:v>
      </x:c>
      <x:c r="I8878" s="22" t="n">
        <x:v>18.264000000000003</x:v>
      </x:c>
      <x:c r="J8878" s="24" t="n">
        <x:v>2</x:v>
      </x:c>
      <x:c r="K8878" s="26" t="n">
        <x:v>0.7</x:v>
      </x:c>
      <x:c r="L8878" s="22" t="n">
        <x:v>-13.3936</x:v>
      </x:c>
      <x:c r="M8878" t="n">
        <x:v>2014</x:v>
      </x:c>
      <x:c r="N8878" s="20" t="n">
        <x:v>41913</x:v>
      </x:c>
    </x:row>
    <x:row r="8879" ht="18" customHeight="1">
      <x:c r="A8879" t="str">
        <x:v>CA-2017-142489</x:v>
      </x:c>
      <x:c r="B8879" s="18" t="n">
        <x:v>43053</x:v>
      </x:c>
      <x:c r="C8879" t="str">
        <x:v>TC-21295</x:v>
      </x:c>
      <x:c r="D8879" t="str">
        <x:v>Toby Carlisle</x:v>
      </x:c>
      <x:c r="E8879" t="str">
        <x:v>Consumer</x:v>
      </x:c>
      <x:c r="F8879" t="str">
        <x:v>Central</x:v>
      </x:c>
      <x:c r="G8879" t="str">
        <x:v>Office Supplies</x:v>
      </x:c>
      <x:c r="H8879" t="str">
        <x:v>Binders</x:v>
      </x:c>
      <x:c r="I8879" s="22" t="n">
        <x:v>21.989999999999995</x:v>
      </x:c>
      <x:c r="J8879" s="24" t="n">
        <x:v>5</x:v>
      </x:c>
      <x:c r="K8879" s="26" t="n">
        <x:v>0.8</x:v>
      </x:c>
      <x:c r="L8879" s="22" t="n">
        <x:v>-32.985</x:v>
      </x:c>
      <x:c r="M8879" t="n">
        <x:v>2017</x:v>
      </x:c>
      <x:c r="N8879" s="20" t="n">
        <x:v>43040</x:v>
      </x:c>
    </x:row>
    <x:row r="8880" ht="18" customHeight="1">
      <x:c r="A8880" t="str">
        <x:v>US-2016-141264</x:v>
      </x:c>
      <x:c r="B8880" s="18" t="n">
        <x:v>42595</x:v>
      </x:c>
      <x:c r="C8880" t="str">
        <x:v>CT-11995</x:v>
      </x:c>
      <x:c r="D8880" t="str">
        <x:v>Carol Triggs</x:v>
      </x:c>
      <x:c r="E8880" t="str">
        <x:v>Consumer</x:v>
      </x:c>
      <x:c r="F8880" t="str">
        <x:v>Central</x:v>
      </x:c>
      <x:c r="G8880" t="str">
        <x:v>Office Supplies</x:v>
      </x:c>
      <x:c r="H8880" t="str">
        <x:v>Supplies</x:v>
      </x:c>
      <x:c r="I8880" s="22" t="n">
        <x:v>185.376</x:v>
      </x:c>
      <x:c r="J8880" s="24" t="n">
        <x:v>2</x:v>
      </x:c>
      <x:c r="K8880" s="26" t="n">
        <x:v>0.2</x:v>
      </x:c>
      <x:c r="L8880" s="22" t="n">
        <x:v>-34.75800000000002</x:v>
      </x:c>
      <x:c r="M8880" t="n">
        <x:v>2016</x:v>
      </x:c>
      <x:c r="N8880" s="20" t="n">
        <x:v>42583</x:v>
      </x:c>
    </x:row>
    <x:row r="8881" ht="18" customHeight="1">
      <x:c r="A8881" t="str">
        <x:v>US-2016-141264</x:v>
      </x:c>
      <x:c r="B8881" s="18" t="n">
        <x:v>42595</x:v>
      </x:c>
      <x:c r="C8881" t="str">
        <x:v>CT-11995</x:v>
      </x:c>
      <x:c r="D8881" t="str">
        <x:v>Carol Triggs</x:v>
      </x:c>
      <x:c r="E8881" t="str">
        <x:v>Consumer</x:v>
      </x:c>
      <x:c r="F8881" t="str">
        <x:v>Central</x:v>
      </x:c>
      <x:c r="G8881" t="str">
        <x:v>Office Supplies</x:v>
      </x:c>
      <x:c r="H8881" t="str">
        <x:v>Appliances</x:v>
      </x:c>
      <x:c r="I8881" s="22" t="n">
        <x:v>58.923999999999985</x:v>
      </x:c>
      <x:c r="J8881" s="24" t="n">
        <x:v>1</x:v>
      </x:c>
      <x:c r="K8881" s="26" t="n">
        <x:v>0.8</x:v>
      </x:c>
      <x:c r="L8881" s="22" t="n">
        <x:v>-153.2024</x:v>
      </x:c>
      <x:c r="M8881" t="n">
        <x:v>2016</x:v>
      </x:c>
      <x:c r="N8881" s="20" t="n">
        <x:v>42583</x:v>
      </x:c>
    </x:row>
    <x:row r="8882" ht="18" customHeight="1">
      <x:c r="A8882" t="str">
        <x:v>CA-2017-126928</x:v>
      </x:c>
      <x:c r="B8882" s="18" t="n">
        <x:v>42995</x:v>
      </x:c>
      <x:c r="C8882" t="str">
        <x:v>GZ-14470</x:v>
      </x:c>
      <x:c r="D8882" t="str">
        <x:v>Gary Zandusky</x:v>
      </x:c>
      <x:c r="E8882" t="str">
        <x:v>Consumer</x:v>
      </x:c>
      <x:c r="F8882" t="str">
        <x:v>East</x:v>
      </x:c>
      <x:c r="G8882" t="str">
        <x:v>Technology</x:v>
      </x:c>
      <x:c r="H8882" t="str">
        <x:v>Machines</x:v>
      </x:c>
      <x:c r="I8882" s="22" t="n">
        <x:v>480</x:v>
      </x:c>
      <x:c r="J8882" s="24" t="n">
        <x:v>4</x:v>
      </x:c>
      <x:c r="K8882" s="26" t="n">
        <x:v>0</x:v>
      </x:c>
      <x:c r="L8882" s="22" t="n">
        <x:v>225.6</x:v>
      </x:c>
      <x:c r="M8882" t="n">
        <x:v>2017</x:v>
      </x:c>
      <x:c r="N8882" s="20" t="n">
        <x:v>42979</x:v>
      </x:c>
    </x:row>
    <x:row r="8883" ht="18" customHeight="1">
      <x:c r="A8883" t="str">
        <x:v>CA-2017-126928</x:v>
      </x:c>
      <x:c r="B8883" s="18" t="n">
        <x:v>42995</x:v>
      </x:c>
      <x:c r="C8883" t="str">
        <x:v>GZ-14470</x:v>
      </x:c>
      <x:c r="D8883" t="str">
        <x:v>Gary Zandusky</x:v>
      </x:c>
      <x:c r="E8883" t="str">
        <x:v>Consumer</x:v>
      </x:c>
      <x:c r="F8883" t="str">
        <x:v>East</x:v>
      </x:c>
      <x:c r="G8883" t="str">
        <x:v>Office Supplies</x:v>
      </x:c>
      <x:c r="H8883" t="str">
        <x:v>Storage</x:v>
      </x:c>
      <x:c r="I8883" s="22" t="n">
        <x:v>34.05</x:v>
      </x:c>
      <x:c r="J8883" s="24" t="n">
        <x:v>3</x:v>
      </x:c>
      <x:c r="K8883" s="26" t="n">
        <x:v>0</x:v>
      </x:c>
      <x:c r="L8883" s="22" t="n">
        <x:v>9.534000000000002</x:v>
      </x:c>
      <x:c r="M8883" t="n">
        <x:v>2017</x:v>
      </x:c>
      <x:c r="N8883" s="20" t="n">
        <x:v>42979</x:v>
      </x:c>
    </x:row>
    <x:row r="8884" ht="18" customHeight="1">
      <x:c r="A8884" t="str">
        <x:v>US-2015-107944</x:v>
      </x:c>
      <x:c r="B8884" s="18" t="n">
        <x:v>42086</x:v>
      </x:c>
      <x:c r="C8884" t="str">
        <x:v>AM-10360</x:v>
      </x:c>
      <x:c r="D8884" t="str">
        <x:v>Alice McCarthy</x:v>
      </x:c>
      <x:c r="E8884" t="str">
        <x:v>Corporate</x:v>
      </x:c>
      <x:c r="F8884" t="str">
        <x:v>West</x:v>
      </x:c>
      <x:c r="G8884" t="str">
        <x:v>Office Supplies</x:v>
      </x:c>
      <x:c r="H8884" t="str">
        <x:v>Paper</x:v>
      </x:c>
      <x:c r="I8884" s="22" t="n">
        <x:v>192.72</x:v>
      </x:c>
      <x:c r="J8884" s="24" t="n">
        <x:v>11</x:v>
      </x:c>
      <x:c r="K8884" s="26" t="n">
        <x:v>0</x:v>
      </x:c>
      <x:c r="L8884" s="22" t="n">
        <x:v>92.50559999999999</x:v>
      </x:c>
      <x:c r="M8884" t="n">
        <x:v>2015</x:v>
      </x:c>
      <x:c r="N8884" s="20" t="n">
        <x:v>42064</x:v>
      </x:c>
    </x:row>
    <x:row r="8885" ht="18" customHeight="1">
      <x:c r="A8885" t="str">
        <x:v>US-2015-107944</x:v>
      </x:c>
      <x:c r="B8885" s="18" t="n">
        <x:v>42086</x:v>
      </x:c>
      <x:c r="C8885" t="str">
        <x:v>AM-10360</x:v>
      </x:c>
      <x:c r="D8885" t="str">
        <x:v>Alice McCarthy</x:v>
      </x:c>
      <x:c r="E8885" t="str">
        <x:v>Corporate</x:v>
      </x:c>
      <x:c r="F8885" t="str">
        <x:v>West</x:v>
      </x:c>
      <x:c r="G8885" t="str">
        <x:v>Technology</x:v>
      </x:c>
      <x:c r="H8885" t="str">
        <x:v>Accessories</x:v>
      </x:c>
      <x:c r="I8885" s="22" t="n">
        <x:v>239.96999999999997</x:v>
      </x:c>
      <x:c r="J8885" s="24" t="n">
        <x:v>3</x:v>
      </x:c>
      <x:c r="K8885" s="26" t="n">
        <x:v>0</x:v>
      </x:c>
      <x:c r="L8885" s="22" t="n">
        <x:v>86.38919999999999</x:v>
      </x:c>
      <x:c r="M8885" t="n">
        <x:v>2015</x:v>
      </x:c>
      <x:c r="N8885" s="20" t="n">
        <x:v>42064</x:v>
      </x:c>
    </x:row>
    <x:row r="8886" ht="18" customHeight="1">
      <x:c r="A8886" t="str">
        <x:v>CA-2016-135594</x:v>
      </x:c>
      <x:c r="B8886" s="18" t="n">
        <x:v>42551</x:v>
      </x:c>
      <x:c r="C8886" t="str">
        <x:v>AH-10120</x:v>
      </x:c>
      <x:c r="D8886" t="str">
        <x:v>Adrian Hane</x:v>
      </x:c>
      <x:c r="E8886" t="str">
        <x:v>Home Office</x:v>
      </x:c>
      <x:c r="F8886" t="str">
        <x:v>Central</x:v>
      </x:c>
      <x:c r="G8886" t="str">
        <x:v>Technology</x:v>
      </x:c>
      <x:c r="H8886" t="str">
        <x:v>Accessories</x:v>
      </x:c>
      <x:c r="I8886" s="22" t="n">
        <x:v>50.120000000000005</x:v>
      </x:c>
      <x:c r="J8886" s="24" t="n">
        <x:v>7</x:v>
      </x:c>
      <x:c r="K8886" s="26" t="n">
        <x:v>0.2</x:v>
      </x:c>
      <x:c r="L8886" s="22" t="n">
        <x:v>-0.6265000000000072</x:v>
      </x:c>
      <x:c r="M8886" t="n">
        <x:v>2016</x:v>
      </x:c>
      <x:c r="N8886" s="20" t="n">
        <x:v>42522</x:v>
      </x:c>
    </x:row>
    <x:row r="8887" ht="18" customHeight="1">
      <x:c r="A8887" t="str">
        <x:v>US-2017-115252</x:v>
      </x:c>
      <x:c r="B8887" s="18" t="n">
        <x:v>43028</x:v>
      </x:c>
      <x:c r="C8887" t="str">
        <x:v>MY-18295</x:v>
      </x:c>
      <x:c r="D8887" t="str">
        <x:v>Muhammed Yedwab</x:v>
      </x:c>
      <x:c r="E8887" t="str">
        <x:v>Corporate</x:v>
      </x:c>
      <x:c r="F8887" t="str">
        <x:v>South</x:v>
      </x:c>
      <x:c r="G8887" t="str">
        <x:v>Technology</x:v>
      </x:c>
      <x:c r="H8887" t="str">
        <x:v>Phones</x:v>
      </x:c>
      <x:c r="I8887" s="22" t="n">
        <x:v>15.984000000000002</x:v>
      </x:c>
      <x:c r="J8887" s="24" t="n">
        <x:v>2</x:v>
      </x:c>
      <x:c r="K8887" s="26" t="n">
        <x:v>0.2</x:v>
      </x:c>
      <x:c r="L8887" s="22" t="n">
        <x:v>1.3986</x:v>
      </x:c>
      <x:c r="M8887" t="n">
        <x:v>2017</x:v>
      </x:c>
      <x:c r="N8887" s="20" t="n">
        <x:v>43009</x:v>
      </x:c>
    </x:row>
    <x:row r="8888" ht="18" customHeight="1">
      <x:c r="A8888" t="str">
        <x:v>US-2017-115252</x:v>
      </x:c>
      <x:c r="B8888" s="18" t="n">
        <x:v>43028</x:v>
      </x:c>
      <x:c r="C8888" t="str">
        <x:v>MY-18295</x:v>
      </x:c>
      <x:c r="D8888" t="str">
        <x:v>Muhammed Yedwab</x:v>
      </x:c>
      <x:c r="E8888" t="str">
        <x:v>Corporate</x:v>
      </x:c>
      <x:c r="F8888" t="str">
        <x:v>South</x:v>
      </x:c>
      <x:c r="G8888" t="str">
        <x:v>Office Supplies</x:v>
      </x:c>
      <x:c r="H8888" t="str">
        <x:v>Paper</x:v>
      </x:c>
      <x:c r="I8888" s="22" t="n">
        <x:v>14.352000000000002</x:v>
      </x:c>
      <x:c r="J8888" s="24" t="n">
        <x:v>3</x:v>
      </x:c>
      <x:c r="K8888" s="26" t="n">
        <x:v>0.2</x:v>
      </x:c>
      <x:c r="L8888" s="22" t="n">
        <x:v>4.484999999999999</x:v>
      </x:c>
      <x:c r="M8888" t="n">
        <x:v>2017</x:v>
      </x:c>
      <x:c r="N8888" s="20" t="n">
        <x:v>43009</x:v>
      </x:c>
    </x:row>
    <x:row r="8889" ht="18" customHeight="1">
      <x:c r="A8889" t="str">
        <x:v>CA-2014-107398</x:v>
      </x:c>
      <x:c r="B8889" s="18" t="n">
        <x:v>41876</x:v>
      </x:c>
      <x:c r="C8889" t="str">
        <x:v>BS-11590</x:v>
      </x:c>
      <x:c r="D8889" t="str">
        <x:v>Brendan Sweed</x:v>
      </x:c>
      <x:c r="E8889" t="str">
        <x:v>Corporate</x:v>
      </x:c>
      <x:c r="F8889" t="str">
        <x:v>East</x:v>
      </x:c>
      <x:c r="G8889" t="str">
        <x:v>Office Supplies</x:v>
      </x:c>
      <x:c r="H8889" t="str">
        <x:v>Binders</x:v>
      </x:c>
      <x:c r="I8889" s="22" t="n">
        <x:v>6.528000000000001</x:v>
      </x:c>
      <x:c r="J8889" s="24" t="n">
        <x:v>4</x:v>
      </x:c>
      <x:c r="K8889" s="26" t="n">
        <x:v>0.7</x:v>
      </x:c>
      <x:c r="L8889" s="22" t="n">
        <x:v>-4.569599999999999</x:v>
      </x:c>
      <x:c r="M8889" t="n">
        <x:v>2014</x:v>
      </x:c>
      <x:c r="N8889" s="20" t="n">
        <x:v>41852</x:v>
      </x:c>
    </x:row>
    <x:row r="8890" ht="18" customHeight="1">
      <x:c r="A8890" t="str">
        <x:v>CA-2014-107398</x:v>
      </x:c>
      <x:c r="B8890" s="18" t="n">
        <x:v>41876</x:v>
      </x:c>
      <x:c r="C8890" t="str">
        <x:v>BS-11590</x:v>
      </x:c>
      <x:c r="D8890" t="str">
        <x:v>Brendan Sweed</x:v>
      </x:c>
      <x:c r="E8890" t="str">
        <x:v>Corporate</x:v>
      </x:c>
      <x:c r="F8890" t="str">
        <x:v>East</x:v>
      </x:c>
      <x:c r="G8890" t="str">
        <x:v>Office Supplies</x:v>
      </x:c>
      <x:c r="H8890" t="str">
        <x:v>Binders</x:v>
      </x:c>
      <x:c r="I8890" s="22" t="n">
        <x:v>2.8620000000000005</x:v>
      </x:c>
      <x:c r="J8890" s="24" t="n">
        <x:v>3</x:v>
      </x:c>
      <x:c r="K8890" s="26" t="n">
        <x:v>0.7</x:v>
      </x:c>
      <x:c r="L8890" s="22" t="n">
        <x:v>-2.2896</x:v>
      </x:c>
      <x:c r="M8890" t="n">
        <x:v>2014</x:v>
      </x:c>
      <x:c r="N8890" s="20" t="n">
        <x:v>41852</x:v>
      </x:c>
    </x:row>
    <x:row r="8891" ht="18" customHeight="1">
      <x:c r="A8891" t="str">
        <x:v>CA-2014-107398</x:v>
      </x:c>
      <x:c r="B8891" s="18" t="n">
        <x:v>41876</x:v>
      </x:c>
      <x:c r="C8891" t="str">
        <x:v>BS-11590</x:v>
      </x:c>
      <x:c r="D8891" t="str">
        <x:v>Brendan Sweed</x:v>
      </x:c>
      <x:c r="E8891" t="str">
        <x:v>Corporate</x:v>
      </x:c>
      <x:c r="F8891" t="str">
        <x:v>East</x:v>
      </x:c>
      <x:c r="G8891" t="str">
        <x:v>Office Supplies</x:v>
      </x:c>
      <x:c r="H8891" t="str">
        <x:v>Binders</x:v>
      </x:c>
      <x:c r="I8891" s="22" t="n">
        <x:v>20.856</x:v>
      </x:c>
      <x:c r="J8891" s="24" t="n">
        <x:v>8</x:v>
      </x:c>
      <x:c r="K8891" s="26" t="n">
        <x:v>0.7</x:v>
      </x:c>
      <x:c r="L8891" s="22" t="n">
        <x:v>-16.684799999999996</x:v>
      </x:c>
      <x:c r="M8891" t="n">
        <x:v>2014</x:v>
      </x:c>
      <x:c r="N8891" s="20" t="n">
        <x:v>41852</x:v>
      </x:c>
    </x:row>
    <x:row r="8892" ht="18" customHeight="1">
      <x:c r="A8892" t="str">
        <x:v>CA-2014-169642</x:v>
      </x:c>
      <x:c r="B8892" s="18" t="n">
        <x:v>41847</x:v>
      </x:c>
      <x:c r="C8892" t="str">
        <x:v>BB-10990</x:v>
      </x:c>
      <x:c r="D8892" t="str">
        <x:v>Barry Blumstein</x:v>
      </x:c>
      <x:c r="E8892" t="str">
        <x:v>Corporate</x:v>
      </x:c>
      <x:c r="F8892" t="str">
        <x:v>West</x:v>
      </x:c>
      <x:c r="G8892" t="str">
        <x:v>Office Supplies</x:v>
      </x:c>
      <x:c r="H8892" t="str">
        <x:v>Storage</x:v>
      </x:c>
      <x:c r="I8892" s="22" t="n">
        <x:v>276.28</x:v>
      </x:c>
      <x:c r="J8892" s="24" t="n">
        <x:v>2</x:v>
      </x:c>
      <x:c r="K8892" s="26" t="n">
        <x:v>0</x:v>
      </x:c>
      <x:c r="L8892" s="22" t="n">
        <x:v>0</x:v>
      </x:c>
      <x:c r="M8892" t="n">
        <x:v>2014</x:v>
      </x:c>
      <x:c r="N8892" s="20" t="n">
        <x:v>41821</x:v>
      </x:c>
    </x:row>
    <x:row r="8893" ht="18" customHeight="1">
      <x:c r="A8893" t="str">
        <x:v>CA-2017-103968</x:v>
      </x:c>
      <x:c r="B8893" s="18" t="n">
        <x:v>43070</x:v>
      </x:c>
      <x:c r="C8893" t="str">
        <x:v>ML-17755</x:v>
      </x:c>
      <x:c r="D8893" t="str">
        <x:v>Max Ludwig</x:v>
      </x:c>
      <x:c r="E8893" t="str">
        <x:v>Home Office</x:v>
      </x:c>
      <x:c r="F8893" t="str">
        <x:v>West</x:v>
      </x:c>
      <x:c r="G8893" t="str">
        <x:v>Furniture</x:v>
      </x:c>
      <x:c r="H8893" t="str">
        <x:v>Furnishings</x:v>
      </x:c>
      <x:c r="I8893" s="22" t="n">
        <x:v>629.64</x:v>
      </x:c>
      <x:c r="J8893" s="24" t="n">
        <x:v>9</x:v>
      </x:c>
      <x:c r="K8893" s="26" t="n">
        <x:v>0</x:v>
      </x:c>
      <x:c r="L8893" s="22" t="n">
        <x:v>107.03879999999994</x:v>
      </x:c>
      <x:c r="M8893" t="n">
        <x:v>2017</x:v>
      </x:c>
      <x:c r="N8893" s="20" t="n">
        <x:v>43070</x:v>
      </x:c>
    </x:row>
    <x:row r="8894" ht="18" customHeight="1">
      <x:c r="A8894" t="str">
        <x:v>CA-2016-147256</x:v>
      </x:c>
      <x:c r="B8894" s="18" t="n">
        <x:v>42660</x:v>
      </x:c>
      <x:c r="C8894" t="str">
        <x:v>FC-14245</x:v>
      </x:c>
      <x:c r="D8894" t="str">
        <x:v>Frank Carlisle</x:v>
      </x:c>
      <x:c r="E8894" t="str">
        <x:v>Home Office</x:v>
      </x:c>
      <x:c r="F8894" t="str">
        <x:v>Central</x:v>
      </x:c>
      <x:c r="G8894" t="str">
        <x:v>Technology</x:v>
      </x:c>
      <x:c r="H8894" t="str">
        <x:v>Phones</x:v>
      </x:c>
      <x:c r="I8894" s="22" t="n">
        <x:v>449.97</x:v>
      </x:c>
      <x:c r="J8894" s="24" t="n">
        <x:v>3</x:v>
      </x:c>
      <x:c r="K8894" s="26" t="n">
        <x:v>0</x:v>
      </x:c>
      <x:c r="L8894" s="22" t="n">
        <x:v>220.48530000000002</x:v>
      </x:c>
      <x:c r="M8894" t="n">
        <x:v>2016</x:v>
      </x:c>
      <x:c r="N8894" s="20" t="n">
        <x:v>42644</x:v>
      </x:c>
    </x:row>
    <x:row r="8895" ht="18" customHeight="1">
      <x:c r="A8895" t="str">
        <x:v>CA-2016-147256</x:v>
      </x:c>
      <x:c r="B8895" s="18" t="n">
        <x:v>42660</x:v>
      </x:c>
      <x:c r="C8895" t="str">
        <x:v>FC-14245</x:v>
      </x:c>
      <x:c r="D8895" t="str">
        <x:v>Frank Carlisle</x:v>
      </x:c>
      <x:c r="E8895" t="str">
        <x:v>Home Office</x:v>
      </x:c>
      <x:c r="F8895" t="str">
        <x:v>Central</x:v>
      </x:c>
      <x:c r="G8895" t="str">
        <x:v>Office Supplies</x:v>
      </x:c>
      <x:c r="H8895" t="str">
        <x:v>Appliances</x:v>
      </x:c>
      <x:c r="I8895" s="22" t="n">
        <x:v>1927.5900000000001</x:v>
      </x:c>
      <x:c r="J8895" s="24" t="n">
        <x:v>7</x:v>
      </x:c>
      <x:c r="K8895" s="26" t="n">
        <x:v>0</x:v>
      </x:c>
      <x:c r="L8895" s="22" t="n">
        <x:v>751.7601000000001</x:v>
      </x:c>
      <x:c r="M8895" t="n">
        <x:v>2016</x:v>
      </x:c>
      <x:c r="N8895" s="20" t="n">
        <x:v>42644</x:v>
      </x:c>
    </x:row>
    <x:row r="8896" ht="18" customHeight="1">
      <x:c r="A8896" t="str">
        <x:v>CA-2016-162159</x:v>
      </x:c>
      <x:c r="B8896" s="18" t="n">
        <x:v>42629</x:v>
      </x:c>
      <x:c r="C8896" t="str">
        <x:v>CR-12625</x:v>
      </x:c>
      <x:c r="D8896" t="str">
        <x:v>Corey Roper</x:v>
      </x:c>
      <x:c r="E8896" t="str">
        <x:v>Home Office</x:v>
      </x:c>
      <x:c r="F8896" t="str">
        <x:v>South</x:v>
      </x:c>
      <x:c r="G8896" t="str">
        <x:v>Furniture</x:v>
      </x:c>
      <x:c r="H8896" t="str">
        <x:v>Chairs</x:v>
      </x:c>
      <x:c r="I8896" s="22" t="n">
        <x:v>121.78</x:v>
      </x:c>
      <x:c r="J8896" s="24" t="n">
        <x:v>2</x:v>
      </x:c>
      <x:c r="K8896" s="26" t="n">
        <x:v>0</x:v>
      </x:c>
      <x:c r="L8896" s="22" t="n">
        <x:v>30.444999999999993</x:v>
      </x:c>
      <x:c r="M8896" t="n">
        <x:v>2016</x:v>
      </x:c>
      <x:c r="N8896" s="20" t="n">
        <x:v>42614</x:v>
      </x:c>
    </x:row>
    <x:row r="8897" ht="18" customHeight="1">
      <x:c r="A8897" t="str">
        <x:v>CA-2015-111038</x:v>
      </x:c>
      <x:c r="B8897" s="18" t="n">
        <x:v>42339</x:v>
      </x:c>
      <x:c r="C8897" t="str">
        <x:v>LC-16960</x:v>
      </x:c>
      <x:c r="D8897" t="str">
        <x:v>Lindsay Castell</x:v>
      </x:c>
      <x:c r="E8897" t="str">
        <x:v>Home Office</x:v>
      </x:c>
      <x:c r="F8897" t="str">
        <x:v>West</x:v>
      </x:c>
      <x:c r="G8897" t="str">
        <x:v>Furniture</x:v>
      </x:c>
      <x:c r="H8897" t="str">
        <x:v>Chairs</x:v>
      </x:c>
      <x:c r="I8897" s="22" t="n">
        <x:v>2676.672</x:v>
      </x:c>
      <x:c r="J8897" s="24" t="n">
        <x:v>9</x:v>
      </x:c>
      <x:c r="K8897" s="26" t="n">
        <x:v>0.2</x:v>
      </x:c>
      <x:c r="L8897" s="22" t="n">
        <x:v>267.6672000000001</x:v>
      </x:c>
      <x:c r="M8897" t="n">
        <x:v>2015</x:v>
      </x:c>
      <x:c r="N8897" s="20" t="n">
        <x:v>42339</x:v>
      </x:c>
    </x:row>
    <x:row r="8898" ht="18" customHeight="1">
      <x:c r="A8898" t="str">
        <x:v>CA-2014-124723</x:v>
      </x:c>
      <x:c r="B8898" s="18" t="n">
        <x:v>41856</x:v>
      </x:c>
      <x:c r="C8898" t="str">
        <x:v>GZ-14470</x:v>
      </x:c>
      <x:c r="D8898" t="str">
        <x:v>Gary Zandusky</x:v>
      </x:c>
      <x:c r="E8898" t="str">
        <x:v>Consumer</x:v>
      </x:c>
      <x:c r="F8898" t="str">
        <x:v>Central</x:v>
      </x:c>
      <x:c r="G8898" t="str">
        <x:v>Furniture</x:v>
      </x:c>
      <x:c r="H8898" t="str">
        <x:v>Tables</x:v>
      </x:c>
      <x:c r="I8898" s="22" t="n">
        <x:v>489.22999999999996</x:v>
      </x:c>
      <x:c r="J8898" s="24" t="n">
        <x:v>2</x:v>
      </x:c>
      <x:c r="K8898" s="26" t="n">
        <x:v>0.3</x:v>
      </x:c>
      <x:c r="L8898" s="22" t="n">
        <x:v>41.934</x:v>
      </x:c>
      <x:c r="M8898" t="n">
        <x:v>2014</x:v>
      </x:c>
      <x:c r="N8898" s="20" t="n">
        <x:v>41852</x:v>
      </x:c>
    </x:row>
    <x:row r="8899" ht="18" customHeight="1">
      <x:c r="A8899" t="str">
        <x:v>CA-2016-167241</x:v>
      </x:c>
      <x:c r="B8899" s="18" t="n">
        <x:v>42597</x:v>
      </x:c>
      <x:c r="C8899" t="str">
        <x:v>BD-11320</x:v>
      </x:c>
      <x:c r="D8899" t="str">
        <x:v>Bill Donatelli</x:v>
      </x:c>
      <x:c r="E8899" t="str">
        <x:v>Consumer</x:v>
      </x:c>
      <x:c r="F8899" t="str">
        <x:v>West</x:v>
      </x:c>
      <x:c r="G8899" t="str">
        <x:v>Furniture</x:v>
      </x:c>
      <x:c r="H8899" t="str">
        <x:v>Furnishings</x:v>
      </x:c>
      <x:c r="I8899" s="22" t="n">
        <x:v>312.03000000000003</x:v>
      </x:c>
      <x:c r="J8899" s="24" t="n">
        <x:v>3</x:v>
      </x:c>
      <x:c r="K8899" s="26" t="n">
        <x:v>0</x:v>
      </x:c>
      <x:c r="L8899" s="22" t="n">
        <x:v>43.68420000000002</x:v>
      </x:c>
      <x:c r="M8899" t="n">
        <x:v>2016</x:v>
      </x:c>
      <x:c r="N8899" s="20" t="n">
        <x:v>42583</x:v>
      </x:c>
    </x:row>
    <x:row r="8900" ht="18" customHeight="1">
      <x:c r="A8900" t="str">
        <x:v>CA-2016-167241</x:v>
      </x:c>
      <x:c r="B8900" s="18" t="n">
        <x:v>42597</x:v>
      </x:c>
      <x:c r="C8900" t="str">
        <x:v>BD-11320</x:v>
      </x:c>
      <x:c r="D8900" t="str">
        <x:v>Bill Donatelli</x:v>
      </x:c>
      <x:c r="E8900" t="str">
        <x:v>Consumer</x:v>
      </x:c>
      <x:c r="F8900" t="str">
        <x:v>West</x:v>
      </x:c>
      <x:c r="G8900" t="str">
        <x:v>Office Supplies</x:v>
      </x:c>
      <x:c r="H8900" t="str">
        <x:v>Storage</x:v>
      </x:c>
      <x:c r="I8900" s="22" t="n">
        <x:v>17.94</x:v>
      </x:c>
      <x:c r="J8900" s="24" t="n">
        <x:v>3</x:v>
      </x:c>
      <x:c r="K8900" s="26" t="n">
        <x:v>0</x:v>
      </x:c>
      <x:c r="L8900" s="22" t="n">
        <x:v>3.0497999999999985</x:v>
      </x:c>
      <x:c r="M8900" t="n">
        <x:v>2016</x:v>
      </x:c>
      <x:c r="N8900" s="20" t="n">
        <x:v>42583</x:v>
      </x:c>
    </x:row>
    <x:row r="8901" ht="18" customHeight="1">
      <x:c r="A8901" t="str">
        <x:v>CA-2016-167241</x:v>
      </x:c>
      <x:c r="B8901" s="18" t="n">
        <x:v>42597</x:v>
      </x:c>
      <x:c r="C8901" t="str">
        <x:v>BD-11320</x:v>
      </x:c>
      <x:c r="D8901" t="str">
        <x:v>Bill Donatelli</x:v>
      </x:c>
      <x:c r="E8901" t="str">
        <x:v>Consumer</x:v>
      </x:c>
      <x:c r="F8901" t="str">
        <x:v>West</x:v>
      </x:c>
      <x:c r="G8901" t="str">
        <x:v>Technology</x:v>
      </x:c>
      <x:c r="H8901" t="str">
        <x:v>Phones</x:v>
      </x:c>
      <x:c r="I8901" s="22" t="n">
        <x:v>165.60000000000002</x:v>
      </x:c>
      <x:c r="J8901" s="24" t="n">
        <x:v>3</x:v>
      </x:c>
      <x:c r="K8901" s="26" t="n">
        <x:v>0.2</x:v>
      </x:c>
      <x:c r="L8901" s="22" t="n">
        <x:v>10.349999999999994</x:v>
      </x:c>
      <x:c r="M8901" t="n">
        <x:v>2016</x:v>
      </x:c>
      <x:c r="N8901" s="20" t="n">
        <x:v>42583</x:v>
      </x:c>
    </x:row>
    <x:row r="8902" ht="18" customHeight="1">
      <x:c r="A8902" t="str">
        <x:v>CA-2016-167241</x:v>
      </x:c>
      <x:c r="B8902" s="18" t="n">
        <x:v>42597</x:v>
      </x:c>
      <x:c r="C8902" t="str">
        <x:v>BD-11320</x:v>
      </x:c>
      <x:c r="D8902" t="str">
        <x:v>Bill Donatelli</x:v>
      </x:c>
      <x:c r="E8902" t="str">
        <x:v>Consumer</x:v>
      </x:c>
      <x:c r="F8902" t="str">
        <x:v>West</x:v>
      </x:c>
      <x:c r="G8902" t="str">
        <x:v>Office Supplies</x:v>
      </x:c>
      <x:c r="H8902" t="str">
        <x:v>Paper</x:v>
      </x:c>
      <x:c r="I8902" s="22" t="n">
        <x:v>37.52</x:v>
      </x:c>
      <x:c r="J8902" s="24" t="n">
        <x:v>4</x:v>
      </x:c>
      <x:c r="K8902" s="26" t="n">
        <x:v>0</x:v>
      </x:c>
      <x:c r="L8902" s="22" t="n">
        <x:v>18.009600000000002</x:v>
      </x:c>
      <x:c r="M8902" t="n">
        <x:v>2016</x:v>
      </x:c>
      <x:c r="N8902" s="20" t="n">
        <x:v>42583</x:v>
      </x:c>
    </x:row>
    <x:row r="8903" ht="18" customHeight="1">
      <x:c r="A8903" t="str">
        <x:v>CA-2015-163237</x:v>
      </x:c>
      <x:c r="B8903" s="18" t="n">
        <x:v>42223</x:v>
      </x:c>
      <x:c r="C8903" t="str">
        <x:v>EM-14095</x:v>
      </x:c>
      <x:c r="D8903" t="str">
        <x:v>Eudokia Martin</x:v>
      </x:c>
      <x:c r="E8903" t="str">
        <x:v>Corporate</x:v>
      </x:c>
      <x:c r="F8903" t="str">
        <x:v>South</x:v>
      </x:c>
      <x:c r="G8903" t="str">
        <x:v>Technology</x:v>
      </x:c>
      <x:c r="H8903" t="str">
        <x:v>Phones</x:v>
      </x:c>
      <x:c r="I8903" s="22" t="n">
        <x:v>494.97</x:v>
      </x:c>
      <x:c r="J8903" s="24" t="n">
        <x:v>3</x:v>
      </x:c>
      <x:c r="K8903" s="26" t="n">
        <x:v>0</x:v>
      </x:c>
      <x:c r="L8903" s="22" t="n">
        <x:v>148.49099999999996</x:v>
      </x:c>
      <x:c r="M8903" t="n">
        <x:v>2015</x:v>
      </x:c>
      <x:c r="N8903" s="20" t="n">
        <x:v>42217</x:v>
      </x:c>
    </x:row>
    <x:row r="8904" ht="18" customHeight="1">
      <x:c r="A8904" t="str">
        <x:v>CA-2015-163237</x:v>
      </x:c>
      <x:c r="B8904" s="18" t="n">
        <x:v>42223</x:v>
      </x:c>
      <x:c r="C8904" t="str">
        <x:v>EM-14095</x:v>
      </x:c>
      <x:c r="D8904" t="str">
        <x:v>Eudokia Martin</x:v>
      </x:c>
      <x:c r="E8904" t="str">
        <x:v>Corporate</x:v>
      </x:c>
      <x:c r="F8904" t="str">
        <x:v>South</x:v>
      </x:c>
      <x:c r="G8904" t="str">
        <x:v>Office Supplies</x:v>
      </x:c>
      <x:c r="H8904" t="str">
        <x:v>Labels</x:v>
      </x:c>
      <x:c r="I8904" s="22" t="n">
        <x:v>25.06</x:v>
      </x:c>
      <x:c r="J8904" s="24" t="n">
        <x:v>2</x:v>
      </x:c>
      <x:c r="K8904" s="26" t="n">
        <x:v>0</x:v>
      </x:c>
      <x:c r="L8904" s="22" t="n">
        <x:v>11.778199999999998</x:v>
      </x:c>
      <x:c r="M8904" t="n">
        <x:v>2015</x:v>
      </x:c>
      <x:c r="N8904" s="20" t="n">
        <x:v>42217</x:v>
      </x:c>
    </x:row>
    <x:row r="8905" ht="18" customHeight="1">
      <x:c r="A8905" t="str">
        <x:v>CA-2016-150483</x:v>
      </x:c>
      <x:c r="B8905" s="18" t="n">
        <x:v>42521</x:v>
      </x:c>
      <x:c r="C8905" t="str">
        <x:v>BP-11290</x:v>
      </x:c>
      <x:c r="D8905" t="str">
        <x:v>Beth Paige</x:v>
      </x:c>
      <x:c r="E8905" t="str">
        <x:v>Consumer</x:v>
      </x:c>
      <x:c r="F8905" t="str">
        <x:v>Central</x:v>
      </x:c>
      <x:c r="G8905" t="str">
        <x:v>Furniture</x:v>
      </x:c>
      <x:c r="H8905" t="str">
        <x:v>Furnishings</x:v>
      </x:c>
      <x:c r="I8905" s="22" t="n">
        <x:v>32.064</x:v>
      </x:c>
      <x:c r="J8905" s="24" t="n">
        <x:v>3</x:v>
      </x:c>
      <x:c r="K8905" s="26" t="n">
        <x:v>0.6</x:v>
      </x:c>
      <x:c r="L8905" s="22" t="n">
        <x:v>-12.825599999999994</x:v>
      </x:c>
      <x:c r="M8905" t="n">
        <x:v>2016</x:v>
      </x:c>
      <x:c r="N8905" s="20" t="n">
        <x:v>42491</x:v>
      </x:c>
    </x:row>
    <x:row r="8906" ht="18" customHeight="1">
      <x:c r="A8906" t="str">
        <x:v>CA-2016-150483</x:v>
      </x:c>
      <x:c r="B8906" s="18" t="n">
        <x:v>42521</x:v>
      </x:c>
      <x:c r="C8906" t="str">
        <x:v>BP-11290</x:v>
      </x:c>
      <x:c r="D8906" t="str">
        <x:v>Beth Paige</x:v>
      </x:c>
      <x:c r="E8906" t="str">
        <x:v>Consumer</x:v>
      </x:c>
      <x:c r="F8906" t="str">
        <x:v>Central</x:v>
      </x:c>
      <x:c r="G8906" t="str">
        <x:v>Office Supplies</x:v>
      </x:c>
      <x:c r="H8906" t="str">
        <x:v>Paper</x:v>
      </x:c>
      <x:c r="I8906" s="22" t="n">
        <x:v>18.496000000000002</x:v>
      </x:c>
      <x:c r="J8906" s="24" t="n">
        <x:v>4</x:v>
      </x:c>
      <x:c r="K8906" s="26" t="n">
        <x:v>0.2</x:v>
      </x:c>
      <x:c r="L8906" s="22" t="n">
        <x:v>6.7048000000000005</x:v>
      </x:c>
      <x:c r="M8906" t="n">
        <x:v>2016</x:v>
      </x:c>
      <x:c r="N8906" s="20" t="n">
        <x:v>42491</x:v>
      </x:c>
    </x:row>
    <x:row r="8907" ht="18" customHeight="1">
      <x:c r="A8907" t="str">
        <x:v>CA-2016-150483</x:v>
      </x:c>
      <x:c r="B8907" s="18" t="n">
        <x:v>42521</x:v>
      </x:c>
      <x:c r="C8907" t="str">
        <x:v>BP-11290</x:v>
      </x:c>
      <x:c r="D8907" t="str">
        <x:v>Beth Paige</x:v>
      </x:c>
      <x:c r="E8907" t="str">
        <x:v>Consumer</x:v>
      </x:c>
      <x:c r="F8907" t="str">
        <x:v>Central</x:v>
      </x:c>
      <x:c r="G8907" t="str">
        <x:v>Furniture</x:v>
      </x:c>
      <x:c r="H8907" t="str">
        <x:v>Chairs</x:v>
      </x:c>
      <x:c r="I8907" s="22" t="n">
        <x:v>191.07899999999998</x:v>
      </x:c>
      <x:c r="J8907" s="24" t="n">
        <x:v>3</x:v>
      </x:c>
      <x:c r="K8907" s="26" t="n">
        <x:v>0.3</x:v>
      </x:c>
      <x:c r="L8907" s="22" t="n">
        <x:v>-38.21579999999997</x:v>
      </x:c>
      <x:c r="M8907" t="n">
        <x:v>2016</x:v>
      </x:c>
      <x:c r="N8907" s="20" t="n">
        <x:v>42491</x:v>
      </x:c>
    </x:row>
    <x:row r="8908" ht="18" customHeight="1">
      <x:c r="A8908" t="str">
        <x:v>CA-2016-150483</x:v>
      </x:c>
      <x:c r="B8908" s="18" t="n">
        <x:v>42521</x:v>
      </x:c>
      <x:c r="C8908" t="str">
        <x:v>BP-11290</x:v>
      </x:c>
      <x:c r="D8908" t="str">
        <x:v>Beth Paige</x:v>
      </x:c>
      <x:c r="E8908" t="str">
        <x:v>Consumer</x:v>
      </x:c>
      <x:c r="F8908" t="str">
        <x:v>Central</x:v>
      </x:c>
      <x:c r="G8908" t="str">
        <x:v>Office Supplies</x:v>
      </x:c>
      <x:c r="H8908" t="str">
        <x:v>Paper</x:v>
      </x:c>
      <x:c r="I8908" s="22" t="n">
        <x:v>10.368000000000002</x:v>
      </x:c>
      <x:c r="J8908" s="24" t="n">
        <x:v>2</x:v>
      </x:c>
      <x:c r="K8908" s="26" t="n">
        <x:v>0.2</x:v>
      </x:c>
      <x:c r="L8908" s="22" t="n">
        <x:v>3.6288</x:v>
      </x:c>
      <x:c r="M8908" t="n">
        <x:v>2016</x:v>
      </x:c>
      <x:c r="N8908" s="20" t="n">
        <x:v>42491</x:v>
      </x:c>
    </x:row>
    <x:row r="8909" ht="18" customHeight="1">
      <x:c r="A8909" t="str">
        <x:v>US-2016-126431</x:v>
      </x:c>
      <x:c r="B8909" s="18" t="n">
        <x:v>42552</x:v>
      </x:c>
      <x:c r="C8909" t="str">
        <x:v>SU-20665</x:v>
      </x:c>
      <x:c r="D8909" t="str">
        <x:v>Stephanie Ulpright</x:v>
      </x:c>
      <x:c r="E8909" t="str">
        <x:v>Home Office</x:v>
      </x:c>
      <x:c r="F8909" t="str">
        <x:v>East</x:v>
      </x:c>
      <x:c r="G8909" t="str">
        <x:v>Office Supplies</x:v>
      </x:c>
      <x:c r="H8909" t="str">
        <x:v>Labels</x:v>
      </x:c>
      <x:c r="I8909" s="22" t="n">
        <x:v>30.53</x:v>
      </x:c>
      <x:c r="J8909" s="24" t="n">
        <x:v>1</x:v>
      </x:c>
      <x:c r="K8909" s="26" t="n">
        <x:v>0</x:v>
      </x:c>
      <x:c r="L8909" s="22" t="n">
        <x:v>14.043800000000001</x:v>
      </x:c>
      <x:c r="M8909" t="n">
        <x:v>2016</x:v>
      </x:c>
      <x:c r="N8909" s="20" t="n">
        <x:v>42552</x:v>
      </x:c>
    </x:row>
    <x:row r="8910" ht="18" customHeight="1">
      <x:c r="A8910" t="str">
        <x:v>US-2016-126431</x:v>
      </x:c>
      <x:c r="B8910" s="18" t="n">
        <x:v>42552</x:v>
      </x:c>
      <x:c r="C8910" t="str">
        <x:v>SU-20665</x:v>
      </x:c>
      <x:c r="D8910" t="str">
        <x:v>Stephanie Ulpright</x:v>
      </x:c>
      <x:c r="E8910" t="str">
        <x:v>Home Office</x:v>
      </x:c>
      <x:c r="F8910" t="str">
        <x:v>East</x:v>
      </x:c>
      <x:c r="G8910" t="str">
        <x:v>Technology</x:v>
      </x:c>
      <x:c r="H8910" t="str">
        <x:v>Accessories</x:v>
      </x:c>
      <x:c r="I8910" s="22" t="n">
        <x:v>30.839999999999996</x:v>
      </x:c>
      <x:c r="J8910" s="24" t="n">
        <x:v>3</x:v>
      </x:c>
      <x:c r="K8910" s="26" t="n">
        <x:v>0</x:v>
      </x:c>
      <x:c r="L8910" s="22" t="n">
        <x:v>6.1679999999999975</x:v>
      </x:c>
      <x:c r="M8910" t="n">
        <x:v>2016</x:v>
      </x:c>
      <x:c r="N8910" s="20" t="n">
        <x:v>42552</x:v>
      </x:c>
    </x:row>
    <x:row r="8911" ht="18" customHeight="1">
      <x:c r="A8911" t="str">
        <x:v>US-2016-126431</x:v>
      </x:c>
      <x:c r="B8911" s="18" t="n">
        <x:v>42552</x:v>
      </x:c>
      <x:c r="C8911" t="str">
        <x:v>SU-20665</x:v>
      </x:c>
      <x:c r="D8911" t="str">
        <x:v>Stephanie Ulpright</x:v>
      </x:c>
      <x:c r="E8911" t="str">
        <x:v>Home Office</x:v>
      </x:c>
      <x:c r="F8911" t="str">
        <x:v>East</x:v>
      </x:c>
      <x:c r="G8911" t="str">
        <x:v>Office Supplies</x:v>
      </x:c>
      <x:c r="H8911" t="str">
        <x:v>Paper</x:v>
      </x:c>
      <x:c r="I8911" s="22" t="n">
        <x:v>75.06</x:v>
      </x:c>
      <x:c r="J8911" s="24" t="n">
        <x:v>9</x:v>
      </x:c>
      <x:c r="K8911" s="26" t="n">
        <x:v>0</x:v>
      </x:c>
      <x:c r="L8911" s="22" t="n">
        <x:v>33.776999999999994</x:v>
      </x:c>
      <x:c r="M8911" t="n">
        <x:v>2016</x:v>
      </x:c>
      <x:c r="N8911" s="20" t="n">
        <x:v>42552</x:v>
      </x:c>
    </x:row>
    <x:row r="8912" ht="18" customHeight="1">
      <x:c r="A8912" t="str">
        <x:v>CA-2016-139934</x:v>
      </x:c>
      <x:c r="B8912" s="18" t="n">
        <x:v>42722</x:v>
      </x:c>
      <x:c r="C8912" t="str">
        <x:v>AY-10555</x:v>
      </x:c>
      <x:c r="D8912" t="str">
        <x:v>Andy Yotov</x:v>
      </x:c>
      <x:c r="E8912" t="str">
        <x:v>Corporate</x:v>
      </x:c>
      <x:c r="F8912" t="str">
        <x:v>West</x:v>
      </x:c>
      <x:c r="G8912" t="str">
        <x:v>Technology</x:v>
      </x:c>
      <x:c r="H8912" t="str">
        <x:v>Phones</x:v>
      </x:c>
      <x:c r="I8912" s="22" t="n">
        <x:v>66.97600000000001</x:v>
      </x:c>
      <x:c r="J8912" s="24" t="n">
        <x:v>7</x:v>
      </x:c>
      <x:c r="K8912" s="26" t="n">
        <x:v>0.2</x:v>
      </x:c>
      <x:c r="L8912" s="22" t="n">
        <x:v>6.697600000000001</x:v>
      </x:c>
      <x:c r="M8912" t="n">
        <x:v>2016</x:v>
      </x:c>
      <x:c r="N8912" s="20" t="n">
        <x:v>42705</x:v>
      </x:c>
    </x:row>
    <x:row r="8913" ht="18" customHeight="1">
      <x:c r="A8913" t="str">
        <x:v>CA-2015-109603</x:v>
      </x:c>
      <x:c r="B8913" s="18" t="n">
        <x:v>42030</x:v>
      </x:c>
      <x:c r="C8913" t="str">
        <x:v>EM-13825</x:v>
      </x:c>
      <x:c r="D8913" t="str">
        <x:v>Elizabeth Moffitt</x:v>
      </x:c>
      <x:c r="E8913" t="str">
        <x:v>Corporate</x:v>
      </x:c>
      <x:c r="F8913" t="str">
        <x:v>West</x:v>
      </x:c>
      <x:c r="G8913" t="str">
        <x:v>Office Supplies</x:v>
      </x:c>
      <x:c r="H8913" t="str">
        <x:v>Paper</x:v>
      </x:c>
      <x:c r="I8913" s="22" t="n">
        <x:v>182.72</x:v>
      </x:c>
      <x:c r="J8913" s="24" t="n">
        <x:v>8</x:v>
      </x:c>
      <x:c r="K8913" s="26" t="n">
        <x:v>0</x:v>
      </x:c>
      <x:c r="L8913" s="22" t="n">
        <x:v>84.0512</x:v>
      </x:c>
      <x:c r="M8913" t="n">
        <x:v>2015</x:v>
      </x:c>
      <x:c r="N8913" s="20" t="n">
        <x:v>42005</x:v>
      </x:c>
    </x:row>
    <x:row r="8914" ht="18" customHeight="1">
      <x:c r="A8914" t="str">
        <x:v>CA-2017-160661</x:v>
      </x:c>
      <x:c r="B8914" s="18" t="n">
        <x:v>43036</x:v>
      </x:c>
      <x:c r="C8914" t="str">
        <x:v>SA-20830</x:v>
      </x:c>
      <x:c r="D8914" t="str">
        <x:v>Sue Ann Reed</x:v>
      </x:c>
      <x:c r="E8914" t="str">
        <x:v>Consumer</x:v>
      </x:c>
      <x:c r="F8914" t="str">
        <x:v>East</x:v>
      </x:c>
      <x:c r="G8914" t="str">
        <x:v>Office Supplies</x:v>
      </x:c>
      <x:c r="H8914" t="str">
        <x:v>Labels</x:v>
      </x:c>
      <x:c r="I8914" s="22" t="n">
        <x:v>21.93</x:v>
      </x:c>
      <x:c r="J8914" s="24" t="n">
        <x:v>3</x:v>
      </x:c>
      <x:c r="K8914" s="26" t="n">
        <x:v>0</x:v>
      </x:c>
      <x:c r="L8914" s="22" t="n">
        <x:v>10.307099999999998</x:v>
      </x:c>
      <x:c r="M8914" t="n">
        <x:v>2017</x:v>
      </x:c>
      <x:c r="N8914" s="20" t="n">
        <x:v>43009</x:v>
      </x:c>
    </x:row>
    <x:row r="8915" ht="18" customHeight="1">
      <x:c r="A8915" t="str">
        <x:v>CA-2017-102610</x:v>
      </x:c>
      <x:c r="B8915" s="18" t="n">
        <x:v>43043</x:v>
      </x:c>
      <x:c r="C8915" t="str">
        <x:v>CA-12265</x:v>
      </x:c>
      <x:c r="D8915" t="str">
        <x:v>Christina Anderson</x:v>
      </x:c>
      <x:c r="E8915" t="str">
        <x:v>Consumer</x:v>
      </x:c>
      <x:c r="F8915" t="str">
        <x:v>South</x:v>
      </x:c>
      <x:c r="G8915" t="str">
        <x:v>Technology</x:v>
      </x:c>
      <x:c r="H8915" t="str">
        <x:v>Accessories</x:v>
      </x:c>
      <x:c r="I8915" s="22" t="n">
        <x:v>95.97600000000001</x:v>
      </x:c>
      <x:c r="J8915" s="24" t="n">
        <x:v>3</x:v>
      </x:c>
      <x:c r="K8915" s="26" t="n">
        <x:v>0.2</x:v>
      </x:c>
      <x:c r="L8915" s="22" t="n">
        <x:v>15.596099999999996</x:v>
      </x:c>
      <x:c r="M8915" t="n">
        <x:v>2017</x:v>
      </x:c>
      <x:c r="N8915" s="20" t="n">
        <x:v>43040</x:v>
      </x:c>
    </x:row>
    <x:row r="8916" ht="18" customHeight="1">
      <x:c r="A8916" t="str">
        <x:v>CA-2017-102610</x:v>
      </x:c>
      <x:c r="B8916" s="18" t="n">
        <x:v>43043</x:v>
      </x:c>
      <x:c r="C8916" t="str">
        <x:v>CA-12265</x:v>
      </x:c>
      <x:c r="D8916" t="str">
        <x:v>Christina Anderson</x:v>
      </x:c>
      <x:c r="E8916" t="str">
        <x:v>Consumer</x:v>
      </x:c>
      <x:c r="F8916" t="str">
        <x:v>South</x:v>
      </x:c>
      <x:c r="G8916" t="str">
        <x:v>Technology</x:v>
      </x:c>
      <x:c r="H8916" t="str">
        <x:v>Phones</x:v>
      </x:c>
      <x:c r="I8916" s="22" t="n">
        <x:v>143.928</x:v>
      </x:c>
      <x:c r="J8916" s="24" t="n">
        <x:v>9</x:v>
      </x:c>
      <x:c r="K8916" s="26" t="n">
        <x:v>0.2</x:v>
      </x:c>
      <x:c r="L8916" s="22" t="n">
        <x:v>-32.38380000000001</x:v>
      </x:c>
      <x:c r="M8916" t="n">
        <x:v>2017</x:v>
      </x:c>
      <x:c r="N8916" s="20" t="n">
        <x:v>43040</x:v>
      </x:c>
    </x:row>
    <x:row r="8917" ht="18" customHeight="1">
      <x:c r="A8917" t="str">
        <x:v>CA-2017-102610</x:v>
      </x:c>
      <x:c r="B8917" s="18" t="n">
        <x:v>43043</x:v>
      </x:c>
      <x:c r="C8917" t="str">
        <x:v>CA-12265</x:v>
      </x:c>
      <x:c r="D8917" t="str">
        <x:v>Christina Anderson</x:v>
      </x:c>
      <x:c r="E8917" t="str">
        <x:v>Consumer</x:v>
      </x:c>
      <x:c r="F8917" t="str">
        <x:v>South</x:v>
      </x:c>
      <x:c r="G8917" t="str">
        <x:v>Office Supplies</x:v>
      </x:c>
      <x:c r="H8917" t="str">
        <x:v>Binders</x:v>
      </x:c>
      <x:c r="I8917" s="22" t="n">
        <x:v>3.564000000000001</x:v>
      </x:c>
      <x:c r="J8917" s="24" t="n">
        <x:v>2</x:v>
      </x:c>
      <x:c r="K8917" s="26" t="n">
        <x:v>0.7</x:v>
      </x:c>
      <x:c r="L8917" s="22" t="n">
        <x:v>-2.9700000000000006</x:v>
      </x:c>
      <x:c r="M8917" t="n">
        <x:v>2017</x:v>
      </x:c>
      <x:c r="N8917" s="20" t="n">
        <x:v>43040</x:v>
      </x:c>
    </x:row>
    <x:row r="8918" ht="18" customHeight="1">
      <x:c r="A8918" t="str">
        <x:v>CA-2017-102610</x:v>
      </x:c>
      <x:c r="B8918" s="18" t="n">
        <x:v>43043</x:v>
      </x:c>
      <x:c r="C8918" t="str">
        <x:v>CA-12265</x:v>
      </x:c>
      <x:c r="D8918" t="str">
        <x:v>Christina Anderson</x:v>
      </x:c>
      <x:c r="E8918" t="str">
        <x:v>Consumer</x:v>
      </x:c>
      <x:c r="F8918" t="str">
        <x:v>South</x:v>
      </x:c>
      <x:c r="G8918" t="str">
        <x:v>Office Supplies</x:v>
      </x:c>
      <x:c r="H8918" t="str">
        <x:v>Labels</x:v>
      </x:c>
      <x:c r="I8918" s="22" t="n">
        <x:v>4.928000000000001</x:v>
      </x:c>
      <x:c r="J8918" s="24" t="n">
        <x:v>2</x:v>
      </x:c>
      <x:c r="K8918" s="26" t="n">
        <x:v>0.2</x:v>
      </x:c>
      <x:c r="L8918" s="22" t="n">
        <x:v>1.7247999999999997</x:v>
      </x:c>
      <x:c r="M8918" t="n">
        <x:v>2017</x:v>
      </x:c>
      <x:c r="N8918" s="20" t="n">
        <x:v>43040</x:v>
      </x:c>
    </x:row>
    <x:row r="8919" ht="18" customHeight="1">
      <x:c r="A8919" t="str">
        <x:v>US-2016-144057</x:v>
      </x:c>
      <x:c r="B8919" s="18" t="n">
        <x:v>42499</x:v>
      </x:c>
      <x:c r="C8919" t="str">
        <x:v>CV-12805</x:v>
      </x:c>
      <x:c r="D8919" t="str">
        <x:v>Cynthia Voltz</x:v>
      </x:c>
      <x:c r="E8919" t="str">
        <x:v>Corporate</x:v>
      </x:c>
      <x:c r="F8919" t="str">
        <x:v>Central</x:v>
      </x:c>
      <x:c r="G8919" t="str">
        <x:v>Office Supplies</x:v>
      </x:c>
      <x:c r="H8919" t="str">
        <x:v>Storage</x:v>
      </x:c>
      <x:c r="I8919" s="22" t="n">
        <x:v>856.6560000000001</x:v>
      </x:c>
      <x:c r="J8919" s="24" t="n">
        <x:v>6</x:v>
      </x:c>
      <x:c r="K8919" s="26" t="n">
        <x:v>0.2</x:v>
      </x:c>
      <x:c r="L8919" s="22" t="n">
        <x:v>107.08199999999985</x:v>
      </x:c>
      <x:c r="M8919" t="n">
        <x:v>2016</x:v>
      </x:c>
      <x:c r="N8919" s="20" t="n">
        <x:v>42491</x:v>
      </x:c>
    </x:row>
    <x:row r="8920" ht="18" customHeight="1">
      <x:c r="A8920" t="str">
        <x:v>US-2016-144057</x:v>
      </x:c>
      <x:c r="B8920" s="18" t="n">
        <x:v>42499</x:v>
      </x:c>
      <x:c r="C8920" t="str">
        <x:v>CV-12805</x:v>
      </x:c>
      <x:c r="D8920" t="str">
        <x:v>Cynthia Voltz</x:v>
      </x:c>
      <x:c r="E8920" t="str">
        <x:v>Corporate</x:v>
      </x:c>
      <x:c r="F8920" t="str">
        <x:v>Central</x:v>
      </x:c>
      <x:c r="G8920" t="str">
        <x:v>Office Supplies</x:v>
      </x:c>
      <x:c r="H8920" t="str">
        <x:v>Binders</x:v>
      </x:c>
      <x:c r="I8920" s="22" t="n">
        <x:v>13.183999999999997</x:v>
      </x:c>
      <x:c r="J8920" s="24" t="n">
        <x:v>4</x:v>
      </x:c>
      <x:c r="K8920" s="26" t="n">
        <x:v>0.8</x:v>
      </x:c>
      <x:c r="L8920" s="22" t="n">
        <x:v>-20.435200000000002</x:v>
      </x:c>
      <x:c r="M8920" t="n">
        <x:v>2016</x:v>
      </x:c>
      <x:c r="N8920" s="20" t="n">
        <x:v>42491</x:v>
      </x:c>
    </x:row>
    <x:row r="8921" ht="18" customHeight="1">
      <x:c r="A8921" t="str">
        <x:v>US-2016-144057</x:v>
      </x:c>
      <x:c r="B8921" s="18" t="n">
        <x:v>42499</x:v>
      </x:c>
      <x:c r="C8921" t="str">
        <x:v>CV-12805</x:v>
      </x:c>
      <x:c r="D8921" t="str">
        <x:v>Cynthia Voltz</x:v>
      </x:c>
      <x:c r="E8921" t="str">
        <x:v>Corporate</x:v>
      </x:c>
      <x:c r="F8921" t="str">
        <x:v>Central</x:v>
      </x:c>
      <x:c r="G8921" t="str">
        <x:v>Office Supplies</x:v>
      </x:c>
      <x:c r="H8921" t="str">
        <x:v>Appliances</x:v>
      </x:c>
      <x:c r="I8921" s="22" t="n">
        <x:v>48.783999999999985</x:v>
      </x:c>
      <x:c r="J8921" s="24" t="n">
        <x:v>4</x:v>
      </x:c>
      <x:c r="K8921" s="26" t="n">
        <x:v>0.8</x:v>
      </x:c>
      <x:c r="L8921" s="22" t="n">
        <x:v>-131.7168</x:v>
      </x:c>
      <x:c r="M8921" t="n">
        <x:v>2016</x:v>
      </x:c>
      <x:c r="N8921" s="20" t="n">
        <x:v>42491</x:v>
      </x:c>
    </x:row>
    <x:row r="8922" ht="18" customHeight="1">
      <x:c r="A8922" t="str">
        <x:v>US-2016-144057</x:v>
      </x:c>
      <x:c r="B8922" s="18" t="n">
        <x:v>42499</x:v>
      </x:c>
      <x:c r="C8922" t="str">
        <x:v>CV-12805</x:v>
      </x:c>
      <x:c r="D8922" t="str">
        <x:v>Cynthia Voltz</x:v>
      </x:c>
      <x:c r="E8922" t="str">
        <x:v>Corporate</x:v>
      </x:c>
      <x:c r="F8922" t="str">
        <x:v>Central</x:v>
      </x:c>
      <x:c r="G8922" t="str">
        <x:v>Office Supplies</x:v>
      </x:c>
      <x:c r="H8922" t="str">
        <x:v>Paper</x:v>
      </x:c>
      <x:c r="I8922" s="22" t="n">
        <x:v>76.64</x:v>
      </x:c>
      <x:c r="J8922" s="24" t="n">
        <x:v>2</x:v>
      </x:c>
      <x:c r="K8922" s="26" t="n">
        <x:v>0.2</x:v>
      </x:c>
      <x:c r="L8922" s="22" t="n">
        <x:v>26.823999999999995</x:v>
      </x:c>
      <x:c r="M8922" t="n">
        <x:v>2016</x:v>
      </x:c>
      <x:c r="N8922" s="20" t="n">
        <x:v>42491</x:v>
      </x:c>
    </x:row>
    <x:row r="8923" ht="18" customHeight="1">
      <x:c r="A8923" t="str">
        <x:v>US-2016-144057</x:v>
      </x:c>
      <x:c r="B8923" s="18" t="n">
        <x:v>42499</x:v>
      </x:c>
      <x:c r="C8923" t="str">
        <x:v>CV-12805</x:v>
      </x:c>
      <x:c r="D8923" t="str">
        <x:v>Cynthia Voltz</x:v>
      </x:c>
      <x:c r="E8923" t="str">
        <x:v>Corporate</x:v>
      </x:c>
      <x:c r="F8923" t="str">
        <x:v>Central</x:v>
      </x:c>
      <x:c r="G8923" t="str">
        <x:v>Office Supplies</x:v>
      </x:c>
      <x:c r="H8923" t="str">
        <x:v>Binders</x:v>
      </x:c>
      <x:c r="I8923" s="22" t="n">
        <x:v>18.527999999999995</x:v>
      </x:c>
      <x:c r="J8923" s="24" t="n">
        <x:v>6</x:v>
      </x:c>
      <x:c r="K8923" s="26" t="n">
        <x:v>0.8</x:v>
      </x:c>
      <x:c r="L8923" s="22" t="n">
        <x:v>-27.791999999999994</x:v>
      </x:c>
      <x:c r="M8923" t="n">
        <x:v>2016</x:v>
      </x:c>
      <x:c r="N8923" s="20" t="n">
        <x:v>42491</x:v>
      </x:c>
    </x:row>
    <x:row r="8924" ht="18" customHeight="1">
      <x:c r="A8924" t="str">
        <x:v>CA-2014-160276</x:v>
      </x:c>
      <x:c r="B8924" s="18" t="n">
        <x:v>41731</x:v>
      </x:c>
      <x:c r="C8924" t="str">
        <x:v>AH-10690</x:v>
      </x:c>
      <x:c r="D8924" t="str">
        <x:v>Anna Häberlin</x:v>
      </x:c>
      <x:c r="E8924" t="str">
        <x:v>Corporate</x:v>
      </x:c>
      <x:c r="F8924" t="str">
        <x:v>South</x:v>
      </x:c>
      <x:c r="G8924" t="str">
        <x:v>Furniture</x:v>
      </x:c>
      <x:c r="H8924" t="str">
        <x:v>Furnishings</x:v>
      </x:c>
      <x:c r="I8924" s="22" t="n">
        <x:v>177.68</x:v>
      </x:c>
      <x:c r="J8924" s="24" t="n">
        <x:v>2</x:v>
      </x:c>
      <x:c r="K8924" s="26" t="n">
        <x:v>0</x:v>
      </x:c>
      <x:c r="L8924" s="22" t="n">
        <x:v>46.196799999999996</x:v>
      </x:c>
      <x:c r="M8924" t="n">
        <x:v>2014</x:v>
      </x:c>
      <x:c r="N8924" s="20" t="n">
        <x:v>41730</x:v>
      </x:c>
    </x:row>
    <x:row r="8925" ht="18" customHeight="1">
      <x:c r="A8925" t="str">
        <x:v>CA-2014-132983</x:v>
      </x:c>
      <x:c r="B8925" s="18" t="n">
        <x:v>41757</x:v>
      </x:c>
      <x:c r="C8925" t="str">
        <x:v>DS-13180</x:v>
      </x:c>
      <x:c r="D8925" t="str">
        <x:v>David Smith</x:v>
      </x:c>
      <x:c r="E8925" t="str">
        <x:v>Corporate</x:v>
      </x:c>
      <x:c r="F8925" t="str">
        <x:v>East</x:v>
      </x:c>
      <x:c r="G8925" t="str">
        <x:v>Technology</x:v>
      </x:c>
      <x:c r="H8925" t="str">
        <x:v>Accessories</x:v>
      </x:c>
      <x:c r="I8925" s="22" t="n">
        <x:v>159.98</x:v>
      </x:c>
      <x:c r="J8925" s="24" t="n">
        <x:v>2</x:v>
      </x:c>
      <x:c r="K8925" s="26" t="n">
        <x:v>0</x:v>
      </x:c>
      <x:c r="L8925" s="22" t="n">
        <x:v>57.5928</x:v>
      </x:c>
      <x:c r="M8925" t="n">
        <x:v>2014</x:v>
      </x:c>
      <x:c r="N8925" s="20" t="n">
        <x:v>41730</x:v>
      </x:c>
    </x:row>
    <x:row r="8926" ht="18" customHeight="1">
      <x:c r="A8926" t="str">
        <x:v>CA-2016-145709</x:v>
      </x:c>
      <x:c r="B8926" s="18" t="n">
        <x:v>42647</x:v>
      </x:c>
      <x:c r="C8926" t="str">
        <x:v>AH-10690</x:v>
      </x:c>
      <x:c r="D8926" t="str">
        <x:v>Anna Häberlin</x:v>
      </x:c>
      <x:c r="E8926" t="str">
        <x:v>Corporate</x:v>
      </x:c>
      <x:c r="F8926" t="str">
        <x:v>South</x:v>
      </x:c>
      <x:c r="G8926" t="str">
        <x:v>Technology</x:v>
      </x:c>
      <x:c r="H8926" t="str">
        <x:v>Phones</x:v>
      </x:c>
      <x:c r="I8926" s="22" t="n">
        <x:v>52.67999999999999</x:v>
      </x:c>
      <x:c r="J8926" s="24" t="n">
        <x:v>3</x:v>
      </x:c>
      <x:c r="K8926" s="26" t="n">
        <x:v>0.2</x:v>
      </x:c>
      <x:c r="L8926" s="22" t="n">
        <x:v>19.755</x:v>
      </x:c>
      <x:c r="M8926" t="n">
        <x:v>2016</x:v>
      </x:c>
      <x:c r="N8926" s="20" t="n">
        <x:v>42644</x:v>
      </x:c>
    </x:row>
    <x:row r="8927" ht="18" customHeight="1">
      <x:c r="A8927" t="str">
        <x:v>CA-2016-145709</x:v>
      </x:c>
      <x:c r="B8927" s="18" t="n">
        <x:v>42647</x:v>
      </x:c>
      <x:c r="C8927" t="str">
        <x:v>AH-10690</x:v>
      </x:c>
      <x:c r="D8927" t="str">
        <x:v>Anna Häberlin</x:v>
      </x:c>
      <x:c r="E8927" t="str">
        <x:v>Corporate</x:v>
      </x:c>
      <x:c r="F8927" t="str">
        <x:v>South</x:v>
      </x:c>
      <x:c r="G8927" t="str">
        <x:v>Furniture</x:v>
      </x:c>
      <x:c r="H8927" t="str">
        <x:v>Furnishings</x:v>
      </x:c>
      <x:c r="I8927" s="22" t="n">
        <x:v>11.568000000000001</x:v>
      </x:c>
      <x:c r="J8927" s="24" t="n">
        <x:v>3</x:v>
      </x:c>
      <x:c r="K8927" s="26" t="n">
        <x:v>0.2</x:v>
      </x:c>
      <x:c r="L8927" s="22" t="n">
        <x:v>2.602800000000001</x:v>
      </x:c>
      <x:c r="M8927" t="n">
        <x:v>2016</x:v>
      </x:c>
      <x:c r="N8927" s="20" t="n">
        <x:v>42644</x:v>
      </x:c>
    </x:row>
    <x:row r="8928" ht="18" customHeight="1">
      <x:c r="A8928" t="str">
        <x:v>CA-2017-133928</x:v>
      </x:c>
      <x:c r="B8928" s="18" t="n">
        <x:v>42897</x:v>
      </x:c>
      <x:c r="C8928" t="str">
        <x:v>ZC-21910</x:v>
      </x:c>
      <x:c r="D8928" t="str">
        <x:v>Zuschuss Carroll</x:v>
      </x:c>
      <x:c r="E8928" t="str">
        <x:v>Consumer</x:v>
      </x:c>
      <x:c r="F8928" t="str">
        <x:v>South</x:v>
      </x:c>
      <x:c r="G8928" t="str">
        <x:v>Office Supplies</x:v>
      </x:c>
      <x:c r="H8928" t="str">
        <x:v>Binders</x:v>
      </x:c>
      <x:c r="I8928" s="22" t="n">
        <x:v>4.572000000000001</x:v>
      </x:c>
      <x:c r="J8928" s="24" t="n">
        <x:v>4</x:v>
      </x:c>
      <x:c r="K8928" s="26" t="n">
        <x:v>0.7</x:v>
      </x:c>
      <x:c r="L8928" s="22" t="n">
        <x:v>-3.8100000000000005</x:v>
      </x:c>
      <x:c r="M8928" t="n">
        <x:v>2017</x:v>
      </x:c>
      <x:c r="N8928" s="20" t="n">
        <x:v>42887</x:v>
      </x:c>
    </x:row>
    <x:row r="8929" ht="18" customHeight="1">
      <x:c r="A8929" t="str">
        <x:v>CA-2016-168032</x:v>
      </x:c>
      <x:c r="B8929" s="18" t="n">
        <x:v>42399</x:v>
      </x:c>
      <x:c r="C8929" t="str">
        <x:v>DF-13135</x:v>
      </x:c>
      <x:c r="D8929" t="str">
        <x:v>David Flashing</x:v>
      </x:c>
      <x:c r="E8929" t="str">
        <x:v>Consumer</x:v>
      </x:c>
      <x:c r="F8929" t="str">
        <x:v>Central</x:v>
      </x:c>
      <x:c r="G8929" t="str">
        <x:v>Technology</x:v>
      </x:c>
      <x:c r="H8929" t="str">
        <x:v>Phones</x:v>
      </x:c>
      <x:c r="I8929" s="22" t="n">
        <x:v>1439.968</x:v>
      </x:c>
      <x:c r="J8929" s="24" t="n">
        <x:v>4</x:v>
      </x:c>
      <x:c r="K8929" s="26" t="n">
        <x:v>0.2</x:v>
      </x:c>
      <x:c r="L8929" s="22" t="n">
        <x:v>143.99680000000006</x:v>
      </x:c>
      <x:c r="M8929" t="n">
        <x:v>2016</x:v>
      </x:c>
      <x:c r="N8929" s="20" t="n">
        <x:v>42370</x:v>
      </x:c>
    </x:row>
    <x:row r="8930" ht="18" customHeight="1">
      <x:c r="A8930" t="str">
        <x:v>CA-2016-168032</x:v>
      </x:c>
      <x:c r="B8930" s="18" t="n">
        <x:v>42399</x:v>
      </x:c>
      <x:c r="C8930" t="str">
        <x:v>DF-13135</x:v>
      </x:c>
      <x:c r="D8930" t="str">
        <x:v>David Flashing</x:v>
      </x:c>
      <x:c r="E8930" t="str">
        <x:v>Consumer</x:v>
      </x:c>
      <x:c r="F8930" t="str">
        <x:v>Central</x:v>
      </x:c>
      <x:c r="G8930" t="str">
        <x:v>Office Supplies</x:v>
      </x:c>
      <x:c r="H8930" t="str">
        <x:v>Binders</x:v>
      </x:c>
      <x:c r="I8930" s="22" t="n">
        <x:v>1.7279999999999995</x:v>
      </x:c>
      <x:c r="J8930" s="24" t="n">
        <x:v>3</x:v>
      </x:c>
      <x:c r="K8930" s="26" t="n">
        <x:v>0.8</x:v>
      </x:c>
      <x:c r="L8930" s="22" t="n">
        <x:v>-2.678399999999999</x:v>
      </x:c>
      <x:c r="M8930" t="n">
        <x:v>2016</x:v>
      </x:c>
      <x:c r="N8930" s="20" t="n">
        <x:v>42370</x:v>
      </x:c>
    </x:row>
    <x:row r="8931" ht="18" customHeight="1">
      <x:c r="A8931" t="str">
        <x:v>CA-2016-168032</x:v>
      </x:c>
      <x:c r="B8931" s="18" t="n">
        <x:v>42399</x:v>
      </x:c>
      <x:c r="C8931" t="str">
        <x:v>DF-13135</x:v>
      </x:c>
      <x:c r="D8931" t="str">
        <x:v>David Flashing</x:v>
      </x:c>
      <x:c r="E8931" t="str">
        <x:v>Consumer</x:v>
      </x:c>
      <x:c r="F8931" t="str">
        <x:v>Central</x:v>
      </x:c>
      <x:c r="G8931" t="str">
        <x:v>Furniture</x:v>
      </x:c>
      <x:c r="H8931" t="str">
        <x:v>Tables</x:v>
      </x:c>
      <x:c r="I8931" s="22" t="n">
        <x:v>626.0999999999999</x:v>
      </x:c>
      <x:c r="J8931" s="24" t="n">
        <x:v>3</x:v>
      </x:c>
      <x:c r="K8931" s="26" t="n">
        <x:v>0.5</x:v>
      </x:c>
      <x:c r="L8931" s="22" t="n">
        <x:v>-538.446</x:v>
      </x:c>
      <x:c r="M8931" t="n">
        <x:v>2016</x:v>
      </x:c>
      <x:c r="N8931" s="20" t="n">
        <x:v>42370</x:v>
      </x:c>
    </x:row>
    <x:row r="8932" ht="18" customHeight="1">
      <x:c r="A8932" t="str">
        <x:v>CA-2015-143616</x:v>
      </x:c>
      <x:c r="B8932" s="18" t="n">
        <x:v>42274</x:v>
      </x:c>
      <x:c r="C8932" t="str">
        <x:v>SS-20140</x:v>
      </x:c>
      <x:c r="D8932" t="str">
        <x:v>Saphhira Shifley</x:v>
      </x:c>
      <x:c r="E8932" t="str">
        <x:v>Corporate</x:v>
      </x:c>
      <x:c r="F8932" t="str">
        <x:v>West</x:v>
      </x:c>
      <x:c r="G8932" t="str">
        <x:v>Office Supplies</x:v>
      </x:c>
      <x:c r="H8932" t="str">
        <x:v>Art</x:v>
      </x:c>
      <x:c r="I8932" s="22" t="n">
        <x:v>99.2</x:v>
      </x:c>
      <x:c r="J8932" s="24" t="n">
        <x:v>5</x:v>
      </x:c>
      <x:c r="K8932" s="26" t="n">
        <x:v>0</x:v>
      </x:c>
      <x:c r="L8932" s="22" t="n">
        <x:v>25.792</x:v>
      </x:c>
      <x:c r="M8932" t="n">
        <x:v>2015</x:v>
      </x:c>
      <x:c r="N8932" s="20" t="n">
        <x:v>42248</x:v>
      </x:c>
    </x:row>
    <x:row r="8933" ht="18" customHeight="1">
      <x:c r="A8933" t="str">
        <x:v>US-2015-168704</x:v>
      </x:c>
      <x:c r="B8933" s="18" t="n">
        <x:v>42107</x:v>
      </x:c>
      <x:c r="C8933" t="str">
        <x:v>FP-14320</x:v>
      </x:c>
      <x:c r="D8933" t="str">
        <x:v>Frank Preis</x:v>
      </x:c>
      <x:c r="E8933" t="str">
        <x:v>Consumer</x:v>
      </x:c>
      <x:c r="F8933" t="str">
        <x:v>Central</x:v>
      </x:c>
      <x:c r="G8933" t="str">
        <x:v>Furniture</x:v>
      </x:c>
      <x:c r="H8933" t="str">
        <x:v>Tables</x:v>
      </x:c>
      <x:c r="I8933" s="22" t="n">
        <x:v>609.9799999999999</x:v>
      </x:c>
      <x:c r="J8933" s="24" t="n">
        <x:v>4</x:v>
      </x:c>
      <x:c r="K8933" s="26" t="n">
        <x:v>0.3</x:v>
      </x:c>
      <x:c r="L8933" s="22" t="n">
        <x:v>-113.28200000000004</x:v>
      </x:c>
      <x:c r="M8933" t="n">
        <x:v>2015</x:v>
      </x:c>
      <x:c r="N8933" s="20" t="n">
        <x:v>42095</x:v>
      </x:c>
    </x:row>
    <x:row r="8934" ht="18" customHeight="1">
      <x:c r="A8934" t="str">
        <x:v>US-2015-168704</x:v>
      </x:c>
      <x:c r="B8934" s="18" t="n">
        <x:v>42107</x:v>
      </x:c>
      <x:c r="C8934" t="str">
        <x:v>FP-14320</x:v>
      </x:c>
      <x:c r="D8934" t="str">
        <x:v>Frank Preis</x:v>
      </x:c>
      <x:c r="E8934" t="str">
        <x:v>Consumer</x:v>
      </x:c>
      <x:c r="F8934" t="str">
        <x:v>Central</x:v>
      </x:c>
      <x:c r="G8934" t="str">
        <x:v>Furniture</x:v>
      </x:c>
      <x:c r="H8934" t="str">
        <x:v>Tables</x:v>
      </x:c>
      <x:c r="I8934" s="22" t="n">
        <x:v>211.37199999999999</x:v>
      </x:c>
      <x:c r="J8934" s="24" t="n">
        <x:v>2</x:v>
      </x:c>
      <x:c r="K8934" s="26" t="n">
        <x:v>0.3</x:v>
      </x:c>
      <x:c r="L8934" s="22" t="n">
        <x:v>-45.29400000000001</x:v>
      </x:c>
      <x:c r="M8934" t="n">
        <x:v>2015</x:v>
      </x:c>
      <x:c r="N8934" s="20" t="n">
        <x:v>42095</x:v>
      </x:c>
    </x:row>
    <x:row r="8935" ht="18" customHeight="1">
      <x:c r="A8935" t="str">
        <x:v>US-2015-168704</x:v>
      </x:c>
      <x:c r="B8935" s="18" t="n">
        <x:v>42107</x:v>
      </x:c>
      <x:c r="C8935" t="str">
        <x:v>FP-14320</x:v>
      </x:c>
      <x:c r="D8935" t="str">
        <x:v>Frank Preis</x:v>
      </x:c>
      <x:c r="E8935" t="str">
        <x:v>Consumer</x:v>
      </x:c>
      <x:c r="F8935" t="str">
        <x:v>Central</x:v>
      </x:c>
      <x:c r="G8935" t="str">
        <x:v>Technology</x:v>
      </x:c>
      <x:c r="H8935" t="str">
        <x:v>Phones</x:v>
      </x:c>
      <x:c r="I8935" s="22" t="n">
        <x:v>239.976</x:v>
      </x:c>
      <x:c r="J8935" s="24" t="n">
        <x:v>3</x:v>
      </x:c>
      <x:c r="K8935" s="26" t="n">
        <x:v>0.2</x:v>
      </x:c>
      <x:c r="L8935" s="22" t="n">
        <x:v>17.998199999999997</x:v>
      </x:c>
      <x:c r="M8935" t="n">
        <x:v>2015</x:v>
      </x:c>
      <x:c r="N8935" s="20" t="n">
        <x:v>42095</x:v>
      </x:c>
    </x:row>
    <x:row r="8936" ht="18" customHeight="1">
      <x:c r="A8936" t="str">
        <x:v>CA-2017-143252</x:v>
      </x:c>
      <x:c r="B8936" s="18" t="n">
        <x:v>43087</x:v>
      </x:c>
      <x:c r="C8936" t="str">
        <x:v>HE-14800</x:v>
      </x:c>
      <x:c r="D8936" t="str">
        <x:v>Harold Engle</x:v>
      </x:c>
      <x:c r="E8936" t="str">
        <x:v>Corporate</x:v>
      </x:c>
      <x:c r="F8936" t="str">
        <x:v>Central</x:v>
      </x:c>
      <x:c r="G8936" t="str">
        <x:v>Furniture</x:v>
      </x:c>
      <x:c r="H8936" t="str">
        <x:v>Furnishings</x:v>
      </x:c>
      <x:c r="I8936" s="22" t="n">
        <x:v>99.94999999999999</x:v>
      </x:c>
      <x:c r="J8936" s="24" t="n">
        <x:v>5</x:v>
      </x:c>
      <x:c r="K8936" s="26" t="n">
        <x:v>0</x:v>
      </x:c>
      <x:c r="L8936" s="22" t="n">
        <x:v>22.9885</x:v>
      </x:c>
      <x:c r="M8936" t="n">
        <x:v>2017</x:v>
      </x:c>
      <x:c r="N8936" s="20" t="n">
        <x:v>43070</x:v>
      </x:c>
    </x:row>
    <x:row r="8937" ht="18" customHeight="1">
      <x:c r="A8937" t="str">
        <x:v>CA-2017-143252</x:v>
      </x:c>
      <x:c r="B8937" s="18" t="n">
        <x:v>43087</x:v>
      </x:c>
      <x:c r="C8937" t="str">
        <x:v>HE-14800</x:v>
      </x:c>
      <x:c r="D8937" t="str">
        <x:v>Harold Engle</x:v>
      </x:c>
      <x:c r="E8937" t="str">
        <x:v>Corporate</x:v>
      </x:c>
      <x:c r="F8937" t="str">
        <x:v>Central</x:v>
      </x:c>
      <x:c r="G8937" t="str">
        <x:v>Technology</x:v>
      </x:c>
      <x:c r="H8937" t="str">
        <x:v>Accessories</x:v>
      </x:c>
      <x:c r="I8937" s="22" t="n">
        <x:v>29.339999999999996</x:v>
      </x:c>
      <x:c r="J8937" s="24" t="n">
        <x:v>3</x:v>
      </x:c>
      <x:c r="K8937" s="26" t="n">
        <x:v>0</x:v>
      </x:c>
      <x:c r="L8937" s="22" t="n">
        <x:v>10.855799999999999</x:v>
      </x:c>
      <x:c r="M8937" t="n">
        <x:v>2017</x:v>
      </x:c>
      <x:c r="N8937" s="20" t="n">
        <x:v>43070</x:v>
      </x:c>
    </x:row>
    <x:row r="8938" ht="18" customHeight="1">
      <x:c r="A8938" t="str">
        <x:v>CA-2016-102134</x:v>
      </x:c>
      <x:c r="B8938" s="18" t="n">
        <x:v>42443</x:v>
      </x:c>
      <x:c r="C8938" t="str">
        <x:v>SP-20545</x:v>
      </x:c>
      <x:c r="D8938" t="str">
        <x:v>Sibella Parks</x:v>
      </x:c>
      <x:c r="E8938" t="str">
        <x:v>Corporate</x:v>
      </x:c>
      <x:c r="F8938" t="str">
        <x:v>Central</x:v>
      </x:c>
      <x:c r="G8938" t="str">
        <x:v>Furniture</x:v>
      </x:c>
      <x:c r="H8938" t="str">
        <x:v>Furnishings</x:v>
      </x:c>
      <x:c r="I8938" s="22" t="n">
        <x:v>16.74</x:v>
      </x:c>
      <x:c r="J8938" s="24" t="n">
        <x:v>2</x:v>
      </x:c>
      <x:c r="K8938" s="26" t="n">
        <x:v>0</x:v>
      </x:c>
      <x:c r="L8938" s="22" t="n">
        <x:v>4.352399999999999</x:v>
      </x:c>
      <x:c r="M8938" t="n">
        <x:v>2016</x:v>
      </x:c>
      <x:c r="N8938" s="20" t="n">
        <x:v>42430</x:v>
      </x:c>
    </x:row>
    <x:row r="8939" ht="18" customHeight="1">
      <x:c r="A8939" t="str">
        <x:v>CA-2017-130036</x:v>
      </x:c>
      <x:c r="B8939" s="18" t="n">
        <x:v>42974</x:v>
      </x:c>
      <x:c r="C8939" t="str">
        <x:v>BP-11185</x:v>
      </x:c>
      <x:c r="D8939" t="str">
        <x:v>Ben Peterman</x:v>
      </x:c>
      <x:c r="E8939" t="str">
        <x:v>Corporate</x:v>
      </x:c>
      <x:c r="F8939" t="str">
        <x:v>East</x:v>
      </x:c>
      <x:c r="G8939" t="str">
        <x:v>Office Supplies</x:v>
      </x:c>
      <x:c r="H8939" t="str">
        <x:v>Paper</x:v>
      </x:c>
      <x:c r="I8939" s="22" t="n">
        <x:v>12.672</x:v>
      </x:c>
      <x:c r="J8939" s="24" t="n">
        <x:v>3</x:v>
      </x:c>
      <x:c r="K8939" s="26" t="n">
        <x:v>0.2</x:v>
      </x:c>
      <x:c r="L8939" s="22" t="n">
        <x:v>3.96</x:v>
      </x:c>
      <x:c r="M8939" t="n">
        <x:v>2017</x:v>
      </x:c>
      <x:c r="N8939" s="20" t="n">
        <x:v>42948</x:v>
      </x:c>
    </x:row>
    <x:row r="8940" ht="18" customHeight="1">
      <x:c r="A8940" t="str">
        <x:v>CA-2017-130036</x:v>
      </x:c>
      <x:c r="B8940" s="18" t="n">
        <x:v>42974</x:v>
      </x:c>
      <x:c r="C8940" t="str">
        <x:v>BP-11185</x:v>
      </x:c>
      <x:c r="D8940" t="str">
        <x:v>Ben Peterman</x:v>
      </x:c>
      <x:c r="E8940" t="str">
        <x:v>Corporate</x:v>
      </x:c>
      <x:c r="F8940" t="str">
        <x:v>East</x:v>
      </x:c>
      <x:c r="G8940" t="str">
        <x:v>Technology</x:v>
      </x:c>
      <x:c r="H8940" t="str">
        <x:v>Accessories</x:v>
      </x:c>
      <x:c r="I8940" s="22" t="n">
        <x:v>1119.8880000000001</x:v>
      </x:c>
      <x:c r="J8940" s="24" t="n">
        <x:v>14</x:v>
      </x:c>
      <x:c r="K8940" s="26" t="n">
        <x:v>0.2</x:v>
      </x:c>
      <x:c r="L8940" s="22" t="n">
        <x:v>209.97899999999993</x:v>
      </x:c>
      <x:c r="M8940" t="n">
        <x:v>2017</x:v>
      </x:c>
      <x:c r="N8940" s="20" t="n">
        <x:v>42948</x:v>
      </x:c>
    </x:row>
    <x:row r="8941" ht="18" customHeight="1">
      <x:c r="A8941" t="str">
        <x:v>CA-2015-134117</x:v>
      </x:c>
      <x:c r="B8941" s="18" t="n">
        <x:v>42355</x:v>
      </x:c>
      <x:c r="C8941" t="str">
        <x:v>PG-18895</x:v>
      </x:c>
      <x:c r="D8941" t="str">
        <x:v>Paul Gonzalez</x:v>
      </x:c>
      <x:c r="E8941" t="str">
        <x:v>Consumer</x:v>
      </x:c>
      <x:c r="F8941" t="str">
        <x:v>West</x:v>
      </x:c>
      <x:c r="G8941" t="str">
        <x:v>Office Supplies</x:v>
      </x:c>
      <x:c r="H8941" t="str">
        <x:v>Art</x:v>
      </x:c>
      <x:c r="I8941" s="22" t="n">
        <x:v>204.85</x:v>
      </x:c>
      <x:c r="J8941" s="24" t="n">
        <x:v>5</x:v>
      </x:c>
      <x:c r="K8941" s="26" t="n">
        <x:v>0</x:v>
      </x:c>
      <x:c r="L8941" s="22" t="n">
        <x:v>53.261</x:v>
      </x:c>
      <x:c r="M8941" t="n">
        <x:v>2015</x:v>
      </x:c>
      <x:c r="N8941" s="20" t="n">
        <x:v>42339</x:v>
      </x:c>
    </x:row>
    <x:row r="8942" ht="18" customHeight="1">
      <x:c r="A8942" t="str">
        <x:v>CA-2015-134117</x:v>
      </x:c>
      <x:c r="B8942" s="18" t="n">
        <x:v>42355</x:v>
      </x:c>
      <x:c r="C8942" t="str">
        <x:v>PG-18895</x:v>
      </x:c>
      <x:c r="D8942" t="str">
        <x:v>Paul Gonzalez</x:v>
      </x:c>
      <x:c r="E8942" t="str">
        <x:v>Consumer</x:v>
      </x:c>
      <x:c r="F8942" t="str">
        <x:v>West</x:v>
      </x:c>
      <x:c r="G8942" t="str">
        <x:v>Technology</x:v>
      </x:c>
      <x:c r="H8942" t="str">
        <x:v>Phones</x:v>
      </x:c>
      <x:c r="I8942" s="22" t="n">
        <x:v>135.984</x:v>
      </x:c>
      <x:c r="J8942" s="24" t="n">
        <x:v>2</x:v>
      </x:c>
      <x:c r="K8942" s="26" t="n">
        <x:v>0.2</x:v>
      </x:c>
      <x:c r="L8942" s="22" t="n">
        <x:v>16.997999999999983</x:v>
      </x:c>
      <x:c r="M8942" t="n">
        <x:v>2015</x:v>
      </x:c>
      <x:c r="N8942" s="20" t="n">
        <x:v>42339</x:v>
      </x:c>
    </x:row>
    <x:row r="8943" ht="18" customHeight="1">
      <x:c r="A8943" t="str">
        <x:v>CA-2015-134117</x:v>
      </x:c>
      <x:c r="B8943" s="18" t="n">
        <x:v>42355</x:v>
      </x:c>
      <x:c r="C8943" t="str">
        <x:v>PG-18895</x:v>
      </x:c>
      <x:c r="D8943" t="str">
        <x:v>Paul Gonzalez</x:v>
      </x:c>
      <x:c r="E8943" t="str">
        <x:v>Consumer</x:v>
      </x:c>
      <x:c r="F8943" t="str">
        <x:v>West</x:v>
      </x:c>
      <x:c r="G8943" t="str">
        <x:v>Office Supplies</x:v>
      </x:c>
      <x:c r="H8943" t="str">
        <x:v>Art</x:v>
      </x:c>
      <x:c r="I8943" s="22" t="n">
        <x:v>16.4</x:v>
      </x:c>
      <x:c r="J8943" s="24" t="n">
        <x:v>5</x:v>
      </x:c>
      <x:c r="K8943" s="26" t="n">
        <x:v>0</x:v>
      </x:c>
      <x:c r="L8943" s="22" t="n">
        <x:v>7.0520000000000005</x:v>
      </x:c>
      <x:c r="M8943" t="n">
        <x:v>2015</x:v>
      </x:c>
      <x:c r="N8943" s="20" t="n">
        <x:v>42339</x:v>
      </x:c>
    </x:row>
    <x:row r="8944" ht="18" customHeight="1">
      <x:c r="A8944" t="str">
        <x:v>CA-2015-134117</x:v>
      </x:c>
      <x:c r="B8944" s="18" t="n">
        <x:v>42355</x:v>
      </x:c>
      <x:c r="C8944" t="str">
        <x:v>PG-18895</x:v>
      </x:c>
      <x:c r="D8944" t="str">
        <x:v>Paul Gonzalez</x:v>
      </x:c>
      <x:c r="E8944" t="str">
        <x:v>Consumer</x:v>
      </x:c>
      <x:c r="F8944" t="str">
        <x:v>West</x:v>
      </x:c>
      <x:c r="G8944" t="str">
        <x:v>Office Supplies</x:v>
      </x:c>
      <x:c r="H8944" t="str">
        <x:v>Binders</x:v>
      </x:c>
      <x:c r="I8944" s="22" t="n">
        <x:v>92.96000000000001</x:v>
      </x:c>
      <x:c r="J8944" s="24" t="n">
        <x:v>2</x:v>
      </x:c>
      <x:c r="K8944" s="26" t="n">
        <x:v>0.2</x:v>
      </x:c>
      <x:c r="L8944" s="22" t="n">
        <x:v>31.373999999999995</x:v>
      </x:c>
      <x:c r="M8944" t="n">
        <x:v>2015</x:v>
      </x:c>
      <x:c r="N8944" s="20" t="n">
        <x:v>42339</x:v>
      </x:c>
    </x:row>
    <x:row r="8945" ht="18" customHeight="1">
      <x:c r="A8945" t="str">
        <x:v>CA-2014-130918</x:v>
      </x:c>
      <x:c r="B8945" s="18" t="n">
        <x:v>41873</x:v>
      </x:c>
      <x:c r="C8945" t="str">
        <x:v>JP-15520</x:v>
      </x:c>
      <x:c r="D8945" t="str">
        <x:v>Jeremy Pistek</x:v>
      </x:c>
      <x:c r="E8945" t="str">
        <x:v>Consumer</x:v>
      </x:c>
      <x:c r="F8945" t="str">
        <x:v>South</x:v>
      </x:c>
      <x:c r="G8945" t="str">
        <x:v>Office Supplies</x:v>
      </x:c>
      <x:c r="H8945" t="str">
        <x:v>Supplies</x:v>
      </x:c>
      <x:c r="I8945" s="22" t="n">
        <x:v>7.6320000000000014</x:v>
      </x:c>
      <x:c r="J8945" s="24" t="n">
        <x:v>3</x:v>
      </x:c>
      <x:c r="K8945" s="26" t="n">
        <x:v>0.2</x:v>
      </x:c>
      <x:c r="L8945" s="22" t="n">
        <x:v>-1.8126000000000002</x:v>
      </x:c>
      <x:c r="M8945" t="n">
        <x:v>2014</x:v>
      </x:c>
      <x:c r="N8945" s="20" t="n">
        <x:v>41852</x:v>
      </x:c>
    </x:row>
    <x:row r="8946" ht="18" customHeight="1">
      <x:c r="A8946" t="str">
        <x:v>CA-2016-159023</x:v>
      </x:c>
      <x:c r="B8946" s="18" t="n">
        <x:v>42677</x:v>
      </x:c>
      <x:c r="C8946" t="str">
        <x:v>NW-18400</x:v>
      </x:c>
      <x:c r="D8946" t="str">
        <x:v>Natalie Webber</x:v>
      </x:c>
      <x:c r="E8946" t="str">
        <x:v>Consumer</x:v>
      </x:c>
      <x:c r="F8946" t="str">
        <x:v>West</x:v>
      </x:c>
      <x:c r="G8946" t="str">
        <x:v>Office Supplies</x:v>
      </x:c>
      <x:c r="H8946" t="str">
        <x:v>Binders</x:v>
      </x:c>
      <x:c r="I8946" s="22" t="n">
        <x:v>4.158</x:v>
      </x:c>
      <x:c r="J8946" s="24" t="n">
        <x:v>7</x:v>
      </x:c>
      <x:c r="K8946" s="26" t="n">
        <x:v>0.7</x:v>
      </x:c>
      <x:c r="L8946" s="22" t="n">
        <x:v>-3.465</x:v>
      </x:c>
      <x:c r="M8946" t="n">
        <x:v>2016</x:v>
      </x:c>
      <x:c r="N8946" s="20" t="n">
        <x:v>42675</x:v>
      </x:c>
    </x:row>
    <x:row r="8947" ht="18" customHeight="1">
      <x:c r="A8947" t="str">
        <x:v>CA-2016-159023</x:v>
      </x:c>
      <x:c r="B8947" s="18" t="n">
        <x:v>42677</x:v>
      </x:c>
      <x:c r="C8947" t="str">
        <x:v>NW-18400</x:v>
      </x:c>
      <x:c r="D8947" t="str">
        <x:v>Natalie Webber</x:v>
      </x:c>
      <x:c r="E8947" t="str">
        <x:v>Consumer</x:v>
      </x:c>
      <x:c r="F8947" t="str">
        <x:v>West</x:v>
      </x:c>
      <x:c r="G8947" t="str">
        <x:v>Technology</x:v>
      </x:c>
      <x:c r="H8947" t="str">
        <x:v>Machines</x:v>
      </x:c>
      <x:c r="I8947" s="22" t="n">
        <x:v>179.99100000000004</x:v>
      </x:c>
      <x:c r="J8947" s="24" t="n">
        <x:v>3</x:v>
      </x:c>
      <x:c r="K8947" s="26" t="n">
        <x:v>0.7</x:v>
      </x:c>
      <x:c r="L8947" s="22" t="n">
        <x:v>-251.98739999999992</x:v>
      </x:c>
      <x:c r="M8947" t="n">
        <x:v>2016</x:v>
      </x:c>
      <x:c r="N8947" s="20" t="n">
        <x:v>42675</x:v>
      </x:c>
    </x:row>
    <x:row r="8948" ht="18" customHeight="1">
      <x:c r="A8948" t="str">
        <x:v>CA-2017-111717</x:v>
      </x:c>
      <x:c r="B8948" s="18" t="n">
        <x:v>43018</x:v>
      </x:c>
      <x:c r="C8948" t="str">
        <x:v>SW-20245</x:v>
      </x:c>
      <x:c r="D8948" t="str">
        <x:v>Scot Wooten</x:v>
      </x:c>
      <x:c r="E8948" t="str">
        <x:v>Consumer</x:v>
      </x:c>
      <x:c r="F8948" t="str">
        <x:v>Central</x:v>
      </x:c>
      <x:c r="G8948" t="str">
        <x:v>Furniture</x:v>
      </x:c>
      <x:c r="H8948" t="str">
        <x:v>Chairs</x:v>
      </x:c>
      <x:c r="I8948" s="22" t="n">
        <x:v>239.358</x:v>
      </x:c>
      <x:c r="J8948" s="24" t="n">
        <x:v>3</x:v>
      </x:c>
      <x:c r="K8948" s="26" t="n">
        <x:v>0.3</x:v>
      </x:c>
      <x:c r="L8948" s="22" t="n">
        <x:v>-47.8716</x:v>
      </x:c>
      <x:c r="M8948" t="n">
        <x:v>2017</x:v>
      </x:c>
      <x:c r="N8948" s="20" t="n">
        <x:v>43009</x:v>
      </x:c>
    </x:row>
    <x:row r="8949" ht="18" customHeight="1">
      <x:c r="A8949" t="str">
        <x:v>CA-2014-154592</x:v>
      </x:c>
      <x:c r="B8949" s="18" t="n">
        <x:v>41980</x:v>
      </x:c>
      <x:c r="C8949" t="str">
        <x:v>EH-14005</x:v>
      </x:c>
      <x:c r="D8949" t="str">
        <x:v>Erica Hernandez</x:v>
      </x:c>
      <x:c r="E8949" t="str">
        <x:v>Home Office</x:v>
      </x:c>
      <x:c r="F8949" t="str">
        <x:v>West</x:v>
      </x:c>
      <x:c r="G8949" t="str">
        <x:v>Office Supplies</x:v>
      </x:c>
      <x:c r="H8949" t="str">
        <x:v>Paper</x:v>
      </x:c>
      <x:c r="I8949" s="22" t="n">
        <x:v>164.88</x:v>
      </x:c>
      <x:c r="J8949" s="24" t="n">
        <x:v>3</x:v>
      </x:c>
      <x:c r="K8949" s="26" t="n">
        <x:v>0</x:v>
      </x:c>
      <x:c r="L8949" s="22" t="n">
        <x:v>80.7912</x:v>
      </x:c>
      <x:c r="M8949" t="n">
        <x:v>2014</x:v>
      </x:c>
      <x:c r="N8949" s="20" t="n">
        <x:v>41974</x:v>
      </x:c>
    </x:row>
    <x:row r="8950" ht="18" customHeight="1">
      <x:c r="A8950" t="str">
        <x:v>CA-2014-128622</x:v>
      </x:c>
      <x:c r="B8950" s="18" t="n">
        <x:v>41958</x:v>
      </x:c>
      <x:c r="C8950" t="str">
        <x:v>SC-20260</x:v>
      </x:c>
      <x:c r="D8950" t="str">
        <x:v>Scott Cohen</x:v>
      </x:c>
      <x:c r="E8950" t="str">
        <x:v>Corporate</x:v>
      </x:c>
      <x:c r="F8950" t="str">
        <x:v>West</x:v>
      </x:c>
      <x:c r="G8950" t="str">
        <x:v>Office Supplies</x:v>
      </x:c>
      <x:c r="H8950" t="str">
        <x:v>Supplies</x:v>
      </x:c>
      <x:c r="I8950" s="22" t="n">
        <x:v>10.95</x:v>
      </x:c>
      <x:c r="J8950" s="24" t="n">
        <x:v>3</x:v>
      </x:c>
      <x:c r="K8950" s="26" t="n">
        <x:v>0</x:v>
      </x:c>
      <x:c r="L8950" s="22" t="n">
        <x:v>3.2849999999999993</x:v>
      </x:c>
      <x:c r="M8950" t="n">
        <x:v>2014</x:v>
      </x:c>
      <x:c r="N8950" s="20" t="n">
        <x:v>41944</x:v>
      </x:c>
    </x:row>
    <x:row r="8951" ht="18" customHeight="1">
      <x:c r="A8951" t="str">
        <x:v>CA-2017-148355</x:v>
      </x:c>
      <x:c r="B8951" s="18" t="n">
        <x:v>43093</x:v>
      </x:c>
      <x:c r="C8951" t="str">
        <x:v>NC-18535</x:v>
      </x:c>
      <x:c r="D8951" t="str">
        <x:v>Nick Crebassa</x:v>
      </x:c>
      <x:c r="E8951" t="str">
        <x:v>Corporate</x:v>
      </x:c>
      <x:c r="F8951" t="str">
        <x:v>East</x:v>
      </x:c>
      <x:c r="G8951" t="str">
        <x:v>Office Supplies</x:v>
      </x:c>
      <x:c r="H8951" t="str">
        <x:v>Paper</x:v>
      </x:c>
      <x:c r="I8951" s="22" t="n">
        <x:v>19.44</x:v>
      </x:c>
      <x:c r="J8951" s="24" t="n">
        <x:v>3</x:v>
      </x:c>
      <x:c r="K8951" s="26" t="n">
        <x:v>0</x:v>
      </x:c>
      <x:c r="L8951" s="22" t="n">
        <x:v>9.3312</x:v>
      </x:c>
      <x:c r="M8951" t="n">
        <x:v>2017</x:v>
      </x:c>
      <x:c r="N8951" s="20" t="n">
        <x:v>43070</x:v>
      </x:c>
    </x:row>
    <x:row r="8952" ht="18" customHeight="1">
      <x:c r="A8952" t="str">
        <x:v>CA-2017-148355</x:v>
      </x:c>
      <x:c r="B8952" s="18" t="n">
        <x:v>43093</x:v>
      </x:c>
      <x:c r="C8952" t="str">
        <x:v>NC-18535</x:v>
      </x:c>
      <x:c r="D8952" t="str">
        <x:v>Nick Crebassa</x:v>
      </x:c>
      <x:c r="E8952" t="str">
        <x:v>Corporate</x:v>
      </x:c>
      <x:c r="F8952" t="str">
        <x:v>East</x:v>
      </x:c>
      <x:c r="G8952" t="str">
        <x:v>Office Supplies</x:v>
      </x:c>
      <x:c r="H8952" t="str">
        <x:v>Binders</x:v>
      </x:c>
      <x:c r="I8952" s="22" t="n">
        <x:v>12.3</x:v>
      </x:c>
      <x:c r="J8952" s="24" t="n">
        <x:v>5</x:v>
      </x:c>
      <x:c r="K8952" s="26" t="n">
        <x:v>0</x:v>
      </x:c>
      <x:c r="L8952" s="22" t="n">
        <x:v>6.15</x:v>
      </x:c>
      <x:c r="M8952" t="n">
        <x:v>2017</x:v>
      </x:c>
      <x:c r="N8952" s="20" t="n">
        <x:v>43070</x:v>
      </x:c>
    </x:row>
    <x:row r="8953" ht="18" customHeight="1">
      <x:c r="A8953" t="str">
        <x:v>CA-2014-132913</x:v>
      </x:c>
      <x:c r="B8953" s="18" t="n">
        <x:v>41997</x:v>
      </x:c>
      <x:c r="C8953" t="str">
        <x:v>AS-10090</x:v>
      </x:c>
      <x:c r="D8953" t="str">
        <x:v>Adam Shillingsburg</x:v>
      </x:c>
      <x:c r="E8953" t="str">
        <x:v>Consumer</x:v>
      </x:c>
      <x:c r="F8953" t="str">
        <x:v>West</x:v>
      </x:c>
      <x:c r="G8953" t="str">
        <x:v>Office Supplies</x:v>
      </x:c>
      <x:c r="H8953" t="str">
        <x:v>Appliances</x:v>
      </x:c>
      <x:c r="I8953" s="22" t="n">
        <x:v>13.97</x:v>
      </x:c>
      <x:c r="J8953" s="24" t="n">
        <x:v>1</x:v>
      </x:c>
      <x:c r="K8953" s="26" t="n">
        <x:v>0</x:v>
      </x:c>
      <x:c r="L8953" s="22" t="n">
        <x:v>3.632200000000001</x:v>
      </x:c>
      <x:c r="M8953" t="n">
        <x:v>2014</x:v>
      </x:c>
      <x:c r="N8953" s="20" t="n">
        <x:v>41974</x:v>
      </x:c>
    </x:row>
    <x:row r="8954" ht="18" customHeight="1">
      <x:c r="A8954" t="str">
        <x:v>CA-2017-150910</x:v>
      </x:c>
      <x:c r="B8954" s="18" t="n">
        <x:v>43091</x:v>
      </x:c>
      <x:c r="C8954" t="str">
        <x:v>JL-15130</x:v>
      </x:c>
      <x:c r="D8954" t="str">
        <x:v>Jack Lebron</x:v>
      </x:c>
      <x:c r="E8954" t="str">
        <x:v>Consumer</x:v>
      </x:c>
      <x:c r="F8954" t="str">
        <x:v>South</x:v>
      </x:c>
      <x:c r="G8954" t="str">
        <x:v>Furniture</x:v>
      </x:c>
      <x:c r="H8954" t="str">
        <x:v>Tables</x:v>
      </x:c>
      <x:c r="I8954" s="22" t="n">
        <x:v>934.9559999999999</x:v>
      </x:c>
      <x:c r="J8954" s="24" t="n">
        <x:v>6</x:v>
      </x:c>
      <x:c r="K8954" s="26" t="n">
        <x:v>0.4</x:v>
      </x:c>
      <x:c r="L8954" s="22" t="n">
        <x:v>-249.3216</x:v>
      </x:c>
      <x:c r="M8954" t="n">
        <x:v>2017</x:v>
      </x:c>
      <x:c r="N8954" s="20" t="n">
        <x:v>43070</x:v>
      </x:c>
    </x:row>
    <x:row r="8955" ht="18" customHeight="1">
      <x:c r="A8955" t="str">
        <x:v>CA-2017-150910</x:v>
      </x:c>
      <x:c r="B8955" s="18" t="n">
        <x:v>43091</x:v>
      </x:c>
      <x:c r="C8955" t="str">
        <x:v>JL-15130</x:v>
      </x:c>
      <x:c r="D8955" t="str">
        <x:v>Jack Lebron</x:v>
      </x:c>
      <x:c r="E8955" t="str">
        <x:v>Consumer</x:v>
      </x:c>
      <x:c r="F8955" t="str">
        <x:v>South</x:v>
      </x:c>
      <x:c r="G8955" t="str">
        <x:v>Technology</x:v>
      </x:c>
      <x:c r="H8955" t="str">
        <x:v>Accessories</x:v>
      </x:c>
      <x:c r="I8955" s="22" t="n">
        <x:v>46.864000000000004</x:v>
      </x:c>
      <x:c r="J8955" s="24" t="n">
        <x:v>2</x:v>
      </x:c>
      <x:c r="K8955" s="26" t="n">
        <x:v>0.2</x:v>
      </x:c>
      <x:c r="L8955" s="22" t="n">
        <x:v>7.615399999999994</x:v>
      </x:c>
      <x:c r="M8955" t="n">
        <x:v>2017</x:v>
      </x:c>
      <x:c r="N8955" s="20" t="n">
        <x:v>43070</x:v>
      </x:c>
    </x:row>
    <x:row r="8956" ht="18" customHeight="1">
      <x:c r="A8956" t="str">
        <x:v>CA-2017-150910</x:v>
      </x:c>
      <x:c r="B8956" s="18" t="n">
        <x:v>43091</x:v>
      </x:c>
      <x:c r="C8956" t="str">
        <x:v>JL-15130</x:v>
      </x:c>
      <x:c r="D8956" t="str">
        <x:v>Jack Lebron</x:v>
      </x:c>
      <x:c r="E8956" t="str">
        <x:v>Consumer</x:v>
      </x:c>
      <x:c r="F8956" t="str">
        <x:v>South</x:v>
      </x:c>
      <x:c r="G8956" t="str">
        <x:v>Office Supplies</x:v>
      </x:c>
      <x:c r="H8956" t="str">
        <x:v>Storage</x:v>
      </x:c>
      <x:c r="I8956" s="22" t="n">
        <x:v>26.160000000000004</x:v>
      </x:c>
      <x:c r="J8956" s="24" t="n">
        <x:v>3</x:v>
      </x:c>
      <x:c r="K8956" s="26" t="n">
        <x:v>0.2</x:v>
      </x:c>
      <x:c r="L8956" s="22" t="n">
        <x:v>1.961999999999998</x:v>
      </x:c>
      <x:c r="M8956" t="n">
        <x:v>2017</x:v>
      </x:c>
      <x:c r="N8956" s="20" t="n">
        <x:v>43070</x:v>
      </x:c>
    </x:row>
    <x:row r="8957" ht="18" customHeight="1">
      <x:c r="A8957" t="str">
        <x:v>CA-2017-150910</x:v>
      </x:c>
      <x:c r="B8957" s="18" t="n">
        <x:v>43091</x:v>
      </x:c>
      <x:c r="C8957" t="str">
        <x:v>JL-15130</x:v>
      </x:c>
      <x:c r="D8957" t="str">
        <x:v>Jack Lebron</x:v>
      </x:c>
      <x:c r="E8957" t="str">
        <x:v>Consumer</x:v>
      </x:c>
      <x:c r="F8957" t="str">
        <x:v>South</x:v>
      </x:c>
      <x:c r="G8957" t="str">
        <x:v>Office Supplies</x:v>
      </x:c>
      <x:c r="H8957" t="str">
        <x:v>Art</x:v>
      </x:c>
      <x:c r="I8957" s="22" t="n">
        <x:v>23.128</x:v>
      </x:c>
      <x:c r="J8957" s="24" t="n">
        <x:v>7</x:v>
      </x:c>
      <x:c r="K8957" s="26" t="n">
        <x:v>0.2</x:v>
      </x:c>
      <x:c r="L8957" s="22" t="n">
        <x:v>2.8909999999999982</x:v>
      </x:c>
      <x:c r="M8957" t="n">
        <x:v>2017</x:v>
      </x:c>
      <x:c r="N8957" s="20" t="n">
        <x:v>43070</x:v>
      </x:c>
    </x:row>
    <x:row r="8958" ht="18" customHeight="1">
      <x:c r="A8958" t="str">
        <x:v>CA-2017-150910</x:v>
      </x:c>
      <x:c r="B8958" s="18" t="n">
        <x:v>43091</x:v>
      </x:c>
      <x:c r="C8958" t="str">
        <x:v>JL-15130</x:v>
      </x:c>
      <x:c r="D8958" t="str">
        <x:v>Jack Lebron</x:v>
      </x:c>
      <x:c r="E8958" t="str">
        <x:v>Consumer</x:v>
      </x:c>
      <x:c r="F8958" t="str">
        <x:v>South</x:v>
      </x:c>
      <x:c r="G8958" t="str">
        <x:v>Office Supplies</x:v>
      </x:c>
      <x:c r="H8958" t="str">
        <x:v>Appliances</x:v>
      </x:c>
      <x:c r="I8958" s="22" t="n">
        <x:v>59.24</x:v>
      </x:c>
      <x:c r="J8958" s="24" t="n">
        <x:v>5</x:v>
      </x:c>
      <x:c r="K8958" s="26" t="n">
        <x:v>0.2</x:v>
      </x:c>
      <x:c r="L8958" s="22" t="n">
        <x:v>16.290999999999997</x:v>
      </x:c>
      <x:c r="M8958" t="n">
        <x:v>2017</x:v>
      </x:c>
      <x:c r="N8958" s="20" t="n">
        <x:v>43070</x:v>
      </x:c>
    </x:row>
    <x:row r="8959" ht="18" customHeight="1">
      <x:c r="A8959" t="str">
        <x:v>CA-2014-156790</x:v>
      </x:c>
      <x:c r="B8959" s="18" t="n">
        <x:v>41859</x:v>
      </x:c>
      <x:c r="C8959" t="str">
        <x:v>VG-21790</x:v>
      </x:c>
      <x:c r="D8959" t="str">
        <x:v>Vivek Gonzalez</x:v>
      </x:c>
      <x:c r="E8959" t="str">
        <x:v>Consumer</x:v>
      </x:c>
      <x:c r="F8959" t="str">
        <x:v>South</x:v>
      </x:c>
      <x:c r="G8959" t="str">
        <x:v>Furniture</x:v>
      </x:c>
      <x:c r="H8959" t="str">
        <x:v>Bookcases</x:v>
      </x:c>
      <x:c r="I8959" s="22" t="n">
        <x:v>155.45600000000002</x:v>
      </x:c>
      <x:c r="J8959" s="24" t="n">
        <x:v>4</x:v>
      </x:c>
      <x:c r="K8959" s="26" t="n">
        <x:v>0.2</x:v>
      </x:c>
      <x:c r="L8959" s="22" t="n">
        <x:v>-7.7727999999999895</x:v>
      </x:c>
      <x:c r="M8959" t="n">
        <x:v>2014</x:v>
      </x:c>
      <x:c r="N8959" s="20" t="n">
        <x:v>41852</x:v>
      </x:c>
    </x:row>
    <x:row r="8960" ht="18" customHeight="1">
      <x:c r="A8960" t="str">
        <x:v>CA-2014-126480</x:v>
      </x:c>
      <x:c r="B8960" s="18" t="n">
        <x:v>41902</x:v>
      </x:c>
      <x:c r="C8960" t="str">
        <x:v>HG-14965</x:v>
      </x:c>
      <x:c r="D8960" t="str">
        <x:v>Henry Goldwyn</x:v>
      </x:c>
      <x:c r="E8960" t="str">
        <x:v>Corporate</x:v>
      </x:c>
      <x:c r="F8960" t="str">
        <x:v>West</x:v>
      </x:c>
      <x:c r="G8960" t="str">
        <x:v>Office Supplies</x:v>
      </x:c>
      <x:c r="H8960" t="str">
        <x:v>Paper</x:v>
      </x:c>
      <x:c r="I8960" s="22" t="n">
        <x:v>8.56</x:v>
      </x:c>
      <x:c r="J8960" s="24" t="n">
        <x:v>2</x:v>
      </x:c>
      <x:c r="K8960" s="26" t="n">
        <x:v>0</x:v>
      </x:c>
      <x:c r="L8960" s="22" t="n">
        <x:v>3.8519999999999994</x:v>
      </x:c>
      <x:c r="M8960" t="n">
        <x:v>2014</x:v>
      </x:c>
      <x:c r="N8960" s="20" t="n">
        <x:v>41883</x:v>
      </x:c>
    </x:row>
    <x:row r="8961" ht="18" customHeight="1">
      <x:c r="A8961" t="str">
        <x:v>CA-2017-105620</x:v>
      </x:c>
      <x:c r="B8961" s="18" t="n">
        <x:v>43094</x:v>
      </x:c>
      <x:c r="C8961" t="str">
        <x:v>JH-15430</x:v>
      </x:c>
      <x:c r="D8961" t="str">
        <x:v>Jennifer Halladay</x:v>
      </x:c>
      <x:c r="E8961" t="str">
        <x:v>Consumer</x:v>
      </x:c>
      <x:c r="F8961" t="str">
        <x:v>South</x:v>
      </x:c>
      <x:c r="G8961" t="str">
        <x:v>Furniture</x:v>
      </x:c>
      <x:c r="H8961" t="str">
        <x:v>Furnishings</x:v>
      </x:c>
      <x:c r="I8961" s="22" t="n">
        <x:v>21</x:v>
      </x:c>
      <x:c r="J8961" s="24" t="n">
        <x:v>3</x:v>
      </x:c>
      <x:c r="K8961" s="26" t="n">
        <x:v>0.2</x:v>
      </x:c>
      <x:c r="L8961" s="22" t="n">
        <x:v>5.775000000000002</x:v>
      </x:c>
      <x:c r="M8961" t="n">
        <x:v>2017</x:v>
      </x:c>
      <x:c r="N8961" s="20" t="n">
        <x:v>43070</x:v>
      </x:c>
    </x:row>
    <x:row r="8962" ht="18" customHeight="1">
      <x:c r="A8962" t="str">
        <x:v>CA-2017-105620</x:v>
      </x:c>
      <x:c r="B8962" s="18" t="n">
        <x:v>43094</x:v>
      </x:c>
      <x:c r="C8962" t="str">
        <x:v>JH-15430</x:v>
      </x:c>
      <x:c r="D8962" t="str">
        <x:v>Jennifer Halladay</x:v>
      </x:c>
      <x:c r="E8962" t="str">
        <x:v>Consumer</x:v>
      </x:c>
      <x:c r="F8962" t="str">
        <x:v>South</x:v>
      </x:c>
      <x:c r="G8962" t="str">
        <x:v>Technology</x:v>
      </x:c>
      <x:c r="H8962" t="str">
        <x:v>Machines</x:v>
      </x:c>
      <x:c r="I8962" s="22" t="n">
        <x:v>120</x:v>
      </x:c>
      <x:c r="J8962" s="24" t="n">
        <x:v>2</x:v>
      </x:c>
      <x:c r="K8962" s="26" t="n">
        <x:v>0.5</x:v>
      </x:c>
      <x:c r="L8962" s="22" t="n">
        <x:v>-7.200000000000003</x:v>
      </x:c>
      <x:c r="M8962" t="n">
        <x:v>2017</x:v>
      </x:c>
      <x:c r="N8962" s="20" t="n">
        <x:v>43070</x:v>
      </x:c>
    </x:row>
    <x:row r="8963" ht="18" customHeight="1">
      <x:c r="A8963" t="str">
        <x:v>CA-2017-150266</x:v>
      </x:c>
      <x:c r="B8963" s="18" t="n">
        <x:v>43064</x:v>
      </x:c>
      <x:c r="C8963" t="str">
        <x:v>RO-19780</x:v>
      </x:c>
      <x:c r="D8963" t="str">
        <x:v>Rose O'Brian</x:v>
      </x:c>
      <x:c r="E8963" t="str">
        <x:v>Consumer</x:v>
      </x:c>
      <x:c r="F8963" t="str">
        <x:v>Central</x:v>
      </x:c>
      <x:c r="G8963" t="str">
        <x:v>Technology</x:v>
      </x:c>
      <x:c r="H8963" t="str">
        <x:v>Phones</x:v>
      </x:c>
      <x:c r="I8963" s="22" t="n">
        <x:v>299.96</x:v>
      </x:c>
      <x:c r="J8963" s="24" t="n">
        <x:v>5</x:v>
      </x:c>
      <x:c r="K8963" s="26" t="n">
        <x:v>0.2</x:v>
      </x:c>
      <x:c r="L8963" s="22" t="n">
        <x:v>37.49499999999996</x:v>
      </x:c>
      <x:c r="M8963" t="n">
        <x:v>2017</x:v>
      </x:c>
      <x:c r="N8963" s="20" t="n">
        <x:v>43040</x:v>
      </x:c>
    </x:row>
    <x:row r="8964" ht="18" customHeight="1">
      <x:c r="A8964" t="str">
        <x:v>CA-2017-150266</x:v>
      </x:c>
      <x:c r="B8964" s="18" t="n">
        <x:v>43064</x:v>
      </x:c>
      <x:c r="C8964" t="str">
        <x:v>RO-19780</x:v>
      </x:c>
      <x:c r="D8964" t="str">
        <x:v>Rose O'Brian</x:v>
      </x:c>
      <x:c r="E8964" t="str">
        <x:v>Consumer</x:v>
      </x:c>
      <x:c r="F8964" t="str">
        <x:v>Central</x:v>
      </x:c>
      <x:c r="G8964" t="str">
        <x:v>Office Supplies</x:v>
      </x:c>
      <x:c r="H8964" t="str">
        <x:v>Appliances</x:v>
      </x:c>
      <x:c r="I8964" s="22" t="n">
        <x:v>67.83999999999999</x:v>
      </x:c>
      <x:c r="J8964" s="24" t="n">
        <x:v>5</x:v>
      </x:c>
      <x:c r="K8964" s="26" t="n">
        <x:v>0.8</x:v>
      </x:c>
      <x:c r="L8964" s="22" t="n">
        <x:v>-179.776</x:v>
      </x:c>
      <x:c r="M8964" t="n">
        <x:v>2017</x:v>
      </x:c>
      <x:c r="N8964" s="20" t="n">
        <x:v>43040</x:v>
      </x:c>
    </x:row>
    <x:row r="8965" ht="18" customHeight="1">
      <x:c r="A8965" t="str">
        <x:v>CA-2017-150266</x:v>
      </x:c>
      <x:c r="B8965" s="18" t="n">
        <x:v>43064</x:v>
      </x:c>
      <x:c r="C8965" t="str">
        <x:v>RO-19780</x:v>
      </x:c>
      <x:c r="D8965" t="str">
        <x:v>Rose O'Brian</x:v>
      </x:c>
      <x:c r="E8965" t="str">
        <x:v>Consumer</x:v>
      </x:c>
      <x:c r="F8965" t="str">
        <x:v>Central</x:v>
      </x:c>
      <x:c r="G8965" t="str">
        <x:v>Furniture</x:v>
      </x:c>
      <x:c r="H8965" t="str">
        <x:v>Chairs</x:v>
      </x:c>
      <x:c r="I8965" s="22" t="n">
        <x:v>853.9299999999998</x:v>
      </x:c>
      <x:c r="J8965" s="24" t="n">
        <x:v>5</x:v>
      </x:c>
      <x:c r="K8965" s="26" t="n">
        <x:v>0.3</x:v>
      </x:c>
      <x:c r="L8965" s="22" t="n">
        <x:v>-24.39799999999991</x:v>
      </x:c>
      <x:c r="M8965" t="n">
        <x:v>2017</x:v>
      </x:c>
      <x:c r="N8965" s="20" t="n">
        <x:v>43040</x:v>
      </x:c>
    </x:row>
    <x:row r="8966" ht="18" customHeight="1">
      <x:c r="A8966" t="str">
        <x:v>CA-2017-150266</x:v>
      </x:c>
      <x:c r="B8966" s="18" t="n">
        <x:v>43064</x:v>
      </x:c>
      <x:c r="C8966" t="str">
        <x:v>RO-19780</x:v>
      </x:c>
      <x:c r="D8966" t="str">
        <x:v>Rose O'Brian</x:v>
      </x:c>
      <x:c r="E8966" t="str">
        <x:v>Consumer</x:v>
      </x:c>
      <x:c r="F8966" t="str">
        <x:v>Central</x:v>
      </x:c>
      <x:c r="G8966" t="str">
        <x:v>Office Supplies</x:v>
      </x:c>
      <x:c r="H8966" t="str">
        <x:v>Art</x:v>
      </x:c>
      <x:c r="I8966" s="22" t="n">
        <x:v>18.688</x:v>
      </x:c>
      <x:c r="J8966" s="24" t="n">
        <x:v>4</x:v>
      </x:c>
      <x:c r="K8966" s="26" t="n">
        <x:v>0.2</x:v>
      </x:c>
      <x:c r="L8966" s="22" t="n">
        <x:v>3.7375999999999996</x:v>
      </x:c>
      <x:c r="M8966" t="n">
        <x:v>2017</x:v>
      </x:c>
      <x:c r="N8966" s="20" t="n">
        <x:v>43040</x:v>
      </x:c>
    </x:row>
    <x:row r="8967" ht="18" customHeight="1">
      <x:c r="A8967" t="str">
        <x:v>CA-2016-157280</x:v>
      </x:c>
      <x:c r="B8967" s="18" t="n">
        <x:v>42679</x:v>
      </x:c>
      <x:c r="C8967" t="str">
        <x:v>LW-17125</x:v>
      </x:c>
      <x:c r="D8967" t="str">
        <x:v>Liz Willingham</x:v>
      </x:c>
      <x:c r="E8967" t="str">
        <x:v>Consumer</x:v>
      </x:c>
      <x:c r="F8967" t="str">
        <x:v>South</x:v>
      </x:c>
      <x:c r="G8967" t="str">
        <x:v>Furniture</x:v>
      </x:c>
      <x:c r="H8967" t="str">
        <x:v>Furnishings</x:v>
      </x:c>
      <x:c r="I8967" s="22" t="n">
        <x:v>273.96</x:v>
      </x:c>
      <x:c r="J8967" s="24" t="n">
        <x:v>2</x:v>
      </x:c>
      <x:c r="K8967" s="26" t="n">
        <x:v>0</x:v>
      </x:c>
      <x:c r="L8967" s="22" t="n">
        <x:v>71.2296</x:v>
      </x:c>
      <x:c r="M8967" t="n">
        <x:v>2016</x:v>
      </x:c>
      <x:c r="N8967" s="20" t="n">
        <x:v>42675</x:v>
      </x:c>
    </x:row>
    <x:row r="8968" ht="18" customHeight="1">
      <x:c r="A8968" t="str">
        <x:v>CA-2016-157280</x:v>
      </x:c>
      <x:c r="B8968" s="18" t="n">
        <x:v>42679</x:v>
      </x:c>
      <x:c r="C8968" t="str">
        <x:v>LW-17125</x:v>
      </x:c>
      <x:c r="D8968" t="str">
        <x:v>Liz Willingham</x:v>
      </x:c>
      <x:c r="E8968" t="str">
        <x:v>Consumer</x:v>
      </x:c>
      <x:c r="F8968" t="str">
        <x:v>South</x:v>
      </x:c>
      <x:c r="G8968" t="str">
        <x:v>Technology</x:v>
      </x:c>
      <x:c r="H8968" t="str">
        <x:v>Accessories</x:v>
      </x:c>
      <x:c r="I8968" s="22" t="n">
        <x:v>89.97</x:v>
      </x:c>
      <x:c r="J8968" s="24" t="n">
        <x:v>3</x:v>
      </x:c>
      <x:c r="K8968" s="26" t="n">
        <x:v>0</x:v>
      </x:c>
      <x:c r="L8968" s="22" t="n">
        <x:v>18.893699999999995</x:v>
      </x:c>
      <x:c r="M8968" t="n">
        <x:v>2016</x:v>
      </x:c>
      <x:c r="N8968" s="20" t="n">
        <x:v>42675</x:v>
      </x:c>
    </x:row>
    <x:row r="8969" ht="18" customHeight="1">
      <x:c r="A8969" t="str">
        <x:v>CA-2016-157280</x:v>
      </x:c>
      <x:c r="B8969" s="18" t="n">
        <x:v>42679</x:v>
      </x:c>
      <x:c r="C8969" t="str">
        <x:v>LW-17125</x:v>
      </x:c>
      <x:c r="D8969" t="str">
        <x:v>Liz Willingham</x:v>
      </x:c>
      <x:c r="E8969" t="str">
        <x:v>Consumer</x:v>
      </x:c>
      <x:c r="F8969" t="str">
        <x:v>South</x:v>
      </x:c>
      <x:c r="G8969" t="str">
        <x:v>Furniture</x:v>
      </x:c>
      <x:c r="H8969" t="str">
        <x:v>Furnishings</x:v>
      </x:c>
      <x:c r="I8969" s="22" t="n">
        <x:v>756.8000000000001</x:v>
      </x:c>
      <x:c r="J8969" s="24" t="n">
        <x:v>5</x:v>
      </x:c>
      <x:c r="K8969" s="26" t="n">
        <x:v>0</x:v>
      </x:c>
      <x:c r="L8969" s="22" t="n">
        <x:v>75.67999999999998</x:v>
      </x:c>
      <x:c r="M8969" t="n">
        <x:v>2016</x:v>
      </x:c>
      <x:c r="N8969" s="20" t="n">
        <x:v>42675</x:v>
      </x:c>
    </x:row>
    <x:row r="8970" ht="18" customHeight="1">
      <x:c r="A8970" t="str">
        <x:v>CA-2017-106691</x:v>
      </x:c>
      <x:c r="B8970" s="18" t="n">
        <x:v>43045</x:v>
      </x:c>
      <x:c r="C8970" t="str">
        <x:v>CC-12370</x:v>
      </x:c>
      <x:c r="D8970" t="str">
        <x:v>Christopher Conant</x:v>
      </x:c>
      <x:c r="E8970" t="str">
        <x:v>Consumer</x:v>
      </x:c>
      <x:c r="F8970" t="str">
        <x:v>Central</x:v>
      </x:c>
      <x:c r="G8970" t="str">
        <x:v>Office Supplies</x:v>
      </x:c>
      <x:c r="H8970" t="str">
        <x:v>Binders</x:v>
      </x:c>
      <x:c r="I8970" s="22" t="n">
        <x:v>1.2479999999999998</x:v>
      </x:c>
      <x:c r="J8970" s="24" t="n">
        <x:v>2</x:v>
      </x:c>
      <x:c r="K8970" s="26" t="n">
        <x:v>0.8</x:v>
      </x:c>
      <x:c r="L8970" s="22" t="n">
        <x:v>-1.934400000000001</x:v>
      </x:c>
      <x:c r="M8970" t="n">
        <x:v>2017</x:v>
      </x:c>
      <x:c r="N8970" s="20" t="n">
        <x:v>43040</x:v>
      </x:c>
    </x:row>
    <x:row r="8971" ht="18" customHeight="1">
      <x:c r="A8971" t="str">
        <x:v>CA-2016-134180</x:v>
      </x:c>
      <x:c r="B8971" s="18" t="n">
        <x:v>42677</x:v>
      </x:c>
      <x:c r="C8971" t="str">
        <x:v>JP-16135</x:v>
      </x:c>
      <x:c r="D8971" t="str">
        <x:v>Julie Prescott</x:v>
      </x:c>
      <x:c r="E8971" t="str">
        <x:v>Home Office</x:v>
      </x:c>
      <x:c r="F8971" t="str">
        <x:v>East</x:v>
      </x:c>
      <x:c r="G8971" t="str">
        <x:v>Technology</x:v>
      </x:c>
      <x:c r="H8971" t="str">
        <x:v>Accessories</x:v>
      </x:c>
      <x:c r="I8971" s="22" t="n">
        <x:v>72</x:v>
      </x:c>
      <x:c r="J8971" s="24" t="n">
        <x:v>1</x:v>
      </x:c>
      <x:c r="K8971" s="26" t="n">
        <x:v>0.2</x:v>
      </x:c>
      <x:c r="L8971" s="22" t="n">
        <x:v>14.399999999999999</x:v>
      </x:c>
      <x:c r="M8971" t="n">
        <x:v>2016</x:v>
      </x:c>
      <x:c r="N8971" s="20" t="n">
        <x:v>42675</x:v>
      </x:c>
    </x:row>
    <x:row r="8972" ht="18" customHeight="1">
      <x:c r="A8972" t="str">
        <x:v>CA-2016-134180</x:v>
      </x:c>
      <x:c r="B8972" s="18" t="n">
        <x:v>42677</x:v>
      </x:c>
      <x:c r="C8972" t="str">
        <x:v>JP-16135</x:v>
      </x:c>
      <x:c r="D8972" t="str">
        <x:v>Julie Prescott</x:v>
      </x:c>
      <x:c r="E8972" t="str">
        <x:v>Home Office</x:v>
      </x:c>
      <x:c r="F8972" t="str">
        <x:v>East</x:v>
      </x:c>
      <x:c r="G8972" t="str">
        <x:v>Furniture</x:v>
      </x:c>
      <x:c r="H8972" t="str">
        <x:v>Chairs</x:v>
      </x:c>
      <x:c r="I8972" s="22" t="n">
        <x:v>470.155</x:v>
      </x:c>
      <x:c r="J8972" s="24" t="n">
        <x:v>7</x:v>
      </x:c>
      <x:c r="K8972" s="26" t="n">
        <x:v>0.3</x:v>
      </x:c>
      <x:c r="L8972" s="22" t="n">
        <x:v>-13.432999999999993</x:v>
      </x:c>
      <x:c r="M8972" t="n">
        <x:v>2016</x:v>
      </x:c>
      <x:c r="N8972" s="20" t="n">
        <x:v>42675</x:v>
      </x:c>
    </x:row>
    <x:row r="8973" ht="18" customHeight="1">
      <x:c r="A8973" t="str">
        <x:v>CA-2014-166730</x:v>
      </x:c>
      <x:c r="B8973" s="18" t="n">
        <x:v>42003</x:v>
      </x:c>
      <x:c r="C8973" t="str">
        <x:v>DD-13570</x:v>
      </x:c>
      <x:c r="D8973" t="str">
        <x:v>Dorothy Dickinson</x:v>
      </x:c>
      <x:c r="E8973" t="str">
        <x:v>Consumer</x:v>
      </x:c>
      <x:c r="F8973" t="str">
        <x:v>South</x:v>
      </x:c>
      <x:c r="G8973" t="str">
        <x:v>Office Supplies</x:v>
      </x:c>
      <x:c r="H8973" t="str">
        <x:v>Storage</x:v>
      </x:c>
      <x:c r="I8973" s="22" t="n">
        <x:v>39.128</x:v>
      </x:c>
      <x:c r="J8973" s="24" t="n">
        <x:v>1</x:v>
      </x:c>
      <x:c r="K8973" s="26" t="n">
        <x:v>0.2</x:v>
      </x:c>
      <x:c r="L8973" s="22" t="n">
        <x:v>-8.803799999999999</x:v>
      </x:c>
      <x:c r="M8973" t="n">
        <x:v>2014</x:v>
      </x:c>
      <x:c r="N8973" s="20" t="n">
        <x:v>41974</x:v>
      </x:c>
    </x:row>
    <x:row r="8974" ht="18" customHeight="1">
      <x:c r="A8974" t="str">
        <x:v>CA-2017-157469</x:v>
      </x:c>
      <x:c r="B8974" s="18" t="n">
        <x:v>43071</x:v>
      </x:c>
      <x:c r="C8974" t="str">
        <x:v>ES-14080</x:v>
      </x:c>
      <x:c r="D8974" t="str">
        <x:v>Erin Smith</x:v>
      </x:c>
      <x:c r="E8974" t="str">
        <x:v>Corporate</x:v>
      </x:c>
      <x:c r="F8974" t="str">
        <x:v>East</x:v>
      </x:c>
      <x:c r="G8974" t="str">
        <x:v>Office Supplies</x:v>
      </x:c>
      <x:c r="H8974" t="str">
        <x:v>Art</x:v>
      </x:c>
      <x:c r="I8974" s="22" t="n">
        <x:v>19.728</x:v>
      </x:c>
      <x:c r="J8974" s="24" t="n">
        <x:v>9</x:v>
      </x:c>
      <x:c r="K8974" s="26" t="n">
        <x:v>0.2</x:v>
      </x:c>
      <x:c r="L8974" s="22" t="n">
        <x:v>1.7262000000000022</x:v>
      </x:c>
      <x:c r="M8974" t="n">
        <x:v>2017</x:v>
      </x:c>
      <x:c r="N8974" s="20" t="n">
        <x:v>43070</x:v>
      </x:c>
    </x:row>
    <x:row r="8975" ht="18" customHeight="1">
      <x:c r="A8975" t="str">
        <x:v>CA-2017-157469</x:v>
      </x:c>
      <x:c r="B8975" s="18" t="n">
        <x:v>43071</x:v>
      </x:c>
      <x:c r="C8975" t="str">
        <x:v>ES-14080</x:v>
      </x:c>
      <x:c r="D8975" t="str">
        <x:v>Erin Smith</x:v>
      </x:c>
      <x:c r="E8975" t="str">
        <x:v>Corporate</x:v>
      </x:c>
      <x:c r="F8975" t="str">
        <x:v>East</x:v>
      </x:c>
      <x:c r="G8975" t="str">
        <x:v>Technology</x:v>
      </x:c>
      <x:c r="H8975" t="str">
        <x:v>Phones</x:v>
      </x:c>
      <x:c r="I8975" s="22" t="n">
        <x:v>151.188</x:v>
      </x:c>
      <x:c r="J8975" s="24" t="n">
        <x:v>2</x:v>
      </x:c>
      <x:c r="K8975" s="26" t="n">
        <x:v>0.4</x:v>
      </x:c>
      <x:c r="L8975" s="22" t="n">
        <x:v>-25.198000000000008</x:v>
      </x:c>
      <x:c r="M8975" t="n">
        <x:v>2017</x:v>
      </x:c>
      <x:c r="N8975" s="20" t="n">
        <x:v>43070</x:v>
      </x:c>
    </x:row>
    <x:row r="8976" ht="18" customHeight="1">
      <x:c r="A8976" t="str">
        <x:v>CA-2017-122308</x:v>
      </x:c>
      <x:c r="B8976" s="18" t="n">
        <x:v>42818</x:v>
      </x:c>
      <x:c r="C8976" t="str">
        <x:v>MV-17485</x:v>
      </x:c>
      <x:c r="D8976" t="str">
        <x:v>Mark Van Huff</x:v>
      </x:c>
      <x:c r="E8976" t="str">
        <x:v>Consumer</x:v>
      </x:c>
      <x:c r="F8976" t="str">
        <x:v>East</x:v>
      </x:c>
      <x:c r="G8976" t="str">
        <x:v>Furniture</x:v>
      </x:c>
      <x:c r="H8976" t="str">
        <x:v>Chairs</x:v>
      </x:c>
      <x:c r="I8976" s="22" t="n">
        <x:v>271.764</x:v>
      </x:c>
      <x:c r="J8976" s="24" t="n">
        <x:v>2</x:v>
      </x:c>
      <x:c r="K8976" s="26" t="n">
        <x:v>0.1</x:v>
      </x:c>
      <x:c r="L8976" s="22" t="n">
        <x:v>60.39199999999997</x:v>
      </x:c>
      <x:c r="M8976" t="n">
        <x:v>2017</x:v>
      </x:c>
      <x:c r="N8976" s="20" t="n">
        <x:v>42795</x:v>
      </x:c>
    </x:row>
    <x:row r="8977" ht="18" customHeight="1">
      <x:c r="A8977" t="str">
        <x:v>US-2014-149034</x:v>
      </x:c>
      <x:c r="B8977" s="18" t="n">
        <x:v>41962</x:v>
      </x:c>
      <x:c r="C8977" t="str">
        <x:v>RD-19900</x:v>
      </x:c>
      <x:c r="D8977" t="str">
        <x:v>Ruben Dartt</x:v>
      </x:c>
      <x:c r="E8977" t="str">
        <x:v>Consumer</x:v>
      </x:c>
      <x:c r="F8977" t="str">
        <x:v>East</x:v>
      </x:c>
      <x:c r="G8977" t="str">
        <x:v>Technology</x:v>
      </x:c>
      <x:c r="H8977" t="str">
        <x:v>Accessories</x:v>
      </x:c>
      <x:c r="I8977" s="22" t="n">
        <x:v>47.496</x:v>
      </x:c>
      <x:c r="J8977" s="24" t="n">
        <x:v>1</x:v>
      </x:c>
      <x:c r="K8977" s="26" t="n">
        <x:v>0.2</x:v>
      </x:c>
      <x:c r="L8977" s="22" t="n">
        <x:v>-1.187400000000002</x:v>
      </x:c>
      <x:c r="M8977" t="n">
        <x:v>2014</x:v>
      </x:c>
      <x:c r="N8977" s="20" t="n">
        <x:v>41944</x:v>
      </x:c>
    </x:row>
    <x:row r="8978" ht="18" customHeight="1">
      <x:c r="A8978" t="str">
        <x:v>CA-2017-159226</x:v>
      </x:c>
      <x:c r="B8978" s="18" t="n">
        <x:v>42850</x:v>
      </x:c>
      <x:c r="C8978" t="str">
        <x:v>RL-19615</x:v>
      </x:c>
      <x:c r="D8978" t="str">
        <x:v>Rob Lucas</x:v>
      </x:c>
      <x:c r="E8978" t="str">
        <x:v>Consumer</x:v>
      </x:c>
      <x:c r="F8978" t="str">
        <x:v>West</x:v>
      </x:c>
      <x:c r="G8978" t="str">
        <x:v>Furniture</x:v>
      </x:c>
      <x:c r="H8978" t="str">
        <x:v>Bookcases</x:v>
      </x:c>
      <x:c r="I8978" s="22" t="n">
        <x:v>344.98099999999994</x:v>
      </x:c>
      <x:c r="J8978" s="24" t="n">
        <x:v>7</x:v>
      </x:c>
      <x:c r="K8978" s="26" t="n">
        <x:v>0.15</x:v>
      </x:c>
      <x:c r="L8978" s="22" t="n">
        <x:v>28.410200000000017</x:v>
      </x:c>
      <x:c r="M8978" t="n">
        <x:v>2017</x:v>
      </x:c>
      <x:c r="N8978" s="20" t="n">
        <x:v>42826</x:v>
      </x:c>
    </x:row>
    <x:row r="8979" ht="18" customHeight="1">
      <x:c r="A8979" t="str">
        <x:v>CA-2017-156622</x:v>
      </x:c>
      <x:c r="B8979" s="18" t="n">
        <x:v>43062</x:v>
      </x:c>
      <x:c r="C8979" t="str">
        <x:v>JP-15460</x:v>
      </x:c>
      <x:c r="D8979" t="str">
        <x:v>Jennifer Patt</x:v>
      </x:c>
      <x:c r="E8979" t="str">
        <x:v>Corporate</x:v>
      </x:c>
      <x:c r="F8979" t="str">
        <x:v>Central</x:v>
      </x:c>
      <x:c r="G8979" t="str">
        <x:v>Office Supplies</x:v>
      </x:c>
      <x:c r="H8979" t="str">
        <x:v>Paper</x:v>
      </x:c>
      <x:c r="I8979" s="22" t="n">
        <x:v>36.28800000000001</x:v>
      </x:c>
      <x:c r="J8979" s="24" t="n">
        <x:v>7</x:v>
      </x:c>
      <x:c r="K8979" s="26" t="n">
        <x:v>0.2</x:v>
      </x:c>
      <x:c r="L8979" s="22" t="n">
        <x:v>12.700800000000001</x:v>
      </x:c>
      <x:c r="M8979" t="n">
        <x:v>2017</x:v>
      </x:c>
      <x:c r="N8979" s="20" t="n">
        <x:v>43040</x:v>
      </x:c>
    </x:row>
    <x:row r="8980" ht="18" customHeight="1">
      <x:c r="A8980" t="str">
        <x:v>CA-2017-156622</x:v>
      </x:c>
      <x:c r="B8980" s="18" t="n">
        <x:v>43062</x:v>
      </x:c>
      <x:c r="C8980" t="str">
        <x:v>JP-15460</x:v>
      </x:c>
      <x:c r="D8980" t="str">
        <x:v>Jennifer Patt</x:v>
      </x:c>
      <x:c r="E8980" t="str">
        <x:v>Corporate</x:v>
      </x:c>
      <x:c r="F8980" t="str">
        <x:v>Central</x:v>
      </x:c>
      <x:c r="G8980" t="str">
        <x:v>Office Supplies</x:v>
      </x:c>
      <x:c r="H8980" t="str">
        <x:v>Paper</x:v>
      </x:c>
      <x:c r="I8980" s="22" t="n">
        <x:v>78.304</x:v>
      </x:c>
      <x:c r="J8980" s="24" t="n">
        <x:v>2</x:v>
      </x:c>
      <x:c r="K8980" s="26" t="n">
        <x:v>0.2</x:v>
      </x:c>
      <x:c r="L8980" s="22" t="n">
        <x:v>29.363999999999997</x:v>
      </x:c>
      <x:c r="M8980" t="n">
        <x:v>2017</x:v>
      </x:c>
      <x:c r="N8980" s="20" t="n">
        <x:v>43040</x:v>
      </x:c>
    </x:row>
    <x:row r="8981" ht="18" customHeight="1">
      <x:c r="A8981" t="str">
        <x:v>CA-2017-156622</x:v>
      </x:c>
      <x:c r="B8981" s="18" t="n">
        <x:v>43062</x:v>
      </x:c>
      <x:c r="C8981" t="str">
        <x:v>JP-15460</x:v>
      </x:c>
      <x:c r="D8981" t="str">
        <x:v>Jennifer Patt</x:v>
      </x:c>
      <x:c r="E8981" t="str">
        <x:v>Corporate</x:v>
      </x:c>
      <x:c r="F8981" t="str">
        <x:v>Central</x:v>
      </x:c>
      <x:c r="G8981" t="str">
        <x:v>Furniture</x:v>
      </x:c>
      <x:c r="H8981" t="str">
        <x:v>Tables</x:v>
      </x:c>
      <x:c r="I8981" s="22" t="n">
        <x:v>127.785</x:v>
      </x:c>
      <x:c r="J8981" s="24" t="n">
        <x:v>1</x:v>
      </x:c>
      <x:c r="K8981" s="26" t="n">
        <x:v>0.3</x:v>
      </x:c>
      <x:c r="L8981" s="22" t="n">
        <x:v>-31.03349999999999</x:v>
      </x:c>
      <x:c r="M8981" t="n">
        <x:v>2017</x:v>
      </x:c>
      <x:c r="N8981" s="20" t="n">
        <x:v>43040</x:v>
      </x:c>
    </x:row>
    <x:row r="8982" ht="18" customHeight="1">
      <x:c r="A8982" t="str">
        <x:v>CA-2017-156622</x:v>
      </x:c>
      <x:c r="B8982" s="18" t="n">
        <x:v>43062</x:v>
      </x:c>
      <x:c r="C8982" t="str">
        <x:v>JP-15460</x:v>
      </x:c>
      <x:c r="D8982" t="str">
        <x:v>Jennifer Patt</x:v>
      </x:c>
      <x:c r="E8982" t="str">
        <x:v>Corporate</x:v>
      </x:c>
      <x:c r="F8982" t="str">
        <x:v>Central</x:v>
      </x:c>
      <x:c r="G8982" t="str">
        <x:v>Office Supplies</x:v>
      </x:c>
      <x:c r="H8982" t="str">
        <x:v>Binders</x:v>
      </x:c>
      <x:c r="I8982" s="22" t="n">
        <x:v>6.103999999999998</x:v>
      </x:c>
      <x:c r="J8982" s="24" t="n">
        <x:v>2</x:v>
      </x:c>
      <x:c r="K8982" s="26" t="n">
        <x:v>0.8</x:v>
      </x:c>
      <x:c r="L8982" s="22" t="n">
        <x:v>-9.156</x:v>
      </x:c>
      <x:c r="M8982" t="n">
        <x:v>2017</x:v>
      </x:c>
      <x:c r="N8982" s="20" t="n">
        <x:v>43040</x:v>
      </x:c>
    </x:row>
    <x:row r="8983" ht="18" customHeight="1">
      <x:c r="A8983" t="str">
        <x:v>CA-2014-119529</x:v>
      </x:c>
      <x:c r="B8983" s="18" t="n">
        <x:v>41946</x:v>
      </x:c>
      <x:c r="C8983" t="str">
        <x:v>DM-13345</x:v>
      </x:c>
      <x:c r="D8983" t="str">
        <x:v>Denise Monton</x:v>
      </x:c>
      <x:c r="E8983" t="str">
        <x:v>Corporate</x:v>
      </x:c>
      <x:c r="F8983" t="str">
        <x:v>East</x:v>
      </x:c>
      <x:c r="G8983" t="str">
        <x:v>Office Supplies</x:v>
      </x:c>
      <x:c r="H8983" t="str">
        <x:v>Binders</x:v>
      </x:c>
      <x:c r="I8983" s="22" t="n">
        <x:v>5.76</x:v>
      </x:c>
      <x:c r="J8983" s="24" t="n">
        <x:v>2</x:v>
      </x:c>
      <x:c r="K8983" s="26" t="n">
        <x:v>0</x:v>
      </x:c>
      <x:c r="L8983" s="22" t="n">
        <x:v>2.8224</x:v>
      </x:c>
      <x:c r="M8983" t="n">
        <x:v>2014</x:v>
      </x:c>
      <x:c r="N8983" s="20" t="n">
        <x:v>41944</x:v>
      </x:c>
    </x:row>
    <x:row r="8984" ht="18" customHeight="1">
      <x:c r="A8984" t="str">
        <x:v>CA-2015-150413</x:v>
      </x:c>
      <x:c r="B8984" s="18" t="n">
        <x:v>42296</x:v>
      </x:c>
      <x:c r="C8984" t="str">
        <x:v>CS-11860</x:v>
      </x:c>
      <x:c r="D8984" t="str">
        <x:v>Cari Schnelling</x:v>
      </x:c>
      <x:c r="E8984" t="str">
        <x:v>Consumer</x:v>
      </x:c>
      <x:c r="F8984" t="str">
        <x:v>Central</x:v>
      </x:c>
      <x:c r="G8984" t="str">
        <x:v>Office Supplies</x:v>
      </x:c>
      <x:c r="H8984" t="str">
        <x:v>Binders</x:v>
      </x:c>
      <x:c r="I8984" s="22" t="n">
        <x:v>1.7199999999999995</x:v>
      </x:c>
      <x:c r="J8984" s="24" t="n">
        <x:v>1</x:v>
      </x:c>
      <x:c r="K8984" s="26" t="n">
        <x:v>0.8</x:v>
      </x:c>
      <x:c r="L8984" s="22" t="n">
        <x:v>-2.838</x:v>
      </x:c>
      <x:c r="M8984" t="n">
        <x:v>2015</x:v>
      </x:c>
      <x:c r="N8984" s="20" t="n">
        <x:v>42278</x:v>
      </x:c>
    </x:row>
    <x:row r="8985" ht="18" customHeight="1">
      <x:c r="A8985" t="str">
        <x:v>CA-2014-108182</x:v>
      </x:c>
      <x:c r="B8985" s="18" t="n">
        <x:v>41676</x:v>
      </x:c>
      <x:c r="C8985" t="str">
        <x:v>DL-13315</x:v>
      </x:c>
      <x:c r="D8985" t="str">
        <x:v>Delfina Latchford</x:v>
      </x:c>
      <x:c r="E8985" t="str">
        <x:v>Consumer</x:v>
      </x:c>
      <x:c r="F8985" t="str">
        <x:v>Central</x:v>
      </x:c>
      <x:c r="G8985" t="str">
        <x:v>Office Supplies</x:v>
      </x:c>
      <x:c r="H8985" t="str">
        <x:v>Binders</x:v>
      </x:c>
      <x:c r="I8985" s="22" t="n">
        <x:v>8.951999999999998</x:v>
      </x:c>
      <x:c r="J8985" s="24" t="n">
        <x:v>2</x:v>
      </x:c>
      <x:c r="K8985" s="26" t="n">
        <x:v>0.8</x:v>
      </x:c>
      <x:c r="L8985" s="22" t="n">
        <x:v>-14.770800000000001</x:v>
      </x:c>
      <x:c r="M8985" t="n">
        <x:v>2014</x:v>
      </x:c>
      <x:c r="N8985" s="20" t="n">
        <x:v>41671</x:v>
      </x:c>
    </x:row>
    <x:row r="8986" ht="18" customHeight="1">
      <x:c r="A8986" t="str">
        <x:v>CA-2016-110898</x:v>
      </x:c>
      <x:c r="B8986" s="18" t="n">
        <x:v>42435</x:v>
      </x:c>
      <x:c r="C8986" t="str">
        <x:v>LC-16870</x:v>
      </x:c>
      <x:c r="D8986" t="str">
        <x:v>Lena Cacioppo</x:v>
      </x:c>
      <x:c r="E8986" t="str">
        <x:v>Consumer</x:v>
      </x:c>
      <x:c r="F8986" t="str">
        <x:v>Central</x:v>
      </x:c>
      <x:c r="G8986" t="str">
        <x:v>Office Supplies</x:v>
      </x:c>
      <x:c r="H8986" t="str">
        <x:v>Appliances</x:v>
      </x:c>
      <x:c r="I8986" s="22" t="n">
        <x:v>2.3339999999999996</x:v>
      </x:c>
      <x:c r="J8986" s="24" t="n">
        <x:v>3</x:v>
      </x:c>
      <x:c r="K8986" s="26" t="n">
        <x:v>0.8</x:v>
      </x:c>
      <x:c r="L8986" s="22" t="n">
        <x:v>-6.3018</x:v>
      </x:c>
      <x:c r="M8986" t="n">
        <x:v>2016</x:v>
      </x:c>
      <x:c r="N8986" s="20" t="n">
        <x:v>42430</x:v>
      </x:c>
    </x:row>
    <x:row r="8987" ht="18" customHeight="1">
      <x:c r="A8987" t="str">
        <x:v>CA-2016-110898</x:v>
      </x:c>
      <x:c r="B8987" s="18" t="n">
        <x:v>42435</x:v>
      </x:c>
      <x:c r="C8987" t="str">
        <x:v>LC-16870</x:v>
      </x:c>
      <x:c r="D8987" t="str">
        <x:v>Lena Cacioppo</x:v>
      </x:c>
      <x:c r="E8987" t="str">
        <x:v>Consumer</x:v>
      </x:c>
      <x:c r="F8987" t="str">
        <x:v>Central</x:v>
      </x:c>
      <x:c r="G8987" t="str">
        <x:v>Office Supplies</x:v>
      </x:c>
      <x:c r="H8987" t="str">
        <x:v>Binders</x:v>
      </x:c>
      <x:c r="I8987" s="22" t="n">
        <x:v>1.7279999999999998</x:v>
      </x:c>
      <x:c r="J8987" s="24" t="n">
        <x:v>4</x:v>
      </x:c>
      <x:c r="K8987" s="26" t="n">
        <x:v>0.8</x:v>
      </x:c>
      <x:c r="L8987" s="22" t="n">
        <x:v>-2.764800000000001</x:v>
      </x:c>
      <x:c r="M8987" t="n">
        <x:v>2016</x:v>
      </x:c>
      <x:c r="N8987" s="20" t="n">
        <x:v>42430</x:v>
      </x:c>
    </x:row>
    <x:row r="8988" ht="18" customHeight="1">
      <x:c r="A8988" t="str">
        <x:v>CA-2016-110898</x:v>
      </x:c>
      <x:c r="B8988" s="18" t="n">
        <x:v>42435</x:v>
      </x:c>
      <x:c r="C8988" t="str">
        <x:v>LC-16870</x:v>
      </x:c>
      <x:c r="D8988" t="str">
        <x:v>Lena Cacioppo</x:v>
      </x:c>
      <x:c r="E8988" t="str">
        <x:v>Consumer</x:v>
      </x:c>
      <x:c r="F8988" t="str">
        <x:v>Central</x:v>
      </x:c>
      <x:c r="G8988" t="str">
        <x:v>Furniture</x:v>
      </x:c>
      <x:c r="H8988" t="str">
        <x:v>Furnishings</x:v>
      </x:c>
      <x:c r="I8988" s="22" t="n">
        <x:v>159.04</x:v>
      </x:c>
      <x:c r="J8988" s="24" t="n">
        <x:v>5</x:v>
      </x:c>
      <x:c r="K8988" s="26" t="n">
        <x:v>0.6</x:v>
      </x:c>
      <x:c r="L8988" s="22" t="n">
        <x:v>-194.824</x:v>
      </x:c>
      <x:c r="M8988" t="n">
        <x:v>2016</x:v>
      </x:c>
      <x:c r="N8988" s="20" t="n">
        <x:v>42430</x:v>
      </x:c>
    </x:row>
    <x:row r="8989" ht="18" customHeight="1">
      <x:c r="A8989" t="str">
        <x:v>CA-2016-110898</x:v>
      </x:c>
      <x:c r="B8989" s="18" t="n">
        <x:v>42435</x:v>
      </x:c>
      <x:c r="C8989" t="str">
        <x:v>LC-16870</x:v>
      </x:c>
      <x:c r="D8989" t="str">
        <x:v>Lena Cacioppo</x:v>
      </x:c>
      <x:c r="E8989" t="str">
        <x:v>Consumer</x:v>
      </x:c>
      <x:c r="F8989" t="str">
        <x:v>Central</x:v>
      </x:c>
      <x:c r="G8989" t="str">
        <x:v>Furniture</x:v>
      </x:c>
      <x:c r="H8989" t="str">
        <x:v>Tables</x:v>
      </x:c>
      <x:c r="I8989" s="22" t="n">
        <x:v>145.98</x:v>
      </x:c>
      <x:c r="J8989" s="24" t="n">
        <x:v>2</x:v>
      </x:c>
      <x:c r="K8989" s="26" t="n">
        <x:v>0.5</x:v>
      </x:c>
      <x:c r="L8989" s="22" t="n">
        <x:v>-99.26639999999998</x:v>
      </x:c>
      <x:c r="M8989" t="n">
        <x:v>2016</x:v>
      </x:c>
      <x:c r="N8989" s="20" t="n">
        <x:v>42430</x:v>
      </x:c>
    </x:row>
    <x:row r="8990" ht="18" customHeight="1">
      <x:c r="A8990" t="str">
        <x:v>CA-2015-123092</x:v>
      </x:c>
      <x:c r="B8990" s="18" t="n">
        <x:v>42341</x:v>
      </x:c>
      <x:c r="C8990" t="str">
        <x:v>JG-15115</x:v>
      </x:c>
      <x:c r="D8990" t="str">
        <x:v>Jack Garza</x:v>
      </x:c>
      <x:c r="E8990" t="str">
        <x:v>Consumer</x:v>
      </x:c>
      <x:c r="F8990" t="str">
        <x:v>South</x:v>
      </x:c>
      <x:c r="G8990" t="str">
        <x:v>Furniture</x:v>
      </x:c>
      <x:c r="H8990" t="str">
        <x:v>Furnishings</x:v>
      </x:c>
      <x:c r="I8990" s="22" t="n">
        <x:v>77.952</x:v>
      </x:c>
      <x:c r="J8990" s="24" t="n">
        <x:v>3</x:v>
      </x:c>
      <x:c r="K8990" s="26" t="n">
        <x:v>0.2</x:v>
      </x:c>
      <x:c r="L8990" s="22" t="n">
        <x:v>12.667199999999994</x:v>
      </x:c>
      <x:c r="M8990" t="n">
        <x:v>2015</x:v>
      </x:c>
      <x:c r="N8990" s="20" t="n">
        <x:v>42339</x:v>
      </x:c>
    </x:row>
    <x:row r="8991" ht="18" customHeight="1">
      <x:c r="A8991" t="str">
        <x:v>CA-2015-123092</x:v>
      </x:c>
      <x:c r="B8991" s="18" t="n">
        <x:v>42341</x:v>
      </x:c>
      <x:c r="C8991" t="str">
        <x:v>JG-15115</x:v>
      </x:c>
      <x:c r="D8991" t="str">
        <x:v>Jack Garza</x:v>
      </x:c>
      <x:c r="E8991" t="str">
        <x:v>Consumer</x:v>
      </x:c>
      <x:c r="F8991" t="str">
        <x:v>South</x:v>
      </x:c>
      <x:c r="G8991" t="str">
        <x:v>Office Supplies</x:v>
      </x:c>
      <x:c r="H8991" t="str">
        <x:v>Binders</x:v>
      </x:c>
      <x:c r="I8991" s="22" t="n">
        <x:v>95.97000000000001</x:v>
      </x:c>
      <x:c r="J8991" s="24" t="n">
        <x:v>5</x:v>
      </x:c>
      <x:c r="K8991" s="26" t="n">
        <x:v>0.7</x:v>
      </x:c>
      <x:c r="L8991" s="22" t="n">
        <x:v>-73.57699999999997</x:v>
      </x:c>
      <x:c r="M8991" t="n">
        <x:v>2015</x:v>
      </x:c>
      <x:c r="N8991" s="20" t="n">
        <x:v>42339</x:v>
      </x:c>
    </x:row>
    <x:row r="8992" ht="18" customHeight="1">
      <x:c r="A8992" t="str">
        <x:v>CA-2015-123092</x:v>
      </x:c>
      <x:c r="B8992" s="18" t="n">
        <x:v>42341</x:v>
      </x:c>
      <x:c r="C8992" t="str">
        <x:v>JG-15115</x:v>
      </x:c>
      <x:c r="D8992" t="str">
        <x:v>Jack Garza</x:v>
      </x:c>
      <x:c r="E8992" t="str">
        <x:v>Consumer</x:v>
      </x:c>
      <x:c r="F8992" t="str">
        <x:v>South</x:v>
      </x:c>
      <x:c r="G8992" t="str">
        <x:v>Technology</x:v>
      </x:c>
      <x:c r="H8992" t="str">
        <x:v>Phones</x:v>
      </x:c>
      <x:c r="I8992" s="22" t="n">
        <x:v>105.584</x:v>
      </x:c>
      <x:c r="J8992" s="24" t="n">
        <x:v>2</x:v>
      </x:c>
      <x:c r="K8992" s="26" t="n">
        <x:v>0.2</x:v>
      </x:c>
      <x:c r="L8992" s="22" t="n">
        <x:v>9.238600000000005</x:v>
      </x:c>
      <x:c r="M8992" t="n">
        <x:v>2015</x:v>
      </x:c>
      <x:c r="N8992" s="20" t="n">
        <x:v>42339</x:v>
      </x:c>
    </x:row>
    <x:row r="8993" ht="18" customHeight="1">
      <x:c r="A8993" t="str">
        <x:v>CA-2015-123092</x:v>
      </x:c>
      <x:c r="B8993" s="18" t="n">
        <x:v>42341</x:v>
      </x:c>
      <x:c r="C8993" t="str">
        <x:v>JG-15115</x:v>
      </x:c>
      <x:c r="D8993" t="str">
        <x:v>Jack Garza</x:v>
      </x:c>
      <x:c r="E8993" t="str">
        <x:v>Consumer</x:v>
      </x:c>
      <x:c r="F8993" t="str">
        <x:v>South</x:v>
      </x:c>
      <x:c r="G8993" t="str">
        <x:v>Office Supplies</x:v>
      </x:c>
      <x:c r="H8993" t="str">
        <x:v>Art</x:v>
      </x:c>
      <x:c r="I8993" s="22" t="n">
        <x:v>9.344</x:v>
      </x:c>
      <x:c r="J8993" s="24" t="n">
        <x:v>2</x:v>
      </x:c>
      <x:c r="K8993" s="26" t="n">
        <x:v>0.2</x:v>
      </x:c>
      <x:c r="L8993" s="22" t="n">
        <x:v>1.1679999999999997</x:v>
      </x:c>
      <x:c r="M8993" t="n">
        <x:v>2015</x:v>
      </x:c>
      <x:c r="N8993" s="20" t="n">
        <x:v>42339</x:v>
      </x:c>
    </x:row>
    <x:row r="8994" ht="18" customHeight="1">
      <x:c r="A8994" t="str">
        <x:v>US-2015-128587</x:v>
      </x:c>
      <x:c r="B8994" s="18" t="n">
        <x:v>42362</x:v>
      </x:c>
      <x:c r="C8994" t="str">
        <x:v>HM-14860</x:v>
      </x:c>
      <x:c r="D8994" t="str">
        <x:v>Harry Marie</x:v>
      </x:c>
      <x:c r="E8994" t="str">
        <x:v>Corporate</x:v>
      </x:c>
      <x:c r="F8994" t="str">
        <x:v>Central</x:v>
      </x:c>
      <x:c r="G8994" t="str">
        <x:v>Furniture</x:v>
      </x:c>
      <x:c r="H8994" t="str">
        <x:v>Furnishings</x:v>
      </x:c>
      <x:c r="I8994" s="22" t="n">
        <x:v>9.68</x:v>
      </x:c>
      <x:c r="J8994" s="24" t="n">
        <x:v>2</x:v>
      </x:c>
      <x:c r="K8994" s="26" t="n">
        <x:v>0</x:v>
      </x:c>
      <x:c r="L8994" s="22" t="n">
        <x:v>3.7752</x:v>
      </x:c>
      <x:c r="M8994" t="n">
        <x:v>2015</x:v>
      </x:c>
      <x:c r="N8994" s="20" t="n">
        <x:v>42339</x:v>
      </x:c>
    </x:row>
    <x:row r="8995" ht="18" customHeight="1">
      <x:c r="A8995" t="str">
        <x:v>US-2015-128587</x:v>
      </x:c>
      <x:c r="B8995" s="18" t="n">
        <x:v>42362</x:v>
      </x:c>
      <x:c r="C8995" t="str">
        <x:v>HM-14860</x:v>
      </x:c>
      <x:c r="D8995" t="str">
        <x:v>Harry Marie</x:v>
      </x:c>
      <x:c r="E8995" t="str">
        <x:v>Corporate</x:v>
      </x:c>
      <x:c r="F8995" t="str">
        <x:v>Central</x:v>
      </x:c>
      <x:c r="G8995" t="str">
        <x:v>Technology</x:v>
      </x:c>
      <x:c r="H8995" t="str">
        <x:v>Copiers</x:v>
      </x:c>
      <x:c r="I8995" s="22" t="n">
        <x:v>4899.93</x:v>
      </x:c>
      <x:c r="J8995" s="24" t="n">
        <x:v>7</x:v>
      </x:c>
      <x:c r="K8995" s="26" t="n">
        <x:v>0</x:v>
      </x:c>
      <x:c r="L8995" s="22" t="n">
        <x:v>2302.9671</x:v>
      </x:c>
      <x:c r="M8995" t="n">
        <x:v>2015</x:v>
      </x:c>
      <x:c r="N8995" s="20" t="n">
        <x:v>42339</x:v>
      </x:c>
    </x:row>
    <x:row r="8996" ht="18" customHeight="1">
      <x:c r="A8996" t="str">
        <x:v>US-2017-139577</x:v>
      </x:c>
      <x:c r="B8996" s="18" t="n">
        <x:v>43009</x:v>
      </x:c>
      <x:c r="C8996" t="str">
        <x:v>TN-21040</x:v>
      </x:c>
      <x:c r="D8996" t="str">
        <x:v>Tanja Norvell</x:v>
      </x:c>
      <x:c r="E8996" t="str">
        <x:v>Home Office</x:v>
      </x:c>
      <x:c r="F8996" t="str">
        <x:v>West</x:v>
      </x:c>
      <x:c r="G8996" t="str">
        <x:v>Technology</x:v>
      </x:c>
      <x:c r="H8996" t="str">
        <x:v>Accessories</x:v>
      </x:c>
      <x:c r="I8996" s="22" t="n">
        <x:v>104.75</x:v>
      </x:c>
      <x:c r="J8996" s="24" t="n">
        <x:v>5</x:v>
      </x:c>
      <x:c r="K8996" s="26" t="n">
        <x:v>0</x:v>
      </x:c>
      <x:c r="L8996" s="22" t="n">
        <x:v>21.9975</x:v>
      </x:c>
      <x:c r="M8996" t="n">
        <x:v>2017</x:v>
      </x:c>
      <x:c r="N8996" s="20" t="n">
        <x:v>43009</x:v>
      </x:c>
    </x:row>
    <x:row r="8997" ht="18" customHeight="1">
      <x:c r="A8997" t="str">
        <x:v>CA-2017-159100</x:v>
      </x:c>
      <x:c r="B8997" s="18" t="n">
        <x:v>43024</x:v>
      </x:c>
      <x:c r="C8997" t="str">
        <x:v>VP-21760</x:v>
      </x:c>
      <x:c r="D8997" t="str">
        <x:v>Victoria Pisteka</x:v>
      </x:c>
      <x:c r="E8997" t="str">
        <x:v>Corporate</x:v>
      </x:c>
      <x:c r="F8997" t="str">
        <x:v>South</x:v>
      </x:c>
      <x:c r="G8997" t="str">
        <x:v>Technology</x:v>
      </x:c>
      <x:c r="H8997" t="str">
        <x:v>Accessories</x:v>
      </x:c>
      <x:c r="I8997" s="22" t="n">
        <x:v>18.528000000000002</x:v>
      </x:c>
      <x:c r="J8997" s="24" t="n">
        <x:v>2</x:v>
      </x:c>
      <x:c r="K8997" s="26" t="n">
        <x:v>0.2</x:v>
      </x:c>
      <x:c r="L8997" s="22" t="n">
        <x:v>4.4004</x:v>
      </x:c>
      <x:c r="M8997" t="n">
        <x:v>2017</x:v>
      </x:c>
      <x:c r="N8997" s="20" t="n">
        <x:v>43009</x:v>
      </x:c>
    </x:row>
    <x:row r="8998" ht="18" customHeight="1">
      <x:c r="A8998" t="str">
        <x:v>CA-2017-159100</x:v>
      </x:c>
      <x:c r="B8998" s="18" t="n">
        <x:v>43024</x:v>
      </x:c>
      <x:c r="C8998" t="str">
        <x:v>VP-21760</x:v>
      </x:c>
      <x:c r="D8998" t="str">
        <x:v>Victoria Pisteka</x:v>
      </x:c>
      <x:c r="E8998" t="str">
        <x:v>Corporate</x:v>
      </x:c>
      <x:c r="F8998" t="str">
        <x:v>South</x:v>
      </x:c>
      <x:c r="G8998" t="str">
        <x:v>Furniture</x:v>
      </x:c>
      <x:c r="H8998" t="str">
        <x:v>Tables</x:v>
      </x:c>
      <x:c r="I8998" s="22" t="n">
        <x:v>1875.258</x:v>
      </x:c>
      <x:c r="J8998" s="24" t="n">
        <x:v>7</x:v>
      </x:c>
      <x:c r="K8998" s="26" t="n">
        <x:v>0.4</x:v>
      </x:c>
      <x:c r="L8998" s="22" t="n">
        <x:v>-968.8833</x:v>
      </x:c>
      <x:c r="M8998" t="n">
        <x:v>2017</x:v>
      </x:c>
      <x:c r="N8998" s="20" t="n">
        <x:v>43009</x:v>
      </x:c>
    </x:row>
    <x:row r="8999" ht="18" customHeight="1">
      <x:c r="A8999" t="str">
        <x:v>CA-2014-109043</x:v>
      </x:c>
      <x:c r="B8999" s="18" t="n">
        <x:v>41866</x:v>
      </x:c>
      <x:c r="C8999" t="str">
        <x:v>CS-12355</x:v>
      </x:c>
      <x:c r="D8999" t="str">
        <x:v>Christine Sundaresam</x:v>
      </x:c>
      <x:c r="E8999" t="str">
        <x:v>Consumer</x:v>
      </x:c>
      <x:c r="F8999" t="str">
        <x:v>South</x:v>
      </x:c>
      <x:c r="G8999" t="str">
        <x:v>Office Supplies</x:v>
      </x:c>
      <x:c r="H8999" t="str">
        <x:v>Paper</x:v>
      </x:c>
      <x:c r="I8999" s="22" t="n">
        <x:v>91.36000000000001</x:v>
      </x:c>
      <x:c r="J8999" s="24" t="n">
        <x:v>5</x:v>
      </x:c>
      <x:c r="K8999" s="26" t="n">
        <x:v>0.2</x:v>
      </x:c>
      <x:c r="L8999" s="22" t="n">
        <x:v>29.691999999999993</x:v>
      </x:c>
      <x:c r="M8999" t="n">
        <x:v>2014</x:v>
      </x:c>
      <x:c r="N8999" s="20" t="n">
        <x:v>41852</x:v>
      </x:c>
    </x:row>
    <x:row r="9000" ht="18" customHeight="1">
      <x:c r="A9000" t="str">
        <x:v>CA-2014-109043</x:v>
      </x:c>
      <x:c r="B9000" s="18" t="n">
        <x:v>41866</x:v>
      </x:c>
      <x:c r="C9000" t="str">
        <x:v>CS-12355</x:v>
      </x:c>
      <x:c r="D9000" t="str">
        <x:v>Christine Sundaresam</x:v>
      </x:c>
      <x:c r="E9000" t="str">
        <x:v>Consumer</x:v>
      </x:c>
      <x:c r="F9000" t="str">
        <x:v>South</x:v>
      </x:c>
      <x:c r="G9000" t="str">
        <x:v>Office Supplies</x:v>
      </x:c>
      <x:c r="H9000" t="str">
        <x:v>Appliances</x:v>
      </x:c>
      <x:c r="I9000" s="22" t="n">
        <x:v>152.24</x:v>
      </x:c>
      <x:c r="J9000" s="24" t="n">
        <x:v>5</x:v>
      </x:c>
      <x:c r="K9000" s="26" t="n">
        <x:v>0.2</x:v>
      </x:c>
      <x:c r="L9000" s="22" t="n">
        <x:v>17.12699999999999</x:v>
      </x:c>
      <x:c r="M9000" t="n">
        <x:v>2014</x:v>
      </x:c>
      <x:c r="N9000" s="20" t="n">
        <x:v>41852</x:v>
      </x:c>
    </x:row>
    <x:row r="9001" ht="18" customHeight="1">
      <x:c r="A9001" t="str">
        <x:v>US-2017-116491</x:v>
      </x:c>
      <x:c r="B9001" s="18" t="n">
        <x:v>43050</x:v>
      </x:c>
      <x:c r="C9001" t="str">
        <x:v>PG-18820</x:v>
      </x:c>
      <x:c r="D9001" t="str">
        <x:v>Patrick Gardner</x:v>
      </x:c>
      <x:c r="E9001" t="str">
        <x:v>Consumer</x:v>
      </x:c>
      <x:c r="F9001" t="str">
        <x:v>Central</x:v>
      </x:c>
      <x:c r="G9001" t="str">
        <x:v>Technology</x:v>
      </x:c>
      <x:c r="H9001" t="str">
        <x:v>Phones</x:v>
      </x:c>
      <x:c r="I9001" s="22" t="n">
        <x:v>35.184</x:v>
      </x:c>
      <x:c r="J9001" s="24" t="n">
        <x:v>2</x:v>
      </x:c>
      <x:c r="K9001" s="26" t="n">
        <x:v>0.2</x:v>
      </x:c>
      <x:c r="L9001" s="22" t="n">
        <x:v>12.3144</x:v>
      </x:c>
      <x:c r="M9001" t="n">
        <x:v>2017</x:v>
      </x:c>
      <x:c r="N9001" s="20" t="n">
        <x:v>43040</x:v>
      </x:c>
    </x:row>
    <x:row r="9002" ht="18" customHeight="1">
      <x:c r="A9002" t="str">
        <x:v>CA-2017-122763</x:v>
      </x:c>
      <x:c r="B9002" s="18" t="n">
        <x:v>42814</x:v>
      </x:c>
      <x:c r="C9002" t="str">
        <x:v>HG-14845</x:v>
      </x:c>
      <x:c r="D9002" t="str">
        <x:v>Harry Greene</x:v>
      </x:c>
      <x:c r="E9002" t="str">
        <x:v>Consumer</x:v>
      </x:c>
      <x:c r="F9002" t="str">
        <x:v>Central</x:v>
      </x:c>
      <x:c r="G9002" t="str">
        <x:v>Office Supplies</x:v>
      </x:c>
      <x:c r="H9002" t="str">
        <x:v>Paper</x:v>
      </x:c>
      <x:c r="I9002" s="22" t="n">
        <x:v>56.704</x:v>
      </x:c>
      <x:c r="J9002" s="24" t="n">
        <x:v>2</x:v>
      </x:c>
      <x:c r="K9002" s="26" t="n">
        <x:v>0.2</x:v>
      </x:c>
      <x:c r="L9002" s="22" t="n">
        <x:v>19.137599999999992</x:v>
      </x:c>
      <x:c r="M9002" t="n">
        <x:v>2017</x:v>
      </x:c>
      <x:c r="N9002" s="20" t="n">
        <x:v>42795</x:v>
      </x:c>
    </x:row>
    <x:row r="9003" ht="18" customHeight="1">
      <x:c r="A9003" t="str">
        <x:v>CA-2017-122763</x:v>
      </x:c>
      <x:c r="B9003" s="18" t="n">
        <x:v>42814</x:v>
      </x:c>
      <x:c r="C9003" t="str">
        <x:v>HG-14845</x:v>
      </x:c>
      <x:c r="D9003" t="str">
        <x:v>Harry Greene</x:v>
      </x:c>
      <x:c r="E9003" t="str">
        <x:v>Consumer</x:v>
      </x:c>
      <x:c r="F9003" t="str">
        <x:v>Central</x:v>
      </x:c>
      <x:c r="G9003" t="str">
        <x:v>Office Supplies</x:v>
      </x:c>
      <x:c r="H9003" t="str">
        <x:v>Paper</x:v>
      </x:c>
      <x:c r="I9003" s="22" t="n">
        <x:v>274.064</x:v>
      </x:c>
      <x:c r="J9003" s="24" t="n">
        <x:v>7</x:v>
      </x:c>
      <x:c r="K9003" s="26" t="n">
        <x:v>0.2</x:v>
      </x:c>
      <x:c r="L9003" s="22" t="n">
        <x:v>102.77399999999999</x:v>
      </x:c>
      <x:c r="M9003" t="n">
        <x:v>2017</x:v>
      </x:c>
      <x:c r="N9003" s="20" t="n">
        <x:v>42795</x:v>
      </x:c>
    </x:row>
    <x:row r="9004" ht="18" customHeight="1">
      <x:c r="A9004" t="str">
        <x:v>CA-2017-137785</x:v>
      </x:c>
      <x:c r="B9004" s="18" t="n">
        <x:v>42868</x:v>
      </x:c>
      <x:c r="C9004" t="str">
        <x:v>MH-18115</x:v>
      </x:c>
      <x:c r="D9004" t="str">
        <x:v>Mick Hernandez</x:v>
      </x:c>
      <x:c r="E9004" t="str">
        <x:v>Home Office</x:v>
      </x:c>
      <x:c r="F9004" t="str">
        <x:v>East</x:v>
      </x:c>
      <x:c r="G9004" t="str">
        <x:v>Furniture</x:v>
      </x:c>
      <x:c r="H9004" t="str">
        <x:v>Chairs</x:v>
      </x:c>
      <x:c r="I9004" s="22" t="n">
        <x:v>458.42999999999995</x:v>
      </x:c>
      <x:c r="J9004" s="24" t="n">
        <x:v>5</x:v>
      </x:c>
      <x:c r="K9004" s="26" t="n">
        <x:v>0.3</x:v>
      </x:c>
      <x:c r="L9004" s="22" t="n">
        <x:v>-124.431</x:v>
      </x:c>
      <x:c r="M9004" t="n">
        <x:v>2017</x:v>
      </x:c>
      <x:c r="N9004" s="20" t="n">
        <x:v>42856</x:v>
      </x:c>
    </x:row>
    <x:row r="9005" ht="18" customHeight="1">
      <x:c r="A9005" t="str">
        <x:v>CA-2014-133389</x:v>
      </x:c>
      <x:c r="B9005" s="18" t="n">
        <x:v>41812</x:v>
      </x:c>
      <x:c r="C9005" t="str">
        <x:v>TB-21280</x:v>
      </x:c>
      <x:c r="D9005" t="str">
        <x:v>Toby Braunhardt</x:v>
      </x:c>
      <x:c r="E9005" t="str">
        <x:v>Consumer</x:v>
      </x:c>
      <x:c r="F9005" t="str">
        <x:v>West</x:v>
      </x:c>
      <x:c r="G9005" t="str">
        <x:v>Office Supplies</x:v>
      </x:c>
      <x:c r="H9005" t="str">
        <x:v>Binders</x:v>
      </x:c>
      <x:c r="I9005" s="22" t="n">
        <x:v>8.226</x:v>
      </x:c>
      <x:c r="J9005" s="24" t="n">
        <x:v>3</x:v>
      </x:c>
      <x:c r="K9005" s="26" t="n">
        <x:v>0.7</x:v>
      </x:c>
      <x:c r="L9005" s="22" t="n">
        <x:v>-6.032399999999999</x:v>
      </x:c>
      <x:c r="M9005" t="n">
        <x:v>2014</x:v>
      </x:c>
      <x:c r="N9005" s="20" t="n">
        <x:v>41791</x:v>
      </x:c>
    </x:row>
    <x:row r="9006" ht="18" customHeight="1">
      <x:c r="A9006" t="str">
        <x:v>CA-2014-103807</x:v>
      </x:c>
      <x:c r="B9006" s="18" t="n">
        <x:v>41975</x:v>
      </x:c>
      <x:c r="C9006" t="str">
        <x:v>EM-13825</x:v>
      </x:c>
      <x:c r="D9006" t="str">
        <x:v>Elizabeth Moffitt</x:v>
      </x:c>
      <x:c r="E9006" t="str">
        <x:v>Corporate</x:v>
      </x:c>
      <x:c r="F9006" t="str">
        <x:v>South</x:v>
      </x:c>
      <x:c r="G9006" t="str">
        <x:v>Technology</x:v>
      </x:c>
      <x:c r="H9006" t="str">
        <x:v>Accessories</x:v>
      </x:c>
      <x:c r="I9006" s="22" t="n">
        <x:v>5.95</x:v>
      </x:c>
      <x:c r="J9006" s="24" t="n">
        <x:v>1</x:v>
      </x:c>
      <x:c r="K9006" s="26" t="n">
        <x:v>0</x:v>
      </x:c>
      <x:c r="L9006" s="22" t="n">
        <x:v>0.8330000000000002</x:v>
      </x:c>
      <x:c r="M9006" t="n">
        <x:v>2014</x:v>
      </x:c>
      <x:c r="N9006" s="20" t="n">
        <x:v>41974</x:v>
      </x:c>
    </x:row>
    <x:row r="9007" ht="18" customHeight="1">
      <x:c r="A9007" t="str">
        <x:v>CA-2014-103807</x:v>
      </x:c>
      <x:c r="B9007" s="18" t="n">
        <x:v>41975</x:v>
      </x:c>
      <x:c r="C9007" t="str">
        <x:v>EM-13825</x:v>
      </x:c>
      <x:c r="D9007" t="str">
        <x:v>Elizabeth Moffitt</x:v>
      </x:c>
      <x:c r="E9007" t="str">
        <x:v>Corporate</x:v>
      </x:c>
      <x:c r="F9007" t="str">
        <x:v>South</x:v>
      </x:c>
      <x:c r="G9007" t="str">
        <x:v>Office Supplies</x:v>
      </x:c>
      <x:c r="H9007" t="str">
        <x:v>Paper</x:v>
      </x:c>
      <x:c r="I9007" s="22" t="n">
        <x:v>15.24</x:v>
      </x:c>
      <x:c r="J9007" s="24" t="n">
        <x:v>3</x:v>
      </x:c>
      <x:c r="K9007" s="26" t="n">
        <x:v>0</x:v>
      </x:c>
      <x:c r="L9007" s="22" t="n">
        <x:v>7.1628</x:v>
      </x:c>
      <x:c r="M9007" t="n">
        <x:v>2014</x:v>
      </x:c>
      <x:c r="N9007" s="20" t="n">
        <x:v>41974</x:v>
      </x:c>
    </x:row>
    <x:row r="9008" ht="18" customHeight="1">
      <x:c r="A9008" t="str">
        <x:v>CA-2015-102855</x:v>
      </x:c>
      <x:c r="B9008" s="18" t="n">
        <x:v>42099</x:v>
      </x:c>
      <x:c r="C9008" t="str">
        <x:v>JF-15415</x:v>
      </x:c>
      <x:c r="D9008" t="str">
        <x:v>Jennifer Ferguson</x:v>
      </x:c>
      <x:c r="E9008" t="str">
        <x:v>Consumer</x:v>
      </x:c>
      <x:c r="F9008" t="str">
        <x:v>West</x:v>
      </x:c>
      <x:c r="G9008" t="str">
        <x:v>Technology</x:v>
      </x:c>
      <x:c r="H9008" t="str">
        <x:v>Accessories</x:v>
      </x:c>
      <x:c r="I9008" s="22" t="n">
        <x:v>239.94</x:v>
      </x:c>
      <x:c r="J9008" s="24" t="n">
        <x:v>6</x:v>
      </x:c>
      <x:c r="K9008" s="26" t="n">
        <x:v>0</x:v>
      </x:c>
      <x:c r="L9008" s="22" t="n">
        <x:v>26.393399999999986</x:v>
      </x:c>
      <x:c r="M9008" t="n">
        <x:v>2015</x:v>
      </x:c>
      <x:c r="N9008" s="20" t="n">
        <x:v>42095</x:v>
      </x:c>
    </x:row>
    <x:row r="9009" ht="18" customHeight="1">
      <x:c r="A9009" t="str">
        <x:v>CA-2015-102855</x:v>
      </x:c>
      <x:c r="B9009" s="18" t="n">
        <x:v>42099</x:v>
      </x:c>
      <x:c r="C9009" t="str">
        <x:v>JF-15415</x:v>
      </x:c>
      <x:c r="D9009" t="str">
        <x:v>Jennifer Ferguson</x:v>
      </x:c>
      <x:c r="E9009" t="str">
        <x:v>Consumer</x:v>
      </x:c>
      <x:c r="F9009" t="str">
        <x:v>West</x:v>
      </x:c>
      <x:c r="G9009" t="str">
        <x:v>Office Supplies</x:v>
      </x:c>
      <x:c r="H9009" t="str">
        <x:v>Art</x:v>
      </x:c>
      <x:c r="I9009" s="22" t="n">
        <x:v>23.84</x:v>
      </x:c>
      <x:c r="J9009" s="24" t="n">
        <x:v>8</x:v>
      </x:c>
      <x:c r="K9009" s="26" t="n">
        <x:v>0</x:v>
      </x:c>
      <x:c r="L9009" s="22" t="n">
        <x:v>6.436800000000002</x:v>
      </x:c>
      <x:c r="M9009" t="n">
        <x:v>2015</x:v>
      </x:c>
      <x:c r="N9009" s="20" t="n">
        <x:v>42095</x:v>
      </x:c>
    </x:row>
    <x:row r="9010" ht="18" customHeight="1">
      <x:c r="A9010" t="str">
        <x:v>CA-2017-107825</x:v>
      </x:c>
      <x:c r="B9010" s="18" t="n">
        <x:v>43057</x:v>
      </x:c>
      <x:c r="C9010" t="str">
        <x:v>NB-18655</x:v>
      </x:c>
      <x:c r="D9010" t="str">
        <x:v>Nona Balk</x:v>
      </x:c>
      <x:c r="E9010" t="str">
        <x:v>Corporate</x:v>
      </x:c>
      <x:c r="F9010" t="str">
        <x:v>Central</x:v>
      </x:c>
      <x:c r="G9010" t="str">
        <x:v>Office Supplies</x:v>
      </x:c>
      <x:c r="H9010" t="str">
        <x:v>Storage</x:v>
      </x:c>
      <x:c r="I9010" s="22" t="n">
        <x:v>92.52</x:v>
      </x:c>
      <x:c r="J9010" s="24" t="n">
        <x:v>6</x:v>
      </x:c>
      <x:c r="K9010" s="26" t="n">
        <x:v>0</x:v>
      </x:c>
      <x:c r="L9010" s="22" t="n">
        <x:v>24.980400000000007</x:v>
      </x:c>
      <x:c r="M9010" t="n">
        <x:v>2017</x:v>
      </x:c>
      <x:c r="N9010" s="20" t="n">
        <x:v>43040</x:v>
      </x:c>
    </x:row>
    <x:row r="9011" ht="18" customHeight="1">
      <x:c r="A9011" t="str">
        <x:v>CA-2017-107825</x:v>
      </x:c>
      <x:c r="B9011" s="18" t="n">
        <x:v>43057</x:v>
      </x:c>
      <x:c r="C9011" t="str">
        <x:v>NB-18655</x:v>
      </x:c>
      <x:c r="D9011" t="str">
        <x:v>Nona Balk</x:v>
      </x:c>
      <x:c r="E9011" t="str">
        <x:v>Corporate</x:v>
      </x:c>
      <x:c r="F9011" t="str">
        <x:v>Central</x:v>
      </x:c>
      <x:c r="G9011" t="str">
        <x:v>Office Supplies</x:v>
      </x:c>
      <x:c r="H9011" t="str">
        <x:v>Storage</x:v>
      </x:c>
      <x:c r="I9011" s="22" t="n">
        <x:v>37.76</x:v>
      </x:c>
      <x:c r="J9011" s="24" t="n">
        <x:v>1</x:v>
      </x:c>
      <x:c r="K9011" s="26" t="n">
        <x:v>0</x:v>
      </x:c>
      <x:c r="L9011" s="22" t="n">
        <x:v>10.5728</x:v>
      </x:c>
      <x:c r="M9011" t="n">
        <x:v>2017</x:v>
      </x:c>
      <x:c r="N9011" s="20" t="n">
        <x:v>43040</x:v>
      </x:c>
    </x:row>
    <x:row r="9012" ht="18" customHeight="1">
      <x:c r="A9012" t="str">
        <x:v>CA-2017-107825</x:v>
      </x:c>
      <x:c r="B9012" s="18" t="n">
        <x:v>43057</x:v>
      </x:c>
      <x:c r="C9012" t="str">
        <x:v>NB-18655</x:v>
      </x:c>
      <x:c r="D9012" t="str">
        <x:v>Nona Balk</x:v>
      </x:c>
      <x:c r="E9012" t="str">
        <x:v>Corporate</x:v>
      </x:c>
      <x:c r="F9012" t="str">
        <x:v>Central</x:v>
      </x:c>
      <x:c r="G9012" t="str">
        <x:v>Office Supplies</x:v>
      </x:c>
      <x:c r="H9012" t="str">
        <x:v>Labels</x:v>
      </x:c>
      <x:c r="I9012" s="22" t="n">
        <x:v>7.38</x:v>
      </x:c>
      <x:c r="J9012" s="24" t="n">
        <x:v>2</x:v>
      </x:c>
      <x:c r="K9012" s="26" t="n">
        <x:v>0</x:v>
      </x:c>
      <x:c r="L9012" s="22" t="n">
        <x:v>3.4686</x:v>
      </x:c>
      <x:c r="M9012" t="n">
        <x:v>2017</x:v>
      </x:c>
      <x:c r="N9012" s="20" t="n">
        <x:v>43040</x:v>
      </x:c>
    </x:row>
    <x:row r="9013" ht="18" customHeight="1">
      <x:c r="A9013" t="str">
        <x:v>CA-2017-107825</x:v>
      </x:c>
      <x:c r="B9013" s="18" t="n">
        <x:v>43057</x:v>
      </x:c>
      <x:c r="C9013" t="str">
        <x:v>NB-18655</x:v>
      </x:c>
      <x:c r="D9013" t="str">
        <x:v>Nona Balk</x:v>
      </x:c>
      <x:c r="E9013" t="str">
        <x:v>Corporate</x:v>
      </x:c>
      <x:c r="F9013" t="str">
        <x:v>Central</x:v>
      </x:c>
      <x:c r="G9013" t="str">
        <x:v>Furniture</x:v>
      </x:c>
      <x:c r="H9013" t="str">
        <x:v>Furnishings</x:v>
      </x:c>
      <x:c r="I9013" s="22" t="n">
        <x:v>5.82</x:v>
      </x:c>
      <x:c r="J9013" s="24" t="n">
        <x:v>2</x:v>
      </x:c>
      <x:c r="K9013" s="26" t="n">
        <x:v>0</x:v>
      </x:c>
      <x:c r="L9013" s="22" t="n">
        <x:v>2.7354</x:v>
      </x:c>
      <x:c r="M9013" t="n">
        <x:v>2017</x:v>
      </x:c>
      <x:c r="N9013" s="20" t="n">
        <x:v>43040</x:v>
      </x:c>
    </x:row>
    <x:row r="9014" ht="18" customHeight="1">
      <x:c r="A9014" t="str">
        <x:v>CA-2017-106047</x:v>
      </x:c>
      <x:c r="B9014" s="18" t="n">
        <x:v>42928</x:v>
      </x:c>
      <x:c r="C9014" t="str">
        <x:v>CS-11860</x:v>
      </x:c>
      <x:c r="D9014" t="str">
        <x:v>Cari Schnelling</x:v>
      </x:c>
      <x:c r="E9014" t="str">
        <x:v>Consumer</x:v>
      </x:c>
      <x:c r="F9014" t="str">
        <x:v>East</x:v>
      </x:c>
      <x:c r="G9014" t="str">
        <x:v>Office Supplies</x:v>
      </x:c>
      <x:c r="H9014" t="str">
        <x:v>Paper</x:v>
      </x:c>
      <x:c r="I9014" s="22" t="n">
        <x:v>3.816</x:v>
      </x:c>
      <x:c r="J9014" s="24" t="n">
        <x:v>1</x:v>
      </x:c>
      <x:c r="K9014" s="26" t="n">
        <x:v>0.2</x:v>
      </x:c>
      <x:c r="L9014" s="22" t="n">
        <x:v>1.1924999999999997</x:v>
      </x:c>
      <x:c r="M9014" t="n">
        <x:v>2017</x:v>
      </x:c>
      <x:c r="N9014" s="20" t="n">
        <x:v>42917</x:v>
      </x:c>
    </x:row>
    <x:row r="9015" ht="18" customHeight="1">
      <x:c r="A9015" t="str">
        <x:v>CA-2017-127803</x:v>
      </x:c>
      <x:c r="B9015" s="18" t="n">
        <x:v>42874</x:v>
      </x:c>
      <x:c r="C9015" t="str">
        <x:v>ND-18460</x:v>
      </x:c>
      <x:c r="D9015" t="str">
        <x:v>Neil Ducich</x:v>
      </x:c>
      <x:c r="E9015" t="str">
        <x:v>Corporate</x:v>
      </x:c>
      <x:c r="F9015" t="str">
        <x:v>South</x:v>
      </x:c>
      <x:c r="G9015" t="str">
        <x:v>Office Supplies</x:v>
      </x:c>
      <x:c r="H9015" t="str">
        <x:v>Binders</x:v>
      </x:c>
      <x:c r="I9015" s="22" t="n">
        <x:v>26.16</x:v>
      </x:c>
      <x:c r="J9015" s="24" t="n">
        <x:v>4</x:v>
      </x:c>
      <x:c r="K9015" s="26" t="n">
        <x:v>0</x:v>
      </x:c>
      <x:c r="L9015" s="22" t="n">
        <x:v>12.8184</x:v>
      </x:c>
      <x:c r="M9015" t="n">
        <x:v>2017</x:v>
      </x:c>
      <x:c r="N9015" s="20" t="n">
        <x:v>42856</x:v>
      </x:c>
    </x:row>
    <x:row r="9016" ht="18" customHeight="1">
      <x:c r="A9016" t="str">
        <x:v>CA-2015-137071</x:v>
      </x:c>
      <x:c r="B9016" s="18" t="n">
        <x:v>42358</x:v>
      </x:c>
      <x:c r="C9016" t="str">
        <x:v>ED-13885</x:v>
      </x:c>
      <x:c r="D9016" t="str">
        <x:v>Emily Ducich</x:v>
      </x:c>
      <x:c r="E9016" t="str">
        <x:v>Home Office</x:v>
      </x:c>
      <x:c r="F9016" t="str">
        <x:v>Central</x:v>
      </x:c>
      <x:c r="G9016" t="str">
        <x:v>Technology</x:v>
      </x:c>
      <x:c r="H9016" t="str">
        <x:v>Accessories</x:v>
      </x:c>
      <x:c r="I9016" s="22" t="n">
        <x:v>100.80000000000001</x:v>
      </x:c>
      <x:c r="J9016" s="24" t="n">
        <x:v>2</x:v>
      </x:c>
      <x:c r="K9016" s="26" t="n">
        <x:v>0.2</x:v>
      </x:c>
      <x:c r="L9016" s="22" t="n">
        <x:v>21.42</x:v>
      </x:c>
      <x:c r="M9016" t="n">
        <x:v>2015</x:v>
      </x:c>
      <x:c r="N9016" s="20" t="n">
        <x:v>42339</x:v>
      </x:c>
    </x:row>
    <x:row r="9017" ht="18" customHeight="1">
      <x:c r="A9017" t="str">
        <x:v>CA-2016-121447</x:v>
      </x:c>
      <x:c r="B9017" s="18" t="n">
        <x:v>42421</x:v>
      </x:c>
      <x:c r="C9017" t="str">
        <x:v>EA-14035</x:v>
      </x:c>
      <x:c r="D9017" t="str">
        <x:v>Erin Ashbrook</x:v>
      </x:c>
      <x:c r="E9017" t="str">
        <x:v>Corporate</x:v>
      </x:c>
      <x:c r="F9017" t="str">
        <x:v>East</x:v>
      </x:c>
      <x:c r="G9017" t="str">
        <x:v>Furniture</x:v>
      </x:c>
      <x:c r="H9017" t="str">
        <x:v>Furnishings</x:v>
      </x:c>
      <x:c r="I9017" s="22" t="n">
        <x:v>135.79999999999998</x:v>
      </x:c>
      <x:c r="J9017" s="24" t="n">
        <x:v>7</x:v>
      </x:c>
      <x:c r="K9017" s="26" t="n">
        <x:v>0</x:v>
      </x:c>
      <x:c r="L9017" s="22" t="n">
        <x:v>66.54199999999999</x:v>
      </x:c>
      <x:c r="M9017" t="n">
        <x:v>2016</x:v>
      </x:c>
      <x:c r="N9017" s="20" t="n">
        <x:v>42401</x:v>
      </x:c>
    </x:row>
    <x:row r="9018" ht="18" customHeight="1">
      <x:c r="A9018" t="str">
        <x:v>CA-2017-143084</x:v>
      </x:c>
      <x:c r="B9018" s="18" t="n">
        <x:v>42812</x:v>
      </x:c>
      <x:c r="C9018" t="str">
        <x:v>BP-11050</x:v>
      </x:c>
      <x:c r="D9018" t="str">
        <x:v>Barry Pond</x:v>
      </x:c>
      <x:c r="E9018" t="str">
        <x:v>Corporate</x:v>
      </x:c>
      <x:c r="F9018" t="str">
        <x:v>West</x:v>
      </x:c>
      <x:c r="G9018" t="str">
        <x:v>Office Supplies</x:v>
      </x:c>
      <x:c r="H9018" t="str">
        <x:v>Art</x:v>
      </x:c>
      <x:c r="I9018" s="22" t="n">
        <x:v>13.899999999999999</x:v>
      </x:c>
      <x:c r="J9018" s="24" t="n">
        <x:v>5</x:v>
      </x:c>
      <x:c r="K9018" s="26" t="n">
        <x:v>0</x:v>
      </x:c>
      <x:c r="L9018" s="22" t="n">
        <x:v>3.7529999999999997</x:v>
      </x:c>
      <x:c r="M9018" t="n">
        <x:v>2017</x:v>
      </x:c>
      <x:c r="N9018" s="20" t="n">
        <x:v>42795</x:v>
      </x:c>
    </x:row>
    <x:row r="9019" ht="18" customHeight="1">
      <x:c r="A9019" t="str">
        <x:v>CA-2017-143084</x:v>
      </x:c>
      <x:c r="B9019" s="18" t="n">
        <x:v>42812</x:v>
      </x:c>
      <x:c r="C9019" t="str">
        <x:v>BP-11050</x:v>
      </x:c>
      <x:c r="D9019" t="str">
        <x:v>Barry Pond</x:v>
      </x:c>
      <x:c r="E9019" t="str">
        <x:v>Corporate</x:v>
      </x:c>
      <x:c r="F9019" t="str">
        <x:v>West</x:v>
      </x:c>
      <x:c r="G9019" t="str">
        <x:v>Office Supplies</x:v>
      </x:c>
      <x:c r="H9019" t="str">
        <x:v>Envelopes</x:v>
      </x:c>
      <x:c r="I9019" s="22" t="n">
        <x:v>19.4</x:v>
      </x:c>
      <x:c r="J9019" s="24" t="n">
        <x:v>5</x:v>
      </x:c>
      <x:c r="K9019" s="26" t="n">
        <x:v>0</x:v>
      </x:c>
      <x:c r="L9019" s="22" t="n">
        <x:v>9.312000000000001</x:v>
      </x:c>
      <x:c r="M9019" t="n">
        <x:v>2017</x:v>
      </x:c>
      <x:c r="N9019" s="20" t="n">
        <x:v>42795</x:v>
      </x:c>
    </x:row>
    <x:row r="9020" ht="18" customHeight="1">
      <x:c r="A9020" t="str">
        <x:v>CA-2016-131639</x:v>
      </x:c>
      <x:c r="B9020" s="18" t="n">
        <x:v>42721</x:v>
      </x:c>
      <x:c r="C9020" t="str">
        <x:v>NS-18640</x:v>
      </x:c>
      <x:c r="D9020" t="str">
        <x:v>Noel Staavos</x:v>
      </x:c>
      <x:c r="E9020" t="str">
        <x:v>Corporate</x:v>
      </x:c>
      <x:c r="F9020" t="str">
        <x:v>West</x:v>
      </x:c>
      <x:c r="G9020" t="str">
        <x:v>Office Supplies</x:v>
      </x:c>
      <x:c r="H9020" t="str">
        <x:v>Binders</x:v>
      </x:c>
      <x:c r="I9020" s="22" t="n">
        <x:v>13.488</x:v>
      </x:c>
      <x:c r="J9020" s="24" t="n">
        <x:v>2</x:v>
      </x:c>
      <x:c r="K9020" s="26" t="n">
        <x:v>0.2</x:v>
      </x:c>
      <x:c r="L9020" s="22" t="n">
        <x:v>4.3835999999999995</x:v>
      </x:c>
      <x:c r="M9020" t="n">
        <x:v>2016</x:v>
      </x:c>
      <x:c r="N9020" s="20" t="n">
        <x:v>42705</x:v>
      </x:c>
    </x:row>
    <x:row r="9021" ht="18" customHeight="1">
      <x:c r="A9021" t="str">
        <x:v>CA-2016-131639</x:v>
      </x:c>
      <x:c r="B9021" s="18" t="n">
        <x:v>42721</x:v>
      </x:c>
      <x:c r="C9021" t="str">
        <x:v>NS-18640</x:v>
      </x:c>
      <x:c r="D9021" t="str">
        <x:v>Noel Staavos</x:v>
      </x:c>
      <x:c r="E9021" t="str">
        <x:v>Corporate</x:v>
      </x:c>
      <x:c r="F9021" t="str">
        <x:v>West</x:v>
      </x:c>
      <x:c r="G9021" t="str">
        <x:v>Office Supplies</x:v>
      </x:c>
      <x:c r="H9021" t="str">
        <x:v>Binders</x:v>
      </x:c>
      <x:c r="I9021" s="22" t="n">
        <x:v>11.416</x:v>
      </x:c>
      <x:c r="J9021" s="24" t="n">
        <x:v>1</x:v>
      </x:c>
      <x:c r="K9021" s="26" t="n">
        <x:v>0.2</x:v>
      </x:c>
      <x:c r="L9021" s="22" t="n">
        <x:v>3.852899999999999</x:v>
      </x:c>
      <x:c r="M9021" t="n">
        <x:v>2016</x:v>
      </x:c>
      <x:c r="N9021" s="20" t="n">
        <x:v>42705</x:v>
      </x:c>
    </x:row>
    <x:row r="9022" ht="18" customHeight="1">
      <x:c r="A9022" t="str">
        <x:v>CA-2016-161361</x:v>
      </x:c>
      <x:c r="B9022" s="18" t="n">
        <x:v>42455</x:v>
      </x:c>
      <x:c r="C9022" t="str">
        <x:v>MV-17485</x:v>
      </x:c>
      <x:c r="D9022" t="str">
        <x:v>Mark Van Huff</x:v>
      </x:c>
      <x:c r="E9022" t="str">
        <x:v>Consumer</x:v>
      </x:c>
      <x:c r="F9022" t="str">
        <x:v>West</x:v>
      </x:c>
      <x:c r="G9022" t="str">
        <x:v>Office Supplies</x:v>
      </x:c>
      <x:c r="H9022" t="str">
        <x:v>Paper</x:v>
      </x:c>
      <x:c r="I9022" s="22" t="n">
        <x:v>17.64</x:v>
      </x:c>
      <x:c r="J9022" s="24" t="n">
        <x:v>3</x:v>
      </x:c>
      <x:c r="K9022" s="26" t="n">
        <x:v>0</x:v>
      </x:c>
      <x:c r="L9022" s="22" t="n">
        <x:v>8.6436</x:v>
      </x:c>
      <x:c r="M9022" t="n">
        <x:v>2016</x:v>
      </x:c>
      <x:c r="N9022" s="20" t="n">
        <x:v>42430</x:v>
      </x:c>
    </x:row>
    <x:row r="9023" ht="18" customHeight="1">
      <x:c r="A9023" t="str">
        <x:v>CA-2016-161361</x:v>
      </x:c>
      <x:c r="B9023" s="18" t="n">
        <x:v>42455</x:v>
      </x:c>
      <x:c r="C9023" t="str">
        <x:v>MV-17485</x:v>
      </x:c>
      <x:c r="D9023" t="str">
        <x:v>Mark Van Huff</x:v>
      </x:c>
      <x:c r="E9023" t="str">
        <x:v>Consumer</x:v>
      </x:c>
      <x:c r="F9023" t="str">
        <x:v>West</x:v>
      </x:c>
      <x:c r="G9023" t="str">
        <x:v>Office Supplies</x:v>
      </x:c>
      <x:c r="H9023" t="str">
        <x:v>Binders</x:v>
      </x:c>
      <x:c r="I9023" s="22" t="n">
        <x:v>17.04</x:v>
      </x:c>
      <x:c r="J9023" s="24" t="n">
        <x:v>3</x:v>
      </x:c>
      <x:c r="K9023" s="26" t="n">
        <x:v>0.2</x:v>
      </x:c>
      <x:c r="L9023" s="22" t="n">
        <x:v>5.5379999999999985</x:v>
      </x:c>
      <x:c r="M9023" t="n">
        <x:v>2016</x:v>
      </x:c>
      <x:c r="N9023" s="20" t="n">
        <x:v>42430</x:v>
      </x:c>
    </x:row>
    <x:row r="9024" ht="18" customHeight="1">
      <x:c r="A9024" t="str">
        <x:v>CA-2014-100706</x:v>
      </x:c>
      <x:c r="B9024" s="18" t="n">
        <x:v>41989</x:v>
      </x:c>
      <x:c r="C9024" t="str">
        <x:v>LE-16810</x:v>
      </x:c>
      <x:c r="D9024" t="str">
        <x:v>Laurel Elliston</x:v>
      </x:c>
      <x:c r="E9024" t="str">
        <x:v>Consumer</x:v>
      </x:c>
      <x:c r="F9024" t="str">
        <x:v>South</x:v>
      </x:c>
      <x:c r="G9024" t="str">
        <x:v>Technology</x:v>
      </x:c>
      <x:c r="H9024" t="str">
        <x:v>Accessories</x:v>
      </x:c>
      <x:c r="I9024" s="22" t="n">
        <x:v>99.98</x:v>
      </x:c>
      <x:c r="J9024" s="24" t="n">
        <x:v>2</x:v>
      </x:c>
      <x:c r="K9024" s="26" t="n">
        <x:v>0</x:v>
      </x:c>
      <x:c r="L9024" s="22" t="n">
        <x:v>7.9983999999999895</x:v>
      </x:c>
      <x:c r="M9024" t="n">
        <x:v>2014</x:v>
      </x:c>
      <x:c r="N9024" s="20" t="n">
        <x:v>41974</x:v>
      </x:c>
    </x:row>
    <x:row r="9025" ht="18" customHeight="1">
      <x:c r="A9025" t="str">
        <x:v>CA-2014-100706</x:v>
      </x:c>
      <x:c r="B9025" s="18" t="n">
        <x:v>41989</x:v>
      </x:c>
      <x:c r="C9025" t="str">
        <x:v>LE-16810</x:v>
      </x:c>
      <x:c r="D9025" t="str">
        <x:v>Laurel Elliston</x:v>
      </x:c>
      <x:c r="E9025" t="str">
        <x:v>Consumer</x:v>
      </x:c>
      <x:c r="F9025" t="str">
        <x:v>South</x:v>
      </x:c>
      <x:c r="G9025" t="str">
        <x:v>Furniture</x:v>
      </x:c>
      <x:c r="H9025" t="str">
        <x:v>Furnishings</x:v>
      </x:c>
      <x:c r="I9025" s="22" t="n">
        <x:v>29.46</x:v>
      </x:c>
      <x:c r="J9025" s="24" t="n">
        <x:v>6</x:v>
      </x:c>
      <x:c r="K9025" s="26" t="n">
        <x:v>0</x:v>
      </x:c>
      <x:c r="L9025" s="22" t="n">
        <x:v>9.721799999999998</x:v>
      </x:c>
      <x:c r="M9025" t="n">
        <x:v>2014</x:v>
      </x:c>
      <x:c r="N9025" s="20" t="n">
        <x:v>41974</x:v>
      </x:c>
    </x:row>
    <x:row r="9026" ht="18" customHeight="1">
      <x:c r="A9026" t="str">
        <x:v>CA-2015-129525</x:v>
      </x:c>
      <x:c r="B9026" s="18" t="n">
        <x:v>42323</x:v>
      </x:c>
      <x:c r="C9026" t="str">
        <x:v>VP-21760</x:v>
      </x:c>
      <x:c r="D9026" t="str">
        <x:v>Victoria Pisteka</x:v>
      </x:c>
      <x:c r="E9026" t="str">
        <x:v>Corporate</x:v>
      </x:c>
      <x:c r="F9026" t="str">
        <x:v>East</x:v>
      </x:c>
      <x:c r="G9026" t="str">
        <x:v>Office Supplies</x:v>
      </x:c>
      <x:c r="H9026" t="str">
        <x:v>Binders</x:v>
      </x:c>
      <x:c r="I9026" s="22" t="n">
        <x:v>166.92000000000002</x:v>
      </x:c>
      <x:c r="J9026" s="24" t="n">
        <x:v>13</x:v>
      </x:c>
      <x:c r="K9026" s="26" t="n">
        <x:v>0.7</x:v>
      </x:c>
      <x:c r="L9026" s="22" t="n">
        <x:v>-116.844</x:v>
      </x:c>
      <x:c r="M9026" t="n">
        <x:v>2015</x:v>
      </x:c>
      <x:c r="N9026" s="20" t="n">
        <x:v>42309</x:v>
      </x:c>
    </x:row>
    <x:row r="9027" ht="18" customHeight="1">
      <x:c r="A9027" t="str">
        <x:v>US-2016-141880</x:v>
      </x:c>
      <x:c r="B9027" s="18" t="n">
        <x:v>42604</x:v>
      </x:c>
      <x:c r="C9027" t="str">
        <x:v>TC-21475</x:v>
      </x:c>
      <x:c r="D9027" t="str">
        <x:v>Tony Chapman</x:v>
      </x:c>
      <x:c r="E9027" t="str">
        <x:v>Home Office</x:v>
      </x:c>
      <x:c r="F9027" t="str">
        <x:v>West</x:v>
      </x:c>
      <x:c r="G9027" t="str">
        <x:v>Furniture</x:v>
      </x:c>
      <x:c r="H9027" t="str">
        <x:v>Furnishings</x:v>
      </x:c>
      <x:c r="I9027" s="22" t="n">
        <x:v>98.328</x:v>
      </x:c>
      <x:c r="J9027" s="24" t="n">
        <x:v>3</x:v>
      </x:c>
      <x:c r="K9027" s="26" t="n">
        <x:v>0.2</x:v>
      </x:c>
      <x:c r="L9027" s="22" t="n">
        <x:v>9.832800000000006</x:v>
      </x:c>
      <x:c r="M9027" t="n">
        <x:v>2016</x:v>
      </x:c>
      <x:c r="N9027" s="20" t="n">
        <x:v>42583</x:v>
      </x:c>
    </x:row>
    <x:row r="9028" ht="18" customHeight="1">
      <x:c r="A9028" t="str">
        <x:v>CA-2015-165799</x:v>
      </x:c>
      <x:c r="B9028" s="18" t="n">
        <x:v>42184</x:v>
      </x:c>
      <x:c r="C9028" t="str">
        <x:v>SG-20470</x:v>
      </x:c>
      <x:c r="D9028" t="str">
        <x:v>Sheri Gordon</x:v>
      </x:c>
      <x:c r="E9028" t="str">
        <x:v>Consumer</x:v>
      </x:c>
      <x:c r="F9028" t="str">
        <x:v>East</x:v>
      </x:c>
      <x:c r="G9028" t="str">
        <x:v>Furniture</x:v>
      </x:c>
      <x:c r="H9028" t="str">
        <x:v>Chairs</x:v>
      </x:c>
      <x:c r="I9028" s="22" t="n">
        <x:v>117.88199999999999</x:v>
      </x:c>
      <x:c r="J9028" s="24" t="n">
        <x:v>1</x:v>
      </x:c>
      <x:c r="K9028" s="26" t="n">
        <x:v>0.1</x:v>
      </x:c>
      <x:c r="L9028" s="22" t="n">
        <x:v>1.3097999999999956</x:v>
      </x:c>
      <x:c r="M9028" t="n">
        <x:v>2015</x:v>
      </x:c>
      <x:c r="N9028" s="20" t="n">
        <x:v>42156</x:v>
      </x:c>
    </x:row>
    <x:row r="9029" ht="18" customHeight="1">
      <x:c r="A9029" t="str">
        <x:v>CA-2016-102127</x:v>
      </x:c>
      <x:c r="B9029" s="18" t="n">
        <x:v>42547</x:v>
      </x:c>
      <x:c r="C9029" t="str">
        <x:v>VP-21760</x:v>
      </x:c>
      <x:c r="D9029" t="str">
        <x:v>Victoria Pisteka</x:v>
      </x:c>
      <x:c r="E9029" t="str">
        <x:v>Corporate</x:v>
      </x:c>
      <x:c r="F9029" t="str">
        <x:v>East</x:v>
      </x:c>
      <x:c r="G9029" t="str">
        <x:v>Technology</x:v>
      </x:c>
      <x:c r="H9029" t="str">
        <x:v>Accessories</x:v>
      </x:c>
      <x:c r="I9029" s="22" t="n">
        <x:v>20.97</x:v>
      </x:c>
      <x:c r="J9029" s="24" t="n">
        <x:v>3</x:v>
      </x:c>
      <x:c r="K9029" s="26" t="n">
        <x:v>0</x:v>
      </x:c>
      <x:c r="L9029" s="22" t="n">
        <x:v>9.017100000000001</x:v>
      </x:c>
      <x:c r="M9029" t="n">
        <x:v>2016</x:v>
      </x:c>
      <x:c r="N9029" s="20" t="n">
        <x:v>42522</x:v>
      </x:c>
    </x:row>
    <x:row r="9030" ht="18" customHeight="1">
      <x:c r="A9030" t="str">
        <x:v>CA-2016-102127</x:v>
      </x:c>
      <x:c r="B9030" s="18" t="n">
        <x:v>42547</x:v>
      </x:c>
      <x:c r="C9030" t="str">
        <x:v>VP-21760</x:v>
      </x:c>
      <x:c r="D9030" t="str">
        <x:v>Victoria Pisteka</x:v>
      </x:c>
      <x:c r="E9030" t="str">
        <x:v>Corporate</x:v>
      </x:c>
      <x:c r="F9030" t="str">
        <x:v>East</x:v>
      </x:c>
      <x:c r="G9030" t="str">
        <x:v>Technology</x:v>
      </x:c>
      <x:c r="H9030" t="str">
        <x:v>Accessories</x:v>
      </x:c>
      <x:c r="I9030" s="22" t="n">
        <x:v>139.96</x:v>
      </x:c>
      <x:c r="J9030" s="24" t="n">
        <x:v>4</x:v>
      </x:c>
      <x:c r="K9030" s="26" t="n">
        <x:v>0</x:v>
      </x:c>
      <x:c r="L9030" s="22" t="n">
        <x:v>9.797200000000004</x:v>
      </x:c>
      <x:c r="M9030" t="n">
        <x:v>2016</x:v>
      </x:c>
      <x:c r="N9030" s="20" t="n">
        <x:v>42522</x:v>
      </x:c>
    </x:row>
    <x:row r="9031" ht="18" customHeight="1">
      <x:c r="A9031" t="str">
        <x:v>CA-2016-102127</x:v>
      </x:c>
      <x:c r="B9031" s="18" t="n">
        <x:v>42547</x:v>
      </x:c>
      <x:c r="C9031" t="str">
        <x:v>VP-21760</x:v>
      </x:c>
      <x:c r="D9031" t="str">
        <x:v>Victoria Pisteka</x:v>
      </x:c>
      <x:c r="E9031" t="str">
        <x:v>Corporate</x:v>
      </x:c>
      <x:c r="F9031" t="str">
        <x:v>East</x:v>
      </x:c>
      <x:c r="G9031" t="str">
        <x:v>Furniture</x:v>
      </x:c>
      <x:c r="H9031" t="str">
        <x:v>Furnishings</x:v>
      </x:c>
      <x:c r="I9031" s="22" t="n">
        <x:v>37.74</x:v>
      </x:c>
      <x:c r="J9031" s="24" t="n">
        <x:v>3</x:v>
      </x:c>
      <x:c r="K9031" s="26" t="n">
        <x:v>0</x:v>
      </x:c>
      <x:c r="L9031" s="22" t="n">
        <x:v>12.831599999999996</x:v>
      </x:c>
      <x:c r="M9031" t="n">
        <x:v>2016</x:v>
      </x:c>
      <x:c r="N9031" s="20" t="n">
        <x:v>42522</x:v>
      </x:c>
    </x:row>
    <x:row r="9032" ht="18" customHeight="1">
      <x:c r="A9032" t="str">
        <x:v>US-2016-152415</x:v>
      </x:c>
      <x:c r="B9032" s="18" t="n">
        <x:v>42630</x:v>
      </x:c>
      <x:c r="C9032" t="str">
        <x:v>PO-18865</x:v>
      </x:c>
      <x:c r="D9032" t="str">
        <x:v>Patrick O'Donnell</x:v>
      </x:c>
      <x:c r="E9032" t="str">
        <x:v>Consumer</x:v>
      </x:c>
      <x:c r="F9032" t="str">
        <x:v>East</x:v>
      </x:c>
      <x:c r="G9032" t="str">
        <x:v>Furniture</x:v>
      </x:c>
      <x:c r="H9032" t="str">
        <x:v>Furnishings</x:v>
      </x:c>
      <x:c r="I9032" s="22" t="n">
        <x:v>14.82</x:v>
      </x:c>
      <x:c r="J9032" s="24" t="n">
        <x:v>3</x:v>
      </x:c>
      <x:c r="K9032" s="26" t="n">
        <x:v>0</x:v>
      </x:c>
      <x:c r="L9032" s="22" t="n">
        <x:v>6.224400000000001</x:v>
      </x:c>
      <x:c r="M9032" t="n">
        <x:v>2016</x:v>
      </x:c>
      <x:c r="N9032" s="20" t="n">
        <x:v>42614</x:v>
      </x:c>
    </x:row>
    <x:row r="9033" ht="18" customHeight="1">
      <x:c r="A9033" t="str">
        <x:v>US-2016-152415</x:v>
      </x:c>
      <x:c r="B9033" s="18" t="n">
        <x:v>42630</x:v>
      </x:c>
      <x:c r="C9033" t="str">
        <x:v>PO-18865</x:v>
      </x:c>
      <x:c r="D9033" t="str">
        <x:v>Patrick O'Donnell</x:v>
      </x:c>
      <x:c r="E9033" t="str">
        <x:v>Consumer</x:v>
      </x:c>
      <x:c r="F9033" t="str">
        <x:v>East</x:v>
      </x:c>
      <x:c r="G9033" t="str">
        <x:v>Furniture</x:v>
      </x:c>
      <x:c r="H9033" t="str">
        <x:v>Furnishings</x:v>
      </x:c>
      <x:c r="I9033" s="22" t="n">
        <x:v>191.82</x:v>
      </x:c>
      <x:c r="J9033" s="24" t="n">
        <x:v>3</x:v>
      </x:c>
      <x:c r="K9033" s="26" t="n">
        <x:v>0</x:v>
      </x:c>
      <x:c r="L9033" s="22" t="n">
        <x:v>61.3824</x:v>
      </x:c>
      <x:c r="M9033" t="n">
        <x:v>2016</x:v>
      </x:c>
      <x:c r="N9033" s="20" t="n">
        <x:v>42614</x:v>
      </x:c>
    </x:row>
    <x:row r="9034" ht="18" customHeight="1">
      <x:c r="A9034" t="str">
        <x:v>CA-2014-138198</x:v>
      </x:c>
      <x:c r="B9034" s="18" t="n">
        <x:v>41838</x:v>
      </x:c>
      <x:c r="C9034" t="str">
        <x:v>JL-15130</x:v>
      </x:c>
      <x:c r="D9034" t="str">
        <x:v>Jack Lebron</x:v>
      </x:c>
      <x:c r="E9034" t="str">
        <x:v>Consumer</x:v>
      </x:c>
      <x:c r="F9034" t="str">
        <x:v>East</x:v>
      </x:c>
      <x:c r="G9034" t="str">
        <x:v>Office Supplies</x:v>
      </x:c>
      <x:c r="H9034" t="str">
        <x:v>Binders</x:v>
      </x:c>
      <x:c r="I9034" s="22" t="n">
        <x:v>13.904</x:v>
      </x:c>
      <x:c r="J9034" s="24" t="n">
        <x:v>2</x:v>
      </x:c>
      <x:c r="K9034" s="26" t="n">
        <x:v>0.2</x:v>
      </x:c>
      <x:c r="L9034" s="22" t="n">
        <x:v>4.5188</x:v>
      </x:c>
      <x:c r="M9034" t="n">
        <x:v>2014</x:v>
      </x:c>
      <x:c r="N9034" s="20" t="n">
        <x:v>41821</x:v>
      </x:c>
    </x:row>
    <x:row r="9035" ht="18" customHeight="1">
      <x:c r="A9035" t="str">
        <x:v>CA-2017-128041</x:v>
      </x:c>
      <x:c r="B9035" s="18" t="n">
        <x:v>42979</x:v>
      </x:c>
      <x:c r="C9035" t="str">
        <x:v>RW-19540</x:v>
      </x:c>
      <x:c r="D9035" t="str">
        <x:v>Rick Wilson</x:v>
      </x:c>
      <x:c r="E9035" t="str">
        <x:v>Corporate</x:v>
      </x:c>
      <x:c r="F9035" t="str">
        <x:v>West</x:v>
      </x:c>
      <x:c r="G9035" t="str">
        <x:v>Office Supplies</x:v>
      </x:c>
      <x:c r="H9035" t="str">
        <x:v>Appliances</x:v>
      </x:c>
      <x:c r="I9035" s="22" t="n">
        <x:v>314.6</x:v>
      </x:c>
      <x:c r="J9035" s="24" t="n">
        <x:v>4</x:v>
      </x:c>
      <x:c r="K9035" s="26" t="n">
        <x:v>0</x:v>
      </x:c>
      <x:c r="L9035" s="22" t="n">
        <x:v>103.81799999999998</x:v>
      </x:c>
      <x:c r="M9035" t="n">
        <x:v>2017</x:v>
      </x:c>
      <x:c r="N9035" s="20" t="n">
        <x:v>42979</x:v>
      </x:c>
    </x:row>
    <x:row r="9036" ht="18" customHeight="1">
      <x:c r="A9036" t="str">
        <x:v>CA-2017-128041</x:v>
      </x:c>
      <x:c r="B9036" s="18" t="n">
        <x:v>42979</x:v>
      </x:c>
      <x:c r="C9036" t="str">
        <x:v>RW-19540</x:v>
      </x:c>
      <x:c r="D9036" t="str">
        <x:v>Rick Wilson</x:v>
      </x:c>
      <x:c r="E9036" t="str">
        <x:v>Corporate</x:v>
      </x:c>
      <x:c r="F9036" t="str">
        <x:v>West</x:v>
      </x:c>
      <x:c r="G9036" t="str">
        <x:v>Furniture</x:v>
      </x:c>
      <x:c r="H9036" t="str">
        <x:v>Tables</x:v>
      </x:c>
      <x:c r="I9036" s="22" t="n">
        <x:v>283.56</x:v>
      </x:c>
      <x:c r="J9036" s="24" t="n">
        <x:v>4</x:v>
      </x:c>
      <x:c r="K9036" s="26" t="n">
        <x:v>0</x:v>
      </x:c>
      <x:c r="L9036" s="22" t="n">
        <x:v>45.36960000000002</x:v>
      </x:c>
      <x:c r="M9036" t="n">
        <x:v>2017</x:v>
      </x:c>
      <x:c r="N9036" s="20" t="n">
        <x:v>42979</x:v>
      </x:c>
    </x:row>
    <x:row r="9037" ht="18" customHeight="1">
      <x:c r="A9037" t="str">
        <x:v>CA-2017-105823</x:v>
      </x:c>
      <x:c r="B9037" s="18" t="n">
        <x:v>42908</x:v>
      </x:c>
      <x:c r="C9037" t="str">
        <x:v>RB-19465</x:v>
      </x:c>
      <x:c r="D9037" t="str">
        <x:v>Rick Bensley</x:v>
      </x:c>
      <x:c r="E9037" t="str">
        <x:v>Home Office</x:v>
      </x:c>
      <x:c r="F9037" t="str">
        <x:v>Central</x:v>
      </x:c>
      <x:c r="G9037" t="str">
        <x:v>Furniture</x:v>
      </x:c>
      <x:c r="H9037" t="str">
        <x:v>Chairs</x:v>
      </x:c>
      <x:c r="I9037" s="22" t="n">
        <x:v>487.96</x:v>
      </x:c>
      <x:c r="J9037" s="24" t="n">
        <x:v>2</x:v>
      </x:c>
      <x:c r="K9037" s="26" t="n">
        <x:v>0</x:v>
      </x:c>
      <x:c r="L9037" s="22" t="n">
        <x:v>146.38799999999998</x:v>
      </x:c>
      <x:c r="M9037" t="n">
        <x:v>2017</x:v>
      </x:c>
      <x:c r="N9037" s="20" t="n">
        <x:v>42887</x:v>
      </x:c>
    </x:row>
    <x:row r="9038" ht="18" customHeight="1">
      <x:c r="A9038" t="str">
        <x:v>CA-2014-152268</x:v>
      </x:c>
      <x:c r="B9038" s="18" t="n">
        <x:v>41884</x:v>
      </x:c>
      <x:c r="C9038" t="str">
        <x:v>SC-20095</x:v>
      </x:c>
      <x:c r="D9038" t="str">
        <x:v>Sanjit Chand</x:v>
      </x:c>
      <x:c r="E9038" t="str">
        <x:v>Consumer</x:v>
      </x:c>
      <x:c r="F9038" t="str">
        <x:v>South</x:v>
      </x:c>
      <x:c r="G9038" t="str">
        <x:v>Office Supplies</x:v>
      </x:c>
      <x:c r="H9038" t="str">
        <x:v>Binders</x:v>
      </x:c>
      <x:c r="I9038" s="22" t="n">
        <x:v>1793.98</x:v>
      </x:c>
      <x:c r="J9038" s="24" t="n">
        <x:v>2</x:v>
      </x:c>
      <x:c r="K9038" s="26" t="n">
        <x:v>0</x:v>
      </x:c>
      <x:c r="L9038" s="22" t="n">
        <x:v>843.1705999999999</x:v>
      </x:c>
      <x:c r="M9038" t="n">
        <x:v>2014</x:v>
      </x:c>
      <x:c r="N9038" s="20" t="n">
        <x:v>41883</x:v>
      </x:c>
    </x:row>
    <x:row r="9039" ht="18" customHeight="1">
      <x:c r="A9039" t="str">
        <x:v>CA-2015-148873</x:v>
      </x:c>
      <x:c r="B9039" s="18" t="n">
        <x:v>42278</x:v>
      </x:c>
      <x:c r="C9039" t="str">
        <x:v>EM-13960</x:v>
      </x:c>
      <x:c r="D9039" t="str">
        <x:v>Eric Murdock</x:v>
      </x:c>
      <x:c r="E9039" t="str">
        <x:v>Consumer</x:v>
      </x:c>
      <x:c r="F9039" t="str">
        <x:v>Central</x:v>
      </x:c>
      <x:c r="G9039" t="str">
        <x:v>Office Supplies</x:v>
      </x:c>
      <x:c r="H9039" t="str">
        <x:v>Binders</x:v>
      </x:c>
      <x:c r="I9039" s="22" t="n">
        <x:v>2.9919999999999995</x:v>
      </x:c>
      <x:c r="J9039" s="24" t="n">
        <x:v>4</x:v>
      </x:c>
      <x:c r="K9039" s="26" t="n">
        <x:v>0.8</x:v>
      </x:c>
      <x:c r="L9039" s="22" t="n">
        <x:v>-4.488000000000001</x:v>
      </x:c>
      <x:c r="M9039" t="n">
        <x:v>2015</x:v>
      </x:c>
      <x:c r="N9039" s="20" t="n">
        <x:v>42278</x:v>
      </x:c>
    </x:row>
    <x:row r="9040" ht="18" customHeight="1">
      <x:c r="A9040" t="str">
        <x:v>CA-2015-148873</x:v>
      </x:c>
      <x:c r="B9040" s="18" t="n">
        <x:v>42278</x:v>
      </x:c>
      <x:c r="C9040" t="str">
        <x:v>EM-13960</x:v>
      </x:c>
      <x:c r="D9040" t="str">
        <x:v>Eric Murdock</x:v>
      </x:c>
      <x:c r="E9040" t="str">
        <x:v>Consumer</x:v>
      </x:c>
      <x:c r="F9040" t="str">
        <x:v>Central</x:v>
      </x:c>
      <x:c r="G9040" t="str">
        <x:v>Technology</x:v>
      </x:c>
      <x:c r="H9040" t="str">
        <x:v>Accessories</x:v>
      </x:c>
      <x:c r="I9040" s="22" t="n">
        <x:v>108.76800000000001</x:v>
      </x:c>
      <x:c r="J9040" s="24" t="n">
        <x:v>4</x:v>
      </x:c>
      <x:c r="K9040" s="26" t="n">
        <x:v>0.2</x:v>
      </x:c>
      <x:c r="L9040" s="22" t="n">
        <x:v>2.71919999999999</x:v>
      </x:c>
      <x:c r="M9040" t="n">
        <x:v>2015</x:v>
      </x:c>
      <x:c r="N9040" s="20" t="n">
        <x:v>42278</x:v>
      </x:c>
    </x:row>
    <x:row r="9041" ht="18" customHeight="1">
      <x:c r="A9041" t="str">
        <x:v>CA-2015-166492</x:v>
      </x:c>
      <x:c r="B9041" s="18" t="n">
        <x:v>42101</x:v>
      </x:c>
      <x:c r="C9041" t="str">
        <x:v>RP-19390</x:v>
      </x:c>
      <x:c r="D9041" t="str">
        <x:v>Resi Pölking</x:v>
      </x:c>
      <x:c r="E9041" t="str">
        <x:v>Consumer</x:v>
      </x:c>
      <x:c r="F9041" t="str">
        <x:v>East</x:v>
      </x:c>
      <x:c r="G9041" t="str">
        <x:v>Office Supplies</x:v>
      </x:c>
      <x:c r="H9041" t="str">
        <x:v>Paper</x:v>
      </x:c>
      <x:c r="I9041" s="22" t="n">
        <x:v>25.92</x:v>
      </x:c>
      <x:c r="J9041" s="24" t="n">
        <x:v>4</x:v>
      </x:c>
      <x:c r="K9041" s="26" t="n">
        <x:v>0</x:v>
      </x:c>
      <x:c r="L9041" s="22" t="n">
        <x:v>12.441600000000001</x:v>
      </x:c>
      <x:c r="M9041" t="n">
        <x:v>2015</x:v>
      </x:c>
      <x:c r="N9041" s="20" t="n">
        <x:v>42095</x:v>
      </x:c>
    </x:row>
    <x:row r="9042" ht="18" customHeight="1">
      <x:c r="A9042" t="str">
        <x:v>CA-2015-166492</x:v>
      </x:c>
      <x:c r="B9042" s="18" t="n">
        <x:v>42101</x:v>
      </x:c>
      <x:c r="C9042" t="str">
        <x:v>RP-19390</x:v>
      </x:c>
      <x:c r="D9042" t="str">
        <x:v>Resi Pölking</x:v>
      </x:c>
      <x:c r="E9042" t="str">
        <x:v>Consumer</x:v>
      </x:c>
      <x:c r="F9042" t="str">
        <x:v>East</x:v>
      </x:c>
      <x:c r="G9042" t="str">
        <x:v>Office Supplies</x:v>
      </x:c>
      <x:c r="H9042" t="str">
        <x:v>Storage</x:v>
      </x:c>
      <x:c r="I9042" s="22" t="n">
        <x:v>22.58</x:v>
      </x:c>
      <x:c r="J9042" s="24" t="n">
        <x:v>2</x:v>
      </x:c>
      <x:c r="K9042" s="26" t="n">
        <x:v>0</x:v>
      </x:c>
      <x:c r="L9042" s="22" t="n">
        <x:v>5.870799999999999</x:v>
      </x:c>
      <x:c r="M9042" t="n">
        <x:v>2015</x:v>
      </x:c>
      <x:c r="N9042" s="20" t="n">
        <x:v>42095</x:v>
      </x:c>
    </x:row>
    <x:row r="9043" ht="18" customHeight="1">
      <x:c r="A9043" t="str">
        <x:v>CA-2017-157420</x:v>
      </x:c>
      <x:c r="B9043" s="18" t="n">
        <x:v>43060</x:v>
      </x:c>
      <x:c r="C9043" t="str">
        <x:v>HZ-14950</x:v>
      </x:c>
      <x:c r="D9043" t="str">
        <x:v>Henia Zydlo</x:v>
      </x:c>
      <x:c r="E9043" t="str">
        <x:v>Consumer</x:v>
      </x:c>
      <x:c r="F9043" t="str">
        <x:v>Central</x:v>
      </x:c>
      <x:c r="G9043" t="str">
        <x:v>Technology</x:v>
      </x:c>
      <x:c r="H9043" t="str">
        <x:v>Phones</x:v>
      </x:c>
      <x:c r="I9043" s="22" t="n">
        <x:v>55.176</x:v>
      </x:c>
      <x:c r="J9043" s="24" t="n">
        <x:v>3</x:v>
      </x:c>
      <x:c r="K9043" s="26" t="n">
        <x:v>0.2</x:v>
      </x:c>
      <x:c r="L9043" s="22" t="n">
        <x:v>-12.414599999999997</x:v>
      </x:c>
      <x:c r="M9043" t="n">
        <x:v>2017</x:v>
      </x:c>
      <x:c r="N9043" s="20" t="n">
        <x:v>43040</x:v>
      </x:c>
    </x:row>
    <x:row r="9044" ht="18" customHeight="1">
      <x:c r="A9044" t="str">
        <x:v>CA-2016-117121</x:v>
      </x:c>
      <x:c r="B9044" s="18" t="n">
        <x:v>42721</x:v>
      </x:c>
      <x:c r="C9044" t="str">
        <x:v>AB-10105</x:v>
      </x:c>
      <x:c r="D9044" t="str">
        <x:v>Adrian Barton</x:v>
      </x:c>
      <x:c r="E9044" t="str">
        <x:v>Consumer</x:v>
      </x:c>
      <x:c r="F9044" t="str">
        <x:v>Central</x:v>
      </x:c>
      <x:c r="G9044" t="str">
        <x:v>Office Supplies</x:v>
      </x:c>
      <x:c r="H9044" t="str">
        <x:v>Binders</x:v>
      </x:c>
      <x:c r="I9044" s="22" t="n">
        <x:v>9892.74</x:v>
      </x:c>
      <x:c r="J9044" s="24" t="n">
        <x:v>13</x:v>
      </x:c>
      <x:c r="K9044" s="26" t="n">
        <x:v>0</x:v>
      </x:c>
      <x:c r="L9044" s="22" t="n">
        <x:v>4946.37</x:v>
      </x:c>
      <x:c r="M9044" t="n">
        <x:v>2016</x:v>
      </x:c>
      <x:c r="N9044" s="20" t="n">
        <x:v>42705</x:v>
      </x:c>
    </x:row>
    <x:row r="9045" ht="18" customHeight="1">
      <x:c r="A9045" t="str">
        <x:v>CA-2014-138177</x:v>
      </x:c>
      <x:c r="B9045" s="18" t="n">
        <x:v>41901</x:v>
      </x:c>
      <x:c r="C9045" t="str">
        <x:v>ND-18460</x:v>
      </x:c>
      <x:c r="D9045" t="str">
        <x:v>Neil Ducich</x:v>
      </x:c>
      <x:c r="E9045" t="str">
        <x:v>Corporate</x:v>
      </x:c>
      <x:c r="F9045" t="str">
        <x:v>West</x:v>
      </x:c>
      <x:c r="G9045" t="str">
        <x:v>Furniture</x:v>
      </x:c>
      <x:c r="H9045" t="str">
        <x:v>Tables</x:v>
      </x:c>
      <x:c r="I9045" s="22" t="n">
        <x:v>73.915</x:v>
      </x:c>
      <x:c r="J9045" s="24" t="n">
        <x:v>1</x:v>
      </x:c>
      <x:c r="K9045" s="26" t="n">
        <x:v>0.5</x:v>
      </x:c>
      <x:c r="L9045" s="22" t="n">
        <x:v>-45.82730000000001</x:v>
      </x:c>
      <x:c r="M9045" t="n">
        <x:v>2014</x:v>
      </x:c>
      <x:c r="N9045" s="20" t="n">
        <x:v>41883</x:v>
      </x:c>
    </x:row>
    <x:row r="9046" ht="18" customHeight="1">
      <x:c r="A9046" t="str">
        <x:v>CA-2014-114335</x:v>
      </x:c>
      <x:c r="B9046" s="18" t="n">
        <x:v>41910</x:v>
      </x:c>
      <x:c r="C9046" t="str">
        <x:v>XP-21865</x:v>
      </x:c>
      <x:c r="D9046" t="str">
        <x:v>Xylona Preis</x:v>
      </x:c>
      <x:c r="E9046" t="str">
        <x:v>Consumer</x:v>
      </x:c>
      <x:c r="F9046" t="str">
        <x:v>South</x:v>
      </x:c>
      <x:c r="G9046" t="str">
        <x:v>Furniture</x:v>
      </x:c>
      <x:c r="H9046" t="str">
        <x:v>Furnishings</x:v>
      </x:c>
      <x:c r="I9046" s="22" t="n">
        <x:v>337.088</x:v>
      </x:c>
      <x:c r="J9046" s="24" t="n">
        <x:v>4</x:v>
      </x:c>
      <x:c r="K9046" s="26" t="n">
        <x:v>0.2</x:v>
      </x:c>
      <x:c r="L9046" s="22" t="n">
        <x:v>16.854399999999984</x:v>
      </x:c>
      <x:c r="M9046" t="n">
        <x:v>2014</x:v>
      </x:c>
      <x:c r="N9046" s="20" t="n">
        <x:v>41883</x:v>
      </x:c>
    </x:row>
    <x:row r="9047" ht="18" customHeight="1">
      <x:c r="A9047" t="str">
        <x:v>CA-2015-168760</x:v>
      </x:c>
      <x:c r="B9047" s="18" t="n">
        <x:v>42269</x:v>
      </x:c>
      <x:c r="C9047" t="str">
        <x:v>MM-18280</x:v>
      </x:c>
      <x:c r="D9047" t="str">
        <x:v>Muhammed MacIntyre</x:v>
      </x:c>
      <x:c r="E9047" t="str">
        <x:v>Corporate</x:v>
      </x:c>
      <x:c r="F9047" t="str">
        <x:v>West</x:v>
      </x:c>
      <x:c r="G9047" t="str">
        <x:v>Office Supplies</x:v>
      </x:c>
      <x:c r="H9047" t="str">
        <x:v>Appliances</x:v>
      </x:c>
      <x:c r="I9047" s="22" t="n">
        <x:v>61.44</x:v>
      </x:c>
      <x:c r="J9047" s="24" t="n">
        <x:v>3</x:v>
      </x:c>
      <x:c r="K9047" s="26" t="n">
        <x:v>0</x:v>
      </x:c>
      <x:c r="L9047" s="22" t="n">
        <x:v>16.5888</x:v>
      </x:c>
      <x:c r="M9047" t="n">
        <x:v>2015</x:v>
      </x:c>
      <x:c r="N9047" s="20" t="n">
        <x:v>42248</x:v>
      </x:c>
    </x:row>
    <x:row r="9048" ht="18" customHeight="1">
      <x:c r="A9048" t="str">
        <x:v>CA-2016-168830</x:v>
      </x:c>
      <x:c r="B9048" s="18" t="n">
        <x:v>42681</x:v>
      </x:c>
      <x:c r="C9048" t="str">
        <x:v>ML-17395</x:v>
      </x:c>
      <x:c r="D9048" t="str">
        <x:v>Marina Lichtenstein</x:v>
      </x:c>
      <x:c r="E9048" t="str">
        <x:v>Corporate</x:v>
      </x:c>
      <x:c r="F9048" t="str">
        <x:v>West</x:v>
      </x:c>
      <x:c r="G9048" t="str">
        <x:v>Technology</x:v>
      </x:c>
      <x:c r="H9048" t="str">
        <x:v>Accessories</x:v>
      </x:c>
      <x:c r="I9048" s="22" t="n">
        <x:v>479.97</x:v>
      </x:c>
      <x:c r="J9048" s="24" t="n">
        <x:v>3</x:v>
      </x:c>
      <x:c r="K9048" s="26" t="n">
        <x:v>0</x:v>
      </x:c>
      <x:c r="L9048" s="22" t="n">
        <x:v>163.1898</x:v>
      </x:c>
      <x:c r="M9048" t="n">
        <x:v>2016</x:v>
      </x:c>
      <x:c r="N9048" s="20" t="n">
        <x:v>42675</x:v>
      </x:c>
    </x:row>
    <x:row r="9049" ht="18" customHeight="1">
      <x:c r="A9049" t="str">
        <x:v>CA-2017-137463</x:v>
      </x:c>
      <x:c r="B9049" s="18" t="n">
        <x:v>43085</x:v>
      </x:c>
      <x:c r="C9049" t="str">
        <x:v>KM-16225</x:v>
      </x:c>
      <x:c r="D9049" t="str">
        <x:v>Kalyca Meade</x:v>
      </x:c>
      <x:c r="E9049" t="str">
        <x:v>Corporate</x:v>
      </x:c>
      <x:c r="F9049" t="str">
        <x:v>West</x:v>
      </x:c>
      <x:c r="G9049" t="str">
        <x:v>Office Supplies</x:v>
      </x:c>
      <x:c r="H9049" t="str">
        <x:v>Binders</x:v>
      </x:c>
      <x:c r="I9049" s="22" t="n">
        <x:v>5.984000000000001</x:v>
      </x:c>
      <x:c r="J9049" s="24" t="n">
        <x:v>2</x:v>
      </x:c>
      <x:c r="K9049" s="26" t="n">
        <x:v>0.2</x:v>
      </x:c>
      <x:c r="L9049" s="22" t="n">
        <x:v>2.2439999999999998</x:v>
      </x:c>
      <x:c r="M9049" t="n">
        <x:v>2017</x:v>
      </x:c>
      <x:c r="N9049" s="20" t="n">
        <x:v>43070</x:v>
      </x:c>
    </x:row>
    <x:row r="9050" ht="18" customHeight="1">
      <x:c r="A9050" t="str">
        <x:v>CA-2017-137463</x:v>
      </x:c>
      <x:c r="B9050" s="18" t="n">
        <x:v>43085</x:v>
      </x:c>
      <x:c r="C9050" t="str">
        <x:v>KM-16225</x:v>
      </x:c>
      <x:c r="D9050" t="str">
        <x:v>Kalyca Meade</x:v>
      </x:c>
      <x:c r="E9050" t="str">
        <x:v>Corporate</x:v>
      </x:c>
      <x:c r="F9050" t="str">
        <x:v>West</x:v>
      </x:c>
      <x:c r="G9050" t="str">
        <x:v>Technology</x:v>
      </x:c>
      <x:c r="H9050" t="str">
        <x:v>Accessories</x:v>
      </x:c>
      <x:c r="I9050" s="22" t="n">
        <x:v>189.95000000000002</x:v>
      </x:c>
      <x:c r="J9050" s="24" t="n">
        <x:v>5</x:v>
      </x:c>
      <x:c r="K9050" s="26" t="n">
        <x:v>0</x:v>
      </x:c>
      <x:c r="L9050" s="22" t="n">
        <x:v>45.587999999999994</x:v>
      </x:c>
      <x:c r="M9050" t="n">
        <x:v>2017</x:v>
      </x:c>
      <x:c r="N9050" s="20" t="n">
        <x:v>43070</x:v>
      </x:c>
    </x:row>
    <x:row r="9051" ht="18" customHeight="1">
      <x:c r="A9051" t="str">
        <x:v>CA-2017-137463</x:v>
      </x:c>
      <x:c r="B9051" s="18" t="n">
        <x:v>43085</x:v>
      </x:c>
      <x:c r="C9051" t="str">
        <x:v>KM-16225</x:v>
      </x:c>
      <x:c r="D9051" t="str">
        <x:v>Kalyca Meade</x:v>
      </x:c>
      <x:c r="E9051" t="str">
        <x:v>Corporate</x:v>
      </x:c>
      <x:c r="F9051" t="str">
        <x:v>West</x:v>
      </x:c>
      <x:c r="G9051" t="str">
        <x:v>Technology</x:v>
      </x:c>
      <x:c r="H9051" t="str">
        <x:v>Accessories</x:v>
      </x:c>
      <x:c r="I9051" s="22" t="n">
        <x:v>149.95</x:v>
      </x:c>
      <x:c r="J9051" s="24" t="n">
        <x:v>5</x:v>
      </x:c>
      <x:c r="K9051" s="26" t="n">
        <x:v>0</x:v>
      </x:c>
      <x:c r="L9051" s="22" t="n">
        <x:v>31.489499999999992</x:v>
      </x:c>
      <x:c r="M9051" t="n">
        <x:v>2017</x:v>
      </x:c>
      <x:c r="N9051" s="20" t="n">
        <x:v>43070</x:v>
      </x:c>
    </x:row>
    <x:row r="9052" ht="18" customHeight="1">
      <x:c r="A9052" t="str">
        <x:v>CA-2017-137463</x:v>
      </x:c>
      <x:c r="B9052" s="18" t="n">
        <x:v>43085</x:v>
      </x:c>
      <x:c r="C9052" t="str">
        <x:v>KM-16225</x:v>
      </x:c>
      <x:c r="D9052" t="str">
        <x:v>Kalyca Meade</x:v>
      </x:c>
      <x:c r="E9052" t="str">
        <x:v>Corporate</x:v>
      </x:c>
      <x:c r="F9052" t="str">
        <x:v>West</x:v>
      </x:c>
      <x:c r="G9052" t="str">
        <x:v>Office Supplies</x:v>
      </x:c>
      <x:c r="H9052" t="str">
        <x:v>Art</x:v>
      </x:c>
      <x:c r="I9052" s="22" t="n">
        <x:v>29.950000000000003</x:v>
      </x:c>
      <x:c r="J9052" s="24" t="n">
        <x:v>5</x:v>
      </x:c>
      <x:c r="K9052" s="26" t="n">
        <x:v>0</x:v>
      </x:c>
      <x:c r="L9052" s="22" t="n">
        <x:v>8.6855</x:v>
      </x:c>
      <x:c r="M9052" t="n">
        <x:v>2017</x:v>
      </x:c>
      <x:c r="N9052" s="20" t="n">
        <x:v>43070</x:v>
      </x:c>
    </x:row>
    <x:row r="9053" ht="18" customHeight="1">
      <x:c r="A9053" t="str">
        <x:v>CA-2017-137463</x:v>
      </x:c>
      <x:c r="B9053" s="18" t="n">
        <x:v>43085</x:v>
      </x:c>
      <x:c r="C9053" t="str">
        <x:v>KM-16225</x:v>
      </x:c>
      <x:c r="D9053" t="str">
        <x:v>Kalyca Meade</x:v>
      </x:c>
      <x:c r="E9053" t="str">
        <x:v>Corporate</x:v>
      </x:c>
      <x:c r="F9053" t="str">
        <x:v>West</x:v>
      </x:c>
      <x:c r="G9053" t="str">
        <x:v>Office Supplies</x:v>
      </x:c>
      <x:c r="H9053" t="str">
        <x:v>Labels</x:v>
      </x:c>
      <x:c r="I9053" s="22" t="n">
        <x:v>44.400000000000006</x:v>
      </x:c>
      <x:c r="J9053" s="24" t="n">
        <x:v>3</x:v>
      </x:c>
      <x:c r="K9053" s="26" t="n">
        <x:v>0</x:v>
      </x:c>
      <x:c r="L9053" s="22" t="n">
        <x:v>22.200000000000003</x:v>
      </x:c>
      <x:c r="M9053" t="n">
        <x:v>2017</x:v>
      </x:c>
      <x:c r="N9053" s="20" t="n">
        <x:v>43070</x:v>
      </x:c>
    </x:row>
    <x:row r="9054" ht="18" customHeight="1">
      <x:c r="A9054" t="str">
        <x:v>CA-2014-124513</x:v>
      </x:c>
      <x:c r="B9054" s="18" t="n">
        <x:v>41903</x:v>
      </x:c>
      <x:c r="C9054" t="str">
        <x:v>SL-20155</x:v>
      </x:c>
      <x:c r="D9054" t="str">
        <x:v>Sara Luxemburg</x:v>
      </x:c>
      <x:c r="E9054" t="str">
        <x:v>Home Office</x:v>
      </x:c>
      <x:c r="F9054" t="str">
        <x:v>East</x:v>
      </x:c>
      <x:c r="G9054" t="str">
        <x:v>Office Supplies</x:v>
      </x:c>
      <x:c r="H9054" t="str">
        <x:v>Art</x:v>
      </x:c>
      <x:c r="I9054" s="22" t="n">
        <x:v>66.03</x:v>
      </x:c>
      <x:c r="J9054" s="24" t="n">
        <x:v>3</x:v>
      </x:c>
      <x:c r="K9054" s="26" t="n">
        <x:v>0</x:v>
      </x:c>
      <x:c r="L9054" s="22" t="n">
        <x:v>17.1678</x:v>
      </x:c>
      <x:c r="M9054" t="n">
        <x:v>2014</x:v>
      </x:c>
      <x:c r="N9054" s="20" t="n">
        <x:v>41883</x:v>
      </x:c>
    </x:row>
    <x:row r="9055" ht="18" customHeight="1">
      <x:c r="A9055" t="str">
        <x:v>CA-2015-165554</x:v>
      </x:c>
      <x:c r="B9055" s="18" t="n">
        <x:v>42142</x:v>
      </x:c>
      <x:c r="C9055" t="str">
        <x:v>AJ-10780</x:v>
      </x:c>
      <x:c r="D9055" t="str">
        <x:v>Anthony Jacobs</x:v>
      </x:c>
      <x:c r="E9055" t="str">
        <x:v>Corporate</x:v>
      </x:c>
      <x:c r="F9055" t="str">
        <x:v>West</x:v>
      </x:c>
      <x:c r="G9055" t="str">
        <x:v>Office Supplies</x:v>
      </x:c>
      <x:c r="H9055" t="str">
        <x:v>Paper</x:v>
      </x:c>
      <x:c r="I9055" s="22" t="n">
        <x:v>10.86</x:v>
      </x:c>
      <x:c r="J9055" s="24" t="n">
        <x:v>2</x:v>
      </x:c>
      <x:c r="K9055" s="26" t="n">
        <x:v>0</x:v>
      </x:c>
      <x:c r="L9055" s="22" t="n">
        <x:v>5.3214</x:v>
      </x:c>
      <x:c r="M9055" t="n">
        <x:v>2015</x:v>
      </x:c>
      <x:c r="N9055" s="20" t="n">
        <x:v>42125</x:v>
      </x:c>
    </x:row>
    <x:row r="9056" ht="18" customHeight="1">
      <x:c r="A9056" t="str">
        <x:v>CA-2014-141838</x:v>
      </x:c>
      <x:c r="B9056" s="18" t="n">
        <x:v>41724</x:v>
      </x:c>
      <x:c r="C9056" t="str">
        <x:v>DK-12835</x:v>
      </x:c>
      <x:c r="D9056" t="str">
        <x:v>Damala Kotsonis</x:v>
      </x:c>
      <x:c r="E9056" t="str">
        <x:v>Corporate</x:v>
      </x:c>
      <x:c r="F9056" t="str">
        <x:v>West</x:v>
      </x:c>
      <x:c r="G9056" t="str">
        <x:v>Office Supplies</x:v>
      </x:c>
      <x:c r="H9056" t="str">
        <x:v>Art</x:v>
      </x:c>
      <x:c r="I9056" s="22" t="n">
        <x:v>3.36</x:v>
      </x:c>
      <x:c r="J9056" s="24" t="n">
        <x:v>2</x:v>
      </x:c>
      <x:c r="K9056" s="26" t="n">
        <x:v>0</x:v>
      </x:c>
      <x:c r="L9056" s="22" t="n">
        <x:v>0.8399999999999999</x:v>
      </x:c>
      <x:c r="M9056" t="n">
        <x:v>2014</x:v>
      </x:c>
      <x:c r="N9056" s="20" t="n">
        <x:v>41699</x:v>
      </x:c>
    </x:row>
    <x:row r="9057" ht="18" customHeight="1">
      <x:c r="A9057" t="str">
        <x:v>CA-2014-141838</x:v>
      </x:c>
      <x:c r="B9057" s="18" t="n">
        <x:v>41724</x:v>
      </x:c>
      <x:c r="C9057" t="str">
        <x:v>DK-12835</x:v>
      </x:c>
      <x:c r="D9057" t="str">
        <x:v>Damala Kotsonis</x:v>
      </x:c>
      <x:c r="E9057" t="str">
        <x:v>Corporate</x:v>
      </x:c>
      <x:c r="F9057" t="str">
        <x:v>West</x:v>
      </x:c>
      <x:c r="G9057" t="str">
        <x:v>Office Supplies</x:v>
      </x:c>
      <x:c r="H9057" t="str">
        <x:v>Binders</x:v>
      </x:c>
      <x:c r="I9057" s="22" t="n">
        <x:v>27.936000000000003</x:v>
      </x:c>
      <x:c r="J9057" s="24" t="n">
        <x:v>4</x:v>
      </x:c>
      <x:c r="K9057" s="26" t="n">
        <x:v>0.2</x:v>
      </x:c>
      <x:c r="L9057" s="22" t="n">
        <x:v>9.428399999999996</x:v>
      </x:c>
      <x:c r="M9057" t="n">
        <x:v>2014</x:v>
      </x:c>
      <x:c r="N9057" s="20" t="n">
        <x:v>41699</x:v>
      </x:c>
    </x:row>
    <x:row r="9058" ht="18" customHeight="1">
      <x:c r="A9058" t="str">
        <x:v>CA-2014-141838</x:v>
      </x:c>
      <x:c r="B9058" s="18" t="n">
        <x:v>41724</x:v>
      </x:c>
      <x:c r="C9058" t="str">
        <x:v>DK-12835</x:v>
      </x:c>
      <x:c r="D9058" t="str">
        <x:v>Damala Kotsonis</x:v>
      </x:c>
      <x:c r="E9058" t="str">
        <x:v>Corporate</x:v>
      </x:c>
      <x:c r="F9058" t="str">
        <x:v>West</x:v>
      </x:c>
      <x:c r="G9058" t="str">
        <x:v>Technology</x:v>
      </x:c>
      <x:c r="H9058" t="str">
        <x:v>Phones</x:v>
      </x:c>
      <x:c r="I9058" s="22" t="n">
        <x:v>28.784</x:v>
      </x:c>
      <x:c r="J9058" s="24" t="n">
        <x:v>2</x:v>
      </x:c>
      <x:c r="K9058" s="26" t="n">
        <x:v>0.2</x:v>
      </x:c>
      <x:c r="L9058" s="22" t="n">
        <x:v>2.878400000000001</x:v>
      </x:c>
      <x:c r="M9058" t="n">
        <x:v>2014</x:v>
      </x:c>
      <x:c r="N9058" s="20" t="n">
        <x:v>41699</x:v>
      </x:c>
    </x:row>
    <x:row r="9059" ht="18" customHeight="1">
      <x:c r="A9059" t="str">
        <x:v>CA-2017-117009</x:v>
      </x:c>
      <x:c r="B9059" s="18" t="n">
        <x:v>43000</x:v>
      </x:c>
      <x:c r="C9059" t="str">
        <x:v>BK-11260</x:v>
      </x:c>
      <x:c r="D9059" t="str">
        <x:v>Berenike Kampe</x:v>
      </x:c>
      <x:c r="E9059" t="str">
        <x:v>Consumer</x:v>
      </x:c>
      <x:c r="F9059" t="str">
        <x:v>West</x:v>
      </x:c>
      <x:c r="G9059" t="str">
        <x:v>Office Supplies</x:v>
      </x:c>
      <x:c r="H9059" t="str">
        <x:v>Supplies</x:v>
      </x:c>
      <x:c r="I9059" s="22" t="n">
        <x:v>21.96</x:v>
      </x:c>
      <x:c r="J9059" s="24" t="n">
        <x:v>2</x:v>
      </x:c>
      <x:c r="K9059" s="26" t="n">
        <x:v>0</x:v>
      </x:c>
      <x:c r="L9059" s="22" t="n">
        <x:v>6.148800000000001</x:v>
      </x:c>
      <x:c r="M9059" t="n">
        <x:v>2017</x:v>
      </x:c>
      <x:c r="N9059" s="20" t="n">
        <x:v>42979</x:v>
      </x:c>
    </x:row>
    <x:row r="9060" ht="18" customHeight="1">
      <x:c r="A9060" t="str">
        <x:v>CA-2015-128993</x:v>
      </x:c>
      <x:c r="B9060" s="18" t="n">
        <x:v>42259</x:v>
      </x:c>
      <x:c r="C9060" t="str">
        <x:v>CC-12670</x:v>
      </x:c>
      <x:c r="D9060" t="str">
        <x:v>Craig Carreira</x:v>
      </x:c>
      <x:c r="E9060" t="str">
        <x:v>Consumer</x:v>
      </x:c>
      <x:c r="F9060" t="str">
        <x:v>West</x:v>
      </x:c>
      <x:c r="G9060" t="str">
        <x:v>Technology</x:v>
      </x:c>
      <x:c r="H9060" t="str">
        <x:v>Accessories</x:v>
      </x:c>
      <x:c r="I9060" s="22" t="n">
        <x:v>21.98</x:v>
      </x:c>
      <x:c r="J9060" s="24" t="n">
        <x:v>2</x:v>
      </x:c>
      <x:c r="K9060" s="26" t="n">
        <x:v>0</x:v>
      </x:c>
      <x:c r="L9060" s="22" t="n">
        <x:v>8.5722</x:v>
      </x:c>
      <x:c r="M9060" t="n">
        <x:v>2015</x:v>
      </x:c>
      <x:c r="N9060" s="20" t="n">
        <x:v>42248</x:v>
      </x:c>
    </x:row>
    <x:row r="9061" ht="18" customHeight="1">
      <x:c r="A9061" t="str">
        <x:v>CA-2015-160227</x:v>
      </x:c>
      <x:c r="B9061" s="18" t="n">
        <x:v>42310</x:v>
      </x:c>
      <x:c r="C9061" t="str">
        <x:v>ED-13885</x:v>
      </x:c>
      <x:c r="D9061" t="str">
        <x:v>Emily Ducich</x:v>
      </x:c>
      <x:c r="E9061" t="str">
        <x:v>Home Office</x:v>
      </x:c>
      <x:c r="F9061" t="str">
        <x:v>East</x:v>
      </x:c>
      <x:c r="G9061" t="str">
        <x:v>Furniture</x:v>
      </x:c>
      <x:c r="H9061" t="str">
        <x:v>Chairs</x:v>
      </x:c>
      <x:c r="I9061" s="22" t="n">
        <x:v>2621.322</x:v>
      </x:c>
      <x:c r="J9061" s="24" t="n">
        <x:v>11</x:v>
      </x:c>
      <x:c r="K9061" s="26" t="n">
        <x:v>0.1</x:v>
      </x:c>
      <x:c r="L9061" s="22" t="n">
        <x:v>553.3901999999998</x:v>
      </x:c>
      <x:c r="M9061" t="n">
        <x:v>2015</x:v>
      </x:c>
      <x:c r="N9061" s="20" t="n">
        <x:v>42309</x:v>
      </x:c>
    </x:row>
    <x:row r="9062" ht="18" customHeight="1">
      <x:c r="A9062" t="str">
        <x:v>CA-2015-149097</x:v>
      </x:c>
      <x:c r="B9062" s="18" t="n">
        <x:v>42297</x:v>
      </x:c>
      <x:c r="C9062" t="str">
        <x:v>SV-20785</x:v>
      </x:c>
      <x:c r="D9062" t="str">
        <x:v>Stewart Visinsky</x:v>
      </x:c>
      <x:c r="E9062" t="str">
        <x:v>Consumer</x:v>
      </x:c>
      <x:c r="F9062" t="str">
        <x:v>West</x:v>
      </x:c>
      <x:c r="G9062" t="str">
        <x:v>Furniture</x:v>
      </x:c>
      <x:c r="H9062" t="str">
        <x:v>Furnishings</x:v>
      </x:c>
      <x:c r="I9062" s="22" t="n">
        <x:v>74.75999999999999</x:v>
      </x:c>
      <x:c r="J9062" s="24" t="n">
        <x:v>7</x:v>
      </x:c>
      <x:c r="K9062" s="26" t="n">
        <x:v>0</x:v>
      </x:c>
      <x:c r="L9062" s="22" t="n">
        <x:v>23.923199999999994</x:v>
      </x:c>
      <x:c r="M9062" t="n">
        <x:v>2015</x:v>
      </x:c>
      <x:c r="N9062" s="20" t="n">
        <x:v>42278</x:v>
      </x:c>
    </x:row>
    <x:row r="9063" ht="18" customHeight="1">
      <x:c r="A9063" t="str">
        <x:v>CA-2015-149097</x:v>
      </x:c>
      <x:c r="B9063" s="18" t="n">
        <x:v>42297</x:v>
      </x:c>
      <x:c r="C9063" t="str">
        <x:v>SV-20785</x:v>
      </x:c>
      <x:c r="D9063" t="str">
        <x:v>Stewart Visinsky</x:v>
      </x:c>
      <x:c r="E9063" t="str">
        <x:v>Consumer</x:v>
      </x:c>
      <x:c r="F9063" t="str">
        <x:v>West</x:v>
      </x:c>
      <x:c r="G9063" t="str">
        <x:v>Furniture</x:v>
      </x:c>
      <x:c r="H9063" t="str">
        <x:v>Tables</x:v>
      </x:c>
      <x:c r="I9063" s="22" t="n">
        <x:v>364.77600000000007</x:v>
      </x:c>
      <x:c r="J9063" s="24" t="n">
        <x:v>3</x:v>
      </x:c>
      <x:c r="K9063" s="26" t="n">
        <x:v>0.2</x:v>
      </x:c>
      <x:c r="L9063" s="22" t="n">
        <x:v>27.35820000000001</x:v>
      </x:c>
      <x:c r="M9063" t="n">
        <x:v>2015</x:v>
      </x:c>
      <x:c r="N9063" s="20" t="n">
        <x:v>42278</x:v>
      </x:c>
    </x:row>
    <x:row r="9064" ht="18" customHeight="1">
      <x:c r="A9064" t="str">
        <x:v>CA-2016-132304</x:v>
      </x:c>
      <x:c r="B9064" s="18" t="n">
        <x:v>42535</x:v>
      </x:c>
      <x:c r="C9064" t="str">
        <x:v>AR-10825</x:v>
      </x:c>
      <x:c r="D9064" t="str">
        <x:v>Anthony Rawles</x:v>
      </x:c>
      <x:c r="E9064" t="str">
        <x:v>Corporate</x:v>
      </x:c>
      <x:c r="F9064" t="str">
        <x:v>West</x:v>
      </x:c>
      <x:c r="G9064" t="str">
        <x:v>Furniture</x:v>
      </x:c>
      <x:c r="H9064" t="str">
        <x:v>Tables</x:v>
      </x:c>
      <x:c r="I9064" s="22" t="n">
        <x:v>1115.17</x:v>
      </x:c>
      <x:c r="J9064" s="24" t="n">
        <x:v>7</x:v>
      </x:c>
      <x:c r="K9064" s="26" t="n">
        <x:v>0</x:v>
      </x:c>
      <x:c r="L9064" s="22" t="n">
        <x:v>334.55099999999993</x:v>
      </x:c>
      <x:c r="M9064" t="n">
        <x:v>2016</x:v>
      </x:c>
      <x:c r="N9064" s="20" t="n">
        <x:v>42522</x:v>
      </x:c>
    </x:row>
    <x:row r="9065" ht="18" customHeight="1">
      <x:c r="A9065" t="str">
        <x:v>CA-2015-136420</x:v>
      </x:c>
      <x:c r="B9065" s="18" t="n">
        <x:v>42328</x:v>
      </x:c>
      <x:c r="C9065" t="str">
        <x:v>CS-12250</x:v>
      </x:c>
      <x:c r="D9065" t="str">
        <x:v>Chris Selesnick</x:v>
      </x:c>
      <x:c r="E9065" t="str">
        <x:v>Corporate</x:v>
      </x:c>
      <x:c r="F9065" t="str">
        <x:v>West</x:v>
      </x:c>
      <x:c r="G9065" t="str">
        <x:v>Office Supplies</x:v>
      </x:c>
      <x:c r="H9065" t="str">
        <x:v>Binders</x:v>
      </x:c>
      <x:c r="I9065" s="22" t="n">
        <x:v>89.69600000000001</x:v>
      </x:c>
      <x:c r="J9065" s="24" t="n">
        <x:v>4</x:v>
      </x:c>
      <x:c r="K9065" s="26" t="n">
        <x:v>0.2</x:v>
      </x:c>
      <x:c r="L9065" s="22" t="n">
        <x:v>33.635999999999996</x:v>
      </x:c>
      <x:c r="M9065" t="n">
        <x:v>2015</x:v>
      </x:c>
      <x:c r="N9065" s="20" t="n">
        <x:v>42309</x:v>
      </x:c>
    </x:row>
    <x:row r="9066" ht="18" customHeight="1">
      <x:c r="A9066" t="str">
        <x:v>CA-2015-136420</x:v>
      </x:c>
      <x:c r="B9066" s="18" t="n">
        <x:v>42328</x:v>
      </x:c>
      <x:c r="C9066" t="str">
        <x:v>CS-12250</x:v>
      </x:c>
      <x:c r="D9066" t="str">
        <x:v>Chris Selesnick</x:v>
      </x:c>
      <x:c r="E9066" t="str">
        <x:v>Corporate</x:v>
      </x:c>
      <x:c r="F9066" t="str">
        <x:v>West</x:v>
      </x:c>
      <x:c r="G9066" t="str">
        <x:v>Office Supplies</x:v>
      </x:c>
      <x:c r="H9066" t="str">
        <x:v>Labels</x:v>
      </x:c>
      <x:c r="I9066" s="22" t="n">
        <x:v>50.12</x:v>
      </x:c>
      <x:c r="J9066" s="24" t="n">
        <x:v>4</x:v>
      </x:c>
      <x:c r="K9066" s="26" t="n">
        <x:v>0</x:v>
      </x:c>
      <x:c r="L9066" s="22" t="n">
        <x:v>23.556399999999996</x:v>
      </x:c>
      <x:c r="M9066" t="n">
        <x:v>2015</x:v>
      </x:c>
      <x:c r="N9066" s="20" t="n">
        <x:v>42309</x:v>
      </x:c>
    </x:row>
    <x:row r="9067" ht="18" customHeight="1">
      <x:c r="A9067" t="str">
        <x:v>CA-2016-101623</x:v>
      </x:c>
      <x:c r="B9067" s="18" t="n">
        <x:v>42428</x:v>
      </x:c>
      <x:c r="C9067" t="str">
        <x:v>RR-19525</x:v>
      </x:c>
      <x:c r="D9067" t="str">
        <x:v>Rick Reed</x:v>
      </x:c>
      <x:c r="E9067" t="str">
        <x:v>Corporate</x:v>
      </x:c>
      <x:c r="F9067" t="str">
        <x:v>East</x:v>
      </x:c>
      <x:c r="G9067" t="str">
        <x:v>Office Supplies</x:v>
      </x:c>
      <x:c r="H9067" t="str">
        <x:v>Fasteners</x:v>
      </x:c>
      <x:c r="I9067" s="22" t="n">
        <x:v>36.480000000000004</x:v>
      </x:c>
      <x:c r="J9067" s="24" t="n">
        <x:v>6</x:v>
      </x:c>
      <x:c r="K9067" s="26" t="n">
        <x:v>0</x:v>
      </x:c>
      <x:c r="L9067" s="22" t="n">
        <x:v>18.240000000000002</x:v>
      </x:c>
      <x:c r="M9067" t="n">
        <x:v>2016</x:v>
      </x:c>
      <x:c r="N9067" s="20" t="n">
        <x:v>42401</x:v>
      </x:c>
    </x:row>
    <x:row r="9068" ht="18" customHeight="1">
      <x:c r="A9068" t="str">
        <x:v>US-2014-151015</x:v>
      </x:c>
      <x:c r="B9068" s="18" t="n">
        <x:v>41926</x:v>
      </x:c>
      <x:c r="C9068" t="str">
        <x:v>BD-11500</x:v>
      </x:c>
      <x:c r="D9068" t="str">
        <x:v>Bradley Drucker</x:v>
      </x:c>
      <x:c r="E9068" t="str">
        <x:v>Consumer</x:v>
      </x:c>
      <x:c r="F9068" t="str">
        <x:v>Central</x:v>
      </x:c>
      <x:c r="G9068" t="str">
        <x:v>Office Supplies</x:v>
      </x:c>
      <x:c r="H9068" t="str">
        <x:v>Paper</x:v>
      </x:c>
      <x:c r="I9068" s="22" t="n">
        <x:v>322.192</x:v>
      </x:c>
      <x:c r="J9068" s="24" t="n">
        <x:v>13</x:v>
      </x:c>
      <x:c r="K9068" s="26" t="n">
        <x:v>0.2</x:v>
      </x:c>
      <x:c r="L9068" s="22" t="n">
        <x:v>100.68499999999997</x:v>
      </x:c>
      <x:c r="M9068" t="n">
        <x:v>2014</x:v>
      </x:c>
      <x:c r="N9068" s="20" t="n">
        <x:v>41913</x:v>
      </x:c>
    </x:row>
    <x:row r="9069" ht="18" customHeight="1">
      <x:c r="A9069" t="str">
        <x:v>US-2014-151015</x:v>
      </x:c>
      <x:c r="B9069" s="18" t="n">
        <x:v>41926</x:v>
      </x:c>
      <x:c r="C9069" t="str">
        <x:v>BD-11500</x:v>
      </x:c>
      <x:c r="D9069" t="str">
        <x:v>Bradley Drucker</x:v>
      </x:c>
      <x:c r="E9069" t="str">
        <x:v>Consumer</x:v>
      </x:c>
      <x:c r="F9069" t="str">
        <x:v>Central</x:v>
      </x:c>
      <x:c r="G9069" t="str">
        <x:v>Office Supplies</x:v>
      </x:c>
      <x:c r="H9069" t="str">
        <x:v>Binders</x:v>
      </x:c>
      <x:c r="I9069" s="22" t="n">
        <x:v>2.9459999999999993</x:v>
      </x:c>
      <x:c r="J9069" s="24" t="n">
        <x:v>3</x:v>
      </x:c>
      <x:c r="K9069" s="26" t="n">
        <x:v>0.8</x:v>
      </x:c>
      <x:c r="L9069" s="22" t="n">
        <x:v>-4.860900000000001</x:v>
      </x:c>
      <x:c r="M9069" t="n">
        <x:v>2014</x:v>
      </x:c>
      <x:c r="N9069" s="20" t="n">
        <x:v>41913</x:v>
      </x:c>
    </x:row>
    <x:row r="9070" ht="18" customHeight="1">
      <x:c r="A9070" t="str">
        <x:v>US-2014-151015</x:v>
      </x:c>
      <x:c r="B9070" s="18" t="n">
        <x:v>41926</x:v>
      </x:c>
      <x:c r="C9070" t="str">
        <x:v>BD-11500</x:v>
      </x:c>
      <x:c r="D9070" t="str">
        <x:v>Bradley Drucker</x:v>
      </x:c>
      <x:c r="E9070" t="str">
        <x:v>Consumer</x:v>
      </x:c>
      <x:c r="F9070" t="str">
        <x:v>Central</x:v>
      </x:c>
      <x:c r="G9070" t="str">
        <x:v>Office Supplies</x:v>
      </x:c>
      <x:c r="H9070" t="str">
        <x:v>Paper</x:v>
      </x:c>
      <x:c r="I9070" s="22" t="n">
        <x:v>19.136000000000003</x:v>
      </x:c>
      <x:c r="J9070" s="24" t="n">
        <x:v>4</x:v>
      </x:c>
      <x:c r="K9070" s="26" t="n">
        <x:v>0.2</x:v>
      </x:c>
      <x:c r="L9070" s="22" t="n">
        <x:v>6.9368</x:v>
      </x:c>
      <x:c r="M9070" t="n">
        <x:v>2014</x:v>
      </x:c>
      <x:c r="N9070" s="20" t="n">
        <x:v>41913</x:v>
      </x:c>
    </x:row>
    <x:row r="9071" ht="18" customHeight="1">
      <x:c r="A9071" t="str">
        <x:v>CA-2017-152968</x:v>
      </x:c>
      <x:c r="B9071" s="18" t="n">
        <x:v>42881</x:v>
      </x:c>
      <x:c r="C9071" t="str">
        <x:v>BM-11785</x:v>
      </x:c>
      <x:c r="D9071" t="str">
        <x:v>Bryan Mills</x:v>
      </x:c>
      <x:c r="E9071" t="str">
        <x:v>Consumer</x:v>
      </x:c>
      <x:c r="F9071" t="str">
        <x:v>South</x:v>
      </x:c>
      <x:c r="G9071" t="str">
        <x:v>Technology</x:v>
      </x:c>
      <x:c r="H9071" t="str">
        <x:v>Accessories</x:v>
      </x:c>
      <x:c r="I9071" s="22" t="n">
        <x:v>23.08</x:v>
      </x:c>
      <x:c r="J9071" s="24" t="n">
        <x:v>2</x:v>
      </x:c>
      <x:c r="K9071" s="26" t="n">
        <x:v>0</x:v>
      </x:c>
      <x:c r="L9071" s="22" t="n">
        <x:v>6.9239999999999995</x:v>
      </x:c>
      <x:c r="M9071" t="n">
        <x:v>2017</x:v>
      </x:c>
      <x:c r="N9071" s="20" t="n">
        <x:v>42856</x:v>
      </x:c>
    </x:row>
    <x:row r="9072" ht="18" customHeight="1">
      <x:c r="A9072" t="str">
        <x:v>CA-2016-150077</x:v>
      </x:c>
      <x:c r="B9072" s="18" t="n">
        <x:v>42404</x:v>
      </x:c>
      <x:c r="C9072" t="str">
        <x:v>MS-17365</x:v>
      </x:c>
      <x:c r="D9072" t="str">
        <x:v>Maribeth Schnelling</x:v>
      </x:c>
      <x:c r="E9072" t="str">
        <x:v>Consumer</x:v>
      </x:c>
      <x:c r="F9072" t="str">
        <x:v>East</x:v>
      </x:c>
      <x:c r="G9072" t="str">
        <x:v>Technology</x:v>
      </x:c>
      <x:c r="H9072" t="str">
        <x:v>Phones</x:v>
      </x:c>
      <x:c r="I9072" s="22" t="n">
        <x:v>90.48</x:v>
      </x:c>
      <x:c r="J9072" s="24" t="n">
        <x:v>2</x:v>
      </x:c>
      <x:c r="K9072" s="26" t="n">
        <x:v>0</x:v>
      </x:c>
      <x:c r="L9072" s="22" t="n">
        <x:v>23.5248</x:v>
      </x:c>
      <x:c r="M9072" t="n">
        <x:v>2016</x:v>
      </x:c>
      <x:c r="N9072" s="20" t="n">
        <x:v>42401</x:v>
      </x:c>
    </x:row>
    <x:row r="9073" ht="18" customHeight="1">
      <x:c r="A9073" t="str">
        <x:v>CA-2016-106278</x:v>
      </x:c>
      <x:c r="B9073" s="18" t="n">
        <x:v>42615</x:v>
      </x:c>
      <x:c r="C9073" t="str">
        <x:v>BM-11140</x:v>
      </x:c>
      <x:c r="D9073" t="str">
        <x:v>Becky Martin</x:v>
      </x:c>
      <x:c r="E9073" t="str">
        <x:v>Consumer</x:v>
      </x:c>
      <x:c r="F9073" t="str">
        <x:v>West</x:v>
      </x:c>
      <x:c r="G9073" t="str">
        <x:v>Furniture</x:v>
      </x:c>
      <x:c r="H9073" t="str">
        <x:v>Chairs</x:v>
      </x:c>
      <x:c r="I9073" s="22" t="n">
        <x:v>215.976</x:v>
      </x:c>
      <x:c r="J9073" s="24" t="n">
        <x:v>3</x:v>
      </x:c>
      <x:c r="K9073" s="26" t="n">
        <x:v>0.2</x:v>
      </x:c>
      <x:c r="L9073" s="22" t="n">
        <x:v>-2.6997000000000355</x:v>
      </x:c>
      <x:c r="M9073" t="n">
        <x:v>2016</x:v>
      </x:c>
      <x:c r="N9073" s="20" t="n">
        <x:v>42614</x:v>
      </x:c>
    </x:row>
    <x:row r="9074" ht="18" customHeight="1">
      <x:c r="A9074" t="str">
        <x:v>CA-2016-106278</x:v>
      </x:c>
      <x:c r="B9074" s="18" t="n">
        <x:v>42615</x:v>
      </x:c>
      <x:c r="C9074" t="str">
        <x:v>BM-11140</x:v>
      </x:c>
      <x:c r="D9074" t="str">
        <x:v>Becky Martin</x:v>
      </x:c>
      <x:c r="E9074" t="str">
        <x:v>Consumer</x:v>
      </x:c>
      <x:c r="F9074" t="str">
        <x:v>West</x:v>
      </x:c>
      <x:c r="G9074" t="str">
        <x:v>Office Supplies</x:v>
      </x:c>
      <x:c r="H9074" t="str">
        <x:v>Envelopes</x:v>
      </x:c>
      <x:c r="I9074" s="22" t="n">
        <x:v>65.94</x:v>
      </x:c>
      <x:c r="J9074" s="24" t="n">
        <x:v>3</x:v>
      </x:c>
      <x:c r="K9074" s="26" t="n">
        <x:v>0</x:v>
      </x:c>
      <x:c r="L9074" s="22" t="n">
        <x:v>30.9918</x:v>
      </x:c>
      <x:c r="M9074" t="n">
        <x:v>2016</x:v>
      </x:c>
      <x:c r="N9074" s="20" t="n">
        <x:v>42614</x:v>
      </x:c>
    </x:row>
    <x:row r="9075" ht="18" customHeight="1">
      <x:c r="A9075" t="str">
        <x:v>CA-2017-147550</x:v>
      </x:c>
      <x:c r="B9075" s="18" t="n">
        <x:v>43073</x:v>
      </x:c>
      <x:c r="C9075" t="str">
        <x:v>KE-16420</x:v>
      </x:c>
      <x:c r="D9075" t="str">
        <x:v>Katrina Edelman</x:v>
      </x:c>
      <x:c r="E9075" t="str">
        <x:v>Corporate</x:v>
      </x:c>
      <x:c r="F9075" t="str">
        <x:v>East</x:v>
      </x:c>
      <x:c r="G9075" t="str">
        <x:v>Furniture</x:v>
      </x:c>
      <x:c r="H9075" t="str">
        <x:v>Furnishings</x:v>
      </x:c>
      <x:c r="I9075" s="22" t="n">
        <x:v>11.352000000000002</x:v>
      </x:c>
      <x:c r="J9075" s="24" t="n">
        <x:v>3</x:v>
      </x:c>
      <x:c r="K9075" s="26" t="n">
        <x:v>0.2</x:v>
      </x:c>
      <x:c r="L9075" s="22" t="n">
        <x:v>2.696100000000001</x:v>
      </x:c>
      <x:c r="M9075" t="n">
        <x:v>2017</x:v>
      </x:c>
      <x:c r="N9075" s="20" t="n">
        <x:v>43070</x:v>
      </x:c>
    </x:row>
    <x:row r="9076" ht="18" customHeight="1">
      <x:c r="A9076" t="str">
        <x:v>CA-2015-136105</x:v>
      </x:c>
      <x:c r="B9076" s="18" t="n">
        <x:v>42167</x:v>
      </x:c>
      <x:c r="C9076" t="str">
        <x:v>SZ-20035</x:v>
      </x:c>
      <x:c r="D9076" t="str">
        <x:v>Sam Zeldin</x:v>
      </x:c>
      <x:c r="E9076" t="str">
        <x:v>Home Office</x:v>
      </x:c>
      <x:c r="F9076" t="str">
        <x:v>Central</x:v>
      </x:c>
      <x:c r="G9076" t="str">
        <x:v>Office Supplies</x:v>
      </x:c>
      <x:c r="H9076" t="str">
        <x:v>Storage</x:v>
      </x:c>
      <x:c r="I9076" s="22" t="n">
        <x:v>24.56</x:v>
      </x:c>
      <x:c r="J9076" s="24" t="n">
        <x:v>2</x:v>
      </x:c>
      <x:c r="K9076" s="26" t="n">
        <x:v>0</x:v>
      </x:c>
      <x:c r="L9076" s="22" t="n">
        <x:v>6.876799999999999</x:v>
      </x:c>
      <x:c r="M9076" t="n">
        <x:v>2015</x:v>
      </x:c>
      <x:c r="N9076" s="20" t="n">
        <x:v>42156</x:v>
      </x:c>
    </x:row>
    <x:row r="9077" ht="18" customHeight="1">
      <x:c r="A9077" t="str">
        <x:v>CA-2016-142524</x:v>
      </x:c>
      <x:c r="B9077" s="18" t="n">
        <x:v>42617</x:v>
      </x:c>
      <x:c r="C9077" t="str">
        <x:v>MB-18085</x:v>
      </x:c>
      <x:c r="D9077" t="str">
        <x:v>Mick Brown</x:v>
      </x:c>
      <x:c r="E9077" t="str">
        <x:v>Consumer</x:v>
      </x:c>
      <x:c r="F9077" t="str">
        <x:v>Central</x:v>
      </x:c>
      <x:c r="G9077" t="str">
        <x:v>Office Supplies</x:v>
      </x:c>
      <x:c r="H9077" t="str">
        <x:v>Envelopes</x:v>
      </x:c>
      <x:c r="I9077" s="22" t="n">
        <x:v>16.56</x:v>
      </x:c>
      <x:c r="J9077" s="24" t="n">
        <x:v>2</x:v>
      </x:c>
      <x:c r="K9077" s="26" t="n">
        <x:v>0</x:v>
      </x:c>
      <x:c r="L9077" s="22" t="n">
        <x:v>7.783199999999999</x:v>
      </x:c>
      <x:c r="M9077" t="n">
        <x:v>2016</x:v>
      </x:c>
      <x:c r="N9077" s="20" t="n">
        <x:v>42614</x:v>
      </x:c>
    </x:row>
    <x:row r="9078" ht="18" customHeight="1">
      <x:c r="A9078" t="str">
        <x:v>CA-2016-142524</x:v>
      </x:c>
      <x:c r="B9078" s="18" t="n">
        <x:v>42617</x:v>
      </x:c>
      <x:c r="C9078" t="str">
        <x:v>MB-18085</x:v>
      </x:c>
      <x:c r="D9078" t="str">
        <x:v>Mick Brown</x:v>
      </x:c>
      <x:c r="E9078" t="str">
        <x:v>Consumer</x:v>
      </x:c>
      <x:c r="F9078" t="str">
        <x:v>Central</x:v>
      </x:c>
      <x:c r="G9078" t="str">
        <x:v>Technology</x:v>
      </x:c>
      <x:c r="H9078" t="str">
        <x:v>Accessories</x:v>
      </x:c>
      <x:c r="I9078" s="22" t="n">
        <x:v>279.95</x:v>
      </x:c>
      <x:c r="J9078" s="24" t="n">
        <x:v>5</x:v>
      </x:c>
      <x:c r="K9078" s="26" t="n">
        <x:v>0</x:v>
      </x:c>
      <x:c r="L9078" s="22" t="n">
        <x:v>67.18800000000002</x:v>
      </x:c>
      <x:c r="M9078" t="n">
        <x:v>2016</x:v>
      </x:c>
      <x:c r="N9078" s="20" t="n">
        <x:v>42614</x:v>
      </x:c>
    </x:row>
    <x:row r="9079" ht="18" customHeight="1">
      <x:c r="A9079" t="str">
        <x:v>CA-2014-136336</x:v>
      </x:c>
      <x:c r="B9079" s="18" t="n">
        <x:v>41750</x:v>
      </x:c>
      <x:c r="C9079" t="str">
        <x:v>DB-13555</x:v>
      </x:c>
      <x:c r="D9079" t="str">
        <x:v>Dorothy Badders</x:v>
      </x:c>
      <x:c r="E9079" t="str">
        <x:v>Corporate</x:v>
      </x:c>
      <x:c r="F9079" t="str">
        <x:v>South</x:v>
      </x:c>
      <x:c r="G9079" t="str">
        <x:v>Office Supplies</x:v>
      </x:c>
      <x:c r="H9079" t="str">
        <x:v>Storage</x:v>
      </x:c>
      <x:c r="I9079" s="22" t="n">
        <x:v>828.8399999999999</x:v>
      </x:c>
      <x:c r="J9079" s="24" t="n">
        <x:v>6</x:v>
      </x:c>
      <x:c r="K9079" s="26" t="n">
        <x:v>0</x:v>
      </x:c>
      <x:c r="L9079" s="22" t="n">
        <x:v>0</x:v>
      </x:c>
      <x:c r="M9079" t="n">
        <x:v>2014</x:v>
      </x:c>
      <x:c r="N9079" s="20" t="n">
        <x:v>41730</x:v>
      </x:c>
    </x:row>
    <x:row r="9080" ht="18" customHeight="1">
      <x:c r="A9080" t="str">
        <x:v>US-2015-136259</x:v>
      </x:c>
      <x:c r="B9080" s="18" t="n">
        <x:v>42313</x:v>
      </x:c>
      <x:c r="C9080" t="str">
        <x:v>CB-12415</x:v>
      </x:c>
      <x:c r="D9080" t="str">
        <x:v>Christy Brittain</x:v>
      </x:c>
      <x:c r="E9080" t="str">
        <x:v>Consumer</x:v>
      </x:c>
      <x:c r="F9080" t="str">
        <x:v>East</x:v>
      </x:c>
      <x:c r="G9080" t="str">
        <x:v>Office Supplies</x:v>
      </x:c>
      <x:c r="H9080" t="str">
        <x:v>Binders</x:v>
      </x:c>
      <x:c r="I9080" s="22" t="n">
        <x:v>7.218</x:v>
      </x:c>
      <x:c r="J9080" s="24" t="n">
        <x:v>3</x:v>
      </x:c>
      <x:c r="K9080" s="26" t="n">
        <x:v>0.7</x:v>
      </x:c>
      <x:c r="L9080" s="22" t="n">
        <x:v>-5.533800000000001</x:v>
      </x:c>
      <x:c r="M9080" t="n">
        <x:v>2015</x:v>
      </x:c>
      <x:c r="N9080" s="20" t="n">
        <x:v>42309</x:v>
      </x:c>
    </x:row>
    <x:row r="9081" ht="18" customHeight="1">
      <x:c r="A9081" t="str">
        <x:v>US-2015-136259</x:v>
      </x:c>
      <x:c r="B9081" s="18" t="n">
        <x:v>42313</x:v>
      </x:c>
      <x:c r="C9081" t="str">
        <x:v>CB-12415</x:v>
      </x:c>
      <x:c r="D9081" t="str">
        <x:v>Christy Brittain</x:v>
      </x:c>
      <x:c r="E9081" t="str">
        <x:v>Consumer</x:v>
      </x:c>
      <x:c r="F9081" t="str">
        <x:v>East</x:v>
      </x:c>
      <x:c r="G9081" t="str">
        <x:v>Office Supplies</x:v>
      </x:c>
      <x:c r="H9081" t="str">
        <x:v>Supplies</x:v>
      </x:c>
      <x:c r="I9081" s="22" t="n">
        <x:v>27.200000000000003</x:v>
      </x:c>
      <x:c r="J9081" s="24" t="n">
        <x:v>4</x:v>
      </x:c>
      <x:c r="K9081" s="26" t="n">
        <x:v>0.2</x:v>
      </x:c>
      <x:c r="L9081" s="22" t="n">
        <x:v>2.039999999999999</x:v>
      </x:c>
      <x:c r="M9081" t="n">
        <x:v>2015</x:v>
      </x:c>
      <x:c r="N9081" s="20" t="n">
        <x:v>42309</x:v>
      </x:c>
    </x:row>
    <x:row r="9082" ht="18" customHeight="1">
      <x:c r="A9082" t="str">
        <x:v>US-2014-124625</x:v>
      </x:c>
      <x:c r="B9082" s="18" t="n">
        <x:v>41946</x:v>
      </x:c>
      <x:c r="C9082" t="str">
        <x:v>SP-20650</x:v>
      </x:c>
      <x:c r="D9082" t="str">
        <x:v>Stephanie Phelps</x:v>
      </x:c>
      <x:c r="E9082" t="str">
        <x:v>Corporate</x:v>
      </x:c>
      <x:c r="F9082" t="str">
        <x:v>Central</x:v>
      </x:c>
      <x:c r="G9082" t="str">
        <x:v>Technology</x:v>
      </x:c>
      <x:c r="H9082" t="str">
        <x:v>Accessories</x:v>
      </x:c>
      <x:c r="I9082" s="22" t="n">
        <x:v>89.97</x:v>
      </x:c>
      <x:c r="J9082" s="24" t="n">
        <x:v>3</x:v>
      </x:c>
      <x:c r="K9082" s="26" t="n">
        <x:v>0</x:v>
      </x:c>
      <x:c r="L9082" s="22" t="n">
        <x:v>18.893699999999995</x:v>
      </x:c>
      <x:c r="M9082" t="n">
        <x:v>2014</x:v>
      </x:c>
      <x:c r="N9082" s="20" t="n">
        <x:v>41944</x:v>
      </x:c>
    </x:row>
    <x:row r="9083" ht="18" customHeight="1">
      <x:c r="A9083" t="str">
        <x:v>CA-2016-108105</x:v>
      </x:c>
      <x:c r="B9083" s="18" t="n">
        <x:v>42416</x:v>
      </x:c>
      <x:c r="C9083" t="str">
        <x:v>GW-14605</x:v>
      </x:c>
      <x:c r="D9083" t="str">
        <x:v>Giulietta Weimer</x:v>
      </x:c>
      <x:c r="E9083" t="str">
        <x:v>Consumer</x:v>
      </x:c>
      <x:c r="F9083" t="str">
        <x:v>South</x:v>
      </x:c>
      <x:c r="G9083" t="str">
        <x:v>Furniture</x:v>
      </x:c>
      <x:c r="H9083" t="str">
        <x:v>Furnishings</x:v>
      </x:c>
      <x:c r="I9083" s="22" t="n">
        <x:v>318.08</x:v>
      </x:c>
      <x:c r="J9083" s="24" t="n">
        <x:v>4</x:v>
      </x:c>
      <x:c r="K9083" s="26" t="n">
        <x:v>0</x:v>
      </x:c>
      <x:c r="L9083" s="22" t="n">
        <x:v>34.98879999999997</x:v>
      </x:c>
      <x:c r="M9083" t="n">
        <x:v>2016</x:v>
      </x:c>
      <x:c r="N9083" s="20" t="n">
        <x:v>42401</x:v>
      </x:c>
    </x:row>
    <x:row r="9084" ht="18" customHeight="1">
      <x:c r="A9084" t="str">
        <x:v>CA-2016-108105</x:v>
      </x:c>
      <x:c r="B9084" s="18" t="n">
        <x:v>42416</x:v>
      </x:c>
      <x:c r="C9084" t="str">
        <x:v>GW-14605</x:v>
      </x:c>
      <x:c r="D9084" t="str">
        <x:v>Giulietta Weimer</x:v>
      </x:c>
      <x:c r="E9084" t="str">
        <x:v>Consumer</x:v>
      </x:c>
      <x:c r="F9084" t="str">
        <x:v>South</x:v>
      </x:c>
      <x:c r="G9084" t="str">
        <x:v>Office Supplies</x:v>
      </x:c>
      <x:c r="H9084" t="str">
        <x:v>Binders</x:v>
      </x:c>
      <x:c r="I9084" s="22" t="n">
        <x:v>5.8</x:v>
      </x:c>
      <x:c r="J9084" s="24" t="n">
        <x:v>1</x:v>
      </x:c>
      <x:c r="K9084" s="26" t="n">
        <x:v>0</x:v>
      </x:c>
      <x:c r="L9084" s="22" t="n">
        <x:v>2.61</x:v>
      </x:c>
      <x:c r="M9084" t="n">
        <x:v>2016</x:v>
      </x:c>
      <x:c r="N9084" s="20" t="n">
        <x:v>42401</x:v>
      </x:c>
    </x:row>
    <x:row r="9085" ht="18" customHeight="1">
      <x:c r="A9085" t="str">
        <x:v>CA-2017-166898</x:v>
      </x:c>
      <x:c r="B9085" s="18" t="n">
        <x:v>42989</x:v>
      </x:c>
      <x:c r="C9085" t="str">
        <x:v>KH-16630</x:v>
      </x:c>
      <x:c r="D9085" t="str">
        <x:v>Ken Heidel</x:v>
      </x:c>
      <x:c r="E9085" t="str">
        <x:v>Corporate</x:v>
      </x:c>
      <x:c r="F9085" t="str">
        <x:v>West</x:v>
      </x:c>
      <x:c r="G9085" t="str">
        <x:v>Technology</x:v>
      </x:c>
      <x:c r="H9085" t="str">
        <x:v>Phones</x:v>
      </x:c>
      <x:c r="I9085" s="22" t="n">
        <x:v>143.952</x:v>
      </x:c>
      <x:c r="J9085" s="24" t="n">
        <x:v>6</x:v>
      </x:c>
      <x:c r="K9085" s="26" t="n">
        <x:v>0.2</x:v>
      </x:c>
      <x:c r="L9085" s="22" t="n">
        <x:v>17.99399999999998</x:v>
      </x:c>
      <x:c r="M9085" t="n">
        <x:v>2017</x:v>
      </x:c>
      <x:c r="N9085" s="20" t="n">
        <x:v>42979</x:v>
      </x:c>
    </x:row>
    <x:row r="9086" ht="18" customHeight="1">
      <x:c r="A9086" t="str">
        <x:v>CA-2017-166898</x:v>
      </x:c>
      <x:c r="B9086" s="18" t="n">
        <x:v>42989</x:v>
      </x:c>
      <x:c r="C9086" t="str">
        <x:v>KH-16630</x:v>
      </x:c>
      <x:c r="D9086" t="str">
        <x:v>Ken Heidel</x:v>
      </x:c>
      <x:c r="E9086" t="str">
        <x:v>Corporate</x:v>
      </x:c>
      <x:c r="F9086" t="str">
        <x:v>West</x:v>
      </x:c>
      <x:c r="G9086" t="str">
        <x:v>Office Supplies</x:v>
      </x:c>
      <x:c r="H9086" t="str">
        <x:v>Paper</x:v>
      </x:c>
      <x:c r="I9086" s="22" t="n">
        <x:v>19.44</x:v>
      </x:c>
      <x:c r="J9086" s="24" t="n">
        <x:v>3</x:v>
      </x:c>
      <x:c r="K9086" s="26" t="n">
        <x:v>0</x:v>
      </x:c>
      <x:c r="L9086" s="22" t="n">
        <x:v>9.3312</x:v>
      </x:c>
      <x:c r="M9086" t="n">
        <x:v>2017</x:v>
      </x:c>
      <x:c r="N9086" s="20" t="n">
        <x:v>42979</x:v>
      </x:c>
    </x:row>
    <x:row r="9087" ht="18" customHeight="1">
      <x:c r="A9087" t="str">
        <x:v>CA-2017-169005</x:v>
      </x:c>
      <x:c r="B9087" s="18" t="n">
        <x:v>43041</x:v>
      </x:c>
      <x:c r="C9087" t="str">
        <x:v>BG-11035</x:v>
      </x:c>
      <x:c r="D9087" t="str">
        <x:v>Barry Gonzalez</x:v>
      </x:c>
      <x:c r="E9087" t="str">
        <x:v>Consumer</x:v>
      </x:c>
      <x:c r="F9087" t="str">
        <x:v>South</x:v>
      </x:c>
      <x:c r="G9087" t="str">
        <x:v>Office Supplies</x:v>
      </x:c>
      <x:c r="H9087" t="str">
        <x:v>Art</x:v>
      </x:c>
      <x:c r="I9087" s="22" t="n">
        <x:v>5.56</x:v>
      </x:c>
      <x:c r="J9087" s="24" t="n">
        <x:v>2</x:v>
      </x:c>
      <x:c r="K9087" s="26" t="n">
        <x:v>0</x:v>
      </x:c>
      <x:c r="L9087" s="22" t="n">
        <x:v>1.4455999999999998</x:v>
      </x:c>
      <x:c r="M9087" t="n">
        <x:v>2017</x:v>
      </x:c>
      <x:c r="N9087" s="20" t="n">
        <x:v>43040</x:v>
      </x:c>
    </x:row>
    <x:row r="9088" ht="18" customHeight="1">
      <x:c r="A9088" t="str">
        <x:v>CA-2015-104038</x:v>
      </x:c>
      <x:c r="B9088" s="18" t="n">
        <x:v>42041</x:v>
      </x:c>
      <x:c r="C9088" t="str">
        <x:v>LO-17170</x:v>
      </x:c>
      <x:c r="D9088" t="str">
        <x:v>Lori Olson</x:v>
      </x:c>
      <x:c r="E9088" t="str">
        <x:v>Corporate</x:v>
      </x:c>
      <x:c r="F9088" t="str">
        <x:v>South</x:v>
      </x:c>
      <x:c r="G9088" t="str">
        <x:v>Office Supplies</x:v>
      </x:c>
      <x:c r="H9088" t="str">
        <x:v>Storage</x:v>
      </x:c>
      <x:c r="I9088" s="22" t="n">
        <x:v>146.73</x:v>
      </x:c>
      <x:c r="J9088" s="24" t="n">
        <x:v>3</x:v>
      </x:c>
      <x:c r="K9088" s="26" t="n">
        <x:v>0</x:v>
      </x:c>
      <x:c r="L9088" s="22" t="n">
        <x:v>2.934600000000003</x:v>
      </x:c>
      <x:c r="M9088" t="n">
        <x:v>2015</x:v>
      </x:c>
      <x:c r="N9088" s="20" t="n">
        <x:v>42036</x:v>
      </x:c>
    </x:row>
    <x:row r="9089" ht="18" customHeight="1">
      <x:c r="A9089" t="str">
        <x:v>CA-2015-104038</x:v>
      </x:c>
      <x:c r="B9089" s="18" t="n">
        <x:v>42041</x:v>
      </x:c>
      <x:c r="C9089" t="str">
        <x:v>LO-17170</x:v>
      </x:c>
      <x:c r="D9089" t="str">
        <x:v>Lori Olson</x:v>
      </x:c>
      <x:c r="E9089" t="str">
        <x:v>Corporate</x:v>
      </x:c>
      <x:c r="F9089" t="str">
        <x:v>South</x:v>
      </x:c>
      <x:c r="G9089" t="str">
        <x:v>Office Supplies</x:v>
      </x:c>
      <x:c r="H9089" t="str">
        <x:v>Paper</x:v>
      </x:c>
      <x:c r="I9089" s="22" t="n">
        <x:v>29.900000000000002</x:v>
      </x:c>
      <x:c r="J9089" s="24" t="n">
        <x:v>5</x:v>
      </x:c>
      <x:c r="K9089" s="26" t="n">
        <x:v>0</x:v>
      </x:c>
      <x:c r="L9089" s="22" t="n">
        <x:v>13.454999999999998</x:v>
      </x:c>
      <x:c r="M9089" t="n">
        <x:v>2015</x:v>
      </x:c>
      <x:c r="N9089" s="20" t="n">
        <x:v>42036</x:v>
      </x:c>
    </x:row>
    <x:row r="9090" ht="18" customHeight="1">
      <x:c r="A9090" t="str">
        <x:v>CA-2016-126102</x:v>
      </x:c>
      <x:c r="B9090" s="18" t="n">
        <x:v>42623</x:v>
      </x:c>
      <x:c r="C9090" t="str">
        <x:v>DV-13465</x:v>
      </x:c>
      <x:c r="D9090" t="str">
        <x:v>Dianna Vittorini</x:v>
      </x:c>
      <x:c r="E9090" t="str">
        <x:v>Consumer</x:v>
      </x:c>
      <x:c r="F9090" t="str">
        <x:v>West</x:v>
      </x:c>
      <x:c r="G9090" t="str">
        <x:v>Office Supplies</x:v>
      </x:c>
      <x:c r="H9090" t="str">
        <x:v>Binders</x:v>
      </x:c>
      <x:c r="I9090" s="22" t="n">
        <x:v>276.78400000000005</x:v>
      </x:c>
      <x:c r="J9090" s="24" t="n">
        <x:v>2</x:v>
      </x:c>
      <x:c r="K9090" s="26" t="n">
        <x:v>0.2</x:v>
      </x:c>
      <x:c r="L9090" s="22" t="n">
        <x:v>89.95479999999999</x:v>
      </x:c>
      <x:c r="M9090" t="n">
        <x:v>2016</x:v>
      </x:c>
      <x:c r="N9090" s="20" t="n">
        <x:v>42614</x:v>
      </x:c>
    </x:row>
    <x:row r="9091" ht="18" customHeight="1">
      <x:c r="A9091" t="str">
        <x:v>CA-2016-143406</x:v>
      </x:c>
      <x:c r="B9091" s="18" t="n">
        <x:v>42639</x:v>
      </x:c>
      <x:c r="C9091" t="str">
        <x:v>LR-17035</x:v>
      </x:c>
      <x:c r="D9091" t="str">
        <x:v>Lisa Ryan</x:v>
      </x:c>
      <x:c r="E9091" t="str">
        <x:v>Corporate</x:v>
      </x:c>
      <x:c r="F9091" t="str">
        <x:v>Central</x:v>
      </x:c>
      <x:c r="G9091" t="str">
        <x:v>Office Supplies</x:v>
      </x:c>
      <x:c r="H9091" t="str">
        <x:v>Appliances</x:v>
      </x:c>
      <x:c r="I9091" s="22" t="n">
        <x:v>93.03199999999998</x:v>
      </x:c>
      <x:c r="J9091" s="24" t="n">
        <x:v>2</x:v>
      </x:c>
      <x:c r="K9091" s="26" t="n">
        <x:v>0.8</x:v>
      </x:c>
      <x:c r="L9091" s="22" t="n">
        <x:v>-251.18640000000005</x:v>
      </x:c>
      <x:c r="M9091" t="n">
        <x:v>2016</x:v>
      </x:c>
      <x:c r="N9091" s="20" t="n">
        <x:v>42614</x:v>
      </x:c>
    </x:row>
    <x:row r="9092" ht="18" customHeight="1">
      <x:c r="A9092" t="str">
        <x:v>CA-2016-143406</x:v>
      </x:c>
      <x:c r="B9092" s="18" t="n">
        <x:v>42639</x:v>
      </x:c>
      <x:c r="C9092" t="str">
        <x:v>LR-17035</x:v>
      </x:c>
      <x:c r="D9092" t="str">
        <x:v>Lisa Ryan</x:v>
      </x:c>
      <x:c r="E9092" t="str">
        <x:v>Corporate</x:v>
      </x:c>
      <x:c r="F9092" t="str">
        <x:v>Central</x:v>
      </x:c>
      <x:c r="G9092" t="str">
        <x:v>Furniture</x:v>
      </x:c>
      <x:c r="H9092" t="str">
        <x:v>Chairs</x:v>
      </x:c>
      <x:c r="I9092" s="22" t="n">
        <x:v>454.965</x:v>
      </x:c>
      <x:c r="J9092" s="24" t="n">
        <x:v>5</x:v>
      </x:c>
      <x:c r="K9092" s="26" t="n">
        <x:v>0.3</x:v>
      </x:c>
      <x:c r="L9092" s="22" t="n">
        <x:v>-136.48950000000002</x:v>
      </x:c>
      <x:c r="M9092" t="n">
        <x:v>2016</x:v>
      </x:c>
      <x:c r="N9092" s="20" t="n">
        <x:v>42614</x:v>
      </x:c>
    </x:row>
    <x:row r="9093" ht="18" customHeight="1">
      <x:c r="A9093" t="str">
        <x:v>CA-2015-150308</x:v>
      </x:c>
      <x:c r="B9093" s="18" t="n">
        <x:v>42353</x:v>
      </x:c>
      <x:c r="C9093" t="str">
        <x:v>RR-19525</x:v>
      </x:c>
      <x:c r="D9093" t="str">
        <x:v>Rick Reed</x:v>
      </x:c>
      <x:c r="E9093" t="str">
        <x:v>Corporate</x:v>
      </x:c>
      <x:c r="F9093" t="str">
        <x:v>South</x:v>
      </x:c>
      <x:c r="G9093" t="str">
        <x:v>Technology</x:v>
      </x:c>
      <x:c r="H9093" t="str">
        <x:v>Phones</x:v>
      </x:c>
      <x:c r="I9093" s="22" t="n">
        <x:v>246.168</x:v>
      </x:c>
      <x:c r="J9093" s="24" t="n">
        <x:v>3</x:v>
      </x:c>
      <x:c r="K9093" s="26" t="n">
        <x:v>0.2</x:v>
      </x:c>
      <x:c r="L9093" s="22" t="n">
        <x:v>21.539699999999996</x:v>
      </x:c>
      <x:c r="M9093" t="n">
        <x:v>2015</x:v>
      </x:c>
      <x:c r="N9093" s="20" t="n">
        <x:v>42339</x:v>
      </x:c>
    </x:row>
    <x:row r="9094" ht="18" customHeight="1">
      <x:c r="A9094" t="str">
        <x:v>CA-2016-131093</x:v>
      </x:c>
      <x:c r="B9094" s="18" t="n">
        <x:v>42630</x:v>
      </x:c>
      <x:c r="C9094" t="str">
        <x:v>TS-21610</x:v>
      </x:c>
      <x:c r="D9094" t="str">
        <x:v>Troy Staebel</x:v>
      </x:c>
      <x:c r="E9094" t="str">
        <x:v>Consumer</x:v>
      </x:c>
      <x:c r="F9094" t="str">
        <x:v>East</x:v>
      </x:c>
      <x:c r="G9094" t="str">
        <x:v>Office Supplies</x:v>
      </x:c>
      <x:c r="H9094" t="str">
        <x:v>Storage</x:v>
      </x:c>
      <x:c r="I9094" s="22" t="n">
        <x:v>295.4</x:v>
      </x:c>
      <x:c r="J9094" s="24" t="n">
        <x:v>5</x:v>
      </x:c>
      <x:c r="K9094" s="26" t="n">
        <x:v>0.2</x:v>
      </x:c>
      <x:c r="L9094" s="22" t="n">
        <x:v>-62.772499999999965</x:v>
      </x:c>
      <x:c r="M9094" t="n">
        <x:v>2016</x:v>
      </x:c>
      <x:c r="N9094" s="20" t="n">
        <x:v>42614</x:v>
      </x:c>
    </x:row>
    <x:row r="9095" ht="18" customHeight="1">
      <x:c r="A9095" t="str">
        <x:v>US-2017-148831</x:v>
      </x:c>
      <x:c r="B9095" s="18" t="n">
        <x:v>43021</x:v>
      </x:c>
      <x:c r="C9095" t="str">
        <x:v>AH-10210</x:v>
      </x:c>
      <x:c r="D9095" t="str">
        <x:v>Alan Hwang</x:v>
      </x:c>
      <x:c r="E9095" t="str">
        <x:v>Consumer</x:v>
      </x:c>
      <x:c r="F9095" t="str">
        <x:v>South</x:v>
      </x:c>
      <x:c r="G9095" t="str">
        <x:v>Office Supplies</x:v>
      </x:c>
      <x:c r="H9095" t="str">
        <x:v>Storage</x:v>
      </x:c>
      <x:c r="I9095" s="22" t="n">
        <x:v>348.56</x:v>
      </x:c>
      <x:c r="J9095" s="24" t="n">
        <x:v>8</x:v>
      </x:c>
      <x:c r="K9095" s="26" t="n">
        <x:v>0</x:v>
      </x:c>
      <x:c r="L9095" s="22" t="n">
        <x:v>104.56799999999998</x:v>
      </x:c>
      <x:c r="M9095" t="n">
        <x:v>2017</x:v>
      </x:c>
      <x:c r="N9095" s="20" t="n">
        <x:v>43009</x:v>
      </x:c>
    </x:row>
    <x:row r="9096" ht="18" customHeight="1">
      <x:c r="A9096" t="str">
        <x:v>CA-2015-162950</x:v>
      </x:c>
      <x:c r="B9096" s="18" t="n">
        <x:v>42183</x:v>
      </x:c>
      <x:c r="C9096" t="str">
        <x:v>DW-13585</x:v>
      </x:c>
      <x:c r="D9096" t="str">
        <x:v>Dorothy Wardle</x:v>
      </x:c>
      <x:c r="E9096" t="str">
        <x:v>Corporate</x:v>
      </x:c>
      <x:c r="F9096" t="str">
        <x:v>East</x:v>
      </x:c>
      <x:c r="G9096" t="str">
        <x:v>Office Supplies</x:v>
      </x:c>
      <x:c r="H9096" t="str">
        <x:v>Paper</x:v>
      </x:c>
      <x:c r="I9096" s="22" t="n">
        <x:v>15.552000000000003</x:v>
      </x:c>
      <x:c r="J9096" s="24" t="n">
        <x:v>3</x:v>
      </x:c>
      <x:c r="K9096" s="26" t="n">
        <x:v>0.2</x:v>
      </x:c>
      <x:c r="L9096" s="22" t="n">
        <x:v>5.4432</x:v>
      </x:c>
      <x:c r="M9096" t="n">
        <x:v>2015</x:v>
      </x:c>
      <x:c r="N9096" s="20" t="n">
        <x:v>42156</x:v>
      </x:c>
    </x:row>
    <x:row r="9097" ht="18" customHeight="1">
      <x:c r="A9097" t="str">
        <x:v>CA-2015-162950</x:v>
      </x:c>
      <x:c r="B9097" s="18" t="n">
        <x:v>42183</x:v>
      </x:c>
      <x:c r="C9097" t="str">
        <x:v>DW-13585</x:v>
      </x:c>
      <x:c r="D9097" t="str">
        <x:v>Dorothy Wardle</x:v>
      </x:c>
      <x:c r="E9097" t="str">
        <x:v>Corporate</x:v>
      </x:c>
      <x:c r="F9097" t="str">
        <x:v>East</x:v>
      </x:c>
      <x:c r="G9097" t="str">
        <x:v>Furniture</x:v>
      </x:c>
      <x:c r="H9097" t="str">
        <x:v>Bookcases</x:v>
      </x:c>
      <x:c r="I9097" s="22" t="n">
        <x:v>482.93999999999994</x:v>
      </x:c>
      <x:c r="J9097" s="24" t="n">
        <x:v>6</x:v>
      </x:c>
      <x:c r="K9097" s="26" t="n">
        <x:v>0.5</x:v>
      </x:c>
      <x:c r="L9097" s="22" t="n">
        <x:v>-376.6932</x:v>
      </x:c>
      <x:c r="M9097" t="n">
        <x:v>2015</x:v>
      </x:c>
      <x:c r="N9097" s="20" t="n">
        <x:v>42156</x:v>
      </x:c>
    </x:row>
    <x:row r="9098" ht="18" customHeight="1">
      <x:c r="A9098" t="str">
        <x:v>US-2015-132836</x:v>
      </x:c>
      <x:c r="B9098" s="18" t="n">
        <x:v>42156</x:v>
      </x:c>
      <x:c r="C9098" t="str">
        <x:v>AJ-10945</x:v>
      </x:c>
      <x:c r="D9098" t="str">
        <x:v>Ashley Jarboe</x:v>
      </x:c>
      <x:c r="E9098" t="str">
        <x:v>Consumer</x:v>
      </x:c>
      <x:c r="F9098" t="str">
        <x:v>Central</x:v>
      </x:c>
      <x:c r="G9098" t="str">
        <x:v>Technology</x:v>
      </x:c>
      <x:c r="H9098" t="str">
        <x:v>Phones</x:v>
      </x:c>
      <x:c r="I9098" s="22" t="n">
        <x:v>299.98</x:v>
      </x:c>
      <x:c r="J9098" s="24" t="n">
        <x:v>2</x:v>
      </x:c>
      <x:c r="K9098" s="26" t="n">
        <x:v>0</x:v>
      </x:c>
      <x:c r="L9098" s="22" t="n">
        <x:v>83.99440000000001</x:v>
      </x:c>
      <x:c r="M9098" t="n">
        <x:v>2015</x:v>
      </x:c>
      <x:c r="N9098" s="20" t="n">
        <x:v>42156</x:v>
      </x:c>
    </x:row>
    <x:row r="9099" ht="18" customHeight="1">
      <x:c r="A9099" t="str">
        <x:v>US-2015-132836</x:v>
      </x:c>
      <x:c r="B9099" s="18" t="n">
        <x:v>42156</x:v>
      </x:c>
      <x:c r="C9099" t="str">
        <x:v>AJ-10945</x:v>
      </x:c>
      <x:c r="D9099" t="str">
        <x:v>Ashley Jarboe</x:v>
      </x:c>
      <x:c r="E9099" t="str">
        <x:v>Consumer</x:v>
      </x:c>
      <x:c r="F9099" t="str">
        <x:v>Central</x:v>
      </x:c>
      <x:c r="G9099" t="str">
        <x:v>Office Supplies</x:v>
      </x:c>
      <x:c r="H9099" t="str">
        <x:v>Binders</x:v>
      </x:c>
      <x:c r="I9099" s="22" t="n">
        <x:v>403.68</x:v>
      </x:c>
      <x:c r="J9099" s="24" t="n">
        <x:v>6</x:v>
      </x:c>
      <x:c r="K9099" s="26" t="n">
        <x:v>0</x:v>
      </x:c>
      <x:c r="L9099" s="22" t="n">
        <x:v>181.65599999999998</x:v>
      </x:c>
      <x:c r="M9099" t="n">
        <x:v>2015</x:v>
      </x:c>
      <x:c r="N9099" s="20" t="n">
        <x:v>42156</x:v>
      </x:c>
    </x:row>
    <x:row r="9100" ht="18" customHeight="1">
      <x:c r="A9100" t="str">
        <x:v>US-2015-132836</x:v>
      </x:c>
      <x:c r="B9100" s="18" t="n">
        <x:v>42156</x:v>
      </x:c>
      <x:c r="C9100" t="str">
        <x:v>AJ-10945</x:v>
      </x:c>
      <x:c r="D9100" t="str">
        <x:v>Ashley Jarboe</x:v>
      </x:c>
      <x:c r="E9100" t="str">
        <x:v>Consumer</x:v>
      </x:c>
      <x:c r="F9100" t="str">
        <x:v>Central</x:v>
      </x:c>
      <x:c r="G9100" t="str">
        <x:v>Technology</x:v>
      </x:c>
      <x:c r="H9100" t="str">
        <x:v>Phones</x:v>
      </x:c>
      <x:c r="I9100" s="22" t="n">
        <x:v>41.9</x:v>
      </x:c>
      <x:c r="J9100" s="24" t="n">
        <x:v>2</x:v>
      </x:c>
      <x:c r="K9100" s="26" t="n">
        <x:v>0</x:v>
      </x:c>
      <x:c r="L9100" s="22" t="n">
        <x:v>11.732</x:v>
      </x:c>
      <x:c r="M9100" t="n">
        <x:v>2015</x:v>
      </x:c>
      <x:c r="N9100" s="20" t="n">
        <x:v>42156</x:v>
      </x:c>
    </x:row>
    <x:row r="9101" ht="18" customHeight="1">
      <x:c r="A9101" t="str">
        <x:v>US-2015-132836</x:v>
      </x:c>
      <x:c r="B9101" s="18" t="n">
        <x:v>42156</x:v>
      </x:c>
      <x:c r="C9101" t="str">
        <x:v>AJ-10945</x:v>
      </x:c>
      <x:c r="D9101" t="str">
        <x:v>Ashley Jarboe</x:v>
      </x:c>
      <x:c r="E9101" t="str">
        <x:v>Consumer</x:v>
      </x:c>
      <x:c r="F9101" t="str">
        <x:v>Central</x:v>
      </x:c>
      <x:c r="G9101" t="str">
        <x:v>Office Supplies</x:v>
      </x:c>
      <x:c r="H9101" t="str">
        <x:v>Labels</x:v>
      </x:c>
      <x:c r="I9101" s="22" t="n">
        <x:v>28.91</x:v>
      </x:c>
      <x:c r="J9101" s="24" t="n">
        <x:v>7</x:v>
      </x:c>
      <x:c r="K9101" s="26" t="n">
        <x:v>0</x:v>
      </x:c>
      <x:c r="L9101" s="22" t="n">
        <x:v>13.2986</x:v>
      </x:c>
      <x:c r="M9101" t="n">
        <x:v>2015</x:v>
      </x:c>
      <x:c r="N9101" s="20" t="n">
        <x:v>42156</x:v>
      </x:c>
    </x:row>
    <x:row r="9102" ht="18" customHeight="1">
      <x:c r="A9102" t="str">
        <x:v>US-2014-158365</x:v>
      </x:c>
      <x:c r="B9102" s="18" t="n">
        <x:v>41741</x:v>
      </x:c>
      <x:c r="C9102" t="str">
        <x:v>SV-20785</x:v>
      </x:c>
      <x:c r="D9102" t="str">
        <x:v>Stewart Visinsky</x:v>
      </x:c>
      <x:c r="E9102" t="str">
        <x:v>Consumer</x:v>
      </x:c>
      <x:c r="F9102" t="str">
        <x:v>Central</x:v>
      </x:c>
      <x:c r="G9102" t="str">
        <x:v>Office Supplies</x:v>
      </x:c>
      <x:c r="H9102" t="str">
        <x:v>Paper</x:v>
      </x:c>
      <x:c r="I9102" s="22" t="n">
        <x:v>32.400000000000006</x:v>
      </x:c>
      <x:c r="J9102" s="24" t="n">
        <x:v>5</x:v>
      </x:c>
      <x:c r="K9102" s="26" t="n">
        <x:v>0</x:v>
      </x:c>
      <x:c r="L9102" s="22" t="n">
        <x:v>15.552000000000001</x:v>
      </x:c>
      <x:c r="M9102" t="n">
        <x:v>2014</x:v>
      </x:c>
      <x:c r="N9102" s="20" t="n">
        <x:v>41730</x:v>
      </x:c>
    </x:row>
    <x:row r="9103" ht="18" customHeight="1">
      <x:c r="A9103" t="str">
        <x:v>CA-2017-152933</x:v>
      </x:c>
      <x:c r="B9103" s="18" t="n">
        <x:v>43020</x:v>
      </x:c>
      <x:c r="C9103" t="str">
        <x:v>MG-17650</x:v>
      </x:c>
      <x:c r="D9103" t="str">
        <x:v>Matthew Grinstein</x:v>
      </x:c>
      <x:c r="E9103" t="str">
        <x:v>Home Office</x:v>
      </x:c>
      <x:c r="F9103" t="str">
        <x:v>Central</x:v>
      </x:c>
      <x:c r="G9103" t="str">
        <x:v>Technology</x:v>
      </x:c>
      <x:c r="H9103" t="str">
        <x:v>Phones</x:v>
      </x:c>
      <x:c r="I9103" s="22" t="n">
        <x:v>369.544</x:v>
      </x:c>
      <x:c r="J9103" s="24" t="n">
        <x:v>7</x:v>
      </x:c>
      <x:c r="K9103" s="26" t="n">
        <x:v>0.2</x:v>
      </x:c>
      <x:c r="L9103" s="22" t="n">
        <x:v>27.71580000000003</x:v>
      </x:c>
      <x:c r="M9103" t="n">
        <x:v>2017</x:v>
      </x:c>
      <x:c r="N9103" s="20" t="n">
        <x:v>43009</x:v>
      </x:c>
    </x:row>
    <x:row r="9104" ht="18" customHeight="1">
      <x:c r="A9104" t="str">
        <x:v>CA-2017-152933</x:v>
      </x:c>
      <x:c r="B9104" s="18" t="n">
        <x:v>43020</x:v>
      </x:c>
      <x:c r="C9104" t="str">
        <x:v>MG-17650</x:v>
      </x:c>
      <x:c r="D9104" t="str">
        <x:v>Matthew Grinstein</x:v>
      </x:c>
      <x:c r="E9104" t="str">
        <x:v>Home Office</x:v>
      </x:c>
      <x:c r="F9104" t="str">
        <x:v>Central</x:v>
      </x:c>
      <x:c r="G9104" t="str">
        <x:v>Office Supplies</x:v>
      </x:c>
      <x:c r="H9104" t="str">
        <x:v>Paper</x:v>
      </x:c>
      <x:c r="I9104" s="22" t="n">
        <x:v>10.368000000000002</x:v>
      </x:c>
      <x:c r="J9104" s="24" t="n">
        <x:v>2</x:v>
      </x:c>
      <x:c r="K9104" s="26" t="n">
        <x:v>0.2</x:v>
      </x:c>
      <x:c r="L9104" s="22" t="n">
        <x:v>3.7584</x:v>
      </x:c>
      <x:c r="M9104" t="n">
        <x:v>2017</x:v>
      </x:c>
      <x:c r="N9104" s="20" t="n">
        <x:v>43009</x:v>
      </x:c>
    </x:row>
    <x:row r="9105" ht="18" customHeight="1">
      <x:c r="A9105" t="str">
        <x:v>CA-2017-152933</x:v>
      </x:c>
      <x:c r="B9105" s="18" t="n">
        <x:v>43020</x:v>
      </x:c>
      <x:c r="C9105" t="str">
        <x:v>MG-17650</x:v>
      </x:c>
      <x:c r="D9105" t="str">
        <x:v>Matthew Grinstein</x:v>
      </x:c>
      <x:c r="E9105" t="str">
        <x:v>Home Office</x:v>
      </x:c>
      <x:c r="F9105" t="str">
        <x:v>Central</x:v>
      </x:c>
      <x:c r="G9105" t="str">
        <x:v>Technology</x:v>
      </x:c>
      <x:c r="H9105" t="str">
        <x:v>Accessories</x:v>
      </x:c>
      <x:c r="I9105" s="22" t="n">
        <x:v>791.8799999999999</x:v>
      </x:c>
      <x:c r="J9105" s="24" t="n">
        <x:v>3</x:v>
      </x:c>
      <x:c r="K9105" s="26" t="n">
        <x:v>0.2</x:v>
      </x:c>
      <x:c r="L9105" s="22" t="n">
        <x:v>128.68049999999994</x:v>
      </x:c>
      <x:c r="M9105" t="n">
        <x:v>2017</x:v>
      </x:c>
      <x:c r="N9105" s="20" t="n">
        <x:v>43009</x:v>
      </x:c>
    </x:row>
    <x:row r="9106" ht="18" customHeight="1">
      <x:c r="A9106" t="str">
        <x:v>CA-2015-163181</x:v>
      </x:c>
      <x:c r="B9106" s="18" t="n">
        <x:v>42315</x:v>
      </x:c>
      <x:c r="C9106" t="str">
        <x:v>AB-10105</x:v>
      </x:c>
      <x:c r="D9106" t="str">
        <x:v>Adrian Barton</x:v>
      </x:c>
      <x:c r="E9106" t="str">
        <x:v>Consumer</x:v>
      </x:c>
      <x:c r="F9106" t="str">
        <x:v>Central</x:v>
      </x:c>
      <x:c r="G9106" t="str">
        <x:v>Office Supplies</x:v>
      </x:c>
      <x:c r="H9106" t="str">
        <x:v>Art</x:v>
      </x:c>
      <x:c r="I9106" s="22" t="n">
        <x:v>23.64</x:v>
      </x:c>
      <x:c r="J9106" s="24" t="n">
        <x:v>3</x:v>
      </x:c>
      <x:c r="K9106" s="26" t="n">
        <x:v>0.2</x:v>
      </x:c>
      <x:c r="L9106" s="22" t="n">
        <x:v>5.319000000000001</x:v>
      </x:c>
      <x:c r="M9106" t="n">
        <x:v>2015</x:v>
      </x:c>
      <x:c r="N9106" s="20" t="n">
        <x:v>42309</x:v>
      </x:c>
    </x:row>
    <x:row r="9107" ht="18" customHeight="1">
      <x:c r="A9107" t="str">
        <x:v>CA-2015-163181</x:v>
      </x:c>
      <x:c r="B9107" s="18" t="n">
        <x:v>42315</x:v>
      </x:c>
      <x:c r="C9107" t="str">
        <x:v>AB-10105</x:v>
      </x:c>
      <x:c r="D9107" t="str">
        <x:v>Adrian Barton</x:v>
      </x:c>
      <x:c r="E9107" t="str">
        <x:v>Consumer</x:v>
      </x:c>
      <x:c r="F9107" t="str">
        <x:v>Central</x:v>
      </x:c>
      <x:c r="G9107" t="str">
        <x:v>Office Supplies</x:v>
      </x:c>
      <x:c r="H9107" t="str">
        <x:v>Storage</x:v>
      </x:c>
      <x:c r="I9107" s="22" t="n">
        <x:v>84.784</x:v>
      </x:c>
      <x:c r="J9107" s="24" t="n">
        <x:v>2</x:v>
      </x:c>
      <x:c r="K9107" s="26" t="n">
        <x:v>0.2</x:v>
      </x:c>
      <x:c r="L9107" s="22" t="n">
        <x:v>-16.956800000000005</x:v>
      </x:c>
      <x:c r="M9107" t="n">
        <x:v>2015</x:v>
      </x:c>
      <x:c r="N9107" s="20" t="n">
        <x:v>42309</x:v>
      </x:c>
    </x:row>
    <x:row r="9108" ht="18" customHeight="1">
      <x:c r="A9108" t="str">
        <x:v>CA-2015-163181</x:v>
      </x:c>
      <x:c r="B9108" s="18" t="n">
        <x:v>42315</x:v>
      </x:c>
      <x:c r="C9108" t="str">
        <x:v>AB-10105</x:v>
      </x:c>
      <x:c r="D9108" t="str">
        <x:v>Adrian Barton</x:v>
      </x:c>
      <x:c r="E9108" t="str">
        <x:v>Consumer</x:v>
      </x:c>
      <x:c r="F9108" t="str">
        <x:v>Central</x:v>
      </x:c>
      <x:c r="G9108" t="str">
        <x:v>Furniture</x:v>
      </x:c>
      <x:c r="H9108" t="str">
        <x:v>Furnishings</x:v>
      </x:c>
      <x:c r="I9108" s="22" t="n">
        <x:v>64.96</x:v>
      </x:c>
      <x:c r="J9108" s="24" t="n">
        <x:v>5</x:v>
      </x:c>
      <x:c r="K9108" s="26" t="n">
        <x:v>0.6</x:v>
      </x:c>
      <x:c r="L9108" s="22" t="n">
        <x:v>-84.448</x:v>
      </x:c>
      <x:c r="M9108" t="n">
        <x:v>2015</x:v>
      </x:c>
      <x:c r="N9108" s="20" t="n">
        <x:v>42309</x:v>
      </x:c>
    </x:row>
    <x:row r="9109" ht="18" customHeight="1">
      <x:c r="A9109" t="str">
        <x:v>CA-2015-163181</x:v>
      </x:c>
      <x:c r="B9109" s="18" t="n">
        <x:v>42315</x:v>
      </x:c>
      <x:c r="C9109" t="str">
        <x:v>AB-10105</x:v>
      </x:c>
      <x:c r="D9109" t="str">
        <x:v>Adrian Barton</x:v>
      </x:c>
      <x:c r="E9109" t="str">
        <x:v>Consumer</x:v>
      </x:c>
      <x:c r="F9109" t="str">
        <x:v>Central</x:v>
      </x:c>
      <x:c r="G9109" t="str">
        <x:v>Office Supplies</x:v>
      </x:c>
      <x:c r="H9109" t="str">
        <x:v>Binders</x:v>
      </x:c>
      <x:c r="I9109" s="22" t="n">
        <x:v>32.059999999999995</x:v>
      </x:c>
      <x:c r="J9109" s="24" t="n">
        <x:v>10</x:v>
      </x:c>
      <x:c r="K9109" s="26" t="n">
        <x:v>0.8</x:v>
      </x:c>
      <x:c r="L9109" s="22" t="n">
        <x:v>-51.29600000000001</x:v>
      </x:c>
      <x:c r="M9109" t="n">
        <x:v>2015</x:v>
      </x:c>
      <x:c r="N9109" s="20" t="n">
        <x:v>42309</x:v>
      </x:c>
    </x:row>
    <x:row r="9110" ht="18" customHeight="1">
      <x:c r="A9110" t="str">
        <x:v>CA-2015-163181</x:v>
      </x:c>
      <x:c r="B9110" s="18" t="n">
        <x:v>42315</x:v>
      </x:c>
      <x:c r="C9110" t="str">
        <x:v>AB-10105</x:v>
      </x:c>
      <x:c r="D9110" t="str">
        <x:v>Adrian Barton</x:v>
      </x:c>
      <x:c r="E9110" t="str">
        <x:v>Consumer</x:v>
      </x:c>
      <x:c r="F9110" t="str">
        <x:v>Central</x:v>
      </x:c>
      <x:c r="G9110" t="str">
        <x:v>Office Supplies</x:v>
      </x:c>
      <x:c r="H9110" t="str">
        <x:v>Storage</x:v>
      </x:c>
      <x:c r="I9110" s="22" t="n">
        <x:v>177.64800000000002</x:v>
      </x:c>
      <x:c r="J9110" s="24" t="n">
        <x:v>2</x:v>
      </x:c>
      <x:c r="K9110" s="26" t="n">
        <x:v>0.2</x:v>
      </x:c>
      <x:c r="L9110" s="22" t="n">
        <x:v>-28.867800000000017</x:v>
      </x:c>
      <x:c r="M9110" t="n">
        <x:v>2015</x:v>
      </x:c>
      <x:c r="N9110" s="20" t="n">
        <x:v>42309</x:v>
      </x:c>
    </x:row>
    <x:row r="9111" ht="18" customHeight="1">
      <x:c r="A9111" t="str">
        <x:v>CA-2015-163181</x:v>
      </x:c>
      <x:c r="B9111" s="18" t="n">
        <x:v>42315</x:v>
      </x:c>
      <x:c r="C9111" t="str">
        <x:v>AB-10105</x:v>
      </x:c>
      <x:c r="D9111" t="str">
        <x:v>Adrian Barton</x:v>
      </x:c>
      <x:c r="E9111" t="str">
        <x:v>Consumer</x:v>
      </x:c>
      <x:c r="F9111" t="str">
        <x:v>Central</x:v>
      </x:c>
      <x:c r="G9111" t="str">
        <x:v>Technology</x:v>
      </x:c>
      <x:c r="H9111" t="str">
        <x:v>Machines</x:v>
      </x:c>
      <x:c r="I9111" s="22" t="n">
        <x:v>287.90999999999997</x:v>
      </x:c>
      <x:c r="J9111" s="24" t="n">
        <x:v>3</x:v>
      </x:c>
      <x:c r="K9111" s="26" t="n">
        <x:v>0.4</x:v>
      </x:c>
      <x:c r="L9111" s="22" t="n">
        <x:v>33.58949999999999</x:v>
      </x:c>
      <x:c r="M9111" t="n">
        <x:v>2015</x:v>
      </x:c>
      <x:c r="N9111" s="20" t="n">
        <x:v>42309</x:v>
      </x:c>
    </x:row>
    <x:row r="9112" ht="18" customHeight="1">
      <x:c r="A9112" t="str">
        <x:v>CA-2015-132941</x:v>
      </x:c>
      <x:c r="B9112" s="18" t="n">
        <x:v>42149</x:v>
      </x:c>
      <x:c r="C9112" t="str">
        <x:v>MM-18280</x:v>
      </x:c>
      <x:c r="D9112" t="str">
        <x:v>Muhammed MacIntyre</x:v>
      </x:c>
      <x:c r="E9112" t="str">
        <x:v>Corporate</x:v>
      </x:c>
      <x:c r="F9112" t="str">
        <x:v>Central</x:v>
      </x:c>
      <x:c r="G9112" t="str">
        <x:v>Office Supplies</x:v>
      </x:c>
      <x:c r="H9112" t="str">
        <x:v>Supplies</x:v>
      </x:c>
      <x:c r="I9112" s="22" t="n">
        <x:v>22.368000000000002</x:v>
      </x:c>
      <x:c r="J9112" s="24" t="n">
        <x:v>2</x:v>
      </x:c>
      <x:c r="K9112" s="26" t="n">
        <x:v>0.2</x:v>
      </x:c>
      <x:c r="L9112" s="22" t="n">
        <x:v>1.6776</x:v>
      </x:c>
      <x:c r="M9112" t="n">
        <x:v>2015</x:v>
      </x:c>
      <x:c r="N9112" s="20" t="n">
        <x:v>42125</x:v>
      </x:c>
    </x:row>
    <x:row r="9113" ht="18" customHeight="1">
      <x:c r="A9113" t="str">
        <x:v>CA-2015-132941</x:v>
      </x:c>
      <x:c r="B9113" s="18" t="n">
        <x:v>42149</x:v>
      </x:c>
      <x:c r="C9113" t="str">
        <x:v>MM-18280</x:v>
      </x:c>
      <x:c r="D9113" t="str">
        <x:v>Muhammed MacIntyre</x:v>
      </x:c>
      <x:c r="E9113" t="str">
        <x:v>Corporate</x:v>
      </x:c>
      <x:c r="F9113" t="str">
        <x:v>Central</x:v>
      </x:c>
      <x:c r="G9113" t="str">
        <x:v>Office Supplies</x:v>
      </x:c>
      <x:c r="H9113" t="str">
        <x:v>Paper</x:v>
      </x:c>
      <x:c r="I9113" s="22" t="n">
        <x:v>32.368</x:v>
      </x:c>
      <x:c r="J9113" s="24" t="n">
        <x:v>7</x:v>
      </x:c>
      <x:c r="K9113" s="26" t="n">
        <x:v>0.2</x:v>
      </x:c>
      <x:c r="L9113" s="22" t="n">
        <x:v>11.733400000000001</x:v>
      </x:c>
      <x:c r="M9113" t="n">
        <x:v>2015</x:v>
      </x:c>
      <x:c r="N9113" s="20" t="n">
        <x:v>42125</x:v>
      </x:c>
    </x:row>
    <x:row r="9114" ht="18" customHeight="1">
      <x:c r="A9114" t="str">
        <x:v>CA-2015-132941</x:v>
      </x:c>
      <x:c r="B9114" s="18" t="n">
        <x:v>42149</x:v>
      </x:c>
      <x:c r="C9114" t="str">
        <x:v>MM-18280</x:v>
      </x:c>
      <x:c r="D9114" t="str">
        <x:v>Muhammed MacIntyre</x:v>
      </x:c>
      <x:c r="E9114" t="str">
        <x:v>Corporate</x:v>
      </x:c>
      <x:c r="F9114" t="str">
        <x:v>Central</x:v>
      </x:c>
      <x:c r="G9114" t="str">
        <x:v>Technology</x:v>
      </x:c>
      <x:c r="H9114" t="str">
        <x:v>Accessories</x:v>
      </x:c>
      <x:c r="I9114" s="22" t="n">
        <x:v>207.98400000000004</x:v>
      </x:c>
      <x:c r="J9114" s="24" t="n">
        <x:v>2</x:v>
      </x:c>
      <x:c r="K9114" s="26" t="n">
        <x:v>0.2</x:v>
      </x:c>
      <x:c r="L9114" s="22" t="n">
        <x:v>36.3972</x:v>
      </x:c>
      <x:c r="M9114" t="n">
        <x:v>2015</x:v>
      </x:c>
      <x:c r="N9114" s="20" t="n">
        <x:v>42125</x:v>
      </x:c>
    </x:row>
    <x:row r="9115" ht="18" customHeight="1">
      <x:c r="A9115" t="str">
        <x:v>CA-2014-132010</x:v>
      </x:c>
      <x:c r="B9115" s="18" t="n">
        <x:v>41925</x:v>
      </x:c>
      <x:c r="C9115" t="str">
        <x:v>MA-17995</x:v>
      </x:c>
      <x:c r="D9115" t="str">
        <x:v>Michelle Arnett</x:v>
      </x:c>
      <x:c r="E9115" t="str">
        <x:v>Home Office</x:v>
      </x:c>
      <x:c r="F9115" t="str">
        <x:v>South</x:v>
      </x:c>
      <x:c r="G9115" t="str">
        <x:v>Office Supplies</x:v>
      </x:c>
      <x:c r="H9115" t="str">
        <x:v>Envelopes</x:v>
      </x:c>
      <x:c r="I9115" s="22" t="n">
        <x:v>36.4</x:v>
      </x:c>
      <x:c r="J9115" s="24" t="n">
        <x:v>5</x:v>
      </x:c>
      <x:c r="K9115" s="26" t="n">
        <x:v>0</x:v>
      </x:c>
      <x:c r="L9115" s="22" t="n">
        <x:v>17.472</x:v>
      </x:c>
      <x:c r="M9115" t="n">
        <x:v>2014</x:v>
      </x:c>
      <x:c r="N9115" s="20" t="n">
        <x:v>41913</x:v>
      </x:c>
    </x:row>
    <x:row r="9116" ht="18" customHeight="1">
      <x:c r="A9116" t="str">
        <x:v>CA-2014-132010</x:v>
      </x:c>
      <x:c r="B9116" s="18" t="n">
        <x:v>41925</x:v>
      </x:c>
      <x:c r="C9116" t="str">
        <x:v>MA-17995</x:v>
      </x:c>
      <x:c r="D9116" t="str">
        <x:v>Michelle Arnett</x:v>
      </x:c>
      <x:c r="E9116" t="str">
        <x:v>Home Office</x:v>
      </x:c>
      <x:c r="F9116" t="str">
        <x:v>South</x:v>
      </x:c>
      <x:c r="G9116" t="str">
        <x:v>Technology</x:v>
      </x:c>
      <x:c r="H9116" t="str">
        <x:v>Accessories</x:v>
      </x:c>
      <x:c r="I9116" s="22" t="n">
        <x:v>22.96</x:v>
      </x:c>
      <x:c r="J9116" s="24" t="n">
        <x:v>2</x:v>
      </x:c>
      <x:c r="K9116" s="26" t="n">
        <x:v>0</x:v>
      </x:c>
      <x:c r="L9116" s="22" t="n">
        <x:v>4.362399999999997</x:v>
      </x:c>
      <x:c r="M9116" t="n">
        <x:v>2014</x:v>
      </x:c>
      <x:c r="N9116" s="20" t="n">
        <x:v>41913</x:v>
      </x:c>
    </x:row>
    <x:row r="9117" ht="18" customHeight="1">
      <x:c r="A9117" t="str">
        <x:v>CA-2014-132010</x:v>
      </x:c>
      <x:c r="B9117" s="18" t="n">
        <x:v>41925</x:v>
      </x:c>
      <x:c r="C9117" t="str">
        <x:v>MA-17995</x:v>
      </x:c>
      <x:c r="D9117" t="str">
        <x:v>Michelle Arnett</x:v>
      </x:c>
      <x:c r="E9117" t="str">
        <x:v>Home Office</x:v>
      </x:c>
      <x:c r="F9117" t="str">
        <x:v>South</x:v>
      </x:c>
      <x:c r="G9117" t="str">
        <x:v>Office Supplies</x:v>
      </x:c>
      <x:c r="H9117" t="str">
        <x:v>Storage</x:v>
      </x:c>
      <x:c r="I9117" s="22" t="n">
        <x:v>315.2</x:v>
      </x:c>
      <x:c r="J9117" s="24" t="n">
        <x:v>4</x:v>
      </x:c>
      <x:c r="K9117" s="26" t="n">
        <x:v>0</x:v>
      </x:c>
      <x:c r="L9117" s="22" t="n">
        <x:v>6.3040000000000305</x:v>
      </x:c>
      <x:c r="M9117" t="n">
        <x:v>2014</x:v>
      </x:c>
      <x:c r="N9117" s="20" t="n">
        <x:v>41913</x:v>
      </x:c>
    </x:row>
    <x:row r="9118" ht="18" customHeight="1">
      <x:c r="A9118" t="str">
        <x:v>CA-2014-132010</x:v>
      </x:c>
      <x:c r="B9118" s="18" t="n">
        <x:v>41925</x:v>
      </x:c>
      <x:c r="C9118" t="str">
        <x:v>MA-17995</x:v>
      </x:c>
      <x:c r="D9118" t="str">
        <x:v>Michelle Arnett</x:v>
      </x:c>
      <x:c r="E9118" t="str">
        <x:v>Home Office</x:v>
      </x:c>
      <x:c r="F9118" t="str">
        <x:v>South</x:v>
      </x:c>
      <x:c r="G9118" t="str">
        <x:v>Office Supplies</x:v>
      </x:c>
      <x:c r="H9118" t="str">
        <x:v>Binders</x:v>
      </x:c>
      <x:c r="I9118" s="22" t="n">
        <x:v>15.18</x:v>
      </x:c>
      <x:c r="J9118" s="24" t="n">
        <x:v>3</x:v>
      </x:c>
      <x:c r="K9118" s="26" t="n">
        <x:v>0</x:v>
      </x:c>
      <x:c r="L9118" s="22" t="n">
        <x:v>7.134599999999999</x:v>
      </x:c>
      <x:c r="M9118" t="n">
        <x:v>2014</x:v>
      </x:c>
      <x:c r="N9118" s="20" t="n">
        <x:v>41913</x:v>
      </x:c>
    </x:row>
    <x:row r="9119" ht="18" customHeight="1">
      <x:c r="A9119" t="str">
        <x:v>CA-2016-135461</x:v>
      </x:c>
      <x:c r="B9119" s="18" t="n">
        <x:v>42407</x:v>
      </x:c>
      <x:c r="C9119" t="str">
        <x:v>EB-13975</x:v>
      </x:c>
      <x:c r="D9119" t="str">
        <x:v>Erica Bern</x:v>
      </x:c>
      <x:c r="E9119" t="str">
        <x:v>Corporate</x:v>
      </x:c>
      <x:c r="F9119" t="str">
        <x:v>West</x:v>
      </x:c>
      <x:c r="G9119" t="str">
        <x:v>Technology</x:v>
      </x:c>
      <x:c r="H9119" t="str">
        <x:v>Phones</x:v>
      </x:c>
      <x:c r="I9119" s="22" t="n">
        <x:v>623.96</x:v>
      </x:c>
      <x:c r="J9119" s="24" t="n">
        <x:v>5</x:v>
      </x:c>
      <x:c r="K9119" s="26" t="n">
        <x:v>0.2</x:v>
      </x:c>
      <x:c r="L9119" s="22" t="n">
        <x:v>38.9975</x:v>
      </x:c>
      <x:c r="M9119" t="n">
        <x:v>2016</x:v>
      </x:c>
      <x:c r="N9119" s="20" t="n">
        <x:v>42401</x:v>
      </x:c>
    </x:row>
    <x:row r="9120" ht="18" customHeight="1">
      <x:c r="A9120" t="str">
        <x:v>CA-2017-153045</x:v>
      </x:c>
      <x:c r="B9120" s="18" t="n">
        <x:v>42754</x:v>
      </x:c>
      <x:c r="C9120" t="str">
        <x:v>NS-18505</x:v>
      </x:c>
      <x:c r="D9120" t="str">
        <x:v>Neola Schneider</x:v>
      </x:c>
      <x:c r="E9120" t="str">
        <x:v>Consumer</x:v>
      </x:c>
      <x:c r="F9120" t="str">
        <x:v>East</x:v>
      </x:c>
      <x:c r="G9120" t="str">
        <x:v>Technology</x:v>
      </x:c>
      <x:c r="H9120" t="str">
        <x:v>Phones</x:v>
      </x:c>
      <x:c r="I9120" s="22" t="n">
        <x:v>429.59999999999997</x:v>
      </x:c>
      <x:c r="J9120" s="24" t="n">
        <x:v>2</x:v>
      </x:c>
      <x:c r="K9120" s="26" t="n">
        <x:v>0.4</x:v>
      </x:c>
      <x:c r="L9120" s="22" t="n">
        <x:v>-93.07999999999998</x:v>
      </x:c>
      <x:c r="M9120" t="n">
        <x:v>2017</x:v>
      </x:c>
      <x:c r="N9120" s="20" t="n">
        <x:v>42736</x:v>
      </x:c>
    </x:row>
    <x:row r="9121" ht="18" customHeight="1">
      <x:c r="A9121" t="str">
        <x:v>CA-2017-153045</x:v>
      </x:c>
      <x:c r="B9121" s="18" t="n">
        <x:v>42754</x:v>
      </x:c>
      <x:c r="C9121" t="str">
        <x:v>NS-18505</x:v>
      </x:c>
      <x:c r="D9121" t="str">
        <x:v>Neola Schneider</x:v>
      </x:c>
      <x:c r="E9121" t="str">
        <x:v>Consumer</x:v>
      </x:c>
      <x:c r="F9121" t="str">
        <x:v>East</x:v>
      </x:c>
      <x:c r="G9121" t="str">
        <x:v>Furniture</x:v>
      </x:c>
      <x:c r="H9121" t="str">
        <x:v>Furnishings</x:v>
      </x:c>
      <x:c r="I9121" s="22" t="n">
        <x:v>31.968000000000004</x:v>
      </x:c>
      <x:c r="J9121" s="24" t="n">
        <x:v>2</x:v>
      </x:c>
      <x:c r="K9121" s="26" t="n">
        <x:v>0.2</x:v>
      </x:c>
      <x:c r="L9121" s="22" t="n">
        <x:v>6.393599999999999</x:v>
      </x:c>
      <x:c r="M9121" t="n">
        <x:v>2017</x:v>
      </x:c>
      <x:c r="N9121" s="20" t="n">
        <x:v>42736</x:v>
      </x:c>
    </x:row>
    <x:row r="9122" ht="18" customHeight="1">
      <x:c r="A9122" t="str">
        <x:v>CA-2017-153045</x:v>
      </x:c>
      <x:c r="B9122" s="18" t="n">
        <x:v>42754</x:v>
      </x:c>
      <x:c r="C9122" t="str">
        <x:v>NS-18505</x:v>
      </x:c>
      <x:c r="D9122" t="str">
        <x:v>Neola Schneider</x:v>
      </x:c>
      <x:c r="E9122" t="str">
        <x:v>Consumer</x:v>
      </x:c>
      <x:c r="F9122" t="str">
        <x:v>East</x:v>
      </x:c>
      <x:c r="G9122" t="str">
        <x:v>Furniture</x:v>
      </x:c>
      <x:c r="H9122" t="str">
        <x:v>Chairs</x:v>
      </x:c>
      <x:c r="I9122" s="22" t="n">
        <x:v>887.2709999999998</x:v>
      </x:c>
      <x:c r="J9122" s="24" t="n">
        <x:v>3</x:v>
      </x:c>
      <x:c r="K9122" s="26" t="n">
        <x:v>0.3</x:v>
      </x:c>
      <x:c r="L9122" s="22" t="n">
        <x:v>-63.376499999999965</x:v>
      </x:c>
      <x:c r="M9122" t="n">
        <x:v>2017</x:v>
      </x:c>
      <x:c r="N9122" s="20" t="n">
        <x:v>42736</x:v>
      </x:c>
    </x:row>
    <x:row r="9123" ht="18" customHeight="1">
      <x:c r="A9123" t="str">
        <x:v>CA-2017-153045</x:v>
      </x:c>
      <x:c r="B9123" s="18" t="n">
        <x:v>42754</x:v>
      </x:c>
      <x:c r="C9123" t="str">
        <x:v>NS-18505</x:v>
      </x:c>
      <x:c r="D9123" t="str">
        <x:v>Neola Schneider</x:v>
      </x:c>
      <x:c r="E9123" t="str">
        <x:v>Consumer</x:v>
      </x:c>
      <x:c r="F9123" t="str">
        <x:v>East</x:v>
      </x:c>
      <x:c r="G9123" t="str">
        <x:v>Office Supplies</x:v>
      </x:c>
      <x:c r="H9123" t="str">
        <x:v>Paper</x:v>
      </x:c>
      <x:c r="I9123" s="22" t="n">
        <x:v>21.696</x:v>
      </x:c>
      <x:c r="J9123" s="24" t="n">
        <x:v>4</x:v>
      </x:c>
      <x:c r="K9123" s="26" t="n">
        <x:v>0.2</x:v>
      </x:c>
      <x:c r="L9123" s="22" t="n">
        <x:v>7.051199999999999</x:v>
      </x:c>
      <x:c r="M9123" t="n">
        <x:v>2017</x:v>
      </x:c>
      <x:c r="N9123" s="20" t="n">
        <x:v>42736</x:v>
      </x:c>
    </x:row>
    <x:row r="9124" ht="18" customHeight="1">
      <x:c r="A9124" t="str">
        <x:v>US-2016-155971</x:v>
      </x:c>
      <x:c r="B9124" s="18" t="n">
        <x:v>42527</x:v>
      </x:c>
      <x:c r="C9124" t="str">
        <x:v>RB-19795</x:v>
      </x:c>
      <x:c r="D9124" t="str">
        <x:v>Ross Baird</x:v>
      </x:c>
      <x:c r="E9124" t="str">
        <x:v>Home Office</x:v>
      </x:c>
      <x:c r="F9124" t="str">
        <x:v>West</x:v>
      </x:c>
      <x:c r="G9124" t="str">
        <x:v>Office Supplies</x:v>
      </x:c>
      <x:c r="H9124" t="str">
        <x:v>Labels</x:v>
      </x:c>
      <x:c r="I9124" s="22" t="n">
        <x:v>22.05</x:v>
      </x:c>
      <x:c r="J9124" s="24" t="n">
        <x:v>7</x:v>
      </x:c>
      <x:c r="K9124" s="26" t="n">
        <x:v>0</x:v>
      </x:c>
      <x:c r="L9124" s="22" t="n">
        <x:v>10.584</x:v>
      </x:c>
      <x:c r="M9124" t="n">
        <x:v>2016</x:v>
      </x:c>
      <x:c r="N9124" s="20" t="n">
        <x:v>42522</x:v>
      </x:c>
    </x:row>
    <x:row r="9125" ht="18" customHeight="1">
      <x:c r="A9125" t="str">
        <x:v>US-2016-155971</x:v>
      </x:c>
      <x:c r="B9125" s="18" t="n">
        <x:v>42527</x:v>
      </x:c>
      <x:c r="C9125" t="str">
        <x:v>RB-19795</x:v>
      </x:c>
      <x:c r="D9125" t="str">
        <x:v>Ross Baird</x:v>
      </x:c>
      <x:c r="E9125" t="str">
        <x:v>Home Office</x:v>
      </x:c>
      <x:c r="F9125" t="str">
        <x:v>West</x:v>
      </x:c>
      <x:c r="G9125" t="str">
        <x:v>Office Supplies</x:v>
      </x:c>
      <x:c r="H9125" t="str">
        <x:v>Paper</x:v>
      </x:c>
      <x:c r="I9125" s="22" t="n">
        <x:v>99.9</x:v>
      </x:c>
      <x:c r="J9125" s="24" t="n">
        <x:v>5</x:v>
      </x:c>
      <x:c r="K9125" s="26" t="n">
        <x:v>0</x:v>
      </x:c>
      <x:c r="L9125" s="22" t="n">
        <x:v>46.952999999999996</x:v>
      </x:c>
      <x:c r="M9125" t="n">
        <x:v>2016</x:v>
      </x:c>
      <x:c r="N9125" s="20" t="n">
        <x:v>42522</x:v>
      </x:c>
    </x:row>
    <x:row r="9126" ht="18" customHeight="1">
      <x:c r="A9126" t="str">
        <x:v>CA-2017-122007</x:v>
      </x:c>
      <x:c r="B9126" s="18" t="n">
        <x:v>42812</x:v>
      </x:c>
      <x:c r="C9126" t="str">
        <x:v>JK-15325</x:v>
      </x:c>
      <x:c r="D9126" t="str">
        <x:v>Jason Klamczynski</x:v>
      </x:c>
      <x:c r="E9126" t="str">
        <x:v>Corporate</x:v>
      </x:c>
      <x:c r="F9126" t="str">
        <x:v>West</x:v>
      </x:c>
      <x:c r="G9126" t="str">
        <x:v>Office Supplies</x:v>
      </x:c>
      <x:c r="H9126" t="str">
        <x:v>Appliances</x:v>
      </x:c>
      <x:c r="I9126" s="22" t="n">
        <x:v>90.86</x:v>
      </x:c>
      <x:c r="J9126" s="24" t="n">
        <x:v>7</x:v>
      </x:c>
      <x:c r="K9126" s="26" t="n">
        <x:v>0</x:v>
      </x:c>
      <x:c r="L9126" s="22" t="n">
        <x:v>26.349399999999992</x:v>
      </x:c>
      <x:c r="M9126" t="n">
        <x:v>2017</x:v>
      </x:c>
      <x:c r="N9126" s="20" t="n">
        <x:v>42795</x:v>
      </x:c>
    </x:row>
    <x:row r="9127" ht="18" customHeight="1">
      <x:c r="A9127" t="str">
        <x:v>CA-2017-162250</x:v>
      </x:c>
      <x:c r="B9127" s="18" t="n">
        <x:v>43063</x:v>
      </x:c>
      <x:c r="C9127" t="str">
        <x:v>PR-18880</x:v>
      </x:c>
      <x:c r="D9127" t="str">
        <x:v>Patrick Ryan</x:v>
      </x:c>
      <x:c r="E9127" t="str">
        <x:v>Consumer</x:v>
      </x:c>
      <x:c r="F9127" t="str">
        <x:v>West</x:v>
      </x:c>
      <x:c r="G9127" t="str">
        <x:v>Office Supplies</x:v>
      </x:c>
      <x:c r="H9127" t="str">
        <x:v>Paper</x:v>
      </x:c>
      <x:c r="I9127" s="22" t="n">
        <x:v>7.78</x:v>
      </x:c>
      <x:c r="J9127" s="24" t="n">
        <x:v>1</x:v>
      </x:c>
      <x:c r="K9127" s="26" t="n">
        <x:v>0</x:v>
      </x:c>
      <x:c r="L9127" s="22" t="n">
        <x:v>3.5009999999999994</x:v>
      </x:c>
      <x:c r="M9127" t="n">
        <x:v>2017</x:v>
      </x:c>
      <x:c r="N9127" s="20" t="n">
        <x:v>43040</x:v>
      </x:c>
    </x:row>
    <x:row r="9128" ht="18" customHeight="1">
      <x:c r="A9128" t="str">
        <x:v>US-2016-158288</x:v>
      </x:c>
      <x:c r="B9128" s="18" t="n">
        <x:v>42700</x:v>
      </x:c>
      <x:c r="C9128" t="str">
        <x:v>EH-13945</x:v>
      </x:c>
      <x:c r="D9128" t="str">
        <x:v>Eric Hoffmann</x:v>
      </x:c>
      <x:c r="E9128" t="str">
        <x:v>Consumer</x:v>
      </x:c>
      <x:c r="F9128" t="str">
        <x:v>East</x:v>
      </x:c>
      <x:c r="G9128" t="str">
        <x:v>Office Supplies</x:v>
      </x:c>
      <x:c r="H9128" t="str">
        <x:v>Binders</x:v>
      </x:c>
      <x:c r="I9128" s="22" t="n">
        <x:v>78.75900000000001</x:v>
      </x:c>
      <x:c r="J9128" s="24" t="n">
        <x:v>9</x:v>
      </x:c>
      <x:c r="K9128" s="26" t="n">
        <x:v>0.7</x:v>
      </x:c>
      <x:c r="L9128" s="22" t="n">
        <x:v>-57.75660000000002</x:v>
      </x:c>
      <x:c r="M9128" t="n">
        <x:v>2016</x:v>
      </x:c>
      <x:c r="N9128" s="20" t="n">
        <x:v>42675</x:v>
      </x:c>
    </x:row>
    <x:row r="9129" ht="18" customHeight="1">
      <x:c r="A9129" t="str">
        <x:v>CA-2016-128916</x:v>
      </x:c>
      <x:c r="B9129" s="18" t="n">
        <x:v>42600</x:v>
      </x:c>
      <x:c r="C9129" t="str">
        <x:v>MA-17560</x:v>
      </x:c>
      <x:c r="D9129" t="str">
        <x:v>Matt Abelman</x:v>
      </x:c>
      <x:c r="E9129" t="str">
        <x:v>Home Office</x:v>
      </x:c>
      <x:c r="F9129" t="str">
        <x:v>Central</x:v>
      </x:c>
      <x:c r="G9129" t="str">
        <x:v>Furniture</x:v>
      </x:c>
      <x:c r="H9129" t="str">
        <x:v>Furnishings</x:v>
      </x:c>
      <x:c r="I9129" s="22" t="n">
        <x:v>9.552</x:v>
      </x:c>
      <x:c r="J9129" s="24" t="n">
        <x:v>3</x:v>
      </x:c>
      <x:c r="K9129" s="26" t="n">
        <x:v>0.6</x:v>
      </x:c>
      <x:c r="L9129" s="22" t="n">
        <x:v>-3.8207999999999984</x:v>
      </x:c>
      <x:c r="M9129" t="n">
        <x:v>2016</x:v>
      </x:c>
      <x:c r="N9129" s="20" t="n">
        <x:v>42583</x:v>
      </x:c>
    </x:row>
    <x:row r="9130" ht="18" customHeight="1">
      <x:c r="A9130" t="str">
        <x:v>CA-2016-128916</x:v>
      </x:c>
      <x:c r="B9130" s="18" t="n">
        <x:v>42600</x:v>
      </x:c>
      <x:c r="C9130" t="str">
        <x:v>MA-17560</x:v>
      </x:c>
      <x:c r="D9130" t="str">
        <x:v>Matt Abelman</x:v>
      </x:c>
      <x:c r="E9130" t="str">
        <x:v>Home Office</x:v>
      </x:c>
      <x:c r="F9130" t="str">
        <x:v>Central</x:v>
      </x:c>
      <x:c r="G9130" t="str">
        <x:v>Furniture</x:v>
      </x:c>
      <x:c r="H9130" t="str">
        <x:v>Furnishings</x:v>
      </x:c>
      <x:c r="I9130" s="22" t="n">
        <x:v>5.344</x:v>
      </x:c>
      <x:c r="J9130" s="24" t="n">
        <x:v>4</x:v>
      </x:c>
      <x:c r="K9130" s="26" t="n">
        <x:v>0.6</x:v>
      </x:c>
      <x:c r="L9130" s="22" t="n">
        <x:v>-2.137599999999999</x:v>
      </x:c>
      <x:c r="M9130" t="n">
        <x:v>2016</x:v>
      </x:c>
      <x:c r="N9130" s="20" t="n">
        <x:v>42583</x:v>
      </x:c>
    </x:row>
    <x:row r="9131" ht="18" customHeight="1">
      <x:c r="A9131" t="str">
        <x:v>CA-2015-157028</x:v>
      </x:c>
      <x:c r="B9131" s="18" t="n">
        <x:v>42336</x:v>
      </x:c>
      <x:c r="C9131" t="str">
        <x:v>MA-17995</x:v>
      </x:c>
      <x:c r="D9131" t="str">
        <x:v>Michelle Arnett</x:v>
      </x:c>
      <x:c r="E9131" t="str">
        <x:v>Home Office</x:v>
      </x:c>
      <x:c r="F9131" t="str">
        <x:v>West</x:v>
      </x:c>
      <x:c r="G9131" t="str">
        <x:v>Office Supplies</x:v>
      </x:c>
      <x:c r="H9131" t="str">
        <x:v>Art</x:v>
      </x:c>
      <x:c r="I9131" s="22" t="n">
        <x:v>8.28</x:v>
      </x:c>
      <x:c r="J9131" s="24" t="n">
        <x:v>2</x:v>
      </x:c>
      <x:c r="K9131" s="26" t="n">
        <x:v>0</x:v>
      </x:c>
      <x:c r="L9131" s="22" t="n">
        <x:v>3.4776</x:v>
      </x:c>
      <x:c r="M9131" t="n">
        <x:v>2015</x:v>
      </x:c>
      <x:c r="N9131" s="20" t="n">
        <x:v>42309</x:v>
      </x:c>
    </x:row>
    <x:row r="9132" ht="18" customHeight="1">
      <x:c r="A9132" t="str">
        <x:v>CA-2017-112473</x:v>
      </x:c>
      <x:c r="B9132" s="18" t="n">
        <x:v>42880</x:v>
      </x:c>
      <x:c r="C9132" t="str">
        <x:v>JL-15505</x:v>
      </x:c>
      <x:c r="D9132" t="str">
        <x:v>Jeremy Lonsdale</x:v>
      </x:c>
      <x:c r="E9132" t="str">
        <x:v>Consumer</x:v>
      </x:c>
      <x:c r="F9132" t="str">
        <x:v>Central</x:v>
      </x:c>
      <x:c r="G9132" t="str">
        <x:v>Office Supplies</x:v>
      </x:c>
      <x:c r="H9132" t="str">
        <x:v>Storage</x:v>
      </x:c>
      <x:c r="I9132" s="22" t="n">
        <x:v>50.135999999999996</x:v>
      </x:c>
      <x:c r="J9132" s="24" t="n">
        <x:v>3</x:v>
      </x:c>
      <x:c r="K9132" s="26" t="n">
        <x:v>0.2</x:v>
      </x:c>
      <x:c r="L9132" s="22" t="n">
        <x:v>-11.2806</x:v>
      </x:c>
      <x:c r="M9132" t="n">
        <x:v>2017</x:v>
      </x:c>
      <x:c r="N9132" s="20" t="n">
        <x:v>42856</x:v>
      </x:c>
    </x:row>
    <x:row r="9133" ht="18" customHeight="1">
      <x:c r="A9133" t="str">
        <x:v>US-2017-147655</x:v>
      </x:c>
      <x:c r="B9133" s="18" t="n">
        <x:v>42982</x:v>
      </x:c>
      <x:c r="C9133" t="str">
        <x:v>AS-10045</x:v>
      </x:c>
      <x:c r="D9133" t="str">
        <x:v>Aaron Smayling</x:v>
      </x:c>
      <x:c r="E9133" t="str">
        <x:v>Corporate</x:v>
      </x:c>
      <x:c r="F9133" t="str">
        <x:v>West</x:v>
      </x:c>
      <x:c r="G9133" t="str">
        <x:v>Office Supplies</x:v>
      </x:c>
      <x:c r="H9133" t="str">
        <x:v>Binders</x:v>
      </x:c>
      <x:c r="I9133" s="22" t="n">
        <x:v>88.07400000000001</x:v>
      </x:c>
      <x:c r="J9133" s="24" t="n">
        <x:v>7</x:v>
      </x:c>
      <x:c r="K9133" s="26" t="n">
        <x:v>0.7</x:v>
      </x:c>
      <x:c r="L9133" s="22" t="n">
        <x:v>-58.71599999999998</x:v>
      </x:c>
      <x:c r="M9133" t="n">
        <x:v>2017</x:v>
      </x:c>
      <x:c r="N9133" s="20" t="n">
        <x:v>42979</x:v>
      </x:c>
    </x:row>
    <x:row r="9134" ht="18" customHeight="1">
      <x:c r="A9134" t="str">
        <x:v>CA-2016-130911</x:v>
      </x:c>
      <x:c r="B9134" s="18" t="n">
        <x:v>42453</x:v>
      </x:c>
      <x:c r="C9134" t="str">
        <x:v>DC-12850</x:v>
      </x:c>
      <x:c r="D9134" t="str">
        <x:v>Dan Campbell</x:v>
      </x:c>
      <x:c r="E9134" t="str">
        <x:v>Consumer</x:v>
      </x:c>
      <x:c r="F9134" t="str">
        <x:v>East</x:v>
      </x:c>
      <x:c r="G9134" t="str">
        <x:v>Furniture</x:v>
      </x:c>
      <x:c r="H9134" t="str">
        <x:v>Bookcases</x:v>
      </x:c>
      <x:c r="I9134" s="22" t="n">
        <x:v>301.46999999999997</x:v>
      </x:c>
      <x:c r="J9134" s="24" t="n">
        <x:v>3</x:v>
      </x:c>
      <x:c r="K9134" s="26" t="n">
        <x:v>0.5</x:v>
      </x:c>
      <x:c r="L9134" s="22" t="n">
        <x:v>-241.17600000000002</x:v>
      </x:c>
      <x:c r="M9134" t="n">
        <x:v>2016</x:v>
      </x:c>
      <x:c r="N9134" s="20" t="n">
        <x:v>42430</x:v>
      </x:c>
    </x:row>
    <x:row r="9135" ht="18" customHeight="1">
      <x:c r="A9135" t="str">
        <x:v>CA-2016-130911</x:v>
      </x:c>
      <x:c r="B9135" s="18" t="n">
        <x:v>42453</x:v>
      </x:c>
      <x:c r="C9135" t="str">
        <x:v>DC-12850</x:v>
      </x:c>
      <x:c r="D9135" t="str">
        <x:v>Dan Campbell</x:v>
      </x:c>
      <x:c r="E9135" t="str">
        <x:v>Consumer</x:v>
      </x:c>
      <x:c r="F9135" t="str">
        <x:v>East</x:v>
      </x:c>
      <x:c r="G9135" t="str">
        <x:v>Office Supplies</x:v>
      </x:c>
      <x:c r="H9135" t="str">
        <x:v>Art</x:v>
      </x:c>
      <x:c r="I9135" s="22" t="n">
        <x:v>18.656000000000002</x:v>
      </x:c>
      <x:c r="J9135" s="24" t="n">
        <x:v>2</x:v>
      </x:c>
      <x:c r="K9135" s="26" t="n">
        <x:v>0.2</x:v>
      </x:c>
      <x:c r="L9135" s="22" t="n">
        <x:v>1.6324000000000014</x:v>
      </x:c>
      <x:c r="M9135" t="n">
        <x:v>2016</x:v>
      </x:c>
      <x:c r="N9135" s="20" t="n">
        <x:v>42430</x:v>
      </x:c>
    </x:row>
    <x:row r="9136" ht="18" customHeight="1">
      <x:c r="A9136" t="str">
        <x:v>CA-2017-100055</x:v>
      </x:c>
      <x:c r="B9136" s="18" t="n">
        <x:v>42883</x:v>
      </x:c>
      <x:c r="C9136" t="str">
        <x:v>MD-17860</x:v>
      </x:c>
      <x:c r="D9136" t="str">
        <x:v>Michael Dominguez</x:v>
      </x:c>
      <x:c r="E9136" t="str">
        <x:v>Corporate</x:v>
      </x:c>
      <x:c r="F9136" t="str">
        <x:v>East</x:v>
      </x:c>
      <x:c r="G9136" t="str">
        <x:v>Furniture</x:v>
      </x:c>
      <x:c r="H9136" t="str">
        <x:v>Furnishings</x:v>
      </x:c>
      <x:c r="I9136" s="22" t="n">
        <x:v>27.46</x:v>
      </x:c>
      <x:c r="J9136" s="24" t="n">
        <x:v>2</x:v>
      </x:c>
      <x:c r="K9136" s="26" t="n">
        <x:v>0</x:v>
      </x:c>
      <x:c r="L9136" s="22" t="n">
        <x:v>9.8856</x:v>
      </x:c>
      <x:c r="M9136" t="n">
        <x:v>2017</x:v>
      </x:c>
      <x:c r="N9136" s="20" t="n">
        <x:v>42856</x:v>
      </x:c>
    </x:row>
    <x:row r="9137" ht="18" customHeight="1">
      <x:c r="A9137" t="str">
        <x:v>CA-2017-100055</x:v>
      </x:c>
      <x:c r="B9137" s="18" t="n">
        <x:v>42883</x:v>
      </x:c>
      <x:c r="C9137" t="str">
        <x:v>MD-17860</x:v>
      </x:c>
      <x:c r="D9137" t="str">
        <x:v>Michael Dominguez</x:v>
      </x:c>
      <x:c r="E9137" t="str">
        <x:v>Corporate</x:v>
      </x:c>
      <x:c r="F9137" t="str">
        <x:v>East</x:v>
      </x:c>
      <x:c r="G9137" t="str">
        <x:v>Office Supplies</x:v>
      </x:c>
      <x:c r="H9137" t="str">
        <x:v>Appliances</x:v>
      </x:c>
      <x:c r="I9137" s="22" t="n">
        <x:v>125.13</x:v>
      </x:c>
      <x:c r="J9137" s="24" t="n">
        <x:v>3</x:v>
      </x:c>
      <x:c r="K9137" s="26" t="n">
        <x:v>0</x:v>
      </x:c>
      <x:c r="L9137" s="22" t="n">
        <x:v>36.28769999999999</x:v>
      </x:c>
      <x:c r="M9137" t="n">
        <x:v>2017</x:v>
      </x:c>
      <x:c r="N9137" s="20" t="n">
        <x:v>42856</x:v>
      </x:c>
    </x:row>
    <x:row r="9138" ht="18" customHeight="1">
      <x:c r="A9138" t="str">
        <x:v>CA-2015-157805</x:v>
      </x:c>
      <x:c r="B9138" s="18" t="n">
        <x:v>42247</x:v>
      </x:c>
      <x:c r="C9138" t="str">
        <x:v>RH-19510</x:v>
      </x:c>
      <x:c r="D9138" t="str">
        <x:v>Rick Huthwaite</x:v>
      </x:c>
      <x:c r="E9138" t="str">
        <x:v>Home Office</x:v>
      </x:c>
      <x:c r="F9138" t="str">
        <x:v>West</x:v>
      </x:c>
      <x:c r="G9138" t="str">
        <x:v>Technology</x:v>
      </x:c>
      <x:c r="H9138" t="str">
        <x:v>Phones</x:v>
      </x:c>
      <x:c r="I9138" s="22" t="n">
        <x:v>555.96</x:v>
      </x:c>
      <x:c r="J9138" s="24" t="n">
        <x:v>5</x:v>
      </x:c>
      <x:c r="K9138" s="26" t="n">
        <x:v>0.2</x:v>
      </x:c>
      <x:c r="L9138" s="22" t="n">
        <x:v>41.697</x:v>
      </x:c>
      <x:c r="M9138" t="n">
        <x:v>2015</x:v>
      </x:c>
      <x:c r="N9138" s="20" t="n">
        <x:v>42217</x:v>
      </x:c>
    </x:row>
    <x:row r="9139" ht="18" customHeight="1">
      <x:c r="A9139" t="str">
        <x:v>CA-2016-124254</x:v>
      </x:c>
      <x:c r="B9139" s="18" t="n">
        <x:v>42472</x:v>
      </x:c>
      <x:c r="C9139" t="str">
        <x:v>TB-21175</x:v>
      </x:c>
      <x:c r="D9139" t="str">
        <x:v>Thomas Boland</x:v>
      </x:c>
      <x:c r="E9139" t="str">
        <x:v>Corporate</x:v>
      </x:c>
      <x:c r="F9139" t="str">
        <x:v>South</x:v>
      </x:c>
      <x:c r="G9139" t="str">
        <x:v>Office Supplies</x:v>
      </x:c>
      <x:c r="H9139" t="str">
        <x:v>Storage</x:v>
      </x:c>
      <x:c r="I9139" s="22" t="n">
        <x:v>129.552</x:v>
      </x:c>
      <x:c r="J9139" s="24" t="n">
        <x:v>3</x:v>
      </x:c>
      <x:c r="K9139" s="26" t="n">
        <x:v>0.2</x:v>
      </x:c>
      <x:c r="L9139" s="22" t="n">
        <x:v>-22.671600000000005</x:v>
      </x:c>
      <x:c r="M9139" t="n">
        <x:v>2016</x:v>
      </x:c>
      <x:c r="N9139" s="20" t="n">
        <x:v>42461</x:v>
      </x:c>
    </x:row>
    <x:row r="9140" ht="18" customHeight="1">
      <x:c r="A9140" t="str">
        <x:v>CA-2016-124254</x:v>
      </x:c>
      <x:c r="B9140" s="18" t="n">
        <x:v>42472</x:v>
      </x:c>
      <x:c r="C9140" t="str">
        <x:v>TB-21175</x:v>
      </x:c>
      <x:c r="D9140" t="str">
        <x:v>Thomas Boland</x:v>
      </x:c>
      <x:c r="E9140" t="str">
        <x:v>Corporate</x:v>
      </x:c>
      <x:c r="F9140" t="str">
        <x:v>South</x:v>
      </x:c>
      <x:c r="G9140" t="str">
        <x:v>Office Supplies</x:v>
      </x:c>
      <x:c r="H9140" t="str">
        <x:v>Storage</x:v>
      </x:c>
      <x:c r="I9140" s="22" t="n">
        <x:v>51.98400000000001</x:v>
      </x:c>
      <x:c r="J9140" s="24" t="n">
        <x:v>1</x:v>
      </x:c>
      <x:c r="K9140" s="26" t="n">
        <x:v>0.2</x:v>
      </x:c>
      <x:c r="L9140" s="22" t="n">
        <x:v>-5.1983999999999995</x:v>
      </x:c>
      <x:c r="M9140" t="n">
        <x:v>2016</x:v>
      </x:c>
      <x:c r="N9140" s="20" t="n">
        <x:v>42461</x:v>
      </x:c>
    </x:row>
    <x:row r="9141" ht="18" customHeight="1">
      <x:c r="A9141" t="str">
        <x:v>CA-2016-124254</x:v>
      </x:c>
      <x:c r="B9141" s="18" t="n">
        <x:v>42472</x:v>
      </x:c>
      <x:c r="C9141" t="str">
        <x:v>TB-21175</x:v>
      </x:c>
      <x:c r="D9141" t="str">
        <x:v>Thomas Boland</x:v>
      </x:c>
      <x:c r="E9141" t="str">
        <x:v>Corporate</x:v>
      </x:c>
      <x:c r="F9141" t="str">
        <x:v>South</x:v>
      </x:c>
      <x:c r="G9141" t="str">
        <x:v>Office Supplies</x:v>
      </x:c>
      <x:c r="H9141" t="str">
        <x:v>Paper</x:v>
      </x:c>
      <x:c r="I9141" s="22" t="n">
        <x:v>10.272000000000002</x:v>
      </x:c>
      <x:c r="J9141" s="24" t="n">
        <x:v>3</x:v>
      </x:c>
      <x:c r="K9141" s="26" t="n">
        <x:v>0.2</x:v>
      </x:c>
      <x:c r="L9141" s="22" t="n">
        <x:v>3.4668</x:v>
      </x:c>
      <x:c r="M9141" t="n">
        <x:v>2016</x:v>
      </x:c>
      <x:c r="N9141" s="20" t="n">
        <x:v>42461</x:v>
      </x:c>
    </x:row>
    <x:row r="9142" ht="18" customHeight="1">
      <x:c r="A9142" t="str">
        <x:v>CA-2014-123400</x:v>
      </x:c>
      <x:c r="B9142" s="18" t="n">
        <x:v>41672</x:v>
      </x:c>
      <x:c r="C9142" t="str">
        <x:v>EB-13930</x:v>
      </x:c>
      <x:c r="D9142" t="str">
        <x:v>Eric Barreto</x:v>
      </x:c>
      <x:c r="E9142" t="str">
        <x:v>Consumer</x:v>
      </x:c>
      <x:c r="F9142" t="str">
        <x:v>South</x:v>
      </x:c>
      <x:c r="G9142" t="str">
        <x:v>Office Supplies</x:v>
      </x:c>
      <x:c r="H9142" t="str">
        <x:v>Binders</x:v>
      </x:c>
      <x:c r="I9142" s="22" t="n">
        <x:v>18.336000000000002</x:v>
      </x:c>
      <x:c r="J9142" s="24" t="n">
        <x:v>2</x:v>
      </x:c>
      <x:c r="K9142" s="26" t="n">
        <x:v>0.7</x:v>
      </x:c>
      <x:c r="L9142" s="22" t="n">
        <x:v>-12.224</x:v>
      </x:c>
      <x:c r="M9142" t="n">
        <x:v>2014</x:v>
      </x:c>
      <x:c r="N9142" s="20" t="n">
        <x:v>41671</x:v>
      </x:c>
    </x:row>
    <x:row r="9143" ht="18" customHeight="1">
      <x:c r="A9143" t="str">
        <x:v>CA-2014-123400</x:v>
      </x:c>
      <x:c r="B9143" s="18" t="n">
        <x:v>41672</x:v>
      </x:c>
      <x:c r="C9143" t="str">
        <x:v>EB-13930</x:v>
      </x:c>
      <x:c r="D9143" t="str">
        <x:v>Eric Barreto</x:v>
      </x:c>
      <x:c r="E9143" t="str">
        <x:v>Consumer</x:v>
      </x:c>
      <x:c r="F9143" t="str">
        <x:v>South</x:v>
      </x:c>
      <x:c r="G9143" t="str">
        <x:v>Technology</x:v>
      </x:c>
      <x:c r="H9143" t="str">
        <x:v>Phones</x:v>
      </x:c>
      <x:c r="I9143" s="22" t="n">
        <x:v>180.96</x:v>
      </x:c>
      <x:c r="J9143" s="24" t="n">
        <x:v>5</x:v>
      </x:c>
      <x:c r="K9143" s="26" t="n">
        <x:v>0.2</x:v>
      </x:c>
      <x:c r="L9143" s="22" t="n">
        <x:v>13.571999999999996</x:v>
      </x:c>
      <x:c r="M9143" t="n">
        <x:v>2014</x:v>
      </x:c>
      <x:c r="N9143" s="20" t="n">
        <x:v>41671</x:v>
      </x:c>
    </x:row>
    <x:row r="9144" ht="18" customHeight="1">
      <x:c r="A9144" t="str">
        <x:v>CA-2014-106971</x:v>
      </x:c>
      <x:c r="B9144" s="18" t="n">
        <x:v>41884</x:v>
      </x:c>
      <x:c r="C9144" t="str">
        <x:v>BM-11785</x:v>
      </x:c>
      <x:c r="D9144" t="str">
        <x:v>Bryan Mills</x:v>
      </x:c>
      <x:c r="E9144" t="str">
        <x:v>Consumer</x:v>
      </x:c>
      <x:c r="F9144" t="str">
        <x:v>Central</x:v>
      </x:c>
      <x:c r="G9144" t="str">
        <x:v>Technology</x:v>
      </x:c>
      <x:c r="H9144" t="str">
        <x:v>Accessories</x:v>
      </x:c>
      <x:c r="I9144" s="22" t="n">
        <x:v>475.944</x:v>
      </x:c>
      <x:c r="J9144" s="24" t="n">
        <x:v>7</x:v>
      </x:c>
      <x:c r="K9144" s="26" t="n">
        <x:v>0.2</x:v>
      </x:c>
      <x:c r="L9144" s="22" t="n">
        <x:v>95.18879999999997</x:v>
      </x:c>
      <x:c r="M9144" t="n">
        <x:v>2014</x:v>
      </x:c>
      <x:c r="N9144" s="20" t="n">
        <x:v>41883</x:v>
      </x:c>
    </x:row>
    <x:row r="9145" ht="18" customHeight="1">
      <x:c r="A9145" t="str">
        <x:v>CA-2017-123029</x:v>
      </x:c>
      <x:c r="B9145" s="18" t="n">
        <x:v>43008</x:v>
      </x:c>
      <x:c r="C9145" t="str">
        <x:v>BT-11530</x:v>
      </x:c>
      <x:c r="D9145" t="str">
        <x:v>Bradley Talbott</x:v>
      </x:c>
      <x:c r="E9145" t="str">
        <x:v>Home Office</x:v>
      </x:c>
      <x:c r="F9145" t="str">
        <x:v>West</x:v>
      </x:c>
      <x:c r="G9145" t="str">
        <x:v>Technology</x:v>
      </x:c>
      <x:c r="H9145" t="str">
        <x:v>Accessories</x:v>
      </x:c>
      <x:c r="I9145" s="22" t="n">
        <x:v>159.98</x:v>
      </x:c>
      <x:c r="J9145" s="24" t="n">
        <x:v>2</x:v>
      </x:c>
      <x:c r="K9145" s="26" t="n">
        <x:v>0</x:v>
      </x:c>
      <x:c r="L9145" s="22" t="n">
        <x:v>47.993999999999986</x:v>
      </x:c>
      <x:c r="M9145" t="n">
        <x:v>2017</x:v>
      </x:c>
      <x:c r="N9145" s="20" t="n">
        <x:v>42979</x:v>
      </x:c>
    </x:row>
    <x:row r="9146" ht="18" customHeight="1">
      <x:c r="A9146" t="str">
        <x:v>CA-2016-139409</x:v>
      </x:c>
      <x:c r="B9146" s="18" t="n">
        <x:v>42618</x:v>
      </x:c>
      <x:c r="C9146" t="str">
        <x:v>FW-14395</x:v>
      </x:c>
      <x:c r="D9146" t="str">
        <x:v>Fred Wasserman</x:v>
      </x:c>
      <x:c r="E9146" t="str">
        <x:v>Corporate</x:v>
      </x:c>
      <x:c r="F9146" t="str">
        <x:v>East</x:v>
      </x:c>
      <x:c r="G9146" t="str">
        <x:v>Technology</x:v>
      </x:c>
      <x:c r="H9146" t="str">
        <x:v>Phones</x:v>
      </x:c>
      <x:c r="I9146" s="22" t="n">
        <x:v>43.6</x:v>
      </x:c>
      <x:c r="J9146" s="24" t="n">
        <x:v>4</x:v>
      </x:c>
      <x:c r="K9146" s="26" t="n">
        <x:v>0</x:v>
      </x:c>
      <x:c r="L9146" s="22" t="n">
        <x:v>12.208000000000002</x:v>
      </x:c>
      <x:c r="M9146" t="n">
        <x:v>2016</x:v>
      </x:c>
      <x:c r="N9146" s="20" t="n">
        <x:v>42614</x:v>
      </x:c>
    </x:row>
    <x:row r="9147" ht="18" customHeight="1">
      <x:c r="A9147" t="str">
        <x:v>US-2017-166688</x:v>
      </x:c>
      <x:c r="B9147" s="18" t="n">
        <x:v>42875</x:v>
      </x:c>
      <x:c r="C9147" t="str">
        <x:v>RD-19480</x:v>
      </x:c>
      <x:c r="D9147" t="str">
        <x:v>Rick Duston</x:v>
      </x:c>
      <x:c r="E9147" t="str">
        <x:v>Consumer</x:v>
      </x:c>
      <x:c r="F9147" t="str">
        <x:v>West</x:v>
      </x:c>
      <x:c r="G9147" t="str">
        <x:v>Office Supplies</x:v>
      </x:c>
      <x:c r="H9147" t="str">
        <x:v>Binders</x:v>
      </x:c>
      <x:c r="I9147" s="22" t="n">
        <x:v>8.288</x:v>
      </x:c>
      <x:c r="J9147" s="24" t="n">
        <x:v>2</x:v>
      </x:c>
      <x:c r="K9147" s="26" t="n">
        <x:v>0.2</x:v>
      </x:c>
      <x:c r="L9147" s="22" t="n">
        <x:v>3.0043999999999995</x:v>
      </x:c>
      <x:c r="M9147" t="n">
        <x:v>2017</x:v>
      </x:c>
      <x:c r="N9147" s="20" t="n">
        <x:v>42856</x:v>
      </x:c>
    </x:row>
    <x:row r="9148" ht="18" customHeight="1">
      <x:c r="A9148" t="str">
        <x:v>US-2017-166688</x:v>
      </x:c>
      <x:c r="B9148" s="18" t="n">
        <x:v>42875</x:v>
      </x:c>
      <x:c r="C9148" t="str">
        <x:v>RD-19480</x:v>
      </x:c>
      <x:c r="D9148" t="str">
        <x:v>Rick Duston</x:v>
      </x:c>
      <x:c r="E9148" t="str">
        <x:v>Consumer</x:v>
      </x:c>
      <x:c r="F9148" t="str">
        <x:v>West</x:v>
      </x:c>
      <x:c r="G9148" t="str">
        <x:v>Technology</x:v>
      </x:c>
      <x:c r="H9148" t="str">
        <x:v>Phones</x:v>
      </x:c>
      <x:c r="I9148" s="22" t="n">
        <x:v>1123.1280000000002</x:v>
      </x:c>
      <x:c r="J9148" s="24" t="n">
        <x:v>9</x:v>
      </x:c>
      <x:c r="K9148" s="26" t="n">
        <x:v>0.2</x:v>
      </x:c>
      <x:c r="L9148" s="22" t="n">
        <x:v>70.19549999999998</x:v>
      </x:c>
      <x:c r="M9148" t="n">
        <x:v>2017</x:v>
      </x:c>
      <x:c r="N9148" s="20" t="n">
        <x:v>42856</x:v>
      </x:c>
    </x:row>
    <x:row r="9149" ht="18" customHeight="1">
      <x:c r="A9149" t="str">
        <x:v>US-2017-166688</x:v>
      </x:c>
      <x:c r="B9149" s="18" t="n">
        <x:v>42875</x:v>
      </x:c>
      <x:c r="C9149" t="str">
        <x:v>RD-19480</x:v>
      </x:c>
      <x:c r="D9149" t="str">
        <x:v>Rick Duston</x:v>
      </x:c>
      <x:c r="E9149" t="str">
        <x:v>Consumer</x:v>
      </x:c>
      <x:c r="F9149" t="str">
        <x:v>West</x:v>
      </x:c>
      <x:c r="G9149" t="str">
        <x:v>Office Supplies</x:v>
      </x:c>
      <x:c r="H9149" t="str">
        <x:v>Appliances</x:v>
      </x:c>
      <x:c r="I9149" s="22" t="n">
        <x:v>64.9</x:v>
      </x:c>
      <x:c r="J9149" s="24" t="n">
        <x:v>5</x:v>
      </x:c>
      <x:c r="K9149" s="26" t="n">
        <x:v>0</x:v>
      </x:c>
      <x:c r="L9149" s="22" t="n">
        <x:v>18.820999999999994</x:v>
      </x:c>
      <x:c r="M9149" t="n">
        <x:v>2017</x:v>
      </x:c>
      <x:c r="N9149" s="20" t="n">
        <x:v>42856</x:v>
      </x:c>
    </x:row>
    <x:row r="9150" ht="18" customHeight="1">
      <x:c r="A9150" t="str">
        <x:v>CA-2015-126970</x:v>
      </x:c>
      <x:c r="B9150" s="18" t="n">
        <x:v>42267</x:v>
      </x:c>
      <x:c r="C9150" t="str">
        <x:v>TP-21130</x:v>
      </x:c>
      <x:c r="D9150" t="str">
        <x:v>Theone Pippenger</x:v>
      </x:c>
      <x:c r="E9150" t="str">
        <x:v>Consumer</x:v>
      </x:c>
      <x:c r="F9150" t="str">
        <x:v>Central</x:v>
      </x:c>
      <x:c r="G9150" t="str">
        <x:v>Office Supplies</x:v>
      </x:c>
      <x:c r="H9150" t="str">
        <x:v>Binders</x:v>
      </x:c>
      <x:c r="I9150" s="22" t="n">
        <x:v>2.807999999999999</x:v>
      </x:c>
      <x:c r="J9150" s="24" t="n">
        <x:v>3</x:v>
      </x:c>
      <x:c r="K9150" s="26" t="n">
        <x:v>0.8</x:v>
      </x:c>
      <x:c r="L9150" s="22" t="n">
        <x:v>-4.492799999999999</x:v>
      </x:c>
      <x:c r="M9150" t="n">
        <x:v>2015</x:v>
      </x:c>
      <x:c r="N9150" s="20" t="n">
        <x:v>42248</x:v>
      </x:c>
    </x:row>
    <x:row r="9151" ht="18" customHeight="1">
      <x:c r="A9151" t="str">
        <x:v>US-2016-165505</x:v>
      </x:c>
      <x:c r="B9151" s="18" t="n">
        <x:v>42392</x:v>
      </x:c>
      <x:c r="C9151" t="str">
        <x:v>CB-12535</x:v>
      </x:c>
      <x:c r="D9151" t="str">
        <x:v>Claudia Bergmann</x:v>
      </x:c>
      <x:c r="E9151" t="str">
        <x:v>Corporate</x:v>
      </x:c>
      <x:c r="F9151" t="str">
        <x:v>East</x:v>
      </x:c>
      <x:c r="G9151" t="str">
        <x:v>Technology</x:v>
      </x:c>
      <x:c r="H9151" t="str">
        <x:v>Accessories</x:v>
      </x:c>
      <x:c r="I9151" s="22" t="n">
        <x:v>99.98</x:v>
      </x:c>
      <x:c r="J9151" s="24" t="n">
        <x:v>2</x:v>
      </x:c>
      <x:c r="K9151" s="26" t="n">
        <x:v>0</x:v>
      </x:c>
      <x:c r="L9151" s="22" t="n">
        <x:v>42.991400000000006</x:v>
      </x:c>
      <x:c r="M9151" t="n">
        <x:v>2016</x:v>
      </x:c>
      <x:c r="N9151" s="20" t="n">
        <x:v>42370</x:v>
      </x:c>
    </x:row>
    <x:row r="9152" ht="18" customHeight="1">
      <x:c r="A9152" t="str">
        <x:v>US-2016-165505</x:v>
      </x:c>
      <x:c r="B9152" s="18" t="n">
        <x:v>42392</x:v>
      </x:c>
      <x:c r="C9152" t="str">
        <x:v>CB-12535</x:v>
      </x:c>
      <x:c r="D9152" t="str">
        <x:v>Claudia Bergmann</x:v>
      </x:c>
      <x:c r="E9152" t="str">
        <x:v>Corporate</x:v>
      </x:c>
      <x:c r="F9152" t="str">
        <x:v>East</x:v>
      </x:c>
      <x:c r="G9152" t="str">
        <x:v>Office Supplies</x:v>
      </x:c>
      <x:c r="H9152" t="str">
        <x:v>Art</x:v>
      </x:c>
      <x:c r="I9152" s="22" t="n">
        <x:v>8.040000000000001</x:v>
      </x:c>
      <x:c r="J9152" s="24" t="n">
        <x:v>6</x:v>
      </x:c>
      <x:c r="K9152" s="26" t="n">
        <x:v>0</x:v>
      </x:c>
      <x:c r="L9152" s="22" t="n">
        <x:v>2.7336</x:v>
      </x:c>
      <x:c r="M9152" t="n">
        <x:v>2016</x:v>
      </x:c>
      <x:c r="N9152" s="20" t="n">
        <x:v>42370</x:v>
      </x:c>
    </x:row>
    <x:row r="9153" ht="18" customHeight="1">
      <x:c r="A9153" t="str">
        <x:v>US-2016-165505</x:v>
      </x:c>
      <x:c r="B9153" s="18" t="n">
        <x:v>42392</x:v>
      </x:c>
      <x:c r="C9153" t="str">
        <x:v>CB-12535</x:v>
      </x:c>
      <x:c r="D9153" t="str">
        <x:v>Claudia Bergmann</x:v>
      </x:c>
      <x:c r="E9153" t="str">
        <x:v>Corporate</x:v>
      </x:c>
      <x:c r="F9153" t="str">
        <x:v>East</x:v>
      </x:c>
      <x:c r="G9153" t="str">
        <x:v>Office Supplies</x:v>
      </x:c>
      <x:c r="H9153" t="str">
        <x:v>Storage</x:v>
      </x:c>
      <x:c r="I9153" s="22" t="n">
        <x:v>1564.29</x:v>
      </x:c>
      <x:c r="J9153" s="24" t="n">
        <x:v>13</x:v>
      </x:c>
      <x:c r="K9153" s="26" t="n">
        <x:v>0</x:v>
      </x:c>
      <x:c r="L9153" s="22" t="n">
        <x:v>406.71539999999993</x:v>
      </x:c>
      <x:c r="M9153" t="n">
        <x:v>2016</x:v>
      </x:c>
      <x:c r="N9153" s="20" t="n">
        <x:v>42370</x:v>
      </x:c>
    </x:row>
    <x:row r="9154" ht="18" customHeight="1">
      <x:c r="A9154" t="str">
        <x:v>US-2014-157070</x:v>
      </x:c>
      <x:c r="B9154" s="18" t="n">
        <x:v>41791</x:v>
      </x:c>
      <x:c r="C9154" t="str">
        <x:v>QJ-19255</x:v>
      </x:c>
      <x:c r="D9154" t="str">
        <x:v>Quincy Jones</x:v>
      </x:c>
      <x:c r="E9154" t="str">
        <x:v>Corporate</x:v>
      </x:c>
      <x:c r="F9154" t="str">
        <x:v>Central</x:v>
      </x:c>
      <x:c r="G9154" t="str">
        <x:v>Office Supplies</x:v>
      </x:c>
      <x:c r="H9154" t="str">
        <x:v>Binders</x:v>
      </x:c>
      <x:c r="I9154" s="22" t="n">
        <x:v>138.56</x:v>
      </x:c>
      <x:c r="J9154" s="24" t="n">
        <x:v>4</x:v>
      </x:c>
      <x:c r="K9154" s="26" t="n">
        <x:v>0</x:v>
      </x:c>
      <x:c r="L9154" s="22" t="n">
        <x:v>66.5088</x:v>
      </x:c>
      <x:c r="M9154" t="n">
        <x:v>2014</x:v>
      </x:c>
      <x:c r="N9154" s="20" t="n">
        <x:v>41791</x:v>
      </x:c>
    </x:row>
    <x:row r="9155" ht="18" customHeight="1">
      <x:c r="A9155" t="str">
        <x:v>US-2014-157070</x:v>
      </x:c>
      <x:c r="B9155" s="18" t="n">
        <x:v>41791</x:v>
      </x:c>
      <x:c r="C9155" t="str">
        <x:v>QJ-19255</x:v>
      </x:c>
      <x:c r="D9155" t="str">
        <x:v>Quincy Jones</x:v>
      </x:c>
      <x:c r="E9155" t="str">
        <x:v>Corporate</x:v>
      </x:c>
      <x:c r="F9155" t="str">
        <x:v>Central</x:v>
      </x:c>
      <x:c r="G9155" t="str">
        <x:v>Office Supplies</x:v>
      </x:c>
      <x:c r="H9155" t="str">
        <x:v>Appliances</x:v>
      </x:c>
      <x:c r="I9155" s="22" t="n">
        <x:v>65.52000000000001</x:v>
      </x:c>
      <x:c r="J9155" s="24" t="n">
        <x:v>5</x:v>
      </x:c>
      <x:c r="K9155" s="26" t="n">
        <x:v>0.1</x:v>
      </x:c>
      <x:c r="L9155" s="22" t="n">
        <x:v>12.376000000000001</x:v>
      </x:c>
      <x:c r="M9155" t="n">
        <x:v>2014</x:v>
      </x:c>
      <x:c r="N9155" s="20" t="n">
        <x:v>41791</x:v>
      </x:c>
    </x:row>
    <x:row r="9156" ht="18" customHeight="1">
      <x:c r="A9156" t="str">
        <x:v>US-2015-106873</x:v>
      </x:c>
      <x:c r="B9156" s="18" t="n">
        <x:v>42271</x:v>
      </x:c>
      <x:c r="C9156" t="str">
        <x:v>KM-16720</x:v>
      </x:c>
      <x:c r="D9156" t="str">
        <x:v>Kunst Miller</x:v>
      </x:c>
      <x:c r="E9156" t="str">
        <x:v>Consumer</x:v>
      </x:c>
      <x:c r="F9156" t="str">
        <x:v>West</x:v>
      </x:c>
      <x:c r="G9156" t="str">
        <x:v>Office Supplies</x:v>
      </x:c>
      <x:c r="H9156" t="str">
        <x:v>Art</x:v>
      </x:c>
      <x:c r="I9156" s="22" t="n">
        <x:v>14.576</x:v>
      </x:c>
      <x:c r="J9156" s="24" t="n">
        <x:v>2</x:v>
      </x:c>
      <x:c r="K9156" s="26" t="n">
        <x:v>0.2</x:v>
      </x:c>
      <x:c r="L9156" s="22" t="n">
        <x:v>2.368599999999999</x:v>
      </x:c>
      <x:c r="M9156" t="n">
        <x:v>2015</x:v>
      </x:c>
      <x:c r="N9156" s="20" t="n">
        <x:v>42248</x:v>
      </x:c>
    </x:row>
    <x:row r="9157" ht="18" customHeight="1">
      <x:c r="A9157" t="str">
        <x:v>US-2015-106873</x:v>
      </x:c>
      <x:c r="B9157" s="18" t="n">
        <x:v>42271</x:v>
      </x:c>
      <x:c r="C9157" t="str">
        <x:v>KM-16720</x:v>
      </x:c>
      <x:c r="D9157" t="str">
        <x:v>Kunst Miller</x:v>
      </x:c>
      <x:c r="E9157" t="str">
        <x:v>Consumer</x:v>
      </x:c>
      <x:c r="F9157" t="str">
        <x:v>West</x:v>
      </x:c>
      <x:c r="G9157" t="str">
        <x:v>Technology</x:v>
      </x:c>
      <x:c r="H9157" t="str">
        <x:v>Accessories</x:v>
      </x:c>
      <x:c r="I9157" s="22" t="n">
        <x:v>23.200000000000003</x:v>
      </x:c>
      <x:c r="J9157" s="24" t="n">
        <x:v>2</x:v>
      </x:c>
      <x:c r="K9157" s="26" t="n">
        <x:v>0.2</x:v>
      </x:c>
      <x:c r="L9157" s="22" t="n">
        <x:v>1.4499999999999993</x:v>
      </x:c>
      <x:c r="M9157" t="n">
        <x:v>2015</x:v>
      </x:c>
      <x:c r="N9157" s="20" t="n">
        <x:v>42248</x:v>
      </x:c>
    </x:row>
    <x:row r="9158" ht="18" customHeight="1">
      <x:c r="A9158" t="str">
        <x:v>US-2015-106873</x:v>
      </x:c>
      <x:c r="B9158" s="18" t="n">
        <x:v>42271</x:v>
      </x:c>
      <x:c r="C9158" t="str">
        <x:v>KM-16720</x:v>
      </x:c>
      <x:c r="D9158" t="str">
        <x:v>Kunst Miller</x:v>
      </x:c>
      <x:c r="E9158" t="str">
        <x:v>Consumer</x:v>
      </x:c>
      <x:c r="F9158" t="str">
        <x:v>West</x:v>
      </x:c>
      <x:c r="G9158" t="str">
        <x:v>Office Supplies</x:v>
      </x:c>
      <x:c r="H9158" t="str">
        <x:v>Art</x:v>
      </x:c>
      <x:c r="I9158" s="22" t="n">
        <x:v>16.464</x:v>
      </x:c>
      <x:c r="J9158" s="24" t="n">
        <x:v>7</x:v>
      </x:c>
      <x:c r="K9158" s="26" t="n">
        <x:v>0.2</x:v>
      </x:c>
      <x:c r="L9158" s="22" t="n">
        <x:v>1.852199999999999</x:v>
      </x:c>
      <x:c r="M9158" t="n">
        <x:v>2015</x:v>
      </x:c>
      <x:c r="N9158" s="20" t="n">
        <x:v>42248</x:v>
      </x:c>
    </x:row>
    <x:row r="9159" ht="18" customHeight="1">
      <x:c r="A9159" t="str">
        <x:v>CA-2016-132990</x:v>
      </x:c>
      <x:c r="B9159" s="18" t="n">
        <x:v>42583</x:v>
      </x:c>
      <x:c r="C9159" t="str">
        <x:v>KM-16660</x:v>
      </x:c>
      <x:c r="D9159" t="str">
        <x:v>Khloe Miller</x:v>
      </x:c>
      <x:c r="E9159" t="str">
        <x:v>Consumer</x:v>
      </x:c>
      <x:c r="F9159" t="str">
        <x:v>East</x:v>
      </x:c>
      <x:c r="G9159" t="str">
        <x:v>Furniture</x:v>
      </x:c>
      <x:c r="H9159" t="str">
        <x:v>Furnishings</x:v>
      </x:c>
      <x:c r="I9159" s="22" t="n">
        <x:v>19.312</x:v>
      </x:c>
      <x:c r="J9159" s="24" t="n">
        <x:v>2</x:v>
      </x:c>
      <x:c r="K9159" s="26" t="n">
        <x:v>0.2</x:v>
      </x:c>
      <x:c r="L9159" s="22" t="n">
        <x:v>3.1382000000000003</x:v>
      </x:c>
      <x:c r="M9159" t="n">
        <x:v>2016</x:v>
      </x:c>
      <x:c r="N9159" s="20" t="n">
        <x:v>42583</x:v>
      </x:c>
    </x:row>
    <x:row r="9160" ht="18" customHeight="1">
      <x:c r="A9160" t="str">
        <x:v>CA-2014-102645</x:v>
      </x:c>
      <x:c r="B9160" s="18" t="n">
        <x:v>41662</x:v>
      </x:c>
      <x:c r="C9160" t="str">
        <x:v>IM-15055</x:v>
      </x:c>
      <x:c r="D9160" t="str">
        <x:v>Ionia McGrath</x:v>
      </x:c>
      <x:c r="E9160" t="str">
        <x:v>Consumer</x:v>
      </x:c>
      <x:c r="F9160" t="str">
        <x:v>West</x:v>
      </x:c>
      <x:c r="G9160" t="str">
        <x:v>Office Supplies</x:v>
      </x:c>
      <x:c r="H9160" t="str">
        <x:v>Paper</x:v>
      </x:c>
      <x:c r="I9160" s="22" t="n">
        <x:v>40.08</x:v>
      </x:c>
      <x:c r="J9160" s="24" t="n">
        <x:v>6</x:v>
      </x:c>
      <x:c r="K9160" s="26" t="n">
        <x:v>0</x:v>
      </x:c>
      <x:c r="L9160" s="22" t="n">
        <x:v>19.2384</x:v>
      </x:c>
      <x:c r="M9160" t="n">
        <x:v>2014</x:v>
      </x:c>
      <x:c r="N9160" s="20" t="n">
        <x:v>41640</x:v>
      </x:c>
    </x:row>
    <x:row r="9161" ht="18" customHeight="1">
      <x:c r="A9161" t="str">
        <x:v>CA-2014-134215</x:v>
      </x:c>
      <x:c r="B9161" s="18" t="n">
        <x:v>41855</x:v>
      </x:c>
      <x:c r="C9161" t="str">
        <x:v>ML-17395</x:v>
      </x:c>
      <x:c r="D9161" t="str">
        <x:v>Marina Lichtenstein</x:v>
      </x:c>
      <x:c r="E9161" t="str">
        <x:v>Corporate</x:v>
      </x:c>
      <x:c r="F9161" t="str">
        <x:v>East</x:v>
      </x:c>
      <x:c r="G9161" t="str">
        <x:v>Office Supplies</x:v>
      </x:c>
      <x:c r="H9161" t="str">
        <x:v>Appliances</x:v>
      </x:c>
      <x:c r="I9161" s="22" t="n">
        <x:v>101.96</x:v>
      </x:c>
      <x:c r="J9161" s="24" t="n">
        <x:v>2</x:v>
      </x:c>
      <x:c r="K9161" s="26" t="n">
        <x:v>0</x:v>
      </x:c>
      <x:c r="L9161" s="22" t="n">
        <x:v>27.529200000000003</x:v>
      </x:c>
      <x:c r="M9161" t="n">
        <x:v>2014</x:v>
      </x:c>
      <x:c r="N9161" s="20" t="n">
        <x:v>41852</x:v>
      </x:c>
    </x:row>
    <x:row r="9162" ht="18" customHeight="1">
      <x:c r="A9162" t="str">
        <x:v>CA-2014-134215</x:v>
      </x:c>
      <x:c r="B9162" s="18" t="n">
        <x:v>41855</x:v>
      </x:c>
      <x:c r="C9162" t="str">
        <x:v>ML-17395</x:v>
      </x:c>
      <x:c r="D9162" t="str">
        <x:v>Marina Lichtenstein</x:v>
      </x:c>
      <x:c r="E9162" t="str">
        <x:v>Corporate</x:v>
      </x:c>
      <x:c r="F9162" t="str">
        <x:v>East</x:v>
      </x:c>
      <x:c r="G9162" t="str">
        <x:v>Office Supplies</x:v>
      </x:c>
      <x:c r="H9162" t="str">
        <x:v>Paper</x:v>
      </x:c>
      <x:c r="I9162" s="22" t="n">
        <x:v>259.74</x:v>
      </x:c>
      <x:c r="J9162" s="24" t="n">
        <x:v>13</x:v>
      </x:c>
      <x:c r="K9162" s="26" t="n">
        <x:v>0</x:v>
      </x:c>
      <x:c r="L9162" s="22" t="n">
        <x:v>124.6752</x:v>
      </x:c>
      <x:c r="M9162" t="n">
        <x:v>2014</x:v>
      </x:c>
      <x:c r="N9162" s="20" t="n">
        <x:v>41852</x:v>
      </x:c>
    </x:row>
    <x:row r="9163" ht="18" customHeight="1">
      <x:c r="A9163" t="str">
        <x:v>CA-2014-134215</x:v>
      </x:c>
      <x:c r="B9163" s="18" t="n">
        <x:v>41855</x:v>
      </x:c>
      <x:c r="C9163" t="str">
        <x:v>ML-17395</x:v>
      </x:c>
      <x:c r="D9163" t="str">
        <x:v>Marina Lichtenstein</x:v>
      </x:c>
      <x:c r="E9163" t="str">
        <x:v>Corporate</x:v>
      </x:c>
      <x:c r="F9163" t="str">
        <x:v>East</x:v>
      </x:c>
      <x:c r="G9163" t="str">
        <x:v>Technology</x:v>
      </x:c>
      <x:c r="H9163" t="str">
        <x:v>Accessories</x:v>
      </x:c>
      <x:c r="I9163" s="22" t="n">
        <x:v>255.42</x:v>
      </x:c>
      <x:c r="J9163" s="24" t="n">
        <x:v>9</x:v>
      </x:c>
      <x:c r="K9163" s="26" t="n">
        <x:v>0</x:v>
      </x:c>
      <x:c r="L9163" s="22" t="n">
        <x:v>104.7222</x:v>
      </x:c>
      <x:c r="M9163" t="n">
        <x:v>2014</x:v>
      </x:c>
      <x:c r="N9163" s="20" t="n">
        <x:v>41852</x:v>
      </x:c>
    </x:row>
    <x:row r="9164" ht="18" customHeight="1">
      <x:c r="A9164" t="str">
        <x:v>CA-2016-118934</x:v>
      </x:c>
      <x:c r="B9164" s="18" t="n">
        <x:v>42591</x:v>
      </x:c>
      <x:c r="C9164" t="str">
        <x:v>GH-14410</x:v>
      </x:c>
      <x:c r="D9164" t="str">
        <x:v>Gary Hansen</x:v>
      </x:c>
      <x:c r="E9164" t="str">
        <x:v>Home Office</x:v>
      </x:c>
      <x:c r="F9164" t="str">
        <x:v>South</x:v>
      </x:c>
      <x:c r="G9164" t="str">
        <x:v>Office Supplies</x:v>
      </x:c>
      <x:c r="H9164" t="str">
        <x:v>Binders</x:v>
      </x:c>
      <x:c r="I9164" s="22" t="n">
        <x:v>4.338000000000001</x:v>
      </x:c>
      <x:c r="J9164" s="24" t="n">
        <x:v>3</x:v>
      </x:c>
      <x:c r="K9164" s="26" t="n">
        <x:v>0.7</x:v>
      </x:c>
      <x:c r="L9164" s="22" t="n">
        <x:v>-3.0366</x:v>
      </x:c>
      <x:c r="M9164" t="n">
        <x:v>2016</x:v>
      </x:c>
      <x:c r="N9164" s="20" t="n">
        <x:v>42583</x:v>
      </x:c>
    </x:row>
    <x:row r="9165" ht="18" customHeight="1">
      <x:c r="A9165" t="str">
        <x:v>CA-2016-118934</x:v>
      </x:c>
      <x:c r="B9165" s="18" t="n">
        <x:v>42591</x:v>
      </x:c>
      <x:c r="C9165" t="str">
        <x:v>GH-14410</x:v>
      </x:c>
      <x:c r="D9165" t="str">
        <x:v>Gary Hansen</x:v>
      </x:c>
      <x:c r="E9165" t="str">
        <x:v>Home Office</x:v>
      </x:c>
      <x:c r="F9165" t="str">
        <x:v>South</x:v>
      </x:c>
      <x:c r="G9165" t="str">
        <x:v>Office Supplies</x:v>
      </x:c>
      <x:c r="H9165" t="str">
        <x:v>Binders</x:v>
      </x:c>
      <x:c r="I9165" s="22" t="n">
        <x:v>11.880000000000003</x:v>
      </x:c>
      <x:c r="J9165" s="24" t="n">
        <x:v>5</x:v>
      </x:c>
      <x:c r="K9165" s="26" t="n">
        <x:v>0.7</x:v>
      </x:c>
      <x:c r="L9165" s="22" t="n">
        <x:v>-7.919999999999998</x:v>
      </x:c>
      <x:c r="M9165" t="n">
        <x:v>2016</x:v>
      </x:c>
      <x:c r="N9165" s="20" t="n">
        <x:v>42583</x:v>
      </x:c>
    </x:row>
    <x:row r="9166" ht="18" customHeight="1">
      <x:c r="A9166" t="str">
        <x:v>CA-2016-160108</x:v>
      </x:c>
      <x:c r="B9166" s="18" t="n">
        <x:v>42712</x:v>
      </x:c>
      <x:c r="C9166" t="str">
        <x:v>AG-10900</x:v>
      </x:c>
      <x:c r="D9166" t="str">
        <x:v>Arthur Gainer</x:v>
      </x:c>
      <x:c r="E9166" t="str">
        <x:v>Consumer</x:v>
      </x:c>
      <x:c r="F9166" t="str">
        <x:v>Central</x:v>
      </x:c>
      <x:c r="G9166" t="str">
        <x:v>Furniture</x:v>
      </x:c>
      <x:c r="H9166" t="str">
        <x:v>Bookcases</x:v>
      </x:c>
      <x:c r="I9166" s="22" t="n">
        <x:v>405.85999999999996</x:v>
      </x:c>
      <x:c r="J9166" s="24" t="n">
        <x:v>7</x:v>
      </x:c>
      <x:c r="K9166" s="26" t="n">
        <x:v>0</x:v>
      </x:c>
      <x:c r="L9166" s="22" t="n">
        <x:v>32.46879999999998</x:v>
      </x:c>
      <x:c r="M9166" t="n">
        <x:v>2016</x:v>
      </x:c>
      <x:c r="N9166" s="20" t="n">
        <x:v>42705</x:v>
      </x:c>
    </x:row>
    <x:row r="9167" ht="18" customHeight="1">
      <x:c r="A9167" t="str">
        <x:v>CA-2016-160108</x:v>
      </x:c>
      <x:c r="B9167" s="18" t="n">
        <x:v>42712</x:v>
      </x:c>
      <x:c r="C9167" t="str">
        <x:v>AG-10900</x:v>
      </x:c>
      <x:c r="D9167" t="str">
        <x:v>Arthur Gainer</x:v>
      </x:c>
      <x:c r="E9167" t="str">
        <x:v>Consumer</x:v>
      </x:c>
      <x:c r="F9167" t="str">
        <x:v>Central</x:v>
      </x:c>
      <x:c r="G9167" t="str">
        <x:v>Furniture</x:v>
      </x:c>
      <x:c r="H9167" t="str">
        <x:v>Chairs</x:v>
      </x:c>
      <x:c r="I9167" s="22" t="n">
        <x:v>680.01</x:v>
      </x:c>
      <x:c r="J9167" s="24" t="n">
        <x:v>3</x:v>
      </x:c>
      <x:c r="K9167" s="26" t="n">
        <x:v>0</x:v>
      </x:c>
      <x:c r="L9167" s="22" t="n">
        <x:v>176.8026</x:v>
      </x:c>
      <x:c r="M9167" t="n">
        <x:v>2016</x:v>
      </x:c>
      <x:c r="N9167" s="20" t="n">
        <x:v>42705</x:v>
      </x:c>
    </x:row>
    <x:row r="9168" ht="18" customHeight="1">
      <x:c r="A9168" t="str">
        <x:v>CA-2015-164007</x:v>
      </x:c>
      <x:c r="B9168" s="18" t="n">
        <x:v>42163</x:v>
      </x:c>
      <x:c r="C9168" t="str">
        <x:v>MG-17695</x:v>
      </x:c>
      <x:c r="D9168" t="str">
        <x:v>Maureen Gnade</x:v>
      </x:c>
      <x:c r="E9168" t="str">
        <x:v>Consumer</x:v>
      </x:c>
      <x:c r="F9168" t="str">
        <x:v>Central</x:v>
      </x:c>
      <x:c r="G9168" t="str">
        <x:v>Technology</x:v>
      </x:c>
      <x:c r="H9168" t="str">
        <x:v>Accessories</x:v>
      </x:c>
      <x:c r="I9168" s="22" t="n">
        <x:v>2.3760000000000003</x:v>
      </x:c>
      <x:c r="J9168" s="24" t="n">
        <x:v>3</x:v>
      </x:c>
      <x:c r="K9168" s="26" t="n">
        <x:v>0.2</x:v>
      </x:c>
      <x:c r="L9168" s="22" t="n">
        <x:v>0.7424999999999999</x:v>
      </x:c>
      <x:c r="M9168" t="n">
        <x:v>2015</x:v>
      </x:c>
      <x:c r="N9168" s="20" t="n">
        <x:v>42156</x:v>
      </x:c>
    </x:row>
    <x:row r="9169" ht="18" customHeight="1">
      <x:c r="A9169" t="str">
        <x:v>CA-2015-164007</x:v>
      </x:c>
      <x:c r="B9169" s="18" t="n">
        <x:v>42163</x:v>
      </x:c>
      <x:c r="C9169" t="str">
        <x:v>MG-17695</x:v>
      </x:c>
      <x:c r="D9169" t="str">
        <x:v>Maureen Gnade</x:v>
      </x:c>
      <x:c r="E9169" t="str">
        <x:v>Consumer</x:v>
      </x:c>
      <x:c r="F9169" t="str">
        <x:v>Central</x:v>
      </x:c>
      <x:c r="G9169" t="str">
        <x:v>Office Supplies</x:v>
      </x:c>
      <x:c r="H9169" t="str">
        <x:v>Appliances</x:v>
      </x:c>
      <x:c r="I9169" s="22" t="n">
        <x:v>143.12799999999996</x:v>
      </x:c>
      <x:c r="J9169" s="24" t="n">
        <x:v>2</x:v>
      </x:c>
      <x:c r="K9169" s="26" t="n">
        <x:v>0.8</x:v>
      </x:c>
      <x:c r="L9169" s="22" t="n">
        <x:v>-393.6020000000001</x:v>
      </x:c>
      <x:c r="M9169" t="n">
        <x:v>2015</x:v>
      </x:c>
      <x:c r="N9169" s="20" t="n">
        <x:v>42156</x:v>
      </x:c>
    </x:row>
    <x:row r="9170" ht="18" customHeight="1">
      <x:c r="A9170" t="str">
        <x:v>CA-2016-100300</x:v>
      </x:c>
      <x:c r="B9170" s="18" t="n">
        <x:v>42545</x:v>
      </x:c>
      <x:c r="C9170" t="str">
        <x:v>MJ-17740</x:v>
      </x:c>
      <x:c r="D9170" t="str">
        <x:v>Max Jones</x:v>
      </x:c>
      <x:c r="E9170" t="str">
        <x:v>Consumer</x:v>
      </x:c>
      <x:c r="F9170" t="str">
        <x:v>West</x:v>
      </x:c>
      <x:c r="G9170" t="str">
        <x:v>Technology</x:v>
      </x:c>
      <x:c r="H9170" t="str">
        <x:v>Machines</x:v>
      </x:c>
      <x:c r="I9170" s="22" t="n">
        <x:v>4476.8</x:v>
      </x:c>
      <x:c r="J9170" s="24" t="n">
        <x:v>4</x:v>
      </x:c>
      <x:c r="K9170" s="26" t="n">
        <x:v>0.2</x:v>
      </x:c>
      <x:c r="L9170" s="22" t="n">
        <x:v>503.63999999999965</x:v>
      </x:c>
      <x:c r="M9170" t="n">
        <x:v>2016</x:v>
      </x:c>
      <x:c r="N9170" s="20" t="n">
        <x:v>42522</x:v>
      </x:c>
    </x:row>
    <x:row r="9171" ht="18" customHeight="1">
      <x:c r="A9171" t="str">
        <x:v>CA-2016-100300</x:v>
      </x:c>
      <x:c r="B9171" s="18" t="n">
        <x:v>42545</x:v>
      </x:c>
      <x:c r="C9171" t="str">
        <x:v>MJ-17740</x:v>
      </x:c>
      <x:c r="D9171" t="str">
        <x:v>Max Jones</x:v>
      </x:c>
      <x:c r="E9171" t="str">
        <x:v>Consumer</x:v>
      </x:c>
      <x:c r="F9171" t="str">
        <x:v>West</x:v>
      </x:c>
      <x:c r="G9171" t="str">
        <x:v>Office Supplies</x:v>
      </x:c>
      <x:c r="H9171" t="str">
        <x:v>Paper</x:v>
      </x:c>
      <x:c r="I9171" s="22" t="n">
        <x:v>104.85</x:v>
      </x:c>
      <x:c r="J9171" s="24" t="n">
        <x:v>1</x:v>
      </x:c>
      <x:c r="K9171" s="26" t="n">
        <x:v>0</x:v>
      </x:c>
      <x:c r="L9171" s="22" t="n">
        <x:v>50.327999999999996</x:v>
      </x:c>
      <x:c r="M9171" t="n">
        <x:v>2016</x:v>
      </x:c>
      <x:c r="N9171" s="20" t="n">
        <x:v>42522</x:v>
      </x:c>
    </x:row>
    <x:row r="9172" ht="18" customHeight="1">
      <x:c r="A9172" t="str">
        <x:v>CA-2016-100300</x:v>
      </x:c>
      <x:c r="B9172" s="18" t="n">
        <x:v>42545</x:v>
      </x:c>
      <x:c r="C9172" t="str">
        <x:v>MJ-17740</x:v>
      </x:c>
      <x:c r="D9172" t="str">
        <x:v>Max Jones</x:v>
      </x:c>
      <x:c r="E9172" t="str">
        <x:v>Consumer</x:v>
      </x:c>
      <x:c r="F9172" t="str">
        <x:v>West</x:v>
      </x:c>
      <x:c r="G9172" t="str">
        <x:v>Office Supplies</x:v>
      </x:c>
      <x:c r="H9172" t="str">
        <x:v>Appliances</x:v>
      </x:c>
      <x:c r="I9172" s="22" t="n">
        <x:v>241.44</x:v>
      </x:c>
      <x:c r="J9172" s="24" t="n">
        <x:v>3</x:v>
      </x:c>
      <x:c r="K9172" s="26" t="n">
        <x:v>0</x:v>
      </x:c>
      <x:c r="L9172" s="22" t="n">
        <x:v>72.43199999999999</x:v>
      </x:c>
      <x:c r="M9172" t="n">
        <x:v>2016</x:v>
      </x:c>
      <x:c r="N9172" s="20" t="n">
        <x:v>42522</x:v>
      </x:c>
    </x:row>
    <x:row r="9173" ht="18" customHeight="1">
      <x:c r="A9173" t="str">
        <x:v>CA-2016-140571</x:v>
      </x:c>
      <x:c r="B9173" s="18" t="n">
        <x:v>42444</x:v>
      </x:c>
      <x:c r="C9173" t="str">
        <x:v>SJ-20125</x:v>
      </x:c>
      <x:c r="D9173" t="str">
        <x:v>Sanjit Jacobs</x:v>
      </x:c>
      <x:c r="E9173" t="str">
        <x:v>Home Office</x:v>
      </x:c>
      <x:c r="F9173" t="str">
        <x:v>South</x:v>
      </x:c>
      <x:c r="G9173" t="str">
        <x:v>Office Supplies</x:v>
      </x:c>
      <x:c r="H9173" t="str">
        <x:v>Paper</x:v>
      </x:c>
      <x:c r="I9173" s="22" t="n">
        <x:v>319.76</x:v>
      </x:c>
      <x:c r="J9173" s="24" t="n">
        <x:v>14</x:v>
      </x:c>
      <x:c r="K9173" s="26" t="n">
        <x:v>0</x:v>
      </x:c>
      <x:c r="L9173" s="22" t="n">
        <x:v>147.0896</x:v>
      </x:c>
      <x:c r="M9173" t="n">
        <x:v>2016</x:v>
      </x:c>
      <x:c r="N9173" s="20" t="n">
        <x:v>42430</x:v>
      </x:c>
    </x:row>
    <x:row r="9174" ht="18" customHeight="1">
      <x:c r="A9174" t="str">
        <x:v>CA-2016-140571</x:v>
      </x:c>
      <x:c r="B9174" s="18" t="n">
        <x:v>42444</x:v>
      </x:c>
      <x:c r="C9174" t="str">
        <x:v>SJ-20125</x:v>
      </x:c>
      <x:c r="D9174" t="str">
        <x:v>Sanjit Jacobs</x:v>
      </x:c>
      <x:c r="E9174" t="str">
        <x:v>Home Office</x:v>
      </x:c>
      <x:c r="F9174" t="str">
        <x:v>South</x:v>
      </x:c>
      <x:c r="G9174" t="str">
        <x:v>Office Supplies</x:v>
      </x:c>
      <x:c r="H9174" t="str">
        <x:v>Paper</x:v>
      </x:c>
      <x:c r="I9174" s="22" t="n">
        <x:v>45.68</x:v>
      </x:c>
      <x:c r="J9174" s="24" t="n">
        <x:v>2</x:v>
      </x:c>
      <x:c r="K9174" s="26" t="n">
        <x:v>0</x:v>
      </x:c>
      <x:c r="L9174" s="22" t="n">
        <x:v>21.0128</x:v>
      </x:c>
      <x:c r="M9174" t="n">
        <x:v>2016</x:v>
      </x:c>
      <x:c r="N9174" s="20" t="n">
        <x:v>42430</x:v>
      </x:c>
    </x:row>
    <x:row r="9175" ht="18" customHeight="1">
      <x:c r="A9175" t="str">
        <x:v>US-2016-155768</x:v>
      </x:c>
      <x:c r="B9175" s="18" t="n">
        <x:v>42705</x:v>
      </x:c>
      <x:c r="C9175" t="str">
        <x:v>LB-16795</x:v>
      </x:c>
      <x:c r="D9175" t="str">
        <x:v>Laurel Beltran</x:v>
      </x:c>
      <x:c r="E9175" t="str">
        <x:v>Home Office</x:v>
      </x:c>
      <x:c r="F9175" t="str">
        <x:v>West</x:v>
      </x:c>
      <x:c r="G9175" t="str">
        <x:v>Furniture</x:v>
      </x:c>
      <x:c r="H9175" t="str">
        <x:v>Furnishings</x:v>
      </x:c>
      <x:c r="I9175" s="22" t="n">
        <x:v>31.96</x:v>
      </x:c>
      <x:c r="J9175" s="24" t="n">
        <x:v>2</x:v>
      </x:c>
      <x:c r="K9175" s="26" t="n">
        <x:v>0</x:v>
      </x:c>
      <x:c r="L9175" s="22" t="n">
        <x:v>1.597999999999999</x:v>
      </x:c>
      <x:c r="M9175" t="n">
        <x:v>2016</x:v>
      </x:c>
      <x:c r="N9175" s="20" t="n">
        <x:v>42705</x:v>
      </x:c>
    </x:row>
    <x:row r="9176" ht="18" customHeight="1">
      <x:c r="A9176" t="str">
        <x:v>US-2016-155768</x:v>
      </x:c>
      <x:c r="B9176" s="18" t="n">
        <x:v>42705</x:v>
      </x:c>
      <x:c r="C9176" t="str">
        <x:v>LB-16795</x:v>
      </x:c>
      <x:c r="D9176" t="str">
        <x:v>Laurel Beltran</x:v>
      </x:c>
      <x:c r="E9176" t="str">
        <x:v>Home Office</x:v>
      </x:c>
      <x:c r="F9176" t="str">
        <x:v>West</x:v>
      </x:c>
      <x:c r="G9176" t="str">
        <x:v>Office Supplies</x:v>
      </x:c>
      <x:c r="H9176" t="str">
        <x:v>Paper</x:v>
      </x:c>
      <x:c r="I9176" s="22" t="n">
        <x:v>47.9</x:v>
      </x:c>
      <x:c r="J9176" s="24" t="n">
        <x:v>1</x:v>
      </x:c>
      <x:c r="K9176" s="26" t="n">
        <x:v>0</x:v>
      </x:c>
      <x:c r="L9176" s="22" t="n">
        <x:v>22.991999999999997</x:v>
      </x:c>
      <x:c r="M9176" t="n">
        <x:v>2016</x:v>
      </x:c>
      <x:c r="N9176" s="20" t="n">
        <x:v>42705</x:v>
      </x:c>
    </x:row>
    <x:row r="9177" ht="18" customHeight="1">
      <x:c r="A9177" t="str">
        <x:v>US-2016-155768</x:v>
      </x:c>
      <x:c r="B9177" s="18" t="n">
        <x:v>42705</x:v>
      </x:c>
      <x:c r="C9177" t="str">
        <x:v>LB-16795</x:v>
      </x:c>
      <x:c r="D9177" t="str">
        <x:v>Laurel Beltran</x:v>
      </x:c>
      <x:c r="E9177" t="str">
        <x:v>Home Office</x:v>
      </x:c>
      <x:c r="F9177" t="str">
        <x:v>West</x:v>
      </x:c>
      <x:c r="G9177" t="str">
        <x:v>Office Supplies</x:v>
      </x:c>
      <x:c r="H9177" t="str">
        <x:v>Storage</x:v>
      </x:c>
      <x:c r="I9177" s="22" t="n">
        <x:v>1112.94</x:v>
      </x:c>
      <x:c r="J9177" s="24" t="n">
        <x:v>3</x:v>
      </x:c>
      <x:c r="K9177" s="26" t="n">
        <x:v>0</x:v>
      </x:c>
      <x:c r="L9177" s="22" t="n">
        <x:v>222.5879999999999</x:v>
      </x:c>
      <x:c r="M9177" t="n">
        <x:v>2016</x:v>
      </x:c>
      <x:c r="N9177" s="20" t="n">
        <x:v>42705</x:v>
      </x:c>
    </x:row>
    <x:row r="9178" ht="18" customHeight="1">
      <x:c r="A9178" t="str">
        <x:v>US-2016-155768</x:v>
      </x:c>
      <x:c r="B9178" s="18" t="n">
        <x:v>42705</x:v>
      </x:c>
      <x:c r="C9178" t="str">
        <x:v>LB-16795</x:v>
      </x:c>
      <x:c r="D9178" t="str">
        <x:v>Laurel Beltran</x:v>
      </x:c>
      <x:c r="E9178" t="str">
        <x:v>Home Office</x:v>
      </x:c>
      <x:c r="F9178" t="str">
        <x:v>West</x:v>
      </x:c>
      <x:c r="G9178" t="str">
        <x:v>Office Supplies</x:v>
      </x:c>
      <x:c r="H9178" t="str">
        <x:v>Envelopes</x:v>
      </x:c>
      <x:c r="I9178" s="22" t="n">
        <x:v>22.919999999999998</x:v>
      </x:c>
      <x:c r="J9178" s="24" t="n">
        <x:v>3</x:v>
      </x:c>
      <x:c r="K9178" s="26" t="n">
        <x:v>0</x:v>
      </x:c>
      <x:c r="L9178" s="22" t="n">
        <x:v>11.230799999999999</x:v>
      </x:c>
      <x:c r="M9178" t="n">
        <x:v>2016</x:v>
      </x:c>
      <x:c r="N9178" s="20" t="n">
        <x:v>42705</x:v>
      </x:c>
    </x:row>
    <x:row r="9179" ht="18" customHeight="1">
      <x:c r="A9179" t="str">
        <x:v>CA-2017-119424</x:v>
      </x:c>
      <x:c r="B9179" s="18" t="n">
        <x:v>42898</x:v>
      </x:c>
      <x:c r="C9179" t="str">
        <x:v>SB-20185</x:v>
      </x:c>
      <x:c r="D9179" t="str">
        <x:v>Sarah Brown</x:v>
      </x:c>
      <x:c r="E9179" t="str">
        <x:v>Consumer</x:v>
      </x:c>
      <x:c r="F9179" t="str">
        <x:v>West</x:v>
      </x:c>
      <x:c r="G9179" t="str">
        <x:v>Technology</x:v>
      </x:c>
      <x:c r="H9179" t="str">
        <x:v>Phones</x:v>
      </x:c>
      <x:c r="I9179" s="22" t="n">
        <x:v>71.976</x:v>
      </x:c>
      <x:c r="J9179" s="24" t="n">
        <x:v>3</x:v>
      </x:c>
      <x:c r="K9179" s="26" t="n">
        <x:v>0.2</x:v>
      </x:c>
      <x:c r="L9179" s="22" t="n">
        <x:v>8.99699999999999</x:v>
      </x:c>
      <x:c r="M9179" t="n">
        <x:v>2017</x:v>
      </x:c>
      <x:c r="N9179" s="20" t="n">
        <x:v>42887</x:v>
      </x:c>
    </x:row>
    <x:row r="9180" ht="18" customHeight="1">
      <x:c r="A9180" t="str">
        <x:v>CA-2017-119424</x:v>
      </x:c>
      <x:c r="B9180" s="18" t="n">
        <x:v>42898</x:v>
      </x:c>
      <x:c r="C9180" t="str">
        <x:v>SB-20185</x:v>
      </x:c>
      <x:c r="D9180" t="str">
        <x:v>Sarah Brown</x:v>
      </x:c>
      <x:c r="E9180" t="str">
        <x:v>Consumer</x:v>
      </x:c>
      <x:c r="F9180" t="str">
        <x:v>West</x:v>
      </x:c>
      <x:c r="G9180" t="str">
        <x:v>Office Supplies</x:v>
      </x:c>
      <x:c r="H9180" t="str">
        <x:v>Paper</x:v>
      </x:c>
      <x:c r="I9180" s="22" t="n">
        <x:v>19.44</x:v>
      </x:c>
      <x:c r="J9180" s="24" t="n">
        <x:v>3</x:v>
      </x:c>
      <x:c r="K9180" s="26" t="n">
        <x:v>0</x:v>
      </x:c>
      <x:c r="L9180" s="22" t="n">
        <x:v>9.3312</x:v>
      </x:c>
      <x:c r="M9180" t="n">
        <x:v>2017</x:v>
      </x:c>
      <x:c r="N9180" s="20" t="n">
        <x:v>42887</x:v>
      </x:c>
    </x:row>
    <x:row r="9181" ht="18" customHeight="1">
      <x:c r="A9181" t="str">
        <x:v>CA-2016-118178</x:v>
      </x:c>
      <x:c r="B9181" s="18" t="n">
        <x:v>42448</x:v>
      </x:c>
      <x:c r="C9181" t="str">
        <x:v>CC-12610</x:v>
      </x:c>
      <x:c r="D9181" t="str">
        <x:v>Corey Catlett</x:v>
      </x:c>
      <x:c r="E9181" t="str">
        <x:v>Corporate</x:v>
      </x:c>
      <x:c r="F9181" t="str">
        <x:v>South</x:v>
      </x:c>
      <x:c r="G9181" t="str">
        <x:v>Office Supplies</x:v>
      </x:c>
      <x:c r="H9181" t="str">
        <x:v>Binders</x:v>
      </x:c>
      <x:c r="I9181" s="22" t="n">
        <x:v>31.086000000000006</x:v>
      </x:c>
      <x:c r="J9181" s="24" t="n">
        <x:v>3</x:v>
      </x:c>
      <x:c r="K9181" s="26" t="n">
        <x:v>0.7</x:v>
      </x:c>
      <x:c r="L9181" s="22" t="n">
        <x:v>-20.72399999999999</x:v>
      </x:c>
      <x:c r="M9181" t="n">
        <x:v>2016</x:v>
      </x:c>
      <x:c r="N9181" s="20" t="n">
        <x:v>42430</x:v>
      </x:c>
    </x:row>
    <x:row r="9182" ht="18" customHeight="1">
      <x:c r="A9182" t="str">
        <x:v>CA-2016-166618</x:v>
      </x:c>
      <x:c r="B9182" s="18" t="n">
        <x:v>42688</x:v>
      </x:c>
      <x:c r="C9182" t="str">
        <x:v>DP-13000</x:v>
      </x:c>
      <x:c r="D9182" t="str">
        <x:v>Darren Powers</x:v>
      </x:c>
      <x:c r="E9182" t="str">
        <x:v>Consumer</x:v>
      </x:c>
      <x:c r="F9182" t="str">
        <x:v>East</x:v>
      </x:c>
      <x:c r="G9182" t="str">
        <x:v>Technology</x:v>
      </x:c>
      <x:c r="H9182" t="str">
        <x:v>Phones</x:v>
      </x:c>
      <x:c r="I9182" s="22" t="n">
        <x:v>13.98</x:v>
      </x:c>
      <x:c r="J9182" s="24" t="n">
        <x:v>2</x:v>
      </x:c>
      <x:c r="K9182" s="26" t="n">
        <x:v>0</x:v>
      </x:c>
      <x:c r="L9182" s="22" t="n">
        <x:v>3.9144000000000005</x:v>
      </x:c>
      <x:c r="M9182" t="n">
        <x:v>2016</x:v>
      </x:c>
      <x:c r="N9182" s="20" t="n">
        <x:v>42675</x:v>
      </x:c>
    </x:row>
    <x:row r="9183" ht="18" customHeight="1">
      <x:c r="A9183" t="str">
        <x:v>CA-2016-166618</x:v>
      </x:c>
      <x:c r="B9183" s="18" t="n">
        <x:v>42688</x:v>
      </x:c>
      <x:c r="C9183" t="str">
        <x:v>DP-13000</x:v>
      </x:c>
      <x:c r="D9183" t="str">
        <x:v>Darren Powers</x:v>
      </x:c>
      <x:c r="E9183" t="str">
        <x:v>Consumer</x:v>
      </x:c>
      <x:c r="F9183" t="str">
        <x:v>East</x:v>
      </x:c>
      <x:c r="G9183" t="str">
        <x:v>Office Supplies</x:v>
      </x:c>
      <x:c r="H9183" t="str">
        <x:v>Art</x:v>
      </x:c>
      <x:c r="I9183" s="22" t="n">
        <x:v>23.65</x:v>
      </x:c>
      <x:c r="J9183" s="24" t="n">
        <x:v>1</x:v>
      </x:c>
      <x:c r="K9183" s="26" t="n">
        <x:v>0</x:v>
      </x:c>
      <x:c r="L9183" s="22" t="n">
        <x:v>6.149000000000001</x:v>
      </x:c>
      <x:c r="M9183" t="n">
        <x:v>2016</x:v>
      </x:c>
      <x:c r="N9183" s="20" t="n">
        <x:v>42675</x:v>
      </x:c>
    </x:row>
    <x:row r="9184" ht="18" customHeight="1">
      <x:c r="A9184" t="str">
        <x:v>CA-2017-156776</x:v>
      </x:c>
      <x:c r="B9184" s="18" t="n">
        <x:v>42954</x:v>
      </x:c>
      <x:c r="C9184" t="str">
        <x:v>JL-15505</x:v>
      </x:c>
      <x:c r="D9184" t="str">
        <x:v>Jeremy Lonsdale</x:v>
      </x:c>
      <x:c r="E9184" t="str">
        <x:v>Consumer</x:v>
      </x:c>
      <x:c r="F9184" t="str">
        <x:v>West</x:v>
      </x:c>
      <x:c r="G9184" t="str">
        <x:v>Technology</x:v>
      </x:c>
      <x:c r="H9184" t="str">
        <x:v>Phones</x:v>
      </x:c>
      <x:c r="I9184" s="22" t="n">
        <x:v>707.88</x:v>
      </x:c>
      <x:c r="J9184" s="24" t="n">
        <x:v>3</x:v>
      </x:c>
      <x:c r="K9184" s="26" t="n">
        <x:v>0.2</x:v>
      </x:c>
      <x:c r="L9184" s="22" t="n">
        <x:v>44.242500000000035</x:v>
      </x:c>
      <x:c r="M9184" t="n">
        <x:v>2017</x:v>
      </x:c>
      <x:c r="N9184" s="20" t="n">
        <x:v>42948</x:v>
      </x:c>
    </x:row>
    <x:row r="9185" ht="18" customHeight="1">
      <x:c r="A9185" t="str">
        <x:v>CA-2017-156776</x:v>
      </x:c>
      <x:c r="B9185" s="18" t="n">
        <x:v>42954</x:v>
      </x:c>
      <x:c r="C9185" t="str">
        <x:v>JL-15505</x:v>
      </x:c>
      <x:c r="D9185" t="str">
        <x:v>Jeremy Lonsdale</x:v>
      </x:c>
      <x:c r="E9185" t="str">
        <x:v>Consumer</x:v>
      </x:c>
      <x:c r="F9185" t="str">
        <x:v>West</x:v>
      </x:c>
      <x:c r="G9185" t="str">
        <x:v>Office Supplies</x:v>
      </x:c>
      <x:c r="H9185" t="str">
        <x:v>Binders</x:v>
      </x:c>
      <x:c r="I9185" s="22" t="n">
        <x:v>11.952000000000002</x:v>
      </x:c>
      <x:c r="J9185" s="24" t="n">
        <x:v>3</x:v>
      </x:c>
      <x:c r="K9185" s="26" t="n">
        <x:v>0.2</x:v>
      </x:c>
      <x:c r="L9185" s="22" t="n">
        <x:v>4.1832</x:v>
      </x:c>
      <x:c r="M9185" t="n">
        <x:v>2017</x:v>
      </x:c>
      <x:c r="N9185" s="20" t="n">
        <x:v>42948</x:v>
      </x:c>
    </x:row>
    <x:row r="9186" ht="18" customHeight="1">
      <x:c r="A9186" t="str">
        <x:v>CA-2017-156776</x:v>
      </x:c>
      <x:c r="B9186" s="18" t="n">
        <x:v>42954</x:v>
      </x:c>
      <x:c r="C9186" t="str">
        <x:v>JL-15505</x:v>
      </x:c>
      <x:c r="D9186" t="str">
        <x:v>Jeremy Lonsdale</x:v>
      </x:c>
      <x:c r="E9186" t="str">
        <x:v>Consumer</x:v>
      </x:c>
      <x:c r="F9186" t="str">
        <x:v>West</x:v>
      </x:c>
      <x:c r="G9186" t="str">
        <x:v>Office Supplies</x:v>
      </x:c>
      <x:c r="H9186" t="str">
        <x:v>Binders</x:v>
      </x:c>
      <x:c r="I9186" s="22" t="n">
        <x:v>31.128000000000004</x:v>
      </x:c>
      <x:c r="J9186" s="24" t="n">
        <x:v>3</x:v>
      </x:c>
      <x:c r="K9186" s="26" t="n">
        <x:v>0.2</x:v>
      </x:c>
      <x:c r="L9186" s="22" t="n">
        <x:v>11.673000000000002</x:v>
      </x:c>
      <x:c r="M9186" t="n">
        <x:v>2017</x:v>
      </x:c>
      <x:c r="N9186" s="20" t="n">
        <x:v>42948</x:v>
      </x:c>
    </x:row>
    <x:row r="9187" ht="18" customHeight="1">
      <x:c r="A9187" t="str">
        <x:v>CA-2017-156776</x:v>
      </x:c>
      <x:c r="B9187" s="18" t="n">
        <x:v>42954</x:v>
      </x:c>
      <x:c r="C9187" t="str">
        <x:v>JL-15505</x:v>
      </x:c>
      <x:c r="D9187" t="str">
        <x:v>Jeremy Lonsdale</x:v>
      </x:c>
      <x:c r="E9187" t="str">
        <x:v>Consumer</x:v>
      </x:c>
      <x:c r="F9187" t="str">
        <x:v>West</x:v>
      </x:c>
      <x:c r="G9187" t="str">
        <x:v>Technology</x:v>
      </x:c>
      <x:c r="H9187" t="str">
        <x:v>Accessories</x:v>
      </x:c>
      <x:c r="I9187" s="22" t="n">
        <x:v>55.76</x:v>
      </x:c>
      <x:c r="J9187" s="24" t="n">
        <x:v>4</x:v>
      </x:c>
      <x:c r="K9187" s="26" t="n">
        <x:v>0</x:v>
      </x:c>
      <x:c r="L9187" s="22" t="n">
        <x:v>7.806400000000004</x:v>
      </x:c>
      <x:c r="M9187" t="n">
        <x:v>2017</x:v>
      </x:c>
      <x:c r="N9187" s="20" t="n">
        <x:v>42948</x:v>
      </x:c>
    </x:row>
    <x:row r="9188" ht="18" customHeight="1">
      <x:c r="A9188" t="str">
        <x:v>CA-2017-156776</x:v>
      </x:c>
      <x:c r="B9188" s="18" t="n">
        <x:v>42954</x:v>
      </x:c>
      <x:c r="C9188" t="str">
        <x:v>JL-15505</x:v>
      </x:c>
      <x:c r="D9188" t="str">
        <x:v>Jeremy Lonsdale</x:v>
      </x:c>
      <x:c r="E9188" t="str">
        <x:v>Consumer</x:v>
      </x:c>
      <x:c r="F9188" t="str">
        <x:v>West</x:v>
      </x:c>
      <x:c r="G9188" t="str">
        <x:v>Office Supplies</x:v>
      </x:c>
      <x:c r="H9188" t="str">
        <x:v>Paper</x:v>
      </x:c>
      <x:c r="I9188" s="22" t="n">
        <x:v>24.56</x:v>
      </x:c>
      <x:c r="J9188" s="24" t="n">
        <x:v>2</x:v>
      </x:c>
      <x:c r="K9188" s="26" t="n">
        <x:v>0</x:v>
      </x:c>
      <x:c r="L9188" s="22" t="n">
        <x:v>11.543199999999999</x:v>
      </x:c>
      <x:c r="M9188" t="n">
        <x:v>2017</x:v>
      </x:c>
      <x:c r="N9188" s="20" t="n">
        <x:v>42948</x:v>
      </x:c>
    </x:row>
    <x:row r="9189" ht="18" customHeight="1">
      <x:c r="A9189" t="str">
        <x:v>CA-2017-156776</x:v>
      </x:c>
      <x:c r="B9189" s="18" t="n">
        <x:v>42954</x:v>
      </x:c>
      <x:c r="C9189" t="str">
        <x:v>JL-15505</x:v>
      </x:c>
      <x:c r="D9189" t="str">
        <x:v>Jeremy Lonsdale</x:v>
      </x:c>
      <x:c r="E9189" t="str">
        <x:v>Consumer</x:v>
      </x:c>
      <x:c r="F9189" t="str">
        <x:v>West</x:v>
      </x:c>
      <x:c r="G9189" t="str">
        <x:v>Furniture</x:v>
      </x:c>
      <x:c r="H9189" t="str">
        <x:v>Furnishings</x:v>
      </x:c>
      <x:c r="I9189" s="22" t="n">
        <x:v>51.75</x:v>
      </x:c>
      <x:c r="J9189" s="24" t="n">
        <x:v>1</x:v>
      </x:c>
      <x:c r="K9189" s="26" t="n">
        <x:v>0</x:v>
      </x:c>
      <x:c r="L9189" s="22" t="n">
        <x:v>15.524999999999999</x:v>
      </x:c>
      <x:c r="M9189" t="n">
        <x:v>2017</x:v>
      </x:c>
      <x:c r="N9189" s="20" t="n">
        <x:v>42948</x:v>
      </x:c>
    </x:row>
    <x:row r="9190" ht="18" customHeight="1">
      <x:c r="A9190" t="str">
        <x:v>CA-2017-156776</x:v>
      </x:c>
      <x:c r="B9190" s="18" t="n">
        <x:v>42954</x:v>
      </x:c>
      <x:c r="C9190" t="str">
        <x:v>JL-15505</x:v>
      </x:c>
      <x:c r="D9190" t="str">
        <x:v>Jeremy Lonsdale</x:v>
      </x:c>
      <x:c r="E9190" t="str">
        <x:v>Consumer</x:v>
      </x:c>
      <x:c r="F9190" t="str">
        <x:v>West</x:v>
      </x:c>
      <x:c r="G9190" t="str">
        <x:v>Furniture</x:v>
      </x:c>
      <x:c r="H9190" t="str">
        <x:v>Chairs</x:v>
      </x:c>
      <x:c r="I9190" s="22" t="n">
        <x:v>207.18400000000003</x:v>
      </x:c>
      <x:c r="J9190" s="24" t="n">
        <x:v>1</x:v>
      </x:c>
      <x:c r="K9190" s="26" t="n">
        <x:v>0.2</x:v>
      </x:c>
      <x:c r="L9190" s="22" t="n">
        <x:v>25.897999999999982</x:v>
      </x:c>
      <x:c r="M9190" t="n">
        <x:v>2017</x:v>
      </x:c>
      <x:c r="N9190" s="20" t="n">
        <x:v>42948</x:v>
      </x:c>
    </x:row>
    <x:row r="9191" ht="18" customHeight="1">
      <x:c r="A9191" t="str">
        <x:v>CA-2017-156776</x:v>
      </x:c>
      <x:c r="B9191" s="18" t="n">
        <x:v>42954</x:v>
      </x:c>
      <x:c r="C9191" t="str">
        <x:v>JL-15505</x:v>
      </x:c>
      <x:c r="D9191" t="str">
        <x:v>Jeremy Lonsdale</x:v>
      </x:c>
      <x:c r="E9191" t="str">
        <x:v>Consumer</x:v>
      </x:c>
      <x:c r="F9191" t="str">
        <x:v>West</x:v>
      </x:c>
      <x:c r="G9191" t="str">
        <x:v>Office Supplies</x:v>
      </x:c>
      <x:c r="H9191" t="str">
        <x:v>Appliances</x:v>
      </x:c>
      <x:c r="I9191" s="22" t="n">
        <x:v>1473.1</x:v>
      </x:c>
      <x:c r="J9191" s="24" t="n">
        <x:v>5</x:v>
      </x:c>
      <x:c r="K9191" s="26" t="n">
        <x:v>0</x:v>
      </x:c>
      <x:c r="L9191" s="22" t="n">
        <x:v>412.4680000000001</x:v>
      </x:c>
      <x:c r="M9191" t="n">
        <x:v>2017</x:v>
      </x:c>
      <x:c r="N9191" s="20" t="n">
        <x:v>42948</x:v>
      </x:c>
    </x:row>
    <x:row r="9192" ht="18" customHeight="1">
      <x:c r="A9192" t="str">
        <x:v>US-2015-130512</x:v>
      </x:c>
      <x:c r="B9192" s="18" t="n">
        <x:v>42237</x:v>
      </x:c>
      <x:c r="C9192" t="str">
        <x:v>SM-20320</x:v>
      </x:c>
      <x:c r="D9192" t="str">
        <x:v>Sean Miller</x:v>
      </x:c>
      <x:c r="E9192" t="str">
        <x:v>Home Office</x:v>
      </x:c>
      <x:c r="F9192" t="str">
        <x:v>East</x:v>
      </x:c>
      <x:c r="G9192" t="str">
        <x:v>Office Supplies</x:v>
      </x:c>
      <x:c r="H9192" t="str">
        <x:v>Supplies</x:v>
      </x:c>
      <x:c r="I9192" s="22" t="n">
        <x:v>3.4880000000000004</x:v>
      </x:c>
      <x:c r="J9192" s="24" t="n">
        <x:v>2</x:v>
      </x:c>
      <x:c r="K9192" s="26" t="n">
        <x:v>0.2</x:v>
      </x:c>
      <x:c r="L9192" s="22" t="n">
        <x:v>-0.6976000000000007</x:v>
      </x:c>
      <x:c r="M9192" t="n">
        <x:v>2015</x:v>
      </x:c>
      <x:c r="N9192" s="20" t="n">
        <x:v>42217</x:v>
      </x:c>
    </x:row>
    <x:row r="9193" ht="18" customHeight="1">
      <x:c r="A9193" t="str">
        <x:v>US-2015-130512</x:v>
      </x:c>
      <x:c r="B9193" s="18" t="n">
        <x:v>42237</x:v>
      </x:c>
      <x:c r="C9193" t="str">
        <x:v>SM-20320</x:v>
      </x:c>
      <x:c r="D9193" t="str">
        <x:v>Sean Miller</x:v>
      </x:c>
      <x:c r="E9193" t="str">
        <x:v>Home Office</x:v>
      </x:c>
      <x:c r="F9193" t="str">
        <x:v>East</x:v>
      </x:c>
      <x:c r="G9193" t="str">
        <x:v>Technology</x:v>
      </x:c>
      <x:c r="H9193" t="str">
        <x:v>Accessories</x:v>
      </x:c>
      <x:c r="I9193" s="22" t="n">
        <x:v>21.728</x:v>
      </x:c>
      <x:c r="J9193" s="24" t="n">
        <x:v>4</x:v>
      </x:c>
      <x:c r="K9193" s="26" t="n">
        <x:v>0.2</x:v>
      </x:c>
      <x:c r="L9193" s="22" t="n">
        <x:v>3.8024000000000004</x:v>
      </x:c>
      <x:c r="M9193" t="n">
        <x:v>2015</x:v>
      </x:c>
      <x:c r="N9193" s="20" t="n">
        <x:v>42217</x:v>
      </x:c>
    </x:row>
    <x:row r="9194" ht="18" customHeight="1">
      <x:c r="A9194" t="str">
        <x:v>US-2015-130512</x:v>
      </x:c>
      <x:c r="B9194" s="18" t="n">
        <x:v>42237</x:v>
      </x:c>
      <x:c r="C9194" t="str">
        <x:v>SM-20320</x:v>
      </x:c>
      <x:c r="D9194" t="str">
        <x:v>Sean Miller</x:v>
      </x:c>
      <x:c r="E9194" t="str">
        <x:v>Home Office</x:v>
      </x:c>
      <x:c r="F9194" t="str">
        <x:v>East</x:v>
      </x:c>
      <x:c r="G9194" t="str">
        <x:v>Office Supplies</x:v>
      </x:c>
      <x:c r="H9194" t="str">
        <x:v>Storage</x:v>
      </x:c>
      <x:c r="I9194" s="22" t="n">
        <x:v>663.072</x:v>
      </x:c>
      <x:c r="J9194" s="24" t="n">
        <x:v>6</x:v>
      </x:c>
      <x:c r="K9194" s="26" t="n">
        <x:v>0.2</x:v>
      </x:c>
      <x:c r="L9194" s="22" t="n">
        <x:v>-165.768</x:v>
      </x:c>
      <x:c r="M9194" t="n">
        <x:v>2015</x:v>
      </x:c>
      <x:c r="N9194" s="20" t="n">
        <x:v>42217</x:v>
      </x:c>
    </x:row>
    <x:row r="9195" ht="18" customHeight="1">
      <x:c r="A9195" t="str">
        <x:v>US-2015-130512</x:v>
      </x:c>
      <x:c r="B9195" s="18" t="n">
        <x:v>42237</x:v>
      </x:c>
      <x:c r="C9195" t="str">
        <x:v>SM-20320</x:v>
      </x:c>
      <x:c r="D9195" t="str">
        <x:v>Sean Miller</x:v>
      </x:c>
      <x:c r="E9195" t="str">
        <x:v>Home Office</x:v>
      </x:c>
      <x:c r="F9195" t="str">
        <x:v>East</x:v>
      </x:c>
      <x:c r="G9195" t="str">
        <x:v>Office Supplies</x:v>
      </x:c>
      <x:c r="H9195" t="str">
        <x:v>Binders</x:v>
      </x:c>
      <x:c r="I9195" s="22" t="n">
        <x:v>99.58800000000001</x:v>
      </x:c>
      <x:c r="J9195" s="24" t="n">
        <x:v>2</x:v>
      </x:c>
      <x:c r="K9195" s="26" t="n">
        <x:v>0.7</x:v>
      </x:c>
      <x:c r="L9195" s="22" t="n">
        <x:v>-82.98999999999998</x:v>
      </x:c>
      <x:c r="M9195" t="n">
        <x:v>2015</x:v>
      </x:c>
      <x:c r="N9195" s="20" t="n">
        <x:v>42217</x:v>
      </x:c>
    </x:row>
    <x:row r="9196" ht="18" customHeight="1">
      <x:c r="A9196" t="str">
        <x:v>US-2015-130512</x:v>
      </x:c>
      <x:c r="B9196" s="18" t="n">
        <x:v>42237</x:v>
      </x:c>
      <x:c r="C9196" t="str">
        <x:v>SM-20320</x:v>
      </x:c>
      <x:c r="D9196" t="str">
        <x:v>Sean Miller</x:v>
      </x:c>
      <x:c r="E9196" t="str">
        <x:v>Home Office</x:v>
      </x:c>
      <x:c r="F9196" t="str">
        <x:v>East</x:v>
      </x:c>
      <x:c r="G9196" t="str">
        <x:v>Office Supplies</x:v>
      </x:c>
      <x:c r="H9196" t="str">
        <x:v>Paper</x:v>
      </x:c>
      <x:c r="I9196" s="22" t="n">
        <x:v>49.568000000000005</x:v>
      </x:c>
      <x:c r="J9196" s="24" t="n">
        <x:v>2</x:v>
      </x:c>
      <x:c r="K9196" s="26" t="n">
        <x:v>0.2</x:v>
      </x:c>
      <x:c r="L9196" s="22" t="n">
        <x:v>15.489999999999997</x:v>
      </x:c>
      <x:c r="M9196" t="n">
        <x:v>2015</x:v>
      </x:c>
      <x:c r="N9196" s="20" t="n">
        <x:v>42217</x:v>
      </x:c>
    </x:row>
    <x:row r="9197" ht="18" customHeight="1">
      <x:c r="A9197" t="str">
        <x:v>CA-2015-141810</x:v>
      </x:c>
      <x:c r="B9197" s="18" t="n">
        <x:v>42310</x:v>
      </x:c>
      <x:c r="C9197" t="str">
        <x:v>BB-10990</x:v>
      </x:c>
      <x:c r="D9197" t="str">
        <x:v>Barry Blumstein</x:v>
      </x:c>
      <x:c r="E9197" t="str">
        <x:v>Corporate</x:v>
      </x:c>
      <x:c r="F9197" t="str">
        <x:v>Central</x:v>
      </x:c>
      <x:c r="G9197" t="str">
        <x:v>Office Supplies</x:v>
      </x:c>
      <x:c r="H9197" t="str">
        <x:v>Binders</x:v>
      </x:c>
      <x:c r="I9197" s="22" t="n">
        <x:v>29.371999999999993</x:v>
      </x:c>
      <x:c r="J9197" s="24" t="n">
        <x:v>7</x:v>
      </x:c>
      <x:c r="K9197" s="26" t="n">
        <x:v>0.8</x:v>
      </x:c>
      <x:c r="L9197" s="22" t="n">
        <x:v>-46.995200000000025</x:v>
      </x:c>
      <x:c r="M9197" t="n">
        <x:v>2015</x:v>
      </x:c>
      <x:c r="N9197" s="20" t="n">
        <x:v>42309</x:v>
      </x:c>
    </x:row>
    <x:row r="9198" ht="18" customHeight="1">
      <x:c r="A9198" t="str">
        <x:v>CA-2015-141810</x:v>
      </x:c>
      <x:c r="B9198" s="18" t="n">
        <x:v>42310</x:v>
      </x:c>
      <x:c r="C9198" t="str">
        <x:v>BB-10990</x:v>
      </x:c>
      <x:c r="D9198" t="str">
        <x:v>Barry Blumstein</x:v>
      </x:c>
      <x:c r="E9198" t="str">
        <x:v>Corporate</x:v>
      </x:c>
      <x:c r="F9198" t="str">
        <x:v>Central</x:v>
      </x:c>
      <x:c r="G9198" t="str">
        <x:v>Technology</x:v>
      </x:c>
      <x:c r="H9198" t="str">
        <x:v>Phones</x:v>
      </x:c>
      <x:c r="I9198" s="22" t="n">
        <x:v>344.704</x:v>
      </x:c>
      <x:c r="J9198" s="24" t="n">
        <x:v>2</x:v>
      </x:c>
      <x:c r="K9198" s="26" t="n">
        <x:v>0.2</x:v>
      </x:c>
      <x:c r="L9198" s="22" t="n">
        <x:v>38.77919999999999</x:v>
      </x:c>
      <x:c r="M9198" t="n">
        <x:v>2015</x:v>
      </x:c>
      <x:c r="N9198" s="20" t="n">
        <x:v>42309</x:v>
      </x:c>
    </x:row>
    <x:row r="9199" ht="18" customHeight="1">
      <x:c r="A9199" t="str">
        <x:v>CA-2014-146843</x:v>
      </x:c>
      <x:c r="B9199" s="18" t="n">
        <x:v>41973</x:v>
      </x:c>
      <x:c r="C9199" t="str">
        <x:v>PB-19150</x:v>
      </x:c>
      <x:c r="D9199" t="str">
        <x:v>Philip Brown</x:v>
      </x:c>
      <x:c r="E9199" t="str">
        <x:v>Consumer</x:v>
      </x:c>
      <x:c r="F9199" t="str">
        <x:v>West</x:v>
      </x:c>
      <x:c r="G9199" t="str">
        <x:v>Office Supplies</x:v>
      </x:c>
      <x:c r="H9199" t="str">
        <x:v>Supplies</x:v>
      </x:c>
      <x:c r="I9199" s="22" t="n">
        <x:v>47.992000000000004</x:v>
      </x:c>
      <x:c r="J9199" s="24" t="n">
        <x:v>7</x:v>
      </x:c>
      <x:c r="K9199" s="26" t="n">
        <x:v>0.2</x:v>
      </x:c>
      <x:c r="L9199" s="22" t="n">
        <x:v>3.5993999999999993</x:v>
      </x:c>
      <x:c r="M9199" t="n">
        <x:v>2014</x:v>
      </x:c>
      <x:c r="N9199" s="20" t="n">
        <x:v>41944</x:v>
      </x:c>
    </x:row>
    <x:row r="9200" ht="18" customHeight="1">
      <x:c r="A9200" t="str">
        <x:v>CA-2014-146843</x:v>
      </x:c>
      <x:c r="B9200" s="18" t="n">
        <x:v>41973</x:v>
      </x:c>
      <x:c r="C9200" t="str">
        <x:v>PB-19150</x:v>
      </x:c>
      <x:c r="D9200" t="str">
        <x:v>Philip Brown</x:v>
      </x:c>
      <x:c r="E9200" t="str">
        <x:v>Consumer</x:v>
      </x:c>
      <x:c r="F9200" t="str">
        <x:v>West</x:v>
      </x:c>
      <x:c r="G9200" t="str">
        <x:v>Technology</x:v>
      </x:c>
      <x:c r="H9200" t="str">
        <x:v>Accessories</x:v>
      </x:c>
      <x:c r="I9200" s="22" t="n">
        <x:v>102.24000000000001</x:v>
      </x:c>
      <x:c r="J9200" s="24" t="n">
        <x:v>4</x:v>
      </x:c>
      <x:c r="K9200" s="26" t="n">
        <x:v>0.2</x:v>
      </x:c>
      <x:c r="L9200" s="22" t="n">
        <x:v>-16.614000000000004</x:v>
      </x:c>
      <x:c r="M9200" t="n">
        <x:v>2014</x:v>
      </x:c>
      <x:c r="N9200" s="20" t="n">
        <x:v>41944</x:v>
      </x:c>
    </x:row>
    <x:row r="9201" ht="18" customHeight="1">
      <x:c r="A9201" t="str">
        <x:v>CA-2014-103310</x:v>
      </x:c>
      <x:c r="B9201" s="18" t="n">
        <x:v>41769</x:v>
      </x:c>
      <x:c r="C9201" t="str">
        <x:v>GM-14680</x:v>
      </x:c>
      <x:c r="D9201" t="str">
        <x:v>Greg Matthias</x:v>
      </x:c>
      <x:c r="E9201" t="str">
        <x:v>Consumer</x:v>
      </x:c>
      <x:c r="F9201" t="str">
        <x:v>West</x:v>
      </x:c>
      <x:c r="G9201" t="str">
        <x:v>Office Supplies</x:v>
      </x:c>
      <x:c r="H9201" t="str">
        <x:v>Paper</x:v>
      </x:c>
      <x:c r="I9201" s="22" t="n">
        <x:v>39.96</x:v>
      </x:c>
      <x:c r="J9201" s="24" t="n">
        <x:v>2</x:v>
      </x:c>
      <x:c r="K9201" s="26" t="n">
        <x:v>0</x:v>
      </x:c>
      <x:c r="L9201" s="22" t="n">
        <x:v>19.1808</x:v>
      </x:c>
      <x:c r="M9201" t="n">
        <x:v>2014</x:v>
      </x:c>
      <x:c r="N9201" s="20" t="n">
        <x:v>41760</x:v>
      </x:c>
    </x:row>
    <x:row r="9202" ht="18" customHeight="1">
      <x:c r="A9202" t="str">
        <x:v>CA-2014-103310</x:v>
      </x:c>
      <x:c r="B9202" s="18" t="n">
        <x:v>41769</x:v>
      </x:c>
      <x:c r="C9202" t="str">
        <x:v>GM-14680</x:v>
      </x:c>
      <x:c r="D9202" t="str">
        <x:v>Greg Matthias</x:v>
      </x:c>
      <x:c r="E9202" t="str">
        <x:v>Consumer</x:v>
      </x:c>
      <x:c r="F9202" t="str">
        <x:v>West</x:v>
      </x:c>
      <x:c r="G9202" t="str">
        <x:v>Technology</x:v>
      </x:c>
      <x:c r="H9202" t="str">
        <x:v>Phones</x:v>
      </x:c>
      <x:c r="I9202" s="22" t="n">
        <x:v>1432.0000000000002</x:v>
      </x:c>
      <x:c r="J9202" s="24" t="n">
        <x:v>5</x:v>
      </x:c>
      <x:c r="K9202" s="26" t="n">
        <x:v>0.2</x:v>
      </x:c>
      <x:c r="L9202" s="22" t="n">
        <x:v>125.30000000000007</x:v>
      </x:c>
      <x:c r="M9202" t="n">
        <x:v>2014</x:v>
      </x:c>
      <x:c r="N9202" s="20" t="n">
        <x:v>41760</x:v>
      </x:c>
    </x:row>
    <x:row r="9203" ht="18" customHeight="1">
      <x:c r="A9203" t="str">
        <x:v>CA-2014-103310</x:v>
      </x:c>
      <x:c r="B9203" s="18" t="n">
        <x:v>41769</x:v>
      </x:c>
      <x:c r="C9203" t="str">
        <x:v>GM-14680</x:v>
      </x:c>
      <x:c r="D9203" t="str">
        <x:v>Greg Matthias</x:v>
      </x:c>
      <x:c r="E9203" t="str">
        <x:v>Consumer</x:v>
      </x:c>
      <x:c r="F9203" t="str">
        <x:v>West</x:v>
      </x:c>
      <x:c r="G9203" t="str">
        <x:v>Office Supplies</x:v>
      </x:c>
      <x:c r="H9203" t="str">
        <x:v>Supplies</x:v>
      </x:c>
      <x:c r="I9203" s="22" t="n">
        <x:v>41.04</x:v>
      </x:c>
      <x:c r="J9203" s="24" t="n">
        <x:v>6</x:v>
      </x:c>
      <x:c r="K9203" s="26" t="n">
        <x:v>0</x:v>
      </x:c>
      <x:c r="L9203" s="22" t="n">
        <x:v>11.0808</x:v>
      </x:c>
      <x:c r="M9203" t="n">
        <x:v>2014</x:v>
      </x:c>
      <x:c r="N9203" s="20" t="n">
        <x:v>41760</x:v>
      </x:c>
    </x:row>
    <x:row r="9204" ht="18" customHeight="1">
      <x:c r="A9204" t="str">
        <x:v>CA-2014-103310</x:v>
      </x:c>
      <x:c r="B9204" s="18" t="n">
        <x:v>41769</x:v>
      </x:c>
      <x:c r="C9204" t="str">
        <x:v>GM-14680</x:v>
      </x:c>
      <x:c r="D9204" t="str">
        <x:v>Greg Matthias</x:v>
      </x:c>
      <x:c r="E9204" t="str">
        <x:v>Consumer</x:v>
      </x:c>
      <x:c r="F9204" t="str">
        <x:v>West</x:v>
      </x:c>
      <x:c r="G9204" t="str">
        <x:v>Furniture</x:v>
      </x:c>
      <x:c r="H9204" t="str">
        <x:v>Chairs</x:v>
      </x:c>
      <x:c r="I9204" s="22" t="n">
        <x:v>256.78400000000005</x:v>
      </x:c>
      <x:c r="J9204" s="24" t="n">
        <x:v>1</x:v>
      </x:c>
      <x:c r="K9204" s="26" t="n">
        <x:v>0.2</x:v>
      </x:c>
      <x:c r="L9204" s="22" t="n">
        <x:v>32.09799999999997</x:v>
      </x:c>
      <x:c r="M9204" t="n">
        <x:v>2014</x:v>
      </x:c>
      <x:c r="N9204" s="20" t="n">
        <x:v>41760</x:v>
      </x:c>
    </x:row>
    <x:row r="9205" ht="18" customHeight="1">
      <x:c r="A9205" t="str">
        <x:v>CA-2016-152688</x:v>
      </x:c>
      <x:c r="B9205" s="18" t="n">
        <x:v>42660</x:v>
      </x:c>
      <x:c r="C9205" t="str">
        <x:v>NR-18550</x:v>
      </x:c>
      <x:c r="D9205" t="str">
        <x:v>Nick Radford</x:v>
      </x:c>
      <x:c r="E9205" t="str">
        <x:v>Consumer</x:v>
      </x:c>
      <x:c r="F9205" t="str">
        <x:v>East</x:v>
      </x:c>
      <x:c r="G9205" t="str">
        <x:v>Furniture</x:v>
      </x:c>
      <x:c r="H9205" t="str">
        <x:v>Bookcases</x:v>
      </x:c>
      <x:c r="I9205" s="22" t="n">
        <x:v>120.98</x:v>
      </x:c>
      <x:c r="J9205" s="24" t="n">
        <x:v>1</x:v>
      </x:c>
      <x:c r="K9205" s="26" t="n">
        <x:v>0</x:v>
      </x:c>
      <x:c r="L9205" s="22" t="n">
        <x:v>12.097999999999999</x:v>
      </x:c>
      <x:c r="M9205" t="n">
        <x:v>2016</x:v>
      </x:c>
      <x:c r="N9205" s="20" t="n">
        <x:v>42644</x:v>
      </x:c>
    </x:row>
    <x:row r="9206" ht="18" customHeight="1">
      <x:c r="A9206" t="str">
        <x:v>CA-2016-152688</x:v>
      </x:c>
      <x:c r="B9206" s="18" t="n">
        <x:v>42660</x:v>
      </x:c>
      <x:c r="C9206" t="str">
        <x:v>NR-18550</x:v>
      </x:c>
      <x:c r="D9206" t="str">
        <x:v>Nick Radford</x:v>
      </x:c>
      <x:c r="E9206" t="str">
        <x:v>Consumer</x:v>
      </x:c>
      <x:c r="F9206" t="str">
        <x:v>East</x:v>
      </x:c>
      <x:c r="G9206" t="str">
        <x:v>Office Supplies</x:v>
      </x:c>
      <x:c r="H9206" t="str">
        <x:v>Binders</x:v>
      </x:c>
      <x:c r="I9206" s="22" t="n">
        <x:v>315.98</x:v>
      </x:c>
      <x:c r="J9206" s="24" t="n">
        <x:v>1</x:v>
      </x:c>
      <x:c r="K9206" s="26" t="n">
        <x:v>0</x:v>
      </x:c>
      <x:c r="L9206" s="22" t="n">
        <x:v>148.5106</x:v>
      </x:c>
      <x:c r="M9206" t="n">
        <x:v>2016</x:v>
      </x:c>
      <x:c r="N9206" s="20" t="n">
        <x:v>42644</x:v>
      </x:c>
    </x:row>
    <x:row r="9207" ht="18" customHeight="1">
      <x:c r="A9207" t="str">
        <x:v>CA-2016-153836</x:v>
      </x:c>
      <x:c r="B9207" s="18" t="n">
        <x:v>42673</x:v>
      </x:c>
      <x:c r="C9207" t="str">
        <x:v>EH-13765</x:v>
      </x:c>
      <x:c r="D9207" t="str">
        <x:v>Edward Hooks</x:v>
      </x:c>
      <x:c r="E9207" t="str">
        <x:v>Corporate</x:v>
      </x:c>
      <x:c r="F9207" t="str">
        <x:v>East</x:v>
      </x:c>
      <x:c r="G9207" t="str">
        <x:v>Office Supplies</x:v>
      </x:c>
      <x:c r="H9207" t="str">
        <x:v>Binders</x:v>
      </x:c>
      <x:c r="I9207" s="22" t="n">
        <x:v>28.752000000000002</x:v>
      </x:c>
      <x:c r="J9207" s="24" t="n">
        <x:v>3</x:v>
      </x:c>
      <x:c r="K9207" s="26" t="n">
        <x:v>0.2</x:v>
      </x:c>
      <x:c r="L9207" s="22" t="n">
        <x:v>10.0632</x:v>
      </x:c>
      <x:c r="M9207" t="n">
        <x:v>2016</x:v>
      </x:c>
      <x:c r="N9207" s="20" t="n">
        <x:v>42644</x:v>
      </x:c>
    </x:row>
    <x:row r="9208" ht="18" customHeight="1">
      <x:c r="A9208" t="str">
        <x:v>CA-2016-153836</x:v>
      </x:c>
      <x:c r="B9208" s="18" t="n">
        <x:v>42673</x:v>
      </x:c>
      <x:c r="C9208" t="str">
        <x:v>EH-13765</x:v>
      </x:c>
      <x:c r="D9208" t="str">
        <x:v>Edward Hooks</x:v>
      </x:c>
      <x:c r="E9208" t="str">
        <x:v>Corporate</x:v>
      </x:c>
      <x:c r="F9208" t="str">
        <x:v>East</x:v>
      </x:c>
      <x:c r="G9208" t="str">
        <x:v>Office Supplies</x:v>
      </x:c>
      <x:c r="H9208" t="str">
        <x:v>Art</x:v>
      </x:c>
      <x:c r="I9208" s="22" t="n">
        <x:v>114.94999999999999</x:v>
      </x:c>
      <x:c r="J9208" s="24" t="n">
        <x:v>5</x:v>
      </x:c>
      <x:c r="K9208" s="26" t="n">
        <x:v>0</x:v>
      </x:c>
      <x:c r="L9208" s="22" t="n">
        <x:v>32.18600000000001</x:v>
      </x:c>
      <x:c r="M9208" t="n">
        <x:v>2016</x:v>
      </x:c>
      <x:c r="N9208" s="20" t="n">
        <x:v>42644</x:v>
      </x:c>
    </x:row>
    <x:row r="9209" ht="18" customHeight="1">
      <x:c r="A9209" t="str">
        <x:v>CA-2016-104689</x:v>
      </x:c>
      <x:c r="B9209" s="18" t="n">
        <x:v>42705</x:v>
      </x:c>
      <x:c r="C9209" t="str">
        <x:v>FH-14365</x:v>
      </x:c>
      <x:c r="D9209" t="str">
        <x:v>Fred Hopkins</x:v>
      </x:c>
      <x:c r="E9209" t="str">
        <x:v>Corporate</x:v>
      </x:c>
      <x:c r="F9209" t="str">
        <x:v>West</x:v>
      </x:c>
      <x:c r="G9209" t="str">
        <x:v>Office Supplies</x:v>
      </x:c>
      <x:c r="H9209" t="str">
        <x:v>Art</x:v>
      </x:c>
      <x:c r="I9209" s="22" t="n">
        <x:v>23.04</x:v>
      </x:c>
      <x:c r="J9209" s="24" t="n">
        <x:v>8</x:v>
      </x:c>
      <x:c r="K9209" s="26" t="n">
        <x:v>0</x:v>
      </x:c>
      <x:c r="L9209" s="22" t="n">
        <x:v>6.911999999999999</x:v>
      </x:c>
      <x:c r="M9209" t="n">
        <x:v>2016</x:v>
      </x:c>
      <x:c r="N9209" s="20" t="n">
        <x:v>42705</x:v>
      </x:c>
    </x:row>
    <x:row r="9210" ht="18" customHeight="1">
      <x:c r="A9210" t="str">
        <x:v>CA-2016-146423</x:v>
      </x:c>
      <x:c r="B9210" s="18" t="n">
        <x:v>42481</x:v>
      </x:c>
      <x:c r="C9210" t="str">
        <x:v>BT-11680</x:v>
      </x:c>
      <x:c r="D9210" t="str">
        <x:v>Brian Thompson</x:v>
      </x:c>
      <x:c r="E9210" t="str">
        <x:v>Consumer</x:v>
      </x:c>
      <x:c r="F9210" t="str">
        <x:v>East</x:v>
      </x:c>
      <x:c r="G9210" t="str">
        <x:v>Office Supplies</x:v>
      </x:c>
      <x:c r="H9210" t="str">
        <x:v>Art</x:v>
      </x:c>
      <x:c r="I9210" s="22" t="n">
        <x:v>15.48</x:v>
      </x:c>
      <x:c r="J9210" s="24" t="n">
        <x:v>3</x:v>
      </x:c>
      <x:c r="K9210" s="26" t="n">
        <x:v>0</x:v>
      </x:c>
      <x:c r="L9210" s="22" t="n">
        <x:v>4.4891999999999985</x:v>
      </x:c>
      <x:c r="M9210" t="n">
        <x:v>2016</x:v>
      </x:c>
      <x:c r="N9210" s="20" t="n">
        <x:v>42461</x:v>
      </x:c>
    </x:row>
    <x:row r="9211" ht="18" customHeight="1">
      <x:c r="A9211" t="str">
        <x:v>CA-2016-146423</x:v>
      </x:c>
      <x:c r="B9211" s="18" t="n">
        <x:v>42481</x:v>
      </x:c>
      <x:c r="C9211" t="str">
        <x:v>BT-11680</x:v>
      </x:c>
      <x:c r="D9211" t="str">
        <x:v>Brian Thompson</x:v>
      </x:c>
      <x:c r="E9211" t="str">
        <x:v>Consumer</x:v>
      </x:c>
      <x:c r="F9211" t="str">
        <x:v>East</x:v>
      </x:c>
      <x:c r="G9211" t="str">
        <x:v>Office Supplies</x:v>
      </x:c>
      <x:c r="H9211" t="str">
        <x:v>Paper</x:v>
      </x:c>
      <x:c r="I9211" s="22" t="n">
        <x:v>51.84</x:v>
      </x:c>
      <x:c r="J9211" s="24" t="n">
        <x:v>8</x:v>
      </x:c>
      <x:c r="K9211" s="26" t="n">
        <x:v>0</x:v>
      </x:c>
      <x:c r="L9211" s="22" t="n">
        <x:v>24.883200000000002</x:v>
      </x:c>
      <x:c r="M9211" t="n">
        <x:v>2016</x:v>
      </x:c>
      <x:c r="N9211" s="20" t="n">
        <x:v>42461</x:v>
      </x:c>
    </x:row>
    <x:row r="9212" ht="18" customHeight="1">
      <x:c r="A9212" t="str">
        <x:v>CA-2017-140781</x:v>
      </x:c>
      <x:c r="B9212" s="18" t="n">
        <x:v>42950</x:v>
      </x:c>
      <x:c r="C9212" t="str">
        <x:v>AB-10105</x:v>
      </x:c>
      <x:c r="D9212" t="str">
        <x:v>Adrian Barton</x:v>
      </x:c>
      <x:c r="E9212" t="str">
        <x:v>Consumer</x:v>
      </x:c>
      <x:c r="F9212" t="str">
        <x:v>Central</x:v>
      </x:c>
      <x:c r="G9212" t="str">
        <x:v>Technology</x:v>
      </x:c>
      <x:c r="H9212" t="str">
        <x:v>Accessories</x:v>
      </x:c>
      <x:c r="I9212" s="22" t="n">
        <x:v>39.816</x:v>
      </x:c>
      <x:c r="J9212" s="24" t="n">
        <x:v>3</x:v>
      </x:c>
      <x:c r="K9212" s="26" t="n">
        <x:v>0.2</x:v>
      </x:c>
      <x:c r="L9212" s="22" t="n">
        <x:v>7.465499999999999</x:v>
      </x:c>
      <x:c r="M9212" t="n">
        <x:v>2017</x:v>
      </x:c>
      <x:c r="N9212" s="20" t="n">
        <x:v>42948</x:v>
      </x:c>
    </x:row>
    <x:row r="9213" ht="18" customHeight="1">
      <x:c r="A9213" t="str">
        <x:v>CA-2017-141747</x:v>
      </x:c>
      <x:c r="B9213" s="18" t="n">
        <x:v>42950</x:v>
      </x:c>
      <x:c r="C9213" t="str">
        <x:v>SC-20230</x:v>
      </x:c>
      <x:c r="D9213" t="str">
        <x:v>Scot Coram</x:v>
      </x:c>
      <x:c r="E9213" t="str">
        <x:v>Corporate</x:v>
      </x:c>
      <x:c r="F9213" t="str">
        <x:v>West</x:v>
      </x:c>
      <x:c r="G9213" t="str">
        <x:v>Office Supplies</x:v>
      </x:c>
      <x:c r="H9213" t="str">
        <x:v>Storage</x:v>
      </x:c>
      <x:c r="I9213" s="22" t="n">
        <x:v>16.06</x:v>
      </x:c>
      <x:c r="J9213" s="24" t="n">
        <x:v>1</x:v>
      </x:c>
      <x:c r="K9213" s="26" t="n">
        <x:v>0</x:v>
      </x:c>
      <x:c r="L9213" s="22" t="n">
        <x:v>4.175599999999999</x:v>
      </x:c>
      <x:c r="M9213" t="n">
        <x:v>2017</x:v>
      </x:c>
      <x:c r="N9213" s="20" t="n">
        <x:v>42948</x:v>
      </x:c>
    </x:row>
    <x:row r="9214" ht="18" customHeight="1">
      <x:c r="A9214" t="str">
        <x:v>CA-2017-142776</x:v>
      </x:c>
      <x:c r="B9214" s="18" t="n">
        <x:v>43080</x:v>
      </x:c>
      <x:c r="C9214" t="str">
        <x:v>RS-19870</x:v>
      </x:c>
      <x:c r="D9214" t="str">
        <x:v>Roy Skaria</x:v>
      </x:c>
      <x:c r="E9214" t="str">
        <x:v>Home Office</x:v>
      </x:c>
      <x:c r="F9214" t="str">
        <x:v>Central</x:v>
      </x:c>
      <x:c r="G9214" t="str">
        <x:v>Office Supplies</x:v>
      </x:c>
      <x:c r="H9214" t="str">
        <x:v>Envelopes</x:v>
      </x:c>
      <x:c r="I9214" s="22" t="n">
        <x:v>7.28</x:v>
      </x:c>
      <x:c r="J9214" s="24" t="n">
        <x:v>1</x:v>
      </x:c>
      <x:c r="K9214" s="26" t="n">
        <x:v>0</x:v>
      </x:c>
      <x:c r="L9214" s="22" t="n">
        <x:v>3.4944</x:v>
      </x:c>
      <x:c r="M9214" t="n">
        <x:v>2017</x:v>
      </x:c>
      <x:c r="N9214" s="20" t="n">
        <x:v>43070</x:v>
      </x:c>
    </x:row>
    <x:row r="9215" ht="18" customHeight="1">
      <x:c r="A9215" t="str">
        <x:v>CA-2017-142776</x:v>
      </x:c>
      <x:c r="B9215" s="18" t="n">
        <x:v>43080</x:v>
      </x:c>
      <x:c r="C9215" t="str">
        <x:v>RS-19870</x:v>
      </x:c>
      <x:c r="D9215" t="str">
        <x:v>Roy Skaria</x:v>
      </x:c>
      <x:c r="E9215" t="str">
        <x:v>Home Office</x:v>
      </x:c>
      <x:c r="F9215" t="str">
        <x:v>Central</x:v>
      </x:c>
      <x:c r="G9215" t="str">
        <x:v>Office Supplies</x:v>
      </x:c>
      <x:c r="H9215" t="str">
        <x:v>Binders</x:v>
      </x:c>
      <x:c r="I9215" s="22" t="n">
        <x:v>5.4</x:v>
      </x:c>
      <x:c r="J9215" s="24" t="n">
        <x:v>3</x:v>
      </x:c>
      <x:c r="K9215" s="26" t="n">
        <x:v>0</x:v>
      </x:c>
      <x:c r="L9215" s="22" t="n">
        <x:v>2.592</x:v>
      </x:c>
      <x:c r="M9215" t="n">
        <x:v>2017</x:v>
      </x:c>
      <x:c r="N9215" s="20" t="n">
        <x:v>43070</x:v>
      </x:c>
    </x:row>
    <x:row r="9216" ht="18" customHeight="1">
      <x:c r="A9216" t="str">
        <x:v>CA-2015-167479</x:v>
      </x:c>
      <x:c r="B9216" s="18" t="n">
        <x:v>42077</x:v>
      </x:c>
      <x:c r="C9216" t="str">
        <x:v>AI-10855</x:v>
      </x:c>
      <x:c r="D9216" t="str">
        <x:v>Arianne Irving</x:v>
      </x:c>
      <x:c r="E9216" t="str">
        <x:v>Consumer</x:v>
      </x:c>
      <x:c r="F9216" t="str">
        <x:v>West</x:v>
      </x:c>
      <x:c r="G9216" t="str">
        <x:v>Office Supplies</x:v>
      </x:c>
      <x:c r="H9216" t="str">
        <x:v>Paper</x:v>
      </x:c>
      <x:c r="I9216" s="22" t="n">
        <x:v>19.44</x:v>
      </x:c>
      <x:c r="J9216" s="24" t="n">
        <x:v>3</x:v>
      </x:c>
      <x:c r="K9216" s="26" t="n">
        <x:v>0</x:v>
      </x:c>
      <x:c r="L9216" s="22" t="n">
        <x:v>9.3312</x:v>
      </x:c>
      <x:c r="M9216" t="n">
        <x:v>2015</x:v>
      </x:c>
      <x:c r="N9216" s="20" t="n">
        <x:v>42064</x:v>
      </x:c>
    </x:row>
    <x:row r="9217" ht="18" customHeight="1">
      <x:c r="A9217" t="str">
        <x:v>CA-2014-144071</x:v>
      </x:c>
      <x:c r="B9217" s="18" t="n">
        <x:v>41981</x:v>
      </x:c>
      <x:c r="C9217" t="str">
        <x:v>DJ-13420</x:v>
      </x:c>
      <x:c r="D9217" t="str">
        <x:v>Denny Joy</x:v>
      </x:c>
      <x:c r="E9217" t="str">
        <x:v>Corporate</x:v>
      </x:c>
      <x:c r="F9217" t="str">
        <x:v>West</x:v>
      </x:c>
      <x:c r="G9217" t="str">
        <x:v>Furniture</x:v>
      </x:c>
      <x:c r="H9217" t="str">
        <x:v>Furnishings</x:v>
      </x:c>
      <x:c r="I9217" s="22" t="n">
        <x:v>39.88</x:v>
      </x:c>
      <x:c r="J9217" s="24" t="n">
        <x:v>2</x:v>
      </x:c>
      <x:c r="K9217" s="26" t="n">
        <x:v>0</x:v>
      </x:c>
      <x:c r="L9217" s="22" t="n">
        <x:v>11.166400000000003</x:v>
      </x:c>
      <x:c r="M9217" t="n">
        <x:v>2014</x:v>
      </x:c>
      <x:c r="N9217" s="20" t="n">
        <x:v>41974</x:v>
      </x:c>
    </x:row>
    <x:row r="9218" ht="18" customHeight="1">
      <x:c r="A9218" t="str">
        <x:v>CA-2014-144071</x:v>
      </x:c>
      <x:c r="B9218" s="18" t="n">
        <x:v>41981</x:v>
      </x:c>
      <x:c r="C9218" t="str">
        <x:v>DJ-13420</x:v>
      </x:c>
      <x:c r="D9218" t="str">
        <x:v>Denny Joy</x:v>
      </x:c>
      <x:c r="E9218" t="str">
        <x:v>Corporate</x:v>
      </x:c>
      <x:c r="F9218" t="str">
        <x:v>West</x:v>
      </x:c>
      <x:c r="G9218" t="str">
        <x:v>Furniture</x:v>
      </x:c>
      <x:c r="H9218" t="str">
        <x:v>Furnishings</x:v>
      </x:c>
      <x:c r="I9218" s="22" t="n">
        <x:v>79.44</x:v>
      </x:c>
      <x:c r="J9218" s="24" t="n">
        <x:v>3</x:v>
      </x:c>
      <x:c r="K9218" s="26" t="n">
        <x:v>0</x:v>
      </x:c>
      <x:c r="L9218" s="22" t="n">
        <x:v>28.598399999999994</x:v>
      </x:c>
      <x:c r="M9218" t="n">
        <x:v>2014</x:v>
      </x:c>
      <x:c r="N9218" s="20" t="n">
        <x:v>41974</x:v>
      </x:c>
    </x:row>
    <x:row r="9219" ht="18" customHeight="1">
      <x:c r="A9219" t="str">
        <x:v>US-2017-120908</x:v>
      </x:c>
      <x:c r="B9219" s="18" t="n">
        <x:v>43008</x:v>
      </x:c>
      <x:c r="C9219" t="str">
        <x:v>BF-10975</x:v>
      </x:c>
      <x:c r="D9219" t="str">
        <x:v>Barbara Fisher</x:v>
      </x:c>
      <x:c r="E9219" t="str">
        <x:v>Corporate</x:v>
      </x:c>
      <x:c r="F9219" t="str">
        <x:v>East</x:v>
      </x:c>
      <x:c r="G9219" t="str">
        <x:v>Office Supplies</x:v>
      </x:c>
      <x:c r="H9219" t="str">
        <x:v>Labels</x:v>
      </x:c>
      <x:c r="I9219" s="22" t="n">
        <x:v>20.664</x:v>
      </x:c>
      <x:c r="J9219" s="24" t="n">
        <x:v>7</x:v>
      </x:c>
      <x:c r="K9219" s="26" t="n">
        <x:v>0.2</x:v>
      </x:c>
      <x:c r="L9219" s="22" t="n">
        <x:v>6.9741</x:v>
      </x:c>
      <x:c r="M9219" t="n">
        <x:v>2017</x:v>
      </x:c>
      <x:c r="N9219" s="20" t="n">
        <x:v>42979</x:v>
      </x:c>
    </x:row>
    <x:row r="9220" ht="18" customHeight="1">
      <x:c r="A9220" t="str">
        <x:v>CA-2016-152646</x:v>
      </x:c>
      <x:c r="B9220" s="18" t="n">
        <x:v>42695</x:v>
      </x:c>
      <x:c r="C9220" t="str">
        <x:v>TH-21235</x:v>
      </x:c>
      <x:c r="D9220" t="str">
        <x:v>Tiffany House</x:v>
      </x:c>
      <x:c r="E9220" t="str">
        <x:v>Corporate</x:v>
      </x:c>
      <x:c r="F9220" t="str">
        <x:v>West</x:v>
      </x:c>
      <x:c r="G9220" t="str">
        <x:v>Office Supplies</x:v>
      </x:c>
      <x:c r="H9220" t="str">
        <x:v>Paper</x:v>
      </x:c>
      <x:c r="I9220" s="22" t="n">
        <x:v>32.400000000000006</x:v>
      </x:c>
      <x:c r="J9220" s="24" t="n">
        <x:v>5</x:v>
      </x:c>
      <x:c r="K9220" s="26" t="n">
        <x:v>0</x:v>
      </x:c>
      <x:c r="L9220" s="22" t="n">
        <x:v>15.552000000000001</x:v>
      </x:c>
      <x:c r="M9220" t="n">
        <x:v>2016</x:v>
      </x:c>
      <x:c r="N9220" s="20" t="n">
        <x:v>42675</x:v>
      </x:c>
    </x:row>
    <x:row r="9221" ht="18" customHeight="1">
      <x:c r="A9221" t="str">
        <x:v>CA-2017-103765</x:v>
      </x:c>
      <x:c r="B9221" s="18" t="n">
        <x:v>43063</x:v>
      </x:c>
      <x:c r="C9221" t="str">
        <x:v>JG-15310</x:v>
      </x:c>
      <x:c r="D9221" t="str">
        <x:v>Jason Gross</x:v>
      </x:c>
      <x:c r="E9221" t="str">
        <x:v>Corporate</x:v>
      </x:c>
      <x:c r="F9221" t="str">
        <x:v>Central</x:v>
      </x:c>
      <x:c r="G9221" t="str">
        <x:v>Office Supplies</x:v>
      </x:c>
      <x:c r="H9221" t="str">
        <x:v>Appliances</x:v>
      </x:c>
      <x:c r="I9221" s="22" t="n">
        <x:v>13.761999999999997</x:v>
      </x:c>
      <x:c r="J9221" s="24" t="n">
        <x:v>1</x:v>
      </x:c>
      <x:c r="K9221" s="26" t="n">
        <x:v>0.8</x:v>
      </x:c>
      <x:c r="L9221" s="22" t="n">
        <x:v>-24.7716</x:v>
      </x:c>
      <x:c r="M9221" t="n">
        <x:v>2017</x:v>
      </x:c>
      <x:c r="N9221" s="20" t="n">
        <x:v>43040</x:v>
      </x:c>
    </x:row>
    <x:row r="9222" ht="18" customHeight="1">
      <x:c r="A9222" t="str">
        <x:v>US-2017-118157</x:v>
      </x:c>
      <x:c r="B9222" s="18" t="n">
        <x:v>43053</x:v>
      </x:c>
      <x:c r="C9222" t="str">
        <x:v>AW-10930</x:v>
      </x:c>
      <x:c r="D9222" t="str">
        <x:v>Arthur Wiediger</x:v>
      </x:c>
      <x:c r="E9222" t="str">
        <x:v>Home Office</x:v>
      </x:c>
      <x:c r="F9222" t="str">
        <x:v>Central</x:v>
      </x:c>
      <x:c r="G9222" t="str">
        <x:v>Office Supplies</x:v>
      </x:c>
      <x:c r="H9222" t="str">
        <x:v>Envelopes</x:v>
      </x:c>
      <x:c r="I9222" s="22" t="n">
        <x:v>15.28</x:v>
      </x:c>
      <x:c r="J9222" s="24" t="n">
        <x:v>2</x:v>
      </x:c>
      <x:c r="K9222" s="26" t="n">
        <x:v>0</x:v>
      </x:c>
      <x:c r="L9222" s="22" t="n">
        <x:v>7.4872</x:v>
      </x:c>
      <x:c r="M9222" t="n">
        <x:v>2017</x:v>
      </x:c>
      <x:c r="N9222" s="20" t="n">
        <x:v>43040</x:v>
      </x:c>
    </x:row>
    <x:row r="9223" ht="18" customHeight="1">
      <x:c r="A9223" t="str">
        <x:v>US-2015-164238</x:v>
      </x:c>
      <x:c r="B9223" s="18" t="n">
        <x:v>42232</x:v>
      </x:c>
      <x:c r="C9223" t="str">
        <x:v>JW-15955</x:v>
      </x:c>
      <x:c r="D9223" t="str">
        <x:v>Joni Wasserman</x:v>
      </x:c>
      <x:c r="E9223" t="str">
        <x:v>Consumer</x:v>
      </x:c>
      <x:c r="F9223" t="str">
        <x:v>East</x:v>
      </x:c>
      <x:c r="G9223" t="str">
        <x:v>Office Supplies</x:v>
      </x:c>
      <x:c r="H9223" t="str">
        <x:v>Storage</x:v>
      </x:c>
      <x:c r="I9223" s="22" t="n">
        <x:v>44.688</x:v>
      </x:c>
      <x:c r="J9223" s="24" t="n">
        <x:v>7</x:v>
      </x:c>
      <x:c r="K9223" s="26" t="n">
        <x:v>0.2</x:v>
      </x:c>
      <x:c r="L9223" s="22" t="n">
        <x:v>3.3515999999999977</x:v>
      </x:c>
      <x:c r="M9223" t="n">
        <x:v>2015</x:v>
      </x:c>
      <x:c r="N9223" s="20" t="n">
        <x:v>42217</x:v>
      </x:c>
    </x:row>
    <x:row r="9224" ht="18" customHeight="1">
      <x:c r="A9224" t="str">
        <x:v>US-2015-164238</x:v>
      </x:c>
      <x:c r="B9224" s="18" t="n">
        <x:v>42232</x:v>
      </x:c>
      <x:c r="C9224" t="str">
        <x:v>JW-15955</x:v>
      </x:c>
      <x:c r="D9224" t="str">
        <x:v>Joni Wasserman</x:v>
      </x:c>
      <x:c r="E9224" t="str">
        <x:v>Consumer</x:v>
      </x:c>
      <x:c r="F9224" t="str">
        <x:v>East</x:v>
      </x:c>
      <x:c r="G9224" t="str">
        <x:v>Furniture</x:v>
      </x:c>
      <x:c r="H9224" t="str">
        <x:v>Bookcases</x:v>
      </x:c>
      <x:c r="I9224" s="22" t="n">
        <x:v>301.46999999999997</x:v>
      </x:c>
      <x:c r="J9224" s="24" t="n">
        <x:v>3</x:v>
      </x:c>
      <x:c r="K9224" s="26" t="n">
        <x:v>0.5</x:v>
      </x:c>
      <x:c r="L9224" s="22" t="n">
        <x:v>-204.99959999999996</x:v>
      </x:c>
      <x:c r="M9224" t="n">
        <x:v>2015</x:v>
      </x:c>
      <x:c r="N9224" s="20" t="n">
        <x:v>42217</x:v>
      </x:c>
    </x:row>
    <x:row r="9225" ht="18" customHeight="1">
      <x:c r="A9225" t="str">
        <x:v>CA-2017-103212</x:v>
      </x:c>
      <x:c r="B9225" s="18" t="n">
        <x:v>43021</x:v>
      </x:c>
      <x:c r="C9225" t="str">
        <x:v>MH-18025</x:v>
      </x:c>
      <x:c r="D9225" t="str">
        <x:v>Michelle Huthwaite</x:v>
      </x:c>
      <x:c r="E9225" t="str">
        <x:v>Consumer</x:v>
      </x:c>
      <x:c r="F9225" t="str">
        <x:v>South</x:v>
      </x:c>
      <x:c r="G9225" t="str">
        <x:v>Office Supplies</x:v>
      </x:c>
      <x:c r="H9225" t="str">
        <x:v>Labels</x:v>
      </x:c>
      <x:c r="I9225" s="22" t="n">
        <x:v>11.07</x:v>
      </x:c>
      <x:c r="J9225" s="24" t="n">
        <x:v>3</x:v>
      </x:c>
      <x:c r="K9225" s="26" t="n">
        <x:v>0</x:v>
      </x:c>
      <x:c r="L9225" s="22" t="n">
        <x:v>5.2029</x:v>
      </x:c>
      <x:c r="M9225" t="n">
        <x:v>2017</x:v>
      </x:c>
      <x:c r="N9225" s="20" t="n">
        <x:v>43009</x:v>
      </x:c>
    </x:row>
    <x:row r="9226" ht="18" customHeight="1">
      <x:c r="A9226" t="str">
        <x:v>CA-2017-103212</x:v>
      </x:c>
      <x:c r="B9226" s="18" t="n">
        <x:v>43021</x:v>
      </x:c>
      <x:c r="C9226" t="str">
        <x:v>MH-18025</x:v>
      </x:c>
      <x:c r="D9226" t="str">
        <x:v>Michelle Huthwaite</x:v>
      </x:c>
      <x:c r="E9226" t="str">
        <x:v>Consumer</x:v>
      </x:c>
      <x:c r="F9226" t="str">
        <x:v>South</x:v>
      </x:c>
      <x:c r="G9226" t="str">
        <x:v>Furniture</x:v>
      </x:c>
      <x:c r="H9226" t="str">
        <x:v>Tables</x:v>
      </x:c>
      <x:c r="I9226" s="22" t="n">
        <x:v>1504.52</x:v>
      </x:c>
      <x:c r="J9226" s="24" t="n">
        <x:v>4</x:v>
      </x:c>
      <x:c r="K9226" s="26" t="n">
        <x:v>0</x:v>
      </x:c>
      <x:c r="L9226" s="22" t="n">
        <x:v>346.03960000000006</x:v>
      </x:c>
      <x:c r="M9226" t="n">
        <x:v>2017</x:v>
      </x:c>
      <x:c r="N9226" s="20" t="n">
        <x:v>43009</x:v>
      </x:c>
    </x:row>
    <x:row r="9227" ht="18" customHeight="1">
      <x:c r="A9227" t="str">
        <x:v>CA-2017-103212</x:v>
      </x:c>
      <x:c r="B9227" s="18" t="n">
        <x:v>43021</x:v>
      </x:c>
      <x:c r="C9227" t="str">
        <x:v>MH-18025</x:v>
      </x:c>
      <x:c r="D9227" t="str">
        <x:v>Michelle Huthwaite</x:v>
      </x:c>
      <x:c r="E9227" t="str">
        <x:v>Consumer</x:v>
      </x:c>
      <x:c r="F9227" t="str">
        <x:v>South</x:v>
      </x:c>
      <x:c r="G9227" t="str">
        <x:v>Office Supplies</x:v>
      </x:c>
      <x:c r="H9227" t="str">
        <x:v>Paper</x:v>
      </x:c>
      <x:c r="I9227" s="22" t="n">
        <x:v>25.92</x:v>
      </x:c>
      <x:c r="J9227" s="24" t="n">
        <x:v>4</x:v>
      </x:c>
      <x:c r="K9227" s="26" t="n">
        <x:v>0</x:v>
      </x:c>
      <x:c r="L9227" s="22" t="n">
        <x:v>12.441600000000001</x:v>
      </x:c>
      <x:c r="M9227" t="n">
        <x:v>2017</x:v>
      </x:c>
      <x:c r="N9227" s="20" t="n">
        <x:v>43009</x:v>
      </x:c>
    </x:row>
    <x:row r="9228" ht="18" customHeight="1">
      <x:c r="A9228" t="str">
        <x:v>CA-2017-121160</x:v>
      </x:c>
      <x:c r="B9228" s="18" t="n">
        <x:v>43043</x:v>
      </x:c>
      <x:c r="C9228" t="str">
        <x:v>FM-14290</x:v>
      </x:c>
      <x:c r="D9228" t="str">
        <x:v>Frank Merwin</x:v>
      </x:c>
      <x:c r="E9228" t="str">
        <x:v>Home Office</x:v>
      </x:c>
      <x:c r="F9228" t="str">
        <x:v>Central</x:v>
      </x:c>
      <x:c r="G9228" t="str">
        <x:v>Office Supplies</x:v>
      </x:c>
      <x:c r="H9228" t="str">
        <x:v>Binders</x:v>
      </x:c>
      <x:c r="I9228" s="22" t="n">
        <x:v>7.535999999999999</x:v>
      </x:c>
      <x:c r="J9228" s="24" t="n">
        <x:v>6</x:v>
      </x:c>
      <x:c r="K9228" s="26" t="n">
        <x:v>0.8</x:v>
      </x:c>
      <x:c r="L9228" s="22" t="n">
        <x:v>-13.18800000000001</x:v>
      </x:c>
      <x:c r="M9228" t="n">
        <x:v>2017</x:v>
      </x:c>
      <x:c r="N9228" s="20" t="n">
        <x:v>43040</x:v>
      </x:c>
    </x:row>
    <x:row r="9229" ht="18" customHeight="1">
      <x:c r="A9229" t="str">
        <x:v>CA-2017-121160</x:v>
      </x:c>
      <x:c r="B9229" s="18" t="n">
        <x:v>43043</x:v>
      </x:c>
      <x:c r="C9229" t="str">
        <x:v>FM-14290</x:v>
      </x:c>
      <x:c r="D9229" t="str">
        <x:v>Frank Merwin</x:v>
      </x:c>
      <x:c r="E9229" t="str">
        <x:v>Home Office</x:v>
      </x:c>
      <x:c r="F9229" t="str">
        <x:v>Central</x:v>
      </x:c>
      <x:c r="G9229" t="str">
        <x:v>Office Supplies</x:v>
      </x:c>
      <x:c r="H9229" t="str">
        <x:v>Binders</x:v>
      </x:c>
      <x:c r="I9229" s="22" t="n">
        <x:v>1.4079999999999997</x:v>
      </x:c>
      <x:c r="J9229" s="24" t="n">
        <x:v>2</x:v>
      </x:c>
      <x:c r="K9229" s="26" t="n">
        <x:v>0.8</x:v>
      </x:c>
      <x:c r="L9229" s="22" t="n">
        <x:v>-2.323200000000001</x:v>
      </x:c>
      <x:c r="M9229" t="n">
        <x:v>2017</x:v>
      </x:c>
      <x:c r="N9229" s="20" t="n">
        <x:v>43040</x:v>
      </x:c>
    </x:row>
    <x:row r="9230" ht="18" customHeight="1">
      <x:c r="A9230" t="str">
        <x:v>CA-2017-121160</x:v>
      </x:c>
      <x:c r="B9230" s="18" t="n">
        <x:v>43043</x:v>
      </x:c>
      <x:c r="C9230" t="str">
        <x:v>FM-14290</x:v>
      </x:c>
      <x:c r="D9230" t="str">
        <x:v>Frank Merwin</x:v>
      </x:c>
      <x:c r="E9230" t="str">
        <x:v>Home Office</x:v>
      </x:c>
      <x:c r="F9230" t="str">
        <x:v>Central</x:v>
      </x:c>
      <x:c r="G9230" t="str">
        <x:v>Office Supplies</x:v>
      </x:c>
      <x:c r="H9230" t="str">
        <x:v>Binders</x:v>
      </x:c>
      <x:c r="I9230" s="22" t="n">
        <x:v>4.143999999999999</x:v>
      </x:c>
      <x:c r="J9230" s="24" t="n">
        <x:v>4</x:v>
      </x:c>
      <x:c r="K9230" s="26" t="n">
        <x:v>0.8</x:v>
      </x:c>
      <x:c r="L9230" s="22" t="n">
        <x:v>-6.423200000000001</x:v>
      </x:c>
      <x:c r="M9230" t="n">
        <x:v>2017</x:v>
      </x:c>
      <x:c r="N9230" s="20" t="n">
        <x:v>43040</x:v>
      </x:c>
    </x:row>
    <x:row r="9231" ht="18" customHeight="1">
      <x:c r="A9231" t="str">
        <x:v>CA-2017-121160</x:v>
      </x:c>
      <x:c r="B9231" s="18" t="n">
        <x:v>43043</x:v>
      </x:c>
      <x:c r="C9231" t="str">
        <x:v>FM-14290</x:v>
      </x:c>
      <x:c r="D9231" t="str">
        <x:v>Frank Merwin</x:v>
      </x:c>
      <x:c r="E9231" t="str">
        <x:v>Home Office</x:v>
      </x:c>
      <x:c r="F9231" t="str">
        <x:v>Central</x:v>
      </x:c>
      <x:c r="G9231" t="str">
        <x:v>Office Supplies</x:v>
      </x:c>
      <x:c r="H9231" t="str">
        <x:v>Storage</x:v>
      </x:c>
      <x:c r="I9231" s="22" t="n">
        <x:v>52.751999999999995</x:v>
      </x:c>
      <x:c r="J9231" s="24" t="n">
        <x:v>3</x:v>
      </x:c>
      <x:c r="K9231" s="26" t="n">
        <x:v>0.2</x:v>
      </x:c>
      <x:c r="L9231" s="22" t="n">
        <x:v>-12.5286</x:v>
      </x:c>
      <x:c r="M9231" t="n">
        <x:v>2017</x:v>
      </x:c>
      <x:c r="N9231" s="20" t="n">
        <x:v>43040</x:v>
      </x:c>
    </x:row>
    <x:row r="9232" ht="18" customHeight="1">
      <x:c r="A9232" t="str">
        <x:v>CA-2017-140515</x:v>
      </x:c>
      <x:c r="B9232" s="18" t="n">
        <x:v>42813</x:v>
      </x:c>
      <x:c r="C9232" t="str">
        <x:v>GZ-14545</x:v>
      </x:c>
      <x:c r="D9232" t="str">
        <x:v>George Zrebassa</x:v>
      </x:c>
      <x:c r="E9232" t="str">
        <x:v>Corporate</x:v>
      </x:c>
      <x:c r="F9232" t="str">
        <x:v>West</x:v>
      </x:c>
      <x:c r="G9232" t="str">
        <x:v>Office Supplies</x:v>
      </x:c>
      <x:c r="H9232" t="str">
        <x:v>Appliances</x:v>
      </x:c>
      <x:c r="I9232" s="22" t="n">
        <x:v>381.35999999999996</x:v>
      </x:c>
      <x:c r="J9232" s="24" t="n">
        <x:v>7</x:v>
      </x:c>
      <x:c r="K9232" s="26" t="n">
        <x:v>0</x:v>
      </x:c>
      <x:c r="L9232" s="22" t="n">
        <x:v>106.78080000000003</x:v>
      </x:c>
      <x:c r="M9232" t="n">
        <x:v>2017</x:v>
      </x:c>
      <x:c r="N9232" s="20" t="n">
        <x:v>42795</x:v>
      </x:c>
    </x:row>
    <x:row r="9233" ht="18" customHeight="1">
      <x:c r="A9233" t="str">
        <x:v>CA-2014-153619</x:v>
      </x:c>
      <x:c r="B9233" s="18" t="n">
        <x:v>41946</x:v>
      </x:c>
      <x:c r="C9233" t="str">
        <x:v>TC-21535</x:v>
      </x:c>
      <x:c r="D9233" t="str">
        <x:v>Tracy Collins</x:v>
      </x:c>
      <x:c r="E9233" t="str">
        <x:v>Home Office</x:v>
      </x:c>
      <x:c r="F9233" t="str">
        <x:v>West</x:v>
      </x:c>
      <x:c r="G9233" t="str">
        <x:v>Office Supplies</x:v>
      </x:c>
      <x:c r="H9233" t="str">
        <x:v>Art</x:v>
      </x:c>
      <x:c r="I9233" s="22" t="n">
        <x:v>6.72</x:v>
      </x:c>
      <x:c r="J9233" s="24" t="n">
        <x:v>4</x:v>
      </x:c>
      <x:c r="K9233" s="26" t="n">
        <x:v>0</x:v>
      </x:c>
      <x:c r="L9233" s="22" t="n">
        <x:v>3.36</x:v>
      </x:c>
      <x:c r="M9233" t="n">
        <x:v>2014</x:v>
      </x:c>
      <x:c r="N9233" s="20" t="n">
        <x:v>41944</x:v>
      </x:c>
    </x:row>
    <x:row r="9234" ht="18" customHeight="1">
      <x:c r="A9234" t="str">
        <x:v>CA-2017-133718</x:v>
      </x:c>
      <x:c r="B9234" s="18" t="n">
        <x:v>42939</x:v>
      </x:c>
      <x:c r="C9234" t="str">
        <x:v>TB-21520</x:v>
      </x:c>
      <x:c r="D9234" t="str">
        <x:v>Tracy Blumstein</x:v>
      </x:c>
      <x:c r="E9234" t="str">
        <x:v>Consumer</x:v>
      </x:c>
      <x:c r="F9234" t="str">
        <x:v>West</x:v>
      </x:c>
      <x:c r="G9234" t="str">
        <x:v>Office Supplies</x:v>
      </x:c>
      <x:c r="H9234" t="str">
        <x:v>Binders</x:v>
      </x:c>
      <x:c r="I9234" s="22" t="n">
        <x:v>15.192</x:v>
      </x:c>
      <x:c r="J9234" s="24" t="n">
        <x:v>3</x:v>
      </x:c>
      <x:c r="K9234" s="26" t="n">
        <x:v>0.2</x:v>
      </x:c>
      <x:c r="L9234" s="22" t="n">
        <x:v>5.507099999999999</x:v>
      </x:c>
      <x:c r="M9234" t="n">
        <x:v>2017</x:v>
      </x:c>
      <x:c r="N9234" s="20" t="n">
        <x:v>42917</x:v>
      </x:c>
    </x:row>
    <x:row r="9235" ht="18" customHeight="1">
      <x:c r="A9235" t="str">
        <x:v>CA-2017-133718</x:v>
      </x:c>
      <x:c r="B9235" s="18" t="n">
        <x:v>42939</x:v>
      </x:c>
      <x:c r="C9235" t="str">
        <x:v>TB-21520</x:v>
      </x:c>
      <x:c r="D9235" t="str">
        <x:v>Tracy Blumstein</x:v>
      </x:c>
      <x:c r="E9235" t="str">
        <x:v>Consumer</x:v>
      </x:c>
      <x:c r="F9235" t="str">
        <x:v>West</x:v>
      </x:c>
      <x:c r="G9235" t="str">
        <x:v>Office Supplies</x:v>
      </x:c>
      <x:c r="H9235" t="str">
        <x:v>Paper</x:v>
      </x:c>
      <x:c r="I9235" s="22" t="n">
        <x:v>58.32000000000001</x:v>
      </x:c>
      <x:c r="J9235" s="24" t="n">
        <x:v>9</x:v>
      </x:c>
      <x:c r="K9235" s="26" t="n">
        <x:v>0</x:v>
      </x:c>
      <x:c r="L9235" s="22" t="n">
        <x:v>27.9936</x:v>
      </x:c>
      <x:c r="M9235" t="n">
        <x:v>2017</x:v>
      </x:c>
      <x:c r="N9235" s="20" t="n">
        <x:v>42917</x:v>
      </x:c>
    </x:row>
    <x:row r="9236" ht="18" customHeight="1">
      <x:c r="A9236" t="str">
        <x:v>CA-2014-148383</x:v>
      </x:c>
      <x:c r="B9236" s="18" t="n">
        <x:v>42000</x:v>
      </x:c>
      <x:c r="C9236" t="str">
        <x:v>RP-19390</x:v>
      </x:c>
      <x:c r="D9236" t="str">
        <x:v>Resi Pölking</x:v>
      </x:c>
      <x:c r="E9236" t="str">
        <x:v>Consumer</x:v>
      </x:c>
      <x:c r="F9236" t="str">
        <x:v>West</x:v>
      </x:c>
      <x:c r="G9236" t="str">
        <x:v>Office Supplies</x:v>
      </x:c>
      <x:c r="H9236" t="str">
        <x:v>Binders</x:v>
      </x:c>
      <x:c r="I9236" s="22" t="n">
        <x:v>946.7640000000002</x:v>
      </x:c>
      <x:c r="J9236" s="24" t="n">
        <x:v>6</x:v>
      </x:c>
      <x:c r="K9236" s="26" t="n">
        <x:v>0.7</x:v>
      </x:c>
      <x:c r="L9236" s="22" t="n">
        <x:v>-694.2936</x:v>
      </x:c>
      <x:c r="M9236" t="n">
        <x:v>2014</x:v>
      </x:c>
      <x:c r="N9236" s="20" t="n">
        <x:v>41974</x:v>
      </x:c>
    </x:row>
    <x:row r="9237" ht="18" customHeight="1">
      <x:c r="A9237" t="str">
        <x:v>CA-2016-126732</x:v>
      </x:c>
      <x:c r="B9237" s="18" t="n">
        <x:v>42615</x:v>
      </x:c>
      <x:c r="C9237" t="str">
        <x:v>LR-16915</x:v>
      </x:c>
      <x:c r="D9237" t="str">
        <x:v>Lena Radford</x:v>
      </x:c>
      <x:c r="E9237" t="str">
        <x:v>Consumer</x:v>
      </x:c>
      <x:c r="F9237" t="str">
        <x:v>West</x:v>
      </x:c>
      <x:c r="G9237" t="str">
        <x:v>Furniture</x:v>
      </x:c>
      <x:c r="H9237" t="str">
        <x:v>Furnishings</x:v>
      </x:c>
      <x:c r="I9237" s="22" t="n">
        <x:v>94.67999999999999</x:v>
      </x:c>
      <x:c r="J9237" s="24" t="n">
        <x:v>9</x:v>
      </x:c>
      <x:c r="K9237" s="26" t="n">
        <x:v>0</x:v>
      </x:c>
      <x:c r="L9237" s="22" t="n">
        <x:v>31.244399999999995</x:v>
      </x:c>
      <x:c r="M9237" t="n">
        <x:v>2016</x:v>
      </x:c>
      <x:c r="N9237" s="20" t="n">
        <x:v>42614</x:v>
      </x:c>
    </x:row>
    <x:row r="9238" ht="18" customHeight="1">
      <x:c r="A9238" t="str">
        <x:v>CA-2016-126732</x:v>
      </x:c>
      <x:c r="B9238" s="18" t="n">
        <x:v>42615</x:v>
      </x:c>
      <x:c r="C9238" t="str">
        <x:v>LR-16915</x:v>
      </x:c>
      <x:c r="D9238" t="str">
        <x:v>Lena Radford</x:v>
      </x:c>
      <x:c r="E9238" t="str">
        <x:v>Consumer</x:v>
      </x:c>
      <x:c r="F9238" t="str">
        <x:v>West</x:v>
      </x:c>
      <x:c r="G9238" t="str">
        <x:v>Office Supplies</x:v>
      </x:c>
      <x:c r="H9238" t="str">
        <x:v>Storage</x:v>
      </x:c>
      <x:c r="I9238" s="22" t="n">
        <x:v>23.669999999999998</x:v>
      </x:c>
      <x:c r="J9238" s="24" t="n">
        <x:v>3</x:v>
      </x:c>
      <x:c r="K9238" s="26" t="n">
        <x:v>0</x:v>
      </x:c>
      <x:c r="L9238" s="22" t="n">
        <x:v>0.946799999999997</x:v>
      </x:c>
      <x:c r="M9238" t="n">
        <x:v>2016</x:v>
      </x:c>
      <x:c r="N9238" s="20" t="n">
        <x:v>42614</x:v>
      </x:c>
    </x:row>
    <x:row r="9239" ht="18" customHeight="1">
      <x:c r="A9239" t="str">
        <x:v>CA-2016-126732</x:v>
      </x:c>
      <x:c r="B9239" s="18" t="n">
        <x:v>42615</x:v>
      </x:c>
      <x:c r="C9239" t="str">
        <x:v>LR-16915</x:v>
      </x:c>
      <x:c r="D9239" t="str">
        <x:v>Lena Radford</x:v>
      </x:c>
      <x:c r="E9239" t="str">
        <x:v>Consumer</x:v>
      </x:c>
      <x:c r="F9239" t="str">
        <x:v>West</x:v>
      </x:c>
      <x:c r="G9239" t="str">
        <x:v>Technology</x:v>
      </x:c>
      <x:c r="H9239" t="str">
        <x:v>Phones</x:v>
      </x:c>
      <x:c r="I9239" s="22" t="n">
        <x:v>1091.1680000000001</x:v>
      </x:c>
      <x:c r="J9239" s="24" t="n">
        <x:v>4</x:v>
      </x:c>
      <x:c r="K9239" s="26" t="n">
        <x:v>0.2</x:v>
      </x:c>
      <x:c r="L9239" s="22" t="n">
        <x:v>68.19799999999998</x:v>
      </x:c>
      <x:c r="M9239" t="n">
        <x:v>2016</x:v>
      </x:c>
      <x:c r="N9239" s="20" t="n">
        <x:v>42614</x:v>
      </x:c>
    </x:row>
    <x:row r="9240" ht="18" customHeight="1">
      <x:c r="A9240" t="str">
        <x:v>CA-2016-126732</x:v>
      </x:c>
      <x:c r="B9240" s="18" t="n">
        <x:v>42615</x:v>
      </x:c>
      <x:c r="C9240" t="str">
        <x:v>LR-16915</x:v>
      </x:c>
      <x:c r="D9240" t="str">
        <x:v>Lena Radford</x:v>
      </x:c>
      <x:c r="E9240" t="str">
        <x:v>Consumer</x:v>
      </x:c>
      <x:c r="F9240" t="str">
        <x:v>West</x:v>
      </x:c>
      <x:c r="G9240" t="str">
        <x:v>Office Supplies</x:v>
      </x:c>
      <x:c r="H9240" t="str">
        <x:v>Art</x:v>
      </x:c>
      <x:c r="I9240" s="22" t="n">
        <x:v>18.689999999999998</x:v>
      </x:c>
      <x:c r="J9240" s="24" t="n">
        <x:v>7</x:v>
      </x:c>
      <x:c r="K9240" s="26" t="n">
        <x:v>0</x:v>
      </x:c>
      <x:c r="L9240" s="22" t="n">
        <x:v>5.2332</x:v>
      </x:c>
      <x:c r="M9240" t="n">
        <x:v>2016</x:v>
      </x:c>
      <x:c r="N9240" s="20" t="n">
        <x:v>42614</x:v>
      </x:c>
    </x:row>
    <x:row r="9241" ht="18" customHeight="1">
      <x:c r="A9241" t="str">
        <x:v>CA-2016-126732</x:v>
      </x:c>
      <x:c r="B9241" s="18" t="n">
        <x:v>42615</x:v>
      </x:c>
      <x:c r="C9241" t="str">
        <x:v>LR-16915</x:v>
      </x:c>
      <x:c r="D9241" t="str">
        <x:v>Lena Radford</x:v>
      </x:c>
      <x:c r="E9241" t="str">
        <x:v>Consumer</x:v>
      </x:c>
      <x:c r="F9241" t="str">
        <x:v>West</x:v>
      </x:c>
      <x:c r="G9241" t="str">
        <x:v>Furniture</x:v>
      </x:c>
      <x:c r="H9241" t="str">
        <x:v>Tables</x:v>
      </x:c>
      <x:c r="I9241" s="22" t="n">
        <x:v>568.7280000000001</x:v>
      </x:c>
      <x:c r="J9241" s="24" t="n">
        <x:v>3</x:v>
      </x:c>
      <x:c r="K9241" s="26" t="n">
        <x:v>0.2</x:v>
      </x:c>
      <x:c r="L9241" s="22" t="n">
        <x:v>28.436399999999935</x:v>
      </x:c>
      <x:c r="M9241" t="n">
        <x:v>2016</x:v>
      </x:c>
      <x:c r="N9241" s="20" t="n">
        <x:v>42614</x:v>
      </x:c>
    </x:row>
    <x:row r="9242" ht="18" customHeight="1">
      <x:c r="A9242" t="str">
        <x:v>CA-2016-126732</x:v>
      </x:c>
      <x:c r="B9242" s="18" t="n">
        <x:v>42615</x:v>
      </x:c>
      <x:c r="C9242" t="str">
        <x:v>LR-16915</x:v>
      </x:c>
      <x:c r="D9242" t="str">
        <x:v>Lena Radford</x:v>
      </x:c>
      <x:c r="E9242" t="str">
        <x:v>Consumer</x:v>
      </x:c>
      <x:c r="F9242" t="str">
        <x:v>West</x:v>
      </x:c>
      <x:c r="G9242" t="str">
        <x:v>Office Supplies</x:v>
      </x:c>
      <x:c r="H9242" t="str">
        <x:v>Binders</x:v>
      </x:c>
      <x:c r="I9242" s="22" t="n">
        <x:v>7.312000000000001</x:v>
      </x:c>
      <x:c r="J9242" s="24" t="n">
        <x:v>1</x:v>
      </x:c>
      <x:c r="K9242" s="26" t="n">
        <x:v>0.2</x:v>
      </x:c>
      <x:c r="L9242" s="22" t="n">
        <x:v>2.5591999999999997</x:v>
      </x:c>
      <x:c r="M9242" t="n">
        <x:v>2016</x:v>
      </x:c>
      <x:c r="N9242" s="20" t="n">
        <x:v>42614</x:v>
      </x:c>
    </x:row>
    <x:row r="9243" ht="18" customHeight="1">
      <x:c r="A9243" t="str">
        <x:v>CA-2017-138156</x:v>
      </x:c>
      <x:c r="B9243" s="18" t="n">
        <x:v>42777</x:v>
      </x:c>
      <x:c r="C9243" t="str">
        <x:v>MM-17260</x:v>
      </x:c>
      <x:c r="D9243" t="str">
        <x:v>Magdelene Morse</x:v>
      </x:c>
      <x:c r="E9243" t="str">
        <x:v>Consumer</x:v>
      </x:c>
      <x:c r="F9243" t="str">
        <x:v>East</x:v>
      </x:c>
      <x:c r="G9243" t="str">
        <x:v>Furniture</x:v>
      </x:c>
      <x:c r="H9243" t="str">
        <x:v>Furnishings</x:v>
      </x:c>
      <x:c r="I9243" s="22" t="n">
        <x:v>147.568</x:v>
      </x:c>
      <x:c r="J9243" s="24" t="n">
        <x:v>2</x:v>
      </x:c>
      <x:c r="K9243" s="26" t="n">
        <x:v>0.2</x:v>
      </x:c>
      <x:c r="L9243" s="22" t="n">
        <x:v>-3.6892000000000067</x:v>
      </x:c>
      <x:c r="M9243" t="n">
        <x:v>2017</x:v>
      </x:c>
      <x:c r="N9243" s="20" t="n">
        <x:v>42767</x:v>
      </x:c>
    </x:row>
    <x:row r="9244" ht="18" customHeight="1">
      <x:c r="A9244" t="str">
        <x:v>CA-2017-110310</x:v>
      </x:c>
      <x:c r="B9244" s="18" t="n">
        <x:v>43035</x:v>
      </x:c>
      <x:c r="C9244" t="str">
        <x:v>NB-18655</x:v>
      </x:c>
      <x:c r="D9244" t="str">
        <x:v>Nona Balk</x:v>
      </x:c>
      <x:c r="E9244" t="str">
        <x:v>Corporate</x:v>
      </x:c>
      <x:c r="F9244" t="str">
        <x:v>South</x:v>
      </x:c>
      <x:c r="G9244" t="str">
        <x:v>Office Supplies</x:v>
      </x:c>
      <x:c r="H9244" t="str">
        <x:v>Paper</x:v>
      </x:c>
      <x:c r="I9244" s="22" t="n">
        <x:v>56.784</x:v>
      </x:c>
      <x:c r="J9244" s="24" t="n">
        <x:v>7</x:v>
      </x:c>
      <x:c r="K9244" s="26" t="n">
        <x:v>0.2</x:v>
      </x:c>
      <x:c r="L9244" s="22" t="n">
        <x:v>20.584200000000003</x:v>
      </x:c>
      <x:c r="M9244" t="n">
        <x:v>2017</x:v>
      </x:c>
      <x:c r="N9244" s="20" t="n">
        <x:v>43009</x:v>
      </x:c>
    </x:row>
    <x:row r="9245" ht="18" customHeight="1">
      <x:c r="A9245" t="str">
        <x:v>CA-2017-110310</x:v>
      </x:c>
      <x:c r="B9245" s="18" t="n">
        <x:v>43035</x:v>
      </x:c>
      <x:c r="C9245" t="str">
        <x:v>NB-18655</x:v>
      </x:c>
      <x:c r="D9245" t="str">
        <x:v>Nona Balk</x:v>
      </x:c>
      <x:c r="E9245" t="str">
        <x:v>Corporate</x:v>
      </x:c>
      <x:c r="F9245" t="str">
        <x:v>South</x:v>
      </x:c>
      <x:c r="G9245" t="str">
        <x:v>Office Supplies</x:v>
      </x:c>
      <x:c r="H9245" t="str">
        <x:v>Binders</x:v>
      </x:c>
      <x:c r="I9245" s="22" t="n">
        <x:v>5.607000000000001</x:v>
      </x:c>
      <x:c r="J9245" s="24" t="n">
        <x:v>3</x:v>
      </x:c>
      <x:c r="K9245" s="26" t="n">
        <x:v>0.7</x:v>
      </x:c>
      <x:c r="L9245" s="22" t="n">
        <x:v>-3.9248999999999974</x:v>
      </x:c>
      <x:c r="M9245" t="n">
        <x:v>2017</x:v>
      </x:c>
      <x:c r="N9245" s="20" t="n">
        <x:v>43009</x:v>
      </x:c>
    </x:row>
    <x:row r="9246" ht="18" customHeight="1">
      <x:c r="A9246" t="str">
        <x:v>CA-2017-110310</x:v>
      </x:c>
      <x:c r="B9246" s="18" t="n">
        <x:v>43035</x:v>
      </x:c>
      <x:c r="C9246" t="str">
        <x:v>NB-18655</x:v>
      </x:c>
      <x:c r="D9246" t="str">
        <x:v>Nona Balk</x:v>
      </x:c>
      <x:c r="E9246" t="str">
        <x:v>Corporate</x:v>
      </x:c>
      <x:c r="F9246" t="str">
        <x:v>South</x:v>
      </x:c>
      <x:c r="G9246" t="str">
        <x:v>Office Supplies</x:v>
      </x:c>
      <x:c r="H9246" t="str">
        <x:v>Art</x:v>
      </x:c>
      <x:c r="I9246" s="22" t="n">
        <x:v>6.5760000000000005</x:v>
      </x:c>
      <x:c r="J9246" s="24" t="n">
        <x:v>3</x:v>
      </x:c>
      <x:c r="K9246" s="26" t="n">
        <x:v>0.2</x:v>
      </x:c>
      <x:c r="L9246" s="22" t="n">
        <x:v>0.5754000000000006</x:v>
      </x:c>
      <x:c r="M9246" t="n">
        <x:v>2017</x:v>
      </x:c>
      <x:c r="N9246" s="20" t="n">
        <x:v>43009</x:v>
      </x:c>
    </x:row>
    <x:row r="9247" ht="18" customHeight="1">
      <x:c r="A9247" t="str">
        <x:v>CA-2014-113271</x:v>
      </x:c>
      <x:c r="B9247" s="18" t="n">
        <x:v>41829</x:v>
      </x:c>
      <x:c r="C9247" t="str">
        <x:v>DS-13030</x:v>
      </x:c>
      <x:c r="D9247" t="str">
        <x:v>Darrin Sayre</x:v>
      </x:c>
      <x:c r="E9247" t="str">
        <x:v>Home Office</x:v>
      </x:c>
      <x:c r="F9247" t="str">
        <x:v>West</x:v>
      </x:c>
      <x:c r="G9247" t="str">
        <x:v>Office Supplies</x:v>
      </x:c>
      <x:c r="H9247" t="str">
        <x:v>Binders</x:v>
      </x:c>
      <x:c r="I9247" s="22" t="n">
        <x:v>14.303999999999998</x:v>
      </x:c>
      <x:c r="J9247" s="24" t="n">
        <x:v>6</x:v>
      </x:c>
      <x:c r="K9247" s="26" t="n">
        <x:v>0.2</x:v>
      </x:c>
      <x:c r="L9247" s="22" t="n">
        <x:v>4.648799999999999</x:v>
      </x:c>
      <x:c r="M9247" t="n">
        <x:v>2014</x:v>
      </x:c>
      <x:c r="N9247" s="20" t="n">
        <x:v>41821</x:v>
      </x:c>
    </x:row>
    <x:row r="9248" ht="18" customHeight="1">
      <x:c r="A9248" t="str">
        <x:v>CA-2014-113271</x:v>
      </x:c>
      <x:c r="B9248" s="18" t="n">
        <x:v>41829</x:v>
      </x:c>
      <x:c r="C9248" t="str">
        <x:v>DS-13030</x:v>
      </x:c>
      <x:c r="D9248" t="str">
        <x:v>Darrin Sayre</x:v>
      </x:c>
      <x:c r="E9248" t="str">
        <x:v>Home Office</x:v>
      </x:c>
      <x:c r="F9248" t="str">
        <x:v>West</x:v>
      </x:c>
      <x:c r="G9248" t="str">
        <x:v>Furniture</x:v>
      </x:c>
      <x:c r="H9248" t="str">
        <x:v>Bookcases</x:v>
      </x:c>
      <x:c r="I9248" s="22" t="n">
        <x:v>119.83299999999998</x:v>
      </x:c>
      <x:c r="J9248" s="24" t="n">
        <x:v>1</x:v>
      </x:c>
      <x:c r="K9248" s="26" t="n">
        <x:v>0.15</x:v>
      </x:c>
      <x:c r="L9248" s="22" t="n">
        <x:v>7.0489999999999995</x:v>
      </x:c>
      <x:c r="M9248" t="n">
        <x:v>2014</x:v>
      </x:c>
      <x:c r="N9248" s="20" t="n">
        <x:v>41821</x:v>
      </x:c>
    </x:row>
    <x:row r="9249" ht="18" customHeight="1">
      <x:c r="A9249" t="str">
        <x:v>CA-2014-113271</x:v>
      </x:c>
      <x:c r="B9249" s="18" t="n">
        <x:v>41829</x:v>
      </x:c>
      <x:c r="C9249" t="str">
        <x:v>DS-13030</x:v>
      </x:c>
      <x:c r="D9249" t="str">
        <x:v>Darrin Sayre</x:v>
      </x:c>
      <x:c r="E9249" t="str">
        <x:v>Home Office</x:v>
      </x:c>
      <x:c r="F9249" t="str">
        <x:v>West</x:v>
      </x:c>
      <x:c r="G9249" t="str">
        <x:v>Office Supplies</x:v>
      </x:c>
      <x:c r="H9249" t="str">
        <x:v>Art</x:v>
      </x:c>
      <x:c r="I9249" s="22" t="n">
        <x:v>5.56</x:v>
      </x:c>
      <x:c r="J9249" s="24" t="n">
        <x:v>2</x:v>
      </x:c>
      <x:c r="K9249" s="26" t="n">
        <x:v>0</x:v>
      </x:c>
      <x:c r="L9249" s="22" t="n">
        <x:v>2.2239999999999998</x:v>
      </x:c>
      <x:c r="M9249" t="n">
        <x:v>2014</x:v>
      </x:c>
      <x:c r="N9249" s="20" t="n">
        <x:v>41821</x:v>
      </x:c>
    </x:row>
    <x:row r="9250" ht="18" customHeight="1">
      <x:c r="A9250" t="str">
        <x:v>CA-2014-113271</x:v>
      </x:c>
      <x:c r="B9250" s="18" t="n">
        <x:v>41829</x:v>
      </x:c>
      <x:c r="C9250" t="str">
        <x:v>DS-13030</x:v>
      </x:c>
      <x:c r="D9250" t="str">
        <x:v>Darrin Sayre</x:v>
      </x:c>
      <x:c r="E9250" t="str">
        <x:v>Home Office</x:v>
      </x:c>
      <x:c r="F9250" t="str">
        <x:v>West</x:v>
      </x:c>
      <x:c r="G9250" t="str">
        <x:v>Office Supplies</x:v>
      </x:c>
      <x:c r="H9250" t="str">
        <x:v>Paper</x:v>
      </x:c>
      <x:c r="I9250" s="22" t="n">
        <x:v>32.400000000000006</x:v>
      </x:c>
      <x:c r="J9250" s="24" t="n">
        <x:v>5</x:v>
      </x:c>
      <x:c r="K9250" s="26" t="n">
        <x:v>0</x:v>
      </x:c>
      <x:c r="L9250" s="22" t="n">
        <x:v>15.552000000000001</x:v>
      </x:c>
      <x:c r="M9250" t="n">
        <x:v>2014</x:v>
      </x:c>
      <x:c r="N9250" s="20" t="n">
        <x:v>41821</x:v>
      </x:c>
    </x:row>
    <x:row r="9251" ht="18" customHeight="1">
      <x:c r="A9251" t="str">
        <x:v>CA-2017-130106</x:v>
      </x:c>
      <x:c r="B9251" s="18" t="n">
        <x:v>42877</x:v>
      </x:c>
      <x:c r="C9251" t="str">
        <x:v>VF-21715</x:v>
      </x:c>
      <x:c r="D9251" t="str">
        <x:v>Vicky Freymann</x:v>
      </x:c>
      <x:c r="E9251" t="str">
        <x:v>Home Office</x:v>
      </x:c>
      <x:c r="F9251" t="str">
        <x:v>West</x:v>
      </x:c>
      <x:c r="G9251" t="str">
        <x:v>Office Supplies</x:v>
      </x:c>
      <x:c r="H9251" t="str">
        <x:v>Art</x:v>
      </x:c>
      <x:c r="I9251" s="22" t="n">
        <x:v>9.84</x:v>
      </x:c>
      <x:c r="J9251" s="24" t="n">
        <x:v>3</x:v>
      </x:c>
      <x:c r="K9251" s="26" t="n">
        <x:v>0</x:v>
      </x:c>
      <x:c r="L9251" s="22" t="n">
        <x:v>2.853599999999999</x:v>
      </x:c>
      <x:c r="M9251" t="n">
        <x:v>2017</x:v>
      </x:c>
      <x:c r="N9251" s="20" t="n">
        <x:v>42856</x:v>
      </x:c>
    </x:row>
    <x:row r="9252" ht="18" customHeight="1">
      <x:c r="A9252" t="str">
        <x:v>CA-2017-130106</x:v>
      </x:c>
      <x:c r="B9252" s="18" t="n">
        <x:v>42877</x:v>
      </x:c>
      <x:c r="C9252" t="str">
        <x:v>VF-21715</x:v>
      </x:c>
      <x:c r="D9252" t="str">
        <x:v>Vicky Freymann</x:v>
      </x:c>
      <x:c r="E9252" t="str">
        <x:v>Home Office</x:v>
      </x:c>
      <x:c r="F9252" t="str">
        <x:v>West</x:v>
      </x:c>
      <x:c r="G9252" t="str">
        <x:v>Office Supplies</x:v>
      </x:c>
      <x:c r="H9252" t="str">
        <x:v>Art</x:v>
      </x:c>
      <x:c r="I9252" s="22" t="n">
        <x:v>2.78</x:v>
      </x:c>
      <x:c r="J9252" s="24" t="n">
        <x:v>1</x:v>
      </x:c>
      <x:c r="K9252" s="26" t="n">
        <x:v>0</x:v>
      </x:c>
      <x:c r="L9252" s="22" t="n">
        <x:v>0.7227999999999999</x:v>
      </x:c>
      <x:c r="M9252" t="n">
        <x:v>2017</x:v>
      </x:c>
      <x:c r="N9252" s="20" t="n">
        <x:v>42856</x:v>
      </x:c>
    </x:row>
    <x:row r="9253" ht="18" customHeight="1">
      <x:c r="A9253" t="str">
        <x:v>CA-2016-127761</x:v>
      </x:c>
      <x:c r="B9253" s="18" t="n">
        <x:v>42684</x:v>
      </x:c>
      <x:c r="C9253" t="str">
        <x:v>SW-20275</x:v>
      </x:c>
      <x:c r="D9253" t="str">
        <x:v>Scott Williamson</x:v>
      </x:c>
      <x:c r="E9253" t="str">
        <x:v>Consumer</x:v>
      </x:c>
      <x:c r="F9253" t="str">
        <x:v>East</x:v>
      </x:c>
      <x:c r="G9253" t="str">
        <x:v>Office Supplies</x:v>
      </x:c>
      <x:c r="H9253" t="str">
        <x:v>Binders</x:v>
      </x:c>
      <x:c r="I9253" s="22" t="n">
        <x:v>3.64</x:v>
      </x:c>
      <x:c r="J9253" s="24" t="n">
        <x:v>1</x:v>
      </x:c>
      <x:c r="K9253" s="26" t="n">
        <x:v>0.2</x:v>
      </x:c>
      <x:c r="L9253" s="22" t="n">
        <x:v>1.3649999999999998</x:v>
      </x:c>
      <x:c r="M9253" t="n">
        <x:v>2016</x:v>
      </x:c>
      <x:c r="N9253" s="20" t="n">
        <x:v>42675</x:v>
      </x:c>
    </x:row>
    <x:row r="9254" ht="18" customHeight="1">
      <x:c r="A9254" t="str">
        <x:v>CA-2016-127761</x:v>
      </x:c>
      <x:c r="B9254" s="18" t="n">
        <x:v>42684</x:v>
      </x:c>
      <x:c r="C9254" t="str">
        <x:v>SW-20275</x:v>
      </x:c>
      <x:c r="D9254" t="str">
        <x:v>Scott Williamson</x:v>
      </x:c>
      <x:c r="E9254" t="str">
        <x:v>Consumer</x:v>
      </x:c>
      <x:c r="F9254" t="str">
        <x:v>East</x:v>
      </x:c>
      <x:c r="G9254" t="str">
        <x:v>Technology</x:v>
      </x:c>
      <x:c r="H9254" t="str">
        <x:v>Phones</x:v>
      </x:c>
      <x:c r="I9254" s="22" t="n">
        <x:v>881.93</x:v>
      </x:c>
      <x:c r="J9254" s="24" t="n">
        <x:v>7</x:v>
      </x:c>
      <x:c r="K9254" s="26" t="n">
        <x:v>0</x:v>
      </x:c>
      <x:c r="L9254" s="22" t="n">
        <x:v>220.48250000000002</x:v>
      </x:c>
      <x:c r="M9254" t="n">
        <x:v>2016</x:v>
      </x:c>
      <x:c r="N9254" s="20" t="n">
        <x:v>42675</x:v>
      </x:c>
    </x:row>
    <x:row r="9255" ht="18" customHeight="1">
      <x:c r="A9255" t="str">
        <x:v>CA-2016-105354</x:v>
      </x:c>
      <x:c r="B9255" s="18" t="n">
        <x:v>42706</x:v>
      </x:c>
      <x:c r="C9255" t="str">
        <x:v>PW-19030</x:v>
      </x:c>
      <x:c r="D9255" t="str">
        <x:v>Pauline Webber</x:v>
      </x:c>
      <x:c r="E9255" t="str">
        <x:v>Corporate</x:v>
      </x:c>
      <x:c r="F9255" t="str">
        <x:v>Central</x:v>
      </x:c>
      <x:c r="G9255" t="str">
        <x:v>Office Supplies</x:v>
      </x:c>
      <x:c r="H9255" t="str">
        <x:v>Binders</x:v>
      </x:c>
      <x:c r="I9255" s="22" t="n">
        <x:v>115.84</x:v>
      </x:c>
      <x:c r="J9255" s="24" t="n">
        <x:v>8</x:v>
      </x:c>
      <x:c r="K9255" s="26" t="n">
        <x:v>0</x:v>
      </x:c>
      <x:c r="L9255" s="22" t="n">
        <x:v>54.4448</x:v>
      </x:c>
      <x:c r="M9255" t="n">
        <x:v>2016</x:v>
      </x:c>
      <x:c r="N9255" s="20" t="n">
        <x:v>42705</x:v>
      </x:c>
    </x:row>
    <x:row r="9256" ht="18" customHeight="1">
      <x:c r="A9256" t="str">
        <x:v>CA-2017-155712</x:v>
      </x:c>
      <x:c r="B9256" s="18" t="n">
        <x:v>42796</x:v>
      </x:c>
      <x:c r="C9256" t="str">
        <x:v>KD-16615</x:v>
      </x:c>
      <x:c r="D9256" t="str">
        <x:v>Ken Dana</x:v>
      </x:c>
      <x:c r="E9256" t="str">
        <x:v>Corporate</x:v>
      </x:c>
      <x:c r="F9256" t="str">
        <x:v>West</x:v>
      </x:c>
      <x:c r="G9256" t="str">
        <x:v>Office Supplies</x:v>
      </x:c>
      <x:c r="H9256" t="str">
        <x:v>Binders</x:v>
      </x:c>
      <x:c r="I9256" s="22" t="n">
        <x:v>107.64800000000001</x:v>
      </x:c>
      <x:c r="J9256" s="24" t="n">
        <x:v>2</x:v>
      </x:c>
      <x:c r="K9256" s="26" t="n">
        <x:v>0.2</x:v>
      </x:c>
      <x:c r="L9256" s="22" t="n">
        <x:v>33.639999999999986</x:v>
      </x:c>
      <x:c r="M9256" t="n">
        <x:v>2017</x:v>
      </x:c>
      <x:c r="N9256" s="20" t="n">
        <x:v>42795</x:v>
      </x:c>
    </x:row>
    <x:row r="9257" ht="18" customHeight="1">
      <x:c r="A9257" t="str">
        <x:v>CA-2017-102309</x:v>
      </x:c>
      <x:c r="B9257" s="18" t="n">
        <x:v>43001</x:v>
      </x:c>
      <x:c r="C9257" t="str">
        <x:v>DO-13645</x:v>
      </x:c>
      <x:c r="D9257" t="str">
        <x:v>Doug O'Connell</x:v>
      </x:c>
      <x:c r="E9257" t="str">
        <x:v>Consumer</x:v>
      </x:c>
      <x:c r="F9257" t="str">
        <x:v>South</x:v>
      </x:c>
      <x:c r="G9257" t="str">
        <x:v>Technology</x:v>
      </x:c>
      <x:c r="H9257" t="str">
        <x:v>Accessories</x:v>
      </x:c>
      <x:c r="I9257" s="22" t="n">
        <x:v>199.95000000000002</x:v>
      </x:c>
      <x:c r="J9257" s="24" t="n">
        <x:v>5</x:v>
      </x:c>
      <x:c r="K9257" s="26" t="n">
        <x:v>0</x:v>
      </x:c>
      <x:c r="L9257" s="22" t="n">
        <x:v>63.98399999999999</x:v>
      </x:c>
      <x:c r="M9257" t="n">
        <x:v>2017</x:v>
      </x:c>
      <x:c r="N9257" s="20" t="n">
        <x:v>42979</x:v>
      </x:c>
    </x:row>
    <x:row r="9258" ht="18" customHeight="1">
      <x:c r="A9258" t="str">
        <x:v>CA-2017-102309</x:v>
      </x:c>
      <x:c r="B9258" s="18" t="n">
        <x:v>43001</x:v>
      </x:c>
      <x:c r="C9258" t="str">
        <x:v>DO-13645</x:v>
      </x:c>
      <x:c r="D9258" t="str">
        <x:v>Doug O'Connell</x:v>
      </x:c>
      <x:c r="E9258" t="str">
        <x:v>Consumer</x:v>
      </x:c>
      <x:c r="F9258" t="str">
        <x:v>South</x:v>
      </x:c>
      <x:c r="G9258" t="str">
        <x:v>Office Supplies</x:v>
      </x:c>
      <x:c r="H9258" t="str">
        <x:v>Paper</x:v>
      </x:c>
      <x:c r="I9258" s="22" t="n">
        <x:v>12.96</x:v>
      </x:c>
      <x:c r="J9258" s="24" t="n">
        <x:v>2</x:v>
      </x:c>
      <x:c r="K9258" s="26" t="n">
        <x:v>0</x:v>
      </x:c>
      <x:c r="L9258" s="22" t="n">
        <x:v>6.2208000000000006</x:v>
      </x:c>
      <x:c r="M9258" t="n">
        <x:v>2017</x:v>
      </x:c>
      <x:c r="N9258" s="20" t="n">
        <x:v>42979</x:v>
      </x:c>
    </x:row>
    <x:row r="9259" ht="18" customHeight="1">
      <x:c r="A9259" t="str">
        <x:v>CA-2014-168368</x:v>
      </x:c>
      <x:c r="B9259" s="18" t="n">
        <x:v>41681</x:v>
      </x:c>
      <x:c r="C9259" t="str">
        <x:v>GA-14725</x:v>
      </x:c>
      <x:c r="D9259" t="str">
        <x:v>Guy Armstrong</x:v>
      </x:c>
      <x:c r="E9259" t="str">
        <x:v>Consumer</x:v>
      </x:c>
      <x:c r="F9259" t="str">
        <x:v>Central</x:v>
      </x:c>
      <x:c r="G9259" t="str">
        <x:v>Furniture</x:v>
      </x:c>
      <x:c r="H9259" t="str">
        <x:v>Chairs</x:v>
      </x:c>
      <x:c r="I9259" s="22" t="n">
        <x:v>60.89</x:v>
      </x:c>
      <x:c r="J9259" s="24" t="n">
        <x:v>1</x:v>
      </x:c>
      <x:c r="K9259" s="26" t="n">
        <x:v>0</x:v>
      </x:c>
      <x:c r="L9259" s="22" t="n">
        <x:v>15.222499999999997</x:v>
      </x:c>
      <x:c r="M9259" t="n">
        <x:v>2014</x:v>
      </x:c>
      <x:c r="N9259" s="20" t="n">
        <x:v>41671</x:v>
      </x:c>
    </x:row>
    <x:row r="9260" ht="18" customHeight="1">
      <x:c r="A9260" t="str">
        <x:v>CA-2014-168368</x:v>
      </x:c>
      <x:c r="B9260" s="18" t="n">
        <x:v>41681</x:v>
      </x:c>
      <x:c r="C9260" t="str">
        <x:v>GA-14725</x:v>
      </x:c>
      <x:c r="D9260" t="str">
        <x:v>Guy Armstrong</x:v>
      </x:c>
      <x:c r="E9260" t="str">
        <x:v>Consumer</x:v>
      </x:c>
      <x:c r="F9260" t="str">
        <x:v>Central</x:v>
      </x:c>
      <x:c r="G9260" t="str">
        <x:v>Office Supplies</x:v>
      </x:c>
      <x:c r="H9260" t="str">
        <x:v>Labels</x:v>
      </x:c>
      <x:c r="I9260" s="22" t="n">
        <x:v>14.940000000000001</x:v>
      </x:c>
      <x:c r="J9260" s="24" t="n">
        <x:v>3</x:v>
      </x:c>
      <x:c r="K9260" s="26" t="n">
        <x:v>0</x:v>
      </x:c>
      <x:c r="L9260" s="22" t="n">
        <x:v>6.8724</x:v>
      </x:c>
      <x:c r="M9260" t="n">
        <x:v>2014</x:v>
      </x:c>
      <x:c r="N9260" s="20" t="n">
        <x:v>41671</x:v>
      </x:c>
    </x:row>
    <x:row r="9261" ht="18" customHeight="1">
      <x:c r="A9261" t="str">
        <x:v>CA-2014-168368</x:v>
      </x:c>
      <x:c r="B9261" s="18" t="n">
        <x:v>41681</x:v>
      </x:c>
      <x:c r="C9261" t="str">
        <x:v>GA-14725</x:v>
      </x:c>
      <x:c r="D9261" t="str">
        <x:v>Guy Armstrong</x:v>
      </x:c>
      <x:c r="E9261" t="str">
        <x:v>Consumer</x:v>
      </x:c>
      <x:c r="F9261" t="str">
        <x:v>Central</x:v>
      </x:c>
      <x:c r="G9261" t="str">
        <x:v>Office Supplies</x:v>
      </x:c>
      <x:c r="H9261" t="str">
        <x:v>Binders</x:v>
      </x:c>
      <x:c r="I9261" s="22" t="n">
        <x:v>9.64</x:v>
      </x:c>
      <x:c r="J9261" s="24" t="n">
        <x:v>2</x:v>
      </x:c>
      <x:c r="K9261" s="26" t="n">
        <x:v>0</x:v>
      </x:c>
      <x:c r="L9261" s="22" t="n">
        <x:v>4.4344</x:v>
      </x:c>
      <x:c r="M9261" t="n">
        <x:v>2014</x:v>
      </x:c>
      <x:c r="N9261" s="20" t="n">
        <x:v>41671</x:v>
      </x:c>
    </x:row>
    <x:row r="9262" ht="18" customHeight="1">
      <x:c r="A9262" t="str">
        <x:v>CA-2014-168368</x:v>
      </x:c>
      <x:c r="B9262" s="18" t="n">
        <x:v>41681</x:v>
      </x:c>
      <x:c r="C9262" t="str">
        <x:v>GA-14725</x:v>
      </x:c>
      <x:c r="D9262" t="str">
        <x:v>Guy Armstrong</x:v>
      </x:c>
      <x:c r="E9262" t="str">
        <x:v>Consumer</x:v>
      </x:c>
      <x:c r="F9262" t="str">
        <x:v>Central</x:v>
      </x:c>
      <x:c r="G9262" t="str">
        <x:v>Furniture</x:v>
      </x:c>
      <x:c r="H9262" t="str">
        <x:v>Furnishings</x:v>
      </x:c>
      <x:c r="I9262" s="22" t="n">
        <x:v>332.94</x:v>
      </x:c>
      <x:c r="J9262" s="24" t="n">
        <x:v>3</x:v>
      </x:c>
      <x:c r="K9262" s="26" t="n">
        <x:v>0</x:v>
      </x:c>
      <x:c r="L9262" s="22" t="n">
        <x:v>53.270399999999995</x:v>
      </x:c>
      <x:c r="M9262" t="n">
        <x:v>2014</x:v>
      </x:c>
      <x:c r="N9262" s="20" t="n">
        <x:v>41671</x:v>
      </x:c>
    </x:row>
    <x:row r="9263" ht="18" customHeight="1">
      <x:c r="A9263" t="str">
        <x:v>CA-2014-168368</x:v>
      </x:c>
      <x:c r="B9263" s="18" t="n">
        <x:v>41681</x:v>
      </x:c>
      <x:c r="C9263" t="str">
        <x:v>GA-14725</x:v>
      </x:c>
      <x:c r="D9263" t="str">
        <x:v>Guy Armstrong</x:v>
      </x:c>
      <x:c r="E9263" t="str">
        <x:v>Consumer</x:v>
      </x:c>
      <x:c r="F9263" t="str">
        <x:v>Central</x:v>
      </x:c>
      <x:c r="G9263" t="str">
        <x:v>Office Supplies</x:v>
      </x:c>
      <x:c r="H9263" t="str">
        <x:v>Binders</x:v>
      </x:c>
      <x:c r="I9263" s="22" t="n">
        <x:v>51.900000000000006</x:v>
      </x:c>
      <x:c r="J9263" s="24" t="n">
        <x:v>3</x:v>
      </x:c>
      <x:c r="K9263" s="26" t="n">
        <x:v>0</x:v>
      </x:c>
      <x:c r="L9263" s="22" t="n">
        <x:v>24.393</x:v>
      </x:c>
      <x:c r="M9263" t="n">
        <x:v>2014</x:v>
      </x:c>
      <x:c r="N9263" s="20" t="n">
        <x:v>41671</x:v>
      </x:c>
    </x:row>
    <x:row r="9264" ht="18" customHeight="1">
      <x:c r="A9264" t="str">
        <x:v>CA-2014-168368</x:v>
      </x:c>
      <x:c r="B9264" s="18" t="n">
        <x:v>41681</x:v>
      </x:c>
      <x:c r="C9264" t="str">
        <x:v>GA-14725</x:v>
      </x:c>
      <x:c r="D9264" t="str">
        <x:v>Guy Armstrong</x:v>
      </x:c>
      <x:c r="E9264" t="str">
        <x:v>Consumer</x:v>
      </x:c>
      <x:c r="F9264" t="str">
        <x:v>Central</x:v>
      </x:c>
      <x:c r="G9264" t="str">
        <x:v>Office Supplies</x:v>
      </x:c>
      <x:c r="H9264" t="str">
        <x:v>Storage</x:v>
      </x:c>
      <x:c r="I9264" s="22" t="n">
        <x:v>64.96</x:v>
      </x:c>
      <x:c r="J9264" s="24" t="n">
        <x:v>2</x:v>
      </x:c>
      <x:c r="K9264" s="26" t="n">
        <x:v>0</x:v>
      </x:c>
      <x:c r="L9264" s="22" t="n">
        <x:v>2.598399999999998</x:v>
      </x:c>
      <x:c r="M9264" t="n">
        <x:v>2014</x:v>
      </x:c>
      <x:c r="N9264" s="20" t="n">
        <x:v>41671</x:v>
      </x:c>
    </x:row>
    <x:row r="9265" ht="18" customHeight="1">
      <x:c r="A9265" t="str">
        <x:v>CA-2017-167976</x:v>
      </x:c>
      <x:c r="B9265" s="18" t="n">
        <x:v>43050</x:v>
      </x:c>
      <x:c r="C9265" t="str">
        <x:v>JL-15505</x:v>
      </x:c>
      <x:c r="D9265" t="str">
        <x:v>Jeremy Lonsdale</x:v>
      </x:c>
      <x:c r="E9265" t="str">
        <x:v>Consumer</x:v>
      </x:c>
      <x:c r="F9265" t="str">
        <x:v>Central</x:v>
      </x:c>
      <x:c r="G9265" t="str">
        <x:v>Office Supplies</x:v>
      </x:c>
      <x:c r="H9265" t="str">
        <x:v>Supplies</x:v>
      </x:c>
      <x:c r="I9265" s="22" t="n">
        <x:v>25.5</x:v>
      </x:c>
      <x:c r="J9265" s="24" t="n">
        <x:v>3</x:v>
      </x:c>
      <x:c r="K9265" s="26" t="n">
        <x:v>0</x:v>
      </x:c>
      <x:c r="L9265" s="22" t="n">
        <x:v>6.63</x:v>
      </x:c>
      <x:c r="M9265" t="n">
        <x:v>2017</x:v>
      </x:c>
      <x:c r="N9265" s="20" t="n">
        <x:v>43040</x:v>
      </x:c>
    </x:row>
    <x:row r="9266" ht="18" customHeight="1">
      <x:c r="A9266" t="str">
        <x:v>CA-2017-111388</x:v>
      </x:c>
      <x:c r="B9266" s="18" t="n">
        <x:v>42980</x:v>
      </x:c>
      <x:c r="C9266" t="str">
        <x:v>SU-20665</x:v>
      </x:c>
      <x:c r="D9266" t="str">
        <x:v>Stephanie Ulpright</x:v>
      </x:c>
      <x:c r="E9266" t="str">
        <x:v>Home Office</x:v>
      </x:c>
      <x:c r="F9266" t="str">
        <x:v>West</x:v>
      </x:c>
      <x:c r="G9266" t="str">
        <x:v>Furniture</x:v>
      </x:c>
      <x:c r="H9266" t="str">
        <x:v>Chairs</x:v>
      </x:c>
      <x:c r="I9266" s="22" t="n">
        <x:v>215.976</x:v>
      </x:c>
      <x:c r="J9266" s="24" t="n">
        <x:v>3</x:v>
      </x:c>
      <x:c r="K9266" s="26" t="n">
        <x:v>0.2</x:v>
      </x:c>
      <x:c r="L9266" s="22" t="n">
        <x:v>-2.6997000000000355</x:v>
      </x:c>
      <x:c r="M9266" t="n">
        <x:v>2017</x:v>
      </x:c>
      <x:c r="N9266" s="20" t="n">
        <x:v>42979</x:v>
      </x:c>
    </x:row>
    <x:row r="9267" ht="18" customHeight="1">
      <x:c r="A9267" t="str">
        <x:v>CA-2015-124499</x:v>
      </x:c>
      <x:c r="B9267" s="18" t="n">
        <x:v>42286</x:v>
      </x:c>
      <x:c r="C9267" t="str">
        <x:v>FM-14380</x:v>
      </x:c>
      <x:c r="D9267" t="str">
        <x:v>Fred McMath</x:v>
      </x:c>
      <x:c r="E9267" t="str">
        <x:v>Consumer</x:v>
      </x:c>
      <x:c r="F9267" t="str">
        <x:v>Central</x:v>
      </x:c>
      <x:c r="G9267" t="str">
        <x:v>Furniture</x:v>
      </x:c>
      <x:c r="H9267" t="str">
        <x:v>Chairs</x:v>
      </x:c>
      <x:c r="I9267" s="22" t="n">
        <x:v>389.97</x:v>
      </x:c>
      <x:c r="J9267" s="24" t="n">
        <x:v>3</x:v>
      </x:c>
      <x:c r="K9267" s="26" t="n">
        <x:v>0</x:v>
      </x:c>
      <x:c r="L9267" s="22" t="n">
        <x:v>35.097300000000004</x:v>
      </x:c>
      <x:c r="M9267" t="n">
        <x:v>2015</x:v>
      </x:c>
      <x:c r="N9267" s="20" t="n">
        <x:v>42278</x:v>
      </x:c>
    </x:row>
    <x:row r="9268" ht="18" customHeight="1">
      <x:c r="A9268" t="str">
        <x:v>CA-2015-124499</x:v>
      </x:c>
      <x:c r="B9268" s="18" t="n">
        <x:v>42286</x:v>
      </x:c>
      <x:c r="C9268" t="str">
        <x:v>FM-14380</x:v>
      </x:c>
      <x:c r="D9268" t="str">
        <x:v>Fred McMath</x:v>
      </x:c>
      <x:c r="E9268" t="str">
        <x:v>Consumer</x:v>
      </x:c>
      <x:c r="F9268" t="str">
        <x:v>Central</x:v>
      </x:c>
      <x:c r="G9268" t="str">
        <x:v>Office Supplies</x:v>
      </x:c>
      <x:c r="H9268" t="str">
        <x:v>Appliances</x:v>
      </x:c>
      <x:c r="I9268" s="22" t="n">
        <x:v>269.90999999999997</x:v>
      </x:c>
      <x:c r="J9268" s="24" t="n">
        <x:v>5</x:v>
      </x:c>
      <x:c r="K9268" s="26" t="n">
        <x:v>0.1</x:v>
      </x:c>
      <x:c r="L9268" s="22" t="n">
        <x:v>53.982000000000006</x:v>
      </x:c>
      <x:c r="M9268" t="n">
        <x:v>2015</x:v>
      </x:c>
      <x:c r="N9268" s="20" t="n">
        <x:v>42278</x:v>
      </x:c>
    </x:row>
    <x:row r="9269" ht="18" customHeight="1">
      <x:c r="A9269" t="str">
        <x:v>US-2017-128118</x:v>
      </x:c>
      <x:c r="B9269" s="18" t="n">
        <x:v>43063</x:v>
      </x:c>
      <x:c r="C9269" t="str">
        <x:v>MY-17380</x:v>
      </x:c>
      <x:c r="D9269" t="str">
        <x:v>Maribeth Yedwab</x:v>
      </x:c>
      <x:c r="E9269" t="str">
        <x:v>Corporate</x:v>
      </x:c>
      <x:c r="F9269" t="str">
        <x:v>South</x:v>
      </x:c>
      <x:c r="G9269" t="str">
        <x:v>Office Supplies</x:v>
      </x:c>
      <x:c r="H9269" t="str">
        <x:v>Binders</x:v>
      </x:c>
      <x:c r="I9269" s="22" t="n">
        <x:v>11.673000000000002</x:v>
      </x:c>
      <x:c r="J9269" s="24" t="n">
        <x:v>3</x:v>
      </x:c>
      <x:c r="K9269" s="26" t="n">
        <x:v>0.7</x:v>
      </x:c>
      <x:c r="L9269" s="22" t="n">
        <x:v>-7.782</x:v>
      </x:c>
      <x:c r="M9269" t="n">
        <x:v>2017</x:v>
      </x:c>
      <x:c r="N9269" s="20" t="n">
        <x:v>43040</x:v>
      </x:c>
    </x:row>
    <x:row r="9270" ht="18" customHeight="1">
      <x:c r="A9270" t="str">
        <x:v>US-2017-128118</x:v>
      </x:c>
      <x:c r="B9270" s="18" t="n">
        <x:v>43063</x:v>
      </x:c>
      <x:c r="C9270" t="str">
        <x:v>MY-17380</x:v>
      </x:c>
      <x:c r="D9270" t="str">
        <x:v>Maribeth Yedwab</x:v>
      </x:c>
      <x:c r="E9270" t="str">
        <x:v>Corporate</x:v>
      </x:c>
      <x:c r="F9270" t="str">
        <x:v>South</x:v>
      </x:c>
      <x:c r="G9270" t="str">
        <x:v>Office Supplies</x:v>
      </x:c>
      <x:c r="H9270" t="str">
        <x:v>Envelopes</x:v>
      </x:c>
      <x:c r="I9270" s="22" t="n">
        <x:v>64.84800000000001</x:v>
      </x:c>
      <x:c r="J9270" s="24" t="n">
        <x:v>7</x:v>
      </x:c>
      <x:c r="K9270" s="26" t="n">
        <x:v>0.2</x:v>
      </x:c>
      <x:c r="L9270" s="22" t="n">
        <x:v>24.317999999999998</x:v>
      </x:c>
      <x:c r="M9270" t="n">
        <x:v>2017</x:v>
      </x:c>
      <x:c r="N9270" s="20" t="n">
        <x:v>43040</x:v>
      </x:c>
    </x:row>
    <x:row r="9271" ht="18" customHeight="1">
      <x:c r="A9271" t="str">
        <x:v>CA-2014-125759</x:v>
      </x:c>
      <x:c r="B9271" s="18" t="n">
        <x:v>41678</x:v>
      </x:c>
      <x:c r="C9271" t="str">
        <x:v>NM-18445</x:v>
      </x:c>
      <x:c r="D9271" t="str">
        <x:v>Nathan Mautz</x:v>
      </x:c>
      <x:c r="E9271" t="str">
        <x:v>Home Office</x:v>
      </x:c>
      <x:c r="F9271" t="str">
        <x:v>West</x:v>
      </x:c>
      <x:c r="G9271" t="str">
        <x:v>Furniture</x:v>
      </x:c>
      <x:c r="H9271" t="str">
        <x:v>Furnishings</x:v>
      </x:c>
      <x:c r="I9271" s="22" t="n">
        <x:v>14.56</x:v>
      </x:c>
      <x:c r="J9271" s="24" t="n">
        <x:v>2</x:v>
      </x:c>
      <x:c r="K9271" s="26" t="n">
        <x:v>0</x:v>
      </x:c>
      <x:c r="L9271" s="22" t="n">
        <x:v>5.5328</x:v>
      </x:c>
      <x:c r="M9271" t="n">
        <x:v>2014</x:v>
      </x:c>
      <x:c r="N9271" s="20" t="n">
        <x:v>41671</x:v>
      </x:c>
    </x:row>
    <x:row r="9272" ht="18" customHeight="1">
      <x:c r="A9272" t="str">
        <x:v>CA-2015-151869</x:v>
      </x:c>
      <x:c r="B9272" s="18" t="n">
        <x:v>42272</x:v>
      </x:c>
      <x:c r="C9272" t="str">
        <x:v>CS-11950</x:v>
      </x:c>
      <x:c r="D9272" t="str">
        <x:v>Carlos Soltero</x:v>
      </x:c>
      <x:c r="E9272" t="str">
        <x:v>Consumer</x:v>
      </x:c>
      <x:c r="F9272" t="str">
        <x:v>East</x:v>
      </x:c>
      <x:c r="G9272" t="str">
        <x:v>Furniture</x:v>
      </x:c>
      <x:c r="H9272" t="str">
        <x:v>Chairs</x:v>
      </x:c>
      <x:c r="I9272" s="22" t="n">
        <x:v>102.58200000000001</x:v>
      </x:c>
      <x:c r="J9272" s="24" t="n">
        <x:v>1</x:v>
      </x:c>
      <x:c r="K9272" s="26" t="n">
        <x:v>0.1</x:v>
      </x:c>
      <x:c r="L9272" s="22" t="n">
        <x:v>6.838800000000001</x:v>
      </x:c>
      <x:c r="M9272" t="n">
        <x:v>2015</x:v>
      </x:c>
      <x:c r="N9272" s="20" t="n">
        <x:v>42248</x:v>
      </x:c>
    </x:row>
    <x:row r="9273" ht="18" customHeight="1">
      <x:c r="A9273" t="str">
        <x:v>CA-2015-151869</x:v>
      </x:c>
      <x:c r="B9273" s="18" t="n">
        <x:v>42272</x:v>
      </x:c>
      <x:c r="C9273" t="str">
        <x:v>CS-11950</x:v>
      </x:c>
      <x:c r="D9273" t="str">
        <x:v>Carlos Soltero</x:v>
      </x:c>
      <x:c r="E9273" t="str">
        <x:v>Consumer</x:v>
      </x:c>
      <x:c r="F9273" t="str">
        <x:v>East</x:v>
      </x:c>
      <x:c r="G9273" t="str">
        <x:v>Office Supplies</x:v>
      </x:c>
      <x:c r="H9273" t="str">
        <x:v>Paper</x:v>
      </x:c>
      <x:c r="I9273" s="22" t="n">
        <x:v>20.04</x:v>
      </x:c>
      <x:c r="J9273" s="24" t="n">
        <x:v>3</x:v>
      </x:c>
      <x:c r="K9273" s="26" t="n">
        <x:v>0</x:v>
      </x:c>
      <x:c r="L9273" s="22" t="n">
        <x:v>9.6192</x:v>
      </x:c>
      <x:c r="M9273" t="n">
        <x:v>2015</x:v>
      </x:c>
      <x:c r="N9273" s="20" t="n">
        <x:v>42248</x:v>
      </x:c>
    </x:row>
    <x:row r="9274" ht="18" customHeight="1">
      <x:c r="A9274" t="str">
        <x:v>US-2017-102183</x:v>
      </x:c>
      <x:c r="B9274" s="18" t="n">
        <x:v>42968</x:v>
      </x:c>
      <x:c r="C9274" t="str">
        <x:v>PK-19075</x:v>
      </x:c>
      <x:c r="D9274" t="str">
        <x:v>Pete Kriz</x:v>
      </x:c>
      <x:c r="E9274" t="str">
        <x:v>Consumer</x:v>
      </x:c>
      <x:c r="F9274" t="str">
        <x:v>East</x:v>
      </x:c>
      <x:c r="G9274" t="str">
        <x:v>Office Supplies</x:v>
      </x:c>
      <x:c r="H9274" t="str">
        <x:v>Binders</x:v>
      </x:c>
      <x:c r="I9274" s="22" t="n">
        <x:v>32.088</x:v>
      </x:c>
      <x:c r="J9274" s="24" t="n">
        <x:v>7</x:v>
      </x:c>
      <x:c r="K9274" s="26" t="n">
        <x:v>0.2</x:v>
      </x:c>
      <x:c r="L9274" s="22" t="n">
        <x:v>11.2308</x:v>
      </x:c>
      <x:c r="M9274" t="n">
        <x:v>2017</x:v>
      </x:c>
      <x:c r="N9274" s="20" t="n">
        <x:v>42948</x:v>
      </x:c>
    </x:row>
    <x:row r="9275" ht="18" customHeight="1">
      <x:c r="A9275" t="str">
        <x:v>US-2017-102183</x:v>
      </x:c>
      <x:c r="B9275" s="18" t="n">
        <x:v>42968</x:v>
      </x:c>
      <x:c r="C9275" t="str">
        <x:v>PK-19075</x:v>
      </x:c>
      <x:c r="D9275" t="str">
        <x:v>Pete Kriz</x:v>
      </x:c>
      <x:c r="E9275" t="str">
        <x:v>Consumer</x:v>
      </x:c>
      <x:c r="F9275" t="str">
        <x:v>East</x:v>
      </x:c>
      <x:c r="G9275" t="str">
        <x:v>Office Supplies</x:v>
      </x:c>
      <x:c r="H9275" t="str">
        <x:v>Binders</x:v>
      </x:c>
      <x:c r="I9275" s="22" t="n">
        <x:v>4305.552000000001</x:v>
      </x:c>
      <x:c r="J9275" s="24" t="n">
        <x:v>6</x:v>
      </x:c>
      <x:c r="K9275" s="26" t="n">
        <x:v>0.2</x:v>
      </x:c>
      <x:c r="L9275" s="22" t="n">
        <x:v>1453.1237999999996</x:v>
      </x:c>
      <x:c r="M9275" t="n">
        <x:v>2017</x:v>
      </x:c>
      <x:c r="N9275" s="20" t="n">
        <x:v>42948</x:v>
      </x:c>
    </x:row>
    <x:row r="9276" ht="18" customHeight="1">
      <x:c r="A9276" t="str">
        <x:v>CA-2016-100510</x:v>
      </x:c>
      <x:c r="B9276" s="18" t="n">
        <x:v>42502</x:v>
      </x:c>
      <x:c r="C9276" t="str">
        <x:v>HM-14860</x:v>
      </x:c>
      <x:c r="D9276" t="str">
        <x:v>Harry Marie</x:v>
      </x:c>
      <x:c r="E9276" t="str">
        <x:v>Corporate</x:v>
      </x:c>
      <x:c r="F9276" t="str">
        <x:v>East</x:v>
      </x:c>
      <x:c r="G9276" t="str">
        <x:v>Furniture</x:v>
      </x:c>
      <x:c r="H9276" t="str">
        <x:v>Furnishings</x:v>
      </x:c>
      <x:c r="I9276" s="22" t="n">
        <x:v>10.02</x:v>
      </x:c>
      <x:c r="J9276" s="24" t="n">
        <x:v>3</x:v>
      </x:c>
      <x:c r="K9276" s="26" t="n">
        <x:v>0</x:v>
      </x:c>
      <x:c r="L9276" s="22" t="n">
        <x:v>4.408800000000001</x:v>
      </x:c>
      <x:c r="M9276" t="n">
        <x:v>2016</x:v>
      </x:c>
      <x:c r="N9276" s="20" t="n">
        <x:v>42491</x:v>
      </x:c>
    </x:row>
    <x:row r="9277" ht="18" customHeight="1">
      <x:c r="A9277" t="str">
        <x:v>CA-2016-100510</x:v>
      </x:c>
      <x:c r="B9277" s="18" t="n">
        <x:v>42502</x:v>
      </x:c>
      <x:c r="C9277" t="str">
        <x:v>HM-14860</x:v>
      </x:c>
      <x:c r="D9277" t="str">
        <x:v>Harry Marie</x:v>
      </x:c>
      <x:c r="E9277" t="str">
        <x:v>Corporate</x:v>
      </x:c>
      <x:c r="F9277" t="str">
        <x:v>East</x:v>
      </x:c>
      <x:c r="G9277" t="str">
        <x:v>Technology</x:v>
      </x:c>
      <x:c r="H9277" t="str">
        <x:v>Phones</x:v>
      </x:c>
      <x:c r="I9277" s="22" t="n">
        <x:v>631.96</x:v>
      </x:c>
      <x:c r="J9277" s="24" t="n">
        <x:v>4</x:v>
      </x:c>
      <x:c r="K9277" s="26" t="n">
        <x:v>0</x:v>
      </x:c>
      <x:c r="L9277" s="22" t="n">
        <x:v>303.3408</x:v>
      </x:c>
      <x:c r="M9277" t="n">
        <x:v>2016</x:v>
      </x:c>
      <x:c r="N9277" s="20" t="n">
        <x:v>42491</x:v>
      </x:c>
    </x:row>
    <x:row r="9278" ht="18" customHeight="1">
      <x:c r="A9278" t="str">
        <x:v>CA-2017-146983</x:v>
      </x:c>
      <x:c r="B9278" s="18" t="n">
        <x:v>42980</x:v>
      </x:c>
      <x:c r="C9278" t="str">
        <x:v>AH-10210</x:v>
      </x:c>
      <x:c r="D9278" t="str">
        <x:v>Alan Hwang</x:v>
      </x:c>
      <x:c r="E9278" t="str">
        <x:v>Consumer</x:v>
      </x:c>
      <x:c r="F9278" t="str">
        <x:v>South</x:v>
      </x:c>
      <x:c r="G9278" t="str">
        <x:v>Office Supplies</x:v>
      </x:c>
      <x:c r="H9278" t="str">
        <x:v>Binders</x:v>
      </x:c>
      <x:c r="I9278" s="22" t="n">
        <x:v>1577.94</x:v>
      </x:c>
      <x:c r="J9278" s="24" t="n">
        <x:v>3</x:v>
      </x:c>
      <x:c r="K9278" s="26" t="n">
        <x:v>0</x:v>
      </x:c>
      <x:c r="L9278" s="22" t="n">
        <x:v>757.4112</x:v>
      </x:c>
      <x:c r="M9278" t="n">
        <x:v>2017</x:v>
      </x:c>
      <x:c r="N9278" s="20" t="n">
        <x:v>42979</x:v>
      </x:c>
    </x:row>
    <x:row r="9279" ht="18" customHeight="1">
      <x:c r="A9279" t="str">
        <x:v>US-2014-134054</x:v>
      </x:c>
      <x:c r="B9279" s="18" t="n">
        <x:v>41922</x:v>
      </x:c>
      <x:c r="C9279" t="str">
        <x:v>FC-14335</x:v>
      </x:c>
      <x:c r="D9279" t="str">
        <x:v>Fred Chung</x:v>
      </x:c>
      <x:c r="E9279" t="str">
        <x:v>Corporate</x:v>
      </x:c>
      <x:c r="F9279" t="str">
        <x:v>West</x:v>
      </x:c>
      <x:c r="G9279" t="str">
        <x:v>Office Supplies</x:v>
      </x:c>
      <x:c r="H9279" t="str">
        <x:v>Art</x:v>
      </x:c>
      <x:c r="I9279" s="22" t="n">
        <x:v>255.84999999999997</x:v>
      </x:c>
      <x:c r="J9279" s="24" t="n">
        <x:v>7</x:v>
      </x:c>
      <x:c r="K9279" s="26" t="n">
        <x:v>0</x:v>
      </x:c>
      <x:c r="L9279" s="22" t="n">
        <x:v>112.57400000000001</x:v>
      </x:c>
      <x:c r="M9279" t="n">
        <x:v>2014</x:v>
      </x:c>
      <x:c r="N9279" s="20" t="n">
        <x:v>41913</x:v>
      </x:c>
    </x:row>
    <x:row r="9280" ht="18" customHeight="1">
      <x:c r="A9280" t="str">
        <x:v>CA-2016-113236</x:v>
      </x:c>
      <x:c r="B9280" s="18" t="n">
        <x:v>42516</x:v>
      </x:c>
      <x:c r="C9280" t="str">
        <x:v>CP-12085</x:v>
      </x:c>
      <x:c r="D9280" t="str">
        <x:v>Cathy Prescott</x:v>
      </x:c>
      <x:c r="E9280" t="str">
        <x:v>Corporate</x:v>
      </x:c>
      <x:c r="F9280" t="str">
        <x:v>South</x:v>
      </x:c>
      <x:c r="G9280" t="str">
        <x:v>Office Supplies</x:v>
      </x:c>
      <x:c r="H9280" t="str">
        <x:v>Storage</x:v>
      </x:c>
      <x:c r="I9280" s="22" t="n">
        <x:v>184.704</x:v>
      </x:c>
      <x:c r="J9280" s="24" t="n">
        <x:v>6</x:v>
      </x:c>
      <x:c r="K9280" s="26" t="n">
        <x:v>0.2</x:v>
      </x:c>
      <x:c r="L9280" s="22" t="n">
        <x:v>13.852799999999995</x:v>
      </x:c>
      <x:c r="M9280" t="n">
        <x:v>2016</x:v>
      </x:c>
      <x:c r="N9280" s="20" t="n">
        <x:v>42491</x:v>
      </x:c>
    </x:row>
    <x:row r="9281" ht="18" customHeight="1">
      <x:c r="A9281" t="str">
        <x:v>CA-2016-113236</x:v>
      </x:c>
      <x:c r="B9281" s="18" t="n">
        <x:v>42516</x:v>
      </x:c>
      <x:c r="C9281" t="str">
        <x:v>CP-12085</x:v>
      </x:c>
      <x:c r="D9281" t="str">
        <x:v>Cathy Prescott</x:v>
      </x:c>
      <x:c r="E9281" t="str">
        <x:v>Corporate</x:v>
      </x:c>
      <x:c r="F9281" t="str">
        <x:v>South</x:v>
      </x:c>
      <x:c r="G9281" t="str">
        <x:v>Technology</x:v>
      </x:c>
      <x:c r="H9281" t="str">
        <x:v>Accessories</x:v>
      </x:c>
      <x:c r="I9281" s="22" t="n">
        <x:v>47.92</x:v>
      </x:c>
      <x:c r="J9281" s="24" t="n">
        <x:v>2</x:v>
      </x:c>
      <x:c r="K9281" s="26" t="n">
        <x:v>0.2</x:v>
      </x:c>
      <x:c r="L9281" s="22" t="n">
        <x:v>11.98</x:v>
      </x:c>
      <x:c r="M9281" t="n">
        <x:v>2016</x:v>
      </x:c>
      <x:c r="N9281" s="20" t="n">
        <x:v>42491</x:v>
      </x:c>
    </x:row>
    <x:row r="9282" ht="18" customHeight="1">
      <x:c r="A9282" t="str">
        <x:v>CA-2017-122539</x:v>
      </x:c>
      <x:c r="B9282" s="18" t="n">
        <x:v>43070</x:v>
      </x:c>
      <x:c r="C9282" t="str">
        <x:v>SC-20305</x:v>
      </x:c>
      <x:c r="D9282" t="str">
        <x:v>Sean Christensen</x:v>
      </x:c>
      <x:c r="E9282" t="str">
        <x:v>Consumer</x:v>
      </x:c>
      <x:c r="F9282" t="str">
        <x:v>East</x:v>
      </x:c>
      <x:c r="G9282" t="str">
        <x:v>Office Supplies</x:v>
      </x:c>
      <x:c r="H9282" t="str">
        <x:v>Labels</x:v>
      </x:c>
      <x:c r="I9282" s="22" t="n">
        <x:v>15.936000000000002</x:v>
      </x:c>
      <x:c r="J9282" s="24" t="n">
        <x:v>4</x:v>
      </x:c>
      <x:c r="K9282" s="26" t="n">
        <x:v>0.2</x:v>
      </x:c>
      <x:c r="L9282" s="22" t="n">
        <x:v>5.1792</x:v>
      </x:c>
      <x:c r="M9282" t="n">
        <x:v>2017</x:v>
      </x:c>
      <x:c r="N9282" s="20" t="n">
        <x:v>43070</x:v>
      </x:c>
    </x:row>
    <x:row r="9283" ht="18" customHeight="1">
      <x:c r="A9283" t="str">
        <x:v>CA-2017-122539</x:v>
      </x:c>
      <x:c r="B9283" s="18" t="n">
        <x:v>43070</x:v>
      </x:c>
      <x:c r="C9283" t="str">
        <x:v>SC-20305</x:v>
      </x:c>
      <x:c r="D9283" t="str">
        <x:v>Sean Christensen</x:v>
      </x:c>
      <x:c r="E9283" t="str">
        <x:v>Consumer</x:v>
      </x:c>
      <x:c r="F9283" t="str">
        <x:v>East</x:v>
      </x:c>
      <x:c r="G9283" t="str">
        <x:v>Office Supplies</x:v>
      </x:c>
      <x:c r="H9283" t="str">
        <x:v>Binders</x:v>
      </x:c>
      <x:c r="I9283" s="22" t="n">
        <x:v>8.001000000000001</x:v>
      </x:c>
      <x:c r="J9283" s="24" t="n">
        <x:v>7</x:v>
      </x:c>
      <x:c r="K9283" s="26" t="n">
        <x:v>0.7</x:v>
      </x:c>
      <x:c r="L9283" s="22" t="n">
        <x:v>-5.600699999999996</x:v>
      </x:c>
      <x:c r="M9283" t="n">
        <x:v>2017</x:v>
      </x:c>
      <x:c r="N9283" s="20" t="n">
        <x:v>43070</x:v>
      </x:c>
    </x:row>
    <x:row r="9284" ht="18" customHeight="1">
      <x:c r="A9284" t="str">
        <x:v>CA-2017-122539</x:v>
      </x:c>
      <x:c r="B9284" s="18" t="n">
        <x:v>43070</x:v>
      </x:c>
      <x:c r="C9284" t="str">
        <x:v>SC-20305</x:v>
      </x:c>
      <x:c r="D9284" t="str">
        <x:v>Sean Christensen</x:v>
      </x:c>
      <x:c r="E9284" t="str">
        <x:v>Consumer</x:v>
      </x:c>
      <x:c r="F9284" t="str">
        <x:v>East</x:v>
      </x:c>
      <x:c r="G9284" t="str">
        <x:v>Furniture</x:v>
      </x:c>
      <x:c r="H9284" t="str">
        <x:v>Chairs</x:v>
      </x:c>
      <x:c r="I9284" s="22" t="n">
        <x:v>398.972</x:v>
      </x:c>
      <x:c r="J9284" s="24" t="n">
        <x:v>2</x:v>
      </x:c>
      <x:c r="K9284" s="26" t="n">
        <x:v>0.3</x:v>
      </x:c>
      <x:c r="L9284" s="22" t="n">
        <x:v>-28.49799999999999</x:v>
      </x:c>
      <x:c r="M9284" t="n">
        <x:v>2017</x:v>
      </x:c>
      <x:c r="N9284" s="20" t="n">
        <x:v>43070</x:v>
      </x:c>
    </x:row>
    <x:row r="9285" ht="18" customHeight="1">
      <x:c r="A9285" t="str">
        <x:v>CA-2016-166772</x:v>
      </x:c>
      <x:c r="B9285" s="18" t="n">
        <x:v>42633</x:v>
      </x:c>
      <x:c r="C9285" t="str">
        <x:v>HJ-14875</x:v>
      </x:c>
      <x:c r="D9285" t="str">
        <x:v>Heather Jas</x:v>
      </x:c>
      <x:c r="E9285" t="str">
        <x:v>Home Office</x:v>
      </x:c>
      <x:c r="F9285" t="str">
        <x:v>West</x:v>
      </x:c>
      <x:c r="G9285" t="str">
        <x:v>Furniture</x:v>
      </x:c>
      <x:c r="H9285" t="str">
        <x:v>Bookcases</x:v>
      </x:c>
      <x:c r="I9285" s="22" t="n">
        <x:v>163.88</x:v>
      </x:c>
      <x:c r="J9285" s="24" t="n">
        <x:v>2</x:v>
      </x:c>
      <x:c r="K9285" s="26" t="n">
        <x:v>0</x:v>
      </x:c>
      <x:c r="L9285" s="22" t="n">
        <x:v>40.97</x:v>
      </x:c>
      <x:c r="M9285" t="n">
        <x:v>2016</x:v>
      </x:c>
      <x:c r="N9285" s="20" t="n">
        <x:v>42614</x:v>
      </x:c>
    </x:row>
    <x:row r="9286" ht="18" customHeight="1">
      <x:c r="A9286" t="str">
        <x:v>US-2017-152898</x:v>
      </x:c>
      <x:c r="B9286" s="18" t="n">
        <x:v>42989</x:v>
      </x:c>
      <x:c r="C9286" t="str">
        <x:v>CB-12025</x:v>
      </x:c>
      <x:c r="D9286" t="str">
        <x:v>Cassandra Brandow</x:v>
      </x:c>
      <x:c r="E9286" t="str">
        <x:v>Consumer</x:v>
      </x:c>
      <x:c r="F9286" t="str">
        <x:v>South</x:v>
      </x:c>
      <x:c r="G9286" t="str">
        <x:v>Office Supplies</x:v>
      </x:c>
      <x:c r="H9286" t="str">
        <x:v>Appliances</x:v>
      </x:c>
      <x:c r="I9286" s="22" t="n">
        <x:v>67.9</x:v>
      </x:c>
      <x:c r="J9286" s="24" t="n">
        <x:v>5</x:v>
      </x:c>
      <x:c r="K9286" s="26" t="n">
        <x:v>0</x:v>
      </x:c>
      <x:c r="L9286" s="22" t="n">
        <x:v>20.369999999999997</x:v>
      </x:c>
      <x:c r="M9286" t="n">
        <x:v>2017</x:v>
      </x:c>
      <x:c r="N9286" s="20" t="n">
        <x:v>42979</x:v>
      </x:c>
    </x:row>
    <x:row r="9287" ht="18" customHeight="1">
      <x:c r="A9287" t="str">
        <x:v>CA-2016-160486</x:v>
      </x:c>
      <x:c r="B9287" s="18" t="n">
        <x:v>42734</x:v>
      </x:c>
      <x:c r="C9287" t="str">
        <x:v>EH-14185</x:v>
      </x:c>
      <x:c r="D9287" t="str">
        <x:v>Evan Henry</x:v>
      </x:c>
      <x:c r="E9287" t="str">
        <x:v>Consumer</x:v>
      </x:c>
      <x:c r="F9287" t="str">
        <x:v>South</x:v>
      </x:c>
      <x:c r="G9287" t="str">
        <x:v>Office Supplies</x:v>
      </x:c>
      <x:c r="H9287" t="str">
        <x:v>Paper</x:v>
      </x:c>
      <x:c r="I9287" s="22" t="n">
        <x:v>72.224</x:v>
      </x:c>
      <x:c r="J9287" s="24" t="n">
        <x:v>4</x:v>
      </x:c>
      <x:c r="K9287" s="26" t="n">
        <x:v>0.2</x:v>
      </x:c>
      <x:c r="L9287" s="22" t="n">
        <x:v>25.2784</x:v>
      </x:c>
      <x:c r="M9287" t="n">
        <x:v>2016</x:v>
      </x:c>
      <x:c r="N9287" s="20" t="n">
        <x:v>42705</x:v>
      </x:c>
    </x:row>
    <x:row r="9288" ht="18" customHeight="1">
      <x:c r="A9288" t="str">
        <x:v>CA-2017-102218</x:v>
      </x:c>
      <x:c r="B9288" s="18" t="n">
        <x:v>42980</x:v>
      </x:c>
      <x:c r="C9288" t="str">
        <x:v>LW-17215</x:v>
      </x:c>
      <x:c r="D9288" t="str">
        <x:v>Luke Weiss</x:v>
      </x:c>
      <x:c r="E9288" t="str">
        <x:v>Consumer</x:v>
      </x:c>
      <x:c r="F9288" t="str">
        <x:v>West</x:v>
      </x:c>
      <x:c r="G9288" t="str">
        <x:v>Office Supplies</x:v>
      </x:c>
      <x:c r="H9288" t="str">
        <x:v>Labels</x:v>
      </x:c>
      <x:c r="I9288" s="22" t="n">
        <x:v>11.696</x:v>
      </x:c>
      <x:c r="J9288" s="24" t="n">
        <x:v>2</x:v>
      </x:c>
      <x:c r="K9288" s="26" t="n">
        <x:v>0.2</x:v>
      </x:c>
      <x:c r="L9288" s="22" t="n">
        <x:v>3.9473999999999996</x:v>
      </x:c>
      <x:c r="M9288" t="n">
        <x:v>2017</x:v>
      </x:c>
      <x:c r="N9288" s="20" t="n">
        <x:v>42979</x:v>
      </x:c>
    </x:row>
    <x:row r="9289" ht="18" customHeight="1">
      <x:c r="A9289" t="str">
        <x:v>CA-2014-161032</x:v>
      </x:c>
      <x:c r="B9289" s="18" t="n">
        <x:v>41961</x:v>
      </x:c>
      <x:c r="C9289" t="str">
        <x:v>MK-17905</x:v>
      </x:c>
      <x:c r="D9289" t="str">
        <x:v>Michael Kennedy</x:v>
      </x:c>
      <x:c r="E9289" t="str">
        <x:v>Corporate</x:v>
      </x:c>
      <x:c r="F9289" t="str">
        <x:v>Central</x:v>
      </x:c>
      <x:c r="G9289" t="str">
        <x:v>Furniture</x:v>
      </x:c>
      <x:c r="H9289" t="str">
        <x:v>Chairs</x:v>
      </x:c>
      <x:c r="I9289" s="22" t="n">
        <x:v>392.93999999999994</x:v>
      </x:c>
      <x:c r="J9289" s="24" t="n">
        <x:v>3</x:v>
      </x:c>
      <x:c r="K9289" s="26" t="n">
        <x:v>0</x:v>
      </x:c>
      <x:c r="L9289" s="22" t="n">
        <x:v>43.223399999999984</x:v>
      </x:c>
      <x:c r="M9289" t="n">
        <x:v>2014</x:v>
      </x:c>
      <x:c r="N9289" s="20" t="n">
        <x:v>41944</x:v>
      </x:c>
    </x:row>
    <x:row r="9290" ht="18" customHeight="1">
      <x:c r="A9290" t="str">
        <x:v>CA-2015-102778</x:v>
      </x:c>
      <x:c r="B9290" s="18" t="n">
        <x:v>42329</x:v>
      </x:c>
      <x:c r="C9290" t="str">
        <x:v>JH-15820</x:v>
      </x:c>
      <x:c r="D9290" t="str">
        <x:v>John Huston</x:v>
      </x:c>
      <x:c r="E9290" t="str">
        <x:v>Consumer</x:v>
      </x:c>
      <x:c r="F9290" t="str">
        <x:v>South</x:v>
      </x:c>
      <x:c r="G9290" t="str">
        <x:v>Furniture</x:v>
      </x:c>
      <x:c r="H9290" t="str">
        <x:v>Furnishings</x:v>
      </x:c>
      <x:c r="I9290" s="22" t="n">
        <x:v>18.176</x:v>
      </x:c>
      <x:c r="J9290" s="24" t="n">
        <x:v>1</x:v>
      </x:c>
      <x:c r="K9290" s="26" t="n">
        <x:v>0.2</x:v>
      </x:c>
      <x:c r="L9290" s="22" t="n">
        <x:v>4.771200000000001</x:v>
      </x:c>
      <x:c r="M9290" t="n">
        <x:v>2015</x:v>
      </x:c>
      <x:c r="N9290" s="20" t="n">
        <x:v>42309</x:v>
      </x:c>
    </x:row>
    <x:row r="9291" ht="18" customHeight="1">
      <x:c r="A9291" t="str">
        <x:v>CA-2017-154011</x:v>
      </x:c>
      <x:c r="B9291" s="18" t="n">
        <x:v>42905</x:v>
      </x:c>
      <x:c r="C9291" t="str">
        <x:v>DB-13270</x:v>
      </x:c>
      <x:c r="D9291" t="str">
        <x:v>Deborah Brumfield</x:v>
      </x:c>
      <x:c r="E9291" t="str">
        <x:v>Home Office</x:v>
      </x:c>
      <x:c r="F9291" t="str">
        <x:v>Central</x:v>
      </x:c>
      <x:c r="G9291" t="str">
        <x:v>Office Supplies</x:v>
      </x:c>
      <x:c r="H9291" t="str">
        <x:v>Binders</x:v>
      </x:c>
      <x:c r="I9291" s="22" t="n">
        <x:v>6.887999999999998</x:v>
      </x:c>
      <x:c r="J9291" s="24" t="n">
        <x:v>3</x:v>
      </x:c>
      <x:c r="K9291" s="26" t="n">
        <x:v>0.8</x:v>
      </x:c>
      <x:c r="L9291" s="22" t="n">
        <x:v>-11.020800000000005</x:v>
      </x:c>
      <x:c r="M9291" t="n">
        <x:v>2017</x:v>
      </x:c>
      <x:c r="N9291" s="20" t="n">
        <x:v>42887</x:v>
      </x:c>
    </x:row>
    <x:row r="9292" ht="18" customHeight="1">
      <x:c r="A9292" t="str">
        <x:v>CA-2017-154011</x:v>
      </x:c>
      <x:c r="B9292" s="18" t="n">
        <x:v>42905</x:v>
      </x:c>
      <x:c r="C9292" t="str">
        <x:v>DB-13270</x:v>
      </x:c>
      <x:c r="D9292" t="str">
        <x:v>Deborah Brumfield</x:v>
      </x:c>
      <x:c r="E9292" t="str">
        <x:v>Home Office</x:v>
      </x:c>
      <x:c r="F9292" t="str">
        <x:v>Central</x:v>
      </x:c>
      <x:c r="G9292" t="str">
        <x:v>Furniture</x:v>
      </x:c>
      <x:c r="H9292" t="str">
        <x:v>Tables</x:v>
      </x:c>
      <x:c r="I9292" s="22" t="n">
        <x:v>457.4849999999999</x:v>
      </x:c>
      <x:c r="J9292" s="24" t="n">
        <x:v>3</x:v>
      </x:c>
      <x:c r="K9292" s="26" t="n">
        <x:v>0.3</x:v>
      </x:c>
      <x:c r="L9292" s="22" t="n">
        <x:v>-84.96150000000003</x:v>
      </x:c>
      <x:c r="M9292" t="n">
        <x:v>2017</x:v>
      </x:c>
      <x:c r="N9292" s="20" t="n">
        <x:v>42887</x:v>
      </x:c>
    </x:row>
    <x:row r="9293" ht="18" customHeight="1">
      <x:c r="A9293" t="str">
        <x:v>US-2017-165456</x:v>
      </x:c>
      <x:c r="B9293" s="18" t="n">
        <x:v>43069</x:v>
      </x:c>
      <x:c r="C9293" t="str">
        <x:v>TB-21625</x:v>
      </x:c>
      <x:c r="D9293" t="str">
        <x:v>Trudy Brown</x:v>
      </x:c>
      <x:c r="E9293" t="str">
        <x:v>Consumer</x:v>
      </x:c>
      <x:c r="F9293" t="str">
        <x:v>East</x:v>
      </x:c>
      <x:c r="G9293" t="str">
        <x:v>Furniture</x:v>
      </x:c>
      <x:c r="H9293" t="str">
        <x:v>Chairs</x:v>
      </x:c>
      <x:c r="I9293" s="22" t="n">
        <x:v>1079.316</x:v>
      </x:c>
      <x:c r="J9293" s="24" t="n">
        <x:v>6</x:v>
      </x:c>
      <x:c r="K9293" s="26" t="n">
        <x:v>0.3</x:v>
      </x:c>
      <x:c r="L9293" s="22" t="n">
        <x:v>-15.418800000000203</x:v>
      </x:c>
      <x:c r="M9293" t="n">
        <x:v>2017</x:v>
      </x:c>
      <x:c r="N9293" s="20" t="n">
        <x:v>43040</x:v>
      </x:c>
    </x:row>
    <x:row r="9294" ht="18" customHeight="1">
      <x:c r="A9294" t="str">
        <x:v>CA-2014-111857</x:v>
      </x:c>
      <x:c r="B9294" s="18" t="n">
        <x:v>41752</x:v>
      </x:c>
      <x:c r="C9294" t="str">
        <x:v>NM-18445</x:v>
      </x:c>
      <x:c r="D9294" t="str">
        <x:v>Nathan Mautz</x:v>
      </x:c>
      <x:c r="E9294" t="str">
        <x:v>Home Office</x:v>
      </x:c>
      <x:c r="F9294" t="str">
        <x:v>West</x:v>
      </x:c>
      <x:c r="G9294" t="str">
        <x:v>Office Supplies</x:v>
      </x:c>
      <x:c r="H9294" t="str">
        <x:v>Paper</x:v>
      </x:c>
      <x:c r="I9294" s="22" t="n">
        <x:v>48.91</x:v>
      </x:c>
      <x:c r="J9294" s="24" t="n">
        <x:v>1</x:v>
      </x:c>
      <x:c r="K9294" s="26" t="n">
        <x:v>0</x:v>
      </x:c>
      <x:c r="L9294" s="22" t="n">
        <x:v>22.987699999999997</x:v>
      </x:c>
      <x:c r="M9294" t="n">
        <x:v>2014</x:v>
      </x:c>
      <x:c r="N9294" s="20" t="n">
        <x:v>41730</x:v>
      </x:c>
    </x:row>
    <x:row r="9295" ht="18" customHeight="1">
      <x:c r="A9295" t="str">
        <x:v>CA-2014-163650</x:v>
      </x:c>
      <x:c r="B9295" s="18" t="n">
        <x:v>41905</x:v>
      </x:c>
      <x:c r="C9295" t="str">
        <x:v>TT-21220</x:v>
      </x:c>
      <x:c r="D9295" t="str">
        <x:v>Thomas Thornton</x:v>
      </x:c>
      <x:c r="E9295" t="str">
        <x:v>Consumer</x:v>
      </x:c>
      <x:c r="F9295" t="str">
        <x:v>East</x:v>
      </x:c>
      <x:c r="G9295" t="str">
        <x:v>Office Supplies</x:v>
      </x:c>
      <x:c r="H9295" t="str">
        <x:v>Art</x:v>
      </x:c>
      <x:c r="I9295" s="22" t="n">
        <x:v>9.84</x:v>
      </x:c>
      <x:c r="J9295" s="24" t="n">
        <x:v>3</x:v>
      </x:c>
      <x:c r="K9295" s="26" t="n">
        <x:v>0</x:v>
      </x:c>
      <x:c r="L9295" s="22" t="n">
        <x:v>2.853599999999999</x:v>
      </x:c>
      <x:c r="M9295" t="n">
        <x:v>2014</x:v>
      </x:c>
      <x:c r="N9295" s="20" t="n">
        <x:v>41883</x:v>
      </x:c>
    </x:row>
    <x:row r="9296" ht="18" customHeight="1">
      <x:c r="A9296" t="str">
        <x:v>CA-2014-163650</x:v>
      </x:c>
      <x:c r="B9296" s="18" t="n">
        <x:v>41905</x:v>
      </x:c>
      <x:c r="C9296" t="str">
        <x:v>TT-21220</x:v>
      </x:c>
      <x:c r="D9296" t="str">
        <x:v>Thomas Thornton</x:v>
      </x:c>
      <x:c r="E9296" t="str">
        <x:v>Consumer</x:v>
      </x:c>
      <x:c r="F9296" t="str">
        <x:v>East</x:v>
      </x:c>
      <x:c r="G9296" t="str">
        <x:v>Office Supplies</x:v>
      </x:c>
      <x:c r="H9296" t="str">
        <x:v>Binders</x:v>
      </x:c>
      <x:c r="I9296" s="22" t="n">
        <x:v>34.5</x:v>
      </x:c>
      <x:c r="J9296" s="24" t="n">
        <x:v>3</x:v>
      </x:c>
      <x:c r="K9296" s="26" t="n">
        <x:v>0</x:v>
      </x:c>
      <x:c r="L9296" s="22" t="n">
        <x:v>15.524999999999999</x:v>
      </x:c>
      <x:c r="M9296" t="n">
        <x:v>2014</x:v>
      </x:c>
      <x:c r="N9296" s="20" t="n">
        <x:v>41883</x:v>
      </x:c>
    </x:row>
    <x:row r="9297" ht="18" customHeight="1">
      <x:c r="A9297" t="str">
        <x:v>CA-2017-124114</x:v>
      </x:c>
      <x:c r="B9297" s="18" t="n">
        <x:v>42796</x:v>
      </x:c>
      <x:c r="C9297" t="str">
        <x:v>RS-19765</x:v>
      </x:c>
      <x:c r="D9297" t="str">
        <x:v>Roland Schwarz</x:v>
      </x:c>
      <x:c r="E9297" t="str">
        <x:v>Corporate</x:v>
      </x:c>
      <x:c r="F9297" t="str">
        <x:v>Central</x:v>
      </x:c>
      <x:c r="G9297" t="str">
        <x:v>Office Supplies</x:v>
      </x:c>
      <x:c r="H9297" t="str">
        <x:v>Binders</x:v>
      </x:c>
      <x:c r="I9297" s="22" t="n">
        <x:v>0.5559999999999998</x:v>
      </x:c>
      <x:c r="J9297" s="24" t="n">
        <x:v>1</x:v>
      </x:c>
      <x:c r="K9297" s="26" t="n">
        <x:v>0.8</x:v>
      </x:c>
      <x:c r="L9297" s="22" t="n">
        <x:v>-0.9452</x:v>
      </x:c>
      <x:c r="M9297" t="n">
        <x:v>2017</x:v>
      </x:c>
      <x:c r="N9297" s="20" t="n">
        <x:v>42795</x:v>
      </x:c>
    </x:row>
    <x:row r="9298" ht="18" customHeight="1">
      <x:c r="A9298" t="str">
        <x:v>US-2017-116505</x:v>
      </x:c>
      <x:c r="B9298" s="18" t="n">
        <x:v>43056</x:v>
      </x:c>
      <x:c r="C9298" t="str">
        <x:v>TB-21625</x:v>
      </x:c>
      <x:c r="D9298" t="str">
        <x:v>Trudy Brown</x:v>
      </x:c>
      <x:c r="E9298" t="str">
        <x:v>Consumer</x:v>
      </x:c>
      <x:c r="F9298" t="str">
        <x:v>East</x:v>
      </x:c>
      <x:c r="G9298" t="str">
        <x:v>Office Supplies</x:v>
      </x:c>
      <x:c r="H9298" t="str">
        <x:v>Binders</x:v>
      </x:c>
      <x:c r="I9298" s="22" t="n">
        <x:v>43.8</x:v>
      </x:c>
      <x:c r="J9298" s="24" t="n">
        <x:v>6</x:v>
      </x:c>
      <x:c r="K9298" s="26" t="n">
        <x:v>0</x:v>
      </x:c>
      <x:c r="L9298" s="22" t="n">
        <x:v>20.586</x:v>
      </x:c>
      <x:c r="M9298" t="n">
        <x:v>2017</x:v>
      </x:c>
      <x:c r="N9298" s="20" t="n">
        <x:v>43040</x:v>
      </x:c>
    </x:row>
    <x:row r="9299" ht="18" customHeight="1">
      <x:c r="A9299" t="str">
        <x:v>CA-2017-161340</x:v>
      </x:c>
      <x:c r="B9299" s="18" t="n">
        <x:v>42883</x:v>
      </x:c>
      <x:c r="C9299" t="str">
        <x:v>AM-10360</x:v>
      </x:c>
      <x:c r="D9299" t="str">
        <x:v>Alice McCarthy</x:v>
      </x:c>
      <x:c r="E9299" t="str">
        <x:v>Corporate</x:v>
      </x:c>
      <x:c r="F9299" t="str">
        <x:v>East</x:v>
      </x:c>
      <x:c r="G9299" t="str">
        <x:v>Office Supplies</x:v>
      </x:c>
      <x:c r="H9299" t="str">
        <x:v>Paper</x:v>
      </x:c>
      <x:c r="I9299" s="22" t="n">
        <x:v>13.872000000000002</x:v>
      </x:c>
      <x:c r="J9299" s="24" t="n">
        <x:v>3</x:v>
      </x:c>
      <x:c r="K9299" s="26" t="n">
        <x:v>0.2</x:v>
      </x:c>
      <x:c r="L9299" s="22" t="n">
        <x:v>5.028600000000001</x:v>
      </x:c>
      <x:c r="M9299" t="n">
        <x:v>2017</x:v>
      </x:c>
      <x:c r="N9299" s="20" t="n">
        <x:v>42856</x:v>
      </x:c>
    </x:row>
    <x:row r="9300" ht="18" customHeight="1">
      <x:c r="A9300" t="str">
        <x:v>CA-2017-161340</x:v>
      </x:c>
      <x:c r="B9300" s="18" t="n">
        <x:v>42883</x:v>
      </x:c>
      <x:c r="C9300" t="str">
        <x:v>AM-10360</x:v>
      </x:c>
      <x:c r="D9300" t="str">
        <x:v>Alice McCarthy</x:v>
      </x:c>
      <x:c r="E9300" t="str">
        <x:v>Corporate</x:v>
      </x:c>
      <x:c r="F9300" t="str">
        <x:v>East</x:v>
      </x:c>
      <x:c r="G9300" t="str">
        <x:v>Furniture</x:v>
      </x:c>
      <x:c r="H9300" t="str">
        <x:v>Bookcases</x:v>
      </x:c>
      <x:c r="I9300" s="22" t="n">
        <x:v>115.96</x:v>
      </x:c>
      <x:c r="J9300" s="24" t="n">
        <x:v>4</x:v>
      </x:c>
      <x:c r="K9300" s="26" t="n">
        <x:v>0.5</x:v>
      </x:c>
      <x:c r="L9300" s="22" t="n">
        <x:v>-64.93759999999999</x:v>
      </x:c>
      <x:c r="M9300" t="n">
        <x:v>2017</x:v>
      </x:c>
      <x:c r="N9300" s="20" t="n">
        <x:v>42856</x:v>
      </x:c>
    </x:row>
    <x:row r="9301" ht="18" customHeight="1">
      <x:c r="A9301" t="str">
        <x:v>US-2015-163433</x:v>
      </x:c>
      <x:c r="B9301" s="18" t="n">
        <x:v>42112</x:v>
      </x:c>
      <x:c r="C9301" t="str">
        <x:v>MP-17965</x:v>
      </x:c>
      <x:c r="D9301" t="str">
        <x:v>Michael Paige</x:v>
      </x:c>
      <x:c r="E9301" t="str">
        <x:v>Corporate</x:v>
      </x:c>
      <x:c r="F9301" t="str">
        <x:v>Central</x:v>
      </x:c>
      <x:c r="G9301" t="str">
        <x:v>Technology</x:v>
      </x:c>
      <x:c r="H9301" t="str">
        <x:v>Accessories</x:v>
      </x:c>
      <x:c r="I9301" s="22" t="n">
        <x:v>41.42400000000001</x:v>
      </x:c>
      <x:c r="J9301" s="24" t="n">
        <x:v>2</x:v>
      </x:c>
      <x:c r="K9301" s="26" t="n">
        <x:v>0.2</x:v>
      </x:c>
      <x:c r="L9301" s="22" t="n">
        <x:v>8.284799999999997</x:v>
      </x:c>
      <x:c r="M9301" t="n">
        <x:v>2015</x:v>
      </x:c>
      <x:c r="N9301" s="20" t="n">
        <x:v>42095</x:v>
      </x:c>
    </x:row>
    <x:row r="9302" ht="18" customHeight="1">
      <x:c r="A9302" t="str">
        <x:v>US-2015-163433</x:v>
      </x:c>
      <x:c r="B9302" s="18" t="n">
        <x:v>42112</x:v>
      </x:c>
      <x:c r="C9302" t="str">
        <x:v>MP-17965</x:v>
      </x:c>
      <x:c r="D9302" t="str">
        <x:v>Michael Paige</x:v>
      </x:c>
      <x:c r="E9302" t="str">
        <x:v>Corporate</x:v>
      </x:c>
      <x:c r="F9302" t="str">
        <x:v>Central</x:v>
      </x:c>
      <x:c r="G9302" t="str">
        <x:v>Technology</x:v>
      </x:c>
      <x:c r="H9302" t="str">
        <x:v>Phones</x:v>
      </x:c>
      <x:c r="I9302" s="22" t="n">
        <x:v>244.768</x:v>
      </x:c>
      <x:c r="J9302" s="24" t="n">
        <x:v>4</x:v>
      </x:c>
      <x:c r="K9302" s="26" t="n">
        <x:v>0.2</x:v>
      </x:c>
      <x:c r="L9302" s="22" t="n">
        <x:v>24.476800000000004</x:v>
      </x:c>
      <x:c r="M9302" t="n">
        <x:v>2015</x:v>
      </x:c>
      <x:c r="N9302" s="20" t="n">
        <x:v>42095</x:v>
      </x:c>
    </x:row>
    <x:row r="9303" ht="18" customHeight="1">
      <x:c r="A9303" t="str">
        <x:v>US-2015-163433</x:v>
      </x:c>
      <x:c r="B9303" s="18" t="n">
        <x:v>42112</x:v>
      </x:c>
      <x:c r="C9303" t="str">
        <x:v>MP-17965</x:v>
      </x:c>
      <x:c r="D9303" t="str">
        <x:v>Michael Paige</x:v>
      </x:c>
      <x:c r="E9303" t="str">
        <x:v>Corporate</x:v>
      </x:c>
      <x:c r="F9303" t="str">
        <x:v>Central</x:v>
      </x:c>
      <x:c r="G9303" t="str">
        <x:v>Office Supplies</x:v>
      </x:c>
      <x:c r="H9303" t="str">
        <x:v>Art</x:v>
      </x:c>
      <x:c r="I9303" s="22" t="n">
        <x:v>74.352</x:v>
      </x:c>
      <x:c r="J9303" s="24" t="n">
        <x:v>3</x:v>
      </x:c>
      <x:c r="K9303" s="26" t="n">
        <x:v>0.2</x:v>
      </x:c>
      <x:c r="L9303" s="22" t="n">
        <x:v>6.505799999999997</x:v>
      </x:c>
      <x:c r="M9303" t="n">
        <x:v>2015</x:v>
      </x:c>
      <x:c r="N9303" s="20" t="n">
        <x:v>42095</x:v>
      </x:c>
    </x:row>
    <x:row r="9304" ht="18" customHeight="1">
      <x:c r="A9304" t="str">
        <x:v>US-2015-163433</x:v>
      </x:c>
      <x:c r="B9304" s="18" t="n">
        <x:v>42112</x:v>
      </x:c>
      <x:c r="C9304" t="str">
        <x:v>MP-17965</x:v>
      </x:c>
      <x:c r="D9304" t="str">
        <x:v>Michael Paige</x:v>
      </x:c>
      <x:c r="E9304" t="str">
        <x:v>Corporate</x:v>
      </x:c>
      <x:c r="F9304" t="str">
        <x:v>Central</x:v>
      </x:c>
      <x:c r="G9304" t="str">
        <x:v>Office Supplies</x:v>
      </x:c>
      <x:c r="H9304" t="str">
        <x:v>Binders</x:v>
      </x:c>
      <x:c r="I9304" s="22" t="n">
        <x:v>4.3119999999999985</x:v>
      </x:c>
      <x:c r="J9304" s="24" t="n">
        <x:v>2</x:v>
      </x:c>
      <x:c r="K9304" s="26" t="n">
        <x:v>0.8</x:v>
      </x:c>
      <x:c r="L9304" s="22" t="n">
        <x:v>-6.899200000000002</x:v>
      </x:c>
      <x:c r="M9304" t="n">
        <x:v>2015</x:v>
      </x:c>
      <x:c r="N9304" s="20" t="n">
        <x:v>42095</x:v>
      </x:c>
    </x:row>
    <x:row r="9305" ht="18" customHeight="1">
      <x:c r="A9305" t="str">
        <x:v>US-2015-163433</x:v>
      </x:c>
      <x:c r="B9305" s="18" t="n">
        <x:v>42112</x:v>
      </x:c>
      <x:c r="C9305" t="str">
        <x:v>MP-17965</x:v>
      </x:c>
      <x:c r="D9305" t="str">
        <x:v>Michael Paige</x:v>
      </x:c>
      <x:c r="E9305" t="str">
        <x:v>Corporate</x:v>
      </x:c>
      <x:c r="F9305" t="str">
        <x:v>Central</x:v>
      </x:c>
      <x:c r="G9305" t="str">
        <x:v>Furniture</x:v>
      </x:c>
      <x:c r="H9305" t="str">
        <x:v>Chairs</x:v>
      </x:c>
      <x:c r="I9305" s="22" t="n">
        <x:v>56.686</x:v>
      </x:c>
      <x:c r="J9305" s="24" t="n">
        <x:v>1</x:v>
      </x:c>
      <x:c r="K9305" s="26" t="n">
        <x:v>0.3</x:v>
      </x:c>
      <x:c r="L9305" s="22" t="n">
        <x:v>-20.245000000000008</x:v>
      </x:c>
      <x:c r="M9305" t="n">
        <x:v>2015</x:v>
      </x:c>
      <x:c r="N9305" s="20" t="n">
        <x:v>42095</x:v>
      </x:c>
    </x:row>
    <x:row r="9306" ht="18" customHeight="1">
      <x:c r="A9306" t="str">
        <x:v>US-2015-163433</x:v>
      </x:c>
      <x:c r="B9306" s="18" t="n">
        <x:v>42112</x:v>
      </x:c>
      <x:c r="C9306" t="str">
        <x:v>MP-17965</x:v>
      </x:c>
      <x:c r="D9306" t="str">
        <x:v>Michael Paige</x:v>
      </x:c>
      <x:c r="E9306" t="str">
        <x:v>Corporate</x:v>
      </x:c>
      <x:c r="F9306" t="str">
        <x:v>Central</x:v>
      </x:c>
      <x:c r="G9306" t="str">
        <x:v>Technology</x:v>
      </x:c>
      <x:c r="H9306" t="str">
        <x:v>Phones</x:v>
      </x:c>
      <x:c r="I9306" s="22" t="n">
        <x:v>97.968</x:v>
      </x:c>
      <x:c r="J9306" s="24" t="n">
        <x:v>2</x:v>
      </x:c>
      <x:c r="K9306" s="26" t="n">
        <x:v>0.2</x:v>
      </x:c>
      <x:c r="L9306" s="22" t="n">
        <x:v>6.122999999999994</x:v>
      </x:c>
      <x:c r="M9306" t="n">
        <x:v>2015</x:v>
      </x:c>
      <x:c r="N9306" s="20" t="n">
        <x:v>42095</x:v>
      </x:c>
    </x:row>
    <x:row r="9307" ht="18" customHeight="1">
      <x:c r="A9307" t="str">
        <x:v>US-2015-163433</x:v>
      </x:c>
      <x:c r="B9307" s="18" t="n">
        <x:v>42112</x:v>
      </x:c>
      <x:c r="C9307" t="str">
        <x:v>MP-17965</x:v>
      </x:c>
      <x:c r="D9307" t="str">
        <x:v>Michael Paige</x:v>
      </x:c>
      <x:c r="E9307" t="str">
        <x:v>Corporate</x:v>
      </x:c>
      <x:c r="F9307" t="str">
        <x:v>Central</x:v>
      </x:c>
      <x:c r="G9307" t="str">
        <x:v>Office Supplies</x:v>
      </x:c>
      <x:c r="H9307" t="str">
        <x:v>Art</x:v>
      </x:c>
      <x:c r="I9307" s="22" t="n">
        <x:v>7.872</x:v>
      </x:c>
      <x:c r="J9307" s="24" t="n">
        <x:v>3</x:v>
      </x:c>
      <x:c r="K9307" s="26" t="n">
        <x:v>0.2</x:v>
      </x:c>
      <x:c r="L9307" s="22" t="n">
        <x:v>0.8855999999999988</x:v>
      </x:c>
      <x:c r="M9307" t="n">
        <x:v>2015</x:v>
      </x:c>
      <x:c r="N9307" s="20" t="n">
        <x:v>42095</x:v>
      </x:c>
    </x:row>
    <x:row r="9308" ht="18" customHeight="1">
      <x:c r="A9308" t="str">
        <x:v>US-2015-163433</x:v>
      </x:c>
      <x:c r="B9308" s="18" t="n">
        <x:v>42112</x:v>
      </x:c>
      <x:c r="C9308" t="str">
        <x:v>MP-17965</x:v>
      </x:c>
      <x:c r="D9308" t="str">
        <x:v>Michael Paige</x:v>
      </x:c>
      <x:c r="E9308" t="str">
        <x:v>Corporate</x:v>
      </x:c>
      <x:c r="F9308" t="str">
        <x:v>Central</x:v>
      </x:c>
      <x:c r="G9308" t="str">
        <x:v>Office Supplies</x:v>
      </x:c>
      <x:c r="H9308" t="str">
        <x:v>Paper</x:v>
      </x:c>
      <x:c r="I9308" s="22" t="n">
        <x:v>15.552000000000003</x:v>
      </x:c>
      <x:c r="J9308" s="24" t="n">
        <x:v>3</x:v>
      </x:c>
      <x:c r="K9308" s="26" t="n">
        <x:v>0.2</x:v>
      </x:c>
      <x:c r="L9308" s="22" t="n">
        <x:v>5.4432</x:v>
      </x:c>
      <x:c r="M9308" t="n">
        <x:v>2015</x:v>
      </x:c>
      <x:c r="N9308" s="20" t="n">
        <x:v>42095</x:v>
      </x:c>
    </x:row>
    <x:row r="9309" ht="18" customHeight="1">
      <x:c r="A9309" t="str">
        <x:v>US-2015-163433</x:v>
      </x:c>
      <x:c r="B9309" s="18" t="n">
        <x:v>42112</x:v>
      </x:c>
      <x:c r="C9309" t="str">
        <x:v>MP-17965</x:v>
      </x:c>
      <x:c r="D9309" t="str">
        <x:v>Michael Paige</x:v>
      </x:c>
      <x:c r="E9309" t="str">
        <x:v>Corporate</x:v>
      </x:c>
      <x:c r="F9309" t="str">
        <x:v>Central</x:v>
      </x:c>
      <x:c r="G9309" t="str">
        <x:v>Office Supplies</x:v>
      </x:c>
      <x:c r="H9309" t="str">
        <x:v>Binders</x:v>
      </x:c>
      <x:c r="I9309" s="22" t="n">
        <x:v>1.4759999999999998</x:v>
      </x:c>
      <x:c r="J9309" s="24" t="n">
        <x:v>1</x:v>
      </x:c>
      <x:c r="K9309" s="26" t="n">
        <x:v>0.8</x:v>
      </x:c>
      <x:c r="L9309" s="22" t="n">
        <x:v>-2.2878</x:v>
      </x:c>
      <x:c r="M9309" t="n">
        <x:v>2015</x:v>
      </x:c>
      <x:c r="N9309" s="20" t="n">
        <x:v>42095</x:v>
      </x:c>
    </x:row>
    <x:row r="9310" ht="18" customHeight="1">
      <x:c r="A9310" t="str">
        <x:v>CA-2015-137603</x:v>
      </x:c>
      <x:c r="B9310" s="18" t="n">
        <x:v>42266</x:v>
      </x:c>
      <x:c r="C9310" t="str">
        <x:v>MH-17290</x:v>
      </x:c>
      <x:c r="D9310" t="str">
        <x:v>Marc Harrigan</x:v>
      </x:c>
      <x:c r="E9310" t="str">
        <x:v>Home Office</x:v>
      </x:c>
      <x:c r="F9310" t="str">
        <x:v>West</x:v>
      </x:c>
      <x:c r="G9310" t="str">
        <x:v>Office Supplies</x:v>
      </x:c>
      <x:c r="H9310" t="str">
        <x:v>Art</x:v>
      </x:c>
      <x:c r="I9310" s="22" t="n">
        <x:v>8.4</x:v>
      </x:c>
      <x:c r="J9310" s="24" t="n">
        <x:v>5</x:v>
      </x:c>
      <x:c r="K9310" s="26" t="n">
        <x:v>0</x:v>
      </x:c>
      <x:c r="L9310" s="22" t="n">
        <x:v>2.184</x:v>
      </x:c>
      <x:c r="M9310" t="n">
        <x:v>2015</x:v>
      </x:c>
      <x:c r="N9310" s="20" t="n">
        <x:v>42248</x:v>
      </x:c>
    </x:row>
    <x:row r="9311" ht="18" customHeight="1">
      <x:c r="A9311" t="str">
        <x:v>CA-2014-128237</x:v>
      </x:c>
      <x:c r="B9311" s="18" t="n">
        <x:v>41723</x:v>
      </x:c>
      <x:c r="C9311" t="str">
        <x:v>CA-12265</x:v>
      </x:c>
      <x:c r="D9311" t="str">
        <x:v>Christina Anderson</x:v>
      </x:c>
      <x:c r="E9311" t="str">
        <x:v>Consumer</x:v>
      </x:c>
      <x:c r="F9311" t="str">
        <x:v>West</x:v>
      </x:c>
      <x:c r="G9311" t="str">
        <x:v>Office Supplies</x:v>
      </x:c>
      <x:c r="H9311" t="str">
        <x:v>Art</x:v>
      </x:c>
      <x:c r="I9311" s="22" t="n">
        <x:v>6.56</x:v>
      </x:c>
      <x:c r="J9311" s="24" t="n">
        <x:v>2</x:v>
      </x:c>
      <x:c r="K9311" s="26" t="n">
        <x:v>0</x:v>
      </x:c>
      <x:c r="L9311" s="22" t="n">
        <x:v>1.9023999999999992</x:v>
      </x:c>
      <x:c r="M9311" t="n">
        <x:v>2014</x:v>
      </x:c>
      <x:c r="N9311" s="20" t="n">
        <x:v>41699</x:v>
      </x:c>
    </x:row>
    <x:row r="9312" ht="18" customHeight="1">
      <x:c r="A9312" t="str">
        <x:v>CA-2014-128237</x:v>
      </x:c>
      <x:c r="B9312" s="18" t="n">
        <x:v>41723</x:v>
      </x:c>
      <x:c r="C9312" t="str">
        <x:v>CA-12265</x:v>
      </x:c>
      <x:c r="D9312" t="str">
        <x:v>Christina Anderson</x:v>
      </x:c>
      <x:c r="E9312" t="str">
        <x:v>Consumer</x:v>
      </x:c>
      <x:c r="F9312" t="str">
        <x:v>West</x:v>
      </x:c>
      <x:c r="G9312" t="str">
        <x:v>Office Supplies</x:v>
      </x:c>
      <x:c r="H9312" t="str">
        <x:v>Art</x:v>
      </x:c>
      <x:c r="I9312" s="22" t="n">
        <x:v>14.88</x:v>
      </x:c>
      <x:c r="J9312" s="24" t="n">
        <x:v>2</x:v>
      </x:c>
      <x:c r="K9312" s="26" t="n">
        <x:v>0</x:v>
      </x:c>
      <x:c r="L9312" s="22" t="n">
        <x:v>3.7200000000000006</x:v>
      </x:c>
      <x:c r="M9312" t="n">
        <x:v>2014</x:v>
      </x:c>
      <x:c r="N9312" s="20" t="n">
        <x:v>41699</x:v>
      </x:c>
    </x:row>
    <x:row r="9313" ht="18" customHeight="1">
      <x:c r="A9313" t="str">
        <x:v>CA-2014-128237</x:v>
      </x:c>
      <x:c r="B9313" s="18" t="n">
        <x:v>41723</x:v>
      </x:c>
      <x:c r="C9313" t="str">
        <x:v>CA-12265</x:v>
      </x:c>
      <x:c r="D9313" t="str">
        <x:v>Christina Anderson</x:v>
      </x:c>
      <x:c r="E9313" t="str">
        <x:v>Consumer</x:v>
      </x:c>
      <x:c r="F9313" t="str">
        <x:v>West</x:v>
      </x:c>
      <x:c r="G9313" t="str">
        <x:v>Technology</x:v>
      </x:c>
      <x:c r="H9313" t="str">
        <x:v>Accessories</x:v>
      </x:c>
      <x:c r="I9313" s="22" t="n">
        <x:v>45.48</x:v>
      </x:c>
      <x:c r="J9313" s="24" t="n">
        <x:v>4</x:v>
      </x:c>
      <x:c r="K9313" s="26" t="n">
        <x:v>0</x:v>
      </x:c>
      <x:c r="L9313" s="22" t="n">
        <x:v>15.918</x:v>
      </x:c>
      <x:c r="M9313" t="n">
        <x:v>2014</x:v>
      </x:c>
      <x:c r="N9313" s="20" t="n">
        <x:v>41699</x:v>
      </x:c>
    </x:row>
    <x:row r="9314" ht="18" customHeight="1">
      <x:c r="A9314" t="str">
        <x:v>CA-2014-128237</x:v>
      </x:c>
      <x:c r="B9314" s="18" t="n">
        <x:v>41723</x:v>
      </x:c>
      <x:c r="C9314" t="str">
        <x:v>CA-12265</x:v>
      </x:c>
      <x:c r="D9314" t="str">
        <x:v>Christina Anderson</x:v>
      </x:c>
      <x:c r="E9314" t="str">
        <x:v>Consumer</x:v>
      </x:c>
      <x:c r="F9314" t="str">
        <x:v>West</x:v>
      </x:c>
      <x:c r="G9314" t="str">
        <x:v>Office Supplies</x:v>
      </x:c>
      <x:c r="H9314" t="str">
        <x:v>Art</x:v>
      </x:c>
      <x:c r="I9314" s="22" t="n">
        <x:v>25.44</x:v>
      </x:c>
      <x:c r="J9314" s="24" t="n">
        <x:v>6</x:v>
      </x:c>
      <x:c r="K9314" s="26" t="n">
        <x:v>0</x:v>
      </x:c>
      <x:c r="L9314" s="22" t="n">
        <x:v>9.9216</x:v>
      </x:c>
      <x:c r="M9314" t="n">
        <x:v>2014</x:v>
      </x:c>
      <x:c r="N9314" s="20" t="n">
        <x:v>41699</x:v>
      </x:c>
    </x:row>
    <x:row r="9315" ht="18" customHeight="1">
      <x:c r="A9315" t="str">
        <x:v>US-2016-102141</x:v>
      </x:c>
      <x:c r="B9315" s="18" t="n">
        <x:v>42608</x:v>
      </x:c>
      <x:c r="C9315" t="str">
        <x:v>KD-16615</x:v>
      </x:c>
      <x:c r="D9315" t="str">
        <x:v>Ken Dana</x:v>
      </x:c>
      <x:c r="E9315" t="str">
        <x:v>Corporate</x:v>
      </x:c>
      <x:c r="F9315" t="str">
        <x:v>East</x:v>
      </x:c>
      <x:c r="G9315" t="str">
        <x:v>Office Supplies</x:v>
      </x:c>
      <x:c r="H9315" t="str">
        <x:v>Binders</x:v>
      </x:c>
      <x:c r="I9315" s="22" t="n">
        <x:v>146.68800000000002</x:v>
      </x:c>
      <x:c r="J9315" s="24" t="n">
        <x:v>8</x:v>
      </x:c>
      <x:c r="K9315" s="26" t="n">
        <x:v>0.2</x:v>
      </x:c>
      <x:c r="L9315" s="22" t="n">
        <x:v>45.839999999999996</x:v>
      </x:c>
      <x:c r="M9315" t="n">
        <x:v>2016</x:v>
      </x:c>
      <x:c r="N9315" s="20" t="n">
        <x:v>42583</x:v>
      </x:c>
    </x:row>
    <x:row r="9316" ht="18" customHeight="1">
      <x:c r="A9316" t="str">
        <x:v>CA-2017-148642</x:v>
      </x:c>
      <x:c r="B9316" s="18" t="n">
        <x:v>42800</x:v>
      </x:c>
      <x:c r="C9316" t="str">
        <x:v>DW-13540</x:v>
      </x:c>
      <x:c r="D9316" t="str">
        <x:v>Don Weiss</x:v>
      </x:c>
      <x:c r="E9316" t="str">
        <x:v>Consumer</x:v>
      </x:c>
      <x:c r="F9316" t="str">
        <x:v>Central</x:v>
      </x:c>
      <x:c r="G9316" t="str">
        <x:v>Office Supplies</x:v>
      </x:c>
      <x:c r="H9316" t="str">
        <x:v>Labels</x:v>
      </x:c>
      <x:c r="I9316" s="22" t="n">
        <x:v>4.928000000000001</x:v>
      </x:c>
      <x:c r="J9316" s="24" t="n">
        <x:v>2</x:v>
      </x:c>
      <x:c r="K9316" s="26" t="n">
        <x:v>0.2</x:v>
      </x:c>
      <x:c r="L9316" s="22" t="n">
        <x:v>1.7247999999999997</x:v>
      </x:c>
      <x:c r="M9316" t="n">
        <x:v>2017</x:v>
      </x:c>
      <x:c r="N9316" s="20" t="n">
        <x:v>42795</x:v>
      </x:c>
    </x:row>
    <x:row r="9317" ht="18" customHeight="1">
      <x:c r="A9317" t="str">
        <x:v>CA-2017-148642</x:v>
      </x:c>
      <x:c r="B9317" s="18" t="n">
        <x:v>42800</x:v>
      </x:c>
      <x:c r="C9317" t="str">
        <x:v>DW-13540</x:v>
      </x:c>
      <x:c r="D9317" t="str">
        <x:v>Don Weiss</x:v>
      </x:c>
      <x:c r="E9317" t="str">
        <x:v>Consumer</x:v>
      </x:c>
      <x:c r="F9317" t="str">
        <x:v>Central</x:v>
      </x:c>
      <x:c r="G9317" t="str">
        <x:v>Office Supplies</x:v>
      </x:c>
      <x:c r="H9317" t="str">
        <x:v>Art</x:v>
      </x:c>
      <x:c r="I9317" s="22" t="n">
        <x:v>63.488</x:v>
      </x:c>
      <x:c r="J9317" s="24" t="n">
        <x:v>4</x:v>
      </x:c>
      <x:c r="K9317" s="26" t="n">
        <x:v>0.2</x:v>
      </x:c>
      <x:c r="L9317" s="22" t="n">
        <x:v>4.761600000000001</x:v>
      </x:c>
      <x:c r="M9317" t="n">
        <x:v>2017</x:v>
      </x:c>
      <x:c r="N9317" s="20" t="n">
        <x:v>42795</x:v>
      </x:c>
    </x:row>
    <x:row r="9318" ht="18" customHeight="1">
      <x:c r="A9318" t="str">
        <x:v>CA-2015-111948</x:v>
      </x:c>
      <x:c r="B9318" s="18" t="n">
        <x:v>42319</x:v>
      </x:c>
      <x:c r="C9318" t="str">
        <x:v>AG-10495</x:v>
      </x:c>
      <x:c r="D9318" t="str">
        <x:v>Andrew Gjertsen</x:v>
      </x:c>
      <x:c r="E9318" t="str">
        <x:v>Corporate</x:v>
      </x:c>
      <x:c r="F9318" t="str">
        <x:v>Central</x:v>
      </x:c>
      <x:c r="G9318" t="str">
        <x:v>Office Supplies</x:v>
      </x:c>
      <x:c r="H9318" t="str">
        <x:v>Storage</x:v>
      </x:c>
      <x:c r="I9318" s="22" t="n">
        <x:v>418.32</x:v>
      </x:c>
      <x:c r="J9318" s="24" t="n">
        <x:v>7</x:v>
      </x:c>
      <x:c r="K9318" s="26" t="n">
        <x:v>0</x:v>
      </x:c>
      <x:c r="L9318" s="22" t="n">
        <x:v>117.12960000000004</x:v>
      </x:c>
      <x:c r="M9318" t="n">
        <x:v>2015</x:v>
      </x:c>
      <x:c r="N9318" s="20" t="n">
        <x:v>42309</x:v>
      </x:c>
    </x:row>
    <x:row r="9319" ht="18" customHeight="1">
      <x:c r="A9319" t="str">
        <x:v>CA-2015-111948</x:v>
      </x:c>
      <x:c r="B9319" s="18" t="n">
        <x:v>42319</x:v>
      </x:c>
      <x:c r="C9319" t="str">
        <x:v>AG-10495</x:v>
      </x:c>
      <x:c r="D9319" t="str">
        <x:v>Andrew Gjertsen</x:v>
      </x:c>
      <x:c r="E9319" t="str">
        <x:v>Corporate</x:v>
      </x:c>
      <x:c r="F9319" t="str">
        <x:v>Central</x:v>
      </x:c>
      <x:c r="G9319" t="str">
        <x:v>Office Supplies</x:v>
      </x:c>
      <x:c r="H9319" t="str">
        <x:v>Appliances</x:v>
      </x:c>
      <x:c r="I9319" s="22" t="n">
        <x:v>123.858</x:v>
      </x:c>
      <x:c r="J9319" s="24" t="n">
        <x:v>2</x:v>
      </x:c>
      <x:c r="K9319" s="26" t="n">
        <x:v>0.1</x:v>
      </x:c>
      <x:c r="L9319" s="22" t="n">
        <x:v>46.790800000000004</x:v>
      </x:c>
      <x:c r="M9319" t="n">
        <x:v>2015</x:v>
      </x:c>
      <x:c r="N9319" s="20" t="n">
        <x:v>42309</x:v>
      </x:c>
    </x:row>
    <x:row r="9320" ht="18" customHeight="1">
      <x:c r="A9320" t="str">
        <x:v>CA-2016-161907</x:v>
      </x:c>
      <x:c r="B9320" s="18" t="n">
        <x:v>42465</x:v>
      </x:c>
      <x:c r="C9320" t="str">
        <x:v>JH-16180</x:v>
      </x:c>
      <x:c r="D9320" t="str">
        <x:v>Justin Hirsh</x:v>
      </x:c>
      <x:c r="E9320" t="str">
        <x:v>Consumer</x:v>
      </x:c>
      <x:c r="F9320" t="str">
        <x:v>East</x:v>
      </x:c>
      <x:c r="G9320" t="str">
        <x:v>Technology</x:v>
      </x:c>
      <x:c r="H9320" t="str">
        <x:v>Phones</x:v>
      </x:c>
      <x:c r="I9320" s="22" t="n">
        <x:v>118.78199999999998</x:v>
      </x:c>
      <x:c r="J9320" s="24" t="n">
        <x:v>3</x:v>
      </x:c>
      <x:c r="K9320" s="26" t="n">
        <x:v>0.4</x:v>
      </x:c>
      <x:c r="L9320" s="22" t="n">
        <x:v>-27.715799999999994</x:v>
      </x:c>
      <x:c r="M9320" t="n">
        <x:v>2016</x:v>
      </x:c>
      <x:c r="N9320" s="20" t="n">
        <x:v>42461</x:v>
      </x:c>
    </x:row>
    <x:row r="9321" ht="18" customHeight="1">
      <x:c r="A9321" t="str">
        <x:v>CA-2016-161907</x:v>
      </x:c>
      <x:c r="B9321" s="18" t="n">
        <x:v>42465</x:v>
      </x:c>
      <x:c r="C9321" t="str">
        <x:v>JH-16180</x:v>
      </x:c>
      <x:c r="D9321" t="str">
        <x:v>Justin Hirsh</x:v>
      </x:c>
      <x:c r="E9321" t="str">
        <x:v>Consumer</x:v>
      </x:c>
      <x:c r="F9321" t="str">
        <x:v>East</x:v>
      </x:c>
      <x:c r="G9321" t="str">
        <x:v>Office Supplies</x:v>
      </x:c>
      <x:c r="H9321" t="str">
        <x:v>Supplies</x:v>
      </x:c>
      <x:c r="I9321" s="22" t="n">
        <x:v>769.1840000000001</x:v>
      </x:c>
      <x:c r="J9321" s="24" t="n">
        <x:v>4</x:v>
      </x:c>
      <x:c r="K9321" s="26" t="n">
        <x:v>0.2</x:v>
      </x:c>
      <x:c r="L9321" s="22" t="n">
        <x:v>-163.45159999999996</x:v>
      </x:c>
      <x:c r="M9321" t="n">
        <x:v>2016</x:v>
      </x:c>
      <x:c r="N9321" s="20" t="n">
        <x:v>42461</x:v>
      </x:c>
    </x:row>
    <x:row r="9322" ht="18" customHeight="1">
      <x:c r="A9322" t="str">
        <x:v>CA-2017-124940</x:v>
      </x:c>
      <x:c r="B9322" s="18" t="n">
        <x:v>42787</x:v>
      </x:c>
      <x:c r="C9322" t="str">
        <x:v>DK-13090</x:v>
      </x:c>
      <x:c r="D9322" t="str">
        <x:v>Dave Kipp</x:v>
      </x:c>
      <x:c r="E9322" t="str">
        <x:v>Consumer</x:v>
      </x:c>
      <x:c r="F9322" t="str">
        <x:v>Central</x:v>
      </x:c>
      <x:c r="G9322" t="str">
        <x:v>Technology</x:v>
      </x:c>
      <x:c r="H9322" t="str">
        <x:v>Accessories</x:v>
      </x:c>
      <x:c r="I9322" s="22" t="n">
        <x:v>47.904</x:v>
      </x:c>
      <x:c r="J9322" s="24" t="n">
        <x:v>1</x:v>
      </x:c>
      <x:c r="K9322" s="26" t="n">
        <x:v>0.2</x:v>
      </x:c>
      <x:c r="L9322" s="22" t="n">
        <x:v>-2.9940000000000015</x:v>
      </x:c>
      <x:c r="M9322" t="n">
        <x:v>2017</x:v>
      </x:c>
      <x:c r="N9322" s="20" t="n">
        <x:v>42767</x:v>
      </x:c>
    </x:row>
    <x:row r="9323" ht="18" customHeight="1">
      <x:c r="A9323" t="str">
        <x:v>US-2017-108343</x:v>
      </x:c>
      <x:c r="B9323" s="18" t="n">
        <x:v>42936</x:v>
      </x:c>
      <x:c r="C9323" t="str">
        <x:v>AR-10825</x:v>
      </x:c>
      <x:c r="D9323" t="str">
        <x:v>Anthony Rawles</x:v>
      </x:c>
      <x:c r="E9323" t="str">
        <x:v>Corporate</x:v>
      </x:c>
      <x:c r="F9323" t="str">
        <x:v>East</x:v>
      </x:c>
      <x:c r="G9323" t="str">
        <x:v>Office Supplies</x:v>
      </x:c>
      <x:c r="H9323" t="str">
        <x:v>Paper</x:v>
      </x:c>
      <x:c r="I9323" s="22" t="n">
        <x:v>13.36</x:v>
      </x:c>
      <x:c r="J9323" s="24" t="n">
        <x:v>2</x:v>
      </x:c>
      <x:c r="K9323" s="26" t="n">
        <x:v>0</x:v>
      </x:c>
      <x:c r="L9323" s="22" t="n">
        <x:v>6.4128</x:v>
      </x:c>
      <x:c r="M9323" t="n">
        <x:v>2017</x:v>
      </x:c>
      <x:c r="N9323" s="20" t="n">
        <x:v>42917</x:v>
      </x:c>
    </x:row>
    <x:row r="9324" ht="18" customHeight="1">
      <x:c r="A9324" t="str">
        <x:v>US-2017-108343</x:v>
      </x:c>
      <x:c r="B9324" s="18" t="n">
        <x:v>42936</x:v>
      </x:c>
      <x:c r="C9324" t="str">
        <x:v>AR-10825</x:v>
      </x:c>
      <x:c r="D9324" t="str">
        <x:v>Anthony Rawles</x:v>
      </x:c>
      <x:c r="E9324" t="str">
        <x:v>Corporate</x:v>
      </x:c>
      <x:c r="F9324" t="str">
        <x:v>East</x:v>
      </x:c>
      <x:c r="G9324" t="str">
        <x:v>Furniture</x:v>
      </x:c>
      <x:c r="H9324" t="str">
        <x:v>Chairs</x:v>
      </x:c>
      <x:c r="I9324" s="22" t="n">
        <x:v>163.764</x:v>
      </x:c>
      <x:c r="J9324" s="24" t="n">
        <x:v>2</x:v>
      </x:c>
      <x:c r="K9324" s="26" t="n">
        <x:v>0.1</x:v>
      </x:c>
      <x:c r="L9324" s="22" t="n">
        <x:v>25.4744</x:v>
      </x:c>
      <x:c r="M9324" t="n">
        <x:v>2017</x:v>
      </x:c>
      <x:c r="N9324" s="20" t="n">
        <x:v>42917</x:v>
      </x:c>
    </x:row>
    <x:row r="9325" ht="18" customHeight="1">
      <x:c r="A9325" t="str">
        <x:v>US-2017-108343</x:v>
      </x:c>
      <x:c r="B9325" s="18" t="n">
        <x:v>42936</x:v>
      </x:c>
      <x:c r="C9325" t="str">
        <x:v>AR-10825</x:v>
      </x:c>
      <x:c r="D9325" t="str">
        <x:v>Anthony Rawles</x:v>
      </x:c>
      <x:c r="E9325" t="str">
        <x:v>Corporate</x:v>
      </x:c>
      <x:c r="F9325" t="str">
        <x:v>East</x:v>
      </x:c>
      <x:c r="G9325" t="str">
        <x:v>Furniture</x:v>
      </x:c>
      <x:c r="H9325" t="str">
        <x:v>Furnishings</x:v>
      </x:c>
      <x:c r="I9325" s="22" t="n">
        <x:v>183.92</x:v>
      </x:c>
      <x:c r="J9325" s="24" t="n">
        <x:v>4</x:v>
      </x:c>
      <x:c r="K9325" s="26" t="n">
        <x:v>0</x:v>
      </x:c>
      <x:c r="L9325" s="22" t="n">
        <x:v>31.266399999999976</x:v>
      </x:c>
      <x:c r="M9325" t="n">
        <x:v>2017</x:v>
      </x:c>
      <x:c r="N9325" s="20" t="n">
        <x:v>42917</x:v>
      </x:c>
    </x:row>
    <x:row r="9326" ht="18" customHeight="1">
      <x:c r="A9326" t="str">
        <x:v>US-2016-111563</x:v>
      </x:c>
      <x:c r="B9326" s="18" t="n">
        <x:v>42678</x:v>
      </x:c>
      <x:c r="C9326" t="str">
        <x:v>SM-20005</x:v>
      </x:c>
      <x:c r="D9326" t="str">
        <x:v>Sally Matthias</x:v>
      </x:c>
      <x:c r="E9326" t="str">
        <x:v>Consumer</x:v>
      </x:c>
      <x:c r="F9326" t="str">
        <x:v>Central</x:v>
      </x:c>
      <x:c r="G9326" t="str">
        <x:v>Furniture</x:v>
      </x:c>
      <x:c r="H9326" t="str">
        <x:v>Furnishings</x:v>
      </x:c>
      <x:c r="I9326" s="22" t="n">
        <x:v>11.376000000000001</x:v>
      </x:c>
      <x:c r="J9326" s="24" t="n">
        <x:v>3</x:v>
      </x:c>
      <x:c r="K9326" s="26" t="n">
        <x:v>0.6</x:v>
      </x:c>
      <x:c r="L9326" s="22" t="n">
        <x:v>-5.687999999999999</x:v>
      </x:c>
      <x:c r="M9326" t="n">
        <x:v>2016</x:v>
      </x:c>
      <x:c r="N9326" s="20" t="n">
        <x:v>42675</x:v>
      </x:c>
    </x:row>
    <x:row r="9327" ht="18" customHeight="1">
      <x:c r="A9327" t="str">
        <x:v>US-2016-111563</x:v>
      </x:c>
      <x:c r="B9327" s="18" t="n">
        <x:v>42678</x:v>
      </x:c>
      <x:c r="C9327" t="str">
        <x:v>SM-20005</x:v>
      </x:c>
      <x:c r="D9327" t="str">
        <x:v>Sally Matthias</x:v>
      </x:c>
      <x:c r="E9327" t="str">
        <x:v>Consumer</x:v>
      </x:c>
      <x:c r="F9327" t="str">
        <x:v>Central</x:v>
      </x:c>
      <x:c r="G9327" t="str">
        <x:v>Furniture</x:v>
      </x:c>
      <x:c r="H9327" t="str">
        <x:v>Furnishings</x:v>
      </x:c>
      <x:c r="I9327" s="22" t="n">
        <x:v>66.11200000000001</x:v>
      </x:c>
      <x:c r="J9327" s="24" t="n">
        <x:v>4</x:v>
      </x:c>
      <x:c r="K9327" s="26" t="n">
        <x:v>0.6</x:v>
      </x:c>
      <x:c r="L9327" s="22" t="n">
        <x:v>-84.29279999999999</x:v>
      </x:c>
      <x:c r="M9327" t="n">
        <x:v>2016</x:v>
      </x:c>
      <x:c r="N9327" s="20" t="n">
        <x:v>42675</x:v>
      </x:c>
    </x:row>
    <x:row r="9328" ht="18" customHeight="1">
      <x:c r="A9328" t="str">
        <x:v>CA-2017-121853</x:v>
      </x:c>
      <x:c r="B9328" s="18" t="n">
        <x:v>43001</x:v>
      </x:c>
      <x:c r="C9328" t="str">
        <x:v>DB-13660</x:v>
      </x:c>
      <x:c r="D9328" t="str">
        <x:v>Duane Benoit</x:v>
      </x:c>
      <x:c r="E9328" t="str">
        <x:v>Consumer</x:v>
      </x:c>
      <x:c r="F9328" t="str">
        <x:v>West</x:v>
      </x:c>
      <x:c r="G9328" t="str">
        <x:v>Office Supplies</x:v>
      </x:c>
      <x:c r="H9328" t="str">
        <x:v>Paper</x:v>
      </x:c>
      <x:c r="I9328" s="22" t="n">
        <x:v>211.04</x:v>
      </x:c>
      <x:c r="J9328" s="24" t="n">
        <x:v>8</x:v>
      </x:c>
      <x:c r="K9328" s="26" t="n">
        <x:v>0</x:v>
      </x:c>
      <x:c r="L9328" s="22" t="n">
        <x:v>97.07839999999999</x:v>
      </x:c>
      <x:c r="M9328" t="n">
        <x:v>2017</x:v>
      </x:c>
      <x:c r="N9328" s="20" t="n">
        <x:v>42979</x:v>
      </x:c>
    </x:row>
    <x:row r="9329" ht="18" customHeight="1">
      <x:c r="A9329" t="str">
        <x:v>CA-2017-121853</x:v>
      </x:c>
      <x:c r="B9329" s="18" t="n">
        <x:v>43001</x:v>
      </x:c>
      <x:c r="C9329" t="str">
        <x:v>DB-13660</x:v>
      </x:c>
      <x:c r="D9329" t="str">
        <x:v>Duane Benoit</x:v>
      </x:c>
      <x:c r="E9329" t="str">
        <x:v>Consumer</x:v>
      </x:c>
      <x:c r="F9329" t="str">
        <x:v>West</x:v>
      </x:c>
      <x:c r="G9329" t="str">
        <x:v>Furniture</x:v>
      </x:c>
      <x:c r="H9329" t="str">
        <x:v>Chairs</x:v>
      </x:c>
      <x:c r="I9329" s="22" t="n">
        <x:v>594.816</x:v>
      </x:c>
      <x:c r="J9329" s="24" t="n">
        <x:v>2</x:v>
      </x:c>
      <x:c r="K9329" s="26" t="n">
        <x:v>0.2</x:v>
      </x:c>
      <x:c r="L9329" s="22" t="n">
        <x:v>59.481600000000014</x:v>
      </x:c>
      <x:c r="M9329" t="n">
        <x:v>2017</x:v>
      </x:c>
      <x:c r="N9329" s="20" t="n">
        <x:v>42979</x:v>
      </x:c>
    </x:row>
    <x:row r="9330" ht="18" customHeight="1">
      <x:c r="A9330" t="str">
        <x:v>CA-2017-121853</x:v>
      </x:c>
      <x:c r="B9330" s="18" t="n">
        <x:v>43001</x:v>
      </x:c>
      <x:c r="C9330" t="str">
        <x:v>DB-13660</x:v>
      </x:c>
      <x:c r="D9330" t="str">
        <x:v>Duane Benoit</x:v>
      </x:c>
      <x:c r="E9330" t="str">
        <x:v>Consumer</x:v>
      </x:c>
      <x:c r="F9330" t="str">
        <x:v>West</x:v>
      </x:c>
      <x:c r="G9330" t="str">
        <x:v>Office Supplies</x:v>
      </x:c>
      <x:c r="H9330" t="str">
        <x:v>Binders</x:v>
      </x:c>
      <x:c r="I9330" s="22" t="n">
        <x:v>72.96000000000001</x:v>
      </x:c>
      <x:c r="J9330" s="24" t="n">
        <x:v>3</x:v>
      </x:c>
      <x:c r="K9330" s="26" t="n">
        <x:v>0.2</x:v>
      </x:c>
      <x:c r="L9330" s="22" t="n">
        <x:v>23.711999999999996</x:v>
      </x:c>
      <x:c r="M9330" t="n">
        <x:v>2017</x:v>
      </x:c>
      <x:c r="N9330" s="20" t="n">
        <x:v>42979</x:v>
      </x:c>
    </x:row>
    <x:row r="9331" ht="18" customHeight="1">
      <x:c r="A9331" t="str">
        <x:v>US-2017-130687</x:v>
      </x:c>
      <x:c r="B9331" s="18" t="n">
        <x:v>42985</x:v>
      </x:c>
      <x:c r="C9331" t="str">
        <x:v>PF-19225</x:v>
      </x:c>
      <x:c r="D9331" t="str">
        <x:v>Phillip Flathmann</x:v>
      </x:c>
      <x:c r="E9331" t="str">
        <x:v>Consumer</x:v>
      </x:c>
      <x:c r="F9331" t="str">
        <x:v>West</x:v>
      </x:c>
      <x:c r="G9331" t="str">
        <x:v>Furniture</x:v>
      </x:c>
      <x:c r="H9331" t="str">
        <x:v>Furnishings</x:v>
      </x:c>
      <x:c r="I9331" s="22" t="n">
        <x:v>80.96</x:v>
      </x:c>
      <x:c r="J9331" s="24" t="n">
        <x:v>4</x:v>
      </x:c>
      <x:c r="K9331" s="26" t="n">
        <x:v>0</x:v>
      </x:c>
      <x:c r="L9331" s="22" t="n">
        <x:v>34.8128</x:v>
      </x:c>
      <x:c r="M9331" t="n">
        <x:v>2017</x:v>
      </x:c>
      <x:c r="N9331" s="20" t="n">
        <x:v>42979</x:v>
      </x:c>
    </x:row>
    <x:row r="9332" ht="18" customHeight="1">
      <x:c r="A9332" t="str">
        <x:v>US-2017-130687</x:v>
      </x:c>
      <x:c r="B9332" s="18" t="n">
        <x:v>42985</x:v>
      </x:c>
      <x:c r="C9332" t="str">
        <x:v>PF-19225</x:v>
      </x:c>
      <x:c r="D9332" t="str">
        <x:v>Phillip Flathmann</x:v>
      </x:c>
      <x:c r="E9332" t="str">
        <x:v>Consumer</x:v>
      </x:c>
      <x:c r="F9332" t="str">
        <x:v>West</x:v>
      </x:c>
      <x:c r="G9332" t="str">
        <x:v>Technology</x:v>
      </x:c>
      <x:c r="H9332" t="str">
        <x:v>Phones</x:v>
      </x:c>
      <x:c r="I9332" s="22" t="n">
        <x:v>455.712</x:v>
      </x:c>
      <x:c r="J9332" s="24" t="n">
        <x:v>2</x:v>
      </x:c>
      <x:c r="K9332" s="26" t="n">
        <x:v>0.2</x:v>
      </x:c>
      <x:c r="L9332" s="22" t="n">
        <x:v>34.17840000000001</x:v>
      </x:c>
      <x:c r="M9332" t="n">
        <x:v>2017</x:v>
      </x:c>
      <x:c r="N9332" s="20" t="n">
        <x:v>42979</x:v>
      </x:c>
    </x:row>
    <x:row r="9333" ht="18" customHeight="1">
      <x:c r="A9333" t="str">
        <x:v>US-2017-130687</x:v>
      </x:c>
      <x:c r="B9333" s="18" t="n">
        <x:v>42985</x:v>
      </x:c>
      <x:c r="C9333" t="str">
        <x:v>PF-19225</x:v>
      </x:c>
      <x:c r="D9333" t="str">
        <x:v>Phillip Flathmann</x:v>
      </x:c>
      <x:c r="E9333" t="str">
        <x:v>Consumer</x:v>
      </x:c>
      <x:c r="F9333" t="str">
        <x:v>West</x:v>
      </x:c>
      <x:c r="G9333" t="str">
        <x:v>Office Supplies</x:v>
      </x:c>
      <x:c r="H9333" t="str">
        <x:v>Art</x:v>
      </x:c>
      <x:c r="I9333" s="22" t="n">
        <x:v>25.98</x:v>
      </x:c>
      <x:c r="J9333" s="24" t="n">
        <x:v>1</x:v>
      </x:c>
      <x:c r="K9333" s="26" t="n">
        <x:v>0</x:v>
      </x:c>
      <x:c r="L9333" s="22" t="n">
        <x:v>7.2744</x:v>
      </x:c>
      <x:c r="M9333" t="n">
        <x:v>2017</x:v>
      </x:c>
      <x:c r="N9333" s="20" t="n">
        <x:v>42979</x:v>
      </x:c>
    </x:row>
    <x:row r="9334" ht="18" customHeight="1">
      <x:c r="A9334" t="str">
        <x:v>CA-2015-164497</x:v>
      </x:c>
      <x:c r="B9334" s="18" t="n">
        <x:v>42336</x:v>
      </x:c>
      <x:c r="C9334" t="str">
        <x:v>AJ-10945</x:v>
      </x:c>
      <x:c r="D9334" t="str">
        <x:v>Ashley Jarboe</x:v>
      </x:c>
      <x:c r="E9334" t="str">
        <x:v>Consumer</x:v>
      </x:c>
      <x:c r="F9334" t="str">
        <x:v>West</x:v>
      </x:c>
      <x:c r="G9334" t="str">
        <x:v>Office Supplies</x:v>
      </x:c>
      <x:c r="H9334" t="str">
        <x:v>Appliances</x:v>
      </x:c>
      <x:c r="I9334" s="22" t="n">
        <x:v>45.28</x:v>
      </x:c>
      <x:c r="J9334" s="24" t="n">
        <x:v>4</x:v>
      </x:c>
      <x:c r="K9334" s="26" t="n">
        <x:v>0</x:v>
      </x:c>
      <x:c r="L9334" s="22" t="n">
        <x:v>15.395199999999999</x:v>
      </x:c>
      <x:c r="M9334" t="n">
        <x:v>2015</x:v>
      </x:c>
      <x:c r="N9334" s="20" t="n">
        <x:v>42309</x:v>
      </x:c>
    </x:row>
    <x:row r="9335" ht="18" customHeight="1">
      <x:c r="A9335" t="str">
        <x:v>US-2015-153283</x:v>
      </x:c>
      <x:c r="B9335" s="18" t="n">
        <x:v>42320</x:v>
      </x:c>
      <x:c r="C9335" t="str">
        <x:v>EB-14110</x:v>
      </x:c>
      <x:c r="D9335" t="str">
        <x:v>Eugene Barchas</x:v>
      </x:c>
      <x:c r="E9335" t="str">
        <x:v>Consumer</x:v>
      </x:c>
      <x:c r="F9335" t="str">
        <x:v>East</x:v>
      </x:c>
      <x:c r="G9335" t="str">
        <x:v>Office Supplies</x:v>
      </x:c>
      <x:c r="H9335" t="str">
        <x:v>Envelopes</x:v>
      </x:c>
      <x:c r="I9335" s="22" t="n">
        <x:v>15.56</x:v>
      </x:c>
      <x:c r="J9335" s="24" t="n">
        <x:v>2</x:v>
      </x:c>
      <x:c r="K9335" s="26" t="n">
        <x:v>0</x:v>
      </x:c>
      <x:c r="L9335" s="22" t="n">
        <x:v>7.3132</x:v>
      </x:c>
      <x:c r="M9335" t="n">
        <x:v>2015</x:v>
      </x:c>
      <x:c r="N9335" s="20" t="n">
        <x:v>42309</x:v>
      </x:c>
    </x:row>
    <x:row r="9336" ht="18" customHeight="1">
      <x:c r="A9336" t="str">
        <x:v>CA-2016-108056</x:v>
      </x:c>
      <x:c r="B9336" s="18" t="n">
        <x:v>42642</x:v>
      </x:c>
      <x:c r="C9336" t="str">
        <x:v>ES-14080</x:v>
      </x:c>
      <x:c r="D9336" t="str">
        <x:v>Erin Smith</x:v>
      </x:c>
      <x:c r="E9336" t="str">
        <x:v>Corporate</x:v>
      </x:c>
      <x:c r="F9336" t="str">
        <x:v>West</x:v>
      </x:c>
      <x:c r="G9336" t="str">
        <x:v>Technology</x:v>
      </x:c>
      <x:c r="H9336" t="str">
        <x:v>Phones</x:v>
      </x:c>
      <x:c r="I9336" s="22" t="n">
        <x:v>859.2</x:v>
      </x:c>
      <x:c r="J9336" s="24" t="n">
        <x:v>3</x:v>
      </x:c>
      <x:c r="K9336" s="26" t="n">
        <x:v>0.2</x:v>
      </x:c>
      <x:c r="L9336" s="22" t="n">
        <x:v>75.18000000000006</x:v>
      </x:c>
      <x:c r="M9336" t="n">
        <x:v>2016</x:v>
      </x:c>
      <x:c r="N9336" s="20" t="n">
        <x:v>42614</x:v>
      </x:c>
    </x:row>
    <x:row r="9337" ht="18" customHeight="1">
      <x:c r="A9337" t="str">
        <x:v>CA-2017-127726</x:v>
      </x:c>
      <x:c r="B9337" s="18" t="n">
        <x:v>42989</x:v>
      </x:c>
      <x:c r="C9337" t="str">
        <x:v>SS-20410</x:v>
      </x:c>
      <x:c r="D9337" t="str">
        <x:v>Shahid Shariari</x:v>
      </x:c>
      <x:c r="E9337" t="str">
        <x:v>Consumer</x:v>
      </x:c>
      <x:c r="F9337" t="str">
        <x:v>South</x:v>
      </x:c>
      <x:c r="G9337" t="str">
        <x:v>Office Supplies</x:v>
      </x:c>
      <x:c r="H9337" t="str">
        <x:v>Appliances</x:v>
      </x:c>
      <x:c r="I9337" s="22" t="n">
        <x:v>195.68</x:v>
      </x:c>
      <x:c r="J9337" s="24" t="n">
        <x:v>4</x:v>
      </x:c>
      <x:c r="K9337" s="26" t="n">
        <x:v>0</x:v>
      </x:c>
      <x:c r="L9337" s="22" t="n">
        <x:v>50.8768</x:v>
      </x:c>
      <x:c r="M9337" t="n">
        <x:v>2017</x:v>
      </x:c>
      <x:c r="N9337" s="20" t="n">
        <x:v>42979</x:v>
      </x:c>
    </x:row>
    <x:row r="9338" ht="18" customHeight="1">
      <x:c r="A9338" t="str">
        <x:v>CA-2017-127726</x:v>
      </x:c>
      <x:c r="B9338" s="18" t="n">
        <x:v>42989</x:v>
      </x:c>
      <x:c r="C9338" t="str">
        <x:v>SS-20410</x:v>
      </x:c>
      <x:c r="D9338" t="str">
        <x:v>Shahid Shariari</x:v>
      </x:c>
      <x:c r="E9338" t="str">
        <x:v>Consumer</x:v>
      </x:c>
      <x:c r="F9338" t="str">
        <x:v>South</x:v>
      </x:c>
      <x:c r="G9338" t="str">
        <x:v>Office Supplies</x:v>
      </x:c>
      <x:c r="H9338" t="str">
        <x:v>Fasteners</x:v>
      </x:c>
      <x:c r="I9338" s="22" t="n">
        <x:v>14.2</x:v>
      </x:c>
      <x:c r="J9338" s="24" t="n">
        <x:v>4</x:v>
      </x:c>
      <x:c r="K9338" s="26" t="n">
        <x:v>0</x:v>
      </x:c>
      <x:c r="L9338" s="22" t="n">
        <x:v>6.6739999999999995</x:v>
      </x:c>
      <x:c r="M9338" t="n">
        <x:v>2017</x:v>
      </x:c>
      <x:c r="N9338" s="20" t="n">
        <x:v>42979</x:v>
      </x:c>
    </x:row>
    <x:row r="9339" ht="18" customHeight="1">
      <x:c r="A9339" t="str">
        <x:v>CA-2017-110198</x:v>
      </x:c>
      <x:c r="B9339" s="18" t="n">
        <x:v>42856</x:v>
      </x:c>
      <x:c r="C9339" t="str">
        <x:v>AG-10900</x:v>
      </x:c>
      <x:c r="D9339" t="str">
        <x:v>Arthur Gainer</x:v>
      </x:c>
      <x:c r="E9339" t="str">
        <x:v>Consumer</x:v>
      </x:c>
      <x:c r="F9339" t="str">
        <x:v>South</x:v>
      </x:c>
      <x:c r="G9339" t="str">
        <x:v>Furniture</x:v>
      </x:c>
      <x:c r="H9339" t="str">
        <x:v>Bookcases</x:v>
      </x:c>
      <x:c r="I9339" s="22" t="n">
        <x:v>314.352</x:v>
      </x:c>
      <x:c r="J9339" s="24" t="n">
        <x:v>3</x:v>
      </x:c>
      <x:c r="K9339" s="26" t="n">
        <x:v>0.2</x:v>
      </x:c>
      <x:c r="L9339" s="22" t="n">
        <x:v>-15.71759999999999</x:v>
      </x:c>
      <x:c r="M9339" t="n">
        <x:v>2017</x:v>
      </x:c>
      <x:c r="N9339" s="20" t="n">
        <x:v>42856</x:v>
      </x:c>
    </x:row>
    <x:row r="9340" ht="18" customHeight="1">
      <x:c r="A9340" t="str">
        <x:v>CA-2017-110198</x:v>
      </x:c>
      <x:c r="B9340" s="18" t="n">
        <x:v>42856</x:v>
      </x:c>
      <x:c r="C9340" t="str">
        <x:v>AG-10900</x:v>
      </x:c>
      <x:c r="D9340" t="str">
        <x:v>Arthur Gainer</x:v>
      </x:c>
      <x:c r="E9340" t="str">
        <x:v>Consumer</x:v>
      </x:c>
      <x:c r="F9340" t="str">
        <x:v>South</x:v>
      </x:c>
      <x:c r="G9340" t="str">
        <x:v>Office Supplies</x:v>
      </x:c>
      <x:c r="H9340" t="str">
        <x:v>Labels</x:v>
      </x:c>
      <x:c r="I9340" s="22" t="n">
        <x:v>4.608</x:v>
      </x:c>
      <x:c r="J9340" s="24" t="n">
        <x:v>2</x:v>
      </x:c>
      <x:c r="K9340" s="26" t="n">
        <x:v>0.2</x:v>
      </x:c>
      <x:c r="L9340" s="22" t="n">
        <x:v>1.4975999999999996</x:v>
      </x:c>
      <x:c r="M9340" t="n">
        <x:v>2017</x:v>
      </x:c>
      <x:c r="N9340" s="20" t="n">
        <x:v>42856</x:v>
      </x:c>
    </x:row>
    <x:row r="9341" ht="18" customHeight="1">
      <x:c r="A9341" t="str">
        <x:v>CA-2017-130715</x:v>
      </x:c>
      <x:c r="B9341" s="18" t="n">
        <x:v>42994</x:v>
      </x:c>
      <x:c r="C9341" t="str">
        <x:v>CY-12745</x:v>
      </x:c>
      <x:c r="D9341" t="str">
        <x:v>Craig Yedwab</x:v>
      </x:c>
      <x:c r="E9341" t="str">
        <x:v>Corporate</x:v>
      </x:c>
      <x:c r="F9341" t="str">
        <x:v>West</x:v>
      </x:c>
      <x:c r="G9341" t="str">
        <x:v>Office Supplies</x:v>
      </x:c>
      <x:c r="H9341" t="str">
        <x:v>Fasteners</x:v>
      </x:c>
      <x:c r="I9341" s="22" t="n">
        <x:v>17.9</x:v>
      </x:c>
      <x:c r="J9341" s="24" t="n">
        <x:v>5</x:v>
      </x:c>
      <x:c r="K9341" s="26" t="n">
        <x:v>0</x:v>
      </x:c>
      <x:c r="L9341" s="22" t="n">
        <x:v>8.771</x:v>
      </x:c>
      <x:c r="M9341" t="n">
        <x:v>2017</x:v>
      </x:c>
      <x:c r="N9341" s="20" t="n">
        <x:v>42979</x:v>
      </x:c>
    </x:row>
    <x:row r="9342" ht="18" customHeight="1">
      <x:c r="A9342" t="str">
        <x:v>CA-2014-155264</x:v>
      </x:c>
      <x:c r="B9342" s="18" t="n">
        <x:v>41931</x:v>
      </x:c>
      <x:c r="C9342" t="str">
        <x:v>RP-19270</x:v>
      </x:c>
      <x:c r="D9342" t="str">
        <x:v>Rachel Payne</x:v>
      </x:c>
      <x:c r="E9342" t="str">
        <x:v>Corporate</x:v>
      </x:c>
      <x:c r="F9342" t="str">
        <x:v>West</x:v>
      </x:c>
      <x:c r="G9342" t="str">
        <x:v>Office Supplies</x:v>
      </x:c>
      <x:c r="H9342" t="str">
        <x:v>Binders</x:v>
      </x:c>
      <x:c r="I9342" s="22" t="n">
        <x:v>2.9920000000000004</x:v>
      </x:c>
      <x:c r="J9342" s="24" t="n">
        <x:v>1</x:v>
      </x:c>
      <x:c r="K9342" s="26" t="n">
        <x:v>0.2</x:v>
      </x:c>
      <x:c r="L9342" s="22" t="n">
        <x:v>1.1219999999999999</x:v>
      </x:c>
      <x:c r="M9342" t="n">
        <x:v>2014</x:v>
      </x:c>
      <x:c r="N9342" s="20" t="n">
        <x:v>41913</x:v>
      </x:c>
    </x:row>
    <x:row r="9343" ht="18" customHeight="1">
      <x:c r="A9343" t="str">
        <x:v>CA-2014-155264</x:v>
      </x:c>
      <x:c r="B9343" s="18" t="n">
        <x:v>41931</x:v>
      </x:c>
      <x:c r="C9343" t="str">
        <x:v>RP-19270</x:v>
      </x:c>
      <x:c r="D9343" t="str">
        <x:v>Rachel Payne</x:v>
      </x:c>
      <x:c r="E9343" t="str">
        <x:v>Corporate</x:v>
      </x:c>
      <x:c r="F9343" t="str">
        <x:v>West</x:v>
      </x:c>
      <x:c r="G9343" t="str">
        <x:v>Office Supplies</x:v>
      </x:c>
      <x:c r="H9343" t="str">
        <x:v>Binders</x:v>
      </x:c>
      <x:c r="I9343" s="22" t="n">
        <x:v>20.064</x:v>
      </x:c>
      <x:c r="J9343" s="24" t="n">
        <x:v>6</x:v>
      </x:c>
      <x:c r="K9343" s="26" t="n">
        <x:v>0.2</x:v>
      </x:c>
      <x:c r="L9343" s="22" t="n">
        <x:v>7.022399999999999</x:v>
      </x:c>
      <x:c r="M9343" t="n">
        <x:v>2014</x:v>
      </x:c>
      <x:c r="N9343" s="20" t="n">
        <x:v>41913</x:v>
      </x:c>
    </x:row>
    <x:row r="9344" ht="18" customHeight="1">
      <x:c r="A9344" t="str">
        <x:v>CA-2014-155264</x:v>
      </x:c>
      <x:c r="B9344" s="18" t="n">
        <x:v>41931</x:v>
      </x:c>
      <x:c r="C9344" t="str">
        <x:v>RP-19270</x:v>
      </x:c>
      <x:c r="D9344" t="str">
        <x:v>Rachel Payne</x:v>
      </x:c>
      <x:c r="E9344" t="str">
        <x:v>Corporate</x:v>
      </x:c>
      <x:c r="F9344" t="str">
        <x:v>West</x:v>
      </x:c>
      <x:c r="G9344" t="str">
        <x:v>Office Supplies</x:v>
      </x:c>
      <x:c r="H9344" t="str">
        <x:v>Paper</x:v>
      </x:c>
      <x:c r="I9344" s="22" t="n">
        <x:v>146.73</x:v>
      </x:c>
      <x:c r="J9344" s="24" t="n">
        <x:v>3</x:v>
      </x:c>
      <x:c r="K9344" s="26" t="n">
        <x:v>0</x:v>
      </x:c>
      <x:c r="L9344" s="22" t="n">
        <x:v>68.9631</x:v>
      </x:c>
      <x:c r="M9344" t="n">
        <x:v>2014</x:v>
      </x:c>
      <x:c r="N9344" s="20" t="n">
        <x:v>41913</x:v>
      </x:c>
    </x:row>
    <x:row r="9345" ht="18" customHeight="1">
      <x:c r="A9345" t="str">
        <x:v>CA-2014-155264</x:v>
      </x:c>
      <x:c r="B9345" s="18" t="n">
        <x:v>41931</x:v>
      </x:c>
      <x:c r="C9345" t="str">
        <x:v>RP-19270</x:v>
      </x:c>
      <x:c r="D9345" t="str">
        <x:v>Rachel Payne</x:v>
      </x:c>
      <x:c r="E9345" t="str">
        <x:v>Corporate</x:v>
      </x:c>
      <x:c r="F9345" t="str">
        <x:v>West</x:v>
      </x:c>
      <x:c r="G9345" t="str">
        <x:v>Office Supplies</x:v>
      </x:c>
      <x:c r="H9345" t="str">
        <x:v>Labels</x:v>
      </x:c>
      <x:c r="I9345" s="22" t="n">
        <x:v>18.75</x:v>
      </x:c>
      <x:c r="J9345" s="24" t="n">
        <x:v>5</x:v>
      </x:c>
      <x:c r="K9345" s="26" t="n">
        <x:v>0</x:v>
      </x:c>
      <x:c r="L9345" s="22" t="n">
        <x:v>9</x:v>
      </x:c>
      <x:c r="M9345" t="n">
        <x:v>2014</x:v>
      </x:c>
      <x:c r="N9345" s="20" t="n">
        <x:v>41913</x:v>
      </x:c>
    </x:row>
    <x:row r="9346" ht="18" customHeight="1">
      <x:c r="A9346" t="str">
        <x:v>CA-2014-155264</x:v>
      </x:c>
      <x:c r="B9346" s="18" t="n">
        <x:v>41931</x:v>
      </x:c>
      <x:c r="C9346" t="str">
        <x:v>RP-19270</x:v>
      </x:c>
      <x:c r="D9346" t="str">
        <x:v>Rachel Payne</x:v>
      </x:c>
      <x:c r="E9346" t="str">
        <x:v>Corporate</x:v>
      </x:c>
      <x:c r="F9346" t="str">
        <x:v>West</x:v>
      </x:c>
      <x:c r="G9346" t="str">
        <x:v>Technology</x:v>
      </x:c>
      <x:c r="H9346" t="str">
        <x:v>Phones</x:v>
      </x:c>
      <x:c r="I9346" s="22" t="n">
        <x:v>117.57600000000002</x:v>
      </x:c>
      <x:c r="J9346" s="24" t="n">
        <x:v>3</x:v>
      </x:c>
      <x:c r="K9346" s="26" t="n">
        <x:v>0.2</x:v>
      </x:c>
      <x:c r="L9346" s="22" t="n">
        <x:v>11.75760000000001</x:v>
      </x:c>
      <x:c r="M9346" t="n">
        <x:v>2014</x:v>
      </x:c>
      <x:c r="N9346" s="20" t="n">
        <x:v>41913</x:v>
      </x:c>
    </x:row>
    <x:row r="9347" ht="18" customHeight="1">
      <x:c r="A9347" t="str">
        <x:v>CA-2016-119123</x:v>
      </x:c>
      <x:c r="B9347" s="18" t="n">
        <x:v>42442</x:v>
      </x:c>
      <x:c r="C9347" t="str">
        <x:v>DB-13360</x:v>
      </x:c>
      <x:c r="D9347" t="str">
        <x:v>Dennis Bolton</x:v>
      </x:c>
      <x:c r="E9347" t="str">
        <x:v>Home Office</x:v>
      </x:c>
      <x:c r="F9347" t="str">
        <x:v>West</x:v>
      </x:c>
      <x:c r="G9347" t="str">
        <x:v>Office Supplies</x:v>
      </x:c>
      <x:c r="H9347" t="str">
        <x:v>Binders</x:v>
      </x:c>
      <x:c r="I9347" s="22" t="n">
        <x:v>51.18400000000001</x:v>
      </x:c>
      <x:c r="J9347" s="24" t="n">
        <x:v>7</x:v>
      </x:c>
      <x:c r="K9347" s="26" t="n">
        <x:v>0.2</x:v>
      </x:c>
      <x:c r="L9347" s="22" t="n">
        <x:v>19.194</x:v>
      </x:c>
      <x:c r="M9347" t="n">
        <x:v>2016</x:v>
      </x:c>
      <x:c r="N9347" s="20" t="n">
        <x:v>42430</x:v>
      </x:c>
    </x:row>
    <x:row r="9348" ht="18" customHeight="1">
      <x:c r="A9348" t="str">
        <x:v>CA-2017-109085</x:v>
      </x:c>
      <x:c r="B9348" s="18" t="n">
        <x:v>42783</x:v>
      </x:c>
      <x:c r="C9348" t="str">
        <x:v>CK-12325</x:v>
      </x:c>
      <x:c r="D9348" t="str">
        <x:v>Christine Kargatis</x:v>
      </x:c>
      <x:c r="E9348" t="str">
        <x:v>Home Office</x:v>
      </x:c>
      <x:c r="F9348" t="str">
        <x:v>East</x:v>
      </x:c>
      <x:c r="G9348" t="str">
        <x:v>Furniture</x:v>
      </x:c>
      <x:c r="H9348" t="str">
        <x:v>Tables</x:v>
      </x:c>
      <x:c r="I9348" s="22" t="n">
        <x:v>455.97</x:v>
      </x:c>
      <x:c r="J9348" s="24" t="n">
        <x:v>5</x:v>
      </x:c>
      <x:c r="K9348" s="26" t="n">
        <x:v>0.4</x:v>
      </x:c>
      <x:c r="L9348" s="22" t="n">
        <x:v>-106.39299999999997</x:v>
      </x:c>
      <x:c r="M9348" t="n">
        <x:v>2017</x:v>
      </x:c>
      <x:c r="N9348" s="20" t="n">
        <x:v>42767</x:v>
      </x:c>
    </x:row>
    <x:row r="9349" ht="18" customHeight="1">
      <x:c r="A9349" t="str">
        <x:v>CA-2017-109085</x:v>
      </x:c>
      <x:c r="B9349" s="18" t="n">
        <x:v>42783</x:v>
      </x:c>
      <x:c r="C9349" t="str">
        <x:v>CK-12325</x:v>
      </x:c>
      <x:c r="D9349" t="str">
        <x:v>Christine Kargatis</x:v>
      </x:c>
      <x:c r="E9349" t="str">
        <x:v>Home Office</x:v>
      </x:c>
      <x:c r="F9349" t="str">
        <x:v>East</x:v>
      </x:c>
      <x:c r="G9349" t="str">
        <x:v>Office Supplies</x:v>
      </x:c>
      <x:c r="H9349" t="str">
        <x:v>Binders</x:v>
      </x:c>
      <x:c r="I9349" s="22" t="n">
        <x:v>5.715000000000002</x:v>
      </x:c>
      <x:c r="J9349" s="24" t="n">
        <x:v>5</x:v>
      </x:c>
      <x:c r="K9349" s="26" t="n">
        <x:v>0.7</x:v>
      </x:c>
      <x:c r="L9349" s="22" t="n">
        <x:v>-4.762500000000001</x:v>
      </x:c>
      <x:c r="M9349" t="n">
        <x:v>2017</x:v>
      </x:c>
      <x:c r="N9349" s="20" t="n">
        <x:v>42767</x:v>
      </x:c>
    </x:row>
    <x:row r="9350" ht="18" customHeight="1">
      <x:c r="A9350" t="str">
        <x:v>CA-2017-109085</x:v>
      </x:c>
      <x:c r="B9350" s="18" t="n">
        <x:v>42783</x:v>
      </x:c>
      <x:c r="C9350" t="str">
        <x:v>CK-12325</x:v>
      </x:c>
      <x:c r="D9350" t="str">
        <x:v>Christine Kargatis</x:v>
      </x:c>
      <x:c r="E9350" t="str">
        <x:v>Home Office</x:v>
      </x:c>
      <x:c r="F9350" t="str">
        <x:v>East</x:v>
      </x:c>
      <x:c r="G9350" t="str">
        <x:v>Technology</x:v>
      </x:c>
      <x:c r="H9350" t="str">
        <x:v>Phones</x:v>
      </x:c>
      <x:c r="I9350" s="22" t="n">
        <x:v>57.593999999999994</x:v>
      </x:c>
      <x:c r="J9350" s="24" t="n">
        <x:v>1</x:v>
      </x:c>
      <x:c r="K9350" s="26" t="n">
        <x:v>0.4</x:v>
      </x:c>
      <x:c r="L9350" s="22" t="n">
        <x:v>-11.518799999999999</x:v>
      </x:c>
      <x:c r="M9350" t="n">
        <x:v>2017</x:v>
      </x:c>
      <x:c r="N9350" s="20" t="n">
        <x:v>42767</x:v>
      </x:c>
    </x:row>
    <x:row r="9351" ht="18" customHeight="1">
      <x:c r="A9351" t="str">
        <x:v>CA-2017-109085</x:v>
      </x:c>
      <x:c r="B9351" s="18" t="n">
        <x:v>42783</x:v>
      </x:c>
      <x:c r="C9351" t="str">
        <x:v>CK-12325</x:v>
      </x:c>
      <x:c r="D9351" t="str">
        <x:v>Christine Kargatis</x:v>
      </x:c>
      <x:c r="E9351" t="str">
        <x:v>Home Office</x:v>
      </x:c>
      <x:c r="F9351" t="str">
        <x:v>East</x:v>
      </x:c>
      <x:c r="G9351" t="str">
        <x:v>Furniture</x:v>
      </x:c>
      <x:c r="H9351" t="str">
        <x:v>Furnishings</x:v>
      </x:c>
      <x:c r="I9351" s="22" t="n">
        <x:v>30.144000000000002</x:v>
      </x:c>
      <x:c r="J9351" s="24" t="n">
        <x:v>2</x:v>
      </x:c>
      <x:c r="K9351" s="26" t="n">
        <x:v>0.2</x:v>
      </x:c>
      <x:c r="L9351" s="22" t="n">
        <x:v>8.2896</x:v>
      </x:c>
      <x:c r="M9351" t="n">
        <x:v>2017</x:v>
      </x:c>
      <x:c r="N9351" s="20" t="n">
        <x:v>42767</x:v>
      </x:c>
    </x:row>
    <x:row r="9352" ht="18" customHeight="1">
      <x:c r="A9352" t="str">
        <x:v>CA-2017-109085</x:v>
      </x:c>
      <x:c r="B9352" s="18" t="n">
        <x:v>42783</x:v>
      </x:c>
      <x:c r="C9352" t="str">
        <x:v>CK-12325</x:v>
      </x:c>
      <x:c r="D9352" t="str">
        <x:v>Christine Kargatis</x:v>
      </x:c>
      <x:c r="E9352" t="str">
        <x:v>Home Office</x:v>
      </x:c>
      <x:c r="F9352" t="str">
        <x:v>East</x:v>
      </x:c>
      <x:c r="G9352" t="str">
        <x:v>Furniture</x:v>
      </x:c>
      <x:c r="H9352" t="str">
        <x:v>Chairs</x:v>
      </x:c>
      <x:c r="I9352" s="22" t="n">
        <x:v>899.43</x:v>
      </x:c>
      <x:c r="J9352" s="24" t="n">
        <x:v>5</x:v>
      </x:c>
      <x:c r="K9352" s="26" t="n">
        <x:v>0.3</x:v>
      </x:c>
      <x:c r="L9352" s="22" t="n">
        <x:v>-12.84900000000016</x:v>
      </x:c>
      <x:c r="M9352" t="n">
        <x:v>2017</x:v>
      </x:c>
      <x:c r="N9352" s="20" t="n">
        <x:v>42767</x:v>
      </x:c>
    </x:row>
    <x:row r="9353" ht="18" customHeight="1">
      <x:c r="A9353" t="str">
        <x:v>CA-2016-114860</x:v>
      </x:c>
      <x:c r="B9353" s="18" t="n">
        <x:v>42726</x:v>
      </x:c>
      <x:c r="C9353" t="str">
        <x:v>DN-13690</x:v>
      </x:c>
      <x:c r="D9353" t="str">
        <x:v>Duane Noonan</x:v>
      </x:c>
      <x:c r="E9353" t="str">
        <x:v>Consumer</x:v>
      </x:c>
      <x:c r="F9353" t="str">
        <x:v>West</x:v>
      </x:c>
      <x:c r="G9353" t="str">
        <x:v>Furniture</x:v>
      </x:c>
      <x:c r="H9353" t="str">
        <x:v>Furnishings</x:v>
      </x:c>
      <x:c r="I9353" s="22" t="n">
        <x:v>842.72</x:v>
      </x:c>
      <x:c r="J9353" s="24" t="n">
        <x:v>8</x:v>
      </x:c>
      <x:c r="K9353" s="26" t="n">
        <x:v>0</x:v>
      </x:c>
      <x:c r="L9353" s="22" t="n">
        <x:v>202.25279999999998</x:v>
      </x:c>
      <x:c r="M9353" t="n">
        <x:v>2016</x:v>
      </x:c>
      <x:c r="N9353" s="20" t="n">
        <x:v>42705</x:v>
      </x:c>
    </x:row>
    <x:row r="9354" ht="18" customHeight="1">
      <x:c r="A9354" t="str">
        <x:v>CA-2016-114860</x:v>
      </x:c>
      <x:c r="B9354" s="18" t="n">
        <x:v>42726</x:v>
      </x:c>
      <x:c r="C9354" t="str">
        <x:v>DN-13690</x:v>
      </x:c>
      <x:c r="D9354" t="str">
        <x:v>Duane Noonan</x:v>
      </x:c>
      <x:c r="E9354" t="str">
        <x:v>Consumer</x:v>
      </x:c>
      <x:c r="F9354" t="str">
        <x:v>West</x:v>
      </x:c>
      <x:c r="G9354" t="str">
        <x:v>Furniture</x:v>
      </x:c>
      <x:c r="H9354" t="str">
        <x:v>Furnishings</x:v>
      </x:c>
      <x:c r="I9354" s="22" t="n">
        <x:v>41.96</x:v>
      </x:c>
      <x:c r="J9354" s="24" t="n">
        <x:v>2</x:v>
      </x:c>
      <x:c r="K9354" s="26" t="n">
        <x:v>0</x:v>
      </x:c>
      <x:c r="L9354" s="22" t="n">
        <x:v>10.909600000000001</x:v>
      </x:c>
      <x:c r="M9354" t="n">
        <x:v>2016</x:v>
      </x:c>
      <x:c r="N9354" s="20" t="n">
        <x:v>42705</x:v>
      </x:c>
    </x:row>
    <x:row r="9355" ht="18" customHeight="1">
      <x:c r="A9355" t="str">
        <x:v>CA-2016-159009</x:v>
      </x:c>
      <x:c r="B9355" s="18" t="n">
        <x:v>42636</x:v>
      </x:c>
      <x:c r="C9355" t="str">
        <x:v>DP-13105</x:v>
      </x:c>
      <x:c r="D9355" t="str">
        <x:v>Dave Poirier</x:v>
      </x:c>
      <x:c r="E9355" t="str">
        <x:v>Corporate</x:v>
      </x:c>
      <x:c r="F9355" t="str">
        <x:v>West</x:v>
      </x:c>
      <x:c r="G9355" t="str">
        <x:v>Office Supplies</x:v>
      </x:c>
      <x:c r="H9355" t="str">
        <x:v>Binders</x:v>
      </x:c>
      <x:c r="I9355" s="22" t="n">
        <x:v>13.216000000000001</x:v>
      </x:c>
      <x:c r="J9355" s="24" t="n">
        <x:v>4</x:v>
      </x:c>
      <x:c r="K9355" s="26" t="n">
        <x:v>0.2</x:v>
      </x:c>
      <x:c r="L9355" s="22" t="n">
        <x:v>4.4604</x:v>
      </x:c>
      <x:c r="M9355" t="n">
        <x:v>2016</x:v>
      </x:c>
      <x:c r="N9355" s="20" t="n">
        <x:v>42614</x:v>
      </x:c>
    </x:row>
    <x:row r="9356" ht="18" customHeight="1">
      <x:c r="A9356" t="str">
        <x:v>CA-2016-159009</x:v>
      </x:c>
      <x:c r="B9356" s="18" t="n">
        <x:v>42636</x:v>
      </x:c>
      <x:c r="C9356" t="str">
        <x:v>DP-13105</x:v>
      </x:c>
      <x:c r="D9356" t="str">
        <x:v>Dave Poirier</x:v>
      </x:c>
      <x:c r="E9356" t="str">
        <x:v>Corporate</x:v>
      </x:c>
      <x:c r="F9356" t="str">
        <x:v>West</x:v>
      </x:c>
      <x:c r="G9356" t="str">
        <x:v>Furniture</x:v>
      </x:c>
      <x:c r="H9356" t="str">
        <x:v>Chairs</x:v>
      </x:c>
      <x:c r="I9356" s="22" t="n">
        <x:v>184.752</x:v>
      </x:c>
      <x:c r="J9356" s="24" t="n">
        <x:v>3</x:v>
      </x:c>
      <x:c r="K9356" s="26" t="n">
        <x:v>0.2</x:v>
      </x:c>
      <x:c r="L9356" s="22" t="n">
        <x:v>-20.78460000000001</x:v>
      </x:c>
      <x:c r="M9356" t="n">
        <x:v>2016</x:v>
      </x:c>
      <x:c r="N9356" s="20" t="n">
        <x:v>42614</x:v>
      </x:c>
    </x:row>
    <x:row r="9357" ht="18" customHeight="1">
      <x:c r="A9357" t="str">
        <x:v>CA-2017-148411</x:v>
      </x:c>
      <x:c r="B9357" s="18" t="n">
        <x:v>43002</x:v>
      </x:c>
      <x:c r="C9357" t="str">
        <x:v>RO-19780</x:v>
      </x:c>
      <x:c r="D9357" t="str">
        <x:v>Rose O'Brian</x:v>
      </x:c>
      <x:c r="E9357" t="str">
        <x:v>Consumer</x:v>
      </x:c>
      <x:c r="F9357" t="str">
        <x:v>Central</x:v>
      </x:c>
      <x:c r="G9357" t="str">
        <x:v>Furniture</x:v>
      </x:c>
      <x:c r="H9357" t="str">
        <x:v>Chairs</x:v>
      </x:c>
      <x:c r="I9357" s="22" t="n">
        <x:v>520.4639999999999</x:v>
      </x:c>
      <x:c r="J9357" s="24" t="n">
        <x:v>2</x:v>
      </x:c>
      <x:c r="K9357" s="26" t="n">
        <x:v>0.3</x:v>
      </x:c>
      <x:c r="L9357" s="22" t="n">
        <x:v>-14.870399999999961</x:v>
      </x:c>
      <x:c r="M9357" t="n">
        <x:v>2017</x:v>
      </x:c>
      <x:c r="N9357" s="20" t="n">
        <x:v>42979</x:v>
      </x:c>
    </x:row>
    <x:row r="9358" ht="18" customHeight="1">
      <x:c r="A9358" t="str">
        <x:v>CA-2017-148411</x:v>
      </x:c>
      <x:c r="B9358" s="18" t="n">
        <x:v>43002</x:v>
      </x:c>
      <x:c r="C9358" t="str">
        <x:v>RO-19780</x:v>
      </x:c>
      <x:c r="D9358" t="str">
        <x:v>Rose O'Brian</x:v>
      </x:c>
      <x:c r="E9358" t="str">
        <x:v>Consumer</x:v>
      </x:c>
      <x:c r="F9358" t="str">
        <x:v>Central</x:v>
      </x:c>
      <x:c r="G9358" t="str">
        <x:v>Office Supplies</x:v>
      </x:c>
      <x:c r="H9358" t="str">
        <x:v>Paper</x:v>
      </x:c>
      <x:c r="I9358" s="22" t="n">
        <x:v>11.424</x:v>
      </x:c>
      <x:c r="J9358" s="24" t="n">
        <x:v>3</x:v>
      </x:c>
      <x:c r="K9358" s="26" t="n">
        <x:v>0.2</x:v>
      </x:c>
      <x:c r="L9358" s="22" t="n">
        <x:v>3.7127999999999988</x:v>
      </x:c>
      <x:c r="M9358" t="n">
        <x:v>2017</x:v>
      </x:c>
      <x:c r="N9358" s="20" t="n">
        <x:v>42979</x:v>
      </x:c>
    </x:row>
    <x:row r="9359" ht="18" customHeight="1">
      <x:c r="A9359" t="str">
        <x:v>CA-2015-110324</x:v>
      </x:c>
      <x:c r="B9359" s="18" t="n">
        <x:v>42339</x:v>
      </x:c>
      <x:c r="C9359" t="str">
        <x:v>MA-17560</x:v>
      </x:c>
      <x:c r="D9359" t="str">
        <x:v>Matt Abelman</x:v>
      </x:c>
      <x:c r="E9359" t="str">
        <x:v>Home Office</x:v>
      </x:c>
      <x:c r="F9359" t="str">
        <x:v>Central</x:v>
      </x:c>
      <x:c r="G9359" t="str">
        <x:v>Office Supplies</x:v>
      </x:c>
      <x:c r="H9359" t="str">
        <x:v>Paper</x:v>
      </x:c>
      <x:c r="I9359" s="22" t="n">
        <x:v>19.44</x:v>
      </x:c>
      <x:c r="J9359" s="24" t="n">
        <x:v>3</x:v>
      </x:c>
      <x:c r="K9359" s="26" t="n">
        <x:v>0</x:v>
      </x:c>
      <x:c r="L9359" s="22" t="n">
        <x:v>9.3312</x:v>
      </x:c>
      <x:c r="M9359" t="n">
        <x:v>2015</x:v>
      </x:c>
      <x:c r="N9359" s="20" t="n">
        <x:v>42339</x:v>
      </x:c>
    </x:row>
    <x:row r="9360" ht="18" customHeight="1">
      <x:c r="A9360" t="str">
        <x:v>CA-2015-110324</x:v>
      </x:c>
      <x:c r="B9360" s="18" t="n">
        <x:v>42339</x:v>
      </x:c>
      <x:c r="C9360" t="str">
        <x:v>MA-17560</x:v>
      </x:c>
      <x:c r="D9360" t="str">
        <x:v>Matt Abelman</x:v>
      </x:c>
      <x:c r="E9360" t="str">
        <x:v>Home Office</x:v>
      </x:c>
      <x:c r="F9360" t="str">
        <x:v>Central</x:v>
      </x:c>
      <x:c r="G9360" t="str">
        <x:v>Office Supplies</x:v>
      </x:c>
      <x:c r="H9360" t="str">
        <x:v>Art</x:v>
      </x:c>
      <x:c r="I9360" s="22" t="n">
        <x:v>3.64</x:v>
      </x:c>
      <x:c r="J9360" s="24" t="n">
        <x:v>2</x:v>
      </x:c>
      <x:c r="K9360" s="26" t="n">
        <x:v>0</x:v>
      </x:c>
      <x:c r="L9360" s="22" t="n">
        <x:v>1.0192</x:v>
      </x:c>
      <x:c r="M9360" t="n">
        <x:v>2015</x:v>
      </x:c>
      <x:c r="N9360" s="20" t="n">
        <x:v>42339</x:v>
      </x:c>
    </x:row>
    <x:row r="9361" ht="18" customHeight="1">
      <x:c r="A9361" t="str">
        <x:v>CA-2015-110324</x:v>
      </x:c>
      <x:c r="B9361" s="18" t="n">
        <x:v>42339</x:v>
      </x:c>
      <x:c r="C9361" t="str">
        <x:v>MA-17560</x:v>
      </x:c>
      <x:c r="D9361" t="str">
        <x:v>Matt Abelman</x:v>
      </x:c>
      <x:c r="E9361" t="str">
        <x:v>Home Office</x:v>
      </x:c>
      <x:c r="F9361" t="str">
        <x:v>Central</x:v>
      </x:c>
      <x:c r="G9361" t="str">
        <x:v>Office Supplies</x:v>
      </x:c>
      <x:c r="H9361" t="str">
        <x:v>Paper</x:v>
      </x:c>
      <x:c r="I9361" s="22" t="n">
        <x:v>18.54</x:v>
      </x:c>
      <x:c r="J9361" s="24" t="n">
        <x:v>2</x:v>
      </x:c>
      <x:c r="K9361" s="26" t="n">
        <x:v>0</x:v>
      </x:c>
      <x:c r="L9361" s="22" t="n">
        <x:v>8.713799999999999</x:v>
      </x:c>
      <x:c r="M9361" t="n">
        <x:v>2015</x:v>
      </x:c>
      <x:c r="N9361" s="20" t="n">
        <x:v>42339</x:v>
      </x:c>
    </x:row>
    <x:row r="9362" ht="18" customHeight="1">
      <x:c r="A9362" t="str">
        <x:v>CA-2016-168046</x:v>
      </x:c>
      <x:c r="B9362" s="18" t="n">
        <x:v>42394</x:v>
      </x:c>
      <x:c r="C9362" t="str">
        <x:v>JD-15895</x:v>
      </x:c>
      <x:c r="D9362" t="str">
        <x:v>Jonathan Doherty</x:v>
      </x:c>
      <x:c r="E9362" t="str">
        <x:v>Corporate</x:v>
      </x:c>
      <x:c r="F9362" t="str">
        <x:v>East</x:v>
      </x:c>
      <x:c r="G9362" t="str">
        <x:v>Office Supplies</x:v>
      </x:c>
      <x:c r="H9362" t="str">
        <x:v>Binders</x:v>
      </x:c>
      <x:c r="I9362" s="22" t="n">
        <x:v>43.120000000000005</x:v>
      </x:c>
      <x:c r="J9362" s="24" t="n">
        <x:v>5</x:v>
      </x:c>
      <x:c r="K9362" s="26" t="n">
        <x:v>0.2</x:v>
      </x:c>
      <x:c r="L9362" s="22" t="n">
        <x:v>15.091999999999995</x:v>
      </x:c>
      <x:c r="M9362" t="n">
        <x:v>2016</x:v>
      </x:c>
      <x:c r="N9362" s="20" t="n">
        <x:v>42370</x:v>
      </x:c>
    </x:row>
    <x:row r="9363" ht="18" customHeight="1">
      <x:c r="A9363" t="str">
        <x:v>CA-2016-168046</x:v>
      </x:c>
      <x:c r="B9363" s="18" t="n">
        <x:v>42394</x:v>
      </x:c>
      <x:c r="C9363" t="str">
        <x:v>JD-15895</x:v>
      </x:c>
      <x:c r="D9363" t="str">
        <x:v>Jonathan Doherty</x:v>
      </x:c>
      <x:c r="E9363" t="str">
        <x:v>Corporate</x:v>
      </x:c>
      <x:c r="F9363" t="str">
        <x:v>East</x:v>
      </x:c>
      <x:c r="G9363" t="str">
        <x:v>Furniture</x:v>
      </x:c>
      <x:c r="H9363" t="str">
        <x:v>Tables</x:v>
      </x:c>
      <x:c r="I9363" s="22" t="n">
        <x:v>313.722</x:v>
      </x:c>
      <x:c r="J9363" s="24" t="n">
        <x:v>3</x:v>
      </x:c>
      <x:c r="K9363" s="26" t="n">
        <x:v>0.4</x:v>
      </x:c>
      <x:c r="L9363" s="22" t="n">
        <x:v>-99.34529999999998</x:v>
      </x:c>
      <x:c r="M9363" t="n">
        <x:v>2016</x:v>
      </x:c>
      <x:c r="N9363" s="20" t="n">
        <x:v>42370</x:v>
      </x:c>
    </x:row>
    <x:row r="9364" ht="18" customHeight="1">
      <x:c r="A9364" t="str">
        <x:v>CA-2016-168046</x:v>
      </x:c>
      <x:c r="B9364" s="18" t="n">
        <x:v>42394</x:v>
      </x:c>
      <x:c r="C9364" t="str">
        <x:v>JD-15895</x:v>
      </x:c>
      <x:c r="D9364" t="str">
        <x:v>Jonathan Doherty</x:v>
      </x:c>
      <x:c r="E9364" t="str">
        <x:v>Corporate</x:v>
      </x:c>
      <x:c r="F9364" t="str">
        <x:v>East</x:v>
      </x:c>
      <x:c r="G9364" t="str">
        <x:v>Furniture</x:v>
      </x:c>
      <x:c r="H9364" t="str">
        <x:v>Furnishings</x:v>
      </x:c>
      <x:c r="I9364" s="22" t="n">
        <x:v>45.98</x:v>
      </x:c>
      <x:c r="J9364" s="24" t="n">
        <x:v>1</x:v>
      </x:c>
      <x:c r="K9364" s="26" t="n">
        <x:v>0</x:v>
      </x:c>
      <x:c r="L9364" s="22" t="n">
        <x:v>7.816599999999994</x:v>
      </x:c>
      <x:c r="M9364" t="n">
        <x:v>2016</x:v>
      </x:c>
      <x:c r="N9364" s="20" t="n">
        <x:v>42370</x:v>
      </x:c>
    </x:row>
    <x:row r="9365" ht="18" customHeight="1">
      <x:c r="A9365" t="str">
        <x:v>CA-2016-168046</x:v>
      </x:c>
      <x:c r="B9365" s="18" t="n">
        <x:v>42394</x:v>
      </x:c>
      <x:c r="C9365" t="str">
        <x:v>JD-15895</x:v>
      </x:c>
      <x:c r="D9365" t="str">
        <x:v>Jonathan Doherty</x:v>
      </x:c>
      <x:c r="E9365" t="str">
        <x:v>Corporate</x:v>
      </x:c>
      <x:c r="F9365" t="str">
        <x:v>East</x:v>
      </x:c>
      <x:c r="G9365" t="str">
        <x:v>Office Supplies</x:v>
      </x:c>
      <x:c r="H9365" t="str">
        <x:v>Storage</x:v>
      </x:c>
      <x:c r="I9365" s="22" t="n">
        <x:v>428.68</x:v>
      </x:c>
      <x:c r="J9365" s="24" t="n">
        <x:v>7</x:v>
      </x:c>
      <x:c r="K9365" s="26" t="n">
        <x:v>0</x:v>
      </x:c>
      <x:c r="L9365" s="22" t="n">
        <x:v>0</x:v>
      </x:c>
      <x:c r="M9365" t="n">
        <x:v>2016</x:v>
      </x:c>
      <x:c r="N9365" s="20" t="n">
        <x:v>42370</x:v>
      </x:c>
    </x:row>
    <x:row r="9366" ht="18" customHeight="1">
      <x:c r="A9366" t="str">
        <x:v>CA-2017-111591</x:v>
      </x:c>
      <x:c r="B9366" s="18" t="n">
        <x:v>42815</x:v>
      </x:c>
      <x:c r="C9366" t="str">
        <x:v>PS-18970</x:v>
      </x:c>
      <x:c r="D9366" t="str">
        <x:v>Paul Stevenson</x:v>
      </x:c>
      <x:c r="E9366" t="str">
        <x:v>Home Office</x:v>
      </x:c>
      <x:c r="F9366" t="str">
        <x:v>West</x:v>
      </x:c>
      <x:c r="G9366" t="str">
        <x:v>Office Supplies</x:v>
      </x:c>
      <x:c r="H9366" t="str">
        <x:v>Binders</x:v>
      </x:c>
      <x:c r="I9366" s="22" t="n">
        <x:v>30.576</x:v>
      </x:c>
      <x:c r="J9366" s="24" t="n">
        <x:v>6</x:v>
      </x:c>
      <x:c r="K9366" s="26" t="n">
        <x:v>0.2</x:v>
      </x:c>
      <x:c r="L9366" s="22" t="n">
        <x:v>10.3194</x:v>
      </x:c>
      <x:c r="M9366" t="n">
        <x:v>2017</x:v>
      </x:c>
      <x:c r="N9366" s="20" t="n">
        <x:v>42795</x:v>
      </x:c>
    </x:row>
    <x:row r="9367" ht="18" customHeight="1">
      <x:c r="A9367" t="str">
        <x:v>CA-2017-111591</x:v>
      </x:c>
      <x:c r="B9367" s="18" t="n">
        <x:v>42815</x:v>
      </x:c>
      <x:c r="C9367" t="str">
        <x:v>PS-18970</x:v>
      </x:c>
      <x:c r="D9367" t="str">
        <x:v>Paul Stevenson</x:v>
      </x:c>
      <x:c r="E9367" t="str">
        <x:v>Home Office</x:v>
      </x:c>
      <x:c r="F9367" t="str">
        <x:v>West</x:v>
      </x:c>
      <x:c r="G9367" t="str">
        <x:v>Office Supplies</x:v>
      </x:c>
      <x:c r="H9367" t="str">
        <x:v>Fasteners</x:v>
      </x:c>
      <x:c r="I9367" s="22" t="n">
        <x:v>13.020000000000001</x:v>
      </x:c>
      <x:c r="J9367" s="24" t="n">
        <x:v>7</x:v>
      </x:c>
      <x:c r="K9367" s="26" t="n">
        <x:v>0</x:v>
      </x:c>
      <x:c r="L9367" s="22" t="n">
        <x:v>0.3906000000000005</x:v>
      </x:c>
      <x:c r="M9367" t="n">
        <x:v>2017</x:v>
      </x:c>
      <x:c r="N9367" s="20" t="n">
        <x:v>42795</x:v>
      </x:c>
    </x:row>
    <x:row r="9368" ht="18" customHeight="1">
      <x:c r="A9368" t="str">
        <x:v>CA-2017-111591</x:v>
      </x:c>
      <x:c r="B9368" s="18" t="n">
        <x:v>42815</x:v>
      </x:c>
      <x:c r="C9368" t="str">
        <x:v>PS-18970</x:v>
      </x:c>
      <x:c r="D9368" t="str">
        <x:v>Paul Stevenson</x:v>
      </x:c>
      <x:c r="E9368" t="str">
        <x:v>Home Office</x:v>
      </x:c>
      <x:c r="F9368" t="str">
        <x:v>West</x:v>
      </x:c>
      <x:c r="G9368" t="str">
        <x:v>Furniture</x:v>
      </x:c>
      <x:c r="H9368" t="str">
        <x:v>Furnishings</x:v>
      </x:c>
      <x:c r="I9368" s="22" t="n">
        <x:v>22.14</x:v>
      </x:c>
      <x:c r="J9368" s="24" t="n">
        <x:v>3</x:v>
      </x:c>
      <x:c r="K9368" s="26" t="n">
        <x:v>0</x:v>
      </x:c>
      <x:c r="L9368" s="22" t="n">
        <x:v>6.420599999999998</x:v>
      </x:c>
      <x:c r="M9368" t="n">
        <x:v>2017</x:v>
      </x:c>
      <x:c r="N9368" s="20" t="n">
        <x:v>42795</x:v>
      </x:c>
    </x:row>
    <x:row r="9369" ht="18" customHeight="1">
      <x:c r="A9369" t="str">
        <x:v>CA-2017-111591</x:v>
      </x:c>
      <x:c r="B9369" s="18" t="n">
        <x:v>42815</x:v>
      </x:c>
      <x:c r="C9369" t="str">
        <x:v>PS-18970</x:v>
      </x:c>
      <x:c r="D9369" t="str">
        <x:v>Paul Stevenson</x:v>
      </x:c>
      <x:c r="E9369" t="str">
        <x:v>Home Office</x:v>
      </x:c>
      <x:c r="F9369" t="str">
        <x:v>West</x:v>
      </x:c>
      <x:c r="G9369" t="str">
        <x:v>Office Supplies</x:v>
      </x:c>
      <x:c r="H9369" t="str">
        <x:v>Storage</x:v>
      </x:c>
      <x:c r="I9369" s="22" t="n">
        <x:v>359.32</x:v>
      </x:c>
      <x:c r="J9369" s="24" t="n">
        <x:v>4</x:v>
      </x:c>
      <x:c r="K9369" s="26" t="n">
        <x:v>0</x:v>
      </x:c>
      <x:c r="L9369" s="22" t="n">
        <x:v>7.186399999999992</x:v>
      </x:c>
      <x:c r="M9369" t="n">
        <x:v>2017</x:v>
      </x:c>
      <x:c r="N9369" s="20" t="n">
        <x:v>42795</x:v>
      </x:c>
    </x:row>
    <x:row r="9370" ht="18" customHeight="1">
      <x:c r="A9370" t="str">
        <x:v>US-2014-166828</x:v>
      </x:c>
      <x:c r="B9370" s="18" t="n">
        <x:v>41873</x:v>
      </x:c>
      <x:c r="C9370" t="str">
        <x:v>JF-15415</x:v>
      </x:c>
      <x:c r="D9370" t="str">
        <x:v>Jennifer Ferguson</x:v>
      </x:c>
      <x:c r="E9370" t="str">
        <x:v>Consumer</x:v>
      </x:c>
      <x:c r="F9370" t="str">
        <x:v>Central</x:v>
      </x:c>
      <x:c r="G9370" t="str">
        <x:v>Office Supplies</x:v>
      </x:c>
      <x:c r="H9370" t="str">
        <x:v>Paper</x:v>
      </x:c>
      <x:c r="I9370" s="22" t="n">
        <x:v>11.56</x:v>
      </x:c>
      <x:c r="J9370" s="24" t="n">
        <x:v>2</x:v>
      </x:c>
      <x:c r="K9370" s="26" t="n">
        <x:v>0</x:v>
      </x:c>
      <x:c r="L9370" s="22" t="n">
        <x:v>5.6644000000000005</x:v>
      </x:c>
      <x:c r="M9370" t="n">
        <x:v>2014</x:v>
      </x:c>
      <x:c r="N9370" s="20" t="n">
        <x:v>41852</x:v>
      </x:c>
    </x:row>
    <x:row r="9371" ht="18" customHeight="1">
      <x:c r="A9371" t="str">
        <x:v>CA-2014-108147</x:v>
      </x:c>
      <x:c r="B9371" s="18" t="n">
        <x:v>41798</x:v>
      </x:c>
      <x:c r="C9371" t="str">
        <x:v>RD-19480</x:v>
      </x:c>
      <x:c r="D9371" t="str">
        <x:v>Rick Duston</x:v>
      </x:c>
      <x:c r="E9371" t="str">
        <x:v>Consumer</x:v>
      </x:c>
      <x:c r="F9371" t="str">
        <x:v>East</x:v>
      </x:c>
      <x:c r="G9371" t="str">
        <x:v>Office Supplies</x:v>
      </x:c>
      <x:c r="H9371" t="str">
        <x:v>Binders</x:v>
      </x:c>
      <x:c r="I9371" s="22" t="n">
        <x:v>68.48</x:v>
      </x:c>
      <x:c r="J9371" s="24" t="n">
        <x:v>2</x:v>
      </x:c>
      <x:c r="K9371" s="26" t="n">
        <x:v>0.2</x:v>
      </x:c>
      <x:c r="L9371" s="22" t="n">
        <x:v>25.679999999999996</x:v>
      </x:c>
      <x:c r="M9371" t="n">
        <x:v>2014</x:v>
      </x:c>
      <x:c r="N9371" s="20" t="n">
        <x:v>41791</x:v>
      </x:c>
    </x:row>
    <x:row r="9372" ht="18" customHeight="1">
      <x:c r="A9372" t="str">
        <x:v>CA-2014-108147</x:v>
      </x:c>
      <x:c r="B9372" s="18" t="n">
        <x:v>41798</x:v>
      </x:c>
      <x:c r="C9372" t="str">
        <x:v>RD-19480</x:v>
      </x:c>
      <x:c r="D9372" t="str">
        <x:v>Rick Duston</x:v>
      </x:c>
      <x:c r="E9372" t="str">
        <x:v>Consumer</x:v>
      </x:c>
      <x:c r="F9372" t="str">
        <x:v>East</x:v>
      </x:c>
      <x:c r="G9372" t="str">
        <x:v>Office Supplies</x:v>
      </x:c>
      <x:c r="H9372" t="str">
        <x:v>Storage</x:v>
      </x:c>
      <x:c r="I9372" s="22" t="n">
        <x:v>1676.88</x:v>
      </x:c>
      <x:c r="J9372" s="24" t="n">
        <x:v>6</x:v>
      </x:c>
      <x:c r="K9372" s="26" t="n">
        <x:v>0</x:v>
      </x:c>
      <x:c r="L9372" s="22" t="n">
        <x:v>83.84399999999994</x:v>
      </x:c>
      <x:c r="M9372" t="n">
        <x:v>2014</x:v>
      </x:c>
      <x:c r="N9372" s="20" t="n">
        <x:v>41791</x:v>
      </x:c>
    </x:row>
    <x:row r="9373" ht="18" customHeight="1">
      <x:c r="A9373" t="str">
        <x:v>CA-2016-154998</x:v>
      </x:c>
      <x:c r="B9373" s="18" t="n">
        <x:v>42467</x:v>
      </x:c>
      <x:c r="C9373" t="str">
        <x:v>ES-14080</x:v>
      </x:c>
      <x:c r="D9373" t="str">
        <x:v>Erin Smith</x:v>
      </x:c>
      <x:c r="E9373" t="str">
        <x:v>Corporate</x:v>
      </x:c>
      <x:c r="F9373" t="str">
        <x:v>East</x:v>
      </x:c>
      <x:c r="G9373" t="str">
        <x:v>Office Supplies</x:v>
      </x:c>
      <x:c r="H9373" t="str">
        <x:v>Paper</x:v>
      </x:c>
      <x:c r="I9373" s="22" t="n">
        <x:v>37.94</x:v>
      </x:c>
      <x:c r="J9373" s="24" t="n">
        <x:v>2</x:v>
      </x:c>
      <x:c r="K9373" s="26" t="n">
        <x:v>0</x:v>
      </x:c>
      <x:c r="L9373" s="22" t="n">
        <x:v>18.211199999999998</x:v>
      </x:c>
      <x:c r="M9373" t="n">
        <x:v>2016</x:v>
      </x:c>
      <x:c r="N9373" s="20" t="n">
        <x:v>42461</x:v>
      </x:c>
    </x:row>
    <x:row r="9374" ht="18" customHeight="1">
      <x:c r="A9374" t="str">
        <x:v>CA-2017-113460</x:v>
      </x:c>
      <x:c r="B9374" s="18" t="n">
        <x:v>43046</x:v>
      </x:c>
      <x:c r="C9374" t="str">
        <x:v>KN-16390</x:v>
      </x:c>
      <x:c r="D9374" t="str">
        <x:v>Katherine Nockton</x:v>
      </x:c>
      <x:c r="E9374" t="str">
        <x:v>Corporate</x:v>
      </x:c>
      <x:c r="F9374" t="str">
        <x:v>East</x:v>
      </x:c>
      <x:c r="G9374" t="str">
        <x:v>Furniture</x:v>
      </x:c>
      <x:c r="H9374" t="str">
        <x:v>Chairs</x:v>
      </x:c>
      <x:c r="I9374" s="22" t="n">
        <x:v>272.96999999999997</x:v>
      </x:c>
      <x:c r="J9374" s="24" t="n">
        <x:v>3</x:v>
      </x:c>
      <x:c r="K9374" s="26" t="n">
        <x:v>0</x:v>
      </x:c>
      <x:c r="L9374" s="22" t="n">
        <x:v>43.67520000000002</x:v>
      </x:c>
      <x:c r="M9374" t="n">
        <x:v>2017</x:v>
      </x:c>
      <x:c r="N9374" s="20" t="n">
        <x:v>43040</x:v>
      </x:c>
    </x:row>
    <x:row r="9375" ht="18" customHeight="1">
      <x:c r="A9375" t="str">
        <x:v>CA-2015-111339</x:v>
      </x:c>
      <x:c r="B9375" s="18" t="n">
        <x:v>42153</x:v>
      </x:c>
      <x:c r="C9375" t="str">
        <x:v>VP-21760</x:v>
      </x:c>
      <x:c r="D9375" t="str">
        <x:v>Victoria Pisteka</x:v>
      </x:c>
      <x:c r="E9375" t="str">
        <x:v>Corporate</x:v>
      </x:c>
      <x:c r="F9375" t="str">
        <x:v>East</x:v>
      </x:c>
      <x:c r="G9375" t="str">
        <x:v>Furniture</x:v>
      </x:c>
      <x:c r="H9375" t="str">
        <x:v>Furnishings</x:v>
      </x:c>
      <x:c r="I9375" s="22" t="n">
        <x:v>41.568000000000005</x:v>
      </x:c>
      <x:c r="J9375" s="24" t="n">
        <x:v>4</x:v>
      </x:c>
      <x:c r="K9375" s="26" t="n">
        <x:v>0.2</x:v>
      </x:c>
      <x:c r="L9375" s="22" t="n">
        <x:v>-4.156800000000002</x:v>
      </x:c>
      <x:c r="M9375" t="n">
        <x:v>2015</x:v>
      </x:c>
      <x:c r="N9375" s="20" t="n">
        <x:v>42125</x:v>
      </x:c>
    </x:row>
    <x:row r="9376" ht="18" customHeight="1">
      <x:c r="A9376" t="str">
        <x:v>CA-2015-111339</x:v>
      </x:c>
      <x:c r="B9376" s="18" t="n">
        <x:v>42153</x:v>
      </x:c>
      <x:c r="C9376" t="str">
        <x:v>VP-21760</x:v>
      </x:c>
      <x:c r="D9376" t="str">
        <x:v>Victoria Pisteka</x:v>
      </x:c>
      <x:c r="E9376" t="str">
        <x:v>Corporate</x:v>
      </x:c>
      <x:c r="F9376" t="str">
        <x:v>East</x:v>
      </x:c>
      <x:c r="G9376" t="str">
        <x:v>Furniture</x:v>
      </x:c>
      <x:c r="H9376" t="str">
        <x:v>Chairs</x:v>
      </x:c>
      <x:c r="I9376" s="22" t="n">
        <x:v>317.058</x:v>
      </x:c>
      <x:c r="J9376" s="24" t="n">
        <x:v>3</x:v>
      </x:c>
      <x:c r="K9376" s="26" t="n">
        <x:v>0.3</x:v>
      </x:c>
      <x:c r="L9376" s="22" t="n">
        <x:v>-86.05860000000001</x:v>
      </x:c>
      <x:c r="M9376" t="n">
        <x:v>2015</x:v>
      </x:c>
      <x:c r="N9376" s="20" t="n">
        <x:v>42125</x:v>
      </x:c>
    </x:row>
    <x:row r="9377" ht="18" customHeight="1">
      <x:c r="A9377" t="str">
        <x:v>CA-2015-111339</x:v>
      </x:c>
      <x:c r="B9377" s="18" t="n">
        <x:v>42153</x:v>
      </x:c>
      <x:c r="C9377" t="str">
        <x:v>VP-21760</x:v>
      </x:c>
      <x:c r="D9377" t="str">
        <x:v>Victoria Pisteka</x:v>
      </x:c>
      <x:c r="E9377" t="str">
        <x:v>Corporate</x:v>
      </x:c>
      <x:c r="F9377" t="str">
        <x:v>East</x:v>
      </x:c>
      <x:c r="G9377" t="str">
        <x:v>Office Supplies</x:v>
      </x:c>
      <x:c r="H9377" t="str">
        <x:v>Fasteners</x:v>
      </x:c>
      <x:c r="I9377" s="22" t="n">
        <x:v>8.04</x:v>
      </x:c>
      <x:c r="J9377" s="24" t="n">
        <x:v>5</x:v>
      </x:c>
      <x:c r="K9377" s="26" t="n">
        <x:v>0.2</x:v>
      </x:c>
      <x:c r="L9377" s="22" t="n">
        <x:v>2.9144999999999994</x:v>
      </x:c>
      <x:c r="M9377" t="n">
        <x:v>2015</x:v>
      </x:c>
      <x:c r="N9377" s="20" t="n">
        <x:v>42125</x:v>
      </x:c>
    </x:row>
    <x:row r="9378" ht="18" customHeight="1">
      <x:c r="A9378" t="str">
        <x:v>CA-2017-102820</x:v>
      </x:c>
      <x:c r="B9378" s="18" t="n">
        <x:v>42862</x:v>
      </x:c>
      <x:c r="C9378" t="str">
        <x:v>CS-11950</x:v>
      </x:c>
      <x:c r="D9378" t="str">
        <x:v>Carlos Soltero</x:v>
      </x:c>
      <x:c r="E9378" t="str">
        <x:v>Consumer</x:v>
      </x:c>
      <x:c r="F9378" t="str">
        <x:v>West</x:v>
      </x:c>
      <x:c r="G9378" t="str">
        <x:v>Technology</x:v>
      </x:c>
      <x:c r="H9378" t="str">
        <x:v>Phones</x:v>
      </x:c>
      <x:c r="I9378" s="22" t="n">
        <x:v>419.94399999999996</x:v>
      </x:c>
      <x:c r="J9378" s="24" t="n">
        <x:v>7</x:v>
      </x:c>
      <x:c r="K9378" s="26" t="n">
        <x:v>0.2</x:v>
      </x:c>
      <x:c r="L9378" s="22" t="n">
        <x:v>52.49299999999997</x:v>
      </x:c>
      <x:c r="M9378" t="n">
        <x:v>2017</x:v>
      </x:c>
      <x:c r="N9378" s="20" t="n">
        <x:v>42856</x:v>
      </x:c>
    </x:row>
    <x:row r="9379" ht="18" customHeight="1">
      <x:c r="A9379" t="str">
        <x:v>CA-2016-149671</x:v>
      </x:c>
      <x:c r="B9379" s="18" t="n">
        <x:v>42526</x:v>
      </x:c>
      <x:c r="C9379" t="str">
        <x:v>KB-16600</x:v>
      </x:c>
      <x:c r="D9379" t="str">
        <x:v>Ken Brennan</x:v>
      </x:c>
      <x:c r="E9379" t="str">
        <x:v>Corporate</x:v>
      </x:c>
      <x:c r="F9379" t="str">
        <x:v>West</x:v>
      </x:c>
      <x:c r="G9379" t="str">
        <x:v>Office Supplies</x:v>
      </x:c>
      <x:c r="H9379" t="str">
        <x:v>Supplies</x:v>
      </x:c>
      <x:c r="I9379" s="22" t="n">
        <x:v>61.38</x:v>
      </x:c>
      <x:c r="J9379" s="24" t="n">
        <x:v>6</x:v>
      </x:c>
      <x:c r="K9379" s="26" t="n">
        <x:v>0</x:v>
      </x:c>
      <x:c r="L9379" s="22" t="n">
        <x:v>15.958800000000004</x:v>
      </x:c>
      <x:c r="M9379" t="n">
        <x:v>2016</x:v>
      </x:c>
      <x:c r="N9379" s="20" t="n">
        <x:v>42522</x:v>
      </x:c>
    </x:row>
    <x:row r="9380" ht="18" customHeight="1">
      <x:c r="A9380" t="str">
        <x:v>CA-2015-126347</x:v>
      </x:c>
      <x:c r="B9380" s="18" t="n">
        <x:v>42352</x:v>
      </x:c>
      <x:c r="C9380" t="str">
        <x:v>AJ-10945</x:v>
      </x:c>
      <x:c r="D9380" t="str">
        <x:v>Ashley Jarboe</x:v>
      </x:c>
      <x:c r="E9380" t="str">
        <x:v>Consumer</x:v>
      </x:c>
      <x:c r="F9380" t="str">
        <x:v>West</x:v>
      </x:c>
      <x:c r="G9380" t="str">
        <x:v>Technology</x:v>
      </x:c>
      <x:c r="H9380" t="str">
        <x:v>Accessories</x:v>
      </x:c>
      <x:c r="I9380" s="22" t="n">
        <x:v>50</x:v>
      </x:c>
      <x:c r="J9380" s="24" t="n">
        <x:v>2</x:v>
      </x:c>
      <x:c r="K9380" s="26" t="n">
        <x:v>0</x:v>
      </x:c>
      <x:c r="L9380" s="22" t="n">
        <x:v>10.5</x:v>
      </x:c>
      <x:c r="M9380" t="n">
        <x:v>2015</x:v>
      </x:c>
      <x:c r="N9380" s="20" t="n">
        <x:v>42339</x:v>
      </x:c>
    </x:row>
    <x:row r="9381" ht="18" customHeight="1">
      <x:c r="A9381" t="str">
        <x:v>CA-2017-108756</x:v>
      </x:c>
      <x:c r="B9381" s="18" t="n">
        <x:v>43094</x:v>
      </x:c>
      <x:c r="C9381" t="str">
        <x:v>PO-18865</x:v>
      </x:c>
      <x:c r="D9381" t="str">
        <x:v>Patrick O'Donnell</x:v>
      </x:c>
      <x:c r="E9381" t="str">
        <x:v>Consumer</x:v>
      </x:c>
      <x:c r="F9381" t="str">
        <x:v>East</x:v>
      </x:c>
      <x:c r="G9381" t="str">
        <x:v>Technology</x:v>
      </x:c>
      <x:c r="H9381" t="str">
        <x:v>Accessories</x:v>
      </x:c>
      <x:c r="I9381" s="22" t="n">
        <x:v>31.799999999999997</x:v>
      </x:c>
      <x:c r="J9381" s="24" t="n">
        <x:v>3</x:v>
      </x:c>
      <x:c r="K9381" s="26" t="n">
        <x:v>0</x:v>
      </x:c>
      <x:c r="L9381" s="22" t="n">
        <x:v>13.674000000000003</x:v>
      </x:c>
      <x:c r="M9381" t="n">
        <x:v>2017</x:v>
      </x:c>
      <x:c r="N9381" s="20" t="n">
        <x:v>43070</x:v>
      </x:c>
    </x:row>
    <x:row r="9382" ht="18" customHeight="1">
      <x:c r="A9382" t="str">
        <x:v>CA-2017-155362</x:v>
      </x:c>
      <x:c r="B9382" s="18" t="n">
        <x:v>43086</x:v>
      </x:c>
      <x:c r="C9382" t="str">
        <x:v>DP-13105</x:v>
      </x:c>
      <x:c r="D9382" t="str">
        <x:v>Dave Poirier</x:v>
      </x:c>
      <x:c r="E9382" t="str">
        <x:v>Corporate</x:v>
      </x:c>
      <x:c r="F9382" t="str">
        <x:v>Central</x:v>
      </x:c>
      <x:c r="G9382" t="str">
        <x:v>Office Supplies</x:v>
      </x:c>
      <x:c r="H9382" t="str">
        <x:v>Storage</x:v>
      </x:c>
      <x:c r="I9382" s="22" t="n">
        <x:v>32.56</x:v>
      </x:c>
      <x:c r="J9382" s="24" t="n">
        <x:v>2</x:v>
      </x:c>
      <x:c r="K9382" s="26" t="n">
        <x:v>0</x:v>
      </x:c>
      <x:c r="L9382" s="22" t="n">
        <x:v>8.465600000000002</x:v>
      </x:c>
      <x:c r="M9382" t="n">
        <x:v>2017</x:v>
      </x:c>
      <x:c r="N9382" s="20" t="n">
        <x:v>43070</x:v>
      </x:c>
    </x:row>
    <x:row r="9383" ht="18" customHeight="1">
      <x:c r="A9383" t="str">
        <x:v>CA-2016-117625</x:v>
      </x:c>
      <x:c r="B9383" s="18" t="n">
        <x:v>42500</x:v>
      </x:c>
      <x:c r="C9383" t="str">
        <x:v>GM-14500</x:v>
      </x:c>
      <x:c r="D9383" t="str">
        <x:v>Gene McClure</x:v>
      </x:c>
      <x:c r="E9383" t="str">
        <x:v>Consumer</x:v>
      </x:c>
      <x:c r="F9383" t="str">
        <x:v>Central</x:v>
      </x:c>
      <x:c r="G9383" t="str">
        <x:v>Office Supplies</x:v>
      </x:c>
      <x:c r="H9383" t="str">
        <x:v>Envelopes</x:v>
      </x:c>
      <x:c r="I9383" s="22" t="n">
        <x:v>7.072</x:v>
      </x:c>
      <x:c r="J9383" s="24" t="n">
        <x:v>2</x:v>
      </x:c>
      <x:c r="K9383" s="26" t="n">
        <x:v>0.2</x:v>
      </x:c>
      <x:c r="L9383" s="22" t="n">
        <x:v>2.3868</x:v>
      </x:c>
      <x:c r="M9383" t="n">
        <x:v>2016</x:v>
      </x:c>
      <x:c r="N9383" s="20" t="n">
        <x:v>42491</x:v>
      </x:c>
    </x:row>
    <x:row r="9384" ht="18" customHeight="1">
      <x:c r="A9384" t="str">
        <x:v>CA-2014-154158</x:v>
      </x:c>
      <x:c r="B9384" s="18" t="n">
        <x:v>41996</x:v>
      </x:c>
      <x:c r="C9384" t="str">
        <x:v>CC-12670</x:v>
      </x:c>
      <x:c r="D9384" t="str">
        <x:v>Craig Carreira</x:v>
      </x:c>
      <x:c r="E9384" t="str">
        <x:v>Consumer</x:v>
      </x:c>
      <x:c r="F9384" t="str">
        <x:v>South</x:v>
      </x:c>
      <x:c r="G9384" t="str">
        <x:v>Office Supplies</x:v>
      </x:c>
      <x:c r="H9384" t="str">
        <x:v>Paper</x:v>
      </x:c>
      <x:c r="I9384" s="22" t="n">
        <x:v>45.528</x:v>
      </x:c>
      <x:c r="J9384" s="24" t="n">
        <x:v>3</x:v>
      </x:c>
      <x:c r="K9384" s="26" t="n">
        <x:v>0.2</x:v>
      </x:c>
      <x:c r="L9384" s="22" t="n">
        <x:v>15.934799999999997</x:v>
      </x:c>
      <x:c r="M9384" t="n">
        <x:v>2014</x:v>
      </x:c>
      <x:c r="N9384" s="20" t="n">
        <x:v>41974</x:v>
      </x:c>
    </x:row>
    <x:row r="9385" ht="18" customHeight="1">
      <x:c r="A9385" t="str">
        <x:v>CA-2014-154158</x:v>
      </x:c>
      <x:c r="B9385" s="18" t="n">
        <x:v>41996</x:v>
      </x:c>
      <x:c r="C9385" t="str">
        <x:v>CC-12670</x:v>
      </x:c>
      <x:c r="D9385" t="str">
        <x:v>Craig Carreira</x:v>
      </x:c>
      <x:c r="E9385" t="str">
        <x:v>Consumer</x:v>
      </x:c>
      <x:c r="F9385" t="str">
        <x:v>South</x:v>
      </x:c>
      <x:c r="G9385" t="str">
        <x:v>Furniture</x:v>
      </x:c>
      <x:c r="H9385" t="str">
        <x:v>Chairs</x:v>
      </x:c>
      <x:c r="I9385" s="22" t="n">
        <x:v>64.784</x:v>
      </x:c>
      <x:c r="J9385" s="24" t="n">
        <x:v>1</x:v>
      </x:c>
      <x:c r="K9385" s="26" t="n">
        <x:v>0.2</x:v>
      </x:c>
      <x:c r="L9385" s="22" t="n">
        <x:v>6.478400000000004</x:v>
      </x:c>
      <x:c r="M9385" t="n">
        <x:v>2014</x:v>
      </x:c>
      <x:c r="N9385" s="20" t="n">
        <x:v>41974</x:v>
      </x:c>
    </x:row>
    <x:row r="9386" ht="18" customHeight="1">
      <x:c r="A9386" t="str">
        <x:v>CA-2014-154158</x:v>
      </x:c>
      <x:c r="B9386" s="18" t="n">
        <x:v>41996</x:v>
      </x:c>
      <x:c r="C9386" t="str">
        <x:v>CC-12670</x:v>
      </x:c>
      <x:c r="D9386" t="str">
        <x:v>Craig Carreira</x:v>
      </x:c>
      <x:c r="E9386" t="str">
        <x:v>Consumer</x:v>
      </x:c>
      <x:c r="F9386" t="str">
        <x:v>South</x:v>
      </x:c>
      <x:c r="G9386" t="str">
        <x:v>Office Supplies</x:v>
      </x:c>
      <x:c r="H9386" t="str">
        <x:v>Storage</x:v>
      </x:c>
      <x:c r="I9386" s="22" t="n">
        <x:v>424.27200000000005</x:v>
      </x:c>
      <x:c r="J9386" s="24" t="n">
        <x:v>2</x:v>
      </x:c>
      <x:c r="K9386" s="26" t="n">
        <x:v>0.2</x:v>
      </x:c>
      <x:c r="L9386" s="22" t="n">
        <x:v>-10.60680000000005</x:v>
      </x:c>
      <x:c r="M9386" t="n">
        <x:v>2014</x:v>
      </x:c>
      <x:c r="N9386" s="20" t="n">
        <x:v>41974</x:v>
      </x:c>
    </x:row>
    <x:row r="9387" ht="18" customHeight="1">
      <x:c r="A9387" t="str">
        <x:v>CA-2014-154158</x:v>
      </x:c>
      <x:c r="B9387" s="18" t="n">
        <x:v>41996</x:v>
      </x:c>
      <x:c r="C9387" t="str">
        <x:v>CC-12670</x:v>
      </x:c>
      <x:c r="D9387" t="str">
        <x:v>Craig Carreira</x:v>
      </x:c>
      <x:c r="E9387" t="str">
        <x:v>Consumer</x:v>
      </x:c>
      <x:c r="F9387" t="str">
        <x:v>South</x:v>
      </x:c>
      <x:c r="G9387" t="str">
        <x:v>Office Supplies</x:v>
      </x:c>
      <x:c r="H9387" t="str">
        <x:v>Art</x:v>
      </x:c>
      <x:c r="I9387" s="22" t="n">
        <x:v>1.344</x:v>
      </x:c>
      <x:c r="J9387" s="24" t="n">
        <x:v>1</x:v>
      </x:c>
      <x:c r="K9387" s="26" t="n">
        <x:v>0.2</x:v>
      </x:c>
      <x:c r="L9387" s="22" t="n">
        <x:v>0.504</x:v>
      </x:c>
      <x:c r="M9387" t="n">
        <x:v>2014</x:v>
      </x:c>
      <x:c r="N9387" s="20" t="n">
        <x:v>41974</x:v>
      </x:c>
    </x:row>
    <x:row r="9388" ht="18" customHeight="1">
      <x:c r="A9388" t="str">
        <x:v>CA-2014-154158</x:v>
      </x:c>
      <x:c r="B9388" s="18" t="n">
        <x:v>41996</x:v>
      </x:c>
      <x:c r="C9388" t="str">
        <x:v>CC-12670</x:v>
      </x:c>
      <x:c r="D9388" t="str">
        <x:v>Craig Carreira</x:v>
      </x:c>
      <x:c r="E9388" t="str">
        <x:v>Consumer</x:v>
      </x:c>
      <x:c r="F9388" t="str">
        <x:v>South</x:v>
      </x:c>
      <x:c r="G9388" t="str">
        <x:v>Office Supplies</x:v>
      </x:c>
      <x:c r="H9388" t="str">
        <x:v>Storage</x:v>
      </x:c>
      <x:c r="I9388" s="22" t="n">
        <x:v>83.92000000000002</x:v>
      </x:c>
      <x:c r="J9388" s="24" t="n">
        <x:v>5</x:v>
      </x:c>
      <x:c r="K9388" s="26" t="n">
        <x:v>0.2</x:v>
      </x:c>
      <x:c r="L9388" s="22" t="n">
        <x:v>-1.049000000000003</x:v>
      </x:c>
      <x:c r="M9388" t="n">
        <x:v>2014</x:v>
      </x:c>
      <x:c r="N9388" s="20" t="n">
        <x:v>41974</x:v>
      </x:c>
    </x:row>
    <x:row r="9389" ht="18" customHeight="1">
      <x:c r="A9389" t="str">
        <x:v>CA-2017-100433</x:v>
      </x:c>
      <x:c r="B9389" s="18" t="n">
        <x:v>42958</x:v>
      </x:c>
      <x:c r="C9389" t="str">
        <x:v>SJ-20125</x:v>
      </x:c>
      <x:c r="D9389" t="str">
        <x:v>Sanjit Jacobs</x:v>
      </x:c>
      <x:c r="E9389" t="str">
        <x:v>Home Office</x:v>
      </x:c>
      <x:c r="F9389" t="str">
        <x:v>East</x:v>
      </x:c>
      <x:c r="G9389" t="str">
        <x:v>Office Supplies</x:v>
      </x:c>
      <x:c r="H9389" t="str">
        <x:v>Paper</x:v>
      </x:c>
      <x:c r="I9389" s="22" t="n">
        <x:v>25.92</x:v>
      </x:c>
      <x:c r="J9389" s="24" t="n">
        <x:v>4</x:v>
      </x:c>
      <x:c r="K9389" s="26" t="n">
        <x:v>0</x:v>
      </x:c>
      <x:c r="L9389" s="22" t="n">
        <x:v>12.441600000000001</x:v>
      </x:c>
      <x:c r="M9389" t="n">
        <x:v>2017</x:v>
      </x:c>
      <x:c r="N9389" s="20" t="n">
        <x:v>42948</x:v>
      </x:c>
    </x:row>
    <x:row r="9390" ht="18" customHeight="1">
      <x:c r="A9390" t="str">
        <x:v>CA-2017-163097</x:v>
      </x:c>
      <x:c r="B9390" s="18" t="n">
        <x:v>42974</x:v>
      </x:c>
      <x:c r="C9390" t="str">
        <x:v>SF-20200</x:v>
      </x:c>
      <x:c r="D9390" t="str">
        <x:v>Sarah Foster</x:v>
      </x:c>
      <x:c r="E9390" t="str">
        <x:v>Consumer</x:v>
      </x:c>
      <x:c r="F9390" t="str">
        <x:v>West</x:v>
      </x:c>
      <x:c r="G9390" t="str">
        <x:v>Furniture</x:v>
      </x:c>
      <x:c r="H9390" t="str">
        <x:v>Furnishings</x:v>
      </x:c>
      <x:c r="I9390" s="22" t="n">
        <x:v>120.57600000000001</x:v>
      </x:c>
      <x:c r="J9390" s="24" t="n">
        <x:v>8</x:v>
      </x:c>
      <x:c r="K9390" s="26" t="n">
        <x:v>0.2</x:v>
      </x:c>
      <x:c r="L9390" s="22" t="n">
        <x:v>33.1584</x:v>
      </x:c>
      <x:c r="M9390" t="n">
        <x:v>2017</x:v>
      </x:c>
      <x:c r="N9390" s="20" t="n">
        <x:v>42948</x:v>
      </x:c>
    </x:row>
    <x:row r="9391" ht="18" customHeight="1">
      <x:c r="A9391" t="str">
        <x:v>US-2017-127292</x:v>
      </x:c>
      <x:c r="B9391" s="18" t="n">
        <x:v>42754</x:v>
      </x:c>
      <x:c r="C9391" t="str">
        <x:v>RM-19375</x:v>
      </x:c>
      <x:c r="D9391" t="str">
        <x:v>Raymond Messe</x:v>
      </x:c>
      <x:c r="E9391" t="str">
        <x:v>Consumer</x:v>
      </x:c>
      <x:c r="F9391" t="str">
        <x:v>East</x:v>
      </x:c>
      <x:c r="G9391" t="str">
        <x:v>Office Supplies</x:v>
      </x:c>
      <x:c r="H9391" t="str">
        <x:v>Paper</x:v>
      </x:c>
      <x:c r="I9391" s="22" t="n">
        <x:v>79.92</x:v>
      </x:c>
      <x:c r="J9391" s="24" t="n">
        <x:v>4</x:v>
      </x:c>
      <x:c r="K9391" s="26" t="n">
        <x:v>0</x:v>
      </x:c>
      <x:c r="L9391" s="22" t="n">
        <x:v>37.5624</x:v>
      </x:c>
      <x:c r="M9391" t="n">
        <x:v>2017</x:v>
      </x:c>
      <x:c r="N9391" s="20" t="n">
        <x:v>42736</x:v>
      </x:c>
    </x:row>
    <x:row r="9392" ht="18" customHeight="1">
      <x:c r="A9392" t="str">
        <x:v>US-2017-127292</x:v>
      </x:c>
      <x:c r="B9392" s="18" t="n">
        <x:v>42754</x:v>
      </x:c>
      <x:c r="C9392" t="str">
        <x:v>RM-19375</x:v>
      </x:c>
      <x:c r="D9392" t="str">
        <x:v>Raymond Messe</x:v>
      </x:c>
      <x:c r="E9392" t="str">
        <x:v>Consumer</x:v>
      </x:c>
      <x:c r="F9392" t="str">
        <x:v>East</x:v>
      </x:c>
      <x:c r="G9392" t="str">
        <x:v>Office Supplies</x:v>
      </x:c>
      <x:c r="H9392" t="str">
        <x:v>Paper</x:v>
      </x:c>
      <x:c r="I9392" s="22" t="n">
        <x:v>12.28</x:v>
      </x:c>
      <x:c r="J9392" s="24" t="n">
        <x:v>1</x:v>
      </x:c>
      <x:c r="K9392" s="26" t="n">
        <x:v>0</x:v>
      </x:c>
      <x:c r="L9392" s="22" t="n">
        <x:v>5.771599999999999</x:v>
      </x:c>
      <x:c r="M9392" t="n">
        <x:v>2017</x:v>
      </x:c>
      <x:c r="N9392" s="20" t="n">
        <x:v>42736</x:v>
      </x:c>
    </x:row>
    <x:row r="9393" ht="18" customHeight="1">
      <x:c r="A9393" t="str">
        <x:v>US-2017-127292</x:v>
      </x:c>
      <x:c r="B9393" s="18" t="n">
        <x:v>42754</x:v>
      </x:c>
      <x:c r="C9393" t="str">
        <x:v>RM-19375</x:v>
      </x:c>
      <x:c r="D9393" t="str">
        <x:v>Raymond Messe</x:v>
      </x:c>
      <x:c r="E9393" t="str">
        <x:v>Consumer</x:v>
      </x:c>
      <x:c r="F9393" t="str">
        <x:v>East</x:v>
      </x:c>
      <x:c r="G9393" t="str">
        <x:v>Office Supplies</x:v>
      </x:c>
      <x:c r="H9393" t="str">
        <x:v>Appliances</x:v>
      </x:c>
      <x:c r="I9393" s="22" t="n">
        <x:v>542.9399999999999</x:v>
      </x:c>
      <x:c r="J9393" s="24" t="n">
        <x:v>3</x:v>
      </x:c>
      <x:c r="K9393" s="26" t="n">
        <x:v>0</x:v>
      </x:c>
      <x:c r="L9393" s="22" t="n">
        <x:v>152.02319999999997</x:v>
      </x:c>
      <x:c r="M9393" t="n">
        <x:v>2017</x:v>
      </x:c>
      <x:c r="N9393" s="20" t="n">
        <x:v>42736</x:v>
      </x:c>
    </x:row>
    <x:row r="9394" ht="18" customHeight="1">
      <x:c r="A9394" t="str">
        <x:v>US-2017-127292</x:v>
      </x:c>
      <x:c r="B9394" s="18" t="n">
        <x:v>42754</x:v>
      </x:c>
      <x:c r="C9394" t="str">
        <x:v>RM-19375</x:v>
      </x:c>
      <x:c r="D9394" t="str">
        <x:v>Raymond Messe</x:v>
      </x:c>
      <x:c r="E9394" t="str">
        <x:v>Consumer</x:v>
      </x:c>
      <x:c r="F9394" t="str">
        <x:v>East</x:v>
      </x:c>
      <x:c r="G9394" t="str">
        <x:v>Office Supplies</x:v>
      </x:c>
      <x:c r="H9394" t="str">
        <x:v>Envelopes</x:v>
      </x:c>
      <x:c r="I9394" s="22" t="n">
        <x:v>2.04</x:v>
      </x:c>
      <x:c r="J9394" s="24" t="n">
        <x:v>1</x:v>
      </x:c>
      <x:c r="K9394" s="26" t="n">
        <x:v>0</x:v>
      </x:c>
      <x:c r="L9394" s="22" t="n">
        <x:v>0.9587999999999999</x:v>
      </x:c>
      <x:c r="M9394" t="n">
        <x:v>2017</x:v>
      </x:c>
      <x:c r="N9394" s="20" t="n">
        <x:v>42736</x:v>
      </x:c>
    </x:row>
    <x:row r="9395" ht="18" customHeight="1">
      <x:c r="A9395" t="str">
        <x:v>CA-2015-163734</x:v>
      </x:c>
      <x:c r="B9395" s="18" t="n">
        <x:v>42174</x:v>
      </x:c>
      <x:c r="C9395" t="str">
        <x:v>KM-16375</x:v>
      </x:c>
      <x:c r="D9395" t="str">
        <x:v>Katherine Murray</x:v>
      </x:c>
      <x:c r="E9395" t="str">
        <x:v>Home Office</x:v>
      </x:c>
      <x:c r="F9395" t="str">
        <x:v>Central</x:v>
      </x:c>
      <x:c r="G9395" t="str">
        <x:v>Office Supplies</x:v>
      </x:c>
      <x:c r="H9395" t="str">
        <x:v>Storage</x:v>
      </x:c>
      <x:c r="I9395" s="22" t="n">
        <x:v>228.92</x:v>
      </x:c>
      <x:c r="J9395" s="24" t="n">
        <x:v>5</x:v>
      </x:c>
      <x:c r="K9395" s="26" t="n">
        <x:v>0.2</x:v>
      </x:c>
      <x:c r="L9395" s="22" t="n">
        <x:v>14.307499999999997</x:v>
      </x:c>
      <x:c r="M9395" t="n">
        <x:v>2015</x:v>
      </x:c>
      <x:c r="N9395" s="20" t="n">
        <x:v>42156</x:v>
      </x:c>
    </x:row>
    <x:row r="9396" ht="18" customHeight="1">
      <x:c r="A9396" t="str">
        <x:v>CA-2017-162474</x:v>
      </x:c>
      <x:c r="B9396" s="18" t="n">
        <x:v>42807</x:v>
      </x:c>
      <x:c r="C9396" t="str">
        <x:v>FH-14275</x:v>
      </x:c>
      <x:c r="D9396" t="str">
        <x:v>Frank Hawley</x:v>
      </x:c>
      <x:c r="E9396" t="str">
        <x:v>Corporate</x:v>
      </x:c>
      <x:c r="F9396" t="str">
        <x:v>Central</x:v>
      </x:c>
      <x:c r="G9396" t="str">
        <x:v>Technology</x:v>
      </x:c>
      <x:c r="H9396" t="str">
        <x:v>Phones</x:v>
      </x:c>
      <x:c r="I9396" s="22" t="n">
        <x:v>7.992000000000001</x:v>
      </x:c>
      <x:c r="J9396" s="24" t="n">
        <x:v>1</x:v>
      </x:c>
      <x:c r="K9396" s="26" t="n">
        <x:v>0.2</x:v>
      </x:c>
      <x:c r="L9396" s="22" t="n">
        <x:v>2.5973999999999995</x:v>
      </x:c>
      <x:c r="M9396" t="n">
        <x:v>2017</x:v>
      </x:c>
      <x:c r="N9396" s="20" t="n">
        <x:v>42795</x:v>
      </x:c>
    </x:row>
    <x:row r="9397" ht="18" customHeight="1">
      <x:c r="A9397" t="str">
        <x:v>CA-2015-130848</x:v>
      </x:c>
      <x:c r="B9397" s="18" t="n">
        <x:v>42302</x:v>
      </x:c>
      <x:c r="C9397" t="str">
        <x:v>DG-13300</x:v>
      </x:c>
      <x:c r="D9397" t="str">
        <x:v>Deirdre Greer</x:v>
      </x:c>
      <x:c r="E9397" t="str">
        <x:v>Corporate</x:v>
      </x:c>
      <x:c r="F9397" t="str">
        <x:v>West</x:v>
      </x:c>
      <x:c r="G9397" t="str">
        <x:v>Furniture</x:v>
      </x:c>
      <x:c r="H9397" t="str">
        <x:v>Chairs</x:v>
      </x:c>
      <x:c r="I9397" s="22" t="n">
        <x:v>582.336</x:v>
      </x:c>
      <x:c r="J9397" s="24" t="n">
        <x:v>8</x:v>
      </x:c>
      <x:c r="K9397" s="26" t="n">
        <x:v>0.2</x:v>
      </x:c>
      <x:c r="L9397" s="22" t="n">
        <x:v>-29.116799999999955</x:v>
      </x:c>
      <x:c r="M9397" t="n">
        <x:v>2015</x:v>
      </x:c>
      <x:c r="N9397" s="20" t="n">
        <x:v>42278</x:v>
      </x:c>
    </x:row>
    <x:row r="9398" ht="18" customHeight="1">
      <x:c r="A9398" t="str">
        <x:v>CA-2014-125997</x:v>
      </x:c>
      <x:c r="B9398" s="18" t="n">
        <x:v>41902</x:v>
      </x:c>
      <x:c r="C9398" t="str">
        <x:v>MW-18220</x:v>
      </x:c>
      <x:c r="D9398" t="str">
        <x:v>Mitch Webber</x:v>
      </x:c>
      <x:c r="E9398" t="str">
        <x:v>Consumer</x:v>
      </x:c>
      <x:c r="F9398" t="str">
        <x:v>East</x:v>
      </x:c>
      <x:c r="G9398" t="str">
        <x:v>Technology</x:v>
      </x:c>
      <x:c r="H9398" t="str">
        <x:v>Phones</x:v>
      </x:c>
      <x:c r="I9398" s="22" t="n">
        <x:v>629.9499999999999</x:v>
      </x:c>
      <x:c r="J9398" s="24" t="n">
        <x:v>5</x:v>
      </x:c>
      <x:c r="K9398" s="26" t="n">
        <x:v>0</x:v>
      </x:c>
      <x:c r="L9398" s="22" t="n">
        <x:v>157.4875</x:v>
      </x:c>
      <x:c r="M9398" t="n">
        <x:v>2014</x:v>
      </x:c>
      <x:c r="N9398" s="20" t="n">
        <x:v>41883</x:v>
      </x:c>
    </x:row>
    <x:row r="9399" ht="18" customHeight="1">
      <x:c r="A9399" t="str">
        <x:v>CA-2014-125997</x:v>
      </x:c>
      <x:c r="B9399" s="18" t="n">
        <x:v>41902</x:v>
      </x:c>
      <x:c r="C9399" t="str">
        <x:v>MW-18220</x:v>
      </x:c>
      <x:c r="D9399" t="str">
        <x:v>Mitch Webber</x:v>
      </x:c>
      <x:c r="E9399" t="str">
        <x:v>Consumer</x:v>
      </x:c>
      <x:c r="F9399" t="str">
        <x:v>East</x:v>
      </x:c>
      <x:c r="G9399" t="str">
        <x:v>Furniture</x:v>
      </x:c>
      <x:c r="H9399" t="str">
        <x:v>Chairs</x:v>
      </x:c>
      <x:c r="I9399" s="22" t="n">
        <x:v>631.782</x:v>
      </x:c>
      <x:c r="J9399" s="24" t="n">
        <x:v>2</x:v>
      </x:c>
      <x:c r="K9399" s="26" t="n">
        <x:v>0.1</x:v>
      </x:c>
      <x:c r="L9399" s="22" t="n">
        <x:v>140.39599999999993</x:v>
      </x:c>
      <x:c r="M9399" t="n">
        <x:v>2014</x:v>
      </x:c>
      <x:c r="N9399" s="20" t="n">
        <x:v>41883</x:v>
      </x:c>
    </x:row>
    <x:row r="9400" ht="18" customHeight="1">
      <x:c r="A9400" t="str">
        <x:v>CA-2014-125997</x:v>
      </x:c>
      <x:c r="B9400" s="18" t="n">
        <x:v>41902</x:v>
      </x:c>
      <x:c r="C9400" t="str">
        <x:v>MW-18220</x:v>
      </x:c>
      <x:c r="D9400" t="str">
        <x:v>Mitch Webber</x:v>
      </x:c>
      <x:c r="E9400" t="str">
        <x:v>Consumer</x:v>
      </x:c>
      <x:c r="F9400" t="str">
        <x:v>East</x:v>
      </x:c>
      <x:c r="G9400" t="str">
        <x:v>Furniture</x:v>
      </x:c>
      <x:c r="H9400" t="str">
        <x:v>Bookcases</x:v>
      </x:c>
      <x:c r="I9400" s="22" t="n">
        <x:v>801.5680000000001</x:v>
      </x:c>
      <x:c r="J9400" s="24" t="n">
        <x:v>2</x:v>
      </x:c>
      <x:c r="K9400" s="26" t="n">
        <x:v>0.2</x:v>
      </x:c>
      <x:c r="L9400" s="22" t="n">
        <x:v>-10.019600000000054</x:v>
      </x:c>
      <x:c r="M9400" t="n">
        <x:v>2014</x:v>
      </x:c>
      <x:c r="N9400" s="20" t="n">
        <x:v>41883</x:v>
      </x:c>
    </x:row>
    <x:row r="9401" ht="18" customHeight="1">
      <x:c r="A9401" t="str">
        <x:v>CA-2014-125997</x:v>
      </x:c>
      <x:c r="B9401" s="18" t="n">
        <x:v>41902</x:v>
      </x:c>
      <x:c r="C9401" t="str">
        <x:v>MW-18220</x:v>
      </x:c>
      <x:c r="D9401" t="str">
        <x:v>Mitch Webber</x:v>
      </x:c>
      <x:c r="E9401" t="str">
        <x:v>Consumer</x:v>
      </x:c>
      <x:c r="F9401" t="str">
        <x:v>East</x:v>
      </x:c>
      <x:c r="G9401" t="str">
        <x:v>Office Supplies</x:v>
      </x:c>
      <x:c r="H9401" t="str">
        <x:v>Labels</x:v>
      </x:c>
      <x:c r="I9401" s="22" t="n">
        <x:v>75.17999999999999</x:v>
      </x:c>
      <x:c r="J9401" s="24" t="n">
        <x:v>6</x:v>
      </x:c>
      <x:c r="K9401" s="26" t="n">
        <x:v>0</x:v>
      </x:c>
      <x:c r="L9401" s="22" t="n">
        <x:v>35.334599999999995</x:v>
      </x:c>
      <x:c r="M9401" t="n">
        <x:v>2014</x:v>
      </x:c>
      <x:c r="N9401" s="20" t="n">
        <x:v>41883</x:v>
      </x:c>
    </x:row>
    <x:row r="9402" ht="18" customHeight="1">
      <x:c r="A9402" t="str">
        <x:v>CA-2014-125997</x:v>
      </x:c>
      <x:c r="B9402" s="18" t="n">
        <x:v>41902</x:v>
      </x:c>
      <x:c r="C9402" t="str">
        <x:v>MW-18220</x:v>
      </x:c>
      <x:c r="D9402" t="str">
        <x:v>Mitch Webber</x:v>
      </x:c>
      <x:c r="E9402" t="str">
        <x:v>Consumer</x:v>
      </x:c>
      <x:c r="F9402" t="str">
        <x:v>East</x:v>
      </x:c>
      <x:c r="G9402" t="str">
        <x:v>Office Supplies</x:v>
      </x:c>
      <x:c r="H9402" t="str">
        <x:v>Appliances</x:v>
      </x:c>
      <x:c r="I9402" s="22" t="n">
        <x:v>30.98</x:v>
      </x:c>
      <x:c r="J9402" s="24" t="n">
        <x:v>1</x:v>
      </x:c>
      <x:c r="K9402" s="26" t="n">
        <x:v>0</x:v>
      </x:c>
      <x:c r="L9402" s="22" t="n">
        <x:v>8.0548</x:v>
      </x:c>
      <x:c r="M9402" t="n">
        <x:v>2014</x:v>
      </x:c>
      <x:c r="N9402" s="20" t="n">
        <x:v>41883</x:v>
      </x:c>
    </x:row>
    <x:row r="9403" ht="18" customHeight="1">
      <x:c r="A9403" t="str">
        <x:v>CA-2014-125997</x:v>
      </x:c>
      <x:c r="B9403" s="18" t="n">
        <x:v>41902</x:v>
      </x:c>
      <x:c r="C9403" t="str">
        <x:v>MW-18220</x:v>
      </x:c>
      <x:c r="D9403" t="str">
        <x:v>Mitch Webber</x:v>
      </x:c>
      <x:c r="E9403" t="str">
        <x:v>Consumer</x:v>
      </x:c>
      <x:c r="F9403" t="str">
        <x:v>East</x:v>
      </x:c>
      <x:c r="G9403" t="str">
        <x:v>Technology</x:v>
      </x:c>
      <x:c r="H9403" t="str">
        <x:v>Phones</x:v>
      </x:c>
      <x:c r="I9403" s="22" t="n">
        <x:v>1349.91</x:v>
      </x:c>
      <x:c r="J9403" s="24" t="n">
        <x:v>9</x:v>
      </x:c>
      <x:c r="K9403" s="26" t="n">
        <x:v>0</x:v>
      </x:c>
      <x:c r="L9403" s="22" t="n">
        <x:v>661.4559</x:v>
      </x:c>
      <x:c r="M9403" t="n">
        <x:v>2014</x:v>
      </x:c>
      <x:c r="N9403" s="20" t="n">
        <x:v>41883</x:v>
      </x:c>
    </x:row>
    <x:row r="9404" ht="18" customHeight="1">
      <x:c r="A9404" t="str">
        <x:v>CA-2016-103128</x:v>
      </x:c>
      <x:c r="B9404" s="18" t="n">
        <x:v>42685</x:v>
      </x:c>
      <x:c r="C9404" t="str">
        <x:v>SC-20845</x:v>
      </x:c>
      <x:c r="D9404" t="str">
        <x:v>Sung Chung</x:v>
      </x:c>
      <x:c r="E9404" t="str">
        <x:v>Consumer</x:v>
      </x:c>
      <x:c r="F9404" t="str">
        <x:v>Central</x:v>
      </x:c>
      <x:c r="G9404" t="str">
        <x:v>Office Supplies</x:v>
      </x:c>
      <x:c r="H9404" t="str">
        <x:v>Art</x:v>
      </x:c>
      <x:c r="I9404" s="22" t="n">
        <x:v>14.111999999999998</x:v>
      </x:c>
      <x:c r="J9404" s="24" t="n">
        <x:v>6</x:v>
      </x:c>
      <x:c r="K9404" s="26" t="n">
        <x:v>0.2</x:v>
      </x:c>
      <x:c r="L9404" s="22" t="n">
        <x:v>1.2348000000000008</x:v>
      </x:c>
      <x:c r="M9404" t="n">
        <x:v>2016</x:v>
      </x:c>
      <x:c r="N9404" s="20" t="n">
        <x:v>42675</x:v>
      </x:c>
    </x:row>
    <x:row r="9405" ht="18" customHeight="1">
      <x:c r="A9405" t="str">
        <x:v>CA-2015-167696</x:v>
      </x:c>
      <x:c r="B9405" s="18" t="n">
        <x:v>42263</x:v>
      </x:c>
      <x:c r="C9405" t="str">
        <x:v>BD-11500</x:v>
      </x:c>
      <x:c r="D9405" t="str">
        <x:v>Bradley Drucker</x:v>
      </x:c>
      <x:c r="E9405" t="str">
        <x:v>Consumer</x:v>
      </x:c>
      <x:c r="F9405" t="str">
        <x:v>South</x:v>
      </x:c>
      <x:c r="G9405" t="str">
        <x:v>Office Supplies</x:v>
      </x:c>
      <x:c r="H9405" t="str">
        <x:v>Envelopes</x:v>
      </x:c>
      <x:c r="I9405" s="22" t="n">
        <x:v>31.12</x:v>
      </x:c>
      <x:c r="J9405" s="24" t="n">
        <x:v>4</x:v>
      </x:c>
      <x:c r="K9405" s="26" t="n">
        <x:v>0</x:v>
      </x:c>
      <x:c r="L9405" s="22" t="n">
        <x:v>14.6264</x:v>
      </x:c>
      <x:c r="M9405" t="n">
        <x:v>2015</x:v>
      </x:c>
      <x:c r="N9405" s="20" t="n">
        <x:v>42248</x:v>
      </x:c>
    </x:row>
    <x:row r="9406" ht="18" customHeight="1">
      <x:c r="A9406" t="str">
        <x:v>CA-2014-159814</x:v>
      </x:c>
      <x:c r="B9406" s="18" t="n">
        <x:v>41814</x:v>
      </x:c>
      <x:c r="C9406" t="str">
        <x:v>LP-17080</x:v>
      </x:c>
      <x:c r="D9406" t="str">
        <x:v>Liz Pelletier</x:v>
      </x:c>
      <x:c r="E9406" t="str">
        <x:v>Consumer</x:v>
      </x:c>
      <x:c r="F9406" t="str">
        <x:v>West</x:v>
      </x:c>
      <x:c r="G9406" t="str">
        <x:v>Furniture</x:v>
      </x:c>
      <x:c r="H9406" t="str">
        <x:v>Furnishings</x:v>
      </x:c>
      <x:c r="I9406" s="22" t="n">
        <x:v>4.272</x:v>
      </x:c>
      <x:c r="J9406" s="24" t="n">
        <x:v>2</x:v>
      </x:c>
      <x:c r="K9406" s="26" t="n">
        <x:v>0.2</x:v>
      </x:c>
      <x:c r="L9406" s="22" t="n">
        <x:v>0.9611999999999998</x:v>
      </x:c>
      <x:c r="M9406" t="n">
        <x:v>2014</x:v>
      </x:c>
      <x:c r="N9406" s="20" t="n">
        <x:v>41791</x:v>
      </x:c>
    </x:row>
    <x:row r="9407" ht="18" customHeight="1">
      <x:c r="A9407" t="str">
        <x:v>CA-2016-105459</x:v>
      </x:c>
      <x:c r="B9407" s="18" t="n">
        <x:v>42594</x:v>
      </x:c>
      <x:c r="C9407" t="str">
        <x:v>NP-18700</x:v>
      </x:c>
      <x:c r="D9407" t="str">
        <x:v>Nora Preis</x:v>
      </x:c>
      <x:c r="E9407" t="str">
        <x:v>Consumer</x:v>
      </x:c>
      <x:c r="F9407" t="str">
        <x:v>East</x:v>
      </x:c>
      <x:c r="G9407" t="str">
        <x:v>Furniture</x:v>
      </x:c>
      <x:c r="H9407" t="str">
        <x:v>Tables</x:v>
      </x:c>
      <x:c r="I9407" s="22" t="n">
        <x:v>209.148</x:v>
      </x:c>
      <x:c r="J9407" s="24" t="n">
        <x:v>2</x:v>
      </x:c>
      <x:c r="K9407" s="26" t="n">
        <x:v>0.4</x:v>
      </x:c>
      <x:c r="L9407" s="22" t="n">
        <x:v>-66.2302</x:v>
      </x:c>
      <x:c r="M9407" t="n">
        <x:v>2016</x:v>
      </x:c>
      <x:c r="N9407" s="20" t="n">
        <x:v>42583</x:v>
      </x:c>
    </x:row>
    <x:row r="9408" ht="18" customHeight="1">
      <x:c r="A9408" t="str">
        <x:v>CA-2016-105459</x:v>
      </x:c>
      <x:c r="B9408" s="18" t="n">
        <x:v>42594</x:v>
      </x:c>
      <x:c r="C9408" t="str">
        <x:v>NP-18700</x:v>
      </x:c>
      <x:c r="D9408" t="str">
        <x:v>Nora Preis</x:v>
      </x:c>
      <x:c r="E9408" t="str">
        <x:v>Consumer</x:v>
      </x:c>
      <x:c r="F9408" t="str">
        <x:v>East</x:v>
      </x:c>
      <x:c r="G9408" t="str">
        <x:v>Office Supplies</x:v>
      </x:c>
      <x:c r="H9408" t="str">
        <x:v>Storage</x:v>
      </x:c>
      <x:c r="I9408" s="22" t="n">
        <x:v>1591.02</x:v>
      </x:c>
      <x:c r="J9408" s="24" t="n">
        <x:v>6</x:v>
      </x:c>
      <x:c r="K9408" s="26" t="n">
        <x:v>0</x:v>
      </x:c>
      <x:c r="L9408" s="22" t="n">
        <x:v>286.3835999999999</x:v>
      </x:c>
      <x:c r="M9408" t="n">
        <x:v>2016</x:v>
      </x:c>
      <x:c r="N9408" s="20" t="n">
        <x:v>42583</x:v>
      </x:c>
    </x:row>
    <x:row r="9409" ht="18" customHeight="1">
      <x:c r="A9409" t="str">
        <x:v>CA-2017-141663</x:v>
      </x:c>
      <x:c r="B9409" s="18" t="n">
        <x:v>42838</x:v>
      </x:c>
      <x:c r="C9409" t="str">
        <x:v>DP-13105</x:v>
      </x:c>
      <x:c r="D9409" t="str">
        <x:v>Dave Poirier</x:v>
      </x:c>
      <x:c r="E9409" t="str">
        <x:v>Corporate</x:v>
      </x:c>
      <x:c r="F9409" t="str">
        <x:v>East</x:v>
      </x:c>
      <x:c r="G9409" t="str">
        <x:v>Office Supplies</x:v>
      </x:c>
      <x:c r="H9409" t="str">
        <x:v>Fasteners</x:v>
      </x:c>
      <x:c r="I9409" s="22" t="n">
        <x:v>7.92</x:v>
      </x:c>
      <x:c r="J9409" s="24" t="n">
        <x:v>5</x:v>
      </x:c>
      <x:c r="K9409" s="26" t="n">
        <x:v>0.2</x:v>
      </x:c>
      <x:c r="L9409" s="22" t="n">
        <x:v>1.6829999999999994</x:v>
      </x:c>
      <x:c r="M9409" t="n">
        <x:v>2017</x:v>
      </x:c>
      <x:c r="N9409" s="20" t="n">
        <x:v>42826</x:v>
      </x:c>
    </x:row>
    <x:row r="9410" ht="18" customHeight="1">
      <x:c r="A9410" t="str">
        <x:v>CA-2014-152618</x:v>
      </x:c>
      <x:c r="B9410" s="18" t="n">
        <x:v>41712</x:v>
      </x:c>
      <x:c r="C9410" t="str">
        <x:v>RB-19465</x:v>
      </x:c>
      <x:c r="D9410" t="str">
        <x:v>Rick Bensley</x:v>
      </x:c>
      <x:c r="E9410" t="str">
        <x:v>Home Office</x:v>
      </x:c>
      <x:c r="F9410" t="str">
        <x:v>Central</x:v>
      </x:c>
      <x:c r="G9410" t="str">
        <x:v>Technology</x:v>
      </x:c>
      <x:c r="H9410" t="str">
        <x:v>Machines</x:v>
      </x:c>
      <x:c r="I9410" s="22" t="n">
        <x:v>574.91</x:v>
      </x:c>
      <x:c r="J9410" s="24" t="n">
        <x:v>2</x:v>
      </x:c>
      <x:c r="K9410" s="26" t="n">
        <x:v>0.3</x:v>
      </x:c>
      <x:c r="L9410" s="22" t="n">
        <x:v>156.04699999999997</x:v>
      </x:c>
      <x:c r="M9410" t="n">
        <x:v>2014</x:v>
      </x:c>
      <x:c r="N9410" s="20" t="n">
        <x:v>41699</x:v>
      </x:c>
    </x:row>
    <x:row r="9411" ht="18" customHeight="1">
      <x:c r="A9411" t="str">
        <x:v>CA-2014-152618</x:v>
      </x:c>
      <x:c r="B9411" s="18" t="n">
        <x:v>41712</x:v>
      </x:c>
      <x:c r="C9411" t="str">
        <x:v>RB-19465</x:v>
      </x:c>
      <x:c r="D9411" t="str">
        <x:v>Rick Bensley</x:v>
      </x:c>
      <x:c r="E9411" t="str">
        <x:v>Home Office</x:v>
      </x:c>
      <x:c r="F9411" t="str">
        <x:v>Central</x:v>
      </x:c>
      <x:c r="G9411" t="str">
        <x:v>Office Supplies</x:v>
      </x:c>
      <x:c r="H9411" t="str">
        <x:v>Paper</x:v>
      </x:c>
      <x:c r="I9411" s="22" t="n">
        <x:v>8.448</x:v>
      </x:c>
      <x:c r="J9411" s="24" t="n">
        <x:v>2</x:v>
      </x:c>
      <x:c r="K9411" s="26" t="n">
        <x:v>0.2</x:v>
      </x:c>
      <x:c r="L9411" s="22" t="n">
        <x:v>2.6399999999999997</x:v>
      </x:c>
      <x:c r="M9411" t="n">
        <x:v>2014</x:v>
      </x:c>
      <x:c r="N9411" s="20" t="n">
        <x:v>41699</x:v>
      </x:c>
    </x:row>
    <x:row r="9412" ht="18" customHeight="1">
      <x:c r="A9412" t="str">
        <x:v>CA-2017-162789</x:v>
      </x:c>
      <x:c r="B9412" s="18" t="n">
        <x:v>43000</x:v>
      </x:c>
      <x:c r="C9412" t="str">
        <x:v>LC-17140</x:v>
      </x:c>
      <x:c r="D9412" t="str">
        <x:v>Logan Currie</x:v>
      </x:c>
      <x:c r="E9412" t="str">
        <x:v>Consumer</x:v>
      </x:c>
      <x:c r="F9412" t="str">
        <x:v>East</x:v>
      </x:c>
      <x:c r="G9412" t="str">
        <x:v>Technology</x:v>
      </x:c>
      <x:c r="H9412" t="str">
        <x:v>Accessories</x:v>
      </x:c>
      <x:c r="I9412" s="22" t="n">
        <x:v>1071</x:v>
      </x:c>
      <x:c r="J9412" s="24" t="n">
        <x:v>9</x:v>
      </x:c>
      <x:c r="K9412" s="26" t="n">
        <x:v>0</x:v>
      </x:c>
      <x:c r="L9412" s="22" t="n">
        <x:v>171.36000000000007</x:v>
      </x:c>
      <x:c r="M9412" t="n">
        <x:v>2017</x:v>
      </x:c>
      <x:c r="N9412" s="20" t="n">
        <x:v>42979</x:v>
      </x:c>
    </x:row>
    <x:row r="9413" ht="18" customHeight="1">
      <x:c r="A9413" t="str">
        <x:v>CA-2017-162789</x:v>
      </x:c>
      <x:c r="B9413" s="18" t="n">
        <x:v>43000</x:v>
      </x:c>
      <x:c r="C9413" t="str">
        <x:v>LC-17140</x:v>
      </x:c>
      <x:c r="D9413" t="str">
        <x:v>Logan Currie</x:v>
      </x:c>
      <x:c r="E9413" t="str">
        <x:v>Consumer</x:v>
      </x:c>
      <x:c r="F9413" t="str">
        <x:v>East</x:v>
      </x:c>
      <x:c r="G9413" t="str">
        <x:v>Furniture</x:v>
      </x:c>
      <x:c r="H9413" t="str">
        <x:v>Furnishings</x:v>
      </x:c>
      <x:c r="I9413" s="22" t="n">
        <x:v>12.07</x:v>
      </x:c>
      <x:c r="J9413" s="24" t="n">
        <x:v>1</x:v>
      </x:c>
      <x:c r="K9413" s="26" t="n">
        <x:v>0</x:v>
      </x:c>
      <x:c r="L9413" s="22" t="n">
        <x:v>3.9831000000000003</x:v>
      </x:c>
      <x:c r="M9413" t="n">
        <x:v>2017</x:v>
      </x:c>
      <x:c r="N9413" s="20" t="n">
        <x:v>42979</x:v>
      </x:c>
    </x:row>
    <x:row r="9414" ht="18" customHeight="1">
      <x:c r="A9414" t="str">
        <x:v>US-2017-110149</x:v>
      </x:c>
      <x:c r="B9414" s="18" t="n">
        <x:v>43079</x:v>
      </x:c>
      <x:c r="C9414" t="str">
        <x:v>WB-21850</x:v>
      </x:c>
      <x:c r="D9414" t="str">
        <x:v>William Brown</x:v>
      </x:c>
      <x:c r="E9414" t="str">
        <x:v>Consumer</x:v>
      </x:c>
      <x:c r="F9414" t="str">
        <x:v>East</x:v>
      </x:c>
      <x:c r="G9414" t="str">
        <x:v>Office Supplies</x:v>
      </x:c>
      <x:c r="H9414" t="str">
        <x:v>Binders</x:v>
      </x:c>
      <x:c r="I9414" s="22" t="n">
        <x:v>3.2730000000000006</x:v>
      </x:c>
      <x:c r="J9414" s="24" t="n">
        <x:v>1</x:v>
      </x:c>
      <x:c r="K9414" s="26" t="n">
        <x:v>0.7</x:v>
      </x:c>
      <x:c r="L9414" s="22" t="n">
        <x:v>-2.5092999999999996</x:v>
      </x:c>
      <x:c r="M9414" t="n">
        <x:v>2017</x:v>
      </x:c>
      <x:c r="N9414" s="20" t="n">
        <x:v>43070</x:v>
      </x:c>
    </x:row>
    <x:row r="9415" ht="18" customHeight="1">
      <x:c r="A9415" t="str">
        <x:v>US-2017-110149</x:v>
      </x:c>
      <x:c r="B9415" s="18" t="n">
        <x:v>43079</x:v>
      </x:c>
      <x:c r="C9415" t="str">
        <x:v>WB-21850</x:v>
      </x:c>
      <x:c r="D9415" t="str">
        <x:v>William Brown</x:v>
      </x:c>
      <x:c r="E9415" t="str">
        <x:v>Consumer</x:v>
      </x:c>
      <x:c r="F9415" t="str">
        <x:v>East</x:v>
      </x:c>
      <x:c r="G9415" t="str">
        <x:v>Furniture</x:v>
      </x:c>
      <x:c r="H9415" t="str">
        <x:v>Furnishings</x:v>
      </x:c>
      <x:c r="I9415" s="22" t="n">
        <x:v>87.92</x:v>
      </x:c>
      <x:c r="J9415" s="24" t="n">
        <x:v>5</x:v>
      </x:c>
      <x:c r="K9415" s="26" t="n">
        <x:v>0.2</x:v>
      </x:c>
      <x:c r="L9415" s="22" t="n">
        <x:v>15.386</x:v>
      </x:c>
      <x:c r="M9415" t="n">
        <x:v>2017</x:v>
      </x:c>
      <x:c r="N9415" s="20" t="n">
        <x:v>43070</x:v>
      </x:c>
    </x:row>
    <x:row r="9416" ht="18" customHeight="1">
      <x:c r="A9416" t="str">
        <x:v>CA-2016-108959</x:v>
      </x:c>
      <x:c r="B9416" s="18" t="n">
        <x:v>42439</x:v>
      </x:c>
      <x:c r="C9416" t="str">
        <x:v>MH-17785</x:v>
      </x:c>
      <x:c r="D9416" t="str">
        <x:v>Maya Herman</x:v>
      </x:c>
      <x:c r="E9416" t="str">
        <x:v>Corporate</x:v>
      </x:c>
      <x:c r="F9416" t="str">
        <x:v>West</x:v>
      </x:c>
      <x:c r="G9416" t="str">
        <x:v>Office Supplies</x:v>
      </x:c>
      <x:c r="H9416" t="str">
        <x:v>Storage</x:v>
      </x:c>
      <x:c r="I9416" s="22" t="n">
        <x:v>104.69600000000001</x:v>
      </x:c>
      <x:c r="J9416" s="24" t="n">
        <x:v>1</x:v>
      </x:c>
      <x:c r="K9416" s="26" t="n">
        <x:v>0.2</x:v>
      </x:c>
      <x:c r="L9416" s="22" t="n">
        <x:v>6.543499999999998</x:v>
      </x:c>
      <x:c r="M9416" t="n">
        <x:v>2016</x:v>
      </x:c>
      <x:c r="N9416" s="20" t="n">
        <x:v>42430</x:v>
      </x:c>
    </x:row>
    <x:row r="9417" ht="18" customHeight="1">
      <x:c r="A9417" t="str">
        <x:v>CA-2015-164777</x:v>
      </x:c>
      <x:c r="B9417" s="18" t="n">
        <x:v>42031</x:v>
      </x:c>
      <x:c r="C9417" t="str">
        <x:v>SC-20305</x:v>
      </x:c>
      <x:c r="D9417" t="str">
        <x:v>Sean Christensen</x:v>
      </x:c>
      <x:c r="E9417" t="str">
        <x:v>Consumer</x:v>
      </x:c>
      <x:c r="F9417" t="str">
        <x:v>West</x:v>
      </x:c>
      <x:c r="G9417" t="str">
        <x:v>Furniture</x:v>
      </x:c>
      <x:c r="H9417" t="str">
        <x:v>Chairs</x:v>
      </x:c>
      <x:c r="I9417" s="22" t="n">
        <x:v>2803.92</x:v>
      </x:c>
      <x:c r="J9417" s="24" t="n">
        <x:v>5</x:v>
      </x:c>
      <x:c r="K9417" s="26" t="n">
        <x:v>0.2</x:v>
      </x:c>
      <x:c r="L9417" s="22" t="n">
        <x:v>0</x:v>
      </x:c>
      <x:c r="M9417" t="n">
        <x:v>2015</x:v>
      </x:c>
      <x:c r="N9417" s="20" t="n">
        <x:v>42005</x:v>
      </x:c>
    </x:row>
    <x:row r="9418" ht="18" customHeight="1">
      <x:c r="A9418" t="str">
        <x:v>CA-2016-132017</x:v>
      </x:c>
      <x:c r="B9418" s="18" t="n">
        <x:v>42639</x:v>
      </x:c>
      <x:c r="C9418" t="str">
        <x:v>MH-17620</x:v>
      </x:c>
      <x:c r="D9418" t="str">
        <x:v>Matt Hagelstein</x:v>
      </x:c>
      <x:c r="E9418" t="str">
        <x:v>Corporate</x:v>
      </x:c>
      <x:c r="F9418" t="str">
        <x:v>Central</x:v>
      </x:c>
      <x:c r="G9418" t="str">
        <x:v>Office Supplies</x:v>
      </x:c>
      <x:c r="H9418" t="str">
        <x:v>Binders</x:v>
      </x:c>
      <x:c r="I9418" s="22" t="n">
        <x:v>6.815999999999998</x:v>
      </x:c>
      <x:c r="J9418" s="24" t="n">
        <x:v>2</x:v>
      </x:c>
      <x:c r="K9418" s="26" t="n">
        <x:v>0.8</x:v>
      </x:c>
      <x:c r="L9418" s="22" t="n">
        <x:v>-11.587200000000003</x:v>
      </x:c>
      <x:c r="M9418" t="n">
        <x:v>2016</x:v>
      </x:c>
      <x:c r="N9418" s="20" t="n">
        <x:v>42614</x:v>
      </x:c>
    </x:row>
    <x:row r="9419" ht="18" customHeight="1">
      <x:c r="A9419" t="str">
        <x:v>CA-2015-127824</x:v>
      </x:c>
      <x:c r="B9419" s="18" t="n">
        <x:v>42295</x:v>
      </x:c>
      <x:c r="C9419" t="str">
        <x:v>JC-15775</x:v>
      </x:c>
      <x:c r="D9419" t="str">
        <x:v>John Castell</x:v>
      </x:c>
      <x:c r="E9419" t="str">
        <x:v>Consumer</x:v>
      </x:c>
      <x:c r="F9419" t="str">
        <x:v>West</x:v>
      </x:c>
      <x:c r="G9419" t="str">
        <x:v>Technology</x:v>
      </x:c>
      <x:c r="H9419" t="str">
        <x:v>Phones</x:v>
      </x:c>
      <x:c r="I9419" s="22" t="n">
        <x:v>249.58400000000003</x:v>
      </x:c>
      <x:c r="J9419" s="24" t="n">
        <x:v>2</x:v>
      </x:c>
      <x:c r="K9419" s="26" t="n">
        <x:v>0.2</x:v>
      </x:c>
      <x:c r="L9419" s="22" t="n">
        <x:v>15.598999999999997</x:v>
      </x:c>
      <x:c r="M9419" t="n">
        <x:v>2015</x:v>
      </x:c>
      <x:c r="N9419" s="20" t="n">
        <x:v>42278</x:v>
      </x:c>
    </x:row>
    <x:row r="9420" ht="18" customHeight="1">
      <x:c r="A9420" t="str">
        <x:v>CA-2015-127824</x:v>
      </x:c>
      <x:c r="B9420" s="18" t="n">
        <x:v>42295</x:v>
      </x:c>
      <x:c r="C9420" t="str">
        <x:v>JC-15775</x:v>
      </x:c>
      <x:c r="D9420" t="str">
        <x:v>John Castell</x:v>
      </x:c>
      <x:c r="E9420" t="str">
        <x:v>Consumer</x:v>
      </x:c>
      <x:c r="F9420" t="str">
        <x:v>West</x:v>
      </x:c>
      <x:c r="G9420" t="str">
        <x:v>Office Supplies</x:v>
      </x:c>
      <x:c r="H9420" t="str">
        <x:v>Paper</x:v>
      </x:c>
      <x:c r="I9420" s="22" t="n">
        <x:v>17.94</x:v>
      </x:c>
      <x:c r="J9420" s="24" t="n">
        <x:v>3</x:v>
      </x:c>
      <x:c r="K9420" s="26" t="n">
        <x:v>0</x:v>
      </x:c>
      <x:c r="L9420" s="22" t="n">
        <x:v>8.790600000000001</x:v>
      </x:c>
      <x:c r="M9420" t="n">
        <x:v>2015</x:v>
      </x:c>
      <x:c r="N9420" s="20" t="n">
        <x:v>42278</x:v>
      </x:c>
    </x:row>
    <x:row r="9421" ht="18" customHeight="1">
      <x:c r="A9421" t="str">
        <x:v>CA-2015-127824</x:v>
      </x:c>
      <x:c r="B9421" s="18" t="n">
        <x:v>42295</x:v>
      </x:c>
      <x:c r="C9421" t="str">
        <x:v>JC-15775</x:v>
      </x:c>
      <x:c r="D9421" t="str">
        <x:v>John Castell</x:v>
      </x:c>
      <x:c r="E9421" t="str">
        <x:v>Consumer</x:v>
      </x:c>
      <x:c r="F9421" t="str">
        <x:v>West</x:v>
      </x:c>
      <x:c r="G9421" t="str">
        <x:v>Furniture</x:v>
      </x:c>
      <x:c r="H9421" t="str">
        <x:v>Furnishings</x:v>
      </x:c>
      <x:c r="I9421" s="22" t="n">
        <x:v>10.11</x:v>
      </x:c>
      <x:c r="J9421" s="24" t="n">
        <x:v>3</x:v>
      </x:c>
      <x:c r="K9421" s="26" t="n">
        <x:v>0</x:v>
      </x:c>
      <x:c r="L9421" s="22" t="n">
        <x:v>3.2351999999999994</x:v>
      </x:c>
      <x:c r="M9421" t="n">
        <x:v>2015</x:v>
      </x:c>
      <x:c r="N9421" s="20" t="n">
        <x:v>42278</x:v>
      </x:c>
    </x:row>
    <x:row r="9422" ht="18" customHeight="1">
      <x:c r="A9422" t="str">
        <x:v>CA-2014-148285</x:v>
      </x:c>
      <x:c r="B9422" s="18" t="n">
        <x:v>41939</x:v>
      </x:c>
      <x:c r="C9422" t="str">
        <x:v>RD-19810</x:v>
      </x:c>
      <x:c r="D9422" t="str">
        <x:v>Ross DeVincentis</x:v>
      </x:c>
      <x:c r="E9422" t="str">
        <x:v>Home Office</x:v>
      </x:c>
      <x:c r="F9422" t="str">
        <x:v>South</x:v>
      </x:c>
      <x:c r="G9422" t="str">
        <x:v>Office Supplies</x:v>
      </x:c>
      <x:c r="H9422" t="str">
        <x:v>Paper</x:v>
      </x:c>
      <x:c r="I9422" s="22" t="n">
        <x:v>10.368000000000002</x:v>
      </x:c>
      <x:c r="J9422" s="24" t="n">
        <x:v>2</x:v>
      </x:c>
      <x:c r="K9422" s="26" t="n">
        <x:v>0.2</x:v>
      </x:c>
      <x:c r="L9422" s="22" t="n">
        <x:v>3.6288</x:v>
      </x:c>
      <x:c r="M9422" t="n">
        <x:v>2014</x:v>
      </x:c>
      <x:c r="N9422" s="20" t="n">
        <x:v>41913</x:v>
      </x:c>
    </x:row>
    <x:row r="9423" ht="18" customHeight="1">
      <x:c r="A9423" t="str">
        <x:v>CA-2014-148285</x:v>
      </x:c>
      <x:c r="B9423" s="18" t="n">
        <x:v>41939</x:v>
      </x:c>
      <x:c r="C9423" t="str">
        <x:v>RD-19810</x:v>
      </x:c>
      <x:c r="D9423" t="str">
        <x:v>Ross DeVincentis</x:v>
      </x:c>
      <x:c r="E9423" t="str">
        <x:v>Home Office</x:v>
      </x:c>
      <x:c r="F9423" t="str">
        <x:v>South</x:v>
      </x:c>
      <x:c r="G9423" t="str">
        <x:v>Office Supplies</x:v>
      </x:c>
      <x:c r="H9423" t="str">
        <x:v>Paper</x:v>
      </x:c>
      <x:c r="I9423" s="22" t="n">
        <x:v>11.952000000000002</x:v>
      </x:c>
      <x:c r="J9423" s="24" t="n">
        <x:v>3</x:v>
      </x:c>
      <x:c r="K9423" s="26" t="n">
        <x:v>0.2</x:v>
      </x:c>
      <x:c r="L9423" s="22" t="n">
        <x:v>4.0338</x:v>
      </x:c>
      <x:c r="M9423" t="n">
        <x:v>2014</x:v>
      </x:c>
      <x:c r="N9423" s="20" t="n">
        <x:v>41913</x:v>
      </x:c>
    </x:row>
    <x:row r="9424" ht="18" customHeight="1">
      <x:c r="A9424" t="str">
        <x:v>CA-2017-152926</x:v>
      </x:c>
      <x:c r="B9424" s="18" t="n">
        <x:v>43010</x:v>
      </x:c>
      <x:c r="C9424" t="str">
        <x:v>SC-20695</x:v>
      </x:c>
      <x:c r="D9424" t="str">
        <x:v>Steve Chapman</x:v>
      </x:c>
      <x:c r="E9424" t="str">
        <x:v>Corporate</x:v>
      </x:c>
      <x:c r="F9424" t="str">
        <x:v>Central</x:v>
      </x:c>
      <x:c r="G9424" t="str">
        <x:v>Office Supplies</x:v>
      </x:c>
      <x:c r="H9424" t="str">
        <x:v>Appliances</x:v>
      </x:c>
      <x:c r="I9424" s="22" t="n">
        <x:v>15.223999999999997</x:v>
      </x:c>
      <x:c r="J9424" s="24" t="n">
        <x:v>2</x:v>
      </x:c>
      <x:c r="K9424" s="26" t="n">
        <x:v>0.8</x:v>
      </x:c>
      <x:c r="L9424" s="22" t="n">
        <x:v>-38.82120000000001</x:v>
      </x:c>
      <x:c r="M9424" t="n">
        <x:v>2017</x:v>
      </x:c>
      <x:c r="N9424" s="20" t="n">
        <x:v>43009</x:v>
      </x:c>
    </x:row>
    <x:row r="9425" ht="18" customHeight="1">
      <x:c r="A9425" t="str">
        <x:v>CA-2017-152926</x:v>
      </x:c>
      <x:c r="B9425" s="18" t="n">
        <x:v>43010</x:v>
      </x:c>
      <x:c r="C9425" t="str">
        <x:v>SC-20695</x:v>
      </x:c>
      <x:c r="D9425" t="str">
        <x:v>Steve Chapman</x:v>
      </x:c>
      <x:c r="E9425" t="str">
        <x:v>Corporate</x:v>
      </x:c>
      <x:c r="F9425" t="str">
        <x:v>Central</x:v>
      </x:c>
      <x:c r="G9425" t="str">
        <x:v>Office Supplies</x:v>
      </x:c>
      <x:c r="H9425" t="str">
        <x:v>Appliances</x:v>
      </x:c>
      <x:c r="I9425" s="22" t="n">
        <x:v>21.983999999999995</x:v>
      </x:c>
      <x:c r="J9425" s="24" t="n">
        <x:v>6</x:v>
      </x:c>
      <x:c r="K9425" s="26" t="n">
        <x:v>0.8</x:v>
      </x:c>
      <x:c r="L9425" s="22" t="n">
        <x:v>-56.05920000000001</x:v>
      </x:c>
      <x:c r="M9425" t="n">
        <x:v>2017</x:v>
      </x:c>
      <x:c r="N9425" s="20" t="n">
        <x:v>43009</x:v>
      </x:c>
    </x:row>
    <x:row r="9426" ht="18" customHeight="1">
      <x:c r="A9426" t="str">
        <x:v>CA-2014-145254</x:v>
      </x:c>
      <x:c r="B9426" s="18" t="n">
        <x:v>41843</x:v>
      </x:c>
      <x:c r="C9426" t="str">
        <x:v>NC-18535</x:v>
      </x:c>
      <x:c r="D9426" t="str">
        <x:v>Nick Crebassa</x:v>
      </x:c>
      <x:c r="E9426" t="str">
        <x:v>Corporate</x:v>
      </x:c>
      <x:c r="F9426" t="str">
        <x:v>West</x:v>
      </x:c>
      <x:c r="G9426" t="str">
        <x:v>Technology</x:v>
      </x:c>
      <x:c r="H9426" t="str">
        <x:v>Phones</x:v>
      </x:c>
      <x:c r="I9426" s="22" t="n">
        <x:v>604.752</x:v>
      </x:c>
      <x:c r="J9426" s="24" t="n">
        <x:v>6</x:v>
      </x:c>
      <x:c r="K9426" s="26" t="n">
        <x:v>0.2</x:v>
      </x:c>
      <x:c r="L9426" s="22" t="n">
        <x:v>60.47520000000006</x:v>
      </x:c>
      <x:c r="M9426" t="n">
        <x:v>2014</x:v>
      </x:c>
      <x:c r="N9426" s="20" t="n">
        <x:v>41821</x:v>
      </x:c>
    </x:row>
    <x:row r="9427" ht="18" customHeight="1">
      <x:c r="A9427" t="str">
        <x:v>CA-2014-145254</x:v>
      </x:c>
      <x:c r="B9427" s="18" t="n">
        <x:v>41843</x:v>
      </x:c>
      <x:c r="C9427" t="str">
        <x:v>NC-18535</x:v>
      </x:c>
      <x:c r="D9427" t="str">
        <x:v>Nick Crebassa</x:v>
      </x:c>
      <x:c r="E9427" t="str">
        <x:v>Corporate</x:v>
      </x:c>
      <x:c r="F9427" t="str">
        <x:v>West</x:v>
      </x:c>
      <x:c r="G9427" t="str">
        <x:v>Office Supplies</x:v>
      </x:c>
      <x:c r="H9427" t="str">
        <x:v>Supplies</x:v>
      </x:c>
      <x:c r="I9427" s="22" t="n">
        <x:v>40.7</x:v>
      </x:c>
      <x:c r="J9427" s="24" t="n">
        <x:v>5</x:v>
      </x:c>
      <x:c r="K9427" s="26" t="n">
        <x:v>0</x:v>
      </x:c>
      <x:c r="L9427" s="22" t="n">
        <x:v>11.802999999999999</x:v>
      </x:c>
      <x:c r="M9427" t="n">
        <x:v>2014</x:v>
      </x:c>
      <x:c r="N9427" s="20" t="n">
        <x:v>41821</x:v>
      </x:c>
    </x:row>
    <x:row r="9428" ht="18" customHeight="1">
      <x:c r="A9428" t="str">
        <x:v>CA-2014-145254</x:v>
      </x:c>
      <x:c r="B9428" s="18" t="n">
        <x:v>41843</x:v>
      </x:c>
      <x:c r="C9428" t="str">
        <x:v>NC-18535</x:v>
      </x:c>
      <x:c r="D9428" t="str">
        <x:v>Nick Crebassa</x:v>
      </x:c>
      <x:c r="E9428" t="str">
        <x:v>Corporate</x:v>
      </x:c>
      <x:c r="F9428" t="str">
        <x:v>West</x:v>
      </x:c>
      <x:c r="G9428" t="str">
        <x:v>Technology</x:v>
      </x:c>
      <x:c r="H9428" t="str">
        <x:v>Phones</x:v>
      </x:c>
      <x:c r="I9428" s="22" t="n">
        <x:v>302.376</x:v>
      </x:c>
      <x:c r="J9428" s="24" t="n">
        <x:v>3</x:v>
      </x:c>
      <x:c r="K9428" s="26" t="n">
        <x:v>0.2</x:v>
      </x:c>
      <x:c r="L9428" s="22" t="n">
        <x:v>37.797</x:v>
      </x:c>
      <x:c r="M9428" t="n">
        <x:v>2014</x:v>
      </x:c>
      <x:c r="N9428" s="20" t="n">
        <x:v>41821</x:v>
      </x:c>
    </x:row>
    <x:row r="9429" ht="18" customHeight="1">
      <x:c r="A9429" t="str">
        <x:v>CA-2014-145254</x:v>
      </x:c>
      <x:c r="B9429" s="18" t="n">
        <x:v>41843</x:v>
      </x:c>
      <x:c r="C9429" t="str">
        <x:v>NC-18535</x:v>
      </x:c>
      <x:c r="D9429" t="str">
        <x:v>Nick Crebassa</x:v>
      </x:c>
      <x:c r="E9429" t="str">
        <x:v>Corporate</x:v>
      </x:c>
      <x:c r="F9429" t="str">
        <x:v>West</x:v>
      </x:c>
      <x:c r="G9429" t="str">
        <x:v>Technology</x:v>
      </x:c>
      <x:c r="H9429" t="str">
        <x:v>Accessories</x:v>
      </x:c>
      <x:c r="I9429" s="22" t="n">
        <x:v>45</x:v>
      </x:c>
      <x:c r="J9429" s="24" t="n">
        <x:v>3</x:v>
      </x:c>
      <x:c r="K9429" s="26" t="n">
        <x:v>0</x:v>
      </x:c>
      <x:c r="L9429" s="22" t="n">
        <x:v>4.950000000000001</x:v>
      </x:c>
      <x:c r="M9429" t="n">
        <x:v>2014</x:v>
      </x:c>
      <x:c r="N9429" s="20" t="n">
        <x:v>41821</x:v>
      </x:c>
    </x:row>
    <x:row r="9430" ht="18" customHeight="1">
      <x:c r="A9430" t="str">
        <x:v>CA-2014-116246</x:v>
      </x:c>
      <x:c r="B9430" s="18" t="n">
        <x:v>41894</x:v>
      </x:c>
      <x:c r="C9430" t="str">
        <x:v>LW-17215</x:v>
      </x:c>
      <x:c r="D9430" t="str">
        <x:v>Luke Weiss</x:v>
      </x:c>
      <x:c r="E9430" t="str">
        <x:v>Consumer</x:v>
      </x:c>
      <x:c r="F9430" t="str">
        <x:v>East</x:v>
      </x:c>
      <x:c r="G9430" t="str">
        <x:v>Furniture</x:v>
      </x:c>
      <x:c r="H9430" t="str">
        <x:v>Chairs</x:v>
      </x:c>
      <x:c r="I9430" s="22" t="n">
        <x:v>3785.2920000000004</x:v>
      </x:c>
      <x:c r="J9430" s="24" t="n">
        <x:v>6</x:v>
      </x:c>
      <x:c r="K9430" s="26" t="n">
        <x:v>0.1</x:v>
      </x:c>
      <x:c r="L9430" s="22" t="n">
        <x:v>420.5880000000002</x:v>
      </x:c>
      <x:c r="M9430" t="n">
        <x:v>2014</x:v>
      </x:c>
      <x:c r="N9430" s="20" t="n">
        <x:v>41883</x:v>
      </x:c>
    </x:row>
    <x:row r="9431" ht="18" customHeight="1">
      <x:c r="A9431" t="str">
        <x:v>CA-2016-160479</x:v>
      </x:c>
      <x:c r="B9431" s="18" t="n">
        <x:v>42628</x:v>
      </x:c>
      <x:c r="C9431" t="str">
        <x:v>AH-10585</x:v>
      </x:c>
      <x:c r="D9431" t="str">
        <x:v>Angele Hood</x:v>
      </x:c>
      <x:c r="E9431" t="str">
        <x:v>Consumer</x:v>
      </x:c>
      <x:c r="F9431" t="str">
        <x:v>West</x:v>
      </x:c>
      <x:c r="G9431" t="str">
        <x:v>Office Supplies</x:v>
      </x:c>
      <x:c r="H9431" t="str">
        <x:v>Art</x:v>
      </x:c>
      <x:c r="I9431" s="22" t="n">
        <x:v>35.4</x:v>
      </x:c>
      <x:c r="J9431" s="24" t="n">
        <x:v>5</x:v>
      </x:c>
      <x:c r="K9431" s="26" t="n">
        <x:v>0</x:v>
      </x:c>
      <x:c r="L9431" s="22" t="n">
        <x:v>13.452000000000002</x:v>
      </x:c>
      <x:c r="M9431" t="n">
        <x:v>2016</x:v>
      </x:c>
      <x:c r="N9431" s="20" t="n">
        <x:v>42614</x:v>
      </x:c>
    </x:row>
    <x:row r="9432" ht="18" customHeight="1">
      <x:c r="A9432" t="str">
        <x:v>CA-2014-167486</x:v>
      </x:c>
      <x:c r="B9432" s="18" t="n">
        <x:v>41970</x:v>
      </x:c>
      <x:c r="C9432" t="str">
        <x:v>JO-15145</x:v>
      </x:c>
      <x:c r="D9432" t="str">
        <x:v>Jack O'Briant</x:v>
      </x:c>
      <x:c r="E9432" t="str">
        <x:v>Corporate</x:v>
      </x:c>
      <x:c r="F9432" t="str">
        <x:v>East</x:v>
      </x:c>
      <x:c r="G9432" t="str">
        <x:v>Furniture</x:v>
      </x:c>
      <x:c r="H9432" t="str">
        <x:v>Furnishings</x:v>
      </x:c>
      <x:c r="I9432" s="22" t="n">
        <x:v>199.89999999999998</x:v>
      </x:c>
      <x:c r="J9432" s="24" t="n">
        <x:v>5</x:v>
      </x:c>
      <x:c r="K9432" s="26" t="n">
        <x:v>0</x:v>
      </x:c>
      <x:c r="L9432" s="22" t="n">
        <x:v>39.97999999999999</x:v>
      </x:c>
      <x:c r="M9432" t="n">
        <x:v>2014</x:v>
      </x:c>
      <x:c r="N9432" s="20" t="n">
        <x:v>41944</x:v>
      </x:c>
    </x:row>
    <x:row r="9433" ht="18" customHeight="1">
      <x:c r="A9433" t="str">
        <x:v>CA-2014-152100</x:v>
      </x:c>
      <x:c r="B9433" s="18" t="n">
        <x:v>41770</x:v>
      </x:c>
      <x:c r="C9433" t="str">
        <x:v>VW-21775</x:v>
      </x:c>
      <x:c r="D9433" t="str">
        <x:v>Victoria Wilson</x:v>
      </x:c>
      <x:c r="E9433" t="str">
        <x:v>Corporate</x:v>
      </x:c>
      <x:c r="F9433" t="str">
        <x:v>Central</x:v>
      </x:c>
      <x:c r="G9433" t="str">
        <x:v>Furniture</x:v>
      </x:c>
      <x:c r="H9433" t="str">
        <x:v>Chairs</x:v>
      </x:c>
      <x:c r="I9433" s="22" t="n">
        <x:v>1212.9599999999998</x:v>
      </x:c>
      <x:c r="J9433" s="24" t="n">
        <x:v>8</x:v>
      </x:c>
      <x:c r="K9433" s="26" t="n">
        <x:v>0.3</x:v>
      </x:c>
      <x:c r="L9433" s="22" t="n">
        <x:v>-69.3119999999999</x:v>
      </x:c>
      <x:c r="M9433" t="n">
        <x:v>2014</x:v>
      </x:c>
      <x:c r="N9433" s="20" t="n">
        <x:v>41760</x:v>
      </x:c>
    </x:row>
    <x:row r="9434" ht="18" customHeight="1">
      <x:c r="A9434" t="str">
        <x:v>CA-2015-166219</x:v>
      </x:c>
      <x:c r="B9434" s="18" t="n">
        <x:v>42244</x:v>
      </x:c>
      <x:c r="C9434" t="str">
        <x:v>BP-11185</x:v>
      </x:c>
      <x:c r="D9434" t="str">
        <x:v>Ben Peterman</x:v>
      </x:c>
      <x:c r="E9434" t="str">
        <x:v>Corporate</x:v>
      </x:c>
      <x:c r="F9434" t="str">
        <x:v>Central</x:v>
      </x:c>
      <x:c r="G9434" t="str">
        <x:v>Technology</x:v>
      </x:c>
      <x:c r="H9434" t="str">
        <x:v>Phones</x:v>
      </x:c>
      <x:c r="I9434" s="22" t="n">
        <x:v>1099.96</x:v>
      </x:c>
      <x:c r="J9434" s="24" t="n">
        <x:v>5</x:v>
      </x:c>
      <x:c r="K9434" s="26" t="n">
        <x:v>0.2</x:v>
      </x:c>
      <x:c r="L9434" s="22" t="n">
        <x:v>82.49699999999996</x:v>
      </x:c>
      <x:c r="M9434" t="n">
        <x:v>2015</x:v>
      </x:c>
      <x:c r="N9434" s="20" t="n">
        <x:v>42217</x:v>
      </x:c>
    </x:row>
    <x:row r="9435" ht="18" customHeight="1">
      <x:c r="A9435" t="str">
        <x:v>CA-2015-166219</x:v>
      </x:c>
      <x:c r="B9435" s="18" t="n">
        <x:v>42244</x:v>
      </x:c>
      <x:c r="C9435" t="str">
        <x:v>BP-11185</x:v>
      </x:c>
      <x:c r="D9435" t="str">
        <x:v>Ben Peterman</x:v>
      </x:c>
      <x:c r="E9435" t="str">
        <x:v>Corporate</x:v>
      </x:c>
      <x:c r="F9435" t="str">
        <x:v>Central</x:v>
      </x:c>
      <x:c r="G9435" t="str">
        <x:v>Furniture</x:v>
      </x:c>
      <x:c r="H9435" t="str">
        <x:v>Tables</x:v>
      </x:c>
      <x:c r="I9435" s="22" t="n">
        <x:v>103.48100000000001</x:v>
      </x:c>
      <x:c r="J9435" s="24" t="n">
        <x:v>1</x:v>
      </x:c>
      <x:c r="K9435" s="26" t="n">
        <x:v>0.3</x:v>
      </x:c>
      <x:c r="L9435" s="22" t="n">
        <x:v>-16.261300000000006</x:v>
      </x:c>
      <x:c r="M9435" t="n">
        <x:v>2015</x:v>
      </x:c>
      <x:c r="N9435" s="20" t="n">
        <x:v>42217</x:v>
      </x:c>
    </x:row>
    <x:row r="9436" ht="18" customHeight="1">
      <x:c r="A9436" t="str">
        <x:v>CA-2015-111864</x:v>
      </x:c>
      <x:c r="B9436" s="18" t="n">
        <x:v>42174</x:v>
      </x:c>
      <x:c r="C9436" t="str">
        <x:v>PP-18955</x:v>
      </x:c>
      <x:c r="D9436" t="str">
        <x:v>Paul Prost</x:v>
      </x:c>
      <x:c r="E9436" t="str">
        <x:v>Home Office</x:v>
      </x:c>
      <x:c r="F9436" t="str">
        <x:v>East</x:v>
      </x:c>
      <x:c r="G9436" t="str">
        <x:v>Office Supplies</x:v>
      </x:c>
      <x:c r="H9436" t="str">
        <x:v>Labels</x:v>
      </x:c>
      <x:c r="I9436" s="22" t="n">
        <x:v>5.904</x:v>
      </x:c>
      <x:c r="J9436" s="24" t="n">
        <x:v>2</x:v>
      </x:c>
      <x:c r="K9436" s="26" t="n">
        <x:v>0.2</x:v>
      </x:c>
      <x:c r="L9436" s="22" t="n">
        <x:v>1.9926</x:v>
      </x:c>
      <x:c r="M9436" t="n">
        <x:v>2015</x:v>
      </x:c>
      <x:c r="N9436" s="20" t="n">
        <x:v>42156</x:v>
      </x:c>
    </x:row>
    <x:row r="9437" ht="18" customHeight="1">
      <x:c r="A9437" t="str">
        <x:v>CA-2015-119627</x:v>
      </x:c>
      <x:c r="B9437" s="18" t="n">
        <x:v>42233</x:v>
      </x:c>
      <x:c r="C9437" t="str">
        <x:v>SC-20725</x:v>
      </x:c>
      <x:c r="D9437" t="str">
        <x:v>Steven Cartwright</x:v>
      </x:c>
      <x:c r="E9437" t="str">
        <x:v>Consumer</x:v>
      </x:c>
      <x:c r="F9437" t="str">
        <x:v>West</x:v>
      </x:c>
      <x:c r="G9437" t="str">
        <x:v>Technology</x:v>
      </x:c>
      <x:c r="H9437" t="str">
        <x:v>Accessories</x:v>
      </x:c>
      <x:c r="I9437" s="22" t="n">
        <x:v>30.080000000000002</x:v>
      </x:c>
      <x:c r="J9437" s="24" t="n">
        <x:v>2</x:v>
      </x:c>
      <x:c r="K9437" s="26" t="n">
        <x:v>0.2</x:v>
      </x:c>
      <x:c r="L9437" s="22" t="n">
        <x:v>-5.264</x:v>
      </x:c>
      <x:c r="M9437" t="n">
        <x:v>2015</x:v>
      </x:c>
      <x:c r="N9437" s="20" t="n">
        <x:v>42217</x:v>
      </x:c>
    </x:row>
    <x:row r="9438" ht="18" customHeight="1">
      <x:c r="A9438" t="str">
        <x:v>CA-2015-119627</x:v>
      </x:c>
      <x:c r="B9438" s="18" t="n">
        <x:v>42233</x:v>
      </x:c>
      <x:c r="C9438" t="str">
        <x:v>SC-20725</x:v>
      </x:c>
      <x:c r="D9438" t="str">
        <x:v>Steven Cartwright</x:v>
      </x:c>
      <x:c r="E9438" t="str">
        <x:v>Consumer</x:v>
      </x:c>
      <x:c r="F9438" t="str">
        <x:v>West</x:v>
      </x:c>
      <x:c r="G9438" t="str">
        <x:v>Office Supplies</x:v>
      </x:c>
      <x:c r="H9438" t="str">
        <x:v>Paper</x:v>
      </x:c>
      <x:c r="I9438" s="22" t="n">
        <x:v>36.28800000000001</x:v>
      </x:c>
      <x:c r="J9438" s="24" t="n">
        <x:v>7</x:v>
      </x:c>
      <x:c r="K9438" s="26" t="n">
        <x:v>0.2</x:v>
      </x:c>
      <x:c r="L9438" s="22" t="n">
        <x:v>12.700800000000001</x:v>
      </x:c>
      <x:c r="M9438" t="n">
        <x:v>2015</x:v>
      </x:c>
      <x:c r="N9438" s="20" t="n">
        <x:v>42217</x:v>
      </x:c>
    </x:row>
    <x:row r="9439" ht="18" customHeight="1">
      <x:c r="A9439" t="str">
        <x:v>CA-2015-119627</x:v>
      </x:c>
      <x:c r="B9439" s="18" t="n">
        <x:v>42233</x:v>
      </x:c>
      <x:c r="C9439" t="str">
        <x:v>SC-20725</x:v>
      </x:c>
      <x:c r="D9439" t="str">
        <x:v>Steven Cartwright</x:v>
      </x:c>
      <x:c r="E9439" t="str">
        <x:v>Consumer</x:v>
      </x:c>
      <x:c r="F9439" t="str">
        <x:v>West</x:v>
      </x:c>
      <x:c r="G9439" t="str">
        <x:v>Office Supplies</x:v>
      </x:c>
      <x:c r="H9439" t="str">
        <x:v>Art</x:v>
      </x:c>
      <x:c r="I9439" s="22" t="n">
        <x:v>10.272000000000002</x:v>
      </x:c>
      <x:c r="J9439" s="24" t="n">
        <x:v>3</x:v>
      </x:c>
      <x:c r="K9439" s="26" t="n">
        <x:v>0.2</x:v>
      </x:c>
      <x:c r="L9439" s="22" t="n">
        <x:v>1.1555999999999984</x:v>
      </x:c>
      <x:c r="M9439" t="n">
        <x:v>2015</x:v>
      </x:c>
      <x:c r="N9439" s="20" t="n">
        <x:v>42217</x:v>
      </x:c>
    </x:row>
    <x:row r="9440" ht="18" customHeight="1">
      <x:c r="A9440" t="str">
        <x:v>CA-2015-119627</x:v>
      </x:c>
      <x:c r="B9440" s="18" t="n">
        <x:v>42233</x:v>
      </x:c>
      <x:c r="C9440" t="str">
        <x:v>SC-20725</x:v>
      </x:c>
      <x:c r="D9440" t="str">
        <x:v>Steven Cartwright</x:v>
      </x:c>
      <x:c r="E9440" t="str">
        <x:v>Consumer</x:v>
      </x:c>
      <x:c r="F9440" t="str">
        <x:v>West</x:v>
      </x:c>
      <x:c r="G9440" t="str">
        <x:v>Technology</x:v>
      </x:c>
      <x:c r="H9440" t="str">
        <x:v>Accessories</x:v>
      </x:c>
      <x:c r="I9440" s="22" t="n">
        <x:v>252.8</x:v>
      </x:c>
      <x:c r="J9440" s="24" t="n">
        <x:v>4</x:v>
      </x:c>
      <x:c r="K9440" s="26" t="n">
        <x:v>0.2</x:v>
      </x:c>
      <x:c r="L9440" s="22" t="n">
        <x:v>-31.600000000000037</x:v>
      </x:c>
      <x:c r="M9440" t="n">
        <x:v>2015</x:v>
      </x:c>
      <x:c r="N9440" s="20" t="n">
        <x:v>42217</x:v>
      </x:c>
    </x:row>
    <x:row r="9441" ht="18" customHeight="1">
      <x:c r="A9441" t="str">
        <x:v>CA-2015-160787</x:v>
      </x:c>
      <x:c r="B9441" s="18" t="n">
        <x:v>42272</x:v>
      </x:c>
      <x:c r="C9441" t="str">
        <x:v>BM-11785</x:v>
      </x:c>
      <x:c r="D9441" t="str">
        <x:v>Bryan Mills</x:v>
      </x:c>
      <x:c r="E9441" t="str">
        <x:v>Consumer</x:v>
      </x:c>
      <x:c r="F9441" t="str">
        <x:v>East</x:v>
      </x:c>
      <x:c r="G9441" t="str">
        <x:v>Office Supplies</x:v>
      </x:c>
      <x:c r="H9441" t="str">
        <x:v>Binders</x:v>
      </x:c>
      <x:c r="I9441" s="22" t="n">
        <x:v>2.9460000000000006</x:v>
      </x:c>
      <x:c r="J9441" s="24" t="n">
        <x:v>2</x:v>
      </x:c>
      <x:c r="K9441" s="26" t="n">
        <x:v>0.7</x:v>
      </x:c>
      <x:c r="L9441" s="22" t="n">
        <x:v>-2.0622</x:v>
      </x:c>
      <x:c r="M9441" t="n">
        <x:v>2015</x:v>
      </x:c>
      <x:c r="N9441" s="20" t="n">
        <x:v>42248</x:v>
      </x:c>
    </x:row>
    <x:row r="9442" ht="18" customHeight="1">
      <x:c r="A9442" t="str">
        <x:v>CA-2017-107853</x:v>
      </x:c>
      <x:c r="B9442" s="18" t="n">
        <x:v>42881</x:v>
      </x:c>
      <x:c r="C9442" t="str">
        <x:v>CD-11920</x:v>
      </x:c>
      <x:c r="D9442" t="str">
        <x:v>Carlos Daly</x:v>
      </x:c>
      <x:c r="E9442" t="str">
        <x:v>Consumer</x:v>
      </x:c>
      <x:c r="F9442" t="str">
        <x:v>West</x:v>
      </x:c>
      <x:c r="G9442" t="str">
        <x:v>Office Supplies</x:v>
      </x:c>
      <x:c r="H9442" t="str">
        <x:v>Paper</x:v>
      </x:c>
      <x:c r="I9442" s="22" t="n">
        <x:v>12.96</x:v>
      </x:c>
      <x:c r="J9442" s="24" t="n">
        <x:v>2</x:v>
      </x:c>
      <x:c r="K9442" s="26" t="n">
        <x:v>0</x:v>
      </x:c>
      <x:c r="L9442" s="22" t="n">
        <x:v>6.2208000000000006</x:v>
      </x:c>
      <x:c r="M9442" t="n">
        <x:v>2017</x:v>
      </x:c>
      <x:c r="N9442" s="20" t="n">
        <x:v>42856</x:v>
      </x:c>
    </x:row>
    <x:row r="9443" ht="18" customHeight="1">
      <x:c r="A9443" t="str">
        <x:v>CA-2017-126144</x:v>
      </x:c>
      <x:c r="B9443" s="18" t="n">
        <x:v>42947</x:v>
      </x:c>
      <x:c r="C9443" t="str">
        <x:v>GM-14680</x:v>
      </x:c>
      <x:c r="D9443" t="str">
        <x:v>Greg Matthias</x:v>
      </x:c>
      <x:c r="E9443" t="str">
        <x:v>Consumer</x:v>
      </x:c>
      <x:c r="F9443" t="str">
        <x:v>East</x:v>
      </x:c>
      <x:c r="G9443" t="str">
        <x:v>Technology</x:v>
      </x:c>
      <x:c r="H9443" t="str">
        <x:v>Phones</x:v>
      </x:c>
      <x:c r="I9443" s="22" t="n">
        <x:v>285.57599999999996</x:v>
      </x:c>
      <x:c r="J9443" s="24" t="n">
        <x:v>4</x:v>
      </x:c>
      <x:c r="K9443" s="26" t="n">
        <x:v>0.4</x:v>
      </x:c>
      <x:c r="L9443" s="22" t="n">
        <x:v>-57.115200000000016</x:v>
      </x:c>
      <x:c r="M9443" t="n">
        <x:v>2017</x:v>
      </x:c>
      <x:c r="N9443" s="20" t="n">
        <x:v>42917</x:v>
      </x:c>
    </x:row>
    <x:row r="9444" ht="18" customHeight="1">
      <x:c r="A9444" t="str">
        <x:v>US-2014-154655</x:v>
      </x:c>
      <x:c r="B9444" s="18" t="n">
        <x:v>41924</x:v>
      </x:c>
      <x:c r="C9444" t="str">
        <x:v>BP-11050</x:v>
      </x:c>
      <x:c r="D9444" t="str">
        <x:v>Barry Pond</x:v>
      </x:c>
      <x:c r="E9444" t="str">
        <x:v>Corporate</x:v>
      </x:c>
      <x:c r="F9444" t="str">
        <x:v>Central</x:v>
      </x:c>
      <x:c r="G9444" t="str">
        <x:v>Office Supplies</x:v>
      </x:c>
      <x:c r="H9444" t="str">
        <x:v>Supplies</x:v>
      </x:c>
      <x:c r="I9444" s="22" t="n">
        <x:v>22.240000000000002</x:v>
      </x:c>
      <x:c r="J9444" s="24" t="n">
        <x:v>2</x:v>
      </x:c>
      <x:c r="K9444" s="26" t="n">
        <x:v>0.2</x:v>
      </x:c>
      <x:c r="L9444" s="22" t="n">
        <x:v>2.501999999999997</x:v>
      </x:c>
      <x:c r="M9444" t="n">
        <x:v>2014</x:v>
      </x:c>
      <x:c r="N9444" s="20" t="n">
        <x:v>41913</x:v>
      </x:c>
    </x:row>
    <x:row r="9445" ht="18" customHeight="1">
      <x:c r="A9445" t="str">
        <x:v>CA-2014-100391</x:v>
      </x:c>
      <x:c r="B9445" s="18" t="n">
        <x:v>41784</x:v>
      </x:c>
      <x:c r="C9445" t="str">
        <x:v>BW-11065</x:v>
      </x:c>
      <x:c r="D9445" t="str">
        <x:v>Barry Weirich</x:v>
      </x:c>
      <x:c r="E9445" t="str">
        <x:v>Consumer</x:v>
      </x:c>
      <x:c r="F9445" t="str">
        <x:v>East</x:v>
      </x:c>
      <x:c r="G9445" t="str">
        <x:v>Office Supplies</x:v>
      </x:c>
      <x:c r="H9445" t="str">
        <x:v>Paper</x:v>
      </x:c>
      <x:c r="I9445" s="22" t="n">
        <x:v>14.62</x:v>
      </x:c>
      <x:c r="J9445" s="24" t="n">
        <x:v>2</x:v>
      </x:c>
      <x:c r="K9445" s="26" t="n">
        <x:v>0</x:v>
      </x:c>
      <x:c r="L9445" s="22" t="n">
        <x:v>6.725199999999999</x:v>
      </x:c>
      <x:c r="M9445" t="n">
        <x:v>2014</x:v>
      </x:c>
      <x:c r="N9445" s="20" t="n">
        <x:v>41760</x:v>
      </x:c>
    </x:row>
    <x:row r="9446" ht="18" customHeight="1">
      <x:c r="A9446" t="str">
        <x:v>CA-2014-165477</x:v>
      </x:c>
      <x:c r="B9446" s="18" t="n">
        <x:v>42002</x:v>
      </x:c>
      <x:c r="C9446" t="str">
        <x:v>RE-19405</x:v>
      </x:c>
      <x:c r="D9446" t="str">
        <x:v>Ricardo Emerson</x:v>
      </x:c>
      <x:c r="E9446" t="str">
        <x:v>Consumer</x:v>
      </x:c>
      <x:c r="F9446" t="str">
        <x:v>East</x:v>
      </x:c>
      <x:c r="G9446" t="str">
        <x:v>Office Supplies</x:v>
      </x:c>
      <x:c r="H9446" t="str">
        <x:v>Appliances</x:v>
      </x:c>
      <x:c r="I9446" s="22" t="n">
        <x:v>48.36</x:v>
      </x:c>
      <x:c r="J9446" s="24" t="n">
        <x:v>5</x:v>
      </x:c>
      <x:c r="K9446" s="26" t="n">
        <x:v>0.2</x:v>
      </x:c>
      <x:c r="L9446" s="22" t="n">
        <x:v>6.044999999999995</x:v>
      </x:c>
      <x:c r="M9446" t="n">
        <x:v>2014</x:v>
      </x:c>
      <x:c r="N9446" s="20" t="n">
        <x:v>41974</x:v>
      </x:c>
    </x:row>
    <x:row r="9447" ht="18" customHeight="1">
      <x:c r="A9447" t="str">
        <x:v>CA-2017-165904</x:v>
      </x:c>
      <x:c r="B9447" s="18" t="n">
        <x:v>42832</x:v>
      </x:c>
      <x:c r="C9447" t="str">
        <x:v>HR-14770</x:v>
      </x:c>
      <x:c r="D9447" t="str">
        <x:v>Hallie Redmond</x:v>
      </x:c>
      <x:c r="E9447" t="str">
        <x:v>Home Office</x:v>
      </x:c>
      <x:c r="F9447" t="str">
        <x:v>South</x:v>
      </x:c>
      <x:c r="G9447" t="str">
        <x:v>Office Supplies</x:v>
      </x:c>
      <x:c r="H9447" t="str">
        <x:v>Art</x:v>
      </x:c>
      <x:c r="I9447" s="22" t="n">
        <x:v>16.256</x:v>
      </x:c>
      <x:c r="J9447" s="24" t="n">
        <x:v>2</x:v>
      </x:c>
      <x:c r="K9447" s="26" t="n">
        <x:v>0.2</x:v>
      </x:c>
      <x:c r="L9447" s="22" t="n">
        <x:v>1.2192000000000007</x:v>
      </x:c>
      <x:c r="M9447" t="n">
        <x:v>2017</x:v>
      </x:c>
      <x:c r="N9447" s="20" t="n">
        <x:v>42826</x:v>
      </x:c>
    </x:row>
    <x:row r="9448" ht="18" customHeight="1">
      <x:c r="A9448" t="str">
        <x:v>CA-2017-165904</x:v>
      </x:c>
      <x:c r="B9448" s="18" t="n">
        <x:v>42832</x:v>
      </x:c>
      <x:c r="C9448" t="str">
        <x:v>HR-14770</x:v>
      </x:c>
      <x:c r="D9448" t="str">
        <x:v>Hallie Redmond</x:v>
      </x:c>
      <x:c r="E9448" t="str">
        <x:v>Home Office</x:v>
      </x:c>
      <x:c r="F9448" t="str">
        <x:v>South</x:v>
      </x:c>
      <x:c r="G9448" t="str">
        <x:v>Technology</x:v>
      </x:c>
      <x:c r="H9448" t="str">
        <x:v>Phones</x:v>
      </x:c>
      <x:c r="I9448" s="22" t="n">
        <x:v>219.18400000000003</x:v>
      </x:c>
      <x:c r="J9448" s="24" t="n">
        <x:v>2</x:v>
      </x:c>
      <x:c r="K9448" s="26" t="n">
        <x:v>0.2</x:v>
      </x:c>
      <x:c r="L9448" s="22" t="n">
        <x:v>19.178600000000003</x:v>
      </x:c>
      <x:c r="M9448" t="n">
        <x:v>2017</x:v>
      </x:c>
      <x:c r="N9448" s="20" t="n">
        <x:v>42826</x:v>
      </x:c>
    </x:row>
    <x:row r="9449" ht="18" customHeight="1">
      <x:c r="A9449" t="str">
        <x:v>CA-2015-104052</x:v>
      </x:c>
      <x:c r="B9449" s="18" t="n">
        <x:v>42064</x:v>
      </x:c>
      <x:c r="C9449" t="str">
        <x:v>TP-21565</x:v>
      </x:c>
      <x:c r="D9449" t="str">
        <x:v>Tracy Poddar</x:v>
      </x:c>
      <x:c r="E9449" t="str">
        <x:v>Corporate</x:v>
      </x:c>
      <x:c r="F9449" t="str">
        <x:v>Central</x:v>
      </x:c>
      <x:c r="G9449" t="str">
        <x:v>Technology</x:v>
      </x:c>
      <x:c r="H9449" t="str">
        <x:v>Phones</x:v>
      </x:c>
      <x:c r="I9449" s="22" t="n">
        <x:v>95.84</x:v>
      </x:c>
      <x:c r="J9449" s="24" t="n">
        <x:v>4</x:v>
      </x:c>
      <x:c r="K9449" s="26" t="n">
        <x:v>0.2</x:v>
      </x:c>
      <x:c r="L9449" s="22" t="n">
        <x:v>34.742</x:v>
      </x:c>
      <x:c r="M9449" t="n">
        <x:v>2015</x:v>
      </x:c>
      <x:c r="N9449" s="20" t="n">
        <x:v>42064</x:v>
      </x:c>
    </x:row>
    <x:row r="9450" ht="18" customHeight="1">
      <x:c r="A9450" t="str">
        <x:v>CA-2015-168277</x:v>
      </x:c>
      <x:c r="B9450" s="18" t="n">
        <x:v>42153</x:v>
      </x:c>
      <x:c r="C9450" t="str">
        <x:v>KB-16315</x:v>
      </x:c>
      <x:c r="D9450" t="str">
        <x:v>Karl Braun</x:v>
      </x:c>
      <x:c r="E9450" t="str">
        <x:v>Consumer</x:v>
      </x:c>
      <x:c r="F9450" t="str">
        <x:v>Central</x:v>
      </x:c>
      <x:c r="G9450" t="str">
        <x:v>Office Supplies</x:v>
      </x:c>
      <x:c r="H9450" t="str">
        <x:v>Labels</x:v>
      </x:c>
      <x:c r="I9450" s="22" t="n">
        <x:v>12.39</x:v>
      </x:c>
      <x:c r="J9450" s="24" t="n">
        <x:v>3</x:v>
      </x:c>
      <x:c r="K9450" s="26" t="n">
        <x:v>0</x:v>
      </x:c>
      <x:c r="L9450" s="22" t="n">
        <x:v>5.6994</x:v>
      </x:c>
      <x:c r="M9450" t="n">
        <x:v>2015</x:v>
      </x:c>
      <x:c r="N9450" s="20" t="n">
        <x:v>42125</x:v>
      </x:c>
    </x:row>
    <x:row r="9451" ht="18" customHeight="1">
      <x:c r="A9451" t="str">
        <x:v>CA-2016-158617</x:v>
      </x:c>
      <x:c r="B9451" s="18" t="n">
        <x:v>42635</x:v>
      </x:c>
      <x:c r="C9451" t="str">
        <x:v>AC-10660</x:v>
      </x:c>
      <x:c r="D9451" t="str">
        <x:v>Anna Chung</x:v>
      </x:c>
      <x:c r="E9451" t="str">
        <x:v>Consumer</x:v>
      </x:c>
      <x:c r="F9451" t="str">
        <x:v>Central</x:v>
      </x:c>
      <x:c r="G9451" t="str">
        <x:v>Office Supplies</x:v>
      </x:c>
      <x:c r="H9451" t="str">
        <x:v>Paper</x:v>
      </x:c>
      <x:c r="I9451" s="22" t="n">
        <x:v>35.88</x:v>
      </x:c>
      <x:c r="J9451" s="24" t="n">
        <x:v>6</x:v>
      </x:c>
      <x:c r="K9451" s="26" t="n">
        <x:v>0</x:v>
      </x:c>
      <x:c r="L9451" s="22" t="n">
        <x:v>16.146</x:v>
      </x:c>
      <x:c r="M9451" t="n">
        <x:v>2016</x:v>
      </x:c>
      <x:c r="N9451" s="20" t="n">
        <x:v>42614</x:v>
      </x:c>
    </x:row>
    <x:row r="9452" ht="18" customHeight="1">
      <x:c r="A9452" t="str">
        <x:v>CA-2017-136882</x:v>
      </x:c>
      <x:c r="B9452" s="18" t="n">
        <x:v>42882</x:v>
      </x:c>
      <x:c r="C9452" t="str">
        <x:v>DN-13690</x:v>
      </x:c>
      <x:c r="D9452" t="str">
        <x:v>Duane Noonan</x:v>
      </x:c>
      <x:c r="E9452" t="str">
        <x:v>Consumer</x:v>
      </x:c>
      <x:c r="F9452" t="str">
        <x:v>Central</x:v>
      </x:c>
      <x:c r="G9452" t="str">
        <x:v>Furniture</x:v>
      </x:c>
      <x:c r="H9452" t="str">
        <x:v>Furnishings</x:v>
      </x:c>
      <x:c r="I9452" s="22" t="n">
        <x:v>477.29999999999995</x:v>
      </x:c>
      <x:c r="J9452" s="24" t="n">
        <x:v>5</x:v>
      </x:c>
      <x:c r="K9452" s="26" t="n">
        <x:v>0</x:v>
      </x:c>
      <x:c r="L9452" s="22" t="n">
        <x:v>138.41699999999997</x:v>
      </x:c>
      <x:c r="M9452" t="n">
        <x:v>2017</x:v>
      </x:c>
      <x:c r="N9452" s="20" t="n">
        <x:v>42856</x:v>
      </x:c>
    </x:row>
    <x:row r="9453" ht="18" customHeight="1">
      <x:c r="A9453" t="str">
        <x:v>US-2016-148957</x:v>
      </x:c>
      <x:c r="B9453" s="18" t="n">
        <x:v>42630</x:v>
      </x:c>
      <x:c r="C9453" t="str">
        <x:v>CC-12430</x:v>
      </x:c>
      <x:c r="D9453" t="str">
        <x:v>Chuck Clark</x:v>
      </x:c>
      <x:c r="E9453" t="str">
        <x:v>Home Office</x:v>
      </x:c>
      <x:c r="F9453" t="str">
        <x:v>West</x:v>
      </x:c>
      <x:c r="G9453" t="str">
        <x:v>Office Supplies</x:v>
      </x:c>
      <x:c r="H9453" t="str">
        <x:v>Labels</x:v>
      </x:c>
      <x:c r="I9453" s="22" t="n">
        <x:v>12.32</x:v>
      </x:c>
      <x:c r="J9453" s="24" t="n">
        <x:v>4</x:v>
      </x:c>
      <x:c r="K9453" s="26" t="n">
        <x:v>0</x:v>
      </x:c>
      <x:c r="L9453" s="22" t="n">
        <x:v>5.9136</x:v>
      </x:c>
      <x:c r="M9453" t="n">
        <x:v>2016</x:v>
      </x:c>
      <x:c r="N9453" s="20" t="n">
        <x:v>42614</x:v>
      </x:c>
    </x:row>
    <x:row r="9454" ht="18" customHeight="1">
      <x:c r="A9454" t="str">
        <x:v>CA-2014-140032</x:v>
      </x:c>
      <x:c r="B9454" s="18" t="n">
        <x:v>41890</x:v>
      </x:c>
      <x:c r="C9454" t="str">
        <x:v>TS-21340</x:v>
      </x:c>
      <x:c r="D9454" t="str">
        <x:v>Toby Swindell</x:v>
      </x:c>
      <x:c r="E9454" t="str">
        <x:v>Consumer</x:v>
      </x:c>
      <x:c r="F9454" t="str">
        <x:v>West</x:v>
      </x:c>
      <x:c r="G9454" t="str">
        <x:v>Office Supplies</x:v>
      </x:c>
      <x:c r="H9454" t="str">
        <x:v>Binders</x:v>
      </x:c>
      <x:c r="I9454" s="22" t="n">
        <x:v>8.608</x:v>
      </x:c>
      <x:c r="J9454" s="24" t="n">
        <x:v>2</x:v>
      </x:c>
      <x:c r="K9454" s="26" t="n">
        <x:v>0.2</x:v>
      </x:c>
      <x:c r="L9454" s="22" t="n">
        <x:v>3.0127999999999995</x:v>
      </x:c>
      <x:c r="M9454" t="n">
        <x:v>2014</x:v>
      </x:c>
      <x:c r="N9454" s="20" t="n">
        <x:v>41883</x:v>
      </x:c>
    </x:row>
    <x:row r="9455" ht="18" customHeight="1">
      <x:c r="A9455" t="str">
        <x:v>CA-2017-145506</x:v>
      </x:c>
      <x:c r="B9455" s="18" t="n">
        <x:v>42889</x:v>
      </x:c>
      <x:c r="C9455" t="str">
        <x:v>MO-17800</x:v>
      </x:c>
      <x:c r="D9455" t="str">
        <x:v>Meg O'Connel</x:v>
      </x:c>
      <x:c r="E9455" t="str">
        <x:v>Home Office</x:v>
      </x:c>
      <x:c r="F9455" t="str">
        <x:v>West</x:v>
      </x:c>
      <x:c r="G9455" t="str">
        <x:v>Office Supplies</x:v>
      </x:c>
      <x:c r="H9455" t="str">
        <x:v>Storage</x:v>
      </x:c>
      <x:c r="I9455" s="22" t="n">
        <x:v>136.26</x:v>
      </x:c>
      <x:c r="J9455" s="24" t="n">
        <x:v>9</x:v>
      </x:c>
      <x:c r="K9455" s="26" t="n">
        <x:v>0</x:v>
      </x:c>
      <x:c r="L9455" s="22" t="n">
        <x:v>5.450399999999991</x:v>
      </x:c>
      <x:c r="M9455" t="n">
        <x:v>2017</x:v>
      </x:c>
      <x:c r="N9455" s="20" t="n">
        <x:v>42887</x:v>
      </x:c>
    </x:row>
    <x:row r="9456" ht="18" customHeight="1">
      <x:c r="A9456" t="str">
        <x:v>CA-2015-129546</x:v>
      </x:c>
      <x:c r="B9456" s="18" t="n">
        <x:v>42275</x:v>
      </x:c>
      <x:c r="C9456" t="str">
        <x:v>RP-19855</x:v>
      </x:c>
      <x:c r="D9456" t="str">
        <x:v>Roy Phan</x:v>
      </x:c>
      <x:c r="E9456" t="str">
        <x:v>Corporate</x:v>
      </x:c>
      <x:c r="F9456" t="str">
        <x:v>West</x:v>
      </x:c>
      <x:c r="G9456" t="str">
        <x:v>Office Supplies</x:v>
      </x:c>
      <x:c r="H9456" t="str">
        <x:v>Appliances</x:v>
      </x:c>
      <x:c r="I9456" s="22" t="n">
        <x:v>186.14999999999998</x:v>
      </x:c>
      <x:c r="J9456" s="24" t="n">
        <x:v>3</x:v>
      </x:c>
      <x:c r="K9456" s="26" t="n">
        <x:v>0</x:v>
      </x:c>
      <x:c r="L9456" s="22" t="n">
        <x:v>55.844999999999985</x:v>
      </x:c>
      <x:c r="M9456" t="n">
        <x:v>2015</x:v>
      </x:c>
      <x:c r="N9456" s="20" t="n">
        <x:v>42248</x:v>
      </x:c>
    </x:row>
    <x:row r="9457" ht="18" customHeight="1">
      <x:c r="A9457" t="str">
        <x:v>CA-2015-129546</x:v>
      </x:c>
      <x:c r="B9457" s="18" t="n">
        <x:v>42275</x:v>
      </x:c>
      <x:c r="C9457" t="str">
        <x:v>RP-19855</x:v>
      </x:c>
      <x:c r="D9457" t="str">
        <x:v>Roy Phan</x:v>
      </x:c>
      <x:c r="E9457" t="str">
        <x:v>Corporate</x:v>
      </x:c>
      <x:c r="F9457" t="str">
        <x:v>West</x:v>
      </x:c>
      <x:c r="G9457" t="str">
        <x:v>Office Supplies</x:v>
      </x:c>
      <x:c r="H9457" t="str">
        <x:v>Binders</x:v>
      </x:c>
      <x:c r="I9457" s="22" t="n">
        <x:v>81.792</x:v>
      </x:c>
      <x:c r="J9457" s="24" t="n">
        <x:v>6</x:v>
      </x:c>
      <x:c r="K9457" s="26" t="n">
        <x:v>0.2</x:v>
      </x:c>
      <x:c r="L9457" s="22" t="n">
        <x:v>26.582399999999986</x:v>
      </x:c>
      <x:c r="M9457" t="n">
        <x:v>2015</x:v>
      </x:c>
      <x:c r="N9457" s="20" t="n">
        <x:v>42248</x:v>
      </x:c>
    </x:row>
    <x:row r="9458" ht="18" customHeight="1">
      <x:c r="A9458" t="str">
        <x:v>CA-2015-129546</x:v>
      </x:c>
      <x:c r="B9458" s="18" t="n">
        <x:v>42275</x:v>
      </x:c>
      <x:c r="C9458" t="str">
        <x:v>RP-19855</x:v>
      </x:c>
      <x:c r="D9458" t="str">
        <x:v>Roy Phan</x:v>
      </x:c>
      <x:c r="E9458" t="str">
        <x:v>Corporate</x:v>
      </x:c>
      <x:c r="F9458" t="str">
        <x:v>West</x:v>
      </x:c>
      <x:c r="G9458" t="str">
        <x:v>Office Supplies</x:v>
      </x:c>
      <x:c r="H9458" t="str">
        <x:v>Supplies</x:v>
      </x:c>
      <x:c r="I9458" s="22" t="n">
        <x:v>47.19</x:v>
      </x:c>
      <x:c r="J9458" s="24" t="n">
        <x:v>3</x:v>
      </x:c>
      <x:c r="K9458" s="26" t="n">
        <x:v>0</x:v>
      </x:c>
      <x:c r="L9458" s="22" t="n">
        <x:v>13.685099999999995</x:v>
      </x:c>
      <x:c r="M9458" t="n">
        <x:v>2015</x:v>
      </x:c>
      <x:c r="N9458" s="20" t="n">
        <x:v>42248</x:v>
      </x:c>
    </x:row>
    <x:row r="9459" ht="18" customHeight="1">
      <x:c r="A9459" t="str">
        <x:v>CA-2015-129546</x:v>
      </x:c>
      <x:c r="B9459" s="18" t="n">
        <x:v>42275</x:v>
      </x:c>
      <x:c r="C9459" t="str">
        <x:v>RP-19855</x:v>
      </x:c>
      <x:c r="D9459" t="str">
        <x:v>Roy Phan</x:v>
      </x:c>
      <x:c r="E9459" t="str">
        <x:v>Corporate</x:v>
      </x:c>
      <x:c r="F9459" t="str">
        <x:v>West</x:v>
      </x:c>
      <x:c r="G9459" t="str">
        <x:v>Technology</x:v>
      </x:c>
      <x:c r="H9459" t="str">
        <x:v>Phones</x:v>
      </x:c>
      <x:c r="I9459" s="22" t="n">
        <x:v>36.784</x:v>
      </x:c>
      <x:c r="J9459" s="24" t="n">
        <x:v>2</x:v>
      </x:c>
      <x:c r="K9459" s="26" t="n">
        <x:v>0.2</x:v>
      </x:c>
      <x:c r="L9459" s="22" t="n">
        <x:v>-8.276399999999997</x:v>
      </x:c>
      <x:c r="M9459" t="n">
        <x:v>2015</x:v>
      </x:c>
      <x:c r="N9459" s="20" t="n">
        <x:v>42248</x:v>
      </x:c>
    </x:row>
    <x:row r="9460" ht="18" customHeight="1">
      <x:c r="A9460" t="str">
        <x:v>CA-2016-140977</x:v>
      </x:c>
      <x:c r="B9460" s="18" t="n">
        <x:v>42537</x:v>
      </x:c>
      <x:c r="C9460" t="str">
        <x:v>JL-15175</x:v>
      </x:c>
      <x:c r="D9460" t="str">
        <x:v>James Lanier</x:v>
      </x:c>
      <x:c r="E9460" t="str">
        <x:v>Home Office</x:v>
      </x:c>
      <x:c r="F9460" t="str">
        <x:v>South</x:v>
      </x:c>
      <x:c r="G9460" t="str">
        <x:v>Technology</x:v>
      </x:c>
      <x:c r="H9460" t="str">
        <x:v>Machines</x:v>
      </x:c>
      <x:c r="I9460" s="22" t="n">
        <x:v>91.475</x:v>
      </x:c>
      <x:c r="J9460" s="24" t="n">
        <x:v>1</x:v>
      </x:c>
      <x:c r="K9460" s="26" t="n">
        <x:v>0.5</x:v>
      </x:c>
      <x:c r="L9460" s="22" t="n">
        <x:v>-1.829499999999996</x:v>
      </x:c>
      <x:c r="M9460" t="n">
        <x:v>2016</x:v>
      </x:c>
      <x:c r="N9460" s="20" t="n">
        <x:v>42522</x:v>
      </x:c>
    </x:row>
    <x:row r="9461" ht="18" customHeight="1">
      <x:c r="A9461" t="str">
        <x:v>CA-2017-151855</x:v>
      </x:c>
      <x:c r="B9461" s="18" t="n">
        <x:v>42882</x:v>
      </x:c>
      <x:c r="C9461" t="str">
        <x:v>BW-11110</x:v>
      </x:c>
      <x:c r="D9461" t="str">
        <x:v>Bart Watters</x:v>
      </x:c>
      <x:c r="E9461" t="str">
        <x:v>Corporate</x:v>
      </x:c>
      <x:c r="F9461" t="str">
        <x:v>South</x:v>
      </x:c>
      <x:c r="G9461" t="str">
        <x:v>Technology</x:v>
      </x:c>
      <x:c r="H9461" t="str">
        <x:v>Accessories</x:v>
      </x:c>
      <x:c r="I9461" s="22" t="n">
        <x:v>27.192</x:v>
      </x:c>
      <x:c r="J9461" s="24" t="n">
        <x:v>3</x:v>
      </x:c>
      <x:c r="K9461" s="26" t="n">
        <x:v>0.2</x:v>
      </x:c>
      <x:c r="L9461" s="22" t="n">
        <x:v>0.33989999999999654</x:v>
      </x:c>
      <x:c r="M9461" t="n">
        <x:v>2017</x:v>
      </x:c>
      <x:c r="N9461" s="20" t="n">
        <x:v>42856</x:v>
      </x:c>
    </x:row>
    <x:row r="9462" ht="18" customHeight="1">
      <x:c r="A9462" t="str">
        <x:v>CA-2017-151855</x:v>
      </x:c>
      <x:c r="B9462" s="18" t="n">
        <x:v>42882</x:v>
      </x:c>
      <x:c r="C9462" t="str">
        <x:v>BW-11110</x:v>
      </x:c>
      <x:c r="D9462" t="str">
        <x:v>Bart Watters</x:v>
      </x:c>
      <x:c r="E9462" t="str">
        <x:v>Corporate</x:v>
      </x:c>
      <x:c r="F9462" t="str">
        <x:v>South</x:v>
      </x:c>
      <x:c r="G9462" t="str">
        <x:v>Office Supplies</x:v>
      </x:c>
      <x:c r="H9462" t="str">
        <x:v>Binders</x:v>
      </x:c>
      <x:c r="I9462" s="22" t="n">
        <x:v>12.059999999999999</x:v>
      </x:c>
      <x:c r="J9462" s="24" t="n">
        <x:v>5</x:v>
      </x:c>
      <x:c r="K9462" s="26" t="n">
        <x:v>0.7</x:v>
      </x:c>
      <x:c r="L9462" s="22" t="n">
        <x:v>-10.05</x:v>
      </x:c>
      <x:c r="M9462" t="n">
        <x:v>2017</x:v>
      </x:c>
      <x:c r="N9462" s="20" t="n">
        <x:v>42856</x:v>
      </x:c>
    </x:row>
    <x:row r="9463" ht="18" customHeight="1">
      <x:c r="A9463" t="str">
        <x:v>CA-2014-138240</x:v>
      </x:c>
      <x:c r="B9463" s="18" t="n">
        <x:v>41921</x:v>
      </x:c>
      <x:c r="C9463" t="str">
        <x:v>SJ-20500</x:v>
      </x:c>
      <x:c r="D9463" t="str">
        <x:v>Shirley Jackson</x:v>
      </x:c>
      <x:c r="E9463" t="str">
        <x:v>Consumer</x:v>
      </x:c>
      <x:c r="F9463" t="str">
        <x:v>West</x:v>
      </x:c>
      <x:c r="G9463" t="str">
        <x:v>Office Supplies</x:v>
      </x:c>
      <x:c r="H9463" t="str">
        <x:v>Art</x:v>
      </x:c>
      <x:c r="I9463" s="22" t="n">
        <x:v>144.60000000000002</x:v>
      </x:c>
      <x:c r="J9463" s="24" t="n">
        <x:v>3</x:v>
      </x:c>
      <x:c r="K9463" s="26" t="n">
        <x:v>0</x:v>
      </x:c>
      <x:c r="L9463" s="22" t="n">
        <x:v>41.93399999999998</x:v>
      </x:c>
      <x:c r="M9463" t="n">
        <x:v>2014</x:v>
      </x:c>
      <x:c r="N9463" s="20" t="n">
        <x:v>41913</x:v>
      </x:c>
    </x:row>
    <x:row r="9464" ht="18" customHeight="1">
      <x:c r="A9464" t="str">
        <x:v>CA-2014-138240</x:v>
      </x:c>
      <x:c r="B9464" s="18" t="n">
        <x:v>41921</x:v>
      </x:c>
      <x:c r="C9464" t="str">
        <x:v>SJ-20500</x:v>
      </x:c>
      <x:c r="D9464" t="str">
        <x:v>Shirley Jackson</x:v>
      </x:c>
      <x:c r="E9464" t="str">
        <x:v>Consumer</x:v>
      </x:c>
      <x:c r="F9464" t="str">
        <x:v>West</x:v>
      </x:c>
      <x:c r="G9464" t="str">
        <x:v>Technology</x:v>
      </x:c>
      <x:c r="H9464" t="str">
        <x:v>Phones</x:v>
      </x:c>
      <x:c r="I9464" s="22" t="n">
        <x:v>15.991999999999999</x:v>
      </x:c>
      <x:c r="J9464" s="24" t="n">
        <x:v>1</x:v>
      </x:c>
      <x:c r="K9464" s="26" t="n">
        <x:v>0.2</x:v>
      </x:c>
      <x:c r="L9464" s="22" t="n">
        <x:v>-2.998500000000002</x:v>
      </x:c>
      <x:c r="M9464" t="n">
        <x:v>2014</x:v>
      </x:c>
      <x:c r="N9464" s="20" t="n">
        <x:v>41913</x:v>
      </x:c>
    </x:row>
    <x:row r="9465" ht="18" customHeight="1">
      <x:c r="A9465" t="str">
        <x:v>CA-2014-101833</x:v>
      </x:c>
      <x:c r="B9465" s="18" t="n">
        <x:v>41960</x:v>
      </x:c>
      <x:c r="C9465" t="str">
        <x:v>FG-14260</x:v>
      </x:c>
      <x:c r="D9465" t="str">
        <x:v>Frank Gastineau</x:v>
      </x:c>
      <x:c r="E9465" t="str">
        <x:v>Home Office</x:v>
      </x:c>
      <x:c r="F9465" t="str">
        <x:v>East</x:v>
      </x:c>
      <x:c r="G9465" t="str">
        <x:v>Office Supplies</x:v>
      </x:c>
      <x:c r="H9465" t="str">
        <x:v>Paper</x:v>
      </x:c>
      <x:c r="I9465" s="22" t="n">
        <x:v>34.44</x:v>
      </x:c>
      <x:c r="J9465" s="24" t="n">
        <x:v>3</x:v>
      </x:c>
      <x:c r="K9465" s="26" t="n">
        <x:v>0</x:v>
      </x:c>
      <x:c r="L9465" s="22" t="n">
        <x:v>17.22</x:v>
      </x:c>
      <x:c r="M9465" t="n">
        <x:v>2014</x:v>
      </x:c>
      <x:c r="N9465" s="20" t="n">
        <x:v>41944</x:v>
      </x:c>
    </x:row>
    <x:row r="9466" ht="18" customHeight="1">
      <x:c r="A9466" t="str">
        <x:v>CA-2014-100867</x:v>
      </x:c>
      <x:c r="B9466" s="18" t="n">
        <x:v>41931</x:v>
      </x:c>
      <x:c r="C9466" t="str">
        <x:v>EH-14125</x:v>
      </x:c>
      <x:c r="D9466" t="str">
        <x:v>Eugene Hildebrand</x:v>
      </x:c>
      <x:c r="E9466" t="str">
        <x:v>Home Office</x:v>
      </x:c>
      <x:c r="F9466" t="str">
        <x:v>West</x:v>
      </x:c>
      <x:c r="G9466" t="str">
        <x:v>Technology</x:v>
      </x:c>
      <x:c r="H9466" t="str">
        <x:v>Phones</x:v>
      </x:c>
      <x:c r="I9466" s="22" t="n">
        <x:v>321.552</x:v>
      </x:c>
      <x:c r="J9466" s="24" t="n">
        <x:v>6</x:v>
      </x:c>
      <x:c r="K9466" s="26" t="n">
        <x:v>0.2</x:v>
      </x:c>
      <x:c r="L9466" s="22" t="n">
        <x:v>20.09700000000001</x:v>
      </x:c>
      <x:c r="M9466" t="n">
        <x:v>2014</x:v>
      </x:c>
      <x:c r="N9466" s="20" t="n">
        <x:v>41913</x:v>
      </x:c>
    </x:row>
    <x:row r="9467" ht="18" customHeight="1">
      <x:c r="A9467" t="str">
        <x:v>US-2017-109610</x:v>
      </x:c>
      <x:c r="B9467" s="18" t="n">
        <x:v>43064</x:v>
      </x:c>
      <x:c r="C9467" t="str">
        <x:v>BS-11590</x:v>
      </x:c>
      <x:c r="D9467" t="str">
        <x:v>Brendan Sweed</x:v>
      </x:c>
      <x:c r="E9467" t="str">
        <x:v>Corporate</x:v>
      </x:c>
      <x:c r="F9467" t="str">
        <x:v>South</x:v>
      </x:c>
      <x:c r="G9467" t="str">
        <x:v>Furniture</x:v>
      </x:c>
      <x:c r="H9467" t="str">
        <x:v>Chairs</x:v>
      </x:c>
      <x:c r="I9467" s="22" t="n">
        <x:v>701.96</x:v>
      </x:c>
      <x:c r="J9467" s="24" t="n">
        <x:v>2</x:v>
      </x:c>
      <x:c r="K9467" s="26" t="n">
        <x:v>0</x:v>
      </x:c>
      <x:c r="L9467" s="22" t="n">
        <x:v>168.47040000000004</x:v>
      </x:c>
      <x:c r="M9467" t="n">
        <x:v>2017</x:v>
      </x:c>
      <x:c r="N9467" s="20" t="n">
        <x:v>43040</x:v>
      </x:c>
    </x:row>
    <x:row r="9468" ht="18" customHeight="1">
      <x:c r="A9468" t="str">
        <x:v>CA-2014-156545</x:v>
      </x:c>
      <x:c r="B9468" s="18" t="n">
        <x:v>41697</x:v>
      </x:c>
      <x:c r="C9468" t="str">
        <x:v>JS-16030</x:v>
      </x:c>
      <x:c r="D9468" t="str">
        <x:v>Joy Smith</x:v>
      </x:c>
      <x:c r="E9468" t="str">
        <x:v>Consumer</x:v>
      </x:c>
      <x:c r="F9468" t="str">
        <x:v>East</x:v>
      </x:c>
      <x:c r="G9468" t="str">
        <x:v>Office Supplies</x:v>
      </x:c>
      <x:c r="H9468" t="str">
        <x:v>Art</x:v>
      </x:c>
      <x:c r="I9468" s="22" t="n">
        <x:v>19.456000000000003</x:v>
      </x:c>
      <x:c r="J9468" s="24" t="n">
        <x:v>4</x:v>
      </x:c>
      <x:c r="K9468" s="26" t="n">
        <x:v>0.2</x:v>
      </x:c>
      <x:c r="L9468" s="22" t="n">
        <x:v>3.404799999999998</x:v>
      </x:c>
      <x:c r="M9468" t="n">
        <x:v>2014</x:v>
      </x:c>
      <x:c r="N9468" s="20" t="n">
        <x:v>41671</x:v>
      </x:c>
    </x:row>
    <x:row r="9469" ht="18" customHeight="1">
      <x:c r="A9469" t="str">
        <x:v>CA-2014-109127</x:v>
      </x:c>
      <x:c r="B9469" s="18" t="n">
        <x:v>41994</x:v>
      </x:c>
      <x:c r="C9469" t="str">
        <x:v>JC-15775</x:v>
      </x:c>
      <x:c r="D9469" t="str">
        <x:v>John Castell</x:v>
      </x:c>
      <x:c r="E9469" t="str">
        <x:v>Consumer</x:v>
      </x:c>
      <x:c r="F9469" t="str">
        <x:v>East</x:v>
      </x:c>
      <x:c r="G9469" t="str">
        <x:v>Office Supplies</x:v>
      </x:c>
      <x:c r="H9469" t="str">
        <x:v>Labels</x:v>
      </x:c>
      <x:c r="I9469" s="22" t="n">
        <x:v>17.28</x:v>
      </x:c>
      <x:c r="J9469" s="24" t="n">
        <x:v>6</x:v>
      </x:c>
      <x:c r="K9469" s="26" t="n">
        <x:v>0</x:v>
      </x:c>
      <x:c r="L9469" s="22" t="n">
        <x:v>7.9487999999999985</x:v>
      </x:c>
      <x:c r="M9469" t="n">
        <x:v>2014</x:v>
      </x:c>
      <x:c r="N9469" s="20" t="n">
        <x:v>41974</x:v>
      </x:c>
    </x:row>
    <x:row r="9470" ht="18" customHeight="1">
      <x:c r="A9470" t="str">
        <x:v>CA-2016-126858</x:v>
      </x:c>
      <x:c r="B9470" s="18" t="n">
        <x:v>42693</x:v>
      </x:c>
      <x:c r="C9470" t="str">
        <x:v>JM-15265</x:v>
      </x:c>
      <x:c r="D9470" t="str">
        <x:v>Janet Molinari</x:v>
      </x:c>
      <x:c r="E9470" t="str">
        <x:v>Corporate</x:v>
      </x:c>
      <x:c r="F9470" t="str">
        <x:v>West</x:v>
      </x:c>
      <x:c r="G9470" t="str">
        <x:v>Furniture</x:v>
      </x:c>
      <x:c r="H9470" t="str">
        <x:v>Furnishings</x:v>
      </x:c>
      <x:c r="I9470" s="22" t="n">
        <x:v>31.96</x:v>
      </x:c>
      <x:c r="J9470" s="24" t="n">
        <x:v>2</x:v>
      </x:c>
      <x:c r="K9470" s="26" t="n">
        <x:v>0</x:v>
      </x:c>
      <x:c r="L9470" s="22" t="n">
        <x:v>1.597999999999999</x:v>
      </x:c>
      <x:c r="M9470" t="n">
        <x:v>2016</x:v>
      </x:c>
      <x:c r="N9470" s="20" t="n">
        <x:v>42675</x:v>
      </x:c>
    </x:row>
    <x:row r="9471" ht="18" customHeight="1">
      <x:c r="A9471" t="str">
        <x:v>CA-2017-102925</x:v>
      </x:c>
      <x:c r="B9471" s="18" t="n">
        <x:v>43044</x:v>
      </x:c>
      <x:c r="C9471" t="str">
        <x:v>CD-12280</x:v>
      </x:c>
      <x:c r="D9471" t="str">
        <x:v>Christina DeMoss</x:v>
      </x:c>
      <x:c r="E9471" t="str">
        <x:v>Consumer</x:v>
      </x:c>
      <x:c r="F9471" t="str">
        <x:v>East</x:v>
      </x:c>
      <x:c r="G9471" t="str">
        <x:v>Office Supplies</x:v>
      </x:c>
      <x:c r="H9471" t="str">
        <x:v>Binders</x:v>
      </x:c>
      <x:c r="I9471" s="22" t="n">
        <x:v>164.68800000000002</x:v>
      </x:c>
      <x:c r="J9471" s="24" t="n">
        <x:v>6</x:v>
      </x:c>
      <x:c r="K9471" s="26" t="n">
        <x:v>0.2</x:v>
      </x:c>
      <x:c r="L9471" s="22" t="n">
        <x:v>55.58220000000001</x:v>
      </x:c>
      <x:c r="M9471" t="n">
        <x:v>2017</x:v>
      </x:c>
      <x:c r="N9471" s="20" t="n">
        <x:v>43040</x:v>
      </x:c>
    </x:row>
    <x:row r="9472" ht="18" customHeight="1">
      <x:c r="A9472" t="str">
        <x:v>CA-2017-102925</x:v>
      </x:c>
      <x:c r="B9472" s="18" t="n">
        <x:v>43044</x:v>
      </x:c>
      <x:c r="C9472" t="str">
        <x:v>CD-12280</x:v>
      </x:c>
      <x:c r="D9472" t="str">
        <x:v>Christina DeMoss</x:v>
      </x:c>
      <x:c r="E9472" t="str">
        <x:v>Consumer</x:v>
      </x:c>
      <x:c r="F9472" t="str">
        <x:v>East</x:v>
      </x:c>
      <x:c r="G9472" t="str">
        <x:v>Furniture</x:v>
      </x:c>
      <x:c r="H9472" t="str">
        <x:v>Tables</x:v>
      </x:c>
      <x:c r="I9472" s="22" t="n">
        <x:v>166.5</x:v>
      </x:c>
      <x:c r="J9472" s="24" t="n">
        <x:v>2</x:v>
      </x:c>
      <x:c r="K9472" s="26" t="n">
        <x:v>0.4</x:v>
      </x:c>
      <x:c r="L9472" s="22" t="n">
        <x:v>-66.6</x:v>
      </x:c>
      <x:c r="M9472" t="n">
        <x:v>2017</x:v>
      </x:c>
      <x:c r="N9472" s="20" t="n">
        <x:v>43040</x:v>
      </x:c>
    </x:row>
    <x:row r="9473" ht="18" customHeight="1">
      <x:c r="A9473" t="str">
        <x:v>CA-2017-102925</x:v>
      </x:c>
      <x:c r="B9473" s="18" t="n">
        <x:v>43044</x:v>
      </x:c>
      <x:c r="C9473" t="str">
        <x:v>CD-12280</x:v>
      </x:c>
      <x:c r="D9473" t="str">
        <x:v>Christina DeMoss</x:v>
      </x:c>
      <x:c r="E9473" t="str">
        <x:v>Consumer</x:v>
      </x:c>
      <x:c r="F9473" t="str">
        <x:v>East</x:v>
      </x:c>
      <x:c r="G9473" t="str">
        <x:v>Office Supplies</x:v>
      </x:c>
      <x:c r="H9473" t="str">
        <x:v>Paper</x:v>
      </x:c>
      <x:c r="I9473" s="22" t="n">
        <x:v>12.96</x:v>
      </x:c>
      <x:c r="J9473" s="24" t="n">
        <x:v>2</x:v>
      </x:c>
      <x:c r="K9473" s="26" t="n">
        <x:v>0</x:v>
      </x:c>
      <x:c r="L9473" s="22" t="n">
        <x:v>6.2208000000000006</x:v>
      </x:c>
      <x:c r="M9473" t="n">
        <x:v>2017</x:v>
      </x:c>
      <x:c r="N9473" s="20" t="n">
        <x:v>43040</x:v>
      </x:c>
    </x:row>
    <x:row r="9474" ht="18" customHeight="1">
      <x:c r="A9474" t="str">
        <x:v>CA-2017-102925</x:v>
      </x:c>
      <x:c r="B9474" s="18" t="n">
        <x:v>43044</x:v>
      </x:c>
      <x:c r="C9474" t="str">
        <x:v>CD-12280</x:v>
      </x:c>
      <x:c r="D9474" t="str">
        <x:v>Christina DeMoss</x:v>
      </x:c>
      <x:c r="E9474" t="str">
        <x:v>Consumer</x:v>
      </x:c>
      <x:c r="F9474" t="str">
        <x:v>East</x:v>
      </x:c>
      <x:c r="G9474" t="str">
        <x:v>Office Supplies</x:v>
      </x:c>
      <x:c r="H9474" t="str">
        <x:v>Paper</x:v>
      </x:c>
      <x:c r="I9474" s="22" t="n">
        <x:v>110.96</x:v>
      </x:c>
      <x:c r="J9474" s="24" t="n">
        <x:v>2</x:v>
      </x:c>
      <x:c r="K9474" s="26" t="n">
        <x:v>0</x:v>
      </x:c>
      <x:c r="L9474" s="22" t="n">
        <x:v>53.260799999999996</x:v>
      </x:c>
      <x:c r="M9474" t="n">
        <x:v>2017</x:v>
      </x:c>
      <x:c r="N9474" s="20" t="n">
        <x:v>43040</x:v>
      </x:c>
    </x:row>
    <x:row r="9475" ht="18" customHeight="1">
      <x:c r="A9475" t="str">
        <x:v>CA-2017-102925</x:v>
      </x:c>
      <x:c r="B9475" s="18" t="n">
        <x:v>43044</x:v>
      </x:c>
      <x:c r="C9475" t="str">
        <x:v>CD-12280</x:v>
      </x:c>
      <x:c r="D9475" t="str">
        <x:v>Christina DeMoss</x:v>
      </x:c>
      <x:c r="E9475" t="str">
        <x:v>Consumer</x:v>
      </x:c>
      <x:c r="F9475" t="str">
        <x:v>East</x:v>
      </x:c>
      <x:c r="G9475" t="str">
        <x:v>Technology</x:v>
      </x:c>
      <x:c r="H9475" t="str">
        <x:v>Phones</x:v>
      </x:c>
      <x:c r="I9475" s="22" t="n">
        <x:v>99.98</x:v>
      </x:c>
      <x:c r="J9475" s="24" t="n">
        <x:v>2</x:v>
      </x:c>
      <x:c r="K9475" s="26" t="n">
        <x:v>0</x:v>
      </x:c>
      <x:c r="L9475" s="22" t="n">
        <x:v>3.9991999999999877</x:v>
      </x:c>
      <x:c r="M9475" t="n">
        <x:v>2017</x:v>
      </x:c>
      <x:c r="N9475" s="20" t="n">
        <x:v>43040</x:v>
      </x:c>
    </x:row>
    <x:row r="9476" ht="18" customHeight="1">
      <x:c r="A9476" t="str">
        <x:v>CA-2017-102925</x:v>
      </x:c>
      <x:c r="B9476" s="18" t="n">
        <x:v>43044</x:v>
      </x:c>
      <x:c r="C9476" t="str">
        <x:v>CD-12280</x:v>
      </x:c>
      <x:c r="D9476" t="str">
        <x:v>Christina DeMoss</x:v>
      </x:c>
      <x:c r="E9476" t="str">
        <x:v>Consumer</x:v>
      </x:c>
      <x:c r="F9476" t="str">
        <x:v>East</x:v>
      </x:c>
      <x:c r="G9476" t="str">
        <x:v>Office Supplies</x:v>
      </x:c>
      <x:c r="H9476" t="str">
        <x:v>Binders</x:v>
      </x:c>
      <x:c r="I9476" s="22" t="n">
        <x:v>11.424</x:v>
      </x:c>
      <x:c r="J9476" s="24" t="n">
        <x:v>1</x:v>
      </x:c>
      <x:c r="K9476" s="26" t="n">
        <x:v>0.2</x:v>
      </x:c>
      <x:c r="L9476" s="22" t="n">
        <x:v>3.7127999999999997</x:v>
      </x:c>
      <x:c r="M9476" t="n">
        <x:v>2017</x:v>
      </x:c>
      <x:c r="N9476" s="20" t="n">
        <x:v>43040</x:v>
      </x:c>
    </x:row>
    <x:row r="9477" ht="18" customHeight="1">
      <x:c r="A9477" t="str">
        <x:v>CA-2017-102925</x:v>
      </x:c>
      <x:c r="B9477" s="18" t="n">
        <x:v>43044</x:v>
      </x:c>
      <x:c r="C9477" t="str">
        <x:v>CD-12280</x:v>
      </x:c>
      <x:c r="D9477" t="str">
        <x:v>Christina DeMoss</x:v>
      </x:c>
      <x:c r="E9477" t="str">
        <x:v>Consumer</x:v>
      </x:c>
      <x:c r="F9477" t="str">
        <x:v>East</x:v>
      </x:c>
      <x:c r="G9477" t="str">
        <x:v>Furniture</x:v>
      </x:c>
      <x:c r="H9477" t="str">
        <x:v>Chairs</x:v>
      </x:c>
      <x:c r="I9477" s="22" t="n">
        <x:v>128.12400000000002</x:v>
      </x:c>
      <x:c r="J9477" s="24" t="n">
        <x:v>2</x:v>
      </x:c>
      <x:c r="K9477" s="26" t="n">
        <x:v>0.1</x:v>
      </x:c>
      <x:c r="L9477" s="22" t="n">
        <x:v>24.2012</x:v>
      </x:c>
      <x:c r="M9477" t="n">
        <x:v>2017</x:v>
      </x:c>
      <x:c r="N9477" s="20" t="n">
        <x:v>43040</x:v>
      </x:c>
    </x:row>
    <x:row r="9478" ht="18" customHeight="1">
      <x:c r="A9478" t="str">
        <x:v>CA-2017-102925</x:v>
      </x:c>
      <x:c r="B9478" s="18" t="n">
        <x:v>43044</x:v>
      </x:c>
      <x:c r="C9478" t="str">
        <x:v>CD-12280</x:v>
      </x:c>
      <x:c r="D9478" t="str">
        <x:v>Christina DeMoss</x:v>
      </x:c>
      <x:c r="E9478" t="str">
        <x:v>Consumer</x:v>
      </x:c>
      <x:c r="F9478" t="str">
        <x:v>East</x:v>
      </x:c>
      <x:c r="G9478" t="str">
        <x:v>Furniture</x:v>
      </x:c>
      <x:c r="H9478" t="str">
        <x:v>Furnishings</x:v>
      </x:c>
      <x:c r="I9478" s="22" t="n">
        <x:v>101.4</x:v>
      </x:c>
      <x:c r="J9478" s="24" t="n">
        <x:v>5</x:v>
      </x:c>
      <x:c r="K9478" s="26" t="n">
        <x:v>0</x:v>
      </x:c>
      <x:c r="L9478" s="22" t="n">
        <x:v>38.532000000000004</x:v>
      </x:c>
      <x:c r="M9478" t="n">
        <x:v>2017</x:v>
      </x:c>
      <x:c r="N9478" s="20" t="n">
        <x:v>43040</x:v>
      </x:c>
    </x:row>
    <x:row r="9479" ht="18" customHeight="1">
      <x:c r="A9479" t="str">
        <x:v>CA-2015-100818</x:v>
      </x:c>
      <x:c r="B9479" s="18" t="n">
        <x:v>42155</x:v>
      </x:c>
      <x:c r="C9479" t="str">
        <x:v>JM-15265</x:v>
      </x:c>
      <x:c r="D9479" t="str">
        <x:v>Janet Molinari</x:v>
      </x:c>
      <x:c r="E9479" t="str">
        <x:v>Corporate</x:v>
      </x:c>
      <x:c r="F9479" t="str">
        <x:v>Central</x:v>
      </x:c>
      <x:c r="G9479" t="str">
        <x:v>Office Supplies</x:v>
      </x:c>
      <x:c r="H9479" t="str">
        <x:v>Labels</x:v>
      </x:c>
      <x:c r="I9479" s="22" t="n">
        <x:v>5.904</x:v>
      </x:c>
      <x:c r="J9479" s="24" t="n">
        <x:v>2</x:v>
      </x:c>
      <x:c r="K9479" s="26" t="n">
        <x:v>0.2</x:v>
      </x:c>
      <x:c r="L9479" s="22" t="n">
        <x:v>1.9926</x:v>
      </x:c>
      <x:c r="M9479" t="n">
        <x:v>2015</x:v>
      </x:c>
      <x:c r="N9479" s="20" t="n">
        <x:v>42125</x:v>
      </x:c>
    </x:row>
    <x:row r="9480" ht="18" customHeight="1">
      <x:c r="A9480" t="str">
        <x:v>CA-2015-100818</x:v>
      </x:c>
      <x:c r="B9480" s="18" t="n">
        <x:v>42155</x:v>
      </x:c>
      <x:c r="C9480" t="str">
        <x:v>JM-15265</x:v>
      </x:c>
      <x:c r="D9480" t="str">
        <x:v>Janet Molinari</x:v>
      </x:c>
      <x:c r="E9480" t="str">
        <x:v>Corporate</x:v>
      </x:c>
      <x:c r="F9480" t="str">
        <x:v>Central</x:v>
      </x:c>
      <x:c r="G9480" t="str">
        <x:v>Office Supplies</x:v>
      </x:c>
      <x:c r="H9480" t="str">
        <x:v>Paper</x:v>
      </x:c>
      <x:c r="I9480" s="22" t="n">
        <x:v>173.48800000000003</x:v>
      </x:c>
      <x:c r="J9480" s="24" t="n">
        <x:v>7</x:v>
      </x:c>
      <x:c r="K9480" s="26" t="n">
        <x:v>0.2</x:v>
      </x:c>
      <x:c r="L9480" s="22" t="n">
        <x:v>54.21499999999998</x:v>
      </x:c>
      <x:c r="M9480" t="n">
        <x:v>2015</x:v>
      </x:c>
      <x:c r="N9480" s="20" t="n">
        <x:v>42125</x:v>
      </x:c>
    </x:row>
    <x:row r="9481" ht="18" customHeight="1">
      <x:c r="A9481" t="str">
        <x:v>CA-2015-100818</x:v>
      </x:c>
      <x:c r="B9481" s="18" t="n">
        <x:v>42155</x:v>
      </x:c>
      <x:c r="C9481" t="str">
        <x:v>JM-15265</x:v>
      </x:c>
      <x:c r="D9481" t="str">
        <x:v>Janet Molinari</x:v>
      </x:c>
      <x:c r="E9481" t="str">
        <x:v>Corporate</x:v>
      </x:c>
      <x:c r="F9481" t="str">
        <x:v>Central</x:v>
      </x:c>
      <x:c r="G9481" t="str">
        <x:v>Furniture</x:v>
      </x:c>
      <x:c r="H9481" t="str">
        <x:v>Furnishings</x:v>
      </x:c>
      <x:c r="I9481" s="22" t="n">
        <x:v>51.56</x:v>
      </x:c>
      <x:c r="J9481" s="24" t="n">
        <x:v>2</x:v>
      </x:c>
      <x:c r="K9481" s="26" t="n">
        <x:v>0.6</x:v>
      </x:c>
      <x:c r="L9481" s="22" t="n">
        <x:v>-61.872</x:v>
      </x:c>
      <x:c r="M9481" t="n">
        <x:v>2015</x:v>
      </x:c>
      <x:c r="N9481" s="20" t="n">
        <x:v>42125</x:v>
      </x:c>
    </x:row>
    <x:row r="9482" ht="18" customHeight="1">
      <x:c r="A9482" t="str">
        <x:v>CA-2015-100818</x:v>
      </x:c>
      <x:c r="B9482" s="18" t="n">
        <x:v>42155</x:v>
      </x:c>
      <x:c r="C9482" t="str">
        <x:v>JM-15265</x:v>
      </x:c>
      <x:c r="D9482" t="str">
        <x:v>Janet Molinari</x:v>
      </x:c>
      <x:c r="E9482" t="str">
        <x:v>Corporate</x:v>
      </x:c>
      <x:c r="F9482" t="str">
        <x:v>Central</x:v>
      </x:c>
      <x:c r="G9482" t="str">
        <x:v>Office Supplies</x:v>
      </x:c>
      <x:c r="H9482" t="str">
        <x:v>Binders</x:v>
      </x:c>
      <x:c r="I9482" s="22" t="n">
        <x:v>3.563999999999999</x:v>
      </x:c>
      <x:c r="J9482" s="24" t="n">
        <x:v>3</x:v>
      </x:c>
      <x:c r="K9482" s="26" t="n">
        <x:v>0.8</x:v>
      </x:c>
      <x:c r="L9482" s="22" t="n">
        <x:v>-6.237000000000002</x:v>
      </x:c>
      <x:c r="M9482" t="n">
        <x:v>2015</x:v>
      </x:c>
      <x:c r="N9482" s="20" t="n">
        <x:v>42125</x:v>
      </x:c>
    </x:row>
    <x:row r="9483" ht="18" customHeight="1">
      <x:c r="A9483" t="str">
        <x:v>CA-2014-126193</x:v>
      </x:c>
      <x:c r="B9483" s="18" t="n">
        <x:v>41889</x:v>
      </x:c>
      <x:c r="C9483" t="str">
        <x:v>SS-20410</x:v>
      </x:c>
      <x:c r="D9483" t="str">
        <x:v>Shahid Shariari</x:v>
      </x:c>
      <x:c r="E9483" t="str">
        <x:v>Consumer</x:v>
      </x:c>
      <x:c r="F9483" t="str">
        <x:v>Central</x:v>
      </x:c>
      <x:c r="G9483" t="str">
        <x:v>Office Supplies</x:v>
      </x:c>
      <x:c r="H9483" t="str">
        <x:v>Fasteners</x:v>
      </x:c>
      <x:c r="I9483" s="22" t="n">
        <x:v>13.16</x:v>
      </x:c>
      <x:c r="J9483" s="24" t="n">
        <x:v>5</x:v>
      </x:c>
      <x:c r="K9483" s="26" t="n">
        <x:v>0.2</x:v>
      </x:c>
      <x:c r="L9483" s="22" t="n">
        <x:v>4.1125</x:v>
      </x:c>
      <x:c r="M9483" t="n">
        <x:v>2014</x:v>
      </x:c>
      <x:c r="N9483" s="20" t="n">
        <x:v>41883</x:v>
      </x:c>
    </x:row>
    <x:row r="9484" ht="18" customHeight="1">
      <x:c r="A9484" t="str">
        <x:v>CA-2014-126193</x:v>
      </x:c>
      <x:c r="B9484" s="18" t="n">
        <x:v>41889</x:v>
      </x:c>
      <x:c r="C9484" t="str">
        <x:v>SS-20410</x:v>
      </x:c>
      <x:c r="D9484" t="str">
        <x:v>Shahid Shariari</x:v>
      </x:c>
      <x:c r="E9484" t="str">
        <x:v>Consumer</x:v>
      </x:c>
      <x:c r="F9484" t="str">
        <x:v>Central</x:v>
      </x:c>
      <x:c r="G9484" t="str">
        <x:v>Office Supplies</x:v>
      </x:c>
      <x:c r="H9484" t="str">
        <x:v>Binders</x:v>
      </x:c>
      <x:c r="I9484" s="22" t="n">
        <x:v>3.8279999999999994</x:v>
      </x:c>
      <x:c r="J9484" s="24" t="n">
        <x:v>3</x:v>
      </x:c>
      <x:c r="K9484" s="26" t="n">
        <x:v>0.8</x:v>
      </x:c>
      <x:c r="L9484" s="22" t="n">
        <x:v>-6.507600000000002</x:v>
      </x:c>
      <x:c r="M9484" t="n">
        <x:v>2014</x:v>
      </x:c>
      <x:c r="N9484" s="20" t="n">
        <x:v>41883</x:v>
      </x:c>
    </x:row>
    <x:row r="9485" ht="18" customHeight="1">
      <x:c r="A9485" t="str">
        <x:v>CA-2014-126193</x:v>
      </x:c>
      <x:c r="B9485" s="18" t="n">
        <x:v>41889</x:v>
      </x:c>
      <x:c r="C9485" t="str">
        <x:v>SS-20410</x:v>
      </x:c>
      <x:c r="D9485" t="str">
        <x:v>Shahid Shariari</x:v>
      </x:c>
      <x:c r="E9485" t="str">
        <x:v>Consumer</x:v>
      </x:c>
      <x:c r="F9485" t="str">
        <x:v>Central</x:v>
      </x:c>
      <x:c r="G9485" t="str">
        <x:v>Office Supplies</x:v>
      </x:c>
      <x:c r="H9485" t="str">
        <x:v>Binders</x:v>
      </x:c>
      <x:c r="I9485" s="22" t="n">
        <x:v>304.98999999999995</x:v>
      </x:c>
      <x:c r="J9485" s="24" t="n">
        <x:v>5</x:v>
      </x:c>
      <x:c r="K9485" s="26" t="n">
        <x:v>0.8</x:v>
      </x:c>
      <x:c r="L9485" s="22" t="n">
        <x:v>-533.7325000000001</x:v>
      </x:c>
      <x:c r="M9485" t="n">
        <x:v>2014</x:v>
      </x:c>
      <x:c r="N9485" s="20" t="n">
        <x:v>41883</x:v>
      </x:c>
    </x:row>
    <x:row r="9486" ht="18" customHeight="1">
      <x:c r="A9486" t="str">
        <x:v>CA-2017-150504</x:v>
      </x:c>
      <x:c r="B9486" s="18" t="n">
        <x:v>43045</x:v>
      </x:c>
      <x:c r="C9486" t="str">
        <x:v>HG-14845</x:v>
      </x:c>
      <x:c r="D9486" t="str">
        <x:v>Harry Greene</x:v>
      </x:c>
      <x:c r="E9486" t="str">
        <x:v>Consumer</x:v>
      </x:c>
      <x:c r="F9486" t="str">
        <x:v>Central</x:v>
      </x:c>
      <x:c r="G9486" t="str">
        <x:v>Office Supplies</x:v>
      </x:c>
      <x:c r="H9486" t="str">
        <x:v>Storage</x:v>
      </x:c>
      <x:c r="I9486" s="22" t="n">
        <x:v>18.16</x:v>
      </x:c>
      <x:c r="J9486" s="24" t="n">
        <x:v>2</x:v>
      </x:c>
      <x:c r="K9486" s="26" t="n">
        <x:v>0.2</x:v>
      </x:c>
      <x:c r="L9486" s="22" t="n">
        <x:v>1.8160000000000016</x:v>
      </x:c>
      <x:c r="M9486" t="n">
        <x:v>2017</x:v>
      </x:c>
      <x:c r="N9486" s="20" t="n">
        <x:v>43040</x:v>
      </x:c>
    </x:row>
    <x:row r="9487" ht="18" customHeight="1">
      <x:c r="A9487" t="str">
        <x:v>CA-2015-158351</x:v>
      </x:c>
      <x:c r="B9487" s="18" t="n">
        <x:v>42175</x:v>
      </x:c>
      <x:c r="C9487" t="str">
        <x:v>BC-11125</x:v>
      </x:c>
      <x:c r="D9487" t="str">
        <x:v>Becky Castell</x:v>
      </x:c>
      <x:c r="E9487" t="str">
        <x:v>Home Office</x:v>
      </x:c>
      <x:c r="F9487" t="str">
        <x:v>East</x:v>
      </x:c>
      <x:c r="G9487" t="str">
        <x:v>Technology</x:v>
      </x:c>
      <x:c r="H9487" t="str">
        <x:v>Accessories</x:v>
      </x:c>
      <x:c r="I9487" s="22" t="n">
        <x:v>319.98400000000004</x:v>
      </x:c>
      <x:c r="J9487" s="24" t="n">
        <x:v>2</x:v>
      </x:c>
      <x:c r="K9487" s="26" t="n">
        <x:v>0.2</x:v>
      </x:c>
      <x:c r="L9487" s="22" t="n">
        <x:v>91.99540000000002</x:v>
      </x:c>
      <x:c r="M9487" t="n">
        <x:v>2015</x:v>
      </x:c>
      <x:c r="N9487" s="20" t="n">
        <x:v>42156</x:v>
      </x:c>
    </x:row>
    <x:row r="9488" ht="18" customHeight="1">
      <x:c r="A9488" t="str">
        <x:v>CA-2014-122679</x:v>
      </x:c>
      <x:c r="B9488" s="18" t="n">
        <x:v>41842</x:v>
      </x:c>
      <x:c r="C9488" t="str">
        <x:v>AB-10255</x:v>
      </x:c>
      <x:c r="D9488" t="str">
        <x:v>Alejandro Ballentine</x:v>
      </x:c>
      <x:c r="E9488" t="str">
        <x:v>Home Office</x:v>
      </x:c>
      <x:c r="F9488" t="str">
        <x:v>West</x:v>
      </x:c>
      <x:c r="G9488" t="str">
        <x:v>Office Supplies</x:v>
      </x:c>
      <x:c r="H9488" t="str">
        <x:v>Art</x:v>
      </x:c>
      <x:c r="I9488" s="22" t="n">
        <x:v>19.68</x:v>
      </x:c>
      <x:c r="J9488" s="24" t="n">
        <x:v>6</x:v>
      </x:c>
      <x:c r="K9488" s="26" t="n">
        <x:v>0</x:v>
      </x:c>
      <x:c r="L9488" s="22" t="n">
        <x:v>6.494399999999999</x:v>
      </x:c>
      <x:c r="M9488" t="n">
        <x:v>2014</x:v>
      </x:c>
      <x:c r="N9488" s="20" t="n">
        <x:v>41821</x:v>
      </x:c>
    </x:row>
    <x:row r="9489" ht="18" customHeight="1">
      <x:c r="A9489" t="str">
        <x:v>CA-2016-164770</x:v>
      </x:c>
      <x:c r="B9489" s="18" t="n">
        <x:v>42706</x:v>
      </x:c>
      <x:c r="C9489" t="str">
        <x:v>MY-18295</x:v>
      </x:c>
      <x:c r="D9489" t="str">
        <x:v>Muhammed Yedwab</x:v>
      </x:c>
      <x:c r="E9489" t="str">
        <x:v>Corporate</x:v>
      </x:c>
      <x:c r="F9489" t="str">
        <x:v>Central</x:v>
      </x:c>
      <x:c r="G9489" t="str">
        <x:v>Furniture</x:v>
      </x:c>
      <x:c r="H9489" t="str">
        <x:v>Bookcases</x:v>
      </x:c>
      <x:c r="I9489" s="22" t="n">
        <x:v>781.8639999999999</x:v>
      </x:c>
      <x:c r="J9489" s="24" t="n">
        <x:v>10</x:v>
      </x:c>
      <x:c r="K9489" s="26" t="n">
        <x:v>0.32</x:v>
      </x:c>
      <x:c r="L9489" s="22" t="n">
        <x:v>-137.97600000000008</x:v>
      </x:c>
      <x:c r="M9489" t="n">
        <x:v>2016</x:v>
      </x:c>
      <x:c r="N9489" s="20" t="n">
        <x:v>42705</x:v>
      </x:c>
    </x:row>
    <x:row r="9490" ht="18" customHeight="1">
      <x:c r="A9490" t="str">
        <x:v>CA-2016-164770</x:v>
      </x:c>
      <x:c r="B9490" s="18" t="n">
        <x:v>42706</x:v>
      </x:c>
      <x:c r="C9490" t="str">
        <x:v>MY-18295</x:v>
      </x:c>
      <x:c r="D9490" t="str">
        <x:v>Muhammed Yedwab</x:v>
      </x:c>
      <x:c r="E9490" t="str">
        <x:v>Corporate</x:v>
      </x:c>
      <x:c r="F9490" t="str">
        <x:v>Central</x:v>
      </x:c>
      <x:c r="G9490" t="str">
        <x:v>Office Supplies</x:v>
      </x:c>
      <x:c r="H9490" t="str">
        <x:v>Paper</x:v>
      </x:c>
      <x:c r="I9490" s="22" t="n">
        <x:v>30.816000000000003</x:v>
      </x:c>
      <x:c r="J9490" s="24" t="n">
        <x:v>9</x:v>
      </x:c>
      <x:c r="K9490" s="26" t="n">
        <x:v>0.2</x:v>
      </x:c>
      <x:c r="L9490" s="22" t="n">
        <x:v>9.629999999999995</x:v>
      </x:c>
      <x:c r="M9490" t="n">
        <x:v>2016</x:v>
      </x:c>
      <x:c r="N9490" s="20" t="n">
        <x:v>42705</x:v>
      </x:c>
    </x:row>
    <x:row r="9491" ht="18" customHeight="1">
      <x:c r="A9491" t="str">
        <x:v>CA-2017-130505</x:v>
      </x:c>
      <x:c r="B9491" s="18" t="n">
        <x:v>43020</x:v>
      </x:c>
      <x:c r="C9491" t="str">
        <x:v>NF-18385</x:v>
      </x:c>
      <x:c r="D9491" t="str">
        <x:v>Natalie Fritzler</x:v>
      </x:c>
      <x:c r="E9491" t="str">
        <x:v>Consumer</x:v>
      </x:c>
      <x:c r="F9491" t="str">
        <x:v>East</x:v>
      </x:c>
      <x:c r="G9491" t="str">
        <x:v>Furniture</x:v>
      </x:c>
      <x:c r="H9491" t="str">
        <x:v>Tables</x:v>
      </x:c>
      <x:c r="I9491" s="22" t="n">
        <x:v>673.3439999999999</x:v>
      </x:c>
      <x:c r="J9491" s="24" t="n">
        <x:v>3</x:v>
      </x:c>
      <x:c r="K9491" s="26" t="n">
        <x:v>0.3</x:v>
      </x:c>
      <x:c r="L9491" s="22" t="n">
        <x:v>-76.9536</x:v>
      </x:c>
      <x:c r="M9491" t="n">
        <x:v>2017</x:v>
      </x:c>
      <x:c r="N9491" s="20" t="n">
        <x:v>43009</x:v>
      </x:c>
    </x:row>
    <x:row r="9492" ht="18" customHeight="1">
      <x:c r="A9492" t="str">
        <x:v>US-2017-125213</x:v>
      </x:c>
      <x:c r="B9492" s="18" t="n">
        <x:v>43080</x:v>
      </x:c>
      <x:c r="C9492" t="str">
        <x:v>NB-18655</x:v>
      </x:c>
      <x:c r="D9492" t="str">
        <x:v>Nona Balk</x:v>
      </x:c>
      <x:c r="E9492" t="str">
        <x:v>Corporate</x:v>
      </x:c>
      <x:c r="F9492" t="str">
        <x:v>East</x:v>
      </x:c>
      <x:c r="G9492" t="str">
        <x:v>Office Supplies</x:v>
      </x:c>
      <x:c r="H9492" t="str">
        <x:v>Fasteners</x:v>
      </x:c>
      <x:c r="I9492" s="22" t="n">
        <x:v>6.540000000000001</x:v>
      </x:c>
      <x:c r="J9492" s="24" t="n">
        <x:v>3</x:v>
      </x:c>
      <x:c r="K9492" s="26" t="n">
        <x:v>0</x:v>
      </x:c>
      <x:c r="L9492" s="22" t="n">
        <x:v>2.1582</x:v>
      </x:c>
      <x:c r="M9492" t="n">
        <x:v>2017</x:v>
      </x:c>
      <x:c r="N9492" s="20" t="n">
        <x:v>43070</x:v>
      </x:c>
    </x:row>
    <x:row r="9493" ht="18" customHeight="1">
      <x:c r="A9493" t="str">
        <x:v>CA-2015-156566</x:v>
      </x:c>
      <x:c r="B9493" s="18" t="n">
        <x:v>42278</x:v>
      </x:c>
      <x:c r="C9493" t="str">
        <x:v>EM-13960</x:v>
      </x:c>
      <x:c r="D9493" t="str">
        <x:v>Eric Murdock</x:v>
      </x:c>
      <x:c r="E9493" t="str">
        <x:v>Consumer</x:v>
      </x:c>
      <x:c r="F9493" t="str">
        <x:v>West</x:v>
      </x:c>
      <x:c r="G9493" t="str">
        <x:v>Technology</x:v>
      </x:c>
      <x:c r="H9493" t="str">
        <x:v>Phones</x:v>
      </x:c>
      <x:c r="I9493" s="22" t="n">
        <x:v>572.8000000000001</x:v>
      </x:c>
      <x:c r="J9493" s="24" t="n">
        <x:v>2</x:v>
      </x:c>
      <x:c r="K9493" s="26" t="n">
        <x:v>0.2</x:v>
      </x:c>
      <x:c r="L9493" s="22" t="n">
        <x:v>50.12000000000003</x:v>
      </x:c>
      <x:c r="M9493" t="n">
        <x:v>2015</x:v>
      </x:c>
      <x:c r="N9493" s="20" t="n">
        <x:v>42278</x:v>
      </x:c>
    </x:row>
    <x:row r="9494" ht="18" customHeight="1">
      <x:c r="A9494" t="str">
        <x:v>US-2016-102232</x:v>
      </x:c>
      <x:c r="B9494" s="18" t="n">
        <x:v>42587</x:v>
      </x:c>
      <x:c r="C9494" t="str">
        <x:v>MF-17665</x:v>
      </x:c>
      <x:c r="D9494" t="str">
        <x:v>Maureen Fritzler</x:v>
      </x:c>
      <x:c r="E9494" t="str">
        <x:v>Corporate</x:v>
      </x:c>
      <x:c r="F9494" t="str">
        <x:v>South</x:v>
      </x:c>
      <x:c r="G9494" t="str">
        <x:v>Office Supplies</x:v>
      </x:c>
      <x:c r="H9494" t="str">
        <x:v>Art</x:v>
      </x:c>
      <x:c r="I9494" s="22" t="n">
        <x:v>197.04999999999998</x:v>
      </x:c>
      <x:c r="J9494" s="24" t="n">
        <x:v>7</x:v>
      </x:c>
      <x:c r="K9494" s="26" t="n">
        <x:v>0</x:v>
      </x:c>
      <x:c r="L9494" s="22" t="n">
        <x:v>59.11499999999998</x:v>
      </x:c>
      <x:c r="M9494" t="n">
        <x:v>2016</x:v>
      </x:c>
      <x:c r="N9494" s="20" t="n">
        <x:v>42583</x:v>
      </x:c>
    </x:row>
    <x:row r="9495" ht="18" customHeight="1">
      <x:c r="A9495" t="str">
        <x:v>CA-2017-111738</x:v>
      </x:c>
      <x:c r="B9495" s="18" t="n">
        <x:v>42738</x:v>
      </x:c>
      <x:c r="C9495" t="str">
        <x:v>CM-12385</x:v>
      </x:c>
      <x:c r="D9495" t="str">
        <x:v>Christopher Martinez</x:v>
      </x:c>
      <x:c r="E9495" t="str">
        <x:v>Consumer</x:v>
      </x:c>
      <x:c r="F9495" t="str">
        <x:v>West</x:v>
      </x:c>
      <x:c r="G9495" t="str">
        <x:v>Office Supplies</x:v>
      </x:c>
      <x:c r="H9495" t="str">
        <x:v>Binders</x:v>
      </x:c>
      <x:c r="I9495" s="22" t="n">
        <x:v>2022.2720000000002</x:v>
      </x:c>
      <x:c r="J9495" s="24" t="n">
        <x:v>8</x:v>
      </x:c>
      <x:c r="K9495" s="26" t="n">
        <x:v>0.2</x:v>
      </x:c>
      <x:c r="L9495" s="22" t="n">
        <x:v>682.5168000000001</x:v>
      </x:c>
      <x:c r="M9495" t="n">
        <x:v>2017</x:v>
      </x:c>
      <x:c r="N9495" s="20" t="n">
        <x:v>42736</x:v>
      </x:c>
    </x:row>
    <x:row r="9496" ht="18" customHeight="1">
      <x:c r="A9496" t="str">
        <x:v>CA-2017-111738</x:v>
      </x:c>
      <x:c r="B9496" s="18" t="n">
        <x:v>42738</x:v>
      </x:c>
      <x:c r="C9496" t="str">
        <x:v>CM-12385</x:v>
      </x:c>
      <x:c r="D9496" t="str">
        <x:v>Christopher Martinez</x:v>
      </x:c>
      <x:c r="E9496" t="str">
        <x:v>Consumer</x:v>
      </x:c>
      <x:c r="F9496" t="str">
        <x:v>West</x:v>
      </x:c>
      <x:c r="G9496" t="str">
        <x:v>Office Supplies</x:v>
      </x:c>
      <x:c r="H9496" t="str">
        <x:v>Art</x:v>
      </x:c>
      <x:c r="I9496" s="22" t="n">
        <x:v>9.120000000000001</x:v>
      </x:c>
      <x:c r="J9496" s="24" t="n">
        <x:v>3</x:v>
      </x:c>
      <x:c r="K9496" s="26" t="n">
        <x:v>0</x:v>
      </x:c>
      <x:c r="L9496" s="22" t="n">
        <x:v>3.1007999999999996</x:v>
      </x:c>
      <x:c r="M9496" t="n">
        <x:v>2017</x:v>
      </x:c>
      <x:c r="N9496" s="20" t="n">
        <x:v>42736</x:v>
      </x:c>
    </x:row>
    <x:row r="9497" ht="18" customHeight="1">
      <x:c r="A9497" t="str">
        <x:v>CA-2017-163188</x:v>
      </x:c>
      <x:c r="B9497" s="18" t="n">
        <x:v>43046</x:v>
      </x:c>
      <x:c r="C9497" t="str">
        <x:v>EC-14050</x:v>
      </x:c>
      <x:c r="D9497" t="str">
        <x:v>Erin Creighton</x:v>
      </x:c>
      <x:c r="E9497" t="str">
        <x:v>Consumer</x:v>
      </x:c>
      <x:c r="F9497" t="str">
        <x:v>Central</x:v>
      </x:c>
      <x:c r="G9497" t="str">
        <x:v>Office Supplies</x:v>
      </x:c>
      <x:c r="H9497" t="str">
        <x:v>Binders</x:v>
      </x:c>
      <x:c r="I9497" s="22" t="n">
        <x:v>38.160000000000004</x:v>
      </x:c>
      <x:c r="J9497" s="24" t="n">
        <x:v>9</x:v>
      </x:c>
      <x:c r="K9497" s="26" t="n">
        <x:v>0</x:v>
      </x:c>
      <x:c r="L9497" s="22" t="n">
        <x:v>19.080000000000002</x:v>
      </x:c>
      <x:c r="M9497" t="n">
        <x:v>2017</x:v>
      </x:c>
      <x:c r="N9497" s="20" t="n">
        <x:v>43040</x:v>
      </x:c>
    </x:row>
    <x:row r="9498" ht="18" customHeight="1">
      <x:c r="A9498" t="str">
        <x:v>CA-2016-105207</x:v>
      </x:c>
      <x:c r="B9498" s="18" t="n">
        <x:v>42372</x:v>
      </x:c>
      <x:c r="C9498" t="str">
        <x:v>BO-11350</x:v>
      </x:c>
      <x:c r="D9498" t="str">
        <x:v>Bill Overfelt</x:v>
      </x:c>
      <x:c r="E9498" t="str">
        <x:v>Corporate</x:v>
      </x:c>
      <x:c r="F9498" t="str">
        <x:v>Central</x:v>
      </x:c>
      <x:c r="G9498" t="str">
        <x:v>Furniture</x:v>
      </x:c>
      <x:c r="H9498" t="str">
        <x:v>Tables</x:v>
      </x:c>
      <x:c r="I9498" s="22" t="n">
        <x:v>1592.8500000000001</x:v>
      </x:c>
      <x:c r="J9498" s="24" t="n">
        <x:v>7</x:v>
      </x:c>
      <x:c r="K9498" s="26" t="n">
        <x:v>0</x:v>
      </x:c>
      <x:c r="L9498" s="22" t="n">
        <x:v>350.427</x:v>
      </x:c>
      <x:c r="M9498" t="n">
        <x:v>2016</x:v>
      </x:c>
      <x:c r="N9498" s="20" t="n">
        <x:v>42370</x:v>
      </x:c>
    </x:row>
    <x:row r="9499" ht="18" customHeight="1">
      <x:c r="A9499" t="str">
        <x:v>CA-2016-105207</x:v>
      </x:c>
      <x:c r="B9499" s="18" t="n">
        <x:v>42372</x:v>
      </x:c>
      <x:c r="C9499" t="str">
        <x:v>BO-11350</x:v>
      </x:c>
      <x:c r="D9499" t="str">
        <x:v>Bill Overfelt</x:v>
      </x:c>
      <x:c r="E9499" t="str">
        <x:v>Corporate</x:v>
      </x:c>
      <x:c r="F9499" t="str">
        <x:v>Central</x:v>
      </x:c>
      <x:c r="G9499" t="str">
        <x:v>Office Supplies</x:v>
      </x:c>
      <x:c r="H9499" t="str">
        <x:v>Binders</x:v>
      </x:c>
      <x:c r="I9499" s="22" t="n">
        <x:v>11.88</x:v>
      </x:c>
      <x:c r="J9499" s="24" t="n">
        <x:v>2</x:v>
      </x:c>
      <x:c r="K9499" s="26" t="n">
        <x:v>0</x:v>
      </x:c>
      <x:c r="L9499" s="22" t="n">
        <x:v>5.346</x:v>
      </x:c>
      <x:c r="M9499" t="n">
        <x:v>2016</x:v>
      </x:c>
      <x:c r="N9499" s="20" t="n">
        <x:v>42370</x:v>
      </x:c>
    </x:row>
    <x:row r="9500" ht="18" customHeight="1">
      <x:c r="A9500" t="str">
        <x:v>US-2016-123610</x:v>
      </x:c>
      <x:c r="B9500" s="18" t="n">
        <x:v>42502</x:v>
      </x:c>
      <x:c r="C9500" t="str">
        <x:v>VM-21835</x:v>
      </x:c>
      <x:c r="D9500" t="str">
        <x:v>Vivian Mathis</x:v>
      </x:c>
      <x:c r="E9500" t="str">
        <x:v>Consumer</x:v>
      </x:c>
      <x:c r="F9500" t="str">
        <x:v>West</x:v>
      </x:c>
      <x:c r="G9500" t="str">
        <x:v>Technology</x:v>
      </x:c>
      <x:c r="H9500" t="str">
        <x:v>Accessories</x:v>
      </x:c>
      <x:c r="I9500" s="22" t="n">
        <x:v>120</x:v>
      </x:c>
      <x:c r="J9500" s="24" t="n">
        <x:v>6</x:v>
      </x:c>
      <x:c r="K9500" s="26" t="n">
        <x:v>0</x:v>
      </x:c>
      <x:c r="L9500" s="22" t="n">
        <x:v>46.800000000000004</x:v>
      </x:c>
      <x:c r="M9500" t="n">
        <x:v>2016</x:v>
      </x:c>
      <x:c r="N9500" s="20" t="n">
        <x:v>42491</x:v>
      </x:c>
    </x:row>
    <x:row r="9501" ht="18" customHeight="1">
      <x:c r="A9501" t="str">
        <x:v>US-2016-123610</x:v>
      </x:c>
      <x:c r="B9501" s="18" t="n">
        <x:v>42502</x:v>
      </x:c>
      <x:c r="C9501" t="str">
        <x:v>VM-21835</x:v>
      </x:c>
      <x:c r="D9501" t="str">
        <x:v>Vivian Mathis</x:v>
      </x:c>
      <x:c r="E9501" t="str">
        <x:v>Consumer</x:v>
      </x:c>
      <x:c r="F9501" t="str">
        <x:v>West</x:v>
      </x:c>
      <x:c r="G9501" t="str">
        <x:v>Office Supplies</x:v>
      </x:c>
      <x:c r="H9501" t="str">
        <x:v>Appliances</x:v>
      </x:c>
      <x:c r="I9501" s="22" t="n">
        <x:v>8.67</x:v>
      </x:c>
      <x:c r="J9501" s="24" t="n">
        <x:v>1</x:v>
      </x:c>
      <x:c r="K9501" s="26" t="n">
        <x:v>0</x:v>
      </x:c>
      <x:c r="L9501" s="22" t="n">
        <x:v>2.3409000000000004</x:v>
      </x:c>
      <x:c r="M9501" t="n">
        <x:v>2016</x:v>
      </x:c>
      <x:c r="N9501" s="20" t="n">
        <x:v>42491</x:v>
      </x:c>
    </x:row>
    <x:row r="9502" ht="18" customHeight="1">
      <x:c r="A9502" t="str">
        <x:v>CA-2017-118213</x:v>
      </x:c>
      <x:c r="B9502" s="18" t="n">
        <x:v>43044</x:v>
      </x:c>
      <x:c r="C9502" t="str">
        <x:v>AB-10060</x:v>
      </x:c>
      <x:c r="D9502" t="str">
        <x:v>Adam Bellavance</x:v>
      </x:c>
      <x:c r="E9502" t="str">
        <x:v>Home Office</x:v>
      </x:c>
      <x:c r="F9502" t="str">
        <x:v>Central</x:v>
      </x:c>
      <x:c r="G9502" t="str">
        <x:v>Office Supplies</x:v>
      </x:c>
      <x:c r="H9502" t="str">
        <x:v>Paper</x:v>
      </x:c>
      <x:c r="I9502" s="22" t="n">
        <x:v>4.41</x:v>
      </x:c>
      <x:c r="J9502" s="24" t="n">
        <x:v>1</x:v>
      </x:c>
      <x:c r="K9502" s="26" t="n">
        <x:v>0</x:v>
      </x:c>
      <x:c r="L9502" s="22" t="n">
        <x:v>2.0286</x:v>
      </x:c>
      <x:c r="M9502" t="n">
        <x:v>2017</x:v>
      </x:c>
      <x:c r="N9502" s="20" t="n">
        <x:v>43040</x:v>
      </x:c>
    </x:row>
    <x:row r="9503" ht="18" customHeight="1">
      <x:c r="A9503" t="str">
        <x:v>CA-2017-118213</x:v>
      </x:c>
      <x:c r="B9503" s="18" t="n">
        <x:v>43044</x:v>
      </x:c>
      <x:c r="C9503" t="str">
        <x:v>AB-10060</x:v>
      </x:c>
      <x:c r="D9503" t="str">
        <x:v>Adam Bellavance</x:v>
      </x:c>
      <x:c r="E9503" t="str">
        <x:v>Home Office</x:v>
      </x:c>
      <x:c r="F9503" t="str">
        <x:v>Central</x:v>
      </x:c>
      <x:c r="G9503" t="str">
        <x:v>Office Supplies</x:v>
      </x:c>
      <x:c r="H9503" t="str">
        <x:v>Paper</x:v>
      </x:c>
      <x:c r="I9503" s="22" t="n">
        <x:v>167.94</x:v>
      </x:c>
      <x:c r="J9503" s="24" t="n">
        <x:v>3</x:v>
      </x:c>
      <x:c r="K9503" s="26" t="n">
        <x:v>0</x:v>
      </x:c>
      <x:c r="L9503" s="22" t="n">
        <x:v>82.2906</x:v>
      </x:c>
      <x:c r="M9503" t="n">
        <x:v>2017</x:v>
      </x:c>
      <x:c r="N9503" s="20" t="n">
        <x:v>43040</x:v>
      </x:c>
    </x:row>
    <x:row r="9504" ht="18" customHeight="1">
      <x:c r="A9504" t="str">
        <x:v>CA-2017-118213</x:v>
      </x:c>
      <x:c r="B9504" s="18" t="n">
        <x:v>43044</x:v>
      </x:c>
      <x:c r="C9504" t="str">
        <x:v>AB-10060</x:v>
      </x:c>
      <x:c r="D9504" t="str">
        <x:v>Adam Bellavance</x:v>
      </x:c>
      <x:c r="E9504" t="str">
        <x:v>Home Office</x:v>
      </x:c>
      <x:c r="F9504" t="str">
        <x:v>Central</x:v>
      </x:c>
      <x:c r="G9504" t="str">
        <x:v>Office Supplies</x:v>
      </x:c>
      <x:c r="H9504" t="str">
        <x:v>Paper</x:v>
      </x:c>
      <x:c r="I9504" s="22" t="n">
        <x:v>67.8</x:v>
      </x:c>
      <x:c r="J9504" s="24" t="n">
        <x:v>10</x:v>
      </x:c>
      <x:c r="K9504" s="26" t="n">
        <x:v>0</x:v>
      </x:c>
      <x:c r="L9504" s="22" t="n">
        <x:v>31.188</x:v>
      </x:c>
      <x:c r="M9504" t="n">
        <x:v>2017</x:v>
      </x:c>
      <x:c r="N9504" s="20" t="n">
        <x:v>43040</x:v>
      </x:c>
    </x:row>
    <x:row r="9505" ht="18" customHeight="1">
      <x:c r="A9505" t="str">
        <x:v>CA-2016-149237</x:v>
      </x:c>
      <x:c r="B9505" s="18" t="n">
        <x:v>42516</x:v>
      </x:c>
      <x:c r="C9505" t="str">
        <x:v>CM-12235</x:v>
      </x:c>
      <x:c r="D9505" t="str">
        <x:v>Chris McAfee</x:v>
      </x:c>
      <x:c r="E9505" t="str">
        <x:v>Consumer</x:v>
      </x:c>
      <x:c r="F9505" t="str">
        <x:v>Central</x:v>
      </x:c>
      <x:c r="G9505" t="str">
        <x:v>Furniture</x:v>
      </x:c>
      <x:c r="H9505" t="str">
        <x:v>Furnishings</x:v>
      </x:c>
      <x:c r="I9505" s="22" t="n">
        <x:v>26.94</x:v>
      </x:c>
      <x:c r="J9505" s="24" t="n">
        <x:v>3</x:v>
      </x:c>
      <x:c r="K9505" s="26" t="n">
        <x:v>0</x:v>
      </x:c>
      <x:c r="L9505" s="22" t="n">
        <x:v>11.314800000000002</x:v>
      </x:c>
      <x:c r="M9505" t="n">
        <x:v>2016</x:v>
      </x:c>
      <x:c r="N9505" s="20" t="n">
        <x:v>42491</x:v>
      </x:c>
    </x:row>
    <x:row r="9506" ht="18" customHeight="1">
      <x:c r="A9506" t="str">
        <x:v>US-2015-158589</x:v>
      </x:c>
      <x:c r="B9506" s="18" t="n">
        <x:v>42328</x:v>
      </x:c>
      <x:c r="C9506" t="str">
        <x:v>KW-16570</x:v>
      </x:c>
      <x:c r="D9506" t="str">
        <x:v>Kelly Williams</x:v>
      </x:c>
      <x:c r="E9506" t="str">
        <x:v>Consumer</x:v>
      </x:c>
      <x:c r="F9506" t="str">
        <x:v>West</x:v>
      </x:c>
      <x:c r="G9506" t="str">
        <x:v>Furniture</x:v>
      </x:c>
      <x:c r="H9506" t="str">
        <x:v>Furnishings</x:v>
      </x:c>
      <x:c r="I9506" s="22" t="n">
        <x:v>32.04</x:v>
      </x:c>
      <x:c r="J9506" s="24" t="n">
        <x:v>3</x:v>
      </x:c>
      <x:c r="K9506" s="26" t="n">
        <x:v>0</x:v>
      </x:c>
      <x:c r="L9506" s="22" t="n">
        <x:v>8.01</x:v>
      </x:c>
      <x:c r="M9506" t="n">
        <x:v>2015</x:v>
      </x:c>
      <x:c r="N9506" s="20" t="n">
        <x:v>42309</x:v>
      </x:c>
    </x:row>
    <x:row r="9507" ht="18" customHeight="1">
      <x:c r="A9507" t="str">
        <x:v>CA-2016-101329</x:v>
      </x:c>
      <x:c r="B9507" s="18" t="n">
        <x:v>42482</x:v>
      </x:c>
      <x:c r="C9507" t="str">
        <x:v>MM-17920</x:v>
      </x:c>
      <x:c r="D9507" t="str">
        <x:v>Michael Moore</x:v>
      </x:c>
      <x:c r="E9507" t="str">
        <x:v>Consumer</x:v>
      </x:c>
      <x:c r="F9507" t="str">
        <x:v>East</x:v>
      </x:c>
      <x:c r="G9507" t="str">
        <x:v>Office Supplies</x:v>
      </x:c>
      <x:c r="H9507" t="str">
        <x:v>Art</x:v>
      </x:c>
      <x:c r="I9507" s="22" t="n">
        <x:v>32.129999999999995</x:v>
      </x:c>
      <x:c r="J9507" s="24" t="n">
        <x:v>9</x:v>
      </x:c>
      <x:c r="K9507" s="26" t="n">
        <x:v>0</x:v>
      </x:c>
      <x:c r="L9507" s="22" t="n">
        <x:v>8.3538</x:v>
      </x:c>
      <x:c r="M9507" t="n">
        <x:v>2016</x:v>
      </x:c>
      <x:c r="N9507" s="20" t="n">
        <x:v>42461</x:v>
      </x:c>
    </x:row>
    <x:row r="9508" ht="18" customHeight="1">
      <x:c r="A9508" t="str">
        <x:v>CA-2016-101329</x:v>
      </x:c>
      <x:c r="B9508" s="18" t="n">
        <x:v>42482</x:v>
      </x:c>
      <x:c r="C9508" t="str">
        <x:v>MM-17920</x:v>
      </x:c>
      <x:c r="D9508" t="str">
        <x:v>Michael Moore</x:v>
      </x:c>
      <x:c r="E9508" t="str">
        <x:v>Consumer</x:v>
      </x:c>
      <x:c r="F9508" t="str">
        <x:v>East</x:v>
      </x:c>
      <x:c r="G9508" t="str">
        <x:v>Office Supplies</x:v>
      </x:c>
      <x:c r="H9508" t="str">
        <x:v>Art</x:v>
      </x:c>
      <x:c r="I9508" s="22" t="n">
        <x:v>2.88</x:v>
      </x:c>
      <x:c r="J9508" s="24" t="n">
        <x:v>1</x:v>
      </x:c>
      <x:c r="K9508" s="26" t="n">
        <x:v>0</x:v>
      </x:c>
      <x:c r="L9508" s="22" t="n">
        <x:v>0.8064</x:v>
      </x:c>
      <x:c r="M9508" t="n">
        <x:v>2016</x:v>
      </x:c>
      <x:c r="N9508" s="20" t="n">
        <x:v>42461</x:v>
      </x:c>
    </x:row>
    <x:row r="9509" ht="18" customHeight="1">
      <x:c r="A9509" t="str">
        <x:v>CA-2016-113607</x:v>
      </x:c>
      <x:c r="B9509" s="18" t="n">
        <x:v>42657</x:v>
      </x:c>
      <x:c r="C9509" t="str">
        <x:v>PW-19030</x:v>
      </x:c>
      <x:c r="D9509" t="str">
        <x:v>Pauline Webber</x:v>
      </x:c>
      <x:c r="E9509" t="str">
        <x:v>Corporate</x:v>
      </x:c>
      <x:c r="F9509" t="str">
        <x:v>East</x:v>
      </x:c>
      <x:c r="G9509" t="str">
        <x:v>Technology</x:v>
      </x:c>
      <x:c r="H9509" t="str">
        <x:v>Phones</x:v>
      </x:c>
      <x:c r="I9509" s="22" t="n">
        <x:v>1091.93</x:v>
      </x:c>
      <x:c r="J9509" s="24" t="n">
        <x:v>7</x:v>
      </x:c>
      <x:c r="K9509" s="26" t="n">
        <x:v>0</x:v>
      </x:c>
      <x:c r="L9509" s="22" t="n">
        <x:v>272.9825</x:v>
      </x:c>
      <x:c r="M9509" t="n">
        <x:v>2016</x:v>
      </x:c>
      <x:c r="N9509" s="20" t="n">
        <x:v>42644</x:v>
      </x:c>
    </x:row>
    <x:row r="9510" ht="18" customHeight="1">
      <x:c r="A9510" t="str">
        <x:v>CA-2016-113607</x:v>
      </x:c>
      <x:c r="B9510" s="18" t="n">
        <x:v>42657</x:v>
      </x:c>
      <x:c r="C9510" t="str">
        <x:v>PW-19030</x:v>
      </x:c>
      <x:c r="D9510" t="str">
        <x:v>Pauline Webber</x:v>
      </x:c>
      <x:c r="E9510" t="str">
        <x:v>Corporate</x:v>
      </x:c>
      <x:c r="F9510" t="str">
        <x:v>East</x:v>
      </x:c>
      <x:c r="G9510" t="str">
        <x:v>Office Supplies</x:v>
      </x:c>
      <x:c r="H9510" t="str">
        <x:v>Paper</x:v>
      </x:c>
      <x:c r="I9510" s="22" t="n">
        <x:v>111.96</x:v>
      </x:c>
      <x:c r="J9510" s="24" t="n">
        <x:v>2</x:v>
      </x:c>
      <x:c r="K9510" s="26" t="n">
        <x:v>0</x:v>
      </x:c>
      <x:c r="L9510" s="22" t="n">
        <x:v>54.8604</x:v>
      </x:c>
      <x:c r="M9510" t="n">
        <x:v>2016</x:v>
      </x:c>
      <x:c r="N9510" s="20" t="n">
        <x:v>42644</x:v>
      </x:c>
    </x:row>
    <x:row r="9511" ht="18" customHeight="1">
      <x:c r="A9511" t="str">
        <x:v>CA-2014-149104</x:v>
      </x:c>
      <x:c r="B9511" s="18" t="n">
        <x:v>41734</x:v>
      </x:c>
      <x:c r="C9511" t="str">
        <x:v>RD-19900</x:v>
      </x:c>
      <x:c r="D9511" t="str">
        <x:v>Ruben Dartt</x:v>
      </x:c>
      <x:c r="E9511" t="str">
        <x:v>Consumer</x:v>
      </x:c>
      <x:c r="F9511" t="str">
        <x:v>Central</x:v>
      </x:c>
      <x:c r="G9511" t="str">
        <x:v>Office Supplies</x:v>
      </x:c>
      <x:c r="H9511" t="str">
        <x:v>Art</x:v>
      </x:c>
      <x:c r="I9511" s="22" t="n">
        <x:v>26.7</x:v>
      </x:c>
      <x:c r="J9511" s="24" t="n">
        <x:v>2</x:v>
      </x:c>
      <x:c r="K9511" s="26" t="n">
        <x:v>0</x:v>
      </x:c>
      <x:c r="L9511" s="22" t="n">
        <x:v>7.475999999999999</x:v>
      </x:c>
      <x:c r="M9511" t="n">
        <x:v>2014</x:v>
      </x:c>
      <x:c r="N9511" s="20" t="n">
        <x:v>41730</x:v>
      </x:c>
    </x:row>
    <x:row r="9512" ht="18" customHeight="1">
      <x:c r="A9512" t="str">
        <x:v>CA-2014-149104</x:v>
      </x:c>
      <x:c r="B9512" s="18" t="n">
        <x:v>41734</x:v>
      </x:c>
      <x:c r="C9512" t="str">
        <x:v>RD-19900</x:v>
      </x:c>
      <x:c r="D9512" t="str">
        <x:v>Ruben Dartt</x:v>
      </x:c>
      <x:c r="E9512" t="str">
        <x:v>Consumer</x:v>
      </x:c>
      <x:c r="F9512" t="str">
        <x:v>Central</x:v>
      </x:c>
      <x:c r="G9512" t="str">
        <x:v>Office Supplies</x:v>
      </x:c>
      <x:c r="H9512" t="str">
        <x:v>Binders</x:v>
      </x:c>
      <x:c r="I9512" s="22" t="n">
        <x:v>40.199999999999996</x:v>
      </x:c>
      <x:c r="J9512" s="24" t="n">
        <x:v>5</x:v>
      </x:c>
      <x:c r="K9512" s="26" t="n">
        <x:v>0</x:v>
      </x:c>
      <x:c r="L9512" s="22" t="n">
        <x:v>18.089999999999996</x:v>
      </x:c>
      <x:c r="M9512" t="n">
        <x:v>2014</x:v>
      </x:c>
      <x:c r="N9512" s="20" t="n">
        <x:v>41730</x:v>
      </x:c>
    </x:row>
    <x:row r="9513" ht="18" customHeight="1">
      <x:c r="A9513" t="str">
        <x:v>CA-2014-149104</x:v>
      </x:c>
      <x:c r="B9513" s="18" t="n">
        <x:v>41734</x:v>
      </x:c>
      <x:c r="C9513" t="str">
        <x:v>RD-19900</x:v>
      </x:c>
      <x:c r="D9513" t="str">
        <x:v>Ruben Dartt</x:v>
      </x:c>
      <x:c r="E9513" t="str">
        <x:v>Consumer</x:v>
      </x:c>
      <x:c r="F9513" t="str">
        <x:v>Central</x:v>
      </x:c>
      <x:c r="G9513" t="str">
        <x:v>Office Supplies</x:v>
      </x:c>
      <x:c r="H9513" t="str">
        <x:v>Art</x:v>
      </x:c>
      <x:c r="I9513" s="22" t="n">
        <x:v>13.89</x:v>
      </x:c>
      <x:c r="J9513" s="24" t="n">
        <x:v>3</x:v>
      </x:c>
      <x:c r="K9513" s="26" t="n">
        <x:v>0</x:v>
      </x:c>
      <x:c r="L9513" s="22" t="n">
        <x:v>4.583699999999999</x:v>
      </x:c>
      <x:c r="M9513" t="n">
        <x:v>2014</x:v>
      </x:c>
      <x:c r="N9513" s="20" t="n">
        <x:v>41730</x:v>
      </x:c>
    </x:row>
    <x:row r="9514" ht="18" customHeight="1">
      <x:c r="A9514" t="str">
        <x:v>CA-2014-149104</x:v>
      </x:c>
      <x:c r="B9514" s="18" t="n">
        <x:v>41734</x:v>
      </x:c>
      <x:c r="C9514" t="str">
        <x:v>RD-19900</x:v>
      </x:c>
      <x:c r="D9514" t="str">
        <x:v>Ruben Dartt</x:v>
      </x:c>
      <x:c r="E9514" t="str">
        <x:v>Consumer</x:v>
      </x:c>
      <x:c r="F9514" t="str">
        <x:v>Central</x:v>
      </x:c>
      <x:c r="G9514" t="str">
        <x:v>Office Supplies</x:v>
      </x:c>
      <x:c r="H9514" t="str">
        <x:v>Storage</x:v>
      </x:c>
      <x:c r="I9514" s="22" t="n">
        <x:v>689.8199999999999</x:v>
      </x:c>
      <x:c r="J9514" s="24" t="n">
        <x:v>6</x:v>
      </x:c>
      <x:c r="K9514" s="26" t="n">
        <x:v>0</x:v>
      </x:c>
      <x:c r="L9514" s="22" t="n">
        <x:v>20.69460000000001</x:v>
      </x:c>
      <x:c r="M9514" t="n">
        <x:v>2014</x:v>
      </x:c>
      <x:c r="N9514" s="20" t="n">
        <x:v>41730</x:v>
      </x:c>
    </x:row>
    <x:row r="9515" ht="18" customHeight="1">
      <x:c r="A9515" t="str">
        <x:v>CA-2016-105263</x:v>
      </x:c>
      <x:c r="B9515" s="18" t="n">
        <x:v>42588</x:v>
      </x:c>
      <x:c r="C9515" t="str">
        <x:v>LM-17065</x:v>
      </x:c>
      <x:c r="D9515" t="str">
        <x:v>Liz MacKendrick</x:v>
      </x:c>
      <x:c r="E9515" t="str">
        <x:v>Consumer</x:v>
      </x:c>
      <x:c r="F9515" t="str">
        <x:v>East</x:v>
      </x:c>
      <x:c r="G9515" t="str">
        <x:v>Office Supplies</x:v>
      </x:c>
      <x:c r="H9515" t="str">
        <x:v>Art</x:v>
      </x:c>
      <x:c r="I9515" s="22" t="n">
        <x:v>38.339999999999996</x:v>
      </x:c>
      <x:c r="J9515" s="24" t="n">
        <x:v>9</x:v>
      </x:c>
      <x:c r="K9515" s="26" t="n">
        <x:v>0</x:v>
      </x:c>
      <x:c r="L9515" s="22" t="n">
        <x:v>15.7194</x:v>
      </x:c>
      <x:c r="M9515" t="n">
        <x:v>2016</x:v>
      </x:c>
      <x:c r="N9515" s="20" t="n">
        <x:v>42583</x:v>
      </x:c>
    </x:row>
    <x:row r="9516" ht="18" customHeight="1">
      <x:c r="A9516" t="str">
        <x:v>CA-2014-130575</x:v>
      </x:c>
      <x:c r="B9516" s="18" t="n">
        <x:v>41987</x:v>
      </x:c>
      <x:c r="C9516" t="str">
        <x:v>CS-11845</x:v>
      </x:c>
      <x:c r="D9516" t="str">
        <x:v>Cari Sayre</x:v>
      </x:c>
      <x:c r="E9516" t="str">
        <x:v>Corporate</x:v>
      </x:c>
      <x:c r="F9516" t="str">
        <x:v>Central</x:v>
      </x:c>
      <x:c r="G9516" t="str">
        <x:v>Office Supplies</x:v>
      </x:c>
      <x:c r="H9516" t="str">
        <x:v>Binders</x:v>
      </x:c>
      <x:c r="I9516" s="22" t="n">
        <x:v>9.263999999999998</x:v>
      </x:c>
      <x:c r="J9516" s="24" t="n">
        <x:v>3</x:v>
      </x:c>
      <x:c r="K9516" s="26" t="n">
        <x:v>0.8</x:v>
      </x:c>
      <x:c r="L9516" s="22" t="n">
        <x:v>-13.895999999999997</x:v>
      </x:c>
      <x:c r="M9516" t="n">
        <x:v>2014</x:v>
      </x:c>
      <x:c r="N9516" s="20" t="n">
        <x:v>41974</x:v>
      </x:c>
    </x:row>
    <x:row r="9517" ht="18" customHeight="1">
      <x:c r="A9517" t="str">
        <x:v>CA-2017-142461</x:v>
      </x:c>
      <x:c r="B9517" s="18" t="n">
        <x:v>42885</x:v>
      </x:c>
      <x:c r="C9517" t="str">
        <x:v>KT-16480</x:v>
      </x:c>
      <x:c r="D9517" t="str">
        <x:v>Kean Thornton</x:v>
      </x:c>
      <x:c r="E9517" t="str">
        <x:v>Consumer</x:v>
      </x:c>
      <x:c r="F9517" t="str">
        <x:v>Central</x:v>
      </x:c>
      <x:c r="G9517" t="str">
        <x:v>Furniture</x:v>
      </x:c>
      <x:c r="H9517" t="str">
        <x:v>Bookcases</x:v>
      </x:c>
      <x:c r="I9517" s="22" t="n">
        <x:v>204.66639999999998</x:v>
      </x:c>
      <x:c r="J9517" s="24" t="n">
        <x:v>1</x:v>
      </x:c>
      <x:c r="K9517" s="26" t="n">
        <x:v>0.32</x:v>
      </x:c>
      <x:c r="L9517" s="22" t="n">
        <x:v>-6.019600000000025</x:v>
      </x:c>
      <x:c r="M9517" t="n">
        <x:v>2017</x:v>
      </x:c>
      <x:c r="N9517" s="20" t="n">
        <x:v>42856</x:v>
      </x:c>
    </x:row>
    <x:row r="9518" ht="18" customHeight="1">
      <x:c r="A9518" t="str">
        <x:v>CA-2016-125220</x:v>
      </x:c>
      <x:c r="B9518" s="18" t="n">
        <x:v>42657</x:v>
      </x:c>
      <x:c r="C9518" t="str">
        <x:v>BE-11410</x:v>
      </x:c>
      <x:c r="D9518" t="str">
        <x:v>Bobby Elias</x:v>
      </x:c>
      <x:c r="E9518" t="str">
        <x:v>Consumer</x:v>
      </x:c>
      <x:c r="F9518" t="str">
        <x:v>Central</x:v>
      </x:c>
      <x:c r="G9518" t="str">
        <x:v>Technology</x:v>
      </x:c>
      <x:c r="H9518" t="str">
        <x:v>Accessories</x:v>
      </x:c>
      <x:c r="I9518" s="22" t="n">
        <x:v>1649.75</x:v>
      </x:c>
      <x:c r="J9518" s="24" t="n">
        <x:v>5</x:v>
      </x:c>
      <x:c r="K9518" s="26" t="n">
        <x:v>0</x:v>
      </x:c>
      <x:c r="L9518" s="22" t="n">
        <x:v>544.4174999999998</x:v>
      </x:c>
      <x:c r="M9518" t="n">
        <x:v>2016</x:v>
      </x:c>
      <x:c r="N9518" s="20" t="n">
        <x:v>42644</x:v>
      </x:c>
    </x:row>
    <x:row r="9519" ht="18" customHeight="1">
      <x:c r="A9519" t="str">
        <x:v>CA-2014-100293</x:v>
      </x:c>
      <x:c r="B9519" s="18" t="n">
        <x:v>41712</x:v>
      </x:c>
      <x:c r="C9519" t="str">
        <x:v>NF-18475</x:v>
      </x:c>
      <x:c r="D9519" t="str">
        <x:v>Neil Französisch</x:v>
      </x:c>
      <x:c r="E9519" t="str">
        <x:v>Home Office</x:v>
      </x:c>
      <x:c r="F9519" t="str">
        <x:v>South</x:v>
      </x:c>
      <x:c r="G9519" t="str">
        <x:v>Office Supplies</x:v>
      </x:c>
      <x:c r="H9519" t="str">
        <x:v>Paper</x:v>
      </x:c>
      <x:c r="I9519" s="22" t="n">
        <x:v>91.056</x:v>
      </x:c>
      <x:c r="J9519" s="24" t="n">
        <x:v>6</x:v>
      </x:c>
      <x:c r="K9519" s="26" t="n">
        <x:v>0.2</x:v>
      </x:c>
      <x:c r="L9519" s="22" t="n">
        <x:v>31.869599999999995</x:v>
      </x:c>
      <x:c r="M9519" t="n">
        <x:v>2014</x:v>
      </x:c>
      <x:c r="N9519" s="20" t="n">
        <x:v>41699</x:v>
      </x:c>
    </x:row>
    <x:row r="9520" ht="18" customHeight="1">
      <x:c r="A9520" t="str">
        <x:v>CA-2014-154165</x:v>
      </x:c>
      <x:c r="B9520" s="18" t="n">
        <x:v>41687</x:v>
      </x:c>
      <x:c r="C9520" t="str">
        <x:v>DL-13315</x:v>
      </x:c>
      <x:c r="D9520" t="str">
        <x:v>Delfina Latchford</x:v>
      </x:c>
      <x:c r="E9520" t="str">
        <x:v>Consumer</x:v>
      </x:c>
      <x:c r="F9520" t="str">
        <x:v>Central</x:v>
      </x:c>
      <x:c r="G9520" t="str">
        <x:v>Office Supplies</x:v>
      </x:c>
      <x:c r="H9520" t="str">
        <x:v>Art</x:v>
      </x:c>
      <x:c r="I9520" s="22" t="n">
        <x:v>54.208</x:v>
      </x:c>
      <x:c r="J9520" s="24" t="n">
        <x:v>14</x:v>
      </x:c>
      <x:c r="K9520" s="26" t="n">
        <x:v>0.2</x:v>
      </x:c>
      <x:c r="L9520" s="22" t="n">
        <x:v>8.808799999999998</x:v>
      </x:c>
      <x:c r="M9520" t="n">
        <x:v>2014</x:v>
      </x:c>
      <x:c r="N9520" s="20" t="n">
        <x:v>41671</x:v>
      </x:c>
    </x:row>
    <x:row r="9521" ht="18" customHeight="1">
      <x:c r="A9521" t="str">
        <x:v>CA-2015-123939</x:v>
      </x:c>
      <x:c r="B9521" s="18" t="n">
        <x:v>42240</x:v>
      </x:c>
      <x:c r="C9521" t="str">
        <x:v>MS-17710</x:v>
      </x:c>
      <x:c r="D9521" t="str">
        <x:v>Maurice Satty</x:v>
      </x:c>
      <x:c r="E9521" t="str">
        <x:v>Consumer</x:v>
      </x:c>
      <x:c r="F9521" t="str">
        <x:v>East</x:v>
      </x:c>
      <x:c r="G9521" t="str">
        <x:v>Technology</x:v>
      </x:c>
      <x:c r="H9521" t="str">
        <x:v>Phones</x:v>
      </x:c>
      <x:c r="I9521" s="22" t="n">
        <x:v>26.982</x:v>
      </x:c>
      <x:c r="J9521" s="24" t="n">
        <x:v>3</x:v>
      </x:c>
      <x:c r="K9521" s="26" t="n">
        <x:v>0.4</x:v>
      </x:c>
      <x:c r="L9521" s="22" t="n">
        <x:v>4.0473</x:v>
      </x:c>
      <x:c r="M9521" t="n">
        <x:v>2015</x:v>
      </x:c>
      <x:c r="N9521" s="20" t="n">
        <x:v>42217</x:v>
      </x:c>
    </x:row>
    <x:row r="9522" ht="18" customHeight="1">
      <x:c r="A9522" t="str">
        <x:v>CA-2015-123939</x:v>
      </x:c>
      <x:c r="B9522" s="18" t="n">
        <x:v>42240</x:v>
      </x:c>
      <x:c r="C9522" t="str">
        <x:v>MS-17710</x:v>
      </x:c>
      <x:c r="D9522" t="str">
        <x:v>Maurice Satty</x:v>
      </x:c>
      <x:c r="E9522" t="str">
        <x:v>Consumer</x:v>
      </x:c>
      <x:c r="F9522" t="str">
        <x:v>East</x:v>
      </x:c>
      <x:c r="G9522" t="str">
        <x:v>Office Supplies</x:v>
      </x:c>
      <x:c r="H9522" t="str">
        <x:v>Labels</x:v>
      </x:c>
      <x:c r="I9522" s="22" t="n">
        <x:v>6.911999999999999</x:v>
      </x:c>
      <x:c r="J9522" s="24" t="n">
        <x:v>3</x:v>
      </x:c>
      <x:c r="K9522" s="26" t="n">
        <x:v>0.2</x:v>
      </x:c>
      <x:c r="L9522" s="22" t="n">
        <x:v>2.5056000000000003</x:v>
      </x:c>
      <x:c r="M9522" t="n">
        <x:v>2015</x:v>
      </x:c>
      <x:c r="N9522" s="20" t="n">
        <x:v>42217</x:v>
      </x:c>
    </x:row>
    <x:row r="9523" ht="18" customHeight="1">
      <x:c r="A9523" t="str">
        <x:v>CA-2015-123939</x:v>
      </x:c>
      <x:c r="B9523" s="18" t="n">
        <x:v>42240</x:v>
      </x:c>
      <x:c r="C9523" t="str">
        <x:v>MS-17710</x:v>
      </x:c>
      <x:c r="D9523" t="str">
        <x:v>Maurice Satty</x:v>
      </x:c>
      <x:c r="E9523" t="str">
        <x:v>Consumer</x:v>
      </x:c>
      <x:c r="F9523" t="str">
        <x:v>East</x:v>
      </x:c>
      <x:c r="G9523" t="str">
        <x:v>Office Supplies</x:v>
      </x:c>
      <x:c r="H9523" t="str">
        <x:v>Storage</x:v>
      </x:c>
      <x:c r="I9523" s="22" t="n">
        <x:v>435.504</x:v>
      </x:c>
      <x:c r="J9523" s="24" t="n">
        <x:v>3</x:v>
      </x:c>
      <x:c r="K9523" s="26" t="n">
        <x:v>0.2</x:v>
      </x:c>
      <x:c r="L9523" s="22" t="n">
        <x:v>48.99419999999992</x:v>
      </x:c>
      <x:c r="M9523" t="n">
        <x:v>2015</x:v>
      </x:c>
      <x:c r="N9523" s="20" t="n">
        <x:v>42217</x:v>
      </x:c>
    </x:row>
    <x:row r="9524" ht="18" customHeight="1">
      <x:c r="A9524" t="str">
        <x:v>US-2017-104451</x:v>
      </x:c>
      <x:c r="B9524" s="18" t="n">
        <x:v>42863</x:v>
      </x:c>
      <x:c r="C9524" t="str">
        <x:v>MM-18055</x:v>
      </x:c>
      <x:c r="D9524" t="str">
        <x:v>Michelle Moray</x:v>
      </x:c>
      <x:c r="E9524" t="str">
        <x:v>Consumer</x:v>
      </x:c>
      <x:c r="F9524" t="str">
        <x:v>West</x:v>
      </x:c>
      <x:c r="G9524" t="str">
        <x:v>Office Supplies</x:v>
      </x:c>
      <x:c r="H9524" t="str">
        <x:v>Appliances</x:v>
      </x:c>
      <x:c r="I9524" s="22" t="n">
        <x:v>81.08</x:v>
      </x:c>
      <x:c r="J9524" s="24" t="n">
        <x:v>4</x:v>
      </x:c>
      <x:c r="K9524" s="26" t="n">
        <x:v>0</x:v>
      </x:c>
      <x:c r="L9524" s="22" t="n">
        <x:v>22.702400000000004</x:v>
      </x:c>
      <x:c r="M9524" t="n">
        <x:v>2017</x:v>
      </x:c>
      <x:c r="N9524" s="20" t="n">
        <x:v>42856</x:v>
      </x:c>
    </x:row>
    <x:row r="9525" ht="18" customHeight="1">
      <x:c r="A9525" t="str">
        <x:v>CA-2016-101189</x:v>
      </x:c>
      <x:c r="B9525" s="18" t="n">
        <x:v>42404</x:v>
      </x:c>
      <x:c r="C9525" t="str">
        <x:v>JB-15400</x:v>
      </x:c>
      <x:c r="D9525" t="str">
        <x:v>Jennifer Braxton</x:v>
      </x:c>
      <x:c r="E9525" t="str">
        <x:v>Corporate</x:v>
      </x:c>
      <x:c r="F9525" t="str">
        <x:v>West</x:v>
      </x:c>
      <x:c r="G9525" t="str">
        <x:v>Office Supplies</x:v>
      </x:c>
      <x:c r="H9525" t="str">
        <x:v>Storage</x:v>
      </x:c>
      <x:c r="I9525" s="22" t="n">
        <x:v>93.02</x:v>
      </x:c>
      <x:c r="J9525" s="24" t="n">
        <x:v>2</x:v>
      </x:c>
      <x:c r="K9525" s="26" t="n">
        <x:v>0</x:v>
      </x:c>
      <x:c r="L9525" s="22" t="n">
        <x:v>3.720799999999997</x:v>
      </x:c>
      <x:c r="M9525" t="n">
        <x:v>2016</x:v>
      </x:c>
      <x:c r="N9525" s="20" t="n">
        <x:v>42401</x:v>
      </x:c>
    </x:row>
    <x:row r="9526" ht="18" customHeight="1">
      <x:c r="A9526" t="str">
        <x:v>CA-2014-169446</x:v>
      </x:c>
      <x:c r="B9526" s="18" t="n">
        <x:v>41992</x:v>
      </x:c>
      <x:c r="C9526" t="str">
        <x:v>SG-20605</x:v>
      </x:c>
      <x:c r="D9526" t="str">
        <x:v>Speros Goranitis</x:v>
      </x:c>
      <x:c r="E9526" t="str">
        <x:v>Consumer</x:v>
      </x:c>
      <x:c r="F9526" t="str">
        <x:v>Central</x:v>
      </x:c>
      <x:c r="G9526" t="str">
        <x:v>Technology</x:v>
      </x:c>
      <x:c r="H9526" t="str">
        <x:v>Phones</x:v>
      </x:c>
      <x:c r="I9526" s="22" t="n">
        <x:v>323.97600000000006</x:v>
      </x:c>
      <x:c r="J9526" s="24" t="n">
        <x:v>3</x:v>
      </x:c>
      <x:c r="K9526" s="26" t="n">
        <x:v>0.2</x:v>
      </x:c>
      <x:c r="L9526" s="22" t="n">
        <x:v>36.44729999999997</x:v>
      </x:c>
      <x:c r="M9526" t="n">
        <x:v>2014</x:v>
      </x:c>
      <x:c r="N9526" s="20" t="n">
        <x:v>41974</x:v>
      </x:c>
    </x:row>
    <x:row r="9527" ht="18" customHeight="1">
      <x:c r="A9527" t="str">
        <x:v>CA-2014-169446</x:v>
      </x:c>
      <x:c r="B9527" s="18" t="n">
        <x:v>41992</x:v>
      </x:c>
      <x:c r="C9527" t="str">
        <x:v>SG-20605</x:v>
      </x:c>
      <x:c r="D9527" t="str">
        <x:v>Speros Goranitis</x:v>
      </x:c>
      <x:c r="E9527" t="str">
        <x:v>Consumer</x:v>
      </x:c>
      <x:c r="F9527" t="str">
        <x:v>Central</x:v>
      </x:c>
      <x:c r="G9527" t="str">
        <x:v>Office Supplies</x:v>
      </x:c>
      <x:c r="H9527" t="str">
        <x:v>Paper</x:v>
      </x:c>
      <x:c r="I9527" s="22" t="n">
        <x:v>15.552000000000003</x:v>
      </x:c>
      <x:c r="J9527" s="24" t="n">
        <x:v>3</x:v>
      </x:c>
      <x:c r="K9527" s="26" t="n">
        <x:v>0.2</x:v>
      </x:c>
      <x:c r="L9527" s="22" t="n">
        <x:v>5.4432</x:v>
      </x:c>
      <x:c r="M9527" t="n">
        <x:v>2014</x:v>
      </x:c>
      <x:c r="N9527" s="20" t="n">
        <x:v>41974</x:v>
      </x:c>
    </x:row>
    <x:row r="9528" ht="18" customHeight="1">
      <x:c r="A9528" t="str">
        <x:v>CA-2014-169446</x:v>
      </x:c>
      <x:c r="B9528" s="18" t="n">
        <x:v>41992</x:v>
      </x:c>
      <x:c r="C9528" t="str">
        <x:v>SG-20605</x:v>
      </x:c>
      <x:c r="D9528" t="str">
        <x:v>Speros Goranitis</x:v>
      </x:c>
      <x:c r="E9528" t="str">
        <x:v>Consumer</x:v>
      </x:c>
      <x:c r="F9528" t="str">
        <x:v>Central</x:v>
      </x:c>
      <x:c r="G9528" t="str">
        <x:v>Office Supplies</x:v>
      </x:c>
      <x:c r="H9528" t="str">
        <x:v>Storage</x:v>
      </x:c>
      <x:c r="I9528" s="22" t="n">
        <x:v>32.592</x:v>
      </x:c>
      <x:c r="J9528" s="24" t="n">
        <x:v>3</x:v>
      </x:c>
      <x:c r="K9528" s="26" t="n">
        <x:v>0.2</x:v>
      </x:c>
      <x:c r="L9528" s="22" t="n">
        <x:v>-7.740600000000001</x:v>
      </x:c>
      <x:c r="M9528" t="n">
        <x:v>2014</x:v>
      </x:c>
      <x:c r="N9528" s="20" t="n">
        <x:v>41974</x:v>
      </x:c>
    </x:row>
    <x:row r="9529" ht="18" customHeight="1">
      <x:c r="A9529" t="str">
        <x:v>CA-2017-156958</x:v>
      </x:c>
      <x:c r="B9529" s="18" t="n">
        <x:v>43074</x:v>
      </x:c>
      <x:c r="C9529" t="str">
        <x:v>PB-18805</x:v>
      </x:c>
      <x:c r="D9529" t="str">
        <x:v>Patrick Bzostek</x:v>
      </x:c>
      <x:c r="E9529" t="str">
        <x:v>Home Office</x:v>
      </x:c>
      <x:c r="F9529" t="str">
        <x:v>West</x:v>
      </x:c>
      <x:c r="G9529" t="str">
        <x:v>Office Supplies</x:v>
      </x:c>
      <x:c r="H9529" t="str">
        <x:v>Binders</x:v>
      </x:c>
      <x:c r="I9529" s="22" t="n">
        <x:v>83.92000000000002</x:v>
      </x:c>
      <x:c r="J9529" s="24" t="n">
        <x:v>5</x:v>
      </x:c>
      <x:c r="K9529" s="26" t="n">
        <x:v>0.2</x:v>
      </x:c>
      <x:c r="L9529" s="22" t="n">
        <x:v>29.371999999999993</x:v>
      </x:c>
      <x:c r="M9529" t="n">
        <x:v>2017</x:v>
      </x:c>
      <x:c r="N9529" s="20" t="n">
        <x:v>43070</x:v>
      </x:c>
    </x:row>
    <x:row r="9530" ht="18" customHeight="1">
      <x:c r="A9530" t="str">
        <x:v>CA-2017-156958</x:v>
      </x:c>
      <x:c r="B9530" s="18" t="n">
        <x:v>43074</x:v>
      </x:c>
      <x:c r="C9530" t="str">
        <x:v>PB-18805</x:v>
      </x:c>
      <x:c r="D9530" t="str">
        <x:v>Patrick Bzostek</x:v>
      </x:c>
      <x:c r="E9530" t="str">
        <x:v>Home Office</x:v>
      </x:c>
      <x:c r="F9530" t="str">
        <x:v>West</x:v>
      </x:c>
      <x:c r="G9530" t="str">
        <x:v>Furniture</x:v>
      </x:c>
      <x:c r="H9530" t="str">
        <x:v>Furnishings</x:v>
      </x:c>
      <x:c r="I9530" s="22" t="n">
        <x:v>199.89999999999998</x:v>
      </x:c>
      <x:c r="J9530" s="24" t="n">
        <x:v>5</x:v>
      </x:c>
      <x:c r="K9530" s="26" t="n">
        <x:v>0</x:v>
      </x:c>
      <x:c r="L9530" s="22" t="n">
        <x:v>39.97999999999999</x:v>
      </x:c>
      <x:c r="M9530" t="n">
        <x:v>2017</x:v>
      </x:c>
      <x:c r="N9530" s="20" t="n">
        <x:v>43070</x:v>
      </x:c>
    </x:row>
    <x:row r="9531" ht="18" customHeight="1">
      <x:c r="A9531" t="str">
        <x:v>CA-2017-156958</x:v>
      </x:c>
      <x:c r="B9531" s="18" t="n">
        <x:v>43074</x:v>
      </x:c>
      <x:c r="C9531" t="str">
        <x:v>PB-18805</x:v>
      </x:c>
      <x:c r="D9531" t="str">
        <x:v>Patrick Bzostek</x:v>
      </x:c>
      <x:c r="E9531" t="str">
        <x:v>Home Office</x:v>
      </x:c>
      <x:c r="F9531" t="str">
        <x:v>West</x:v>
      </x:c>
      <x:c r="G9531" t="str">
        <x:v>Technology</x:v>
      </x:c>
      <x:c r="H9531" t="str">
        <x:v>Phones</x:v>
      </x:c>
      <x:c r="I9531" s="22" t="n">
        <x:v>31.176000000000002</x:v>
      </x:c>
      <x:c r="J9531" s="24" t="n">
        <x:v>3</x:v>
      </x:c>
      <x:c r="K9531" s="26" t="n">
        <x:v>0.2</x:v>
      </x:c>
      <x:c r="L9531" s="22" t="n">
        <x:v>-7.0146</x:v>
      </x:c>
      <x:c r="M9531" t="n">
        <x:v>2017</x:v>
      </x:c>
      <x:c r="N9531" s="20" t="n">
        <x:v>43070</x:v>
      </x:c>
    </x:row>
    <x:row r="9532" ht="18" customHeight="1">
      <x:c r="A9532" t="str">
        <x:v>CA-2017-156958</x:v>
      </x:c>
      <x:c r="B9532" s="18" t="n">
        <x:v>43074</x:v>
      </x:c>
      <x:c r="C9532" t="str">
        <x:v>PB-18805</x:v>
      </x:c>
      <x:c r="D9532" t="str">
        <x:v>Patrick Bzostek</x:v>
      </x:c>
      <x:c r="E9532" t="str">
        <x:v>Home Office</x:v>
      </x:c>
      <x:c r="F9532" t="str">
        <x:v>West</x:v>
      </x:c>
      <x:c r="G9532" t="str">
        <x:v>Office Supplies</x:v>
      </x:c>
      <x:c r="H9532" t="str">
        <x:v>Binders</x:v>
      </x:c>
      <x:c r="I9532" s="22" t="n">
        <x:v>172.752</x:v>
      </x:c>
      <x:c r="J9532" s="24" t="n">
        <x:v>6</x:v>
      </x:c>
      <x:c r="K9532" s="26" t="n">
        <x:v>0.2</x:v>
      </x:c>
      <x:c r="L9532" s="22" t="n">
        <x:v>60.463200000000015</x:v>
      </x:c>
      <x:c r="M9532" t="n">
        <x:v>2017</x:v>
      </x:c>
      <x:c r="N9532" s="20" t="n">
        <x:v>43070</x:v>
      </x:c>
    </x:row>
    <x:row r="9533" ht="18" customHeight="1">
      <x:c r="A9533" t="str">
        <x:v>CA-2017-156958</x:v>
      </x:c>
      <x:c r="B9533" s="18" t="n">
        <x:v>43074</x:v>
      </x:c>
      <x:c r="C9533" t="str">
        <x:v>PB-18805</x:v>
      </x:c>
      <x:c r="D9533" t="str">
        <x:v>Patrick Bzostek</x:v>
      </x:c>
      <x:c r="E9533" t="str">
        <x:v>Home Office</x:v>
      </x:c>
      <x:c r="F9533" t="str">
        <x:v>West</x:v>
      </x:c>
      <x:c r="G9533" t="str">
        <x:v>Office Supplies</x:v>
      </x:c>
      <x:c r="H9533" t="str">
        <x:v>Binders</x:v>
      </x:c>
      <x:c r="I9533" s="22" t="n">
        <x:v>9.296</x:v>
      </x:c>
      <x:c r="J9533" s="24" t="n">
        <x:v>2</x:v>
      </x:c>
      <x:c r="K9533" s="26" t="n">
        <x:v>0.2</x:v>
      </x:c>
      <x:c r="L9533" s="22" t="n">
        <x:v>3.0211999999999994</x:v>
      </x:c>
      <x:c r="M9533" t="n">
        <x:v>2017</x:v>
      </x:c>
      <x:c r="N9533" s="20" t="n">
        <x:v>43070</x:v>
      </x:c>
    </x:row>
    <x:row r="9534" ht="18" customHeight="1">
      <x:c r="A9534" t="str">
        <x:v>CA-2017-101637</x:v>
      </x:c>
      <x:c r="B9534" s="18" t="n">
        <x:v>42818</x:v>
      </x:c>
      <x:c r="C9534" t="str">
        <x:v>AC-10615</x:v>
      </x:c>
      <x:c r="D9534" t="str">
        <x:v>Ann Chong</x:v>
      </x:c>
      <x:c r="E9534" t="str">
        <x:v>Corporate</x:v>
      </x:c>
      <x:c r="F9534" t="str">
        <x:v>Central</x:v>
      </x:c>
      <x:c r="G9534" t="str">
        <x:v>Office Supplies</x:v>
      </x:c>
      <x:c r="H9534" t="str">
        <x:v>Storage</x:v>
      </x:c>
      <x:c r="I9534" s="22" t="n">
        <x:v>12.768</x:v>
      </x:c>
      <x:c r="J9534" s="24" t="n">
        <x:v>2</x:v>
      </x:c>
      <x:c r="K9534" s="26" t="n">
        <x:v>0.2</x:v>
      </x:c>
      <x:c r="L9534" s="22" t="n">
        <x:v>0.9575999999999993</x:v>
      </x:c>
      <x:c r="M9534" t="n">
        <x:v>2017</x:v>
      </x:c>
      <x:c r="N9534" s="20" t="n">
        <x:v>42795</x:v>
      </x:c>
    </x:row>
    <x:row r="9535" ht="18" customHeight="1">
      <x:c r="A9535" t="str">
        <x:v>CA-2017-111759</x:v>
      </x:c>
      <x:c r="B9535" s="18" t="n">
        <x:v>42924</x:v>
      </x:c>
      <x:c r="C9535" t="str">
        <x:v>MR-17545</x:v>
      </x:c>
      <x:c r="D9535" t="str">
        <x:v>Mathew Reese</x:v>
      </x:c>
      <x:c r="E9535" t="str">
        <x:v>Home Office</x:v>
      </x:c>
      <x:c r="F9535" t="str">
        <x:v>West</x:v>
      </x:c>
      <x:c r="G9535" t="str">
        <x:v>Office Supplies</x:v>
      </x:c>
      <x:c r="H9535" t="str">
        <x:v>Paper</x:v>
      </x:c>
      <x:c r="I9535" s="22" t="n">
        <x:v>52.76</x:v>
      </x:c>
      <x:c r="J9535" s="24" t="n">
        <x:v>2</x:v>
      </x:c>
      <x:c r="K9535" s="26" t="n">
        <x:v>0</x:v>
      </x:c>
      <x:c r="L9535" s="22" t="n">
        <x:v>24.269599999999997</x:v>
      </x:c>
      <x:c r="M9535" t="n">
        <x:v>2017</x:v>
      </x:c>
      <x:c r="N9535" s="20" t="n">
        <x:v>42917</x:v>
      </x:c>
    </x:row>
    <x:row r="9536" ht="18" customHeight="1">
      <x:c r="A9536" t="str">
        <x:v>CA-2017-102729</x:v>
      </x:c>
      <x:c r="B9536" s="18" t="n">
        <x:v>43034</x:v>
      </x:c>
      <x:c r="C9536" t="str">
        <x:v>BF-11215</x:v>
      </x:c>
      <x:c r="D9536" t="str">
        <x:v>Benjamin Farhat</x:v>
      </x:c>
      <x:c r="E9536" t="str">
        <x:v>Home Office</x:v>
      </x:c>
      <x:c r="F9536" t="str">
        <x:v>Central</x:v>
      </x:c>
      <x:c r="G9536" t="str">
        <x:v>Office Supplies</x:v>
      </x:c>
      <x:c r="H9536" t="str">
        <x:v>Storage</x:v>
      </x:c>
      <x:c r="I9536" s="22" t="n">
        <x:v>55.616</x:v>
      </x:c>
      <x:c r="J9536" s="24" t="n">
        <x:v>2</x:v>
      </x:c>
      <x:c r="K9536" s="26" t="n">
        <x:v>0.2</x:v>
      </x:c>
      <x:c r="L9536" s="22" t="n">
        <x:v>5.561600000000002</x:v>
      </x:c>
      <x:c r="M9536" t="n">
        <x:v>2017</x:v>
      </x:c>
      <x:c r="N9536" s="20" t="n">
        <x:v>43009</x:v>
      </x:c>
    </x:row>
    <x:row r="9537" ht="18" customHeight="1">
      <x:c r="A9537" t="str">
        <x:v>CA-2016-116596</x:v>
      </x:c>
      <x:c r="B9537" s="18" t="n">
        <x:v>42670</x:v>
      </x:c>
      <x:c r="C9537" t="str">
        <x:v>BW-11200</x:v>
      </x:c>
      <x:c r="D9537" t="str">
        <x:v>Ben Wallace</x:v>
      </x:c>
      <x:c r="E9537" t="str">
        <x:v>Consumer</x:v>
      </x:c>
      <x:c r="F9537" t="str">
        <x:v>East</x:v>
      </x:c>
      <x:c r="G9537" t="str">
        <x:v>Furniture</x:v>
      </x:c>
      <x:c r="H9537" t="str">
        <x:v>Chairs</x:v>
      </x:c>
      <x:c r="I9537" s="22" t="n">
        <x:v>427.644</x:v>
      </x:c>
      <x:c r="J9537" s="24" t="n">
        <x:v>14</x:v>
      </x:c>
      <x:c r="K9537" s="26" t="n">
        <x:v>0.1</x:v>
      </x:c>
      <x:c r="L9537" s="22" t="n">
        <x:v>80.77719999999998</x:v>
      </x:c>
      <x:c r="M9537" t="n">
        <x:v>2016</x:v>
      </x:c>
      <x:c r="N9537" s="20" t="n">
        <x:v>42644</x:v>
      </x:c>
    </x:row>
    <x:row r="9538" ht="18" customHeight="1">
      <x:c r="A9538" t="str">
        <x:v>CA-2016-116596</x:v>
      </x:c>
      <x:c r="B9538" s="18" t="n">
        <x:v>42670</x:v>
      </x:c>
      <x:c r="C9538" t="str">
        <x:v>BW-11200</x:v>
      </x:c>
      <x:c r="D9538" t="str">
        <x:v>Ben Wallace</x:v>
      </x:c>
      <x:c r="E9538" t="str">
        <x:v>Consumer</x:v>
      </x:c>
      <x:c r="F9538" t="str">
        <x:v>East</x:v>
      </x:c>
      <x:c r="G9538" t="str">
        <x:v>Office Supplies</x:v>
      </x:c>
      <x:c r="H9538" t="str">
        <x:v>Fasteners</x:v>
      </x:c>
      <x:c r="I9538" s="22" t="n">
        <x:v>40.669999999999995</x:v>
      </x:c>
      <x:c r="J9538" s="24" t="n">
        <x:v>7</x:v>
      </x:c>
      <x:c r="K9538" s="26" t="n">
        <x:v>0</x:v>
      </x:c>
      <x:c r="L9538" s="22" t="n">
        <x:v>12.6077</x:v>
      </x:c>
      <x:c r="M9538" t="n">
        <x:v>2016</x:v>
      </x:c>
      <x:c r="N9538" s="20" t="n">
        <x:v>42644</x:v>
      </x:c>
    </x:row>
    <x:row r="9539" ht="18" customHeight="1">
      <x:c r="A9539" t="str">
        <x:v>CA-2016-116596</x:v>
      </x:c>
      <x:c r="B9539" s="18" t="n">
        <x:v>42670</x:v>
      </x:c>
      <x:c r="C9539" t="str">
        <x:v>BW-11200</x:v>
      </x:c>
      <x:c r="D9539" t="str">
        <x:v>Ben Wallace</x:v>
      </x:c>
      <x:c r="E9539" t="str">
        <x:v>Consumer</x:v>
      </x:c>
      <x:c r="F9539" t="str">
        <x:v>East</x:v>
      </x:c>
      <x:c r="G9539" t="str">
        <x:v>Office Supplies</x:v>
      </x:c>
      <x:c r="H9539" t="str">
        <x:v>Storage</x:v>
      </x:c>
      <x:c r="I9539" s="22" t="n">
        <x:v>33.48</x:v>
      </x:c>
      <x:c r="J9539" s="24" t="n">
        <x:v>2</x:v>
      </x:c>
      <x:c r="K9539" s="26" t="n">
        <x:v>0</x:v>
      </x:c>
      <x:c r="L9539" s="22" t="n">
        <x:v>1.3391999999999982</x:v>
      </x:c>
      <x:c r="M9539" t="n">
        <x:v>2016</x:v>
      </x:c>
      <x:c r="N9539" s="20" t="n">
        <x:v>42644</x:v>
      </x:c>
    </x:row>
    <x:row r="9540" ht="18" customHeight="1">
      <x:c r="A9540" t="str">
        <x:v>CA-2016-116596</x:v>
      </x:c>
      <x:c r="B9540" s="18" t="n">
        <x:v>42670</x:v>
      </x:c>
      <x:c r="C9540" t="str">
        <x:v>BW-11200</x:v>
      </x:c>
      <x:c r="D9540" t="str">
        <x:v>Ben Wallace</x:v>
      </x:c>
      <x:c r="E9540" t="str">
        <x:v>Consumer</x:v>
      </x:c>
      <x:c r="F9540" t="str">
        <x:v>East</x:v>
      </x:c>
      <x:c r="G9540" t="str">
        <x:v>Office Supplies</x:v>
      </x:c>
      <x:c r="H9540" t="str">
        <x:v>Binders</x:v>
      </x:c>
      <x:c r="I9540" s="22" t="n">
        <x:v>9.728000000000002</x:v>
      </x:c>
      <x:c r="J9540" s="24" t="n">
        <x:v>2</x:v>
      </x:c>
      <x:c r="K9540" s="26" t="n">
        <x:v>0.2</x:v>
      </x:c>
      <x:c r="L9540" s="22" t="n">
        <x:v>3.283199999999999</x:v>
      </x:c>
      <x:c r="M9540" t="n">
        <x:v>2016</x:v>
      </x:c>
      <x:c r="N9540" s="20" t="n">
        <x:v>42644</x:v>
      </x:c>
    </x:row>
    <x:row r="9541" ht="18" customHeight="1">
      <x:c r="A9541" t="str">
        <x:v>CA-2017-124191</x:v>
      </x:c>
      <x:c r="B9541" s="18" t="n">
        <x:v>42898</x:v>
      </x:c>
      <x:c r="C9541" t="str">
        <x:v>TS-21610</x:v>
      </x:c>
      <x:c r="D9541" t="str">
        <x:v>Troy Staebel</x:v>
      </x:c>
      <x:c r="E9541" t="str">
        <x:v>Consumer</x:v>
      </x:c>
      <x:c r="F9541" t="str">
        <x:v>Central</x:v>
      </x:c>
      <x:c r="G9541" t="str">
        <x:v>Furniture</x:v>
      </x:c>
      <x:c r="H9541" t="str">
        <x:v>Furnishings</x:v>
      </x:c>
      <x:c r="I9541" s="22" t="n">
        <x:v>8.856</x:v>
      </x:c>
      <x:c r="J9541" s="24" t="n">
        <x:v>3</x:v>
      </x:c>
      <x:c r="K9541" s="26" t="n">
        <x:v>0.6</x:v>
      </x:c>
      <x:c r="L9541" s="22" t="n">
        <x:v>-6.863400000000001</x:v>
      </x:c>
      <x:c r="M9541" t="n">
        <x:v>2017</x:v>
      </x:c>
      <x:c r="N9541" s="20" t="n">
        <x:v>42887</x:v>
      </x:c>
    </x:row>
    <x:row r="9542" ht="18" customHeight="1">
      <x:c r="A9542" t="str">
        <x:v>CA-2016-148747</x:v>
      </x:c>
      <x:c r="B9542" s="18" t="n">
        <x:v>42638</x:v>
      </x:c>
      <x:c r="C9542" t="str">
        <x:v>AS-10045</x:v>
      </x:c>
      <x:c r="D9542" t="str">
        <x:v>Aaron Smayling</x:v>
      </x:c>
      <x:c r="E9542" t="str">
        <x:v>Corporate</x:v>
      </x:c>
      <x:c r="F9542" t="str">
        <x:v>West</x:v>
      </x:c>
      <x:c r="G9542" t="str">
        <x:v>Furniture</x:v>
      </x:c>
      <x:c r="H9542" t="str">
        <x:v>Bookcases</x:v>
      </x:c>
      <x:c r="I9542" s="22" t="n">
        <x:v>477.666</x:v>
      </x:c>
      <x:c r="J9542" s="24" t="n">
        <x:v>2</x:v>
      </x:c>
      <x:c r="K9542" s="26" t="n">
        <x:v>0.15</x:v>
      </x:c>
      <x:c r="L9542" s="22" t="n">
        <x:v>84.29399999999997</x:v>
      </x:c>
      <x:c r="M9542" t="n">
        <x:v>2016</x:v>
      </x:c>
      <x:c r="N9542" s="20" t="n">
        <x:v>42614</x:v>
      </x:c>
    </x:row>
    <x:row r="9543" ht="18" customHeight="1">
      <x:c r="A9543" t="str">
        <x:v>US-2017-169488</x:v>
      </x:c>
      <x:c r="B9543" s="18" t="n">
        <x:v>42985</x:v>
      </x:c>
      <x:c r="C9543" t="str">
        <x:v>AA-10375</x:v>
      </x:c>
      <x:c r="D9543" t="str">
        <x:v>Allen Armold</x:v>
      </x:c>
      <x:c r="E9543" t="str">
        <x:v>Consumer</x:v>
      </x:c>
      <x:c r="F9543" t="str">
        <x:v>East</x:v>
      </x:c>
      <x:c r="G9543" t="str">
        <x:v>Office Supplies</x:v>
      </x:c>
      <x:c r="H9543" t="str">
        <x:v>Paper</x:v>
      </x:c>
      <x:c r="I9543" s="22" t="n">
        <x:v>16.9</x:v>
      </x:c>
      <x:c r="J9543" s="24" t="n">
        <x:v>5</x:v>
      </x:c>
      <x:c r="K9543" s="26" t="n">
        <x:v>0</x:v>
      </x:c>
      <x:c r="L9543" s="22" t="n">
        <x:v>7.773999999999999</x:v>
      </x:c>
      <x:c r="M9543" t="n">
        <x:v>2017</x:v>
      </x:c>
      <x:c r="N9543" s="20" t="n">
        <x:v>42979</x:v>
      </x:c>
    </x:row>
    <x:row r="9544" ht="18" customHeight="1">
      <x:c r="A9544" t="str">
        <x:v>US-2017-169488</x:v>
      </x:c>
      <x:c r="B9544" s="18" t="n">
        <x:v>42985</x:v>
      </x:c>
      <x:c r="C9544" t="str">
        <x:v>AA-10375</x:v>
      </x:c>
      <x:c r="D9544" t="str">
        <x:v>Allen Armold</x:v>
      </x:c>
      <x:c r="E9544" t="str">
        <x:v>Consumer</x:v>
      </x:c>
      <x:c r="F9544" t="str">
        <x:v>East</x:v>
      </x:c>
      <x:c r="G9544" t="str">
        <x:v>Office Supplies</x:v>
      </x:c>
      <x:c r="H9544" t="str">
        <x:v>Paper</x:v>
      </x:c>
      <x:c r="I9544" s="22" t="n">
        <x:v>39.96</x:v>
      </x:c>
      <x:c r="J9544" s="24" t="n">
        <x:v>2</x:v>
      </x:c>
      <x:c r="K9544" s="26" t="n">
        <x:v>0</x:v>
      </x:c>
      <x:c r="L9544" s="22" t="n">
        <x:v>18.7812</x:v>
      </x:c>
      <x:c r="M9544" t="n">
        <x:v>2017</x:v>
      </x:c>
      <x:c r="N9544" s="20" t="n">
        <x:v>42979</x:v>
      </x:c>
    </x:row>
    <x:row r="9545" ht="18" customHeight="1">
      <x:c r="A9545" t="str">
        <x:v>CA-2015-135727</x:v>
      </x:c>
      <x:c r="B9545" s="18" t="n">
        <x:v>42135</x:v>
      </x:c>
      <x:c r="C9545" t="str">
        <x:v>PS-18970</x:v>
      </x:c>
      <x:c r="D9545" t="str">
        <x:v>Paul Stevenson</x:v>
      </x:c>
      <x:c r="E9545" t="str">
        <x:v>Home Office</x:v>
      </x:c>
      <x:c r="F9545" t="str">
        <x:v>West</x:v>
      </x:c>
      <x:c r="G9545" t="str">
        <x:v>Furniture</x:v>
      </x:c>
      <x:c r="H9545" t="str">
        <x:v>Chairs</x:v>
      </x:c>
      <x:c r="I9545" s="22" t="n">
        <x:v>191.96800000000002</x:v>
      </x:c>
      <x:c r="J9545" s="24" t="n">
        <x:v>7</x:v>
      </x:c>
      <x:c r="K9545" s="26" t="n">
        <x:v>0.2</x:v>
      </x:c>
      <x:c r="L9545" s="22" t="n">
        <x:v>16.797200000000004</x:v>
      </x:c>
      <x:c r="M9545" t="n">
        <x:v>2015</x:v>
      </x:c>
      <x:c r="N9545" s="20" t="n">
        <x:v>42125</x:v>
      </x:c>
    </x:row>
    <x:row r="9546" ht="18" customHeight="1">
      <x:c r="A9546" t="str">
        <x:v>CA-2015-135251</x:v>
      </x:c>
      <x:c r="B9546" s="18" t="n">
        <x:v>42222</x:v>
      </x:c>
      <x:c r="C9546" t="str">
        <x:v>RP-19270</x:v>
      </x:c>
      <x:c r="D9546" t="str">
        <x:v>Rachel Payne</x:v>
      </x:c>
      <x:c r="E9546" t="str">
        <x:v>Corporate</x:v>
      </x:c>
      <x:c r="F9546" t="str">
        <x:v>Central</x:v>
      </x:c>
      <x:c r="G9546" t="str">
        <x:v>Office Supplies</x:v>
      </x:c>
      <x:c r="H9546" t="str">
        <x:v>Labels</x:v>
      </x:c>
      <x:c r="I9546" s="22" t="n">
        <x:v>35.52</x:v>
      </x:c>
      <x:c r="J9546" s="24" t="n">
        <x:v>3</x:v>
      </x:c>
      <x:c r="K9546" s="26" t="n">
        <x:v>0.2</x:v>
      </x:c>
      <x:c r="L9546" s="22" t="n">
        <x:v>13.320000000000002</x:v>
      </x:c>
      <x:c r="M9546" t="n">
        <x:v>2015</x:v>
      </x:c>
      <x:c r="N9546" s="20" t="n">
        <x:v>42217</x:v>
      </x:c>
    </x:row>
    <x:row r="9547" ht="18" customHeight="1">
      <x:c r="A9547" t="str">
        <x:v>CA-2015-135251</x:v>
      </x:c>
      <x:c r="B9547" s="18" t="n">
        <x:v>42222</x:v>
      </x:c>
      <x:c r="C9547" t="str">
        <x:v>RP-19270</x:v>
      </x:c>
      <x:c r="D9547" t="str">
        <x:v>Rachel Payne</x:v>
      </x:c>
      <x:c r="E9547" t="str">
        <x:v>Corporate</x:v>
      </x:c>
      <x:c r="F9547" t="str">
        <x:v>Central</x:v>
      </x:c>
      <x:c r="G9547" t="str">
        <x:v>Office Supplies</x:v>
      </x:c>
      <x:c r="H9547" t="str">
        <x:v>Binders</x:v>
      </x:c>
      <x:c r="I9547" s="22" t="n">
        <x:v>6.229999999999999</x:v>
      </x:c>
      <x:c r="J9547" s="24" t="n">
        <x:v>5</x:v>
      </x:c>
      <x:c r="K9547" s="26" t="n">
        <x:v>0.8</x:v>
      </x:c>
      <x:c r="L9547" s="22" t="n">
        <x:v>-9.656500000000005</x:v>
      </x:c>
      <x:c r="M9547" t="n">
        <x:v>2015</x:v>
      </x:c>
      <x:c r="N9547" s="20" t="n">
        <x:v>42217</x:v>
      </x:c>
    </x:row>
    <x:row r="9548" ht="18" customHeight="1">
      <x:c r="A9548" t="str">
        <x:v>CA-2015-135251</x:v>
      </x:c>
      <x:c r="B9548" s="18" t="n">
        <x:v>42222</x:v>
      </x:c>
      <x:c r="C9548" t="str">
        <x:v>RP-19270</x:v>
      </x:c>
      <x:c r="D9548" t="str">
        <x:v>Rachel Payne</x:v>
      </x:c>
      <x:c r="E9548" t="str">
        <x:v>Corporate</x:v>
      </x:c>
      <x:c r="F9548" t="str">
        <x:v>Central</x:v>
      </x:c>
      <x:c r="G9548" t="str">
        <x:v>Office Supplies</x:v>
      </x:c>
      <x:c r="H9548" t="str">
        <x:v>Paper</x:v>
      </x:c>
      <x:c r="I9548" s="22" t="n">
        <x:v>56.704</x:v>
      </x:c>
      <x:c r="J9548" s="24" t="n">
        <x:v>2</x:v>
      </x:c>
      <x:c r="K9548" s="26" t="n">
        <x:v>0.2</x:v>
      </x:c>
      <x:c r="L9548" s="22" t="n">
        <x:v>19.137599999999992</x:v>
      </x:c>
      <x:c r="M9548" t="n">
        <x:v>2015</x:v>
      </x:c>
      <x:c r="N9548" s="20" t="n">
        <x:v>42217</x:v>
      </x:c>
    </x:row>
    <x:row r="9549" ht="18" customHeight="1">
      <x:c r="A9549" t="str">
        <x:v>CA-2015-135251</x:v>
      </x:c>
      <x:c r="B9549" s="18" t="n">
        <x:v>42222</x:v>
      </x:c>
      <x:c r="C9549" t="str">
        <x:v>RP-19270</x:v>
      </x:c>
      <x:c r="D9549" t="str">
        <x:v>Rachel Payne</x:v>
      </x:c>
      <x:c r="E9549" t="str">
        <x:v>Corporate</x:v>
      </x:c>
      <x:c r="F9549" t="str">
        <x:v>Central</x:v>
      </x:c>
      <x:c r="G9549" t="str">
        <x:v>Furniture</x:v>
      </x:c>
      <x:c r="H9549" t="str">
        <x:v>Bookcases</x:v>
      </x:c>
      <x:c r="I9549" s="22" t="n">
        <x:v>369.19919999999996</x:v>
      </x:c>
      <x:c r="J9549" s="24" t="n">
        <x:v>3</x:v>
      </x:c>
      <x:c r="K9549" s="26" t="n">
        <x:v>0.32</x:v>
      </x:c>
      <x:c r="L9549" s="22" t="n">
        <x:v>-114.01739999999995</x:v>
      </x:c>
      <x:c r="M9549" t="n">
        <x:v>2015</x:v>
      </x:c>
      <x:c r="N9549" s="20" t="n">
        <x:v>42217</x:v>
      </x:c>
    </x:row>
    <x:row r="9550" ht="18" customHeight="1">
      <x:c r="A9550" t="str">
        <x:v>CA-2014-166590</x:v>
      </x:c>
      <x:c r="B9550" s="18" t="n">
        <x:v>41941</x:v>
      </x:c>
      <x:c r="C9550" t="str">
        <x:v>NC-18625</x:v>
      </x:c>
      <x:c r="D9550" t="str">
        <x:v>Noah Childs</x:v>
      </x:c>
      <x:c r="E9550" t="str">
        <x:v>Corporate</x:v>
      </x:c>
      <x:c r="F9550" t="str">
        <x:v>Central</x:v>
      </x:c>
      <x:c r="G9550" t="str">
        <x:v>Technology</x:v>
      </x:c>
      <x:c r="H9550" t="str">
        <x:v>Accessories</x:v>
      </x:c>
      <x:c r="I9550" s="22" t="n">
        <x:v>1.98</x:v>
      </x:c>
      <x:c r="J9550" s="24" t="n">
        <x:v>2</x:v>
      </x:c>
      <x:c r="K9550" s="26" t="n">
        <x:v>0</x:v>
      </x:c>
      <x:c r="L9550" s="22" t="n">
        <x:v>0.891</x:v>
      </x:c>
      <x:c r="M9550" t="n">
        <x:v>2014</x:v>
      </x:c>
      <x:c r="N9550" s="20" t="n">
        <x:v>41913</x:v>
      </x:c>
    </x:row>
    <x:row r="9551" ht="18" customHeight="1">
      <x:c r="A9551" t="str">
        <x:v>CA-2014-166590</x:v>
      </x:c>
      <x:c r="B9551" s="18" t="n">
        <x:v>41941</x:v>
      </x:c>
      <x:c r="C9551" t="str">
        <x:v>NC-18625</x:v>
      </x:c>
      <x:c r="D9551" t="str">
        <x:v>Noah Childs</x:v>
      </x:c>
      <x:c r="E9551" t="str">
        <x:v>Corporate</x:v>
      </x:c>
      <x:c r="F9551" t="str">
        <x:v>Central</x:v>
      </x:c>
      <x:c r="G9551" t="str">
        <x:v>Office Supplies</x:v>
      </x:c>
      <x:c r="H9551" t="str">
        <x:v>Paper</x:v>
      </x:c>
      <x:c r="I9551" s="22" t="n">
        <x:v>75.88</x:v>
      </x:c>
      <x:c r="J9551" s="24" t="n">
        <x:v>2</x:v>
      </x:c>
      <x:c r="K9551" s="26" t="n">
        <x:v>0</x:v>
      </x:c>
      <x:c r="L9551" s="22" t="n">
        <x:v>35.663599999999995</x:v>
      </x:c>
      <x:c r="M9551" t="n">
        <x:v>2014</x:v>
      </x:c>
      <x:c r="N9551" s="20" t="n">
        <x:v>41913</x:v>
      </x:c>
    </x:row>
    <x:row r="9552" ht="18" customHeight="1">
      <x:c r="A9552" t="str">
        <x:v>CA-2016-131744</x:v>
      </x:c>
      <x:c r="B9552" s="18" t="n">
        <x:v>42539</x:v>
      </x:c>
      <x:c r="C9552" t="str">
        <x:v>SC-20770</x:v>
      </x:c>
      <x:c r="D9552" t="str">
        <x:v>Stewart Carmichael</x:v>
      </x:c>
      <x:c r="E9552" t="str">
        <x:v>Corporate</x:v>
      </x:c>
      <x:c r="F9552" t="str">
        <x:v>East</x:v>
      </x:c>
      <x:c r="G9552" t="str">
        <x:v>Office Supplies</x:v>
      </x:c>
      <x:c r="H9552" t="str">
        <x:v>Paper</x:v>
      </x:c>
      <x:c r="I9552" s="22" t="n">
        <x:v>6.848000000000001</x:v>
      </x:c>
      <x:c r="J9552" s="24" t="n">
        <x:v>2</x:v>
      </x:c>
      <x:c r="K9552" s="26" t="n">
        <x:v>0.2</x:v>
      </x:c>
      <x:c r="L9552" s="22" t="n">
        <x:v>2.1399999999999992</x:v>
      </x:c>
      <x:c r="M9552" t="n">
        <x:v>2016</x:v>
      </x:c>
      <x:c r="N9552" s="20" t="n">
        <x:v>42522</x:v>
      </x:c>
    </x:row>
    <x:row r="9553" ht="18" customHeight="1">
      <x:c r="A9553" t="str">
        <x:v>CA-2016-131744</x:v>
      </x:c>
      <x:c r="B9553" s="18" t="n">
        <x:v>42539</x:v>
      </x:c>
      <x:c r="C9553" t="str">
        <x:v>SC-20770</x:v>
      </x:c>
      <x:c r="D9553" t="str">
        <x:v>Stewart Carmichael</x:v>
      </x:c>
      <x:c r="E9553" t="str">
        <x:v>Corporate</x:v>
      </x:c>
      <x:c r="F9553" t="str">
        <x:v>East</x:v>
      </x:c>
      <x:c r="G9553" t="str">
        <x:v>Office Supplies</x:v>
      </x:c>
      <x:c r="H9553" t="str">
        <x:v>Binders</x:v>
      </x:c>
      <x:c r="I9553" s="22" t="n">
        <x:v>4.626</x:v>
      </x:c>
      <x:c r="J9553" s="24" t="n">
        <x:v>2</x:v>
      </x:c>
      <x:c r="K9553" s="26" t="n">
        <x:v>0.7</x:v>
      </x:c>
      <x:c r="L9553" s="22" t="n">
        <x:v>-3.8549999999999986</x:v>
      </x:c>
      <x:c r="M9553" t="n">
        <x:v>2016</x:v>
      </x:c>
      <x:c r="N9553" s="20" t="n">
        <x:v>42522</x:v>
      </x:c>
    </x:row>
    <x:row r="9554" ht="18" customHeight="1">
      <x:c r="A9554" t="str">
        <x:v>CA-2016-131744</x:v>
      </x:c>
      <x:c r="B9554" s="18" t="n">
        <x:v>42539</x:v>
      </x:c>
      <x:c r="C9554" t="str">
        <x:v>SC-20770</x:v>
      </x:c>
      <x:c r="D9554" t="str">
        <x:v>Stewart Carmichael</x:v>
      </x:c>
      <x:c r="E9554" t="str">
        <x:v>Corporate</x:v>
      </x:c>
      <x:c r="F9554" t="str">
        <x:v>East</x:v>
      </x:c>
      <x:c r="G9554" t="str">
        <x:v>Office Supplies</x:v>
      </x:c>
      <x:c r="H9554" t="str">
        <x:v>Appliances</x:v>
      </x:c>
      <x:c r="I9554" s="22" t="n">
        <x:v>453.6</x:v>
      </x:c>
      <x:c r="J9554" s="24" t="n">
        <x:v>3</x:v>
      </x:c>
      <x:c r="K9554" s="26" t="n">
        <x:v>0.2</x:v>
      </x:c>
      <x:c r="L9554" s="22" t="n">
        <x:v>90.71999999999997</x:v>
      </x:c>
      <x:c r="M9554" t="n">
        <x:v>2016</x:v>
      </x:c>
      <x:c r="N9554" s="20" t="n">
        <x:v>42522</x:v>
      </x:c>
    </x:row>
    <x:row r="9555" ht="18" customHeight="1">
      <x:c r="A9555" t="str">
        <x:v>CA-2015-160864</x:v>
      </x:c>
      <x:c r="B9555" s="18" t="n">
        <x:v>42127</x:v>
      </x:c>
      <x:c r="C9555" t="str">
        <x:v>NF-18595</x:v>
      </x:c>
      <x:c r="D9555" t="str">
        <x:v>Nicole Fjeld</x:v>
      </x:c>
      <x:c r="E9555" t="str">
        <x:v>Home Office</x:v>
      </x:c>
      <x:c r="F9555" t="str">
        <x:v>West</x:v>
      </x:c>
      <x:c r="G9555" t="str">
        <x:v>Office Supplies</x:v>
      </x:c>
      <x:c r="H9555" t="str">
        <x:v>Binders</x:v>
      </x:c>
      <x:c r="I9555" s="22" t="n">
        <x:v>13.847999999999999</x:v>
      </x:c>
      <x:c r="J9555" s="24" t="n">
        <x:v>3</x:v>
      </x:c>
      <x:c r="K9555" s="26" t="n">
        <x:v>0.2</x:v>
      </x:c>
      <x:c r="L9555" s="22" t="n">
        <x:v>5.193</x:v>
      </x:c>
      <x:c r="M9555" t="n">
        <x:v>2015</x:v>
      </x:c>
      <x:c r="N9555" s="20" t="n">
        <x:v>42125</x:v>
      </x:c>
    </x:row>
    <x:row r="9556" ht="18" customHeight="1">
      <x:c r="A9556" t="str">
        <x:v>CA-2015-147690</x:v>
      </x:c>
      <x:c r="B9556" s="18" t="n">
        <x:v>42318</x:v>
      </x:c>
      <x:c r="C9556" t="str">
        <x:v>SC-20020</x:v>
      </x:c>
      <x:c r="D9556" t="str">
        <x:v>Sam Craven</x:v>
      </x:c>
      <x:c r="E9556" t="str">
        <x:v>Consumer</x:v>
      </x:c>
      <x:c r="F9556" t="str">
        <x:v>East</x:v>
      </x:c>
      <x:c r="G9556" t="str">
        <x:v>Office Supplies</x:v>
      </x:c>
      <x:c r="H9556" t="str">
        <x:v>Storage</x:v>
      </x:c>
      <x:c r="I9556" s="22" t="n">
        <x:v>577.5840000000001</x:v>
      </x:c>
      <x:c r="J9556" s="24" t="n">
        <x:v>6</x:v>
      </x:c>
      <x:c r="K9556" s="26" t="n">
        <x:v>0.2</x:v>
      </x:c>
      <x:c r="L9556" s="22" t="n">
        <x:v>43.31879999999995</x:v>
      </x:c>
      <x:c r="M9556" t="n">
        <x:v>2015</x:v>
      </x:c>
      <x:c r="N9556" s="20" t="n">
        <x:v>42309</x:v>
      </x:c>
    </x:row>
    <x:row r="9557" ht="18" customHeight="1">
      <x:c r="A9557" t="str">
        <x:v>CA-2015-163923</x:v>
      </x:c>
      <x:c r="B9557" s="18" t="n">
        <x:v>42154</x:v>
      </x:c>
      <x:c r="C9557" t="str">
        <x:v>BD-11560</x:v>
      </x:c>
      <x:c r="D9557" t="str">
        <x:v>Brendan Dodson</x:v>
      </x:c>
      <x:c r="E9557" t="str">
        <x:v>Home Office</x:v>
      </x:c>
      <x:c r="F9557" t="str">
        <x:v>South</x:v>
      </x:c>
      <x:c r="G9557" t="str">
        <x:v>Technology</x:v>
      </x:c>
      <x:c r="H9557" t="str">
        <x:v>Accessories</x:v>
      </x:c>
      <x:c r="I9557" s="22" t="n">
        <x:v>151.96</x:v>
      </x:c>
      <x:c r="J9557" s="24" t="n">
        <x:v>4</x:v>
      </x:c>
      <x:c r="K9557" s="26" t="n">
        <x:v>0</x:v>
      </x:c>
      <x:c r="L9557" s="22" t="n">
        <x:v>36.4704</x:v>
      </x:c>
      <x:c r="M9557" t="n">
        <x:v>2015</x:v>
      </x:c>
      <x:c r="N9557" s="20" t="n">
        <x:v>42125</x:v>
      </x:c>
    </x:row>
    <x:row r="9558" ht="18" customHeight="1">
      <x:c r="A9558" t="str">
        <x:v>CA-2016-125724</x:v>
      </x:c>
      <x:c r="B9558" s="18" t="n">
        <x:v>42635</x:v>
      </x:c>
      <x:c r="C9558" t="str">
        <x:v>SM-20950</x:v>
      </x:c>
      <x:c r="D9558" t="str">
        <x:v>Suzanne McNair</x:v>
      </x:c>
      <x:c r="E9558" t="str">
        <x:v>Corporate</x:v>
      </x:c>
      <x:c r="F9558" t="str">
        <x:v>West</x:v>
      </x:c>
      <x:c r="G9558" t="str">
        <x:v>Furniture</x:v>
      </x:c>
      <x:c r="H9558" t="str">
        <x:v>Furnishings</x:v>
      </x:c>
      <x:c r="I9558" s="22" t="n">
        <x:v>68.43200000000002</x:v>
      </x:c>
      <x:c r="J9558" s="24" t="n">
        <x:v>7</x:v>
      </x:c>
      <x:c r="K9558" s="26" t="n">
        <x:v>0.2</x:v>
      </x:c>
      <x:c r="L9558" s="22" t="n">
        <x:v>8.553999999999988</x:v>
      </x:c>
      <x:c r="M9558" t="n">
        <x:v>2016</x:v>
      </x:c>
      <x:c r="N9558" s="20" t="n">
        <x:v>42614</x:v>
      </x:c>
    </x:row>
    <x:row r="9559" ht="18" customHeight="1">
      <x:c r="A9559" t="str">
        <x:v>CA-2015-111612</x:v>
      </x:c>
      <x:c r="B9559" s="18" t="n">
        <x:v>42336</x:v>
      </x:c>
      <x:c r="C9559" t="str">
        <x:v>EB-14110</x:v>
      </x:c>
      <x:c r="D9559" t="str">
        <x:v>Eugene Barchas</x:v>
      </x:c>
      <x:c r="E9559" t="str">
        <x:v>Consumer</x:v>
      </x:c>
      <x:c r="F9559" t="str">
        <x:v>East</x:v>
      </x:c>
      <x:c r="G9559" t="str">
        <x:v>Furniture</x:v>
      </x:c>
      <x:c r="H9559" t="str">
        <x:v>Furnishings</x:v>
      </x:c>
      <x:c r="I9559" s="22" t="n">
        <x:v>71.12</x:v>
      </x:c>
      <x:c r="J9559" s="24" t="n">
        <x:v>5</x:v>
      </x:c>
      <x:c r="K9559" s="26" t="n">
        <x:v>0.2</x:v>
      </x:c>
      <x:c r="L9559" s="22" t="n">
        <x:v>9.778999999999996</x:v>
      </x:c>
      <x:c r="M9559" t="n">
        <x:v>2015</x:v>
      </x:c>
      <x:c r="N9559" s="20" t="n">
        <x:v>42309</x:v>
      </x:c>
    </x:row>
    <x:row r="9560" ht="18" customHeight="1">
      <x:c r="A9560" t="str">
        <x:v>CA-2015-111612</x:v>
      </x:c>
      <x:c r="B9560" s="18" t="n">
        <x:v>42336</x:v>
      </x:c>
      <x:c r="C9560" t="str">
        <x:v>EB-14110</x:v>
      </x:c>
      <x:c r="D9560" t="str">
        <x:v>Eugene Barchas</x:v>
      </x:c>
      <x:c r="E9560" t="str">
        <x:v>Consumer</x:v>
      </x:c>
      <x:c r="F9560" t="str">
        <x:v>East</x:v>
      </x:c>
      <x:c r="G9560" t="str">
        <x:v>Office Supplies</x:v>
      </x:c>
      <x:c r="H9560" t="str">
        <x:v>Fasteners</x:v>
      </x:c>
      <x:c r="I9560" s="22" t="n">
        <x:v>3.008</x:v>
      </x:c>
      <x:c r="J9560" s="24" t="n">
        <x:v>2</x:v>
      </x:c>
      <x:c r="K9560" s="26" t="n">
        <x:v>0.2</x:v>
      </x:c>
      <x:c r="L9560" s="22" t="n">
        <x:v>0.5639999999999998</x:v>
      </x:c>
      <x:c r="M9560" t="n">
        <x:v>2015</x:v>
      </x:c>
      <x:c r="N9560" s="20" t="n">
        <x:v>42309</x:v>
      </x:c>
    </x:row>
    <x:row r="9561" ht="18" customHeight="1">
      <x:c r="A9561" t="str">
        <x:v>CA-2015-156853</x:v>
      </x:c>
      <x:c r="B9561" s="18" t="n">
        <x:v>42341</x:v>
      </x:c>
      <x:c r="C9561" t="str">
        <x:v>HP-14815</x:v>
      </x:c>
      <x:c r="D9561" t="str">
        <x:v>Harold Pawlan</x:v>
      </x:c>
      <x:c r="E9561" t="str">
        <x:v>Home Office</x:v>
      </x:c>
      <x:c r="F9561" t="str">
        <x:v>East</x:v>
      </x:c>
      <x:c r="G9561" t="str">
        <x:v>Office Supplies</x:v>
      </x:c>
      <x:c r="H9561" t="str">
        <x:v>Paper</x:v>
      </x:c>
      <x:c r="I9561" s="22" t="n">
        <x:v>184.66</x:v>
      </x:c>
      <x:c r="J9561" s="24" t="n">
        <x:v>7</x:v>
      </x:c>
      <x:c r="K9561" s="26" t="n">
        <x:v>0</x:v>
      </x:c>
      <x:c r="L9561" s="22" t="n">
        <x:v>84.94359999999999</x:v>
      </x:c>
      <x:c r="M9561" t="n">
        <x:v>2015</x:v>
      </x:c>
      <x:c r="N9561" s="20" t="n">
        <x:v>42339</x:v>
      </x:c>
    </x:row>
    <x:row r="9562" ht="18" customHeight="1">
      <x:c r="A9562" t="str">
        <x:v>CA-2014-103086</x:v>
      </x:c>
      <x:c r="B9562" s="18" t="n">
        <x:v>41929</x:v>
      </x:c>
      <x:c r="C9562" t="str">
        <x:v>EB-14170</x:v>
      </x:c>
      <x:c r="D9562" t="str">
        <x:v>Evan Bailliet</x:v>
      </x:c>
      <x:c r="E9562" t="str">
        <x:v>Consumer</x:v>
      </x:c>
      <x:c r="F9562" t="str">
        <x:v>Central</x:v>
      </x:c>
      <x:c r="G9562" t="str">
        <x:v>Furniture</x:v>
      </x:c>
      <x:c r="H9562" t="str">
        <x:v>Furnishings</x:v>
      </x:c>
      <x:c r="I9562" s="22" t="n">
        <x:v>5.312</x:v>
      </x:c>
      <x:c r="J9562" s="24" t="n">
        <x:v>2</x:v>
      </x:c>
      <x:c r="K9562" s="26" t="n">
        <x:v>0.6</x:v>
      </x:c>
      <x:c r="L9562" s="22" t="n">
        <x:v>-1.5935999999999995</x:v>
      </x:c>
      <x:c r="M9562" t="n">
        <x:v>2014</x:v>
      </x:c>
      <x:c r="N9562" s="20" t="n">
        <x:v>41913</x:v>
      </x:c>
    </x:row>
    <x:row r="9563" ht="18" customHeight="1">
      <x:c r="A9563" t="str">
        <x:v>CA-2016-129280</x:v>
      </x:c>
      <x:c r="B9563" s="18" t="n">
        <x:v>42493</x:v>
      </x:c>
      <x:c r="C9563" t="str">
        <x:v>SM-20905</x:v>
      </x:c>
      <x:c r="D9563" t="str">
        <x:v>Susan MacKendrick</x:v>
      </x:c>
      <x:c r="E9563" t="str">
        <x:v>Consumer</x:v>
      </x:c>
      <x:c r="F9563" t="str">
        <x:v>East</x:v>
      </x:c>
      <x:c r="G9563" t="str">
        <x:v>Technology</x:v>
      </x:c>
      <x:c r="H9563" t="str">
        <x:v>Accessories</x:v>
      </x:c>
      <x:c r="I9563" s="22" t="n">
        <x:v>132.52000000000004</x:v>
      </x:c>
      <x:c r="J9563" s="24" t="n">
        <x:v>5</x:v>
      </x:c>
      <x:c r="K9563" s="26" t="n">
        <x:v>0.2</x:v>
      </x:c>
      <x:c r="L9563" s="22" t="n">
        <x:v>34.786500000000004</x:v>
      </x:c>
      <x:c r="M9563" t="n">
        <x:v>2016</x:v>
      </x:c>
      <x:c r="N9563" s="20" t="n">
        <x:v>42491</x:v>
      </x:c>
    </x:row>
    <x:row r="9564" ht="18" customHeight="1">
      <x:c r="A9564" t="str">
        <x:v>CA-2016-129280</x:v>
      </x:c>
      <x:c r="B9564" s="18" t="n">
        <x:v>42493</x:v>
      </x:c>
      <x:c r="C9564" t="str">
        <x:v>SM-20905</x:v>
      </x:c>
      <x:c r="D9564" t="str">
        <x:v>Susan MacKendrick</x:v>
      </x:c>
      <x:c r="E9564" t="str">
        <x:v>Consumer</x:v>
      </x:c>
      <x:c r="F9564" t="str">
        <x:v>East</x:v>
      </x:c>
      <x:c r="G9564" t="str">
        <x:v>Office Supplies</x:v>
      </x:c>
      <x:c r="H9564" t="str">
        <x:v>Storage</x:v>
      </x:c>
      <x:c r="I9564" s="22" t="n">
        <x:v>195.64</x:v>
      </x:c>
      <x:c r="J9564" s="24" t="n">
        <x:v>5</x:v>
      </x:c>
      <x:c r="K9564" s="26" t="n">
        <x:v>0.2</x:v>
      </x:c>
      <x:c r="L9564" s="22" t="n">
        <x:v>-44.01899999999999</x:v>
      </x:c>
      <x:c r="M9564" t="n">
        <x:v>2016</x:v>
      </x:c>
      <x:c r="N9564" s="20" t="n">
        <x:v>42491</x:v>
      </x:c>
    </x:row>
    <x:row r="9565" ht="18" customHeight="1">
      <x:c r="A9565" t="str">
        <x:v>CA-2016-129280</x:v>
      </x:c>
      <x:c r="B9565" s="18" t="n">
        <x:v>42493</x:v>
      </x:c>
      <x:c r="C9565" t="str">
        <x:v>SM-20905</x:v>
      </x:c>
      <x:c r="D9565" t="str">
        <x:v>Susan MacKendrick</x:v>
      </x:c>
      <x:c r="E9565" t="str">
        <x:v>Consumer</x:v>
      </x:c>
      <x:c r="F9565" t="str">
        <x:v>East</x:v>
      </x:c>
      <x:c r="G9565" t="str">
        <x:v>Furniture</x:v>
      </x:c>
      <x:c r="H9565" t="str">
        <x:v>Furnishings</x:v>
      </x:c>
      <x:c r="I9565" s="22" t="n">
        <x:v>51.967999999999996</x:v>
      </x:c>
      <x:c r="J9565" s="24" t="n">
        <x:v>2</x:v>
      </x:c>
      <x:c r="K9565" s="26" t="n">
        <x:v>0.2</x:v>
      </x:c>
      <x:c r="L9565" s="22" t="n">
        <x:v>10.393599999999998</x:v>
      </x:c>
      <x:c r="M9565" t="n">
        <x:v>2016</x:v>
      </x:c>
      <x:c r="N9565" s="20" t="n">
        <x:v>42491</x:v>
      </x:c>
    </x:row>
    <x:row r="9566" ht="18" customHeight="1">
      <x:c r="A9566" t="str">
        <x:v>CA-2016-129280</x:v>
      </x:c>
      <x:c r="B9566" s="18" t="n">
        <x:v>42493</x:v>
      </x:c>
      <x:c r="C9566" t="str">
        <x:v>SM-20905</x:v>
      </x:c>
      <x:c r="D9566" t="str">
        <x:v>Susan MacKendrick</x:v>
      </x:c>
      <x:c r="E9566" t="str">
        <x:v>Consumer</x:v>
      </x:c>
      <x:c r="F9566" t="str">
        <x:v>East</x:v>
      </x:c>
      <x:c r="G9566" t="str">
        <x:v>Technology</x:v>
      </x:c>
      <x:c r="H9566" t="str">
        <x:v>Accessories</x:v>
      </x:c>
      <x:c r="I9566" s="22" t="n">
        <x:v>431.97600000000006</x:v>
      </x:c>
      <x:c r="J9566" s="24" t="n">
        <x:v>3</x:v>
      </x:c>
      <x:c r="K9566" s="26" t="n">
        <x:v>0.2</x:v>
      </x:c>
      <x:c r="L9566" s="22" t="n">
        <x:v>-75.59580000000004</x:v>
      </x:c>
      <x:c r="M9566" t="n">
        <x:v>2016</x:v>
      </x:c>
      <x:c r="N9566" s="20" t="n">
        <x:v>42491</x:v>
      </x:c>
    </x:row>
    <x:row r="9567" ht="18" customHeight="1">
      <x:c r="A9567" t="str">
        <x:v>CA-2016-129280</x:v>
      </x:c>
      <x:c r="B9567" s="18" t="n">
        <x:v>42493</x:v>
      </x:c>
      <x:c r="C9567" t="str">
        <x:v>SM-20905</x:v>
      </x:c>
      <x:c r="D9567" t="str">
        <x:v>Susan MacKendrick</x:v>
      </x:c>
      <x:c r="E9567" t="str">
        <x:v>Consumer</x:v>
      </x:c>
      <x:c r="F9567" t="str">
        <x:v>East</x:v>
      </x:c>
      <x:c r="G9567" t="str">
        <x:v>Technology</x:v>
      </x:c>
      <x:c r="H9567" t="str">
        <x:v>Machines</x:v>
      </x:c>
      <x:c r="I9567" s="22" t="n">
        <x:v>224.93700000000004</x:v>
      </x:c>
      <x:c r="J9567" s="24" t="n">
        <x:v>3</x:v>
      </x:c>
      <x:c r="K9567" s="26" t="n">
        <x:v>0.7</x:v>
      </x:c>
      <x:c r="L9567" s="22" t="n">
        <x:v>-164.9538</x:v>
      </x:c>
      <x:c r="M9567" t="n">
        <x:v>2016</x:v>
      </x:c>
      <x:c r="N9567" s="20" t="n">
        <x:v>42491</x:v>
      </x:c>
    </x:row>
    <x:row r="9568" ht="18" customHeight="1">
      <x:c r="A9568" t="str">
        <x:v>CA-2016-129280</x:v>
      </x:c>
      <x:c r="B9568" s="18" t="n">
        <x:v>42493</x:v>
      </x:c>
      <x:c r="C9568" t="str">
        <x:v>SM-20905</x:v>
      </x:c>
      <x:c r="D9568" t="str">
        <x:v>Susan MacKendrick</x:v>
      </x:c>
      <x:c r="E9568" t="str">
        <x:v>Consumer</x:v>
      </x:c>
      <x:c r="F9568" t="str">
        <x:v>East</x:v>
      </x:c>
      <x:c r="G9568" t="str">
        <x:v>Office Supplies</x:v>
      </x:c>
      <x:c r="H9568" t="str">
        <x:v>Labels</x:v>
      </x:c>
      <x:c r="I9568" s="22" t="n">
        <x:v>6</x:v>
      </x:c>
      <x:c r="J9568" s="24" t="n">
        <x:v>2</x:v>
      </x:c>
      <x:c r="K9568" s="26" t="n">
        <x:v>0.2</x:v>
      </x:c>
      <x:c r="L9568" s="22" t="n">
        <x:v>2.0999999999999996</x:v>
      </x:c>
      <x:c r="M9568" t="n">
        <x:v>2016</x:v>
      </x:c>
      <x:c r="N9568" s="20" t="n">
        <x:v>42491</x:v>
      </x:c>
    </x:row>
    <x:row r="9569" ht="18" customHeight="1">
      <x:c r="A9569" t="str">
        <x:v>CA-2015-161242</x:v>
      </x:c>
      <x:c r="B9569" s="18" t="n">
        <x:v>42156</x:v>
      </x:c>
      <x:c r="C9569" t="str">
        <x:v>CG-12040</x:v>
      </x:c>
      <x:c r="D9569" t="str">
        <x:v>Catherine Glotzbach</x:v>
      </x:c>
      <x:c r="E9569" t="str">
        <x:v>Home Office</x:v>
      </x:c>
      <x:c r="F9569" t="str">
        <x:v>West</x:v>
      </x:c>
      <x:c r="G9569" t="str">
        <x:v>Office Supplies</x:v>
      </x:c>
      <x:c r="H9569" t="str">
        <x:v>Paper</x:v>
      </x:c>
      <x:c r="I9569" s="22" t="n">
        <x:v>11.76</x:v>
      </x:c>
      <x:c r="J9569" s="24" t="n">
        <x:v>2</x:v>
      </x:c>
      <x:c r="K9569" s="26" t="n">
        <x:v>0</x:v>
      </x:c>
      <x:c r="L9569" s="22" t="n">
        <x:v>5.7623999999999995</x:v>
      </x:c>
      <x:c r="M9569" t="n">
        <x:v>2015</x:v>
      </x:c>
      <x:c r="N9569" s="20" t="n">
        <x:v>42156</x:v>
      </x:c>
    </x:row>
    <x:row r="9570" ht="18" customHeight="1">
      <x:c r="A9570" t="str">
        <x:v>CA-2014-130428</x:v>
      </x:c>
      <x:c r="B9570" s="18" t="n">
        <x:v>41729</x:v>
      </x:c>
      <x:c r="C9570" t="str">
        <x:v>TG-21640</x:v>
      </x:c>
      <x:c r="D9570" t="str">
        <x:v>Trudy Glocke</x:v>
      </x:c>
      <x:c r="E9570" t="str">
        <x:v>Consumer</x:v>
      </x:c>
      <x:c r="F9570" t="str">
        <x:v>South</x:v>
      </x:c>
      <x:c r="G9570" t="str">
        <x:v>Furniture</x:v>
      </x:c>
      <x:c r="H9570" t="str">
        <x:v>Chairs</x:v>
      </x:c>
      <x:c r="I9570" s="22" t="n">
        <x:v>1125.4879999999998</x:v>
      </x:c>
      <x:c r="J9570" s="24" t="n">
        <x:v>7</x:v>
      </x:c>
      <x:c r="K9570" s="26" t="n">
        <x:v>0.2</x:v>
      </x:c>
      <x:c r="L9570" s="22" t="n">
        <x:v>98.48020000000008</x:v>
      </x:c>
      <x:c r="M9570" t="n">
        <x:v>2014</x:v>
      </x:c>
      <x:c r="N9570" s="20" t="n">
        <x:v>41699</x:v>
      </x:c>
    </x:row>
    <x:row r="9571" ht="18" customHeight="1">
      <x:c r="A9571" t="str">
        <x:v>CA-2014-130428</x:v>
      </x:c>
      <x:c r="B9571" s="18" t="n">
        <x:v>41729</x:v>
      </x:c>
      <x:c r="C9571" t="str">
        <x:v>TG-21640</x:v>
      </x:c>
      <x:c r="D9571" t="str">
        <x:v>Trudy Glocke</x:v>
      </x:c>
      <x:c r="E9571" t="str">
        <x:v>Consumer</x:v>
      </x:c>
      <x:c r="F9571" t="str">
        <x:v>South</x:v>
      </x:c>
      <x:c r="G9571" t="str">
        <x:v>Office Supplies</x:v>
      </x:c>
      <x:c r="H9571" t="str">
        <x:v>Binders</x:v>
      </x:c>
      <x:c r="I9571" s="22" t="n">
        <x:v>12.645000000000001</x:v>
      </x:c>
      <x:c r="J9571" s="24" t="n">
        <x:v>5</x:v>
      </x:c>
      <x:c r="K9571" s="26" t="n">
        <x:v>0.7</x:v>
      </x:c>
      <x:c r="L9571" s="22" t="n">
        <x:v>-10.116</x:v>
      </x:c>
      <x:c r="M9571" t="n">
        <x:v>2014</x:v>
      </x:c>
      <x:c r="N9571" s="20" t="n">
        <x:v>41699</x:v>
      </x:c>
    </x:row>
    <x:row r="9572" ht="18" customHeight="1">
      <x:c r="A9572" t="str">
        <x:v>CA-2014-130428</x:v>
      </x:c>
      <x:c r="B9572" s="18" t="n">
        <x:v>41729</x:v>
      </x:c>
      <x:c r="C9572" t="str">
        <x:v>TG-21640</x:v>
      </x:c>
      <x:c r="D9572" t="str">
        <x:v>Trudy Glocke</x:v>
      </x:c>
      <x:c r="E9572" t="str">
        <x:v>Consumer</x:v>
      </x:c>
      <x:c r="F9572" t="str">
        <x:v>South</x:v>
      </x:c>
      <x:c r="G9572" t="str">
        <x:v>Office Supplies</x:v>
      </x:c>
      <x:c r="H9572" t="str">
        <x:v>Art</x:v>
      </x:c>
      <x:c r="I9572" s="22" t="n">
        <x:v>4.032</x:v>
      </x:c>
      <x:c r="J9572" s="24" t="n">
        <x:v>2</x:v>
      </x:c>
      <x:c r="K9572" s="26" t="n">
        <x:v>0.2</x:v>
      </x:c>
      <x:c r="L9572" s="22" t="n">
        <x:v>1.0584000000000002</x:v>
      </x:c>
      <x:c r="M9572" t="n">
        <x:v>2014</x:v>
      </x:c>
      <x:c r="N9572" s="20" t="n">
        <x:v>41699</x:v>
      </x:c>
    </x:row>
    <x:row r="9573" ht="18" customHeight="1">
      <x:c r="A9573" t="str">
        <x:v>CA-2017-104388</x:v>
      </x:c>
      <x:c r="B9573" s="18" t="n">
        <x:v>42921</x:v>
      </x:c>
      <x:c r="C9573" t="str">
        <x:v>DK-12835</x:v>
      </x:c>
      <x:c r="D9573" t="str">
        <x:v>Damala Kotsonis</x:v>
      </x:c>
      <x:c r="E9573" t="str">
        <x:v>Corporate</x:v>
      </x:c>
      <x:c r="F9573" t="str">
        <x:v>Central</x:v>
      </x:c>
      <x:c r="G9573" t="str">
        <x:v>Technology</x:v>
      </x:c>
      <x:c r="H9573" t="str">
        <x:v>Phones</x:v>
      </x:c>
      <x:c r="I9573" s="22" t="n">
        <x:v>79.96</x:v>
      </x:c>
      <x:c r="J9573" s="24" t="n">
        <x:v>4</x:v>
      </x:c>
      <x:c r="K9573" s="26" t="n">
        <x:v>0</x:v>
      </x:c>
      <x:c r="L9573" s="22" t="n">
        <x:v>22.388800000000003</x:v>
      </x:c>
      <x:c r="M9573" t="n">
        <x:v>2017</x:v>
      </x:c>
      <x:c r="N9573" s="20" t="n">
        <x:v>42917</x:v>
      </x:c>
    </x:row>
    <x:row r="9574" ht="18" customHeight="1">
      <x:c r="A9574" t="str">
        <x:v>CA-2015-113131</x:v>
      </x:c>
      <x:c r="B9574" s="18" t="n">
        <x:v>42271</x:v>
      </x:c>
      <x:c r="C9574" t="str">
        <x:v>MB-17305</x:v>
      </x:c>
      <x:c r="D9574" t="str">
        <x:v>Maria Bertelson</x:v>
      </x:c>
      <x:c r="E9574" t="str">
        <x:v>Consumer</x:v>
      </x:c>
      <x:c r="F9574" t="str">
        <x:v>East</x:v>
      </x:c>
      <x:c r="G9574" t="str">
        <x:v>Office Supplies</x:v>
      </x:c>
      <x:c r="H9574" t="str">
        <x:v>Binders</x:v>
      </x:c>
      <x:c r="I9574" s="22" t="n">
        <x:v>6.732000000000002</x:v>
      </x:c>
      <x:c r="J9574" s="24" t="n">
        <x:v>6</x:v>
      </x:c>
      <x:c r="K9574" s="26" t="n">
        <x:v>0.7</x:v>
      </x:c>
      <x:c r="L9574" s="22" t="n">
        <x:v>-4.487999999999998</x:v>
      </x:c>
      <x:c r="M9574" t="n">
        <x:v>2015</x:v>
      </x:c>
      <x:c r="N9574" s="20" t="n">
        <x:v>42248</x:v>
      </x:c>
    </x:row>
    <x:row r="9575" ht="18" customHeight="1">
      <x:c r="A9575" t="str">
        <x:v>CA-2015-113131</x:v>
      </x:c>
      <x:c r="B9575" s="18" t="n">
        <x:v>42271</x:v>
      </x:c>
      <x:c r="C9575" t="str">
        <x:v>MB-17305</x:v>
      </x:c>
      <x:c r="D9575" t="str">
        <x:v>Maria Bertelson</x:v>
      </x:c>
      <x:c r="E9575" t="str">
        <x:v>Consumer</x:v>
      </x:c>
      <x:c r="F9575" t="str">
        <x:v>East</x:v>
      </x:c>
      <x:c r="G9575" t="str">
        <x:v>Office Supplies</x:v>
      </x:c>
      <x:c r="H9575" t="str">
        <x:v>Storage</x:v>
      </x:c>
      <x:c r="I9575" s="22" t="n">
        <x:v>33.568000000000005</x:v>
      </x:c>
      <x:c r="J9575" s="24" t="n">
        <x:v>2</x:v>
      </x:c>
      <x:c r="K9575" s="26" t="n">
        <x:v>0.2</x:v>
      </x:c>
      <x:c r="L9575" s="22" t="n">
        <x:v>1.6783999999999981</x:v>
      </x:c>
      <x:c r="M9575" t="n">
        <x:v>2015</x:v>
      </x:c>
      <x:c r="N9575" s="20" t="n">
        <x:v>42248</x:v>
      </x:c>
    </x:row>
    <x:row r="9576" ht="18" customHeight="1">
      <x:c r="A9576" t="str">
        <x:v>CA-2015-113131</x:v>
      </x:c>
      <x:c r="B9576" s="18" t="n">
        <x:v>42271</x:v>
      </x:c>
      <x:c r="C9576" t="str">
        <x:v>MB-17305</x:v>
      </x:c>
      <x:c r="D9576" t="str">
        <x:v>Maria Bertelson</x:v>
      </x:c>
      <x:c r="E9576" t="str">
        <x:v>Consumer</x:v>
      </x:c>
      <x:c r="F9576" t="str">
        <x:v>East</x:v>
      </x:c>
      <x:c r="G9576" t="str">
        <x:v>Office Supplies</x:v>
      </x:c>
      <x:c r="H9576" t="str">
        <x:v>Envelopes</x:v>
      </x:c>
      <x:c r="I9576" s="22" t="n">
        <x:v>15.840000000000002</x:v>
      </x:c>
      <x:c r="J9576" s="24" t="n">
        <x:v>2</x:v>
      </x:c>
      <x:c r="K9576" s="26" t="n">
        <x:v>0.2</x:v>
      </x:c>
      <x:c r="L9576" s="22" t="n">
        <x:v>5.543999999999999</x:v>
      </x:c>
      <x:c r="M9576" t="n">
        <x:v>2015</x:v>
      </x:c>
      <x:c r="N9576" s="20" t="n">
        <x:v>42248</x:v>
      </x:c>
    </x:row>
    <x:row r="9577" ht="18" customHeight="1">
      <x:c r="A9577" t="str">
        <x:v>CA-2015-113131</x:v>
      </x:c>
      <x:c r="B9577" s="18" t="n">
        <x:v>42271</x:v>
      </x:c>
      <x:c r="C9577" t="str">
        <x:v>MB-17305</x:v>
      </x:c>
      <x:c r="D9577" t="str">
        <x:v>Maria Bertelson</x:v>
      </x:c>
      <x:c r="E9577" t="str">
        <x:v>Consumer</x:v>
      </x:c>
      <x:c r="F9577" t="str">
        <x:v>East</x:v>
      </x:c>
      <x:c r="G9577" t="str">
        <x:v>Office Supplies</x:v>
      </x:c>
      <x:c r="H9577" t="str">
        <x:v>Labels</x:v>
      </x:c>
      <x:c r="I9577" s="22" t="n">
        <x:v>24.424000000000003</x:v>
      </x:c>
      <x:c r="J9577" s="24" t="n">
        <x:v>1</x:v>
      </x:c>
      <x:c r="K9577" s="26" t="n">
        <x:v>0.2</x:v>
      </x:c>
      <x:c r="L9577" s="22" t="n">
        <x:v>7.9378</x:v>
      </x:c>
      <x:c r="M9577" t="n">
        <x:v>2015</x:v>
      </x:c>
      <x:c r="N9577" s="20" t="n">
        <x:v>42248</x:v>
      </x:c>
    </x:row>
    <x:row r="9578" ht="18" customHeight="1">
      <x:c r="A9578" t="str">
        <x:v>CA-2015-113131</x:v>
      </x:c>
      <x:c r="B9578" s="18" t="n">
        <x:v>42271</x:v>
      </x:c>
      <x:c r="C9578" t="str">
        <x:v>MB-17305</x:v>
      </x:c>
      <x:c r="D9578" t="str">
        <x:v>Maria Bertelson</x:v>
      </x:c>
      <x:c r="E9578" t="str">
        <x:v>Consumer</x:v>
      </x:c>
      <x:c r="F9578" t="str">
        <x:v>East</x:v>
      </x:c>
      <x:c r="G9578" t="str">
        <x:v>Office Supplies</x:v>
      </x:c>
      <x:c r="H9578" t="str">
        <x:v>Art</x:v>
      </x:c>
      <x:c r="I9578" s="22" t="n">
        <x:v>17.12</x:v>
      </x:c>
      <x:c r="J9578" s="24" t="n">
        <x:v>5</x:v>
      </x:c>
      <x:c r="K9578" s="26" t="n">
        <x:v>0.2</x:v>
      </x:c>
      <x:c r="L9578" s="22" t="n">
        <x:v>1.9259999999999975</x:v>
      </x:c>
      <x:c r="M9578" t="n">
        <x:v>2015</x:v>
      </x:c>
      <x:c r="N9578" s="20" t="n">
        <x:v>42248</x:v>
      </x:c>
    </x:row>
    <x:row r="9579" ht="18" customHeight="1">
      <x:c r="A9579" t="str">
        <x:v>CA-2015-148495</x:v>
      </x:c>
      <x:c r="B9579" s="18" t="n">
        <x:v>42229</x:v>
      </x:c>
      <x:c r="C9579" t="str">
        <x:v>SF-20065</x:v>
      </x:c>
      <x:c r="D9579" t="str">
        <x:v>Sandra Flanagan</x:v>
      </x:c>
      <x:c r="E9579" t="str">
        <x:v>Consumer</x:v>
      </x:c>
      <x:c r="F9579" t="str">
        <x:v>West</x:v>
      </x:c>
      <x:c r="G9579" t="str">
        <x:v>Furniture</x:v>
      </x:c>
      <x:c r="H9579" t="str">
        <x:v>Furnishings</x:v>
      </x:c>
      <x:c r="I9579" s="22" t="n">
        <x:v>31.56</x:v>
      </x:c>
      <x:c r="J9579" s="24" t="n">
        <x:v>3</x:v>
      </x:c>
      <x:c r="K9579" s="26" t="n">
        <x:v>0</x:v>
      </x:c>
      <x:c r="L9579" s="22" t="n">
        <x:v>10.4148</x:v>
      </x:c>
      <x:c r="M9579" t="n">
        <x:v>2015</x:v>
      </x:c>
      <x:c r="N9579" s="20" t="n">
        <x:v>42217</x:v>
      </x:c>
    </x:row>
    <x:row r="9580" ht="18" customHeight="1">
      <x:c r="A9580" t="str">
        <x:v>CA-2015-143147</x:v>
      </x:c>
      <x:c r="B9580" s="18" t="n">
        <x:v>42150</x:v>
      </x:c>
      <x:c r="C9580" t="str">
        <x:v>PS-18760</x:v>
      </x:c>
      <x:c r="D9580" t="str">
        <x:v>Pamela Stobb</x:v>
      </x:c>
      <x:c r="E9580" t="str">
        <x:v>Consumer</x:v>
      </x:c>
      <x:c r="F9580" t="str">
        <x:v>Central</x:v>
      </x:c>
      <x:c r="G9580" t="str">
        <x:v>Furniture</x:v>
      </x:c>
      <x:c r="H9580" t="str">
        <x:v>Chairs</x:v>
      </x:c>
      <x:c r="I9580" s="22" t="n">
        <x:v>105.68599999999999</x:v>
      </x:c>
      <x:c r="J9580" s="24" t="n">
        <x:v>1</x:v>
      </x:c>
      <x:c r="K9580" s="26" t="n">
        <x:v>0.3</x:v>
      </x:c>
      <x:c r="L9580" s="22" t="n">
        <x:v>-28.6862</x:v>
      </x:c>
      <x:c r="M9580" t="n">
        <x:v>2015</x:v>
      </x:c>
      <x:c r="N9580" s="20" t="n">
        <x:v>42125</x:v>
      </x:c>
    </x:row>
    <x:row r="9581" ht="18" customHeight="1">
      <x:c r="A9581" t="str">
        <x:v>CA-2015-143147</x:v>
      </x:c>
      <x:c r="B9581" s="18" t="n">
        <x:v>42150</x:v>
      </x:c>
      <x:c r="C9581" t="str">
        <x:v>PS-18760</x:v>
      </x:c>
      <x:c r="D9581" t="str">
        <x:v>Pamela Stobb</x:v>
      </x:c>
      <x:c r="E9581" t="str">
        <x:v>Consumer</x:v>
      </x:c>
      <x:c r="F9581" t="str">
        <x:v>Central</x:v>
      </x:c>
      <x:c r="G9581" t="str">
        <x:v>Technology</x:v>
      </x:c>
      <x:c r="H9581" t="str">
        <x:v>Machines</x:v>
      </x:c>
      <x:c r="I9581" s="22" t="n">
        <x:v>399.53999999999996</x:v>
      </x:c>
      <x:c r="J9581" s="24" t="n">
        <x:v>2</x:v>
      </x:c>
      <x:c r="K9581" s="26" t="n">
        <x:v>0.4</x:v>
      </x:c>
      <x:c r="L9581" s="22" t="n">
        <x:v>-79.90800000000002</x:v>
      </x:c>
      <x:c r="M9581" t="n">
        <x:v>2015</x:v>
      </x:c>
      <x:c r="N9581" s="20" t="n">
        <x:v>42125</x:v>
      </x:c>
    </x:row>
    <x:row r="9582" ht="18" customHeight="1">
      <x:c r="A9582" t="str">
        <x:v>CA-2015-143147</x:v>
      </x:c>
      <x:c r="B9582" s="18" t="n">
        <x:v>42150</x:v>
      </x:c>
      <x:c r="C9582" t="str">
        <x:v>PS-18760</x:v>
      </x:c>
      <x:c r="D9582" t="str">
        <x:v>Pamela Stobb</x:v>
      </x:c>
      <x:c r="E9582" t="str">
        <x:v>Consumer</x:v>
      </x:c>
      <x:c r="F9582" t="str">
        <x:v>Central</x:v>
      </x:c>
      <x:c r="G9582" t="str">
        <x:v>Furniture</x:v>
      </x:c>
      <x:c r="H9582" t="str">
        <x:v>Chairs</x:v>
      </x:c>
      <x:c r="I9582" s="22" t="n">
        <x:v>104.93</x:v>
      </x:c>
      <x:c r="J9582" s="24" t="n">
        <x:v>5</x:v>
      </x:c>
      <x:c r="K9582" s="26" t="n">
        <x:v>0.3</x:v>
      </x:c>
      <x:c r="L9582" s="22" t="n">
        <x:v>-4.497</x:v>
      </x:c>
      <x:c r="M9582" t="n">
        <x:v>2015</x:v>
      </x:c>
      <x:c r="N9582" s="20" t="n">
        <x:v>42125</x:v>
      </x:c>
    </x:row>
    <x:row r="9583" ht="18" customHeight="1">
      <x:c r="A9583" t="str">
        <x:v>CA-2017-152975</x:v>
      </x:c>
      <x:c r="B9583" s="18" t="n">
        <x:v>42992</x:v>
      </x:c>
      <x:c r="C9583" t="str">
        <x:v>RB-19705</x:v>
      </x:c>
      <x:c r="D9583" t="str">
        <x:v>Roger Barcio</x:v>
      </x:c>
      <x:c r="E9583" t="str">
        <x:v>Home Office</x:v>
      </x:c>
      <x:c r="F9583" t="str">
        <x:v>East</x:v>
      </x:c>
      <x:c r="G9583" t="str">
        <x:v>Technology</x:v>
      </x:c>
      <x:c r="H9583" t="str">
        <x:v>Phones</x:v>
      </x:c>
      <x:c r="I9583" s="22" t="n">
        <x:v>1079.85</x:v>
      </x:c>
      <x:c r="J9583" s="24" t="n">
        <x:v>3</x:v>
      </x:c>
      <x:c r="K9583" s="26" t="n">
        <x:v>0</x:v>
      </x:c>
      <x:c r="L9583" s="22" t="n">
        <x:v>323.9549999999999</x:v>
      </x:c>
      <x:c r="M9583" t="n">
        <x:v>2017</x:v>
      </x:c>
      <x:c r="N9583" s="20" t="n">
        <x:v>42979</x:v>
      </x:c>
    </x:row>
    <x:row r="9584" ht="18" customHeight="1">
      <x:c r="A9584" t="str">
        <x:v>CA-2017-152975</x:v>
      </x:c>
      <x:c r="B9584" s="18" t="n">
        <x:v>42992</x:v>
      </x:c>
      <x:c r="C9584" t="str">
        <x:v>RB-19705</x:v>
      </x:c>
      <x:c r="D9584" t="str">
        <x:v>Roger Barcio</x:v>
      </x:c>
      <x:c r="E9584" t="str">
        <x:v>Home Office</x:v>
      </x:c>
      <x:c r="F9584" t="str">
        <x:v>East</x:v>
      </x:c>
      <x:c r="G9584" t="str">
        <x:v>Office Supplies</x:v>
      </x:c>
      <x:c r="H9584" t="str">
        <x:v>Storage</x:v>
      </x:c>
      <x:c r="I9584" s="22" t="n">
        <x:v>70.98</x:v>
      </x:c>
      <x:c r="J9584" s="24" t="n">
        <x:v>1</x:v>
      </x:c>
      <x:c r="K9584" s="26" t="n">
        <x:v>0</x:v>
      </x:c>
      <x:c r="L9584" s="22" t="n">
        <x:v>3.5489999999999924</x:v>
      </x:c>
      <x:c r="M9584" t="n">
        <x:v>2017</x:v>
      </x:c>
      <x:c r="N9584" s="20" t="n">
        <x:v>42979</x:v>
      </x:c>
    </x:row>
    <x:row r="9585" ht="18" customHeight="1">
      <x:c r="A9585" t="str">
        <x:v>CA-2017-152975</x:v>
      </x:c>
      <x:c r="B9585" s="18" t="n">
        <x:v>42992</x:v>
      </x:c>
      <x:c r="C9585" t="str">
        <x:v>RB-19705</x:v>
      </x:c>
      <x:c r="D9585" t="str">
        <x:v>Roger Barcio</x:v>
      </x:c>
      <x:c r="E9585" t="str">
        <x:v>Home Office</x:v>
      </x:c>
      <x:c r="F9585" t="str">
        <x:v>East</x:v>
      </x:c>
      <x:c r="G9585" t="str">
        <x:v>Office Supplies</x:v>
      </x:c>
      <x:c r="H9585" t="str">
        <x:v>Art</x:v>
      </x:c>
      <x:c r="I9585" s="22" t="n">
        <x:v>29.950000000000003</x:v>
      </x:c>
      <x:c r="J9585" s="24" t="n">
        <x:v>5</x:v>
      </x:c>
      <x:c r="K9585" s="26" t="n">
        <x:v>0</x:v>
      </x:c>
      <x:c r="L9585" s="22" t="n">
        <x:v>8.6855</x:v>
      </x:c>
      <x:c r="M9585" t="n">
        <x:v>2017</x:v>
      </x:c>
      <x:c r="N9585" s="20" t="n">
        <x:v>42979</x:v>
      </x:c>
    </x:row>
    <x:row r="9586" ht="18" customHeight="1">
      <x:c r="A9586" t="str">
        <x:v>CA-2017-152975</x:v>
      </x:c>
      <x:c r="B9586" s="18" t="n">
        <x:v>42992</x:v>
      </x:c>
      <x:c r="C9586" t="str">
        <x:v>RB-19705</x:v>
      </x:c>
      <x:c r="D9586" t="str">
        <x:v>Roger Barcio</x:v>
      </x:c>
      <x:c r="E9586" t="str">
        <x:v>Home Office</x:v>
      </x:c>
      <x:c r="F9586" t="str">
        <x:v>East</x:v>
      </x:c>
      <x:c r="G9586" t="str">
        <x:v>Furniture</x:v>
      </x:c>
      <x:c r="H9586" t="str">
        <x:v>Chairs</x:v>
      </x:c>
      <x:c r="I9586" s="22" t="n">
        <x:v>589.41</x:v>
      </x:c>
      <x:c r="J9586" s="24" t="n">
        <x:v>5</x:v>
      </x:c>
      <x:c r="K9586" s="26" t="n">
        <x:v>0.1</x:v>
      </x:c>
      <x:c r="L9586" s="22" t="n">
        <x:v>-6.549000000000049</x:v>
      </x:c>
      <x:c r="M9586" t="n">
        <x:v>2017</x:v>
      </x:c>
      <x:c r="N9586" s="20" t="n">
        <x:v>42979</x:v>
      </x:c>
    </x:row>
    <x:row r="9587" ht="18" customHeight="1">
      <x:c r="A9587" t="str">
        <x:v>CA-2016-107475</x:v>
      </x:c>
      <x:c r="B9587" s="18" t="n">
        <x:v>42528</x:v>
      </x:c>
      <x:c r="C9587" t="str">
        <x:v>RS-19870</x:v>
      </x:c>
      <x:c r="D9587" t="str">
        <x:v>Roy Skaria</x:v>
      </x:c>
      <x:c r="E9587" t="str">
        <x:v>Home Office</x:v>
      </x:c>
      <x:c r="F9587" t="str">
        <x:v>East</x:v>
      </x:c>
      <x:c r="G9587" t="str">
        <x:v>Office Supplies</x:v>
      </x:c>
      <x:c r="H9587" t="str">
        <x:v>Fasteners</x:v>
      </x:c>
      <x:c r="I9587" s="22" t="n">
        <x:v>9.648</x:v>
      </x:c>
      <x:c r="J9587" s="24" t="n">
        <x:v>6</x:v>
      </x:c>
      <x:c r="K9587" s="26" t="n">
        <x:v>0.2</x:v>
      </x:c>
      <x:c r="L9587" s="22" t="n">
        <x:v>3.4974</x:v>
      </x:c>
      <x:c r="M9587" t="n">
        <x:v>2016</x:v>
      </x:c>
      <x:c r="N9587" s="20" t="n">
        <x:v>42522</x:v>
      </x:c>
    </x:row>
    <x:row r="9588" ht="18" customHeight="1">
      <x:c r="A9588" t="str">
        <x:v>CA-2017-116127</x:v>
      </x:c>
      <x:c r="B9588" s="18" t="n">
        <x:v>42911</x:v>
      </x:c>
      <x:c r="C9588" t="str">
        <x:v>SB-20185</x:v>
      </x:c>
      <x:c r="D9588" t="str">
        <x:v>Sarah Brown</x:v>
      </x:c>
      <x:c r="E9588" t="str">
        <x:v>Consumer</x:v>
      </x:c>
      <x:c r="F9588" t="str">
        <x:v>East</x:v>
      </x:c>
      <x:c r="G9588" t="str">
        <x:v>Furniture</x:v>
      </x:c>
      <x:c r="H9588" t="str">
        <x:v>Bookcases</x:v>
      </x:c>
      <x:c r="I9588" s="22" t="n">
        <x:v>400.78400000000005</x:v>
      </x:c>
      <x:c r="J9588" s="24" t="n">
        <x:v>1</x:v>
      </x:c>
      <x:c r="K9588" s="26" t="n">
        <x:v>0.2</x:v>
      </x:c>
      <x:c r="L9588" s="22" t="n">
        <x:v>-5.009800000000027</x:v>
      </x:c>
      <x:c r="M9588" t="n">
        <x:v>2017</x:v>
      </x:c>
      <x:c r="N9588" s="20" t="n">
        <x:v>42887</x:v>
      </x:c>
    </x:row>
    <x:row r="9589" ht="18" customHeight="1">
      <x:c r="A9589" t="str">
        <x:v>CA-2017-132584</x:v>
      </x:c>
      <x:c r="B9589" s="18" t="n">
        <x:v>42973</x:v>
      </x:c>
      <x:c r="C9589" t="str">
        <x:v>HJ-14875</x:v>
      </x:c>
      <x:c r="D9589" t="str">
        <x:v>Heather Jas</x:v>
      </x:c>
      <x:c r="E9589" t="str">
        <x:v>Home Office</x:v>
      </x:c>
      <x:c r="F9589" t="str">
        <x:v>Central</x:v>
      </x:c>
      <x:c r="G9589" t="str">
        <x:v>Office Supplies</x:v>
      </x:c>
      <x:c r="H9589" t="str">
        <x:v>Storage</x:v>
      </x:c>
      <x:c r="I9589" s="22" t="n">
        <x:v>53.72</x:v>
      </x:c>
      <x:c r="J9589" s="24" t="n">
        <x:v>4</x:v>
      </x:c>
      <x:c r="K9589" s="26" t="n">
        <x:v>0</x:v>
      </x:c>
      <x:c r="L9589" s="22" t="n">
        <x:v>13.967199999999998</x:v>
      </x:c>
      <x:c r="M9589" t="n">
        <x:v>2017</x:v>
      </x:c>
      <x:c r="N9589" s="20" t="n">
        <x:v>42948</x:v>
      </x:c>
    </x:row>
    <x:row r="9590" ht="18" customHeight="1">
      <x:c r="A9590" t="str">
        <x:v>CA-2016-160598</x:v>
      </x:c>
      <x:c r="B9590" s="18" t="n">
        <x:v>42608</x:v>
      </x:c>
      <x:c r="C9590" t="str">
        <x:v>SV-20815</x:v>
      </x:c>
      <x:c r="D9590" t="str">
        <x:v>Stuart Van</x:v>
      </x:c>
      <x:c r="E9590" t="str">
        <x:v>Corporate</x:v>
      </x:c>
      <x:c r="F9590" t="str">
        <x:v>South</x:v>
      </x:c>
      <x:c r="G9590" t="str">
        <x:v>Office Supplies</x:v>
      </x:c>
      <x:c r="H9590" t="str">
        <x:v>Paper</x:v>
      </x:c>
      <x:c r="I9590" s="22" t="n">
        <x:v>31.008</x:v>
      </x:c>
      <x:c r="J9590" s="24" t="n">
        <x:v>1</x:v>
      </x:c>
      <x:c r="K9590" s="26" t="n">
        <x:v>0.2</x:v>
      </x:c>
      <x:c r="L9590" s="22" t="n">
        <x:v>11.240400000000001</x:v>
      </x:c>
      <x:c r="M9590" t="n">
        <x:v>2016</x:v>
      </x:c>
      <x:c r="N9590" s="20" t="n">
        <x:v>42583</x:v>
      </x:c>
    </x:row>
    <x:row r="9591" ht="18" customHeight="1">
      <x:c r="A9591" t="str">
        <x:v>CA-2016-108630</x:v>
      </x:c>
      <x:c r="B9591" s="18" t="n">
        <x:v>42692</x:v>
      </x:c>
      <x:c r="C9591" t="str">
        <x:v>BE-11410</x:v>
      </x:c>
      <x:c r="D9591" t="str">
        <x:v>Bobby Elias</x:v>
      </x:c>
      <x:c r="E9591" t="str">
        <x:v>Consumer</x:v>
      </x:c>
      <x:c r="F9591" t="str">
        <x:v>West</x:v>
      </x:c>
      <x:c r="G9591" t="str">
        <x:v>Office Supplies</x:v>
      </x:c>
      <x:c r="H9591" t="str">
        <x:v>Binders</x:v>
      </x:c>
      <x:c r="I9591" s="22" t="n">
        <x:v>61.120000000000005</x:v>
      </x:c>
      <x:c r="J9591" s="24" t="n">
        <x:v>5</x:v>
      </x:c>
      <x:c r="K9591" s="26" t="n">
        <x:v>0.2</x:v>
      </x:c>
      <x:c r="L9591" s="22" t="n">
        <x:v>22.156</x:v>
      </x:c>
      <x:c r="M9591" t="n">
        <x:v>2016</x:v>
      </x:c>
      <x:c r="N9591" s="20" t="n">
        <x:v>42675</x:v>
      </x:c>
    </x:row>
    <x:row r="9592" ht="18" customHeight="1">
      <x:c r="A9592" t="str">
        <x:v>US-2017-129203</x:v>
      </x:c>
      <x:c r="B9592" s="18" t="n">
        <x:v>42842</x:v>
      </x:c>
      <x:c r="C9592" t="str">
        <x:v>BM-11575</x:v>
      </x:c>
      <x:c r="D9592" t="str">
        <x:v>Brendan Murry</x:v>
      </x:c>
      <x:c r="E9592" t="str">
        <x:v>Corporate</x:v>
      </x:c>
      <x:c r="F9592" t="str">
        <x:v>Central</x:v>
      </x:c>
      <x:c r="G9592" t="str">
        <x:v>Office Supplies</x:v>
      </x:c>
      <x:c r="H9592" t="str">
        <x:v>Storage</x:v>
      </x:c>
      <x:c r="I9592" s="22" t="n">
        <x:v>195.136</x:v>
      </x:c>
      <x:c r="J9592" s="24" t="n">
        <x:v>4</x:v>
      </x:c>
      <x:c r="K9592" s="26" t="n">
        <x:v>0.2</x:v>
      </x:c>
      <x:c r="L9592" s="22" t="n">
        <x:v>-43.9056</x:v>
      </x:c>
      <x:c r="M9592" t="n">
        <x:v>2017</x:v>
      </x:c>
      <x:c r="N9592" s="20" t="n">
        <x:v>42826</x:v>
      </x:c>
    </x:row>
    <x:row r="9593" ht="18" customHeight="1">
      <x:c r="A9593" t="str">
        <x:v>CA-2017-110940</x:v>
      </x:c>
      <x:c r="B9593" s="18" t="n">
        <x:v>42939</x:v>
      </x:c>
      <x:c r="C9593" t="str">
        <x:v>AZ-10750</x:v>
      </x:c>
      <x:c r="D9593" t="str">
        <x:v>Annie Zypern</x:v>
      </x:c>
      <x:c r="E9593" t="str">
        <x:v>Consumer</x:v>
      </x:c>
      <x:c r="F9593" t="str">
        <x:v>Central</x:v>
      </x:c>
      <x:c r="G9593" t="str">
        <x:v>Office Supplies</x:v>
      </x:c>
      <x:c r="H9593" t="str">
        <x:v>Art</x:v>
      </x:c>
      <x:c r="I9593" s="22" t="n">
        <x:v>121.536</x:v>
      </x:c>
      <x:c r="J9593" s="24" t="n">
        <x:v>4</x:v>
      </x:c>
      <x:c r="K9593" s="26" t="n">
        <x:v>0.2</x:v>
      </x:c>
      <x:c r="L9593" s="22" t="n">
        <x:v>15.191999999999979</x:v>
      </x:c>
      <x:c r="M9593" t="n">
        <x:v>2017</x:v>
      </x:c>
      <x:c r="N9593" s="20" t="n">
        <x:v>42917</x:v>
      </x:c>
    </x:row>
    <x:row r="9594" ht="18" customHeight="1">
      <x:c r="A9594" t="str">
        <x:v>CA-2014-119172</x:v>
      </x:c>
      <x:c r="B9594" s="18" t="n">
        <x:v>41770</x:v>
      </x:c>
      <x:c r="C9594" t="str">
        <x:v>HD-14785</x:v>
      </x:c>
      <x:c r="D9594" t="str">
        <x:v>Harold Dahlen</x:v>
      </x:c>
      <x:c r="E9594" t="str">
        <x:v>Home Office</x:v>
      </x:c>
      <x:c r="F9594" t="str">
        <x:v>Central</x:v>
      </x:c>
      <x:c r="G9594" t="str">
        <x:v>Office Supplies</x:v>
      </x:c>
      <x:c r="H9594" t="str">
        <x:v>Paper</x:v>
      </x:c>
      <x:c r="I9594" s="22" t="n">
        <x:v>17.472</x:v>
      </x:c>
      <x:c r="J9594" s="24" t="n">
        <x:v>3</x:v>
      </x:c>
      <x:c r="K9594" s="26" t="n">
        <x:v>0.2</x:v>
      </x:c>
      <x:c r="L9594" s="22" t="n">
        <x:v>5.678399999999998</x:v>
      </x:c>
      <x:c r="M9594" t="n">
        <x:v>2014</x:v>
      </x:c>
      <x:c r="N9594" s="20" t="n">
        <x:v>41760</x:v>
      </x:c>
    </x:row>
    <x:row r="9595" ht="18" customHeight="1">
      <x:c r="A9595" t="str">
        <x:v>CA-2014-119172</x:v>
      </x:c>
      <x:c r="B9595" s="18" t="n">
        <x:v>41770</x:v>
      </x:c>
      <x:c r="C9595" t="str">
        <x:v>HD-14785</x:v>
      </x:c>
      <x:c r="D9595" t="str">
        <x:v>Harold Dahlen</x:v>
      </x:c>
      <x:c r="E9595" t="str">
        <x:v>Home Office</x:v>
      </x:c>
      <x:c r="F9595" t="str">
        <x:v>Central</x:v>
      </x:c>
      <x:c r="G9595" t="str">
        <x:v>Office Supplies</x:v>
      </x:c>
      <x:c r="H9595" t="str">
        <x:v>Binders</x:v>
      </x:c>
      <x:c r="I9595" s="22" t="n">
        <x:v>104.57999999999998</x:v>
      </x:c>
      <x:c r="J9595" s="24" t="n">
        <x:v>9</x:v>
      </x:c>
      <x:c r="K9595" s="26" t="n">
        <x:v>0.8</x:v>
      </x:c>
      <x:c r="L9595" s="22" t="n">
        <x:v>-172.55700000000007</x:v>
      </x:c>
      <x:c r="M9595" t="n">
        <x:v>2014</x:v>
      </x:c>
      <x:c r="N9595" s="20" t="n">
        <x:v>41760</x:v>
      </x:c>
    </x:row>
    <x:row r="9596" ht="18" customHeight="1">
      <x:c r="A9596" t="str">
        <x:v>US-2016-105452</x:v>
      </x:c>
      <x:c r="B9596" s="18" t="n">
        <x:v>42579</x:v>
      </x:c>
      <x:c r="C9596" t="str">
        <x:v>BF-11005</x:v>
      </x:c>
      <x:c r="D9596" t="str">
        <x:v>Barry Franz</x:v>
      </x:c>
      <x:c r="E9596" t="str">
        <x:v>Home Office</x:v>
      </x:c>
      <x:c r="F9596" t="str">
        <x:v>Central</x:v>
      </x:c>
      <x:c r="G9596" t="str">
        <x:v>Furniture</x:v>
      </x:c>
      <x:c r="H9596" t="str">
        <x:v>Furnishings</x:v>
      </x:c>
      <x:c r="I9596" s="22" t="n">
        <x:v>24.700000000000003</x:v>
      </x:c>
      <x:c r="J9596" s="24" t="n">
        <x:v>5</x:v>
      </x:c>
      <x:c r="K9596" s="26" t="n">
        <x:v>0.6</x:v>
      </x:c>
      <x:c r="L9596" s="22" t="n">
        <x:v>-9.879999999999995</x:v>
      </x:c>
      <x:c r="M9596" t="n">
        <x:v>2016</x:v>
      </x:c>
      <x:c r="N9596" s="20" t="n">
        <x:v>42552</x:v>
      </x:c>
    </x:row>
    <x:row r="9597" ht="18" customHeight="1">
      <x:c r="A9597" t="str">
        <x:v>US-2016-105452</x:v>
      </x:c>
      <x:c r="B9597" s="18" t="n">
        <x:v>42579</x:v>
      </x:c>
      <x:c r="C9597" t="str">
        <x:v>BF-11005</x:v>
      </x:c>
      <x:c r="D9597" t="str">
        <x:v>Barry Franz</x:v>
      </x:c>
      <x:c r="E9597" t="str">
        <x:v>Home Office</x:v>
      </x:c>
      <x:c r="F9597" t="str">
        <x:v>Central</x:v>
      </x:c>
      <x:c r="G9597" t="str">
        <x:v>Furniture</x:v>
      </x:c>
      <x:c r="H9597" t="str">
        <x:v>Furnishings</x:v>
      </x:c>
      <x:c r="I9597" s="22" t="n">
        <x:v>302.72</x:v>
      </x:c>
      <x:c r="J9597" s="24" t="n">
        <x:v>5</x:v>
      </x:c>
      <x:c r="K9597" s="26" t="n">
        <x:v>0.6</x:v>
      </x:c>
      <x:c r="L9597" s="22" t="n">
        <x:v>-378.4000000000001</x:v>
      </x:c>
      <x:c r="M9597" t="n">
        <x:v>2016</x:v>
      </x:c>
      <x:c r="N9597" s="20" t="n">
        <x:v>42552</x:v>
      </x:c>
    </x:row>
    <x:row r="9598" ht="18" customHeight="1">
      <x:c r="A9598" t="str">
        <x:v>CA-2017-108931</x:v>
      </x:c>
      <x:c r="B9598" s="18" t="n">
        <x:v>42992</x:v>
      </x:c>
      <x:c r="C9598" t="str">
        <x:v>HZ-14950</x:v>
      </x:c>
      <x:c r="D9598" t="str">
        <x:v>Henia Zydlo</x:v>
      </x:c>
      <x:c r="E9598" t="str">
        <x:v>Consumer</x:v>
      </x:c>
      <x:c r="F9598" t="str">
        <x:v>East</x:v>
      </x:c>
      <x:c r="G9598" t="str">
        <x:v>Office Supplies</x:v>
      </x:c>
      <x:c r="H9598" t="str">
        <x:v>Paper</x:v>
      </x:c>
      <x:c r="I9598" s="22" t="n">
        <x:v>8.56</x:v>
      </x:c>
      <x:c r="J9598" s="24" t="n">
        <x:v>2</x:v>
      </x:c>
      <x:c r="K9598" s="26" t="n">
        <x:v>0</x:v>
      </x:c>
      <x:c r="L9598" s="22" t="n">
        <x:v>3.8519999999999994</x:v>
      </x:c>
      <x:c r="M9598" t="n">
        <x:v>2017</x:v>
      </x:c>
      <x:c r="N9598" s="20" t="n">
        <x:v>42979</x:v>
      </x:c>
    </x:row>
    <x:row r="9599" ht="18" customHeight="1">
      <x:c r="A9599" t="str">
        <x:v>CA-2017-108931</x:v>
      </x:c>
      <x:c r="B9599" s="18" t="n">
        <x:v>42992</x:v>
      </x:c>
      <x:c r="C9599" t="str">
        <x:v>HZ-14950</x:v>
      </x:c>
      <x:c r="D9599" t="str">
        <x:v>Henia Zydlo</x:v>
      </x:c>
      <x:c r="E9599" t="str">
        <x:v>Consumer</x:v>
      </x:c>
      <x:c r="F9599" t="str">
        <x:v>East</x:v>
      </x:c>
      <x:c r="G9599" t="str">
        <x:v>Office Supplies</x:v>
      </x:c>
      <x:c r="H9599" t="str">
        <x:v>Paper</x:v>
      </x:c>
      <x:c r="I9599" s="22" t="n">
        <x:v>11.56</x:v>
      </x:c>
      <x:c r="J9599" s="24" t="n">
        <x:v>2</x:v>
      </x:c>
      <x:c r="K9599" s="26" t="n">
        <x:v>0</x:v>
      </x:c>
      <x:c r="L9599" s="22" t="n">
        <x:v>5.6644000000000005</x:v>
      </x:c>
      <x:c r="M9599" t="n">
        <x:v>2017</x:v>
      </x:c>
      <x:c r="N9599" s="20" t="n">
        <x:v>42979</x:v>
      </x:c>
    </x:row>
    <x:row r="9600" ht="18" customHeight="1">
      <x:c r="A9600" t="str">
        <x:v>CA-2017-104619</x:v>
      </x:c>
      <x:c r="B9600" s="18" t="n">
        <x:v>42759</x:v>
      </x:c>
      <x:c r="C9600" t="str">
        <x:v>KD-16495</x:v>
      </x:c>
      <x:c r="D9600" t="str">
        <x:v>Keith Dawkins</x:v>
      </x:c>
      <x:c r="E9600" t="str">
        <x:v>Corporate</x:v>
      </x:c>
      <x:c r="F9600" t="str">
        <x:v>West</x:v>
      </x:c>
      <x:c r="G9600" t="str">
        <x:v>Office Supplies</x:v>
      </x:c>
      <x:c r="H9600" t="str">
        <x:v>Appliances</x:v>
      </x:c>
      <x:c r="I9600" s="22" t="n">
        <x:v>25.86</x:v>
      </x:c>
      <x:c r="J9600" s="24" t="n">
        <x:v>3</x:v>
      </x:c>
      <x:c r="K9600" s="26" t="n">
        <x:v>0</x:v>
      </x:c>
      <x:c r="L9600" s="22" t="n">
        <x:v>6.7236</x:v>
      </x:c>
      <x:c r="M9600" t="n">
        <x:v>2017</x:v>
      </x:c>
      <x:c r="N9600" s="20" t="n">
        <x:v>42736</x:v>
      </x:c>
    </x:row>
    <x:row r="9601" ht="18" customHeight="1">
      <x:c r="A9601" t="str">
        <x:v>CA-2017-104619</x:v>
      </x:c>
      <x:c r="B9601" s="18" t="n">
        <x:v>42759</x:v>
      </x:c>
      <x:c r="C9601" t="str">
        <x:v>KD-16495</x:v>
      </x:c>
      <x:c r="D9601" t="str">
        <x:v>Keith Dawkins</x:v>
      </x:c>
      <x:c r="E9601" t="str">
        <x:v>Corporate</x:v>
      </x:c>
      <x:c r="F9601" t="str">
        <x:v>West</x:v>
      </x:c>
      <x:c r="G9601" t="str">
        <x:v>Office Supplies</x:v>
      </x:c>
      <x:c r="H9601" t="str">
        <x:v>Binders</x:v>
      </x:c>
      <x:c r="I9601" s="22" t="n">
        <x:v>276.78400000000005</x:v>
      </x:c>
      <x:c r="J9601" s="24" t="n">
        <x:v>2</x:v>
      </x:c>
      <x:c r="K9601" s="26" t="n">
        <x:v>0.2</x:v>
      </x:c>
      <x:c r="L9601" s="22" t="n">
        <x:v>89.95479999999999</x:v>
      </x:c>
      <x:c r="M9601" t="n">
        <x:v>2017</x:v>
      </x:c>
      <x:c r="N9601" s="20" t="n">
        <x:v>42736</x:v>
      </x:c>
    </x:row>
    <x:row r="9602" ht="18" customHeight="1">
      <x:c r="A9602" t="str">
        <x:v>CA-2017-104619</x:v>
      </x:c>
      <x:c r="B9602" s="18" t="n">
        <x:v>42759</x:v>
      </x:c>
      <x:c r="C9602" t="str">
        <x:v>KD-16495</x:v>
      </x:c>
      <x:c r="D9602" t="str">
        <x:v>Keith Dawkins</x:v>
      </x:c>
      <x:c r="E9602" t="str">
        <x:v>Corporate</x:v>
      </x:c>
      <x:c r="F9602" t="str">
        <x:v>West</x:v>
      </x:c>
      <x:c r="G9602" t="str">
        <x:v>Technology</x:v>
      </x:c>
      <x:c r="H9602" t="str">
        <x:v>Phones</x:v>
      </x:c>
      <x:c r="I9602" s="22" t="n">
        <x:v>110.352</x:v>
      </x:c>
      <x:c r="J9602" s="24" t="n">
        <x:v>3</x:v>
      </x:c>
      <x:c r="K9602" s="26" t="n">
        <x:v>0.2</x:v>
      </x:c>
      <x:c r="L9602" s="22" t="n">
        <x:v>8.276399999999995</x:v>
      </x:c>
      <x:c r="M9602" t="n">
        <x:v>2017</x:v>
      </x:c>
      <x:c r="N9602" s="20" t="n">
        <x:v>42736</x:v>
      </x:c>
    </x:row>
    <x:row r="9603" ht="18" customHeight="1">
      <x:c r="A9603" t="str">
        <x:v>CA-2015-149517</x:v>
      </x:c>
      <x:c r="B9603" s="18" t="n">
        <x:v>42266</x:v>
      </x:c>
      <x:c r="C9603" t="str">
        <x:v>FC-14245</x:v>
      </x:c>
      <x:c r="D9603" t="str">
        <x:v>Frank Carlisle</x:v>
      </x:c>
      <x:c r="E9603" t="str">
        <x:v>Home Office</x:v>
      </x:c>
      <x:c r="F9603" t="str">
        <x:v>West</x:v>
      </x:c>
      <x:c r="G9603" t="str">
        <x:v>Furniture</x:v>
      </x:c>
      <x:c r="H9603" t="str">
        <x:v>Furnishings</x:v>
      </x:c>
      <x:c r="I9603" s="22" t="n">
        <x:v>60.84</x:v>
      </x:c>
      <x:c r="J9603" s="24" t="n">
        <x:v>3</x:v>
      </x:c>
      <x:c r="K9603" s="26" t="n">
        <x:v>0</x:v>
      </x:c>
      <x:c r="L9603" s="22" t="n">
        <x:v>19.468799999999998</x:v>
      </x:c>
      <x:c r="M9603" t="n">
        <x:v>2015</x:v>
      </x:c>
      <x:c r="N9603" s="20" t="n">
        <x:v>42248</x:v>
      </x:c>
    </x:row>
    <x:row r="9604" ht="18" customHeight="1">
      <x:c r="A9604" t="str">
        <x:v>CA-2015-116841</x:v>
      </x:c>
      <x:c r="B9604" s="18" t="n">
        <x:v>42108</x:v>
      </x:c>
      <x:c r="C9604" t="str">
        <x:v>TP-21130</x:v>
      </x:c>
      <x:c r="D9604" t="str">
        <x:v>Theone Pippenger</x:v>
      </x:c>
      <x:c r="E9604" t="str">
        <x:v>Consumer</x:v>
      </x:c>
      <x:c r="F9604" t="str">
        <x:v>West</x:v>
      </x:c>
      <x:c r="G9604" t="str">
        <x:v>Office Supplies</x:v>
      </x:c>
      <x:c r="H9604" t="str">
        <x:v>Appliances</x:v>
      </x:c>
      <x:c r="I9604" s="22" t="n">
        <x:v>35.208</x:v>
      </x:c>
      <x:c r="J9604" s="24" t="n">
        <x:v>1</x:v>
      </x:c>
      <x:c r="K9604" s="26" t="n">
        <x:v>0.2</x:v>
      </x:c>
      <x:c r="L9604" s="22" t="n">
        <x:v>2.640599999999999</x:v>
      </x:c>
      <x:c r="M9604" t="n">
        <x:v>2015</x:v>
      </x:c>
      <x:c r="N9604" s="20" t="n">
        <x:v>42095</x:v>
      </x:c>
    </x:row>
    <x:row r="9605" ht="18" customHeight="1">
      <x:c r="A9605" t="str">
        <x:v>CA-2017-107797</x:v>
      </x:c>
      <x:c r="B9605" s="18" t="n">
        <x:v>42863</x:v>
      </x:c>
      <x:c r="C9605" t="str">
        <x:v>EB-13705</x:v>
      </x:c>
      <x:c r="D9605" t="str">
        <x:v>Ed Braxton</x:v>
      </x:c>
      <x:c r="E9605" t="str">
        <x:v>Corporate</x:v>
      </x:c>
      <x:c r="F9605" t="str">
        <x:v>Central</x:v>
      </x:c>
      <x:c r="G9605" t="str">
        <x:v>Office Supplies</x:v>
      </x:c>
      <x:c r="H9605" t="str">
        <x:v>Paper</x:v>
      </x:c>
      <x:c r="I9605" s="22" t="n">
        <x:v>41.47200000000001</x:v>
      </x:c>
      <x:c r="J9605" s="24" t="n">
        <x:v>8</x:v>
      </x:c>
      <x:c r="K9605" s="26" t="n">
        <x:v>0.2</x:v>
      </x:c>
      <x:c r="L9605" s="22" t="n">
        <x:v>14.5152</x:v>
      </x:c>
      <x:c r="M9605" t="n">
        <x:v>2017</x:v>
      </x:c>
      <x:c r="N9605" s="20" t="n">
        <x:v>42856</x:v>
      </x:c>
    </x:row>
    <x:row r="9606" ht="18" customHeight="1">
      <x:c r="A9606" t="str">
        <x:v>CA-2016-117604</x:v>
      </x:c>
      <x:c r="B9606" s="18" t="n">
        <x:v>42617</x:v>
      </x:c>
      <x:c r="C9606" t="str">
        <x:v>JP-15520</x:v>
      </x:c>
      <x:c r="D9606" t="str">
        <x:v>Jeremy Pistek</x:v>
      </x:c>
      <x:c r="E9606" t="str">
        <x:v>Consumer</x:v>
      </x:c>
      <x:c r="F9606" t="str">
        <x:v>South</x:v>
      </x:c>
      <x:c r="G9606" t="str">
        <x:v>Office Supplies</x:v>
      </x:c>
      <x:c r="H9606" t="str">
        <x:v>Paper</x:v>
      </x:c>
      <x:c r="I9606" s="22" t="n">
        <x:v>239.5</x:v>
      </x:c>
      <x:c r="J9606" s="24" t="n">
        <x:v>5</x:v>
      </x:c>
      <x:c r="K9606" s="26" t="n">
        <x:v>0</x:v>
      </x:c>
      <x:c r="L9606" s="22" t="n">
        <x:v>114.95999999999998</x:v>
      </x:c>
      <x:c r="M9606" t="n">
        <x:v>2016</x:v>
      </x:c>
      <x:c r="N9606" s="20" t="n">
        <x:v>42614</x:v>
      </x:c>
    </x:row>
    <x:row r="9607" ht="18" customHeight="1">
      <x:c r="A9607" t="str">
        <x:v>CA-2014-130155</x:v>
      </x:c>
      <x:c r="B9607" s="18" t="n">
        <x:v>41778</x:v>
      </x:c>
      <x:c r="C9607" t="str">
        <x:v>TD-20995</x:v>
      </x:c>
      <x:c r="D9607" t="str">
        <x:v>Tamara Dahlen</x:v>
      </x:c>
      <x:c r="E9607" t="str">
        <x:v>Consumer</x:v>
      </x:c>
      <x:c r="F9607" t="str">
        <x:v>South</x:v>
      </x:c>
      <x:c r="G9607" t="str">
        <x:v>Office Supplies</x:v>
      </x:c>
      <x:c r="H9607" t="str">
        <x:v>Supplies</x:v>
      </x:c>
      <x:c r="I9607" s="22" t="n">
        <x:v>34.2</x:v>
      </x:c>
      <x:c r="J9607" s="24" t="n">
        <x:v>5</x:v>
      </x:c>
      <x:c r="K9607" s="26" t="n">
        <x:v>0</x:v>
      </x:c>
      <x:c r="L9607" s="22" t="n">
        <x:v>9.234</x:v>
      </x:c>
      <x:c r="M9607" t="n">
        <x:v>2014</x:v>
      </x:c>
      <x:c r="N9607" s="20" t="n">
        <x:v>41760</x:v>
      </x:c>
    </x:row>
    <x:row r="9608" ht="18" customHeight="1">
      <x:c r="A9608" t="str">
        <x:v>CA-2016-129861</x:v>
      </x:c>
      <x:c r="B9608" s="18" t="n">
        <x:v>42538</x:v>
      </x:c>
      <x:c r="C9608" t="str">
        <x:v>DM-13345</x:v>
      </x:c>
      <x:c r="D9608" t="str">
        <x:v>Denise Monton</x:v>
      </x:c>
      <x:c r="E9608" t="str">
        <x:v>Corporate</x:v>
      </x:c>
      <x:c r="F9608" t="str">
        <x:v>East</x:v>
      </x:c>
      <x:c r="G9608" t="str">
        <x:v>Furniture</x:v>
      </x:c>
      <x:c r="H9608" t="str">
        <x:v>Tables</x:v>
      </x:c>
      <x:c r="I9608" s="22" t="n">
        <x:v>376.866</x:v>
      </x:c>
      <x:c r="J9608" s="24" t="n">
        <x:v>3</x:v>
      </x:c>
      <x:c r="K9608" s="26" t="n">
        <x:v>0.4</x:v>
      </x:c>
      <x:c r="L9608" s="22" t="n">
        <x:v>-213.55740000000006</x:v>
      </x:c>
      <x:c r="M9608" t="n">
        <x:v>2016</x:v>
      </x:c>
      <x:c r="N9608" s="20" t="n">
        <x:v>42522</x:v>
      </x:c>
    </x:row>
    <x:row r="9609" ht="18" customHeight="1">
      <x:c r="A9609" t="str">
        <x:v>CA-2015-138625</x:v>
      </x:c>
      <x:c r="B9609" s="18" t="n">
        <x:v>42310</x:v>
      </x:c>
      <x:c r="C9609" t="str">
        <x:v>EG-13900</x:v>
      </x:c>
      <x:c r="D9609" t="str">
        <x:v>Emily Grady</x:v>
      </x:c>
      <x:c r="E9609" t="str">
        <x:v>Consumer</x:v>
      </x:c>
      <x:c r="F9609" t="str">
        <x:v>South</x:v>
      </x:c>
      <x:c r="G9609" t="str">
        <x:v>Office Supplies</x:v>
      </x:c>
      <x:c r="H9609" t="str">
        <x:v>Appliances</x:v>
      </x:c>
      <x:c r="I9609" s="22" t="n">
        <x:v>197.72</x:v>
      </x:c>
      <x:c r="J9609" s="24" t="n">
        <x:v>4</x:v>
      </x:c>
      <x:c r="K9609" s="26" t="n">
        <x:v>0</x:v>
      </x:c>
      <x:c r="L9609" s="22" t="n">
        <x:v>55.36160000000001</x:v>
      </x:c>
      <x:c r="M9609" t="n">
        <x:v>2015</x:v>
      </x:c>
      <x:c r="N9609" s="20" t="n">
        <x:v>42309</x:v>
      </x:c>
    </x:row>
    <x:row r="9610" ht="18" customHeight="1">
      <x:c r="A9610" t="str">
        <x:v>US-2017-122672</x:v>
      </x:c>
      <x:c r="B9610" s="18" t="n">
        <x:v>43043</x:v>
      </x:c>
      <x:c r="C9610" t="str">
        <x:v>HG-14965</x:v>
      </x:c>
      <x:c r="D9610" t="str">
        <x:v>Henry Goldwyn</x:v>
      </x:c>
      <x:c r="E9610" t="str">
        <x:v>Corporate</x:v>
      </x:c>
      <x:c r="F9610" t="str">
        <x:v>East</x:v>
      </x:c>
      <x:c r="G9610" t="str">
        <x:v>Technology</x:v>
      </x:c>
      <x:c r="H9610" t="str">
        <x:v>Accessories</x:v>
      </x:c>
      <x:c r="I9610" s="22" t="n">
        <x:v>70.72000000000001</x:v>
      </x:c>
      <x:c r="J9610" s="24" t="n">
        <x:v>4</x:v>
      </x:c>
      <x:c r="K9610" s="26" t="n">
        <x:v>0.2</x:v>
      </x:c>
      <x:c r="L9610" s="22" t="n">
        <x:v>-6.187999999999999</x:v>
      </x:c>
      <x:c r="M9610" t="n">
        <x:v>2017</x:v>
      </x:c>
      <x:c r="N9610" s="20" t="n">
        <x:v>43040</x:v>
      </x:c>
    </x:row>
    <x:row r="9611" ht="18" customHeight="1">
      <x:c r="A9611" t="str">
        <x:v>US-2017-122672</x:v>
      </x:c>
      <x:c r="B9611" s="18" t="n">
        <x:v>43043</x:v>
      </x:c>
      <x:c r="C9611" t="str">
        <x:v>HG-14965</x:v>
      </x:c>
      <x:c r="D9611" t="str">
        <x:v>Henry Goldwyn</x:v>
      </x:c>
      <x:c r="E9611" t="str">
        <x:v>Corporate</x:v>
      </x:c>
      <x:c r="F9611" t="str">
        <x:v>East</x:v>
      </x:c>
      <x:c r="G9611" t="str">
        <x:v>Office Supplies</x:v>
      </x:c>
      <x:c r="H9611" t="str">
        <x:v>Storage</x:v>
      </x:c>
      <x:c r="I9611" s="22" t="n">
        <x:v>194.35200000000003</x:v>
      </x:c>
      <x:c r="J9611" s="24" t="n">
        <x:v>3</x:v>
      </x:c>
      <x:c r="K9611" s="26" t="n">
        <x:v>0.2</x:v>
      </x:c>
      <x:c r="L9611" s="22" t="n">
        <x:v>-43.72919999999999</x:v>
      </x:c>
      <x:c r="M9611" t="n">
        <x:v>2017</x:v>
      </x:c>
      <x:c r="N9611" s="20" t="n">
        <x:v>43040</x:v>
      </x:c>
    </x:row>
    <x:row r="9612" ht="18" customHeight="1">
      <x:c r="A9612" t="str">
        <x:v>CA-2017-117128</x:v>
      </x:c>
      <x:c r="B9612" s="18" t="n">
        <x:v>43074</x:v>
      </x:c>
      <x:c r="C9612" t="str">
        <x:v>BF-11080</x:v>
      </x:c>
      <x:c r="D9612" t="str">
        <x:v>Bart Folk</x:v>
      </x:c>
      <x:c r="E9612" t="str">
        <x:v>Consumer</x:v>
      </x:c>
      <x:c r="F9612" t="str">
        <x:v>East</x:v>
      </x:c>
      <x:c r="G9612" t="str">
        <x:v>Office Supplies</x:v>
      </x:c>
      <x:c r="H9612" t="str">
        <x:v>Paper</x:v>
      </x:c>
      <x:c r="I9612" s="22" t="n">
        <x:v>21.6</x:v>
      </x:c>
      <x:c r="J9612" s="24" t="n">
        <x:v>6</x:v>
      </x:c>
      <x:c r="K9612" s="26" t="n">
        <x:v>0</x:v>
      </x:c>
      <x:c r="L9612" s="22" t="n">
        <x:v>9.936</x:v>
      </x:c>
      <x:c r="M9612" t="n">
        <x:v>2017</x:v>
      </x:c>
      <x:c r="N9612" s="20" t="n">
        <x:v>43070</x:v>
      </x:c>
    </x:row>
    <x:row r="9613" ht="18" customHeight="1">
      <x:c r="A9613" t="str">
        <x:v>CA-2017-117128</x:v>
      </x:c>
      <x:c r="B9613" s="18" t="n">
        <x:v>43074</x:v>
      </x:c>
      <x:c r="C9613" t="str">
        <x:v>BF-11080</x:v>
      </x:c>
      <x:c r="D9613" t="str">
        <x:v>Bart Folk</x:v>
      </x:c>
      <x:c r="E9613" t="str">
        <x:v>Consumer</x:v>
      </x:c>
      <x:c r="F9613" t="str">
        <x:v>East</x:v>
      </x:c>
      <x:c r="G9613" t="str">
        <x:v>Office Supplies</x:v>
      </x:c>
      <x:c r="H9613" t="str">
        <x:v>Labels</x:v>
      </x:c>
      <x:c r="I9613" s="22" t="n">
        <x:v>11.07</x:v>
      </x:c>
      <x:c r="J9613" s="24" t="n">
        <x:v>3</x:v>
      </x:c>
      <x:c r="K9613" s="26" t="n">
        <x:v>0</x:v>
      </x:c>
      <x:c r="L9613" s="22" t="n">
        <x:v>5.2029</x:v>
      </x:c>
      <x:c r="M9613" t="n">
        <x:v>2017</x:v>
      </x:c>
      <x:c r="N9613" s="20" t="n">
        <x:v>43070</x:v>
      </x:c>
    </x:row>
    <x:row r="9614" ht="18" customHeight="1">
      <x:c r="A9614" t="str">
        <x:v>CA-2016-130638</x:v>
      </x:c>
      <x:c r="B9614" s="18" t="n">
        <x:v>42506</x:v>
      </x:c>
      <x:c r="C9614" t="str">
        <x:v>SC-20095</x:v>
      </x:c>
      <x:c r="D9614" t="str">
        <x:v>Sanjit Chand</x:v>
      </x:c>
      <x:c r="E9614" t="str">
        <x:v>Consumer</x:v>
      </x:c>
      <x:c r="F9614" t="str">
        <x:v>West</x:v>
      </x:c>
      <x:c r="G9614" t="str">
        <x:v>Furniture</x:v>
      </x:c>
      <x:c r="H9614" t="str">
        <x:v>Furnishings</x:v>
      </x:c>
      <x:c r="I9614" s="22" t="n">
        <x:v>282.84</x:v>
      </x:c>
      <x:c r="J9614" s="24" t="n">
        <x:v>4</x:v>
      </x:c>
      <x:c r="K9614" s="26" t="n">
        <x:v>0</x:v>
      </x:c>
      <x:c r="L9614" s="22" t="n">
        <x:v>19.79879999999997</x:v>
      </x:c>
      <x:c r="M9614" t="n">
        <x:v>2016</x:v>
      </x:c>
      <x:c r="N9614" s="20" t="n">
        <x:v>42491</x:v>
      </x:c>
    </x:row>
    <x:row r="9615" ht="18" customHeight="1">
      <x:c r="A9615" t="str">
        <x:v>CA-2016-130638</x:v>
      </x:c>
      <x:c r="B9615" s="18" t="n">
        <x:v>42506</x:v>
      </x:c>
      <x:c r="C9615" t="str">
        <x:v>SC-20095</x:v>
      </x:c>
      <x:c r="D9615" t="str">
        <x:v>Sanjit Chand</x:v>
      </x:c>
      <x:c r="E9615" t="str">
        <x:v>Consumer</x:v>
      </x:c>
      <x:c r="F9615" t="str">
        <x:v>West</x:v>
      </x:c>
      <x:c r="G9615" t="str">
        <x:v>Office Supplies</x:v>
      </x:c>
      <x:c r="H9615" t="str">
        <x:v>Labels</x:v>
      </x:c>
      <x:c r="I9615" s="22" t="n">
        <x:v>27.72</x:v>
      </x:c>
      <x:c r="J9615" s="24" t="n">
        <x:v>9</x:v>
      </x:c>
      <x:c r="K9615" s="26" t="n">
        <x:v>0</x:v>
      </x:c>
      <x:c r="L9615" s="22" t="n">
        <x:v>13.3056</x:v>
      </x:c>
      <x:c r="M9615" t="n">
        <x:v>2016</x:v>
      </x:c>
      <x:c r="N9615" s="20" t="n">
        <x:v>42491</x:v>
      </x:c>
    </x:row>
    <x:row r="9616" ht="18" customHeight="1">
      <x:c r="A9616" t="str">
        <x:v>CA-2017-144365</x:v>
      </x:c>
      <x:c r="B9616" s="18" t="n">
        <x:v>43032</x:v>
      </x:c>
      <x:c r="C9616" t="str">
        <x:v>CS-11950</x:v>
      </x:c>
      <x:c r="D9616" t="str">
        <x:v>Carlos Soltero</x:v>
      </x:c>
      <x:c r="E9616" t="str">
        <x:v>Consumer</x:v>
      </x:c>
      <x:c r="F9616" t="str">
        <x:v>South</x:v>
      </x:c>
      <x:c r="G9616" t="str">
        <x:v>Office Supplies</x:v>
      </x:c>
      <x:c r="H9616" t="str">
        <x:v>Fasteners</x:v>
      </x:c>
      <x:c r="I9616" s="22" t="n">
        <x:v>11.68</x:v>
      </x:c>
      <x:c r="J9616" s="24" t="n">
        <x:v>4</x:v>
      </x:c>
      <x:c r="K9616" s="26" t="n">
        <x:v>0</x:v>
      </x:c>
      <x:c r="L9616" s="22" t="n">
        <x:v>5.255999999999999</x:v>
      </x:c>
      <x:c r="M9616" t="n">
        <x:v>2017</x:v>
      </x:c>
      <x:c r="N9616" s="20" t="n">
        <x:v>43009</x:v>
      </x:c>
    </x:row>
    <x:row r="9617" ht="18" customHeight="1">
      <x:c r="A9617" t="str">
        <x:v>CA-2016-110086</x:v>
      </x:c>
      <x:c r="B9617" s="18" t="n">
        <x:v>42631</x:v>
      </x:c>
      <x:c r="C9617" t="str">
        <x:v>BD-11320</x:v>
      </x:c>
      <x:c r="D9617" t="str">
        <x:v>Bill Donatelli</x:v>
      </x:c>
      <x:c r="E9617" t="str">
        <x:v>Consumer</x:v>
      </x:c>
      <x:c r="F9617" t="str">
        <x:v>West</x:v>
      </x:c>
      <x:c r="G9617" t="str">
        <x:v>Technology</x:v>
      </x:c>
      <x:c r="H9617" t="str">
        <x:v>Phones</x:v>
      </x:c>
      <x:c r="I9617" s="22" t="n">
        <x:v>239.98400000000004</x:v>
      </x:c>
      <x:c r="J9617" s="24" t="n">
        <x:v>2</x:v>
      </x:c>
      <x:c r="K9617" s="26" t="n">
        <x:v>0.2</x:v>
      </x:c>
      <x:c r="L9617" s="22" t="n">
        <x:v>23.998400000000004</x:v>
      </x:c>
      <x:c r="M9617" t="n">
        <x:v>2016</x:v>
      </x:c>
      <x:c r="N9617" s="20" t="n">
        <x:v>42614</x:v>
      </x:c>
    </x:row>
    <x:row r="9618" ht="18" customHeight="1">
      <x:c r="A9618" t="str">
        <x:v>CA-2014-128524</x:v>
      </x:c>
      <x:c r="B9618" s="18" t="n">
        <x:v>41954</x:v>
      </x:c>
      <x:c r="C9618" t="str">
        <x:v>MZ-17515</x:v>
      </x:c>
      <x:c r="D9618" t="str">
        <x:v>Mary Zewe</x:v>
      </x:c>
      <x:c r="E9618" t="str">
        <x:v>Corporate</x:v>
      </x:c>
      <x:c r="F9618" t="str">
        <x:v>West</x:v>
      </x:c>
      <x:c r="G9618" t="str">
        <x:v>Office Supplies</x:v>
      </x:c>
      <x:c r="H9618" t="str">
        <x:v>Appliances</x:v>
      </x:c>
      <x:c r="I9618" s="22" t="n">
        <x:v>22.98</x:v>
      </x:c>
      <x:c r="J9618" s="24" t="n">
        <x:v>1</x:v>
      </x:c>
      <x:c r="K9618" s="26" t="n">
        <x:v>0</x:v>
      </x:c>
      <x:c r="L9618" s="22" t="n">
        <x:v>6.893999999999998</x:v>
      </x:c>
      <x:c r="M9618" t="n">
        <x:v>2014</x:v>
      </x:c>
      <x:c r="N9618" s="20" t="n">
        <x:v>41944</x:v>
      </x:c>
    </x:row>
    <x:row r="9619" ht="18" customHeight="1">
      <x:c r="A9619" t="str">
        <x:v>CA-2014-128524</x:v>
      </x:c>
      <x:c r="B9619" s="18" t="n">
        <x:v>41954</x:v>
      </x:c>
      <x:c r="C9619" t="str">
        <x:v>MZ-17515</x:v>
      </x:c>
      <x:c r="D9619" t="str">
        <x:v>Mary Zewe</x:v>
      </x:c>
      <x:c r="E9619" t="str">
        <x:v>Corporate</x:v>
      </x:c>
      <x:c r="F9619" t="str">
        <x:v>West</x:v>
      </x:c>
      <x:c r="G9619" t="str">
        <x:v>Technology</x:v>
      </x:c>
      <x:c r="H9619" t="str">
        <x:v>Accessories</x:v>
      </x:c>
      <x:c r="I9619" s="22" t="n">
        <x:v>102.13</x:v>
      </x:c>
      <x:c r="J9619" s="24" t="n">
        <x:v>7</x:v>
      </x:c>
      <x:c r="K9619" s="26" t="n">
        <x:v>0</x:v>
      </x:c>
      <x:c r="L9619" s="22" t="n">
        <x:v>15.319499999999996</x:v>
      </x:c>
      <x:c r="M9619" t="n">
        <x:v>2014</x:v>
      </x:c>
      <x:c r="N9619" s="20" t="n">
        <x:v>41944</x:v>
      </x:c>
    </x:row>
    <x:row r="9620" ht="18" customHeight="1">
      <x:c r="A9620" t="str">
        <x:v>CA-2014-128524</x:v>
      </x:c>
      <x:c r="B9620" s="18" t="n">
        <x:v>41954</x:v>
      </x:c>
      <x:c r="C9620" t="str">
        <x:v>MZ-17515</x:v>
      </x:c>
      <x:c r="D9620" t="str">
        <x:v>Mary Zewe</x:v>
      </x:c>
      <x:c r="E9620" t="str">
        <x:v>Corporate</x:v>
      </x:c>
      <x:c r="F9620" t="str">
        <x:v>West</x:v>
      </x:c>
      <x:c r="G9620" t="str">
        <x:v>Office Supplies</x:v>
      </x:c>
      <x:c r="H9620" t="str">
        <x:v>Binders</x:v>
      </x:c>
      <x:c r="I9620" s="22" t="n">
        <x:v>2033.584</x:v>
      </x:c>
      <x:c r="J9620" s="24" t="n">
        <x:v>2</x:v>
      </x:c>
      <x:c r="K9620" s="26" t="n">
        <x:v>0.2</x:v>
      </x:c>
      <x:c r="L9620" s="22" t="n">
        <x:v>762.594</x:v>
      </x:c>
      <x:c r="M9620" t="n">
        <x:v>2014</x:v>
      </x:c>
      <x:c r="N9620" s="20" t="n">
        <x:v>41944</x:v>
      </x:c>
    </x:row>
    <x:row r="9621" ht="18" customHeight="1">
      <x:c r="A9621" t="str">
        <x:v>CA-2016-140256</x:v>
      </x:c>
      <x:c r="B9621" s="18" t="n">
        <x:v>42604</x:v>
      </x:c>
      <x:c r="C9621" t="str">
        <x:v>PW-19030</x:v>
      </x:c>
      <x:c r="D9621" t="str">
        <x:v>Pauline Webber</x:v>
      </x:c>
      <x:c r="E9621" t="str">
        <x:v>Corporate</x:v>
      </x:c>
      <x:c r="F9621" t="str">
        <x:v>West</x:v>
      </x:c>
      <x:c r="G9621" t="str">
        <x:v>Office Supplies</x:v>
      </x:c>
      <x:c r="H9621" t="str">
        <x:v>Art</x:v>
      </x:c>
      <x:c r="I9621" s="22" t="n">
        <x:v>5.76</x:v>
      </x:c>
      <x:c r="J9621" s="24" t="n">
        <x:v>2</x:v>
      </x:c>
      <x:c r="K9621" s="26" t="n">
        <x:v>0</x:v>
      </x:c>
      <x:c r="L9621" s="22" t="n">
        <x:v>1.6703999999999999</x:v>
      </x:c>
      <x:c r="M9621" t="n">
        <x:v>2016</x:v>
      </x:c>
      <x:c r="N9621" s="20" t="n">
        <x:v>42583</x:v>
      </x:c>
    </x:row>
    <x:row r="9622" ht="18" customHeight="1">
      <x:c r="A9622" t="str">
        <x:v>CA-2017-160633</x:v>
      </x:c>
      <x:c r="B9622" s="18" t="n">
        <x:v>43055</x:v>
      </x:c>
      <x:c r="C9622" t="str">
        <x:v>BS-11380</x:v>
      </x:c>
      <x:c r="D9622" t="str">
        <x:v>Bill Stewart</x:v>
      </x:c>
      <x:c r="E9622" t="str">
        <x:v>Corporate</x:v>
      </x:c>
      <x:c r="F9622" t="str">
        <x:v>East</x:v>
      </x:c>
      <x:c r="G9622" t="str">
        <x:v>Technology</x:v>
      </x:c>
      <x:c r="H9622" t="str">
        <x:v>Copiers</x:v>
      </x:c>
      <x:c r="I9622" s="22" t="n">
        <x:v>899.982</x:v>
      </x:c>
      <x:c r="J9622" s="24" t="n">
        <x:v>3</x:v>
      </x:c>
      <x:c r="K9622" s="26" t="n">
        <x:v>0.4</x:v>
      </x:c>
      <x:c r="L9622" s="22" t="n">
        <x:v>74.99849999999992</x:v>
      </x:c>
      <x:c r="M9622" t="n">
        <x:v>2017</x:v>
      </x:c>
      <x:c r="N9622" s="20" t="n">
        <x:v>43040</x:v>
      </x:c>
    </x:row>
    <x:row r="9623" ht="18" customHeight="1">
      <x:c r="A9623" t="str">
        <x:v>CA-2017-160633</x:v>
      </x:c>
      <x:c r="B9623" s="18" t="n">
        <x:v>43055</x:v>
      </x:c>
      <x:c r="C9623" t="str">
        <x:v>BS-11380</x:v>
      </x:c>
      <x:c r="D9623" t="str">
        <x:v>Bill Stewart</x:v>
      </x:c>
      <x:c r="E9623" t="str">
        <x:v>Corporate</x:v>
      </x:c>
      <x:c r="F9623" t="str">
        <x:v>East</x:v>
      </x:c>
      <x:c r="G9623" t="str">
        <x:v>Office Supplies</x:v>
      </x:c>
      <x:c r="H9623" t="str">
        <x:v>Art</x:v>
      </x:c>
      <x:c r="I9623" s="22" t="n">
        <x:v>86.352</x:v>
      </x:c>
      <x:c r="J9623" s="24" t="n">
        <x:v>3</x:v>
      </x:c>
      <x:c r="K9623" s="26" t="n">
        <x:v>0.2</x:v>
      </x:c>
      <x:c r="L9623" s="22" t="n">
        <x:v>5.396999999999991</x:v>
      </x:c>
      <x:c r="M9623" t="n">
        <x:v>2017</x:v>
      </x:c>
      <x:c r="N9623" s="20" t="n">
        <x:v>43040</x:v>
      </x:c>
    </x:row>
    <x:row r="9624" ht="18" customHeight="1">
      <x:c r="A9624" t="str">
        <x:v>CA-2017-160633</x:v>
      </x:c>
      <x:c r="B9624" s="18" t="n">
        <x:v>43055</x:v>
      </x:c>
      <x:c r="C9624" t="str">
        <x:v>BS-11380</x:v>
      </x:c>
      <x:c r="D9624" t="str">
        <x:v>Bill Stewart</x:v>
      </x:c>
      <x:c r="E9624" t="str">
        <x:v>Corporate</x:v>
      </x:c>
      <x:c r="F9624" t="str">
        <x:v>East</x:v>
      </x:c>
      <x:c r="G9624" t="str">
        <x:v>Technology</x:v>
      </x:c>
      <x:c r="H9624" t="str">
        <x:v>Accessories</x:v>
      </x:c>
      <x:c r="I9624" s="22" t="n">
        <x:v>139.96000000000004</x:v>
      </x:c>
      <x:c r="J9624" s="24" t="n">
        <x:v>5</x:v>
      </x:c>
      <x:c r="K9624" s="26" t="n">
        <x:v>0.2</x:v>
      </x:c>
      <x:c r="L9624" s="22" t="n">
        <x:v>-1.7495000000000118</x:v>
      </x:c>
      <x:c r="M9624" t="n">
        <x:v>2017</x:v>
      </x:c>
      <x:c r="N9624" s="20" t="n">
        <x:v>43040</x:v>
      </x:c>
    </x:row>
    <x:row r="9625" ht="18" customHeight="1">
      <x:c r="A9625" t="str">
        <x:v>CA-2014-115133</x:v>
      </x:c>
      <x:c r="B9625" s="18" t="n">
        <x:v>41908</x:v>
      </x:c>
      <x:c r="C9625" t="str">
        <x:v>DA-13450</x:v>
      </x:c>
      <x:c r="D9625" t="str">
        <x:v>Dianna Arnett</x:v>
      </x:c>
      <x:c r="E9625" t="str">
        <x:v>Home Office</x:v>
      </x:c>
      <x:c r="F9625" t="str">
        <x:v>East</x:v>
      </x:c>
      <x:c r="G9625" t="str">
        <x:v>Office Supplies</x:v>
      </x:c>
      <x:c r="H9625" t="str">
        <x:v>Appliances</x:v>
      </x:c>
      <x:c r="I9625" s="22" t="n">
        <x:v>16.704</x:v>
      </x:c>
      <x:c r="J9625" s="24" t="n">
        <x:v>6</x:v>
      </x:c>
      <x:c r="K9625" s="26" t="n">
        <x:v>0.2</x:v>
      </x:c>
      <x:c r="L9625" s="22" t="n">
        <x:v>1.2527999999999988</x:v>
      </x:c>
      <x:c r="M9625" t="n">
        <x:v>2014</x:v>
      </x:c>
      <x:c r="N9625" s="20" t="n">
        <x:v>41883</x:v>
      </x:c>
    </x:row>
    <x:row r="9626" ht="18" customHeight="1">
      <x:c r="A9626" t="str">
        <x:v>CA-2014-115133</x:v>
      </x:c>
      <x:c r="B9626" s="18" t="n">
        <x:v>41908</x:v>
      </x:c>
      <x:c r="C9626" t="str">
        <x:v>DA-13450</x:v>
      </x:c>
      <x:c r="D9626" t="str">
        <x:v>Dianna Arnett</x:v>
      </x:c>
      <x:c r="E9626" t="str">
        <x:v>Home Office</x:v>
      </x:c>
      <x:c r="F9626" t="str">
        <x:v>East</x:v>
      </x:c>
      <x:c r="G9626" t="str">
        <x:v>Technology</x:v>
      </x:c>
      <x:c r="H9626" t="str">
        <x:v>Accessories</x:v>
      </x:c>
      <x:c r="I9626" s="22" t="n">
        <x:v>3.152</x:v>
      </x:c>
      <x:c r="J9626" s="24" t="n">
        <x:v>2</x:v>
      </x:c>
      <x:c r="K9626" s="26" t="n">
        <x:v>0.2</x:v>
      </x:c>
      <x:c r="L9626" s="22" t="n">
        <x:v>0.47279999999999966</x:v>
      </x:c>
      <x:c r="M9626" t="n">
        <x:v>2014</x:v>
      </x:c>
      <x:c r="N9626" s="20" t="n">
        <x:v>41883</x:v>
      </x:c>
    </x:row>
    <x:row r="9627" ht="18" customHeight="1">
      <x:c r="A9627" t="str">
        <x:v>CA-2014-115133</x:v>
      </x:c>
      <x:c r="B9627" s="18" t="n">
        <x:v>41908</x:v>
      </x:c>
      <x:c r="C9627" t="str">
        <x:v>DA-13450</x:v>
      </x:c>
      <x:c r="D9627" t="str">
        <x:v>Dianna Arnett</x:v>
      </x:c>
      <x:c r="E9627" t="str">
        <x:v>Home Office</x:v>
      </x:c>
      <x:c r="F9627" t="str">
        <x:v>East</x:v>
      </x:c>
      <x:c r="G9627" t="str">
        <x:v>Office Supplies</x:v>
      </x:c>
      <x:c r="H9627" t="str">
        <x:v>Paper</x:v>
      </x:c>
      <x:c r="I9627" s="22" t="n">
        <x:v>32.896</x:v>
      </x:c>
      <x:c r="J9627" s="24" t="n">
        <x:v>4</x:v>
      </x:c>
      <x:c r="K9627" s="26" t="n">
        <x:v>0.2</x:v>
      </x:c>
      <x:c r="L9627" s="22" t="n">
        <x:v>11.102399999999996</x:v>
      </x:c>
      <x:c r="M9627" t="n">
        <x:v>2014</x:v>
      </x:c>
      <x:c r="N9627" s="20" t="n">
        <x:v>41883</x:v>
      </x:c>
    </x:row>
    <x:row r="9628" ht="18" customHeight="1">
      <x:c r="A9628" t="str">
        <x:v>CA-2017-137449</x:v>
      </x:c>
      <x:c r="B9628" s="18" t="n">
        <x:v>42915</x:v>
      </x:c>
      <x:c r="C9628" t="str">
        <x:v>ME-17725</x:v>
      </x:c>
      <x:c r="D9628" t="str">
        <x:v>Max Engle</x:v>
      </x:c>
      <x:c r="E9628" t="str">
        <x:v>Consumer</x:v>
      </x:c>
      <x:c r="F9628" t="str">
        <x:v>Central</x:v>
      </x:c>
      <x:c r="G9628" t="str">
        <x:v>Office Supplies</x:v>
      </x:c>
      <x:c r="H9628" t="str">
        <x:v>Appliances</x:v>
      </x:c>
      <x:c r="I9628" s="22" t="n">
        <x:v>21.391999999999992</x:v>
      </x:c>
      <x:c r="J9628" s="24" t="n">
        <x:v>2</x:v>
      </x:c>
      <x:c r="K9628" s="26" t="n">
        <x:v>0.8</x:v>
      </x:c>
      <x:c r="L9628" s="22" t="n">
        <x:v>-54.54960000000001</x:v>
      </x:c>
      <x:c r="M9628" t="n">
        <x:v>2017</x:v>
      </x:c>
      <x:c r="N9628" s="20" t="n">
        <x:v>42887</x:v>
      </x:c>
    </x:row>
    <x:row r="9629" ht="18" customHeight="1">
      <x:c r="A9629" t="str">
        <x:v>CA-2017-137449</x:v>
      </x:c>
      <x:c r="B9629" s="18" t="n">
        <x:v>42915</x:v>
      </x:c>
      <x:c r="C9629" t="str">
        <x:v>ME-17725</x:v>
      </x:c>
      <x:c r="D9629" t="str">
        <x:v>Max Engle</x:v>
      </x:c>
      <x:c r="E9629" t="str">
        <x:v>Consumer</x:v>
      </x:c>
      <x:c r="F9629" t="str">
        <x:v>Central</x:v>
      </x:c>
      <x:c r="G9629" t="str">
        <x:v>Furniture</x:v>
      </x:c>
      <x:c r="H9629" t="str">
        <x:v>Tables</x:v>
      </x:c>
      <x:c r="I9629" s="22" t="n">
        <x:v>307.314</x:v>
      </x:c>
      <x:c r="J9629" s="24" t="n">
        <x:v>3</x:v>
      </x:c>
      <x:c r="K9629" s="26" t="n">
        <x:v>0.3</x:v>
      </x:c>
      <x:c r="L9629" s="22" t="n">
        <x:v>-39.51180000000004</x:v>
      </x:c>
      <x:c r="M9629" t="n">
        <x:v>2017</x:v>
      </x:c>
      <x:c r="N9629" s="20" t="n">
        <x:v>42887</x:v>
      </x:c>
    </x:row>
    <x:row r="9630" ht="18" customHeight="1">
      <x:c r="A9630" t="str">
        <x:v>CA-2017-137449</x:v>
      </x:c>
      <x:c r="B9630" s="18" t="n">
        <x:v>42915</x:v>
      </x:c>
      <x:c r="C9630" t="str">
        <x:v>ME-17725</x:v>
      </x:c>
      <x:c r="D9630" t="str">
        <x:v>Max Engle</x:v>
      </x:c>
      <x:c r="E9630" t="str">
        <x:v>Consumer</x:v>
      </x:c>
      <x:c r="F9630" t="str">
        <x:v>Central</x:v>
      </x:c>
      <x:c r="G9630" t="str">
        <x:v>Furniture</x:v>
      </x:c>
      <x:c r="H9630" t="str">
        <x:v>Bookcases</x:v>
      </x:c>
      <x:c r="I9630" s="22" t="n">
        <x:v>409.9992</x:v>
      </x:c>
      <x:c r="J9630" s="24" t="n">
        <x:v>3</x:v>
      </x:c>
      <x:c r="K9630" s="26" t="n">
        <x:v>0.32</x:v>
      </x:c>
      <x:c r="L9630" s="22" t="n">
        <x:v>-96.47039999999996</x:v>
      </x:c>
      <x:c r="M9630" t="n">
        <x:v>2017</x:v>
      </x:c>
      <x:c r="N9630" s="20" t="n">
        <x:v>42887</x:v>
      </x:c>
    </x:row>
    <x:row r="9631" ht="18" customHeight="1">
      <x:c r="A9631" t="str">
        <x:v>CA-2017-103520</x:v>
      </x:c>
      <x:c r="B9631" s="18" t="n">
        <x:v>43001</x:v>
      </x:c>
      <x:c r="C9631" t="str">
        <x:v>MH-17785</x:v>
      </x:c>
      <x:c r="D9631" t="str">
        <x:v>Maya Herman</x:v>
      </x:c>
      <x:c r="E9631" t="str">
        <x:v>Corporate</x:v>
      </x:c>
      <x:c r="F9631" t="str">
        <x:v>Central</x:v>
      </x:c>
      <x:c r="G9631" t="str">
        <x:v>Office Supplies</x:v>
      </x:c>
      <x:c r="H9631" t="str">
        <x:v>Paper</x:v>
      </x:c>
      <x:c r="I9631" s="22" t="n">
        <x:v>9.248000000000001</x:v>
      </x:c>
      <x:c r="J9631" s="24" t="n">
        <x:v>2</x:v>
      </x:c>
      <x:c r="K9631" s="26" t="n">
        <x:v>0.2</x:v>
      </x:c>
      <x:c r="L9631" s="22" t="n">
        <x:v>3.3524000000000003</x:v>
      </x:c>
      <x:c r="M9631" t="n">
        <x:v>2017</x:v>
      </x:c>
      <x:c r="N9631" s="20" t="n">
        <x:v>42979</x:v>
      </x:c>
    </x:row>
    <x:row r="9632" ht="18" customHeight="1">
      <x:c r="A9632" t="str">
        <x:v>CA-2014-139283</x:v>
      </x:c>
      <x:c r="B9632" s="18" t="n">
        <x:v>41966</x:v>
      </x:c>
      <x:c r="C9632" t="str">
        <x:v>BT-11440</x:v>
      </x:c>
      <x:c r="D9632" t="str">
        <x:v>Bobby Trafton</x:v>
      </x:c>
      <x:c r="E9632" t="str">
        <x:v>Consumer</x:v>
      </x:c>
      <x:c r="F9632" t="str">
        <x:v>Central</x:v>
      </x:c>
      <x:c r="G9632" t="str">
        <x:v>Office Supplies</x:v>
      </x:c>
      <x:c r="H9632" t="str">
        <x:v>Binders</x:v>
      </x:c>
      <x:c r="I9632" s="22" t="n">
        <x:v>14.669999999999998</x:v>
      </x:c>
      <x:c r="J9632" s="24" t="n">
        <x:v>3</x:v>
      </x:c>
      <x:c r="K9632" s="26" t="n">
        <x:v>0</x:v>
      </x:c>
      <x:c r="L9632" s="22" t="n">
        <x:v>6.748199999999999</x:v>
      </x:c>
      <x:c r="M9632" t="n">
        <x:v>2014</x:v>
      </x:c>
      <x:c r="N9632" s="20" t="n">
        <x:v>41944</x:v>
      </x:c>
    </x:row>
    <x:row r="9633" ht="18" customHeight="1">
      <x:c r="A9633" t="str">
        <x:v>CA-2014-118192</x:v>
      </x:c>
      <x:c r="B9633" s="18" t="n">
        <x:v>41652</x:v>
      </x:c>
      <x:c r="C9633" t="str">
        <x:v>MM-17920</x:v>
      </x:c>
      <x:c r="D9633" t="str">
        <x:v>Michael Moore</x:v>
      </x:c>
      <x:c r="E9633" t="str">
        <x:v>Consumer</x:v>
      </x:c>
      <x:c r="F9633" t="str">
        <x:v>East</x:v>
      </x:c>
      <x:c r="G9633" t="str">
        <x:v>Office Supplies</x:v>
      </x:c>
      <x:c r="H9633" t="str">
        <x:v>Paper</x:v>
      </x:c>
      <x:c r="I9633" s="22" t="n">
        <x:v>37.408</x:v>
      </x:c>
      <x:c r="J9633" s="24" t="n">
        <x:v>7</x:v>
      </x:c>
      <x:c r="K9633" s="26" t="n">
        <x:v>0.2</x:v>
      </x:c>
      <x:c r="L9633" s="22" t="n">
        <x:v>13.0928</x:v>
      </x:c>
      <x:c r="M9633" t="n">
        <x:v>2014</x:v>
      </x:c>
      <x:c r="N9633" s="20" t="n">
        <x:v>41640</x:v>
      </x:c>
    </x:row>
    <x:row r="9634" ht="18" customHeight="1">
      <x:c r="A9634" t="str">
        <x:v>CA-2014-118192</x:v>
      </x:c>
      <x:c r="B9634" s="18" t="n">
        <x:v>41652</x:v>
      </x:c>
      <x:c r="C9634" t="str">
        <x:v>MM-17920</x:v>
      </x:c>
      <x:c r="D9634" t="str">
        <x:v>Michael Moore</x:v>
      </x:c>
      <x:c r="E9634" t="str">
        <x:v>Consumer</x:v>
      </x:c>
      <x:c r="F9634" t="str">
        <x:v>East</x:v>
      </x:c>
      <x:c r="G9634" t="str">
        <x:v>Office Supplies</x:v>
      </x:c>
      <x:c r="H9634" t="str">
        <x:v>Binders</x:v>
      </x:c>
      <x:c r="I9634" s="22" t="n">
        <x:v>3.4380000000000006</x:v>
      </x:c>
      <x:c r="J9634" s="24" t="n">
        <x:v>2</x:v>
      </x:c>
      <x:c r="K9634" s="26" t="n">
        <x:v>0.7</x:v>
      </x:c>
      <x:c r="L9634" s="22" t="n">
        <x:v>-2.5212000000000003</x:v>
      </x:c>
      <x:c r="M9634" t="n">
        <x:v>2014</x:v>
      </x:c>
      <x:c r="N9634" s="20" t="n">
        <x:v>41640</x:v>
      </x:c>
    </x:row>
    <x:row r="9635" ht="18" customHeight="1">
      <x:c r="A9635" t="str">
        <x:v>CA-2016-168844</x:v>
      </x:c>
      <x:c r="B9635" s="18" t="n">
        <x:v>42521</x:v>
      </x:c>
      <x:c r="C9635" t="str">
        <x:v>NM-18520</x:v>
      </x:c>
      <x:c r="D9635" t="str">
        <x:v>Neoma Murray</x:v>
      </x:c>
      <x:c r="E9635" t="str">
        <x:v>Consumer</x:v>
      </x:c>
      <x:c r="F9635" t="str">
        <x:v>East</x:v>
      </x:c>
      <x:c r="G9635" t="str">
        <x:v>Office Supplies</x:v>
      </x:c>
      <x:c r="H9635" t="str">
        <x:v>Binders</x:v>
      </x:c>
      <x:c r="I9635" s="22" t="n">
        <x:v>7.151999999999999</x:v>
      </x:c>
      <x:c r="J9635" s="24" t="n">
        <x:v>3</x:v>
      </x:c>
      <x:c r="K9635" s="26" t="n">
        <x:v>0.2</x:v>
      </x:c>
      <x:c r="L9635" s="22" t="n">
        <x:v>2.3243999999999994</x:v>
      </x:c>
      <x:c r="M9635" t="n">
        <x:v>2016</x:v>
      </x:c>
      <x:c r="N9635" s="20" t="n">
        <x:v>42491</x:v>
      </x:c>
    </x:row>
    <x:row r="9636" ht="18" customHeight="1">
      <x:c r="A9636" t="str">
        <x:v>CA-2016-168844</x:v>
      </x:c>
      <x:c r="B9636" s="18" t="n">
        <x:v>42521</x:v>
      </x:c>
      <x:c r="C9636" t="str">
        <x:v>NM-18520</x:v>
      </x:c>
      <x:c r="D9636" t="str">
        <x:v>Neoma Murray</x:v>
      </x:c>
      <x:c r="E9636" t="str">
        <x:v>Consumer</x:v>
      </x:c>
      <x:c r="F9636" t="str">
        <x:v>East</x:v>
      </x:c>
      <x:c r="G9636" t="str">
        <x:v>Technology</x:v>
      </x:c>
      <x:c r="H9636" t="str">
        <x:v>Phones</x:v>
      </x:c>
      <x:c r="I9636" s="22" t="n">
        <x:v>179.7</x:v>
      </x:c>
      <x:c r="J9636" s="24" t="n">
        <x:v>6</x:v>
      </x:c>
      <x:c r="K9636" s="26" t="n">
        <x:v>0</x:v>
      </x:c>
      <x:c r="L9636" s="22" t="n">
        <x:v>88.053</x:v>
      </x:c>
      <x:c r="M9636" t="n">
        <x:v>2016</x:v>
      </x:c>
      <x:c r="N9636" s="20" t="n">
        <x:v>42491</x:v>
      </x:c>
    </x:row>
    <x:row r="9637" ht="18" customHeight="1">
      <x:c r="A9637" t="str">
        <x:v>CA-2017-154809</x:v>
      </x:c>
      <x:c r="B9637" s="18" t="n">
        <x:v>42779</x:v>
      </x:c>
      <x:c r="C9637" t="str">
        <x:v>MH-17455</x:v>
      </x:c>
      <x:c r="D9637" t="str">
        <x:v>Mark Hamilton</x:v>
      </x:c>
      <x:c r="E9637" t="str">
        <x:v>Consumer</x:v>
      </x:c>
      <x:c r="F9637" t="str">
        <x:v>Central</x:v>
      </x:c>
      <x:c r="G9637" t="str">
        <x:v>Office Supplies</x:v>
      </x:c>
      <x:c r="H9637" t="str">
        <x:v>Appliances</x:v>
      </x:c>
      <x:c r="I9637" s="22" t="n">
        <x:v>90.64</x:v>
      </x:c>
      <x:c r="J9637" s="24" t="n">
        <x:v>8</x:v>
      </x:c>
      <x:c r="K9637" s="26" t="n">
        <x:v>0</x:v>
      </x:c>
      <x:c r="L9637" s="22" t="n">
        <x:v>38.97520000000001</x:v>
      </x:c>
      <x:c r="M9637" t="n">
        <x:v>2017</x:v>
      </x:c>
      <x:c r="N9637" s="20" t="n">
        <x:v>42767</x:v>
      </x:c>
    </x:row>
    <x:row r="9638" ht="18" customHeight="1">
      <x:c r="A9638" t="str">
        <x:v>CA-2014-151330</x:v>
      </x:c>
      <x:c r="B9638" s="18" t="n">
        <x:v>41926</x:v>
      </x:c>
      <x:c r="C9638" t="str">
        <x:v>TC-21295</x:v>
      </x:c>
      <x:c r="D9638" t="str">
        <x:v>Toby Carlisle</x:v>
      </x:c>
      <x:c r="E9638" t="str">
        <x:v>Consumer</x:v>
      </x:c>
      <x:c r="F9638" t="str">
        <x:v>East</x:v>
      </x:c>
      <x:c r="G9638" t="str">
        <x:v>Technology</x:v>
      </x:c>
      <x:c r="H9638" t="str">
        <x:v>Accessories</x:v>
      </x:c>
      <x:c r="I9638" s="22" t="n">
        <x:v>177</x:v>
      </x:c>
      <x:c r="J9638" s="24" t="n">
        <x:v>3</x:v>
      </x:c>
      <x:c r="K9638" s="26" t="n">
        <x:v>0</x:v>
      </x:c>
      <x:c r="L9638" s="22" t="n">
        <x:v>30.089999999999982</x:v>
      </x:c>
      <x:c r="M9638" t="n">
        <x:v>2014</x:v>
      </x:c>
      <x:c r="N9638" s="20" t="n">
        <x:v>41913</x:v>
      </x:c>
    </x:row>
    <x:row r="9639" ht="18" customHeight="1">
      <x:c r="A9639" t="str">
        <x:v>CA-2014-151330</x:v>
      </x:c>
      <x:c r="B9639" s="18" t="n">
        <x:v>41926</x:v>
      </x:c>
      <x:c r="C9639" t="str">
        <x:v>TC-21295</x:v>
      </x:c>
      <x:c r="D9639" t="str">
        <x:v>Toby Carlisle</x:v>
      </x:c>
      <x:c r="E9639" t="str">
        <x:v>Consumer</x:v>
      </x:c>
      <x:c r="F9639" t="str">
        <x:v>East</x:v>
      </x:c>
      <x:c r="G9639" t="str">
        <x:v>Office Supplies</x:v>
      </x:c>
      <x:c r="H9639" t="str">
        <x:v>Storage</x:v>
      </x:c>
      <x:c r="I9639" s="22" t="n">
        <x:v>79.45</x:v>
      </x:c>
      <x:c r="J9639" s="24" t="n">
        <x:v>7</x:v>
      </x:c>
      <x:c r="K9639" s="26" t="n">
        <x:v>0</x:v>
      </x:c>
      <x:c r="L9639" s="22" t="n">
        <x:v>22.246000000000006</x:v>
      </x:c>
      <x:c r="M9639" t="n">
        <x:v>2014</x:v>
      </x:c>
      <x:c r="N9639" s="20" t="n">
        <x:v>41913</x:v>
      </x:c>
    </x:row>
    <x:row r="9640" ht="18" customHeight="1">
      <x:c r="A9640" t="str">
        <x:v>CA-2014-151330</x:v>
      </x:c>
      <x:c r="B9640" s="18" t="n">
        <x:v>41926</x:v>
      </x:c>
      <x:c r="C9640" t="str">
        <x:v>TC-21295</x:v>
      </x:c>
      <x:c r="D9640" t="str">
        <x:v>Toby Carlisle</x:v>
      </x:c>
      <x:c r="E9640" t="str">
        <x:v>Consumer</x:v>
      </x:c>
      <x:c r="F9640" t="str">
        <x:v>East</x:v>
      </x:c>
      <x:c r="G9640" t="str">
        <x:v>Furniture</x:v>
      </x:c>
      <x:c r="H9640" t="str">
        <x:v>Chairs</x:v>
      </x:c>
      <x:c r="I9640" s="22" t="n">
        <x:v>1628.82</x:v>
      </x:c>
      <x:c r="J9640" s="24" t="n">
        <x:v>9</x:v>
      </x:c>
      <x:c r="K9640" s="26" t="n">
        <x:v>0</x:v>
      </x:c>
      <x:c r="L9640" s="22" t="n">
        <x:v>260.61120000000017</x:v>
      </x:c>
      <x:c r="M9640" t="n">
        <x:v>2014</x:v>
      </x:c>
      <x:c r="N9640" s="20" t="n">
        <x:v>41913</x:v>
      </x:c>
    </x:row>
    <x:row r="9641" ht="18" customHeight="1">
      <x:c r="A9641" t="str">
        <x:v>CA-2014-124702</x:v>
      </x:c>
      <x:c r="B9641" s="18" t="n">
        <x:v>41961</x:v>
      </x:c>
      <x:c r="C9641" t="str">
        <x:v>MH-17785</x:v>
      </x:c>
      <x:c r="D9641" t="str">
        <x:v>Maya Herman</x:v>
      </x:c>
      <x:c r="E9641" t="str">
        <x:v>Corporate</x:v>
      </x:c>
      <x:c r="F9641" t="str">
        <x:v>West</x:v>
      </x:c>
      <x:c r="G9641" t="str">
        <x:v>Furniture</x:v>
      </x:c>
      <x:c r="H9641" t="str">
        <x:v>Furnishings</x:v>
      </x:c>
      <x:c r="I9641" s="22" t="n">
        <x:v>137.54</x:v>
      </x:c>
      <x:c r="J9641" s="24" t="n">
        <x:v>2</x:v>
      </x:c>
      <x:c r="K9641" s="26" t="n">
        <x:v>0</x:v>
      </x:c>
      <x:c r="L9641" s="22" t="n">
        <x:v>55.016000000000005</x:v>
      </x:c>
      <x:c r="M9641" t="n">
        <x:v>2014</x:v>
      </x:c>
      <x:c r="N9641" s="20" t="n">
        <x:v>41944</x:v>
      </x:c>
    </x:row>
    <x:row r="9642" ht="18" customHeight="1">
      <x:c r="A9642" t="str">
        <x:v>CA-2014-124702</x:v>
      </x:c>
      <x:c r="B9642" s="18" t="n">
        <x:v>41961</x:v>
      </x:c>
      <x:c r="C9642" t="str">
        <x:v>MH-17785</x:v>
      </x:c>
      <x:c r="D9642" t="str">
        <x:v>Maya Herman</x:v>
      </x:c>
      <x:c r="E9642" t="str">
        <x:v>Corporate</x:v>
      </x:c>
      <x:c r="F9642" t="str">
        <x:v>West</x:v>
      </x:c>
      <x:c r="G9642" t="str">
        <x:v>Furniture</x:v>
      </x:c>
      <x:c r="H9642" t="str">
        <x:v>Tables</x:v>
      </x:c>
      <x:c r="I9642" s="22" t="n">
        <x:v>730.2</x:v>
      </x:c>
      <x:c r="J9642" s="24" t="n">
        <x:v>4</x:v>
      </x:c>
      <x:c r="K9642" s="26" t="n">
        <x:v>0</x:v>
      </x:c>
      <x:c r="L9642" s="22" t="n">
        <x:v>94.92600000000004</x:v>
      </x:c>
      <x:c r="M9642" t="n">
        <x:v>2014</x:v>
      </x:c>
      <x:c r="N9642" s="20" t="n">
        <x:v>41944</x:v>
      </x:c>
    </x:row>
    <x:row r="9643" ht="18" customHeight="1">
      <x:c r="A9643" t="str">
        <x:v>US-2017-125808</x:v>
      </x:c>
      <x:c r="B9643" s="18" t="n">
        <x:v>43051</x:v>
      </x:c>
      <x:c r="C9643" t="str">
        <x:v>EP-13915</x:v>
      </x:c>
      <x:c r="D9643" t="str">
        <x:v>Emily Phan</x:v>
      </x:c>
      <x:c r="E9643" t="str">
        <x:v>Consumer</x:v>
      </x:c>
      <x:c r="F9643" t="str">
        <x:v>West</x:v>
      </x:c>
      <x:c r="G9643" t="str">
        <x:v>Office Supplies</x:v>
      </x:c>
      <x:c r="H9643" t="str">
        <x:v>Paper</x:v>
      </x:c>
      <x:c r="I9643" s="22" t="n">
        <x:v>11.56</x:v>
      </x:c>
      <x:c r="J9643" s="24" t="n">
        <x:v>2</x:v>
      </x:c>
      <x:c r="K9643" s="26" t="n">
        <x:v>0</x:v>
      </x:c>
      <x:c r="L9643" s="22" t="n">
        <x:v>5.6644000000000005</x:v>
      </x:c>
      <x:c r="M9643" t="n">
        <x:v>2017</x:v>
      </x:c>
      <x:c r="N9643" s="20" t="n">
        <x:v>43040</x:v>
      </x:c>
    </x:row>
    <x:row r="9644" ht="18" customHeight="1">
      <x:c r="A9644" t="str">
        <x:v>CA-2015-116638</x:v>
      </x:c>
      <x:c r="B9644" s="18" t="n">
        <x:v>42032</x:v>
      </x:c>
      <x:c r="C9644" t="str">
        <x:v>JH-15985</x:v>
      </x:c>
      <x:c r="D9644" t="str">
        <x:v>Joseph Holt</x:v>
      </x:c>
      <x:c r="E9644" t="str">
        <x:v>Consumer</x:v>
      </x:c>
      <x:c r="F9644" t="str">
        <x:v>South</x:v>
      </x:c>
      <x:c r="G9644" t="str">
        <x:v>Furniture</x:v>
      </x:c>
      <x:c r="H9644" t="str">
        <x:v>Tables</x:v>
      </x:c>
      <x:c r="I9644" s="22" t="n">
        <x:v>4297.644</x:v>
      </x:c>
      <x:c r="J9644" s="24" t="n">
        <x:v>13</x:v>
      </x:c>
      <x:c r="K9644" s="26" t="n">
        <x:v>0.4</x:v>
      </x:c>
      <x:c r="L9644" s="22" t="n">
        <x:v>-1862.3124000000003</x:v>
      </x:c>
      <x:c r="M9644" t="n">
        <x:v>2015</x:v>
      </x:c>
      <x:c r="N9644" s="20" t="n">
        <x:v>42005</x:v>
      </x:c>
    </x:row>
    <x:row r="9645" ht="18" customHeight="1">
      <x:c r="A9645" t="str">
        <x:v>CA-2014-104563</x:v>
      </x:c>
      <x:c r="B9645" s="18" t="n">
        <x:v>41705</x:v>
      </x:c>
      <x:c r="C9645" t="str">
        <x:v>CM-12715</x:v>
      </x:c>
      <x:c r="D9645" t="str">
        <x:v>Craig Molinari</x:v>
      </x:c>
      <x:c r="E9645" t="str">
        <x:v>Corporate</x:v>
      </x:c>
      <x:c r="F9645" t="str">
        <x:v>West</x:v>
      </x:c>
      <x:c r="G9645" t="str">
        <x:v>Office Supplies</x:v>
      </x:c>
      <x:c r="H9645" t="str">
        <x:v>Art</x:v>
      </x:c>
      <x:c r="I9645" s="22" t="n">
        <x:v>20.65</x:v>
      </x:c>
      <x:c r="J9645" s="24" t="n">
        <x:v>5</x:v>
      </x:c>
      <x:c r="K9645" s="26" t="n">
        <x:v>0</x:v>
      </x:c>
      <x:c r="L9645" s="22" t="n">
        <x:v>9.498999999999999</x:v>
      </x:c>
      <x:c r="M9645" t="n">
        <x:v>2014</x:v>
      </x:c>
      <x:c r="N9645" s="20" t="n">
        <x:v>41699</x:v>
      </x:c>
    </x:row>
    <x:row r="9646" ht="18" customHeight="1">
      <x:c r="A9646" t="str">
        <x:v>CA-2014-104563</x:v>
      </x:c>
      <x:c r="B9646" s="18" t="n">
        <x:v>41705</x:v>
      </x:c>
      <x:c r="C9646" t="str">
        <x:v>CM-12715</x:v>
      </x:c>
      <x:c r="D9646" t="str">
        <x:v>Craig Molinari</x:v>
      </x:c>
      <x:c r="E9646" t="str">
        <x:v>Corporate</x:v>
      </x:c>
      <x:c r="F9646" t="str">
        <x:v>West</x:v>
      </x:c>
      <x:c r="G9646" t="str">
        <x:v>Office Supplies</x:v>
      </x:c>
      <x:c r="H9646" t="str">
        <x:v>Storage</x:v>
      </x:c>
      <x:c r="I9646" s="22" t="n">
        <x:v>204.89999999999998</x:v>
      </x:c>
      <x:c r="J9646" s="24" t="n">
        <x:v>5</x:v>
      </x:c>
      <x:c r="K9646" s="26" t="n">
        <x:v>0</x:v>
      </x:c>
      <x:c r="L9646" s="22" t="n">
        <x:v>0</x:v>
      </x:c>
      <x:c r="M9646" t="n">
        <x:v>2014</x:v>
      </x:c>
      <x:c r="N9646" s="20" t="n">
        <x:v>41699</x:v>
      </x:c>
    </x:row>
    <x:row r="9647" ht="18" customHeight="1">
      <x:c r="A9647" t="str">
        <x:v>CA-2014-104563</x:v>
      </x:c>
      <x:c r="B9647" s="18" t="n">
        <x:v>41705</x:v>
      </x:c>
      <x:c r="C9647" t="str">
        <x:v>CM-12715</x:v>
      </x:c>
      <x:c r="D9647" t="str">
        <x:v>Craig Molinari</x:v>
      </x:c>
      <x:c r="E9647" t="str">
        <x:v>Corporate</x:v>
      </x:c>
      <x:c r="F9647" t="str">
        <x:v>West</x:v>
      </x:c>
      <x:c r="G9647" t="str">
        <x:v>Furniture</x:v>
      </x:c>
      <x:c r="H9647" t="str">
        <x:v>Chairs</x:v>
      </x:c>
      <x:c r="I9647" s="22" t="n">
        <x:v>436.70400000000006</x:v>
      </x:c>
      <x:c r="J9647" s="24" t="n">
        <x:v>6</x:v>
      </x:c>
      <x:c r="K9647" s="26" t="n">
        <x:v>0.2</x:v>
      </x:c>
      <x:c r="L9647" s="22" t="n">
        <x:v>21.835199999999986</x:v>
      </x:c>
      <x:c r="M9647" t="n">
        <x:v>2014</x:v>
      </x:c>
      <x:c r="N9647" s="20" t="n">
        <x:v>41699</x:v>
      </x:c>
    </x:row>
    <x:row r="9648" ht="18" customHeight="1">
      <x:c r="A9648" t="str">
        <x:v>CA-2014-104563</x:v>
      </x:c>
      <x:c r="B9648" s="18" t="n">
        <x:v>41705</x:v>
      </x:c>
      <x:c r="C9648" t="str">
        <x:v>CM-12715</x:v>
      </x:c>
      <x:c r="D9648" t="str">
        <x:v>Craig Molinari</x:v>
      </x:c>
      <x:c r="E9648" t="str">
        <x:v>Corporate</x:v>
      </x:c>
      <x:c r="F9648" t="str">
        <x:v>West</x:v>
      </x:c>
      <x:c r="G9648" t="str">
        <x:v>Furniture</x:v>
      </x:c>
      <x:c r="H9648" t="str">
        <x:v>Chairs</x:v>
      </x:c>
      <x:c r="I9648" s="22" t="n">
        <x:v>481.56800000000004</x:v>
      </x:c>
      <x:c r="J9648" s="24" t="n">
        <x:v>2</x:v>
      </x:c>
      <x:c r="K9648" s="26" t="n">
        <x:v>0.2</x:v>
      </x:c>
      <x:c r="L9648" s="22" t="n">
        <x:v>54.17639999999993</x:v>
      </x:c>
      <x:c r="M9648" t="n">
        <x:v>2014</x:v>
      </x:c>
      <x:c r="N9648" s="20" t="n">
        <x:v>41699</x:v>
      </x:c>
    </x:row>
    <x:row r="9649" ht="18" customHeight="1">
      <x:c r="A9649" t="str">
        <x:v>US-2017-107979</x:v>
      </x:c>
      <x:c r="B9649" s="18" t="n">
        <x:v>42894</x:v>
      </x:c>
      <x:c r="C9649" t="str">
        <x:v>FO-14305</x:v>
      </x:c>
      <x:c r="D9649" t="str">
        <x:v>Frank Olsen</x:v>
      </x:c>
      <x:c r="E9649" t="str">
        <x:v>Consumer</x:v>
      </x:c>
      <x:c r="F9649" t="str">
        <x:v>West</x:v>
      </x:c>
      <x:c r="G9649" t="str">
        <x:v>Technology</x:v>
      </x:c>
      <x:c r="H9649" t="str">
        <x:v>Accessories</x:v>
      </x:c>
      <x:c r="I9649" s="22" t="n">
        <x:v>89.54400000000001</x:v>
      </x:c>
      <x:c r="J9649" s="24" t="n">
        <x:v>7</x:v>
      </x:c>
      <x:c r="K9649" s="26" t="n">
        <x:v>0.2</x:v>
      </x:c>
      <x:c r="L9649" s="22" t="n">
        <x:v>12.312299999999993</x:v>
      </x:c>
      <x:c r="M9649" t="n">
        <x:v>2017</x:v>
      </x:c>
      <x:c r="N9649" s="20" t="n">
        <x:v>42887</x:v>
      </x:c>
    </x:row>
    <x:row r="9650" ht="18" customHeight="1">
      <x:c r="A9650" t="str">
        <x:v>US-2017-107979</x:v>
      </x:c>
      <x:c r="B9650" s="18" t="n">
        <x:v>42894</x:v>
      </x:c>
      <x:c r="C9650" t="str">
        <x:v>FO-14305</x:v>
      </x:c>
      <x:c r="D9650" t="str">
        <x:v>Frank Olsen</x:v>
      </x:c>
      <x:c r="E9650" t="str">
        <x:v>Consumer</x:v>
      </x:c>
      <x:c r="F9650" t="str">
        <x:v>West</x:v>
      </x:c>
      <x:c r="G9650" t="str">
        <x:v>Office Supplies</x:v>
      </x:c>
      <x:c r="H9650" t="str">
        <x:v>Storage</x:v>
      </x:c>
      <x:c r="I9650" s="22" t="n">
        <x:v>35.168</x:v>
      </x:c>
      <x:c r="J9650" s="24" t="n">
        <x:v>2</x:v>
      </x:c>
      <x:c r="K9650" s="26" t="n">
        <x:v>0.2</x:v>
      </x:c>
      <x:c r="L9650" s="22" t="n">
        <x:v>-8.352400000000001</x:v>
      </x:c>
      <x:c r="M9650" t="n">
        <x:v>2017</x:v>
      </x:c>
      <x:c r="N9650" s="20" t="n">
        <x:v>42887</x:v>
      </x:c>
    </x:row>
    <x:row r="9651" ht="18" customHeight="1">
      <x:c r="A9651" t="str">
        <x:v>US-2017-107979</x:v>
      </x:c>
      <x:c r="B9651" s="18" t="n">
        <x:v>42894</x:v>
      </x:c>
      <x:c r="C9651" t="str">
        <x:v>FO-14305</x:v>
      </x:c>
      <x:c r="D9651" t="str">
        <x:v>Frank Olsen</x:v>
      </x:c>
      <x:c r="E9651" t="str">
        <x:v>Consumer</x:v>
      </x:c>
      <x:c r="F9651" t="str">
        <x:v>West</x:v>
      </x:c>
      <x:c r="G9651" t="str">
        <x:v>Office Supplies</x:v>
      </x:c>
      <x:c r="H9651" t="str">
        <x:v>Binders</x:v>
      </x:c>
      <x:c r="I9651" s="22" t="n">
        <x:v>72.58800000000001</x:v>
      </x:c>
      <x:c r="J9651" s="24" t="n">
        <x:v>2</x:v>
      </x:c>
      <x:c r="K9651" s="26" t="n">
        <x:v>0.7</x:v>
      </x:c>
      <x:c r="L9651" s="22" t="n">
        <x:v>-48.39199999999998</x:v>
      </x:c>
      <x:c r="M9651" t="n">
        <x:v>2017</x:v>
      </x:c>
      <x:c r="N9651" s="20" t="n">
        <x:v>42887</x:v>
      </x:c>
    </x:row>
    <x:row r="9652" ht="18" customHeight="1">
      <x:c r="A9652" t="str">
        <x:v>CA-2014-150518</x:v>
      </x:c>
      <x:c r="B9652" s="18" t="n">
        <x:v>41962</x:v>
      </x:c>
      <x:c r="C9652" t="str">
        <x:v>MW-18220</x:v>
      </x:c>
      <x:c r="D9652" t="str">
        <x:v>Mitch Webber</x:v>
      </x:c>
      <x:c r="E9652" t="str">
        <x:v>Consumer</x:v>
      </x:c>
      <x:c r="F9652" t="str">
        <x:v>Central</x:v>
      </x:c>
      <x:c r="G9652" t="str">
        <x:v>Office Supplies</x:v>
      </x:c>
      <x:c r="H9652" t="str">
        <x:v>Storage</x:v>
      </x:c>
      <x:c r="I9652" s="22" t="n">
        <x:v>221.16</x:v>
      </x:c>
      <x:c r="J9652" s="24" t="n">
        <x:v>4</x:v>
      </x:c>
      <x:c r="K9652" s="26" t="n">
        <x:v>0</x:v>
      </x:c>
      <x:c r="L9652" s="22" t="n">
        <x:v>57.501599999999996</x:v>
      </x:c>
      <x:c r="M9652" t="n">
        <x:v>2014</x:v>
      </x:c>
      <x:c r="N9652" s="20" t="n">
        <x:v>41944</x:v>
      </x:c>
    </x:row>
    <x:row r="9653" ht="18" customHeight="1">
      <x:c r="A9653" t="str">
        <x:v>CA-2014-150518</x:v>
      </x:c>
      <x:c r="B9653" s="18" t="n">
        <x:v>41962</x:v>
      </x:c>
      <x:c r="C9653" t="str">
        <x:v>MW-18220</x:v>
      </x:c>
      <x:c r="D9653" t="str">
        <x:v>Mitch Webber</x:v>
      </x:c>
      <x:c r="E9653" t="str">
        <x:v>Consumer</x:v>
      </x:c>
      <x:c r="F9653" t="str">
        <x:v>Central</x:v>
      </x:c>
      <x:c r="G9653" t="str">
        <x:v>Technology</x:v>
      </x:c>
      <x:c r="H9653" t="str">
        <x:v>Phones</x:v>
      </x:c>
      <x:c r="I9653" s="22" t="n">
        <x:v>281.96999999999997</x:v>
      </x:c>
      <x:c r="J9653" s="24" t="n">
        <x:v>3</x:v>
      </x:c>
      <x:c r="K9653" s="26" t="n">
        <x:v>0</x:v>
      </x:c>
      <x:c r="L9653" s="22" t="n">
        <x:v>78.9516</x:v>
      </x:c>
      <x:c r="M9653" t="n">
        <x:v>2014</x:v>
      </x:c>
      <x:c r="N9653" s="20" t="n">
        <x:v>41944</x:v>
      </x:c>
    </x:row>
    <x:row r="9654" ht="18" customHeight="1">
      <x:c r="A9654" t="str">
        <x:v>CA-2016-107104</x:v>
      </x:c>
      <x:c r="B9654" s="18" t="n">
        <x:v>42700</x:v>
      </x:c>
      <x:c r="C9654" t="str">
        <x:v>MS-17365</x:v>
      </x:c>
      <x:c r="D9654" t="str">
        <x:v>Maribeth Schnelling</x:v>
      </x:c>
      <x:c r="E9654" t="str">
        <x:v>Consumer</x:v>
      </x:c>
      <x:c r="F9654" t="str">
        <x:v>West</x:v>
      </x:c>
      <x:c r="G9654" t="str">
        <x:v>Furniture</x:v>
      </x:c>
      <x:c r="H9654" t="str">
        <x:v>Bookcases</x:v>
      </x:c>
      <x:c r="I9654" s="22" t="n">
        <x:v>3406.664</x:v>
      </x:c>
      <x:c r="J9654" s="24" t="n">
        <x:v>8</x:v>
      </x:c>
      <x:c r="K9654" s="26" t="n">
        <x:v>0.15</x:v>
      </x:c>
      <x:c r="L9654" s="22" t="n">
        <x:v>160.31359999999984</x:v>
      </x:c>
      <x:c r="M9654" t="n">
        <x:v>2016</x:v>
      </x:c>
      <x:c r="N9654" s="20" t="n">
        <x:v>42675</x:v>
      </x:c>
    </x:row>
    <x:row r="9655" ht="18" customHeight="1">
      <x:c r="A9655" t="str">
        <x:v>CA-2016-107104</x:v>
      </x:c>
      <x:c r="B9655" s="18" t="n">
        <x:v>42700</x:v>
      </x:c>
      <x:c r="C9655" t="str">
        <x:v>MS-17365</x:v>
      </x:c>
      <x:c r="D9655" t="str">
        <x:v>Maribeth Schnelling</x:v>
      </x:c>
      <x:c r="E9655" t="str">
        <x:v>Consumer</x:v>
      </x:c>
      <x:c r="F9655" t="str">
        <x:v>West</x:v>
      </x:c>
      <x:c r="G9655" t="str">
        <x:v>Office Supplies</x:v>
      </x:c>
      <x:c r="H9655" t="str">
        <x:v>Art</x:v>
      </x:c>
      <x:c r="I9655" s="22" t="n">
        <x:v>37.17</x:v>
      </x:c>
      <x:c r="J9655" s="24" t="n">
        <x:v>9</x:v>
      </x:c>
      <x:c r="K9655" s="26" t="n">
        <x:v>0</x:v>
      </x:c>
      <x:c r="L9655" s="22" t="n">
        <x:v>10.4076</x:v>
      </x:c>
      <x:c r="M9655" t="n">
        <x:v>2016</x:v>
      </x:c>
      <x:c r="N9655" s="20" t="n">
        <x:v>42675</x:v>
      </x:c>
    </x:row>
    <x:row r="9656" ht="18" customHeight="1">
      <x:c r="A9656" t="str">
        <x:v>CA-2016-107104</x:v>
      </x:c>
      <x:c r="B9656" s="18" t="n">
        <x:v>42700</x:v>
      </x:c>
      <x:c r="C9656" t="str">
        <x:v>MS-17365</x:v>
      </x:c>
      <x:c r="D9656" t="str">
        <x:v>Maribeth Schnelling</x:v>
      </x:c>
      <x:c r="E9656" t="str">
        <x:v>Consumer</x:v>
      </x:c>
      <x:c r="F9656" t="str">
        <x:v>West</x:v>
      </x:c>
      <x:c r="G9656" t="str">
        <x:v>Office Supplies</x:v>
      </x:c>
      <x:c r="H9656" t="str">
        <x:v>Appliances</x:v>
      </x:c>
      <x:c r="I9656" s="22" t="n">
        <x:v>64.96</x:v>
      </x:c>
      <x:c r="J9656" s="24" t="n">
        <x:v>2</x:v>
      </x:c>
      <x:c r="K9656" s="26" t="n">
        <x:v>0</x:v>
      </x:c>
      <x:c r="L9656" s="22" t="n">
        <x:v>19.487999999999992</x:v>
      </x:c>
      <x:c r="M9656" t="n">
        <x:v>2016</x:v>
      </x:c>
      <x:c r="N9656" s="20" t="n">
        <x:v>42675</x:v>
      </x:c>
    </x:row>
    <x:row r="9657" ht="18" customHeight="1">
      <x:c r="A9657" t="str">
        <x:v>CA-2016-107104</x:v>
      </x:c>
      <x:c r="B9657" s="18" t="n">
        <x:v>42700</x:v>
      </x:c>
      <x:c r="C9657" t="str">
        <x:v>MS-17365</x:v>
      </x:c>
      <x:c r="D9657" t="str">
        <x:v>Maribeth Schnelling</x:v>
      </x:c>
      <x:c r="E9657" t="str">
        <x:v>Consumer</x:v>
      </x:c>
      <x:c r="F9657" t="str">
        <x:v>West</x:v>
      </x:c>
      <x:c r="G9657" t="str">
        <x:v>Furniture</x:v>
      </x:c>
      <x:c r="H9657" t="str">
        <x:v>Furnishings</x:v>
      </x:c>
      <x:c r="I9657" s="22" t="n">
        <x:v>595.38</x:v>
      </x:c>
      <x:c r="J9657" s="24" t="n">
        <x:v>6</x:v>
      </x:c>
      <x:c r="K9657" s="26" t="n">
        <x:v>0</x:v>
      </x:c>
      <x:c r="L9657" s="22" t="n">
        <x:v>297.69</x:v>
      </x:c>
      <x:c r="M9657" t="n">
        <x:v>2016</x:v>
      </x:c>
      <x:c r="N9657" s="20" t="n">
        <x:v>42675</x:v>
      </x:c>
    </x:row>
    <x:row r="9658" ht="18" customHeight="1">
      <x:c r="A9658" t="str">
        <x:v>CA-2017-161893</x:v>
      </x:c>
      <x:c r="B9658" s="18" t="n">
        <x:v>42758</x:v>
      </x:c>
      <x:c r="C9658" t="str">
        <x:v>HP-14815</x:v>
      </x:c>
      <x:c r="D9658" t="str">
        <x:v>Harold Pawlan</x:v>
      </x:c>
      <x:c r="E9658" t="str">
        <x:v>Home Office</x:v>
      </x:c>
      <x:c r="F9658" t="str">
        <x:v>West</x:v>
      </x:c>
      <x:c r="G9658" t="str">
        <x:v>Technology</x:v>
      </x:c>
      <x:c r="H9658" t="str">
        <x:v>Accessories</x:v>
      </x:c>
      <x:c r="I9658" s="22" t="n">
        <x:v>95.98400000000001</x:v>
      </x:c>
      <x:c r="J9658" s="24" t="n">
        <x:v>2</x:v>
      </x:c>
      <x:c r="K9658" s="26" t="n">
        <x:v>0.2</x:v>
      </x:c>
      <x:c r="L9658" s="22" t="n">
        <x:v>11.997999999999998</x:v>
      </x:c>
      <x:c r="M9658" t="n">
        <x:v>2017</x:v>
      </x:c>
      <x:c r="N9658" s="20" t="n">
        <x:v>42736</x:v>
      </x:c>
    </x:row>
    <x:row r="9659" ht="18" customHeight="1">
      <x:c r="A9659" t="str">
        <x:v>CA-2017-161893</x:v>
      </x:c>
      <x:c r="B9659" s="18" t="n">
        <x:v>42758</x:v>
      </x:c>
      <x:c r="C9659" t="str">
        <x:v>HP-14815</x:v>
      </x:c>
      <x:c r="D9659" t="str">
        <x:v>Harold Pawlan</x:v>
      </x:c>
      <x:c r="E9659" t="str">
        <x:v>Home Office</x:v>
      </x:c>
      <x:c r="F9659" t="str">
        <x:v>West</x:v>
      </x:c>
      <x:c r="G9659" t="str">
        <x:v>Office Supplies</x:v>
      </x:c>
      <x:c r="H9659" t="str">
        <x:v>Binders</x:v>
      </x:c>
      <x:c r="I9659" s="22" t="n">
        <x:v>4.938000000000001</x:v>
      </x:c>
      <x:c r="J9659" s="24" t="n">
        <x:v>2</x:v>
      </x:c>
      <x:c r="K9659" s="26" t="n">
        <x:v>0.7</x:v>
      </x:c>
      <x:c r="L9659" s="22" t="n">
        <x:v>-3.6212</x:v>
      </x:c>
      <x:c r="M9659" t="n">
        <x:v>2017</x:v>
      </x:c>
      <x:c r="N9659" s="20" t="n">
        <x:v>42736</x:v>
      </x:c>
    </x:row>
    <x:row r="9660" ht="18" customHeight="1">
      <x:c r="A9660" t="str">
        <x:v>CA-2014-156160</x:v>
      </x:c>
      <x:c r="B9660" s="18" t="n">
        <x:v>41904</x:v>
      </x:c>
      <x:c r="C9660" t="str">
        <x:v>AS-10090</x:v>
      </x:c>
      <x:c r="D9660" t="str">
        <x:v>Adam Shillingsburg</x:v>
      </x:c>
      <x:c r="E9660" t="str">
        <x:v>Consumer</x:v>
      </x:c>
      <x:c r="F9660" t="str">
        <x:v>East</x:v>
      </x:c>
      <x:c r="G9660" t="str">
        <x:v>Furniture</x:v>
      </x:c>
      <x:c r="H9660" t="str">
        <x:v>Furnishings</x:v>
      </x:c>
      <x:c r="I9660" s="22" t="n">
        <x:v>97.44</x:v>
      </x:c>
      <x:c r="J9660" s="24" t="n">
        <x:v>3</x:v>
      </x:c>
      <x:c r="K9660" s="26" t="n">
        <x:v>0</x:v>
      </x:c>
      <x:c r="L9660" s="22" t="n">
        <x:v>35.078399999999995</x:v>
      </x:c>
      <x:c r="M9660" t="n">
        <x:v>2014</x:v>
      </x:c>
      <x:c r="N9660" s="20" t="n">
        <x:v>41883</x:v>
      </x:c>
    </x:row>
    <x:row r="9661" ht="18" customHeight="1">
      <x:c r="A9661" t="str">
        <x:v>CA-2014-156160</x:v>
      </x:c>
      <x:c r="B9661" s="18" t="n">
        <x:v>41904</x:v>
      </x:c>
      <x:c r="C9661" t="str">
        <x:v>AS-10090</x:v>
      </x:c>
      <x:c r="D9661" t="str">
        <x:v>Adam Shillingsburg</x:v>
      </x:c>
      <x:c r="E9661" t="str">
        <x:v>Consumer</x:v>
      </x:c>
      <x:c r="F9661" t="str">
        <x:v>East</x:v>
      </x:c>
      <x:c r="G9661" t="str">
        <x:v>Office Supplies</x:v>
      </x:c>
      <x:c r="H9661" t="str">
        <x:v>Binders</x:v>
      </x:c>
      <x:c r="I9661" s="22" t="n">
        <x:v>3.9840000000000004</x:v>
      </x:c>
      <x:c r="J9661" s="24" t="n">
        <x:v>1</x:v>
      </x:c>
      <x:c r="K9661" s="26" t="n">
        <x:v>0.2</x:v>
      </x:c>
      <x:c r="L9661" s="22" t="n">
        <x:v>1.3944</x:v>
      </x:c>
      <x:c r="M9661" t="n">
        <x:v>2014</x:v>
      </x:c>
      <x:c r="N9661" s="20" t="n">
        <x:v>41883</x:v>
      </x:c>
    </x:row>
    <x:row r="9662" ht="18" customHeight="1">
      <x:c r="A9662" t="str">
        <x:v>CA-2014-156160</x:v>
      </x:c>
      <x:c r="B9662" s="18" t="n">
        <x:v>41904</x:v>
      </x:c>
      <x:c r="C9662" t="str">
        <x:v>AS-10090</x:v>
      </x:c>
      <x:c r="D9662" t="str">
        <x:v>Adam Shillingsburg</x:v>
      </x:c>
      <x:c r="E9662" t="str">
        <x:v>Consumer</x:v>
      </x:c>
      <x:c r="F9662" t="str">
        <x:v>East</x:v>
      </x:c>
      <x:c r="G9662" t="str">
        <x:v>Office Supplies</x:v>
      </x:c>
      <x:c r="H9662" t="str">
        <x:v>Art</x:v>
      </x:c>
      <x:c r="I9662" s="22" t="n">
        <x:v>13.04</x:v>
      </x:c>
      <x:c r="J9662" s="24" t="n">
        <x:v>4</x:v>
      </x:c>
      <x:c r="K9662" s="26" t="n">
        <x:v>0</x:v>
      </x:c>
      <x:c r="L9662" s="22" t="n">
        <x:v>5.7376000000000005</x:v>
      </x:c>
      <x:c r="M9662" t="n">
        <x:v>2014</x:v>
      </x:c>
      <x:c r="N9662" s="20" t="n">
        <x:v>41883</x:v>
      </x:c>
    </x:row>
    <x:row r="9663" ht="18" customHeight="1">
      <x:c r="A9663" t="str">
        <x:v>CA-2014-156160</x:v>
      </x:c>
      <x:c r="B9663" s="18" t="n">
        <x:v>41904</x:v>
      </x:c>
      <x:c r="C9663" t="str">
        <x:v>AS-10090</x:v>
      </x:c>
      <x:c r="D9663" t="str">
        <x:v>Adam Shillingsburg</x:v>
      </x:c>
      <x:c r="E9663" t="str">
        <x:v>Consumer</x:v>
      </x:c>
      <x:c r="F9663" t="str">
        <x:v>East</x:v>
      </x:c>
      <x:c r="G9663" t="str">
        <x:v>Furniture</x:v>
      </x:c>
      <x:c r="H9663" t="str">
        <x:v>Chairs</x:v>
      </x:c>
      <x:c r="I9663" s="22" t="n">
        <x:v>579.528</x:v>
      </x:c>
      <x:c r="J9663" s="24" t="n">
        <x:v>4</x:v>
      </x:c>
      <x:c r="K9663" s="26" t="n">
        <x:v>0.1</x:v>
      </x:c>
      <x:c r="L9663" s="22" t="n">
        <x:v>83.70959999999997</x:v>
      </x:c>
      <x:c r="M9663" t="n">
        <x:v>2014</x:v>
      </x:c>
      <x:c r="N9663" s="20" t="n">
        <x:v>41883</x:v>
      </x:c>
    </x:row>
    <x:row r="9664" ht="18" customHeight="1">
      <x:c r="A9664" t="str">
        <x:v>CA-2014-100860</x:v>
      </x:c>
      <x:c r="B9664" s="18" t="n">
        <x:v>41724</x:v>
      </x:c>
      <x:c r="C9664" t="str">
        <x:v>CS-12505</x:v>
      </x:c>
      <x:c r="D9664" t="str">
        <x:v>Cindy Stewart</x:v>
      </x:c>
      <x:c r="E9664" t="str">
        <x:v>Consumer</x:v>
      </x:c>
      <x:c r="F9664" t="str">
        <x:v>West</x:v>
      </x:c>
      <x:c r="G9664" t="str">
        <x:v>Office Supplies</x:v>
      </x:c>
      <x:c r="H9664" t="str">
        <x:v>Labels</x:v>
      </x:c>
      <x:c r="I9664" s="22" t="n">
        <x:v>18.75</x:v>
      </x:c>
      <x:c r="J9664" s="24" t="n">
        <x:v>5</x:v>
      </x:c>
      <x:c r="K9664" s="26" t="n">
        <x:v>0</x:v>
      </x:c>
      <x:c r="L9664" s="22" t="n">
        <x:v>9</x:v>
      </x:c>
      <x:c r="M9664" t="n">
        <x:v>2014</x:v>
      </x:c>
      <x:c r="N9664" s="20" t="n">
        <x:v>41699</x:v>
      </x:c>
    </x:row>
    <x:row r="9665" ht="18" customHeight="1">
      <x:c r="A9665" t="str">
        <x:v>CA-2016-160717</x:v>
      </x:c>
      <x:c r="B9665" s="18" t="n">
        <x:v>42527</x:v>
      </x:c>
      <x:c r="C9665" t="str">
        <x:v>ME-17320</x:v>
      </x:c>
      <x:c r="D9665" t="str">
        <x:v>Maria Etezadi</x:v>
      </x:c>
      <x:c r="E9665" t="str">
        <x:v>Home Office</x:v>
      </x:c>
      <x:c r="F9665" t="str">
        <x:v>West</x:v>
      </x:c>
      <x:c r="G9665" t="str">
        <x:v>Technology</x:v>
      </x:c>
      <x:c r="H9665" t="str">
        <x:v>Phones</x:v>
      </x:c>
      <x:c r="I9665" s="22" t="n">
        <x:v>3023.9280000000003</x:v>
      </x:c>
      <x:c r="J9665" s="24" t="n">
        <x:v>9</x:v>
      </x:c>
      <x:c r="K9665" s="26" t="n">
        <x:v>0.2</x:v>
      </x:c>
      <x:c r="L9665" s="22" t="n">
        <x:v>226.79460000000006</x:v>
      </x:c>
      <x:c r="M9665" t="n">
        <x:v>2016</x:v>
      </x:c>
      <x:c r="N9665" s="20" t="n">
        <x:v>42522</x:v>
      </x:c>
    </x:row>
    <x:row r="9666" ht="18" customHeight="1">
      <x:c r="A9666" t="str">
        <x:v>CA-2016-160717</x:v>
      </x:c>
      <x:c r="B9666" s="18" t="n">
        <x:v>42527</x:v>
      </x:c>
      <x:c r="C9666" t="str">
        <x:v>ME-17320</x:v>
      </x:c>
      <x:c r="D9666" t="str">
        <x:v>Maria Etezadi</x:v>
      </x:c>
      <x:c r="E9666" t="str">
        <x:v>Home Office</x:v>
      </x:c>
      <x:c r="F9666" t="str">
        <x:v>West</x:v>
      </x:c>
      <x:c r="G9666" t="str">
        <x:v>Technology</x:v>
      </x:c>
      <x:c r="H9666" t="str">
        <x:v>Accessories</x:v>
      </x:c>
      <x:c r="I9666" s="22" t="n">
        <x:v>26.96</x:v>
      </x:c>
      <x:c r="J9666" s="24" t="n">
        <x:v>2</x:v>
      </x:c>
      <x:c r="K9666" s="26" t="n">
        <x:v>0</x:v>
      </x:c>
      <x:c r="L9666" s="22" t="n">
        <x:v>3.7744</x:v>
      </x:c>
      <x:c r="M9666" t="n">
        <x:v>2016</x:v>
      </x:c>
      <x:c r="N9666" s="20" t="n">
        <x:v>42522</x:v>
      </x:c>
    </x:row>
    <x:row r="9667" ht="18" customHeight="1">
      <x:c r="A9667" t="str">
        <x:v>CA-2016-160717</x:v>
      </x:c>
      <x:c r="B9667" s="18" t="n">
        <x:v>42527</x:v>
      </x:c>
      <x:c r="C9667" t="str">
        <x:v>ME-17320</x:v>
      </x:c>
      <x:c r="D9667" t="str">
        <x:v>Maria Etezadi</x:v>
      </x:c>
      <x:c r="E9667" t="str">
        <x:v>Home Office</x:v>
      </x:c>
      <x:c r="F9667" t="str">
        <x:v>West</x:v>
      </x:c>
      <x:c r="G9667" t="str">
        <x:v>Technology</x:v>
      </x:c>
      <x:c r="H9667" t="str">
        <x:v>Phones</x:v>
      </x:c>
      <x:c r="I9667" s="22" t="n">
        <x:v>477.6</x:v>
      </x:c>
      <x:c r="J9667" s="24" t="n">
        <x:v>3</x:v>
      </x:c>
      <x:c r="K9667" s="26" t="n">
        <x:v>0.2</x:v>
      </x:c>
      <x:c r="L9667" s="22" t="n">
        <x:v>161.19000000000003</x:v>
      </x:c>
      <x:c r="M9667" t="n">
        <x:v>2016</x:v>
      </x:c>
      <x:c r="N9667" s="20" t="n">
        <x:v>42522</x:v>
      </x:c>
    </x:row>
    <x:row r="9668" ht="18" customHeight="1">
      <x:c r="A9668" t="str">
        <x:v>CA-2017-132619</x:v>
      </x:c>
      <x:c r="B9668" s="18" t="n">
        <x:v>42978</x:v>
      </x:c>
      <x:c r="C9668" t="str">
        <x:v>MS-17770</x:v>
      </x:c>
      <x:c r="D9668" t="str">
        <x:v>Maxwell Schwartz</x:v>
      </x:c>
      <x:c r="E9668" t="str">
        <x:v>Consumer</x:v>
      </x:c>
      <x:c r="F9668" t="str">
        <x:v>West</x:v>
      </x:c>
      <x:c r="G9668" t="str">
        <x:v>Office Supplies</x:v>
      </x:c>
      <x:c r="H9668" t="str">
        <x:v>Storage</x:v>
      </x:c>
      <x:c r="I9668" s="22" t="n">
        <x:v>193.95000000000002</x:v>
      </x:c>
      <x:c r="J9668" s="24" t="n">
        <x:v>3</x:v>
      </x:c>
      <x:c r="K9668" s="26" t="n">
        <x:v>0</x:v>
      </x:c>
      <x:c r="L9668" s="22" t="n">
        <x:v>9.697499999999984</x:v>
      </x:c>
      <x:c r="M9668" t="n">
        <x:v>2017</x:v>
      </x:c>
      <x:c r="N9668" s="20" t="n">
        <x:v>42948</x:v>
      </x:c>
    </x:row>
    <x:row r="9669" ht="18" customHeight="1">
      <x:c r="A9669" t="str">
        <x:v>US-2015-120957</x:v>
      </x:c>
      <x:c r="B9669" s="18" t="n">
        <x:v>42345</x:v>
      </x:c>
      <x:c r="C9669" t="str">
        <x:v>KH-16690</x:v>
      </x:c>
      <x:c r="D9669" t="str">
        <x:v>Kristen Hastings</x:v>
      </x:c>
      <x:c r="E9669" t="str">
        <x:v>Corporate</x:v>
      </x:c>
      <x:c r="F9669" t="str">
        <x:v>West</x:v>
      </x:c>
      <x:c r="G9669" t="str">
        <x:v>Office Supplies</x:v>
      </x:c>
      <x:c r="H9669" t="str">
        <x:v>Paper</x:v>
      </x:c>
      <x:c r="I9669" s="22" t="n">
        <x:v>12.96</x:v>
      </x:c>
      <x:c r="J9669" s="24" t="n">
        <x:v>2</x:v>
      </x:c>
      <x:c r="K9669" s="26" t="n">
        <x:v>0</x:v>
      </x:c>
      <x:c r="L9669" s="22" t="n">
        <x:v>6.2208000000000006</x:v>
      </x:c>
      <x:c r="M9669" t="n">
        <x:v>2015</x:v>
      </x:c>
      <x:c r="N9669" s="20" t="n">
        <x:v>42339</x:v>
      </x:c>
    </x:row>
    <x:row r="9670" ht="18" customHeight="1">
      <x:c r="A9670" t="str">
        <x:v>CA-2017-157448</x:v>
      </x:c>
      <x:c r="B9670" s="18" t="n">
        <x:v>43055</x:v>
      </x:c>
      <x:c r="C9670" t="str">
        <x:v>LC-16885</x:v>
      </x:c>
      <x:c r="D9670" t="str">
        <x:v>Lena Creighton</x:v>
      </x:c>
      <x:c r="E9670" t="str">
        <x:v>Consumer</x:v>
      </x:c>
      <x:c r="F9670" t="str">
        <x:v>West</x:v>
      </x:c>
      <x:c r="G9670" t="str">
        <x:v>Furniture</x:v>
      </x:c>
      <x:c r="H9670" t="str">
        <x:v>Furnishings</x:v>
      </x:c>
      <x:c r="I9670" s="22" t="n">
        <x:v>119.94</x:v>
      </x:c>
      <x:c r="J9670" s="24" t="n">
        <x:v>3</x:v>
      </x:c>
      <x:c r="K9670" s="26" t="n">
        <x:v>0</x:v>
      </x:c>
      <x:c r="L9670" s="22" t="n">
        <x:v>23.987999999999996</x:v>
      </x:c>
      <x:c r="M9670" t="n">
        <x:v>2017</x:v>
      </x:c>
      <x:c r="N9670" s="20" t="n">
        <x:v>43040</x:v>
      </x:c>
    </x:row>
    <x:row r="9671" ht="18" customHeight="1">
      <x:c r="A9671" t="str">
        <x:v>CA-2017-157448</x:v>
      </x:c>
      <x:c r="B9671" s="18" t="n">
        <x:v>43055</x:v>
      </x:c>
      <x:c r="C9671" t="str">
        <x:v>LC-16885</x:v>
      </x:c>
      <x:c r="D9671" t="str">
        <x:v>Lena Creighton</x:v>
      </x:c>
      <x:c r="E9671" t="str">
        <x:v>Consumer</x:v>
      </x:c>
      <x:c r="F9671" t="str">
        <x:v>West</x:v>
      </x:c>
      <x:c r="G9671" t="str">
        <x:v>Furniture</x:v>
      </x:c>
      <x:c r="H9671" t="str">
        <x:v>Furnishings</x:v>
      </x:c>
      <x:c r="I9671" s="22" t="n">
        <x:v>12.419999999999998</x:v>
      </x:c>
      <x:c r="J9671" s="24" t="n">
        <x:v>3</x:v>
      </x:c>
      <x:c r="K9671" s="26" t="n">
        <x:v>0</x:v>
      </x:c>
      <x:c r="L9671" s="22" t="n">
        <x:v>4.4712</x:v>
      </x:c>
      <x:c r="M9671" t="n">
        <x:v>2017</x:v>
      </x:c>
      <x:c r="N9671" s="20" t="n">
        <x:v>43040</x:v>
      </x:c>
    </x:row>
    <x:row r="9672" ht="18" customHeight="1">
      <x:c r="A9672" t="str">
        <x:v>CA-2016-126270</x:v>
      </x:c>
      <x:c r="B9672" s="18" t="n">
        <x:v>42483</x:v>
      </x:c>
      <x:c r="C9672" t="str">
        <x:v>AF-10870</x:v>
      </x:c>
      <x:c r="D9672" t="str">
        <x:v>Art Ferguson</x:v>
      </x:c>
      <x:c r="E9672" t="str">
        <x:v>Consumer</x:v>
      </x:c>
      <x:c r="F9672" t="str">
        <x:v>West</x:v>
      </x:c>
      <x:c r="G9672" t="str">
        <x:v>Office Supplies</x:v>
      </x:c>
      <x:c r="H9672" t="str">
        <x:v>Binders</x:v>
      </x:c>
      <x:c r="I9672" s="22" t="n">
        <x:v>18.088</x:v>
      </x:c>
      <x:c r="J9672" s="24" t="n">
        <x:v>7</x:v>
      </x:c>
      <x:c r="K9672" s="26" t="n">
        <x:v>0.2</x:v>
      </x:c>
      <x:c r="L9672" s="22" t="n">
        <x:v>6.556900000000001</x:v>
      </x:c>
      <x:c r="M9672" t="n">
        <x:v>2016</x:v>
      </x:c>
      <x:c r="N9672" s="20" t="n">
        <x:v>42461</x:v>
      </x:c>
    </x:row>
    <x:row r="9673" ht="18" customHeight="1">
      <x:c r="A9673" t="str">
        <x:v>CA-2016-126270</x:v>
      </x:c>
      <x:c r="B9673" s="18" t="n">
        <x:v>42483</x:v>
      </x:c>
      <x:c r="C9673" t="str">
        <x:v>AF-10870</x:v>
      </x:c>
      <x:c r="D9673" t="str">
        <x:v>Art Ferguson</x:v>
      </x:c>
      <x:c r="E9673" t="str">
        <x:v>Consumer</x:v>
      </x:c>
      <x:c r="F9673" t="str">
        <x:v>West</x:v>
      </x:c>
      <x:c r="G9673" t="str">
        <x:v>Office Supplies</x:v>
      </x:c>
      <x:c r="H9673" t="str">
        <x:v>Envelopes</x:v>
      </x:c>
      <x:c r="I9673" s="22" t="n">
        <x:v>71.97</x:v>
      </x:c>
      <x:c r="J9673" s="24" t="n">
        <x:v>3</x:v>
      </x:c>
      <x:c r="K9673" s="26" t="n">
        <x:v>0</x:v>
      </x:c>
      <x:c r="L9673" s="22" t="n">
        <x:v>35.985</x:v>
      </x:c>
      <x:c r="M9673" t="n">
        <x:v>2016</x:v>
      </x:c>
      <x:c r="N9673" s="20" t="n">
        <x:v>42461</x:v>
      </x:c>
    </x:row>
    <x:row r="9674" ht="18" customHeight="1">
      <x:c r="A9674" t="str">
        <x:v>CA-2017-145275</x:v>
      </x:c>
      <x:c r="B9674" s="18" t="n">
        <x:v>42827</x:v>
      </x:c>
      <x:c r="C9674" t="str">
        <x:v>AH-10465</x:v>
      </x:c>
      <x:c r="D9674" t="str">
        <x:v>Amy Hunt</x:v>
      </x:c>
      <x:c r="E9674" t="str">
        <x:v>Consumer</x:v>
      </x:c>
      <x:c r="F9674" t="str">
        <x:v>South</x:v>
      </x:c>
      <x:c r="G9674" t="str">
        <x:v>Office Supplies</x:v>
      </x:c>
      <x:c r="H9674" t="str">
        <x:v>Labels</x:v>
      </x:c>
      <x:c r="I9674" s="22" t="n">
        <x:v>14.940000000000001</x:v>
      </x:c>
      <x:c r="J9674" s="24" t="n">
        <x:v>3</x:v>
      </x:c>
      <x:c r="K9674" s="26" t="n">
        <x:v>0</x:v>
      </x:c>
      <x:c r="L9674" s="22" t="n">
        <x:v>6.8724</x:v>
      </x:c>
      <x:c r="M9674" t="n">
        <x:v>2017</x:v>
      </x:c>
      <x:c r="N9674" s="20" t="n">
        <x:v>42826</x:v>
      </x:c>
    </x:row>
    <x:row r="9675" ht="18" customHeight="1">
      <x:c r="A9675" t="str">
        <x:v>CA-2015-133396</x:v>
      </x:c>
      <x:c r="B9675" s="18" t="n">
        <x:v>42229</x:v>
      </x:c>
      <x:c r="C9675" t="str">
        <x:v>GK-14620</x:v>
      </x:c>
      <x:c r="D9675" t="str">
        <x:v>Grace Kelly</x:v>
      </x:c>
      <x:c r="E9675" t="str">
        <x:v>Corporate</x:v>
      </x:c>
      <x:c r="F9675" t="str">
        <x:v>South</x:v>
      </x:c>
      <x:c r="G9675" t="str">
        <x:v>Office Supplies</x:v>
      </x:c>
      <x:c r="H9675" t="str">
        <x:v>Art</x:v>
      </x:c>
      <x:c r="I9675" s="22" t="n">
        <x:v>64.68</x:v>
      </x:c>
      <x:c r="J9675" s="24" t="n">
        <x:v>7</x:v>
      </x:c>
      <x:c r="K9675" s="26" t="n">
        <x:v>0.2</x:v>
      </x:c>
      <x:c r="L9675" s="22" t="n">
        <x:v>8.084999999999997</x:v>
      </x:c>
      <x:c r="M9675" t="n">
        <x:v>2015</x:v>
      </x:c>
      <x:c r="N9675" s="20" t="n">
        <x:v>42217</x:v>
      </x:c>
    </x:row>
    <x:row r="9676" ht="18" customHeight="1">
      <x:c r="A9676" t="str">
        <x:v>US-2017-140312</x:v>
      </x:c>
      <x:c r="B9676" s="18" t="n">
        <x:v>43052</x:v>
      </x:c>
      <x:c r="C9676" t="str">
        <x:v>KL-16645</x:v>
      </x:c>
      <x:c r="D9676" t="str">
        <x:v>Ken Lonsdale</x:v>
      </x:c>
      <x:c r="E9676" t="str">
        <x:v>Consumer</x:v>
      </x:c>
      <x:c r="F9676" t="str">
        <x:v>West</x:v>
      </x:c>
      <x:c r="G9676" t="str">
        <x:v>Technology</x:v>
      </x:c>
      <x:c r="H9676" t="str">
        <x:v>Phones</x:v>
      </x:c>
      <x:c r="I9676" s="22" t="n">
        <x:v>22</x:v>
      </x:c>
      <x:c r="J9676" s="24" t="n">
        <x:v>5</x:v>
      </x:c>
      <x:c r="K9676" s="26" t="n">
        <x:v>0.2</x:v>
      </x:c>
      <x:c r="L9676" s="22" t="n">
        <x:v>1.375</x:v>
      </x:c>
      <x:c r="M9676" t="n">
        <x:v>2017</x:v>
      </x:c>
      <x:c r="N9676" s="20" t="n">
        <x:v>43040</x:v>
      </x:c>
    </x:row>
    <x:row r="9677" ht="18" customHeight="1">
      <x:c r="A9677" t="str">
        <x:v>CA-2016-114867</x:v>
      </x:c>
      <x:c r="B9677" s="18" t="n">
        <x:v>42727</x:v>
      </x:c>
      <x:c r="C9677" t="str">
        <x:v>FM-14290</x:v>
      </x:c>
      <x:c r="D9677" t="str">
        <x:v>Frank Merwin</x:v>
      </x:c>
      <x:c r="E9677" t="str">
        <x:v>Home Office</x:v>
      </x:c>
      <x:c r="F9677" t="str">
        <x:v>East</x:v>
      </x:c>
      <x:c r="G9677" t="str">
        <x:v>Office Supplies</x:v>
      </x:c>
      <x:c r="H9677" t="str">
        <x:v>Paper</x:v>
      </x:c>
      <x:c r="I9677" s="22" t="n">
        <x:v>7.968000000000001</x:v>
      </x:c>
      <x:c r="J9677" s="24" t="n">
        <x:v>2</x:v>
      </x:c>
      <x:c r="K9677" s="26" t="n">
        <x:v>0.2</x:v>
      </x:c>
      <x:c r="L9677" s="22" t="n">
        <x:v>2.6892000000000005</x:v>
      </x:c>
      <x:c r="M9677" t="n">
        <x:v>2016</x:v>
      </x:c>
      <x:c r="N9677" s="20" t="n">
        <x:v>42705</x:v>
      </x:c>
    </x:row>
    <x:row r="9678" ht="18" customHeight="1">
      <x:c r="A9678" t="str">
        <x:v>CA-2016-114867</x:v>
      </x:c>
      <x:c r="B9678" s="18" t="n">
        <x:v>42727</x:v>
      </x:c>
      <x:c r="C9678" t="str">
        <x:v>FM-14290</x:v>
      </x:c>
      <x:c r="D9678" t="str">
        <x:v>Frank Merwin</x:v>
      </x:c>
      <x:c r="E9678" t="str">
        <x:v>Home Office</x:v>
      </x:c>
      <x:c r="F9678" t="str">
        <x:v>East</x:v>
      </x:c>
      <x:c r="G9678" t="str">
        <x:v>Technology</x:v>
      </x:c>
      <x:c r="H9678" t="str">
        <x:v>Phones</x:v>
      </x:c>
      <x:c r="I9678" s="22" t="n">
        <x:v>1499.9699999999998</x:v>
      </x:c>
      <x:c r="J9678" s="24" t="n">
        <x:v>5</x:v>
      </x:c>
      <x:c r="K9678" s="26" t="n">
        <x:v>0.4</x:v>
      </x:c>
      <x:c r="L9678" s="22" t="n">
        <x:v>-374.99250000000006</x:v>
      </x:c>
      <x:c r="M9678" t="n">
        <x:v>2016</x:v>
      </x:c>
      <x:c r="N9678" s="20" t="n">
        <x:v>42705</x:v>
      </x:c>
    </x:row>
    <x:row r="9679" ht="18" customHeight="1">
      <x:c r="A9679" t="str">
        <x:v>US-2014-164644</x:v>
      </x:c>
      <x:c r="B9679" s="18" t="n">
        <x:v>41842</x:v>
      </x:c>
      <x:c r="C9679" t="str">
        <x:v>JL-15850</x:v>
      </x:c>
      <x:c r="D9679" t="str">
        <x:v>John Lucas</x:v>
      </x:c>
      <x:c r="E9679" t="str">
        <x:v>Consumer</x:v>
      </x:c>
      <x:c r="F9679" t="str">
        <x:v>Central</x:v>
      </x:c>
      <x:c r="G9679" t="str">
        <x:v>Office Supplies</x:v>
      </x:c>
      <x:c r="H9679" t="str">
        <x:v>Storage</x:v>
      </x:c>
      <x:c r="I9679" s="22" t="n">
        <x:v>26.632</x:v>
      </x:c>
      <x:c r="J9679" s="24" t="n">
        <x:v>1</x:v>
      </x:c>
      <x:c r="K9679" s="26" t="n">
        <x:v>0.2</x:v>
      </x:c>
      <x:c r="L9679" s="22" t="n">
        <x:v>1.331599999999999</x:v>
      </x:c>
      <x:c r="M9679" t="n">
        <x:v>2014</x:v>
      </x:c>
      <x:c r="N9679" s="20" t="n">
        <x:v>41821</x:v>
      </x:c>
    </x:row>
    <x:row r="9680" ht="18" customHeight="1">
      <x:c r="A9680" t="str">
        <x:v>CA-2016-137393</x:v>
      </x:c>
      <x:c r="B9680" s="18" t="n">
        <x:v>42496</x:v>
      </x:c>
      <x:c r="C9680" t="str">
        <x:v>GM-14500</x:v>
      </x:c>
      <x:c r="D9680" t="str">
        <x:v>Gene McClure</x:v>
      </x:c>
      <x:c r="E9680" t="str">
        <x:v>Consumer</x:v>
      </x:c>
      <x:c r="F9680" t="str">
        <x:v>West</x:v>
      </x:c>
      <x:c r="G9680" t="str">
        <x:v>Furniture</x:v>
      </x:c>
      <x:c r="H9680" t="str">
        <x:v>Furnishings</x:v>
      </x:c>
      <x:c r="I9680" s="22" t="n">
        <x:v>41.6</x:v>
      </x:c>
      <x:c r="J9680" s="24" t="n">
        <x:v>4</x:v>
      </x:c>
      <x:c r="K9680" s="26" t="n">
        <x:v>0</x:v>
      </x:c>
      <x:c r="L9680" s="22" t="n">
        <x:v>14.143999999999998</x:v>
      </x:c>
      <x:c r="M9680" t="n">
        <x:v>2016</x:v>
      </x:c>
      <x:c r="N9680" s="20" t="n">
        <x:v>42491</x:v>
      </x:c>
    </x:row>
    <x:row r="9681" ht="18" customHeight="1">
      <x:c r="A9681" t="str">
        <x:v>US-2014-120175</x:v>
      </x:c>
      <x:c r="B9681" s="18" t="n">
        <x:v>41971</x:v>
      </x:c>
      <x:c r="C9681" t="str">
        <x:v>MC-17635</x:v>
      </x:c>
      <x:c r="D9681" t="str">
        <x:v>Matthew Clasen</x:v>
      </x:c>
      <x:c r="E9681" t="str">
        <x:v>Corporate</x:v>
      </x:c>
      <x:c r="F9681" t="str">
        <x:v>Central</x:v>
      </x:c>
      <x:c r="G9681" t="str">
        <x:v>Office Supplies</x:v>
      </x:c>
      <x:c r="H9681" t="str">
        <x:v>Envelopes</x:v>
      </x:c>
      <x:c r="I9681" s="22" t="n">
        <x:v>64.02</x:v>
      </x:c>
      <x:c r="J9681" s="24" t="n">
        <x:v>6</x:v>
      </x:c>
      <x:c r="K9681" s="26" t="n">
        <x:v>0</x:v>
      </x:c>
      <x:c r="L9681" s="22" t="n">
        <x:v>29.449199999999998</x:v>
      </x:c>
      <x:c r="M9681" t="n">
        <x:v>2014</x:v>
      </x:c>
      <x:c r="N9681" s="20" t="n">
        <x:v>41944</x:v>
      </x:c>
    </x:row>
    <x:row r="9682" ht="18" customHeight="1">
      <x:c r="A9682" t="str">
        <x:v>CA-2016-144785</x:v>
      </x:c>
      <x:c r="B9682" s="18" t="n">
        <x:v>42478</x:v>
      </x:c>
      <x:c r="C9682" t="str">
        <x:v>CS-12490</x:v>
      </x:c>
      <x:c r="D9682" t="str">
        <x:v>Cindy Schnelling</x:v>
      </x:c>
      <x:c r="E9682" t="str">
        <x:v>Corporate</x:v>
      </x:c>
      <x:c r="F9682" t="str">
        <x:v>East</x:v>
      </x:c>
      <x:c r="G9682" t="str">
        <x:v>Office Supplies</x:v>
      </x:c>
      <x:c r="H9682" t="str">
        <x:v>Art</x:v>
      </x:c>
      <x:c r="I9682" s="22" t="n">
        <x:v>6.99</x:v>
      </x:c>
      <x:c r="J9682" s="24" t="n">
        <x:v>3</x:v>
      </x:c>
      <x:c r="K9682" s="26" t="n">
        <x:v>0</x:v>
      </x:c>
      <x:c r="L9682" s="22" t="n">
        <x:v>2.027099999999999</x:v>
      </x:c>
      <x:c r="M9682" t="n">
        <x:v>2016</x:v>
      </x:c>
      <x:c r="N9682" s="20" t="n">
        <x:v>42461</x:v>
      </x:c>
    </x:row>
    <x:row r="9683" ht="18" customHeight="1">
      <x:c r="A9683" t="str">
        <x:v>CA-2016-144785</x:v>
      </x:c>
      <x:c r="B9683" s="18" t="n">
        <x:v>42478</x:v>
      </x:c>
      <x:c r="C9683" t="str">
        <x:v>CS-12490</x:v>
      </x:c>
      <x:c r="D9683" t="str">
        <x:v>Cindy Schnelling</x:v>
      </x:c>
      <x:c r="E9683" t="str">
        <x:v>Corporate</x:v>
      </x:c>
      <x:c r="F9683" t="str">
        <x:v>East</x:v>
      </x:c>
      <x:c r="G9683" t="str">
        <x:v>Office Supplies</x:v>
      </x:c>
      <x:c r="H9683" t="str">
        <x:v>Supplies</x:v>
      </x:c>
      <x:c r="I9683" s="22" t="n">
        <x:v>6.84</x:v>
      </x:c>
      <x:c r="J9683" s="24" t="n">
        <x:v>1</x:v>
      </x:c>
      <x:c r="K9683" s="26" t="n">
        <x:v>0</x:v>
      </x:c>
      <x:c r="L9683" s="22" t="n">
        <x:v>1.8468</x:v>
      </x:c>
      <x:c r="M9683" t="n">
        <x:v>2016</x:v>
      </x:c>
      <x:c r="N9683" s="20" t="n">
        <x:v>42461</x:v>
      </x:c>
    </x:row>
    <x:row r="9684" ht="18" customHeight="1">
      <x:c r="A9684" t="str">
        <x:v>CA-2015-130113</x:v>
      </x:c>
      <x:c r="B9684" s="18" t="n">
        <x:v>42365</x:v>
      </x:c>
      <x:c r="C9684" t="str">
        <x:v>AH-10030</x:v>
      </x:c>
      <x:c r="D9684" t="str">
        <x:v>Aaron Hawkins</x:v>
      </x:c>
      <x:c r="E9684" t="str">
        <x:v>Corporate</x:v>
      </x:c>
      <x:c r="F9684" t="str">
        <x:v>West</x:v>
      </x:c>
      <x:c r="G9684" t="str">
        <x:v>Office Supplies</x:v>
      </x:c>
      <x:c r="H9684" t="str">
        <x:v>Storage</x:v>
      </x:c>
      <x:c r="I9684" s="22" t="n">
        <x:v>323.1</x:v>
      </x:c>
      <x:c r="J9684" s="24" t="n">
        <x:v>2</x:v>
      </x:c>
      <x:c r="K9684" s="26" t="n">
        <x:v>0</x:v>
      </x:c>
      <x:c r="L9684" s="22" t="n">
        <x:v>61.38900000000001</x:v>
      </x:c>
      <x:c r="M9684" t="n">
        <x:v>2015</x:v>
      </x:c>
      <x:c r="N9684" s="20" t="n">
        <x:v>42339</x:v>
      </x:c>
    </x:row>
    <x:row r="9685" ht="18" customHeight="1">
      <x:c r="A9685" t="str">
        <x:v>CA-2015-130113</x:v>
      </x:c>
      <x:c r="B9685" s="18" t="n">
        <x:v>42365</x:v>
      </x:c>
      <x:c r="C9685" t="str">
        <x:v>AH-10030</x:v>
      </x:c>
      <x:c r="D9685" t="str">
        <x:v>Aaron Hawkins</x:v>
      </x:c>
      <x:c r="E9685" t="str">
        <x:v>Corporate</x:v>
      </x:c>
      <x:c r="F9685" t="str">
        <x:v>West</x:v>
      </x:c>
      <x:c r="G9685" t="str">
        <x:v>Technology</x:v>
      </x:c>
      <x:c r="H9685" t="str">
        <x:v>Phones</x:v>
      </x:c>
      <x:c r="I9685" s="22" t="n">
        <x:v>668.16</x:v>
      </x:c>
      <x:c r="J9685" s="24" t="n">
        <x:v>9</x:v>
      </x:c>
      <x:c r="K9685" s="26" t="n">
        <x:v>0.2</x:v>
      </x:c>
      <x:c r="L9685" s="22" t="n">
        <x:v>75.16799999999992</x:v>
      </x:c>
      <x:c r="M9685" t="n">
        <x:v>2015</x:v>
      </x:c>
      <x:c r="N9685" s="20" t="n">
        <x:v>42339</x:v>
      </x:c>
    </x:row>
    <x:row r="9686" ht="18" customHeight="1">
      <x:c r="A9686" t="str">
        <x:v>CA-2017-122770</x:v>
      </x:c>
      <x:c r="B9686" s="18" t="n">
        <x:v>43082</x:v>
      </x:c>
      <x:c r="C9686" t="str">
        <x:v>EP-13915</x:v>
      </x:c>
      <x:c r="D9686" t="str">
        <x:v>Emily Phan</x:v>
      </x:c>
      <x:c r="E9686" t="str">
        <x:v>Consumer</x:v>
      </x:c>
      <x:c r="F9686" t="str">
        <x:v>West</x:v>
      </x:c>
      <x:c r="G9686" t="str">
        <x:v>Office Supplies</x:v>
      </x:c>
      <x:c r="H9686" t="str">
        <x:v>Labels</x:v>
      </x:c>
      <x:c r="I9686" s="22" t="n">
        <x:v>8.64</x:v>
      </x:c>
      <x:c r="J9686" s="24" t="n">
        <x:v>3</x:v>
      </x:c>
      <x:c r="K9686" s="26" t="n">
        <x:v>0</x:v>
      </x:c>
      <x:c r="L9686" s="22" t="n">
        <x:v>4.2336</x:v>
      </x:c>
      <x:c r="M9686" t="n">
        <x:v>2017</x:v>
      </x:c>
      <x:c r="N9686" s="20" t="n">
        <x:v>43070</x:v>
      </x:c>
    </x:row>
    <x:row r="9687" ht="18" customHeight="1">
      <x:c r="A9687" t="str">
        <x:v>CA-2017-122770</x:v>
      </x:c>
      <x:c r="B9687" s="18" t="n">
        <x:v>43082</x:v>
      </x:c>
      <x:c r="C9687" t="str">
        <x:v>EP-13915</x:v>
      </x:c>
      <x:c r="D9687" t="str">
        <x:v>Emily Phan</x:v>
      </x:c>
      <x:c r="E9687" t="str">
        <x:v>Consumer</x:v>
      </x:c>
      <x:c r="F9687" t="str">
        <x:v>West</x:v>
      </x:c>
      <x:c r="G9687" t="str">
        <x:v>Office Supplies</x:v>
      </x:c>
      <x:c r="H9687" t="str">
        <x:v>Paper</x:v>
      </x:c>
      <x:c r="I9687" s="22" t="n">
        <x:v>38.88</x:v>
      </x:c>
      <x:c r="J9687" s="24" t="n">
        <x:v>6</x:v>
      </x:c>
      <x:c r="K9687" s="26" t="n">
        <x:v>0</x:v>
      </x:c>
      <x:c r="L9687" s="22" t="n">
        <x:v>18.6624</x:v>
      </x:c>
      <x:c r="M9687" t="n">
        <x:v>2017</x:v>
      </x:c>
      <x:c r="N9687" s="20" t="n">
        <x:v>43070</x:v>
      </x:c>
    </x:row>
    <x:row r="9688" ht="18" customHeight="1">
      <x:c r="A9688" t="str">
        <x:v>CA-2017-122770</x:v>
      </x:c>
      <x:c r="B9688" s="18" t="n">
        <x:v>43082</x:v>
      </x:c>
      <x:c r="C9688" t="str">
        <x:v>EP-13915</x:v>
      </x:c>
      <x:c r="D9688" t="str">
        <x:v>Emily Phan</x:v>
      </x:c>
      <x:c r="E9688" t="str">
        <x:v>Consumer</x:v>
      </x:c>
      <x:c r="F9688" t="str">
        <x:v>West</x:v>
      </x:c>
      <x:c r="G9688" t="str">
        <x:v>Furniture</x:v>
      </x:c>
      <x:c r="H9688" t="str">
        <x:v>Furnishings</x:v>
      </x:c>
      <x:c r="I9688" s="22" t="n">
        <x:v>201.04</x:v>
      </x:c>
      <x:c r="J9688" s="24" t="n">
        <x:v>8</x:v>
      </x:c>
      <x:c r="K9688" s="26" t="n">
        <x:v>0</x:v>
      </x:c>
      <x:c r="L9688" s="22" t="n">
        <x:v>54.2808</x:v>
      </x:c>
      <x:c r="M9688" t="n">
        <x:v>2017</x:v>
      </x:c>
      <x:c r="N9688" s="20" t="n">
        <x:v>43070</x:v>
      </x:c>
    </x:row>
    <x:row r="9689" ht="18" customHeight="1">
      <x:c r="A9689" t="str">
        <x:v>CA-2017-122770</x:v>
      </x:c>
      <x:c r="B9689" s="18" t="n">
        <x:v>43082</x:v>
      </x:c>
      <x:c r="C9689" t="str">
        <x:v>EP-13915</x:v>
      </x:c>
      <x:c r="D9689" t="str">
        <x:v>Emily Phan</x:v>
      </x:c>
      <x:c r="E9689" t="str">
        <x:v>Consumer</x:v>
      </x:c>
      <x:c r="F9689" t="str">
        <x:v>West</x:v>
      </x:c>
      <x:c r="G9689" t="str">
        <x:v>Office Supplies</x:v>
      </x:c>
      <x:c r="H9689" t="str">
        <x:v>Paper</x:v>
      </x:c>
      <x:c r="I9689" s="22" t="n">
        <x:v>12.96</x:v>
      </x:c>
      <x:c r="J9689" s="24" t="n">
        <x:v>2</x:v>
      </x:c>
      <x:c r="K9689" s="26" t="n">
        <x:v>0</x:v>
      </x:c>
      <x:c r="L9689" s="22" t="n">
        <x:v>6.3504000000000005</x:v>
      </x:c>
      <x:c r="M9689" t="n">
        <x:v>2017</x:v>
      </x:c>
      <x:c r="N9689" s="20" t="n">
        <x:v>43070</x:v>
      </x:c>
    </x:row>
    <x:row r="9690" ht="18" customHeight="1">
      <x:c r="A9690" t="str">
        <x:v>CA-2017-118668</x:v>
      </x:c>
      <x:c r="B9690" s="18" t="n">
        <x:v>42737</x:v>
      </x:c>
      <x:c r="C9690" t="str">
        <x:v>FW-14395</x:v>
      </x:c>
      <x:c r="D9690" t="str">
        <x:v>Fred Wasserman</x:v>
      </x:c>
      <x:c r="E9690" t="str">
        <x:v>Corporate</x:v>
      </x:c>
      <x:c r="F9690" t="str">
        <x:v>West</x:v>
      </x:c>
      <x:c r="G9690" t="str">
        <x:v>Technology</x:v>
      </x:c>
      <x:c r="H9690" t="str">
        <x:v>Accessories</x:v>
      </x:c>
      <x:c r="I9690" s="22" t="n">
        <x:v>16.59</x:v>
      </x:c>
      <x:c r="J9690" s="24" t="n">
        <x:v>1</x:v>
      </x:c>
      <x:c r="K9690" s="26" t="n">
        <x:v>0</x:v>
      </x:c>
      <x:c r="L9690" s="22" t="n">
        <x:v>5.8065</x:v>
      </x:c>
      <x:c r="M9690" t="n">
        <x:v>2017</x:v>
      </x:c>
      <x:c r="N9690" s="20" t="n">
        <x:v>42736</x:v>
      </x:c>
    </x:row>
    <x:row r="9691" ht="18" customHeight="1">
      <x:c r="A9691" t="str">
        <x:v>CA-2017-116498</x:v>
      </x:c>
      <x:c r="B9691" s="18" t="n">
        <x:v>42885</x:v>
      </x:c>
      <x:c r="C9691" t="str">
        <x:v>KA-16525</x:v>
      </x:c>
      <x:c r="D9691" t="str">
        <x:v>Kelly Andreada</x:v>
      </x:c>
      <x:c r="E9691" t="str">
        <x:v>Consumer</x:v>
      </x:c>
      <x:c r="F9691" t="str">
        <x:v>West</x:v>
      </x:c>
      <x:c r="G9691" t="str">
        <x:v>Office Supplies</x:v>
      </x:c>
      <x:c r="H9691" t="str">
        <x:v>Art</x:v>
      </x:c>
      <x:c r="I9691" s="22" t="n">
        <x:v>35.099999999999994</x:v>
      </x:c>
      <x:c r="J9691" s="24" t="n">
        <x:v>6</x:v>
      </x:c>
      <x:c r="K9691" s="26" t="n">
        <x:v>0</x:v>
      </x:c>
      <x:c r="L9691" s="22" t="n">
        <x:v>10.178999999999997</x:v>
      </x:c>
      <x:c r="M9691" t="n">
        <x:v>2017</x:v>
      </x:c>
      <x:c r="N9691" s="20" t="n">
        <x:v>42856</x:v>
      </x:c>
    </x:row>
    <x:row r="9692" ht="18" customHeight="1">
      <x:c r="A9692" t="str">
        <x:v>US-2017-130603</x:v>
      </x:c>
      <x:c r="B9692" s="18" t="n">
        <x:v>43008</x:v>
      </x:c>
      <x:c r="C9692" t="str">
        <x:v>SC-20050</x:v>
      </x:c>
      <x:c r="D9692" t="str">
        <x:v>Sample Company A</x:v>
      </x:c>
      <x:c r="E9692" t="str">
        <x:v>Home Office</x:v>
      </x:c>
      <x:c r="F9692" t="str">
        <x:v>Central</x:v>
      </x:c>
      <x:c r="G9692" t="str">
        <x:v>Office Supplies</x:v>
      </x:c>
      <x:c r="H9692" t="str">
        <x:v>Binders</x:v>
      </x:c>
      <x:c r="I9692" s="22" t="n">
        <x:v>11.645999999999997</x:v>
      </x:c>
      <x:c r="J9692" s="24" t="n">
        <x:v>9</x:v>
      </x:c>
      <x:c r="K9692" s="26" t="n">
        <x:v>0.8</x:v>
      </x:c>
      <x:c r="L9692" s="22" t="n">
        <x:v>-17.469000000000005</x:v>
      </x:c>
      <x:c r="M9692" t="n">
        <x:v>2017</x:v>
      </x:c>
      <x:c r="N9692" s="20" t="n">
        <x:v>42979</x:v>
      </x:c>
    </x:row>
    <x:row r="9693" ht="18" customHeight="1">
      <x:c r="A9693" t="str">
        <x:v>US-2017-135986</x:v>
      </x:c>
      <x:c r="B9693" s="18" t="n">
        <x:v>42906</x:v>
      </x:c>
      <x:c r="C9693" t="str">
        <x:v>PG-18895</x:v>
      </x:c>
      <x:c r="D9693" t="str">
        <x:v>Paul Gonzalez</x:v>
      </x:c>
      <x:c r="E9693" t="str">
        <x:v>Consumer</x:v>
      </x:c>
      <x:c r="F9693" t="str">
        <x:v>South</x:v>
      </x:c>
      <x:c r="G9693" t="str">
        <x:v>Office Supplies</x:v>
      </x:c>
      <x:c r="H9693" t="str">
        <x:v>Paper</x:v>
      </x:c>
      <x:c r="I9693" s="22" t="n">
        <x:v>32.400000000000006</x:v>
      </x:c>
      <x:c r="J9693" s="24" t="n">
        <x:v>5</x:v>
      </x:c>
      <x:c r="K9693" s="26" t="n">
        <x:v>0</x:v>
      </x:c>
      <x:c r="L9693" s="22" t="n">
        <x:v>15.552000000000001</x:v>
      </x:c>
      <x:c r="M9693" t="n">
        <x:v>2017</x:v>
      </x:c>
      <x:c r="N9693" s="20" t="n">
        <x:v>42887</x:v>
      </x:c>
    </x:row>
    <x:row r="9694" ht="18" customHeight="1">
      <x:c r="A9694" t="str">
        <x:v>US-2017-135986</x:v>
      </x:c>
      <x:c r="B9694" s="18" t="n">
        <x:v>42906</x:v>
      </x:c>
      <x:c r="C9694" t="str">
        <x:v>PG-18895</x:v>
      </x:c>
      <x:c r="D9694" t="str">
        <x:v>Paul Gonzalez</x:v>
      </x:c>
      <x:c r="E9694" t="str">
        <x:v>Consumer</x:v>
      </x:c>
      <x:c r="F9694" t="str">
        <x:v>South</x:v>
      </x:c>
      <x:c r="G9694" t="str">
        <x:v>Technology</x:v>
      </x:c>
      <x:c r="H9694" t="str">
        <x:v>Phones</x:v>
      </x:c>
      <x:c r="I9694" s="22" t="n">
        <x:v>503.96</x:v>
      </x:c>
      <x:c r="J9694" s="24" t="n">
        <x:v>4</x:v>
      </x:c>
      <x:c r="K9694" s="26" t="n">
        <x:v>0</x:v>
      </x:c>
      <x:c r="L9694" s="22" t="n">
        <x:v>125.99000000000001</x:v>
      </x:c>
      <x:c r="M9694" t="n">
        <x:v>2017</x:v>
      </x:c>
      <x:c r="N9694" s="20" t="n">
        <x:v>42887</x:v>
      </x:c>
    </x:row>
    <x:row r="9695" ht="18" customHeight="1">
      <x:c r="A9695" t="str">
        <x:v>CA-2017-140536</x:v>
      </x:c>
      <x:c r="B9695" s="18" t="n">
        <x:v>42829</x:v>
      </x:c>
      <x:c r="C9695" t="str">
        <x:v>TA-21385</x:v>
      </x:c>
      <x:c r="D9695" t="str">
        <x:v>Tom Ashbrook</x:v>
      </x:c>
      <x:c r="E9695" t="str">
        <x:v>Home Office</x:v>
      </x:c>
      <x:c r="F9695" t="str">
        <x:v>East</x:v>
      </x:c>
      <x:c r="G9695" t="str">
        <x:v>Office Supplies</x:v>
      </x:c>
      <x:c r="H9695" t="str">
        <x:v>Art</x:v>
      </x:c>
      <x:c r="I9695" s="22" t="n">
        <x:v>7.04</x:v>
      </x:c>
      <x:c r="J9695" s="24" t="n">
        <x:v>4</x:v>
      </x:c>
      <x:c r="K9695" s="26" t="n">
        <x:v>0</x:v>
      </x:c>
      <x:c r="L9695" s="22" t="n">
        <x:v>2.0416</x:v>
      </x:c>
      <x:c r="M9695" t="n">
        <x:v>2017</x:v>
      </x:c>
      <x:c r="N9695" s="20" t="n">
        <x:v>42826</x:v>
      </x:c>
    </x:row>
    <x:row r="9696" ht="18" customHeight="1">
      <x:c r="A9696" t="str">
        <x:v>CA-2015-130183</x:v>
      </x:c>
      <x:c r="B9696" s="18" t="n">
        <x:v>42321</x:v>
      </x:c>
      <x:c r="C9696" t="str">
        <x:v>PO-18850</x:v>
      </x:c>
      <x:c r="D9696" t="str">
        <x:v>Patrick O'Brill</x:v>
      </x:c>
      <x:c r="E9696" t="str">
        <x:v>Consumer</x:v>
      </x:c>
      <x:c r="F9696" t="str">
        <x:v>Central</x:v>
      </x:c>
      <x:c r="G9696" t="str">
        <x:v>Furniture</x:v>
      </x:c>
      <x:c r="H9696" t="str">
        <x:v>Bookcases</x:v>
      </x:c>
      <x:c r="I9696" s="22" t="n">
        <x:v>613.9992</x:v>
      </x:c>
      <x:c r="J9696" s="24" t="n">
        <x:v>3</x:v>
      </x:c>
      <x:c r="K9696" s="26" t="n">
        <x:v>0.32</x:v>
      </x:c>
      <x:c r="L9696" s="22" t="n">
        <x:v>-18.058800000000076</x:v>
      </x:c>
      <x:c r="M9696" t="n">
        <x:v>2015</x:v>
      </x:c>
      <x:c r="N9696" s="20" t="n">
        <x:v>42309</x:v>
      </x:c>
    </x:row>
    <x:row r="9697" ht="18" customHeight="1">
      <x:c r="A9697" t="str">
        <x:v>CA-2015-107902</x:v>
      </x:c>
      <x:c r="B9697" s="18" t="n">
        <x:v>42244</x:v>
      </x:c>
      <x:c r="C9697" t="str">
        <x:v>SM-20950</x:v>
      </x:c>
      <x:c r="D9697" t="str">
        <x:v>Suzanne McNair</x:v>
      </x:c>
      <x:c r="E9697" t="str">
        <x:v>Corporate</x:v>
      </x:c>
      <x:c r="F9697" t="str">
        <x:v>East</x:v>
      </x:c>
      <x:c r="G9697" t="str">
        <x:v>Office Supplies</x:v>
      </x:c>
      <x:c r="H9697" t="str">
        <x:v>Storage</x:v>
      </x:c>
      <x:c r="I9697" s="22" t="n">
        <x:v>470.35999999999996</x:v>
      </x:c>
      <x:c r="J9697" s="24" t="n">
        <x:v>11</x:v>
      </x:c>
      <x:c r="K9697" s="26" t="n">
        <x:v>0</x:v>
      </x:c>
      <x:c r="L9697" s="22" t="n">
        <x:v>122.2936</x:v>
      </x:c>
      <x:c r="M9697" t="n">
        <x:v>2015</x:v>
      </x:c>
      <x:c r="N9697" s="20" t="n">
        <x:v>42217</x:v>
      </x:c>
    </x:row>
    <x:row r="9698" ht="18" customHeight="1">
      <x:c r="A9698" t="str">
        <x:v>CA-2017-130148</x:v>
      </x:c>
      <x:c r="B9698" s="18" t="n">
        <x:v>43002</x:v>
      </x:c>
      <x:c r="C9698" t="str">
        <x:v>NK-18490</x:v>
      </x:c>
      <x:c r="D9698" t="str">
        <x:v>Neil Knudson</x:v>
      </x:c>
      <x:c r="E9698" t="str">
        <x:v>Home Office</x:v>
      </x:c>
      <x:c r="F9698" t="str">
        <x:v>West</x:v>
      </x:c>
      <x:c r="G9698" t="str">
        <x:v>Office Supplies</x:v>
      </x:c>
      <x:c r="H9698" t="str">
        <x:v>Paper</x:v>
      </x:c>
      <x:c r="I9698" s="22" t="n">
        <x:v>31.08</x:v>
      </x:c>
      <x:c r="J9698" s="24" t="n">
        <x:v>6</x:v>
      </x:c>
      <x:c r="K9698" s="26" t="n">
        <x:v>0</x:v>
      </x:c>
      <x:c r="L9698" s="22" t="n">
        <x:v>15.229199999999999</x:v>
      </x:c>
      <x:c r="M9698" t="n">
        <x:v>2017</x:v>
      </x:c>
      <x:c r="N9698" s="20" t="n">
        <x:v>42979</x:v>
      </x:c>
    </x:row>
    <x:row r="9699" ht="18" customHeight="1">
      <x:c r="A9699" t="str">
        <x:v>CA-2017-130148</x:v>
      </x:c>
      <x:c r="B9699" s="18" t="n">
        <x:v>43002</x:v>
      </x:c>
      <x:c r="C9699" t="str">
        <x:v>NK-18490</x:v>
      </x:c>
      <x:c r="D9699" t="str">
        <x:v>Neil Knudson</x:v>
      </x:c>
      <x:c r="E9699" t="str">
        <x:v>Home Office</x:v>
      </x:c>
      <x:c r="F9699" t="str">
        <x:v>West</x:v>
      </x:c>
      <x:c r="G9699" t="str">
        <x:v>Office Supplies</x:v>
      </x:c>
      <x:c r="H9699" t="str">
        <x:v>Supplies</x:v>
      </x:c>
      <x:c r="I9699" s="22" t="n">
        <x:v>7.3</x:v>
      </x:c>
      <x:c r="J9699" s="24" t="n">
        <x:v>2</x:v>
      </x:c>
      <x:c r="K9699" s="26" t="n">
        <x:v>0</x:v>
      </x:c>
      <x:c r="L9699" s="22" t="n">
        <x:v>2.1899999999999995</x:v>
      </x:c>
      <x:c r="M9699" t="n">
        <x:v>2017</x:v>
      </x:c>
      <x:c r="N9699" s="20" t="n">
        <x:v>42979</x:v>
      </x:c>
    </x:row>
    <x:row r="9700" ht="18" customHeight="1">
      <x:c r="A9700" t="str">
        <x:v>US-2016-151260</x:v>
      </x:c>
      <x:c r="B9700" s="18" t="n">
        <x:v>42715</x:v>
      </x:c>
      <x:c r="C9700" t="str">
        <x:v>SC-20695</x:v>
      </x:c>
      <x:c r="D9700" t="str">
        <x:v>Steve Chapman</x:v>
      </x:c>
      <x:c r="E9700" t="str">
        <x:v>Corporate</x:v>
      </x:c>
      <x:c r="F9700" t="str">
        <x:v>East</x:v>
      </x:c>
      <x:c r="G9700" t="str">
        <x:v>Office Supplies</x:v>
      </x:c>
      <x:c r="H9700" t="str">
        <x:v>Appliances</x:v>
      </x:c>
      <x:c r="I9700" s="22" t="n">
        <x:v>73.536</x:v>
      </x:c>
      <x:c r="J9700" s="24" t="n">
        <x:v>4</x:v>
      </x:c>
      <x:c r="K9700" s="26" t="n">
        <x:v>0.2</x:v>
      </x:c>
      <x:c r="L9700" s="22" t="n">
        <x:v>9.191999999999993</x:v>
      </x:c>
      <x:c r="M9700" t="n">
        <x:v>2016</x:v>
      </x:c>
      <x:c r="N9700" s="20" t="n">
        <x:v>42705</x:v>
      </x:c>
    </x:row>
    <x:row r="9701" ht="18" customHeight="1">
      <x:c r="A9701" t="str">
        <x:v>CA-2014-144281</x:v>
      </x:c>
      <x:c r="B9701" s="18" t="n">
        <x:v>41800</x:v>
      </x:c>
      <x:c r="C9701" t="str">
        <x:v>HK-14890</x:v>
      </x:c>
      <x:c r="D9701" t="str">
        <x:v>Heather Kirkland</x:v>
      </x:c>
      <x:c r="E9701" t="str">
        <x:v>Corporate</x:v>
      </x:c>
      <x:c r="F9701" t="str">
        <x:v>Central</x:v>
      </x:c>
      <x:c r="G9701" t="str">
        <x:v>Office Supplies</x:v>
      </x:c>
      <x:c r="H9701" t="str">
        <x:v>Labels</x:v>
      </x:c>
      <x:c r="I9701" s="22" t="n">
        <x:v>491.55</x:v>
      </x:c>
      <x:c r="J9701" s="24" t="n">
        <x:v>5</x:v>
      </x:c>
      <x:c r="K9701" s="26" t="n">
        <x:v>0</x:v>
      </x:c>
      <x:c r="L9701" s="22" t="n">
        <x:v>240.8595</x:v>
      </x:c>
      <x:c r="M9701" t="n">
        <x:v>2014</x:v>
      </x:c>
      <x:c r="N9701" s="20" t="n">
        <x:v>41791</x:v>
      </x:c>
    </x:row>
    <x:row r="9702" ht="18" customHeight="1">
      <x:c r="A9702" t="str">
        <x:v>CA-2016-122511</x:v>
      </x:c>
      <x:c r="B9702" s="18" t="n">
        <x:v>42440</x:v>
      </x:c>
      <x:c r="C9702" t="str">
        <x:v>BT-11485</x:v>
      </x:c>
      <x:c r="D9702" t="str">
        <x:v>Brad Thomas</x:v>
      </x:c>
      <x:c r="E9702" t="str">
        <x:v>Home Office</x:v>
      </x:c>
      <x:c r="F9702" t="str">
        <x:v>East</x:v>
      </x:c>
      <x:c r="G9702" t="str">
        <x:v>Furniture</x:v>
      </x:c>
      <x:c r="H9702" t="str">
        <x:v>Furnishings</x:v>
      </x:c>
      <x:c r="I9702" s="22" t="n">
        <x:v>30.336000000000002</x:v>
      </x:c>
      <x:c r="J9702" s="24" t="n">
        <x:v>4</x:v>
      </x:c>
      <x:c r="K9702" s="26" t="n">
        <x:v>0.2</x:v>
      </x:c>
      <x:c r="L9702" s="22" t="n">
        <x:v>9.48</x:v>
      </x:c>
      <x:c r="M9702" t="n">
        <x:v>2016</x:v>
      </x:c>
      <x:c r="N9702" s="20" t="n">
        <x:v>42430</x:v>
      </x:c>
    </x:row>
    <x:row r="9703" ht="18" customHeight="1">
      <x:c r="A9703" t="str">
        <x:v>CA-2017-154116</x:v>
      </x:c>
      <x:c r="B9703" s="18" t="n">
        <x:v>43084</x:v>
      </x:c>
      <x:c r="C9703" t="str">
        <x:v>KM-16660</x:v>
      </x:c>
      <x:c r="D9703" t="str">
        <x:v>Khloe Miller</x:v>
      </x:c>
      <x:c r="E9703" t="str">
        <x:v>Consumer</x:v>
      </x:c>
      <x:c r="F9703" t="str">
        <x:v>West</x:v>
      </x:c>
      <x:c r="G9703" t="str">
        <x:v>Office Supplies</x:v>
      </x:c>
      <x:c r="H9703" t="str">
        <x:v>Paper</x:v>
      </x:c>
      <x:c r="I9703" s="22" t="n">
        <x:v>22.830000000000002</x:v>
      </x:c>
      <x:c r="J9703" s="24" t="n">
        <x:v>3</x:v>
      </x:c>
      <x:c r="K9703" s="26" t="n">
        <x:v>0</x:v>
      </x:c>
      <x:c r="L9703" s="22" t="n">
        <x:v>10.7301</x:v>
      </x:c>
      <x:c r="M9703" t="n">
        <x:v>2017</x:v>
      </x:c>
      <x:c r="N9703" s="20" t="n">
        <x:v>43070</x:v>
      </x:c>
    </x:row>
    <x:row r="9704" ht="18" customHeight="1">
      <x:c r="A9704" t="str">
        <x:v>CA-2017-154116</x:v>
      </x:c>
      <x:c r="B9704" s="18" t="n">
        <x:v>43084</x:v>
      </x:c>
      <x:c r="C9704" t="str">
        <x:v>KM-16660</x:v>
      </x:c>
      <x:c r="D9704" t="str">
        <x:v>Khloe Miller</x:v>
      </x:c>
      <x:c r="E9704" t="str">
        <x:v>Consumer</x:v>
      </x:c>
      <x:c r="F9704" t="str">
        <x:v>West</x:v>
      </x:c>
      <x:c r="G9704" t="str">
        <x:v>Office Supplies</x:v>
      </x:c>
      <x:c r="H9704" t="str">
        <x:v>Appliances</x:v>
      </x:c>
      <x:c r="I9704" s="22" t="n">
        <x:v>54.32</x:v>
      </x:c>
      <x:c r="J9704" s="24" t="n">
        <x:v>4</x:v>
      </x:c>
      <x:c r="K9704" s="26" t="n">
        <x:v>0</x:v>
      </x:c>
      <x:c r="L9704" s="22" t="n">
        <x:v>16.296</x:v>
      </x:c>
      <x:c r="M9704" t="n">
        <x:v>2017</x:v>
      </x:c>
      <x:c r="N9704" s="20" t="n">
        <x:v>43070</x:v>
      </x:c>
    </x:row>
    <x:row r="9705" ht="18" customHeight="1">
      <x:c r="A9705" t="str">
        <x:v>CA-2017-154116</x:v>
      </x:c>
      <x:c r="B9705" s="18" t="n">
        <x:v>43084</x:v>
      </x:c>
      <x:c r="C9705" t="str">
        <x:v>KM-16660</x:v>
      </x:c>
      <x:c r="D9705" t="str">
        <x:v>Khloe Miller</x:v>
      </x:c>
      <x:c r="E9705" t="str">
        <x:v>Consumer</x:v>
      </x:c>
      <x:c r="F9705" t="str">
        <x:v>West</x:v>
      </x:c>
      <x:c r="G9705" t="str">
        <x:v>Technology</x:v>
      </x:c>
      <x:c r="H9705" t="str">
        <x:v>Phones</x:v>
      </x:c>
      <x:c r="I9705" s="22" t="n">
        <x:v>196.776</x:v>
      </x:c>
      <x:c r="J9705" s="24" t="n">
        <x:v>3</x:v>
      </x:c>
      <x:c r="K9705" s="26" t="n">
        <x:v>0.2</x:v>
      </x:c>
      <x:c r="L9705" s="22" t="n">
        <x:v>14.758199999999995</x:v>
      </x:c>
      <x:c r="M9705" t="n">
        <x:v>2017</x:v>
      </x:c>
      <x:c r="N9705" s="20" t="n">
        <x:v>43070</x:v>
      </x:c>
    </x:row>
    <x:row r="9706" ht="18" customHeight="1">
      <x:c r="A9706" t="str">
        <x:v>CA-2016-105291</x:v>
      </x:c>
      <x:c r="B9706" s="18" t="n">
        <x:v>42673</x:v>
      </x:c>
      <x:c r="C9706" t="str">
        <x:v>SP-20920</x:v>
      </x:c>
      <x:c r="D9706" t="str">
        <x:v>Susan Pistek</x:v>
      </x:c>
      <x:c r="E9706" t="str">
        <x:v>Consumer</x:v>
      </x:c>
      <x:c r="F9706" t="str">
        <x:v>West</x:v>
      </x:c>
      <x:c r="G9706" t="str">
        <x:v>Office Supplies</x:v>
      </x:c>
      <x:c r="H9706" t="str">
        <x:v>Fasteners</x:v>
      </x:c>
      <x:c r="I9706" s="22" t="n">
        <x:v>3.62</x:v>
      </x:c>
      <x:c r="J9706" s="24" t="n">
        <x:v>2</x:v>
      </x:c>
      <x:c r="K9706" s="26" t="n">
        <x:v>0</x:v>
      </x:c>
      <x:c r="L9706" s="22" t="n">
        <x:v>1.1945999999999999</x:v>
      </x:c>
      <x:c r="M9706" t="n">
        <x:v>2016</x:v>
      </x:c>
      <x:c r="N9706" s="20" t="n">
        <x:v>42644</x:v>
      </x:c>
    </x:row>
    <x:row r="9707" ht="18" customHeight="1">
      <x:c r="A9707" t="str">
        <x:v>CA-2017-147032</x:v>
      </x:c>
      <x:c r="B9707" s="18" t="n">
        <x:v>42947</x:v>
      </x:c>
      <x:c r="C9707" t="str">
        <x:v>LB-16795</x:v>
      </x:c>
      <x:c r="D9707" t="str">
        <x:v>Laurel Beltran</x:v>
      </x:c>
      <x:c r="E9707" t="str">
        <x:v>Home Office</x:v>
      </x:c>
      <x:c r="F9707" t="str">
        <x:v>East</x:v>
      </x:c>
      <x:c r="G9707" t="str">
        <x:v>Office Supplies</x:v>
      </x:c>
      <x:c r="H9707" t="str">
        <x:v>Paper</x:v>
      </x:c>
      <x:c r="I9707" s="22" t="n">
        <x:v>11.54</x:v>
      </x:c>
      <x:c r="J9707" s="24" t="n">
        <x:v>1</x:v>
      </x:c>
      <x:c r="K9707" s="26" t="n">
        <x:v>0</x:v>
      </x:c>
      <x:c r="L9707" s="22" t="n">
        <x:v>5.539199999999999</x:v>
      </x:c>
      <x:c r="M9707" t="n">
        <x:v>2017</x:v>
      </x:c>
      <x:c r="N9707" s="20" t="n">
        <x:v>42917</x:v>
      </x:c>
    </x:row>
    <x:row r="9708" ht="18" customHeight="1">
      <x:c r="A9708" t="str">
        <x:v>CA-2017-147032</x:v>
      </x:c>
      <x:c r="B9708" s="18" t="n">
        <x:v>42947</x:v>
      </x:c>
      <x:c r="C9708" t="str">
        <x:v>LB-16795</x:v>
      </x:c>
      <x:c r="D9708" t="str">
        <x:v>Laurel Beltran</x:v>
      </x:c>
      <x:c r="E9708" t="str">
        <x:v>Home Office</x:v>
      </x:c>
      <x:c r="F9708" t="str">
        <x:v>East</x:v>
      </x:c>
      <x:c r="G9708" t="str">
        <x:v>Office Supplies</x:v>
      </x:c>
      <x:c r="H9708" t="str">
        <x:v>Binders</x:v>
      </x:c>
      <x:c r="I9708" s="22" t="n">
        <x:v>849.95</x:v>
      </x:c>
      <x:c r="J9708" s="24" t="n">
        <x:v>5</x:v>
      </x:c>
      <x:c r="K9708" s="26" t="n">
        <x:v>0</x:v>
      </x:c>
      <x:c r="L9708" s="22" t="n">
        <x:v>390.977</x:v>
      </x:c>
      <x:c r="M9708" t="n">
        <x:v>2017</x:v>
      </x:c>
      <x:c r="N9708" s="20" t="n">
        <x:v>42917</x:v>
      </x:c>
    </x:row>
    <x:row r="9709" ht="18" customHeight="1">
      <x:c r="A9709" t="str">
        <x:v>CA-2017-147032</x:v>
      </x:c>
      <x:c r="B9709" s="18" t="n">
        <x:v>42947</x:v>
      </x:c>
      <x:c r="C9709" t="str">
        <x:v>LB-16795</x:v>
      </x:c>
      <x:c r="D9709" t="str">
        <x:v>Laurel Beltran</x:v>
      </x:c>
      <x:c r="E9709" t="str">
        <x:v>Home Office</x:v>
      </x:c>
      <x:c r="F9709" t="str">
        <x:v>East</x:v>
      </x:c>
      <x:c r="G9709" t="str">
        <x:v>Office Supplies</x:v>
      </x:c>
      <x:c r="H9709" t="str">
        <x:v>Binders</x:v>
      </x:c>
      <x:c r="I9709" s="22" t="n">
        <x:v>11.01</x:v>
      </x:c>
      <x:c r="J9709" s="24" t="n">
        <x:v>3</x:v>
      </x:c>
      <x:c r="K9709" s="26" t="n">
        <x:v>0</x:v>
      </x:c>
      <x:c r="L9709" s="22" t="n">
        <x:v>5.3949</x:v>
      </x:c>
      <x:c r="M9709" t="n">
        <x:v>2017</x:v>
      </x:c>
      <x:c r="N9709" s="20" t="n">
        <x:v>42917</x:v>
      </x:c>
    </x:row>
    <x:row r="9710" ht="18" customHeight="1">
      <x:c r="A9710" t="str">
        <x:v>CA-2017-125990</x:v>
      </x:c>
      <x:c r="B9710" s="18" t="n">
        <x:v>43027</x:v>
      </x:c>
      <x:c r="C9710" t="str">
        <x:v>JS-16030</x:v>
      </x:c>
      <x:c r="D9710" t="str">
        <x:v>Joy Smith</x:v>
      </x:c>
      <x:c r="E9710" t="str">
        <x:v>Consumer</x:v>
      </x:c>
      <x:c r="F9710" t="str">
        <x:v>West</x:v>
      </x:c>
      <x:c r="G9710" t="str">
        <x:v>Office Supplies</x:v>
      </x:c>
      <x:c r="H9710" t="str">
        <x:v>Binders</x:v>
      </x:c>
      <x:c r="I9710" s="22" t="n">
        <x:v>39.62400000000001</x:v>
      </x:c>
      <x:c r="J9710" s="24" t="n">
        <x:v>3</x:v>
      </x:c>
      <x:c r="K9710" s="26" t="n">
        <x:v>0.2</x:v>
      </x:c>
      <x:c r="L9710" s="22" t="n">
        <x:v>13.868400000000001</x:v>
      </x:c>
      <x:c r="M9710" t="n">
        <x:v>2017</x:v>
      </x:c>
      <x:c r="N9710" s="20" t="n">
        <x:v>43009</x:v>
      </x:c>
    </x:row>
    <x:row r="9711" ht="18" customHeight="1">
      <x:c r="A9711" t="str">
        <x:v>CA-2016-161746</x:v>
      </x:c>
      <x:c r="B9711" s="18" t="n">
        <x:v>42664</x:v>
      </x:c>
      <x:c r="C9711" t="str">
        <x:v>CS-11950</x:v>
      </x:c>
      <x:c r="D9711" t="str">
        <x:v>Carlos Soltero</x:v>
      </x:c>
      <x:c r="E9711" t="str">
        <x:v>Consumer</x:v>
      </x:c>
      <x:c r="F9711" t="str">
        <x:v>West</x:v>
      </x:c>
      <x:c r="G9711" t="str">
        <x:v>Furniture</x:v>
      </x:c>
      <x:c r="H9711" t="str">
        <x:v>Chairs</x:v>
      </x:c>
      <x:c r="I9711" s="22" t="n">
        <x:v>242.13600000000002</x:v>
      </x:c>
      <x:c r="J9711" s="24" t="n">
        <x:v>3</x:v>
      </x:c>
      <x:c r="K9711" s="26" t="n">
        <x:v>0.2</x:v>
      </x:c>
      <x:c r="L9711" s="22" t="n">
        <x:v>12.106799999999993</x:v>
      </x:c>
      <x:c r="M9711" t="n">
        <x:v>2016</x:v>
      </x:c>
      <x:c r="N9711" s="20" t="n">
        <x:v>42644</x:v>
      </x:c>
    </x:row>
    <x:row r="9712" ht="18" customHeight="1">
      <x:c r="A9712" t="str">
        <x:v>CA-2016-161746</x:v>
      </x:c>
      <x:c r="B9712" s="18" t="n">
        <x:v>42664</x:v>
      </x:c>
      <x:c r="C9712" t="str">
        <x:v>CS-11950</x:v>
      </x:c>
      <x:c r="D9712" t="str">
        <x:v>Carlos Soltero</x:v>
      </x:c>
      <x:c r="E9712" t="str">
        <x:v>Consumer</x:v>
      </x:c>
      <x:c r="F9712" t="str">
        <x:v>West</x:v>
      </x:c>
      <x:c r="G9712" t="str">
        <x:v>Office Supplies</x:v>
      </x:c>
      <x:c r="H9712" t="str">
        <x:v>Art</x:v>
      </x:c>
      <x:c r="I9712" s="22" t="n">
        <x:v>12.39</x:v>
      </x:c>
      <x:c r="J9712" s="24" t="n">
        <x:v>3</x:v>
      </x:c>
      <x:c r="K9712" s="26" t="n">
        <x:v>0</x:v>
      </x:c>
      <x:c r="L9712" s="22" t="n">
        <x:v>5.6994</x:v>
      </x:c>
      <x:c r="M9712" t="n">
        <x:v>2016</x:v>
      </x:c>
      <x:c r="N9712" s="20" t="n">
        <x:v>42644</x:v>
      </x:c>
    </x:row>
    <x:row r="9713" ht="18" customHeight="1">
      <x:c r="A9713" t="str">
        <x:v>CA-2016-161746</x:v>
      </x:c>
      <x:c r="B9713" s="18" t="n">
        <x:v>42664</x:v>
      </x:c>
      <x:c r="C9713" t="str">
        <x:v>CS-11950</x:v>
      </x:c>
      <x:c r="D9713" t="str">
        <x:v>Carlos Soltero</x:v>
      </x:c>
      <x:c r="E9713" t="str">
        <x:v>Consumer</x:v>
      </x:c>
      <x:c r="F9713" t="str">
        <x:v>West</x:v>
      </x:c>
      <x:c r="G9713" t="str">
        <x:v>Furniture</x:v>
      </x:c>
      <x:c r="H9713" t="str">
        <x:v>Furnishings</x:v>
      </x:c>
      <x:c r="I9713" s="22" t="n">
        <x:v>19.96</x:v>
      </x:c>
      <x:c r="J9713" s="24" t="n">
        <x:v>2</x:v>
      </x:c>
      <x:c r="K9713" s="26" t="n">
        <x:v>0</x:v>
      </x:c>
      <x:c r="L9713" s="22" t="n">
        <x:v>5.588800000000001</x:v>
      </x:c>
      <x:c r="M9713" t="n">
        <x:v>2016</x:v>
      </x:c>
      <x:c r="N9713" s="20" t="n">
        <x:v>42644</x:v>
      </x:c>
    </x:row>
    <x:row r="9714" ht="18" customHeight="1">
      <x:c r="A9714" t="str">
        <x:v>CA-2016-161746</x:v>
      </x:c>
      <x:c r="B9714" s="18" t="n">
        <x:v>42664</x:v>
      </x:c>
      <x:c r="C9714" t="str">
        <x:v>CS-11950</x:v>
      </x:c>
      <x:c r="D9714" t="str">
        <x:v>Carlos Soltero</x:v>
      </x:c>
      <x:c r="E9714" t="str">
        <x:v>Consumer</x:v>
      </x:c>
      <x:c r="F9714" t="str">
        <x:v>West</x:v>
      </x:c>
      <x:c r="G9714" t="str">
        <x:v>Office Supplies</x:v>
      </x:c>
      <x:c r="H9714" t="str">
        <x:v>Storage</x:v>
      </x:c>
      <x:c r="I9714" s="22" t="n">
        <x:v>340.92</x:v>
      </x:c>
      <x:c r="J9714" s="24" t="n">
        <x:v>3</x:v>
      </x:c>
      <x:c r="K9714" s="26" t="n">
        <x:v>0</x:v>
      </x:c>
      <x:c r="L9714" s="22" t="n">
        <x:v>3.4091999999999842</x:v>
      </x:c>
      <x:c r="M9714" t="n">
        <x:v>2016</x:v>
      </x:c>
      <x:c r="N9714" s="20" t="n">
        <x:v>42644</x:v>
      </x:c>
    </x:row>
    <x:row r="9715" ht="18" customHeight="1">
      <x:c r="A9715" t="str">
        <x:v>CA-2014-114251</x:v>
      </x:c>
      <x:c r="B9715" s="18" t="n">
        <x:v>41948</x:v>
      </x:c>
      <x:c r="C9715" t="str">
        <x:v>MD-17350</x:v>
      </x:c>
      <x:c r="D9715" t="str">
        <x:v>Maribeth Dona</x:v>
      </x:c>
      <x:c r="E9715" t="str">
        <x:v>Consumer</x:v>
      </x:c>
      <x:c r="F9715" t="str">
        <x:v>East</x:v>
      </x:c>
      <x:c r="G9715" t="str">
        <x:v>Furniture</x:v>
      </x:c>
      <x:c r="H9715" t="str">
        <x:v>Furnishings</x:v>
      </x:c>
      <x:c r="I9715" s="22" t="n">
        <x:v>273.568</x:v>
      </x:c>
      <x:c r="J9715" s="24" t="n">
        <x:v>2</x:v>
      </x:c>
      <x:c r="K9715" s="26" t="n">
        <x:v>0.2</x:v>
      </x:c>
      <x:c r="L9715" s="22" t="n">
        <x:v>-34.196000000000026</x:v>
      </x:c>
      <x:c r="M9715" t="n">
        <x:v>2014</x:v>
      </x:c>
      <x:c r="N9715" s="20" t="n">
        <x:v>41944</x:v>
      </x:c>
    </x:row>
    <x:row r="9716" ht="18" customHeight="1">
      <x:c r="A9716" t="str">
        <x:v>CA-2014-114251</x:v>
      </x:c>
      <x:c r="B9716" s="18" t="n">
        <x:v>41948</x:v>
      </x:c>
      <x:c r="C9716" t="str">
        <x:v>MD-17350</x:v>
      </x:c>
      <x:c r="D9716" t="str">
        <x:v>Maribeth Dona</x:v>
      </x:c>
      <x:c r="E9716" t="str">
        <x:v>Consumer</x:v>
      </x:c>
      <x:c r="F9716" t="str">
        <x:v>East</x:v>
      </x:c>
      <x:c r="G9716" t="str">
        <x:v>Office Supplies</x:v>
      </x:c>
      <x:c r="H9716" t="str">
        <x:v>Binders</x:v>
      </x:c>
      <x:c r="I9716" s="22" t="n">
        <x:v>13.194</x:v>
      </x:c>
      <x:c r="J9716" s="24" t="n">
        <x:v>2</x:v>
      </x:c>
      <x:c r="K9716" s="26" t="n">
        <x:v>0.7</x:v>
      </x:c>
      <x:c r="L9716" s="22" t="n">
        <x:v>-8.795999999999996</x:v>
      </x:c>
      <x:c r="M9716" t="n">
        <x:v>2014</x:v>
      </x:c>
      <x:c r="N9716" s="20" t="n">
        <x:v>41944</x:v>
      </x:c>
    </x:row>
    <x:row r="9717" ht="18" customHeight="1">
      <x:c r="A9717" t="str">
        <x:v>CA-2014-114251</x:v>
      </x:c>
      <x:c r="B9717" s="18" t="n">
        <x:v>41948</x:v>
      </x:c>
      <x:c r="C9717" t="str">
        <x:v>MD-17350</x:v>
      </x:c>
      <x:c r="D9717" t="str">
        <x:v>Maribeth Dona</x:v>
      </x:c>
      <x:c r="E9717" t="str">
        <x:v>Consumer</x:v>
      </x:c>
      <x:c r="F9717" t="str">
        <x:v>East</x:v>
      </x:c>
      <x:c r="G9717" t="str">
        <x:v>Office Supplies</x:v>
      </x:c>
      <x:c r="H9717" t="str">
        <x:v>Storage</x:v>
      </x:c>
      <x:c r="I9717" s="22" t="n">
        <x:v>1080.096</x:v>
      </x:c>
      <x:c r="J9717" s="24" t="n">
        <x:v>6</x:v>
      </x:c>
      <x:c r="K9717" s="26" t="n">
        <x:v>0.2</x:v>
      </x:c>
      <x:c r="L9717" s="22" t="n">
        <x:v>-94.5084</x:v>
      </x:c>
      <x:c r="M9717" t="n">
        <x:v>2014</x:v>
      </x:c>
      <x:c r="N9717" s="20" t="n">
        <x:v>41944</x:v>
      </x:c>
    </x:row>
    <x:row r="9718" ht="18" customHeight="1">
      <x:c r="A9718" t="str">
        <x:v>CA-2014-114251</x:v>
      </x:c>
      <x:c r="B9718" s="18" t="n">
        <x:v>41948</x:v>
      </x:c>
      <x:c r="C9718" t="str">
        <x:v>MD-17350</x:v>
      </x:c>
      <x:c r="D9718" t="str">
        <x:v>Maribeth Dona</x:v>
      </x:c>
      <x:c r="E9718" t="str">
        <x:v>Consumer</x:v>
      </x:c>
      <x:c r="F9718" t="str">
        <x:v>East</x:v>
      </x:c>
      <x:c r="G9718" t="str">
        <x:v>Technology</x:v>
      </x:c>
      <x:c r="H9718" t="str">
        <x:v>Accessories</x:v>
      </x:c>
      <x:c r="I9718" s="22" t="n">
        <x:v>51.56</x:v>
      </x:c>
      <x:c r="J9718" s="24" t="n">
        <x:v>5</x:v>
      </x:c>
      <x:c r="K9718" s="26" t="n">
        <x:v>0.2</x:v>
      </x:c>
      <x:c r="L9718" s="22" t="n">
        <x:v>-6.445000000000002</x:v>
      </x:c>
      <x:c r="M9718" t="n">
        <x:v>2014</x:v>
      </x:c>
      <x:c r="N9718" s="20" t="n">
        <x:v>41944</x:v>
      </x:c>
    </x:row>
    <x:row r="9719" ht="18" customHeight="1">
      <x:c r="A9719" t="str">
        <x:v>CA-2014-114251</x:v>
      </x:c>
      <x:c r="B9719" s="18" t="n">
        <x:v>41948</x:v>
      </x:c>
      <x:c r="C9719" t="str">
        <x:v>MD-17350</x:v>
      </x:c>
      <x:c r="D9719" t="str">
        <x:v>Maribeth Dona</x:v>
      </x:c>
      <x:c r="E9719" t="str">
        <x:v>Consumer</x:v>
      </x:c>
      <x:c r="F9719" t="str">
        <x:v>East</x:v>
      </x:c>
      <x:c r="G9719" t="str">
        <x:v>Technology</x:v>
      </x:c>
      <x:c r="H9719" t="str">
        <x:v>Accessories</x:v>
      </x:c>
      <x:c r="I9719" s="22" t="n">
        <x:v>58.416</x:v>
      </x:c>
      <x:c r="J9719" s="24" t="n">
        <x:v>2</x:v>
      </x:c>
      <x:c r="K9719" s="26" t="n">
        <x:v>0.2</x:v>
      </x:c>
      <x:c r="L9719" s="22" t="n">
        <x:v>16.794600000000003</x:v>
      </x:c>
      <x:c r="M9719" t="n">
        <x:v>2014</x:v>
      </x:c>
      <x:c r="N9719" s="20" t="n">
        <x:v>41944</x:v>
      </x:c>
    </x:row>
    <x:row r="9720" ht="18" customHeight="1">
      <x:c r="A9720" t="str">
        <x:v>CA-2016-116379</x:v>
      </x:c>
      <x:c r="B9720" s="18" t="n">
        <x:v>42681</x:v>
      </x:c>
      <x:c r="C9720" t="str">
        <x:v>LD-17005</x:v>
      </x:c>
      <x:c r="D9720" t="str">
        <x:v>Lisa DeCherney</x:v>
      </x:c>
      <x:c r="E9720" t="str">
        <x:v>Consumer</x:v>
      </x:c>
      <x:c r="F9720" t="str">
        <x:v>West</x:v>
      </x:c>
      <x:c r="G9720" t="str">
        <x:v>Office Supplies</x:v>
      </x:c>
      <x:c r="H9720" t="str">
        <x:v>Binders</x:v>
      </x:c>
      <x:c r="I9720" s="22" t="n">
        <x:v>57.584</x:v>
      </x:c>
      <x:c r="J9720" s="24" t="n">
        <x:v>2</x:v>
      </x:c>
      <x:c r="K9720" s="26" t="n">
        <x:v>0.2</x:v>
      </x:c>
      <x:c r="L9720" s="22" t="n">
        <x:v>20.154400000000003</x:v>
      </x:c>
      <x:c r="M9720" t="n">
        <x:v>2016</x:v>
      </x:c>
      <x:c r="N9720" s="20" t="n">
        <x:v>42675</x:v>
      </x:c>
    </x:row>
    <x:row r="9721" ht="18" customHeight="1">
      <x:c r="A9721" t="str">
        <x:v>US-2016-144477</x:v>
      </x:c>
      <x:c r="B9721" s="18" t="n">
        <x:v>42594</x:v>
      </x:c>
      <x:c r="C9721" t="str">
        <x:v>DB-13270</x:v>
      </x:c>
      <x:c r="D9721" t="str">
        <x:v>Deborah Brumfield</x:v>
      </x:c>
      <x:c r="E9721" t="str">
        <x:v>Home Office</x:v>
      </x:c>
      <x:c r="F9721" t="str">
        <x:v>East</x:v>
      </x:c>
      <x:c r="G9721" t="str">
        <x:v>Office Supplies</x:v>
      </x:c>
      <x:c r="H9721" t="str">
        <x:v>Art</x:v>
      </x:c>
      <x:c r="I9721" s="22" t="n">
        <x:v>37.312000000000005</x:v>
      </x:c>
      <x:c r="J9721" s="24" t="n">
        <x:v>4</x:v>
      </x:c>
      <x:c r="K9721" s="26" t="n">
        <x:v>0.2</x:v>
      </x:c>
      <x:c r="L9721" s="22" t="n">
        <x:v>2.7984000000000027</x:v>
      </x:c>
      <x:c r="M9721" t="n">
        <x:v>2016</x:v>
      </x:c>
      <x:c r="N9721" s="20" t="n">
        <x:v>42583</x:v>
      </x:c>
    </x:row>
    <x:row r="9722" ht="18" customHeight="1">
      <x:c r="A9722" t="str">
        <x:v>CA-2016-108210</x:v>
      </x:c>
      <x:c r="B9722" s="18" t="n">
        <x:v>42520</x:v>
      </x:c>
      <x:c r="C9722" t="str">
        <x:v>AT-10735</x:v>
      </x:c>
      <x:c r="D9722" t="str">
        <x:v>Annie Thurman</x:v>
      </x:c>
      <x:c r="E9722" t="str">
        <x:v>Consumer</x:v>
      </x:c>
      <x:c r="F9722" t="str">
        <x:v>Central</x:v>
      </x:c>
      <x:c r="G9722" t="str">
        <x:v>Technology</x:v>
      </x:c>
      <x:c r="H9722" t="str">
        <x:v>Phones</x:v>
      </x:c>
      <x:c r="I9722" s="22" t="n">
        <x:v>79.96</x:v>
      </x:c>
      <x:c r="J9722" s="24" t="n">
        <x:v>5</x:v>
      </x:c>
      <x:c r="K9722" s="26" t="n">
        <x:v>0.2</x:v>
      </x:c>
      <x:c r="L9722" s="22" t="n">
        <x:v>7.996000000000006</x:v>
      </x:c>
      <x:c r="M9722" t="n">
        <x:v>2016</x:v>
      </x:c>
      <x:c r="N9722" s="20" t="n">
        <x:v>42491</x:v>
      </x:c>
    </x:row>
    <x:row r="9723" ht="18" customHeight="1">
      <x:c r="A9723" t="str">
        <x:v>CA-2016-108210</x:v>
      </x:c>
      <x:c r="B9723" s="18" t="n">
        <x:v>42520</x:v>
      </x:c>
      <x:c r="C9723" t="str">
        <x:v>AT-10735</x:v>
      </x:c>
      <x:c r="D9723" t="str">
        <x:v>Annie Thurman</x:v>
      </x:c>
      <x:c r="E9723" t="str">
        <x:v>Consumer</x:v>
      </x:c>
      <x:c r="F9723" t="str">
        <x:v>Central</x:v>
      </x:c>
      <x:c r="G9723" t="str">
        <x:v>Technology</x:v>
      </x:c>
      <x:c r="H9723" t="str">
        <x:v>Accessories</x:v>
      </x:c>
      <x:c r="I9723" s="22" t="n">
        <x:v>223.96</x:v>
      </x:c>
      <x:c r="J9723" s="24" t="n">
        <x:v>5</x:v>
      </x:c>
      <x:c r="K9723" s="26" t="n">
        <x:v>0.2</x:v>
      </x:c>
      <x:c r="L9723" s="22" t="n">
        <x:v>11.198000000000015</x:v>
      </x:c>
      <x:c r="M9723" t="n">
        <x:v>2016</x:v>
      </x:c>
      <x:c r="N9723" s="20" t="n">
        <x:v>42491</x:v>
      </x:c>
    </x:row>
    <x:row r="9724" ht="18" customHeight="1">
      <x:c r="A9724" t="str">
        <x:v>CA-2017-166835</x:v>
      </x:c>
      <x:c r="B9724" s="18" t="n">
        <x:v>43051</x:v>
      </x:c>
      <x:c r="C9724" t="str">
        <x:v>DK-13375</x:v>
      </x:c>
      <x:c r="D9724" t="str">
        <x:v>Dennis Kane</x:v>
      </x:c>
      <x:c r="E9724" t="str">
        <x:v>Consumer</x:v>
      </x:c>
      <x:c r="F9724" t="str">
        <x:v>East</x:v>
      </x:c>
      <x:c r="G9724" t="str">
        <x:v>Office Supplies</x:v>
      </x:c>
      <x:c r="H9724" t="str">
        <x:v>Storage</x:v>
      </x:c>
      <x:c r="I9724" s="22" t="n">
        <x:v>221.024</x:v>
      </x:c>
      <x:c r="J9724" s="24" t="n">
        <x:v>2</x:v>
      </x:c>
      <x:c r="K9724" s="26" t="n">
        <x:v>0.2</x:v>
      </x:c>
      <x:c r="L9724" s="22" t="n">
        <x:v>-55.256</x:v>
      </x:c>
      <x:c r="M9724" t="n">
        <x:v>2017</x:v>
      </x:c>
      <x:c r="N9724" s="20" t="n">
        <x:v>43040</x:v>
      </x:c>
    </x:row>
    <x:row r="9725" ht="18" customHeight="1">
      <x:c r="A9725" t="str">
        <x:v>CA-2016-119641</x:v>
      </x:c>
      <x:c r="B9725" s="18" t="n">
        <x:v>42635</x:v>
      </x:c>
      <x:c r="C9725" t="str">
        <x:v>CS-12250</x:v>
      </x:c>
      <x:c r="D9725" t="str">
        <x:v>Chris Selesnick</x:v>
      </x:c>
      <x:c r="E9725" t="str">
        <x:v>Corporate</x:v>
      </x:c>
      <x:c r="F9725" t="str">
        <x:v>Central</x:v>
      </x:c>
      <x:c r="G9725" t="str">
        <x:v>Furniture</x:v>
      </x:c>
      <x:c r="H9725" t="str">
        <x:v>Furnishings</x:v>
      </x:c>
      <x:c r="I9725" s="22" t="n">
        <x:v>18.96</x:v>
      </x:c>
      <x:c r="J9725" s="24" t="n">
        <x:v>2</x:v>
      </x:c>
      <x:c r="K9725" s="26" t="n">
        <x:v>0</x:v>
      </x:c>
      <x:c r="L9725" s="22" t="n">
        <x:v>7.584000000000001</x:v>
      </x:c>
      <x:c r="M9725" t="n">
        <x:v>2016</x:v>
      </x:c>
      <x:c r="N9725" s="20" t="n">
        <x:v>42614</x:v>
      </x:c>
    </x:row>
    <x:row r="9726" ht="18" customHeight="1">
      <x:c r="A9726" t="str">
        <x:v>CA-2016-105781</x:v>
      </x:c>
      <x:c r="B9726" s="18" t="n">
        <x:v>42416</x:v>
      </x:c>
      <x:c r="C9726" t="str">
        <x:v>JF-15565</x:v>
      </x:c>
      <x:c r="D9726" t="str">
        <x:v>Jill Fjeld</x:v>
      </x:c>
      <x:c r="E9726" t="str">
        <x:v>Consumer</x:v>
      </x:c>
      <x:c r="F9726" t="str">
        <x:v>East</x:v>
      </x:c>
      <x:c r="G9726" t="str">
        <x:v>Furniture</x:v>
      </x:c>
      <x:c r="H9726" t="str">
        <x:v>Chairs</x:v>
      </x:c>
      <x:c r="I9726" s="22" t="n">
        <x:v>326.646</x:v>
      </x:c>
      <x:c r="J9726" s="24" t="n">
        <x:v>3</x:v>
      </x:c>
      <x:c r="K9726" s="26" t="n">
        <x:v>0.1</x:v>
      </x:c>
      <x:c r="L9726" s="22" t="n">
        <x:v>39.923399999999994</x:v>
      </x:c>
      <x:c r="M9726" t="n">
        <x:v>2016</x:v>
      </x:c>
      <x:c r="N9726" s="20" t="n">
        <x:v>42401</x:v>
      </x:c>
    </x:row>
    <x:row r="9727" ht="18" customHeight="1">
      <x:c r="A9727" t="str">
        <x:v>CA-2016-105781</x:v>
      </x:c>
      <x:c r="B9727" s="18" t="n">
        <x:v>42416</x:v>
      </x:c>
      <x:c r="C9727" t="str">
        <x:v>JF-15565</x:v>
      </x:c>
      <x:c r="D9727" t="str">
        <x:v>Jill Fjeld</x:v>
      </x:c>
      <x:c r="E9727" t="str">
        <x:v>Consumer</x:v>
      </x:c>
      <x:c r="F9727" t="str">
        <x:v>East</x:v>
      </x:c>
      <x:c r="G9727" t="str">
        <x:v>Technology</x:v>
      </x:c>
      <x:c r="H9727" t="str">
        <x:v>Accessories</x:v>
      </x:c>
      <x:c r="I9727" s="22" t="n">
        <x:v>89.97</x:v>
      </x:c>
      <x:c r="J9727" s="24" t="n">
        <x:v>3</x:v>
      </x:c>
      <x:c r="K9727" s="26" t="n">
        <x:v>0</x:v>
      </x:c>
      <x:c r="L9727" s="22" t="n">
        <x:v>39.58680000000001</x:v>
      </x:c>
      <x:c r="M9727" t="n">
        <x:v>2016</x:v>
      </x:c>
      <x:c r="N9727" s="20" t="n">
        <x:v>42401</x:v>
      </x:c>
    </x:row>
    <x:row r="9728" ht="18" customHeight="1">
      <x:c r="A9728" t="str">
        <x:v>CA-2014-101364</x:v>
      </x:c>
      <x:c r="B9728" s="18" t="n">
        <x:v>41995</x:v>
      </x:c>
      <x:c r="C9728" t="str">
        <x:v>TW-21025</x:v>
      </x:c>
      <x:c r="D9728" t="str">
        <x:v>Tamara Willingham</x:v>
      </x:c>
      <x:c r="E9728" t="str">
        <x:v>Home Office</x:v>
      </x:c>
      <x:c r="F9728" t="str">
        <x:v>East</x:v>
      </x:c>
      <x:c r="G9728" t="str">
        <x:v>Office Supplies</x:v>
      </x:c>
      <x:c r="H9728" t="str">
        <x:v>Binders</x:v>
      </x:c>
      <x:c r="I9728" s="22" t="n">
        <x:v>296.71200000000005</x:v>
      </x:c>
      <x:c r="J9728" s="24" t="n">
        <x:v>13</x:v>
      </x:c>
      <x:c r="K9728" s="26" t="n">
        <x:v>0.2</x:v>
      </x:c>
      <x:c r="L9728" s="22" t="n">
        <x:v>100.14029999999998</x:v>
      </x:c>
      <x:c r="M9728" t="n">
        <x:v>2014</x:v>
      </x:c>
      <x:c r="N9728" s="20" t="n">
        <x:v>41974</x:v>
      </x:c>
    </x:row>
    <x:row r="9729" ht="18" customHeight="1">
      <x:c r="A9729" t="str">
        <x:v>CA-2015-117898</x:v>
      </x:c>
      <x:c r="B9729" s="18" t="n">
        <x:v>42343</x:v>
      </x:c>
      <x:c r="C9729" t="str">
        <x:v>TB-21250</x:v>
      </x:c>
      <x:c r="D9729" t="str">
        <x:v>Tim Brockman</x:v>
      </x:c>
      <x:c r="E9729" t="str">
        <x:v>Consumer</x:v>
      </x:c>
      <x:c r="F9729" t="str">
        <x:v>Central</x:v>
      </x:c>
      <x:c r="G9729" t="str">
        <x:v>Office Supplies</x:v>
      </x:c>
      <x:c r="H9729" t="str">
        <x:v>Envelopes</x:v>
      </x:c>
      <x:c r="I9729" s="22" t="n">
        <x:v>12.224</x:v>
      </x:c>
      <x:c r="J9729" s="24" t="n">
        <x:v>2</x:v>
      </x:c>
      <x:c r="K9729" s="26" t="n">
        <x:v>0.2</x:v>
      </x:c>
      <x:c r="L9729" s="22" t="n">
        <x:v>4.4312</x:v>
      </x:c>
      <x:c r="M9729" t="n">
        <x:v>2015</x:v>
      </x:c>
      <x:c r="N9729" s="20" t="n">
        <x:v>42339</x:v>
      </x:c>
    </x:row>
    <x:row r="9730" ht="18" customHeight="1">
      <x:c r="A9730" t="str">
        <x:v>CA-2017-142293</x:v>
      </x:c>
      <x:c r="B9730" s="18" t="n">
        <x:v>42995</x:v>
      </x:c>
      <x:c r="C9730" t="str">
        <x:v>SC-20380</x:v>
      </x:c>
      <x:c r="D9730" t="str">
        <x:v>Shahid Collister</x:v>
      </x:c>
      <x:c r="E9730" t="str">
        <x:v>Consumer</x:v>
      </x:c>
      <x:c r="F9730" t="str">
        <x:v>West</x:v>
      </x:c>
      <x:c r="G9730" t="str">
        <x:v>Technology</x:v>
      </x:c>
      <x:c r="H9730" t="str">
        <x:v>Accessories</x:v>
      </x:c>
      <x:c r="I9730" s="22" t="n">
        <x:v>89.97</x:v>
      </x:c>
      <x:c r="J9730" s="24" t="n">
        <x:v>3</x:v>
      </x:c>
      <x:c r="K9730" s="26" t="n">
        <x:v>0</x:v>
      </x:c>
      <x:c r="L9730" s="22" t="n">
        <x:v>37.787400000000005</x:v>
      </x:c>
      <x:c r="M9730" t="n">
        <x:v>2017</x:v>
      </x:c>
      <x:c r="N9730" s="20" t="n">
        <x:v>42979</x:v>
      </x:c>
    </x:row>
    <x:row r="9731" ht="18" customHeight="1">
      <x:c r="A9731" t="str">
        <x:v>CA-2017-167395</x:v>
      </x:c>
      <x:c r="B9731" s="18" t="n">
        <x:v>43071</x:v>
      </x:c>
      <x:c r="C9731" t="str">
        <x:v>KM-16720</x:v>
      </x:c>
      <x:c r="D9731" t="str">
        <x:v>Kunst Miller</x:v>
      </x:c>
      <x:c r="E9731" t="str">
        <x:v>Consumer</x:v>
      </x:c>
      <x:c r="F9731" t="str">
        <x:v>East</x:v>
      </x:c>
      <x:c r="G9731" t="str">
        <x:v>Office Supplies</x:v>
      </x:c>
      <x:c r="H9731" t="str">
        <x:v>Appliances</x:v>
      </x:c>
      <x:c r="I9731" s="22" t="n">
        <x:v>286.85999999999996</x:v>
      </x:c>
      <x:c r="J9731" s="24" t="n">
        <x:v>7</x:v>
      </x:c>
      <x:c r="K9731" s="26" t="n">
        <x:v>0</x:v>
      </x:c>
      <x:c r="L9731" s="22" t="n">
        <x:v>80.32079999999999</x:v>
      </x:c>
      <x:c r="M9731" t="n">
        <x:v>2017</x:v>
      </x:c>
      <x:c r="N9731" s="20" t="n">
        <x:v>43070</x:v>
      </x:c>
    </x:row>
    <x:row r="9732" ht="18" customHeight="1">
      <x:c r="A9732" t="str">
        <x:v>CA-2017-167395</x:v>
      </x:c>
      <x:c r="B9732" s="18" t="n">
        <x:v>43071</x:v>
      </x:c>
      <x:c r="C9732" t="str">
        <x:v>KM-16720</x:v>
      </x:c>
      <x:c r="D9732" t="str">
        <x:v>Kunst Miller</x:v>
      </x:c>
      <x:c r="E9732" t="str">
        <x:v>Consumer</x:v>
      </x:c>
      <x:c r="F9732" t="str">
        <x:v>East</x:v>
      </x:c>
      <x:c r="G9732" t="str">
        <x:v>Technology</x:v>
      </x:c>
      <x:c r="H9732" t="str">
        <x:v>Phones</x:v>
      </x:c>
      <x:c r="I9732" s="22" t="n">
        <x:v>979.95</x:v>
      </x:c>
      <x:c r="J9732" s="24" t="n">
        <x:v>5</x:v>
      </x:c>
      <x:c r="K9732" s="26" t="n">
        <x:v>0</x:v>
      </x:c>
      <x:c r="L9732" s="22" t="n">
        <x:v>284.18549999999993</x:v>
      </x:c>
      <x:c r="M9732" t="n">
        <x:v>2017</x:v>
      </x:c>
      <x:c r="N9732" s="20" t="n">
        <x:v>43070</x:v>
      </x:c>
    </x:row>
    <x:row r="9733" ht="18" customHeight="1">
      <x:c r="A9733" t="str">
        <x:v>CA-2017-167395</x:v>
      </x:c>
      <x:c r="B9733" s="18" t="n">
        <x:v>43071</x:v>
      </x:c>
      <x:c r="C9733" t="str">
        <x:v>KM-16720</x:v>
      </x:c>
      <x:c r="D9733" t="str">
        <x:v>Kunst Miller</x:v>
      </x:c>
      <x:c r="E9733" t="str">
        <x:v>Consumer</x:v>
      </x:c>
      <x:c r="F9733" t="str">
        <x:v>East</x:v>
      </x:c>
      <x:c r="G9733" t="str">
        <x:v>Office Supplies</x:v>
      </x:c>
      <x:c r="H9733" t="str">
        <x:v>Supplies</x:v>
      </x:c>
      <x:c r="I9733" s="22" t="n">
        <x:v>4.36</x:v>
      </x:c>
      <x:c r="J9733" s="24" t="n">
        <x:v>2</x:v>
      </x:c>
      <x:c r="K9733" s="26" t="n">
        <x:v>0</x:v>
      </x:c>
      <x:c r="L9733" s="22" t="n">
        <x:v>0.17439999999999944</x:v>
      </x:c>
      <x:c r="M9733" t="n">
        <x:v>2017</x:v>
      </x:c>
      <x:c r="N9733" s="20" t="n">
        <x:v>43070</x:v>
      </x:c>
    </x:row>
    <x:row r="9734" ht="18" customHeight="1">
      <x:c r="A9734" t="str">
        <x:v>CA-2014-111962</x:v>
      </x:c>
      <x:c r="B9734" s="18" t="n">
        <x:v>41911</x:v>
      </x:c>
      <x:c r="C9734" t="str">
        <x:v>EB-14170</x:v>
      </x:c>
      <x:c r="D9734" t="str">
        <x:v>Evan Bailliet</x:v>
      </x:c>
      <x:c r="E9734" t="str">
        <x:v>Consumer</x:v>
      </x:c>
      <x:c r="F9734" t="str">
        <x:v>West</x:v>
      </x:c>
      <x:c r="G9734" t="str">
        <x:v>Office Supplies</x:v>
      </x:c>
      <x:c r="H9734" t="str">
        <x:v>Binders</x:v>
      </x:c>
      <x:c r="I9734" s="22" t="n">
        <x:v>10.048000000000002</x:v>
      </x:c>
      <x:c r="J9734" s="24" t="n">
        <x:v>2</x:v>
      </x:c>
      <x:c r="K9734" s="26" t="n">
        <x:v>0.2</x:v>
      </x:c>
      <x:c r="L9734" s="22" t="n">
        <x:v>3.139999999999999</x:v>
      </x:c>
      <x:c r="M9734" t="n">
        <x:v>2014</x:v>
      </x:c>
      <x:c r="N9734" s="20" t="n">
        <x:v>41883</x:v>
      </x:c>
    </x:row>
    <x:row r="9735" ht="18" customHeight="1">
      <x:c r="A9735" t="str">
        <x:v>CA-2014-111962</x:v>
      </x:c>
      <x:c r="B9735" s="18" t="n">
        <x:v>41911</x:v>
      </x:c>
      <x:c r="C9735" t="str">
        <x:v>EB-14170</x:v>
      </x:c>
      <x:c r="D9735" t="str">
        <x:v>Evan Bailliet</x:v>
      </x:c>
      <x:c r="E9735" t="str">
        <x:v>Consumer</x:v>
      </x:c>
      <x:c r="F9735" t="str">
        <x:v>West</x:v>
      </x:c>
      <x:c r="G9735" t="str">
        <x:v>Office Supplies</x:v>
      </x:c>
      <x:c r="H9735" t="str">
        <x:v>Storage</x:v>
      </x:c>
      <x:c r="I9735" s="22" t="n">
        <x:v>807.75</x:v>
      </x:c>
      <x:c r="J9735" s="24" t="n">
        <x:v>5</x:v>
      </x:c>
      <x:c r="K9735" s="26" t="n">
        <x:v>0</x:v>
      </x:c>
      <x:c r="L9735" s="22" t="n">
        <x:v>153.47250000000003</x:v>
      </x:c>
      <x:c r="M9735" t="n">
        <x:v>2014</x:v>
      </x:c>
      <x:c r="N9735" s="20" t="n">
        <x:v>41883</x:v>
      </x:c>
    </x:row>
    <x:row r="9736" ht="18" customHeight="1">
      <x:c r="A9736" t="str">
        <x:v>CA-2017-124261</x:v>
      </x:c>
      <x:c r="B9736" s="18" t="n">
        <x:v>43053</x:v>
      </x:c>
      <x:c r="C9736" t="str">
        <x:v>JE-15715</x:v>
      </x:c>
      <x:c r="D9736" t="str">
        <x:v>Joe Elijah</x:v>
      </x:c>
      <x:c r="E9736" t="str">
        <x:v>Consumer</x:v>
      </x:c>
      <x:c r="F9736" t="str">
        <x:v>West</x:v>
      </x:c>
      <x:c r="G9736" t="str">
        <x:v>Office Supplies</x:v>
      </x:c>
      <x:c r="H9736" t="str">
        <x:v>Art</x:v>
      </x:c>
      <x:c r="I9736" s="22" t="n">
        <x:v>34.24</x:v>
      </x:c>
      <x:c r="J9736" s="24" t="n">
        <x:v>8</x:v>
      </x:c>
      <x:c r="K9736" s="26" t="n">
        <x:v>0</x:v>
      </x:c>
      <x:c r="L9736" s="22" t="n">
        <x:v>9.929599999999997</x:v>
      </x:c>
      <x:c r="M9736" t="n">
        <x:v>2017</x:v>
      </x:c>
      <x:c r="N9736" s="20" t="n">
        <x:v>43040</x:v>
      </x:c>
    </x:row>
    <x:row r="9737" ht="18" customHeight="1">
      <x:c r="A9737" t="str">
        <x:v>CA-2014-114321</x:v>
      </x:c>
      <x:c r="B9737" s="18" t="n">
        <x:v>41871</x:v>
      </x:c>
      <x:c r="C9737" t="str">
        <x:v>NC-18535</x:v>
      </x:c>
      <x:c r="D9737" t="str">
        <x:v>Nick Crebassa</x:v>
      </x:c>
      <x:c r="E9737" t="str">
        <x:v>Corporate</x:v>
      </x:c>
      <x:c r="F9737" t="str">
        <x:v>South</x:v>
      </x:c>
      <x:c r="G9737" t="str">
        <x:v>Furniture</x:v>
      </x:c>
      <x:c r="H9737" t="str">
        <x:v>Chairs</x:v>
      </x:c>
      <x:c r="I9737" s="22" t="n">
        <x:v>500.23999999999995</x:v>
      </x:c>
      <x:c r="J9737" s="24" t="n">
        <x:v>13</x:v>
      </x:c>
      <x:c r="K9737" s="26" t="n">
        <x:v>0</x:v>
      </x:c>
      <x:c r="L9737" s="22" t="n">
        <x:v>145.06959999999992</x:v>
      </x:c>
      <x:c r="M9737" t="n">
        <x:v>2014</x:v>
      </x:c>
      <x:c r="N9737" s="20" t="n">
        <x:v>41852</x:v>
      </x:c>
    </x:row>
    <x:row r="9738" ht="18" customHeight="1">
      <x:c r="A9738" t="str">
        <x:v>CA-2014-114321</x:v>
      </x:c>
      <x:c r="B9738" s="18" t="n">
        <x:v>41871</x:v>
      </x:c>
      <x:c r="C9738" t="str">
        <x:v>NC-18535</x:v>
      </x:c>
      <x:c r="D9738" t="str">
        <x:v>Nick Crebassa</x:v>
      </x:c>
      <x:c r="E9738" t="str">
        <x:v>Corporate</x:v>
      </x:c>
      <x:c r="F9738" t="str">
        <x:v>South</x:v>
      </x:c>
      <x:c r="G9738" t="str">
        <x:v>Office Supplies</x:v>
      </x:c>
      <x:c r="H9738" t="str">
        <x:v>Paper</x:v>
      </x:c>
      <x:c r="I9738" s="22" t="n">
        <x:v>20.12</x:v>
      </x:c>
      <x:c r="J9738" s="24" t="n">
        <x:v>2</x:v>
      </x:c>
      <x:c r="K9738" s="26" t="n">
        <x:v>0</x:v>
      </x:c>
      <x:c r="L9738" s="22" t="n">
        <x:v>9.2552</x:v>
      </x:c>
      <x:c r="M9738" t="n">
        <x:v>2014</x:v>
      </x:c>
      <x:c r="N9738" s="20" t="n">
        <x:v>41852</x:v>
      </x:c>
    </x:row>
    <x:row r="9739" ht="18" customHeight="1">
      <x:c r="A9739" t="str">
        <x:v>CA-2014-114321</x:v>
      </x:c>
      <x:c r="B9739" s="18" t="n">
        <x:v>41871</x:v>
      </x:c>
      <x:c r="C9739" t="str">
        <x:v>NC-18535</x:v>
      </x:c>
      <x:c r="D9739" t="str">
        <x:v>Nick Crebassa</x:v>
      </x:c>
      <x:c r="E9739" t="str">
        <x:v>Corporate</x:v>
      </x:c>
      <x:c r="F9739" t="str">
        <x:v>South</x:v>
      </x:c>
      <x:c r="G9739" t="str">
        <x:v>Office Supplies</x:v>
      </x:c>
      <x:c r="H9739" t="str">
        <x:v>Binders</x:v>
      </x:c>
      <x:c r="I9739" s="22" t="n">
        <x:v>896.99</x:v>
      </x:c>
      <x:c r="J9739" s="24" t="n">
        <x:v>1</x:v>
      </x:c>
      <x:c r="K9739" s="26" t="n">
        <x:v>0</x:v>
      </x:c>
      <x:c r="L9739" s="22" t="n">
        <x:v>421.58529999999996</x:v>
      </x:c>
      <x:c r="M9739" t="n">
        <x:v>2014</x:v>
      </x:c>
      <x:c r="N9739" s="20" t="n">
        <x:v>41852</x:v>
      </x:c>
    </x:row>
    <x:row r="9740" ht="18" customHeight="1">
      <x:c r="A9740" t="str">
        <x:v>CA-2014-128062</x:v>
      </x:c>
      <x:c r="B9740" s="18" t="n">
        <x:v>41962</x:v>
      </x:c>
      <x:c r="C9740" t="str">
        <x:v>AD-10180</x:v>
      </x:c>
      <x:c r="D9740" t="str">
        <x:v>Alan Dominguez</x:v>
      </x:c>
      <x:c r="E9740" t="str">
        <x:v>Home Office</x:v>
      </x:c>
      <x:c r="F9740" t="str">
        <x:v>East</x:v>
      </x:c>
      <x:c r="G9740" t="str">
        <x:v>Office Supplies</x:v>
      </x:c>
      <x:c r="H9740" t="str">
        <x:v>Paper</x:v>
      </x:c>
      <x:c r="I9740" s="22" t="n">
        <x:v>5.88</x:v>
      </x:c>
      <x:c r="J9740" s="24" t="n">
        <x:v>1</x:v>
      </x:c>
      <x:c r="K9740" s="26" t="n">
        <x:v>0.2</x:v>
      </x:c>
      <x:c r="L9740" s="22" t="n">
        <x:v>1.9844999999999995</x:v>
      </x:c>
      <x:c r="M9740" t="n">
        <x:v>2014</x:v>
      </x:c>
      <x:c r="N9740" s="20" t="n">
        <x:v>41944</x:v>
      </x:c>
    </x:row>
    <x:row r="9741" ht="18" customHeight="1">
      <x:c r="A9741" t="str">
        <x:v>US-2015-100069</x:v>
      </x:c>
      <x:c r="B9741" s="18" t="n">
        <x:v>42184</x:v>
      </x:c>
      <x:c r="C9741" t="str">
        <x:v>NF-18475</x:v>
      </x:c>
      <x:c r="D9741" t="str">
        <x:v>Neil Französisch</x:v>
      </x:c>
      <x:c r="E9741" t="str">
        <x:v>Home Office</x:v>
      </x:c>
      <x:c r="F9741" t="str">
        <x:v>Central</x:v>
      </x:c>
      <x:c r="G9741" t="str">
        <x:v>Technology</x:v>
      </x:c>
      <x:c r="H9741" t="str">
        <x:v>Phones</x:v>
      </x:c>
      <x:c r="I9741" s="22" t="n">
        <x:v>269.98</x:v>
      </x:c>
      <x:c r="J9741" s="24" t="n">
        <x:v>2</x:v>
      </x:c>
      <x:c r="K9741" s="26" t="n">
        <x:v>0</x:v>
      </x:c>
      <x:c r="L9741" s="22" t="n">
        <x:v>72.8946</x:v>
      </x:c>
      <x:c r="M9741" t="n">
        <x:v>2015</x:v>
      </x:c>
      <x:c r="N9741" s="20" t="n">
        <x:v>42156</x:v>
      </x:c>
    </x:row>
    <x:row r="9742" ht="18" customHeight="1">
      <x:c r="A9742" t="str">
        <x:v>CA-2017-129294</x:v>
      </x:c>
      <x:c r="B9742" s="18" t="n">
        <x:v>42810</x:v>
      </x:c>
      <x:c r="C9742" t="str">
        <x:v>KD-16615</x:v>
      </x:c>
      <x:c r="D9742" t="str">
        <x:v>Ken Dana</x:v>
      </x:c>
      <x:c r="E9742" t="str">
        <x:v>Corporate</x:v>
      </x:c>
      <x:c r="F9742" t="str">
        <x:v>West</x:v>
      </x:c>
      <x:c r="G9742" t="str">
        <x:v>Office Supplies</x:v>
      </x:c>
      <x:c r="H9742" t="str">
        <x:v>Storage</x:v>
      </x:c>
      <x:c r="I9742" s="22" t="n">
        <x:v>310.12</x:v>
      </x:c>
      <x:c r="J9742" s="24" t="n">
        <x:v>2</x:v>
      </x:c>
      <x:c r="K9742" s="26" t="n">
        <x:v>0</x:v>
      </x:c>
      <x:c r="L9742" s="22" t="n">
        <x:v>80.6312</x:v>
      </x:c>
      <x:c r="M9742" t="n">
        <x:v>2017</x:v>
      </x:c>
      <x:c r="N9742" s="20" t="n">
        <x:v>42795</x:v>
      </x:c>
    </x:row>
    <x:row r="9743" ht="18" customHeight="1">
      <x:c r="A9743" t="str">
        <x:v>CA-2017-129294</x:v>
      </x:c>
      <x:c r="B9743" s="18" t="n">
        <x:v>42810</x:v>
      </x:c>
      <x:c r="C9743" t="str">
        <x:v>KD-16615</x:v>
      </x:c>
      <x:c r="D9743" t="str">
        <x:v>Ken Dana</x:v>
      </x:c>
      <x:c r="E9743" t="str">
        <x:v>Corporate</x:v>
      </x:c>
      <x:c r="F9743" t="str">
        <x:v>West</x:v>
      </x:c>
      <x:c r="G9743" t="str">
        <x:v>Office Supplies</x:v>
      </x:c>
      <x:c r="H9743" t="str">
        <x:v>Binders</x:v>
      </x:c>
      <x:c r="I9743" s="22" t="n">
        <x:v>70.464</x:v>
      </x:c>
      <x:c r="J9743" s="24" t="n">
        <x:v>6</x:v>
      </x:c>
      <x:c r="K9743" s="26" t="n">
        <x:v>0.2</x:v>
      </x:c>
      <x:c r="L9743" s="22" t="n">
        <x:v>22.900799999999997</x:v>
      </x:c>
      <x:c r="M9743" t="n">
        <x:v>2017</x:v>
      </x:c>
      <x:c r="N9743" s="20" t="n">
        <x:v>42795</x:v>
      </x:c>
    </x:row>
    <x:row r="9744" ht="18" customHeight="1">
      <x:c r="A9744" t="str">
        <x:v>CA-2017-129294</x:v>
      </x:c>
      <x:c r="B9744" s="18" t="n">
        <x:v>42810</x:v>
      </x:c>
      <x:c r="C9744" t="str">
        <x:v>KD-16615</x:v>
      </x:c>
      <x:c r="D9744" t="str">
        <x:v>Ken Dana</x:v>
      </x:c>
      <x:c r="E9744" t="str">
        <x:v>Corporate</x:v>
      </x:c>
      <x:c r="F9744" t="str">
        <x:v>West</x:v>
      </x:c>
      <x:c r="G9744" t="str">
        <x:v>Office Supplies</x:v>
      </x:c>
      <x:c r="H9744" t="str">
        <x:v>Binders</x:v>
      </x:c>
      <x:c r="I9744" s="22" t="n">
        <x:v>19.68</x:v>
      </x:c>
      <x:c r="J9744" s="24" t="n">
        <x:v>5</x:v>
      </x:c>
      <x:c r="K9744" s="26" t="n">
        <x:v>0.2</x:v>
      </x:c>
      <x:c r="L9744" s="22" t="n">
        <x:v>6.887999999999998</x:v>
      </x:c>
      <x:c r="M9744" t="n">
        <x:v>2017</x:v>
      </x:c>
      <x:c r="N9744" s="20" t="n">
        <x:v>42795</x:v>
      </x:c>
    </x:row>
    <x:row r="9745" ht="18" customHeight="1">
      <x:c r="A9745" t="str">
        <x:v>CA-2017-129294</x:v>
      </x:c>
      <x:c r="B9745" s="18" t="n">
        <x:v>42810</x:v>
      </x:c>
      <x:c r="C9745" t="str">
        <x:v>KD-16615</x:v>
      </x:c>
      <x:c r="D9745" t="str">
        <x:v>Ken Dana</x:v>
      </x:c>
      <x:c r="E9745" t="str">
        <x:v>Corporate</x:v>
      </x:c>
      <x:c r="F9745" t="str">
        <x:v>West</x:v>
      </x:c>
      <x:c r="G9745" t="str">
        <x:v>Office Supplies</x:v>
      </x:c>
      <x:c r="H9745" t="str">
        <x:v>Appliances</x:v>
      </x:c>
      <x:c r="I9745" s="22" t="n">
        <x:v>140.67000000000002</x:v>
      </x:c>
      <x:c r="J9745" s="24" t="n">
        <x:v>3</x:v>
      </x:c>
      <x:c r="K9745" s="26" t="n">
        <x:v>0</x:v>
      </x:c>
      <x:c r="L9745" s="22" t="n">
        <x:v>54.86130000000001</x:v>
      </x:c>
      <x:c r="M9745" t="n">
        <x:v>2017</x:v>
      </x:c>
      <x:c r="N9745" s="20" t="n">
        <x:v>42795</x:v>
      </x:c>
    </x:row>
    <x:row r="9746" ht="18" customHeight="1">
      <x:c r="A9746" t="str">
        <x:v>CA-2015-117086</x:v>
      </x:c>
      <x:c r="B9746" s="18" t="n">
        <x:v>42316</x:v>
      </x:c>
      <x:c r="C9746" t="str">
        <x:v>QJ-19255</x:v>
      </x:c>
      <x:c r="D9746" t="str">
        <x:v>Quincy Jones</x:v>
      </x:c>
      <x:c r="E9746" t="str">
        <x:v>Corporate</x:v>
      </x:c>
      <x:c r="F9746" t="str">
        <x:v>East</x:v>
      </x:c>
      <x:c r="G9746" t="str">
        <x:v>Furniture</x:v>
      </x:c>
      <x:c r="H9746" t="str">
        <x:v>Bookcases</x:v>
      </x:c>
      <x:c r="I9746" s="22" t="n">
        <x:v>4404.9</x:v>
      </x:c>
      <x:c r="J9746" s="24" t="n">
        <x:v>5</x:v>
      </x:c>
      <x:c r="K9746" s="26" t="n">
        <x:v>0</x:v>
      </x:c>
      <x:c r="L9746" s="22" t="n">
        <x:v>1013.1270000000001</x:v>
      </x:c>
      <x:c r="M9746" t="n">
        <x:v>2015</x:v>
      </x:c>
      <x:c r="N9746" s="20" t="n">
        <x:v>42309</x:v>
      </x:c>
    </x:row>
    <x:row r="9747" ht="18" customHeight="1">
      <x:c r="A9747" t="str">
        <x:v>CA-2017-131303</x:v>
      </x:c>
      <x:c r="B9747" s="18" t="n">
        <x:v>43067</x:v>
      </x:c>
      <x:c r="C9747" t="str">
        <x:v>EP-13915</x:v>
      </x:c>
      <x:c r="D9747" t="str">
        <x:v>Emily Phan</x:v>
      </x:c>
      <x:c r="E9747" t="str">
        <x:v>Consumer</x:v>
      </x:c>
      <x:c r="F9747" t="str">
        <x:v>West</x:v>
      </x:c>
      <x:c r="G9747" t="str">
        <x:v>Office Supplies</x:v>
      </x:c>
      <x:c r="H9747" t="str">
        <x:v>Labels</x:v>
      </x:c>
      <x:c r="I9747" s="22" t="n">
        <x:v>62.65</x:v>
      </x:c>
      <x:c r="J9747" s="24" t="n">
        <x:v>5</x:v>
      </x:c>
      <x:c r="K9747" s="26" t="n">
        <x:v>0</x:v>
      </x:c>
      <x:c r="L9747" s="22" t="n">
        <x:v>29.445499999999996</x:v>
      </x:c>
      <x:c r="M9747" t="n">
        <x:v>2017</x:v>
      </x:c>
      <x:c r="N9747" s="20" t="n">
        <x:v>43040</x:v>
      </x:c>
    </x:row>
    <x:row r="9748" ht="18" customHeight="1">
      <x:c r="A9748" t="str">
        <x:v>CA-2016-137127</x:v>
      </x:c>
      <x:c r="B9748" s="18" t="n">
        <x:v>42537</x:v>
      </x:c>
      <x:c r="C9748" t="str">
        <x:v>JJ-15445</x:v>
      </x:c>
      <x:c r="D9748" t="str">
        <x:v>Jennifer Jackson</x:v>
      </x:c>
      <x:c r="E9748" t="str">
        <x:v>Consumer</x:v>
      </x:c>
      <x:c r="F9748" t="str">
        <x:v>East</x:v>
      </x:c>
      <x:c r="G9748" t="str">
        <x:v>Office Supplies</x:v>
      </x:c>
      <x:c r="H9748" t="str">
        <x:v>Labels</x:v>
      </x:c>
      <x:c r="I9748" s="22" t="n">
        <x:v>9.45</x:v>
      </x:c>
      <x:c r="J9748" s="24" t="n">
        <x:v>3</x:v>
      </x:c>
      <x:c r="K9748" s="26" t="n">
        <x:v>0</x:v>
      </x:c>
      <x:c r="L9748" s="22" t="n">
        <x:v>4.536</x:v>
      </x:c>
      <x:c r="M9748" t="n">
        <x:v>2016</x:v>
      </x:c>
      <x:c r="N9748" s="20" t="n">
        <x:v>42522</x:v>
      </x:c>
    </x:row>
    <x:row r="9749" ht="18" customHeight="1">
      <x:c r="A9749" t="str">
        <x:v>CA-2017-141782</x:v>
      </x:c>
      <x:c r="B9749" s="18" t="n">
        <x:v>42756</x:v>
      </x:c>
      <x:c r="C9749" t="str">
        <x:v>BE-11410</x:v>
      </x:c>
      <x:c r="D9749" t="str">
        <x:v>Bobby Elias</x:v>
      </x:c>
      <x:c r="E9749" t="str">
        <x:v>Consumer</x:v>
      </x:c>
      <x:c r="F9749" t="str">
        <x:v>Central</x:v>
      </x:c>
      <x:c r="G9749" t="str">
        <x:v>Office Supplies</x:v>
      </x:c>
      <x:c r="H9749" t="str">
        <x:v>Envelopes</x:v>
      </x:c>
      <x:c r="I9749" s="22" t="n">
        <x:v>268.576</x:v>
      </x:c>
      <x:c r="J9749" s="24" t="n">
        <x:v>4</x:v>
      </x:c>
      <x:c r="K9749" s="26" t="n">
        <x:v>0.2</x:v>
      </x:c>
      <x:c r="L9749" s="22" t="n">
        <x:v>90.64439999999999</x:v>
      </x:c>
      <x:c r="M9749" t="n">
        <x:v>2017</x:v>
      </x:c>
      <x:c r="N9749" s="20" t="n">
        <x:v>42736</x:v>
      </x:c>
    </x:row>
    <x:row r="9750" ht="18" customHeight="1">
      <x:c r="A9750" t="str">
        <x:v>CA-2017-137505</x:v>
      </x:c>
      <x:c r="B9750" s="18" t="n">
        <x:v>43063</x:v>
      </x:c>
      <x:c r="C9750" t="str">
        <x:v>BP-11290</x:v>
      </x:c>
      <x:c r="D9750" t="str">
        <x:v>Beth Paige</x:v>
      </x:c>
      <x:c r="E9750" t="str">
        <x:v>Consumer</x:v>
      </x:c>
      <x:c r="F9750" t="str">
        <x:v>West</x:v>
      </x:c>
      <x:c r="G9750" t="str">
        <x:v>Furniture</x:v>
      </x:c>
      <x:c r="H9750" t="str">
        <x:v>Tables</x:v>
      </x:c>
      <x:c r="I9750" s="22" t="n">
        <x:v>364.08000000000004</x:v>
      </x:c>
      <x:c r="J9750" s="24" t="n">
        <x:v>2</x:v>
      </x:c>
      <x:c r="K9750" s="26" t="n">
        <x:v>0.2</x:v>
      </x:c>
      <x:c r="L9750" s="22" t="n">
        <x:v>9.102000000000004</x:v>
      </x:c>
      <x:c r="M9750" t="n">
        <x:v>2017</x:v>
      </x:c>
      <x:c r="N9750" s="20" t="n">
        <x:v>43040</x:v>
      </x:c>
    </x:row>
    <x:row r="9751" ht="18" customHeight="1">
      <x:c r="A9751" t="str">
        <x:v>CA-2017-137505</x:v>
      </x:c>
      <x:c r="B9751" s="18" t="n">
        <x:v>43063</x:v>
      </x:c>
      <x:c r="C9751" t="str">
        <x:v>BP-11290</x:v>
      </x:c>
      <x:c r="D9751" t="str">
        <x:v>Beth Paige</x:v>
      </x:c>
      <x:c r="E9751" t="str">
        <x:v>Consumer</x:v>
      </x:c>
      <x:c r="F9751" t="str">
        <x:v>West</x:v>
      </x:c>
      <x:c r="G9751" t="str">
        <x:v>Furniture</x:v>
      </x:c>
      <x:c r="H9751" t="str">
        <x:v>Tables</x:v>
      </x:c>
      <x:c r="I9751" s="22" t="n">
        <x:v>71.08800000000001</x:v>
      </x:c>
      <x:c r="J9751" s="24" t="n">
        <x:v>2</x:v>
      </x:c>
      <x:c r="K9751" s="26" t="n">
        <x:v>0.2</x:v>
      </x:c>
      <x:c r="L9751" s="22" t="n">
        <x:v>-1.777200000000004</x:v>
      </x:c>
      <x:c r="M9751" t="n">
        <x:v>2017</x:v>
      </x:c>
      <x:c r="N9751" s="20" t="n">
        <x:v>43040</x:v>
      </x:c>
    </x:row>
    <x:row r="9752" ht="18" customHeight="1">
      <x:c r="A9752" t="str">
        <x:v>US-2014-140914</x:v>
      </x:c>
      <x:c r="B9752" s="18" t="n">
        <x:v>41954</x:v>
      </x:c>
      <x:c r="C9752" t="str">
        <x:v>BH-11710</x:v>
      </x:c>
      <x:c r="D9752" t="str">
        <x:v>Brosina Hoffman</x:v>
      </x:c>
      <x:c r="E9752" t="str">
        <x:v>Consumer</x:v>
      </x:c>
      <x:c r="F9752" t="str">
        <x:v>Central</x:v>
      </x:c>
      <x:c r="G9752" t="str">
        <x:v>Furniture</x:v>
      </x:c>
      <x:c r="H9752" t="str">
        <x:v>Furnishings</x:v>
      </x:c>
      <x:c r="I9752" s="22" t="n">
        <x:v>10.984000000000002</x:v>
      </x:c>
      <x:c r="J9752" s="24" t="n">
        <x:v>2</x:v>
      </x:c>
      <x:c r="K9752" s="26" t="n">
        <x:v>0.6</x:v>
      </x:c>
      <x:c r="L9752" s="22" t="n">
        <x:v>-7.9634</x:v>
      </x:c>
      <x:c r="M9752" t="n">
        <x:v>2014</x:v>
      </x:c>
      <x:c r="N9752" s="20" t="n">
        <x:v>41944</x:v>
      </x:c>
    </x:row>
    <x:row r="9753" ht="18" customHeight="1">
      <x:c r="A9753" t="str">
        <x:v>US-2014-140914</x:v>
      </x:c>
      <x:c r="B9753" s="18" t="n">
        <x:v>41954</x:v>
      </x:c>
      <x:c r="C9753" t="str">
        <x:v>BH-11710</x:v>
      </x:c>
      <x:c r="D9753" t="str">
        <x:v>Brosina Hoffman</x:v>
      </x:c>
      <x:c r="E9753" t="str">
        <x:v>Consumer</x:v>
      </x:c>
      <x:c r="F9753" t="str">
        <x:v>Central</x:v>
      </x:c>
      <x:c r="G9753" t="str">
        <x:v>Furniture</x:v>
      </x:c>
      <x:c r="H9753" t="str">
        <x:v>Chairs</x:v>
      </x:c>
      <x:c r="I9753" s="22" t="n">
        <x:v>797.944</x:v>
      </x:c>
      <x:c r="J9753" s="24" t="n">
        <x:v>4</x:v>
      </x:c>
      <x:c r="K9753" s="26" t="n">
        <x:v>0.3</x:v>
      </x:c>
      <x:c r="L9753" s="22" t="n">
        <x:v>-56.99599999999998</x:v>
      </x:c>
      <x:c r="M9753" t="n">
        <x:v>2014</x:v>
      </x:c>
      <x:c r="N9753" s="20" t="n">
        <x:v>41944</x:v>
      </x:c>
    </x:row>
    <x:row r="9754" ht="18" customHeight="1">
      <x:c r="A9754" t="str">
        <x:v>CA-2016-158358</x:v>
      </x:c>
      <x:c r="B9754" s="18" t="n">
        <x:v>42433</x:v>
      </x:c>
      <x:c r="C9754" t="str">
        <x:v>EM-13810</x:v>
      </x:c>
      <x:c r="D9754" t="str">
        <x:v>Eleni McCrary</x:v>
      </x:c>
      <x:c r="E9754" t="str">
        <x:v>Corporate</x:v>
      </x:c>
      <x:c r="F9754" t="str">
        <x:v>East</x:v>
      </x:c>
      <x:c r="G9754" t="str">
        <x:v>Technology</x:v>
      </x:c>
      <x:c r="H9754" t="str">
        <x:v>Accessories</x:v>
      </x:c>
      <x:c r="I9754" s="22" t="n">
        <x:v>159.98</x:v>
      </x:c>
      <x:c r="J9754" s="24" t="n">
        <x:v>2</x:v>
      </x:c>
      <x:c r="K9754" s="26" t="n">
        <x:v>0</x:v>
      </x:c>
      <x:c r="L9754" s="22" t="n">
        <x:v>57.5928</x:v>
      </x:c>
      <x:c r="M9754" t="n">
        <x:v>2016</x:v>
      </x:c>
      <x:c r="N9754" s="20" t="n">
        <x:v>42430</x:v>
      </x:c>
    </x:row>
    <x:row r="9755" ht="18" customHeight="1">
      <x:c r="A9755" t="str">
        <x:v>CA-2016-113390</x:v>
      </x:c>
      <x:c r="B9755" s="18" t="n">
        <x:v>42654</x:v>
      </x:c>
      <x:c r="C9755" t="str">
        <x:v>EP-13915</x:v>
      </x:c>
      <x:c r="D9755" t="str">
        <x:v>Emily Phan</x:v>
      </x:c>
      <x:c r="E9755" t="str">
        <x:v>Consumer</x:v>
      </x:c>
      <x:c r="F9755" t="str">
        <x:v>Central</x:v>
      </x:c>
      <x:c r="G9755" t="str">
        <x:v>Office Supplies</x:v>
      </x:c>
      <x:c r="H9755" t="str">
        <x:v>Art</x:v>
      </x:c>
      <x:c r="I9755" s="22" t="n">
        <x:v>5.344</x:v>
      </x:c>
      <x:c r="J9755" s="24" t="n">
        <x:v>2</x:v>
      </x:c>
      <x:c r="K9755" s="26" t="n">
        <x:v>0.2</x:v>
      </x:c>
      <x:c r="L9755" s="22" t="n">
        <x:v>0.6679999999999995</x:v>
      </x:c>
      <x:c r="M9755" t="n">
        <x:v>2016</x:v>
      </x:c>
      <x:c r="N9755" s="20" t="n">
        <x:v>42644</x:v>
      </x:c>
    </x:row>
    <x:row r="9756" ht="18" customHeight="1">
      <x:c r="A9756" t="str">
        <x:v>CA-2016-113390</x:v>
      </x:c>
      <x:c r="B9756" s="18" t="n">
        <x:v>42654</x:v>
      </x:c>
      <x:c r="C9756" t="str">
        <x:v>EP-13915</x:v>
      </x:c>
      <x:c r="D9756" t="str">
        <x:v>Emily Phan</x:v>
      </x:c>
      <x:c r="E9756" t="str">
        <x:v>Consumer</x:v>
      </x:c>
      <x:c r="F9756" t="str">
        <x:v>Central</x:v>
      </x:c>
      <x:c r="G9756" t="str">
        <x:v>Office Supplies</x:v>
      </x:c>
      <x:c r="H9756" t="str">
        <x:v>Art</x:v>
      </x:c>
      <x:c r="I9756" s="22" t="n">
        <x:v>27.72</x:v>
      </x:c>
      <x:c r="J9756" s="24" t="n">
        <x:v>3</x:v>
      </x:c>
      <x:c r="K9756" s="26" t="n">
        <x:v>0.2</x:v>
      </x:c>
      <x:c r="L9756" s="22" t="n">
        <x:v>3.465</x:v>
      </x:c>
      <x:c r="M9756" t="n">
        <x:v>2016</x:v>
      </x:c>
      <x:c r="N9756" s="20" t="n">
        <x:v>42644</x:v>
      </x:c>
    </x:row>
    <x:row r="9757" ht="18" customHeight="1">
      <x:c r="A9757" t="str">
        <x:v>US-2016-158680</x:v>
      </x:c>
      <x:c r="B9757" s="18" t="n">
        <x:v>42552</x:v>
      </x:c>
      <x:c r="C9757" t="str">
        <x:v>NZ-18565</x:v>
      </x:c>
      <x:c r="D9757" t="str">
        <x:v>Nick Zandusky</x:v>
      </x:c>
      <x:c r="E9757" t="str">
        <x:v>Home Office</x:v>
      </x:c>
      <x:c r="F9757" t="str">
        <x:v>West</x:v>
      </x:c>
      <x:c r="G9757" t="str">
        <x:v>Office Supplies</x:v>
      </x:c>
      <x:c r="H9757" t="str">
        <x:v>Binders</x:v>
      </x:c>
      <x:c r="I9757" s="22" t="n">
        <x:v>2.4960000000000004</x:v>
      </x:c>
      <x:c r="J9757" s="24" t="n">
        <x:v>1</x:v>
      </x:c>
      <x:c r="K9757" s="26" t="n">
        <x:v>0.2</x:v>
      </x:c>
      <x:c r="L9757" s="22" t="n">
        <x:v>0.9047999999999998</x:v>
      </x:c>
      <x:c r="M9757" t="n">
        <x:v>2016</x:v>
      </x:c>
      <x:c r="N9757" s="20" t="n">
        <x:v>42552</x:v>
      </x:c>
    </x:row>
    <x:row r="9758" ht="18" customHeight="1">
      <x:c r="A9758" t="str">
        <x:v>CA-2017-113705</x:v>
      </x:c>
      <x:c r="B9758" s="18" t="n">
        <x:v>42821</x:v>
      </x:c>
      <x:c r="C9758" t="str">
        <x:v>LC-16870</x:v>
      </x:c>
      <x:c r="D9758" t="str">
        <x:v>Lena Cacioppo</x:v>
      </x:c>
      <x:c r="E9758" t="str">
        <x:v>Consumer</x:v>
      </x:c>
      <x:c r="F9758" t="str">
        <x:v>South</x:v>
      </x:c>
      <x:c r="G9758" t="str">
        <x:v>Office Supplies</x:v>
      </x:c>
      <x:c r="H9758" t="str">
        <x:v>Labels</x:v>
      </x:c>
      <x:c r="I9758" s="22" t="n">
        <x:v>8.26</x:v>
      </x:c>
      <x:c r="J9758" s="24" t="n">
        <x:v>2</x:v>
      </x:c>
      <x:c r="K9758" s="26" t="n">
        <x:v>0</x:v>
      </x:c>
      <x:c r="L9758" s="22" t="n">
        <x:v>3.7996</x:v>
      </x:c>
      <x:c r="M9758" t="n">
        <x:v>2017</x:v>
      </x:c>
      <x:c r="N9758" s="20" t="n">
        <x:v>42795</x:v>
      </x:c>
    </x:row>
    <x:row r="9759" ht="18" customHeight="1">
      <x:c r="A9759" t="str">
        <x:v>CA-2017-113705</x:v>
      </x:c>
      <x:c r="B9759" s="18" t="n">
        <x:v>42821</x:v>
      </x:c>
      <x:c r="C9759" t="str">
        <x:v>LC-16870</x:v>
      </x:c>
      <x:c r="D9759" t="str">
        <x:v>Lena Cacioppo</x:v>
      </x:c>
      <x:c r="E9759" t="str">
        <x:v>Consumer</x:v>
      </x:c>
      <x:c r="F9759" t="str">
        <x:v>South</x:v>
      </x:c>
      <x:c r="G9759" t="str">
        <x:v>Office Supplies</x:v>
      </x:c>
      <x:c r="H9759" t="str">
        <x:v>Binders</x:v>
      </x:c>
      <x:c r="I9759" s="22" t="n">
        <x:v>17.76</x:v>
      </x:c>
      <x:c r="J9759" s="24" t="n">
        <x:v>2</x:v>
      </x:c>
      <x:c r="K9759" s="26" t="n">
        <x:v>0</x:v>
      </x:c>
      <x:c r="L9759" s="22" t="n">
        <x:v>8.88</x:v>
      </x:c>
      <x:c r="M9759" t="n">
        <x:v>2017</x:v>
      </x:c>
      <x:c r="N9759" s="20" t="n">
        <x:v>42795</x:v>
      </x:c>
    </x:row>
    <x:row r="9760" ht="18" customHeight="1">
      <x:c r="A9760" t="str">
        <x:v>CA-2017-113705</x:v>
      </x:c>
      <x:c r="B9760" s="18" t="n">
        <x:v>42821</x:v>
      </x:c>
      <x:c r="C9760" t="str">
        <x:v>LC-16870</x:v>
      </x:c>
      <x:c r="D9760" t="str">
        <x:v>Lena Cacioppo</x:v>
      </x:c>
      <x:c r="E9760" t="str">
        <x:v>Consumer</x:v>
      </x:c>
      <x:c r="F9760" t="str">
        <x:v>South</x:v>
      </x:c>
      <x:c r="G9760" t="str">
        <x:v>Office Supplies</x:v>
      </x:c>
      <x:c r="H9760" t="str">
        <x:v>Storage</x:v>
      </x:c>
      <x:c r="I9760" s="22" t="n">
        <x:v>332.94</x:v>
      </x:c>
      <x:c r="J9760" s="24" t="n">
        <x:v>3</x:v>
      </x:c>
      <x:c r="K9760" s="26" t="n">
        <x:v>0</x:v>
      </x:c>
      <x:c r="L9760" s="22" t="n">
        <x:v>9.98820000000002</x:v>
      </x:c>
      <x:c r="M9760" t="n">
        <x:v>2017</x:v>
      </x:c>
      <x:c r="N9760" s="20" t="n">
        <x:v>42795</x:v>
      </x:c>
    </x:row>
    <x:row r="9761" ht="18" customHeight="1">
      <x:c r="A9761" t="str">
        <x:v>CA-2017-113705</x:v>
      </x:c>
      <x:c r="B9761" s="18" t="n">
        <x:v>42821</x:v>
      </x:c>
      <x:c r="C9761" t="str">
        <x:v>LC-16870</x:v>
      </x:c>
      <x:c r="D9761" t="str">
        <x:v>Lena Cacioppo</x:v>
      </x:c>
      <x:c r="E9761" t="str">
        <x:v>Consumer</x:v>
      </x:c>
      <x:c r="F9761" t="str">
        <x:v>South</x:v>
      </x:c>
      <x:c r="G9761" t="str">
        <x:v>Furniture</x:v>
      </x:c>
      <x:c r="H9761" t="str">
        <x:v>Tables</x:v>
      </x:c>
      <x:c r="I9761" s="22" t="n">
        <x:v>292.1</x:v>
      </x:c>
      <x:c r="J9761" s="24" t="n">
        <x:v>2</x:v>
      </x:c>
      <x:c r="K9761" s="26" t="n">
        <x:v>0</x:v>
      </x:c>
      <x:c r="L9761" s="22" t="n">
        <x:v>58.41999999999999</x:v>
      </x:c>
      <x:c r="M9761" t="n">
        <x:v>2017</x:v>
      </x:c>
      <x:c r="N9761" s="20" t="n">
        <x:v>42795</x:v>
      </x:c>
    </x:row>
    <x:row r="9762" ht="18" customHeight="1">
      <x:c r="A9762" t="str">
        <x:v>CA-2017-113705</x:v>
      </x:c>
      <x:c r="B9762" s="18" t="n">
        <x:v>42821</x:v>
      </x:c>
      <x:c r="C9762" t="str">
        <x:v>LC-16870</x:v>
      </x:c>
      <x:c r="D9762" t="str">
        <x:v>Lena Cacioppo</x:v>
      </x:c>
      <x:c r="E9762" t="str">
        <x:v>Consumer</x:v>
      </x:c>
      <x:c r="F9762" t="str">
        <x:v>South</x:v>
      </x:c>
      <x:c r="G9762" t="str">
        <x:v>Technology</x:v>
      </x:c>
      <x:c r="H9762" t="str">
        <x:v>Phones</x:v>
      </x:c>
      <x:c r="I9762" s="22" t="n">
        <x:v>206.1</x:v>
      </x:c>
      <x:c r="J9762" s="24" t="n">
        <x:v>5</x:v>
      </x:c>
      <x:c r="K9762" s="26" t="n">
        <x:v>0</x:v>
      </x:c>
      <x:c r="L9762" s="22" t="n">
        <x:v>55.647000000000006</x:v>
      </x:c>
      <x:c r="M9762" t="n">
        <x:v>2017</x:v>
      </x:c>
      <x:c r="N9762" s="20" t="n">
        <x:v>42795</x:v>
      </x:c>
    </x:row>
    <x:row r="9763" ht="18" customHeight="1">
      <x:c r="A9763" t="str">
        <x:v>CA-2017-113705</x:v>
      </x:c>
      <x:c r="B9763" s="18" t="n">
        <x:v>42821</x:v>
      </x:c>
      <x:c r="C9763" t="str">
        <x:v>LC-16870</x:v>
      </x:c>
      <x:c r="D9763" t="str">
        <x:v>Lena Cacioppo</x:v>
      </x:c>
      <x:c r="E9763" t="str">
        <x:v>Consumer</x:v>
      </x:c>
      <x:c r="F9763" t="str">
        <x:v>South</x:v>
      </x:c>
      <x:c r="G9763" t="str">
        <x:v>Office Supplies</x:v>
      </x:c>
      <x:c r="H9763" t="str">
        <x:v>Paper</x:v>
      </x:c>
      <x:c r="I9763" s="22" t="n">
        <x:v>17.64</x:v>
      </x:c>
      <x:c r="J9763" s="24" t="n">
        <x:v>4</x:v>
      </x:c>
      <x:c r="K9763" s="26" t="n">
        <x:v>0</x:v>
      </x:c>
      <x:c r="L9763" s="22" t="n">
        <x:v>8.1144</x:v>
      </x:c>
      <x:c r="M9763" t="n">
        <x:v>2017</x:v>
      </x:c>
      <x:c r="N9763" s="20" t="n">
        <x:v>42795</x:v>
      </x:c>
    </x:row>
    <x:row r="9764" ht="18" customHeight="1">
      <x:c r="A9764" t="str">
        <x:v>CA-2016-146913</x:v>
      </x:c>
      <x:c r="B9764" s="18" t="n">
        <x:v>42674</x:v>
      </x:c>
      <x:c r="C9764" t="str">
        <x:v>SF-20965</x:v>
      </x:c>
      <x:c r="D9764" t="str">
        <x:v>Sylvia Foulston</x:v>
      </x:c>
      <x:c r="E9764" t="str">
        <x:v>Corporate</x:v>
      </x:c>
      <x:c r="F9764" t="str">
        <x:v>West</x:v>
      </x:c>
      <x:c r="G9764" t="str">
        <x:v>Furniture</x:v>
      </x:c>
      <x:c r="H9764" t="str">
        <x:v>Chairs</x:v>
      </x:c>
      <x:c r="I9764" s="22" t="n">
        <x:v>1403.9200000000003</x:v>
      </x:c>
      <x:c r="J9764" s="24" t="n">
        <x:v>5</x:v>
      </x:c>
      <x:c r="K9764" s="26" t="n">
        <x:v>0.2</x:v>
      </x:c>
      <x:c r="L9764" s="22" t="n">
        <x:v>70.19600000000003</x:v>
      </x:c>
      <x:c r="M9764" t="n">
        <x:v>2016</x:v>
      </x:c>
      <x:c r="N9764" s="20" t="n">
        <x:v>42644</x:v>
      </x:c>
    </x:row>
    <x:row r="9765" ht="18" customHeight="1">
      <x:c r="A9765" t="str">
        <x:v>CA-2017-159135</x:v>
      </x:c>
      <x:c r="B9765" s="18" t="n">
        <x:v>43043</x:v>
      </x:c>
      <x:c r="C9765" t="str">
        <x:v>KM-16375</x:v>
      </x:c>
      <x:c r="D9765" t="str">
        <x:v>Katherine Murray</x:v>
      </x:c>
      <x:c r="E9765" t="str">
        <x:v>Home Office</x:v>
      </x:c>
      <x:c r="F9765" t="str">
        <x:v>South</x:v>
      </x:c>
      <x:c r="G9765" t="str">
        <x:v>Office Supplies</x:v>
      </x:c>
      <x:c r="H9765" t="str">
        <x:v>Art</x:v>
      </x:c>
      <x:c r="I9765" s="22" t="n">
        <x:v>4.3</x:v>
      </x:c>
      <x:c r="J9765" s="24" t="n">
        <x:v>2</x:v>
      </x:c>
      <x:c r="K9765" s="26" t="n">
        <x:v>0</x:v>
      </x:c>
      <x:c r="L9765" s="22" t="n">
        <x:v>1.4189999999999996</x:v>
      </x:c>
      <x:c r="M9765" t="n">
        <x:v>2017</x:v>
      </x:c>
      <x:c r="N9765" s="20" t="n">
        <x:v>43040</x:v>
      </x:c>
    </x:row>
    <x:row r="9766" ht="18" customHeight="1">
      <x:c r="A9766" t="str">
        <x:v>CA-2014-121762</x:v>
      </x:c>
      <x:c r="B9766" s="18" t="n">
        <x:v>41684</x:v>
      </x:c>
      <x:c r="C9766" t="str">
        <x:v>ML-17395</x:v>
      </x:c>
      <x:c r="D9766" t="str">
        <x:v>Marina Lichtenstein</x:v>
      </x:c>
      <x:c r="E9766" t="str">
        <x:v>Corporate</x:v>
      </x:c>
      <x:c r="F9766" t="str">
        <x:v>West</x:v>
      </x:c>
      <x:c r="G9766" t="str">
        <x:v>Technology</x:v>
      </x:c>
      <x:c r="H9766" t="str">
        <x:v>Accessories</x:v>
      </x:c>
      <x:c r="I9766" s="22" t="n">
        <x:v>239.96999999999997</x:v>
      </x:c>
      <x:c r="J9766" s="24" t="n">
        <x:v>3</x:v>
      </x:c>
      <x:c r="K9766" s="26" t="n">
        <x:v>0</x:v>
      </x:c>
      <x:c r="L9766" s="22" t="n">
        <x:v>86.38919999999999</x:v>
      </x:c>
      <x:c r="M9766" t="n">
        <x:v>2014</x:v>
      </x:c>
      <x:c r="N9766" s="20" t="n">
        <x:v>41671</x:v>
      </x:c>
    </x:row>
    <x:row r="9767" ht="18" customHeight="1">
      <x:c r="A9767" t="str">
        <x:v>CA-2014-121762</x:v>
      </x:c>
      <x:c r="B9767" s="18" t="n">
        <x:v>41684</x:v>
      </x:c>
      <x:c r="C9767" t="str">
        <x:v>ML-17395</x:v>
      </x:c>
      <x:c r="D9767" t="str">
        <x:v>Marina Lichtenstein</x:v>
      </x:c>
      <x:c r="E9767" t="str">
        <x:v>Corporate</x:v>
      </x:c>
      <x:c r="F9767" t="str">
        <x:v>West</x:v>
      </x:c>
      <x:c r="G9767" t="str">
        <x:v>Office Supplies</x:v>
      </x:c>
      <x:c r="H9767" t="str">
        <x:v>Appliances</x:v>
      </x:c>
      <x:c r="I9767" s="22" t="n">
        <x:v>81.96</x:v>
      </x:c>
      <x:c r="J9767" s="24" t="n">
        <x:v>2</x:v>
      </x:c>
      <x:c r="K9767" s="26" t="n">
        <x:v>0</x:v>
      </x:c>
      <x:c r="L9767" s="22" t="n">
        <x:v>22.9488</x:v>
      </x:c>
      <x:c r="M9767" t="n">
        <x:v>2014</x:v>
      </x:c>
      <x:c r="N9767" s="20" t="n">
        <x:v>41671</x:v>
      </x:c>
    </x:row>
    <x:row r="9768" ht="18" customHeight="1">
      <x:c r="A9768" t="str">
        <x:v>CA-2014-121762</x:v>
      </x:c>
      <x:c r="B9768" s="18" t="n">
        <x:v>41684</x:v>
      </x:c>
      <x:c r="C9768" t="str">
        <x:v>ML-17395</x:v>
      </x:c>
      <x:c r="D9768" t="str">
        <x:v>Marina Lichtenstein</x:v>
      </x:c>
      <x:c r="E9768" t="str">
        <x:v>Corporate</x:v>
      </x:c>
      <x:c r="F9768" t="str">
        <x:v>West</x:v>
      </x:c>
      <x:c r="G9768" t="str">
        <x:v>Office Supplies</x:v>
      </x:c>
      <x:c r="H9768" t="str">
        <x:v>Supplies</x:v>
      </x:c>
      <x:c r="I9768" s="22" t="n">
        <x:v>238.62</x:v>
      </x:c>
      <x:c r="J9768" s="24" t="n">
        <x:v>2</x:v>
      </x:c>
      <x:c r="K9768" s="26" t="n">
        <x:v>0</x:v>
      </x:c>
      <x:c r="L9768" s="22" t="n">
        <x:v>4.772400000000005</x:v>
      </x:c>
      <x:c r="M9768" t="n">
        <x:v>2014</x:v>
      </x:c>
      <x:c r="N9768" s="20" t="n">
        <x:v>41671</x:v>
      </x:c>
    </x:row>
    <x:row r="9769" ht="18" customHeight="1">
      <x:c r="A9769" t="str">
        <x:v>CA-2014-123855</x:v>
      </x:c>
      <x:c r="B9769" s="18" t="n">
        <x:v>41808</x:v>
      </x:c>
      <x:c r="C9769" t="str">
        <x:v>MC-18100</x:v>
      </x:c>
      <x:c r="D9769" t="str">
        <x:v>Mick Crebagga</x:v>
      </x:c>
      <x:c r="E9769" t="str">
        <x:v>Consumer</x:v>
      </x:c>
      <x:c r="F9769" t="str">
        <x:v>West</x:v>
      </x:c>
      <x:c r="G9769" t="str">
        <x:v>Technology</x:v>
      </x:c>
      <x:c r="H9769" t="str">
        <x:v>Phones</x:v>
      </x:c>
      <x:c r="I9769" s="22" t="n">
        <x:v>139.8</x:v>
      </x:c>
      <x:c r="J9769" s="24" t="n">
        <x:v>5</x:v>
      </x:c>
      <x:c r="K9769" s="26" t="n">
        <x:v>0.2</x:v>
      </x:c>
      <x:c r="L9769" s="22" t="n">
        <x:v>12.232500000000009</x:v>
      </x:c>
      <x:c r="M9769" t="n">
        <x:v>2014</x:v>
      </x:c>
      <x:c r="N9769" s="20" t="n">
        <x:v>41791</x:v>
      </x:c>
    </x:row>
    <x:row r="9770" ht="18" customHeight="1">
      <x:c r="A9770" t="str">
        <x:v>CA-2017-101959</x:v>
      </x:c>
      <x:c r="B9770" s="18" t="n">
        <x:v>42794</x:v>
      </x:c>
      <x:c r="C9770" t="str">
        <x:v>DB-13660</x:v>
      </x:c>
      <x:c r="D9770" t="str">
        <x:v>Duane Benoit</x:v>
      </x:c>
      <x:c r="E9770" t="str">
        <x:v>Consumer</x:v>
      </x:c>
      <x:c r="F9770" t="str">
        <x:v>East</x:v>
      </x:c>
      <x:c r="G9770" t="str">
        <x:v>Office Supplies</x:v>
      </x:c>
      <x:c r="H9770" t="str">
        <x:v>Binders</x:v>
      </x:c>
      <x:c r="I9770" s="22" t="n">
        <x:v>9.84</x:v>
      </x:c>
      <x:c r="J9770" s="24" t="n">
        <x:v>2</x:v>
      </x:c>
      <x:c r="K9770" s="26" t="n">
        <x:v>0</x:v>
      </x:c>
      <x:c r="L9770" s="22" t="n">
        <x:v>4.723199999999999</x:v>
      </x:c>
      <x:c r="M9770" t="n">
        <x:v>2017</x:v>
      </x:c>
      <x:c r="N9770" s="20" t="n">
        <x:v>42767</x:v>
      </x:c>
    </x:row>
    <x:row r="9771" ht="18" customHeight="1">
      <x:c r="A9771" t="str">
        <x:v>CA-2017-101959</x:v>
      </x:c>
      <x:c r="B9771" s="18" t="n">
        <x:v>42794</x:v>
      </x:c>
      <x:c r="C9771" t="str">
        <x:v>DB-13660</x:v>
      </x:c>
      <x:c r="D9771" t="str">
        <x:v>Duane Benoit</x:v>
      </x:c>
      <x:c r="E9771" t="str">
        <x:v>Consumer</x:v>
      </x:c>
      <x:c r="F9771" t="str">
        <x:v>East</x:v>
      </x:c>
      <x:c r="G9771" t="str">
        <x:v>Office Supplies</x:v>
      </x:c>
      <x:c r="H9771" t="str">
        <x:v>Paper</x:v>
      </x:c>
      <x:c r="I9771" s="22" t="n">
        <x:v>7.78</x:v>
      </x:c>
      <x:c r="J9771" s="24" t="n">
        <x:v>1</x:v>
      </x:c>
      <x:c r="K9771" s="26" t="n">
        <x:v>0</x:v>
      </x:c>
      <x:c r="L9771" s="22" t="n">
        <x:v>3.5009999999999994</x:v>
      </x:c>
      <x:c r="M9771" t="n">
        <x:v>2017</x:v>
      </x:c>
      <x:c r="N9771" s="20" t="n">
        <x:v>42767</x:v>
      </x:c>
    </x:row>
    <x:row r="9772" ht="18" customHeight="1">
      <x:c r="A9772" t="str">
        <x:v>CA-2017-102659</x:v>
      </x:c>
      <x:c r="B9772" s="18" t="n">
        <x:v>43078</x:v>
      </x:c>
      <x:c r="C9772" t="str">
        <x:v>LW-17215</x:v>
      </x:c>
      <x:c r="D9772" t="str">
        <x:v>Luke Weiss</x:v>
      </x:c>
      <x:c r="E9772" t="str">
        <x:v>Consumer</x:v>
      </x:c>
      <x:c r="F9772" t="str">
        <x:v>Central</x:v>
      </x:c>
      <x:c r="G9772" t="str">
        <x:v>Office Supplies</x:v>
      </x:c>
      <x:c r="H9772" t="str">
        <x:v>Binders</x:v>
      </x:c>
      <x:c r="I9772" s="22" t="n">
        <x:v>54.900000000000006</x:v>
      </x:c>
      <x:c r="J9772" s="24" t="n">
        <x:v>5</x:v>
      </x:c>
      <x:c r="K9772" s="26" t="n">
        <x:v>0</x:v>
      </x:c>
      <x:c r="L9772" s="22" t="n">
        <x:v>26.901000000000003</x:v>
      </x:c>
      <x:c r="M9772" t="n">
        <x:v>2017</x:v>
      </x:c>
      <x:c r="N9772" s="20" t="n">
        <x:v>43070</x:v>
      </x:c>
    </x:row>
    <x:row r="9773" ht="18" customHeight="1">
      <x:c r="A9773" t="str">
        <x:v>CA-2017-142328</x:v>
      </x:c>
      <x:c r="B9773" s="18" t="n">
        <x:v>43076</x:v>
      </x:c>
      <x:c r="C9773" t="str">
        <x:v>TC-21535</x:v>
      </x:c>
      <x:c r="D9773" t="str">
        <x:v>Tracy Collins</x:v>
      </x:c>
      <x:c r="E9773" t="str">
        <x:v>Home Office</x:v>
      </x:c>
      <x:c r="F9773" t="str">
        <x:v>West</x:v>
      </x:c>
      <x:c r="G9773" t="str">
        <x:v>Office Supplies</x:v>
      </x:c>
      <x:c r="H9773" t="str">
        <x:v>Paper</x:v>
      </x:c>
      <x:c r="I9773" s="22" t="n">
        <x:v>50.04</x:v>
      </x:c>
      <x:c r="J9773" s="24" t="n">
        <x:v>6</x:v>
      </x:c>
      <x:c r="K9773" s="26" t="n">
        <x:v>0</x:v>
      </x:c>
      <x:c r="L9773" s="22" t="n">
        <x:v>25.02</x:v>
      </x:c>
      <x:c r="M9773" t="n">
        <x:v>2017</x:v>
      </x:c>
      <x:c r="N9773" s="20" t="n">
        <x:v>43070</x:v>
      </x:c>
    </x:row>
    <x:row r="9774" ht="18" customHeight="1">
      <x:c r="A9774" t="str">
        <x:v>CA-2016-123533</x:v>
      </x:c>
      <x:c r="B9774" s="18" t="n">
        <x:v>42698</x:v>
      </x:c>
      <x:c r="C9774" t="str">
        <x:v>SC-20050</x:v>
      </x:c>
      <x:c r="D9774" t="str">
        <x:v>Sample Company A</x:v>
      </x:c>
      <x:c r="E9774" t="str">
        <x:v>Home Office</x:v>
      </x:c>
      <x:c r="F9774" t="str">
        <x:v>South</x:v>
      </x:c>
      <x:c r="G9774" t="str">
        <x:v>Furniture</x:v>
      </x:c>
      <x:c r="H9774" t="str">
        <x:v>Bookcases</x:v>
      </x:c>
      <x:c r="I9774" s="22" t="n">
        <x:v>339.9200000000001</x:v>
      </x:c>
      <x:c r="J9774" s="24" t="n">
        <x:v>5</x:v>
      </x:c>
      <x:c r="K9774" s="26" t="n">
        <x:v>0.2</x:v>
      </x:c>
      <x:c r="L9774" s="22" t="n">
        <x:v>8.497999999999976</x:v>
      </x:c>
      <x:c r="M9774" t="n">
        <x:v>2016</x:v>
      </x:c>
      <x:c r="N9774" s="20" t="n">
        <x:v>42675</x:v>
      </x:c>
    </x:row>
    <x:row r="9775" ht="18" customHeight="1">
      <x:c r="A9775" t="str">
        <x:v>CA-2016-123533</x:v>
      </x:c>
      <x:c r="B9775" s="18" t="n">
        <x:v>42698</x:v>
      </x:c>
      <x:c r="C9775" t="str">
        <x:v>SC-20050</x:v>
      </x:c>
      <x:c r="D9775" t="str">
        <x:v>Sample Company A</x:v>
      </x:c>
      <x:c r="E9775" t="str">
        <x:v>Home Office</x:v>
      </x:c>
      <x:c r="F9775" t="str">
        <x:v>South</x:v>
      </x:c>
      <x:c r="G9775" t="str">
        <x:v>Office Supplies</x:v>
      </x:c>
      <x:c r="H9775" t="str">
        <x:v>Paper</x:v>
      </x:c>
      <x:c r="I9775" s="22" t="n">
        <x:v>10.528</x:v>
      </x:c>
      <x:c r="J9775" s="24" t="n">
        <x:v>4</x:v>
      </x:c>
      <x:c r="K9775" s="26" t="n">
        <x:v>0.2</x:v>
      </x:c>
      <x:c r="L9775" s="22" t="n">
        <x:v>3.4215999999999993</x:v>
      </x:c>
      <x:c r="M9775" t="n">
        <x:v>2016</x:v>
      </x:c>
      <x:c r="N9775" s="20" t="n">
        <x:v>42675</x:v>
      </x:c>
    </x:row>
    <x:row r="9776" ht="18" customHeight="1">
      <x:c r="A9776" t="str">
        <x:v>CA-2016-123533</x:v>
      </x:c>
      <x:c r="B9776" s="18" t="n">
        <x:v>42698</x:v>
      </x:c>
      <x:c r="C9776" t="str">
        <x:v>SC-20050</x:v>
      </x:c>
      <x:c r="D9776" t="str">
        <x:v>Sample Company A</x:v>
      </x:c>
      <x:c r="E9776" t="str">
        <x:v>Home Office</x:v>
      </x:c>
      <x:c r="F9776" t="str">
        <x:v>South</x:v>
      </x:c>
      <x:c r="G9776" t="str">
        <x:v>Office Supplies</x:v>
      </x:c>
      <x:c r="H9776" t="str">
        <x:v>Appliances</x:v>
      </x:c>
      <x:c r="I9776" s="22" t="n">
        <x:v>42.384</x:v>
      </x:c>
      <x:c r="J9776" s="24" t="n">
        <x:v>2</x:v>
      </x:c>
      <x:c r="K9776" s="26" t="n">
        <x:v>0.2</x:v>
      </x:c>
      <x:c r="L9776" s="22" t="n">
        <x:v>4.238400000000002</x:v>
      </x:c>
      <x:c r="M9776" t="n">
        <x:v>2016</x:v>
      </x:c>
      <x:c r="N9776" s="20" t="n">
        <x:v>42675</x:v>
      </x:c>
    </x:row>
    <x:row r="9777" ht="18" customHeight="1">
      <x:c r="A9777" t="str">
        <x:v>CA-2016-104983</x:v>
      </x:c>
      <x:c r="B9777" s="18" t="n">
        <x:v>42554</x:v>
      </x:c>
      <x:c r="C9777" t="str">
        <x:v>FM-14215</x:v>
      </x:c>
      <x:c r="D9777" t="str">
        <x:v>Filia McAdams</x:v>
      </x:c>
      <x:c r="E9777" t="str">
        <x:v>Corporate</x:v>
      </x:c>
      <x:c r="F9777" t="str">
        <x:v>East</x:v>
      </x:c>
      <x:c r="G9777" t="str">
        <x:v>Office Supplies</x:v>
      </x:c>
      <x:c r="H9777" t="str">
        <x:v>Paper</x:v>
      </x:c>
      <x:c r="I9777" s="22" t="n">
        <x:v>123.92000000000002</x:v>
      </x:c>
      <x:c r="J9777" s="24" t="n">
        <x:v>5</x:v>
      </x:c>
      <x:c r="K9777" s="26" t="n">
        <x:v>0.2</x:v>
      </x:c>
      <x:c r="L9777" s="22" t="n">
        <x:v>38.724999999999994</x:v>
      </x:c>
      <x:c r="M9777" t="n">
        <x:v>2016</x:v>
      </x:c>
      <x:c r="N9777" s="20" t="n">
        <x:v>42552</x:v>
      </x:c>
    </x:row>
    <x:row r="9778" ht="18" customHeight="1">
      <x:c r="A9778" t="str">
        <x:v>CA-2016-160234</x:v>
      </x:c>
      <x:c r="B9778" s="18" t="n">
        <x:v>42547</x:v>
      </x:c>
      <x:c r="C9778" t="str">
        <x:v>PF-19225</x:v>
      </x:c>
      <x:c r="D9778" t="str">
        <x:v>Phillip Flathmann</x:v>
      </x:c>
      <x:c r="E9778" t="str">
        <x:v>Consumer</x:v>
      </x:c>
      <x:c r="F9778" t="str">
        <x:v>South</x:v>
      </x:c>
      <x:c r="G9778" t="str">
        <x:v>Technology</x:v>
      </x:c>
      <x:c r="H9778" t="str">
        <x:v>Phones</x:v>
      </x:c>
      <x:c r="I9778" s="22" t="n">
        <x:v>135.95</x:v>
      </x:c>
      <x:c r="J9778" s="24" t="n">
        <x:v>1</x:v>
      </x:c>
      <x:c r="K9778" s="26" t="n">
        <x:v>0</x:v>
      </x:c>
      <x:c r="L9778" s="22" t="n">
        <x:v>39.425499999999985</x:v>
      </x:c>
      <x:c r="M9778" t="n">
        <x:v>2016</x:v>
      </x:c>
      <x:c r="N9778" s="20" t="n">
        <x:v>42522</x:v>
      </x:c>
    </x:row>
    <x:row r="9779" ht="18" customHeight="1">
      <x:c r="A9779" t="str">
        <x:v>CA-2014-169019</x:v>
      </x:c>
      <x:c r="B9779" s="18" t="n">
        <x:v>41846</x:v>
      </x:c>
      <x:c r="C9779" t="str">
        <x:v>LF-17185</x:v>
      </x:c>
      <x:c r="D9779" t="str">
        <x:v>Luke Foster</x:v>
      </x:c>
      <x:c r="E9779" t="str">
        <x:v>Consumer</x:v>
      </x:c>
      <x:c r="F9779" t="str">
        <x:v>Central</x:v>
      </x:c>
      <x:c r="G9779" t="str">
        <x:v>Office Supplies</x:v>
      </x:c>
      <x:c r="H9779" t="str">
        <x:v>Binders</x:v>
      </x:c>
      <x:c r="I9779" s="22" t="n">
        <x:v>2177.5839999999994</x:v>
      </x:c>
      <x:c r="J9779" s="24" t="n">
        <x:v>8</x:v>
      </x:c>
      <x:c r="K9779" s="26" t="n">
        <x:v>0.8</x:v>
      </x:c>
      <x:c r="L9779" s="22" t="n">
        <x:v>-3701.8928000000014</x:v>
      </x:c>
      <x:c r="M9779" t="n">
        <x:v>2014</x:v>
      </x:c>
      <x:c r="N9779" s="20" t="n">
        <x:v>41821</x:v>
      </x:c>
    </x:row>
    <x:row r="9780" ht="18" customHeight="1">
      <x:c r="A9780" t="str">
        <x:v>CA-2014-169019</x:v>
      </x:c>
      <x:c r="B9780" s="18" t="n">
        <x:v>41846</x:v>
      </x:c>
      <x:c r="C9780" t="str">
        <x:v>LF-17185</x:v>
      </x:c>
      <x:c r="D9780" t="str">
        <x:v>Luke Foster</x:v>
      </x:c>
      <x:c r="E9780" t="str">
        <x:v>Consumer</x:v>
      </x:c>
      <x:c r="F9780" t="str">
        <x:v>Central</x:v>
      </x:c>
      <x:c r="G9780" t="str">
        <x:v>Furniture</x:v>
      </x:c>
      <x:c r="H9780" t="str">
        <x:v>Furnishings</x:v>
      </x:c>
      <x:c r="I9780" s="22" t="n">
        <x:v>17.496000000000002</x:v>
      </x:c>
      <x:c r="J9780" s="24" t="n">
        <x:v>3</x:v>
      </x:c>
      <x:c r="K9780" s="26" t="n">
        <x:v>0.6</x:v>
      </x:c>
      <x:c r="L9780" s="22" t="n">
        <x:v>-10.060199999999998</x:v>
      </x:c>
      <x:c r="M9780" t="n">
        <x:v>2014</x:v>
      </x:c>
      <x:c r="N9780" s="20" t="n">
        <x:v>41821</x:v>
      </x:c>
    </x:row>
    <x:row r="9781" ht="18" customHeight="1">
      <x:c r="A9781" t="str">
        <x:v>CA-2014-169019</x:v>
      </x:c>
      <x:c r="B9781" s="18" t="n">
        <x:v>41846</x:v>
      </x:c>
      <x:c r="C9781" t="str">
        <x:v>LF-17185</x:v>
      </x:c>
      <x:c r="D9781" t="str">
        <x:v>Luke Foster</x:v>
      </x:c>
      <x:c r="E9781" t="str">
        <x:v>Consumer</x:v>
      </x:c>
      <x:c r="F9781" t="str">
        <x:v>Central</x:v>
      </x:c>
      <x:c r="G9781" t="str">
        <x:v>Office Supplies</x:v>
      </x:c>
      <x:c r="H9781" t="str">
        <x:v>Binders</x:v>
      </x:c>
      <x:c r="I9781" s="22" t="n">
        <x:v>16.783999999999995</x:v>
      </x:c>
      <x:c r="J9781" s="24" t="n">
        <x:v>4</x:v>
      </x:c>
      <x:c r="K9781" s="26" t="n">
        <x:v>0.8</x:v>
      </x:c>
      <x:c r="L9781" s="22" t="n">
        <x:v>-26.854400000000012</x:v>
      </x:c>
      <x:c r="M9781" t="n">
        <x:v>2014</x:v>
      </x:c>
      <x:c r="N9781" s="20" t="n">
        <x:v>41821</x:v>
      </x:c>
    </x:row>
    <x:row r="9782" ht="18" customHeight="1">
      <x:c r="A9782" t="str">
        <x:v>CA-2014-169019</x:v>
      </x:c>
      <x:c r="B9782" s="18" t="n">
        <x:v>41846</x:v>
      </x:c>
      <x:c r="C9782" t="str">
        <x:v>LF-17185</x:v>
      </x:c>
      <x:c r="D9782" t="str">
        <x:v>Luke Foster</x:v>
      </x:c>
      <x:c r="E9782" t="str">
        <x:v>Consumer</x:v>
      </x:c>
      <x:c r="F9782" t="str">
        <x:v>Central</x:v>
      </x:c>
      <x:c r="G9782" t="str">
        <x:v>Technology</x:v>
      </x:c>
      <x:c r="H9782" t="str">
        <x:v>Accessories</x:v>
      </x:c>
      <x:c r="I9782" s="22" t="n">
        <x:v>431.136</x:v>
      </x:c>
      <x:c r="J9782" s="24" t="n">
        <x:v>9</x:v>
      </x:c>
      <x:c r="K9782" s="26" t="n">
        <x:v>0.2</x:v>
      </x:c>
      <x:c r="L9782" s="22" t="n">
        <x:v>-26.946000000000012</x:v>
      </x:c>
      <x:c r="M9782" t="n">
        <x:v>2014</x:v>
      </x:c>
      <x:c r="N9782" s="20" t="n">
        <x:v>41821</x:v>
      </x:c>
    </x:row>
    <x:row r="9783" ht="18" customHeight="1">
      <x:c r="A9783" t="str">
        <x:v>CA-2014-169019</x:v>
      </x:c>
      <x:c r="B9783" s="18" t="n">
        <x:v>41846</x:v>
      </x:c>
      <x:c r="C9783" t="str">
        <x:v>LF-17185</x:v>
      </x:c>
      <x:c r="D9783" t="str">
        <x:v>Luke Foster</x:v>
      </x:c>
      <x:c r="E9783" t="str">
        <x:v>Consumer</x:v>
      </x:c>
      <x:c r="F9783" t="str">
        <x:v>Central</x:v>
      </x:c>
      <x:c r="G9783" t="str">
        <x:v>Office Supplies</x:v>
      </x:c>
      <x:c r="H9783" t="str">
        <x:v>Binders</x:v>
      </x:c>
      <x:c r="I9783" s="22" t="n">
        <x:v>8.879999999999999</x:v>
      </x:c>
      <x:c r="J9783" s="24" t="n">
        <x:v>5</x:v>
      </x:c>
      <x:c r="K9783" s="26" t="n">
        <x:v>0.8</x:v>
      </x:c>
      <x:c r="L9783" s="22" t="n">
        <x:v>-13.32</x:v>
      </x:c>
      <x:c r="M9783" t="n">
        <x:v>2014</x:v>
      </x:c>
      <x:c r="N9783" s="20" t="n">
        <x:v>41821</x:v>
      </x:c>
    </x:row>
    <x:row r="9784" ht="18" customHeight="1">
      <x:c r="A9784" t="str">
        <x:v>CA-2014-169019</x:v>
      </x:c>
      <x:c r="B9784" s="18" t="n">
        <x:v>41846</x:v>
      </x:c>
      <x:c r="C9784" t="str">
        <x:v>LF-17185</x:v>
      </x:c>
      <x:c r="D9784" t="str">
        <x:v>Luke Foster</x:v>
      </x:c>
      <x:c r="E9784" t="str">
        <x:v>Consumer</x:v>
      </x:c>
      <x:c r="F9784" t="str">
        <x:v>Central</x:v>
      </x:c>
      <x:c r="G9784" t="str">
        <x:v>Office Supplies</x:v>
      </x:c>
      <x:c r="H9784" t="str">
        <x:v>Appliances</x:v>
      </x:c>
      <x:c r="I9784" s="22" t="n">
        <x:v>4.8359999999999985</x:v>
      </x:c>
      <x:c r="J9784" s="24" t="n">
        <x:v>2</x:v>
      </x:c>
      <x:c r="K9784" s="26" t="n">
        <x:v>0.8</x:v>
      </x:c>
      <x:c r="L9784" s="22" t="n">
        <x:v>-12.090000000000003</x:v>
      </x:c>
      <x:c r="M9784" t="n">
        <x:v>2014</x:v>
      </x:c>
      <x:c r="N9784" s="20" t="n">
        <x:v>41821</x:v>
      </x:c>
    </x:row>
    <x:row r="9785" ht="18" customHeight="1">
      <x:c r="A9785" t="str">
        <x:v>CA-2016-153178</x:v>
      </x:c>
      <x:c r="B9785" s="18" t="n">
        <x:v>42627</x:v>
      </x:c>
      <x:c r="C9785" t="str">
        <x:v>CL-12565</x:v>
      </x:c>
      <x:c r="D9785" t="str">
        <x:v>Clay Ludtke</x:v>
      </x:c>
      <x:c r="E9785" t="str">
        <x:v>Consumer</x:v>
      </x:c>
      <x:c r="F9785" t="str">
        <x:v>East</x:v>
      </x:c>
      <x:c r="G9785" t="str">
        <x:v>Technology</x:v>
      </x:c>
      <x:c r="H9785" t="str">
        <x:v>Phones</x:v>
      </x:c>
      <x:c r="I9785" s="22" t="n">
        <x:v>437.84999999999997</x:v>
      </x:c>
      <x:c r="J9785" s="24" t="n">
        <x:v>3</x:v>
      </x:c>
      <x:c r="K9785" s="26" t="n">
        <x:v>0</x:v>
      </x:c>
      <x:c r="L9785" s="22" t="n">
        <x:v>131.35499999999996</x:v>
      </x:c>
      <x:c r="M9785" t="n">
        <x:v>2016</x:v>
      </x:c>
      <x:c r="N9785" s="20" t="n">
        <x:v>42614</x:v>
      </x:c>
    </x:row>
    <x:row r="9786" ht="18" customHeight="1">
      <x:c r="A9786" t="str">
        <x:v>CA-2016-153178</x:v>
      </x:c>
      <x:c r="B9786" s="18" t="n">
        <x:v>42627</x:v>
      </x:c>
      <x:c r="C9786" t="str">
        <x:v>CL-12565</x:v>
      </x:c>
      <x:c r="D9786" t="str">
        <x:v>Clay Ludtke</x:v>
      </x:c>
      <x:c r="E9786" t="str">
        <x:v>Consumer</x:v>
      </x:c>
      <x:c r="F9786" t="str">
        <x:v>East</x:v>
      </x:c>
      <x:c r="G9786" t="str">
        <x:v>Office Supplies</x:v>
      </x:c>
      <x:c r="H9786" t="str">
        <x:v>Binders</x:v>
      </x:c>
      <x:c r="I9786" s="22" t="n">
        <x:v>673.5680000000001</x:v>
      </x:c>
      <x:c r="J9786" s="24" t="n">
        <x:v>2</x:v>
      </x:c>
      <x:c r="K9786" s="26" t="n">
        <x:v>0.2</x:v>
      </x:c>
      <x:c r="L9786" s="22" t="n">
        <x:v>252.588</x:v>
      </x:c>
      <x:c r="M9786" t="n">
        <x:v>2016</x:v>
      </x:c>
      <x:c r="N9786" s="20" t="n">
        <x:v>42614</x:v>
      </x:c>
    </x:row>
    <x:row r="9787" ht="18" customHeight="1">
      <x:c r="A9787" t="str">
        <x:v>CA-2015-149748</x:v>
      </x:c>
      <x:c r="B9787" s="18" t="n">
        <x:v>42155</x:v>
      </x:c>
      <x:c r="C9787" t="str">
        <x:v>EM-13825</x:v>
      </x:c>
      <x:c r="D9787" t="str">
        <x:v>Elizabeth Moffitt</x:v>
      </x:c>
      <x:c r="E9787" t="str">
        <x:v>Corporate</x:v>
      </x:c>
      <x:c r="F9787" t="str">
        <x:v>East</x:v>
      </x:c>
      <x:c r="G9787" t="str">
        <x:v>Office Supplies</x:v>
      </x:c>
      <x:c r="H9787" t="str">
        <x:v>Paper</x:v>
      </x:c>
      <x:c r="I9787" s="22" t="n">
        <x:v>274.8</x:v>
      </x:c>
      <x:c r="J9787" s="24" t="n">
        <x:v>5</x:v>
      </x:c>
      <x:c r="K9787" s="26" t="n">
        <x:v>0</x:v>
      </x:c>
      <x:c r="L9787" s="22" t="n">
        <x:v>134.652</x:v>
      </x:c>
      <x:c r="M9787" t="n">
        <x:v>2015</x:v>
      </x:c>
      <x:c r="N9787" s="20" t="n">
        <x:v>42125</x:v>
      </x:c>
    </x:row>
    <x:row r="9788" ht="18" customHeight="1">
      <x:c r="A9788" t="str">
        <x:v>CA-2015-149748</x:v>
      </x:c>
      <x:c r="B9788" s="18" t="n">
        <x:v>42155</x:v>
      </x:c>
      <x:c r="C9788" t="str">
        <x:v>EM-13825</x:v>
      </x:c>
      <x:c r="D9788" t="str">
        <x:v>Elizabeth Moffitt</x:v>
      </x:c>
      <x:c r="E9788" t="str">
        <x:v>Corporate</x:v>
      </x:c>
      <x:c r="F9788" t="str">
        <x:v>East</x:v>
      </x:c>
      <x:c r="G9788" t="str">
        <x:v>Office Supplies</x:v>
      </x:c>
      <x:c r="H9788" t="str">
        <x:v>Storage</x:v>
      </x:c>
      <x:c r="I9788" s="22" t="n">
        <x:v>62.18</x:v>
      </x:c>
      <x:c r="J9788" s="24" t="n">
        <x:v>1</x:v>
      </x:c>
      <x:c r="K9788" s="26" t="n">
        <x:v>0</x:v>
      </x:c>
      <x:c r="L9788" s="22" t="n">
        <x:v>16.788600000000002</x:v>
      </x:c>
      <x:c r="M9788" t="n">
        <x:v>2015</x:v>
      </x:c>
      <x:c r="N9788" s="20" t="n">
        <x:v>42125</x:v>
      </x:c>
    </x:row>
    <x:row r="9789" ht="18" customHeight="1">
      <x:c r="A9789" t="str">
        <x:v>CA-2015-149748</x:v>
      </x:c>
      <x:c r="B9789" s="18" t="n">
        <x:v>42155</x:v>
      </x:c>
      <x:c r="C9789" t="str">
        <x:v>EM-13825</x:v>
      </x:c>
      <x:c r="D9789" t="str">
        <x:v>Elizabeth Moffitt</x:v>
      </x:c>
      <x:c r="E9789" t="str">
        <x:v>Corporate</x:v>
      </x:c>
      <x:c r="F9789" t="str">
        <x:v>East</x:v>
      </x:c>
      <x:c r="G9789" t="str">
        <x:v>Furniture</x:v>
      </x:c>
      <x:c r="H9789" t="str">
        <x:v>Furnishings</x:v>
      </x:c>
      <x:c r="I9789" s="22" t="n">
        <x:v>8.28</x:v>
      </x:c>
      <x:c r="J9789" s="24" t="n">
        <x:v>2</x:v>
      </x:c>
      <x:c r="K9789" s="26" t="n">
        <x:v>0</x:v>
      </x:c>
      <x:c r="L9789" s="22" t="n">
        <x:v>2.9807999999999995</x:v>
      </x:c>
      <x:c r="M9789" t="n">
        <x:v>2015</x:v>
      </x:c>
      <x:c r="N9789" s="20" t="n">
        <x:v>42125</x:v>
      </x:c>
    </x:row>
    <x:row r="9790" ht="18" customHeight="1">
      <x:c r="A9790" t="str">
        <x:v>CA-2015-155635</x:v>
      </x:c>
      <x:c r="B9790" s="18" t="n">
        <x:v>42133</x:v>
      </x:c>
      <x:c r="C9790" t="str">
        <x:v>ME-17725</x:v>
      </x:c>
      <x:c r="D9790" t="str">
        <x:v>Max Engle</x:v>
      </x:c>
      <x:c r="E9790" t="str">
        <x:v>Consumer</x:v>
      </x:c>
      <x:c r="F9790" t="str">
        <x:v>South</x:v>
      </x:c>
      <x:c r="G9790" t="str">
        <x:v>Office Supplies</x:v>
      </x:c>
      <x:c r="H9790" t="str">
        <x:v>Binders</x:v>
      </x:c>
      <x:c r="I9790" s="22" t="n">
        <x:v>48.81</x:v>
      </x:c>
      <x:c r="J9790" s="24" t="n">
        <x:v>3</x:v>
      </x:c>
      <x:c r="K9790" s="26" t="n">
        <x:v>0</x:v>
      </x:c>
      <x:c r="L9790" s="22" t="n">
        <x:v>23.9169</x:v>
      </x:c>
      <x:c r="M9790" t="n">
        <x:v>2015</x:v>
      </x:c>
      <x:c r="N9790" s="20" t="n">
        <x:v>42125</x:v>
      </x:c>
    </x:row>
    <x:row r="9791" ht="18" customHeight="1">
      <x:c r="A9791" t="str">
        <x:v>US-2014-114377</x:v>
      </x:c>
      <x:c r="B9791" s="18" t="n">
        <x:v>41948</x:v>
      </x:c>
      <x:c r="C9791" t="str">
        <x:v>BG-11035</x:v>
      </x:c>
      <x:c r="D9791" t="str">
        <x:v>Barry Gonzalez</x:v>
      </x:c>
      <x:c r="E9791" t="str">
        <x:v>Consumer</x:v>
      </x:c>
      <x:c r="F9791" t="str">
        <x:v>South</x:v>
      </x:c>
      <x:c r="G9791" t="str">
        <x:v>Furniture</x:v>
      </x:c>
      <x:c r="H9791" t="str">
        <x:v>Chairs</x:v>
      </x:c>
      <x:c r="I9791" s="22" t="n">
        <x:v>149.9</x:v>
      </x:c>
      <x:c r="J9791" s="24" t="n">
        <x:v>5</x:v>
      </x:c>
      <x:c r="K9791" s="26" t="n">
        <x:v>0</x:v>
      </x:c>
      <x:c r="L9791" s="22" t="n">
        <x:v>40.473</x:v>
      </x:c>
      <x:c r="M9791" t="n">
        <x:v>2014</x:v>
      </x:c>
      <x:c r="N9791" s="20" t="n">
        <x:v>41944</x:v>
      </x:c>
    </x:row>
    <x:row r="9792" ht="18" customHeight="1">
      <x:c r="A9792" t="str">
        <x:v>CA-2017-144491</x:v>
      </x:c>
      <x:c r="B9792" s="18" t="n">
        <x:v>42821</x:v>
      </x:c>
      <x:c r="C9792" t="str">
        <x:v>CJ-12010</x:v>
      </x:c>
      <x:c r="D9792" t="str">
        <x:v>Caroline Jumper</x:v>
      </x:c>
      <x:c r="E9792" t="str">
        <x:v>Consumer</x:v>
      </x:c>
      <x:c r="F9792" t="str">
        <x:v>Central</x:v>
      </x:c>
      <x:c r="G9792" t="str">
        <x:v>Furniture</x:v>
      </x:c>
      <x:c r="H9792" t="str">
        <x:v>Bookcases</x:v>
      </x:c>
      <x:c r="I9792" s="22" t="n">
        <x:v>1023.3319999999999</x:v>
      </x:c>
      <x:c r="J9792" s="24" t="n">
        <x:v>5</x:v>
      </x:c>
      <x:c r="K9792" s="26" t="n">
        <x:v>0.32</x:v>
      </x:c>
      <x:c r="L9792" s="22" t="n">
        <x:v>-30.098000000000127</x:v>
      </x:c>
      <x:c r="M9792" t="n">
        <x:v>2017</x:v>
      </x:c>
      <x:c r="N9792" s="20" t="n">
        <x:v>42795</x:v>
      </x:c>
    </x:row>
    <x:row r="9793" ht="18" customHeight="1">
      <x:c r="A9793" t="str">
        <x:v>CA-2017-144491</x:v>
      </x:c>
      <x:c r="B9793" s="18" t="n">
        <x:v>42821</x:v>
      </x:c>
      <x:c r="C9793" t="str">
        <x:v>CJ-12010</x:v>
      </x:c>
      <x:c r="D9793" t="str">
        <x:v>Caroline Jumper</x:v>
      </x:c>
      <x:c r="E9793" t="str">
        <x:v>Consumer</x:v>
      </x:c>
      <x:c r="F9793" t="str">
        <x:v>Central</x:v>
      </x:c>
      <x:c r="G9793" t="str">
        <x:v>Furniture</x:v>
      </x:c>
      <x:c r="H9793" t="str">
        <x:v>Chairs</x:v>
      </x:c>
      <x:c r="I9793" s="22" t="n">
        <x:v>600.558</x:v>
      </x:c>
      <x:c r="J9793" s="24" t="n">
        <x:v>3</x:v>
      </x:c>
      <x:c r="K9793" s="26" t="n">
        <x:v>0.3</x:v>
      </x:c>
      <x:c r="L9793" s="22" t="n">
        <x:v>-8.579400000000078</x:v>
      </x:c>
      <x:c r="M9793" t="n">
        <x:v>2017</x:v>
      </x:c>
      <x:c r="N9793" s="20" t="n">
        <x:v>42795</x:v>
      </x:c>
    </x:row>
    <x:row r="9794" ht="18" customHeight="1">
      <x:c r="A9794" t="str">
        <x:v>CA-2017-144491</x:v>
      </x:c>
      <x:c r="B9794" s="18" t="n">
        <x:v>42821</x:v>
      </x:c>
      <x:c r="C9794" t="str">
        <x:v>CJ-12010</x:v>
      </x:c>
      <x:c r="D9794" t="str">
        <x:v>Caroline Jumper</x:v>
      </x:c>
      <x:c r="E9794" t="str">
        <x:v>Consumer</x:v>
      </x:c>
      <x:c r="F9794" t="str">
        <x:v>Central</x:v>
      </x:c>
      <x:c r="G9794" t="str">
        <x:v>Technology</x:v>
      </x:c>
      <x:c r="H9794" t="str">
        <x:v>Accessories</x:v>
      </x:c>
      <x:c r="I9794" s="22" t="n">
        <x:v>39.992000000000004</x:v>
      </x:c>
      <x:c r="J9794" s="24" t="n">
        <x:v>1</x:v>
      </x:c>
      <x:c r="K9794" s="26" t="n">
        <x:v>0.2</x:v>
      </x:c>
      <x:c r="L9794" s="22" t="n">
        <x:v>6.9986</x:v>
      </x:c>
      <x:c r="M9794" t="n">
        <x:v>2017</x:v>
      </x:c>
      <x:c r="N9794" s="20" t="n">
        <x:v>42795</x:v>
      </x:c>
    </x:row>
    <x:row r="9795" ht="18" customHeight="1">
      <x:c r="A9795" t="str">
        <x:v>CA-2017-144491</x:v>
      </x:c>
      <x:c r="B9795" s="18" t="n">
        <x:v>42821</x:v>
      </x:c>
      <x:c r="C9795" t="str">
        <x:v>CJ-12010</x:v>
      </x:c>
      <x:c r="D9795" t="str">
        <x:v>Caroline Jumper</x:v>
      </x:c>
      <x:c r="E9795" t="str">
        <x:v>Consumer</x:v>
      </x:c>
      <x:c r="F9795" t="str">
        <x:v>Central</x:v>
      </x:c>
      <x:c r="G9795" t="str">
        <x:v>Furniture</x:v>
      </x:c>
      <x:c r="H9795" t="str">
        <x:v>Chairs</x:v>
      </x:c>
      <x:c r="I9795" s="22" t="n">
        <x:v>211.24599999999998</x:v>
      </x:c>
      <x:c r="J9795" s="24" t="n">
        <x:v>2</x:v>
      </x:c>
      <x:c r="K9795" s="26" t="n">
        <x:v>0.3</x:v>
      </x:c>
      <x:c r="L9795" s="22" t="n">
        <x:v>-66.39159999999998</x:v>
      </x:c>
      <x:c r="M9795" t="n">
        <x:v>2017</x:v>
      </x:c>
      <x:c r="N9795" s="20" t="n">
        <x:v>42795</x:v>
      </x:c>
    </x:row>
    <x:row r="9796" ht="18" customHeight="1">
      <x:c r="A9796" t="str">
        <x:v>CA-2014-127166</x:v>
      </x:c>
      <x:c r="B9796" s="18" t="n">
        <x:v>41780</x:v>
      </x:c>
      <x:c r="C9796" t="str">
        <x:v>KH-16360</x:v>
      </x:c>
      <x:c r="D9796" t="str">
        <x:v>Katherine Hughes</x:v>
      </x:c>
      <x:c r="E9796" t="str">
        <x:v>Consumer</x:v>
      </x:c>
      <x:c r="F9796" t="str">
        <x:v>Central</x:v>
      </x:c>
      <x:c r="G9796" t="str">
        <x:v>Office Supplies</x:v>
      </x:c>
      <x:c r="H9796" t="str">
        <x:v>Envelopes</x:v>
      </x:c>
      <x:c r="I9796" s="22" t="n">
        <x:v>56.06399999999999</x:v>
      </x:c>
      <x:c r="J9796" s="24" t="n">
        <x:v>6</x:v>
      </x:c>
      <x:c r="K9796" s="26" t="n">
        <x:v>0.2</x:v>
      </x:c>
      <x:c r="L9796" s="22" t="n">
        <x:v>21.024</x:v>
      </x:c>
      <x:c r="M9796" t="n">
        <x:v>2014</x:v>
      </x:c>
      <x:c r="N9796" s="20" t="n">
        <x:v>41760</x:v>
      </x:c>
    </x:row>
    <x:row r="9797" ht="18" customHeight="1">
      <x:c r="A9797" t="str">
        <x:v>CA-2014-127166</x:v>
      </x:c>
      <x:c r="B9797" s="18" t="n">
        <x:v>41780</x:v>
      </x:c>
      <x:c r="C9797" t="str">
        <x:v>KH-16360</x:v>
      </x:c>
      <x:c r="D9797" t="str">
        <x:v>Katherine Hughes</x:v>
      </x:c>
      <x:c r="E9797" t="str">
        <x:v>Consumer</x:v>
      </x:c>
      <x:c r="F9797" t="str">
        <x:v>Central</x:v>
      </x:c>
      <x:c r="G9797" t="str">
        <x:v>Furniture</x:v>
      </x:c>
      <x:c r="H9797" t="str">
        <x:v>Chairs</x:v>
      </x:c>
      <x:c r="I9797" s="22" t="n">
        <x:v>107.772</x:v>
      </x:c>
      <x:c r="J9797" s="24" t="n">
        <x:v>2</x:v>
      </x:c>
      <x:c r="K9797" s="26" t="n">
        <x:v>0.3</x:v>
      </x:c>
      <x:c r="L9797" s="22" t="n">
        <x:v>-29.25240000000001</x:v>
      </x:c>
      <x:c r="M9797" t="n">
        <x:v>2014</x:v>
      </x:c>
      <x:c r="N9797" s="20" t="n">
        <x:v>41760</x:v>
      </x:c>
    </x:row>
    <x:row r="9798" ht="18" customHeight="1">
      <x:c r="A9798" t="str">
        <x:v>CA-2014-127166</x:v>
      </x:c>
      <x:c r="B9798" s="18" t="n">
        <x:v>41780</x:v>
      </x:c>
      <x:c r="C9798" t="str">
        <x:v>KH-16360</x:v>
      </x:c>
      <x:c r="D9798" t="str">
        <x:v>Katherine Hughes</x:v>
      </x:c>
      <x:c r="E9798" t="str">
        <x:v>Consumer</x:v>
      </x:c>
      <x:c r="F9798" t="str">
        <x:v>Central</x:v>
      </x:c>
      <x:c r="G9798" t="str">
        <x:v>Office Supplies</x:v>
      </x:c>
      <x:c r="H9798" t="str">
        <x:v>Paper</x:v>
      </x:c>
      <x:c r="I9798" s="22" t="n">
        <x:v>4.832000000000001</x:v>
      </x:c>
      <x:c r="J9798" s="24" t="n">
        <x:v>1</x:v>
      </x:c>
      <x:c r="K9798" s="26" t="n">
        <x:v>0.2</x:v>
      </x:c>
      <x:c r="L9798" s="22" t="n">
        <x:v>1.6307999999999998</x:v>
      </x:c>
      <x:c r="M9798" t="n">
        <x:v>2014</x:v>
      </x:c>
      <x:c r="N9798" s="20" t="n">
        <x:v>41760</x:v>
      </x:c>
    </x:row>
    <x:row r="9799" ht="18" customHeight="1">
      <x:c r="A9799" t="str">
        <x:v>CA-2014-127166</x:v>
      </x:c>
      <x:c r="B9799" s="18" t="n">
        <x:v>41780</x:v>
      </x:c>
      <x:c r="C9799" t="str">
        <x:v>KH-16360</x:v>
      </x:c>
      <x:c r="D9799" t="str">
        <x:v>Katherine Hughes</x:v>
      </x:c>
      <x:c r="E9799" t="str">
        <x:v>Consumer</x:v>
      </x:c>
      <x:c r="F9799" t="str">
        <x:v>Central</x:v>
      </x:c>
      <x:c r="G9799" t="str">
        <x:v>Office Supplies</x:v>
      </x:c>
      <x:c r="H9799" t="str">
        <x:v>Binders</x:v>
      </x:c>
      <x:c r="I9799" s="22" t="n">
        <x:v>18.239999999999995</x:v>
      </x:c>
      <x:c r="J9799" s="24" t="n">
        <x:v>3</x:v>
      </x:c>
      <x:c r="K9799" s="26" t="n">
        <x:v>0.8</x:v>
      </x:c>
      <x:c r="L9799" s="22" t="n">
        <x:v>-31.00800000000001</x:v>
      </x:c>
      <x:c r="M9799" t="n">
        <x:v>2014</x:v>
      </x:c>
      <x:c r="N9799" s="20" t="n">
        <x:v>41760</x:v>
      </x:c>
    </x:row>
    <x:row r="9800" ht="18" customHeight="1">
      <x:c r="A9800" t="str">
        <x:v>CA-2016-125920</x:v>
      </x:c>
      <x:c r="B9800" s="18" t="n">
        <x:v>42511</x:v>
      </x:c>
      <x:c r="C9800" t="str">
        <x:v>SH-19975</x:v>
      </x:c>
      <x:c r="D9800" t="str">
        <x:v>Sally Hughsby</x:v>
      </x:c>
      <x:c r="E9800" t="str">
        <x:v>Corporate</x:v>
      </x:c>
      <x:c r="F9800" t="str">
        <x:v>Central</x:v>
      </x:c>
      <x:c r="G9800" t="str">
        <x:v>Office Supplies</x:v>
      </x:c>
      <x:c r="H9800" t="str">
        <x:v>Binders</x:v>
      </x:c>
      <x:c r="I9800" s="22" t="n">
        <x:v>3.797999999999999</x:v>
      </x:c>
      <x:c r="J9800" s="24" t="n">
        <x:v>3</x:v>
      </x:c>
      <x:c r="K9800" s="26" t="n">
        <x:v>0.8</x:v>
      </x:c>
      <x:c r="L9800" s="22" t="n">
        <x:v>-5.886900000000001</x:v>
      </x:c>
      <x:c r="M9800" t="n">
        <x:v>2016</x:v>
      </x:c>
      <x:c r="N9800" s="20" t="n">
        <x:v>42491</x:v>
      </x:c>
    </x:row>
    <x:row r="9801" ht="18" customHeight="1">
      <x:c r="A9801" t="str">
        <x:v>CA-2015-128608</x:v>
      </x:c>
      <x:c r="B9801" s="18" t="n">
        <x:v>42016</x:v>
      </x:c>
      <x:c r="C9801" t="str">
        <x:v>CS-12490</x:v>
      </x:c>
      <x:c r="D9801" t="str">
        <x:v>Cindy Schnelling</x:v>
      </x:c>
      <x:c r="E9801" t="str">
        <x:v>Corporate</x:v>
      </x:c>
      <x:c r="F9801" t="str">
        <x:v>East</x:v>
      </x:c>
      <x:c r="G9801" t="str">
        <x:v>Office Supplies</x:v>
      </x:c>
      <x:c r="H9801" t="str">
        <x:v>Art</x:v>
      </x:c>
      <x:c r="I9801" s="22" t="n">
        <x:v>10.368000000000002</x:v>
      </x:c>
      <x:c r="J9801" s="24" t="n">
        <x:v>2</x:v>
      </x:c>
      <x:c r="K9801" s="26" t="n">
        <x:v>0.2</x:v>
      </x:c>
      <x:c r="L9801" s="22" t="n">
        <x:v>1.5551999999999992</x:v>
      </x:c>
      <x:c r="M9801" t="n">
        <x:v>2015</x:v>
      </x:c>
      <x:c r="N9801" s="20" t="n">
        <x:v>42005</x:v>
      </x:c>
    </x:row>
    <x:row r="9802" ht="18" customHeight="1">
      <x:c r="A9802" t="str">
        <x:v>CA-2015-128608</x:v>
      </x:c>
      <x:c r="B9802" s="18" t="n">
        <x:v>42016</x:v>
      </x:c>
      <x:c r="C9802" t="str">
        <x:v>CS-12490</x:v>
      </x:c>
      <x:c r="D9802" t="str">
        <x:v>Cindy Schnelling</x:v>
      </x:c>
      <x:c r="E9802" t="str">
        <x:v>Corporate</x:v>
      </x:c>
      <x:c r="F9802" t="str">
        <x:v>East</x:v>
      </x:c>
      <x:c r="G9802" t="str">
        <x:v>Technology</x:v>
      </x:c>
      <x:c r="H9802" t="str">
        <x:v>Phones</x:v>
      </x:c>
      <x:c r="I9802" s="22" t="n">
        <x:v>235.188</x:v>
      </x:c>
      <x:c r="J9802" s="24" t="n">
        <x:v>2</x:v>
      </x:c>
      <x:c r="K9802" s="26" t="n">
        <x:v>0.4</x:v>
      </x:c>
      <x:c r="L9802" s="22" t="n">
        <x:v>-43.117800000000045</x:v>
      </x:c>
      <x:c r="M9802" t="n">
        <x:v>2015</x:v>
      </x:c>
      <x:c r="N9802" s="20" t="n">
        <x:v>42005</x:v>
      </x:c>
    </x:row>
    <x:row r="9803" ht="18" customHeight="1">
      <x:c r="A9803" t="str">
        <x:v>CA-2015-128608</x:v>
      </x:c>
      <x:c r="B9803" s="18" t="n">
        <x:v>42016</x:v>
      </x:c>
      <x:c r="C9803" t="str">
        <x:v>CS-12490</x:v>
      </x:c>
      <x:c r="D9803" t="str">
        <x:v>Cindy Schnelling</x:v>
      </x:c>
      <x:c r="E9803" t="str">
        <x:v>Corporate</x:v>
      </x:c>
      <x:c r="F9803" t="str">
        <x:v>East</x:v>
      </x:c>
      <x:c r="G9803" t="str">
        <x:v>Technology</x:v>
      </x:c>
      <x:c r="H9803" t="str">
        <x:v>Phones</x:v>
      </x:c>
      <x:c r="I9803" s="22" t="n">
        <x:v>26.376</x:v>
      </x:c>
      <x:c r="J9803" s="24" t="n">
        <x:v>4</x:v>
      </x:c>
      <x:c r="K9803" s="26" t="n">
        <x:v>0.4</x:v>
      </x:c>
      <x:c r="L9803" s="22" t="n">
        <x:v>2.637599999999999</x:v>
      </x:c>
      <x:c r="M9803" t="n">
        <x:v>2015</x:v>
      </x:c>
      <x:c r="N9803" s="20" t="n">
        <x:v>42005</x:v>
      </x:c>
    </x:row>
    <x:row r="9804" ht="18" customHeight="1">
      <x:c r="A9804" t="str">
        <x:v>CA-2015-128608</x:v>
      </x:c>
      <x:c r="B9804" s="18" t="n">
        <x:v>42016</x:v>
      </x:c>
      <x:c r="C9804" t="str">
        <x:v>CS-12490</x:v>
      </x:c>
      <x:c r="D9804" t="str">
        <x:v>Cindy Schnelling</x:v>
      </x:c>
      <x:c r="E9804" t="str">
        <x:v>Corporate</x:v>
      </x:c>
      <x:c r="F9804" t="str">
        <x:v>East</x:v>
      </x:c>
      <x:c r="G9804" t="str">
        <x:v>Technology</x:v>
      </x:c>
      <x:c r="H9804" t="str">
        <x:v>Accessories</x:v>
      </x:c>
      <x:c r="I9804" s="22" t="n">
        <x:v>10.384</x:v>
      </x:c>
      <x:c r="J9804" s="24" t="n">
        <x:v>2</x:v>
      </x:c>
      <x:c r="K9804" s="26" t="n">
        <x:v>0.2</x:v>
      </x:c>
      <x:c r="L9804" s="22" t="n">
        <x:v>2.2066</x:v>
      </x:c>
      <x:c r="M9804" t="n">
        <x:v>2015</x:v>
      </x:c>
      <x:c r="N9804" s="20" t="n">
        <x:v>42005</x:v>
      </x:c>
    </x:row>
    <x:row r="9805" ht="18" customHeight="1">
      <x:c r="A9805" t="str">
        <x:v>CA-2015-128608</x:v>
      </x:c>
      <x:c r="B9805" s="18" t="n">
        <x:v>42016</x:v>
      </x:c>
      <x:c r="C9805" t="str">
        <x:v>CS-12490</x:v>
      </x:c>
      <x:c r="D9805" t="str">
        <x:v>Cindy Schnelling</x:v>
      </x:c>
      <x:c r="E9805" t="str">
        <x:v>Corporate</x:v>
      </x:c>
      <x:c r="F9805" t="str">
        <x:v>East</x:v>
      </x:c>
      <x:c r="G9805" t="str">
        <x:v>Technology</x:v>
      </x:c>
      <x:c r="H9805" t="str">
        <x:v>Phones</x:v>
      </x:c>
      <x:c r="I9805" s="22" t="n">
        <x:v>107.118</x:v>
      </x:c>
      <x:c r="J9805" s="24" t="n">
        <x:v>3</x:v>
      </x:c>
      <x:c r="K9805" s="26" t="n">
        <x:v>0.4</x:v>
      </x:c>
      <x:c r="L9805" s="22" t="n">
        <x:v>-21.423599999999993</x:v>
      </x:c>
      <x:c r="M9805" t="n">
        <x:v>2015</x:v>
      </x:c>
      <x:c r="N9805" s="20" t="n">
        <x:v>42005</x:v>
      </x:c>
    </x:row>
    <x:row r="9806" ht="18" customHeight="1">
      <x:c r="A9806" t="str">
        <x:v>CA-2017-137918</x:v>
      </x:c>
      <x:c r="B9806" s="18" t="n">
        <x:v>43007</x:v>
      </x:c>
      <x:c r="C9806" t="str">
        <x:v>JK-15730</x:v>
      </x:c>
      <x:c r="D9806" t="str">
        <x:v>Joe Kamberova</x:v>
      </x:c>
      <x:c r="E9806" t="str">
        <x:v>Consumer</x:v>
      </x:c>
      <x:c r="F9806" t="str">
        <x:v>West</x:v>
      </x:c>
      <x:c r="G9806" t="str">
        <x:v>Office Supplies</x:v>
      </x:c>
      <x:c r="H9806" t="str">
        <x:v>Supplies</x:v>
      </x:c>
      <x:c r="I9806" s="22" t="n">
        <x:v>97.3</x:v>
      </x:c>
      <x:c r="J9806" s="24" t="n">
        <x:v>7</x:v>
      </x:c>
      <x:c r="K9806" s="26" t="n">
        <x:v>0</x:v>
      </x:c>
      <x:c r="L9806" s="22" t="n">
        <x:v>28.21699999999999</x:v>
      </x:c>
      <x:c r="M9806" t="n">
        <x:v>2017</x:v>
      </x:c>
      <x:c r="N9806" s="20" t="n">
        <x:v>42979</x:v>
      </x:c>
    </x:row>
    <x:row r="9807" ht="18" customHeight="1">
      <x:c r="A9807" t="str">
        <x:v>CA-2015-122973</x:v>
      </x:c>
      <x:c r="B9807" s="18" t="n">
        <x:v>42203</x:v>
      </x:c>
      <x:c r="C9807" t="str">
        <x:v>PJ-19015</x:v>
      </x:c>
      <x:c r="D9807" t="str">
        <x:v>Pauline Johnson</x:v>
      </x:c>
      <x:c r="E9807" t="str">
        <x:v>Consumer</x:v>
      </x:c>
      <x:c r="F9807" t="str">
        <x:v>East</x:v>
      </x:c>
      <x:c r="G9807" t="str">
        <x:v>Office Supplies</x:v>
      </x:c>
      <x:c r="H9807" t="str">
        <x:v>Binders</x:v>
      </x:c>
      <x:c r="I9807" s="22" t="n">
        <x:v>3.3280000000000003</x:v>
      </x:c>
      <x:c r="J9807" s="24" t="n">
        <x:v>2</x:v>
      </x:c>
      <x:c r="K9807" s="26" t="n">
        <x:v>0.2</x:v>
      </x:c>
      <x:c r="L9807" s="22" t="n">
        <x:v>1.2064000000000001</x:v>
      </x:c>
      <x:c r="M9807" t="n">
        <x:v>2015</x:v>
      </x:c>
      <x:c r="N9807" s="20" t="n">
        <x:v>42186</x:v>
      </x:c>
    </x:row>
    <x:row r="9808" ht="18" customHeight="1">
      <x:c r="A9808" t="str">
        <x:v>CA-2015-122973</x:v>
      </x:c>
      <x:c r="B9808" s="18" t="n">
        <x:v>42203</x:v>
      </x:c>
      <x:c r="C9808" t="str">
        <x:v>PJ-19015</x:v>
      </x:c>
      <x:c r="D9808" t="str">
        <x:v>Pauline Johnson</x:v>
      </x:c>
      <x:c r="E9808" t="str">
        <x:v>Consumer</x:v>
      </x:c>
      <x:c r="F9808" t="str">
        <x:v>East</x:v>
      </x:c>
      <x:c r="G9808" t="str">
        <x:v>Technology</x:v>
      </x:c>
      <x:c r="H9808" t="str">
        <x:v>Phones</x:v>
      </x:c>
      <x:c r="I9808" s="22" t="n">
        <x:v>135.99</x:v>
      </x:c>
      <x:c r="J9808" s="24" t="n">
        <x:v>1</x:v>
      </x:c>
      <x:c r="K9808" s="26" t="n">
        <x:v>0</x:v>
      </x:c>
      <x:c r="L9808" s="22" t="n">
        <x:v>36.71730000000001</x:v>
      </x:c>
      <x:c r="M9808" t="n">
        <x:v>2015</x:v>
      </x:c>
      <x:c r="N9808" s="20" t="n">
        <x:v>42186</x:v>
      </x:c>
    </x:row>
    <x:row r="9809" ht="18" customHeight="1">
      <x:c r="A9809" t="str">
        <x:v>CA-2015-122973</x:v>
      </x:c>
      <x:c r="B9809" s="18" t="n">
        <x:v>42203</x:v>
      </x:c>
      <x:c r="C9809" t="str">
        <x:v>PJ-19015</x:v>
      </x:c>
      <x:c r="D9809" t="str">
        <x:v>Pauline Johnson</x:v>
      </x:c>
      <x:c r="E9809" t="str">
        <x:v>Consumer</x:v>
      </x:c>
      <x:c r="F9809" t="str">
        <x:v>East</x:v>
      </x:c>
      <x:c r="G9809" t="str">
        <x:v>Furniture</x:v>
      </x:c>
      <x:c r="H9809" t="str">
        <x:v>Furnishings</x:v>
      </x:c>
      <x:c r="I9809" s="22" t="n">
        <x:v>7.38</x:v>
      </x:c>
      <x:c r="J9809" s="24" t="n">
        <x:v>1</x:v>
      </x:c>
      <x:c r="K9809" s="26" t="n">
        <x:v>0</x:v>
      </x:c>
      <x:c r="L9809" s="22" t="n">
        <x:v>2.140199999999999</x:v>
      </x:c>
      <x:c r="M9809" t="n">
        <x:v>2015</x:v>
      </x:c>
      <x:c r="N9809" s="20" t="n">
        <x:v>42186</x:v>
      </x:c>
    </x:row>
    <x:row r="9810" ht="18" customHeight="1">
      <x:c r="A9810" t="str">
        <x:v>CA-2016-136322</x:v>
      </x:c>
      <x:c r="B9810" s="18" t="n">
        <x:v>42664</x:v>
      </x:c>
      <x:c r="C9810" t="str">
        <x:v>AP-10720</x:v>
      </x:c>
      <x:c r="D9810" t="str">
        <x:v>Anne Pryor</x:v>
      </x:c>
      <x:c r="E9810" t="str">
        <x:v>Home Office</x:v>
      </x:c>
      <x:c r="F9810" t="str">
        <x:v>South</x:v>
      </x:c>
      <x:c r="G9810" t="str">
        <x:v>Furniture</x:v>
      </x:c>
      <x:c r="H9810" t="str">
        <x:v>Furnishings</x:v>
      </x:c>
      <x:c r="I9810" s="22" t="n">
        <x:v>45.568000000000005</x:v>
      </x:c>
      <x:c r="J9810" s="24" t="n">
        <x:v>2</x:v>
      </x:c>
      <x:c r="K9810" s="26" t="n">
        <x:v>0.2</x:v>
      </x:c>
      <x:c r="L9810" s="22" t="n">
        <x:v>9.683200000000001</x:v>
      </x:c>
      <x:c r="M9810" t="n">
        <x:v>2016</x:v>
      </x:c>
      <x:c r="N9810" s="20" t="n">
        <x:v>42644</x:v>
      </x:c>
    </x:row>
    <x:row r="9811" ht="18" customHeight="1">
      <x:c r="A9811" t="str">
        <x:v>CA-2016-136322</x:v>
      </x:c>
      <x:c r="B9811" s="18" t="n">
        <x:v>42664</x:v>
      </x:c>
      <x:c r="C9811" t="str">
        <x:v>AP-10720</x:v>
      </x:c>
      <x:c r="D9811" t="str">
        <x:v>Anne Pryor</x:v>
      </x:c>
      <x:c r="E9811" t="str">
        <x:v>Home Office</x:v>
      </x:c>
      <x:c r="F9811" t="str">
        <x:v>South</x:v>
      </x:c>
      <x:c r="G9811" t="str">
        <x:v>Office Supplies</x:v>
      </x:c>
      <x:c r="H9811" t="str">
        <x:v>Binders</x:v>
      </x:c>
      <x:c r="I9811" s="22" t="n">
        <x:v>28.752000000000006</x:v>
      </x:c>
      <x:c r="J9811" s="24" t="n">
        <x:v>8</x:v>
      </x:c>
      <x:c r="K9811" s="26" t="n">
        <x:v>0.7</x:v>
      </x:c>
      <x:c r="L9811" s="22" t="n">
        <x:v>-21.084799999999994</x:v>
      </x:c>
      <x:c r="M9811" t="n">
        <x:v>2016</x:v>
      </x:c>
      <x:c r="N9811" s="20" t="n">
        <x:v>42644</x:v>
      </x:c>
    </x:row>
    <x:row r="9812" ht="18" customHeight="1">
      <x:c r="A9812" t="str">
        <x:v>CA-2017-107209</x:v>
      </x:c>
      <x:c r="B9812" s="18" t="n">
        <x:v>42943</x:v>
      </x:c>
      <x:c r="C9812" t="str">
        <x:v>JW-15955</x:v>
      </x:c>
      <x:c r="D9812" t="str">
        <x:v>Joni Wasserman</x:v>
      </x:c>
      <x:c r="E9812" t="str">
        <x:v>Consumer</x:v>
      </x:c>
      <x:c r="F9812" t="str">
        <x:v>South</x:v>
      </x:c>
      <x:c r="G9812" t="str">
        <x:v>Furniture</x:v>
      </x:c>
      <x:c r="H9812" t="str">
        <x:v>Chairs</x:v>
      </x:c>
      <x:c r="I9812" s="22" t="n">
        <x:v>194.848</x:v>
      </x:c>
      <x:c r="J9812" s="24" t="n">
        <x:v>4</x:v>
      </x:c>
      <x:c r="K9812" s="26" t="n">
        <x:v>0.2</x:v>
      </x:c>
      <x:c r="L9812" s="22" t="n">
        <x:v>12.177999999999983</x:v>
      </x:c>
      <x:c r="M9812" t="n">
        <x:v>2017</x:v>
      </x:c>
      <x:c r="N9812" s="20" t="n">
        <x:v>42917</x:v>
      </x:c>
    </x:row>
    <x:row r="9813" ht="18" customHeight="1">
      <x:c r="A9813" t="str">
        <x:v>CA-2017-145093</x:v>
      </x:c>
      <x:c r="B9813" s="18" t="n">
        <x:v>42937</x:v>
      </x:c>
      <x:c r="C9813" t="str">
        <x:v>PT-19090</x:v>
      </x:c>
      <x:c r="D9813" t="str">
        <x:v>Pete Takahito</x:v>
      </x:c>
      <x:c r="E9813" t="str">
        <x:v>Consumer</x:v>
      </x:c>
      <x:c r="F9813" t="str">
        <x:v>Central</x:v>
      </x:c>
      <x:c r="G9813" t="str">
        <x:v>Office Supplies</x:v>
      </x:c>
      <x:c r="H9813" t="str">
        <x:v>Binders</x:v>
      </x:c>
      <x:c r="I9813" s="22" t="n">
        <x:v>2.1119999999999997</x:v>
      </x:c>
      <x:c r="J9813" s="24" t="n">
        <x:v>2</x:v>
      </x:c>
      <x:c r="K9813" s="26" t="n">
        <x:v>0.8</x:v>
      </x:c>
      <x:c r="L9813" s="22" t="n">
        <x:v>-3.3792</x:v>
      </x:c>
      <x:c r="M9813" t="n">
        <x:v>2017</x:v>
      </x:c>
      <x:c r="N9813" s="20" t="n">
        <x:v>42917</x:v>
      </x:c>
    </x:row>
    <x:row r="9814" ht="18" customHeight="1">
      <x:c r="A9814" t="str">
        <x:v>US-2014-139640</x:v>
      </x:c>
      <x:c r="B9814" s="18" t="n">
        <x:v>41950</x:v>
      </x:c>
      <x:c r="C9814" t="str">
        <x:v>TB-21595</x:v>
      </x:c>
      <x:c r="D9814" t="str">
        <x:v>Troy Blackwell</x:v>
      </x:c>
      <x:c r="E9814" t="str">
        <x:v>Consumer</x:v>
      </x:c>
      <x:c r="F9814" t="str">
        <x:v>West</x:v>
      </x:c>
      <x:c r="G9814" t="str">
        <x:v>Office Supplies</x:v>
      </x:c>
      <x:c r="H9814" t="str">
        <x:v>Paper</x:v>
      </x:c>
      <x:c r="I9814" s="22" t="n">
        <x:v>25.920000000000005</x:v>
      </x:c>
      <x:c r="J9814" s="24" t="n">
        <x:v>5</x:v>
      </x:c>
      <x:c r="K9814" s="26" t="n">
        <x:v>0.2</x:v>
      </x:c>
      <x:c r="L9814" s="22" t="n">
        <x:v>9.072</x:v>
      </x:c>
      <x:c r="M9814" t="n">
        <x:v>2014</x:v>
      </x:c>
      <x:c r="N9814" s="20" t="n">
        <x:v>41944</x:v>
      </x:c>
    </x:row>
    <x:row r="9815" ht="18" customHeight="1">
      <x:c r="A9815" t="str">
        <x:v>US-2014-139640</x:v>
      </x:c>
      <x:c r="B9815" s="18" t="n">
        <x:v>41950</x:v>
      </x:c>
      <x:c r="C9815" t="str">
        <x:v>TB-21595</x:v>
      </x:c>
      <x:c r="D9815" t="str">
        <x:v>Troy Blackwell</x:v>
      </x:c>
      <x:c r="E9815" t="str">
        <x:v>Consumer</x:v>
      </x:c>
      <x:c r="F9815" t="str">
        <x:v>West</x:v>
      </x:c>
      <x:c r="G9815" t="str">
        <x:v>Office Supplies</x:v>
      </x:c>
      <x:c r="H9815" t="str">
        <x:v>Art</x:v>
      </x:c>
      <x:c r="I9815" s="22" t="n">
        <x:v>120.76800000000001</x:v>
      </x:c>
      <x:c r="J9815" s="24" t="n">
        <x:v>4</x:v>
      </x:c>
      <x:c r="K9815" s="26" t="n">
        <x:v>0.2</x:v>
      </x:c>
      <x:c r="L9815" s="22" t="n">
        <x:v>9.057599999999997</x:v>
      </x:c>
      <x:c r="M9815" t="n">
        <x:v>2014</x:v>
      </x:c>
      <x:c r="N9815" s="20" t="n">
        <x:v>41944</x:v>
      </x:c>
    </x:row>
    <x:row r="9816" ht="18" customHeight="1">
      <x:c r="A9816" t="str">
        <x:v>CA-2016-117583</x:v>
      </x:c>
      <x:c r="B9816" s="18" t="n">
        <x:v>42701</x:v>
      </x:c>
      <x:c r="C9816" t="str">
        <x:v>CB-12025</x:v>
      </x:c>
      <x:c r="D9816" t="str">
        <x:v>Cassandra Brandow</x:v>
      </x:c>
      <x:c r="E9816" t="str">
        <x:v>Consumer</x:v>
      </x:c>
      <x:c r="F9816" t="str">
        <x:v>East</x:v>
      </x:c>
      <x:c r="G9816" t="str">
        <x:v>Office Supplies</x:v>
      </x:c>
      <x:c r="H9816" t="str">
        <x:v>Paper</x:v>
      </x:c>
      <x:c r="I9816" s="22" t="n">
        <x:v>25.92</x:v>
      </x:c>
      <x:c r="J9816" s="24" t="n">
        <x:v>4</x:v>
      </x:c>
      <x:c r="K9816" s="26" t="n">
        <x:v>0</x:v>
      </x:c>
      <x:c r="L9816" s="22" t="n">
        <x:v>12.441600000000001</x:v>
      </x:c>
      <x:c r="M9816" t="n">
        <x:v>2016</x:v>
      </x:c>
      <x:c r="N9816" s="20" t="n">
        <x:v>42675</x:v>
      </x:c>
    </x:row>
    <x:row r="9817" ht="18" customHeight="1">
      <x:c r="A9817" t="str">
        <x:v>CA-2016-117583</x:v>
      </x:c>
      <x:c r="B9817" s="18" t="n">
        <x:v>42701</x:v>
      </x:c>
      <x:c r="C9817" t="str">
        <x:v>CB-12025</x:v>
      </x:c>
      <x:c r="D9817" t="str">
        <x:v>Cassandra Brandow</x:v>
      </x:c>
      <x:c r="E9817" t="str">
        <x:v>Consumer</x:v>
      </x:c>
      <x:c r="F9817" t="str">
        <x:v>East</x:v>
      </x:c>
      <x:c r="G9817" t="str">
        <x:v>Office Supplies</x:v>
      </x:c>
      <x:c r="H9817" t="str">
        <x:v>Art</x:v>
      </x:c>
      <x:c r="I9817" s="22" t="n">
        <x:v>34.650000000000006</x:v>
      </x:c>
      <x:c r="J9817" s="24" t="n">
        <x:v>3</x:v>
      </x:c>
      <x:c r="K9817" s="26" t="n">
        <x:v>0</x:v>
      </x:c>
      <x:c r="L9817" s="22" t="n">
        <x:v>9.702</x:v>
      </x:c>
      <x:c r="M9817" t="n">
        <x:v>2016</x:v>
      </x:c>
      <x:c r="N9817" s="20" t="n">
        <x:v>42675</x:v>
      </x:c>
    </x:row>
    <x:row r="9818" ht="18" customHeight="1">
      <x:c r="A9818" t="str">
        <x:v>CA-2016-117583</x:v>
      </x:c>
      <x:c r="B9818" s="18" t="n">
        <x:v>42701</x:v>
      </x:c>
      <x:c r="C9818" t="str">
        <x:v>CB-12025</x:v>
      </x:c>
      <x:c r="D9818" t="str">
        <x:v>Cassandra Brandow</x:v>
      </x:c>
      <x:c r="E9818" t="str">
        <x:v>Consumer</x:v>
      </x:c>
      <x:c r="F9818" t="str">
        <x:v>East</x:v>
      </x:c>
      <x:c r="G9818" t="str">
        <x:v>Office Supplies</x:v>
      </x:c>
      <x:c r="H9818" t="str">
        <x:v>Paper</x:v>
      </x:c>
      <x:c r="I9818" s="22" t="n">
        <x:v>204.95000000000002</x:v>
      </x:c>
      <x:c r="J9818" s="24" t="n">
        <x:v>5</x:v>
      </x:c>
      <x:c r="K9818" s="26" t="n">
        <x:v>0</x:v>
      </x:c>
      <x:c r="L9818" s="22" t="n">
        <x:v>100.4255</x:v>
      </x:c>
      <x:c r="M9818" t="n">
        <x:v>2016</x:v>
      </x:c>
      <x:c r="N9818" s="20" t="n">
        <x:v>42675</x:v>
      </x:c>
    </x:row>
    <x:row r="9819" ht="18" customHeight="1">
      <x:c r="A9819" t="str">
        <x:v>CA-2016-117583</x:v>
      </x:c>
      <x:c r="B9819" s="18" t="n">
        <x:v>42701</x:v>
      </x:c>
      <x:c r="C9819" t="str">
        <x:v>CB-12025</x:v>
      </x:c>
      <x:c r="D9819" t="str">
        <x:v>Cassandra Brandow</x:v>
      </x:c>
      <x:c r="E9819" t="str">
        <x:v>Consumer</x:v>
      </x:c>
      <x:c r="F9819" t="str">
        <x:v>East</x:v>
      </x:c>
      <x:c r="G9819" t="str">
        <x:v>Office Supplies</x:v>
      </x:c>
      <x:c r="H9819" t="str">
        <x:v>Binders</x:v>
      </x:c>
      <x:c r="I9819" s="22" t="n">
        <x:v>79.95</x:v>
      </x:c>
      <x:c r="J9819" s="24" t="n">
        <x:v>5</x:v>
      </x:c>
      <x:c r="K9819" s="26" t="n">
        <x:v>0</x:v>
      </x:c>
      <x:c r="L9819" s="22" t="n">
        <x:v>38.376000000000005</x:v>
      </x:c>
      <x:c r="M9819" t="n">
        <x:v>2016</x:v>
      </x:c>
      <x:c r="N9819" s="20" t="n">
        <x:v>42675</x:v>
      </x:c>
    </x:row>
    <x:row r="9820" ht="18" customHeight="1">
      <x:c r="A9820" t="str">
        <x:v>CA-2015-162201</x:v>
      </x:c>
      <x:c r="B9820" s="18" t="n">
        <x:v>42163</x:v>
      </x:c>
      <x:c r="C9820" t="str">
        <x:v>AG-10495</x:v>
      </x:c>
      <x:c r="D9820" t="str">
        <x:v>Andrew Gjertsen</x:v>
      </x:c>
      <x:c r="E9820" t="str">
        <x:v>Corporate</x:v>
      </x:c>
      <x:c r="F9820" t="str">
        <x:v>South</x:v>
      </x:c>
      <x:c r="G9820" t="str">
        <x:v>Office Supplies</x:v>
      </x:c>
      <x:c r="H9820" t="str">
        <x:v>Paper</x:v>
      </x:c>
      <x:c r="I9820" s="22" t="n">
        <x:v>173.48800000000003</x:v>
      </x:c>
      <x:c r="J9820" s="24" t="n">
        <x:v>7</x:v>
      </x:c>
      <x:c r="K9820" s="26" t="n">
        <x:v>0.2</x:v>
      </x:c>
      <x:c r="L9820" s="22" t="n">
        <x:v>54.21499999999998</x:v>
      </x:c>
      <x:c r="M9820" t="n">
        <x:v>2015</x:v>
      </x:c>
      <x:c r="N9820" s="20" t="n">
        <x:v>42156</x:v>
      </x:c>
    </x:row>
    <x:row r="9821" ht="18" customHeight="1">
      <x:c r="A9821" t="str">
        <x:v>CA-2015-162201</x:v>
      </x:c>
      <x:c r="B9821" s="18" t="n">
        <x:v>42163</x:v>
      </x:c>
      <x:c r="C9821" t="str">
        <x:v>AG-10495</x:v>
      </x:c>
      <x:c r="D9821" t="str">
        <x:v>Andrew Gjertsen</x:v>
      </x:c>
      <x:c r="E9821" t="str">
        <x:v>Corporate</x:v>
      </x:c>
      <x:c r="F9821" t="str">
        <x:v>South</x:v>
      </x:c>
      <x:c r="G9821" t="str">
        <x:v>Office Supplies</x:v>
      </x:c>
      <x:c r="H9821" t="str">
        <x:v>Storage</x:v>
      </x:c>
      <x:c r="I9821" s="22" t="n">
        <x:v>516.96</x:v>
      </x:c>
      <x:c r="J9821" s="24" t="n">
        <x:v>4</x:v>
      </x:c>
      <x:c r="K9821" s="26" t="n">
        <x:v>0.2</x:v>
      </x:c>
      <x:c r="L9821" s="22" t="n">
        <x:v>-6.461999999999989</x:v>
      </x:c>
      <x:c r="M9821" t="n">
        <x:v>2015</x:v>
      </x:c>
      <x:c r="N9821" s="20" t="n">
        <x:v>42156</x:v>
      </x:c>
    </x:row>
    <x:row r="9822" ht="18" customHeight="1">
      <x:c r="A9822" t="str">
        <x:v>CA-2015-162201</x:v>
      </x:c>
      <x:c r="B9822" s="18" t="n">
        <x:v>42163</x:v>
      </x:c>
      <x:c r="C9822" t="str">
        <x:v>AG-10495</x:v>
      </x:c>
      <x:c r="D9822" t="str">
        <x:v>Andrew Gjertsen</x:v>
      </x:c>
      <x:c r="E9822" t="str">
        <x:v>Corporate</x:v>
      </x:c>
      <x:c r="F9822" t="str">
        <x:v>South</x:v>
      </x:c>
      <x:c r="G9822" t="str">
        <x:v>Furniture</x:v>
      </x:c>
      <x:c r="H9822" t="str">
        <x:v>Furnishings</x:v>
      </x:c>
      <x:c r="I9822" s="22" t="n">
        <x:v>173.208</x:v>
      </x:c>
      <x:c r="J9822" s="24" t="n">
        <x:v>7</x:v>
      </x:c>
      <x:c r="K9822" s="26" t="n">
        <x:v>0.2</x:v>
      </x:c>
      <x:c r="L9822" s="22" t="n">
        <x:v>45.46710000000001</x:v>
      </x:c>
      <x:c r="M9822" t="n">
        <x:v>2015</x:v>
      </x:c>
      <x:c r="N9822" s="20" t="n">
        <x:v>42156</x:v>
      </x:c>
    </x:row>
    <x:row r="9823" ht="18" customHeight="1">
      <x:c r="A9823" t="str">
        <x:v>CA-2015-162201</x:v>
      </x:c>
      <x:c r="B9823" s="18" t="n">
        <x:v>42163</x:v>
      </x:c>
      <x:c r="C9823" t="str">
        <x:v>AG-10495</x:v>
      </x:c>
      <x:c r="D9823" t="str">
        <x:v>Andrew Gjertsen</x:v>
      </x:c>
      <x:c r="E9823" t="str">
        <x:v>Corporate</x:v>
      </x:c>
      <x:c r="F9823" t="str">
        <x:v>South</x:v>
      </x:c>
      <x:c r="G9823" t="str">
        <x:v>Office Supplies</x:v>
      </x:c>
      <x:c r="H9823" t="str">
        <x:v>Art</x:v>
      </x:c>
      <x:c r="I9823" s="22" t="n">
        <x:v>4.4479999999999995</x:v>
      </x:c>
      <x:c r="J9823" s="24" t="n">
        <x:v>2</x:v>
      </x:c>
      <x:c r="K9823" s="26" t="n">
        <x:v>0.2</x:v>
      </x:c>
      <x:c r="L9823" s="22" t="n">
        <x:v>0.3335999999999999</x:v>
      </x:c>
      <x:c r="M9823" t="n">
        <x:v>2015</x:v>
      </x:c>
      <x:c r="N9823" s="20" t="n">
        <x:v>42156</x:v>
      </x:c>
    </x:row>
    <x:row r="9824" ht="18" customHeight="1">
      <x:c r="A9824" t="str">
        <x:v>CA-2015-162201</x:v>
      </x:c>
      <x:c r="B9824" s="18" t="n">
        <x:v>42163</x:v>
      </x:c>
      <x:c r="C9824" t="str">
        <x:v>AG-10495</x:v>
      </x:c>
      <x:c r="D9824" t="str">
        <x:v>Andrew Gjertsen</x:v>
      </x:c>
      <x:c r="E9824" t="str">
        <x:v>Corporate</x:v>
      </x:c>
      <x:c r="F9824" t="str">
        <x:v>South</x:v>
      </x:c>
      <x:c r="G9824" t="str">
        <x:v>Office Supplies</x:v>
      </x:c>
      <x:c r="H9824" t="str">
        <x:v>Labels</x:v>
      </x:c>
      <x:c r="I9824" s="22" t="n">
        <x:v>9</x:v>
      </x:c>
      <x:c r="J9824" s="24" t="n">
        <x:v>3</x:v>
      </x:c>
      <x:c r="K9824" s="26" t="n">
        <x:v>0.2</x:v>
      </x:c>
      <x:c r="L9824" s="22" t="n">
        <x:v>3.1499999999999995</x:v>
      </x:c>
      <x:c r="M9824" t="n">
        <x:v>2015</x:v>
      </x:c>
      <x:c r="N9824" s="20" t="n">
        <x:v>42156</x:v>
      </x:c>
    </x:row>
    <x:row r="9825" ht="18" customHeight="1">
      <x:c r="A9825" t="str">
        <x:v>CA-2015-162201</x:v>
      </x:c>
      <x:c r="B9825" s="18" t="n">
        <x:v>42163</x:v>
      </x:c>
      <x:c r="C9825" t="str">
        <x:v>AG-10495</x:v>
      </x:c>
      <x:c r="D9825" t="str">
        <x:v>Andrew Gjertsen</x:v>
      </x:c>
      <x:c r="E9825" t="str">
        <x:v>Corporate</x:v>
      </x:c>
      <x:c r="F9825" t="str">
        <x:v>South</x:v>
      </x:c>
      <x:c r="G9825" t="str">
        <x:v>Office Supplies</x:v>
      </x:c>
      <x:c r="H9825" t="str">
        <x:v>Paper</x:v>
      </x:c>
      <x:c r="I9825" s="22" t="n">
        <x:v>42.24</x:v>
      </x:c>
      <x:c r="J9825" s="24" t="n">
        <x:v>10</x:v>
      </x:c>
      <x:c r="K9825" s="26" t="n">
        <x:v>0.2</x:v>
      </x:c>
      <x:c r="L9825" s="22" t="n">
        <x:v>13.199999999999998</x:v>
      </x:c>
      <x:c r="M9825" t="n">
        <x:v>2015</x:v>
      </x:c>
      <x:c r="N9825" s="20" t="n">
        <x:v>42156</x:v>
      </x:c>
    </x:row>
    <x:row r="9826" ht="18" customHeight="1">
      <x:c r="A9826" t="str">
        <x:v>CA-2015-162201</x:v>
      </x:c>
      <x:c r="B9826" s="18" t="n">
        <x:v>42163</x:v>
      </x:c>
      <x:c r="C9826" t="str">
        <x:v>AG-10495</x:v>
      </x:c>
      <x:c r="D9826" t="str">
        <x:v>Andrew Gjertsen</x:v>
      </x:c>
      <x:c r="E9826" t="str">
        <x:v>Corporate</x:v>
      </x:c>
      <x:c r="F9826" t="str">
        <x:v>South</x:v>
      </x:c>
      <x:c r="G9826" t="str">
        <x:v>Office Supplies</x:v>
      </x:c>
      <x:c r="H9826" t="str">
        <x:v>Binders</x:v>
      </x:c>
      <x:c r="I9826" s="22" t="n">
        <x:v>18.264000000000003</x:v>
      </x:c>
      <x:c r="J9826" s="24" t="n">
        <x:v>2</x:v>
      </x:c>
      <x:c r="K9826" s="26" t="n">
        <x:v>0.7</x:v>
      </x:c>
      <x:c r="L9826" s="22" t="n">
        <x:v>-13.3936</x:v>
      </x:c>
      <x:c r="M9826" t="n">
        <x:v>2015</x:v>
      </x:c>
      <x:c r="N9826" s="20" t="n">
        <x:v>42156</x:v>
      </x:c>
    </x:row>
    <x:row r="9827" ht="18" customHeight="1">
      <x:c r="A9827" t="str">
        <x:v>US-2014-164406</x:v>
      </x:c>
      <x:c r="B9827" s="18" t="n">
        <x:v>41866</x:v>
      </x:c>
      <x:c r="C9827" t="str">
        <x:v>BD-11605</x:v>
      </x:c>
      <x:c r="D9827" t="str">
        <x:v>Brian Dahlen</x:v>
      </x:c>
      <x:c r="E9827" t="str">
        <x:v>Consumer</x:v>
      </x:c>
      <x:c r="F9827" t="str">
        <x:v>West</x:v>
      </x:c>
      <x:c r="G9827" t="str">
        <x:v>Office Supplies</x:v>
      </x:c>
      <x:c r="H9827" t="str">
        <x:v>Appliances</x:v>
      </x:c>
      <x:c r="I9827" s="22" t="n">
        <x:v>152.91</x:v>
      </x:c>
      <x:c r="J9827" s="24" t="n">
        <x:v>3</x:v>
      </x:c>
      <x:c r="K9827" s="26" t="n">
        <x:v>0</x:v>
      </x:c>
      <x:c r="L9827" s="22" t="n">
        <x:v>42.8148</x:v>
      </x:c>
      <x:c r="M9827" t="n">
        <x:v>2014</x:v>
      </x:c>
      <x:c r="N9827" s="20" t="n">
        <x:v>41852</x:v>
      </x:c>
    </x:row>
    <x:row r="9828" ht="18" customHeight="1">
      <x:c r="A9828" t="str">
        <x:v>US-2014-164406</x:v>
      </x:c>
      <x:c r="B9828" s="18" t="n">
        <x:v>41866</x:v>
      </x:c>
      <x:c r="C9828" t="str">
        <x:v>BD-11605</x:v>
      </x:c>
      <x:c r="D9828" t="str">
        <x:v>Brian Dahlen</x:v>
      </x:c>
      <x:c r="E9828" t="str">
        <x:v>Consumer</x:v>
      </x:c>
      <x:c r="F9828" t="str">
        <x:v>West</x:v>
      </x:c>
      <x:c r="G9828" t="str">
        <x:v>Office Supplies</x:v>
      </x:c>
      <x:c r="H9828" t="str">
        <x:v>Paper</x:v>
      </x:c>
      <x:c r="I9828" s="22" t="n">
        <x:v>92.94</x:v>
      </x:c>
      <x:c r="J9828" s="24" t="n">
        <x:v>3</x:v>
      </x:c>
      <x:c r="K9828" s="26" t="n">
        <x:v>0</x:v>
      </x:c>
      <x:c r="L9828" s="22" t="n">
        <x:v>41.82299999999999</x:v>
      </x:c>
      <x:c r="M9828" t="n">
        <x:v>2014</x:v>
      </x:c>
      <x:c r="N9828" s="20" t="n">
        <x:v>41852</x:v>
      </x:c>
    </x:row>
    <x:row r="9829" ht="18" customHeight="1">
      <x:c r="A9829" t="str">
        <x:v>US-2014-164406</x:v>
      </x:c>
      <x:c r="B9829" s="18" t="n">
        <x:v>41866</x:v>
      </x:c>
      <x:c r="C9829" t="str">
        <x:v>BD-11605</x:v>
      </x:c>
      <x:c r="D9829" t="str">
        <x:v>Brian Dahlen</x:v>
      </x:c>
      <x:c r="E9829" t="str">
        <x:v>Consumer</x:v>
      </x:c>
      <x:c r="F9829" t="str">
        <x:v>West</x:v>
      </x:c>
      <x:c r="G9829" t="str">
        <x:v>Office Supplies</x:v>
      </x:c>
      <x:c r="H9829" t="str">
        <x:v>Binders</x:v>
      </x:c>
      <x:c r="I9829" s="22" t="n">
        <x:v>17.856</x:v>
      </x:c>
      <x:c r="J9829" s="24" t="n">
        <x:v>4</x:v>
      </x:c>
      <x:c r="K9829" s="26" t="n">
        <x:v>0.2</x:v>
      </x:c>
      <x:c r="L9829" s="22" t="n">
        <x:v>6.249599999999999</x:v>
      </x:c>
      <x:c r="M9829" t="n">
        <x:v>2014</x:v>
      </x:c>
      <x:c r="N9829" s="20" t="n">
        <x:v>41852</x:v>
      </x:c>
    </x:row>
    <x:row r="9830" ht="18" customHeight="1">
      <x:c r="A9830" t="str">
        <x:v>US-2014-164406</x:v>
      </x:c>
      <x:c r="B9830" s="18" t="n">
        <x:v>41866</x:v>
      </x:c>
      <x:c r="C9830" t="str">
        <x:v>BD-11605</x:v>
      </x:c>
      <x:c r="D9830" t="str">
        <x:v>Brian Dahlen</x:v>
      </x:c>
      <x:c r="E9830" t="str">
        <x:v>Consumer</x:v>
      </x:c>
      <x:c r="F9830" t="str">
        <x:v>West</x:v>
      </x:c>
      <x:c r="G9830" t="str">
        <x:v>Office Supplies</x:v>
      </x:c>
      <x:c r="H9830" t="str">
        <x:v>Binders</x:v>
      </x:c>
      <x:c r="I9830" s="22" t="n">
        <x:v>46.440000000000005</x:v>
      </x:c>
      <x:c r="J9830" s="24" t="n">
        <x:v>3</x:v>
      </x:c>
      <x:c r="K9830" s="26" t="n">
        <x:v>0.2</x:v>
      </x:c>
      <x:c r="L9830" s="22" t="n">
        <x:v>15.092999999999998</x:v>
      </x:c>
      <x:c r="M9830" t="n">
        <x:v>2014</x:v>
      </x:c>
      <x:c r="N9830" s="20" t="n">
        <x:v>41852</x:v>
      </x:c>
    </x:row>
    <x:row r="9831" ht="18" customHeight="1">
      <x:c r="A9831" t="str">
        <x:v>US-2014-164406</x:v>
      </x:c>
      <x:c r="B9831" s="18" t="n">
        <x:v>41866</x:v>
      </x:c>
      <x:c r="C9831" t="str">
        <x:v>BD-11605</x:v>
      </x:c>
      <x:c r="D9831" t="str">
        <x:v>Brian Dahlen</x:v>
      </x:c>
      <x:c r="E9831" t="str">
        <x:v>Consumer</x:v>
      </x:c>
      <x:c r="F9831" t="str">
        <x:v>West</x:v>
      </x:c>
      <x:c r="G9831" t="str">
        <x:v>Furniture</x:v>
      </x:c>
      <x:c r="H9831" t="str">
        <x:v>Chairs</x:v>
      </x:c>
      <x:c r="I9831" s="22" t="n">
        <x:v>195.136</x:v>
      </x:c>
      <x:c r="J9831" s="24" t="n">
        <x:v>4</x:v>
      </x:c>
      <x:c r="K9831" s="26" t="n">
        <x:v>0.2</x:v>
      </x:c>
      <x:c r="L9831" s="22" t="n">
        <x:v>-12.196000000000005</x:v>
      </x:c>
      <x:c r="M9831" t="n">
        <x:v>2014</x:v>
      </x:c>
      <x:c r="N9831" s="20" t="n">
        <x:v>41852</x:v>
      </x:c>
    </x:row>
    <x:row r="9832" ht="18" customHeight="1">
      <x:c r="A9832" t="str">
        <x:v>CA-2017-169999</x:v>
      </x:c>
      <x:c r="B9832" s="18" t="n">
        <x:v>42905</x:v>
      </x:c>
      <x:c r="C9832" t="str">
        <x:v>JS-15685</x:v>
      </x:c>
      <x:c r="D9832" t="str">
        <x:v>Jim Sink</x:v>
      </x:c>
      <x:c r="E9832" t="str">
        <x:v>Corporate</x:v>
      </x:c>
      <x:c r="F9832" t="str">
        <x:v>East</x:v>
      </x:c>
      <x:c r="G9832" t="str">
        <x:v>Office Supplies</x:v>
      </x:c>
      <x:c r="H9832" t="str">
        <x:v>Storage</x:v>
      </x:c>
      <x:c r="I9832" s="22" t="n">
        <x:v>129.3</x:v>
      </x:c>
      <x:c r="J9832" s="24" t="n">
        <x:v>2</x:v>
      </x:c>
      <x:c r="K9832" s="26" t="n">
        <x:v>0</x:v>
      </x:c>
      <x:c r="L9832" s="22" t="n">
        <x:v>6.464999999999989</x:v>
      </x:c>
      <x:c r="M9832" t="n">
        <x:v>2017</x:v>
      </x:c>
      <x:c r="N9832" s="20" t="n">
        <x:v>42887</x:v>
      </x:c>
    </x:row>
    <x:row r="9833" ht="18" customHeight="1">
      <x:c r="A9833" t="str">
        <x:v>CA-2017-169999</x:v>
      </x:c>
      <x:c r="B9833" s="18" t="n">
        <x:v>42905</x:v>
      </x:c>
      <x:c r="C9833" t="str">
        <x:v>JS-15685</x:v>
      </x:c>
      <x:c r="D9833" t="str">
        <x:v>Jim Sink</x:v>
      </x:c>
      <x:c r="E9833" t="str">
        <x:v>Corporate</x:v>
      </x:c>
      <x:c r="F9833" t="str">
        <x:v>East</x:v>
      </x:c>
      <x:c r="G9833" t="str">
        <x:v>Office Supplies</x:v>
      </x:c>
      <x:c r="H9833" t="str">
        <x:v>Binders</x:v>
      </x:c>
      <x:c r="I9833" s="22" t="n">
        <x:v>11.568000000000001</x:v>
      </x:c>
      <x:c r="J9833" s="24" t="n">
        <x:v>3</x:v>
      </x:c>
      <x:c r="K9833" s="26" t="n">
        <x:v>0.2</x:v>
      </x:c>
      <x:c r="L9833" s="22" t="n">
        <x:v>3.7596</x:v>
      </x:c>
      <x:c r="M9833" t="n">
        <x:v>2017</x:v>
      </x:c>
      <x:c r="N9833" s="20" t="n">
        <x:v>42887</x:v>
      </x:c>
    </x:row>
    <x:row r="9834" ht="18" customHeight="1">
      <x:c r="A9834" t="str">
        <x:v>US-2017-152842</x:v>
      </x:c>
      <x:c r="B9834" s="18" t="n">
        <x:v>42932</x:v>
      </x:c>
      <x:c r="C9834" t="str">
        <x:v>NF-18385</x:v>
      </x:c>
      <x:c r="D9834" t="str">
        <x:v>Natalie Fritzler</x:v>
      </x:c>
      <x:c r="E9834" t="str">
        <x:v>Consumer</x:v>
      </x:c>
      <x:c r="F9834" t="str">
        <x:v>South</x:v>
      </x:c>
      <x:c r="G9834" t="str">
        <x:v>Furniture</x:v>
      </x:c>
      <x:c r="H9834" t="str">
        <x:v>Chairs</x:v>
      </x:c>
      <x:c r="I9834" s="22" t="n">
        <x:v>242.35200000000003</x:v>
      </x:c>
      <x:c r="J9834" s="24" t="n">
        <x:v>3</x:v>
      </x:c>
      <x:c r="K9834" s="26" t="n">
        <x:v>0.2</x:v>
      </x:c>
      <x:c r="L9834" s="22" t="n">
        <x:v>15.147000000000006</x:v>
      </x:c>
      <x:c r="M9834" t="n">
        <x:v>2017</x:v>
      </x:c>
      <x:c r="N9834" s="20" t="n">
        <x:v>42917</x:v>
      </x:c>
    </x:row>
    <x:row r="9835" ht="18" customHeight="1">
      <x:c r="A9835" t="str">
        <x:v>CA-2014-113257</x:v>
      </x:c>
      <x:c r="B9835" s="18" t="n">
        <x:v>41989</x:v>
      </x:c>
      <x:c r="C9835" t="str">
        <x:v>SC-20305</x:v>
      </x:c>
      <x:c r="D9835" t="str">
        <x:v>Sean Christensen</x:v>
      </x:c>
      <x:c r="E9835" t="str">
        <x:v>Consumer</x:v>
      </x:c>
      <x:c r="F9835" t="str">
        <x:v>Central</x:v>
      </x:c>
      <x:c r="G9835" t="str">
        <x:v>Technology</x:v>
      </x:c>
      <x:c r="H9835" t="str">
        <x:v>Accessories</x:v>
      </x:c>
      <x:c r="I9835" s="22" t="n">
        <x:v>319.968</x:v>
      </x:c>
      <x:c r="J9835" s="24" t="n">
        <x:v>4</x:v>
      </x:c>
      <x:c r="K9835" s="26" t="n">
        <x:v>0.2</x:v>
      </x:c>
      <x:c r="L9835" s="22" t="n">
        <x:v>95.99040000000001</x:v>
      </x:c>
      <x:c r="M9835" t="n">
        <x:v>2014</x:v>
      </x:c>
      <x:c r="N9835" s="20" t="n">
        <x:v>41974</x:v>
      </x:c>
    </x:row>
    <x:row r="9836" ht="18" customHeight="1">
      <x:c r="A9836" t="str">
        <x:v>CA-2014-113257</x:v>
      </x:c>
      <x:c r="B9836" s="18" t="n">
        <x:v>41989</x:v>
      </x:c>
      <x:c r="C9836" t="str">
        <x:v>SC-20305</x:v>
      </x:c>
      <x:c r="D9836" t="str">
        <x:v>Sean Christensen</x:v>
      </x:c>
      <x:c r="E9836" t="str">
        <x:v>Consumer</x:v>
      </x:c>
      <x:c r="F9836" t="str">
        <x:v>Central</x:v>
      </x:c>
      <x:c r="G9836" t="str">
        <x:v>Furniture</x:v>
      </x:c>
      <x:c r="H9836" t="str">
        <x:v>Furnishings</x:v>
      </x:c>
      <x:c r="I9836" s="22" t="n">
        <x:v>8.624000000000002</x:v>
      </x:c>
      <x:c r="J9836" s="24" t="n">
        <x:v>7</x:v>
      </x:c>
      <x:c r="K9836" s="26" t="n">
        <x:v>0.6</x:v>
      </x:c>
      <x:c r="L9836" s="22" t="n">
        <x:v>-2.587200000000001</x:v>
      </x:c>
      <x:c r="M9836" t="n">
        <x:v>2014</x:v>
      </x:c>
      <x:c r="N9836" s="20" t="n">
        <x:v>41974</x:v>
      </x:c>
    </x:row>
    <x:row r="9837" ht="18" customHeight="1">
      <x:c r="A9837" t="str">
        <x:v>CA-2014-133963</x:v>
      </x:c>
      <x:c r="B9837" s="18" t="n">
        <x:v>41777</x:v>
      </x:c>
      <x:c r="C9837" t="str">
        <x:v>GA-14515</x:v>
      </x:c>
      <x:c r="D9837" t="str">
        <x:v>George Ashbrook</x:v>
      </x:c>
      <x:c r="E9837" t="str">
        <x:v>Consumer</x:v>
      </x:c>
      <x:c r="F9837" t="str">
        <x:v>Central</x:v>
      </x:c>
      <x:c r="G9837" t="str">
        <x:v>Office Supplies</x:v>
      </x:c>
      <x:c r="H9837" t="str">
        <x:v>Paper</x:v>
      </x:c>
      <x:c r="I9837" s="22" t="n">
        <x:v>3.9840000000000004</x:v>
      </x:c>
      <x:c r="J9837" s="24" t="n">
        <x:v>1</x:v>
      </x:c>
      <x:c r="K9837" s="26" t="n">
        <x:v>0.2</x:v>
      </x:c>
      <x:c r="L9837" s="22" t="n">
        <x:v>1.4442000000000004</x:v>
      </x:c>
      <x:c r="M9837" t="n">
        <x:v>2014</x:v>
      </x:c>
      <x:c r="N9837" s="20" t="n">
        <x:v>41760</x:v>
      </x:c>
    </x:row>
    <x:row r="9838" ht="18" customHeight="1">
      <x:c r="A9838" t="str">
        <x:v>CA-2017-130302</x:v>
      </x:c>
      <x:c r="B9838" s="18" t="n">
        <x:v>42992</x:v>
      </x:c>
      <x:c r="C9838" t="str">
        <x:v>CY-12745</x:v>
      </x:c>
      <x:c r="D9838" t="str">
        <x:v>Craig Yedwab</x:v>
      </x:c>
      <x:c r="E9838" t="str">
        <x:v>Corporate</x:v>
      </x:c>
      <x:c r="F9838" t="str">
        <x:v>East</x:v>
      </x:c>
      <x:c r="G9838" t="str">
        <x:v>Technology</x:v>
      </x:c>
      <x:c r="H9838" t="str">
        <x:v>Accessories</x:v>
      </x:c>
      <x:c r="I9838" s="22" t="n">
        <x:v>895.9440000000002</x:v>
      </x:c>
      <x:c r="J9838" s="24" t="n">
        <x:v>7</x:v>
      </x:c>
      <x:c r="K9838" s="26" t="n">
        <x:v>0.2</x:v>
      </x:c>
      <x:c r="L9838" s="22" t="n">
        <x:v>190.3881</x:v>
      </x:c>
      <x:c r="M9838" t="n">
        <x:v>2017</x:v>
      </x:c>
      <x:c r="N9838" s="20" t="n">
        <x:v>42979</x:v>
      </x:c>
    </x:row>
    <x:row r="9839" ht="18" customHeight="1">
      <x:c r="A9839" t="str">
        <x:v>CA-2016-126627</x:v>
      </x:c>
      <x:c r="B9839" s="18" t="n">
        <x:v>42653</x:v>
      </x:c>
      <x:c r="C9839" t="str">
        <x:v>WB-21850</x:v>
      </x:c>
      <x:c r="D9839" t="str">
        <x:v>William Brown</x:v>
      </x:c>
      <x:c r="E9839" t="str">
        <x:v>Consumer</x:v>
      </x:c>
      <x:c r="F9839" t="str">
        <x:v>Central</x:v>
      </x:c>
      <x:c r="G9839" t="str">
        <x:v>Furniture</x:v>
      </x:c>
      <x:c r="H9839" t="str">
        <x:v>Furnishings</x:v>
      </x:c>
      <x:c r="I9839" s="22" t="n">
        <x:v>14</x:v>
      </x:c>
      <x:c r="J9839" s="24" t="n">
        <x:v>4</x:v>
      </x:c>
      <x:c r="K9839" s="26" t="n">
        <x:v>0.6</x:v>
      </x:c>
      <x:c r="L9839" s="22" t="n">
        <x:v>-6.299999999999997</x:v>
      </x:c>
      <x:c r="M9839" t="n">
        <x:v>2016</x:v>
      </x:c>
      <x:c r="N9839" s="20" t="n">
        <x:v>42644</x:v>
      </x:c>
    </x:row>
    <x:row r="9840" ht="18" customHeight="1">
      <x:c r="A9840" t="str">
        <x:v>CA-2016-126627</x:v>
      </x:c>
      <x:c r="B9840" s="18" t="n">
        <x:v>42653</x:v>
      </x:c>
      <x:c r="C9840" t="str">
        <x:v>WB-21850</x:v>
      </x:c>
      <x:c r="D9840" t="str">
        <x:v>William Brown</x:v>
      </x:c>
      <x:c r="E9840" t="str">
        <x:v>Consumer</x:v>
      </x:c>
      <x:c r="F9840" t="str">
        <x:v>Central</x:v>
      </x:c>
      <x:c r="G9840" t="str">
        <x:v>Office Supplies</x:v>
      </x:c>
      <x:c r="H9840" t="str">
        <x:v>Binders</x:v>
      </x:c>
      <x:c r="I9840" s="22" t="n">
        <x:v>16.391999999999996</x:v>
      </x:c>
      <x:c r="J9840" s="24" t="n">
        <x:v>2</x:v>
      </x:c>
      <x:c r="K9840" s="26" t="n">
        <x:v>0.8</x:v>
      </x:c>
      <x:c r="L9840" s="22" t="n">
        <x:v>-26.227200000000003</x:v>
      </x:c>
      <x:c r="M9840" t="n">
        <x:v>2016</x:v>
      </x:c>
      <x:c r="N9840" s="20" t="n">
        <x:v>42644</x:v>
      </x:c>
    </x:row>
    <x:row r="9841" ht="18" customHeight="1">
      <x:c r="A9841" t="str">
        <x:v>US-2016-125402</x:v>
      </x:c>
      <x:c r="B9841" s="18" t="n">
        <x:v>42638</x:v>
      </x:c>
      <x:c r="C9841" t="str">
        <x:v>DL-12865</x:v>
      </x:c>
      <x:c r="D9841" t="str">
        <x:v>Dan Lawera</x:v>
      </x:c>
      <x:c r="E9841" t="str">
        <x:v>Consumer</x:v>
      </x:c>
      <x:c r="F9841" t="str">
        <x:v>West</x:v>
      </x:c>
      <x:c r="G9841" t="str">
        <x:v>Office Supplies</x:v>
      </x:c>
      <x:c r="H9841" t="str">
        <x:v>Paper</x:v>
      </x:c>
      <x:c r="I9841" s="22" t="n">
        <x:v>10.9</x:v>
      </x:c>
      <x:c r="J9841" s="24" t="n">
        <x:v>5</x:v>
      </x:c>
      <x:c r="K9841" s="26" t="n">
        <x:v>0</x:v>
      </x:c>
      <x:c r="L9841" s="22" t="n">
        <x:v>5.122999999999999</x:v>
      </x:c>
      <x:c r="M9841" t="n">
        <x:v>2016</x:v>
      </x:c>
      <x:c r="N9841" s="20" t="n">
        <x:v>42614</x:v>
      </x:c>
    </x:row>
    <x:row r="9842" ht="18" customHeight="1">
      <x:c r="A9842" t="str">
        <x:v>US-2016-125402</x:v>
      </x:c>
      <x:c r="B9842" s="18" t="n">
        <x:v>42638</x:v>
      </x:c>
      <x:c r="C9842" t="str">
        <x:v>DL-12865</x:v>
      </x:c>
      <x:c r="D9842" t="str">
        <x:v>Dan Lawera</x:v>
      </x:c>
      <x:c r="E9842" t="str">
        <x:v>Consumer</x:v>
      </x:c>
      <x:c r="F9842" t="str">
        <x:v>West</x:v>
      </x:c>
      <x:c r="G9842" t="str">
        <x:v>Office Supplies</x:v>
      </x:c>
      <x:c r="H9842" t="str">
        <x:v>Labels</x:v>
      </x:c>
      <x:c r="I9842" s="22" t="n">
        <x:v>29.6</x:v>
      </x:c>
      <x:c r="J9842" s="24" t="n">
        <x:v>2</x:v>
      </x:c>
      <x:c r="K9842" s="26" t="n">
        <x:v>0</x:v>
      </x:c>
      <x:c r="L9842" s="22" t="n">
        <x:v>14.8</x:v>
      </x:c>
      <x:c r="M9842" t="n">
        <x:v>2016</x:v>
      </x:c>
      <x:c r="N9842" s="20" t="n">
        <x:v>42614</x:v>
      </x:c>
    </x:row>
    <x:row r="9843" ht="18" customHeight="1">
      <x:c r="A9843" t="str">
        <x:v>US-2016-125402</x:v>
      </x:c>
      <x:c r="B9843" s="18" t="n">
        <x:v>42638</x:v>
      </x:c>
      <x:c r="C9843" t="str">
        <x:v>DL-12865</x:v>
      </x:c>
      <x:c r="D9843" t="str">
        <x:v>Dan Lawera</x:v>
      </x:c>
      <x:c r="E9843" t="str">
        <x:v>Consumer</x:v>
      </x:c>
      <x:c r="F9843" t="str">
        <x:v>West</x:v>
      </x:c>
      <x:c r="G9843" t="str">
        <x:v>Office Supplies</x:v>
      </x:c>
      <x:c r="H9843" t="str">
        <x:v>Labels</x:v>
      </x:c>
      <x:c r="I9843" s="22" t="n">
        <x:v>4.98</x:v>
      </x:c>
      <x:c r="J9843" s="24" t="n">
        <x:v>1</x:v>
      </x:c>
      <x:c r="K9843" s="26" t="n">
        <x:v>0</x:v>
      </x:c>
      <x:c r="L9843" s="22" t="n">
        <x:v>2.2908</x:v>
      </x:c>
      <x:c r="M9843" t="n">
        <x:v>2016</x:v>
      </x:c>
      <x:c r="N9843" s="20" t="n">
        <x:v>42614</x:v>
      </x:c>
    </x:row>
    <x:row r="9844" ht="18" customHeight="1">
      <x:c r="A9844" t="str">
        <x:v>US-2016-125402</x:v>
      </x:c>
      <x:c r="B9844" s="18" t="n">
        <x:v>42638</x:v>
      </x:c>
      <x:c r="C9844" t="str">
        <x:v>DL-12865</x:v>
      </x:c>
      <x:c r="D9844" t="str">
        <x:v>Dan Lawera</x:v>
      </x:c>
      <x:c r="E9844" t="str">
        <x:v>Consumer</x:v>
      </x:c>
      <x:c r="F9844" t="str">
        <x:v>West</x:v>
      </x:c>
      <x:c r="G9844" t="str">
        <x:v>Technology</x:v>
      </x:c>
      <x:c r="H9844" t="str">
        <x:v>Copiers</x:v>
      </x:c>
      <x:c r="I9844" s="22" t="n">
        <x:v>479.97600000000006</x:v>
      </x:c>
      <x:c r="J9844" s="24" t="n">
        <x:v>3</x:v>
      </x:c>
      <x:c r="K9844" s="26" t="n">
        <x:v>0.2</x:v>
      </x:c>
      <x:c r="L9844" s="22" t="n">
        <x:v>161.9919</x:v>
      </x:c>
      <x:c r="M9844" t="n">
        <x:v>2016</x:v>
      </x:c>
      <x:c r="N9844" s="20" t="n">
        <x:v>42614</x:v>
      </x:c>
    </x:row>
    <x:row r="9845" ht="18" customHeight="1">
      <x:c r="A9845" t="str">
        <x:v>US-2016-125402</x:v>
      </x:c>
      <x:c r="B9845" s="18" t="n">
        <x:v>42638</x:v>
      </x:c>
      <x:c r="C9845" t="str">
        <x:v>DL-12865</x:v>
      </x:c>
      <x:c r="D9845" t="str">
        <x:v>Dan Lawera</x:v>
      </x:c>
      <x:c r="E9845" t="str">
        <x:v>Consumer</x:v>
      </x:c>
      <x:c r="F9845" t="str">
        <x:v>West</x:v>
      </x:c>
      <x:c r="G9845" t="str">
        <x:v>Technology</x:v>
      </x:c>
      <x:c r="H9845" t="str">
        <x:v>Phones</x:v>
      </x:c>
      <x:c r="I9845" s="22" t="n">
        <x:v>44.736000000000004</x:v>
      </x:c>
      <x:c r="J9845" s="24" t="n">
        <x:v>8</x:v>
      </x:c>
      <x:c r="K9845" s="26" t="n">
        <x:v>0.2</x:v>
      </x:c>
      <x:c r="L9845" s="22" t="n">
        <x:v>4.473600000000001</x:v>
      </x:c>
      <x:c r="M9845" t="n">
        <x:v>2016</x:v>
      </x:c>
      <x:c r="N9845" s="20" t="n">
        <x:v>42614</x:v>
      </x:c>
    </x:row>
    <x:row r="9846" ht="18" customHeight="1">
      <x:c r="A9846" t="str">
        <x:v>US-2016-125402</x:v>
      </x:c>
      <x:c r="B9846" s="18" t="n">
        <x:v>42638</x:v>
      </x:c>
      <x:c r="C9846" t="str">
        <x:v>DL-12865</x:v>
      </x:c>
      <x:c r="D9846" t="str">
        <x:v>Dan Lawera</x:v>
      </x:c>
      <x:c r="E9846" t="str">
        <x:v>Consumer</x:v>
      </x:c>
      <x:c r="F9846" t="str">
        <x:v>West</x:v>
      </x:c>
      <x:c r="G9846" t="str">
        <x:v>Office Supplies</x:v>
      </x:c>
      <x:c r="H9846" t="str">
        <x:v>Art</x:v>
      </x:c>
      <x:c r="I9846" s="22" t="n">
        <x:v>5.76</x:v>
      </x:c>
      <x:c r="J9846" s="24" t="n">
        <x:v>2</x:v>
      </x:c>
      <x:c r="K9846" s="26" t="n">
        <x:v>0</x:v>
      </x:c>
      <x:c r="L9846" s="22" t="n">
        <x:v>1.6703999999999999</x:v>
      </x:c>
      <x:c r="M9846" t="n">
        <x:v>2016</x:v>
      </x:c>
      <x:c r="N9846" s="20" t="n">
        <x:v>42614</x:v>
      </x:c>
    </x:row>
    <x:row r="9847" ht="18" customHeight="1">
      <x:c r="A9847" t="str">
        <x:v>US-2016-125402</x:v>
      </x:c>
      <x:c r="B9847" s="18" t="n">
        <x:v>42638</x:v>
      </x:c>
      <x:c r="C9847" t="str">
        <x:v>DL-12865</x:v>
      </x:c>
      <x:c r="D9847" t="str">
        <x:v>Dan Lawera</x:v>
      </x:c>
      <x:c r="E9847" t="str">
        <x:v>Consumer</x:v>
      </x:c>
      <x:c r="F9847" t="str">
        <x:v>West</x:v>
      </x:c>
      <x:c r="G9847" t="str">
        <x:v>Furniture</x:v>
      </x:c>
      <x:c r="H9847" t="str">
        <x:v>Chairs</x:v>
      </x:c>
      <x:c r="I9847" s="22" t="n">
        <x:v>483.13599999999997</x:v>
      </x:c>
      <x:c r="J9847" s="24" t="n">
        <x:v>4</x:v>
      </x:c>
      <x:c r="K9847" s="26" t="n">
        <x:v>0.2</x:v>
      </x:c>
      <x:c r="L9847" s="22" t="n">
        <x:v>60.39199999999994</x:v>
      </x:c>
      <x:c r="M9847" t="n">
        <x:v>2016</x:v>
      </x:c>
      <x:c r="N9847" s="20" t="n">
        <x:v>42614</x:v>
      </x:c>
    </x:row>
    <x:row r="9848" ht="18" customHeight="1">
      <x:c r="A9848" t="str">
        <x:v>CA-2014-163867</x:v>
      </x:c>
      <x:c r="B9848" s="18" t="n">
        <x:v>41793</x:v>
      </x:c>
      <x:c r="C9848" t="str">
        <x:v>RE-19450</x:v>
      </x:c>
      <x:c r="D9848" t="str">
        <x:v>Richard Eichhorn</x:v>
      </x:c>
      <x:c r="E9848" t="str">
        <x:v>Consumer</x:v>
      </x:c>
      <x:c r="F9848" t="str">
        <x:v>Central</x:v>
      </x:c>
      <x:c r="G9848" t="str">
        <x:v>Office Supplies</x:v>
      </x:c>
      <x:c r="H9848" t="str">
        <x:v>Labels</x:v>
      </x:c>
      <x:c r="I9848" s="22" t="n">
        <x:v>15.936000000000002</x:v>
      </x:c>
      <x:c r="J9848" s="24" t="n">
        <x:v>4</x:v>
      </x:c>
      <x:c r="K9848" s="26" t="n">
        <x:v>0.2</x:v>
      </x:c>
      <x:c r="L9848" s="22" t="n">
        <x:v>5.1792</x:v>
      </x:c>
      <x:c r="M9848" t="n">
        <x:v>2014</x:v>
      </x:c>
      <x:c r="N9848" s="20" t="n">
        <x:v>41791</x:v>
      </x:c>
    </x:row>
    <x:row r="9849" ht="18" customHeight="1">
      <x:c r="A9849" t="str">
        <x:v>CA-2014-163867</x:v>
      </x:c>
      <x:c r="B9849" s="18" t="n">
        <x:v>41793</x:v>
      </x:c>
      <x:c r="C9849" t="str">
        <x:v>RE-19450</x:v>
      </x:c>
      <x:c r="D9849" t="str">
        <x:v>Richard Eichhorn</x:v>
      </x:c>
      <x:c r="E9849" t="str">
        <x:v>Consumer</x:v>
      </x:c>
      <x:c r="F9849" t="str">
        <x:v>Central</x:v>
      </x:c>
      <x:c r="G9849" t="str">
        <x:v>Furniture</x:v>
      </x:c>
      <x:c r="H9849" t="str">
        <x:v>Furnishings</x:v>
      </x:c>
      <x:c r="I9849" s="22" t="n">
        <x:v>61.544</x:v>
      </x:c>
      <x:c r="J9849" s="24" t="n">
        <x:v>7</x:v>
      </x:c>
      <x:c r="K9849" s="26" t="n">
        <x:v>0.6</x:v>
      </x:c>
      <x:c r="L9849" s="22" t="n">
        <x:v>-40.0036</x:v>
      </x:c>
      <x:c r="M9849" t="n">
        <x:v>2014</x:v>
      </x:c>
      <x:c r="N9849" s="20" t="n">
        <x:v>41791</x:v>
      </x:c>
    </x:row>
    <x:row r="9850" ht="18" customHeight="1">
      <x:c r="A9850" t="str">
        <x:v>CA-2014-163867</x:v>
      </x:c>
      <x:c r="B9850" s="18" t="n">
        <x:v>41793</x:v>
      </x:c>
      <x:c r="C9850" t="str">
        <x:v>RE-19450</x:v>
      </x:c>
      <x:c r="D9850" t="str">
        <x:v>Richard Eichhorn</x:v>
      </x:c>
      <x:c r="E9850" t="str">
        <x:v>Consumer</x:v>
      </x:c>
      <x:c r="F9850" t="str">
        <x:v>Central</x:v>
      </x:c>
      <x:c r="G9850" t="str">
        <x:v>Office Supplies</x:v>
      </x:c>
      <x:c r="H9850" t="str">
        <x:v>Storage</x:v>
      </x:c>
      <x:c r="I9850" s="22" t="n">
        <x:v>132.696</x:v>
      </x:c>
      <x:c r="J9850" s="24" t="n">
        <x:v>3</x:v>
      </x:c>
      <x:c r="K9850" s="26" t="n">
        <x:v>0.2</x:v>
      </x:c>
      <x:c r="L9850" s="22" t="n">
        <x:v>9.952199999999998</x:v>
      </x:c>
      <x:c r="M9850" t="n">
        <x:v>2014</x:v>
      </x:c>
      <x:c r="N9850" s="20" t="n">
        <x:v>41791</x:v>
      </x:c>
    </x:row>
    <x:row r="9851" ht="18" customHeight="1">
      <x:c r="A9851" t="str">
        <x:v>CA-2017-169327</x:v>
      </x:c>
      <x:c r="B9851" s="18" t="n">
        <x:v>42980</x:v>
      </x:c>
      <x:c r="C9851" t="str">
        <x:v>MH-17290</x:v>
      </x:c>
      <x:c r="D9851" t="str">
        <x:v>Marc Harrigan</x:v>
      </x:c>
      <x:c r="E9851" t="str">
        <x:v>Home Office</x:v>
      </x:c>
      <x:c r="F9851" t="str">
        <x:v>West</x:v>
      </x:c>
      <x:c r="G9851" t="str">
        <x:v>Office Supplies</x:v>
      </x:c>
      <x:c r="H9851" t="str">
        <x:v>Appliances</x:v>
      </x:c>
      <x:c r="I9851" s="22" t="n">
        <x:v>43.099999999999994</x:v>
      </x:c>
      <x:c r="J9851" s="24" t="n">
        <x:v>5</x:v>
      </x:c>
      <x:c r="K9851" s="26" t="n">
        <x:v>0</x:v>
      </x:c>
      <x:c r="L9851" s="22" t="n">
        <x:v>11.206</x:v>
      </x:c>
      <x:c r="M9851" t="n">
        <x:v>2017</x:v>
      </x:c>
      <x:c r="N9851" s="20" t="n">
        <x:v>42979</x:v>
      </x:c>
    </x:row>
    <x:row r="9852" ht="18" customHeight="1">
      <x:c r="A9852" t="str">
        <x:v>CA-2017-169327</x:v>
      </x:c>
      <x:c r="B9852" s="18" t="n">
        <x:v>42980</x:v>
      </x:c>
      <x:c r="C9852" t="str">
        <x:v>MH-17290</x:v>
      </x:c>
      <x:c r="D9852" t="str">
        <x:v>Marc Harrigan</x:v>
      </x:c>
      <x:c r="E9852" t="str">
        <x:v>Home Office</x:v>
      </x:c>
      <x:c r="F9852" t="str">
        <x:v>West</x:v>
      </x:c>
      <x:c r="G9852" t="str">
        <x:v>Furniture</x:v>
      </x:c>
      <x:c r="H9852" t="str">
        <x:v>Furnishings</x:v>
      </x:c>
      <x:c r="I9852" s="22" t="n">
        <x:v>511.5</x:v>
      </x:c>
      <x:c r="J9852" s="24" t="n">
        <x:v>5</x:v>
      </x:c>
      <x:c r="K9852" s="26" t="n">
        <x:v>0</x:v>
      </x:c>
      <x:c r="L9852" s="22" t="n">
        <x:v>132.99</x:v>
      </x:c>
      <x:c r="M9852" t="n">
        <x:v>2017</x:v>
      </x:c>
      <x:c r="N9852" s="20" t="n">
        <x:v>42979</x:v>
      </x:c>
    </x:row>
    <x:row r="9853" ht="18" customHeight="1">
      <x:c r="A9853" t="str">
        <x:v>CA-2017-169327</x:v>
      </x:c>
      <x:c r="B9853" s="18" t="n">
        <x:v>42980</x:v>
      </x:c>
      <x:c r="C9853" t="str">
        <x:v>MH-17290</x:v>
      </x:c>
      <x:c r="D9853" t="str">
        <x:v>Marc Harrigan</x:v>
      </x:c>
      <x:c r="E9853" t="str">
        <x:v>Home Office</x:v>
      </x:c>
      <x:c r="F9853" t="str">
        <x:v>West</x:v>
      </x:c>
      <x:c r="G9853" t="str">
        <x:v>Office Supplies</x:v>
      </x:c>
      <x:c r="H9853" t="str">
        <x:v>Binders</x:v>
      </x:c>
      <x:c r="I9853" s="22" t="n">
        <x:v>147.92</x:v>
      </x:c>
      <x:c r="J9853" s="24" t="n">
        <x:v>5</x:v>
      </x:c>
      <x:c r="K9853" s="26" t="n">
        <x:v>0.2</x:v>
      </x:c>
      <x:c r="L9853" s="22" t="n">
        <x:v>46.22499999999999</x:v>
      </x:c>
      <x:c r="M9853" t="n">
        <x:v>2017</x:v>
      </x:c>
      <x:c r="N9853" s="20" t="n">
        <x:v>42979</x:v>
      </x:c>
    </x:row>
    <x:row r="9854" ht="18" customHeight="1">
      <x:c r="A9854" t="str">
        <x:v>CA-2014-142979</x:v>
      </x:c>
      <x:c r="B9854" s="18" t="n">
        <x:v>41741</x:v>
      </x:c>
      <x:c r="C9854" t="str">
        <x:v>EH-13765</x:v>
      </x:c>
      <x:c r="D9854" t="str">
        <x:v>Edward Hooks</x:v>
      </x:c>
      <x:c r="E9854" t="str">
        <x:v>Corporate</x:v>
      </x:c>
      <x:c r="F9854" t="str">
        <x:v>West</x:v>
      </x:c>
      <x:c r="G9854" t="str">
        <x:v>Office Supplies</x:v>
      </x:c>
      <x:c r="H9854" t="str">
        <x:v>Art</x:v>
      </x:c>
      <x:c r="I9854" s="22" t="n">
        <x:v>39.68</x:v>
      </x:c>
      <x:c r="J9854" s="24" t="n">
        <x:v>2</x:v>
      </x:c>
      <x:c r="K9854" s="26" t="n">
        <x:v>0</x:v>
      </x:c>
      <x:c r="L9854" s="22" t="n">
        <x:v>16.268800000000002</x:v>
      </x:c>
      <x:c r="M9854" t="n">
        <x:v>2014</x:v>
      </x:c>
      <x:c r="N9854" s="20" t="n">
        <x:v>41730</x:v>
      </x:c>
    </x:row>
    <x:row r="9855" ht="18" customHeight="1">
      <x:c r="A9855" t="str">
        <x:v>CA-2016-158155</x:v>
      </x:c>
      <x:c r="B9855" s="18" t="n">
        <x:v>42492</x:v>
      </x:c>
      <x:c r="C9855" t="str">
        <x:v>EH-13765</x:v>
      </x:c>
      <x:c r="D9855" t="str">
        <x:v>Edward Hooks</x:v>
      </x:c>
      <x:c r="E9855" t="str">
        <x:v>Corporate</x:v>
      </x:c>
      <x:c r="F9855" t="str">
        <x:v>East</x:v>
      </x:c>
      <x:c r="G9855" t="str">
        <x:v>Furniture</x:v>
      </x:c>
      <x:c r="H9855" t="str">
        <x:v>Furnishings</x:v>
      </x:c>
      <x:c r="I9855" s="22" t="n">
        <x:v>12.56</x:v>
      </x:c>
      <x:c r="J9855" s="24" t="n">
        <x:v>2</x:v>
      </x:c>
      <x:c r="K9855" s="26" t="n">
        <x:v>0</x:v>
      </x:c>
      <x:c r="L9855" s="22" t="n">
        <x:v>4.0192</x:v>
      </x:c>
      <x:c r="M9855" t="n">
        <x:v>2016</x:v>
      </x:c>
      <x:c r="N9855" s="20" t="n">
        <x:v>42491</x:v>
      </x:c>
    </x:row>
    <x:row r="9856" ht="18" customHeight="1">
      <x:c r="A9856" t="str">
        <x:v>CA-2016-158155</x:v>
      </x:c>
      <x:c r="B9856" s="18" t="n">
        <x:v>42492</x:v>
      </x:c>
      <x:c r="C9856" t="str">
        <x:v>EH-13765</x:v>
      </x:c>
      <x:c r="D9856" t="str">
        <x:v>Edward Hooks</x:v>
      </x:c>
      <x:c r="E9856" t="str">
        <x:v>Corporate</x:v>
      </x:c>
      <x:c r="F9856" t="str">
        <x:v>East</x:v>
      </x:c>
      <x:c r="G9856" t="str">
        <x:v>Office Supplies</x:v>
      </x:c>
      <x:c r="H9856" t="str">
        <x:v>Binders</x:v>
      </x:c>
      <x:c r="I9856" s="22" t="n">
        <x:v>90.48000000000002</x:v>
      </x:c>
      <x:c r="J9856" s="24" t="n">
        <x:v>3</x:v>
      </x:c>
      <x:c r="K9856" s="26" t="n">
        <x:v>0.2</x:v>
      </x:c>
      <x:c r="L9856" s="22" t="n">
        <x:v>33.93</x:v>
      </x:c>
      <x:c r="M9856" t="n">
        <x:v>2016</x:v>
      </x:c>
      <x:c r="N9856" s="20" t="n">
        <x:v>42491</x:v>
      </x:c>
    </x:row>
    <x:row r="9857" ht="18" customHeight="1">
      <x:c r="A9857" t="str">
        <x:v>CA-2016-158155</x:v>
      </x:c>
      <x:c r="B9857" s="18" t="n">
        <x:v>42492</x:v>
      </x:c>
      <x:c r="C9857" t="str">
        <x:v>EH-13765</x:v>
      </x:c>
      <x:c r="D9857" t="str">
        <x:v>Edward Hooks</x:v>
      </x:c>
      <x:c r="E9857" t="str">
        <x:v>Corporate</x:v>
      </x:c>
      <x:c r="F9857" t="str">
        <x:v>East</x:v>
      </x:c>
      <x:c r="G9857" t="str">
        <x:v>Office Supplies</x:v>
      </x:c>
      <x:c r="H9857" t="str">
        <x:v>Paper</x:v>
      </x:c>
      <x:c r="I9857" s="22" t="n">
        <x:v>13.08</x:v>
      </x:c>
      <x:c r="J9857" s="24" t="n">
        <x:v>2</x:v>
      </x:c>
      <x:c r="K9857" s="26" t="n">
        <x:v>0</x:v>
      </x:c>
      <x:c r="L9857" s="22" t="n">
        <x:v>6.0168</x:v>
      </x:c>
      <x:c r="M9857" t="n">
        <x:v>2016</x:v>
      </x:c>
      <x:c r="N9857" s="20" t="n">
        <x:v>42491</x:v>
      </x:c>
    </x:row>
    <x:row r="9858" ht="18" customHeight="1">
      <x:c r="A9858" t="str">
        <x:v>CA-2016-158155</x:v>
      </x:c>
      <x:c r="B9858" s="18" t="n">
        <x:v>42492</x:v>
      </x:c>
      <x:c r="C9858" t="str">
        <x:v>EH-13765</x:v>
      </x:c>
      <x:c r="D9858" t="str">
        <x:v>Edward Hooks</x:v>
      </x:c>
      <x:c r="E9858" t="str">
        <x:v>Corporate</x:v>
      </x:c>
      <x:c r="F9858" t="str">
        <x:v>East</x:v>
      </x:c>
      <x:c r="G9858" t="str">
        <x:v>Furniture</x:v>
      </x:c>
      <x:c r="H9858" t="str">
        <x:v>Furnishings</x:v>
      </x:c>
      <x:c r="I9858" s="22" t="n">
        <x:v>214.7</x:v>
      </x:c>
      <x:c r="J9858" s="24" t="n">
        <x:v>5</x:v>
      </x:c>
      <x:c r="K9858" s="26" t="n">
        <x:v>0</x:v>
      </x:c>
      <x:c r="L9858" s="22" t="n">
        <x:v>83.733</x:v>
      </x:c>
      <x:c r="M9858" t="n">
        <x:v>2016</x:v>
      </x:c>
      <x:c r="N9858" s="20" t="n">
        <x:v>42491</x:v>
      </x:c>
    </x:row>
    <x:row r="9859" ht="18" customHeight="1">
      <x:c r="A9859" t="str">
        <x:v>CA-2017-138870</x:v>
      </x:c>
      <x:c r="B9859" s="18" t="n">
        <x:v>42905</x:v>
      </x:c>
      <x:c r="C9859" t="str">
        <x:v>GA-14515</x:v>
      </x:c>
      <x:c r="D9859" t="str">
        <x:v>George Ashbrook</x:v>
      </x:c>
      <x:c r="E9859" t="str">
        <x:v>Consumer</x:v>
      </x:c>
      <x:c r="F9859" t="str">
        <x:v>West</x:v>
      </x:c>
      <x:c r="G9859" t="str">
        <x:v>Furniture</x:v>
      </x:c>
      <x:c r="H9859" t="str">
        <x:v>Furnishings</x:v>
      </x:c>
      <x:c r="I9859" s="22" t="n">
        <x:v>50.32</x:v>
      </x:c>
      <x:c r="J9859" s="24" t="n">
        <x:v>4</x:v>
      </x:c>
      <x:c r="K9859" s="26" t="n">
        <x:v>0</x:v>
      </x:c>
      <x:c r="L9859" s="22" t="n">
        <x:v>21.134400000000003</x:v>
      </x:c>
      <x:c r="M9859" t="n">
        <x:v>2017</x:v>
      </x:c>
      <x:c r="N9859" s="20" t="n">
        <x:v>42887</x:v>
      </x:c>
    </x:row>
    <x:row r="9860" ht="18" customHeight="1">
      <x:c r="A9860" t="str">
        <x:v>CA-2017-138870</x:v>
      </x:c>
      <x:c r="B9860" s="18" t="n">
        <x:v>42905</x:v>
      </x:c>
      <x:c r="C9860" t="str">
        <x:v>GA-14515</x:v>
      </x:c>
      <x:c r="D9860" t="str">
        <x:v>George Ashbrook</x:v>
      </x:c>
      <x:c r="E9860" t="str">
        <x:v>Consumer</x:v>
      </x:c>
      <x:c r="F9860" t="str">
        <x:v>West</x:v>
      </x:c>
      <x:c r="G9860" t="str">
        <x:v>Office Supplies</x:v>
      </x:c>
      <x:c r="H9860" t="str">
        <x:v>Paper</x:v>
      </x:c>
      <x:c r="I9860" s="22" t="n">
        <x:v>24.56</x:v>
      </x:c>
      <x:c r="J9860" s="24" t="n">
        <x:v>2</x:v>
      </x:c>
      <x:c r="K9860" s="26" t="n">
        <x:v>0</x:v>
      </x:c>
      <x:c r="L9860" s="22" t="n">
        <x:v>11.543199999999999</x:v>
      </x:c>
      <x:c r="M9860" t="n">
        <x:v>2017</x:v>
      </x:c>
      <x:c r="N9860" s="20" t="n">
        <x:v>42887</x:v>
      </x:c>
    </x:row>
    <x:row r="9861" ht="18" customHeight="1">
      <x:c r="A9861" t="str">
        <x:v>CA-2014-120950</x:v>
      </x:c>
      <x:c r="B9861" s="18" t="n">
        <x:v>41949</x:v>
      </x:c>
      <x:c r="C9861" t="str">
        <x:v>GA-14515</x:v>
      </x:c>
      <x:c r="D9861" t="str">
        <x:v>George Ashbrook</x:v>
      </x:c>
      <x:c r="E9861" t="str">
        <x:v>Consumer</x:v>
      </x:c>
      <x:c r="F9861" t="str">
        <x:v>South</x:v>
      </x:c>
      <x:c r="G9861" t="str">
        <x:v>Office Supplies</x:v>
      </x:c>
      <x:c r="H9861" t="str">
        <x:v>Paper</x:v>
      </x:c>
      <x:c r="I9861" s="22" t="n">
        <x:v>43.68</x:v>
      </x:c>
      <x:c r="J9861" s="24" t="n">
        <x:v>6</x:v>
      </x:c>
      <x:c r="K9861" s="26" t="n">
        <x:v>0</x:v>
      </x:c>
      <x:c r="L9861" s="22" t="n">
        <x:v>20.9664</x:v>
      </x:c>
      <x:c r="M9861" t="n">
        <x:v>2014</x:v>
      </x:c>
      <x:c r="N9861" s="20" t="n">
        <x:v>41944</x:v>
      </x:c>
    </x:row>
    <x:row r="9862" ht="18" customHeight="1">
      <x:c r="A9862" t="str">
        <x:v>CA-2015-164301</x:v>
      </x:c>
      <x:c r="B9862" s="18" t="n">
        <x:v>42089</x:v>
      </x:c>
      <x:c r="C9862" t="str">
        <x:v>EB-13840</x:v>
      </x:c>
      <x:c r="D9862" t="str">
        <x:v>Ellis Ballard</x:v>
      </x:c>
      <x:c r="E9862" t="str">
        <x:v>Corporate</x:v>
      </x:c>
      <x:c r="F9862" t="str">
        <x:v>West</x:v>
      </x:c>
      <x:c r="G9862" t="str">
        <x:v>Furniture</x:v>
      </x:c>
      <x:c r="H9862" t="str">
        <x:v>Tables</x:v>
      </x:c>
      <x:c r="I9862" s="22" t="n">
        <x:v>3393.68</x:v>
      </x:c>
      <x:c r="J9862" s="24" t="n">
        <x:v>8</x:v>
      </x:c>
      <x:c r="K9862" s="26" t="n">
        <x:v>0</x:v>
      </x:c>
      <x:c r="L9862" s="22" t="n">
        <x:v>610.8624</x:v>
      </x:c>
      <x:c r="M9862" t="n">
        <x:v>2015</x:v>
      </x:c>
      <x:c r="N9862" s="20" t="n">
        <x:v>42064</x:v>
      </x:c>
    </x:row>
    <x:row r="9863" ht="18" customHeight="1">
      <x:c r="A9863" t="str">
        <x:v>CA-2017-113278</x:v>
      </x:c>
      <x:c r="B9863" s="18" t="n">
        <x:v>42749</x:v>
      </x:c>
      <x:c r="C9863" t="str">
        <x:v>HR-14770</x:v>
      </x:c>
      <x:c r="D9863" t="str">
        <x:v>Hallie Redmond</x:v>
      </x:c>
      <x:c r="E9863" t="str">
        <x:v>Home Office</x:v>
      </x:c>
      <x:c r="F9863" t="str">
        <x:v>Central</x:v>
      </x:c>
      <x:c r="G9863" t="str">
        <x:v>Office Supplies</x:v>
      </x:c>
      <x:c r="H9863" t="str">
        <x:v>Storage</x:v>
      </x:c>
      <x:c r="I9863" s="22" t="n">
        <x:v>67.4</x:v>
      </x:c>
      <x:c r="J9863" s="24" t="n">
        <x:v>5</x:v>
      </x:c>
      <x:c r="K9863" s="26" t="n">
        <x:v>0</x:v>
      </x:c>
      <x:c r="L9863" s="22" t="n">
        <x:v>17.523999999999997</x:v>
      </x:c>
      <x:c r="M9863" t="n">
        <x:v>2017</x:v>
      </x:c>
      <x:c r="N9863" s="20" t="n">
        <x:v>42736</x:v>
      </x:c>
    </x:row>
    <x:row r="9864" ht="18" customHeight="1">
      <x:c r="A9864" t="str">
        <x:v>CA-2017-113278</x:v>
      </x:c>
      <x:c r="B9864" s="18" t="n">
        <x:v>42749</x:v>
      </x:c>
      <x:c r="C9864" t="str">
        <x:v>HR-14770</x:v>
      </x:c>
      <x:c r="D9864" t="str">
        <x:v>Hallie Redmond</x:v>
      </x:c>
      <x:c r="E9864" t="str">
        <x:v>Home Office</x:v>
      </x:c>
      <x:c r="F9864" t="str">
        <x:v>Central</x:v>
      </x:c>
      <x:c r="G9864" t="str">
        <x:v>Office Supplies</x:v>
      </x:c>
      <x:c r="H9864" t="str">
        <x:v>Fasteners</x:v>
      </x:c>
      <x:c r="I9864" s="22" t="n">
        <x:v>2.52</x:v>
      </x:c>
      <x:c r="J9864" s="24" t="n">
        <x:v>2</x:v>
      </x:c>
      <x:c r="K9864" s="26" t="n">
        <x:v>0</x:v>
      </x:c>
      <x:c r="L9864" s="22" t="n">
        <x:v>0.1008</x:v>
      </x:c>
      <x:c r="M9864" t="n">
        <x:v>2017</x:v>
      </x:c>
      <x:c r="N9864" s="20" t="n">
        <x:v>42736</x:v>
      </x:c>
    </x:row>
    <x:row r="9865" ht="18" customHeight="1">
      <x:c r="A9865" t="str">
        <x:v>CA-2017-113278</x:v>
      </x:c>
      <x:c r="B9865" s="18" t="n">
        <x:v>42749</x:v>
      </x:c>
      <x:c r="C9865" t="str">
        <x:v>HR-14770</x:v>
      </x:c>
      <x:c r="D9865" t="str">
        <x:v>Hallie Redmond</x:v>
      </x:c>
      <x:c r="E9865" t="str">
        <x:v>Home Office</x:v>
      </x:c>
      <x:c r="F9865" t="str">
        <x:v>Central</x:v>
      </x:c>
      <x:c r="G9865" t="str">
        <x:v>Technology</x:v>
      </x:c>
      <x:c r="H9865" t="str">
        <x:v>Phones</x:v>
      </x:c>
      <x:c r="I9865" s="22" t="n">
        <x:v>67.8</x:v>
      </x:c>
      <x:c r="J9865" s="24" t="n">
        <x:v>4</x:v>
      </x:c>
      <x:c r="K9865" s="26" t="n">
        <x:v>0</x:v>
      </x:c>
      <x:c r="L9865" s="22" t="n">
        <x:v>1.3559999999999945</x:v>
      </x:c>
      <x:c r="M9865" t="n">
        <x:v>2017</x:v>
      </x:c>
      <x:c r="N9865" s="20" t="n">
        <x:v>42736</x:v>
      </x:c>
    </x:row>
    <x:row r="9866" ht="18" customHeight="1">
      <x:c r="A9866" t="str">
        <x:v>CA-2017-113278</x:v>
      </x:c>
      <x:c r="B9866" s="18" t="n">
        <x:v>42749</x:v>
      </x:c>
      <x:c r="C9866" t="str">
        <x:v>HR-14770</x:v>
      </x:c>
      <x:c r="D9866" t="str">
        <x:v>Hallie Redmond</x:v>
      </x:c>
      <x:c r="E9866" t="str">
        <x:v>Home Office</x:v>
      </x:c>
      <x:c r="F9866" t="str">
        <x:v>Central</x:v>
      </x:c>
      <x:c r="G9866" t="str">
        <x:v>Office Supplies</x:v>
      </x:c>
      <x:c r="H9866" t="str">
        <x:v>Storage</x:v>
      </x:c>
      <x:c r="I9866" s="22" t="n">
        <x:v>18.76</x:v>
      </x:c>
      <x:c r="J9866" s="24" t="n">
        <x:v>2</x:v>
      </x:c>
      <x:c r="K9866" s="26" t="n">
        <x:v>0</x:v>
      </x:c>
      <x:c r="L9866" s="22" t="n">
        <x:v>5.252800000000001</x:v>
      </x:c>
      <x:c r="M9866" t="n">
        <x:v>2017</x:v>
      </x:c>
      <x:c r="N9866" s="20" t="n">
        <x:v>42736</x:v>
      </x:c>
    </x:row>
    <x:row r="9867" ht="18" customHeight="1">
      <x:c r="A9867" t="str">
        <x:v>CA-2017-113278</x:v>
      </x:c>
      <x:c r="B9867" s="18" t="n">
        <x:v>42749</x:v>
      </x:c>
      <x:c r="C9867" t="str">
        <x:v>HR-14770</x:v>
      </x:c>
      <x:c r="D9867" t="str">
        <x:v>Hallie Redmond</x:v>
      </x:c>
      <x:c r="E9867" t="str">
        <x:v>Home Office</x:v>
      </x:c>
      <x:c r="F9867" t="str">
        <x:v>Central</x:v>
      </x:c>
      <x:c r="G9867" t="str">
        <x:v>Technology</x:v>
      </x:c>
      <x:c r="H9867" t="str">
        <x:v>Accessories</x:v>
      </x:c>
      <x:c r="I9867" s="22" t="n">
        <x:v>12.12</x:v>
      </x:c>
      <x:c r="J9867" s="24" t="n">
        <x:v>4</x:v>
      </x:c>
      <x:c r="K9867" s="26" t="n">
        <x:v>0</x:v>
      </x:c>
      <x:c r="L9867" s="22" t="n">
        <x:v>2.5451999999999995</x:v>
      </x:c>
      <x:c r="M9867" t="n">
        <x:v>2017</x:v>
      </x:c>
      <x:c r="N9867" s="20" t="n">
        <x:v>42736</x:v>
      </x:c>
    </x:row>
    <x:row r="9868" ht="18" customHeight="1">
      <x:c r="A9868" t="str">
        <x:v>CA-2017-113278</x:v>
      </x:c>
      <x:c r="B9868" s="18" t="n">
        <x:v>42749</x:v>
      </x:c>
      <x:c r="C9868" t="str">
        <x:v>HR-14770</x:v>
      </x:c>
      <x:c r="D9868" t="str">
        <x:v>Hallie Redmond</x:v>
      </x:c>
      <x:c r="E9868" t="str">
        <x:v>Home Office</x:v>
      </x:c>
      <x:c r="F9868" t="str">
        <x:v>Central</x:v>
      </x:c>
      <x:c r="G9868" t="str">
        <x:v>Office Supplies</x:v>
      </x:c>
      <x:c r="H9868" t="str">
        <x:v>Paper</x:v>
      </x:c>
      <x:c r="I9868" s="22" t="n">
        <x:v>11.34</x:v>
      </x:c>
      <x:c r="J9868" s="24" t="n">
        <x:v>1</x:v>
      </x:c>
      <x:c r="K9868" s="26" t="n">
        <x:v>0</x:v>
      </x:c>
      <x:c r="L9868" s="22" t="n">
        <x:v>5.5565999999999995</x:v>
      </x:c>
      <x:c r="M9868" t="n">
        <x:v>2017</x:v>
      </x:c>
      <x:c r="N9868" s="20" t="n">
        <x:v>42736</x:v>
      </x:c>
    </x:row>
    <x:row r="9869" ht="18" customHeight="1">
      <x:c r="A9869" t="str">
        <x:v>CA-2017-113278</x:v>
      </x:c>
      <x:c r="B9869" s="18" t="n">
        <x:v>42749</x:v>
      </x:c>
      <x:c r="C9869" t="str">
        <x:v>HR-14770</x:v>
      </x:c>
      <x:c r="D9869" t="str">
        <x:v>Hallie Redmond</x:v>
      </x:c>
      <x:c r="E9869" t="str">
        <x:v>Home Office</x:v>
      </x:c>
      <x:c r="F9869" t="str">
        <x:v>Central</x:v>
      </x:c>
      <x:c r="G9869" t="str">
        <x:v>Technology</x:v>
      </x:c>
      <x:c r="H9869" t="str">
        <x:v>Accessories</x:v>
      </x:c>
      <x:c r="I9869" s="22" t="n">
        <x:v>159.8</x:v>
      </x:c>
      <x:c r="J9869" s="24" t="n">
        <x:v>4</x:v>
      </x:c>
      <x:c r="K9869" s="26" t="n">
        <x:v>0</x:v>
      </x:c>
      <x:c r="L9869" s="22" t="n">
        <x:v>70.31200000000001</x:v>
      </x:c>
      <x:c r="M9869" t="n">
        <x:v>2017</x:v>
      </x:c>
      <x:c r="N9869" s="20" t="n">
        <x:v>42736</x:v>
      </x:c>
    </x:row>
    <x:row r="9870" ht="18" customHeight="1">
      <x:c r="A9870" t="str">
        <x:v>CA-2017-113278</x:v>
      </x:c>
      <x:c r="B9870" s="18" t="n">
        <x:v>42749</x:v>
      </x:c>
      <x:c r="C9870" t="str">
        <x:v>HR-14770</x:v>
      </x:c>
      <x:c r="D9870" t="str">
        <x:v>Hallie Redmond</x:v>
      </x:c>
      <x:c r="E9870" t="str">
        <x:v>Home Office</x:v>
      </x:c>
      <x:c r="F9870" t="str">
        <x:v>Central</x:v>
      </x:c>
      <x:c r="G9870" t="str">
        <x:v>Furniture</x:v>
      </x:c>
      <x:c r="H9870" t="str">
        <x:v>Furnishings</x:v>
      </x:c>
      <x:c r="I9870" s="22" t="n">
        <x:v>18.96</x:v>
      </x:c>
      <x:c r="J9870" s="24" t="n">
        <x:v>2</x:v>
      </x:c>
      <x:c r="K9870" s="26" t="n">
        <x:v>0</x:v>
      </x:c>
      <x:c r="L9870" s="22" t="n">
        <x:v>8.532</x:v>
      </x:c>
      <x:c r="M9870" t="n">
        <x:v>2017</x:v>
      </x:c>
      <x:c r="N9870" s="20" t="n">
        <x:v>42736</x:v>
      </x:c>
    </x:row>
    <x:row r="9871" ht="18" customHeight="1">
      <x:c r="A9871" t="str">
        <x:v>US-2015-116981</x:v>
      </x:c>
      <x:c r="B9871" s="18" t="n">
        <x:v>42089</x:v>
      </x:c>
      <x:c r="C9871" t="str">
        <x:v>SM-20950</x:v>
      </x:c>
      <x:c r="D9871" t="str">
        <x:v>Suzanne McNair</x:v>
      </x:c>
      <x:c r="E9871" t="str">
        <x:v>Corporate</x:v>
      </x:c>
      <x:c r="F9871" t="str">
        <x:v>East</x:v>
      </x:c>
      <x:c r="G9871" t="str">
        <x:v>Office Supplies</x:v>
      </x:c>
      <x:c r="H9871" t="str">
        <x:v>Storage</x:v>
      </x:c>
      <x:c r="I9871" s="22" t="n">
        <x:v>1085.42</x:v>
      </x:c>
      <x:c r="J9871" s="24" t="n">
        <x:v>7</x:v>
      </x:c>
      <x:c r="K9871" s="26" t="n">
        <x:v>0</x:v>
      </x:c>
      <x:c r="L9871" s="22" t="n">
        <x:v>282.2092</x:v>
      </x:c>
      <x:c r="M9871" t="n">
        <x:v>2015</x:v>
      </x:c>
      <x:c r="N9871" s="20" t="n">
        <x:v>42064</x:v>
      </x:c>
    </x:row>
    <x:row r="9872" ht="18" customHeight="1">
      <x:c r="A9872" t="str">
        <x:v>US-2015-116981</x:v>
      </x:c>
      <x:c r="B9872" s="18" t="n">
        <x:v>42089</x:v>
      </x:c>
      <x:c r="C9872" t="str">
        <x:v>SM-20950</x:v>
      </x:c>
      <x:c r="D9872" t="str">
        <x:v>Suzanne McNair</x:v>
      </x:c>
      <x:c r="E9872" t="str">
        <x:v>Corporate</x:v>
      </x:c>
      <x:c r="F9872" t="str">
        <x:v>East</x:v>
      </x:c>
      <x:c r="G9872" t="str">
        <x:v>Office Supplies</x:v>
      </x:c>
      <x:c r="H9872" t="str">
        <x:v>Appliances</x:v>
      </x:c>
      <x:c r="I9872" s="22" t="n">
        <x:v>13.11</x:v>
      </x:c>
      <x:c r="J9872" s="24" t="n">
        <x:v>3</x:v>
      </x:c>
      <x:c r="K9872" s="26" t="n">
        <x:v>0</x:v>
      </x:c>
      <x:c r="L9872" s="22" t="n">
        <x:v>3.4086000000000003</x:v>
      </x:c>
      <x:c r="M9872" t="n">
        <x:v>2015</x:v>
      </x:c>
      <x:c r="N9872" s="20" t="n">
        <x:v>42064</x:v>
      </x:c>
    </x:row>
    <x:row r="9873" ht="18" customHeight="1">
      <x:c r="A9873" t="str">
        <x:v>CA-2014-114195</x:v>
      </x:c>
      <x:c r="B9873" s="18" t="n">
        <x:v>41944</x:v>
      </x:c>
      <x:c r="C9873" t="str">
        <x:v>EA-14035</x:v>
      </x:c>
      <x:c r="D9873" t="str">
        <x:v>Erin Ashbrook</x:v>
      </x:c>
      <x:c r="E9873" t="str">
        <x:v>Corporate</x:v>
      </x:c>
      <x:c r="F9873" t="str">
        <x:v>East</x:v>
      </x:c>
      <x:c r="G9873" t="str">
        <x:v>Furniture</x:v>
      </x:c>
      <x:c r="H9873" t="str">
        <x:v>Furnishings</x:v>
      </x:c>
      <x:c r="I9873" s="22" t="n">
        <x:v>68.704</x:v>
      </x:c>
      <x:c r="J9873" s="24" t="n">
        <x:v>2</x:v>
      </x:c>
      <x:c r="K9873" s="26" t="n">
        <x:v>0.2</x:v>
      </x:c>
      <x:c r="L9873" s="22" t="n">
        <x:v>16.317200000000003</x:v>
      </x:c>
      <x:c r="M9873" t="n">
        <x:v>2014</x:v>
      </x:c>
      <x:c r="N9873" s="20" t="n">
        <x:v>41944</x:v>
      </x:c>
    </x:row>
    <x:row r="9874" ht="18" customHeight="1">
      <x:c r="A9874" t="str">
        <x:v>CA-2014-114195</x:v>
      </x:c>
      <x:c r="B9874" s="18" t="n">
        <x:v>41944</x:v>
      </x:c>
      <x:c r="C9874" t="str">
        <x:v>EA-14035</x:v>
      </x:c>
      <x:c r="D9874" t="str">
        <x:v>Erin Ashbrook</x:v>
      </x:c>
      <x:c r="E9874" t="str">
        <x:v>Corporate</x:v>
      </x:c>
      <x:c r="F9874" t="str">
        <x:v>East</x:v>
      </x:c>
      <x:c r="G9874" t="str">
        <x:v>Office Supplies</x:v>
      </x:c>
      <x:c r="H9874" t="str">
        <x:v>Binders</x:v>
      </x:c>
      <x:c r="I9874" s="22" t="n">
        <x:v>3.132</x:v>
      </x:c>
      <x:c r="J9874" s="24" t="n">
        <x:v>2</x:v>
      </x:c>
      <x:c r="K9874" s="26" t="n">
        <x:v>0.7</x:v>
      </x:c>
      <x:c r="L9874" s="22" t="n">
        <x:v>-2.6099999999999994</x:v>
      </x:c>
      <x:c r="M9874" t="n">
        <x:v>2014</x:v>
      </x:c>
      <x:c r="N9874" s="20" t="n">
        <x:v>41944</x:v>
      </x:c>
    </x:row>
    <x:row r="9875" ht="18" customHeight="1">
      <x:c r="A9875" t="str">
        <x:v>CA-2014-114195</x:v>
      </x:c>
      <x:c r="B9875" s="18" t="n">
        <x:v>41944</x:v>
      </x:c>
      <x:c r="C9875" t="str">
        <x:v>EA-14035</x:v>
      </x:c>
      <x:c r="D9875" t="str">
        <x:v>Erin Ashbrook</x:v>
      </x:c>
      <x:c r="E9875" t="str">
        <x:v>Corporate</x:v>
      </x:c>
      <x:c r="F9875" t="str">
        <x:v>East</x:v>
      </x:c>
      <x:c r="G9875" t="str">
        <x:v>Office Supplies</x:v>
      </x:c>
      <x:c r="H9875" t="str">
        <x:v>Binders</x:v>
      </x:c>
      <x:c r="I9875" s="22" t="n">
        <x:v>22.428000000000004</x:v>
      </x:c>
      <x:c r="J9875" s="24" t="n">
        <x:v>3</x:v>
      </x:c>
      <x:c r="K9875" s="26" t="n">
        <x:v>0.7</x:v>
      </x:c>
      <x:c r="L9875" s="22" t="n">
        <x:v>-17.942399999999992</x:v>
      </x:c>
      <x:c r="M9875" t="n">
        <x:v>2014</x:v>
      </x:c>
      <x:c r="N9875" s="20" t="n">
        <x:v>41944</x:v>
      </x:c>
    </x:row>
    <x:row r="9876" ht="18" customHeight="1">
      <x:c r="A9876" t="str">
        <x:v>CA-2017-146269</x:v>
      </x:c>
      <x:c r="B9876" s="18" t="n">
        <x:v>43014</x:v>
      </x:c>
      <x:c r="C9876" t="str">
        <x:v>MH-17455</x:v>
      </x:c>
      <x:c r="D9876" t="str">
        <x:v>Mark Hamilton</x:v>
      </x:c>
      <x:c r="E9876" t="str">
        <x:v>Consumer</x:v>
      </x:c>
      <x:c r="F9876" t="str">
        <x:v>Central</x:v>
      </x:c>
      <x:c r="G9876" t="str">
        <x:v>Office Supplies</x:v>
      </x:c>
      <x:c r="H9876" t="str">
        <x:v>Storage</x:v>
      </x:c>
      <x:c r="I9876" s="22" t="n">
        <x:v>290.336</x:v>
      </x:c>
      <x:c r="J9876" s="24" t="n">
        <x:v>2</x:v>
      </x:c>
      <x:c r="K9876" s="26" t="n">
        <x:v>0.2</x:v>
      </x:c>
      <x:c r="L9876" s="22" t="n">
        <x:v>32.66279999999995</x:v>
      </x:c>
      <x:c r="M9876" t="n">
        <x:v>2017</x:v>
      </x:c>
      <x:c r="N9876" s="20" t="n">
        <x:v>43009</x:v>
      </x:c>
    </x:row>
    <x:row r="9877" ht="18" customHeight="1">
      <x:c r="A9877" t="str">
        <x:v>CA-2017-146269</x:v>
      </x:c>
      <x:c r="B9877" s="18" t="n">
        <x:v>43014</x:v>
      </x:c>
      <x:c r="C9877" t="str">
        <x:v>MH-17455</x:v>
      </x:c>
      <x:c r="D9877" t="str">
        <x:v>Mark Hamilton</x:v>
      </x:c>
      <x:c r="E9877" t="str">
        <x:v>Consumer</x:v>
      </x:c>
      <x:c r="F9877" t="str">
        <x:v>Central</x:v>
      </x:c>
      <x:c r="G9877" t="str">
        <x:v>Office Supplies</x:v>
      </x:c>
      <x:c r="H9877" t="str">
        <x:v>Art</x:v>
      </x:c>
      <x:c r="I9877" s="22" t="n">
        <x:v>19.152</x:v>
      </x:c>
      <x:c r="J9877" s="24" t="n">
        <x:v>2</x:v>
      </x:c>
      <x:c r="K9877" s="26" t="n">
        <x:v>0.2</x:v>
      </x:c>
      <x:c r="L9877" s="22" t="n">
        <x:v>1.1969999999999992</x:v>
      </x:c>
      <x:c r="M9877" t="n">
        <x:v>2017</x:v>
      </x:c>
      <x:c r="N9877" s="20" t="n">
        <x:v>43009</x:v>
      </x:c>
    </x:row>
    <x:row r="9878" ht="18" customHeight="1">
      <x:c r="A9878" t="str">
        <x:v>CA-2016-100587</x:v>
      </x:c>
      <x:c r="B9878" s="18" t="n">
        <x:v>42714</x:v>
      </x:c>
      <x:c r="C9878" t="str">
        <x:v>SL-20155</x:v>
      </x:c>
      <x:c r="D9878" t="str">
        <x:v>Sara Luxemburg</x:v>
      </x:c>
      <x:c r="E9878" t="str">
        <x:v>Home Office</x:v>
      </x:c>
      <x:c r="F9878" t="str">
        <x:v>East</x:v>
      </x:c>
      <x:c r="G9878" t="str">
        <x:v>Office Supplies</x:v>
      </x:c>
      <x:c r="H9878" t="str">
        <x:v>Paper</x:v>
      </x:c>
      <x:c r="I9878" s="22" t="n">
        <x:v>6.48</x:v>
      </x:c>
      <x:c r="J9878" s="24" t="n">
        <x:v>1</x:v>
      </x:c>
      <x:c r="K9878" s="26" t="n">
        <x:v>0</x:v>
      </x:c>
      <x:c r="L9878" s="22" t="n">
        <x:v>3.1104000000000003</x:v>
      </x:c>
      <x:c r="M9878" t="n">
        <x:v>2016</x:v>
      </x:c>
      <x:c r="N9878" s="20" t="n">
        <x:v>42705</x:v>
      </x:c>
    </x:row>
    <x:row r="9879" ht="18" customHeight="1">
      <x:c r="A9879" t="str">
        <x:v>CA-2016-166653</x:v>
      </x:c>
      <x:c r="B9879" s="18" t="n">
        <x:v>42635</x:v>
      </x:c>
      <x:c r="C9879" t="str">
        <x:v>NP-18685</x:v>
      </x:c>
      <x:c r="D9879" t="str">
        <x:v>Nora Pelletier</x:v>
      </x:c>
      <x:c r="E9879" t="str">
        <x:v>Home Office</x:v>
      </x:c>
      <x:c r="F9879" t="str">
        <x:v>East</x:v>
      </x:c>
      <x:c r="G9879" t="str">
        <x:v>Office Supplies</x:v>
      </x:c>
      <x:c r="H9879" t="str">
        <x:v>Envelopes</x:v>
      </x:c>
      <x:c r="I9879" s="22" t="n">
        <x:v>63.967999999999996</x:v>
      </x:c>
      <x:c r="J9879" s="24" t="n">
        <x:v>2</x:v>
      </x:c>
      <x:c r="K9879" s="26" t="n">
        <x:v>0.2</x:v>
      </x:c>
      <x:c r="L9879" s="22" t="n">
        <x:v>19.989999999999995</x:v>
      </x:c>
      <x:c r="M9879" t="n">
        <x:v>2016</x:v>
      </x:c>
      <x:c r="N9879" s="20" t="n">
        <x:v>42614</x:v>
      </x:c>
    </x:row>
    <x:row r="9880" ht="18" customHeight="1">
      <x:c r="A9880" t="str">
        <x:v>CA-2015-130855</x:v>
      </x:c>
      <x:c r="B9880" s="18" t="n">
        <x:v>42367</x:v>
      </x:c>
      <x:c r="C9880" t="str">
        <x:v>RF-19840</x:v>
      </x:c>
      <x:c r="D9880" t="str">
        <x:v>Roy Französisch</x:v>
      </x:c>
      <x:c r="E9880" t="str">
        <x:v>Consumer</x:v>
      </x:c>
      <x:c r="F9880" t="str">
        <x:v>East</x:v>
      </x:c>
      <x:c r="G9880" t="str">
        <x:v>Office Supplies</x:v>
      </x:c>
      <x:c r="H9880" t="str">
        <x:v>Supplies</x:v>
      </x:c>
      <x:c r="I9880" s="22" t="n">
        <x:v>6.36</x:v>
      </x:c>
      <x:c r="J9880" s="24" t="n">
        <x:v>2</x:v>
      </x:c>
      <x:c r="K9880" s="26" t="n">
        <x:v>0</x:v>
      </x:c>
      <x:c r="L9880" s="22" t="n">
        <x:v>0.0636000000000001</x:v>
      </x:c>
      <x:c r="M9880" t="n">
        <x:v>2015</x:v>
      </x:c>
      <x:c r="N9880" s="20" t="n">
        <x:v>42339</x:v>
      </x:c>
    </x:row>
    <x:row r="9881" ht="18" customHeight="1">
      <x:c r="A9881" t="str">
        <x:v>US-2017-166324</x:v>
      </x:c>
      <x:c r="B9881" s="18" t="n">
        <x:v>42845</x:v>
      </x:c>
      <x:c r="C9881" t="str">
        <x:v>BE-11455</x:v>
      </x:c>
      <x:c r="D9881" t="str">
        <x:v>Brad Eason</x:v>
      </x:c>
      <x:c r="E9881" t="str">
        <x:v>Home Office</x:v>
      </x:c>
      <x:c r="F9881" t="str">
        <x:v>East</x:v>
      </x:c>
      <x:c r="G9881" t="str">
        <x:v>Office Supplies</x:v>
      </x:c>
      <x:c r="H9881" t="str">
        <x:v>Storage</x:v>
      </x:c>
      <x:c r="I9881" s="22" t="n">
        <x:v>848.5440000000001</x:v>
      </x:c>
      <x:c r="J9881" s="24" t="n">
        <x:v>4</x:v>
      </x:c>
      <x:c r="K9881" s="26" t="n">
        <x:v>0.2</x:v>
      </x:c>
      <x:c r="L9881" s="22" t="n">
        <x:v>-21.2136000000001</x:v>
      </x:c>
      <x:c r="M9881" t="n">
        <x:v>2017</x:v>
      </x:c>
      <x:c r="N9881" s="20" t="n">
        <x:v>42826</x:v>
      </x:c>
    </x:row>
    <x:row r="9882" ht="18" customHeight="1">
      <x:c r="A9882" t="str">
        <x:v>US-2017-166324</x:v>
      </x:c>
      <x:c r="B9882" s="18" t="n">
        <x:v>42845</x:v>
      </x:c>
      <x:c r="C9882" t="str">
        <x:v>BE-11455</x:v>
      </x:c>
      <x:c r="D9882" t="str">
        <x:v>Brad Eason</x:v>
      </x:c>
      <x:c r="E9882" t="str">
        <x:v>Home Office</x:v>
      </x:c>
      <x:c r="F9882" t="str">
        <x:v>East</x:v>
      </x:c>
      <x:c r="G9882" t="str">
        <x:v>Office Supplies</x:v>
      </x:c>
      <x:c r="H9882" t="str">
        <x:v>Binders</x:v>
      </x:c>
      <x:c r="I9882" s="22" t="n">
        <x:v>8.700000000000001</x:v>
      </x:c>
      <x:c r="J9882" s="24" t="n">
        <x:v>5</x:v>
      </x:c>
      <x:c r="K9882" s="26" t="n">
        <x:v>0.7</x:v>
      </x:c>
      <x:c r="L9882" s="22" t="n">
        <x:v>-6.379999999999999</x:v>
      </x:c>
      <x:c r="M9882" t="n">
        <x:v>2017</x:v>
      </x:c>
      <x:c r="N9882" s="20" t="n">
        <x:v>42826</x:v>
      </x:c>
    </x:row>
    <x:row r="9883" ht="18" customHeight="1">
      <x:c r="A9883" t="str">
        <x:v>US-2017-166324</x:v>
      </x:c>
      <x:c r="B9883" s="18" t="n">
        <x:v>42845</x:v>
      </x:c>
      <x:c r="C9883" t="str">
        <x:v>BE-11455</x:v>
      </x:c>
      <x:c r="D9883" t="str">
        <x:v>Brad Eason</x:v>
      </x:c>
      <x:c r="E9883" t="str">
        <x:v>Home Office</x:v>
      </x:c>
      <x:c r="F9883" t="str">
        <x:v>East</x:v>
      </x:c>
      <x:c r="G9883" t="str">
        <x:v>Technology</x:v>
      </x:c>
      <x:c r="H9883" t="str">
        <x:v>Phones</x:v>
      </x:c>
      <x:c r="I9883" s="22" t="n">
        <x:v>122.38199999999999</x:v>
      </x:c>
      <x:c r="J9883" s="24" t="n">
        <x:v>3</x:v>
      </x:c>
      <x:c r="K9883" s="26" t="n">
        <x:v>0.4</x:v>
      </x:c>
      <x:c r="L9883" s="22" t="n">
        <x:v>-24.476399999999998</x:v>
      </x:c>
      <x:c r="M9883" t="n">
        <x:v>2017</x:v>
      </x:c>
      <x:c r="N9883" s="20" t="n">
        <x:v>42826</x:v>
      </x:c>
    </x:row>
    <x:row r="9884" ht="18" customHeight="1">
      <x:c r="A9884" t="str">
        <x:v>CA-2016-122581</x:v>
      </x:c>
      <x:c r="B9884" s="18" t="n">
        <x:v>42603</x:v>
      </x:c>
      <x:c r="C9884" t="str">
        <x:v>JK-15370</x:v>
      </x:c>
      <x:c r="D9884" t="str">
        <x:v>Jay Kimmel</x:v>
      </x:c>
      <x:c r="E9884" t="str">
        <x:v>Consumer</x:v>
      </x:c>
      <x:c r="F9884" t="str">
        <x:v>East</x:v>
      </x:c>
      <x:c r="G9884" t="str">
        <x:v>Furniture</x:v>
      </x:c>
      <x:c r="H9884" t="str">
        <x:v>Chairs</x:v>
      </x:c>
      <x:c r="I9884" s="22" t="n">
        <x:v>573.174</x:v>
      </x:c>
      <x:c r="J9884" s="24" t="n">
        <x:v>7</x:v>
      </x:c>
      <x:c r="K9884" s="26" t="n">
        <x:v>0.1</x:v>
      </x:c>
      <x:c r="L9884" s="22" t="n">
        <x:v>63.68599999999998</x:v>
      </x:c>
      <x:c r="M9884" t="n">
        <x:v>2016</x:v>
      </x:c>
      <x:c r="N9884" s="20" t="n">
        <x:v>42583</x:v>
      </x:c>
    </x:row>
    <x:row r="9885" ht="18" customHeight="1">
      <x:c r="A9885" t="str">
        <x:v>CA-2015-104297</x:v>
      </x:c>
      <x:c r="B9885" s="18" t="n">
        <x:v>42153</x:v>
      </x:c>
      <x:c r="C9885" t="str">
        <x:v>CC-12100</x:v>
      </x:c>
      <x:c r="D9885" t="str">
        <x:v>Chad Cunningham</x:v>
      </x:c>
      <x:c r="E9885" t="str">
        <x:v>Home Office</x:v>
      </x:c>
      <x:c r="F9885" t="str">
        <x:v>East</x:v>
      </x:c>
      <x:c r="G9885" t="str">
        <x:v>Office Supplies</x:v>
      </x:c>
      <x:c r="H9885" t="str">
        <x:v>Paper</x:v>
      </x:c>
      <x:c r="I9885" s="22" t="n">
        <x:v>85.056</x:v>
      </x:c>
      <x:c r="J9885" s="24" t="n">
        <x:v>3</x:v>
      </x:c>
      <x:c r="K9885" s="26" t="n">
        <x:v>0.2</x:v>
      </x:c>
      <x:c r="L9885" s="22" t="n">
        <x:v>28.70639999999999</x:v>
      </x:c>
      <x:c r="M9885" t="n">
        <x:v>2015</x:v>
      </x:c>
      <x:c r="N9885" s="20" t="n">
        <x:v>42125</x:v>
      </x:c>
    </x:row>
    <x:row r="9886" ht="18" customHeight="1">
      <x:c r="A9886" t="str">
        <x:v>CA-2014-153927</x:v>
      </x:c>
      <x:c r="B9886" s="18" t="n">
        <x:v>41863</x:v>
      </x:c>
      <x:c r="C9886" t="str">
        <x:v>LL-16840</x:v>
      </x:c>
      <x:c r="D9886" t="str">
        <x:v>Lauren Leatherbury</x:v>
      </x:c>
      <x:c r="E9886" t="str">
        <x:v>Consumer</x:v>
      </x:c>
      <x:c r="F9886" t="str">
        <x:v>South</x:v>
      </x:c>
      <x:c r="G9886" t="str">
        <x:v>Office Supplies</x:v>
      </x:c>
      <x:c r="H9886" t="str">
        <x:v>Binders</x:v>
      </x:c>
      <x:c r="I9886" s="22" t="n">
        <x:v>14.04</x:v>
      </x:c>
      <x:c r="J9886" s="24" t="n">
        <x:v>3</x:v>
      </x:c>
      <x:c r="K9886" s="26" t="n">
        <x:v>0</x:v>
      </x:c>
      <x:c r="L9886" s="22" t="n">
        <x:v>6.7392</x:v>
      </x:c>
      <x:c r="M9886" t="n">
        <x:v>2014</x:v>
      </x:c>
      <x:c r="N9886" s="20" t="n">
        <x:v>41852</x:v>
      </x:c>
    </x:row>
    <x:row r="9887" ht="18" customHeight="1">
      <x:c r="A9887" t="str">
        <x:v>CA-2014-153927</x:v>
      </x:c>
      <x:c r="B9887" s="18" t="n">
        <x:v>41863</x:v>
      </x:c>
      <x:c r="C9887" t="str">
        <x:v>LL-16840</x:v>
      </x:c>
      <x:c r="D9887" t="str">
        <x:v>Lauren Leatherbury</x:v>
      </x:c>
      <x:c r="E9887" t="str">
        <x:v>Consumer</x:v>
      </x:c>
      <x:c r="F9887" t="str">
        <x:v>South</x:v>
      </x:c>
      <x:c r="G9887" t="str">
        <x:v>Technology</x:v>
      </x:c>
      <x:c r="H9887" t="str">
        <x:v>Accessories</x:v>
      </x:c>
      <x:c r="I9887" s="22" t="n">
        <x:v>272.61</x:v>
      </x:c>
      <x:c r="J9887" s="24" t="n">
        <x:v>13</x:v>
      </x:c>
      <x:c r="K9887" s="26" t="n">
        <x:v>0</x:v>
      </x:c>
      <x:c r="L9887" s="22" t="n">
        <x:v>98.13959999999999</x:v>
      </x:c>
      <x:c r="M9887" t="n">
        <x:v>2014</x:v>
      </x:c>
      <x:c r="N9887" s="20" t="n">
        <x:v>41852</x:v>
      </x:c>
    </x:row>
    <x:row r="9888" ht="18" customHeight="1">
      <x:c r="A9888" t="str">
        <x:v>CA-2014-112291</x:v>
      </x:c>
      <x:c r="B9888" s="18" t="n">
        <x:v>41732</x:v>
      </x:c>
      <x:c r="C9888" t="str">
        <x:v>KE-16420</x:v>
      </x:c>
      <x:c r="D9888" t="str">
        <x:v>Katrina Edelman</x:v>
      </x:c>
      <x:c r="E9888" t="str">
        <x:v>Corporate</x:v>
      </x:c>
      <x:c r="F9888" t="str">
        <x:v>West</x:v>
      </x:c>
      <x:c r="G9888" t="str">
        <x:v>Office Supplies</x:v>
      </x:c>
      <x:c r="H9888" t="str">
        <x:v>Envelopes</x:v>
      </x:c>
      <x:c r="I9888" s="22" t="n">
        <x:v>11.16</x:v>
      </x:c>
      <x:c r="J9888" s="24" t="n">
        <x:v>2</x:v>
      </x:c>
      <x:c r="K9888" s="26" t="n">
        <x:v>0</x:v>
      </x:c>
      <x:c r="L9888" s="22" t="n">
        <x:v>5.58</x:v>
      </x:c>
      <x:c r="M9888" t="n">
        <x:v>2014</x:v>
      </x:c>
      <x:c r="N9888" s="20" t="n">
        <x:v>41730</x:v>
      </x:c>
    </x:row>
    <x:row r="9889" ht="18" customHeight="1">
      <x:c r="A9889" t="str">
        <x:v>CA-2014-112291</x:v>
      </x:c>
      <x:c r="B9889" s="18" t="n">
        <x:v>41732</x:v>
      </x:c>
      <x:c r="C9889" t="str">
        <x:v>KE-16420</x:v>
      </x:c>
      <x:c r="D9889" t="str">
        <x:v>Katrina Edelman</x:v>
      </x:c>
      <x:c r="E9889" t="str">
        <x:v>Corporate</x:v>
      </x:c>
      <x:c r="F9889" t="str">
        <x:v>West</x:v>
      </x:c>
      <x:c r="G9889" t="str">
        <x:v>Technology</x:v>
      </x:c>
      <x:c r="H9889" t="str">
        <x:v>Accessories</x:v>
      </x:c>
      <x:c r="I9889" s="22" t="n">
        <x:v>62.31</x:v>
      </x:c>
      <x:c r="J9889" s="24" t="n">
        <x:v>3</x:v>
      </x:c>
      <x:c r="K9889" s="26" t="n">
        <x:v>0</x:v>
      </x:c>
      <x:c r="L9889" s="22" t="n">
        <x:v>22.4316</x:v>
      </x:c>
      <x:c r="M9889" t="n">
        <x:v>2014</x:v>
      </x:c>
      <x:c r="N9889" s="20" t="n">
        <x:v>41730</x:v>
      </x:c>
    </x:row>
    <x:row r="9890" ht="18" customHeight="1">
      <x:c r="A9890" t="str">
        <x:v>CA-2014-112291</x:v>
      </x:c>
      <x:c r="B9890" s="18" t="n">
        <x:v>41732</x:v>
      </x:c>
      <x:c r="C9890" t="str">
        <x:v>KE-16420</x:v>
      </x:c>
      <x:c r="D9890" t="str">
        <x:v>Katrina Edelman</x:v>
      </x:c>
      <x:c r="E9890" t="str">
        <x:v>Corporate</x:v>
      </x:c>
      <x:c r="F9890" t="str">
        <x:v>West</x:v>
      </x:c>
      <x:c r="G9890" t="str">
        <x:v>Technology</x:v>
      </x:c>
      <x:c r="H9890" t="str">
        <x:v>Accessories</x:v>
      </x:c>
      <x:c r="I9890" s="22" t="n">
        <x:v>159.98</x:v>
      </x:c>
      <x:c r="J9890" s="24" t="n">
        <x:v>2</x:v>
      </x:c>
      <x:c r="K9890" s="26" t="n">
        <x:v>0</x:v>
      </x:c>
      <x:c r="L9890" s="22" t="n">
        <x:v>57.5928</x:v>
      </x:c>
      <x:c r="M9890" t="n">
        <x:v>2014</x:v>
      </x:c>
      <x:c r="N9890" s="20" t="n">
        <x:v>41730</x:v>
      </x:c>
    </x:row>
    <x:row r="9891" ht="18" customHeight="1">
      <x:c r="A9891" t="str">
        <x:v>CA-2014-146997</x:v>
      </x:c>
      <x:c r="B9891" s="18" t="n">
        <x:v>41662</x:v>
      </x:c>
      <x:c r="C9891" t="str">
        <x:v>SG-20605</x:v>
      </x:c>
      <x:c r="D9891" t="str">
        <x:v>Speros Goranitis</x:v>
      </x:c>
      <x:c r="E9891" t="str">
        <x:v>Consumer</x:v>
      </x:c>
      <x:c r="F9891" t="str">
        <x:v>Central</x:v>
      </x:c>
      <x:c r="G9891" t="str">
        <x:v>Office Supplies</x:v>
      </x:c>
      <x:c r="H9891" t="str">
        <x:v>Fasteners</x:v>
      </x:c>
      <x:c r="I9891" s="22" t="n">
        <x:v>5.9399999999999995</x:v>
      </x:c>
      <x:c r="J9891" s="24" t="n">
        <x:v>3</x:v>
      </x:c>
      <x:c r="K9891" s="26" t="n">
        <x:v>0</x:v>
      </x:c>
      <x:c r="L9891" s="22" t="n">
        <x:v>0</x:v>
      </x:c>
      <x:c r="M9891" t="n">
        <x:v>2014</x:v>
      </x:c>
      <x:c r="N9891" s="20" t="n">
        <x:v>41640</x:v>
      </x:c>
    </x:row>
    <x:row r="9892" ht="18" customHeight="1">
      <x:c r="A9892" t="str">
        <x:v>CA-2017-169607</x:v>
      </x:c>
      <x:c r="B9892" s="18" t="n">
        <x:v>43020</x:v>
      </x:c>
      <x:c r="C9892" t="str">
        <x:v>CA-12265</x:v>
      </x:c>
      <x:c r="D9892" t="str">
        <x:v>Christina Anderson</x:v>
      </x:c>
      <x:c r="E9892" t="str">
        <x:v>Consumer</x:v>
      </x:c>
      <x:c r="F9892" t="str">
        <x:v>East</x:v>
      </x:c>
      <x:c r="G9892" t="str">
        <x:v>Office Supplies</x:v>
      </x:c>
      <x:c r="H9892" t="str">
        <x:v>Paper</x:v>
      </x:c>
      <x:c r="I9892" s="22" t="n">
        <x:v>9.96</x:v>
      </x:c>
      <x:c r="J9892" s="24" t="n">
        <x:v>2</x:v>
      </x:c>
      <x:c r="K9892" s="26" t="n">
        <x:v>0</x:v>
      </x:c>
      <x:c r="L9892" s="22" t="n">
        <x:v>4.6812000000000005</x:v>
      </x:c>
      <x:c r="M9892" t="n">
        <x:v>2017</x:v>
      </x:c>
      <x:c r="N9892" s="20" t="n">
        <x:v>43009</x:v>
      </x:c>
    </x:row>
    <x:row r="9893" ht="18" customHeight="1">
      <x:c r="A9893" t="str">
        <x:v>CA-2015-127544</x:v>
      </x:c>
      <x:c r="B9893" s="18" t="n">
        <x:v>42224</x:v>
      </x:c>
      <x:c r="C9893" t="str">
        <x:v>RD-19585</x:v>
      </x:c>
      <x:c r="D9893" t="str">
        <x:v>Rob Dowd</x:v>
      </x:c>
      <x:c r="E9893" t="str">
        <x:v>Consumer</x:v>
      </x:c>
      <x:c r="F9893" t="str">
        <x:v>East</x:v>
      </x:c>
      <x:c r="G9893" t="str">
        <x:v>Technology</x:v>
      </x:c>
      <x:c r="H9893" t="str">
        <x:v>Accessories</x:v>
      </x:c>
      <x:c r="I9893" s="22" t="n">
        <x:v>79.99</x:v>
      </x:c>
      <x:c r="J9893" s="24" t="n">
        <x:v>1</x:v>
      </x:c>
      <x:c r="K9893" s="26" t="n">
        <x:v>0</x:v>
      </x:c>
      <x:c r="L9893" s="22" t="n">
        <x:v>28.7964</x:v>
      </x:c>
      <x:c r="M9893" t="n">
        <x:v>2015</x:v>
      </x:c>
      <x:c r="N9893" s="20" t="n">
        <x:v>42217</x:v>
      </x:c>
    </x:row>
    <x:row r="9894" ht="18" customHeight="1">
      <x:c r="A9894" t="str">
        <x:v>CA-2017-166499</x:v>
      </x:c>
      <x:c r="B9894" s="18" t="n">
        <x:v>42813</x:v>
      </x:c>
      <x:c r="C9894" t="str">
        <x:v>VG-21805</x:v>
      </x:c>
      <x:c r="D9894" t="str">
        <x:v>Vivek Grady</x:v>
      </x:c>
      <x:c r="E9894" t="str">
        <x:v>Corporate</x:v>
      </x:c>
      <x:c r="F9894" t="str">
        <x:v>East</x:v>
      </x:c>
      <x:c r="G9894" t="str">
        <x:v>Office Supplies</x:v>
      </x:c>
      <x:c r="H9894" t="str">
        <x:v>Art</x:v>
      </x:c>
      <x:c r="I9894" s="22" t="n">
        <x:v>8.94</x:v>
      </x:c>
      <x:c r="J9894" s="24" t="n">
        <x:v>3</x:v>
      </x:c>
      <x:c r="K9894" s="26" t="n">
        <x:v>0</x:v>
      </x:c>
      <x:c r="L9894" s="22" t="n">
        <x:v>2.4138000000000006</x:v>
      </x:c>
      <x:c r="M9894" t="n">
        <x:v>2017</x:v>
      </x:c>
      <x:c r="N9894" s="20" t="n">
        <x:v>42795</x:v>
      </x:c>
    </x:row>
    <x:row r="9895" ht="18" customHeight="1">
      <x:c r="A9895" t="str">
        <x:v>US-2016-115441</x:v>
      </x:c>
      <x:c r="B9895" s="18" t="n">
        <x:v>42576</x:v>
      </x:c>
      <x:c r="C9895" t="str">
        <x:v>SH-19975</x:v>
      </x:c>
      <x:c r="D9895" t="str">
        <x:v>Sally Hughsby</x:v>
      </x:c>
      <x:c r="E9895" t="str">
        <x:v>Corporate</x:v>
      </x:c>
      <x:c r="F9895" t="str">
        <x:v>Central</x:v>
      </x:c>
      <x:c r="G9895" t="str">
        <x:v>Office Supplies</x:v>
      </x:c>
      <x:c r="H9895" t="str">
        <x:v>Paper</x:v>
      </x:c>
      <x:c r="I9895" s="22" t="n">
        <x:v>20.62</x:v>
      </x:c>
      <x:c r="J9895" s="24" t="n">
        <x:v>2</x:v>
      </x:c>
      <x:c r="K9895" s="26" t="n">
        <x:v>0</x:v>
      </x:c>
      <x:c r="L9895" s="22" t="n">
        <x:v>9.6914</x:v>
      </x:c>
      <x:c r="M9895" t="n">
        <x:v>2016</x:v>
      </x:c>
      <x:c r="N9895" s="20" t="n">
        <x:v>42552</x:v>
      </x:c>
    </x:row>
    <x:row r="9896" ht="18" customHeight="1">
      <x:c r="A9896" t="str">
        <x:v>US-2016-115441</x:v>
      </x:c>
      <x:c r="B9896" s="18" t="n">
        <x:v>42576</x:v>
      </x:c>
      <x:c r="C9896" t="str">
        <x:v>SH-19975</x:v>
      </x:c>
      <x:c r="D9896" t="str">
        <x:v>Sally Hughsby</x:v>
      </x:c>
      <x:c r="E9896" t="str">
        <x:v>Corporate</x:v>
      </x:c>
      <x:c r="F9896" t="str">
        <x:v>Central</x:v>
      </x:c>
      <x:c r="G9896" t="str">
        <x:v>Technology</x:v>
      </x:c>
      <x:c r="H9896" t="str">
        <x:v>Accessories</x:v>
      </x:c>
      <x:c r="I9896" s="22" t="n">
        <x:v>124.25</x:v>
      </x:c>
      <x:c r="J9896" s="24" t="n">
        <x:v>7</x:v>
      </x:c>
      <x:c r="K9896" s="26" t="n">
        <x:v>0</x:v>
      </x:c>
      <x:c r="L9896" s="22" t="n">
        <x:v>48.457499999999996</x:v>
      </x:c>
      <x:c r="M9896" t="n">
        <x:v>2016</x:v>
      </x:c>
      <x:c r="N9896" s="20" t="n">
        <x:v>42552</x:v>
      </x:c>
    </x:row>
    <x:row r="9897" ht="18" customHeight="1">
      <x:c r="A9897" t="str">
        <x:v>US-2016-115441</x:v>
      </x:c>
      <x:c r="B9897" s="18" t="n">
        <x:v>42576</x:v>
      </x:c>
      <x:c r="C9897" t="str">
        <x:v>SH-19975</x:v>
      </x:c>
      <x:c r="D9897" t="str">
        <x:v>Sally Hughsby</x:v>
      </x:c>
      <x:c r="E9897" t="str">
        <x:v>Corporate</x:v>
      </x:c>
      <x:c r="F9897" t="str">
        <x:v>Central</x:v>
      </x:c>
      <x:c r="G9897" t="str">
        <x:v>Technology</x:v>
      </x:c>
      <x:c r="H9897" t="str">
        <x:v>Phones</x:v>
      </x:c>
      <x:c r="I9897" s="22" t="n">
        <x:v>297.55</x:v>
      </x:c>
      <x:c r="J9897" s="24" t="n">
        <x:v>5</x:v>
      </x:c>
      <x:c r="K9897" s="26" t="n">
        <x:v>0</x:v>
      </x:c>
      <x:c r="L9897" s="22" t="n">
        <x:v>83.31400000000002</x:v>
      </x:c>
      <x:c r="M9897" t="n">
        <x:v>2016</x:v>
      </x:c>
      <x:c r="N9897" s="20" t="n">
        <x:v>42552</x:v>
      </x:c>
    </x:row>
    <x:row r="9898" ht="18" customHeight="1">
      <x:c r="A9898" t="str">
        <x:v>US-2016-115441</x:v>
      </x:c>
      <x:c r="B9898" s="18" t="n">
        <x:v>42576</x:v>
      </x:c>
      <x:c r="C9898" t="str">
        <x:v>SH-19975</x:v>
      </x:c>
      <x:c r="D9898" t="str">
        <x:v>Sally Hughsby</x:v>
      </x:c>
      <x:c r="E9898" t="str">
        <x:v>Corporate</x:v>
      </x:c>
      <x:c r="F9898" t="str">
        <x:v>Central</x:v>
      </x:c>
      <x:c r="G9898" t="str">
        <x:v>Furniture</x:v>
      </x:c>
      <x:c r="H9898" t="str">
        <x:v>Chairs</x:v>
      </x:c>
      <x:c r="I9898" s="22" t="n">
        <x:v>403.56</x:v>
      </x:c>
      <x:c r="J9898" s="24" t="n">
        <x:v>4</x:v>
      </x:c>
      <x:c r="K9898" s="26" t="n">
        <x:v>0</x:v>
      </x:c>
      <x:c r="L9898" s="22" t="n">
        <x:v>96.8544</x:v>
      </x:c>
      <x:c r="M9898" t="n">
        <x:v>2016</x:v>
      </x:c>
      <x:c r="N9898" s="20" t="n">
        <x:v>42552</x:v>
      </x:c>
    </x:row>
    <x:row r="9899" ht="18" customHeight="1">
      <x:c r="A9899" t="str">
        <x:v>US-2016-115441</x:v>
      </x:c>
      <x:c r="B9899" s="18" t="n">
        <x:v>42576</x:v>
      </x:c>
      <x:c r="C9899" t="str">
        <x:v>SH-19975</x:v>
      </x:c>
      <x:c r="D9899" t="str">
        <x:v>Sally Hughsby</x:v>
      </x:c>
      <x:c r="E9899" t="str">
        <x:v>Corporate</x:v>
      </x:c>
      <x:c r="F9899" t="str">
        <x:v>Central</x:v>
      </x:c>
      <x:c r="G9899" t="str">
        <x:v>Furniture</x:v>
      </x:c>
      <x:c r="H9899" t="str">
        <x:v>Furnishings</x:v>
      </x:c>
      <x:c r="I9899" s="22" t="n">
        <x:v>95.19999999999999</x:v>
      </x:c>
      <x:c r="J9899" s="24" t="n">
        <x:v>5</x:v>
      </x:c>
      <x:c r="K9899" s="26" t="n">
        <x:v>0</x:v>
      </x:c>
      <x:c r="L9899" s="22" t="n">
        <x:v>27.60799999999999</x:v>
      </x:c>
      <x:c r="M9899" t="n">
        <x:v>2016</x:v>
      </x:c>
      <x:c r="N9899" s="20" t="n">
        <x:v>42552</x:v>
      </x:c>
    </x:row>
    <x:row r="9900" ht="18" customHeight="1">
      <x:c r="A9900" t="str">
        <x:v>CA-2014-115049</x:v>
      </x:c>
      <x:c r="B9900" s="18" t="n">
        <x:v>41908</x:v>
      </x:c>
      <x:c r="C9900" t="str">
        <x:v>MM-17920</x:v>
      </x:c>
      <x:c r="D9900" t="str">
        <x:v>Michael Moore</x:v>
      </x:c>
      <x:c r="E9900" t="str">
        <x:v>Consumer</x:v>
      </x:c>
      <x:c r="F9900" t="str">
        <x:v>Central</x:v>
      </x:c>
      <x:c r="G9900" t="str">
        <x:v>Technology</x:v>
      </x:c>
      <x:c r="H9900" t="str">
        <x:v>Accessories</x:v>
      </x:c>
      <x:c r="I9900" s="22" t="n">
        <x:v>153.824</x:v>
      </x:c>
      <x:c r="J9900" s="24" t="n">
        <x:v>11</x:v>
      </x:c>
      <x:c r="K9900" s="26" t="n">
        <x:v>0.2</x:v>
      </x:c>
      <x:c r="L9900" s="22" t="n">
        <x:v>38.456</x:v>
      </x:c>
      <x:c r="M9900" t="n">
        <x:v>2014</x:v>
      </x:c>
      <x:c r="N9900" s="20" t="n">
        <x:v>41883</x:v>
      </x:c>
    </x:row>
    <x:row r="9901" ht="18" customHeight="1">
      <x:c r="A9901" t="str">
        <x:v>CA-2014-156342</x:v>
      </x:c>
      <x:c r="B9901" s="18" t="n">
        <x:v>41807</x:v>
      </x:c>
      <x:c r="C9901" t="str">
        <x:v>JF-15415</x:v>
      </x:c>
      <x:c r="D9901" t="str">
        <x:v>Jennifer Ferguson</x:v>
      </x:c>
      <x:c r="E9901" t="str">
        <x:v>Consumer</x:v>
      </x:c>
      <x:c r="F9901" t="str">
        <x:v>Central</x:v>
      </x:c>
      <x:c r="G9901" t="str">
        <x:v>Office Supplies</x:v>
      </x:c>
      <x:c r="H9901" t="str">
        <x:v>Paper</x:v>
      </x:c>
      <x:c r="I9901" s="22" t="n">
        <x:v>62.016</x:v>
      </x:c>
      <x:c r="J9901" s="24" t="n">
        <x:v>2</x:v>
      </x:c>
      <x:c r="K9901" s="26" t="n">
        <x:v>0.2</x:v>
      </x:c>
      <x:c r="L9901" s="22" t="n">
        <x:v>22.480800000000002</x:v>
      </x:c>
      <x:c r="M9901" t="n">
        <x:v>2014</x:v>
      </x:c>
      <x:c r="N9901" s="20" t="n">
        <x:v>41791</x:v>
      </x:c>
    </x:row>
    <x:row r="9902" ht="18" customHeight="1">
      <x:c r="A9902" t="str">
        <x:v>CA-2016-112830</x:v>
      </x:c>
      <x:c r="B9902" s="18" t="n">
        <x:v>42527</x:v>
      </x:c>
      <x:c r="C9902" t="str">
        <x:v>LP-17095</x:v>
      </x:c>
      <x:c r="D9902" t="str">
        <x:v>Liz Preis</x:v>
      </x:c>
      <x:c r="E9902" t="str">
        <x:v>Consumer</x:v>
      </x:c>
      <x:c r="F9902" t="str">
        <x:v>East</x:v>
      </x:c>
      <x:c r="G9902" t="str">
        <x:v>Furniture</x:v>
      </x:c>
      <x:c r="H9902" t="str">
        <x:v>Furnishings</x:v>
      </x:c>
      <x:c r="I9902" s="22" t="n">
        <x:v>466.32000000000005</x:v>
      </x:c>
      <x:c r="J9902" s="24" t="n">
        <x:v>3</x:v>
      </x:c>
      <x:c r="K9902" s="26" t="n">
        <x:v>0.2</x:v>
      </x:c>
      <x:c r="L9902" s="22" t="n">
        <x:v>34.97399999999999</x:v>
      </x:c>
      <x:c r="M9902" t="n">
        <x:v>2016</x:v>
      </x:c>
      <x:c r="N9902" s="20" t="n">
        <x:v>42522</x:v>
      </x:c>
    </x:row>
    <x:row r="9903" ht="18" customHeight="1">
      <x:c r="A9903" t="str">
        <x:v>CA-2016-112830</x:v>
      </x:c>
      <x:c r="B9903" s="18" t="n">
        <x:v>42527</x:v>
      </x:c>
      <x:c r="C9903" t="str">
        <x:v>LP-17095</x:v>
      </x:c>
      <x:c r="D9903" t="str">
        <x:v>Liz Preis</x:v>
      </x:c>
      <x:c r="E9903" t="str">
        <x:v>Consumer</x:v>
      </x:c>
      <x:c r="F9903" t="str">
        <x:v>East</x:v>
      </x:c>
      <x:c r="G9903" t="str">
        <x:v>Furniture</x:v>
      </x:c>
      <x:c r="H9903" t="str">
        <x:v>Furnishings</x:v>
      </x:c>
      <x:c r="I9903" s="22" t="n">
        <x:v>82.64</x:v>
      </x:c>
      <x:c r="J9903" s="24" t="n">
        <x:v>2</x:v>
      </x:c>
      <x:c r="K9903" s="26" t="n">
        <x:v>0.2</x:v>
      </x:c>
      <x:c r="L9903" s="22" t="n">
        <x:v>0</x:v>
      </x:c>
      <x:c r="M9903" t="n">
        <x:v>2016</x:v>
      </x:c>
      <x:c r="N9903" s="20" t="n">
        <x:v>42522</x:v>
      </x:c>
    </x:row>
    <x:row r="9904" ht="18" customHeight="1">
      <x:c r="A9904" t="str">
        <x:v>US-2014-117380</x:v>
      </x:c>
      <x:c r="B9904" s="18" t="n">
        <x:v>41726</x:v>
      </x:c>
      <x:c r="C9904" t="str">
        <x:v>MP-18175</x:v>
      </x:c>
      <x:c r="D9904" t="str">
        <x:v>Mike Pelletier</x:v>
      </x:c>
      <x:c r="E9904" t="str">
        <x:v>Home Office</x:v>
      </x:c>
      <x:c r="F9904" t="str">
        <x:v>East</x:v>
      </x:c>
      <x:c r="G9904" t="str">
        <x:v>Furniture</x:v>
      </x:c>
      <x:c r="H9904" t="str">
        <x:v>Tables</x:v>
      </x:c>
      <x:c r="I9904" s="22" t="n">
        <x:v>330.588</x:v>
      </x:c>
      <x:c r="J9904" s="24" t="n">
        <x:v>1</x:v>
      </x:c>
      <x:c r="K9904" s="26" t="n">
        <x:v>0.4</x:v>
      </x:c>
      <x:c r="L9904" s="22" t="n">
        <x:v>-143.25480000000002</x:v>
      </x:c>
      <x:c r="M9904" t="n">
        <x:v>2014</x:v>
      </x:c>
      <x:c r="N9904" s="20" t="n">
        <x:v>41699</x:v>
      </x:c>
    </x:row>
    <x:row r="9905" ht="18" customHeight="1">
      <x:c r="A9905" t="str">
        <x:v>CA-2017-117646</x:v>
      </x:c>
      <x:c r="B9905" s="18" t="n">
        <x:v>42968</x:v>
      </x:c>
      <x:c r="C9905" t="str">
        <x:v>SC-20845</x:v>
      </x:c>
      <x:c r="D9905" t="str">
        <x:v>Sung Chung</x:v>
      </x:c>
      <x:c r="E9905" t="str">
        <x:v>Consumer</x:v>
      </x:c>
      <x:c r="F9905" t="str">
        <x:v>West</x:v>
      </x:c>
      <x:c r="G9905" t="str">
        <x:v>Office Supplies</x:v>
      </x:c>
      <x:c r="H9905" t="str">
        <x:v>Storage</x:v>
      </x:c>
      <x:c r="I9905" s="22" t="n">
        <x:v>237.09600000000003</x:v>
      </x:c>
      <x:c r="J9905" s="24" t="n">
        <x:v>3</x:v>
      </x:c>
      <x:c r="K9905" s="26" t="n">
        <x:v>0.2</x:v>
      </x:c>
      <x:c r="L9905" s="22" t="n">
        <x:v>20.745899999999985</x:v>
      </x:c>
      <x:c r="M9905" t="n">
        <x:v>2017</x:v>
      </x:c>
      <x:c r="N9905" s="20" t="n">
        <x:v>42948</x:v>
      </x:c>
    </x:row>
    <x:row r="9906" ht="18" customHeight="1">
      <x:c r="A9906" t="str">
        <x:v>CA-2017-117646</x:v>
      </x:c>
      <x:c r="B9906" s="18" t="n">
        <x:v>42968</x:v>
      </x:c>
      <x:c r="C9906" t="str">
        <x:v>SC-20845</x:v>
      </x:c>
      <x:c r="D9906" t="str">
        <x:v>Sung Chung</x:v>
      </x:c>
      <x:c r="E9906" t="str">
        <x:v>Consumer</x:v>
      </x:c>
      <x:c r="F9906" t="str">
        <x:v>West</x:v>
      </x:c>
      <x:c r="G9906" t="str">
        <x:v>Furniture</x:v>
      </x:c>
      <x:c r="H9906" t="str">
        <x:v>Furnishings</x:v>
      </x:c>
      <x:c r="I9906" s="22" t="n">
        <x:v>22.752000000000002</x:v>
      </x:c>
      <x:c r="J9906" s="24" t="n">
        <x:v>3</x:v>
      </x:c>
      <x:c r="K9906" s="26" t="n">
        <x:v>0.2</x:v>
      </x:c>
      <x:c r="L9906" s="22" t="n">
        <x:v>7.109999999999999</x:v>
      </x:c>
      <x:c r="M9906" t="n">
        <x:v>2017</x:v>
      </x:c>
      <x:c r="N9906" s="20" t="n">
        <x:v>42948</x:v>
      </x:c>
    </x:row>
    <x:row r="9907" ht="18" customHeight="1">
      <x:c r="A9907" t="str">
        <x:v>CA-2017-117646</x:v>
      </x:c>
      <x:c r="B9907" s="18" t="n">
        <x:v>42968</x:v>
      </x:c>
      <x:c r="C9907" t="str">
        <x:v>SC-20845</x:v>
      </x:c>
      <x:c r="D9907" t="str">
        <x:v>Sung Chung</x:v>
      </x:c>
      <x:c r="E9907" t="str">
        <x:v>Consumer</x:v>
      </x:c>
      <x:c r="F9907" t="str">
        <x:v>West</x:v>
      </x:c>
      <x:c r="G9907" t="str">
        <x:v>Office Supplies</x:v>
      </x:c>
      <x:c r="H9907" t="str">
        <x:v>Paper</x:v>
      </x:c>
      <x:c r="I9907" s="22" t="n">
        <x:v>6.672000000000001</x:v>
      </x:c>
      <x:c r="J9907" s="24" t="n">
        <x:v>1</x:v>
      </x:c>
      <x:c r="K9907" s="26" t="n">
        <x:v>0.2</x:v>
      </x:c>
      <x:c r="L9907" s="22" t="n">
        <x:v>2.084999999999999</x:v>
      </x:c>
      <x:c r="M9907" t="n">
        <x:v>2017</x:v>
      </x:c>
      <x:c r="N9907" s="20" t="n">
        <x:v>42948</x:v>
      </x:c>
    </x:row>
    <x:row r="9908" ht="18" customHeight="1">
      <x:c r="A9908" t="str">
        <x:v>CA-2014-122609</x:v>
      </x:c>
      <x:c r="B9908" s="18" t="n">
        <x:v>41955</x:v>
      </x:c>
      <x:c r="C9908" t="str">
        <x:v>DP-13000</x:v>
      </x:c>
      <x:c r="D9908" t="str">
        <x:v>Darren Powers</x:v>
      </x:c>
      <x:c r="E9908" t="str">
        <x:v>Consumer</x:v>
      </x:c>
      <x:c r="F9908" t="str">
        <x:v>Central</x:v>
      </x:c>
      <x:c r="G9908" t="str">
        <x:v>Furniture</x:v>
      </x:c>
      <x:c r="H9908" t="str">
        <x:v>Furnishings</x:v>
      </x:c>
      <x:c r="I9908" s="22" t="n">
        <x:v>25.128000000000004</x:v>
      </x:c>
      <x:c r="J9908" s="24" t="n">
        <x:v>3</x:v>
      </x:c>
      <x:c r="K9908" s="26" t="n">
        <x:v>0.6</x:v>
      </x:c>
      <x:c r="L9908" s="22" t="n">
        <x:v>-6.9102</x:v>
      </x:c>
      <x:c r="M9908" t="n">
        <x:v>2014</x:v>
      </x:c>
      <x:c r="N9908" s="20" t="n">
        <x:v>41944</x:v>
      </x:c>
    </x:row>
    <x:row r="9909" ht="18" customHeight="1">
      <x:c r="A9909" t="str">
        <x:v>CA-2014-122609</x:v>
      </x:c>
      <x:c r="B9909" s="18" t="n">
        <x:v>41955</x:v>
      </x:c>
      <x:c r="C9909" t="str">
        <x:v>DP-13000</x:v>
      </x:c>
      <x:c r="D9909" t="str">
        <x:v>Darren Powers</x:v>
      </x:c>
      <x:c r="E9909" t="str">
        <x:v>Consumer</x:v>
      </x:c>
      <x:c r="F9909" t="str">
        <x:v>Central</x:v>
      </x:c>
      <x:c r="G9909" t="str">
        <x:v>Technology</x:v>
      </x:c>
      <x:c r="H9909" t="str">
        <x:v>Accessories</x:v>
      </x:c>
      <x:c r="I9909" s="22" t="n">
        <x:v>127.984</x:v>
      </x:c>
      <x:c r="J9909" s="24" t="n">
        <x:v>2</x:v>
      </x:c>
      <x:c r="K9909" s="26" t="n">
        <x:v>0.2</x:v>
      </x:c>
      <x:c r="L9909" s="22" t="n">
        <x:v>25.596799999999998</x:v>
      </x:c>
      <x:c r="M9909" t="n">
        <x:v>2014</x:v>
      </x:c>
      <x:c r="N9909" s="20" t="n">
        <x:v>41944</x:v>
      </x:c>
    </x:row>
    <x:row r="9910" ht="18" customHeight="1">
      <x:c r="A9910" t="str">
        <x:v>US-2015-129007</x:v>
      </x:c>
      <x:c r="B9910" s="18" t="n">
        <x:v>42260</x:v>
      </x:c>
      <x:c r="C9910" t="str">
        <x:v>KD-16615</x:v>
      </x:c>
      <x:c r="D9910" t="str">
        <x:v>Ken Dana</x:v>
      </x:c>
      <x:c r="E9910" t="str">
        <x:v>Corporate</x:v>
      </x:c>
      <x:c r="F9910" t="str">
        <x:v>West</x:v>
      </x:c>
      <x:c r="G9910" t="str">
        <x:v>Furniture</x:v>
      </x:c>
      <x:c r="H9910" t="str">
        <x:v>Furnishings</x:v>
      </x:c>
      <x:c r="I9910" s="22" t="n">
        <x:v>131.88</x:v>
      </x:c>
      <x:c r="J9910" s="24" t="n">
        <x:v>7</x:v>
      </x:c>
      <x:c r="K9910" s="26" t="n">
        <x:v>0</x:v>
      </x:c>
      <x:c r="L9910" s="22" t="n">
        <x:v>55.3896</x:v>
      </x:c>
      <x:c r="M9910" t="n">
        <x:v>2015</x:v>
      </x:c>
      <x:c r="N9910" s="20" t="n">
        <x:v>42248</x:v>
      </x:c>
    </x:row>
    <x:row r="9911" ht="18" customHeight="1">
      <x:c r="A9911" t="str">
        <x:v>US-2015-129007</x:v>
      </x:c>
      <x:c r="B9911" s="18" t="n">
        <x:v>42260</x:v>
      </x:c>
      <x:c r="C9911" t="str">
        <x:v>KD-16615</x:v>
      </x:c>
      <x:c r="D9911" t="str">
        <x:v>Ken Dana</x:v>
      </x:c>
      <x:c r="E9911" t="str">
        <x:v>Corporate</x:v>
      </x:c>
      <x:c r="F9911" t="str">
        <x:v>West</x:v>
      </x:c>
      <x:c r="G9911" t="str">
        <x:v>Office Supplies</x:v>
      </x:c>
      <x:c r="H9911" t="str">
        <x:v>Binders</x:v>
      </x:c>
      <x:c r="I9911" s="22" t="n">
        <x:v>25.031999999999996</x:v>
      </x:c>
      <x:c r="J9911" s="24" t="n">
        <x:v>3</x:v>
      </x:c>
      <x:c r="K9911" s="26" t="n">
        <x:v>0.2</x:v>
      </x:c>
      <x:c r="L9911" s="22" t="n">
        <x:v>7.822499999999998</x:v>
      </x:c>
      <x:c r="M9911" t="n">
        <x:v>2015</x:v>
      </x:c>
      <x:c r="N9911" s="20" t="n">
        <x:v>42248</x:v>
      </x:c>
    </x:row>
    <x:row r="9912" ht="18" customHeight="1">
      <x:c r="A9912" t="str">
        <x:v>US-2015-129007</x:v>
      </x:c>
      <x:c r="B9912" s="18" t="n">
        <x:v>42260</x:v>
      </x:c>
      <x:c r="C9912" t="str">
        <x:v>KD-16615</x:v>
      </x:c>
      <x:c r="D9912" t="str">
        <x:v>Ken Dana</x:v>
      </x:c>
      <x:c r="E9912" t="str">
        <x:v>Corporate</x:v>
      </x:c>
      <x:c r="F9912" t="str">
        <x:v>West</x:v>
      </x:c>
      <x:c r="G9912" t="str">
        <x:v>Furniture</x:v>
      </x:c>
      <x:c r="H9912" t="str">
        <x:v>Chairs</x:v>
      </x:c>
      <x:c r="I9912" s="22" t="n">
        <x:v>717.72</x:v>
      </x:c>
      <x:c r="J9912" s="24" t="n">
        <x:v>3</x:v>
      </x:c>
      <x:c r="K9912" s="26" t="n">
        <x:v>0.2</x:v>
      </x:c>
      <x:c r="L9912" s="22" t="n">
        <x:v>71.77200000000002</x:v>
      </x:c>
      <x:c r="M9912" t="n">
        <x:v>2015</x:v>
      </x:c>
      <x:c r="N9912" s="20" t="n">
        <x:v>42248</x:v>
      </x:c>
    </x:row>
    <x:row r="9913" ht="18" customHeight="1">
      <x:c r="A9913" t="str">
        <x:v>US-2015-129007</x:v>
      </x:c>
      <x:c r="B9913" s="18" t="n">
        <x:v>42260</x:v>
      </x:c>
      <x:c r="C9913" t="str">
        <x:v>KD-16615</x:v>
      </x:c>
      <x:c r="D9913" t="str">
        <x:v>Ken Dana</x:v>
      </x:c>
      <x:c r="E9913" t="str">
        <x:v>Corporate</x:v>
      </x:c>
      <x:c r="F9913" t="str">
        <x:v>West</x:v>
      </x:c>
      <x:c r="G9913" t="str">
        <x:v>Furniture</x:v>
      </x:c>
      <x:c r="H9913" t="str">
        <x:v>Furnishings</x:v>
      </x:c>
      <x:c r="I9913" s="22" t="n">
        <x:v>207.35</x:v>
      </x:c>
      <x:c r="J9913" s="24" t="n">
        <x:v>5</x:v>
      </x:c>
      <x:c r="K9913" s="26" t="n">
        <x:v>0</x:v>
      </x:c>
      <x:c r="L9913" s="22" t="n">
        <x:v>24.88199999999999</x:v>
      </x:c>
      <x:c r="M9913" t="n">
        <x:v>2015</x:v>
      </x:c>
      <x:c r="N9913" s="20" t="n">
        <x:v>42248</x:v>
      </x:c>
    </x:row>
    <x:row r="9914" ht="18" customHeight="1">
      <x:c r="A9914" t="str">
        <x:v>US-2015-129007</x:v>
      </x:c>
      <x:c r="B9914" s="18" t="n">
        <x:v>42260</x:v>
      </x:c>
      <x:c r="C9914" t="str">
        <x:v>KD-16615</x:v>
      </x:c>
      <x:c r="D9914" t="str">
        <x:v>Ken Dana</x:v>
      </x:c>
      <x:c r="E9914" t="str">
        <x:v>Corporate</x:v>
      </x:c>
      <x:c r="F9914" t="str">
        <x:v>West</x:v>
      </x:c>
      <x:c r="G9914" t="str">
        <x:v>Furniture</x:v>
      </x:c>
      <x:c r="H9914" t="str">
        <x:v>Furnishings</x:v>
      </x:c>
      <x:c r="I9914" s="22" t="n">
        <x:v>44.67</x:v>
      </x:c>
      <x:c r="J9914" s="24" t="n">
        <x:v>3</x:v>
      </x:c>
      <x:c r="K9914" s="26" t="n">
        <x:v>0</x:v>
      </x:c>
      <x:c r="L9914" s="22" t="n">
        <x:v>12.060900000000002</x:v>
      </x:c>
      <x:c r="M9914" t="n">
        <x:v>2015</x:v>
      </x:c>
      <x:c r="N9914" s="20" t="n">
        <x:v>42248</x:v>
      </x:c>
    </x:row>
    <x:row r="9915" ht="18" customHeight="1">
      <x:c r="A9915" t="str">
        <x:v>US-2015-129007</x:v>
      </x:c>
      <x:c r="B9915" s="18" t="n">
        <x:v>42260</x:v>
      </x:c>
      <x:c r="C9915" t="str">
        <x:v>KD-16615</x:v>
      </x:c>
      <x:c r="D9915" t="str">
        <x:v>Ken Dana</x:v>
      </x:c>
      <x:c r="E9915" t="str">
        <x:v>Corporate</x:v>
      </x:c>
      <x:c r="F9915" t="str">
        <x:v>West</x:v>
      </x:c>
      <x:c r="G9915" t="str">
        <x:v>Office Supplies</x:v>
      </x:c>
      <x:c r="H9915" t="str">
        <x:v>Paper</x:v>
      </x:c>
      <x:c r="I9915" s="22" t="n">
        <x:v>209.7</x:v>
      </x:c>
      <x:c r="J9915" s="24" t="n">
        <x:v>2</x:v>
      </x:c>
      <x:c r="K9915" s="26" t="n">
        <x:v>0</x:v>
      </x:c>
      <x:c r="L9915" s="22" t="n">
        <x:v>100.65599999999999</x:v>
      </x:c>
      <x:c r="M9915" t="n">
        <x:v>2015</x:v>
      </x:c>
      <x:c r="N9915" s="20" t="n">
        <x:v>42248</x:v>
      </x:c>
    </x:row>
    <x:row r="9916" ht="18" customHeight="1">
      <x:c r="A9916" t="str">
        <x:v>US-2014-157231</x:v>
      </x:c>
      <x:c r="B9916" s="18" t="n">
        <x:v>41734</x:v>
      </x:c>
      <x:c r="C9916" t="str">
        <x:v>RP-19855</x:v>
      </x:c>
      <x:c r="D9916" t="str">
        <x:v>Roy Phan</x:v>
      </x:c>
      <x:c r="E9916" t="str">
        <x:v>Corporate</x:v>
      </x:c>
      <x:c r="F9916" t="str">
        <x:v>South</x:v>
      </x:c>
      <x:c r="G9916" t="str">
        <x:v>Office Supplies</x:v>
      </x:c>
      <x:c r="H9916" t="str">
        <x:v>Binders</x:v>
      </x:c>
      <x:c r="I9916" s="22" t="n">
        <x:v>115.36</x:v>
      </x:c>
      <x:c r="J9916" s="24" t="n">
        <x:v>7</x:v>
      </x:c>
      <x:c r="K9916" s="26" t="n">
        <x:v>0</x:v>
      </x:c>
      <x:c r="L9916" s="22" t="n">
        <x:v>56.5264</x:v>
      </x:c>
      <x:c r="M9916" t="n">
        <x:v>2014</x:v>
      </x:c>
      <x:c r="N9916" s="20" t="n">
        <x:v>41730</x:v>
      </x:c>
    </x:row>
    <x:row r="9917" ht="18" customHeight="1">
      <x:c r="A9917" t="str">
        <x:v>CA-2015-132388</x:v>
      </x:c>
      <x:c r="B9917" s="18" t="n">
        <x:v>42287</x:v>
      </x:c>
      <x:c r="C9917" t="str">
        <x:v>KN-16390</x:v>
      </x:c>
      <x:c r="D9917" t="str">
        <x:v>Katherine Nockton</x:v>
      </x:c>
      <x:c r="E9917" t="str">
        <x:v>Corporate</x:v>
      </x:c>
      <x:c r="F9917" t="str">
        <x:v>West</x:v>
      </x:c>
      <x:c r="G9917" t="str">
        <x:v>Furniture</x:v>
      </x:c>
      <x:c r="H9917" t="str">
        <x:v>Chairs</x:v>
      </x:c>
      <x:c r="I9917" s="22" t="n">
        <x:v>362.13599999999997</x:v>
      </x:c>
      <x:c r="J9917" s="24" t="n">
        <x:v>3</x:v>
      </x:c>
      <x:c r="K9917" s="26" t="n">
        <x:v>0.2</x:v>
      </x:c>
      <x:c r="L9917" s="22" t="n">
        <x:v>-54.32039999999998</x:v>
      </x:c>
      <x:c r="M9917" t="n">
        <x:v>2015</x:v>
      </x:c>
      <x:c r="N9917" s="20" t="n">
        <x:v>42278</x:v>
      </x:c>
    </x:row>
    <x:row r="9918" ht="18" customHeight="1">
      <x:c r="A9918" t="str">
        <x:v>CA-2015-132388</x:v>
      </x:c>
      <x:c r="B9918" s="18" t="n">
        <x:v>42287</x:v>
      </x:c>
      <x:c r="C9918" t="str">
        <x:v>KN-16390</x:v>
      </x:c>
      <x:c r="D9918" t="str">
        <x:v>Katherine Nockton</x:v>
      </x:c>
      <x:c r="E9918" t="str">
        <x:v>Corporate</x:v>
      </x:c>
      <x:c r="F9918" t="str">
        <x:v>West</x:v>
      </x:c>
      <x:c r="G9918" t="str">
        <x:v>Office Supplies</x:v>
      </x:c>
      <x:c r="H9918" t="str">
        <x:v>Labels</x:v>
      </x:c>
      <x:c r="I9918" s="22" t="n">
        <x:v>31.049999999999997</x:v>
      </x:c>
      <x:c r="J9918" s="24" t="n">
        <x:v>3</x:v>
      </x:c>
      <x:c r="K9918" s="26" t="n">
        <x:v>0</x:v>
      </x:c>
      <x:c r="L9918" s="22" t="n">
        <x:v>14.904</x:v>
      </x:c>
      <x:c r="M9918" t="n">
        <x:v>2015</x:v>
      </x:c>
      <x:c r="N9918" s="20" t="n">
        <x:v>42278</x:v>
      </x:c>
    </x:row>
    <x:row r="9919" ht="18" customHeight="1">
      <x:c r="A9919" t="str">
        <x:v>CA-2017-160927</x:v>
      </x:c>
      <x:c r="B9919" s="18" t="n">
        <x:v>42764</x:v>
      </x:c>
      <x:c r="C9919" t="str">
        <x:v>TM-21010</x:v>
      </x:c>
      <x:c r="D9919" t="str">
        <x:v>Tamara Manning</x:v>
      </x:c>
      <x:c r="E9919" t="str">
        <x:v>Consumer</x:v>
      </x:c>
      <x:c r="F9919" t="str">
        <x:v>Central</x:v>
      </x:c>
      <x:c r="G9919" t="str">
        <x:v>Office Supplies</x:v>
      </x:c>
      <x:c r="H9919" t="str">
        <x:v>Paper</x:v>
      </x:c>
      <x:c r="I9919" s="22" t="n">
        <x:v>12.96</x:v>
      </x:c>
      <x:c r="J9919" s="24" t="n">
        <x:v>2</x:v>
      </x:c>
      <x:c r="K9919" s="26" t="n">
        <x:v>0</x:v>
      </x:c>
      <x:c r="L9919" s="22" t="n">
        <x:v>6.2208000000000006</x:v>
      </x:c>
      <x:c r="M9919" t="n">
        <x:v>2017</x:v>
      </x:c>
      <x:c r="N9919" s="20" t="n">
        <x:v>42736</x:v>
      </x:c>
    </x:row>
    <x:row r="9920" ht="18" customHeight="1">
      <x:c r="A9920" t="str">
        <x:v>CA-2017-160927</x:v>
      </x:c>
      <x:c r="B9920" s="18" t="n">
        <x:v>42764</x:v>
      </x:c>
      <x:c r="C9920" t="str">
        <x:v>TM-21010</x:v>
      </x:c>
      <x:c r="D9920" t="str">
        <x:v>Tamara Manning</x:v>
      </x:c>
      <x:c r="E9920" t="str">
        <x:v>Consumer</x:v>
      </x:c>
      <x:c r="F9920" t="str">
        <x:v>Central</x:v>
      </x:c>
      <x:c r="G9920" t="str">
        <x:v>Office Supplies</x:v>
      </x:c>
      <x:c r="H9920" t="str">
        <x:v>Paper</x:v>
      </x:c>
      <x:c r="I9920" s="22" t="n">
        <x:v>94.85</x:v>
      </x:c>
      <x:c r="J9920" s="24" t="n">
        <x:v>5</x:v>
      </x:c>
      <x:c r="K9920" s="26" t="n">
        <x:v>0</x:v>
      </x:c>
      <x:c r="L9920" s="22" t="n">
        <x:v>45.52799999999999</x:v>
      </x:c>
      <x:c r="M9920" t="n">
        <x:v>2017</x:v>
      </x:c>
      <x:c r="N9920" s="20" t="n">
        <x:v>42736</x:v>
      </x:c>
    </x:row>
    <x:row r="9921" ht="18" customHeight="1">
      <x:c r="A9921" t="str">
        <x:v>CA-2017-160927</x:v>
      </x:c>
      <x:c r="B9921" s="18" t="n">
        <x:v>42764</x:v>
      </x:c>
      <x:c r="C9921" t="str">
        <x:v>TM-21010</x:v>
      </x:c>
      <x:c r="D9921" t="str">
        <x:v>Tamara Manning</x:v>
      </x:c>
      <x:c r="E9921" t="str">
        <x:v>Consumer</x:v>
      </x:c>
      <x:c r="F9921" t="str">
        <x:v>Central</x:v>
      </x:c>
      <x:c r="G9921" t="str">
        <x:v>Office Supplies</x:v>
      </x:c>
      <x:c r="H9921" t="str">
        <x:v>Storage</x:v>
      </x:c>
      <x:c r="I9921" s="22" t="n">
        <x:v>13.48</x:v>
      </x:c>
      <x:c r="J9921" s="24" t="n">
        <x:v>1</x:v>
      </x:c>
      <x:c r="K9921" s="26" t="n">
        <x:v>0</x:v>
      </x:c>
      <x:c r="L9921" s="22" t="n">
        <x:v>3.5047999999999995</x:v>
      </x:c>
      <x:c r="M9921" t="n">
        <x:v>2017</x:v>
      </x:c>
      <x:c r="N9921" s="20" t="n">
        <x:v>42736</x:v>
      </x:c>
    </x:row>
    <x:row r="9922" ht="18" customHeight="1">
      <x:c r="A9922" t="str">
        <x:v>CA-2017-160927</x:v>
      </x:c>
      <x:c r="B9922" s="18" t="n">
        <x:v>42764</x:v>
      </x:c>
      <x:c r="C9922" t="str">
        <x:v>TM-21010</x:v>
      </x:c>
      <x:c r="D9922" t="str">
        <x:v>Tamara Manning</x:v>
      </x:c>
      <x:c r="E9922" t="str">
        <x:v>Consumer</x:v>
      </x:c>
      <x:c r="F9922" t="str">
        <x:v>Central</x:v>
      </x:c>
      <x:c r="G9922" t="str">
        <x:v>Furniture</x:v>
      </x:c>
      <x:c r="H9922" t="str">
        <x:v>Furnishings</x:v>
      </x:c>
      <x:c r="I9922" s="22" t="n">
        <x:v>14.91</x:v>
      </x:c>
      <x:c r="J9922" s="24" t="n">
        <x:v>3</x:v>
      </x:c>
      <x:c r="K9922" s="26" t="n">
        <x:v>0</x:v>
      </x:c>
      <x:c r="L9922" s="22" t="n">
        <x:v>4.6221</x:v>
      </x:c>
      <x:c r="M9922" t="n">
        <x:v>2017</x:v>
      </x:c>
      <x:c r="N9922" s="20" t="n">
        <x:v>42736</x:v>
      </x:c>
    </x:row>
    <x:row r="9923" ht="18" customHeight="1">
      <x:c r="A9923" t="str">
        <x:v>CA-2015-105508</x:v>
      </x:c>
      <x:c r="B9923" s="18" t="n">
        <x:v>42271</x:v>
      </x:c>
      <x:c r="C9923" t="str">
        <x:v>JF-15190</x:v>
      </x:c>
      <x:c r="D9923" t="str">
        <x:v>Jamie Frazer</x:v>
      </x:c>
      <x:c r="E9923" t="str">
        <x:v>Consumer</x:v>
      </x:c>
      <x:c r="F9923" t="str">
        <x:v>East</x:v>
      </x:c>
      <x:c r="G9923" t="str">
        <x:v>Office Supplies</x:v>
      </x:c>
      <x:c r="H9923" t="str">
        <x:v>Envelopes</x:v>
      </x:c>
      <x:c r="I9923" s="22" t="n">
        <x:v>39.98</x:v>
      </x:c>
      <x:c r="J9923" s="24" t="n">
        <x:v>1</x:v>
      </x:c>
      <x:c r="K9923" s="26" t="n">
        <x:v>0</x:v>
      </x:c>
      <x:c r="L9923" s="22" t="n">
        <x:v>17.990999999999996</x:v>
      </x:c>
      <x:c r="M9923" t="n">
        <x:v>2015</x:v>
      </x:c>
      <x:c r="N9923" s="20" t="n">
        <x:v>42248</x:v>
      </x:c>
    </x:row>
    <x:row r="9924" ht="18" customHeight="1">
      <x:c r="A9924" t="str">
        <x:v>CA-2016-149272</x:v>
      </x:c>
      <x:c r="B9924" s="18" t="n">
        <x:v>42444</x:v>
      </x:c>
      <x:c r="C9924" t="str">
        <x:v>MY-18295</x:v>
      </x:c>
      <x:c r="D9924" t="str">
        <x:v>Muhammed Yedwab</x:v>
      </x:c>
      <x:c r="E9924" t="str">
        <x:v>Corporate</x:v>
      </x:c>
      <x:c r="F9924" t="str">
        <x:v>Central</x:v>
      </x:c>
      <x:c r="G9924" t="str">
        <x:v>Furniture</x:v>
      </x:c>
      <x:c r="H9924" t="str">
        <x:v>Chairs</x:v>
      </x:c>
      <x:c r="I9924" s="22" t="n">
        <x:v>528.43</x:v>
      </x:c>
      <x:c r="J9924" s="24" t="n">
        <x:v>5</x:v>
      </x:c>
      <x:c r="K9924" s="26" t="n">
        <x:v>0.3</x:v>
      </x:c>
      <x:c r="L9924" s="22" t="n">
        <x:v>-143.43099999999998</x:v>
      </x:c>
      <x:c r="M9924" t="n">
        <x:v>2016</x:v>
      </x:c>
      <x:c r="N9924" s="20" t="n">
        <x:v>42430</x:v>
      </x:c>
    </x:row>
    <x:row r="9925" ht="18" customHeight="1">
      <x:c r="A9925" t="str">
        <x:v>CA-2016-149272</x:v>
      </x:c>
      <x:c r="B9925" s="18" t="n">
        <x:v>42444</x:v>
      </x:c>
      <x:c r="C9925" t="str">
        <x:v>MY-18295</x:v>
      </x:c>
      <x:c r="D9925" t="str">
        <x:v>Muhammed Yedwab</x:v>
      </x:c>
      <x:c r="E9925" t="str">
        <x:v>Corporate</x:v>
      </x:c>
      <x:c r="F9925" t="str">
        <x:v>Central</x:v>
      </x:c>
      <x:c r="G9925" t="str">
        <x:v>Office Supplies</x:v>
      </x:c>
      <x:c r="H9925" t="str">
        <x:v>Binders</x:v>
      </x:c>
      <x:c r="I9925" s="22" t="n">
        <x:v>22.385999999999996</x:v>
      </x:c>
      <x:c r="J9925" s="24" t="n">
        <x:v>7</x:v>
      </x:c>
      <x:c r="K9925" s="26" t="n">
        <x:v>0.8</x:v>
      </x:c>
      <x:c r="L9925" s="22" t="n">
        <x:v>-35.81760000000001</x:v>
      </x:c>
      <x:c r="M9925" t="n">
        <x:v>2016</x:v>
      </x:c>
      <x:c r="N9925" s="20" t="n">
        <x:v>42430</x:v>
      </x:c>
    </x:row>
    <x:row r="9926" ht="18" customHeight="1">
      <x:c r="A9926" t="str">
        <x:v>CA-2014-111360</x:v>
      </x:c>
      <x:c r="B9926" s="18" t="n">
        <x:v>41967</x:v>
      </x:c>
      <x:c r="C9926" t="str">
        <x:v>AT-10435</x:v>
      </x:c>
      <x:c r="D9926" t="str">
        <x:v>Alyssa Tate</x:v>
      </x:c>
      <x:c r="E9926" t="str">
        <x:v>Home Office</x:v>
      </x:c>
      <x:c r="F9926" t="str">
        <x:v>East</x:v>
      </x:c>
      <x:c r="G9926" t="str">
        <x:v>Office Supplies</x:v>
      </x:c>
      <x:c r="H9926" t="str">
        <x:v>Binders</x:v>
      </x:c>
      <x:c r="I9926" s="22" t="n">
        <x:v>5.742000000000001</x:v>
      </x:c>
      <x:c r="J9926" s="24" t="n">
        <x:v>3</x:v>
      </x:c>
      <x:c r="K9926" s="26" t="n">
        <x:v>0.7</x:v>
      </x:c>
      <x:c r="L9926" s="22" t="n">
        <x:v>-4.593599999999999</x:v>
      </x:c>
      <x:c r="M9926" t="n">
        <x:v>2014</x:v>
      </x:c>
      <x:c r="N9926" s="20" t="n">
        <x:v>41944</x:v>
      </x:c>
    </x:row>
    <x:row r="9927" ht="18" customHeight="1">
      <x:c r="A9927" t="str">
        <x:v>US-2017-162124</x:v>
      </x:c>
      <x:c r="B9927" s="18" t="n">
        <x:v>42861</x:v>
      </x:c>
      <x:c r="C9927" t="str">
        <x:v>JF-15490</x:v>
      </x:c>
      <x:c r="D9927" t="str">
        <x:v>Jeremy Farry</x:v>
      </x:c>
      <x:c r="E9927" t="str">
        <x:v>Consumer</x:v>
      </x:c>
      <x:c r="F9927" t="str">
        <x:v>Central</x:v>
      </x:c>
      <x:c r="G9927" t="str">
        <x:v>Technology</x:v>
      </x:c>
      <x:c r="H9927" t="str">
        <x:v>Accessories</x:v>
      </x:c>
      <x:c r="I9927" s="22" t="n">
        <x:v>191.96800000000002</x:v>
      </x:c>
      <x:c r="J9927" s="24" t="n">
        <x:v>4</x:v>
      </x:c>
      <x:c r="K9927" s="26" t="n">
        <x:v>0.2</x:v>
      </x:c>
      <x:c r="L9927" s="22" t="n">
        <x:v>28.79519999999998</x:v>
      </x:c>
      <x:c r="M9927" t="n">
        <x:v>2017</x:v>
      </x:c>
      <x:c r="N9927" s="20" t="n">
        <x:v>42856</x:v>
      </x:c>
    </x:row>
    <x:row r="9928" ht="18" customHeight="1">
      <x:c r="A9928" t="str">
        <x:v>CA-2015-159534</x:v>
      </x:c>
      <x:c r="B9928" s="18" t="n">
        <x:v>42083</x:v>
      </x:c>
      <x:c r="C9928" t="str">
        <x:v>DH-13075</x:v>
      </x:c>
      <x:c r="D9928" t="str">
        <x:v>Dave Hallsten</x:v>
      </x:c>
      <x:c r="E9928" t="str">
        <x:v>Corporate</x:v>
      </x:c>
      <x:c r="F9928" t="str">
        <x:v>East</x:v>
      </x:c>
      <x:c r="G9928" t="str">
        <x:v>Office Supplies</x:v>
      </x:c>
      <x:c r="H9928" t="str">
        <x:v>Binders</x:v>
      </x:c>
      <x:c r="I9928" s="22" t="n">
        <x:v>49.848</x:v>
      </x:c>
      <x:c r="J9928" s="24" t="n">
        <x:v>3</x:v>
      </x:c>
      <x:c r="K9928" s="26" t="n">
        <x:v>0.2</x:v>
      </x:c>
      <x:c r="L9928" s="22" t="n">
        <x:v>16.8237</x:v>
      </x:c>
      <x:c r="M9928" t="n">
        <x:v>2015</x:v>
      </x:c>
      <x:c r="N9928" s="20" t="n">
        <x:v>42064</x:v>
      </x:c>
    </x:row>
    <x:row r="9929" ht="18" customHeight="1">
      <x:c r="A9929" t="str">
        <x:v>CA-2015-159534</x:v>
      </x:c>
      <x:c r="B9929" s="18" t="n">
        <x:v>42083</x:v>
      </x:c>
      <x:c r="C9929" t="str">
        <x:v>DH-13075</x:v>
      </x:c>
      <x:c r="D9929" t="str">
        <x:v>Dave Hallsten</x:v>
      </x:c>
      <x:c r="E9929" t="str">
        <x:v>Corporate</x:v>
      </x:c>
      <x:c r="F9929" t="str">
        <x:v>East</x:v>
      </x:c>
      <x:c r="G9929" t="str">
        <x:v>Office Supplies</x:v>
      </x:c>
      <x:c r="H9929" t="str">
        <x:v>Envelopes</x:v>
      </x:c>
      <x:c r="I9929" s="22" t="n">
        <x:v>23.99</x:v>
      </x:c>
      <x:c r="J9929" s="24" t="n">
        <x:v>1</x:v>
      </x:c>
      <x:c r="K9929" s="26" t="n">
        <x:v>0</x:v>
      </x:c>
      <x:c r="L9929" s="22" t="n">
        <x:v>11.995</x:v>
      </x:c>
      <x:c r="M9929" t="n">
        <x:v>2015</x:v>
      </x:c>
      <x:c r="N9929" s="20" t="n">
        <x:v>42064</x:v>
      </x:c>
    </x:row>
    <x:row r="9930" ht="18" customHeight="1">
      <x:c r="A9930" t="str">
        <x:v>CA-2015-159534</x:v>
      </x:c>
      <x:c r="B9930" s="18" t="n">
        <x:v>42083</x:v>
      </x:c>
      <x:c r="C9930" t="str">
        <x:v>DH-13075</x:v>
      </x:c>
      <x:c r="D9930" t="str">
        <x:v>Dave Hallsten</x:v>
      </x:c>
      <x:c r="E9930" t="str">
        <x:v>Corporate</x:v>
      </x:c>
      <x:c r="F9930" t="str">
        <x:v>East</x:v>
      </x:c>
      <x:c r="G9930" t="str">
        <x:v>Office Supplies</x:v>
      </x:c>
      <x:c r="H9930" t="str">
        <x:v>Binders</x:v>
      </x:c>
      <x:c r="I9930" s="22" t="n">
        <x:v>1087.9360000000001</x:v>
      </x:c>
      <x:c r="J9930" s="24" t="n">
        <x:v>8</x:v>
      </x:c>
      <x:c r="K9930" s="26" t="n">
        <x:v>0.2</x:v>
      </x:c>
      <x:c r="L9930" s="22" t="n">
        <x:v>353.5791999999999</x:v>
      </x:c>
      <x:c r="M9930" t="n">
        <x:v>2015</x:v>
      </x:c>
      <x:c r="N9930" s="20" t="n">
        <x:v>42064</x:v>
      </x:c>
    </x:row>
    <x:row r="9931" ht="18" customHeight="1">
      <x:c r="A9931" t="str">
        <x:v>CA-2015-159534</x:v>
      </x:c>
      <x:c r="B9931" s="18" t="n">
        <x:v>42083</x:v>
      </x:c>
      <x:c r="C9931" t="str">
        <x:v>DH-13075</x:v>
      </x:c>
      <x:c r="D9931" t="str">
        <x:v>Dave Hallsten</x:v>
      </x:c>
      <x:c r="E9931" t="str">
        <x:v>Corporate</x:v>
      </x:c>
      <x:c r="F9931" t="str">
        <x:v>East</x:v>
      </x:c>
      <x:c r="G9931" t="str">
        <x:v>Technology</x:v>
      </x:c>
      <x:c r="H9931" t="str">
        <x:v>Phones</x:v>
      </x:c>
      <x:c r="I9931" s="22" t="n">
        <x:v>199.98</x:v>
      </x:c>
      <x:c r="J9931" s="24" t="n">
        <x:v>2</x:v>
      </x:c>
      <x:c r="K9931" s="26" t="n">
        <x:v>0</x:v>
      </x:c>
      <x:c r="L9931" s="22" t="n">
        <x:v>53.99459999999999</x:v>
      </x:c>
      <x:c r="M9931" t="n">
        <x:v>2015</x:v>
      </x:c>
      <x:c r="N9931" s="20" t="n">
        <x:v>42064</x:v>
      </x:c>
    </x:row>
    <x:row r="9932" ht="18" customHeight="1">
      <x:c r="A9932" t="str">
        <x:v>CA-2015-159534</x:v>
      </x:c>
      <x:c r="B9932" s="18" t="n">
        <x:v>42083</x:v>
      </x:c>
      <x:c r="C9932" t="str">
        <x:v>DH-13075</x:v>
      </x:c>
      <x:c r="D9932" t="str">
        <x:v>Dave Hallsten</x:v>
      </x:c>
      <x:c r="E9932" t="str">
        <x:v>Corporate</x:v>
      </x:c>
      <x:c r="F9932" t="str">
        <x:v>East</x:v>
      </x:c>
      <x:c r="G9932" t="str">
        <x:v>Office Supplies</x:v>
      </x:c>
      <x:c r="H9932" t="str">
        <x:v>Storage</x:v>
      </x:c>
      <x:c r="I9932" s="22" t="n">
        <x:v>83.92</x:v>
      </x:c>
      <x:c r="J9932" s="24" t="n">
        <x:v>4</x:v>
      </x:c>
      <x:c r="K9932" s="26" t="n">
        <x:v>0</x:v>
      </x:c>
      <x:c r="L9932" s="22" t="n">
        <x:v>20.1408</x:v>
      </x:c>
      <x:c r="M9932" t="n">
        <x:v>2015</x:v>
      </x:c>
      <x:c r="N9932" s="20" t="n">
        <x:v>42064</x:v>
      </x:c>
    </x:row>
    <x:row r="9933" ht="18" customHeight="1">
      <x:c r="A9933" t="str">
        <x:v>CA-2016-129630</x:v>
      </x:c>
      <x:c r="B9933" s="18" t="n">
        <x:v>42617</x:v>
      </x:c>
      <x:c r="C9933" t="str">
        <x:v>IM-15055</x:v>
      </x:c>
      <x:c r="D9933" t="str">
        <x:v>Ionia McGrath</x:v>
      </x:c>
      <x:c r="E9933" t="str">
        <x:v>Consumer</x:v>
      </x:c>
      <x:c r="F9933" t="str">
        <x:v>West</x:v>
      </x:c>
      <x:c r="G9933" t="str">
        <x:v>Furniture</x:v>
      </x:c>
      <x:c r="H9933" t="str">
        <x:v>Furnishings</x:v>
      </x:c>
      <x:c r="I9933" s="22" t="n">
        <x:v>24.27</x:v>
      </x:c>
      <x:c r="J9933" s="24" t="n">
        <x:v>3</x:v>
      </x:c>
      <x:c r="K9933" s="26" t="n">
        <x:v>0</x:v>
      </x:c>
      <x:c r="L9933" s="22" t="n">
        <x:v>8.7372</x:v>
      </x:c>
      <x:c r="M9933" t="n">
        <x:v>2016</x:v>
      </x:c>
      <x:c r="N9933" s="20" t="n">
        <x:v>42614</x:v>
      </x:c>
    </x:row>
    <x:row r="9934" ht="18" customHeight="1">
      <x:c r="A9934" t="str">
        <x:v>CA-2016-129630</x:v>
      </x:c>
      <x:c r="B9934" s="18" t="n">
        <x:v>42617</x:v>
      </x:c>
      <x:c r="C9934" t="str">
        <x:v>IM-15055</x:v>
      </x:c>
      <x:c r="D9934" t="str">
        <x:v>Ionia McGrath</x:v>
      </x:c>
      <x:c r="E9934" t="str">
        <x:v>Consumer</x:v>
      </x:c>
      <x:c r="F9934" t="str">
        <x:v>West</x:v>
      </x:c>
      <x:c r="G9934" t="str">
        <x:v>Technology</x:v>
      </x:c>
      <x:c r="H9934" t="str">
        <x:v>Copiers</x:v>
      </x:c>
      <x:c r="I9934" s="22" t="n">
        <x:v>2799.9600000000005</x:v>
      </x:c>
      <x:c r="J9934" s="24" t="n">
        <x:v>5</x:v>
      </x:c>
      <x:c r="K9934" s="26" t="n">
        <x:v>0.2</x:v>
      </x:c>
      <x:c r="L9934" s="22" t="n">
        <x:v>944.9864999999999</x:v>
      </x:c>
      <x:c r="M9934" t="n">
        <x:v>2016</x:v>
      </x:c>
      <x:c r="N9934" s="20" t="n">
        <x:v>42614</x:v>
      </x:c>
    </x:row>
    <x:row r="9935" ht="18" customHeight="1">
      <x:c r="A9935" t="str">
        <x:v>CA-2015-104948</x:v>
      </x:c>
      <x:c r="B9935" s="18" t="n">
        <x:v>42321</x:v>
      </x:c>
      <x:c r="C9935" t="str">
        <x:v>KH-16510</x:v>
      </x:c>
      <x:c r="D9935" t="str">
        <x:v>Keith Herrera</x:v>
      </x:c>
      <x:c r="E9935" t="str">
        <x:v>Consumer</x:v>
      </x:c>
      <x:c r="F9935" t="str">
        <x:v>West</x:v>
      </x:c>
      <x:c r="G9935" t="str">
        <x:v>Office Supplies</x:v>
      </x:c>
      <x:c r="H9935" t="str">
        <x:v>Binders</x:v>
      </x:c>
      <x:c r="I9935" s="22" t="n">
        <x:v>9.872</x:v>
      </x:c>
      <x:c r="J9935" s="24" t="n">
        <x:v>2</x:v>
      </x:c>
      <x:c r="K9935" s="26" t="n">
        <x:v>0.2</x:v>
      </x:c>
      <x:c r="L9935" s="22" t="n">
        <x:v>3.4551999999999996</x:v>
      </x:c>
      <x:c r="M9935" t="n">
        <x:v>2015</x:v>
      </x:c>
      <x:c r="N9935" s="20" t="n">
        <x:v>42309</x:v>
      </x:c>
    </x:row>
    <x:row r="9936" ht="18" customHeight="1">
      <x:c r="A9936" t="str">
        <x:v>CA-2015-104948</x:v>
      </x:c>
      <x:c r="B9936" s="18" t="n">
        <x:v>42321</x:v>
      </x:c>
      <x:c r="C9936" t="str">
        <x:v>KH-16510</x:v>
      </x:c>
      <x:c r="D9936" t="str">
        <x:v>Keith Herrera</x:v>
      </x:c>
      <x:c r="E9936" t="str">
        <x:v>Consumer</x:v>
      </x:c>
      <x:c r="F9936" t="str">
        <x:v>West</x:v>
      </x:c>
      <x:c r="G9936" t="str">
        <x:v>Furniture</x:v>
      </x:c>
      <x:c r="H9936" t="str">
        <x:v>Bookcases</x:v>
      </x:c>
      <x:c r="I9936" s="22" t="n">
        <x:v>683.332</x:v>
      </x:c>
      <x:c r="J9936" s="24" t="n">
        <x:v>4</x:v>
      </x:c>
      <x:c r="K9936" s="26" t="n">
        <x:v>0.15</x:v>
      </x:c>
      <x:c r="L9936" s="22" t="n">
        <x:v>-40.196000000000055</x:v>
      </x:c>
      <x:c r="M9936" t="n">
        <x:v>2015</x:v>
      </x:c>
      <x:c r="N9936" s="20" t="n">
        <x:v>42309</x:v>
      </x:c>
    </x:row>
    <x:row r="9937" ht="18" customHeight="1">
      <x:c r="A9937" t="str">
        <x:v>CA-2015-104948</x:v>
      </x:c>
      <x:c r="B9937" s="18" t="n">
        <x:v>42321</x:v>
      </x:c>
      <x:c r="C9937" t="str">
        <x:v>KH-16510</x:v>
      </x:c>
      <x:c r="D9937" t="str">
        <x:v>Keith Herrera</x:v>
      </x:c>
      <x:c r="E9937" t="str">
        <x:v>Consumer</x:v>
      </x:c>
      <x:c r="F9937" t="str">
        <x:v>West</x:v>
      </x:c>
      <x:c r="G9937" t="str">
        <x:v>Office Supplies</x:v>
      </x:c>
      <x:c r="H9937" t="str">
        <x:v>Paper</x:v>
      </x:c>
      <x:c r="I9937" s="22" t="n">
        <x:v>29.96</x:v>
      </x:c>
      <x:c r="J9937" s="24" t="n">
        <x:v>7</x:v>
      </x:c>
      <x:c r="K9937" s="26" t="n">
        <x:v>0</x:v>
      </x:c>
      <x:c r="L9937" s="22" t="n">
        <x:v>13.481999999999998</x:v>
      </x:c>
      <x:c r="M9937" t="n">
        <x:v>2015</x:v>
      </x:c>
      <x:c r="N9937" s="20" t="n">
        <x:v>42309</x:v>
      </x:c>
    </x:row>
    <x:row r="9938" ht="18" customHeight="1">
      <x:c r="A9938" t="str">
        <x:v>CA-2014-166555</x:v>
      </x:c>
      <x:c r="B9938" s="18" t="n">
        <x:v>41831</x:v>
      </x:c>
      <x:c r="C9938" t="str">
        <x:v>JK-15205</x:v>
      </x:c>
      <x:c r="D9938" t="str">
        <x:v>Jamie Kunitz</x:v>
      </x:c>
      <x:c r="E9938" t="str">
        <x:v>Consumer</x:v>
      </x:c>
      <x:c r="F9938" t="str">
        <x:v>East</x:v>
      </x:c>
      <x:c r="G9938" t="str">
        <x:v>Technology</x:v>
      </x:c>
      <x:c r="H9938" t="str">
        <x:v>Phones</x:v>
      </x:c>
      <x:c r="I9938" s="22" t="n">
        <x:v>164.85000000000002</x:v>
      </x:c>
      <x:c r="J9938" s="24" t="n">
        <x:v>3</x:v>
      </x:c>
      <x:c r="K9938" s="26" t="n">
        <x:v>0</x:v>
      </x:c>
      <x:c r="L9938" s="22" t="n">
        <x:v>47.80649999999999</x:v>
      </x:c>
      <x:c r="M9938" t="n">
        <x:v>2014</x:v>
      </x:c>
      <x:c r="N9938" s="20" t="n">
        <x:v>41821</x:v>
      </x:c>
    </x:row>
    <x:row r="9939" ht="18" customHeight="1">
      <x:c r="A9939" t="str">
        <x:v>CA-2016-114405</x:v>
      </x:c>
      <x:c r="B9939" s="18" t="n">
        <x:v>42467</x:v>
      </x:c>
      <x:c r="C9939" t="str">
        <x:v>AS-10240</x:v>
      </x:c>
      <x:c r="D9939" t="str">
        <x:v>Alan Shonely</x:v>
      </x:c>
      <x:c r="E9939" t="str">
        <x:v>Consumer</x:v>
      </x:c>
      <x:c r="F9939" t="str">
        <x:v>East</x:v>
      </x:c>
      <x:c r="G9939" t="str">
        <x:v>Office Supplies</x:v>
      </x:c>
      <x:c r="H9939" t="str">
        <x:v>Appliances</x:v>
      </x:c>
      <x:c r="I9939" s="22" t="n">
        <x:v>33.528000000000006</x:v>
      </x:c>
      <x:c r="J9939" s="24" t="n">
        <x:v>3</x:v>
      </x:c>
      <x:c r="K9939" s="26" t="n">
        <x:v>0.2</x:v>
      </x:c>
      <x:c r="L9939" s="22" t="n">
        <x:v>2.5146000000000015</x:v>
      </x:c>
      <x:c r="M9939" t="n">
        <x:v>2016</x:v>
      </x:c>
      <x:c r="N9939" s="20" t="n">
        <x:v>42461</x:v>
      </x:c>
    </x:row>
    <x:row r="9940" ht="18" customHeight="1">
      <x:c r="A9940" t="str">
        <x:v>CA-2016-114405</x:v>
      </x:c>
      <x:c r="B9940" s="18" t="n">
        <x:v>42467</x:v>
      </x:c>
      <x:c r="C9940" t="str">
        <x:v>AS-10240</x:v>
      </x:c>
      <x:c r="D9940" t="str">
        <x:v>Alan Shonely</x:v>
      </x:c>
      <x:c r="E9940" t="str">
        <x:v>Consumer</x:v>
      </x:c>
      <x:c r="F9940" t="str">
        <x:v>East</x:v>
      </x:c>
      <x:c r="G9940" t="str">
        <x:v>Office Supplies</x:v>
      </x:c>
      <x:c r="H9940" t="str">
        <x:v>Storage</x:v>
      </x:c>
      <x:c r="I9940" s="22" t="n">
        <x:v>36.744</x:v>
      </x:c>
      <x:c r="J9940" s="24" t="n">
        <x:v>3</x:v>
      </x:c>
      <x:c r="K9940" s="26" t="n">
        <x:v>0.2</x:v>
      </x:c>
      <x:c r="L9940" s="22" t="n">
        <x:v>3.674400000000004</x:v>
      </x:c>
      <x:c r="M9940" t="n">
        <x:v>2016</x:v>
      </x:c>
      <x:c r="N9940" s="20" t="n">
        <x:v>42461</x:v>
      </x:c>
    </x:row>
    <x:row r="9941" ht="18" customHeight="1">
      <x:c r="A9941" t="str">
        <x:v>CA-2017-132955</x:v>
      </x:c>
      <x:c r="B9941" s="18" t="n">
        <x:v>42910</x:v>
      </x:c>
      <x:c r="C9941" t="str">
        <x:v>SC-20575</x:v>
      </x:c>
      <x:c r="D9941" t="str">
        <x:v>Sonia Cooley</x:v>
      </x:c>
      <x:c r="E9941" t="str">
        <x:v>Consumer</x:v>
      </x:c>
      <x:c r="F9941" t="str">
        <x:v>East</x:v>
      </x:c>
      <x:c r="G9941" t="str">
        <x:v>Office Supplies</x:v>
      </x:c>
      <x:c r="H9941" t="str">
        <x:v>Binders</x:v>
      </x:c>
      <x:c r="I9941" s="22" t="n">
        <x:v>102.93</x:v>
      </x:c>
      <x:c r="J9941" s="24" t="n">
        <x:v>3</x:v>
      </x:c>
      <x:c r="K9941" s="26" t="n">
        <x:v>0</x:v>
      </x:c>
      <x:c r="L9941" s="22" t="n">
        <x:v>48.377100000000006</x:v>
      </x:c>
      <x:c r="M9941" t="n">
        <x:v>2017</x:v>
      </x:c>
      <x:c r="N9941" s="20" t="n">
        <x:v>42887</x:v>
      </x:c>
    </x:row>
    <x:row r="9942" ht="18" customHeight="1">
      <x:c r="A9942" t="str">
        <x:v>CA-2016-164889</x:v>
      </x:c>
      <x:c r="B9942" s="18" t="n">
        <x:v>42524</x:v>
      </x:c>
      <x:c r="C9942" t="str">
        <x:v>CP-12340</x:v>
      </x:c>
      <x:c r="D9942" t="str">
        <x:v>Christine Phan</x:v>
      </x:c>
      <x:c r="E9942" t="str">
        <x:v>Corporate</x:v>
      </x:c>
      <x:c r="F9942" t="str">
        <x:v>West</x:v>
      </x:c>
      <x:c r="G9942" t="str">
        <x:v>Furniture</x:v>
      </x:c>
      <x:c r="H9942" t="str">
        <x:v>Tables</x:v>
      </x:c>
      <x:c r="I9942" s="22" t="n">
        <x:v>71.08800000000001</x:v>
      </x:c>
      <x:c r="J9942" s="24" t="n">
        <x:v>2</x:v>
      </x:c>
      <x:c r="K9942" s="26" t="n">
        <x:v>0.2</x:v>
      </x:c>
      <x:c r="L9942" s="22" t="n">
        <x:v>-1.777200000000004</x:v>
      </x:c>
      <x:c r="M9942" t="n">
        <x:v>2016</x:v>
      </x:c>
      <x:c r="N9942" s="20" t="n">
        <x:v>42522</x:v>
      </x:c>
    </x:row>
    <x:row r="9943" ht="18" customHeight="1">
      <x:c r="A9943" t="str">
        <x:v>CA-2016-169824</x:v>
      </x:c>
      <x:c r="B9943" s="18" t="n">
        <x:v>42716</x:v>
      </x:c>
      <x:c r="C9943" t="str">
        <x:v>NS-18640</x:v>
      </x:c>
      <x:c r="D9943" t="str">
        <x:v>Noel Staavos</x:v>
      </x:c>
      <x:c r="E9943" t="str">
        <x:v>Corporate</x:v>
      </x:c>
      <x:c r="F9943" t="str">
        <x:v>East</x:v>
      </x:c>
      <x:c r="G9943" t="str">
        <x:v>Furniture</x:v>
      </x:c>
      <x:c r="H9943" t="str">
        <x:v>Furnishings</x:v>
      </x:c>
      <x:c r="I9943" s="22" t="n">
        <x:v>60.35</x:v>
      </x:c>
      <x:c r="J9943" s="24" t="n">
        <x:v>5</x:v>
      </x:c>
      <x:c r="K9943" s="26" t="n">
        <x:v>0</x:v>
      </x:c>
      <x:c r="L9943" s="22" t="n">
        <x:v>19.9155</x:v>
      </x:c>
      <x:c r="M9943" t="n">
        <x:v>2016</x:v>
      </x:c>
      <x:c r="N9943" s="20" t="n">
        <x:v>42705</x:v>
      </x:c>
    </x:row>
    <x:row r="9944" ht="18" customHeight="1">
      <x:c r="A9944" t="str">
        <x:v>CA-2016-169824</x:v>
      </x:c>
      <x:c r="B9944" s="18" t="n">
        <x:v>42716</x:v>
      </x:c>
      <x:c r="C9944" t="str">
        <x:v>NS-18640</x:v>
      </x:c>
      <x:c r="D9944" t="str">
        <x:v>Noel Staavos</x:v>
      </x:c>
      <x:c r="E9944" t="str">
        <x:v>Corporate</x:v>
      </x:c>
      <x:c r="F9944" t="str">
        <x:v>East</x:v>
      </x:c>
      <x:c r="G9944" t="str">
        <x:v>Office Supplies</x:v>
      </x:c>
      <x:c r="H9944" t="str">
        <x:v>Supplies</x:v>
      </x:c>
      <x:c r="I9944" s="22" t="n">
        <x:v>35.52</x:v>
      </x:c>
      <x:c r="J9944" s="24" t="n">
        <x:v>4</x:v>
      </x:c>
      <x:c r="K9944" s="26" t="n">
        <x:v>0</x:v>
      </x:c>
      <x:c r="L9944" s="22" t="n">
        <x:v>9.945600000000002</x:v>
      </x:c>
      <x:c r="M9944" t="n">
        <x:v>2016</x:v>
      </x:c>
      <x:c r="N9944" s="20" t="n">
        <x:v>42705</x:v>
      </x:c>
    </x:row>
    <x:row r="9945" ht="18" customHeight="1">
      <x:c r="A9945" t="str">
        <x:v>CA-2016-169824</x:v>
      </x:c>
      <x:c r="B9945" s="18" t="n">
        <x:v>42716</x:v>
      </x:c>
      <x:c r="C9945" t="str">
        <x:v>NS-18640</x:v>
      </x:c>
      <x:c r="D9945" t="str">
        <x:v>Noel Staavos</x:v>
      </x:c>
      <x:c r="E9945" t="str">
        <x:v>Corporate</x:v>
      </x:c>
      <x:c r="F9945" t="str">
        <x:v>East</x:v>
      </x:c>
      <x:c r="G9945" t="str">
        <x:v>Office Supplies</x:v>
      </x:c>
      <x:c r="H9945" t="str">
        <x:v>Art</x:v>
      </x:c>
      <x:c r="I9945" s="22" t="n">
        <x:v>11.200000000000001</x:v>
      </x:c>
      <x:c r="J9945" s="24" t="n">
        <x:v>7</x:v>
      </x:c>
      <x:c r="K9945" s="26" t="n">
        <x:v>0</x:v>
      </x:c>
      <x:c r="L9945" s="22" t="n">
        <x:v>4.816000000000001</x:v>
      </x:c>
      <x:c r="M9945" t="n">
        <x:v>2016</x:v>
      </x:c>
      <x:c r="N9945" s="20" t="n">
        <x:v>42705</x:v>
      </x:c>
    </x:row>
    <x:row r="9946" ht="18" customHeight="1">
      <x:c r="A9946" t="str">
        <x:v>CA-2017-164028</x:v>
      </x:c>
      <x:c r="B9946" s="18" t="n">
        <x:v>43063</x:v>
      </x:c>
      <x:c r="C9946" t="str">
        <x:v>JL-15835</x:v>
      </x:c>
      <x:c r="D9946" t="str">
        <x:v>John Lee</x:v>
      </x:c>
      <x:c r="E9946" t="str">
        <x:v>Consumer</x:v>
      </x:c>
      <x:c r="F9946" t="str">
        <x:v>West</x:v>
      </x:c>
      <x:c r="G9946" t="str">
        <x:v>Technology</x:v>
      </x:c>
      <x:c r="H9946" t="str">
        <x:v>Accessories</x:v>
      </x:c>
      <x:c r="I9946" s="22" t="n">
        <x:v>223.58</x:v>
      </x:c>
      <x:c r="J9946" s="24" t="n">
        <x:v>14</x:v>
      </x:c>
      <x:c r="K9946" s="26" t="n">
        <x:v>0</x:v>
      </x:c>
      <x:c r="L9946" s="22" t="n">
        <x:v>87.1962</x:v>
      </x:c>
      <x:c r="M9946" t="n">
        <x:v>2017</x:v>
      </x:c>
      <x:c r="N9946" s="20" t="n">
        <x:v>43040</x:v>
      </x:c>
    </x:row>
    <x:row r="9947" ht="18" customHeight="1">
      <x:c r="A9947" t="str">
        <x:v>CA-2014-143371</x:v>
      </x:c>
      <x:c r="B9947" s="18" t="n">
        <x:v>42001</x:v>
      </x:c>
      <x:c r="C9947" t="str">
        <x:v>MD-17350</x:v>
      </x:c>
      <x:c r="D9947" t="str">
        <x:v>Maribeth Dona</x:v>
      </x:c>
      <x:c r="E9947" t="str">
        <x:v>Consumer</x:v>
      </x:c>
      <x:c r="F9947" t="str">
        <x:v>West</x:v>
      </x:c>
      <x:c r="G9947" t="str">
        <x:v>Office Supplies</x:v>
      </x:c>
      <x:c r="H9947" t="str">
        <x:v>Storage</x:v>
      </x:c>
      <x:c r="I9947" s="22" t="n">
        <x:v>998.82</x:v>
      </x:c>
      <x:c r="J9947" s="24" t="n">
        <x:v>9</x:v>
      </x:c>
      <x:c r="K9947" s="26" t="n">
        <x:v>0</x:v>
      </x:c>
      <x:c r="L9947" s="22" t="n">
        <x:v>29.96460000000006</x:v>
      </x:c>
      <x:c r="M9947" t="n">
        <x:v>2014</x:v>
      </x:c>
      <x:c r="N9947" s="20" t="n">
        <x:v>41974</x:v>
      </x:c>
    </x:row>
    <x:row r="9948" ht="18" customHeight="1">
      <x:c r="A9948" t="str">
        <x:v>CA-2014-143371</x:v>
      </x:c>
      <x:c r="B9948" s="18" t="n">
        <x:v>42001</x:v>
      </x:c>
      <x:c r="C9948" t="str">
        <x:v>MD-17350</x:v>
      </x:c>
      <x:c r="D9948" t="str">
        <x:v>Maribeth Dona</x:v>
      </x:c>
      <x:c r="E9948" t="str">
        <x:v>Consumer</x:v>
      </x:c>
      <x:c r="F9948" t="str">
        <x:v>West</x:v>
      </x:c>
      <x:c r="G9948" t="str">
        <x:v>Office Supplies</x:v>
      </x:c>
      <x:c r="H9948" t="str">
        <x:v>Supplies</x:v>
      </x:c>
      <x:c r="I9948" s="22" t="n">
        <x:v>51.150000000000006</x:v>
      </x:c>
      <x:c r="J9948" s="24" t="n">
        <x:v>5</x:v>
      </x:c>
      <x:c r="K9948" s="26" t="n">
        <x:v>0</x:v>
      </x:c>
      <x:c r="L9948" s="22" t="n">
        <x:v>13.299000000000003</x:v>
      </x:c>
      <x:c r="M9948" t="n">
        <x:v>2014</x:v>
      </x:c>
      <x:c r="N9948" s="20" t="n">
        <x:v>41974</x:v>
      </x:c>
    </x:row>
    <x:row r="9949" ht="18" customHeight="1">
      <x:c r="A9949" t="str">
        <x:v>CA-2015-145415</x:v>
      </x:c>
      <x:c r="B9949" s="18" t="n">
        <x:v>42106</x:v>
      </x:c>
      <x:c r="C9949" t="str">
        <x:v>RD-19660</x:v>
      </x:c>
      <x:c r="D9949" t="str">
        <x:v>Robert Dilbeck</x:v>
      </x:c>
      <x:c r="E9949" t="str">
        <x:v>Home Office</x:v>
      </x:c>
      <x:c r="F9949" t="str">
        <x:v>West</x:v>
      </x:c>
      <x:c r="G9949" t="str">
        <x:v>Office Supplies</x:v>
      </x:c>
      <x:c r="H9949" t="str">
        <x:v>Storage</x:v>
      </x:c>
      <x:c r="I9949" s="22" t="n">
        <x:v>40.74</x:v>
      </x:c>
      <x:c r="J9949" s="24" t="n">
        <x:v>3</x:v>
      </x:c>
      <x:c r="K9949" s="26" t="n">
        <x:v>0</x:v>
      </x:c>
      <x:c r="L9949" s="22" t="n">
        <x:v>0.4073999999999991</x:v>
      </x:c>
      <x:c r="M9949" t="n">
        <x:v>2015</x:v>
      </x:c>
      <x:c r="N9949" s="20" t="n">
        <x:v>42095</x:v>
      </x:c>
    </x:row>
    <x:row r="9950" ht="18" customHeight="1">
      <x:c r="A9950" t="str">
        <x:v>CA-2014-111157</x:v>
      </x:c>
      <x:c r="B9950" s="18" t="n">
        <x:v>41700</x:v>
      </x:c>
      <x:c r="C9950" t="str">
        <x:v>NH-18610</x:v>
      </x:c>
      <x:c r="D9950" t="str">
        <x:v>Nicole Hansen</x:v>
      </x:c>
      <x:c r="E9950" t="str">
        <x:v>Corporate</x:v>
      </x:c>
      <x:c r="F9950" t="str">
        <x:v>East</x:v>
      </x:c>
      <x:c r="G9950" t="str">
        <x:v>Office Supplies</x:v>
      </x:c>
      <x:c r="H9950" t="str">
        <x:v>Paper</x:v>
      </x:c>
      <x:c r="I9950" s="22" t="n">
        <x:v>3.4240000000000004</x:v>
      </x:c>
      <x:c r="J9950" s="24" t="n">
        <x:v>1</x:v>
      </x:c>
      <x:c r="K9950" s="26" t="n">
        <x:v>0.2</x:v>
      </x:c>
      <x:c r="L9950" s="22" t="n">
        <x:v>1.0699999999999996</x:v>
      </x:c>
      <x:c r="M9950" t="n">
        <x:v>2014</x:v>
      </x:c>
      <x:c r="N9950" s="20" t="n">
        <x:v>41699</x:v>
      </x:c>
    </x:row>
    <x:row r="9951" ht="18" customHeight="1">
      <x:c r="A9951" t="str">
        <x:v>CA-2014-111157</x:v>
      </x:c>
      <x:c r="B9951" s="18" t="n">
        <x:v>41700</x:v>
      </x:c>
      <x:c r="C9951" t="str">
        <x:v>NH-18610</x:v>
      </x:c>
      <x:c r="D9951" t="str">
        <x:v>Nicole Hansen</x:v>
      </x:c>
      <x:c r="E9951" t="str">
        <x:v>Corporate</x:v>
      </x:c>
      <x:c r="F9951" t="str">
        <x:v>East</x:v>
      </x:c>
      <x:c r="G9951" t="str">
        <x:v>Technology</x:v>
      </x:c>
      <x:c r="H9951" t="str">
        <x:v>Accessories</x:v>
      </x:c>
      <x:c r="I9951" s="22" t="n">
        <x:v>151.20000000000002</x:v>
      </x:c>
      <x:c r="J9951" s="24" t="n">
        <x:v>3</x:v>
      </x:c>
      <x:c r="K9951" s="26" t="n">
        <x:v>0.2</x:v>
      </x:c>
      <x:c r="L9951" s="22" t="n">
        <x:v>32.13</x:v>
      </x:c>
      <x:c r="M9951" t="n">
        <x:v>2014</x:v>
      </x:c>
      <x:c r="N9951" s="20" t="n">
        <x:v>41699</x:v>
      </x:c>
    </x:row>
    <x:row r="9952" ht="18" customHeight="1">
      <x:c r="A9952" t="str">
        <x:v>CA-2017-121559</x:v>
      </x:c>
      <x:c r="B9952" s="18" t="n">
        <x:v>42887</x:v>
      </x:c>
      <x:c r="C9952" t="str">
        <x:v>HW-14935</x:v>
      </x:c>
      <x:c r="D9952" t="str">
        <x:v>Helen Wasserman</x:v>
      </x:c>
      <x:c r="E9952" t="str">
        <x:v>Corporate</x:v>
      </x:c>
      <x:c r="F9952" t="str">
        <x:v>Central</x:v>
      </x:c>
      <x:c r="G9952" t="str">
        <x:v>Furniture</x:v>
      </x:c>
      <x:c r="H9952" t="str">
        <x:v>Chairs</x:v>
      </x:c>
      <x:c r="I9952" s="22" t="n">
        <x:v>1925.88</x:v>
      </x:c>
      <x:c r="J9952" s="24" t="n">
        <x:v>6</x:v>
      </x:c>
      <x:c r="K9952" s="26" t="n">
        <x:v>0</x:v>
      </x:c>
      <x:c r="L9952" s="22" t="n">
        <x:v>539.2464</x:v>
      </x:c>
      <x:c r="M9952" t="n">
        <x:v>2017</x:v>
      </x:c>
      <x:c r="N9952" s="20" t="n">
        <x:v>42887</x:v>
      </x:c>
    </x:row>
    <x:row r="9953" ht="18" customHeight="1">
      <x:c r="A9953" t="str">
        <x:v>CA-2017-121559</x:v>
      </x:c>
      <x:c r="B9953" s="18" t="n">
        <x:v>42887</x:v>
      </x:c>
      <x:c r="C9953" t="str">
        <x:v>HW-14935</x:v>
      </x:c>
      <x:c r="D9953" t="str">
        <x:v>Helen Wasserman</x:v>
      </x:c>
      <x:c r="E9953" t="str">
        <x:v>Corporate</x:v>
      </x:c>
      <x:c r="F9953" t="str">
        <x:v>Central</x:v>
      </x:c>
      <x:c r="G9953" t="str">
        <x:v>Office Supplies</x:v>
      </x:c>
      <x:c r="H9953" t="str">
        <x:v>Appliances</x:v>
      </x:c>
      <x:c r="I9953" s="22" t="n">
        <x:v>2405.2</x:v>
      </x:c>
      <x:c r="J9953" s="24" t="n">
        <x:v>8</x:v>
      </x:c>
      <x:c r="K9953" s="26" t="n">
        <x:v>0</x:v>
      </x:c>
      <x:c r="L9953" s="22" t="n">
        <x:v>793.7159999999999</x:v>
      </x:c>
      <x:c r="M9953" t="n">
        <x:v>2017</x:v>
      </x:c>
      <x:c r="N9953" s="20" t="n">
        <x:v>42887</x:v>
      </x:c>
    </x:row>
    <x:row r="9954" ht="18" customHeight="1">
      <x:c r="A9954" t="str">
        <x:v>CA-2017-121559</x:v>
      </x:c>
      <x:c r="B9954" s="18" t="n">
        <x:v>42887</x:v>
      </x:c>
      <x:c r="C9954" t="str">
        <x:v>HW-14935</x:v>
      </x:c>
      <x:c r="D9954" t="str">
        <x:v>Helen Wasserman</x:v>
      </x:c>
      <x:c r="E9954" t="str">
        <x:v>Corporate</x:v>
      </x:c>
      <x:c r="F9954" t="str">
        <x:v>Central</x:v>
      </x:c>
      <x:c r="G9954" t="str">
        <x:v>Technology</x:v>
      </x:c>
      <x:c r="H9954" t="str">
        <x:v>Accessories</x:v>
      </x:c>
      <x:c r="I9954" s="22" t="n">
        <x:v>83.97</x:v>
      </x:c>
      <x:c r="J9954" s="24" t="n">
        <x:v>3</x:v>
      </x:c>
      <x:c r="K9954" s="26" t="n">
        <x:v>0</x:v>
      </x:c>
      <x:c r="L9954" s="22" t="n">
        <x:v>15.954299999999993</x:v>
      </x:c>
      <x:c r="M9954" t="n">
        <x:v>2017</x:v>
      </x:c>
      <x:c r="N9954" s="20" t="n">
        <x:v>42887</x:v>
      </x:c>
    </x:row>
    <x:row r="9955" ht="18" customHeight="1">
      <x:c r="A9955" t="str">
        <x:v>CA-2017-121559</x:v>
      </x:c>
      <x:c r="B9955" s="18" t="n">
        <x:v>42887</x:v>
      </x:c>
      <x:c r="C9955" t="str">
        <x:v>HW-14935</x:v>
      </x:c>
      <x:c r="D9955" t="str">
        <x:v>Helen Wasserman</x:v>
      </x:c>
      <x:c r="E9955" t="str">
        <x:v>Corporate</x:v>
      </x:c>
      <x:c r="F9955" t="str">
        <x:v>Central</x:v>
      </x:c>
      <x:c r="G9955" t="str">
        <x:v>Technology</x:v>
      </x:c>
      <x:c r="H9955" t="str">
        <x:v>Accessories</x:v>
      </x:c>
      <x:c r="I9955" s="22" t="n">
        <x:v>39.89</x:v>
      </x:c>
      <x:c r="J9955" s="24" t="n">
        <x:v>1</x:v>
      </x:c>
      <x:c r="K9955" s="26" t="n">
        <x:v>0</x:v>
      </x:c>
      <x:c r="L9955" s="22" t="n">
        <x:v>14.7593</x:v>
      </x:c>
      <x:c r="M9955" t="n">
        <x:v>2017</x:v>
      </x:c>
      <x:c r="N9955" s="20" t="n">
        <x:v>42887</x:v>
      </x:c>
    </x:row>
    <x:row r="9956" ht="18" customHeight="1">
      <x:c r="A9956" t="str">
        <x:v>CA-2017-121559</x:v>
      </x:c>
      <x:c r="B9956" s="18" t="n">
        <x:v>42887</x:v>
      </x:c>
      <x:c r="C9956" t="str">
        <x:v>HW-14935</x:v>
      </x:c>
      <x:c r="D9956" t="str">
        <x:v>Helen Wasserman</x:v>
      </x:c>
      <x:c r="E9956" t="str">
        <x:v>Corporate</x:v>
      </x:c>
      <x:c r="F9956" t="str">
        <x:v>Central</x:v>
      </x:c>
      <x:c r="G9956" t="str">
        <x:v>Office Supplies</x:v>
      </x:c>
      <x:c r="H9956" t="str">
        <x:v>Binders</x:v>
      </x:c>
      <x:c r="I9956" s="22" t="n">
        <x:v>17.38</x:v>
      </x:c>
      <x:c r="J9956" s="24" t="n">
        <x:v>2</x:v>
      </x:c>
      <x:c r="K9956" s="26" t="n">
        <x:v>0</x:v>
      </x:c>
      <x:c r="L9956" s="22" t="n">
        <x:v>8.69</x:v>
      </x:c>
      <x:c r="M9956" t="n">
        <x:v>2017</x:v>
      </x:c>
      <x:c r="N9956" s="20" t="n">
        <x:v>42887</x:v>
      </x:c>
    </x:row>
    <x:row r="9957" ht="18" customHeight="1">
      <x:c r="A9957" t="str">
        <x:v>CA-2015-141593</x:v>
      </x:c>
      <x:c r="B9957" s="18" t="n">
        <x:v>42352</x:v>
      </x:c>
      <x:c r="C9957" t="str">
        <x:v>DB-12970</x:v>
      </x:c>
      <x:c r="D9957" t="str">
        <x:v>Darren Budd</x:v>
      </x:c>
      <x:c r="E9957" t="str">
        <x:v>Corporate</x:v>
      </x:c>
      <x:c r="F9957" t="str">
        <x:v>West</x:v>
      </x:c>
      <x:c r="G9957" t="str">
        <x:v>Office Supplies</x:v>
      </x:c>
      <x:c r="H9957" t="str">
        <x:v>Binders</x:v>
      </x:c>
      <x:c r="I9957" s="22" t="n">
        <x:v>55.264</x:v>
      </x:c>
      <x:c r="J9957" s="24" t="n">
        <x:v>2</x:v>
      </x:c>
      <x:c r="K9957" s="26" t="n">
        <x:v>0.2</x:v>
      </x:c>
      <x:c r="L9957" s="22" t="n">
        <x:v>20.723999999999997</x:v>
      </x:c>
      <x:c r="M9957" t="n">
        <x:v>2015</x:v>
      </x:c>
      <x:c r="N9957" s="20" t="n">
        <x:v>42339</x:v>
      </x:c>
    </x:row>
    <x:row r="9958" ht="18" customHeight="1">
      <x:c r="A9958" t="str">
        <x:v>CA-2015-141593</x:v>
      </x:c>
      <x:c r="B9958" s="18" t="n">
        <x:v>42352</x:v>
      </x:c>
      <x:c r="C9958" t="str">
        <x:v>DB-12970</x:v>
      </x:c>
      <x:c r="D9958" t="str">
        <x:v>Darren Budd</x:v>
      </x:c>
      <x:c r="E9958" t="str">
        <x:v>Corporate</x:v>
      </x:c>
      <x:c r="F9958" t="str">
        <x:v>West</x:v>
      </x:c>
      <x:c r="G9958" t="str">
        <x:v>Office Supplies</x:v>
      </x:c>
      <x:c r="H9958" t="str">
        <x:v>Paper</x:v>
      </x:c>
      <x:c r="I9958" s="22" t="n">
        <x:v>6.48</x:v>
      </x:c>
      <x:c r="J9958" s="24" t="n">
        <x:v>1</x:v>
      </x:c>
      <x:c r="K9958" s="26" t="n">
        <x:v>0</x:v>
      </x:c>
      <x:c r="L9958" s="22" t="n">
        <x:v>3.1104000000000003</x:v>
      </x:c>
      <x:c r="M9958" t="n">
        <x:v>2015</x:v>
      </x:c>
      <x:c r="N9958" s="20" t="n">
        <x:v>42339</x:v>
      </x:c>
    </x:row>
    <x:row r="9959" ht="18" customHeight="1">
      <x:c r="A9959" t="str">
        <x:v>CA-2015-141593</x:v>
      </x:c>
      <x:c r="B9959" s="18" t="n">
        <x:v>42352</x:v>
      </x:c>
      <x:c r="C9959" t="str">
        <x:v>DB-12970</x:v>
      </x:c>
      <x:c r="D9959" t="str">
        <x:v>Darren Budd</x:v>
      </x:c>
      <x:c r="E9959" t="str">
        <x:v>Corporate</x:v>
      </x:c>
      <x:c r="F9959" t="str">
        <x:v>West</x:v>
      </x:c>
      <x:c r="G9959" t="str">
        <x:v>Office Supplies</x:v>
      </x:c>
      <x:c r="H9959" t="str">
        <x:v>Binders</x:v>
      </x:c>
      <x:c r="I9959" s="22" t="n">
        <x:v>34.248000000000005</x:v>
      </x:c>
      <x:c r="J9959" s="24" t="n">
        <x:v>3</x:v>
      </x:c>
      <x:c r="K9959" s="26" t="n">
        <x:v>0.2</x:v>
      </x:c>
      <x:c r="L9959" s="22" t="n">
        <x:v>11.558699999999998</x:v>
      </x:c>
      <x:c r="M9959" t="n">
        <x:v>2015</x:v>
      </x:c>
      <x:c r="N9959" s="20" t="n">
        <x:v>42339</x:v>
      </x:c>
    </x:row>
    <x:row r="9960" ht="18" customHeight="1">
      <x:c r="A9960" t="str">
        <x:v>CA-2015-141593</x:v>
      </x:c>
      <x:c r="B9960" s="18" t="n">
        <x:v>42352</x:v>
      </x:c>
      <x:c r="C9960" t="str">
        <x:v>DB-12970</x:v>
      </x:c>
      <x:c r="D9960" t="str">
        <x:v>Darren Budd</x:v>
      </x:c>
      <x:c r="E9960" t="str">
        <x:v>Corporate</x:v>
      </x:c>
      <x:c r="F9960" t="str">
        <x:v>West</x:v>
      </x:c>
      <x:c r="G9960" t="str">
        <x:v>Furniture</x:v>
      </x:c>
      <x:c r="H9960" t="str">
        <x:v>Tables</x:v>
      </x:c>
      <x:c r="I9960" s="22" t="n">
        <x:v>273.568</x:v>
      </x:c>
      <x:c r="J9960" s="24" t="n">
        <x:v>2</x:v>
      </x:c>
      <x:c r="K9960" s="26" t="n">
        <x:v>0.2</x:v>
      </x:c>
      <x:c r="L9960" s="22" t="n">
        <x:v>10.258800000000008</x:v>
      </x:c>
      <x:c r="M9960" t="n">
        <x:v>2015</x:v>
      </x:c>
      <x:c r="N9960" s="20" t="n">
        <x:v>42339</x:v>
      </x:c>
    </x:row>
    <x:row r="9961" ht="18" customHeight="1">
      <x:c r="A9961" t="str">
        <x:v>US-2014-143287</x:v>
      </x:c>
      <x:c r="B9961" s="18" t="n">
        <x:v>41954</x:v>
      </x:c>
      <x:c r="C9961" t="str">
        <x:v>KN-16705</x:v>
      </x:c>
      <x:c r="D9961" t="str">
        <x:v>Kristina Nunn</x:v>
      </x:c>
      <x:c r="E9961" t="str">
        <x:v>Home Office</x:v>
      </x:c>
      <x:c r="F9961" t="str">
        <x:v>East</x:v>
      </x:c>
      <x:c r="G9961" t="str">
        <x:v>Office Supplies</x:v>
      </x:c>
      <x:c r="H9961" t="str">
        <x:v>Paper</x:v>
      </x:c>
      <x:c r="I9961" s="22" t="n">
        <x:v>46.349999999999994</x:v>
      </x:c>
      <x:c r="J9961" s="24" t="n">
        <x:v>5</x:v>
      </x:c>
      <x:c r="K9961" s="26" t="n">
        <x:v>0</x:v>
      </x:c>
      <x:c r="L9961" s="22" t="n">
        <x:v>21.784499999999998</x:v>
      </x:c>
      <x:c r="M9961" t="n">
        <x:v>2014</x:v>
      </x:c>
      <x:c r="N9961" s="20" t="n">
        <x:v>41944</x:v>
      </x:c>
    </x:row>
    <x:row r="9962" ht="18" customHeight="1">
      <x:c r="A9962" t="str">
        <x:v>US-2014-143287</x:v>
      </x:c>
      <x:c r="B9962" s="18" t="n">
        <x:v>41954</x:v>
      </x:c>
      <x:c r="C9962" t="str">
        <x:v>KN-16705</x:v>
      </x:c>
      <x:c r="D9962" t="str">
        <x:v>Kristina Nunn</x:v>
      </x:c>
      <x:c r="E9962" t="str">
        <x:v>Home Office</x:v>
      </x:c>
      <x:c r="F9962" t="str">
        <x:v>East</x:v>
      </x:c>
      <x:c r="G9962" t="str">
        <x:v>Office Supplies</x:v>
      </x:c>
      <x:c r="H9962" t="str">
        <x:v>Paper</x:v>
      </x:c>
      <x:c r="I9962" s="22" t="n">
        <x:v>223.92</x:v>
      </x:c>
      <x:c r="J9962" s="24" t="n">
        <x:v>4</x:v>
      </x:c>
      <x:c r="K9962" s="26" t="n">
        <x:v>0</x:v>
      </x:c>
      <x:c r="L9962" s="22" t="n">
        <x:v>109.7208</x:v>
      </x:c>
      <x:c r="M9962" t="n">
        <x:v>2014</x:v>
      </x:c>
      <x:c r="N9962" s="20" t="n">
        <x:v>41944</x:v>
      </x:c>
    </x:row>
    <x:row r="9963" ht="18" customHeight="1">
      <x:c r="A9963" t="str">
        <x:v>US-2014-143287</x:v>
      </x:c>
      <x:c r="B9963" s="18" t="n">
        <x:v>41954</x:v>
      </x:c>
      <x:c r="C9963" t="str">
        <x:v>KN-16705</x:v>
      </x:c>
      <x:c r="D9963" t="str">
        <x:v>Kristina Nunn</x:v>
      </x:c>
      <x:c r="E9963" t="str">
        <x:v>Home Office</x:v>
      </x:c>
      <x:c r="F9963" t="str">
        <x:v>East</x:v>
      </x:c>
      <x:c r="G9963" t="str">
        <x:v>Office Supplies</x:v>
      </x:c>
      <x:c r="H9963" t="str">
        <x:v>Supplies</x:v>
      </x:c>
      <x:c r="I9963" s="22" t="n">
        <x:v>7.3</x:v>
      </x:c>
      <x:c r="J9963" s="24" t="n">
        <x:v>2</x:v>
      </x:c>
      <x:c r="K9963" s="26" t="n">
        <x:v>0</x:v>
      </x:c>
      <x:c r="L9963" s="22" t="n">
        <x:v>2.1899999999999995</x:v>
      </x:c>
      <x:c r="M9963" t="n">
        <x:v>2014</x:v>
      </x:c>
      <x:c r="N9963" s="20" t="n">
        <x:v>41944</x:v>
      </x:c>
    </x:row>
    <x:row r="9964" ht="18" customHeight="1">
      <x:c r="A9964" t="str">
        <x:v>CA-2017-137421</x:v>
      </x:c>
      <x:c r="B9964" s="18" t="n">
        <x:v>43014</x:v>
      </x:c>
      <x:c r="C9964" t="str">
        <x:v>AJ-10945</x:v>
      </x:c>
      <x:c r="D9964" t="str">
        <x:v>Ashley Jarboe</x:v>
      </x:c>
      <x:c r="E9964" t="str">
        <x:v>Consumer</x:v>
      </x:c>
      <x:c r="F9964" t="str">
        <x:v>West</x:v>
      </x:c>
      <x:c r="G9964" t="str">
        <x:v>Office Supplies</x:v>
      </x:c>
      <x:c r="H9964" t="str">
        <x:v>Art</x:v>
      </x:c>
      <x:c r="I9964" s="22" t="n">
        <x:v>9.344</x:v>
      </x:c>
      <x:c r="J9964" s="24" t="n">
        <x:v>2</x:v>
      </x:c>
      <x:c r="K9964" s="26" t="n">
        <x:v>0.2</x:v>
      </x:c>
      <x:c r="L9964" s="22" t="n">
        <x:v>1.8687999999999998</x:v>
      </x:c>
      <x:c r="M9964" t="n">
        <x:v>2017</x:v>
      </x:c>
      <x:c r="N9964" s="20" t="n">
        <x:v>43009</x:v>
      </x:c>
    </x:row>
    <x:row r="9965" ht="18" customHeight="1">
      <x:c r="A9965" t="str">
        <x:v>CA-2017-141446</x:v>
      </x:c>
      <x:c r="B9965" s="18" t="n">
        <x:v>42994</x:v>
      </x:c>
      <x:c r="C9965" t="str">
        <x:v>CL-12700</x:v>
      </x:c>
      <x:c r="D9965" t="str">
        <x:v>Craig Leslie</x:v>
      </x:c>
      <x:c r="E9965" t="str">
        <x:v>Home Office</x:v>
      </x:c>
      <x:c r="F9965" t="str">
        <x:v>South</x:v>
      </x:c>
      <x:c r="G9965" t="str">
        <x:v>Technology</x:v>
      </x:c>
      <x:c r="H9965" t="str">
        <x:v>Accessories</x:v>
      </x:c>
      <x:c r="I9965" s="22" t="n">
        <x:v>18</x:v>
      </x:c>
      <x:c r="J9965" s="24" t="n">
        <x:v>1</x:v>
      </x:c>
      <x:c r="K9965" s="26" t="n">
        <x:v>0</x:v>
      </x:c>
      <x:c r="L9965" s="22" t="n">
        <x:v>3.2399999999999984</x:v>
      </x:c>
      <x:c r="M9965" t="n">
        <x:v>2017</x:v>
      </x:c>
      <x:c r="N9965" s="20" t="n">
        <x:v>42979</x:v>
      </x:c>
    </x:row>
    <x:row r="9966" ht="18" customHeight="1">
      <x:c r="A9966" t="str">
        <x:v>CA-2015-168088</x:v>
      </x:c>
      <x:c r="B9966" s="18" t="n">
        <x:v>42082</x:v>
      </x:c>
      <x:c r="C9966" t="str">
        <x:v>CM-12655</x:v>
      </x:c>
      <x:c r="D9966" t="str">
        <x:v>Corinna Mitchell</x:v>
      </x:c>
      <x:c r="E9966" t="str">
        <x:v>Home Office</x:v>
      </x:c>
      <x:c r="F9966" t="str">
        <x:v>Central</x:v>
      </x:c>
      <x:c r="G9966" t="str">
        <x:v>Office Supplies</x:v>
      </x:c>
      <x:c r="H9966" t="str">
        <x:v>Paper</x:v>
      </x:c>
      <x:c r="I9966" s="22" t="n">
        <x:v>65.584</x:v>
      </x:c>
      <x:c r="J9966" s="24" t="n">
        <x:v>2</x:v>
      </x:c>
      <x:c r="K9966" s="26" t="n">
        <x:v>0.2</x:v>
      </x:c>
      <x:c r="L9966" s="22" t="n">
        <x:v>23.7742</x:v>
      </x:c>
      <x:c r="M9966" t="n">
        <x:v>2015</x:v>
      </x:c>
      <x:c r="N9966" s="20" t="n">
        <x:v>42064</x:v>
      </x:c>
    </x:row>
    <x:row r="9967" ht="18" customHeight="1">
      <x:c r="A9967" t="str">
        <x:v>CA-2015-168088</x:v>
      </x:c>
      <x:c r="B9967" s="18" t="n">
        <x:v>42082</x:v>
      </x:c>
      <x:c r="C9967" t="str">
        <x:v>CM-12655</x:v>
      </x:c>
      <x:c r="D9967" t="str">
        <x:v>Corinna Mitchell</x:v>
      </x:c>
      <x:c r="E9967" t="str">
        <x:v>Home Office</x:v>
      </x:c>
      <x:c r="F9967" t="str">
        <x:v>Central</x:v>
      </x:c>
      <x:c r="G9967" t="str">
        <x:v>Furniture</x:v>
      </x:c>
      <x:c r="H9967" t="str">
        <x:v>Bookcases</x:v>
      </x:c>
      <x:c r="I9967" s="22" t="n">
        <x:v>383.46559999999994</x:v>
      </x:c>
      <x:c r="J9967" s="24" t="n">
        <x:v>4</x:v>
      </x:c>
      <x:c r="K9967" s="26" t="n">
        <x:v>0.32</x:v>
      </x:c>
      <x:c r="L9967" s="22" t="n">
        <x:v>-67.6704</x:v>
      </x:c>
      <x:c r="M9967" t="n">
        <x:v>2015</x:v>
      </x:c>
      <x:c r="N9967" s="20" t="n">
        <x:v>42064</x:v>
      </x:c>
    </x:row>
    <x:row r="9968" ht="18" customHeight="1">
      <x:c r="A9968" t="str">
        <x:v>CA-2015-143700</x:v>
      </x:c>
      <x:c r="B9968" s="18" t="n">
        <x:v>42211</x:v>
      </x:c>
      <x:c r="C9968" t="str">
        <x:v>AS-10240</x:v>
      </x:c>
      <x:c r="D9968" t="str">
        <x:v>Alan Shonely</x:v>
      </x:c>
      <x:c r="E9968" t="str">
        <x:v>Consumer</x:v>
      </x:c>
      <x:c r="F9968" t="str">
        <x:v>East</x:v>
      </x:c>
      <x:c r="G9968" t="str">
        <x:v>Office Supplies</x:v>
      </x:c>
      <x:c r="H9968" t="str">
        <x:v>Paper</x:v>
      </x:c>
      <x:c r="I9968" s="22" t="n">
        <x:v>10.368000000000002</x:v>
      </x:c>
      <x:c r="J9968" s="24" t="n">
        <x:v>2</x:v>
      </x:c>
      <x:c r="K9968" s="26" t="n">
        <x:v>0.2</x:v>
      </x:c>
      <x:c r="L9968" s="22" t="n">
        <x:v>3.6288</x:v>
      </x:c>
      <x:c r="M9968" t="n">
        <x:v>2015</x:v>
      </x:c>
      <x:c r="N9968" s="20" t="n">
        <x:v>42186</x:v>
      </x:c>
    </x:row>
    <x:row r="9969" ht="18" customHeight="1">
      <x:c r="A9969" t="str">
        <x:v>CA-2016-146374</x:v>
      </x:c>
      <x:c r="B9969" s="18" t="n">
        <x:v>42709</x:v>
      </x:c>
      <x:c r="C9969" t="str">
        <x:v>HE-14800</x:v>
      </x:c>
      <x:c r="D9969" t="str">
        <x:v>Harold Engle</x:v>
      </x:c>
      <x:c r="E9969" t="str">
        <x:v>Corporate</x:v>
      </x:c>
      <x:c r="F9969" t="str">
        <x:v>East</x:v>
      </x:c>
      <x:c r="G9969" t="str">
        <x:v>Furniture</x:v>
      </x:c>
      <x:c r="H9969" t="str">
        <x:v>Furnishings</x:v>
      </x:c>
      <x:c r="I9969" s="22" t="n">
        <x:v>13.4</x:v>
      </x:c>
      <x:c r="J9969" s="24" t="n">
        <x:v>1</x:v>
      </x:c>
      <x:c r="K9969" s="26" t="n">
        <x:v>0</x:v>
      </x:c>
      <x:c r="L9969" s="22" t="n">
        <x:v>6.4319999999999995</x:v>
      </x:c>
      <x:c r="M9969" t="n">
        <x:v>2016</x:v>
      </x:c>
      <x:c r="N9969" s="20" t="n">
        <x:v>42705</x:v>
      </x:c>
    </x:row>
    <x:row r="9970" ht="18" customHeight="1">
      <x:c r="A9970" t="str">
        <x:v>CA-2016-146374</x:v>
      </x:c>
      <x:c r="B9970" s="18" t="n">
        <x:v>42709</x:v>
      </x:c>
      <x:c r="C9970" t="str">
        <x:v>HE-14800</x:v>
      </x:c>
      <x:c r="D9970" t="str">
        <x:v>Harold Engle</x:v>
      </x:c>
      <x:c r="E9970" t="str">
        <x:v>Corporate</x:v>
      </x:c>
      <x:c r="F9970" t="str">
        <x:v>East</x:v>
      </x:c>
      <x:c r="G9970" t="str">
        <x:v>Office Supplies</x:v>
      </x:c>
      <x:c r="H9970" t="str">
        <x:v>Paper</x:v>
      </x:c>
      <x:c r="I9970" s="22" t="n">
        <x:v>4.98</x:v>
      </x:c>
      <x:c r="J9970" s="24" t="n">
        <x:v>1</x:v>
      </x:c>
      <x:c r="K9970" s="26" t="n">
        <x:v>0</x:v>
      </x:c>
      <x:c r="L9970" s="22" t="n">
        <x:v>2.3406000000000002</x:v>
      </x:c>
      <x:c r="M9970" t="n">
        <x:v>2016</x:v>
      </x:c>
      <x:c r="N9970" s="20" t="n">
        <x:v>42705</x:v>
      </x:c>
    </x:row>
    <x:row r="9971" ht="18" customHeight="1">
      <x:c r="A9971" t="str">
        <x:v>CA-2016-146374</x:v>
      </x:c>
      <x:c r="B9971" s="18" t="n">
        <x:v>42709</x:v>
      </x:c>
      <x:c r="C9971" t="str">
        <x:v>HE-14800</x:v>
      </x:c>
      <x:c r="D9971" t="str">
        <x:v>Harold Engle</x:v>
      </x:c>
      <x:c r="E9971" t="str">
        <x:v>Corporate</x:v>
      </x:c>
      <x:c r="F9971" t="str">
        <x:v>East</x:v>
      </x:c>
      <x:c r="G9971" t="str">
        <x:v>Office Supplies</x:v>
      </x:c>
      <x:c r="H9971" t="str">
        <x:v>Envelopes</x:v>
      </x:c>
      <x:c r="I9971" s="22" t="n">
        <x:v>109.69</x:v>
      </x:c>
      <x:c r="J9971" s="24" t="n">
        <x:v>7</x:v>
      </x:c>
      <x:c r="K9971" s="26" t="n">
        <x:v>0</x:v>
      </x:c>
      <x:c r="L9971" s="22" t="n">
        <x:v>51.55429999999999</x:v>
      </x:c>
      <x:c r="M9971" t="n">
        <x:v>2016</x:v>
      </x:c>
      <x:c r="N9971" s="20" t="n">
        <x:v>42705</x:v>
      </x:c>
    </x:row>
    <x:row r="9972" ht="18" customHeight="1">
      <x:c r="A9972" t="str">
        <x:v>CA-2017-153871</x:v>
      </x:c>
      <x:c r="B9972" s="18" t="n">
        <x:v>43080</x:v>
      </x:c>
      <x:c r="C9972" t="str">
        <x:v>RB-19435</x:v>
      </x:c>
      <x:c r="D9972" t="str">
        <x:v>Richard Bierner</x:v>
      </x:c>
      <x:c r="E9972" t="str">
        <x:v>Consumer</x:v>
      </x:c>
      <x:c r="F9972" t="str">
        <x:v>East</x:v>
      </x:c>
      <x:c r="G9972" t="str">
        <x:v>Office Supplies</x:v>
      </x:c>
      <x:c r="H9972" t="str">
        <x:v>Binders</x:v>
      </x:c>
      <x:c r="I9972" s="22" t="n">
        <x:v>40.199999999999996</x:v>
      </x:c>
      <x:c r="J9972" s="24" t="n">
        <x:v>5</x:v>
      </x:c>
      <x:c r="K9972" s="26" t="n">
        <x:v>0</x:v>
      </x:c>
      <x:c r="L9972" s="22" t="n">
        <x:v>18.089999999999996</x:v>
      </x:c>
      <x:c r="M9972" t="n">
        <x:v>2017</x:v>
      </x:c>
      <x:c r="N9972" s="20" t="n">
        <x:v>43070</x:v>
      </x:c>
    </x:row>
    <x:row r="9973" ht="18" customHeight="1">
      <x:c r="A9973" t="str">
        <x:v>CA-2017-153871</x:v>
      </x:c>
      <x:c r="B9973" s="18" t="n">
        <x:v>43080</x:v>
      </x:c>
      <x:c r="C9973" t="str">
        <x:v>RB-19435</x:v>
      </x:c>
      <x:c r="D9973" t="str">
        <x:v>Richard Bierner</x:v>
      </x:c>
      <x:c r="E9973" t="str">
        <x:v>Consumer</x:v>
      </x:c>
      <x:c r="F9973" t="str">
        <x:v>East</x:v>
      </x:c>
      <x:c r="G9973" t="str">
        <x:v>Office Supplies</x:v>
      </x:c>
      <x:c r="H9973" t="str">
        <x:v>Binders</x:v>
      </x:c>
      <x:c r="I9973" s="22" t="n">
        <x:v>735.98</x:v>
      </x:c>
      <x:c r="J9973" s="24" t="n">
        <x:v>2</x:v>
      </x:c>
      <x:c r="K9973" s="26" t="n">
        <x:v>0</x:v>
      </x:c>
      <x:c r="L9973" s="22" t="n">
        <x:v>331.191</x:v>
      </x:c>
      <x:c r="M9973" t="n">
        <x:v>2017</x:v>
      </x:c>
      <x:c r="N9973" s="20" t="n">
        <x:v>43070</x:v>
      </x:c>
    </x:row>
    <x:row r="9974" ht="18" customHeight="1">
      <x:c r="A9974" t="str">
        <x:v>CA-2017-153871</x:v>
      </x:c>
      <x:c r="B9974" s="18" t="n">
        <x:v>43080</x:v>
      </x:c>
      <x:c r="C9974" t="str">
        <x:v>RB-19435</x:v>
      </x:c>
      <x:c r="D9974" t="str">
        <x:v>Richard Bierner</x:v>
      </x:c>
      <x:c r="E9974" t="str">
        <x:v>Consumer</x:v>
      </x:c>
      <x:c r="F9974" t="str">
        <x:v>East</x:v>
      </x:c>
      <x:c r="G9974" t="str">
        <x:v>Office Supplies</x:v>
      </x:c>
      <x:c r="H9974" t="str">
        <x:v>Appliances</x:v>
      </x:c>
      <x:c r="I9974" s="22" t="n">
        <x:v>22.75</x:v>
      </x:c>
      <x:c r="J9974" s="24" t="n">
        <x:v>7</x:v>
      </x:c>
      <x:c r="K9974" s="26" t="n">
        <x:v>0</x:v>
      </x:c>
      <x:c r="L9974" s="22" t="n">
        <x:v>6.597499999999999</x:v>
      </x:c>
      <x:c r="M9974" t="n">
        <x:v>2017</x:v>
      </x:c>
      <x:c r="N9974" s="20" t="n">
        <x:v>43070</x:v>
      </x:c>
    </x:row>
    <x:row r="9975" ht="18" customHeight="1">
      <x:c r="A9975" t="str">
        <x:v>CA-2015-103772</x:v>
      </x:c>
      <x:c r="B9975" s="18" t="n">
        <x:v>42183</x:v>
      </x:c>
      <x:c r="C9975" t="str">
        <x:v>MP-17470</x:v>
      </x:c>
      <x:c r="D9975" t="str">
        <x:v>Mark Packer</x:v>
      </x:c>
      <x:c r="E9975" t="str">
        <x:v>Home Office</x:v>
      </x:c>
      <x:c r="F9975" t="str">
        <x:v>South</x:v>
      </x:c>
      <x:c r="G9975" t="str">
        <x:v>Office Supplies</x:v>
      </x:c>
      <x:c r="H9975" t="str">
        <x:v>Binders</x:v>
      </x:c>
      <x:c r="I9975" s="22" t="n">
        <x:v>119.56</x:v>
      </x:c>
      <x:c r="J9975" s="24" t="n">
        <x:v>2</x:v>
      </x:c>
      <x:c r="K9975" s="26" t="n">
        <x:v>0</x:v>
      </x:c>
      <x:c r="L9975" s="22" t="n">
        <x:v>54.99759999999999</x:v>
      </x:c>
      <x:c r="M9975" t="n">
        <x:v>2015</x:v>
      </x:c>
      <x:c r="N9975" s="20" t="n">
        <x:v>42156</x:v>
      </x:c>
    </x:row>
    <x:row r="9976" ht="18" customHeight="1">
      <x:c r="A9976" t="str">
        <x:v>CA-2015-103772</x:v>
      </x:c>
      <x:c r="B9976" s="18" t="n">
        <x:v>42183</x:v>
      </x:c>
      <x:c r="C9976" t="str">
        <x:v>MP-17470</x:v>
      </x:c>
      <x:c r="D9976" t="str">
        <x:v>Mark Packer</x:v>
      </x:c>
      <x:c r="E9976" t="str">
        <x:v>Home Office</x:v>
      </x:c>
      <x:c r="F9976" t="str">
        <x:v>South</x:v>
      </x:c>
      <x:c r="G9976" t="str">
        <x:v>Office Supplies</x:v>
      </x:c>
      <x:c r="H9976" t="str">
        <x:v>Art</x:v>
      </x:c>
      <x:c r="I9976" s="22" t="n">
        <x:v>140.75</x:v>
      </x:c>
      <x:c r="J9976" s="24" t="n">
        <x:v>5</x:v>
      </x:c>
      <x:c r="K9976" s="26" t="n">
        <x:v>0</x:v>
      </x:c>
      <x:c r="L9976" s="22" t="n">
        <x:v>42.22499999999998</x:v>
      </x:c>
      <x:c r="M9976" t="n">
        <x:v>2015</x:v>
      </x:c>
      <x:c r="N9976" s="20" t="n">
        <x:v>42156</x:v>
      </x:c>
    </x:row>
    <x:row r="9977" ht="18" customHeight="1">
      <x:c r="A9977" t="str">
        <x:v>CA-2016-130225</x:v>
      </x:c>
      <x:c r="B9977" s="18" t="n">
        <x:v>42624</x:v>
      </x:c>
      <x:c r="C9977" t="str">
        <x:v>RC-19960</x:v>
      </x:c>
      <x:c r="D9977" t="str">
        <x:v>Ryan Crowe</x:v>
      </x:c>
      <x:c r="E9977" t="str">
        <x:v>Consumer</x:v>
      </x:c>
      <x:c r="F9977" t="str">
        <x:v>Central</x:v>
      </x:c>
      <x:c r="G9977" t="str">
        <x:v>Office Supplies</x:v>
      </x:c>
      <x:c r="H9977" t="str">
        <x:v>Envelopes</x:v>
      </x:c>
      <x:c r="I9977" s="22" t="n">
        <x:v>99.568</x:v>
      </x:c>
      <x:c r="J9977" s="24" t="n">
        <x:v>2</x:v>
      </x:c>
      <x:c r="K9977" s="26" t="n">
        <x:v>0.2</x:v>
      </x:c>
      <x:c r="L9977" s="22" t="n">
        <x:v>33.60419999999999</x:v>
      </x:c>
      <x:c r="M9977" t="n">
        <x:v>2016</x:v>
      </x:c>
      <x:c r="N9977" s="20" t="n">
        <x:v>42614</x:v>
      </x:c>
    </x:row>
    <x:row r="9978" ht="18" customHeight="1">
      <x:c r="A9978" t="str">
        <x:v>US-2016-103674</x:v>
      </x:c>
      <x:c r="B9978" s="18" t="n">
        <x:v>42710</x:v>
      </x:c>
      <x:c r="C9978" t="str">
        <x:v>AP-10720</x:v>
      </x:c>
      <x:c r="D9978" t="str">
        <x:v>Anne Pryor</x:v>
      </x:c>
      <x:c r="E9978" t="str">
        <x:v>Home Office</x:v>
      </x:c>
      <x:c r="F9978" t="str">
        <x:v>West</x:v>
      </x:c>
      <x:c r="G9978" t="str">
        <x:v>Technology</x:v>
      </x:c>
      <x:c r="H9978" t="str">
        <x:v>Phones</x:v>
      </x:c>
      <x:c r="I9978" s="22" t="n">
        <x:v>271.96</x:v>
      </x:c>
      <x:c r="J9978" s="24" t="n">
        <x:v>5</x:v>
      </x:c>
      <x:c r="K9978" s="26" t="n">
        <x:v>0.2</x:v>
      </x:c>
      <x:c r="L9978" s="22" t="n">
        <x:v>27.195999999999998</x:v>
      </x:c>
      <x:c r="M9978" t="n">
        <x:v>2016</x:v>
      </x:c>
      <x:c r="N9978" s="20" t="n">
        <x:v>42705</x:v>
      </x:c>
    </x:row>
    <x:row r="9979" ht="18" customHeight="1">
      <x:c r="A9979" t="str">
        <x:v>US-2016-103674</x:v>
      </x:c>
      <x:c r="B9979" s="18" t="n">
        <x:v>42710</x:v>
      </x:c>
      <x:c r="C9979" t="str">
        <x:v>AP-10720</x:v>
      </x:c>
      <x:c r="D9979" t="str">
        <x:v>Anne Pryor</x:v>
      </x:c>
      <x:c r="E9979" t="str">
        <x:v>Home Office</x:v>
      </x:c>
      <x:c r="F9979" t="str">
        <x:v>West</x:v>
      </x:c>
      <x:c r="G9979" t="str">
        <x:v>Office Supplies</x:v>
      </x:c>
      <x:c r="H9979" t="str">
        <x:v>Art</x:v>
      </x:c>
      <x:c r="I9979" s="22" t="n">
        <x:v>18.689999999999998</x:v>
      </x:c>
      <x:c r="J9979" s="24" t="n">
        <x:v>7</x:v>
      </x:c>
      <x:c r="K9979" s="26" t="n">
        <x:v>0</x:v>
      </x:c>
      <x:c r="L9979" s="22" t="n">
        <x:v>5.2332</x:v>
      </x:c>
      <x:c r="M9979" t="n">
        <x:v>2016</x:v>
      </x:c>
      <x:c r="N9979" s="20" t="n">
        <x:v>42705</x:v>
      </x:c>
    </x:row>
    <x:row r="9980" ht="18" customHeight="1">
      <x:c r="A9980" t="str">
        <x:v>US-2016-103674</x:v>
      </x:c>
      <x:c r="B9980" s="18" t="n">
        <x:v>42710</x:v>
      </x:c>
      <x:c r="C9980" t="str">
        <x:v>AP-10720</x:v>
      </x:c>
      <x:c r="D9980" t="str">
        <x:v>Anne Pryor</x:v>
      </x:c>
      <x:c r="E9980" t="str">
        <x:v>Home Office</x:v>
      </x:c>
      <x:c r="F9980" t="str">
        <x:v>West</x:v>
      </x:c>
      <x:c r="G9980" t="str">
        <x:v>Office Supplies</x:v>
      </x:c>
      <x:c r="H9980" t="str">
        <x:v>Paper</x:v>
      </x:c>
      <x:c r="I9980" s="22" t="n">
        <x:v>13.36</x:v>
      </x:c>
      <x:c r="J9980" s="24" t="n">
        <x:v>2</x:v>
      </x:c>
      <x:c r="K9980" s="26" t="n">
        <x:v>0</x:v>
      </x:c>
      <x:c r="L9980" s="22" t="n">
        <x:v>6.4128</x:v>
      </x:c>
      <x:c r="M9980" t="n">
        <x:v>2016</x:v>
      </x:c>
      <x:c r="N9980" s="20" t="n">
        <x:v>42705</x:v>
      </x:c>
    </x:row>
    <x:row r="9981" ht="18" customHeight="1">
      <x:c r="A9981" t="str">
        <x:v>US-2016-103674</x:v>
      </x:c>
      <x:c r="B9981" s="18" t="n">
        <x:v>42710</x:v>
      </x:c>
      <x:c r="C9981" t="str">
        <x:v>AP-10720</x:v>
      </x:c>
      <x:c r="D9981" t="str">
        <x:v>Anne Pryor</x:v>
      </x:c>
      <x:c r="E9981" t="str">
        <x:v>Home Office</x:v>
      </x:c>
      <x:c r="F9981" t="str">
        <x:v>West</x:v>
      </x:c>
      <x:c r="G9981" t="str">
        <x:v>Technology</x:v>
      </x:c>
      <x:c r="H9981" t="str">
        <x:v>Phones</x:v>
      </x:c>
      <x:c r="I9981" s="22" t="n">
        <x:v>249.58400000000003</x:v>
      </x:c>
      <x:c r="J9981" s="24" t="n">
        <x:v>2</x:v>
      </x:c>
      <x:c r="K9981" s="26" t="n">
        <x:v>0.2</x:v>
      </x:c>
      <x:c r="L9981" s="22" t="n">
        <x:v>31.197999999999986</x:v>
      </x:c>
      <x:c r="M9981" t="n">
        <x:v>2016</x:v>
      </x:c>
      <x:c r="N9981" s="20" t="n">
        <x:v>42705</x:v>
      </x:c>
    </x:row>
    <x:row r="9982" ht="18" customHeight="1">
      <x:c r="A9982" t="str">
        <x:v>US-2016-103674</x:v>
      </x:c>
      <x:c r="B9982" s="18" t="n">
        <x:v>42710</x:v>
      </x:c>
      <x:c r="C9982" t="str">
        <x:v>AP-10720</x:v>
      </x:c>
      <x:c r="D9982" t="str">
        <x:v>Anne Pryor</x:v>
      </x:c>
      <x:c r="E9982" t="str">
        <x:v>Home Office</x:v>
      </x:c>
      <x:c r="F9982" t="str">
        <x:v>West</x:v>
      </x:c>
      <x:c r="G9982" t="str">
        <x:v>Office Supplies</x:v>
      </x:c>
      <x:c r="H9982" t="str">
        <x:v>Fasteners</x:v>
      </x:c>
      <x:c r="I9982" s="22" t="n">
        <x:v>13.86</x:v>
      </x:c>
      <x:c r="J9982" s="24" t="n">
        <x:v>7</x:v>
      </x:c>
      <x:c r="K9982" s="26" t="n">
        <x:v>0</x:v>
      </x:c>
      <x:c r="L9982" s="22" t="n">
        <x:v>0</x:v>
      </x:c>
      <x:c r="M9982" t="n">
        <x:v>2016</x:v>
      </x:c>
      <x:c r="N9982" s="20" t="n">
        <x:v>42705</x:v>
      </x:c>
    </x:row>
    <x:row r="9983" ht="18" customHeight="1">
      <x:c r="A9983" t="str">
        <x:v>US-2016-103674</x:v>
      </x:c>
      <x:c r="B9983" s="18" t="n">
        <x:v>42710</x:v>
      </x:c>
      <x:c r="C9983" t="str">
        <x:v>AP-10720</x:v>
      </x:c>
      <x:c r="D9983" t="str">
        <x:v>Anne Pryor</x:v>
      </x:c>
      <x:c r="E9983" t="str">
        <x:v>Home Office</x:v>
      </x:c>
      <x:c r="F9983" t="str">
        <x:v>West</x:v>
      </x:c>
      <x:c r="G9983" t="str">
        <x:v>Office Supplies</x:v>
      </x:c>
      <x:c r="H9983" t="str">
        <x:v>Binders</x:v>
      </x:c>
      <x:c r="I9983" s="22" t="n">
        <x:v>13.376</x:v>
      </x:c>
      <x:c r="J9983" s="24" t="n">
        <x:v>4</x:v>
      </x:c>
      <x:c r="K9983" s="26" t="n">
        <x:v>0.2</x:v>
      </x:c>
      <x:c r="L9983" s="22" t="n">
        <x:v>4.6815999999999995</x:v>
      </x:c>
      <x:c r="M9983" t="n">
        <x:v>2016</x:v>
      </x:c>
      <x:c r="N9983" s="20" t="n">
        <x:v>42705</x:v>
      </x:c>
    </x:row>
    <x:row r="9984" ht="18" customHeight="1">
      <x:c r="A9984" t="str">
        <x:v>US-2016-103674</x:v>
      </x:c>
      <x:c r="B9984" s="18" t="n">
        <x:v>42710</x:v>
      </x:c>
      <x:c r="C9984" t="str">
        <x:v>AP-10720</x:v>
      </x:c>
      <x:c r="D9984" t="str">
        <x:v>Anne Pryor</x:v>
      </x:c>
      <x:c r="E9984" t="str">
        <x:v>Home Office</x:v>
      </x:c>
      <x:c r="F9984" t="str">
        <x:v>West</x:v>
      </x:c>
      <x:c r="G9984" t="str">
        <x:v>Office Supplies</x:v>
      </x:c>
      <x:c r="H9984" t="str">
        <x:v>Binders</x:v>
      </x:c>
      <x:c r="I9984" s="22" t="n">
        <x:v>437.4720000000001</x:v>
      </x:c>
      <x:c r="J9984" s="24" t="n">
        <x:v>14</x:v>
      </x:c>
      <x:c r="K9984" s="26" t="n">
        <x:v>0.2</x:v>
      </x:c>
      <x:c r="L9984" s="22" t="n">
        <x:v>153.1152</x:v>
      </x:c>
      <x:c r="M9984" t="n">
        <x:v>2016</x:v>
      </x:c>
      <x:c r="N9984" s="20" t="n">
        <x:v>42705</x:v>
      </x:c>
    </x:row>
    <x:row r="9985" ht="18" customHeight="1">
      <x:c r="A9985" t="str">
        <x:v>US-2015-151435</x:v>
      </x:c>
      <x:c r="B9985" s="18" t="n">
        <x:v>42253</x:v>
      </x:c>
      <x:c r="C9985" t="str">
        <x:v>SW-20455</x:v>
      </x:c>
      <x:c r="D9985" t="str">
        <x:v>Shaun Weien</x:v>
      </x:c>
      <x:c r="E9985" t="str">
        <x:v>Consumer</x:v>
      </x:c>
      <x:c r="F9985" t="str">
        <x:v>South</x:v>
      </x:c>
      <x:c r="G9985" t="str">
        <x:v>Furniture</x:v>
      </x:c>
      <x:c r="H9985" t="str">
        <x:v>Tables</x:v>
      </x:c>
      <x:c r="I9985" s="22" t="n">
        <x:v>85.98</x:v>
      </x:c>
      <x:c r="J9985" s="24" t="n">
        <x:v>1</x:v>
      </x:c>
      <x:c r="K9985" s="26" t="n">
        <x:v>0</x:v>
      </x:c>
      <x:c r="L9985" s="22" t="n">
        <x:v>22.354800000000004</x:v>
      </x:c>
      <x:c r="M9985" t="n">
        <x:v>2015</x:v>
      </x:c>
      <x:c r="N9985" s="20" t="n">
        <x:v>42248</x:v>
      </x:c>
    </x:row>
    <x:row r="9986" ht="18" customHeight="1">
      <x:c r="A9986" t="str">
        <x:v>CA-2017-163566</x:v>
      </x:c>
      <x:c r="B9986" s="18" t="n">
        <x:v>42950</x:v>
      </x:c>
      <x:c r="C9986" t="str">
        <x:v>TB-21055</x:v>
      </x:c>
      <x:c r="D9986" t="str">
        <x:v>Ted Butterfield</x:v>
      </x:c>
      <x:c r="E9986" t="str">
        <x:v>Consumer</x:v>
      </x:c>
      <x:c r="F9986" t="str">
        <x:v>East</x:v>
      </x:c>
      <x:c r="G9986" t="str">
        <x:v>Office Supplies</x:v>
      </x:c>
      <x:c r="H9986" t="str">
        <x:v>Labels</x:v>
      </x:c>
      <x:c r="I9986" s="22" t="n">
        <x:v>16.520000000000003</x:v>
      </x:c>
      <x:c r="J9986" s="24" t="n">
        <x:v>5</x:v>
      </x:c>
      <x:c r="K9986" s="26" t="n">
        <x:v>0.2</x:v>
      </x:c>
      <x:c r="L9986" s="22" t="n">
        <x:v>5.368999999999998</x:v>
      </x:c>
      <x:c r="M9986" t="n">
        <x:v>2017</x:v>
      </x:c>
      <x:c r="N9986" s="20" t="n">
        <x:v>42948</x:v>
      </x:c>
    </x:row>
    <x:row r="9987" ht="18" customHeight="1">
      <x:c r="A9987" t="str">
        <x:v>US-2016-157728</x:v>
      </x:c>
      <x:c r="B9987" s="18" t="n">
        <x:v>42635</x:v>
      </x:c>
      <x:c r="C9987" t="str">
        <x:v>RC-19960</x:v>
      </x:c>
      <x:c r="D9987" t="str">
        <x:v>Ryan Crowe</x:v>
      </x:c>
      <x:c r="E9987" t="str">
        <x:v>Consumer</x:v>
      </x:c>
      <x:c r="F9987" t="str">
        <x:v>Central</x:v>
      </x:c>
      <x:c r="G9987" t="str">
        <x:v>Office Supplies</x:v>
      </x:c>
      <x:c r="H9987" t="str">
        <x:v>Paper</x:v>
      </x:c>
      <x:c r="I9987" s="22" t="n">
        <x:v>35.56</x:v>
      </x:c>
      <x:c r="J9987" s="24" t="n">
        <x:v>7</x:v>
      </x:c>
      <x:c r="K9987" s="26" t="n">
        <x:v>0</x:v>
      </x:c>
      <x:c r="L9987" s="22" t="n">
        <x:v>16.7132</x:v>
      </x:c>
      <x:c r="M9987" t="n">
        <x:v>2016</x:v>
      </x:c>
      <x:c r="N9987" s="20" t="n">
        <x:v>42614</x:v>
      </x:c>
    </x:row>
    <x:row r="9988" ht="18" customHeight="1">
      <x:c r="A9988" t="str">
        <x:v>US-2016-157728</x:v>
      </x:c>
      <x:c r="B9988" s="18" t="n">
        <x:v>42635</x:v>
      </x:c>
      <x:c r="C9988" t="str">
        <x:v>RC-19960</x:v>
      </x:c>
      <x:c r="D9988" t="str">
        <x:v>Ryan Crowe</x:v>
      </x:c>
      <x:c r="E9988" t="str">
        <x:v>Consumer</x:v>
      </x:c>
      <x:c r="F9988" t="str">
        <x:v>Central</x:v>
      </x:c>
      <x:c r="G9988" t="str">
        <x:v>Technology</x:v>
      </x:c>
      <x:c r="H9988" t="str">
        <x:v>Phones</x:v>
      </x:c>
      <x:c r="I9988" s="22" t="n">
        <x:v>97.98</x:v>
      </x:c>
      <x:c r="J9988" s="24" t="n">
        <x:v>2</x:v>
      </x:c>
      <x:c r="K9988" s="26" t="n">
        <x:v>0</x:v>
      </x:c>
      <x:c r="L9988" s="22" t="n">
        <x:v>27.43440000000001</x:v>
      </x:c>
      <x:c r="M9988" t="n">
        <x:v>2016</x:v>
      </x:c>
      <x:c r="N9988" s="20" t="n">
        <x:v>42614</x:v>
      </x:c>
    </x:row>
    <x:row r="9989" ht="18" customHeight="1">
      <x:c r="A9989" t="str">
        <x:v>CA-2015-100251</x:v>
      </x:c>
      <x:c r="B9989" s="18" t="n">
        <x:v>42141</x:v>
      </x:c>
      <x:c r="C9989" t="str">
        <x:v>DV-13465</x:v>
      </x:c>
      <x:c r="D9989" t="str">
        <x:v>Dianna Vittorini</x:v>
      </x:c>
      <x:c r="E9989" t="str">
        <x:v>Consumer</x:v>
      </x:c>
      <x:c r="F9989" t="str">
        <x:v>East</x:v>
      </x:c>
      <x:c r="G9989" t="str">
        <x:v>Office Supplies</x:v>
      </x:c>
      <x:c r="H9989" t="str">
        <x:v>Labels</x:v>
      </x:c>
      <x:c r="I9989" s="22" t="n">
        <x:v>31.5</x:v>
      </x:c>
      <x:c r="J9989" s="24" t="n">
        <x:v>10</x:v>
      </x:c>
      <x:c r="K9989" s="26" t="n">
        <x:v>0</x:v>
      </x:c>
      <x:c r="L9989" s="22" t="n">
        <x:v>15.120000000000001</x:v>
      </x:c>
      <x:c r="M9989" t="n">
        <x:v>2015</x:v>
      </x:c>
      <x:c r="N9989" s="20" t="n">
        <x:v>42125</x:v>
      </x:c>
    </x:row>
    <x:row r="9990" ht="18" customHeight="1">
      <x:c r="A9990" t="str">
        <x:v>CA-2015-100251</x:v>
      </x:c>
      <x:c r="B9990" s="18" t="n">
        <x:v>42141</x:v>
      </x:c>
      <x:c r="C9990" t="str">
        <x:v>DV-13465</x:v>
      </x:c>
      <x:c r="D9990" t="str">
        <x:v>Dianna Vittorini</x:v>
      </x:c>
      <x:c r="E9990" t="str">
        <x:v>Consumer</x:v>
      </x:c>
      <x:c r="F9990" t="str">
        <x:v>East</x:v>
      </x:c>
      <x:c r="G9990" t="str">
        <x:v>Office Supplies</x:v>
      </x:c>
      <x:c r="H9990" t="str">
        <x:v>Supplies</x:v>
      </x:c>
      <x:c r="I9990" s="22" t="n">
        <x:v>55.6</x:v>
      </x:c>
      <x:c r="J9990" s="24" t="n">
        <x:v>4</x:v>
      </x:c>
      <x:c r="K9990" s="26" t="n">
        <x:v>0</x:v>
      </x:c>
      <x:c r="L9990" s="22" t="n">
        <x:v>16.123999999999995</x:v>
      </x:c>
      <x:c r="M9990" t="n">
        <x:v>2015</x:v>
      </x:c>
      <x:c r="N9990" s="20" t="n">
        <x:v>42125</x:v>
      </x:c>
    </x:row>
    <x:row r="9991" ht="18" customHeight="1">
      <x:c r="A9991" t="str">
        <x:v>CA-2016-125794</x:v>
      </x:c>
      <x:c r="B9991" s="18" t="n">
        <x:v>42642</x:v>
      </x:c>
      <x:c r="C9991" t="str">
        <x:v>ML-17410</x:v>
      </x:c>
      <x:c r="D9991" t="str">
        <x:v>Maris LaWare</x:v>
      </x:c>
      <x:c r="E9991" t="str">
        <x:v>Consumer</x:v>
      </x:c>
      <x:c r="F9991" t="str">
        <x:v>West</x:v>
      </x:c>
      <x:c r="G9991" t="str">
        <x:v>Technology</x:v>
      </x:c>
      <x:c r="H9991" t="str">
        <x:v>Accessories</x:v>
      </x:c>
      <x:c r="I9991" s="22" t="n">
        <x:v>36.24</x:v>
      </x:c>
      <x:c r="J9991" s="24" t="n">
        <x:v>1</x:v>
      </x:c>
      <x:c r="K9991" s="26" t="n">
        <x:v>0</x:v>
      </x:c>
      <x:c r="L9991" s="22" t="n">
        <x:v>15.2208</x:v>
      </x:c>
      <x:c r="M9991" t="n">
        <x:v>2016</x:v>
      </x:c>
      <x:c r="N9991" s="20" t="n">
        <x:v>42614</x:v>
      </x:c>
    </x:row>
    <x:row r="9992" ht="18" customHeight="1">
      <x:c r="A9992" t="str">
        <x:v>CA-2017-163629</x:v>
      </x:c>
      <x:c r="B9992" s="18" t="n">
        <x:v>43056</x:v>
      </x:c>
      <x:c r="C9992" t="str">
        <x:v>RA-19885</x:v>
      </x:c>
      <x:c r="D9992" t="str">
        <x:v>Ruben Ausman</x:v>
      </x:c>
      <x:c r="E9992" t="str">
        <x:v>Corporate</x:v>
      </x:c>
      <x:c r="F9992" t="str">
        <x:v>South</x:v>
      </x:c>
      <x:c r="G9992" t="str">
        <x:v>Technology</x:v>
      </x:c>
      <x:c r="H9992" t="str">
        <x:v>Accessories</x:v>
      </x:c>
      <x:c r="I9992" s="22" t="n">
        <x:v>79.99</x:v>
      </x:c>
      <x:c r="J9992" s="24" t="n">
        <x:v>1</x:v>
      </x:c>
      <x:c r="K9992" s="26" t="n">
        <x:v>0</x:v>
      </x:c>
      <x:c r="L9992" s="22" t="n">
        <x:v>28.7964</x:v>
      </x:c>
      <x:c r="M9992" t="n">
        <x:v>2017</x:v>
      </x:c>
      <x:c r="N9992" s="20" t="n">
        <x:v>43040</x:v>
      </x:c>
    </x:row>
    <x:row r="9993" ht="18" customHeight="1">
      <x:c r="A9993" t="str">
        <x:v>CA-2017-163629</x:v>
      </x:c>
      <x:c r="B9993" s="18" t="n">
        <x:v>43056</x:v>
      </x:c>
      <x:c r="C9993" t="str">
        <x:v>RA-19885</x:v>
      </x:c>
      <x:c r="D9993" t="str">
        <x:v>Ruben Ausman</x:v>
      </x:c>
      <x:c r="E9993" t="str">
        <x:v>Corporate</x:v>
      </x:c>
      <x:c r="F9993" t="str">
        <x:v>South</x:v>
      </x:c>
      <x:c r="G9993" t="str">
        <x:v>Technology</x:v>
      </x:c>
      <x:c r="H9993" t="str">
        <x:v>Phones</x:v>
      </x:c>
      <x:c r="I9993" s="22" t="n">
        <x:v>206.1</x:v>
      </x:c>
      <x:c r="J9993" s="24" t="n">
        <x:v>5</x:v>
      </x:c>
      <x:c r="K9993" s="26" t="n">
        <x:v>0</x:v>
      </x:c>
      <x:c r="L9993" s="22" t="n">
        <x:v>55.647000000000006</x:v>
      </x:c>
      <x:c r="M9993" t="n">
        <x:v>2017</x:v>
      </x:c>
      <x:c r="N9993" s="20" t="n">
        <x:v>43040</x:v>
      </x:c>
    </x:row>
    <x:row r="9994" ht="18" customHeight="1">
      <x:c r="A9994" t="str">
        <x:v>CA-2014-110422</x:v>
      </x:c>
      <x:c r="B9994" s="18" t="n">
        <x:v>41660</x:v>
      </x:c>
      <x:c r="C9994" t="str">
        <x:v>TB-21400</x:v>
      </x:c>
      <x:c r="D9994" t="str">
        <x:v>Tom Boeckenhauer</x:v>
      </x:c>
      <x:c r="E9994" t="str">
        <x:v>Consumer</x:v>
      </x:c>
      <x:c r="F9994" t="str">
        <x:v>South</x:v>
      </x:c>
      <x:c r="G9994" t="str">
        <x:v>Furniture</x:v>
      </x:c>
      <x:c r="H9994" t="str">
        <x:v>Furnishings</x:v>
      </x:c>
      <x:c r="I9994" s="22" t="n">
        <x:v>25.248</x:v>
      </x:c>
      <x:c r="J9994" s="24" t="n">
        <x:v>3</x:v>
      </x:c>
      <x:c r="K9994" s="26" t="n">
        <x:v>0.2</x:v>
      </x:c>
      <x:c r="L9994" s="22" t="n">
        <x:v>4.102799999999999</x:v>
      </x:c>
      <x:c r="M9994" t="n">
        <x:v>2014</x:v>
      </x:c>
      <x:c r="N9994" s="20" t="n">
        <x:v>41640</x:v>
      </x:c>
    </x:row>
    <x:row r="9995" ht="18" customHeight="1">
      <x:c r="A9995" t="str">
        <x:v>CA-2017-121258</x:v>
      </x:c>
      <x:c r="B9995" s="18" t="n">
        <x:v>42792</x:v>
      </x:c>
      <x:c r="C9995" t="str">
        <x:v>DB-13060</x:v>
      </x:c>
      <x:c r="D9995" t="str">
        <x:v>Dave Brooks</x:v>
      </x:c>
      <x:c r="E9995" t="str">
        <x:v>Consumer</x:v>
      </x:c>
      <x:c r="F9995" t="str">
        <x:v>West</x:v>
      </x:c>
      <x:c r="G9995" t="str">
        <x:v>Furniture</x:v>
      </x:c>
      <x:c r="H9995" t="str">
        <x:v>Furnishings</x:v>
      </x:c>
      <x:c r="I9995" s="22" t="n">
        <x:v>91.96</x:v>
      </x:c>
      <x:c r="J9995" s="24" t="n">
        <x:v>2</x:v>
      </x:c>
      <x:c r="K9995" s="26" t="n">
        <x:v>0</x:v>
      </x:c>
      <x:c r="L9995" s="22" t="n">
        <x:v>15.633199999999988</x:v>
      </x:c>
      <x:c r="M9995" t="n">
        <x:v>2017</x:v>
      </x:c>
      <x:c r="N9995" s="20" t="n">
        <x:v>42767</x:v>
      </x:c>
    </x:row>
    <x:row r="9996" ht="18" customHeight="1">
      <x:c r="A9996" t="str">
        <x:v>CA-2017-121258</x:v>
      </x:c>
      <x:c r="B9996" s="18" t="n">
        <x:v>42792</x:v>
      </x:c>
      <x:c r="C9996" t="str">
        <x:v>DB-13060</x:v>
      </x:c>
      <x:c r="D9996" t="str">
        <x:v>Dave Brooks</x:v>
      </x:c>
      <x:c r="E9996" t="str">
        <x:v>Consumer</x:v>
      </x:c>
      <x:c r="F9996" t="str">
        <x:v>West</x:v>
      </x:c>
      <x:c r="G9996" t="str">
        <x:v>Technology</x:v>
      </x:c>
      <x:c r="H9996" t="str">
        <x:v>Phones</x:v>
      </x:c>
      <x:c r="I9996" s="22" t="n">
        <x:v>258.576</x:v>
      </x:c>
      <x:c r="J9996" s="24" t="n">
        <x:v>2</x:v>
      </x:c>
      <x:c r="K9996" s="26" t="n">
        <x:v>0.2</x:v>
      </x:c>
      <x:c r="L9996" s="22" t="n">
        <x:v>19.393200000000007</x:v>
      </x:c>
      <x:c r="M9996" t="n">
        <x:v>2017</x:v>
      </x:c>
      <x:c r="N9996" s="20" t="n">
        <x:v>42767</x:v>
      </x:c>
    </x:row>
    <x:row r="9997" ht="18" customHeight="1">
      <x:c r="A9997" t="str">
        <x:v>CA-2017-121258</x:v>
      </x:c>
      <x:c r="B9997" s="18" t="n">
        <x:v>42792</x:v>
      </x:c>
      <x:c r="C9997" t="str">
        <x:v>DB-13060</x:v>
      </x:c>
      <x:c r="D9997" t="str">
        <x:v>Dave Brooks</x:v>
      </x:c>
      <x:c r="E9997" t="str">
        <x:v>Consumer</x:v>
      </x:c>
      <x:c r="F9997" t="str">
        <x:v>West</x:v>
      </x:c>
      <x:c r="G9997" t="str">
        <x:v>Office Supplies</x:v>
      </x:c>
      <x:c r="H9997" t="str">
        <x:v>Paper</x:v>
      </x:c>
      <x:c r="I9997" s="22" t="n">
        <x:v>29.6</x:v>
      </x:c>
      <x:c r="J9997" s="24" t="n">
        <x:v>4</x:v>
      </x:c>
      <x:c r="K9997" s="26" t="n">
        <x:v>0</x:v>
      </x:c>
      <x:c r="L9997" s="22" t="n">
        <x:v>13.32</x:v>
      </x:c>
      <x:c r="M9997" t="n">
        <x:v>2017</x:v>
      </x:c>
      <x:c r="N9997" s="20" t="n">
        <x:v>42767</x:v>
      </x:c>
    </x:row>
    <x:row r="9998" ht="18" customHeight="1">
      <x:c r="A9998" t="str">
        <x:v>CA-2017-119914</x:v>
      </x:c>
      <x:c r="B9998" s="18" t="n">
        <x:v>42859</x:v>
      </x:c>
      <x:c r="C9998" t="str">
        <x:v>CC-12220</x:v>
      </x:c>
      <x:c r="D9998" t="str">
        <x:v>Chris Cortes</x:v>
      </x:c>
      <x:c r="E9998" t="str">
        <x:v>Consumer</x:v>
      </x:c>
      <x:c r="F9998" t="str">
        <x:v>West</x:v>
      </x:c>
      <x:c r="G9998" t="str">
        <x:v>Office Supplies</x:v>
      </x:c>
      <x:c r="H9998" t="str">
        <x:v>Appliances</x:v>
      </x:c>
      <x:c r="I9998" s="22" t="n">
        <x:v>243.16</x:v>
      </x:c>
      <x:c r="J9998" s="24" t="n">
        <x:v>2</x:v>
      </x:c>
      <x:c r="K9998" s="26" t="n">
        <x:v>0</x:v>
      </x:c>
      <x:c r="L9998" s="22" t="n">
        <x:v>72.94799999999998</x:v>
      </x:c>
      <x:c r="M9998" t="n">
        <x:v>2017</x:v>
      </x:c>
      <x:c r="N9998" s="20" t="n">
        <x:v>42856</x:v>
      </x:c>
    </x:row>
  </x:sheetData>
  <x:pageMargins left="0.7" right="0.7" top="0.75" bottom="0.75" header="0.3" footer="0.3"/>
</x:worksheet>
</file>